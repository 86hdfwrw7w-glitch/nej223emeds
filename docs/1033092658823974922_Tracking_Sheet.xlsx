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Musa Alat\Documents\Pumpkin Careers\"/>
    </mc:Choice>
  </mc:AlternateContent>
  <xr:revisionPtr revIDLastSave="0" documentId="13_ncr:1_{C0E9FA03-9D80-4C9F-8D83-78E961921A14}" xr6:coauthVersionLast="47" xr6:coauthVersionMax="47" xr10:uidLastSave="{00000000-0000-0000-0000-000000000000}"/>
  <bookViews>
    <workbookView xWindow="-108" yWindow="-108" windowWidth="23256" windowHeight="12576"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5" i="7" l="1" a="1"/>
  <c r="J15" i="7" s="1"/>
  <c r="DA4" i="7"/>
  <c r="C12" i="10"/>
  <c r="EC4" i="7"/>
  <c r="DV4" i="7"/>
  <c r="DO4" i="7"/>
  <c r="DH4" i="7"/>
  <c r="I24" i="7"/>
  <c r="J24" i="7" a="1"/>
  <c r="J24" i="7" s="1"/>
  <c r="K24" i="7" a="1"/>
  <c r="K24" i="7" s="1"/>
  <c r="CT4" i="7"/>
  <c r="CM4" i="7"/>
  <c r="CF4" i="7"/>
  <c r="BY4" i="7"/>
  <c r="BR4" i="7"/>
  <c r="K14" i="7" a="1"/>
  <c r="K14" i="7" s="1"/>
  <c r="J14" i="7" a="1"/>
  <c r="J14" i="7" s="1"/>
  <c r="I14" i="7"/>
  <c r="K33" i="7" a="1"/>
  <c r="K33" i="7" s="1"/>
  <c r="J33" i="7" a="1"/>
  <c r="J33" i="7" s="1"/>
  <c r="I33" i="7"/>
  <c r="K32" i="7" a="1"/>
  <c r="K32" i="7" s="1"/>
  <c r="J32" i="7" a="1"/>
  <c r="J32" i="7" s="1"/>
  <c r="I32" i="7"/>
  <c r="AP31" i="7"/>
  <c r="AI31" i="7"/>
  <c r="AB31" i="7"/>
  <c r="U31" i="7"/>
  <c r="K29" i="7" a="1"/>
  <c r="K29" i="7" s="1"/>
  <c r="J29" i="7" a="1"/>
  <c r="J29" i="7" s="1"/>
  <c r="I29" i="7"/>
  <c r="K28" i="7" a="1"/>
  <c r="K28" i="7" s="1"/>
  <c r="J28" i="7" a="1"/>
  <c r="J28" i="7" s="1"/>
  <c r="I28" i="7"/>
  <c r="K27" i="7" a="1"/>
  <c r="K27" i="7" s="1"/>
  <c r="J27" i="7" a="1"/>
  <c r="J27" i="7" s="1"/>
  <c r="I27" i="7"/>
  <c r="AP26" i="7"/>
  <c r="AI26" i="7"/>
  <c r="AB26" i="7"/>
  <c r="U26" i="7"/>
  <c r="BK4" i="7"/>
  <c r="K18" i="7" a="1"/>
  <c r="K18" i="7" s="1"/>
  <c r="J18" i="7" a="1"/>
  <c r="J18" i="7" s="1"/>
  <c r="K17" i="7" a="1"/>
  <c r="K17" i="7" s="1"/>
  <c r="J17" i="7" a="1"/>
  <c r="J17" i="7" s="1"/>
  <c r="K16" i="7" a="1"/>
  <c r="K16" i="7" s="1"/>
  <c r="J16" i="7" a="1"/>
  <c r="J16" i="7" s="1"/>
  <c r="K15" i="7" a="1"/>
  <c r="K15" i="7" s="1"/>
  <c r="K23" i="7" a="1"/>
  <c r="K23" i="7" s="1"/>
  <c r="J23" i="7" a="1"/>
  <c r="J23" i="7" s="1"/>
  <c r="K22" i="7" a="1"/>
  <c r="K22" i="7" s="1"/>
  <c r="J22" i="7" a="1"/>
  <c r="J22" i="7" s="1"/>
  <c r="K21" i="7" a="1"/>
  <c r="K21" i="7" s="1"/>
  <c r="J21" i="7" a="1"/>
  <c r="J21" i="7" s="1"/>
  <c r="K9" i="7" a="1"/>
  <c r="K9" i="7" s="1"/>
  <c r="J9" i="7" a="1"/>
  <c r="J9" i="7" s="1"/>
  <c r="AP11" i="7"/>
  <c r="AI11" i="7"/>
  <c r="AB11" i="7"/>
  <c r="U11" i="7"/>
  <c r="BD4" i="7"/>
  <c r="AW4" i="7"/>
  <c r="AP4" i="7"/>
  <c r="AI4" i="7"/>
  <c r="AB4" i="7"/>
  <c r="U4" i="7"/>
  <c r="G4" i="7"/>
  <c r="AP20" i="7"/>
  <c r="AI20" i="7"/>
  <c r="AB20" i="7"/>
  <c r="U20" i="7"/>
  <c r="I23" i="7"/>
  <c r="I22" i="7"/>
  <c r="I21" i="7"/>
  <c r="I18" i="7"/>
  <c r="I17" i="7"/>
  <c r="I16" i="7"/>
  <c r="I15" i="7"/>
  <c r="I9" i="7"/>
  <c r="J31" i="7" l="1"/>
  <c r="K31" i="7"/>
  <c r="K26" i="7"/>
  <c r="J26" i="7"/>
  <c r="J20" i="7"/>
  <c r="K20" i="7"/>
  <c r="J11" i="7"/>
  <c r="K11" i="7"/>
  <c r="J5" i="7"/>
  <c r="J4"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<sst xmlns="http://schemas.openxmlformats.org/spreadsheetml/2006/main" count="295" uniqueCount="131">
  <si>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</si>
  <si>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</si>
  <si>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</si>
  <si>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</si>
  <si>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</si>
  <si>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</si>
  <si>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</si>
  <si>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</si>
  <si>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</si>
  <si>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</si>
  <si>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</si>
  <si>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</si>
  <si>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</si>
  <si>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</si>
  <si>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</si>
  <si>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</si>
  <si>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</si>
  <si>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</si>
  <si>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</si>
  <si>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</si>
  <si>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</si>
  <si>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</si>
  <si>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</si>
  <si>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</si>
  <si>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</si>
  <si>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</si>
  <si>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</si>
  <si>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</si>
  <si>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</si>
  <si>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</si>
  <si>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</si>
  <si>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</si>
  <si>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</si>
  <si>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</si>
  <si>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</si>
  <si>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</si>
  <si>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</si>
  <si>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</si>
  <si>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</si>
  <si>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</si>
  <si>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</si>
  <si>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</si>
  <si>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</si>
  <si>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</si>
  <si>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</si>
  <si>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</si>
  <si>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</si>
  <si>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</si>
  <si>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</si>
  <si>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</si>
  <si>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</si>
  <si>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</si>
  <si>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</si>
  <si>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</si>
  <si>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</si>
  <si>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</si>
  <si>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</si>
  <si>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</si>
  <si>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</si>
  <si>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</si>
  <si>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</si>
  <si>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</si>
  <si>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</si>
  <si>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</si>
  <si>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</si>
  <si>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</si>
  <si>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</si>
  <si>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</si>
  <si>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</si>
  <si>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</si>
  <si>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</si>
  <si>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</si>
  <si>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</si>
  <si>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</si>
  <si>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</si>
  <si>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</si>
  <si>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</si>
  <si>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</si>
  <si>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</si>
  <si>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</si>
  <si>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</si>
  <si>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</si>
  <si>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</si>
  <si>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</si>
  <si>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</si>
  <si>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</si>
  <si>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</si>
  <si>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Ethik</t>
  </si>
  <si>
    <t>1) Grundlagen der Ethik</t>
  </si>
  <si>
    <t>2) Moral und Rationalität</t>
  </si>
  <si>
    <t>3) Ansätze der Ethik</t>
  </si>
  <si>
    <t>4) Wann handelt Homo Oeconomicus moralisch?</t>
  </si>
  <si>
    <t>5) Die Ethik der Rahmenordnung</t>
  </si>
  <si>
    <t>6) Die Ethik des Unternehmens</t>
  </si>
  <si>
    <t xml:space="preserve">7) Die Ethik des Individuums im Unternehmen </t>
  </si>
  <si>
    <t>VWL</t>
  </si>
  <si>
    <t>1) Was ist VWL (Economics)?</t>
  </si>
  <si>
    <t>2) VGR und Makroökonomik</t>
  </si>
  <si>
    <t>3) Geld und Kapitalmärkte</t>
  </si>
  <si>
    <t>4) Unternehmen und Märkte</t>
  </si>
  <si>
    <t>1) Funktionen</t>
  </si>
  <si>
    <t>2) Folgen und Reihen</t>
  </si>
  <si>
    <t>3) Differentialrechnung in einer Variable</t>
  </si>
  <si>
    <t>4) Differentialrechnung in mehreen Variablen</t>
  </si>
  <si>
    <t>5) Integralrechnung</t>
  </si>
  <si>
    <t>Mikroökonomik</t>
  </si>
  <si>
    <t>1) Haushaltstheorie</t>
  </si>
  <si>
    <t>2) Unternehmenstheorie</t>
  </si>
  <si>
    <t>Theories of Business</t>
  </si>
  <si>
    <t>1) Willkommen in der BWL!</t>
  </si>
  <si>
    <t>Analysis für WiWi</t>
  </si>
  <si>
    <t>3) Elementare Preistheorie</t>
  </si>
  <si>
    <t>2) Was ist die BWL?</t>
  </si>
  <si>
    <t>KW 43</t>
  </si>
  <si>
    <t>KW 44</t>
  </si>
  <si>
    <t>KW 45</t>
  </si>
  <si>
    <t>KW 46</t>
  </si>
  <si>
    <t>KW 47</t>
  </si>
  <si>
    <t>KW 48</t>
  </si>
  <si>
    <t>KW 49</t>
  </si>
  <si>
    <t>KW 50</t>
  </si>
  <si>
    <t>KW 51</t>
  </si>
  <si>
    <t>KW 52</t>
  </si>
  <si>
    <t>KW 1</t>
  </si>
  <si>
    <t>KW 2</t>
  </si>
  <si>
    <t>KW 3</t>
  </si>
  <si>
    <t>KW 4</t>
  </si>
  <si>
    <t>KW 7</t>
  </si>
  <si>
    <t>KW 5</t>
  </si>
  <si>
    <t>Klausur Mikroökonomik, VWL, Theories of Business</t>
  </si>
  <si>
    <t>Klausur Analysis, Ethik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</si>
</sst>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27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7" sqref="C7"/>
    </sheetView>
  </sheetViews>
  <sheetFormatPr baseColWidth="10" defaultRowHeight="15.6"/>
  <cols>
    <col min="1" max="1" width="11.796875" customWidth="1"/>
    <col min="2" max="2" width="62.69921875" customWidth="1"/>
  </cols>
  <sheetData>
    <row r="2" spans="1:4">
      <c r="C2" s="21" t="s">
        <v>71</v>
      </c>
    </row>
    <row r="3" spans="1:4">
      <c r="C3" s="20" t="s">
        <v>56</v>
      </c>
    </row>
    <row r="4" spans="1:4">
      <c r="C4" s="19" t="s">
        <v>70</v>
      </c>
    </row>
    <row r="5" spans="1:4">
      <c r="A5" s="3" t="s">
        <v>53</v>
      </c>
      <c r="B5" s="3" t="s">
        <v>54</v>
      </c>
      <c r="C5" s="3" t="s">
        <v>55</v>
      </c>
      <c r="D5" s="3" t="s">
        <v>57</v>
      </c>
    </row>
    <row r="6" spans="1:4">
      <c r="A6" t="s">
        <v>49</v>
      </c>
      <c r="B6" s="21" t="s">
        <v>52</v>
      </c>
      <c r="D6" t="s">
        <v>86</v>
      </c>
    </row>
    <row r="7" spans="1:4">
      <c r="A7" t="s">
        <v>60</v>
      </c>
      <c r="B7" t="s">
        <v>61</v>
      </c>
      <c r="C7" s="19">
        <v>21</v>
      </c>
    </row>
    <row r="8" spans="1:4">
      <c r="A8" t="s">
        <v>51</v>
      </c>
      <c r="B8" s="21" t="s">
        <v>50</v>
      </c>
      <c r="C8" s="9"/>
      <c r="D8" t="s">
        <v>74</v>
      </c>
    </row>
    <row r="9" spans="1:4">
      <c r="A9" t="s">
        <v>59</v>
      </c>
      <c r="B9" s="21" t="s">
        <v>72</v>
      </c>
      <c r="D9" t="s">
        <v>75</v>
      </c>
    </row>
    <row r="10" spans="1:4">
      <c r="A10" t="s">
        <v>63</v>
      </c>
      <c r="B10" t="s">
        <v>62</v>
      </c>
      <c r="C10" s="19">
        <v>14</v>
      </c>
      <c r="D10" t="s">
        <v>58</v>
      </c>
    </row>
    <row r="11" spans="1:4">
      <c r="A11" t="s">
        <v>64</v>
      </c>
      <c r="B11" t="s">
        <v>66</v>
      </c>
      <c r="C11" s="19">
        <v>63</v>
      </c>
      <c r="D11" t="s">
        <v>65</v>
      </c>
    </row>
    <row r="12" spans="1:4">
      <c r="A12" t="s">
        <v>68</v>
      </c>
      <c r="B12" t="s">
        <v>67</v>
      </c>
      <c r="C12" s="20">
        <f>C11/C10</f>
        <v>4.5</v>
      </c>
    </row>
    <row r="13" spans="1:4">
      <c r="A13" t="s">
        <v>73</v>
      </c>
      <c r="B13" t="s">
        <v>69</v>
      </c>
      <c r="D13" t="s">
        <v>76</v>
      </c>
    </row>
    <row r="14" spans="1:4">
      <c r="A14" t="s">
        <v>77</v>
      </c>
      <c r="B14" t="s">
        <v>78</v>
      </c>
      <c r="D14" t="s">
        <v>79</v>
      </c>
    </row>
    <row r="15" spans="1:4">
      <c r="A15" t="s">
        <v>80</v>
      </c>
      <c r="B15" s="21" t="s">
        <v>81</v>
      </c>
    </row>
    <row r="16" spans="1:4">
      <c r="A16" t="s">
        <v>84</v>
      </c>
      <c r="B16" s="21"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H33"/>
  <sheetViews>
    <sheetView showGridLines="0" tabSelected="1" zoomScale="75" zoomScaleNormal="83" workbookViewId="0">
      <selection activeCell="V6" sqref="V6"/>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5" max="105" width="8.796875" customWidth="1"/>
    <col min="106" max="106" width="12.5" bestFit="1" customWidth="1"/>
    <col min="107" max="107" width="6.296875" customWidth="1"/>
    <col min="108" max="108" width="14.796875" bestFit="1" customWidth="1"/>
    <col min="109" max="109" width="6" customWidth="1"/>
    <col min="110" max="110" width="12.69921875" bestFit="1" customWidth="1"/>
    <col min="111" max="111" width="2.5"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20" max="120" width="12.5" bestFit="1" customWidth="1"/>
    <col min="121" max="121" width="6.296875" customWidth="1"/>
    <col min="122" max="122" width="14.796875" bestFit="1" customWidth="1"/>
    <col min="123" max="123" width="6" customWidth="1"/>
    <col min="124" max="124" width="12.69921875" bestFit="1" customWidth="1"/>
    <col min="125" max="125" width="2.5" customWidth="1"/>
    <col min="127" max="127" width="12.5" bestFit="1" customWidth="1"/>
    <col min="128" max="128" width="6.296875" customWidth="1"/>
    <col min="129" max="129" width="14.796875" bestFit="1" customWidth="1"/>
    <col min="130" max="130" width="6" customWidth="1"/>
    <col min="131" max="131" width="12.69921875" bestFit="1" customWidth="1"/>
    <col min="132" max="132" width="2.5" customWidth="1"/>
    <col min="134" max="134" width="12.5" bestFit="1" customWidth="1"/>
    <col min="135" max="135" width="6.296875" customWidth="1"/>
    <col min="136" max="136" width="14.796875" bestFit="1" customWidth="1"/>
    <col min="137" max="137" width="6" customWidth="1"/>
    <col min="138" max="138" width="12.69921875" bestFit="1" customWidth="1"/>
  </cols>
  <sheetData>
    <row r="1" spans="2:138" ht="33.6">
      <c r="B1" s="5" t="s">
        <v>0</v>
      </c>
      <c r="D1" s="5"/>
      <c r="G1" s="15" t="s">
        <v>33</v>
      </c>
      <c r="I1" s="15" t="s">
        <v>33</v>
      </c>
      <c r="J1" s="15" t="s">
        <v>33</v>
      </c>
      <c r="K1" s="15" t="s">
        <v>33</v>
      </c>
    </row>
    <row r="2" spans="2:138">
      <c r="I2" s="23" t="s">
        <v>27</v>
      </c>
      <c r="J2" s="23"/>
      <c r="K2" s="23"/>
      <c r="L2" s="23"/>
      <c r="N2" s="23" t="s">
        <v>113</v>
      </c>
      <c r="O2" s="23"/>
      <c r="P2" s="23"/>
      <c r="Q2" s="23"/>
      <c r="R2" s="23"/>
      <c r="S2" s="23"/>
      <c r="U2" s="23" t="s">
        <v>114</v>
      </c>
      <c r="V2" s="23"/>
      <c r="W2" s="23"/>
      <c r="X2" s="23"/>
      <c r="Y2" s="23"/>
      <c r="Z2" s="23"/>
      <c r="AB2" s="23" t="s">
        <v>115</v>
      </c>
      <c r="AC2" s="23"/>
      <c r="AD2" s="23"/>
      <c r="AE2" s="23"/>
      <c r="AF2" s="23"/>
      <c r="AG2" s="23"/>
      <c r="AI2" s="23" t="s">
        <v>116</v>
      </c>
      <c r="AJ2" s="23"/>
      <c r="AK2" s="23"/>
      <c r="AL2" s="23"/>
      <c r="AM2" s="23"/>
      <c r="AN2" s="23"/>
      <c r="AP2" s="23" t="s">
        <v>117</v>
      </c>
      <c r="AQ2" s="23"/>
      <c r="AR2" s="23"/>
      <c r="AS2" s="23"/>
      <c r="AT2" s="23"/>
      <c r="AU2" s="23"/>
      <c r="AW2" s="23" t="s">
        <v>118</v>
      </c>
      <c r="AX2" s="23"/>
      <c r="AY2" s="23"/>
      <c r="AZ2" s="23"/>
      <c r="BA2" s="23"/>
      <c r="BB2" s="23"/>
      <c r="BD2" s="23" t="s">
        <v>119</v>
      </c>
      <c r="BE2" s="23"/>
      <c r="BF2" s="23"/>
      <c r="BG2" s="23"/>
      <c r="BH2" s="23"/>
      <c r="BI2" s="23"/>
      <c r="BK2" s="23" t="s">
        <v>120</v>
      </c>
      <c r="BL2" s="23"/>
      <c r="BM2" s="23"/>
      <c r="BN2" s="23"/>
      <c r="BO2" s="23"/>
      <c r="BP2" s="23"/>
      <c r="BR2" s="23" t="s">
        <v>121</v>
      </c>
      <c r="BS2" s="23"/>
      <c r="BT2" s="23"/>
      <c r="BU2" s="23"/>
      <c r="BV2" s="23"/>
      <c r="BW2" s="23"/>
      <c r="BY2" s="23" t="s">
        <v>122</v>
      </c>
      <c r="BZ2" s="23"/>
      <c r="CA2" s="23"/>
      <c r="CB2" s="23"/>
      <c r="CC2" s="23"/>
      <c r="CD2" s="23"/>
      <c r="CF2" s="23" t="s">
        <v>123</v>
      </c>
      <c r="CG2" s="23"/>
      <c r="CH2" s="23"/>
      <c r="CI2" s="23"/>
      <c r="CJ2" s="23"/>
      <c r="CK2" s="23"/>
      <c r="CM2" s="23" t="s">
        <v>124</v>
      </c>
      <c r="CN2" s="23"/>
      <c r="CO2" s="23"/>
      <c r="CP2" s="23"/>
      <c r="CQ2" s="23"/>
      <c r="CR2" s="23"/>
      <c r="CT2" s="23" t="s">
        <v>125</v>
      </c>
      <c r="CU2" s="23"/>
      <c r="CV2" s="23"/>
      <c r="CW2" s="23"/>
      <c r="CX2" s="23"/>
      <c r="CY2" s="23"/>
      <c r="DA2" s="23" t="s">
        <v>126</v>
      </c>
      <c r="DB2" s="23"/>
      <c r="DC2" s="23"/>
      <c r="DD2" s="23"/>
      <c r="DE2" s="23"/>
      <c r="DF2" s="23"/>
      <c r="DH2" s="23" t="s">
        <v>128</v>
      </c>
      <c r="DI2" s="23"/>
      <c r="DJ2" s="23"/>
      <c r="DK2" s="23"/>
      <c r="DL2" s="23"/>
      <c r="DM2" s="23"/>
      <c r="DO2" s="23" t="s">
        <v>130</v>
      </c>
      <c r="DP2" s="23"/>
      <c r="DQ2" s="23"/>
      <c r="DR2" s="23"/>
      <c r="DS2" s="23"/>
      <c r="DT2" s="23"/>
      <c r="DV2" s="23" t="s">
        <v>127</v>
      </c>
      <c r="DW2" s="23"/>
      <c r="DX2" s="23"/>
      <c r="DY2" s="23"/>
      <c r="DZ2" s="23"/>
      <c r="EA2" s="23"/>
      <c r="EC2" s="23" t="s">
        <v>129</v>
      </c>
      <c r="ED2" s="23"/>
      <c r="EE2" s="23"/>
      <c r="EF2" s="23"/>
      <c r="EG2" s="23"/>
      <c r="EH2" s="23"/>
    </row>
    <row r="3" spans="2:138">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row>
    <row r="4" spans="2:138">
      <c r="B4" t="s">
        <v>27</v>
      </c>
      <c r="C4" t="s">
        <v>110</v>
      </c>
      <c r="D4" s="22">
        <v>44966</v>
      </c>
      <c r="E4" s="11">
        <v>6</v>
      </c>
      <c r="G4" s="12">
        <f>+SUM(G5:G9)</f>
        <v>0</v>
      </c>
      <c r="I4" s="14">
        <v>0</v>
      </c>
      <c r="J4" s="13">
        <f ca="1">+SUMPRODUCT(G5:G9,J5:J9)</f>
        <v>0</v>
      </c>
      <c r="K4" s="13">
        <v>0</v>
      </c>
      <c r="L4" s="11"/>
      <c r="N4" s="14">
        <v>8</v>
      </c>
      <c r="U4" s="14">
        <f>+SUM(U5:U9)</f>
        <v>0</v>
      </c>
      <c r="AB4" s="14">
        <f>+SUM(AB5:AB9)</f>
        <v>0</v>
      </c>
      <c r="AI4" s="14">
        <f>+SUM(AI5:AI9)</f>
        <v>0</v>
      </c>
      <c r="AP4" s="14">
        <f>+SUM(AP5:AP9)</f>
        <v>0</v>
      </c>
      <c r="AW4" s="14">
        <f>+SUM(AW5:AW9)</f>
        <v>0</v>
      </c>
      <c r="BD4" s="14">
        <f>+SUM(BD5:BD9)</f>
        <v>0</v>
      </c>
      <c r="BK4" s="14">
        <f>+SUM(BK5:BK9)</f>
        <v>0</v>
      </c>
      <c r="BR4" s="14">
        <f>+SUM(BR5:BR9)</f>
        <v>0</v>
      </c>
      <c r="BY4" s="14">
        <f>+SUM(BY5:BY9)</f>
        <v>0</v>
      </c>
      <c r="CF4" s="14">
        <f>+SUM(CF5:CF9)</f>
        <v>0</v>
      </c>
      <c r="CM4" s="14">
        <f>+SUM(CM5:CM9)</f>
        <v>0</v>
      </c>
      <c r="CT4" s="14">
        <f>+SUM(CT5:CT9)</f>
        <v>0</v>
      </c>
      <c r="DA4" s="14">
        <f>+SUM(DA5:DA9)</f>
        <v>0</v>
      </c>
      <c r="DH4" s="14">
        <f>+SUM(DH5:DH9)</f>
        <v>0</v>
      </c>
      <c r="DO4" s="14">
        <f>+SUM(DO5:DO9)</f>
        <v>0</v>
      </c>
      <c r="DV4" s="14">
        <f>+SUM(DV5:DV9)</f>
        <v>0</v>
      </c>
      <c r="EC4" s="14">
        <f>+SUM(EC5:EC9)</f>
        <v>0</v>
      </c>
    </row>
    <row r="5" spans="2:138" outlineLevel="1">
      <c r="B5" t="s">
        <v>28</v>
      </c>
      <c r="C5" t="s">
        <v>110</v>
      </c>
      <c r="E5" s="11"/>
      <c r="F5" t="s">
        <v>100</v>
      </c>
      <c r="G5" s="12">
        <v>0</v>
      </c>
      <c r="I5" s="11">
        <v>0</v>
      </c>
      <c r="J5" s="13">
        <f ca="1">MAX(IF(F$3:$N6=$J$3,N5:EH5))</f>
        <v>0</v>
      </c>
      <c r="K5" s="13">
        <v>0</v>
      </c>
      <c r="L5" s="11"/>
      <c r="N5">
        <v>0</v>
      </c>
      <c r="O5" s="12"/>
      <c r="P5" s="12">
        <v>0.3</v>
      </c>
      <c r="Q5" s="12"/>
      <c r="R5" s="12">
        <v>0.3</v>
      </c>
      <c r="V5" s="12"/>
      <c r="W5" s="12">
        <v>0.5</v>
      </c>
      <c r="X5" s="12"/>
      <c r="Y5" s="12">
        <v>0.5</v>
      </c>
      <c r="AC5" s="12"/>
      <c r="AD5" s="12">
        <v>0.5</v>
      </c>
      <c r="AE5" s="12"/>
      <c r="AF5" s="12">
        <v>0.5</v>
      </c>
      <c r="AJ5" s="12"/>
      <c r="AK5" s="12">
        <v>0.5</v>
      </c>
      <c r="AL5" s="12"/>
      <c r="AM5" s="12">
        <v>0.5</v>
      </c>
      <c r="AQ5" s="12"/>
      <c r="AR5" s="12">
        <v>0.5</v>
      </c>
      <c r="AS5" s="12"/>
      <c r="AT5" s="12">
        <v>0.5</v>
      </c>
      <c r="AX5" s="12"/>
      <c r="AY5" s="12">
        <v>0.8</v>
      </c>
      <c r="AZ5" s="12"/>
      <c r="BA5" s="12">
        <v>0.8</v>
      </c>
      <c r="BE5" s="12"/>
      <c r="BF5" s="12">
        <v>0.8</v>
      </c>
      <c r="BG5" s="12"/>
      <c r="BH5" s="12">
        <v>0.8</v>
      </c>
      <c r="BL5" s="12"/>
      <c r="BM5" s="12">
        <v>0.8</v>
      </c>
      <c r="BN5" s="12"/>
      <c r="BO5" s="12">
        <v>0.8</v>
      </c>
      <c r="BS5" s="12"/>
      <c r="BT5" s="12">
        <v>0.8</v>
      </c>
      <c r="BU5" s="12"/>
      <c r="BV5" s="12">
        <v>0.8</v>
      </c>
      <c r="BZ5" s="12"/>
      <c r="CA5" s="12">
        <v>1</v>
      </c>
      <c r="CB5" s="12"/>
      <c r="CC5" s="12">
        <v>1</v>
      </c>
      <c r="CG5" s="12"/>
      <c r="CH5" s="12">
        <v>1</v>
      </c>
      <c r="CI5" s="12"/>
      <c r="CJ5" s="12">
        <v>1</v>
      </c>
      <c r="CN5" s="12"/>
      <c r="CO5" s="12">
        <v>1</v>
      </c>
      <c r="CP5" s="12"/>
      <c r="CQ5" s="12">
        <v>1</v>
      </c>
      <c r="CU5" s="12"/>
      <c r="CV5" s="12">
        <v>1</v>
      </c>
      <c r="CW5" s="12"/>
      <c r="CX5" s="12">
        <v>1</v>
      </c>
      <c r="DB5" s="12"/>
      <c r="DC5" s="12">
        <v>1</v>
      </c>
      <c r="DD5" s="12"/>
      <c r="DE5" s="12">
        <v>1</v>
      </c>
      <c r="DI5" s="12"/>
      <c r="DJ5" s="12"/>
      <c r="DK5" s="12"/>
      <c r="DL5" s="12"/>
      <c r="DP5" s="12"/>
      <c r="DQ5" s="12"/>
      <c r="DR5" s="12"/>
      <c r="DS5" s="12"/>
      <c r="DW5" s="12"/>
      <c r="DX5" s="12"/>
      <c r="DY5" s="12"/>
      <c r="DZ5" s="12"/>
      <c r="ED5" s="12"/>
      <c r="EE5" s="12"/>
      <c r="EF5" s="12"/>
      <c r="EG5" s="12"/>
    </row>
    <row r="6" spans="2:138" outlineLevel="1">
      <c r="B6" t="s">
        <v>28</v>
      </c>
      <c r="C6" t="s">
        <v>110</v>
      </c>
      <c r="E6" s="11"/>
      <c r="F6" t="s">
        <v>101</v>
      </c>
      <c r="G6" s="12">
        <v>0</v>
      </c>
      <c r="I6" s="11">
        <v>0</v>
      </c>
      <c r="J6" s="13">
        <v>0</v>
      </c>
      <c r="K6" s="13">
        <v>0</v>
      </c>
      <c r="L6" s="11"/>
      <c r="N6">
        <v>0</v>
      </c>
      <c r="O6" s="12"/>
      <c r="P6" s="12">
        <v>0.3</v>
      </c>
      <c r="Q6" s="12"/>
      <c r="R6" s="12">
        <v>0.3</v>
      </c>
      <c r="V6" s="12"/>
      <c r="W6" s="12">
        <v>0.5</v>
      </c>
      <c r="X6" s="12"/>
      <c r="Y6" s="12">
        <v>0.5</v>
      </c>
      <c r="AC6" s="12"/>
      <c r="AD6" s="12">
        <v>0.5</v>
      </c>
      <c r="AE6" s="12"/>
      <c r="AF6" s="12">
        <v>0.5</v>
      </c>
      <c r="AJ6" s="12"/>
      <c r="AK6" s="12">
        <v>0.5</v>
      </c>
      <c r="AL6" s="12"/>
      <c r="AM6" s="12">
        <v>0.5</v>
      </c>
      <c r="AQ6" s="12"/>
      <c r="AR6" s="12">
        <v>0.5</v>
      </c>
      <c r="AS6" s="12"/>
      <c r="AT6" s="12">
        <v>0.5</v>
      </c>
      <c r="AX6" s="12"/>
      <c r="AY6" s="12">
        <v>0.8</v>
      </c>
      <c r="AZ6" s="12"/>
      <c r="BA6" s="12">
        <v>0.8</v>
      </c>
      <c r="BE6" s="12"/>
      <c r="BF6" s="12">
        <v>0.8</v>
      </c>
      <c r="BG6" s="12"/>
      <c r="BH6" s="12">
        <v>0.8</v>
      </c>
      <c r="BL6" s="12"/>
      <c r="BM6" s="12">
        <v>0.8</v>
      </c>
      <c r="BN6" s="12"/>
      <c r="BO6" s="12">
        <v>0.8</v>
      </c>
      <c r="BS6" s="12"/>
      <c r="BT6" s="12">
        <v>0.8</v>
      </c>
      <c r="BU6" s="12"/>
      <c r="BV6" s="12">
        <v>0.8</v>
      </c>
      <c r="BZ6" s="12"/>
      <c r="CA6" s="12">
        <v>0.8</v>
      </c>
      <c r="CB6" s="12"/>
      <c r="CC6" s="12">
        <v>0.8</v>
      </c>
      <c r="CG6" s="12"/>
      <c r="CH6" s="12">
        <v>1</v>
      </c>
      <c r="CI6" s="12"/>
      <c r="CJ6" s="12">
        <v>1</v>
      </c>
      <c r="CN6" s="12"/>
      <c r="CO6" s="12">
        <v>1</v>
      </c>
      <c r="CP6" s="12"/>
      <c r="CQ6" s="12">
        <v>1</v>
      </c>
      <c r="CU6" s="12"/>
      <c r="CV6" s="12">
        <v>1</v>
      </c>
      <c r="CW6" s="12"/>
      <c r="CX6" s="12">
        <v>1</v>
      </c>
      <c r="DB6" s="12"/>
      <c r="DC6" s="12">
        <v>1</v>
      </c>
      <c r="DD6" s="12"/>
      <c r="DE6" s="12">
        <v>1</v>
      </c>
      <c r="DI6" s="12"/>
      <c r="DJ6" s="12"/>
      <c r="DK6" s="12"/>
      <c r="DL6" s="12"/>
      <c r="DP6" s="12"/>
      <c r="DQ6" s="12"/>
      <c r="DR6" s="12"/>
      <c r="DS6" s="12"/>
      <c r="DW6" s="12"/>
      <c r="DX6" s="12"/>
      <c r="DY6" s="12"/>
      <c r="DZ6" s="12"/>
      <c r="ED6" s="12"/>
      <c r="EE6" s="12"/>
      <c r="EF6" s="12"/>
      <c r="EG6" s="12"/>
    </row>
    <row r="7" spans="2:138" outlineLevel="1">
      <c r="B7" t="s">
        <v>28</v>
      </c>
      <c r="C7" t="s">
        <v>110</v>
      </c>
      <c r="E7" s="11"/>
      <c r="F7" t="s">
        <v>102</v>
      </c>
      <c r="G7" s="12">
        <v>0</v>
      </c>
      <c r="I7" s="11">
        <v>0</v>
      </c>
      <c r="J7" s="13">
        <v>0</v>
      </c>
      <c r="K7" s="13">
        <v>0</v>
      </c>
      <c r="L7" s="11"/>
      <c r="N7">
        <v>0</v>
      </c>
      <c r="O7" s="12"/>
      <c r="P7" s="12">
        <v>0.3</v>
      </c>
      <c r="Q7" s="12"/>
      <c r="R7" s="12">
        <v>0.3</v>
      </c>
      <c r="V7" s="12"/>
      <c r="W7" s="12">
        <v>0.3</v>
      </c>
      <c r="X7" s="12"/>
      <c r="Y7" s="12">
        <v>0.3</v>
      </c>
      <c r="AC7" s="12"/>
      <c r="AD7" s="12">
        <v>0.5</v>
      </c>
      <c r="AE7" s="12"/>
      <c r="AF7" s="12">
        <v>0.5</v>
      </c>
      <c r="AJ7" s="12"/>
      <c r="AK7" s="12">
        <v>0.5</v>
      </c>
      <c r="AL7" s="12"/>
      <c r="AM7" s="12">
        <v>0.5</v>
      </c>
      <c r="AQ7" s="12"/>
      <c r="AR7" s="12">
        <v>0.5</v>
      </c>
      <c r="AS7" s="12"/>
      <c r="AT7" s="12">
        <v>0.5</v>
      </c>
      <c r="AX7" s="12"/>
      <c r="AY7" s="12">
        <v>0.5</v>
      </c>
      <c r="AZ7" s="12"/>
      <c r="BA7" s="12">
        <v>0.5</v>
      </c>
      <c r="BE7" s="12"/>
      <c r="BF7" s="12">
        <v>0.8</v>
      </c>
      <c r="BG7" s="12"/>
      <c r="BH7" s="12">
        <v>0.8</v>
      </c>
      <c r="BL7" s="12"/>
      <c r="BM7" s="12">
        <v>0.8</v>
      </c>
      <c r="BN7" s="12"/>
      <c r="BO7" s="12">
        <v>0.8</v>
      </c>
      <c r="BS7" s="12"/>
      <c r="BT7" s="12">
        <v>0.8</v>
      </c>
      <c r="BU7" s="12"/>
      <c r="BV7" s="12">
        <v>0.8</v>
      </c>
      <c r="BZ7" s="12"/>
      <c r="CA7" s="12">
        <v>0.8</v>
      </c>
      <c r="CB7" s="12"/>
      <c r="CC7" s="12">
        <v>0.8</v>
      </c>
      <c r="CG7" s="12"/>
      <c r="CH7" s="12">
        <v>0.8</v>
      </c>
      <c r="CI7" s="12"/>
      <c r="CJ7" s="12">
        <v>0.8</v>
      </c>
      <c r="CN7" s="12"/>
      <c r="CO7" s="12">
        <v>1</v>
      </c>
      <c r="CP7" s="12"/>
      <c r="CQ7" s="12">
        <v>1</v>
      </c>
      <c r="CU7" s="12"/>
      <c r="CV7" s="12">
        <v>1</v>
      </c>
      <c r="CW7" s="12"/>
      <c r="CX7" s="12">
        <v>1</v>
      </c>
      <c r="DB7" s="12"/>
      <c r="DC7" s="12">
        <v>1</v>
      </c>
      <c r="DD7" s="12"/>
      <c r="DE7" s="12">
        <v>1</v>
      </c>
      <c r="DI7" s="12"/>
      <c r="DJ7" s="12"/>
      <c r="DK7" s="12"/>
      <c r="DL7" s="12"/>
      <c r="DP7" s="12"/>
      <c r="DQ7" s="12"/>
      <c r="DR7" s="12"/>
      <c r="DS7" s="12"/>
      <c r="DW7" s="12"/>
      <c r="DX7" s="12"/>
      <c r="DY7" s="12"/>
      <c r="DZ7" s="12"/>
      <c r="ED7" s="12"/>
      <c r="EE7" s="12"/>
      <c r="EF7" s="12"/>
      <c r="EG7" s="12"/>
    </row>
    <row r="8" spans="2:138" outlineLevel="1">
      <c r="B8" t="s">
        <v>28</v>
      </c>
      <c r="C8" t="s">
        <v>110</v>
      </c>
      <c r="E8" s="11"/>
      <c r="F8" t="s">
        <v>103</v>
      </c>
      <c r="G8" s="12">
        <v>0</v>
      </c>
      <c r="I8" s="11">
        <v>0</v>
      </c>
      <c r="J8" s="13">
        <v>0</v>
      </c>
      <c r="K8" s="13">
        <v>0</v>
      </c>
      <c r="L8" s="11"/>
      <c r="N8">
        <v>0</v>
      </c>
      <c r="O8" s="12"/>
      <c r="P8" s="12">
        <v>0.3</v>
      </c>
      <c r="Q8" s="12"/>
      <c r="R8" s="12">
        <v>0.3</v>
      </c>
      <c r="V8" s="12"/>
      <c r="W8" s="12">
        <v>0.3</v>
      </c>
      <c r="X8" s="12"/>
      <c r="Y8" s="12">
        <v>0.3</v>
      </c>
      <c r="AC8" s="12"/>
      <c r="AD8" s="12">
        <v>0.3</v>
      </c>
      <c r="AE8" s="12"/>
      <c r="AF8" s="12">
        <v>0.3</v>
      </c>
      <c r="AJ8" s="12"/>
      <c r="AK8" s="12">
        <v>0.5</v>
      </c>
      <c r="AL8" s="12"/>
      <c r="AM8" s="12">
        <v>0.5</v>
      </c>
      <c r="AQ8" s="12"/>
      <c r="AR8" s="12">
        <v>0.5</v>
      </c>
      <c r="AS8" s="12"/>
      <c r="AT8" s="12">
        <v>0.5</v>
      </c>
      <c r="AX8" s="12"/>
      <c r="AY8" s="12">
        <v>0.5</v>
      </c>
      <c r="AZ8" s="12"/>
      <c r="BA8" s="12">
        <v>0.5</v>
      </c>
      <c r="BE8" s="12"/>
      <c r="BF8" s="12">
        <v>0.5</v>
      </c>
      <c r="BG8" s="12"/>
      <c r="BH8" s="12">
        <v>0.5</v>
      </c>
      <c r="BL8" s="12"/>
      <c r="BM8" s="12">
        <v>0.8</v>
      </c>
      <c r="BN8" s="12"/>
      <c r="BO8" s="12">
        <v>0.8</v>
      </c>
      <c r="BS8" s="12"/>
      <c r="BT8" s="12">
        <v>0.8</v>
      </c>
      <c r="BU8" s="12"/>
      <c r="BV8" s="12">
        <v>0.8</v>
      </c>
      <c r="BZ8" s="12"/>
      <c r="CA8" s="12">
        <v>0.8</v>
      </c>
      <c r="CB8" s="12"/>
      <c r="CC8" s="12">
        <v>0.8</v>
      </c>
      <c r="CG8" s="12"/>
      <c r="CH8" s="12">
        <v>0.8</v>
      </c>
      <c r="CI8" s="12"/>
      <c r="CJ8" s="12">
        <v>0.8</v>
      </c>
      <c r="CN8" s="12"/>
      <c r="CO8" s="12">
        <v>0.8</v>
      </c>
      <c r="CP8" s="12"/>
      <c r="CQ8" s="12">
        <v>0.8</v>
      </c>
      <c r="CU8" s="12"/>
      <c r="CV8" s="12">
        <v>1</v>
      </c>
      <c r="CW8" s="12"/>
      <c r="CX8" s="12">
        <v>1</v>
      </c>
      <c r="DB8" s="12"/>
      <c r="DC8" s="12">
        <v>1</v>
      </c>
      <c r="DD8" s="12"/>
      <c r="DE8" s="12">
        <v>1</v>
      </c>
      <c r="DI8" s="12"/>
      <c r="DJ8" s="12"/>
      <c r="DK8" s="12"/>
      <c r="DL8" s="12"/>
      <c r="DP8" s="12"/>
      <c r="DQ8" s="12"/>
      <c r="DR8" s="12"/>
      <c r="DS8" s="12"/>
      <c r="DW8" s="12"/>
      <c r="DX8" s="12"/>
      <c r="DY8" s="12"/>
      <c r="DZ8" s="12"/>
      <c r="ED8" s="12"/>
      <c r="EE8" s="12"/>
      <c r="EF8" s="12"/>
      <c r="EG8" s="12"/>
    </row>
    <row r="9" spans="2:138" outlineLevel="1">
      <c r="B9" t="s">
        <v>28</v>
      </c>
      <c r="C9" t="s">
        <v>110</v>
      </c>
      <c r="E9" s="11"/>
      <c r="F9" t="s">
        <v>104</v>
      </c>
      <c r="G9" s="12">
        <v>0</v>
      </c>
      <c r="I9" s="11">
        <f>+SUMIF($N$3:$ZZ$3,I$3,$N9:$ZZ9)</f>
        <v>0</v>
      </c>
      <c r="J9" s="13" cm="1">
        <f t="array" ref="J9">MAX(IF($N$3:$EH$3=$J$3,N9:EH9))</f>
        <v>0</v>
      </c>
      <c r="K9" s="13" cm="1">
        <f t="array" ref="K9">MAX(IF($N$3:$EH$3=$J$3,N9:EH9))</f>
        <v>0</v>
      </c>
      <c r="L9" s="11"/>
      <c r="O9" s="12"/>
      <c r="P9" s="12">
        <v>0.3</v>
      </c>
      <c r="Q9" s="12"/>
      <c r="R9" s="12">
        <v>0.3</v>
      </c>
      <c r="V9" s="12"/>
      <c r="W9" s="12">
        <v>0.3</v>
      </c>
      <c r="X9" s="12"/>
      <c r="Y9" s="12">
        <v>0.3</v>
      </c>
      <c r="AC9" s="12"/>
      <c r="AD9" s="12">
        <v>0.3</v>
      </c>
      <c r="AE9" s="12"/>
      <c r="AF9" s="12">
        <v>0.3</v>
      </c>
      <c r="AJ9" s="12"/>
      <c r="AK9" s="12">
        <v>0.3</v>
      </c>
      <c r="AL9" s="12"/>
      <c r="AM9" s="12">
        <v>0.3</v>
      </c>
      <c r="AQ9" s="12"/>
      <c r="AR9" s="12">
        <v>0.5</v>
      </c>
      <c r="AS9" s="12"/>
      <c r="AT9" s="12">
        <v>0.5</v>
      </c>
      <c r="AX9" s="12"/>
      <c r="AY9" s="12">
        <v>0.5</v>
      </c>
      <c r="AZ9" s="12"/>
      <c r="BA9" s="12">
        <v>0.5</v>
      </c>
      <c r="BE9" s="12"/>
      <c r="BF9" s="12">
        <v>0.5</v>
      </c>
      <c r="BG9" s="12"/>
      <c r="BH9" s="12">
        <v>0.5</v>
      </c>
      <c r="BL9" s="12"/>
      <c r="BM9" s="12">
        <v>0.5</v>
      </c>
      <c r="BN9" s="12"/>
      <c r="BO9" s="12">
        <v>0.5</v>
      </c>
      <c r="BS9" s="12"/>
      <c r="BT9" s="12">
        <v>0.8</v>
      </c>
      <c r="BU9" s="12"/>
      <c r="BV9" s="12">
        <v>0.8</v>
      </c>
      <c r="BZ9" s="12"/>
      <c r="CA9" s="12">
        <v>0.8</v>
      </c>
      <c r="CB9" s="12"/>
      <c r="CC9" s="12">
        <v>0.8</v>
      </c>
      <c r="CG9" s="12"/>
      <c r="CH9" s="12">
        <v>0.8</v>
      </c>
      <c r="CI9" s="12"/>
      <c r="CJ9" s="12">
        <v>0.8</v>
      </c>
      <c r="CN9" s="12"/>
      <c r="CO9" s="12">
        <v>0.8</v>
      </c>
      <c r="CP9" s="12"/>
      <c r="CQ9" s="12">
        <v>0.8</v>
      </c>
      <c r="CU9" s="12"/>
      <c r="CV9" s="12">
        <v>0.8</v>
      </c>
      <c r="CW9" s="12"/>
      <c r="CX9" s="12">
        <v>0.8</v>
      </c>
      <c r="DB9" s="12"/>
      <c r="DC9" s="12">
        <v>1</v>
      </c>
      <c r="DD9" s="12"/>
      <c r="DE9" s="12">
        <v>1</v>
      </c>
      <c r="DI9" s="12"/>
      <c r="DJ9" s="12"/>
      <c r="DK9" s="12"/>
      <c r="DL9" s="12"/>
      <c r="DP9" s="12"/>
      <c r="DQ9" s="12"/>
      <c r="DR9" s="12"/>
      <c r="DS9" s="12"/>
      <c r="DW9" s="12"/>
      <c r="DX9" s="12"/>
      <c r="DY9" s="12"/>
      <c r="DZ9" s="12"/>
      <c r="ED9" s="12"/>
      <c r="EE9" s="12"/>
      <c r="EF9" s="12"/>
      <c r="EG9" s="12"/>
    </row>
    <row r="10" spans="2:138">
      <c r="O10" s="9"/>
      <c r="V10" s="9"/>
      <c r="AC10" s="9"/>
      <c r="AJ10" s="9"/>
      <c r="AQ10" s="9"/>
      <c r="AX10" s="9"/>
      <c r="BE10" s="9"/>
      <c r="BL10" s="9"/>
      <c r="BS10" s="9"/>
      <c r="BZ10" s="9"/>
      <c r="CG10" s="9"/>
      <c r="CN10" s="9"/>
      <c r="CU10" s="9"/>
      <c r="DB10" s="9"/>
      <c r="DI10" s="9"/>
      <c r="DP10" s="9"/>
      <c r="DW10" s="9"/>
      <c r="ED10" s="9"/>
    </row>
    <row r="11" spans="2:138">
      <c r="B11" t="s">
        <v>27</v>
      </c>
      <c r="C11" t="s">
        <v>87</v>
      </c>
      <c r="D11" s="22">
        <v>44967</v>
      </c>
      <c r="E11" s="11">
        <v>3</v>
      </c>
      <c r="G11" s="12">
        <v>0</v>
      </c>
      <c r="I11" s="14">
        <v>0</v>
      </c>
      <c r="J11" s="13">
        <f>+SUMPRODUCT(G12:G18,J12:J18)</f>
        <v>0</v>
      </c>
      <c r="K11" s="13">
        <f>+SUMPRODUCT(G12:G18,K12:K18)</f>
        <v>0</v>
      </c>
      <c r="L11" s="11"/>
      <c r="N11" s="14">
        <v>4</v>
      </c>
      <c r="U11" s="14">
        <f>+SUM(U12:U18)</f>
        <v>0</v>
      </c>
      <c r="AB11" s="14">
        <f>+SUM(AB12:AB18)</f>
        <v>0</v>
      </c>
      <c r="AI11" s="14">
        <f>+SUM(AI12:AI18)</f>
        <v>0</v>
      </c>
      <c r="AP11" s="14">
        <f>+SUM(AP12:AP18)</f>
        <v>0</v>
      </c>
    </row>
    <row r="12" spans="2:138" outlineLevel="1">
      <c r="B12" t="s">
        <v>28</v>
      </c>
      <c r="C12" t="s">
        <v>87</v>
      </c>
      <c r="E12" s="11"/>
      <c r="F12" t="s">
        <v>88</v>
      </c>
      <c r="G12" s="12">
        <v>0</v>
      </c>
      <c r="I12" s="11">
        <v>0</v>
      </c>
      <c r="J12" s="13">
        <v>0</v>
      </c>
      <c r="K12" s="13">
        <v>0</v>
      </c>
      <c r="L12" s="11"/>
      <c r="N12">
        <v>0</v>
      </c>
      <c r="O12" s="12"/>
      <c r="P12" s="12">
        <v>0.3</v>
      </c>
      <c r="Q12" s="12"/>
      <c r="R12" s="12">
        <v>0.3</v>
      </c>
      <c r="V12" s="12"/>
      <c r="W12" s="12">
        <v>0.5</v>
      </c>
      <c r="X12" s="12"/>
      <c r="Y12" s="12">
        <v>0.5</v>
      </c>
      <c r="AC12" s="12"/>
      <c r="AD12" s="12">
        <v>0.5</v>
      </c>
      <c r="AE12" s="12"/>
      <c r="AF12" s="12">
        <v>0.5</v>
      </c>
      <c r="AJ12" s="12"/>
      <c r="AK12" s="12">
        <v>0.5</v>
      </c>
      <c r="AL12" s="12"/>
      <c r="AM12" s="12">
        <v>0.5</v>
      </c>
      <c r="AQ12" s="12"/>
      <c r="AR12" s="12">
        <v>0.5</v>
      </c>
      <c r="AS12" s="12"/>
      <c r="AT12" s="12">
        <v>0.5</v>
      </c>
      <c r="AX12" s="12"/>
      <c r="AY12" s="12">
        <v>0.8</v>
      </c>
      <c r="AZ12" s="12"/>
      <c r="BA12" s="12">
        <v>0.8</v>
      </c>
      <c r="BE12" s="12"/>
      <c r="BF12" s="12">
        <v>0.8</v>
      </c>
      <c r="BG12" s="12"/>
      <c r="BH12" s="12">
        <v>0.8</v>
      </c>
      <c r="BL12" s="12"/>
      <c r="BM12" s="12">
        <v>0.8</v>
      </c>
      <c r="BN12" s="12"/>
      <c r="BO12" s="12">
        <v>0.8</v>
      </c>
      <c r="BS12" s="12"/>
      <c r="BT12" s="12">
        <v>0.8</v>
      </c>
      <c r="BU12" s="12"/>
      <c r="BV12" s="12">
        <v>0.8</v>
      </c>
      <c r="BZ12" s="12"/>
      <c r="CA12" s="12">
        <v>1</v>
      </c>
      <c r="CB12" s="12"/>
      <c r="CC12" s="12">
        <v>1</v>
      </c>
      <c r="CG12" s="12"/>
      <c r="CH12" s="12">
        <v>1</v>
      </c>
      <c r="CI12" s="12"/>
      <c r="CJ12" s="12">
        <v>1</v>
      </c>
      <c r="CN12" s="12"/>
      <c r="CO12" s="12">
        <v>1</v>
      </c>
      <c r="CP12" s="12"/>
      <c r="CQ12" s="12">
        <v>1</v>
      </c>
      <c r="CU12" s="12"/>
      <c r="CV12" s="12">
        <v>1</v>
      </c>
      <c r="CW12" s="12"/>
      <c r="CX12" s="12">
        <v>1</v>
      </c>
      <c r="DB12" s="12"/>
      <c r="DC12" s="12">
        <v>1</v>
      </c>
      <c r="DD12" s="12"/>
      <c r="DE12" s="12">
        <v>1</v>
      </c>
      <c r="DI12" s="12"/>
      <c r="DJ12" s="12"/>
      <c r="DK12" s="12"/>
      <c r="DL12" s="12"/>
      <c r="DP12" s="12"/>
      <c r="DQ12" s="12"/>
      <c r="DR12" s="12"/>
      <c r="DS12" s="12"/>
      <c r="DW12" s="12"/>
      <c r="DX12" s="12"/>
      <c r="DY12" s="12"/>
      <c r="DZ12" s="12"/>
      <c r="ED12" s="12"/>
      <c r="EE12" s="12"/>
      <c r="EF12" s="12"/>
      <c r="EG12" s="12"/>
    </row>
    <row r="13" spans="2:138" outlineLevel="1">
      <c r="B13" t="s">
        <v>28</v>
      </c>
      <c r="C13" t="s">
        <v>87</v>
      </c>
      <c r="E13" s="11"/>
      <c r="F13" t="s">
        <v>89</v>
      </c>
      <c r="G13" s="12">
        <v>0</v>
      </c>
      <c r="I13" s="11">
        <v>0</v>
      </c>
      <c r="J13" s="13">
        <v>0</v>
      </c>
      <c r="K13" s="13">
        <v>0</v>
      </c>
      <c r="L13" s="11"/>
      <c r="N13">
        <v>0</v>
      </c>
      <c r="O13" s="12"/>
      <c r="P13" s="12">
        <v>0.3</v>
      </c>
      <c r="Q13" s="12"/>
      <c r="R13" s="12">
        <v>0.3</v>
      </c>
      <c r="V13" s="12"/>
      <c r="W13" s="12">
        <v>0.5</v>
      </c>
      <c r="X13" s="12"/>
      <c r="Y13" s="12">
        <v>0.5</v>
      </c>
      <c r="AC13" s="12"/>
      <c r="AD13" s="12">
        <v>0.5</v>
      </c>
      <c r="AE13" s="12"/>
      <c r="AF13" s="12">
        <v>0.5</v>
      </c>
      <c r="AJ13" s="12"/>
      <c r="AK13" s="12">
        <v>0.5</v>
      </c>
      <c r="AL13" s="12"/>
      <c r="AM13" s="12">
        <v>0.5</v>
      </c>
      <c r="AQ13" s="12"/>
      <c r="AR13" s="12">
        <v>0.5</v>
      </c>
      <c r="AS13" s="12"/>
      <c r="AT13" s="12">
        <v>0.5</v>
      </c>
      <c r="AX13" s="12"/>
      <c r="AY13" s="12">
        <v>0.8</v>
      </c>
      <c r="AZ13" s="12"/>
      <c r="BA13" s="12">
        <v>0.8</v>
      </c>
      <c r="BE13" s="12"/>
      <c r="BF13" s="12">
        <v>0.8</v>
      </c>
      <c r="BG13" s="12"/>
      <c r="BH13" s="12">
        <v>0.8</v>
      </c>
      <c r="BL13" s="12"/>
      <c r="BM13" s="12">
        <v>0.8</v>
      </c>
      <c r="BN13" s="12"/>
      <c r="BO13" s="12">
        <v>0.8</v>
      </c>
      <c r="BS13" s="12"/>
      <c r="BT13" s="12">
        <v>0.8</v>
      </c>
      <c r="BU13" s="12"/>
      <c r="BV13" s="12">
        <v>0.8</v>
      </c>
      <c r="BZ13" s="12"/>
      <c r="CA13" s="12">
        <v>1</v>
      </c>
      <c r="CB13" s="12"/>
      <c r="CC13" s="12">
        <v>1</v>
      </c>
      <c r="CG13" s="12"/>
      <c r="CH13" s="12">
        <v>1</v>
      </c>
      <c r="CI13" s="12"/>
      <c r="CJ13" s="12">
        <v>1</v>
      </c>
      <c r="CN13" s="12"/>
      <c r="CO13" s="12">
        <v>1</v>
      </c>
      <c r="CP13" s="12"/>
      <c r="CQ13" s="12">
        <v>1</v>
      </c>
      <c r="CU13" s="12"/>
      <c r="CV13" s="12">
        <v>1</v>
      </c>
      <c r="CW13" s="12"/>
      <c r="CX13" s="12">
        <v>1</v>
      </c>
      <c r="DB13" s="12"/>
      <c r="DC13" s="12">
        <v>1</v>
      </c>
      <c r="DD13" s="12"/>
      <c r="DE13" s="12">
        <v>1</v>
      </c>
      <c r="DI13" s="12"/>
      <c r="DJ13" s="12"/>
      <c r="DK13" s="12"/>
      <c r="DL13" s="12"/>
      <c r="DP13" s="12"/>
      <c r="DQ13" s="12"/>
      <c r="DR13" s="12"/>
      <c r="DS13" s="12"/>
      <c r="DW13" s="12"/>
      <c r="DX13" s="12"/>
      <c r="DY13" s="12"/>
      <c r="DZ13" s="12"/>
      <c r="ED13" s="12"/>
      <c r="EE13" s="12"/>
      <c r="EF13" s="12"/>
      <c r="EG13" s="12"/>
    </row>
    <row r="14" spans="2:138" outlineLevel="1">
      <c r="B14" t="s">
        <v>28</v>
      </c>
      <c r="C14" t="s">
        <v>87</v>
      </c>
      <c r="E14" s="11"/>
      <c r="F14" t="s">
        <v>90</v>
      </c>
      <c r="G14" s="12">
        <v>0</v>
      </c>
      <c r="I14" s="11">
        <f t="shared" ref="I12:I18" si="0">+SUMIF($N$3:$ZZ$3,I$3,$N14:$ZZ14)</f>
        <v>0</v>
      </c>
      <c r="J14" s="13" cm="1">
        <f t="array" ref="J14">MAX(IF($N$3:$EH$3=$J$3,N14:EH14))</f>
        <v>0</v>
      </c>
      <c r="K14" s="13" cm="1">
        <f t="array" ref="K14">MAX(IF($N$3:$EH$3=$J$3,N14:EH14))</f>
        <v>0</v>
      </c>
      <c r="L14" s="11"/>
      <c r="O14" s="12"/>
      <c r="P14" s="12">
        <v>0.3</v>
      </c>
      <c r="Q14" s="12"/>
      <c r="R14" s="12">
        <v>0.3</v>
      </c>
      <c r="V14" s="12"/>
      <c r="W14" s="12">
        <v>0.3</v>
      </c>
      <c r="X14" s="12"/>
      <c r="Y14" s="12">
        <v>0.3</v>
      </c>
      <c r="AC14" s="12"/>
      <c r="AD14" s="12">
        <v>0.5</v>
      </c>
      <c r="AE14" s="12"/>
      <c r="AF14" s="12">
        <v>0.5</v>
      </c>
      <c r="AJ14" s="12"/>
      <c r="AK14" s="12">
        <v>0.5</v>
      </c>
      <c r="AL14" s="12"/>
      <c r="AM14" s="12">
        <v>0.5</v>
      </c>
      <c r="AQ14" s="12"/>
      <c r="AR14" s="12">
        <v>0.5</v>
      </c>
      <c r="AS14" s="12"/>
      <c r="AT14" s="12">
        <v>0.5</v>
      </c>
      <c r="AX14" s="12"/>
      <c r="AY14" s="12">
        <v>0.5</v>
      </c>
      <c r="AZ14" s="12"/>
      <c r="BA14" s="12">
        <v>0.5</v>
      </c>
      <c r="BE14" s="12"/>
      <c r="BF14" s="12">
        <v>0.8</v>
      </c>
      <c r="BG14" s="12"/>
      <c r="BH14" s="12">
        <v>0.8</v>
      </c>
      <c r="BL14" s="12"/>
      <c r="BM14" s="12">
        <v>0.8</v>
      </c>
      <c r="BN14" s="12"/>
      <c r="BO14" s="12">
        <v>0.8</v>
      </c>
      <c r="BS14" s="12"/>
      <c r="BT14" s="12">
        <v>0.8</v>
      </c>
      <c r="BU14" s="12"/>
      <c r="BV14" s="12">
        <v>0.8</v>
      </c>
      <c r="BZ14" s="12"/>
      <c r="CA14" s="12">
        <v>0.8</v>
      </c>
      <c r="CB14" s="12"/>
      <c r="CC14" s="12">
        <v>0.8</v>
      </c>
      <c r="CG14" s="12"/>
      <c r="CH14" s="12">
        <v>1</v>
      </c>
      <c r="CI14" s="12"/>
      <c r="CJ14" s="12">
        <v>1</v>
      </c>
      <c r="CN14" s="12"/>
      <c r="CO14" s="12">
        <v>1</v>
      </c>
      <c r="CP14" s="12"/>
      <c r="CQ14" s="12">
        <v>1</v>
      </c>
      <c r="CU14" s="12"/>
      <c r="CV14" s="12">
        <v>1</v>
      </c>
      <c r="CW14" s="12"/>
      <c r="CX14" s="12">
        <v>1</v>
      </c>
      <c r="DB14" s="12"/>
      <c r="DC14" s="12">
        <v>1</v>
      </c>
      <c r="DD14" s="12"/>
      <c r="DE14" s="12">
        <v>1</v>
      </c>
      <c r="DI14" s="12"/>
      <c r="DJ14" s="12"/>
      <c r="DK14" s="12"/>
      <c r="DL14" s="12"/>
      <c r="DP14" s="12"/>
      <c r="DQ14" s="12"/>
      <c r="DR14" s="12"/>
      <c r="DS14" s="12"/>
      <c r="DW14" s="12"/>
      <c r="DX14" s="12"/>
      <c r="DY14" s="12"/>
      <c r="DZ14" s="12"/>
      <c r="ED14" s="12"/>
      <c r="EE14" s="12"/>
      <c r="EF14" s="12"/>
      <c r="EG14" s="12"/>
    </row>
    <row r="15" spans="2:138" outlineLevel="1">
      <c r="B15" t="s">
        <v>28</v>
      </c>
      <c r="C15" t="s">
        <v>87</v>
      </c>
      <c r="E15" s="11"/>
      <c r="F15" t="s">
        <v>91</v>
      </c>
      <c r="G15" s="12">
        <v>0</v>
      </c>
      <c r="I15" s="11">
        <f t="shared" si="0"/>
        <v>0</v>
      </c>
      <c r="J15" s="13" cm="1">
        <f t="array" ref="J15">MAX(IF($N$3:$EH$3=$J$3,N15:EH15))</f>
        <v>0</v>
      </c>
      <c r="K15" s="13" cm="1">
        <f t="array" ref="K15">MAX(IF($N$3:$EH$3=$J$3,N15:EH15))</f>
        <v>0</v>
      </c>
      <c r="L15" s="11"/>
      <c r="O15" s="12"/>
      <c r="P15" s="12">
        <v>0.3</v>
      </c>
      <c r="Q15" s="12"/>
      <c r="R15" s="12">
        <v>0.3</v>
      </c>
      <c r="V15" s="12"/>
      <c r="W15" s="12">
        <v>0.3</v>
      </c>
      <c r="X15" s="12"/>
      <c r="Y15" s="12">
        <v>0.3</v>
      </c>
      <c r="AC15" s="12"/>
      <c r="AD15" s="12">
        <v>0.3</v>
      </c>
      <c r="AE15" s="12"/>
      <c r="AF15" s="12">
        <v>0.5</v>
      </c>
      <c r="AJ15" s="12"/>
      <c r="AK15" s="12">
        <v>0.5</v>
      </c>
      <c r="AL15" s="12"/>
      <c r="AM15" s="12">
        <v>0.5</v>
      </c>
      <c r="AQ15" s="12"/>
      <c r="AR15" s="12">
        <v>0.5</v>
      </c>
      <c r="AS15" s="12"/>
      <c r="AT15" s="12">
        <v>0.5</v>
      </c>
      <c r="AX15" s="12"/>
      <c r="AY15" s="12">
        <v>0.5</v>
      </c>
      <c r="AZ15" s="12"/>
      <c r="BA15" s="12">
        <v>0.5</v>
      </c>
      <c r="BE15" s="12"/>
      <c r="BF15" s="12">
        <v>0.8</v>
      </c>
      <c r="BG15" s="12"/>
      <c r="BH15" s="12">
        <v>0.8</v>
      </c>
      <c r="BL15" s="12"/>
      <c r="BM15" s="12">
        <v>0.8</v>
      </c>
      <c r="BN15" s="12"/>
      <c r="BO15" s="12">
        <v>0.8</v>
      </c>
      <c r="BS15" s="12"/>
      <c r="BT15" s="12">
        <v>0.8</v>
      </c>
      <c r="BU15" s="12"/>
      <c r="BV15" s="12">
        <v>0.8</v>
      </c>
      <c r="BZ15" s="12"/>
      <c r="CA15" s="12">
        <v>0.8</v>
      </c>
      <c r="CB15" s="12"/>
      <c r="CC15" s="12">
        <v>0.8</v>
      </c>
      <c r="CG15" s="12"/>
      <c r="CH15" s="12">
        <v>1</v>
      </c>
      <c r="CI15" s="12"/>
      <c r="CJ15" s="12">
        <v>1</v>
      </c>
      <c r="CN15" s="12"/>
      <c r="CO15" s="12">
        <v>1</v>
      </c>
      <c r="CP15" s="12"/>
      <c r="CQ15" s="12">
        <v>1</v>
      </c>
      <c r="CU15" s="12"/>
      <c r="CV15" s="12">
        <v>1</v>
      </c>
      <c r="CW15" s="12"/>
      <c r="CX15" s="12">
        <v>1</v>
      </c>
      <c r="DB15" s="12"/>
      <c r="DC15" s="12">
        <v>1</v>
      </c>
      <c r="DD15" s="12"/>
      <c r="DE15" s="12">
        <v>1</v>
      </c>
      <c r="DI15" s="12"/>
      <c r="DJ15" s="12"/>
      <c r="DK15" s="12"/>
      <c r="DL15" s="12"/>
      <c r="DP15" s="12"/>
      <c r="DQ15" s="12"/>
      <c r="DR15" s="12"/>
      <c r="DS15" s="12"/>
      <c r="DW15" s="12"/>
      <c r="DX15" s="12"/>
      <c r="DY15" s="12"/>
      <c r="DZ15" s="12"/>
      <c r="ED15" s="12"/>
      <c r="EE15" s="12"/>
      <c r="EF15" s="12"/>
      <c r="EG15" s="12"/>
    </row>
    <row r="16" spans="2:138" outlineLevel="1">
      <c r="B16" t="s">
        <v>28</v>
      </c>
      <c r="C16" t="s">
        <v>87</v>
      </c>
      <c r="E16" s="11"/>
      <c r="F16" t="s">
        <v>92</v>
      </c>
      <c r="G16" s="12">
        <v>0</v>
      </c>
      <c r="I16" s="11">
        <f t="shared" si="0"/>
        <v>0</v>
      </c>
      <c r="J16" s="13" cm="1">
        <f t="array" ref="J16">MAX(IF($N$3:$EH$3=$J$3,N16:EH16))</f>
        <v>0</v>
      </c>
      <c r="K16" s="13" cm="1">
        <f t="array" ref="K16">MAX(IF($N$3:$EH$3=$J$3,N16:EH16))</f>
        <v>0</v>
      </c>
      <c r="L16" s="11"/>
      <c r="O16" s="12"/>
      <c r="P16" s="12">
        <v>0.3</v>
      </c>
      <c r="Q16" s="12"/>
      <c r="R16" s="12">
        <v>0.3</v>
      </c>
      <c r="V16" s="12"/>
      <c r="W16" s="12">
        <v>0.3</v>
      </c>
      <c r="X16" s="12"/>
      <c r="Y16" s="12">
        <v>0.3</v>
      </c>
      <c r="AC16" s="12"/>
      <c r="AD16" s="12">
        <v>0.3</v>
      </c>
      <c r="AE16" s="12"/>
      <c r="AF16" s="12">
        <v>0.3</v>
      </c>
      <c r="AJ16" s="12"/>
      <c r="AK16" s="12">
        <v>0.5</v>
      </c>
      <c r="AL16" s="12"/>
      <c r="AM16" s="12">
        <v>0.5</v>
      </c>
      <c r="AQ16" s="12"/>
      <c r="AR16" s="12">
        <v>0.5</v>
      </c>
      <c r="AS16" s="12"/>
      <c r="AT16" s="12">
        <v>0.5</v>
      </c>
      <c r="AX16" s="12"/>
      <c r="AY16" s="12">
        <v>0.5</v>
      </c>
      <c r="AZ16" s="12"/>
      <c r="BA16" s="12">
        <v>0.5</v>
      </c>
      <c r="BE16" s="12"/>
      <c r="BF16" s="12">
        <v>0.5</v>
      </c>
      <c r="BG16" s="12"/>
      <c r="BH16" s="12">
        <v>0.5</v>
      </c>
      <c r="BL16" s="12"/>
      <c r="BM16" s="12">
        <v>0.8</v>
      </c>
      <c r="BN16" s="12"/>
      <c r="BO16" s="12">
        <v>0.8</v>
      </c>
      <c r="BS16" s="12"/>
      <c r="BT16" s="12">
        <v>0.8</v>
      </c>
      <c r="BU16" s="12"/>
      <c r="BV16" s="12">
        <v>0.8</v>
      </c>
      <c r="BZ16" s="12"/>
      <c r="CA16" s="12">
        <v>0.8</v>
      </c>
      <c r="CB16" s="12"/>
      <c r="CC16" s="12">
        <v>0.8</v>
      </c>
      <c r="CG16" s="12"/>
      <c r="CH16" s="12">
        <v>0.8</v>
      </c>
      <c r="CI16" s="12"/>
      <c r="CJ16" s="12">
        <v>0.8</v>
      </c>
      <c r="CN16" s="12"/>
      <c r="CO16" s="12">
        <v>1</v>
      </c>
      <c r="CP16" s="12"/>
      <c r="CQ16" s="12">
        <v>1</v>
      </c>
      <c r="CU16" s="12"/>
      <c r="CV16" s="12">
        <v>1</v>
      </c>
      <c r="CW16" s="12"/>
      <c r="CX16" s="12">
        <v>1</v>
      </c>
      <c r="DB16" s="12"/>
      <c r="DC16" s="12">
        <v>1</v>
      </c>
      <c r="DD16" s="12"/>
      <c r="DE16" s="12">
        <v>1</v>
      </c>
      <c r="DI16" s="12"/>
      <c r="DJ16" s="12"/>
      <c r="DK16" s="12"/>
      <c r="DL16" s="12"/>
      <c r="DP16" s="12"/>
      <c r="DQ16" s="12"/>
      <c r="DR16" s="12"/>
      <c r="DS16" s="12"/>
      <c r="DW16" s="12"/>
      <c r="DX16" s="12"/>
      <c r="DY16" s="12"/>
      <c r="DZ16" s="12"/>
      <c r="ED16" s="12"/>
      <c r="EE16" s="12"/>
      <c r="EF16" s="12"/>
      <c r="EG16" s="12"/>
    </row>
    <row r="17" spans="2:137" outlineLevel="1">
      <c r="B17" t="s">
        <v>28</v>
      </c>
      <c r="C17" t="s">
        <v>87</v>
      </c>
      <c r="E17" s="11"/>
      <c r="F17" t="s">
        <v>93</v>
      </c>
      <c r="G17" s="12">
        <v>0</v>
      </c>
      <c r="I17" s="11">
        <f t="shared" si="0"/>
        <v>0</v>
      </c>
      <c r="J17" s="13" cm="1">
        <f t="array" ref="J17">MAX(IF($N$3:$EH$3=$J$3,N17:EH17))</f>
        <v>0</v>
      </c>
      <c r="K17" s="13" cm="1">
        <f t="array" ref="K17">MAX(IF($N$3:$EH$3=$J$3,N17:EH17))</f>
        <v>0</v>
      </c>
      <c r="L17" s="11"/>
      <c r="O17" s="12"/>
      <c r="P17" s="12">
        <v>0.3</v>
      </c>
      <c r="Q17" s="12"/>
      <c r="R17" s="12">
        <v>0.3</v>
      </c>
      <c r="V17" s="12"/>
      <c r="W17" s="12">
        <v>0.3</v>
      </c>
      <c r="X17" s="12"/>
      <c r="Y17" s="12">
        <v>0.3</v>
      </c>
      <c r="AC17" s="12"/>
      <c r="AD17" s="12">
        <v>0.3</v>
      </c>
      <c r="AE17" s="12"/>
      <c r="AF17" s="12">
        <v>0.3</v>
      </c>
      <c r="AJ17" s="12"/>
      <c r="AK17" s="12">
        <v>0.3</v>
      </c>
      <c r="AL17" s="12"/>
      <c r="AM17" s="12">
        <v>0.3</v>
      </c>
      <c r="AQ17" s="12"/>
      <c r="AR17" s="12">
        <v>0.5</v>
      </c>
      <c r="AS17" s="12"/>
      <c r="AT17" s="12">
        <v>0.5</v>
      </c>
      <c r="AX17" s="12"/>
      <c r="AY17" s="12">
        <v>0.5</v>
      </c>
      <c r="AZ17" s="12"/>
      <c r="BA17" s="12">
        <v>0.5</v>
      </c>
      <c r="BE17" s="12"/>
      <c r="BF17" s="12">
        <v>0.5</v>
      </c>
      <c r="BG17" s="12"/>
      <c r="BH17" s="12">
        <v>0.5</v>
      </c>
      <c r="BL17" s="12"/>
      <c r="BM17" s="12">
        <v>0.5</v>
      </c>
      <c r="BN17" s="12"/>
      <c r="BO17" s="12">
        <v>0.5</v>
      </c>
      <c r="BS17" s="12"/>
      <c r="BT17" s="12">
        <v>0.8</v>
      </c>
      <c r="BU17" s="12"/>
      <c r="BV17" s="12">
        <v>0.8</v>
      </c>
      <c r="BZ17" s="12"/>
      <c r="CA17" s="12">
        <v>0.8</v>
      </c>
      <c r="CB17" s="12"/>
      <c r="CC17" s="12">
        <v>0.8</v>
      </c>
      <c r="CG17" s="12"/>
      <c r="CH17" s="12">
        <v>0.8</v>
      </c>
      <c r="CI17" s="12"/>
      <c r="CJ17" s="12">
        <v>0.8</v>
      </c>
      <c r="CN17" s="12"/>
      <c r="CO17" s="12">
        <v>0.8</v>
      </c>
      <c r="CP17" s="12"/>
      <c r="CQ17" s="12">
        <v>0.8</v>
      </c>
      <c r="CU17" s="12"/>
      <c r="CV17" s="12">
        <v>1</v>
      </c>
      <c r="CW17" s="12"/>
      <c r="CX17" s="12">
        <v>1</v>
      </c>
      <c r="DB17" s="12"/>
      <c r="DC17" s="12">
        <v>1</v>
      </c>
      <c r="DD17" s="12"/>
      <c r="DE17" s="12">
        <v>1</v>
      </c>
      <c r="DI17" s="12"/>
      <c r="DJ17" s="12"/>
      <c r="DK17" s="12"/>
      <c r="DL17" s="12"/>
      <c r="DP17" s="12"/>
      <c r="DQ17" s="12"/>
      <c r="DR17" s="12"/>
      <c r="DS17" s="12"/>
      <c r="DW17" s="12"/>
      <c r="DX17" s="12"/>
      <c r="DY17" s="12"/>
      <c r="DZ17" s="12"/>
      <c r="ED17" s="12"/>
      <c r="EE17" s="12"/>
      <c r="EF17" s="12"/>
      <c r="EG17" s="12"/>
    </row>
    <row r="18" spans="2:137" outlineLevel="1">
      <c r="B18" t="s">
        <v>28</v>
      </c>
      <c r="C18" t="s">
        <v>87</v>
      </c>
      <c r="E18" s="11"/>
      <c r="F18" t="s">
        <v>94</v>
      </c>
      <c r="G18" s="12">
        <v>0</v>
      </c>
      <c r="I18" s="11">
        <f t="shared" si="0"/>
        <v>0</v>
      </c>
      <c r="J18" s="13" cm="1">
        <f t="array" ref="J18">MAX(IF($N$3:$EH$3=$J$3,N18:EH18))</f>
        <v>0</v>
      </c>
      <c r="K18" s="13" cm="1">
        <f t="array" ref="K18">MAX(IF($N$3:$EH$3=$J$3,N18:EH18))</f>
        <v>0</v>
      </c>
      <c r="L18" s="11"/>
      <c r="O18" s="12"/>
      <c r="P18" s="12">
        <v>0.3</v>
      </c>
      <c r="Q18" s="12"/>
      <c r="R18" s="12">
        <v>0.3</v>
      </c>
      <c r="V18" s="12"/>
      <c r="W18" s="12">
        <v>0.3</v>
      </c>
      <c r="X18" s="12"/>
      <c r="Y18" s="12">
        <v>0.3</v>
      </c>
      <c r="AC18" s="12"/>
      <c r="AD18" s="12">
        <v>0.3</v>
      </c>
      <c r="AE18" s="12"/>
      <c r="AF18" s="12">
        <v>0.3</v>
      </c>
      <c r="AJ18" s="12"/>
      <c r="AK18" s="12">
        <v>0.3</v>
      </c>
      <c r="AL18" s="12"/>
      <c r="AM18" s="12">
        <v>0.3</v>
      </c>
      <c r="AQ18" s="12"/>
      <c r="AR18" s="12">
        <v>0.5</v>
      </c>
      <c r="AS18" s="12"/>
      <c r="AT18" s="12">
        <v>0.5</v>
      </c>
      <c r="AX18" s="12"/>
      <c r="AY18" s="12">
        <v>0.5</v>
      </c>
      <c r="AZ18" s="12"/>
      <c r="BA18" s="12">
        <v>0.5</v>
      </c>
      <c r="BE18" s="12"/>
      <c r="BF18" s="12">
        <v>0.5</v>
      </c>
      <c r="BG18" s="12"/>
      <c r="BH18" s="12">
        <v>0.5</v>
      </c>
      <c r="BL18" s="12"/>
      <c r="BM18" s="12">
        <v>0.5</v>
      </c>
      <c r="BN18" s="12"/>
      <c r="BO18" s="12">
        <v>0.5</v>
      </c>
      <c r="BS18" s="12"/>
      <c r="BT18" s="12">
        <v>0.8</v>
      </c>
      <c r="BU18" s="12"/>
      <c r="BV18" s="12">
        <v>0.8</v>
      </c>
      <c r="BZ18" s="12"/>
      <c r="CA18" s="12">
        <v>0.8</v>
      </c>
      <c r="CB18" s="12"/>
      <c r="CC18" s="12">
        <v>0.8</v>
      </c>
      <c r="CG18" s="12"/>
      <c r="CH18" s="12">
        <v>0.8</v>
      </c>
      <c r="CI18" s="12"/>
      <c r="CJ18" s="12">
        <v>0.8</v>
      </c>
      <c r="CN18" s="12"/>
      <c r="CO18" s="12">
        <v>0.8</v>
      </c>
      <c r="CP18" s="12"/>
      <c r="CQ18" s="12">
        <v>0.8</v>
      </c>
      <c r="CU18" s="12"/>
      <c r="CV18" s="12">
        <v>0.8</v>
      </c>
      <c r="CW18" s="12"/>
      <c r="CX18" s="12">
        <v>0.8</v>
      </c>
      <c r="DB18" s="12"/>
      <c r="DC18" s="12">
        <v>1</v>
      </c>
      <c r="DD18" s="12"/>
      <c r="DE18" s="12">
        <v>1</v>
      </c>
      <c r="DI18" s="12"/>
      <c r="DJ18" s="12"/>
      <c r="DK18" s="12"/>
      <c r="DL18" s="12"/>
      <c r="DP18" s="12"/>
      <c r="DQ18" s="12"/>
      <c r="DR18" s="12"/>
      <c r="DS18" s="12"/>
      <c r="DW18" s="12"/>
      <c r="DX18" s="12"/>
      <c r="DY18" s="12"/>
      <c r="DZ18" s="12"/>
      <c r="ED18" s="12"/>
      <c r="EE18" s="12"/>
      <c r="EF18" s="12"/>
      <c r="EG18" s="12"/>
    </row>
    <row r="20" spans="2:137">
      <c r="B20" t="s">
        <v>27</v>
      </c>
      <c r="C20" t="s">
        <v>95</v>
      </c>
      <c r="D20" s="22">
        <v>44979</v>
      </c>
      <c r="E20" s="11">
        <v>3</v>
      </c>
      <c r="G20" s="12">
        <v>0</v>
      </c>
      <c r="I20" s="14">
        <v>0</v>
      </c>
      <c r="J20" s="13">
        <f>+SUMPRODUCT(G21:G24,J21:J24)</f>
        <v>0</v>
      </c>
      <c r="K20" s="13">
        <f>+SUMPRODUCT(G21:G24,K21:K24)</f>
        <v>0</v>
      </c>
      <c r="L20" s="11"/>
      <c r="N20" s="14">
        <v>4</v>
      </c>
      <c r="U20" s="14">
        <f>+SUM(U21:U24)</f>
        <v>0</v>
      </c>
      <c r="AB20" s="14">
        <f>+SUM(AB21:AB24)</f>
        <v>0</v>
      </c>
      <c r="AI20" s="14">
        <f>+SUM(AI21:AI24)</f>
        <v>0</v>
      </c>
      <c r="AP20" s="14">
        <f>+SUM(AP21:AP24)</f>
        <v>0</v>
      </c>
    </row>
    <row r="21" spans="2:137" outlineLevel="1">
      <c r="B21" t="s">
        <v>28</v>
      </c>
      <c r="C21" t="s">
        <v>95</v>
      </c>
      <c r="E21" s="11"/>
      <c r="F21" t="s">
        <v>96</v>
      </c>
      <c r="G21" s="12">
        <v>0</v>
      </c>
      <c r="I21" s="11">
        <f>+SUMIF($N$3:$ZZ$3,I$3,$N21:$ZZ21)</f>
        <v>0</v>
      </c>
      <c r="J21" s="13" cm="1">
        <f t="array" ref="J21">MAX(IF($N$3:$EH$3=$J$3,N21:EH21))</f>
        <v>0</v>
      </c>
      <c r="K21" s="13" cm="1">
        <f t="array" ref="K21">MAX(IF($N$3:$EH$3=$J$3,N21:EH21))</f>
        <v>0</v>
      </c>
      <c r="L21" s="11"/>
      <c r="O21" s="12"/>
      <c r="P21" s="12">
        <v>0.3</v>
      </c>
      <c r="Q21" s="12"/>
      <c r="R21" s="12">
        <v>0.3</v>
      </c>
      <c r="V21" s="12"/>
      <c r="W21" s="12">
        <v>0.5</v>
      </c>
      <c r="X21" s="12"/>
      <c r="Y21" s="12">
        <v>0.5</v>
      </c>
      <c r="AC21" s="12"/>
      <c r="AD21" s="12">
        <v>0.5</v>
      </c>
      <c r="AE21" s="12"/>
      <c r="AF21" s="12">
        <v>0.5</v>
      </c>
      <c r="AJ21" s="12"/>
      <c r="AK21" s="12">
        <v>0.5</v>
      </c>
      <c r="AL21" s="12"/>
      <c r="AM21" s="12">
        <v>0.5</v>
      </c>
      <c r="AQ21" s="12"/>
      <c r="AR21" s="12">
        <v>0.5</v>
      </c>
      <c r="AS21" s="12"/>
      <c r="AT21" s="12">
        <v>0.5</v>
      </c>
      <c r="AX21" s="12"/>
      <c r="AY21" s="12">
        <v>0.5</v>
      </c>
      <c r="AZ21" s="12"/>
      <c r="BA21" s="12">
        <v>0.5</v>
      </c>
      <c r="BE21" s="12"/>
      <c r="BF21" s="12">
        <v>0.8</v>
      </c>
      <c r="BG21" s="12"/>
      <c r="BH21" s="12">
        <v>0.8</v>
      </c>
      <c r="BL21" s="12"/>
      <c r="BM21" s="12">
        <v>0.8</v>
      </c>
      <c r="BN21" s="12"/>
      <c r="BO21" s="12">
        <v>0.8</v>
      </c>
      <c r="BS21" s="12"/>
      <c r="BT21" s="12">
        <v>0.8</v>
      </c>
      <c r="BU21" s="12"/>
      <c r="BV21" s="12">
        <v>0.8</v>
      </c>
      <c r="BZ21" s="12"/>
      <c r="CA21" s="12">
        <v>0.8</v>
      </c>
      <c r="CB21" s="12"/>
      <c r="CC21" s="12">
        <v>0.8</v>
      </c>
      <c r="CG21" s="12"/>
      <c r="CH21" s="12">
        <v>1</v>
      </c>
      <c r="CI21" s="12"/>
      <c r="CJ21" s="12">
        <v>1</v>
      </c>
      <c r="CN21" s="12"/>
      <c r="CO21" s="12">
        <v>1</v>
      </c>
      <c r="CP21" s="12"/>
      <c r="CQ21" s="12">
        <v>1</v>
      </c>
      <c r="CU21" s="12"/>
      <c r="CV21" s="12">
        <v>1</v>
      </c>
      <c r="CW21" s="12"/>
      <c r="CX21" s="12">
        <v>1</v>
      </c>
      <c r="DB21" s="12"/>
      <c r="DC21" s="12">
        <v>1</v>
      </c>
      <c r="DD21" s="12"/>
      <c r="DE21" s="12">
        <v>1</v>
      </c>
      <c r="DI21" s="12"/>
      <c r="DJ21" s="12"/>
      <c r="DK21" s="12"/>
      <c r="DL21" s="12"/>
      <c r="DP21" s="12"/>
      <c r="DQ21" s="12"/>
      <c r="DR21" s="12"/>
      <c r="DS21" s="12"/>
      <c r="DW21" s="12"/>
      <c r="DX21" s="12"/>
      <c r="DY21" s="12"/>
      <c r="DZ21" s="12"/>
      <c r="ED21" s="12"/>
      <c r="EE21" s="12"/>
      <c r="EF21" s="12"/>
      <c r="EG21" s="12"/>
    </row>
    <row r="22" spans="2:137" outlineLevel="1">
      <c r="B22" t="s">
        <v>28</v>
      </c>
      <c r="C22" t="s">
        <v>95</v>
      </c>
      <c r="E22" s="11"/>
      <c r="F22" t="s">
        <v>97</v>
      </c>
      <c r="G22" s="12">
        <v>0</v>
      </c>
      <c r="I22" s="11">
        <f>+SUMIF($N$3:$ZZ$3,I$3,$N22:$ZZ22)</f>
        <v>0</v>
      </c>
      <c r="J22" s="13" cm="1">
        <f t="array" ref="J22">MAX(IF($N$3:$EH$3=$J$3,N22:EH22))</f>
        <v>0</v>
      </c>
      <c r="K22" s="13" cm="1">
        <f t="array" ref="K22">MAX(IF($N$3:$EH$3=$J$3,N22:EH22))</f>
        <v>0</v>
      </c>
      <c r="L22" s="11"/>
      <c r="O22" s="12"/>
      <c r="P22" s="12">
        <v>0.3</v>
      </c>
      <c r="Q22" s="12"/>
      <c r="R22" s="12">
        <v>0.3</v>
      </c>
      <c r="V22" s="12"/>
      <c r="W22" s="12">
        <v>0.3</v>
      </c>
      <c r="X22" s="12"/>
      <c r="Y22" s="12">
        <v>0.3</v>
      </c>
      <c r="AC22" s="12"/>
      <c r="AD22" s="12">
        <v>0.5</v>
      </c>
      <c r="AE22" s="12"/>
      <c r="AF22" s="12">
        <v>0.5</v>
      </c>
      <c r="AJ22" s="12"/>
      <c r="AK22" s="12">
        <v>0.5</v>
      </c>
      <c r="AL22" s="12"/>
      <c r="AM22" s="12">
        <v>0.5</v>
      </c>
      <c r="AQ22" s="12"/>
      <c r="AR22" s="12">
        <v>0.5</v>
      </c>
      <c r="AS22" s="12"/>
      <c r="AT22" s="12">
        <v>0.5</v>
      </c>
      <c r="AX22" s="12"/>
      <c r="AY22" s="12">
        <v>0.5</v>
      </c>
      <c r="AZ22" s="12"/>
      <c r="BA22" s="12">
        <v>0.5</v>
      </c>
      <c r="BE22" s="12"/>
      <c r="BF22" s="12">
        <v>0.5</v>
      </c>
      <c r="BG22" s="12"/>
      <c r="BH22" s="12">
        <v>0.5</v>
      </c>
      <c r="BL22" s="12"/>
      <c r="BM22" s="12">
        <v>0.8</v>
      </c>
      <c r="BN22" s="12"/>
      <c r="BO22" s="12">
        <v>0.8</v>
      </c>
      <c r="BS22" s="12"/>
      <c r="BT22" s="12">
        <v>0.8</v>
      </c>
      <c r="BU22" s="12"/>
      <c r="BV22" s="12">
        <v>0.8</v>
      </c>
      <c r="BZ22" s="12"/>
      <c r="CA22" s="12">
        <v>0.8</v>
      </c>
      <c r="CB22" s="12"/>
      <c r="CC22" s="12">
        <v>0.8</v>
      </c>
      <c r="CG22" s="12"/>
      <c r="CH22" s="12">
        <v>0.8</v>
      </c>
      <c r="CI22" s="12"/>
      <c r="CJ22" s="12">
        <v>0.8</v>
      </c>
      <c r="CN22" s="12"/>
      <c r="CO22" s="12">
        <v>1</v>
      </c>
      <c r="CP22" s="12"/>
      <c r="CQ22" s="12">
        <v>1</v>
      </c>
      <c r="CU22" s="12"/>
      <c r="CV22" s="12">
        <v>1</v>
      </c>
      <c r="CW22" s="12"/>
      <c r="CX22" s="12">
        <v>1</v>
      </c>
      <c r="DB22" s="12"/>
      <c r="DC22" s="12">
        <v>1</v>
      </c>
      <c r="DD22" s="12"/>
      <c r="DE22" s="12">
        <v>1</v>
      </c>
      <c r="DI22" s="12"/>
      <c r="DJ22" s="12"/>
      <c r="DK22" s="12"/>
      <c r="DL22" s="12"/>
      <c r="DP22" s="12"/>
      <c r="DQ22" s="12"/>
      <c r="DR22" s="12"/>
      <c r="DS22" s="12"/>
      <c r="DW22" s="12"/>
      <c r="DX22" s="12"/>
      <c r="DY22" s="12"/>
      <c r="DZ22" s="12"/>
      <c r="ED22" s="12"/>
      <c r="EE22" s="12"/>
      <c r="EF22" s="12"/>
      <c r="EG22" s="12"/>
    </row>
    <row r="23" spans="2:137" outlineLevel="1">
      <c r="B23" t="s">
        <v>28</v>
      </c>
      <c r="C23" t="s">
        <v>95</v>
      </c>
      <c r="E23" s="11"/>
      <c r="F23" t="s">
        <v>98</v>
      </c>
      <c r="G23" s="12">
        <v>0</v>
      </c>
      <c r="I23" s="11">
        <f>+SUMIF($N$3:$ZZ$3,I$3,$N23:$ZZ23)</f>
        <v>0</v>
      </c>
      <c r="J23" s="13" cm="1">
        <f t="array" ref="J23">MAX(IF($N$3:$EH$3=$J$3,N23:EH23))</f>
        <v>0</v>
      </c>
      <c r="K23" s="13" cm="1">
        <f t="array" ref="K23">MAX(IF($N$3:$EH$3=$J$3,N23:EH23))</f>
        <v>0</v>
      </c>
      <c r="L23" s="11"/>
      <c r="O23" s="12"/>
      <c r="P23" s="12">
        <v>0.3</v>
      </c>
      <c r="Q23" s="12"/>
      <c r="R23" s="12">
        <v>0.3</v>
      </c>
      <c r="V23" s="12"/>
      <c r="W23" s="12">
        <v>0.3</v>
      </c>
      <c r="X23" s="12"/>
      <c r="Y23" s="12">
        <v>0.3</v>
      </c>
      <c r="AC23" s="12"/>
      <c r="AD23" s="12">
        <v>0.3</v>
      </c>
      <c r="AE23" s="12"/>
      <c r="AF23" s="12">
        <v>0.3</v>
      </c>
      <c r="AJ23" s="12"/>
      <c r="AK23" s="12">
        <v>0.5</v>
      </c>
      <c r="AL23" s="12"/>
      <c r="AM23" s="12">
        <v>0.5</v>
      </c>
      <c r="AQ23" s="12"/>
      <c r="AR23" s="12">
        <v>0.5</v>
      </c>
      <c r="AS23" s="12"/>
      <c r="AT23" s="12">
        <v>0.5</v>
      </c>
      <c r="AX23" s="12"/>
      <c r="AY23" s="12">
        <v>0.5</v>
      </c>
      <c r="AZ23" s="12"/>
      <c r="BA23" s="12">
        <v>0.5</v>
      </c>
      <c r="BE23" s="12"/>
      <c r="BF23" s="12">
        <v>0.5</v>
      </c>
      <c r="BG23" s="12"/>
      <c r="BH23" s="12">
        <v>0.5</v>
      </c>
      <c r="BL23" s="12"/>
      <c r="BM23" s="12">
        <v>0.5</v>
      </c>
      <c r="BN23" s="12"/>
      <c r="BO23" s="12">
        <v>0.5</v>
      </c>
      <c r="BS23" s="12"/>
      <c r="BT23" s="12">
        <v>0.8</v>
      </c>
      <c r="BU23" s="12"/>
      <c r="BV23" s="12">
        <v>0.8</v>
      </c>
      <c r="BZ23" s="12"/>
      <c r="CA23" s="12">
        <v>0.8</v>
      </c>
      <c r="CB23" s="12"/>
      <c r="CC23" s="12">
        <v>0.8</v>
      </c>
      <c r="CG23" s="12"/>
      <c r="CH23" s="12">
        <v>0.8</v>
      </c>
      <c r="CI23" s="12"/>
      <c r="CJ23" s="12">
        <v>0.8</v>
      </c>
      <c r="CN23" s="12"/>
      <c r="CO23" s="12">
        <v>0.8</v>
      </c>
      <c r="CP23" s="12"/>
      <c r="CQ23" s="12">
        <v>0.8</v>
      </c>
      <c r="CU23" s="12"/>
      <c r="CV23" s="12">
        <v>1</v>
      </c>
      <c r="CW23" s="12"/>
      <c r="CX23" s="12">
        <v>1</v>
      </c>
      <c r="DB23" s="12"/>
      <c r="DC23" s="12">
        <v>1</v>
      </c>
      <c r="DD23" s="12"/>
      <c r="DE23" s="12">
        <v>1</v>
      </c>
      <c r="DI23" s="12"/>
      <c r="DJ23" s="12"/>
      <c r="DK23" s="12"/>
      <c r="DL23" s="12"/>
      <c r="DP23" s="12"/>
      <c r="DQ23" s="12"/>
      <c r="DR23" s="12"/>
      <c r="DS23" s="12"/>
      <c r="DW23" s="12"/>
      <c r="DX23" s="12"/>
      <c r="DY23" s="12"/>
      <c r="DZ23" s="12"/>
      <c r="ED23" s="12"/>
      <c r="EE23" s="12"/>
      <c r="EF23" s="12"/>
      <c r="EG23" s="12"/>
    </row>
    <row r="24" spans="2:137" outlineLevel="1">
      <c r="B24" t="s">
        <v>28</v>
      </c>
      <c r="C24" t="s">
        <v>95</v>
      </c>
      <c r="E24" s="11"/>
      <c r="F24" t="s">
        <v>99</v>
      </c>
      <c r="G24" s="12">
        <v>0</v>
      </c>
      <c r="I24" s="11">
        <f>+SUMIF($N$3:$ZZ$3,I$3,$N24:$ZZ24)</f>
        <v>0</v>
      </c>
      <c r="J24" s="13" cm="1">
        <f t="array" ref="J24">MAX(IF($N$3:$EH$3=$J$3,N24:EH24))</f>
        <v>0</v>
      </c>
      <c r="K24" s="13" cm="1">
        <f t="array" ref="K24">MAX(IF($N$3:$EH$3=$J$3,N24:EH24))</f>
        <v>0</v>
      </c>
      <c r="L24" s="11"/>
      <c r="O24" s="12"/>
      <c r="P24" s="12">
        <v>0.3</v>
      </c>
      <c r="Q24" s="12"/>
      <c r="R24" s="12">
        <v>0.3</v>
      </c>
      <c r="V24" s="12"/>
      <c r="W24" s="12">
        <v>0.3</v>
      </c>
      <c r="X24" s="12"/>
      <c r="Y24" s="12">
        <v>0.3</v>
      </c>
      <c r="AC24" s="12"/>
      <c r="AD24" s="12">
        <v>0.3</v>
      </c>
      <c r="AE24" s="12"/>
      <c r="AF24" s="12">
        <v>0.3</v>
      </c>
      <c r="AJ24" s="12"/>
      <c r="AK24" s="12">
        <v>0.3</v>
      </c>
      <c r="AL24" s="12"/>
      <c r="AM24" s="12">
        <v>0.3</v>
      </c>
      <c r="AQ24" s="12"/>
      <c r="AR24" s="12">
        <v>0.5</v>
      </c>
      <c r="AS24" s="12"/>
      <c r="AT24" s="12">
        <v>0.5</v>
      </c>
      <c r="AX24" s="12"/>
      <c r="AY24" s="12">
        <v>0.5</v>
      </c>
      <c r="AZ24" s="12"/>
      <c r="BA24" s="12">
        <v>0.5</v>
      </c>
      <c r="BE24" s="12"/>
      <c r="BF24" s="12">
        <v>0.5</v>
      </c>
      <c r="BG24" s="12"/>
      <c r="BH24" s="12">
        <v>0.5</v>
      </c>
      <c r="BL24" s="12"/>
      <c r="BM24" s="12">
        <v>0.5</v>
      </c>
      <c r="BN24" s="12"/>
      <c r="BO24" s="12">
        <v>0.5</v>
      </c>
      <c r="BS24" s="12"/>
      <c r="BT24" s="12">
        <v>0.5</v>
      </c>
      <c r="BU24" s="12"/>
      <c r="BV24" s="12">
        <v>0.5</v>
      </c>
      <c r="BZ24" s="12"/>
      <c r="CA24" s="12">
        <v>0.8</v>
      </c>
      <c r="CB24" s="12"/>
      <c r="CC24" s="12">
        <v>0.8</v>
      </c>
      <c r="CG24" s="12"/>
      <c r="CH24" s="12">
        <v>0.8</v>
      </c>
      <c r="CI24" s="12"/>
      <c r="CJ24" s="12">
        <v>0.8</v>
      </c>
      <c r="CN24" s="12"/>
      <c r="CO24" s="12">
        <v>0.8</v>
      </c>
      <c r="CP24" s="12"/>
      <c r="CQ24" s="12">
        <v>0.8</v>
      </c>
      <c r="CU24" s="12"/>
      <c r="CV24" s="12">
        <v>0.8</v>
      </c>
      <c r="CW24" s="12"/>
      <c r="CX24" s="12">
        <v>0.8</v>
      </c>
      <c r="DB24" s="12"/>
      <c r="DC24" s="12">
        <v>1</v>
      </c>
      <c r="DD24" s="12"/>
      <c r="DE24" s="12">
        <v>1</v>
      </c>
      <c r="DI24" s="12"/>
      <c r="DJ24" s="12"/>
      <c r="DK24" s="12"/>
      <c r="DL24" s="12"/>
      <c r="DP24" s="12"/>
      <c r="DQ24" s="12"/>
      <c r="DR24" s="12"/>
      <c r="DS24" s="12"/>
      <c r="DW24" s="12"/>
      <c r="DX24" s="12"/>
      <c r="DY24" s="12"/>
      <c r="DZ24" s="12"/>
      <c r="ED24" s="12"/>
      <c r="EE24" s="12"/>
      <c r="EF24" s="12"/>
      <c r="EG24" s="12"/>
    </row>
    <row r="26" spans="2:137">
      <c r="B26" t="s">
        <v>27</v>
      </c>
      <c r="C26" t="s">
        <v>105</v>
      </c>
      <c r="D26" s="22">
        <v>44978</v>
      </c>
      <c r="E26" s="11">
        <v>6</v>
      </c>
      <c r="G26" s="12">
        <v>0</v>
      </c>
      <c r="I26" s="14">
        <v>0</v>
      </c>
      <c r="J26" s="13">
        <f>+SUMPRODUCT(G27:G29,J27:J29)</f>
        <v>0</v>
      </c>
      <c r="K26" s="13">
        <f>+SUMPRODUCT(G27:G29,K27:K29)</f>
        <v>0</v>
      </c>
      <c r="L26" s="11"/>
      <c r="N26" s="14">
        <v>8</v>
      </c>
      <c r="U26" s="14">
        <f>+SUM(U27:U29)</f>
        <v>0</v>
      </c>
      <c r="AB26" s="14">
        <f>+SUM(AB27:AB29)</f>
        <v>0</v>
      </c>
      <c r="AI26" s="14">
        <f>+SUM(AI27:AI29)</f>
        <v>0</v>
      </c>
      <c r="AP26" s="14">
        <f>+SUM(AP27:AP29)</f>
        <v>0</v>
      </c>
    </row>
    <row r="27" spans="2:137" outlineLevel="1">
      <c r="B27" t="s">
        <v>28</v>
      </c>
      <c r="C27" t="s">
        <v>105</v>
      </c>
      <c r="E27" s="11"/>
      <c r="F27" t="s">
        <v>106</v>
      </c>
      <c r="G27" s="12">
        <v>0</v>
      </c>
      <c r="I27" s="11">
        <f>+SUMIF($N$3:$ZZ$3,I$3,$N27:$ZZ27)</f>
        <v>0</v>
      </c>
      <c r="J27" s="13" cm="1">
        <f t="array" ref="J27">MAX(IF($N$3:$EH$3=$J$3,N27:EH27))</f>
        <v>0</v>
      </c>
      <c r="K27" s="13" cm="1">
        <f t="array" ref="K27">MAX(IF($N$3:$EH$3=$J$3,N27:EH27))</f>
        <v>0</v>
      </c>
      <c r="L27" s="11"/>
      <c r="O27" s="12"/>
      <c r="P27" s="12">
        <v>0.3</v>
      </c>
      <c r="Q27" s="12"/>
      <c r="R27" s="12">
        <v>0.3</v>
      </c>
      <c r="V27" s="12"/>
      <c r="W27" s="12">
        <v>0.3</v>
      </c>
      <c r="X27" s="12"/>
      <c r="Y27" s="12">
        <v>0.3</v>
      </c>
      <c r="AC27" s="12"/>
      <c r="AD27" s="12">
        <v>0.5</v>
      </c>
      <c r="AE27" s="12"/>
      <c r="AF27" s="12">
        <v>0.5</v>
      </c>
      <c r="AJ27" s="12"/>
      <c r="AK27" s="12">
        <v>0.5</v>
      </c>
      <c r="AL27" s="12"/>
      <c r="AM27" s="12">
        <v>0.5</v>
      </c>
      <c r="AQ27" s="12"/>
      <c r="AR27" s="12">
        <v>0.5</v>
      </c>
      <c r="AS27" s="12"/>
      <c r="AT27" s="12">
        <v>0.5</v>
      </c>
      <c r="AX27" s="12"/>
      <c r="AY27" s="12">
        <v>0.5</v>
      </c>
      <c r="AZ27" s="12"/>
      <c r="BA27" s="12">
        <v>0.5</v>
      </c>
      <c r="BE27" s="12"/>
      <c r="BF27" s="12">
        <v>0.5</v>
      </c>
      <c r="BG27" s="12"/>
      <c r="BH27" s="12">
        <v>0.5</v>
      </c>
      <c r="BL27" s="12"/>
      <c r="BM27" s="12">
        <v>0.8</v>
      </c>
      <c r="BN27" s="12"/>
      <c r="BO27" s="12">
        <v>0.8</v>
      </c>
      <c r="BS27" s="12"/>
      <c r="BT27" s="12">
        <v>0.8</v>
      </c>
      <c r="BU27" s="12"/>
      <c r="BV27" s="12">
        <v>0.8</v>
      </c>
      <c r="BZ27" s="12"/>
      <c r="CA27" s="12">
        <v>0.8</v>
      </c>
      <c r="CB27" s="12"/>
      <c r="CC27" s="12">
        <v>0.8</v>
      </c>
      <c r="CG27" s="12"/>
      <c r="CH27" s="12">
        <v>0.8</v>
      </c>
      <c r="CI27" s="12"/>
      <c r="CJ27" s="12">
        <v>0.8</v>
      </c>
      <c r="CN27" s="12"/>
      <c r="CO27" s="12">
        <v>1</v>
      </c>
      <c r="CP27" s="12"/>
      <c r="CQ27" s="12">
        <v>1</v>
      </c>
      <c r="CU27" s="12"/>
      <c r="CV27" s="12">
        <v>1</v>
      </c>
      <c r="CW27" s="12"/>
      <c r="CX27" s="12">
        <v>1</v>
      </c>
      <c r="DB27" s="12"/>
      <c r="DC27" s="12">
        <v>1</v>
      </c>
      <c r="DD27" s="12"/>
      <c r="DE27" s="12">
        <v>1</v>
      </c>
      <c r="DI27" s="12"/>
      <c r="DJ27" s="12"/>
      <c r="DK27" s="12"/>
      <c r="DL27" s="12"/>
      <c r="DP27" s="12"/>
      <c r="DQ27" s="12"/>
      <c r="DR27" s="12"/>
      <c r="DS27" s="12"/>
      <c r="DW27" s="12"/>
      <c r="DX27" s="12"/>
      <c r="DY27" s="12"/>
      <c r="DZ27" s="12"/>
      <c r="ED27" s="12"/>
      <c r="EE27" s="12"/>
      <c r="EF27" s="12"/>
      <c r="EG27" s="12"/>
    </row>
    <row r="28" spans="2:137" outlineLevel="1">
      <c r="B28" t="s">
        <v>28</v>
      </c>
      <c r="C28" t="s">
        <v>105</v>
      </c>
      <c r="E28" s="11"/>
      <c r="F28" t="s">
        <v>107</v>
      </c>
      <c r="G28" s="12">
        <v>0</v>
      </c>
      <c r="I28" s="11">
        <f>+SUMIF($N$3:$ZZ$3,I$3,$N28:$ZZ28)</f>
        <v>0</v>
      </c>
      <c r="J28" s="13" cm="1">
        <f t="array" ref="J28">MAX(IF($N$3:$EH$3=$J$3,N28:EH28))</f>
        <v>0</v>
      </c>
      <c r="K28" s="13" cm="1">
        <f t="array" ref="K28">MAX(IF($N$3:$EH$3=$J$3,N28:EH28))</f>
        <v>0</v>
      </c>
      <c r="L28" s="11"/>
      <c r="O28" s="12"/>
      <c r="P28" s="12">
        <v>0.3</v>
      </c>
      <c r="Q28" s="12"/>
      <c r="R28" s="12">
        <v>0.3</v>
      </c>
      <c r="V28" s="12"/>
      <c r="W28" s="12">
        <v>0.3</v>
      </c>
      <c r="X28" s="12"/>
      <c r="Y28" s="12">
        <v>0.3</v>
      </c>
      <c r="AC28" s="12"/>
      <c r="AD28" s="12">
        <v>0.3</v>
      </c>
      <c r="AE28" s="12"/>
      <c r="AF28" s="12">
        <v>0.3</v>
      </c>
      <c r="AJ28" s="12"/>
      <c r="AK28" s="12">
        <v>0.5</v>
      </c>
      <c r="AL28" s="12"/>
      <c r="AM28" s="12">
        <v>0.5</v>
      </c>
      <c r="AQ28" s="12"/>
      <c r="AR28" s="12">
        <v>0.5</v>
      </c>
      <c r="AS28" s="12"/>
      <c r="AT28" s="12">
        <v>0.5</v>
      </c>
      <c r="AX28" s="12"/>
      <c r="AY28" s="12">
        <v>0.5</v>
      </c>
      <c r="AZ28" s="12"/>
      <c r="BA28" s="12">
        <v>0.5</v>
      </c>
      <c r="BE28" s="12"/>
      <c r="BF28" s="12">
        <v>0.5</v>
      </c>
      <c r="BG28" s="12"/>
      <c r="BH28" s="12">
        <v>0.5</v>
      </c>
      <c r="BL28" s="12"/>
      <c r="BM28" s="12">
        <v>0.5</v>
      </c>
      <c r="BN28" s="12"/>
      <c r="BO28" s="12">
        <v>0.5</v>
      </c>
      <c r="BS28" s="12"/>
      <c r="BT28" s="12">
        <v>0.8</v>
      </c>
      <c r="BU28" s="12"/>
      <c r="BV28" s="12">
        <v>0.8</v>
      </c>
      <c r="BZ28" s="12"/>
      <c r="CA28" s="12">
        <v>0.8</v>
      </c>
      <c r="CB28" s="12"/>
      <c r="CC28" s="12">
        <v>0.8</v>
      </c>
      <c r="CG28" s="12"/>
      <c r="CH28" s="12">
        <v>0.8</v>
      </c>
      <c r="CI28" s="12"/>
      <c r="CJ28" s="12">
        <v>0.8</v>
      </c>
      <c r="CN28" s="12"/>
      <c r="CO28" s="12">
        <v>0.8</v>
      </c>
      <c r="CP28" s="12"/>
      <c r="CQ28" s="12">
        <v>0.8</v>
      </c>
      <c r="CU28" s="12"/>
      <c r="CV28" s="12">
        <v>1</v>
      </c>
      <c r="CW28" s="12"/>
      <c r="CX28" s="12">
        <v>1</v>
      </c>
      <c r="DB28" s="12"/>
      <c r="DC28" s="12">
        <v>1</v>
      </c>
      <c r="DD28" s="12"/>
      <c r="DE28" s="12">
        <v>1</v>
      </c>
      <c r="DI28" s="12"/>
      <c r="DJ28" s="12"/>
      <c r="DK28" s="12"/>
      <c r="DL28" s="12"/>
      <c r="DP28" s="12"/>
      <c r="DQ28" s="12"/>
      <c r="DR28" s="12"/>
      <c r="DS28" s="12"/>
      <c r="DW28" s="12"/>
      <c r="DX28" s="12"/>
      <c r="DY28" s="12"/>
      <c r="DZ28" s="12"/>
      <c r="ED28" s="12"/>
      <c r="EE28" s="12"/>
      <c r="EF28" s="12"/>
      <c r="EG28" s="12"/>
    </row>
    <row r="29" spans="2:137" outlineLevel="1">
      <c r="B29" t="s">
        <v>28</v>
      </c>
      <c r="C29" t="s">
        <v>105</v>
      </c>
      <c r="E29" s="11"/>
      <c r="F29" t="s">
        <v>111</v>
      </c>
      <c r="G29" s="12">
        <v>0</v>
      </c>
      <c r="I29" s="11">
        <f>+SUMIF($N$3:$ZZ$3,I$3,$N29:$ZZ29)</f>
        <v>0</v>
      </c>
      <c r="J29" s="13" cm="1">
        <f t="array" ref="J29">MAX(IF($N$3:$EH$3=$J$3,N29:EH29))</f>
        <v>0</v>
      </c>
      <c r="K29" s="13" cm="1">
        <f t="array" ref="K29">MAX(IF($N$3:$EH$3=$J$3,N29:EH29))</f>
        <v>0</v>
      </c>
      <c r="L29" s="11"/>
      <c r="O29" s="12"/>
      <c r="P29" s="12">
        <v>0.3</v>
      </c>
      <c r="Q29" s="12"/>
      <c r="R29" s="12">
        <v>0.3</v>
      </c>
      <c r="V29" s="12"/>
      <c r="W29" s="12">
        <v>0.3</v>
      </c>
      <c r="X29" s="12"/>
      <c r="Y29" s="12">
        <v>0.3</v>
      </c>
      <c r="AC29" s="12"/>
      <c r="AD29" s="12">
        <v>0.3</v>
      </c>
      <c r="AE29" s="12"/>
      <c r="AF29" s="12">
        <v>0.3</v>
      </c>
      <c r="AJ29" s="12"/>
      <c r="AK29" s="12">
        <v>0.3</v>
      </c>
      <c r="AL29" s="12"/>
      <c r="AM29" s="12">
        <v>0.3</v>
      </c>
      <c r="AQ29" s="12"/>
      <c r="AR29" s="12">
        <v>0.5</v>
      </c>
      <c r="AS29" s="12"/>
      <c r="AT29" s="12">
        <v>0.5</v>
      </c>
      <c r="AX29" s="12"/>
      <c r="AY29" s="12">
        <v>0.5</v>
      </c>
      <c r="AZ29" s="12"/>
      <c r="BA29" s="12">
        <v>0.5</v>
      </c>
      <c r="BE29" s="12"/>
      <c r="BF29" s="12">
        <v>0.5</v>
      </c>
      <c r="BG29" s="12"/>
      <c r="BH29" s="12">
        <v>0.5</v>
      </c>
      <c r="BL29" s="12"/>
      <c r="BM29" s="12">
        <v>0.5</v>
      </c>
      <c r="BN29" s="12"/>
      <c r="BO29" s="12">
        <v>0.5</v>
      </c>
      <c r="BS29" s="12"/>
      <c r="BT29" s="12">
        <v>0.5</v>
      </c>
      <c r="BU29" s="12"/>
      <c r="BV29" s="12">
        <v>0.5</v>
      </c>
      <c r="BZ29" s="12"/>
      <c r="CA29" s="12">
        <v>0.8</v>
      </c>
      <c r="CB29" s="12"/>
      <c r="CC29" s="12">
        <v>0.8</v>
      </c>
      <c r="CG29" s="12"/>
      <c r="CH29" s="12">
        <v>0.8</v>
      </c>
      <c r="CI29" s="12"/>
      <c r="CJ29" s="12">
        <v>0.8</v>
      </c>
      <c r="CN29" s="12"/>
      <c r="CO29" s="12">
        <v>0.8</v>
      </c>
      <c r="CP29" s="12"/>
      <c r="CQ29" s="12">
        <v>0.8</v>
      </c>
      <c r="CU29" s="12"/>
      <c r="CV29" s="12">
        <v>0.8</v>
      </c>
      <c r="CW29" s="12"/>
      <c r="CX29" s="12">
        <v>0.8</v>
      </c>
      <c r="DB29" s="12"/>
      <c r="DC29" s="12">
        <v>1</v>
      </c>
      <c r="DD29" s="12"/>
      <c r="DE29" s="12">
        <v>1</v>
      </c>
      <c r="DI29" s="12"/>
      <c r="DJ29" s="12"/>
      <c r="DK29" s="12"/>
      <c r="DL29" s="12"/>
      <c r="DP29" s="12"/>
      <c r="DQ29" s="12"/>
      <c r="DR29" s="12"/>
      <c r="DS29" s="12"/>
      <c r="DW29" s="12"/>
      <c r="DX29" s="12"/>
      <c r="DY29" s="12"/>
      <c r="DZ29" s="12"/>
      <c r="ED29" s="12"/>
      <c r="EE29" s="12"/>
      <c r="EF29" s="12"/>
      <c r="EG29" s="12"/>
    </row>
    <row r="31" spans="2:137">
      <c r="B31" t="s">
        <v>27</v>
      </c>
      <c r="C31" t="s">
        <v>108</v>
      </c>
      <c r="D31" s="22">
        <v>44980</v>
      </c>
      <c r="E31" s="11">
        <v>12</v>
      </c>
      <c r="G31" s="12">
        <v>0</v>
      </c>
      <c r="I31" s="14">
        <v>0</v>
      </c>
      <c r="J31" s="13">
        <f>+SUMPRODUCT(G32:G33,J32:J33)</f>
        <v>0</v>
      </c>
      <c r="K31" s="13">
        <f>+SUMPRODUCT(G32:G33,K32:K33)</f>
        <v>0</v>
      </c>
      <c r="L31" s="11"/>
      <c r="N31" s="14">
        <v>16</v>
      </c>
      <c r="U31" s="14">
        <f>+SUM(U32:U33)</f>
        <v>0</v>
      </c>
      <c r="AB31" s="14">
        <f>+SUM(AB32:AB33)</f>
        <v>0</v>
      </c>
      <c r="AI31" s="14">
        <f>+SUM(AI32:AI33)</f>
        <v>0</v>
      </c>
      <c r="AP31" s="14">
        <f>+SUM(AP32:AP33)</f>
        <v>0</v>
      </c>
    </row>
    <row r="32" spans="2:137" outlineLevel="1">
      <c r="B32" t="s">
        <v>28</v>
      </c>
      <c r="C32" t="s">
        <v>108</v>
      </c>
      <c r="E32" s="11"/>
      <c r="F32" t="s">
        <v>109</v>
      </c>
      <c r="G32" s="12">
        <v>0</v>
      </c>
      <c r="I32" s="11">
        <f>+SUMIF($N$3:$ZZ$3,I$3,$N32:$ZZ32)</f>
        <v>0</v>
      </c>
      <c r="J32" s="13" cm="1">
        <f t="array" ref="J32">MAX(IF($N$3:$EH$3=$J$3,N32:EH32))</f>
        <v>0</v>
      </c>
      <c r="K32" s="13" cm="1">
        <f t="array" ref="K32">MAX(IF($N$3:$EH$3=$J$3,N32:EH32))</f>
        <v>0</v>
      </c>
      <c r="L32" s="11"/>
      <c r="O32" s="12"/>
      <c r="P32" s="12">
        <v>0.3</v>
      </c>
      <c r="Q32" s="12"/>
      <c r="R32" s="12">
        <v>0.3</v>
      </c>
      <c r="V32" s="12"/>
      <c r="W32" s="12">
        <v>0.3</v>
      </c>
      <c r="X32" s="12"/>
      <c r="Y32" s="12">
        <v>0.3</v>
      </c>
      <c r="AC32" s="12"/>
      <c r="AD32" s="12">
        <v>0.5</v>
      </c>
      <c r="AE32" s="12"/>
      <c r="AF32" s="12">
        <v>0.5</v>
      </c>
      <c r="AJ32" s="12"/>
      <c r="AK32" s="12">
        <v>0.5</v>
      </c>
      <c r="AL32" s="12"/>
      <c r="AM32" s="12">
        <v>0.5</v>
      </c>
      <c r="AQ32" s="12"/>
      <c r="AR32" s="12">
        <v>0.5</v>
      </c>
      <c r="AS32" s="12"/>
      <c r="AT32" s="12">
        <v>0.5</v>
      </c>
      <c r="AX32" s="12"/>
      <c r="AY32" s="12">
        <v>0.5</v>
      </c>
      <c r="AZ32" s="12"/>
      <c r="BA32" s="12">
        <v>0.5</v>
      </c>
      <c r="BE32" s="12"/>
      <c r="BF32" s="12">
        <v>0.8</v>
      </c>
      <c r="BG32" s="12"/>
      <c r="BH32" s="12">
        <v>0.8</v>
      </c>
      <c r="BL32" s="12"/>
      <c r="BM32" s="12">
        <v>0.8</v>
      </c>
      <c r="BN32" s="12"/>
      <c r="BO32" s="12">
        <v>0.8</v>
      </c>
      <c r="BS32" s="12"/>
      <c r="BT32" s="12">
        <v>0.8</v>
      </c>
      <c r="BU32" s="12"/>
      <c r="BV32" s="12">
        <v>0.8</v>
      </c>
      <c r="BZ32" s="12"/>
      <c r="CA32" s="12">
        <v>0.8</v>
      </c>
      <c r="CB32" s="12"/>
      <c r="CC32" s="12">
        <v>0.8</v>
      </c>
      <c r="CG32" s="12"/>
      <c r="CH32" s="12">
        <v>0.8</v>
      </c>
      <c r="CI32" s="12"/>
      <c r="CJ32" s="12">
        <v>0.8</v>
      </c>
      <c r="CN32" s="12"/>
      <c r="CO32" s="12">
        <v>1</v>
      </c>
      <c r="CP32" s="12"/>
      <c r="CQ32" s="12">
        <v>1</v>
      </c>
      <c r="CU32" s="12"/>
      <c r="CV32" s="12">
        <v>1</v>
      </c>
      <c r="CW32" s="12"/>
      <c r="CX32" s="12">
        <v>1</v>
      </c>
      <c r="DB32" s="12"/>
      <c r="DC32" s="12">
        <v>1</v>
      </c>
      <c r="DD32" s="12"/>
      <c r="DE32" s="12">
        <v>1</v>
      </c>
      <c r="DI32" s="12"/>
      <c r="DJ32" s="12"/>
      <c r="DK32" s="12"/>
      <c r="DL32" s="12"/>
      <c r="DP32" s="12"/>
      <c r="DQ32" s="12"/>
      <c r="DR32" s="12"/>
      <c r="DS32" s="12"/>
      <c r="DW32" s="12"/>
      <c r="DX32" s="12"/>
      <c r="DY32" s="12"/>
      <c r="DZ32" s="12"/>
      <c r="ED32" s="12"/>
      <c r="EE32" s="12"/>
      <c r="EF32" s="12"/>
      <c r="EG32" s="12"/>
    </row>
    <row r="33" spans="2:137" outlineLevel="1">
      <c r="B33" t="s">
        <v>28</v>
      </c>
      <c r="C33" t="s">
        <v>108</v>
      </c>
      <c r="E33" s="11"/>
      <c r="F33" t="s">
        <v>112</v>
      </c>
      <c r="G33" s="12">
        <v>0</v>
      </c>
      <c r="I33" s="11">
        <f>+SUMIF($N$3:$ZZ$3,I$3,$N33:$ZZ33)</f>
        <v>0</v>
      </c>
      <c r="J33" s="13" cm="1">
        <f t="array" ref="J33">MAX(IF($N$3:$EH$3=$J$3,N33:EH33))</f>
        <v>0</v>
      </c>
      <c r="K33" s="13" cm="1">
        <f t="array" ref="K33">MAX(IF($N$3:$EH$3=$J$3,N33:EH33))</f>
        <v>0</v>
      </c>
      <c r="L33" s="11"/>
      <c r="O33" s="12"/>
      <c r="P33" s="12">
        <v>0.3</v>
      </c>
      <c r="Q33" s="12"/>
      <c r="R33" s="12">
        <v>0.3</v>
      </c>
      <c r="V33" s="12"/>
      <c r="W33" s="12">
        <v>0.3</v>
      </c>
      <c r="X33" s="12"/>
      <c r="Y33" s="12">
        <v>0.3</v>
      </c>
      <c r="AC33" s="12"/>
      <c r="AD33" s="12">
        <v>0.3</v>
      </c>
      <c r="AE33" s="12"/>
      <c r="AF33" s="12">
        <v>0.3</v>
      </c>
      <c r="AJ33" s="12"/>
      <c r="AK33" s="12">
        <v>0.3</v>
      </c>
      <c r="AL33" s="12"/>
      <c r="AM33" s="12">
        <v>0.3</v>
      </c>
      <c r="AQ33" s="12"/>
      <c r="AR33" s="12">
        <v>0.3</v>
      </c>
      <c r="AS33" s="12"/>
      <c r="AT33" s="12">
        <v>0.3</v>
      </c>
      <c r="AX33" s="12"/>
      <c r="AY33" s="12">
        <v>0.5</v>
      </c>
      <c r="AZ33" s="12"/>
      <c r="BA33" s="12">
        <v>0.5</v>
      </c>
      <c r="BE33" s="12"/>
      <c r="BF33" s="12">
        <v>0.5</v>
      </c>
      <c r="BG33" s="12"/>
      <c r="BH33" s="12">
        <v>0.5</v>
      </c>
      <c r="BL33" s="12"/>
      <c r="BM33" s="12">
        <v>0.8</v>
      </c>
      <c r="BN33" s="12"/>
      <c r="BO33" s="12">
        <v>0.8</v>
      </c>
      <c r="BS33" s="12"/>
      <c r="BT33" s="12">
        <v>0.8</v>
      </c>
      <c r="BU33" s="12"/>
      <c r="BV33" s="12">
        <v>0.8</v>
      </c>
      <c r="BZ33" s="12"/>
      <c r="CA33" s="12">
        <v>0.8</v>
      </c>
      <c r="CB33" s="12"/>
      <c r="CC33" s="12">
        <v>0.8</v>
      </c>
      <c r="CG33" s="12"/>
      <c r="CH33" s="12">
        <v>0.8</v>
      </c>
      <c r="CI33" s="12"/>
      <c r="CJ33" s="12">
        <v>0.8</v>
      </c>
      <c r="CN33" s="12"/>
      <c r="CO33" s="12">
        <v>0.8</v>
      </c>
      <c r="CP33" s="12"/>
      <c r="CQ33" s="12">
        <v>0.8</v>
      </c>
      <c r="CU33" s="12"/>
      <c r="CV33" s="12">
        <v>0.8</v>
      </c>
      <c r="CW33" s="12"/>
      <c r="CX33" s="12">
        <v>0.8</v>
      </c>
      <c r="DB33" s="12"/>
      <c r="DC33" s="12">
        <v>1</v>
      </c>
      <c r="DD33" s="12"/>
      <c r="DE33" s="12">
        <v>1</v>
      </c>
      <c r="DI33" s="12"/>
      <c r="DJ33" s="12"/>
      <c r="DK33" s="12"/>
      <c r="DL33" s="12"/>
      <c r="DP33" s="12"/>
      <c r="DQ33" s="12"/>
      <c r="DR33" s="12"/>
      <c r="DS33" s="12"/>
      <c r="DW33" s="12"/>
      <c r="DX33" s="12"/>
      <c r="DY33" s="12"/>
      <c r="DZ33" s="12"/>
      <c r="ED33" s="12"/>
      <c r="EE33" s="12"/>
      <c r="EF33" s="12"/>
      <c r="EG33" s="12"/>
    </row>
  </sheetData>
  <mergeCells count="19">
    <mergeCell ref="BY2:CD2"/>
    <mergeCell ref="CF2:CK2"/>
    <mergeCell ref="CM2:CR2"/>
    <mergeCell ref="DH2:DM2"/>
    <mergeCell ref="DO2:DT2"/>
    <mergeCell ref="DV2:EA2"/>
    <mergeCell ref="EC2:EH2"/>
    <mergeCell ref="I2:L2"/>
    <mergeCell ref="N2:S2"/>
    <mergeCell ref="BD2:BI2"/>
    <mergeCell ref="U2:Z2"/>
    <mergeCell ref="AB2:AG2"/>
    <mergeCell ref="AI2:AN2"/>
    <mergeCell ref="AP2:AU2"/>
    <mergeCell ref="AW2:BB2"/>
    <mergeCell ref="CT2:CY2"/>
    <mergeCell ref="DA2:DF2"/>
    <mergeCell ref="BK2:BP2"/>
    <mergeCell ref="BR2:BW2"/>
  </mergeCells>
  <conditionalFormatting sqref="O12 Q12 Q15:Q18 O15:O18 CB5:CB8 O5:O9 Q5:Q9 AQ5:AQ9 AS5:AS9 BE5:BE9 BG5:BG9 V5:V9 X5:X9 AC5:AC9 AE5:AE9 AJ5:AJ9 AL5:AL9 AX5:AX9 AZ5:AZ9 BL5:BL9 BN5:BN9 BS5:BS9 BU5:BU9 BZ5:BZ9 CG5:CG9 CI5:CI9 CN5:CN9 CP5:CP9 CU5:CU9 CW5:CW9 DB5:DB9 DD5:DD9 AJ23:AJ24 AL23:AL24 AX23:AX24 AZ23:AZ24 Q23:Q24 O23:O24 BG23:BG24 X23:X24 V23:V24 AE23:AE24 AC23:AC24 AS23:AS24 AQ23:AQ24 BE23:BE24 BN23:BN24 BL23:BL24 BU23:BU24 BS23:BS24 CB23:CB24 BZ23:BZ24 CI23:CI24 CG23:CG24 CP23:CP24 CN23:CN24 CW23:CW24 CU23:CU24 DD23:DD24 DB23:DB24 AJ29 AL29 AX29 AZ29 Q29 O29 BG29 X29 V29 AE29 AC29 AS29 AQ29 BE29 BN29 BL29 BU29 BS29 CB29 BZ29 CI29 CG29 CP29 CN29 CW29 CU29 DD29 DB29 Q32:Q33 O32:O33 X32:X33 V32:V33 AE32:AE33 AC32:AC33 AJ32:AJ33 AL32:AL33 AS32:AS33 AQ32:AQ33 AX32:AX33 AZ32:AZ33 BG32:BG33 BE32:BE33 BN32:BN33 BL32:BL33 BU32:BU33 BS32:BS33 CB32:CB33 BZ32:BZ33 CI32:CI33 CG32:CG33 CP32:CP33 CN32:CN33 CW32:CW33 CU32:CU33 DD32:DD33 DB32:DB33">
    <cfRule type="expression" dxfId="278" priority="629">
      <formula>OR(IF(O5&lt;P5,TRUE),IF(AND(P5="",O5&lt;&gt;""),TRUE))</formula>
    </cfRule>
    <cfRule type="expression" dxfId="277" priority="630">
      <formula>IF(O5&gt;=P5,IF(O5="",FALSE,TRUE))</formula>
    </cfRule>
  </conditionalFormatting>
  <conditionalFormatting sqref="AQ12 AS12 AS15:AS18 AQ15:AQ18">
    <cfRule type="expression" dxfId="276" priority="496">
      <formula>OR(IF(AQ12&lt;AR12,TRUE),IF(AND(AR12="",AQ12&lt;&gt;""),TRUE))</formula>
    </cfRule>
    <cfRule type="expression" dxfId="275" priority="497">
      <formula>IF(AQ12&gt;=AR12,IF(AQ12="",FALSE,TRUE))</formula>
    </cfRule>
  </conditionalFormatting>
  <conditionalFormatting sqref="O21:O22">
    <cfRule type="expression" dxfId="274" priority="570">
      <formula>OR(IF(O21&lt;P21,TRUE),IF(AND(P21="",O21&lt;&gt;""),TRUE))</formula>
    </cfRule>
    <cfRule type="expression" dxfId="273" priority="571">
      <formula>IF(O21&gt;=P21,IF(O21="",FALSE,TRUE))</formula>
    </cfRule>
  </conditionalFormatting>
  <conditionalFormatting sqref="Q21:Q22">
    <cfRule type="expression" dxfId="272" priority="568">
      <formula>OR(IF(Q21&lt;R21,TRUE),IF(AND(R21="",Q21&lt;&gt;""),TRUE))</formula>
    </cfRule>
    <cfRule type="expression" dxfId="271" priority="569">
      <formula>IF(Q21&gt;=R21,IF(Q21="",FALSE,TRUE))</formula>
    </cfRule>
  </conditionalFormatting>
  <conditionalFormatting sqref="BE12 BG12 BG15:BG18 BE15:BE18">
    <cfRule type="expression" dxfId="270" priority="464">
      <formula>OR(IF(BE12&lt;BF12,TRUE),IF(AND(BF12="",BE12&lt;&gt;""),TRUE))</formula>
    </cfRule>
    <cfRule type="expression" dxfId="269" priority="465">
      <formula>IF(BE12&gt;=BF12,IF(BE12="",FALSE,TRUE))</formula>
    </cfRule>
  </conditionalFormatting>
  <conditionalFormatting sqref="BE21:BE22">
    <cfRule type="expression" dxfId="268" priority="460">
      <formula>OR(IF(BE21&lt;BF21,TRUE),IF(AND(BF21="",BE21&lt;&gt;""),TRUE))</formula>
    </cfRule>
    <cfRule type="expression" dxfId="267" priority="461">
      <formula>IF(BE21&gt;=BF21,IF(BE21="",FALSE,TRUE))</formula>
    </cfRule>
  </conditionalFormatting>
  <conditionalFormatting sqref="V12 X12 X15:X18 V15:V18">
    <cfRule type="expression" dxfId="266" priority="544">
      <formula>OR(IF(V12&lt;W12,TRUE),IF(AND(W12="",V12&lt;&gt;""),TRUE))</formula>
    </cfRule>
    <cfRule type="expression" dxfId="265" priority="545">
      <formula>IF(V12&gt;=W12,IF(V12="",FALSE,TRUE))</formula>
    </cfRule>
  </conditionalFormatting>
  <conditionalFormatting sqref="V21:V22">
    <cfRule type="expression" dxfId="264" priority="540">
      <formula>OR(IF(V21&lt;W21,TRUE),IF(AND(W21="",V21&lt;&gt;""),TRUE))</formula>
    </cfRule>
    <cfRule type="expression" dxfId="263" priority="541">
      <formula>IF(V21&gt;=W21,IF(V21="",FALSE,TRUE))</formula>
    </cfRule>
  </conditionalFormatting>
  <conditionalFormatting sqref="X21:X22">
    <cfRule type="expression" dxfId="262" priority="538">
      <formula>OR(IF(X21&lt;Y21,TRUE),IF(AND(Y21="",X21&lt;&gt;""),TRUE))</formula>
    </cfRule>
    <cfRule type="expression" dxfId="261" priority="539">
      <formula>IF(X21&gt;=Y21,IF(X21="",FALSE,TRUE))</formula>
    </cfRule>
  </conditionalFormatting>
  <conditionalFormatting sqref="AC12 AE12 AE15:AE18 AC15:AC18">
    <cfRule type="expression" dxfId="260" priority="528">
      <formula>OR(IF(AC12&lt;AD12,TRUE),IF(AND(AD12="",AC12&lt;&gt;""),TRUE))</formula>
    </cfRule>
    <cfRule type="expression" dxfId="259" priority="529">
      <formula>IF(AC12&gt;=AD12,IF(AC12="",FALSE,TRUE))</formula>
    </cfRule>
  </conditionalFormatting>
  <conditionalFormatting sqref="AC21:AC22">
    <cfRule type="expression" dxfId="258" priority="524">
      <formula>OR(IF(AC21&lt;AD21,TRUE),IF(AND(AD21="",AC21&lt;&gt;""),TRUE))</formula>
    </cfRule>
    <cfRule type="expression" dxfId="257" priority="525">
      <formula>IF(AC21&gt;=AD21,IF(AC21="",FALSE,TRUE))</formula>
    </cfRule>
  </conditionalFormatting>
  <conditionalFormatting sqref="AE21:AE22">
    <cfRule type="expression" dxfId="256" priority="522">
      <formula>OR(IF(AE21&lt;AF21,TRUE),IF(AND(AF21="",AE21&lt;&gt;""),TRUE))</formula>
    </cfRule>
    <cfRule type="expression" dxfId="255" priority="523">
      <formula>IF(AE21&gt;=AF21,IF(AE21="",FALSE,TRUE))</formula>
    </cfRule>
  </conditionalFormatting>
  <conditionalFormatting sqref="AJ12 AL12 AL15:AL18 AJ15:AJ18">
    <cfRule type="expression" dxfId="254" priority="512">
      <formula>OR(IF(AJ12&lt;AK12,TRUE),IF(AND(AK12="",AJ12&lt;&gt;""),TRUE))</formula>
    </cfRule>
    <cfRule type="expression" dxfId="253" priority="513">
      <formula>IF(AJ12&gt;=AK12,IF(AJ12="",FALSE,TRUE))</formula>
    </cfRule>
  </conditionalFormatting>
  <conditionalFormatting sqref="AJ21:AJ22">
    <cfRule type="expression" dxfId="252" priority="508">
      <formula>OR(IF(AJ21&lt;AK21,TRUE),IF(AND(AK21="",AJ21&lt;&gt;""),TRUE))</formula>
    </cfRule>
    <cfRule type="expression" dxfId="251" priority="509">
      <formula>IF(AJ21&gt;=AK21,IF(AJ21="",FALSE,TRUE))</formula>
    </cfRule>
  </conditionalFormatting>
  <conditionalFormatting sqref="AL21:AL22">
    <cfRule type="expression" dxfId="250" priority="506">
      <formula>OR(IF(AL21&lt;AM21,TRUE),IF(AND(AM21="",AL21&lt;&gt;""),TRUE))</formula>
    </cfRule>
    <cfRule type="expression" dxfId="249" priority="507">
      <formula>IF(AL21&gt;=AM21,IF(AL21="",FALSE,TRUE))</formula>
    </cfRule>
  </conditionalFormatting>
  <conditionalFormatting sqref="AQ21:AQ22">
    <cfRule type="expression" dxfId="248" priority="492">
      <formula>OR(IF(AQ21&lt;AR21,TRUE),IF(AND(AR21="",AQ21&lt;&gt;""),TRUE))</formula>
    </cfRule>
    <cfRule type="expression" dxfId="247" priority="493">
      <formula>IF(AQ21&gt;=AR21,IF(AQ21="",FALSE,TRUE))</formula>
    </cfRule>
  </conditionalFormatting>
  <conditionalFormatting sqref="AS21:AS22">
    <cfRule type="expression" dxfId="246" priority="490">
      <formula>OR(IF(AS21&lt;AT21,TRUE),IF(AND(AT21="",AS21&lt;&gt;""),TRUE))</formula>
    </cfRule>
    <cfRule type="expression" dxfId="245" priority="491">
      <formula>IF(AS21&gt;=AT21,IF(AS21="",FALSE,TRUE))</formula>
    </cfRule>
  </conditionalFormatting>
  <conditionalFormatting sqref="AX12 AZ12 AZ15:AZ18 AX15:AX18">
    <cfRule type="expression" dxfId="244" priority="480">
      <formula>OR(IF(AX12&lt;AY12,TRUE),IF(AND(AY12="",AX12&lt;&gt;""),TRUE))</formula>
    </cfRule>
    <cfRule type="expression" dxfId="243" priority="481">
      <formula>IF(AX12&gt;=AY12,IF(AX12="",FALSE,TRUE))</formula>
    </cfRule>
  </conditionalFormatting>
  <conditionalFormatting sqref="AX21:AX22">
    <cfRule type="expression" dxfId="242" priority="476">
      <formula>OR(IF(AX21&lt;AY21,TRUE),IF(AND(AY21="",AX21&lt;&gt;""),TRUE))</formula>
    </cfRule>
    <cfRule type="expression" dxfId="241" priority="477">
      <formula>IF(AX21&gt;=AY21,IF(AX21="",FALSE,TRUE))</formula>
    </cfRule>
  </conditionalFormatting>
  <conditionalFormatting sqref="AZ21:AZ22">
    <cfRule type="expression" dxfId="240" priority="474">
      <formula>OR(IF(AZ21&lt;BA21,TRUE),IF(AND(BA21="",AZ21&lt;&gt;""),TRUE))</formula>
    </cfRule>
    <cfRule type="expression" dxfId="239" priority="475">
      <formula>IF(AZ21&gt;=BA21,IF(AZ21="",FALSE,TRUE))</formula>
    </cfRule>
  </conditionalFormatting>
  <conditionalFormatting sqref="BG21:BG22">
    <cfRule type="expression" dxfId="238" priority="458">
      <formula>OR(IF(BG21&lt;BH21,TRUE),IF(AND(BH21="",BG21&lt;&gt;""),TRUE))</formula>
    </cfRule>
    <cfRule type="expression" dxfId="237" priority="459">
      <formula>IF(BG21&gt;=BH21,IF(BG21="",FALSE,TRUE))</formula>
    </cfRule>
  </conditionalFormatting>
  <conditionalFormatting sqref="BL12 BN12 BN15:BN18 BL15:BL18">
    <cfRule type="expression" dxfId="236" priority="440">
      <formula>OR(IF(BL12&lt;BM12,TRUE),IF(AND(BM12="",BL12&lt;&gt;""),TRUE))</formula>
    </cfRule>
    <cfRule type="expression" dxfId="235" priority="441">
      <formula>IF(BL12&gt;=BM12,IF(BL12="",FALSE,TRUE))</formula>
    </cfRule>
  </conditionalFormatting>
  <conditionalFormatting sqref="BL21:BL22">
    <cfRule type="expression" dxfId="234" priority="436">
      <formula>OR(IF(BL21&lt;BM21,TRUE),IF(AND(BM21="",BL21&lt;&gt;""),TRUE))</formula>
    </cfRule>
    <cfRule type="expression" dxfId="233" priority="437">
      <formula>IF(BL21&gt;=BM21,IF(BL21="",FALSE,TRUE))</formula>
    </cfRule>
  </conditionalFormatting>
  <conditionalFormatting sqref="BN21:BN22">
    <cfRule type="expression" dxfId="232" priority="434">
      <formula>OR(IF(BN21&lt;BO21,TRUE),IF(AND(BO21="",BN21&lt;&gt;""),TRUE))</formula>
    </cfRule>
    <cfRule type="expression" dxfId="231" priority="435">
      <formula>IF(BN21&gt;=BO21,IF(BN21="",FALSE,TRUE))</formula>
    </cfRule>
  </conditionalFormatting>
  <conditionalFormatting sqref="O27:O28">
    <cfRule type="expression" dxfId="230" priority="357">
      <formula>OR(IF(O27&lt;P27,TRUE),IF(AND(P27="",O27&lt;&gt;""),TRUE))</formula>
    </cfRule>
    <cfRule type="expression" dxfId="229" priority="358">
      <formula>IF(O27&gt;=P27,IF(O27="",FALSE,TRUE))</formula>
    </cfRule>
  </conditionalFormatting>
  <conditionalFormatting sqref="Q27:Q28">
    <cfRule type="expression" dxfId="228" priority="355">
      <formula>OR(IF(Q27&lt;R27,TRUE),IF(AND(R27="",Q27&lt;&gt;""),TRUE))</formula>
    </cfRule>
    <cfRule type="expression" dxfId="227" priority="356">
      <formula>IF(Q27&gt;=R27,IF(Q27="",FALSE,TRUE))</formula>
    </cfRule>
  </conditionalFormatting>
  <conditionalFormatting sqref="BE27:BE28">
    <cfRule type="expression" dxfId="226" priority="309">
      <formula>OR(IF(BE27&lt;BF27,TRUE),IF(AND(BF27="",BE27&lt;&gt;""),TRUE))</formula>
    </cfRule>
    <cfRule type="expression" dxfId="225" priority="310">
      <formula>IF(BE27&gt;=BF27,IF(BE27="",FALSE,TRUE))</formula>
    </cfRule>
  </conditionalFormatting>
  <conditionalFormatting sqref="V27:V28">
    <cfRule type="expression" dxfId="224" priority="349">
      <formula>OR(IF(V27&lt;W27,TRUE),IF(AND(W27="",V27&lt;&gt;""),TRUE))</formula>
    </cfRule>
    <cfRule type="expression" dxfId="223" priority="350">
      <formula>IF(V27&gt;=W27,IF(V27="",FALSE,TRUE))</formula>
    </cfRule>
  </conditionalFormatting>
  <conditionalFormatting sqref="X27:X28">
    <cfRule type="expression" dxfId="222" priority="347">
      <formula>OR(IF(X27&lt;Y27,TRUE),IF(AND(Y27="",X27&lt;&gt;""),TRUE))</formula>
    </cfRule>
    <cfRule type="expression" dxfId="221" priority="348">
      <formula>IF(X27&gt;=Y27,IF(X27="",FALSE,TRUE))</formula>
    </cfRule>
  </conditionalFormatting>
  <conditionalFormatting sqref="AC27:AC28">
    <cfRule type="expression" dxfId="220" priority="341">
      <formula>OR(IF(AC27&lt;AD27,TRUE),IF(AND(AD27="",AC27&lt;&gt;""),TRUE))</formula>
    </cfRule>
    <cfRule type="expression" dxfId="219" priority="342">
      <formula>IF(AC27&gt;=AD27,IF(AC27="",FALSE,TRUE))</formula>
    </cfRule>
  </conditionalFormatting>
  <conditionalFormatting sqref="AE27:AE28">
    <cfRule type="expression" dxfId="218" priority="339">
      <formula>OR(IF(AE27&lt;AF27,TRUE),IF(AND(AF27="",AE27&lt;&gt;""),TRUE))</formula>
    </cfRule>
    <cfRule type="expression" dxfId="217" priority="340">
      <formula>IF(AE27&gt;=AF27,IF(AE27="",FALSE,TRUE))</formula>
    </cfRule>
  </conditionalFormatting>
  <conditionalFormatting sqref="AJ27:AJ28">
    <cfRule type="expression" dxfId="216" priority="333">
      <formula>OR(IF(AJ27&lt;AK27,TRUE),IF(AND(AK27="",AJ27&lt;&gt;""),TRUE))</formula>
    </cfRule>
    <cfRule type="expression" dxfId="215" priority="334">
      <formula>IF(AJ27&gt;=AK27,IF(AJ27="",FALSE,TRUE))</formula>
    </cfRule>
  </conditionalFormatting>
  <conditionalFormatting sqref="AL27:AL28">
    <cfRule type="expression" dxfId="214" priority="331">
      <formula>OR(IF(AL27&lt;AM27,TRUE),IF(AND(AM27="",AL27&lt;&gt;""),TRUE))</formula>
    </cfRule>
    <cfRule type="expression" dxfId="213" priority="332">
      <formula>IF(AL27&gt;=AM27,IF(AL27="",FALSE,TRUE))</formula>
    </cfRule>
  </conditionalFormatting>
  <conditionalFormatting sqref="AQ27:AQ28">
    <cfRule type="expression" dxfId="212" priority="325">
      <formula>OR(IF(AQ27&lt;AR27,TRUE),IF(AND(AR27="",AQ27&lt;&gt;""),TRUE))</formula>
    </cfRule>
    <cfRule type="expression" dxfId="211" priority="326">
      <formula>IF(AQ27&gt;=AR27,IF(AQ27="",FALSE,TRUE))</formula>
    </cfRule>
  </conditionalFormatting>
  <conditionalFormatting sqref="AS27:AS28">
    <cfRule type="expression" dxfId="210" priority="323">
      <formula>OR(IF(AS27&lt;AT27,TRUE),IF(AND(AT27="",AS27&lt;&gt;""),TRUE))</formula>
    </cfRule>
    <cfRule type="expression" dxfId="209" priority="324">
      <formula>IF(AS27&gt;=AT27,IF(AS27="",FALSE,TRUE))</formula>
    </cfRule>
  </conditionalFormatting>
  <conditionalFormatting sqref="AX27:AX28">
    <cfRule type="expression" dxfId="208" priority="317">
      <formula>OR(IF(AX27&lt;AY27,TRUE),IF(AND(AY27="",AX27&lt;&gt;""),TRUE))</formula>
    </cfRule>
    <cfRule type="expression" dxfId="207" priority="318">
      <formula>IF(AX27&gt;=AY27,IF(AX27="",FALSE,TRUE))</formula>
    </cfRule>
  </conditionalFormatting>
  <conditionalFormatting sqref="AZ27:AZ28">
    <cfRule type="expression" dxfId="206" priority="315">
      <formula>OR(IF(AZ27&lt;BA27,TRUE),IF(AND(BA27="",AZ27&lt;&gt;""),TRUE))</formula>
    </cfRule>
    <cfRule type="expression" dxfId="205" priority="316">
      <formula>IF(AZ27&gt;=BA27,IF(AZ27="",FALSE,TRUE))</formula>
    </cfRule>
  </conditionalFormatting>
  <conditionalFormatting sqref="BG27:BG28">
    <cfRule type="expression" dxfId="204" priority="307">
      <formula>OR(IF(BG27&lt;BH27,TRUE),IF(AND(BH27="",BG27&lt;&gt;""),TRUE))</formula>
    </cfRule>
    <cfRule type="expression" dxfId="203" priority="308">
      <formula>IF(BG27&gt;=BH27,IF(BG27="",FALSE,TRUE))</formula>
    </cfRule>
  </conditionalFormatting>
  <conditionalFormatting sqref="BL27:BL28">
    <cfRule type="expression" dxfId="202" priority="298">
      <formula>OR(IF(BL27&lt;BM27,TRUE),IF(AND(BM27="",BL27&lt;&gt;""),TRUE))</formula>
    </cfRule>
    <cfRule type="expression" dxfId="201" priority="299">
      <formula>IF(BL27&gt;=BM27,IF(BL27="",FALSE,TRUE))</formula>
    </cfRule>
  </conditionalFormatting>
  <conditionalFormatting sqref="BN27:BN28">
    <cfRule type="expression" dxfId="200" priority="296">
      <formula>OR(IF(BN27&lt;BO27,TRUE),IF(AND(BO27="",BN27&lt;&gt;""),TRUE))</formula>
    </cfRule>
    <cfRule type="expression" dxfId="199" priority="297">
      <formula>IF(BN27&gt;=BO27,IF(BN27="",FALSE,TRUE))</formula>
    </cfRule>
  </conditionalFormatting>
  <conditionalFormatting sqref="O13 Q13">
    <cfRule type="expression" dxfId="198" priority="223">
      <formula>OR(IF(O13&lt;P13,TRUE),IF(AND(P13="",O13&lt;&gt;""),TRUE))</formula>
    </cfRule>
    <cfRule type="expression" dxfId="197" priority="224">
      <formula>IF(O13&gt;=P13,IF(O13="",FALSE,TRUE))</formula>
    </cfRule>
  </conditionalFormatting>
  <conditionalFormatting sqref="AQ13 AS13">
    <cfRule type="expression" dxfId="196" priority="215">
      <formula>OR(IF(AQ13&lt;AR13,TRUE),IF(AND(AR13="",AQ13&lt;&gt;""),TRUE))</formula>
    </cfRule>
    <cfRule type="expression" dxfId="195" priority="216">
      <formula>IF(AQ13&gt;=AR13,IF(AQ13="",FALSE,TRUE))</formula>
    </cfRule>
  </conditionalFormatting>
  <conditionalFormatting sqref="BE13 BG13">
    <cfRule type="expression" dxfId="194" priority="211">
      <formula>OR(IF(BE13&lt;BF13,TRUE),IF(AND(BF13="",BE13&lt;&gt;""),TRUE))</formula>
    </cfRule>
    <cfRule type="expression" dxfId="193" priority="212">
      <formula>IF(BE13&gt;=BF13,IF(BE13="",FALSE,TRUE))</formula>
    </cfRule>
  </conditionalFormatting>
  <conditionalFormatting sqref="V13 X13">
    <cfRule type="expression" dxfId="192" priority="221">
      <formula>OR(IF(V13&lt;W13,TRUE),IF(AND(W13="",V13&lt;&gt;""),TRUE))</formula>
    </cfRule>
    <cfRule type="expression" dxfId="191" priority="222">
      <formula>IF(V13&gt;=W13,IF(V13="",FALSE,TRUE))</formula>
    </cfRule>
  </conditionalFormatting>
  <conditionalFormatting sqref="AC13 AE13">
    <cfRule type="expression" dxfId="190" priority="219">
      <formula>OR(IF(AC13&lt;AD13,TRUE),IF(AND(AD13="",AC13&lt;&gt;""),TRUE))</formula>
    </cfRule>
    <cfRule type="expression" dxfId="189" priority="220">
      <formula>IF(AC13&gt;=AD13,IF(AC13="",FALSE,TRUE))</formula>
    </cfRule>
  </conditionalFormatting>
  <conditionalFormatting sqref="AJ13 AL13">
    <cfRule type="expression" dxfId="188" priority="217">
      <formula>OR(IF(AJ13&lt;AK13,TRUE),IF(AND(AK13="",AJ13&lt;&gt;""),TRUE))</formula>
    </cfRule>
    <cfRule type="expression" dxfId="187" priority="218">
      <formula>IF(AJ13&gt;=AK13,IF(AJ13="",FALSE,TRUE))</formula>
    </cfRule>
  </conditionalFormatting>
  <conditionalFormatting sqref="AX13 AZ13">
    <cfRule type="expression" dxfId="186" priority="213">
      <formula>OR(IF(AX13&lt;AY13,TRUE),IF(AND(AY13="",AX13&lt;&gt;""),TRUE))</formula>
    </cfRule>
    <cfRule type="expression" dxfId="185" priority="214">
      <formula>IF(AX13&gt;=AY13,IF(AX13="",FALSE,TRUE))</formula>
    </cfRule>
  </conditionalFormatting>
  <conditionalFormatting sqref="J13:K13">
    <cfRule type="colorScale" priority="210">
      <colorScale>
        <cfvo type="percent" val="0"/>
        <cfvo type="percent" val="100"/>
        <color rgb="FFFF231B"/>
        <color rgb="FF10FF07"/>
      </colorScale>
    </cfRule>
  </conditionalFormatting>
  <conditionalFormatting sqref="J13">
    <cfRule type="colorScale" priority="209">
      <colorScale>
        <cfvo type="percent" val="0"/>
        <cfvo type="percent" val="100"/>
        <color rgb="FFFF231B"/>
        <color rgb="FF10FF07"/>
      </colorScale>
    </cfRule>
  </conditionalFormatting>
  <conditionalFormatting sqref="K13">
    <cfRule type="colorScale" priority="208">
      <colorScale>
        <cfvo type="percent" val="0"/>
        <cfvo type="percent" val="100"/>
        <color rgb="FFFF231B"/>
        <color rgb="FF10FF07"/>
      </colorScale>
    </cfRule>
  </conditionalFormatting>
  <conditionalFormatting sqref="BL13 BN13">
    <cfRule type="expression" dxfId="184" priority="206">
      <formula>OR(IF(BL13&lt;BM13,TRUE),IF(AND(BM13="",BL13&lt;&gt;""),TRUE))</formula>
    </cfRule>
    <cfRule type="expression" dxfId="183" priority="207">
      <formula>IF(BL13&gt;=BM13,IF(BL13="",FALSE,TRUE))</formula>
    </cfRule>
  </conditionalFormatting>
  <conditionalFormatting sqref="Q14 O14">
    <cfRule type="expression" dxfId="182" priority="204">
      <formula>OR(IF(O14&lt;P14,TRUE),IF(AND(P14="",O14&lt;&gt;""),TRUE))</formula>
    </cfRule>
    <cfRule type="expression" dxfId="181" priority="205">
      <formula>IF(O14&gt;=P14,IF(O14="",FALSE,TRUE))</formula>
    </cfRule>
  </conditionalFormatting>
  <conditionalFormatting sqref="AS14 AQ14">
    <cfRule type="expression" dxfId="180" priority="196">
      <formula>OR(IF(AQ14&lt;AR14,TRUE),IF(AND(AR14="",AQ14&lt;&gt;""),TRUE))</formula>
    </cfRule>
    <cfRule type="expression" dxfId="179" priority="197">
      <formula>IF(AQ14&gt;=AR14,IF(AQ14="",FALSE,TRUE))</formula>
    </cfRule>
  </conditionalFormatting>
  <conditionalFormatting sqref="BG14 BE14">
    <cfRule type="expression" dxfId="178" priority="192">
      <formula>OR(IF(BE14&lt;BF14,TRUE),IF(AND(BF14="",BE14&lt;&gt;""),TRUE))</formula>
    </cfRule>
    <cfRule type="expression" dxfId="177" priority="193">
      <formula>IF(BE14&gt;=BF14,IF(BE14="",FALSE,TRUE))</formula>
    </cfRule>
  </conditionalFormatting>
  <conditionalFormatting sqref="X14 V14">
    <cfRule type="expression" dxfId="176" priority="202">
      <formula>OR(IF(V14&lt;W14,TRUE),IF(AND(W14="",V14&lt;&gt;""),TRUE))</formula>
    </cfRule>
    <cfRule type="expression" dxfId="175" priority="203">
      <formula>IF(V14&gt;=W14,IF(V14="",FALSE,TRUE))</formula>
    </cfRule>
  </conditionalFormatting>
  <conditionalFormatting sqref="AE14 AC14">
    <cfRule type="expression" dxfId="174" priority="200">
      <formula>OR(IF(AC14&lt;AD14,TRUE),IF(AND(AD14="",AC14&lt;&gt;""),TRUE))</formula>
    </cfRule>
    <cfRule type="expression" dxfId="173" priority="201">
      <formula>IF(AC14&gt;=AD14,IF(AC14="",FALSE,TRUE))</formula>
    </cfRule>
  </conditionalFormatting>
  <conditionalFormatting sqref="AL14 AJ14">
    <cfRule type="expression" dxfId="172" priority="198">
      <formula>OR(IF(AJ14&lt;AK14,TRUE),IF(AND(AK14="",AJ14&lt;&gt;""),TRUE))</formula>
    </cfRule>
    <cfRule type="expression" dxfId="171" priority="199">
      <formula>IF(AJ14&gt;=AK14,IF(AJ14="",FALSE,TRUE))</formula>
    </cfRule>
  </conditionalFormatting>
  <conditionalFormatting sqref="AZ14 AX14">
    <cfRule type="expression" dxfId="170" priority="194">
      <formula>OR(IF(AX14&lt;AY14,TRUE),IF(AND(AY14="",AX14&lt;&gt;""),TRUE))</formula>
    </cfRule>
    <cfRule type="expression" dxfId="169" priority="195">
      <formula>IF(AX14&gt;=AY14,IF(AX14="",FALSE,TRUE))</formula>
    </cfRule>
  </conditionalFormatting>
  <conditionalFormatting sqref="J14:K14">
    <cfRule type="colorScale" priority="191">
      <colorScale>
        <cfvo type="percent" val="0"/>
        <cfvo type="percent" val="100"/>
        <color rgb="FFFF231B"/>
        <color rgb="FF10FF07"/>
      </colorScale>
    </cfRule>
  </conditionalFormatting>
  <conditionalFormatting sqref="J14">
    <cfRule type="colorScale" priority="190">
      <colorScale>
        <cfvo type="percent" val="0"/>
        <cfvo type="percent" val="100"/>
        <color rgb="FFFF231B"/>
        <color rgb="FF10FF07"/>
      </colorScale>
    </cfRule>
  </conditionalFormatting>
  <conditionalFormatting sqref="K14">
    <cfRule type="colorScale" priority="189">
      <colorScale>
        <cfvo type="percent" val="0"/>
        <cfvo type="percent" val="100"/>
        <color rgb="FFFF231B"/>
        <color rgb="FF10FF07"/>
      </colorScale>
    </cfRule>
  </conditionalFormatting>
  <conditionalFormatting sqref="BN14 BL14">
    <cfRule type="expression" dxfId="168" priority="187">
      <formula>OR(IF(BL14&lt;BM14,TRUE),IF(AND(BM14="",BL14&lt;&gt;""),TRUE))</formula>
    </cfRule>
    <cfRule type="expression" dxfId="167" priority="188">
      <formula>IF(BL14&gt;=BM14,IF(BL14="",FALSE,TRUE))</formula>
    </cfRule>
  </conditionalFormatting>
  <conditionalFormatting sqref="BS12 BU12 BU15:BU18 BS15:BS18">
    <cfRule type="expression" dxfId="166" priority="183">
      <formula>OR(IF(BS12&lt;BT12,TRUE),IF(AND(BT12="",BS12&lt;&gt;""),TRUE))</formula>
    </cfRule>
    <cfRule type="expression" dxfId="165" priority="184">
      <formula>IF(BS12&gt;=BT12,IF(BS12="",FALSE,TRUE))</formula>
    </cfRule>
  </conditionalFormatting>
  <conditionalFormatting sqref="BS21:BS22">
    <cfRule type="expression" dxfId="164" priority="181">
      <formula>OR(IF(BS21&lt;BT21,TRUE),IF(AND(BT21="",BS21&lt;&gt;""),TRUE))</formula>
    </cfRule>
    <cfRule type="expression" dxfId="163" priority="182">
      <formula>IF(BS21&gt;=BT21,IF(BS21="",FALSE,TRUE))</formula>
    </cfRule>
  </conditionalFormatting>
  <conditionalFormatting sqref="BU21:BU22">
    <cfRule type="expression" dxfId="162" priority="179">
      <formula>OR(IF(BU21&lt;BV21,TRUE),IF(AND(BV21="",BU21&lt;&gt;""),TRUE))</formula>
    </cfRule>
    <cfRule type="expression" dxfId="161" priority="180">
      <formula>IF(BU21&gt;=BV21,IF(BU21="",FALSE,TRUE))</formula>
    </cfRule>
  </conditionalFormatting>
  <conditionalFormatting sqref="BS27:BS28">
    <cfRule type="expression" dxfId="160" priority="173">
      <formula>OR(IF(BS27&lt;BT27,TRUE),IF(AND(BT27="",BS27&lt;&gt;""),TRUE))</formula>
    </cfRule>
    <cfRule type="expression" dxfId="159" priority="174">
      <formula>IF(BS27&gt;=BT27,IF(BS27="",FALSE,TRUE))</formula>
    </cfRule>
  </conditionalFormatting>
  <conditionalFormatting sqref="BU27:BU28">
    <cfRule type="expression" dxfId="158" priority="171">
      <formula>OR(IF(BU27&lt;BV27,TRUE),IF(AND(BV27="",BU27&lt;&gt;""),TRUE))</formula>
    </cfRule>
    <cfRule type="expression" dxfId="157" priority="172">
      <formula>IF(BU27&gt;=BV27,IF(BU27="",FALSE,TRUE))</formula>
    </cfRule>
  </conditionalFormatting>
  <conditionalFormatting sqref="BS13 BU13">
    <cfRule type="expression" dxfId="156" priority="169">
      <formula>OR(IF(BS13&lt;BT13,TRUE),IF(AND(BT13="",BS13&lt;&gt;""),TRUE))</formula>
    </cfRule>
    <cfRule type="expression" dxfId="155" priority="170">
      <formula>IF(BS13&gt;=BT13,IF(BS13="",FALSE,TRUE))</formula>
    </cfRule>
  </conditionalFormatting>
  <conditionalFormatting sqref="BU14 BS14">
    <cfRule type="expression" dxfId="154" priority="167">
      <formula>OR(IF(BS14&lt;BT14,TRUE),IF(AND(BT14="",BS14&lt;&gt;""),TRUE))</formula>
    </cfRule>
    <cfRule type="expression" dxfId="153" priority="168">
      <formula>IF(BS14&gt;=BT14,IF(BS14="",FALSE,TRUE))</formula>
    </cfRule>
  </conditionalFormatting>
  <conditionalFormatting sqref="BZ12 CB12 CB15:CB18 BZ15:BZ18">
    <cfRule type="expression" dxfId="152" priority="163">
      <formula>OR(IF(BZ12&lt;CA12,TRUE),IF(AND(CA12="",BZ12&lt;&gt;""),TRUE))</formula>
    </cfRule>
    <cfRule type="expression" dxfId="151" priority="164">
      <formula>IF(BZ12&gt;=CA12,IF(BZ12="",FALSE,TRUE))</formula>
    </cfRule>
  </conditionalFormatting>
  <conditionalFormatting sqref="BZ21:BZ22">
    <cfRule type="expression" dxfId="150" priority="161">
      <formula>OR(IF(BZ21&lt;CA21,TRUE),IF(AND(CA21="",BZ21&lt;&gt;""),TRUE))</formula>
    </cfRule>
    <cfRule type="expression" dxfId="149" priority="162">
      <formula>IF(BZ21&gt;=CA21,IF(BZ21="",FALSE,TRUE))</formula>
    </cfRule>
  </conditionalFormatting>
  <conditionalFormatting sqref="CB21:CB22">
    <cfRule type="expression" dxfId="148" priority="159">
      <formula>OR(IF(CB21&lt;CC21,TRUE),IF(AND(CC21="",CB21&lt;&gt;""),TRUE))</formula>
    </cfRule>
    <cfRule type="expression" dxfId="147" priority="160">
      <formula>IF(CB21&gt;=CC21,IF(CB21="",FALSE,TRUE))</formula>
    </cfRule>
  </conditionalFormatting>
  <conditionalFormatting sqref="BZ27:BZ28">
    <cfRule type="expression" dxfId="146" priority="153">
      <formula>OR(IF(BZ27&lt;CA27,TRUE),IF(AND(CA27="",BZ27&lt;&gt;""),TRUE))</formula>
    </cfRule>
    <cfRule type="expression" dxfId="145" priority="154">
      <formula>IF(BZ27&gt;=CA27,IF(BZ27="",FALSE,TRUE))</formula>
    </cfRule>
  </conditionalFormatting>
  <conditionalFormatting sqref="CB27:CB28">
    <cfRule type="expression" dxfId="144" priority="151">
      <formula>OR(IF(CB27&lt;CC27,TRUE),IF(AND(CC27="",CB27&lt;&gt;""),TRUE))</formula>
    </cfRule>
    <cfRule type="expression" dxfId="143" priority="152">
      <formula>IF(CB27&gt;=CC27,IF(CB27="",FALSE,TRUE))</formula>
    </cfRule>
  </conditionalFormatting>
  <conditionalFormatting sqref="BZ13 CB13">
    <cfRule type="expression" dxfId="142" priority="149">
      <formula>OR(IF(BZ13&lt;CA13,TRUE),IF(AND(CA13="",BZ13&lt;&gt;""),TRUE))</formula>
    </cfRule>
    <cfRule type="expression" dxfId="141" priority="150">
      <formula>IF(BZ13&gt;=CA13,IF(BZ13="",FALSE,TRUE))</formula>
    </cfRule>
  </conditionalFormatting>
  <conditionalFormatting sqref="CB14 BZ14">
    <cfRule type="expression" dxfId="140" priority="147">
      <formula>OR(IF(BZ14&lt;CA14,TRUE),IF(AND(CA14="",BZ14&lt;&gt;""),TRUE))</formula>
    </cfRule>
    <cfRule type="expression" dxfId="139" priority="148">
      <formula>IF(BZ14&gt;=CA14,IF(BZ14="",FALSE,TRUE))</formula>
    </cfRule>
  </conditionalFormatting>
  <conditionalFormatting sqref="CG12 CI12 CI15:CI18 CG15:CG18">
    <cfRule type="expression" dxfId="138" priority="143">
      <formula>OR(IF(CG12&lt;CH12,TRUE),IF(AND(CH12="",CG12&lt;&gt;""),TRUE))</formula>
    </cfRule>
    <cfRule type="expression" dxfId="137" priority="144">
      <formula>IF(CG12&gt;=CH12,IF(CG12="",FALSE,TRUE))</formula>
    </cfRule>
  </conditionalFormatting>
  <conditionalFormatting sqref="CG21:CG22">
    <cfRule type="expression" dxfId="136" priority="141">
      <formula>OR(IF(CG21&lt;CH21,TRUE),IF(AND(CH21="",CG21&lt;&gt;""),TRUE))</formula>
    </cfRule>
    <cfRule type="expression" dxfId="135" priority="142">
      <formula>IF(CG21&gt;=CH21,IF(CG21="",FALSE,TRUE))</formula>
    </cfRule>
  </conditionalFormatting>
  <conditionalFormatting sqref="CI21:CI22">
    <cfRule type="expression" dxfId="134" priority="139">
      <formula>OR(IF(CI21&lt;CJ21,TRUE),IF(AND(CJ21="",CI21&lt;&gt;""),TRUE))</formula>
    </cfRule>
    <cfRule type="expression" dxfId="133" priority="140">
      <formula>IF(CI21&gt;=CJ21,IF(CI21="",FALSE,TRUE))</formula>
    </cfRule>
  </conditionalFormatting>
  <conditionalFormatting sqref="CG27:CG28">
    <cfRule type="expression" dxfId="132" priority="133">
      <formula>OR(IF(CG27&lt;CH27,TRUE),IF(AND(CH27="",CG27&lt;&gt;""),TRUE))</formula>
    </cfRule>
    <cfRule type="expression" dxfId="131" priority="134">
      <formula>IF(CG27&gt;=CH27,IF(CG27="",FALSE,TRUE))</formula>
    </cfRule>
  </conditionalFormatting>
  <conditionalFormatting sqref="CI27:CI28">
    <cfRule type="expression" dxfId="130" priority="131">
      <formula>OR(IF(CI27&lt;CJ27,TRUE),IF(AND(CJ27="",CI27&lt;&gt;""),TRUE))</formula>
    </cfRule>
    <cfRule type="expression" dxfId="129" priority="132">
      <formula>IF(CI27&gt;=CJ27,IF(CI27="",FALSE,TRUE))</formula>
    </cfRule>
  </conditionalFormatting>
  <conditionalFormatting sqref="CG13 CI13">
    <cfRule type="expression" dxfId="128" priority="129">
      <formula>OR(IF(CG13&lt;CH13,TRUE),IF(AND(CH13="",CG13&lt;&gt;""),TRUE))</formula>
    </cfRule>
    <cfRule type="expression" dxfId="127" priority="130">
      <formula>IF(CG13&gt;=CH13,IF(CG13="",FALSE,TRUE))</formula>
    </cfRule>
  </conditionalFormatting>
  <conditionalFormatting sqref="CI14 CG14">
    <cfRule type="expression" dxfId="126" priority="127">
      <formula>OR(IF(CG14&lt;CH14,TRUE),IF(AND(CH14="",CG14&lt;&gt;""),TRUE))</formula>
    </cfRule>
    <cfRule type="expression" dxfId="125" priority="128">
      <formula>IF(CG14&gt;=CH14,IF(CG14="",FALSE,TRUE))</formula>
    </cfRule>
  </conditionalFormatting>
  <conditionalFormatting sqref="CN12 CP12 CP15:CP18 CN15:CN18">
    <cfRule type="expression" dxfId="124" priority="123">
      <formula>OR(IF(CN12&lt;CO12,TRUE),IF(AND(CO12="",CN12&lt;&gt;""),TRUE))</formula>
    </cfRule>
    <cfRule type="expression" dxfId="123" priority="124">
      <formula>IF(CN12&gt;=CO12,IF(CN12="",FALSE,TRUE))</formula>
    </cfRule>
  </conditionalFormatting>
  <conditionalFormatting sqref="CN21:CN22">
    <cfRule type="expression" dxfId="122" priority="121">
      <formula>OR(IF(CN21&lt;CO21,TRUE),IF(AND(CO21="",CN21&lt;&gt;""),TRUE))</formula>
    </cfRule>
    <cfRule type="expression" dxfId="121" priority="122">
      <formula>IF(CN21&gt;=CO21,IF(CN21="",FALSE,TRUE))</formula>
    </cfRule>
  </conditionalFormatting>
  <conditionalFormatting sqref="CP21:CP22">
    <cfRule type="expression" dxfId="120" priority="119">
      <formula>OR(IF(CP21&lt;CQ21,TRUE),IF(AND(CQ21="",CP21&lt;&gt;""),TRUE))</formula>
    </cfRule>
    <cfRule type="expression" dxfId="119" priority="120">
      <formula>IF(CP21&gt;=CQ21,IF(CP21="",FALSE,TRUE))</formula>
    </cfRule>
  </conditionalFormatting>
  <conditionalFormatting sqref="CN27:CN28">
    <cfRule type="expression" dxfId="118" priority="113">
      <formula>OR(IF(CN27&lt;CO27,TRUE),IF(AND(CO27="",CN27&lt;&gt;""),TRUE))</formula>
    </cfRule>
    <cfRule type="expression" dxfId="117" priority="114">
      <formula>IF(CN27&gt;=CO27,IF(CN27="",FALSE,TRUE))</formula>
    </cfRule>
  </conditionalFormatting>
  <conditionalFormatting sqref="CP27:CP28">
    <cfRule type="expression" dxfId="116" priority="111">
      <formula>OR(IF(CP27&lt;CQ27,TRUE),IF(AND(CQ27="",CP27&lt;&gt;""),TRUE))</formula>
    </cfRule>
    <cfRule type="expression" dxfId="115" priority="112">
      <formula>IF(CP27&gt;=CQ27,IF(CP27="",FALSE,TRUE))</formula>
    </cfRule>
  </conditionalFormatting>
  <conditionalFormatting sqref="CN13 CP13">
    <cfRule type="expression" dxfId="114" priority="109">
      <formula>OR(IF(CN13&lt;CO13,TRUE),IF(AND(CO13="",CN13&lt;&gt;""),TRUE))</formula>
    </cfRule>
    <cfRule type="expression" dxfId="113" priority="110">
      <formula>IF(CN13&gt;=CO13,IF(CN13="",FALSE,TRUE))</formula>
    </cfRule>
  </conditionalFormatting>
  <conditionalFormatting sqref="CP14 CN14">
    <cfRule type="expression" dxfId="112" priority="107">
      <formula>OR(IF(CN14&lt;CO14,TRUE),IF(AND(CO14="",CN14&lt;&gt;""),TRUE))</formula>
    </cfRule>
    <cfRule type="expression" dxfId="111" priority="108">
      <formula>IF(CN14&gt;=CO14,IF(CN14="",FALSE,TRUE))</formula>
    </cfRule>
  </conditionalFormatting>
  <conditionalFormatting sqref="CU12 CW12 CW15:CW18 CU15:CU18">
    <cfRule type="expression" dxfId="110" priority="103">
      <formula>OR(IF(CU12&lt;CV12,TRUE),IF(AND(CV12="",CU12&lt;&gt;""),TRUE))</formula>
    </cfRule>
    <cfRule type="expression" dxfId="109" priority="104">
      <formula>IF(CU12&gt;=CV12,IF(CU12="",FALSE,TRUE))</formula>
    </cfRule>
  </conditionalFormatting>
  <conditionalFormatting sqref="CU21:CU22">
    <cfRule type="expression" dxfId="108" priority="101">
      <formula>OR(IF(CU21&lt;CV21,TRUE),IF(AND(CV21="",CU21&lt;&gt;""),TRUE))</formula>
    </cfRule>
    <cfRule type="expression" dxfId="107" priority="102">
      <formula>IF(CU21&gt;=CV21,IF(CU21="",FALSE,TRUE))</formula>
    </cfRule>
  </conditionalFormatting>
  <conditionalFormatting sqref="CW21:CW22">
    <cfRule type="expression" dxfId="106" priority="99">
      <formula>OR(IF(CW21&lt;CX21,TRUE),IF(AND(CX21="",CW21&lt;&gt;""),TRUE))</formula>
    </cfRule>
    <cfRule type="expression" dxfId="105" priority="100">
      <formula>IF(CW21&gt;=CX21,IF(CW21="",FALSE,TRUE))</formula>
    </cfRule>
  </conditionalFormatting>
  <conditionalFormatting sqref="CU27:CU28">
    <cfRule type="expression" dxfId="104" priority="93">
      <formula>OR(IF(CU27&lt;CV27,TRUE),IF(AND(CV27="",CU27&lt;&gt;""),TRUE))</formula>
    </cfRule>
    <cfRule type="expression" dxfId="103" priority="94">
      <formula>IF(CU27&gt;=CV27,IF(CU27="",FALSE,TRUE))</formula>
    </cfRule>
  </conditionalFormatting>
  <conditionalFormatting sqref="CW27:CW28">
    <cfRule type="expression" dxfId="102" priority="91">
      <formula>OR(IF(CW27&lt;CX27,TRUE),IF(AND(CX27="",CW27&lt;&gt;""),TRUE))</formula>
    </cfRule>
    <cfRule type="expression" dxfId="101" priority="92">
      <formula>IF(CW27&gt;=CX27,IF(CW27="",FALSE,TRUE))</formula>
    </cfRule>
  </conditionalFormatting>
  <conditionalFormatting sqref="CU13 CW13">
    <cfRule type="expression" dxfId="100" priority="89">
      <formula>OR(IF(CU13&lt;CV13,TRUE),IF(AND(CV13="",CU13&lt;&gt;""),TRUE))</formula>
    </cfRule>
    <cfRule type="expression" dxfId="99" priority="90">
      <formula>IF(CU13&gt;=CV13,IF(CU13="",FALSE,TRUE))</formula>
    </cfRule>
  </conditionalFormatting>
  <conditionalFormatting sqref="CW14 CU14">
    <cfRule type="expression" dxfId="98" priority="87">
      <formula>OR(IF(CU14&lt;CV14,TRUE),IF(AND(CV14="",CU14&lt;&gt;""),TRUE))</formula>
    </cfRule>
    <cfRule type="expression" dxfId="97" priority="88">
      <formula>IF(CU14&gt;=CV14,IF(CU14="",FALSE,TRUE))</formula>
    </cfRule>
  </conditionalFormatting>
  <conditionalFormatting sqref="DB12 DD12 DD15:DD18 DB15:DB18">
    <cfRule type="expression" dxfId="96" priority="83">
      <formula>OR(IF(DB12&lt;DC12,TRUE),IF(AND(DC12="",DB12&lt;&gt;""),TRUE))</formula>
    </cfRule>
    <cfRule type="expression" dxfId="95" priority="84">
      <formula>IF(DB12&gt;=DC12,IF(DB12="",FALSE,TRUE))</formula>
    </cfRule>
  </conditionalFormatting>
  <conditionalFormatting sqref="DB21:DB22">
    <cfRule type="expression" dxfId="94" priority="81">
      <formula>OR(IF(DB21&lt;DC21,TRUE),IF(AND(DC21="",DB21&lt;&gt;""),TRUE))</formula>
    </cfRule>
    <cfRule type="expression" dxfId="93" priority="82">
      <formula>IF(DB21&gt;=DC21,IF(DB21="",FALSE,TRUE))</formula>
    </cfRule>
  </conditionalFormatting>
  <conditionalFormatting sqref="DD21:DD22">
    <cfRule type="expression" dxfId="92" priority="79">
      <formula>OR(IF(DD21&lt;DE21,TRUE),IF(AND(DE21="",DD21&lt;&gt;""),TRUE))</formula>
    </cfRule>
    <cfRule type="expression" dxfId="91" priority="80">
      <formula>IF(DD21&gt;=DE21,IF(DD21="",FALSE,TRUE))</formula>
    </cfRule>
  </conditionalFormatting>
  <conditionalFormatting sqref="DB27:DB28">
    <cfRule type="expression" dxfId="90" priority="73">
      <formula>OR(IF(DB27&lt;DC27,TRUE),IF(AND(DC27="",DB27&lt;&gt;""),TRUE))</formula>
    </cfRule>
    <cfRule type="expression" dxfId="89" priority="74">
      <formula>IF(DB27&gt;=DC27,IF(DB27="",FALSE,TRUE))</formula>
    </cfRule>
  </conditionalFormatting>
  <conditionalFormatting sqref="DD27:DD28">
    <cfRule type="expression" dxfId="88" priority="71">
      <formula>OR(IF(DD27&lt;DE27,TRUE),IF(AND(DE27="",DD27&lt;&gt;""),TRUE))</formula>
    </cfRule>
    <cfRule type="expression" dxfId="87" priority="72">
      <formula>IF(DD27&gt;=DE27,IF(DD27="",FALSE,TRUE))</formula>
    </cfRule>
  </conditionalFormatting>
  <conditionalFormatting sqref="DB13 DD13">
    <cfRule type="expression" dxfId="86" priority="69">
      <formula>OR(IF(DB13&lt;DC13,TRUE),IF(AND(DC13="",DB13&lt;&gt;""),TRUE))</formula>
    </cfRule>
    <cfRule type="expression" dxfId="85" priority="70">
      <formula>IF(DB13&gt;=DC13,IF(DB13="",FALSE,TRUE))</formula>
    </cfRule>
  </conditionalFormatting>
  <conditionalFormatting sqref="DD14 DB14">
    <cfRule type="expression" dxfId="84" priority="67">
      <formula>OR(IF(DB14&lt;DC14,TRUE),IF(AND(DC14="",DB14&lt;&gt;""),TRUE))</formula>
    </cfRule>
    <cfRule type="expression" dxfId="83" priority="68">
      <formula>IF(DB14&gt;=DC14,IF(DB14="",FALSE,TRUE))</formula>
    </cfRule>
  </conditionalFormatting>
  <conditionalFormatting sqref="CB9">
    <cfRule type="expression" dxfId="82" priority="65">
      <formula>OR(IF(CB9&lt;CC9,TRUE),IF(AND(CC9="",CB9&lt;&gt;""),TRUE))</formula>
    </cfRule>
    <cfRule type="expression" dxfId="81" priority="66">
      <formula>IF(CB9&gt;=CC9,IF(CB9="",FALSE,TRUE))</formula>
    </cfRule>
  </conditionalFormatting>
  <conditionalFormatting sqref="J6:K9">
    <cfRule type="colorScale" priority="855">
      <colorScale>
        <cfvo type="percent" val="0"/>
        <cfvo type="percent" val="100"/>
        <color rgb="FFFF231B"/>
        <color rgb="FF10FF07"/>
      </colorScale>
    </cfRule>
  </conditionalFormatting>
  <conditionalFormatting sqref="J5:J9">
    <cfRule type="colorScale" priority="856">
      <colorScale>
        <cfvo type="percent" val="0"/>
        <cfvo type="percent" val="100"/>
        <color rgb="FFFF231B"/>
        <color rgb="FF10FF07"/>
      </colorScale>
    </cfRule>
  </conditionalFormatting>
  <conditionalFormatting sqref="K5:K9">
    <cfRule type="colorScale" priority="857">
      <colorScale>
        <cfvo type="percent" val="0"/>
        <cfvo type="percent" val="100"/>
        <color rgb="FFFF231B"/>
        <color rgb="FF10FF07"/>
      </colorScale>
    </cfRule>
  </conditionalFormatting>
  <conditionalFormatting sqref="J15:K18">
    <cfRule type="colorScale" priority="858">
      <colorScale>
        <cfvo type="percent" val="0"/>
        <cfvo type="percent" val="100"/>
        <color rgb="FFFF231B"/>
        <color rgb="FF10FF07"/>
      </colorScale>
    </cfRule>
  </conditionalFormatting>
  <conditionalFormatting sqref="J15:J18 J12">
    <cfRule type="colorScale" priority="859">
      <colorScale>
        <cfvo type="percent" val="0"/>
        <cfvo type="percent" val="100"/>
        <color rgb="FFFF231B"/>
        <color rgb="FF10FF07"/>
      </colorScale>
    </cfRule>
  </conditionalFormatting>
  <conditionalFormatting sqref="K15:K18 K12">
    <cfRule type="colorScale" priority="861">
      <colorScale>
        <cfvo type="percent" val="0"/>
        <cfvo type="percent" val="100"/>
        <color rgb="FFFF231B"/>
        <color rgb="FF10FF07"/>
      </colorScale>
    </cfRule>
  </conditionalFormatting>
  <conditionalFormatting sqref="J22:K24">
    <cfRule type="colorScale" priority="1248">
      <colorScale>
        <cfvo type="percent" val="0"/>
        <cfvo type="percent" val="100"/>
        <color rgb="FFFF231B"/>
        <color rgb="FF10FF07"/>
      </colorScale>
    </cfRule>
  </conditionalFormatting>
  <conditionalFormatting sqref="J21:J24">
    <cfRule type="colorScale" priority="1249">
      <colorScale>
        <cfvo type="percent" val="0"/>
        <cfvo type="percent" val="100"/>
        <color rgb="FFFF231B"/>
        <color rgb="FF10FF07"/>
      </colorScale>
    </cfRule>
  </conditionalFormatting>
  <conditionalFormatting sqref="K21:K24">
    <cfRule type="colorScale" priority="1250">
      <colorScale>
        <cfvo type="percent" val="0"/>
        <cfvo type="percent" val="100"/>
        <color rgb="FFFF231B"/>
        <color rgb="FF10FF07"/>
      </colorScale>
    </cfRule>
  </conditionalFormatting>
  <conditionalFormatting sqref="J28:K29">
    <cfRule type="colorScale" priority="1460">
      <colorScale>
        <cfvo type="percent" val="0"/>
        <cfvo type="percent" val="100"/>
        <color rgb="FFFF231B"/>
        <color rgb="FF10FF07"/>
      </colorScale>
    </cfRule>
  </conditionalFormatting>
  <conditionalFormatting sqref="J27:J29">
    <cfRule type="colorScale" priority="1461">
      <colorScale>
        <cfvo type="percent" val="0"/>
        <cfvo type="percent" val="100"/>
        <color rgb="FFFF231B"/>
        <color rgb="FF10FF07"/>
      </colorScale>
    </cfRule>
  </conditionalFormatting>
  <conditionalFormatting sqref="K27:K29">
    <cfRule type="colorScale" priority="1462">
      <colorScale>
        <cfvo type="percent" val="0"/>
        <cfvo type="percent" val="100"/>
        <color rgb="FFFF231B"/>
        <color rgb="FF10FF07"/>
      </colorScale>
    </cfRule>
  </conditionalFormatting>
  <conditionalFormatting sqref="J33:K33">
    <cfRule type="colorScale" priority="1908">
      <colorScale>
        <cfvo type="percent" val="0"/>
        <cfvo type="percent" val="100"/>
        <color rgb="FFFF231B"/>
        <color rgb="FF10FF07"/>
      </colorScale>
    </cfRule>
  </conditionalFormatting>
  <conditionalFormatting sqref="J32:J33">
    <cfRule type="colorScale" priority="1909">
      <colorScale>
        <cfvo type="percent" val="0"/>
        <cfvo type="percent" val="100"/>
        <color rgb="FFFF231B"/>
        <color rgb="FF10FF07"/>
      </colorScale>
    </cfRule>
  </conditionalFormatting>
  <conditionalFormatting sqref="K32:K33">
    <cfRule type="colorScale" priority="1910">
      <colorScale>
        <cfvo type="percent" val="0"/>
        <cfvo type="percent" val="100"/>
        <color rgb="FFFF231B"/>
        <color rgb="FF10FF07"/>
      </colorScale>
    </cfRule>
  </conditionalFormatting>
  <conditionalFormatting sqref="DI5:DI9 DK5:DK9 DK23:DK24 DI23:DI24 DK29 DI29 DK32:DK33 DI32:DI33">
    <cfRule type="expression" dxfId="80" priority="63">
      <formula>OR(IF(DI5&lt;DJ5,TRUE),IF(AND(DJ5="",DI5&lt;&gt;""),TRUE))</formula>
    </cfRule>
    <cfRule type="expression" dxfId="79" priority="64">
      <formula>IF(DI5&gt;=DJ5,IF(DI5="",FALSE,TRUE))</formula>
    </cfRule>
  </conditionalFormatting>
  <conditionalFormatting sqref="DI12 DK12 DK15:DK18 DI15:DI18">
    <cfRule type="expression" dxfId="78" priority="61">
      <formula>OR(IF(DI12&lt;DJ12,TRUE),IF(AND(DJ12="",DI12&lt;&gt;""),TRUE))</formula>
    </cfRule>
    <cfRule type="expression" dxfId="77" priority="62">
      <formula>IF(DI12&gt;=DJ12,IF(DI12="",FALSE,TRUE))</formula>
    </cfRule>
  </conditionalFormatting>
  <conditionalFormatting sqref="DI21:DI22">
    <cfRule type="expression" dxfId="76" priority="59">
      <formula>OR(IF(DI21&lt;DJ21,TRUE),IF(AND(DJ21="",DI21&lt;&gt;""),TRUE))</formula>
    </cfRule>
    <cfRule type="expression" dxfId="75" priority="60">
      <formula>IF(DI21&gt;=DJ21,IF(DI21="",FALSE,TRUE))</formula>
    </cfRule>
  </conditionalFormatting>
  <conditionalFormatting sqref="DK21:DK22">
    <cfRule type="expression" dxfId="74" priority="57">
      <formula>OR(IF(DK21&lt;DL21,TRUE),IF(AND(DL21="",DK21&lt;&gt;""),TRUE))</formula>
    </cfRule>
    <cfRule type="expression" dxfId="73" priority="58">
      <formula>IF(DK21&gt;=DL21,IF(DK21="",FALSE,TRUE))</formula>
    </cfRule>
  </conditionalFormatting>
  <conditionalFormatting sqref="DI27:DI28">
    <cfRule type="expression" dxfId="72" priority="55">
      <formula>OR(IF(DI27&lt;DJ27,TRUE),IF(AND(DJ27="",DI27&lt;&gt;""),TRUE))</formula>
    </cfRule>
    <cfRule type="expression" dxfId="71" priority="56">
      <formula>IF(DI27&gt;=DJ27,IF(DI27="",FALSE,TRUE))</formula>
    </cfRule>
  </conditionalFormatting>
  <conditionalFormatting sqref="DK27:DK28">
    <cfRule type="expression" dxfId="70" priority="53">
      <formula>OR(IF(DK27&lt;DL27,TRUE),IF(AND(DL27="",DK27&lt;&gt;""),TRUE))</formula>
    </cfRule>
    <cfRule type="expression" dxfId="69" priority="54">
      <formula>IF(DK27&gt;=DL27,IF(DK27="",FALSE,TRUE))</formula>
    </cfRule>
  </conditionalFormatting>
  <conditionalFormatting sqref="DI13 DK13">
    <cfRule type="expression" dxfId="68" priority="51">
      <formula>OR(IF(DI13&lt;DJ13,TRUE),IF(AND(DJ13="",DI13&lt;&gt;""),TRUE))</formula>
    </cfRule>
    <cfRule type="expression" dxfId="67" priority="52">
      <formula>IF(DI13&gt;=DJ13,IF(DI13="",FALSE,TRUE))</formula>
    </cfRule>
  </conditionalFormatting>
  <conditionalFormatting sqref="DK14 DI14">
    <cfRule type="expression" dxfId="66" priority="49">
      <formula>OR(IF(DI14&lt;DJ14,TRUE),IF(AND(DJ14="",DI14&lt;&gt;""),TRUE))</formula>
    </cfRule>
    <cfRule type="expression" dxfId="65" priority="50">
      <formula>IF(DI14&gt;=DJ14,IF(DI14="",FALSE,TRUE))</formula>
    </cfRule>
  </conditionalFormatting>
  <conditionalFormatting sqref="DP5:DP9 DR5:DR9 DR23:DR24 DP23:DP24 DR29 DP29 DR32:DR33 DP32:DP33">
    <cfRule type="expression" dxfId="64" priority="47">
      <formula>OR(IF(DP5&lt;DQ5,TRUE),IF(AND(DQ5="",DP5&lt;&gt;""),TRUE))</formula>
    </cfRule>
    <cfRule type="expression" dxfId="63" priority="48">
      <formula>IF(DP5&gt;=DQ5,IF(DP5="",FALSE,TRUE))</formula>
    </cfRule>
  </conditionalFormatting>
  <conditionalFormatting sqref="DP12 DR12 DR15:DR18 DP15:DP18">
    <cfRule type="expression" dxfId="62" priority="45">
      <formula>OR(IF(DP12&lt;DQ12,TRUE),IF(AND(DQ12="",DP12&lt;&gt;""),TRUE))</formula>
    </cfRule>
    <cfRule type="expression" dxfId="61" priority="46">
      <formula>IF(DP12&gt;=DQ12,IF(DP12="",FALSE,TRUE))</formula>
    </cfRule>
  </conditionalFormatting>
  <conditionalFormatting sqref="DP21:DP22">
    <cfRule type="expression" dxfId="60" priority="43">
      <formula>OR(IF(DP21&lt;DQ21,TRUE),IF(AND(DQ21="",DP21&lt;&gt;""),TRUE))</formula>
    </cfRule>
    <cfRule type="expression" dxfId="59" priority="44">
      <formula>IF(DP21&gt;=DQ21,IF(DP21="",FALSE,TRUE))</formula>
    </cfRule>
  </conditionalFormatting>
  <conditionalFormatting sqref="DR21:DR22">
    <cfRule type="expression" dxfId="58" priority="41">
      <formula>OR(IF(DR21&lt;DS21,TRUE),IF(AND(DS21="",DR21&lt;&gt;""),TRUE))</formula>
    </cfRule>
    <cfRule type="expression" dxfId="57" priority="42">
      <formula>IF(DR21&gt;=DS21,IF(DR21="",FALSE,TRUE))</formula>
    </cfRule>
  </conditionalFormatting>
  <conditionalFormatting sqref="DP27:DP28">
    <cfRule type="expression" dxfId="56" priority="39">
      <formula>OR(IF(DP27&lt;DQ27,TRUE),IF(AND(DQ27="",DP27&lt;&gt;""),TRUE))</formula>
    </cfRule>
    <cfRule type="expression" dxfId="55" priority="40">
      <formula>IF(DP27&gt;=DQ27,IF(DP27="",FALSE,TRUE))</formula>
    </cfRule>
  </conditionalFormatting>
  <conditionalFormatting sqref="DR27:DR28">
    <cfRule type="expression" dxfId="54" priority="37">
      <formula>OR(IF(DR27&lt;DS27,TRUE),IF(AND(DS27="",DR27&lt;&gt;""),TRUE))</formula>
    </cfRule>
    <cfRule type="expression" dxfId="53" priority="38">
      <formula>IF(DR27&gt;=DS27,IF(DR27="",FALSE,TRUE))</formula>
    </cfRule>
  </conditionalFormatting>
  <conditionalFormatting sqref="DP13 DR13">
    <cfRule type="expression" dxfId="52" priority="35">
      <formula>OR(IF(DP13&lt;DQ13,TRUE),IF(AND(DQ13="",DP13&lt;&gt;""),TRUE))</formula>
    </cfRule>
    <cfRule type="expression" dxfId="51" priority="36">
      <formula>IF(DP13&gt;=DQ13,IF(DP13="",FALSE,TRUE))</formula>
    </cfRule>
  </conditionalFormatting>
  <conditionalFormatting sqref="DR14 DP14">
    <cfRule type="expression" dxfId="50" priority="33">
      <formula>OR(IF(DP14&lt;DQ14,TRUE),IF(AND(DQ14="",DP14&lt;&gt;""),TRUE))</formula>
    </cfRule>
    <cfRule type="expression" dxfId="49" priority="34">
      <formula>IF(DP14&gt;=DQ14,IF(DP14="",FALSE,TRUE))</formula>
    </cfRule>
  </conditionalFormatting>
  <conditionalFormatting sqref="DW5:DW9 DY5:DY9 DY23:DY24 DW23:DW24 DY29 DW29 DY32:DY33 DW32:DW33">
    <cfRule type="expression" dxfId="48" priority="31">
      <formula>OR(IF(DW5&lt;DX5,TRUE),IF(AND(DX5="",DW5&lt;&gt;""),TRUE))</formula>
    </cfRule>
    <cfRule type="expression" dxfId="47" priority="32">
      <formula>IF(DW5&gt;=DX5,IF(DW5="",FALSE,TRUE))</formula>
    </cfRule>
  </conditionalFormatting>
  <conditionalFormatting sqref="DW12 DY12 DY15:DY18 DW15:DW18">
    <cfRule type="expression" dxfId="46" priority="29">
      <formula>OR(IF(DW12&lt;DX12,TRUE),IF(AND(DX12="",DW12&lt;&gt;""),TRUE))</formula>
    </cfRule>
    <cfRule type="expression" dxfId="45" priority="30">
      <formula>IF(DW12&gt;=DX12,IF(DW12="",FALSE,TRUE))</formula>
    </cfRule>
  </conditionalFormatting>
  <conditionalFormatting sqref="DW21:DW22">
    <cfRule type="expression" dxfId="44" priority="27">
      <formula>OR(IF(DW21&lt;DX21,TRUE),IF(AND(DX21="",DW21&lt;&gt;""),TRUE))</formula>
    </cfRule>
    <cfRule type="expression" dxfId="43" priority="28">
      <formula>IF(DW21&gt;=DX21,IF(DW21="",FALSE,TRUE))</formula>
    </cfRule>
  </conditionalFormatting>
  <conditionalFormatting sqref="DY21:DY22">
    <cfRule type="expression" dxfId="42" priority="25">
      <formula>OR(IF(DY21&lt;DZ21,TRUE),IF(AND(DZ21="",DY21&lt;&gt;""),TRUE))</formula>
    </cfRule>
    <cfRule type="expression" dxfId="41" priority="26">
      <formula>IF(DY21&gt;=DZ21,IF(DY21="",FALSE,TRUE))</formula>
    </cfRule>
  </conditionalFormatting>
  <conditionalFormatting sqref="DW27:DW28">
    <cfRule type="expression" dxfId="40" priority="23">
      <formula>OR(IF(DW27&lt;DX27,TRUE),IF(AND(DX27="",DW27&lt;&gt;""),TRUE))</formula>
    </cfRule>
    <cfRule type="expression" dxfId="39" priority="24">
      <formula>IF(DW27&gt;=DX27,IF(DW27="",FALSE,TRUE))</formula>
    </cfRule>
  </conditionalFormatting>
  <conditionalFormatting sqref="DY27:DY28">
    <cfRule type="expression" dxfId="38" priority="21">
      <formula>OR(IF(DY27&lt;DZ27,TRUE),IF(AND(DZ27="",DY27&lt;&gt;""),TRUE))</formula>
    </cfRule>
    <cfRule type="expression" dxfId="37" priority="22">
      <formula>IF(DY27&gt;=DZ27,IF(DY27="",FALSE,TRUE))</formula>
    </cfRule>
  </conditionalFormatting>
  <conditionalFormatting sqref="DW13 DY13">
    <cfRule type="expression" dxfId="36" priority="19">
      <formula>OR(IF(DW13&lt;DX13,TRUE),IF(AND(DX13="",DW13&lt;&gt;""),TRUE))</formula>
    </cfRule>
    <cfRule type="expression" dxfId="35" priority="20">
      <formula>IF(DW13&gt;=DX13,IF(DW13="",FALSE,TRUE))</formula>
    </cfRule>
  </conditionalFormatting>
  <conditionalFormatting sqref="DY14 DW14">
    <cfRule type="expression" dxfId="34" priority="17">
      <formula>OR(IF(DW14&lt;DX14,TRUE),IF(AND(DX14="",DW14&lt;&gt;""),TRUE))</formula>
    </cfRule>
    <cfRule type="expression" dxfId="33" priority="18">
      <formula>IF(DW14&gt;=DX14,IF(DW14="",FALSE,TRUE))</formula>
    </cfRule>
  </conditionalFormatting>
  <conditionalFormatting sqref="ED5:ED9 EF5:EF9 EF23:EF24 ED23:ED24 EF29 ED29 EF32:EF33 ED32:ED33">
    <cfRule type="expression" dxfId="32" priority="15">
      <formula>OR(IF(ED5&lt;EE5,TRUE),IF(AND(EE5="",ED5&lt;&gt;""),TRUE))</formula>
    </cfRule>
    <cfRule type="expression" dxfId="31" priority="16">
      <formula>IF(ED5&gt;=EE5,IF(ED5="",FALSE,TRUE))</formula>
    </cfRule>
  </conditionalFormatting>
  <conditionalFormatting sqref="ED12 EF12 EF15:EF18 ED15:ED18">
    <cfRule type="expression" dxfId="30" priority="13">
      <formula>OR(IF(ED12&lt;EE12,TRUE),IF(AND(EE12="",ED12&lt;&gt;""),TRUE))</formula>
    </cfRule>
    <cfRule type="expression" dxfId="29" priority="14">
      <formula>IF(ED12&gt;=EE12,IF(ED12="",FALSE,TRUE))</formula>
    </cfRule>
  </conditionalFormatting>
  <conditionalFormatting sqref="ED21:ED22">
    <cfRule type="expression" dxfId="28" priority="11">
      <formula>OR(IF(ED21&lt;EE21,TRUE),IF(AND(EE21="",ED21&lt;&gt;""),TRUE))</formula>
    </cfRule>
    <cfRule type="expression" dxfId="27" priority="12">
      <formula>IF(ED21&gt;=EE21,IF(ED21="",FALSE,TRUE))</formula>
    </cfRule>
  </conditionalFormatting>
  <conditionalFormatting sqref="EF21:EF22">
    <cfRule type="expression" dxfId="26" priority="9">
      <formula>OR(IF(EF21&lt;EG21,TRUE),IF(AND(EG21="",EF21&lt;&gt;""),TRUE))</formula>
    </cfRule>
    <cfRule type="expression" dxfId="25" priority="10">
      <formula>IF(EF21&gt;=EG21,IF(EF21="",FALSE,TRUE))</formula>
    </cfRule>
  </conditionalFormatting>
  <conditionalFormatting sqref="ED27:ED28">
    <cfRule type="expression" dxfId="24" priority="7">
      <formula>OR(IF(ED27&lt;EE27,TRUE),IF(AND(EE27="",ED27&lt;&gt;""),TRUE))</formula>
    </cfRule>
    <cfRule type="expression" dxfId="23" priority="8">
      <formula>IF(ED27&gt;=EE27,IF(ED27="",FALSE,TRUE))</formula>
    </cfRule>
  </conditionalFormatting>
  <conditionalFormatting sqref="EF27:EF28">
    <cfRule type="expression" dxfId="22" priority="5">
      <formula>OR(IF(EF27&lt;EG27,TRUE),IF(AND(EG27="",EF27&lt;&gt;""),TRUE))</formula>
    </cfRule>
    <cfRule type="expression" dxfId="21" priority="6">
      <formula>IF(EF27&gt;=EG27,IF(EF27="",FALSE,TRUE))</formula>
    </cfRule>
  </conditionalFormatting>
  <conditionalFormatting sqref="ED13 EF13">
    <cfRule type="expression" dxfId="20" priority="3">
      <formula>OR(IF(ED13&lt;EE13,TRUE),IF(AND(EE13="",ED13&lt;&gt;""),TRUE))</formula>
    </cfRule>
    <cfRule type="expression" dxfId="19" priority="4">
      <formula>IF(ED13&gt;=EE13,IF(ED13="",FALSE,TRUE))</formula>
    </cfRule>
  </conditionalFormatting>
  <conditionalFormatting sqref="EF14 ED14">
    <cfRule type="expression" dxfId="18" priority="1">
      <formula>OR(IF(ED14&lt;EE14,TRUE),IF(AND(EE14="",ED14&lt;&gt;""),TRUE))</formula>
    </cfRule>
    <cfRule type="expression" dxfId="17" priority="2">
      <formula>IF(ED14&gt;=EE14,IF(ED14="",FALSE,TRUE))</formula>
    </cfRule>
  </conditionalFormatting>
  <dataValidations count="1">
    <dataValidation type="list" allowBlank="1" showInputMessage="1" showErrorMessage="1" sqref="AJ32:AM33 V5:Y9 AC5:AF9 AJ5:AM9 AQ5:AT9 AX5:BA9 BE5:BH9 BL5:BO9 O5:R9 V12:Y18 AC12:AF18 AJ12:AM18 AQ12:AT18 AX12:BA18 BE12:BH18 BL12:BO18 BL21:BO24 O21:R24 AX21:BA24 CG32:CJ33 AQ21:AT24 AJ21:AM24 AC21:AF24 V21:Y24 BL27:BO29 O27:R29 AX27:BA29 BE27:BH29 AQ27:AT29 AJ27:AM29 AC27:AF29 V27:Y29 BL32:BO33 AX32:BA33 BE32:BH33 AQ32:AT33 AC32:AF33 V32:Y33 O32:R33 BS27:BV29 BZ5:CC9 BS5:BV9 BS21:BV24 BS32:BV33 BS12:BV18 BZ27:CC29 BZ21:CC24 BZ32:CC33 BE21:BH24 DB32:DE33 CG5:CJ9 CG21:CJ24 CG12:CJ18 CG27:CJ29 CN5:CQ9 CN12:CQ18 CN21:CQ24 CN27:CQ29 CN32:CQ33 CU5:CX9 CU12:CX18 CU21:CX24 CU27:CX29 CU32:CX33 DB5:DE9 DB12:DE18 DB21:DE24 DB27:DE29 BZ12:CC18 O12:R18 DI32:DL33 DI5:DL9 DI12:DL18 DI21:DL24 DI27:DL29 DP32:DS33 DP5:DS9 DP12:DS18 DP21:DS24 DP27:DS29 DW32:DZ33 DW5:DZ9 DW12:DZ18 DW21:DZ24 DW27:DZ29 ED32:EG33 ED5:EG9 ED12:EG18 ED21:EG24 ED27:EG29"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5" workbookViewId="0">
      <selection activeCell="B2" sqref="B2"/>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35</v>
      </c>
    </row>
    <row r="12" spans="2:2">
      <c r="B12" s="3" t="s">
        <v>17</v>
      </c>
    </row>
    <row r="13" spans="2:2" ht="140.4">
      <c r="B13" s="1" t="s">
        <v>18</v>
      </c>
    </row>
    <row r="15" spans="2:2">
      <c r="B15" s="3" t="s">
        <v>19</v>
      </c>
    </row>
    <row r="16" spans="2:2" ht="109.2">
      <c r="B16" s="1" t="s">
        <v>20</v>
      </c>
    </row>
    <row r="17" spans="2:2">
      <c r="B17" s="1"/>
    </row>
    <row r="18" spans="2:2">
      <c r="B18" s="3" t="s">
        <v>34</v>
      </c>
    </row>
    <row r="19" spans="2:2" ht="140.4">
      <c r="B19" s="1" t="s">
        <v>36</v>
      </c>
    </row>
    <row r="21" spans="2:2">
      <c r="B21" s="3" t="s">
        <v>21</v>
      </c>
    </row>
    <row r="22" spans="2:2" ht="124.8">
      <c r="B22" s="1" t="s">
        <v>37</v>
      </c>
    </row>
    <row r="24" spans="2:2">
      <c r="B24" s="3"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D2" sqref="D2"/>
    </sheetView>
  </sheetViews>
  <sheetFormatPr baseColWidth="10" defaultColWidth="10.69921875"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41</v>
      </c>
      <c r="B1" s="17" t="s">
        <v>38</v>
      </c>
      <c r="C1" s="17" t="s">
        <v>39</v>
      </c>
      <c r="D1" s="17" t="s">
        <v>40</v>
      </c>
      <c r="E1" s="1" t="s">
        <v>42</v>
      </c>
      <c r="F1" s="1" t="s">
        <v>43</v>
      </c>
      <c r="G1" s="1" t="s">
        <v>44</v>
      </c>
      <c r="H1" s="1" t="s">
        <v>45</v>
      </c>
      <c r="I1" s="1" t="s">
        <v>46</v>
      </c>
      <c r="J1" s="1" t="s">
        <v>47</v>
      </c>
      <c r="K1" s="1" t="s">
        <v>48</v>
      </c>
    </row>
    <row r="2" spans="1:11">
      <c r="A2" s="16">
        <v>44118</v>
      </c>
      <c r="D2" s="18"/>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9921875"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9921875"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Musa Alat</cp:lastModifiedBy>
  <dcterms:created xsi:type="dcterms:W3CDTF">2020-04-19T13:33:28Z</dcterms:created>
  <dcterms:modified xsi:type="dcterms:W3CDTF">2022-10-21T18:30:40Z</dcterms:modified>
</cp:coreProperties>
</file>