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katjarimer/Desktop/"/>
    </mc:Choice>
  </mc:AlternateContent>
  <xr:revisionPtr revIDLastSave="0" documentId="8_{E5638029-67FD-F443-A049-3134C42513D8}" xr6:coauthVersionLast="47" xr6:coauthVersionMax="47" xr10:uidLastSave="{00000000-0000-0000-0000-000000000000}"/>
  <bookViews>
    <workbookView xWindow="0" yWindow="500" windowWidth="28800" windowHeight="1558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O4" i="7" l="1"/>
  <c r="DH4" i="7"/>
  <c r="DA4" i="7"/>
  <c r="CT4"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AP57" i="7"/>
  <c r="AI57" i="7"/>
  <c r="AB57" i="7"/>
  <c r="U57" i="7"/>
  <c r="N57" i="7"/>
  <c r="G57" i="7"/>
  <c r="K55" i="7" a="1"/>
  <c r="K55" i="7" s="1"/>
  <c r="J55" i="7" a="1"/>
  <c r="J55" i="7" s="1"/>
  <c r="I55" i="7"/>
  <c r="K54" i="7" a="1"/>
  <c r="K54" i="7" s="1"/>
  <c r="J54" i="7" a="1"/>
  <c r="J54" i="7" s="1"/>
  <c r="I54" i="7"/>
  <c r="K53" i="7" a="1"/>
  <c r="K53" i="7" s="1"/>
  <c r="J53" i="7" a="1"/>
  <c r="J53" i="7" s="1"/>
  <c r="I53" i="7"/>
  <c r="K52" i="7" a="1"/>
  <c r="K52" i="7" s="1"/>
  <c r="J52" i="7" a="1"/>
  <c r="J52" i="7" s="1"/>
  <c r="I52" i="7"/>
  <c r="AP51" i="7"/>
  <c r="AI51" i="7"/>
  <c r="AB51" i="7"/>
  <c r="U51" i="7"/>
  <c r="N51" i="7"/>
  <c r="G51"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AP43" i="7"/>
  <c r="AI43" i="7"/>
  <c r="AB43" i="7"/>
  <c r="U43" i="7"/>
  <c r="N43" i="7"/>
  <c r="G43" i="7"/>
  <c r="G4" i="7"/>
  <c r="CM4" i="7"/>
  <c r="CF4" i="7"/>
  <c r="BY4" i="7"/>
  <c r="BR4" i="7"/>
  <c r="K15" i="7" a="1"/>
  <c r="K15" i="7" s="1"/>
  <c r="I15" i="7"/>
  <c r="I14" i="7"/>
  <c r="K41" i="7" a="1"/>
  <c r="K41" i="7" s="1"/>
  <c r="J41" i="7" a="1"/>
  <c r="J41" i="7" s="1"/>
  <c r="I41" i="7"/>
  <c r="K40" i="7" a="1"/>
  <c r="K40" i="7" s="1"/>
  <c r="J40" i="7" a="1"/>
  <c r="J40" i="7" s="1"/>
  <c r="I40" i="7"/>
  <c r="K39" i="7" a="1"/>
  <c r="K39" i="7" s="1"/>
  <c r="J39" i="7" a="1"/>
  <c r="J39" i="7" s="1"/>
  <c r="I39" i="7"/>
  <c r="K38" i="7" a="1"/>
  <c r="K38" i="7" s="1"/>
  <c r="J38" i="7" a="1"/>
  <c r="J38" i="7" s="1"/>
  <c r="I38" i="7"/>
  <c r="AP37" i="7"/>
  <c r="AI37" i="7"/>
  <c r="AB37" i="7"/>
  <c r="U37" i="7"/>
  <c r="N37" i="7"/>
  <c r="G37" i="7"/>
  <c r="K35" i="7" a="1"/>
  <c r="K35" i="7" s="1"/>
  <c r="J35" i="7" a="1"/>
  <c r="J35" i="7" s="1"/>
  <c r="I35" i="7"/>
  <c r="K34" i="7" a="1"/>
  <c r="K34" i="7" s="1"/>
  <c r="J34" i="7" a="1"/>
  <c r="J34" i="7" s="1"/>
  <c r="I34" i="7"/>
  <c r="K33" i="7" a="1"/>
  <c r="K33" i="7" s="1"/>
  <c r="J33" i="7" a="1"/>
  <c r="J33" i="7" s="1"/>
  <c r="I33" i="7"/>
  <c r="K32" i="7" a="1"/>
  <c r="K32" i="7" s="1"/>
  <c r="J32" i="7" a="1"/>
  <c r="J32" i="7" s="1"/>
  <c r="I32" i="7"/>
  <c r="K31" i="7" a="1"/>
  <c r="K31" i="7" s="1"/>
  <c r="J31" i="7" a="1"/>
  <c r="J31" i="7" s="1"/>
  <c r="I31" i="7"/>
  <c r="K30" i="7" a="1"/>
  <c r="K30" i="7" s="1"/>
  <c r="J30" i="7" a="1"/>
  <c r="J30" i="7" s="1"/>
  <c r="I30" i="7"/>
  <c r="AP29" i="7"/>
  <c r="AI29" i="7"/>
  <c r="AB29" i="7"/>
  <c r="U29" i="7"/>
  <c r="N29" i="7"/>
  <c r="G29" i="7"/>
  <c r="BK4" i="7"/>
  <c r="C12" i="10"/>
  <c r="K18" i="7" a="1"/>
  <c r="K18" i="7" s="1"/>
  <c r="K17" i="7" a="1"/>
  <c r="K17" i="7" s="1"/>
  <c r="K16" i="7" a="1"/>
  <c r="K16" i="7" s="1"/>
  <c r="K27" i="7" a="1"/>
  <c r="K27" i="7" s="1"/>
  <c r="J27" i="7" a="1"/>
  <c r="J27" i="7" s="1"/>
  <c r="K26" i="7" a="1"/>
  <c r="K26" i="7" s="1"/>
  <c r="J26" i="7" a="1"/>
  <c r="J26" i="7" s="1"/>
  <c r="K25" i="7" a="1"/>
  <c r="K25" i="7" s="1"/>
  <c r="J25" i="7" a="1"/>
  <c r="J25" i="7" s="1"/>
  <c r="K24" i="7" a="1"/>
  <c r="K24" i="7" s="1"/>
  <c r="J24" i="7" a="1"/>
  <c r="J24" i="7" s="1"/>
  <c r="K23" i="7" a="1"/>
  <c r="K23" i="7" s="1"/>
  <c r="J23" i="7" a="1"/>
  <c r="J23" i="7" s="1"/>
  <c r="K22" i="7" a="1"/>
  <c r="K22" i="7" s="1"/>
  <c r="J22" i="7" a="1"/>
  <c r="J22" i="7" s="1"/>
  <c r="K21" i="7" a="1"/>
  <c r="K21" i="7" s="1"/>
  <c r="J21" i="7" a="1"/>
  <c r="J21" i="7" s="1"/>
  <c r="K10" i="7" a="1"/>
  <c r="K10" i="7" s="1"/>
  <c r="J10" i="7" a="1"/>
  <c r="J10" i="7" s="1"/>
  <c r="K9" i="7" a="1"/>
  <c r="K9" i="7" s="1"/>
  <c r="J9" i="7" a="1"/>
  <c r="J9" i="7" s="1"/>
  <c r="AP12" i="7"/>
  <c r="AI12" i="7"/>
  <c r="AB12" i="7"/>
  <c r="U12" i="7"/>
  <c r="BD4" i="7"/>
  <c r="AW4" i="7"/>
  <c r="AP4" i="7"/>
  <c r="AI4" i="7"/>
  <c r="AB4" i="7"/>
  <c r="U4" i="7"/>
  <c r="N4" i="7"/>
  <c r="N12" i="7"/>
  <c r="AP20" i="7"/>
  <c r="AI20" i="7"/>
  <c r="AB20" i="7"/>
  <c r="U20" i="7"/>
  <c r="I27" i="7"/>
  <c r="I26" i="7"/>
  <c r="I25" i="7"/>
  <c r="I24" i="7"/>
  <c r="I23" i="7"/>
  <c r="I22" i="7"/>
  <c r="I21" i="7"/>
  <c r="I18" i="7"/>
  <c r="I17" i="7"/>
  <c r="I16" i="7"/>
  <c r="I13" i="7"/>
  <c r="I6" i="7"/>
  <c r="I7" i="7"/>
  <c r="I8" i="7"/>
  <c r="I9" i="7"/>
  <c r="I10" i="7"/>
  <c r="I5" i="7"/>
  <c r="N20" i="7"/>
  <c r="G20" i="7"/>
  <c r="G12" i="7"/>
  <c r="I51" i="7" l="1"/>
  <c r="J51" i="7"/>
  <c r="I57" i="7"/>
  <c r="I43" i="7"/>
  <c r="J57" i="7"/>
  <c r="K57" i="7"/>
  <c r="K51" i="7"/>
  <c r="J43" i="7"/>
  <c r="K43" i="7"/>
  <c r="I37" i="7"/>
  <c r="I29" i="7"/>
  <c r="J37" i="7"/>
  <c r="K37" i="7"/>
  <c r="K29" i="7"/>
  <c r="J29" i="7"/>
  <c r="I20" i="7"/>
  <c r="J20" i="7"/>
  <c r="K20" i="7"/>
  <c r="I12"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<sst xmlns="http://schemas.openxmlformats.org/spreadsheetml/2006/main" count="377" uniqueCount="163">
  <si>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</si>
  <si>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</si>
  <si>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</si>
  <si>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</si>
  <si>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</si>
  <si>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</si>
  <si>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</si>
  <si>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</si>
  <si>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</si>
  <si>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</si>
  <si>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</si>
  <si>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</si>
  <si>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</si>
  <si>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</si>
  <si>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</si>
  <si>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</si>
  <si>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</si>
  <si>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</si>
  <si>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</si>
  <si>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</si>
  <si>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</si>
  <si>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</si>
  <si>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</si>
  <si>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</si>
  <si>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</si>
  <si>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</si>
  <si>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</si>
  <si>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</si>
  <si>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</si>
  <si>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</si>
  <si>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</si>
  <si>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</si>
  <si>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</si>
  <si>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</si>
  <si>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</si>
  <si>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</si>
  <si>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</si>
  <si>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</si>
  <si>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</si>
  <si>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</si>
  <si>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</si>
  <si>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</si>
  <si>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</si>
  <si>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</si>
  <si>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</si>
  <si>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</si>
  <si>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</si>
  <si>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</si>
  <si>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</si>
  <si>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</si>
  <si>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</si>
  <si>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</si>
  <si>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</si>
  <si>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</si>
  <si>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</si>
  <si>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</si>
  <si>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</si>
  <si>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</si>
  <si>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</si>
  <si>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</si>
  <si>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</si>
  <si>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</si>
  <si>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</si>
  <si>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</si>
  <si>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</si>
  <si>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</si>
  <si>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</si>
  <si>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</si>
  <si>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</si>
  <si>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</si>
  <si>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</si>
  <si>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</si>
  <si>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</si>
  <si>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</si>
  <si>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</si>
  <si>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</si>
  <si>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</si>
  <si>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</si>
  <si>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</si>
  <si>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</si>
  <si>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</si>
  <si>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</si>
  <si>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</si>
  <si>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</si>
  <si>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</si>
  <si>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</si>
  <si>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</si>
  <si>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</si>
  <si>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</si>
  <si>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</si>
  <si>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</si>
  <si>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</si>
  <si>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</si>
  <si>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</si>
  <si>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</si>
  <si>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Einführung in die BWL</t>
  </si>
  <si>
    <t>1) Einen ersten Einstieg finden - Grundbegriffe der BWL</t>
  </si>
  <si>
    <t>2) Treffen sie ihre Wahl - Konstitutive Entscheidungen in Unternehmen</t>
  </si>
  <si>
    <t>3) Bringen sie es voran - Unternehmensführung</t>
  </si>
  <si>
    <t>4) Wenn alles gut ineinandergreift - Betriebliche Leistungserstellung</t>
  </si>
  <si>
    <t>5)Die Zahlen müssen stimmen - Rechnungswesen, Finanzierung und Investition</t>
  </si>
  <si>
    <t>6)  Wissen wo man steht - Grundlagen der quantitativen Unternehmenssteuerung</t>
  </si>
  <si>
    <t>Statistik</t>
  </si>
  <si>
    <t>1) Wie beginnen wir damit, Daten ihr „Geheimnis“ zu entlocken?</t>
  </si>
  <si>
    <t>2) Und immer mehr Entdeckungen in der ersten Dimension</t>
  </si>
  <si>
    <t>3)Vorstoß in die zweite Dimension
Zweidimensionale Datenreihen</t>
  </si>
  <si>
    <t>4) Was ist das Induktive an der induktiven Statistik?
Wahrscheinlichkeitsrechnung und Zufallsvariablen</t>
  </si>
  <si>
    <t>5) Stetig oder diskret – auf jeden Fall Zufall, den wir berechnen
Spezielle Wahrscheinlichkeitsverteilungen</t>
  </si>
  <si>
    <t>6)Schätz doch mal!
Statistische Schätzverfahren und Tests
Spezielle Wahrscheinlichkeitsverteilungen</t>
  </si>
  <si>
    <t>EINFÜHRUNG IN DIE WIRTSCHAFTSPSYCHOLOGIE</t>
  </si>
  <si>
    <t>1)Wirtschaftspsychologie - Teildisziplinen und zentrale Fragen</t>
  </si>
  <si>
    <t>2)Werbewirkung und Werbeerfolg
 Einführung in die Markt- und Werbepsychologie</t>
  </si>
  <si>
    <t>3) Psychologie und Medien
Einführung in die Medienpsychologie</t>
  </si>
  <si>
    <t>4) Arbeit: Sinnstifter oder Stressor?
Einführung in die Arbeitspsychologie</t>
  </si>
  <si>
    <t>5) Menschen, Teams und Organisationen
Einführung in die Organisationspsychologie</t>
  </si>
  <si>
    <t>6) Das Personal macht den Unterschied
Einführung in die Personalpsychologie</t>
  </si>
  <si>
    <t>7) Intro</t>
  </si>
  <si>
    <t>MEDIEN, ETHIK UND GESELLSCHAFT</t>
  </si>
  <si>
    <t>1) Medien und Kommunikation</t>
  </si>
  <si>
    <t>2) Medien und Ethik</t>
  </si>
  <si>
    <t>3) Besonderheiten der digitalen Kommunikation</t>
  </si>
  <si>
    <t>4) Mediensozialisation und Medienbildung</t>
  </si>
  <si>
    <t>5) Medien, Mensch und Gesellschaft</t>
  </si>
  <si>
    <t>6) Studien und Stand der Forschung</t>
  </si>
  <si>
    <t>WISSENSCHAFTLICHES ARBEITEN</t>
  </si>
  <si>
    <t xml:space="preserve">1) Grundlagen wissenschaftlichen Arbeitens </t>
  </si>
  <si>
    <t>2) Empirische Methoden im wissenschaftlichen Arbeiten</t>
  </si>
  <si>
    <t>3) Gestaltung wissenschaftlicher Arbeiten</t>
  </si>
  <si>
    <t>INTRO</t>
  </si>
  <si>
    <t xml:space="preserve">ALLGEMEINE PSYCHOLOGIE I </t>
  </si>
  <si>
    <t xml:space="preserve">1) </t>
  </si>
  <si>
    <t xml:space="preserve">2) </t>
  </si>
  <si>
    <t xml:space="preserve">3) </t>
  </si>
  <si>
    <t>4)</t>
  </si>
  <si>
    <t>5)</t>
  </si>
  <si>
    <t>6)</t>
  </si>
  <si>
    <t>Intro</t>
  </si>
  <si>
    <t>REFERAT</t>
  </si>
  <si>
    <t>1)Erfolgreiche Navigation durch den Lernprozess</t>
  </si>
  <si>
    <t>2) Rüstzeug für den Weg durchs Studium</t>
  </si>
  <si>
    <t>3) studynow - Ihr Start bei onlineplus</t>
  </si>
  <si>
    <t>EXPOSE</t>
  </si>
  <si>
    <t>Mathematik -OMB PLUS</t>
  </si>
  <si>
    <t>1)Elementares Rechnen - Mengen und Zahlen + Potenzen und Proportionalität</t>
  </si>
  <si>
    <t>2) Gleichungen in einer Unbekannten</t>
  </si>
  <si>
    <t>3) Ungleichungen in einer Variablen</t>
  </si>
  <si>
    <t>4) Lineare Gleichungssysteme</t>
  </si>
  <si>
    <t>5) Geometrie</t>
  </si>
  <si>
    <t>6) Elementare Funktionen</t>
  </si>
  <si>
    <t>7)Differenzialrechnung</t>
  </si>
  <si>
    <t>8) Integralrechnung</t>
  </si>
  <si>
    <t>9) 2D Koordinatensystem</t>
  </si>
  <si>
    <t>10) Vektorgeometrie</t>
  </si>
  <si>
    <t>KW 18</t>
  </si>
  <si>
    <t>KW 27</t>
  </si>
  <si>
    <t>KW 28</t>
  </si>
  <si>
    <t>KW 29</t>
  </si>
  <si>
    <t>KW 30</t>
  </si>
  <si>
    <t>KW 31</t>
  </si>
  <si>
    <t>KW 32</t>
  </si>
  <si>
    <t>KW 33 -KLAUSUREN!!!</t>
  </si>
  <si>
    <t>am 06.06. Test</t>
  </si>
  <si>
    <t>Referat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</si>
</sst>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65">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katjarimer/Desktop/Mein%201.%20Semesterplan%20.xlsx" TargetMode="External"/><Relationship Id="rId1" Type="http://schemas.openxmlformats.org/officeDocument/2006/relationships/externalLinkPath" Target="Mein%201.%20Semesterplan%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leitung"/>
      <sheetName val="Semesterplan"/>
      <sheetName val="Sheet1"/>
      <sheetName val="COMMITTMENT"/>
      <sheetName val="Wochenplan KW 19"/>
      <sheetName val="Wochenplan KW 20"/>
    </sheetNames>
    <sheetDataSet>
      <sheetData sheetId="0" refreshError="1"/>
      <sheetData sheetId="1"/>
      <sheetData sheetId="2" refreshError="1"/>
      <sheetData sheetId="3" refreshError="1"/>
      <sheetData sheetId="4" refreshError="1"/>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64">
  <autoFilter ref="A1:K46" xr:uid="{6E266E34-2786-2747-BCE7-51B74867A564}"/>
  <tableColumns count="11">
    <tableColumn id="1" xr3:uid="{95FD92F7-3DC8-704D-A103-A7EDDAB255AB}" name="Datum" dataDxfId="63"/>
    <tableColumn id="2" xr3:uid="{F464D510-8166-E740-A343-FB84BDEF877F}" name="Lerneinheiten durchgezogen" dataDxfId="62"/>
    <tableColumn id="3" xr3:uid="{75F52B08-1A00-0848-BBE6-1EDF7B31B1AD}" name="Tagesplan erstellt" dataDxfId="61"/>
    <tableColumn id="4" xr3:uid="{E6B18D89-E799-AD48-9DAA-37AEE1D29011}" name="Konzentrationslevel" dataDxfId="6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D19" sqref="D19"/>
    </sheetView>
  </sheetViews>
  <sheetFormatPr baseColWidth="10" defaultRowHeight="16" x14ac:dyDescent="0.2"/>
  <cols>
    <col min="1" max="1" width="11.83203125" customWidth="1"/>
    <col min="2" max="2" width="62.6640625" customWidth="1"/>
  </cols>
  <sheetData>
    <row r="2" spans="1:4" x14ac:dyDescent="0.2">
      <c r="C2" s="18" t="s">
        <v>78</v>
      </c>
    </row>
    <row r="3" spans="1:4" x14ac:dyDescent="0.2">
      <c r="C3" s="17" t="s">
        <v>63</v>
      </c>
    </row>
    <row r="4" spans="1:4" x14ac:dyDescent="0.2">
      <c r="C4" s="16" t="s">
        <v>77</v>
      </c>
    </row>
    <row r="5" spans="1:4" x14ac:dyDescent="0.2">
      <c r="A5" s="2" t="s">
        <v>60</v>
      </c>
      <c r="B5" s="2" t="s">
        <v>61</v>
      </c>
      <c r="C5" s="2" t="s">
        <v>62</v>
      </c>
      <c r="D5" s="2" t="s">
        <v>64</v>
      </c>
    </row>
    <row r="6" spans="1:4" x14ac:dyDescent="0.2">
      <c r="A6" t="s">
        <v>56</v>
      </c>
      <c r="B6" s="18" t="s">
        <v>59</v>
      </c>
      <c r="D6" t="s">
        <v>93</v>
      </c>
    </row>
    <row r="7" spans="1:4" x14ac:dyDescent="0.2">
      <c r="A7" t="s">
        <v>67</v>
      </c>
      <c r="B7" t="s">
        <v>68</v>
      </c>
      <c r="C7" s="16">
        <v>49</v>
      </c>
    </row>
    <row r="8" spans="1:4" x14ac:dyDescent="0.2">
      <c r="A8" t="s">
        <v>58</v>
      </c>
      <c r="B8" s="18" t="s">
        <v>57</v>
      </c>
      <c r="D8" t="s">
        <v>81</v>
      </c>
    </row>
    <row r="9" spans="1:4" x14ac:dyDescent="0.2">
      <c r="A9" t="s">
        <v>66</v>
      </c>
      <c r="B9" s="18" t="s">
        <v>79</v>
      </c>
      <c r="C9">
        <v>16</v>
      </c>
      <c r="D9" t="s">
        <v>82</v>
      </c>
    </row>
    <row r="10" spans="1:4" x14ac:dyDescent="0.2">
      <c r="A10" t="s">
        <v>70</v>
      </c>
      <c r="B10" t="s">
        <v>69</v>
      </c>
      <c r="C10" s="16">
        <v>12</v>
      </c>
      <c r="D10" t="s">
        <v>65</v>
      </c>
    </row>
    <row r="11" spans="1:4" x14ac:dyDescent="0.2">
      <c r="A11" t="s">
        <v>71</v>
      </c>
      <c r="B11" t="s">
        <v>73</v>
      </c>
      <c r="C11" s="16">
        <v>147</v>
      </c>
      <c r="D11" t="s">
        <v>72</v>
      </c>
    </row>
    <row r="12" spans="1:4" x14ac:dyDescent="0.2">
      <c r="A12" t="s">
        <v>75</v>
      </c>
      <c r="B12" t="s">
        <v>74</v>
      </c>
      <c r="C12" s="17">
        <f>C11/C10</f>
        <v>12.25</v>
      </c>
    </row>
    <row r="13" spans="1:4" x14ac:dyDescent="0.2">
      <c r="A13" t="s">
        <v>80</v>
      </c>
      <c r="B13" t="s">
        <v>76</v>
      </c>
      <c r="D13" t="s">
        <v>83</v>
      </c>
    </row>
    <row r="14" spans="1:4" x14ac:dyDescent="0.2">
      <c r="A14" t="s">
        <v>84</v>
      </c>
      <c r="B14" t="s">
        <v>85</v>
      </c>
      <c r="D14" t="s">
        <v>86</v>
      </c>
    </row>
    <row r="15" spans="1:4" x14ac:dyDescent="0.2">
      <c r="A15" t="s">
        <v>87</v>
      </c>
      <c r="B15" s="18" t="s">
        <v>88</v>
      </c>
    </row>
    <row r="16" spans="1:4" x14ac:dyDescent="0.2">
      <c r="A16" t="s">
        <v>91</v>
      </c>
      <c r="B16" s="18" t="s">
        <v>89</v>
      </c>
    </row>
    <row r="17" spans="1:2" x14ac:dyDescent="0.2">
      <c r="A17" t="s">
        <v>92</v>
      </c>
      <c r="B17" t="s">
        <v>90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68"/>
  <sheetViews>
    <sheetView showGridLines="0" tabSelected="1" topLeftCell="A7" zoomScale="75" zoomScaleNormal="83" workbookViewId="0">
      <pane xSplit="12" topLeftCell="BX1" activePane="topRight" state="frozen"/>
      <selection pane="topRight" activeCell="BO62" sqref="BO62:BO67"/>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s>
  <sheetData>
    <row r="1" spans="2:124" ht="34" x14ac:dyDescent="0.4">
      <c r="B1" s="4" t="s">
        <v>0</v>
      </c>
      <c r="D1" s="4"/>
      <c r="G1" s="13" t="s">
        <v>33</v>
      </c>
      <c r="I1" s="13" t="s">
        <v>33</v>
      </c>
      <c r="J1" s="13" t="s">
        <v>33</v>
      </c>
      <c r="K1" s="13" t="s">
        <v>33</v>
      </c>
    </row>
    <row r="2" spans="2:124" x14ac:dyDescent="0.2">
      <c r="I2" s="20" t="s">
        <v>27</v>
      </c>
      <c r="J2" s="20"/>
      <c r="K2" s="20"/>
      <c r="L2" s="20"/>
      <c r="N2" s="20" t="s">
        <v>153</v>
      </c>
      <c r="O2" s="20"/>
      <c r="P2" s="20"/>
      <c r="Q2" s="20"/>
      <c r="R2" s="20"/>
      <c r="S2" s="20"/>
      <c r="U2" s="20" t="s">
        <v>34</v>
      </c>
      <c r="V2" s="20"/>
      <c r="W2" s="20"/>
      <c r="X2" s="20"/>
      <c r="Y2" s="20"/>
      <c r="Z2" s="20"/>
      <c r="AB2" s="20" t="s">
        <v>35</v>
      </c>
      <c r="AC2" s="20"/>
      <c r="AD2" s="20"/>
      <c r="AE2" s="20"/>
      <c r="AF2" s="20"/>
      <c r="AG2" s="20"/>
      <c r="AI2" s="20" t="s">
        <v>36</v>
      </c>
      <c r="AJ2" s="20"/>
      <c r="AK2" s="20"/>
      <c r="AL2" s="20"/>
      <c r="AM2" s="20"/>
      <c r="AN2" s="20"/>
      <c r="AP2" s="20" t="s">
        <v>37</v>
      </c>
      <c r="AQ2" s="20"/>
      <c r="AR2" s="20"/>
      <c r="AS2" s="20"/>
      <c r="AT2" s="20"/>
      <c r="AU2" s="20"/>
      <c r="AW2" s="20" t="s">
        <v>42</v>
      </c>
      <c r="AX2" s="20"/>
      <c r="AY2" s="20"/>
      <c r="AZ2" s="20"/>
      <c r="BA2" s="20"/>
      <c r="BB2" s="20"/>
      <c r="BD2" s="20" t="s">
        <v>43</v>
      </c>
      <c r="BE2" s="20"/>
      <c r="BF2" s="20"/>
      <c r="BG2" s="20"/>
      <c r="BH2" s="20"/>
      <c r="BI2" s="20"/>
      <c r="BK2" s="20" t="s">
        <v>44</v>
      </c>
      <c r="BL2" s="20"/>
      <c r="BM2" s="20"/>
      <c r="BN2" s="20"/>
      <c r="BO2" s="20"/>
      <c r="BP2" s="20"/>
      <c r="BR2" s="20" t="s">
        <v>94</v>
      </c>
      <c r="BS2" s="20"/>
      <c r="BT2" s="20"/>
      <c r="BU2" s="20"/>
      <c r="BV2" s="20"/>
      <c r="BW2" s="20"/>
      <c r="BY2" s="20" t="s">
        <v>154</v>
      </c>
      <c r="BZ2" s="20"/>
      <c r="CA2" s="20"/>
      <c r="CB2" s="20"/>
      <c r="CC2" s="20"/>
      <c r="CD2" s="20"/>
      <c r="CF2" s="20" t="s">
        <v>155</v>
      </c>
      <c r="CG2" s="20"/>
      <c r="CH2" s="20"/>
      <c r="CI2" s="20"/>
      <c r="CJ2" s="20"/>
      <c r="CK2" s="20"/>
      <c r="CM2" s="20" t="s">
        <v>156</v>
      </c>
      <c r="CN2" s="20"/>
      <c r="CO2" s="20"/>
      <c r="CP2" s="20"/>
      <c r="CQ2" s="20"/>
      <c r="CR2" s="20"/>
      <c r="CT2" s="20" t="s">
        <v>157</v>
      </c>
      <c r="CU2" s="20"/>
      <c r="CV2" s="20"/>
      <c r="CW2" s="20"/>
      <c r="CX2" s="20"/>
      <c r="CY2" s="20"/>
      <c r="DA2" s="20" t="s">
        <v>158</v>
      </c>
      <c r="DB2" s="20"/>
      <c r="DC2" s="20"/>
      <c r="DD2" s="20"/>
      <c r="DE2" s="20"/>
      <c r="DF2" s="20"/>
      <c r="DH2" s="20" t="s">
        <v>159</v>
      </c>
      <c r="DI2" s="20"/>
      <c r="DJ2" s="20"/>
      <c r="DK2" s="20"/>
      <c r="DL2" s="20"/>
      <c r="DM2" s="20"/>
      <c r="DO2" s="20" t="s">
        <v>160</v>
      </c>
      <c r="DP2" s="20"/>
      <c r="DQ2" s="20"/>
      <c r="DR2" s="20"/>
      <c r="DS2" s="20"/>
      <c r="DT2" s="20"/>
    </row>
    <row r="3" spans="2:124"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row>
    <row r="4" spans="2:124" x14ac:dyDescent="0.2">
      <c r="B4" t="s">
        <v>27</v>
      </c>
      <c r="C4" t="s">
        <v>95</v>
      </c>
      <c r="D4" s="19">
        <v>45516</v>
      </c>
      <c r="E4" s="9">
        <v>5</v>
      </c>
      <c r="G4" s="10" t="e">
        <f>+SUM(G5:'[1]Semesterplan'!$DG$3410)</f>
        <v>#VALUE!</v>
      </c>
      <c r="I4" s="12">
        <f>+SUM(I5:I10)</f>
        <v>0</v>
      </c>
      <c r="J4" s="11">
        <f>+SUMPRODUCT(G5:G10,J5:J10)</f>
        <v>0</v>
      </c>
      <c r="K4" s="11">
        <f>+SUMPRODUCT(G5:G10,K5:K10)</f>
        <v>0</v>
      </c>
      <c r="L4" s="9"/>
      <c r="N4" s="12">
        <f>+SUM(N5:N10)</f>
        <v>0</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N4" s="10"/>
      <c r="CT4" s="12">
        <f>+SUM(CT5:CT10)</f>
        <v>0</v>
      </c>
      <c r="DA4" s="12">
        <f>+SUM(DA5:DA10)</f>
        <v>0</v>
      </c>
      <c r="DH4" s="12">
        <f>+SUM(DH5:DH10)</f>
        <v>0</v>
      </c>
      <c r="DO4" s="12">
        <f>+SUM(DO5:DO10)</f>
        <v>0</v>
      </c>
    </row>
    <row r="5" spans="2:124" outlineLevel="1" x14ac:dyDescent="0.2">
      <c r="B5" t="s">
        <v>28</v>
      </c>
      <c r="C5" t="s">
        <v>95</v>
      </c>
      <c r="E5" s="9"/>
      <c r="F5" t="s">
        <v>96</v>
      </c>
      <c r="G5" s="10">
        <v>0.1</v>
      </c>
      <c r="I5" s="9">
        <f t="shared" ref="I5:I10" si="0">+SUMIF($N$3:$ZS$3,I$3,$N5:$ZS5)</f>
        <v>0</v>
      </c>
      <c r="J5" s="11">
        <v>0</v>
      </c>
      <c r="K5" s="11">
        <v>0</v>
      </c>
      <c r="L5" s="9"/>
      <c r="O5" s="10"/>
      <c r="P5" s="10"/>
      <c r="Q5" s="10"/>
      <c r="R5" s="10"/>
      <c r="V5" s="10"/>
      <c r="W5" s="10">
        <v>0.5</v>
      </c>
      <c r="X5" s="10"/>
      <c r="Y5" s="10">
        <v>0.5</v>
      </c>
      <c r="AC5" s="10"/>
      <c r="AD5" s="10">
        <v>0.8</v>
      </c>
      <c r="AE5" s="10"/>
      <c r="AF5" s="10">
        <v>0.8</v>
      </c>
      <c r="AJ5" s="10"/>
      <c r="AK5" s="10">
        <v>0.8</v>
      </c>
      <c r="AL5" s="10"/>
      <c r="AM5" s="10">
        <v>0.8</v>
      </c>
      <c r="AQ5" s="10"/>
      <c r="AR5" s="10">
        <v>0.8</v>
      </c>
      <c r="AS5" s="10"/>
      <c r="AT5" s="10">
        <v>0.8</v>
      </c>
      <c r="AX5" s="10"/>
      <c r="AY5" s="10">
        <v>0.8</v>
      </c>
      <c r="AZ5" s="10"/>
      <c r="BA5" s="10">
        <v>0.8</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row>
    <row r="6" spans="2:124" outlineLevel="1" x14ac:dyDescent="0.2">
      <c r="B6" t="s">
        <v>28</v>
      </c>
      <c r="C6" t="s">
        <v>95</v>
      </c>
      <c r="E6" s="9"/>
      <c r="F6" t="s">
        <v>97</v>
      </c>
      <c r="G6" s="10">
        <v>0.05</v>
      </c>
      <c r="I6" s="9">
        <f t="shared" si="0"/>
        <v>0</v>
      </c>
      <c r="J6" s="11">
        <v>0</v>
      </c>
      <c r="K6" s="11">
        <v>0</v>
      </c>
      <c r="L6" s="9"/>
      <c r="O6" s="10"/>
      <c r="P6" s="10"/>
      <c r="Q6" s="10"/>
      <c r="R6" s="10"/>
      <c r="V6" s="10"/>
      <c r="W6" s="10"/>
      <c r="X6" s="10"/>
      <c r="Y6" s="10"/>
      <c r="AC6" s="10"/>
      <c r="AD6" s="10"/>
      <c r="AE6" s="10"/>
      <c r="AF6" s="10"/>
      <c r="AJ6" s="10"/>
      <c r="AK6" s="10"/>
      <c r="AL6" s="10"/>
      <c r="AM6" s="10"/>
      <c r="AQ6" s="10"/>
      <c r="AR6" s="10">
        <v>0.5</v>
      </c>
      <c r="AS6" s="10"/>
      <c r="AT6" s="10">
        <v>0.5</v>
      </c>
      <c r="AX6" s="10"/>
      <c r="AY6" s="10">
        <v>0.8</v>
      </c>
      <c r="AZ6" s="10"/>
      <c r="BA6" s="10">
        <v>0.8</v>
      </c>
      <c r="BE6" s="10"/>
      <c r="BF6" s="10">
        <v>0.8</v>
      </c>
      <c r="BG6" s="10"/>
      <c r="BH6" s="10">
        <v>0.8</v>
      </c>
      <c r="BL6" s="10"/>
      <c r="BM6" s="10">
        <v>0.8</v>
      </c>
      <c r="BN6" s="10"/>
      <c r="BO6" s="10">
        <v>0.8</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row>
    <row r="7" spans="2:124" outlineLevel="1" x14ac:dyDescent="0.2">
      <c r="B7" t="s">
        <v>28</v>
      </c>
      <c r="C7" t="s">
        <v>95</v>
      </c>
      <c r="E7" s="9"/>
      <c r="F7" t="s">
        <v>98</v>
      </c>
      <c r="G7" s="10">
        <v>0.05</v>
      </c>
      <c r="I7" s="9">
        <f t="shared" si="0"/>
        <v>0</v>
      </c>
      <c r="J7" s="11">
        <v>0</v>
      </c>
      <c r="K7" s="11">
        <v>0</v>
      </c>
      <c r="L7" s="9"/>
      <c r="O7" s="10"/>
      <c r="P7" s="10"/>
      <c r="Q7" s="10"/>
      <c r="R7" s="10"/>
      <c r="V7" s="10"/>
      <c r="W7" s="10"/>
      <c r="X7" s="10"/>
      <c r="Y7" s="10"/>
      <c r="AC7" s="10"/>
      <c r="AD7" s="10"/>
      <c r="AE7" s="10"/>
      <c r="AF7" s="10"/>
      <c r="AJ7" s="10"/>
      <c r="AK7" s="10"/>
      <c r="AL7" s="10"/>
      <c r="AM7" s="10"/>
      <c r="AQ7" s="10"/>
      <c r="AR7" s="10"/>
      <c r="AS7" s="10"/>
      <c r="AT7" s="10"/>
      <c r="AX7" s="10"/>
      <c r="AY7" s="10">
        <v>0.5</v>
      </c>
      <c r="AZ7" s="10"/>
      <c r="BA7" s="10">
        <v>0.5</v>
      </c>
      <c r="BE7" s="10"/>
      <c r="BF7" s="10">
        <v>0.5</v>
      </c>
      <c r="BG7" s="10"/>
      <c r="BH7" s="10">
        <v>0.5</v>
      </c>
      <c r="BL7" s="10"/>
      <c r="BM7" s="10">
        <v>0.8</v>
      </c>
      <c r="BN7" s="10"/>
      <c r="BO7" s="10">
        <v>0.8</v>
      </c>
      <c r="BS7" s="10"/>
      <c r="BT7" s="10">
        <v>0.8</v>
      </c>
      <c r="BU7" s="10"/>
      <c r="BV7" s="10">
        <v>0.8</v>
      </c>
      <c r="BZ7" s="10"/>
      <c r="CA7" s="10">
        <v>1</v>
      </c>
      <c r="CB7" s="10"/>
      <c r="CC7" s="10">
        <v>1</v>
      </c>
      <c r="CG7" s="10"/>
      <c r="CH7" s="10">
        <v>1</v>
      </c>
      <c r="CI7" s="10"/>
      <c r="CJ7" s="10">
        <v>1</v>
      </c>
      <c r="CN7" s="10"/>
      <c r="CO7" s="10">
        <v>1</v>
      </c>
      <c r="CP7" s="10"/>
      <c r="CQ7" s="10">
        <v>1</v>
      </c>
      <c r="CU7" s="10"/>
      <c r="CV7" s="10">
        <v>1</v>
      </c>
      <c r="CW7" s="10"/>
      <c r="CX7" s="10">
        <v>1</v>
      </c>
      <c r="DB7" s="10"/>
      <c r="DC7" s="10"/>
      <c r="DD7" s="10"/>
      <c r="DE7" s="10"/>
      <c r="DI7" s="10"/>
      <c r="DJ7" s="10"/>
      <c r="DK7" s="10"/>
      <c r="DL7" s="10"/>
      <c r="DP7" s="10"/>
      <c r="DQ7" s="10"/>
      <c r="DR7" s="10"/>
      <c r="DS7" s="10"/>
    </row>
    <row r="8" spans="2:124" outlineLevel="1" x14ac:dyDescent="0.2">
      <c r="B8" t="s">
        <v>28</v>
      </c>
      <c r="C8" t="s">
        <v>95</v>
      </c>
      <c r="E8" s="9"/>
      <c r="F8" t="s">
        <v>99</v>
      </c>
      <c r="G8" s="10">
        <v>0.05</v>
      </c>
      <c r="I8" s="9">
        <f t="shared" si="0"/>
        <v>0</v>
      </c>
      <c r="J8" s="11">
        <v>0</v>
      </c>
      <c r="K8" s="11">
        <v>0</v>
      </c>
      <c r="L8" s="9"/>
      <c r="O8" s="10"/>
      <c r="P8" s="10"/>
      <c r="Q8" s="10"/>
      <c r="R8" s="10"/>
      <c r="V8" s="10"/>
      <c r="W8" s="10"/>
      <c r="X8" s="10"/>
      <c r="Y8" s="10"/>
      <c r="AC8" s="10"/>
      <c r="AD8" s="10"/>
      <c r="AE8" s="10"/>
      <c r="AF8" s="10"/>
      <c r="AJ8" s="10"/>
      <c r="AK8" s="10"/>
      <c r="AL8" s="10"/>
      <c r="AM8" s="10"/>
      <c r="AQ8" s="10"/>
      <c r="AR8" s="10"/>
      <c r="AS8" s="10"/>
      <c r="AT8" s="10"/>
      <c r="AX8" s="10"/>
      <c r="AY8" s="10"/>
      <c r="AZ8" s="10"/>
      <c r="BA8" s="10"/>
      <c r="BE8" s="10"/>
      <c r="BF8" s="10">
        <v>0.5</v>
      </c>
      <c r="BG8" s="10"/>
      <c r="BH8" s="10">
        <v>0.5</v>
      </c>
      <c r="BL8" s="10"/>
      <c r="BM8" s="10">
        <v>0.5</v>
      </c>
      <c r="BN8" s="10"/>
      <c r="BO8" s="10">
        <v>0.5</v>
      </c>
      <c r="BS8" s="10"/>
      <c r="BT8" s="10">
        <v>0.8</v>
      </c>
      <c r="BU8" s="10"/>
      <c r="BV8" s="10">
        <v>0.8</v>
      </c>
      <c r="BZ8" s="10"/>
      <c r="CA8" s="10">
        <v>0.8</v>
      </c>
      <c r="CB8" s="10"/>
      <c r="CC8" s="10">
        <v>0.8</v>
      </c>
      <c r="CG8" s="10"/>
      <c r="CH8" s="10">
        <v>0.8</v>
      </c>
      <c r="CI8" s="10"/>
      <c r="CJ8" s="10">
        <v>0.8</v>
      </c>
      <c r="CN8" s="10"/>
      <c r="CO8" s="10">
        <v>1</v>
      </c>
      <c r="CP8" s="10"/>
      <c r="CQ8" s="10">
        <v>1</v>
      </c>
      <c r="CU8" s="10"/>
      <c r="CV8" s="10">
        <v>1</v>
      </c>
      <c r="CW8" s="10"/>
      <c r="CX8" s="10">
        <v>1</v>
      </c>
      <c r="DB8" s="10"/>
      <c r="DC8" s="10"/>
      <c r="DD8" s="10"/>
      <c r="DE8" s="10"/>
      <c r="DI8" s="10"/>
      <c r="DJ8" s="10"/>
      <c r="DK8" s="10"/>
      <c r="DL8" s="10"/>
      <c r="DP8" s="10"/>
      <c r="DQ8" s="10"/>
      <c r="DR8" s="10"/>
      <c r="DS8" s="10"/>
    </row>
    <row r="9" spans="2:124" outlineLevel="1" x14ac:dyDescent="0.2">
      <c r="B9" t="s">
        <v>28</v>
      </c>
      <c r="C9" t="s">
        <v>95</v>
      </c>
      <c r="E9" s="9"/>
      <c r="F9" t="s">
        <v>100</v>
      </c>
      <c r="G9" s="10">
        <v>0.05</v>
      </c>
      <c r="I9" s="9">
        <f t="shared" si="0"/>
        <v>0</v>
      </c>
      <c r="J9" s="11" cm="1">
        <f t="array" ref="J9">MAX(IF($N$3:$EA$3=$J$3,N9:EA9))</f>
        <v>0</v>
      </c>
      <c r="K9" s="11" cm="1">
        <f t="array" ref="K9">MAX(IF($N$3:$EA$3=$J$3,N9:EA9))</f>
        <v>0</v>
      </c>
      <c r="L9" s="9"/>
      <c r="O9" s="10"/>
      <c r="P9" s="10"/>
      <c r="Q9" s="10"/>
      <c r="R9" s="10"/>
      <c r="V9" s="10"/>
      <c r="W9" s="10"/>
      <c r="X9" s="10"/>
      <c r="Y9" s="10"/>
      <c r="AC9" s="10"/>
      <c r="AD9" s="10"/>
      <c r="AE9" s="10"/>
      <c r="AF9" s="10"/>
      <c r="AJ9" s="10"/>
      <c r="AK9" s="10"/>
      <c r="AL9" s="10"/>
      <c r="AM9" s="10"/>
      <c r="AQ9" s="10"/>
      <c r="AR9" s="10"/>
      <c r="AS9" s="10"/>
      <c r="AT9" s="10"/>
      <c r="AX9" s="10"/>
      <c r="AY9" s="10"/>
      <c r="AZ9" s="10"/>
      <c r="BA9" s="10"/>
      <c r="BE9" s="10"/>
      <c r="BF9" s="10"/>
      <c r="BG9" s="10"/>
      <c r="BH9" s="10"/>
      <c r="BL9" s="10"/>
      <c r="BM9" s="10">
        <v>0.5</v>
      </c>
      <c r="BN9" s="10"/>
      <c r="BO9" s="10">
        <v>0.5</v>
      </c>
      <c r="BS9" s="10"/>
      <c r="BT9" s="10">
        <v>0.5</v>
      </c>
      <c r="BU9" s="10"/>
      <c r="BV9" s="10">
        <v>0.5</v>
      </c>
      <c r="BZ9" s="10"/>
      <c r="CA9" s="10">
        <v>0.5</v>
      </c>
      <c r="CB9" s="10"/>
      <c r="CC9" s="10">
        <v>0.5</v>
      </c>
      <c r="CG9" s="10"/>
      <c r="CH9" s="10">
        <v>0.8</v>
      </c>
      <c r="CI9" s="10"/>
      <c r="CJ9" s="10">
        <v>0.8</v>
      </c>
      <c r="CN9" s="10"/>
      <c r="CO9" s="10">
        <v>0.8</v>
      </c>
      <c r="CP9" s="10"/>
      <c r="CQ9" s="10">
        <v>0.8</v>
      </c>
      <c r="CU9" s="10"/>
      <c r="CV9" s="10">
        <v>1</v>
      </c>
      <c r="CW9" s="10"/>
      <c r="CX9" s="10">
        <v>1</v>
      </c>
      <c r="DB9" s="10"/>
      <c r="DC9" s="10"/>
      <c r="DD9" s="10"/>
      <c r="DE9" s="10"/>
      <c r="DI9" s="10"/>
      <c r="DJ9" s="10"/>
      <c r="DK9" s="10"/>
      <c r="DL9" s="10"/>
      <c r="DP9" s="10"/>
      <c r="DQ9" s="10"/>
      <c r="DR9" s="10"/>
      <c r="DS9" s="10"/>
    </row>
    <row r="10" spans="2:124" outlineLevel="1" x14ac:dyDescent="0.2">
      <c r="B10" t="s">
        <v>28</v>
      </c>
      <c r="C10" t="s">
        <v>95</v>
      </c>
      <c r="E10" s="9"/>
      <c r="F10" t="s">
        <v>101</v>
      </c>
      <c r="G10" s="10">
        <v>0.1</v>
      </c>
      <c r="I10" s="9">
        <f t="shared" si="0"/>
        <v>0</v>
      </c>
      <c r="J10" s="11" cm="1">
        <f t="array" ref="J10">MAX(IF($N$3:$EA$3=$J$3,N10:EA10))</f>
        <v>0</v>
      </c>
      <c r="K10" s="11" cm="1">
        <f t="array" ref="K10">MAX(IF($N$3:$EA$3=$J$3,N10:EA10))</f>
        <v>0</v>
      </c>
      <c r="L10" s="9"/>
      <c r="O10" s="10"/>
      <c r="P10" s="10"/>
      <c r="Q10" s="10"/>
      <c r="R10" s="10"/>
      <c r="V10" s="10"/>
      <c r="W10" s="10"/>
      <c r="X10" s="10"/>
      <c r="Y10" s="10"/>
      <c r="AC10" s="10"/>
      <c r="AD10" s="10"/>
      <c r="AE10" s="10"/>
      <c r="AF10" s="10"/>
      <c r="AJ10" s="10"/>
      <c r="AK10" s="10"/>
      <c r="AL10" s="10"/>
      <c r="AQ10" s="10"/>
      <c r="AR10" s="10"/>
      <c r="AS10" s="10"/>
      <c r="AT10" s="10"/>
      <c r="AX10" s="10"/>
      <c r="AY10" s="10"/>
      <c r="AZ10" s="10"/>
      <c r="BA10" s="10"/>
      <c r="BE10" s="10"/>
      <c r="BF10" s="10"/>
      <c r="BG10" s="10"/>
      <c r="BH10" s="10"/>
      <c r="BL10" s="10"/>
      <c r="BM10" s="10"/>
      <c r="BN10" s="10"/>
      <c r="BO10" s="10"/>
      <c r="BS10" s="10"/>
      <c r="BT10" s="10"/>
      <c r="BU10" s="10"/>
      <c r="BV10" s="10"/>
      <c r="BZ10" s="10"/>
      <c r="CA10" s="10"/>
      <c r="CB10" s="10"/>
      <c r="CC10" s="10"/>
      <c r="CG10" s="10"/>
      <c r="CH10" s="10">
        <v>0.5</v>
      </c>
      <c r="CI10" s="10"/>
      <c r="CJ10" s="10">
        <v>0.5</v>
      </c>
      <c r="CN10" s="10"/>
      <c r="CO10" s="10">
        <v>0.8</v>
      </c>
      <c r="CP10" s="10"/>
      <c r="CQ10" s="10">
        <v>0.8</v>
      </c>
      <c r="CU10" s="10"/>
      <c r="CV10" s="10">
        <v>1</v>
      </c>
      <c r="CW10" s="10"/>
      <c r="CX10" s="10">
        <v>1</v>
      </c>
      <c r="DB10" s="10"/>
      <c r="DC10" s="10"/>
      <c r="DD10" s="10"/>
      <c r="DE10" s="10"/>
      <c r="DI10" s="10"/>
      <c r="DJ10" s="10"/>
      <c r="DK10" s="10"/>
      <c r="DL10" s="10"/>
      <c r="DP10" s="10"/>
      <c r="DQ10" s="10"/>
      <c r="DR10" s="10"/>
      <c r="DS10" s="10"/>
    </row>
    <row r="11" spans="2:124" x14ac:dyDescent="0.2">
      <c r="CV11" s="10"/>
      <c r="CX11" s="10"/>
    </row>
    <row r="12" spans="2:124" x14ac:dyDescent="0.2">
      <c r="B12" t="s">
        <v>27</v>
      </c>
      <c r="C12" t="s">
        <v>102</v>
      </c>
      <c r="D12" s="19">
        <v>45517</v>
      </c>
      <c r="E12" s="9">
        <v>5</v>
      </c>
      <c r="G12" s="10">
        <f>+SUM(G13:G18)</f>
        <v>1</v>
      </c>
      <c r="I12" s="12">
        <f>+SUM(I13:I18)</f>
        <v>0</v>
      </c>
      <c r="J12" s="11">
        <v>0</v>
      </c>
      <c r="K12" s="11">
        <v>0</v>
      </c>
      <c r="L12" s="9"/>
      <c r="N12" s="12">
        <f>+SUM(N13:N18)</f>
        <v>0</v>
      </c>
      <c r="U12" s="12">
        <f>+SUM(U13:U18)</f>
        <v>0</v>
      </c>
      <c r="AB12" s="12">
        <f>+SUM(AB13:AB18)</f>
        <v>0</v>
      </c>
      <c r="AI12" s="12">
        <f>+SUM(AI13:AI18)</f>
        <v>0</v>
      </c>
      <c r="AP12" s="12">
        <f>+SUM(AP13:AP18)</f>
        <v>0</v>
      </c>
      <c r="CV12" s="10"/>
      <c r="CX12" s="10"/>
    </row>
    <row r="13" spans="2:124" outlineLevel="1" x14ac:dyDescent="0.2">
      <c r="B13" t="s">
        <v>28</v>
      </c>
      <c r="C13" t="s">
        <v>102</v>
      </c>
      <c r="E13" s="9"/>
      <c r="F13" t="s">
        <v>103</v>
      </c>
      <c r="G13" s="10">
        <v>0.1</v>
      </c>
      <c r="I13" s="9">
        <f t="shared" ref="I13:I18" si="1">+SUMIF($N$3:$ZS$3,I$3,$N13:$ZS13)</f>
        <v>0</v>
      </c>
      <c r="J13" s="11">
        <v>0</v>
      </c>
      <c r="K13" s="11">
        <v>0</v>
      </c>
      <c r="L13" s="9"/>
      <c r="O13" s="10"/>
      <c r="P13" s="10"/>
      <c r="Q13" s="10"/>
      <c r="R13" s="10"/>
      <c r="V13" s="10"/>
      <c r="W13" s="10"/>
      <c r="X13" s="10"/>
      <c r="Y13" s="10"/>
      <c r="AC13" s="10"/>
      <c r="AD13" s="10"/>
      <c r="AE13" s="10"/>
      <c r="AF13" s="10"/>
      <c r="AJ13" s="10"/>
      <c r="AK13" s="10">
        <v>0.5</v>
      </c>
      <c r="AL13" s="10"/>
      <c r="AM13" s="10">
        <v>0.5</v>
      </c>
      <c r="AQ13" s="10"/>
      <c r="AR13" s="10">
        <v>0.8</v>
      </c>
      <c r="AS13" s="10"/>
      <c r="AT13" s="10">
        <v>0.8</v>
      </c>
      <c r="AX13" s="10"/>
      <c r="AY13" s="10">
        <v>0.8</v>
      </c>
      <c r="AZ13" s="10"/>
      <c r="BA13" s="10">
        <v>0.8</v>
      </c>
      <c r="BE13" s="10"/>
      <c r="BF13" s="10">
        <v>1</v>
      </c>
      <c r="BG13" s="10"/>
      <c r="BH13" s="10">
        <v>1</v>
      </c>
      <c r="BL13" s="10"/>
      <c r="BM13" s="10">
        <v>1</v>
      </c>
      <c r="BN13" s="10"/>
      <c r="BO13" s="10">
        <v>1</v>
      </c>
      <c r="BS13" s="10"/>
      <c r="BT13" s="10">
        <v>1</v>
      </c>
      <c r="BU13" s="10"/>
      <c r="BV13" s="10">
        <v>1</v>
      </c>
      <c r="BZ13" s="10"/>
      <c r="CA13" s="10">
        <v>1</v>
      </c>
      <c r="CB13" s="10"/>
      <c r="CC13" s="10">
        <v>1</v>
      </c>
      <c r="CG13" s="10"/>
      <c r="CH13" s="10">
        <v>1</v>
      </c>
      <c r="CI13" s="10"/>
      <c r="CJ13" s="10">
        <v>1</v>
      </c>
      <c r="CN13" s="10"/>
      <c r="CO13" s="10">
        <v>1</v>
      </c>
      <c r="CP13" s="10"/>
      <c r="CQ13" s="10">
        <v>1</v>
      </c>
      <c r="CU13" s="10"/>
      <c r="CV13" s="10">
        <v>1</v>
      </c>
      <c r="CW13" s="10"/>
      <c r="CX13" s="10">
        <v>1</v>
      </c>
      <c r="DB13" s="10"/>
      <c r="DC13" s="10"/>
      <c r="DD13" s="10"/>
      <c r="DE13" s="10"/>
      <c r="DI13" s="10"/>
      <c r="DJ13" s="10"/>
      <c r="DK13" s="10"/>
      <c r="DL13" s="10"/>
      <c r="DP13" s="10"/>
      <c r="DQ13" s="10"/>
      <c r="DR13" s="10"/>
      <c r="DS13" s="10"/>
    </row>
    <row r="14" spans="2:124" outlineLevel="1" x14ac:dyDescent="0.2">
      <c r="B14" t="s">
        <v>28</v>
      </c>
      <c r="C14" t="s">
        <v>102</v>
      </c>
      <c r="E14" s="9"/>
      <c r="F14" t="s">
        <v>104</v>
      </c>
      <c r="G14" s="10">
        <v>0.2</v>
      </c>
      <c r="I14" s="9">
        <f t="shared" si="1"/>
        <v>0</v>
      </c>
      <c r="J14" s="11">
        <v>0</v>
      </c>
      <c r="K14" s="11">
        <v>0</v>
      </c>
      <c r="L14" s="9"/>
      <c r="O14" s="10"/>
      <c r="P14" s="10"/>
      <c r="Q14" s="10"/>
      <c r="R14" s="10"/>
      <c r="V14" s="10"/>
      <c r="W14" s="10"/>
      <c r="X14" s="10"/>
      <c r="Y14" s="10"/>
      <c r="AC14" s="10"/>
      <c r="AD14" s="10"/>
      <c r="AE14" s="10"/>
      <c r="AF14" s="10"/>
      <c r="AJ14" s="10"/>
      <c r="AK14" s="10"/>
      <c r="AL14" s="10"/>
      <c r="AM14" s="10"/>
      <c r="AQ14" s="10"/>
      <c r="AR14" s="10"/>
      <c r="AS14" s="10"/>
      <c r="AT14" s="10"/>
      <c r="AX14" s="10"/>
      <c r="AY14" s="10">
        <v>0.5</v>
      </c>
      <c r="AZ14" s="10"/>
      <c r="BA14" s="10">
        <v>0.5</v>
      </c>
      <c r="BE14" s="10"/>
      <c r="BF14" s="10">
        <v>0.8</v>
      </c>
      <c r="BG14" s="10"/>
      <c r="BH14" s="10">
        <v>0.8</v>
      </c>
      <c r="BL14" s="10"/>
      <c r="BM14" s="10">
        <v>0.8</v>
      </c>
      <c r="BN14" s="10"/>
      <c r="BO14" s="10">
        <v>0.8</v>
      </c>
      <c r="BS14" s="10"/>
      <c r="BT14" s="10">
        <v>1</v>
      </c>
      <c r="BU14" s="10"/>
      <c r="BV14" s="10">
        <v>1</v>
      </c>
      <c r="BZ14" s="10"/>
      <c r="CA14" s="10">
        <v>1</v>
      </c>
      <c r="CB14" s="10"/>
      <c r="CC14" s="10">
        <v>1</v>
      </c>
      <c r="CG14" s="10"/>
      <c r="CH14" s="10">
        <v>1</v>
      </c>
      <c r="CI14" s="10"/>
      <c r="CJ14" s="10">
        <v>1</v>
      </c>
      <c r="CN14" s="10"/>
      <c r="CO14" s="10">
        <v>1</v>
      </c>
      <c r="CP14" s="10"/>
      <c r="CQ14" s="10">
        <v>1</v>
      </c>
      <c r="CU14" s="10"/>
      <c r="CV14" s="10">
        <v>1</v>
      </c>
      <c r="CW14" s="10"/>
      <c r="CX14" s="10">
        <v>1</v>
      </c>
      <c r="DB14" s="10"/>
      <c r="DC14" s="10"/>
      <c r="DD14" s="10"/>
      <c r="DE14" s="10"/>
      <c r="DI14" s="10"/>
      <c r="DJ14" s="10"/>
      <c r="DK14" s="10"/>
      <c r="DL14" s="10"/>
      <c r="DP14" s="10"/>
      <c r="DQ14" s="10"/>
      <c r="DR14" s="10"/>
      <c r="DS14" s="10"/>
    </row>
    <row r="15" spans="2:124" ht="34" outlineLevel="1" x14ac:dyDescent="0.2">
      <c r="B15" t="s">
        <v>28</v>
      </c>
      <c r="C15" t="s">
        <v>102</v>
      </c>
      <c r="E15" s="9"/>
      <c r="F15" s="1" t="s">
        <v>105</v>
      </c>
      <c r="G15" s="10">
        <v>0.2</v>
      </c>
      <c r="I15" s="9">
        <f t="shared" si="1"/>
        <v>0</v>
      </c>
      <c r="J15" s="11">
        <v>0</v>
      </c>
      <c r="K15" s="11" cm="1">
        <f t="array" ref="K15">MAX(IF($N$3:$EA$3=$J$3,N15:EA15))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v>0.5</v>
      </c>
      <c r="BG15" s="10"/>
      <c r="BH15" s="10">
        <v>0.5</v>
      </c>
      <c r="BL15" s="10"/>
      <c r="BM15" s="10">
        <v>0.8</v>
      </c>
      <c r="BN15" s="10"/>
      <c r="BO15" s="10">
        <v>0.8</v>
      </c>
      <c r="BS15" s="10"/>
      <c r="BT15" s="10">
        <v>0.8</v>
      </c>
      <c r="BU15" s="10"/>
      <c r="BV15" s="10">
        <v>0.8</v>
      </c>
      <c r="BZ15" s="10"/>
      <c r="CA15" s="10">
        <v>1</v>
      </c>
      <c r="CB15" s="10"/>
      <c r="CC15" s="10">
        <v>1</v>
      </c>
      <c r="CG15" s="10"/>
      <c r="CH15" s="10">
        <v>1</v>
      </c>
      <c r="CI15" s="10"/>
      <c r="CJ15" s="10">
        <v>1</v>
      </c>
      <c r="CN15" s="10"/>
      <c r="CO15" s="10">
        <v>1</v>
      </c>
      <c r="CP15" s="10"/>
      <c r="CQ15" s="10">
        <v>1</v>
      </c>
      <c r="CU15" s="10"/>
      <c r="CV15" s="10">
        <v>1</v>
      </c>
      <c r="CW15" s="10"/>
      <c r="CX15" s="10">
        <v>1</v>
      </c>
      <c r="DB15" s="10"/>
      <c r="DC15" s="10"/>
      <c r="DD15" s="10"/>
      <c r="DE15" s="10"/>
      <c r="DI15" s="10"/>
      <c r="DJ15" s="10"/>
      <c r="DK15" s="10"/>
      <c r="DL15" s="10"/>
      <c r="DP15" s="10"/>
      <c r="DQ15" s="10"/>
      <c r="DR15" s="10"/>
      <c r="DS15" s="10"/>
    </row>
    <row r="16" spans="2:124" ht="68" outlineLevel="1" x14ac:dyDescent="0.2">
      <c r="B16" t="s">
        <v>28</v>
      </c>
      <c r="C16" t="s">
        <v>102</v>
      </c>
      <c r="E16" s="9"/>
      <c r="F16" s="1" t="s">
        <v>106</v>
      </c>
      <c r="G16" s="10">
        <v>0.2</v>
      </c>
      <c r="I16" s="9">
        <f t="shared" si="1"/>
        <v>0</v>
      </c>
      <c r="J16" s="11">
        <v>0</v>
      </c>
      <c r="K16" s="11" cm="1">
        <f t="array" ref="K16">MAX(IF($N$3:$EA$3=$J$3,N16:EA16))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c r="BG16" s="10"/>
      <c r="BH16" s="10"/>
      <c r="BL16" s="10"/>
      <c r="BM16" s="10">
        <v>0.5</v>
      </c>
      <c r="BN16" s="10"/>
      <c r="BO16" s="10">
        <v>0.5</v>
      </c>
      <c r="BS16" s="10"/>
      <c r="BT16" s="10">
        <v>0.5</v>
      </c>
      <c r="BU16" s="10"/>
      <c r="BV16" s="10">
        <v>0.5</v>
      </c>
      <c r="BZ16" s="10"/>
      <c r="CA16" s="10">
        <v>0.8</v>
      </c>
      <c r="CB16" s="10"/>
      <c r="CC16" s="10">
        <v>0.8</v>
      </c>
      <c r="CG16" s="10"/>
      <c r="CH16" s="10">
        <v>0.8</v>
      </c>
      <c r="CI16" s="10"/>
      <c r="CJ16" s="10">
        <v>0.8</v>
      </c>
      <c r="CN16" s="10"/>
      <c r="CO16" s="10">
        <v>1</v>
      </c>
      <c r="CP16" s="10"/>
      <c r="CQ16" s="10">
        <v>1</v>
      </c>
      <c r="CU16" s="10"/>
      <c r="CV16" s="10">
        <v>1</v>
      </c>
      <c r="CW16" s="10"/>
      <c r="CX16" s="10">
        <v>1</v>
      </c>
      <c r="DB16" s="10"/>
      <c r="DC16" s="10"/>
      <c r="DD16" s="10"/>
      <c r="DE16" s="10"/>
      <c r="DI16" s="10"/>
      <c r="DJ16" s="10"/>
      <c r="DK16" s="10"/>
      <c r="DL16" s="10"/>
      <c r="DP16" s="10"/>
      <c r="DQ16" s="10"/>
      <c r="DR16" s="10"/>
      <c r="DS16" s="10"/>
    </row>
    <row r="17" spans="2:123" ht="51" outlineLevel="1" x14ac:dyDescent="0.2">
      <c r="B17" t="s">
        <v>28</v>
      </c>
      <c r="C17" t="s">
        <v>102</v>
      </c>
      <c r="E17" s="9"/>
      <c r="F17" s="1" t="s">
        <v>107</v>
      </c>
      <c r="G17" s="10">
        <v>0.15</v>
      </c>
      <c r="I17" s="9">
        <f t="shared" si="1"/>
        <v>0</v>
      </c>
      <c r="J17" s="11">
        <v>0</v>
      </c>
      <c r="K17" s="11" cm="1">
        <f t="array" ref="K17">MAX(IF($N$3:$EA$3=$J$3,N17:EA17))</f>
        <v>0</v>
      </c>
      <c r="L17" s="9"/>
      <c r="O17" s="10"/>
      <c r="P17" s="10"/>
      <c r="Q17" s="10"/>
      <c r="R17" s="10"/>
      <c r="V17" s="10"/>
      <c r="W17" s="10"/>
      <c r="X17" s="10"/>
      <c r="Y17" s="10"/>
      <c r="AC17" s="10"/>
      <c r="AD17" s="10"/>
      <c r="AE17" s="10"/>
      <c r="AF17" s="10"/>
      <c r="AJ17" s="10"/>
      <c r="AK17" s="10"/>
      <c r="AL17" s="10"/>
      <c r="AM17" s="10"/>
      <c r="AQ17" s="10"/>
      <c r="AR17" s="10"/>
      <c r="AS17" s="10"/>
      <c r="AT17" s="10"/>
      <c r="AX17" s="10"/>
      <c r="AY17" s="10"/>
      <c r="AZ17" s="10"/>
      <c r="BA17" s="10"/>
      <c r="BE17" s="10"/>
      <c r="BF17" s="10"/>
      <c r="BG17" s="10"/>
      <c r="BH17" s="10"/>
      <c r="BL17" s="10"/>
      <c r="BM17" s="10"/>
      <c r="BN17" s="10"/>
      <c r="BO17" s="10"/>
      <c r="BS17" s="10"/>
      <c r="BT17" s="10">
        <v>0.5</v>
      </c>
      <c r="BU17" s="10"/>
      <c r="BV17" s="10">
        <v>0.5</v>
      </c>
      <c r="BZ17" s="10"/>
      <c r="CA17" s="10">
        <v>0.5</v>
      </c>
      <c r="CB17" s="10"/>
      <c r="CC17" s="10">
        <v>0.5</v>
      </c>
      <c r="CG17" s="10"/>
      <c r="CH17" s="10">
        <v>0.8</v>
      </c>
      <c r="CI17" s="10"/>
      <c r="CJ17" s="10">
        <v>0.8</v>
      </c>
      <c r="CN17" s="10"/>
      <c r="CO17" s="10">
        <v>0.8</v>
      </c>
      <c r="CP17" s="10"/>
      <c r="CQ17" s="10">
        <v>0.8</v>
      </c>
      <c r="CU17" s="10"/>
      <c r="CV17" s="10">
        <v>1</v>
      </c>
      <c r="CW17" s="10"/>
      <c r="CX17" s="10">
        <v>1</v>
      </c>
      <c r="DB17" s="10"/>
      <c r="DC17" s="10"/>
      <c r="DD17" s="10"/>
      <c r="DE17" s="10"/>
      <c r="DI17" s="10"/>
      <c r="DJ17" s="10"/>
      <c r="DK17" s="10"/>
      <c r="DL17" s="10"/>
      <c r="DP17" s="10"/>
      <c r="DQ17" s="10"/>
      <c r="DR17" s="10"/>
      <c r="DS17" s="10"/>
    </row>
    <row r="18" spans="2:123" ht="51" outlineLevel="1" x14ac:dyDescent="0.2">
      <c r="B18" t="s">
        <v>28</v>
      </c>
      <c r="C18" t="s">
        <v>102</v>
      </c>
      <c r="E18" s="9"/>
      <c r="F18" s="1" t="s">
        <v>108</v>
      </c>
      <c r="G18" s="10">
        <v>0.15</v>
      </c>
      <c r="I18" s="9">
        <f t="shared" si="1"/>
        <v>0</v>
      </c>
      <c r="J18" s="11">
        <v>0</v>
      </c>
      <c r="K18" s="11" cm="1">
        <f t="array" ref="K18">MAX(IF($N$3:$EA$3=$J$3,N18:EA18))</f>
        <v>0</v>
      </c>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c r="BU18" s="10"/>
      <c r="BV18" s="10"/>
      <c r="BZ18" s="10"/>
      <c r="CA18" s="10"/>
      <c r="CB18" s="10"/>
      <c r="CC18" s="10"/>
      <c r="CG18" s="10"/>
      <c r="CH18" s="10">
        <v>0.5</v>
      </c>
      <c r="CI18" s="10"/>
      <c r="CJ18" s="10">
        <v>0.5</v>
      </c>
      <c r="CN18" s="10"/>
      <c r="CO18" s="10">
        <v>0.8</v>
      </c>
      <c r="CP18" s="10"/>
      <c r="CQ18" s="10">
        <v>0.8</v>
      </c>
      <c r="CU18" s="10"/>
      <c r="CV18" s="10">
        <v>1</v>
      </c>
      <c r="CW18" s="10"/>
      <c r="CX18" s="10">
        <v>1</v>
      </c>
      <c r="DB18" s="10"/>
      <c r="DC18" s="10"/>
      <c r="DD18" s="10"/>
      <c r="DE18" s="10"/>
      <c r="DI18" s="10"/>
      <c r="DJ18" s="10"/>
      <c r="DK18" s="10"/>
      <c r="DL18" s="10"/>
      <c r="DP18" s="10"/>
      <c r="DQ18" s="10"/>
      <c r="DR18" s="10"/>
      <c r="DS18" s="10"/>
    </row>
    <row r="19" spans="2:123" x14ac:dyDescent="0.2">
      <c r="CV19" s="10"/>
      <c r="CX19" s="10"/>
    </row>
    <row r="20" spans="2:123" x14ac:dyDescent="0.2">
      <c r="B20" t="s">
        <v>27</v>
      </c>
      <c r="C20" t="s">
        <v>109</v>
      </c>
      <c r="D20" s="19">
        <v>45518</v>
      </c>
      <c r="E20" s="9">
        <v>5</v>
      </c>
      <c r="G20" s="10">
        <f>+SUM(G21:G27)</f>
        <v>0.54999999999999993</v>
      </c>
      <c r="I20" s="12">
        <f>+SUM(I21:I27)</f>
        <v>0</v>
      </c>
      <c r="J20" s="11">
        <f>+SUMPRODUCT(G21:G27,J21:J27)</f>
        <v>0</v>
      </c>
      <c r="K20" s="11">
        <f>+SUMPRODUCT(G21:G27,K21:K27)</f>
        <v>0</v>
      </c>
      <c r="L20" s="9"/>
      <c r="N20" s="12">
        <f>+SUM(N21:N27)</f>
        <v>0</v>
      </c>
      <c r="U20" s="12">
        <f>+SUM(U21:U27)</f>
        <v>0</v>
      </c>
      <c r="AB20" s="12">
        <f>+SUM(AB21:AB27)</f>
        <v>0</v>
      </c>
      <c r="AI20" s="12">
        <f>+SUM(AI21:AI27)</f>
        <v>0</v>
      </c>
      <c r="AP20" s="12">
        <f>+SUM(AP21:AP27)</f>
        <v>0</v>
      </c>
      <c r="BA20" s="10"/>
      <c r="CV20" s="10"/>
      <c r="CX20" s="10"/>
    </row>
    <row r="21" spans="2:123" outlineLevel="1" x14ac:dyDescent="0.2">
      <c r="B21" t="s">
        <v>28</v>
      </c>
      <c r="C21" t="s">
        <v>109</v>
      </c>
      <c r="E21" s="9"/>
      <c r="F21" t="s">
        <v>110</v>
      </c>
      <c r="G21" s="10">
        <v>0.1</v>
      </c>
      <c r="I21" s="9">
        <f t="shared" ref="I21:I27" si="2">+SUMIF($N$3:$ZS$3,I$3,$N21:$ZS21)</f>
        <v>0</v>
      </c>
      <c r="J21" s="11" cm="1">
        <f t="array" ref="J21">MAX(IF($N$3:$EA$3=$J$3,N21:EA21))</f>
        <v>0</v>
      </c>
      <c r="K21" s="11" cm="1">
        <f t="array" ref="K21">MAX(IF($N$3:$EA$3=$J$3,N21:EA21))</f>
        <v>0</v>
      </c>
      <c r="L21" s="9"/>
      <c r="O21" s="10"/>
      <c r="P21" s="10">
        <v>0.5</v>
      </c>
      <c r="Q21" s="10"/>
      <c r="R21" s="10">
        <v>0.5</v>
      </c>
      <c r="V21" s="10"/>
      <c r="W21" s="10">
        <v>0.8</v>
      </c>
      <c r="X21" s="10"/>
      <c r="Y21" s="10">
        <v>0.5</v>
      </c>
      <c r="AC21" s="10"/>
      <c r="AD21" s="10">
        <v>0.8</v>
      </c>
      <c r="AE21" s="10"/>
      <c r="AF21" s="10">
        <v>0.8</v>
      </c>
      <c r="AJ21" s="10"/>
      <c r="AK21" s="10">
        <v>0.8</v>
      </c>
      <c r="AL21" s="10"/>
      <c r="AM21" s="10">
        <v>0.8</v>
      </c>
      <c r="AQ21" s="10"/>
      <c r="AR21" s="10">
        <v>0.8</v>
      </c>
      <c r="AS21" s="10"/>
      <c r="AT21" s="10">
        <v>0.8</v>
      </c>
      <c r="AX21" s="10"/>
      <c r="AY21" s="10">
        <v>1</v>
      </c>
      <c r="AZ21" s="10"/>
      <c r="BA21" s="10">
        <v>1</v>
      </c>
      <c r="BE21" s="10"/>
      <c r="BF21" s="10">
        <v>1</v>
      </c>
      <c r="BG21" s="10"/>
      <c r="BH21" s="10">
        <v>1</v>
      </c>
      <c r="BL21" s="10"/>
      <c r="BM21" s="10">
        <v>1</v>
      </c>
      <c r="BN21" s="10"/>
      <c r="BO21" s="10">
        <v>1</v>
      </c>
      <c r="BS21" s="10"/>
      <c r="BT21" s="10">
        <v>1</v>
      </c>
      <c r="BU21" s="10"/>
      <c r="BV21" s="10">
        <v>1</v>
      </c>
      <c r="BZ21" s="10"/>
      <c r="CA21" s="10">
        <v>1</v>
      </c>
      <c r="CB21" s="10"/>
      <c r="CC21" s="10">
        <v>1</v>
      </c>
      <c r="CG21" s="10"/>
      <c r="CH21" s="10">
        <v>1</v>
      </c>
      <c r="CI21" s="10"/>
      <c r="CJ21" s="10">
        <v>1</v>
      </c>
      <c r="CN21" s="10"/>
      <c r="CO21" s="10">
        <v>1</v>
      </c>
      <c r="CP21" s="10"/>
      <c r="CQ21" s="10">
        <v>1</v>
      </c>
      <c r="CU21" s="10"/>
      <c r="CV21" s="10">
        <v>1</v>
      </c>
      <c r="CW21" s="10"/>
      <c r="CX21" s="10">
        <v>1</v>
      </c>
      <c r="DB21" s="10"/>
      <c r="DC21" s="10"/>
      <c r="DD21" s="10"/>
      <c r="DE21" s="10"/>
      <c r="DI21" s="10"/>
      <c r="DJ21" s="10"/>
      <c r="DK21" s="10"/>
      <c r="DL21" s="10"/>
      <c r="DP21" s="10"/>
      <c r="DQ21" s="10"/>
      <c r="DR21" s="10"/>
      <c r="DS21" s="10"/>
    </row>
    <row r="22" spans="2:123" ht="51" outlineLevel="1" x14ac:dyDescent="0.2">
      <c r="B22" t="s">
        <v>28</v>
      </c>
      <c r="C22" t="s">
        <v>109</v>
      </c>
      <c r="E22" s="9"/>
      <c r="F22" s="1" t="s">
        <v>111</v>
      </c>
      <c r="G22" s="10">
        <v>0.05</v>
      </c>
      <c r="I22" s="9">
        <f t="shared" si="2"/>
        <v>0</v>
      </c>
      <c r="J22" s="11" cm="1">
        <f t="array" ref="J22">MAX(IF($N$3:$EA$3=$J$3,N22:EA22))</f>
        <v>0</v>
      </c>
      <c r="K22" s="11" cm="1">
        <f t="array" ref="K22">MAX(IF($N$3:$EA$3=$J$3,N22:EA22))</f>
        <v>0</v>
      </c>
      <c r="L22" s="9"/>
      <c r="O22" s="10"/>
      <c r="P22" s="10"/>
      <c r="Q22" s="10"/>
      <c r="R22" s="10"/>
      <c r="V22" s="10"/>
      <c r="W22" s="10"/>
      <c r="X22" s="10"/>
      <c r="Y22" s="10"/>
      <c r="AC22" s="10"/>
      <c r="AD22" s="10">
        <v>0.5</v>
      </c>
      <c r="AE22" s="10"/>
      <c r="AF22" s="10">
        <v>0.5</v>
      </c>
      <c r="AJ22" s="10"/>
      <c r="AK22" s="10">
        <v>0.5</v>
      </c>
      <c r="AL22" s="10"/>
      <c r="AM22" s="10">
        <v>0.5</v>
      </c>
      <c r="AQ22" s="10"/>
      <c r="AR22" s="10">
        <v>0.8</v>
      </c>
      <c r="AS22" s="10"/>
      <c r="AT22" s="10">
        <v>0.8</v>
      </c>
      <c r="AX22" s="10"/>
      <c r="AY22" s="10">
        <v>0.8</v>
      </c>
      <c r="AZ22" s="10"/>
      <c r="BA22" s="10">
        <v>0.8</v>
      </c>
      <c r="BE22" s="10"/>
      <c r="BF22" s="10">
        <v>0.8</v>
      </c>
      <c r="BG22" s="10"/>
      <c r="BH22" s="10">
        <v>0.8</v>
      </c>
      <c r="BL22" s="10"/>
      <c r="BM22" s="10">
        <v>0.8</v>
      </c>
      <c r="BN22" s="10"/>
      <c r="BO22" s="10">
        <v>0.8</v>
      </c>
      <c r="BS22" s="10"/>
      <c r="BT22" s="10">
        <v>1</v>
      </c>
      <c r="BU22" s="10"/>
      <c r="BV22" s="10">
        <v>1</v>
      </c>
      <c r="BZ22" s="10"/>
      <c r="CA22" s="10">
        <v>1</v>
      </c>
      <c r="CB22" s="10"/>
      <c r="CC22" s="10">
        <v>1</v>
      </c>
      <c r="CG22" s="10"/>
      <c r="CH22" s="10">
        <v>1</v>
      </c>
      <c r="CI22" s="10"/>
      <c r="CJ22" s="10">
        <v>1</v>
      </c>
      <c r="CN22" s="10"/>
      <c r="CO22" s="10">
        <v>1</v>
      </c>
      <c r="CP22" s="10"/>
      <c r="CQ22" s="10">
        <v>1</v>
      </c>
      <c r="CU22" s="10"/>
      <c r="CV22" s="10">
        <v>1</v>
      </c>
      <c r="CW22" s="10"/>
      <c r="CX22" s="10">
        <v>1</v>
      </c>
      <c r="DB22" s="10"/>
      <c r="DC22" s="10"/>
      <c r="DD22" s="10"/>
      <c r="DE22" s="10"/>
      <c r="DI22" s="10"/>
      <c r="DJ22" s="10"/>
      <c r="DK22" s="10"/>
      <c r="DL22" s="10"/>
      <c r="DP22" s="10"/>
      <c r="DQ22" s="10"/>
      <c r="DR22" s="10"/>
      <c r="DS22" s="10"/>
    </row>
    <row r="23" spans="2:123" ht="34" outlineLevel="1" x14ac:dyDescent="0.2">
      <c r="B23" t="s">
        <v>28</v>
      </c>
      <c r="C23" t="s">
        <v>109</v>
      </c>
      <c r="E23" s="9"/>
      <c r="F23" s="1" t="s">
        <v>112</v>
      </c>
      <c r="G23" s="10">
        <v>0.05</v>
      </c>
      <c r="I23" s="9">
        <f t="shared" si="2"/>
        <v>0</v>
      </c>
      <c r="J23" s="11" cm="1">
        <f t="array" ref="J23">MAX(IF($N$3:$EA$3=$J$3,N23:EA23))</f>
        <v>0</v>
      </c>
      <c r="K23" s="11" cm="1">
        <f t="array" ref="K23">MAX(IF($N$3:$EA$3=$J$3,N23:EA23))</f>
        <v>0</v>
      </c>
      <c r="L23" s="9"/>
      <c r="O23" s="10"/>
      <c r="P23" s="10"/>
      <c r="Q23" s="10"/>
      <c r="R23" s="10"/>
      <c r="V23" s="10"/>
      <c r="W23" s="10"/>
      <c r="X23" s="10"/>
      <c r="Y23" s="10"/>
      <c r="AC23" s="10"/>
      <c r="AD23" s="10"/>
      <c r="AE23" s="10"/>
      <c r="AF23" s="10"/>
      <c r="AJ23" s="10"/>
      <c r="AK23" s="10"/>
      <c r="AL23" s="10"/>
      <c r="AM23" s="10"/>
      <c r="AQ23" s="10"/>
      <c r="AR23" s="10"/>
      <c r="AS23" s="10"/>
      <c r="AT23" s="10"/>
      <c r="AX23" s="10"/>
      <c r="AY23" s="10">
        <v>0.5</v>
      </c>
      <c r="AZ23" s="10"/>
      <c r="BA23" s="10">
        <v>0.5</v>
      </c>
      <c r="BE23" s="10"/>
      <c r="BF23" s="10">
        <v>0.8</v>
      </c>
      <c r="BG23" s="10"/>
      <c r="BH23" s="10">
        <v>0.8</v>
      </c>
      <c r="BL23" s="10"/>
      <c r="BM23" s="10">
        <v>0.8</v>
      </c>
      <c r="BN23" s="10"/>
      <c r="BO23" s="10">
        <v>0.8</v>
      </c>
      <c r="BS23" s="10"/>
      <c r="BT23" s="10">
        <v>1</v>
      </c>
      <c r="BU23" s="10"/>
      <c r="BV23" s="10">
        <v>1</v>
      </c>
      <c r="BZ23" s="10"/>
      <c r="CA23" s="10">
        <v>1</v>
      </c>
      <c r="CB23" s="10"/>
      <c r="CC23" s="10">
        <v>1</v>
      </c>
      <c r="CG23" s="10"/>
      <c r="CH23" s="10">
        <v>1</v>
      </c>
      <c r="CI23" s="10"/>
      <c r="CJ23" s="10">
        <v>1</v>
      </c>
      <c r="CN23" s="10"/>
      <c r="CO23" s="10">
        <v>1</v>
      </c>
      <c r="CP23" s="10"/>
      <c r="CQ23" s="10">
        <v>1</v>
      </c>
      <c r="CU23" s="10"/>
      <c r="CV23" s="10">
        <v>1</v>
      </c>
      <c r="CW23" s="10"/>
      <c r="CX23" s="10">
        <v>1</v>
      </c>
      <c r="DB23" s="10"/>
      <c r="DC23" s="10"/>
      <c r="DD23" s="10"/>
      <c r="DE23" s="10"/>
      <c r="DI23" s="10"/>
      <c r="DJ23" s="10"/>
      <c r="DK23" s="10"/>
      <c r="DL23" s="10"/>
      <c r="DP23" s="10"/>
      <c r="DQ23" s="10"/>
      <c r="DR23" s="10"/>
      <c r="DS23" s="10"/>
    </row>
    <row r="24" spans="2:123" ht="34" outlineLevel="1" x14ac:dyDescent="0.2">
      <c r="B24" t="s">
        <v>28</v>
      </c>
      <c r="C24" t="s">
        <v>109</v>
      </c>
      <c r="E24" s="9"/>
      <c r="F24" s="1" t="s">
        <v>113</v>
      </c>
      <c r="G24" s="10">
        <v>0.05</v>
      </c>
      <c r="I24" s="9">
        <f t="shared" si="2"/>
        <v>0</v>
      </c>
      <c r="J24" s="11" cm="1">
        <f t="array" ref="J24">MAX(IF($N$3:$EA$3=$J$3,N24:EA24))</f>
        <v>0</v>
      </c>
      <c r="K24" s="11" cm="1">
        <f t="array" ref="K24">MAX(IF($N$3:$EA$3=$J$3,N24:EA24))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v>0.5</v>
      </c>
      <c r="BG24" s="10"/>
      <c r="BH24" s="10">
        <v>0.5</v>
      </c>
      <c r="BL24" s="10"/>
      <c r="BM24" s="10">
        <v>0.8</v>
      </c>
      <c r="BN24" s="10"/>
      <c r="BO24" s="10">
        <v>0.8</v>
      </c>
      <c r="BS24" s="10"/>
      <c r="BT24" s="10">
        <v>0.8</v>
      </c>
      <c r="BU24" s="10"/>
      <c r="BV24" s="10">
        <v>0.8</v>
      </c>
      <c r="BZ24" s="10"/>
      <c r="CA24" s="10">
        <v>1</v>
      </c>
      <c r="CB24" s="10"/>
      <c r="CC24" s="10">
        <v>1</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row>
    <row r="25" spans="2:123" ht="34" outlineLevel="1" x14ac:dyDescent="0.2">
      <c r="B25" t="s">
        <v>28</v>
      </c>
      <c r="C25" t="s">
        <v>109</v>
      </c>
      <c r="E25" s="9"/>
      <c r="F25" s="1" t="s">
        <v>114</v>
      </c>
      <c r="G25" s="10">
        <v>0.1</v>
      </c>
      <c r="I25" s="9">
        <f t="shared" si="2"/>
        <v>0</v>
      </c>
      <c r="J25" s="11" cm="1">
        <f t="array" ref="J25">MAX(IF($N$3:$EA$3=$J$3,N25:EA25))</f>
        <v>0</v>
      </c>
      <c r="K25" s="11" cm="1">
        <f t="array" ref="K25">MAX(IF($N$3:$EA$3=$J$3,N25:EA25))</f>
        <v>0</v>
      </c>
      <c r="L25" s="9"/>
      <c r="O25" s="10"/>
      <c r="P25" s="10"/>
      <c r="Q25" s="10"/>
      <c r="R25" s="10"/>
      <c r="V25" s="10"/>
      <c r="W25" s="10"/>
      <c r="X25" s="10"/>
      <c r="Y25" s="10"/>
      <c r="AC25" s="10"/>
      <c r="AD25" s="10"/>
      <c r="AE25" s="10"/>
      <c r="AF25" s="10"/>
      <c r="AJ25" s="10"/>
      <c r="AK25" s="10"/>
      <c r="AL25" s="10"/>
      <c r="AM25" s="10"/>
      <c r="AQ25" s="10"/>
      <c r="AR25" s="10"/>
      <c r="AS25" s="10"/>
      <c r="AT25" s="10"/>
      <c r="AX25" s="10"/>
      <c r="AY25" s="10"/>
      <c r="AZ25" s="10"/>
      <c r="BA25" s="10"/>
      <c r="BE25" s="10"/>
      <c r="BF25" s="10"/>
      <c r="BG25" s="10"/>
      <c r="BH25" s="10"/>
      <c r="BL25" s="10"/>
      <c r="BM25" s="10">
        <v>0.5</v>
      </c>
      <c r="BN25" s="10"/>
      <c r="BO25" s="10">
        <v>0.5</v>
      </c>
      <c r="BS25" s="10"/>
      <c r="BT25" s="10">
        <v>0.8</v>
      </c>
      <c r="BU25" s="10"/>
      <c r="BV25" s="10">
        <v>0.8</v>
      </c>
      <c r="BZ25" s="10"/>
      <c r="CA25" s="10">
        <v>0.8</v>
      </c>
      <c r="CB25" s="10"/>
      <c r="CC25" s="10">
        <v>0.8</v>
      </c>
      <c r="CG25" s="10"/>
      <c r="CH25" s="10">
        <v>0.8</v>
      </c>
      <c r="CI25" s="10"/>
      <c r="CJ25" s="10">
        <v>0.8</v>
      </c>
      <c r="CN25" s="10"/>
      <c r="CO25" s="10">
        <v>1</v>
      </c>
      <c r="CP25" s="10"/>
      <c r="CQ25" s="10">
        <v>1</v>
      </c>
      <c r="CU25" s="10"/>
      <c r="CV25" s="10">
        <v>1</v>
      </c>
      <c r="CW25" s="10"/>
      <c r="CX25" s="10">
        <v>1</v>
      </c>
      <c r="DB25" s="10"/>
      <c r="DC25" s="10"/>
      <c r="DD25" s="10"/>
      <c r="DE25" s="10"/>
      <c r="DI25" s="10"/>
      <c r="DJ25" s="10"/>
      <c r="DK25" s="10"/>
      <c r="DL25" s="10"/>
      <c r="DP25" s="10"/>
      <c r="DQ25" s="10"/>
      <c r="DR25" s="10"/>
      <c r="DS25" s="10"/>
    </row>
    <row r="26" spans="2:123" ht="34" outlineLevel="1" x14ac:dyDescent="0.2">
      <c r="B26" t="s">
        <v>28</v>
      </c>
      <c r="C26" t="s">
        <v>109</v>
      </c>
      <c r="E26" s="9"/>
      <c r="F26" s="1" t="s">
        <v>115</v>
      </c>
      <c r="G26" s="10">
        <v>0.1</v>
      </c>
      <c r="I26" s="9">
        <f t="shared" si="2"/>
        <v>0</v>
      </c>
      <c r="J26" s="11" cm="1">
        <f t="array" ref="J26">MAX(IF($N$3:$EA$3=$J$3,N26:EA26))</f>
        <v>0</v>
      </c>
      <c r="K26" s="11" cm="1">
        <f t="array" ref="K26">MAX(IF($N$3:$EA$3=$J$3,N26:EA26))</f>
        <v>0</v>
      </c>
      <c r="L26" s="9"/>
      <c r="O26" s="10"/>
      <c r="P26" s="10"/>
      <c r="Q26" s="10"/>
      <c r="R26" s="10"/>
      <c r="V26" s="10"/>
      <c r="W26" s="10"/>
      <c r="X26" s="10"/>
      <c r="Y26" s="10"/>
      <c r="AC26" s="10"/>
      <c r="AD26" s="10"/>
      <c r="AE26" s="10"/>
      <c r="AF26" s="10"/>
      <c r="AJ26" s="10"/>
      <c r="AK26" s="10"/>
      <c r="AL26" s="10"/>
      <c r="AM26" s="10"/>
      <c r="AQ26" s="10"/>
      <c r="AR26" s="10"/>
      <c r="AS26" s="10"/>
      <c r="AT26" s="10"/>
      <c r="AX26" s="10"/>
      <c r="AY26" s="10"/>
      <c r="AZ26" s="10"/>
      <c r="BA26" s="10"/>
      <c r="BE26" s="10"/>
      <c r="BF26" s="10"/>
      <c r="BG26" s="10"/>
      <c r="BH26" s="10"/>
      <c r="BL26" s="10"/>
      <c r="BM26" s="10"/>
      <c r="BN26" s="10"/>
      <c r="BO26" s="10"/>
      <c r="BS26" s="10"/>
      <c r="BT26" s="10">
        <v>0.5</v>
      </c>
      <c r="BU26" s="10"/>
      <c r="BV26" s="10">
        <v>0.5</v>
      </c>
      <c r="BZ26" s="10"/>
      <c r="CA26" s="10">
        <v>0.5</v>
      </c>
      <c r="CB26" s="10"/>
      <c r="CC26" s="10">
        <v>0.5</v>
      </c>
      <c r="CG26" s="10"/>
      <c r="CH26" s="10">
        <v>0.8</v>
      </c>
      <c r="CI26" s="10"/>
      <c r="CJ26" s="10">
        <v>0.8</v>
      </c>
      <c r="CN26" s="10"/>
      <c r="CO26" s="10">
        <v>0.8</v>
      </c>
      <c r="CP26" s="10"/>
      <c r="CQ26" s="10">
        <v>0.8</v>
      </c>
      <c r="CU26" s="10"/>
      <c r="CV26" s="10">
        <v>1</v>
      </c>
      <c r="CW26" s="10"/>
      <c r="CX26" s="10">
        <v>1</v>
      </c>
      <c r="DB26" s="10"/>
      <c r="DC26" s="10"/>
      <c r="DD26" s="10"/>
      <c r="DE26" s="10"/>
      <c r="DI26" s="10"/>
      <c r="DJ26" s="10"/>
      <c r="DK26" s="10"/>
      <c r="DL26" s="10"/>
      <c r="DP26" s="10"/>
      <c r="DQ26" s="10"/>
      <c r="DR26" s="10"/>
      <c r="DS26" s="10"/>
    </row>
    <row r="27" spans="2:123" outlineLevel="1" x14ac:dyDescent="0.2">
      <c r="B27" t="s">
        <v>28</v>
      </c>
      <c r="C27" t="s">
        <v>109</v>
      </c>
      <c r="E27" s="9"/>
      <c r="F27" t="s">
        <v>116</v>
      </c>
      <c r="G27" s="10">
        <v>0.1</v>
      </c>
      <c r="I27" s="9">
        <f t="shared" si="2"/>
        <v>0</v>
      </c>
      <c r="J27" s="11" cm="1">
        <f t="array" ref="J27">MAX(IF($N$3:$EA$3=$J$3,N27:EA27))</f>
        <v>0</v>
      </c>
      <c r="K27" s="11" cm="1">
        <f t="array" ref="K27">MAX(IF($N$3:$EA$3=$J$3,N27:EA27))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M27" s="10"/>
      <c r="BN27" s="10"/>
      <c r="BO27" s="10"/>
      <c r="BS27" s="10"/>
      <c r="BT27" s="10"/>
      <c r="BU27" s="10"/>
      <c r="BV27" s="10"/>
      <c r="BZ27" s="10"/>
      <c r="CA27" s="10"/>
      <c r="CB27" s="10"/>
      <c r="CC27" s="10"/>
      <c r="CG27" s="10"/>
      <c r="CH27" s="10">
        <v>0.5</v>
      </c>
      <c r="CI27" s="10"/>
      <c r="CJ27" s="10">
        <v>0.5</v>
      </c>
      <c r="CN27" s="10"/>
      <c r="CO27" s="10">
        <v>0.8</v>
      </c>
      <c r="CP27" s="10"/>
      <c r="CQ27" s="10">
        <v>0.8</v>
      </c>
      <c r="CU27" s="10"/>
      <c r="CV27" s="10">
        <v>1</v>
      </c>
      <c r="CW27" s="10"/>
      <c r="CX27" s="10">
        <v>1</v>
      </c>
      <c r="DB27" s="10"/>
      <c r="DC27" s="10"/>
      <c r="DD27" s="10"/>
      <c r="DE27" s="10"/>
      <c r="DI27" s="10"/>
      <c r="DJ27" s="10"/>
      <c r="DK27" s="10"/>
      <c r="DL27" s="10"/>
      <c r="DP27" s="10"/>
      <c r="DQ27" s="10"/>
      <c r="DR27" s="10"/>
      <c r="DS27" s="10"/>
    </row>
    <row r="28" spans="2:123" x14ac:dyDescent="0.2">
      <c r="CV28" s="10"/>
      <c r="CX28" s="10"/>
    </row>
    <row r="29" spans="2:123" x14ac:dyDescent="0.2">
      <c r="B29" t="s">
        <v>27</v>
      </c>
      <c r="C29" t="s">
        <v>117</v>
      </c>
      <c r="D29" s="19">
        <v>45519</v>
      </c>
      <c r="E29" s="9">
        <v>5</v>
      </c>
      <c r="G29" s="10">
        <f>+SUM(G30:G35)</f>
        <v>0.54999999999999993</v>
      </c>
      <c r="I29" s="12">
        <f>+SUM(I30:I35)</f>
        <v>0</v>
      </c>
      <c r="J29" s="11">
        <f>+SUMPRODUCT(G30:G35,J30:J35)</f>
        <v>0</v>
      </c>
      <c r="K29" s="11">
        <f>+SUMPRODUCT(G30:G35,K30:K35)</f>
        <v>0</v>
      </c>
      <c r="L29" s="9"/>
      <c r="N29" s="12">
        <f>+SUM(N30:N35)</f>
        <v>0</v>
      </c>
      <c r="U29" s="12">
        <f>+SUM(U30:U35)</f>
        <v>0</v>
      </c>
      <c r="AB29" s="12">
        <f>+SUM(AB30:AB35)</f>
        <v>0</v>
      </c>
      <c r="AI29" s="12">
        <f>+SUM(AI30:AI35)</f>
        <v>0</v>
      </c>
      <c r="AP29" s="12">
        <f>+SUM(AP30:AP35)</f>
        <v>0</v>
      </c>
      <c r="CV29" s="10"/>
      <c r="CX29" s="10"/>
    </row>
    <row r="30" spans="2:123" outlineLevel="1" x14ac:dyDescent="0.2">
      <c r="B30" t="s">
        <v>28</v>
      </c>
      <c r="C30" t="s">
        <v>117</v>
      </c>
      <c r="E30" s="9"/>
      <c r="F30" t="s">
        <v>118</v>
      </c>
      <c r="G30" s="10">
        <v>0.1</v>
      </c>
      <c r="I30" s="9">
        <f t="shared" ref="I30:I35" si="3">+SUMIF($N$3:$ZS$3,I$3,$N30:$ZS30)</f>
        <v>0</v>
      </c>
      <c r="J30" s="11" cm="1">
        <f t="array" ref="J30">MAX(IF($N$3:$EA$3=$J$3,N30:EA30))</f>
        <v>0</v>
      </c>
      <c r="K30" s="11" cm="1">
        <f t="array" ref="K30">MAX(IF($N$3:$EA$3=$J$3,N30:EA30))</f>
        <v>0</v>
      </c>
      <c r="L30" s="9"/>
      <c r="O30" s="10"/>
      <c r="P30" s="10"/>
      <c r="Q30" s="10"/>
      <c r="R30" s="10"/>
      <c r="V30" s="10"/>
      <c r="W30" s="10"/>
      <c r="X30" s="10"/>
      <c r="Y30" s="10"/>
      <c r="AC30" s="10"/>
      <c r="AD30" s="10">
        <v>0.5</v>
      </c>
      <c r="AE30" s="10"/>
      <c r="AF30" s="10">
        <v>0.5</v>
      </c>
      <c r="AJ30" s="10"/>
      <c r="AK30" s="10">
        <v>0.8</v>
      </c>
      <c r="AL30" s="10"/>
      <c r="AM30" s="10">
        <v>0.8</v>
      </c>
      <c r="AQ30" s="10"/>
      <c r="AR30" s="10">
        <v>0.8</v>
      </c>
      <c r="AS30" s="10"/>
      <c r="AT30" s="10">
        <v>0.8</v>
      </c>
      <c r="AX30" s="10"/>
      <c r="AY30" s="10">
        <v>0.8</v>
      </c>
      <c r="AZ30" s="10"/>
      <c r="BA30" s="10">
        <v>0.8</v>
      </c>
      <c r="BE30" s="10"/>
      <c r="BF30" s="10">
        <v>0.8</v>
      </c>
      <c r="BG30" s="10"/>
      <c r="BH30" s="10">
        <v>0.8</v>
      </c>
      <c r="BL30" s="10"/>
      <c r="BM30" s="10">
        <v>1</v>
      </c>
      <c r="BN30" s="10"/>
      <c r="BO30" s="10">
        <v>1</v>
      </c>
      <c r="BS30" s="10"/>
      <c r="BT30" s="10">
        <v>1</v>
      </c>
      <c r="BU30" s="10"/>
      <c r="BV30" s="10">
        <v>1</v>
      </c>
      <c r="BZ30" s="10"/>
      <c r="CA30" s="10">
        <v>1</v>
      </c>
      <c r="CB30" s="10"/>
      <c r="CC30" s="10">
        <v>1</v>
      </c>
      <c r="CG30" s="10"/>
      <c r="CH30" s="10">
        <v>1</v>
      </c>
      <c r="CI30" s="10"/>
      <c r="CJ30" s="10">
        <v>1</v>
      </c>
      <c r="CN30" s="10"/>
      <c r="CO30" s="10">
        <v>1</v>
      </c>
      <c r="CP30" s="10"/>
      <c r="CQ30" s="10">
        <v>1</v>
      </c>
      <c r="CU30" s="10"/>
      <c r="CV30" s="10">
        <v>1</v>
      </c>
      <c r="CW30" s="10"/>
      <c r="CX30" s="10">
        <v>1</v>
      </c>
      <c r="DB30" s="10"/>
      <c r="DC30" s="10"/>
      <c r="DD30" s="10"/>
      <c r="DE30" s="10"/>
      <c r="DI30" s="10"/>
      <c r="DJ30" s="10"/>
      <c r="DK30" s="10"/>
      <c r="DL30" s="10"/>
      <c r="DP30" s="10"/>
      <c r="DQ30" s="10"/>
      <c r="DR30" s="10"/>
      <c r="DS30" s="10"/>
    </row>
    <row r="31" spans="2:123" outlineLevel="1" x14ac:dyDescent="0.2">
      <c r="B31" t="s">
        <v>28</v>
      </c>
      <c r="C31" t="s">
        <v>117</v>
      </c>
      <c r="E31" s="9"/>
      <c r="F31" t="s">
        <v>119</v>
      </c>
      <c r="G31" s="10">
        <v>0.05</v>
      </c>
      <c r="I31" s="9">
        <f t="shared" si="3"/>
        <v>0</v>
      </c>
      <c r="J31" s="11" cm="1">
        <f t="array" ref="J31">MAX(IF($N$3:$EA$3=$J$3,N31:EA31))</f>
        <v>0</v>
      </c>
      <c r="K31" s="11" cm="1">
        <f t="array" ref="K31">MAX(IF($N$3:$EA$3=$J$3,N31:EA31))</f>
        <v>0</v>
      </c>
      <c r="L31" s="9"/>
      <c r="O31" s="10"/>
      <c r="P31" s="10"/>
      <c r="Q31" s="10"/>
      <c r="R31" s="10"/>
      <c r="V31" s="10"/>
      <c r="W31" s="10"/>
      <c r="X31" s="10"/>
      <c r="Y31" s="10"/>
      <c r="AC31" s="10"/>
      <c r="AD31" s="10"/>
      <c r="AE31" s="10"/>
      <c r="AF31" s="10"/>
      <c r="AJ31" s="10"/>
      <c r="AK31" s="10">
        <v>0.5</v>
      </c>
      <c r="AL31" s="10"/>
      <c r="AM31" s="10">
        <v>0.5</v>
      </c>
      <c r="AQ31" s="10"/>
      <c r="AR31" s="10">
        <v>0.8</v>
      </c>
      <c r="AS31" s="10"/>
      <c r="AT31" s="10">
        <v>0.8</v>
      </c>
      <c r="AX31" s="10"/>
      <c r="AY31" s="10">
        <v>0.8</v>
      </c>
      <c r="AZ31" s="10"/>
      <c r="BA31" s="10">
        <v>0.8</v>
      </c>
      <c r="BE31" s="10"/>
      <c r="BF31" s="10">
        <v>0.8</v>
      </c>
      <c r="BG31" s="10"/>
      <c r="BH31" s="10">
        <v>0.8</v>
      </c>
      <c r="BL31" s="10"/>
      <c r="BM31" s="10">
        <v>0.8</v>
      </c>
      <c r="BN31" s="10"/>
      <c r="BO31" s="10">
        <v>0.8</v>
      </c>
      <c r="BS31" s="10"/>
      <c r="BT31" s="10">
        <v>1</v>
      </c>
      <c r="BU31" s="10"/>
      <c r="BV31" s="10">
        <v>1</v>
      </c>
      <c r="BZ31" s="10"/>
      <c r="CA31" s="10">
        <v>1</v>
      </c>
      <c r="CB31" s="10"/>
      <c r="CC31" s="10">
        <v>1</v>
      </c>
      <c r="CG31" s="10"/>
      <c r="CH31" s="10">
        <v>1</v>
      </c>
      <c r="CI31" s="10"/>
      <c r="CJ31" s="10">
        <v>1</v>
      </c>
      <c r="CN31" s="10"/>
      <c r="CO31" s="10">
        <v>1</v>
      </c>
      <c r="CP31" s="10"/>
      <c r="CQ31" s="10">
        <v>1</v>
      </c>
      <c r="CU31" s="10"/>
      <c r="CV31" s="10">
        <v>1</v>
      </c>
      <c r="CW31" s="10"/>
      <c r="CX31" s="10">
        <v>1</v>
      </c>
      <c r="DB31" s="10"/>
      <c r="DC31" s="10"/>
      <c r="DD31" s="10"/>
      <c r="DE31" s="10"/>
      <c r="DI31" s="10"/>
      <c r="DJ31" s="10"/>
      <c r="DK31" s="10"/>
      <c r="DL31" s="10"/>
      <c r="DP31" s="10"/>
      <c r="DQ31" s="10"/>
      <c r="DR31" s="10"/>
      <c r="DS31" s="10"/>
    </row>
    <row r="32" spans="2:123" outlineLevel="1" x14ac:dyDescent="0.2">
      <c r="B32" t="s">
        <v>28</v>
      </c>
      <c r="C32" t="s">
        <v>117</v>
      </c>
      <c r="E32" s="9"/>
      <c r="F32" t="s">
        <v>120</v>
      </c>
      <c r="G32" s="10">
        <v>0.1</v>
      </c>
      <c r="I32" s="9">
        <f t="shared" si="3"/>
        <v>0</v>
      </c>
      <c r="J32" s="11" cm="1">
        <f t="array" ref="J32">MAX(IF($N$3:$EA$3=$J$3,N32:EA32))</f>
        <v>0</v>
      </c>
      <c r="K32" s="11" cm="1">
        <f t="array" ref="K32">MAX(IF($N$3:$EA$3=$J$3,N32:EA32))</f>
        <v>0</v>
      </c>
      <c r="L32" s="9"/>
      <c r="O32" s="10"/>
      <c r="P32" s="10"/>
      <c r="Q32" s="10"/>
      <c r="R32" s="10"/>
      <c r="V32" s="10"/>
      <c r="W32" s="10"/>
      <c r="X32" s="10"/>
      <c r="Y32" s="10"/>
      <c r="AC32" s="10"/>
      <c r="AD32" s="10"/>
      <c r="AE32" s="10"/>
      <c r="AF32" s="10"/>
      <c r="AJ32" s="10"/>
      <c r="AK32" s="10"/>
      <c r="AL32" s="10"/>
      <c r="AM32" s="10"/>
      <c r="AQ32" s="10"/>
      <c r="AR32" s="10">
        <v>0.5</v>
      </c>
      <c r="AS32" s="10"/>
      <c r="AT32" s="10">
        <v>0.5</v>
      </c>
      <c r="AX32" s="10"/>
      <c r="AY32" s="10">
        <v>0.8</v>
      </c>
      <c r="AZ32" s="10"/>
      <c r="BA32" s="10">
        <v>0.8</v>
      </c>
      <c r="BE32" s="10"/>
      <c r="BF32" s="10">
        <v>0.8</v>
      </c>
      <c r="BG32" s="10"/>
      <c r="BH32" s="10">
        <v>0.8</v>
      </c>
      <c r="BL32" s="10"/>
      <c r="BM32" s="10">
        <v>0.8</v>
      </c>
      <c r="BN32" s="10"/>
      <c r="BO32" s="10">
        <v>0.8</v>
      </c>
      <c r="BS32" s="10"/>
      <c r="BT32" s="10">
        <v>0.8</v>
      </c>
      <c r="BU32" s="10"/>
      <c r="BV32" s="10">
        <v>0.8</v>
      </c>
      <c r="BZ32" s="10"/>
      <c r="CA32" s="10">
        <v>1</v>
      </c>
      <c r="CB32" s="10"/>
      <c r="CC32" s="10">
        <v>1</v>
      </c>
      <c r="CG32" s="10"/>
      <c r="CH32" s="10">
        <v>1</v>
      </c>
      <c r="CI32" s="10"/>
      <c r="CJ32" s="10">
        <v>1</v>
      </c>
      <c r="CN32" s="10"/>
      <c r="CO32" s="10">
        <v>1</v>
      </c>
      <c r="CP32" s="10"/>
      <c r="CQ32" s="10">
        <v>1</v>
      </c>
      <c r="CU32" s="10"/>
      <c r="CV32" s="10">
        <v>1</v>
      </c>
      <c r="CW32" s="10"/>
      <c r="CX32" s="10">
        <v>1</v>
      </c>
      <c r="DB32" s="10"/>
      <c r="DC32" s="10"/>
      <c r="DD32" s="10"/>
      <c r="DE32" s="10"/>
      <c r="DI32" s="10"/>
      <c r="DJ32" s="10"/>
      <c r="DK32" s="10"/>
      <c r="DL32" s="10"/>
      <c r="DP32" s="10"/>
      <c r="DQ32" s="10"/>
      <c r="DR32" s="10"/>
      <c r="DS32" s="10"/>
    </row>
    <row r="33" spans="2:123" outlineLevel="1" x14ac:dyDescent="0.2">
      <c r="B33" t="s">
        <v>28</v>
      </c>
      <c r="C33" t="s">
        <v>117</v>
      </c>
      <c r="E33" s="9"/>
      <c r="F33" t="s">
        <v>121</v>
      </c>
      <c r="G33" s="10">
        <v>0.1</v>
      </c>
      <c r="I33" s="9">
        <f t="shared" si="3"/>
        <v>0</v>
      </c>
      <c r="J33" s="11" cm="1">
        <f t="array" ref="J33">MAX(IF($N$3:$EA$3=$J$3,N33:EA33))</f>
        <v>0</v>
      </c>
      <c r="K33" s="11" cm="1">
        <f t="array" ref="K33">MAX(IF($N$3:$EA$3=$J$3,N33:EA33))</f>
        <v>0</v>
      </c>
      <c r="L33" s="9"/>
      <c r="O33" s="10"/>
      <c r="P33" s="10"/>
      <c r="Q33" s="10"/>
      <c r="R33" s="10"/>
      <c r="V33" s="10"/>
      <c r="W33" s="10"/>
      <c r="X33" s="10"/>
      <c r="Y33" s="10"/>
      <c r="AC33" s="10"/>
      <c r="AD33" s="10"/>
      <c r="AE33" s="10"/>
      <c r="AF33" s="10"/>
      <c r="AJ33" s="10"/>
      <c r="AK33" s="10"/>
      <c r="AL33" s="10"/>
      <c r="AM33" s="10"/>
      <c r="AQ33" s="10"/>
      <c r="AR33" s="10"/>
      <c r="AS33" s="10"/>
      <c r="AT33" s="10"/>
      <c r="AX33" s="10"/>
      <c r="AY33" s="10">
        <v>0.5</v>
      </c>
      <c r="AZ33" s="10"/>
      <c r="BA33" s="10">
        <v>0.5</v>
      </c>
      <c r="BE33" s="10"/>
      <c r="BF33" s="10">
        <v>0.5</v>
      </c>
      <c r="BG33" s="10"/>
      <c r="BH33" s="10">
        <v>0.5</v>
      </c>
      <c r="BL33" s="10"/>
      <c r="BM33" s="10">
        <v>0.5</v>
      </c>
      <c r="BN33" s="10"/>
      <c r="BO33" s="10">
        <v>0.5</v>
      </c>
      <c r="BS33" s="10"/>
      <c r="BT33" s="10">
        <v>0.8</v>
      </c>
      <c r="BU33" s="10"/>
      <c r="BV33" s="10">
        <v>0.8</v>
      </c>
      <c r="BZ33" s="10"/>
      <c r="CA33" s="10">
        <v>0.8</v>
      </c>
      <c r="CB33" s="10"/>
      <c r="CC33" s="10">
        <v>0.8</v>
      </c>
      <c r="CG33" s="10"/>
      <c r="CH33" s="10">
        <v>1</v>
      </c>
      <c r="CI33" s="10"/>
      <c r="CJ33" s="10">
        <v>1</v>
      </c>
      <c r="CN33" s="10"/>
      <c r="CO33" s="10">
        <v>1</v>
      </c>
      <c r="CP33" s="10"/>
      <c r="CQ33" s="10">
        <v>1</v>
      </c>
      <c r="CU33" s="10"/>
      <c r="CV33" s="10">
        <v>1</v>
      </c>
      <c r="CW33" s="10"/>
      <c r="CX33" s="10">
        <v>1</v>
      </c>
      <c r="DB33" s="10"/>
      <c r="DC33" s="10"/>
      <c r="DD33" s="10"/>
      <c r="DE33" s="10"/>
      <c r="DI33" s="10"/>
      <c r="DJ33" s="10"/>
      <c r="DK33" s="10"/>
      <c r="DL33" s="10"/>
      <c r="DP33" s="10"/>
      <c r="DQ33" s="10"/>
      <c r="DR33" s="10"/>
      <c r="DS33" s="10"/>
    </row>
    <row r="34" spans="2:123" outlineLevel="1" x14ac:dyDescent="0.2">
      <c r="B34" t="s">
        <v>28</v>
      </c>
      <c r="C34" t="s">
        <v>117</v>
      </c>
      <c r="E34" s="9"/>
      <c r="F34" t="s">
        <v>122</v>
      </c>
      <c r="G34" s="10">
        <v>0.1</v>
      </c>
      <c r="I34" s="9">
        <f t="shared" si="3"/>
        <v>0</v>
      </c>
      <c r="J34" s="11" cm="1">
        <f t="array" ref="J34">MAX(IF($N$3:$EA$3=$J$3,N34:EA34))</f>
        <v>0</v>
      </c>
      <c r="K34" s="11" cm="1">
        <f t="array" ref="K34">MAX(IF($N$3:$EA$3=$J$3,N34:EA34))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v>0.5</v>
      </c>
      <c r="BN34" s="10"/>
      <c r="BO34" s="10">
        <v>0.5</v>
      </c>
      <c r="BS34" s="10"/>
      <c r="BT34" s="10">
        <v>0.5</v>
      </c>
      <c r="BU34" s="10"/>
      <c r="BV34" s="10">
        <v>0.5</v>
      </c>
      <c r="BZ34" s="10"/>
      <c r="CA34" s="10">
        <v>0.5</v>
      </c>
      <c r="CB34" s="10"/>
      <c r="CC34" s="10">
        <v>0.5</v>
      </c>
      <c r="CG34" s="10"/>
      <c r="CH34" s="10">
        <v>0.8</v>
      </c>
      <c r="CI34" s="10"/>
      <c r="CJ34" s="10">
        <v>0.8</v>
      </c>
      <c r="CN34" s="10"/>
      <c r="CO34" s="10">
        <v>0.8</v>
      </c>
      <c r="CP34" s="10"/>
      <c r="CQ34" s="10">
        <v>0.8</v>
      </c>
      <c r="CU34" s="10"/>
      <c r="CV34" s="10">
        <v>1</v>
      </c>
      <c r="CW34" s="10"/>
      <c r="CX34" s="10">
        <v>1</v>
      </c>
      <c r="DB34" s="10"/>
      <c r="DC34" s="10"/>
      <c r="DD34" s="10"/>
      <c r="DE34" s="10"/>
      <c r="DI34" s="10"/>
      <c r="DJ34" s="10"/>
      <c r="DK34" s="10"/>
      <c r="DL34" s="10"/>
      <c r="DP34" s="10"/>
      <c r="DQ34" s="10"/>
      <c r="DR34" s="10"/>
      <c r="DS34" s="10"/>
    </row>
    <row r="35" spans="2:123" outlineLevel="1" x14ac:dyDescent="0.2">
      <c r="B35" t="s">
        <v>28</v>
      </c>
      <c r="C35" t="s">
        <v>117</v>
      </c>
      <c r="E35" s="9"/>
      <c r="F35" t="s">
        <v>123</v>
      </c>
      <c r="G35" s="10">
        <v>0.1</v>
      </c>
      <c r="I35" s="9">
        <f t="shared" si="3"/>
        <v>0</v>
      </c>
      <c r="J35" s="11" cm="1">
        <f t="array" ref="J35">MAX(IF($N$3:$EA$3=$J$3,N35:EA35))</f>
        <v>0</v>
      </c>
      <c r="K35" s="11" cm="1">
        <f t="array" ref="K35">MAX(IF($N$3:$EA$3=$J$3,N35:EA35))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c r="BS35" s="10"/>
      <c r="BT35" s="10"/>
      <c r="BU35" s="10"/>
      <c r="BV35" s="10"/>
      <c r="BZ35" s="10"/>
      <c r="CA35" s="10">
        <v>0.5</v>
      </c>
      <c r="CB35" s="10"/>
      <c r="CC35" s="10">
        <v>0.5</v>
      </c>
      <c r="CG35" s="10"/>
      <c r="CH35" s="10">
        <v>0.5</v>
      </c>
      <c r="CI35" s="10"/>
      <c r="CJ35" s="10">
        <v>0.5</v>
      </c>
      <c r="CN35" s="10"/>
      <c r="CO35" s="10">
        <v>0.8</v>
      </c>
      <c r="CP35" s="10"/>
      <c r="CQ35" s="10">
        <v>0.8</v>
      </c>
      <c r="CU35" s="10"/>
      <c r="CV35" s="10">
        <v>1</v>
      </c>
      <c r="CW35" s="10"/>
      <c r="CX35" s="10">
        <v>1</v>
      </c>
      <c r="DB35" s="10"/>
      <c r="DC35" s="10"/>
      <c r="DD35" s="10"/>
      <c r="DE35" s="10"/>
      <c r="DI35" s="10"/>
      <c r="DJ35" s="10"/>
      <c r="DK35" s="10"/>
      <c r="DL35" s="10"/>
      <c r="DP35" s="10"/>
      <c r="DQ35" s="10"/>
      <c r="DR35" s="10"/>
      <c r="DS35" s="10"/>
    </row>
    <row r="36" spans="2:123" x14ac:dyDescent="0.2">
      <c r="CV36" s="10"/>
      <c r="CX36" s="10"/>
    </row>
    <row r="37" spans="2:123" x14ac:dyDescent="0.2">
      <c r="B37" t="s">
        <v>27</v>
      </c>
      <c r="C37" t="s">
        <v>124</v>
      </c>
      <c r="D37" s="19">
        <v>45520</v>
      </c>
      <c r="E37" s="9">
        <v>5</v>
      </c>
      <c r="G37" s="10">
        <f>+SUM(G38:G41)</f>
        <v>0.30000000000000004</v>
      </c>
      <c r="I37" s="12">
        <f>+SUM(I38:I41)</f>
        <v>0</v>
      </c>
      <c r="J37" s="11">
        <f>+SUMPRODUCT(G38:G41,J38:J41)</f>
        <v>0</v>
      </c>
      <c r="K37" s="11">
        <f>+SUMPRODUCT(G38:G41,K38:K41)</f>
        <v>0</v>
      </c>
      <c r="L37" s="9"/>
      <c r="N37" s="12">
        <f>+SUM(N38:N41)</f>
        <v>0</v>
      </c>
      <c r="U37" s="12">
        <f>+SUM(U38:U41)</f>
        <v>0</v>
      </c>
      <c r="AB37" s="12">
        <f>+SUM(AB38:AB41)</f>
        <v>0</v>
      </c>
      <c r="AI37" s="12">
        <f>+SUM(AI38:AI41)</f>
        <v>0</v>
      </c>
      <c r="AP37" s="12">
        <f>+SUM(AP38:AP41)</f>
        <v>0</v>
      </c>
      <c r="CV37" s="10"/>
      <c r="CX37" s="10"/>
    </row>
    <row r="38" spans="2:123" outlineLevel="1" x14ac:dyDescent="0.2">
      <c r="B38" t="s">
        <v>28</v>
      </c>
      <c r="C38" t="s">
        <v>124</v>
      </c>
      <c r="E38" s="9"/>
      <c r="F38" t="s">
        <v>125</v>
      </c>
      <c r="G38" s="10">
        <v>0.1</v>
      </c>
      <c r="I38" s="9">
        <f>+SUMIF($N$3:$ZS$3,I$3,$N38:$ZS38)</f>
        <v>0</v>
      </c>
      <c r="J38" s="11" cm="1">
        <f t="array" ref="J38">MAX(IF($N$3:$EA$3=$J$3,N38:EA38))</f>
        <v>0</v>
      </c>
      <c r="K38" s="11" cm="1">
        <f t="array" ref="K38">MAX(IF($N$3:$EA$3=$J$3,N38:EA38))</f>
        <v>0</v>
      </c>
      <c r="L38" s="9"/>
      <c r="O38" s="10"/>
      <c r="P38" s="10"/>
      <c r="Q38" s="10"/>
      <c r="R38" s="10"/>
      <c r="V38" s="10"/>
      <c r="W38" s="10"/>
      <c r="X38" s="10"/>
      <c r="Y38" s="10"/>
      <c r="AC38" s="10"/>
      <c r="AD38" s="10"/>
      <c r="AE38" s="10"/>
      <c r="AF38" s="10"/>
      <c r="AJ38" s="10"/>
      <c r="AK38" s="10"/>
      <c r="AL38" s="10"/>
      <c r="AM38" s="10"/>
      <c r="AQ38" s="10"/>
      <c r="AR38" s="10"/>
      <c r="AS38" s="10"/>
      <c r="AT38" s="10"/>
      <c r="AX38" s="10"/>
      <c r="AY38" s="10">
        <v>0.5</v>
      </c>
      <c r="AZ38" s="10"/>
      <c r="BA38" s="10">
        <v>0.5</v>
      </c>
      <c r="BE38" s="10"/>
      <c r="BF38" s="10">
        <v>0.8</v>
      </c>
      <c r="BG38" s="10"/>
      <c r="BH38" s="10">
        <v>0.8</v>
      </c>
      <c r="BL38" s="10"/>
      <c r="BM38" s="10">
        <v>0.8</v>
      </c>
      <c r="BN38" s="10"/>
      <c r="BO38" s="10">
        <v>0.8</v>
      </c>
      <c r="BS38" s="10"/>
      <c r="BT38" s="10">
        <v>0.8</v>
      </c>
      <c r="BU38" s="10"/>
      <c r="BV38" s="10">
        <v>0.8</v>
      </c>
      <c r="BZ38" s="10"/>
      <c r="CA38" s="10">
        <v>1</v>
      </c>
      <c r="CB38" s="10"/>
      <c r="CC38" s="10">
        <v>1</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row>
    <row r="39" spans="2:123" outlineLevel="1" x14ac:dyDescent="0.2">
      <c r="B39" t="s">
        <v>28</v>
      </c>
      <c r="C39" t="s">
        <v>124</v>
      </c>
      <c r="E39" s="9"/>
      <c r="F39" t="s">
        <v>126</v>
      </c>
      <c r="G39" s="10">
        <v>0.05</v>
      </c>
      <c r="I39" s="9">
        <f>+SUMIF($N$3:$ZS$3,I$3,$N39:$ZS39)</f>
        <v>0</v>
      </c>
      <c r="J39" s="11" cm="1">
        <f t="array" ref="J39">MAX(IF($N$3:$EA$3=$J$3,N39:EA39))</f>
        <v>0</v>
      </c>
      <c r="K39" s="11" cm="1">
        <f t="array" ref="K39">MAX(IF($N$3:$EA$3=$J$3,N39:EA39))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v>0.5</v>
      </c>
      <c r="BN39" s="10"/>
      <c r="BO39" s="10">
        <v>0.5</v>
      </c>
      <c r="BS39" s="10"/>
      <c r="BT39" s="10">
        <v>0.8</v>
      </c>
      <c r="BU39" s="10"/>
      <c r="BV39" s="10">
        <v>0.8</v>
      </c>
      <c r="BZ39" s="10"/>
      <c r="CA39" s="10">
        <v>0.8</v>
      </c>
      <c r="CB39" s="10"/>
      <c r="CC39" s="10">
        <v>0.8</v>
      </c>
      <c r="CG39" s="10"/>
      <c r="CH39" s="10">
        <v>0.8</v>
      </c>
      <c r="CI39" s="10"/>
      <c r="CJ39" s="10">
        <v>0.8</v>
      </c>
      <c r="CN39" s="10"/>
      <c r="CO39" s="10">
        <v>1</v>
      </c>
      <c r="CP39" s="10"/>
      <c r="CQ39" s="10">
        <v>1</v>
      </c>
      <c r="CU39" s="10"/>
      <c r="CV39" s="10">
        <v>1</v>
      </c>
      <c r="CW39" s="10"/>
      <c r="CX39" s="10">
        <v>1</v>
      </c>
      <c r="DB39" s="10"/>
      <c r="DC39" s="10"/>
      <c r="DD39" s="10"/>
      <c r="DE39" s="10"/>
      <c r="DI39" s="10"/>
      <c r="DJ39" s="10"/>
      <c r="DK39" s="10"/>
      <c r="DL39" s="10"/>
      <c r="DP39" s="10"/>
      <c r="DQ39" s="10"/>
      <c r="DR39" s="10"/>
      <c r="DS39" s="10"/>
    </row>
    <row r="40" spans="2:123" outlineLevel="1" x14ac:dyDescent="0.2">
      <c r="B40" t="s">
        <v>28</v>
      </c>
      <c r="C40" t="s">
        <v>124</v>
      </c>
      <c r="E40" s="9"/>
      <c r="F40" t="s">
        <v>127</v>
      </c>
      <c r="G40" s="10">
        <v>0.05</v>
      </c>
      <c r="I40" s="9">
        <f>+SUMIF($N$3:$ZS$3,I$3,$N40:$ZS40)</f>
        <v>0</v>
      </c>
      <c r="J40" s="11" cm="1">
        <f t="array" ref="J40">MAX(IF($N$3:$EA$3=$J$3,N40:EA40))</f>
        <v>0</v>
      </c>
      <c r="K40" s="11" cm="1">
        <f t="array" ref="K40">MAX(IF($N$3:$EA$3=$J$3,N40:EA40))</f>
        <v>0</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c r="BF40" s="10"/>
      <c r="BG40" s="10"/>
      <c r="BH40" s="10"/>
      <c r="BL40" s="10"/>
      <c r="BM40" s="10">
        <v>0.5</v>
      </c>
      <c r="BN40" s="10"/>
      <c r="BO40" s="10">
        <v>0.5</v>
      </c>
      <c r="BS40" s="10"/>
      <c r="BT40" s="10">
        <v>0.5</v>
      </c>
      <c r="BU40" s="10"/>
      <c r="BV40" s="10">
        <v>0.5</v>
      </c>
      <c r="BZ40" s="10"/>
      <c r="CA40" s="10">
        <v>0.8</v>
      </c>
      <c r="CB40" s="10"/>
      <c r="CC40" s="10">
        <v>0.8</v>
      </c>
      <c r="CG40" s="10"/>
      <c r="CH40" s="10">
        <v>0.8</v>
      </c>
      <c r="CI40" s="10"/>
      <c r="CJ40" s="10">
        <v>0.8</v>
      </c>
      <c r="CN40" s="10"/>
      <c r="CO40" s="10">
        <v>0.8</v>
      </c>
      <c r="CP40" s="10"/>
      <c r="CQ40" s="10">
        <v>0.8</v>
      </c>
      <c r="CU40" s="10"/>
      <c r="CV40" s="10">
        <v>1</v>
      </c>
      <c r="CW40" s="10"/>
      <c r="CX40" s="10">
        <v>1</v>
      </c>
      <c r="DB40" s="10"/>
      <c r="DC40" s="10"/>
      <c r="DD40" s="10"/>
      <c r="DE40" s="10"/>
      <c r="DI40" s="10"/>
      <c r="DJ40" s="10"/>
      <c r="DK40" s="10"/>
      <c r="DL40" s="10"/>
      <c r="DP40" s="10"/>
      <c r="DQ40" s="10"/>
      <c r="DR40" s="10"/>
      <c r="DS40" s="10"/>
    </row>
    <row r="41" spans="2:123" outlineLevel="1" x14ac:dyDescent="0.2">
      <c r="B41" t="s">
        <v>28</v>
      </c>
      <c r="C41" t="s">
        <v>124</v>
      </c>
      <c r="E41" s="9"/>
      <c r="F41" t="s">
        <v>128</v>
      </c>
      <c r="G41" s="10">
        <v>0.1</v>
      </c>
      <c r="I41" s="9">
        <f>+SUMIF($N$3:$ZS$3,I$3,$N41:$ZS41)</f>
        <v>0</v>
      </c>
      <c r="J41" s="11" cm="1">
        <f t="array" ref="J41">MAX(IF($N$3:$EA$3=$J$3,N41:EA41))</f>
        <v>0</v>
      </c>
      <c r="K41" s="11" cm="1">
        <f t="array" ref="K41">MAX(IF($N$3:$EA$3=$J$3,N41:EA41))</f>
        <v>0</v>
      </c>
      <c r="L41" s="9"/>
      <c r="O41" s="10"/>
      <c r="P41" s="10"/>
      <c r="Q41" s="10"/>
      <c r="R41" s="10"/>
      <c r="V41" s="10"/>
      <c r="W41" s="10"/>
      <c r="X41" s="10"/>
      <c r="Y41" s="10"/>
      <c r="AC41" s="10"/>
      <c r="AD41" s="10"/>
      <c r="AE41" s="10"/>
      <c r="AF41" s="10"/>
      <c r="AJ41" s="10"/>
      <c r="AK41" s="10"/>
      <c r="AL41" s="10"/>
      <c r="AM41" s="10"/>
      <c r="AQ41" s="10"/>
      <c r="AR41" s="10"/>
      <c r="AS41" s="10"/>
      <c r="AT41" s="10"/>
      <c r="AX41" s="10"/>
      <c r="AY41" s="10"/>
      <c r="AZ41" s="10"/>
      <c r="BA41" s="10"/>
      <c r="BE41" s="10"/>
      <c r="BF41" s="10"/>
      <c r="BG41" s="10"/>
      <c r="BH41" s="10"/>
      <c r="BL41" s="10"/>
      <c r="BM41" s="10"/>
      <c r="BN41" s="10"/>
      <c r="BO41" s="10"/>
      <c r="BS41" s="10"/>
      <c r="BT41" s="10"/>
      <c r="BU41" s="10"/>
      <c r="BV41" s="10"/>
      <c r="BZ41" s="10"/>
      <c r="CA41" s="10">
        <v>0.5</v>
      </c>
      <c r="CB41" s="10"/>
      <c r="CC41" s="10">
        <v>0.5</v>
      </c>
      <c r="CG41" s="10"/>
      <c r="CH41" s="10">
        <v>0.8</v>
      </c>
      <c r="CI41" s="10"/>
      <c r="CJ41" s="10">
        <v>0.8</v>
      </c>
      <c r="CN41" s="10"/>
      <c r="CO41" s="10">
        <v>0.8</v>
      </c>
      <c r="CP41" s="10"/>
      <c r="CQ41" s="10">
        <v>0.8</v>
      </c>
      <c r="CU41" s="10"/>
      <c r="CV41" s="10">
        <v>1</v>
      </c>
      <c r="CW41" s="10"/>
      <c r="CX41" s="10">
        <v>1</v>
      </c>
      <c r="DB41" s="10"/>
      <c r="DC41" s="10"/>
      <c r="DD41" s="10"/>
      <c r="DE41" s="10"/>
      <c r="DI41" s="10"/>
      <c r="DJ41" s="10"/>
      <c r="DK41" s="10"/>
      <c r="DL41" s="10"/>
      <c r="DP41" s="10"/>
      <c r="DQ41" s="10"/>
      <c r="DR41" s="10"/>
      <c r="DS41" s="10"/>
    </row>
    <row r="42" spans="2:123" x14ac:dyDescent="0.2">
      <c r="CV42" s="10"/>
      <c r="CX42" s="10"/>
    </row>
    <row r="43" spans="2:123" x14ac:dyDescent="0.2">
      <c r="B43" t="s">
        <v>27</v>
      </c>
      <c r="C43" t="s">
        <v>129</v>
      </c>
      <c r="D43" s="19">
        <v>45521</v>
      </c>
      <c r="E43" s="9">
        <v>5</v>
      </c>
      <c r="G43" s="10">
        <f>+SUM(G44:G49)</f>
        <v>0.5</v>
      </c>
      <c r="I43" s="12">
        <f>+SUM(I44:I49)</f>
        <v>0</v>
      </c>
      <c r="J43" s="11">
        <f>+SUMPRODUCT(G44:G49,J44:J49)</f>
        <v>0</v>
      </c>
      <c r="K43" s="11">
        <f>+SUMPRODUCT(G44:G49,K44:K49)</f>
        <v>0</v>
      </c>
      <c r="L43" s="9"/>
      <c r="N43" s="12">
        <f>+SUM(N44:N49)</f>
        <v>0</v>
      </c>
      <c r="U43" s="12">
        <f>+SUM(U44:U49)</f>
        <v>0</v>
      </c>
      <c r="AB43" s="12">
        <f>+SUM(AB44:AB49)</f>
        <v>0</v>
      </c>
      <c r="AI43" s="12">
        <f>+SUM(AI44:AI49)</f>
        <v>0</v>
      </c>
      <c r="AP43" s="12">
        <f>+SUM(AP44:AP49)</f>
        <v>0</v>
      </c>
      <c r="CV43" s="10"/>
      <c r="CX43" s="10"/>
    </row>
    <row r="44" spans="2:123" outlineLevel="1" x14ac:dyDescent="0.2">
      <c r="B44" t="s">
        <v>28</v>
      </c>
      <c r="C44" t="s">
        <v>129</v>
      </c>
      <c r="E44" s="9"/>
      <c r="F44" t="s">
        <v>130</v>
      </c>
      <c r="G44" s="10">
        <v>0.1</v>
      </c>
      <c r="I44" s="9">
        <f t="shared" ref="I44:I49" si="4">+SUMIF($N$3:$ZS$3,I$3,$N44:$ZS44)</f>
        <v>0</v>
      </c>
      <c r="J44" s="11" cm="1">
        <f t="array" ref="J44">MAX(IF($N$3:$EA$3=$J$3,N44:EA44))</f>
        <v>0</v>
      </c>
      <c r="K44" s="11" cm="1">
        <f t="array" ref="K44">MAX(IF($N$3:$EA$3=$J$3,N44:EA44))</f>
        <v>0</v>
      </c>
      <c r="L44" s="9"/>
      <c r="O44" s="10"/>
      <c r="P44" s="10"/>
      <c r="Q44" s="10"/>
      <c r="R44" s="10"/>
      <c r="V44" s="10"/>
      <c r="W44" s="10"/>
      <c r="X44" s="10"/>
      <c r="Y44" s="10"/>
      <c r="AC44" s="10"/>
      <c r="AD44" s="10"/>
      <c r="AE44" s="10"/>
      <c r="AF44" s="10"/>
      <c r="AJ44" s="10"/>
      <c r="AK44" s="10"/>
      <c r="AL44" s="10"/>
      <c r="AM44" s="10"/>
      <c r="AQ44" s="10"/>
      <c r="AR44" s="10"/>
      <c r="AS44" s="10"/>
      <c r="AT44" s="10"/>
      <c r="AX44" s="10"/>
      <c r="AY44" s="10"/>
      <c r="AZ44" s="10"/>
      <c r="BA44" s="10"/>
      <c r="BE44" s="10"/>
      <c r="BF44" s="10">
        <v>0.5</v>
      </c>
      <c r="BG44" s="10"/>
      <c r="BH44" s="10">
        <v>0.5</v>
      </c>
      <c r="BL44" s="10"/>
      <c r="BM44" s="10">
        <v>0.8</v>
      </c>
      <c r="BN44" s="10"/>
      <c r="BO44" s="10">
        <v>0.8</v>
      </c>
      <c r="BS44" s="10"/>
      <c r="BT44" s="10">
        <v>0.8</v>
      </c>
      <c r="BU44" s="10"/>
      <c r="BV44" s="10">
        <v>0.8</v>
      </c>
      <c r="BZ44" s="10"/>
      <c r="CA44" s="10">
        <v>0.8</v>
      </c>
      <c r="CB44" s="10"/>
      <c r="CC44" s="10">
        <v>0.8</v>
      </c>
      <c r="CG44" s="10"/>
      <c r="CH44" s="10">
        <v>1</v>
      </c>
      <c r="CI44" s="10"/>
      <c r="CJ44" s="10">
        <v>1</v>
      </c>
      <c r="CN44" s="10"/>
      <c r="CO44" s="10">
        <v>1</v>
      </c>
      <c r="CP44" s="10"/>
      <c r="CQ44" s="10">
        <v>1</v>
      </c>
      <c r="CU44" s="10"/>
      <c r="CV44" s="10">
        <v>1</v>
      </c>
      <c r="CW44" s="10"/>
      <c r="CX44" s="10">
        <v>1</v>
      </c>
      <c r="DB44" s="10"/>
      <c r="DC44" s="10"/>
      <c r="DD44" s="10"/>
      <c r="DE44" s="10"/>
      <c r="DI44" s="10"/>
      <c r="DJ44" s="10"/>
      <c r="DK44" s="10"/>
      <c r="DL44" s="10"/>
      <c r="DP44" s="10"/>
      <c r="DQ44" s="10"/>
      <c r="DR44" s="10"/>
      <c r="DS44" s="10"/>
    </row>
    <row r="45" spans="2:123" outlineLevel="1" x14ac:dyDescent="0.2">
      <c r="B45" t="s">
        <v>28</v>
      </c>
      <c r="C45" t="s">
        <v>129</v>
      </c>
      <c r="E45" s="9"/>
      <c r="F45" t="s">
        <v>131</v>
      </c>
      <c r="G45" s="10">
        <v>0.05</v>
      </c>
      <c r="I45" s="9">
        <f t="shared" si="4"/>
        <v>0</v>
      </c>
      <c r="J45" s="11" cm="1">
        <f t="array" ref="J45">MAX(IF($N$3:$EA$3=$J$3,N45:EA45))</f>
        <v>0</v>
      </c>
      <c r="K45" s="11" cm="1">
        <f t="array" ref="K45">MAX(IF($N$3:$EA$3=$J$3,N45:EA45))</f>
        <v>0</v>
      </c>
      <c r="L45" s="9"/>
      <c r="O45" s="10"/>
      <c r="P45" s="10"/>
      <c r="Q45" s="10"/>
      <c r="R45" s="10"/>
      <c r="V45" s="10"/>
      <c r="W45" s="10"/>
      <c r="X45" s="10"/>
      <c r="Y45" s="10"/>
      <c r="AC45" s="10"/>
      <c r="AD45" s="10"/>
      <c r="AE45" s="10"/>
      <c r="AF45" s="10"/>
      <c r="AJ45" s="10"/>
      <c r="AK45" s="10"/>
      <c r="AL45" s="10"/>
      <c r="AM45" s="10"/>
      <c r="AQ45" s="10"/>
      <c r="AR45" s="10"/>
      <c r="AS45" s="10"/>
      <c r="AT45" s="10"/>
      <c r="AX45" s="10"/>
      <c r="AY45" s="10"/>
      <c r="AZ45" s="10"/>
      <c r="BA45" s="10"/>
      <c r="BE45" s="10"/>
      <c r="BF45" s="10">
        <v>0.5</v>
      </c>
      <c r="BG45" s="10"/>
      <c r="BH45" s="10">
        <v>0.5</v>
      </c>
      <c r="BL45" s="10"/>
      <c r="BM45" s="10">
        <v>0.8</v>
      </c>
      <c r="BN45" s="10"/>
      <c r="BO45" s="10">
        <v>0.8</v>
      </c>
      <c r="BS45" s="10"/>
      <c r="BT45" s="10">
        <v>0.8</v>
      </c>
      <c r="BU45" s="10"/>
      <c r="BV45" s="10">
        <v>0.8</v>
      </c>
      <c r="BZ45" s="10"/>
      <c r="CA45" s="10">
        <v>0.8</v>
      </c>
      <c r="CB45" s="10"/>
      <c r="CC45" s="10">
        <v>0.8</v>
      </c>
      <c r="CG45" s="10"/>
      <c r="CH45" s="10">
        <v>1</v>
      </c>
      <c r="CI45" s="10"/>
      <c r="CJ45" s="10">
        <v>1</v>
      </c>
      <c r="CN45" s="10"/>
      <c r="CO45" s="10">
        <v>1</v>
      </c>
      <c r="CP45" s="10"/>
      <c r="CQ45" s="10">
        <v>1</v>
      </c>
      <c r="CU45" s="10"/>
      <c r="CV45" s="10">
        <v>1</v>
      </c>
      <c r="CW45" s="10"/>
      <c r="CX45" s="10">
        <v>1</v>
      </c>
      <c r="DB45" s="10"/>
      <c r="DC45" s="10"/>
      <c r="DD45" s="10"/>
      <c r="DE45" s="10"/>
      <c r="DI45" s="10"/>
      <c r="DJ45" s="10"/>
      <c r="DK45" s="10"/>
      <c r="DL45" s="10"/>
      <c r="DP45" s="10"/>
      <c r="DQ45" s="10"/>
      <c r="DR45" s="10"/>
      <c r="DS45" s="10"/>
    </row>
    <row r="46" spans="2:123" outlineLevel="1" x14ac:dyDescent="0.2">
      <c r="B46" t="s">
        <v>28</v>
      </c>
      <c r="C46" t="s">
        <v>129</v>
      </c>
      <c r="E46" s="9"/>
      <c r="F46" t="s">
        <v>132</v>
      </c>
      <c r="G46" s="10">
        <v>0.05</v>
      </c>
      <c r="I46" s="9">
        <f t="shared" si="4"/>
        <v>0</v>
      </c>
      <c r="J46" s="11" cm="1">
        <f t="array" ref="J46">MAX(IF($N$3:$EA$3=$J$3,N46:EA46))</f>
        <v>0</v>
      </c>
      <c r="K46" s="11" cm="1">
        <f t="array" ref="K46">MAX(IF($N$3:$EA$3=$J$3,N46:EA46))</f>
        <v>0</v>
      </c>
      <c r="L46" s="9"/>
      <c r="O46" s="10"/>
      <c r="P46" s="10"/>
      <c r="Q46" s="10"/>
      <c r="R46" s="10"/>
      <c r="V46" s="10"/>
      <c r="W46" s="10"/>
      <c r="X46" s="10"/>
      <c r="Y46" s="10"/>
      <c r="AC46" s="10"/>
      <c r="AD46" s="10"/>
      <c r="AE46" s="10"/>
      <c r="AF46" s="10"/>
      <c r="AJ46" s="10"/>
      <c r="AK46" s="10"/>
      <c r="AL46" s="10"/>
      <c r="AM46" s="10"/>
      <c r="AQ46" s="10"/>
      <c r="AR46" s="10"/>
      <c r="AS46" s="10"/>
      <c r="AT46" s="10"/>
      <c r="AX46" s="10"/>
      <c r="AY46" s="10"/>
      <c r="AZ46" s="10"/>
      <c r="BA46" s="10"/>
      <c r="BE46" s="10"/>
      <c r="BF46" s="10"/>
      <c r="BG46" s="10"/>
      <c r="BH46" s="10"/>
      <c r="BL46" s="10"/>
      <c r="BM46" s="10">
        <v>0.5</v>
      </c>
      <c r="BN46" s="10"/>
      <c r="BO46" s="10">
        <v>0.5</v>
      </c>
      <c r="BS46" s="10"/>
      <c r="BT46" s="10">
        <v>0.5</v>
      </c>
      <c r="BU46" s="10"/>
      <c r="BV46" s="10">
        <v>0.5</v>
      </c>
      <c r="BZ46" s="10"/>
      <c r="CA46" s="10">
        <v>0.8</v>
      </c>
      <c r="CB46" s="10"/>
      <c r="CC46" s="10">
        <v>0.8</v>
      </c>
      <c r="CG46" s="10"/>
      <c r="CH46" s="10">
        <v>0.8</v>
      </c>
      <c r="CI46" s="10"/>
      <c r="CJ46" s="10">
        <v>0.8</v>
      </c>
      <c r="CN46" s="10"/>
      <c r="CO46" s="10">
        <v>1</v>
      </c>
      <c r="CP46" s="10"/>
      <c r="CQ46" s="10">
        <v>1</v>
      </c>
      <c r="CU46" s="10"/>
      <c r="CV46" s="10">
        <v>1</v>
      </c>
      <c r="CW46" s="10"/>
      <c r="CX46" s="10">
        <v>1</v>
      </c>
      <c r="DB46" s="10"/>
      <c r="DC46" s="10"/>
      <c r="DD46" s="10"/>
      <c r="DE46" s="10"/>
      <c r="DI46" s="10"/>
      <c r="DJ46" s="10"/>
      <c r="DK46" s="10"/>
      <c r="DL46" s="10"/>
      <c r="DP46" s="10"/>
      <c r="DQ46" s="10"/>
      <c r="DR46" s="10"/>
      <c r="DS46" s="10"/>
    </row>
    <row r="47" spans="2:123" outlineLevel="1" x14ac:dyDescent="0.2">
      <c r="B47" t="s">
        <v>28</v>
      </c>
      <c r="C47" t="s">
        <v>129</v>
      </c>
      <c r="E47" s="9"/>
      <c r="F47" t="s">
        <v>133</v>
      </c>
      <c r="G47" s="10">
        <v>0.1</v>
      </c>
      <c r="I47" s="9">
        <f t="shared" si="4"/>
        <v>0</v>
      </c>
      <c r="J47" s="11" cm="1">
        <f t="array" ref="J47">MAX(IF($N$3:$EA$3=$J$3,N47:EA47))</f>
        <v>0</v>
      </c>
      <c r="K47" s="11" cm="1">
        <f t="array" ref="K47">MAX(IF($N$3:$EA$3=$J$3,N47:EA47))</f>
        <v>0</v>
      </c>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c r="BG47" s="10"/>
      <c r="BH47" s="10"/>
      <c r="BL47" s="10"/>
      <c r="BM47" s="10"/>
      <c r="BN47" s="10"/>
      <c r="BO47" s="10"/>
      <c r="BS47" s="10"/>
      <c r="BT47" s="10">
        <v>0.5</v>
      </c>
      <c r="BU47" s="10"/>
      <c r="BV47" s="10">
        <v>0.5</v>
      </c>
      <c r="BZ47" s="10"/>
      <c r="CA47" s="10">
        <v>0.8</v>
      </c>
      <c r="CB47" s="10"/>
      <c r="CC47" s="10">
        <v>0.8</v>
      </c>
      <c r="CG47" s="10"/>
      <c r="CH47" s="10">
        <v>0.8</v>
      </c>
      <c r="CI47" s="10"/>
      <c r="CJ47" s="10">
        <v>0.8</v>
      </c>
      <c r="CN47" s="10"/>
      <c r="CO47" s="10">
        <v>1</v>
      </c>
      <c r="CP47" s="10"/>
      <c r="CQ47" s="10">
        <v>1</v>
      </c>
      <c r="CU47" s="10"/>
      <c r="CV47" s="10">
        <v>1</v>
      </c>
      <c r="CW47" s="10"/>
      <c r="CX47" s="10">
        <v>1</v>
      </c>
      <c r="DB47" s="10"/>
      <c r="DC47" s="10"/>
      <c r="DD47" s="10"/>
      <c r="DE47" s="10"/>
      <c r="DI47" s="10"/>
      <c r="DJ47" s="10"/>
      <c r="DK47" s="10"/>
      <c r="DL47" s="10"/>
      <c r="DP47" s="10"/>
      <c r="DQ47" s="10"/>
      <c r="DR47" s="10"/>
      <c r="DS47" s="10"/>
    </row>
    <row r="48" spans="2:123" outlineLevel="1" x14ac:dyDescent="0.2">
      <c r="B48" t="s">
        <v>28</v>
      </c>
      <c r="C48" t="s">
        <v>129</v>
      </c>
      <c r="E48" s="9"/>
      <c r="F48" t="s">
        <v>134</v>
      </c>
      <c r="G48" s="10">
        <v>0.1</v>
      </c>
      <c r="I48" s="9">
        <f t="shared" si="4"/>
        <v>0</v>
      </c>
      <c r="J48" s="11" cm="1">
        <f t="array" ref="J48">MAX(IF($N$3:$EA$3=$J$3,N48:EA48))</f>
        <v>0</v>
      </c>
      <c r="K48" s="11" cm="1">
        <f t="array" ref="K48">MAX(IF($N$3:$EA$3=$J$3,N48:EA48))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c r="BG48" s="10"/>
      <c r="BH48" s="10"/>
      <c r="BL48" s="10"/>
      <c r="BM48" s="10"/>
      <c r="BN48" s="10"/>
      <c r="BO48" s="10"/>
      <c r="BS48" s="10"/>
      <c r="BT48" s="10"/>
      <c r="BU48" s="10"/>
      <c r="BV48" s="10"/>
      <c r="BZ48" s="10"/>
      <c r="CA48" s="10">
        <v>0.5</v>
      </c>
      <c r="CB48" s="10"/>
      <c r="CC48" s="10">
        <v>0.5</v>
      </c>
      <c r="CG48" s="10"/>
      <c r="CH48" s="10">
        <v>0.5</v>
      </c>
      <c r="CI48" s="10"/>
      <c r="CJ48" s="10">
        <v>0.5</v>
      </c>
      <c r="CN48" s="10"/>
      <c r="CO48" s="10">
        <v>0.8</v>
      </c>
      <c r="CP48" s="10"/>
      <c r="CQ48" s="10">
        <v>0.8</v>
      </c>
      <c r="CU48" s="10"/>
      <c r="CV48" s="10">
        <v>1</v>
      </c>
      <c r="CW48" s="10"/>
      <c r="CX48" s="10">
        <v>1</v>
      </c>
      <c r="DB48" s="10"/>
      <c r="DC48" s="10"/>
      <c r="DD48" s="10"/>
      <c r="DE48" s="10"/>
      <c r="DI48" s="10"/>
      <c r="DJ48" s="10"/>
      <c r="DK48" s="10"/>
      <c r="DL48" s="10"/>
      <c r="DP48" s="10"/>
      <c r="DQ48" s="10"/>
      <c r="DR48" s="10"/>
      <c r="DS48" s="10"/>
    </row>
    <row r="49" spans="2:123" outlineLevel="1" x14ac:dyDescent="0.2">
      <c r="B49" t="s">
        <v>28</v>
      </c>
      <c r="C49" t="s">
        <v>129</v>
      </c>
      <c r="E49" s="9"/>
      <c r="F49" t="s">
        <v>135</v>
      </c>
      <c r="G49" s="10">
        <v>0.1</v>
      </c>
      <c r="I49" s="9">
        <f t="shared" si="4"/>
        <v>0</v>
      </c>
      <c r="J49" s="11" cm="1">
        <f t="array" ref="J49">MAX(IF($N$3:$EA$3=$J$3,N49:EA49))</f>
        <v>0</v>
      </c>
      <c r="K49" s="11" cm="1">
        <f t="array" ref="K49">MAX(IF($N$3:$EA$3=$J$3,N49:EA49))</f>
        <v>0</v>
      </c>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10"/>
      <c r="BG49" s="10"/>
      <c r="BH49" s="10"/>
      <c r="BL49" s="10"/>
      <c r="BM49" s="10"/>
      <c r="BN49" s="10"/>
      <c r="BO49" s="10"/>
      <c r="BS49" s="10"/>
      <c r="BT49" s="10"/>
      <c r="BU49" s="10"/>
      <c r="BV49" s="10"/>
      <c r="BZ49" s="10"/>
      <c r="CA49" s="10"/>
      <c r="CB49" s="10"/>
      <c r="CC49" s="10"/>
      <c r="CG49" s="10"/>
      <c r="CH49" s="10">
        <v>0.5</v>
      </c>
      <c r="CI49" s="10"/>
      <c r="CJ49" s="10">
        <v>0.5</v>
      </c>
      <c r="CN49" s="10"/>
      <c r="CO49" s="10">
        <v>0.8</v>
      </c>
      <c r="CP49" s="10"/>
      <c r="CQ49" s="10">
        <v>0.8</v>
      </c>
      <c r="CU49" s="10"/>
      <c r="CV49" s="10">
        <v>1</v>
      </c>
      <c r="CW49" s="10"/>
      <c r="CX49" s="10">
        <v>1</v>
      </c>
      <c r="DB49" s="10"/>
      <c r="DC49" s="10"/>
      <c r="DD49" s="10"/>
      <c r="DE49" s="10"/>
      <c r="DI49" s="10"/>
      <c r="DJ49" s="10"/>
      <c r="DK49" s="10"/>
      <c r="DL49" s="10"/>
      <c r="DP49" s="10"/>
      <c r="DQ49" s="10"/>
      <c r="DR49" s="10"/>
      <c r="DS49" s="10"/>
    </row>
    <row r="50" spans="2:123" x14ac:dyDescent="0.2">
      <c r="CV50" s="10"/>
      <c r="CX50" s="10"/>
    </row>
    <row r="51" spans="2:123" ht="17" customHeight="1" x14ac:dyDescent="0.2">
      <c r="B51" t="s">
        <v>27</v>
      </c>
      <c r="C51" t="s">
        <v>136</v>
      </c>
      <c r="D51" s="19">
        <v>45515</v>
      </c>
      <c r="E51" s="9">
        <v>3</v>
      </c>
      <c r="F51" t="s">
        <v>137</v>
      </c>
      <c r="G51" s="10">
        <f>+SUM(G52:G55)</f>
        <v>0.30000000000000004</v>
      </c>
      <c r="I51" s="12">
        <f>+SUM(I52:I55)</f>
        <v>0</v>
      </c>
      <c r="J51" s="11">
        <f>+SUMPRODUCT(G52:G55,J52:J55)</f>
        <v>0</v>
      </c>
      <c r="K51" s="11">
        <f>+SUMPRODUCT(G52:G55,K52:K55)</f>
        <v>0</v>
      </c>
      <c r="L51" s="9"/>
      <c r="N51" s="12">
        <f>+SUM(N52:N55)</f>
        <v>0</v>
      </c>
      <c r="U51" s="12">
        <f>+SUM(U52:U55)</f>
        <v>0</v>
      </c>
      <c r="AB51" s="12">
        <f>+SUM(AB52:AB55)</f>
        <v>0</v>
      </c>
      <c r="AI51" s="12">
        <f>+SUM(AI52:AI55)</f>
        <v>0</v>
      </c>
      <c r="AP51" s="12">
        <f>+SUM(AP52:AP55)</f>
        <v>0</v>
      </c>
      <c r="CV51" s="10"/>
      <c r="CX51" s="10"/>
    </row>
    <row r="52" spans="2:123" ht="17" customHeight="1" outlineLevel="1" x14ac:dyDescent="0.2">
      <c r="B52" t="s">
        <v>28</v>
      </c>
      <c r="C52" t="s">
        <v>136</v>
      </c>
      <c r="E52" s="9"/>
      <c r="F52" t="s">
        <v>138</v>
      </c>
      <c r="G52" s="10">
        <v>0.1</v>
      </c>
      <c r="I52" s="9">
        <f>+SUMIF($N$3:$ZS$3,I$3,$N52:$ZS52)</f>
        <v>0</v>
      </c>
      <c r="J52" s="11" cm="1">
        <f t="array" ref="J52">MAX(IF($N$3:$EA$3=$J$3,N52:EA52))</f>
        <v>0</v>
      </c>
      <c r="K52" s="11" cm="1">
        <f t="array" ref="K52">MAX(IF($N$3:$EA$3=$J$3,N52:EA52))</f>
        <v>0</v>
      </c>
      <c r="L52" s="9"/>
      <c r="O52" s="10"/>
      <c r="P52" s="10">
        <v>0.5</v>
      </c>
      <c r="Q52" s="10"/>
      <c r="R52" s="10">
        <v>0.5</v>
      </c>
      <c r="V52" s="10"/>
      <c r="W52" s="10">
        <v>0.8</v>
      </c>
      <c r="X52" s="10"/>
      <c r="Y52" s="10">
        <v>0.8</v>
      </c>
      <c r="AC52" s="10"/>
      <c r="AD52" s="10">
        <v>0.8</v>
      </c>
      <c r="AE52" s="10"/>
      <c r="AF52" s="10">
        <v>0.8</v>
      </c>
      <c r="AJ52" s="10"/>
      <c r="AK52" s="10">
        <v>1</v>
      </c>
      <c r="AL52" s="10"/>
      <c r="AM52" s="10">
        <v>1</v>
      </c>
      <c r="AQ52" s="10"/>
      <c r="AR52" s="10">
        <v>1</v>
      </c>
      <c r="AS52" s="10"/>
      <c r="AT52" s="10">
        <v>1</v>
      </c>
      <c r="AX52" s="10"/>
      <c r="AY52" s="10">
        <v>1</v>
      </c>
      <c r="AZ52" s="10"/>
      <c r="BA52" s="10">
        <v>1</v>
      </c>
      <c r="BE52" s="10"/>
      <c r="BF52" s="10">
        <v>1</v>
      </c>
      <c r="BG52" s="10"/>
      <c r="BH52" s="10">
        <v>1</v>
      </c>
      <c r="BI52" t="s">
        <v>162</v>
      </c>
      <c r="BL52" s="10"/>
      <c r="BM52" s="10">
        <v>1</v>
      </c>
      <c r="BN52" s="10"/>
      <c r="BO52" s="10">
        <v>1</v>
      </c>
      <c r="BS52" s="10"/>
      <c r="BT52" s="10">
        <v>1</v>
      </c>
      <c r="BU52" s="10"/>
      <c r="BV52" s="10">
        <v>1</v>
      </c>
      <c r="BZ52" s="10"/>
      <c r="CA52" s="10">
        <v>1</v>
      </c>
      <c r="CB52" s="10"/>
      <c r="CC52" s="10">
        <v>1</v>
      </c>
      <c r="CG52" s="10"/>
      <c r="CH52" s="10">
        <v>1</v>
      </c>
      <c r="CI52" s="10"/>
      <c r="CJ52" s="10">
        <v>1</v>
      </c>
      <c r="CN52" s="10"/>
      <c r="CO52" s="10">
        <v>1</v>
      </c>
      <c r="CP52" s="10"/>
      <c r="CQ52" s="10">
        <v>1</v>
      </c>
      <c r="CU52" s="10"/>
      <c r="CV52" s="10">
        <v>1</v>
      </c>
      <c r="CW52" s="10"/>
      <c r="CX52" s="10">
        <v>1</v>
      </c>
      <c r="DB52" s="10"/>
      <c r="DC52" s="10"/>
      <c r="DD52" s="10"/>
      <c r="DE52" s="10"/>
      <c r="DI52" s="10"/>
      <c r="DJ52" s="10"/>
      <c r="DK52" s="10"/>
      <c r="DL52" s="10"/>
      <c r="DP52" s="10"/>
      <c r="DQ52" s="10"/>
      <c r="DR52" s="10"/>
      <c r="DS52" s="10"/>
    </row>
    <row r="53" spans="2:123" ht="17" customHeight="1" outlineLevel="1" x14ac:dyDescent="0.2">
      <c r="B53" t="s">
        <v>28</v>
      </c>
      <c r="C53" t="s">
        <v>136</v>
      </c>
      <c r="E53" s="9"/>
      <c r="F53" t="s">
        <v>139</v>
      </c>
      <c r="G53" s="10">
        <v>0.05</v>
      </c>
      <c r="I53" s="9">
        <f>+SUMIF($N$3:$ZS$3,I$3,$N53:$ZS53)</f>
        <v>0</v>
      </c>
      <c r="J53" s="11" cm="1">
        <f t="array" ref="J53">MAX(IF($N$3:$EA$3=$J$3,N53:EA53))</f>
        <v>0</v>
      </c>
      <c r="K53" s="11" cm="1">
        <f t="array" ref="K53">MAX(IF($N$3:$EA$3=$J$3,N53:EA53))</f>
        <v>0</v>
      </c>
      <c r="L53" s="9"/>
      <c r="O53" s="10"/>
      <c r="P53" s="10"/>
      <c r="Q53" s="10"/>
      <c r="R53" s="10"/>
      <c r="V53" s="10"/>
      <c r="W53" s="10">
        <v>0.5</v>
      </c>
      <c r="X53" s="10"/>
      <c r="Y53" s="10">
        <v>0.5</v>
      </c>
      <c r="AC53" s="10"/>
      <c r="AD53" s="10">
        <v>0.8</v>
      </c>
      <c r="AE53" s="10"/>
      <c r="AF53" s="10">
        <v>0.8</v>
      </c>
      <c r="AJ53" s="10"/>
      <c r="AK53" s="10">
        <v>0.8</v>
      </c>
      <c r="AL53" s="10"/>
      <c r="AM53" s="10">
        <v>0.8</v>
      </c>
      <c r="AQ53" s="10"/>
      <c r="AR53" s="10">
        <v>1</v>
      </c>
      <c r="AS53" s="10"/>
      <c r="AT53" s="10">
        <v>1</v>
      </c>
      <c r="AX53" s="10"/>
      <c r="AY53" s="10">
        <v>1</v>
      </c>
      <c r="AZ53" s="10"/>
      <c r="BA53" s="10">
        <v>1</v>
      </c>
      <c r="BE53" s="10"/>
      <c r="BF53" s="10">
        <v>1</v>
      </c>
      <c r="BG53" s="10"/>
      <c r="BH53" s="10">
        <v>1</v>
      </c>
      <c r="BL53" s="10"/>
      <c r="BM53" s="10">
        <v>1</v>
      </c>
      <c r="BN53" s="10"/>
      <c r="BO53" s="10">
        <v>1</v>
      </c>
      <c r="BS53" s="10"/>
      <c r="BT53" s="10">
        <v>1</v>
      </c>
      <c r="BU53" s="10"/>
      <c r="BV53" s="10">
        <v>1</v>
      </c>
      <c r="BZ53" s="10"/>
      <c r="CA53" s="10">
        <v>1</v>
      </c>
      <c r="CB53" s="10"/>
      <c r="CC53" s="10">
        <v>1</v>
      </c>
      <c r="CG53" s="10"/>
      <c r="CH53" s="10">
        <v>1</v>
      </c>
      <c r="CI53" s="10"/>
      <c r="CJ53" s="10">
        <v>1</v>
      </c>
      <c r="CN53" s="10"/>
      <c r="CO53" s="10">
        <v>1</v>
      </c>
      <c r="CP53" s="10"/>
      <c r="CQ53" s="10">
        <v>1</v>
      </c>
      <c r="CU53" s="10"/>
      <c r="CV53" s="10">
        <v>1</v>
      </c>
      <c r="CW53" s="10"/>
      <c r="CX53" s="10">
        <v>1</v>
      </c>
      <c r="DB53" s="10"/>
      <c r="DC53" s="10"/>
      <c r="DD53" s="10"/>
      <c r="DE53" s="10"/>
      <c r="DI53" s="10"/>
      <c r="DJ53" s="10"/>
      <c r="DK53" s="10"/>
      <c r="DL53" s="10"/>
      <c r="DP53" s="10"/>
      <c r="DQ53" s="10"/>
      <c r="DR53" s="10"/>
      <c r="DS53" s="10"/>
    </row>
    <row r="54" spans="2:123" ht="17" customHeight="1" outlineLevel="1" x14ac:dyDescent="0.2">
      <c r="B54" t="s">
        <v>28</v>
      </c>
      <c r="C54" t="s">
        <v>136</v>
      </c>
      <c r="E54" s="9"/>
      <c r="F54" t="s">
        <v>140</v>
      </c>
      <c r="G54" s="10">
        <v>0.05</v>
      </c>
      <c r="I54" s="9">
        <f>+SUMIF($N$3:$ZS$3,I$3,$N54:$ZS54)</f>
        <v>0</v>
      </c>
      <c r="J54" s="11" cm="1">
        <f t="array" ref="J54">MAX(IF($N$3:$EA$3=$J$3,N54:EA54))</f>
        <v>0</v>
      </c>
      <c r="K54" s="11" cm="1">
        <f t="array" ref="K54">MAX(IF($N$3:$EA$3=$J$3,N54:EA54))</f>
        <v>0</v>
      </c>
      <c r="L54" s="9"/>
      <c r="O54" s="10"/>
      <c r="P54" s="10"/>
      <c r="Q54" s="10"/>
      <c r="R54" s="10"/>
      <c r="V54" s="10"/>
      <c r="W54" s="10"/>
      <c r="X54" s="10"/>
      <c r="Y54" s="10"/>
      <c r="AC54" s="10"/>
      <c r="AD54" s="10">
        <v>0.5</v>
      </c>
      <c r="AE54" s="10"/>
      <c r="AF54" s="10">
        <v>0.5</v>
      </c>
      <c r="AJ54" s="10"/>
      <c r="AK54" s="10">
        <v>0.8</v>
      </c>
      <c r="AL54" s="10"/>
      <c r="AM54" s="10">
        <v>0.8</v>
      </c>
      <c r="AQ54" s="10"/>
      <c r="AR54" s="10">
        <v>0.8</v>
      </c>
      <c r="AS54" s="10"/>
      <c r="AT54" s="10">
        <v>0.8</v>
      </c>
      <c r="AX54" s="10"/>
      <c r="AY54" s="10">
        <v>1</v>
      </c>
      <c r="AZ54" s="10"/>
      <c r="BA54" s="10">
        <v>1</v>
      </c>
      <c r="BE54" s="10"/>
      <c r="BF54" s="10">
        <v>1</v>
      </c>
      <c r="BG54" s="10"/>
      <c r="BH54" s="10">
        <v>1</v>
      </c>
      <c r="BL54" s="10"/>
      <c r="BM54" s="10">
        <v>1</v>
      </c>
      <c r="BN54" s="10"/>
      <c r="BO54" s="10">
        <v>1</v>
      </c>
      <c r="BS54" s="10"/>
      <c r="BT54" s="10">
        <v>1</v>
      </c>
      <c r="BU54" s="10"/>
      <c r="BV54" s="10">
        <v>1</v>
      </c>
      <c r="BZ54" s="10"/>
      <c r="CA54" s="10">
        <v>1</v>
      </c>
      <c r="CB54" s="10"/>
      <c r="CC54" s="10">
        <v>1</v>
      </c>
      <c r="CG54" s="10"/>
      <c r="CH54" s="10">
        <v>1</v>
      </c>
      <c r="CI54" s="10"/>
      <c r="CJ54" s="10">
        <v>1</v>
      </c>
      <c r="CN54" s="10"/>
      <c r="CO54" s="10">
        <v>1</v>
      </c>
      <c r="CP54" s="10"/>
      <c r="CQ54" s="10">
        <v>1</v>
      </c>
      <c r="CU54" s="10"/>
      <c r="CV54" s="10">
        <v>1</v>
      </c>
      <c r="CW54" s="10"/>
      <c r="CX54" s="10">
        <v>1</v>
      </c>
      <c r="DB54" s="10"/>
      <c r="DC54" s="10"/>
      <c r="DD54" s="10"/>
      <c r="DE54" s="10"/>
      <c r="DI54" s="10"/>
      <c r="DJ54" s="10"/>
      <c r="DK54" s="10"/>
      <c r="DL54" s="10"/>
      <c r="DP54" s="10"/>
      <c r="DQ54" s="10"/>
      <c r="DR54" s="10"/>
      <c r="DS54" s="10"/>
    </row>
    <row r="55" spans="2:123" ht="17" customHeight="1" outlineLevel="1" x14ac:dyDescent="0.2">
      <c r="B55" t="s">
        <v>28</v>
      </c>
      <c r="C55" t="s">
        <v>136</v>
      </c>
      <c r="E55" s="9"/>
      <c r="F55" t="s">
        <v>141</v>
      </c>
      <c r="G55" s="10">
        <v>0.1</v>
      </c>
      <c r="I55" s="9">
        <f>+SUMIF($N$3:$ZS$3,I$3,$N55:$ZS55)</f>
        <v>0</v>
      </c>
      <c r="J55" s="11" cm="1">
        <f t="array" ref="J55">MAX(IF($N$3:$EA$3=$J$3,N55:EA55))</f>
        <v>0</v>
      </c>
      <c r="K55" s="11" cm="1">
        <f t="array" ref="K55">MAX(IF($N$3:$EA$3=$J$3,N55:EA55))</f>
        <v>0</v>
      </c>
      <c r="L55" s="9"/>
      <c r="O55" s="10"/>
      <c r="P55" s="10"/>
      <c r="Q55" s="10"/>
      <c r="R55" s="10"/>
      <c r="V55" s="10"/>
      <c r="W55" s="10"/>
      <c r="X55" s="10"/>
      <c r="Y55" s="10"/>
      <c r="AC55" s="10"/>
      <c r="AD55" s="10"/>
      <c r="AE55" s="10"/>
      <c r="AF55" s="10"/>
      <c r="AJ55" s="10"/>
      <c r="AK55" s="10">
        <v>0.5</v>
      </c>
      <c r="AL55" s="10"/>
      <c r="AM55" s="10">
        <v>0.5</v>
      </c>
      <c r="AQ55" s="10"/>
      <c r="AR55" s="10">
        <v>0.8</v>
      </c>
      <c r="AS55" s="10"/>
      <c r="AT55" s="10">
        <v>0.8</v>
      </c>
      <c r="AX55" s="10"/>
      <c r="AY55" s="10">
        <v>0.8</v>
      </c>
      <c r="AZ55" s="10"/>
      <c r="BA55" s="10">
        <v>0.8</v>
      </c>
      <c r="BE55" s="10"/>
      <c r="BF55" s="10">
        <v>1</v>
      </c>
      <c r="BG55" s="10"/>
      <c r="BH55" s="10">
        <v>1</v>
      </c>
      <c r="BL55" s="10"/>
      <c r="BM55" s="10">
        <v>1</v>
      </c>
      <c r="BN55" s="10"/>
      <c r="BO55" s="10">
        <v>1</v>
      </c>
      <c r="BS55" s="10"/>
      <c r="BT55" s="10">
        <v>1</v>
      </c>
      <c r="BU55" s="10"/>
      <c r="BV55" s="10">
        <v>1</v>
      </c>
      <c r="BZ55" s="10"/>
      <c r="CA55" s="10">
        <v>1</v>
      </c>
      <c r="CB55" s="10"/>
      <c r="CC55" s="10">
        <v>1</v>
      </c>
      <c r="CG55" s="10"/>
      <c r="CH55" s="10">
        <v>1</v>
      </c>
      <c r="CI55" s="10"/>
      <c r="CJ55" s="10">
        <v>1</v>
      </c>
      <c r="CN55" s="10"/>
      <c r="CO55" s="10">
        <v>1</v>
      </c>
      <c r="CP55" s="10"/>
      <c r="CQ55" s="10">
        <v>1</v>
      </c>
      <c r="CU55" s="10"/>
      <c r="CV55" s="10">
        <v>1</v>
      </c>
      <c r="CW55" s="10"/>
      <c r="CX55" s="10">
        <v>1</v>
      </c>
      <c r="DB55" s="10"/>
      <c r="DC55" s="10"/>
      <c r="DD55" s="10"/>
      <c r="DE55" s="10"/>
      <c r="DI55" s="10"/>
      <c r="DJ55" s="10"/>
      <c r="DK55" s="10"/>
      <c r="DL55" s="10"/>
      <c r="DP55" s="10"/>
      <c r="DQ55" s="10"/>
      <c r="DR55" s="10"/>
      <c r="DS55" s="10"/>
    </row>
    <row r="56" spans="2:123" ht="17" customHeight="1" x14ac:dyDescent="0.2">
      <c r="BF56" s="10"/>
      <c r="BH56" s="10"/>
      <c r="CV56" s="10"/>
      <c r="CX56" s="10"/>
    </row>
    <row r="57" spans="2:123" x14ac:dyDescent="0.2">
      <c r="B57" t="s">
        <v>27</v>
      </c>
      <c r="C57" t="s">
        <v>142</v>
      </c>
      <c r="D57" s="19">
        <v>45449</v>
      </c>
      <c r="E57" s="9">
        <v>0</v>
      </c>
      <c r="G57" s="10">
        <f>+SUM(G58:G67)</f>
        <v>0.89999999999999991</v>
      </c>
      <c r="I57" s="12">
        <f>+SUM(I58:I67)</f>
        <v>0</v>
      </c>
      <c r="J57" s="11">
        <f>+SUMPRODUCT(G58:G67,J58:J67)</f>
        <v>0</v>
      </c>
      <c r="K57" s="11">
        <f>+SUMPRODUCT(G58:G67,K58:K67)</f>
        <v>0</v>
      </c>
      <c r="L57" s="9"/>
      <c r="N57" s="12">
        <f>+SUM(N58:N67)</f>
        <v>0</v>
      </c>
      <c r="U57" s="12">
        <f>+SUM(U58:U67)</f>
        <v>0</v>
      </c>
      <c r="AB57" s="12">
        <f>+SUM(AB58:AB67)</f>
        <v>0</v>
      </c>
      <c r="AI57" s="12">
        <f>+SUM(AI58:AI67)</f>
        <v>0</v>
      </c>
      <c r="AP57" s="12">
        <f>+SUM(AP58:AP67)</f>
        <v>0</v>
      </c>
      <c r="BF57" s="10"/>
      <c r="BH57" s="10"/>
      <c r="CV57" s="10"/>
      <c r="CX57" s="10"/>
    </row>
    <row r="58" spans="2:123" outlineLevel="1" x14ac:dyDescent="0.2">
      <c r="B58" t="s">
        <v>28</v>
      </c>
      <c r="C58" t="s">
        <v>142</v>
      </c>
      <c r="E58" s="9"/>
      <c r="F58" t="s">
        <v>143</v>
      </c>
      <c r="G58" s="10">
        <v>0.1</v>
      </c>
      <c r="I58" s="9">
        <f t="shared" ref="I58:I67" si="5">+SUMIF($N$3:$ZS$3,I$3,$N58:$ZS58)</f>
        <v>0</v>
      </c>
      <c r="J58" s="11" cm="1">
        <f t="array" ref="J58">MAX(IF($N$3:$EA$3=$J$3,N58:EA58))</f>
        <v>0</v>
      </c>
      <c r="K58" s="11" cm="1">
        <f t="array" ref="K58">MAX(IF($N$3:$EA$3=$J$3,N58:EA58))</f>
        <v>0</v>
      </c>
      <c r="L58" s="9"/>
      <c r="O58" s="10"/>
      <c r="P58" s="10">
        <v>0.5</v>
      </c>
      <c r="Q58" s="10"/>
      <c r="R58" s="10">
        <v>0.5</v>
      </c>
      <c r="V58" s="10"/>
      <c r="W58" s="10">
        <v>0.8</v>
      </c>
      <c r="X58" s="10"/>
      <c r="Y58" s="10">
        <v>0.8</v>
      </c>
      <c r="AC58" s="10"/>
      <c r="AD58" s="10">
        <v>1</v>
      </c>
      <c r="AE58" s="10"/>
      <c r="AF58" s="10">
        <v>1</v>
      </c>
      <c r="AJ58" s="10"/>
      <c r="AK58" s="10">
        <v>1</v>
      </c>
      <c r="AL58" s="10"/>
      <c r="AM58" s="10">
        <v>1</v>
      </c>
      <c r="AQ58" s="10"/>
      <c r="AR58" s="10">
        <v>1</v>
      </c>
      <c r="AS58" s="10"/>
      <c r="AT58" s="10">
        <v>1</v>
      </c>
      <c r="AU58" t="s">
        <v>161</v>
      </c>
      <c r="AX58" s="10"/>
      <c r="AY58" s="10">
        <v>1</v>
      </c>
      <c r="AZ58" s="10"/>
      <c r="BA58" s="10">
        <v>1</v>
      </c>
      <c r="BE58" s="10"/>
      <c r="BF58" s="10">
        <v>1</v>
      </c>
      <c r="BG58" s="10"/>
      <c r="BH58" s="10">
        <v>1</v>
      </c>
      <c r="BL58" s="10"/>
      <c r="BM58" s="10">
        <v>1</v>
      </c>
      <c r="BN58" s="10"/>
      <c r="BO58" s="10">
        <v>1</v>
      </c>
      <c r="BS58" s="10"/>
      <c r="BT58" s="10">
        <v>1</v>
      </c>
      <c r="BU58" s="10"/>
      <c r="BV58" s="10">
        <v>1</v>
      </c>
      <c r="BZ58" s="10"/>
      <c r="CA58" s="10">
        <v>1</v>
      </c>
      <c r="CB58" s="10"/>
      <c r="CC58" s="10">
        <v>1</v>
      </c>
      <c r="CG58" s="10"/>
      <c r="CH58" s="10">
        <v>1</v>
      </c>
      <c r="CI58" s="10"/>
      <c r="CJ58" s="10">
        <v>1</v>
      </c>
      <c r="CN58" s="10"/>
      <c r="CO58" s="10">
        <v>1</v>
      </c>
      <c r="CP58" s="10"/>
      <c r="CQ58" s="10">
        <v>1</v>
      </c>
      <c r="CU58" s="10"/>
      <c r="CV58" s="10">
        <v>1</v>
      </c>
      <c r="CW58" s="10"/>
      <c r="CX58" s="10">
        <v>1</v>
      </c>
      <c r="DB58" s="10"/>
      <c r="DC58" s="10"/>
      <c r="DD58" s="10"/>
      <c r="DE58" s="10"/>
      <c r="DI58" s="10"/>
      <c r="DJ58" s="10"/>
      <c r="DK58" s="10"/>
      <c r="DL58" s="10"/>
      <c r="DP58" s="10"/>
      <c r="DQ58" s="10"/>
      <c r="DR58" s="10"/>
      <c r="DS58" s="10"/>
    </row>
    <row r="59" spans="2:123" outlineLevel="1" x14ac:dyDescent="0.2">
      <c r="B59" t="s">
        <v>28</v>
      </c>
      <c r="C59" t="s">
        <v>142</v>
      </c>
      <c r="E59" s="9"/>
      <c r="F59" t="s">
        <v>144</v>
      </c>
      <c r="G59" s="10">
        <v>0.05</v>
      </c>
      <c r="I59" s="9">
        <f t="shared" si="5"/>
        <v>0</v>
      </c>
      <c r="J59" s="11" cm="1">
        <f t="array" ref="J59">MAX(IF($N$3:$EA$3=$J$3,N59:EA59))</f>
        <v>0</v>
      </c>
      <c r="K59" s="11" cm="1">
        <f t="array" ref="K59">MAX(IF($N$3:$EA$3=$J$3,N59:EA59))</f>
        <v>0</v>
      </c>
      <c r="L59" s="9"/>
      <c r="O59" s="10"/>
      <c r="P59" s="10">
        <v>0.5</v>
      </c>
      <c r="Q59" s="10"/>
      <c r="R59" s="10">
        <v>0.5</v>
      </c>
      <c r="V59" s="10"/>
      <c r="W59" s="10">
        <v>0.8</v>
      </c>
      <c r="X59" s="10"/>
      <c r="Y59" s="10">
        <v>0.8</v>
      </c>
      <c r="AC59" s="10"/>
      <c r="AD59" s="10">
        <v>1</v>
      </c>
      <c r="AE59" s="10"/>
      <c r="AF59" s="10">
        <v>1</v>
      </c>
      <c r="AJ59" s="10"/>
      <c r="AK59" s="10">
        <v>1</v>
      </c>
      <c r="AL59" s="10"/>
      <c r="AM59" s="10">
        <v>1</v>
      </c>
      <c r="AQ59" s="10"/>
      <c r="AR59" s="10">
        <v>1</v>
      </c>
      <c r="AS59" s="10"/>
      <c r="AT59" s="10">
        <v>1</v>
      </c>
      <c r="AU59" t="s">
        <v>161</v>
      </c>
      <c r="AX59" s="10"/>
      <c r="AY59" s="10">
        <v>1</v>
      </c>
      <c r="AZ59" s="10"/>
      <c r="BA59" s="10">
        <v>1</v>
      </c>
      <c r="BE59" s="10"/>
      <c r="BF59" s="10">
        <v>1</v>
      </c>
      <c r="BG59" s="10"/>
      <c r="BH59" s="10">
        <v>1</v>
      </c>
      <c r="BL59" s="10"/>
      <c r="BM59" s="10">
        <v>1</v>
      </c>
      <c r="BN59" s="10"/>
      <c r="BO59" s="10">
        <v>1</v>
      </c>
      <c r="BS59" s="10"/>
      <c r="BT59" s="10">
        <v>1</v>
      </c>
      <c r="BU59" s="10"/>
      <c r="BV59" s="10">
        <v>1</v>
      </c>
      <c r="BZ59" s="10"/>
      <c r="CA59" s="10">
        <v>1</v>
      </c>
      <c r="CB59" s="10"/>
      <c r="CC59" s="10">
        <v>1</v>
      </c>
      <c r="CG59" s="10"/>
      <c r="CH59" s="10">
        <v>1</v>
      </c>
      <c r="CI59" s="10"/>
      <c r="CJ59" s="10">
        <v>1</v>
      </c>
      <c r="CN59" s="10"/>
      <c r="CO59" s="10">
        <v>1</v>
      </c>
      <c r="CP59" s="10"/>
      <c r="CQ59" s="10">
        <v>1</v>
      </c>
      <c r="CU59" s="10"/>
      <c r="CV59" s="10">
        <v>1</v>
      </c>
      <c r="CW59" s="10"/>
      <c r="CX59" s="10">
        <v>1</v>
      </c>
      <c r="DB59" s="10"/>
      <c r="DC59" s="10"/>
      <c r="DD59" s="10"/>
      <c r="DE59" s="10"/>
      <c r="DI59" s="10"/>
      <c r="DJ59" s="10"/>
      <c r="DK59" s="10"/>
      <c r="DL59" s="10"/>
      <c r="DP59" s="10"/>
      <c r="DQ59" s="10"/>
      <c r="DR59" s="10"/>
      <c r="DS59" s="10"/>
    </row>
    <row r="60" spans="2:123" outlineLevel="1" x14ac:dyDescent="0.2">
      <c r="B60" t="s">
        <v>28</v>
      </c>
      <c r="C60" t="s">
        <v>142</v>
      </c>
      <c r="E60" s="9"/>
      <c r="F60" t="s">
        <v>145</v>
      </c>
      <c r="G60" s="10">
        <v>0.05</v>
      </c>
      <c r="I60" s="9">
        <f t="shared" si="5"/>
        <v>0</v>
      </c>
      <c r="J60" s="11" cm="1">
        <f t="array" ref="J60">MAX(IF($N$3:$EA$3=$J$3,N60:EA60))</f>
        <v>0</v>
      </c>
      <c r="K60" s="11" cm="1">
        <f t="array" ref="K60">MAX(IF($N$3:$EA$3=$J$3,N60:EA60))</f>
        <v>0</v>
      </c>
      <c r="L60" s="9"/>
      <c r="O60" s="10"/>
      <c r="P60" s="10">
        <v>0.5</v>
      </c>
      <c r="Q60" s="10"/>
      <c r="R60" s="10">
        <v>0.5</v>
      </c>
      <c r="V60" s="10"/>
      <c r="W60" s="10">
        <v>0.8</v>
      </c>
      <c r="X60" s="10"/>
      <c r="Y60" s="10">
        <v>0.8</v>
      </c>
      <c r="AC60" s="10"/>
      <c r="AD60" s="10">
        <v>0.8</v>
      </c>
      <c r="AE60" s="10"/>
      <c r="AF60" s="10">
        <v>0.8</v>
      </c>
      <c r="AJ60" s="10"/>
      <c r="AK60" s="10">
        <v>1</v>
      </c>
      <c r="AL60" s="10"/>
      <c r="AM60" s="10">
        <v>1</v>
      </c>
      <c r="AQ60" s="10"/>
      <c r="AR60" s="10">
        <v>1</v>
      </c>
      <c r="AS60" s="10"/>
      <c r="AT60" s="10">
        <v>1</v>
      </c>
      <c r="AU60" t="s">
        <v>161</v>
      </c>
      <c r="AX60" s="10"/>
      <c r="AY60" s="10">
        <v>1</v>
      </c>
      <c r="AZ60" s="10"/>
      <c r="BA60" s="10">
        <v>1</v>
      </c>
      <c r="BE60" s="10"/>
      <c r="BF60" s="10">
        <v>1</v>
      </c>
      <c r="BG60" s="10"/>
      <c r="BH60" s="10">
        <v>1</v>
      </c>
      <c r="BL60" s="10"/>
      <c r="BM60" s="10">
        <v>1</v>
      </c>
      <c r="BN60" s="10"/>
      <c r="BO60" s="10">
        <v>1</v>
      </c>
      <c r="BS60" s="10"/>
      <c r="BT60" s="10">
        <v>1</v>
      </c>
      <c r="BU60" s="10"/>
      <c r="BV60" s="10">
        <v>1</v>
      </c>
      <c r="BZ60" s="10"/>
      <c r="CA60" s="10">
        <v>1</v>
      </c>
      <c r="CB60" s="10"/>
      <c r="CC60" s="10">
        <v>1</v>
      </c>
      <c r="CG60" s="10"/>
      <c r="CH60" s="10">
        <v>1</v>
      </c>
      <c r="CI60" s="10"/>
      <c r="CJ60" s="10">
        <v>1</v>
      </c>
      <c r="CN60" s="10"/>
      <c r="CO60" s="10">
        <v>1</v>
      </c>
      <c r="CP60" s="10"/>
      <c r="CQ60" s="10">
        <v>1</v>
      </c>
      <c r="CU60" s="10"/>
      <c r="CV60" s="10">
        <v>1</v>
      </c>
      <c r="CW60" s="10"/>
      <c r="CX60" s="10">
        <v>1</v>
      </c>
      <c r="DB60" s="10"/>
      <c r="DC60" s="10"/>
      <c r="DD60" s="10"/>
      <c r="DE60" s="10"/>
      <c r="DI60" s="10"/>
      <c r="DJ60" s="10"/>
      <c r="DK60" s="10"/>
      <c r="DL60" s="10"/>
      <c r="DP60" s="10"/>
      <c r="DQ60" s="10"/>
      <c r="DR60" s="10"/>
      <c r="DS60" s="10"/>
    </row>
    <row r="61" spans="2:123" outlineLevel="1" x14ac:dyDescent="0.2">
      <c r="B61" t="s">
        <v>28</v>
      </c>
      <c r="C61" t="s">
        <v>142</v>
      </c>
      <c r="E61" s="9"/>
      <c r="F61" t="s">
        <v>146</v>
      </c>
      <c r="G61" s="10">
        <v>0.1</v>
      </c>
      <c r="I61" s="9">
        <f t="shared" si="5"/>
        <v>0</v>
      </c>
      <c r="J61" s="11" cm="1">
        <f t="array" ref="J61">MAX(IF($N$3:$EA$3=$J$3,N61:EA61))</f>
        <v>0</v>
      </c>
      <c r="K61" s="11" cm="1">
        <f t="array" ref="K61">MAX(IF($N$3:$EA$3=$J$3,N61:EA61))</f>
        <v>0</v>
      </c>
      <c r="L61" s="9"/>
      <c r="O61" s="10"/>
      <c r="P61" s="10"/>
      <c r="Q61" s="10"/>
      <c r="R61" s="10"/>
      <c r="V61" s="10"/>
      <c r="W61" s="10">
        <v>0.5</v>
      </c>
      <c r="X61" s="10"/>
      <c r="Y61" s="10">
        <v>0.5</v>
      </c>
      <c r="AC61" s="10"/>
      <c r="AD61" s="10">
        <v>0.8</v>
      </c>
      <c r="AE61" s="10"/>
      <c r="AF61" s="10">
        <v>0.8</v>
      </c>
      <c r="AJ61" s="10"/>
      <c r="AK61" s="10">
        <v>1</v>
      </c>
      <c r="AL61" s="10"/>
      <c r="AM61" s="10">
        <v>1</v>
      </c>
      <c r="AQ61" s="10"/>
      <c r="AR61" s="10">
        <v>1</v>
      </c>
      <c r="AS61" s="10"/>
      <c r="AT61" s="10">
        <v>1</v>
      </c>
      <c r="AU61" t="s">
        <v>161</v>
      </c>
      <c r="AX61" s="10"/>
      <c r="AY61" s="10">
        <v>1</v>
      </c>
      <c r="AZ61" s="10"/>
      <c r="BA61" s="10">
        <v>1</v>
      </c>
      <c r="BE61" s="10"/>
      <c r="BF61" s="10">
        <v>1</v>
      </c>
      <c r="BG61" s="10"/>
      <c r="BH61" s="10">
        <v>1</v>
      </c>
      <c r="BL61" s="10"/>
      <c r="BM61" s="10">
        <v>1</v>
      </c>
      <c r="BN61" s="10"/>
      <c r="BO61" s="10">
        <v>1</v>
      </c>
      <c r="BS61" s="10"/>
      <c r="BT61" s="10">
        <v>1</v>
      </c>
      <c r="BU61" s="10"/>
      <c r="BV61" s="10">
        <v>1</v>
      </c>
      <c r="BZ61" s="10"/>
      <c r="CA61" s="10">
        <v>1</v>
      </c>
      <c r="CB61" s="10"/>
      <c r="CC61" s="10">
        <v>1</v>
      </c>
      <c r="CG61" s="10"/>
      <c r="CH61" s="10">
        <v>1</v>
      </c>
      <c r="CI61" s="10"/>
      <c r="CJ61" s="10">
        <v>1</v>
      </c>
      <c r="CN61" s="10"/>
      <c r="CO61" s="10">
        <v>1</v>
      </c>
      <c r="CP61" s="10"/>
      <c r="CQ61" s="10">
        <v>1</v>
      </c>
      <c r="CU61" s="10"/>
      <c r="CV61" s="10">
        <v>1</v>
      </c>
      <c r="CW61" s="10"/>
      <c r="CX61" s="10">
        <v>1</v>
      </c>
      <c r="DB61" s="10"/>
      <c r="DC61" s="10"/>
      <c r="DD61" s="10"/>
      <c r="DE61" s="10"/>
      <c r="DI61" s="10"/>
      <c r="DJ61" s="10"/>
      <c r="DK61" s="10"/>
      <c r="DL61" s="10"/>
      <c r="DP61" s="10"/>
      <c r="DQ61" s="10"/>
      <c r="DR61" s="10"/>
      <c r="DS61" s="10"/>
    </row>
    <row r="62" spans="2:123" outlineLevel="1" x14ac:dyDescent="0.2">
      <c r="B62" t="s">
        <v>28</v>
      </c>
      <c r="C62" t="s">
        <v>142</v>
      </c>
      <c r="E62" s="9"/>
      <c r="F62" t="s">
        <v>147</v>
      </c>
      <c r="G62" s="10">
        <v>0.1</v>
      </c>
      <c r="I62" s="9">
        <f t="shared" si="5"/>
        <v>0</v>
      </c>
      <c r="J62" s="11" cm="1">
        <f t="array" ref="J62">MAX(IF($N$3:$EA$3=$J$3,N62:EA62))</f>
        <v>0</v>
      </c>
      <c r="K62" s="11" cm="1">
        <f t="array" ref="K62">MAX(IF($N$3:$EA$3=$J$3,N62:EA62))</f>
        <v>0</v>
      </c>
      <c r="L62" s="9"/>
      <c r="O62" s="10"/>
      <c r="P62" s="10"/>
      <c r="Q62" s="10"/>
      <c r="R62" s="10"/>
      <c r="V62" s="10"/>
      <c r="W62" s="10">
        <v>0.5</v>
      </c>
      <c r="X62" s="10"/>
      <c r="Y62" s="10">
        <v>0.5</v>
      </c>
      <c r="AC62" s="10"/>
      <c r="AD62" s="10">
        <v>0.8</v>
      </c>
      <c r="AE62" s="10"/>
      <c r="AF62" s="10">
        <v>0.8</v>
      </c>
      <c r="AJ62" s="10"/>
      <c r="AK62" s="10">
        <v>1</v>
      </c>
      <c r="AL62" s="10"/>
      <c r="AM62" s="10">
        <v>1</v>
      </c>
      <c r="AQ62" s="10"/>
      <c r="AR62" s="10">
        <v>1</v>
      </c>
      <c r="AS62" s="10"/>
      <c r="AT62" s="10">
        <v>1</v>
      </c>
      <c r="AX62" s="10"/>
      <c r="AY62" s="10">
        <v>1</v>
      </c>
      <c r="AZ62" s="10"/>
      <c r="BA62" s="10">
        <v>1</v>
      </c>
      <c r="BE62" s="10"/>
      <c r="BF62" s="10">
        <v>1</v>
      </c>
      <c r="BG62" s="10"/>
      <c r="BH62" s="10">
        <v>1</v>
      </c>
      <c r="BL62" s="10"/>
      <c r="BM62" s="10">
        <v>1</v>
      </c>
      <c r="BN62" s="10"/>
      <c r="BO62" s="10">
        <v>1</v>
      </c>
      <c r="BS62" s="10"/>
      <c r="BT62" s="10">
        <v>1</v>
      </c>
      <c r="BU62" s="10"/>
      <c r="BV62" s="10">
        <v>1</v>
      </c>
      <c r="BZ62" s="10"/>
      <c r="CA62" s="10">
        <v>1</v>
      </c>
      <c r="CB62" s="10"/>
      <c r="CC62" s="10">
        <v>1</v>
      </c>
      <c r="CG62" s="10"/>
      <c r="CH62" s="10">
        <v>1</v>
      </c>
      <c r="CI62" s="10"/>
      <c r="CJ62" s="10">
        <v>1</v>
      </c>
      <c r="CN62" s="10"/>
      <c r="CO62" s="10">
        <v>1</v>
      </c>
      <c r="CP62" s="10"/>
      <c r="CQ62" s="10">
        <v>1</v>
      </c>
      <c r="CU62" s="10"/>
      <c r="CV62" s="10">
        <v>1</v>
      </c>
      <c r="CW62" s="10"/>
      <c r="CX62" s="10">
        <v>1</v>
      </c>
      <c r="DB62" s="10"/>
      <c r="DC62" s="10"/>
      <c r="DD62" s="10"/>
      <c r="DE62" s="10"/>
      <c r="DI62" s="10"/>
      <c r="DJ62" s="10"/>
      <c r="DK62" s="10"/>
      <c r="DL62" s="10"/>
      <c r="DP62" s="10"/>
      <c r="DQ62" s="10"/>
      <c r="DR62" s="10"/>
      <c r="DS62" s="10"/>
    </row>
    <row r="63" spans="2:123" outlineLevel="1" x14ac:dyDescent="0.2">
      <c r="B63" t="s">
        <v>28</v>
      </c>
      <c r="C63" t="s">
        <v>142</v>
      </c>
      <c r="E63" s="9"/>
      <c r="F63" t="s">
        <v>148</v>
      </c>
      <c r="G63" s="10">
        <v>0.1</v>
      </c>
      <c r="I63" s="9">
        <f t="shared" si="5"/>
        <v>0</v>
      </c>
      <c r="J63" s="11" cm="1">
        <f t="array" ref="J63">MAX(IF($N$3:$EA$3=$J$3,N63:EA63))</f>
        <v>0</v>
      </c>
      <c r="K63" s="11" cm="1">
        <f t="array" ref="K63">MAX(IF($N$3:$EA$3=$J$3,N63:EA63))</f>
        <v>0</v>
      </c>
      <c r="L63" s="9"/>
      <c r="O63" s="10"/>
      <c r="P63" s="10"/>
      <c r="Q63" s="10"/>
      <c r="R63" s="10"/>
      <c r="V63" s="10"/>
      <c r="W63" s="10"/>
      <c r="X63" s="10"/>
      <c r="Y63" s="10"/>
      <c r="AC63" s="10"/>
      <c r="AD63" s="10">
        <v>0.5</v>
      </c>
      <c r="AE63" s="10"/>
      <c r="AF63" s="10">
        <v>0.5</v>
      </c>
      <c r="AJ63" s="10"/>
      <c r="AK63" s="10">
        <v>0.8</v>
      </c>
      <c r="AL63" s="10"/>
      <c r="AM63" s="10">
        <v>0.8</v>
      </c>
      <c r="AQ63" s="10"/>
      <c r="AR63" s="10">
        <v>1</v>
      </c>
      <c r="AS63" s="10"/>
      <c r="AT63" s="10">
        <v>1</v>
      </c>
      <c r="AX63" s="10"/>
      <c r="AY63" s="10">
        <v>1</v>
      </c>
      <c r="AZ63" s="10"/>
      <c r="BA63" s="10">
        <v>1</v>
      </c>
      <c r="BE63" s="10"/>
      <c r="BF63" s="10">
        <v>1</v>
      </c>
      <c r="BG63" s="10"/>
      <c r="BH63" s="10">
        <v>1</v>
      </c>
      <c r="BL63" s="10"/>
      <c r="BM63" s="10">
        <v>1</v>
      </c>
      <c r="BN63" s="10"/>
      <c r="BO63" s="10">
        <v>1</v>
      </c>
      <c r="BS63" s="10"/>
      <c r="BT63" s="10">
        <v>1</v>
      </c>
      <c r="BU63" s="10"/>
      <c r="BV63" s="10">
        <v>1</v>
      </c>
      <c r="BZ63" s="10"/>
      <c r="CA63" s="10">
        <v>1</v>
      </c>
      <c r="CB63" s="10"/>
      <c r="CC63" s="10">
        <v>1</v>
      </c>
      <c r="CG63" s="10"/>
      <c r="CH63" s="10">
        <v>1</v>
      </c>
      <c r="CI63" s="10"/>
      <c r="CJ63" s="10">
        <v>1</v>
      </c>
      <c r="CN63" s="10"/>
      <c r="CO63" s="10">
        <v>1</v>
      </c>
      <c r="CP63" s="10"/>
      <c r="CQ63" s="10">
        <v>1</v>
      </c>
      <c r="CU63" s="10"/>
      <c r="CV63" s="10">
        <v>1</v>
      </c>
      <c r="CW63" s="10"/>
      <c r="CX63" s="10">
        <v>1</v>
      </c>
      <c r="DB63" s="10"/>
      <c r="DC63" s="10"/>
      <c r="DD63" s="10"/>
      <c r="DE63" s="10"/>
      <c r="DI63" s="10"/>
      <c r="DJ63" s="10"/>
      <c r="DK63" s="10"/>
      <c r="DL63" s="10"/>
      <c r="DP63" s="10"/>
      <c r="DQ63" s="10"/>
      <c r="DR63" s="10"/>
      <c r="DS63" s="10"/>
    </row>
    <row r="64" spans="2:123" outlineLevel="1" x14ac:dyDescent="0.2">
      <c r="B64" t="s">
        <v>28</v>
      </c>
      <c r="C64" t="s">
        <v>142</v>
      </c>
      <c r="E64" s="9"/>
      <c r="F64" t="s">
        <v>149</v>
      </c>
      <c r="G64" s="10">
        <v>0.1</v>
      </c>
      <c r="I64" s="9">
        <f t="shared" si="5"/>
        <v>0</v>
      </c>
      <c r="J64" s="11" cm="1">
        <f t="array" ref="J64">MAX(IF($N$3:$EA$3=$J$3,N64:EA64))</f>
        <v>0</v>
      </c>
      <c r="K64" s="11" cm="1">
        <f t="array" ref="K64">MAX(IF($N$3:$EA$3=$J$3,N64:EA64))</f>
        <v>0</v>
      </c>
      <c r="L64" s="9"/>
      <c r="O64" s="10"/>
      <c r="P64" s="10"/>
      <c r="Q64" s="10"/>
      <c r="R64" s="10"/>
      <c r="V64" s="10"/>
      <c r="W64" s="10"/>
      <c r="X64" s="10"/>
      <c r="Y64" s="10"/>
      <c r="AC64" s="10"/>
      <c r="AD64" s="10"/>
      <c r="AE64" s="10"/>
      <c r="AF64" s="10"/>
      <c r="AJ64" s="10"/>
      <c r="AK64" s="10">
        <v>0.5</v>
      </c>
      <c r="AL64" s="10"/>
      <c r="AM64" s="10">
        <v>0.5</v>
      </c>
      <c r="AQ64" s="10"/>
      <c r="AR64" s="10">
        <v>0.8</v>
      </c>
      <c r="AS64" s="10"/>
      <c r="AT64" s="10">
        <v>0.8</v>
      </c>
      <c r="AX64" s="10"/>
      <c r="AY64" s="10">
        <v>1</v>
      </c>
      <c r="AZ64" s="10"/>
      <c r="BA64" s="10">
        <v>1</v>
      </c>
      <c r="BE64" s="10"/>
      <c r="BF64" s="10">
        <v>1</v>
      </c>
      <c r="BG64" s="10"/>
      <c r="BH64" s="10">
        <v>1</v>
      </c>
      <c r="BL64" s="10"/>
      <c r="BM64" s="10">
        <v>1</v>
      </c>
      <c r="BN64" s="10"/>
      <c r="BO64" s="10">
        <v>1</v>
      </c>
      <c r="BS64" s="10"/>
      <c r="BT64" s="10">
        <v>1</v>
      </c>
      <c r="BU64" s="10"/>
      <c r="BV64" s="10">
        <v>1</v>
      </c>
      <c r="BZ64" s="10"/>
      <c r="CA64" s="10">
        <v>1</v>
      </c>
      <c r="CB64" s="10"/>
      <c r="CC64" s="10">
        <v>1</v>
      </c>
      <c r="CG64" s="10"/>
      <c r="CH64" s="10">
        <v>1</v>
      </c>
      <c r="CI64" s="10"/>
      <c r="CJ64" s="10">
        <v>1</v>
      </c>
      <c r="CN64" s="10"/>
      <c r="CO64" s="10">
        <v>1</v>
      </c>
      <c r="CP64" s="10"/>
      <c r="CQ64" s="10">
        <v>1</v>
      </c>
      <c r="CU64" s="10"/>
      <c r="CV64" s="10">
        <v>1</v>
      </c>
      <c r="CW64" s="10"/>
      <c r="CX64" s="10">
        <v>1</v>
      </c>
      <c r="DB64" s="10"/>
      <c r="DC64" s="10"/>
      <c r="DD64" s="10"/>
      <c r="DE64" s="10"/>
      <c r="DI64" s="10"/>
      <c r="DJ64" s="10"/>
      <c r="DK64" s="10"/>
      <c r="DL64" s="10"/>
      <c r="DP64" s="10"/>
      <c r="DQ64" s="10"/>
      <c r="DR64" s="10"/>
      <c r="DS64" s="10"/>
    </row>
    <row r="65" spans="2:123" outlineLevel="1" x14ac:dyDescent="0.2">
      <c r="B65" t="s">
        <v>28</v>
      </c>
      <c r="C65" t="s">
        <v>142</v>
      </c>
      <c r="E65" s="9"/>
      <c r="F65" t="s">
        <v>150</v>
      </c>
      <c r="G65" s="10">
        <v>0.1</v>
      </c>
      <c r="I65" s="9">
        <f t="shared" si="5"/>
        <v>0</v>
      </c>
      <c r="J65" s="11" cm="1">
        <f t="array" ref="J65">MAX(IF($N$3:$EA$3=$J$3,N65:EA65))</f>
        <v>0</v>
      </c>
      <c r="K65" s="11" cm="1">
        <f t="array" ref="K65">MAX(IF($N$3:$EA$3=$J$3,N65:EA65))</f>
        <v>0</v>
      </c>
      <c r="L65" s="9"/>
      <c r="O65" s="10"/>
      <c r="P65" s="10"/>
      <c r="Q65" s="10"/>
      <c r="R65" s="10"/>
      <c r="V65" s="10"/>
      <c r="W65" s="10"/>
      <c r="X65" s="10"/>
      <c r="Y65" s="10"/>
      <c r="AC65" s="10"/>
      <c r="AD65" s="10"/>
      <c r="AE65" s="10"/>
      <c r="AF65" s="10"/>
      <c r="AJ65" s="10"/>
      <c r="AK65" s="10">
        <v>0.5</v>
      </c>
      <c r="AL65" s="10"/>
      <c r="AM65" s="10">
        <v>0.5</v>
      </c>
      <c r="AQ65" s="10"/>
      <c r="AR65" s="10">
        <v>0.8</v>
      </c>
      <c r="AS65" s="10"/>
      <c r="AT65" s="10">
        <v>0.8</v>
      </c>
      <c r="AX65" s="10"/>
      <c r="AY65" s="10">
        <v>1</v>
      </c>
      <c r="AZ65" s="10"/>
      <c r="BA65" s="10">
        <v>1</v>
      </c>
      <c r="BE65" s="10"/>
      <c r="BF65" s="10">
        <v>1</v>
      </c>
      <c r="BG65" s="10"/>
      <c r="BH65" s="10">
        <v>1</v>
      </c>
      <c r="BL65" s="10"/>
      <c r="BM65" s="10">
        <v>1</v>
      </c>
      <c r="BN65" s="10"/>
      <c r="BO65" s="10">
        <v>1</v>
      </c>
      <c r="BS65" s="10"/>
      <c r="BT65" s="10">
        <v>1</v>
      </c>
      <c r="BU65" s="10"/>
      <c r="BV65" s="10">
        <v>1</v>
      </c>
      <c r="BZ65" s="10"/>
      <c r="CA65" s="10">
        <v>1</v>
      </c>
      <c r="CB65" s="10"/>
      <c r="CC65" s="10">
        <v>1</v>
      </c>
      <c r="CG65" s="10"/>
      <c r="CH65" s="10">
        <v>1</v>
      </c>
      <c r="CI65" s="10"/>
      <c r="CJ65" s="10">
        <v>1</v>
      </c>
      <c r="CN65" s="10"/>
      <c r="CO65" s="10">
        <v>1</v>
      </c>
      <c r="CP65" s="10"/>
      <c r="CQ65" s="10">
        <v>1</v>
      </c>
      <c r="CU65" s="10"/>
      <c r="CV65" s="10">
        <v>1</v>
      </c>
      <c r="CW65" s="10"/>
      <c r="CX65" s="10">
        <v>1</v>
      </c>
      <c r="DB65" s="10"/>
      <c r="DC65" s="10"/>
      <c r="DD65" s="10"/>
      <c r="DE65" s="10"/>
      <c r="DI65" s="10"/>
      <c r="DJ65" s="10"/>
      <c r="DK65" s="10"/>
      <c r="DL65" s="10"/>
      <c r="DP65" s="10"/>
      <c r="DQ65" s="10"/>
      <c r="DR65" s="10"/>
      <c r="DS65" s="10"/>
    </row>
    <row r="66" spans="2:123" outlineLevel="1" x14ac:dyDescent="0.2">
      <c r="B66" t="s">
        <v>28</v>
      </c>
      <c r="C66" t="s">
        <v>142</v>
      </c>
      <c r="E66" s="9"/>
      <c r="F66" t="s">
        <v>151</v>
      </c>
      <c r="G66" s="10">
        <v>0.1</v>
      </c>
      <c r="I66" s="9">
        <f t="shared" si="5"/>
        <v>0</v>
      </c>
      <c r="J66" s="11" cm="1">
        <f t="array" ref="J66">MAX(IF($N$3:$EA$3=$J$3,N66:EA66))</f>
        <v>0</v>
      </c>
      <c r="K66" s="11" cm="1">
        <f t="array" ref="K66">MAX(IF($N$3:$EA$3=$J$3,N66:EA66))</f>
        <v>0</v>
      </c>
      <c r="L66" s="9"/>
      <c r="O66" s="10"/>
      <c r="P66" s="10"/>
      <c r="Q66" s="10"/>
      <c r="R66" s="10"/>
      <c r="V66" s="10"/>
      <c r="W66" s="10"/>
      <c r="X66" s="10"/>
      <c r="Y66" s="10"/>
      <c r="AC66" s="10"/>
      <c r="AD66" s="10"/>
      <c r="AE66" s="10"/>
      <c r="AF66" s="10"/>
      <c r="AJ66" s="10"/>
      <c r="AK66" s="10"/>
      <c r="AL66" s="10"/>
      <c r="AM66" s="10"/>
      <c r="AQ66" s="10"/>
      <c r="AR66" s="10">
        <v>0.5</v>
      </c>
      <c r="AS66" s="10"/>
      <c r="AT66" s="10">
        <v>0.5</v>
      </c>
      <c r="AX66" s="10"/>
      <c r="AY66" s="10">
        <v>0.8</v>
      </c>
      <c r="AZ66" s="10"/>
      <c r="BA66" s="10">
        <v>0.8</v>
      </c>
      <c r="BE66" s="10"/>
      <c r="BF66" s="10">
        <v>1</v>
      </c>
      <c r="BG66" s="10"/>
      <c r="BH66" s="10">
        <v>1</v>
      </c>
      <c r="BL66" s="10"/>
      <c r="BM66" s="10">
        <v>1</v>
      </c>
      <c r="BN66" s="10"/>
      <c r="BO66" s="10">
        <v>1</v>
      </c>
      <c r="BS66" s="10"/>
      <c r="BT66" s="10">
        <v>1</v>
      </c>
      <c r="BU66" s="10"/>
      <c r="BV66" s="10">
        <v>1</v>
      </c>
      <c r="BZ66" s="10"/>
      <c r="CA66" s="10">
        <v>1</v>
      </c>
      <c r="CB66" s="10"/>
      <c r="CC66" s="10">
        <v>1</v>
      </c>
      <c r="CG66" s="10"/>
      <c r="CH66" s="10">
        <v>1</v>
      </c>
      <c r="CI66" s="10"/>
      <c r="CJ66" s="10">
        <v>1</v>
      </c>
      <c r="CN66" s="10"/>
      <c r="CO66" s="10">
        <v>1</v>
      </c>
      <c r="CP66" s="10"/>
      <c r="CQ66" s="10">
        <v>1</v>
      </c>
      <c r="CU66" s="10"/>
      <c r="CV66" s="10">
        <v>1</v>
      </c>
      <c r="CW66" s="10"/>
      <c r="CX66" s="10">
        <v>1</v>
      </c>
      <c r="DB66" s="10"/>
      <c r="DC66" s="10"/>
      <c r="DD66" s="10"/>
      <c r="DE66" s="10"/>
      <c r="DI66" s="10"/>
      <c r="DJ66" s="10"/>
      <c r="DK66" s="10"/>
      <c r="DL66" s="10"/>
      <c r="DP66" s="10"/>
      <c r="DQ66" s="10"/>
      <c r="DR66" s="10"/>
      <c r="DS66" s="10"/>
    </row>
    <row r="67" spans="2:123" outlineLevel="1" x14ac:dyDescent="0.2">
      <c r="B67" t="s">
        <v>28</v>
      </c>
      <c r="C67" t="s">
        <v>142</v>
      </c>
      <c r="E67" s="9"/>
      <c r="F67" t="s">
        <v>152</v>
      </c>
      <c r="G67" s="10">
        <v>0.1</v>
      </c>
      <c r="I67" s="9">
        <f t="shared" si="5"/>
        <v>0</v>
      </c>
      <c r="J67" s="11" cm="1">
        <f t="array" ref="J67">MAX(IF($N$3:$EA$3=$J$3,N67:EA67))</f>
        <v>0</v>
      </c>
      <c r="K67" s="11" cm="1">
        <f t="array" ref="K67">MAX(IF($N$3:$EA$3=$J$3,N67:EA67))</f>
        <v>0</v>
      </c>
      <c r="L67" s="9"/>
      <c r="O67" s="10"/>
      <c r="P67" s="10"/>
      <c r="Q67" s="10"/>
      <c r="R67" s="10"/>
      <c r="V67" s="10"/>
      <c r="W67" s="10"/>
      <c r="X67" s="10"/>
      <c r="Y67" s="10"/>
      <c r="AC67" s="10"/>
      <c r="AD67" s="10"/>
      <c r="AE67" s="10"/>
      <c r="AF67" s="10"/>
      <c r="AJ67" s="10"/>
      <c r="AK67" s="10"/>
      <c r="AL67" s="10"/>
      <c r="AQ67" s="10"/>
      <c r="AR67" s="10">
        <v>0.5</v>
      </c>
      <c r="AS67" s="10"/>
      <c r="AT67" s="10">
        <v>0.5</v>
      </c>
      <c r="AX67" s="10"/>
      <c r="AY67" s="10">
        <v>0.8</v>
      </c>
      <c r="AZ67" s="10"/>
      <c r="BA67" s="10">
        <v>0.8</v>
      </c>
      <c r="BE67" s="10"/>
      <c r="BF67" s="10">
        <v>1</v>
      </c>
      <c r="BG67" s="10"/>
      <c r="BH67" s="10">
        <v>1</v>
      </c>
      <c r="BL67" s="10"/>
      <c r="BM67" s="10">
        <v>1</v>
      </c>
      <c r="BN67" s="10"/>
      <c r="BO67" s="10">
        <v>1</v>
      </c>
      <c r="BS67" s="10"/>
      <c r="BT67" s="10">
        <v>1</v>
      </c>
      <c r="BU67" s="10"/>
      <c r="BV67" s="10">
        <v>1</v>
      </c>
      <c r="BZ67" s="10"/>
      <c r="CA67" s="10">
        <v>1</v>
      </c>
      <c r="CB67" s="10"/>
      <c r="CC67" s="10">
        <v>1</v>
      </c>
      <c r="CG67" s="10"/>
      <c r="CH67" s="10">
        <v>1</v>
      </c>
      <c r="CI67" s="10"/>
      <c r="CJ67" s="10">
        <v>1</v>
      </c>
      <c r="CN67" s="10"/>
      <c r="CO67" s="10">
        <v>1</v>
      </c>
      <c r="CP67" s="10"/>
      <c r="CQ67" s="10">
        <v>1</v>
      </c>
      <c r="CU67" s="10"/>
      <c r="CV67" s="10">
        <v>1</v>
      </c>
      <c r="CW67" s="10"/>
      <c r="CX67" s="10">
        <v>1</v>
      </c>
      <c r="DB67" s="10"/>
      <c r="DC67" s="10"/>
      <c r="DD67" s="10"/>
      <c r="DE67" s="10"/>
      <c r="DI67" s="10"/>
      <c r="DJ67" s="10"/>
      <c r="DK67" s="10"/>
      <c r="DL67" s="10"/>
      <c r="DP67" s="10"/>
      <c r="DQ67" s="10"/>
      <c r="DR67" s="10"/>
      <c r="DS67" s="10"/>
    </row>
    <row r="68" spans="2:123" x14ac:dyDescent="0.2">
      <c r="BF68" s="10"/>
      <c r="BM68" s="10"/>
    </row>
  </sheetData>
  <mergeCells count="17">
    <mergeCell ref="BK2:BP2"/>
    <mergeCell ref="BR2:BW2"/>
    <mergeCell ref="BY2:CD2"/>
    <mergeCell ref="CF2:CK2"/>
    <mergeCell ref="I2:L2"/>
    <mergeCell ref="N2:S2"/>
    <mergeCell ref="BD2:BI2"/>
    <mergeCell ref="U2:Z2"/>
    <mergeCell ref="AB2:AG2"/>
    <mergeCell ref="AI2:AN2"/>
    <mergeCell ref="AP2:AU2"/>
    <mergeCell ref="AW2:BB2"/>
    <mergeCell ref="DA2:DF2"/>
    <mergeCell ref="DH2:DM2"/>
    <mergeCell ref="DO2:DT2"/>
    <mergeCell ref="CM2:CR2"/>
    <mergeCell ref="CT2:CY2"/>
  </mergeCells>
  <conditionalFormatting sqref="J5:J10">
    <cfRule type="colorScale" priority="670">
      <colorScale>
        <cfvo type="percent" val="0"/>
        <cfvo type="percent" val="100"/>
        <color rgb="FFFF231B"/>
        <color rgb="FF10FF07"/>
      </colorScale>
    </cfRule>
  </conditionalFormatting>
  <conditionalFormatting sqref="J14">
    <cfRule type="colorScale" priority="218">
      <colorScale>
        <cfvo type="percent" val="0"/>
        <cfvo type="percent" val="100"/>
        <color rgb="FFFF231B"/>
        <color rgb="FF10FF07"/>
      </colorScale>
    </cfRule>
  </conditionalFormatting>
  <conditionalFormatting sqref="J15">
    <cfRule type="colorScale" priority="199">
      <colorScale>
        <cfvo type="percent" val="0"/>
        <cfvo type="percent" val="100"/>
        <color rgb="FFFF231B"/>
        <color rgb="FF10FF07"/>
      </colorScale>
    </cfRule>
  </conditionalFormatting>
  <conditionalFormatting sqref="J16:J18 J13">
    <cfRule type="colorScale" priority="826">
      <colorScale>
        <cfvo type="percent" val="0"/>
        <cfvo type="percent" val="100"/>
        <color rgb="FFFF231B"/>
        <color rgb="FF10FF07"/>
      </colorScale>
    </cfRule>
  </conditionalFormatting>
  <conditionalFormatting sqref="J21:J27">
    <cfRule type="colorScale" priority="830">
      <colorScale>
        <cfvo type="percent" val="0"/>
        <cfvo type="percent" val="100"/>
        <color rgb="FFFF231B"/>
        <color rgb="FF10FF07"/>
      </colorScale>
    </cfRule>
  </conditionalFormatting>
  <conditionalFormatting sqref="J30:J35">
    <cfRule type="colorScale" priority="833">
      <colorScale>
        <cfvo type="percent" val="0"/>
        <cfvo type="percent" val="100"/>
        <color rgb="FFFF231B"/>
        <color rgb="FF10FF07"/>
      </colorScale>
    </cfRule>
  </conditionalFormatting>
  <conditionalFormatting sqref="J38:J41">
    <cfRule type="colorScale" priority="960">
      <colorScale>
        <cfvo type="percent" val="0"/>
        <cfvo type="percent" val="100"/>
        <color rgb="FFFF231B"/>
        <color rgb="FF10FF07"/>
      </colorScale>
    </cfRule>
  </conditionalFormatting>
  <conditionalFormatting sqref="J44:J49">
    <cfRule type="colorScale" priority="901">
      <colorScale>
        <cfvo type="percent" val="0"/>
        <cfvo type="percent" val="100"/>
        <color rgb="FFFF231B"/>
        <color rgb="FF10FF07"/>
      </colorScale>
    </cfRule>
  </conditionalFormatting>
  <conditionalFormatting sqref="J52:J55">
    <cfRule type="colorScale" priority="842">
      <colorScale>
        <cfvo type="percent" val="0"/>
        <cfvo type="percent" val="100"/>
        <color rgb="FFFF231B"/>
        <color rgb="FF10FF07"/>
      </colorScale>
    </cfRule>
  </conditionalFormatting>
  <conditionalFormatting sqref="J58:J67">
    <cfRule type="colorScale" priority="38">
      <colorScale>
        <cfvo type="percent" val="0"/>
        <cfvo type="percent" val="100"/>
        <color rgb="FFFF231B"/>
        <color rgb="FF10FF07"/>
      </colorScale>
    </cfRule>
  </conditionalFormatting>
  <conditionalFormatting sqref="J6:K10">
    <cfRule type="colorScale" priority="641">
      <colorScale>
        <cfvo type="percent" val="0"/>
        <cfvo type="percent" val="100"/>
        <color rgb="FFFF231B"/>
        <color rgb="FF10FF07"/>
      </colorScale>
    </cfRule>
  </conditionalFormatting>
  <conditionalFormatting sqref="J14:K14">
    <cfRule type="colorScale" priority="219">
      <colorScale>
        <cfvo type="percent" val="0"/>
        <cfvo type="percent" val="100"/>
        <color rgb="FFFF231B"/>
        <color rgb="FF10FF07"/>
      </colorScale>
    </cfRule>
  </conditionalFormatting>
  <conditionalFormatting sqref="J15:K15">
    <cfRule type="colorScale" priority="200">
      <colorScale>
        <cfvo type="percent" val="0"/>
        <cfvo type="percent" val="100"/>
        <color rgb="FFFF231B"/>
        <color rgb="FF10FF07"/>
      </colorScale>
    </cfRule>
  </conditionalFormatting>
  <conditionalFormatting sqref="J16:K18">
    <cfRule type="colorScale" priority="828">
      <colorScale>
        <cfvo type="percent" val="0"/>
        <cfvo type="percent" val="100"/>
        <color rgb="FFFF231B"/>
        <color rgb="FF10FF07"/>
      </colorScale>
    </cfRule>
  </conditionalFormatting>
  <conditionalFormatting sqref="J22:K27">
    <cfRule type="colorScale" priority="831">
      <colorScale>
        <cfvo type="percent" val="0"/>
        <cfvo type="percent" val="100"/>
        <color rgb="FFFF231B"/>
        <color rgb="FF10FF07"/>
      </colorScale>
    </cfRule>
  </conditionalFormatting>
  <conditionalFormatting sqref="J31:K35">
    <cfRule type="colorScale" priority="834">
      <colorScale>
        <cfvo type="percent" val="0"/>
        <cfvo type="percent" val="100"/>
        <color rgb="FFFF231B"/>
        <color rgb="FF10FF07"/>
      </colorScale>
    </cfRule>
  </conditionalFormatting>
  <conditionalFormatting sqref="J39:K41">
    <cfRule type="colorScale" priority="961">
      <colorScale>
        <cfvo type="percent" val="0"/>
        <cfvo type="percent" val="100"/>
        <color rgb="FFFF231B"/>
        <color rgb="FF10FF07"/>
      </colorScale>
    </cfRule>
  </conditionalFormatting>
  <conditionalFormatting sqref="J45:K49">
    <cfRule type="colorScale" priority="902">
      <colorScale>
        <cfvo type="percent" val="0"/>
        <cfvo type="percent" val="100"/>
        <color rgb="FFFF231B"/>
        <color rgb="FF10FF07"/>
      </colorScale>
    </cfRule>
  </conditionalFormatting>
  <conditionalFormatting sqref="J53:K55">
    <cfRule type="colorScale" priority="843">
      <colorScale>
        <cfvo type="percent" val="0"/>
        <cfvo type="percent" val="100"/>
        <color rgb="FFFF231B"/>
        <color rgb="FF10FF07"/>
      </colorScale>
    </cfRule>
  </conditionalFormatting>
  <conditionalFormatting sqref="J59:K67">
    <cfRule type="colorScale" priority="37">
      <colorScale>
        <cfvo type="percent" val="0"/>
        <cfvo type="percent" val="100"/>
        <color rgb="FFFF231B"/>
        <color rgb="FF10FF07"/>
      </colorScale>
    </cfRule>
  </conditionalFormatting>
  <conditionalFormatting sqref="K5:K10">
    <cfRule type="colorScale" priority="671">
      <colorScale>
        <cfvo type="percent" val="0"/>
        <cfvo type="percent" val="100"/>
        <color rgb="FFFF231B"/>
        <color rgb="FF10FF07"/>
      </colorScale>
    </cfRule>
  </conditionalFormatting>
  <conditionalFormatting sqref="K14">
    <cfRule type="colorScale" priority="217">
      <colorScale>
        <cfvo type="percent" val="0"/>
        <cfvo type="percent" val="100"/>
        <color rgb="FFFF231B"/>
        <color rgb="FF10FF07"/>
      </colorScale>
    </cfRule>
  </conditionalFormatting>
  <conditionalFormatting sqref="K15">
    <cfRule type="colorScale" priority="198">
      <colorScale>
        <cfvo type="percent" val="0"/>
        <cfvo type="percent" val="100"/>
        <color rgb="FFFF231B"/>
        <color rgb="FF10FF07"/>
      </colorScale>
    </cfRule>
  </conditionalFormatting>
  <conditionalFormatting sqref="K16:K18 K13">
    <cfRule type="colorScale" priority="829">
      <colorScale>
        <cfvo type="percent" val="0"/>
        <cfvo type="percent" val="100"/>
        <color rgb="FFFF231B"/>
        <color rgb="FF10FF07"/>
      </colorScale>
    </cfRule>
  </conditionalFormatting>
  <conditionalFormatting sqref="K21:K27">
    <cfRule type="colorScale" priority="832">
      <colorScale>
        <cfvo type="percent" val="0"/>
        <cfvo type="percent" val="100"/>
        <color rgb="FFFF231B"/>
        <color rgb="FF10FF07"/>
      </colorScale>
    </cfRule>
  </conditionalFormatting>
  <conditionalFormatting sqref="K30:K35">
    <cfRule type="colorScale" priority="835">
      <colorScale>
        <cfvo type="percent" val="0"/>
        <cfvo type="percent" val="100"/>
        <color rgb="FFFF231B"/>
        <color rgb="FF10FF07"/>
      </colorScale>
    </cfRule>
  </conditionalFormatting>
  <conditionalFormatting sqref="K38:K41">
    <cfRule type="colorScale" priority="962">
      <colorScale>
        <cfvo type="percent" val="0"/>
        <cfvo type="percent" val="100"/>
        <color rgb="FFFF231B"/>
        <color rgb="FF10FF07"/>
      </colorScale>
    </cfRule>
  </conditionalFormatting>
  <conditionalFormatting sqref="K44:K49">
    <cfRule type="colorScale" priority="903">
      <colorScale>
        <cfvo type="percent" val="0"/>
        <cfvo type="percent" val="100"/>
        <color rgb="FFFF231B"/>
        <color rgb="FF10FF07"/>
      </colorScale>
    </cfRule>
  </conditionalFormatting>
  <conditionalFormatting sqref="K52:K55">
    <cfRule type="colorScale" priority="844">
      <colorScale>
        <cfvo type="percent" val="0"/>
        <cfvo type="percent" val="100"/>
        <color rgb="FFFF231B"/>
        <color rgb="FF10FF07"/>
      </colorScale>
    </cfRule>
  </conditionalFormatting>
  <conditionalFormatting sqref="K58:K67">
    <cfRule type="colorScale" priority="39">
      <colorScale>
        <cfvo type="percent" val="0"/>
        <cfvo type="percent" val="100"/>
        <color rgb="FFFF231B"/>
        <color rgb="FF10FF07"/>
      </colorScale>
    </cfRule>
  </conditionalFormatting>
  <conditionalFormatting sqref="O58:O67 Q58:Q67 V58:V67 X58:X67 AC58:AC67 AE58:AE67 AJ58:AJ67 AQ58:AQ67 AS58:AS67 AX58:AX67 AZ58:AZ67 BE58:BE67 BG58:BG67 BL58:BL67 BN58:BN67">
    <cfRule type="expression" dxfId="59" priority="35">
      <formula>OR(IF(O58&lt;P58,TRUE),IF(AND(P58="",O58&lt;&gt;""),TRUE))</formula>
    </cfRule>
    <cfRule type="expression" dxfId="58" priority="36">
      <formula>IF(O58&gt;=P58,IF(O58="",FALSE,TRUE))</formula>
    </cfRule>
  </conditionalFormatting>
  <conditionalFormatting sqref="AL5:AL9 AZ5:AZ9 O5:O10 Q5:Q10 V5:V10 X5:X10 AC5:AC10 AE5:AE10 AJ5:AJ10 AQ5:AQ10 AS5:AS10 AX5:AX10 BE5:BE10 BG5:BG10 BL5:BL10 BN5:BN10 O13:O18 Q13:Q18 V13:V18 X13:X18 AC13:AC18 AE13:AE18 AJ13:AJ18 AL13:AL18 AQ13:AQ18 AS13:AS18 AX13:AX18 AZ13:AZ18 BE13:BE18 BG13:BG18 BL13:BL18 BN13:BN18 BS13:BS18 BU13:BU18 BZ13:BZ18 CB13:CB18 CG13:CG18 CI13:CI18 CN13:CN18 CP13:CP18 CU13:CU18 CW13:CW18 O21:O27 Q21:Q27 V21:V27 X21:X27 AC21:AC27 AE21:AE27 AJ21:AJ27 AL21:AL27 AQ21:AQ27 AS21:AS27 AX21:AX27 AZ21:AZ27 BE21:BE27 BG21:BG27 BL21:BL27 BN21:BN27 BS21:BS27 BU21:BU27 BZ21:BZ27 CB21:CB27 CG21:CG27 CI21:CI27 CN21:CN27 CP21:CP27 CU21:CU27 CW21:CW27 CG30:CG31 O30:O35 Q30:Q35 V30:V35 X30:X35 AC30:AC35 AE30:AE35 AJ30:AJ35 AL30:AL35 AQ30:AQ35 AS30:AS35 AX30:AX35 AZ30:AZ35 BE30:BE35 BG30:BG35 BL30:BL35 BN30:BN35 BS30:BS35 BU30:BU35 BZ30:BZ35 CB30:CB35 CI30:CI35 CN30:CN35 CU30:CU35 CW30:CW35 CP31:CP35 CG34:CG35 O38:O41 Q38:Q41 V38:V41 X38:X41 AC38:AC41 AE38:AE41 AJ38:AJ41 AL38:AL41 AQ38:AQ41 AS38:AS41 AX38:AX41 AZ38:AZ41 BE38:BE41 BG38:BG41 BL38:BL41 BN38:BN41 BS38:BS41 BU38:BU41 BZ38:BZ41 CB38:CB41 CG38:CG41 CI38:CI41 CN38:CN41 CP38:CP41 CU38:CU41 CW38:CW41 O44:O49 Q44:Q49 V44:V49 X44:X49 AC44:AC49 AE44:AE49 AJ44:AJ49 AL44:AL49 AQ44:AQ49 AS44:AS49 AX44:AX49 AZ44:AZ49 BE44:BE49 BG44:BG49 BL44:BL49 BN44:BN49 BS44:BS49 BU44:BU49 BZ44:BZ49 CB44:CB49 CG44:CG49 CI44:CI49 CN44:CN49 CP44:CP49 CU44:CU49 CW44:CW49 O52:O55 Q52:Q55 V52:V55 X52:X55 AC52:AC55 AE52:AE55 AJ52:AJ55 AL52:AL55 AQ52:AQ55 AS52:AS55 AX52:AX55 AZ52:AZ55 BE52:BE55 BG52:BG55 BL52:BL55 BN52:BN55 BS52:BS55 BU52:BU55 BZ52:BZ55 CB52:CB55 CG52:CG55 CI52:CI55 CN52:CN55 CP52:CP55 CU52:CU55 CW52:CW55 AL58:AL65">
    <cfRule type="expression" dxfId="57" priority="639">
      <formula>IF(O5&gt;=P5,IF(O5="",FALSE,TRUE))</formula>
    </cfRule>
    <cfRule type="expression" dxfId="56" priority="638">
      <formula>OR(IF(O5&lt;P5,TRUE),IF(AND(P5="",O5&lt;&gt;""),TRUE))</formula>
    </cfRule>
  </conditionalFormatting>
  <conditionalFormatting sqref="AL10 AZ10 CP30 CG32 AL66">
    <cfRule type="expression" dxfId="55" priority="965">
      <formula>OR(IF(AL10&lt;#REF!,TRUE),IF(AND(#REF!="",AL10&lt;&gt;""),TRUE))</formula>
    </cfRule>
    <cfRule type="expression" dxfId="54" priority="966">
      <formula>IF(AL10&gt;=#REF!,IF(AL10="",FALSE,TRUE))</formula>
    </cfRule>
  </conditionalFormatting>
  <conditionalFormatting sqref="BS5:BS10">
    <cfRule type="expression" dxfId="53" priority="175">
      <formula>IF(BS5&gt;=BT5,IF(BS5="",FALSE,TRUE))</formula>
    </cfRule>
    <cfRule type="expression" dxfId="52" priority="174">
      <formula>OR(IF(BS5&lt;BT5,TRUE),IF(AND(BT5="",BS5&lt;&gt;""),TRUE))</formula>
    </cfRule>
  </conditionalFormatting>
  <conditionalFormatting sqref="BS58:BS67 BU58:BU67">
    <cfRule type="expression" dxfId="51" priority="31">
      <formula>OR(IF(BS58&lt;BT58,TRUE),IF(AND(BT58="",BS58&lt;&gt;""),TRUE))</formula>
    </cfRule>
    <cfRule type="expression" dxfId="50" priority="32">
      <formula>IF(BS58&gt;=BT58,IF(BS58="",FALSE,TRUE))</formula>
    </cfRule>
  </conditionalFormatting>
  <conditionalFormatting sqref="BU5:BU10">
    <cfRule type="expression" dxfId="49" priority="75">
      <formula>IF(BU5&gt;=BV5,IF(BU5="",FALSE,TRUE))</formula>
    </cfRule>
    <cfRule type="expression" dxfId="48" priority="74">
      <formula>OR(IF(BU5&lt;BV5,TRUE),IF(AND(BV5="",BU5&lt;&gt;""),TRUE))</formula>
    </cfRule>
  </conditionalFormatting>
  <conditionalFormatting sqref="BZ5:BZ10 CB5:CB10">
    <cfRule type="expression" dxfId="47" priority="155">
      <formula>IF(BZ5&gt;=CA5,IF(BZ5="",FALSE,TRUE))</formula>
    </cfRule>
    <cfRule type="expression" dxfId="46" priority="154">
      <formula>OR(IF(BZ5&lt;CA5,TRUE),IF(AND(CA5="",BZ5&lt;&gt;""),TRUE))</formula>
    </cfRule>
  </conditionalFormatting>
  <conditionalFormatting sqref="BZ58:BZ67 CB58:CB67">
    <cfRule type="expression" dxfId="45" priority="30">
      <formula>IF(BZ58&gt;=CA58,IF(BZ58="",FALSE,TRUE))</formula>
    </cfRule>
    <cfRule type="expression" dxfId="44" priority="29">
      <formula>OR(IF(BZ58&lt;CA58,TRUE),IF(AND(CA58="",BZ58&lt;&gt;""),TRUE))</formula>
    </cfRule>
  </conditionalFormatting>
  <conditionalFormatting sqref="CG5:CG10 CI5:CI10">
    <cfRule type="expression" dxfId="43" priority="135">
      <formula>IF(CG5&gt;=CH5,IF(CG5="",FALSE,TRUE))</formula>
    </cfRule>
    <cfRule type="expression" dxfId="42" priority="134">
      <formula>OR(IF(CG5&lt;CH5,TRUE),IF(AND(CH5="",CG5&lt;&gt;""),TRUE))</formula>
    </cfRule>
  </conditionalFormatting>
  <conditionalFormatting sqref="CG33 AL67">
    <cfRule type="expression" dxfId="41" priority="970">
      <formula>IF(AL33&gt;=AM32,IF(AL33="",FALSE,TRUE))</formula>
    </cfRule>
    <cfRule type="expression" dxfId="40" priority="969">
      <formula>OR(IF(AL33&lt;AM32,TRUE),IF(AND(AM32="",AL33&lt;&gt;""),TRUE))</formula>
    </cfRule>
  </conditionalFormatting>
  <conditionalFormatting sqref="CG58:CG67 CI58:CI67">
    <cfRule type="expression" dxfId="39" priority="27">
      <formula>OR(IF(CG58&lt;CH58,TRUE),IF(AND(CH58="",CG58&lt;&gt;""),TRUE))</formula>
    </cfRule>
    <cfRule type="expression" dxfId="38" priority="28">
      <formula>IF(CG58&gt;=CH58,IF(CG58="",FALSE,TRUE))</formula>
    </cfRule>
  </conditionalFormatting>
  <conditionalFormatting sqref="CN5:CN10 CP5:CP10">
    <cfRule type="expression" dxfId="37" priority="114">
      <formula>OR(IF(CN5&lt;CO5,TRUE),IF(AND(CO5="",CN5&lt;&gt;""),TRUE))</formula>
    </cfRule>
    <cfRule type="expression" dxfId="36" priority="115">
      <formula>IF(CN5&gt;=CO5,IF(CN5="",FALSE,TRUE))</formula>
    </cfRule>
  </conditionalFormatting>
  <conditionalFormatting sqref="CN58:CN67 CP58:CP67">
    <cfRule type="expression" dxfId="35" priority="26">
      <formula>IF(CN58&gt;=CO58,IF(CN58="",FALSE,TRUE))</formula>
    </cfRule>
    <cfRule type="expression" dxfId="34" priority="25">
      <formula>OR(IF(CN58&lt;CO58,TRUE),IF(AND(CO58="",CN58&lt;&gt;""),TRUE))</formula>
    </cfRule>
  </conditionalFormatting>
  <conditionalFormatting sqref="CU5:CU10 CW5:CW10">
    <cfRule type="expression" dxfId="33" priority="22">
      <formula>IF(CU5&gt;=CV5,IF(CU5="",FALSE,TRUE))</formula>
    </cfRule>
    <cfRule type="expression" dxfId="32" priority="21">
      <formula>OR(IF(CU5&lt;CV5,TRUE),IF(AND(CV5="",CU5&lt;&gt;""),TRUE))</formula>
    </cfRule>
  </conditionalFormatting>
  <conditionalFormatting sqref="CU58:CU67 CW58:CW67">
    <cfRule type="expression" dxfId="31" priority="20">
      <formula>IF(CU58&gt;=CV58,IF(CU58="",FALSE,TRUE))</formula>
    </cfRule>
    <cfRule type="expression" dxfId="30" priority="19">
      <formula>OR(IF(CU58&lt;CV58,TRUE),IF(AND(CV58="",CU58&lt;&gt;""),TRUE))</formula>
    </cfRule>
  </conditionalFormatting>
  <conditionalFormatting sqref="DB5:DB10 DD5:DD10">
    <cfRule type="expression" dxfId="29" priority="16">
      <formula>IF(DB5&gt;=DC5,IF(DB5="",FALSE,TRUE))</formula>
    </cfRule>
    <cfRule type="expression" dxfId="28" priority="15">
      <formula>OR(IF(DB5&lt;DC5,TRUE),IF(AND(DC5="",DB5&lt;&gt;""),TRUE))</formula>
    </cfRule>
  </conditionalFormatting>
  <conditionalFormatting sqref="DB13:DB18 DD13:DD18 DB21:DB27 DD21:DD27 DB30:DB35 DD30:DD35 DB38:DB41 DD38:DD41 DB44:DB49 DD44:DD49 DB52:DB55 DD52:DD55">
    <cfRule type="expression" dxfId="27" priority="18">
      <formula>IF(DB13&gt;=DC13,IF(DB13="",FALSE,TRUE))</formula>
    </cfRule>
    <cfRule type="expression" dxfId="26" priority="17">
      <formula>OR(IF(DB13&lt;DC13,TRUE),IF(AND(DC13="",DB13&lt;&gt;""),TRUE))</formula>
    </cfRule>
  </conditionalFormatting>
  <conditionalFormatting sqref="DB58:DB67 DD58:DD67">
    <cfRule type="expression" dxfId="25" priority="13">
      <formula>OR(IF(DB58&lt;DC58,TRUE),IF(AND(DC58="",DB58&lt;&gt;""),TRUE))</formula>
    </cfRule>
    <cfRule type="expression" dxfId="24" priority="14">
      <formula>IF(DB58&gt;=DC58,IF(DB58="",FALSE,TRUE))</formula>
    </cfRule>
  </conditionalFormatting>
  <conditionalFormatting sqref="DI5:DI10 DK5:DK10">
    <cfRule type="expression" dxfId="23" priority="10">
      <formula>IF(DI5&gt;=DJ5,IF(DI5="",FALSE,TRUE))</formula>
    </cfRule>
    <cfRule type="expression" dxfId="22" priority="9">
      <formula>OR(IF(DI5&lt;DJ5,TRUE),IF(AND(DJ5="",DI5&lt;&gt;""),TRUE))</formula>
    </cfRule>
  </conditionalFormatting>
  <conditionalFormatting sqref="DI13:DI18 DK13:DK18 DI21:DI27 DK21:DK27 DI30:DI35 DK30:DK35 DI38:DI41 DK38:DK41 DI44:DI49 DK44:DK49 DI52:DI55 DK52:DK55">
    <cfRule type="expression" dxfId="21" priority="12">
      <formula>IF(DI13&gt;=DJ13,IF(DI13="",FALSE,TRUE))</formula>
    </cfRule>
    <cfRule type="expression" dxfId="20" priority="11">
      <formula>OR(IF(DI13&lt;DJ13,TRUE),IF(AND(DJ13="",DI13&lt;&gt;""),TRUE))</formula>
    </cfRule>
  </conditionalFormatting>
  <conditionalFormatting sqref="DI58:DI67 DK58:DK67">
    <cfRule type="expression" dxfId="19" priority="7">
      <formula>OR(IF(DI58&lt;DJ58,TRUE),IF(AND(DJ58="",DI58&lt;&gt;""),TRUE))</formula>
    </cfRule>
    <cfRule type="expression" dxfId="18" priority="8">
      <formula>IF(DI58&gt;=DJ58,IF(DI58="",FALSE,TRUE))</formula>
    </cfRule>
  </conditionalFormatting>
  <conditionalFormatting sqref="DP5:DP10 DR5:DR10">
    <cfRule type="expression" dxfId="17" priority="3">
      <formula>OR(IF(DP5&lt;DQ5,TRUE),IF(AND(DQ5="",DP5&lt;&gt;""),TRUE))</formula>
    </cfRule>
    <cfRule type="expression" dxfId="16" priority="4">
      <formula>IF(DP5&gt;=DQ5,IF(DP5="",FALSE,TRUE))</formula>
    </cfRule>
  </conditionalFormatting>
  <conditionalFormatting sqref="DP13:DP18 DR13:DR18 DP21:DP27 DR21:DR27 DP30:DP35 DR30:DR35 DP38:DP41 DR38:DR41 DP44:DP49 DR44:DR49 DP52:DP55 DR52:DR55">
    <cfRule type="expression" dxfId="15" priority="5">
      <formula>OR(IF(DP13&lt;DQ13,TRUE),IF(AND(DQ13="",DP13&lt;&gt;""),TRUE))</formula>
    </cfRule>
    <cfRule type="expression" dxfId="14" priority="6">
      <formula>IF(DP13&gt;=DQ13,IF(DP13="",FALSE,TRUE))</formula>
    </cfRule>
  </conditionalFormatting>
  <conditionalFormatting sqref="DP58:DP67 DR58:DR67">
    <cfRule type="expression" dxfId="13" priority="2">
      <formula>IF(DP58&gt;=DQ58,IF(DP58="",FALSE,TRUE))</formula>
    </cfRule>
    <cfRule type="expression" dxfId="12" priority="1">
      <formula>OR(IF(DP58&lt;DQ58,TRUE),IF(AND(DQ58="",DP58&lt;&gt;""),TRUE))</formula>
    </cfRule>
  </conditionalFormatting>
  <dataValidations count="1">
    <dataValidation type="list" allowBlank="1" showInputMessage="1" showErrorMessage="1" sqref="AJ38:AM41 V5:Y10 AC5:AF10 AJ5:AM10 AQ5:AT10 AX5:BA10 BE5:BH10 BL5:BO10 O5:R10 V13:Y18 AC13:AF18 AJ13:AM18 AQ13:AT18 AX13:BA18 BE13:BH18 BL13:BO18 BL21:BO27 O21:R27 AX21:BA27 BZ38:CC41 AQ21:AT27 AJ21:AM27 AC21:AF27 V21:Y27 BL30:BO35 O30:R35 AX30:BA35 BE30:BH35 AQ30:AT35 AJ30:AM35 AC30:AF35 V30:Y35 BL38:BO41 AX38:BA41 BE38:BH41 AQ38:AT41 AC38:AF41 V38:Y41 O38:R41 BS5:BV10 BS30:BV35 BS21:BV27 BS38:BV41 BE21:BH27 AC58:AF67 BZ5:CC10 BZ21:CC27 BZ13:CC18 BZ30:CC35 CG5:CJ10 CG13:CJ18 CG21:CJ27 CG38:CJ41 CN5:CQ10 CN13:CQ18 CN21:CQ27 CN30:CQ35 CN38:CQ41 V58:Y67 O58:R67 BS58:BV67 BS13:BV18 O13:R18 AJ44:AM49 BZ44:CC49 BL44:BO49 AX44:BA49 BE44:BH49 AQ44:AT49 AC44:AF49 V44:Y49 O44:R49 BS44:BV49 CN58:CQ67 CG44:CJ49 CN44:CQ49 AJ52:AM55 BZ52:CC55 BL52:BO55 AX52:BA55 BE52:BH55 AQ52:AT55 AC52:AF55 V52:Y55 O52:R55 BS52:BV55 CG58:CJ67 CG52:CJ55 CN52:CQ55 BZ58:CC67 BL58:BO67 AX58:BA67 BE58:BH67 AQ58:AT67 CU5:CX10 CU13:CX18 CU21:CX27 CU30:CX35 CU38:CX41 CU58:CX67 CU44:CX49 CU52:CX55 DB5:DE10 DB13:DE18 DB21:DE27 DB30:DE35 DB38:DE41 DB58:DE67 DB44:DE49 DB52:DE55 DI5:DL10 DI13:DL18 DI21:DL27 DI30:DL35 DI38:DL41 DI58:DL67 DI44:DL49 DI52:DL55 DP5:DS10 DP13:DS18 DP21:DS27 DP30:DS35 DP38:DS41 DP58:DS67 DP44:DS49 DP52:DS55 CG33 CG32:CH32 CG30:CJ31 CG34:CJ35 CI32:CJ33 AM66 AJ58:AM65 AJ66:AL67"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39</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38</v>
      </c>
    </row>
    <row r="19" spans="2:2" ht="153" x14ac:dyDescent="0.2">
      <c r="B19" s="1" t="s">
        <v>40</v>
      </c>
    </row>
    <row r="21" spans="2:2" x14ac:dyDescent="0.2">
      <c r="B21" s="2" t="s">
        <v>21</v>
      </c>
    </row>
    <row r="22" spans="2:2" ht="136" x14ac:dyDescent="0.2">
      <c r="B22" s="1" t="s">
        <v>41</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48</v>
      </c>
      <c r="B1" s="15" t="s">
        <v>45</v>
      </c>
      <c r="C1" s="15" t="s">
        <v>46</v>
      </c>
      <c r="D1" s="15" t="s">
        <v>47</v>
      </c>
      <c r="E1" s="1" t="s">
        <v>49</v>
      </c>
      <c r="F1" s="1" t="s">
        <v>50</v>
      </c>
      <c r="G1" s="1" t="s">
        <v>51</v>
      </c>
      <c r="H1" s="1" t="s">
        <v>52</v>
      </c>
      <c r="I1" s="1" t="s">
        <v>53</v>
      </c>
      <c r="J1" s="1" t="s">
        <v>54</v>
      </c>
      <c r="K1" s="1" t="s">
        <v>55</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15" operator="equal">
      <formula>"Nein"</formula>
    </cfRule>
    <cfRule type="cellIs" dxfId="10" priority="14" operator="equal">
      <formula>"Ja"</formula>
    </cfRule>
    <cfRule type="cellIs" dxfId="9" priority="4" operator="equal">
      <formula>"Ja"</formula>
    </cfRule>
  </conditionalFormatting>
  <conditionalFormatting sqref="C2:C46">
    <cfRule type="cellIs" dxfId="8" priority="3" operator="equal">
      <formula>"Nein"</formula>
    </cfRule>
    <cfRule type="cellIs" dxfId="7" priority="2" operator="equal">
      <formula>"Ja"</formula>
    </cfRule>
    <cfRule type="cellIs" dxfId="6" priority="1" operator="equal">
      <formula>"Ja"</formula>
    </cfRule>
  </conditionalFormatting>
  <conditionalFormatting sqref="D2">
    <cfRule type="cellIs" dxfId="5" priority="7" operator="equal">
      <formula>0.8</formula>
    </cfRule>
    <cfRule type="cellIs" dxfId="4" priority="9" operator="equal">
      <formula>0.4</formula>
    </cfRule>
    <cfRule type="cellIs" dxfId="3" priority="10" operator="equal">
      <formula>0.2</formula>
    </cfRule>
    <cfRule type="cellIs" dxfId="2" priority="11" operator="equal">
      <formula>0</formula>
    </cfRule>
    <cfRule type="cellIs" dxfId="1" priority="6" operator="equal">
      <formula>1</formula>
    </cfRule>
    <cfRule type="cellIs" dxfId="0"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Katja Rim</cp:lastModifiedBy>
  <dcterms:created xsi:type="dcterms:W3CDTF">2020-04-19T13:33:28Z</dcterms:created>
  <dcterms:modified xsi:type="dcterms:W3CDTF">2024-04-29T06:11:31Z</dcterms:modified>
</cp:coreProperties>
</file>