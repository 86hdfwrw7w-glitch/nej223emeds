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j.diem/Downloads/"/>
    </mc:Choice>
  </mc:AlternateContent>
  <xr:revisionPtr revIDLastSave="0" documentId="8_{21BC176D-591C-0145-809D-2F2280056F7D}" xr6:coauthVersionLast="47" xr6:coauthVersionMax="47" xr10:uidLastSave="{00000000-0000-0000-0000-000000000000}"/>
  <bookViews>
    <workbookView xWindow="0" yWindow="760" windowWidth="30240" windowHeight="17640" activeTab="1" xr2:uid="{50F29292-BE80-0C47-A0D2-DD086CB3D310}"/>
  </bookViews>
  <sheets>
    <sheet name="ANLEITUNG" sheetId="10" r:id="rId1"/>
    <sheet name="Semesterplan" sheetId="7" r:id="rId2"/>
    <sheet name="Best-Practices" sheetId="2" r:id="rId3"/>
    <sheet name="COMMITTMENT" sheetId="9" r:id="rId4"/>
    <sheet name="Wochenplan KW 36" sheetId="3" r:id="rId5"/>
    <sheet name="Wochenplan KW 37" sheetId="8" r:id="rId6"/>
  </sheets>
  <definedNames>
    <definedName name="il_mhead_t_focus" localSheetId="1">Semesterplan!$F$7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G19" i="7"/>
  <c r="G28" i="7"/>
  <c r="G39" i="7"/>
  <c r="K31" i="7" a="1"/>
  <c r="K31" i="7" s="1"/>
  <c r="J31" i="7" a="1"/>
  <c r="J31" i="7" s="1"/>
  <c r="I31" i="7"/>
  <c r="K22" i="7" a="1"/>
  <c r="K22" i="7" s="1"/>
  <c r="J22" i="7" a="1"/>
  <c r="J22" i="7" s="1"/>
  <c r="I22" i="7"/>
  <c r="N28" i="7"/>
  <c r="K35" i="7" a="1"/>
  <c r="K35" i="7" s="1"/>
  <c r="J35" i="7" a="1"/>
  <c r="J35" i="7" s="1"/>
  <c r="I35" i="7"/>
  <c r="K34" i="7" a="1"/>
  <c r="K34" i="7" s="1"/>
  <c r="J34" i="7" a="1"/>
  <c r="J34" i="7" s="1"/>
  <c r="I34" i="7"/>
  <c r="N39" i="7"/>
  <c r="U39" i="7"/>
  <c r="AB39" i="7"/>
  <c r="I40" i="7"/>
  <c r="J40" i="7" a="1"/>
  <c r="J40" i="7" s="1"/>
  <c r="K40" i="7" a="1"/>
  <c r="K40" i="7" s="1"/>
  <c r="I41" i="7"/>
  <c r="J41" i="7" a="1"/>
  <c r="J41" i="7" s="1"/>
  <c r="K41" i="7" a="1"/>
  <c r="K41" i="7" s="1"/>
  <c r="I42" i="7"/>
  <c r="J42" i="7" a="1"/>
  <c r="J42" i="7" s="1"/>
  <c r="K42" i="7" a="1"/>
  <c r="K42" i="7" s="1"/>
  <c r="I43" i="7"/>
  <c r="J43" i="7" a="1"/>
  <c r="J43" i="7" s="1"/>
  <c r="K43" i="7" a="1"/>
  <c r="K43" i="7" s="1"/>
  <c r="I44" i="7"/>
  <c r="J44" i="7" a="1"/>
  <c r="J44" i="7" s="1"/>
  <c r="K44" i="7" a="1"/>
  <c r="K44" i="7" s="1"/>
  <c r="I45" i="7"/>
  <c r="J45" i="7" a="1"/>
  <c r="J45" i="7" s="1"/>
  <c r="K45" i="7" a="1"/>
  <c r="K45" i="7" s="1"/>
  <c r="K36" i="7" a="1"/>
  <c r="K36" i="7" s="1"/>
  <c r="J36" i="7" a="1"/>
  <c r="J36" i="7" s="1"/>
  <c r="I36" i="7"/>
  <c r="K25" i="7" a="1"/>
  <c r="K25" i="7" s="1"/>
  <c r="J25" i="7" a="1"/>
  <c r="J25" i="7" s="1"/>
  <c r="I25" i="7"/>
  <c r="K24" i="7" a="1"/>
  <c r="K24" i="7" s="1"/>
  <c r="J24" i="7" a="1"/>
  <c r="J24" i="7" s="1"/>
  <c r="I24" i="7"/>
  <c r="K23" i="7" a="1"/>
  <c r="K23" i="7" s="1"/>
  <c r="J23" i="7" a="1"/>
  <c r="J23" i="7" s="1"/>
  <c r="I23" i="7"/>
  <c r="K13" i="7" a="1"/>
  <c r="K13" i="7" s="1"/>
  <c r="J13" i="7" a="1"/>
  <c r="J13" i="7" s="1"/>
  <c r="I13" i="7"/>
  <c r="K12" i="7" a="1"/>
  <c r="K12" i="7" s="1"/>
  <c r="J12" i="7" a="1"/>
  <c r="J12" i="7" s="1"/>
  <c r="I12" i="7"/>
  <c r="I21" i="7"/>
  <c r="I5" i="7"/>
  <c r="I6" i="7"/>
  <c r="I7" i="7"/>
  <c r="I8" i="7"/>
  <c r="I20" i="7"/>
  <c r="I19" i="7" l="1"/>
  <c r="I39" i="7"/>
  <c r="J39" i="7"/>
  <c r="K39" i="7"/>
  <c r="I9" i="7"/>
  <c r="I10" i="7"/>
  <c r="I11" i="7"/>
  <c r="I14" i="7"/>
  <c r="I15" i="7"/>
  <c r="I16" i="7"/>
  <c r="K16" i="7" a="1"/>
  <c r="K16" i="7" s="1"/>
  <c r="J16" i="7" a="1"/>
  <c r="J16" i="7" s="1"/>
  <c r="K15" i="7" a="1"/>
  <c r="K15" i="7" s="1"/>
  <c r="J15" i="7" a="1"/>
  <c r="J15" i="7" s="1"/>
  <c r="K14" i="7" a="1"/>
  <c r="K14" i="7" s="1"/>
  <c r="J14" i="7" a="1"/>
  <c r="J14" i="7" s="1"/>
  <c r="K11" i="7" a="1"/>
  <c r="K11" i="7" s="1"/>
  <c r="J11" i="7" a="1"/>
  <c r="J11" i="7" s="1"/>
  <c r="K10" i="7" a="1"/>
  <c r="K10" i="7" s="1"/>
  <c r="J10" i="7" a="1"/>
  <c r="J10" i="7" s="1"/>
  <c r="K9" i="7" a="1"/>
  <c r="K9" i="7" s="1"/>
  <c r="J9" i="7" a="1"/>
  <c r="J9" i="7" s="1"/>
  <c r="I4" i="7" l="1"/>
  <c r="C11" i="10"/>
  <c r="C12" i="10" s="1"/>
  <c r="FO4" i="7"/>
  <c r="FF4" i="7"/>
  <c r="EW4" i="7"/>
  <c r="EN4" i="7"/>
  <c r="EE4" i="7"/>
  <c r="DM4" i="7"/>
  <c r="DD4" i="7"/>
  <c r="CU4" i="7"/>
  <c r="J6" i="7" a="1"/>
  <c r="J6" i="7" s="1"/>
  <c r="J7" i="7" a="1"/>
  <c r="J7" i="7" s="1"/>
  <c r="J8" i="7" a="1"/>
  <c r="J8" i="7" s="1"/>
  <c r="K6" i="7" a="1"/>
  <c r="K6" i="7" s="1"/>
  <c r="K7" i="7" a="1"/>
  <c r="K7" i="7" s="1"/>
  <c r="K8" i="7" a="1"/>
  <c r="K8" i="7" s="1"/>
  <c r="J20" i="7" a="1"/>
  <c r="J20" i="7" s="1"/>
  <c r="J21" i="7" a="1"/>
  <c r="J21" i="7" s="1"/>
  <c r="K20" i="7" a="1"/>
  <c r="K20" i="7" s="1"/>
  <c r="K21" i="7" a="1"/>
  <c r="K21" i="7" s="1"/>
  <c r="CM4" i="7"/>
  <c r="CF4" i="7"/>
  <c r="BY4" i="7"/>
  <c r="BR4" i="7"/>
  <c r="BK4" i="7"/>
  <c r="BD4" i="7"/>
  <c r="AW4" i="7"/>
  <c r="K33" i="7" a="1"/>
  <c r="K33" i="7" s="1"/>
  <c r="J33" i="7" a="1"/>
  <c r="J33" i="7" s="1"/>
  <c r="K32" i="7" a="1"/>
  <c r="K32" i="7" s="1"/>
  <c r="J32" i="7" a="1"/>
  <c r="J32" i="7" s="1"/>
  <c r="K30" i="7" a="1"/>
  <c r="K30" i="7" s="1"/>
  <c r="J30" i="7" a="1"/>
  <c r="J30" i="7" s="1"/>
  <c r="K29" i="7" a="1"/>
  <c r="K29" i="7" s="1"/>
  <c r="J29" i="7" a="1"/>
  <c r="J29" i="7" s="1"/>
  <c r="AP4" i="7"/>
  <c r="AI4" i="7"/>
  <c r="AB4" i="7"/>
  <c r="U4" i="7"/>
  <c r="N4" i="7"/>
  <c r="AB28" i="7"/>
  <c r="I33" i="7"/>
  <c r="I32" i="7"/>
  <c r="I30" i="7"/>
  <c r="I29" i="7"/>
  <c r="J4" i="7" l="1"/>
  <c r="K28" i="7"/>
  <c r="I28" i="7"/>
  <c r="J19" i="7"/>
  <c r="J28" i="7"/>
  <c r="K19" i="7"/>
  <c r="K5" i="7" a="1"/>
  <c r="K5" i="7" s="1"/>
  <c r="K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<sst xmlns="http://schemas.openxmlformats.org/spreadsheetml/2006/main" count="347" uniqueCount="136">
  <si>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</si>
  <si>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</si>
  <si>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</si>
  <si>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</si>
  <si>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</si>
  <si>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</si>
  <si>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</si>
  <si>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</si>
  <si>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</si>
  <si>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</si>
  <si>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</si>
  <si>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</si>
  <si>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</si>
  <si>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</si>
  <si>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</si>
  <si>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</si>
  <si>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</si>
  <si>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</si>
  <si>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</si>
  <si>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</si>
  <si>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</si>
  <si>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</si>
  <si>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</si>
  <si>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</si>
  <si>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</si>
  <si>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</si>
  <si>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</si>
  <si>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</si>
  <si>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</si>
  <si>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</si>
  <si>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6) Konsumentenorientieres Marketing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</si>
  <si>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</si>
  <si>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</si>
  <si>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</si>
  <si>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</si>
  <si>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</si>
  <si>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</si>
  <si>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</si>
  <si>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</si>
  <si>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2) Der perfekte Markt</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</si>
  <si>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</si>
  <si>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</si>
  <si>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</si>
  <si>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</si>
  <si>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</si>
  <si>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</si>
  <si>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</si>
  <si>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</si>
  <si>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</si>
  <si>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</si>
  <si>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</si>
  <si>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</si>
  <si>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</si>
  <si>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</si>
  <si>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</si>
  <si>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</si>
  <si>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</si>
  <si>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</si>
  <si>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</si>
  <si>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</si>
  <si>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</si>
  <si>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</si>
  <si>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</si>
  <si>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</si>
  <si>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</si>
  <si>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</si>
  <si>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</si>
  <si>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</si>
  <si>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</si>
  <si>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</si>
  <si>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</si>
  <si>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</si>
  <si>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</si>
  <si>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</si>
  <si>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</si>
  <si>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</si>
  <si>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</si>
  <si>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</si>
  <si>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</si>
  <si>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</si>
  <si>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</si>
  <si>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</si>
  <si>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</si>
  <si>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</si>
  <si>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</si>
  <si>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</si>
  <si>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</si>
  <si>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</si>
  <si>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</si>
  <si>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DMA</t>
  </si>
  <si>
    <t>DS</t>
  </si>
  <si>
    <t>PLB</t>
  </si>
  <si>
    <t>Statistik</t>
  </si>
  <si>
    <t>KW 37</t>
  </si>
  <si>
    <t>KW 38</t>
  </si>
  <si>
    <t>KW 39</t>
  </si>
  <si>
    <t>KW 40</t>
  </si>
  <si>
    <t>KW 41</t>
  </si>
  <si>
    <t>KW 42</t>
  </si>
  <si>
    <t>KW 43</t>
  </si>
  <si>
    <t>KW 44</t>
  </si>
  <si>
    <t>KW 45</t>
  </si>
  <si>
    <t>KW 46</t>
  </si>
  <si>
    <t>KW 47</t>
  </si>
  <si>
    <t>KW 48</t>
  </si>
  <si>
    <t>KW 49</t>
  </si>
  <si>
    <t>KW 50</t>
  </si>
  <si>
    <t>KW 51</t>
  </si>
  <si>
    <t>KW 01</t>
  </si>
  <si>
    <t>KLAUSURENPHASE</t>
  </si>
  <si>
    <t>KW 52 75% !!!!!!!!!!!!!!</t>
  </si>
  <si>
    <t>3) Strategisches Marketing</t>
  </si>
  <si>
    <t>2)</t>
  </si>
  <si>
    <t>4) Strategisches Marketing</t>
  </si>
  <si>
    <t>5) Konsumentenorientieres Marketing</t>
  </si>
  <si>
    <t>3)</t>
  </si>
  <si>
    <t>4)</t>
  </si>
  <si>
    <t>6)</t>
  </si>
  <si>
    <t>1)</t>
  </si>
  <si>
    <t>1)Die Rolle von Daten in Unternehmen</t>
  </si>
  <si>
    <t>2) Grundlagen der Datenorganisation</t>
  </si>
  <si>
    <t>3) Relationale Datenbanken</t>
  </si>
  <si>
    <t>4)  Datenmanipulation und -abfrage in SQL</t>
  </si>
  <si>
    <t>5) Graphorientierte und webbasierte Datenverwaltung</t>
  </si>
  <si>
    <t>6) Datenmanagement in verteilten Umgebungen</t>
  </si>
  <si>
    <t>7)Grundlagen der Informationsintegration</t>
  </si>
  <si>
    <t>8) Der Datenintegrationsprozess</t>
  </si>
  <si>
    <t>9) Data Warehousing</t>
  </si>
  <si>
    <t>10)Grundlagen der Business Intelligence</t>
  </si>
  <si>
    <t>11) Maschinelle Datenanalyse mit R</t>
  </si>
  <si>
    <t>12) Informationsvisualisierung und Wissensmanagement</t>
  </si>
  <si>
    <t>5)</t>
  </si>
  <si>
    <t>1) Aktuelle Herausforderungen an das Marketing</t>
  </si>
  <si>
    <t>2) Marktforschung</t>
  </si>
  <si>
    <t>7) Konsumentenorientieres Marketing</t>
  </si>
  <si>
    <t>8) Konsumentenorientieres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</si>
</sst>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323">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22">
  <autoFilter ref="A1:K46" xr:uid="{6E266E34-2786-2747-BCE7-51B74867A564}"/>
  <tableColumns count="11">
    <tableColumn id="1" xr3:uid="{95FD92F7-3DC8-704D-A103-A7EDDAB255AB}" name="Datum" dataDxfId="321"/>
    <tableColumn id="2" xr3:uid="{F464D510-8166-E740-A343-FB84BDEF877F}" name="Lerneinheiten durchgezogen" dataDxfId="320"/>
    <tableColumn id="3" xr3:uid="{75F52B08-1A00-0848-BBE6-1EDF7B31B1AD}" name="Tagesplan erstellt" dataDxfId="319"/>
    <tableColumn id="4" xr3:uid="{E6B18D89-E799-AD48-9DAA-37AEE1D29011}" name="Konzentrationslevel" dataDxfId="31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0" sqref="C10"/>
    </sheetView>
  </sheetViews>
  <sheetFormatPr baseColWidth="10" defaultRowHeight="16" x14ac:dyDescent="0.2"/>
  <cols>
    <col min="1" max="1" width="11.83203125" customWidth="1"/>
    <col min="2" max="2" width="62.6640625" customWidth="1"/>
  </cols>
  <sheetData>
    <row r="2" spans="1:4" x14ac:dyDescent="0.2">
      <c r="C2" s="18" t="s">
        <v>73</v>
      </c>
    </row>
    <row r="3" spans="1:4" x14ac:dyDescent="0.2">
      <c r="C3" s="17" t="s">
        <v>58</v>
      </c>
    </row>
    <row r="4" spans="1:4" x14ac:dyDescent="0.2">
      <c r="C4" s="16" t="s">
        <v>72</v>
      </c>
    </row>
    <row r="5" spans="1:4" x14ac:dyDescent="0.2">
      <c r="A5" s="2" t="s">
        <v>55</v>
      </c>
      <c r="B5" s="2" t="s">
        <v>56</v>
      </c>
      <c r="C5" s="2" t="s">
        <v>57</v>
      </c>
      <c r="D5" s="2" t="s">
        <v>59</v>
      </c>
    </row>
    <row r="6" spans="1:4" x14ac:dyDescent="0.2">
      <c r="A6" t="s">
        <v>51</v>
      </c>
      <c r="B6" s="18" t="s">
        <v>54</v>
      </c>
      <c r="D6" t="s">
        <v>88</v>
      </c>
    </row>
    <row r="7" spans="1:4" x14ac:dyDescent="0.2">
      <c r="A7" t="s">
        <v>62</v>
      </c>
      <c r="B7" t="s">
        <v>63</v>
      </c>
      <c r="C7" s="16">
        <v>32</v>
      </c>
    </row>
    <row r="8" spans="1:4" x14ac:dyDescent="0.2">
      <c r="A8" t="s">
        <v>53</v>
      </c>
      <c r="B8" s="18" t="s">
        <v>52</v>
      </c>
      <c r="D8" t="s">
        <v>76</v>
      </c>
    </row>
    <row r="9" spans="1:4" x14ac:dyDescent="0.2">
      <c r="A9" t="s">
        <v>61</v>
      </c>
      <c r="B9" s="18" t="s">
        <v>74</v>
      </c>
      <c r="D9" t="s">
        <v>77</v>
      </c>
    </row>
    <row r="10" spans="1:4" x14ac:dyDescent="0.2">
      <c r="A10" t="s">
        <v>65</v>
      </c>
      <c r="B10" t="s">
        <v>64</v>
      </c>
      <c r="C10" s="16">
        <v>16</v>
      </c>
      <c r="D10" t="s">
        <v>60</v>
      </c>
    </row>
    <row r="11" spans="1:4" x14ac:dyDescent="0.2">
      <c r="A11" t="s">
        <v>66</v>
      </c>
      <c r="B11" t="s">
        <v>68</v>
      </c>
      <c r="C11" s="16">
        <f>C7*3</f>
        <v>96</v>
      </c>
      <c r="D11" t="s">
        <v>67</v>
      </c>
    </row>
    <row r="12" spans="1:4" x14ac:dyDescent="0.2">
      <c r="A12" t="s">
        <v>70</v>
      </c>
      <c r="B12" t="s">
        <v>69</v>
      </c>
      <c r="C12" s="17">
        <f>C11/C10</f>
        <v>6</v>
      </c>
    </row>
    <row r="13" spans="1:4" x14ac:dyDescent="0.2">
      <c r="A13" t="s">
        <v>75</v>
      </c>
      <c r="B13" t="s">
        <v>71</v>
      </c>
      <c r="D13" t="s">
        <v>78</v>
      </c>
    </row>
    <row r="14" spans="1:4" x14ac:dyDescent="0.2">
      <c r="A14" t="s">
        <v>79</v>
      </c>
      <c r="B14" t="s">
        <v>80</v>
      </c>
      <c r="D14" t="s">
        <v>81</v>
      </c>
    </row>
    <row r="15" spans="1:4" x14ac:dyDescent="0.2">
      <c r="A15" t="s">
        <v>82</v>
      </c>
      <c r="B15" s="18" t="s">
        <v>83</v>
      </c>
    </row>
    <row r="16" spans="1:4" x14ac:dyDescent="0.2">
      <c r="A16" t="s">
        <v>86</v>
      </c>
      <c r="B16" s="18" t="s">
        <v>84</v>
      </c>
    </row>
    <row r="17" spans="1:2" x14ac:dyDescent="0.2">
      <c r="A17" t="s">
        <v>87</v>
      </c>
      <c r="B17" t="s">
        <v>85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T47"/>
  <sheetViews>
    <sheetView showGridLines="0" tabSelected="1" zoomScale="80" zoomScaleNormal="80" workbookViewId="0">
      <pane xSplit="12" topLeftCell="M1" activePane="topRight" state="frozen"/>
      <selection pane="topRight" activeCell="E19" sqref="E19"/>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3.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8" max="98" width="2.5" customWidth="1"/>
    <col min="100" max="100" width="12.5" bestFit="1" customWidth="1"/>
    <col min="101" max="101" width="6.33203125" customWidth="1"/>
    <col min="102" max="102" width="14.83203125" bestFit="1" customWidth="1"/>
    <col min="103" max="103" width="6" customWidth="1"/>
    <col min="104" max="104" width="12.6640625" bestFit="1" customWidth="1"/>
    <col min="107" max="107" width="2.5" customWidth="1"/>
    <col min="109" max="109" width="12.5" bestFit="1" customWidth="1"/>
    <col min="110" max="110" width="6.33203125" customWidth="1"/>
    <col min="111" max="111" width="14.83203125" bestFit="1" customWidth="1"/>
    <col min="112" max="112" width="6" customWidth="1"/>
    <col min="113" max="113" width="12.6640625" bestFit="1" customWidth="1"/>
    <col min="116" max="116" width="2.5" customWidth="1"/>
    <col min="118" max="118" width="12.5" bestFit="1" customWidth="1"/>
    <col min="119" max="119" width="6.33203125" customWidth="1"/>
    <col min="120" max="120" width="14.83203125" bestFit="1" customWidth="1"/>
    <col min="121" max="121" width="6" customWidth="1"/>
    <col min="122" max="122"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4" max="134" width="2.5" customWidth="1"/>
    <col min="136" max="136" width="12.5" bestFit="1" customWidth="1"/>
    <col min="137" max="137" width="6.33203125" customWidth="1"/>
    <col min="138" max="138" width="14.83203125" bestFit="1" customWidth="1"/>
    <col min="139" max="139" width="6" customWidth="1"/>
    <col min="140" max="140" width="12.6640625" bestFit="1" customWidth="1"/>
    <col min="143" max="143" width="2.5" customWidth="1"/>
    <col min="145" max="145" width="12.5" bestFit="1" customWidth="1"/>
    <col min="146" max="146" width="6.33203125" customWidth="1"/>
    <col min="147" max="147" width="14.83203125" bestFit="1" customWidth="1"/>
    <col min="148" max="148" width="6" customWidth="1"/>
    <col min="149" max="149" width="12.6640625" bestFit="1" customWidth="1"/>
    <col min="152" max="152" width="2.5" customWidth="1"/>
    <col min="154" max="154" width="12.5" bestFit="1" customWidth="1"/>
    <col min="155" max="155" width="6.33203125" customWidth="1"/>
    <col min="156" max="156" width="14.83203125" bestFit="1" customWidth="1"/>
    <col min="157" max="157" width="6" customWidth="1"/>
    <col min="158" max="158" width="12.6640625" bestFit="1" customWidth="1"/>
    <col min="161" max="161" width="2.5" customWidth="1"/>
    <col min="163" max="163" width="12.5" bestFit="1" customWidth="1"/>
    <col min="164" max="164" width="6.33203125" customWidth="1"/>
    <col min="165" max="165" width="14.83203125" bestFit="1" customWidth="1"/>
    <col min="166" max="166" width="6" customWidth="1"/>
    <col min="167" max="167" width="12.6640625" bestFit="1" customWidth="1"/>
    <col min="170" max="170" width="2.5" customWidth="1"/>
    <col min="172" max="172" width="12.5" bestFit="1" customWidth="1"/>
    <col min="173" max="173" width="6.33203125" customWidth="1"/>
    <col min="174" max="174" width="14.83203125" bestFit="1" customWidth="1"/>
    <col min="175" max="175" width="6" customWidth="1"/>
    <col min="176" max="176" width="12.6640625" bestFit="1" customWidth="1"/>
  </cols>
  <sheetData>
    <row r="1" spans="2:176" ht="34" x14ac:dyDescent="0.4">
      <c r="B1" s="4" t="s">
        <v>0</v>
      </c>
      <c r="D1" s="4"/>
      <c r="G1" s="13" t="s">
        <v>34</v>
      </c>
      <c r="I1" s="13" t="s">
        <v>34</v>
      </c>
      <c r="J1" s="13" t="s">
        <v>34</v>
      </c>
      <c r="K1" s="13" t="s">
        <v>34</v>
      </c>
    </row>
    <row r="2" spans="2:176" x14ac:dyDescent="0.2">
      <c r="I2" s="20" t="s">
        <v>27</v>
      </c>
      <c r="J2" s="20"/>
      <c r="K2" s="20"/>
      <c r="L2" s="20"/>
      <c r="N2" s="20" t="s">
        <v>93</v>
      </c>
      <c r="O2" s="20"/>
      <c r="P2" s="20"/>
      <c r="Q2" s="20"/>
      <c r="R2" s="20"/>
      <c r="S2" s="20"/>
      <c r="U2" s="20" t="s">
        <v>94</v>
      </c>
      <c r="V2" s="20"/>
      <c r="W2" s="20"/>
      <c r="X2" s="20"/>
      <c r="Y2" s="20"/>
      <c r="Z2" s="20"/>
      <c r="AB2" s="20" t="s">
        <v>95</v>
      </c>
      <c r="AC2" s="20"/>
      <c r="AD2" s="20"/>
      <c r="AE2" s="20"/>
      <c r="AF2" s="20"/>
      <c r="AG2" s="20"/>
      <c r="AI2" s="20" t="s">
        <v>96</v>
      </c>
      <c r="AJ2" s="20"/>
      <c r="AK2" s="20"/>
      <c r="AL2" s="20"/>
      <c r="AM2" s="20"/>
      <c r="AN2" s="20"/>
      <c r="AP2" s="20" t="s">
        <v>97</v>
      </c>
      <c r="AQ2" s="20"/>
      <c r="AR2" s="20"/>
      <c r="AS2" s="20"/>
      <c r="AT2" s="20"/>
      <c r="AU2" s="20"/>
      <c r="AW2" s="20" t="s">
        <v>98</v>
      </c>
      <c r="AX2" s="20"/>
      <c r="AY2" s="20"/>
      <c r="AZ2" s="20"/>
      <c r="BA2" s="20"/>
      <c r="BB2" s="20"/>
      <c r="BD2" s="20" t="s">
        <v>99</v>
      </c>
      <c r="BE2" s="20"/>
      <c r="BF2" s="20"/>
      <c r="BG2" s="20"/>
      <c r="BH2" s="20"/>
      <c r="BI2" s="20"/>
      <c r="BK2" s="20" t="s">
        <v>100</v>
      </c>
      <c r="BL2" s="20"/>
      <c r="BM2" s="20"/>
      <c r="BN2" s="20"/>
      <c r="BO2" s="20"/>
      <c r="BP2" s="20"/>
      <c r="BR2" s="20" t="s">
        <v>101</v>
      </c>
      <c r="BS2" s="20"/>
      <c r="BT2" s="20"/>
      <c r="BU2" s="20"/>
      <c r="BV2" s="20"/>
      <c r="BW2" s="20"/>
      <c r="BY2" s="20" t="s">
        <v>102</v>
      </c>
      <c r="BZ2" s="20"/>
      <c r="CA2" s="20"/>
      <c r="CB2" s="20"/>
      <c r="CC2" s="20"/>
      <c r="CD2" s="20"/>
      <c r="CF2" s="20" t="s">
        <v>103</v>
      </c>
      <c r="CG2" s="20"/>
      <c r="CH2" s="20"/>
      <c r="CI2" s="20"/>
      <c r="CJ2" s="20"/>
      <c r="CK2" s="20"/>
      <c r="CM2" s="20" t="s">
        <v>104</v>
      </c>
      <c r="CN2" s="20"/>
      <c r="CO2" s="20"/>
      <c r="CP2" s="20"/>
      <c r="CQ2" s="20"/>
      <c r="CR2" s="20"/>
      <c r="CU2" s="20" t="s">
        <v>105</v>
      </c>
      <c r="CV2" s="20"/>
      <c r="CW2" s="20"/>
      <c r="CX2" s="20"/>
      <c r="CY2" s="20"/>
      <c r="CZ2" s="20"/>
      <c r="DD2" s="20" t="s">
        <v>106</v>
      </c>
      <c r="DE2" s="20"/>
      <c r="DF2" s="20"/>
      <c r="DG2" s="20"/>
      <c r="DH2" s="20"/>
      <c r="DI2" s="20"/>
      <c r="DM2" s="20" t="s">
        <v>107</v>
      </c>
      <c r="DN2" s="20"/>
      <c r="DO2" s="20"/>
      <c r="DP2" s="20"/>
      <c r="DQ2" s="20"/>
      <c r="DR2" s="20"/>
      <c r="DV2" s="20" t="s">
        <v>110</v>
      </c>
      <c r="DW2" s="20"/>
      <c r="DX2" s="20"/>
      <c r="DY2" s="20"/>
      <c r="DZ2" s="20"/>
      <c r="EA2" s="20"/>
      <c r="EE2" s="20" t="s">
        <v>108</v>
      </c>
      <c r="EF2" s="20"/>
      <c r="EG2" s="20"/>
      <c r="EH2" s="20"/>
      <c r="EI2" s="20"/>
      <c r="EJ2" s="20"/>
      <c r="EN2" s="20" t="s">
        <v>109</v>
      </c>
      <c r="EO2" s="20"/>
      <c r="EP2" s="20"/>
      <c r="EQ2" s="20"/>
      <c r="ER2" s="20"/>
      <c r="ES2" s="20"/>
      <c r="EW2" s="20" t="s">
        <v>109</v>
      </c>
      <c r="EX2" s="20"/>
      <c r="EY2" s="20"/>
      <c r="EZ2" s="20"/>
      <c r="FA2" s="20"/>
      <c r="FB2" s="20"/>
      <c r="FF2" s="20" t="s">
        <v>109</v>
      </c>
      <c r="FG2" s="20"/>
      <c r="FH2" s="20"/>
      <c r="FI2" s="20"/>
      <c r="FJ2" s="20"/>
      <c r="FK2" s="20"/>
      <c r="FO2" s="20" t="s">
        <v>109</v>
      </c>
      <c r="FP2" s="20"/>
      <c r="FQ2" s="20"/>
      <c r="FR2" s="20"/>
      <c r="FS2" s="20"/>
      <c r="FT2" s="20"/>
    </row>
    <row r="3" spans="2:176"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U3" s="5" t="s">
        <v>11</v>
      </c>
      <c r="CV3" s="5" t="s">
        <v>2</v>
      </c>
      <c r="CW3" s="5" t="s">
        <v>33</v>
      </c>
      <c r="CX3" s="5" t="s">
        <v>3</v>
      </c>
      <c r="CY3" s="5" t="s">
        <v>33</v>
      </c>
      <c r="CZ3" s="5" t="s">
        <v>12</v>
      </c>
      <c r="DD3" s="5" t="s">
        <v>11</v>
      </c>
      <c r="DE3" s="5" t="s">
        <v>2</v>
      </c>
      <c r="DF3" s="5" t="s">
        <v>33</v>
      </c>
      <c r="DG3" s="5" t="s">
        <v>3</v>
      </c>
      <c r="DH3" s="5" t="s">
        <v>33</v>
      </c>
      <c r="DI3" s="5" t="s">
        <v>12</v>
      </c>
      <c r="DM3" s="5" t="s">
        <v>11</v>
      </c>
      <c r="DN3" s="5" t="s">
        <v>2</v>
      </c>
      <c r="DO3" s="5" t="s">
        <v>33</v>
      </c>
      <c r="DP3" s="5" t="s">
        <v>3</v>
      </c>
      <c r="DQ3" s="5" t="s">
        <v>33</v>
      </c>
      <c r="DR3" s="5" t="s">
        <v>12</v>
      </c>
      <c r="DV3" s="5" t="s">
        <v>11</v>
      </c>
      <c r="DW3" s="5" t="s">
        <v>2</v>
      </c>
      <c r="DX3" s="5" t="s">
        <v>33</v>
      </c>
      <c r="DY3" s="5" t="s">
        <v>3</v>
      </c>
      <c r="DZ3" s="5" t="s">
        <v>33</v>
      </c>
      <c r="EA3" s="5" t="s">
        <v>12</v>
      </c>
      <c r="EE3" s="5" t="s">
        <v>11</v>
      </c>
      <c r="EF3" s="5" t="s">
        <v>2</v>
      </c>
      <c r="EG3" s="5" t="s">
        <v>33</v>
      </c>
      <c r="EH3" s="5" t="s">
        <v>3</v>
      </c>
      <c r="EI3" s="5" t="s">
        <v>33</v>
      </c>
      <c r="EJ3" s="5" t="s">
        <v>12</v>
      </c>
      <c r="EN3" s="5" t="s">
        <v>11</v>
      </c>
      <c r="EO3" s="5" t="s">
        <v>2</v>
      </c>
      <c r="EP3" s="5" t="s">
        <v>33</v>
      </c>
      <c r="EQ3" s="5" t="s">
        <v>3</v>
      </c>
      <c r="ER3" s="5" t="s">
        <v>33</v>
      </c>
      <c r="ES3" s="5" t="s">
        <v>12</v>
      </c>
      <c r="EW3" s="5" t="s">
        <v>11</v>
      </c>
      <c r="EX3" s="5" t="s">
        <v>2</v>
      </c>
      <c r="EY3" s="5" t="s">
        <v>33</v>
      </c>
      <c r="EZ3" s="5" t="s">
        <v>3</v>
      </c>
      <c r="FA3" s="5" t="s">
        <v>33</v>
      </c>
      <c r="FB3" s="5" t="s">
        <v>12</v>
      </c>
      <c r="FF3" s="5" t="s">
        <v>11</v>
      </c>
      <c r="FG3" s="5" t="s">
        <v>2</v>
      </c>
      <c r="FH3" s="5" t="s">
        <v>33</v>
      </c>
      <c r="FI3" s="5" t="s">
        <v>3</v>
      </c>
      <c r="FJ3" s="5" t="s">
        <v>33</v>
      </c>
      <c r="FK3" s="5" t="s">
        <v>12</v>
      </c>
      <c r="FO3" s="5" t="s">
        <v>11</v>
      </c>
      <c r="FP3" s="5" t="s">
        <v>2</v>
      </c>
      <c r="FQ3" s="5" t="s">
        <v>33</v>
      </c>
      <c r="FR3" s="5" t="s">
        <v>3</v>
      </c>
      <c r="FS3" s="5" t="s">
        <v>33</v>
      </c>
      <c r="FT3" s="5" t="s">
        <v>12</v>
      </c>
    </row>
    <row r="4" spans="2:176" x14ac:dyDescent="0.2">
      <c r="B4" t="s">
        <v>27</v>
      </c>
      <c r="C4" t="s">
        <v>89</v>
      </c>
      <c r="D4" s="19">
        <v>45355</v>
      </c>
      <c r="E4" s="9">
        <v>5</v>
      </c>
      <c r="G4" s="10">
        <f>+SUM(G5:G16)</f>
        <v>0.99000000000000021</v>
      </c>
      <c r="I4" s="12">
        <f>+SUM(I5:I16)</f>
        <v>0</v>
      </c>
      <c r="J4" s="11">
        <f>+SUMPRODUCT(G5:G16,J5:J16)</f>
        <v>0</v>
      </c>
      <c r="K4" s="11">
        <f>+SUMPRODUCT(G5:G16,K5:K16)</f>
        <v>0</v>
      </c>
      <c r="L4" s="9"/>
      <c r="N4" s="12">
        <f>+SUM(N5:N16)</f>
        <v>0</v>
      </c>
      <c r="U4" s="12">
        <f>+SUM(U5:U16)</f>
        <v>0</v>
      </c>
      <c r="AB4" s="12">
        <f>+SUM(AB5:AB16)</f>
        <v>0</v>
      </c>
      <c r="AI4" s="12">
        <f>+SUM(AI5:AI16)</f>
        <v>0</v>
      </c>
      <c r="AP4" s="12">
        <f>+SUM(AP5:AP16)</f>
        <v>0</v>
      </c>
      <c r="AW4" s="12">
        <f>+SUM(AW5:AW16)</f>
        <v>0</v>
      </c>
      <c r="BD4" s="12">
        <f>+SUM(BD5:BD16)</f>
        <v>0</v>
      </c>
      <c r="BK4" s="12">
        <f>+SUM(BK5:BK16)</f>
        <v>0</v>
      </c>
      <c r="BR4" s="12">
        <f>+SUM(BR5:BR16)</f>
        <v>0</v>
      </c>
      <c r="BY4" s="12">
        <f>+SUM(BY5:BY16)</f>
        <v>0</v>
      </c>
      <c r="CF4" s="12">
        <f>+SUM(CF5:CF16)</f>
        <v>0</v>
      </c>
      <c r="CM4" s="12">
        <f>+SUM(CM5:CM16)</f>
        <v>0</v>
      </c>
      <c r="CU4" s="12">
        <f>+SUM(CU5:CU16)</f>
        <v>0</v>
      </c>
      <c r="DD4" s="12">
        <f>+SUM(DD5:DD16)</f>
        <v>0</v>
      </c>
      <c r="DM4" s="12">
        <f>+SUM(DM5:DM16)</f>
        <v>0</v>
      </c>
      <c r="DV4" s="12"/>
      <c r="EE4" s="12">
        <f>+SUM(EE5:EE16)</f>
        <v>0</v>
      </c>
      <c r="EN4" s="12">
        <f>+SUM(EN5:EN16)</f>
        <v>0</v>
      </c>
      <c r="EW4" s="12">
        <f>+SUM(EW5:EW16)</f>
        <v>0</v>
      </c>
      <c r="FF4" s="12">
        <f>+SUM(FF5:FF16)</f>
        <v>0</v>
      </c>
      <c r="FO4" s="12">
        <f>+SUM(FO5:FO16)</f>
        <v>0</v>
      </c>
    </row>
    <row r="5" spans="2:176" outlineLevel="1" x14ac:dyDescent="0.2">
      <c r="B5" t="s">
        <v>28</v>
      </c>
      <c r="C5" t="s">
        <v>89</v>
      </c>
      <c r="E5" s="9"/>
      <c r="F5" t="s">
        <v>119</v>
      </c>
      <c r="G5" s="10">
        <v>0.11</v>
      </c>
      <c r="I5" s="9">
        <f>+SUMIF($M$3:$ZL$3,I$3,$M5:$ZL5)</f>
        <v>0</v>
      </c>
      <c r="J5" s="11">
        <v>0</v>
      </c>
      <c r="K5" s="11" cm="1">
        <f t="array" ref="K5">MAX(IF($M$3:$DT$3=$J$3,M5:DT5))</f>
        <v>0</v>
      </c>
      <c r="L5" s="9"/>
      <c r="O5" s="10"/>
      <c r="P5" s="10"/>
      <c r="Q5" s="10"/>
      <c r="R5" s="10"/>
      <c r="S5">
        <v>6</v>
      </c>
      <c r="V5" s="10"/>
      <c r="W5" s="10">
        <v>0.5</v>
      </c>
      <c r="X5" s="10"/>
      <c r="Y5" s="10">
        <v>0.5</v>
      </c>
      <c r="AC5" s="10"/>
      <c r="AD5" s="10">
        <v>0.5</v>
      </c>
      <c r="AE5" s="10"/>
      <c r="AF5" s="10">
        <v>0.5</v>
      </c>
      <c r="AJ5" s="10"/>
      <c r="AK5" s="10">
        <v>0.5</v>
      </c>
      <c r="AL5" s="10"/>
      <c r="AM5" s="10">
        <v>0.5</v>
      </c>
      <c r="AQ5" s="10"/>
      <c r="AR5" s="10">
        <v>0.5</v>
      </c>
      <c r="AS5" s="10"/>
      <c r="AT5" s="10">
        <v>0.5</v>
      </c>
      <c r="AX5" s="10"/>
      <c r="AY5" s="10">
        <v>0.5</v>
      </c>
      <c r="AZ5" s="10"/>
      <c r="BA5" s="10">
        <v>0.5</v>
      </c>
      <c r="BB5">
        <v>6</v>
      </c>
      <c r="BE5" s="10"/>
      <c r="BF5" s="10">
        <v>0.8</v>
      </c>
      <c r="BG5" s="10"/>
      <c r="BH5" s="10">
        <v>0.8</v>
      </c>
      <c r="BL5" s="10"/>
      <c r="BM5" s="10">
        <v>0.8</v>
      </c>
      <c r="BN5" s="10"/>
      <c r="BO5" s="10">
        <v>0.8</v>
      </c>
      <c r="BS5" s="10"/>
      <c r="BT5" s="10">
        <v>0.8</v>
      </c>
      <c r="BU5" s="10"/>
      <c r="BV5" s="10">
        <v>0.8</v>
      </c>
      <c r="BZ5" s="10"/>
      <c r="CA5" s="10">
        <v>0.8</v>
      </c>
      <c r="CB5" s="10"/>
      <c r="CC5" s="10">
        <v>0.8</v>
      </c>
      <c r="CG5" s="10"/>
      <c r="CH5" s="10">
        <v>0.8</v>
      </c>
      <c r="CI5" s="10"/>
      <c r="CJ5" s="10">
        <v>0.8</v>
      </c>
      <c r="CK5">
        <v>6</v>
      </c>
      <c r="CN5" s="10"/>
      <c r="CO5" s="10">
        <v>1</v>
      </c>
      <c r="CP5" s="10"/>
      <c r="CQ5" s="10">
        <v>1</v>
      </c>
      <c r="CV5" s="10"/>
      <c r="CW5" s="10">
        <v>1</v>
      </c>
      <c r="CX5" s="10"/>
      <c r="CY5" s="10">
        <v>1</v>
      </c>
      <c r="DE5" s="10"/>
      <c r="DF5" s="10">
        <v>1</v>
      </c>
      <c r="DG5" s="10"/>
      <c r="DH5" s="10">
        <v>1</v>
      </c>
      <c r="DN5" s="10"/>
      <c r="DO5" s="10">
        <v>1</v>
      </c>
      <c r="DP5" s="10"/>
      <c r="DQ5" s="10">
        <v>1</v>
      </c>
      <c r="DW5" s="10"/>
      <c r="DX5" s="10">
        <v>1</v>
      </c>
      <c r="DY5" s="10"/>
      <c r="DZ5" s="10">
        <v>1</v>
      </c>
      <c r="EF5" s="10"/>
      <c r="EG5" s="10"/>
      <c r="EH5" s="10"/>
      <c r="EI5" s="10"/>
      <c r="EO5" s="10"/>
      <c r="EP5" s="10"/>
      <c r="EQ5" s="10"/>
      <c r="ER5" s="10"/>
      <c r="EX5" s="10"/>
      <c r="EY5" s="10"/>
      <c r="EZ5" s="10"/>
      <c r="FA5" s="10"/>
      <c r="FG5" s="10"/>
      <c r="FH5" s="10"/>
      <c r="FI5" s="10"/>
      <c r="FJ5" s="10"/>
      <c r="FP5" s="10"/>
      <c r="FQ5" s="10"/>
      <c r="FR5" s="10"/>
      <c r="FS5" s="10"/>
    </row>
    <row r="6" spans="2:176" outlineLevel="1" x14ac:dyDescent="0.2">
      <c r="B6" t="s">
        <v>28</v>
      </c>
      <c r="C6" t="s">
        <v>89</v>
      </c>
      <c r="E6" s="9"/>
      <c r="F6" t="s">
        <v>120</v>
      </c>
      <c r="G6" s="10">
        <v>0.11</v>
      </c>
      <c r="I6" s="9">
        <f>+SUMIF($M$3:$ZL$3,I$3,$M6:$ZL6)</f>
        <v>0</v>
      </c>
      <c r="J6" s="11" cm="1">
        <f t="array" ref="J6">MAX(IF($M$3:$DT$3=$J$3,M6:DT6))</f>
        <v>0</v>
      </c>
      <c r="K6" s="11" cm="1">
        <f t="array" ref="K6">MAX(IF($M$3:$DT$3=$J$3,M6:DT6))</f>
        <v>0</v>
      </c>
      <c r="L6" s="9"/>
      <c r="O6" s="10"/>
      <c r="P6" s="10"/>
      <c r="Q6" s="10"/>
      <c r="R6" s="10"/>
      <c r="S6">
        <v>5</v>
      </c>
      <c r="V6" s="10"/>
      <c r="W6" s="10">
        <v>0.5</v>
      </c>
      <c r="X6" s="10"/>
      <c r="Y6" s="10">
        <v>0.5</v>
      </c>
      <c r="AC6" s="10"/>
      <c r="AD6" s="10">
        <v>0.5</v>
      </c>
      <c r="AE6" s="10"/>
      <c r="AF6" s="10">
        <v>0.5</v>
      </c>
      <c r="AJ6" s="10"/>
      <c r="AK6" s="10">
        <v>0.5</v>
      </c>
      <c r="AL6" s="10"/>
      <c r="AM6" s="10">
        <v>0.5</v>
      </c>
      <c r="AQ6" s="10"/>
      <c r="AR6" s="10">
        <v>0.5</v>
      </c>
      <c r="AS6" s="10"/>
      <c r="AT6" s="10">
        <v>0.5</v>
      </c>
      <c r="AX6" s="10"/>
      <c r="AY6" s="10">
        <v>0.5</v>
      </c>
      <c r="AZ6" s="10"/>
      <c r="BA6" s="10">
        <v>0.5</v>
      </c>
      <c r="BB6">
        <v>5</v>
      </c>
      <c r="BE6" s="10"/>
      <c r="BF6" s="10">
        <v>0.8</v>
      </c>
      <c r="BG6" s="10"/>
      <c r="BH6" s="10">
        <v>0.8</v>
      </c>
      <c r="BL6" s="10"/>
      <c r="BM6" s="10">
        <v>0.8</v>
      </c>
      <c r="BN6" s="10"/>
      <c r="BO6" s="10">
        <v>0.8</v>
      </c>
      <c r="BS6" s="10"/>
      <c r="BT6" s="10">
        <v>0.8</v>
      </c>
      <c r="BU6" s="10"/>
      <c r="BV6" s="10">
        <v>0.8</v>
      </c>
      <c r="BZ6" s="10"/>
      <c r="CA6" s="10">
        <v>0.8</v>
      </c>
      <c r="CB6" s="10"/>
      <c r="CC6" s="10">
        <v>0.8</v>
      </c>
      <c r="CG6" s="10"/>
      <c r="CH6" s="10">
        <v>0.8</v>
      </c>
      <c r="CI6" s="10"/>
      <c r="CJ6" s="10">
        <v>0.8</v>
      </c>
      <c r="CK6">
        <v>5</v>
      </c>
      <c r="CN6" s="10"/>
      <c r="CO6" s="10">
        <v>1</v>
      </c>
      <c r="CP6" s="10"/>
      <c r="CQ6" s="10">
        <v>1</v>
      </c>
      <c r="CV6" s="10"/>
      <c r="CW6" s="10">
        <v>1</v>
      </c>
      <c r="CX6" s="10"/>
      <c r="CY6" s="10">
        <v>1</v>
      </c>
      <c r="DE6" s="10"/>
      <c r="DF6" s="10">
        <v>1</v>
      </c>
      <c r="DG6" s="10"/>
      <c r="DH6" s="10">
        <v>1</v>
      </c>
      <c r="DN6" s="10"/>
      <c r="DO6" s="10">
        <v>1</v>
      </c>
      <c r="DP6" s="10"/>
      <c r="DQ6" s="10">
        <v>1</v>
      </c>
      <c r="DW6" s="10"/>
      <c r="DX6" s="10">
        <v>1</v>
      </c>
      <c r="DY6" s="10"/>
      <c r="DZ6" s="10">
        <v>1</v>
      </c>
      <c r="EF6" s="10"/>
      <c r="EG6" s="10"/>
      <c r="EH6" s="10"/>
      <c r="EI6" s="10"/>
      <c r="EO6" s="10"/>
      <c r="EP6" s="10"/>
      <c r="EQ6" s="10"/>
      <c r="ER6" s="10"/>
      <c r="EX6" s="10"/>
      <c r="EY6" s="10"/>
      <c r="EZ6" s="10"/>
      <c r="FA6" s="10"/>
      <c r="FG6" s="10"/>
      <c r="FH6" s="10"/>
      <c r="FI6" s="10"/>
      <c r="FJ6" s="10"/>
      <c r="FP6" s="10"/>
      <c r="FQ6" s="10"/>
      <c r="FR6" s="10"/>
      <c r="FS6" s="10"/>
    </row>
    <row r="7" spans="2:176" outlineLevel="1" x14ac:dyDescent="0.2">
      <c r="B7" t="s">
        <v>28</v>
      </c>
      <c r="C7" t="s">
        <v>89</v>
      </c>
      <c r="E7" s="9"/>
      <c r="F7" t="s">
        <v>121</v>
      </c>
      <c r="G7" s="10">
        <v>0.11</v>
      </c>
      <c r="I7" s="9">
        <f>+SUMIF($M$3:$ZL$3,I$3,$M7:$ZL7)</f>
        <v>0</v>
      </c>
      <c r="J7" s="11" cm="1">
        <f t="array" ref="J7">MAX(IF($M$3:$DT$3=$J$3,M7:DT7))</f>
        <v>0</v>
      </c>
      <c r="K7" s="11" cm="1">
        <f t="array" ref="K7">MAX(IF($M$3:$DT$3=$J$3,M7:DT7))</f>
        <v>0</v>
      </c>
      <c r="L7" s="9"/>
      <c r="O7" s="10"/>
      <c r="P7" s="10"/>
      <c r="Q7" s="10"/>
      <c r="R7" s="10"/>
      <c r="V7" s="10"/>
      <c r="W7" s="10"/>
      <c r="X7" s="10"/>
      <c r="Y7" s="10"/>
      <c r="Z7">
        <v>6</v>
      </c>
      <c r="AC7" s="10"/>
      <c r="AD7" s="10">
        <v>0.5</v>
      </c>
      <c r="AE7" s="10"/>
      <c r="AF7" s="10">
        <v>0.5</v>
      </c>
      <c r="AJ7" s="10"/>
      <c r="AK7" s="10">
        <v>0.5</v>
      </c>
      <c r="AL7" s="10"/>
      <c r="AM7" s="10">
        <v>0.5</v>
      </c>
      <c r="AQ7" s="10"/>
      <c r="AR7" s="10">
        <v>0.5</v>
      </c>
      <c r="AS7" s="10"/>
      <c r="AT7" s="10">
        <v>0.5</v>
      </c>
      <c r="AX7" s="10"/>
      <c r="AY7" s="10">
        <v>0.5</v>
      </c>
      <c r="AZ7" s="10"/>
      <c r="BA7" s="10">
        <v>0.5</v>
      </c>
      <c r="BE7" s="10"/>
      <c r="BF7" s="10">
        <v>0.5</v>
      </c>
      <c r="BG7" s="10"/>
      <c r="BH7" s="10">
        <v>0.5</v>
      </c>
      <c r="BI7">
        <v>6</v>
      </c>
      <c r="BL7" s="10"/>
      <c r="BM7" s="10">
        <v>0.8</v>
      </c>
      <c r="BN7" s="10"/>
      <c r="BO7" s="10">
        <v>0.8</v>
      </c>
      <c r="BS7" s="10"/>
      <c r="BT7" s="10">
        <v>0.8</v>
      </c>
      <c r="BU7" s="10"/>
      <c r="BV7" s="10">
        <v>0.8</v>
      </c>
      <c r="BZ7" s="10"/>
      <c r="CA7" s="10">
        <v>0.8</v>
      </c>
      <c r="CB7" s="10"/>
      <c r="CC7" s="10">
        <v>0.8</v>
      </c>
      <c r="CG7" s="10"/>
      <c r="CH7" s="10">
        <v>0.8</v>
      </c>
      <c r="CI7" s="10"/>
      <c r="CJ7" s="10">
        <v>0.8</v>
      </c>
      <c r="CN7" s="10"/>
      <c r="CO7" s="10">
        <v>0.8</v>
      </c>
      <c r="CP7" s="10"/>
      <c r="CQ7" s="10">
        <v>0.8</v>
      </c>
      <c r="CR7">
        <v>6</v>
      </c>
      <c r="CV7" s="10"/>
      <c r="CW7" s="10">
        <v>1</v>
      </c>
      <c r="CX7" s="10"/>
      <c r="CY7" s="10">
        <v>1</v>
      </c>
      <c r="DE7" s="10"/>
      <c r="DF7" s="10">
        <v>1</v>
      </c>
      <c r="DG7" s="10"/>
      <c r="DH7" s="10">
        <v>1</v>
      </c>
      <c r="DN7" s="10"/>
      <c r="DO7" s="10">
        <v>1</v>
      </c>
      <c r="DP7" s="10"/>
      <c r="DQ7" s="10">
        <v>1</v>
      </c>
      <c r="DW7" s="10"/>
      <c r="DX7" s="10">
        <v>1</v>
      </c>
      <c r="DY7" s="10"/>
      <c r="DZ7" s="10">
        <v>1</v>
      </c>
      <c r="EF7" s="10"/>
      <c r="EG7" s="10"/>
      <c r="EH7" s="10"/>
      <c r="EI7" s="10"/>
      <c r="EO7" s="10"/>
      <c r="EP7" s="10"/>
      <c r="EQ7" s="10"/>
      <c r="ER7" s="10"/>
      <c r="EX7" s="10"/>
      <c r="EY7" s="10"/>
      <c r="EZ7" s="10"/>
      <c r="FA7" s="10"/>
      <c r="FG7" s="10"/>
      <c r="FH7" s="10"/>
      <c r="FI7" s="10"/>
      <c r="FJ7" s="10"/>
      <c r="FP7" s="10"/>
      <c r="FQ7" s="10"/>
      <c r="FR7" s="10"/>
      <c r="FS7" s="10"/>
    </row>
    <row r="8" spans="2:176" outlineLevel="1" x14ac:dyDescent="0.2">
      <c r="B8" t="s">
        <v>28</v>
      </c>
      <c r="C8" t="s">
        <v>89</v>
      </c>
      <c r="E8" s="9"/>
      <c r="F8" t="s">
        <v>122</v>
      </c>
      <c r="G8" s="10">
        <v>0.11</v>
      </c>
      <c r="I8" s="9">
        <f>+SUMIF($M$3:$ZL$3,I$3,$M8:$ZL8)</f>
        <v>0</v>
      </c>
      <c r="J8" s="11" cm="1">
        <f t="array" ref="J8">MAX(IF($M$3:$DT$3=$J$3,M8:DT8))</f>
        <v>0</v>
      </c>
      <c r="K8" s="11" cm="1">
        <f t="array" ref="K8">MAX(IF($M$3:$DT$3=$J$3,M8:DT8))</f>
        <v>0</v>
      </c>
      <c r="L8" s="9"/>
      <c r="O8" s="10"/>
      <c r="P8" s="10"/>
      <c r="Q8" s="10"/>
      <c r="R8" s="10"/>
      <c r="V8" s="10"/>
      <c r="W8" s="10"/>
      <c r="X8" s="10"/>
      <c r="Y8" s="10"/>
      <c r="Z8">
        <v>5</v>
      </c>
      <c r="AC8" s="10"/>
      <c r="AD8" s="10">
        <v>0.5</v>
      </c>
      <c r="AE8" s="10"/>
      <c r="AF8" s="10">
        <v>0.5</v>
      </c>
      <c r="AJ8" s="10"/>
      <c r="AK8" s="10">
        <v>0.5</v>
      </c>
      <c r="AL8" s="10"/>
      <c r="AM8" s="10">
        <v>0.5</v>
      </c>
      <c r="AQ8" s="10"/>
      <c r="AR8" s="10">
        <v>0.5</v>
      </c>
      <c r="AS8" s="10"/>
      <c r="AT8" s="10">
        <v>0.5</v>
      </c>
      <c r="AX8" s="10"/>
      <c r="AY8" s="10">
        <v>0.5</v>
      </c>
      <c r="AZ8" s="10"/>
      <c r="BA8" s="10">
        <v>0.5</v>
      </c>
      <c r="BE8" s="10"/>
      <c r="BF8" s="10">
        <v>0.5</v>
      </c>
      <c r="BG8" s="10"/>
      <c r="BH8" s="10">
        <v>0.5</v>
      </c>
      <c r="BI8">
        <v>5</v>
      </c>
      <c r="BL8" s="10"/>
      <c r="BM8" s="10">
        <v>0.8</v>
      </c>
      <c r="BN8" s="10"/>
      <c r="BO8" s="10">
        <v>0.8</v>
      </c>
      <c r="BS8" s="10"/>
      <c r="BT8" s="10">
        <v>0.8</v>
      </c>
      <c r="BU8" s="10"/>
      <c r="BV8" s="10">
        <v>0.8</v>
      </c>
      <c r="BZ8" s="10"/>
      <c r="CA8" s="10">
        <v>0.8</v>
      </c>
      <c r="CB8" s="10"/>
      <c r="CC8" s="10">
        <v>0.8</v>
      </c>
      <c r="CG8" s="10"/>
      <c r="CH8" s="10">
        <v>0.8</v>
      </c>
      <c r="CI8" s="10"/>
      <c r="CJ8" s="10">
        <v>0.8</v>
      </c>
      <c r="CN8" s="10"/>
      <c r="CO8" s="10">
        <v>0.8</v>
      </c>
      <c r="CP8" s="10"/>
      <c r="CQ8" s="10">
        <v>0.8</v>
      </c>
      <c r="CR8">
        <v>5</v>
      </c>
      <c r="CV8" s="10"/>
      <c r="CW8" s="10">
        <v>1</v>
      </c>
      <c r="CX8" s="10"/>
      <c r="CY8" s="10">
        <v>1</v>
      </c>
      <c r="DE8" s="10"/>
      <c r="DF8" s="10">
        <v>1</v>
      </c>
      <c r="DG8" s="10"/>
      <c r="DH8" s="10">
        <v>1</v>
      </c>
      <c r="DN8" s="10"/>
      <c r="DO8" s="10">
        <v>1</v>
      </c>
      <c r="DP8" s="10"/>
      <c r="DQ8" s="10">
        <v>1</v>
      </c>
      <c r="DW8" s="10"/>
      <c r="DX8" s="10">
        <v>1</v>
      </c>
      <c r="DY8" s="10"/>
      <c r="DZ8" s="10">
        <v>1</v>
      </c>
      <c r="EF8" s="10"/>
      <c r="EG8" s="10"/>
      <c r="EH8" s="10"/>
      <c r="EI8" s="10"/>
      <c r="EO8" s="10"/>
      <c r="EP8" s="10"/>
      <c r="EQ8" s="10"/>
      <c r="ER8" s="10"/>
      <c r="EX8" s="10"/>
      <c r="EY8" s="10"/>
      <c r="EZ8" s="10"/>
      <c r="FA8" s="10"/>
      <c r="FG8" s="10"/>
      <c r="FH8" s="10"/>
      <c r="FI8" s="10"/>
      <c r="FJ8" s="10"/>
      <c r="FP8" s="10"/>
      <c r="FQ8" s="10"/>
      <c r="FR8" s="10"/>
      <c r="FS8" s="10"/>
    </row>
    <row r="9" spans="2:176" outlineLevel="1" x14ac:dyDescent="0.2">
      <c r="B9" t="s">
        <v>28</v>
      </c>
      <c r="C9" t="s">
        <v>89</v>
      </c>
      <c r="E9" s="9"/>
      <c r="F9" t="s">
        <v>123</v>
      </c>
      <c r="G9" s="10">
        <v>5.5E-2</v>
      </c>
      <c r="I9" s="9">
        <f>+SUMIF($M$3:$ZL$3,I$3,$M9:$ZL9)</f>
        <v>0</v>
      </c>
      <c r="J9" s="11" cm="1">
        <f t="array" ref="J9">MAX(IF($M$3:$DT$3=$J$3,M9:DT9))</f>
        <v>0</v>
      </c>
      <c r="K9" s="11" cm="1">
        <f t="array" ref="K9">MAX(IF($M$3:$DT$3=$J$3,M9:DT9))</f>
        <v>0</v>
      </c>
      <c r="L9" s="9"/>
      <c r="O9" s="10"/>
      <c r="P9" s="10"/>
      <c r="Q9" s="10"/>
      <c r="R9" s="10"/>
      <c r="V9" s="10"/>
      <c r="W9" s="10"/>
      <c r="X9" s="10"/>
      <c r="Y9" s="10"/>
      <c r="AC9" s="10"/>
      <c r="AD9" s="10"/>
      <c r="AE9" s="10"/>
      <c r="AF9" s="10"/>
      <c r="AG9">
        <v>6</v>
      </c>
      <c r="AJ9" s="10"/>
      <c r="AK9" s="10">
        <v>0.5</v>
      </c>
      <c r="AL9" s="10"/>
      <c r="AM9" s="10">
        <v>0.5</v>
      </c>
      <c r="AQ9" s="10"/>
      <c r="AR9" s="10">
        <v>0.5</v>
      </c>
      <c r="AS9" s="10"/>
      <c r="AT9" s="10">
        <v>0.5</v>
      </c>
      <c r="AX9" s="10"/>
      <c r="AY9" s="10">
        <v>0.5</v>
      </c>
      <c r="AZ9" s="10"/>
      <c r="BA9" s="10">
        <v>0.5</v>
      </c>
      <c r="BE9" s="10"/>
      <c r="BF9" s="10">
        <v>0.5</v>
      </c>
      <c r="BG9" s="10"/>
      <c r="BH9" s="10">
        <v>0.5</v>
      </c>
      <c r="BL9" s="10"/>
      <c r="BM9" s="10">
        <v>0.5</v>
      </c>
      <c r="BN9" s="10"/>
      <c r="BO9" s="10">
        <v>0.5</v>
      </c>
      <c r="BP9">
        <v>6</v>
      </c>
      <c r="BS9" s="10"/>
      <c r="BT9" s="10">
        <v>0.8</v>
      </c>
      <c r="BU9" s="10"/>
      <c r="BV9" s="10">
        <v>0.8</v>
      </c>
      <c r="BZ9" s="10"/>
      <c r="CA9" s="10">
        <v>0.8</v>
      </c>
      <c r="CB9" s="10"/>
      <c r="CC9" s="10">
        <v>0.8</v>
      </c>
      <c r="CG9" s="10"/>
      <c r="CH9" s="10">
        <v>0.8</v>
      </c>
      <c r="CI9" s="10"/>
      <c r="CJ9" s="10">
        <v>0.8</v>
      </c>
      <c r="CN9" s="10"/>
      <c r="CO9" s="10">
        <v>0.8</v>
      </c>
      <c r="CP9" s="10"/>
      <c r="CQ9" s="10">
        <v>0.8</v>
      </c>
      <c r="CR9">
        <v>4</v>
      </c>
      <c r="CV9" s="10"/>
      <c r="CW9" s="10">
        <v>1</v>
      </c>
      <c r="CX9" s="10"/>
      <c r="CY9" s="10">
        <v>1</v>
      </c>
      <c r="DE9" s="10"/>
      <c r="DF9" s="10">
        <v>1</v>
      </c>
      <c r="DG9" s="10"/>
      <c r="DH9" s="10">
        <v>1</v>
      </c>
      <c r="DN9" s="10"/>
      <c r="DO9" s="10">
        <v>1</v>
      </c>
      <c r="DP9" s="10"/>
      <c r="DQ9" s="10">
        <v>1</v>
      </c>
      <c r="DW9" s="10"/>
      <c r="DX9" s="10">
        <v>1</v>
      </c>
      <c r="DY9" s="10"/>
      <c r="DZ9" s="10">
        <v>1</v>
      </c>
      <c r="EF9" s="10"/>
      <c r="EG9" s="10"/>
      <c r="EH9" s="10"/>
      <c r="EI9" s="10"/>
      <c r="EO9" s="10"/>
      <c r="EP9" s="10"/>
      <c r="EQ9" s="10"/>
      <c r="ER9" s="10"/>
      <c r="EX9" s="10"/>
      <c r="EY9" s="10"/>
      <c r="EZ9" s="10"/>
      <c r="FA9" s="10"/>
      <c r="FG9" s="10"/>
      <c r="FH9" s="10"/>
      <c r="FI9" s="10"/>
      <c r="FJ9" s="10"/>
      <c r="FP9" s="10"/>
      <c r="FQ9" s="10"/>
      <c r="FR9" s="10"/>
      <c r="FS9" s="10"/>
    </row>
    <row r="10" spans="2:176" outlineLevel="1" x14ac:dyDescent="0.2">
      <c r="B10" t="s">
        <v>28</v>
      </c>
      <c r="C10" t="s">
        <v>89</v>
      </c>
      <c r="E10" s="9"/>
      <c r="F10" t="s">
        <v>124</v>
      </c>
      <c r="G10" s="10">
        <v>5.5E-2</v>
      </c>
      <c r="I10" s="9">
        <f>+SUMIF($M$3:$ZL$3,I$3,$M10:$ZL10)</f>
        <v>0</v>
      </c>
      <c r="J10" s="11" cm="1">
        <f t="array" ref="J10">MAX(IF($M$3:$DT$3=$J$3,M10:DT10))</f>
        <v>0</v>
      </c>
      <c r="K10" s="11" cm="1">
        <f t="array" ref="K10">MAX(IF($M$3:$DT$3=$J$3,M10:DT10))</f>
        <v>0</v>
      </c>
      <c r="L10" s="9"/>
      <c r="O10" s="10"/>
      <c r="P10" s="10"/>
      <c r="Q10" s="10"/>
      <c r="R10" s="10"/>
      <c r="V10" s="10"/>
      <c r="W10" s="10"/>
      <c r="X10" s="10"/>
      <c r="Y10" s="10"/>
      <c r="AC10" s="10"/>
      <c r="AD10" s="10"/>
      <c r="AE10" s="10"/>
      <c r="AF10" s="10"/>
      <c r="AG10">
        <v>5</v>
      </c>
      <c r="AJ10" s="10"/>
      <c r="AK10" s="10">
        <v>0.5</v>
      </c>
      <c r="AL10" s="10"/>
      <c r="AM10" s="10">
        <v>0.5</v>
      </c>
      <c r="AQ10" s="10"/>
      <c r="AR10" s="10">
        <v>0.5</v>
      </c>
      <c r="AS10" s="10"/>
      <c r="AT10" s="10">
        <v>0.5</v>
      </c>
      <c r="AX10" s="10"/>
      <c r="AY10" s="10">
        <v>0.5</v>
      </c>
      <c r="AZ10" s="10"/>
      <c r="BA10" s="10">
        <v>0.5</v>
      </c>
      <c r="BE10" s="10"/>
      <c r="BF10" s="10">
        <v>0.5</v>
      </c>
      <c r="BG10" s="10"/>
      <c r="BH10" s="10">
        <v>0.5</v>
      </c>
      <c r="BL10" s="10"/>
      <c r="BM10" s="10">
        <v>0.5</v>
      </c>
      <c r="BN10" s="10"/>
      <c r="BO10" s="10">
        <v>0.5</v>
      </c>
      <c r="BP10">
        <v>5</v>
      </c>
      <c r="BS10" s="10"/>
      <c r="BT10" s="10">
        <v>0.8</v>
      </c>
      <c r="BU10" s="10"/>
      <c r="BV10" s="10">
        <v>0.8</v>
      </c>
      <c r="BZ10" s="10"/>
      <c r="CA10" s="10">
        <v>0.8</v>
      </c>
      <c r="CB10" s="10"/>
      <c r="CC10" s="10">
        <v>0.8</v>
      </c>
      <c r="CG10" s="10"/>
      <c r="CH10" s="10">
        <v>0.8</v>
      </c>
      <c r="CI10" s="10"/>
      <c r="CJ10" s="10">
        <v>0.8</v>
      </c>
      <c r="CN10" s="10"/>
      <c r="CO10" s="10">
        <v>0.8</v>
      </c>
      <c r="CP10" s="10"/>
      <c r="CQ10" s="10">
        <v>0.8</v>
      </c>
      <c r="CV10" s="10"/>
      <c r="CW10" s="10">
        <v>0.8</v>
      </c>
      <c r="CX10" s="10"/>
      <c r="CY10" s="10">
        <v>0.8</v>
      </c>
      <c r="CZ10">
        <v>6</v>
      </c>
      <c r="DE10" s="10"/>
      <c r="DF10" s="10">
        <v>1</v>
      </c>
      <c r="DG10" s="10"/>
      <c r="DH10" s="10">
        <v>1</v>
      </c>
      <c r="DN10" s="10"/>
      <c r="DO10" s="10">
        <v>1</v>
      </c>
      <c r="DP10" s="10"/>
      <c r="DQ10" s="10">
        <v>1</v>
      </c>
      <c r="DW10" s="10"/>
      <c r="DX10" s="10">
        <v>1</v>
      </c>
      <c r="DY10" s="10"/>
      <c r="DZ10" s="10">
        <v>1</v>
      </c>
      <c r="EF10" s="10"/>
      <c r="EG10" s="10"/>
      <c r="EH10" s="10"/>
      <c r="EI10" s="10"/>
      <c r="EO10" s="10"/>
      <c r="EP10" s="10"/>
      <c r="EQ10" s="10"/>
      <c r="ER10" s="10"/>
      <c r="EX10" s="10"/>
      <c r="EY10" s="10"/>
      <c r="EZ10" s="10"/>
      <c r="FA10" s="10"/>
      <c r="FG10" s="10"/>
      <c r="FH10" s="10"/>
      <c r="FI10" s="10"/>
      <c r="FJ10" s="10"/>
      <c r="FP10" s="10"/>
      <c r="FQ10" s="10"/>
      <c r="FR10" s="10"/>
      <c r="FS10" s="10"/>
    </row>
    <row r="11" spans="2:176" outlineLevel="1" x14ac:dyDescent="0.2">
      <c r="B11" t="s">
        <v>28</v>
      </c>
      <c r="C11" t="s">
        <v>89</v>
      </c>
      <c r="E11" s="9"/>
      <c r="F11" t="s">
        <v>125</v>
      </c>
      <c r="G11" s="10">
        <v>5.5E-2</v>
      </c>
      <c r="I11" s="9">
        <f>+SUMIF($M$3:$ZL$3,I$3,$M11:$ZL11)</f>
        <v>0</v>
      </c>
      <c r="J11" s="11" cm="1">
        <f t="array" ref="J11">MAX(IF($M$3:$DT$3=$J$3,M11:DT11))</f>
        <v>0</v>
      </c>
      <c r="K11" s="11" cm="1">
        <f t="array" ref="K11">MAX(IF($M$3:$DT$3=$J$3,M11:DT11))</f>
        <v>0</v>
      </c>
      <c r="L11" s="9"/>
      <c r="O11" s="10"/>
      <c r="P11" s="10"/>
      <c r="Q11" s="10"/>
      <c r="R11" s="10"/>
      <c r="V11" s="10"/>
      <c r="W11" s="10"/>
      <c r="X11" s="10"/>
      <c r="Y11" s="10"/>
      <c r="AC11" s="10"/>
      <c r="AD11" s="10"/>
      <c r="AE11" s="10"/>
      <c r="AF11" s="10"/>
      <c r="AJ11" s="10"/>
      <c r="AK11" s="10"/>
      <c r="AL11" s="10"/>
      <c r="AM11" s="10"/>
      <c r="AN11">
        <v>6</v>
      </c>
      <c r="AQ11" s="10"/>
      <c r="AR11" s="10">
        <v>0.5</v>
      </c>
      <c r="AS11" s="10"/>
      <c r="AT11" s="10">
        <v>0.5</v>
      </c>
      <c r="AX11" s="10"/>
      <c r="AY11" s="10">
        <v>0.5</v>
      </c>
      <c r="AZ11" s="10"/>
      <c r="BA11" s="10">
        <v>0.5</v>
      </c>
      <c r="BE11" s="10"/>
      <c r="BF11" s="10">
        <v>0.5</v>
      </c>
      <c r="BG11" s="10"/>
      <c r="BH11" s="10">
        <v>0.5</v>
      </c>
      <c r="BL11" s="10"/>
      <c r="BM11" s="10">
        <v>0.5</v>
      </c>
      <c r="BN11" s="10"/>
      <c r="BO11" s="10">
        <v>0.5</v>
      </c>
      <c r="BP11">
        <v>4</v>
      </c>
      <c r="BS11" s="10"/>
      <c r="BT11" s="10">
        <v>0.8</v>
      </c>
      <c r="BU11" s="10"/>
      <c r="BV11" s="10">
        <v>0.8</v>
      </c>
      <c r="BZ11" s="10"/>
      <c r="CA11" s="10">
        <v>0.8</v>
      </c>
      <c r="CB11" s="10"/>
      <c r="CC11" s="10">
        <v>0.8</v>
      </c>
      <c r="CG11" s="10"/>
      <c r="CH11" s="10">
        <v>0.8</v>
      </c>
      <c r="CI11" s="10"/>
      <c r="CJ11" s="10">
        <v>0.8</v>
      </c>
      <c r="CN11" s="10"/>
      <c r="CO11" s="10">
        <v>0.8</v>
      </c>
      <c r="CP11" s="10"/>
      <c r="CQ11" s="10">
        <v>0.8</v>
      </c>
      <c r="CV11" s="10"/>
      <c r="CW11" s="10">
        <v>0.8</v>
      </c>
      <c r="CX11" s="10"/>
      <c r="CY11" s="10">
        <v>0.8</v>
      </c>
      <c r="CZ11">
        <v>5</v>
      </c>
      <c r="DE11" s="10"/>
      <c r="DF11" s="10">
        <v>1</v>
      </c>
      <c r="DG11" s="10"/>
      <c r="DH11" s="10">
        <v>1</v>
      </c>
      <c r="DN11" s="10"/>
      <c r="DO11" s="10">
        <v>1</v>
      </c>
      <c r="DP11" s="10"/>
      <c r="DQ11" s="10">
        <v>1</v>
      </c>
      <c r="DW11" s="10"/>
      <c r="DX11" s="10">
        <v>1</v>
      </c>
      <c r="DY11" s="10"/>
      <c r="DZ11" s="10">
        <v>1</v>
      </c>
      <c r="EF11" s="10"/>
      <c r="EG11" s="10"/>
      <c r="EH11" s="10"/>
      <c r="EI11" s="10"/>
      <c r="EO11" s="10"/>
      <c r="EP11" s="10"/>
      <c r="EQ11" s="10"/>
      <c r="ER11" s="10"/>
      <c r="EX11" s="10"/>
      <c r="EY11" s="10"/>
      <c r="EZ11" s="10"/>
      <c r="FA11" s="10"/>
      <c r="FG11" s="10"/>
      <c r="FH11" s="10"/>
      <c r="FI11" s="10"/>
      <c r="FJ11" s="10"/>
      <c r="FP11" s="10"/>
      <c r="FQ11" s="10"/>
      <c r="FR11" s="10"/>
      <c r="FS11" s="10"/>
    </row>
    <row r="12" spans="2:176" outlineLevel="1" x14ac:dyDescent="0.2">
      <c r="B12" t="s">
        <v>28</v>
      </c>
      <c r="C12" t="s">
        <v>89</v>
      </c>
      <c r="E12" s="9"/>
      <c r="F12" t="s">
        <v>126</v>
      </c>
      <c r="G12" s="10">
        <v>5.5E-2</v>
      </c>
      <c r="I12" s="9">
        <f>+SUMIF($M$3:$ZL$3,I$3,$M12:$ZL12)</f>
        <v>0</v>
      </c>
      <c r="J12" s="11" cm="1">
        <f t="array" ref="J12">MAX(IF($M$3:$DT$3=$J$3,M12:DT12))</f>
        <v>0</v>
      </c>
      <c r="K12" s="11" cm="1">
        <f t="array" ref="K12">MAX(IF($M$3:$DT$3=$J$3,M12:DT12))</f>
        <v>0</v>
      </c>
      <c r="L12" s="9"/>
      <c r="O12" s="10"/>
      <c r="P12" s="10"/>
      <c r="Q12" s="10"/>
      <c r="R12" s="10"/>
      <c r="V12" s="10"/>
      <c r="W12" s="10"/>
      <c r="X12" s="10"/>
      <c r="Y12" s="10"/>
      <c r="AC12" s="10"/>
      <c r="AD12" s="10"/>
      <c r="AE12" s="10"/>
      <c r="AF12" s="10"/>
      <c r="AJ12" s="10"/>
      <c r="AK12" s="10"/>
      <c r="AL12" s="10"/>
      <c r="AM12" s="10"/>
      <c r="AN12">
        <v>5</v>
      </c>
      <c r="AQ12" s="10"/>
      <c r="AR12" s="10">
        <v>0.5</v>
      </c>
      <c r="AS12" s="10"/>
      <c r="AT12" s="10">
        <v>0.5</v>
      </c>
      <c r="AX12" s="10"/>
      <c r="AY12" s="10">
        <v>0.5</v>
      </c>
      <c r="AZ12" s="10"/>
      <c r="BA12" s="10">
        <v>0.5</v>
      </c>
      <c r="BE12" s="10"/>
      <c r="BF12" s="10">
        <v>0.5</v>
      </c>
      <c r="BG12" s="10"/>
      <c r="BH12" s="10">
        <v>0.5</v>
      </c>
      <c r="BL12" s="10"/>
      <c r="BM12" s="10">
        <v>0.5</v>
      </c>
      <c r="BN12" s="10"/>
      <c r="BO12" s="10">
        <v>0.5</v>
      </c>
      <c r="BS12" s="10"/>
      <c r="BT12" s="10">
        <v>0.5</v>
      </c>
      <c r="BU12" s="10"/>
      <c r="BV12" s="10">
        <v>0.5</v>
      </c>
      <c r="BW12">
        <v>6</v>
      </c>
      <c r="BZ12" s="10"/>
      <c r="CA12" s="10">
        <v>0.8</v>
      </c>
      <c r="CB12" s="10"/>
      <c r="CC12" s="10">
        <v>0.8</v>
      </c>
      <c r="CG12" s="10"/>
      <c r="CH12" s="10">
        <v>0.8</v>
      </c>
      <c r="CI12" s="10"/>
      <c r="CJ12" s="10">
        <v>0.8</v>
      </c>
      <c r="CN12" s="10"/>
      <c r="CO12" s="10">
        <v>0.8</v>
      </c>
      <c r="CP12" s="10"/>
      <c r="CQ12" s="10">
        <v>0.8</v>
      </c>
      <c r="CV12" s="10"/>
      <c r="CW12" s="10">
        <v>0.8</v>
      </c>
      <c r="CX12" s="10"/>
      <c r="CY12" s="10">
        <v>0.8</v>
      </c>
      <c r="CZ12">
        <v>4</v>
      </c>
      <c r="DE12" s="10"/>
      <c r="DF12" s="10">
        <v>1</v>
      </c>
      <c r="DG12" s="10"/>
      <c r="DH12" s="10">
        <v>1</v>
      </c>
      <c r="DN12" s="10"/>
      <c r="DO12" s="10">
        <v>1</v>
      </c>
      <c r="DP12" s="10"/>
      <c r="DQ12" s="10">
        <v>1</v>
      </c>
      <c r="DW12" s="10"/>
      <c r="DX12" s="10">
        <v>1</v>
      </c>
      <c r="DY12" s="10"/>
      <c r="DZ12" s="10">
        <v>1</v>
      </c>
      <c r="EF12" s="10"/>
      <c r="EG12" s="10"/>
      <c r="EH12" s="10"/>
      <c r="EI12" s="10"/>
      <c r="EO12" s="10"/>
      <c r="EP12" s="10"/>
      <c r="EQ12" s="10"/>
      <c r="ER12" s="10"/>
      <c r="EX12" s="10"/>
      <c r="EY12" s="10"/>
      <c r="EZ12" s="10"/>
      <c r="FA12" s="10"/>
      <c r="FG12" s="10"/>
      <c r="FH12" s="10"/>
      <c r="FI12" s="10"/>
      <c r="FJ12" s="10"/>
      <c r="FP12" s="10"/>
      <c r="FQ12" s="10"/>
      <c r="FR12" s="10"/>
      <c r="FS12" s="10"/>
    </row>
    <row r="13" spans="2:176" outlineLevel="1" x14ac:dyDescent="0.2">
      <c r="B13" t="s">
        <v>28</v>
      </c>
      <c r="C13" t="s">
        <v>89</v>
      </c>
      <c r="E13" s="9"/>
      <c r="F13" t="s">
        <v>127</v>
      </c>
      <c r="G13" s="10">
        <v>8.2500000000000004E-2</v>
      </c>
      <c r="I13" s="9">
        <f>+SUMIF($M$3:$ZL$3,I$3,$M13:$ZL13)</f>
        <v>0</v>
      </c>
      <c r="J13" s="11" cm="1">
        <f t="array" ref="J13">MAX(IF($M$3:$DT$3=$J$3,M13:DT13))</f>
        <v>0</v>
      </c>
      <c r="K13" s="11" cm="1">
        <f t="array" ref="K13">MAX(IF($M$3:$DT$3=$J$3,M13:DT13))</f>
        <v>0</v>
      </c>
      <c r="L13" s="9"/>
      <c r="O13" s="10"/>
      <c r="P13" s="10"/>
      <c r="Q13" s="10"/>
      <c r="R13" s="10"/>
      <c r="V13" s="10"/>
      <c r="W13" s="10"/>
      <c r="X13" s="10"/>
      <c r="Y13" s="10"/>
      <c r="AC13" s="10"/>
      <c r="AD13" s="10"/>
      <c r="AE13" s="10"/>
      <c r="AF13" s="10"/>
      <c r="AJ13" s="10"/>
      <c r="AK13" s="10"/>
      <c r="AL13" s="10"/>
      <c r="AM13" s="10"/>
      <c r="AN13">
        <v>4</v>
      </c>
      <c r="AQ13" s="10"/>
      <c r="AR13" s="10">
        <v>0.5</v>
      </c>
      <c r="AS13" s="10"/>
      <c r="AT13" s="10">
        <v>0.5</v>
      </c>
      <c r="AX13" s="10"/>
      <c r="AY13" s="10">
        <v>0.5</v>
      </c>
      <c r="AZ13" s="10"/>
      <c r="BA13" s="10">
        <v>0.5</v>
      </c>
      <c r="BE13" s="10"/>
      <c r="BF13" s="10">
        <v>0.5</v>
      </c>
      <c r="BG13" s="10"/>
      <c r="BH13" s="10">
        <v>0.5</v>
      </c>
      <c r="BL13" s="10"/>
      <c r="BM13" s="10">
        <v>0.5</v>
      </c>
      <c r="BN13" s="10"/>
      <c r="BO13" s="10">
        <v>0.5</v>
      </c>
      <c r="BS13" s="10"/>
      <c r="BT13" s="10">
        <v>0.5</v>
      </c>
      <c r="BU13" s="10"/>
      <c r="BV13" s="10">
        <v>0.5</v>
      </c>
      <c r="BW13">
        <v>5</v>
      </c>
      <c r="BZ13" s="10"/>
      <c r="CA13" s="10">
        <v>0.8</v>
      </c>
      <c r="CB13" s="10"/>
      <c r="CC13" s="10">
        <v>0.8</v>
      </c>
      <c r="CG13" s="10"/>
      <c r="CH13" s="10">
        <v>0.8</v>
      </c>
      <c r="CI13" s="10"/>
      <c r="CJ13" s="10">
        <v>0.8</v>
      </c>
      <c r="CN13" s="10"/>
      <c r="CO13" s="10">
        <v>0.8</v>
      </c>
      <c r="CP13" s="10"/>
      <c r="CQ13" s="10">
        <v>0.8</v>
      </c>
      <c r="CV13" s="10"/>
      <c r="CW13" s="10">
        <v>0.8</v>
      </c>
      <c r="CX13" s="10"/>
      <c r="CY13" s="10">
        <v>0.8</v>
      </c>
      <c r="DE13" s="10"/>
      <c r="DF13" s="10">
        <v>0.8</v>
      </c>
      <c r="DG13" s="10"/>
      <c r="DH13" s="10">
        <v>0.8</v>
      </c>
      <c r="DI13">
        <v>6</v>
      </c>
      <c r="DN13" s="10"/>
      <c r="DO13" s="10">
        <v>1</v>
      </c>
      <c r="DP13" s="10"/>
      <c r="DQ13" s="10">
        <v>1</v>
      </c>
      <c r="DW13" s="10"/>
      <c r="DX13" s="10">
        <v>1</v>
      </c>
      <c r="DY13" s="10"/>
      <c r="DZ13" s="10">
        <v>1</v>
      </c>
      <c r="EF13" s="10"/>
      <c r="EG13" s="10"/>
      <c r="EH13" s="10"/>
      <c r="EI13" s="10"/>
      <c r="EO13" s="10"/>
      <c r="EP13" s="10"/>
      <c r="EQ13" s="10"/>
      <c r="ER13" s="10"/>
      <c r="EX13" s="10"/>
      <c r="EY13" s="10"/>
      <c r="EZ13" s="10"/>
      <c r="FA13" s="10"/>
      <c r="FG13" s="10"/>
      <c r="FH13" s="10"/>
      <c r="FI13" s="10"/>
      <c r="FJ13" s="10"/>
      <c r="FP13" s="10"/>
      <c r="FQ13" s="10"/>
      <c r="FR13" s="10"/>
      <c r="FS13" s="10"/>
    </row>
    <row r="14" spans="2:176" outlineLevel="1" x14ac:dyDescent="0.2">
      <c r="B14" t="s">
        <v>28</v>
      </c>
      <c r="C14" t="s">
        <v>89</v>
      </c>
      <c r="E14" s="9"/>
      <c r="F14" t="s">
        <v>128</v>
      </c>
      <c r="G14" s="10">
        <v>8.2500000000000004E-2</v>
      </c>
      <c r="I14" s="9">
        <f>+SUMIF($M$3:$ZL$3,I$3,$M14:$ZL14)</f>
        <v>0</v>
      </c>
      <c r="J14" s="11" cm="1">
        <f t="array" ref="J14">MAX(IF($M$3:$DT$3=$J$3,M14:DT14))</f>
        <v>0</v>
      </c>
      <c r="K14" s="11" cm="1">
        <f t="array" ref="K14">MAX(IF($M$3:$DT$3=$J$3,M14:DT14))</f>
        <v>0</v>
      </c>
      <c r="L14" s="9"/>
      <c r="O14" s="10"/>
      <c r="P14" s="10"/>
      <c r="Q14" s="10"/>
      <c r="R14" s="10"/>
      <c r="V14" s="10"/>
      <c r="W14" s="10"/>
      <c r="X14" s="10"/>
      <c r="Y14" s="10"/>
      <c r="AC14" s="10"/>
      <c r="AD14" s="10"/>
      <c r="AE14" s="10"/>
      <c r="AF14" s="10"/>
      <c r="AJ14" s="10"/>
      <c r="AK14" s="10"/>
      <c r="AL14" s="10"/>
      <c r="AM14" s="10"/>
      <c r="AQ14" s="10"/>
      <c r="AR14" s="10"/>
      <c r="AS14" s="10"/>
      <c r="AT14" s="10"/>
      <c r="AU14">
        <v>6</v>
      </c>
      <c r="AX14" s="10"/>
      <c r="AY14" s="10">
        <v>0.5</v>
      </c>
      <c r="AZ14" s="10"/>
      <c r="BA14" s="10">
        <v>0.5</v>
      </c>
      <c r="BE14" s="10"/>
      <c r="BF14" s="10">
        <v>0.5</v>
      </c>
      <c r="BG14" s="10"/>
      <c r="BH14" s="10">
        <v>0.5</v>
      </c>
      <c r="BL14" s="10"/>
      <c r="BM14" s="10">
        <v>0.5</v>
      </c>
      <c r="BN14" s="10"/>
      <c r="BO14" s="10">
        <v>0.5</v>
      </c>
      <c r="BS14" s="10"/>
      <c r="BT14" s="10">
        <v>0.5</v>
      </c>
      <c r="BU14" s="10"/>
      <c r="BV14" s="10">
        <v>0.5</v>
      </c>
      <c r="BW14">
        <v>4</v>
      </c>
      <c r="BZ14" s="10"/>
      <c r="CA14" s="10">
        <v>0.8</v>
      </c>
      <c r="CB14" s="10"/>
      <c r="CC14" s="10">
        <v>0.8</v>
      </c>
      <c r="CG14" s="10"/>
      <c r="CH14" s="10">
        <v>0.8</v>
      </c>
      <c r="CI14" s="10"/>
      <c r="CJ14" s="10">
        <v>0.8</v>
      </c>
      <c r="CN14" s="10"/>
      <c r="CO14" s="10">
        <v>0.8</v>
      </c>
      <c r="CP14" s="10"/>
      <c r="CQ14" s="10">
        <v>0.8</v>
      </c>
      <c r="CV14" s="10"/>
      <c r="CW14" s="10">
        <v>0.8</v>
      </c>
      <c r="CX14" s="10"/>
      <c r="CY14" s="10">
        <v>0.8</v>
      </c>
      <c r="DE14" s="10"/>
      <c r="DF14" s="10">
        <v>0.8</v>
      </c>
      <c r="DG14" s="10"/>
      <c r="DH14" s="10">
        <v>0.8</v>
      </c>
      <c r="DI14">
        <v>5</v>
      </c>
      <c r="DN14" s="10"/>
      <c r="DO14" s="10">
        <v>1</v>
      </c>
      <c r="DP14" s="10"/>
      <c r="DQ14" s="10">
        <v>1</v>
      </c>
      <c r="DW14" s="10"/>
      <c r="DX14" s="10">
        <v>1</v>
      </c>
      <c r="DY14" s="10"/>
      <c r="DZ14" s="10">
        <v>1</v>
      </c>
      <c r="EF14" s="10"/>
      <c r="EG14" s="10"/>
      <c r="EH14" s="10"/>
      <c r="EI14" s="10"/>
      <c r="EO14" s="10"/>
      <c r="EP14" s="10"/>
      <c r="EQ14" s="10"/>
      <c r="ER14" s="10"/>
      <c r="EX14" s="10"/>
      <c r="EY14" s="10"/>
      <c r="EZ14" s="10"/>
      <c r="FA14" s="10"/>
      <c r="FG14" s="10"/>
      <c r="FH14" s="10"/>
      <c r="FI14" s="10"/>
      <c r="FJ14" s="10"/>
      <c r="FP14" s="10"/>
      <c r="FQ14" s="10"/>
      <c r="FR14" s="10"/>
      <c r="FS14" s="10"/>
    </row>
    <row r="15" spans="2:176" outlineLevel="1" x14ac:dyDescent="0.2">
      <c r="B15" t="s">
        <v>28</v>
      </c>
      <c r="C15" t="s">
        <v>89</v>
      </c>
      <c r="E15" s="9"/>
      <c r="F15" t="s">
        <v>129</v>
      </c>
      <c r="G15" s="10">
        <v>8.2500000000000004E-2</v>
      </c>
      <c r="I15" s="9">
        <f>+SUMIF($M$3:$ZL$3,I$3,$M15:$ZL15)</f>
        <v>0</v>
      </c>
      <c r="J15" s="11" cm="1">
        <f t="array" ref="J15">MAX(IF($M$3:$DT$3=$J$3,M15:DT15))</f>
        <v>0</v>
      </c>
      <c r="K15" s="11" cm="1">
        <f t="array" ref="K15">MAX(IF($M$3:$DT$3=$J$3,M15:DT15))</f>
        <v>0</v>
      </c>
      <c r="L15" s="9"/>
      <c r="O15" s="10"/>
      <c r="P15" s="10"/>
      <c r="Q15" s="10"/>
      <c r="R15" s="10"/>
      <c r="V15" s="10"/>
      <c r="W15" s="10"/>
      <c r="X15" s="10"/>
      <c r="Y15" s="10"/>
      <c r="AC15" s="10"/>
      <c r="AD15" s="10"/>
      <c r="AE15" s="10"/>
      <c r="AF15" s="10"/>
      <c r="AJ15" s="10"/>
      <c r="AK15" s="10"/>
      <c r="AL15" s="10"/>
      <c r="AM15" s="10"/>
      <c r="AQ15" s="10"/>
      <c r="AR15" s="10"/>
      <c r="AS15" s="10"/>
      <c r="AT15" s="10"/>
      <c r="AU15">
        <v>5</v>
      </c>
      <c r="AX15" s="10"/>
      <c r="AY15" s="10">
        <v>0.5</v>
      </c>
      <c r="AZ15" s="10"/>
      <c r="BA15" s="10">
        <v>0.5</v>
      </c>
      <c r="BE15" s="10"/>
      <c r="BF15" s="10">
        <v>0.5</v>
      </c>
      <c r="BG15" s="10"/>
      <c r="BH15" s="10">
        <v>0.5</v>
      </c>
      <c r="BL15" s="10"/>
      <c r="BM15" s="10">
        <v>0.5</v>
      </c>
      <c r="BN15" s="10"/>
      <c r="BO15" s="10">
        <v>0.5</v>
      </c>
      <c r="BS15" s="10"/>
      <c r="BT15" s="10">
        <v>0.5</v>
      </c>
      <c r="BU15" s="10"/>
      <c r="BV15" s="10">
        <v>0.5</v>
      </c>
      <c r="BZ15" s="10"/>
      <c r="CA15" s="10">
        <v>0.5</v>
      </c>
      <c r="CB15" s="10"/>
      <c r="CC15" s="10">
        <v>0.5</v>
      </c>
      <c r="CD15">
        <v>6</v>
      </c>
      <c r="CG15" s="10"/>
      <c r="CH15" s="10">
        <v>0.8</v>
      </c>
      <c r="CI15" s="10"/>
      <c r="CJ15" s="10">
        <v>0.8</v>
      </c>
      <c r="CN15" s="10"/>
      <c r="CO15" s="10">
        <v>0.8</v>
      </c>
      <c r="CP15" s="10"/>
      <c r="CQ15" s="10">
        <v>0.8</v>
      </c>
      <c r="CV15" s="10"/>
      <c r="CW15" s="10">
        <v>0.8</v>
      </c>
      <c r="CX15" s="10"/>
      <c r="CY15" s="10">
        <v>0.8</v>
      </c>
      <c r="DE15" s="10"/>
      <c r="DF15" s="10">
        <v>0.8</v>
      </c>
      <c r="DG15" s="10"/>
      <c r="DH15" s="10">
        <v>0.8</v>
      </c>
      <c r="DN15" s="10"/>
      <c r="DO15" s="10">
        <v>0.8</v>
      </c>
      <c r="DP15" s="10"/>
      <c r="DQ15" s="10">
        <v>0.8</v>
      </c>
      <c r="DR15">
        <v>6</v>
      </c>
      <c r="DW15" s="10"/>
      <c r="DX15" s="10">
        <v>1</v>
      </c>
      <c r="DY15" s="10"/>
      <c r="DZ15" s="10">
        <v>1</v>
      </c>
      <c r="EF15" s="10"/>
      <c r="EG15" s="10"/>
      <c r="EH15" s="10"/>
      <c r="EI15" s="10"/>
      <c r="EO15" s="10"/>
      <c r="EP15" s="10"/>
      <c r="EQ15" s="10"/>
      <c r="ER15" s="10"/>
      <c r="EX15" s="10"/>
      <c r="EY15" s="10"/>
      <c r="EZ15" s="10"/>
      <c r="FA15" s="10"/>
      <c r="FG15" s="10"/>
      <c r="FH15" s="10"/>
      <c r="FI15" s="10"/>
      <c r="FJ15" s="10"/>
      <c r="FP15" s="10"/>
      <c r="FQ15" s="10"/>
      <c r="FR15" s="10"/>
      <c r="FS15" s="10"/>
    </row>
    <row r="16" spans="2:176" outlineLevel="1" x14ac:dyDescent="0.2">
      <c r="B16" t="s">
        <v>28</v>
      </c>
      <c r="C16" t="s">
        <v>89</v>
      </c>
      <c r="E16" s="9"/>
      <c r="F16" t="s">
        <v>130</v>
      </c>
      <c r="G16" s="10">
        <v>8.2500000000000004E-2</v>
      </c>
      <c r="I16" s="9">
        <f>+SUMIF($M$3:$ZL$3,I$3,$M16:$ZL16)</f>
        <v>0</v>
      </c>
      <c r="J16" s="11" cm="1">
        <f t="array" ref="J16">MAX(IF($M$3:$DT$3=$J$3,M16:DT16))</f>
        <v>0</v>
      </c>
      <c r="K16" s="11" cm="1">
        <f t="array" ref="K16">MAX(IF($M$3:$DT$3=$J$3,M16:DT16))</f>
        <v>0</v>
      </c>
      <c r="L16" s="9"/>
      <c r="O16" s="10"/>
      <c r="P16" s="10"/>
      <c r="Q16" s="10"/>
      <c r="R16" s="10"/>
      <c r="V16" s="10"/>
      <c r="W16" s="10"/>
      <c r="X16" s="10"/>
      <c r="Y16" s="10"/>
      <c r="AC16" s="10"/>
      <c r="AD16" s="10"/>
      <c r="AE16" s="10"/>
      <c r="AF16" s="10"/>
      <c r="AJ16" s="10"/>
      <c r="AK16" s="10"/>
      <c r="AL16" s="10"/>
      <c r="AM16" s="10"/>
      <c r="AQ16" s="10"/>
      <c r="AR16" s="10"/>
      <c r="AS16" s="10"/>
      <c r="AT16" s="10"/>
      <c r="AU16">
        <v>4</v>
      </c>
      <c r="AX16" s="10"/>
      <c r="AY16" s="10">
        <v>0.5</v>
      </c>
      <c r="AZ16" s="10"/>
      <c r="BA16" s="10">
        <v>0.5</v>
      </c>
      <c r="BE16" s="10"/>
      <c r="BF16" s="10">
        <v>0.5</v>
      </c>
      <c r="BG16" s="10"/>
      <c r="BH16" s="10">
        <v>0.5</v>
      </c>
      <c r="BL16" s="10"/>
      <c r="BM16" s="10">
        <v>0.5</v>
      </c>
      <c r="BN16" s="10"/>
      <c r="BO16" s="10">
        <v>0.5</v>
      </c>
      <c r="BS16" s="10"/>
      <c r="BT16" s="10">
        <v>0.5</v>
      </c>
      <c r="BU16" s="10"/>
      <c r="BV16" s="10">
        <v>0.5</v>
      </c>
      <c r="BZ16" s="10"/>
      <c r="CA16" s="10">
        <v>0.5</v>
      </c>
      <c r="CB16" s="10"/>
      <c r="CC16" s="10">
        <v>0.5</v>
      </c>
      <c r="CD16">
        <v>5</v>
      </c>
      <c r="CG16" s="10"/>
      <c r="CH16" s="10">
        <v>0.8</v>
      </c>
      <c r="CI16" s="10"/>
      <c r="CJ16" s="10">
        <v>0.8</v>
      </c>
      <c r="CN16" s="10"/>
      <c r="CO16" s="10">
        <v>0.8</v>
      </c>
      <c r="CP16" s="10"/>
      <c r="CQ16" s="10">
        <v>0.8</v>
      </c>
      <c r="CV16" s="10"/>
      <c r="CW16" s="10">
        <v>0.8</v>
      </c>
      <c r="CX16" s="10"/>
      <c r="CY16" s="10">
        <v>0.8</v>
      </c>
      <c r="DE16" s="10"/>
      <c r="DF16" s="10">
        <v>0.8</v>
      </c>
      <c r="DG16" s="10"/>
      <c r="DH16" s="10">
        <v>0.8</v>
      </c>
      <c r="DN16" s="10"/>
      <c r="DO16" s="10">
        <v>0.8</v>
      </c>
      <c r="DP16" s="10"/>
      <c r="DQ16" s="10">
        <v>0.8</v>
      </c>
      <c r="DR16">
        <v>5</v>
      </c>
      <c r="DW16" s="10"/>
      <c r="DX16" s="10">
        <v>1</v>
      </c>
      <c r="DY16" s="10"/>
      <c r="DZ16" s="10">
        <v>1</v>
      </c>
      <c r="EF16" s="10"/>
      <c r="EG16" s="10"/>
      <c r="EH16" s="10"/>
      <c r="EI16" s="10"/>
      <c r="EO16" s="10"/>
      <c r="EP16" s="10"/>
      <c r="EQ16" s="10"/>
      <c r="ER16" s="10"/>
      <c r="EX16" s="10"/>
      <c r="EY16" s="10"/>
      <c r="EZ16" s="10"/>
      <c r="FA16" s="10"/>
      <c r="FG16" s="10"/>
      <c r="FH16" s="10"/>
      <c r="FI16" s="10"/>
      <c r="FJ16" s="10"/>
      <c r="FP16" s="10"/>
      <c r="FQ16" s="10"/>
      <c r="FR16" s="10"/>
      <c r="FS16" s="10"/>
    </row>
    <row r="17" spans="2:175" outlineLevel="1" x14ac:dyDescent="0.2">
      <c r="E17" s="9"/>
      <c r="G17" s="10"/>
      <c r="I17" s="9"/>
      <c r="J17" s="11"/>
      <c r="K17" s="11"/>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V17" s="10"/>
      <c r="CW17" s="10"/>
      <c r="CX17" s="10"/>
      <c r="CY17" s="10"/>
      <c r="DE17" s="10"/>
      <c r="DF17" s="10"/>
      <c r="DG17" s="10"/>
      <c r="DH17" s="10"/>
      <c r="DN17" s="10"/>
      <c r="DO17" s="10"/>
      <c r="DP17" s="10"/>
      <c r="DQ17" s="10"/>
      <c r="DW17" s="10"/>
      <c r="DX17" s="10"/>
      <c r="DY17" s="10"/>
      <c r="DZ17" s="10"/>
      <c r="EF17" s="10"/>
      <c r="EG17" s="10"/>
      <c r="EH17" s="10"/>
      <c r="EI17" s="10"/>
      <c r="EO17" s="10"/>
      <c r="EP17" s="10"/>
      <c r="EQ17" s="10"/>
      <c r="ER17" s="10"/>
      <c r="EX17" s="10"/>
      <c r="EY17" s="10"/>
      <c r="EZ17" s="10"/>
      <c r="FA17" s="10"/>
      <c r="FG17" s="10"/>
      <c r="FH17" s="10"/>
      <c r="FI17" s="10"/>
      <c r="FJ17" s="10"/>
      <c r="FP17" s="10"/>
      <c r="FQ17" s="10"/>
      <c r="FR17" s="10"/>
      <c r="FS17" s="10"/>
    </row>
    <row r="18" spans="2:175" outlineLevel="1" x14ac:dyDescent="0.2">
      <c r="E18" s="9"/>
      <c r="G18" s="10"/>
      <c r="I18" s="9"/>
      <c r="J18" s="11"/>
      <c r="K18" s="11"/>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V18" s="10"/>
      <c r="CW18" s="10"/>
      <c r="CX18" s="10"/>
      <c r="CY18" s="10"/>
      <c r="DE18" s="10"/>
      <c r="DF18" s="10"/>
      <c r="DG18" s="10"/>
      <c r="DH18" s="10"/>
      <c r="DN18" s="10"/>
      <c r="DO18" s="10"/>
      <c r="DP18" s="10"/>
      <c r="DQ18" s="10"/>
      <c r="DW18" s="10"/>
      <c r="DX18" s="10"/>
      <c r="DY18" s="10"/>
      <c r="DZ18" s="10"/>
      <c r="EF18" s="10"/>
      <c r="EG18" s="10"/>
      <c r="EH18" s="10"/>
      <c r="EI18" s="10"/>
      <c r="EO18" s="10"/>
      <c r="EP18" s="10"/>
      <c r="EQ18" s="10"/>
      <c r="ER18" s="10"/>
      <c r="EX18" s="10"/>
      <c r="EY18" s="10"/>
      <c r="EZ18" s="10"/>
      <c r="FA18" s="10"/>
      <c r="FG18" s="10"/>
      <c r="FH18" s="10"/>
      <c r="FI18" s="10"/>
      <c r="FJ18" s="10"/>
      <c r="FP18" s="10"/>
      <c r="FQ18" s="10"/>
      <c r="FR18" s="10"/>
      <c r="FS18" s="10"/>
    </row>
    <row r="19" spans="2:175" x14ac:dyDescent="0.2">
      <c r="B19" t="s">
        <v>27</v>
      </c>
      <c r="C19" t="s">
        <v>90</v>
      </c>
      <c r="D19" s="19">
        <v>44990</v>
      </c>
      <c r="E19">
        <v>5</v>
      </c>
      <c r="G19" s="10">
        <f>+SUM(G20:G25)</f>
        <v>0.6</v>
      </c>
      <c r="I19" s="12">
        <f>+SUM(I20:I25)</f>
        <v>0</v>
      </c>
      <c r="J19" s="11">
        <f>+SUMPRODUCT(G20:G25,J20:J25)</f>
        <v>0</v>
      </c>
      <c r="K19" s="11">
        <f>+SUMPRODUCT(G20:G25,K20:K25)</f>
        <v>0</v>
      </c>
      <c r="DO19" s="10"/>
      <c r="DQ19" s="10"/>
      <c r="DZ19" s="10"/>
    </row>
    <row r="20" spans="2:175" outlineLevel="1" x14ac:dyDescent="0.2">
      <c r="B20" t="s">
        <v>28</v>
      </c>
      <c r="C20" t="s">
        <v>90</v>
      </c>
      <c r="E20" s="9"/>
      <c r="F20" t="s">
        <v>39</v>
      </c>
      <c r="G20" s="10">
        <v>0.1</v>
      </c>
      <c r="I20" s="9">
        <f>+SUMIF($M$3:$ZL$3,I$3,$M20:$ZL20)</f>
        <v>0</v>
      </c>
      <c r="J20" s="11" cm="1">
        <f t="array" ref="J20">MAX(IF($M$3:$DT$3=$J$3,M20:DT20))</f>
        <v>0</v>
      </c>
      <c r="K20" s="11" cm="1">
        <f t="array" ref="K20">MAX(IF($M$3:$DT$3=$J$3,M20:DT20))</f>
        <v>0</v>
      </c>
      <c r="L20" s="9"/>
      <c r="O20" s="10"/>
      <c r="P20" s="10">
        <v>0.5</v>
      </c>
      <c r="Q20" s="10"/>
      <c r="R20" s="10">
        <v>0.5</v>
      </c>
      <c r="V20" s="10"/>
      <c r="W20" s="10">
        <v>0.5</v>
      </c>
      <c r="X20" s="10"/>
      <c r="Y20" s="10">
        <v>0.5</v>
      </c>
      <c r="AC20" s="10"/>
      <c r="AD20" s="10">
        <v>0.5</v>
      </c>
      <c r="AE20" s="10"/>
      <c r="AF20" s="10">
        <v>0.5</v>
      </c>
      <c r="AJ20" s="10"/>
      <c r="AK20" s="10">
        <v>0.5</v>
      </c>
      <c r="AL20" s="10"/>
      <c r="AM20" s="10">
        <v>0.5</v>
      </c>
      <c r="AN20">
        <v>3</v>
      </c>
      <c r="AQ20" s="10"/>
      <c r="AR20" s="10">
        <v>0.8</v>
      </c>
      <c r="AS20" s="10"/>
      <c r="AT20" s="10">
        <v>0.8</v>
      </c>
      <c r="AX20" s="10"/>
      <c r="AY20" s="10">
        <v>0.8</v>
      </c>
      <c r="AZ20" s="10"/>
      <c r="BA20" s="10">
        <v>0.8</v>
      </c>
      <c r="BE20" s="10"/>
      <c r="BF20" s="10">
        <v>0.8</v>
      </c>
      <c r="BG20" s="10"/>
      <c r="BH20" s="10">
        <v>0.8</v>
      </c>
      <c r="BL20" s="10"/>
      <c r="BM20" s="10">
        <v>0.8</v>
      </c>
      <c r="BN20" s="10"/>
      <c r="BO20" s="10">
        <v>0.8</v>
      </c>
      <c r="BS20" s="10"/>
      <c r="BT20" s="10">
        <v>0.8</v>
      </c>
      <c r="BU20" s="10"/>
      <c r="BV20" s="10">
        <v>0.8</v>
      </c>
      <c r="BZ20" s="10"/>
      <c r="CA20" s="10">
        <v>0.8</v>
      </c>
      <c r="CB20" s="10"/>
      <c r="CC20" s="10">
        <v>0.8</v>
      </c>
      <c r="CD20">
        <v>4</v>
      </c>
      <c r="CG20" s="10"/>
      <c r="CH20" s="10">
        <v>1</v>
      </c>
      <c r="CI20" s="10"/>
      <c r="CJ20" s="10">
        <v>1</v>
      </c>
      <c r="CN20" s="10"/>
      <c r="CO20" s="10">
        <v>1</v>
      </c>
      <c r="CP20" s="10"/>
      <c r="CQ20" s="10">
        <v>1</v>
      </c>
      <c r="CV20" s="10"/>
      <c r="CW20" s="10">
        <v>1</v>
      </c>
      <c r="CX20" s="10"/>
      <c r="CY20" s="10">
        <v>1</v>
      </c>
      <c r="DE20" s="10"/>
      <c r="DF20" s="10">
        <v>1</v>
      </c>
      <c r="DG20" s="10"/>
      <c r="DH20" s="10">
        <v>1</v>
      </c>
      <c r="DN20" s="10"/>
      <c r="DO20" s="10">
        <v>1</v>
      </c>
      <c r="DP20" s="10"/>
      <c r="DQ20" s="10">
        <v>1</v>
      </c>
      <c r="DW20" s="10"/>
      <c r="DX20" s="10">
        <v>1</v>
      </c>
      <c r="DY20" s="10"/>
      <c r="DZ20" s="10">
        <v>1</v>
      </c>
      <c r="EF20" s="10"/>
      <c r="EG20" s="10"/>
      <c r="EH20" s="10"/>
      <c r="EI20" s="10"/>
      <c r="EO20" s="10"/>
      <c r="EP20" s="10"/>
      <c r="EQ20" s="10"/>
      <c r="ER20" s="10"/>
      <c r="EX20" s="10"/>
      <c r="EY20" s="10"/>
      <c r="EZ20" s="10"/>
      <c r="FA20" s="10"/>
      <c r="FG20" s="10"/>
      <c r="FH20" s="10"/>
      <c r="FI20" s="10"/>
      <c r="FJ20" s="10"/>
      <c r="FP20" s="10"/>
      <c r="FQ20" s="10"/>
      <c r="FR20" s="10"/>
      <c r="FS20" s="10"/>
    </row>
    <row r="21" spans="2:175" outlineLevel="1" x14ac:dyDescent="0.2">
      <c r="B21" t="s">
        <v>28</v>
      </c>
      <c r="C21" t="s">
        <v>90</v>
      </c>
      <c r="E21" s="9"/>
      <c r="F21" t="s">
        <v>39</v>
      </c>
      <c r="G21" s="10">
        <v>0.1</v>
      </c>
      <c r="I21" s="9">
        <f>+SUMIF($M$3:$ZL$3,I$3,$M21:$ZL21)</f>
        <v>0</v>
      </c>
      <c r="J21" s="11" cm="1">
        <f t="array" ref="J21">MAX(IF($M$3:$DT$3=$J$3,M21:DT21))</f>
        <v>0</v>
      </c>
      <c r="K21" s="11" cm="1">
        <f t="array" ref="K21">MAX(IF($M$3:$DT$3=$J$3,M21:DT21))</f>
        <v>0</v>
      </c>
      <c r="L21" s="9"/>
      <c r="O21" s="10"/>
      <c r="P21" s="10">
        <v>0.5</v>
      </c>
      <c r="Q21" s="10"/>
      <c r="R21" s="10">
        <v>0.5</v>
      </c>
      <c r="V21" s="10"/>
      <c r="W21" s="10">
        <v>0.5</v>
      </c>
      <c r="X21" s="10"/>
      <c r="Y21" s="10">
        <v>0.5</v>
      </c>
      <c r="AC21" s="10"/>
      <c r="AD21" s="10">
        <v>0.5</v>
      </c>
      <c r="AE21" s="10"/>
      <c r="AF21" s="10">
        <v>0.5</v>
      </c>
      <c r="AJ21" s="10"/>
      <c r="AK21" s="10">
        <v>0.5</v>
      </c>
      <c r="AL21" s="10"/>
      <c r="AM21" s="10">
        <v>0.5</v>
      </c>
      <c r="AQ21" s="10"/>
      <c r="AR21" s="10">
        <v>0.5</v>
      </c>
      <c r="AS21" s="10"/>
      <c r="AT21" s="10">
        <v>0.5</v>
      </c>
      <c r="AU21">
        <v>3</v>
      </c>
      <c r="AX21" s="10"/>
      <c r="AY21" s="10">
        <v>0.8</v>
      </c>
      <c r="AZ21" s="10"/>
      <c r="BA21" s="10">
        <v>0.8</v>
      </c>
      <c r="BE21" s="10"/>
      <c r="BF21" s="10">
        <v>0.8</v>
      </c>
      <c r="BG21" s="10"/>
      <c r="BH21" s="10">
        <v>0.8</v>
      </c>
      <c r="BL21" s="10"/>
      <c r="BM21" s="10">
        <v>0.8</v>
      </c>
      <c r="BN21" s="10"/>
      <c r="BO21" s="10">
        <v>0.8</v>
      </c>
      <c r="BS21" s="10"/>
      <c r="BT21" s="10">
        <v>0.8</v>
      </c>
      <c r="BU21" s="10"/>
      <c r="BV21" s="10">
        <v>0.8</v>
      </c>
      <c r="BZ21" s="10"/>
      <c r="CA21" s="10">
        <v>0.8</v>
      </c>
      <c r="CB21" s="10"/>
      <c r="CC21" s="10">
        <v>0.8</v>
      </c>
      <c r="CG21" s="10"/>
      <c r="CH21" s="10">
        <v>0.8</v>
      </c>
      <c r="CI21" s="10"/>
      <c r="CJ21" s="10">
        <v>0.8</v>
      </c>
      <c r="CK21">
        <v>4</v>
      </c>
      <c r="CN21" s="10"/>
      <c r="CO21" s="10">
        <v>1</v>
      </c>
      <c r="CP21" s="10"/>
      <c r="CQ21" s="10">
        <v>1</v>
      </c>
      <c r="CV21" s="10"/>
      <c r="CW21" s="10">
        <v>1</v>
      </c>
      <c r="CX21" s="10"/>
      <c r="CY21" s="10">
        <v>1</v>
      </c>
      <c r="DE21" s="10"/>
      <c r="DF21" s="10">
        <v>1</v>
      </c>
      <c r="DG21" s="10"/>
      <c r="DH21" s="10">
        <v>1</v>
      </c>
      <c r="DN21" s="10"/>
      <c r="DO21" s="10">
        <v>1</v>
      </c>
      <c r="DP21" s="10"/>
      <c r="DQ21" s="10">
        <v>1</v>
      </c>
      <c r="DW21" s="10"/>
      <c r="DX21" s="10">
        <v>1</v>
      </c>
      <c r="DY21" s="10"/>
      <c r="DZ21" s="10">
        <v>1</v>
      </c>
      <c r="EF21" s="10"/>
      <c r="EG21" s="10"/>
      <c r="EH21" s="10"/>
      <c r="EI21" s="10"/>
      <c r="EO21" s="10"/>
      <c r="EP21" s="10"/>
      <c r="EQ21" s="10"/>
      <c r="ER21" s="10"/>
      <c r="EX21" s="10"/>
      <c r="EY21" s="10"/>
      <c r="EZ21" s="10"/>
      <c r="FA21" s="10"/>
      <c r="FG21" s="10"/>
      <c r="FH21" s="10"/>
      <c r="FI21" s="10"/>
      <c r="FJ21" s="10"/>
      <c r="FP21" s="10"/>
      <c r="FQ21" s="10"/>
      <c r="FR21" s="10"/>
      <c r="FS21" s="10"/>
    </row>
    <row r="22" spans="2:175" outlineLevel="1" x14ac:dyDescent="0.2">
      <c r="B22" t="s">
        <v>28</v>
      </c>
      <c r="C22" t="s">
        <v>90</v>
      </c>
      <c r="E22" s="9"/>
      <c r="F22" t="s">
        <v>39</v>
      </c>
      <c r="G22" s="10">
        <v>0.1</v>
      </c>
      <c r="I22" s="9">
        <f>+SUMIF($M$3:$ZL$3,I$3,$M22:$ZL22)</f>
        <v>0</v>
      </c>
      <c r="J22" s="11" cm="1">
        <f t="array" ref="J22">MAX(IF($M$3:$DT$3=$J$3,M22:DT22))</f>
        <v>0</v>
      </c>
      <c r="K22" s="11" cm="1">
        <f t="array" ref="K22">MAX(IF($M$3:$DT$3=$J$3,M22:DT22))</f>
        <v>0</v>
      </c>
      <c r="L22" s="9"/>
      <c r="O22" s="10"/>
      <c r="P22" s="10">
        <v>0.5</v>
      </c>
      <c r="Q22" s="10"/>
      <c r="R22" s="10">
        <v>0.5</v>
      </c>
      <c r="V22" s="10"/>
      <c r="W22" s="10">
        <v>0.5</v>
      </c>
      <c r="X22" s="10"/>
      <c r="Y22" s="10">
        <v>0.5</v>
      </c>
      <c r="AC22" s="10"/>
      <c r="AD22" s="10">
        <v>0.5</v>
      </c>
      <c r="AE22" s="10"/>
      <c r="AF22" s="10">
        <v>0.5</v>
      </c>
      <c r="AJ22" s="10"/>
      <c r="AK22" s="10">
        <v>0.5</v>
      </c>
      <c r="AL22" s="10"/>
      <c r="AM22" s="10">
        <v>0.5</v>
      </c>
      <c r="AQ22" s="10"/>
      <c r="AR22" s="10">
        <v>0.5</v>
      </c>
      <c r="AS22" s="10"/>
      <c r="AT22" s="10">
        <v>0.5</v>
      </c>
      <c r="AX22" s="10"/>
      <c r="AY22" s="10">
        <v>0.5</v>
      </c>
      <c r="AZ22" s="10"/>
      <c r="BA22" s="10">
        <v>0.5</v>
      </c>
      <c r="BB22">
        <v>4</v>
      </c>
      <c r="BE22" s="10"/>
      <c r="BF22" s="10">
        <v>0.8</v>
      </c>
      <c r="BG22" s="10"/>
      <c r="BH22" s="10">
        <v>0.8</v>
      </c>
      <c r="BL22" s="10"/>
      <c r="BM22" s="10">
        <v>0.8</v>
      </c>
      <c r="BN22" s="10"/>
      <c r="BO22" s="10">
        <v>0.8</v>
      </c>
      <c r="BS22" s="10"/>
      <c r="BT22" s="10">
        <v>0.8</v>
      </c>
      <c r="BU22" s="10"/>
      <c r="BV22" s="10">
        <v>0.8</v>
      </c>
      <c r="BZ22" s="10"/>
      <c r="CA22" s="10">
        <v>0.8</v>
      </c>
      <c r="CB22" s="10"/>
      <c r="CC22" s="10">
        <v>0.8</v>
      </c>
      <c r="CG22" s="10"/>
      <c r="CH22" s="10">
        <v>0.8</v>
      </c>
      <c r="CI22" s="10"/>
      <c r="CJ22" s="10">
        <v>0.8</v>
      </c>
      <c r="CN22" s="10"/>
      <c r="CO22" s="10">
        <v>0.8</v>
      </c>
      <c r="CP22" s="10"/>
      <c r="CQ22" s="10">
        <v>0.8</v>
      </c>
      <c r="CR22">
        <v>3</v>
      </c>
      <c r="CV22" s="10"/>
      <c r="CW22" s="10">
        <v>1</v>
      </c>
      <c r="CX22" s="10"/>
      <c r="CY22" s="10">
        <v>1</v>
      </c>
      <c r="DE22" s="10"/>
      <c r="DF22" s="10">
        <v>1</v>
      </c>
      <c r="DG22" s="10"/>
      <c r="DH22" s="10">
        <v>1</v>
      </c>
      <c r="DN22" s="10"/>
      <c r="DO22" s="10">
        <v>1</v>
      </c>
      <c r="DP22" s="10"/>
      <c r="DQ22" s="10">
        <v>1</v>
      </c>
      <c r="DW22" s="10"/>
      <c r="DX22" s="10">
        <v>1</v>
      </c>
      <c r="DY22" s="10"/>
      <c r="DZ22" s="10">
        <v>1</v>
      </c>
      <c r="EF22" s="10"/>
      <c r="EG22" s="10"/>
      <c r="EH22" s="10"/>
      <c r="EI22" s="10"/>
      <c r="EO22" s="10"/>
      <c r="EP22" s="10"/>
      <c r="EQ22" s="10"/>
      <c r="ER22" s="10"/>
      <c r="EX22" s="10"/>
      <c r="EY22" s="10"/>
      <c r="EZ22" s="10"/>
      <c r="FA22" s="10"/>
      <c r="FG22" s="10"/>
      <c r="FH22" s="10"/>
      <c r="FI22" s="10"/>
      <c r="FJ22" s="10"/>
      <c r="FP22" s="10"/>
      <c r="FQ22" s="10"/>
      <c r="FR22" s="10"/>
      <c r="FS22" s="10"/>
    </row>
    <row r="23" spans="2:175" outlineLevel="1" x14ac:dyDescent="0.2">
      <c r="B23" t="s">
        <v>28</v>
      </c>
      <c r="C23" t="s">
        <v>90</v>
      </c>
      <c r="E23" s="9"/>
      <c r="F23" t="s">
        <v>39</v>
      </c>
      <c r="G23" s="10">
        <v>0.1</v>
      </c>
      <c r="I23" s="9">
        <f>+SUMIF($M$3:$ZL$3,I$3,$M23:$ZL23)</f>
        <v>0</v>
      </c>
      <c r="J23" s="11" cm="1">
        <f t="array" ref="J23">MAX(IF($M$3:$DT$3=$J$3,M23:DT23))</f>
        <v>0</v>
      </c>
      <c r="K23" s="11" cm="1">
        <f t="array" ref="K23">MAX(IF($M$3:$DT$3=$J$3,M23:DT23))</f>
        <v>0</v>
      </c>
      <c r="L23" s="9"/>
      <c r="O23" s="10"/>
      <c r="P23" s="10"/>
      <c r="Q23" s="10"/>
      <c r="R23" s="10"/>
      <c r="S23">
        <v>4</v>
      </c>
      <c r="V23" s="10"/>
      <c r="W23" s="10">
        <v>0.5</v>
      </c>
      <c r="X23" s="10"/>
      <c r="Y23" s="10">
        <v>0.5</v>
      </c>
      <c r="AC23" s="10"/>
      <c r="AD23" s="10">
        <v>0.5</v>
      </c>
      <c r="AE23" s="10"/>
      <c r="AF23" s="10">
        <v>0.5</v>
      </c>
      <c r="AJ23" s="10"/>
      <c r="AK23" s="10">
        <v>0.5</v>
      </c>
      <c r="AL23" s="10"/>
      <c r="AM23" s="10">
        <v>0.5</v>
      </c>
      <c r="AQ23" s="10"/>
      <c r="AR23" s="10">
        <v>0.5</v>
      </c>
      <c r="AS23" s="10"/>
      <c r="AT23" s="10">
        <v>0.5</v>
      </c>
      <c r="AX23" s="10"/>
      <c r="AY23" s="10">
        <v>0.5</v>
      </c>
      <c r="AZ23" s="10"/>
      <c r="BA23" s="10">
        <v>0.5</v>
      </c>
      <c r="BE23" s="10"/>
      <c r="BF23" s="10">
        <v>0.5</v>
      </c>
      <c r="BG23" s="10"/>
      <c r="BH23" s="10">
        <v>0.5</v>
      </c>
      <c r="BI23">
        <v>4</v>
      </c>
      <c r="BL23" s="10"/>
      <c r="BM23" s="10">
        <v>0.8</v>
      </c>
      <c r="BN23" s="10"/>
      <c r="BO23" s="10">
        <v>0.8</v>
      </c>
      <c r="BS23" s="10"/>
      <c r="BT23" s="10">
        <v>0.8</v>
      </c>
      <c r="BU23" s="10"/>
      <c r="BV23" s="10">
        <v>0.8</v>
      </c>
      <c r="BZ23" s="10"/>
      <c r="CA23" s="10">
        <v>0.8</v>
      </c>
      <c r="CB23" s="10"/>
      <c r="CC23" s="10">
        <v>0.8</v>
      </c>
      <c r="CG23" s="10"/>
      <c r="CH23" s="10">
        <v>0.8</v>
      </c>
      <c r="CI23" s="10"/>
      <c r="CJ23" s="10">
        <v>0.8</v>
      </c>
      <c r="CN23" s="10"/>
      <c r="CO23" s="10">
        <v>0.8</v>
      </c>
      <c r="CP23" s="10"/>
      <c r="CQ23" s="10">
        <v>0.8</v>
      </c>
      <c r="CV23" s="10"/>
      <c r="CW23" s="10">
        <v>0.8</v>
      </c>
      <c r="CX23" s="10"/>
      <c r="CY23" s="10">
        <v>0.8</v>
      </c>
      <c r="CZ23">
        <v>3</v>
      </c>
      <c r="DE23" s="10"/>
      <c r="DF23" s="10">
        <v>1</v>
      </c>
      <c r="DG23" s="10"/>
      <c r="DH23" s="10">
        <v>1</v>
      </c>
      <c r="DN23" s="10"/>
      <c r="DO23" s="10">
        <v>1</v>
      </c>
      <c r="DP23" s="10"/>
      <c r="DQ23" s="10">
        <v>1</v>
      </c>
      <c r="DW23" s="10"/>
      <c r="DX23" s="10">
        <v>1</v>
      </c>
      <c r="DY23" s="10"/>
      <c r="DZ23" s="10">
        <v>1</v>
      </c>
      <c r="EF23" s="10"/>
      <c r="EG23" s="10"/>
      <c r="EH23" s="10"/>
      <c r="EI23" s="10"/>
      <c r="EO23" s="10"/>
      <c r="EP23" s="10"/>
      <c r="EQ23" s="10"/>
      <c r="ER23" s="10"/>
      <c r="EX23" s="10"/>
      <c r="EY23" s="10"/>
      <c r="EZ23" s="10"/>
      <c r="FA23" s="10"/>
      <c r="FG23" s="10"/>
      <c r="FH23" s="10"/>
      <c r="FI23" s="10"/>
      <c r="FJ23" s="10"/>
      <c r="FP23" s="10"/>
      <c r="FQ23" s="10"/>
      <c r="FR23" s="10"/>
      <c r="FS23" s="10"/>
    </row>
    <row r="24" spans="2:175" outlineLevel="1" x14ac:dyDescent="0.2">
      <c r="B24" t="s">
        <v>28</v>
      </c>
      <c r="C24" t="s">
        <v>90</v>
      </c>
      <c r="E24" s="9"/>
      <c r="F24" t="s">
        <v>39</v>
      </c>
      <c r="G24" s="10">
        <v>0.1</v>
      </c>
      <c r="I24" s="9">
        <f>+SUMIF($M$3:$ZL$3,I$3,$M24:$ZL24)</f>
        <v>0</v>
      </c>
      <c r="J24" s="11" cm="1">
        <f t="array" ref="J24">MAX(IF($M$3:$DT$3=$J$3,M24:DT24))</f>
        <v>0</v>
      </c>
      <c r="K24" s="11" cm="1">
        <f t="array" ref="K24">MAX(IF($M$3:$DT$3=$J$3,M24:DT24))</f>
        <v>0</v>
      </c>
      <c r="L24" s="9"/>
      <c r="O24" s="10"/>
      <c r="P24" s="10"/>
      <c r="Q24" s="10"/>
      <c r="R24" s="10"/>
      <c r="V24" s="10"/>
      <c r="W24" s="10"/>
      <c r="X24" s="10"/>
      <c r="Y24" s="10"/>
      <c r="Z24">
        <v>4</v>
      </c>
      <c r="AC24" s="10"/>
      <c r="AD24" s="10">
        <v>0.5</v>
      </c>
      <c r="AE24" s="10"/>
      <c r="AF24" s="10">
        <v>0.5</v>
      </c>
      <c r="AJ24" s="10"/>
      <c r="AK24" s="10">
        <v>0.5</v>
      </c>
      <c r="AL24" s="10"/>
      <c r="AM24" s="10">
        <v>0.5</v>
      </c>
      <c r="AQ24" s="10"/>
      <c r="AR24" s="10">
        <v>0.5</v>
      </c>
      <c r="AS24" s="10"/>
      <c r="AT24" s="10">
        <v>0.5</v>
      </c>
      <c r="AX24" s="10"/>
      <c r="AY24" s="10">
        <v>0.5</v>
      </c>
      <c r="AZ24" s="10"/>
      <c r="BA24" s="10">
        <v>0.5</v>
      </c>
      <c r="BE24" s="10"/>
      <c r="BF24" s="10">
        <v>0.5</v>
      </c>
      <c r="BG24" s="10"/>
      <c r="BH24" s="10">
        <v>0.5</v>
      </c>
      <c r="BL24" s="10"/>
      <c r="BM24" s="10">
        <v>0.5</v>
      </c>
      <c r="BN24" s="10"/>
      <c r="BO24" s="10">
        <v>0.5</v>
      </c>
      <c r="BP24">
        <v>3</v>
      </c>
      <c r="BS24" s="10"/>
      <c r="BT24" s="10">
        <v>0.8</v>
      </c>
      <c r="BU24" s="10"/>
      <c r="BV24" s="10">
        <v>0.8</v>
      </c>
      <c r="BZ24" s="10"/>
      <c r="CA24" s="10">
        <v>0.8</v>
      </c>
      <c r="CB24" s="10"/>
      <c r="CC24" s="10">
        <v>0.8</v>
      </c>
      <c r="CG24" s="10"/>
      <c r="CH24" s="10">
        <v>0.8</v>
      </c>
      <c r="CI24" s="10"/>
      <c r="CJ24" s="10">
        <v>0.8</v>
      </c>
      <c r="CN24" s="10"/>
      <c r="CO24" s="10">
        <v>0.8</v>
      </c>
      <c r="CP24" s="10"/>
      <c r="CQ24" s="10">
        <v>0.8</v>
      </c>
      <c r="CV24" s="10"/>
      <c r="CW24" s="10">
        <v>0.8</v>
      </c>
      <c r="CX24" s="10"/>
      <c r="CY24" s="10">
        <v>0.8</v>
      </c>
      <c r="DE24" s="10"/>
      <c r="DF24" s="10">
        <v>0.8</v>
      </c>
      <c r="DG24" s="10"/>
      <c r="DH24" s="10">
        <v>0.8</v>
      </c>
      <c r="DI24">
        <v>4</v>
      </c>
      <c r="DN24" s="10"/>
      <c r="DO24" s="10">
        <v>1</v>
      </c>
      <c r="DP24" s="10"/>
      <c r="DQ24" s="10">
        <v>1</v>
      </c>
      <c r="DW24" s="10"/>
      <c r="DX24" s="10">
        <v>1</v>
      </c>
      <c r="DY24" s="10"/>
      <c r="DZ24" s="10">
        <v>1</v>
      </c>
      <c r="EF24" s="10"/>
      <c r="EG24" s="10"/>
      <c r="EH24" s="10"/>
      <c r="EI24" s="10"/>
      <c r="EO24" s="10"/>
      <c r="EP24" s="10"/>
      <c r="EQ24" s="10"/>
      <c r="ER24" s="10"/>
      <c r="EX24" s="10"/>
      <c r="EY24" s="10"/>
      <c r="EZ24" s="10"/>
      <c r="FA24" s="10"/>
      <c r="FG24" s="10"/>
      <c r="FH24" s="10"/>
      <c r="FI24" s="10"/>
      <c r="FJ24" s="10"/>
      <c r="FP24" s="10"/>
      <c r="FQ24" s="10"/>
      <c r="FR24" s="10"/>
      <c r="FS24" s="10"/>
    </row>
    <row r="25" spans="2:175" outlineLevel="1" x14ac:dyDescent="0.2">
      <c r="B25" t="s">
        <v>28</v>
      </c>
      <c r="C25" t="s">
        <v>90</v>
      </c>
      <c r="E25" s="9"/>
      <c r="F25" t="s">
        <v>39</v>
      </c>
      <c r="G25" s="10">
        <v>0.1</v>
      </c>
      <c r="I25" s="9">
        <f>+SUMIF($M$3:$ZL$3,I$3,$M25:$ZL25)</f>
        <v>0</v>
      </c>
      <c r="J25" s="11" cm="1">
        <f t="array" ref="J25">MAX(IF($M$3:$DT$3=$J$3,M25:DT25))</f>
        <v>0</v>
      </c>
      <c r="K25" s="11" cm="1">
        <f t="array" ref="K25">MAX(IF($M$3:$DT$3=$J$3,M25:DT25))</f>
        <v>0</v>
      </c>
      <c r="L25" s="9"/>
      <c r="O25" s="10"/>
      <c r="P25" s="10"/>
      <c r="Q25" s="10"/>
      <c r="R25" s="10"/>
      <c r="V25" s="10"/>
      <c r="W25" s="10"/>
      <c r="X25" s="10"/>
      <c r="Y25" s="10"/>
      <c r="AC25" s="10"/>
      <c r="AD25" s="10"/>
      <c r="AE25" s="10"/>
      <c r="AF25" s="10"/>
      <c r="AG25">
        <v>4</v>
      </c>
      <c r="AJ25" s="10"/>
      <c r="AK25" s="10">
        <v>0.5</v>
      </c>
      <c r="AL25" s="10"/>
      <c r="AM25" s="10">
        <v>0.5</v>
      </c>
      <c r="AQ25" s="10"/>
      <c r="AR25" s="10">
        <v>0.5</v>
      </c>
      <c r="AS25" s="10"/>
      <c r="AT25" s="10">
        <v>0.5</v>
      </c>
      <c r="AX25" s="10"/>
      <c r="AY25" s="10">
        <v>0.5</v>
      </c>
      <c r="AZ25" s="10"/>
      <c r="BA25" s="10">
        <v>0.5</v>
      </c>
      <c r="BE25" s="10"/>
      <c r="BF25" s="10">
        <v>0.5</v>
      </c>
      <c r="BG25" s="10"/>
      <c r="BH25" s="10">
        <v>0.5</v>
      </c>
      <c r="BL25" s="10"/>
      <c r="BM25" s="10">
        <v>0.5</v>
      </c>
      <c r="BN25" s="10"/>
      <c r="BO25" s="10">
        <v>0.5</v>
      </c>
      <c r="BS25" s="10"/>
      <c r="BT25" s="10">
        <v>0.5</v>
      </c>
      <c r="BU25" s="10"/>
      <c r="BV25" s="10">
        <v>0.5</v>
      </c>
      <c r="BW25">
        <v>3</v>
      </c>
      <c r="BZ25" s="10"/>
      <c r="CA25" s="10">
        <v>0.8</v>
      </c>
      <c r="CB25" s="10"/>
      <c r="CC25" s="10">
        <v>0.8</v>
      </c>
      <c r="CG25" s="10"/>
      <c r="CH25" s="10">
        <v>0.8</v>
      </c>
      <c r="CI25" s="10"/>
      <c r="CJ25" s="10">
        <v>0.8</v>
      </c>
      <c r="CN25" s="10"/>
      <c r="CO25" s="10">
        <v>0.8</v>
      </c>
      <c r="CP25" s="10"/>
      <c r="CQ25" s="10">
        <v>0.8</v>
      </c>
      <c r="CV25" s="10"/>
      <c r="CW25" s="10">
        <v>0.8</v>
      </c>
      <c r="CX25" s="10"/>
      <c r="CY25" s="10">
        <v>0.8</v>
      </c>
      <c r="DE25" s="10"/>
      <c r="DF25" s="10">
        <v>0.8</v>
      </c>
      <c r="DG25" s="10"/>
      <c r="DH25" s="10">
        <v>0.8</v>
      </c>
      <c r="DN25" s="10"/>
      <c r="DO25" s="10">
        <v>0.8</v>
      </c>
      <c r="DP25" s="10"/>
      <c r="DQ25" s="10">
        <v>0.8</v>
      </c>
      <c r="DR25">
        <v>4</v>
      </c>
      <c r="DW25" s="10"/>
      <c r="DX25" s="10">
        <v>1</v>
      </c>
      <c r="DY25" s="10"/>
      <c r="DZ25" s="10">
        <v>1</v>
      </c>
      <c r="EF25" s="10"/>
      <c r="EG25" s="10"/>
      <c r="EH25" s="10"/>
      <c r="EI25" s="10"/>
      <c r="EO25" s="10"/>
      <c r="EP25" s="10"/>
      <c r="EQ25" s="10"/>
      <c r="ER25" s="10"/>
      <c r="EX25" s="10"/>
      <c r="EY25" s="10"/>
      <c r="EZ25" s="10"/>
      <c r="FA25" s="10"/>
      <c r="FG25" s="10"/>
      <c r="FH25" s="10"/>
      <c r="FI25" s="10"/>
      <c r="FJ25" s="10"/>
      <c r="FP25" s="10"/>
      <c r="FQ25" s="10"/>
      <c r="FR25" s="10"/>
      <c r="FS25" s="10"/>
    </row>
    <row r="26" spans="2:175" x14ac:dyDescent="0.2">
      <c r="DO26" s="10"/>
      <c r="DQ26" s="10"/>
      <c r="DZ26" s="10"/>
    </row>
    <row r="27" spans="2:175" x14ac:dyDescent="0.2">
      <c r="DO27" s="10"/>
      <c r="DQ27" s="10"/>
      <c r="DZ27" s="10"/>
    </row>
    <row r="28" spans="2:175" x14ac:dyDescent="0.2">
      <c r="B28" t="s">
        <v>27</v>
      </c>
      <c r="C28" t="s">
        <v>91</v>
      </c>
      <c r="D28" s="19">
        <v>45352</v>
      </c>
      <c r="E28" s="9">
        <v>5</v>
      </c>
      <c r="G28" s="10">
        <f>+SUM(G29:G36)</f>
        <v>0.44999999999999996</v>
      </c>
      <c r="I28" s="12">
        <f>+SUM(I29:I36)</f>
        <v>0</v>
      </c>
      <c r="J28" s="11">
        <f>+SUMPRODUCT(G29:G36,J29:J36)</f>
        <v>0</v>
      </c>
      <c r="K28" s="11">
        <f>+SUMPRODUCT(G29:G36,K29:K36)</f>
        <v>0</v>
      </c>
      <c r="L28" s="9"/>
      <c r="N28" s="12">
        <f>+SUM(N29:N36)</f>
        <v>0</v>
      </c>
      <c r="U28" s="12"/>
      <c r="AB28" s="12">
        <f>+SUM(AB29:AB33)</f>
        <v>0</v>
      </c>
      <c r="DO28" s="10"/>
      <c r="DQ28" s="10"/>
      <c r="DZ28" s="10"/>
    </row>
    <row r="29" spans="2:175" outlineLevel="1" x14ac:dyDescent="0.2">
      <c r="B29" t="s">
        <v>28</v>
      </c>
      <c r="C29" t="s">
        <v>91</v>
      </c>
      <c r="E29" s="9"/>
      <c r="F29" t="s">
        <v>132</v>
      </c>
      <c r="G29" s="10">
        <v>0.1</v>
      </c>
      <c r="I29" s="9">
        <f>+SUMIF($M$3:$ZL$3,I$3,$M29:$ZL29)</f>
        <v>0</v>
      </c>
      <c r="J29" s="11" cm="1">
        <f t="array" ref="J29">MAX(IF($M$3:$DT$3=$J$3,M29:DT29))</f>
        <v>0</v>
      </c>
      <c r="K29" s="11" cm="1">
        <f t="array" ref="K29">MAX(IF($M$3:$DT$3=$J$3,M29:DT29))</f>
        <v>0</v>
      </c>
      <c r="L29" s="9"/>
      <c r="O29" s="10"/>
      <c r="P29" s="10"/>
      <c r="Q29" s="10"/>
      <c r="R29" s="10"/>
      <c r="S29">
        <v>3</v>
      </c>
      <c r="V29" s="10"/>
      <c r="W29" s="10">
        <v>0.5</v>
      </c>
      <c r="X29" s="10"/>
      <c r="Y29" s="10">
        <v>0.5</v>
      </c>
      <c r="AC29" s="10"/>
      <c r="AD29" s="10">
        <v>0.5</v>
      </c>
      <c r="AE29" s="10"/>
      <c r="AF29" s="10">
        <v>0.5</v>
      </c>
      <c r="AJ29" s="10"/>
      <c r="AK29" s="10">
        <v>0.5</v>
      </c>
      <c r="AL29" s="10"/>
      <c r="AM29" s="10">
        <v>0.5</v>
      </c>
      <c r="AQ29" s="10"/>
      <c r="AR29" s="10">
        <v>0.5</v>
      </c>
      <c r="AS29" s="10"/>
      <c r="AT29" s="10">
        <v>0.5</v>
      </c>
      <c r="AX29" s="10"/>
      <c r="AY29" s="10">
        <v>0.5</v>
      </c>
      <c r="AZ29" s="10"/>
      <c r="BA29" s="10">
        <v>0.5</v>
      </c>
      <c r="BB29">
        <v>3</v>
      </c>
      <c r="BE29" s="10"/>
      <c r="BF29" s="10">
        <v>0.8</v>
      </c>
      <c r="BG29" s="10"/>
      <c r="BH29" s="10">
        <v>0.8</v>
      </c>
      <c r="BL29" s="10"/>
      <c r="BM29" s="10">
        <v>0.8</v>
      </c>
      <c r="BN29" s="10"/>
      <c r="BO29" s="10">
        <v>0.8</v>
      </c>
      <c r="BS29" s="10"/>
      <c r="BT29" s="10">
        <v>0.8</v>
      </c>
      <c r="BU29" s="10"/>
      <c r="BV29" s="10">
        <v>0.8</v>
      </c>
      <c r="BZ29" s="10"/>
      <c r="CA29" s="10">
        <v>0.8</v>
      </c>
      <c r="CB29" s="10"/>
      <c r="CC29" s="10">
        <v>0.8</v>
      </c>
      <c r="CG29" s="10"/>
      <c r="CH29" s="10">
        <v>0.8</v>
      </c>
      <c r="CI29" s="10"/>
      <c r="CJ29" s="10">
        <v>0.8</v>
      </c>
      <c r="CK29">
        <v>3</v>
      </c>
      <c r="CN29" s="10"/>
      <c r="CO29" s="10">
        <v>1</v>
      </c>
      <c r="CP29" s="10"/>
      <c r="CQ29" s="10">
        <v>1</v>
      </c>
      <c r="CV29" s="10"/>
      <c r="CW29" s="10">
        <v>1</v>
      </c>
      <c r="CX29" s="10"/>
      <c r="CY29" s="10">
        <v>1</v>
      </c>
      <c r="DE29" s="10"/>
      <c r="DF29" s="10">
        <v>1</v>
      </c>
      <c r="DG29" s="10"/>
      <c r="DH29" s="10">
        <v>1</v>
      </c>
      <c r="DN29" s="10"/>
      <c r="DO29" s="10">
        <v>1</v>
      </c>
      <c r="DP29" s="10"/>
      <c r="DQ29" s="10">
        <v>1</v>
      </c>
      <c r="DW29" s="10"/>
      <c r="DX29" s="10">
        <v>1</v>
      </c>
      <c r="DY29" s="10"/>
      <c r="DZ29" s="10">
        <v>1</v>
      </c>
      <c r="EF29" s="10"/>
      <c r="EG29" s="10"/>
      <c r="EH29" s="10"/>
      <c r="EI29" s="10"/>
      <c r="EO29" s="10"/>
      <c r="EP29" s="10"/>
      <c r="EQ29" s="10"/>
      <c r="ER29" s="10"/>
      <c r="EX29" s="10"/>
      <c r="EY29" s="10"/>
      <c r="EZ29" s="10"/>
      <c r="FA29" s="10"/>
      <c r="FG29" s="10"/>
      <c r="FH29" s="10"/>
      <c r="FI29" s="10"/>
      <c r="FJ29" s="10"/>
      <c r="FP29" s="10"/>
      <c r="FQ29" s="10"/>
      <c r="FR29" s="10"/>
      <c r="FS29" s="10"/>
    </row>
    <row r="30" spans="2:175" outlineLevel="1" x14ac:dyDescent="0.2">
      <c r="B30" t="s">
        <v>28</v>
      </c>
      <c r="C30" t="s">
        <v>91</v>
      </c>
      <c r="E30" s="9"/>
      <c r="F30" t="s">
        <v>133</v>
      </c>
      <c r="G30" s="10">
        <v>0.05</v>
      </c>
      <c r="I30" s="9">
        <f>+SUMIF($M$3:$ZL$3,I$3,$M30:$ZL30)</f>
        <v>0</v>
      </c>
      <c r="J30" s="11" cm="1">
        <f t="array" ref="J30">MAX(IF($M$3:$DT$3=$J$3,M30:DT30))</f>
        <v>0</v>
      </c>
      <c r="K30" s="11" cm="1">
        <f t="array" ref="K30">MAX(IF($M$3:$DT$3=$J$3,M30:DT30))</f>
        <v>0</v>
      </c>
      <c r="L30" s="9"/>
      <c r="O30" s="10"/>
      <c r="P30" s="10"/>
      <c r="Q30" s="10"/>
      <c r="R30" s="10"/>
      <c r="S30">
        <v>2</v>
      </c>
      <c r="V30" s="10"/>
      <c r="W30" s="10">
        <v>0.5</v>
      </c>
      <c r="X30" s="10"/>
      <c r="Y30" s="10">
        <v>0.5</v>
      </c>
      <c r="AC30" s="10"/>
      <c r="AD30" s="10">
        <v>0.5</v>
      </c>
      <c r="AE30" s="10"/>
      <c r="AF30" s="10">
        <v>0.5</v>
      </c>
      <c r="AJ30" s="10"/>
      <c r="AK30" s="10">
        <v>0.5</v>
      </c>
      <c r="AL30" s="10"/>
      <c r="AM30" s="10">
        <v>0.5</v>
      </c>
      <c r="AQ30" s="10"/>
      <c r="AR30" s="10">
        <v>0.5</v>
      </c>
      <c r="AS30" s="10"/>
      <c r="AT30" s="10">
        <v>0.5</v>
      </c>
      <c r="AX30" s="10"/>
      <c r="AY30" s="10">
        <v>0.5</v>
      </c>
      <c r="AZ30" s="10"/>
      <c r="BA30" s="10">
        <v>0.5</v>
      </c>
      <c r="BB30">
        <v>2</v>
      </c>
      <c r="BE30" s="10"/>
      <c r="BF30" s="10">
        <v>0.8</v>
      </c>
      <c r="BG30" s="10"/>
      <c r="BH30" s="10">
        <v>0.8</v>
      </c>
      <c r="BL30" s="10"/>
      <c r="BM30" s="10">
        <v>0.8</v>
      </c>
      <c r="BN30" s="10"/>
      <c r="BO30" s="10">
        <v>0.8</v>
      </c>
      <c r="BS30" s="10"/>
      <c r="BT30" s="10">
        <v>0.8</v>
      </c>
      <c r="BU30" s="10"/>
      <c r="BV30" s="10">
        <v>0.8</v>
      </c>
      <c r="BZ30" s="10"/>
      <c r="CA30" s="10">
        <v>0.8</v>
      </c>
      <c r="CB30" s="10"/>
      <c r="CC30" s="10">
        <v>0.8</v>
      </c>
      <c r="CG30" s="10"/>
      <c r="CH30" s="10">
        <v>0.8</v>
      </c>
      <c r="CI30" s="10"/>
      <c r="CJ30" s="10">
        <v>0.8</v>
      </c>
      <c r="CK30">
        <v>2</v>
      </c>
      <c r="CN30" s="10"/>
      <c r="CO30" s="10">
        <v>1</v>
      </c>
      <c r="CP30" s="10"/>
      <c r="CQ30" s="10">
        <v>1</v>
      </c>
      <c r="CV30" s="10"/>
      <c r="CW30" s="10">
        <v>1</v>
      </c>
      <c r="CX30" s="10"/>
      <c r="CY30" s="10">
        <v>1</v>
      </c>
      <c r="DE30" s="10"/>
      <c r="DF30" s="10">
        <v>1</v>
      </c>
      <c r="DG30" s="10"/>
      <c r="DH30" s="10">
        <v>1</v>
      </c>
      <c r="DN30" s="10"/>
      <c r="DO30" s="10">
        <v>1</v>
      </c>
      <c r="DP30" s="10"/>
      <c r="DQ30" s="10">
        <v>1</v>
      </c>
      <c r="DW30" s="10"/>
      <c r="DX30" s="10">
        <v>1</v>
      </c>
      <c r="DY30" s="10"/>
      <c r="DZ30" s="10">
        <v>1</v>
      </c>
      <c r="EF30" s="10"/>
      <c r="EG30" s="10"/>
      <c r="EH30" s="10"/>
      <c r="EI30" s="10"/>
      <c r="EO30" s="10"/>
      <c r="EP30" s="10"/>
      <c r="EQ30" s="10"/>
      <c r="ER30" s="10"/>
      <c r="EX30" s="10"/>
      <c r="EY30" s="10"/>
      <c r="EZ30" s="10"/>
      <c r="FA30" s="10"/>
      <c r="FG30" s="10"/>
      <c r="FH30" s="10"/>
      <c r="FI30" s="10"/>
      <c r="FJ30" s="10"/>
      <c r="FP30" s="10"/>
      <c r="FQ30" s="10"/>
      <c r="FR30" s="10"/>
      <c r="FS30" s="10"/>
    </row>
    <row r="31" spans="2:175" outlineLevel="1" x14ac:dyDescent="0.2">
      <c r="B31" t="s">
        <v>28</v>
      </c>
      <c r="C31" t="s">
        <v>91</v>
      </c>
      <c r="E31" s="9"/>
      <c r="F31" t="s">
        <v>111</v>
      </c>
      <c r="G31" s="10">
        <v>0.05</v>
      </c>
      <c r="I31" s="9">
        <f>+SUMIF($M$3:$ZL$3,I$3,$M31:$ZL31)</f>
        <v>0</v>
      </c>
      <c r="J31" s="11" cm="1">
        <f t="array" ref="J31">MAX(IF($M$3:$DT$3=$J$3,M31:DT31))</f>
        <v>0</v>
      </c>
      <c r="K31" s="11" cm="1">
        <f t="array" ref="K31">MAX(IF($M$3:$DT$3=$J$3,M31:DT31))</f>
        <v>0</v>
      </c>
      <c r="L31" s="9"/>
      <c r="O31" s="10"/>
      <c r="P31" s="10"/>
      <c r="Q31" s="10"/>
      <c r="R31" s="10"/>
      <c r="V31" s="10"/>
      <c r="W31" s="10"/>
      <c r="X31" s="10"/>
      <c r="Y31" s="10"/>
      <c r="Z31">
        <v>3</v>
      </c>
      <c r="AC31" s="10"/>
      <c r="AD31" s="10">
        <v>0.5</v>
      </c>
      <c r="AE31" s="10"/>
      <c r="AF31" s="10">
        <v>0.5</v>
      </c>
      <c r="AJ31" s="10"/>
      <c r="AK31" s="10">
        <v>0.5</v>
      </c>
      <c r="AL31" s="10"/>
      <c r="AM31" s="10">
        <v>0.5</v>
      </c>
      <c r="AQ31" s="10"/>
      <c r="AR31" s="10">
        <v>0.5</v>
      </c>
      <c r="AS31" s="10"/>
      <c r="AT31" s="10">
        <v>0.5</v>
      </c>
      <c r="AX31" s="10"/>
      <c r="AY31" s="10">
        <v>0.5</v>
      </c>
      <c r="AZ31" s="10"/>
      <c r="BA31" s="10">
        <v>0.5</v>
      </c>
      <c r="BE31" s="10"/>
      <c r="BF31" s="10">
        <v>0.5</v>
      </c>
      <c r="BG31" s="10"/>
      <c r="BH31" s="10">
        <v>0.5</v>
      </c>
      <c r="BI31">
        <v>3</v>
      </c>
      <c r="BL31" s="10"/>
      <c r="BM31" s="10">
        <v>0.8</v>
      </c>
      <c r="BN31" s="10"/>
      <c r="BO31" s="10">
        <v>0.8</v>
      </c>
      <c r="BS31" s="10"/>
      <c r="BT31" s="10">
        <v>0.8</v>
      </c>
      <c r="BU31" s="10"/>
      <c r="BV31" s="10">
        <v>0.8</v>
      </c>
      <c r="BZ31" s="10"/>
      <c r="CA31" s="10">
        <v>0.8</v>
      </c>
      <c r="CB31" s="10"/>
      <c r="CC31" s="10">
        <v>0.8</v>
      </c>
      <c r="CG31" s="10"/>
      <c r="CH31" s="10">
        <v>0.8</v>
      </c>
      <c r="CI31" s="10"/>
      <c r="CJ31" s="10">
        <v>0.8</v>
      </c>
      <c r="CN31" s="10"/>
      <c r="CO31" s="10">
        <v>0.8</v>
      </c>
      <c r="CP31" s="10"/>
      <c r="CQ31" s="10">
        <v>0.8</v>
      </c>
      <c r="CR31">
        <v>2</v>
      </c>
      <c r="CV31" s="10"/>
      <c r="CW31" s="10">
        <v>1</v>
      </c>
      <c r="CX31" s="10"/>
      <c r="CY31" s="10">
        <v>1</v>
      </c>
      <c r="DE31" s="10"/>
      <c r="DF31" s="10">
        <v>1</v>
      </c>
      <c r="DG31" s="10"/>
      <c r="DH31" s="10">
        <v>1</v>
      </c>
      <c r="DN31" s="10"/>
      <c r="DO31" s="10">
        <v>1</v>
      </c>
      <c r="DP31" s="10"/>
      <c r="DQ31" s="10">
        <v>1</v>
      </c>
      <c r="DW31" s="10"/>
      <c r="DX31" s="10">
        <v>1</v>
      </c>
      <c r="DY31" s="10"/>
      <c r="DZ31" s="10">
        <v>1</v>
      </c>
      <c r="EF31" s="10"/>
      <c r="EG31" s="10"/>
      <c r="EH31" s="10"/>
      <c r="EI31" s="10"/>
      <c r="EO31" s="10"/>
      <c r="EP31" s="10"/>
      <c r="EQ31" s="10"/>
      <c r="ER31" s="10"/>
      <c r="EX31" s="10"/>
      <c r="EY31" s="10"/>
      <c r="EZ31" s="10"/>
      <c r="FA31" s="10"/>
      <c r="FG31" s="10"/>
      <c r="FH31" s="10"/>
      <c r="FI31" s="10"/>
      <c r="FJ31" s="10"/>
      <c r="FP31" s="10"/>
      <c r="FQ31" s="10"/>
      <c r="FR31" s="10"/>
      <c r="FS31" s="10"/>
    </row>
    <row r="32" spans="2:175" outlineLevel="1" x14ac:dyDescent="0.2">
      <c r="B32" t="s">
        <v>28</v>
      </c>
      <c r="C32" t="s">
        <v>91</v>
      </c>
      <c r="E32" s="9"/>
      <c r="F32" t="s">
        <v>113</v>
      </c>
      <c r="G32" s="10">
        <v>0.05</v>
      </c>
      <c r="I32" s="9">
        <f>+SUMIF($M$3:$ZL$3,I$3,$M32:$ZL32)</f>
        <v>0</v>
      </c>
      <c r="J32" s="11" cm="1">
        <f t="array" ref="J32">MAX(IF($M$3:$DT$3=$J$3,M32:DT32))</f>
        <v>0</v>
      </c>
      <c r="K32" s="11" cm="1">
        <f t="array" ref="K32">MAX(IF($M$3:$DT$3=$J$3,M32:DT32))</f>
        <v>0</v>
      </c>
      <c r="L32" s="9"/>
      <c r="O32" s="10"/>
      <c r="P32" s="10"/>
      <c r="Q32" s="10"/>
      <c r="R32" s="10"/>
      <c r="V32" s="10"/>
      <c r="W32" s="10"/>
      <c r="X32" s="10"/>
      <c r="Y32" s="10"/>
      <c r="Z32">
        <v>2</v>
      </c>
      <c r="AC32" s="10"/>
      <c r="AD32" s="10">
        <v>0.5</v>
      </c>
      <c r="AE32" s="10"/>
      <c r="AF32" s="10">
        <v>0.5</v>
      </c>
      <c r="AJ32" s="10"/>
      <c r="AK32" s="10">
        <v>0.5</v>
      </c>
      <c r="AL32" s="10"/>
      <c r="AM32" s="10">
        <v>0.5</v>
      </c>
      <c r="AQ32" s="10"/>
      <c r="AR32" s="10">
        <v>0.5</v>
      </c>
      <c r="AS32" s="10"/>
      <c r="AT32" s="10">
        <v>0.5</v>
      </c>
      <c r="AX32" s="10"/>
      <c r="AY32" s="10">
        <v>0.5</v>
      </c>
      <c r="AZ32" s="10"/>
      <c r="BA32" s="10">
        <v>0.5</v>
      </c>
      <c r="BE32" s="10"/>
      <c r="BF32" s="10">
        <v>0.5</v>
      </c>
      <c r="BG32" s="10"/>
      <c r="BH32" s="10">
        <v>0.5</v>
      </c>
      <c r="BI32">
        <v>2</v>
      </c>
      <c r="BL32" s="10"/>
      <c r="BM32" s="10">
        <v>0.8</v>
      </c>
      <c r="BN32" s="10"/>
      <c r="BO32" s="10">
        <v>0.8</v>
      </c>
      <c r="BS32" s="10"/>
      <c r="BT32" s="10">
        <v>0.8</v>
      </c>
      <c r="BU32" s="10"/>
      <c r="BV32" s="10">
        <v>0.8</v>
      </c>
      <c r="BZ32" s="10"/>
      <c r="CA32" s="10">
        <v>0.8</v>
      </c>
      <c r="CB32" s="10"/>
      <c r="CC32" s="10">
        <v>0.8</v>
      </c>
      <c r="CG32" s="10"/>
      <c r="CH32" s="10">
        <v>0.8</v>
      </c>
      <c r="CI32" s="10"/>
      <c r="CJ32" s="10">
        <v>0.8</v>
      </c>
      <c r="CN32" s="10"/>
      <c r="CO32" s="10">
        <v>0.8</v>
      </c>
      <c r="CP32" s="10"/>
      <c r="CQ32" s="10">
        <v>0.8</v>
      </c>
      <c r="CV32" s="10"/>
      <c r="CW32" s="10">
        <v>0.8</v>
      </c>
      <c r="CX32" s="10"/>
      <c r="CY32" s="10">
        <v>0.8</v>
      </c>
      <c r="CZ32">
        <v>2</v>
      </c>
      <c r="DE32" s="10"/>
      <c r="DF32" s="10">
        <v>1</v>
      </c>
      <c r="DG32" s="10"/>
      <c r="DH32" s="10">
        <v>1</v>
      </c>
      <c r="DN32" s="10"/>
      <c r="DO32" s="10">
        <v>1</v>
      </c>
      <c r="DP32" s="10"/>
      <c r="DQ32" s="10">
        <v>1</v>
      </c>
      <c r="DW32" s="10"/>
      <c r="DX32" s="10">
        <v>1</v>
      </c>
      <c r="DY32" s="10"/>
      <c r="DZ32" s="10">
        <v>1</v>
      </c>
      <c r="EF32" s="10"/>
      <c r="EG32" s="10"/>
      <c r="EH32" s="10"/>
      <c r="EI32" s="10"/>
      <c r="EO32" s="10"/>
      <c r="EP32" s="10"/>
      <c r="EQ32" s="10"/>
      <c r="ER32" s="10"/>
      <c r="EX32" s="10"/>
      <c r="EY32" s="10"/>
      <c r="EZ32" s="10"/>
      <c r="FA32" s="10"/>
      <c r="FG32" s="10"/>
      <c r="FH32" s="10"/>
      <c r="FI32" s="10"/>
      <c r="FJ32" s="10"/>
      <c r="FP32" s="10"/>
      <c r="FQ32" s="10"/>
      <c r="FR32" s="10"/>
      <c r="FS32" s="10"/>
    </row>
    <row r="33" spans="2:175" outlineLevel="1" x14ac:dyDescent="0.2">
      <c r="B33" t="s">
        <v>28</v>
      </c>
      <c r="C33" t="s">
        <v>91</v>
      </c>
      <c r="E33" s="9"/>
      <c r="F33" t="s">
        <v>114</v>
      </c>
      <c r="G33" s="10">
        <v>0.05</v>
      </c>
      <c r="I33" s="9">
        <f>+SUMIF($M$3:$ZL$3,I$3,$M33:$ZL33)</f>
        <v>0</v>
      </c>
      <c r="J33" s="11" cm="1">
        <f t="array" ref="J33">MAX(IF($M$3:$DT$3=$J$3,M33:DT33))</f>
        <v>0</v>
      </c>
      <c r="K33" s="11" cm="1">
        <f t="array" ref="K33">MAX(IF($M$3:$DT$3=$J$3,M33:DT33))</f>
        <v>0</v>
      </c>
      <c r="L33" s="9"/>
      <c r="O33" s="10"/>
      <c r="P33" s="10"/>
      <c r="Q33" s="10"/>
      <c r="R33" s="10"/>
      <c r="V33" s="10"/>
      <c r="W33" s="10"/>
      <c r="X33" s="10"/>
      <c r="Y33" s="10"/>
      <c r="AC33" s="10"/>
      <c r="AD33" s="10"/>
      <c r="AE33" s="10"/>
      <c r="AF33" s="10"/>
      <c r="AG33">
        <v>3</v>
      </c>
      <c r="AJ33" s="10"/>
      <c r="AK33" s="10">
        <v>0.5</v>
      </c>
      <c r="AL33" s="10"/>
      <c r="AM33" s="10">
        <v>0.5</v>
      </c>
      <c r="AQ33" s="10"/>
      <c r="AR33" s="10">
        <v>0.5</v>
      </c>
      <c r="AS33" s="10"/>
      <c r="AT33" s="10">
        <v>0.5</v>
      </c>
      <c r="AX33" s="10"/>
      <c r="AY33" s="10">
        <v>0.5</v>
      </c>
      <c r="AZ33" s="10"/>
      <c r="BA33" s="10">
        <v>0.5</v>
      </c>
      <c r="BE33" s="10"/>
      <c r="BF33" s="10">
        <v>0.5</v>
      </c>
      <c r="BG33" s="10"/>
      <c r="BH33" s="10">
        <v>0.5</v>
      </c>
      <c r="BL33" s="10"/>
      <c r="BM33" s="10">
        <v>0.5</v>
      </c>
      <c r="BN33" s="10"/>
      <c r="BO33" s="10">
        <v>0.5</v>
      </c>
      <c r="BP33">
        <v>2</v>
      </c>
      <c r="BS33" s="10"/>
      <c r="BT33" s="10">
        <v>0.8</v>
      </c>
      <c r="BU33" s="10"/>
      <c r="BV33" s="10">
        <v>0.8</v>
      </c>
      <c r="BZ33" s="10"/>
      <c r="CA33" s="10">
        <v>0.8</v>
      </c>
      <c r="CB33" s="10"/>
      <c r="CC33" s="10">
        <v>0.8</v>
      </c>
      <c r="CG33" s="10"/>
      <c r="CH33" s="10">
        <v>0.8</v>
      </c>
      <c r="CI33" s="10"/>
      <c r="CJ33" s="10">
        <v>0.8</v>
      </c>
      <c r="CN33" s="10"/>
      <c r="CO33" s="10">
        <v>0.8</v>
      </c>
      <c r="CP33" s="10"/>
      <c r="CQ33" s="10">
        <v>0.8</v>
      </c>
      <c r="CV33" s="10"/>
      <c r="CW33" s="10">
        <v>0.8</v>
      </c>
      <c r="CX33" s="10"/>
      <c r="CY33" s="10">
        <v>0.8</v>
      </c>
      <c r="DE33" s="10"/>
      <c r="DF33" s="10">
        <v>0.8</v>
      </c>
      <c r="DG33" s="10"/>
      <c r="DH33" s="10">
        <v>0.8</v>
      </c>
      <c r="DI33">
        <v>3</v>
      </c>
      <c r="DN33" s="10"/>
      <c r="DO33" s="10">
        <v>1</v>
      </c>
      <c r="DP33" s="10"/>
      <c r="DQ33" s="10">
        <v>1</v>
      </c>
      <c r="DW33" s="10"/>
      <c r="DX33" s="10">
        <v>1</v>
      </c>
      <c r="DY33" s="10"/>
      <c r="DZ33" s="10">
        <v>1</v>
      </c>
      <c r="EF33" s="10"/>
      <c r="EG33" s="10"/>
      <c r="EH33" s="10"/>
      <c r="EI33" s="10"/>
      <c r="EO33" s="10"/>
      <c r="EP33" s="10"/>
      <c r="EQ33" s="10"/>
      <c r="ER33" s="10"/>
      <c r="EX33" s="10"/>
      <c r="EY33" s="10"/>
      <c r="EZ33" s="10"/>
      <c r="FA33" s="10"/>
      <c r="FG33" s="10"/>
      <c r="FH33" s="10"/>
      <c r="FI33" s="10"/>
      <c r="FJ33" s="10"/>
      <c r="FP33" s="10"/>
      <c r="FQ33" s="10"/>
      <c r="FR33" s="10"/>
      <c r="FS33" s="10"/>
    </row>
    <row r="34" spans="2:175" outlineLevel="1" x14ac:dyDescent="0.2">
      <c r="B34" t="s">
        <v>28</v>
      </c>
      <c r="C34" t="s">
        <v>91</v>
      </c>
      <c r="E34" s="9"/>
      <c r="F34" t="s">
        <v>30</v>
      </c>
      <c r="G34" s="10">
        <v>0.05</v>
      </c>
      <c r="I34" s="9">
        <f>+SUMIF($M$3:$ZL$3,I$3,$M34:$ZL34)</f>
        <v>0</v>
      </c>
      <c r="J34" s="11" cm="1">
        <f t="array" ref="J34">MAX(IF($M$3:$DT$3=$J$3,M34:DT34))</f>
        <v>0</v>
      </c>
      <c r="K34" s="11" cm="1">
        <f t="array" ref="K34">MAX(IF($M$3:$DT$3=$J$3,M34:DT34))</f>
        <v>0</v>
      </c>
      <c r="L34" s="9"/>
      <c r="O34" s="10"/>
      <c r="P34" s="10"/>
      <c r="Q34" s="10"/>
      <c r="R34" s="10"/>
      <c r="V34" s="10"/>
      <c r="W34" s="10"/>
      <c r="X34" s="10"/>
      <c r="Y34" s="10"/>
      <c r="AC34" s="10"/>
      <c r="AD34" s="10"/>
      <c r="AE34" s="10"/>
      <c r="AF34" s="10"/>
      <c r="AG34">
        <v>2</v>
      </c>
      <c r="AJ34" s="10"/>
      <c r="AK34" s="10">
        <v>0.5</v>
      </c>
      <c r="AL34" s="10"/>
      <c r="AM34" s="10">
        <v>0.5</v>
      </c>
      <c r="AQ34" s="10"/>
      <c r="AR34" s="10">
        <v>0.5</v>
      </c>
      <c r="AS34" s="10"/>
      <c r="AT34" s="10">
        <v>0.5</v>
      </c>
      <c r="AX34" s="10"/>
      <c r="AY34" s="10">
        <v>0.5</v>
      </c>
      <c r="AZ34" s="10"/>
      <c r="BA34" s="10">
        <v>0.5</v>
      </c>
      <c r="BE34" s="10"/>
      <c r="BF34" s="10">
        <v>0.5</v>
      </c>
      <c r="BG34" s="10"/>
      <c r="BH34" s="10">
        <v>0.5</v>
      </c>
      <c r="BL34" s="10"/>
      <c r="BM34" s="10">
        <v>0.5</v>
      </c>
      <c r="BN34" s="10"/>
      <c r="BO34" s="10">
        <v>0.5</v>
      </c>
      <c r="BS34" s="10"/>
      <c r="BT34" s="10">
        <v>0.5</v>
      </c>
      <c r="BU34" s="10"/>
      <c r="BV34" s="10">
        <v>0.5</v>
      </c>
      <c r="BW34">
        <v>2</v>
      </c>
      <c r="BZ34" s="10"/>
      <c r="CA34" s="10">
        <v>0.8</v>
      </c>
      <c r="CB34" s="10"/>
      <c r="CC34" s="10">
        <v>0.8</v>
      </c>
      <c r="CG34" s="10"/>
      <c r="CH34" s="10">
        <v>0.8</v>
      </c>
      <c r="CI34" s="10"/>
      <c r="CJ34" s="10">
        <v>0.8</v>
      </c>
      <c r="CN34" s="10"/>
      <c r="CO34" s="10">
        <v>0.8</v>
      </c>
      <c r="CP34" s="10"/>
      <c r="CQ34" s="10">
        <v>0.8</v>
      </c>
      <c r="CV34" s="10"/>
      <c r="CW34" s="10">
        <v>0.8</v>
      </c>
      <c r="CX34" s="10"/>
      <c r="CY34" s="10">
        <v>0.8</v>
      </c>
      <c r="DE34" s="10"/>
      <c r="DF34" s="10">
        <v>0.8</v>
      </c>
      <c r="DG34" s="10"/>
      <c r="DH34" s="10">
        <v>0.8</v>
      </c>
      <c r="DI34">
        <v>2</v>
      </c>
      <c r="DN34" s="10"/>
      <c r="DO34" s="10">
        <v>1</v>
      </c>
      <c r="DP34" s="10"/>
      <c r="DQ34" s="10">
        <v>1</v>
      </c>
      <c r="DW34" s="10"/>
      <c r="DX34" s="10">
        <v>1</v>
      </c>
      <c r="DY34" s="10"/>
      <c r="DZ34" s="10">
        <v>1</v>
      </c>
      <c r="EF34" s="10"/>
      <c r="EG34" s="10"/>
      <c r="EH34" s="10"/>
      <c r="EI34" s="10"/>
      <c r="EO34" s="10"/>
      <c r="EP34" s="10"/>
      <c r="EQ34" s="10"/>
      <c r="ER34" s="10"/>
      <c r="EX34" s="10"/>
      <c r="EY34" s="10"/>
      <c r="EZ34" s="10"/>
      <c r="FA34" s="10"/>
      <c r="FG34" s="10"/>
      <c r="FH34" s="10"/>
      <c r="FI34" s="10"/>
      <c r="FJ34" s="10"/>
      <c r="FP34" s="10"/>
      <c r="FQ34" s="10"/>
      <c r="FR34" s="10"/>
      <c r="FS34" s="10"/>
    </row>
    <row r="35" spans="2:175" outlineLevel="1" x14ac:dyDescent="0.2">
      <c r="B35" t="s">
        <v>28</v>
      </c>
      <c r="C35" t="s">
        <v>91</v>
      </c>
      <c r="E35" s="9"/>
      <c r="F35" t="s">
        <v>134</v>
      </c>
      <c r="G35" s="10">
        <v>0.05</v>
      </c>
      <c r="I35" s="9">
        <f>+SUMIF($M$3:$ZL$3,I$3,$M35:$ZL35)</f>
        <v>0</v>
      </c>
      <c r="J35" s="11" cm="1">
        <f t="array" ref="J35">MAX(IF($M$3:$DT$3=$J$3,M35:DT35))</f>
        <v>0</v>
      </c>
      <c r="K35" s="11" cm="1">
        <f t="array" ref="K35">MAX(IF($M$3:$DT$3=$J$3,M35:DT35))</f>
        <v>0</v>
      </c>
      <c r="L35" s="9"/>
      <c r="O35" s="10"/>
      <c r="P35" s="10"/>
      <c r="Q35" s="10"/>
      <c r="R35" s="10"/>
      <c r="V35" s="10"/>
      <c r="W35" s="10"/>
      <c r="X35" s="10"/>
      <c r="Y35" s="10"/>
      <c r="AC35" s="10"/>
      <c r="AD35" s="10"/>
      <c r="AE35" s="10"/>
      <c r="AF35" s="10"/>
      <c r="AJ35" s="10"/>
      <c r="AK35" s="10"/>
      <c r="AL35" s="10"/>
      <c r="AM35" s="10"/>
      <c r="AN35">
        <v>2</v>
      </c>
      <c r="AQ35" s="10"/>
      <c r="AR35" s="10">
        <v>0.5</v>
      </c>
      <c r="AS35" s="10"/>
      <c r="AT35" s="10">
        <v>0.5</v>
      </c>
      <c r="AX35" s="10"/>
      <c r="AY35" s="10">
        <v>0.5</v>
      </c>
      <c r="AZ35" s="10"/>
      <c r="BA35" s="10">
        <v>0.5</v>
      </c>
      <c r="BE35" s="10"/>
      <c r="BF35" s="10">
        <v>0.5</v>
      </c>
      <c r="BG35" s="10"/>
      <c r="BH35" s="10">
        <v>0.5</v>
      </c>
      <c r="BL35" s="10"/>
      <c r="BM35" s="10">
        <v>0.5</v>
      </c>
      <c r="BN35" s="10"/>
      <c r="BO35" s="10">
        <v>0.5</v>
      </c>
      <c r="BS35" s="10"/>
      <c r="BT35" s="10">
        <v>0.5</v>
      </c>
      <c r="BU35" s="10"/>
      <c r="BV35" s="10">
        <v>0.5</v>
      </c>
      <c r="BZ35" s="10"/>
      <c r="CA35" s="10">
        <v>0.5</v>
      </c>
      <c r="CB35" s="10"/>
      <c r="CC35" s="10">
        <v>0.5</v>
      </c>
      <c r="CD35">
        <v>3</v>
      </c>
      <c r="CG35" s="10"/>
      <c r="CH35" s="10">
        <v>0.8</v>
      </c>
      <c r="CI35" s="10"/>
      <c r="CJ35" s="10">
        <v>0.8</v>
      </c>
      <c r="CN35" s="10"/>
      <c r="CO35" s="10">
        <v>0.8</v>
      </c>
      <c r="CP35" s="10"/>
      <c r="CQ35" s="10">
        <v>0.8</v>
      </c>
      <c r="CV35" s="10"/>
      <c r="CW35" s="10">
        <v>0.8</v>
      </c>
      <c r="CX35" s="10"/>
      <c r="CY35" s="10">
        <v>0.8</v>
      </c>
      <c r="DE35" s="10"/>
      <c r="DF35" s="10">
        <v>0.8</v>
      </c>
      <c r="DG35" s="10"/>
      <c r="DH35" s="10">
        <v>0.8</v>
      </c>
      <c r="DN35" s="10"/>
      <c r="DO35" s="10">
        <v>0.8</v>
      </c>
      <c r="DP35" s="10"/>
      <c r="DQ35" s="10">
        <v>0.8</v>
      </c>
      <c r="DR35">
        <v>3</v>
      </c>
      <c r="DW35" s="10"/>
      <c r="DX35" s="10">
        <v>1</v>
      </c>
      <c r="DY35" s="10"/>
      <c r="DZ35" s="10">
        <v>1</v>
      </c>
      <c r="EF35" s="10"/>
      <c r="EG35" s="10"/>
      <c r="EH35" s="10"/>
      <c r="EI35" s="10"/>
      <c r="EO35" s="10"/>
      <c r="EP35" s="10"/>
      <c r="EQ35" s="10"/>
      <c r="ER35" s="10"/>
      <c r="EX35" s="10"/>
      <c r="EY35" s="10"/>
      <c r="EZ35" s="10"/>
      <c r="FA35" s="10"/>
      <c r="FG35" s="10"/>
      <c r="FH35" s="10"/>
      <c r="FI35" s="10"/>
      <c r="FJ35" s="10"/>
      <c r="FP35" s="10"/>
      <c r="FQ35" s="10"/>
      <c r="FR35" s="10"/>
      <c r="FS35" s="10"/>
    </row>
    <row r="36" spans="2:175" outlineLevel="1" x14ac:dyDescent="0.2">
      <c r="B36" t="s">
        <v>28</v>
      </c>
      <c r="C36" t="s">
        <v>91</v>
      </c>
      <c r="E36" s="9"/>
      <c r="F36" t="s">
        <v>135</v>
      </c>
      <c r="G36" s="10">
        <v>0.05</v>
      </c>
      <c r="I36" s="9">
        <f>+SUMIF($M$3:$ZL$3,I$3,$M36:$ZL36)</f>
        <v>0</v>
      </c>
      <c r="J36" s="11" cm="1">
        <f t="array" ref="J36">MAX(IF($M$3:$DT$3=$J$3,M36:DT36))</f>
        <v>0</v>
      </c>
      <c r="K36" s="11" cm="1">
        <f t="array" ref="K36">MAX(IF($M$3:$DT$3=$J$3,M36:DT36))</f>
        <v>0</v>
      </c>
      <c r="L36" s="9"/>
      <c r="O36" s="10"/>
      <c r="P36" s="10"/>
      <c r="Q36" s="10"/>
      <c r="R36" s="10"/>
      <c r="V36" s="10"/>
      <c r="W36" s="10"/>
      <c r="X36" s="10"/>
      <c r="Y36" s="10"/>
      <c r="AC36" s="10"/>
      <c r="AD36" s="10"/>
      <c r="AE36" s="10"/>
      <c r="AF36" s="10"/>
      <c r="AJ36" s="10"/>
      <c r="AK36" s="10"/>
      <c r="AL36" s="10"/>
      <c r="AM36" s="10"/>
      <c r="AQ36" s="10"/>
      <c r="AR36" s="10"/>
      <c r="AS36" s="10"/>
      <c r="AT36" s="10"/>
      <c r="AU36">
        <v>2</v>
      </c>
      <c r="AX36" s="10"/>
      <c r="AY36" s="10">
        <v>0.5</v>
      </c>
      <c r="AZ36" s="10"/>
      <c r="BA36" s="10">
        <v>0.5</v>
      </c>
      <c r="BE36" s="10"/>
      <c r="BF36" s="10">
        <v>0.5</v>
      </c>
      <c r="BG36" s="10"/>
      <c r="BH36" s="10">
        <v>0.5</v>
      </c>
      <c r="BL36" s="10"/>
      <c r="BM36" s="10">
        <v>0.5</v>
      </c>
      <c r="BN36" s="10"/>
      <c r="BO36" s="10">
        <v>0.5</v>
      </c>
      <c r="BS36" s="10"/>
      <c r="BT36" s="10">
        <v>0.5</v>
      </c>
      <c r="BU36" s="10"/>
      <c r="BV36" s="10">
        <v>0.5</v>
      </c>
      <c r="BZ36" s="10"/>
      <c r="CA36" s="10">
        <v>0.5</v>
      </c>
      <c r="CB36" s="10"/>
      <c r="CC36" s="10">
        <v>0.5</v>
      </c>
      <c r="CD36">
        <v>2</v>
      </c>
      <c r="CG36" s="10"/>
      <c r="CH36" s="10">
        <v>0.8</v>
      </c>
      <c r="CI36" s="10"/>
      <c r="CJ36" s="10">
        <v>0.8</v>
      </c>
      <c r="CN36" s="10"/>
      <c r="CO36" s="10">
        <v>0.8</v>
      </c>
      <c r="CP36" s="10"/>
      <c r="CQ36" s="10">
        <v>0.8</v>
      </c>
      <c r="CV36" s="10"/>
      <c r="CW36" s="10">
        <v>0.8</v>
      </c>
      <c r="CX36" s="10"/>
      <c r="CY36" s="10">
        <v>0.8</v>
      </c>
      <c r="DE36" s="10"/>
      <c r="DF36" s="10">
        <v>0.8</v>
      </c>
      <c r="DG36" s="10"/>
      <c r="DH36" s="10">
        <v>0.8</v>
      </c>
      <c r="DN36" s="10"/>
      <c r="DO36" s="10">
        <v>0.8</v>
      </c>
      <c r="DP36" s="10"/>
      <c r="DQ36" s="10">
        <v>0.8</v>
      </c>
      <c r="DR36">
        <v>2</v>
      </c>
      <c r="DW36" s="10"/>
      <c r="DX36" s="10">
        <v>1</v>
      </c>
      <c r="DY36" s="10"/>
      <c r="DZ36" s="10">
        <v>1</v>
      </c>
      <c r="EF36" s="10"/>
      <c r="EG36" s="10"/>
      <c r="EH36" s="10"/>
      <c r="EI36" s="10"/>
      <c r="EO36" s="10"/>
      <c r="EP36" s="10"/>
      <c r="EQ36" s="10"/>
      <c r="ER36" s="10"/>
      <c r="EX36" s="10"/>
      <c r="EY36" s="10"/>
      <c r="EZ36" s="10"/>
      <c r="FA36" s="10"/>
      <c r="FG36" s="10"/>
      <c r="FH36" s="10"/>
      <c r="FI36" s="10"/>
      <c r="FJ36" s="10"/>
      <c r="FP36" s="10"/>
      <c r="FQ36" s="10"/>
      <c r="FR36" s="10"/>
      <c r="FS36" s="10"/>
    </row>
    <row r="37" spans="2:175" outlineLevel="1" x14ac:dyDescent="0.2">
      <c r="E37" s="9"/>
      <c r="G37" s="10"/>
      <c r="I37" s="9"/>
      <c r="J37" s="11"/>
      <c r="K37" s="11"/>
      <c r="L37" s="9"/>
      <c r="O37" s="10"/>
      <c r="P37" s="10"/>
      <c r="Q37" s="10"/>
      <c r="R37" s="10"/>
      <c r="V37" s="10"/>
      <c r="W37" s="10"/>
      <c r="X37" s="10"/>
      <c r="Y37" s="10"/>
      <c r="AC37" s="10"/>
      <c r="AD37" s="10"/>
      <c r="AE37" s="10"/>
      <c r="AF37" s="10"/>
      <c r="AJ37" s="10"/>
      <c r="AK37" s="10"/>
      <c r="AL37" s="10"/>
      <c r="AM37" s="10"/>
      <c r="AQ37" s="10"/>
      <c r="AR37" s="10"/>
      <c r="AS37" s="10"/>
      <c r="AT37" s="10"/>
      <c r="AX37" s="10"/>
      <c r="AY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V37" s="10"/>
      <c r="CW37" s="10"/>
      <c r="CX37" s="10"/>
      <c r="CY37" s="10"/>
      <c r="DE37" s="10"/>
      <c r="DF37" s="10"/>
      <c r="DG37" s="10"/>
      <c r="DH37" s="10"/>
      <c r="DN37" s="10"/>
      <c r="DO37" s="10"/>
      <c r="DP37" s="10"/>
      <c r="DQ37" s="10"/>
      <c r="DW37" s="10"/>
      <c r="DX37" s="10"/>
      <c r="DY37" s="10"/>
      <c r="DZ37" s="10"/>
      <c r="EF37" s="10"/>
      <c r="EG37" s="10"/>
      <c r="EH37" s="10"/>
      <c r="EI37" s="10"/>
      <c r="EO37" s="10"/>
      <c r="EP37" s="10"/>
      <c r="EQ37" s="10"/>
      <c r="ER37" s="10"/>
      <c r="EX37" s="10"/>
      <c r="EY37" s="10"/>
      <c r="EZ37" s="10"/>
      <c r="FA37" s="10"/>
      <c r="FG37" s="10"/>
      <c r="FH37" s="10"/>
      <c r="FI37" s="10"/>
      <c r="FJ37" s="10"/>
      <c r="FP37" s="10"/>
      <c r="FQ37" s="10"/>
      <c r="FR37" s="10"/>
      <c r="FS37" s="10"/>
    </row>
    <row r="38" spans="2:175" outlineLevel="1" x14ac:dyDescent="0.2">
      <c r="E38" s="9"/>
      <c r="G38" s="10"/>
      <c r="I38" s="9"/>
      <c r="J38" s="11"/>
      <c r="K38" s="11"/>
      <c r="L38" s="9"/>
      <c r="O38" s="10"/>
      <c r="P38" s="10"/>
      <c r="Q38" s="10"/>
      <c r="R38" s="10"/>
      <c r="V38" s="10"/>
      <c r="W38" s="10"/>
      <c r="X38" s="10"/>
      <c r="Y38" s="10"/>
      <c r="AC38" s="10"/>
      <c r="AD38" s="10"/>
      <c r="AE38" s="10"/>
      <c r="AF38" s="10"/>
      <c r="AJ38" s="10"/>
      <c r="AK38" s="10"/>
      <c r="AL38" s="10"/>
      <c r="AM38" s="10"/>
      <c r="AQ38" s="10"/>
      <c r="AR38" s="10"/>
      <c r="AS38" s="10"/>
      <c r="AT38" s="10"/>
      <c r="AX38" s="10"/>
      <c r="AY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c r="CP38" s="10"/>
      <c r="CQ38" s="10"/>
      <c r="CV38" s="10"/>
      <c r="CW38" s="10"/>
      <c r="CX38" s="10"/>
      <c r="CY38" s="10"/>
      <c r="DE38" s="10"/>
      <c r="DF38" s="10"/>
      <c r="DG38" s="10"/>
      <c r="DH38" s="10"/>
      <c r="DN38" s="10"/>
      <c r="DO38" s="10"/>
      <c r="DP38" s="10"/>
      <c r="DQ38" s="10"/>
      <c r="DW38" s="10"/>
      <c r="DX38" s="10"/>
      <c r="DY38" s="10"/>
      <c r="DZ38" s="10"/>
      <c r="EF38" s="10"/>
      <c r="EG38" s="10"/>
      <c r="EH38" s="10"/>
      <c r="EI38" s="10"/>
      <c r="EO38" s="10"/>
      <c r="EP38" s="10"/>
      <c r="EQ38" s="10"/>
      <c r="ER38" s="10"/>
      <c r="EX38" s="10"/>
      <c r="EY38" s="10"/>
      <c r="EZ38" s="10"/>
      <c r="FA38" s="10"/>
      <c r="FG38" s="10"/>
      <c r="FH38" s="10"/>
      <c r="FI38" s="10"/>
      <c r="FJ38" s="10"/>
      <c r="FP38" s="10"/>
      <c r="FQ38" s="10"/>
      <c r="FR38" s="10"/>
      <c r="FS38" s="10"/>
    </row>
    <row r="39" spans="2:175" x14ac:dyDescent="0.2">
      <c r="B39" t="s">
        <v>27</v>
      </c>
      <c r="C39" t="s">
        <v>92</v>
      </c>
      <c r="D39" s="19">
        <v>45353</v>
      </c>
      <c r="E39" s="9">
        <v>5</v>
      </c>
      <c r="G39" s="10">
        <f>+SUM(G40:G45)</f>
        <v>0.35</v>
      </c>
      <c r="I39" s="12">
        <f>+SUM(I40:I45)</f>
        <v>0</v>
      </c>
      <c r="J39" s="11">
        <f>+SUMPRODUCT(G40:G45,J40:J45)</f>
        <v>0</v>
      </c>
      <c r="K39" s="11">
        <f>+SUMPRODUCT(G40:G45,K40:K45)</f>
        <v>0</v>
      </c>
      <c r="L39" s="9"/>
      <c r="N39" s="12">
        <f>+SUM(N40:N45)</f>
        <v>0</v>
      </c>
      <c r="U39" s="12">
        <f>+SUM(U40:U45)</f>
        <v>0</v>
      </c>
      <c r="AB39" s="12">
        <f>+SUM(AB40:AB45)</f>
        <v>0</v>
      </c>
      <c r="DO39" s="10"/>
      <c r="DQ39" s="10"/>
      <c r="DZ39" s="10"/>
    </row>
    <row r="40" spans="2:175" ht="16" customHeight="1" outlineLevel="1" x14ac:dyDescent="0.2">
      <c r="B40" t="s">
        <v>28</v>
      </c>
      <c r="C40" t="s">
        <v>92</v>
      </c>
      <c r="E40" s="9"/>
      <c r="F40" t="s">
        <v>118</v>
      </c>
      <c r="G40" s="10">
        <v>0.1</v>
      </c>
      <c r="I40" s="9">
        <f>+SUMIF($M$3:$ZL$3,I$3,$M40:$ZL40)</f>
        <v>0</v>
      </c>
      <c r="J40" s="11" cm="1">
        <f t="array" ref="J40">MAX(IF($M$3:$DT$3=$J$3,M40:DT40))</f>
        <v>0</v>
      </c>
      <c r="K40" s="11" cm="1">
        <f t="array" ref="K40">MAX(IF($M$3:$DT$3=$J$3,M40:DT40))</f>
        <v>0</v>
      </c>
      <c r="L40" s="9"/>
      <c r="O40" s="10"/>
      <c r="P40" s="10">
        <v>0.5</v>
      </c>
      <c r="Q40" s="10"/>
      <c r="R40" s="10">
        <v>0.5</v>
      </c>
      <c r="V40" s="10"/>
      <c r="W40" s="10">
        <v>0.5</v>
      </c>
      <c r="X40" s="10"/>
      <c r="Y40" s="10">
        <v>0.5</v>
      </c>
      <c r="AC40" s="10"/>
      <c r="AD40" s="10">
        <v>0.5</v>
      </c>
      <c r="AE40" s="10"/>
      <c r="AF40" s="10">
        <v>0.5</v>
      </c>
      <c r="AJ40" s="10"/>
      <c r="AK40" s="10">
        <v>0.5</v>
      </c>
      <c r="AL40" s="10"/>
      <c r="AM40" s="10">
        <v>0.5</v>
      </c>
      <c r="AN40">
        <v>1</v>
      </c>
      <c r="AQ40" s="10"/>
      <c r="AR40" s="10">
        <v>0.8</v>
      </c>
      <c r="AS40" s="10"/>
      <c r="AT40" s="10">
        <v>0.8</v>
      </c>
      <c r="AX40" s="10"/>
      <c r="AY40" s="10">
        <v>0.8</v>
      </c>
      <c r="AZ40" s="10"/>
      <c r="BA40" s="10">
        <v>0.8</v>
      </c>
      <c r="BE40" s="10"/>
      <c r="BF40" s="10">
        <v>0.8</v>
      </c>
      <c r="BG40" s="10"/>
      <c r="BH40" s="10">
        <v>0.8</v>
      </c>
      <c r="BL40" s="10"/>
      <c r="BM40" s="10">
        <v>0.8</v>
      </c>
      <c r="BN40" s="10"/>
      <c r="BO40" s="10">
        <v>0.8</v>
      </c>
      <c r="BS40" s="10"/>
      <c r="BT40" s="10">
        <v>0.8</v>
      </c>
      <c r="BU40" s="10"/>
      <c r="BV40" s="10">
        <v>0.8</v>
      </c>
      <c r="BZ40" s="10"/>
      <c r="CA40" s="10">
        <v>0.8</v>
      </c>
      <c r="CB40" s="10"/>
      <c r="CC40" s="10">
        <v>0.8</v>
      </c>
      <c r="CD40">
        <v>1</v>
      </c>
      <c r="CG40" s="10"/>
      <c r="CH40" s="10">
        <v>1</v>
      </c>
      <c r="CI40" s="10"/>
      <c r="CJ40" s="10">
        <v>1</v>
      </c>
      <c r="CN40" s="10"/>
      <c r="CO40" s="10">
        <v>1</v>
      </c>
      <c r="CP40" s="10"/>
      <c r="CQ40" s="10">
        <v>1</v>
      </c>
      <c r="CV40" s="10"/>
      <c r="CW40" s="10">
        <v>1</v>
      </c>
      <c r="CX40" s="10"/>
      <c r="CY40" s="10">
        <v>1</v>
      </c>
      <c r="DE40" s="10"/>
      <c r="DF40" s="10">
        <v>1</v>
      </c>
      <c r="DG40" s="10"/>
      <c r="DH40" s="10">
        <v>1</v>
      </c>
      <c r="DN40" s="10"/>
      <c r="DO40" s="10">
        <v>1</v>
      </c>
      <c r="DP40" s="10"/>
      <c r="DQ40" s="10">
        <v>1</v>
      </c>
      <c r="DW40" s="10"/>
      <c r="DX40" s="10">
        <v>1</v>
      </c>
      <c r="DY40" s="10"/>
      <c r="DZ40" s="10">
        <v>1</v>
      </c>
      <c r="EF40" s="10"/>
      <c r="EG40" s="10"/>
      <c r="EH40" s="10"/>
      <c r="EI40" s="10"/>
      <c r="EO40" s="10"/>
      <c r="EP40" s="10"/>
      <c r="EQ40" s="10"/>
      <c r="ER40" s="10"/>
      <c r="EX40" s="10"/>
      <c r="EY40" s="10"/>
      <c r="EZ40" s="10"/>
      <c r="FA40" s="10"/>
      <c r="FG40" s="10"/>
      <c r="FH40" s="10"/>
      <c r="FI40" s="10"/>
      <c r="FJ40" s="10"/>
      <c r="FP40" s="10"/>
      <c r="FQ40" s="10"/>
      <c r="FR40" s="10"/>
      <c r="FS40" s="10"/>
    </row>
    <row r="41" spans="2:175" outlineLevel="1" x14ac:dyDescent="0.2">
      <c r="B41" t="s">
        <v>28</v>
      </c>
      <c r="C41" t="s">
        <v>92</v>
      </c>
      <c r="E41" s="9"/>
      <c r="F41" t="s">
        <v>112</v>
      </c>
      <c r="G41" s="10">
        <v>0.05</v>
      </c>
      <c r="I41" s="9">
        <f>+SUMIF($M$3:$ZL$3,I$3,$M41:$ZL41)</f>
        <v>0</v>
      </c>
      <c r="J41" s="11" cm="1">
        <f t="array" ref="J41">MAX(IF($M$3:$DT$3=$J$3,M41:DT41))</f>
        <v>0</v>
      </c>
      <c r="K41" s="11" cm="1">
        <f t="array" ref="K41">MAX(IF($M$3:$DT$3=$J$3,M41:DT41))</f>
        <v>0</v>
      </c>
      <c r="L41" s="9"/>
      <c r="O41" s="10"/>
      <c r="P41" s="10">
        <v>0.5</v>
      </c>
      <c r="Q41" s="10"/>
      <c r="R41" s="10">
        <v>0.5</v>
      </c>
      <c r="V41" s="10"/>
      <c r="W41" s="10">
        <v>0.5</v>
      </c>
      <c r="X41" s="10"/>
      <c r="Y41" s="10">
        <v>0.5</v>
      </c>
      <c r="AC41" s="10"/>
      <c r="AD41" s="10">
        <v>0.5</v>
      </c>
      <c r="AE41" s="10"/>
      <c r="AF41" s="10">
        <v>0.5</v>
      </c>
      <c r="AJ41" s="10"/>
      <c r="AK41" s="10">
        <v>0.5</v>
      </c>
      <c r="AL41" s="10"/>
      <c r="AM41" s="10">
        <v>0.5</v>
      </c>
      <c r="AQ41" s="10"/>
      <c r="AR41" s="10">
        <v>0.5</v>
      </c>
      <c r="AS41" s="10"/>
      <c r="AT41" s="10">
        <v>0.5</v>
      </c>
      <c r="AU41">
        <v>1</v>
      </c>
      <c r="AX41" s="10"/>
      <c r="AY41" s="10">
        <v>0.8</v>
      </c>
      <c r="AZ41" s="10"/>
      <c r="BA41" s="10">
        <v>0.8</v>
      </c>
      <c r="BE41" s="10"/>
      <c r="BF41" s="10">
        <v>0.8</v>
      </c>
      <c r="BG41" s="10"/>
      <c r="BH41" s="10">
        <v>0.8</v>
      </c>
      <c r="BL41" s="10"/>
      <c r="BM41" s="10">
        <v>0.8</v>
      </c>
      <c r="BN41" s="10"/>
      <c r="BO41" s="10">
        <v>0.8</v>
      </c>
      <c r="BS41" s="10"/>
      <c r="BT41" s="10">
        <v>0.8</v>
      </c>
      <c r="BU41" s="10"/>
      <c r="BV41" s="10">
        <v>0.8</v>
      </c>
      <c r="BZ41" s="10"/>
      <c r="CA41" s="10">
        <v>0.8</v>
      </c>
      <c r="CB41" s="10"/>
      <c r="CC41" s="10">
        <v>0.8</v>
      </c>
      <c r="CG41" s="10"/>
      <c r="CH41" s="10">
        <v>0.8</v>
      </c>
      <c r="CI41" s="10"/>
      <c r="CJ41" s="10">
        <v>0.8</v>
      </c>
      <c r="CK41">
        <v>1</v>
      </c>
      <c r="CN41" s="10"/>
      <c r="CO41" s="10">
        <v>1</v>
      </c>
      <c r="CP41" s="10"/>
      <c r="CQ41" s="10">
        <v>1</v>
      </c>
      <c r="CV41" s="10"/>
      <c r="CW41" s="10">
        <v>1</v>
      </c>
      <c r="CX41" s="10"/>
      <c r="CY41" s="10">
        <v>1</v>
      </c>
      <c r="DE41" s="10"/>
      <c r="DF41" s="10">
        <v>1</v>
      </c>
      <c r="DG41" s="10"/>
      <c r="DH41" s="10">
        <v>1</v>
      </c>
      <c r="DN41" s="10"/>
      <c r="DO41" s="10">
        <v>1</v>
      </c>
      <c r="DP41" s="10"/>
      <c r="DQ41" s="10">
        <v>1</v>
      </c>
      <c r="DW41" s="10"/>
      <c r="DX41" s="10">
        <v>1</v>
      </c>
      <c r="DY41" s="10"/>
      <c r="DZ41" s="10">
        <v>1</v>
      </c>
      <c r="EF41" s="10"/>
      <c r="EG41" s="10"/>
      <c r="EH41" s="10"/>
      <c r="EI41" s="10"/>
      <c r="EO41" s="10"/>
      <c r="EP41" s="10"/>
      <c r="EQ41" s="10"/>
      <c r="ER41" s="10"/>
      <c r="EX41" s="10"/>
      <c r="EY41" s="10"/>
      <c r="EZ41" s="10"/>
      <c r="FA41" s="10"/>
      <c r="FG41" s="10"/>
      <c r="FH41" s="10"/>
      <c r="FI41" s="10"/>
      <c r="FJ41" s="10"/>
      <c r="FP41" s="10"/>
      <c r="FQ41" s="10"/>
      <c r="FR41" s="10"/>
      <c r="FS41" s="10"/>
    </row>
    <row r="42" spans="2:175" outlineLevel="1" x14ac:dyDescent="0.2">
      <c r="B42" t="s">
        <v>28</v>
      </c>
      <c r="C42" t="s">
        <v>92</v>
      </c>
      <c r="E42" s="9"/>
      <c r="F42" t="s">
        <v>115</v>
      </c>
      <c r="G42" s="10">
        <v>0.05</v>
      </c>
      <c r="I42" s="9">
        <f>+SUMIF($M$3:$ZL$3,I$3,$M42:$ZL42)</f>
        <v>0</v>
      </c>
      <c r="J42" s="11" cm="1">
        <f t="array" ref="J42">MAX(IF($M$3:$DT$3=$J$3,M42:DT42))</f>
        <v>0</v>
      </c>
      <c r="K42" s="11" cm="1">
        <f t="array" ref="K42">MAX(IF($M$3:$DT$3=$J$3,M42:DT42))</f>
        <v>0</v>
      </c>
      <c r="L42" s="9"/>
      <c r="O42" s="10"/>
      <c r="P42" s="10">
        <v>0.5</v>
      </c>
      <c r="Q42" s="10"/>
      <c r="R42" s="10">
        <v>0.5</v>
      </c>
      <c r="V42" s="10"/>
      <c r="W42" s="10">
        <v>0.5</v>
      </c>
      <c r="X42" s="10"/>
      <c r="Y42" s="10">
        <v>0.5</v>
      </c>
      <c r="AC42" s="10"/>
      <c r="AD42" s="10">
        <v>0.5</v>
      </c>
      <c r="AE42" s="10"/>
      <c r="AF42" s="10">
        <v>0.5</v>
      </c>
      <c r="AJ42" s="10"/>
      <c r="AK42" s="10">
        <v>0.5</v>
      </c>
      <c r="AL42" s="10"/>
      <c r="AM42" s="10">
        <v>0.5</v>
      </c>
      <c r="AQ42" s="10"/>
      <c r="AR42" s="10">
        <v>0.5</v>
      </c>
      <c r="AS42" s="10"/>
      <c r="AT42" s="10">
        <v>0.5</v>
      </c>
      <c r="AX42" s="10"/>
      <c r="AY42" s="10">
        <v>0.5</v>
      </c>
      <c r="AZ42" s="10"/>
      <c r="BA42" s="10">
        <v>0.5</v>
      </c>
      <c r="BB42">
        <v>1</v>
      </c>
      <c r="BE42" s="10"/>
      <c r="BF42" s="10">
        <v>0.8</v>
      </c>
      <c r="BG42" s="10"/>
      <c r="BH42" s="10">
        <v>0.8</v>
      </c>
      <c r="BL42" s="10"/>
      <c r="BM42" s="10">
        <v>0.8</v>
      </c>
      <c r="BN42" s="10"/>
      <c r="BO42" s="10">
        <v>0.8</v>
      </c>
      <c r="BS42" s="10"/>
      <c r="BT42" s="10">
        <v>0.8</v>
      </c>
      <c r="BU42" s="10"/>
      <c r="BV42" s="10">
        <v>0.8</v>
      </c>
      <c r="BZ42" s="10"/>
      <c r="CA42" s="10">
        <v>0.8</v>
      </c>
      <c r="CB42" s="10"/>
      <c r="CC42" s="10">
        <v>0.8</v>
      </c>
      <c r="CG42" s="10"/>
      <c r="CH42" s="10">
        <v>0.8</v>
      </c>
      <c r="CI42" s="10"/>
      <c r="CJ42" s="10">
        <v>0.8</v>
      </c>
      <c r="CN42" s="10"/>
      <c r="CO42" s="10">
        <v>0.8</v>
      </c>
      <c r="CP42" s="10"/>
      <c r="CQ42" s="10">
        <v>0.8</v>
      </c>
      <c r="CR42">
        <v>1</v>
      </c>
      <c r="CV42" s="10"/>
      <c r="CW42" s="10">
        <v>1</v>
      </c>
      <c r="CX42" s="10"/>
      <c r="CY42" s="10">
        <v>1</v>
      </c>
      <c r="DE42" s="10"/>
      <c r="DF42" s="10">
        <v>1</v>
      </c>
      <c r="DG42" s="10"/>
      <c r="DH42" s="10">
        <v>1</v>
      </c>
      <c r="DN42" s="10"/>
      <c r="DO42" s="10">
        <v>1</v>
      </c>
      <c r="DP42" s="10"/>
      <c r="DQ42" s="10">
        <v>1</v>
      </c>
      <c r="DW42" s="10"/>
      <c r="DX42" s="10">
        <v>1</v>
      </c>
      <c r="DY42" s="10"/>
      <c r="DZ42" s="10">
        <v>1</v>
      </c>
      <c r="EF42" s="10"/>
      <c r="EG42" s="10"/>
      <c r="EH42" s="10"/>
      <c r="EI42" s="10"/>
      <c r="EO42" s="10"/>
      <c r="EP42" s="10"/>
      <c r="EQ42" s="10"/>
      <c r="ER42" s="10"/>
      <c r="EX42" s="10"/>
      <c r="EY42" s="10"/>
      <c r="EZ42" s="10"/>
      <c r="FA42" s="10"/>
      <c r="FG42" s="10"/>
      <c r="FH42" s="10"/>
      <c r="FI42" s="10"/>
      <c r="FJ42" s="10"/>
      <c r="FP42" s="10"/>
      <c r="FQ42" s="10"/>
      <c r="FR42" s="10"/>
      <c r="FS42" s="10"/>
    </row>
    <row r="43" spans="2:175" outlineLevel="1" x14ac:dyDescent="0.2">
      <c r="B43" t="s">
        <v>28</v>
      </c>
      <c r="C43" t="s">
        <v>92</v>
      </c>
      <c r="E43" s="9"/>
      <c r="F43" t="s">
        <v>116</v>
      </c>
      <c r="G43" s="10">
        <v>0.05</v>
      </c>
      <c r="I43" s="9">
        <f>+SUMIF($M$3:$ZL$3,I$3,$M43:$ZL43)</f>
        <v>0</v>
      </c>
      <c r="J43" s="11" cm="1">
        <f t="array" ref="J43">MAX(IF($M$3:$DT$3=$J$3,M43:DT43))</f>
        <v>0</v>
      </c>
      <c r="K43" s="11" cm="1">
        <f t="array" ref="K43">MAX(IF($M$3:$DT$3=$J$3,M43:DT43))</f>
        <v>0</v>
      </c>
      <c r="L43" s="9"/>
      <c r="O43" s="10"/>
      <c r="P43" s="10"/>
      <c r="Q43" s="10"/>
      <c r="R43" s="10"/>
      <c r="S43">
        <v>1</v>
      </c>
      <c r="V43" s="10"/>
      <c r="W43" s="10">
        <v>0.5</v>
      </c>
      <c r="X43" s="10"/>
      <c r="Y43" s="10">
        <v>0.5</v>
      </c>
      <c r="AC43" s="10"/>
      <c r="AD43" s="10">
        <v>0.5</v>
      </c>
      <c r="AE43" s="10"/>
      <c r="AF43" s="10">
        <v>0.5</v>
      </c>
      <c r="AJ43" s="10"/>
      <c r="AK43" s="10">
        <v>0.5</v>
      </c>
      <c r="AL43" s="10"/>
      <c r="AM43" s="10">
        <v>0.5</v>
      </c>
      <c r="AQ43" s="10"/>
      <c r="AR43" s="10">
        <v>0.5</v>
      </c>
      <c r="AS43" s="10"/>
      <c r="AT43" s="10">
        <v>0.5</v>
      </c>
      <c r="AX43" s="10"/>
      <c r="AY43" s="10">
        <v>0.5</v>
      </c>
      <c r="AZ43" s="10"/>
      <c r="BA43" s="10">
        <v>0.5</v>
      </c>
      <c r="BE43" s="10"/>
      <c r="BF43" s="10">
        <v>0.5</v>
      </c>
      <c r="BG43" s="10"/>
      <c r="BH43" s="10">
        <v>0.5</v>
      </c>
      <c r="BI43">
        <v>1</v>
      </c>
      <c r="BL43" s="10"/>
      <c r="BM43" s="10">
        <v>0.8</v>
      </c>
      <c r="BN43" s="10"/>
      <c r="BO43" s="10">
        <v>0.8</v>
      </c>
      <c r="BS43" s="10"/>
      <c r="BT43" s="10">
        <v>0.8</v>
      </c>
      <c r="BU43" s="10"/>
      <c r="BV43" s="10">
        <v>0.8</v>
      </c>
      <c r="BZ43" s="10"/>
      <c r="CA43" s="10">
        <v>0.8</v>
      </c>
      <c r="CB43" s="10"/>
      <c r="CC43" s="10">
        <v>0.8</v>
      </c>
      <c r="CG43" s="10"/>
      <c r="CH43" s="10">
        <v>0.8</v>
      </c>
      <c r="CI43" s="10"/>
      <c r="CJ43" s="10">
        <v>0.8</v>
      </c>
      <c r="CN43" s="10"/>
      <c r="CO43" s="10">
        <v>0.8</v>
      </c>
      <c r="CP43" s="10"/>
      <c r="CQ43" s="10">
        <v>0.8</v>
      </c>
      <c r="CV43" s="10"/>
      <c r="CW43" s="10">
        <v>0.8</v>
      </c>
      <c r="CX43" s="10"/>
      <c r="CY43" s="10">
        <v>0.8</v>
      </c>
      <c r="CZ43">
        <v>1</v>
      </c>
      <c r="DE43" s="10"/>
      <c r="DF43" s="10">
        <v>1</v>
      </c>
      <c r="DG43" s="10"/>
      <c r="DH43" s="10">
        <v>1</v>
      </c>
      <c r="DN43" s="10"/>
      <c r="DO43" s="10">
        <v>1</v>
      </c>
      <c r="DP43" s="10"/>
      <c r="DQ43" s="10">
        <v>1</v>
      </c>
      <c r="DW43" s="10"/>
      <c r="DX43" s="10">
        <v>1</v>
      </c>
      <c r="DY43" s="10"/>
      <c r="DZ43" s="10">
        <v>1</v>
      </c>
      <c r="EF43" s="10"/>
      <c r="EG43" s="10"/>
      <c r="EH43" s="10"/>
      <c r="EI43" s="10"/>
      <c r="EO43" s="10"/>
      <c r="EP43" s="10"/>
      <c r="EQ43" s="10"/>
      <c r="ER43" s="10"/>
      <c r="EX43" s="10"/>
      <c r="EY43" s="10"/>
      <c r="EZ43" s="10"/>
      <c r="FA43" s="10"/>
      <c r="FG43" s="10"/>
      <c r="FH43" s="10"/>
      <c r="FI43" s="10"/>
      <c r="FJ43" s="10"/>
      <c r="FP43" s="10"/>
      <c r="FQ43" s="10"/>
      <c r="FR43" s="10"/>
      <c r="FS43" s="10"/>
    </row>
    <row r="44" spans="2:175" outlineLevel="1" x14ac:dyDescent="0.2">
      <c r="B44" t="s">
        <v>28</v>
      </c>
      <c r="C44" t="s">
        <v>92</v>
      </c>
      <c r="E44" s="9"/>
      <c r="F44" t="s">
        <v>131</v>
      </c>
      <c r="G44" s="10">
        <v>0.05</v>
      </c>
      <c r="I44" s="9">
        <f>+SUMIF($M$3:$ZL$3,I$3,$M44:$ZL44)</f>
        <v>0</v>
      </c>
      <c r="J44" s="11" cm="1">
        <f t="array" ref="J44">MAX(IF($M$3:$DT$3=$J$3,M44:DT44))</f>
        <v>0</v>
      </c>
      <c r="K44" s="11" cm="1">
        <f t="array" ref="K44">MAX(IF($M$3:$DT$3=$J$3,M44:DT44))</f>
        <v>0</v>
      </c>
      <c r="L44" s="9"/>
      <c r="O44" s="10"/>
      <c r="P44" s="10"/>
      <c r="Q44" s="10"/>
      <c r="R44" s="10"/>
      <c r="V44" s="10"/>
      <c r="W44" s="10"/>
      <c r="X44" s="10"/>
      <c r="Y44" s="10"/>
      <c r="Z44">
        <v>1</v>
      </c>
      <c r="AC44" s="10"/>
      <c r="AD44" s="10">
        <v>0.5</v>
      </c>
      <c r="AE44" s="10"/>
      <c r="AF44" s="10">
        <v>0.5</v>
      </c>
      <c r="AJ44" s="10"/>
      <c r="AK44" s="10">
        <v>0.5</v>
      </c>
      <c r="AL44" s="10"/>
      <c r="AM44" s="10">
        <v>0.5</v>
      </c>
      <c r="AQ44" s="10"/>
      <c r="AR44" s="10">
        <v>0.5</v>
      </c>
      <c r="AS44" s="10"/>
      <c r="AT44" s="10">
        <v>0.5</v>
      </c>
      <c r="AX44" s="10"/>
      <c r="AY44" s="10">
        <v>0.5</v>
      </c>
      <c r="AZ44" s="10"/>
      <c r="BA44" s="10">
        <v>0.5</v>
      </c>
      <c r="BE44" s="10"/>
      <c r="BF44" s="10">
        <v>0.5</v>
      </c>
      <c r="BG44" s="10"/>
      <c r="BH44" s="10">
        <v>0.5</v>
      </c>
      <c r="BL44" s="10"/>
      <c r="BM44" s="10">
        <v>0.5</v>
      </c>
      <c r="BN44" s="10"/>
      <c r="BO44" s="10">
        <v>0.5</v>
      </c>
      <c r="BP44">
        <v>1</v>
      </c>
      <c r="BS44" s="10"/>
      <c r="BT44" s="10">
        <v>0.8</v>
      </c>
      <c r="BU44" s="10"/>
      <c r="BV44" s="10">
        <v>0.8</v>
      </c>
      <c r="BZ44" s="10"/>
      <c r="CA44" s="10">
        <v>0.8</v>
      </c>
      <c r="CB44" s="10"/>
      <c r="CC44" s="10">
        <v>0.8</v>
      </c>
      <c r="CG44" s="10"/>
      <c r="CH44" s="10">
        <v>0.8</v>
      </c>
      <c r="CI44" s="10"/>
      <c r="CJ44" s="10">
        <v>0.8</v>
      </c>
      <c r="CN44" s="10"/>
      <c r="CO44" s="10">
        <v>0.8</v>
      </c>
      <c r="CP44" s="10"/>
      <c r="CQ44" s="10">
        <v>0.8</v>
      </c>
      <c r="CV44" s="10"/>
      <c r="CW44" s="10">
        <v>0.8</v>
      </c>
      <c r="CX44" s="10"/>
      <c r="CY44" s="10">
        <v>0.8</v>
      </c>
      <c r="DE44" s="10"/>
      <c r="DF44" s="10">
        <v>0.8</v>
      </c>
      <c r="DG44" s="10"/>
      <c r="DH44" s="10">
        <v>0.8</v>
      </c>
      <c r="DI44">
        <v>1</v>
      </c>
      <c r="DN44" s="10"/>
      <c r="DO44" s="10">
        <v>1</v>
      </c>
      <c r="DP44" s="10"/>
      <c r="DQ44" s="10">
        <v>1</v>
      </c>
      <c r="DW44" s="10"/>
      <c r="DX44" s="10">
        <v>1</v>
      </c>
      <c r="DY44" s="10"/>
      <c r="DZ44" s="10">
        <v>1</v>
      </c>
      <c r="EF44" s="10"/>
      <c r="EG44" s="10"/>
      <c r="EH44" s="10"/>
      <c r="EI44" s="10"/>
      <c r="EO44" s="10"/>
      <c r="EP44" s="10"/>
      <c r="EQ44" s="10"/>
      <c r="ER44" s="10"/>
      <c r="EX44" s="10"/>
      <c r="EY44" s="10"/>
      <c r="EZ44" s="10"/>
      <c r="FA44" s="10"/>
      <c r="FG44" s="10"/>
      <c r="FH44" s="10"/>
      <c r="FI44" s="10"/>
      <c r="FJ44" s="10"/>
      <c r="FP44" s="10"/>
      <c r="FQ44" s="10"/>
      <c r="FR44" s="10"/>
      <c r="FS44" s="10"/>
    </row>
    <row r="45" spans="2:175" outlineLevel="1" x14ac:dyDescent="0.2">
      <c r="B45" t="s">
        <v>28</v>
      </c>
      <c r="C45" t="s">
        <v>92</v>
      </c>
      <c r="E45" s="9"/>
      <c r="F45" t="s">
        <v>117</v>
      </c>
      <c r="G45" s="10">
        <v>0.05</v>
      </c>
      <c r="I45" s="9">
        <f>+SUMIF($M$3:$ZL$3,I$3,$M45:$ZL45)</f>
        <v>0</v>
      </c>
      <c r="J45" s="11" cm="1">
        <f t="array" ref="J45">MAX(IF($M$3:$DT$3=$J$3,M45:DT45))</f>
        <v>0</v>
      </c>
      <c r="K45" s="11" cm="1">
        <f t="array" ref="K45">MAX(IF($M$3:$DT$3=$J$3,M45:DT45))</f>
        <v>0</v>
      </c>
      <c r="L45" s="9"/>
      <c r="O45" s="10"/>
      <c r="P45" s="10"/>
      <c r="Q45" s="10"/>
      <c r="R45" s="10"/>
      <c r="V45" s="10"/>
      <c r="W45" s="10"/>
      <c r="X45" s="10"/>
      <c r="Y45" s="10"/>
      <c r="AC45" s="10"/>
      <c r="AD45" s="10"/>
      <c r="AE45" s="10"/>
      <c r="AF45" s="10"/>
      <c r="AG45">
        <v>1</v>
      </c>
      <c r="AJ45" s="10"/>
      <c r="AK45" s="10">
        <v>0.5</v>
      </c>
      <c r="AL45" s="10"/>
      <c r="AM45" s="10">
        <v>0.5</v>
      </c>
      <c r="AQ45" s="10"/>
      <c r="AR45" s="10">
        <v>0.5</v>
      </c>
      <c r="AS45" s="10"/>
      <c r="AT45" s="10">
        <v>0.5</v>
      </c>
      <c r="AX45" s="10"/>
      <c r="AY45" s="10">
        <v>0.5</v>
      </c>
      <c r="AZ45" s="10"/>
      <c r="BA45" s="10">
        <v>0.5</v>
      </c>
      <c r="BE45" s="10"/>
      <c r="BF45" s="10">
        <v>0.5</v>
      </c>
      <c r="BG45" s="10"/>
      <c r="BH45" s="10">
        <v>0.5</v>
      </c>
      <c r="BL45" s="10"/>
      <c r="BM45" s="10">
        <v>0.5</v>
      </c>
      <c r="BN45" s="10"/>
      <c r="BO45" s="10">
        <v>0.5</v>
      </c>
      <c r="BS45" s="10"/>
      <c r="BT45" s="10">
        <v>0.5</v>
      </c>
      <c r="BU45" s="10"/>
      <c r="BV45" s="10">
        <v>0.5</v>
      </c>
      <c r="BW45">
        <v>1</v>
      </c>
      <c r="BZ45" s="10"/>
      <c r="CA45" s="10">
        <v>0.8</v>
      </c>
      <c r="CB45" s="10"/>
      <c r="CC45" s="10">
        <v>0.8</v>
      </c>
      <c r="CG45" s="10"/>
      <c r="CH45" s="10">
        <v>0.8</v>
      </c>
      <c r="CI45" s="10"/>
      <c r="CJ45" s="10">
        <v>0.8</v>
      </c>
      <c r="CN45" s="10"/>
      <c r="CO45" s="10">
        <v>0.8</v>
      </c>
      <c r="CP45" s="10"/>
      <c r="CQ45" s="10">
        <v>0.8</v>
      </c>
      <c r="CV45" s="10"/>
      <c r="CW45" s="10">
        <v>0.8</v>
      </c>
      <c r="CX45" s="10"/>
      <c r="CY45" s="10">
        <v>0.8</v>
      </c>
      <c r="DE45" s="10"/>
      <c r="DF45" s="10">
        <v>0.8</v>
      </c>
      <c r="DG45" s="10"/>
      <c r="DH45" s="10">
        <v>0.8</v>
      </c>
      <c r="DN45" s="10"/>
      <c r="DO45" s="10">
        <v>0.8</v>
      </c>
      <c r="DP45" s="10"/>
      <c r="DQ45" s="10">
        <v>0.8</v>
      </c>
      <c r="DR45">
        <v>1</v>
      </c>
      <c r="DW45" s="10"/>
      <c r="DX45" s="10">
        <v>1</v>
      </c>
      <c r="DY45" s="10"/>
      <c r="DZ45" s="10">
        <v>1</v>
      </c>
      <c r="EF45" s="10"/>
      <c r="EG45" s="10"/>
      <c r="EH45" s="10"/>
      <c r="EI45" s="10"/>
      <c r="EO45" s="10"/>
      <c r="EP45" s="10"/>
      <c r="EQ45" s="10"/>
      <c r="ER45" s="10"/>
      <c r="EX45" s="10"/>
      <c r="EY45" s="10"/>
      <c r="EZ45" s="10"/>
      <c r="FA45" s="10"/>
      <c r="FG45" s="10"/>
      <c r="FH45" s="10"/>
      <c r="FI45" s="10"/>
      <c r="FJ45" s="10"/>
      <c r="FP45" s="10"/>
      <c r="FQ45" s="10"/>
      <c r="FR45" s="10"/>
      <c r="FS45" s="10"/>
    </row>
    <row r="46" spans="2:175" x14ac:dyDescent="0.2">
      <c r="DF46" s="10"/>
      <c r="DO46" s="10"/>
      <c r="DQ46" s="10"/>
      <c r="DX46" s="10"/>
      <c r="DZ46" s="10"/>
    </row>
    <row r="47" spans="2:175" outlineLevel="1" x14ac:dyDescent="0.2">
      <c r="E47" s="9"/>
      <c r="G47" s="10"/>
      <c r="I47" s="9"/>
      <c r="J47" s="11"/>
      <c r="K47" s="11"/>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V47" s="10"/>
      <c r="CW47" s="10"/>
      <c r="CX47" s="10"/>
      <c r="CY47" s="10"/>
      <c r="DE47" s="10"/>
      <c r="DF47" s="10"/>
      <c r="DG47" s="10"/>
      <c r="DH47" s="10"/>
      <c r="DN47" s="10"/>
      <c r="DO47" s="10"/>
      <c r="DP47" s="10"/>
      <c r="DQ47" s="10"/>
      <c r="DW47" s="10"/>
      <c r="DX47" s="10"/>
      <c r="DY47" s="10"/>
      <c r="DZ47" s="10"/>
      <c r="EF47" s="10"/>
      <c r="EG47" s="10"/>
      <c r="EH47" s="10"/>
      <c r="EI47" s="10"/>
      <c r="EO47" s="10"/>
      <c r="EP47" s="10"/>
      <c r="EQ47" s="10"/>
      <c r="ER47" s="10"/>
      <c r="EX47" s="10"/>
      <c r="EY47" s="10"/>
      <c r="EZ47" s="10"/>
      <c r="FA47" s="10"/>
      <c r="FG47" s="10"/>
      <c r="FH47" s="10"/>
      <c r="FI47" s="10"/>
      <c r="FJ47" s="10"/>
      <c r="FP47" s="10"/>
      <c r="FQ47" s="10"/>
      <c r="FR47" s="10"/>
      <c r="FS47" s="10"/>
    </row>
  </sheetData>
  <mergeCells count="22">
    <mergeCell ref="EN2:ES2"/>
    <mergeCell ref="EW2:FB2"/>
    <mergeCell ref="FF2:FK2"/>
    <mergeCell ref="FO2:FT2"/>
    <mergeCell ref="CU2:CZ2"/>
    <mergeCell ref="DD2:DI2"/>
    <mergeCell ref="DM2:DR2"/>
    <mergeCell ref="DV2:EA2"/>
    <mergeCell ref="EE2:EJ2"/>
    <mergeCell ref="CF2:CK2"/>
    <mergeCell ref="CM2:CR2"/>
    <mergeCell ref="AW2:BB2"/>
    <mergeCell ref="BD2:BI2"/>
    <mergeCell ref="BK2:BP2"/>
    <mergeCell ref="BR2:BW2"/>
    <mergeCell ref="BY2:CD2"/>
    <mergeCell ref="I2:L2"/>
    <mergeCell ref="AP2:AU2"/>
    <mergeCell ref="N2:S2"/>
    <mergeCell ref="U2:Z2"/>
    <mergeCell ref="AB2:AG2"/>
    <mergeCell ref="AI2:AN2"/>
  </mergeCells>
  <conditionalFormatting sqref="BN5:BN18 AC5:AC18 AE5:AE18 AQ5:AQ18 AS5:AS18 O5:O18 Q5:Q18 V5:V18 X5:X18 AJ5:AJ18 AL5:AL18 AX5:AX18 AZ5:AZ18 BE5:BE18 BG5:BG18 BL5:BL18 BS5:BS18 BU5:BU18 BZ5:BZ18 CB5:CB18 CG5:CG18 CI5:CI18 CP5:CP18 CV5:CV18 CX5:CX18 DE5:DE18 DG5:DG18 DN5:DN18 DP5:DP18 DW5:DW18 DY5:DY18 EF5:EF18 EH5:EH18 EO5:EO18 EQ5:EQ18 EX5:EX18 EZ5:EZ18 FG5:FG18 FI5:FI18 FP5:FP18 FR5:FR18 CN5:CN18 AQ40:AQ45 O40:O45 Q40:Q45 V40:V45 X40:X45 AC40:AC45 AE40:AE45 AJ40:AJ45 AL40:AL45 AS40:AS45 AX40:AX45 AZ40:AZ45 BE40:BE45 BG40:BG45 BL40:BL45 BN40:BN45 BS40:BS45 BU40:BU45 BZ40:BZ45 CB40:CB45 CG40:CG45 CI40:CI45 CN40:CN45 CP40:CP45 CV40:CV45 CX40:CX45 DE40:DE45 DG40:DG45 DN40:DN45 DP40:DP45 DW40:DW45 DY40:DY45 EF40:EF45 EH40:EH45 EO40:EO45 EQ40:EQ45 EX40:EX45 EZ40:EZ45 FG40:FG45 FI40:FI45 FP40:FP45 FR40:FR45 Q47 O47 V47 X47 AE47 AC47 AJ47 AL47 AS47 AQ47 AZ47 AX47 BG47 BE47 BN47 BL47 BU47 BS47 CB47 BZ47 CI47 CG47 CP47 CN47 CX47 CV47 DG47 DE47 DP47 DN47 DY47 DW47 EH47 EF47 EQ47 EO47 EZ47 EX47 FI47 FG47 FR47 FP47 AZ31:AZ35 V31:V38 X31:X38 AJ31:AJ38 AL31:AL38 AS31:AS38 Q31:Q38 O31:O38 AE31:AE38 AC31:AC38 AQ31:AQ38 AX31:AX38 BG31:BG38 BE31:BE38 BN31:BN38 BL31:BL38 BU31:BU38 BS31:BS38 CB31:CB38 BZ31:BZ38 CI31:CI38 CG31:CG38 CP31:CP38 CN31:CN38 CX31:CX38 CV31:CV38 DG31:DG38 DE31:DE38 DP31:DP38 DN31:DN38 DY31:DY38 DW31:DW38 EH31:EH38 EF31:EF38 EQ31:EQ38 EO31:EO38 EZ31:EZ38 EX31:EX38 FI31:FI38 FG31:FG38 FR31:FR38 FP31:FP38">
    <cfRule type="expression" dxfId="317" priority="1085">
      <formula>OR(IF(O5&lt;P5,TRUE),IF(AND(P5="",O5&lt;&gt;""),TRUE))</formula>
    </cfRule>
    <cfRule type="expression" dxfId="316" priority="1086">
      <formula>IF(O5&gt;=P5,IF(O5="",FALSE,TRUE))</formula>
    </cfRule>
  </conditionalFormatting>
  <conditionalFormatting sqref="AQ29:AQ30">
    <cfRule type="expression" dxfId="315" priority="916">
      <formula>OR(IF(AQ29&lt;AR29,TRUE),IF(AND(AR29="",AQ29&lt;&gt;""),TRUE))</formula>
    </cfRule>
    <cfRule type="expression" dxfId="314" priority="917">
      <formula>IF(AQ29&gt;=AR29,IF(AQ29="",FALSE,TRUE))</formula>
    </cfRule>
  </conditionalFormatting>
  <conditionalFormatting sqref="O29:O30">
    <cfRule type="expression" dxfId="313" priority="980">
      <formula>OR(IF(O29&lt;P29,TRUE),IF(AND(P29="",O29&lt;&gt;""),TRUE))</formula>
    </cfRule>
    <cfRule type="expression" dxfId="312" priority="981">
      <formula>IF(O29&gt;=P29,IF(O29="",FALSE,TRUE))</formula>
    </cfRule>
  </conditionalFormatting>
  <conditionalFormatting sqref="Q29:Q30">
    <cfRule type="expression" dxfId="311" priority="978">
      <formula>OR(IF(Q29&lt;R29,TRUE),IF(AND(R29="",Q29&lt;&gt;""),TRUE))</formula>
    </cfRule>
    <cfRule type="expression" dxfId="310" priority="979">
      <formula>IF(Q29&gt;=R29,IF(Q29="",FALSE,TRUE))</formula>
    </cfRule>
  </conditionalFormatting>
  <conditionalFormatting sqref="V29:V30">
    <cfRule type="expression" dxfId="309" priority="964">
      <formula>OR(IF(V29&lt;W29,TRUE),IF(AND(W29="",V29&lt;&gt;""),TRUE))</formula>
    </cfRule>
    <cfRule type="expression" dxfId="308" priority="965">
      <formula>IF(V29&gt;=W29,IF(V29="",FALSE,TRUE))</formula>
    </cfRule>
  </conditionalFormatting>
  <conditionalFormatting sqref="X29:X30">
    <cfRule type="expression" dxfId="307" priority="962">
      <formula>OR(IF(X29&lt;Y29,TRUE),IF(AND(Y29="",X29&lt;&gt;""),TRUE))</formula>
    </cfRule>
    <cfRule type="expression" dxfId="306" priority="963">
      <formula>IF(X29&gt;=Y29,IF(X29="",FALSE,TRUE))</formula>
    </cfRule>
  </conditionalFormatting>
  <conditionalFormatting sqref="AC29:AC30">
    <cfRule type="expression" dxfId="305" priority="948">
      <formula>OR(IF(AC29&lt;AD29,TRUE),IF(AND(AD29="",AC29&lt;&gt;""),TRUE))</formula>
    </cfRule>
    <cfRule type="expression" dxfId="304" priority="949">
      <formula>IF(AC29&gt;=AD29,IF(AC29="",FALSE,TRUE))</formula>
    </cfRule>
  </conditionalFormatting>
  <conditionalFormatting sqref="AE29:AE30">
    <cfRule type="expression" dxfId="303" priority="946">
      <formula>OR(IF(AE29&lt;AF29,TRUE),IF(AND(AF29="",AE29&lt;&gt;""),TRUE))</formula>
    </cfRule>
    <cfRule type="expression" dxfId="302" priority="947">
      <formula>IF(AE29&gt;=AF29,IF(AE29="",FALSE,TRUE))</formula>
    </cfRule>
  </conditionalFormatting>
  <conditionalFormatting sqref="AJ29:AJ30">
    <cfRule type="expression" dxfId="301" priority="932">
      <formula>OR(IF(AJ29&lt;AK29,TRUE),IF(AND(AK29="",AJ29&lt;&gt;""),TRUE))</formula>
    </cfRule>
    <cfRule type="expression" dxfId="300" priority="933">
      <formula>IF(AJ29&gt;=AK29,IF(AJ29="",FALSE,TRUE))</formula>
    </cfRule>
  </conditionalFormatting>
  <conditionalFormatting sqref="AL29:AL30">
    <cfRule type="expression" dxfId="299" priority="930">
      <formula>OR(IF(AL29&lt;AM29,TRUE),IF(AND(AM29="",AL29&lt;&gt;""),TRUE))</formula>
    </cfRule>
    <cfRule type="expression" dxfId="298" priority="931">
      <formula>IF(AL29&gt;=AM29,IF(AL29="",FALSE,TRUE))</formula>
    </cfRule>
  </conditionalFormatting>
  <conditionalFormatting sqref="AS29:AS30">
    <cfRule type="expression" dxfId="297" priority="914">
      <formula>OR(IF(AS29&lt;AT29,TRUE),IF(AND(AT29="",AS29&lt;&gt;""),TRUE))</formula>
    </cfRule>
    <cfRule type="expression" dxfId="296" priority="915">
      <formula>IF(AS29&gt;=AT29,IF(AS29="",FALSE,TRUE))</formula>
    </cfRule>
  </conditionalFormatting>
  <conditionalFormatting sqref="AX29:AX30">
    <cfRule type="expression" dxfId="295" priority="892">
      <formula>OR(IF(AX29&lt;AY29,TRUE),IF(AND(AY29="",AX29&lt;&gt;""),TRUE))</formula>
    </cfRule>
    <cfRule type="expression" dxfId="294" priority="893">
      <formula>IF(AX29&gt;=AY29,IF(AX29="",FALSE,TRUE))</formula>
    </cfRule>
  </conditionalFormatting>
  <conditionalFormatting sqref="AZ29:AZ30">
    <cfRule type="expression" dxfId="293" priority="890">
      <formula>OR(IF(AZ29&lt;BA29,TRUE),IF(AND(BA29="",AZ29&lt;&gt;""),TRUE))</formula>
    </cfRule>
    <cfRule type="expression" dxfId="292" priority="891">
      <formula>IF(AZ29&gt;=BA29,IF(AZ29="",FALSE,TRUE))</formula>
    </cfRule>
  </conditionalFormatting>
  <conditionalFormatting sqref="AC20 AE20">
    <cfRule type="expression" dxfId="291" priority="671">
      <formula>OR(IF(AC20&lt;AD20,TRUE),IF(AND(AD20="",AC20&lt;&gt;""),TRUE))</formula>
    </cfRule>
    <cfRule type="expression" dxfId="290" priority="672">
      <formula>IF(AC20&gt;=AD20,IF(AC20="",FALSE,TRUE))</formula>
    </cfRule>
  </conditionalFormatting>
  <conditionalFormatting sqref="AQ20 AS20">
    <cfRule type="expression" dxfId="289" priority="667">
      <formula>OR(IF(AQ20&lt;AR20,TRUE),IF(AND(AR20="",AQ20&lt;&gt;""),TRUE))</formula>
    </cfRule>
    <cfRule type="expression" dxfId="288" priority="668">
      <formula>IF(AQ20&gt;=AR20,IF(AQ20="",FALSE,TRUE))</formula>
    </cfRule>
  </conditionalFormatting>
  <conditionalFormatting sqref="O20 Q20">
    <cfRule type="expression" dxfId="287" priority="675">
      <formula>OR(IF(O20&lt;P20,TRUE),IF(AND(P20="",O20&lt;&gt;""),TRUE))</formula>
    </cfRule>
    <cfRule type="expression" dxfId="286" priority="676">
      <formula>IF(O20&gt;=P20,IF(O20="",FALSE,TRUE))</formula>
    </cfRule>
  </conditionalFormatting>
  <conditionalFormatting sqref="V20 X20">
    <cfRule type="expression" dxfId="285" priority="673">
      <formula>OR(IF(V20&lt;W20,TRUE),IF(AND(W20="",V20&lt;&gt;""),TRUE))</formula>
    </cfRule>
    <cfRule type="expression" dxfId="284" priority="674">
      <formula>IF(V20&gt;=W20,IF(V20="",FALSE,TRUE))</formula>
    </cfRule>
  </conditionalFormatting>
  <conditionalFormatting sqref="AJ20 AL20">
    <cfRule type="expression" dxfId="283" priority="669">
      <formula>OR(IF(AJ20&lt;AK20,TRUE),IF(AND(AK20="",AJ20&lt;&gt;""),TRUE))</formula>
    </cfRule>
    <cfRule type="expression" dxfId="282" priority="670">
      <formula>IF(AJ20&gt;=AK20,IF(AJ20="",FALSE,TRUE))</formula>
    </cfRule>
  </conditionalFormatting>
  <conditionalFormatting sqref="J20:K20">
    <cfRule type="colorScale" priority="666">
      <colorScale>
        <cfvo type="percent" val="0"/>
        <cfvo type="percent" val="100"/>
        <color rgb="FFFF231B"/>
        <color rgb="FF10FF07"/>
      </colorScale>
    </cfRule>
  </conditionalFormatting>
  <conditionalFormatting sqref="J20">
    <cfRule type="colorScale" priority="665">
      <colorScale>
        <cfvo type="percent" val="0"/>
        <cfvo type="percent" val="100"/>
        <color rgb="FFFF231B"/>
        <color rgb="FF10FF07"/>
      </colorScale>
    </cfRule>
  </conditionalFormatting>
  <conditionalFormatting sqref="K20">
    <cfRule type="colorScale" priority="664">
      <colorScale>
        <cfvo type="percent" val="0"/>
        <cfvo type="percent" val="100"/>
        <color rgb="FFFF231B"/>
        <color rgb="FF10FF07"/>
      </colorScale>
    </cfRule>
  </conditionalFormatting>
  <conditionalFormatting sqref="AX20 AZ20">
    <cfRule type="expression" dxfId="281" priority="662">
      <formula>OR(IF(AX20&lt;AY20,TRUE),IF(AND(AY20="",AX20&lt;&gt;""),TRUE))</formula>
    </cfRule>
    <cfRule type="expression" dxfId="280" priority="663">
      <formula>IF(AX20&gt;=AY20,IF(AX20="",FALSE,TRUE))</formula>
    </cfRule>
  </conditionalFormatting>
  <conditionalFormatting sqref="AE21:AE22 AC21:AC22">
    <cfRule type="expression" dxfId="279" priority="652">
      <formula>OR(IF(AC21&lt;AD21,TRUE),IF(AND(AD21="",AC21&lt;&gt;""),TRUE))</formula>
    </cfRule>
    <cfRule type="expression" dxfId="278" priority="653">
      <formula>IF(AC21&gt;=AD21,IF(AC21="",FALSE,TRUE))</formula>
    </cfRule>
  </conditionalFormatting>
  <conditionalFormatting sqref="AS21:AS22 AQ21:AQ22">
    <cfRule type="expression" dxfId="277" priority="648">
      <formula>OR(IF(AQ21&lt;AR21,TRUE),IF(AND(AR21="",AQ21&lt;&gt;""),TRUE))</formula>
    </cfRule>
    <cfRule type="expression" dxfId="276" priority="649">
      <formula>IF(AQ21&gt;=AR21,IF(AQ21="",FALSE,TRUE))</formula>
    </cfRule>
  </conditionalFormatting>
  <conditionalFormatting sqref="Q21:Q22 O21:O22">
    <cfRule type="expression" dxfId="275" priority="656">
      <formula>OR(IF(O21&lt;P21,TRUE),IF(AND(P21="",O21&lt;&gt;""),TRUE))</formula>
    </cfRule>
    <cfRule type="expression" dxfId="274" priority="657">
      <formula>IF(O21&gt;=P21,IF(O21="",FALSE,TRUE))</formula>
    </cfRule>
  </conditionalFormatting>
  <conditionalFormatting sqref="X21:X22 V21:V22">
    <cfRule type="expression" dxfId="273" priority="654">
      <formula>OR(IF(V21&lt;W21,TRUE),IF(AND(W21="",V21&lt;&gt;""),TRUE))</formula>
    </cfRule>
    <cfRule type="expression" dxfId="272" priority="655">
      <formula>IF(V21&gt;=W21,IF(V21="",FALSE,TRUE))</formula>
    </cfRule>
  </conditionalFormatting>
  <conditionalFormatting sqref="AL21:AL22 AJ21:AJ22">
    <cfRule type="expression" dxfId="271" priority="650">
      <formula>OR(IF(AJ21&lt;AK21,TRUE),IF(AND(AK21="",AJ21&lt;&gt;""),TRUE))</formula>
    </cfRule>
    <cfRule type="expression" dxfId="270" priority="651">
      <formula>IF(AJ21&gt;=AK21,IF(AJ21="",FALSE,TRUE))</formula>
    </cfRule>
  </conditionalFormatting>
  <conditionalFormatting sqref="J21:K22">
    <cfRule type="colorScale" priority="647">
      <colorScale>
        <cfvo type="percent" val="0"/>
        <cfvo type="percent" val="100"/>
        <color rgb="FFFF231B"/>
        <color rgb="FF10FF07"/>
      </colorScale>
    </cfRule>
  </conditionalFormatting>
  <conditionalFormatting sqref="J21:J22">
    <cfRule type="colorScale" priority="646">
      <colorScale>
        <cfvo type="percent" val="0"/>
        <cfvo type="percent" val="100"/>
        <color rgb="FFFF231B"/>
        <color rgb="FF10FF07"/>
      </colorScale>
    </cfRule>
  </conditionalFormatting>
  <conditionalFormatting sqref="K21:K22">
    <cfRule type="colorScale" priority="645">
      <colorScale>
        <cfvo type="percent" val="0"/>
        <cfvo type="percent" val="100"/>
        <color rgb="FFFF231B"/>
        <color rgb="FF10FF07"/>
      </colorScale>
    </cfRule>
  </conditionalFormatting>
  <conditionalFormatting sqref="AZ21:AZ22 AX21:AX22">
    <cfRule type="expression" dxfId="269" priority="643">
      <formula>OR(IF(AX21&lt;AY21,TRUE),IF(AND(AY21="",AX21&lt;&gt;""),TRUE))</formula>
    </cfRule>
    <cfRule type="expression" dxfId="268" priority="644">
      <formula>IF(AX21&gt;=AY21,IF(AX21="",FALSE,TRUE))</formula>
    </cfRule>
  </conditionalFormatting>
  <conditionalFormatting sqref="BE29:BE30">
    <cfRule type="expression" dxfId="267" priority="637">
      <formula>OR(IF(BE29&lt;BF29,TRUE),IF(AND(BF29="",BE29&lt;&gt;""),TRUE))</formula>
    </cfRule>
    <cfRule type="expression" dxfId="266" priority="638">
      <formula>IF(BE29&gt;=BF29,IF(BE29="",FALSE,TRUE))</formula>
    </cfRule>
  </conditionalFormatting>
  <conditionalFormatting sqref="BG29:BG30">
    <cfRule type="expression" dxfId="265" priority="635">
      <formula>OR(IF(BG29&lt;BH29,TRUE),IF(AND(BH29="",BG29&lt;&gt;""),TRUE))</formula>
    </cfRule>
    <cfRule type="expression" dxfId="264" priority="636">
      <formula>IF(BG29&gt;=BH29,IF(BG29="",FALSE,TRUE))</formula>
    </cfRule>
  </conditionalFormatting>
  <conditionalFormatting sqref="BE20 BG20">
    <cfRule type="expression" dxfId="263" priority="625">
      <formula>OR(IF(BE20&lt;BF20,TRUE),IF(AND(BF20="",BE20&lt;&gt;""),TRUE))</formula>
    </cfRule>
    <cfRule type="expression" dxfId="262" priority="626">
      <formula>IF(BE20&gt;=BF20,IF(BE20="",FALSE,TRUE))</formula>
    </cfRule>
  </conditionalFormatting>
  <conditionalFormatting sqref="BG21:BG22 BE21:BE22">
    <cfRule type="expression" dxfId="261" priority="623">
      <formula>OR(IF(BE21&lt;BF21,TRUE),IF(AND(BF21="",BE21&lt;&gt;""),TRUE))</formula>
    </cfRule>
    <cfRule type="expression" dxfId="260" priority="624">
      <formula>IF(BE21&gt;=BF21,IF(BE21="",FALSE,TRUE))</formula>
    </cfRule>
  </conditionalFormatting>
  <conditionalFormatting sqref="BL29:BL30">
    <cfRule type="expression" dxfId="259" priority="617">
      <formula>OR(IF(BL29&lt;BM29,TRUE),IF(AND(BM29="",BL29&lt;&gt;""),TRUE))</formula>
    </cfRule>
    <cfRule type="expression" dxfId="258" priority="618">
      <formula>IF(BL29&gt;=BM29,IF(BL29="",FALSE,TRUE))</formula>
    </cfRule>
  </conditionalFormatting>
  <conditionalFormatting sqref="BN29:BN30">
    <cfRule type="expression" dxfId="257" priority="615">
      <formula>OR(IF(BN29&lt;BO29,TRUE),IF(AND(BO29="",BN29&lt;&gt;""),TRUE))</formula>
    </cfRule>
    <cfRule type="expression" dxfId="256" priority="616">
      <formula>IF(BN29&gt;=BO29,IF(BN29="",FALSE,TRUE))</formula>
    </cfRule>
  </conditionalFormatting>
  <conditionalFormatting sqref="BL20 BN20">
    <cfRule type="expression" dxfId="255" priority="605">
      <formula>OR(IF(BL20&lt;BM20,TRUE),IF(AND(BM20="",BL20&lt;&gt;""),TRUE))</formula>
    </cfRule>
    <cfRule type="expression" dxfId="254" priority="606">
      <formula>IF(BL20&gt;=BM20,IF(BL20="",FALSE,TRUE))</formula>
    </cfRule>
  </conditionalFormatting>
  <conditionalFormatting sqref="BN21:BN22 BL21:BL22">
    <cfRule type="expression" dxfId="253" priority="603">
      <formula>OR(IF(BL21&lt;BM21,TRUE),IF(AND(BM21="",BL21&lt;&gt;""),TRUE))</formula>
    </cfRule>
    <cfRule type="expression" dxfId="252" priority="604">
      <formula>IF(BL21&gt;=BM21,IF(BL21="",FALSE,TRUE))</formula>
    </cfRule>
  </conditionalFormatting>
  <conditionalFormatting sqref="BS29:BS30">
    <cfRule type="expression" dxfId="251" priority="597">
      <formula>OR(IF(BS29&lt;BT29,TRUE),IF(AND(BT29="",BS29&lt;&gt;""),TRUE))</formula>
    </cfRule>
    <cfRule type="expression" dxfId="250" priority="598">
      <formula>IF(BS29&gt;=BT29,IF(BS29="",FALSE,TRUE))</formula>
    </cfRule>
  </conditionalFormatting>
  <conditionalFormatting sqref="BU29:BU30">
    <cfRule type="expression" dxfId="249" priority="595">
      <formula>OR(IF(BU29&lt;BV29,TRUE),IF(AND(BV29="",BU29&lt;&gt;""),TRUE))</formula>
    </cfRule>
    <cfRule type="expression" dxfId="248" priority="596">
      <formula>IF(BU29&gt;=BV29,IF(BU29="",FALSE,TRUE))</formula>
    </cfRule>
  </conditionalFormatting>
  <conditionalFormatting sqref="BS20 BU20">
    <cfRule type="expression" dxfId="247" priority="585">
      <formula>OR(IF(BS20&lt;BT20,TRUE),IF(AND(BT20="",BS20&lt;&gt;""),TRUE))</formula>
    </cfRule>
    <cfRule type="expression" dxfId="246" priority="586">
      <formula>IF(BS20&gt;=BT20,IF(BS20="",FALSE,TRUE))</formula>
    </cfRule>
  </conditionalFormatting>
  <conditionalFormatting sqref="BU21:BU22 BS21:BS22">
    <cfRule type="expression" dxfId="245" priority="583">
      <formula>OR(IF(BS21&lt;BT21,TRUE),IF(AND(BT21="",BS21&lt;&gt;""),TRUE))</formula>
    </cfRule>
    <cfRule type="expression" dxfId="244" priority="584">
      <formula>IF(BS21&gt;=BT21,IF(BS21="",FALSE,TRUE))</formula>
    </cfRule>
  </conditionalFormatting>
  <conditionalFormatting sqref="BZ29:BZ30">
    <cfRule type="expression" dxfId="243" priority="577">
      <formula>OR(IF(BZ29&lt;CA29,TRUE),IF(AND(CA29="",BZ29&lt;&gt;""),TRUE))</formula>
    </cfRule>
    <cfRule type="expression" dxfId="242" priority="578">
      <formula>IF(BZ29&gt;=CA29,IF(BZ29="",FALSE,TRUE))</formula>
    </cfRule>
  </conditionalFormatting>
  <conditionalFormatting sqref="CB29:CB30">
    <cfRule type="expression" dxfId="241" priority="575">
      <formula>OR(IF(CB29&lt;CC29,TRUE),IF(AND(CC29="",CB29&lt;&gt;""),TRUE))</formula>
    </cfRule>
    <cfRule type="expression" dxfId="240" priority="576">
      <formula>IF(CB29&gt;=CC29,IF(CB29="",FALSE,TRUE))</formula>
    </cfRule>
  </conditionalFormatting>
  <conditionalFormatting sqref="BZ20 CB20">
    <cfRule type="expression" dxfId="239" priority="565">
      <formula>OR(IF(BZ20&lt;CA20,TRUE),IF(AND(CA20="",BZ20&lt;&gt;""),TRUE))</formula>
    </cfRule>
    <cfRule type="expression" dxfId="238" priority="566">
      <formula>IF(BZ20&gt;=CA20,IF(BZ20="",FALSE,TRUE))</formula>
    </cfRule>
  </conditionalFormatting>
  <conditionalFormatting sqref="CB21:CB22 BZ21:BZ22">
    <cfRule type="expression" dxfId="237" priority="563">
      <formula>OR(IF(BZ21&lt;CA21,TRUE),IF(AND(CA21="",BZ21&lt;&gt;""),TRUE))</formula>
    </cfRule>
    <cfRule type="expression" dxfId="236" priority="564">
      <formula>IF(BZ21&gt;=CA21,IF(BZ21="",FALSE,TRUE))</formula>
    </cfRule>
  </conditionalFormatting>
  <conditionalFormatting sqref="CG29:CG30">
    <cfRule type="expression" dxfId="235" priority="557">
      <formula>OR(IF(CG29&lt;CH29,TRUE),IF(AND(CH29="",CG29&lt;&gt;""),TRUE))</formula>
    </cfRule>
    <cfRule type="expression" dxfId="234" priority="558">
      <formula>IF(CG29&gt;=CH29,IF(CG29="",FALSE,TRUE))</formula>
    </cfRule>
  </conditionalFormatting>
  <conditionalFormatting sqref="CI29:CI30">
    <cfRule type="expression" dxfId="233" priority="555">
      <formula>OR(IF(CI29&lt;CJ29,TRUE),IF(AND(CJ29="",CI29&lt;&gt;""),TRUE))</formula>
    </cfRule>
    <cfRule type="expression" dxfId="232" priority="556">
      <formula>IF(CI29&gt;=CJ29,IF(CI29="",FALSE,TRUE))</formula>
    </cfRule>
  </conditionalFormatting>
  <conditionalFormatting sqref="CG20 CI20">
    <cfRule type="expression" dxfId="231" priority="545">
      <formula>OR(IF(CG20&lt;CH20,TRUE),IF(AND(CH20="",CG20&lt;&gt;""),TRUE))</formula>
    </cfRule>
    <cfRule type="expression" dxfId="230" priority="546">
      <formula>IF(CG20&gt;=CH20,IF(CG20="",FALSE,TRUE))</formula>
    </cfRule>
  </conditionalFormatting>
  <conditionalFormatting sqref="CI21:CI22 CG21:CG22">
    <cfRule type="expression" dxfId="229" priority="543">
      <formula>OR(IF(CG21&lt;CH21,TRUE),IF(AND(CH21="",CG21&lt;&gt;""),TRUE))</formula>
    </cfRule>
    <cfRule type="expression" dxfId="228" priority="544">
      <formula>IF(CG21&gt;=CH21,IF(CG21="",FALSE,TRUE))</formula>
    </cfRule>
  </conditionalFormatting>
  <conditionalFormatting sqref="CN29:CN30">
    <cfRule type="expression" dxfId="227" priority="537">
      <formula>OR(IF(CN29&lt;CO29,TRUE),IF(AND(CO29="",CN29&lt;&gt;""),TRUE))</formula>
    </cfRule>
    <cfRule type="expression" dxfId="226" priority="538">
      <formula>IF(CN29&gt;=CO29,IF(CN29="",FALSE,TRUE))</formula>
    </cfRule>
  </conditionalFormatting>
  <conditionalFormatting sqref="CP29:CP30">
    <cfRule type="expression" dxfId="225" priority="535">
      <formula>OR(IF(CP29&lt;CQ29,TRUE),IF(AND(CQ29="",CP29&lt;&gt;""),TRUE))</formula>
    </cfRule>
    <cfRule type="expression" dxfId="224" priority="536">
      <formula>IF(CP29&gt;=CQ29,IF(CP29="",FALSE,TRUE))</formula>
    </cfRule>
  </conditionalFormatting>
  <conditionalFormatting sqref="CP20">
    <cfRule type="expression" dxfId="223" priority="525">
      <formula>OR(IF(CP20&lt;CQ20,TRUE),IF(AND(CQ20="",CP20&lt;&gt;""),TRUE))</formula>
    </cfRule>
    <cfRule type="expression" dxfId="222" priority="526">
      <formula>IF(CP20&gt;=CQ20,IF(CP20="",FALSE,TRUE))</formula>
    </cfRule>
  </conditionalFormatting>
  <conditionalFormatting sqref="CP21:CP22 CN21:CN22">
    <cfRule type="expression" dxfId="221" priority="523">
      <formula>OR(IF(CN21&lt;CO21,TRUE),IF(AND(CO21="",CN21&lt;&gt;""),TRUE))</formula>
    </cfRule>
    <cfRule type="expression" dxfId="220" priority="524">
      <formula>IF(CN21&gt;=CO21,IF(CN21="",FALSE,TRUE))</formula>
    </cfRule>
  </conditionalFormatting>
  <conditionalFormatting sqref="CV29:CV30">
    <cfRule type="expression" dxfId="219" priority="513">
      <formula>OR(IF(CV29&lt;CW29,TRUE),IF(AND(CW29="",CV29&lt;&gt;""),TRUE))</formula>
    </cfRule>
    <cfRule type="expression" dxfId="218" priority="514">
      <formula>IF(CV29&gt;=CW29,IF(CV29="",FALSE,TRUE))</formula>
    </cfRule>
  </conditionalFormatting>
  <conditionalFormatting sqref="CX29:CX30">
    <cfRule type="expression" dxfId="217" priority="511">
      <formula>OR(IF(CX29&lt;CY29,TRUE),IF(AND(CY29="",CX29&lt;&gt;""),TRUE))</formula>
    </cfRule>
    <cfRule type="expression" dxfId="216" priority="512">
      <formula>IF(CX29&gt;=CY29,IF(CX29="",FALSE,TRUE))</formula>
    </cfRule>
  </conditionalFormatting>
  <conditionalFormatting sqref="CV20 CX20">
    <cfRule type="expression" dxfId="215" priority="501">
      <formula>OR(IF(CV20&lt;CW20,TRUE),IF(AND(CW20="",CV20&lt;&gt;""),TRUE))</formula>
    </cfRule>
    <cfRule type="expression" dxfId="214" priority="502">
      <formula>IF(CV20&gt;=CW20,IF(CV20="",FALSE,TRUE))</formula>
    </cfRule>
  </conditionalFormatting>
  <conditionalFormatting sqref="CX21:CX22 CV21:CV22">
    <cfRule type="expression" dxfId="213" priority="499">
      <formula>OR(IF(CV21&lt;CW21,TRUE),IF(AND(CW21="",CV21&lt;&gt;""),TRUE))</formula>
    </cfRule>
    <cfRule type="expression" dxfId="212" priority="500">
      <formula>IF(CV21&gt;=CW21,IF(CV21="",FALSE,TRUE))</formula>
    </cfRule>
  </conditionalFormatting>
  <conditionalFormatting sqref="DE29:DE30">
    <cfRule type="expression" dxfId="211" priority="491">
      <formula>OR(IF(DE29&lt;DF29,TRUE),IF(AND(DF29="",DE29&lt;&gt;""),TRUE))</formula>
    </cfRule>
    <cfRule type="expression" dxfId="210" priority="492">
      <formula>IF(DE29&gt;=DF29,IF(DE29="",FALSE,TRUE))</formula>
    </cfRule>
  </conditionalFormatting>
  <conditionalFormatting sqref="DG29:DG30">
    <cfRule type="expression" dxfId="209" priority="489">
      <formula>OR(IF(DG29&lt;DH29,TRUE),IF(AND(DH29="",DG29&lt;&gt;""),TRUE))</formula>
    </cfRule>
    <cfRule type="expression" dxfId="208" priority="490">
      <formula>IF(DG29&gt;=DH29,IF(DG29="",FALSE,TRUE))</formula>
    </cfRule>
  </conditionalFormatting>
  <conditionalFormatting sqref="DE20 DG20">
    <cfRule type="expression" dxfId="207" priority="479">
      <formula>OR(IF(DE20&lt;DF20,TRUE),IF(AND(DF20="",DE20&lt;&gt;""),TRUE))</formula>
    </cfRule>
    <cfRule type="expression" dxfId="206" priority="480">
      <formula>IF(DE20&gt;=DF20,IF(DE20="",FALSE,TRUE))</formula>
    </cfRule>
  </conditionalFormatting>
  <conditionalFormatting sqref="DG21:DG22 DE21:DE22">
    <cfRule type="expression" dxfId="205" priority="477">
      <formula>OR(IF(DE21&lt;DF21,TRUE),IF(AND(DF21="",DE21&lt;&gt;""),TRUE))</formula>
    </cfRule>
    <cfRule type="expression" dxfId="204" priority="478">
      <formula>IF(DE21&gt;=DF21,IF(DE21="",FALSE,TRUE))</formula>
    </cfRule>
  </conditionalFormatting>
  <conditionalFormatting sqref="DN29:DN30">
    <cfRule type="expression" dxfId="203" priority="469">
      <formula>OR(IF(DN29&lt;DO29,TRUE),IF(AND(DO29="",DN29&lt;&gt;""),TRUE))</formula>
    </cfRule>
    <cfRule type="expression" dxfId="202" priority="470">
      <formula>IF(DN29&gt;=DO29,IF(DN29="",FALSE,TRUE))</formula>
    </cfRule>
  </conditionalFormatting>
  <conditionalFormatting sqref="DP29:DP30">
    <cfRule type="expression" dxfId="201" priority="467">
      <formula>OR(IF(DP29&lt;DQ29,TRUE),IF(AND(DQ29="",DP29&lt;&gt;""),TRUE))</formula>
    </cfRule>
    <cfRule type="expression" dxfId="200" priority="468">
      <formula>IF(DP29&gt;=DQ29,IF(DP29="",FALSE,TRUE))</formula>
    </cfRule>
  </conditionalFormatting>
  <conditionalFormatting sqref="DN20 DP20">
    <cfRule type="expression" dxfId="199" priority="457">
      <formula>OR(IF(DN20&lt;DO20,TRUE),IF(AND(DO20="",DN20&lt;&gt;""),TRUE))</formula>
    </cfRule>
    <cfRule type="expression" dxfId="198" priority="458">
      <formula>IF(DN20&gt;=DO20,IF(DN20="",FALSE,TRUE))</formula>
    </cfRule>
  </conditionalFormatting>
  <conditionalFormatting sqref="DP21:DP22 DN21:DN22">
    <cfRule type="expression" dxfId="197" priority="455">
      <formula>OR(IF(DN21&lt;DO21,TRUE),IF(AND(DO21="",DN21&lt;&gt;""),TRUE))</formula>
    </cfRule>
    <cfRule type="expression" dxfId="196" priority="456">
      <formula>IF(DN21&gt;=DO21,IF(DN21="",FALSE,TRUE))</formula>
    </cfRule>
  </conditionalFormatting>
  <conditionalFormatting sqref="DW29:DW30">
    <cfRule type="expression" dxfId="195" priority="447">
      <formula>OR(IF(DW29&lt;DX29,TRUE),IF(AND(DX29="",DW29&lt;&gt;""),TRUE))</formula>
    </cfRule>
    <cfRule type="expression" dxfId="194" priority="448">
      <formula>IF(DW29&gt;=DX29,IF(DW29="",FALSE,TRUE))</formula>
    </cfRule>
  </conditionalFormatting>
  <conditionalFormatting sqref="DY29:DY30">
    <cfRule type="expression" dxfId="193" priority="445">
      <formula>OR(IF(DY29&lt;DZ29,TRUE),IF(AND(DZ29="",DY29&lt;&gt;""),TRUE))</formula>
    </cfRule>
    <cfRule type="expression" dxfId="192" priority="446">
      <formula>IF(DY29&gt;=DZ29,IF(DY29="",FALSE,TRUE))</formula>
    </cfRule>
  </conditionalFormatting>
  <conditionalFormatting sqref="DW20 DY20">
    <cfRule type="expression" dxfId="191" priority="435">
      <formula>OR(IF(DW20&lt;DX20,TRUE),IF(AND(DX20="",DW20&lt;&gt;""),TRUE))</formula>
    </cfRule>
    <cfRule type="expression" dxfId="190" priority="436">
      <formula>IF(DW20&gt;=DX20,IF(DW20="",FALSE,TRUE))</formula>
    </cfRule>
  </conditionalFormatting>
  <conditionalFormatting sqref="DY21:DY22 DW21:DW22">
    <cfRule type="expression" dxfId="189" priority="433">
      <formula>OR(IF(DW21&lt;DX21,TRUE),IF(AND(DX21="",DW21&lt;&gt;""),TRUE))</formula>
    </cfRule>
    <cfRule type="expression" dxfId="188" priority="434">
      <formula>IF(DW21&gt;=DX21,IF(DW21="",FALSE,TRUE))</formula>
    </cfRule>
  </conditionalFormatting>
  <conditionalFormatting sqref="EF29:EF30">
    <cfRule type="expression" dxfId="187" priority="425">
      <formula>OR(IF(EF29&lt;EG29,TRUE),IF(AND(EG29="",EF29&lt;&gt;""),TRUE))</formula>
    </cfRule>
    <cfRule type="expression" dxfId="186" priority="426">
      <formula>IF(EF29&gt;=EG29,IF(EF29="",FALSE,TRUE))</formula>
    </cfRule>
  </conditionalFormatting>
  <conditionalFormatting sqref="EH29:EH30">
    <cfRule type="expression" dxfId="185" priority="423">
      <formula>OR(IF(EH29&lt;EI29,TRUE),IF(AND(EI29="",EH29&lt;&gt;""),TRUE))</formula>
    </cfRule>
    <cfRule type="expression" dxfId="184" priority="424">
      <formula>IF(EH29&gt;=EI29,IF(EH29="",FALSE,TRUE))</formula>
    </cfRule>
  </conditionalFormatting>
  <conditionalFormatting sqref="EF20 EH20">
    <cfRule type="expression" dxfId="183" priority="413">
      <formula>OR(IF(EF20&lt;EG20,TRUE),IF(AND(EG20="",EF20&lt;&gt;""),TRUE))</formula>
    </cfRule>
    <cfRule type="expression" dxfId="182" priority="414">
      <formula>IF(EF20&gt;=EG20,IF(EF20="",FALSE,TRUE))</formula>
    </cfRule>
  </conditionalFormatting>
  <conditionalFormatting sqref="EH21:EH22 EF21:EF22">
    <cfRule type="expression" dxfId="181" priority="411">
      <formula>OR(IF(EF21&lt;EG21,TRUE),IF(AND(EG21="",EF21&lt;&gt;""),TRUE))</formula>
    </cfRule>
    <cfRule type="expression" dxfId="180" priority="412">
      <formula>IF(EF21&gt;=EG21,IF(EF21="",FALSE,TRUE))</formula>
    </cfRule>
  </conditionalFormatting>
  <conditionalFormatting sqref="EO29:EO30">
    <cfRule type="expression" dxfId="179" priority="403">
      <formula>OR(IF(EO29&lt;EP29,TRUE),IF(AND(EP29="",EO29&lt;&gt;""),TRUE))</formula>
    </cfRule>
    <cfRule type="expression" dxfId="178" priority="404">
      <formula>IF(EO29&gt;=EP29,IF(EO29="",FALSE,TRUE))</formula>
    </cfRule>
  </conditionalFormatting>
  <conditionalFormatting sqref="EQ29:EQ30">
    <cfRule type="expression" dxfId="177" priority="401">
      <formula>OR(IF(EQ29&lt;ER29,TRUE),IF(AND(ER29="",EQ29&lt;&gt;""),TRUE))</formula>
    </cfRule>
    <cfRule type="expression" dxfId="176" priority="402">
      <formula>IF(EQ29&gt;=ER29,IF(EQ29="",FALSE,TRUE))</formula>
    </cfRule>
  </conditionalFormatting>
  <conditionalFormatting sqref="EO20 EQ20">
    <cfRule type="expression" dxfId="175" priority="391">
      <formula>OR(IF(EO20&lt;EP20,TRUE),IF(AND(EP20="",EO20&lt;&gt;""),TRUE))</formula>
    </cfRule>
    <cfRule type="expression" dxfId="174" priority="392">
      <formula>IF(EO20&gt;=EP20,IF(EO20="",FALSE,TRUE))</formula>
    </cfRule>
  </conditionalFormatting>
  <conditionalFormatting sqref="EQ21:EQ22 EO21:EO22">
    <cfRule type="expression" dxfId="173" priority="389">
      <formula>OR(IF(EO21&lt;EP21,TRUE),IF(AND(EP21="",EO21&lt;&gt;""),TRUE))</formula>
    </cfRule>
    <cfRule type="expression" dxfId="172" priority="390">
      <formula>IF(EO21&gt;=EP21,IF(EO21="",FALSE,TRUE))</formula>
    </cfRule>
  </conditionalFormatting>
  <conditionalFormatting sqref="EX29:EX30">
    <cfRule type="expression" dxfId="171" priority="381">
      <formula>OR(IF(EX29&lt;EY29,TRUE),IF(AND(EY29="",EX29&lt;&gt;""),TRUE))</formula>
    </cfRule>
    <cfRule type="expression" dxfId="170" priority="382">
      <formula>IF(EX29&gt;=EY29,IF(EX29="",FALSE,TRUE))</formula>
    </cfRule>
  </conditionalFormatting>
  <conditionalFormatting sqref="EZ29:EZ30">
    <cfRule type="expression" dxfId="169" priority="379">
      <formula>OR(IF(EZ29&lt;FA29,TRUE),IF(AND(FA29="",EZ29&lt;&gt;""),TRUE))</formula>
    </cfRule>
    <cfRule type="expression" dxfId="168" priority="380">
      <formula>IF(EZ29&gt;=FA29,IF(EZ29="",FALSE,TRUE))</formula>
    </cfRule>
  </conditionalFormatting>
  <conditionalFormatting sqref="EX20 EZ20">
    <cfRule type="expression" dxfId="167" priority="369">
      <formula>OR(IF(EX20&lt;EY20,TRUE),IF(AND(EY20="",EX20&lt;&gt;""),TRUE))</formula>
    </cfRule>
    <cfRule type="expression" dxfId="166" priority="370">
      <formula>IF(EX20&gt;=EY20,IF(EX20="",FALSE,TRUE))</formula>
    </cfRule>
  </conditionalFormatting>
  <conditionalFormatting sqref="EZ21:EZ22 EX21:EX22">
    <cfRule type="expression" dxfId="165" priority="367">
      <formula>OR(IF(EX21&lt;EY21,TRUE),IF(AND(EY21="",EX21&lt;&gt;""),TRUE))</formula>
    </cfRule>
    <cfRule type="expression" dxfId="164" priority="368">
      <formula>IF(EX21&gt;=EY21,IF(EX21="",FALSE,TRUE))</formula>
    </cfRule>
  </conditionalFormatting>
  <conditionalFormatting sqref="FG29:FG30">
    <cfRule type="expression" dxfId="163" priority="359">
      <formula>OR(IF(FG29&lt;FH29,TRUE),IF(AND(FH29="",FG29&lt;&gt;""),TRUE))</formula>
    </cfRule>
    <cfRule type="expression" dxfId="162" priority="360">
      <formula>IF(FG29&gt;=FH29,IF(FG29="",FALSE,TRUE))</formula>
    </cfRule>
  </conditionalFormatting>
  <conditionalFormatting sqref="FI29:FI30">
    <cfRule type="expression" dxfId="161" priority="357">
      <formula>OR(IF(FI29&lt;FJ29,TRUE),IF(AND(FJ29="",FI29&lt;&gt;""),TRUE))</formula>
    </cfRule>
    <cfRule type="expression" dxfId="160" priority="358">
      <formula>IF(FI29&gt;=FJ29,IF(FI29="",FALSE,TRUE))</formula>
    </cfRule>
  </conditionalFormatting>
  <conditionalFormatting sqref="FG20 FI20">
    <cfRule type="expression" dxfId="159" priority="347">
      <formula>OR(IF(FG20&lt;FH20,TRUE),IF(AND(FH20="",FG20&lt;&gt;""),TRUE))</formula>
    </cfRule>
    <cfRule type="expression" dxfId="158" priority="348">
      <formula>IF(FG20&gt;=FH20,IF(FG20="",FALSE,TRUE))</formula>
    </cfRule>
  </conditionalFormatting>
  <conditionalFormatting sqref="FI21:FI22 FG21:FG22">
    <cfRule type="expression" dxfId="157" priority="345">
      <formula>OR(IF(FG21&lt;FH21,TRUE),IF(AND(FH21="",FG21&lt;&gt;""),TRUE))</formula>
    </cfRule>
    <cfRule type="expression" dxfId="156" priority="346">
      <formula>IF(FG21&gt;=FH21,IF(FG21="",FALSE,TRUE))</formula>
    </cfRule>
  </conditionalFormatting>
  <conditionalFormatting sqref="FP29:FP30">
    <cfRule type="expression" dxfId="155" priority="337">
      <formula>OR(IF(FP29&lt;FQ29,TRUE),IF(AND(FQ29="",FP29&lt;&gt;""),TRUE))</formula>
    </cfRule>
    <cfRule type="expression" dxfId="154" priority="338">
      <formula>IF(FP29&gt;=FQ29,IF(FP29="",FALSE,TRUE))</formula>
    </cfRule>
  </conditionalFormatting>
  <conditionalFormatting sqref="FR29:FR30">
    <cfRule type="expression" dxfId="153" priority="335">
      <formula>OR(IF(FR29&lt;FS29,TRUE),IF(AND(FS29="",FR29&lt;&gt;""),TRUE))</formula>
    </cfRule>
    <cfRule type="expression" dxfId="152" priority="336">
      <formula>IF(FR29&gt;=FS29,IF(FR29="",FALSE,TRUE))</formula>
    </cfRule>
  </conditionalFormatting>
  <conditionalFormatting sqref="FP20 FR20">
    <cfRule type="expression" dxfId="151" priority="325">
      <formula>OR(IF(FP20&lt;FQ20,TRUE),IF(AND(FQ20="",FP20&lt;&gt;""),TRUE))</formula>
    </cfRule>
    <cfRule type="expression" dxfId="150" priority="326">
      <formula>IF(FP20&gt;=FQ20,IF(FP20="",FALSE,TRUE))</formula>
    </cfRule>
  </conditionalFormatting>
  <conditionalFormatting sqref="FR21:FR22 FP21:FP22">
    <cfRule type="expression" dxfId="149" priority="323">
      <formula>OR(IF(FP21&lt;FQ21,TRUE),IF(AND(FQ21="",FP21&lt;&gt;""),TRUE))</formula>
    </cfRule>
    <cfRule type="expression" dxfId="148" priority="324">
      <formula>IF(FP21&gt;=FQ21,IF(FP21="",FALSE,TRUE))</formula>
    </cfRule>
  </conditionalFormatting>
  <conditionalFormatting sqref="CN20">
    <cfRule type="expression" dxfId="147" priority="319">
      <formula>OR(IF(CN20&lt;CO20,TRUE),IF(AND(CO20="",CN20&lt;&gt;""),TRUE))</formula>
    </cfRule>
    <cfRule type="expression" dxfId="146" priority="320">
      <formula>IF(CN20&gt;=CO20,IF(CN20="",FALSE,TRUE))</formula>
    </cfRule>
  </conditionalFormatting>
  <conditionalFormatting sqref="J41:K41">
    <cfRule type="colorScale" priority="315">
      <colorScale>
        <cfvo type="percent" val="0"/>
        <cfvo type="percent" val="100"/>
        <color rgb="FFFF231B"/>
        <color rgb="FF10FF07"/>
      </colorScale>
    </cfRule>
  </conditionalFormatting>
  <conditionalFormatting sqref="J6:K18">
    <cfRule type="colorScale" priority="2309">
      <colorScale>
        <cfvo type="percent" val="0"/>
        <cfvo type="percent" val="100"/>
        <color rgb="FFFF231B"/>
        <color rgb="FF10FF07"/>
      </colorScale>
    </cfRule>
  </conditionalFormatting>
  <conditionalFormatting sqref="J5:J18">
    <cfRule type="colorScale" priority="2310">
      <colorScale>
        <cfvo type="percent" val="0"/>
        <cfvo type="percent" val="100"/>
        <color rgb="FFFF231B"/>
        <color rgb="FF10FF07"/>
      </colorScale>
    </cfRule>
  </conditionalFormatting>
  <conditionalFormatting sqref="K5:K18">
    <cfRule type="colorScale" priority="2311">
      <colorScale>
        <cfvo type="percent" val="0"/>
        <cfvo type="percent" val="100"/>
        <color rgb="FFFF231B"/>
        <color rgb="FF10FF07"/>
      </colorScale>
    </cfRule>
  </conditionalFormatting>
  <conditionalFormatting sqref="AC23 AE23">
    <cfRule type="expression" dxfId="145" priority="298">
      <formula>OR(IF(AC23&lt;AD23,TRUE),IF(AND(AD23="",AC23&lt;&gt;""),TRUE))</formula>
    </cfRule>
    <cfRule type="expression" dxfId="144" priority="299">
      <formula>IF(AC23&gt;=AD23,IF(AC23="",FALSE,TRUE))</formula>
    </cfRule>
  </conditionalFormatting>
  <conditionalFormatting sqref="AQ23 AS23">
    <cfRule type="expression" dxfId="143" priority="294">
      <formula>OR(IF(AQ23&lt;AR23,TRUE),IF(AND(AR23="",AQ23&lt;&gt;""),TRUE))</formula>
    </cfRule>
    <cfRule type="expression" dxfId="142" priority="295">
      <formula>IF(AQ23&gt;=AR23,IF(AQ23="",FALSE,TRUE))</formula>
    </cfRule>
  </conditionalFormatting>
  <conditionalFormatting sqref="O23 Q23">
    <cfRule type="expression" dxfId="141" priority="302">
      <formula>OR(IF(O23&lt;P23,TRUE),IF(AND(P23="",O23&lt;&gt;""),TRUE))</formula>
    </cfRule>
    <cfRule type="expression" dxfId="140" priority="303">
      <formula>IF(O23&gt;=P23,IF(O23="",FALSE,TRUE))</formula>
    </cfRule>
  </conditionalFormatting>
  <conditionalFormatting sqref="V23 X23">
    <cfRule type="expression" dxfId="139" priority="300">
      <formula>OR(IF(V23&lt;W23,TRUE),IF(AND(W23="",V23&lt;&gt;""),TRUE))</formula>
    </cfRule>
    <cfRule type="expression" dxfId="138" priority="301">
      <formula>IF(V23&gt;=W23,IF(V23="",FALSE,TRUE))</formula>
    </cfRule>
  </conditionalFormatting>
  <conditionalFormatting sqref="AJ23 AL23">
    <cfRule type="expression" dxfId="137" priority="296">
      <formula>OR(IF(AJ23&lt;AK23,TRUE),IF(AND(AK23="",AJ23&lt;&gt;""),TRUE))</formula>
    </cfRule>
    <cfRule type="expression" dxfId="136" priority="297">
      <formula>IF(AJ23&gt;=AK23,IF(AJ23="",FALSE,TRUE))</formula>
    </cfRule>
  </conditionalFormatting>
  <conditionalFormatting sqref="J23:K23">
    <cfRule type="colorScale" priority="293">
      <colorScale>
        <cfvo type="percent" val="0"/>
        <cfvo type="percent" val="100"/>
        <color rgb="FFFF231B"/>
        <color rgb="FF10FF07"/>
      </colorScale>
    </cfRule>
  </conditionalFormatting>
  <conditionalFormatting sqref="J23">
    <cfRule type="colorScale" priority="292">
      <colorScale>
        <cfvo type="percent" val="0"/>
        <cfvo type="percent" val="100"/>
        <color rgb="FFFF231B"/>
        <color rgb="FF10FF07"/>
      </colorScale>
    </cfRule>
  </conditionalFormatting>
  <conditionalFormatting sqref="K23">
    <cfRule type="colorScale" priority="291">
      <colorScale>
        <cfvo type="percent" val="0"/>
        <cfvo type="percent" val="100"/>
        <color rgb="FFFF231B"/>
        <color rgb="FF10FF07"/>
      </colorScale>
    </cfRule>
  </conditionalFormatting>
  <conditionalFormatting sqref="AX23 AZ23">
    <cfRule type="expression" dxfId="135" priority="289">
      <formula>OR(IF(AX23&lt;AY23,TRUE),IF(AND(AY23="",AX23&lt;&gt;""),TRUE))</formula>
    </cfRule>
    <cfRule type="expression" dxfId="134" priority="290">
      <formula>IF(AX23&gt;=AY23,IF(AX23="",FALSE,TRUE))</formula>
    </cfRule>
  </conditionalFormatting>
  <conditionalFormatting sqref="BE23 BG23">
    <cfRule type="expression" dxfId="133" priority="287">
      <formula>OR(IF(BE23&lt;BF23,TRUE),IF(AND(BF23="",BE23&lt;&gt;""),TRUE))</formula>
    </cfRule>
    <cfRule type="expression" dxfId="132" priority="288">
      <formula>IF(BE23&gt;=BF23,IF(BE23="",FALSE,TRUE))</formula>
    </cfRule>
  </conditionalFormatting>
  <conditionalFormatting sqref="BL23 BN23">
    <cfRule type="expression" dxfId="131" priority="285">
      <formula>OR(IF(BL23&lt;BM23,TRUE),IF(AND(BM23="",BL23&lt;&gt;""),TRUE))</formula>
    </cfRule>
    <cfRule type="expression" dxfId="130" priority="286">
      <formula>IF(BL23&gt;=BM23,IF(BL23="",FALSE,TRUE))</formula>
    </cfRule>
  </conditionalFormatting>
  <conditionalFormatting sqref="BS23 BU23">
    <cfRule type="expression" dxfId="129" priority="283">
      <formula>OR(IF(BS23&lt;BT23,TRUE),IF(AND(BT23="",BS23&lt;&gt;""),TRUE))</formula>
    </cfRule>
    <cfRule type="expression" dxfId="128" priority="284">
      <formula>IF(BS23&gt;=BT23,IF(BS23="",FALSE,TRUE))</formula>
    </cfRule>
  </conditionalFormatting>
  <conditionalFormatting sqref="BZ23 CB23">
    <cfRule type="expression" dxfId="127" priority="281">
      <formula>OR(IF(BZ23&lt;CA23,TRUE),IF(AND(CA23="",BZ23&lt;&gt;""),TRUE))</formula>
    </cfRule>
    <cfRule type="expression" dxfId="126" priority="282">
      <formula>IF(BZ23&gt;=CA23,IF(BZ23="",FALSE,TRUE))</formula>
    </cfRule>
  </conditionalFormatting>
  <conditionalFormatting sqref="CG23 CI23">
    <cfRule type="expression" dxfId="125" priority="279">
      <formula>OR(IF(CG23&lt;CH23,TRUE),IF(AND(CH23="",CG23&lt;&gt;""),TRUE))</formula>
    </cfRule>
    <cfRule type="expression" dxfId="124" priority="280">
      <formula>IF(CG23&gt;=CH23,IF(CG23="",FALSE,TRUE))</formula>
    </cfRule>
  </conditionalFormatting>
  <conditionalFormatting sqref="CP23">
    <cfRule type="expression" dxfId="123" priority="277">
      <formula>OR(IF(CP23&lt;CQ23,TRUE),IF(AND(CQ23="",CP23&lt;&gt;""),TRUE))</formula>
    </cfRule>
    <cfRule type="expression" dxfId="122" priority="278">
      <formula>IF(CP23&gt;=CQ23,IF(CP23="",FALSE,TRUE))</formula>
    </cfRule>
  </conditionalFormatting>
  <conditionalFormatting sqref="CV23 CX23">
    <cfRule type="expression" dxfId="121" priority="275">
      <formula>OR(IF(CV23&lt;CW23,TRUE),IF(AND(CW23="",CV23&lt;&gt;""),TRUE))</formula>
    </cfRule>
    <cfRule type="expression" dxfId="120" priority="276">
      <formula>IF(CV23&gt;=CW23,IF(CV23="",FALSE,TRUE))</formula>
    </cfRule>
  </conditionalFormatting>
  <conditionalFormatting sqref="DE23 DG23">
    <cfRule type="expression" dxfId="119" priority="273">
      <formula>OR(IF(DE23&lt;DF23,TRUE),IF(AND(DF23="",DE23&lt;&gt;""),TRUE))</formula>
    </cfRule>
    <cfRule type="expression" dxfId="118" priority="274">
      <formula>IF(DE23&gt;=DF23,IF(DE23="",FALSE,TRUE))</formula>
    </cfRule>
  </conditionalFormatting>
  <conditionalFormatting sqref="DN23 DP23">
    <cfRule type="expression" dxfId="117" priority="271">
      <formula>OR(IF(DN23&lt;DO23,TRUE),IF(AND(DO23="",DN23&lt;&gt;""),TRUE))</formula>
    </cfRule>
    <cfRule type="expression" dxfId="116" priority="272">
      <formula>IF(DN23&gt;=DO23,IF(DN23="",FALSE,TRUE))</formula>
    </cfRule>
  </conditionalFormatting>
  <conditionalFormatting sqref="DW23 DY23">
    <cfRule type="expression" dxfId="115" priority="269">
      <formula>OR(IF(DW23&lt;DX23,TRUE),IF(AND(DX23="",DW23&lt;&gt;""),TRUE))</formula>
    </cfRule>
    <cfRule type="expression" dxfId="114" priority="270">
      <formula>IF(DW23&gt;=DX23,IF(DW23="",FALSE,TRUE))</formula>
    </cfRule>
  </conditionalFormatting>
  <conditionalFormatting sqref="EF23 EH23">
    <cfRule type="expression" dxfId="113" priority="267">
      <formula>OR(IF(EF23&lt;EG23,TRUE),IF(AND(EG23="",EF23&lt;&gt;""),TRUE))</formula>
    </cfRule>
    <cfRule type="expression" dxfId="112" priority="268">
      <formula>IF(EF23&gt;=EG23,IF(EF23="",FALSE,TRUE))</formula>
    </cfRule>
  </conditionalFormatting>
  <conditionalFormatting sqref="EO23 EQ23">
    <cfRule type="expression" dxfId="111" priority="265">
      <formula>OR(IF(EO23&lt;EP23,TRUE),IF(AND(EP23="",EO23&lt;&gt;""),TRUE))</formula>
    </cfRule>
    <cfRule type="expression" dxfId="110" priority="266">
      <formula>IF(EO23&gt;=EP23,IF(EO23="",FALSE,TRUE))</formula>
    </cfRule>
  </conditionalFormatting>
  <conditionalFormatting sqref="EX23 EZ23">
    <cfRule type="expression" dxfId="109" priority="263">
      <formula>OR(IF(EX23&lt;EY23,TRUE),IF(AND(EY23="",EX23&lt;&gt;""),TRUE))</formula>
    </cfRule>
    <cfRule type="expression" dxfId="108" priority="264">
      <formula>IF(EX23&gt;=EY23,IF(EX23="",FALSE,TRUE))</formula>
    </cfRule>
  </conditionalFormatting>
  <conditionalFormatting sqref="FG23 FI23">
    <cfRule type="expression" dxfId="107" priority="261">
      <formula>OR(IF(FG23&lt;FH23,TRUE),IF(AND(FH23="",FG23&lt;&gt;""),TRUE))</formula>
    </cfRule>
    <cfRule type="expression" dxfId="106" priority="262">
      <formula>IF(FG23&gt;=FH23,IF(FG23="",FALSE,TRUE))</formula>
    </cfRule>
  </conditionalFormatting>
  <conditionalFormatting sqref="FP23 FR23">
    <cfRule type="expression" dxfId="105" priority="259">
      <formula>OR(IF(FP23&lt;FQ23,TRUE),IF(AND(FQ23="",FP23&lt;&gt;""),TRUE))</formula>
    </cfRule>
    <cfRule type="expression" dxfId="104" priority="260">
      <formula>IF(FP23&gt;=FQ23,IF(FP23="",FALSE,TRUE))</formula>
    </cfRule>
  </conditionalFormatting>
  <conditionalFormatting sqref="CN23">
    <cfRule type="expression" dxfId="103" priority="257">
      <formula>OR(IF(CN23&lt;CO23,TRUE),IF(AND(CO23="",CN23&lt;&gt;""),TRUE))</formula>
    </cfRule>
    <cfRule type="expression" dxfId="102" priority="258">
      <formula>IF(CN23&gt;=CO23,IF(CN23="",FALSE,TRUE))</formula>
    </cfRule>
  </conditionalFormatting>
  <conditionalFormatting sqref="AC24 AE24">
    <cfRule type="expression" dxfId="101" priority="247">
      <formula>OR(IF(AC24&lt;AD24,TRUE),IF(AND(AD24="",AC24&lt;&gt;""),TRUE))</formula>
    </cfRule>
    <cfRule type="expression" dxfId="100" priority="248">
      <formula>IF(AC24&gt;=AD24,IF(AC24="",FALSE,TRUE))</formula>
    </cfRule>
  </conditionalFormatting>
  <conditionalFormatting sqref="AQ24 AS24">
    <cfRule type="expression" dxfId="99" priority="243">
      <formula>OR(IF(AQ24&lt;AR24,TRUE),IF(AND(AR24="",AQ24&lt;&gt;""),TRUE))</formula>
    </cfRule>
    <cfRule type="expression" dxfId="98" priority="244">
      <formula>IF(AQ24&gt;=AR24,IF(AQ24="",FALSE,TRUE))</formula>
    </cfRule>
  </conditionalFormatting>
  <conditionalFormatting sqref="O24 Q24">
    <cfRule type="expression" dxfId="97" priority="251">
      <formula>OR(IF(O24&lt;P24,TRUE),IF(AND(P24="",O24&lt;&gt;""),TRUE))</formula>
    </cfRule>
    <cfRule type="expression" dxfId="96" priority="252">
      <formula>IF(O24&gt;=P24,IF(O24="",FALSE,TRUE))</formula>
    </cfRule>
  </conditionalFormatting>
  <conditionalFormatting sqref="V24 X24">
    <cfRule type="expression" dxfId="95" priority="249">
      <formula>OR(IF(V24&lt;W24,TRUE),IF(AND(W24="",V24&lt;&gt;""),TRUE))</formula>
    </cfRule>
    <cfRule type="expression" dxfId="94" priority="250">
      <formula>IF(V24&gt;=W24,IF(V24="",FALSE,TRUE))</formula>
    </cfRule>
  </conditionalFormatting>
  <conditionalFormatting sqref="AJ24 AL24">
    <cfRule type="expression" dxfId="93" priority="245">
      <formula>OR(IF(AJ24&lt;AK24,TRUE),IF(AND(AK24="",AJ24&lt;&gt;""),TRUE))</formula>
    </cfRule>
    <cfRule type="expression" dxfId="92" priority="246">
      <formula>IF(AJ24&gt;=AK24,IF(AJ24="",FALSE,TRUE))</formula>
    </cfRule>
  </conditionalFormatting>
  <conditionalFormatting sqref="J24:K24">
    <cfRule type="colorScale" priority="242">
      <colorScale>
        <cfvo type="percent" val="0"/>
        <cfvo type="percent" val="100"/>
        <color rgb="FFFF231B"/>
        <color rgb="FF10FF07"/>
      </colorScale>
    </cfRule>
  </conditionalFormatting>
  <conditionalFormatting sqref="J24">
    <cfRule type="colorScale" priority="241">
      <colorScale>
        <cfvo type="percent" val="0"/>
        <cfvo type="percent" val="100"/>
        <color rgb="FFFF231B"/>
        <color rgb="FF10FF07"/>
      </colorScale>
    </cfRule>
  </conditionalFormatting>
  <conditionalFormatting sqref="K24">
    <cfRule type="colorScale" priority="240">
      <colorScale>
        <cfvo type="percent" val="0"/>
        <cfvo type="percent" val="100"/>
        <color rgb="FFFF231B"/>
        <color rgb="FF10FF07"/>
      </colorScale>
    </cfRule>
  </conditionalFormatting>
  <conditionalFormatting sqref="AX24 AZ24">
    <cfRule type="expression" dxfId="91" priority="238">
      <formula>OR(IF(AX24&lt;AY24,TRUE),IF(AND(AY24="",AX24&lt;&gt;""),TRUE))</formula>
    </cfRule>
    <cfRule type="expression" dxfId="90" priority="239">
      <formula>IF(AX24&gt;=AY24,IF(AX24="",FALSE,TRUE))</formula>
    </cfRule>
  </conditionalFormatting>
  <conditionalFormatting sqref="BE24 BG24">
    <cfRule type="expression" dxfId="89" priority="236">
      <formula>OR(IF(BE24&lt;BF24,TRUE),IF(AND(BF24="",BE24&lt;&gt;""),TRUE))</formula>
    </cfRule>
    <cfRule type="expression" dxfId="88" priority="237">
      <formula>IF(BE24&gt;=BF24,IF(BE24="",FALSE,TRUE))</formula>
    </cfRule>
  </conditionalFormatting>
  <conditionalFormatting sqref="BL24 BN24">
    <cfRule type="expression" dxfId="87" priority="234">
      <formula>OR(IF(BL24&lt;BM24,TRUE),IF(AND(BM24="",BL24&lt;&gt;""),TRUE))</formula>
    </cfRule>
    <cfRule type="expression" dxfId="86" priority="235">
      <formula>IF(BL24&gt;=BM24,IF(BL24="",FALSE,TRUE))</formula>
    </cfRule>
  </conditionalFormatting>
  <conditionalFormatting sqref="BS24 BU24">
    <cfRule type="expression" dxfId="85" priority="232">
      <formula>OR(IF(BS24&lt;BT24,TRUE),IF(AND(BT24="",BS24&lt;&gt;""),TRUE))</formula>
    </cfRule>
    <cfRule type="expression" dxfId="84" priority="233">
      <formula>IF(BS24&gt;=BT24,IF(BS24="",FALSE,TRUE))</formula>
    </cfRule>
  </conditionalFormatting>
  <conditionalFormatting sqref="BZ24 CB24">
    <cfRule type="expression" dxfId="83" priority="230">
      <formula>OR(IF(BZ24&lt;CA24,TRUE),IF(AND(CA24="",BZ24&lt;&gt;""),TRUE))</formula>
    </cfRule>
    <cfRule type="expression" dxfId="82" priority="231">
      <formula>IF(BZ24&gt;=CA24,IF(BZ24="",FALSE,TRUE))</formula>
    </cfRule>
  </conditionalFormatting>
  <conditionalFormatting sqref="CG24 CI24">
    <cfRule type="expression" dxfId="81" priority="228">
      <formula>OR(IF(CG24&lt;CH24,TRUE),IF(AND(CH24="",CG24&lt;&gt;""),TRUE))</formula>
    </cfRule>
    <cfRule type="expression" dxfId="80" priority="229">
      <formula>IF(CG24&gt;=CH24,IF(CG24="",FALSE,TRUE))</formula>
    </cfRule>
  </conditionalFormatting>
  <conditionalFormatting sqref="CP24">
    <cfRule type="expression" dxfId="79" priority="226">
      <formula>OR(IF(CP24&lt;CQ24,TRUE),IF(AND(CQ24="",CP24&lt;&gt;""),TRUE))</formula>
    </cfRule>
    <cfRule type="expression" dxfId="78" priority="227">
      <formula>IF(CP24&gt;=CQ24,IF(CP24="",FALSE,TRUE))</formula>
    </cfRule>
  </conditionalFormatting>
  <conditionalFormatting sqref="CV24 CX24">
    <cfRule type="expression" dxfId="77" priority="224">
      <formula>OR(IF(CV24&lt;CW24,TRUE),IF(AND(CW24="",CV24&lt;&gt;""),TRUE))</formula>
    </cfRule>
    <cfRule type="expression" dxfId="76" priority="225">
      <formula>IF(CV24&gt;=CW24,IF(CV24="",FALSE,TRUE))</formula>
    </cfRule>
  </conditionalFormatting>
  <conditionalFormatting sqref="DE24 DG24">
    <cfRule type="expression" dxfId="75" priority="222">
      <formula>OR(IF(DE24&lt;DF24,TRUE),IF(AND(DF24="",DE24&lt;&gt;""),TRUE))</formula>
    </cfRule>
    <cfRule type="expression" dxfId="74" priority="223">
      <formula>IF(DE24&gt;=DF24,IF(DE24="",FALSE,TRUE))</formula>
    </cfRule>
  </conditionalFormatting>
  <conditionalFormatting sqref="DN24 DP24">
    <cfRule type="expression" dxfId="73" priority="220">
      <formula>OR(IF(DN24&lt;DO24,TRUE),IF(AND(DO24="",DN24&lt;&gt;""),TRUE))</formula>
    </cfRule>
    <cfRule type="expression" dxfId="72" priority="221">
      <formula>IF(DN24&gt;=DO24,IF(DN24="",FALSE,TRUE))</formula>
    </cfRule>
  </conditionalFormatting>
  <conditionalFormatting sqref="DW24 DY24">
    <cfRule type="expression" dxfId="71" priority="218">
      <formula>OR(IF(DW24&lt;DX24,TRUE),IF(AND(DX24="",DW24&lt;&gt;""),TRUE))</formula>
    </cfRule>
    <cfRule type="expression" dxfId="70" priority="219">
      <formula>IF(DW24&gt;=DX24,IF(DW24="",FALSE,TRUE))</formula>
    </cfRule>
  </conditionalFormatting>
  <conditionalFormatting sqref="EF24 EH24">
    <cfRule type="expression" dxfId="69" priority="216">
      <formula>OR(IF(EF24&lt;EG24,TRUE),IF(AND(EG24="",EF24&lt;&gt;""),TRUE))</formula>
    </cfRule>
    <cfRule type="expression" dxfId="68" priority="217">
      <formula>IF(EF24&gt;=EG24,IF(EF24="",FALSE,TRUE))</formula>
    </cfRule>
  </conditionalFormatting>
  <conditionalFormatting sqref="EO24 EQ24">
    <cfRule type="expression" dxfId="67" priority="214">
      <formula>OR(IF(EO24&lt;EP24,TRUE),IF(AND(EP24="",EO24&lt;&gt;""),TRUE))</formula>
    </cfRule>
    <cfRule type="expression" dxfId="66" priority="215">
      <formula>IF(EO24&gt;=EP24,IF(EO24="",FALSE,TRUE))</formula>
    </cfRule>
  </conditionalFormatting>
  <conditionalFormatting sqref="EX24 EZ24">
    <cfRule type="expression" dxfId="65" priority="212">
      <formula>OR(IF(EX24&lt;EY24,TRUE),IF(AND(EY24="",EX24&lt;&gt;""),TRUE))</formula>
    </cfRule>
    <cfRule type="expression" dxfId="64" priority="213">
      <formula>IF(EX24&gt;=EY24,IF(EX24="",FALSE,TRUE))</formula>
    </cfRule>
  </conditionalFormatting>
  <conditionalFormatting sqref="FG24 FI24">
    <cfRule type="expression" dxfId="63" priority="210">
      <formula>OR(IF(FG24&lt;FH24,TRUE),IF(AND(FH24="",FG24&lt;&gt;""),TRUE))</formula>
    </cfRule>
    <cfRule type="expression" dxfId="62" priority="211">
      <formula>IF(FG24&gt;=FH24,IF(FG24="",FALSE,TRUE))</formula>
    </cfRule>
  </conditionalFormatting>
  <conditionalFormatting sqref="FP24 FR24">
    <cfRule type="expression" dxfId="61" priority="208">
      <formula>OR(IF(FP24&lt;FQ24,TRUE),IF(AND(FQ24="",FP24&lt;&gt;""),TRUE))</formula>
    </cfRule>
    <cfRule type="expression" dxfId="60" priority="209">
      <formula>IF(FP24&gt;=FQ24,IF(FP24="",FALSE,TRUE))</formula>
    </cfRule>
  </conditionalFormatting>
  <conditionalFormatting sqref="CN24">
    <cfRule type="expression" dxfId="59" priority="206">
      <formula>OR(IF(CN24&lt;CO24,TRUE),IF(AND(CO24="",CN24&lt;&gt;""),TRUE))</formula>
    </cfRule>
    <cfRule type="expression" dxfId="58" priority="207">
      <formula>IF(CN24&gt;=CO24,IF(CN24="",FALSE,TRUE))</formula>
    </cfRule>
  </conditionalFormatting>
  <conditionalFormatting sqref="AC25 AE25">
    <cfRule type="expression" dxfId="57" priority="196">
      <formula>OR(IF(AC25&lt;AD25,TRUE),IF(AND(AD25="",AC25&lt;&gt;""),TRUE))</formula>
    </cfRule>
    <cfRule type="expression" dxfId="56" priority="197">
      <formula>IF(AC25&gt;=AD25,IF(AC25="",FALSE,TRUE))</formula>
    </cfRule>
  </conditionalFormatting>
  <conditionalFormatting sqref="AQ25 AS25">
    <cfRule type="expression" dxfId="55" priority="192">
      <formula>OR(IF(AQ25&lt;AR25,TRUE),IF(AND(AR25="",AQ25&lt;&gt;""),TRUE))</formula>
    </cfRule>
    <cfRule type="expression" dxfId="54" priority="193">
      <formula>IF(AQ25&gt;=AR25,IF(AQ25="",FALSE,TRUE))</formula>
    </cfRule>
  </conditionalFormatting>
  <conditionalFormatting sqref="O25 Q25">
    <cfRule type="expression" dxfId="53" priority="200">
      <formula>OR(IF(O25&lt;P25,TRUE),IF(AND(P25="",O25&lt;&gt;""),TRUE))</formula>
    </cfRule>
    <cfRule type="expression" dxfId="52" priority="201">
      <formula>IF(O25&gt;=P25,IF(O25="",FALSE,TRUE))</formula>
    </cfRule>
  </conditionalFormatting>
  <conditionalFormatting sqref="V25 X25">
    <cfRule type="expression" dxfId="51" priority="198">
      <formula>OR(IF(V25&lt;W25,TRUE),IF(AND(W25="",V25&lt;&gt;""),TRUE))</formula>
    </cfRule>
    <cfRule type="expression" dxfId="50" priority="199">
      <formula>IF(V25&gt;=W25,IF(V25="",FALSE,TRUE))</formula>
    </cfRule>
  </conditionalFormatting>
  <conditionalFormatting sqref="AJ25 AL25">
    <cfRule type="expression" dxfId="49" priority="194">
      <formula>OR(IF(AJ25&lt;AK25,TRUE),IF(AND(AK25="",AJ25&lt;&gt;""),TRUE))</formula>
    </cfRule>
    <cfRule type="expression" dxfId="48" priority="195">
      <formula>IF(AJ25&gt;=AK25,IF(AJ25="",FALSE,TRUE))</formula>
    </cfRule>
  </conditionalFormatting>
  <conditionalFormatting sqref="J25:K25">
    <cfRule type="colorScale" priority="191">
      <colorScale>
        <cfvo type="percent" val="0"/>
        <cfvo type="percent" val="100"/>
        <color rgb="FFFF231B"/>
        <color rgb="FF10FF07"/>
      </colorScale>
    </cfRule>
  </conditionalFormatting>
  <conditionalFormatting sqref="J25">
    <cfRule type="colorScale" priority="190">
      <colorScale>
        <cfvo type="percent" val="0"/>
        <cfvo type="percent" val="100"/>
        <color rgb="FFFF231B"/>
        <color rgb="FF10FF07"/>
      </colorScale>
    </cfRule>
  </conditionalFormatting>
  <conditionalFormatting sqref="K25">
    <cfRule type="colorScale" priority="189">
      <colorScale>
        <cfvo type="percent" val="0"/>
        <cfvo type="percent" val="100"/>
        <color rgb="FFFF231B"/>
        <color rgb="FF10FF07"/>
      </colorScale>
    </cfRule>
  </conditionalFormatting>
  <conditionalFormatting sqref="AX25 AZ25">
    <cfRule type="expression" dxfId="47" priority="187">
      <formula>OR(IF(AX25&lt;AY25,TRUE),IF(AND(AY25="",AX25&lt;&gt;""),TRUE))</formula>
    </cfRule>
    <cfRule type="expression" dxfId="46" priority="188">
      <formula>IF(AX25&gt;=AY25,IF(AX25="",FALSE,TRUE))</formula>
    </cfRule>
  </conditionalFormatting>
  <conditionalFormatting sqref="BE25 BG25">
    <cfRule type="expression" dxfId="45" priority="185">
      <formula>OR(IF(BE25&lt;BF25,TRUE),IF(AND(BF25="",BE25&lt;&gt;""),TRUE))</formula>
    </cfRule>
    <cfRule type="expression" dxfId="44" priority="186">
      <formula>IF(BE25&gt;=BF25,IF(BE25="",FALSE,TRUE))</formula>
    </cfRule>
  </conditionalFormatting>
  <conditionalFormatting sqref="BL25 BN25">
    <cfRule type="expression" dxfId="43" priority="183">
      <formula>OR(IF(BL25&lt;BM25,TRUE),IF(AND(BM25="",BL25&lt;&gt;""),TRUE))</formula>
    </cfRule>
    <cfRule type="expression" dxfId="42" priority="184">
      <formula>IF(BL25&gt;=BM25,IF(BL25="",FALSE,TRUE))</formula>
    </cfRule>
  </conditionalFormatting>
  <conditionalFormatting sqref="BS25 BU25">
    <cfRule type="expression" dxfId="41" priority="181">
      <formula>OR(IF(BS25&lt;BT25,TRUE),IF(AND(BT25="",BS25&lt;&gt;""),TRUE))</formula>
    </cfRule>
    <cfRule type="expression" dxfId="40" priority="182">
      <formula>IF(BS25&gt;=BT25,IF(BS25="",FALSE,TRUE))</formula>
    </cfRule>
  </conditionalFormatting>
  <conditionalFormatting sqref="BZ25 CB25">
    <cfRule type="expression" dxfId="39" priority="179">
      <formula>OR(IF(BZ25&lt;CA25,TRUE),IF(AND(CA25="",BZ25&lt;&gt;""),TRUE))</formula>
    </cfRule>
    <cfRule type="expression" dxfId="38" priority="180">
      <formula>IF(BZ25&gt;=CA25,IF(BZ25="",FALSE,TRUE))</formula>
    </cfRule>
  </conditionalFormatting>
  <conditionalFormatting sqref="CG25 CI25">
    <cfRule type="expression" dxfId="37" priority="177">
      <formula>OR(IF(CG25&lt;CH25,TRUE),IF(AND(CH25="",CG25&lt;&gt;""),TRUE))</formula>
    </cfRule>
    <cfRule type="expression" dxfId="36" priority="178">
      <formula>IF(CG25&gt;=CH25,IF(CG25="",FALSE,TRUE))</formula>
    </cfRule>
  </conditionalFormatting>
  <conditionalFormatting sqref="CP25">
    <cfRule type="expression" dxfId="35" priority="175">
      <formula>OR(IF(CP25&lt;CQ25,TRUE),IF(AND(CQ25="",CP25&lt;&gt;""),TRUE))</formula>
    </cfRule>
    <cfRule type="expression" dxfId="34" priority="176">
      <formula>IF(CP25&gt;=CQ25,IF(CP25="",FALSE,TRUE))</formula>
    </cfRule>
  </conditionalFormatting>
  <conditionalFormatting sqref="CV25 CX25">
    <cfRule type="expression" dxfId="33" priority="173">
      <formula>OR(IF(CV25&lt;CW25,TRUE),IF(AND(CW25="",CV25&lt;&gt;""),TRUE))</formula>
    </cfRule>
    <cfRule type="expression" dxfId="32" priority="174">
      <formula>IF(CV25&gt;=CW25,IF(CV25="",FALSE,TRUE))</formula>
    </cfRule>
  </conditionalFormatting>
  <conditionalFormatting sqref="DE25 DG25">
    <cfRule type="expression" dxfId="31" priority="171">
      <formula>OR(IF(DE25&lt;DF25,TRUE),IF(AND(DF25="",DE25&lt;&gt;""),TRUE))</formula>
    </cfRule>
    <cfRule type="expression" dxfId="30" priority="172">
      <formula>IF(DE25&gt;=DF25,IF(DE25="",FALSE,TRUE))</formula>
    </cfRule>
  </conditionalFormatting>
  <conditionalFormatting sqref="DN25 DP25">
    <cfRule type="expression" dxfId="29" priority="169">
      <formula>OR(IF(DN25&lt;DO25,TRUE),IF(AND(DO25="",DN25&lt;&gt;""),TRUE))</formula>
    </cfRule>
    <cfRule type="expression" dxfId="28" priority="170">
      <formula>IF(DN25&gt;=DO25,IF(DN25="",FALSE,TRUE))</formula>
    </cfRule>
  </conditionalFormatting>
  <conditionalFormatting sqref="DW25 DY25">
    <cfRule type="expression" dxfId="27" priority="167">
      <formula>OR(IF(DW25&lt;DX25,TRUE),IF(AND(DX25="",DW25&lt;&gt;""),TRUE))</formula>
    </cfRule>
    <cfRule type="expression" dxfId="26" priority="168">
      <formula>IF(DW25&gt;=DX25,IF(DW25="",FALSE,TRUE))</formula>
    </cfRule>
  </conditionalFormatting>
  <conditionalFormatting sqref="EF25 EH25">
    <cfRule type="expression" dxfId="25" priority="165">
      <formula>OR(IF(EF25&lt;EG25,TRUE),IF(AND(EG25="",EF25&lt;&gt;""),TRUE))</formula>
    </cfRule>
    <cfRule type="expression" dxfId="24" priority="166">
      <formula>IF(EF25&gt;=EG25,IF(EF25="",FALSE,TRUE))</formula>
    </cfRule>
  </conditionalFormatting>
  <conditionalFormatting sqref="EO25 EQ25">
    <cfRule type="expression" dxfId="23" priority="163">
      <formula>OR(IF(EO25&lt;EP25,TRUE),IF(AND(EP25="",EO25&lt;&gt;""),TRUE))</formula>
    </cfRule>
    <cfRule type="expression" dxfId="22" priority="164">
      <formula>IF(EO25&gt;=EP25,IF(EO25="",FALSE,TRUE))</formula>
    </cfRule>
  </conditionalFormatting>
  <conditionalFormatting sqref="EX25 EZ25">
    <cfRule type="expression" dxfId="21" priority="161">
      <formula>OR(IF(EX25&lt;EY25,TRUE),IF(AND(EY25="",EX25&lt;&gt;""),TRUE))</formula>
    </cfRule>
    <cfRule type="expression" dxfId="20" priority="162">
      <formula>IF(EX25&gt;=EY25,IF(EX25="",FALSE,TRUE))</formula>
    </cfRule>
  </conditionalFormatting>
  <conditionalFormatting sqref="FG25 FI25">
    <cfRule type="expression" dxfId="19" priority="159">
      <formula>OR(IF(FG25&lt;FH25,TRUE),IF(AND(FH25="",FG25&lt;&gt;""),TRUE))</formula>
    </cfRule>
    <cfRule type="expression" dxfId="18" priority="160">
      <formula>IF(FG25&gt;=FH25,IF(FG25="",FALSE,TRUE))</formula>
    </cfRule>
  </conditionalFormatting>
  <conditionalFormatting sqref="FP25 FR25">
    <cfRule type="expression" dxfId="17" priority="157">
      <formula>OR(IF(FP25&lt;FQ25,TRUE),IF(AND(FQ25="",FP25&lt;&gt;""),TRUE))</formula>
    </cfRule>
    <cfRule type="expression" dxfId="16" priority="158">
      <formula>IF(FP25&gt;=FQ25,IF(FP25="",FALSE,TRUE))</formula>
    </cfRule>
  </conditionalFormatting>
  <conditionalFormatting sqref="CN25">
    <cfRule type="expression" dxfId="15" priority="155">
      <formula>OR(IF(CN25&lt;CO25,TRUE),IF(AND(CO25="",CN25&lt;&gt;""),TRUE))</formula>
    </cfRule>
    <cfRule type="expression" dxfId="14" priority="156">
      <formula>IF(CN25&gt;=CO25,IF(CN25="",FALSE,TRUE))</formula>
    </cfRule>
  </conditionalFormatting>
  <conditionalFormatting sqref="J30:K35">
    <cfRule type="colorScale" priority="2745">
      <colorScale>
        <cfvo type="percent" val="0"/>
        <cfvo type="percent" val="100"/>
        <color rgb="FFFF231B"/>
        <color rgb="FF10FF07"/>
      </colorScale>
    </cfRule>
  </conditionalFormatting>
  <conditionalFormatting sqref="J40:J45">
    <cfRule type="colorScale" priority="3121">
      <colorScale>
        <cfvo type="percent" val="0"/>
        <cfvo type="percent" val="100"/>
        <color rgb="FFFF231B"/>
        <color rgb="FF10FF07"/>
      </colorScale>
    </cfRule>
  </conditionalFormatting>
  <conditionalFormatting sqref="K40:K45">
    <cfRule type="colorScale" priority="3122">
      <colorScale>
        <cfvo type="percent" val="0"/>
        <cfvo type="percent" val="100"/>
        <color rgb="FFFF231B"/>
        <color rgb="FF10FF07"/>
      </colorScale>
    </cfRule>
  </conditionalFormatting>
  <conditionalFormatting sqref="J42:K45">
    <cfRule type="colorScale" priority="3123">
      <colorScale>
        <cfvo type="percent" val="0"/>
        <cfvo type="percent" val="100"/>
        <color rgb="FFFF231B"/>
        <color rgb="FF10FF07"/>
      </colorScale>
    </cfRule>
  </conditionalFormatting>
  <conditionalFormatting sqref="J47:K47">
    <cfRule type="colorScale" priority="3212">
      <colorScale>
        <cfvo type="percent" val="0"/>
        <cfvo type="percent" val="100"/>
        <color rgb="FFFF231B"/>
        <color rgb="FF10FF07"/>
      </colorScale>
    </cfRule>
  </conditionalFormatting>
  <conditionalFormatting sqref="J47">
    <cfRule type="colorScale" priority="3213">
      <colorScale>
        <cfvo type="percent" val="0"/>
        <cfvo type="percent" val="100"/>
        <color rgb="FFFF231B"/>
        <color rgb="FF10FF07"/>
      </colorScale>
    </cfRule>
  </conditionalFormatting>
  <conditionalFormatting sqref="K47">
    <cfRule type="colorScale" priority="3214">
      <colorScale>
        <cfvo type="percent" val="0"/>
        <cfvo type="percent" val="100"/>
        <color rgb="FFFF231B"/>
        <color rgb="FF10FF07"/>
      </colorScale>
    </cfRule>
  </conditionalFormatting>
  <conditionalFormatting sqref="AZ36">
    <cfRule type="expression" dxfId="13" priority="3217">
      <formula>OR(IF(AZ36&lt;BA35,TRUE),IF(AND(BA35="",AZ36&lt;&gt;""),TRUE))</formula>
    </cfRule>
    <cfRule type="expression" dxfId="12" priority="3218">
      <formula>IF(AZ36&gt;=BA35,IF(AZ36="",FALSE,TRUE))</formula>
    </cfRule>
  </conditionalFormatting>
  <conditionalFormatting sqref="J29:J38">
    <cfRule type="colorScale" priority="3727">
      <colorScale>
        <cfvo type="percent" val="0"/>
        <cfvo type="percent" val="100"/>
        <color rgb="FFFF231B"/>
        <color rgb="FF10FF07"/>
      </colorScale>
    </cfRule>
  </conditionalFormatting>
  <conditionalFormatting sqref="K29:K38">
    <cfRule type="colorScale" priority="3729">
      <colorScale>
        <cfvo type="percent" val="0"/>
        <cfvo type="percent" val="100"/>
        <color rgb="FFFF231B"/>
        <color rgb="FF10FF07"/>
      </colorScale>
    </cfRule>
  </conditionalFormatting>
  <conditionalFormatting sqref="J36:K38">
    <cfRule type="colorScale" priority="3731">
      <colorScale>
        <cfvo type="percent" val="0"/>
        <cfvo type="percent" val="100"/>
        <color rgb="FFFF231B"/>
        <color rgb="FF10FF07"/>
      </colorScale>
    </cfRule>
  </conditionalFormatting>
  <dataValidations count="1">
    <dataValidation type="list" allowBlank="1" showInputMessage="1" showErrorMessage="1" sqref="DZ19 DN5:DQ18 DW5:DZ18 CN5:CQ18 DE20:DH25 FP5:FS18 FG5:FJ18 EX5:FA18 EO5:ER18 EF5:EI18 CV20:CY25 CN20:CQ25 BZ20:CC25 BS20:BV25 BE20:BH25 BL20:BO25 AX20:BA25 AQ20:AT25 AJ20:AM25 AJ5:AM18 V20:Y25 O5:R18 DW40:DY45 BE5:BH18 AQ5:AT18 AX5:BA18 AC29:AF38 V5:Y18 V40:Y45 BL5:BO18 BS5:BV18 BZ5:CC18 CG40:CJ45 EF40:EI45 EO40:ER45 EX40:FA45 FG40:FJ45 FP40:FS45 DE5:DH18 CV5:CY18 DP40:DP45 DN40:DN45 DE40:DH45 BL40:BO45 BS40:BV45 BZ40:CC45 CG20:CJ25 CN40:CQ45 CV40:CY45 CV47:CY47 DX46 DW20:DZ25 O40:R45 AC20:AF25 V29:Y38 AJ29:AM38 AQ29:AT38 AJ40:AM45 CG5:CJ18 BE40:BH45 DP20:DP25 EF20:EI25 EO20:ER25 EX20:FA25 FG20:FJ25 FP20:FS25 DN20:DN25 DF46 BS47:BV47 FP47:FS47 FG47:FJ47 EX47:FA47 EO47:ER47 EF47:EI47 CN47:CQ47 CG47:CJ47 BZ47:CC47 BL47:BO47 BE47:BH47 V47:Y47 O47:R47 AC47:AF47 AQ47:AT47 AJ47:AM47 AX47:BA47 DW47:DZ47 DN47:DQ47 DE47:DH47 AX40:BA45 AZ36:BA36 BA37:BA38 AX29:BA35 CG29:CJ38 AX36:AY38 DZ26:DZ46 DO19:DO46 DQ19:DQ46 DE29:DH38 CV29:CY38 CN29:CQ38 BZ29:CC38 BS29:BV38 BE29:BH38 DN29:DN38 DW29:DY38 FP29:FS38 FG29:FJ38 EX29:FA38 EO29:ER38 EF29:EI38 DP29:DP38 AQ40:AT45 BL29:BO38 O29:R38 AC40:AF45 AC5:AF18 O20:R25"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7"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2" sqref="D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43</v>
      </c>
      <c r="B1" s="15" t="s">
        <v>40</v>
      </c>
      <c r="C1" s="15" t="s">
        <v>41</v>
      </c>
      <c r="D1" s="15" t="s">
        <v>42</v>
      </c>
      <c r="E1" s="1" t="s">
        <v>44</v>
      </c>
      <c r="F1" s="1" t="s">
        <v>45</v>
      </c>
      <c r="G1" s="1" t="s">
        <v>46</v>
      </c>
      <c r="H1" s="1" t="s">
        <v>47</v>
      </c>
      <c r="I1" s="1" t="s">
        <v>48</v>
      </c>
      <c r="J1" s="1" t="s">
        <v>49</v>
      </c>
      <c r="K1" s="1" t="s">
        <v>50</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15" sqref="B15"/>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ANLEITUNG</vt:lpstr>
      <vt:lpstr>Semesterplan</vt:lpstr>
      <vt:lpstr>Best-Practices</vt:lpstr>
      <vt:lpstr>COMMITTMENT</vt:lpstr>
      <vt:lpstr>Wochenplan KW 36</vt:lpstr>
      <vt:lpstr>Wochenplan KW 37</vt:lpstr>
      <vt:lpstr>Semesterplan!il_mhead_t_focus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2023-09-08T15:45:28Z</dcterms:modified>
</cp:coreProperties>
</file>