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kitrujankokilanathan/Desktop/TU Berlin /"/>
    </mc:Choice>
  </mc:AlternateContent>
  <xr:revisionPtr revIDLastSave="0" documentId="13_ncr:1_{F2FD590A-0599-B545-8D1C-3682366E5645}" xr6:coauthVersionLast="47" xr6:coauthVersionMax="47" xr10:uidLastSave="{00000000-0000-0000-0000-000000000000}"/>
  <bookViews>
    <workbookView xWindow="-38400" yWindow="-3600" windowWidth="38400" windowHeight="216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5" i="7" l="1" a="1"/>
  <c r="J25" i="7" s="1"/>
  <c r="J26" i="7" a="1"/>
  <c r="J26" i="7" s="1"/>
  <c r="J27" i="7" a="1"/>
  <c r="J27" i="7" s="1"/>
  <c r="J28" i="7" a="1"/>
  <c r="J28" i="7" s="1"/>
  <c r="J29" i="7" a="1"/>
  <c r="J29" i="7" s="1"/>
  <c r="J30" i="7" a="1"/>
  <c r="J30" i="7" s="1"/>
  <c r="K25" i="7" a="1"/>
  <c r="K25" i="7" s="1"/>
  <c r="K26" i="7" a="1"/>
  <c r="K26" i="7" s="1"/>
  <c r="K27" i="7" a="1"/>
  <c r="K27" i="7" s="1"/>
  <c r="K28" i="7" a="1"/>
  <c r="K28" i="7" s="1"/>
  <c r="K29" i="7" a="1"/>
  <c r="K29" i="7" s="1"/>
  <c r="K30" i="7" a="1"/>
  <c r="K30" i="7" s="1"/>
  <c r="K63" i="7" a="1"/>
  <c r="K63" i="7" s="1"/>
  <c r="K64" i="7" a="1"/>
  <c r="K64" i="7" s="1"/>
  <c r="K65" i="7" a="1"/>
  <c r="K65" i="7" s="1"/>
  <c r="K66" i="7" a="1"/>
  <c r="K66" i="7" s="1"/>
  <c r="K67" i="7" a="1"/>
  <c r="K67" i="7" s="1"/>
  <c r="K68" i="7" a="1"/>
  <c r="K68" i="7" s="1"/>
  <c r="J63" i="7" a="1"/>
  <c r="J63" i="7" s="1"/>
  <c r="J64" i="7" a="1"/>
  <c r="J64" i="7" s="1"/>
  <c r="J65" i="7" a="1"/>
  <c r="J65" i="7" s="1"/>
  <c r="J66" i="7" a="1"/>
  <c r="J66" i="7" s="1"/>
  <c r="J67" i="7" a="1"/>
  <c r="J67" i="7" s="1"/>
  <c r="J68" i="7" a="1"/>
  <c r="J68" i="7" s="1"/>
  <c r="K10" i="7" a="1"/>
  <c r="K10" i="7" s="1"/>
  <c r="K11" i="7" a="1"/>
  <c r="K11" i="7" s="1"/>
  <c r="K12" i="7" a="1"/>
  <c r="K12" i="7" s="1"/>
  <c r="K13" i="7" a="1"/>
  <c r="K13" i="7" s="1"/>
  <c r="K14" i="7" a="1"/>
  <c r="K14" i="7" s="1"/>
  <c r="K15" i="7" a="1"/>
  <c r="K15" i="7" s="1"/>
  <c r="J10" i="7" a="1"/>
  <c r="J10" i="7" s="1"/>
  <c r="J11" i="7" a="1"/>
  <c r="J11" i="7" s="1"/>
  <c r="J12" i="7" a="1"/>
  <c r="J12" i="7" s="1"/>
  <c r="J13" i="7" a="1"/>
  <c r="J13" i="7" s="1"/>
  <c r="J14" i="7" a="1"/>
  <c r="J14" i="7" s="1"/>
  <c r="J15" i="7" a="1"/>
  <c r="J15" i="7" s="1"/>
  <c r="J46" i="7" a="1"/>
  <c r="J46" i="7" s="1"/>
  <c r="J47" i="7" a="1"/>
  <c r="J47" i="7" s="1"/>
  <c r="J48" i="7" a="1"/>
  <c r="J48" i="7" s="1"/>
  <c r="J49" i="7" a="1"/>
  <c r="J49" i="7" s="1"/>
  <c r="J50" i="7" a="1"/>
  <c r="J50" i="7" s="1"/>
  <c r="K46" i="7" a="1"/>
  <c r="K46" i="7" s="1"/>
  <c r="K47" i="7" a="1"/>
  <c r="K47" i="7" s="1"/>
  <c r="K48" i="7" a="1"/>
  <c r="K48" i="7" s="1"/>
  <c r="K49" i="7" a="1"/>
  <c r="K49" i="7" s="1"/>
  <c r="K50" i="7" a="1"/>
  <c r="K50" i="7" s="1"/>
  <c r="K51" i="7" a="1"/>
  <c r="K51" i="7" s="1"/>
  <c r="C11" i="10"/>
  <c r="DH4" i="7"/>
  <c r="K94" i="7" a="1"/>
  <c r="K94" i="7" s="1"/>
  <c r="J94" i="7" a="1"/>
  <c r="J94" i="7" s="1"/>
  <c r="I94" i="7"/>
  <c r="K93" i="7" a="1"/>
  <c r="K93" i="7" s="1"/>
  <c r="J93" i="7" a="1"/>
  <c r="J93" i="7" s="1"/>
  <c r="I93" i="7"/>
  <c r="K92" i="7" a="1"/>
  <c r="K92" i="7" s="1"/>
  <c r="J92" i="7" a="1"/>
  <c r="J92" i="7" s="1"/>
  <c r="I92" i="7"/>
  <c r="K91" i="7" a="1"/>
  <c r="K91" i="7" s="1"/>
  <c r="J91" i="7" a="1"/>
  <c r="J91" i="7" s="1"/>
  <c r="I91" i="7"/>
  <c r="K90" i="7" a="1"/>
  <c r="K90" i="7" s="1"/>
  <c r="J90" i="7" a="1"/>
  <c r="J90" i="7" s="1"/>
  <c r="I90" i="7"/>
  <c r="K89" i="7" a="1"/>
  <c r="K89" i="7" s="1"/>
  <c r="J89" i="7" a="1"/>
  <c r="J89" i="7" s="1"/>
  <c r="I89" i="7"/>
  <c r="K88" i="7" a="1"/>
  <c r="K88" i="7" s="1"/>
  <c r="J88" i="7" a="1"/>
  <c r="J88" i="7" s="1"/>
  <c r="I88" i="7"/>
  <c r="K87" i="7" a="1"/>
  <c r="K87" i="7" s="1"/>
  <c r="J87" i="7" a="1"/>
  <c r="J87" i="7" s="1"/>
  <c r="I87" i="7"/>
  <c r="K86" i="7" a="1"/>
  <c r="K86" i="7" s="1"/>
  <c r="J86" i="7" a="1"/>
  <c r="J86" i="7" s="1"/>
  <c r="I86" i="7"/>
  <c r="K85" i="7" a="1"/>
  <c r="K85" i="7" s="1"/>
  <c r="J85" i="7" a="1"/>
  <c r="J85" i="7" s="1"/>
  <c r="I85" i="7"/>
  <c r="K84" i="7" a="1"/>
  <c r="K84" i="7" s="1"/>
  <c r="J84" i="7" a="1"/>
  <c r="J84" i="7" s="1"/>
  <c r="I84" i="7"/>
  <c r="K81" i="7" a="1"/>
  <c r="K81" i="7" s="1"/>
  <c r="J81" i="7" a="1"/>
  <c r="J81" i="7" s="1"/>
  <c r="I81" i="7"/>
  <c r="K80" i="7" a="1"/>
  <c r="K80" i="7" s="1"/>
  <c r="J80" i="7" a="1"/>
  <c r="J80" i="7" s="1"/>
  <c r="I80" i="7"/>
  <c r="K79" i="7" a="1"/>
  <c r="K79" i="7" s="1"/>
  <c r="J79" i="7" a="1"/>
  <c r="J79" i="7" s="1"/>
  <c r="I79" i="7"/>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DA4" i="7"/>
  <c r="CT4" i="7"/>
  <c r="CM4" i="7"/>
  <c r="CF4" i="7"/>
  <c r="BY4" i="7"/>
  <c r="K20" i="7" a="1"/>
  <c r="K20" i="7" s="1"/>
  <c r="J20" i="7" a="1"/>
  <c r="J20" i="7" s="1"/>
  <c r="I20" i="7"/>
  <c r="K19" i="7" a="1"/>
  <c r="K19" i="7" s="1"/>
  <c r="J19" i="7" a="1"/>
  <c r="J19" i="7" s="1"/>
  <c r="I19" i="7"/>
  <c r="I68"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J51" i="7" a="1"/>
  <c r="J51" i="7" s="1"/>
  <c r="I51"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BK4" i="7"/>
  <c r="C12" i="10"/>
  <c r="K24" i="7" a="1"/>
  <c r="K24" i="7" s="1"/>
  <c r="J24" i="7" a="1"/>
  <c r="J24" i="7" s="1"/>
  <c r="K23" i="7" a="1"/>
  <c r="K23" i="7" s="1"/>
  <c r="J23" i="7" a="1"/>
  <c r="J23" i="7" s="1"/>
  <c r="K22" i="7" a="1"/>
  <c r="K22" i="7" s="1"/>
  <c r="J22" i="7" a="1"/>
  <c r="J22" i="7" s="1"/>
  <c r="K21" i="7" a="1"/>
  <c r="K21" i="7" s="1"/>
  <c r="J21" i="7" a="1"/>
  <c r="J21" i="7" s="1"/>
  <c r="K18" i="7" a="1"/>
  <c r="K18" i="7" s="1"/>
  <c r="J18" i="7" a="1"/>
  <c r="J18" i="7" s="1"/>
  <c r="K37" i="7" a="1"/>
  <c r="K37" i="7" s="1"/>
  <c r="J37" i="7" a="1"/>
  <c r="J37" i="7" s="1"/>
  <c r="K36" i="7" a="1"/>
  <c r="K36" i="7" s="1"/>
  <c r="J36" i="7" a="1"/>
  <c r="J36" i="7" s="1"/>
  <c r="K35" i="7" a="1"/>
  <c r="K35" i="7" s="1"/>
  <c r="J35" i="7" a="1"/>
  <c r="J35" i="7" s="1"/>
  <c r="K34" i="7" a="1"/>
  <c r="K34" i="7" s="1"/>
  <c r="J34" i="7" a="1"/>
  <c r="J34" i="7" s="1"/>
  <c r="K33" i="7" a="1"/>
  <c r="K33" i="7" s="1"/>
  <c r="J33" i="7" a="1"/>
  <c r="J33"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U4" i="7"/>
  <c r="I37" i="7"/>
  <c r="I36" i="7"/>
  <c r="I35" i="7"/>
  <c r="I34" i="7"/>
  <c r="I33" i="7"/>
  <c r="I30" i="7"/>
  <c r="I24" i="7"/>
  <c r="I23" i="7"/>
  <c r="I22" i="7"/>
  <c r="I21" i="7"/>
  <c r="I18" i="7"/>
  <c r="I6" i="7"/>
  <c r="I7" i="7"/>
  <c r="I8" i="7"/>
  <c r="I9" i="7"/>
  <c r="I15" i="7"/>
  <c r="I5" i="7"/>
  <c r="I83" i="7" l="1"/>
  <c r="I70" i="7"/>
  <c r="J83" i="7"/>
  <c r="K83" i="7"/>
  <c r="J70" i="7"/>
  <c r="K70" i="7"/>
  <c r="I53" i="7"/>
  <c r="I39" i="7"/>
  <c r="J53" i="7"/>
  <c r="K53" i="7"/>
  <c r="K39" i="7"/>
  <c r="J39" i="7"/>
  <c r="I32" i="7"/>
  <c r="J32" i="7"/>
  <c r="K32" i="7"/>
  <c r="I17" i="7"/>
  <c r="J17" i="7"/>
  <c r="K17" i="7"/>
  <c r="K4" i="7"/>
  <c r="I4" i="7" l="1"/>
  <c r="J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<sst xmlns="http://schemas.openxmlformats.org/spreadsheetml/2006/main" count="439" uniqueCount="175">
  <si>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</si>
  <si>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</si>
  <si>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</si>
  <si>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</si>
  <si>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</si>
  <si>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</si>
  <si>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</si>
  <si>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</si>
  <si>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</si>
  <si>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</si>
  <si>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</si>
  <si>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</si>
  <si>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</si>
  <si>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</si>
  <si>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</si>
  <si>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</si>
  <si>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</si>
  <si>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</si>
  <si>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</si>
  <si>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</si>
  <si>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</si>
  <si>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</si>
  <si>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</si>
  <si>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</si>
  <si>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</si>
  <si>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</si>
  <si>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</si>
  <si>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</si>
  <si>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</si>
  <si>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</si>
  <si>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</si>
  <si>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</si>
  <si>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</si>
  <si>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</si>
  <si>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</si>
  <si>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</si>
  <si>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</si>
  <si>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</si>
  <si>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</si>
  <si>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</si>
  <si>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</si>
  <si>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</si>
  <si>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</si>
  <si>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</si>
  <si>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</si>
  <si>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</si>
  <si>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</si>
  <si>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</si>
  <si>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</si>
  <si>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</si>
  <si>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</si>
  <si>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</si>
  <si>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</si>
  <si>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</si>
  <si>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</si>
  <si>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</si>
  <si>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</si>
  <si>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</si>
  <si>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</si>
  <si>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</si>
  <si>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</si>
  <si>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</si>
  <si>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</si>
  <si>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</si>
  <si>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</si>
  <si>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</si>
  <si>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</si>
  <si>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</si>
  <si>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</si>
  <si>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</si>
  <si>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</si>
  <si>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</si>
  <si>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</si>
  <si>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</si>
  <si>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</si>
  <si>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</si>
  <si>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</si>
  <si>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</si>
  <si>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</si>
  <si>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</si>
  <si>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</si>
  <si>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</si>
  <si>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</si>
  <si>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</si>
  <si>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</si>
  <si>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</si>
  <si>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</si>
  <si>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</si>
  <si>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Python für Ingenieure</t>
  </si>
  <si>
    <t>1) Gruppenfindung, Jupyter, Variablen &amp; Datentypen</t>
  </si>
  <si>
    <t>2) Kontrollstrukturen (Schleifen, Verzweigungen)</t>
  </si>
  <si>
    <t>3) Funktionen</t>
  </si>
  <si>
    <t>4) Funktionen und Listen</t>
  </si>
  <si>
    <t>5) Module</t>
  </si>
  <si>
    <t>6) NumPy</t>
  </si>
  <si>
    <t>7) Dateien</t>
  </si>
  <si>
    <t>8) Matplotlib</t>
  </si>
  <si>
    <t>9) Dynamische Plots</t>
  </si>
  <si>
    <t>10) Objekte</t>
  </si>
  <si>
    <t>11) Rechneraufbau</t>
  </si>
  <si>
    <t>Take Home Exam</t>
  </si>
  <si>
    <t>oder 26.09.23</t>
  </si>
  <si>
    <t>Produktionstechnik II</t>
  </si>
  <si>
    <t>1) Einführungsveranstaltung + Fertigungsystematik</t>
  </si>
  <si>
    <t>2) Urformen</t>
  </si>
  <si>
    <t>3) Umformen</t>
  </si>
  <si>
    <t>4) Trennen I</t>
  </si>
  <si>
    <t>5) Trennen II</t>
  </si>
  <si>
    <t>6) Trennen III</t>
  </si>
  <si>
    <t>7) Fügen</t>
  </si>
  <si>
    <t>8) Beschichten</t>
  </si>
  <si>
    <t>9) Wärmebehandeln</t>
  </si>
  <si>
    <t>10) Fertigungsprozessketten</t>
  </si>
  <si>
    <t>11) Montage</t>
  </si>
  <si>
    <t>12) Kreislaufwirtschaft</t>
  </si>
  <si>
    <t>13) Industrie 4.0</t>
  </si>
  <si>
    <t>Gesundheitsökonomie I</t>
  </si>
  <si>
    <t>oder 27.09.23</t>
  </si>
  <si>
    <t>2) Empirische Relevanz des Gesundheitssektors</t>
  </si>
  <si>
    <t>3) Grundlegende Problemstellung</t>
  </si>
  <si>
    <t>4) Klassifikation der Gesundheitsökonomik</t>
  </si>
  <si>
    <t>5) Gliederung</t>
  </si>
  <si>
    <t>Fabrikbetrieb II</t>
  </si>
  <si>
    <t>oder 09.10.23</t>
  </si>
  <si>
    <t>1) Introduction</t>
  </si>
  <si>
    <t>2) Value Creation Module/ Sustainable Manufacturing</t>
  </si>
  <si>
    <t>3) Production Networks</t>
  </si>
  <si>
    <t>4) Benchmarking and Best Practice</t>
  </si>
  <si>
    <t>5) Industrial Product-Service Systems</t>
  </si>
  <si>
    <t>6) Knowledge Management in Business Processes</t>
  </si>
  <si>
    <t>7) Factory Planning</t>
  </si>
  <si>
    <t>8) Production Planning and Control 1</t>
  </si>
  <si>
    <t>9) Production Planning and Control 2</t>
  </si>
  <si>
    <t>10) Production Planning and Control 3 - Exam preparation</t>
  </si>
  <si>
    <t>11 Industy 4.0</t>
  </si>
  <si>
    <t>12) Guest Lecture - BMW</t>
  </si>
  <si>
    <t>Psychologie für Ingenieure</t>
  </si>
  <si>
    <t>1) Neuronale Grundlagen + Einführung in die Pfl</t>
  </si>
  <si>
    <t>2) Psychophysik + Theorien &amp; Hypothesen</t>
  </si>
  <si>
    <t>3) Signalentdeckung + Methoden I</t>
  </si>
  <si>
    <t>4) Visuelle Wahrnehmung I + Methoden II</t>
  </si>
  <si>
    <t>5) Visuelle Wahrnehmung II + Lernen I</t>
  </si>
  <si>
    <t>6) Visuelle Wahrnehmung III + Lernen II</t>
  </si>
  <si>
    <t>7) Auditive Wahrnehmung + Lernen III</t>
  </si>
  <si>
    <t>8) Aufmerksamkeit I + Gedächtnis I</t>
  </si>
  <si>
    <t>9) Aufmerksamkeit II + Gedächtnis II</t>
  </si>
  <si>
    <t>10) Aufmerksamkeit III + Gedächtnis III</t>
  </si>
  <si>
    <t>11) Emotionen + Intelligenz</t>
  </si>
  <si>
    <t>12) Motivation + Sprache &amp; Denken</t>
  </si>
  <si>
    <t>13) Mensch soz- Kontext I</t>
  </si>
  <si>
    <t>14) Mensch soz. Kontext II</t>
  </si>
  <si>
    <t>15) Urteilen &amp; Entscheiden</t>
  </si>
  <si>
    <t>Automatisierungstechnik II</t>
  </si>
  <si>
    <t>oder 11.08.23</t>
  </si>
  <si>
    <t>Projekt Fabrikbetrieb</t>
  </si>
  <si>
    <t xml:space="preserve">1) </t>
  </si>
  <si>
    <t>2)</t>
  </si>
  <si>
    <t xml:space="preserve">3) </t>
  </si>
  <si>
    <t xml:space="preserve">2) </t>
  </si>
  <si>
    <t>ca. 21.07.2023</t>
  </si>
  <si>
    <t>01.05.2023 - 07.05.2023</t>
  </si>
  <si>
    <t>08.05.2023-14.05.2023</t>
  </si>
  <si>
    <t>15.05.2023-21.05.2023</t>
  </si>
  <si>
    <t>22.05.2023-28.05.2023</t>
  </si>
  <si>
    <t>29.05.2023-04.06.2023</t>
  </si>
  <si>
    <t>05.06.2023-11.06.2023</t>
  </si>
  <si>
    <t>12.06.2023-18.06.023</t>
  </si>
  <si>
    <t>19.06.2023-25.06.2023</t>
  </si>
  <si>
    <t>26.06.2023-02.07.2023</t>
  </si>
  <si>
    <t>03.07.2023-09.07.2023</t>
  </si>
  <si>
    <t>10.07.2023-16.07.2023</t>
  </si>
  <si>
    <t>17.07.2023-23.07.2023</t>
  </si>
  <si>
    <t>24.07.2023-30.07.2023</t>
  </si>
  <si>
    <t>31.07.2023-06.08.2023</t>
  </si>
  <si>
    <t>07.08.2023-11.08.2023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</si>
</sst>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0" fontId="0" fillId="7" borderId="0" xfId="0" applyFill="1"/>
    <xf numFmtId="9" fontId="0" fillId="7" borderId="0" xfId="0" applyNumberFormat="1" applyFill="1"/>
    <xf numFmtId="0" fontId="0" fillId="0" borderId="0" xfId="0" applyFill="1"/>
    <xf numFmtId="9" fontId="0" fillId="0" borderId="0" xfId="0" applyNumberFormat="1" applyFill="1"/>
    <xf numFmtId="1" fontId="0" fillId="0" borderId="0" xfId="0" applyNumberFormat="1" applyFill="1" applyAlignment="1">
      <alignment horizontal="center"/>
    </xf>
  </cellXfs>
  <cellStyles count="1">
    <cellStyle name="Standard" xfId="0" builtinId="0"/>
  </cellStyles>
  <dxfs count="251">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50">
  <autoFilter ref="A1:K46" xr:uid="{6E266E34-2786-2747-BCE7-51B74867A564}"/>
  <tableColumns count="11">
    <tableColumn id="1" xr3:uid="{95FD92F7-3DC8-704D-A103-A7EDDAB255AB}" name="Datum" dataDxfId="249"/>
    <tableColumn id="2" xr3:uid="{F464D510-8166-E740-A343-FB84BDEF877F}" name="Lerneinheiten durchgezogen" dataDxfId="248"/>
    <tableColumn id="3" xr3:uid="{75F52B08-1A00-0848-BBE6-1EDF7B31B1AD}" name="Tagesplan erstellt" dataDxfId="247"/>
    <tableColumn id="4" xr3:uid="{E6B18D89-E799-AD48-9DAA-37AEE1D29011}" name="Konzentrationslevel" dataDxfId="24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69</v>
      </c>
    </row>
    <row r="8" spans="1:4" x14ac:dyDescent="0.2">
      <c r="A8" t="s">
        <v>52</v>
      </c>
      <c r="B8" s="18" t="s">
        <v>51</v>
      </c>
      <c r="D8" t="s">
        <v>75</v>
      </c>
    </row>
    <row r="9" spans="1:4" x14ac:dyDescent="0.2">
      <c r="A9" t="s">
        <v>60</v>
      </c>
      <c r="B9" s="18" t="s">
        <v>73</v>
      </c>
      <c r="D9" t="s">
        <v>76</v>
      </c>
    </row>
    <row r="10" spans="1:4" x14ac:dyDescent="0.2">
      <c r="A10" t="s">
        <v>64</v>
      </c>
      <c r="B10" t="s">
        <v>63</v>
      </c>
      <c r="C10" s="16">
        <v>10.5</v>
      </c>
      <c r="D10" t="s">
        <v>59</v>
      </c>
    </row>
    <row r="11" spans="1:4" x14ac:dyDescent="0.2">
      <c r="A11" t="s">
        <v>65</v>
      </c>
      <c r="B11" t="s">
        <v>67</v>
      </c>
      <c r="C11" s="16">
        <f>69*3</f>
        <v>207</v>
      </c>
      <c r="D11" t="s">
        <v>66</v>
      </c>
    </row>
    <row r="12" spans="1:4" x14ac:dyDescent="0.2">
      <c r="A12" t="s">
        <v>69</v>
      </c>
      <c r="B12" t="s">
        <v>68</v>
      </c>
      <c r="C12" s="17">
        <f>C11/C10</f>
        <v>19.714285714285715</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94"/>
  <sheetViews>
    <sheetView showGridLines="0" tabSelected="1" zoomScale="61" zoomScaleNormal="35" workbookViewId="0">
      <pane xSplit="12" topLeftCell="BT1" activePane="topRight" state="frozen"/>
      <selection pane="topRight" activeCell="BW45" sqref="BW45"/>
    </sheetView>
  </sheetViews>
  <sheetFormatPr baseColWidth="10" defaultColWidth="8.83203125" defaultRowHeight="16" outlineLevelRow="1" x14ac:dyDescent="0.2"/>
  <cols>
    <col min="3" max="3" width="23.33203125" bestFit="1" customWidth="1"/>
    <col min="4" max="4" width="13" bestFit="1" customWidth="1"/>
    <col min="5" max="5" width="4.83203125" bestFit="1" customWidth="1"/>
    <col min="6" max="6" width="45.6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s>
  <sheetData>
    <row r="1" spans="2:117" ht="34" x14ac:dyDescent="0.4">
      <c r="B1" s="4" t="s">
        <v>0</v>
      </c>
      <c r="D1" s="4"/>
      <c r="G1" s="13" t="s">
        <v>34</v>
      </c>
      <c r="I1" s="13" t="s">
        <v>34</v>
      </c>
      <c r="J1" s="13" t="s">
        <v>34</v>
      </c>
      <c r="K1" s="13" t="s">
        <v>34</v>
      </c>
    </row>
    <row r="2" spans="2:117" x14ac:dyDescent="0.2">
      <c r="I2" s="20" t="s">
        <v>27</v>
      </c>
      <c r="J2" s="20"/>
      <c r="K2" s="20"/>
      <c r="L2" s="20"/>
      <c r="N2" s="20" t="s">
        <v>160</v>
      </c>
      <c r="O2" s="20"/>
      <c r="P2" s="20"/>
      <c r="Q2" s="20"/>
      <c r="R2" s="20"/>
      <c r="S2" s="20"/>
      <c r="U2" s="20" t="s">
        <v>161</v>
      </c>
      <c r="V2" s="20"/>
      <c r="W2" s="20"/>
      <c r="X2" s="20"/>
      <c r="Y2" s="20"/>
      <c r="Z2" s="20"/>
      <c r="AB2" s="20" t="s">
        <v>162</v>
      </c>
      <c r="AC2" s="20"/>
      <c r="AD2" s="20"/>
      <c r="AE2" s="20"/>
      <c r="AF2" s="20"/>
      <c r="AG2" s="20"/>
      <c r="AI2" s="20" t="s">
        <v>163</v>
      </c>
      <c r="AJ2" s="20"/>
      <c r="AK2" s="20"/>
      <c r="AL2" s="20"/>
      <c r="AM2" s="20"/>
      <c r="AN2" s="20"/>
      <c r="AP2" s="20" t="s">
        <v>164</v>
      </c>
      <c r="AQ2" s="20"/>
      <c r="AR2" s="20"/>
      <c r="AS2" s="20"/>
      <c r="AT2" s="20"/>
      <c r="AU2" s="20"/>
      <c r="AW2" s="20" t="s">
        <v>165</v>
      </c>
      <c r="AX2" s="20"/>
      <c r="AY2" s="20"/>
      <c r="AZ2" s="20"/>
      <c r="BA2" s="20"/>
      <c r="BB2" s="20"/>
      <c r="BD2" s="20" t="s">
        <v>166</v>
      </c>
      <c r="BE2" s="20"/>
      <c r="BF2" s="20"/>
      <c r="BG2" s="20"/>
      <c r="BH2" s="20"/>
      <c r="BI2" s="20"/>
      <c r="BK2" s="20" t="s">
        <v>167</v>
      </c>
      <c r="BL2" s="20"/>
      <c r="BM2" s="20"/>
      <c r="BN2" s="20"/>
      <c r="BO2" s="20"/>
      <c r="BP2" s="20"/>
      <c r="BR2" s="20" t="s">
        <v>168</v>
      </c>
      <c r="BS2" s="20"/>
      <c r="BT2" s="20"/>
      <c r="BU2" s="20"/>
      <c r="BV2" s="20"/>
      <c r="BW2" s="20"/>
      <c r="BY2" s="20" t="s">
        <v>169</v>
      </c>
      <c r="BZ2" s="20"/>
      <c r="CA2" s="20"/>
      <c r="CB2" s="20"/>
      <c r="CC2" s="20"/>
      <c r="CD2" s="20"/>
      <c r="CF2" s="20" t="s">
        <v>170</v>
      </c>
      <c r="CG2" s="20"/>
      <c r="CH2" s="20"/>
      <c r="CI2" s="20"/>
      <c r="CJ2" s="20"/>
      <c r="CK2" s="20"/>
      <c r="CM2" s="20" t="s">
        <v>171</v>
      </c>
      <c r="CN2" s="20"/>
      <c r="CO2" s="20"/>
      <c r="CP2" s="20"/>
      <c r="CQ2" s="20"/>
      <c r="CR2" s="20"/>
      <c r="CT2" s="20" t="s">
        <v>172</v>
      </c>
      <c r="CU2" s="20"/>
      <c r="CV2" s="20"/>
      <c r="CW2" s="20"/>
      <c r="CX2" s="20"/>
      <c r="CY2" s="20"/>
      <c r="DA2" s="20" t="s">
        <v>173</v>
      </c>
      <c r="DB2" s="20"/>
      <c r="DC2" s="20"/>
      <c r="DD2" s="20"/>
      <c r="DE2" s="20"/>
      <c r="DF2" s="20"/>
      <c r="DH2" s="20" t="s">
        <v>174</v>
      </c>
      <c r="DI2" s="20"/>
      <c r="DJ2" s="20"/>
      <c r="DK2" s="20"/>
      <c r="DL2" s="20"/>
      <c r="DM2" s="20"/>
    </row>
    <row r="3" spans="2:117"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row>
    <row r="4" spans="2:117" x14ac:dyDescent="0.2">
      <c r="B4" t="s">
        <v>27</v>
      </c>
      <c r="C4" t="s">
        <v>88</v>
      </c>
      <c r="D4" s="19">
        <v>45117</v>
      </c>
      <c r="E4" s="9">
        <v>6</v>
      </c>
      <c r="G4" s="10"/>
      <c r="I4" s="12">
        <f>+SUM(I5:I15)</f>
        <v>0</v>
      </c>
      <c r="J4" s="11">
        <f>+SUMPRODUCT(G5:G15,J5:J15)</f>
        <v>0</v>
      </c>
      <c r="K4" s="11">
        <f>+SUMPRODUCT(G5:G15,K5:K15)</f>
        <v>0</v>
      </c>
      <c r="L4" s="9"/>
      <c r="N4" s="12"/>
      <c r="U4" s="12">
        <f>+SUM(U5:U15)</f>
        <v>0</v>
      </c>
      <c r="AB4" s="12">
        <f>+SUM(AB5:AB15)</f>
        <v>0</v>
      </c>
      <c r="AI4" s="12">
        <f>+SUM(AI5:AI15)</f>
        <v>0</v>
      </c>
      <c r="AP4" s="12">
        <f>+SUM(AP5:AP15)</f>
        <v>0</v>
      </c>
      <c r="AW4" s="12">
        <f>+SUM(AW5:AW15)</f>
        <v>0</v>
      </c>
      <c r="BD4" s="12">
        <f>+SUM(BD5:BD15)</f>
        <v>0</v>
      </c>
      <c r="BK4" s="12">
        <f>+SUM(BK5:BK15)</f>
        <v>0</v>
      </c>
      <c r="BL4" s="23"/>
      <c r="BM4" s="24"/>
      <c r="BN4" s="23"/>
      <c r="BO4" s="24"/>
      <c r="BP4" s="23"/>
      <c r="BQ4" s="23"/>
      <c r="BR4" s="25"/>
      <c r="BS4" s="23"/>
      <c r="BT4" s="24"/>
      <c r="BU4" s="23"/>
      <c r="BV4" s="24"/>
      <c r="BY4" s="12">
        <f>+SUM(BY5:BY15)</f>
        <v>0</v>
      </c>
      <c r="CF4" s="12">
        <f>+SUM(CF5:CF15)</f>
        <v>0</v>
      </c>
      <c r="CM4" s="12">
        <f>+SUM(CM5:CM15)</f>
        <v>0</v>
      </c>
      <c r="CT4" s="12">
        <f>+SUM(CT5:CT15)</f>
        <v>0</v>
      </c>
      <c r="DA4" s="12">
        <f>+SUM(DA5:DA15)</f>
        <v>0</v>
      </c>
      <c r="DH4" s="12">
        <f>+SUM(DH5:DH15)</f>
        <v>0</v>
      </c>
    </row>
    <row r="5" spans="2:117" outlineLevel="1" x14ac:dyDescent="0.2">
      <c r="B5" t="s">
        <v>28</v>
      </c>
      <c r="C5" t="s">
        <v>88</v>
      </c>
      <c r="D5" t="s">
        <v>100</v>
      </c>
      <c r="E5" s="9"/>
      <c r="F5" t="s">
        <v>89</v>
      </c>
      <c r="G5" s="10"/>
      <c r="I5" s="9">
        <f>+SUMIF($N$3:$ZZ$3,I$3,$N5:$ZZ5)</f>
        <v>0</v>
      </c>
      <c r="J5" s="11" cm="1">
        <f t="array" ref="J5">MAX(IF($N$3:$EH$3=$J$3,N5:EH5))</f>
        <v>0</v>
      </c>
      <c r="K5" s="11" cm="1">
        <f t="array" ref="K5">MAX(IF($N$3:$EH$3=$J$3,N5:EH5))</f>
        <v>0</v>
      </c>
      <c r="L5" s="9"/>
      <c r="O5" s="10"/>
      <c r="P5" s="10"/>
      <c r="Q5" s="10"/>
      <c r="R5" s="10"/>
      <c r="V5" s="10"/>
      <c r="W5" s="10"/>
      <c r="X5" s="10"/>
      <c r="Y5" s="10"/>
      <c r="AC5" s="10"/>
      <c r="AD5" s="10"/>
      <c r="AE5" s="10"/>
      <c r="AF5" s="10"/>
      <c r="AJ5" s="10"/>
      <c r="AK5" s="10"/>
      <c r="AL5" s="10"/>
      <c r="AM5" s="10"/>
      <c r="AQ5" s="10"/>
      <c r="AR5" s="10"/>
      <c r="AS5" s="10"/>
      <c r="AT5" s="10"/>
      <c r="AX5" s="10"/>
      <c r="AY5" s="10"/>
      <c r="AZ5" s="10"/>
      <c r="BA5" s="10"/>
      <c r="BE5" s="10"/>
      <c r="BF5" s="10"/>
      <c r="BG5" s="10"/>
      <c r="BH5" s="10"/>
      <c r="BL5" s="10"/>
      <c r="BM5" s="10"/>
      <c r="BN5" s="10"/>
      <c r="BO5" s="10"/>
      <c r="BS5" s="10"/>
      <c r="BT5" s="10">
        <v>1</v>
      </c>
      <c r="BU5" s="10"/>
      <c r="BV5" s="10">
        <v>1</v>
      </c>
      <c r="BZ5" s="10"/>
      <c r="CA5" s="10"/>
      <c r="CB5" s="10"/>
      <c r="CC5" s="10"/>
      <c r="CG5" s="10"/>
      <c r="CH5" s="10"/>
      <c r="CI5" s="10"/>
      <c r="CJ5" s="10"/>
      <c r="CN5" s="10"/>
      <c r="CO5" s="10"/>
      <c r="CP5" s="10"/>
      <c r="CQ5" s="10"/>
      <c r="CU5" s="10"/>
      <c r="CV5" s="10"/>
      <c r="CW5" s="10"/>
      <c r="CX5" s="10"/>
      <c r="DB5" s="10"/>
      <c r="DC5" s="10"/>
      <c r="DD5" s="10"/>
      <c r="DE5" s="10"/>
      <c r="DI5" s="10"/>
      <c r="DJ5" s="10"/>
      <c r="DK5" s="10"/>
      <c r="DL5" s="10"/>
    </row>
    <row r="6" spans="2:117" outlineLevel="1" x14ac:dyDescent="0.2">
      <c r="B6" t="s">
        <v>28</v>
      </c>
      <c r="C6" t="s">
        <v>88</v>
      </c>
      <c r="E6" s="9"/>
      <c r="F6" t="s">
        <v>90</v>
      </c>
      <c r="G6" s="10"/>
      <c r="I6" s="9">
        <f t="shared" ref="I6:I15" si="0">+SUMIF($N$3:$ZZ$3,I$3,$N6:$ZZ6)</f>
        <v>0</v>
      </c>
      <c r="J6" s="11" cm="1">
        <f t="array" ref="J6">MAX(IF($N$3:$EH$3=$J$3,N6:EH6))</f>
        <v>0</v>
      </c>
      <c r="K6" s="11" cm="1">
        <f t="array" ref="K6">MAX(IF($N$3:$EH$3=$J$3,N6:EH6))</f>
        <v>0</v>
      </c>
      <c r="L6" s="9"/>
      <c r="O6" s="10"/>
      <c r="P6" s="10"/>
      <c r="Q6" s="10"/>
      <c r="R6" s="10"/>
      <c r="V6" s="10"/>
      <c r="W6" s="10"/>
      <c r="X6" s="10"/>
      <c r="Y6" s="10"/>
      <c r="AC6" s="10"/>
      <c r="AD6" s="10"/>
      <c r="AE6" s="10"/>
      <c r="AF6" s="10"/>
      <c r="AJ6" s="10"/>
      <c r="AK6" s="10"/>
      <c r="AL6" s="10"/>
      <c r="AM6" s="10"/>
      <c r="AQ6" s="10"/>
      <c r="AR6" s="10"/>
      <c r="AS6" s="10"/>
      <c r="AT6" s="10"/>
      <c r="AX6" s="10"/>
      <c r="AY6" s="10"/>
      <c r="AZ6" s="10"/>
      <c r="BA6" s="10"/>
      <c r="BE6" s="10"/>
      <c r="BF6" s="10"/>
      <c r="BG6" s="10"/>
      <c r="BH6" s="10"/>
      <c r="BL6" s="10"/>
      <c r="BM6" s="10"/>
      <c r="BN6" s="10"/>
      <c r="BO6" s="10"/>
      <c r="BS6" s="10"/>
      <c r="BT6" s="10">
        <v>1</v>
      </c>
      <c r="BU6" s="10"/>
      <c r="BV6" s="10">
        <v>1</v>
      </c>
      <c r="BZ6" s="10"/>
      <c r="CA6" s="10"/>
      <c r="CB6" s="10"/>
      <c r="CC6" s="10"/>
      <c r="CG6" s="10"/>
      <c r="CH6" s="10"/>
      <c r="CI6" s="10"/>
      <c r="CJ6" s="10"/>
      <c r="CN6" s="10"/>
      <c r="CO6" s="10"/>
      <c r="CP6" s="10"/>
      <c r="CQ6" s="10"/>
      <c r="CU6" s="10"/>
      <c r="CV6" s="10"/>
      <c r="CW6" s="10"/>
      <c r="CX6" s="10"/>
      <c r="DB6" s="10"/>
      <c r="DC6" s="10"/>
      <c r="DD6" s="10"/>
      <c r="DE6" s="10"/>
      <c r="DI6" s="10"/>
      <c r="DJ6" s="10"/>
      <c r="DK6" s="10"/>
      <c r="DL6" s="10"/>
    </row>
    <row r="7" spans="2:117" outlineLevel="1" x14ac:dyDescent="0.2">
      <c r="B7" t="s">
        <v>28</v>
      </c>
      <c r="C7" t="s">
        <v>88</v>
      </c>
      <c r="E7" s="9"/>
      <c r="F7" t="s">
        <v>91</v>
      </c>
      <c r="G7" s="10"/>
      <c r="I7" s="9">
        <f t="shared" si="0"/>
        <v>0</v>
      </c>
      <c r="J7" s="11" cm="1">
        <f t="array" ref="J7">MAX(IF($N$3:$EH$3=$J$3,N7:EH7))</f>
        <v>0</v>
      </c>
      <c r="K7" s="11" cm="1">
        <f t="array" ref="K7">MAX(IF($N$3:$EH$3=$J$3,N7:EH7))</f>
        <v>0</v>
      </c>
      <c r="L7" s="9"/>
      <c r="O7" s="10"/>
      <c r="P7" s="10"/>
      <c r="Q7" s="10"/>
      <c r="R7" s="10"/>
      <c r="V7" s="10"/>
      <c r="W7" s="10"/>
      <c r="X7" s="10"/>
      <c r="Y7" s="10"/>
      <c r="AC7" s="10"/>
      <c r="AD7" s="10"/>
      <c r="AE7" s="10"/>
      <c r="AF7" s="10"/>
      <c r="AJ7" s="10"/>
      <c r="AK7" s="10"/>
      <c r="AL7" s="10"/>
      <c r="AM7" s="10"/>
      <c r="AQ7" s="10"/>
      <c r="AR7" s="10"/>
      <c r="AS7" s="10"/>
      <c r="AT7" s="10"/>
      <c r="AX7" s="10"/>
      <c r="AY7" s="10"/>
      <c r="AZ7" s="10"/>
      <c r="BA7" s="10"/>
      <c r="BE7" s="10"/>
      <c r="BF7" s="10"/>
      <c r="BG7" s="10"/>
      <c r="BH7" s="10"/>
      <c r="BL7" s="10"/>
      <c r="BM7" s="10"/>
      <c r="BN7" s="10"/>
      <c r="BO7" s="10"/>
      <c r="BS7" s="10"/>
      <c r="BT7" s="10">
        <v>1</v>
      </c>
      <c r="BU7" s="10"/>
      <c r="BV7" s="10">
        <v>1</v>
      </c>
      <c r="BZ7" s="10"/>
      <c r="CA7" s="10"/>
      <c r="CB7" s="10"/>
      <c r="CC7" s="10"/>
      <c r="CG7" s="10"/>
      <c r="CH7" s="10"/>
      <c r="CI7" s="10"/>
      <c r="CJ7" s="10"/>
      <c r="CN7" s="10"/>
      <c r="CO7" s="10"/>
      <c r="CP7" s="10"/>
      <c r="CQ7" s="10"/>
      <c r="CU7" s="10"/>
      <c r="CV7" s="10"/>
      <c r="CW7" s="10"/>
      <c r="CX7" s="10"/>
      <c r="DB7" s="10"/>
      <c r="DC7" s="10"/>
      <c r="DD7" s="10"/>
      <c r="DE7" s="10"/>
      <c r="DI7" s="10"/>
      <c r="DJ7" s="10"/>
      <c r="DK7" s="10"/>
      <c r="DL7" s="10"/>
    </row>
    <row r="8" spans="2:117" outlineLevel="1" x14ac:dyDescent="0.2">
      <c r="B8" t="s">
        <v>28</v>
      </c>
      <c r="C8" t="s">
        <v>88</v>
      </c>
      <c r="E8" s="9"/>
      <c r="F8" t="s">
        <v>92</v>
      </c>
      <c r="G8" s="10"/>
      <c r="I8" s="9">
        <f t="shared" si="0"/>
        <v>0</v>
      </c>
      <c r="J8" s="11" cm="1">
        <f t="array" ref="J8">MAX(IF($N$3:$EH$3=$J$3,N8:EH8))</f>
        <v>0</v>
      </c>
      <c r="K8" s="11" cm="1">
        <f t="array" ref="K8">MAX(IF($N$3:$EH$3=$J$3,N8:EH8))</f>
        <v>0</v>
      </c>
      <c r="L8" s="9"/>
      <c r="O8" s="10"/>
      <c r="P8" s="10"/>
      <c r="Q8" s="10"/>
      <c r="R8" s="10"/>
      <c r="V8" s="10"/>
      <c r="W8" s="10"/>
      <c r="X8" s="10"/>
      <c r="Y8" s="10"/>
      <c r="AC8" s="10"/>
      <c r="AD8" s="10"/>
      <c r="AE8" s="10"/>
      <c r="AF8" s="10"/>
      <c r="AJ8" s="10"/>
      <c r="AK8" s="10"/>
      <c r="AL8" s="10"/>
      <c r="AM8" s="10"/>
      <c r="AQ8" s="10"/>
      <c r="AR8" s="10"/>
      <c r="AS8" s="10"/>
      <c r="AT8" s="10"/>
      <c r="AX8" s="10"/>
      <c r="AY8" s="10"/>
      <c r="AZ8" s="10"/>
      <c r="BA8" s="10"/>
      <c r="BE8" s="10"/>
      <c r="BF8" s="10"/>
      <c r="BG8" s="10"/>
      <c r="BH8" s="10"/>
      <c r="BL8" s="10"/>
      <c r="BM8" s="10"/>
      <c r="BN8" s="10"/>
      <c r="BO8" s="10"/>
      <c r="BS8" s="10"/>
      <c r="BT8" s="10">
        <v>1</v>
      </c>
      <c r="BU8" s="10"/>
      <c r="BV8" s="10">
        <v>1</v>
      </c>
      <c r="BZ8" s="10"/>
      <c r="CA8" s="10"/>
      <c r="CB8" s="10"/>
      <c r="CC8" s="10"/>
      <c r="CG8" s="10"/>
      <c r="CH8" s="10"/>
      <c r="CI8" s="10"/>
      <c r="CJ8" s="10"/>
      <c r="CN8" s="10"/>
      <c r="CO8" s="10"/>
      <c r="CP8" s="10"/>
      <c r="CQ8" s="10"/>
      <c r="CU8" s="10"/>
      <c r="CV8" s="10"/>
      <c r="CW8" s="10"/>
      <c r="CX8" s="10"/>
      <c r="DB8" s="10"/>
      <c r="DC8" s="10"/>
      <c r="DD8" s="10"/>
      <c r="DE8" s="10"/>
      <c r="DI8" s="10"/>
      <c r="DJ8" s="10"/>
      <c r="DK8" s="10"/>
      <c r="DL8" s="10"/>
    </row>
    <row r="9" spans="2:117" outlineLevel="1" x14ac:dyDescent="0.2">
      <c r="B9" t="s">
        <v>28</v>
      </c>
      <c r="C9" t="s">
        <v>88</v>
      </c>
      <c r="E9" s="9"/>
      <c r="F9" t="s">
        <v>93</v>
      </c>
      <c r="G9" s="10"/>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c r="AS9" s="10"/>
      <c r="AT9" s="10"/>
      <c r="AX9" s="10"/>
      <c r="AY9" s="10"/>
      <c r="AZ9" s="10"/>
      <c r="BA9" s="10"/>
      <c r="BE9" s="10"/>
      <c r="BF9" s="10"/>
      <c r="BG9" s="10"/>
      <c r="BH9" s="10"/>
      <c r="BL9" s="10"/>
      <c r="BM9" s="10"/>
      <c r="BN9" s="10"/>
      <c r="BO9" s="10"/>
      <c r="BS9" s="10"/>
      <c r="BT9" s="10">
        <v>1</v>
      </c>
      <c r="BU9" s="22"/>
      <c r="BV9" s="10">
        <v>1</v>
      </c>
      <c r="BZ9" s="10"/>
      <c r="CA9" s="10"/>
      <c r="CB9" s="10"/>
      <c r="CC9" s="10"/>
      <c r="CG9" s="10"/>
      <c r="CH9" s="10"/>
      <c r="CI9" s="10"/>
      <c r="CJ9" s="10"/>
      <c r="CN9" s="10"/>
      <c r="CO9" s="10"/>
      <c r="CP9" s="10"/>
      <c r="CQ9" s="10"/>
      <c r="CU9" s="10"/>
      <c r="CV9" s="10"/>
      <c r="CW9" s="10"/>
      <c r="CX9" s="10"/>
      <c r="DB9" s="10"/>
      <c r="DC9" s="10"/>
      <c r="DD9" s="10"/>
      <c r="DE9" s="10"/>
      <c r="DI9" s="10"/>
      <c r="DJ9" s="10"/>
      <c r="DK9" s="10"/>
      <c r="DL9" s="10"/>
    </row>
    <row r="10" spans="2:117" outlineLevel="1" x14ac:dyDescent="0.2">
      <c r="B10" t="s">
        <v>28</v>
      </c>
      <c r="C10" t="s">
        <v>88</v>
      </c>
      <c r="E10" s="9"/>
      <c r="F10" t="s">
        <v>94</v>
      </c>
      <c r="G10" s="10"/>
      <c r="I10" s="9"/>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c r="BG10" s="10"/>
      <c r="BH10" s="10"/>
      <c r="BL10" s="10"/>
      <c r="BM10" s="10"/>
      <c r="BN10" s="10"/>
      <c r="BO10" s="10"/>
      <c r="BS10" s="10"/>
      <c r="BT10" s="10">
        <v>1</v>
      </c>
      <c r="BU10" s="22"/>
      <c r="BV10" s="10">
        <v>1</v>
      </c>
      <c r="BZ10" s="10"/>
      <c r="CA10" s="10"/>
      <c r="CB10" s="10"/>
      <c r="CC10" s="10"/>
      <c r="CG10" s="10"/>
      <c r="CH10" s="10"/>
      <c r="CI10" s="10"/>
      <c r="CJ10" s="10"/>
      <c r="CN10" s="10"/>
      <c r="CO10" s="10"/>
      <c r="CP10" s="10"/>
      <c r="CQ10" s="10"/>
      <c r="CU10" s="10"/>
      <c r="CV10" s="10"/>
      <c r="CW10" s="10"/>
      <c r="CX10" s="10"/>
      <c r="DB10" s="10"/>
      <c r="DC10" s="10"/>
      <c r="DD10" s="10"/>
      <c r="DE10" s="10"/>
      <c r="DI10" s="10"/>
      <c r="DJ10" s="10"/>
      <c r="DK10" s="10"/>
      <c r="DL10" s="10"/>
    </row>
    <row r="11" spans="2:117" outlineLevel="1" x14ac:dyDescent="0.2">
      <c r="B11" t="s">
        <v>28</v>
      </c>
      <c r="C11" t="s">
        <v>88</v>
      </c>
      <c r="E11" s="9"/>
      <c r="F11" t="s">
        <v>95</v>
      </c>
      <c r="G11" s="10"/>
      <c r="I11" s="9"/>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L11" s="10"/>
      <c r="BM11" s="10"/>
      <c r="BN11" s="10"/>
      <c r="BO11" s="10"/>
      <c r="BS11" s="10"/>
      <c r="BT11" s="10">
        <v>1</v>
      </c>
      <c r="BU11" s="22"/>
      <c r="BV11" s="10">
        <v>1</v>
      </c>
      <c r="BZ11" s="10"/>
      <c r="CA11" s="10"/>
      <c r="CB11" s="10"/>
      <c r="CC11" s="10"/>
      <c r="CG11" s="10"/>
      <c r="CH11" s="10"/>
      <c r="CI11" s="10"/>
      <c r="CJ11" s="10"/>
      <c r="CN11" s="10"/>
      <c r="CO11" s="10"/>
      <c r="CP11" s="10"/>
      <c r="CQ11" s="10"/>
      <c r="CU11" s="10"/>
      <c r="CV11" s="10"/>
      <c r="CW11" s="10"/>
      <c r="CX11" s="10"/>
      <c r="DB11" s="10"/>
      <c r="DC11" s="10"/>
      <c r="DD11" s="10"/>
      <c r="DE11" s="10"/>
      <c r="DI11" s="10"/>
      <c r="DJ11" s="10"/>
      <c r="DK11" s="10"/>
      <c r="DL11" s="10"/>
    </row>
    <row r="12" spans="2:117" outlineLevel="1" x14ac:dyDescent="0.2">
      <c r="B12" t="s">
        <v>28</v>
      </c>
      <c r="C12" t="s">
        <v>88</v>
      </c>
      <c r="E12" s="9"/>
      <c r="F12" t="s">
        <v>96</v>
      </c>
      <c r="G12" s="10"/>
      <c r="I12" s="9"/>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c r="BN12" s="10"/>
      <c r="BO12" s="10"/>
      <c r="BS12" s="10"/>
      <c r="BT12" s="10">
        <v>1</v>
      </c>
      <c r="BU12" s="22"/>
      <c r="BV12" s="10">
        <v>1</v>
      </c>
      <c r="BZ12" s="10"/>
      <c r="CA12" s="10"/>
      <c r="CB12" s="10"/>
      <c r="CC12" s="10"/>
      <c r="CG12" s="10"/>
      <c r="CH12" s="10"/>
      <c r="CI12" s="10"/>
      <c r="CJ12" s="10"/>
      <c r="CN12" s="10"/>
      <c r="CO12" s="10"/>
      <c r="CP12" s="10"/>
      <c r="CQ12" s="10"/>
      <c r="CU12" s="10"/>
      <c r="CV12" s="10"/>
      <c r="CW12" s="10"/>
      <c r="CX12" s="10"/>
      <c r="DB12" s="10"/>
      <c r="DC12" s="10"/>
      <c r="DD12" s="10"/>
      <c r="DE12" s="10"/>
      <c r="DI12" s="10"/>
      <c r="DJ12" s="10"/>
      <c r="DK12" s="10"/>
      <c r="DL12" s="10"/>
    </row>
    <row r="13" spans="2:117" outlineLevel="1" x14ac:dyDescent="0.2">
      <c r="B13" t="s">
        <v>28</v>
      </c>
      <c r="C13" t="s">
        <v>88</v>
      </c>
      <c r="E13" s="9"/>
      <c r="F13" t="s">
        <v>97</v>
      </c>
      <c r="G13" s="10"/>
      <c r="I13" s="9"/>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c r="BG13" s="10"/>
      <c r="BH13" s="10"/>
      <c r="BL13" s="10"/>
      <c r="BM13" s="10"/>
      <c r="BN13" s="10"/>
      <c r="BO13" s="10"/>
      <c r="BS13" s="10"/>
      <c r="BT13" s="10">
        <v>1</v>
      </c>
      <c r="BU13" s="22"/>
      <c r="BV13" s="10">
        <v>1</v>
      </c>
      <c r="BZ13" s="10"/>
      <c r="CA13" s="10"/>
      <c r="CB13" s="10"/>
      <c r="CC13" s="10"/>
      <c r="CG13" s="10"/>
      <c r="CH13" s="10"/>
      <c r="CI13" s="10"/>
      <c r="CJ13" s="10"/>
      <c r="CN13" s="10"/>
      <c r="CO13" s="10"/>
      <c r="CP13" s="10"/>
      <c r="CQ13" s="10"/>
      <c r="CU13" s="10"/>
      <c r="CV13" s="10"/>
      <c r="CW13" s="10"/>
      <c r="CX13" s="10"/>
      <c r="DB13" s="10"/>
      <c r="DC13" s="10"/>
      <c r="DD13" s="10"/>
      <c r="DE13" s="10"/>
      <c r="DI13" s="10"/>
      <c r="DJ13" s="10"/>
      <c r="DK13" s="10"/>
      <c r="DL13" s="10"/>
    </row>
    <row r="14" spans="2:117" outlineLevel="1" x14ac:dyDescent="0.2">
      <c r="B14" t="s">
        <v>28</v>
      </c>
      <c r="C14" t="s">
        <v>88</v>
      </c>
      <c r="E14" s="9"/>
      <c r="F14" t="s">
        <v>98</v>
      </c>
      <c r="G14" s="10"/>
      <c r="I14" s="9"/>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S14" s="10"/>
      <c r="BT14" s="10">
        <v>1</v>
      </c>
      <c r="BU14" s="22"/>
      <c r="BV14" s="10">
        <v>1</v>
      </c>
      <c r="BZ14" s="10"/>
      <c r="CA14" s="10"/>
      <c r="CB14" s="10"/>
      <c r="CC14" s="10"/>
      <c r="CG14" s="10"/>
      <c r="CH14" s="10"/>
      <c r="CI14" s="10"/>
      <c r="CJ14" s="10"/>
      <c r="CN14" s="10"/>
      <c r="CO14" s="10"/>
      <c r="CP14" s="10"/>
      <c r="CQ14" s="10"/>
      <c r="CU14" s="10"/>
      <c r="CV14" s="10"/>
      <c r="CW14" s="10"/>
      <c r="CX14" s="10"/>
      <c r="DB14" s="10"/>
      <c r="DC14" s="10"/>
      <c r="DD14" s="10"/>
      <c r="DE14" s="10"/>
      <c r="DI14" s="10"/>
      <c r="DJ14" s="10"/>
      <c r="DK14" s="10"/>
      <c r="DL14" s="10"/>
    </row>
    <row r="15" spans="2:117" outlineLevel="1" x14ac:dyDescent="0.2">
      <c r="B15" t="s">
        <v>28</v>
      </c>
      <c r="C15" t="s">
        <v>88</v>
      </c>
      <c r="E15" s="9"/>
      <c r="F15" t="s">
        <v>99</v>
      </c>
      <c r="G15" s="10"/>
      <c r="I15" s="9">
        <f t="shared" si="0"/>
        <v>0</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v>1</v>
      </c>
      <c r="BU15" s="10"/>
      <c r="BV15" s="10">
        <v>1</v>
      </c>
      <c r="BZ15" s="10"/>
      <c r="CA15" s="10"/>
      <c r="CB15" s="10"/>
      <c r="CC15" s="10"/>
      <c r="CG15" s="10"/>
      <c r="CH15" s="10"/>
      <c r="CI15" s="10"/>
      <c r="CJ15" s="10"/>
      <c r="CN15" s="10"/>
      <c r="CO15" s="10"/>
      <c r="CP15" s="10"/>
      <c r="CQ15" s="10"/>
      <c r="CU15" s="10"/>
      <c r="CV15" s="10"/>
      <c r="CW15" s="10"/>
      <c r="CX15" s="10"/>
      <c r="DB15" s="10"/>
      <c r="DC15" s="10"/>
      <c r="DD15" s="10"/>
      <c r="DE15" s="10"/>
      <c r="DI15" s="10"/>
      <c r="DJ15" s="10"/>
      <c r="DK15" s="10"/>
      <c r="DL15" s="10"/>
    </row>
    <row r="17" spans="2:116" x14ac:dyDescent="0.2">
      <c r="B17" t="s">
        <v>27</v>
      </c>
      <c r="C17" t="s">
        <v>102</v>
      </c>
      <c r="D17" s="19">
        <v>45118</v>
      </c>
      <c r="E17" s="9">
        <v>2</v>
      </c>
      <c r="G17" s="10"/>
      <c r="I17" s="12">
        <f>+SUM(I18:I30)</f>
        <v>0</v>
      </c>
      <c r="J17" s="11">
        <f>+SUMPRODUCT(G18:G30,J18:J30)</f>
        <v>0</v>
      </c>
      <c r="K17" s="11">
        <f>+SUMPRODUCT(G18:G30,K18:K30)</f>
        <v>0</v>
      </c>
      <c r="L17" s="9"/>
      <c r="N17" s="12"/>
      <c r="U17" s="12"/>
      <c r="AB17" s="12"/>
      <c r="AI17" s="12"/>
      <c r="AP17" s="12"/>
      <c r="BL17" s="23"/>
      <c r="BM17" s="24"/>
      <c r="BN17" s="23"/>
      <c r="BO17" s="24"/>
      <c r="BP17" s="23"/>
      <c r="BQ17" s="23"/>
      <c r="BR17" s="23"/>
      <c r="BS17" s="23"/>
      <c r="BT17" s="24"/>
      <c r="BU17" s="23"/>
      <c r="BV17" s="24"/>
    </row>
    <row r="18" spans="2:116" outlineLevel="1" x14ac:dyDescent="0.2">
      <c r="B18" t="s">
        <v>28</v>
      </c>
      <c r="C18" t="s">
        <v>102</v>
      </c>
      <c r="D18" t="s">
        <v>101</v>
      </c>
      <c r="E18" s="9"/>
      <c r="F18" t="s">
        <v>103</v>
      </c>
      <c r="G18" s="10"/>
      <c r="I18" s="9">
        <f t="shared" ref="I18:I30" si="1">+SUMIF($N$3:$ZZ$3,I$3,$N18:$ZZ18)</f>
        <v>0</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v>1</v>
      </c>
      <c r="BU18" s="10"/>
      <c r="BV18" s="10">
        <v>1</v>
      </c>
      <c r="BZ18" s="10"/>
      <c r="CA18" s="10"/>
      <c r="CB18" s="10"/>
      <c r="CC18" s="10"/>
      <c r="CG18" s="10"/>
      <c r="CH18" s="10"/>
      <c r="CI18" s="10"/>
      <c r="CJ18" s="10"/>
      <c r="CN18" s="10"/>
      <c r="CO18" s="10"/>
      <c r="CP18" s="10"/>
      <c r="CQ18" s="10"/>
      <c r="CU18" s="10"/>
      <c r="CV18" s="10"/>
      <c r="CW18" s="10"/>
      <c r="CX18" s="10"/>
      <c r="DB18" s="10"/>
      <c r="DC18" s="10"/>
      <c r="DD18" s="10"/>
      <c r="DE18" s="10"/>
      <c r="DI18" s="10"/>
      <c r="DJ18" s="10"/>
      <c r="DK18" s="10"/>
      <c r="DL18" s="10"/>
    </row>
    <row r="19" spans="2:116" outlineLevel="1" x14ac:dyDescent="0.2">
      <c r="B19" t="s">
        <v>28</v>
      </c>
      <c r="C19" t="s">
        <v>102</v>
      </c>
      <c r="E19" s="9"/>
      <c r="F19" t="s">
        <v>104</v>
      </c>
      <c r="G19" s="10"/>
      <c r="I19" s="9">
        <f t="shared" si="1"/>
        <v>0</v>
      </c>
      <c r="J19" s="11" cm="1">
        <f t="array" ref="J19">MAX(IF($N$3:$EH$3=$J$3,N19:EH19))</f>
        <v>0</v>
      </c>
      <c r="K19" s="11" cm="1">
        <f t="array" ref="K19">MAX(IF($N$3:$EH$3=$J$3,N19:EH19))</f>
        <v>0</v>
      </c>
      <c r="L19" s="9"/>
      <c r="O19" s="10"/>
      <c r="P19" s="10"/>
      <c r="Q19" s="10"/>
      <c r="R19" s="10"/>
      <c r="V19" s="10"/>
      <c r="W19" s="10"/>
      <c r="X19" s="10"/>
      <c r="Y19" s="10"/>
      <c r="AC19" s="10"/>
      <c r="AD19" s="10"/>
      <c r="AE19" s="10"/>
      <c r="AF19" s="10"/>
      <c r="AJ19" s="10"/>
      <c r="AK19" s="10"/>
      <c r="AL19" s="10"/>
      <c r="AM19" s="10"/>
      <c r="AQ19" s="10"/>
      <c r="AR19" s="10"/>
      <c r="AS19" s="10"/>
      <c r="AT19" s="10"/>
      <c r="AX19" s="10"/>
      <c r="AY19" s="10"/>
      <c r="AZ19" s="10"/>
      <c r="BA19" s="10"/>
      <c r="BE19" s="10"/>
      <c r="BF19" s="10"/>
      <c r="BG19" s="10"/>
      <c r="BH19" s="10"/>
      <c r="BL19" s="10"/>
      <c r="BM19" s="10"/>
      <c r="BN19" s="10"/>
      <c r="BO19" s="10"/>
      <c r="BS19" s="10"/>
      <c r="BT19" s="10">
        <v>1</v>
      </c>
      <c r="BU19" s="10"/>
      <c r="BV19" s="10">
        <v>1</v>
      </c>
      <c r="BZ19" s="10"/>
      <c r="CA19" s="10"/>
      <c r="CB19" s="10"/>
      <c r="CC19" s="10"/>
      <c r="CG19" s="10"/>
      <c r="CH19" s="10"/>
      <c r="CI19" s="10"/>
      <c r="CJ19" s="10"/>
      <c r="CN19" s="10"/>
      <c r="CO19" s="10"/>
      <c r="CP19" s="10"/>
      <c r="CQ19" s="10"/>
      <c r="CU19" s="10"/>
      <c r="CV19" s="10"/>
      <c r="CW19" s="10"/>
      <c r="CX19" s="10"/>
      <c r="DB19" s="10"/>
      <c r="DC19" s="10"/>
      <c r="DD19" s="10"/>
      <c r="DE19" s="10"/>
      <c r="DI19" s="10"/>
      <c r="DJ19" s="10"/>
      <c r="DK19" s="10"/>
      <c r="DL19" s="10"/>
    </row>
    <row r="20" spans="2:116" outlineLevel="1" x14ac:dyDescent="0.2">
      <c r="B20" t="s">
        <v>28</v>
      </c>
      <c r="C20" t="s">
        <v>102</v>
      </c>
      <c r="E20" s="9"/>
      <c r="F20" t="s">
        <v>105</v>
      </c>
      <c r="G20" s="10"/>
      <c r="I20" s="9">
        <f t="shared" si="1"/>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c r="AL20" s="10"/>
      <c r="AM20" s="10"/>
      <c r="AQ20" s="10"/>
      <c r="AR20" s="10"/>
      <c r="AS20" s="10"/>
      <c r="AT20" s="10"/>
      <c r="AX20" s="10"/>
      <c r="AY20" s="10"/>
      <c r="AZ20" s="10"/>
      <c r="BA20" s="10"/>
      <c r="BE20" s="10"/>
      <c r="BF20" s="10"/>
      <c r="BG20" s="10"/>
      <c r="BH20" s="10"/>
      <c r="BL20" s="10"/>
      <c r="BM20" s="10"/>
      <c r="BN20" s="10"/>
      <c r="BO20" s="10"/>
      <c r="BS20" s="10"/>
      <c r="BT20" s="10">
        <v>1</v>
      </c>
      <c r="BU20" s="10"/>
      <c r="BV20" s="10">
        <v>1</v>
      </c>
      <c r="BZ20" s="10"/>
      <c r="CA20" s="10"/>
      <c r="CB20" s="10"/>
      <c r="CC20" s="10"/>
      <c r="CG20" s="10"/>
      <c r="CH20" s="10"/>
      <c r="CI20" s="10"/>
      <c r="CJ20" s="10"/>
      <c r="CN20" s="10"/>
      <c r="CO20" s="10"/>
      <c r="CP20" s="10"/>
      <c r="CQ20" s="10"/>
      <c r="CU20" s="10"/>
      <c r="CV20" s="10"/>
      <c r="CW20" s="10"/>
      <c r="CX20" s="10"/>
      <c r="DB20" s="10"/>
      <c r="DC20" s="10"/>
      <c r="DD20" s="10"/>
      <c r="DE20" s="10"/>
      <c r="DI20" s="10"/>
      <c r="DJ20" s="10"/>
      <c r="DK20" s="10"/>
      <c r="DL20" s="10"/>
    </row>
    <row r="21" spans="2:116" outlineLevel="1" x14ac:dyDescent="0.2">
      <c r="B21" t="s">
        <v>28</v>
      </c>
      <c r="C21" t="s">
        <v>102</v>
      </c>
      <c r="E21" s="9"/>
      <c r="F21" t="s">
        <v>106</v>
      </c>
      <c r="G21" s="10"/>
      <c r="I21" s="9">
        <f t="shared" si="1"/>
        <v>0</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Q21" s="10"/>
      <c r="AR21" s="10"/>
      <c r="AS21" s="10"/>
      <c r="AT21" s="10"/>
      <c r="AX21" s="10"/>
      <c r="AY21" s="10"/>
      <c r="AZ21" s="10"/>
      <c r="BA21" s="10"/>
      <c r="BE21" s="10"/>
      <c r="BF21" s="10"/>
      <c r="BG21" s="10"/>
      <c r="BH21" s="10"/>
      <c r="BL21" s="10"/>
      <c r="BM21" s="10"/>
      <c r="BN21" s="10"/>
      <c r="BO21" s="10"/>
      <c r="BS21" s="10"/>
      <c r="BT21" s="10">
        <v>1</v>
      </c>
      <c r="BU21" s="10"/>
      <c r="BV21" s="10">
        <v>1</v>
      </c>
      <c r="BZ21" s="10"/>
      <c r="CA21" s="10"/>
      <c r="CB21" s="10"/>
      <c r="CC21" s="10"/>
      <c r="CG21" s="10"/>
      <c r="CH21" s="10"/>
      <c r="CI21" s="10"/>
      <c r="CJ21" s="10"/>
      <c r="CN21" s="10"/>
      <c r="CO21" s="10"/>
      <c r="CP21" s="10"/>
      <c r="CQ21" s="10"/>
      <c r="CU21" s="10"/>
      <c r="CV21" s="10"/>
      <c r="CW21" s="10"/>
      <c r="CX21" s="10"/>
      <c r="DB21" s="10"/>
      <c r="DC21" s="10"/>
      <c r="DD21" s="10"/>
      <c r="DE21" s="10"/>
      <c r="DI21" s="10"/>
      <c r="DJ21" s="10"/>
      <c r="DK21" s="10"/>
      <c r="DL21" s="10"/>
    </row>
    <row r="22" spans="2:116" outlineLevel="1" x14ac:dyDescent="0.2">
      <c r="B22" t="s">
        <v>28</v>
      </c>
      <c r="C22" t="s">
        <v>102</v>
      </c>
      <c r="E22" s="9"/>
      <c r="F22" t="s">
        <v>107</v>
      </c>
      <c r="G22" s="10"/>
      <c r="I22" s="9">
        <f t="shared" si="1"/>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L22" s="10"/>
      <c r="BM22" s="10"/>
      <c r="BN22" s="10"/>
      <c r="BO22" s="10"/>
      <c r="BS22" s="10"/>
      <c r="BT22" s="10">
        <v>1</v>
      </c>
      <c r="BU22" s="10"/>
      <c r="BV22" s="10">
        <v>1</v>
      </c>
      <c r="BZ22" s="10"/>
      <c r="CA22" s="10"/>
      <c r="CB22" s="10"/>
      <c r="CC22" s="10"/>
      <c r="CG22" s="10"/>
      <c r="CH22" s="10"/>
      <c r="CI22" s="10"/>
      <c r="CJ22" s="10"/>
      <c r="CN22" s="10"/>
      <c r="CO22" s="10"/>
      <c r="CP22" s="10"/>
      <c r="CQ22" s="10"/>
      <c r="CU22" s="10"/>
      <c r="CV22" s="10"/>
      <c r="CW22" s="10"/>
      <c r="CX22" s="10"/>
      <c r="DB22" s="10"/>
      <c r="DC22" s="10"/>
      <c r="DD22" s="10"/>
      <c r="DE22" s="10"/>
      <c r="DI22" s="10"/>
      <c r="DJ22" s="10"/>
      <c r="DK22" s="10"/>
      <c r="DL22" s="10"/>
    </row>
    <row r="23" spans="2:116" outlineLevel="1" x14ac:dyDescent="0.2">
      <c r="B23" t="s">
        <v>28</v>
      </c>
      <c r="C23" t="s">
        <v>102</v>
      </c>
      <c r="E23" s="9"/>
      <c r="F23" t="s">
        <v>108</v>
      </c>
      <c r="G23" s="10"/>
      <c r="I23" s="9">
        <f t="shared" si="1"/>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v>1</v>
      </c>
      <c r="BU23" s="10"/>
      <c r="BV23" s="10">
        <v>1</v>
      </c>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row>
    <row r="24" spans="2:116" outlineLevel="1" x14ac:dyDescent="0.2">
      <c r="B24" t="s">
        <v>28</v>
      </c>
      <c r="C24" t="s">
        <v>102</v>
      </c>
      <c r="E24" s="9"/>
      <c r="F24" t="s">
        <v>109</v>
      </c>
      <c r="G24" s="10"/>
      <c r="I24" s="9">
        <f t="shared" si="1"/>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c r="BG24" s="10"/>
      <c r="BH24" s="10"/>
      <c r="BL24" s="10"/>
      <c r="BM24" s="10"/>
      <c r="BN24" s="10"/>
      <c r="BO24" s="10"/>
      <c r="BS24" s="10"/>
      <c r="BT24" s="10">
        <v>1</v>
      </c>
      <c r="BU24" s="10"/>
      <c r="BV24" s="10">
        <v>1</v>
      </c>
      <c r="BZ24" s="10"/>
      <c r="CA24" s="10"/>
      <c r="CB24" s="10"/>
      <c r="CC24" s="10"/>
      <c r="CG24" s="10"/>
      <c r="CH24" s="10"/>
      <c r="CI24" s="10"/>
      <c r="CJ24" s="10"/>
      <c r="CN24" s="10"/>
      <c r="CO24" s="10"/>
      <c r="CP24" s="10"/>
      <c r="CQ24" s="10"/>
      <c r="CU24" s="10"/>
      <c r="CV24" s="10"/>
      <c r="CW24" s="10"/>
      <c r="CX24" s="10"/>
      <c r="DB24" s="10"/>
      <c r="DC24" s="10"/>
      <c r="DD24" s="10"/>
      <c r="DE24" s="10"/>
      <c r="DI24" s="10"/>
      <c r="DJ24" s="10"/>
      <c r="DK24" s="10"/>
      <c r="DL24" s="10"/>
    </row>
    <row r="25" spans="2:116" outlineLevel="1" x14ac:dyDescent="0.2">
      <c r="B25" t="s">
        <v>28</v>
      </c>
      <c r="C25" t="s">
        <v>102</v>
      </c>
      <c r="E25" s="9"/>
      <c r="F25" t="s">
        <v>110</v>
      </c>
      <c r="G25" s="10"/>
      <c r="I25" s="9"/>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M25" s="10"/>
      <c r="BN25" s="10"/>
      <c r="BO25" s="10"/>
      <c r="BS25" s="10"/>
      <c r="BT25" s="10">
        <v>1</v>
      </c>
      <c r="BU25" s="10"/>
      <c r="BV25" s="10">
        <v>1</v>
      </c>
      <c r="BZ25" s="10"/>
      <c r="CA25" s="10"/>
      <c r="CB25" s="10"/>
      <c r="CC25" s="10"/>
      <c r="CG25" s="10"/>
      <c r="CH25" s="10"/>
      <c r="CI25" s="10"/>
      <c r="CJ25" s="10"/>
      <c r="CN25" s="10"/>
      <c r="CO25" s="10"/>
      <c r="CP25" s="10"/>
      <c r="CQ25" s="10"/>
      <c r="CU25" s="10"/>
      <c r="CV25" s="10"/>
      <c r="CW25" s="10"/>
      <c r="CX25" s="10"/>
      <c r="DB25" s="10"/>
      <c r="DC25" s="10"/>
      <c r="DD25" s="10"/>
      <c r="DE25" s="10"/>
      <c r="DI25" s="10"/>
      <c r="DJ25" s="10"/>
      <c r="DK25" s="10"/>
      <c r="DL25" s="10"/>
    </row>
    <row r="26" spans="2:116" outlineLevel="1" x14ac:dyDescent="0.2">
      <c r="B26" t="s">
        <v>28</v>
      </c>
      <c r="C26" t="s">
        <v>102</v>
      </c>
      <c r="E26" s="9"/>
      <c r="F26" t="s">
        <v>111</v>
      </c>
      <c r="G26" s="10"/>
      <c r="I26" s="9"/>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c r="AS26" s="10"/>
      <c r="AT26" s="10"/>
      <c r="AX26" s="10"/>
      <c r="AY26" s="10"/>
      <c r="AZ26" s="10"/>
      <c r="BA26" s="10"/>
      <c r="BE26" s="10"/>
      <c r="BF26" s="10"/>
      <c r="BG26" s="10"/>
      <c r="BH26" s="10"/>
      <c r="BL26" s="10"/>
      <c r="BM26" s="10"/>
      <c r="BN26" s="10"/>
      <c r="BO26" s="10"/>
      <c r="BS26" s="10"/>
      <c r="BT26" s="10">
        <v>1</v>
      </c>
      <c r="BU26" s="10"/>
      <c r="BV26" s="10">
        <v>1</v>
      </c>
      <c r="BZ26" s="10"/>
      <c r="CA26" s="10"/>
      <c r="CB26" s="10"/>
      <c r="CC26" s="10"/>
      <c r="CG26" s="10"/>
      <c r="CH26" s="10"/>
      <c r="CI26" s="10"/>
      <c r="CJ26" s="10"/>
      <c r="CN26" s="10"/>
      <c r="CO26" s="10"/>
      <c r="CP26" s="10"/>
      <c r="CQ26" s="10"/>
      <c r="CU26" s="10"/>
      <c r="CV26" s="10"/>
      <c r="CW26" s="10"/>
      <c r="CX26" s="10"/>
      <c r="DB26" s="10"/>
      <c r="DC26" s="10"/>
      <c r="DD26" s="10"/>
      <c r="DE26" s="10"/>
      <c r="DI26" s="10"/>
      <c r="DJ26" s="10"/>
      <c r="DK26" s="10"/>
      <c r="DL26" s="10"/>
    </row>
    <row r="27" spans="2:116" outlineLevel="1" x14ac:dyDescent="0.2">
      <c r="B27" t="s">
        <v>28</v>
      </c>
      <c r="C27" t="s">
        <v>102</v>
      </c>
      <c r="E27" s="9"/>
      <c r="F27" t="s">
        <v>112</v>
      </c>
      <c r="G27" s="10"/>
      <c r="I27" s="9"/>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10"/>
      <c r="BN27" s="10"/>
      <c r="BO27" s="10"/>
      <c r="BS27" s="10"/>
      <c r="BT27" s="10">
        <v>1</v>
      </c>
      <c r="BU27" s="10"/>
      <c r="BV27" s="10">
        <v>1</v>
      </c>
      <c r="BZ27" s="10"/>
      <c r="CA27" s="10"/>
      <c r="CB27" s="10"/>
      <c r="CC27" s="10"/>
      <c r="CG27" s="10"/>
      <c r="CH27" s="10"/>
      <c r="CI27" s="10"/>
      <c r="CJ27" s="10"/>
      <c r="CN27" s="10"/>
      <c r="CO27" s="10"/>
      <c r="CP27" s="10"/>
      <c r="CQ27" s="10"/>
      <c r="CU27" s="10"/>
      <c r="CV27" s="10"/>
      <c r="CW27" s="10"/>
      <c r="CX27" s="10"/>
      <c r="DB27" s="10"/>
      <c r="DC27" s="10"/>
      <c r="DD27" s="10"/>
      <c r="DE27" s="10"/>
      <c r="DI27" s="10"/>
      <c r="DJ27" s="10"/>
      <c r="DK27" s="10"/>
      <c r="DL27" s="10"/>
    </row>
    <row r="28" spans="2:116" outlineLevel="1" x14ac:dyDescent="0.2">
      <c r="B28" t="s">
        <v>28</v>
      </c>
      <c r="C28" t="s">
        <v>102</v>
      </c>
      <c r="E28" s="9"/>
      <c r="F28" t="s">
        <v>113</v>
      </c>
      <c r="G28" s="10"/>
      <c r="I28" s="9"/>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c r="BS28" s="10"/>
      <c r="BT28" s="10">
        <v>1</v>
      </c>
      <c r="BU28" s="10"/>
      <c r="BV28" s="10">
        <v>1</v>
      </c>
      <c r="BZ28" s="10"/>
      <c r="CA28" s="10"/>
      <c r="CB28" s="10"/>
      <c r="CC28" s="10"/>
      <c r="CG28" s="10"/>
      <c r="CH28" s="10"/>
      <c r="CI28" s="10"/>
      <c r="CJ28" s="10"/>
      <c r="CN28" s="10"/>
      <c r="CO28" s="10"/>
      <c r="CP28" s="10"/>
      <c r="CQ28" s="10"/>
      <c r="CU28" s="10"/>
      <c r="CV28" s="10"/>
      <c r="CW28" s="10"/>
      <c r="CX28" s="10"/>
      <c r="DB28" s="10"/>
      <c r="DC28" s="10"/>
      <c r="DD28" s="10"/>
      <c r="DE28" s="10"/>
      <c r="DI28" s="10"/>
      <c r="DJ28" s="10"/>
      <c r="DK28" s="10"/>
      <c r="DL28" s="10"/>
    </row>
    <row r="29" spans="2:116" outlineLevel="1" x14ac:dyDescent="0.2">
      <c r="B29" t="s">
        <v>28</v>
      </c>
      <c r="C29" t="s">
        <v>102</v>
      </c>
      <c r="E29" s="9"/>
      <c r="F29" t="s">
        <v>114</v>
      </c>
      <c r="G29" s="10"/>
      <c r="I29" s="9"/>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c r="BG29" s="10"/>
      <c r="BH29" s="10"/>
      <c r="BL29" s="10"/>
      <c r="BM29" s="10"/>
      <c r="BN29" s="10"/>
      <c r="BO29" s="10"/>
      <c r="BS29" s="10"/>
      <c r="BT29" s="10">
        <v>1</v>
      </c>
      <c r="BU29" s="10"/>
      <c r="BV29" s="10">
        <v>1</v>
      </c>
      <c r="BZ29" s="10"/>
      <c r="CA29" s="10"/>
      <c r="CB29" s="10"/>
      <c r="CC29" s="10"/>
      <c r="CG29" s="10"/>
      <c r="CH29" s="10"/>
      <c r="CI29" s="10"/>
      <c r="CJ29" s="10"/>
      <c r="CN29" s="10"/>
      <c r="CO29" s="10"/>
      <c r="CP29" s="10"/>
      <c r="CQ29" s="10"/>
      <c r="CU29" s="10"/>
      <c r="CV29" s="10"/>
      <c r="CW29" s="10"/>
      <c r="CX29" s="10"/>
      <c r="DB29" s="10"/>
      <c r="DC29" s="10"/>
      <c r="DD29" s="10"/>
      <c r="DE29" s="10"/>
      <c r="DI29" s="10"/>
      <c r="DJ29" s="10"/>
      <c r="DK29" s="10"/>
      <c r="DL29" s="10"/>
    </row>
    <row r="30" spans="2:116" outlineLevel="1" x14ac:dyDescent="0.2">
      <c r="B30" t="s">
        <v>28</v>
      </c>
      <c r="C30" t="s">
        <v>102</v>
      </c>
      <c r="E30" s="9"/>
      <c r="F30" t="s">
        <v>115</v>
      </c>
      <c r="G30" s="10"/>
      <c r="I30" s="9">
        <f t="shared" si="1"/>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c r="BS30" s="10"/>
      <c r="BT30" s="10">
        <v>1</v>
      </c>
      <c r="BU30" s="10"/>
      <c r="BV30" s="10">
        <v>1</v>
      </c>
      <c r="BZ30" s="10"/>
      <c r="CA30" s="10"/>
      <c r="CB30" s="10"/>
      <c r="CC30" s="10"/>
      <c r="CG30" s="10"/>
      <c r="CH30" s="10"/>
      <c r="CI30" s="10"/>
      <c r="CJ30" s="10"/>
      <c r="CN30" s="10"/>
      <c r="CO30" s="10"/>
      <c r="CP30" s="10"/>
      <c r="CQ30" s="10"/>
      <c r="CU30" s="10"/>
      <c r="CV30" s="10"/>
      <c r="CW30" s="10"/>
      <c r="CX30" s="10"/>
      <c r="DB30" s="10"/>
      <c r="DC30" s="10"/>
      <c r="DD30" s="10"/>
      <c r="DE30" s="10"/>
      <c r="DI30" s="10"/>
      <c r="DJ30" s="10"/>
      <c r="DK30" s="10"/>
      <c r="DL30" s="10"/>
    </row>
    <row r="32" spans="2:116" x14ac:dyDescent="0.2">
      <c r="B32" t="s">
        <v>27</v>
      </c>
      <c r="C32" t="s">
        <v>116</v>
      </c>
      <c r="D32" s="19">
        <v>45129</v>
      </c>
      <c r="E32" s="9">
        <v>6</v>
      </c>
      <c r="G32" s="10"/>
      <c r="I32" s="12">
        <f>+SUM(I33:I37)</f>
        <v>0</v>
      </c>
      <c r="J32" s="11">
        <f>+SUMPRODUCT(G33:G37,J33:J37)</f>
        <v>0</v>
      </c>
      <c r="K32" s="11">
        <f>+SUMPRODUCT(G33:G37,K33:K37)</f>
        <v>0</v>
      </c>
      <c r="L32" s="9"/>
      <c r="N32" s="12"/>
      <c r="U32" s="12"/>
      <c r="AB32" s="12"/>
      <c r="AI32" s="12"/>
      <c r="AP32" s="12"/>
      <c r="BL32" s="23"/>
      <c r="BM32" s="23"/>
      <c r="BN32" s="23"/>
      <c r="BO32" s="23"/>
      <c r="BP32" s="23"/>
      <c r="BQ32" s="23"/>
      <c r="BR32" s="23"/>
      <c r="BS32" s="23"/>
      <c r="BT32" s="24"/>
      <c r="BU32" s="23"/>
      <c r="BV32" s="24"/>
      <c r="BW32" s="23"/>
      <c r="BX32" s="23"/>
      <c r="BY32" s="23"/>
      <c r="BZ32" s="23"/>
      <c r="CA32" s="24"/>
      <c r="CB32" s="23"/>
      <c r="CC32" s="24"/>
    </row>
    <row r="33" spans="2:116" outlineLevel="1" x14ac:dyDescent="0.2">
      <c r="B33" t="s">
        <v>28</v>
      </c>
      <c r="C33" t="s">
        <v>116</v>
      </c>
      <c r="D33" t="s">
        <v>117</v>
      </c>
      <c r="E33" s="9"/>
      <c r="F33" t="s">
        <v>30</v>
      </c>
      <c r="G33" s="10"/>
      <c r="I33" s="9">
        <f t="shared" ref="I33:I37" si="2">+SUMIF($N$3:$ZZ$3,I$3,$N33:$ZZ33)</f>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c r="BZ33" s="10"/>
      <c r="CA33" s="10">
        <v>1</v>
      </c>
      <c r="CB33" s="10"/>
      <c r="CC33" s="10">
        <v>1</v>
      </c>
      <c r="CG33" s="10"/>
      <c r="CH33" s="10"/>
      <c r="CI33" s="10"/>
      <c r="CJ33" s="10"/>
      <c r="CN33" s="10"/>
      <c r="CO33" s="10"/>
      <c r="CP33" s="10"/>
      <c r="CQ33" s="10"/>
      <c r="CU33" s="10"/>
      <c r="CV33" s="10"/>
      <c r="CW33" s="10"/>
      <c r="CX33" s="10"/>
      <c r="DB33" s="10"/>
      <c r="DC33" s="10"/>
      <c r="DD33" s="10"/>
      <c r="DE33" s="10"/>
      <c r="DI33" s="10"/>
      <c r="DJ33" s="10"/>
      <c r="DK33" s="10"/>
      <c r="DL33" s="10"/>
    </row>
    <row r="34" spans="2:116" outlineLevel="1" x14ac:dyDescent="0.2">
      <c r="B34" t="s">
        <v>28</v>
      </c>
      <c r="C34" t="s">
        <v>116</v>
      </c>
      <c r="E34" s="9"/>
      <c r="F34" t="s">
        <v>118</v>
      </c>
      <c r="G34" s="10"/>
      <c r="I34" s="9">
        <f t="shared" si="2"/>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c r="BZ34" s="10"/>
      <c r="CA34" s="10">
        <v>1</v>
      </c>
      <c r="CB34" s="10"/>
      <c r="CC34" s="10">
        <v>1</v>
      </c>
      <c r="CG34" s="10"/>
      <c r="CH34" s="10"/>
      <c r="CI34" s="10"/>
      <c r="CJ34" s="10"/>
      <c r="CN34" s="10"/>
      <c r="CO34" s="10"/>
      <c r="CP34" s="10"/>
      <c r="CQ34" s="10"/>
      <c r="CU34" s="10"/>
      <c r="CV34" s="10"/>
      <c r="CW34" s="10"/>
      <c r="CX34" s="10"/>
      <c r="DB34" s="10"/>
      <c r="DC34" s="10"/>
      <c r="DD34" s="10"/>
      <c r="DE34" s="10"/>
      <c r="DI34" s="10"/>
      <c r="DJ34" s="10"/>
      <c r="DK34" s="10"/>
      <c r="DL34" s="10"/>
    </row>
    <row r="35" spans="2:116" outlineLevel="1" x14ac:dyDescent="0.2">
      <c r="B35" t="s">
        <v>28</v>
      </c>
      <c r="C35" t="s">
        <v>116</v>
      </c>
      <c r="E35" s="9"/>
      <c r="F35" t="s">
        <v>119</v>
      </c>
      <c r="G35" s="10"/>
      <c r="I35" s="9">
        <f t="shared" si="2"/>
        <v>0</v>
      </c>
      <c r="J35" s="11" cm="1">
        <f t="array" ref="J35">MAX(IF($N$3:$EH$3=$J$3,N35:EH35))</f>
        <v>0</v>
      </c>
      <c r="K35" s="11" cm="1">
        <f t="array" ref="K35">MAX(IF($N$3:$EH$3=$J$3,N35:EH35))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c r="BU35" s="10"/>
      <c r="BV35" s="10"/>
      <c r="BZ35" s="10"/>
      <c r="CA35" s="10">
        <v>1</v>
      </c>
      <c r="CB35" s="10"/>
      <c r="CC35" s="10">
        <v>1</v>
      </c>
      <c r="CG35" s="10"/>
      <c r="CH35" s="10"/>
      <c r="CI35" s="10"/>
      <c r="CJ35" s="10"/>
      <c r="CN35" s="10"/>
      <c r="CO35" s="10"/>
      <c r="CP35" s="10"/>
      <c r="CQ35" s="10"/>
      <c r="CU35" s="10"/>
      <c r="CV35" s="10"/>
      <c r="CW35" s="10"/>
      <c r="CX35" s="10"/>
      <c r="DB35" s="10"/>
      <c r="DC35" s="10"/>
      <c r="DD35" s="10"/>
      <c r="DE35" s="10"/>
      <c r="DI35" s="10"/>
      <c r="DJ35" s="10"/>
      <c r="DK35" s="10"/>
      <c r="DL35" s="10"/>
    </row>
    <row r="36" spans="2:116" outlineLevel="1" x14ac:dyDescent="0.2">
      <c r="B36" t="s">
        <v>28</v>
      </c>
      <c r="C36" t="s">
        <v>116</v>
      </c>
      <c r="E36" s="9"/>
      <c r="F36" t="s">
        <v>120</v>
      </c>
      <c r="G36" s="10"/>
      <c r="I36" s="9">
        <f t="shared" si="2"/>
        <v>0</v>
      </c>
      <c r="J36" s="11" cm="1">
        <f t="array" ref="J36">MAX(IF($N$3:$EH$3=$J$3,N36:EH36))</f>
        <v>0</v>
      </c>
      <c r="K36" s="11" cm="1">
        <f t="array" ref="K36">MAX(IF($N$3:$EH$3=$J$3,N36:EH36))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c r="BS36" s="10"/>
      <c r="BT36" s="10"/>
      <c r="BU36" s="10"/>
      <c r="BV36" s="10"/>
      <c r="BZ36" s="10"/>
      <c r="CA36" s="10">
        <v>1</v>
      </c>
      <c r="CB36" s="10"/>
      <c r="CC36" s="10">
        <v>1</v>
      </c>
      <c r="CG36" s="10"/>
      <c r="CH36" s="10"/>
      <c r="CI36" s="10"/>
      <c r="CJ36" s="10"/>
      <c r="CN36" s="10"/>
      <c r="CO36" s="10"/>
      <c r="CP36" s="10"/>
      <c r="CQ36" s="10"/>
      <c r="CU36" s="10"/>
      <c r="CV36" s="10"/>
      <c r="CW36" s="10"/>
      <c r="CX36" s="10"/>
      <c r="DB36" s="10"/>
      <c r="DC36" s="10"/>
      <c r="DD36" s="10"/>
      <c r="DE36" s="10"/>
      <c r="DI36" s="10"/>
      <c r="DJ36" s="10"/>
      <c r="DK36" s="10"/>
      <c r="DL36" s="10"/>
    </row>
    <row r="37" spans="2:116" outlineLevel="1" x14ac:dyDescent="0.2">
      <c r="B37" t="s">
        <v>28</v>
      </c>
      <c r="C37" t="s">
        <v>116</v>
      </c>
      <c r="E37" s="9"/>
      <c r="F37" t="s">
        <v>121</v>
      </c>
      <c r="G37" s="10"/>
      <c r="I37" s="9">
        <f t="shared" si="2"/>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c r="BZ37" s="10"/>
      <c r="CA37" s="10">
        <v>1</v>
      </c>
      <c r="CB37" s="10"/>
      <c r="CC37" s="10">
        <v>1</v>
      </c>
      <c r="CG37" s="10"/>
      <c r="CH37" s="10"/>
      <c r="CI37" s="10"/>
      <c r="CJ37" s="10"/>
      <c r="CN37" s="10"/>
      <c r="CO37" s="10"/>
      <c r="CP37" s="10"/>
      <c r="CQ37" s="10"/>
      <c r="CU37" s="10"/>
      <c r="CV37" s="10"/>
      <c r="CW37" s="10"/>
      <c r="CX37" s="10"/>
      <c r="DB37" s="10"/>
      <c r="DC37" s="10"/>
      <c r="DD37" s="10"/>
      <c r="DE37" s="10"/>
      <c r="DI37" s="10"/>
      <c r="DJ37" s="10"/>
      <c r="DK37" s="10"/>
      <c r="DL37" s="10"/>
    </row>
    <row r="39" spans="2:116" x14ac:dyDescent="0.2">
      <c r="B39" t="s">
        <v>27</v>
      </c>
      <c r="C39" t="s">
        <v>122</v>
      </c>
      <c r="D39" s="19">
        <v>45132</v>
      </c>
      <c r="E39" s="9">
        <v>2</v>
      </c>
      <c r="G39" s="10"/>
      <c r="I39" s="12">
        <f>+SUM(I40:I51)</f>
        <v>0</v>
      </c>
      <c r="J39" s="11">
        <f>+SUMPRODUCT(G40:G51,J40:J51)</f>
        <v>0</v>
      </c>
      <c r="K39" s="11">
        <f>+SUMPRODUCT(G40:G51,K40:K51)</f>
        <v>0</v>
      </c>
      <c r="L39" s="9"/>
      <c r="N39" s="12"/>
      <c r="U39" s="12"/>
      <c r="AB39" s="12"/>
      <c r="AI39" s="12"/>
      <c r="AP39" s="12"/>
      <c r="BZ39" s="23"/>
      <c r="CA39" s="24"/>
      <c r="CB39" s="23"/>
      <c r="CC39" s="24"/>
      <c r="CD39" s="23"/>
      <c r="CE39" s="23"/>
      <c r="CF39" s="23"/>
      <c r="CG39" s="23"/>
      <c r="CH39" s="24"/>
      <c r="CI39" s="23"/>
      <c r="CJ39" s="24"/>
      <c r="CK39" s="23"/>
    </row>
    <row r="40" spans="2:116" outlineLevel="1" x14ac:dyDescent="0.2">
      <c r="B40" t="s">
        <v>28</v>
      </c>
      <c r="C40" t="s">
        <v>122</v>
      </c>
      <c r="D40" t="s">
        <v>123</v>
      </c>
      <c r="E40" s="9"/>
      <c r="F40" t="s">
        <v>124</v>
      </c>
      <c r="G40" s="10"/>
      <c r="I40" s="9">
        <f t="shared" ref="I40:I68" si="3">+SUMIF($N$3:$ZZ$3,I$3,$N40:$ZZ40)</f>
        <v>0</v>
      </c>
      <c r="J40" s="11" cm="1">
        <f t="array" ref="J40">MAX(IF($N$3:$EH$3=$J$3,N40:EH40))</f>
        <v>0</v>
      </c>
      <c r="K40" s="11" cm="1">
        <f t="array" ref="K40">MAX(IF($N$3:$EH$3=$J$3,N40:EH40))</f>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c r="BN40" s="10"/>
      <c r="BO40" s="10"/>
      <c r="BS40" s="10"/>
      <c r="BT40" s="10"/>
      <c r="BU40" s="10"/>
      <c r="BV40" s="10"/>
      <c r="BZ40" s="10"/>
      <c r="CA40" s="10"/>
      <c r="CB40" s="10"/>
      <c r="CC40" s="10"/>
      <c r="CG40" s="10"/>
      <c r="CH40" s="10">
        <v>1</v>
      </c>
      <c r="CI40" s="10"/>
      <c r="CJ40" s="10">
        <v>1</v>
      </c>
      <c r="CN40" s="10"/>
      <c r="CO40" s="10"/>
      <c r="CP40" s="10"/>
      <c r="CQ40" s="10"/>
      <c r="CU40" s="10"/>
      <c r="CV40" s="10"/>
      <c r="CW40" s="10"/>
      <c r="CX40" s="10"/>
      <c r="DB40" s="10"/>
      <c r="DC40" s="10"/>
      <c r="DD40" s="10"/>
      <c r="DE40" s="10"/>
      <c r="DI40" s="10"/>
      <c r="DJ40" s="10"/>
      <c r="DK40" s="10"/>
      <c r="DL40" s="10"/>
    </row>
    <row r="41" spans="2:116" outlineLevel="1" x14ac:dyDescent="0.2">
      <c r="B41" t="s">
        <v>28</v>
      </c>
      <c r="C41" t="s">
        <v>122</v>
      </c>
      <c r="E41" s="9"/>
      <c r="F41" t="s">
        <v>125</v>
      </c>
      <c r="G41" s="10"/>
      <c r="I41" s="9">
        <f t="shared" si="3"/>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c r="AL41" s="10"/>
      <c r="AM41" s="10"/>
      <c r="AQ41" s="10"/>
      <c r="AR41" s="10"/>
      <c r="AS41" s="10"/>
      <c r="AT41" s="10"/>
      <c r="AX41" s="10"/>
      <c r="AY41" s="10"/>
      <c r="AZ41" s="10"/>
      <c r="BA41" s="10"/>
      <c r="BE41" s="10"/>
      <c r="BF41" s="10"/>
      <c r="BG41" s="10"/>
      <c r="BH41" s="10"/>
      <c r="BL41" s="10"/>
      <c r="BM41" s="10"/>
      <c r="BN41" s="10"/>
      <c r="BO41" s="10"/>
      <c r="BS41" s="10"/>
      <c r="BT41" s="10"/>
      <c r="BU41" s="10"/>
      <c r="BV41" s="10"/>
      <c r="BZ41" s="10"/>
      <c r="CA41" s="10"/>
      <c r="CB41" s="10"/>
      <c r="CC41" s="10"/>
      <c r="CG41" s="10"/>
      <c r="CH41" s="10">
        <v>1</v>
      </c>
      <c r="CI41" s="10"/>
      <c r="CJ41" s="10">
        <v>1</v>
      </c>
      <c r="CN41" s="10"/>
      <c r="CO41" s="10"/>
      <c r="CP41" s="10"/>
      <c r="CQ41" s="10"/>
      <c r="CU41" s="10"/>
      <c r="CV41" s="10"/>
      <c r="CW41" s="10"/>
      <c r="CX41" s="10"/>
      <c r="DB41" s="10"/>
      <c r="DC41" s="10"/>
      <c r="DD41" s="10"/>
      <c r="DE41" s="10"/>
      <c r="DI41" s="10"/>
      <c r="DJ41" s="10"/>
      <c r="DK41" s="10"/>
      <c r="DL41" s="10"/>
    </row>
    <row r="42" spans="2:116" outlineLevel="1" x14ac:dyDescent="0.2">
      <c r="B42" t="s">
        <v>28</v>
      </c>
      <c r="C42" t="s">
        <v>122</v>
      </c>
      <c r="E42" s="9"/>
      <c r="F42" t="s">
        <v>126</v>
      </c>
      <c r="G42" s="10"/>
      <c r="I42" s="9">
        <f t="shared" si="3"/>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c r="AL42" s="10"/>
      <c r="AM42" s="10"/>
      <c r="AQ42" s="10"/>
      <c r="AR42" s="10"/>
      <c r="AS42" s="10"/>
      <c r="AT42" s="10"/>
      <c r="AX42" s="10"/>
      <c r="AY42" s="10"/>
      <c r="AZ42" s="10"/>
      <c r="BA42" s="10"/>
      <c r="BE42" s="10"/>
      <c r="BF42" s="10"/>
      <c r="BG42" s="10"/>
      <c r="BH42" s="10"/>
      <c r="BL42" s="10"/>
      <c r="BM42" s="10"/>
      <c r="BN42" s="10"/>
      <c r="BO42" s="10"/>
      <c r="BS42" s="10"/>
      <c r="BT42" s="10"/>
      <c r="BU42" s="10"/>
      <c r="BV42" s="10"/>
      <c r="BZ42" s="10"/>
      <c r="CA42" s="10"/>
      <c r="CB42" s="10"/>
      <c r="CC42" s="10"/>
      <c r="CG42" s="10"/>
      <c r="CH42" s="10">
        <v>1</v>
      </c>
      <c r="CI42" s="10"/>
      <c r="CJ42" s="10">
        <v>1</v>
      </c>
      <c r="CN42" s="10"/>
      <c r="CO42" s="10"/>
      <c r="CP42" s="10"/>
      <c r="CQ42" s="10"/>
      <c r="CU42" s="10"/>
      <c r="CV42" s="10"/>
      <c r="CW42" s="10"/>
      <c r="CX42" s="10"/>
      <c r="DB42" s="10"/>
      <c r="DC42" s="10"/>
      <c r="DD42" s="10"/>
      <c r="DE42" s="10"/>
      <c r="DI42" s="10"/>
      <c r="DJ42" s="10"/>
      <c r="DK42" s="10"/>
      <c r="DL42" s="10"/>
    </row>
    <row r="43" spans="2:116" outlineLevel="1" x14ac:dyDescent="0.2">
      <c r="B43" t="s">
        <v>28</v>
      </c>
      <c r="C43" t="s">
        <v>122</v>
      </c>
      <c r="E43" s="9"/>
      <c r="F43" t="s">
        <v>127</v>
      </c>
      <c r="G43" s="10"/>
      <c r="I43" s="9">
        <f t="shared" si="3"/>
        <v>0</v>
      </c>
      <c r="J43" s="11" cm="1">
        <f t="array" ref="J43">MAX(IF($N$3:$EH$3=$J$3,N43:EH43))</f>
        <v>0</v>
      </c>
      <c r="K43" s="11" cm="1">
        <f t="array" ref="K43">MAX(IF($N$3:$EH$3=$J$3,N43:EH43))</f>
        <v>0</v>
      </c>
      <c r="L43" s="9"/>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c r="BG43" s="10"/>
      <c r="BH43" s="10"/>
      <c r="BL43" s="10"/>
      <c r="BM43" s="10"/>
      <c r="BN43" s="10"/>
      <c r="BO43" s="10"/>
      <c r="BS43" s="10"/>
      <c r="BT43" s="10"/>
      <c r="BU43" s="10"/>
      <c r="BV43" s="10"/>
      <c r="BZ43" s="10"/>
      <c r="CA43" s="10"/>
      <c r="CB43" s="10"/>
      <c r="CC43" s="10"/>
      <c r="CG43" s="10"/>
      <c r="CH43" s="10">
        <v>1</v>
      </c>
      <c r="CI43" s="10"/>
      <c r="CJ43" s="10">
        <v>1</v>
      </c>
      <c r="CN43" s="10"/>
      <c r="CO43" s="10"/>
      <c r="CP43" s="10"/>
      <c r="CQ43" s="10"/>
      <c r="CU43" s="10"/>
      <c r="CV43" s="10"/>
      <c r="CW43" s="10"/>
      <c r="CX43" s="10"/>
      <c r="DB43" s="10"/>
      <c r="DC43" s="10"/>
      <c r="DD43" s="10"/>
      <c r="DE43" s="10"/>
      <c r="DI43" s="10"/>
      <c r="DJ43" s="10"/>
      <c r="DK43" s="10"/>
      <c r="DL43" s="10"/>
    </row>
    <row r="44" spans="2:116" outlineLevel="1" x14ac:dyDescent="0.2">
      <c r="B44" t="s">
        <v>28</v>
      </c>
      <c r="C44" t="s">
        <v>122</v>
      </c>
      <c r="E44" s="9"/>
      <c r="F44" t="s">
        <v>128</v>
      </c>
      <c r="G44" s="10"/>
      <c r="I44" s="9">
        <f t="shared" si="3"/>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c r="AL44" s="10"/>
      <c r="AM44" s="10"/>
      <c r="AQ44" s="10"/>
      <c r="AR44" s="10"/>
      <c r="AS44" s="10"/>
      <c r="AT44" s="10"/>
      <c r="AX44" s="10"/>
      <c r="AY44" s="10"/>
      <c r="AZ44" s="10"/>
      <c r="BA44" s="10"/>
      <c r="BE44" s="10"/>
      <c r="BF44" s="10"/>
      <c r="BG44" s="10"/>
      <c r="BH44" s="10"/>
      <c r="BL44" s="10"/>
      <c r="BM44" s="10"/>
      <c r="BN44" s="10"/>
      <c r="BO44" s="10"/>
      <c r="BS44" s="10"/>
      <c r="BT44" s="10"/>
      <c r="BU44" s="10"/>
      <c r="BV44" s="10"/>
      <c r="BZ44" s="10"/>
      <c r="CA44" s="10"/>
      <c r="CB44" s="10"/>
      <c r="CC44" s="10"/>
      <c r="CG44" s="10"/>
      <c r="CH44" s="10">
        <v>1</v>
      </c>
      <c r="CI44" s="10"/>
      <c r="CJ44" s="10">
        <v>1</v>
      </c>
      <c r="CN44" s="10"/>
      <c r="CO44" s="10"/>
      <c r="CP44" s="10"/>
      <c r="CQ44" s="10"/>
      <c r="CU44" s="10"/>
      <c r="CV44" s="10"/>
      <c r="CW44" s="10"/>
      <c r="CX44" s="10"/>
      <c r="DB44" s="10"/>
      <c r="DC44" s="10"/>
      <c r="DD44" s="10"/>
      <c r="DE44" s="10"/>
      <c r="DI44" s="10"/>
      <c r="DJ44" s="10"/>
      <c r="DK44" s="10"/>
      <c r="DL44" s="10"/>
    </row>
    <row r="45" spans="2:116" outlineLevel="1" x14ac:dyDescent="0.2">
      <c r="B45" t="s">
        <v>28</v>
      </c>
      <c r="C45" t="s">
        <v>122</v>
      </c>
      <c r="E45" s="9"/>
      <c r="F45" t="s">
        <v>129</v>
      </c>
      <c r="G45" s="10"/>
      <c r="I45" s="9">
        <f t="shared" si="3"/>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c r="AL45" s="10"/>
      <c r="AM45" s="10"/>
      <c r="AQ45" s="10"/>
      <c r="AR45" s="10"/>
      <c r="AS45" s="10"/>
      <c r="AT45" s="10"/>
      <c r="AX45" s="10"/>
      <c r="AY45" s="10"/>
      <c r="AZ45" s="10"/>
      <c r="BA45" s="10"/>
      <c r="BE45" s="10"/>
      <c r="BF45" s="10"/>
      <c r="BG45" s="10"/>
      <c r="BH45" s="10"/>
      <c r="BL45" s="10"/>
      <c r="BM45" s="10"/>
      <c r="BN45" s="10"/>
      <c r="BO45" s="10"/>
      <c r="BS45" s="10"/>
      <c r="BT45" s="10"/>
      <c r="BU45" s="10"/>
      <c r="BV45" s="10"/>
      <c r="BZ45" s="10"/>
      <c r="CA45" s="10"/>
      <c r="CB45" s="10"/>
      <c r="CC45" s="10"/>
      <c r="CG45" s="10"/>
      <c r="CH45" s="10">
        <v>1</v>
      </c>
      <c r="CI45" s="10"/>
      <c r="CJ45" s="10">
        <v>1</v>
      </c>
      <c r="CN45" s="10"/>
      <c r="CO45" s="10"/>
      <c r="CP45" s="10"/>
      <c r="CQ45" s="10"/>
      <c r="CU45" s="10"/>
      <c r="CV45" s="10"/>
      <c r="CW45" s="10"/>
      <c r="CX45" s="10"/>
      <c r="DB45" s="10"/>
      <c r="DC45" s="10"/>
      <c r="DD45" s="10"/>
      <c r="DE45" s="10"/>
      <c r="DI45" s="10"/>
      <c r="DJ45" s="10"/>
      <c r="DK45" s="10"/>
      <c r="DL45" s="10"/>
    </row>
    <row r="46" spans="2:116" outlineLevel="1" x14ac:dyDescent="0.2">
      <c r="B46" t="s">
        <v>28</v>
      </c>
      <c r="C46" t="s">
        <v>122</v>
      </c>
      <c r="E46" s="9"/>
      <c r="F46" t="s">
        <v>130</v>
      </c>
      <c r="G46" s="10"/>
      <c r="I46" s="9"/>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c r="AS46" s="10"/>
      <c r="AT46" s="10"/>
      <c r="AX46" s="10"/>
      <c r="AY46" s="10"/>
      <c r="AZ46" s="10"/>
      <c r="BA46" s="10"/>
      <c r="BE46" s="10"/>
      <c r="BF46" s="10"/>
      <c r="BG46" s="10"/>
      <c r="BH46" s="10"/>
      <c r="BL46" s="10"/>
      <c r="BM46" s="10"/>
      <c r="BN46" s="10"/>
      <c r="BO46" s="10"/>
      <c r="BS46" s="10"/>
      <c r="BT46" s="10"/>
      <c r="BU46" s="10"/>
      <c r="BV46" s="10"/>
      <c r="BZ46" s="10"/>
      <c r="CA46" s="10"/>
      <c r="CB46" s="10"/>
      <c r="CC46" s="10"/>
      <c r="CG46" s="10"/>
      <c r="CH46" s="10">
        <v>1</v>
      </c>
      <c r="CI46" s="10"/>
      <c r="CJ46" s="10">
        <v>1</v>
      </c>
      <c r="CN46" s="10"/>
      <c r="CO46" s="10"/>
      <c r="CP46" s="10"/>
      <c r="CQ46" s="10"/>
      <c r="CU46" s="10"/>
      <c r="CV46" s="10"/>
      <c r="CW46" s="10"/>
      <c r="CX46" s="10"/>
      <c r="DB46" s="10"/>
      <c r="DC46" s="10"/>
      <c r="DD46" s="10"/>
      <c r="DE46" s="10"/>
      <c r="DI46" s="10"/>
      <c r="DJ46" s="10"/>
      <c r="DK46" s="10"/>
      <c r="DL46" s="10"/>
    </row>
    <row r="47" spans="2:116" outlineLevel="1" x14ac:dyDescent="0.2">
      <c r="B47" t="s">
        <v>28</v>
      </c>
      <c r="C47" t="s">
        <v>122</v>
      </c>
      <c r="E47" s="9"/>
      <c r="F47" t="s">
        <v>131</v>
      </c>
      <c r="G47" s="10"/>
      <c r="I47" s="9"/>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c r="BU47" s="10"/>
      <c r="BV47" s="10"/>
      <c r="BZ47" s="10"/>
      <c r="CA47" s="10"/>
      <c r="CB47" s="10"/>
      <c r="CC47" s="10"/>
      <c r="CG47" s="10"/>
      <c r="CH47" s="10">
        <v>1</v>
      </c>
      <c r="CI47" s="10"/>
      <c r="CJ47" s="10">
        <v>1</v>
      </c>
      <c r="CN47" s="10"/>
      <c r="CO47" s="10"/>
      <c r="CP47" s="10"/>
      <c r="CQ47" s="10"/>
      <c r="CU47" s="10"/>
      <c r="CV47" s="10"/>
      <c r="CW47" s="10"/>
      <c r="CX47" s="10"/>
      <c r="DB47" s="10"/>
      <c r="DC47" s="10"/>
      <c r="DD47" s="10"/>
      <c r="DE47" s="10"/>
      <c r="DI47" s="10"/>
      <c r="DJ47" s="10"/>
      <c r="DK47" s="10"/>
      <c r="DL47" s="10"/>
    </row>
    <row r="48" spans="2:116" outlineLevel="1" x14ac:dyDescent="0.2">
      <c r="B48" t="s">
        <v>28</v>
      </c>
      <c r="C48" t="s">
        <v>122</v>
      </c>
      <c r="E48" s="9"/>
      <c r="F48" t="s">
        <v>132</v>
      </c>
      <c r="G48" s="10"/>
      <c r="I48" s="9"/>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c r="BN48" s="10"/>
      <c r="BO48" s="10"/>
      <c r="BS48" s="10"/>
      <c r="BT48" s="10"/>
      <c r="BU48" s="10"/>
      <c r="BV48" s="10"/>
      <c r="BZ48" s="10"/>
      <c r="CA48" s="10"/>
      <c r="CB48" s="10"/>
      <c r="CC48" s="10"/>
      <c r="CG48" s="10"/>
      <c r="CH48" s="10">
        <v>1</v>
      </c>
      <c r="CI48" s="10"/>
      <c r="CJ48" s="10">
        <v>1</v>
      </c>
      <c r="CN48" s="10"/>
      <c r="CO48" s="10"/>
      <c r="CP48" s="10"/>
      <c r="CQ48" s="10"/>
      <c r="CU48" s="10"/>
      <c r="CV48" s="10"/>
      <c r="CW48" s="10"/>
      <c r="CX48" s="10"/>
      <c r="DB48" s="10"/>
      <c r="DC48" s="10"/>
      <c r="DD48" s="10"/>
      <c r="DE48" s="10"/>
      <c r="DI48" s="10"/>
      <c r="DJ48" s="10"/>
      <c r="DK48" s="10"/>
      <c r="DL48" s="10"/>
    </row>
    <row r="49" spans="2:116" outlineLevel="1" x14ac:dyDescent="0.2">
      <c r="B49" t="s">
        <v>28</v>
      </c>
      <c r="C49" t="s">
        <v>122</v>
      </c>
      <c r="E49" s="9"/>
      <c r="F49" t="s">
        <v>133</v>
      </c>
      <c r="G49" s="10"/>
      <c r="I49" s="9"/>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c r="BN49" s="10"/>
      <c r="BO49" s="10"/>
      <c r="BS49" s="10"/>
      <c r="BT49" s="10"/>
      <c r="BU49" s="10"/>
      <c r="BV49" s="10"/>
      <c r="BZ49" s="10"/>
      <c r="CA49" s="10"/>
      <c r="CB49" s="10"/>
      <c r="CC49" s="10"/>
      <c r="CG49" s="10"/>
      <c r="CH49" s="10">
        <v>1</v>
      </c>
      <c r="CI49" s="10"/>
      <c r="CJ49" s="10">
        <v>1</v>
      </c>
      <c r="CN49" s="10"/>
      <c r="CO49" s="10"/>
      <c r="CP49" s="10"/>
      <c r="CQ49" s="10"/>
      <c r="CU49" s="10"/>
      <c r="CV49" s="10"/>
      <c r="CW49" s="10"/>
      <c r="CX49" s="10"/>
      <c r="DB49" s="10"/>
      <c r="DC49" s="10"/>
      <c r="DD49" s="10"/>
      <c r="DE49" s="10"/>
      <c r="DI49" s="10"/>
      <c r="DJ49" s="10"/>
      <c r="DK49" s="10"/>
      <c r="DL49" s="10"/>
    </row>
    <row r="50" spans="2:116" outlineLevel="1" x14ac:dyDescent="0.2">
      <c r="B50" t="s">
        <v>28</v>
      </c>
      <c r="C50" t="s">
        <v>122</v>
      </c>
      <c r="E50" s="9"/>
      <c r="F50" t="s">
        <v>134</v>
      </c>
      <c r="G50" s="10"/>
      <c r="I50" s="9"/>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10"/>
      <c r="AS50" s="10"/>
      <c r="AT50" s="10"/>
      <c r="AX50" s="10"/>
      <c r="AY50" s="10"/>
      <c r="AZ50" s="10"/>
      <c r="BA50" s="10"/>
      <c r="BE50" s="10"/>
      <c r="BF50" s="10"/>
      <c r="BG50" s="10"/>
      <c r="BH50" s="10"/>
      <c r="BL50" s="10"/>
      <c r="BM50" s="10"/>
      <c r="BN50" s="10"/>
      <c r="BO50" s="10"/>
      <c r="BS50" s="10"/>
      <c r="BT50" s="10"/>
      <c r="BU50" s="10"/>
      <c r="BV50" s="10"/>
      <c r="BZ50" s="10"/>
      <c r="CA50" s="10"/>
      <c r="CB50" s="10"/>
      <c r="CC50" s="10"/>
      <c r="CG50" s="10"/>
      <c r="CH50" s="10">
        <v>1</v>
      </c>
      <c r="CI50" s="10"/>
      <c r="CJ50" s="10">
        <v>1</v>
      </c>
      <c r="CN50" s="10"/>
      <c r="CO50" s="10"/>
      <c r="CP50" s="10"/>
      <c r="CQ50" s="10"/>
      <c r="CU50" s="10"/>
      <c r="CV50" s="10"/>
      <c r="CW50" s="10"/>
      <c r="CX50" s="10"/>
      <c r="DB50" s="10"/>
      <c r="DC50" s="10"/>
      <c r="DD50" s="10"/>
      <c r="DE50" s="10"/>
      <c r="DI50" s="10"/>
      <c r="DJ50" s="10"/>
      <c r="DK50" s="10"/>
      <c r="DL50" s="10"/>
    </row>
    <row r="51" spans="2:116" outlineLevel="1" x14ac:dyDescent="0.2">
      <c r="B51" t="s">
        <v>28</v>
      </c>
      <c r="C51" t="s">
        <v>122</v>
      </c>
      <c r="E51" s="9"/>
      <c r="F51" t="s">
        <v>135</v>
      </c>
      <c r="G51" s="10"/>
      <c r="I51" s="9">
        <f t="shared" si="3"/>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c r="BG51" s="10"/>
      <c r="BH51" s="10"/>
      <c r="BL51" s="10"/>
      <c r="BM51" s="10"/>
      <c r="BN51" s="10"/>
      <c r="BO51" s="10"/>
      <c r="BS51" s="10"/>
      <c r="BT51" s="10"/>
      <c r="BU51" s="10"/>
      <c r="BV51" s="10"/>
      <c r="BZ51" s="10"/>
      <c r="CA51" s="10"/>
      <c r="CB51" s="10"/>
      <c r="CC51" s="10"/>
      <c r="CG51" s="10"/>
      <c r="CH51" s="10">
        <v>1</v>
      </c>
      <c r="CI51" s="10"/>
      <c r="CJ51" s="10">
        <v>1</v>
      </c>
      <c r="CN51" s="10"/>
      <c r="CO51" s="10"/>
      <c r="CP51" s="10"/>
      <c r="CQ51" s="10"/>
      <c r="CU51" s="10"/>
      <c r="CV51" s="10"/>
      <c r="CW51" s="10"/>
      <c r="CX51" s="10"/>
      <c r="DB51" s="10"/>
      <c r="DC51" s="10"/>
      <c r="DD51" s="10"/>
      <c r="DE51" s="10"/>
      <c r="DI51" s="10"/>
      <c r="DJ51" s="10"/>
      <c r="DK51" s="10"/>
      <c r="DL51" s="10"/>
    </row>
    <row r="53" spans="2:116" x14ac:dyDescent="0.2">
      <c r="B53" t="s">
        <v>27</v>
      </c>
      <c r="C53" t="s">
        <v>136</v>
      </c>
      <c r="D53" s="19">
        <v>45145</v>
      </c>
      <c r="E53" s="9">
        <v>6</v>
      </c>
      <c r="G53" s="10"/>
      <c r="I53" s="12">
        <f>+SUM(I54:I68)</f>
        <v>0</v>
      </c>
      <c r="J53" s="11">
        <f>+SUMPRODUCT(G54:G68,J54:J68)</f>
        <v>0</v>
      </c>
      <c r="K53" s="11">
        <f>+SUMPRODUCT(G54:G68,K54:K68)</f>
        <v>0</v>
      </c>
      <c r="L53" s="9"/>
      <c r="N53" s="12"/>
      <c r="U53" s="12"/>
      <c r="AB53" s="12"/>
      <c r="AI53" s="12"/>
      <c r="AP53" s="12"/>
      <c r="CN53" s="10"/>
      <c r="CO53" s="10"/>
      <c r="CP53" s="10"/>
      <c r="CQ53" s="10"/>
      <c r="CU53" s="21"/>
      <c r="CV53" s="10">
        <v>1</v>
      </c>
      <c r="CW53" s="22"/>
      <c r="CX53" s="10">
        <v>1</v>
      </c>
    </row>
    <row r="54" spans="2:116" outlineLevel="1" x14ac:dyDescent="0.2">
      <c r="B54" t="s">
        <v>28</v>
      </c>
      <c r="C54" t="s">
        <v>136</v>
      </c>
      <c r="E54" s="9"/>
      <c r="F54" t="s">
        <v>137</v>
      </c>
      <c r="G54" s="10"/>
      <c r="I54" s="9">
        <f t="shared" si="3"/>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c r="BG54" s="10"/>
      <c r="BH54" s="10"/>
      <c r="BL54" s="10"/>
      <c r="BM54" s="10"/>
      <c r="BN54" s="10"/>
      <c r="BO54" s="10"/>
      <c r="BS54" s="10"/>
      <c r="BT54" s="10"/>
      <c r="BU54" s="10"/>
      <c r="BV54" s="10"/>
      <c r="BZ54" s="10"/>
      <c r="CA54" s="10"/>
      <c r="CB54" s="10"/>
      <c r="CC54" s="10"/>
      <c r="CG54" s="10"/>
      <c r="CH54" s="10"/>
      <c r="CI54" s="10"/>
      <c r="CJ54" s="10"/>
      <c r="CN54" s="10"/>
      <c r="CO54" s="10"/>
      <c r="CP54" s="10"/>
      <c r="CQ54" s="10"/>
      <c r="CU54" s="10"/>
      <c r="CV54" s="10">
        <v>1</v>
      </c>
      <c r="CW54" s="21"/>
      <c r="CX54" s="10">
        <v>1</v>
      </c>
      <c r="DB54" s="10"/>
      <c r="DC54" s="10"/>
      <c r="DD54" s="10"/>
      <c r="DE54" s="10"/>
      <c r="DI54" s="10"/>
      <c r="DJ54" s="10"/>
      <c r="DK54" s="10"/>
      <c r="DL54" s="10"/>
    </row>
    <row r="55" spans="2:116" outlineLevel="1" x14ac:dyDescent="0.2">
      <c r="B55" t="s">
        <v>28</v>
      </c>
      <c r="C55" t="s">
        <v>136</v>
      </c>
      <c r="E55" s="9"/>
      <c r="F55" t="s">
        <v>138</v>
      </c>
      <c r="G55" s="10"/>
      <c r="I55" s="9">
        <f t="shared" si="3"/>
        <v>0</v>
      </c>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c r="BN55" s="10"/>
      <c r="BO55" s="10"/>
      <c r="BS55" s="10"/>
      <c r="BT55" s="10"/>
      <c r="BU55" s="10"/>
      <c r="BV55" s="10"/>
      <c r="BZ55" s="10"/>
      <c r="CA55" s="10"/>
      <c r="CB55" s="10"/>
      <c r="CC55" s="10"/>
      <c r="CG55" s="10"/>
      <c r="CH55" s="10"/>
      <c r="CI55" s="10"/>
      <c r="CJ55" s="10"/>
      <c r="CN55" s="10"/>
      <c r="CO55" s="10"/>
      <c r="CP55" s="10"/>
      <c r="CQ55" s="10"/>
      <c r="CU55" s="10"/>
      <c r="CV55" s="10">
        <v>1</v>
      </c>
      <c r="CW55" s="10"/>
      <c r="CX55" s="10">
        <v>1</v>
      </c>
      <c r="DB55" s="10"/>
      <c r="DC55" s="10"/>
      <c r="DD55" s="10"/>
      <c r="DE55" s="10"/>
      <c r="DI55" s="10"/>
      <c r="DJ55" s="10"/>
      <c r="DK55" s="10"/>
      <c r="DL55" s="10"/>
    </row>
    <row r="56" spans="2:116" outlineLevel="1" x14ac:dyDescent="0.2">
      <c r="B56" t="s">
        <v>28</v>
      </c>
      <c r="C56" t="s">
        <v>136</v>
      </c>
      <c r="E56" s="9"/>
      <c r="F56" t="s">
        <v>139</v>
      </c>
      <c r="G56" s="10"/>
      <c r="I56" s="9">
        <f t="shared" si="3"/>
        <v>0</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S56" s="10"/>
      <c r="BT56" s="10"/>
      <c r="BU56" s="10"/>
      <c r="BV56" s="10"/>
      <c r="BZ56" s="10"/>
      <c r="CA56" s="10"/>
      <c r="CB56" s="10"/>
      <c r="CC56" s="10"/>
      <c r="CG56" s="10"/>
      <c r="CH56" s="10"/>
      <c r="CI56" s="10"/>
      <c r="CJ56" s="10"/>
      <c r="CN56" s="10"/>
      <c r="CO56" s="10"/>
      <c r="CP56" s="10"/>
      <c r="CQ56" s="10"/>
      <c r="CU56" s="10"/>
      <c r="CV56" s="10">
        <v>1</v>
      </c>
      <c r="CW56" s="10"/>
      <c r="CX56" s="10">
        <v>1</v>
      </c>
      <c r="DB56" s="10"/>
      <c r="DC56" s="10"/>
      <c r="DD56" s="10"/>
      <c r="DE56" s="10"/>
      <c r="DI56" s="10"/>
      <c r="DJ56" s="10"/>
      <c r="DK56" s="10"/>
      <c r="DL56" s="10"/>
    </row>
    <row r="57" spans="2:116" outlineLevel="1" x14ac:dyDescent="0.2">
      <c r="B57" t="s">
        <v>28</v>
      </c>
      <c r="C57" t="s">
        <v>136</v>
      </c>
      <c r="E57" s="9"/>
      <c r="F57" t="s">
        <v>140</v>
      </c>
      <c r="G57" s="10"/>
      <c r="I57" s="9">
        <f t="shared" si="3"/>
        <v>0</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c r="BG57" s="10"/>
      <c r="BH57" s="10"/>
      <c r="BL57" s="10"/>
      <c r="BM57" s="10"/>
      <c r="BN57" s="10"/>
      <c r="BO57" s="10"/>
      <c r="BS57" s="10"/>
      <c r="BT57" s="10"/>
      <c r="BU57" s="10"/>
      <c r="BV57" s="10"/>
      <c r="BZ57" s="10"/>
      <c r="CA57" s="10"/>
      <c r="CB57" s="10"/>
      <c r="CC57" s="10"/>
      <c r="CG57" s="10"/>
      <c r="CH57" s="10"/>
      <c r="CI57" s="10"/>
      <c r="CJ57" s="10"/>
      <c r="CN57" s="10"/>
      <c r="CO57" s="10"/>
      <c r="CP57" s="10"/>
      <c r="CQ57" s="10"/>
      <c r="CU57" s="10"/>
      <c r="CV57" s="10">
        <v>1</v>
      </c>
      <c r="CW57" s="10"/>
      <c r="CX57" s="10">
        <v>1</v>
      </c>
      <c r="DB57" s="10"/>
      <c r="DC57" s="10"/>
      <c r="DD57" s="10"/>
      <c r="DE57" s="10"/>
      <c r="DI57" s="10"/>
      <c r="DJ57" s="10"/>
      <c r="DK57" s="10"/>
      <c r="DL57" s="10"/>
    </row>
    <row r="58" spans="2:116" outlineLevel="1" x14ac:dyDescent="0.2">
      <c r="B58" t="s">
        <v>28</v>
      </c>
      <c r="C58" t="s">
        <v>136</v>
      </c>
      <c r="E58" s="9"/>
      <c r="F58" t="s">
        <v>141</v>
      </c>
      <c r="G58" s="10"/>
      <c r="I58" s="9">
        <f t="shared" si="3"/>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c r="BN58" s="10"/>
      <c r="BO58" s="10"/>
      <c r="BS58" s="10"/>
      <c r="BT58" s="10"/>
      <c r="BU58" s="10"/>
      <c r="BV58" s="10"/>
      <c r="BZ58" s="10"/>
      <c r="CA58" s="10"/>
      <c r="CB58" s="10"/>
      <c r="CC58" s="10"/>
      <c r="CG58" s="10"/>
      <c r="CH58" s="10"/>
      <c r="CI58" s="10"/>
      <c r="CJ58" s="10"/>
      <c r="CN58" s="10"/>
      <c r="CO58" s="10"/>
      <c r="CP58" s="10"/>
      <c r="CQ58" s="10"/>
      <c r="CU58" s="10"/>
      <c r="CV58" s="10">
        <v>1</v>
      </c>
      <c r="CW58" s="10"/>
      <c r="CX58" s="10">
        <v>1</v>
      </c>
      <c r="DB58" s="10"/>
      <c r="DC58" s="10"/>
      <c r="DD58" s="10"/>
      <c r="DE58" s="10"/>
      <c r="DI58" s="10"/>
      <c r="DJ58" s="10"/>
      <c r="DK58" s="10"/>
      <c r="DL58" s="10"/>
    </row>
    <row r="59" spans="2:116" outlineLevel="1" x14ac:dyDescent="0.2">
      <c r="B59" t="s">
        <v>28</v>
      </c>
      <c r="C59" t="s">
        <v>136</v>
      </c>
      <c r="E59" s="9"/>
      <c r="F59" t="s">
        <v>142</v>
      </c>
      <c r="G59" s="10"/>
      <c r="I59" s="9">
        <f t="shared" si="3"/>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c r="BN59" s="10"/>
      <c r="BO59" s="10"/>
      <c r="BS59" s="10"/>
      <c r="BT59" s="10"/>
      <c r="BU59" s="10"/>
      <c r="BV59" s="10"/>
      <c r="BZ59" s="10"/>
      <c r="CA59" s="10"/>
      <c r="CB59" s="10"/>
      <c r="CC59" s="10"/>
      <c r="CG59" s="10"/>
      <c r="CH59" s="10"/>
      <c r="CI59" s="10"/>
      <c r="CJ59" s="10"/>
      <c r="CN59" s="10"/>
      <c r="CO59" s="10"/>
      <c r="CP59" s="10"/>
      <c r="CQ59" s="10"/>
      <c r="CU59" s="10"/>
      <c r="CV59" s="10">
        <v>1</v>
      </c>
      <c r="CW59" s="10"/>
      <c r="CX59" s="10">
        <v>1</v>
      </c>
      <c r="DB59" s="10"/>
      <c r="DC59" s="10"/>
      <c r="DD59" s="10"/>
      <c r="DE59" s="10"/>
      <c r="DI59" s="10"/>
      <c r="DJ59" s="10"/>
      <c r="DK59" s="10"/>
      <c r="DL59" s="10"/>
    </row>
    <row r="60" spans="2:116" outlineLevel="1" x14ac:dyDescent="0.2">
      <c r="B60" t="s">
        <v>28</v>
      </c>
      <c r="C60" t="s">
        <v>136</v>
      </c>
      <c r="E60" s="9"/>
      <c r="F60" t="s">
        <v>143</v>
      </c>
      <c r="G60" s="10"/>
      <c r="I60" s="9">
        <f t="shared" si="3"/>
        <v>0</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c r="AS60" s="10"/>
      <c r="AT60" s="10"/>
      <c r="AX60" s="10"/>
      <c r="AY60" s="10"/>
      <c r="AZ60" s="10"/>
      <c r="BA60" s="10"/>
      <c r="BE60" s="10"/>
      <c r="BF60" s="10"/>
      <c r="BG60" s="10"/>
      <c r="BH60" s="10"/>
      <c r="BL60" s="10"/>
      <c r="BM60" s="10"/>
      <c r="BN60" s="10"/>
      <c r="BO60" s="10"/>
      <c r="BS60" s="10"/>
      <c r="BT60" s="10"/>
      <c r="BU60" s="10"/>
      <c r="BV60" s="10"/>
      <c r="BZ60" s="10"/>
      <c r="CA60" s="10"/>
      <c r="CB60" s="10"/>
      <c r="CC60" s="10"/>
      <c r="CG60" s="10"/>
      <c r="CH60" s="10"/>
      <c r="CI60" s="10"/>
      <c r="CJ60" s="10"/>
      <c r="CN60" s="10"/>
      <c r="CO60" s="10"/>
      <c r="CP60" s="10"/>
      <c r="CQ60" s="10"/>
      <c r="CU60" s="10"/>
      <c r="CV60" s="10">
        <v>1</v>
      </c>
      <c r="CW60" s="10"/>
      <c r="CX60" s="10">
        <v>1</v>
      </c>
      <c r="DB60" s="10"/>
      <c r="DC60" s="10"/>
      <c r="DD60" s="10"/>
      <c r="DE60" s="10"/>
      <c r="DI60" s="10"/>
      <c r="DJ60" s="10"/>
      <c r="DK60" s="10"/>
      <c r="DL60" s="10"/>
    </row>
    <row r="61" spans="2:116" outlineLevel="1" x14ac:dyDescent="0.2">
      <c r="B61" t="s">
        <v>28</v>
      </c>
      <c r="C61" t="s">
        <v>136</v>
      </c>
      <c r="E61" s="9"/>
      <c r="F61" t="s">
        <v>144</v>
      </c>
      <c r="G61" s="10"/>
      <c r="I61" s="9">
        <f t="shared" si="3"/>
        <v>0</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c r="BG61" s="10"/>
      <c r="BH61" s="10"/>
      <c r="BL61" s="10"/>
      <c r="BM61" s="10"/>
      <c r="BN61" s="10"/>
      <c r="BO61" s="10"/>
      <c r="BS61" s="10"/>
      <c r="BT61" s="10"/>
      <c r="BU61" s="10"/>
      <c r="BV61" s="10"/>
      <c r="BZ61" s="10"/>
      <c r="CA61" s="10"/>
      <c r="CB61" s="10"/>
      <c r="CC61" s="10"/>
      <c r="CG61" s="10"/>
      <c r="CH61" s="10"/>
      <c r="CI61" s="10"/>
      <c r="CJ61" s="10"/>
      <c r="CN61" s="10"/>
      <c r="CO61" s="10"/>
      <c r="CP61" s="10"/>
      <c r="CQ61" s="10"/>
      <c r="CU61" s="10"/>
      <c r="CV61" s="10">
        <v>1</v>
      </c>
      <c r="CW61" s="10"/>
      <c r="CX61" s="10">
        <v>1</v>
      </c>
      <c r="DB61" s="10"/>
      <c r="DC61" s="10"/>
      <c r="DD61" s="10"/>
      <c r="DE61" s="10"/>
      <c r="DI61" s="10"/>
      <c r="DJ61" s="10"/>
      <c r="DK61" s="10"/>
      <c r="DL61" s="10"/>
    </row>
    <row r="62" spans="2:116" outlineLevel="1" x14ac:dyDescent="0.2">
      <c r="B62" t="s">
        <v>28</v>
      </c>
      <c r="C62" t="s">
        <v>136</v>
      </c>
      <c r="E62" s="9"/>
      <c r="F62" t="s">
        <v>145</v>
      </c>
      <c r="G62" s="10"/>
      <c r="I62" s="9">
        <f t="shared" si="3"/>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c r="BG62" s="10"/>
      <c r="BH62" s="10"/>
      <c r="BL62" s="10"/>
      <c r="BM62" s="10"/>
      <c r="BN62" s="10"/>
      <c r="BO62" s="10"/>
      <c r="BS62" s="10"/>
      <c r="BT62" s="10"/>
      <c r="BU62" s="10"/>
      <c r="BV62" s="10"/>
      <c r="BZ62" s="10"/>
      <c r="CA62" s="10"/>
      <c r="CB62" s="10"/>
      <c r="CC62" s="10"/>
      <c r="CG62" s="10"/>
      <c r="CH62" s="10"/>
      <c r="CI62" s="10"/>
      <c r="CJ62" s="10"/>
      <c r="CN62" s="10"/>
      <c r="CO62" s="10"/>
      <c r="CP62" s="10"/>
      <c r="CQ62" s="10"/>
      <c r="CU62" s="10"/>
      <c r="CV62" s="10">
        <v>1</v>
      </c>
      <c r="CW62" s="10"/>
      <c r="CX62" s="10">
        <v>1</v>
      </c>
      <c r="DB62" s="10"/>
      <c r="DC62" s="10"/>
      <c r="DD62" s="10"/>
      <c r="DE62" s="10"/>
      <c r="DI62" s="10"/>
      <c r="DJ62" s="10"/>
      <c r="DK62" s="10"/>
      <c r="DL62" s="10"/>
    </row>
    <row r="63" spans="2:116" outlineLevel="1" x14ac:dyDescent="0.2">
      <c r="B63" t="s">
        <v>28</v>
      </c>
      <c r="C63" t="s">
        <v>136</v>
      </c>
      <c r="E63" s="9"/>
      <c r="F63" t="s">
        <v>146</v>
      </c>
      <c r="G63" s="10"/>
      <c r="I63" s="9"/>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c r="BG63" s="10"/>
      <c r="BH63" s="10"/>
      <c r="BL63" s="10"/>
      <c r="BM63" s="10"/>
      <c r="BN63" s="10"/>
      <c r="BO63" s="10"/>
      <c r="BS63" s="10"/>
      <c r="BT63" s="10"/>
      <c r="BU63" s="10"/>
      <c r="BV63" s="10"/>
      <c r="BZ63" s="10"/>
      <c r="CA63" s="10"/>
      <c r="CB63" s="10"/>
      <c r="CC63" s="10"/>
      <c r="CG63" s="10"/>
      <c r="CH63" s="10"/>
      <c r="CI63" s="10"/>
      <c r="CJ63" s="10"/>
      <c r="CN63" s="10"/>
      <c r="CO63" s="10"/>
      <c r="CP63" s="10"/>
      <c r="CQ63" s="10"/>
      <c r="CU63" s="10"/>
      <c r="CV63" s="10">
        <v>1</v>
      </c>
      <c r="CW63" s="10"/>
      <c r="CX63" s="10">
        <v>1</v>
      </c>
      <c r="DB63" s="10"/>
      <c r="DC63" s="10"/>
      <c r="DD63" s="10"/>
      <c r="DE63" s="10"/>
      <c r="DI63" s="10"/>
      <c r="DJ63" s="10"/>
      <c r="DK63" s="10"/>
      <c r="DL63" s="10"/>
    </row>
    <row r="64" spans="2:116" outlineLevel="1" x14ac:dyDescent="0.2">
      <c r="B64" t="s">
        <v>28</v>
      </c>
      <c r="C64" t="s">
        <v>136</v>
      </c>
      <c r="E64" s="9"/>
      <c r="F64" t="s">
        <v>147</v>
      </c>
      <c r="G64" s="10"/>
      <c r="I64" s="9"/>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c r="AL64" s="10"/>
      <c r="AM64" s="10"/>
      <c r="AQ64" s="10"/>
      <c r="AR64" s="10"/>
      <c r="AS64" s="10"/>
      <c r="AT64" s="10"/>
      <c r="AX64" s="10"/>
      <c r="AY64" s="10"/>
      <c r="AZ64" s="10"/>
      <c r="BA64" s="10"/>
      <c r="BE64" s="10"/>
      <c r="BF64" s="10"/>
      <c r="BG64" s="10"/>
      <c r="BH64" s="10"/>
      <c r="BL64" s="10"/>
      <c r="BM64" s="10"/>
      <c r="BN64" s="10"/>
      <c r="BO64" s="10"/>
      <c r="BS64" s="10"/>
      <c r="BT64" s="10"/>
      <c r="BU64" s="10"/>
      <c r="BV64" s="10"/>
      <c r="BZ64" s="10"/>
      <c r="CA64" s="10"/>
      <c r="CB64" s="10"/>
      <c r="CC64" s="10"/>
      <c r="CG64" s="10"/>
      <c r="CH64" s="10"/>
      <c r="CI64" s="10"/>
      <c r="CJ64" s="10"/>
      <c r="CN64" s="10"/>
      <c r="CO64" s="10"/>
      <c r="CP64" s="10"/>
      <c r="CQ64" s="10"/>
      <c r="CU64" s="10"/>
      <c r="CV64" s="10">
        <v>1</v>
      </c>
      <c r="CW64" s="10"/>
      <c r="CX64" s="10">
        <v>1</v>
      </c>
      <c r="DB64" s="10"/>
      <c r="DC64" s="10"/>
      <c r="DD64" s="10"/>
      <c r="DE64" s="10"/>
      <c r="DI64" s="10"/>
      <c r="DJ64" s="10"/>
      <c r="DK64" s="10"/>
      <c r="DL64" s="10"/>
    </row>
    <row r="65" spans="2:116" outlineLevel="1" x14ac:dyDescent="0.2">
      <c r="B65" t="s">
        <v>28</v>
      </c>
      <c r="C65" t="s">
        <v>136</v>
      </c>
      <c r="E65" s="9"/>
      <c r="F65" t="s">
        <v>148</v>
      </c>
      <c r="G65" s="10"/>
      <c r="I65" s="9"/>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E65" s="10"/>
      <c r="BF65" s="10"/>
      <c r="BG65" s="10"/>
      <c r="BH65" s="10"/>
      <c r="BL65" s="10"/>
      <c r="BM65" s="10"/>
      <c r="BN65" s="10"/>
      <c r="BO65" s="10"/>
      <c r="BS65" s="10"/>
      <c r="BT65" s="10"/>
      <c r="BU65" s="10"/>
      <c r="BV65" s="10"/>
      <c r="BZ65" s="10"/>
      <c r="CA65" s="10"/>
      <c r="CB65" s="10"/>
      <c r="CC65" s="10"/>
      <c r="CG65" s="10"/>
      <c r="CH65" s="10"/>
      <c r="CI65" s="10"/>
      <c r="CJ65" s="10"/>
      <c r="CN65" s="10"/>
      <c r="CO65" s="10"/>
      <c r="CP65" s="10"/>
      <c r="CQ65" s="10"/>
      <c r="CU65" s="10"/>
      <c r="CV65" s="10">
        <v>1</v>
      </c>
      <c r="CW65" s="10"/>
      <c r="CX65" s="10">
        <v>1</v>
      </c>
      <c r="DB65" s="10"/>
      <c r="DC65" s="10"/>
      <c r="DD65" s="10"/>
      <c r="DE65" s="10"/>
      <c r="DI65" s="10"/>
      <c r="DJ65" s="10"/>
      <c r="DK65" s="10"/>
      <c r="DL65" s="10"/>
    </row>
    <row r="66" spans="2:116" outlineLevel="1" x14ac:dyDescent="0.2">
      <c r="B66" t="s">
        <v>28</v>
      </c>
      <c r="C66" t="s">
        <v>136</v>
      </c>
      <c r="E66" s="9"/>
      <c r="F66" t="s">
        <v>149</v>
      </c>
      <c r="G66" s="10"/>
      <c r="I66" s="9"/>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c r="AS66" s="10"/>
      <c r="AT66" s="10"/>
      <c r="AX66" s="10"/>
      <c r="AY66" s="10"/>
      <c r="AZ66" s="10"/>
      <c r="BA66" s="10"/>
      <c r="BE66" s="10"/>
      <c r="BF66" s="10"/>
      <c r="BG66" s="10"/>
      <c r="BH66" s="10"/>
      <c r="BL66" s="10"/>
      <c r="BM66" s="10"/>
      <c r="BN66" s="10"/>
      <c r="BO66" s="10"/>
      <c r="BS66" s="10"/>
      <c r="BT66" s="10"/>
      <c r="BU66" s="10"/>
      <c r="BV66" s="10"/>
      <c r="BZ66" s="10"/>
      <c r="CA66" s="10"/>
      <c r="CB66" s="10"/>
      <c r="CC66" s="10"/>
      <c r="CG66" s="10"/>
      <c r="CH66" s="10"/>
      <c r="CI66" s="10"/>
      <c r="CJ66" s="10"/>
      <c r="CN66" s="10"/>
      <c r="CO66" s="10"/>
      <c r="CP66" s="10"/>
      <c r="CQ66" s="10"/>
      <c r="CU66" s="10"/>
      <c r="CV66" s="10">
        <v>1</v>
      </c>
      <c r="CW66" s="10"/>
      <c r="CX66" s="10">
        <v>1</v>
      </c>
      <c r="DB66" s="10"/>
      <c r="DC66" s="10"/>
      <c r="DD66" s="10"/>
      <c r="DE66" s="10"/>
      <c r="DI66" s="10"/>
      <c r="DJ66" s="10"/>
      <c r="DK66" s="10"/>
      <c r="DL66" s="10"/>
    </row>
    <row r="67" spans="2:116" outlineLevel="1" x14ac:dyDescent="0.2">
      <c r="B67" t="s">
        <v>28</v>
      </c>
      <c r="C67" t="s">
        <v>136</v>
      </c>
      <c r="E67" s="9"/>
      <c r="F67" t="s">
        <v>150</v>
      </c>
      <c r="G67" s="10"/>
      <c r="I67" s="9"/>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L67" s="10"/>
      <c r="BM67" s="10"/>
      <c r="BN67" s="10"/>
      <c r="BO67" s="10"/>
      <c r="BS67" s="10"/>
      <c r="BT67" s="10"/>
      <c r="BU67" s="10"/>
      <c r="BV67" s="10"/>
      <c r="BZ67" s="10"/>
      <c r="CA67" s="10"/>
      <c r="CB67" s="10"/>
      <c r="CC67" s="10"/>
      <c r="CG67" s="10"/>
      <c r="CH67" s="10"/>
      <c r="CI67" s="10"/>
      <c r="CJ67" s="10"/>
      <c r="CN67" s="10"/>
      <c r="CO67" s="10"/>
      <c r="CP67" s="10"/>
      <c r="CQ67" s="10"/>
      <c r="CU67" s="10"/>
      <c r="CV67" s="10">
        <v>1</v>
      </c>
      <c r="CW67" s="10"/>
      <c r="CX67" s="10">
        <v>1</v>
      </c>
      <c r="DB67" s="10"/>
      <c r="DC67" s="10"/>
      <c r="DD67" s="10"/>
      <c r="DE67" s="10"/>
      <c r="DI67" s="10"/>
      <c r="DJ67" s="10"/>
      <c r="DK67" s="10"/>
      <c r="DL67" s="10"/>
    </row>
    <row r="68" spans="2:116" outlineLevel="1" x14ac:dyDescent="0.2">
      <c r="B68" t="s">
        <v>28</v>
      </c>
      <c r="C68" t="s">
        <v>136</v>
      </c>
      <c r="E68" s="9"/>
      <c r="F68" t="s">
        <v>151</v>
      </c>
      <c r="G68" s="10"/>
      <c r="I68" s="9">
        <f t="shared" si="3"/>
        <v>0</v>
      </c>
      <c r="J68" s="11" cm="1">
        <f t="array" ref="J68">MAX(IF($N$3:$EH$3=$J$3,N68:EH68))</f>
        <v>0</v>
      </c>
      <c r="K68" s="11" cm="1">
        <f t="array" ref="K68">MAX(IF($N$3:$EH$3=$J$3,N68:EH68))</f>
        <v>0</v>
      </c>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c r="BG68" s="10"/>
      <c r="BH68" s="10"/>
      <c r="BL68" s="10"/>
      <c r="BM68" s="10"/>
      <c r="BN68" s="10"/>
      <c r="BO68" s="10"/>
      <c r="BS68" s="10"/>
      <c r="BT68" s="10"/>
      <c r="BU68" s="10"/>
      <c r="BV68" s="10"/>
      <c r="BZ68" s="10"/>
      <c r="CA68" s="10"/>
      <c r="CB68" s="10"/>
      <c r="CC68" s="10"/>
      <c r="CG68" s="10"/>
      <c r="CH68" s="10"/>
      <c r="CI68" s="10"/>
      <c r="CJ68" s="10"/>
      <c r="CN68" s="10"/>
      <c r="CO68" s="10"/>
      <c r="CP68" s="10"/>
      <c r="CQ68" s="10"/>
      <c r="CU68" s="10"/>
      <c r="CV68" s="10">
        <v>1</v>
      </c>
      <c r="CW68" s="10"/>
      <c r="CX68" s="10">
        <v>1</v>
      </c>
      <c r="DB68" s="10"/>
      <c r="DC68" s="10"/>
      <c r="DD68" s="10"/>
      <c r="DE68" s="10"/>
      <c r="DI68" s="10"/>
      <c r="DJ68" s="10"/>
      <c r="DK68" s="10"/>
      <c r="DL68" s="10"/>
    </row>
    <row r="70" spans="2:116" x14ac:dyDescent="0.2">
      <c r="B70" t="s">
        <v>27</v>
      </c>
      <c r="C70" t="s">
        <v>152</v>
      </c>
      <c r="D70" s="19">
        <v>45146</v>
      </c>
      <c r="E70" s="9">
        <v>2</v>
      </c>
      <c r="G70" s="10"/>
      <c r="I70" s="12">
        <f>+SUM(I71:I81)</f>
        <v>0</v>
      </c>
      <c r="J70" s="11">
        <f>+SUMPRODUCT(G71:G81,J71:J81)</f>
        <v>0</v>
      </c>
      <c r="K70" s="11">
        <f>+SUMPRODUCT(G71:G81,K71:K81)</f>
        <v>0</v>
      </c>
      <c r="L70" s="9"/>
      <c r="N70" s="12"/>
      <c r="U70" s="12"/>
      <c r="AB70" s="12"/>
      <c r="AI70" s="12"/>
      <c r="AP70" s="12"/>
      <c r="CU70" s="23"/>
      <c r="CV70" s="24"/>
      <c r="CW70" s="23"/>
      <c r="CX70" s="24"/>
    </row>
    <row r="71" spans="2:116" outlineLevel="1" x14ac:dyDescent="0.2">
      <c r="B71" t="s">
        <v>28</v>
      </c>
      <c r="C71" t="s">
        <v>152</v>
      </c>
      <c r="D71" t="s">
        <v>153</v>
      </c>
      <c r="E71" s="9"/>
      <c r="F71" t="s">
        <v>30</v>
      </c>
      <c r="G71" s="10"/>
      <c r="I71" s="9">
        <f t="shared" ref="I71:I81" si="4">+SUMIF($N$3:$ZZ$3,I$3,$N71:$ZZ71)</f>
        <v>0</v>
      </c>
      <c r="J71" s="11" cm="1">
        <f t="array" ref="J71">MAX(IF($N$3:$EH$3=$J$3,N71:EH71))</f>
        <v>0</v>
      </c>
      <c r="K71" s="11" cm="1">
        <f t="array" ref="K71">MAX(IF($N$3:$EH$3=$J$3,N71:EH71))</f>
        <v>0</v>
      </c>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N71" s="10"/>
      <c r="CO71" s="10"/>
      <c r="CP71" s="10"/>
      <c r="CQ71" s="10"/>
      <c r="CU71" s="10"/>
      <c r="CV71" s="10">
        <v>1</v>
      </c>
      <c r="CW71" s="22"/>
      <c r="CX71" s="10">
        <v>1</v>
      </c>
      <c r="DB71" s="10"/>
      <c r="DC71" s="10"/>
      <c r="DD71" s="10"/>
      <c r="DE71" s="10"/>
      <c r="DI71" s="10"/>
      <c r="DJ71" s="10"/>
      <c r="DK71" s="10"/>
      <c r="DL71" s="10"/>
    </row>
    <row r="72" spans="2:116" outlineLevel="1" x14ac:dyDescent="0.2">
      <c r="B72" t="s">
        <v>28</v>
      </c>
      <c r="C72" t="s">
        <v>152</v>
      </c>
      <c r="E72" s="9"/>
      <c r="F72" t="s">
        <v>158</v>
      </c>
      <c r="G72" s="10"/>
      <c r="I72" s="9">
        <f t="shared" si="4"/>
        <v>0</v>
      </c>
      <c r="J72" s="11" cm="1">
        <f t="array" ref="J72">MAX(IF($N$3:$EH$3=$J$3,N72:EH72))</f>
        <v>0</v>
      </c>
      <c r="K72" s="11" cm="1">
        <f t="array" ref="K72">MAX(IF($N$3:$EH$3=$J$3,N72:EH72))</f>
        <v>0</v>
      </c>
      <c r="L72" s="9"/>
      <c r="O72" s="10"/>
      <c r="P72" s="10"/>
      <c r="Q72" s="10"/>
      <c r="R72" s="10"/>
      <c r="V72" s="10"/>
      <c r="W72" s="10"/>
      <c r="X72" s="10"/>
      <c r="Y72" s="10"/>
      <c r="AC72" s="10"/>
      <c r="AD72" s="10"/>
      <c r="AE72" s="10"/>
      <c r="AF72" s="10"/>
      <c r="AJ72" s="10"/>
      <c r="AK72" s="10"/>
      <c r="AL72" s="10"/>
      <c r="AM72" s="10"/>
      <c r="AQ72" s="10"/>
      <c r="AR72" s="10"/>
      <c r="AS72" s="10"/>
      <c r="AT72" s="10"/>
      <c r="AX72" s="10"/>
      <c r="AY72" s="10"/>
      <c r="AZ72" s="10"/>
      <c r="BA72" s="10"/>
      <c r="BE72" s="10"/>
      <c r="BF72" s="10"/>
      <c r="BG72" s="10"/>
      <c r="BH72" s="10"/>
      <c r="BL72" s="10"/>
      <c r="BM72" s="10"/>
      <c r="BN72" s="10"/>
      <c r="BO72" s="10"/>
      <c r="BS72" s="10"/>
      <c r="BT72" s="10"/>
      <c r="BU72" s="10"/>
      <c r="BV72" s="10"/>
      <c r="BZ72" s="10"/>
      <c r="CA72" s="10"/>
      <c r="CB72" s="10"/>
      <c r="CC72" s="10"/>
      <c r="CG72" s="10"/>
      <c r="CH72" s="10"/>
      <c r="CI72" s="10"/>
      <c r="CJ72" s="10"/>
      <c r="CN72" s="10"/>
      <c r="CO72" s="10"/>
      <c r="CP72" s="10"/>
      <c r="CQ72" s="10"/>
      <c r="CU72" s="10"/>
      <c r="CV72" s="10">
        <v>1</v>
      </c>
      <c r="CW72" s="10"/>
      <c r="CX72" s="10">
        <v>1</v>
      </c>
      <c r="DB72" s="10"/>
      <c r="DC72" s="10"/>
      <c r="DD72" s="10"/>
      <c r="DE72" s="10"/>
      <c r="DI72" s="10"/>
      <c r="DJ72" s="10"/>
      <c r="DK72" s="10"/>
      <c r="DL72" s="10"/>
    </row>
    <row r="73" spans="2:116" outlineLevel="1" x14ac:dyDescent="0.2">
      <c r="B73" t="s">
        <v>28</v>
      </c>
      <c r="C73" t="s">
        <v>152</v>
      </c>
      <c r="E73" s="9"/>
      <c r="F73" t="s">
        <v>157</v>
      </c>
      <c r="G73" s="10"/>
      <c r="I73" s="9">
        <f t="shared" si="4"/>
        <v>0</v>
      </c>
      <c r="J73" s="11" cm="1">
        <f t="array" ref="J73">MAX(IF($N$3:$EH$3=$J$3,N73:EH73))</f>
        <v>0</v>
      </c>
      <c r="K73" s="11" cm="1">
        <f t="array" ref="K73">MAX(IF($N$3:$EH$3=$J$3,N73:EH73))</f>
        <v>0</v>
      </c>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E73" s="10"/>
      <c r="BF73" s="10"/>
      <c r="BG73" s="10"/>
      <c r="BH73" s="10"/>
      <c r="BL73" s="10"/>
      <c r="BM73" s="10"/>
      <c r="BN73" s="10"/>
      <c r="BO73" s="10"/>
      <c r="BS73" s="10"/>
      <c r="BT73" s="10"/>
      <c r="BU73" s="10"/>
      <c r="BV73" s="10"/>
      <c r="BZ73" s="10"/>
      <c r="CA73" s="10"/>
      <c r="CB73" s="10"/>
      <c r="CC73" s="10"/>
      <c r="CG73" s="10"/>
      <c r="CH73" s="10"/>
      <c r="CI73" s="10"/>
      <c r="CJ73" s="10"/>
      <c r="CN73" s="10"/>
      <c r="CO73" s="10"/>
      <c r="CP73" s="10"/>
      <c r="CQ73" s="10"/>
      <c r="CU73" s="10"/>
      <c r="CV73" s="10">
        <v>1</v>
      </c>
      <c r="CW73" s="10"/>
      <c r="CX73" s="10">
        <v>1</v>
      </c>
      <c r="DB73" s="10"/>
      <c r="DC73" s="10"/>
      <c r="DD73" s="10"/>
      <c r="DE73" s="10"/>
      <c r="DI73" s="10"/>
      <c r="DJ73" s="10"/>
      <c r="DK73" s="10"/>
      <c r="DL73" s="10"/>
    </row>
    <row r="74" spans="2:116" outlineLevel="1" x14ac:dyDescent="0.2">
      <c r="B74" t="s">
        <v>28</v>
      </c>
      <c r="C74" t="s">
        <v>152</v>
      </c>
      <c r="E74" s="9"/>
      <c r="G74" s="10"/>
      <c r="I74" s="9">
        <f t="shared" si="4"/>
        <v>0</v>
      </c>
      <c r="J74" s="11" cm="1">
        <f t="array" ref="J74">MAX(IF($N$3:$EH$3=$J$3,N74:EH74))</f>
        <v>0</v>
      </c>
      <c r="K74" s="11" cm="1">
        <f t="array" ref="K74">MAX(IF($N$3:$EH$3=$J$3,N74:EH74))</f>
        <v>0</v>
      </c>
      <c r="L74" s="9"/>
      <c r="O74" s="10"/>
      <c r="P74" s="10"/>
      <c r="Q74" s="10"/>
      <c r="R74" s="10"/>
      <c r="V74" s="10"/>
      <c r="W74" s="10"/>
      <c r="X74" s="10"/>
      <c r="Y74" s="10"/>
      <c r="AC74" s="10"/>
      <c r="AD74" s="10"/>
      <c r="AE74" s="10"/>
      <c r="AF74" s="10"/>
      <c r="AJ74" s="10"/>
      <c r="AK74" s="10"/>
      <c r="AL74" s="10"/>
      <c r="AM74" s="10"/>
      <c r="AQ74" s="10"/>
      <c r="AR74" s="10"/>
      <c r="AS74" s="10"/>
      <c r="AT74" s="10"/>
      <c r="AX74" s="10"/>
      <c r="AY74" s="10"/>
      <c r="AZ74" s="10"/>
      <c r="BA74" s="10"/>
      <c r="BE74" s="10"/>
      <c r="BF74" s="10"/>
      <c r="BG74" s="10"/>
      <c r="BH74" s="10"/>
      <c r="BL74" s="10"/>
      <c r="BM74" s="10"/>
      <c r="BN74" s="10"/>
      <c r="BO74" s="10"/>
      <c r="BS74" s="10"/>
      <c r="BT74" s="10"/>
      <c r="BU74" s="10"/>
      <c r="BV74" s="10"/>
      <c r="BZ74" s="10"/>
      <c r="CA74" s="10"/>
      <c r="CB74" s="10"/>
      <c r="CC74" s="10"/>
      <c r="CG74" s="10"/>
      <c r="CH74" s="10"/>
      <c r="CI74" s="10"/>
      <c r="CJ74" s="10"/>
      <c r="CN74" s="10"/>
      <c r="CO74" s="10"/>
      <c r="CP74" s="10"/>
      <c r="CQ74" s="10"/>
      <c r="CU74" s="10"/>
      <c r="CV74" s="10">
        <v>1</v>
      </c>
      <c r="CW74" s="10"/>
      <c r="CX74" s="10">
        <v>1</v>
      </c>
      <c r="DB74" s="10"/>
      <c r="DC74" s="10"/>
      <c r="DD74" s="10"/>
      <c r="DE74" s="10"/>
      <c r="DI74" s="10"/>
      <c r="DJ74" s="10"/>
      <c r="DK74" s="10"/>
      <c r="DL74" s="10"/>
    </row>
    <row r="75" spans="2:116" outlineLevel="1" x14ac:dyDescent="0.2">
      <c r="B75" t="s">
        <v>28</v>
      </c>
      <c r="C75" t="s">
        <v>152</v>
      </c>
      <c r="E75" s="9"/>
      <c r="G75" s="10"/>
      <c r="I75" s="9">
        <f t="shared" si="4"/>
        <v>0</v>
      </c>
      <c r="J75" s="11" cm="1">
        <f t="array" ref="J75">MAX(IF($N$3:$EH$3=$J$3,N75:EH75))</f>
        <v>0</v>
      </c>
      <c r="K75" s="11" cm="1">
        <f t="array" ref="K75">MAX(IF($N$3:$EH$3=$J$3,N75:EH75))</f>
        <v>0</v>
      </c>
      <c r="L75" s="9"/>
      <c r="O75" s="10"/>
      <c r="P75" s="10"/>
      <c r="Q75" s="10"/>
      <c r="R75" s="10"/>
      <c r="V75" s="10"/>
      <c r="W75" s="10"/>
      <c r="X75" s="10"/>
      <c r="Y75" s="10"/>
      <c r="AC75" s="10"/>
      <c r="AD75" s="10"/>
      <c r="AE75" s="10"/>
      <c r="AF75" s="10"/>
      <c r="AJ75" s="10"/>
      <c r="AK75" s="10"/>
      <c r="AL75" s="10"/>
      <c r="AM75" s="10"/>
      <c r="AQ75" s="10"/>
      <c r="AR75" s="10"/>
      <c r="AS75" s="10"/>
      <c r="AT75" s="10"/>
      <c r="AX75" s="10"/>
      <c r="AY75" s="10"/>
      <c r="AZ75" s="10"/>
      <c r="BA75" s="10"/>
      <c r="BE75" s="10"/>
      <c r="BF75" s="10"/>
      <c r="BG75" s="10"/>
      <c r="BH75" s="10"/>
      <c r="BL75" s="10"/>
      <c r="BM75" s="10"/>
      <c r="BN75" s="10"/>
      <c r="BO75" s="10"/>
      <c r="BS75" s="10"/>
      <c r="BT75" s="10"/>
      <c r="BU75" s="10"/>
      <c r="BV75" s="10"/>
      <c r="BZ75" s="10"/>
      <c r="CA75" s="10"/>
      <c r="CB75" s="10"/>
      <c r="CC75" s="10"/>
      <c r="CG75" s="10"/>
      <c r="CH75" s="10"/>
      <c r="CI75" s="10"/>
      <c r="CJ75" s="10"/>
      <c r="CN75" s="10"/>
      <c r="CO75" s="10"/>
      <c r="CP75" s="10"/>
      <c r="CQ75" s="10"/>
      <c r="CU75" s="10"/>
      <c r="CV75" s="10">
        <v>1</v>
      </c>
      <c r="CW75" s="10"/>
      <c r="CX75" s="10">
        <v>1</v>
      </c>
      <c r="DB75" s="10"/>
      <c r="DC75" s="10"/>
      <c r="DD75" s="10"/>
      <c r="DE75" s="10"/>
      <c r="DI75" s="10"/>
      <c r="DJ75" s="10"/>
      <c r="DK75" s="10"/>
      <c r="DL75" s="10"/>
    </row>
    <row r="76" spans="2:116" outlineLevel="1" x14ac:dyDescent="0.2">
      <c r="B76" t="s">
        <v>28</v>
      </c>
      <c r="C76" t="s">
        <v>152</v>
      </c>
      <c r="E76" s="9"/>
      <c r="G76" s="10"/>
      <c r="I76" s="9">
        <f t="shared" si="4"/>
        <v>0</v>
      </c>
      <c r="J76" s="11" cm="1">
        <f t="array" ref="J76">MAX(IF($N$3:$EH$3=$J$3,N76:EH76))</f>
        <v>0</v>
      </c>
      <c r="K76" s="11" cm="1">
        <f t="array" ref="K76">MAX(IF($N$3:$EH$3=$J$3,N76:EH76))</f>
        <v>0</v>
      </c>
      <c r="L76" s="9"/>
      <c r="O76" s="10"/>
      <c r="P76" s="10"/>
      <c r="Q76" s="10"/>
      <c r="R76" s="10"/>
      <c r="V76" s="10"/>
      <c r="W76" s="10"/>
      <c r="X76" s="10"/>
      <c r="Y76" s="10"/>
      <c r="AC76" s="10"/>
      <c r="AD76" s="10"/>
      <c r="AE76" s="10"/>
      <c r="AF76" s="10"/>
      <c r="AJ76" s="10"/>
      <c r="AK76" s="10"/>
      <c r="AL76" s="10"/>
      <c r="AM76" s="10"/>
      <c r="AQ76" s="10"/>
      <c r="AR76" s="10"/>
      <c r="AS76" s="10"/>
      <c r="AT76" s="10"/>
      <c r="AX76" s="10"/>
      <c r="AY76" s="10"/>
      <c r="AZ76" s="10"/>
      <c r="BA76" s="10"/>
      <c r="BE76" s="10"/>
      <c r="BF76" s="10"/>
      <c r="BG76" s="10"/>
      <c r="BH76" s="10"/>
      <c r="BL76" s="10"/>
      <c r="BM76" s="10"/>
      <c r="BN76" s="10"/>
      <c r="BO76" s="10"/>
      <c r="BS76" s="10"/>
      <c r="BT76" s="10"/>
      <c r="BU76" s="10"/>
      <c r="BV76" s="10"/>
      <c r="BZ76" s="10"/>
      <c r="CA76" s="10"/>
      <c r="CB76" s="10"/>
      <c r="CC76" s="10"/>
      <c r="CG76" s="10"/>
      <c r="CH76" s="10"/>
      <c r="CI76" s="10"/>
      <c r="CJ76" s="10"/>
      <c r="CN76" s="10"/>
      <c r="CO76" s="10"/>
      <c r="CP76" s="10"/>
      <c r="CQ76" s="10"/>
      <c r="CU76" s="10"/>
      <c r="CV76" s="10">
        <v>1</v>
      </c>
      <c r="CW76" s="10"/>
      <c r="CX76" s="10">
        <v>1</v>
      </c>
      <c r="DB76" s="10"/>
      <c r="DC76" s="10"/>
      <c r="DD76" s="10"/>
      <c r="DE76" s="10"/>
      <c r="DI76" s="10"/>
      <c r="DJ76" s="10"/>
      <c r="DK76" s="10"/>
      <c r="DL76" s="10"/>
    </row>
    <row r="77" spans="2:116" outlineLevel="1" x14ac:dyDescent="0.2">
      <c r="B77" t="s">
        <v>28</v>
      </c>
      <c r="C77" t="s">
        <v>152</v>
      </c>
      <c r="E77" s="9"/>
      <c r="G77" s="10"/>
      <c r="I77" s="9">
        <f t="shared" si="4"/>
        <v>0</v>
      </c>
      <c r="J77" s="11" cm="1">
        <f t="array" ref="J77">MAX(IF($N$3:$EH$3=$J$3,N77:EH77))</f>
        <v>0</v>
      </c>
      <c r="K77" s="11" cm="1">
        <f t="array" ref="K77">MAX(IF($N$3:$EH$3=$J$3,N77:EH77))</f>
        <v>0</v>
      </c>
      <c r="L77" s="9"/>
      <c r="O77" s="10"/>
      <c r="P77" s="10"/>
      <c r="Q77" s="10"/>
      <c r="R77" s="10"/>
      <c r="V77" s="10"/>
      <c r="W77" s="10"/>
      <c r="X77" s="10"/>
      <c r="Y77" s="10"/>
      <c r="AC77" s="10"/>
      <c r="AD77" s="10"/>
      <c r="AE77" s="10"/>
      <c r="AF77" s="10"/>
      <c r="AJ77" s="10"/>
      <c r="AK77" s="10"/>
      <c r="AL77" s="10"/>
      <c r="AM77" s="10"/>
      <c r="AQ77" s="10"/>
      <c r="AR77" s="10"/>
      <c r="AS77" s="10"/>
      <c r="AT77" s="10"/>
      <c r="AX77" s="10"/>
      <c r="AY77" s="10"/>
      <c r="AZ77" s="10"/>
      <c r="BA77" s="10"/>
      <c r="BE77" s="10"/>
      <c r="BF77" s="10"/>
      <c r="BG77" s="10"/>
      <c r="BH77" s="10"/>
      <c r="BL77" s="10"/>
      <c r="BM77" s="10"/>
      <c r="BN77" s="10"/>
      <c r="BO77" s="10"/>
      <c r="BS77" s="10"/>
      <c r="BT77" s="10"/>
      <c r="BU77" s="10"/>
      <c r="BV77" s="10"/>
      <c r="BZ77" s="10"/>
      <c r="CA77" s="10"/>
      <c r="CB77" s="10"/>
      <c r="CC77" s="10"/>
      <c r="CG77" s="10"/>
      <c r="CH77" s="10"/>
      <c r="CI77" s="10"/>
      <c r="CJ77" s="10"/>
      <c r="CN77" s="10"/>
      <c r="CO77" s="10"/>
      <c r="CP77" s="10"/>
      <c r="CQ77" s="10"/>
      <c r="CU77" s="10"/>
      <c r="CV77" s="10">
        <v>1</v>
      </c>
      <c r="CW77" s="10"/>
      <c r="CX77" s="10">
        <v>1</v>
      </c>
      <c r="DB77" s="10"/>
      <c r="DC77" s="10"/>
      <c r="DD77" s="10"/>
      <c r="DE77" s="10"/>
      <c r="DI77" s="10"/>
      <c r="DJ77" s="10"/>
      <c r="DK77" s="10"/>
      <c r="DL77" s="10"/>
    </row>
    <row r="78" spans="2:116" outlineLevel="1" x14ac:dyDescent="0.2">
      <c r="B78" t="s">
        <v>28</v>
      </c>
      <c r="C78" t="s">
        <v>152</v>
      </c>
      <c r="E78" s="9"/>
      <c r="G78" s="10"/>
      <c r="I78" s="9">
        <f t="shared" si="4"/>
        <v>0</v>
      </c>
      <c r="J78" s="11" cm="1">
        <f t="array" ref="J78">MAX(IF($N$3:$EH$3=$J$3,N78:EH78))</f>
        <v>0</v>
      </c>
      <c r="K78" s="11" cm="1">
        <f t="array" ref="K78">MAX(IF($N$3:$EH$3=$J$3,N78:EH78))</f>
        <v>0</v>
      </c>
      <c r="L78" s="9"/>
      <c r="O78" s="10"/>
      <c r="P78" s="10"/>
      <c r="Q78" s="10"/>
      <c r="R78" s="10"/>
      <c r="V78" s="10"/>
      <c r="W78" s="10"/>
      <c r="X78" s="10"/>
      <c r="Y78" s="10"/>
      <c r="AC78" s="10"/>
      <c r="AD78" s="10"/>
      <c r="AE78" s="10"/>
      <c r="AF78" s="10"/>
      <c r="AJ78" s="10"/>
      <c r="AK78" s="10"/>
      <c r="AL78" s="10"/>
      <c r="AM78" s="10"/>
      <c r="AQ78" s="10"/>
      <c r="AR78" s="10"/>
      <c r="AS78" s="10"/>
      <c r="AT78" s="10"/>
      <c r="AX78" s="10"/>
      <c r="AY78" s="10"/>
      <c r="AZ78" s="10"/>
      <c r="BA78" s="10"/>
      <c r="BE78" s="10"/>
      <c r="BF78" s="10"/>
      <c r="BG78" s="10"/>
      <c r="BH78" s="10"/>
      <c r="BL78" s="10"/>
      <c r="BM78" s="10"/>
      <c r="BN78" s="10"/>
      <c r="BO78" s="10"/>
      <c r="BS78" s="10"/>
      <c r="BT78" s="10"/>
      <c r="BU78" s="10"/>
      <c r="BV78" s="10"/>
      <c r="BZ78" s="10"/>
      <c r="CA78" s="10"/>
      <c r="CB78" s="10"/>
      <c r="CC78" s="10"/>
      <c r="CG78" s="10"/>
      <c r="CH78" s="10"/>
      <c r="CI78" s="10"/>
      <c r="CJ78" s="10"/>
      <c r="CN78" s="10"/>
      <c r="CO78" s="10"/>
      <c r="CP78" s="10"/>
      <c r="CQ78" s="10"/>
      <c r="CU78" s="10"/>
      <c r="CV78" s="10">
        <v>1</v>
      </c>
      <c r="CW78" s="10"/>
      <c r="CX78" s="10">
        <v>1</v>
      </c>
      <c r="DB78" s="10"/>
      <c r="DC78" s="10"/>
      <c r="DD78" s="10"/>
      <c r="DE78" s="10"/>
      <c r="DI78" s="10"/>
      <c r="DJ78" s="10"/>
      <c r="DK78" s="10"/>
      <c r="DL78" s="10"/>
    </row>
    <row r="79" spans="2:116" outlineLevel="1" x14ac:dyDescent="0.2">
      <c r="B79" t="s">
        <v>28</v>
      </c>
      <c r="C79" t="s">
        <v>152</v>
      </c>
      <c r="E79" s="9"/>
      <c r="G79" s="10"/>
      <c r="I79" s="9">
        <f t="shared" si="4"/>
        <v>0</v>
      </c>
      <c r="J79" s="11" cm="1">
        <f t="array" ref="J79">MAX(IF($N$3:$EH$3=$J$3,N79:EH79))</f>
        <v>0</v>
      </c>
      <c r="K79" s="11" cm="1">
        <f t="array" ref="K79">MAX(IF($N$3:$EH$3=$J$3,N79:EH79))</f>
        <v>0</v>
      </c>
      <c r="L79" s="9"/>
      <c r="O79" s="10"/>
      <c r="P79" s="10"/>
      <c r="Q79" s="10"/>
      <c r="R79" s="10"/>
      <c r="V79" s="10"/>
      <c r="W79" s="10"/>
      <c r="X79" s="10"/>
      <c r="Y79" s="10"/>
      <c r="AC79" s="10"/>
      <c r="AD79" s="10"/>
      <c r="AE79" s="10"/>
      <c r="AF79" s="10"/>
      <c r="AJ79" s="10"/>
      <c r="AK79" s="10"/>
      <c r="AL79" s="10"/>
      <c r="AM79" s="10"/>
      <c r="AQ79" s="10"/>
      <c r="AR79" s="10"/>
      <c r="AS79" s="10"/>
      <c r="AT79" s="10"/>
      <c r="AX79" s="10"/>
      <c r="AY79" s="10"/>
      <c r="AZ79" s="10"/>
      <c r="BA79" s="10"/>
      <c r="BE79" s="10"/>
      <c r="BF79" s="10"/>
      <c r="BG79" s="10"/>
      <c r="BH79" s="10"/>
      <c r="BL79" s="10"/>
      <c r="BM79" s="10"/>
      <c r="BN79" s="10"/>
      <c r="BO79" s="10"/>
      <c r="BS79" s="10"/>
      <c r="BT79" s="10"/>
      <c r="BU79" s="10"/>
      <c r="BV79" s="10"/>
      <c r="BZ79" s="10"/>
      <c r="CA79" s="10"/>
      <c r="CB79" s="10"/>
      <c r="CC79" s="10"/>
      <c r="CG79" s="10"/>
      <c r="CH79" s="10"/>
      <c r="CI79" s="10"/>
      <c r="CJ79" s="10"/>
      <c r="CN79" s="10"/>
      <c r="CO79" s="10"/>
      <c r="CP79" s="10"/>
      <c r="CQ79" s="10"/>
      <c r="CU79" s="10"/>
      <c r="CV79" s="10">
        <v>1</v>
      </c>
      <c r="CW79" s="10"/>
      <c r="CX79" s="10">
        <v>1</v>
      </c>
      <c r="DB79" s="10"/>
      <c r="DC79" s="10"/>
      <c r="DD79" s="10"/>
      <c r="DE79" s="10"/>
      <c r="DI79" s="10"/>
      <c r="DJ79" s="10"/>
      <c r="DK79" s="10"/>
      <c r="DL79" s="10"/>
    </row>
    <row r="80" spans="2:116" outlineLevel="1" x14ac:dyDescent="0.2">
      <c r="B80" t="s">
        <v>28</v>
      </c>
      <c r="C80" t="s">
        <v>152</v>
      </c>
      <c r="E80" s="9"/>
      <c r="G80" s="10"/>
      <c r="I80" s="9">
        <f t="shared" si="4"/>
        <v>0</v>
      </c>
      <c r="J80" s="11" cm="1">
        <f t="array" ref="J80">MAX(IF($N$3:$EH$3=$J$3,N80:EH80))</f>
        <v>0</v>
      </c>
      <c r="K80" s="11" cm="1">
        <f t="array" ref="K80">MAX(IF($N$3:$EH$3=$J$3,N80:EH80))</f>
        <v>0</v>
      </c>
      <c r="L80" s="9"/>
      <c r="O80" s="10"/>
      <c r="P80" s="10"/>
      <c r="Q80" s="10"/>
      <c r="R80" s="10"/>
      <c r="V80" s="10"/>
      <c r="W80" s="10"/>
      <c r="X80" s="10"/>
      <c r="Y80" s="10"/>
      <c r="AC80" s="10"/>
      <c r="AD80" s="10"/>
      <c r="AE80" s="10"/>
      <c r="AF80" s="10"/>
      <c r="AJ80" s="10"/>
      <c r="AK80" s="10"/>
      <c r="AL80" s="10"/>
      <c r="AM80" s="10"/>
      <c r="AQ80" s="10"/>
      <c r="AR80" s="10"/>
      <c r="AS80" s="10"/>
      <c r="AT80" s="10"/>
      <c r="AX80" s="10"/>
      <c r="AY80" s="10"/>
      <c r="AZ80" s="10"/>
      <c r="BA80" s="10"/>
      <c r="BE80" s="10"/>
      <c r="BF80" s="10"/>
      <c r="BG80" s="10"/>
      <c r="BH80" s="10"/>
      <c r="BL80" s="10"/>
      <c r="BM80" s="10"/>
      <c r="BN80" s="10"/>
      <c r="BO80" s="10"/>
      <c r="BS80" s="10"/>
      <c r="BT80" s="10"/>
      <c r="BU80" s="10"/>
      <c r="BV80" s="10"/>
      <c r="BZ80" s="10"/>
      <c r="CA80" s="10"/>
      <c r="CB80" s="10"/>
      <c r="CC80" s="10"/>
      <c r="CG80" s="10"/>
      <c r="CH80" s="10"/>
      <c r="CI80" s="10"/>
      <c r="CJ80" s="10"/>
      <c r="CN80" s="10"/>
      <c r="CO80" s="10"/>
      <c r="CP80" s="10"/>
      <c r="CQ80" s="10"/>
      <c r="CU80" s="10"/>
      <c r="CV80" s="10">
        <v>1</v>
      </c>
      <c r="CW80" s="10"/>
      <c r="CX80" s="10">
        <v>1</v>
      </c>
      <c r="DB80" s="10"/>
      <c r="DC80" s="10"/>
      <c r="DD80" s="10"/>
      <c r="DE80" s="10"/>
      <c r="DI80" s="10"/>
      <c r="DJ80" s="10"/>
      <c r="DK80" s="10"/>
      <c r="DL80" s="10"/>
    </row>
    <row r="81" spans="2:116" outlineLevel="1" x14ac:dyDescent="0.2">
      <c r="B81" t="s">
        <v>28</v>
      </c>
      <c r="C81" t="s">
        <v>152</v>
      </c>
      <c r="E81" s="9"/>
      <c r="G81" s="10"/>
      <c r="I81" s="9">
        <f t="shared" si="4"/>
        <v>0</v>
      </c>
      <c r="J81" s="11" cm="1">
        <f t="array" ref="J81">MAX(IF($N$3:$EH$3=$J$3,N81:EH81))</f>
        <v>0</v>
      </c>
      <c r="K81" s="11" cm="1">
        <f t="array" ref="K81">MAX(IF($N$3:$EH$3=$J$3,N81:EH81))</f>
        <v>0</v>
      </c>
      <c r="L81" s="9"/>
      <c r="O81" s="10"/>
      <c r="P81" s="10"/>
      <c r="Q81" s="10"/>
      <c r="R81" s="10"/>
      <c r="V81" s="10"/>
      <c r="W81" s="10"/>
      <c r="X81" s="10"/>
      <c r="Y81" s="10"/>
      <c r="AC81" s="10"/>
      <c r="AD81" s="10"/>
      <c r="AE81" s="10"/>
      <c r="AF81" s="10"/>
      <c r="AJ81" s="10"/>
      <c r="AK81" s="10"/>
      <c r="AL81" s="10"/>
      <c r="AM81" s="10"/>
      <c r="AQ81" s="10"/>
      <c r="AR81" s="10"/>
      <c r="AS81" s="10"/>
      <c r="AT81" s="10"/>
      <c r="AX81" s="10"/>
      <c r="AY81" s="10"/>
      <c r="AZ81" s="10"/>
      <c r="BA81" s="10"/>
      <c r="BE81" s="10"/>
      <c r="BF81" s="10"/>
      <c r="BG81" s="10"/>
      <c r="BH81" s="10"/>
      <c r="BL81" s="10"/>
      <c r="BM81" s="10"/>
      <c r="BN81" s="10"/>
      <c r="BO81" s="10"/>
      <c r="BS81" s="10"/>
      <c r="BT81" s="10"/>
      <c r="BU81" s="10"/>
      <c r="BV81" s="10"/>
      <c r="BZ81" s="10"/>
      <c r="CA81" s="10"/>
      <c r="CB81" s="10"/>
      <c r="CC81" s="10"/>
      <c r="CG81" s="10"/>
      <c r="CH81" s="10"/>
      <c r="CI81" s="10"/>
      <c r="CJ81" s="10"/>
      <c r="CN81" s="10"/>
      <c r="CO81" s="10"/>
      <c r="CP81" s="10"/>
      <c r="CQ81" s="10"/>
      <c r="CU81" s="10"/>
      <c r="CV81" s="10">
        <v>1</v>
      </c>
      <c r="CW81" s="10"/>
      <c r="CX81" s="10">
        <v>1</v>
      </c>
      <c r="DB81" s="10"/>
      <c r="DC81" s="10"/>
      <c r="DD81" s="10"/>
      <c r="DE81" s="10"/>
      <c r="DI81" s="10"/>
      <c r="DJ81" s="10"/>
      <c r="DK81" s="10"/>
      <c r="DL81" s="10"/>
    </row>
    <row r="83" spans="2:116" x14ac:dyDescent="0.2">
      <c r="B83" t="s">
        <v>27</v>
      </c>
      <c r="C83" t="s">
        <v>154</v>
      </c>
      <c r="D83" s="19" t="s">
        <v>159</v>
      </c>
      <c r="E83" s="9">
        <v>4</v>
      </c>
      <c r="G83" s="10"/>
      <c r="I83" s="12">
        <f>+SUM(I84:I94)</f>
        <v>0</v>
      </c>
      <c r="J83" s="11">
        <f>+SUMPRODUCT(G84:G94,J84:J94)</f>
        <v>0</v>
      </c>
      <c r="K83" s="11">
        <f>+SUMPRODUCT(G84:G94,K84:K94)</f>
        <v>0</v>
      </c>
      <c r="L83" s="9"/>
      <c r="N83" s="12"/>
      <c r="U83" s="12"/>
      <c r="AB83" s="12"/>
      <c r="AI83" s="12"/>
      <c r="AP83" s="12"/>
    </row>
    <row r="84" spans="2:116" outlineLevel="1" x14ac:dyDescent="0.2">
      <c r="B84" t="s">
        <v>28</v>
      </c>
      <c r="C84" t="s">
        <v>154</v>
      </c>
      <c r="E84" s="9"/>
      <c r="F84" t="s">
        <v>155</v>
      </c>
      <c r="G84" s="10"/>
      <c r="I84" s="9">
        <f t="shared" ref="I84:I94" si="5">+SUMIF($N$3:$ZZ$3,I$3,$N84:$ZZ84)</f>
        <v>0</v>
      </c>
      <c r="J84" s="11" cm="1">
        <f t="array" ref="J84">MAX(IF($N$3:$EH$3=$J$3,N84:EH84))</f>
        <v>0</v>
      </c>
      <c r="K84" s="11" cm="1">
        <f t="array" ref="K84">MAX(IF($N$3:$EH$3=$J$3,N84:EH84))</f>
        <v>0</v>
      </c>
      <c r="L84" s="9"/>
      <c r="O84" s="10"/>
      <c r="P84" s="10"/>
      <c r="Q84" s="10"/>
      <c r="R84" s="10"/>
      <c r="V84" s="10"/>
      <c r="W84" s="10"/>
      <c r="X84" s="10"/>
      <c r="Y84" s="10"/>
      <c r="AC84" s="10"/>
      <c r="AD84" s="10"/>
      <c r="AE84" s="10"/>
      <c r="AF84" s="10"/>
      <c r="AJ84" s="10"/>
      <c r="AK84" s="10"/>
      <c r="AL84" s="10"/>
      <c r="AM84" s="10"/>
      <c r="AQ84" s="10"/>
      <c r="AR84" s="10"/>
      <c r="AS84" s="10"/>
      <c r="AT84" s="10"/>
      <c r="AX84" s="10"/>
      <c r="AY84" s="10"/>
      <c r="AZ84" s="10"/>
      <c r="BA84" s="10"/>
      <c r="BE84" s="10"/>
      <c r="BF84" s="10"/>
      <c r="BG84" s="10"/>
      <c r="BH84" s="10"/>
      <c r="BL84" s="10"/>
      <c r="BM84" s="10"/>
      <c r="BN84" s="10"/>
      <c r="BO84" s="10"/>
      <c r="BS84" s="10"/>
      <c r="BT84" s="10"/>
      <c r="BU84" s="10"/>
      <c r="BV84" s="10"/>
      <c r="BZ84" s="10"/>
      <c r="CA84" s="10"/>
      <c r="CB84" s="10"/>
      <c r="CC84" s="10"/>
      <c r="CG84" s="10"/>
      <c r="CH84" s="10"/>
      <c r="CI84" s="10"/>
      <c r="CJ84" s="10"/>
      <c r="CN84" s="10"/>
      <c r="CO84" s="10"/>
      <c r="CP84" s="10"/>
      <c r="CQ84" s="10"/>
      <c r="CU84" s="10"/>
      <c r="CV84" s="10"/>
      <c r="CW84" s="10"/>
      <c r="CX84" s="10"/>
      <c r="DB84" s="10"/>
      <c r="DC84" s="10"/>
      <c r="DD84" s="10"/>
      <c r="DE84" s="10"/>
      <c r="DI84" s="10"/>
      <c r="DJ84" s="10"/>
      <c r="DK84" s="10"/>
      <c r="DL84" s="10"/>
    </row>
    <row r="85" spans="2:116" outlineLevel="1" x14ac:dyDescent="0.2">
      <c r="B85" t="s">
        <v>28</v>
      </c>
      <c r="C85" t="s">
        <v>154</v>
      </c>
      <c r="E85" s="9"/>
      <c r="F85" t="s">
        <v>156</v>
      </c>
      <c r="G85" s="10"/>
      <c r="I85" s="9">
        <f t="shared" si="5"/>
        <v>0</v>
      </c>
      <c r="J85" s="11" cm="1">
        <f t="array" ref="J85">MAX(IF($N$3:$EH$3=$J$3,N85:EH85))</f>
        <v>0</v>
      </c>
      <c r="K85" s="11" cm="1">
        <f t="array" ref="K85">MAX(IF($N$3:$EH$3=$J$3,N85:EH85))</f>
        <v>0</v>
      </c>
      <c r="L85" s="9"/>
      <c r="O85" s="10"/>
      <c r="P85" s="10"/>
      <c r="Q85" s="10"/>
      <c r="R85" s="10"/>
      <c r="V85" s="10"/>
      <c r="W85" s="10"/>
      <c r="X85" s="10"/>
      <c r="Y85" s="10"/>
      <c r="AC85" s="10"/>
      <c r="AD85" s="10"/>
      <c r="AE85" s="10"/>
      <c r="AF85" s="10"/>
      <c r="AJ85" s="10"/>
      <c r="AK85" s="10"/>
      <c r="AL85" s="10"/>
      <c r="AM85" s="10"/>
      <c r="AQ85" s="10"/>
      <c r="AR85" s="10"/>
      <c r="AS85" s="10"/>
      <c r="AT85" s="10"/>
      <c r="AX85" s="10"/>
      <c r="AY85" s="10"/>
      <c r="AZ85" s="10"/>
      <c r="BA85" s="10"/>
      <c r="BE85" s="10"/>
      <c r="BF85" s="10"/>
      <c r="BG85" s="10"/>
      <c r="BH85" s="10"/>
      <c r="BL85" s="10"/>
      <c r="BM85" s="10"/>
      <c r="BN85" s="10"/>
      <c r="BO85" s="10"/>
      <c r="BS85" s="10"/>
      <c r="BT85" s="10"/>
      <c r="BU85" s="10"/>
      <c r="BV85" s="10"/>
      <c r="BZ85" s="10"/>
      <c r="CA85" s="10"/>
      <c r="CB85" s="10"/>
      <c r="CC85" s="10"/>
      <c r="CG85" s="10"/>
      <c r="CH85" s="10"/>
      <c r="CI85" s="10"/>
      <c r="CJ85" s="10"/>
      <c r="CN85" s="10"/>
      <c r="CO85" s="10"/>
      <c r="CP85" s="10"/>
      <c r="CQ85" s="10"/>
      <c r="CU85" s="10"/>
      <c r="CV85" s="10"/>
      <c r="CW85" s="10"/>
      <c r="CX85" s="10"/>
      <c r="DB85" s="10"/>
      <c r="DC85" s="10"/>
      <c r="DD85" s="10"/>
      <c r="DE85" s="10"/>
      <c r="DI85" s="10"/>
      <c r="DJ85" s="10"/>
      <c r="DK85" s="10"/>
      <c r="DL85" s="10"/>
    </row>
    <row r="86" spans="2:116" outlineLevel="1" x14ac:dyDescent="0.2">
      <c r="B86" t="s">
        <v>28</v>
      </c>
      <c r="C86" t="s">
        <v>154</v>
      </c>
      <c r="E86" s="9"/>
      <c r="F86" t="s">
        <v>157</v>
      </c>
      <c r="G86" s="10"/>
      <c r="I86" s="9">
        <f t="shared" si="5"/>
        <v>0</v>
      </c>
      <c r="J86" s="11" cm="1">
        <f t="array" ref="J86">MAX(IF($N$3:$EH$3=$J$3,N86:EH86))</f>
        <v>0</v>
      </c>
      <c r="K86" s="11" cm="1">
        <f t="array" ref="K86">MAX(IF($N$3:$EH$3=$J$3,N86:EH86))</f>
        <v>0</v>
      </c>
      <c r="L86" s="9"/>
      <c r="O86" s="10"/>
      <c r="P86" s="10"/>
      <c r="Q86" s="10"/>
      <c r="R86" s="10"/>
      <c r="V86" s="10"/>
      <c r="W86" s="10"/>
      <c r="X86" s="10"/>
      <c r="Y86" s="10"/>
      <c r="AC86" s="10"/>
      <c r="AD86" s="10"/>
      <c r="AE86" s="10"/>
      <c r="AF86" s="10"/>
      <c r="AJ86" s="10"/>
      <c r="AK86" s="10"/>
      <c r="AL86" s="10"/>
      <c r="AM86" s="10"/>
      <c r="AQ86" s="10"/>
      <c r="AR86" s="10"/>
      <c r="AS86" s="10"/>
      <c r="AT86" s="10"/>
      <c r="AX86" s="10"/>
      <c r="AY86" s="10"/>
      <c r="AZ86" s="10"/>
      <c r="BA86" s="10"/>
      <c r="BE86" s="10"/>
      <c r="BF86" s="10"/>
      <c r="BG86" s="10"/>
      <c r="BH86" s="10"/>
      <c r="BL86" s="10"/>
      <c r="BM86" s="10"/>
      <c r="BN86" s="10"/>
      <c r="BO86" s="10"/>
      <c r="BS86" s="10"/>
      <c r="BT86" s="10"/>
      <c r="BU86" s="10"/>
      <c r="BV86" s="10"/>
      <c r="BZ86" s="10"/>
      <c r="CA86" s="10"/>
      <c r="CB86" s="10"/>
      <c r="CC86" s="10"/>
      <c r="CG86" s="10"/>
      <c r="CH86" s="10"/>
      <c r="CI86" s="10"/>
      <c r="CJ86" s="10"/>
      <c r="CN86" s="10"/>
      <c r="CO86" s="10"/>
      <c r="CP86" s="10"/>
      <c r="CQ86" s="10"/>
      <c r="CU86" s="10"/>
      <c r="CV86" s="10"/>
      <c r="CW86" s="10"/>
      <c r="CX86" s="10"/>
      <c r="DB86" s="10"/>
      <c r="DC86" s="10"/>
      <c r="DD86" s="10"/>
      <c r="DE86" s="10"/>
      <c r="DI86" s="10"/>
      <c r="DJ86" s="10"/>
      <c r="DK86" s="10"/>
      <c r="DL86" s="10"/>
    </row>
    <row r="87" spans="2:116" outlineLevel="1" x14ac:dyDescent="0.2">
      <c r="B87" t="s">
        <v>28</v>
      </c>
      <c r="C87" t="s">
        <v>154</v>
      </c>
      <c r="E87" s="9"/>
      <c r="G87" s="10"/>
      <c r="I87" s="9">
        <f t="shared" si="5"/>
        <v>0</v>
      </c>
      <c r="J87" s="11" cm="1">
        <f t="array" ref="J87">MAX(IF($N$3:$EH$3=$J$3,N87:EH87))</f>
        <v>0</v>
      </c>
      <c r="K87" s="11" cm="1">
        <f t="array" ref="K87">MAX(IF($N$3:$EH$3=$J$3,N87:EH87))</f>
        <v>0</v>
      </c>
      <c r="L87" s="9"/>
      <c r="O87" s="10"/>
      <c r="P87" s="10"/>
      <c r="Q87" s="10"/>
      <c r="R87" s="10"/>
      <c r="V87" s="10"/>
      <c r="W87" s="10"/>
      <c r="X87" s="10"/>
      <c r="Y87" s="10"/>
      <c r="AC87" s="10"/>
      <c r="AD87" s="10"/>
      <c r="AE87" s="10"/>
      <c r="AF87" s="10"/>
      <c r="AJ87" s="10"/>
      <c r="AK87" s="10"/>
      <c r="AL87" s="10"/>
      <c r="AM87" s="10"/>
      <c r="AQ87" s="10"/>
      <c r="AR87" s="10"/>
      <c r="AS87" s="10"/>
      <c r="AT87" s="10"/>
      <c r="AX87" s="10"/>
      <c r="AY87" s="10"/>
      <c r="AZ87" s="10"/>
      <c r="BA87" s="10"/>
      <c r="BE87" s="10"/>
      <c r="BF87" s="10"/>
      <c r="BG87" s="10"/>
      <c r="BH87" s="10"/>
      <c r="BL87" s="10"/>
      <c r="BM87" s="10"/>
      <c r="BN87" s="10"/>
      <c r="BO87" s="10"/>
      <c r="BS87" s="10"/>
      <c r="BT87" s="10"/>
      <c r="BU87" s="10"/>
      <c r="BV87" s="10"/>
      <c r="BZ87" s="10"/>
      <c r="CA87" s="10"/>
      <c r="CB87" s="10"/>
      <c r="CC87" s="10"/>
      <c r="CG87" s="10"/>
      <c r="CH87" s="10"/>
      <c r="CI87" s="10"/>
      <c r="CJ87" s="10"/>
      <c r="CN87" s="10"/>
      <c r="CO87" s="10"/>
      <c r="CP87" s="10"/>
      <c r="CQ87" s="10"/>
      <c r="CU87" s="10"/>
      <c r="CV87" s="10"/>
      <c r="CW87" s="10"/>
      <c r="CX87" s="10"/>
      <c r="DB87" s="10"/>
      <c r="DC87" s="10"/>
      <c r="DD87" s="10"/>
      <c r="DE87" s="10"/>
      <c r="DI87" s="10"/>
      <c r="DJ87" s="10"/>
      <c r="DK87" s="10"/>
      <c r="DL87" s="10"/>
    </row>
    <row r="88" spans="2:116" outlineLevel="1" x14ac:dyDescent="0.2">
      <c r="B88" t="s">
        <v>28</v>
      </c>
      <c r="C88" t="s">
        <v>154</v>
      </c>
      <c r="E88" s="9"/>
      <c r="G88" s="10"/>
      <c r="I88" s="9">
        <f t="shared" si="5"/>
        <v>0</v>
      </c>
      <c r="J88" s="11" cm="1">
        <f t="array" ref="J88">MAX(IF($N$3:$EH$3=$J$3,N88:EH88))</f>
        <v>0</v>
      </c>
      <c r="K88" s="11" cm="1">
        <f t="array" ref="K88">MAX(IF($N$3:$EH$3=$J$3,N88:EH88))</f>
        <v>0</v>
      </c>
      <c r="L88" s="9"/>
      <c r="O88" s="10"/>
      <c r="P88" s="10"/>
      <c r="Q88" s="10"/>
      <c r="R88" s="10"/>
      <c r="V88" s="10"/>
      <c r="W88" s="10"/>
      <c r="X88" s="10"/>
      <c r="Y88" s="10"/>
      <c r="AC88" s="10"/>
      <c r="AD88" s="10"/>
      <c r="AE88" s="10"/>
      <c r="AF88" s="10"/>
      <c r="AJ88" s="10"/>
      <c r="AK88" s="10"/>
      <c r="AL88" s="10"/>
      <c r="AM88" s="10"/>
      <c r="AQ88" s="10"/>
      <c r="AR88" s="10"/>
      <c r="AS88" s="10"/>
      <c r="AT88" s="10"/>
      <c r="AX88" s="10"/>
      <c r="AY88" s="10"/>
      <c r="AZ88" s="10"/>
      <c r="BA88" s="10"/>
      <c r="BE88" s="10"/>
      <c r="BF88" s="10"/>
      <c r="BG88" s="10"/>
      <c r="BH88" s="10"/>
      <c r="BL88" s="10"/>
      <c r="BM88" s="10"/>
      <c r="BN88" s="10"/>
      <c r="BO88" s="10"/>
      <c r="BS88" s="10"/>
      <c r="BT88" s="10"/>
      <c r="BU88" s="10"/>
      <c r="BV88" s="10"/>
      <c r="BZ88" s="10"/>
      <c r="CA88" s="10"/>
      <c r="CB88" s="10"/>
      <c r="CC88" s="10"/>
      <c r="CG88" s="10"/>
      <c r="CH88" s="10"/>
      <c r="CI88" s="10"/>
      <c r="CJ88" s="10"/>
      <c r="CN88" s="10"/>
      <c r="CO88" s="10"/>
      <c r="CP88" s="10"/>
      <c r="CQ88" s="10"/>
      <c r="CU88" s="10"/>
      <c r="CV88" s="10"/>
      <c r="CW88" s="10"/>
      <c r="CX88" s="10"/>
      <c r="DB88" s="10"/>
      <c r="DC88" s="10"/>
      <c r="DD88" s="10"/>
      <c r="DE88" s="10"/>
      <c r="DI88" s="10"/>
      <c r="DJ88" s="10"/>
      <c r="DK88" s="10"/>
      <c r="DL88" s="10"/>
    </row>
    <row r="89" spans="2:116" outlineLevel="1" x14ac:dyDescent="0.2">
      <c r="B89" t="s">
        <v>28</v>
      </c>
      <c r="C89" t="s">
        <v>154</v>
      </c>
      <c r="E89" s="9"/>
      <c r="G89" s="10"/>
      <c r="I89" s="9">
        <f t="shared" si="5"/>
        <v>0</v>
      </c>
      <c r="J89" s="11" cm="1">
        <f t="array" ref="J89">MAX(IF($N$3:$EH$3=$J$3,N89:EH89))</f>
        <v>0</v>
      </c>
      <c r="K89" s="11" cm="1">
        <f t="array" ref="K89">MAX(IF($N$3:$EH$3=$J$3,N89:EH89))</f>
        <v>0</v>
      </c>
      <c r="L89" s="9"/>
      <c r="O89" s="10"/>
      <c r="P89" s="10"/>
      <c r="Q89" s="10"/>
      <c r="R89" s="10"/>
      <c r="V89" s="10"/>
      <c r="W89" s="10"/>
      <c r="X89" s="10"/>
      <c r="Y89" s="10"/>
      <c r="AC89" s="10"/>
      <c r="AD89" s="10"/>
      <c r="AE89" s="10"/>
      <c r="AF89" s="10"/>
      <c r="AJ89" s="10"/>
      <c r="AK89" s="10"/>
      <c r="AL89" s="10"/>
      <c r="AM89" s="10"/>
      <c r="AQ89" s="10"/>
      <c r="AR89" s="10"/>
      <c r="AS89" s="10"/>
      <c r="AT89" s="10"/>
      <c r="AX89" s="10"/>
      <c r="AY89" s="10"/>
      <c r="AZ89" s="10"/>
      <c r="BA89" s="10"/>
      <c r="BE89" s="10"/>
      <c r="BF89" s="10"/>
      <c r="BG89" s="10"/>
      <c r="BH89" s="10"/>
      <c r="BL89" s="10"/>
      <c r="BM89" s="10"/>
      <c r="BN89" s="10"/>
      <c r="BO89" s="10"/>
      <c r="BS89" s="10"/>
      <c r="BT89" s="10"/>
      <c r="BU89" s="10"/>
      <c r="BV89" s="10"/>
      <c r="BZ89" s="10"/>
      <c r="CA89" s="10"/>
      <c r="CB89" s="10"/>
      <c r="CC89" s="10"/>
      <c r="CG89" s="10"/>
      <c r="CH89" s="10"/>
      <c r="CI89" s="10"/>
      <c r="CJ89" s="10"/>
      <c r="CN89" s="10"/>
      <c r="CO89" s="10"/>
      <c r="CP89" s="10"/>
      <c r="CQ89" s="10"/>
      <c r="CU89" s="10"/>
      <c r="CV89" s="10"/>
      <c r="CW89" s="10"/>
      <c r="CX89" s="10"/>
      <c r="DB89" s="10"/>
      <c r="DC89" s="10"/>
      <c r="DD89" s="10"/>
      <c r="DE89" s="10"/>
      <c r="DI89" s="10"/>
      <c r="DJ89" s="10"/>
      <c r="DK89" s="10"/>
      <c r="DL89" s="10"/>
    </row>
    <row r="90" spans="2:116" outlineLevel="1" x14ac:dyDescent="0.2">
      <c r="B90" t="s">
        <v>28</v>
      </c>
      <c r="C90" t="s">
        <v>154</v>
      </c>
      <c r="E90" s="9"/>
      <c r="G90" s="10"/>
      <c r="I90" s="9">
        <f t="shared" si="5"/>
        <v>0</v>
      </c>
      <c r="J90" s="11" cm="1">
        <f t="array" ref="J90">MAX(IF($N$3:$EH$3=$J$3,N90:EH90))</f>
        <v>0</v>
      </c>
      <c r="K90" s="11" cm="1">
        <f t="array" ref="K90">MAX(IF($N$3:$EH$3=$J$3,N90:EH90))</f>
        <v>0</v>
      </c>
      <c r="L90" s="9"/>
      <c r="O90" s="10"/>
      <c r="P90" s="10"/>
      <c r="Q90" s="10"/>
      <c r="R90" s="10"/>
      <c r="V90" s="10"/>
      <c r="W90" s="10"/>
      <c r="X90" s="10"/>
      <c r="Y90" s="10"/>
      <c r="AC90" s="10"/>
      <c r="AD90" s="10"/>
      <c r="AE90" s="10"/>
      <c r="AF90" s="10"/>
      <c r="AJ90" s="10"/>
      <c r="AK90" s="10"/>
      <c r="AL90" s="10"/>
      <c r="AM90" s="10"/>
      <c r="AQ90" s="10"/>
      <c r="AR90" s="10"/>
      <c r="AS90" s="10"/>
      <c r="AT90" s="10"/>
      <c r="AX90" s="10"/>
      <c r="AY90" s="10"/>
      <c r="AZ90" s="10"/>
      <c r="BA90" s="10"/>
      <c r="BE90" s="10"/>
      <c r="BF90" s="10"/>
      <c r="BG90" s="10"/>
      <c r="BH90" s="10"/>
      <c r="BL90" s="10"/>
      <c r="BM90" s="10"/>
      <c r="BN90" s="10"/>
      <c r="BO90" s="10"/>
      <c r="BS90" s="10"/>
      <c r="BT90" s="10"/>
      <c r="BU90" s="10"/>
      <c r="BV90" s="10"/>
      <c r="BZ90" s="10"/>
      <c r="CA90" s="10"/>
      <c r="CB90" s="10"/>
      <c r="CC90" s="10"/>
      <c r="CG90" s="10"/>
      <c r="CH90" s="10"/>
      <c r="CI90" s="10"/>
      <c r="CJ90" s="10"/>
      <c r="CN90" s="10"/>
      <c r="CO90" s="10"/>
      <c r="CP90" s="10"/>
      <c r="CQ90" s="10"/>
      <c r="CU90" s="10"/>
      <c r="CV90" s="10"/>
      <c r="CW90" s="10"/>
      <c r="CX90" s="10"/>
      <c r="DB90" s="10"/>
      <c r="DC90" s="10"/>
      <c r="DD90" s="10"/>
      <c r="DE90" s="10"/>
      <c r="DI90" s="10"/>
      <c r="DJ90" s="10"/>
      <c r="DK90" s="10"/>
      <c r="DL90" s="10"/>
    </row>
    <row r="91" spans="2:116" outlineLevel="1" x14ac:dyDescent="0.2">
      <c r="B91" t="s">
        <v>28</v>
      </c>
      <c r="C91" t="s">
        <v>154</v>
      </c>
      <c r="E91" s="9"/>
      <c r="G91" s="10"/>
      <c r="I91" s="9">
        <f t="shared" si="5"/>
        <v>0</v>
      </c>
      <c r="J91" s="11" cm="1">
        <f t="array" ref="J91">MAX(IF($N$3:$EH$3=$J$3,N91:EH91))</f>
        <v>0</v>
      </c>
      <c r="K91" s="11" cm="1">
        <f t="array" ref="K91">MAX(IF($N$3:$EH$3=$J$3,N91:EH91))</f>
        <v>0</v>
      </c>
      <c r="L91" s="9"/>
      <c r="O91" s="10"/>
      <c r="P91" s="10"/>
      <c r="Q91" s="10"/>
      <c r="R91" s="10"/>
      <c r="V91" s="10"/>
      <c r="W91" s="10"/>
      <c r="X91" s="10"/>
      <c r="Y91" s="10"/>
      <c r="AC91" s="10"/>
      <c r="AD91" s="10"/>
      <c r="AE91" s="10"/>
      <c r="AF91" s="10"/>
      <c r="AJ91" s="10"/>
      <c r="AK91" s="10"/>
      <c r="AL91" s="10"/>
      <c r="AM91" s="10"/>
      <c r="AQ91" s="10"/>
      <c r="AR91" s="10"/>
      <c r="AS91" s="10"/>
      <c r="AT91" s="10"/>
      <c r="AX91" s="10"/>
      <c r="AY91" s="10"/>
      <c r="AZ91" s="10"/>
      <c r="BA91" s="10"/>
      <c r="BE91" s="10"/>
      <c r="BF91" s="10"/>
      <c r="BG91" s="10"/>
      <c r="BH91" s="10"/>
      <c r="BL91" s="10"/>
      <c r="BM91" s="10"/>
      <c r="BN91" s="10"/>
      <c r="BO91" s="10"/>
      <c r="BS91" s="10"/>
      <c r="BT91" s="10"/>
      <c r="BU91" s="10"/>
      <c r="BV91" s="10"/>
      <c r="BZ91" s="10"/>
      <c r="CA91" s="10"/>
      <c r="CB91" s="10"/>
      <c r="CC91" s="10"/>
      <c r="CG91" s="10"/>
      <c r="CH91" s="10"/>
      <c r="CI91" s="10"/>
      <c r="CJ91" s="10"/>
      <c r="CN91" s="10"/>
      <c r="CO91" s="10"/>
      <c r="CP91" s="10"/>
      <c r="CQ91" s="10"/>
      <c r="CU91" s="10"/>
      <c r="CV91" s="10"/>
      <c r="CW91" s="10"/>
      <c r="CX91" s="10"/>
      <c r="DB91" s="10"/>
      <c r="DC91" s="10"/>
      <c r="DD91" s="10"/>
      <c r="DE91" s="10"/>
      <c r="DI91" s="10"/>
      <c r="DJ91" s="10"/>
      <c r="DK91" s="10"/>
      <c r="DL91" s="10"/>
    </row>
    <row r="92" spans="2:116" outlineLevel="1" x14ac:dyDescent="0.2">
      <c r="B92" t="s">
        <v>28</v>
      </c>
      <c r="C92" t="s">
        <v>154</v>
      </c>
      <c r="E92" s="9"/>
      <c r="G92" s="10"/>
      <c r="I92" s="9">
        <f t="shared" si="5"/>
        <v>0</v>
      </c>
      <c r="J92" s="11" cm="1">
        <f t="array" ref="J92">MAX(IF($N$3:$EH$3=$J$3,N92:EH92))</f>
        <v>0</v>
      </c>
      <c r="K92" s="11" cm="1">
        <f t="array" ref="K92">MAX(IF($N$3:$EH$3=$J$3,N92:EH92))</f>
        <v>0</v>
      </c>
      <c r="L92" s="9"/>
      <c r="O92" s="10"/>
      <c r="P92" s="10"/>
      <c r="Q92" s="10"/>
      <c r="R92" s="10"/>
      <c r="V92" s="10"/>
      <c r="W92" s="10"/>
      <c r="X92" s="10"/>
      <c r="Y92" s="10"/>
      <c r="AC92" s="10"/>
      <c r="AD92" s="10"/>
      <c r="AE92" s="10"/>
      <c r="AF92" s="10"/>
      <c r="AJ92" s="10"/>
      <c r="AK92" s="10"/>
      <c r="AL92" s="10"/>
      <c r="AM92" s="10"/>
      <c r="AQ92" s="10"/>
      <c r="AR92" s="10"/>
      <c r="AS92" s="10"/>
      <c r="AT92" s="10"/>
      <c r="AX92" s="10"/>
      <c r="AY92" s="10"/>
      <c r="AZ92" s="10"/>
      <c r="BA92" s="10"/>
      <c r="BE92" s="10"/>
      <c r="BF92" s="10"/>
      <c r="BG92" s="10"/>
      <c r="BH92" s="10"/>
      <c r="BL92" s="10"/>
      <c r="BM92" s="10"/>
      <c r="BN92" s="10"/>
      <c r="BO92" s="10"/>
      <c r="BS92" s="10"/>
      <c r="BT92" s="10"/>
      <c r="BU92" s="10"/>
      <c r="BV92" s="10"/>
      <c r="BZ92" s="10"/>
      <c r="CA92" s="10"/>
      <c r="CB92" s="10"/>
      <c r="CC92" s="10"/>
      <c r="CG92" s="10"/>
      <c r="CH92" s="10"/>
      <c r="CI92" s="10"/>
      <c r="CJ92" s="10"/>
      <c r="CN92" s="10"/>
      <c r="CO92" s="10"/>
      <c r="CP92" s="10"/>
      <c r="CQ92" s="10"/>
      <c r="CU92" s="10"/>
      <c r="CV92" s="10"/>
      <c r="CW92" s="10"/>
      <c r="CX92" s="10"/>
      <c r="DB92" s="10"/>
      <c r="DC92" s="10"/>
      <c r="DD92" s="10"/>
      <c r="DE92" s="10"/>
      <c r="DI92" s="10"/>
      <c r="DJ92" s="10"/>
      <c r="DK92" s="10"/>
      <c r="DL92" s="10"/>
    </row>
    <row r="93" spans="2:116" outlineLevel="1" x14ac:dyDescent="0.2">
      <c r="B93" t="s">
        <v>28</v>
      </c>
      <c r="C93" t="s">
        <v>154</v>
      </c>
      <c r="E93" s="9"/>
      <c r="G93" s="10"/>
      <c r="I93" s="9">
        <f t="shared" si="5"/>
        <v>0</v>
      </c>
      <c r="J93" s="11" cm="1">
        <f t="array" ref="J93">MAX(IF($N$3:$EH$3=$J$3,N93:EH93))</f>
        <v>0</v>
      </c>
      <c r="K93" s="11" cm="1">
        <f t="array" ref="K93">MAX(IF($N$3:$EH$3=$J$3,N93:EH93))</f>
        <v>0</v>
      </c>
      <c r="L93" s="9"/>
      <c r="O93" s="10"/>
      <c r="P93" s="10"/>
      <c r="Q93" s="10"/>
      <c r="R93" s="10"/>
      <c r="V93" s="10"/>
      <c r="W93" s="10"/>
      <c r="X93" s="10"/>
      <c r="Y93" s="10"/>
      <c r="AC93" s="10"/>
      <c r="AD93" s="10"/>
      <c r="AE93" s="10"/>
      <c r="AF93" s="10"/>
      <c r="AJ93" s="10"/>
      <c r="AK93" s="10"/>
      <c r="AL93" s="10"/>
      <c r="AM93" s="10"/>
      <c r="AQ93" s="10"/>
      <c r="AR93" s="10"/>
      <c r="AS93" s="10"/>
      <c r="AT93" s="10"/>
      <c r="AX93" s="10"/>
      <c r="AY93" s="10"/>
      <c r="AZ93" s="10"/>
      <c r="BA93" s="10"/>
      <c r="BE93" s="10"/>
      <c r="BF93" s="10"/>
      <c r="BG93" s="10"/>
      <c r="BH93" s="10"/>
      <c r="BL93" s="10"/>
      <c r="BM93" s="10"/>
      <c r="BN93" s="10"/>
      <c r="BO93" s="10"/>
      <c r="BS93" s="10"/>
      <c r="BT93" s="10"/>
      <c r="BU93" s="10"/>
      <c r="BV93" s="10"/>
      <c r="BZ93" s="10"/>
      <c r="CA93" s="10"/>
      <c r="CB93" s="10"/>
      <c r="CC93" s="10"/>
      <c r="CG93" s="10"/>
      <c r="CH93" s="10"/>
      <c r="CI93" s="10"/>
      <c r="CJ93" s="10"/>
      <c r="CN93" s="10"/>
      <c r="CO93" s="10"/>
      <c r="CP93" s="10"/>
      <c r="CQ93" s="10"/>
      <c r="CU93" s="10"/>
      <c r="CV93" s="10"/>
      <c r="CW93" s="10"/>
      <c r="CX93" s="10"/>
      <c r="DB93" s="10"/>
      <c r="DC93" s="10"/>
      <c r="DD93" s="10"/>
      <c r="DE93" s="10"/>
      <c r="DI93" s="10"/>
      <c r="DJ93" s="10"/>
      <c r="DK93" s="10"/>
      <c r="DL93" s="10"/>
    </row>
    <row r="94" spans="2:116" outlineLevel="1" x14ac:dyDescent="0.2">
      <c r="B94" t="s">
        <v>28</v>
      </c>
      <c r="C94" t="s">
        <v>154</v>
      </c>
      <c r="E94" s="9"/>
      <c r="G94" s="10"/>
      <c r="I94" s="9">
        <f t="shared" si="5"/>
        <v>0</v>
      </c>
      <c r="J94" s="11" cm="1">
        <f t="array" ref="J94">MAX(IF($N$3:$EH$3=$J$3,N94:EH94))</f>
        <v>0</v>
      </c>
      <c r="K94" s="11" cm="1">
        <f t="array" ref="K94">MAX(IF($N$3:$EH$3=$J$3,N94:EH94))</f>
        <v>0</v>
      </c>
      <c r="L94" s="9"/>
      <c r="O94" s="10"/>
      <c r="P94" s="10"/>
      <c r="Q94" s="10"/>
      <c r="R94" s="10"/>
      <c r="V94" s="10"/>
      <c r="W94" s="10"/>
      <c r="X94" s="10"/>
      <c r="Y94" s="10"/>
      <c r="AC94" s="10"/>
      <c r="AD94" s="10"/>
      <c r="AE94" s="10"/>
      <c r="AF94" s="10"/>
      <c r="AJ94" s="10"/>
      <c r="AK94" s="10"/>
      <c r="AL94" s="10"/>
      <c r="AM94" s="10"/>
      <c r="AQ94" s="10"/>
      <c r="AR94" s="10"/>
      <c r="AS94" s="10"/>
      <c r="AT94" s="10"/>
      <c r="AX94" s="10"/>
      <c r="AY94" s="10"/>
      <c r="AZ94" s="10"/>
      <c r="BA94" s="10"/>
      <c r="BE94" s="10"/>
      <c r="BF94" s="10"/>
      <c r="BG94" s="10"/>
      <c r="BH94" s="10"/>
      <c r="BL94" s="10"/>
      <c r="BM94" s="10"/>
      <c r="BN94" s="10"/>
      <c r="BO94" s="10"/>
      <c r="BS94" s="10"/>
      <c r="BT94" s="10"/>
      <c r="BU94" s="10"/>
      <c r="BV94" s="10"/>
      <c r="BZ94" s="10"/>
      <c r="CA94" s="10"/>
      <c r="CB94" s="10"/>
      <c r="CC94" s="10"/>
      <c r="CG94" s="10"/>
      <c r="CH94" s="10"/>
      <c r="CI94" s="10"/>
      <c r="CJ94" s="10"/>
      <c r="CN94" s="10"/>
      <c r="CO94" s="10"/>
      <c r="CP94" s="10"/>
      <c r="CQ94" s="10"/>
      <c r="CU94" s="10"/>
      <c r="CV94" s="10"/>
      <c r="CW94" s="10"/>
      <c r="CX94" s="10"/>
      <c r="DB94" s="10"/>
      <c r="DC94" s="10"/>
      <c r="DD94" s="10"/>
      <c r="DE94" s="10"/>
      <c r="DI94" s="10"/>
      <c r="DJ94" s="10"/>
      <c r="DK94" s="10"/>
      <c r="DL94" s="10"/>
    </row>
  </sheetData>
  <mergeCells count="16">
    <mergeCell ref="DH2:DM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phoneticPr fontId="5" type="noConversion"/>
  <conditionalFormatting sqref="J19">
    <cfRule type="colorScale" priority="283">
      <colorScale>
        <cfvo type="percent" val="0"/>
        <cfvo type="percent" val="100"/>
        <color rgb="FFFF231B"/>
        <color rgb="FF10FF07"/>
      </colorScale>
    </cfRule>
  </conditionalFormatting>
  <conditionalFormatting sqref="J20">
    <cfRule type="colorScale" priority="264">
      <colorScale>
        <cfvo type="percent" val="0"/>
        <cfvo type="percent" val="100"/>
        <color rgb="FFFF231B"/>
        <color rgb="FF10FF07"/>
      </colorScale>
    </cfRule>
  </conditionalFormatting>
  <conditionalFormatting sqref="J21:J30 J18">
    <cfRule type="colorScale" priority="517">
      <colorScale>
        <cfvo type="percent" val="0"/>
        <cfvo type="percent" val="100"/>
        <color rgb="FFFF231B"/>
        <color rgb="FF10FF07"/>
      </colorScale>
    </cfRule>
  </conditionalFormatting>
  <conditionalFormatting sqref="J40:J51">
    <cfRule type="colorScale" priority="828">
      <colorScale>
        <cfvo type="percent" val="0"/>
        <cfvo type="percent" val="100"/>
        <color rgb="FFFF231B"/>
        <color rgb="FF10FF07"/>
      </colorScale>
    </cfRule>
  </conditionalFormatting>
  <conditionalFormatting sqref="J54:J68">
    <cfRule type="colorScale" priority="888">
      <colorScale>
        <cfvo type="percent" val="0"/>
        <cfvo type="percent" val="100"/>
        <color rgb="FFFF231B"/>
        <color rgb="FF10FF07"/>
      </colorScale>
    </cfRule>
  </conditionalFormatting>
  <conditionalFormatting sqref="J19:K19">
    <cfRule type="colorScale" priority="284">
      <colorScale>
        <cfvo type="percent" val="0"/>
        <cfvo type="percent" val="100"/>
        <color rgb="FFFF231B"/>
        <color rgb="FF10FF07"/>
      </colorScale>
    </cfRule>
  </conditionalFormatting>
  <conditionalFormatting sqref="J20:K20">
    <cfRule type="colorScale" priority="265">
      <colorScale>
        <cfvo type="percent" val="0"/>
        <cfvo type="percent" val="100"/>
        <color rgb="FFFF231B"/>
        <color rgb="FF10FF07"/>
      </colorScale>
    </cfRule>
  </conditionalFormatting>
  <conditionalFormatting sqref="J21:K30">
    <cfRule type="colorScale" priority="518">
      <colorScale>
        <cfvo type="percent" val="0"/>
        <cfvo type="percent" val="100"/>
        <color rgb="FFFF231B"/>
        <color rgb="FF10FF07"/>
      </colorScale>
    </cfRule>
  </conditionalFormatting>
  <conditionalFormatting sqref="J41:K51">
    <cfRule type="colorScale" priority="826">
      <colorScale>
        <cfvo type="percent" val="0"/>
        <cfvo type="percent" val="100"/>
        <color rgb="FFFF231B"/>
        <color rgb="FF10FF07"/>
      </colorScale>
    </cfRule>
  </conditionalFormatting>
  <conditionalFormatting sqref="J55:K68">
    <cfRule type="colorScale" priority="887">
      <colorScale>
        <cfvo type="percent" val="0"/>
        <cfvo type="percent" val="100"/>
        <color rgb="FFFF231B"/>
        <color rgb="FF10FF07"/>
      </colorScale>
    </cfRule>
  </conditionalFormatting>
  <conditionalFormatting sqref="K19">
    <cfRule type="colorScale" priority="282">
      <colorScale>
        <cfvo type="percent" val="0"/>
        <cfvo type="percent" val="100"/>
        <color rgb="FFFF231B"/>
        <color rgb="FF10FF07"/>
      </colorScale>
    </cfRule>
  </conditionalFormatting>
  <conditionalFormatting sqref="K20">
    <cfRule type="colorScale" priority="263">
      <colorScale>
        <cfvo type="percent" val="0"/>
        <cfvo type="percent" val="100"/>
        <color rgb="FFFF231B"/>
        <color rgb="FF10FF07"/>
      </colorScale>
    </cfRule>
  </conditionalFormatting>
  <conditionalFormatting sqref="K21:K30 K18">
    <cfRule type="colorScale" priority="516">
      <colorScale>
        <cfvo type="percent" val="0"/>
        <cfvo type="percent" val="100"/>
        <color rgb="FFFF231B"/>
        <color rgb="FF10FF07"/>
      </colorScale>
    </cfRule>
  </conditionalFormatting>
  <conditionalFormatting sqref="K40:K51">
    <cfRule type="colorScale" priority="830">
      <colorScale>
        <cfvo type="percent" val="0"/>
        <cfvo type="percent" val="100"/>
        <color rgb="FFFF231B"/>
        <color rgb="FF10FF07"/>
      </colorScale>
    </cfRule>
  </conditionalFormatting>
  <conditionalFormatting sqref="K54:K68">
    <cfRule type="colorScale" priority="890">
      <colorScale>
        <cfvo type="percent" val="0"/>
        <cfvo type="percent" val="100"/>
        <color rgb="FFFF231B"/>
        <color rgb="FF10FF07"/>
      </colorScale>
    </cfRule>
  </conditionalFormatting>
  <conditionalFormatting sqref="O54:O68 Q54:Q68 V54:V68 X54:X68 AC54:AC68 AE54:AE68 AJ54:AJ68 AL54:AL68 AQ54:AQ68 AS54:AS68 AX54:AX68 AZ54:AZ68 BE54:BE68 BG54:BG68 BL54:BL68 BN54:BN68 O5:O15 Q5:Q15 V5:V15 X5:X15 AC5:AC15 AE5:AE15 AJ5:AJ15 AL5:AL15 AQ5:AQ15 AS5:AS15 AX5:AX15 AZ5:AZ15 BE5:BE15 BG5:BG15 BN5:BN15 BS5:BS15 BZ5:BZ15 CG5:CG15 CI5:CI15 CN5:CN15 CP5:CP15 CU5:CU15 CW5:CW15 DB5:DB15 DD5:DD15 O33:O37 Q33:Q37 V33:V37 X33:X37 AC33:AC37 AE33:AE37 AJ33:AJ37 AL33:AL37 AQ33:AQ37 AS33:AS37 AX33:AX37 AZ33:AZ37 BE33:BE37 BG33:BG37 BL33:BL37 BN33:BN37 BU33:BU37 BZ33:BZ37 CB33:CB37 CG33:CG37 CI33:CI37 CN33:CN37 CP33:CP37 CU33:CU37 CW33:CW37 DB33:DB37 DD33:DD37 BU15 CW55:CW68 CW73:CW81 CB5:CB15 BS33:BS37 BL5:BL15">
    <cfRule type="expression" dxfId="245" priority="703">
      <formula>OR(IF(O5&lt;P5,TRUE),IF(AND(P5="",O5&lt;&gt;""),TRUE))</formula>
    </cfRule>
    <cfRule type="expression" dxfId="244" priority="704">
      <formula>IF(O5&gt;=P5,IF(O5="",FALSE,TRUE))</formula>
    </cfRule>
  </conditionalFormatting>
  <conditionalFormatting sqref="O18:O30 Q18:Q30">
    <cfRule type="expression" dxfId="243" priority="278">
      <formula>OR(IF(O18&lt;P18,TRUE),IF(AND(P18="",O18&lt;&gt;""),TRUE))</formula>
    </cfRule>
    <cfRule type="expression" dxfId="242" priority="279">
      <formula>IF(O18&gt;=P18,IF(O18="",FALSE,TRUE))</formula>
    </cfRule>
  </conditionalFormatting>
  <conditionalFormatting sqref="O40:O51">
    <cfRule type="expression" dxfId="241" priority="431">
      <formula>OR(IF(O40&lt;P40,TRUE),IF(AND(P40="",O40&lt;&gt;""),TRUE))</formula>
    </cfRule>
    <cfRule type="expression" dxfId="240" priority="432">
      <formula>IF(O40&gt;=P40,IF(O40="",FALSE,TRUE))</formula>
    </cfRule>
  </conditionalFormatting>
  <conditionalFormatting sqref="Q40:Q51">
    <cfRule type="expression" dxfId="239" priority="429">
      <formula>OR(IF(Q40&lt;R40,TRUE),IF(AND(R40="",Q40&lt;&gt;""),TRUE))</formula>
    </cfRule>
    <cfRule type="expression" dxfId="238" priority="430">
      <formula>IF(Q40&gt;=R40,IF(Q40="",FALSE,TRUE))</formula>
    </cfRule>
  </conditionalFormatting>
  <conditionalFormatting sqref="V18:V30 X18:X30">
    <cfRule type="expression" dxfId="237" priority="276">
      <formula>OR(IF(V18&lt;W18,TRUE),IF(AND(W18="",V18&lt;&gt;""),TRUE))</formula>
    </cfRule>
    <cfRule type="expression" dxfId="236" priority="277">
      <formula>IF(V18&gt;=W18,IF(V18="",FALSE,TRUE))</formula>
    </cfRule>
  </conditionalFormatting>
  <conditionalFormatting sqref="V40:V51">
    <cfRule type="expression" dxfId="235" priority="423">
      <formula>OR(IF(V40&lt;W40,TRUE),IF(AND(W40="",V40&lt;&gt;""),TRUE))</formula>
    </cfRule>
    <cfRule type="expression" dxfId="234" priority="424">
      <formula>IF(V40&gt;=W40,IF(V40="",FALSE,TRUE))</formula>
    </cfRule>
  </conditionalFormatting>
  <conditionalFormatting sqref="X40:X51">
    <cfRule type="expression" dxfId="233" priority="421">
      <formula>OR(IF(X40&lt;Y40,TRUE),IF(AND(Y40="",X40&lt;&gt;""),TRUE))</formula>
    </cfRule>
    <cfRule type="expression" dxfId="232" priority="422">
      <formula>IF(X40&gt;=Y40,IF(X40="",FALSE,TRUE))</formula>
    </cfRule>
  </conditionalFormatting>
  <conditionalFormatting sqref="AC18:AC30 AE18:AE30">
    <cfRule type="expression" dxfId="231" priority="274">
      <formula>OR(IF(AC18&lt;AD18,TRUE),IF(AND(AD18="",AC18&lt;&gt;""),TRUE))</formula>
    </cfRule>
    <cfRule type="expression" dxfId="230" priority="275">
      <formula>IF(AC18&gt;=AD18,IF(AC18="",FALSE,TRUE))</formula>
    </cfRule>
  </conditionalFormatting>
  <conditionalFormatting sqref="AC40:AC51">
    <cfRule type="expression" dxfId="229" priority="415">
      <formula>OR(IF(AC40&lt;AD40,TRUE),IF(AND(AD40="",AC40&lt;&gt;""),TRUE))</formula>
    </cfRule>
    <cfRule type="expression" dxfId="228" priority="416">
      <formula>IF(AC40&gt;=AD40,IF(AC40="",FALSE,TRUE))</formula>
    </cfRule>
  </conditionalFormatting>
  <conditionalFormatting sqref="AE40:AE51">
    <cfRule type="expression" dxfId="227" priority="413">
      <formula>OR(IF(AE40&lt;AF40,TRUE),IF(AND(AF40="",AE40&lt;&gt;""),TRUE))</formula>
    </cfRule>
    <cfRule type="expression" dxfId="226" priority="414">
      <formula>IF(AE40&gt;=AF40,IF(AE40="",FALSE,TRUE))</formula>
    </cfRule>
  </conditionalFormatting>
  <conditionalFormatting sqref="AJ18:AJ30 AL18:AL30">
    <cfRule type="expression" dxfId="225" priority="272">
      <formula>OR(IF(AJ18&lt;AK18,TRUE),IF(AND(AK18="",AJ18&lt;&gt;""),TRUE))</formula>
    </cfRule>
    <cfRule type="expression" dxfId="224" priority="273">
      <formula>IF(AJ18&gt;=AK18,IF(AJ18="",FALSE,TRUE))</formula>
    </cfRule>
  </conditionalFormatting>
  <conditionalFormatting sqref="AJ40:AJ51">
    <cfRule type="expression" dxfId="223" priority="407">
      <formula>OR(IF(AJ40&lt;AK40,TRUE),IF(AND(AK40="",AJ40&lt;&gt;""),TRUE))</formula>
    </cfRule>
    <cfRule type="expression" dxfId="222" priority="408">
      <formula>IF(AJ40&gt;=AK40,IF(AJ40="",FALSE,TRUE))</formula>
    </cfRule>
  </conditionalFormatting>
  <conditionalFormatting sqref="AL40:AL51">
    <cfRule type="expression" dxfId="221" priority="405">
      <formula>OR(IF(AL40&lt;AM40,TRUE),IF(AND(AM40="",AL40&lt;&gt;""),TRUE))</formula>
    </cfRule>
    <cfRule type="expression" dxfId="220" priority="406">
      <formula>IF(AL40&gt;=AM40,IF(AL40="",FALSE,TRUE))</formula>
    </cfRule>
  </conditionalFormatting>
  <conditionalFormatting sqref="AQ18:AQ30 AS18:AS30">
    <cfRule type="expression" dxfId="219" priority="270">
      <formula>OR(IF(AQ18&lt;AR18,TRUE),IF(AND(AR18="",AQ18&lt;&gt;""),TRUE))</formula>
    </cfRule>
    <cfRule type="expression" dxfId="218" priority="271">
      <formula>IF(AQ18&gt;=AR18,IF(AQ18="",FALSE,TRUE))</formula>
    </cfRule>
  </conditionalFormatting>
  <conditionalFormatting sqref="AQ40:AQ51">
    <cfRule type="expression" dxfId="217" priority="399">
      <formula>OR(IF(AQ40&lt;AR40,TRUE),IF(AND(AR40="",AQ40&lt;&gt;""),TRUE))</formula>
    </cfRule>
    <cfRule type="expression" dxfId="216" priority="400">
      <formula>IF(AQ40&gt;=AR40,IF(AQ40="",FALSE,TRUE))</formula>
    </cfRule>
  </conditionalFormatting>
  <conditionalFormatting sqref="AS40:AS51">
    <cfRule type="expression" dxfId="215" priority="397">
      <formula>OR(IF(AS40&lt;AT40,TRUE),IF(AND(AT40="",AS40&lt;&gt;""),TRUE))</formula>
    </cfRule>
    <cfRule type="expression" dxfId="214" priority="398">
      <formula>IF(AS40&gt;=AT40,IF(AS40="",FALSE,TRUE))</formula>
    </cfRule>
  </conditionalFormatting>
  <conditionalFormatting sqref="AX18:AX30 AZ18:AZ30">
    <cfRule type="expression" dxfId="213" priority="268">
      <formula>OR(IF(AX18&lt;AY18,TRUE),IF(AND(AY18="",AX18&lt;&gt;""),TRUE))</formula>
    </cfRule>
    <cfRule type="expression" dxfId="212" priority="269">
      <formula>IF(AX18&gt;=AY18,IF(AX18="",FALSE,TRUE))</formula>
    </cfRule>
  </conditionalFormatting>
  <conditionalFormatting sqref="AX40:AX51">
    <cfRule type="expression" dxfId="211" priority="391">
      <formula>OR(IF(AX40&lt;AY40,TRUE),IF(AND(AY40="",AX40&lt;&gt;""),TRUE))</formula>
    </cfRule>
    <cfRule type="expression" dxfId="210" priority="392">
      <formula>IF(AX40&gt;=AY40,IF(AX40="",FALSE,TRUE))</formula>
    </cfRule>
  </conditionalFormatting>
  <conditionalFormatting sqref="AZ40:AZ51">
    <cfRule type="expression" dxfId="209" priority="389">
      <formula>OR(IF(AZ40&lt;BA40,TRUE),IF(AND(BA40="",AZ40&lt;&gt;""),TRUE))</formula>
    </cfRule>
    <cfRule type="expression" dxfId="208" priority="390">
      <formula>IF(AZ40&gt;=BA40,IF(AZ40="",FALSE,TRUE))</formula>
    </cfRule>
  </conditionalFormatting>
  <conditionalFormatting sqref="BE18:BE30 BG18:BG30">
    <cfRule type="expression" dxfId="207" priority="266">
      <formula>OR(IF(BE18&lt;BF18,TRUE),IF(AND(BF18="",BE18&lt;&gt;""),TRUE))</formula>
    </cfRule>
    <cfRule type="expression" dxfId="206" priority="267">
      <formula>IF(BE18&gt;=BF18,IF(BE18="",FALSE,TRUE))</formula>
    </cfRule>
  </conditionalFormatting>
  <conditionalFormatting sqref="BE40:BE51">
    <cfRule type="expression" dxfId="205" priority="383">
      <formula>OR(IF(BE40&lt;BF40,TRUE),IF(AND(BF40="",BE40&lt;&gt;""),TRUE))</formula>
    </cfRule>
    <cfRule type="expression" dxfId="204" priority="384">
      <formula>IF(BE40&gt;=BF40,IF(BE40="",FALSE,TRUE))</formula>
    </cfRule>
  </conditionalFormatting>
  <conditionalFormatting sqref="BG40:BG51">
    <cfRule type="expression" dxfId="203" priority="381">
      <formula>OR(IF(BG40&lt;BH40,TRUE),IF(AND(BH40="",BG40&lt;&gt;""),TRUE))</formula>
    </cfRule>
    <cfRule type="expression" dxfId="202" priority="382">
      <formula>IF(BG40&gt;=BH40,IF(BG40="",FALSE,TRUE))</formula>
    </cfRule>
  </conditionalFormatting>
  <conditionalFormatting sqref="BN18:BN30 BL18:BL30">
    <cfRule type="expression" dxfId="201" priority="261">
      <formula>OR(IF(BL18&lt;BM18,TRUE),IF(AND(BM18="",BL18&lt;&gt;""),TRUE))</formula>
    </cfRule>
    <cfRule type="expression" dxfId="200" priority="262">
      <formula>IF(BL18&gt;=BM18,IF(BL18="",FALSE,TRUE))</formula>
    </cfRule>
  </conditionalFormatting>
  <conditionalFormatting sqref="BL40:BL51">
    <cfRule type="expression" dxfId="199" priority="372">
      <formula>OR(IF(BL40&lt;BM40,TRUE),IF(AND(BM40="",BL40&lt;&gt;""),TRUE))</formula>
    </cfRule>
    <cfRule type="expression" dxfId="198" priority="373">
      <formula>IF(BL40&gt;=BM40,IF(BL40="",FALSE,TRUE))</formula>
    </cfRule>
  </conditionalFormatting>
  <conditionalFormatting sqref="BN40:BN51">
    <cfRule type="expression" dxfId="197" priority="370">
      <formula>OR(IF(BN40&lt;BO40,TRUE),IF(AND(BO40="",BN40&lt;&gt;""),TRUE))</formula>
    </cfRule>
    <cfRule type="expression" dxfId="196" priority="371">
      <formula>IF(BN40&gt;=BO40,IF(BN40="",FALSE,TRUE))</formula>
    </cfRule>
  </conditionalFormatting>
  <conditionalFormatting sqref="BS54:BS68 BU54:BU68">
    <cfRule type="expression" dxfId="195" priority="259">
      <formula>OR(IF(BS54&lt;BT54,TRUE),IF(AND(BT54="",BS54&lt;&gt;""),TRUE))</formula>
    </cfRule>
    <cfRule type="expression" dxfId="194" priority="260">
      <formula>IF(BS54&gt;=BT54,IF(BS54="",FALSE,TRUE))</formula>
    </cfRule>
  </conditionalFormatting>
  <conditionalFormatting sqref="BS18:BS30 BU18:BU30">
    <cfRule type="expression" dxfId="193" priority="241">
      <formula>OR(IF(BS18&lt;BT18,TRUE),IF(AND(BT18="",BS18&lt;&gt;""),TRUE))</formula>
    </cfRule>
    <cfRule type="expression" dxfId="192" priority="242">
      <formula>IF(BS18&gt;=BT18,IF(BS18="",FALSE,TRUE))</formula>
    </cfRule>
  </conditionalFormatting>
  <conditionalFormatting sqref="BS40:BS51">
    <cfRule type="expression" dxfId="191" priority="247">
      <formula>OR(IF(BS40&lt;BT40,TRUE),IF(AND(BT40="",BS40&lt;&gt;""),TRUE))</formula>
    </cfRule>
    <cfRule type="expression" dxfId="190" priority="248">
      <formula>IF(BS40&gt;=BT40,IF(BS40="",FALSE,TRUE))</formula>
    </cfRule>
  </conditionalFormatting>
  <conditionalFormatting sqref="BU40:BU51">
    <cfRule type="expression" dxfId="189" priority="245">
      <formula>OR(IF(BU40&lt;BV40,TRUE),IF(AND(BV40="",BU40&lt;&gt;""),TRUE))</formula>
    </cfRule>
    <cfRule type="expression" dxfId="188" priority="246">
      <formula>IF(BU40&gt;=BV40,IF(BU40="",FALSE,TRUE))</formula>
    </cfRule>
  </conditionalFormatting>
  <conditionalFormatting sqref="BZ54:BZ68 CB54:CB68">
    <cfRule type="expression" dxfId="187" priority="239">
      <formula>OR(IF(BZ54&lt;CA54,TRUE),IF(AND(CA54="",BZ54&lt;&gt;""),TRUE))</formula>
    </cfRule>
    <cfRule type="expression" dxfId="186" priority="240">
      <formula>IF(BZ54&gt;=CA54,IF(BZ54="",FALSE,TRUE))</formula>
    </cfRule>
  </conditionalFormatting>
  <conditionalFormatting sqref="BZ18:BZ30 CB18:CB30">
    <cfRule type="expression" dxfId="185" priority="221">
      <formula>OR(IF(BZ18&lt;CA18,TRUE),IF(AND(CA18="",BZ18&lt;&gt;""),TRUE))</formula>
    </cfRule>
    <cfRule type="expression" dxfId="184" priority="222">
      <formula>IF(BZ18&gt;=CA18,IF(BZ18="",FALSE,TRUE))</formula>
    </cfRule>
  </conditionalFormatting>
  <conditionalFormatting sqref="CB40:CB51">
    <cfRule type="expression" dxfId="3" priority="225">
      <formula>OR(IF(CB40&lt;CC40,TRUE),IF(AND(CC40="",CB40&lt;&gt;""),TRUE))</formula>
    </cfRule>
    <cfRule type="expression" dxfId="2" priority="226">
      <formula>IF(CB40&gt;=CC40,IF(CB40="",FALSE,TRUE))</formula>
    </cfRule>
  </conditionalFormatting>
  <conditionalFormatting sqref="CG54:CG68 CI54:CI68">
    <cfRule type="expression" dxfId="181" priority="219">
      <formula>OR(IF(CG54&lt;CH54,TRUE),IF(AND(CH54="",CG54&lt;&gt;""),TRUE))</formula>
    </cfRule>
    <cfRule type="expression" dxfId="180" priority="220">
      <formula>IF(CG54&gt;=CH54,IF(CG54="",FALSE,TRUE))</formula>
    </cfRule>
  </conditionalFormatting>
  <conditionalFormatting sqref="CG18:CG30 CI18:CI30">
    <cfRule type="expression" dxfId="179" priority="201">
      <formula>OR(IF(CG18&lt;CH18,TRUE),IF(AND(CH18="",CG18&lt;&gt;""),TRUE))</formula>
    </cfRule>
    <cfRule type="expression" dxfId="178" priority="202">
      <formula>IF(CG18&gt;=CH18,IF(CG18="",FALSE,TRUE))</formula>
    </cfRule>
  </conditionalFormatting>
  <conditionalFormatting sqref="CG40:CG51">
    <cfRule type="expression" dxfId="177" priority="207">
      <formula>OR(IF(CG40&lt;CH40,TRUE),IF(AND(CH40="",CG40&lt;&gt;""),TRUE))</formula>
    </cfRule>
    <cfRule type="expression" dxfId="176" priority="208">
      <formula>IF(CG40&gt;=CH40,IF(CG40="",FALSE,TRUE))</formula>
    </cfRule>
  </conditionalFormatting>
  <conditionalFormatting sqref="CI40:CI51">
    <cfRule type="expression" dxfId="175" priority="205">
      <formula>OR(IF(CI40&lt;CJ40,TRUE),IF(AND(CJ40="",CI40&lt;&gt;""),TRUE))</formula>
    </cfRule>
    <cfRule type="expression" dxfId="174" priority="206">
      <formula>IF(CI40&gt;=CJ40,IF(CI40="",FALSE,TRUE))</formula>
    </cfRule>
  </conditionalFormatting>
  <conditionalFormatting sqref="CP53:CP68 CN53:CN68">
    <cfRule type="expression" dxfId="173" priority="199">
      <formula>OR(IF(CN53&lt;CO53,TRUE),IF(AND(CO53="",CN53&lt;&gt;""),TRUE))</formula>
    </cfRule>
    <cfRule type="expression" dxfId="172" priority="200">
      <formula>IF(CN53&gt;=CO53,IF(CN53="",FALSE,TRUE))</formula>
    </cfRule>
  </conditionalFormatting>
  <conditionalFormatting sqref="CN18:CN30 CP18:CP30">
    <cfRule type="expression" dxfId="171" priority="181">
      <formula>OR(IF(CN18&lt;CO18,TRUE),IF(AND(CO18="",CN18&lt;&gt;""),TRUE))</formula>
    </cfRule>
    <cfRule type="expression" dxfId="170" priority="182">
      <formula>IF(CN18&gt;=CO18,IF(CN18="",FALSE,TRUE))</formula>
    </cfRule>
  </conditionalFormatting>
  <conditionalFormatting sqref="CN40:CN51">
    <cfRule type="expression" dxfId="169" priority="187">
      <formula>OR(IF(CN40&lt;CO40,TRUE),IF(AND(CO40="",CN40&lt;&gt;""),TRUE))</formula>
    </cfRule>
    <cfRule type="expression" dxfId="168" priority="188">
      <formula>IF(CN40&gt;=CO40,IF(CN40="",FALSE,TRUE))</formula>
    </cfRule>
  </conditionalFormatting>
  <conditionalFormatting sqref="CP40:CP51">
    <cfRule type="expression" dxfId="167" priority="185">
      <formula>OR(IF(CP40&lt;CQ40,TRUE),IF(AND(CQ40="",CP40&lt;&gt;""),TRUE))</formula>
    </cfRule>
    <cfRule type="expression" dxfId="166" priority="186">
      <formula>IF(CP40&gt;=CQ40,IF(CP40="",FALSE,TRUE))</formula>
    </cfRule>
  </conditionalFormatting>
  <conditionalFormatting sqref="CU54:CU68">
    <cfRule type="expression" dxfId="165" priority="179">
      <formula>OR(IF(CU54&lt;CV54,TRUE),IF(AND(CV54="",CU54&lt;&gt;""),TRUE))</formula>
    </cfRule>
    <cfRule type="expression" dxfId="164" priority="180">
      <formula>IF(CU54&gt;=CV54,IF(CU54="",FALSE,TRUE))</formula>
    </cfRule>
  </conditionalFormatting>
  <conditionalFormatting sqref="CU18:CU30 CW18:CW30">
    <cfRule type="expression" dxfId="163" priority="161">
      <formula>OR(IF(CU18&lt;CV18,TRUE),IF(AND(CV18="",CU18&lt;&gt;""),TRUE))</formula>
    </cfRule>
    <cfRule type="expression" dxfId="162" priority="162">
      <formula>IF(CU18&gt;=CV18,IF(CU18="",FALSE,TRUE))</formula>
    </cfRule>
  </conditionalFormatting>
  <conditionalFormatting sqref="CU40:CU51">
    <cfRule type="expression" dxfId="161" priority="167">
      <formula>OR(IF(CU40&lt;CV40,TRUE),IF(AND(CV40="",CU40&lt;&gt;""),TRUE))</formula>
    </cfRule>
    <cfRule type="expression" dxfId="160" priority="168">
      <formula>IF(CU40&gt;=CV40,IF(CU40="",FALSE,TRUE))</formula>
    </cfRule>
  </conditionalFormatting>
  <conditionalFormatting sqref="CW40:CW51">
    <cfRule type="expression" dxfId="159" priority="165">
      <formula>OR(IF(CW40&lt;CX40,TRUE),IF(AND(CX40="",CW40&lt;&gt;""),TRUE))</formula>
    </cfRule>
    <cfRule type="expression" dxfId="158" priority="166">
      <formula>IF(CW40&gt;=CX40,IF(CW40="",FALSE,TRUE))</formula>
    </cfRule>
  </conditionalFormatting>
  <conditionalFormatting sqref="DB54:DB68 DD54:DD68">
    <cfRule type="expression" dxfId="157" priority="159">
      <formula>OR(IF(DB54&lt;DC54,TRUE),IF(AND(DC54="",DB54&lt;&gt;""),TRUE))</formula>
    </cfRule>
    <cfRule type="expression" dxfId="156" priority="160">
      <formula>IF(DB54&gt;=DC54,IF(DB54="",FALSE,TRUE))</formula>
    </cfRule>
  </conditionalFormatting>
  <conditionalFormatting sqref="DB18:DB30 DD18:DD30">
    <cfRule type="expression" dxfId="155" priority="141">
      <formula>OR(IF(DB18&lt;DC18,TRUE),IF(AND(DC18="",DB18&lt;&gt;""),TRUE))</formula>
    </cfRule>
    <cfRule type="expression" dxfId="154" priority="142">
      <formula>IF(DB18&gt;=DC18,IF(DB18="",FALSE,TRUE))</formula>
    </cfRule>
  </conditionalFormatting>
  <conditionalFormatting sqref="DB40:DB51">
    <cfRule type="expression" dxfId="153" priority="147">
      <formula>OR(IF(DB40&lt;DC40,TRUE),IF(AND(DC40="",DB40&lt;&gt;""),TRUE))</formula>
    </cfRule>
    <cfRule type="expression" dxfId="152" priority="148">
      <formula>IF(DB40&gt;=DC40,IF(DB40="",FALSE,TRUE))</formula>
    </cfRule>
  </conditionalFormatting>
  <conditionalFormatting sqref="DD40:DD51">
    <cfRule type="expression" dxfId="151" priority="145">
      <formula>OR(IF(DD40&lt;DE40,TRUE),IF(AND(DE40="",DD40&lt;&gt;""),TRUE))</formula>
    </cfRule>
    <cfRule type="expression" dxfId="150" priority="146">
      <formula>IF(DD40&gt;=DE40,IF(DD40="",FALSE,TRUE))</formula>
    </cfRule>
  </conditionalFormatting>
  <conditionalFormatting sqref="J71:J81">
    <cfRule type="colorScale" priority="137">
      <colorScale>
        <cfvo type="percent" val="0"/>
        <cfvo type="percent" val="100"/>
        <color rgb="FFFF231B"/>
        <color rgb="FF10FF07"/>
      </colorScale>
    </cfRule>
  </conditionalFormatting>
  <conditionalFormatting sqref="J72:K81">
    <cfRule type="colorScale" priority="136">
      <colorScale>
        <cfvo type="percent" val="0"/>
        <cfvo type="percent" val="100"/>
        <color rgb="FFFF231B"/>
        <color rgb="FF10FF07"/>
      </colorScale>
    </cfRule>
  </conditionalFormatting>
  <conditionalFormatting sqref="K71:K81">
    <cfRule type="colorScale" priority="138">
      <colorScale>
        <cfvo type="percent" val="0"/>
        <cfvo type="percent" val="100"/>
        <color rgb="FFFF231B"/>
        <color rgb="FF10FF07"/>
      </colorScale>
    </cfRule>
  </conditionalFormatting>
  <conditionalFormatting sqref="O71:O81">
    <cfRule type="expression" dxfId="149" priority="134">
      <formula>OR(IF(O71&lt;P71,TRUE),IF(AND(P71="",O71&lt;&gt;""),TRUE))</formula>
    </cfRule>
    <cfRule type="expression" dxfId="148" priority="135">
      <formula>IF(O71&gt;=P71,IF(O71="",FALSE,TRUE))</formula>
    </cfRule>
  </conditionalFormatting>
  <conditionalFormatting sqref="Q71:Q81">
    <cfRule type="expression" dxfId="147" priority="132">
      <formula>OR(IF(Q71&lt;R71,TRUE),IF(AND(R71="",Q71&lt;&gt;""),TRUE))</formula>
    </cfRule>
    <cfRule type="expression" dxfId="146" priority="133">
      <formula>IF(Q71&gt;=R71,IF(Q71="",FALSE,TRUE))</formula>
    </cfRule>
  </conditionalFormatting>
  <conditionalFormatting sqref="V71:V81">
    <cfRule type="expression" dxfId="145" priority="130">
      <formula>OR(IF(V71&lt;W71,TRUE),IF(AND(W71="",V71&lt;&gt;""),TRUE))</formula>
    </cfRule>
    <cfRule type="expression" dxfId="144" priority="131">
      <formula>IF(V71&gt;=W71,IF(V71="",FALSE,TRUE))</formula>
    </cfRule>
  </conditionalFormatting>
  <conditionalFormatting sqref="X71:X81">
    <cfRule type="expression" dxfId="143" priority="128">
      <formula>OR(IF(X71&lt;Y71,TRUE),IF(AND(Y71="",X71&lt;&gt;""),TRUE))</formula>
    </cfRule>
    <cfRule type="expression" dxfId="142" priority="129">
      <formula>IF(X71&gt;=Y71,IF(X71="",FALSE,TRUE))</formula>
    </cfRule>
  </conditionalFormatting>
  <conditionalFormatting sqref="AC71:AC81">
    <cfRule type="expression" dxfId="141" priority="126">
      <formula>OR(IF(AC71&lt;AD71,TRUE),IF(AND(AD71="",AC71&lt;&gt;""),TRUE))</formula>
    </cfRule>
    <cfRule type="expression" dxfId="140" priority="127">
      <formula>IF(AC71&gt;=AD71,IF(AC71="",FALSE,TRUE))</formula>
    </cfRule>
  </conditionalFormatting>
  <conditionalFormatting sqref="AE71:AE81">
    <cfRule type="expression" dxfId="139" priority="124">
      <formula>OR(IF(AE71&lt;AF71,TRUE),IF(AND(AF71="",AE71&lt;&gt;""),TRUE))</formula>
    </cfRule>
    <cfRule type="expression" dxfId="138" priority="125">
      <formula>IF(AE71&gt;=AF71,IF(AE71="",FALSE,TRUE))</formula>
    </cfRule>
  </conditionalFormatting>
  <conditionalFormatting sqref="AJ71:AJ81">
    <cfRule type="expression" dxfId="137" priority="122">
      <formula>OR(IF(AJ71&lt;AK71,TRUE),IF(AND(AK71="",AJ71&lt;&gt;""),TRUE))</formula>
    </cfRule>
    <cfRule type="expression" dxfId="136" priority="123">
      <formula>IF(AJ71&gt;=AK71,IF(AJ71="",FALSE,TRUE))</formula>
    </cfRule>
  </conditionalFormatting>
  <conditionalFormatting sqref="AL71:AL81">
    <cfRule type="expression" dxfId="135" priority="120">
      <formula>OR(IF(AL71&lt;AM71,TRUE),IF(AND(AM71="",AL71&lt;&gt;""),TRUE))</formula>
    </cfRule>
    <cfRule type="expression" dxfId="134" priority="121">
      <formula>IF(AL71&gt;=AM71,IF(AL71="",FALSE,TRUE))</formula>
    </cfRule>
  </conditionalFormatting>
  <conditionalFormatting sqref="AQ71:AQ81">
    <cfRule type="expression" dxfId="133" priority="118">
      <formula>OR(IF(AQ71&lt;AR71,TRUE),IF(AND(AR71="",AQ71&lt;&gt;""),TRUE))</formula>
    </cfRule>
    <cfRule type="expression" dxfId="132" priority="119">
      <formula>IF(AQ71&gt;=AR71,IF(AQ71="",FALSE,TRUE))</formula>
    </cfRule>
  </conditionalFormatting>
  <conditionalFormatting sqref="AS71:AS81">
    <cfRule type="expression" dxfId="131" priority="116">
      <formula>OR(IF(AS71&lt;AT71,TRUE),IF(AND(AT71="",AS71&lt;&gt;""),TRUE))</formula>
    </cfRule>
    <cfRule type="expression" dxfId="130" priority="117">
      <formula>IF(AS71&gt;=AT71,IF(AS71="",FALSE,TRUE))</formula>
    </cfRule>
  </conditionalFormatting>
  <conditionalFormatting sqref="AX71:AX81">
    <cfRule type="expression" dxfId="129" priority="114">
      <formula>OR(IF(AX71&lt;AY71,TRUE),IF(AND(AY71="",AX71&lt;&gt;""),TRUE))</formula>
    </cfRule>
    <cfRule type="expression" dxfId="128" priority="115">
      <formula>IF(AX71&gt;=AY71,IF(AX71="",FALSE,TRUE))</formula>
    </cfRule>
  </conditionalFormatting>
  <conditionalFormatting sqref="AZ71:AZ81">
    <cfRule type="expression" dxfId="127" priority="112">
      <formula>OR(IF(AZ71&lt;BA71,TRUE),IF(AND(BA71="",AZ71&lt;&gt;""),TRUE))</formula>
    </cfRule>
    <cfRule type="expression" dxfId="126" priority="113">
      <formula>IF(AZ71&gt;=BA71,IF(AZ71="",FALSE,TRUE))</formula>
    </cfRule>
  </conditionalFormatting>
  <conditionalFormatting sqref="BE71:BE81">
    <cfRule type="expression" dxfId="125" priority="110">
      <formula>OR(IF(BE71&lt;BF71,TRUE),IF(AND(BF71="",BE71&lt;&gt;""),TRUE))</formula>
    </cfRule>
    <cfRule type="expression" dxfId="124" priority="111">
      <formula>IF(BE71&gt;=BF71,IF(BE71="",FALSE,TRUE))</formula>
    </cfRule>
  </conditionalFormatting>
  <conditionalFormatting sqref="BG71:BG81">
    <cfRule type="expression" dxfId="123" priority="108">
      <formula>OR(IF(BG71&lt;BH71,TRUE),IF(AND(BH71="",BG71&lt;&gt;""),TRUE))</formula>
    </cfRule>
    <cfRule type="expression" dxfId="122" priority="109">
      <formula>IF(BG71&gt;=BH71,IF(BG71="",FALSE,TRUE))</formula>
    </cfRule>
  </conditionalFormatting>
  <conditionalFormatting sqref="BL71:BL81">
    <cfRule type="expression" dxfId="121" priority="106">
      <formula>OR(IF(BL71&lt;BM71,TRUE),IF(AND(BM71="",BL71&lt;&gt;""),TRUE))</formula>
    </cfRule>
    <cfRule type="expression" dxfId="120" priority="107">
      <formula>IF(BL71&gt;=BM71,IF(BL71="",FALSE,TRUE))</formula>
    </cfRule>
  </conditionalFormatting>
  <conditionalFormatting sqref="BN71:BN81">
    <cfRule type="expression" dxfId="119" priority="104">
      <formula>OR(IF(BN71&lt;BO71,TRUE),IF(AND(BO71="",BN71&lt;&gt;""),TRUE))</formula>
    </cfRule>
    <cfRule type="expression" dxfId="118" priority="105">
      <formula>IF(BN71&gt;=BO71,IF(BN71="",FALSE,TRUE))</formula>
    </cfRule>
  </conditionalFormatting>
  <conditionalFormatting sqref="BS71:BS81">
    <cfRule type="expression" dxfId="117" priority="102">
      <formula>OR(IF(BS71&lt;BT71,TRUE),IF(AND(BT71="",BS71&lt;&gt;""),TRUE))</formula>
    </cfRule>
    <cfRule type="expression" dxfId="116" priority="103">
      <formula>IF(BS71&gt;=BT71,IF(BS71="",FALSE,TRUE))</formula>
    </cfRule>
  </conditionalFormatting>
  <conditionalFormatting sqref="BU71:BU81">
    <cfRule type="expression" dxfId="115" priority="100">
      <formula>OR(IF(BU71&lt;BV71,TRUE),IF(AND(BV71="",BU71&lt;&gt;""),TRUE))</formula>
    </cfRule>
    <cfRule type="expression" dxfId="114" priority="101">
      <formula>IF(BU71&gt;=BV71,IF(BU71="",FALSE,TRUE))</formula>
    </cfRule>
  </conditionalFormatting>
  <conditionalFormatting sqref="BZ71:BZ81">
    <cfRule type="expression" dxfId="113" priority="98">
      <formula>OR(IF(BZ71&lt;CA71,TRUE),IF(AND(CA71="",BZ71&lt;&gt;""),TRUE))</formula>
    </cfRule>
    <cfRule type="expression" dxfId="112" priority="99">
      <formula>IF(BZ71&gt;=CA71,IF(BZ71="",FALSE,TRUE))</formula>
    </cfRule>
  </conditionalFormatting>
  <conditionalFormatting sqref="CB71:CB81">
    <cfRule type="expression" dxfId="111" priority="96">
      <formula>OR(IF(CB71&lt;CC71,TRUE),IF(AND(CC71="",CB71&lt;&gt;""),TRUE))</formula>
    </cfRule>
    <cfRule type="expression" dxfId="110" priority="97">
      <formula>IF(CB71&gt;=CC71,IF(CB71="",FALSE,TRUE))</formula>
    </cfRule>
  </conditionalFormatting>
  <conditionalFormatting sqref="CG71:CG81">
    <cfRule type="expression" dxfId="109" priority="94">
      <formula>OR(IF(CG71&lt;CH71,TRUE),IF(AND(CH71="",CG71&lt;&gt;""),TRUE))</formula>
    </cfRule>
    <cfRule type="expression" dxfId="108" priority="95">
      <formula>IF(CG71&gt;=CH71,IF(CG71="",FALSE,TRUE))</formula>
    </cfRule>
  </conditionalFormatting>
  <conditionalFormatting sqref="CI71:CI81">
    <cfRule type="expression" dxfId="107" priority="92">
      <formula>OR(IF(CI71&lt;CJ71,TRUE),IF(AND(CJ71="",CI71&lt;&gt;""),TRUE))</formula>
    </cfRule>
    <cfRule type="expression" dxfId="106" priority="93">
      <formula>IF(CI71&gt;=CJ71,IF(CI71="",FALSE,TRUE))</formula>
    </cfRule>
  </conditionalFormatting>
  <conditionalFormatting sqref="CN71:CN81">
    <cfRule type="expression" dxfId="105" priority="90">
      <formula>OR(IF(CN71&lt;CO71,TRUE),IF(AND(CO71="",CN71&lt;&gt;""),TRUE))</formula>
    </cfRule>
    <cfRule type="expression" dxfId="104" priority="91">
      <formula>IF(CN71&gt;=CO71,IF(CN71="",FALSE,TRUE))</formula>
    </cfRule>
  </conditionalFormatting>
  <conditionalFormatting sqref="CP71:CP81">
    <cfRule type="expression" dxfId="103" priority="88">
      <formula>OR(IF(CP71&lt;CQ71,TRUE),IF(AND(CQ71="",CP71&lt;&gt;""),TRUE))</formula>
    </cfRule>
    <cfRule type="expression" dxfId="102" priority="89">
      <formula>IF(CP71&gt;=CQ71,IF(CP71="",FALSE,TRUE))</formula>
    </cfRule>
  </conditionalFormatting>
  <conditionalFormatting sqref="CU71:CU81">
    <cfRule type="expression" dxfId="101" priority="86">
      <formula>OR(IF(CU71&lt;CV71,TRUE),IF(AND(CV71="",CU71&lt;&gt;""),TRUE))</formula>
    </cfRule>
    <cfRule type="expression" dxfId="100" priority="87">
      <formula>IF(CU71&gt;=CV71,IF(CU71="",FALSE,TRUE))</formula>
    </cfRule>
  </conditionalFormatting>
  <conditionalFormatting sqref="DB71:DB81">
    <cfRule type="expression" dxfId="99" priority="82">
      <formula>OR(IF(DB71&lt;DC71,TRUE),IF(AND(DC71="",DB71&lt;&gt;""),TRUE))</formula>
    </cfRule>
    <cfRule type="expression" dxfId="98" priority="83">
      <formula>IF(DB71&gt;=DC71,IF(DB71="",FALSE,TRUE))</formula>
    </cfRule>
  </conditionalFormatting>
  <conditionalFormatting sqref="DD71:DD81">
    <cfRule type="expression" dxfId="97" priority="80">
      <formula>OR(IF(DD71&lt;DE71,TRUE),IF(AND(DE71="",DD71&lt;&gt;""),TRUE))</formula>
    </cfRule>
    <cfRule type="expression" dxfId="96" priority="81">
      <formula>IF(DD71&gt;=DE71,IF(DD71="",FALSE,TRUE))</formula>
    </cfRule>
  </conditionalFormatting>
  <conditionalFormatting sqref="J84:J94">
    <cfRule type="colorScale" priority="78">
      <colorScale>
        <cfvo type="percent" val="0"/>
        <cfvo type="percent" val="100"/>
        <color rgb="FFFF231B"/>
        <color rgb="FF10FF07"/>
      </colorScale>
    </cfRule>
  </conditionalFormatting>
  <conditionalFormatting sqref="J85:K94">
    <cfRule type="colorScale" priority="77">
      <colorScale>
        <cfvo type="percent" val="0"/>
        <cfvo type="percent" val="100"/>
        <color rgb="FFFF231B"/>
        <color rgb="FF10FF07"/>
      </colorScale>
    </cfRule>
  </conditionalFormatting>
  <conditionalFormatting sqref="K84:K94">
    <cfRule type="colorScale" priority="79">
      <colorScale>
        <cfvo type="percent" val="0"/>
        <cfvo type="percent" val="100"/>
        <color rgb="FFFF231B"/>
        <color rgb="FF10FF07"/>
      </colorScale>
    </cfRule>
  </conditionalFormatting>
  <conditionalFormatting sqref="O84:O94">
    <cfRule type="expression" dxfId="95" priority="75">
      <formula>OR(IF(O84&lt;P84,TRUE),IF(AND(P84="",O84&lt;&gt;""),TRUE))</formula>
    </cfRule>
    <cfRule type="expression" dxfId="94" priority="76">
      <formula>IF(O84&gt;=P84,IF(O84="",FALSE,TRUE))</formula>
    </cfRule>
  </conditionalFormatting>
  <conditionalFormatting sqref="Q84:Q94">
    <cfRule type="expression" dxfId="93" priority="73">
      <formula>OR(IF(Q84&lt;R84,TRUE),IF(AND(R84="",Q84&lt;&gt;""),TRUE))</formula>
    </cfRule>
    <cfRule type="expression" dxfId="92" priority="74">
      <formula>IF(Q84&gt;=R84,IF(Q84="",FALSE,TRUE))</formula>
    </cfRule>
  </conditionalFormatting>
  <conditionalFormatting sqref="V84:V94">
    <cfRule type="expression" dxfId="91" priority="71">
      <formula>OR(IF(V84&lt;W84,TRUE),IF(AND(W84="",V84&lt;&gt;""),TRUE))</formula>
    </cfRule>
    <cfRule type="expression" dxfId="90" priority="72">
      <formula>IF(V84&gt;=W84,IF(V84="",FALSE,TRUE))</formula>
    </cfRule>
  </conditionalFormatting>
  <conditionalFormatting sqref="X84:X94">
    <cfRule type="expression" dxfId="89" priority="69">
      <formula>OR(IF(X84&lt;Y84,TRUE),IF(AND(Y84="",X84&lt;&gt;""),TRUE))</formula>
    </cfRule>
    <cfRule type="expression" dxfId="88" priority="70">
      <formula>IF(X84&gt;=Y84,IF(X84="",FALSE,TRUE))</formula>
    </cfRule>
  </conditionalFormatting>
  <conditionalFormatting sqref="AC84:AC94">
    <cfRule type="expression" dxfId="87" priority="67">
      <formula>OR(IF(AC84&lt;AD84,TRUE),IF(AND(AD84="",AC84&lt;&gt;""),TRUE))</formula>
    </cfRule>
    <cfRule type="expression" dxfId="86" priority="68">
      <formula>IF(AC84&gt;=AD84,IF(AC84="",FALSE,TRUE))</formula>
    </cfRule>
  </conditionalFormatting>
  <conditionalFormatting sqref="AE84:AE94">
    <cfRule type="expression" dxfId="85" priority="65">
      <formula>OR(IF(AE84&lt;AF84,TRUE),IF(AND(AF84="",AE84&lt;&gt;""),TRUE))</formula>
    </cfRule>
    <cfRule type="expression" dxfId="84" priority="66">
      <formula>IF(AE84&gt;=AF84,IF(AE84="",FALSE,TRUE))</formula>
    </cfRule>
  </conditionalFormatting>
  <conditionalFormatting sqref="AJ84:AJ94">
    <cfRule type="expression" dxfId="83" priority="63">
      <formula>OR(IF(AJ84&lt;AK84,TRUE),IF(AND(AK84="",AJ84&lt;&gt;""),TRUE))</formula>
    </cfRule>
    <cfRule type="expression" dxfId="82" priority="64">
      <formula>IF(AJ84&gt;=AK84,IF(AJ84="",FALSE,TRUE))</formula>
    </cfRule>
  </conditionalFormatting>
  <conditionalFormatting sqref="AL84:AL94">
    <cfRule type="expression" dxfId="81" priority="61">
      <formula>OR(IF(AL84&lt;AM84,TRUE),IF(AND(AM84="",AL84&lt;&gt;""),TRUE))</formula>
    </cfRule>
    <cfRule type="expression" dxfId="80" priority="62">
      <formula>IF(AL84&gt;=AM84,IF(AL84="",FALSE,TRUE))</formula>
    </cfRule>
  </conditionalFormatting>
  <conditionalFormatting sqref="AQ84:AQ94">
    <cfRule type="expression" dxfId="79" priority="59">
      <formula>OR(IF(AQ84&lt;AR84,TRUE),IF(AND(AR84="",AQ84&lt;&gt;""),TRUE))</formula>
    </cfRule>
    <cfRule type="expression" dxfId="78" priority="60">
      <formula>IF(AQ84&gt;=AR84,IF(AQ84="",FALSE,TRUE))</formula>
    </cfRule>
  </conditionalFormatting>
  <conditionalFormatting sqref="AS84:AS94">
    <cfRule type="expression" dxfId="77" priority="57">
      <formula>OR(IF(AS84&lt;AT84,TRUE),IF(AND(AT84="",AS84&lt;&gt;""),TRUE))</formula>
    </cfRule>
    <cfRule type="expression" dxfId="76" priority="58">
      <formula>IF(AS84&gt;=AT84,IF(AS84="",FALSE,TRUE))</formula>
    </cfRule>
  </conditionalFormatting>
  <conditionalFormatting sqref="AX84:AX94">
    <cfRule type="expression" dxfId="75" priority="55">
      <formula>OR(IF(AX84&lt;AY84,TRUE),IF(AND(AY84="",AX84&lt;&gt;""),TRUE))</formula>
    </cfRule>
    <cfRule type="expression" dxfId="74" priority="56">
      <formula>IF(AX84&gt;=AY84,IF(AX84="",FALSE,TRUE))</formula>
    </cfRule>
  </conditionalFormatting>
  <conditionalFormatting sqref="AZ84:AZ94">
    <cfRule type="expression" dxfId="73" priority="53">
      <formula>OR(IF(AZ84&lt;BA84,TRUE),IF(AND(BA84="",AZ84&lt;&gt;""),TRUE))</formula>
    </cfRule>
    <cfRule type="expression" dxfId="72" priority="54">
      <formula>IF(AZ84&gt;=BA84,IF(AZ84="",FALSE,TRUE))</formula>
    </cfRule>
  </conditionalFormatting>
  <conditionalFormatting sqref="BE84:BE94">
    <cfRule type="expression" dxfId="71" priority="51">
      <formula>OR(IF(BE84&lt;BF84,TRUE),IF(AND(BF84="",BE84&lt;&gt;""),TRUE))</formula>
    </cfRule>
    <cfRule type="expression" dxfId="70" priority="52">
      <formula>IF(BE84&gt;=BF84,IF(BE84="",FALSE,TRUE))</formula>
    </cfRule>
  </conditionalFormatting>
  <conditionalFormatting sqref="BG84:BG94">
    <cfRule type="expression" dxfId="69" priority="49">
      <formula>OR(IF(BG84&lt;BH84,TRUE),IF(AND(BH84="",BG84&lt;&gt;""),TRUE))</formula>
    </cfRule>
    <cfRule type="expression" dxfId="68" priority="50">
      <formula>IF(BG84&gt;=BH84,IF(BG84="",FALSE,TRUE))</formula>
    </cfRule>
  </conditionalFormatting>
  <conditionalFormatting sqref="BL84:BL94">
    <cfRule type="expression" dxfId="67" priority="47">
      <formula>OR(IF(BL84&lt;BM84,TRUE),IF(AND(BM84="",BL84&lt;&gt;""),TRUE))</formula>
    </cfRule>
    <cfRule type="expression" dxfId="66" priority="48">
      <formula>IF(BL84&gt;=BM84,IF(BL84="",FALSE,TRUE))</formula>
    </cfRule>
  </conditionalFormatting>
  <conditionalFormatting sqref="BN84:BN94">
    <cfRule type="expression" dxfId="65" priority="45">
      <formula>OR(IF(BN84&lt;BO84,TRUE),IF(AND(BO84="",BN84&lt;&gt;""),TRUE))</formula>
    </cfRule>
    <cfRule type="expression" dxfId="64" priority="46">
      <formula>IF(BN84&gt;=BO84,IF(BN84="",FALSE,TRUE))</formula>
    </cfRule>
  </conditionalFormatting>
  <conditionalFormatting sqref="BS84:BS94">
    <cfRule type="expression" dxfId="63" priority="43">
      <formula>OR(IF(BS84&lt;BT84,TRUE),IF(AND(BT84="",BS84&lt;&gt;""),TRUE))</formula>
    </cfRule>
    <cfRule type="expression" dxfId="62" priority="44">
      <formula>IF(BS84&gt;=BT84,IF(BS84="",FALSE,TRUE))</formula>
    </cfRule>
  </conditionalFormatting>
  <conditionalFormatting sqref="BU84:BU94">
    <cfRule type="expression" dxfId="61" priority="41">
      <formula>OR(IF(BU84&lt;BV84,TRUE),IF(AND(BV84="",BU84&lt;&gt;""),TRUE))</formula>
    </cfRule>
    <cfRule type="expression" dxfId="60" priority="42">
      <formula>IF(BU84&gt;=BV84,IF(BU84="",FALSE,TRUE))</formula>
    </cfRule>
  </conditionalFormatting>
  <conditionalFormatting sqref="BZ84:BZ94">
    <cfRule type="expression" dxfId="59" priority="39">
      <formula>OR(IF(BZ84&lt;CA84,TRUE),IF(AND(CA84="",BZ84&lt;&gt;""),TRUE))</formula>
    </cfRule>
    <cfRule type="expression" dxfId="58" priority="40">
      <formula>IF(BZ84&gt;=CA84,IF(BZ84="",FALSE,TRUE))</formula>
    </cfRule>
  </conditionalFormatting>
  <conditionalFormatting sqref="CB84:CB94">
    <cfRule type="expression" dxfId="57" priority="37">
      <formula>OR(IF(CB84&lt;CC84,TRUE),IF(AND(CC84="",CB84&lt;&gt;""),TRUE))</formula>
    </cfRule>
    <cfRule type="expression" dxfId="56" priority="38">
      <formula>IF(CB84&gt;=CC84,IF(CB84="",FALSE,TRUE))</formula>
    </cfRule>
  </conditionalFormatting>
  <conditionalFormatting sqref="CG84:CG94">
    <cfRule type="expression" dxfId="55" priority="35">
      <formula>OR(IF(CG84&lt;CH84,TRUE),IF(AND(CH84="",CG84&lt;&gt;""),TRUE))</formula>
    </cfRule>
    <cfRule type="expression" dxfId="54" priority="36">
      <formula>IF(CG84&gt;=CH84,IF(CG84="",FALSE,TRUE))</formula>
    </cfRule>
  </conditionalFormatting>
  <conditionalFormatting sqref="CI84:CI94">
    <cfRule type="expression" dxfId="53" priority="33">
      <formula>OR(IF(CI84&lt;CJ84,TRUE),IF(AND(CJ84="",CI84&lt;&gt;""),TRUE))</formula>
    </cfRule>
    <cfRule type="expression" dxfId="52" priority="34">
      <formula>IF(CI84&gt;=CJ84,IF(CI84="",FALSE,TRUE))</formula>
    </cfRule>
  </conditionalFormatting>
  <conditionalFormatting sqref="CN84:CN94">
    <cfRule type="expression" dxfId="51" priority="31">
      <formula>OR(IF(CN84&lt;CO84,TRUE),IF(AND(CO84="",CN84&lt;&gt;""),TRUE))</formula>
    </cfRule>
    <cfRule type="expression" dxfId="50" priority="32">
      <formula>IF(CN84&gt;=CO84,IF(CN84="",FALSE,TRUE))</formula>
    </cfRule>
  </conditionalFormatting>
  <conditionalFormatting sqref="CP84:CP94">
    <cfRule type="expression" dxfId="49" priority="29">
      <formula>OR(IF(CP84&lt;CQ84,TRUE),IF(AND(CQ84="",CP84&lt;&gt;""),TRUE))</formula>
    </cfRule>
    <cfRule type="expression" dxfId="48" priority="30">
      <formula>IF(CP84&gt;=CQ84,IF(CP84="",FALSE,TRUE))</formula>
    </cfRule>
  </conditionalFormatting>
  <conditionalFormatting sqref="CU84:CU94">
    <cfRule type="expression" dxfId="47" priority="27">
      <formula>OR(IF(CU84&lt;CV84,TRUE),IF(AND(CV84="",CU84&lt;&gt;""),TRUE))</formula>
    </cfRule>
    <cfRule type="expression" dxfId="46" priority="28">
      <formula>IF(CU84&gt;=CV84,IF(CU84="",FALSE,TRUE))</formula>
    </cfRule>
  </conditionalFormatting>
  <conditionalFormatting sqref="CW84:CW94">
    <cfRule type="expression" dxfId="45" priority="25">
      <formula>OR(IF(CW84&lt;CX84,TRUE),IF(AND(CX84="",CW84&lt;&gt;""),TRUE))</formula>
    </cfRule>
    <cfRule type="expression" dxfId="44" priority="26">
      <formula>IF(CW84&gt;=CX84,IF(CW84="",FALSE,TRUE))</formula>
    </cfRule>
  </conditionalFormatting>
  <conditionalFormatting sqref="DB84:DB94">
    <cfRule type="expression" dxfId="43" priority="23">
      <formula>OR(IF(DB84&lt;DC84,TRUE),IF(AND(DC84="",DB84&lt;&gt;""),TRUE))</formula>
    </cfRule>
    <cfRule type="expression" dxfId="42" priority="24">
      <formula>IF(DB84&gt;=DC84,IF(DB84="",FALSE,TRUE))</formula>
    </cfRule>
  </conditionalFormatting>
  <conditionalFormatting sqref="DD84:DD94">
    <cfRule type="expression" dxfId="41" priority="21">
      <formula>OR(IF(DD84&lt;DE84,TRUE),IF(AND(DE84="",DD84&lt;&gt;""),TRUE))</formula>
    </cfRule>
    <cfRule type="expression" dxfId="40" priority="22">
      <formula>IF(DD84&gt;=DE84,IF(DD84="",FALSE,TRUE))</formula>
    </cfRule>
  </conditionalFormatting>
  <conditionalFormatting sqref="J5:J15">
    <cfRule type="colorScale" priority="891">
      <colorScale>
        <cfvo type="percent" val="0"/>
        <cfvo type="percent" val="100"/>
        <color rgb="FFFF231B"/>
        <color rgb="FF10FF07"/>
      </colorScale>
    </cfRule>
  </conditionalFormatting>
  <conditionalFormatting sqref="J6:K15">
    <cfRule type="colorScale" priority="894">
      <colorScale>
        <cfvo type="percent" val="0"/>
        <cfvo type="percent" val="100"/>
        <color rgb="FFFF231B"/>
        <color rgb="FF10FF07"/>
      </colorScale>
    </cfRule>
  </conditionalFormatting>
  <conditionalFormatting sqref="K5:K15">
    <cfRule type="colorScale" priority="896">
      <colorScale>
        <cfvo type="percent" val="0"/>
        <cfvo type="percent" val="100"/>
        <color rgb="FFFF231B"/>
        <color rgb="FF10FF07"/>
      </colorScale>
    </cfRule>
  </conditionalFormatting>
  <conditionalFormatting sqref="J33:J37">
    <cfRule type="colorScale" priority="897">
      <colorScale>
        <cfvo type="percent" val="0"/>
        <cfvo type="percent" val="100"/>
        <color rgb="FFFF231B"/>
        <color rgb="FF10FF07"/>
      </colorScale>
    </cfRule>
  </conditionalFormatting>
  <conditionalFormatting sqref="J34:K37">
    <cfRule type="colorScale" priority="898">
      <colorScale>
        <cfvo type="percent" val="0"/>
        <cfvo type="percent" val="100"/>
        <color rgb="FFFF231B"/>
        <color rgb="FF10FF07"/>
      </colorScale>
    </cfRule>
  </conditionalFormatting>
  <conditionalFormatting sqref="K33:K37">
    <cfRule type="colorScale" priority="899">
      <colorScale>
        <cfvo type="percent" val="0"/>
        <cfvo type="percent" val="100"/>
        <color rgb="FFFF231B"/>
        <color rgb="FF10FF07"/>
      </colorScale>
    </cfRule>
  </conditionalFormatting>
  <conditionalFormatting sqref="DI5:DI15 DK5:DK15 DI33:DI37 DK33:DK37">
    <cfRule type="expression" dxfId="39" priority="19">
      <formula>OR(IF(DI5&lt;DJ5,TRUE),IF(AND(DJ5="",DI5&lt;&gt;""),TRUE))</formula>
    </cfRule>
    <cfRule type="expression" dxfId="38" priority="20">
      <formula>IF(DI5&gt;=DJ5,IF(DI5="",FALSE,TRUE))</formula>
    </cfRule>
  </conditionalFormatting>
  <conditionalFormatting sqref="DI54:DI68 DK54:DK68">
    <cfRule type="expression" dxfId="37" priority="17">
      <formula>OR(IF(DI54&lt;DJ54,TRUE),IF(AND(DJ54="",DI54&lt;&gt;""),TRUE))</formula>
    </cfRule>
    <cfRule type="expression" dxfId="36" priority="18">
      <formula>IF(DI54&gt;=DJ54,IF(DI54="",FALSE,TRUE))</formula>
    </cfRule>
  </conditionalFormatting>
  <conditionalFormatting sqref="DI18:DI30 DK18:DK30">
    <cfRule type="expression" dxfId="35" priority="11">
      <formula>OR(IF(DI18&lt;DJ18,TRUE),IF(AND(DJ18="",DI18&lt;&gt;""),TRUE))</formula>
    </cfRule>
    <cfRule type="expression" dxfId="34" priority="12">
      <formula>IF(DI18&gt;=DJ18,IF(DI18="",FALSE,TRUE))</formula>
    </cfRule>
  </conditionalFormatting>
  <conditionalFormatting sqref="DI40:DI51">
    <cfRule type="expression" dxfId="33" priority="15">
      <formula>OR(IF(DI40&lt;DJ40,TRUE),IF(AND(DJ40="",DI40&lt;&gt;""),TRUE))</formula>
    </cfRule>
    <cfRule type="expression" dxfId="32" priority="16">
      <formula>IF(DI40&gt;=DJ40,IF(DI40="",FALSE,TRUE))</formula>
    </cfRule>
  </conditionalFormatting>
  <conditionalFormatting sqref="DK40:DK51">
    <cfRule type="expression" dxfId="31" priority="13">
      <formula>OR(IF(DK40&lt;DL40,TRUE),IF(AND(DL40="",DK40&lt;&gt;""),TRUE))</formula>
    </cfRule>
    <cfRule type="expression" dxfId="30" priority="14">
      <formula>IF(DK40&gt;=DL40,IF(DK40="",FALSE,TRUE))</formula>
    </cfRule>
  </conditionalFormatting>
  <conditionalFormatting sqref="DI71:DI81">
    <cfRule type="expression" dxfId="29" priority="9">
      <formula>OR(IF(DI71&lt;DJ71,TRUE),IF(AND(DJ71="",DI71&lt;&gt;""),TRUE))</formula>
    </cfRule>
    <cfRule type="expression" dxfId="28" priority="10">
      <formula>IF(DI71&gt;=DJ71,IF(DI71="",FALSE,TRUE))</formula>
    </cfRule>
  </conditionalFormatting>
  <conditionalFormatting sqref="DK71:DK81">
    <cfRule type="expression" dxfId="27" priority="7">
      <formula>OR(IF(DK71&lt;DL71,TRUE),IF(AND(DL71="",DK71&lt;&gt;""),TRUE))</formula>
    </cfRule>
    <cfRule type="expression" dxfId="26" priority="8">
      <formula>IF(DK71&gt;=DL71,IF(DK71="",FALSE,TRUE))</formula>
    </cfRule>
  </conditionalFormatting>
  <conditionalFormatting sqref="DI84:DI94">
    <cfRule type="expression" dxfId="25" priority="5">
      <formula>OR(IF(DI84&lt;DJ84,TRUE),IF(AND(DJ84="",DI84&lt;&gt;""),TRUE))</formula>
    </cfRule>
    <cfRule type="expression" dxfId="24" priority="6">
      <formula>IF(DI84&gt;=DJ84,IF(DI84="",FALSE,TRUE))</formula>
    </cfRule>
  </conditionalFormatting>
  <conditionalFormatting sqref="DK84:DK94">
    <cfRule type="expression" dxfId="23" priority="3">
      <formula>OR(IF(DK84&lt;DL84,TRUE),IF(AND(DL84="",DK84&lt;&gt;""),TRUE))</formula>
    </cfRule>
    <cfRule type="expression" dxfId="22" priority="4">
      <formula>IF(DK84&gt;=DL84,IF(DK84="",FALSE,TRUE))</formula>
    </cfRule>
  </conditionalFormatting>
  <conditionalFormatting sqref="CW53 BU5:BU14">
    <cfRule type="expression" dxfId="21" priority="902">
      <formula>OR(IF(BU5&lt;BV6,TRUE),IF(AND(BV6="",BU5&lt;&gt;""),TRUE))</formula>
    </cfRule>
    <cfRule type="expression" dxfId="20" priority="903">
      <formula>IF(BU5&gt;=BV6,IF(BU5="",FALSE,TRUE))</formula>
    </cfRule>
  </conditionalFormatting>
  <conditionalFormatting sqref="CW72">
    <cfRule type="expression" dxfId="7" priority="906">
      <formula>OR(IF(CW72&lt;CX71,TRUE),IF(AND(CX71="",CW72&lt;&gt;""),TRUE))</formula>
    </cfRule>
    <cfRule type="expression" dxfId="6" priority="907">
      <formula>IF(CW72&gt;=CX71,IF(CW72="",FALSE,TRUE))</formula>
    </cfRule>
  </conditionalFormatting>
  <conditionalFormatting sqref="CW71">
    <cfRule type="expression" dxfId="5" priority="908">
      <formula>OR(IF(CW71&lt;#REF!,TRUE),IF(AND(#REF!="",CW71&lt;&gt;""),TRUE))</formula>
    </cfRule>
    <cfRule type="expression" dxfId="4" priority="909">
      <formula>IF(CW71&gt;=#REF!,IF(CW71="",FALSE,TRUE))</formula>
    </cfRule>
  </conditionalFormatting>
  <conditionalFormatting sqref="BZ40:BZ51">
    <cfRule type="expression" dxfId="1" priority="1">
      <formula>OR(IF(BZ40&lt;CA40,TRUE),IF(AND(CA40="",BZ40&lt;&gt;""),TRUE))</formula>
    </cfRule>
    <cfRule type="expression" dxfId="0" priority="2">
      <formula>IF(BZ40&gt;=CA40,IF(BZ40="",FALSE,TRUE))</formula>
    </cfRule>
  </conditionalFormatting>
  <dataValidations count="1">
    <dataValidation type="list" allowBlank="1" showInputMessage="1" showErrorMessage="1" sqref="AJ54:AM68 V18:Y30 AC18:AF30 AJ18:AM30 AQ18:AT30 AX18:BA30 BE18:BH30 BS18:BV30 BL33:BO37 O33:R37 AX33:BA37 CG54:CJ68 AQ33:AT37 AJ33:AM37 AC33:AF37 V33:Y37 BL40:BO51 O40:R51 AX40:BA51 BE40:BH51 AQ40:AT51 AJ40:AM51 AC40:AF51 V40:Y51 BL54:BO68 AX54:BA68 BE54:BH68 AQ54:AT68 AC54:AF68 V54:Y68 O54:R68 BS40:BV51 BS54:BV68 BS5:BV15 BL18:BL30 BV32:BV37 BZ54:CC68 BE33:BH37 DB54:DE68 CG33:CJ37 CG18:CJ30 BZ18:CC30 CN18:CQ30 CN33:CQ37 CN40:CQ51 CU71:CX81 CU18:CX30 CU33:CX37 CU40:CX51 DB18:DE30 DB33:DE37 DB40:DE51 BZ5:CC15 O18:R30 BL71:BO81 O71:R81 AX71:BA81 AQ71:AT81 AJ71:AM81 AC71:AF81 V71:Y81 BS71:BV81 BZ71:CC81 BE71:BH81 CG71:CJ81 CN71:CQ81 DB71:DE81 BL84:BO94 O84:R94 AX84:BA94 AQ84:AT94 AJ84:AM94 AC84:AF94 V84:Y94 BS84:BV94 BZ84:CC94 BE84:BH94 CG84:CJ94 CN84:CQ94 CU84:CX94 DB84:DE94 DB5:DE15 CU5:CX15 CN5:CQ15 CG5:CJ15 BZ33:CC37 O5:R15 BO17:BO30 BE5:BH15 AX5:BA15 AQ5:AT15 AJ5:AM15 AC5:AF15 V5:Y15 DI54:DL68 DI18:DL30 DI33:DL37 DI40:DL51 DI71:DL81 DI84:DL94 DI5:DL15 CW53 CG40:CJ51 CU54:CV54 CX54:CX68 CU55:CW68 BO4:BO15 CC39 CA39 BL5:BL15 BS33:BS37 BZ40:CC51 BU33:BU37 BT32:BT37 BN5:BN15 BM4:BM15 BN18:BN30 BM17:BM30 CN53:CQ6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9" priority="4" operator="equal">
      <formula>"Ja"</formula>
    </cfRule>
    <cfRule type="cellIs" dxfId="18" priority="14" operator="equal">
      <formula>"Ja"</formula>
    </cfRule>
    <cfRule type="cellIs" dxfId="17" priority="15" operator="equal">
      <formula>"Nein"</formula>
    </cfRule>
  </conditionalFormatting>
  <conditionalFormatting sqref="C2:C46">
    <cfRule type="cellIs" dxfId="16" priority="1" operator="equal">
      <formula>"Ja"</formula>
    </cfRule>
    <cfRule type="cellIs" dxfId="15" priority="2" operator="equal">
      <formula>"Ja"</formula>
    </cfRule>
    <cfRule type="cellIs" dxfId="14" priority="3" operator="equal">
      <formula>"Nein"</formula>
    </cfRule>
  </conditionalFormatting>
  <conditionalFormatting sqref="D2">
    <cfRule type="cellIs" dxfId="13" priority="6" operator="equal">
      <formula>1</formula>
    </cfRule>
    <cfRule type="cellIs" dxfId="12" priority="7" operator="equal">
      <formula>0.8</formula>
    </cfRule>
    <cfRule type="cellIs" dxfId="11" priority="8" operator="equal">
      <formula>0.6</formula>
    </cfRule>
    <cfRule type="cellIs" dxfId="10" priority="9" operator="equal">
      <formula>0.4</formula>
    </cfRule>
    <cfRule type="cellIs" dxfId="9" priority="10" operator="equal">
      <formula>0.2</formula>
    </cfRule>
    <cfRule type="cellIs" dxfId="8"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2023-04-25T19:33:35Z</dcterms:modified>
</cp:coreProperties>
</file>