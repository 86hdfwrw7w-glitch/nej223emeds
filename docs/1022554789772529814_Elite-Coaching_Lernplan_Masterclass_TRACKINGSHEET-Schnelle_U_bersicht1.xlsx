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sebas\Desktop\"/>
    </mc:Choice>
  </mc:AlternateContent>
  <xr:revisionPtr revIDLastSave="0" documentId="8_{763B942A-553A-4347-A91A-30E9DEC9FEA5}" xr6:coauthVersionLast="47" xr6:coauthVersionMax="47" xr10:uidLastSave="{00000000-0000-0000-0000-000000000000}"/>
  <bookViews>
    <workbookView xWindow="-120" yWindow="-120" windowWidth="29040" windowHeight="158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10" l="1"/>
  <c r="I11" i="7"/>
  <c r="K108" i="7" l="1" a="1"/>
  <c r="K108" i="7" s="1"/>
  <c r="J108" i="7" a="1"/>
  <c r="J108" i="7" s="1"/>
  <c r="I108" i="7"/>
  <c r="C12" i="10"/>
  <c r="K107" i="7" l="1" a="1"/>
  <c r="K107" i="7" s="1"/>
  <c r="J107" i="7" a="1"/>
  <c r="J107" i="7" s="1"/>
  <c r="I107" i="7"/>
  <c r="DW4" i="7"/>
  <c r="DP4" i="7"/>
  <c r="DI4" i="7"/>
  <c r="DB4" i="7"/>
  <c r="CU4" i="7"/>
  <c r="CN4" i="7"/>
  <c r="CG4" i="7"/>
  <c r="BZ4" i="7"/>
  <c r="BS4" i="7"/>
  <c r="BL4" i="7"/>
  <c r="D80" i="7"/>
  <c r="C7" i="10"/>
  <c r="K106" i="7" l="1" a="1"/>
  <c r="K106" i="7" s="1"/>
  <c r="J106" i="7" a="1"/>
  <c r="J106" i="7" s="1"/>
  <c r="I106" i="7"/>
  <c r="G43" i="7"/>
  <c r="G12" i="7"/>
  <c r="K105" i="7" l="1" a="1"/>
  <c r="K105" i="7" s="1"/>
  <c r="J105" i="7" a="1"/>
  <c r="J105" i="7" s="1"/>
  <c r="I105" i="7"/>
  <c r="K104" i="7" l="1" a="1"/>
  <c r="K104" i="7" s="1"/>
  <c r="J104" i="7" a="1"/>
  <c r="J104" i="7" s="1"/>
  <c r="I104" i="7"/>
  <c r="BE4" i="7"/>
  <c r="AX4" i="7"/>
  <c r="AQ4" i="7"/>
  <c r="AJ4" i="7"/>
  <c r="AC4" i="7"/>
  <c r="V4" i="7"/>
  <c r="G34" i="7"/>
  <c r="O4" i="7"/>
  <c r="G4" i="7"/>
  <c r="G21" i="7"/>
  <c r="K103" i="7" l="1" a="1"/>
  <c r="K103" i="7" s="1"/>
  <c r="J103" i="7" a="1"/>
  <c r="J103" i="7" s="1"/>
  <c r="I103" i="7"/>
  <c r="K102" i="7" l="1" a="1"/>
  <c r="K102" i="7" s="1"/>
  <c r="J102" i="7" a="1"/>
  <c r="J102" i="7" s="1"/>
  <c r="I102" i="7"/>
  <c r="K101" i="7" l="1" a="1"/>
  <c r="K101" i="7" s="1"/>
  <c r="J101" i="7" a="1"/>
  <c r="J101" i="7" s="1"/>
  <c r="I101" i="7"/>
  <c r="K100" i="7" l="1" a="1"/>
  <c r="K100" i="7" s="1"/>
  <c r="J100" i="7" a="1"/>
  <c r="J100" i="7" s="1"/>
  <c r="I100" i="7"/>
  <c r="K99" i="7" l="1" a="1"/>
  <c r="K99" i="7" s="1"/>
  <c r="J99" i="7" a="1"/>
  <c r="J99" i="7" s="1"/>
  <c r="I99" i="7"/>
  <c r="K98" i="7" l="1" a="1"/>
  <c r="K98" i="7" s="1"/>
  <c r="J98" i="7" a="1"/>
  <c r="J98" i="7" s="1"/>
  <c r="I98" i="7"/>
  <c r="K97" i="7" l="1" a="1"/>
  <c r="K97" i="7" s="1"/>
  <c r="J97" i="7" a="1"/>
  <c r="J97" i="7" s="1"/>
  <c r="I97" i="7"/>
  <c r="I92" i="7" l="1"/>
  <c r="K92" i="7" a="1"/>
  <c r="K92" i="7" s="1"/>
  <c r="J92" i="7" a="1"/>
  <c r="J92" i="7" s="1"/>
  <c r="I91" i="7" l="1"/>
  <c r="K91" i="7" a="1"/>
  <c r="K91" i="7" s="1"/>
  <c r="J91" i="7" a="1"/>
  <c r="J91" i="7" s="1"/>
  <c r="I90" i="7" l="1"/>
  <c r="K90" i="7" a="1"/>
  <c r="K90" i="7" s="1"/>
  <c r="J90" i="7" a="1"/>
  <c r="J90" i="7" s="1"/>
  <c r="I89" i="7" l="1"/>
  <c r="K89" i="7" a="1"/>
  <c r="K89" i="7" s="1"/>
  <c r="J89" i="7" a="1"/>
  <c r="J89" i="7" s="1"/>
  <c r="I88" i="7" l="1"/>
  <c r="K88" i="7" a="1"/>
  <c r="K88" i="7" s="1"/>
  <c r="J88" i="7" a="1"/>
  <c r="J88" i="7" s="1"/>
  <c r="I87" i="7" l="1"/>
  <c r="K87" i="7" a="1"/>
  <c r="K87" i="7" s="1"/>
  <c r="J87" i="7" a="1"/>
  <c r="J87" i="7" s="1"/>
  <c r="I86" i="7" l="1"/>
  <c r="K86" i="7" a="1"/>
  <c r="K86" i="7" s="1"/>
  <c r="J86" i="7" a="1"/>
  <c r="J86" i="7" s="1"/>
  <c r="I85" i="7" l="1"/>
  <c r="K85" i="7" a="1"/>
  <c r="K85" i="7" s="1"/>
  <c r="J85" i="7" a="1"/>
  <c r="J85" i="7" s="1"/>
  <c r="I84" i="7" l="1"/>
  <c r="K84" i="7" a="1"/>
  <c r="K84" i="7" s="1"/>
  <c r="J84" i="7" a="1"/>
  <c r="J84" i="7" s="1"/>
  <c r="I83" i="7" l="1"/>
  <c r="J83" i="7" a="1"/>
  <c r="J83" i="7" s="1"/>
  <c r="K83" i="7" a="1"/>
  <c r="K83" i="7" s="1"/>
  <c r="I82" i="7" l="1"/>
  <c r="K82" i="7" a="1"/>
  <c r="K82" i="7" s="1"/>
  <c r="J82" i="7" a="1"/>
  <c r="J82" i="7" s="1"/>
  <c r="I81" i="7" l="1"/>
  <c r="J81" i="7" a="1"/>
  <c r="J81" i="7" s="1"/>
  <c r="K81" i="7" a="1"/>
  <c r="K81" i="7" s="1"/>
  <c r="I80" i="7" l="1"/>
  <c r="K80" i="7" a="1"/>
  <c r="K80" i="7" s="1"/>
  <c r="J80" i="7" a="1"/>
  <c r="J80" i="7" s="1"/>
  <c r="I76" i="7" l="1"/>
  <c r="K76" i="7" a="1"/>
  <c r="K76" i="7" s="1"/>
  <c r="J76" i="7" a="1"/>
  <c r="J76" i="7" s="1"/>
  <c r="I75" i="7" l="1"/>
  <c r="K75" i="7" a="1"/>
  <c r="K75" i="7" s="1"/>
  <c r="J75" i="7" a="1"/>
  <c r="J75" i="7" s="1"/>
  <c r="I74" i="7" l="1"/>
  <c r="K74" i="7" a="1"/>
  <c r="K74" i="7" s="1"/>
  <c r="J74" i="7" a="1"/>
  <c r="J74" i="7" s="1"/>
  <c r="I73" i="7" l="1"/>
  <c r="K73" i="7" a="1"/>
  <c r="K73" i="7" s="1"/>
  <c r="J73" i="7" a="1"/>
  <c r="J73" i="7" s="1"/>
  <c r="I72" i="7" l="1"/>
  <c r="K72" i="7" a="1"/>
  <c r="K72" i="7" s="1"/>
  <c r="J72" i="7" a="1"/>
  <c r="J72" i="7" s="1"/>
  <c r="I71" i="7" l="1"/>
  <c r="K71" i="7" a="1"/>
  <c r="K71" i="7" s="1"/>
  <c r="J71" i="7" a="1"/>
  <c r="J71" i="7" s="1"/>
  <c r="I70" i="7" l="1"/>
  <c r="K70" i="7" a="1"/>
  <c r="K70" i="7" s="1"/>
  <c r="J70" i="7" a="1"/>
  <c r="J70" i="7" s="1"/>
  <c r="I69" i="7" l="1"/>
  <c r="K69" i="7" a="1"/>
  <c r="K69" i="7" s="1"/>
  <c r="J69" i="7" a="1"/>
  <c r="J69" i="7" s="1"/>
  <c r="I68" i="7" l="1"/>
  <c r="K68" i="7" a="1"/>
  <c r="K68" i="7" s="1"/>
  <c r="J68" i="7" a="1"/>
  <c r="J68" i="7" s="1"/>
  <c r="I67" i="7" l="1"/>
  <c r="K67" i="7" a="1"/>
  <c r="K67" i="7" s="1"/>
  <c r="J67" i="7" a="1"/>
  <c r="J67" i="7" s="1"/>
  <c r="I66" i="7" l="1"/>
  <c r="K66" i="7" a="1"/>
  <c r="K66" i="7" s="1"/>
  <c r="J66" i="7" a="1"/>
  <c r="J66" i="7" s="1"/>
  <c r="I65" i="7" l="1"/>
  <c r="K65" i="7" a="1"/>
  <c r="K65" i="7" s="1"/>
  <c r="J65" i="7" a="1"/>
  <c r="J65" i="7" s="1"/>
  <c r="I64" i="7" l="1"/>
  <c r="K64" i="7" a="1"/>
  <c r="K64" i="7" s="1"/>
  <c r="J64" i="7" a="1"/>
  <c r="J64" i="7" s="1"/>
  <c r="I63" i="7" l="1"/>
  <c r="K63" i="7" a="1"/>
  <c r="K63" i="7" s="1"/>
  <c r="J63" i="7" a="1"/>
  <c r="J63" i="7" s="1"/>
  <c r="I62" i="7" l="1"/>
  <c r="K62" i="7" a="1"/>
  <c r="K62" i="7" s="1"/>
  <c r="J62" i="7" a="1"/>
  <c r="J62" i="7" s="1"/>
  <c r="I61" i="7" l="1"/>
  <c r="K61" i="7" a="1"/>
  <c r="K61" i="7" s="1"/>
  <c r="J61" i="7" a="1"/>
  <c r="J61" i="7" s="1"/>
  <c r="I60" i="7" l="1"/>
  <c r="K60" i="7" a="1"/>
  <c r="K60" i="7" s="1"/>
  <c r="J60" i="7" a="1"/>
  <c r="J60" i="7" s="1"/>
  <c r="I59" i="7" l="1"/>
  <c r="K59" i="7" a="1"/>
  <c r="K59" i="7" s="1"/>
  <c r="J59" i="7" a="1"/>
  <c r="J59" i="7" s="1"/>
  <c r="I58" i="7" l="1"/>
  <c r="K58" i="7" a="1"/>
  <c r="K58" i="7" s="1"/>
  <c r="J58" i="7" a="1"/>
  <c r="J58" i="7" s="1"/>
  <c r="I57" i="7" l="1"/>
  <c r="K57" i="7" a="1"/>
  <c r="K57" i="7" s="1"/>
  <c r="J57" i="7" a="1"/>
  <c r="J57" i="7" s="1"/>
  <c r="I56" i="7" l="1"/>
  <c r="K56" i="7" a="1"/>
  <c r="K56" i="7" s="1"/>
  <c r="J56" i="7" a="1"/>
  <c r="J56" i="7" s="1"/>
  <c r="I55" i="7" l="1"/>
  <c r="K55" i="7" a="1"/>
  <c r="K55" i="7" s="1"/>
  <c r="J55" i="7" a="1"/>
  <c r="J55" i="7" s="1"/>
  <c r="I54" i="7" l="1"/>
  <c r="K54" i="7" a="1"/>
  <c r="K54" i="7" s="1"/>
  <c r="J54" i="7" a="1"/>
  <c r="J54" i="7" s="1"/>
  <c r="I53" i="7" l="1"/>
  <c r="K53" i="7" a="1"/>
  <c r="K53" i="7" s="1"/>
  <c r="J53" i="7" a="1"/>
  <c r="J53" i="7" s="1"/>
  <c r="I52" i="7" l="1"/>
  <c r="J52" i="7" a="1"/>
  <c r="J52" i="7" s="1"/>
  <c r="K52" i="7" a="1"/>
  <c r="K52" i="7" s="1"/>
  <c r="I51" i="7" l="1"/>
  <c r="K51" i="7" a="1"/>
  <c r="K51" i="7" s="1"/>
  <c r="J51" i="7" a="1"/>
  <c r="J51" i="7" s="1"/>
  <c r="I46" i="7" l="1"/>
  <c r="K46" i="7" a="1"/>
  <c r="K46" i="7" s="1"/>
  <c r="J46" i="7" a="1"/>
  <c r="J46" i="7" s="1"/>
  <c r="I45" i="7" l="1"/>
  <c r="J45" i="7" a="1"/>
  <c r="J45" i="7" s="1"/>
  <c r="K45" i="7" a="1"/>
  <c r="K45" i="7" s="1"/>
  <c r="I44" i="7" l="1"/>
  <c r="I43" i="7" s="1"/>
  <c r="K44" i="7" a="1"/>
  <c r="K44" i="7" s="1"/>
  <c r="K43" i="7" s="1"/>
  <c r="J44" i="7" a="1"/>
  <c r="J44" i="7" s="1"/>
  <c r="J43" i="7" s="1"/>
  <c r="I41" i="7" l="1"/>
  <c r="K41" i="7" a="1"/>
  <c r="K41" i="7" s="1"/>
  <c r="J41" i="7" a="1"/>
  <c r="J41" i="7" s="1"/>
  <c r="I40" i="7" l="1"/>
  <c r="K40" i="7" a="1"/>
  <c r="K40" i="7" s="1"/>
  <c r="J40" i="7" a="1"/>
  <c r="J40" i="7" s="1"/>
  <c r="I39" i="7" l="1"/>
  <c r="K39" i="7" a="1"/>
  <c r="K39" i="7" s="1"/>
  <c r="J39" i="7" a="1"/>
  <c r="J39" i="7" s="1"/>
  <c r="I38" i="7" l="1"/>
  <c r="K38" i="7" a="1"/>
  <c r="K38" i="7" s="1"/>
  <c r="J38" i="7" a="1"/>
  <c r="J38" i="7" s="1"/>
  <c r="I37" i="7" l="1"/>
  <c r="K37" i="7" a="1"/>
  <c r="K37" i="7" s="1"/>
  <c r="J37" i="7" a="1"/>
  <c r="J37" i="7" s="1"/>
  <c r="I36" i="7" l="1"/>
  <c r="K36" i="7" a="1"/>
  <c r="K36" i="7" s="1"/>
  <c r="J36" i="7" a="1"/>
  <c r="J36" i="7" s="1"/>
  <c r="I35" i="7" l="1"/>
  <c r="I34" i="7" s="1"/>
  <c r="J35" i="7" a="1"/>
  <c r="J35" i="7" s="1"/>
  <c r="J34" i="7" s="1"/>
  <c r="K35" i="7" a="1"/>
  <c r="K35" i="7" s="1"/>
  <c r="K34" i="7" s="1"/>
  <c r="K32" i="7" l="1" a="1"/>
  <c r="K32" i="7" s="1"/>
  <c r="I32" i="7"/>
  <c r="J32" i="7" a="1"/>
  <c r="J32" i="7" s="1"/>
  <c r="K31" i="7" l="1" a="1"/>
  <c r="K31" i="7" s="1"/>
  <c r="I31" i="7"/>
  <c r="J31" i="7" a="1"/>
  <c r="J31" i="7" s="1"/>
  <c r="J30" i="7" l="1" a="1"/>
  <c r="J30" i="7" s="1"/>
  <c r="I30" i="7"/>
  <c r="K30" i="7" a="1"/>
  <c r="K30" i="7" s="1"/>
  <c r="K29" i="7" l="1" a="1"/>
  <c r="K29" i="7" s="1"/>
  <c r="I29" i="7"/>
  <c r="J29" i="7" a="1"/>
  <c r="J29" i="7" s="1"/>
  <c r="K28" i="7" l="1" a="1"/>
  <c r="K28" i="7" s="1"/>
  <c r="I28" i="7"/>
  <c r="J28" i="7" a="1"/>
  <c r="J28" i="7" s="1"/>
  <c r="J27" i="7" l="1" a="1"/>
  <c r="J27" i="7" s="1"/>
  <c r="I27" i="7"/>
  <c r="K27" i="7" a="1"/>
  <c r="K27" i="7" s="1"/>
  <c r="K26" i="7" l="1" a="1"/>
  <c r="K26" i="7" s="1"/>
  <c r="I26" i="7"/>
  <c r="J26" i="7" a="1"/>
  <c r="J26" i="7" s="1"/>
  <c r="K25" i="7" l="1" a="1"/>
  <c r="K25" i="7" s="1"/>
  <c r="I25" i="7"/>
  <c r="J25" i="7" a="1"/>
  <c r="J25" i="7" s="1"/>
  <c r="J24" i="7" l="1" a="1"/>
  <c r="J24" i="7" s="1"/>
  <c r="I24" i="7"/>
  <c r="K24" i="7" a="1"/>
  <c r="K24" i="7" s="1"/>
  <c r="K23" i="7" l="1" a="1"/>
  <c r="K23" i="7" s="1"/>
  <c r="I23" i="7"/>
  <c r="J23" i="7" a="1"/>
  <c r="J23" i="7" s="1"/>
  <c r="K22" i="7" l="1" a="1"/>
  <c r="K22" i="7" s="1"/>
  <c r="K21" i="7" s="1"/>
  <c r="I22" i="7"/>
  <c r="I21" i="7" s="1"/>
  <c r="J22" i="7" a="1"/>
  <c r="J22" i="7" s="1"/>
  <c r="J21" i="7" s="1"/>
  <c r="K17" i="7" l="1" a="1"/>
  <c r="K17" i="7" s="1"/>
  <c r="I17" i="7"/>
  <c r="J17" i="7" a="1"/>
  <c r="J17" i="7" s="1"/>
  <c r="K16" i="7" l="1" a="1"/>
  <c r="K16" i="7" s="1"/>
  <c r="I16" i="7"/>
  <c r="J16" i="7" a="1"/>
  <c r="J16" i="7" s="1"/>
  <c r="K15" i="7" l="1" a="1"/>
  <c r="K15" i="7" s="1"/>
  <c r="J15" i="7" a="1"/>
  <c r="J15" i="7" s="1"/>
  <c r="I15" i="7"/>
  <c r="K14" i="7" l="1" a="1"/>
  <c r="K14" i="7" s="1"/>
  <c r="I14" i="7"/>
  <c r="J14" i="7" a="1"/>
  <c r="J14" i="7" s="1"/>
  <c r="K13" i="7" l="1" a="1"/>
  <c r="K13" i="7" s="1"/>
  <c r="K12" i="7" s="1"/>
  <c r="J13" i="7" a="1"/>
  <c r="J13" i="7" s="1"/>
  <c r="J12" i="7" s="1"/>
  <c r="I13" i="7"/>
  <c r="I12" i="7" s="1"/>
  <c r="K10" i="7" l="1" a="1"/>
  <c r="K10" i="7" s="1"/>
  <c r="I10" i="7"/>
  <c r="J10" i="7" a="1"/>
  <c r="J10" i="7" s="1"/>
  <c r="K9" i="7" l="1" a="1"/>
  <c r="K9" i="7" s="1"/>
  <c r="J9" i="7" a="1"/>
  <c r="J9" i="7" s="1"/>
  <c r="I9" i="7"/>
  <c r="K8" i="7" l="1" a="1"/>
  <c r="K8" i="7" s="1"/>
  <c r="J8" i="7" a="1"/>
  <c r="J8" i="7" s="1"/>
  <c r="I8" i="7"/>
  <c r="K7" i="7" l="1" a="1"/>
  <c r="K7" i="7" s="1"/>
  <c r="J7" i="7" a="1"/>
  <c r="J7" i="7" s="1"/>
  <c r="I7" i="7"/>
  <c r="K6" i="7" l="1" a="1"/>
  <c r="K6" i="7" s="1"/>
  <c r="J6" i="7" a="1"/>
  <c r="J6" i="7" s="1"/>
  <c r="I6" i="7"/>
  <c r="K5" i="7" l="1" a="1"/>
  <c r="K5" i="7" s="1"/>
  <c r="K4" i="7" s="1"/>
  <c r="J5" i="7" a="1"/>
  <c r="J5" i="7" s="1"/>
  <c r="J4" i="7" s="1"/>
  <c r="I5" i="7"/>
  <c r="I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<sst xmlns="http://schemas.openxmlformats.org/spreadsheetml/2006/main" count="479" uniqueCount="197">
  <si>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</si>
  <si>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</si>
  <si>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</si>
  <si>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</si>
  <si>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</si>
  <si>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</si>
  <si>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</si>
  <si>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</si>
  <si>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</si>
  <si>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</si>
  <si>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</si>
  <si>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</si>
  <si>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</si>
  <si>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</si>
  <si>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</si>
  <si>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</si>
  <si>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</si>
  <si>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</si>
  <si>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</si>
  <si>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</si>
  <si>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</si>
  <si>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</si>
  <si>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</si>
  <si>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</si>
  <si>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</si>
  <si>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</si>
  <si>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</si>
  <si>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</si>
  <si>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</si>
  <si>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</si>
  <si>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5) Strategisches Marketing</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</si>
  <si>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</si>
  <si>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</si>
  <si>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</si>
  <si>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</si>
  <si>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</si>
  <si>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</si>
  <si>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</si>
  <si>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</si>
  <si>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</si>
  <si>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</si>
  <si>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</si>
  <si>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</si>
  <si>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</si>
  <si>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</si>
  <si>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</si>
  <si>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</si>
  <si>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</si>
  <si>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</si>
  <si>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</si>
  <si>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</si>
  <si>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</si>
  <si>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</si>
  <si>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</si>
  <si>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</si>
  <si>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</si>
  <si>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</si>
  <si>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</si>
  <si>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</si>
  <si>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</si>
  <si>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</si>
  <si>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</si>
  <si>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</si>
  <si>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</si>
  <si>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</si>
  <si>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</si>
  <si>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</si>
  <si>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</si>
  <si>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</si>
  <si>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</si>
  <si>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</si>
  <si>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</si>
  <si>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</si>
  <si>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</si>
  <si>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</si>
  <si>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</si>
  <si>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</si>
  <si>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</si>
  <si>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</si>
  <si>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</si>
  <si>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</si>
  <si>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</si>
  <si>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</si>
  <si>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</si>
  <si>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</si>
  <si>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</si>
  <si>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</si>
  <si>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</si>
  <si>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</si>
  <si>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</si>
  <si>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1) Grundlagen</t>
  </si>
  <si>
    <t>2) Beteiligungsfinanzierung</t>
  </si>
  <si>
    <t>3) Börsengang</t>
  </si>
  <si>
    <t>4)Kreditfinanzierung</t>
  </si>
  <si>
    <t>5) Anleihen</t>
  </si>
  <si>
    <t xml:space="preserve">6) Kreditsubstitute und Mezzanine </t>
  </si>
  <si>
    <t>7) Innenfinanzierung</t>
  </si>
  <si>
    <t>8) Fremdkapitalkosten</t>
  </si>
  <si>
    <t>9) Leverageeffekt und Kapitalstruktur</t>
  </si>
  <si>
    <t>10) Eigenkapitalkosten</t>
  </si>
  <si>
    <t>11) Unternehmensbewertung DCF</t>
  </si>
  <si>
    <t>12) Unternehmensbewertung Multiplikator</t>
  </si>
  <si>
    <t>13) Derivate Instrumente Und Hedging</t>
  </si>
  <si>
    <t xml:space="preserve">Unternehmensfinanzierung </t>
  </si>
  <si>
    <t xml:space="preserve">Rechnungswesen </t>
  </si>
  <si>
    <t>1)Grundlagen Kosten Leistungsrechnung</t>
  </si>
  <si>
    <t>2) Vorstellung Kostenrechnung</t>
  </si>
  <si>
    <t>3) Kostenartenrechung I</t>
  </si>
  <si>
    <t>4) Kostenartenrechnung II</t>
  </si>
  <si>
    <t>5) Kostenstellenrechnung I</t>
  </si>
  <si>
    <t>6) Kostenstellenrechnung II</t>
  </si>
  <si>
    <t>7) Kostenträgerrechnung I</t>
  </si>
  <si>
    <t>8) Kostenträgerrechnung II</t>
  </si>
  <si>
    <t>9) Ergänzende Aspekte Kosten &amp; Leistungsrechnung</t>
  </si>
  <si>
    <t>10) Vollkostenrechnung</t>
  </si>
  <si>
    <t>11) Teilkostenrechnungnrechnung</t>
  </si>
  <si>
    <t xml:space="preserve">International Economics Part 1 </t>
  </si>
  <si>
    <t>International Economics Part 1</t>
  </si>
  <si>
    <t>International Economics Part 2</t>
  </si>
  <si>
    <t>1) Introduction : Trade theory and policy</t>
  </si>
  <si>
    <t>2) International Transactions and the balance of payments</t>
  </si>
  <si>
    <t xml:space="preserve">3) Static &amp; Dynamic Gains from Trade </t>
  </si>
  <si>
    <t xml:space="preserve">4) Classical Trade Theory: Absolute cost advantage </t>
  </si>
  <si>
    <t xml:space="preserve">6) Heckscher - OhlinModel </t>
  </si>
  <si>
    <t>7) Heckscher - Ohlin Model 2</t>
  </si>
  <si>
    <t>8) New trade Theory I</t>
  </si>
  <si>
    <t>9) New trade Theory II</t>
  </si>
  <si>
    <t>10) Protectionism Instruments I</t>
  </si>
  <si>
    <t>11) Protectionism Instruments II</t>
  </si>
  <si>
    <t>12) Protectionist Arguments</t>
  </si>
  <si>
    <t xml:space="preserve">1) Aufgaben des Staates </t>
  </si>
  <si>
    <t>2) Rückblick Stabilisierungspolitik</t>
  </si>
  <si>
    <t>3) Konjonkturschwankungen</t>
  </si>
  <si>
    <t>4) Auswirkungen von Konjonkturschwankungen</t>
  </si>
  <si>
    <t xml:space="preserve">5) Wirtschaftspolitische Massnahmen </t>
  </si>
  <si>
    <t>6)Allokation - Marktveragen</t>
  </si>
  <si>
    <t>7) Paretp Optimum</t>
  </si>
  <si>
    <t xml:space="preserve">8) Marktversagen und staatliche Eingriffe in die Marktwirtschaft </t>
  </si>
  <si>
    <t>9) Monopole - Marktmacht</t>
  </si>
  <si>
    <t xml:space="preserve">10) öffentliche Güter (Kollektivgüter) </t>
  </si>
  <si>
    <t>11) Externe Effekte</t>
  </si>
  <si>
    <t xml:space="preserve">12)Sinkende Durchnittskosten (Natürliche Monople) </t>
  </si>
  <si>
    <t>13) Informationsprobleme</t>
  </si>
  <si>
    <t>14)Distributins - Marktablehnung</t>
  </si>
  <si>
    <t>15)Gründe für Marktablehnung</t>
  </si>
  <si>
    <t xml:space="preserve">16) Modifikationen der freien Marktwirtschaft in Richtung Soziale Marktwirtschaft </t>
  </si>
  <si>
    <t xml:space="preserve">17) Wirtschaftspolitische Akteure </t>
  </si>
  <si>
    <t>18) Neue Politische ökonomie als Erklärungsansatz</t>
  </si>
  <si>
    <t xml:space="preserve">19) Politiker </t>
  </si>
  <si>
    <t>20) ökonomishce Theorie der Demokratie</t>
  </si>
  <si>
    <t>21) Direkte Demokratie</t>
  </si>
  <si>
    <t>22) Merkmale von Bürokratien</t>
  </si>
  <si>
    <t xml:space="preserve">23) Modellvon Niskanen </t>
  </si>
  <si>
    <t xml:space="preserve">24) Interessengruppen </t>
  </si>
  <si>
    <t xml:space="preserve">25) Bedeutung von Interessengruppen in marktwirtschaftlichen Systemen  </t>
  </si>
  <si>
    <t>M.I.S</t>
  </si>
  <si>
    <t xml:space="preserve">1) Introduction </t>
  </si>
  <si>
    <t>2) Information nd Management of Information Systems</t>
  </si>
  <si>
    <t>3) Principals of InformationProcessing</t>
  </si>
  <si>
    <t xml:space="preserve">4) Economic Fundamentals a </t>
  </si>
  <si>
    <t>5) Economic Fundamentals b</t>
  </si>
  <si>
    <t>6) Algorithms and Data structures a</t>
  </si>
  <si>
    <t>7) Algorithms and Data structures b</t>
  </si>
  <si>
    <t>8) Algorithms and Data structures c</t>
  </si>
  <si>
    <t>9) Algorithms and Data sructures d</t>
  </si>
  <si>
    <t>10) Algorithms &amp; Data structures e</t>
  </si>
  <si>
    <t xml:space="preserve"> Management Information System </t>
  </si>
  <si>
    <t>KW 38</t>
  </si>
  <si>
    <t>KW 39</t>
  </si>
  <si>
    <t>KW 40</t>
  </si>
  <si>
    <t>KW 41</t>
  </si>
  <si>
    <t>KW 42</t>
  </si>
  <si>
    <t>KW 43</t>
  </si>
  <si>
    <t>KW 44</t>
  </si>
  <si>
    <t>KW 45</t>
  </si>
  <si>
    <t>KW 46</t>
  </si>
  <si>
    <t>KW 47</t>
  </si>
  <si>
    <t>KW 48</t>
  </si>
  <si>
    <t>KW 49</t>
  </si>
  <si>
    <t>KW 50</t>
  </si>
  <si>
    <t>KW 51</t>
  </si>
  <si>
    <t>KW 52</t>
  </si>
  <si>
    <t>KW 53</t>
  </si>
  <si>
    <t>KLAUSUREN</t>
  </si>
  <si>
    <t>Data analytics</t>
  </si>
  <si>
    <t xml:space="preserve">1) Statistic refresher </t>
  </si>
  <si>
    <t>2) Introduction to SPSS</t>
  </si>
  <si>
    <t>3) The SPSS Syntax</t>
  </si>
  <si>
    <t>4) BasicAnalytics Problems</t>
  </si>
  <si>
    <t>5) Lecture ESB Data analytics</t>
  </si>
  <si>
    <t>6)Statistical Testing</t>
  </si>
  <si>
    <t>7) ANOVA</t>
  </si>
  <si>
    <t>8)OddJob</t>
  </si>
  <si>
    <t>9) Guest lecture</t>
  </si>
  <si>
    <t>10) Regression analysis</t>
  </si>
  <si>
    <t>11) Exercices</t>
  </si>
  <si>
    <t xml:space="preserve"> Data Analytics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</si>
</sst>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2" fontId="0" fillId="4" borderId="0" xfId="0" applyNumberFormat="1" applyFill="1"/>
    <xf numFmtId="0" fontId="0" fillId="5" borderId="0" xfId="0" applyNumberFormat="1" applyFill="1"/>
    <xf numFmtId="0" fontId="1" fillId="2" borderId="0" xfId="0" applyFont="1" applyFill="1" applyAlignment="1">
      <alignment horizontal="center"/>
    </xf>
  </cellXfs>
  <cellStyles count="1">
    <cellStyle name="Normal" xfId="0" builtinId="0"/>
  </cellStyles>
  <dxfs count="2031">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030">
  <autoFilter ref="A1:K46" xr:uid="{6E266E34-2786-2747-BCE7-51B74867A564}"/>
  <tableColumns count="11">
    <tableColumn id="1" xr3:uid="{95FD92F7-3DC8-704D-A103-A7EDDAB255AB}" name="Datum" dataDxfId="2029"/>
    <tableColumn id="2" xr3:uid="{F464D510-8166-E740-A343-FB84BDEF877F}" name="Lerneinheiten durchgezogen" dataDxfId="2028"/>
    <tableColumn id="3" xr3:uid="{75F52B08-1A00-0848-BBE6-1EDF7B31B1AD}" name="Tagesplan erstellt" dataDxfId="2027"/>
    <tableColumn id="4" xr3:uid="{E6B18D89-E799-AD48-9DAA-37AEE1D29011}" name="Konzentrationslevel" dataDxfId="202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ColWidth="11" defaultRowHeight="15.75"/>
  <cols>
    <col min="1" max="1" width="11.875" customWidth="1"/>
    <col min="2" max="2" width="62.625" customWidth="1"/>
    <col min="3" max="3" width="12.375" bestFit="1" customWidth="1"/>
  </cols>
  <sheetData>
    <row r="2" spans="1:4">
      <c r="C2" s="21" t="s">
        <v>74</v>
      </c>
    </row>
    <row r="3" spans="1:4">
      <c r="C3" s="20" t="s">
        <v>59</v>
      </c>
    </row>
    <row r="4" spans="1:4">
      <c r="C4" s="19" t="s">
        <v>73</v>
      </c>
    </row>
    <row r="5" spans="1:4">
      <c r="A5" s="3" t="s">
        <v>56</v>
      </c>
      <c r="B5" s="3" t="s">
        <v>57</v>
      </c>
      <c r="C5" s="3" t="s">
        <v>58</v>
      </c>
      <c r="D5" s="3" t="s">
        <v>60</v>
      </c>
    </row>
    <row r="6" spans="1:4">
      <c r="A6" t="s">
        <v>52</v>
      </c>
      <c r="B6" s="21" t="s">
        <v>55</v>
      </c>
      <c r="D6" t="s">
        <v>89</v>
      </c>
    </row>
    <row r="7" spans="1:4">
      <c r="A7" t="s">
        <v>63</v>
      </c>
      <c r="B7" t="s">
        <v>64</v>
      </c>
      <c r="C7" s="19">
        <f>13+11+12+25+12</f>
        <v>73</v>
      </c>
    </row>
    <row r="8" spans="1:4">
      <c r="A8" t="s">
        <v>54</v>
      </c>
      <c r="B8" s="21" t="s">
        <v>53</v>
      </c>
      <c r="C8" s="9"/>
      <c r="D8" t="s">
        <v>77</v>
      </c>
    </row>
    <row r="9" spans="1:4">
      <c r="A9" t="s">
        <v>62</v>
      </c>
      <c r="B9" s="21" t="s">
        <v>75</v>
      </c>
      <c r="D9" t="s">
        <v>78</v>
      </c>
    </row>
    <row r="10" spans="1:4">
      <c r="A10" t="s">
        <v>66</v>
      </c>
      <c r="B10" t="s">
        <v>65</v>
      </c>
      <c r="C10" s="23">
        <v>20</v>
      </c>
      <c r="D10" t="s">
        <v>61</v>
      </c>
    </row>
    <row r="11" spans="1:4">
      <c r="A11" t="s">
        <v>67</v>
      </c>
      <c r="B11" t="s">
        <v>69</v>
      </c>
      <c r="C11" s="23">
        <f>3*73</f>
        <v>219</v>
      </c>
      <c r="D11" t="s">
        <v>68</v>
      </c>
    </row>
    <row r="12" spans="1:4">
      <c r="A12" t="s">
        <v>71</v>
      </c>
      <c r="B12" t="s">
        <v>70</v>
      </c>
      <c r="C12" s="24">
        <f>C11/C10</f>
        <v>10.95</v>
      </c>
    </row>
    <row r="13" spans="1:4">
      <c r="A13" t="s">
        <v>76</v>
      </c>
      <c r="B13" t="s">
        <v>72</v>
      </c>
      <c r="D13" t="s">
        <v>79</v>
      </c>
    </row>
    <row r="14" spans="1:4">
      <c r="A14" t="s">
        <v>80</v>
      </c>
      <c r="B14" t="s">
        <v>81</v>
      </c>
      <c r="D14" t="s">
        <v>82</v>
      </c>
    </row>
    <row r="15" spans="1:4">
      <c r="A15" t="s">
        <v>83</v>
      </c>
      <c r="B15" s="21" t="s">
        <v>84</v>
      </c>
    </row>
    <row r="16" spans="1:4">
      <c r="A16" t="s">
        <v>87</v>
      </c>
      <c r="B16" s="21" t="s">
        <v>85</v>
      </c>
    </row>
    <row r="17" spans="1:2">
      <c r="A17" t="s">
        <v>88</v>
      </c>
      <c r="B17" t="s">
        <v>86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B216"/>
  <sheetViews>
    <sheetView showGridLines="0" tabSelected="1" zoomScale="70" zoomScaleNormal="70" workbookViewId="0">
      <pane xSplit="12" topLeftCell="M1" activePane="topRight" state="frozen"/>
      <selection pane="topRight" activeCell="V21" sqref="V21"/>
    </sheetView>
  </sheetViews>
  <sheetFormatPr baseColWidth="10" defaultColWidth="8.875" defaultRowHeight="15.75" outlineLevelRow="1"/>
  <cols>
    <col min="2" max="2" width="15.375" customWidth="1"/>
    <col min="3" max="3" width="24.5" customWidth="1"/>
    <col min="4" max="4" width="13" hidden="1" customWidth="1"/>
    <col min="5" max="5" width="4.875" hidden="1" customWidth="1"/>
    <col min="6" max="6" width="58.25" hidden="1" customWidth="1"/>
    <col min="7" max="7" width="15.5" hidden="1" customWidth="1"/>
    <col min="8" max="8" width="2.5" hidden="1" customWidth="1"/>
    <col min="9" max="9" width="8.875" hidden="1" customWidth="1"/>
    <col min="10" max="10" width="12.5" hidden="1" customWidth="1"/>
    <col min="11" max="11" width="2.25" hidden="1" customWidth="1"/>
    <col min="12" max="12" width="34.875" hidden="1" customWidth="1"/>
    <col min="13" max="14" width="2.5" customWidth="1"/>
    <col min="16" max="16" width="12.5" bestFit="1" customWidth="1"/>
    <col min="17" max="17" width="6.375" customWidth="1"/>
    <col min="18" max="18" width="14.875" bestFit="1" customWidth="1"/>
    <col min="19" max="19" width="6" customWidth="1"/>
    <col min="20" max="20" width="12.625" bestFit="1" customWidth="1"/>
    <col min="21" max="21" width="2.5" customWidth="1"/>
    <col min="23" max="23" width="12.5" bestFit="1" customWidth="1"/>
    <col min="24" max="24" width="6.375" customWidth="1"/>
    <col min="25" max="25" width="14.875" bestFit="1" customWidth="1"/>
    <col min="26" max="26" width="6" customWidth="1"/>
    <col min="27" max="27" width="12.625" bestFit="1" customWidth="1"/>
    <col min="28" max="28" width="2.5" customWidth="1"/>
    <col min="30" max="30" width="12.5" bestFit="1" customWidth="1"/>
    <col min="31" max="31" width="6.375" customWidth="1"/>
    <col min="32" max="32" width="14.875" bestFit="1" customWidth="1"/>
    <col min="33" max="33" width="6" customWidth="1"/>
    <col min="34" max="34" width="12.625" bestFit="1" customWidth="1"/>
    <col min="35" max="35" width="2.5" customWidth="1"/>
    <col min="37" max="37" width="12.5" bestFit="1" customWidth="1"/>
    <col min="38" max="38" width="6.375" customWidth="1"/>
    <col min="39" max="39" width="14.875" bestFit="1" customWidth="1"/>
    <col min="40" max="40" width="6" customWidth="1"/>
    <col min="41" max="41" width="12.625" bestFit="1" customWidth="1"/>
    <col min="42" max="42" width="2.5" customWidth="1"/>
    <col min="44" max="44" width="12.5" bestFit="1" customWidth="1"/>
    <col min="45" max="45" width="6.375" customWidth="1"/>
    <col min="46" max="46" width="14.875" bestFit="1" customWidth="1"/>
    <col min="47" max="47" width="6" customWidth="1"/>
    <col min="48" max="48" width="12.625" bestFit="1" customWidth="1"/>
    <col min="49" max="49" width="2.5" customWidth="1"/>
    <col min="51" max="51" width="12.5" bestFit="1" customWidth="1"/>
    <col min="52" max="52" width="6.375" customWidth="1"/>
    <col min="53" max="53" width="14.875" bestFit="1" customWidth="1"/>
    <col min="54" max="54" width="6" customWidth="1"/>
    <col min="55" max="55" width="12.625" bestFit="1" customWidth="1"/>
    <col min="56" max="56" width="2.5" customWidth="1"/>
    <col min="58" max="58" width="12.5" bestFit="1" customWidth="1"/>
    <col min="59" max="59" width="6.375" customWidth="1"/>
    <col min="60" max="60" width="14.875" bestFit="1" customWidth="1"/>
    <col min="61" max="61" width="6" customWidth="1"/>
    <col min="62" max="62" width="12.625" bestFit="1" customWidth="1"/>
    <col min="63" max="63" width="2.5" customWidth="1"/>
    <col min="65" max="65" width="12.5" bestFit="1" customWidth="1"/>
    <col min="66" max="66" width="6.375" customWidth="1"/>
    <col min="67" max="67" width="14.875" bestFit="1" customWidth="1"/>
    <col min="68" max="68" width="6" customWidth="1"/>
    <col min="69" max="69" width="12.625" bestFit="1" customWidth="1"/>
    <col min="70" max="70" width="2.5" customWidth="1"/>
    <col min="72" max="72" width="12.5" bestFit="1" customWidth="1"/>
    <col min="73" max="73" width="6.375" customWidth="1"/>
    <col min="74" max="74" width="14.875" bestFit="1" customWidth="1"/>
    <col min="75" max="75" width="6" customWidth="1"/>
    <col min="76" max="76" width="12.625" bestFit="1" customWidth="1"/>
    <col min="77" max="77" width="2.5" customWidth="1"/>
    <col min="79" max="79" width="12.5" bestFit="1" customWidth="1"/>
    <col min="80" max="80" width="6.375" customWidth="1"/>
    <col min="81" max="81" width="14.875" bestFit="1" customWidth="1"/>
    <col min="82" max="82" width="6" customWidth="1"/>
    <col min="83" max="83" width="12.625" bestFit="1" customWidth="1"/>
    <col min="84" max="84" width="2.5" customWidth="1"/>
    <col min="86" max="86" width="12.5" bestFit="1" customWidth="1"/>
    <col min="87" max="87" width="6.375" customWidth="1"/>
    <col min="88" max="88" width="14.875" bestFit="1" customWidth="1"/>
    <col min="89" max="89" width="6" customWidth="1"/>
    <col min="90" max="90" width="12.625" bestFit="1" customWidth="1"/>
    <col min="91" max="91" width="2.5" customWidth="1"/>
    <col min="93" max="93" width="12.5" bestFit="1" customWidth="1"/>
    <col min="94" max="94" width="6.375" customWidth="1"/>
    <col min="95" max="95" width="14.875" bestFit="1" customWidth="1"/>
    <col min="96" max="96" width="6" customWidth="1"/>
    <col min="97" max="97" width="12.625" bestFit="1" customWidth="1"/>
    <col min="98" max="98" width="2.5" customWidth="1"/>
    <col min="100" max="100" width="12.5" bestFit="1" customWidth="1"/>
    <col min="101" max="101" width="6.375" customWidth="1"/>
    <col min="102" max="102" width="14.875" bestFit="1" customWidth="1"/>
    <col min="103" max="103" width="6" customWidth="1"/>
    <col min="104" max="104" width="12.625" bestFit="1" customWidth="1"/>
    <col min="105" max="105" width="2.5" customWidth="1"/>
    <col min="107" max="107" width="12.5" bestFit="1" customWidth="1"/>
    <col min="108" max="108" width="6.375" customWidth="1"/>
    <col min="109" max="109" width="14.875" bestFit="1" customWidth="1"/>
    <col min="110" max="110" width="6" customWidth="1"/>
    <col min="111" max="111" width="12.625" bestFit="1" customWidth="1"/>
    <col min="112" max="112" width="2.5" customWidth="1"/>
    <col min="114" max="114" width="12.5" bestFit="1" customWidth="1"/>
    <col min="115" max="115" width="6.375" customWidth="1"/>
    <col min="116" max="116" width="14.875" bestFit="1" customWidth="1"/>
    <col min="117" max="117" width="6" customWidth="1"/>
    <col min="118" max="118" width="12.625" bestFit="1" customWidth="1"/>
    <col min="119" max="119" width="2.5" customWidth="1"/>
    <col min="121" max="121" width="12.5" bestFit="1" customWidth="1"/>
    <col min="122" max="122" width="6.375" customWidth="1"/>
    <col min="123" max="123" width="14.875" bestFit="1" customWidth="1"/>
    <col min="124" max="124" width="6" customWidth="1"/>
    <col min="125" max="125" width="12.625" bestFit="1" customWidth="1"/>
    <col min="126" max="126" width="2.5" customWidth="1"/>
    <col min="128" max="128" width="12.5" bestFit="1" customWidth="1"/>
    <col min="129" max="129" width="6.375" customWidth="1"/>
    <col min="130" max="130" width="14.875" bestFit="1" customWidth="1"/>
    <col min="131" max="131" width="6" customWidth="1"/>
    <col min="132" max="132" width="12.625" bestFit="1" customWidth="1"/>
  </cols>
  <sheetData>
    <row r="1" spans="2:132" ht="33.75">
      <c r="B1" s="5" t="s">
        <v>0</v>
      </c>
      <c r="D1" s="5"/>
      <c r="G1" s="15" t="s">
        <v>36</v>
      </c>
      <c r="I1" s="15" t="s">
        <v>36</v>
      </c>
      <c r="J1" s="15" t="s">
        <v>36</v>
      </c>
      <c r="K1" s="15" t="s">
        <v>36</v>
      </c>
    </row>
    <row r="2" spans="2:132">
      <c r="I2" s="25" t="s">
        <v>27</v>
      </c>
      <c r="J2" s="25"/>
      <c r="K2" s="25"/>
      <c r="L2" s="25"/>
      <c r="O2" s="25" t="s">
        <v>167</v>
      </c>
      <c r="P2" s="25"/>
      <c r="Q2" s="25"/>
      <c r="R2" s="25"/>
      <c r="S2" s="25"/>
      <c r="T2" s="25"/>
      <c r="V2" s="25" t="s">
        <v>168</v>
      </c>
      <c r="W2" s="25"/>
      <c r="X2" s="25"/>
      <c r="Y2" s="25"/>
      <c r="Z2" s="25"/>
      <c r="AA2" s="25"/>
      <c r="AC2" s="25" t="s">
        <v>169</v>
      </c>
      <c r="AD2" s="25"/>
      <c r="AE2" s="25"/>
      <c r="AF2" s="25"/>
      <c r="AG2" s="25"/>
      <c r="AH2" s="25"/>
      <c r="AJ2" s="25" t="s">
        <v>170</v>
      </c>
      <c r="AK2" s="25"/>
      <c r="AL2" s="25"/>
      <c r="AM2" s="25"/>
      <c r="AN2" s="25"/>
      <c r="AO2" s="25"/>
      <c r="AQ2" s="25" t="s">
        <v>171</v>
      </c>
      <c r="AR2" s="25"/>
      <c r="AS2" s="25"/>
      <c r="AT2" s="25"/>
      <c r="AU2" s="25"/>
      <c r="AV2" s="25"/>
      <c r="AX2" s="25" t="s">
        <v>172</v>
      </c>
      <c r="AY2" s="25"/>
      <c r="AZ2" s="25"/>
      <c r="BA2" s="25"/>
      <c r="BB2" s="25"/>
      <c r="BC2" s="25"/>
      <c r="BE2" s="25" t="s">
        <v>173</v>
      </c>
      <c r="BF2" s="25"/>
      <c r="BG2" s="25"/>
      <c r="BH2" s="25"/>
      <c r="BI2" s="25"/>
      <c r="BJ2" s="25"/>
      <c r="BL2" s="25" t="s">
        <v>174</v>
      </c>
      <c r="BM2" s="25"/>
      <c r="BN2" s="25"/>
      <c r="BO2" s="25"/>
      <c r="BP2" s="25"/>
      <c r="BQ2" s="25"/>
      <c r="BS2" s="25" t="s">
        <v>175</v>
      </c>
      <c r="BT2" s="25"/>
      <c r="BU2" s="25"/>
      <c r="BV2" s="25"/>
      <c r="BW2" s="25"/>
      <c r="BX2" s="25"/>
      <c r="BZ2" s="25" t="s">
        <v>176</v>
      </c>
      <c r="CA2" s="25"/>
      <c r="CB2" s="25"/>
      <c r="CC2" s="25"/>
      <c r="CD2" s="25"/>
      <c r="CE2" s="25"/>
      <c r="CG2" s="25" t="s">
        <v>177</v>
      </c>
      <c r="CH2" s="25"/>
      <c r="CI2" s="25"/>
      <c r="CJ2" s="25"/>
      <c r="CK2" s="25"/>
      <c r="CL2" s="25"/>
      <c r="CN2" s="25" t="s">
        <v>178</v>
      </c>
      <c r="CO2" s="25"/>
      <c r="CP2" s="25"/>
      <c r="CQ2" s="25"/>
      <c r="CR2" s="25"/>
      <c r="CS2" s="25"/>
      <c r="CU2" s="25" t="s">
        <v>179</v>
      </c>
      <c r="CV2" s="25"/>
      <c r="CW2" s="25"/>
      <c r="CX2" s="25"/>
      <c r="CY2" s="25"/>
      <c r="CZ2" s="25"/>
      <c r="DB2" s="25" t="s">
        <v>180</v>
      </c>
      <c r="DC2" s="25"/>
      <c r="DD2" s="25"/>
      <c r="DE2" s="25"/>
      <c r="DF2" s="25"/>
      <c r="DG2" s="25"/>
      <c r="DI2" s="25" t="s">
        <v>181</v>
      </c>
      <c r="DJ2" s="25"/>
      <c r="DK2" s="25"/>
      <c r="DL2" s="25"/>
      <c r="DM2" s="25"/>
      <c r="DN2" s="25"/>
      <c r="DP2" s="25" t="s">
        <v>182</v>
      </c>
      <c r="DQ2" s="25"/>
      <c r="DR2" s="25"/>
      <c r="DS2" s="25"/>
      <c r="DT2" s="25"/>
      <c r="DU2" s="25"/>
      <c r="DW2" s="25" t="s">
        <v>183</v>
      </c>
      <c r="DX2" s="25"/>
      <c r="DY2" s="25"/>
      <c r="DZ2" s="25"/>
      <c r="EA2" s="25"/>
      <c r="EB2" s="25"/>
    </row>
    <row r="3" spans="2:132">
      <c r="B3" s="6" t="s">
        <v>26</v>
      </c>
      <c r="C3" s="6" t="s">
        <v>1</v>
      </c>
      <c r="D3" s="6" t="s">
        <v>24</v>
      </c>
      <c r="E3" s="7" t="s">
        <v>33</v>
      </c>
      <c r="F3" s="6" t="s">
        <v>29</v>
      </c>
      <c r="G3" s="6" t="s">
        <v>34</v>
      </c>
      <c r="I3" s="7" t="s">
        <v>11</v>
      </c>
      <c r="J3" s="7" t="s">
        <v>2</v>
      </c>
      <c r="K3" s="7" t="s">
        <v>3</v>
      </c>
      <c r="L3" s="7" t="s">
        <v>12</v>
      </c>
      <c r="O3" s="6" t="s">
        <v>11</v>
      </c>
      <c r="P3" s="6" t="s">
        <v>2</v>
      </c>
      <c r="Q3" s="6" t="s">
        <v>35</v>
      </c>
      <c r="R3" s="6" t="s">
        <v>3</v>
      </c>
      <c r="S3" s="6" t="s">
        <v>35</v>
      </c>
      <c r="T3" s="6" t="s">
        <v>12</v>
      </c>
      <c r="V3" s="6" t="s">
        <v>11</v>
      </c>
      <c r="W3" s="6" t="s">
        <v>2</v>
      </c>
      <c r="X3" s="6" t="s">
        <v>35</v>
      </c>
      <c r="Y3" s="6" t="s">
        <v>3</v>
      </c>
      <c r="Z3" s="6" t="s">
        <v>35</v>
      </c>
      <c r="AA3" s="6" t="s">
        <v>12</v>
      </c>
      <c r="AC3" s="6" t="s">
        <v>11</v>
      </c>
      <c r="AD3" s="6" t="s">
        <v>2</v>
      </c>
      <c r="AE3" s="6" t="s">
        <v>35</v>
      </c>
      <c r="AF3" s="6" t="s">
        <v>3</v>
      </c>
      <c r="AG3" s="6" t="s">
        <v>35</v>
      </c>
      <c r="AH3" s="6" t="s">
        <v>12</v>
      </c>
      <c r="AJ3" s="6" t="s">
        <v>11</v>
      </c>
      <c r="AK3" s="6" t="s">
        <v>2</v>
      </c>
      <c r="AL3" s="6" t="s">
        <v>35</v>
      </c>
      <c r="AM3" s="6" t="s">
        <v>3</v>
      </c>
      <c r="AN3" s="6" t="s">
        <v>35</v>
      </c>
      <c r="AO3" s="6" t="s">
        <v>12</v>
      </c>
      <c r="AQ3" s="6" t="s">
        <v>11</v>
      </c>
      <c r="AR3" s="6" t="s">
        <v>2</v>
      </c>
      <c r="AS3" s="6" t="s">
        <v>35</v>
      </c>
      <c r="AT3" s="6" t="s">
        <v>3</v>
      </c>
      <c r="AU3" s="6" t="s">
        <v>35</v>
      </c>
      <c r="AV3" s="6" t="s">
        <v>12</v>
      </c>
      <c r="AX3" s="6" t="s">
        <v>11</v>
      </c>
      <c r="AY3" s="6" t="s">
        <v>2</v>
      </c>
      <c r="AZ3" s="6" t="s">
        <v>35</v>
      </c>
      <c r="BA3" s="6" t="s">
        <v>3</v>
      </c>
      <c r="BB3" s="6" t="s">
        <v>35</v>
      </c>
      <c r="BC3" s="6" t="s">
        <v>12</v>
      </c>
      <c r="BE3" s="6" t="s">
        <v>11</v>
      </c>
      <c r="BF3" s="6" t="s">
        <v>2</v>
      </c>
      <c r="BG3" s="6" t="s">
        <v>35</v>
      </c>
      <c r="BH3" s="6" t="s">
        <v>3</v>
      </c>
      <c r="BI3" s="6" t="s">
        <v>35</v>
      </c>
      <c r="BJ3" s="6" t="s">
        <v>12</v>
      </c>
      <c r="BL3" s="6" t="s">
        <v>11</v>
      </c>
      <c r="BM3" s="6" t="s">
        <v>2</v>
      </c>
      <c r="BN3" s="6" t="s">
        <v>35</v>
      </c>
      <c r="BO3" s="6" t="s">
        <v>3</v>
      </c>
      <c r="BP3" s="6" t="s">
        <v>35</v>
      </c>
      <c r="BQ3" s="6" t="s">
        <v>12</v>
      </c>
      <c r="BS3" s="6" t="s">
        <v>11</v>
      </c>
      <c r="BT3" s="6" t="s">
        <v>2</v>
      </c>
      <c r="BU3" s="6" t="s">
        <v>35</v>
      </c>
      <c r="BV3" s="6" t="s">
        <v>3</v>
      </c>
      <c r="BW3" s="6" t="s">
        <v>35</v>
      </c>
      <c r="BX3" s="6" t="s">
        <v>12</v>
      </c>
      <c r="BZ3" s="6" t="s">
        <v>11</v>
      </c>
      <c r="CA3" s="6" t="s">
        <v>2</v>
      </c>
      <c r="CB3" s="6" t="s">
        <v>35</v>
      </c>
      <c r="CC3" s="6" t="s">
        <v>3</v>
      </c>
      <c r="CD3" s="6" t="s">
        <v>35</v>
      </c>
      <c r="CE3" s="6" t="s">
        <v>12</v>
      </c>
      <c r="CG3" s="6" t="s">
        <v>11</v>
      </c>
      <c r="CH3" s="6" t="s">
        <v>2</v>
      </c>
      <c r="CI3" s="6" t="s">
        <v>35</v>
      </c>
      <c r="CJ3" s="6" t="s">
        <v>3</v>
      </c>
      <c r="CK3" s="6" t="s">
        <v>35</v>
      </c>
      <c r="CL3" s="6" t="s">
        <v>12</v>
      </c>
      <c r="CN3" s="6" t="s">
        <v>11</v>
      </c>
      <c r="CO3" s="6" t="s">
        <v>2</v>
      </c>
      <c r="CP3" s="6" t="s">
        <v>35</v>
      </c>
      <c r="CQ3" s="6" t="s">
        <v>3</v>
      </c>
      <c r="CR3" s="6" t="s">
        <v>35</v>
      </c>
      <c r="CS3" s="6" t="s">
        <v>12</v>
      </c>
      <c r="CU3" s="6" t="s">
        <v>11</v>
      </c>
      <c r="CV3" s="6" t="s">
        <v>2</v>
      </c>
      <c r="CW3" s="6" t="s">
        <v>35</v>
      </c>
      <c r="CX3" s="6" t="s">
        <v>3</v>
      </c>
      <c r="CY3" s="6" t="s">
        <v>35</v>
      </c>
      <c r="CZ3" s="6" t="s">
        <v>12</v>
      </c>
      <c r="DB3" s="6" t="s">
        <v>11</v>
      </c>
      <c r="DC3" s="6" t="s">
        <v>2</v>
      </c>
      <c r="DD3" s="6" t="s">
        <v>35</v>
      </c>
      <c r="DE3" s="6" t="s">
        <v>3</v>
      </c>
      <c r="DF3" s="6" t="s">
        <v>35</v>
      </c>
      <c r="DG3" s="6" t="s">
        <v>12</v>
      </c>
      <c r="DI3" s="6" t="s">
        <v>11</v>
      </c>
      <c r="DJ3" s="6" t="s">
        <v>2</v>
      </c>
      <c r="DK3" s="6" t="s">
        <v>35</v>
      </c>
      <c r="DL3" s="6" t="s">
        <v>3</v>
      </c>
      <c r="DM3" s="6" t="s">
        <v>35</v>
      </c>
      <c r="DN3" s="6" t="s">
        <v>12</v>
      </c>
      <c r="DP3" s="6" t="s">
        <v>11</v>
      </c>
      <c r="DQ3" s="6" t="s">
        <v>2</v>
      </c>
      <c r="DR3" s="6" t="s">
        <v>35</v>
      </c>
      <c r="DS3" s="6" t="s">
        <v>3</v>
      </c>
      <c r="DT3" s="6" t="s">
        <v>35</v>
      </c>
      <c r="DU3" s="6" t="s">
        <v>12</v>
      </c>
      <c r="DW3" s="6" t="s">
        <v>11</v>
      </c>
      <c r="DX3" s="6" t="s">
        <v>2</v>
      </c>
      <c r="DY3" s="6" t="s">
        <v>35</v>
      </c>
      <c r="DZ3" s="6" t="s">
        <v>3</v>
      </c>
      <c r="EA3" s="6" t="s">
        <v>35</v>
      </c>
      <c r="EB3" s="6" t="s">
        <v>12</v>
      </c>
    </row>
    <row r="4" spans="2:132">
      <c r="B4" s="3" t="s">
        <v>27</v>
      </c>
      <c r="C4" s="3" t="s">
        <v>103</v>
      </c>
      <c r="D4" s="22">
        <v>44943</v>
      </c>
      <c r="E4" s="11">
        <v>6</v>
      </c>
      <c r="G4" s="12">
        <f>+SUM(G5:G10)</f>
        <v>0.4</v>
      </c>
      <c r="I4" s="14">
        <f>+SUM(I5:I10)</f>
        <v>0</v>
      </c>
      <c r="J4" s="13">
        <f>+SUMPRODUCT(G5:G10,J5:J10)</f>
        <v>0</v>
      </c>
      <c r="K4" s="13">
        <f>+SUMPRODUCT(G5:G10,K5:K10)</f>
        <v>0</v>
      </c>
      <c r="L4" s="11"/>
      <c r="O4" s="14">
        <f>+SUM(O5:O10)</f>
        <v>0</v>
      </c>
      <c r="V4" s="14">
        <f>+SUM(V5:V10)</f>
        <v>0</v>
      </c>
      <c r="AC4" s="14">
        <f>+SUM(AC5:AC10)</f>
        <v>0</v>
      </c>
      <c r="AJ4" s="14">
        <f>+SUM(AJ5:AJ10)</f>
        <v>0</v>
      </c>
      <c r="AQ4" s="14">
        <f>+SUM(AQ5:AQ10)</f>
        <v>0</v>
      </c>
      <c r="AX4" s="14">
        <f>+SUM(AX5:AX10)</f>
        <v>0</v>
      </c>
      <c r="BE4" s="14">
        <f>+SUM(BE5:BE10)</f>
        <v>0</v>
      </c>
      <c r="BL4" s="14">
        <f>+SUM(BL5:BL10)</f>
        <v>0</v>
      </c>
      <c r="BS4" s="14">
        <f>+SUM(BS5:BS10)</f>
        <v>0</v>
      </c>
      <c r="BZ4" s="14">
        <f>+SUM(BZ5:BZ10)</f>
        <v>0</v>
      </c>
      <c r="CG4" s="14">
        <f>+SUM(CG5:CG10)</f>
        <v>0</v>
      </c>
      <c r="CN4" s="14">
        <f>+SUM(CN5:CN10)</f>
        <v>0</v>
      </c>
      <c r="CU4" s="14">
        <f>+SUM(CU5:CU10)</f>
        <v>0</v>
      </c>
      <c r="DB4" s="14">
        <f>+SUM(DB5:DB10)</f>
        <v>0</v>
      </c>
      <c r="DI4" s="14">
        <f>+SUM(DI5:DI10)</f>
        <v>0</v>
      </c>
      <c r="DP4" s="14">
        <f>+SUM(DP5:DP10)</f>
        <v>0</v>
      </c>
      <c r="DW4" s="14">
        <f>+SUM(DW5:DW10)</f>
        <v>0</v>
      </c>
    </row>
    <row r="5" spans="2:132" outlineLevel="1">
      <c r="B5" t="s">
        <v>28</v>
      </c>
      <c r="C5" t="s">
        <v>103</v>
      </c>
      <c r="E5" s="11"/>
      <c r="F5" t="s">
        <v>90</v>
      </c>
      <c r="G5" s="12">
        <v>0.1</v>
      </c>
      <c r="I5" s="11">
        <f>+SUMIF($N$3:$YD$3,I$3,$N5:$YD5)</f>
        <v>0</v>
      </c>
      <c r="J5" s="13" cm="1">
        <f t="array" ref="J5">MAX(IF($N$3:$CL$3=$J$3,N5:CL5))</f>
        <v>0</v>
      </c>
      <c r="K5" s="13" cm="1">
        <f t="array" ref="K5">MAX(IF($N$3:$CL$3=$J$3,N5:CL5))</f>
        <v>0</v>
      </c>
      <c r="L5" s="11"/>
      <c r="P5" s="12"/>
      <c r="Q5" s="12">
        <v>0.8</v>
      </c>
      <c r="R5" s="12"/>
      <c r="S5" s="12">
        <v>0.8</v>
      </c>
      <c r="W5" s="12"/>
      <c r="X5" s="12">
        <v>0.8</v>
      </c>
      <c r="Y5" s="12"/>
      <c r="Z5" s="12">
        <v>0.8</v>
      </c>
      <c r="AD5" s="12"/>
      <c r="AE5" s="12">
        <v>0.8</v>
      </c>
      <c r="AF5" s="12"/>
      <c r="AG5" s="12">
        <v>0.8</v>
      </c>
      <c r="AK5" s="12"/>
      <c r="AL5" s="12">
        <v>0.8</v>
      </c>
      <c r="AM5" s="12"/>
      <c r="AN5" s="12">
        <v>0.8</v>
      </c>
      <c r="AR5" s="12"/>
      <c r="AS5" s="12">
        <v>0.8</v>
      </c>
      <c r="AT5" s="12"/>
      <c r="AU5" s="12">
        <v>0.8</v>
      </c>
      <c r="AY5" s="12"/>
      <c r="AZ5" s="12">
        <v>0.8</v>
      </c>
      <c r="BA5" s="12"/>
      <c r="BB5" s="12">
        <v>0.8</v>
      </c>
      <c r="BF5" s="12"/>
      <c r="BG5" s="12">
        <v>1</v>
      </c>
      <c r="BH5" s="12"/>
      <c r="BI5" s="12">
        <v>1</v>
      </c>
      <c r="BJ5" s="12"/>
      <c r="BM5" s="12"/>
      <c r="BN5" s="12">
        <v>1</v>
      </c>
      <c r="BO5" s="12"/>
      <c r="BP5" s="12">
        <v>1</v>
      </c>
      <c r="BT5" s="12"/>
      <c r="BU5" s="12">
        <v>1</v>
      </c>
      <c r="BV5" s="12"/>
      <c r="BW5" s="12">
        <v>1</v>
      </c>
      <c r="CA5" s="12"/>
      <c r="CB5" s="12">
        <v>1</v>
      </c>
      <c r="CC5" s="12"/>
      <c r="CD5" s="12">
        <v>1</v>
      </c>
      <c r="CH5" s="12"/>
      <c r="CI5" s="12">
        <v>1</v>
      </c>
      <c r="CJ5" s="12"/>
      <c r="CK5" s="12">
        <v>1</v>
      </c>
      <c r="CO5" s="12"/>
      <c r="CP5" s="12">
        <v>1</v>
      </c>
      <c r="CQ5" s="12"/>
      <c r="CR5" s="12">
        <v>1</v>
      </c>
      <c r="CV5" s="12"/>
      <c r="CW5" s="12"/>
      <c r="CX5" s="12"/>
      <c r="CY5" s="12"/>
      <c r="DC5" s="12"/>
      <c r="DD5" s="12"/>
      <c r="DE5" s="12"/>
      <c r="DF5" s="12"/>
      <c r="DJ5" s="12"/>
      <c r="DK5" s="12"/>
      <c r="DL5" s="12"/>
      <c r="DM5" s="12"/>
      <c r="DQ5" s="12"/>
      <c r="DR5" s="12"/>
      <c r="DS5" s="12"/>
      <c r="DT5" s="12"/>
      <c r="DX5" s="12"/>
      <c r="DY5" s="12">
        <v>1</v>
      </c>
      <c r="DZ5" s="12"/>
      <c r="EA5" s="12">
        <v>1</v>
      </c>
    </row>
    <row r="6" spans="2:132" outlineLevel="1">
      <c r="B6" t="s">
        <v>28</v>
      </c>
      <c r="C6" t="s">
        <v>103</v>
      </c>
      <c r="E6" s="11"/>
      <c r="F6" t="s">
        <v>91</v>
      </c>
      <c r="G6" s="12">
        <v>0.05</v>
      </c>
      <c r="I6" s="11">
        <f>+SUMIF($N$3:$YD$3,I$3,$N6:$YD6)</f>
        <v>0</v>
      </c>
      <c r="J6" s="13" cm="1">
        <f t="array" ref="J6">MAX(IF($N$3:$CL$3=$J$3,N6:CL6))</f>
        <v>0</v>
      </c>
      <c r="K6" s="13" cm="1">
        <f t="array" ref="K6">MAX(IF($N$3:$CL$3=$J$3,N6:CL6))</f>
        <v>0</v>
      </c>
      <c r="L6" s="11"/>
      <c r="P6" s="12"/>
      <c r="Q6" s="12">
        <v>0.8</v>
      </c>
      <c r="R6" s="12"/>
      <c r="S6" s="12">
        <v>0.8</v>
      </c>
      <c r="W6" s="12"/>
      <c r="X6" s="12">
        <v>0.8</v>
      </c>
      <c r="Y6" s="12"/>
      <c r="Z6" s="12">
        <v>0.8</v>
      </c>
      <c r="AD6" s="12"/>
      <c r="AE6" s="12">
        <v>0.8</v>
      </c>
      <c r="AF6" s="12"/>
      <c r="AG6" s="12">
        <v>0.8</v>
      </c>
      <c r="AK6" s="12"/>
      <c r="AL6" s="12">
        <v>0.8</v>
      </c>
      <c r="AM6" s="12"/>
      <c r="AN6" s="12">
        <v>0.8</v>
      </c>
      <c r="AR6" s="12"/>
      <c r="AS6" s="12">
        <v>0.8</v>
      </c>
      <c r="AT6" s="12"/>
      <c r="AU6" s="12">
        <v>0.8</v>
      </c>
      <c r="AY6" s="12"/>
      <c r="AZ6" s="12">
        <v>0.8</v>
      </c>
      <c r="BA6" s="12"/>
      <c r="BB6" s="12">
        <v>0.8</v>
      </c>
      <c r="BF6" s="12"/>
      <c r="BG6" s="12">
        <v>0.8</v>
      </c>
      <c r="BH6" s="12"/>
      <c r="BI6" s="12">
        <v>0.8</v>
      </c>
      <c r="BJ6" s="12"/>
      <c r="BM6" s="12"/>
      <c r="BN6" s="12">
        <v>1</v>
      </c>
      <c r="BO6" s="12"/>
      <c r="BP6" s="12">
        <v>1</v>
      </c>
      <c r="BT6" s="12"/>
      <c r="BU6" s="12">
        <v>1</v>
      </c>
      <c r="BV6" s="12"/>
      <c r="BW6" s="12">
        <v>1</v>
      </c>
      <c r="CA6" s="12"/>
      <c r="CB6" s="12">
        <v>1</v>
      </c>
      <c r="CC6" s="12"/>
      <c r="CD6" s="12">
        <v>1</v>
      </c>
      <c r="CH6" s="12"/>
      <c r="CI6" s="12">
        <v>1</v>
      </c>
      <c r="CJ6" s="12"/>
      <c r="CK6" s="12">
        <v>1</v>
      </c>
      <c r="CO6" s="12"/>
      <c r="CP6" s="12">
        <v>1</v>
      </c>
      <c r="CQ6" s="12"/>
      <c r="CR6" s="12">
        <v>1</v>
      </c>
      <c r="CV6" s="12"/>
      <c r="CW6" s="12"/>
      <c r="CX6" s="12"/>
      <c r="CY6" s="12"/>
      <c r="DC6" s="12"/>
      <c r="DD6" s="12"/>
      <c r="DE6" s="12"/>
      <c r="DF6" s="12"/>
      <c r="DJ6" s="12"/>
      <c r="DK6" s="12"/>
      <c r="DL6" s="12"/>
      <c r="DM6" s="12"/>
      <c r="DQ6" s="12"/>
      <c r="DR6" s="12"/>
      <c r="DS6" s="12"/>
      <c r="DT6" s="12"/>
      <c r="DX6" s="12"/>
      <c r="DY6" s="12">
        <v>1</v>
      </c>
      <c r="DZ6" s="12"/>
      <c r="EA6" s="12">
        <v>1</v>
      </c>
    </row>
    <row r="7" spans="2:132" outlineLevel="1">
      <c r="B7" t="s">
        <v>28</v>
      </c>
      <c r="C7" t="s">
        <v>103</v>
      </c>
      <c r="E7" s="11"/>
      <c r="F7" t="s">
        <v>92</v>
      </c>
      <c r="G7" s="12">
        <v>0.05</v>
      </c>
      <c r="I7" s="11">
        <f>+SUMIF($N$3:$YD$3,I$3,$N7:$YD7)</f>
        <v>0</v>
      </c>
      <c r="J7" s="13" cm="1">
        <f t="array" ref="J7">MAX(IF($N$3:$CL$3=$J$3,N7:CL7))</f>
        <v>0</v>
      </c>
      <c r="K7" s="13" cm="1">
        <f t="array" ref="K7">MAX(IF($N$3:$CL$3=$J$3,N7:CL7))</f>
        <v>0</v>
      </c>
      <c r="L7" s="11"/>
      <c r="P7" s="12"/>
      <c r="Q7" s="12">
        <v>0.8</v>
      </c>
      <c r="R7" s="12"/>
      <c r="S7" s="12">
        <v>0.8</v>
      </c>
      <c r="W7" s="12"/>
      <c r="X7" s="12">
        <v>0.8</v>
      </c>
      <c r="Y7" s="12"/>
      <c r="Z7" s="12">
        <v>0.8</v>
      </c>
      <c r="AD7" s="12"/>
      <c r="AE7" s="12">
        <v>0.8</v>
      </c>
      <c r="AF7" s="12"/>
      <c r="AG7" s="12">
        <v>0.8</v>
      </c>
      <c r="AK7" s="12"/>
      <c r="AL7" s="12">
        <v>0.8</v>
      </c>
      <c r="AM7" s="12"/>
      <c r="AN7" s="12">
        <v>0.8</v>
      </c>
      <c r="AR7" s="12"/>
      <c r="AS7" s="12">
        <v>0.8</v>
      </c>
      <c r="AT7" s="12"/>
      <c r="AU7" s="12">
        <v>0.8</v>
      </c>
      <c r="AY7" s="12"/>
      <c r="AZ7" s="12">
        <v>0.8</v>
      </c>
      <c r="BA7" s="12"/>
      <c r="BB7" s="12">
        <v>0.8</v>
      </c>
      <c r="BF7" s="12"/>
      <c r="BG7" s="12">
        <v>0.8</v>
      </c>
      <c r="BH7" s="12"/>
      <c r="BI7" s="12">
        <v>0.8</v>
      </c>
      <c r="BJ7" s="12"/>
      <c r="BM7" s="12"/>
      <c r="BN7" s="12">
        <v>1</v>
      </c>
      <c r="BO7" s="12"/>
      <c r="BP7" s="12">
        <v>1</v>
      </c>
      <c r="BT7" s="12"/>
      <c r="BU7" s="12">
        <v>1</v>
      </c>
      <c r="BV7" s="12"/>
      <c r="BW7" s="12">
        <v>1</v>
      </c>
      <c r="CA7" s="12"/>
      <c r="CB7" s="12">
        <v>1</v>
      </c>
      <c r="CC7" s="12"/>
      <c r="CD7" s="12">
        <v>1</v>
      </c>
      <c r="CH7" s="12"/>
      <c r="CI7" s="12">
        <v>1</v>
      </c>
      <c r="CJ7" s="12"/>
      <c r="CK7" s="12">
        <v>1</v>
      </c>
      <c r="CO7" s="12"/>
      <c r="CP7" s="12">
        <v>1</v>
      </c>
      <c r="CQ7" s="12"/>
      <c r="CR7" s="12">
        <v>1</v>
      </c>
      <c r="CV7" s="12"/>
      <c r="CW7" s="12"/>
      <c r="CX7" s="12"/>
      <c r="CY7" s="12"/>
      <c r="DC7" s="12"/>
      <c r="DD7" s="12"/>
      <c r="DE7" s="12"/>
      <c r="DF7" s="12"/>
      <c r="DJ7" s="12"/>
      <c r="DK7" s="12"/>
      <c r="DL7" s="12"/>
      <c r="DM7" s="12"/>
      <c r="DQ7" s="12"/>
      <c r="DR7" s="12"/>
      <c r="DS7" s="12"/>
      <c r="DT7" s="12"/>
      <c r="DX7" s="12"/>
      <c r="DY7" s="12">
        <v>1</v>
      </c>
      <c r="DZ7" s="12"/>
      <c r="EA7" s="12">
        <v>1</v>
      </c>
    </row>
    <row r="8" spans="2:132" outlineLevel="1">
      <c r="B8" t="s">
        <v>28</v>
      </c>
      <c r="C8" t="s">
        <v>103</v>
      </c>
      <c r="E8" s="11"/>
      <c r="F8" t="s">
        <v>93</v>
      </c>
      <c r="G8" s="12">
        <v>0.05</v>
      </c>
      <c r="I8" s="11">
        <f>+SUMIF($N$3:$YD$3,I$3,$N8:$YD8)</f>
        <v>0</v>
      </c>
      <c r="J8" s="13" cm="1">
        <f t="array" ref="J8">MAX(IF($N$3:$CL$3=$J$3,N8:CL8))</f>
        <v>0</v>
      </c>
      <c r="K8" s="13" cm="1">
        <f t="array" ref="K8">MAX(IF($N$3:$CL$3=$J$3,N8:CL8))</f>
        <v>0</v>
      </c>
      <c r="L8" s="11"/>
      <c r="P8" s="12"/>
      <c r="Q8" s="12">
        <v>0.5</v>
      </c>
      <c r="R8" s="12"/>
      <c r="S8" s="12">
        <v>0.5</v>
      </c>
      <c r="W8" s="12"/>
      <c r="X8" s="12">
        <v>0.8</v>
      </c>
      <c r="Y8" s="12"/>
      <c r="Z8" s="12">
        <v>0.8</v>
      </c>
      <c r="AD8" s="12"/>
      <c r="AE8" s="12">
        <v>0.8</v>
      </c>
      <c r="AF8" s="12"/>
      <c r="AG8" s="12">
        <v>0.8</v>
      </c>
      <c r="AK8" s="12"/>
      <c r="AL8" s="12">
        <v>0.8</v>
      </c>
      <c r="AM8" s="12"/>
      <c r="AN8" s="12">
        <v>0.8</v>
      </c>
      <c r="AR8" s="12"/>
      <c r="AS8" s="12">
        <v>0.8</v>
      </c>
      <c r="AT8" s="12"/>
      <c r="AU8" s="12">
        <v>0.8</v>
      </c>
      <c r="AY8" s="12"/>
      <c r="AZ8" s="12">
        <v>0.8</v>
      </c>
      <c r="BA8" s="12"/>
      <c r="BB8" s="12">
        <v>0.8</v>
      </c>
      <c r="BF8" s="12"/>
      <c r="BG8" s="12">
        <v>0.8</v>
      </c>
      <c r="BH8" s="12"/>
      <c r="BI8" s="12">
        <v>0.8</v>
      </c>
      <c r="BJ8" s="12"/>
      <c r="BM8" s="12"/>
      <c r="BN8" s="12">
        <v>0.8</v>
      </c>
      <c r="BO8" s="12"/>
      <c r="BP8" s="12">
        <v>0.8</v>
      </c>
      <c r="BT8" s="12"/>
      <c r="BU8" s="12">
        <v>1</v>
      </c>
      <c r="BV8" s="12"/>
      <c r="BW8" s="12">
        <v>1</v>
      </c>
      <c r="CA8" s="12"/>
      <c r="CB8" s="12">
        <v>1</v>
      </c>
      <c r="CC8" s="12"/>
      <c r="CD8" s="12">
        <v>1</v>
      </c>
      <c r="CH8" s="12"/>
      <c r="CI8" s="12">
        <v>1</v>
      </c>
      <c r="CJ8" s="12"/>
      <c r="CK8" s="12">
        <v>1</v>
      </c>
      <c r="CO8" s="12"/>
      <c r="CP8" s="12">
        <v>1</v>
      </c>
      <c r="CQ8" s="12"/>
      <c r="CR8" s="12">
        <v>1</v>
      </c>
      <c r="CV8" s="12"/>
      <c r="CW8" s="12"/>
      <c r="CX8" s="12"/>
      <c r="CY8" s="12"/>
      <c r="DC8" s="12"/>
      <c r="DD8" s="12"/>
      <c r="DE8" s="12"/>
      <c r="DF8" s="12"/>
      <c r="DJ8" s="12"/>
      <c r="DK8" s="12"/>
      <c r="DL8" s="12"/>
      <c r="DM8" s="12"/>
      <c r="DQ8" s="12"/>
      <c r="DR8" s="12"/>
      <c r="DS8" s="12"/>
      <c r="DT8" s="12"/>
      <c r="DX8" s="12"/>
      <c r="DY8" s="12">
        <v>1</v>
      </c>
      <c r="DZ8" s="12"/>
      <c r="EA8" s="12">
        <v>1</v>
      </c>
    </row>
    <row r="9" spans="2:132" outlineLevel="1">
      <c r="B9" t="s">
        <v>28</v>
      </c>
      <c r="C9" t="s">
        <v>103</v>
      </c>
      <c r="E9" s="11"/>
      <c r="F9" t="s">
        <v>94</v>
      </c>
      <c r="G9" s="12">
        <v>0.05</v>
      </c>
      <c r="I9" s="11">
        <f>+SUMIF($N$3:$YD$3,I$3,$N9:$YD9)</f>
        <v>0</v>
      </c>
      <c r="J9" s="13" cm="1">
        <f t="array" ref="J9">MAX(IF($N$3:$CL$3=$J$3,N9:CL9))</f>
        <v>0</v>
      </c>
      <c r="K9" s="13" cm="1">
        <f t="array" ref="K9">MAX(IF($N$3:$CL$3=$J$3,N9:CL9))</f>
        <v>0</v>
      </c>
      <c r="L9" s="11"/>
      <c r="P9" s="12"/>
      <c r="Q9" s="12">
        <v>0.5</v>
      </c>
      <c r="R9" s="12"/>
      <c r="S9" s="12">
        <v>0.5</v>
      </c>
      <c r="W9" s="12"/>
      <c r="X9" s="12">
        <v>0.8</v>
      </c>
      <c r="Y9" s="12"/>
      <c r="Z9" s="12">
        <v>0.8</v>
      </c>
      <c r="AD9" s="12"/>
      <c r="AE9" s="12">
        <v>0.8</v>
      </c>
      <c r="AF9" s="12"/>
      <c r="AG9" s="12">
        <v>0.8</v>
      </c>
      <c r="AK9" s="12"/>
      <c r="AL9" s="12">
        <v>0.8</v>
      </c>
      <c r="AM9" s="12"/>
      <c r="AN9" s="12">
        <v>0.8</v>
      </c>
      <c r="AR9" s="12"/>
      <c r="AS9" s="12">
        <v>0.8</v>
      </c>
      <c r="AT9" s="12"/>
      <c r="AU9" s="12">
        <v>0.8</v>
      </c>
      <c r="AY9" s="12"/>
      <c r="AZ9" s="12">
        <v>0.8</v>
      </c>
      <c r="BA9" s="12"/>
      <c r="BB9" s="12">
        <v>0.8</v>
      </c>
      <c r="BF9" s="12"/>
      <c r="BG9" s="12">
        <v>0.8</v>
      </c>
      <c r="BH9" s="12"/>
      <c r="BI9" s="12">
        <v>0.8</v>
      </c>
      <c r="BJ9" s="12"/>
      <c r="BM9" s="12"/>
      <c r="BN9" s="12">
        <v>0.8</v>
      </c>
      <c r="BO9" s="12"/>
      <c r="BP9" s="12">
        <v>0.8</v>
      </c>
      <c r="BT9" s="12"/>
      <c r="BU9" s="12">
        <v>1</v>
      </c>
      <c r="BV9" s="12"/>
      <c r="BW9" s="12">
        <v>1</v>
      </c>
      <c r="CA9" s="12"/>
      <c r="CB9" s="12">
        <v>1</v>
      </c>
      <c r="CC9" s="12"/>
      <c r="CD9" s="12">
        <v>1</v>
      </c>
      <c r="CH9" s="12"/>
      <c r="CI9" s="12">
        <v>1</v>
      </c>
      <c r="CJ9" s="12"/>
      <c r="CK9" s="12">
        <v>1</v>
      </c>
      <c r="CO9" s="12"/>
      <c r="CP9" s="12">
        <v>1</v>
      </c>
      <c r="CQ9" s="12"/>
      <c r="CR9" s="12">
        <v>1</v>
      </c>
      <c r="CV9" s="12"/>
      <c r="CW9" s="12"/>
      <c r="CX9" s="12"/>
      <c r="CY9" s="12"/>
      <c r="DC9" s="12"/>
      <c r="DD9" s="12"/>
      <c r="DE9" s="12"/>
      <c r="DF9" s="12"/>
      <c r="DJ9" s="12"/>
      <c r="DK9" s="12"/>
      <c r="DL9" s="12"/>
      <c r="DM9" s="12"/>
      <c r="DQ9" s="12"/>
      <c r="DR9" s="12"/>
      <c r="DS9" s="12"/>
      <c r="DT9" s="12"/>
      <c r="DX9" s="12"/>
      <c r="DY9" s="12">
        <v>1</v>
      </c>
      <c r="DZ9" s="12"/>
      <c r="EA9" s="12">
        <v>1</v>
      </c>
    </row>
    <row r="10" spans="2:132" outlineLevel="1">
      <c r="B10" t="s">
        <v>28</v>
      </c>
      <c r="C10" t="s">
        <v>103</v>
      </c>
      <c r="E10" s="11"/>
      <c r="F10" t="s">
        <v>95</v>
      </c>
      <c r="G10" s="12">
        <v>0.1</v>
      </c>
      <c r="I10" s="11">
        <f>+SUMIF($N$3:$YD$3,I$3,$N10:$YD10)</f>
        <v>0</v>
      </c>
      <c r="J10" s="13" cm="1">
        <f t="array" ref="J10">MAX(IF($N$3:$CL$3=$J$3,N10:CL10))</f>
        <v>0</v>
      </c>
      <c r="K10" s="13" cm="1">
        <f t="array" ref="K10">MAX(IF($N$3:$CL$3=$J$3,N10:CL10))</f>
        <v>0</v>
      </c>
      <c r="L10" s="11"/>
      <c r="P10" s="12"/>
      <c r="Q10" s="12">
        <v>0.5</v>
      </c>
      <c r="R10" s="12"/>
      <c r="S10" s="12">
        <v>0.5</v>
      </c>
      <c r="W10" s="12"/>
      <c r="X10" s="12">
        <v>0.5</v>
      </c>
      <c r="Y10" s="12"/>
      <c r="Z10" s="12">
        <v>0.5</v>
      </c>
      <c r="AD10" s="12"/>
      <c r="AE10" s="12">
        <v>0.8</v>
      </c>
      <c r="AF10" s="12"/>
      <c r="AG10" s="12">
        <v>0.8</v>
      </c>
      <c r="AK10" s="12"/>
      <c r="AL10" s="12">
        <v>0.8</v>
      </c>
      <c r="AM10" s="12"/>
      <c r="AN10" s="12">
        <v>0.8</v>
      </c>
      <c r="AR10" s="12"/>
      <c r="AS10" s="12">
        <v>0.8</v>
      </c>
      <c r="AT10" s="12"/>
      <c r="AU10" s="12">
        <v>0.8</v>
      </c>
      <c r="AY10" s="12"/>
      <c r="AZ10" s="12">
        <v>0.8</v>
      </c>
      <c r="BA10" s="12"/>
      <c r="BB10" s="12">
        <v>0.8</v>
      </c>
      <c r="BF10" s="12"/>
      <c r="BG10" s="12">
        <v>0.8</v>
      </c>
      <c r="BH10" s="12"/>
      <c r="BI10" s="12">
        <v>0.8</v>
      </c>
      <c r="BJ10" s="12"/>
      <c r="BM10" s="12"/>
      <c r="BN10" s="12">
        <v>0.8</v>
      </c>
      <c r="BO10" s="12"/>
      <c r="BP10" s="12">
        <v>0.8</v>
      </c>
      <c r="BT10" s="12"/>
      <c r="BU10" s="12">
        <v>0.8</v>
      </c>
      <c r="BV10" s="12"/>
      <c r="BW10" s="12">
        <v>0.8</v>
      </c>
      <c r="CA10" s="12"/>
      <c r="CB10" s="12">
        <v>1</v>
      </c>
      <c r="CC10" s="12"/>
      <c r="CD10" s="12">
        <v>1</v>
      </c>
      <c r="CH10" s="12"/>
      <c r="CI10" s="12">
        <v>1</v>
      </c>
      <c r="CJ10" s="12"/>
      <c r="CK10" s="12">
        <v>1</v>
      </c>
      <c r="CO10" s="12"/>
      <c r="CP10" s="12">
        <v>1</v>
      </c>
      <c r="CQ10" s="12"/>
      <c r="CR10" s="12">
        <v>1</v>
      </c>
      <c r="CV10" s="12"/>
      <c r="CW10" s="12"/>
      <c r="CX10" s="12"/>
      <c r="CY10" s="12"/>
      <c r="DC10" s="12"/>
      <c r="DD10" s="12"/>
      <c r="DE10" s="12"/>
      <c r="DF10" s="12"/>
      <c r="DJ10" s="12"/>
      <c r="DK10" s="12"/>
      <c r="DL10" s="12"/>
      <c r="DM10" s="12"/>
      <c r="DQ10" s="12"/>
      <c r="DR10" s="12"/>
      <c r="DS10" s="12"/>
      <c r="DT10" s="12"/>
      <c r="DX10" s="12"/>
      <c r="DY10" s="12">
        <v>1</v>
      </c>
      <c r="DZ10" s="12"/>
      <c r="EA10" s="12">
        <v>1</v>
      </c>
    </row>
    <row r="11" spans="2:132" outlineLevel="1">
      <c r="B11" t="s">
        <v>28</v>
      </c>
      <c r="C11" t="s">
        <v>103</v>
      </c>
      <c r="E11" s="11"/>
      <c r="F11" t="s">
        <v>96</v>
      </c>
      <c r="G11" s="12"/>
      <c r="I11" s="11">
        <f>+SUMIF($N$3:$YD$3,I$3,$N11:$YD11)</f>
        <v>0</v>
      </c>
      <c r="J11" s="13"/>
      <c r="K11" s="13"/>
      <c r="L11" s="11"/>
      <c r="P11" s="12"/>
      <c r="Q11" s="12">
        <v>0.5</v>
      </c>
      <c r="R11" s="12"/>
      <c r="S11" s="12">
        <v>0.5</v>
      </c>
      <c r="W11" s="12"/>
      <c r="X11" s="12">
        <v>0.5</v>
      </c>
      <c r="Y11" s="12"/>
      <c r="Z11" s="12">
        <v>0.5</v>
      </c>
      <c r="AD11" s="12"/>
      <c r="AE11" s="12">
        <v>0.8</v>
      </c>
      <c r="AF11" s="12"/>
      <c r="AG11" s="12">
        <v>0.8</v>
      </c>
      <c r="AK11" s="12"/>
      <c r="AL11" s="12">
        <v>0.8</v>
      </c>
      <c r="AM11" s="12"/>
      <c r="AN11" s="12">
        <v>0.8</v>
      </c>
      <c r="AR11" s="12"/>
      <c r="AS11" s="12">
        <v>0.8</v>
      </c>
      <c r="AT11" s="12"/>
      <c r="AU11" s="12">
        <v>0.8</v>
      </c>
      <c r="AY11" s="12"/>
      <c r="AZ11" s="12">
        <v>0.8</v>
      </c>
      <c r="BA11" s="12"/>
      <c r="BB11" s="12">
        <v>0.8</v>
      </c>
      <c r="BF11" s="12"/>
      <c r="BG11" s="12">
        <v>0.8</v>
      </c>
      <c r="BH11" s="12"/>
      <c r="BI11" s="12">
        <v>0.8</v>
      </c>
      <c r="BJ11" s="12"/>
      <c r="BM11" s="12"/>
      <c r="BN11" s="12">
        <v>0.8</v>
      </c>
      <c r="BO11" s="12"/>
      <c r="BP11" s="12">
        <v>0.8</v>
      </c>
      <c r="BT11" s="12"/>
      <c r="BU11" s="12">
        <v>0.8</v>
      </c>
      <c r="BV11" s="12"/>
      <c r="BW11" s="12">
        <v>0.8</v>
      </c>
      <c r="CA11" s="12"/>
      <c r="CB11" s="12">
        <v>1</v>
      </c>
      <c r="CC11" s="12"/>
      <c r="CD11" s="12">
        <v>1</v>
      </c>
      <c r="CH11" s="12"/>
      <c r="CI11" s="12">
        <v>1</v>
      </c>
      <c r="CJ11" s="12"/>
      <c r="CK11" s="12">
        <v>1</v>
      </c>
      <c r="CO11" s="12"/>
      <c r="CP11" s="12">
        <v>1</v>
      </c>
      <c r="CQ11" s="12"/>
      <c r="CR11" s="12">
        <v>1</v>
      </c>
      <c r="CV11" s="12"/>
      <c r="CW11" s="12"/>
      <c r="CX11" s="12"/>
      <c r="CY11" s="12"/>
      <c r="DC11" s="12"/>
      <c r="DD11" s="12"/>
      <c r="DE11" s="12"/>
      <c r="DF11" s="12"/>
      <c r="DJ11" s="12"/>
      <c r="DK11" s="12"/>
      <c r="DL11" s="12"/>
      <c r="DM11" s="12"/>
      <c r="DQ11" s="12"/>
      <c r="DR11" s="12"/>
      <c r="DS11" s="12"/>
      <c r="DT11" s="12"/>
      <c r="DX11" s="12"/>
      <c r="DY11" s="12">
        <v>1</v>
      </c>
      <c r="DZ11" s="12"/>
      <c r="EA11" s="12">
        <v>1</v>
      </c>
    </row>
    <row r="12" spans="2:132" outlineLevel="1">
      <c r="B12" t="s">
        <v>28</v>
      </c>
      <c r="C12" t="s">
        <v>103</v>
      </c>
      <c r="E12" s="11"/>
      <c r="F12" t="s">
        <v>97</v>
      </c>
      <c r="G12" s="12">
        <f>+SUM(G13:G19)</f>
        <v>0.85</v>
      </c>
      <c r="I12" s="11">
        <f>+SUM(I13:I19)</f>
        <v>0</v>
      </c>
      <c r="J12" s="13">
        <f>+SUMPRODUCT(G13:G19,J13:J19)</f>
        <v>0</v>
      </c>
      <c r="K12" s="13">
        <f>+SUMPRODUCT(G13:G19,K13:K19)</f>
        <v>0</v>
      </c>
      <c r="L12" s="11"/>
      <c r="P12" s="12"/>
      <c r="Q12" s="12">
        <v>0.5</v>
      </c>
      <c r="R12" s="12"/>
      <c r="S12" s="12">
        <v>0.5</v>
      </c>
      <c r="W12" s="12"/>
      <c r="X12" s="12">
        <v>0.5</v>
      </c>
      <c r="Y12" s="12"/>
      <c r="Z12" s="12">
        <v>0.5</v>
      </c>
      <c r="AD12" s="12"/>
      <c r="AE12" s="12">
        <v>0.5</v>
      </c>
      <c r="AF12" s="12"/>
      <c r="AG12" s="12">
        <v>0.5</v>
      </c>
      <c r="AK12" s="12"/>
      <c r="AL12" s="12">
        <v>0.8</v>
      </c>
      <c r="AM12" s="12"/>
      <c r="AN12" s="12">
        <v>0.8</v>
      </c>
      <c r="AR12" s="12"/>
      <c r="AS12" s="12">
        <v>0.8</v>
      </c>
      <c r="AT12" s="12"/>
      <c r="AU12" s="12">
        <v>0.8</v>
      </c>
      <c r="AY12" s="12"/>
      <c r="AZ12" s="12">
        <v>0.8</v>
      </c>
      <c r="BA12" s="12"/>
      <c r="BB12" s="12">
        <v>0.8</v>
      </c>
      <c r="BF12" s="12"/>
      <c r="BG12" s="12">
        <v>0.8</v>
      </c>
      <c r="BH12" s="12"/>
      <c r="BI12" s="12">
        <v>0.8</v>
      </c>
      <c r="BJ12" s="12"/>
      <c r="BM12" s="12"/>
      <c r="BN12" s="12">
        <v>0.8</v>
      </c>
      <c r="BO12" s="12"/>
      <c r="BP12" s="12">
        <v>0.8</v>
      </c>
      <c r="BT12" s="12"/>
      <c r="BU12" s="12">
        <v>0.8</v>
      </c>
      <c r="BV12" s="12"/>
      <c r="BW12" s="12">
        <v>0.8</v>
      </c>
      <c r="CA12" s="12"/>
      <c r="CB12" s="12">
        <v>0.8</v>
      </c>
      <c r="CC12" s="12"/>
      <c r="CD12" s="12">
        <v>0.8</v>
      </c>
      <c r="CH12" s="12"/>
      <c r="CI12" s="12">
        <v>1</v>
      </c>
      <c r="CJ12" s="12"/>
      <c r="CK12" s="12">
        <v>1</v>
      </c>
      <c r="CO12" s="12"/>
      <c r="CP12" s="12">
        <v>1</v>
      </c>
      <c r="CQ12" s="12"/>
      <c r="CR12" s="12">
        <v>1</v>
      </c>
      <c r="CV12" s="12"/>
      <c r="CW12" s="12"/>
      <c r="CX12" s="12"/>
      <c r="CY12" s="12"/>
      <c r="DC12" s="12"/>
      <c r="DD12" s="12"/>
      <c r="DE12" s="12"/>
      <c r="DF12" s="12"/>
      <c r="DJ12" s="12"/>
      <c r="DK12" s="12"/>
      <c r="DL12" s="12"/>
      <c r="DM12" s="12"/>
      <c r="DQ12" s="12"/>
      <c r="DR12" s="12"/>
      <c r="DS12" s="12"/>
      <c r="DT12" s="12"/>
      <c r="DX12" s="12"/>
      <c r="DY12" s="12">
        <v>1</v>
      </c>
      <c r="DZ12" s="12"/>
      <c r="EA12" s="12">
        <v>1</v>
      </c>
    </row>
    <row r="13" spans="2:132" outlineLevel="1">
      <c r="B13" t="s">
        <v>28</v>
      </c>
      <c r="C13" t="s">
        <v>103</v>
      </c>
      <c r="E13" s="11"/>
      <c r="F13" t="s">
        <v>98</v>
      </c>
      <c r="G13" s="12">
        <v>0.1</v>
      </c>
      <c r="I13" s="11">
        <f>+SUMIF($N$3:$YD$3,I$3,$N13:$YD13)</f>
        <v>0</v>
      </c>
      <c r="J13" s="13" cm="1">
        <f t="array" ref="J13">MAX(IF($N$3:$CL$3=$J$3,N13:CL13))</f>
        <v>0</v>
      </c>
      <c r="K13" s="13" cm="1">
        <f t="array" ref="K13">MAX(IF($N$3:$CL$3=$J$3,N13:CL13))</f>
        <v>0</v>
      </c>
      <c r="L13" s="11"/>
      <c r="P13" s="12"/>
      <c r="Q13" s="12">
        <v>0.5</v>
      </c>
      <c r="R13" s="12"/>
      <c r="S13" s="12">
        <v>0.5</v>
      </c>
      <c r="W13" s="12"/>
      <c r="X13" s="12">
        <v>0.5</v>
      </c>
      <c r="Y13" s="12"/>
      <c r="Z13" s="12">
        <v>0.5</v>
      </c>
      <c r="AD13" s="12"/>
      <c r="AE13" s="12">
        <v>0.5</v>
      </c>
      <c r="AF13" s="12"/>
      <c r="AG13" s="12">
        <v>0.5</v>
      </c>
      <c r="AK13" s="12"/>
      <c r="AL13" s="12">
        <v>0.8</v>
      </c>
      <c r="AM13" s="12"/>
      <c r="AN13" s="12">
        <v>0.8</v>
      </c>
      <c r="AR13" s="12"/>
      <c r="AS13" s="12">
        <v>0.8</v>
      </c>
      <c r="AT13" s="12"/>
      <c r="AU13" s="12">
        <v>0.8</v>
      </c>
      <c r="AY13" s="12"/>
      <c r="AZ13" s="12">
        <v>0.8</v>
      </c>
      <c r="BA13" s="12"/>
      <c r="BB13" s="12">
        <v>0.8</v>
      </c>
      <c r="BF13" s="12"/>
      <c r="BG13" s="12">
        <v>0.8</v>
      </c>
      <c r="BH13" s="12"/>
      <c r="BI13" s="12">
        <v>0.8</v>
      </c>
      <c r="BJ13" s="12"/>
      <c r="BM13" s="12"/>
      <c r="BN13" s="12">
        <v>0.8</v>
      </c>
      <c r="BO13" s="12"/>
      <c r="BP13" s="12">
        <v>0.8</v>
      </c>
      <c r="BT13" s="12"/>
      <c r="BU13" s="12">
        <v>0.8</v>
      </c>
      <c r="BV13" s="12"/>
      <c r="BW13" s="12">
        <v>0.8</v>
      </c>
      <c r="CA13" s="12"/>
      <c r="CB13" s="12">
        <v>0.8</v>
      </c>
      <c r="CC13" s="12"/>
      <c r="CD13" s="12">
        <v>0.8</v>
      </c>
      <c r="CH13" s="12"/>
      <c r="CI13" s="12">
        <v>1</v>
      </c>
      <c r="CJ13" s="12"/>
      <c r="CK13" s="12">
        <v>1</v>
      </c>
      <c r="CO13" s="12"/>
      <c r="CP13" s="12">
        <v>1</v>
      </c>
      <c r="CQ13" s="12"/>
      <c r="CR13" s="12">
        <v>1</v>
      </c>
      <c r="CV13" s="12"/>
      <c r="CW13" s="12"/>
      <c r="CX13" s="12"/>
      <c r="CY13" s="12"/>
      <c r="DC13" s="12"/>
      <c r="DD13" s="12"/>
      <c r="DE13" s="12"/>
      <c r="DF13" s="12"/>
      <c r="DJ13" s="12"/>
      <c r="DK13" s="12"/>
      <c r="DL13" s="12"/>
      <c r="DM13" s="12"/>
      <c r="DQ13" s="12"/>
      <c r="DR13" s="12"/>
      <c r="DS13" s="12"/>
      <c r="DT13" s="12"/>
      <c r="DX13" s="12"/>
      <c r="DY13" s="12">
        <v>1</v>
      </c>
      <c r="DZ13" s="12"/>
      <c r="EA13" s="12">
        <v>1</v>
      </c>
    </row>
    <row r="14" spans="2:132" outlineLevel="1">
      <c r="B14" t="s">
        <v>28</v>
      </c>
      <c r="C14" t="s">
        <v>103</v>
      </c>
      <c r="E14" s="11"/>
      <c r="F14" t="s">
        <v>99</v>
      </c>
      <c r="G14" s="12">
        <v>0.2</v>
      </c>
      <c r="I14" s="11">
        <f>+SUMIF($N$3:$YD$3,I$3,$N14:$YD14)</f>
        <v>0</v>
      </c>
      <c r="J14" s="13" cm="1">
        <f t="array" ref="J14">MAX(IF($N$3:$CL$3=$J$3,N14:CL14))</f>
        <v>0</v>
      </c>
      <c r="K14" s="13" cm="1">
        <f t="array" ref="K14">MAX(IF($N$3:$CL$3=$J$3,N14:CL14))</f>
        <v>0</v>
      </c>
      <c r="L14" s="11"/>
      <c r="P14" s="12"/>
      <c r="Q14" s="12">
        <v>0.5</v>
      </c>
      <c r="R14" s="12"/>
      <c r="S14" s="12">
        <v>0.5</v>
      </c>
      <c r="W14" s="12"/>
      <c r="X14" s="12">
        <v>0.5</v>
      </c>
      <c r="Y14" s="12"/>
      <c r="Z14" s="12">
        <v>0.5</v>
      </c>
      <c r="AD14" s="12"/>
      <c r="AE14" s="12">
        <v>0.5</v>
      </c>
      <c r="AF14" s="12"/>
      <c r="AG14" s="12">
        <v>0.5</v>
      </c>
      <c r="AK14" s="12"/>
      <c r="AL14" s="12">
        <v>0.5</v>
      </c>
      <c r="AM14" s="12"/>
      <c r="AN14" s="12">
        <v>0.5</v>
      </c>
      <c r="AR14" s="12"/>
      <c r="AS14" s="12">
        <v>0.8</v>
      </c>
      <c r="AT14" s="12"/>
      <c r="AU14" s="12">
        <v>0.8</v>
      </c>
      <c r="AY14" s="12"/>
      <c r="AZ14" s="12">
        <v>0.8</v>
      </c>
      <c r="BA14" s="12"/>
      <c r="BB14" s="12">
        <v>0.8</v>
      </c>
      <c r="BF14" s="12"/>
      <c r="BG14" s="12">
        <v>0.8</v>
      </c>
      <c r="BH14" s="12"/>
      <c r="BI14" s="12">
        <v>0.8</v>
      </c>
      <c r="BJ14" s="12"/>
      <c r="BM14" s="12"/>
      <c r="BN14" s="12">
        <v>0.8</v>
      </c>
      <c r="BO14" s="12"/>
      <c r="BP14" s="12">
        <v>0.8</v>
      </c>
      <c r="BT14" s="12"/>
      <c r="BU14" s="12">
        <v>0.8</v>
      </c>
      <c r="BV14" s="12"/>
      <c r="BW14" s="12">
        <v>0.8</v>
      </c>
      <c r="CA14" s="12"/>
      <c r="CB14" s="12">
        <v>0.8</v>
      </c>
      <c r="CC14" s="12"/>
      <c r="CD14" s="12">
        <v>0.8</v>
      </c>
      <c r="CH14" s="12"/>
      <c r="CI14" s="12">
        <v>0.8</v>
      </c>
      <c r="CJ14" s="12"/>
      <c r="CK14" s="12">
        <v>0.8</v>
      </c>
      <c r="CO14" s="12"/>
      <c r="CP14" s="12">
        <v>1</v>
      </c>
      <c r="CQ14" s="12"/>
      <c r="CR14" s="12">
        <v>1</v>
      </c>
      <c r="CV14" s="12"/>
      <c r="CW14" s="12"/>
      <c r="CX14" s="12"/>
      <c r="CY14" s="12"/>
      <c r="DC14" s="12"/>
      <c r="DD14" s="12"/>
      <c r="DE14" s="12"/>
      <c r="DF14" s="12"/>
      <c r="DJ14" s="12"/>
      <c r="DK14" s="12"/>
      <c r="DL14" s="12"/>
      <c r="DM14" s="12"/>
      <c r="DQ14" s="12"/>
      <c r="DR14" s="12"/>
      <c r="DS14" s="12"/>
      <c r="DT14" s="12"/>
      <c r="DX14" s="12"/>
      <c r="DY14" s="12">
        <v>1</v>
      </c>
      <c r="DZ14" s="12"/>
      <c r="EA14" s="12">
        <v>1</v>
      </c>
    </row>
    <row r="15" spans="2:132" outlineLevel="1">
      <c r="B15" t="s">
        <v>28</v>
      </c>
      <c r="C15" t="s">
        <v>103</v>
      </c>
      <c r="E15" s="11"/>
      <c r="F15" t="s">
        <v>100</v>
      </c>
      <c r="G15" s="12">
        <v>0.2</v>
      </c>
      <c r="I15" s="11">
        <f>+SUMIF($N$3:$YD$3,I$3,$N15:$YD15)</f>
        <v>0</v>
      </c>
      <c r="J15" s="13" cm="1">
        <f t="array" ref="J15">MAX(IF($N$3:$CL$3=$J$3,N15:CL15))</f>
        <v>0</v>
      </c>
      <c r="K15" s="13" cm="1">
        <f t="array" ref="K15">MAX(IF($N$3:$CL$3=$J$3,N15:CL15))</f>
        <v>0</v>
      </c>
      <c r="L15" s="11"/>
      <c r="P15" s="12"/>
      <c r="Q15" s="12">
        <v>0.5</v>
      </c>
      <c r="R15" s="12"/>
      <c r="S15" s="12">
        <v>0.5</v>
      </c>
      <c r="W15" s="12"/>
      <c r="X15" s="12">
        <v>0.5</v>
      </c>
      <c r="Y15" s="12"/>
      <c r="Z15" s="12">
        <v>0.5</v>
      </c>
      <c r="AD15" s="12"/>
      <c r="AE15" s="12">
        <v>0.5</v>
      </c>
      <c r="AF15" s="12"/>
      <c r="AG15" s="12">
        <v>0.5</v>
      </c>
      <c r="AK15" s="12"/>
      <c r="AL15" s="12">
        <v>0.5</v>
      </c>
      <c r="AM15" s="12"/>
      <c r="AN15" s="12">
        <v>0.5</v>
      </c>
      <c r="AR15" s="12"/>
      <c r="AS15" s="12">
        <v>0.8</v>
      </c>
      <c r="AT15" s="12"/>
      <c r="AU15" s="12">
        <v>0.8</v>
      </c>
      <c r="AY15" s="12"/>
      <c r="AZ15" s="12">
        <v>0.8</v>
      </c>
      <c r="BA15" s="12"/>
      <c r="BB15" s="12">
        <v>0.8</v>
      </c>
      <c r="BF15" s="12"/>
      <c r="BG15" s="12">
        <v>0.8</v>
      </c>
      <c r="BH15" s="12"/>
      <c r="BI15" s="12">
        <v>0.8</v>
      </c>
      <c r="BJ15" s="12"/>
      <c r="BM15" s="12"/>
      <c r="BN15" s="12">
        <v>0.8</v>
      </c>
      <c r="BO15" s="12"/>
      <c r="BP15" s="12">
        <v>0.8</v>
      </c>
      <c r="BT15" s="12"/>
      <c r="BU15" s="12">
        <v>0.8</v>
      </c>
      <c r="BV15" s="12"/>
      <c r="BW15" s="12">
        <v>0.8</v>
      </c>
      <c r="CA15" s="12"/>
      <c r="CB15" s="12">
        <v>0.8</v>
      </c>
      <c r="CC15" s="12"/>
      <c r="CD15" s="12">
        <v>0.8</v>
      </c>
      <c r="CH15" s="12"/>
      <c r="CI15" s="12">
        <v>0.8</v>
      </c>
      <c r="CJ15" s="12"/>
      <c r="CK15" s="12">
        <v>0.8</v>
      </c>
      <c r="CO15" s="12"/>
      <c r="CP15" s="12">
        <v>1</v>
      </c>
      <c r="CQ15" s="12"/>
      <c r="CR15" s="12">
        <v>1</v>
      </c>
      <c r="CV15" s="12"/>
      <c r="CW15" s="12"/>
      <c r="CX15" s="12"/>
      <c r="CY15" s="12"/>
      <c r="DC15" s="12"/>
      <c r="DD15" s="12"/>
      <c r="DE15" s="12"/>
      <c r="DF15" s="12"/>
      <c r="DJ15" s="12"/>
      <c r="DK15" s="12"/>
      <c r="DL15" s="12"/>
      <c r="DM15" s="12"/>
      <c r="DQ15" s="12"/>
      <c r="DR15" s="12"/>
      <c r="DS15" s="12"/>
      <c r="DT15" s="12"/>
      <c r="DX15" s="12"/>
      <c r="DY15" s="12">
        <v>1</v>
      </c>
      <c r="DZ15" s="12"/>
      <c r="EA15" s="12">
        <v>1</v>
      </c>
    </row>
    <row r="16" spans="2:132" outlineLevel="1">
      <c r="B16" t="s">
        <v>28</v>
      </c>
      <c r="C16" t="s">
        <v>103</v>
      </c>
      <c r="E16" s="11"/>
      <c r="F16" t="s">
        <v>101</v>
      </c>
      <c r="G16" s="12">
        <v>0.2</v>
      </c>
      <c r="I16" s="11">
        <f>+SUMIF($N$3:$YD$3,I$3,$N16:$YD16)</f>
        <v>0</v>
      </c>
      <c r="J16" s="13" cm="1">
        <f t="array" ref="J16">MAX(IF($N$3:$CL$3=$J$3,N16:CL16))</f>
        <v>0</v>
      </c>
      <c r="K16" s="13" cm="1">
        <f t="array" ref="K16">MAX(IF($N$3:$CL$3=$J$3,N16:CL16))</f>
        <v>0</v>
      </c>
      <c r="L16" s="11"/>
      <c r="P16" s="12"/>
      <c r="Q16" s="12">
        <v>0.5</v>
      </c>
      <c r="R16" s="12"/>
      <c r="S16" s="12">
        <v>0.5</v>
      </c>
      <c r="W16" s="12"/>
      <c r="X16" s="12">
        <v>0.5</v>
      </c>
      <c r="Y16" s="12"/>
      <c r="Z16" s="12">
        <v>0.5</v>
      </c>
      <c r="AD16" s="12"/>
      <c r="AE16" s="12">
        <v>0.5</v>
      </c>
      <c r="AF16" s="12"/>
      <c r="AG16" s="12">
        <v>0.5</v>
      </c>
      <c r="AK16" s="12"/>
      <c r="AL16" s="12">
        <v>0.5</v>
      </c>
      <c r="AM16" s="12"/>
      <c r="AN16" s="12">
        <v>0.5</v>
      </c>
      <c r="AR16" s="12"/>
      <c r="AS16" s="12">
        <v>0.5</v>
      </c>
      <c r="AT16" s="12"/>
      <c r="AU16" s="12">
        <v>0.5</v>
      </c>
      <c r="AY16" s="12"/>
      <c r="AZ16" s="12">
        <v>0.8</v>
      </c>
      <c r="BA16" s="12"/>
      <c r="BB16" s="12">
        <v>0.8</v>
      </c>
      <c r="BF16" s="12"/>
      <c r="BG16" s="12">
        <v>0.8</v>
      </c>
      <c r="BH16" s="12"/>
      <c r="BI16" s="12">
        <v>0.8</v>
      </c>
      <c r="BJ16" s="12"/>
      <c r="BM16" s="12"/>
      <c r="BN16" s="12">
        <v>0.8</v>
      </c>
      <c r="BO16" s="12"/>
      <c r="BP16" s="12">
        <v>0.8</v>
      </c>
      <c r="BT16" s="12"/>
      <c r="BU16" s="12">
        <v>0.8</v>
      </c>
      <c r="BV16" s="12"/>
      <c r="BW16" s="12">
        <v>0.8</v>
      </c>
      <c r="CA16" s="12"/>
      <c r="CB16" s="12">
        <v>0.8</v>
      </c>
      <c r="CC16" s="12"/>
      <c r="CD16" s="12">
        <v>0.8</v>
      </c>
      <c r="CH16" s="12"/>
      <c r="CI16" s="12">
        <v>0.8</v>
      </c>
      <c r="CJ16" s="12"/>
      <c r="CK16" s="12">
        <v>0.8</v>
      </c>
      <c r="CO16" s="12"/>
      <c r="CP16" s="12">
        <v>0.8</v>
      </c>
      <c r="CQ16" s="12"/>
      <c r="CR16" s="12">
        <v>0.8</v>
      </c>
      <c r="CV16" s="12"/>
      <c r="CW16" s="12"/>
      <c r="CX16" s="12"/>
      <c r="CY16" s="12"/>
      <c r="DC16" s="12"/>
      <c r="DD16" s="12"/>
      <c r="DE16" s="12"/>
      <c r="DF16" s="12"/>
      <c r="DJ16" s="12"/>
      <c r="DK16" s="12"/>
      <c r="DL16" s="12"/>
      <c r="DM16" s="12"/>
      <c r="DQ16" s="12"/>
      <c r="DR16" s="12"/>
      <c r="DS16" s="12"/>
      <c r="DT16" s="12"/>
      <c r="DX16" s="12"/>
      <c r="DY16" s="12">
        <v>1</v>
      </c>
      <c r="DZ16" s="12"/>
      <c r="EA16" s="12">
        <v>1</v>
      </c>
    </row>
    <row r="17" spans="2:131" outlineLevel="1">
      <c r="B17" t="s">
        <v>28</v>
      </c>
      <c r="C17" t="s">
        <v>103</v>
      </c>
      <c r="E17" s="11"/>
      <c r="F17" t="s">
        <v>102</v>
      </c>
      <c r="G17" s="12">
        <v>0.15</v>
      </c>
      <c r="I17" s="11">
        <f>+SUMIF($N$3:$YD$3,I$3,$N17:$YD17)</f>
        <v>0</v>
      </c>
      <c r="J17" s="13" cm="1">
        <f t="array" ref="J17">MAX(IF($N$3:$CL$3=$J$3,N17:CL17))</f>
        <v>0</v>
      </c>
      <c r="K17" s="13" cm="1">
        <f t="array" ref="K17">MAX(IF($N$3:$CL$3=$J$3,N17:CL17))</f>
        <v>0</v>
      </c>
      <c r="L17" s="11"/>
      <c r="P17" s="12"/>
      <c r="Q17" s="12">
        <v>0.5</v>
      </c>
      <c r="R17" s="12"/>
      <c r="S17" s="12">
        <v>0.5</v>
      </c>
      <c r="W17" s="12"/>
      <c r="X17" s="12">
        <v>0.5</v>
      </c>
      <c r="Y17" s="12"/>
      <c r="Z17" s="12">
        <v>0.5</v>
      </c>
      <c r="AD17" s="12"/>
      <c r="AE17" s="12">
        <v>0.5</v>
      </c>
      <c r="AF17" s="12"/>
      <c r="AG17" s="12">
        <v>0.5</v>
      </c>
      <c r="AK17" s="12"/>
      <c r="AL17" s="12">
        <v>0.5</v>
      </c>
      <c r="AM17" s="12"/>
      <c r="AN17" s="12">
        <v>0.5</v>
      </c>
      <c r="AR17" s="12"/>
      <c r="AS17" s="12">
        <v>0.5</v>
      </c>
      <c r="AT17" s="12"/>
      <c r="AU17" s="12">
        <v>0.5</v>
      </c>
      <c r="AY17" s="12"/>
      <c r="AZ17" s="12">
        <v>0.8</v>
      </c>
      <c r="BA17" s="12"/>
      <c r="BB17" s="12">
        <v>0.8</v>
      </c>
      <c r="BF17" s="12"/>
      <c r="BG17" s="12">
        <v>0.8</v>
      </c>
      <c r="BH17" s="12"/>
      <c r="BI17" s="12">
        <v>0.8</v>
      </c>
      <c r="BJ17" s="12"/>
      <c r="BM17" s="12"/>
      <c r="BN17" s="12">
        <v>0.8</v>
      </c>
      <c r="BO17" s="12"/>
      <c r="BP17" s="12">
        <v>0.8</v>
      </c>
      <c r="BT17" s="12"/>
      <c r="BU17" s="12">
        <v>0.8</v>
      </c>
      <c r="BV17" s="12"/>
      <c r="BW17" s="12">
        <v>0.8</v>
      </c>
      <c r="CA17" s="12"/>
      <c r="CB17" s="12">
        <v>0.8</v>
      </c>
      <c r="CC17" s="12"/>
      <c r="CD17" s="12">
        <v>0.8</v>
      </c>
      <c r="CH17" s="12"/>
      <c r="CI17" s="12">
        <v>0.8</v>
      </c>
      <c r="CJ17" s="12"/>
      <c r="CK17" s="12">
        <v>0.8</v>
      </c>
      <c r="CO17" s="12"/>
      <c r="CP17" s="12">
        <v>0.8</v>
      </c>
      <c r="CQ17" s="12"/>
      <c r="CR17" s="12">
        <v>0.8</v>
      </c>
      <c r="CV17" s="12"/>
      <c r="CW17" s="12"/>
      <c r="CX17" s="12"/>
      <c r="CY17" s="12"/>
      <c r="DC17" s="12"/>
      <c r="DD17" s="12"/>
      <c r="DE17" s="12"/>
      <c r="DF17" s="12"/>
      <c r="DJ17" s="12"/>
      <c r="DK17" s="12"/>
      <c r="DL17" s="12"/>
      <c r="DM17" s="12"/>
      <c r="DQ17" s="12"/>
      <c r="DR17" s="12"/>
      <c r="DS17" s="12"/>
      <c r="DT17" s="12"/>
      <c r="DX17" s="12"/>
      <c r="DY17" s="12">
        <v>1</v>
      </c>
      <c r="DZ17" s="12"/>
      <c r="EA17" s="12">
        <v>1</v>
      </c>
    </row>
    <row r="18" spans="2:131" outlineLevel="1">
      <c r="E18" s="11"/>
      <c r="G18" s="12"/>
      <c r="I18" s="11"/>
      <c r="J18" s="13"/>
      <c r="K18" s="13"/>
      <c r="L18" s="11"/>
      <c r="P18" s="12"/>
      <c r="Q18" s="12"/>
      <c r="R18" s="12"/>
      <c r="S18" s="12"/>
      <c r="W18" s="12"/>
      <c r="X18" s="12"/>
      <c r="Y18" s="12"/>
      <c r="Z18" s="12"/>
      <c r="AD18" s="12"/>
      <c r="AE18" s="12"/>
      <c r="AF18" s="12"/>
      <c r="AG18" s="12"/>
      <c r="AK18" s="12"/>
      <c r="AL18" s="12"/>
      <c r="AM18" s="12"/>
      <c r="AN18" s="12"/>
      <c r="AR18" s="12"/>
      <c r="AS18" s="12"/>
      <c r="AT18" s="12"/>
      <c r="AU18" s="12"/>
      <c r="AY18" s="12"/>
      <c r="AZ18" s="12"/>
      <c r="BA18" s="12"/>
      <c r="BB18" s="12"/>
      <c r="BF18" s="12"/>
      <c r="BG18" s="12"/>
      <c r="BH18" s="12"/>
      <c r="BI18" s="12"/>
      <c r="BM18" s="12"/>
      <c r="BN18" s="12"/>
      <c r="BO18" s="12"/>
      <c r="BP18" s="12"/>
      <c r="BT18" s="12"/>
      <c r="BU18" s="12"/>
      <c r="BV18" s="12"/>
      <c r="BW18" s="12"/>
      <c r="CA18" s="12"/>
      <c r="CB18" s="12"/>
      <c r="CC18" s="12"/>
      <c r="CD18" s="12"/>
      <c r="CH18" s="12"/>
      <c r="CI18" s="12"/>
      <c r="CJ18" s="12"/>
      <c r="CK18" s="12"/>
      <c r="CO18" s="12"/>
      <c r="CP18" s="12"/>
      <c r="CQ18" s="12"/>
      <c r="CR18" s="12"/>
      <c r="CV18" s="12"/>
      <c r="CW18" s="12"/>
      <c r="CX18" s="12"/>
      <c r="CY18" s="12"/>
      <c r="DC18" s="12"/>
      <c r="DD18" s="12"/>
      <c r="DE18" s="12"/>
      <c r="DF18" s="12"/>
      <c r="DJ18" s="12"/>
      <c r="DK18" s="12"/>
      <c r="DL18" s="12"/>
      <c r="DM18" s="12"/>
      <c r="DQ18" s="12"/>
      <c r="DR18" s="12"/>
      <c r="DS18" s="12"/>
      <c r="DT18" s="12"/>
      <c r="DX18" s="12"/>
      <c r="DY18" s="12"/>
      <c r="DZ18" s="12"/>
      <c r="EA18" s="12"/>
    </row>
    <row r="19" spans="2:131" outlineLevel="1">
      <c r="E19" s="11"/>
      <c r="G19" s="12"/>
      <c r="I19" s="11"/>
      <c r="J19" s="13"/>
      <c r="K19" s="13"/>
      <c r="L19" s="11"/>
      <c r="P19" s="12"/>
      <c r="Q19" s="12"/>
      <c r="R19" s="12"/>
      <c r="S19" s="12"/>
      <c r="W19" s="12"/>
      <c r="X19" s="12"/>
      <c r="Y19" s="12"/>
      <c r="Z19" s="12"/>
      <c r="AD19" s="12"/>
      <c r="AE19" s="12"/>
      <c r="AF19" s="12"/>
      <c r="AG19" s="12"/>
      <c r="AK19" s="12"/>
      <c r="AL19" s="12"/>
      <c r="AM19" s="12"/>
      <c r="AN19" s="12"/>
      <c r="AR19" s="12"/>
      <c r="AS19" s="12"/>
      <c r="AT19" s="12"/>
      <c r="AU19" s="12"/>
      <c r="AY19" s="12"/>
      <c r="AZ19" s="12"/>
      <c r="BA19" s="12"/>
      <c r="BB19" s="12"/>
      <c r="BF19" s="12"/>
      <c r="BG19" s="12"/>
      <c r="BH19" s="12"/>
      <c r="BI19" s="12"/>
      <c r="BM19" s="12"/>
      <c r="BN19" s="12"/>
      <c r="BO19" s="12"/>
      <c r="BP19" s="12"/>
      <c r="BT19" s="12"/>
      <c r="BU19" s="12"/>
      <c r="BV19" s="12"/>
      <c r="BW19" s="12"/>
      <c r="CA19" s="12"/>
      <c r="CB19" s="12"/>
      <c r="CC19" s="12"/>
      <c r="CD19" s="12"/>
      <c r="CH19" s="12"/>
      <c r="CI19" s="12"/>
      <c r="CJ19" s="12"/>
      <c r="CK19" s="12"/>
      <c r="CO19" s="12"/>
      <c r="CP19" s="12"/>
      <c r="CQ19" s="12"/>
      <c r="CR19" s="12"/>
      <c r="CV19" s="12"/>
      <c r="CW19" s="12"/>
      <c r="CX19" s="12"/>
      <c r="CY19" s="12"/>
      <c r="DC19" s="12"/>
      <c r="DD19" s="12"/>
      <c r="DE19" s="12"/>
      <c r="DF19" s="12"/>
      <c r="DJ19" s="12"/>
      <c r="DK19" s="12"/>
      <c r="DL19" s="12"/>
      <c r="DM19" s="12"/>
      <c r="DQ19" s="12"/>
      <c r="DR19" s="12"/>
      <c r="DS19" s="12"/>
      <c r="DT19" s="12"/>
      <c r="DX19" s="12"/>
      <c r="DY19" s="12"/>
      <c r="DZ19" s="12"/>
      <c r="EA19" s="12"/>
    </row>
    <row r="21" spans="2:131">
      <c r="B21" s="3" t="s">
        <v>27</v>
      </c>
      <c r="C21" s="3" t="s">
        <v>104</v>
      </c>
      <c r="D21" s="22">
        <v>44943</v>
      </c>
      <c r="E21" s="11">
        <v>12</v>
      </c>
      <c r="G21" s="12">
        <f>+SUM(G22:G32)</f>
        <v>0.94999999999999984</v>
      </c>
      <c r="I21" s="14">
        <f>+SUM(I22:I32)</f>
        <v>0</v>
      </c>
      <c r="J21" s="13">
        <f>+SUMPRODUCT(G22:G32,J22:J32)</f>
        <v>0</v>
      </c>
      <c r="K21" s="13">
        <f>+SUMPRODUCT(G22:G32,K22:K32)</f>
        <v>0</v>
      </c>
      <c r="L21" s="11"/>
    </row>
    <row r="22" spans="2:131" outlineLevel="1">
      <c r="B22" t="s">
        <v>28</v>
      </c>
      <c r="C22" t="s">
        <v>104</v>
      </c>
      <c r="E22" s="11"/>
      <c r="F22" t="s">
        <v>105</v>
      </c>
      <c r="G22" s="12">
        <v>0.1</v>
      </c>
      <c r="I22" s="11">
        <f>+SUMIF($N$3:$YD$3,I$3,$N22:$YD22)</f>
        <v>0</v>
      </c>
      <c r="J22" s="13" cm="1">
        <f t="array" ref="J22">MAX(IF($N$3:$CL$3=$J$3,N22:CL22))</f>
        <v>0</v>
      </c>
      <c r="K22" s="13" cm="1">
        <f t="array" ref="K22">MAX(IF($N$3:$CL$3=$J$3,N22:CL22))</f>
        <v>0</v>
      </c>
      <c r="L22" s="11"/>
      <c r="P22" s="12"/>
      <c r="Q22" s="12">
        <v>0.8</v>
      </c>
      <c r="R22" s="12"/>
      <c r="S22" s="12">
        <v>0.8</v>
      </c>
      <c r="W22" s="12"/>
      <c r="X22" s="12">
        <v>0.8</v>
      </c>
      <c r="Y22" s="12"/>
      <c r="Z22" s="12">
        <v>0.8</v>
      </c>
      <c r="AD22" s="12"/>
      <c r="AE22" s="12">
        <v>0.8</v>
      </c>
      <c r="AF22" s="12"/>
      <c r="AG22" s="12">
        <v>0.8</v>
      </c>
      <c r="AK22" s="12"/>
      <c r="AL22" s="12">
        <v>0.8</v>
      </c>
      <c r="AM22" s="12"/>
      <c r="AN22" s="12">
        <v>0.8</v>
      </c>
      <c r="AR22" s="12"/>
      <c r="AS22" s="12">
        <v>0.8</v>
      </c>
      <c r="AT22" s="12"/>
      <c r="AU22" s="12">
        <v>0.8</v>
      </c>
      <c r="AY22" s="12"/>
      <c r="AZ22" s="12">
        <v>0.8</v>
      </c>
      <c r="BA22" s="12"/>
      <c r="BB22" s="12">
        <v>0.8</v>
      </c>
      <c r="BF22" s="12"/>
      <c r="BG22" s="12">
        <v>1</v>
      </c>
      <c r="BH22" s="12"/>
      <c r="BI22" s="12">
        <v>1</v>
      </c>
      <c r="BM22" s="12"/>
      <c r="BN22" s="12">
        <v>1</v>
      </c>
      <c r="BO22" s="12"/>
      <c r="BP22" s="12">
        <v>1</v>
      </c>
      <c r="BT22" s="12"/>
      <c r="BU22" s="12">
        <v>1</v>
      </c>
      <c r="BV22" s="12"/>
      <c r="BW22" s="12">
        <v>1</v>
      </c>
      <c r="CA22" s="12"/>
      <c r="CB22" s="12">
        <v>1</v>
      </c>
      <c r="CC22" s="12"/>
      <c r="CD22" s="12">
        <v>1</v>
      </c>
      <c r="CH22" s="12"/>
      <c r="CI22" s="12">
        <v>1</v>
      </c>
      <c r="CJ22" s="12"/>
      <c r="CK22" s="12">
        <v>1</v>
      </c>
      <c r="CO22" s="12"/>
      <c r="CP22" s="12">
        <v>1</v>
      </c>
      <c r="CQ22" s="12"/>
      <c r="CR22" s="12">
        <v>1</v>
      </c>
      <c r="CV22" s="12"/>
      <c r="CW22" s="12"/>
      <c r="CX22" s="12"/>
      <c r="CY22" s="12"/>
      <c r="DC22" s="12"/>
      <c r="DD22" s="12"/>
      <c r="DE22" s="12"/>
      <c r="DF22" s="12"/>
      <c r="DJ22" s="12"/>
      <c r="DK22" s="12"/>
      <c r="DL22" s="12"/>
      <c r="DM22" s="12"/>
      <c r="DQ22" s="12"/>
      <c r="DR22" s="12"/>
      <c r="DS22" s="12"/>
      <c r="DT22" s="12"/>
      <c r="DX22" s="12"/>
      <c r="DY22" s="12">
        <v>1</v>
      </c>
      <c r="DZ22" s="12"/>
      <c r="EA22" s="12">
        <v>1</v>
      </c>
    </row>
    <row r="23" spans="2:131" outlineLevel="1">
      <c r="B23" t="s">
        <v>28</v>
      </c>
      <c r="C23" t="s">
        <v>104</v>
      </c>
      <c r="E23" s="11"/>
      <c r="F23" t="s">
        <v>106</v>
      </c>
      <c r="G23" s="12">
        <v>0.05</v>
      </c>
      <c r="I23" s="11">
        <f>+SUMIF($N$3:$YD$3,I$3,$N23:$YD23)</f>
        <v>0</v>
      </c>
      <c r="J23" s="13" cm="1">
        <f t="array" ref="J23">MAX(IF($N$3:$CL$3=$J$3,N23:CL23))</f>
        <v>0</v>
      </c>
      <c r="K23" s="13" cm="1">
        <f t="array" ref="K23">MAX(IF($N$3:$CL$3=$J$3,N23:CL23))</f>
        <v>0</v>
      </c>
      <c r="L23" s="11"/>
      <c r="P23" s="12"/>
      <c r="Q23" s="12">
        <v>0.8</v>
      </c>
      <c r="R23" s="12"/>
      <c r="S23" s="12">
        <v>0.8</v>
      </c>
      <c r="W23" s="12"/>
      <c r="X23" s="12">
        <v>0.8</v>
      </c>
      <c r="Y23" s="12"/>
      <c r="Z23" s="12">
        <v>0.8</v>
      </c>
      <c r="AD23" s="12"/>
      <c r="AE23" s="12">
        <v>0.8</v>
      </c>
      <c r="AF23" s="12"/>
      <c r="AG23" s="12">
        <v>0.8</v>
      </c>
      <c r="AK23" s="12"/>
      <c r="AL23" s="12">
        <v>0.8</v>
      </c>
      <c r="AM23" s="12"/>
      <c r="AN23" s="12">
        <v>0.8</v>
      </c>
      <c r="AR23" s="12"/>
      <c r="AS23" s="12">
        <v>0.8</v>
      </c>
      <c r="AT23" s="12"/>
      <c r="AU23" s="12">
        <v>0.8</v>
      </c>
      <c r="AY23" s="12"/>
      <c r="AZ23" s="12">
        <v>0.8</v>
      </c>
      <c r="BA23" s="12"/>
      <c r="BB23" s="12">
        <v>0.8</v>
      </c>
      <c r="BF23" s="12"/>
      <c r="BG23" s="12">
        <v>0.8</v>
      </c>
      <c r="BH23" s="12"/>
      <c r="BI23" s="12">
        <v>0.8</v>
      </c>
      <c r="BM23" s="12"/>
      <c r="BN23" s="12">
        <v>1</v>
      </c>
      <c r="BO23" s="12"/>
      <c r="BP23" s="12">
        <v>1</v>
      </c>
      <c r="BT23" s="12"/>
      <c r="BU23" s="12">
        <v>1</v>
      </c>
      <c r="BV23" s="12"/>
      <c r="BW23" s="12">
        <v>1</v>
      </c>
      <c r="CA23" s="12"/>
      <c r="CB23" s="12">
        <v>1</v>
      </c>
      <c r="CC23" s="12"/>
      <c r="CD23" s="12">
        <v>1</v>
      </c>
      <c r="CH23" s="12"/>
      <c r="CI23" s="12">
        <v>1</v>
      </c>
      <c r="CJ23" s="12"/>
      <c r="CK23" s="12">
        <v>1</v>
      </c>
      <c r="CO23" s="12"/>
      <c r="CP23" s="12">
        <v>1</v>
      </c>
      <c r="CQ23" s="12"/>
      <c r="CR23" s="12">
        <v>1</v>
      </c>
      <c r="CV23" s="12"/>
      <c r="CW23" s="12"/>
      <c r="CX23" s="12"/>
      <c r="CY23" s="12"/>
      <c r="DC23" s="12"/>
      <c r="DD23" s="12"/>
      <c r="DE23" s="12"/>
      <c r="DF23" s="12"/>
      <c r="DJ23" s="12"/>
      <c r="DK23" s="12"/>
      <c r="DL23" s="12"/>
      <c r="DM23" s="12"/>
      <c r="DQ23" s="12"/>
      <c r="DR23" s="12"/>
      <c r="DS23" s="12"/>
      <c r="DT23" s="12"/>
      <c r="DX23" s="12"/>
      <c r="DY23" s="12">
        <v>1</v>
      </c>
      <c r="DZ23" s="12"/>
      <c r="EA23" s="12">
        <v>1</v>
      </c>
    </row>
    <row r="24" spans="2:131" outlineLevel="1">
      <c r="B24" t="s">
        <v>28</v>
      </c>
      <c r="C24" t="s">
        <v>104</v>
      </c>
      <c r="E24" s="11"/>
      <c r="F24" t="s">
        <v>107</v>
      </c>
      <c r="G24" s="12">
        <v>0.05</v>
      </c>
      <c r="I24" s="11">
        <f>+SUMIF($N$3:$YD$3,I$3,$N24:$YD24)</f>
        <v>0</v>
      </c>
      <c r="J24" s="13" cm="1">
        <f t="array" ref="J24">MAX(IF($N$3:$CL$3=$J$3,N24:CL24))</f>
        <v>0</v>
      </c>
      <c r="K24" s="13" cm="1">
        <f t="array" ref="K24">MAX(IF($N$3:$CL$3=$J$3,N24:CL24))</f>
        <v>0</v>
      </c>
      <c r="L24" s="11"/>
      <c r="P24" s="12"/>
      <c r="Q24" s="12">
        <v>0.8</v>
      </c>
      <c r="R24" s="12"/>
      <c r="S24" s="12">
        <v>0.8</v>
      </c>
      <c r="W24" s="12"/>
      <c r="X24" s="12">
        <v>0.8</v>
      </c>
      <c r="Y24" s="12"/>
      <c r="Z24" s="12">
        <v>0.8</v>
      </c>
      <c r="AD24" s="12"/>
      <c r="AE24" s="12">
        <v>0.8</v>
      </c>
      <c r="AF24" s="12"/>
      <c r="AG24" s="12">
        <v>0.8</v>
      </c>
      <c r="AK24" s="12"/>
      <c r="AL24" s="12">
        <v>0.8</v>
      </c>
      <c r="AM24" s="12"/>
      <c r="AN24" s="12">
        <v>0.8</v>
      </c>
      <c r="AR24" s="12"/>
      <c r="AS24" s="12">
        <v>0.8</v>
      </c>
      <c r="AT24" s="12"/>
      <c r="AU24" s="12">
        <v>0.8</v>
      </c>
      <c r="AY24" s="12"/>
      <c r="AZ24" s="12">
        <v>0.8</v>
      </c>
      <c r="BA24" s="12"/>
      <c r="BB24" s="12">
        <v>0.8</v>
      </c>
      <c r="BF24" s="12"/>
      <c r="BG24" s="12">
        <v>0.8</v>
      </c>
      <c r="BH24" s="12"/>
      <c r="BI24" s="12">
        <v>0.8</v>
      </c>
      <c r="BM24" s="12"/>
      <c r="BN24" s="12">
        <v>1</v>
      </c>
      <c r="BO24" s="12"/>
      <c r="BP24" s="12">
        <v>1</v>
      </c>
      <c r="BT24" s="12"/>
      <c r="BU24" s="12">
        <v>1</v>
      </c>
      <c r="BV24" s="12"/>
      <c r="BW24" s="12">
        <v>1</v>
      </c>
      <c r="CA24" s="12"/>
      <c r="CB24" s="12">
        <v>1</v>
      </c>
      <c r="CC24" s="12"/>
      <c r="CD24" s="12">
        <v>1</v>
      </c>
      <c r="CH24" s="12"/>
      <c r="CI24" s="12">
        <v>1</v>
      </c>
      <c r="CJ24" s="12"/>
      <c r="CK24" s="12">
        <v>1</v>
      </c>
      <c r="CO24" s="12"/>
      <c r="CP24" s="12">
        <v>1</v>
      </c>
      <c r="CQ24" s="12"/>
      <c r="CR24" s="12">
        <v>1</v>
      </c>
      <c r="CV24" s="12"/>
      <c r="CW24" s="12"/>
      <c r="CX24" s="12"/>
      <c r="CY24" s="12"/>
      <c r="DC24" s="12"/>
      <c r="DD24" s="12"/>
      <c r="DE24" s="12"/>
      <c r="DF24" s="12"/>
      <c r="DJ24" s="12"/>
      <c r="DK24" s="12"/>
      <c r="DL24" s="12"/>
      <c r="DM24" s="12"/>
      <c r="DQ24" s="12"/>
      <c r="DR24" s="12"/>
      <c r="DS24" s="12"/>
      <c r="DT24" s="12"/>
      <c r="DX24" s="12"/>
      <c r="DY24" s="12">
        <v>1</v>
      </c>
      <c r="DZ24" s="12"/>
      <c r="EA24" s="12">
        <v>1</v>
      </c>
    </row>
    <row r="25" spans="2:131" outlineLevel="1">
      <c r="B25" t="s">
        <v>28</v>
      </c>
      <c r="C25" t="s">
        <v>104</v>
      </c>
      <c r="E25" s="11"/>
      <c r="F25" t="s">
        <v>108</v>
      </c>
      <c r="G25" s="12">
        <v>0.05</v>
      </c>
      <c r="I25" s="11">
        <f>+SUMIF($N$3:$YD$3,I$3,$N25:$YD25)</f>
        <v>0</v>
      </c>
      <c r="J25" s="13" cm="1">
        <f t="array" ref="J25">MAX(IF($N$3:$CL$3=$J$3,N25:CL25))</f>
        <v>0</v>
      </c>
      <c r="K25" s="13" cm="1">
        <f t="array" ref="K25">MAX(IF($N$3:$CL$3=$J$3,N25:CL25))</f>
        <v>0</v>
      </c>
      <c r="L25" s="11"/>
      <c r="P25" s="12"/>
      <c r="Q25" s="12">
        <v>0.5</v>
      </c>
      <c r="R25" s="12"/>
      <c r="S25" s="12">
        <v>0.5</v>
      </c>
      <c r="W25" s="12"/>
      <c r="X25" s="12">
        <v>0.8</v>
      </c>
      <c r="Y25" s="12"/>
      <c r="Z25" s="12">
        <v>0.8</v>
      </c>
      <c r="AD25" s="12"/>
      <c r="AE25" s="12">
        <v>0.8</v>
      </c>
      <c r="AF25" s="12"/>
      <c r="AG25" s="12">
        <v>0.8</v>
      </c>
      <c r="AK25" s="12"/>
      <c r="AL25" s="12">
        <v>0.8</v>
      </c>
      <c r="AM25" s="12"/>
      <c r="AN25" s="12">
        <v>0.8</v>
      </c>
      <c r="AR25" s="12"/>
      <c r="AS25" s="12">
        <v>0.8</v>
      </c>
      <c r="AT25" s="12"/>
      <c r="AU25" s="12">
        <v>0.8</v>
      </c>
      <c r="AY25" s="12"/>
      <c r="AZ25" s="12">
        <v>0.8</v>
      </c>
      <c r="BA25" s="12"/>
      <c r="BB25" s="12">
        <v>0.8</v>
      </c>
      <c r="BF25" s="12"/>
      <c r="BG25" s="12">
        <v>0.8</v>
      </c>
      <c r="BH25" s="12"/>
      <c r="BI25" s="12">
        <v>0.8</v>
      </c>
      <c r="BM25" s="12"/>
      <c r="BN25" s="12">
        <v>0.8</v>
      </c>
      <c r="BO25" s="12"/>
      <c r="BP25" s="12">
        <v>0.8</v>
      </c>
      <c r="BT25" s="12"/>
      <c r="BU25" s="12">
        <v>1</v>
      </c>
      <c r="BV25" s="12"/>
      <c r="BW25" s="12">
        <v>1</v>
      </c>
      <c r="CA25" s="12"/>
      <c r="CB25" s="12">
        <v>1</v>
      </c>
      <c r="CC25" s="12"/>
      <c r="CD25" s="12">
        <v>1</v>
      </c>
      <c r="CH25" s="12"/>
      <c r="CI25" s="12">
        <v>1</v>
      </c>
      <c r="CJ25" s="12"/>
      <c r="CK25" s="12">
        <v>1</v>
      </c>
      <c r="CO25" s="12"/>
      <c r="CP25" s="12">
        <v>1</v>
      </c>
      <c r="CQ25" s="12"/>
      <c r="CR25" s="12">
        <v>1</v>
      </c>
      <c r="CV25" s="12"/>
      <c r="CW25" s="12"/>
      <c r="CX25" s="12"/>
      <c r="CY25" s="12"/>
      <c r="DC25" s="12"/>
      <c r="DD25" s="12"/>
      <c r="DE25" s="12"/>
      <c r="DF25" s="12"/>
      <c r="DJ25" s="12"/>
      <c r="DK25" s="12"/>
      <c r="DL25" s="12"/>
      <c r="DM25" s="12"/>
      <c r="DQ25" s="12"/>
      <c r="DR25" s="12"/>
      <c r="DS25" s="12"/>
      <c r="DT25" s="12"/>
      <c r="DX25" s="12"/>
      <c r="DY25" s="12">
        <v>1</v>
      </c>
      <c r="DZ25" s="12"/>
      <c r="EA25" s="12">
        <v>1</v>
      </c>
    </row>
    <row r="26" spans="2:131" outlineLevel="1">
      <c r="B26" t="s">
        <v>28</v>
      </c>
      <c r="C26" t="s">
        <v>104</v>
      </c>
      <c r="E26" s="11"/>
      <c r="F26" t="s">
        <v>109</v>
      </c>
      <c r="G26" s="12">
        <v>0.1</v>
      </c>
      <c r="I26" s="11">
        <f>+SUMIF($N$3:$YD$3,I$3,$N26:$YD26)</f>
        <v>0</v>
      </c>
      <c r="J26" s="13" cm="1">
        <f t="array" ref="J26">MAX(IF($N$3:$CL$3=$J$3,N26:CL26))</f>
        <v>0</v>
      </c>
      <c r="K26" s="13" cm="1">
        <f t="array" ref="K26">MAX(IF($N$3:$CL$3=$J$3,N26:CL26))</f>
        <v>0</v>
      </c>
      <c r="L26" s="11"/>
      <c r="P26" s="12"/>
      <c r="Q26" s="12">
        <v>0.5</v>
      </c>
      <c r="R26" s="12"/>
      <c r="S26" s="12">
        <v>0.5</v>
      </c>
      <c r="W26" s="12"/>
      <c r="X26" s="12">
        <v>0.8</v>
      </c>
      <c r="Y26" s="12"/>
      <c r="Z26" s="12">
        <v>0.8</v>
      </c>
      <c r="AD26" s="12"/>
      <c r="AE26" s="12">
        <v>0.8</v>
      </c>
      <c r="AF26" s="12"/>
      <c r="AG26" s="12">
        <v>0.8</v>
      </c>
      <c r="AK26" s="12"/>
      <c r="AL26" s="12">
        <v>0.8</v>
      </c>
      <c r="AM26" s="12"/>
      <c r="AN26" s="12">
        <v>0.8</v>
      </c>
      <c r="AR26" s="12"/>
      <c r="AS26" s="12">
        <v>0.8</v>
      </c>
      <c r="AT26" s="12"/>
      <c r="AU26" s="12">
        <v>0.8</v>
      </c>
      <c r="AY26" s="12"/>
      <c r="AZ26" s="12">
        <v>0.8</v>
      </c>
      <c r="BA26" s="12"/>
      <c r="BB26" s="12">
        <v>0.8</v>
      </c>
      <c r="BF26" s="12"/>
      <c r="BG26" s="12">
        <v>0.8</v>
      </c>
      <c r="BH26" s="12"/>
      <c r="BI26" s="12">
        <v>0.8</v>
      </c>
      <c r="BM26" s="12"/>
      <c r="BN26" s="12">
        <v>0.8</v>
      </c>
      <c r="BO26" s="12"/>
      <c r="BP26" s="12">
        <v>0.8</v>
      </c>
      <c r="BT26" s="12"/>
      <c r="BU26" s="12">
        <v>1</v>
      </c>
      <c r="BV26" s="12"/>
      <c r="BW26" s="12">
        <v>1</v>
      </c>
      <c r="CA26" s="12"/>
      <c r="CB26" s="12">
        <v>1</v>
      </c>
      <c r="CC26" s="12"/>
      <c r="CD26" s="12">
        <v>1</v>
      </c>
      <c r="CH26" s="12"/>
      <c r="CI26" s="12">
        <v>1</v>
      </c>
      <c r="CJ26" s="12"/>
      <c r="CK26" s="12">
        <v>1</v>
      </c>
      <c r="CO26" s="12"/>
      <c r="CP26" s="12">
        <v>1</v>
      </c>
      <c r="CQ26" s="12"/>
      <c r="CR26" s="12">
        <v>1</v>
      </c>
      <c r="CV26" s="12"/>
      <c r="CW26" s="12"/>
      <c r="CX26" s="12"/>
      <c r="CY26" s="12"/>
      <c r="DC26" s="12"/>
      <c r="DD26" s="12"/>
      <c r="DE26" s="12"/>
      <c r="DF26" s="12"/>
      <c r="DJ26" s="12"/>
      <c r="DK26" s="12"/>
      <c r="DL26" s="12"/>
      <c r="DM26" s="12"/>
      <c r="DQ26" s="12"/>
      <c r="DR26" s="12"/>
      <c r="DS26" s="12"/>
      <c r="DT26" s="12"/>
      <c r="DX26" s="12"/>
      <c r="DY26" s="12">
        <v>1</v>
      </c>
      <c r="DZ26" s="12"/>
      <c r="EA26" s="12">
        <v>1</v>
      </c>
    </row>
    <row r="27" spans="2:131" outlineLevel="1">
      <c r="B27" t="s">
        <v>28</v>
      </c>
      <c r="C27" t="s">
        <v>104</v>
      </c>
      <c r="E27" s="11"/>
      <c r="F27" t="s">
        <v>110</v>
      </c>
      <c r="G27" s="12">
        <v>0.1</v>
      </c>
      <c r="I27" s="11">
        <f>+SUMIF($N$3:$YD$3,I$3,$N27:$YD27)</f>
        <v>0</v>
      </c>
      <c r="J27" s="13" cm="1">
        <f t="array" ref="J27">MAX(IF($N$3:$CL$3=$J$3,N27:CL27))</f>
        <v>0</v>
      </c>
      <c r="K27" s="13" cm="1">
        <f t="array" ref="K27">MAX(IF($N$3:$CL$3=$J$3,N27:CL27))</f>
        <v>0</v>
      </c>
      <c r="L27" s="11"/>
      <c r="P27" s="12"/>
      <c r="Q27" s="12">
        <v>0.5</v>
      </c>
      <c r="R27" s="12"/>
      <c r="S27" s="12">
        <v>0.5</v>
      </c>
      <c r="W27" s="12"/>
      <c r="X27" s="12">
        <v>0.5</v>
      </c>
      <c r="Y27" s="12"/>
      <c r="Z27" s="12">
        <v>0.5</v>
      </c>
      <c r="AD27" s="12"/>
      <c r="AE27" s="12">
        <v>0.8</v>
      </c>
      <c r="AF27" s="12"/>
      <c r="AG27" s="12">
        <v>0.8</v>
      </c>
      <c r="AK27" s="12"/>
      <c r="AL27" s="12">
        <v>0.8</v>
      </c>
      <c r="AM27" s="12"/>
      <c r="AN27" s="12">
        <v>0.8</v>
      </c>
      <c r="AR27" s="12"/>
      <c r="AS27" s="12">
        <v>0.8</v>
      </c>
      <c r="AT27" s="12"/>
      <c r="AU27" s="12">
        <v>0.8</v>
      </c>
      <c r="AY27" s="12"/>
      <c r="AZ27" s="12">
        <v>0.8</v>
      </c>
      <c r="BA27" s="12"/>
      <c r="BB27" s="12">
        <v>0.8</v>
      </c>
      <c r="BF27" s="12"/>
      <c r="BG27" s="12">
        <v>0.8</v>
      </c>
      <c r="BH27" s="12"/>
      <c r="BI27" s="12">
        <v>0.8</v>
      </c>
      <c r="BM27" s="12"/>
      <c r="BN27" s="12">
        <v>0.8</v>
      </c>
      <c r="BO27" s="12"/>
      <c r="BP27" s="12">
        <v>0.8</v>
      </c>
      <c r="BT27" s="12"/>
      <c r="BU27" s="12">
        <v>0.8</v>
      </c>
      <c r="BV27" s="12"/>
      <c r="BW27" s="12">
        <v>0.8</v>
      </c>
      <c r="CA27" s="12"/>
      <c r="CB27" s="12">
        <v>1</v>
      </c>
      <c r="CC27" s="12"/>
      <c r="CD27" s="12">
        <v>1</v>
      </c>
      <c r="CH27" s="12"/>
      <c r="CI27" s="12">
        <v>1</v>
      </c>
      <c r="CJ27" s="12"/>
      <c r="CK27" s="12">
        <v>1</v>
      </c>
      <c r="CO27" s="12"/>
      <c r="CP27" s="12">
        <v>1</v>
      </c>
      <c r="CQ27" s="12"/>
      <c r="CR27" s="12">
        <v>1</v>
      </c>
      <c r="CV27" s="12"/>
      <c r="CW27" s="12"/>
      <c r="CX27" s="12"/>
      <c r="CY27" s="12"/>
      <c r="DC27" s="12"/>
      <c r="DD27" s="12"/>
      <c r="DE27" s="12"/>
      <c r="DF27" s="12"/>
      <c r="DJ27" s="12"/>
      <c r="DK27" s="12"/>
      <c r="DL27" s="12"/>
      <c r="DM27" s="12"/>
      <c r="DQ27" s="12"/>
      <c r="DR27" s="12"/>
      <c r="DS27" s="12"/>
      <c r="DT27" s="12"/>
      <c r="DX27" s="12"/>
      <c r="DY27" s="12">
        <v>1</v>
      </c>
      <c r="DZ27" s="12"/>
      <c r="EA27" s="12">
        <v>1</v>
      </c>
    </row>
    <row r="28" spans="2:131" outlineLevel="1">
      <c r="B28" t="s">
        <v>28</v>
      </c>
      <c r="C28" t="s">
        <v>104</v>
      </c>
      <c r="E28" s="11"/>
      <c r="F28" t="s">
        <v>111</v>
      </c>
      <c r="G28" s="12">
        <v>0.1</v>
      </c>
      <c r="I28" s="11">
        <f>+SUMIF($N$3:$YD$3,I$3,$N28:$YD28)</f>
        <v>0</v>
      </c>
      <c r="J28" s="13" cm="1">
        <f t="array" ref="J28">MAX(IF($N$3:$CL$3=$J$3,N28:CL28))</f>
        <v>0</v>
      </c>
      <c r="K28" s="13" cm="1">
        <f t="array" ref="K28">MAX(IF($N$3:$CL$3=$J$3,N28:CL28))</f>
        <v>0</v>
      </c>
      <c r="L28" s="11"/>
      <c r="P28" s="12"/>
      <c r="Q28" s="12">
        <v>0.5</v>
      </c>
      <c r="R28" s="12"/>
      <c r="S28" s="12">
        <v>0.5</v>
      </c>
      <c r="W28" s="12"/>
      <c r="X28" s="12">
        <v>0.5</v>
      </c>
      <c r="Y28" s="12"/>
      <c r="Z28" s="12">
        <v>0.5</v>
      </c>
      <c r="AD28" s="12"/>
      <c r="AE28" s="12">
        <v>0.8</v>
      </c>
      <c r="AF28" s="12"/>
      <c r="AG28" s="12">
        <v>0.8</v>
      </c>
      <c r="AK28" s="12"/>
      <c r="AL28" s="12">
        <v>0.8</v>
      </c>
      <c r="AM28" s="12"/>
      <c r="AN28" s="12">
        <v>0.8</v>
      </c>
      <c r="AR28" s="12"/>
      <c r="AS28" s="12">
        <v>0.8</v>
      </c>
      <c r="AT28" s="12"/>
      <c r="AU28" s="12">
        <v>0.8</v>
      </c>
      <c r="AY28" s="12"/>
      <c r="AZ28" s="12">
        <v>0.8</v>
      </c>
      <c r="BA28" s="12"/>
      <c r="BB28" s="12">
        <v>0.8</v>
      </c>
      <c r="BF28" s="12"/>
      <c r="BG28" s="12">
        <v>0.8</v>
      </c>
      <c r="BH28" s="12"/>
      <c r="BI28" s="12">
        <v>0.8</v>
      </c>
      <c r="BM28" s="12"/>
      <c r="BN28" s="12">
        <v>0.8</v>
      </c>
      <c r="BO28" s="12"/>
      <c r="BP28" s="12">
        <v>0.8</v>
      </c>
      <c r="BT28" s="12"/>
      <c r="BU28" s="12">
        <v>0.8</v>
      </c>
      <c r="BV28" s="12"/>
      <c r="BW28" s="12">
        <v>0.8</v>
      </c>
      <c r="CA28" s="12"/>
      <c r="CB28" s="12">
        <v>1</v>
      </c>
      <c r="CC28" s="12"/>
      <c r="CD28" s="12">
        <v>1</v>
      </c>
      <c r="CH28" s="12"/>
      <c r="CI28" s="12">
        <v>1</v>
      </c>
      <c r="CJ28" s="12"/>
      <c r="CK28" s="12">
        <v>1</v>
      </c>
      <c r="CO28" s="12"/>
      <c r="CP28" s="12">
        <v>1</v>
      </c>
      <c r="CQ28" s="12"/>
      <c r="CR28" s="12">
        <v>1</v>
      </c>
      <c r="CV28" s="12"/>
      <c r="CW28" s="12"/>
      <c r="CX28" s="12"/>
      <c r="CY28" s="12"/>
      <c r="DC28" s="12"/>
      <c r="DD28" s="12"/>
      <c r="DE28" s="12"/>
      <c r="DF28" s="12"/>
      <c r="DJ28" s="12"/>
      <c r="DK28" s="12"/>
      <c r="DL28" s="12"/>
      <c r="DM28" s="12"/>
      <c r="DQ28" s="12"/>
      <c r="DR28" s="12"/>
      <c r="DS28" s="12"/>
      <c r="DT28" s="12"/>
      <c r="DX28" s="12"/>
      <c r="DY28" s="12">
        <v>1</v>
      </c>
      <c r="DZ28" s="12"/>
      <c r="EA28" s="12">
        <v>1</v>
      </c>
    </row>
    <row r="29" spans="2:131" outlineLevel="1">
      <c r="B29" t="s">
        <v>28</v>
      </c>
      <c r="C29" t="s">
        <v>104</v>
      </c>
      <c r="E29" s="11"/>
      <c r="F29" t="s">
        <v>112</v>
      </c>
      <c r="G29" s="12">
        <v>0.1</v>
      </c>
      <c r="I29" s="11">
        <f>+SUMIF($N$3:$YD$3,I$3,$N29:$YD29)</f>
        <v>0</v>
      </c>
      <c r="J29" s="13" cm="1">
        <f t="array" ref="J29">MAX(IF($N$3:$CL$3=$J$3,N29:CL29))</f>
        <v>0</v>
      </c>
      <c r="K29" s="13" cm="1">
        <f t="array" ref="K29">MAX(IF($N$3:$CL$3=$J$3,N29:CL29))</f>
        <v>0</v>
      </c>
      <c r="L29" s="11"/>
      <c r="P29" s="12"/>
      <c r="Q29" s="12">
        <v>0.5</v>
      </c>
      <c r="R29" s="12"/>
      <c r="S29" s="12">
        <v>0.5</v>
      </c>
      <c r="W29" s="12"/>
      <c r="X29" s="12">
        <v>0.5</v>
      </c>
      <c r="Y29" s="12"/>
      <c r="Z29" s="12">
        <v>0.5</v>
      </c>
      <c r="AD29" s="12"/>
      <c r="AE29" s="12">
        <v>0.5</v>
      </c>
      <c r="AF29" s="12"/>
      <c r="AG29" s="12">
        <v>0.5</v>
      </c>
      <c r="AK29" s="12"/>
      <c r="AL29" s="12">
        <v>0.8</v>
      </c>
      <c r="AM29" s="12"/>
      <c r="AN29" s="12">
        <v>0.8</v>
      </c>
      <c r="AR29" s="12"/>
      <c r="AS29" s="12">
        <v>0.8</v>
      </c>
      <c r="AT29" s="12"/>
      <c r="AU29" s="12">
        <v>0.8</v>
      </c>
      <c r="AY29" s="12"/>
      <c r="AZ29" s="12">
        <v>0.8</v>
      </c>
      <c r="BA29" s="12"/>
      <c r="BB29" s="12">
        <v>0.8</v>
      </c>
      <c r="BF29" s="12"/>
      <c r="BG29" s="12">
        <v>0.8</v>
      </c>
      <c r="BH29" s="12"/>
      <c r="BI29" s="12">
        <v>0.8</v>
      </c>
      <c r="BM29" s="12"/>
      <c r="BN29" s="12">
        <v>0.8</v>
      </c>
      <c r="BO29" s="12"/>
      <c r="BP29" s="12">
        <v>0.8</v>
      </c>
      <c r="BT29" s="12"/>
      <c r="BU29" s="12">
        <v>0.8</v>
      </c>
      <c r="BV29" s="12"/>
      <c r="BW29" s="12">
        <v>0.8</v>
      </c>
      <c r="CA29" s="12"/>
      <c r="CB29" s="12">
        <v>0.8</v>
      </c>
      <c r="CC29" s="12"/>
      <c r="CD29" s="12">
        <v>0.8</v>
      </c>
      <c r="CH29" s="12"/>
      <c r="CI29" s="12">
        <v>1</v>
      </c>
      <c r="CJ29" s="12"/>
      <c r="CK29" s="12">
        <v>1</v>
      </c>
      <c r="CO29" s="12"/>
      <c r="CP29" s="12">
        <v>1</v>
      </c>
      <c r="CQ29" s="12"/>
      <c r="CR29" s="12">
        <v>1</v>
      </c>
      <c r="CV29" s="12"/>
      <c r="CW29" s="12"/>
      <c r="CX29" s="12"/>
      <c r="CY29" s="12"/>
      <c r="DC29" s="12"/>
      <c r="DD29" s="12"/>
      <c r="DE29" s="12"/>
      <c r="DF29" s="12"/>
      <c r="DJ29" s="12"/>
      <c r="DK29" s="12"/>
      <c r="DL29" s="12"/>
      <c r="DM29" s="12"/>
      <c r="DQ29" s="12"/>
      <c r="DR29" s="12"/>
      <c r="DS29" s="12"/>
      <c r="DT29" s="12"/>
      <c r="DX29" s="12"/>
      <c r="DY29" s="12">
        <v>1</v>
      </c>
      <c r="DZ29" s="12"/>
      <c r="EA29" s="12">
        <v>1</v>
      </c>
    </row>
    <row r="30" spans="2:131" outlineLevel="1">
      <c r="B30" t="s">
        <v>28</v>
      </c>
      <c r="C30" t="s">
        <v>104</v>
      </c>
      <c r="E30" s="11"/>
      <c r="F30" t="s">
        <v>113</v>
      </c>
      <c r="G30" s="12">
        <v>0.1</v>
      </c>
      <c r="I30" s="11">
        <f>+SUMIF($N$3:$YD$3,I$3,$N30:$YD30)</f>
        <v>0</v>
      </c>
      <c r="J30" s="13" cm="1">
        <f t="array" ref="J30">MAX(IF($N$3:$CL$3=$J$3,N30:CL30))</f>
        <v>0</v>
      </c>
      <c r="K30" s="13" cm="1">
        <f t="array" ref="K30">MAX(IF($N$3:$CL$3=$J$3,N30:CL30))</f>
        <v>0</v>
      </c>
      <c r="L30" s="11"/>
      <c r="P30" s="12"/>
      <c r="Q30" s="12">
        <v>0.5</v>
      </c>
      <c r="R30" s="12"/>
      <c r="S30" s="12">
        <v>0.5</v>
      </c>
      <c r="W30" s="12"/>
      <c r="X30" s="12">
        <v>0.5</v>
      </c>
      <c r="Y30" s="12"/>
      <c r="Z30" s="12">
        <v>0.5</v>
      </c>
      <c r="AD30" s="12"/>
      <c r="AE30" s="12">
        <v>0.5</v>
      </c>
      <c r="AF30" s="12"/>
      <c r="AG30" s="12">
        <v>0.5</v>
      </c>
      <c r="AK30" s="12"/>
      <c r="AL30" s="12">
        <v>0.8</v>
      </c>
      <c r="AM30" s="12"/>
      <c r="AN30" s="12">
        <v>0.8</v>
      </c>
      <c r="AR30" s="12"/>
      <c r="AS30" s="12">
        <v>0.8</v>
      </c>
      <c r="AT30" s="12"/>
      <c r="AU30" s="12">
        <v>0.8</v>
      </c>
      <c r="AY30" s="12"/>
      <c r="AZ30" s="12">
        <v>0.8</v>
      </c>
      <c r="BA30" s="12"/>
      <c r="BB30" s="12">
        <v>0.8</v>
      </c>
      <c r="BF30" s="12"/>
      <c r="BG30" s="12">
        <v>0.8</v>
      </c>
      <c r="BH30" s="12"/>
      <c r="BI30" s="12">
        <v>0.8</v>
      </c>
      <c r="BM30" s="12"/>
      <c r="BN30" s="12">
        <v>0.8</v>
      </c>
      <c r="BO30" s="12"/>
      <c r="BP30" s="12">
        <v>0.8</v>
      </c>
      <c r="BT30" s="12"/>
      <c r="BU30" s="12">
        <v>0.8</v>
      </c>
      <c r="BV30" s="12"/>
      <c r="BW30" s="12">
        <v>0.8</v>
      </c>
      <c r="CA30" s="12"/>
      <c r="CB30" s="12">
        <v>0.8</v>
      </c>
      <c r="CC30" s="12"/>
      <c r="CD30" s="12">
        <v>0.8</v>
      </c>
      <c r="CH30" s="12"/>
      <c r="CI30" s="12">
        <v>1</v>
      </c>
      <c r="CJ30" s="12"/>
      <c r="CK30" s="12">
        <v>1</v>
      </c>
      <c r="CO30" s="12"/>
      <c r="CP30" s="12">
        <v>1</v>
      </c>
      <c r="CQ30" s="12"/>
      <c r="CR30" s="12">
        <v>1</v>
      </c>
      <c r="CV30" s="12"/>
      <c r="CW30" s="12"/>
      <c r="CX30" s="12"/>
      <c r="CY30" s="12"/>
      <c r="DC30" s="12"/>
      <c r="DD30" s="12"/>
      <c r="DE30" s="12"/>
      <c r="DF30" s="12"/>
      <c r="DJ30" s="12"/>
      <c r="DK30" s="12"/>
      <c r="DL30" s="12"/>
      <c r="DM30" s="12"/>
      <c r="DQ30" s="12"/>
      <c r="DR30" s="12"/>
      <c r="DS30" s="12"/>
      <c r="DT30" s="12"/>
      <c r="DX30" s="12"/>
      <c r="DY30" s="12">
        <v>1</v>
      </c>
      <c r="DZ30" s="12"/>
      <c r="EA30" s="12">
        <v>1</v>
      </c>
    </row>
    <row r="31" spans="2:131" outlineLevel="1">
      <c r="B31" t="s">
        <v>28</v>
      </c>
      <c r="C31" t="s">
        <v>104</v>
      </c>
      <c r="E31" s="11"/>
      <c r="F31" t="s">
        <v>114</v>
      </c>
      <c r="G31" s="12">
        <v>0.1</v>
      </c>
      <c r="I31" s="11">
        <f>+SUMIF($N$3:$YD$3,I$3,$N31:$YD31)</f>
        <v>0</v>
      </c>
      <c r="J31" s="13" cm="1">
        <f t="array" ref="J31">MAX(IF($N$3:$CL$3=$J$3,N31:CL31))</f>
        <v>0</v>
      </c>
      <c r="K31" s="13" cm="1">
        <f t="array" ref="K31">MAX(IF($N$3:$CL$3=$J$3,N31:CL31))</f>
        <v>0</v>
      </c>
      <c r="L31" s="11"/>
      <c r="P31" s="12"/>
      <c r="Q31" s="12">
        <v>0.5</v>
      </c>
      <c r="R31" s="12"/>
      <c r="S31" s="12">
        <v>0.5</v>
      </c>
      <c r="W31" s="12"/>
      <c r="X31" s="12">
        <v>0.5</v>
      </c>
      <c r="Y31" s="12"/>
      <c r="Z31" s="12">
        <v>0.5</v>
      </c>
      <c r="AD31" s="12"/>
      <c r="AE31" s="12">
        <v>0.5</v>
      </c>
      <c r="AF31" s="12"/>
      <c r="AG31" s="12">
        <v>0.5</v>
      </c>
      <c r="AK31" s="12"/>
      <c r="AL31" s="12">
        <v>0.5</v>
      </c>
      <c r="AM31" s="12"/>
      <c r="AN31" s="12">
        <v>0.5</v>
      </c>
      <c r="AR31" s="12"/>
      <c r="AS31" s="12">
        <v>0.8</v>
      </c>
      <c r="AT31" s="12"/>
      <c r="AU31" s="12">
        <v>0.8</v>
      </c>
      <c r="AY31" s="12"/>
      <c r="AZ31" s="12">
        <v>0.8</v>
      </c>
      <c r="BA31" s="12"/>
      <c r="BB31" s="12">
        <v>0.8</v>
      </c>
      <c r="BF31" s="12"/>
      <c r="BG31" s="12">
        <v>0.8</v>
      </c>
      <c r="BH31" s="12"/>
      <c r="BI31" s="12">
        <v>0.8</v>
      </c>
      <c r="BM31" s="12"/>
      <c r="BN31" s="12">
        <v>0.8</v>
      </c>
      <c r="BO31" s="12"/>
      <c r="BP31" s="12">
        <v>0.8</v>
      </c>
      <c r="BT31" s="12"/>
      <c r="BU31" s="12">
        <v>0.8</v>
      </c>
      <c r="BV31" s="12"/>
      <c r="BW31" s="12">
        <v>0.8</v>
      </c>
      <c r="CA31" s="12"/>
      <c r="CB31" s="12">
        <v>0.8</v>
      </c>
      <c r="CC31" s="12"/>
      <c r="CD31" s="12">
        <v>0.8</v>
      </c>
      <c r="CH31" s="12"/>
      <c r="CI31" s="12">
        <v>0.8</v>
      </c>
      <c r="CJ31" s="12"/>
      <c r="CK31" s="12">
        <v>0.8</v>
      </c>
      <c r="CO31" s="12"/>
      <c r="CP31" s="12">
        <v>1</v>
      </c>
      <c r="CQ31" s="12"/>
      <c r="CR31" s="12">
        <v>1</v>
      </c>
      <c r="CV31" s="12"/>
      <c r="CW31" s="12"/>
      <c r="CX31" s="12"/>
      <c r="CY31" s="12"/>
      <c r="DC31" s="12"/>
      <c r="DD31" s="12"/>
      <c r="DE31" s="12"/>
      <c r="DF31" s="12"/>
      <c r="DJ31" s="12"/>
      <c r="DK31" s="12"/>
      <c r="DL31" s="12"/>
      <c r="DM31" s="12"/>
      <c r="DQ31" s="12"/>
      <c r="DR31" s="12"/>
      <c r="DS31" s="12"/>
      <c r="DT31" s="12"/>
      <c r="DX31" s="12"/>
      <c r="DY31" s="12">
        <v>1</v>
      </c>
      <c r="DZ31" s="12"/>
      <c r="EA31" s="12">
        <v>1</v>
      </c>
    </row>
    <row r="32" spans="2:131" outlineLevel="1">
      <c r="B32" t="s">
        <v>28</v>
      </c>
      <c r="C32" t="s">
        <v>104</v>
      </c>
      <c r="E32" s="11"/>
      <c r="F32" t="s">
        <v>115</v>
      </c>
      <c r="G32" s="12">
        <v>0.1</v>
      </c>
      <c r="I32" s="11">
        <f>+SUMIF($N$3:$YD$3,I$3,$N32:$YD32)</f>
        <v>0</v>
      </c>
      <c r="J32" s="13" cm="1">
        <f t="array" ref="J32">MAX(IF($N$3:$CL$3=$J$3,N32:CL32))</f>
        <v>0</v>
      </c>
      <c r="K32" s="13" cm="1">
        <f t="array" ref="K32">MAX(IF($N$3:$CL$3=$J$3,N32:CL32))</f>
        <v>0</v>
      </c>
      <c r="L32" s="11"/>
      <c r="P32" s="12"/>
      <c r="Q32" s="12">
        <v>0.5</v>
      </c>
      <c r="R32" s="12"/>
      <c r="S32" s="12">
        <v>0.5</v>
      </c>
      <c r="W32" s="12"/>
      <c r="X32" s="12">
        <v>0.5</v>
      </c>
      <c r="Y32" s="12"/>
      <c r="Z32" s="12">
        <v>0.5</v>
      </c>
      <c r="AD32" s="12"/>
      <c r="AE32" s="12">
        <v>0.5</v>
      </c>
      <c r="AF32" s="12"/>
      <c r="AG32" s="12">
        <v>0.5</v>
      </c>
      <c r="AK32" s="12"/>
      <c r="AL32" s="12">
        <v>0.5</v>
      </c>
      <c r="AM32" s="12"/>
      <c r="AN32" s="12">
        <v>0.5</v>
      </c>
      <c r="AR32" s="12"/>
      <c r="AS32" s="12">
        <v>0.8</v>
      </c>
      <c r="AT32" s="12"/>
      <c r="AU32" s="12">
        <v>0.8</v>
      </c>
      <c r="AY32" s="12"/>
      <c r="AZ32" s="12">
        <v>0.8</v>
      </c>
      <c r="BA32" s="12"/>
      <c r="BB32" s="12">
        <v>0.8</v>
      </c>
      <c r="BF32" s="12"/>
      <c r="BG32" s="12">
        <v>0.8</v>
      </c>
      <c r="BH32" s="12"/>
      <c r="BI32" s="12">
        <v>0.8</v>
      </c>
      <c r="BM32" s="12"/>
      <c r="BN32" s="12">
        <v>0.8</v>
      </c>
      <c r="BO32" s="12"/>
      <c r="BP32" s="12">
        <v>0.8</v>
      </c>
      <c r="BT32" s="12"/>
      <c r="BU32" s="12">
        <v>0.8</v>
      </c>
      <c r="BV32" s="12"/>
      <c r="BW32" s="12">
        <v>0.8</v>
      </c>
      <c r="CA32" s="12"/>
      <c r="CB32" s="12">
        <v>0.8</v>
      </c>
      <c r="CC32" s="12"/>
      <c r="CD32" s="12">
        <v>0.8</v>
      </c>
      <c r="CH32" s="12"/>
      <c r="CI32" s="12">
        <v>0.8</v>
      </c>
      <c r="CJ32" s="12"/>
      <c r="CK32" s="12">
        <v>0.8</v>
      </c>
      <c r="CO32" s="12"/>
      <c r="CP32" s="12">
        <v>1</v>
      </c>
      <c r="CQ32" s="12"/>
      <c r="CR32" s="12">
        <v>1</v>
      </c>
      <c r="CV32" s="12"/>
      <c r="CW32" s="12"/>
      <c r="CX32" s="12"/>
      <c r="CY32" s="12"/>
      <c r="DC32" s="12"/>
      <c r="DD32" s="12"/>
      <c r="DE32" s="12"/>
      <c r="DF32" s="12"/>
      <c r="DJ32" s="12"/>
      <c r="DK32" s="12"/>
      <c r="DL32" s="12"/>
      <c r="DM32" s="12"/>
      <c r="DQ32" s="12"/>
      <c r="DR32" s="12"/>
      <c r="DS32" s="12"/>
      <c r="DT32" s="12"/>
      <c r="DX32" s="12"/>
      <c r="DY32" s="12">
        <v>1</v>
      </c>
      <c r="DZ32" s="12"/>
      <c r="EA32" s="12">
        <v>1</v>
      </c>
    </row>
    <row r="33" spans="2:131">
      <c r="Q33" s="12"/>
      <c r="S33" s="12"/>
      <c r="X33" s="12"/>
      <c r="Z33" s="12"/>
      <c r="AE33" s="12"/>
      <c r="AG33" s="12"/>
      <c r="AL33" s="12"/>
      <c r="AN33" s="12"/>
      <c r="AS33" s="12"/>
      <c r="AU33" s="12"/>
      <c r="AZ33" s="12"/>
      <c r="BB33" s="12"/>
      <c r="BG33" s="12"/>
      <c r="BI33" s="12"/>
      <c r="BN33" s="12"/>
      <c r="BP33" s="12"/>
      <c r="BU33" s="12"/>
      <c r="BW33" s="12"/>
      <c r="CB33" s="12"/>
      <c r="CD33" s="12"/>
      <c r="CI33" s="12"/>
      <c r="CK33" s="12"/>
      <c r="CP33" s="12"/>
      <c r="CR33" s="12"/>
    </row>
    <row r="34" spans="2:131">
      <c r="B34" s="3" t="s">
        <v>27</v>
      </c>
      <c r="C34" s="3" t="s">
        <v>116</v>
      </c>
      <c r="D34" s="22">
        <v>44943</v>
      </c>
      <c r="E34" s="11">
        <v>12</v>
      </c>
      <c r="G34" s="12">
        <f>+SUM(G35:G41)</f>
        <v>0.64999999999999991</v>
      </c>
      <c r="I34" s="14">
        <f>+SUM(I35:I41)</f>
        <v>0</v>
      </c>
      <c r="J34" s="13">
        <f>+SUMPRODUCT(G35:G41,J35:J41)</f>
        <v>0</v>
      </c>
      <c r="K34" s="13">
        <f>+SUMPRODUCT(G35:G41,K35:K41)</f>
        <v>0</v>
      </c>
      <c r="L34" s="11"/>
      <c r="Q34" s="12"/>
      <c r="S34" s="12"/>
      <c r="X34" s="12"/>
      <c r="Z34" s="12"/>
      <c r="AE34" s="12"/>
      <c r="AG34" s="12"/>
      <c r="AL34" s="12"/>
      <c r="AN34" s="12"/>
      <c r="AS34" s="12"/>
      <c r="AU34" s="12"/>
      <c r="AZ34" s="12"/>
      <c r="BB34" s="12"/>
      <c r="BG34" s="12"/>
      <c r="BI34" s="12"/>
      <c r="BN34" s="12"/>
      <c r="BP34" s="12"/>
      <c r="BU34" s="12"/>
      <c r="BW34" s="12"/>
      <c r="CB34" s="12"/>
      <c r="CD34" s="12"/>
      <c r="CI34" s="12"/>
      <c r="CK34" s="12"/>
      <c r="CP34" s="12"/>
      <c r="CR34" s="12"/>
    </row>
    <row r="35" spans="2:131" outlineLevel="1">
      <c r="B35" t="s">
        <v>28</v>
      </c>
      <c r="C35" t="s">
        <v>117</v>
      </c>
      <c r="E35" s="11"/>
      <c r="F35" t="s">
        <v>119</v>
      </c>
      <c r="G35" s="12">
        <v>0.1</v>
      </c>
      <c r="I35" s="11">
        <f>+SUMIF($N$3:$YD$3,I$3,$N35:$YD35)</f>
        <v>0</v>
      </c>
      <c r="J35" s="13" cm="1">
        <f t="array" ref="J35">MAX(IF($N$3:$CL$3=$J$3,N35:CL35))</f>
        <v>0</v>
      </c>
      <c r="K35" s="13" cm="1">
        <f t="array" ref="K35">MAX(IF($N$3:$CL$3=$J$3,N35:CL35))</f>
        <v>0</v>
      </c>
      <c r="L35" s="11"/>
      <c r="P35" s="12"/>
      <c r="Q35" s="12">
        <v>0.8</v>
      </c>
      <c r="R35" s="12"/>
      <c r="S35" s="12">
        <v>0.8</v>
      </c>
      <c r="W35" s="12"/>
      <c r="X35" s="12">
        <v>0.8</v>
      </c>
      <c r="Y35" s="12"/>
      <c r="Z35" s="12">
        <v>0.8</v>
      </c>
      <c r="AD35" s="12"/>
      <c r="AE35" s="12">
        <v>0.8</v>
      </c>
      <c r="AF35" s="12"/>
      <c r="AG35" s="12">
        <v>0.8</v>
      </c>
      <c r="AK35" s="12"/>
      <c r="AL35" s="12">
        <v>0.8</v>
      </c>
      <c r="AM35" s="12"/>
      <c r="AN35" s="12">
        <v>0.8</v>
      </c>
      <c r="AR35" s="12"/>
      <c r="AS35" s="12">
        <v>0.8</v>
      </c>
      <c r="AT35" s="12"/>
      <c r="AU35" s="12">
        <v>0.8</v>
      </c>
      <c r="AY35" s="12"/>
      <c r="AZ35" s="12">
        <v>0.8</v>
      </c>
      <c r="BA35" s="12"/>
      <c r="BB35" s="12">
        <v>0.8</v>
      </c>
      <c r="BF35" s="12"/>
      <c r="BG35" s="12">
        <v>1</v>
      </c>
      <c r="BH35" s="12"/>
      <c r="BI35" s="12">
        <v>1</v>
      </c>
      <c r="BM35" s="12"/>
      <c r="BN35" s="12">
        <v>1</v>
      </c>
      <c r="BO35" s="12"/>
      <c r="BP35" s="12">
        <v>1</v>
      </c>
      <c r="BT35" s="12"/>
      <c r="BU35" s="12">
        <v>1</v>
      </c>
      <c r="BV35" s="12"/>
      <c r="BW35" s="12">
        <v>1</v>
      </c>
      <c r="CA35" s="12"/>
      <c r="CB35" s="12">
        <v>1</v>
      </c>
      <c r="CC35" s="12"/>
      <c r="CD35" s="12">
        <v>1</v>
      </c>
      <c r="CH35" s="12"/>
      <c r="CI35" s="12">
        <v>1</v>
      </c>
      <c r="CJ35" s="12"/>
      <c r="CK35" s="12">
        <v>1</v>
      </c>
      <c r="CO35" s="12"/>
      <c r="CP35" s="12">
        <v>1</v>
      </c>
      <c r="CQ35" s="12"/>
      <c r="CR35" s="12">
        <v>1</v>
      </c>
      <c r="CV35" s="12"/>
      <c r="CW35" s="12"/>
      <c r="CX35" s="12"/>
      <c r="CY35" s="12"/>
      <c r="DC35" s="12"/>
      <c r="DD35" s="12"/>
      <c r="DE35" s="12"/>
      <c r="DF35" s="12"/>
      <c r="DJ35" s="12"/>
      <c r="DK35" s="12"/>
      <c r="DL35" s="12"/>
      <c r="DM35" s="12"/>
      <c r="DQ35" s="12"/>
      <c r="DR35" s="12"/>
      <c r="DS35" s="12"/>
      <c r="DT35" s="12"/>
      <c r="DX35" s="12"/>
      <c r="DY35" s="12">
        <v>1</v>
      </c>
      <c r="DZ35" s="12"/>
      <c r="EA35" s="12">
        <v>1</v>
      </c>
    </row>
    <row r="36" spans="2:131" outlineLevel="1">
      <c r="B36" t="s">
        <v>28</v>
      </c>
      <c r="C36" t="s">
        <v>117</v>
      </c>
      <c r="E36" s="11"/>
      <c r="F36" t="s">
        <v>120</v>
      </c>
      <c r="G36" s="12">
        <v>0.05</v>
      </c>
      <c r="I36" s="11">
        <f>+SUMIF($N$3:$YD$3,I$3,$N36:$YD36)</f>
        <v>0</v>
      </c>
      <c r="J36" s="13" cm="1">
        <f t="array" ref="J36">MAX(IF($N$3:$CL$3=$J$3,N36:CL36))</f>
        <v>0</v>
      </c>
      <c r="K36" s="13" cm="1">
        <f t="array" ref="K36">MAX(IF($N$3:$CL$3=$J$3,N36:CL36))</f>
        <v>0</v>
      </c>
      <c r="L36" s="11"/>
      <c r="P36" s="12"/>
      <c r="Q36" s="12">
        <v>0.8</v>
      </c>
      <c r="R36" s="12"/>
      <c r="S36" s="12">
        <v>0.8</v>
      </c>
      <c r="W36" s="12"/>
      <c r="X36" s="12">
        <v>0.8</v>
      </c>
      <c r="Y36" s="12"/>
      <c r="Z36" s="12">
        <v>0.8</v>
      </c>
      <c r="AD36" s="12"/>
      <c r="AE36" s="12">
        <v>0.8</v>
      </c>
      <c r="AF36" s="12"/>
      <c r="AG36" s="12">
        <v>0.8</v>
      </c>
      <c r="AK36" s="12"/>
      <c r="AL36" s="12">
        <v>0.8</v>
      </c>
      <c r="AM36" s="12"/>
      <c r="AN36" s="12">
        <v>0.8</v>
      </c>
      <c r="AR36" s="12"/>
      <c r="AS36" s="12">
        <v>0.8</v>
      </c>
      <c r="AT36" s="12"/>
      <c r="AU36" s="12">
        <v>0.8</v>
      </c>
      <c r="AY36" s="12"/>
      <c r="AZ36" s="12">
        <v>0.8</v>
      </c>
      <c r="BA36" s="12"/>
      <c r="BB36" s="12">
        <v>0.8</v>
      </c>
      <c r="BF36" s="12"/>
      <c r="BG36" s="12">
        <v>0.8</v>
      </c>
      <c r="BH36" s="12"/>
      <c r="BI36" s="12">
        <v>0.8</v>
      </c>
      <c r="BM36" s="12"/>
      <c r="BN36" s="12">
        <v>1</v>
      </c>
      <c r="BO36" s="12"/>
      <c r="BP36" s="12">
        <v>1</v>
      </c>
      <c r="BT36" s="12"/>
      <c r="BU36" s="12">
        <v>1</v>
      </c>
      <c r="BV36" s="12"/>
      <c r="BW36" s="12">
        <v>1</v>
      </c>
      <c r="CA36" s="12"/>
      <c r="CB36" s="12">
        <v>1</v>
      </c>
      <c r="CC36" s="12"/>
      <c r="CD36" s="12">
        <v>1</v>
      </c>
      <c r="CH36" s="12"/>
      <c r="CI36" s="12">
        <v>1</v>
      </c>
      <c r="CJ36" s="12"/>
      <c r="CK36" s="12">
        <v>1</v>
      </c>
      <c r="CO36" s="12"/>
      <c r="CP36" s="12">
        <v>1</v>
      </c>
      <c r="CQ36" s="12"/>
      <c r="CR36" s="12">
        <v>1</v>
      </c>
      <c r="CV36" s="12"/>
      <c r="CW36" s="12"/>
      <c r="CX36" s="12"/>
      <c r="CY36" s="12"/>
      <c r="DC36" s="12"/>
      <c r="DD36" s="12"/>
      <c r="DE36" s="12"/>
      <c r="DF36" s="12"/>
      <c r="DJ36" s="12"/>
      <c r="DK36" s="12"/>
      <c r="DL36" s="12"/>
      <c r="DM36" s="12"/>
      <c r="DQ36" s="12"/>
      <c r="DR36" s="12"/>
      <c r="DS36" s="12"/>
      <c r="DT36" s="12"/>
      <c r="DX36" s="12"/>
      <c r="DY36" s="12">
        <v>1</v>
      </c>
      <c r="DZ36" s="12"/>
      <c r="EA36" s="12">
        <v>1</v>
      </c>
    </row>
    <row r="37" spans="2:131" outlineLevel="1">
      <c r="B37" t="s">
        <v>28</v>
      </c>
      <c r="C37" t="s">
        <v>117</v>
      </c>
      <c r="E37" s="11"/>
      <c r="F37" t="s">
        <v>121</v>
      </c>
      <c r="G37" s="12">
        <v>0.1</v>
      </c>
      <c r="I37" s="11">
        <f>+SUMIF($N$3:$YD$3,I$3,$N37:$YD37)</f>
        <v>0</v>
      </c>
      <c r="J37" s="13" cm="1">
        <f t="array" ref="J37">MAX(IF($N$3:$CL$3=$J$3,N37:CL37))</f>
        <v>0</v>
      </c>
      <c r="K37" s="13" cm="1">
        <f t="array" ref="K37">MAX(IF($N$3:$CL$3=$J$3,N37:CL37))</f>
        <v>0</v>
      </c>
      <c r="L37" s="11"/>
      <c r="P37" s="12"/>
      <c r="Q37" s="12">
        <v>0.8</v>
      </c>
      <c r="R37" s="12"/>
      <c r="S37" s="12">
        <v>0.8</v>
      </c>
      <c r="W37" s="12"/>
      <c r="X37" s="12">
        <v>0.8</v>
      </c>
      <c r="Y37" s="12"/>
      <c r="Z37" s="12">
        <v>0.8</v>
      </c>
      <c r="AD37" s="12"/>
      <c r="AE37" s="12">
        <v>0.8</v>
      </c>
      <c r="AF37" s="12"/>
      <c r="AG37" s="12">
        <v>0.8</v>
      </c>
      <c r="AK37" s="12"/>
      <c r="AL37" s="12">
        <v>0.8</v>
      </c>
      <c r="AM37" s="12"/>
      <c r="AN37" s="12">
        <v>0.8</v>
      </c>
      <c r="AR37" s="12"/>
      <c r="AS37" s="12">
        <v>0.8</v>
      </c>
      <c r="AT37" s="12"/>
      <c r="AU37" s="12">
        <v>0.8</v>
      </c>
      <c r="AY37" s="12"/>
      <c r="AZ37" s="12">
        <v>0.8</v>
      </c>
      <c r="BA37" s="12"/>
      <c r="BB37" s="12">
        <v>0.8</v>
      </c>
      <c r="BF37" s="12"/>
      <c r="BG37" s="12">
        <v>0.8</v>
      </c>
      <c r="BH37" s="12"/>
      <c r="BI37" s="12">
        <v>0.8</v>
      </c>
      <c r="BM37" s="12"/>
      <c r="BN37" s="12">
        <v>1</v>
      </c>
      <c r="BO37" s="12"/>
      <c r="BP37" s="12">
        <v>1</v>
      </c>
      <c r="BT37" s="12"/>
      <c r="BU37" s="12">
        <v>1</v>
      </c>
      <c r="BV37" s="12"/>
      <c r="BW37" s="12">
        <v>1</v>
      </c>
      <c r="CA37" s="12"/>
      <c r="CB37" s="12">
        <v>1</v>
      </c>
      <c r="CC37" s="12"/>
      <c r="CD37" s="12">
        <v>1</v>
      </c>
      <c r="CH37" s="12"/>
      <c r="CI37" s="12">
        <v>1</v>
      </c>
      <c r="CJ37" s="12"/>
      <c r="CK37" s="12">
        <v>1</v>
      </c>
      <c r="CO37" s="12"/>
      <c r="CP37" s="12">
        <v>1</v>
      </c>
      <c r="CQ37" s="12"/>
      <c r="CR37" s="12">
        <v>1</v>
      </c>
      <c r="CV37" s="12"/>
      <c r="CW37" s="12"/>
      <c r="CX37" s="12"/>
      <c r="CY37" s="12"/>
      <c r="DC37" s="12"/>
      <c r="DD37" s="12"/>
      <c r="DE37" s="12"/>
      <c r="DF37" s="12"/>
      <c r="DJ37" s="12"/>
      <c r="DK37" s="12"/>
      <c r="DL37" s="12"/>
      <c r="DM37" s="12"/>
      <c r="DQ37" s="12"/>
      <c r="DR37" s="12"/>
      <c r="DS37" s="12"/>
      <c r="DT37" s="12"/>
      <c r="DX37" s="12"/>
      <c r="DY37" s="12">
        <v>1</v>
      </c>
      <c r="DZ37" s="12"/>
      <c r="EA37" s="12">
        <v>1</v>
      </c>
    </row>
    <row r="38" spans="2:131" outlineLevel="1">
      <c r="B38" t="s">
        <v>28</v>
      </c>
      <c r="C38" t="s">
        <v>117</v>
      </c>
      <c r="E38" s="11"/>
      <c r="F38" t="s">
        <v>122</v>
      </c>
      <c r="G38" s="12">
        <v>0.1</v>
      </c>
      <c r="I38" s="11">
        <f>+SUMIF($N$3:$YD$3,I$3,$N38:$YD38)</f>
        <v>0</v>
      </c>
      <c r="J38" s="13" cm="1">
        <f t="array" ref="J38">MAX(IF($N$3:$CL$3=$J$3,N38:CL38))</f>
        <v>0</v>
      </c>
      <c r="K38" s="13" cm="1">
        <f t="array" ref="K38">MAX(IF($N$3:$CL$3=$J$3,N38:CL38))</f>
        <v>0</v>
      </c>
      <c r="L38" s="11"/>
      <c r="P38" s="12"/>
      <c r="Q38" s="12">
        <v>0.5</v>
      </c>
      <c r="R38" s="12"/>
      <c r="S38" s="12">
        <v>0.5</v>
      </c>
      <c r="W38" s="12"/>
      <c r="X38" s="12">
        <v>0.8</v>
      </c>
      <c r="Y38" s="12"/>
      <c r="Z38" s="12">
        <v>0.8</v>
      </c>
      <c r="AD38" s="12"/>
      <c r="AE38" s="12">
        <v>0.8</v>
      </c>
      <c r="AF38" s="12"/>
      <c r="AG38" s="12">
        <v>0.8</v>
      </c>
      <c r="AK38" s="12"/>
      <c r="AL38" s="12">
        <v>0.8</v>
      </c>
      <c r="AM38" s="12"/>
      <c r="AN38" s="12">
        <v>0.8</v>
      </c>
      <c r="AR38" s="12"/>
      <c r="AS38" s="12">
        <v>0.8</v>
      </c>
      <c r="AT38" s="12"/>
      <c r="AU38" s="12">
        <v>0.8</v>
      </c>
      <c r="AY38" s="12"/>
      <c r="AZ38" s="12">
        <v>0.8</v>
      </c>
      <c r="BA38" s="12"/>
      <c r="BB38" s="12">
        <v>0.8</v>
      </c>
      <c r="BF38" s="12"/>
      <c r="BG38" s="12">
        <v>0.8</v>
      </c>
      <c r="BH38" s="12"/>
      <c r="BI38" s="12">
        <v>0.8</v>
      </c>
      <c r="BM38" s="12"/>
      <c r="BN38" s="12">
        <v>0.8</v>
      </c>
      <c r="BO38" s="12"/>
      <c r="BP38" s="12">
        <v>0.8</v>
      </c>
      <c r="BT38" s="12"/>
      <c r="BU38" s="12">
        <v>1</v>
      </c>
      <c r="BV38" s="12"/>
      <c r="BW38" s="12">
        <v>1</v>
      </c>
      <c r="CA38" s="12"/>
      <c r="CB38" s="12">
        <v>1</v>
      </c>
      <c r="CC38" s="12"/>
      <c r="CD38" s="12">
        <v>1</v>
      </c>
      <c r="CH38" s="12"/>
      <c r="CI38" s="12">
        <v>1</v>
      </c>
      <c r="CJ38" s="12"/>
      <c r="CK38" s="12">
        <v>1</v>
      </c>
      <c r="CO38" s="12"/>
      <c r="CP38" s="12">
        <v>1</v>
      </c>
      <c r="CQ38" s="12"/>
      <c r="CR38" s="12">
        <v>1</v>
      </c>
      <c r="CV38" s="12"/>
      <c r="CW38" s="12"/>
      <c r="CX38" s="12"/>
      <c r="CY38" s="12"/>
      <c r="DC38" s="12"/>
      <c r="DD38" s="12"/>
      <c r="DE38" s="12"/>
      <c r="DF38" s="12"/>
      <c r="DJ38" s="12"/>
      <c r="DK38" s="12"/>
      <c r="DL38" s="12"/>
      <c r="DM38" s="12"/>
      <c r="DQ38" s="12"/>
      <c r="DR38" s="12"/>
      <c r="DS38" s="12"/>
      <c r="DT38" s="12"/>
      <c r="DX38" s="12"/>
      <c r="DY38" s="12">
        <v>1</v>
      </c>
      <c r="DZ38" s="12"/>
      <c r="EA38" s="12">
        <v>1</v>
      </c>
    </row>
    <row r="39" spans="2:131" outlineLevel="1">
      <c r="B39" t="s">
        <v>28</v>
      </c>
      <c r="C39" t="s">
        <v>117</v>
      </c>
      <c r="E39" s="11"/>
      <c r="F39" t="s">
        <v>30</v>
      </c>
      <c r="G39" s="12">
        <v>0.1</v>
      </c>
      <c r="I39" s="11">
        <f>+SUMIF($N$3:$YD$3,I$3,$N39:$YD39)</f>
        <v>0</v>
      </c>
      <c r="J39" s="13" cm="1">
        <f t="array" ref="J39">MAX(IF($N$3:$CL$3=$J$3,N39:CL39))</f>
        <v>0</v>
      </c>
      <c r="K39" s="13" cm="1">
        <f t="array" ref="K39">MAX(IF($N$3:$CL$3=$J$3,N39:CL39))</f>
        <v>0</v>
      </c>
      <c r="L39" s="11"/>
      <c r="P39" s="12"/>
      <c r="Q39" s="12">
        <v>0.5</v>
      </c>
      <c r="R39" s="12"/>
      <c r="S39" s="12">
        <v>0.5</v>
      </c>
      <c r="W39" s="12"/>
      <c r="X39" s="12">
        <v>0.8</v>
      </c>
      <c r="Y39" s="12"/>
      <c r="Z39" s="12">
        <v>0.8</v>
      </c>
      <c r="AD39" s="12"/>
      <c r="AE39" s="12">
        <v>0.8</v>
      </c>
      <c r="AF39" s="12"/>
      <c r="AG39" s="12">
        <v>0.8</v>
      </c>
      <c r="AK39" s="12"/>
      <c r="AL39" s="12">
        <v>0.8</v>
      </c>
      <c r="AM39" s="12"/>
      <c r="AN39" s="12">
        <v>0.8</v>
      </c>
      <c r="AR39" s="12"/>
      <c r="AS39" s="12">
        <v>0.8</v>
      </c>
      <c r="AT39" s="12"/>
      <c r="AU39" s="12">
        <v>0.8</v>
      </c>
      <c r="AY39" s="12"/>
      <c r="AZ39" s="12">
        <v>0.8</v>
      </c>
      <c r="BA39" s="12"/>
      <c r="BB39" s="12">
        <v>0.8</v>
      </c>
      <c r="BF39" s="12"/>
      <c r="BG39" s="12">
        <v>0.8</v>
      </c>
      <c r="BH39" s="12"/>
      <c r="BI39" s="12">
        <v>0.8</v>
      </c>
      <c r="BM39" s="12"/>
      <c r="BN39" s="12">
        <v>0.8</v>
      </c>
      <c r="BO39" s="12"/>
      <c r="BP39" s="12">
        <v>0.8</v>
      </c>
      <c r="BT39" s="12"/>
      <c r="BU39" s="12">
        <v>1</v>
      </c>
      <c r="BV39" s="12"/>
      <c r="BW39" s="12">
        <v>1</v>
      </c>
      <c r="CA39" s="12"/>
      <c r="CB39" s="12">
        <v>1</v>
      </c>
      <c r="CC39" s="12"/>
      <c r="CD39" s="12">
        <v>1</v>
      </c>
      <c r="CH39" s="12"/>
      <c r="CI39" s="12">
        <v>1</v>
      </c>
      <c r="CJ39" s="12"/>
      <c r="CK39" s="12">
        <v>1</v>
      </c>
      <c r="CO39" s="12"/>
      <c r="CP39" s="12">
        <v>1</v>
      </c>
      <c r="CQ39" s="12"/>
      <c r="CR39" s="12">
        <v>1</v>
      </c>
      <c r="CV39" s="12"/>
      <c r="CW39" s="12"/>
      <c r="CX39" s="12"/>
      <c r="CY39" s="12"/>
      <c r="DC39" s="12"/>
      <c r="DD39" s="12"/>
      <c r="DE39" s="12"/>
      <c r="DF39" s="12"/>
      <c r="DJ39" s="12"/>
      <c r="DK39" s="12"/>
      <c r="DL39" s="12"/>
      <c r="DM39" s="12"/>
      <c r="DQ39" s="12"/>
      <c r="DR39" s="12"/>
      <c r="DS39" s="12"/>
      <c r="DT39" s="12"/>
      <c r="DX39" s="12"/>
      <c r="DY39" s="12">
        <v>1</v>
      </c>
      <c r="DZ39" s="12"/>
      <c r="EA39" s="12">
        <v>1</v>
      </c>
    </row>
    <row r="40" spans="2:131" outlineLevel="1">
      <c r="B40" t="s">
        <v>28</v>
      </c>
      <c r="C40" t="s">
        <v>117</v>
      </c>
      <c r="E40" s="11"/>
      <c r="F40" t="s">
        <v>123</v>
      </c>
      <c r="G40" s="12">
        <v>0.1</v>
      </c>
      <c r="I40" s="11">
        <f>+SUMIF($N$3:$YD$3,I$3,$N40:$YD40)</f>
        <v>0</v>
      </c>
      <c r="J40" s="13" cm="1">
        <f t="array" ref="J40">MAX(IF($N$3:$CL$3=$J$3,N40:CL40))</f>
        <v>0</v>
      </c>
      <c r="K40" s="13" cm="1">
        <f t="array" ref="K40">MAX(IF($N$3:$CL$3=$J$3,N40:CL40))</f>
        <v>0</v>
      </c>
      <c r="L40" s="11"/>
      <c r="P40" s="12"/>
      <c r="Q40" s="12">
        <v>0.5</v>
      </c>
      <c r="R40" s="12"/>
      <c r="S40" s="12">
        <v>0.5</v>
      </c>
      <c r="W40" s="12"/>
      <c r="X40" s="12">
        <v>0.5</v>
      </c>
      <c r="Y40" s="12"/>
      <c r="Z40" s="12">
        <v>0.5</v>
      </c>
      <c r="AD40" s="12"/>
      <c r="AE40" s="12">
        <v>0.8</v>
      </c>
      <c r="AF40" s="12"/>
      <c r="AG40" s="12">
        <v>0.8</v>
      </c>
      <c r="AK40" s="12"/>
      <c r="AL40" s="12">
        <v>0.8</v>
      </c>
      <c r="AM40" s="12"/>
      <c r="AN40" s="12">
        <v>0.8</v>
      </c>
      <c r="AR40" s="12"/>
      <c r="AS40" s="12">
        <v>0.8</v>
      </c>
      <c r="AT40" s="12"/>
      <c r="AU40" s="12">
        <v>0.8</v>
      </c>
      <c r="AY40" s="12"/>
      <c r="AZ40" s="12">
        <v>0.8</v>
      </c>
      <c r="BA40" s="12"/>
      <c r="BB40" s="12">
        <v>0.8</v>
      </c>
      <c r="BF40" s="12"/>
      <c r="BG40" s="12">
        <v>0.8</v>
      </c>
      <c r="BH40" s="12"/>
      <c r="BI40" s="12">
        <v>0.8</v>
      </c>
      <c r="BM40" s="12"/>
      <c r="BN40" s="12">
        <v>0.8</v>
      </c>
      <c r="BO40" s="12"/>
      <c r="BP40" s="12">
        <v>0.8</v>
      </c>
      <c r="BT40" s="12"/>
      <c r="BU40" s="12">
        <v>0.8</v>
      </c>
      <c r="BV40" s="12"/>
      <c r="BW40" s="12">
        <v>0.8</v>
      </c>
      <c r="CA40" s="12"/>
      <c r="CB40" s="12">
        <v>1</v>
      </c>
      <c r="CC40" s="12"/>
      <c r="CD40" s="12">
        <v>1</v>
      </c>
      <c r="CH40" s="12"/>
      <c r="CI40" s="12">
        <v>1</v>
      </c>
      <c r="CJ40" s="12"/>
      <c r="CK40" s="12">
        <v>1</v>
      </c>
      <c r="CO40" s="12"/>
      <c r="CP40" s="12">
        <v>1</v>
      </c>
      <c r="CQ40" s="12"/>
      <c r="CR40" s="12">
        <v>1</v>
      </c>
      <c r="CV40" s="12"/>
      <c r="CW40" s="12"/>
      <c r="CX40" s="12"/>
      <c r="CY40" s="12"/>
      <c r="DC40" s="12"/>
      <c r="DD40" s="12"/>
      <c r="DE40" s="12"/>
      <c r="DF40" s="12"/>
      <c r="DJ40" s="12"/>
      <c r="DK40" s="12"/>
      <c r="DL40" s="12"/>
      <c r="DM40" s="12"/>
      <c r="DQ40" s="12"/>
      <c r="DR40" s="12"/>
      <c r="DS40" s="12"/>
      <c r="DT40" s="12"/>
      <c r="DX40" s="12"/>
      <c r="DY40" s="12">
        <v>1</v>
      </c>
      <c r="DZ40" s="12"/>
      <c r="EA40" s="12">
        <v>1</v>
      </c>
    </row>
    <row r="41" spans="2:131" outlineLevel="1">
      <c r="B41" t="s">
        <v>28</v>
      </c>
      <c r="C41" t="s">
        <v>117</v>
      </c>
      <c r="E41" s="11"/>
      <c r="F41" t="s">
        <v>124</v>
      </c>
      <c r="G41" s="12">
        <v>0.1</v>
      </c>
      <c r="I41" s="11">
        <f>+SUMIF($N$3:$YD$3,I$3,$N41:$YD41)</f>
        <v>0</v>
      </c>
      <c r="J41" s="13" cm="1">
        <f t="array" ref="J41">MAX(IF($N$3:$CL$3=$J$3,N41:CL41))</f>
        <v>0</v>
      </c>
      <c r="K41" s="13" cm="1">
        <f t="array" ref="K41">MAX(IF($N$3:$CL$3=$J$3,N41:CL41))</f>
        <v>0</v>
      </c>
      <c r="L41" s="11"/>
      <c r="P41" s="12"/>
      <c r="Q41" s="12">
        <v>0.5</v>
      </c>
      <c r="R41" s="12"/>
      <c r="S41" s="12">
        <v>0.5</v>
      </c>
      <c r="W41" s="12"/>
      <c r="X41" s="12">
        <v>0.5</v>
      </c>
      <c r="Y41" s="12"/>
      <c r="Z41" s="12">
        <v>0.5</v>
      </c>
      <c r="AD41" s="12"/>
      <c r="AE41" s="12">
        <v>0.8</v>
      </c>
      <c r="AF41" s="12"/>
      <c r="AG41" s="12">
        <v>0.8</v>
      </c>
      <c r="AK41" s="12"/>
      <c r="AL41" s="12">
        <v>0.8</v>
      </c>
      <c r="AM41" s="12"/>
      <c r="AN41" s="12">
        <v>0.8</v>
      </c>
      <c r="AR41" s="12"/>
      <c r="AS41" s="12">
        <v>0.8</v>
      </c>
      <c r="AT41" s="12"/>
      <c r="AU41" s="12">
        <v>0.8</v>
      </c>
      <c r="AY41" s="12"/>
      <c r="AZ41" s="12">
        <v>0.8</v>
      </c>
      <c r="BA41" s="12"/>
      <c r="BB41" s="12">
        <v>0.8</v>
      </c>
      <c r="BF41" s="12"/>
      <c r="BG41" s="12">
        <v>0.8</v>
      </c>
      <c r="BH41" s="12"/>
      <c r="BI41" s="12">
        <v>0.8</v>
      </c>
      <c r="BM41" s="12"/>
      <c r="BN41" s="12">
        <v>0.8</v>
      </c>
      <c r="BO41" s="12"/>
      <c r="BP41" s="12">
        <v>0.8</v>
      </c>
      <c r="BT41" s="12"/>
      <c r="BU41" s="12">
        <v>0.8</v>
      </c>
      <c r="BV41" s="12"/>
      <c r="BW41" s="12">
        <v>0.8</v>
      </c>
      <c r="CA41" s="12"/>
      <c r="CB41" s="12">
        <v>1</v>
      </c>
      <c r="CC41" s="12"/>
      <c r="CD41" s="12">
        <v>1</v>
      </c>
      <c r="CH41" s="12"/>
      <c r="CI41" s="12">
        <v>1</v>
      </c>
      <c r="CJ41" s="12"/>
      <c r="CK41" s="12">
        <v>1</v>
      </c>
      <c r="CO41" s="12"/>
      <c r="CP41" s="12">
        <v>1</v>
      </c>
      <c r="CQ41" s="12"/>
      <c r="CR41" s="12">
        <v>1</v>
      </c>
      <c r="CV41" s="12"/>
      <c r="CW41" s="12"/>
      <c r="CX41" s="12"/>
      <c r="CY41" s="12"/>
      <c r="DC41" s="12"/>
      <c r="DD41" s="12"/>
      <c r="DE41" s="12"/>
      <c r="DF41" s="12"/>
      <c r="DJ41" s="12"/>
      <c r="DK41" s="12"/>
      <c r="DL41" s="12"/>
      <c r="DM41" s="12"/>
      <c r="DQ41" s="12"/>
      <c r="DR41" s="12"/>
      <c r="DS41" s="12"/>
      <c r="DT41" s="12"/>
      <c r="DX41" s="12"/>
      <c r="DY41" s="12">
        <v>1</v>
      </c>
      <c r="DZ41" s="12"/>
      <c r="EA41" s="12">
        <v>1</v>
      </c>
    </row>
    <row r="42" spans="2:131" outlineLevel="1">
      <c r="B42" t="s">
        <v>28</v>
      </c>
      <c r="C42" t="s">
        <v>117</v>
      </c>
      <c r="E42" s="11"/>
      <c r="F42" t="s">
        <v>125</v>
      </c>
      <c r="G42" s="12"/>
      <c r="I42" s="11"/>
      <c r="J42" s="13"/>
      <c r="K42" s="13"/>
      <c r="L42" s="11"/>
      <c r="P42" s="12"/>
      <c r="Q42" s="12">
        <v>0.5</v>
      </c>
      <c r="R42" s="12"/>
      <c r="S42" s="12">
        <v>0.5</v>
      </c>
      <c r="W42" s="12"/>
      <c r="X42" s="12">
        <v>0.5</v>
      </c>
      <c r="Y42" s="12"/>
      <c r="Z42" s="12">
        <v>0.5</v>
      </c>
      <c r="AD42" s="12"/>
      <c r="AE42" s="12">
        <v>0.5</v>
      </c>
      <c r="AF42" s="12"/>
      <c r="AG42" s="12">
        <v>0.5</v>
      </c>
      <c r="AK42" s="12"/>
      <c r="AL42" s="12">
        <v>0.8</v>
      </c>
      <c r="AM42" s="12"/>
      <c r="AN42" s="12">
        <v>0.8</v>
      </c>
      <c r="AR42" s="12"/>
      <c r="AS42" s="12">
        <v>0.8</v>
      </c>
      <c r="AT42" s="12"/>
      <c r="AU42" s="12">
        <v>0.8</v>
      </c>
      <c r="AY42" s="12"/>
      <c r="AZ42" s="12">
        <v>0.8</v>
      </c>
      <c r="BA42" s="12"/>
      <c r="BB42" s="12">
        <v>0.8</v>
      </c>
      <c r="BF42" s="12"/>
      <c r="BG42" s="12">
        <v>0.8</v>
      </c>
      <c r="BH42" s="12"/>
      <c r="BI42" s="12">
        <v>0.8</v>
      </c>
      <c r="BM42" s="12"/>
      <c r="BN42" s="12">
        <v>0.8</v>
      </c>
      <c r="BO42" s="12"/>
      <c r="BP42" s="12">
        <v>0.8</v>
      </c>
      <c r="BT42" s="12"/>
      <c r="BU42" s="12">
        <v>0.8</v>
      </c>
      <c r="BV42" s="12"/>
      <c r="BW42" s="12">
        <v>0.8</v>
      </c>
      <c r="CA42" s="12"/>
      <c r="CB42" s="12">
        <v>0.8</v>
      </c>
      <c r="CC42" s="12"/>
      <c r="CD42" s="12">
        <v>0.8</v>
      </c>
      <c r="CH42" s="12"/>
      <c r="CI42" s="12">
        <v>1</v>
      </c>
      <c r="CJ42" s="12"/>
      <c r="CK42" s="12">
        <v>1</v>
      </c>
      <c r="CO42" s="12"/>
      <c r="CP42" s="12">
        <v>1</v>
      </c>
      <c r="CQ42" s="12"/>
      <c r="CR42" s="12">
        <v>1</v>
      </c>
      <c r="CV42" s="12"/>
      <c r="CW42" s="12"/>
      <c r="CX42" s="12"/>
      <c r="CY42" s="12"/>
      <c r="DC42" s="12"/>
      <c r="DD42" s="12"/>
      <c r="DE42" s="12"/>
      <c r="DF42" s="12"/>
      <c r="DJ42" s="12"/>
      <c r="DK42" s="12"/>
      <c r="DL42" s="12"/>
      <c r="DM42" s="12"/>
      <c r="DQ42" s="12"/>
      <c r="DR42" s="12"/>
      <c r="DS42" s="12"/>
      <c r="DT42" s="12"/>
      <c r="DX42" s="12"/>
      <c r="DY42" s="12">
        <v>1</v>
      </c>
      <c r="DZ42" s="12"/>
      <c r="EA42" s="12">
        <v>1</v>
      </c>
    </row>
    <row r="43" spans="2:131" outlineLevel="1">
      <c r="B43" t="s">
        <v>28</v>
      </c>
      <c r="C43" t="s">
        <v>117</v>
      </c>
      <c r="E43" s="11"/>
      <c r="F43" t="s">
        <v>126</v>
      </c>
      <c r="G43" s="12">
        <f>+SUM(G44:G51)</f>
        <v>0.30000000000000004</v>
      </c>
      <c r="I43" s="11">
        <f>+SUM(I44:I51)</f>
        <v>0</v>
      </c>
      <c r="J43" s="13">
        <f>+SUMPRODUCT(G44:G51,J44:J51)</f>
        <v>0</v>
      </c>
      <c r="K43" s="13">
        <f>+SUMPRODUCT(G44:G51,K44:K51)</f>
        <v>0</v>
      </c>
      <c r="L43" s="11"/>
      <c r="P43" s="12"/>
      <c r="Q43" s="12">
        <v>0.5</v>
      </c>
      <c r="R43" s="12"/>
      <c r="S43" s="12">
        <v>0.5</v>
      </c>
      <c r="W43" s="12"/>
      <c r="X43" s="12">
        <v>0.5</v>
      </c>
      <c r="Y43" s="12"/>
      <c r="Z43" s="12">
        <v>0.5</v>
      </c>
      <c r="AD43" s="12"/>
      <c r="AE43" s="12">
        <v>0.5</v>
      </c>
      <c r="AF43" s="12"/>
      <c r="AG43" s="12">
        <v>0.5</v>
      </c>
      <c r="AK43" s="12"/>
      <c r="AL43" s="12">
        <v>0.8</v>
      </c>
      <c r="AM43" s="12"/>
      <c r="AN43" s="12">
        <v>0.8</v>
      </c>
      <c r="AR43" s="12"/>
      <c r="AS43" s="12">
        <v>0.8</v>
      </c>
      <c r="AT43" s="12"/>
      <c r="AU43" s="12">
        <v>0.8</v>
      </c>
      <c r="AY43" s="12"/>
      <c r="AZ43" s="12">
        <v>0.8</v>
      </c>
      <c r="BA43" s="12"/>
      <c r="BB43" s="12">
        <v>0.8</v>
      </c>
      <c r="BF43" s="12"/>
      <c r="BG43" s="12">
        <v>0.8</v>
      </c>
      <c r="BH43" s="12"/>
      <c r="BI43" s="12">
        <v>0.8</v>
      </c>
      <c r="BM43" s="12"/>
      <c r="BN43" s="12">
        <v>0.8</v>
      </c>
      <c r="BO43" s="12"/>
      <c r="BP43" s="12">
        <v>0.8</v>
      </c>
      <c r="BT43" s="12"/>
      <c r="BU43" s="12">
        <v>0.8</v>
      </c>
      <c r="BV43" s="12"/>
      <c r="BW43" s="12">
        <v>0.8</v>
      </c>
      <c r="CA43" s="12"/>
      <c r="CB43" s="12">
        <v>0.8</v>
      </c>
      <c r="CC43" s="12"/>
      <c r="CD43" s="12">
        <v>0.8</v>
      </c>
      <c r="CH43" s="12"/>
      <c r="CI43" s="12">
        <v>1</v>
      </c>
      <c r="CJ43" s="12"/>
      <c r="CK43" s="12">
        <v>1</v>
      </c>
      <c r="CO43" s="12"/>
      <c r="CP43" s="12">
        <v>1</v>
      </c>
      <c r="CQ43" s="12"/>
      <c r="CR43" s="12">
        <v>1</v>
      </c>
      <c r="CV43" s="12"/>
      <c r="CW43" s="12"/>
      <c r="CX43" s="12"/>
      <c r="CY43" s="12"/>
      <c r="DC43" s="12"/>
      <c r="DD43" s="12"/>
      <c r="DE43" s="12"/>
      <c r="DF43" s="12"/>
      <c r="DJ43" s="12"/>
      <c r="DK43" s="12"/>
      <c r="DL43" s="12"/>
      <c r="DM43" s="12"/>
      <c r="DQ43" s="12"/>
      <c r="DR43" s="12"/>
      <c r="DS43" s="12"/>
      <c r="DT43" s="12"/>
      <c r="DX43" s="12"/>
      <c r="DY43" s="12">
        <v>1</v>
      </c>
      <c r="DZ43" s="12"/>
      <c r="EA43" s="12">
        <v>1</v>
      </c>
    </row>
    <row r="44" spans="2:131" outlineLevel="1">
      <c r="B44" t="s">
        <v>28</v>
      </c>
      <c r="C44" t="s">
        <v>117</v>
      </c>
      <c r="E44" s="11"/>
      <c r="F44" t="s">
        <v>127</v>
      </c>
      <c r="G44" s="12">
        <v>0.1</v>
      </c>
      <c r="I44" s="11">
        <f>+SUMIF($N$3:$YD$3,I$3,$N44:$YD44)</f>
        <v>0</v>
      </c>
      <c r="J44" s="13" cm="1">
        <f t="array" ref="J44">MAX(IF($N$3:$CL$3=$J$3,N44:CL44))</f>
        <v>0</v>
      </c>
      <c r="K44" s="13" cm="1">
        <f t="array" ref="K44">MAX(IF($N$3:$CL$3=$J$3,N44:CL44))</f>
        <v>0</v>
      </c>
      <c r="L44" s="11"/>
      <c r="P44" s="12"/>
      <c r="Q44" s="12">
        <v>0.5</v>
      </c>
      <c r="R44" s="12"/>
      <c r="S44" s="12">
        <v>0.5</v>
      </c>
      <c r="W44" s="12"/>
      <c r="X44" s="12">
        <v>0.5</v>
      </c>
      <c r="Y44" s="12"/>
      <c r="Z44" s="12">
        <v>0.5</v>
      </c>
      <c r="AD44" s="12"/>
      <c r="AE44" s="12">
        <v>0.5</v>
      </c>
      <c r="AF44" s="12"/>
      <c r="AG44" s="12">
        <v>0.5</v>
      </c>
      <c r="AK44" s="12"/>
      <c r="AL44" s="12">
        <v>0.5</v>
      </c>
      <c r="AM44" s="12"/>
      <c r="AN44" s="12">
        <v>0.5</v>
      </c>
      <c r="AR44" s="12"/>
      <c r="AS44" s="12">
        <v>0.8</v>
      </c>
      <c r="AT44" s="12"/>
      <c r="AU44" s="12">
        <v>0.8</v>
      </c>
      <c r="AY44" s="12"/>
      <c r="AZ44" s="12">
        <v>0.8</v>
      </c>
      <c r="BA44" s="12"/>
      <c r="BB44" s="12">
        <v>0.8</v>
      </c>
      <c r="BF44" s="12"/>
      <c r="BG44" s="12">
        <v>0.8</v>
      </c>
      <c r="BH44" s="12"/>
      <c r="BI44" s="12">
        <v>0.8</v>
      </c>
      <c r="BM44" s="12"/>
      <c r="BN44" s="12">
        <v>0.8</v>
      </c>
      <c r="BO44" s="12"/>
      <c r="BP44" s="12">
        <v>0.8</v>
      </c>
      <c r="BT44" s="12"/>
      <c r="BU44" s="12">
        <v>0.8</v>
      </c>
      <c r="BV44" s="12"/>
      <c r="BW44" s="12">
        <v>0.8</v>
      </c>
      <c r="CA44" s="12"/>
      <c r="CB44" s="12">
        <v>0.8</v>
      </c>
      <c r="CC44" s="12"/>
      <c r="CD44" s="12">
        <v>0.8</v>
      </c>
      <c r="CH44" s="12"/>
      <c r="CI44" s="12">
        <v>0.8</v>
      </c>
      <c r="CJ44" s="12"/>
      <c r="CK44" s="12">
        <v>0.8</v>
      </c>
      <c r="CO44" s="12"/>
      <c r="CP44" s="12">
        <v>1</v>
      </c>
      <c r="CQ44" s="12"/>
      <c r="CR44" s="12">
        <v>1</v>
      </c>
      <c r="CV44" s="12"/>
      <c r="CW44" s="12"/>
      <c r="CX44" s="12"/>
      <c r="CY44" s="12"/>
      <c r="DC44" s="12"/>
      <c r="DD44" s="12"/>
      <c r="DE44" s="12"/>
      <c r="DF44" s="12"/>
      <c r="DJ44" s="12"/>
      <c r="DK44" s="12"/>
      <c r="DL44" s="12"/>
      <c r="DM44" s="12"/>
      <c r="DQ44" s="12"/>
      <c r="DR44" s="12"/>
      <c r="DS44" s="12"/>
      <c r="DT44" s="12"/>
      <c r="DX44" s="12"/>
      <c r="DY44" s="12">
        <v>1</v>
      </c>
      <c r="DZ44" s="12"/>
      <c r="EA44" s="12">
        <v>1</v>
      </c>
    </row>
    <row r="45" spans="2:131" outlineLevel="1">
      <c r="B45" t="s">
        <v>28</v>
      </c>
      <c r="C45" t="s">
        <v>117</v>
      </c>
      <c r="E45" s="11"/>
      <c r="F45" t="s">
        <v>128</v>
      </c>
      <c r="G45" s="12">
        <v>0.05</v>
      </c>
      <c r="I45" s="11">
        <f>+SUMIF($N$3:$YD$3,I$3,$N45:$YD45)</f>
        <v>0</v>
      </c>
      <c r="J45" s="13" cm="1">
        <f t="array" ref="J45">MAX(IF($N$3:$CL$3=$J$3,N45:CL45))</f>
        <v>0</v>
      </c>
      <c r="K45" s="13" cm="1">
        <f t="array" ref="K45">MAX(IF($N$3:$CL$3=$J$3,N45:CL45))</f>
        <v>0</v>
      </c>
      <c r="L45" s="11"/>
      <c r="P45" s="12"/>
      <c r="Q45" s="12">
        <v>0.5</v>
      </c>
      <c r="R45" s="12"/>
      <c r="S45" s="12">
        <v>0.5</v>
      </c>
      <c r="W45" s="12"/>
      <c r="X45" s="12">
        <v>0.5</v>
      </c>
      <c r="Y45" s="12"/>
      <c r="Z45" s="12">
        <v>0.5</v>
      </c>
      <c r="AD45" s="12"/>
      <c r="AE45" s="12">
        <v>0.5</v>
      </c>
      <c r="AF45" s="12"/>
      <c r="AG45" s="12">
        <v>0.5</v>
      </c>
      <c r="AK45" s="12"/>
      <c r="AL45" s="12">
        <v>0.5</v>
      </c>
      <c r="AM45" s="12"/>
      <c r="AN45" s="12">
        <v>0.5</v>
      </c>
      <c r="AR45" s="12"/>
      <c r="AS45" s="12">
        <v>0.8</v>
      </c>
      <c r="AT45" s="12"/>
      <c r="AU45" s="12">
        <v>0.8</v>
      </c>
      <c r="AY45" s="12"/>
      <c r="AZ45" s="12">
        <v>0.8</v>
      </c>
      <c r="BA45" s="12"/>
      <c r="BB45" s="12">
        <v>0.8</v>
      </c>
      <c r="BF45" s="12"/>
      <c r="BG45" s="12">
        <v>0.8</v>
      </c>
      <c r="BH45" s="12"/>
      <c r="BI45" s="12">
        <v>0.8</v>
      </c>
      <c r="BM45" s="12"/>
      <c r="BN45" s="12">
        <v>0.8</v>
      </c>
      <c r="BO45" s="12"/>
      <c r="BP45" s="12">
        <v>0.8</v>
      </c>
      <c r="BT45" s="12"/>
      <c r="BU45" s="12">
        <v>0.8</v>
      </c>
      <c r="BV45" s="12"/>
      <c r="BW45" s="12">
        <v>0.8</v>
      </c>
      <c r="CA45" s="12"/>
      <c r="CB45" s="12">
        <v>0.8</v>
      </c>
      <c r="CC45" s="12"/>
      <c r="CD45" s="12">
        <v>0.8</v>
      </c>
      <c r="CH45" s="12"/>
      <c r="CI45" s="12">
        <v>0.8</v>
      </c>
      <c r="CJ45" s="12"/>
      <c r="CK45" s="12">
        <v>0.8</v>
      </c>
      <c r="CO45" s="12"/>
      <c r="CP45" s="12">
        <v>1</v>
      </c>
      <c r="CQ45" s="12"/>
      <c r="CR45" s="12">
        <v>1</v>
      </c>
      <c r="CV45" s="12"/>
      <c r="CW45" s="12"/>
      <c r="CX45" s="12"/>
      <c r="CY45" s="12"/>
      <c r="DC45" s="12"/>
      <c r="DD45" s="12"/>
      <c r="DE45" s="12"/>
      <c r="DF45" s="12"/>
      <c r="DJ45" s="12"/>
      <c r="DK45" s="12"/>
      <c r="DL45" s="12"/>
      <c r="DM45" s="12"/>
      <c r="DQ45" s="12"/>
      <c r="DR45" s="12"/>
      <c r="DS45" s="12"/>
      <c r="DT45" s="12"/>
      <c r="DX45" s="12"/>
      <c r="DY45" s="12">
        <v>1</v>
      </c>
      <c r="DZ45" s="12"/>
      <c r="EA45" s="12">
        <v>1</v>
      </c>
    </row>
    <row r="46" spans="2:131" outlineLevel="1">
      <c r="B46" t="s">
        <v>28</v>
      </c>
      <c r="C46" t="s">
        <v>117</v>
      </c>
      <c r="E46" s="11"/>
      <c r="F46" t="s">
        <v>129</v>
      </c>
      <c r="G46" s="12">
        <v>0.05</v>
      </c>
      <c r="I46" s="11">
        <f>+SUMIF($N$3:$YD$3,I$3,$N46:$YD46)</f>
        <v>0</v>
      </c>
      <c r="J46" s="13" cm="1">
        <f t="array" ref="J46">MAX(IF($N$3:$CL$3=$J$3,N46:CL46))</f>
        <v>0</v>
      </c>
      <c r="K46" s="13" cm="1">
        <f t="array" ref="K46">MAX(IF($N$3:$CL$3=$J$3,N46:CL46))</f>
        <v>0</v>
      </c>
      <c r="L46" s="11"/>
      <c r="P46" s="12"/>
      <c r="Q46" s="12">
        <v>0.5</v>
      </c>
      <c r="R46" s="12"/>
      <c r="S46" s="12">
        <v>0.5</v>
      </c>
      <c r="W46" s="12"/>
      <c r="X46" s="12">
        <v>0.5</v>
      </c>
      <c r="Y46" s="12"/>
      <c r="Z46" s="12">
        <v>0.5</v>
      </c>
      <c r="AD46" s="12"/>
      <c r="AE46" s="12">
        <v>0.5</v>
      </c>
      <c r="AF46" s="12"/>
      <c r="AG46" s="12">
        <v>0.5</v>
      </c>
      <c r="AK46" s="12"/>
      <c r="AL46" s="12">
        <v>0.5</v>
      </c>
      <c r="AM46" s="12"/>
      <c r="AN46" s="12">
        <v>0.5</v>
      </c>
      <c r="AR46" s="12"/>
      <c r="AS46" s="12">
        <v>0.5</v>
      </c>
      <c r="AT46" s="12"/>
      <c r="AU46" s="12">
        <v>0.5</v>
      </c>
      <c r="AY46" s="12"/>
      <c r="AZ46" s="12">
        <v>0.8</v>
      </c>
      <c r="BA46" s="12"/>
      <c r="BB46" s="12">
        <v>0.8</v>
      </c>
      <c r="BF46" s="12"/>
      <c r="BG46" s="12">
        <v>0.8</v>
      </c>
      <c r="BH46" s="12"/>
      <c r="BI46" s="12">
        <v>0.8</v>
      </c>
      <c r="BM46" s="12"/>
      <c r="BN46" s="12">
        <v>0.8</v>
      </c>
      <c r="BO46" s="12"/>
      <c r="BP46" s="12">
        <v>0.8</v>
      </c>
      <c r="BT46" s="12"/>
      <c r="BU46" s="12">
        <v>0.8</v>
      </c>
      <c r="BV46" s="12"/>
      <c r="BW46" s="12">
        <v>0.8</v>
      </c>
      <c r="CA46" s="12"/>
      <c r="CB46" s="12">
        <v>0.8</v>
      </c>
      <c r="CC46" s="12"/>
      <c r="CD46" s="12">
        <v>0.8</v>
      </c>
      <c r="CH46" s="12"/>
      <c r="CI46" s="12">
        <v>0.8</v>
      </c>
      <c r="CJ46" s="12"/>
      <c r="CK46" s="12">
        <v>0.8</v>
      </c>
      <c r="CO46" s="12"/>
      <c r="CP46" s="12">
        <v>0.8</v>
      </c>
      <c r="CQ46" s="12"/>
      <c r="CR46" s="12">
        <v>0.8</v>
      </c>
      <c r="CV46" s="12"/>
      <c r="CW46" s="12"/>
      <c r="CX46" s="12"/>
      <c r="CY46" s="12"/>
      <c r="DC46" s="12"/>
      <c r="DD46" s="12"/>
      <c r="DE46" s="12"/>
      <c r="DF46" s="12"/>
      <c r="DJ46" s="12"/>
      <c r="DK46" s="12"/>
      <c r="DL46" s="12"/>
      <c r="DM46" s="12"/>
      <c r="DQ46" s="12"/>
      <c r="DR46" s="12"/>
      <c r="DS46" s="12"/>
      <c r="DT46" s="12"/>
      <c r="DX46" s="12"/>
      <c r="DY46" s="12">
        <v>1</v>
      </c>
      <c r="DZ46" s="12"/>
      <c r="EA46" s="12">
        <v>1</v>
      </c>
    </row>
    <row r="47" spans="2:131" outlineLevel="1">
      <c r="E47" s="11"/>
      <c r="G47" s="12"/>
      <c r="I47" s="11"/>
      <c r="J47" s="13"/>
      <c r="K47" s="13"/>
      <c r="L47" s="11"/>
      <c r="P47" s="12"/>
      <c r="Q47" s="12">
        <v>0.5</v>
      </c>
      <c r="R47" s="12"/>
      <c r="S47" s="12">
        <v>0.5</v>
      </c>
      <c r="W47" s="12"/>
      <c r="X47" s="12">
        <v>0.5</v>
      </c>
      <c r="Y47" s="12"/>
      <c r="Z47" s="12">
        <v>0.5</v>
      </c>
      <c r="AD47" s="12"/>
      <c r="AE47" s="12">
        <v>0.5</v>
      </c>
      <c r="AF47" s="12"/>
      <c r="AG47" s="12">
        <v>0.5</v>
      </c>
      <c r="AK47" s="12"/>
      <c r="AL47" s="12">
        <v>0.5</v>
      </c>
      <c r="AM47" s="12"/>
      <c r="AN47" s="12">
        <v>0.5</v>
      </c>
      <c r="AR47" s="12"/>
      <c r="AS47" s="12">
        <v>0.5</v>
      </c>
      <c r="AT47" s="12"/>
      <c r="AU47" s="12">
        <v>0.5</v>
      </c>
      <c r="AY47" s="12"/>
      <c r="AZ47" s="12">
        <v>0.8</v>
      </c>
      <c r="BA47" s="12"/>
      <c r="BB47" s="12">
        <v>0.8</v>
      </c>
      <c r="BF47" s="12"/>
      <c r="BG47" s="12">
        <v>0.8</v>
      </c>
      <c r="BH47" s="12"/>
      <c r="BI47" s="12">
        <v>0.8</v>
      </c>
      <c r="BM47" s="12"/>
      <c r="BN47" s="12">
        <v>0.8</v>
      </c>
      <c r="BO47" s="12"/>
      <c r="BP47" s="12">
        <v>0.8</v>
      </c>
      <c r="BT47" s="12"/>
      <c r="BU47" s="12">
        <v>0.8</v>
      </c>
      <c r="BV47" s="12"/>
      <c r="BW47" s="12">
        <v>0.8</v>
      </c>
      <c r="CA47" s="12"/>
      <c r="CB47" s="12">
        <v>0.8</v>
      </c>
      <c r="CC47" s="12"/>
      <c r="CD47" s="12">
        <v>0.8</v>
      </c>
      <c r="CH47" s="12"/>
      <c r="CI47" s="12">
        <v>0.8</v>
      </c>
      <c r="CJ47" s="12"/>
      <c r="CK47" s="12">
        <v>0.8</v>
      </c>
      <c r="CO47" s="12"/>
      <c r="CP47" s="12">
        <v>0.8</v>
      </c>
      <c r="CQ47" s="12"/>
      <c r="CR47" s="12">
        <v>0.8</v>
      </c>
      <c r="CV47" s="12"/>
      <c r="CW47" s="12"/>
      <c r="CX47" s="12"/>
      <c r="CY47" s="12"/>
      <c r="DC47" s="12"/>
      <c r="DD47" s="12"/>
      <c r="DE47" s="12"/>
      <c r="DF47" s="12"/>
      <c r="DJ47" s="12"/>
      <c r="DK47" s="12"/>
      <c r="DL47" s="12"/>
      <c r="DM47" s="12"/>
      <c r="DQ47" s="12"/>
      <c r="DR47" s="12"/>
      <c r="DS47" s="12"/>
      <c r="DT47" s="12"/>
      <c r="DX47" s="12"/>
      <c r="DY47" s="12"/>
      <c r="DZ47" s="12"/>
      <c r="EA47" s="12"/>
    </row>
    <row r="51" spans="2:131" outlineLevel="1">
      <c r="B51" s="3" t="s">
        <v>27</v>
      </c>
      <c r="C51" s="3" t="s">
        <v>118</v>
      </c>
      <c r="E51" s="11"/>
      <c r="G51" s="12">
        <v>0.1</v>
      </c>
      <c r="I51" s="11">
        <f>+SUMIF($N$3:$YD$3,I$3,$N51:$YD51)</f>
        <v>0</v>
      </c>
      <c r="J51" s="13" cm="1">
        <f t="array" ref="J51">MAX(IF($N$3:$CL$3=$J$3,N51:CL51))</f>
        <v>0</v>
      </c>
      <c r="K51" s="13" cm="1">
        <f t="array" ref="K51">MAX(IF($N$3:$CL$3=$J$3,N51:CL51))</f>
        <v>0</v>
      </c>
      <c r="L51" s="11"/>
      <c r="P51" s="12"/>
      <c r="Q51" s="12"/>
      <c r="R51" s="12"/>
      <c r="S51" s="12"/>
      <c r="W51" s="12"/>
      <c r="X51" s="12"/>
      <c r="Y51" s="12"/>
      <c r="Z51" s="12"/>
      <c r="AD51" s="12"/>
      <c r="AE51" s="12"/>
      <c r="AF51" s="12"/>
      <c r="AG51" s="12"/>
      <c r="AK51" s="12"/>
      <c r="AL51" s="12"/>
      <c r="AM51" s="12"/>
      <c r="AN51" s="12"/>
      <c r="AR51" s="12"/>
      <c r="AS51" s="12"/>
      <c r="AT51" s="12"/>
      <c r="AU51" s="12"/>
      <c r="AY51" s="12"/>
      <c r="AZ51" s="12"/>
      <c r="BA51" s="12"/>
      <c r="BB51" s="12"/>
      <c r="BF51" s="12"/>
      <c r="BG51" s="12"/>
      <c r="BH51" s="12"/>
      <c r="BI51" s="12"/>
      <c r="BM51" s="12"/>
      <c r="BN51" s="12"/>
      <c r="BO51" s="12"/>
      <c r="BP51" s="12"/>
      <c r="BT51" s="12"/>
      <c r="BU51" s="12"/>
      <c r="BV51" s="12"/>
      <c r="BW51" s="12"/>
      <c r="CA51" s="12"/>
      <c r="CB51" s="12"/>
      <c r="CC51" s="12"/>
      <c r="CD51" s="12"/>
      <c r="CH51" s="12"/>
      <c r="CI51" s="12"/>
      <c r="CJ51" s="12"/>
      <c r="CK51" s="12"/>
      <c r="CO51" s="12"/>
      <c r="CP51" s="12"/>
      <c r="CQ51" s="12"/>
      <c r="CR51" s="12"/>
      <c r="CV51" s="12"/>
      <c r="CW51" s="12"/>
      <c r="CX51" s="12"/>
      <c r="CY51" s="12"/>
      <c r="DC51" s="12"/>
      <c r="DD51" s="12"/>
      <c r="DE51" s="12"/>
      <c r="DF51" s="12"/>
      <c r="DJ51" s="12"/>
      <c r="DK51" s="12"/>
      <c r="DL51" s="12"/>
      <c r="DM51" s="12"/>
      <c r="DQ51" s="12"/>
      <c r="DR51" s="12"/>
      <c r="DS51" s="12"/>
      <c r="DT51" s="12"/>
      <c r="DX51" s="12"/>
      <c r="DY51" s="12"/>
      <c r="DZ51" s="12"/>
      <c r="EA51" s="12"/>
    </row>
    <row r="52" spans="2:131" ht="12.75" customHeight="1" outlineLevel="1">
      <c r="B52" t="s">
        <v>28</v>
      </c>
      <c r="C52" t="s">
        <v>118</v>
      </c>
      <c r="E52" s="11"/>
      <c r="F52" t="s">
        <v>130</v>
      </c>
      <c r="G52" s="12">
        <v>0.1</v>
      </c>
      <c r="I52" s="11">
        <f>+SUMIF($N$3:$UZ$3,I$3,$N52:$UZ52)</f>
        <v>0</v>
      </c>
      <c r="J52" s="13" cm="1">
        <f t="array" ref="J52">MAX(IF($N$3:$BZ$3=$J$3,N52:BZ52))</f>
        <v>0</v>
      </c>
      <c r="K52" s="13" cm="1">
        <f t="array" ref="K52">MAX(IF($N$3:$BZ$3=$J$3,N52:BZ52))</f>
        <v>0</v>
      </c>
      <c r="L52" s="11"/>
      <c r="P52" s="12"/>
      <c r="Q52" s="12">
        <v>0.8</v>
      </c>
      <c r="R52" s="12"/>
      <c r="S52" s="12">
        <v>0.8</v>
      </c>
      <c r="W52" s="12"/>
      <c r="X52" s="12">
        <v>0.8</v>
      </c>
      <c r="Y52" s="12"/>
      <c r="Z52" s="12">
        <v>0.8</v>
      </c>
      <c r="AD52" s="12"/>
      <c r="AE52" s="12">
        <v>0.8</v>
      </c>
      <c r="AF52" s="12"/>
      <c r="AG52" s="12">
        <v>0.8</v>
      </c>
      <c r="AK52" s="12"/>
      <c r="AL52" s="12">
        <v>0.8</v>
      </c>
      <c r="AM52" s="12"/>
      <c r="AN52" s="12">
        <v>0.8</v>
      </c>
      <c r="AR52" s="12"/>
      <c r="AS52" s="12">
        <v>0.8</v>
      </c>
      <c r="AT52" s="12"/>
      <c r="AU52" s="12">
        <v>0.8</v>
      </c>
      <c r="AY52" s="12"/>
      <c r="AZ52" s="12">
        <v>0.8</v>
      </c>
      <c r="BA52" s="12"/>
      <c r="BB52" s="12">
        <v>0.8</v>
      </c>
      <c r="BF52" s="12"/>
      <c r="BG52" s="12">
        <v>1</v>
      </c>
      <c r="BH52" s="12"/>
      <c r="BI52" s="12">
        <v>1</v>
      </c>
      <c r="BM52" s="12"/>
      <c r="BN52" s="12">
        <v>1</v>
      </c>
      <c r="BO52" s="12"/>
      <c r="BP52" s="12">
        <v>1</v>
      </c>
      <c r="BT52" s="12"/>
      <c r="BU52" s="12">
        <v>1</v>
      </c>
      <c r="BV52" s="12"/>
      <c r="BW52" s="12">
        <v>1</v>
      </c>
      <c r="CA52" s="12"/>
      <c r="CB52" s="12">
        <v>1</v>
      </c>
      <c r="CC52" s="12"/>
      <c r="CD52" s="12">
        <v>1</v>
      </c>
      <c r="CH52" s="12"/>
      <c r="CI52" s="12">
        <v>1</v>
      </c>
      <c r="CJ52" s="12"/>
      <c r="CK52" s="12">
        <v>1</v>
      </c>
      <c r="CO52" s="12"/>
      <c r="CP52" s="12">
        <v>1</v>
      </c>
      <c r="CQ52" s="12"/>
      <c r="CR52" s="12">
        <v>1</v>
      </c>
      <c r="CV52" s="12"/>
      <c r="CW52" s="12"/>
      <c r="CX52" s="12"/>
      <c r="CY52" s="12"/>
      <c r="DC52" s="12"/>
      <c r="DD52" s="12"/>
      <c r="DE52" s="12"/>
      <c r="DF52" s="12"/>
      <c r="DJ52" s="12"/>
      <c r="DK52" s="12"/>
      <c r="DL52" s="12"/>
      <c r="DM52" s="12"/>
      <c r="DQ52" s="12"/>
      <c r="DR52" s="12"/>
      <c r="DS52" s="12"/>
      <c r="DT52" s="12"/>
      <c r="DX52" s="12"/>
      <c r="DY52" s="12">
        <v>1</v>
      </c>
      <c r="DZ52" s="12"/>
      <c r="EA52" s="12">
        <v>1</v>
      </c>
    </row>
    <row r="53" spans="2:131" outlineLevel="1">
      <c r="B53" t="s">
        <v>28</v>
      </c>
      <c r="C53" t="s">
        <v>118</v>
      </c>
      <c r="E53" s="11"/>
      <c r="F53" t="s">
        <v>131</v>
      </c>
      <c r="G53" s="12">
        <v>0.05</v>
      </c>
      <c r="I53" s="11">
        <f>+SUMIF($N$3:$UZ$3,I$3,$N53:$UZ53)</f>
        <v>0</v>
      </c>
      <c r="J53" s="13" cm="1">
        <f t="array" ref="J53">MAX(IF($N$3:$BZ$3=$J$3,N53:BZ53))</f>
        <v>0</v>
      </c>
      <c r="K53" s="13" cm="1">
        <f t="array" ref="K53">MAX(IF($N$3:$BZ$3=$J$3,N53:BZ53))</f>
        <v>0</v>
      </c>
      <c r="L53" s="11"/>
      <c r="P53" s="12"/>
      <c r="Q53" s="12">
        <v>0.8</v>
      </c>
      <c r="R53" s="12"/>
      <c r="S53" s="12">
        <v>0.8</v>
      </c>
      <c r="W53" s="12"/>
      <c r="X53" s="12">
        <v>0.8</v>
      </c>
      <c r="Y53" s="12"/>
      <c r="Z53" s="12">
        <v>0.8</v>
      </c>
      <c r="AD53" s="12"/>
      <c r="AE53" s="12">
        <v>0.8</v>
      </c>
      <c r="AF53" s="12"/>
      <c r="AG53" s="12">
        <v>0.8</v>
      </c>
      <c r="AK53" s="12"/>
      <c r="AL53" s="12">
        <v>0.8</v>
      </c>
      <c r="AM53" s="12"/>
      <c r="AN53" s="12">
        <v>0.8</v>
      </c>
      <c r="AR53" s="12"/>
      <c r="AS53" s="12">
        <v>0.8</v>
      </c>
      <c r="AT53" s="12"/>
      <c r="AU53" s="12">
        <v>0.8</v>
      </c>
      <c r="AY53" s="12"/>
      <c r="AZ53" s="12">
        <v>0.8</v>
      </c>
      <c r="BA53" s="12"/>
      <c r="BB53" s="12">
        <v>0.8</v>
      </c>
      <c r="BF53" s="12"/>
      <c r="BG53" s="12">
        <v>0.8</v>
      </c>
      <c r="BH53" s="12"/>
      <c r="BI53" s="12">
        <v>0.8</v>
      </c>
      <c r="BM53" s="12"/>
      <c r="BN53" s="12">
        <v>1</v>
      </c>
      <c r="BO53" s="12"/>
      <c r="BP53" s="12">
        <v>1</v>
      </c>
      <c r="BT53" s="12"/>
      <c r="BU53" s="12">
        <v>1</v>
      </c>
      <c r="BV53" s="12"/>
      <c r="BW53" s="12">
        <v>1</v>
      </c>
      <c r="CA53" s="12"/>
      <c r="CB53" s="12">
        <v>1</v>
      </c>
      <c r="CC53" s="12"/>
      <c r="CD53" s="12">
        <v>1</v>
      </c>
      <c r="CH53" s="12"/>
      <c r="CI53" s="12">
        <v>1</v>
      </c>
      <c r="CJ53" s="12"/>
      <c r="CK53" s="12">
        <v>1</v>
      </c>
      <c r="CO53" s="12"/>
      <c r="CP53" s="12">
        <v>1</v>
      </c>
      <c r="CQ53" s="12"/>
      <c r="CR53" s="12">
        <v>1</v>
      </c>
      <c r="CV53" s="12"/>
      <c r="CW53" s="12"/>
      <c r="CX53" s="12"/>
      <c r="CY53" s="12"/>
      <c r="DC53" s="12"/>
      <c r="DD53" s="12"/>
      <c r="DE53" s="12"/>
      <c r="DF53" s="12"/>
      <c r="DJ53" s="12"/>
      <c r="DK53" s="12"/>
      <c r="DL53" s="12"/>
      <c r="DM53" s="12"/>
      <c r="DQ53" s="12"/>
      <c r="DR53" s="12"/>
      <c r="DS53" s="12"/>
      <c r="DT53" s="12"/>
      <c r="DX53" s="12"/>
      <c r="DY53" s="12">
        <v>1</v>
      </c>
      <c r="DZ53" s="12"/>
      <c r="EA53" s="12">
        <v>1</v>
      </c>
    </row>
    <row r="54" spans="2:131" outlineLevel="1">
      <c r="B54" t="s">
        <v>28</v>
      </c>
      <c r="C54" t="s">
        <v>118</v>
      </c>
      <c r="E54" s="11"/>
      <c r="F54" t="s">
        <v>132</v>
      </c>
      <c r="G54" s="12">
        <v>0.05</v>
      </c>
      <c r="I54" s="11">
        <f>+SUMIF($N$3:$UZ$3,I$3,$N54:$UZ54)</f>
        <v>0</v>
      </c>
      <c r="J54" s="13" cm="1">
        <f t="array" ref="J54">MAX(IF($N$3:$BZ$3=$J$3,N54:BZ54))</f>
        <v>0</v>
      </c>
      <c r="K54" s="13" cm="1">
        <f t="array" ref="K54">MAX(IF($N$3:$BZ$3=$J$3,N54:BZ54))</f>
        <v>0</v>
      </c>
      <c r="L54" s="11"/>
      <c r="P54" s="12"/>
      <c r="Q54" s="12">
        <v>0.8</v>
      </c>
      <c r="R54" s="12"/>
      <c r="S54" s="12">
        <v>0.8</v>
      </c>
      <c r="W54" s="12"/>
      <c r="X54" s="12">
        <v>0.8</v>
      </c>
      <c r="Y54" s="12"/>
      <c r="Z54" s="12">
        <v>0.8</v>
      </c>
      <c r="AD54" s="12"/>
      <c r="AE54" s="12">
        <v>0.8</v>
      </c>
      <c r="AF54" s="12"/>
      <c r="AG54" s="12">
        <v>0.8</v>
      </c>
      <c r="AK54" s="12"/>
      <c r="AL54" s="12">
        <v>0.8</v>
      </c>
      <c r="AM54" s="12"/>
      <c r="AN54" s="12">
        <v>0.8</v>
      </c>
      <c r="AR54" s="12"/>
      <c r="AS54" s="12">
        <v>0.8</v>
      </c>
      <c r="AT54" s="12"/>
      <c r="AU54" s="12">
        <v>0.8</v>
      </c>
      <c r="AY54" s="12"/>
      <c r="AZ54" s="12">
        <v>0.8</v>
      </c>
      <c r="BA54" s="12"/>
      <c r="BB54" s="12">
        <v>0.8</v>
      </c>
      <c r="BF54" s="12"/>
      <c r="BG54" s="12">
        <v>0.8</v>
      </c>
      <c r="BH54" s="12"/>
      <c r="BI54" s="12">
        <v>0.8</v>
      </c>
      <c r="BM54" s="12"/>
      <c r="BN54" s="12">
        <v>1</v>
      </c>
      <c r="BO54" s="12"/>
      <c r="BP54" s="12">
        <v>1</v>
      </c>
      <c r="BT54" s="12"/>
      <c r="BU54" s="12">
        <v>1</v>
      </c>
      <c r="BV54" s="12"/>
      <c r="BW54" s="12">
        <v>1</v>
      </c>
      <c r="CA54" s="12"/>
      <c r="CB54" s="12">
        <v>1</v>
      </c>
      <c r="CC54" s="12"/>
      <c r="CD54" s="12">
        <v>1</v>
      </c>
      <c r="CH54" s="12"/>
      <c r="CI54" s="12">
        <v>1</v>
      </c>
      <c r="CJ54" s="12"/>
      <c r="CK54" s="12">
        <v>1</v>
      </c>
      <c r="CO54" s="12"/>
      <c r="CP54" s="12">
        <v>1</v>
      </c>
      <c r="CQ54" s="12"/>
      <c r="CR54" s="12">
        <v>1</v>
      </c>
      <c r="CV54" s="12"/>
      <c r="CW54" s="12"/>
      <c r="CX54" s="12"/>
      <c r="CY54" s="12"/>
      <c r="DC54" s="12"/>
      <c r="DD54" s="12"/>
      <c r="DE54" s="12"/>
      <c r="DF54" s="12"/>
      <c r="DJ54" s="12"/>
      <c r="DK54" s="12"/>
      <c r="DL54" s="12"/>
      <c r="DM54" s="12"/>
      <c r="DQ54" s="12"/>
      <c r="DR54" s="12"/>
      <c r="DS54" s="12"/>
      <c r="DT54" s="12"/>
      <c r="DX54" s="12"/>
      <c r="DY54" s="12">
        <v>1</v>
      </c>
      <c r="DZ54" s="12"/>
      <c r="EA54" s="12">
        <v>1</v>
      </c>
    </row>
    <row r="55" spans="2:131" outlineLevel="1">
      <c r="B55" t="s">
        <v>28</v>
      </c>
      <c r="C55" t="s">
        <v>118</v>
      </c>
      <c r="E55" s="11"/>
      <c r="F55" t="s">
        <v>133</v>
      </c>
      <c r="G55" s="12">
        <v>0.05</v>
      </c>
      <c r="I55" s="11">
        <f>+SUMIF($N$3:$UZ$3,I$3,$N55:$UZ55)</f>
        <v>0</v>
      </c>
      <c r="J55" s="13" cm="1">
        <f t="array" ref="J55">MAX(IF($N$3:$BZ$3=$J$3,N55:BZ55))</f>
        <v>0</v>
      </c>
      <c r="K55" s="13" cm="1">
        <f t="array" ref="K55">MAX(IF($N$3:$BZ$3=$J$3,N55:BZ55))</f>
        <v>0</v>
      </c>
      <c r="L55" s="11"/>
      <c r="P55" s="12"/>
      <c r="Q55" s="12">
        <v>0.5</v>
      </c>
      <c r="R55" s="12"/>
      <c r="S55" s="12">
        <v>0.5</v>
      </c>
      <c r="W55" s="12"/>
      <c r="X55" s="12">
        <v>0.8</v>
      </c>
      <c r="Y55" s="12"/>
      <c r="Z55" s="12">
        <v>0.8</v>
      </c>
      <c r="AD55" s="12"/>
      <c r="AE55" s="12">
        <v>0.8</v>
      </c>
      <c r="AF55" s="12"/>
      <c r="AG55" s="12">
        <v>0.8</v>
      </c>
      <c r="AK55" s="12"/>
      <c r="AL55" s="12">
        <v>0.8</v>
      </c>
      <c r="AM55" s="12"/>
      <c r="AN55" s="12">
        <v>0.8</v>
      </c>
      <c r="AR55" s="12"/>
      <c r="AS55" s="12">
        <v>0.8</v>
      </c>
      <c r="AT55" s="12"/>
      <c r="AU55" s="12">
        <v>0.8</v>
      </c>
      <c r="AY55" s="12"/>
      <c r="AZ55" s="12">
        <v>0.8</v>
      </c>
      <c r="BA55" s="12"/>
      <c r="BB55" s="12">
        <v>0.8</v>
      </c>
      <c r="BF55" s="12"/>
      <c r="BG55" s="12">
        <v>0.8</v>
      </c>
      <c r="BH55" s="12"/>
      <c r="BI55" s="12">
        <v>0.8</v>
      </c>
      <c r="BM55" s="12"/>
      <c r="BN55" s="12">
        <v>0.8</v>
      </c>
      <c r="BO55" s="12"/>
      <c r="BP55" s="12">
        <v>0.8</v>
      </c>
      <c r="BT55" s="12"/>
      <c r="BU55" s="12">
        <v>1</v>
      </c>
      <c r="BV55" s="12"/>
      <c r="BW55" s="12">
        <v>1</v>
      </c>
      <c r="CA55" s="12"/>
      <c r="CB55" s="12">
        <v>1</v>
      </c>
      <c r="CC55" s="12"/>
      <c r="CD55" s="12">
        <v>1</v>
      </c>
      <c r="CH55" s="12"/>
      <c r="CI55" s="12">
        <v>1</v>
      </c>
      <c r="CJ55" s="12"/>
      <c r="CK55" s="12">
        <v>1</v>
      </c>
      <c r="CO55" s="12"/>
      <c r="CP55" s="12">
        <v>1</v>
      </c>
      <c r="CQ55" s="12"/>
      <c r="CR55" s="12">
        <v>1</v>
      </c>
      <c r="CV55" s="12"/>
      <c r="CW55" s="12"/>
      <c r="CX55" s="12"/>
      <c r="CY55" s="12"/>
      <c r="DC55" s="12"/>
      <c r="DD55" s="12"/>
      <c r="DE55" s="12"/>
      <c r="DF55" s="12"/>
      <c r="DJ55" s="12"/>
      <c r="DK55" s="12"/>
      <c r="DL55" s="12"/>
      <c r="DM55" s="12"/>
      <c r="DQ55" s="12"/>
      <c r="DR55" s="12"/>
      <c r="DS55" s="12"/>
      <c r="DT55" s="12"/>
      <c r="DX55" s="12"/>
      <c r="DY55" s="12">
        <v>1</v>
      </c>
      <c r="DZ55" s="12"/>
      <c r="EA55" s="12">
        <v>1</v>
      </c>
    </row>
    <row r="56" spans="2:131" outlineLevel="1">
      <c r="B56" t="s">
        <v>28</v>
      </c>
      <c r="C56" t="s">
        <v>118</v>
      </c>
      <c r="E56" s="11"/>
      <c r="F56" t="s">
        <v>134</v>
      </c>
      <c r="G56" s="12">
        <v>0.05</v>
      </c>
      <c r="I56" s="11">
        <f>+SUMIF($N$3:$UZ$3,I$3,$N56:$UZ56)</f>
        <v>0</v>
      </c>
      <c r="J56" s="13" cm="1">
        <f t="array" ref="J56">MAX(IF($N$3:$BZ$3=$J$3,N56:BZ56))</f>
        <v>0</v>
      </c>
      <c r="K56" s="13" cm="1">
        <f t="array" ref="K56">MAX(IF($N$3:$BZ$3=$J$3,N56:BZ56))</f>
        <v>0</v>
      </c>
      <c r="L56" s="11"/>
      <c r="P56" s="12"/>
      <c r="Q56" s="12">
        <v>0.5</v>
      </c>
      <c r="R56" s="12"/>
      <c r="S56" s="12">
        <v>0.5</v>
      </c>
      <c r="W56" s="12"/>
      <c r="X56" s="12">
        <v>0.8</v>
      </c>
      <c r="Y56" s="12"/>
      <c r="Z56" s="12">
        <v>0.8</v>
      </c>
      <c r="AD56" s="12"/>
      <c r="AE56" s="12">
        <v>0.8</v>
      </c>
      <c r="AF56" s="12"/>
      <c r="AG56" s="12">
        <v>0.8</v>
      </c>
      <c r="AK56" s="12"/>
      <c r="AL56" s="12">
        <v>0.8</v>
      </c>
      <c r="AM56" s="12"/>
      <c r="AN56" s="12">
        <v>0.8</v>
      </c>
      <c r="AR56" s="12"/>
      <c r="AS56" s="12">
        <v>0.8</v>
      </c>
      <c r="AT56" s="12"/>
      <c r="AU56" s="12">
        <v>0.8</v>
      </c>
      <c r="AY56" s="12"/>
      <c r="AZ56" s="12">
        <v>0.8</v>
      </c>
      <c r="BA56" s="12"/>
      <c r="BB56" s="12">
        <v>0.8</v>
      </c>
      <c r="BF56" s="12"/>
      <c r="BG56" s="12">
        <v>0.8</v>
      </c>
      <c r="BH56" s="12"/>
      <c r="BI56" s="12">
        <v>0.8</v>
      </c>
      <c r="BM56" s="12"/>
      <c r="BN56" s="12">
        <v>0.8</v>
      </c>
      <c r="BO56" s="12"/>
      <c r="BP56" s="12">
        <v>0.8</v>
      </c>
      <c r="BT56" s="12"/>
      <c r="BU56" s="12">
        <v>1</v>
      </c>
      <c r="BV56" s="12"/>
      <c r="BW56" s="12">
        <v>1</v>
      </c>
      <c r="CA56" s="12"/>
      <c r="CB56" s="12">
        <v>1</v>
      </c>
      <c r="CC56" s="12"/>
      <c r="CD56" s="12">
        <v>1</v>
      </c>
      <c r="CH56" s="12"/>
      <c r="CI56" s="12">
        <v>1</v>
      </c>
      <c r="CJ56" s="12"/>
      <c r="CK56" s="12">
        <v>1</v>
      </c>
      <c r="CO56" s="12"/>
      <c r="CP56" s="12">
        <v>1</v>
      </c>
      <c r="CQ56" s="12"/>
      <c r="CR56" s="12">
        <v>1</v>
      </c>
      <c r="CV56" s="12"/>
      <c r="CW56" s="12"/>
      <c r="CX56" s="12"/>
      <c r="CY56" s="12"/>
      <c r="DC56" s="12"/>
      <c r="DD56" s="12"/>
      <c r="DE56" s="12"/>
      <c r="DF56" s="12"/>
      <c r="DJ56" s="12"/>
      <c r="DK56" s="12"/>
      <c r="DL56" s="12"/>
      <c r="DM56" s="12"/>
      <c r="DQ56" s="12"/>
      <c r="DR56" s="12"/>
      <c r="DS56" s="12"/>
      <c r="DT56" s="12"/>
      <c r="DX56" s="12"/>
      <c r="DY56" s="12">
        <v>1</v>
      </c>
      <c r="DZ56" s="12"/>
      <c r="EA56" s="12">
        <v>1</v>
      </c>
    </row>
    <row r="57" spans="2:131" outlineLevel="1">
      <c r="B57" t="s">
        <v>28</v>
      </c>
      <c r="C57" t="s">
        <v>118</v>
      </c>
      <c r="E57" s="11"/>
      <c r="F57" t="s">
        <v>135</v>
      </c>
      <c r="G57" s="12">
        <v>0.1</v>
      </c>
      <c r="I57" s="11">
        <f>+SUMIF($N$3:$UZ$3,I$3,$N57:$UZ57)</f>
        <v>0</v>
      </c>
      <c r="J57" s="13" cm="1">
        <f t="array" ref="J57">MAX(IF($N$3:$BZ$3=$J$3,N57:BZ57))</f>
        <v>0</v>
      </c>
      <c r="K57" s="13" cm="1">
        <f t="array" ref="K57">MAX(IF($N$3:$BZ$3=$J$3,N57:BZ57))</f>
        <v>0</v>
      </c>
      <c r="L57" s="11"/>
      <c r="P57" s="12"/>
      <c r="Q57" s="12">
        <v>0.5</v>
      </c>
      <c r="R57" s="12"/>
      <c r="S57" s="12">
        <v>0.5</v>
      </c>
      <c r="W57" s="12"/>
      <c r="X57" s="12">
        <v>0.5</v>
      </c>
      <c r="Y57" s="12"/>
      <c r="Z57" s="12">
        <v>0.5</v>
      </c>
      <c r="AD57" s="12"/>
      <c r="AE57" s="12">
        <v>0.8</v>
      </c>
      <c r="AF57" s="12"/>
      <c r="AG57" s="12">
        <v>0.8</v>
      </c>
      <c r="AK57" s="12"/>
      <c r="AL57" s="12">
        <v>0.8</v>
      </c>
      <c r="AM57" s="12"/>
      <c r="AN57" s="12">
        <v>0.8</v>
      </c>
      <c r="AR57" s="12"/>
      <c r="AS57" s="12">
        <v>0.8</v>
      </c>
      <c r="AT57" s="12"/>
      <c r="AU57" s="12">
        <v>0.8</v>
      </c>
      <c r="AY57" s="12"/>
      <c r="AZ57" s="12">
        <v>0.8</v>
      </c>
      <c r="BA57" s="12"/>
      <c r="BB57" s="12">
        <v>0.8</v>
      </c>
      <c r="BF57" s="12"/>
      <c r="BG57" s="12">
        <v>0.8</v>
      </c>
      <c r="BH57" s="12"/>
      <c r="BI57" s="12">
        <v>0.8</v>
      </c>
      <c r="BM57" s="12"/>
      <c r="BN57" s="12">
        <v>0.8</v>
      </c>
      <c r="BO57" s="12"/>
      <c r="BP57" s="12">
        <v>0.8</v>
      </c>
      <c r="BT57" s="12"/>
      <c r="BU57" s="12">
        <v>0.8</v>
      </c>
      <c r="BV57" s="12"/>
      <c r="BW57" s="12">
        <v>0.8</v>
      </c>
      <c r="CA57" s="12"/>
      <c r="CB57" s="12">
        <v>1</v>
      </c>
      <c r="CC57" s="12"/>
      <c r="CD57" s="12">
        <v>1</v>
      </c>
      <c r="CH57" s="12"/>
      <c r="CI57" s="12">
        <v>1</v>
      </c>
      <c r="CJ57" s="12"/>
      <c r="CK57" s="12">
        <v>1</v>
      </c>
      <c r="CO57" s="12"/>
      <c r="CP57" s="12">
        <v>1</v>
      </c>
      <c r="CQ57" s="12"/>
      <c r="CR57" s="12">
        <v>1</v>
      </c>
      <c r="CV57" s="12"/>
      <c r="CW57" s="12"/>
      <c r="CX57" s="12"/>
      <c r="CY57" s="12"/>
      <c r="DC57" s="12"/>
      <c r="DD57" s="12"/>
      <c r="DE57" s="12"/>
      <c r="DF57" s="12"/>
      <c r="DJ57" s="12"/>
      <c r="DK57" s="12"/>
      <c r="DL57" s="12"/>
      <c r="DM57" s="12"/>
      <c r="DQ57" s="12"/>
      <c r="DR57" s="12"/>
      <c r="DS57" s="12"/>
      <c r="DT57" s="12"/>
      <c r="DX57" s="12"/>
      <c r="DY57" s="12">
        <v>1</v>
      </c>
      <c r="DZ57" s="12"/>
      <c r="EA57" s="12">
        <v>1</v>
      </c>
    </row>
    <row r="58" spans="2:131" outlineLevel="1">
      <c r="B58" t="s">
        <v>28</v>
      </c>
      <c r="C58" t="s">
        <v>118</v>
      </c>
      <c r="E58" s="11"/>
      <c r="F58" t="s">
        <v>136</v>
      </c>
      <c r="G58" s="12">
        <v>0.1</v>
      </c>
      <c r="I58" s="11">
        <f>+SUMIF($N$3:$UZ$3,I$3,$N58:$UZ58)</f>
        <v>0</v>
      </c>
      <c r="J58" s="13" cm="1">
        <f t="array" ref="J58">MAX(IF($N$3:$BZ$3=$J$3,N58:BZ58))</f>
        <v>0</v>
      </c>
      <c r="K58" s="13" cm="1">
        <f t="array" ref="K58">MAX(IF($N$3:$BZ$3=$J$3,N58:BZ58))</f>
        <v>0</v>
      </c>
      <c r="L58" s="11"/>
      <c r="P58" s="12"/>
      <c r="Q58" s="12">
        <v>0.5</v>
      </c>
      <c r="R58" s="12"/>
      <c r="S58" s="12">
        <v>0.5</v>
      </c>
      <c r="W58" s="12"/>
      <c r="X58" s="12">
        <v>0.5</v>
      </c>
      <c r="Y58" s="12"/>
      <c r="Z58" s="12">
        <v>0.5</v>
      </c>
      <c r="AD58" s="12"/>
      <c r="AE58" s="12">
        <v>0.8</v>
      </c>
      <c r="AF58" s="12"/>
      <c r="AG58" s="12">
        <v>0.8</v>
      </c>
      <c r="AK58" s="12"/>
      <c r="AL58" s="12">
        <v>0.8</v>
      </c>
      <c r="AM58" s="12"/>
      <c r="AN58" s="12">
        <v>0.8</v>
      </c>
      <c r="AR58" s="12"/>
      <c r="AS58" s="12">
        <v>0.8</v>
      </c>
      <c r="AT58" s="12"/>
      <c r="AU58" s="12">
        <v>0.8</v>
      </c>
      <c r="AY58" s="12"/>
      <c r="AZ58" s="12">
        <v>0.8</v>
      </c>
      <c r="BA58" s="12"/>
      <c r="BB58" s="12">
        <v>0.8</v>
      </c>
      <c r="BF58" s="12"/>
      <c r="BG58" s="12">
        <v>0.8</v>
      </c>
      <c r="BH58" s="12"/>
      <c r="BI58" s="12">
        <v>0.8</v>
      </c>
      <c r="BM58" s="12"/>
      <c r="BN58" s="12">
        <v>0.8</v>
      </c>
      <c r="BO58" s="12"/>
      <c r="BP58" s="12">
        <v>0.8</v>
      </c>
      <c r="BT58" s="12"/>
      <c r="BU58" s="12">
        <v>0.8</v>
      </c>
      <c r="BV58" s="12"/>
      <c r="BW58" s="12">
        <v>0.8</v>
      </c>
      <c r="CA58" s="12"/>
      <c r="CB58" s="12">
        <v>1</v>
      </c>
      <c r="CC58" s="12"/>
      <c r="CD58" s="12">
        <v>1</v>
      </c>
      <c r="CH58" s="12"/>
      <c r="CI58" s="12">
        <v>1</v>
      </c>
      <c r="CJ58" s="12"/>
      <c r="CK58" s="12">
        <v>1</v>
      </c>
      <c r="CO58" s="12"/>
      <c r="CP58" s="12">
        <v>1</v>
      </c>
      <c r="CQ58" s="12"/>
      <c r="CR58" s="12">
        <v>1</v>
      </c>
      <c r="CV58" s="12"/>
      <c r="CW58" s="12"/>
      <c r="CX58" s="12"/>
      <c r="CY58" s="12"/>
      <c r="DC58" s="12"/>
      <c r="DD58" s="12"/>
      <c r="DE58" s="12"/>
      <c r="DF58" s="12"/>
      <c r="DJ58" s="12"/>
      <c r="DK58" s="12"/>
      <c r="DL58" s="12"/>
      <c r="DM58" s="12"/>
      <c r="DQ58" s="12"/>
      <c r="DR58" s="12"/>
      <c r="DS58" s="12"/>
      <c r="DT58" s="12"/>
      <c r="DX58" s="12"/>
      <c r="DY58" s="12">
        <v>1</v>
      </c>
      <c r="DZ58" s="12"/>
      <c r="EA58" s="12">
        <v>1</v>
      </c>
    </row>
    <row r="59" spans="2:131" outlineLevel="1">
      <c r="B59" t="s">
        <v>28</v>
      </c>
      <c r="C59" t="s">
        <v>118</v>
      </c>
      <c r="E59" s="11"/>
      <c r="F59" t="s">
        <v>137</v>
      </c>
      <c r="G59" s="12">
        <v>0.1</v>
      </c>
      <c r="I59" s="11">
        <f>+SUMIF($N$3:$UZ$3,I$3,$N59:$UZ59)</f>
        <v>0</v>
      </c>
      <c r="J59" s="13" cm="1">
        <f t="array" ref="J59">MAX(IF($N$3:$BZ$3=$J$3,N59:BZ59))</f>
        <v>0</v>
      </c>
      <c r="K59" s="13" cm="1">
        <f t="array" ref="K59">MAX(IF($N$3:$BZ$3=$J$3,N59:BZ59))</f>
        <v>0</v>
      </c>
      <c r="L59" s="11"/>
      <c r="P59" s="12"/>
      <c r="Q59" s="12">
        <v>0.5</v>
      </c>
      <c r="R59" s="12"/>
      <c r="S59" s="12">
        <v>0.5</v>
      </c>
      <c r="W59" s="12"/>
      <c r="X59" s="12">
        <v>0.5</v>
      </c>
      <c r="Y59" s="12"/>
      <c r="Z59" s="12">
        <v>0.5</v>
      </c>
      <c r="AD59" s="12"/>
      <c r="AE59" s="12">
        <v>0.5</v>
      </c>
      <c r="AF59" s="12"/>
      <c r="AG59" s="12">
        <v>0.5</v>
      </c>
      <c r="AK59" s="12"/>
      <c r="AL59" s="12">
        <v>0.8</v>
      </c>
      <c r="AM59" s="12"/>
      <c r="AN59" s="12">
        <v>0.8</v>
      </c>
      <c r="AR59" s="12"/>
      <c r="AS59" s="12">
        <v>0.8</v>
      </c>
      <c r="AT59" s="12"/>
      <c r="AU59" s="12">
        <v>0.8</v>
      </c>
      <c r="AY59" s="12"/>
      <c r="AZ59" s="12">
        <v>0.8</v>
      </c>
      <c r="BA59" s="12"/>
      <c r="BB59" s="12">
        <v>0.8</v>
      </c>
      <c r="BF59" s="12"/>
      <c r="BG59" s="12">
        <v>0.8</v>
      </c>
      <c r="BH59" s="12"/>
      <c r="BI59" s="12">
        <v>0.8</v>
      </c>
      <c r="BM59" s="12"/>
      <c r="BN59" s="12">
        <v>0.8</v>
      </c>
      <c r="BO59" s="12"/>
      <c r="BP59" s="12">
        <v>0.8</v>
      </c>
      <c r="BT59" s="12"/>
      <c r="BU59" s="12">
        <v>0.8</v>
      </c>
      <c r="BV59" s="12"/>
      <c r="BW59" s="12">
        <v>0.8</v>
      </c>
      <c r="CA59" s="12"/>
      <c r="CB59" s="12">
        <v>0.8</v>
      </c>
      <c r="CC59" s="12"/>
      <c r="CD59" s="12">
        <v>0.8</v>
      </c>
      <c r="CH59" s="12"/>
      <c r="CI59" s="12">
        <v>1</v>
      </c>
      <c r="CJ59" s="12"/>
      <c r="CK59" s="12">
        <v>1</v>
      </c>
      <c r="CO59" s="12"/>
      <c r="CP59" s="12">
        <v>1</v>
      </c>
      <c r="CQ59" s="12"/>
      <c r="CR59" s="12">
        <v>1</v>
      </c>
      <c r="CV59" s="12"/>
      <c r="CW59" s="12"/>
      <c r="CX59" s="12"/>
      <c r="CY59" s="12"/>
      <c r="DC59" s="12"/>
      <c r="DD59" s="12"/>
      <c r="DE59" s="12"/>
      <c r="DF59" s="12"/>
      <c r="DJ59" s="12"/>
      <c r="DK59" s="12"/>
      <c r="DL59" s="12"/>
      <c r="DM59" s="12"/>
      <c r="DQ59" s="12"/>
      <c r="DR59" s="12"/>
      <c r="DS59" s="12"/>
      <c r="DT59" s="12"/>
      <c r="DX59" s="12"/>
      <c r="DY59" s="12">
        <v>1</v>
      </c>
      <c r="DZ59" s="12"/>
      <c r="EA59" s="12">
        <v>1</v>
      </c>
    </row>
    <row r="60" spans="2:131" outlineLevel="1">
      <c r="B60" t="s">
        <v>28</v>
      </c>
      <c r="C60" t="s">
        <v>118</v>
      </c>
      <c r="E60" s="11"/>
      <c r="F60" t="s">
        <v>138</v>
      </c>
      <c r="G60" s="12">
        <v>0.1</v>
      </c>
      <c r="I60" s="11">
        <f>+SUMIF($N$3:$UZ$3,I$3,$N60:$UZ60)</f>
        <v>0</v>
      </c>
      <c r="J60" s="13" cm="1">
        <f t="array" ref="J60">MAX(IF($N$3:$BZ$3=$J$3,N60:BZ60))</f>
        <v>0</v>
      </c>
      <c r="K60" s="13" cm="1">
        <f t="array" ref="K60">MAX(IF($N$3:$BZ$3=$J$3,N60:BZ60))</f>
        <v>0</v>
      </c>
      <c r="L60" s="11"/>
      <c r="P60" s="12"/>
      <c r="Q60" s="12">
        <v>0.5</v>
      </c>
      <c r="R60" s="12"/>
      <c r="S60" s="12">
        <v>0.5</v>
      </c>
      <c r="W60" s="12"/>
      <c r="X60" s="12">
        <v>0.5</v>
      </c>
      <c r="Y60" s="12"/>
      <c r="Z60" s="12">
        <v>0.5</v>
      </c>
      <c r="AD60" s="12"/>
      <c r="AE60" s="12">
        <v>0.5</v>
      </c>
      <c r="AF60" s="12"/>
      <c r="AG60" s="12">
        <v>0.5</v>
      </c>
      <c r="AK60" s="12"/>
      <c r="AL60" s="12">
        <v>0.8</v>
      </c>
      <c r="AM60" s="12"/>
      <c r="AN60" s="12">
        <v>0.8</v>
      </c>
      <c r="AR60" s="12"/>
      <c r="AS60" s="12">
        <v>0.8</v>
      </c>
      <c r="AT60" s="12"/>
      <c r="AU60" s="12">
        <v>0.8</v>
      </c>
      <c r="AY60" s="12"/>
      <c r="AZ60" s="12">
        <v>0.8</v>
      </c>
      <c r="BA60" s="12"/>
      <c r="BB60" s="12">
        <v>0.8</v>
      </c>
      <c r="BF60" s="12"/>
      <c r="BG60" s="12">
        <v>0.8</v>
      </c>
      <c r="BH60" s="12"/>
      <c r="BI60" s="12">
        <v>0.8</v>
      </c>
      <c r="BM60" s="12"/>
      <c r="BN60" s="12">
        <v>0.8</v>
      </c>
      <c r="BO60" s="12"/>
      <c r="BP60" s="12">
        <v>0.8</v>
      </c>
      <c r="BT60" s="12"/>
      <c r="BU60" s="12">
        <v>0.8</v>
      </c>
      <c r="BV60" s="12"/>
      <c r="BW60" s="12">
        <v>0.8</v>
      </c>
      <c r="CA60" s="12"/>
      <c r="CB60" s="12">
        <v>0.8</v>
      </c>
      <c r="CC60" s="12"/>
      <c r="CD60" s="12">
        <v>0.8</v>
      </c>
      <c r="CH60" s="12"/>
      <c r="CI60" s="12">
        <v>1</v>
      </c>
      <c r="CJ60" s="12"/>
      <c r="CK60" s="12">
        <v>1</v>
      </c>
      <c r="CO60" s="12"/>
      <c r="CP60" s="12">
        <v>1</v>
      </c>
      <c r="CQ60" s="12"/>
      <c r="CR60" s="12">
        <v>1</v>
      </c>
      <c r="CV60" s="12"/>
      <c r="CW60" s="12"/>
      <c r="CX60" s="12"/>
      <c r="CY60" s="12"/>
      <c r="DC60" s="12"/>
      <c r="DD60" s="12"/>
      <c r="DE60" s="12"/>
      <c r="DF60" s="12"/>
      <c r="DJ60" s="12"/>
      <c r="DK60" s="12"/>
      <c r="DL60" s="12"/>
      <c r="DM60" s="12"/>
      <c r="DQ60" s="12"/>
      <c r="DR60" s="12"/>
      <c r="DS60" s="12"/>
      <c r="DT60" s="12"/>
      <c r="DX60" s="12"/>
      <c r="DY60" s="12">
        <v>1</v>
      </c>
      <c r="DZ60" s="12"/>
      <c r="EA60" s="12">
        <v>1</v>
      </c>
    </row>
    <row r="61" spans="2:131" outlineLevel="1">
      <c r="B61" t="s">
        <v>28</v>
      </c>
      <c r="C61" t="s">
        <v>118</v>
      </c>
      <c r="E61" s="11"/>
      <c r="F61" t="s">
        <v>139</v>
      </c>
      <c r="G61" s="12">
        <v>0.1</v>
      </c>
      <c r="I61" s="11">
        <f>+SUMIF($N$3:$UZ$3,I$3,$N61:$UZ61)</f>
        <v>0</v>
      </c>
      <c r="J61" s="13" cm="1">
        <f t="array" ref="J61">MAX(IF($N$3:$BZ$3=$J$3,N61:BZ61))</f>
        <v>0</v>
      </c>
      <c r="K61" s="13" cm="1">
        <f t="array" ref="K61">MAX(IF($N$3:$BZ$3=$J$3,N61:BZ61))</f>
        <v>0</v>
      </c>
      <c r="L61" s="11"/>
      <c r="P61" s="12"/>
      <c r="Q61" s="12">
        <v>0.5</v>
      </c>
      <c r="R61" s="12"/>
      <c r="S61" s="12">
        <v>0.5</v>
      </c>
      <c r="W61" s="12"/>
      <c r="X61" s="12">
        <v>0.5</v>
      </c>
      <c r="Y61" s="12"/>
      <c r="Z61" s="12">
        <v>0.5</v>
      </c>
      <c r="AD61" s="12"/>
      <c r="AE61" s="12">
        <v>0.5</v>
      </c>
      <c r="AF61" s="12"/>
      <c r="AG61" s="12">
        <v>0.5</v>
      </c>
      <c r="AK61" s="12"/>
      <c r="AL61" s="12">
        <v>0.5</v>
      </c>
      <c r="AM61" s="12"/>
      <c r="AN61" s="12">
        <v>0.5</v>
      </c>
      <c r="AR61" s="12"/>
      <c r="AS61" s="12">
        <v>0.8</v>
      </c>
      <c r="AT61" s="12"/>
      <c r="AU61" s="12">
        <v>0.8</v>
      </c>
      <c r="AY61" s="12"/>
      <c r="AZ61" s="12">
        <v>0.8</v>
      </c>
      <c r="BA61" s="12"/>
      <c r="BB61" s="12">
        <v>0.8</v>
      </c>
      <c r="BF61" s="12"/>
      <c r="BG61" s="12">
        <v>0.8</v>
      </c>
      <c r="BH61" s="12"/>
      <c r="BI61" s="12">
        <v>0.8</v>
      </c>
      <c r="BM61" s="12"/>
      <c r="BN61" s="12">
        <v>0.8</v>
      </c>
      <c r="BO61" s="12"/>
      <c r="BP61" s="12">
        <v>0.8</v>
      </c>
      <c r="BT61" s="12"/>
      <c r="BU61" s="12">
        <v>0.8</v>
      </c>
      <c r="BV61" s="12"/>
      <c r="BW61" s="12">
        <v>0.8</v>
      </c>
      <c r="CA61" s="12"/>
      <c r="CB61" s="12">
        <v>0.8</v>
      </c>
      <c r="CC61" s="12"/>
      <c r="CD61" s="12">
        <v>0.8</v>
      </c>
      <c r="CH61" s="12"/>
      <c r="CI61" s="12">
        <v>0.8</v>
      </c>
      <c r="CJ61" s="12"/>
      <c r="CK61" s="12">
        <v>0.8</v>
      </c>
      <c r="CO61" s="12"/>
      <c r="CP61" s="12">
        <v>1</v>
      </c>
      <c r="CQ61" s="12"/>
      <c r="CR61" s="12">
        <v>1</v>
      </c>
      <c r="CV61" s="12"/>
      <c r="CW61" s="12"/>
      <c r="CX61" s="12"/>
      <c r="CY61" s="12"/>
      <c r="DC61" s="12"/>
      <c r="DD61" s="12"/>
      <c r="DE61" s="12"/>
      <c r="DF61" s="12"/>
      <c r="DJ61" s="12"/>
      <c r="DK61" s="12"/>
      <c r="DL61" s="12"/>
      <c r="DM61" s="12"/>
      <c r="DQ61" s="12"/>
      <c r="DR61" s="12"/>
      <c r="DS61" s="12"/>
      <c r="DT61" s="12"/>
      <c r="DX61" s="12"/>
      <c r="DY61" s="12">
        <v>1</v>
      </c>
      <c r="DZ61" s="12"/>
      <c r="EA61" s="12">
        <v>1</v>
      </c>
    </row>
    <row r="62" spans="2:131" outlineLevel="1">
      <c r="B62" t="s">
        <v>28</v>
      </c>
      <c r="C62" t="s">
        <v>118</v>
      </c>
      <c r="E62" s="11"/>
      <c r="F62" t="s">
        <v>140</v>
      </c>
      <c r="G62" s="12">
        <v>0.1</v>
      </c>
      <c r="I62" s="11">
        <f>+SUMIF($N$3:$UZ$3,I$3,$N62:$UZ62)</f>
        <v>0</v>
      </c>
      <c r="J62" s="13" cm="1">
        <f t="array" ref="J62">MAX(IF($N$3:$BZ$3=$J$3,N62:BZ62))</f>
        <v>0</v>
      </c>
      <c r="K62" s="13" cm="1">
        <f t="array" ref="K62">MAX(IF($N$3:$BZ$3=$J$3,N62:BZ62))</f>
        <v>0</v>
      </c>
      <c r="L62" s="11"/>
      <c r="P62" s="12"/>
      <c r="Q62" s="12">
        <v>0.5</v>
      </c>
      <c r="R62" s="12"/>
      <c r="S62" s="12">
        <v>0.5</v>
      </c>
      <c r="W62" s="12"/>
      <c r="X62" s="12">
        <v>0.5</v>
      </c>
      <c r="Y62" s="12"/>
      <c r="Z62" s="12">
        <v>0.5</v>
      </c>
      <c r="AD62" s="12"/>
      <c r="AE62" s="12">
        <v>0.5</v>
      </c>
      <c r="AF62" s="12"/>
      <c r="AG62" s="12">
        <v>0.5</v>
      </c>
      <c r="AK62" s="12"/>
      <c r="AL62" s="12">
        <v>0.5</v>
      </c>
      <c r="AM62" s="12"/>
      <c r="AN62" s="12">
        <v>0.5</v>
      </c>
      <c r="AR62" s="12"/>
      <c r="AS62" s="12">
        <v>0.8</v>
      </c>
      <c r="AT62" s="12"/>
      <c r="AU62" s="12">
        <v>0.8</v>
      </c>
      <c r="AY62" s="12"/>
      <c r="AZ62" s="12">
        <v>0.8</v>
      </c>
      <c r="BA62" s="12"/>
      <c r="BB62" s="12">
        <v>0.8</v>
      </c>
      <c r="BF62" s="12"/>
      <c r="BG62" s="12">
        <v>0.8</v>
      </c>
      <c r="BH62" s="12"/>
      <c r="BI62" s="12">
        <v>0.8</v>
      </c>
      <c r="BM62" s="12"/>
      <c r="BN62" s="12">
        <v>0.8</v>
      </c>
      <c r="BO62" s="12"/>
      <c r="BP62" s="12">
        <v>0.8</v>
      </c>
      <c r="BT62" s="12"/>
      <c r="BU62" s="12">
        <v>0.8</v>
      </c>
      <c r="BV62" s="12"/>
      <c r="BW62" s="12">
        <v>0.8</v>
      </c>
      <c r="CA62" s="12"/>
      <c r="CB62" s="12">
        <v>0.8</v>
      </c>
      <c r="CC62" s="12"/>
      <c r="CD62" s="12">
        <v>0.8</v>
      </c>
      <c r="CH62" s="12"/>
      <c r="CI62" s="12">
        <v>0.8</v>
      </c>
      <c r="CJ62" s="12"/>
      <c r="CK62" s="12">
        <v>0.8</v>
      </c>
      <c r="CO62" s="12"/>
      <c r="CP62" s="12">
        <v>1</v>
      </c>
      <c r="CQ62" s="12"/>
      <c r="CR62" s="12">
        <v>1</v>
      </c>
      <c r="CV62" s="12"/>
      <c r="CW62" s="12"/>
      <c r="CX62" s="12"/>
      <c r="CY62" s="12"/>
      <c r="DC62" s="12"/>
      <c r="DD62" s="12"/>
      <c r="DE62" s="12"/>
      <c r="DF62" s="12"/>
      <c r="DJ62" s="12"/>
      <c r="DK62" s="12"/>
      <c r="DL62" s="12"/>
      <c r="DM62" s="12"/>
      <c r="DQ62" s="12"/>
      <c r="DR62" s="12"/>
      <c r="DS62" s="12"/>
      <c r="DT62" s="12"/>
      <c r="DX62" s="12"/>
      <c r="DY62" s="12">
        <v>1</v>
      </c>
      <c r="DZ62" s="12"/>
      <c r="EA62" s="12">
        <v>1</v>
      </c>
    </row>
    <row r="63" spans="2:131" outlineLevel="1">
      <c r="B63" t="s">
        <v>28</v>
      </c>
      <c r="C63" t="s">
        <v>118</v>
      </c>
      <c r="E63" s="11"/>
      <c r="F63" t="s">
        <v>141</v>
      </c>
      <c r="G63" s="12">
        <v>0.1</v>
      </c>
      <c r="I63" s="11">
        <f>+SUMIF($N$3:$UZ$3,I$3,$N63:$UZ63)</f>
        <v>0</v>
      </c>
      <c r="J63" s="13" cm="1">
        <f t="array" ref="J63">MAX(IF($N$3:$BZ$3=$J$3,N63:BZ63))</f>
        <v>0</v>
      </c>
      <c r="K63" s="13" cm="1">
        <f t="array" ref="K63">MAX(IF($N$3:$BZ$3=$J$3,N63:BZ63))</f>
        <v>0</v>
      </c>
      <c r="L63" s="11"/>
      <c r="P63" s="12"/>
      <c r="Q63" s="12">
        <v>0.5</v>
      </c>
      <c r="R63" s="12"/>
      <c r="S63" s="12">
        <v>0.5</v>
      </c>
      <c r="W63" s="12"/>
      <c r="X63" s="12">
        <v>0.5</v>
      </c>
      <c r="Y63" s="12"/>
      <c r="Z63" s="12">
        <v>0.5</v>
      </c>
      <c r="AD63" s="12"/>
      <c r="AE63" s="12">
        <v>0.5</v>
      </c>
      <c r="AF63" s="12"/>
      <c r="AG63" s="12">
        <v>0.5</v>
      </c>
      <c r="AK63" s="12"/>
      <c r="AL63" s="12">
        <v>0.5</v>
      </c>
      <c r="AM63" s="12"/>
      <c r="AN63" s="12">
        <v>0.5</v>
      </c>
      <c r="AR63" s="12"/>
      <c r="AS63" s="12">
        <v>0.5</v>
      </c>
      <c r="AT63" s="12"/>
      <c r="AU63" s="12">
        <v>0.5</v>
      </c>
      <c r="AY63" s="12"/>
      <c r="AZ63" s="12">
        <v>0.8</v>
      </c>
      <c r="BA63" s="12"/>
      <c r="BB63" s="12">
        <v>0.8</v>
      </c>
      <c r="BF63" s="12"/>
      <c r="BG63" s="12">
        <v>0.8</v>
      </c>
      <c r="BH63" s="12"/>
      <c r="BI63" s="12">
        <v>0.8</v>
      </c>
      <c r="BM63" s="12"/>
      <c r="BN63" s="12">
        <v>0.8</v>
      </c>
      <c r="BO63" s="12"/>
      <c r="BP63" s="12">
        <v>0.8</v>
      </c>
      <c r="BT63" s="12"/>
      <c r="BU63" s="12">
        <v>0.8</v>
      </c>
      <c r="BV63" s="12"/>
      <c r="BW63" s="12">
        <v>0.8</v>
      </c>
      <c r="CA63" s="12"/>
      <c r="CB63" s="12">
        <v>0.8</v>
      </c>
      <c r="CC63" s="12"/>
      <c r="CD63" s="12">
        <v>0.8</v>
      </c>
      <c r="CH63" s="12"/>
      <c r="CI63" s="12">
        <v>0.8</v>
      </c>
      <c r="CJ63" s="12"/>
      <c r="CK63" s="12">
        <v>0.8</v>
      </c>
      <c r="CO63" s="12"/>
      <c r="CP63" s="12">
        <v>0.8</v>
      </c>
      <c r="CQ63" s="12"/>
      <c r="CR63" s="12">
        <v>0.8</v>
      </c>
      <c r="CV63" s="12"/>
      <c r="CW63" s="12"/>
      <c r="CX63" s="12"/>
      <c r="CY63" s="12"/>
      <c r="DC63" s="12"/>
      <c r="DD63" s="12"/>
      <c r="DE63" s="12"/>
      <c r="DF63" s="12"/>
      <c r="DJ63" s="12"/>
      <c r="DK63" s="12"/>
      <c r="DL63" s="12"/>
      <c r="DM63" s="12"/>
      <c r="DQ63" s="12"/>
      <c r="DR63" s="12"/>
      <c r="DS63" s="12"/>
      <c r="DT63" s="12"/>
      <c r="DX63" s="12"/>
      <c r="DY63" s="12">
        <v>1</v>
      </c>
      <c r="DZ63" s="12"/>
      <c r="EA63" s="12">
        <v>1</v>
      </c>
    </row>
    <row r="64" spans="2:131" outlineLevel="1">
      <c r="B64" t="s">
        <v>28</v>
      </c>
      <c r="C64" t="s">
        <v>118</v>
      </c>
      <c r="E64" s="11"/>
      <c r="F64" t="s">
        <v>142</v>
      </c>
      <c r="G64" s="12">
        <v>0.1</v>
      </c>
      <c r="I64" s="11">
        <f>+SUMIF($N$3:$UZ$3,I$3,$N64:$UZ64)</f>
        <v>0</v>
      </c>
      <c r="J64" s="13" cm="1">
        <f t="array" ref="J64">MAX(IF($N$3:$BZ$3=$J$3,N64:BZ64))</f>
        <v>0</v>
      </c>
      <c r="K64" s="13" cm="1">
        <f t="array" ref="K64">MAX(IF($N$3:$BZ$3=$J$3,N64:BZ64))</f>
        <v>0</v>
      </c>
      <c r="L64" s="11"/>
      <c r="P64" s="12"/>
      <c r="Q64" s="12">
        <v>0.5</v>
      </c>
      <c r="R64" s="12"/>
      <c r="S64" s="12">
        <v>0.5</v>
      </c>
      <c r="W64" s="12"/>
      <c r="X64" s="12">
        <v>0.5</v>
      </c>
      <c r="Y64" s="12"/>
      <c r="Z64" s="12">
        <v>0.5</v>
      </c>
      <c r="AD64" s="12"/>
      <c r="AE64" s="12">
        <v>0.5</v>
      </c>
      <c r="AF64" s="12"/>
      <c r="AG64" s="12">
        <v>0.5</v>
      </c>
      <c r="AK64" s="12"/>
      <c r="AL64" s="12">
        <v>0.5</v>
      </c>
      <c r="AM64" s="12"/>
      <c r="AN64" s="12">
        <v>0.5</v>
      </c>
      <c r="AR64" s="12"/>
      <c r="AS64" s="12">
        <v>0.5</v>
      </c>
      <c r="AT64" s="12"/>
      <c r="AU64" s="12">
        <v>0.5</v>
      </c>
      <c r="AY64" s="12"/>
      <c r="AZ64" s="12">
        <v>0.8</v>
      </c>
      <c r="BA64" s="12"/>
      <c r="BB64" s="12">
        <v>0.8</v>
      </c>
      <c r="BF64" s="12"/>
      <c r="BG64" s="12">
        <v>0.8</v>
      </c>
      <c r="BH64" s="12"/>
      <c r="BI64" s="12">
        <v>0.8</v>
      </c>
      <c r="BM64" s="12"/>
      <c r="BN64" s="12">
        <v>0.8</v>
      </c>
      <c r="BO64" s="12"/>
      <c r="BP64" s="12">
        <v>0.8</v>
      </c>
      <c r="BT64" s="12"/>
      <c r="BU64" s="12">
        <v>0.8</v>
      </c>
      <c r="BV64" s="12"/>
      <c r="BW64" s="12">
        <v>0.8</v>
      </c>
      <c r="CA64" s="12"/>
      <c r="CB64" s="12">
        <v>0.8</v>
      </c>
      <c r="CC64" s="12"/>
      <c r="CD64" s="12">
        <v>0.8</v>
      </c>
      <c r="CH64" s="12"/>
      <c r="CI64" s="12">
        <v>0.8</v>
      </c>
      <c r="CJ64" s="12"/>
      <c r="CK64" s="12">
        <v>0.8</v>
      </c>
      <c r="CO64" s="12"/>
      <c r="CP64" s="12">
        <v>0.8</v>
      </c>
      <c r="CQ64" s="12"/>
      <c r="CR64" s="12">
        <v>0.8</v>
      </c>
      <c r="CV64" s="12"/>
      <c r="CW64" s="12"/>
      <c r="CX64" s="12"/>
      <c r="CY64" s="12"/>
      <c r="DC64" s="12"/>
      <c r="DD64" s="12"/>
      <c r="DE64" s="12"/>
      <c r="DF64" s="12"/>
      <c r="DJ64" s="12"/>
      <c r="DK64" s="12"/>
      <c r="DL64" s="12"/>
      <c r="DM64" s="12"/>
      <c r="DQ64" s="12"/>
      <c r="DR64" s="12"/>
      <c r="DS64" s="12"/>
      <c r="DT64" s="12"/>
      <c r="DX64" s="12"/>
      <c r="DY64" s="12">
        <v>1</v>
      </c>
      <c r="DZ64" s="12"/>
      <c r="EA64" s="12">
        <v>1</v>
      </c>
    </row>
    <row r="65" spans="2:131" outlineLevel="1">
      <c r="B65" t="s">
        <v>28</v>
      </c>
      <c r="C65" t="s">
        <v>118</v>
      </c>
      <c r="E65" s="11"/>
      <c r="F65" t="s">
        <v>143</v>
      </c>
      <c r="G65" s="12">
        <v>0.1</v>
      </c>
      <c r="I65" s="11">
        <f>+SUMIF($N$3:$UZ$3,I$3,$N65:$UZ65)</f>
        <v>0</v>
      </c>
      <c r="J65" s="13" cm="1">
        <f t="array" ref="J65">MAX(IF($N$3:$BZ$3=$J$3,N65:BZ65))</f>
        <v>0</v>
      </c>
      <c r="K65" s="13" cm="1">
        <f t="array" ref="K65">MAX(IF($N$3:$BZ$3=$J$3,N65:BZ65))</f>
        <v>0</v>
      </c>
      <c r="L65" s="11"/>
      <c r="P65" s="12"/>
      <c r="Q65" s="12"/>
      <c r="R65" s="12"/>
      <c r="S65" s="12"/>
      <c r="W65" s="12"/>
      <c r="X65" s="12"/>
      <c r="Y65" s="12"/>
      <c r="Z65" s="12"/>
      <c r="AD65" s="12"/>
      <c r="AE65" s="12"/>
      <c r="AF65" s="12"/>
      <c r="AG65" s="12"/>
      <c r="AK65" s="12"/>
      <c r="AL65" s="12"/>
      <c r="AM65" s="12"/>
      <c r="AN65" s="12"/>
      <c r="AR65" s="12"/>
      <c r="AS65" s="12"/>
      <c r="AT65" s="12"/>
      <c r="AU65" s="12"/>
      <c r="AY65" s="12"/>
      <c r="AZ65" s="12"/>
      <c r="BA65" s="12"/>
      <c r="BB65" s="12"/>
      <c r="BF65" s="12"/>
      <c r="BG65" s="12"/>
      <c r="BH65" s="12"/>
      <c r="BI65" s="12"/>
      <c r="BM65" s="12"/>
      <c r="BN65" s="12"/>
      <c r="BO65" s="12"/>
      <c r="BP65" s="12"/>
      <c r="BT65" s="12"/>
      <c r="BU65" s="12"/>
      <c r="BV65" s="12"/>
      <c r="BW65" s="12"/>
      <c r="CA65" s="12"/>
      <c r="CB65" s="12"/>
      <c r="CC65" s="12"/>
      <c r="CD65" s="12"/>
      <c r="CH65" s="12"/>
      <c r="CI65" s="12"/>
      <c r="CJ65" s="12"/>
      <c r="CK65" s="12"/>
      <c r="CO65" s="12"/>
      <c r="CP65" s="12"/>
      <c r="CQ65" s="12"/>
      <c r="CR65" s="12"/>
      <c r="CV65" s="12"/>
      <c r="CW65" s="12"/>
      <c r="CX65" s="12"/>
      <c r="CY65" s="12"/>
      <c r="DC65" s="12"/>
      <c r="DD65" s="12"/>
      <c r="DE65" s="12"/>
      <c r="DF65" s="12"/>
      <c r="DJ65" s="12"/>
      <c r="DK65" s="12"/>
      <c r="DL65" s="12"/>
      <c r="DM65" s="12"/>
      <c r="DQ65" s="12"/>
      <c r="DR65" s="12"/>
      <c r="DS65" s="12"/>
      <c r="DT65" s="12"/>
      <c r="DX65" s="12"/>
      <c r="DY65" s="12">
        <v>1</v>
      </c>
      <c r="DZ65" s="12"/>
      <c r="EA65" s="12">
        <v>1</v>
      </c>
    </row>
    <row r="66" spans="2:131" outlineLevel="1">
      <c r="B66" t="s">
        <v>28</v>
      </c>
      <c r="C66" t="s">
        <v>118</v>
      </c>
      <c r="E66" s="11"/>
      <c r="F66" t="s">
        <v>144</v>
      </c>
      <c r="G66" s="12">
        <v>0.1</v>
      </c>
      <c r="I66" s="11">
        <f>+SUMIF($N$3:$UZ$3,I$3,$N66:$UZ66)</f>
        <v>0</v>
      </c>
      <c r="J66" s="13" cm="1">
        <f t="array" ref="J66">MAX(IF($N$3:$BZ$3=$J$3,N66:BZ66))</f>
        <v>0</v>
      </c>
      <c r="K66" s="13" cm="1">
        <f t="array" ref="K66">MAX(IF($N$3:$BZ$3=$J$3,N66:BZ66))</f>
        <v>0</v>
      </c>
      <c r="L66" s="11"/>
      <c r="P66" s="12"/>
      <c r="Q66" s="12"/>
      <c r="R66" s="12"/>
      <c r="S66" s="12"/>
      <c r="W66" s="12"/>
      <c r="X66" s="12"/>
      <c r="Y66" s="12"/>
      <c r="Z66" s="12"/>
      <c r="AD66" s="12"/>
      <c r="AE66" s="12"/>
      <c r="AF66" s="12"/>
      <c r="AG66" s="12"/>
      <c r="AK66" s="12"/>
      <c r="AL66" s="12"/>
      <c r="AM66" s="12"/>
      <c r="AN66" s="12"/>
      <c r="AR66" s="12"/>
      <c r="AS66" s="12"/>
      <c r="AT66" s="12"/>
      <c r="AU66" s="12"/>
      <c r="AY66" s="12"/>
      <c r="AZ66" s="12"/>
      <c r="BA66" s="12"/>
      <c r="BB66" s="12"/>
      <c r="BF66" s="12"/>
      <c r="BG66" s="12"/>
      <c r="BH66" s="12"/>
      <c r="BI66" s="12"/>
      <c r="BM66" s="12"/>
      <c r="BN66" s="12"/>
      <c r="BO66" s="12"/>
      <c r="BP66" s="12"/>
      <c r="BT66" s="12"/>
      <c r="BU66" s="12"/>
      <c r="BV66" s="12"/>
      <c r="BW66" s="12"/>
      <c r="CA66" s="12"/>
      <c r="CB66" s="12"/>
      <c r="CC66" s="12"/>
      <c r="CD66" s="12"/>
      <c r="CH66" s="12"/>
      <c r="CI66" s="12"/>
      <c r="CJ66" s="12"/>
      <c r="CK66" s="12"/>
      <c r="CO66" s="12"/>
      <c r="CP66" s="12"/>
      <c r="CQ66" s="12"/>
      <c r="CR66" s="12"/>
      <c r="CV66" s="12"/>
      <c r="CW66" s="12"/>
      <c r="CX66" s="12"/>
      <c r="CY66" s="12"/>
      <c r="DC66" s="12"/>
      <c r="DD66" s="12"/>
      <c r="DE66" s="12"/>
      <c r="DF66" s="12"/>
      <c r="DJ66" s="12"/>
      <c r="DK66" s="12"/>
      <c r="DL66" s="12"/>
      <c r="DM66" s="12"/>
      <c r="DQ66" s="12"/>
      <c r="DR66" s="12"/>
      <c r="DS66" s="12"/>
      <c r="DT66" s="12"/>
      <c r="DX66" s="12"/>
      <c r="DY66" s="12">
        <v>1</v>
      </c>
      <c r="DZ66" s="12"/>
      <c r="EA66" s="12">
        <v>1</v>
      </c>
    </row>
    <row r="67" spans="2:131" ht="17.25" customHeight="1" outlineLevel="1">
      <c r="B67" t="s">
        <v>28</v>
      </c>
      <c r="C67" t="s">
        <v>118</v>
      </c>
      <c r="E67" s="11"/>
      <c r="F67" t="s">
        <v>145</v>
      </c>
      <c r="G67" s="12">
        <v>0.1</v>
      </c>
      <c r="I67" s="11">
        <f>+SUMIF($N$3:$UZ$3,I$3,$N67:$UZ67)</f>
        <v>0</v>
      </c>
      <c r="J67" s="13" cm="1">
        <f t="array" ref="J67">MAX(IF($N$3:$BZ$3=$J$3,N67:BZ67))</f>
        <v>0</v>
      </c>
      <c r="K67" s="13" cm="1">
        <f t="array" ref="K67">MAX(IF($N$3:$BZ$3=$J$3,N67:BZ67))</f>
        <v>0</v>
      </c>
      <c r="L67" s="11"/>
      <c r="P67" s="12"/>
      <c r="Q67" s="12"/>
      <c r="R67" s="12"/>
      <c r="S67" s="12"/>
      <c r="W67" s="12"/>
      <c r="X67" s="12"/>
      <c r="Y67" s="12"/>
      <c r="Z67" s="12"/>
      <c r="AD67" s="12"/>
      <c r="AE67" s="12"/>
      <c r="AF67" s="12"/>
      <c r="AG67" s="12"/>
      <c r="AK67" s="12"/>
      <c r="AL67" s="12"/>
      <c r="AM67" s="12"/>
      <c r="AN67" s="12"/>
      <c r="AR67" s="12"/>
      <c r="AS67" s="12"/>
      <c r="AT67" s="12"/>
      <c r="AU67" s="12"/>
      <c r="AY67" s="12"/>
      <c r="AZ67" s="12"/>
      <c r="BA67" s="12"/>
      <c r="BB67" s="12"/>
      <c r="BF67" s="12"/>
      <c r="BG67" s="12"/>
      <c r="BH67" s="12"/>
      <c r="BI67" s="12"/>
      <c r="BM67" s="12"/>
      <c r="BN67" s="12"/>
      <c r="BO67" s="12"/>
      <c r="BP67" s="12"/>
      <c r="BT67" s="12"/>
      <c r="BU67" s="12"/>
      <c r="BV67" s="12"/>
      <c r="BW67" s="12"/>
      <c r="CA67" s="12"/>
      <c r="CB67" s="12"/>
      <c r="CC67" s="12"/>
      <c r="CD67" s="12"/>
      <c r="CH67" s="12"/>
      <c r="CI67" s="12"/>
      <c r="CJ67" s="12"/>
      <c r="CK67" s="12"/>
      <c r="CO67" s="12"/>
      <c r="CP67" s="12"/>
      <c r="CQ67" s="12"/>
      <c r="CR67" s="12"/>
      <c r="CV67" s="12"/>
      <c r="CW67" s="12"/>
      <c r="CX67" s="12"/>
      <c r="CY67" s="12"/>
      <c r="DC67" s="12"/>
      <c r="DD67" s="12"/>
      <c r="DE67" s="12"/>
      <c r="DF67" s="12"/>
      <c r="DJ67" s="12"/>
      <c r="DK67" s="12"/>
      <c r="DL67" s="12"/>
      <c r="DM67" s="12"/>
      <c r="DQ67" s="12"/>
      <c r="DR67" s="12"/>
      <c r="DS67" s="12"/>
      <c r="DT67" s="12"/>
      <c r="DX67" s="12"/>
      <c r="DY67" s="12">
        <v>1</v>
      </c>
      <c r="DZ67" s="12"/>
      <c r="EA67" s="12">
        <v>1</v>
      </c>
    </row>
    <row r="68" spans="2:131" outlineLevel="1">
      <c r="B68" t="s">
        <v>28</v>
      </c>
      <c r="C68" t="s">
        <v>118</v>
      </c>
      <c r="E68" s="11"/>
      <c r="F68" t="s">
        <v>146</v>
      </c>
      <c r="G68" s="12">
        <v>0.1</v>
      </c>
      <c r="I68" s="11">
        <f>+SUMIF($N$3:$UZ$3,I$3,$N68:$UZ68)</f>
        <v>0</v>
      </c>
      <c r="J68" s="13" cm="1">
        <f t="array" ref="J68">MAX(IF($N$3:$BZ$3=$J$3,N68:BZ68))</f>
        <v>0</v>
      </c>
      <c r="K68" s="13" cm="1">
        <f t="array" ref="K68">MAX(IF($N$3:$BZ$3=$J$3,N68:BZ68))</f>
        <v>0</v>
      </c>
      <c r="L68" s="11"/>
      <c r="P68" s="12"/>
      <c r="Q68" s="12"/>
      <c r="R68" s="12"/>
      <c r="S68" s="12"/>
      <c r="W68" s="12"/>
      <c r="X68" s="12"/>
      <c r="Y68" s="12"/>
      <c r="Z68" s="12"/>
      <c r="AD68" s="12"/>
      <c r="AE68" s="12"/>
      <c r="AF68" s="12"/>
      <c r="AG68" s="12"/>
      <c r="AK68" s="12"/>
      <c r="AL68" s="12"/>
      <c r="AM68" s="12"/>
      <c r="AN68" s="12"/>
      <c r="AR68" s="12"/>
      <c r="AS68" s="12"/>
      <c r="AT68" s="12"/>
      <c r="AU68" s="12"/>
      <c r="AY68" s="12"/>
      <c r="AZ68" s="12"/>
      <c r="BA68" s="12"/>
      <c r="BB68" s="12"/>
      <c r="BF68" s="12"/>
      <c r="BG68" s="12"/>
      <c r="BH68" s="12"/>
      <c r="BI68" s="12"/>
      <c r="BM68" s="12"/>
      <c r="BN68" s="12"/>
      <c r="BO68" s="12"/>
      <c r="BP68" s="12"/>
      <c r="BT68" s="12"/>
      <c r="BU68" s="12"/>
      <c r="BV68" s="12"/>
      <c r="BW68" s="12"/>
      <c r="CA68" s="12"/>
      <c r="CB68" s="12"/>
      <c r="CC68" s="12"/>
      <c r="CD68" s="12"/>
      <c r="CH68" s="12"/>
      <c r="CI68" s="12"/>
      <c r="CJ68" s="12"/>
      <c r="CK68" s="12"/>
      <c r="CO68" s="12"/>
      <c r="CP68" s="12"/>
      <c r="CQ68" s="12"/>
      <c r="CR68" s="12"/>
      <c r="CV68" s="12"/>
      <c r="CW68" s="12"/>
      <c r="CX68" s="12"/>
      <c r="CY68" s="12"/>
      <c r="DC68" s="12"/>
      <c r="DD68" s="12"/>
      <c r="DE68" s="12"/>
      <c r="DF68" s="12"/>
      <c r="DJ68" s="12"/>
      <c r="DK68" s="12"/>
      <c r="DL68" s="12"/>
      <c r="DM68" s="12"/>
      <c r="DQ68" s="12"/>
      <c r="DR68" s="12"/>
      <c r="DS68" s="12"/>
      <c r="DT68" s="12"/>
      <c r="DX68" s="12"/>
      <c r="DY68" s="12">
        <v>1</v>
      </c>
      <c r="DZ68" s="12"/>
      <c r="EA68" s="12">
        <v>1</v>
      </c>
    </row>
    <row r="69" spans="2:131" outlineLevel="1">
      <c r="B69" t="s">
        <v>28</v>
      </c>
      <c r="C69" t="s">
        <v>118</v>
      </c>
      <c r="E69" s="11"/>
      <c r="F69" t="s">
        <v>147</v>
      </c>
      <c r="G69" s="12">
        <v>0.1</v>
      </c>
      <c r="I69" s="11">
        <f>+SUMIF($N$3:$UZ$3,I$3,$N69:$UZ69)</f>
        <v>0</v>
      </c>
      <c r="J69" s="13" cm="1">
        <f t="array" ref="J69">MAX(IF($N$3:$BZ$3=$J$3,N69:BZ69))</f>
        <v>0</v>
      </c>
      <c r="K69" s="13" cm="1">
        <f t="array" ref="K69">MAX(IF($N$3:$BZ$3=$J$3,N69:BZ69))</f>
        <v>0</v>
      </c>
      <c r="L69" s="11"/>
      <c r="P69" s="12"/>
      <c r="Q69" s="12"/>
      <c r="R69" s="12"/>
      <c r="S69" s="12"/>
      <c r="W69" s="12"/>
      <c r="X69" s="12"/>
      <c r="Y69" s="12"/>
      <c r="Z69" s="12"/>
      <c r="AD69" s="12"/>
      <c r="AE69" s="12"/>
      <c r="AF69" s="12"/>
      <c r="AG69" s="12"/>
      <c r="AK69" s="12"/>
      <c r="AL69" s="12"/>
      <c r="AM69" s="12"/>
      <c r="AN69" s="12"/>
      <c r="AR69" s="12"/>
      <c r="AS69" s="12"/>
      <c r="AT69" s="12"/>
      <c r="AU69" s="12"/>
      <c r="AY69" s="12"/>
      <c r="AZ69" s="12"/>
      <c r="BA69" s="12"/>
      <c r="BB69" s="12"/>
      <c r="BF69" s="12"/>
      <c r="BG69" s="12"/>
      <c r="BH69" s="12"/>
      <c r="BI69" s="12"/>
      <c r="BM69" s="12"/>
      <c r="BN69" s="12"/>
      <c r="BO69" s="12"/>
      <c r="BP69" s="12"/>
      <c r="BT69" s="12"/>
      <c r="BU69" s="12"/>
      <c r="BV69" s="12"/>
      <c r="BW69" s="12"/>
      <c r="CA69" s="12"/>
      <c r="CB69" s="12"/>
      <c r="CC69" s="12"/>
      <c r="CD69" s="12"/>
      <c r="CH69" s="12"/>
      <c r="CI69" s="12"/>
      <c r="CJ69" s="12"/>
      <c r="CK69" s="12"/>
      <c r="CO69" s="12"/>
      <c r="CP69" s="12"/>
      <c r="CQ69" s="12"/>
      <c r="CR69" s="12"/>
      <c r="CV69" s="12"/>
      <c r="CW69" s="12"/>
      <c r="CX69" s="12"/>
      <c r="CY69" s="12"/>
      <c r="DC69" s="12"/>
      <c r="DD69" s="12"/>
      <c r="DE69" s="12"/>
      <c r="DF69" s="12"/>
      <c r="DJ69" s="12"/>
      <c r="DK69" s="12"/>
      <c r="DL69" s="12"/>
      <c r="DM69" s="12"/>
      <c r="DQ69" s="12"/>
      <c r="DR69" s="12"/>
      <c r="DS69" s="12"/>
      <c r="DT69" s="12"/>
      <c r="DX69" s="12"/>
      <c r="DY69" s="12">
        <v>1</v>
      </c>
      <c r="DZ69" s="12"/>
      <c r="EA69" s="12">
        <v>1</v>
      </c>
    </row>
    <row r="70" spans="2:131" outlineLevel="1">
      <c r="B70" t="s">
        <v>28</v>
      </c>
      <c r="C70" t="s">
        <v>118</v>
      </c>
      <c r="E70" s="11"/>
      <c r="F70" t="s">
        <v>148</v>
      </c>
      <c r="G70" s="12">
        <v>0.1</v>
      </c>
      <c r="I70" s="11">
        <f>+SUMIF($N$3:$UZ$3,I$3,$N70:$UZ70)</f>
        <v>0</v>
      </c>
      <c r="J70" s="13" cm="1">
        <f t="array" ref="J70">MAX(IF($N$3:$BZ$3=$J$3,N70:BZ70))</f>
        <v>0</v>
      </c>
      <c r="K70" s="13" cm="1">
        <f t="array" ref="K70">MAX(IF($N$3:$BZ$3=$J$3,N70:BZ70))</f>
        <v>0</v>
      </c>
      <c r="L70" s="11"/>
      <c r="P70" s="12"/>
      <c r="Q70" s="12"/>
      <c r="R70" s="12"/>
      <c r="S70" s="12"/>
      <c r="W70" s="12"/>
      <c r="X70" s="12"/>
      <c r="Y70" s="12"/>
      <c r="Z70" s="12"/>
      <c r="AD70" s="12"/>
      <c r="AE70" s="12"/>
      <c r="AF70" s="12"/>
      <c r="AG70" s="12"/>
      <c r="AK70" s="12"/>
      <c r="AL70" s="12"/>
      <c r="AM70" s="12"/>
      <c r="AN70" s="12"/>
      <c r="AR70" s="12"/>
      <c r="AS70" s="12"/>
      <c r="AT70" s="12"/>
      <c r="AU70" s="12"/>
      <c r="AY70" s="12"/>
      <c r="AZ70" s="12"/>
      <c r="BA70" s="12"/>
      <c r="BB70" s="12"/>
      <c r="BF70" s="12"/>
      <c r="BG70" s="12"/>
      <c r="BH70" s="12"/>
      <c r="BI70" s="12"/>
      <c r="BM70" s="12"/>
      <c r="BN70" s="12"/>
      <c r="BO70" s="12"/>
      <c r="BP70" s="12"/>
      <c r="BT70" s="12"/>
      <c r="BU70" s="12"/>
      <c r="BV70" s="12"/>
      <c r="BW70" s="12"/>
      <c r="CA70" s="12"/>
      <c r="CB70" s="12"/>
      <c r="CC70" s="12"/>
      <c r="CD70" s="12"/>
      <c r="CH70" s="12"/>
      <c r="CI70" s="12"/>
      <c r="CJ70" s="12"/>
      <c r="CK70" s="12"/>
      <c r="CO70" s="12"/>
      <c r="CP70" s="12"/>
      <c r="CQ70" s="12"/>
      <c r="CR70" s="12"/>
      <c r="CV70" s="12"/>
      <c r="CW70" s="12"/>
      <c r="CX70" s="12"/>
      <c r="CY70" s="12"/>
      <c r="DC70" s="12"/>
      <c r="DD70" s="12"/>
      <c r="DE70" s="12"/>
      <c r="DF70" s="12"/>
      <c r="DJ70" s="12"/>
      <c r="DK70" s="12"/>
      <c r="DL70" s="12"/>
      <c r="DM70" s="12"/>
      <c r="DQ70" s="12"/>
      <c r="DR70" s="12"/>
      <c r="DS70" s="12"/>
      <c r="DT70" s="12"/>
      <c r="DX70" s="12"/>
      <c r="DY70" s="12">
        <v>1</v>
      </c>
      <c r="DZ70" s="12"/>
      <c r="EA70" s="12">
        <v>1</v>
      </c>
    </row>
    <row r="71" spans="2:131" outlineLevel="1">
      <c r="B71" t="s">
        <v>28</v>
      </c>
      <c r="C71" t="s">
        <v>118</v>
      </c>
      <c r="E71" s="11"/>
      <c r="F71" t="s">
        <v>149</v>
      </c>
      <c r="G71" s="12">
        <v>0.1</v>
      </c>
      <c r="I71" s="11">
        <f>+SUMIF($N$3:$UZ$3,I$3,$N71:$UZ71)</f>
        <v>0</v>
      </c>
      <c r="J71" s="13" cm="1">
        <f t="array" ref="J71">MAX(IF($N$3:$BZ$3=$J$3,N71:BZ71))</f>
        <v>0</v>
      </c>
      <c r="K71" s="13" cm="1">
        <f t="array" ref="K71">MAX(IF($N$3:$BZ$3=$J$3,N71:BZ71))</f>
        <v>0</v>
      </c>
      <c r="L71" s="11"/>
      <c r="P71" s="12"/>
      <c r="Q71" s="12"/>
      <c r="R71" s="12"/>
      <c r="S71" s="12"/>
      <c r="W71" s="12"/>
      <c r="X71" s="12"/>
      <c r="Y71" s="12"/>
      <c r="Z71" s="12"/>
      <c r="AD71" s="12"/>
      <c r="AE71" s="12"/>
      <c r="AF71" s="12"/>
      <c r="AG71" s="12"/>
      <c r="AK71" s="12"/>
      <c r="AL71" s="12"/>
      <c r="AM71" s="12"/>
      <c r="AN71" s="12"/>
      <c r="AR71" s="12"/>
      <c r="AS71" s="12"/>
      <c r="AT71" s="12"/>
      <c r="AU71" s="12"/>
      <c r="AY71" s="12"/>
      <c r="AZ71" s="12"/>
      <c r="BA71" s="12"/>
      <c r="BB71" s="12"/>
      <c r="BF71" s="12"/>
      <c r="BG71" s="12"/>
      <c r="BH71" s="12"/>
      <c r="BI71" s="12"/>
      <c r="BM71" s="12"/>
      <c r="BN71" s="12"/>
      <c r="BO71" s="12"/>
      <c r="BP71" s="12"/>
      <c r="BT71" s="12"/>
      <c r="BU71" s="12"/>
      <c r="BV71" s="12"/>
      <c r="BW71" s="12"/>
      <c r="CA71" s="12"/>
      <c r="CB71" s="12"/>
      <c r="CC71" s="12"/>
      <c r="CD71" s="12"/>
      <c r="CH71" s="12"/>
      <c r="CI71" s="12"/>
      <c r="CJ71" s="12"/>
      <c r="CK71" s="12"/>
      <c r="CO71" s="12"/>
      <c r="CP71" s="12"/>
      <c r="CQ71" s="12"/>
      <c r="CR71" s="12"/>
      <c r="CV71" s="12"/>
      <c r="CW71" s="12"/>
      <c r="CX71" s="12"/>
      <c r="CY71" s="12"/>
      <c r="DC71" s="12"/>
      <c r="DD71" s="12"/>
      <c r="DE71" s="12"/>
      <c r="DF71" s="12"/>
      <c r="DJ71" s="12"/>
      <c r="DK71" s="12"/>
      <c r="DL71" s="12"/>
      <c r="DM71" s="12"/>
      <c r="DQ71" s="12"/>
      <c r="DR71" s="12"/>
      <c r="DS71" s="12"/>
      <c r="DT71" s="12"/>
      <c r="DX71" s="12"/>
      <c r="DY71" s="12">
        <v>1</v>
      </c>
      <c r="DZ71" s="12"/>
      <c r="EA71" s="12">
        <v>1</v>
      </c>
    </row>
    <row r="72" spans="2:131" outlineLevel="1">
      <c r="B72" t="s">
        <v>28</v>
      </c>
      <c r="C72" t="s">
        <v>118</v>
      </c>
      <c r="E72" s="11"/>
      <c r="F72" t="s">
        <v>150</v>
      </c>
      <c r="G72" s="12">
        <v>0.1</v>
      </c>
      <c r="I72" s="11">
        <f>+SUMIF($N$3:$UZ$3,I$3,$N72:$UZ72)</f>
        <v>0</v>
      </c>
      <c r="J72" s="13" cm="1">
        <f t="array" ref="J72">MAX(IF($N$3:$BZ$3=$J$3,N72:BZ72))</f>
        <v>0</v>
      </c>
      <c r="K72" s="13" cm="1">
        <f t="array" ref="K72">MAX(IF($N$3:$BZ$3=$J$3,N72:BZ72))</f>
        <v>0</v>
      </c>
      <c r="L72" s="11"/>
      <c r="P72" s="12"/>
      <c r="Q72" s="12"/>
      <c r="R72" s="12"/>
      <c r="S72" s="12"/>
      <c r="W72" s="12"/>
      <c r="X72" s="12"/>
      <c r="Y72" s="12"/>
      <c r="Z72" s="12"/>
      <c r="AD72" s="12"/>
      <c r="AE72" s="12"/>
      <c r="AF72" s="12"/>
      <c r="AG72" s="12"/>
      <c r="AK72" s="12"/>
      <c r="AL72" s="12"/>
      <c r="AM72" s="12"/>
      <c r="AN72" s="12"/>
      <c r="AR72" s="12"/>
      <c r="AS72" s="12"/>
      <c r="AT72" s="12"/>
      <c r="AU72" s="12"/>
      <c r="AY72" s="12"/>
      <c r="AZ72" s="12"/>
      <c r="BA72" s="12"/>
      <c r="BB72" s="12"/>
      <c r="BF72" s="12"/>
      <c r="BG72" s="12"/>
      <c r="BH72" s="12"/>
      <c r="BI72" s="12"/>
      <c r="BM72" s="12"/>
      <c r="BN72" s="12"/>
      <c r="BO72" s="12"/>
      <c r="BP72" s="12"/>
      <c r="BT72" s="12"/>
      <c r="BU72" s="12"/>
      <c r="BV72" s="12"/>
      <c r="BW72" s="12"/>
      <c r="CA72" s="12"/>
      <c r="CB72" s="12"/>
      <c r="CC72" s="12"/>
      <c r="CD72" s="12"/>
      <c r="CH72" s="12"/>
      <c r="CI72" s="12"/>
      <c r="CJ72" s="12"/>
      <c r="CK72" s="12"/>
      <c r="CO72" s="12"/>
      <c r="CP72" s="12"/>
      <c r="CQ72" s="12"/>
      <c r="CR72" s="12"/>
      <c r="CV72" s="12"/>
      <c r="CW72" s="12"/>
      <c r="CX72" s="12"/>
      <c r="CY72" s="12"/>
      <c r="DC72" s="12"/>
      <c r="DD72" s="12"/>
      <c r="DE72" s="12"/>
      <c r="DF72" s="12"/>
      <c r="DJ72" s="12"/>
      <c r="DK72" s="12"/>
      <c r="DL72" s="12"/>
      <c r="DM72" s="12"/>
      <c r="DQ72" s="12"/>
      <c r="DR72" s="12"/>
      <c r="DS72" s="12"/>
      <c r="DT72" s="12"/>
      <c r="DX72" s="12"/>
      <c r="DY72" s="12">
        <v>1</v>
      </c>
      <c r="DZ72" s="12"/>
      <c r="EA72" s="12">
        <v>1</v>
      </c>
    </row>
    <row r="73" spans="2:131" outlineLevel="1">
      <c r="B73" t="s">
        <v>28</v>
      </c>
      <c r="C73" t="s">
        <v>118</v>
      </c>
      <c r="E73" s="11"/>
      <c r="F73" t="s">
        <v>151</v>
      </c>
      <c r="G73" s="12">
        <v>0.1</v>
      </c>
      <c r="I73" s="11">
        <f>+SUMIF($N$3:$UZ$3,I$3,$N73:$UZ73)</f>
        <v>0</v>
      </c>
      <c r="J73" s="13" cm="1">
        <f t="array" ref="J73">MAX(IF($N$3:$BZ$3=$J$3,N73:BZ73))</f>
        <v>0</v>
      </c>
      <c r="K73" s="13" cm="1">
        <f t="array" ref="K73">MAX(IF($N$3:$BZ$3=$J$3,N73:BZ73))</f>
        <v>0</v>
      </c>
      <c r="L73" s="11"/>
      <c r="P73" s="12"/>
      <c r="Q73" s="12"/>
      <c r="R73" s="12"/>
      <c r="S73" s="12"/>
      <c r="W73" s="12"/>
      <c r="X73" s="12"/>
      <c r="Y73" s="12"/>
      <c r="Z73" s="12"/>
      <c r="AD73" s="12"/>
      <c r="AE73" s="12"/>
      <c r="AF73" s="12"/>
      <c r="AG73" s="12"/>
      <c r="AK73" s="12"/>
      <c r="AL73" s="12"/>
      <c r="AM73" s="12"/>
      <c r="AN73" s="12"/>
      <c r="AR73" s="12"/>
      <c r="AS73" s="12"/>
      <c r="AT73" s="12"/>
      <c r="AU73" s="12"/>
      <c r="AY73" s="12"/>
      <c r="AZ73" s="12"/>
      <c r="BA73" s="12"/>
      <c r="BB73" s="12"/>
      <c r="BF73" s="12"/>
      <c r="BG73" s="12"/>
      <c r="BH73" s="12"/>
      <c r="BI73" s="12"/>
      <c r="BM73" s="12"/>
      <c r="BN73" s="12"/>
      <c r="BO73" s="12"/>
      <c r="BP73" s="12"/>
      <c r="BT73" s="12"/>
      <c r="BU73" s="12"/>
      <c r="BV73" s="12"/>
      <c r="BW73" s="12"/>
      <c r="CA73" s="12"/>
      <c r="CB73" s="12"/>
      <c r="CC73" s="12"/>
      <c r="CD73" s="12"/>
      <c r="CH73" s="12"/>
      <c r="CI73" s="12"/>
      <c r="CJ73" s="12"/>
      <c r="CK73" s="12"/>
      <c r="CO73" s="12"/>
      <c r="CP73" s="12"/>
      <c r="CQ73" s="12"/>
      <c r="CR73" s="12"/>
      <c r="CV73" s="12"/>
      <c r="CW73" s="12"/>
      <c r="CX73" s="12"/>
      <c r="CY73" s="12"/>
      <c r="DC73" s="12"/>
      <c r="DD73" s="12"/>
      <c r="DE73" s="12"/>
      <c r="DF73" s="12"/>
      <c r="DJ73" s="12"/>
      <c r="DK73" s="12"/>
      <c r="DL73" s="12"/>
      <c r="DM73" s="12"/>
      <c r="DQ73" s="12"/>
      <c r="DR73" s="12"/>
      <c r="DS73" s="12"/>
      <c r="DT73" s="12"/>
      <c r="DX73" s="12"/>
      <c r="DY73" s="12">
        <v>1</v>
      </c>
      <c r="DZ73" s="12"/>
      <c r="EA73" s="12">
        <v>1</v>
      </c>
    </row>
    <row r="74" spans="2:131" outlineLevel="1">
      <c r="B74" t="s">
        <v>28</v>
      </c>
      <c r="C74" t="s">
        <v>118</v>
      </c>
      <c r="E74" s="11"/>
      <c r="F74" t="s">
        <v>152</v>
      </c>
      <c r="G74" s="12">
        <v>0.1</v>
      </c>
      <c r="I74" s="11">
        <f>+SUMIF($N$3:$UZ$3,I$3,$N74:$UZ74)</f>
        <v>0</v>
      </c>
      <c r="J74" s="13" cm="1">
        <f t="array" ref="J74">MAX(IF($N$3:$BZ$3=$J$3,N74:BZ74))</f>
        <v>0</v>
      </c>
      <c r="K74" s="13" cm="1">
        <f t="array" ref="K74">MAX(IF($N$3:$BZ$3=$J$3,N74:BZ74))</f>
        <v>0</v>
      </c>
      <c r="L74" s="11"/>
      <c r="P74" s="12"/>
      <c r="Q74" s="12"/>
      <c r="R74" s="12"/>
      <c r="S74" s="12"/>
      <c r="W74" s="12"/>
      <c r="X74" s="12"/>
      <c r="Y74" s="12"/>
      <c r="Z74" s="12"/>
      <c r="AD74" s="12"/>
      <c r="AE74" s="12"/>
      <c r="AF74" s="12"/>
      <c r="AG74" s="12"/>
      <c r="AK74" s="12"/>
      <c r="AL74" s="12"/>
      <c r="AM74" s="12"/>
      <c r="AN74" s="12"/>
      <c r="AR74" s="12"/>
      <c r="AS74" s="12"/>
      <c r="AT74" s="12"/>
      <c r="AU74" s="12"/>
      <c r="AY74" s="12"/>
      <c r="AZ74" s="12"/>
      <c r="BA74" s="12"/>
      <c r="BB74" s="12"/>
      <c r="BF74" s="12"/>
      <c r="BG74" s="12"/>
      <c r="BH74" s="12"/>
      <c r="BI74" s="12"/>
      <c r="BM74" s="12"/>
      <c r="BN74" s="12"/>
      <c r="BO74" s="12"/>
      <c r="BP74" s="12"/>
      <c r="BT74" s="12"/>
      <c r="BU74" s="12"/>
      <c r="BV74" s="12"/>
      <c r="BW74" s="12"/>
      <c r="CA74" s="12"/>
      <c r="CB74" s="12"/>
      <c r="CC74" s="12"/>
      <c r="CD74" s="12"/>
      <c r="CH74" s="12"/>
      <c r="CI74" s="12"/>
      <c r="CJ74" s="12"/>
      <c r="CK74" s="12"/>
      <c r="CO74" s="12"/>
      <c r="CP74" s="12"/>
      <c r="CQ74" s="12"/>
      <c r="CR74" s="12"/>
      <c r="CV74" s="12"/>
      <c r="CW74" s="12"/>
      <c r="CX74" s="12"/>
      <c r="CY74" s="12"/>
      <c r="DC74" s="12"/>
      <c r="DD74" s="12"/>
      <c r="DE74" s="12"/>
      <c r="DF74" s="12"/>
      <c r="DJ74" s="12"/>
      <c r="DK74" s="12"/>
      <c r="DL74" s="12"/>
      <c r="DM74" s="12"/>
      <c r="DQ74" s="12"/>
      <c r="DR74" s="12"/>
      <c r="DS74" s="12"/>
      <c r="DT74" s="12"/>
      <c r="DX74" s="12"/>
      <c r="DY74" s="12">
        <v>1</v>
      </c>
      <c r="DZ74" s="12"/>
      <c r="EA74" s="12">
        <v>1</v>
      </c>
    </row>
    <row r="75" spans="2:131" outlineLevel="1">
      <c r="B75" t="s">
        <v>28</v>
      </c>
      <c r="C75" t="s">
        <v>118</v>
      </c>
      <c r="E75" s="11"/>
      <c r="F75" t="s">
        <v>153</v>
      </c>
      <c r="G75" s="12">
        <v>0.1</v>
      </c>
      <c r="I75" s="11">
        <f>+SUMIF($N$3:$UZ$3,I$3,$N75:$UZ75)</f>
        <v>0</v>
      </c>
      <c r="J75" s="13" cm="1">
        <f t="array" ref="J75">MAX(IF($N$3:$BZ$3=$J$3,N75:BZ75))</f>
        <v>0</v>
      </c>
      <c r="K75" s="13" cm="1">
        <f t="array" ref="K75">MAX(IF($N$3:$BZ$3=$J$3,N75:BZ75))</f>
        <v>0</v>
      </c>
      <c r="L75" s="11"/>
      <c r="P75" s="12"/>
      <c r="Q75" s="12"/>
      <c r="R75" s="12"/>
      <c r="S75" s="12"/>
      <c r="W75" s="12"/>
      <c r="X75" s="12"/>
      <c r="Y75" s="12"/>
      <c r="Z75" s="12"/>
      <c r="AD75" s="12"/>
      <c r="AE75" s="12"/>
      <c r="AF75" s="12"/>
      <c r="AG75" s="12"/>
      <c r="AK75" s="12"/>
      <c r="AL75" s="12"/>
      <c r="AM75" s="12"/>
      <c r="AN75" s="12"/>
      <c r="AR75" s="12"/>
      <c r="AS75" s="12"/>
      <c r="AT75" s="12"/>
      <c r="AU75" s="12"/>
      <c r="AY75" s="12"/>
      <c r="AZ75" s="12"/>
      <c r="BA75" s="12"/>
      <c r="BB75" s="12"/>
      <c r="BF75" s="12"/>
      <c r="BG75" s="12"/>
      <c r="BH75" s="12"/>
      <c r="BI75" s="12"/>
      <c r="BM75" s="12"/>
      <c r="BN75" s="12"/>
      <c r="BO75" s="12"/>
      <c r="BP75" s="12"/>
      <c r="BT75" s="12"/>
      <c r="BU75" s="12"/>
      <c r="BV75" s="12"/>
      <c r="BW75" s="12"/>
      <c r="CA75" s="12"/>
      <c r="CB75" s="12"/>
      <c r="CC75" s="12"/>
      <c r="CD75" s="12"/>
      <c r="CH75" s="12"/>
      <c r="CI75" s="12"/>
      <c r="CJ75" s="12"/>
      <c r="CK75" s="12"/>
      <c r="CO75" s="12"/>
      <c r="CP75" s="12"/>
      <c r="CQ75" s="12"/>
      <c r="CR75" s="12"/>
      <c r="CV75" s="12"/>
      <c r="CW75" s="12"/>
      <c r="CX75" s="12"/>
      <c r="CY75" s="12"/>
      <c r="DC75" s="12"/>
      <c r="DD75" s="12"/>
      <c r="DE75" s="12"/>
      <c r="DF75" s="12"/>
      <c r="DJ75" s="12"/>
      <c r="DK75" s="12"/>
      <c r="DL75" s="12"/>
      <c r="DM75" s="12"/>
      <c r="DQ75" s="12"/>
      <c r="DR75" s="12"/>
      <c r="DS75" s="12"/>
      <c r="DT75" s="12"/>
      <c r="DX75" s="12"/>
      <c r="DY75" s="12">
        <v>1</v>
      </c>
      <c r="DZ75" s="12"/>
      <c r="EA75" s="12">
        <v>1</v>
      </c>
    </row>
    <row r="76" spans="2:131" outlineLevel="1">
      <c r="B76" t="s">
        <v>28</v>
      </c>
      <c r="C76" t="s">
        <v>118</v>
      </c>
      <c r="E76" s="11"/>
      <c r="F76" t="s">
        <v>154</v>
      </c>
      <c r="G76" s="12">
        <v>0.1</v>
      </c>
      <c r="I76" s="11">
        <f>+SUMIF($N$3:$UZ$3,I$3,$N76:$UZ76)</f>
        <v>0</v>
      </c>
      <c r="J76" s="13" cm="1">
        <f t="array" ref="J76">MAX(IF($N$3:$BZ$3=$J$3,N76:BZ76))</f>
        <v>0</v>
      </c>
      <c r="K76" s="13" cm="1">
        <f t="array" ref="K76">MAX(IF($N$3:$BZ$3=$J$3,N76:BZ76))</f>
        <v>0</v>
      </c>
      <c r="L76" s="11"/>
      <c r="P76" s="12"/>
      <c r="Q76" s="12"/>
      <c r="R76" s="12"/>
      <c r="S76" s="12"/>
      <c r="W76" s="12"/>
      <c r="X76" s="12"/>
      <c r="Y76" s="12"/>
      <c r="Z76" s="12"/>
      <c r="AD76" s="12"/>
      <c r="AE76" s="12"/>
      <c r="AF76" s="12"/>
      <c r="AG76" s="12"/>
      <c r="AK76" s="12"/>
      <c r="AL76" s="12"/>
      <c r="AM76" s="12"/>
      <c r="AN76" s="12"/>
      <c r="AR76" s="12"/>
      <c r="AS76" s="12"/>
      <c r="AT76" s="12"/>
      <c r="AU76" s="12"/>
      <c r="AY76" s="12"/>
      <c r="AZ76" s="12"/>
      <c r="BA76" s="12"/>
      <c r="BB76" s="12"/>
      <c r="BF76" s="12"/>
      <c r="BG76" s="12"/>
      <c r="BH76" s="12"/>
      <c r="BI76" s="12"/>
      <c r="BM76" s="12"/>
      <c r="BN76" s="12"/>
      <c r="BO76" s="12"/>
      <c r="BP76" s="12"/>
      <c r="BT76" s="12"/>
      <c r="BU76" s="12"/>
      <c r="BV76" s="12"/>
      <c r="BW76" s="12"/>
      <c r="CA76" s="12"/>
      <c r="CB76" s="12"/>
      <c r="CC76" s="12"/>
      <c r="CD76" s="12"/>
      <c r="CH76" s="12"/>
      <c r="CI76" s="12"/>
      <c r="CJ76" s="12"/>
      <c r="CK76" s="12"/>
      <c r="CO76" s="12"/>
      <c r="CP76" s="12"/>
      <c r="CQ76" s="12"/>
      <c r="CR76" s="12"/>
      <c r="CV76" s="12"/>
      <c r="CW76" s="12"/>
      <c r="CX76" s="12"/>
      <c r="CY76" s="12"/>
      <c r="DC76" s="12"/>
      <c r="DD76" s="12"/>
      <c r="DE76" s="12"/>
      <c r="DF76" s="12"/>
      <c r="DJ76" s="12"/>
      <c r="DK76" s="12"/>
      <c r="DL76" s="12"/>
      <c r="DM76" s="12"/>
      <c r="DQ76" s="12"/>
      <c r="DR76" s="12"/>
      <c r="DS76" s="12"/>
      <c r="DT76" s="12"/>
      <c r="DX76" s="12"/>
      <c r="DY76" s="12">
        <v>1</v>
      </c>
      <c r="DZ76" s="12"/>
      <c r="EA76" s="12">
        <v>1</v>
      </c>
    </row>
    <row r="80" spans="2:131" outlineLevel="1">
      <c r="B80" s="3" t="s">
        <v>27</v>
      </c>
      <c r="C80" s="3" t="s">
        <v>166</v>
      </c>
      <c r="D80" s="22">
        <f>DATE(2023,1,17)</f>
        <v>44943</v>
      </c>
      <c r="E80" s="11"/>
      <c r="G80" s="12">
        <v>0.1</v>
      </c>
      <c r="I80" s="11">
        <f>+SUMIF($N$3:$YD$3,I$3,$N80:$YD80)</f>
        <v>0</v>
      </c>
      <c r="J80" s="13" cm="1">
        <f t="array" ref="J80">MAX(IF($N$3:$CL$3=$J$3,N80:CL80))</f>
        <v>0</v>
      </c>
      <c r="K80" s="13" cm="1">
        <f t="array" ref="K80">MAX(IF($N$3:$CL$3=$J$3,N80:CL80))</f>
        <v>0</v>
      </c>
      <c r="L80" s="11"/>
      <c r="P80" s="12"/>
      <c r="Q80" s="12"/>
      <c r="R80" s="12"/>
      <c r="S80" s="12"/>
      <c r="W80" s="12"/>
      <c r="X80" s="12"/>
      <c r="Y80" s="12"/>
      <c r="Z80" s="12"/>
      <c r="AD80" s="12"/>
      <c r="AE80" s="12"/>
      <c r="AF80" s="12"/>
      <c r="AG80" s="12"/>
      <c r="AK80" s="12"/>
      <c r="AL80" s="12"/>
      <c r="AM80" s="12"/>
      <c r="AN80" s="12"/>
      <c r="AR80" s="12"/>
      <c r="AS80" s="12"/>
      <c r="AT80" s="12"/>
      <c r="AU80" s="12"/>
      <c r="AY80" s="12"/>
      <c r="AZ80" s="12"/>
      <c r="BA80" s="12"/>
      <c r="BB80" s="12"/>
      <c r="BF80" s="12"/>
      <c r="BG80" s="12"/>
      <c r="BH80" s="12"/>
      <c r="BI80" s="12"/>
      <c r="BM80" s="12"/>
      <c r="BN80" s="12"/>
      <c r="BO80" s="12"/>
      <c r="BP80" s="12"/>
      <c r="BT80" s="12"/>
      <c r="BU80" s="12"/>
      <c r="BV80" s="12"/>
      <c r="BW80" s="12"/>
      <c r="CA80" s="12"/>
      <c r="CB80" s="12"/>
      <c r="CC80" s="12"/>
      <c r="CD80" s="12"/>
      <c r="CH80" s="12"/>
      <c r="CI80" s="12"/>
      <c r="CJ80" s="12"/>
      <c r="CK80" s="12"/>
      <c r="CO80" s="12"/>
      <c r="CP80" s="12"/>
      <c r="CQ80" s="12"/>
      <c r="CR80" s="12"/>
      <c r="CV80" s="12"/>
      <c r="CW80" s="12"/>
      <c r="CX80" s="12"/>
      <c r="CY80" s="12"/>
      <c r="DC80" s="12"/>
      <c r="DD80" s="12"/>
      <c r="DE80" s="12"/>
      <c r="DF80" s="12"/>
      <c r="DJ80" s="12"/>
      <c r="DK80" s="12"/>
      <c r="DL80" s="12"/>
      <c r="DM80" s="12"/>
      <c r="DQ80" s="12"/>
      <c r="DR80" s="12"/>
      <c r="DS80" s="12"/>
      <c r="DT80" s="12"/>
      <c r="DX80" s="12"/>
      <c r="DY80" s="12"/>
      <c r="DZ80" s="12"/>
      <c r="EA80" s="12"/>
    </row>
    <row r="81" spans="2:131" ht="12.75" customHeight="1" outlineLevel="1">
      <c r="B81" t="s">
        <v>28</v>
      </c>
      <c r="C81" t="s">
        <v>155</v>
      </c>
      <c r="E81" s="11"/>
      <c r="F81" t="s">
        <v>156</v>
      </c>
      <c r="G81" s="12">
        <v>0.1</v>
      </c>
      <c r="I81" s="11">
        <f>+SUMIF($N$3:$UZ$3,I$3,$N81:$UZ81)</f>
        <v>0</v>
      </c>
      <c r="J81" s="13" cm="1">
        <f t="array" ref="J81">MAX(IF($N$3:$BZ$3=$J$3,N81:BZ81))</f>
        <v>0</v>
      </c>
      <c r="K81" s="13" cm="1">
        <f t="array" ref="K81">MAX(IF($N$3:$BZ$3=$J$3,N81:BZ81))</f>
        <v>0</v>
      </c>
      <c r="L81" s="11"/>
      <c r="P81" s="12"/>
      <c r="Q81" s="12">
        <v>0.8</v>
      </c>
      <c r="R81" s="12"/>
      <c r="S81" s="12">
        <v>0.8</v>
      </c>
      <c r="W81" s="12"/>
      <c r="X81" s="12">
        <v>0.8</v>
      </c>
      <c r="Y81" s="12"/>
      <c r="Z81" s="12">
        <v>0.8</v>
      </c>
      <c r="AD81" s="12"/>
      <c r="AE81" s="12">
        <v>0.8</v>
      </c>
      <c r="AF81" s="12"/>
      <c r="AG81" s="12">
        <v>0.8</v>
      </c>
      <c r="AK81" s="12"/>
      <c r="AL81" s="12">
        <v>0.8</v>
      </c>
      <c r="AM81" s="12"/>
      <c r="AN81" s="12">
        <v>0.8</v>
      </c>
      <c r="AR81" s="12"/>
      <c r="AS81" s="12">
        <v>0.8</v>
      </c>
      <c r="AT81" s="12"/>
      <c r="AU81" s="12">
        <v>0.8</v>
      </c>
      <c r="AY81" s="12"/>
      <c r="AZ81" s="12">
        <v>0.8</v>
      </c>
      <c r="BA81" s="12"/>
      <c r="BB81" s="12">
        <v>0.8</v>
      </c>
      <c r="BF81" s="12"/>
      <c r="BG81" s="12">
        <v>1</v>
      </c>
      <c r="BH81" s="12"/>
      <c r="BI81" s="12">
        <v>1</v>
      </c>
      <c r="BM81" s="12"/>
      <c r="BN81" s="12">
        <v>1</v>
      </c>
      <c r="BO81" s="12"/>
      <c r="BP81" s="12">
        <v>1</v>
      </c>
      <c r="BT81" s="12"/>
      <c r="BU81" s="12">
        <v>1</v>
      </c>
      <c r="BV81" s="12"/>
      <c r="BW81" s="12">
        <v>1</v>
      </c>
      <c r="CA81" s="12"/>
      <c r="CB81" s="12">
        <v>1</v>
      </c>
      <c r="CC81" s="12"/>
      <c r="CD81" s="12">
        <v>1</v>
      </c>
      <c r="CH81" s="12"/>
      <c r="CI81" s="12">
        <v>1</v>
      </c>
      <c r="CJ81" s="12"/>
      <c r="CK81" s="12">
        <v>1</v>
      </c>
      <c r="CO81" s="12"/>
      <c r="CP81" s="12">
        <v>1</v>
      </c>
      <c r="CQ81" s="12"/>
      <c r="CR81" s="12">
        <v>1</v>
      </c>
      <c r="CV81" s="12"/>
      <c r="CW81" s="12"/>
      <c r="CX81" s="12"/>
      <c r="CY81" s="12"/>
      <c r="DC81" s="12"/>
      <c r="DD81" s="12"/>
      <c r="DE81" s="12"/>
      <c r="DF81" s="12"/>
      <c r="DJ81" s="12"/>
      <c r="DK81" s="12"/>
      <c r="DL81" s="12"/>
      <c r="DM81" s="12"/>
      <c r="DQ81" s="12"/>
      <c r="DR81" s="12"/>
      <c r="DS81" s="12"/>
      <c r="DT81" s="12"/>
      <c r="DX81" s="12"/>
      <c r="DY81" s="12">
        <v>1</v>
      </c>
      <c r="DZ81" s="12"/>
      <c r="EA81" s="12">
        <v>1</v>
      </c>
    </row>
    <row r="82" spans="2:131" outlineLevel="1">
      <c r="B82" t="s">
        <v>28</v>
      </c>
      <c r="C82" t="s">
        <v>155</v>
      </c>
      <c r="E82" s="11"/>
      <c r="F82" t="s">
        <v>157</v>
      </c>
      <c r="G82" s="12">
        <v>0.05</v>
      </c>
      <c r="I82" s="11">
        <f>+SUMIF($N$3:$UZ$3,I$3,$N82:$UZ82)</f>
        <v>0</v>
      </c>
      <c r="J82" s="13" cm="1">
        <f t="array" ref="J82">MAX(IF($N$3:$BZ$3=$J$3,N82:BZ82))</f>
        <v>0</v>
      </c>
      <c r="K82" s="13" cm="1">
        <f t="array" ref="K82">MAX(IF($N$3:$BZ$3=$J$3,N82:BZ82))</f>
        <v>0</v>
      </c>
      <c r="L82" s="11"/>
      <c r="P82" s="12"/>
      <c r="Q82" s="12">
        <v>0.8</v>
      </c>
      <c r="R82" s="12"/>
      <c r="S82" s="12">
        <v>0.8</v>
      </c>
      <c r="W82" s="12"/>
      <c r="X82" s="12">
        <v>0.8</v>
      </c>
      <c r="Y82" s="12"/>
      <c r="Z82" s="12">
        <v>0.8</v>
      </c>
      <c r="AD82" s="12"/>
      <c r="AE82" s="12">
        <v>0.8</v>
      </c>
      <c r="AF82" s="12"/>
      <c r="AG82" s="12">
        <v>0.8</v>
      </c>
      <c r="AK82" s="12"/>
      <c r="AL82" s="12">
        <v>0.8</v>
      </c>
      <c r="AM82" s="12"/>
      <c r="AN82" s="12">
        <v>0.8</v>
      </c>
      <c r="AR82" s="12"/>
      <c r="AS82" s="12">
        <v>0.8</v>
      </c>
      <c r="AT82" s="12"/>
      <c r="AU82" s="12">
        <v>0.8</v>
      </c>
      <c r="AY82" s="12"/>
      <c r="AZ82" s="12">
        <v>0.8</v>
      </c>
      <c r="BA82" s="12"/>
      <c r="BB82" s="12">
        <v>0.8</v>
      </c>
      <c r="BF82" s="12"/>
      <c r="BG82" s="12">
        <v>0.8</v>
      </c>
      <c r="BH82" s="12"/>
      <c r="BI82" s="12">
        <v>0.8</v>
      </c>
      <c r="BM82" s="12"/>
      <c r="BN82" s="12">
        <v>1</v>
      </c>
      <c r="BO82" s="12"/>
      <c r="BP82" s="12">
        <v>1</v>
      </c>
      <c r="BT82" s="12"/>
      <c r="BU82" s="12">
        <v>1</v>
      </c>
      <c r="BV82" s="12"/>
      <c r="BW82" s="12">
        <v>1</v>
      </c>
      <c r="CA82" s="12"/>
      <c r="CB82" s="12">
        <v>1</v>
      </c>
      <c r="CC82" s="12"/>
      <c r="CD82" s="12">
        <v>1</v>
      </c>
      <c r="CH82" s="12"/>
      <c r="CI82" s="12">
        <v>1</v>
      </c>
      <c r="CJ82" s="12"/>
      <c r="CK82" s="12">
        <v>1</v>
      </c>
      <c r="CO82" s="12"/>
      <c r="CP82" s="12">
        <v>1</v>
      </c>
      <c r="CQ82" s="12"/>
      <c r="CR82" s="12">
        <v>1</v>
      </c>
      <c r="CV82" s="12"/>
      <c r="CW82" s="12"/>
      <c r="CX82" s="12"/>
      <c r="CY82" s="12"/>
      <c r="DC82" s="12"/>
      <c r="DD82" s="12"/>
      <c r="DE82" s="12"/>
      <c r="DF82" s="12"/>
      <c r="DJ82" s="12"/>
      <c r="DK82" s="12"/>
      <c r="DL82" s="12"/>
      <c r="DM82" s="12"/>
      <c r="DQ82" s="12"/>
      <c r="DR82" s="12"/>
      <c r="DS82" s="12"/>
      <c r="DT82" s="12"/>
      <c r="DX82" s="12"/>
      <c r="DY82" s="12">
        <v>1</v>
      </c>
      <c r="DZ82" s="12"/>
      <c r="EA82" s="12">
        <v>1</v>
      </c>
    </row>
    <row r="83" spans="2:131" outlineLevel="1">
      <c r="B83" t="s">
        <v>28</v>
      </c>
      <c r="C83" t="s">
        <v>155</v>
      </c>
      <c r="E83" s="11"/>
      <c r="F83" t="s">
        <v>158</v>
      </c>
      <c r="G83" s="12">
        <v>0.05</v>
      </c>
      <c r="I83" s="11">
        <f>+SUMIF($N$3:$UZ$3,I$3,$N83:$UZ83)</f>
        <v>0</v>
      </c>
      <c r="J83" s="13" cm="1">
        <f t="array" ref="J83">MAX(IF($N$3:$BZ$3=$J$3,N83:BZ83))</f>
        <v>0</v>
      </c>
      <c r="K83" s="13" cm="1">
        <f t="array" ref="K83">MAX(IF($N$3:$BZ$3=$J$3,N83:BZ83))</f>
        <v>0</v>
      </c>
      <c r="L83" s="11"/>
      <c r="P83" s="12"/>
      <c r="Q83" s="12">
        <v>0.8</v>
      </c>
      <c r="R83" s="12"/>
      <c r="S83" s="12">
        <v>0.8</v>
      </c>
      <c r="W83" s="12"/>
      <c r="X83" s="12">
        <v>0.8</v>
      </c>
      <c r="Y83" s="12"/>
      <c r="Z83" s="12">
        <v>0.8</v>
      </c>
      <c r="AD83" s="12"/>
      <c r="AE83" s="12">
        <v>0.8</v>
      </c>
      <c r="AF83" s="12"/>
      <c r="AG83" s="12">
        <v>0.8</v>
      </c>
      <c r="AK83" s="12"/>
      <c r="AL83" s="12">
        <v>0.8</v>
      </c>
      <c r="AM83" s="12"/>
      <c r="AN83" s="12">
        <v>0.8</v>
      </c>
      <c r="AR83" s="12"/>
      <c r="AS83" s="12">
        <v>0.8</v>
      </c>
      <c r="AT83" s="12"/>
      <c r="AU83" s="12">
        <v>0.8</v>
      </c>
      <c r="AY83" s="12"/>
      <c r="AZ83" s="12">
        <v>0.8</v>
      </c>
      <c r="BA83" s="12"/>
      <c r="BB83" s="12">
        <v>0.8</v>
      </c>
      <c r="BF83" s="12"/>
      <c r="BG83" s="12">
        <v>0.8</v>
      </c>
      <c r="BH83" s="12"/>
      <c r="BI83" s="12">
        <v>0.8</v>
      </c>
      <c r="BM83" s="12"/>
      <c r="BN83" s="12">
        <v>1</v>
      </c>
      <c r="BO83" s="12"/>
      <c r="BP83" s="12">
        <v>1</v>
      </c>
      <c r="BT83" s="12"/>
      <c r="BU83" s="12">
        <v>1</v>
      </c>
      <c r="BV83" s="12"/>
      <c r="BW83" s="12">
        <v>1</v>
      </c>
      <c r="CA83" s="12"/>
      <c r="CB83" s="12">
        <v>1</v>
      </c>
      <c r="CC83" s="12"/>
      <c r="CD83" s="12">
        <v>1</v>
      </c>
      <c r="CH83" s="12"/>
      <c r="CI83" s="12">
        <v>1</v>
      </c>
      <c r="CJ83" s="12"/>
      <c r="CK83" s="12">
        <v>1</v>
      </c>
      <c r="CO83" s="12"/>
      <c r="CP83" s="12">
        <v>1</v>
      </c>
      <c r="CQ83" s="12"/>
      <c r="CR83" s="12">
        <v>1</v>
      </c>
      <c r="CV83" s="12"/>
      <c r="CW83" s="12"/>
      <c r="CX83" s="12"/>
      <c r="CY83" s="12"/>
      <c r="DC83" s="12"/>
      <c r="DD83" s="12"/>
      <c r="DE83" s="12"/>
      <c r="DF83" s="12"/>
      <c r="DJ83" s="12"/>
      <c r="DK83" s="12"/>
      <c r="DL83" s="12"/>
      <c r="DM83" s="12"/>
      <c r="DQ83" s="12"/>
      <c r="DR83" s="12"/>
      <c r="DS83" s="12"/>
      <c r="DT83" s="12"/>
      <c r="DX83" s="12"/>
      <c r="DY83" s="12">
        <v>1</v>
      </c>
      <c r="DZ83" s="12"/>
      <c r="EA83" s="12">
        <v>1</v>
      </c>
    </row>
    <row r="84" spans="2:131" outlineLevel="1">
      <c r="B84" t="s">
        <v>28</v>
      </c>
      <c r="C84" t="s">
        <v>155</v>
      </c>
      <c r="E84" s="11"/>
      <c r="F84" t="s">
        <v>159</v>
      </c>
      <c r="G84" s="12">
        <v>0.05</v>
      </c>
      <c r="I84" s="11">
        <f>+SUMIF($N$3:$UZ$3,I$3,$N84:$UZ84)</f>
        <v>0</v>
      </c>
      <c r="J84" s="13" cm="1">
        <f t="array" ref="J84">MAX(IF($N$3:$BZ$3=$J$3,N84:BZ84))</f>
        <v>0</v>
      </c>
      <c r="K84" s="13" cm="1">
        <f t="array" ref="K84">MAX(IF($N$3:$BZ$3=$J$3,N84:BZ84))</f>
        <v>0</v>
      </c>
      <c r="L84" s="11"/>
      <c r="P84" s="12"/>
      <c r="Q84" s="12">
        <v>0.5</v>
      </c>
      <c r="R84" s="12"/>
      <c r="S84" s="12">
        <v>0.5</v>
      </c>
      <c r="W84" s="12"/>
      <c r="X84" s="12">
        <v>0.8</v>
      </c>
      <c r="Y84" s="12"/>
      <c r="Z84" s="12">
        <v>0.8</v>
      </c>
      <c r="AD84" s="12"/>
      <c r="AE84" s="12">
        <v>0.8</v>
      </c>
      <c r="AF84" s="12"/>
      <c r="AG84" s="12">
        <v>0.8</v>
      </c>
      <c r="AK84" s="12"/>
      <c r="AL84" s="12">
        <v>0.8</v>
      </c>
      <c r="AM84" s="12"/>
      <c r="AN84" s="12">
        <v>0.8</v>
      </c>
      <c r="AR84" s="12"/>
      <c r="AS84" s="12">
        <v>0.8</v>
      </c>
      <c r="AT84" s="12"/>
      <c r="AU84" s="12">
        <v>0.8</v>
      </c>
      <c r="AY84" s="12"/>
      <c r="AZ84" s="12">
        <v>0.8</v>
      </c>
      <c r="BA84" s="12"/>
      <c r="BB84" s="12">
        <v>0.8</v>
      </c>
      <c r="BF84" s="12"/>
      <c r="BG84" s="12">
        <v>0.8</v>
      </c>
      <c r="BH84" s="12"/>
      <c r="BI84" s="12">
        <v>0.8</v>
      </c>
      <c r="BM84" s="12"/>
      <c r="BN84" s="12">
        <v>0.8</v>
      </c>
      <c r="BO84" s="12"/>
      <c r="BP84" s="12">
        <v>0.8</v>
      </c>
      <c r="BT84" s="12"/>
      <c r="BU84" s="12">
        <v>1</v>
      </c>
      <c r="BV84" s="12"/>
      <c r="BW84" s="12">
        <v>1</v>
      </c>
      <c r="CA84" s="12"/>
      <c r="CB84" s="12">
        <v>1</v>
      </c>
      <c r="CC84" s="12"/>
      <c r="CD84" s="12">
        <v>1</v>
      </c>
      <c r="CH84" s="12"/>
      <c r="CI84" s="12">
        <v>1</v>
      </c>
      <c r="CJ84" s="12"/>
      <c r="CK84" s="12">
        <v>1</v>
      </c>
      <c r="CO84" s="12"/>
      <c r="CP84" s="12">
        <v>1</v>
      </c>
      <c r="CQ84" s="12"/>
      <c r="CR84" s="12">
        <v>1</v>
      </c>
      <c r="CV84" s="12"/>
      <c r="CW84" s="12"/>
      <c r="CX84" s="12"/>
      <c r="CY84" s="12"/>
      <c r="DC84" s="12"/>
      <c r="DD84" s="12"/>
      <c r="DE84" s="12"/>
      <c r="DF84" s="12"/>
      <c r="DJ84" s="12"/>
      <c r="DK84" s="12"/>
      <c r="DL84" s="12"/>
      <c r="DM84" s="12"/>
      <c r="DQ84" s="12"/>
      <c r="DR84" s="12"/>
      <c r="DS84" s="12"/>
      <c r="DT84" s="12"/>
      <c r="DX84" s="12"/>
      <c r="DY84" s="12">
        <v>1</v>
      </c>
      <c r="DZ84" s="12"/>
      <c r="EA84" s="12">
        <v>1</v>
      </c>
    </row>
    <row r="85" spans="2:131" outlineLevel="1">
      <c r="B85" t="s">
        <v>28</v>
      </c>
      <c r="C85" t="s">
        <v>155</v>
      </c>
      <c r="E85" s="11"/>
      <c r="F85" t="s">
        <v>160</v>
      </c>
      <c r="G85" s="12">
        <v>0.05</v>
      </c>
      <c r="I85" s="11">
        <f>+SUMIF($N$3:$UZ$3,I$3,$N85:$UZ85)</f>
        <v>0</v>
      </c>
      <c r="J85" s="13" cm="1">
        <f t="array" ref="J85">MAX(IF($N$3:$BZ$3=$J$3,N85:BZ85))</f>
        <v>0</v>
      </c>
      <c r="K85" s="13" cm="1">
        <f t="array" ref="K85">MAX(IF($N$3:$BZ$3=$J$3,N85:BZ85))</f>
        <v>0</v>
      </c>
      <c r="L85" s="11"/>
      <c r="P85" s="12"/>
      <c r="Q85" s="12">
        <v>0.5</v>
      </c>
      <c r="R85" s="12"/>
      <c r="S85" s="12">
        <v>0.5</v>
      </c>
      <c r="W85" s="12"/>
      <c r="X85" s="12">
        <v>0.8</v>
      </c>
      <c r="Y85" s="12"/>
      <c r="Z85" s="12">
        <v>0.8</v>
      </c>
      <c r="AD85" s="12"/>
      <c r="AE85" s="12">
        <v>0.8</v>
      </c>
      <c r="AF85" s="12"/>
      <c r="AG85" s="12">
        <v>0.8</v>
      </c>
      <c r="AK85" s="12"/>
      <c r="AL85" s="12">
        <v>0.8</v>
      </c>
      <c r="AM85" s="12"/>
      <c r="AN85" s="12">
        <v>0.8</v>
      </c>
      <c r="AR85" s="12"/>
      <c r="AS85" s="12">
        <v>0.8</v>
      </c>
      <c r="AT85" s="12"/>
      <c r="AU85" s="12">
        <v>0.8</v>
      </c>
      <c r="AY85" s="12"/>
      <c r="AZ85" s="12">
        <v>0.8</v>
      </c>
      <c r="BA85" s="12"/>
      <c r="BB85" s="12">
        <v>0.8</v>
      </c>
      <c r="BF85" s="12"/>
      <c r="BG85" s="12">
        <v>0.8</v>
      </c>
      <c r="BH85" s="12"/>
      <c r="BI85" s="12">
        <v>0.8</v>
      </c>
      <c r="BM85" s="12"/>
      <c r="BN85" s="12">
        <v>0.8</v>
      </c>
      <c r="BO85" s="12"/>
      <c r="BP85" s="12">
        <v>0.8</v>
      </c>
      <c r="BT85" s="12"/>
      <c r="BU85" s="12">
        <v>1</v>
      </c>
      <c r="BV85" s="12"/>
      <c r="BW85" s="12">
        <v>1</v>
      </c>
      <c r="CA85" s="12"/>
      <c r="CB85" s="12">
        <v>1</v>
      </c>
      <c r="CC85" s="12"/>
      <c r="CD85" s="12">
        <v>1</v>
      </c>
      <c r="CH85" s="12"/>
      <c r="CI85" s="12">
        <v>1</v>
      </c>
      <c r="CJ85" s="12"/>
      <c r="CK85" s="12">
        <v>1</v>
      </c>
      <c r="CO85" s="12"/>
      <c r="CP85" s="12">
        <v>1</v>
      </c>
      <c r="CQ85" s="12"/>
      <c r="CR85" s="12">
        <v>1</v>
      </c>
      <c r="CV85" s="12"/>
      <c r="CW85" s="12"/>
      <c r="CX85" s="12"/>
      <c r="CY85" s="12"/>
      <c r="DC85" s="12"/>
      <c r="DD85" s="12"/>
      <c r="DE85" s="12"/>
      <c r="DF85" s="12"/>
      <c r="DJ85" s="12"/>
      <c r="DK85" s="12"/>
      <c r="DL85" s="12"/>
      <c r="DM85" s="12"/>
      <c r="DQ85" s="12"/>
      <c r="DR85" s="12"/>
      <c r="DS85" s="12"/>
      <c r="DT85" s="12"/>
      <c r="DX85" s="12"/>
      <c r="DY85" s="12">
        <v>1</v>
      </c>
      <c r="DZ85" s="12"/>
      <c r="EA85" s="12">
        <v>1</v>
      </c>
    </row>
    <row r="86" spans="2:131" outlineLevel="1">
      <c r="B86" t="s">
        <v>28</v>
      </c>
      <c r="C86" t="s">
        <v>155</v>
      </c>
      <c r="E86" s="11"/>
      <c r="F86" t="s">
        <v>161</v>
      </c>
      <c r="G86" s="12">
        <v>0.1</v>
      </c>
      <c r="I86" s="11">
        <f>+SUMIF($N$3:$UZ$3,I$3,$N86:$UZ86)</f>
        <v>0</v>
      </c>
      <c r="J86" s="13" cm="1">
        <f t="array" ref="J86">MAX(IF($N$3:$BZ$3=$J$3,N86:BZ86))</f>
        <v>0</v>
      </c>
      <c r="K86" s="13" cm="1">
        <f t="array" ref="K86">MAX(IF($N$3:$BZ$3=$J$3,N86:BZ86))</f>
        <v>0</v>
      </c>
      <c r="L86" s="11"/>
      <c r="P86" s="12"/>
      <c r="Q86" s="12">
        <v>0.5</v>
      </c>
      <c r="R86" s="12"/>
      <c r="S86" s="12">
        <v>0.5</v>
      </c>
      <c r="W86" s="12"/>
      <c r="X86" s="12">
        <v>0.5</v>
      </c>
      <c r="Y86" s="12"/>
      <c r="Z86" s="12">
        <v>0.5</v>
      </c>
      <c r="AD86" s="12"/>
      <c r="AE86" s="12">
        <v>0.8</v>
      </c>
      <c r="AF86" s="12"/>
      <c r="AG86" s="12">
        <v>0.8</v>
      </c>
      <c r="AK86" s="12"/>
      <c r="AL86" s="12">
        <v>0.8</v>
      </c>
      <c r="AM86" s="12"/>
      <c r="AN86" s="12">
        <v>0.8</v>
      </c>
      <c r="AR86" s="12"/>
      <c r="AS86" s="12">
        <v>0.8</v>
      </c>
      <c r="AT86" s="12"/>
      <c r="AU86" s="12">
        <v>0.8</v>
      </c>
      <c r="AY86" s="12"/>
      <c r="AZ86" s="12">
        <v>0.8</v>
      </c>
      <c r="BA86" s="12"/>
      <c r="BB86" s="12">
        <v>0.8</v>
      </c>
      <c r="BF86" s="12"/>
      <c r="BG86" s="12">
        <v>0.8</v>
      </c>
      <c r="BH86" s="12"/>
      <c r="BI86" s="12">
        <v>0.8</v>
      </c>
      <c r="BM86" s="12"/>
      <c r="BN86" s="12">
        <v>0.8</v>
      </c>
      <c r="BO86" s="12"/>
      <c r="BP86" s="12">
        <v>0.8</v>
      </c>
      <c r="BT86" s="12"/>
      <c r="BU86" s="12">
        <v>0.8</v>
      </c>
      <c r="BV86" s="12"/>
      <c r="BW86" s="12">
        <v>0.8</v>
      </c>
      <c r="CA86" s="12"/>
      <c r="CB86" s="12">
        <v>1</v>
      </c>
      <c r="CC86" s="12"/>
      <c r="CD86" s="12">
        <v>1</v>
      </c>
      <c r="CH86" s="12"/>
      <c r="CI86" s="12">
        <v>1</v>
      </c>
      <c r="CJ86" s="12"/>
      <c r="CK86" s="12">
        <v>1</v>
      </c>
      <c r="CO86" s="12"/>
      <c r="CP86" s="12">
        <v>1</v>
      </c>
      <c r="CQ86" s="12"/>
      <c r="CR86" s="12">
        <v>1</v>
      </c>
      <c r="CV86" s="12"/>
      <c r="CW86" s="12"/>
      <c r="CX86" s="12"/>
      <c r="CY86" s="12"/>
      <c r="DC86" s="12"/>
      <c r="DD86" s="12"/>
      <c r="DE86" s="12"/>
      <c r="DF86" s="12"/>
      <c r="DJ86" s="12"/>
      <c r="DK86" s="12"/>
      <c r="DL86" s="12"/>
      <c r="DM86" s="12"/>
      <c r="DQ86" s="12"/>
      <c r="DR86" s="12"/>
      <c r="DS86" s="12"/>
      <c r="DT86" s="12"/>
      <c r="DX86" s="12"/>
      <c r="DY86" s="12">
        <v>1</v>
      </c>
      <c r="DZ86" s="12"/>
      <c r="EA86" s="12">
        <v>1</v>
      </c>
    </row>
    <row r="87" spans="2:131" outlineLevel="1">
      <c r="B87" t="s">
        <v>28</v>
      </c>
      <c r="C87" t="s">
        <v>155</v>
      </c>
      <c r="E87" s="11"/>
      <c r="F87" t="s">
        <v>162</v>
      </c>
      <c r="G87" s="12">
        <v>0.1</v>
      </c>
      <c r="I87" s="11">
        <f>+SUMIF($N$3:$UZ$3,I$3,$N87:$UZ87)</f>
        <v>0</v>
      </c>
      <c r="J87" s="13" cm="1">
        <f t="array" ref="J87">MAX(IF($N$3:$BZ$3=$J$3,N87:BZ87))</f>
        <v>0</v>
      </c>
      <c r="K87" s="13" cm="1">
        <f t="array" ref="K87">MAX(IF($N$3:$BZ$3=$J$3,N87:BZ87))</f>
        <v>0</v>
      </c>
      <c r="L87" s="11"/>
      <c r="P87" s="12"/>
      <c r="Q87" s="12">
        <v>0.5</v>
      </c>
      <c r="R87" s="12"/>
      <c r="S87" s="12">
        <v>0.5</v>
      </c>
      <c r="W87" s="12"/>
      <c r="X87" s="12">
        <v>0.5</v>
      </c>
      <c r="Y87" s="12"/>
      <c r="Z87" s="12">
        <v>0.5</v>
      </c>
      <c r="AD87" s="12"/>
      <c r="AE87" s="12">
        <v>0.8</v>
      </c>
      <c r="AF87" s="12"/>
      <c r="AG87" s="12">
        <v>0.8</v>
      </c>
      <c r="AK87" s="12"/>
      <c r="AL87" s="12">
        <v>0.8</v>
      </c>
      <c r="AM87" s="12"/>
      <c r="AN87" s="12">
        <v>0.8</v>
      </c>
      <c r="AR87" s="12"/>
      <c r="AS87" s="12">
        <v>0.8</v>
      </c>
      <c r="AT87" s="12"/>
      <c r="AU87" s="12">
        <v>0.8</v>
      </c>
      <c r="AY87" s="12"/>
      <c r="AZ87" s="12">
        <v>0.8</v>
      </c>
      <c r="BA87" s="12"/>
      <c r="BB87" s="12">
        <v>0.8</v>
      </c>
      <c r="BF87" s="12"/>
      <c r="BG87" s="12">
        <v>0.8</v>
      </c>
      <c r="BH87" s="12"/>
      <c r="BI87" s="12">
        <v>0.8</v>
      </c>
      <c r="BM87" s="12"/>
      <c r="BN87" s="12">
        <v>0.8</v>
      </c>
      <c r="BO87" s="12"/>
      <c r="BP87" s="12">
        <v>0.8</v>
      </c>
      <c r="BT87" s="12"/>
      <c r="BU87" s="12">
        <v>0.8</v>
      </c>
      <c r="BV87" s="12"/>
      <c r="BW87" s="12">
        <v>0.8</v>
      </c>
      <c r="CA87" s="12"/>
      <c r="CB87" s="12">
        <v>1</v>
      </c>
      <c r="CC87" s="12"/>
      <c r="CD87" s="12">
        <v>1</v>
      </c>
      <c r="CH87" s="12"/>
      <c r="CI87" s="12">
        <v>1</v>
      </c>
      <c r="CJ87" s="12"/>
      <c r="CK87" s="12">
        <v>1</v>
      </c>
      <c r="CO87" s="12"/>
      <c r="CP87" s="12">
        <v>1</v>
      </c>
      <c r="CQ87" s="12"/>
      <c r="CR87" s="12">
        <v>1</v>
      </c>
      <c r="CV87" s="12"/>
      <c r="CW87" s="12"/>
      <c r="CX87" s="12"/>
      <c r="CY87" s="12"/>
      <c r="DC87" s="12"/>
      <c r="DD87" s="12"/>
      <c r="DE87" s="12"/>
      <c r="DF87" s="12"/>
      <c r="DJ87" s="12"/>
      <c r="DK87" s="12"/>
      <c r="DL87" s="12"/>
      <c r="DM87" s="12"/>
      <c r="DQ87" s="12"/>
      <c r="DR87" s="12"/>
      <c r="DS87" s="12"/>
      <c r="DT87" s="12"/>
      <c r="DX87" s="12"/>
      <c r="DY87" s="12">
        <v>1</v>
      </c>
      <c r="DZ87" s="12"/>
      <c r="EA87" s="12">
        <v>1</v>
      </c>
    </row>
    <row r="88" spans="2:131" outlineLevel="1">
      <c r="B88" t="s">
        <v>28</v>
      </c>
      <c r="C88" t="s">
        <v>155</v>
      </c>
      <c r="E88" s="11"/>
      <c r="F88" t="s">
        <v>163</v>
      </c>
      <c r="G88" s="12">
        <v>0.1</v>
      </c>
      <c r="I88" s="11">
        <f>+SUMIF($N$3:$UZ$3,I$3,$N88:$UZ88)</f>
        <v>0</v>
      </c>
      <c r="J88" s="13" cm="1">
        <f t="array" ref="J88">MAX(IF($N$3:$BZ$3=$J$3,N88:BZ88))</f>
        <v>0</v>
      </c>
      <c r="K88" s="13" cm="1">
        <f t="array" ref="K88">MAX(IF($N$3:$BZ$3=$J$3,N88:BZ88))</f>
        <v>0</v>
      </c>
      <c r="L88" s="11"/>
      <c r="P88" s="12"/>
      <c r="Q88" s="12">
        <v>0.5</v>
      </c>
      <c r="R88" s="12"/>
      <c r="S88" s="12">
        <v>0.5</v>
      </c>
      <c r="W88" s="12"/>
      <c r="X88" s="12">
        <v>0.5</v>
      </c>
      <c r="Y88" s="12"/>
      <c r="Z88" s="12">
        <v>0.5</v>
      </c>
      <c r="AD88" s="12"/>
      <c r="AE88" s="12">
        <v>0.5</v>
      </c>
      <c r="AF88" s="12"/>
      <c r="AG88" s="12">
        <v>0.5</v>
      </c>
      <c r="AK88" s="12"/>
      <c r="AL88" s="12">
        <v>0.8</v>
      </c>
      <c r="AM88" s="12"/>
      <c r="AN88" s="12">
        <v>0.8</v>
      </c>
      <c r="AR88" s="12"/>
      <c r="AS88" s="12">
        <v>0.8</v>
      </c>
      <c r="AT88" s="12"/>
      <c r="AU88" s="12">
        <v>0.8</v>
      </c>
      <c r="AY88" s="12"/>
      <c r="AZ88" s="12">
        <v>0.8</v>
      </c>
      <c r="BA88" s="12"/>
      <c r="BB88" s="12">
        <v>0.8</v>
      </c>
      <c r="BF88" s="12"/>
      <c r="BG88" s="12">
        <v>0.8</v>
      </c>
      <c r="BH88" s="12"/>
      <c r="BI88" s="12">
        <v>0.8</v>
      </c>
      <c r="BM88" s="12"/>
      <c r="BN88" s="12">
        <v>0.8</v>
      </c>
      <c r="BO88" s="12"/>
      <c r="BP88" s="12">
        <v>0.8</v>
      </c>
      <c r="BT88" s="12"/>
      <c r="BU88" s="12">
        <v>0.8</v>
      </c>
      <c r="BV88" s="12"/>
      <c r="BW88" s="12">
        <v>0.8</v>
      </c>
      <c r="CA88" s="12"/>
      <c r="CB88" s="12">
        <v>0.8</v>
      </c>
      <c r="CC88" s="12"/>
      <c r="CD88" s="12">
        <v>0.8</v>
      </c>
      <c r="CH88" s="12"/>
      <c r="CI88" s="12">
        <v>1</v>
      </c>
      <c r="CJ88" s="12"/>
      <c r="CK88" s="12">
        <v>1</v>
      </c>
      <c r="CO88" s="12"/>
      <c r="CP88" s="12">
        <v>1</v>
      </c>
      <c r="CQ88" s="12"/>
      <c r="CR88" s="12">
        <v>1</v>
      </c>
      <c r="CV88" s="12"/>
      <c r="CW88" s="12"/>
      <c r="CX88" s="12"/>
      <c r="CY88" s="12"/>
      <c r="DC88" s="12"/>
      <c r="DD88" s="12"/>
      <c r="DE88" s="12"/>
      <c r="DF88" s="12"/>
      <c r="DJ88" s="12"/>
      <c r="DK88" s="12"/>
      <c r="DL88" s="12"/>
      <c r="DM88" s="12"/>
      <c r="DQ88" s="12"/>
      <c r="DR88" s="12"/>
      <c r="DS88" s="12"/>
      <c r="DT88" s="12"/>
      <c r="DX88" s="12"/>
      <c r="DY88" s="12">
        <v>1</v>
      </c>
      <c r="DZ88" s="12"/>
      <c r="EA88" s="12">
        <v>1</v>
      </c>
    </row>
    <row r="89" spans="2:131" outlineLevel="1">
      <c r="B89" t="s">
        <v>28</v>
      </c>
      <c r="C89" t="s">
        <v>155</v>
      </c>
      <c r="E89" s="11"/>
      <c r="F89" t="s">
        <v>164</v>
      </c>
      <c r="G89" s="12">
        <v>0.1</v>
      </c>
      <c r="I89" s="11">
        <f>+SUMIF($N$3:$UZ$3,I$3,$N89:$UZ89)</f>
        <v>0</v>
      </c>
      <c r="J89" s="13" cm="1">
        <f t="array" ref="J89">MAX(IF($N$3:$BZ$3=$J$3,N89:BZ89))</f>
        <v>0</v>
      </c>
      <c r="K89" s="13" cm="1">
        <f t="array" ref="K89">MAX(IF($N$3:$BZ$3=$J$3,N89:BZ89))</f>
        <v>0</v>
      </c>
      <c r="L89" s="11"/>
      <c r="P89" s="12"/>
      <c r="Q89" s="12">
        <v>0.5</v>
      </c>
      <c r="R89" s="12"/>
      <c r="S89" s="12">
        <v>0.5</v>
      </c>
      <c r="W89" s="12"/>
      <c r="X89" s="12">
        <v>0.5</v>
      </c>
      <c r="Y89" s="12"/>
      <c r="Z89" s="12">
        <v>0.5</v>
      </c>
      <c r="AD89" s="12"/>
      <c r="AE89" s="12">
        <v>0.5</v>
      </c>
      <c r="AF89" s="12"/>
      <c r="AG89" s="12">
        <v>0.5</v>
      </c>
      <c r="AK89" s="12"/>
      <c r="AL89" s="12">
        <v>0.8</v>
      </c>
      <c r="AM89" s="12"/>
      <c r="AN89" s="12">
        <v>0.8</v>
      </c>
      <c r="AR89" s="12"/>
      <c r="AS89" s="12">
        <v>0.8</v>
      </c>
      <c r="AT89" s="12"/>
      <c r="AU89" s="12">
        <v>0.8</v>
      </c>
      <c r="AY89" s="12"/>
      <c r="AZ89" s="12">
        <v>0.8</v>
      </c>
      <c r="BA89" s="12"/>
      <c r="BB89" s="12">
        <v>0.8</v>
      </c>
      <c r="BF89" s="12"/>
      <c r="BG89" s="12">
        <v>0.8</v>
      </c>
      <c r="BH89" s="12"/>
      <c r="BI89" s="12">
        <v>0.8</v>
      </c>
      <c r="BM89" s="12"/>
      <c r="BN89" s="12">
        <v>0.8</v>
      </c>
      <c r="BO89" s="12"/>
      <c r="BP89" s="12">
        <v>0.8</v>
      </c>
      <c r="BT89" s="12"/>
      <c r="BU89" s="12">
        <v>0.8</v>
      </c>
      <c r="BV89" s="12"/>
      <c r="BW89" s="12">
        <v>0.8</v>
      </c>
      <c r="CA89" s="12"/>
      <c r="CB89" s="12">
        <v>0.8</v>
      </c>
      <c r="CC89" s="12"/>
      <c r="CD89" s="12">
        <v>0.8</v>
      </c>
      <c r="CH89" s="12"/>
      <c r="CI89" s="12">
        <v>1</v>
      </c>
      <c r="CJ89" s="12"/>
      <c r="CK89" s="12">
        <v>1</v>
      </c>
      <c r="CO89" s="12"/>
      <c r="CP89" s="12">
        <v>1</v>
      </c>
      <c r="CQ89" s="12"/>
      <c r="CR89" s="12">
        <v>1</v>
      </c>
      <c r="CV89" s="12"/>
      <c r="CW89" s="12"/>
      <c r="CX89" s="12"/>
      <c r="CY89" s="12"/>
      <c r="DC89" s="12"/>
      <c r="DD89" s="12"/>
      <c r="DE89" s="12"/>
      <c r="DF89" s="12"/>
      <c r="DJ89" s="12"/>
      <c r="DK89" s="12"/>
      <c r="DL89" s="12"/>
      <c r="DM89" s="12"/>
      <c r="DQ89" s="12"/>
      <c r="DR89" s="12"/>
      <c r="DS89" s="12"/>
      <c r="DT89" s="12"/>
      <c r="DX89" s="12"/>
      <c r="DY89" s="12">
        <v>1</v>
      </c>
      <c r="DZ89" s="12"/>
      <c r="EA89" s="12">
        <v>1</v>
      </c>
    </row>
    <row r="90" spans="2:131" outlineLevel="1">
      <c r="B90" t="s">
        <v>28</v>
      </c>
      <c r="C90" t="s">
        <v>155</v>
      </c>
      <c r="E90" s="11"/>
      <c r="F90" t="s">
        <v>165</v>
      </c>
      <c r="G90" s="12">
        <v>0.1</v>
      </c>
      <c r="I90" s="11">
        <f>+SUMIF($N$3:$UZ$3,I$3,$N90:$UZ90)</f>
        <v>0</v>
      </c>
      <c r="J90" s="13" cm="1">
        <f t="array" ref="J90">MAX(IF($N$3:$BZ$3=$J$3,N90:BZ90))</f>
        <v>0</v>
      </c>
      <c r="K90" s="13" cm="1">
        <f t="array" ref="K90">MAX(IF($N$3:$BZ$3=$J$3,N90:BZ90))</f>
        <v>0</v>
      </c>
      <c r="L90" s="11"/>
      <c r="P90" s="12"/>
      <c r="Q90" s="12">
        <v>0.5</v>
      </c>
      <c r="R90" s="12"/>
      <c r="S90" s="12">
        <v>0.5</v>
      </c>
      <c r="W90" s="12"/>
      <c r="X90" s="12">
        <v>0.5</v>
      </c>
      <c r="Y90" s="12"/>
      <c r="Z90" s="12">
        <v>0.5</v>
      </c>
      <c r="AD90" s="12"/>
      <c r="AE90" s="12">
        <v>0.5</v>
      </c>
      <c r="AF90" s="12"/>
      <c r="AG90" s="12">
        <v>0.5</v>
      </c>
      <c r="AK90" s="12"/>
      <c r="AL90" s="12">
        <v>0.5</v>
      </c>
      <c r="AM90" s="12"/>
      <c r="AN90" s="12">
        <v>0.5</v>
      </c>
      <c r="AR90" s="12"/>
      <c r="AS90" s="12">
        <v>0.8</v>
      </c>
      <c r="AT90" s="12"/>
      <c r="AU90" s="12">
        <v>0.8</v>
      </c>
      <c r="AY90" s="12"/>
      <c r="AZ90" s="12">
        <v>0.8</v>
      </c>
      <c r="BA90" s="12"/>
      <c r="BB90" s="12">
        <v>0.8</v>
      </c>
      <c r="BF90" s="12"/>
      <c r="BG90" s="12">
        <v>0.8</v>
      </c>
      <c r="BH90" s="12"/>
      <c r="BI90" s="12">
        <v>0.8</v>
      </c>
      <c r="BM90" s="12"/>
      <c r="BN90" s="12">
        <v>0.8</v>
      </c>
      <c r="BO90" s="12"/>
      <c r="BP90" s="12">
        <v>0.8</v>
      </c>
      <c r="BT90" s="12"/>
      <c r="BU90" s="12">
        <v>0.8</v>
      </c>
      <c r="BV90" s="12"/>
      <c r="BW90" s="12">
        <v>0.8</v>
      </c>
      <c r="CA90" s="12"/>
      <c r="CB90" s="12">
        <v>0.8</v>
      </c>
      <c r="CC90" s="12"/>
      <c r="CD90" s="12">
        <v>0.8</v>
      </c>
      <c r="CH90" s="12"/>
      <c r="CI90" s="12">
        <v>0.8</v>
      </c>
      <c r="CJ90" s="12"/>
      <c r="CK90" s="12">
        <v>0.8</v>
      </c>
      <c r="CO90" s="12"/>
      <c r="CP90" s="12">
        <v>1</v>
      </c>
      <c r="CQ90" s="12"/>
      <c r="CR90" s="12">
        <v>1</v>
      </c>
      <c r="CV90" s="12"/>
      <c r="CW90" s="12"/>
      <c r="CX90" s="12"/>
      <c r="CY90" s="12"/>
      <c r="DC90" s="12"/>
      <c r="DD90" s="12"/>
      <c r="DE90" s="12"/>
      <c r="DF90" s="12"/>
      <c r="DJ90" s="12"/>
      <c r="DK90" s="12"/>
      <c r="DL90" s="12"/>
      <c r="DM90" s="12"/>
      <c r="DQ90" s="12"/>
      <c r="DR90" s="12"/>
      <c r="DS90" s="12"/>
      <c r="DT90" s="12"/>
      <c r="DX90" s="12"/>
      <c r="DY90" s="12">
        <v>1</v>
      </c>
      <c r="DZ90" s="12"/>
      <c r="EA90" s="12">
        <v>1</v>
      </c>
    </row>
    <row r="91" spans="2:131" outlineLevel="1">
      <c r="B91" t="s">
        <v>28</v>
      </c>
      <c r="C91" t="s">
        <v>155</v>
      </c>
      <c r="E91" s="11"/>
      <c r="F91" t="s">
        <v>31</v>
      </c>
      <c r="G91" s="12">
        <v>0.1</v>
      </c>
      <c r="I91" s="11">
        <f>+SUMIF($N$3:$UZ$3,I$3,$N91:$UZ91)</f>
        <v>0</v>
      </c>
      <c r="J91" s="13" cm="1">
        <f t="array" ref="J91">MAX(IF($N$3:$BZ$3=$J$3,N91:BZ91))</f>
        <v>0</v>
      </c>
      <c r="K91" s="13" cm="1">
        <f t="array" ref="K91">MAX(IF($N$3:$BZ$3=$J$3,N91:BZ91))</f>
        <v>0</v>
      </c>
      <c r="L91" s="11"/>
      <c r="P91" s="12"/>
      <c r="Q91" s="12">
        <v>0.5</v>
      </c>
      <c r="R91" s="12"/>
      <c r="S91" s="12">
        <v>0.5</v>
      </c>
      <c r="W91" s="12"/>
      <c r="X91" s="12">
        <v>0.5</v>
      </c>
      <c r="Y91" s="12"/>
      <c r="Z91" s="12">
        <v>0.5</v>
      </c>
      <c r="AD91" s="12"/>
      <c r="AE91" s="12">
        <v>0.5</v>
      </c>
      <c r="AF91" s="12"/>
      <c r="AG91" s="12">
        <v>0.5</v>
      </c>
      <c r="AK91" s="12"/>
      <c r="AL91" s="12">
        <v>0.5</v>
      </c>
      <c r="AM91" s="12"/>
      <c r="AN91" s="12">
        <v>0.5</v>
      </c>
      <c r="AR91" s="12"/>
      <c r="AS91" s="12">
        <v>0.8</v>
      </c>
      <c r="AT91" s="12"/>
      <c r="AU91" s="12">
        <v>0.8</v>
      </c>
      <c r="AY91" s="12"/>
      <c r="AZ91" s="12">
        <v>0.8</v>
      </c>
      <c r="BA91" s="12"/>
      <c r="BB91" s="12">
        <v>0.8</v>
      </c>
      <c r="BF91" s="12"/>
      <c r="BG91" s="12">
        <v>0.8</v>
      </c>
      <c r="BH91" s="12"/>
      <c r="BI91" s="12">
        <v>0.8</v>
      </c>
      <c r="BM91" s="12"/>
      <c r="BN91" s="12">
        <v>0.8</v>
      </c>
      <c r="BO91" s="12"/>
      <c r="BP91" s="12">
        <v>0.8</v>
      </c>
      <c r="BT91" s="12"/>
      <c r="BU91" s="12">
        <v>0.8</v>
      </c>
      <c r="BV91" s="12"/>
      <c r="BW91" s="12">
        <v>0.8</v>
      </c>
      <c r="CA91" s="12"/>
      <c r="CB91" s="12">
        <v>0.8</v>
      </c>
      <c r="CC91" s="12"/>
      <c r="CD91" s="12">
        <v>0.8</v>
      </c>
      <c r="CH91" s="12"/>
      <c r="CI91" s="12">
        <v>0.8</v>
      </c>
      <c r="CJ91" s="12"/>
      <c r="CK91" s="12">
        <v>0.8</v>
      </c>
      <c r="CO91" s="12"/>
      <c r="CP91" s="12">
        <v>1</v>
      </c>
      <c r="CQ91" s="12"/>
      <c r="CR91" s="12">
        <v>1</v>
      </c>
      <c r="CV91" s="12"/>
      <c r="CW91" s="12"/>
      <c r="CX91" s="12"/>
      <c r="CY91" s="12"/>
      <c r="DC91" s="12"/>
      <c r="DD91" s="12"/>
      <c r="DE91" s="12"/>
      <c r="DF91" s="12"/>
      <c r="DJ91" s="12"/>
      <c r="DK91" s="12"/>
      <c r="DL91" s="12"/>
      <c r="DM91" s="12"/>
      <c r="DQ91" s="12"/>
      <c r="DR91" s="12"/>
      <c r="DS91" s="12"/>
      <c r="DT91" s="12"/>
      <c r="DX91" s="12"/>
      <c r="DY91" s="12">
        <v>1</v>
      </c>
      <c r="DZ91" s="12"/>
      <c r="EA91" s="12">
        <v>1</v>
      </c>
    </row>
    <row r="92" spans="2:131" outlineLevel="1">
      <c r="B92" t="s">
        <v>28</v>
      </c>
      <c r="C92" t="s">
        <v>155</v>
      </c>
      <c r="E92" s="11"/>
      <c r="F92" t="s">
        <v>32</v>
      </c>
      <c r="G92" s="12">
        <v>0.1</v>
      </c>
      <c r="I92" s="11">
        <f>+SUMIF($N$3:$UZ$3,I$3,$N92:$UZ92)</f>
        <v>0</v>
      </c>
      <c r="J92" s="13" cm="1">
        <f t="array" ref="J92">MAX(IF($N$3:$BZ$3=$J$3,N92:BZ92))</f>
        <v>0</v>
      </c>
      <c r="K92" s="13" cm="1">
        <f t="array" ref="K92">MAX(IF($N$3:$BZ$3=$J$3,N92:BZ92))</f>
        <v>0</v>
      </c>
      <c r="L92" s="11"/>
      <c r="P92" s="12"/>
      <c r="Q92" s="12">
        <v>0.5</v>
      </c>
      <c r="R92" s="12"/>
      <c r="S92" s="12">
        <v>0.5</v>
      </c>
      <c r="W92" s="12"/>
      <c r="X92" s="12">
        <v>0.5</v>
      </c>
      <c r="Y92" s="12"/>
      <c r="Z92" s="12">
        <v>0.5</v>
      </c>
      <c r="AD92" s="12"/>
      <c r="AE92" s="12">
        <v>0.5</v>
      </c>
      <c r="AF92" s="12"/>
      <c r="AG92" s="12">
        <v>0.5</v>
      </c>
      <c r="AK92" s="12"/>
      <c r="AL92" s="12">
        <v>0.5</v>
      </c>
      <c r="AM92" s="12"/>
      <c r="AN92" s="12">
        <v>0.5</v>
      </c>
      <c r="AR92" s="12"/>
      <c r="AS92" s="12">
        <v>0.5</v>
      </c>
      <c r="AT92" s="12"/>
      <c r="AU92" s="12">
        <v>0.5</v>
      </c>
      <c r="AY92" s="12"/>
      <c r="AZ92" s="12">
        <v>0.8</v>
      </c>
      <c r="BA92" s="12"/>
      <c r="BB92" s="12">
        <v>0.8</v>
      </c>
      <c r="BF92" s="12"/>
      <c r="BG92" s="12">
        <v>0.8</v>
      </c>
      <c r="BH92" s="12"/>
      <c r="BI92" s="12">
        <v>0.8</v>
      </c>
      <c r="BM92" s="12"/>
      <c r="BN92" s="12">
        <v>0.8</v>
      </c>
      <c r="BO92" s="12"/>
      <c r="BP92" s="12">
        <v>0.8</v>
      </c>
      <c r="BT92" s="12"/>
      <c r="BU92" s="12">
        <v>0.8</v>
      </c>
      <c r="BV92" s="12"/>
      <c r="BW92" s="12">
        <v>0.8</v>
      </c>
      <c r="CA92" s="12"/>
      <c r="CB92" s="12">
        <v>0.8</v>
      </c>
      <c r="CC92" s="12"/>
      <c r="CD92" s="12">
        <v>0.8</v>
      </c>
      <c r="CH92" s="12"/>
      <c r="CI92" s="12">
        <v>0.8</v>
      </c>
      <c r="CJ92" s="12"/>
      <c r="CK92" s="12">
        <v>0.8</v>
      </c>
      <c r="CO92" s="12"/>
      <c r="CP92" s="12">
        <v>0.8</v>
      </c>
      <c r="CQ92" s="12"/>
      <c r="CR92" s="12">
        <v>0.8</v>
      </c>
      <c r="CV92" s="12"/>
      <c r="CW92" s="12"/>
      <c r="CX92" s="12"/>
      <c r="CY92" s="12"/>
      <c r="DC92" s="12"/>
      <c r="DD92" s="12"/>
      <c r="DE92" s="12"/>
      <c r="DF92" s="12"/>
      <c r="DJ92" s="12"/>
      <c r="DK92" s="12"/>
      <c r="DL92" s="12"/>
      <c r="DM92" s="12"/>
      <c r="DQ92" s="12"/>
      <c r="DR92" s="12"/>
      <c r="DS92" s="12"/>
      <c r="DT92" s="12"/>
      <c r="DX92" s="12"/>
      <c r="DY92" s="12">
        <v>1</v>
      </c>
      <c r="DZ92" s="12"/>
      <c r="EA92" s="12">
        <v>1</v>
      </c>
    </row>
    <row r="93" spans="2:131" outlineLevel="1">
      <c r="E93" s="11"/>
      <c r="G93" s="12"/>
      <c r="I93" s="11"/>
      <c r="J93" s="13"/>
      <c r="K93" s="13"/>
      <c r="L93" s="11"/>
      <c r="P93" s="12"/>
      <c r="Q93" s="12">
        <v>0.5</v>
      </c>
      <c r="R93" s="12"/>
      <c r="S93" s="12">
        <v>0.5</v>
      </c>
      <c r="W93" s="12"/>
      <c r="X93" s="12">
        <v>0.5</v>
      </c>
      <c r="Y93" s="12"/>
      <c r="Z93" s="12">
        <v>0.5</v>
      </c>
      <c r="AD93" s="12"/>
      <c r="AE93" s="12">
        <v>0.5</v>
      </c>
      <c r="AF93" s="12"/>
      <c r="AG93" s="12">
        <v>0.5</v>
      </c>
      <c r="AK93" s="12"/>
      <c r="AL93" s="12">
        <v>0.5</v>
      </c>
      <c r="AM93" s="12"/>
      <c r="AN93" s="12">
        <v>0.5</v>
      </c>
      <c r="AR93" s="12"/>
      <c r="AS93" s="12">
        <v>0.5</v>
      </c>
      <c r="AT93" s="12"/>
      <c r="AU93" s="12">
        <v>0.5</v>
      </c>
      <c r="AY93" s="12"/>
      <c r="AZ93" s="12">
        <v>0.8</v>
      </c>
      <c r="BA93" s="12"/>
      <c r="BB93" s="12">
        <v>0.8</v>
      </c>
      <c r="BF93" s="12"/>
      <c r="BG93" s="12">
        <v>0.8</v>
      </c>
      <c r="BH93" s="12"/>
      <c r="BI93" s="12">
        <v>0.8</v>
      </c>
      <c r="BM93" s="12"/>
      <c r="BN93" s="12">
        <v>0.8</v>
      </c>
      <c r="BO93" s="12"/>
      <c r="BP93" s="12">
        <v>0.8</v>
      </c>
      <c r="BT93" s="12"/>
      <c r="BU93" s="12">
        <v>0.8</v>
      </c>
      <c r="BV93" s="12"/>
      <c r="BW93" s="12">
        <v>0.8</v>
      </c>
      <c r="CA93" s="12"/>
      <c r="CB93" s="12">
        <v>0.8</v>
      </c>
      <c r="CC93" s="12"/>
      <c r="CD93" s="12">
        <v>0.8</v>
      </c>
      <c r="CH93" s="12"/>
      <c r="CI93" s="12">
        <v>0.8</v>
      </c>
      <c r="CJ93" s="12"/>
      <c r="CK93" s="12">
        <v>0.8</v>
      </c>
      <c r="CO93" s="12"/>
      <c r="CP93" s="12">
        <v>0.8</v>
      </c>
      <c r="CQ93" s="12"/>
      <c r="CR93" s="12">
        <v>0.8</v>
      </c>
      <c r="CV93" s="12"/>
      <c r="CW93" s="12"/>
      <c r="CX93" s="12"/>
      <c r="CY93" s="12"/>
      <c r="DC93" s="12"/>
      <c r="DD93" s="12"/>
      <c r="DE93" s="12"/>
      <c r="DF93" s="12"/>
      <c r="DJ93" s="12"/>
      <c r="DK93" s="12"/>
      <c r="DL93" s="12"/>
      <c r="DM93" s="12"/>
      <c r="DQ93" s="12"/>
      <c r="DR93" s="12"/>
      <c r="DS93" s="12"/>
      <c r="DT93" s="12"/>
      <c r="DX93" s="12"/>
      <c r="DY93" s="12"/>
      <c r="DZ93" s="12"/>
      <c r="EA93" s="12"/>
    </row>
    <row r="94" spans="2:131">
      <c r="B94" s="3"/>
      <c r="C94" s="3"/>
      <c r="DR94" s="12"/>
    </row>
    <row r="95" spans="2:131">
      <c r="G95" s="12"/>
      <c r="I95" s="11"/>
      <c r="J95" s="13"/>
      <c r="K95" s="13"/>
    </row>
    <row r="96" spans="2:131">
      <c r="B96" s="3" t="s">
        <v>27</v>
      </c>
      <c r="C96" s="3" t="s">
        <v>196</v>
      </c>
      <c r="G96" s="12"/>
      <c r="I96" s="11"/>
      <c r="J96" s="13"/>
      <c r="K96" s="13"/>
    </row>
    <row r="97" spans="2:131" ht="12.75" customHeight="1" outlineLevel="1">
      <c r="B97" t="s">
        <v>28</v>
      </c>
      <c r="C97" t="s">
        <v>184</v>
      </c>
      <c r="E97" s="11"/>
      <c r="F97" t="s">
        <v>185</v>
      </c>
      <c r="G97" s="12">
        <v>0.1</v>
      </c>
      <c r="I97" s="11">
        <f>+SUMIF($N$3:$UZ$3,I$3,$N97:$UZ97)</f>
        <v>0</v>
      </c>
      <c r="J97" s="13" cm="1">
        <f t="array" ref="J97">MAX(IF($N$3:$BZ$3=$J$3,N97:BZ97))</f>
        <v>0</v>
      </c>
      <c r="K97" s="13" cm="1">
        <f t="array" ref="K97">MAX(IF($N$3:$BZ$3=$J$3,N97:BZ97))</f>
        <v>0</v>
      </c>
      <c r="L97" s="11"/>
      <c r="P97" s="12"/>
      <c r="Q97" s="12">
        <v>0.8</v>
      </c>
      <c r="R97" s="12"/>
      <c r="S97" s="12">
        <v>0.8</v>
      </c>
      <c r="W97" s="12"/>
      <c r="X97" s="12">
        <v>0.8</v>
      </c>
      <c r="Y97" s="12"/>
      <c r="Z97" s="12">
        <v>0.8</v>
      </c>
      <c r="AD97" s="12"/>
      <c r="AE97" s="12">
        <v>0.8</v>
      </c>
      <c r="AF97" s="12"/>
      <c r="AG97" s="12">
        <v>0.8</v>
      </c>
      <c r="AK97" s="12"/>
      <c r="AL97" s="12">
        <v>0.8</v>
      </c>
      <c r="AM97" s="12"/>
      <c r="AN97" s="12">
        <v>0.8</v>
      </c>
      <c r="AR97" s="12"/>
      <c r="AS97" s="12">
        <v>0.8</v>
      </c>
      <c r="AT97" s="12"/>
      <c r="AU97" s="12">
        <v>0.8</v>
      </c>
      <c r="AY97" s="12"/>
      <c r="AZ97" s="12">
        <v>0.8</v>
      </c>
      <c r="BA97" s="12"/>
      <c r="BB97" s="12">
        <v>0.8</v>
      </c>
      <c r="BF97" s="12"/>
      <c r="BG97" s="12">
        <v>1</v>
      </c>
      <c r="BH97" s="12"/>
      <c r="BI97" s="12">
        <v>1</v>
      </c>
      <c r="BM97" s="12"/>
      <c r="BN97" s="12">
        <v>1</v>
      </c>
      <c r="BO97" s="12"/>
      <c r="BP97" s="12">
        <v>1</v>
      </c>
      <c r="BT97" s="12"/>
      <c r="BU97" s="12">
        <v>1</v>
      </c>
      <c r="BV97" s="12"/>
      <c r="BW97" s="12">
        <v>1</v>
      </c>
      <c r="CA97" s="12"/>
      <c r="CB97" s="12">
        <v>1</v>
      </c>
      <c r="CC97" s="12"/>
      <c r="CD97" s="12">
        <v>1</v>
      </c>
      <c r="CH97" s="12"/>
      <c r="CI97" s="12">
        <v>1</v>
      </c>
      <c r="CJ97" s="12"/>
      <c r="CK97" s="12">
        <v>1</v>
      </c>
      <c r="CO97" s="12"/>
      <c r="CP97" s="12">
        <v>1</v>
      </c>
      <c r="CQ97" s="12"/>
      <c r="CR97" s="12">
        <v>1</v>
      </c>
      <c r="CV97" s="12"/>
      <c r="CW97" s="12"/>
      <c r="CX97" s="12"/>
      <c r="CY97" s="12"/>
      <c r="DC97" s="12"/>
      <c r="DD97" s="12"/>
      <c r="DE97" s="12"/>
      <c r="DF97" s="12"/>
      <c r="DJ97" s="12"/>
      <c r="DK97" s="12"/>
      <c r="DL97" s="12"/>
      <c r="DM97" s="12"/>
      <c r="DQ97" s="12"/>
      <c r="DR97" s="12"/>
      <c r="DS97" s="12"/>
      <c r="DT97" s="12"/>
      <c r="DX97" s="12"/>
      <c r="DY97" s="12">
        <v>1</v>
      </c>
      <c r="DZ97" s="12"/>
      <c r="EA97" s="12">
        <v>1</v>
      </c>
    </row>
    <row r="98" spans="2:131" outlineLevel="1">
      <c r="B98" t="s">
        <v>28</v>
      </c>
      <c r="C98" t="s">
        <v>184</v>
      </c>
      <c r="E98" s="11"/>
      <c r="F98" t="s">
        <v>186</v>
      </c>
      <c r="G98" s="12">
        <v>0.05</v>
      </c>
      <c r="I98" s="11">
        <f>+SUMIF($N$3:$UZ$3,I$3,$N98:$UZ98)</f>
        <v>0</v>
      </c>
      <c r="J98" s="13" cm="1">
        <f t="array" ref="J98">MAX(IF($N$3:$BZ$3=$J$3,N98:BZ98))</f>
        <v>0</v>
      </c>
      <c r="K98" s="13" cm="1">
        <f t="array" ref="K98">MAX(IF($N$3:$BZ$3=$J$3,N98:BZ98))</f>
        <v>0</v>
      </c>
      <c r="L98" s="11"/>
      <c r="P98" s="12"/>
      <c r="Q98" s="12">
        <v>0.8</v>
      </c>
      <c r="R98" s="12"/>
      <c r="S98" s="12">
        <v>0.8</v>
      </c>
      <c r="W98" s="12"/>
      <c r="X98" s="12">
        <v>0.8</v>
      </c>
      <c r="Y98" s="12"/>
      <c r="Z98" s="12">
        <v>0.8</v>
      </c>
      <c r="AD98" s="12"/>
      <c r="AE98" s="12">
        <v>0.8</v>
      </c>
      <c r="AF98" s="12"/>
      <c r="AG98" s="12">
        <v>0.8</v>
      </c>
      <c r="AK98" s="12"/>
      <c r="AL98" s="12">
        <v>0.8</v>
      </c>
      <c r="AM98" s="12"/>
      <c r="AN98" s="12">
        <v>0.8</v>
      </c>
      <c r="AR98" s="12"/>
      <c r="AS98" s="12">
        <v>0.8</v>
      </c>
      <c r="AT98" s="12"/>
      <c r="AU98" s="12">
        <v>0.8</v>
      </c>
      <c r="AY98" s="12"/>
      <c r="AZ98" s="12">
        <v>0.8</v>
      </c>
      <c r="BA98" s="12"/>
      <c r="BB98" s="12">
        <v>0.8</v>
      </c>
      <c r="BF98" s="12"/>
      <c r="BG98" s="12">
        <v>0.8</v>
      </c>
      <c r="BH98" s="12"/>
      <c r="BI98" s="12">
        <v>0.8</v>
      </c>
      <c r="BM98" s="12"/>
      <c r="BN98" s="12">
        <v>1</v>
      </c>
      <c r="BO98" s="12"/>
      <c r="BP98" s="12">
        <v>1</v>
      </c>
      <c r="BT98" s="12"/>
      <c r="BU98" s="12">
        <v>1</v>
      </c>
      <c r="BV98" s="12"/>
      <c r="BW98" s="12">
        <v>1</v>
      </c>
      <c r="CA98" s="12"/>
      <c r="CB98" s="12">
        <v>1</v>
      </c>
      <c r="CC98" s="12"/>
      <c r="CD98" s="12">
        <v>1</v>
      </c>
      <c r="CH98" s="12"/>
      <c r="CI98" s="12">
        <v>1</v>
      </c>
      <c r="CJ98" s="12"/>
      <c r="CK98" s="12">
        <v>1</v>
      </c>
      <c r="CO98" s="12"/>
      <c r="CP98" s="12">
        <v>1</v>
      </c>
      <c r="CQ98" s="12"/>
      <c r="CR98" s="12">
        <v>1</v>
      </c>
      <c r="CV98" s="12"/>
      <c r="CW98" s="12"/>
      <c r="CX98" s="12"/>
      <c r="CY98" s="12"/>
      <c r="DC98" s="12"/>
      <c r="DD98" s="12"/>
      <c r="DE98" s="12"/>
      <c r="DF98" s="12"/>
      <c r="DJ98" s="12"/>
      <c r="DK98" s="12"/>
      <c r="DL98" s="12"/>
      <c r="DM98" s="12"/>
      <c r="DQ98" s="12"/>
      <c r="DR98" s="12"/>
      <c r="DS98" s="12"/>
      <c r="DT98" s="12"/>
      <c r="DX98" s="12"/>
      <c r="DY98" s="12">
        <v>1</v>
      </c>
      <c r="DZ98" s="12"/>
      <c r="EA98" s="12">
        <v>1</v>
      </c>
    </row>
    <row r="99" spans="2:131" outlineLevel="1">
      <c r="B99" t="s">
        <v>28</v>
      </c>
      <c r="C99" t="s">
        <v>184</v>
      </c>
      <c r="E99" s="11"/>
      <c r="F99" t="s">
        <v>187</v>
      </c>
      <c r="G99" s="12">
        <v>0.05</v>
      </c>
      <c r="I99" s="11">
        <f>+SUMIF($N$3:$UZ$3,I$3,$N99:$UZ99)</f>
        <v>0</v>
      </c>
      <c r="J99" s="13" cm="1">
        <f t="array" ref="J99">MAX(IF($N$3:$BZ$3=$J$3,N99:BZ99))</f>
        <v>0</v>
      </c>
      <c r="K99" s="13" cm="1">
        <f t="array" ref="K99">MAX(IF($N$3:$BZ$3=$J$3,N99:BZ99))</f>
        <v>0</v>
      </c>
      <c r="L99" s="11"/>
      <c r="P99" s="12"/>
      <c r="Q99" s="12">
        <v>0.8</v>
      </c>
      <c r="R99" s="12"/>
      <c r="S99" s="12">
        <v>0.8</v>
      </c>
      <c r="W99" s="12"/>
      <c r="X99" s="12">
        <v>0.8</v>
      </c>
      <c r="Y99" s="12"/>
      <c r="Z99" s="12">
        <v>0.8</v>
      </c>
      <c r="AD99" s="12"/>
      <c r="AE99" s="12">
        <v>0.8</v>
      </c>
      <c r="AF99" s="12"/>
      <c r="AG99" s="12">
        <v>0.8</v>
      </c>
      <c r="AK99" s="12"/>
      <c r="AL99" s="12">
        <v>0.8</v>
      </c>
      <c r="AM99" s="12"/>
      <c r="AN99" s="12">
        <v>0.8</v>
      </c>
      <c r="AR99" s="12"/>
      <c r="AS99" s="12">
        <v>0.8</v>
      </c>
      <c r="AT99" s="12"/>
      <c r="AU99" s="12">
        <v>0.8</v>
      </c>
      <c r="AY99" s="12"/>
      <c r="AZ99" s="12">
        <v>0.8</v>
      </c>
      <c r="BA99" s="12"/>
      <c r="BB99" s="12">
        <v>0.8</v>
      </c>
      <c r="BF99" s="12"/>
      <c r="BG99" s="12">
        <v>0.8</v>
      </c>
      <c r="BH99" s="12"/>
      <c r="BI99" s="12">
        <v>0.8</v>
      </c>
      <c r="BM99" s="12"/>
      <c r="BN99" s="12">
        <v>1</v>
      </c>
      <c r="BO99" s="12"/>
      <c r="BP99" s="12">
        <v>1</v>
      </c>
      <c r="BT99" s="12"/>
      <c r="BU99" s="12">
        <v>1</v>
      </c>
      <c r="BV99" s="12"/>
      <c r="BW99" s="12">
        <v>1</v>
      </c>
      <c r="CA99" s="12"/>
      <c r="CB99" s="12">
        <v>1</v>
      </c>
      <c r="CC99" s="12"/>
      <c r="CD99" s="12">
        <v>1</v>
      </c>
      <c r="CH99" s="12"/>
      <c r="CI99" s="12">
        <v>1</v>
      </c>
      <c r="CJ99" s="12"/>
      <c r="CK99" s="12">
        <v>1</v>
      </c>
      <c r="CO99" s="12"/>
      <c r="CP99" s="12">
        <v>1</v>
      </c>
      <c r="CQ99" s="12"/>
      <c r="CR99" s="12">
        <v>1</v>
      </c>
      <c r="CV99" s="12"/>
      <c r="CW99" s="12"/>
      <c r="CX99" s="12"/>
      <c r="CY99" s="12"/>
      <c r="DC99" s="12"/>
      <c r="DD99" s="12"/>
      <c r="DE99" s="12"/>
      <c r="DF99" s="12"/>
      <c r="DJ99" s="12"/>
      <c r="DK99" s="12"/>
      <c r="DL99" s="12"/>
      <c r="DM99" s="12"/>
      <c r="DQ99" s="12"/>
      <c r="DR99" s="12"/>
      <c r="DS99" s="12"/>
      <c r="DT99" s="12"/>
      <c r="DX99" s="12"/>
      <c r="DY99" s="12">
        <v>1</v>
      </c>
      <c r="DZ99" s="12"/>
      <c r="EA99" s="12">
        <v>1</v>
      </c>
    </row>
    <row r="100" spans="2:131" outlineLevel="1">
      <c r="B100" t="s">
        <v>28</v>
      </c>
      <c r="C100" t="s">
        <v>184</v>
      </c>
      <c r="E100" s="11"/>
      <c r="F100" t="s">
        <v>188</v>
      </c>
      <c r="G100" s="12">
        <v>0.05</v>
      </c>
      <c r="I100" s="11">
        <f>+SUMIF($N$3:$UZ$3,I$3,$N100:$UZ100)</f>
        <v>0</v>
      </c>
      <c r="J100" s="13" cm="1">
        <f t="array" ref="J100">MAX(IF($N$3:$BZ$3=$J$3,N100:BZ100))</f>
        <v>0</v>
      </c>
      <c r="K100" s="13" cm="1">
        <f t="array" ref="K100">MAX(IF($N$3:$BZ$3=$J$3,N100:BZ100))</f>
        <v>0</v>
      </c>
      <c r="L100" s="11"/>
      <c r="P100" s="12"/>
      <c r="Q100" s="12">
        <v>0.5</v>
      </c>
      <c r="R100" s="12"/>
      <c r="S100" s="12">
        <v>0.5</v>
      </c>
      <c r="W100" s="12"/>
      <c r="X100" s="12">
        <v>0.8</v>
      </c>
      <c r="Y100" s="12"/>
      <c r="Z100" s="12">
        <v>0.8</v>
      </c>
      <c r="AD100" s="12"/>
      <c r="AE100" s="12">
        <v>0.8</v>
      </c>
      <c r="AF100" s="12"/>
      <c r="AG100" s="12">
        <v>0.8</v>
      </c>
      <c r="AK100" s="12"/>
      <c r="AL100" s="12">
        <v>0.8</v>
      </c>
      <c r="AM100" s="12"/>
      <c r="AN100" s="12">
        <v>0.8</v>
      </c>
      <c r="AR100" s="12"/>
      <c r="AS100" s="12">
        <v>0.8</v>
      </c>
      <c r="AT100" s="12"/>
      <c r="AU100" s="12">
        <v>0.8</v>
      </c>
      <c r="AY100" s="12"/>
      <c r="AZ100" s="12">
        <v>0.8</v>
      </c>
      <c r="BA100" s="12"/>
      <c r="BB100" s="12">
        <v>0.8</v>
      </c>
      <c r="BF100" s="12"/>
      <c r="BG100" s="12">
        <v>0.8</v>
      </c>
      <c r="BH100" s="12"/>
      <c r="BI100" s="12">
        <v>0.8</v>
      </c>
      <c r="BM100" s="12"/>
      <c r="BN100" s="12">
        <v>0.8</v>
      </c>
      <c r="BO100" s="12"/>
      <c r="BP100" s="12">
        <v>0.8</v>
      </c>
      <c r="BT100" s="12"/>
      <c r="BU100" s="12">
        <v>1</v>
      </c>
      <c r="BV100" s="12"/>
      <c r="BW100" s="12">
        <v>1</v>
      </c>
      <c r="CA100" s="12"/>
      <c r="CB100" s="12">
        <v>1</v>
      </c>
      <c r="CC100" s="12"/>
      <c r="CD100" s="12">
        <v>1</v>
      </c>
      <c r="CH100" s="12"/>
      <c r="CI100" s="12">
        <v>1</v>
      </c>
      <c r="CJ100" s="12"/>
      <c r="CK100" s="12">
        <v>1</v>
      </c>
      <c r="CO100" s="12"/>
      <c r="CP100" s="12">
        <v>1</v>
      </c>
      <c r="CQ100" s="12"/>
      <c r="CR100" s="12">
        <v>1</v>
      </c>
      <c r="CV100" s="12"/>
      <c r="CW100" s="12"/>
      <c r="CX100" s="12"/>
      <c r="CY100" s="12"/>
      <c r="DC100" s="12"/>
      <c r="DD100" s="12"/>
      <c r="DE100" s="12"/>
      <c r="DF100" s="12"/>
      <c r="DJ100" s="12"/>
      <c r="DK100" s="12"/>
      <c r="DL100" s="12"/>
      <c r="DM100" s="12"/>
      <c r="DQ100" s="12"/>
      <c r="DR100" s="12"/>
      <c r="DS100" s="12"/>
      <c r="DT100" s="12"/>
      <c r="DX100" s="12"/>
      <c r="DY100" s="12">
        <v>1</v>
      </c>
      <c r="DZ100" s="12"/>
      <c r="EA100" s="12">
        <v>1</v>
      </c>
    </row>
    <row r="101" spans="2:131" outlineLevel="1">
      <c r="B101" t="s">
        <v>28</v>
      </c>
      <c r="C101" t="s">
        <v>184</v>
      </c>
      <c r="E101" s="11"/>
      <c r="F101" t="s">
        <v>189</v>
      </c>
      <c r="G101" s="12">
        <v>0.05</v>
      </c>
      <c r="I101" s="11">
        <f>+SUMIF($N$3:$UZ$3,I$3,$N101:$UZ101)</f>
        <v>0</v>
      </c>
      <c r="J101" s="13" cm="1">
        <f t="array" ref="J101">MAX(IF($N$3:$BZ$3=$J$3,N101:BZ101))</f>
        <v>0</v>
      </c>
      <c r="K101" s="13" cm="1">
        <f t="array" ref="K101">MAX(IF($N$3:$BZ$3=$J$3,N101:BZ101))</f>
        <v>0</v>
      </c>
      <c r="L101" s="11"/>
      <c r="P101" s="12"/>
      <c r="Q101" s="12">
        <v>0.5</v>
      </c>
      <c r="R101" s="12"/>
      <c r="S101" s="12">
        <v>0.5</v>
      </c>
      <c r="W101" s="12"/>
      <c r="X101" s="12">
        <v>0.8</v>
      </c>
      <c r="Y101" s="12"/>
      <c r="Z101" s="12">
        <v>0.8</v>
      </c>
      <c r="AD101" s="12"/>
      <c r="AE101" s="12">
        <v>0.8</v>
      </c>
      <c r="AF101" s="12"/>
      <c r="AG101" s="12">
        <v>0.8</v>
      </c>
      <c r="AK101" s="12"/>
      <c r="AL101" s="12">
        <v>0.8</v>
      </c>
      <c r="AM101" s="12"/>
      <c r="AN101" s="12">
        <v>0.8</v>
      </c>
      <c r="AR101" s="12"/>
      <c r="AS101" s="12">
        <v>0.8</v>
      </c>
      <c r="AT101" s="12"/>
      <c r="AU101" s="12">
        <v>0.8</v>
      </c>
      <c r="AY101" s="12"/>
      <c r="AZ101" s="12">
        <v>0.8</v>
      </c>
      <c r="BA101" s="12"/>
      <c r="BB101" s="12">
        <v>0.8</v>
      </c>
      <c r="BF101" s="12"/>
      <c r="BG101" s="12">
        <v>0.8</v>
      </c>
      <c r="BH101" s="12"/>
      <c r="BI101" s="12">
        <v>0.8</v>
      </c>
      <c r="BM101" s="12"/>
      <c r="BN101" s="12">
        <v>0.8</v>
      </c>
      <c r="BO101" s="12"/>
      <c r="BP101" s="12">
        <v>0.8</v>
      </c>
      <c r="BT101" s="12"/>
      <c r="BU101" s="12">
        <v>1</v>
      </c>
      <c r="BV101" s="12"/>
      <c r="BW101" s="12">
        <v>1</v>
      </c>
      <c r="CA101" s="12"/>
      <c r="CB101" s="12">
        <v>1</v>
      </c>
      <c r="CC101" s="12"/>
      <c r="CD101" s="12">
        <v>1</v>
      </c>
      <c r="CH101" s="12"/>
      <c r="CI101" s="12">
        <v>1</v>
      </c>
      <c r="CJ101" s="12"/>
      <c r="CK101" s="12">
        <v>1</v>
      </c>
      <c r="CO101" s="12"/>
      <c r="CP101" s="12">
        <v>1</v>
      </c>
      <c r="CQ101" s="12"/>
      <c r="CR101" s="12">
        <v>1</v>
      </c>
      <c r="CV101" s="12"/>
      <c r="CW101" s="12"/>
      <c r="CX101" s="12"/>
      <c r="CY101" s="12"/>
      <c r="DC101" s="12"/>
      <c r="DD101" s="12"/>
      <c r="DE101" s="12"/>
      <c r="DF101" s="12"/>
      <c r="DJ101" s="12"/>
      <c r="DK101" s="12"/>
      <c r="DL101" s="12"/>
      <c r="DM101" s="12"/>
      <c r="DQ101" s="12"/>
      <c r="DR101" s="12"/>
      <c r="DS101" s="12"/>
      <c r="DT101" s="12"/>
      <c r="DX101" s="12"/>
      <c r="DY101" s="12">
        <v>1</v>
      </c>
      <c r="DZ101" s="12"/>
      <c r="EA101" s="12">
        <v>1</v>
      </c>
    </row>
    <row r="102" spans="2:131" outlineLevel="1">
      <c r="B102" t="s">
        <v>28</v>
      </c>
      <c r="C102" t="s">
        <v>184</v>
      </c>
      <c r="E102" s="11"/>
      <c r="F102" t="s">
        <v>190</v>
      </c>
      <c r="G102" s="12">
        <v>0.1</v>
      </c>
      <c r="I102" s="11">
        <f>+SUMIF($N$3:$UZ$3,I$3,$N102:$UZ102)</f>
        <v>0</v>
      </c>
      <c r="J102" s="13" cm="1">
        <f t="array" ref="J102">MAX(IF($N$3:$BZ$3=$J$3,N102:BZ102))</f>
        <v>0</v>
      </c>
      <c r="K102" s="13" cm="1">
        <f t="array" ref="K102">MAX(IF($N$3:$BZ$3=$J$3,N102:BZ102))</f>
        <v>0</v>
      </c>
      <c r="L102" s="11"/>
      <c r="P102" s="12"/>
      <c r="Q102" s="12">
        <v>0.5</v>
      </c>
      <c r="R102" s="12"/>
      <c r="S102" s="12">
        <v>0.5</v>
      </c>
      <c r="W102" s="12"/>
      <c r="X102" s="12">
        <v>0.5</v>
      </c>
      <c r="Y102" s="12"/>
      <c r="Z102" s="12">
        <v>0.5</v>
      </c>
      <c r="AD102" s="12"/>
      <c r="AE102" s="12">
        <v>0.8</v>
      </c>
      <c r="AF102" s="12"/>
      <c r="AG102" s="12">
        <v>0.8</v>
      </c>
      <c r="AK102" s="12"/>
      <c r="AL102" s="12">
        <v>0.8</v>
      </c>
      <c r="AM102" s="12"/>
      <c r="AN102" s="12">
        <v>0.8</v>
      </c>
      <c r="AR102" s="12"/>
      <c r="AS102" s="12">
        <v>0.8</v>
      </c>
      <c r="AT102" s="12"/>
      <c r="AU102" s="12">
        <v>0.8</v>
      </c>
      <c r="AY102" s="12"/>
      <c r="AZ102" s="12">
        <v>0.8</v>
      </c>
      <c r="BA102" s="12"/>
      <c r="BB102" s="12">
        <v>0.8</v>
      </c>
      <c r="BF102" s="12"/>
      <c r="BG102" s="12">
        <v>0.8</v>
      </c>
      <c r="BH102" s="12"/>
      <c r="BI102" s="12">
        <v>0.8</v>
      </c>
      <c r="BM102" s="12"/>
      <c r="BN102" s="12">
        <v>0.8</v>
      </c>
      <c r="BO102" s="12"/>
      <c r="BP102" s="12">
        <v>0.8</v>
      </c>
      <c r="BT102" s="12"/>
      <c r="BU102" s="12">
        <v>0.8</v>
      </c>
      <c r="BV102" s="12"/>
      <c r="BW102" s="12">
        <v>0.8</v>
      </c>
      <c r="CA102" s="12"/>
      <c r="CB102" s="12">
        <v>1</v>
      </c>
      <c r="CC102" s="12"/>
      <c r="CD102" s="12">
        <v>1</v>
      </c>
      <c r="CH102" s="12"/>
      <c r="CI102" s="12">
        <v>1</v>
      </c>
      <c r="CJ102" s="12"/>
      <c r="CK102" s="12">
        <v>1</v>
      </c>
      <c r="CO102" s="12"/>
      <c r="CP102" s="12">
        <v>1</v>
      </c>
      <c r="CQ102" s="12"/>
      <c r="CR102" s="12">
        <v>1</v>
      </c>
      <c r="CV102" s="12"/>
      <c r="CW102" s="12"/>
      <c r="CX102" s="12"/>
      <c r="CY102" s="12"/>
      <c r="DC102" s="12"/>
      <c r="DD102" s="12"/>
      <c r="DE102" s="12"/>
      <c r="DF102" s="12"/>
      <c r="DJ102" s="12"/>
      <c r="DK102" s="12"/>
      <c r="DL102" s="12"/>
      <c r="DM102" s="12"/>
      <c r="DQ102" s="12"/>
      <c r="DR102" s="12"/>
      <c r="DS102" s="12"/>
      <c r="DT102" s="12"/>
      <c r="DX102" s="12"/>
      <c r="DY102" s="12">
        <v>1</v>
      </c>
      <c r="DZ102" s="12"/>
      <c r="EA102" s="12">
        <v>1</v>
      </c>
    </row>
    <row r="103" spans="2:131" outlineLevel="1">
      <c r="B103" t="s">
        <v>28</v>
      </c>
      <c r="C103" t="s">
        <v>184</v>
      </c>
      <c r="E103" s="11"/>
      <c r="F103" t="s">
        <v>191</v>
      </c>
      <c r="G103" s="12">
        <v>0.1</v>
      </c>
      <c r="I103" s="11">
        <f>+SUMIF($N$3:$UZ$3,I$3,$N103:$UZ103)</f>
        <v>0</v>
      </c>
      <c r="J103" s="13" cm="1">
        <f t="array" ref="J103">MAX(IF($N$3:$BZ$3=$J$3,N103:BZ103))</f>
        <v>0</v>
      </c>
      <c r="K103" s="13" cm="1">
        <f t="array" ref="K103">MAX(IF($N$3:$BZ$3=$J$3,N103:BZ103))</f>
        <v>0</v>
      </c>
      <c r="L103" s="11"/>
      <c r="P103" s="12"/>
      <c r="Q103" s="12">
        <v>0.5</v>
      </c>
      <c r="R103" s="12"/>
      <c r="S103" s="12">
        <v>0.5</v>
      </c>
      <c r="W103" s="12"/>
      <c r="X103" s="12">
        <v>0.5</v>
      </c>
      <c r="Y103" s="12"/>
      <c r="Z103" s="12">
        <v>0.5</v>
      </c>
      <c r="AD103" s="12"/>
      <c r="AE103" s="12">
        <v>0.8</v>
      </c>
      <c r="AF103" s="12"/>
      <c r="AG103" s="12">
        <v>0.8</v>
      </c>
      <c r="AK103" s="12"/>
      <c r="AL103" s="12">
        <v>0.8</v>
      </c>
      <c r="AM103" s="12"/>
      <c r="AN103" s="12">
        <v>0.8</v>
      </c>
      <c r="AR103" s="12"/>
      <c r="AS103" s="12">
        <v>0.8</v>
      </c>
      <c r="AT103" s="12"/>
      <c r="AU103" s="12">
        <v>0.8</v>
      </c>
      <c r="AY103" s="12"/>
      <c r="AZ103" s="12">
        <v>0.8</v>
      </c>
      <c r="BA103" s="12"/>
      <c r="BB103" s="12">
        <v>0.8</v>
      </c>
      <c r="BF103" s="12"/>
      <c r="BG103" s="12">
        <v>0.8</v>
      </c>
      <c r="BH103" s="12"/>
      <c r="BI103" s="12">
        <v>0.8</v>
      </c>
      <c r="BM103" s="12"/>
      <c r="BN103" s="12">
        <v>0.8</v>
      </c>
      <c r="BO103" s="12"/>
      <c r="BP103" s="12">
        <v>0.8</v>
      </c>
      <c r="BT103" s="12"/>
      <c r="BU103" s="12">
        <v>0.8</v>
      </c>
      <c r="BV103" s="12"/>
      <c r="BW103" s="12">
        <v>0.8</v>
      </c>
      <c r="CA103" s="12"/>
      <c r="CB103" s="12">
        <v>1</v>
      </c>
      <c r="CC103" s="12"/>
      <c r="CD103" s="12">
        <v>1</v>
      </c>
      <c r="CH103" s="12"/>
      <c r="CI103" s="12">
        <v>1</v>
      </c>
      <c r="CJ103" s="12"/>
      <c r="CK103" s="12">
        <v>1</v>
      </c>
      <c r="CO103" s="12"/>
      <c r="CP103" s="12">
        <v>1</v>
      </c>
      <c r="CQ103" s="12"/>
      <c r="CR103" s="12">
        <v>1</v>
      </c>
      <c r="CV103" s="12"/>
      <c r="CW103" s="12"/>
      <c r="CX103" s="12"/>
      <c r="CY103" s="12"/>
      <c r="DC103" s="12"/>
      <c r="DD103" s="12"/>
      <c r="DE103" s="12"/>
      <c r="DF103" s="12"/>
      <c r="DJ103" s="12"/>
      <c r="DK103" s="12"/>
      <c r="DL103" s="12"/>
      <c r="DM103" s="12"/>
      <c r="DQ103" s="12"/>
      <c r="DR103" s="12"/>
      <c r="DS103" s="12"/>
      <c r="DT103" s="12"/>
      <c r="DX103" s="12"/>
      <c r="DY103" s="12">
        <v>1</v>
      </c>
      <c r="DZ103" s="12"/>
      <c r="EA103" s="12">
        <v>1</v>
      </c>
    </row>
    <row r="104" spans="2:131" outlineLevel="1">
      <c r="B104" t="s">
        <v>28</v>
      </c>
      <c r="C104" t="s">
        <v>184</v>
      </c>
      <c r="E104" s="11"/>
      <c r="F104" t="s">
        <v>192</v>
      </c>
      <c r="G104" s="12">
        <v>0.1</v>
      </c>
      <c r="I104" s="11">
        <f>+SUMIF($N$3:$UZ$3,I$3,$N104:$UZ104)</f>
        <v>0</v>
      </c>
      <c r="J104" s="13" cm="1">
        <f t="array" ref="J104">MAX(IF($N$3:$BZ$3=$J$3,N104:BZ104))</f>
        <v>0</v>
      </c>
      <c r="K104" s="13" cm="1">
        <f t="array" ref="K104">MAX(IF($N$3:$BZ$3=$J$3,N104:BZ104))</f>
        <v>0</v>
      </c>
      <c r="L104" s="11"/>
      <c r="P104" s="12"/>
      <c r="Q104" s="12">
        <v>0.5</v>
      </c>
      <c r="R104" s="12"/>
      <c r="S104" s="12">
        <v>0.5</v>
      </c>
      <c r="W104" s="12"/>
      <c r="X104" s="12">
        <v>0.5</v>
      </c>
      <c r="Y104" s="12"/>
      <c r="Z104" s="12">
        <v>0.5</v>
      </c>
      <c r="AD104" s="12"/>
      <c r="AE104" s="12">
        <v>0.5</v>
      </c>
      <c r="AF104" s="12"/>
      <c r="AG104" s="12">
        <v>0.5</v>
      </c>
      <c r="AK104" s="12"/>
      <c r="AL104" s="12">
        <v>0.8</v>
      </c>
      <c r="AM104" s="12"/>
      <c r="AN104" s="12">
        <v>0.8</v>
      </c>
      <c r="AR104" s="12"/>
      <c r="AS104" s="12">
        <v>0.8</v>
      </c>
      <c r="AT104" s="12"/>
      <c r="AU104" s="12">
        <v>0.8</v>
      </c>
      <c r="AY104" s="12"/>
      <c r="AZ104" s="12">
        <v>0.8</v>
      </c>
      <c r="BA104" s="12"/>
      <c r="BB104" s="12">
        <v>0.8</v>
      </c>
      <c r="BF104" s="12"/>
      <c r="BG104" s="12">
        <v>0.8</v>
      </c>
      <c r="BH104" s="12"/>
      <c r="BI104" s="12">
        <v>0.8</v>
      </c>
      <c r="BM104" s="12"/>
      <c r="BN104" s="12">
        <v>0.8</v>
      </c>
      <c r="BO104" s="12"/>
      <c r="BP104" s="12">
        <v>0.8</v>
      </c>
      <c r="BT104" s="12"/>
      <c r="BU104" s="12">
        <v>0.8</v>
      </c>
      <c r="BV104" s="12"/>
      <c r="BW104" s="12">
        <v>0.8</v>
      </c>
      <c r="CA104" s="12"/>
      <c r="CB104" s="12">
        <v>0.8</v>
      </c>
      <c r="CC104" s="12"/>
      <c r="CD104" s="12">
        <v>0.8</v>
      </c>
      <c r="CH104" s="12"/>
      <c r="CI104" s="12">
        <v>1</v>
      </c>
      <c r="CJ104" s="12"/>
      <c r="CK104" s="12">
        <v>1</v>
      </c>
      <c r="CO104" s="12"/>
      <c r="CP104" s="12">
        <v>1</v>
      </c>
      <c r="CQ104" s="12"/>
      <c r="CR104" s="12">
        <v>1</v>
      </c>
      <c r="CV104" s="12"/>
      <c r="CW104" s="12"/>
      <c r="CX104" s="12"/>
      <c r="CY104" s="12"/>
      <c r="DC104" s="12"/>
      <c r="DD104" s="12"/>
      <c r="DE104" s="12"/>
      <c r="DF104" s="12"/>
      <c r="DJ104" s="12"/>
      <c r="DK104" s="12"/>
      <c r="DL104" s="12"/>
      <c r="DM104" s="12"/>
      <c r="DQ104" s="12"/>
      <c r="DR104" s="12"/>
      <c r="DS104" s="12"/>
      <c r="DT104" s="12"/>
      <c r="DX104" s="12"/>
      <c r="DY104" s="12">
        <v>1</v>
      </c>
      <c r="DZ104" s="12"/>
      <c r="EA104" s="12">
        <v>1</v>
      </c>
    </row>
    <row r="105" spans="2:131" outlineLevel="1">
      <c r="B105" t="s">
        <v>28</v>
      </c>
      <c r="C105" t="s">
        <v>184</v>
      </c>
      <c r="E105" s="11"/>
      <c r="F105" t="s">
        <v>193</v>
      </c>
      <c r="G105" s="12">
        <v>0.1</v>
      </c>
      <c r="I105" s="11">
        <f>+SUMIF($N$3:$UZ$3,I$3,$N105:$UZ105)</f>
        <v>0</v>
      </c>
      <c r="J105" s="13" cm="1">
        <f t="array" ref="J105">MAX(IF($N$3:$BZ$3=$J$3,N105:BZ105))</f>
        <v>0</v>
      </c>
      <c r="K105" s="13" cm="1">
        <f t="array" ref="K105">MAX(IF($N$3:$BZ$3=$J$3,N105:BZ105))</f>
        <v>0</v>
      </c>
      <c r="L105" s="11"/>
      <c r="P105" s="12"/>
      <c r="Q105" s="12">
        <v>0.5</v>
      </c>
      <c r="R105" s="12"/>
      <c r="S105" s="12">
        <v>0.5</v>
      </c>
      <c r="W105" s="12"/>
      <c r="X105" s="12">
        <v>0.5</v>
      </c>
      <c r="Y105" s="12"/>
      <c r="Z105" s="12">
        <v>0.5</v>
      </c>
      <c r="AD105" s="12"/>
      <c r="AE105" s="12">
        <v>0.5</v>
      </c>
      <c r="AF105" s="12"/>
      <c r="AG105" s="12">
        <v>0.5</v>
      </c>
      <c r="AK105" s="12"/>
      <c r="AL105" s="12">
        <v>0.8</v>
      </c>
      <c r="AM105" s="12"/>
      <c r="AN105" s="12">
        <v>0.8</v>
      </c>
      <c r="AR105" s="12"/>
      <c r="AS105" s="12">
        <v>0.8</v>
      </c>
      <c r="AT105" s="12"/>
      <c r="AU105" s="12">
        <v>0.8</v>
      </c>
      <c r="AY105" s="12"/>
      <c r="AZ105" s="12">
        <v>0.8</v>
      </c>
      <c r="BA105" s="12"/>
      <c r="BB105" s="12">
        <v>0.8</v>
      </c>
      <c r="BF105" s="12"/>
      <c r="BG105" s="12">
        <v>0.8</v>
      </c>
      <c r="BH105" s="12"/>
      <c r="BI105" s="12">
        <v>0.8</v>
      </c>
      <c r="BM105" s="12"/>
      <c r="BN105" s="12">
        <v>0.8</v>
      </c>
      <c r="BO105" s="12"/>
      <c r="BP105" s="12">
        <v>0.8</v>
      </c>
      <c r="BT105" s="12"/>
      <c r="BU105" s="12">
        <v>0.8</v>
      </c>
      <c r="BV105" s="12"/>
      <c r="BW105" s="12">
        <v>0.8</v>
      </c>
      <c r="CA105" s="12"/>
      <c r="CB105" s="12">
        <v>0.8</v>
      </c>
      <c r="CC105" s="12"/>
      <c r="CD105" s="12">
        <v>0.8</v>
      </c>
      <c r="CH105" s="12"/>
      <c r="CI105" s="12">
        <v>1</v>
      </c>
      <c r="CJ105" s="12"/>
      <c r="CK105" s="12">
        <v>1</v>
      </c>
      <c r="CO105" s="12"/>
      <c r="CP105" s="12">
        <v>1</v>
      </c>
      <c r="CQ105" s="12"/>
      <c r="CR105" s="12">
        <v>1</v>
      </c>
      <c r="CV105" s="12"/>
      <c r="CW105" s="12"/>
      <c r="CX105" s="12"/>
      <c r="CY105" s="12"/>
      <c r="DC105" s="12"/>
      <c r="DD105" s="12"/>
      <c r="DE105" s="12"/>
      <c r="DF105" s="12"/>
      <c r="DJ105" s="12"/>
      <c r="DK105" s="12"/>
      <c r="DL105" s="12"/>
      <c r="DM105" s="12"/>
      <c r="DQ105" s="12"/>
      <c r="DR105" s="12"/>
      <c r="DS105" s="12"/>
      <c r="DT105" s="12"/>
      <c r="DX105" s="12"/>
      <c r="DY105" s="12">
        <v>1</v>
      </c>
      <c r="DZ105" s="12"/>
      <c r="EA105" s="12">
        <v>1</v>
      </c>
    </row>
    <row r="106" spans="2:131" outlineLevel="1">
      <c r="B106" t="s">
        <v>28</v>
      </c>
      <c r="C106" t="s">
        <v>184</v>
      </c>
      <c r="E106" s="11"/>
      <c r="F106" t="s">
        <v>194</v>
      </c>
      <c r="G106" s="12">
        <v>0.1</v>
      </c>
      <c r="I106" s="11">
        <f>+SUMIF($N$3:$UZ$3,I$3,$N106:$UZ106)</f>
        <v>0</v>
      </c>
      <c r="J106" s="13" cm="1">
        <f t="array" ref="J106">MAX(IF($N$3:$BZ$3=$J$3,N106:BZ106))</f>
        <v>0</v>
      </c>
      <c r="K106" s="13" cm="1">
        <f t="array" ref="K106">MAX(IF($N$3:$BZ$3=$J$3,N106:BZ106))</f>
        <v>0</v>
      </c>
      <c r="L106" s="11"/>
      <c r="P106" s="12"/>
      <c r="Q106" s="12">
        <v>0.5</v>
      </c>
      <c r="R106" s="12"/>
      <c r="S106" s="12">
        <v>0.5</v>
      </c>
      <c r="W106" s="12"/>
      <c r="X106" s="12">
        <v>0.5</v>
      </c>
      <c r="Y106" s="12"/>
      <c r="Z106" s="12">
        <v>0.5</v>
      </c>
      <c r="AD106" s="12"/>
      <c r="AE106" s="12">
        <v>0.5</v>
      </c>
      <c r="AF106" s="12"/>
      <c r="AG106" s="12">
        <v>0.5</v>
      </c>
      <c r="AK106" s="12"/>
      <c r="AL106" s="12">
        <v>0.5</v>
      </c>
      <c r="AM106" s="12"/>
      <c r="AN106" s="12">
        <v>0.5</v>
      </c>
      <c r="AR106" s="12"/>
      <c r="AS106" s="12">
        <v>0.8</v>
      </c>
      <c r="AT106" s="12"/>
      <c r="AU106" s="12">
        <v>0.8</v>
      </c>
      <c r="AY106" s="12"/>
      <c r="AZ106" s="12">
        <v>0.8</v>
      </c>
      <c r="BA106" s="12"/>
      <c r="BB106" s="12">
        <v>0.8</v>
      </c>
      <c r="BF106" s="12"/>
      <c r="BG106" s="12">
        <v>0.8</v>
      </c>
      <c r="BH106" s="12"/>
      <c r="BI106" s="12">
        <v>0.8</v>
      </c>
      <c r="BM106" s="12"/>
      <c r="BN106" s="12">
        <v>0.8</v>
      </c>
      <c r="BO106" s="12"/>
      <c r="BP106" s="12">
        <v>0.8</v>
      </c>
      <c r="BT106" s="12"/>
      <c r="BU106" s="12">
        <v>0.8</v>
      </c>
      <c r="BV106" s="12"/>
      <c r="BW106" s="12">
        <v>0.8</v>
      </c>
      <c r="CA106" s="12"/>
      <c r="CB106" s="12">
        <v>0.8</v>
      </c>
      <c r="CC106" s="12"/>
      <c r="CD106" s="12">
        <v>0.8</v>
      </c>
      <c r="CH106" s="12"/>
      <c r="CI106" s="12">
        <v>0.8</v>
      </c>
      <c r="CJ106" s="12"/>
      <c r="CK106" s="12">
        <v>0.8</v>
      </c>
      <c r="CO106" s="12"/>
      <c r="CP106" s="12">
        <v>1</v>
      </c>
      <c r="CQ106" s="12"/>
      <c r="CR106" s="12">
        <v>1</v>
      </c>
      <c r="CV106" s="12"/>
      <c r="CW106" s="12"/>
      <c r="CX106" s="12"/>
      <c r="CY106" s="12"/>
      <c r="DC106" s="12"/>
      <c r="DD106" s="12"/>
      <c r="DE106" s="12"/>
      <c r="DF106" s="12"/>
      <c r="DJ106" s="12"/>
      <c r="DK106" s="12"/>
      <c r="DL106" s="12"/>
      <c r="DM106" s="12"/>
      <c r="DQ106" s="12"/>
      <c r="DR106" s="12"/>
      <c r="DS106" s="12"/>
      <c r="DT106" s="12"/>
      <c r="DX106" s="12"/>
      <c r="DY106" s="12">
        <v>1</v>
      </c>
      <c r="DZ106" s="12"/>
      <c r="EA106" s="12">
        <v>1</v>
      </c>
    </row>
    <row r="107" spans="2:131" outlineLevel="1">
      <c r="B107" t="s">
        <v>28</v>
      </c>
      <c r="C107" t="s">
        <v>184</v>
      </c>
      <c r="E107" s="11"/>
      <c r="F107" t="s">
        <v>195</v>
      </c>
      <c r="G107" s="12">
        <v>0.1</v>
      </c>
      <c r="I107" s="11">
        <f>+SUMIF($N$3:$UZ$3,I$3,$N107:$UZ107)</f>
        <v>0</v>
      </c>
      <c r="J107" s="13" cm="1">
        <f t="array" ref="J107">MAX(IF($N$3:$BZ$3=$J$3,N107:BZ107))</f>
        <v>0</v>
      </c>
      <c r="K107" s="13" cm="1">
        <f t="array" ref="K107">MAX(IF($N$3:$BZ$3=$J$3,N107:BZ107))</f>
        <v>0</v>
      </c>
      <c r="L107" s="11"/>
      <c r="P107" s="12"/>
      <c r="Q107" s="12">
        <v>0.5</v>
      </c>
      <c r="R107" s="12"/>
      <c r="S107" s="12">
        <v>0.5</v>
      </c>
      <c r="W107" s="12"/>
      <c r="X107" s="12">
        <v>0.5</v>
      </c>
      <c r="Y107" s="12"/>
      <c r="Z107" s="12">
        <v>0.5</v>
      </c>
      <c r="AD107" s="12"/>
      <c r="AE107" s="12">
        <v>0.5</v>
      </c>
      <c r="AF107" s="12"/>
      <c r="AG107" s="12">
        <v>0.5</v>
      </c>
      <c r="AK107" s="12"/>
      <c r="AL107" s="12">
        <v>0.5</v>
      </c>
      <c r="AM107" s="12"/>
      <c r="AN107" s="12">
        <v>0.5</v>
      </c>
      <c r="AR107" s="12"/>
      <c r="AS107" s="12">
        <v>0.8</v>
      </c>
      <c r="AT107" s="12"/>
      <c r="AU107" s="12">
        <v>0.8</v>
      </c>
      <c r="AY107" s="12"/>
      <c r="AZ107" s="12">
        <v>0.8</v>
      </c>
      <c r="BA107" s="12"/>
      <c r="BB107" s="12">
        <v>0.8</v>
      </c>
      <c r="BF107" s="12"/>
      <c r="BG107" s="12">
        <v>0.8</v>
      </c>
      <c r="BH107" s="12"/>
      <c r="BI107" s="12">
        <v>0.8</v>
      </c>
      <c r="BM107" s="12"/>
      <c r="BN107" s="12">
        <v>0.8</v>
      </c>
      <c r="BO107" s="12"/>
      <c r="BP107" s="12">
        <v>0.8</v>
      </c>
      <c r="BT107" s="12"/>
      <c r="BU107" s="12">
        <v>0.8</v>
      </c>
      <c r="BV107" s="12"/>
      <c r="BW107" s="12">
        <v>0.8</v>
      </c>
      <c r="CA107" s="12"/>
      <c r="CB107" s="12">
        <v>0.8</v>
      </c>
      <c r="CC107" s="12"/>
      <c r="CD107" s="12">
        <v>0.8</v>
      </c>
      <c r="CH107" s="12"/>
      <c r="CI107" s="12">
        <v>0.8</v>
      </c>
      <c r="CJ107" s="12"/>
      <c r="CK107" s="12">
        <v>0.8</v>
      </c>
      <c r="CO107" s="12"/>
      <c r="CP107" s="12">
        <v>1</v>
      </c>
      <c r="CQ107" s="12"/>
      <c r="CR107" s="12">
        <v>1</v>
      </c>
      <c r="CV107" s="12"/>
      <c r="CW107" s="12"/>
      <c r="CX107" s="12"/>
      <c r="CY107" s="12"/>
      <c r="DC107" s="12"/>
      <c r="DD107" s="12"/>
      <c r="DE107" s="12"/>
      <c r="DF107" s="12"/>
      <c r="DJ107" s="12"/>
      <c r="DK107" s="12"/>
      <c r="DL107" s="12"/>
      <c r="DM107" s="12"/>
      <c r="DQ107" s="12"/>
      <c r="DR107" s="12"/>
      <c r="DS107" s="12"/>
      <c r="DT107" s="12"/>
      <c r="DX107" s="12"/>
      <c r="DY107" s="12">
        <v>1</v>
      </c>
      <c r="DZ107" s="12"/>
      <c r="EA107" s="12">
        <v>1</v>
      </c>
    </row>
    <row r="108" spans="2:131" outlineLevel="1">
      <c r="E108" s="11"/>
      <c r="G108" s="12">
        <v>0.1</v>
      </c>
      <c r="I108" s="11">
        <f>+SUMIF($N$3:$UZ$3,I$3,$N108:$UZ108)</f>
        <v>0</v>
      </c>
      <c r="J108" s="13" cm="1">
        <f t="array" ref="J108">MAX(IF($N$3:$BZ$3=$J$3,N108:BZ108))</f>
        <v>0</v>
      </c>
      <c r="K108" s="13" cm="1">
        <f t="array" ref="K108">MAX(IF($N$3:$BZ$3=$J$3,N108:BZ108))</f>
        <v>0</v>
      </c>
      <c r="L108" s="11"/>
      <c r="P108" s="12"/>
      <c r="Q108" s="12">
        <v>0.5</v>
      </c>
      <c r="R108" s="12"/>
      <c r="S108" s="12">
        <v>0.5</v>
      </c>
      <c r="W108" s="12"/>
      <c r="X108" s="12">
        <v>0.5</v>
      </c>
      <c r="Y108" s="12"/>
      <c r="Z108" s="12">
        <v>0.5</v>
      </c>
      <c r="AD108" s="12"/>
      <c r="AE108" s="12">
        <v>0.5</v>
      </c>
      <c r="AF108" s="12"/>
      <c r="AG108" s="12">
        <v>0.5</v>
      </c>
      <c r="AK108" s="12"/>
      <c r="AL108" s="12">
        <v>0.5</v>
      </c>
      <c r="AM108" s="12"/>
      <c r="AN108" s="12">
        <v>0.5</v>
      </c>
      <c r="AR108" s="12"/>
      <c r="AS108" s="12">
        <v>0.5</v>
      </c>
      <c r="AT108" s="12"/>
      <c r="AU108" s="12">
        <v>0.5</v>
      </c>
      <c r="AY108" s="12"/>
      <c r="AZ108" s="12">
        <v>0.8</v>
      </c>
      <c r="BA108" s="12"/>
      <c r="BB108" s="12">
        <v>0.8</v>
      </c>
      <c r="BF108" s="12"/>
      <c r="BG108" s="12">
        <v>0.8</v>
      </c>
      <c r="BH108" s="12"/>
      <c r="BI108" s="12">
        <v>0.8</v>
      </c>
      <c r="BM108" s="12"/>
      <c r="BN108" s="12">
        <v>0.8</v>
      </c>
      <c r="BO108" s="12"/>
      <c r="BP108" s="12">
        <v>0.8</v>
      </c>
      <c r="BT108" s="12"/>
      <c r="BU108" s="12">
        <v>0.8</v>
      </c>
      <c r="BV108" s="12"/>
      <c r="BW108" s="12">
        <v>0.8</v>
      </c>
      <c r="CA108" s="12"/>
      <c r="CB108" s="12">
        <v>0.8</v>
      </c>
      <c r="CC108" s="12"/>
      <c r="CD108" s="12">
        <v>0.8</v>
      </c>
      <c r="CH108" s="12"/>
      <c r="CI108" s="12">
        <v>0.8</v>
      </c>
      <c r="CJ108" s="12"/>
      <c r="CK108" s="12">
        <v>0.8</v>
      </c>
      <c r="CO108" s="12"/>
      <c r="CP108" s="12">
        <v>0.8</v>
      </c>
      <c r="CQ108" s="12"/>
      <c r="CR108" s="12">
        <v>0.8</v>
      </c>
      <c r="CV108" s="12"/>
      <c r="CW108" s="12"/>
      <c r="CX108" s="12"/>
      <c r="CY108" s="12"/>
      <c r="DC108" s="12"/>
      <c r="DD108" s="12"/>
      <c r="DE108" s="12"/>
      <c r="DF108" s="12"/>
      <c r="DJ108" s="12"/>
      <c r="DK108" s="12"/>
      <c r="DL108" s="12"/>
      <c r="DM108" s="12"/>
      <c r="DQ108" s="12"/>
      <c r="DR108" s="12"/>
      <c r="DS108" s="12"/>
      <c r="DT108" s="12"/>
      <c r="DX108" s="12"/>
      <c r="DY108" s="12">
        <v>1</v>
      </c>
      <c r="DZ108" s="12"/>
      <c r="EA108" s="12">
        <v>1</v>
      </c>
    </row>
    <row r="109" spans="2:131">
      <c r="Q109" s="12"/>
      <c r="S109" s="12"/>
      <c r="X109" s="12"/>
      <c r="Z109" s="12"/>
      <c r="AE109" s="12"/>
      <c r="AG109" s="12"/>
      <c r="AL109" s="12"/>
      <c r="AN109" s="12"/>
      <c r="AS109" s="12"/>
      <c r="AU109" s="12"/>
      <c r="AZ109" s="12"/>
      <c r="BB109" s="12"/>
      <c r="BG109" s="12"/>
      <c r="BI109" s="12"/>
      <c r="BN109" s="12"/>
      <c r="BP109" s="12"/>
      <c r="BU109" s="12"/>
      <c r="BW109" s="12"/>
      <c r="CB109" s="12"/>
      <c r="CD109" s="12"/>
      <c r="CI109" s="12"/>
      <c r="CK109" s="12"/>
      <c r="CP109" s="12"/>
      <c r="CR109" s="12"/>
    </row>
    <row r="136" ht="16.5" customHeight="1"/>
    <row r="204" spans="7:11">
      <c r="G204" s="12"/>
      <c r="I204" s="11"/>
      <c r="J204" s="13"/>
      <c r="K204" s="13"/>
    </row>
    <row r="205" spans="7:11">
      <c r="G205" s="12"/>
      <c r="I205" s="11"/>
      <c r="J205" s="13"/>
      <c r="K205" s="13"/>
    </row>
    <row r="206" spans="7:11">
      <c r="G206" s="12"/>
      <c r="I206" s="11"/>
      <c r="J206" s="13"/>
      <c r="K206" s="13"/>
    </row>
    <row r="207" spans="7:11">
      <c r="G207" s="12"/>
      <c r="I207" s="11"/>
      <c r="J207" s="13"/>
      <c r="K207" s="13"/>
    </row>
    <row r="208" spans="7:11">
      <c r="G208" s="12"/>
      <c r="I208" s="11"/>
      <c r="J208" s="13"/>
      <c r="K208" s="13"/>
    </row>
    <row r="209" spans="7:11">
      <c r="G209" s="12"/>
      <c r="I209" s="11"/>
      <c r="J209" s="13"/>
      <c r="K209" s="13"/>
    </row>
    <row r="210" spans="7:11">
      <c r="G210" s="12"/>
      <c r="I210" s="11"/>
      <c r="J210" s="13"/>
      <c r="K210" s="13"/>
    </row>
    <row r="211" spans="7:11">
      <c r="G211" s="12"/>
      <c r="I211" s="11"/>
      <c r="J211" s="13"/>
      <c r="K211" s="13"/>
    </row>
    <row r="212" spans="7:11">
      <c r="G212" s="12"/>
      <c r="I212" s="11"/>
      <c r="J212" s="13"/>
      <c r="K212" s="13"/>
    </row>
    <row r="213" spans="7:11">
      <c r="G213" s="12"/>
      <c r="I213" s="11"/>
      <c r="J213" s="13"/>
      <c r="K213" s="13"/>
    </row>
    <row r="214" spans="7:11">
      <c r="G214" s="12"/>
      <c r="I214" s="11"/>
      <c r="J214" s="13"/>
      <c r="K214" s="13"/>
    </row>
    <row r="215" spans="7:11">
      <c r="G215" s="12"/>
      <c r="I215" s="11"/>
      <c r="J215" s="13"/>
      <c r="K215" s="13"/>
    </row>
    <row r="216" spans="7:11">
      <c r="G216" s="12"/>
      <c r="I216" s="11"/>
      <c r="J216" s="13"/>
      <c r="K216" s="13"/>
    </row>
  </sheetData>
  <mergeCells count="18">
    <mergeCell ref="AJ2:AO2"/>
    <mergeCell ref="AQ2:AV2"/>
    <mergeCell ref="DW2:EB2"/>
    <mergeCell ref="CN2:CS2"/>
    <mergeCell ref="CU2:CZ2"/>
    <mergeCell ref="DB2:DG2"/>
    <mergeCell ref="DI2:DN2"/>
    <mergeCell ref="DP2:DU2"/>
    <mergeCell ref="BL2:BQ2"/>
    <mergeCell ref="BS2:BX2"/>
    <mergeCell ref="BZ2:CE2"/>
    <mergeCell ref="CG2:CL2"/>
    <mergeCell ref="I2:L2"/>
    <mergeCell ref="AX2:BC2"/>
    <mergeCell ref="BE2:BJ2"/>
    <mergeCell ref="O2:T2"/>
    <mergeCell ref="V2:AA2"/>
    <mergeCell ref="AC2:AH2"/>
  </mergeCells>
  <phoneticPr fontId="5" type="noConversion"/>
  <conditionalFormatting sqref="P5:P19 R5:R19 R24:R32 P24:P32 AF5:AF8 R37:R47 R51 P37:P47 P51 Y47 Y51 W47 W51 AF47 AF51 AD47 AD51 AM47 AM51 AK47 AK51 AT47 AT51 AR47 AR51 BA47 BA51 AY47 AY51 BH47 BH51 BF47 BF51">
    <cfRule type="expression" dxfId="2025" priority="3849">
      <formula>OR(IF(P5&lt;Q5,TRUE),IF(AND(Q5="",P5&lt;&gt;""),TRUE))</formula>
    </cfRule>
    <cfRule type="expression" dxfId="2024" priority="3850">
      <formula>IF(P5&gt;=Q5,IF(P5="",FALSE,TRUE))</formula>
    </cfRule>
  </conditionalFormatting>
  <conditionalFormatting sqref="P22:P23">
    <cfRule type="expression" dxfId="2001" priority="3656">
      <formula>OR(IF(P22&lt;Q22,TRUE),IF(AND(Q22="",P22&lt;&gt;""),TRUE))</formula>
    </cfRule>
    <cfRule type="expression" dxfId="2000" priority="3657">
      <formula>IF(P22&gt;=Q22,IF(P22="",FALSE,TRUE))</formula>
    </cfRule>
  </conditionalFormatting>
  <conditionalFormatting sqref="R22:R23">
    <cfRule type="expression" dxfId="1999" priority="3654">
      <formula>OR(IF(R22&lt;S22,TRUE),IF(AND(S22="",R22&lt;&gt;""),TRUE))</formula>
    </cfRule>
    <cfRule type="expression" dxfId="1998" priority="3655">
      <formula>IF(R22&gt;=S22,IF(R22="",FALSE,TRUE))</formula>
    </cfRule>
  </conditionalFormatting>
  <conditionalFormatting sqref="P35:P36">
    <cfRule type="expression" dxfId="1975" priority="3518">
      <formula>OR(IF(P35&lt;Q35,TRUE),IF(AND(Q35="",P35&lt;&gt;""),TRUE))</formula>
    </cfRule>
    <cfRule type="expression" dxfId="1974" priority="3519">
      <formula>IF(P35&gt;=Q35,IF(P35="",FALSE,TRUE))</formula>
    </cfRule>
  </conditionalFormatting>
  <conditionalFormatting sqref="R35:R36">
    <cfRule type="expression" dxfId="1973" priority="3516">
      <formula>OR(IF(R35&lt;S35,TRUE),IF(AND(S35="",R35&lt;&gt;""),TRUE))</formula>
    </cfRule>
    <cfRule type="expression" dxfId="1972" priority="3517">
      <formula>IF(R35&gt;=S35,IF(R35="",FALSE,TRUE))</formula>
    </cfRule>
  </conditionalFormatting>
  <conditionalFormatting sqref="J6:K19">
    <cfRule type="colorScale" priority="3852">
      <colorScale>
        <cfvo type="percent" val="0"/>
        <cfvo type="percent" val="100"/>
        <color rgb="FFFF231B"/>
        <color rgb="FF10FF07"/>
      </colorScale>
    </cfRule>
  </conditionalFormatting>
  <conditionalFormatting sqref="J5:J19">
    <cfRule type="colorScale" priority="3881">
      <colorScale>
        <cfvo type="percent" val="0"/>
        <cfvo type="percent" val="100"/>
        <color rgb="FFFF231B"/>
        <color rgb="FF10FF07"/>
      </colorScale>
    </cfRule>
  </conditionalFormatting>
  <conditionalFormatting sqref="K5:K19">
    <cfRule type="colorScale" priority="3882">
      <colorScale>
        <cfvo type="percent" val="0"/>
        <cfvo type="percent" val="100"/>
        <color rgb="FFFF231B"/>
        <color rgb="FF10FF07"/>
      </colorScale>
    </cfRule>
  </conditionalFormatting>
  <conditionalFormatting sqref="J23:K32">
    <cfRule type="colorScale" priority="3939">
      <colorScale>
        <cfvo type="percent" val="0"/>
        <cfvo type="percent" val="100"/>
        <color rgb="FFFF231B"/>
        <color rgb="FF10FF07"/>
      </colorScale>
    </cfRule>
  </conditionalFormatting>
  <conditionalFormatting sqref="J22:J32">
    <cfRule type="colorScale" priority="3941">
      <colorScale>
        <cfvo type="percent" val="0"/>
        <cfvo type="percent" val="100"/>
        <color rgb="FFFF231B"/>
        <color rgb="FF10FF07"/>
      </colorScale>
    </cfRule>
  </conditionalFormatting>
  <conditionalFormatting sqref="K22:K32">
    <cfRule type="colorScale" priority="3943">
      <colorScale>
        <cfvo type="percent" val="0"/>
        <cfvo type="percent" val="100"/>
        <color rgb="FFFF231B"/>
        <color rgb="FF10FF07"/>
      </colorScale>
    </cfRule>
  </conditionalFormatting>
  <conditionalFormatting sqref="J36:K46">
    <cfRule type="colorScale" priority="3972">
      <colorScale>
        <cfvo type="percent" val="0"/>
        <cfvo type="percent" val="100"/>
        <color rgb="FFFF231B"/>
        <color rgb="FF10FF07"/>
      </colorScale>
    </cfRule>
  </conditionalFormatting>
  <conditionalFormatting sqref="J35:J46">
    <cfRule type="colorScale" priority="3974">
      <colorScale>
        <cfvo type="percent" val="0"/>
        <cfvo type="percent" val="100"/>
        <color rgb="FFFF231B"/>
        <color rgb="FF10FF07"/>
      </colorScale>
    </cfRule>
  </conditionalFormatting>
  <conditionalFormatting sqref="K35:K46">
    <cfRule type="colorScale" priority="3976">
      <colorScale>
        <cfvo type="percent" val="0"/>
        <cfvo type="percent" val="100"/>
        <color rgb="FFFF231B"/>
        <color rgb="FF10FF07"/>
      </colorScale>
    </cfRule>
  </conditionalFormatting>
  <conditionalFormatting sqref="W5:W19 Y5:Y19 Y24:Y32 W24:W32 Y37:Y46 W37:W46">
    <cfRule type="expression" dxfId="1971" priority="3405">
      <formula>OR(IF(W5&lt;X5,TRUE),IF(AND(X5="",W5&lt;&gt;""),TRUE))</formula>
    </cfRule>
    <cfRule type="expression" dxfId="1970" priority="3406">
      <formula>IF(W5&gt;=X5,IF(W5="",FALSE,TRUE))</formula>
    </cfRule>
  </conditionalFormatting>
  <conditionalFormatting sqref="W22:W23">
    <cfRule type="expression" dxfId="1969" priority="3401">
      <formula>OR(IF(W22&lt;X22,TRUE),IF(AND(X22="",W22&lt;&gt;""),TRUE))</formula>
    </cfRule>
    <cfRule type="expression" dxfId="1968" priority="3402">
      <formula>IF(W22&gt;=X22,IF(W22="",FALSE,TRUE))</formula>
    </cfRule>
  </conditionalFormatting>
  <conditionalFormatting sqref="Y22:Y23">
    <cfRule type="expression" dxfId="1967" priority="3399">
      <formula>OR(IF(Y22&lt;Z22,TRUE),IF(AND(Z22="",Y22&lt;&gt;""),TRUE))</formula>
    </cfRule>
    <cfRule type="expression" dxfId="1966" priority="3400">
      <formula>IF(Y22&gt;=Z22,IF(Y22="",FALSE,TRUE))</formula>
    </cfRule>
  </conditionalFormatting>
  <conditionalFormatting sqref="W35:W36">
    <cfRule type="expression" dxfId="1965" priority="3393">
      <formula>OR(IF(W35&lt;X35,TRUE),IF(AND(X35="",W35&lt;&gt;""),TRUE))</formula>
    </cfRule>
    <cfRule type="expression" dxfId="1964" priority="3394">
      <formula>IF(W35&gt;=X35,IF(W35="",FALSE,TRUE))</formula>
    </cfRule>
  </conditionalFormatting>
  <conditionalFormatting sqref="Y35:Y36">
    <cfRule type="expression" dxfId="1963" priority="3391">
      <formula>OR(IF(Y35&lt;Z35,TRUE),IF(AND(Z35="",Y35&lt;&gt;""),TRUE))</formula>
    </cfRule>
    <cfRule type="expression" dxfId="1962" priority="3392">
      <formula>IF(Y35&gt;=Z35,IF(Y35="",FALSE,TRUE))</formula>
    </cfRule>
  </conditionalFormatting>
  <conditionalFormatting sqref="AD5:AD19 AF24:AF32 AD24:AD32 AF37:AF46 AD37:AD46">
    <cfRule type="expression" dxfId="1961" priority="3385">
      <formula>OR(IF(AD5&lt;AE5,TRUE),IF(AND(AE5="",AD5&lt;&gt;""),TRUE))</formula>
    </cfRule>
    <cfRule type="expression" dxfId="1960" priority="3386">
      <formula>IF(AD5&gt;=AE5,IF(AD5="",FALSE,TRUE))</formula>
    </cfRule>
  </conditionalFormatting>
  <conditionalFormatting sqref="AD22:AD23">
    <cfRule type="expression" dxfId="1959" priority="3381">
      <formula>OR(IF(AD22&lt;AE22,TRUE),IF(AND(AE22="",AD22&lt;&gt;""),TRUE))</formula>
    </cfRule>
    <cfRule type="expression" dxfId="1958" priority="3382">
      <formula>IF(AD22&gt;=AE22,IF(AD22="",FALSE,TRUE))</formula>
    </cfRule>
  </conditionalFormatting>
  <conditionalFormatting sqref="AF22:AF23">
    <cfRule type="expression" dxfId="1957" priority="3379">
      <formula>OR(IF(AF22&lt;AG22,TRUE),IF(AND(AG22="",AF22&lt;&gt;""),TRUE))</formula>
    </cfRule>
    <cfRule type="expression" dxfId="1956" priority="3380">
      <formula>IF(AF22&gt;=AG22,IF(AF22="",FALSE,TRUE))</formula>
    </cfRule>
  </conditionalFormatting>
  <conditionalFormatting sqref="AD35:AD36">
    <cfRule type="expression" dxfId="1955" priority="3373">
      <formula>OR(IF(AD35&lt;AE35,TRUE),IF(AND(AE35="",AD35&lt;&gt;""),TRUE))</formula>
    </cfRule>
    <cfRule type="expression" dxfId="1954" priority="3374">
      <formula>IF(AD35&gt;=AE35,IF(AD35="",FALSE,TRUE))</formula>
    </cfRule>
  </conditionalFormatting>
  <conditionalFormatting sqref="AF35:AF36">
    <cfRule type="expression" dxfId="1953" priority="3371">
      <formula>OR(IF(AF35&lt;AG35,TRUE),IF(AND(AG35="",AF35&lt;&gt;""),TRUE))</formula>
    </cfRule>
    <cfRule type="expression" dxfId="1952" priority="3372">
      <formula>IF(AF35&gt;=AG35,IF(AF35="",FALSE,TRUE))</formula>
    </cfRule>
  </conditionalFormatting>
  <conditionalFormatting sqref="AK5:AK19 AM5:AM19 AM24:AM32 AK24:AK32 AM37:AM46 AK37:AK46">
    <cfRule type="expression" dxfId="1951" priority="3365">
      <formula>OR(IF(AK5&lt;AL5,TRUE),IF(AND(AL5="",AK5&lt;&gt;""),TRUE))</formula>
    </cfRule>
    <cfRule type="expression" dxfId="1950" priority="3366">
      <formula>IF(AK5&gt;=AL5,IF(AK5="",FALSE,TRUE))</formula>
    </cfRule>
  </conditionalFormatting>
  <conditionalFormatting sqref="AK22:AK23">
    <cfRule type="expression" dxfId="1949" priority="3361">
      <formula>OR(IF(AK22&lt;AL22,TRUE),IF(AND(AL22="",AK22&lt;&gt;""),TRUE))</formula>
    </cfRule>
    <cfRule type="expression" dxfId="1948" priority="3362">
      <formula>IF(AK22&gt;=AL22,IF(AK22="",FALSE,TRUE))</formula>
    </cfRule>
  </conditionalFormatting>
  <conditionalFormatting sqref="AM22:AM23">
    <cfRule type="expression" dxfId="1947" priority="3359">
      <formula>OR(IF(AM22&lt;AN22,TRUE),IF(AND(AN22="",AM22&lt;&gt;""),TRUE))</formula>
    </cfRule>
    <cfRule type="expression" dxfId="1946" priority="3360">
      <formula>IF(AM22&gt;=AN22,IF(AM22="",FALSE,TRUE))</formula>
    </cfRule>
  </conditionalFormatting>
  <conditionalFormatting sqref="AK35:AK36">
    <cfRule type="expression" dxfId="1945" priority="3353">
      <formula>OR(IF(AK35&lt;AL35,TRUE),IF(AND(AL35="",AK35&lt;&gt;""),TRUE))</formula>
    </cfRule>
    <cfRule type="expression" dxfId="1944" priority="3354">
      <formula>IF(AK35&gt;=AL35,IF(AK35="",FALSE,TRUE))</formula>
    </cfRule>
  </conditionalFormatting>
  <conditionalFormatting sqref="AM35:AM36">
    <cfRule type="expression" dxfId="1943" priority="3351">
      <formula>OR(IF(AM35&lt;AN35,TRUE),IF(AND(AN35="",AM35&lt;&gt;""),TRUE))</formula>
    </cfRule>
    <cfRule type="expression" dxfId="1942" priority="3352">
      <formula>IF(AM35&gt;=AN35,IF(AM35="",FALSE,TRUE))</formula>
    </cfRule>
  </conditionalFormatting>
  <conditionalFormatting sqref="AR5:AR19 AT5:AT19 AT24:AT32 AR24:AR32 AT37:AT46 AR37:AR46">
    <cfRule type="expression" dxfId="1941" priority="3345">
      <formula>OR(IF(AR5&lt;AS5,TRUE),IF(AND(AS5="",AR5&lt;&gt;""),TRUE))</formula>
    </cfRule>
    <cfRule type="expression" dxfId="1940" priority="3346">
      <formula>IF(AR5&gt;=AS5,IF(AR5="",FALSE,TRUE))</formula>
    </cfRule>
  </conditionalFormatting>
  <conditionalFormatting sqref="AR22:AR23">
    <cfRule type="expression" dxfId="1939" priority="3341">
      <formula>OR(IF(AR22&lt;AS22,TRUE),IF(AND(AS22="",AR22&lt;&gt;""),TRUE))</formula>
    </cfRule>
    <cfRule type="expression" dxfId="1938" priority="3342">
      <formula>IF(AR22&gt;=AS22,IF(AR22="",FALSE,TRUE))</formula>
    </cfRule>
  </conditionalFormatting>
  <conditionalFormatting sqref="AT22:AT23">
    <cfRule type="expression" dxfId="1937" priority="3339">
      <formula>OR(IF(AT22&lt;AU22,TRUE),IF(AND(AU22="",AT22&lt;&gt;""),TRUE))</formula>
    </cfRule>
    <cfRule type="expression" dxfId="1936" priority="3340">
      <formula>IF(AT22&gt;=AU22,IF(AT22="",FALSE,TRUE))</formula>
    </cfRule>
  </conditionalFormatting>
  <conditionalFormatting sqref="AR35:AR36">
    <cfRule type="expression" dxfId="1935" priority="3333">
      <formula>OR(IF(AR35&lt;AS35,TRUE),IF(AND(AS35="",AR35&lt;&gt;""),TRUE))</formula>
    </cfRule>
    <cfRule type="expression" dxfId="1934" priority="3334">
      <formula>IF(AR35&gt;=AS35,IF(AR35="",FALSE,TRUE))</formula>
    </cfRule>
  </conditionalFormatting>
  <conditionalFormatting sqref="AT35:AT36">
    <cfRule type="expression" dxfId="1933" priority="3331">
      <formula>OR(IF(AT35&lt;AU35,TRUE),IF(AND(AU35="",AT35&lt;&gt;""),TRUE))</formula>
    </cfRule>
    <cfRule type="expression" dxfId="1932" priority="3332">
      <formula>IF(AT35&gt;=AU35,IF(AT35="",FALSE,TRUE))</formula>
    </cfRule>
  </conditionalFormatting>
  <conditionalFormatting sqref="AY5:AY19 BA5:BA19 BA24:BA32 AY24:AY32 BA37:BA46 AY37:AY46">
    <cfRule type="expression" dxfId="1931" priority="3325">
      <formula>OR(IF(AY5&lt;AZ5,TRUE),IF(AND(AZ5="",AY5&lt;&gt;""),TRUE))</formula>
    </cfRule>
    <cfRule type="expression" dxfId="1930" priority="3326">
      <formula>IF(AY5&gt;=AZ5,IF(AY5="",FALSE,TRUE))</formula>
    </cfRule>
  </conditionalFormatting>
  <conditionalFormatting sqref="AY22:AY23">
    <cfRule type="expression" dxfId="1929" priority="3321">
      <formula>OR(IF(AY22&lt;AZ22,TRUE),IF(AND(AZ22="",AY22&lt;&gt;""),TRUE))</formula>
    </cfRule>
    <cfRule type="expression" dxfId="1928" priority="3322">
      <formula>IF(AY22&gt;=AZ22,IF(AY22="",FALSE,TRUE))</formula>
    </cfRule>
  </conditionalFormatting>
  <conditionalFormatting sqref="BA22:BA23">
    <cfRule type="expression" dxfId="1927" priority="3319">
      <formula>OR(IF(BA22&lt;BB22,TRUE),IF(AND(BB22="",BA22&lt;&gt;""),TRUE))</formula>
    </cfRule>
    <cfRule type="expression" dxfId="1926" priority="3320">
      <formula>IF(BA22&gt;=BB22,IF(BA22="",FALSE,TRUE))</formula>
    </cfRule>
  </conditionalFormatting>
  <conditionalFormatting sqref="AY35:AY36">
    <cfRule type="expression" dxfId="1925" priority="3313">
      <formula>OR(IF(AY35&lt;AZ35,TRUE),IF(AND(AZ35="",AY35&lt;&gt;""),TRUE))</formula>
    </cfRule>
    <cfRule type="expression" dxfId="1924" priority="3314">
      <formula>IF(AY35&gt;=AZ35,IF(AY35="",FALSE,TRUE))</formula>
    </cfRule>
  </conditionalFormatting>
  <conditionalFormatting sqref="BA35:BA36">
    <cfRule type="expression" dxfId="1923" priority="3311">
      <formula>OR(IF(BA35&lt;BB35,TRUE),IF(AND(BB35="",BA35&lt;&gt;""),TRUE))</formula>
    </cfRule>
    <cfRule type="expression" dxfId="1922" priority="3312">
      <formula>IF(BA35&gt;=BB35,IF(BA35="",FALSE,TRUE))</formula>
    </cfRule>
  </conditionalFormatting>
  <conditionalFormatting sqref="BF5:BF19 BH5:BH19 BH24:BH32 BF24:BF32 BH37:BH46 BF37:BF46">
    <cfRule type="expression" dxfId="1921" priority="3305">
      <formula>OR(IF(BF5&lt;BG5,TRUE),IF(AND(BG5="",BF5&lt;&gt;""),TRUE))</formula>
    </cfRule>
    <cfRule type="expression" dxfId="1920" priority="3306">
      <formula>IF(BF5&gt;=BG5,IF(BF5="",FALSE,TRUE))</formula>
    </cfRule>
  </conditionalFormatting>
  <conditionalFormatting sqref="BF22:BF23">
    <cfRule type="expression" dxfId="1919" priority="3301">
      <formula>OR(IF(BF22&lt;BG22,TRUE),IF(AND(BG22="",BF22&lt;&gt;""),TRUE))</formula>
    </cfRule>
    <cfRule type="expression" dxfId="1918" priority="3302">
      <formula>IF(BF22&gt;=BG22,IF(BF22="",FALSE,TRUE))</formula>
    </cfRule>
  </conditionalFormatting>
  <conditionalFormatting sqref="BH22:BH23">
    <cfRule type="expression" dxfId="1917" priority="3299">
      <formula>OR(IF(BH22&lt;BI22,TRUE),IF(AND(BI22="",BH22&lt;&gt;""),TRUE))</formula>
    </cfRule>
    <cfRule type="expression" dxfId="1916" priority="3300">
      <formula>IF(BH22&gt;=BI22,IF(BH22="",FALSE,TRUE))</formula>
    </cfRule>
  </conditionalFormatting>
  <conditionalFormatting sqref="BF35:BF36">
    <cfRule type="expression" dxfId="1915" priority="3293">
      <formula>OR(IF(BF35&lt;BG35,TRUE),IF(AND(BG35="",BF35&lt;&gt;""),TRUE))</formula>
    </cfRule>
    <cfRule type="expression" dxfId="1914" priority="3294">
      <formula>IF(BF35&gt;=BG35,IF(BF35="",FALSE,TRUE))</formula>
    </cfRule>
  </conditionalFormatting>
  <conditionalFormatting sqref="BH35:BH36">
    <cfRule type="expression" dxfId="1913" priority="3291">
      <formula>OR(IF(BH35&lt;BI35,TRUE),IF(AND(BI35="",BH35&lt;&gt;""),TRUE))</formula>
    </cfRule>
    <cfRule type="expression" dxfId="1912" priority="3292">
      <formula>IF(BH35&gt;=BI35,IF(BH35="",FALSE,TRUE))</formula>
    </cfRule>
  </conditionalFormatting>
  <conditionalFormatting sqref="AF10:AF19">
    <cfRule type="expression" dxfId="1911" priority="4039">
      <formula>OR(IF(AF10&lt;AG10,TRUE),IF(AND(AG10="",AF10&lt;&gt;""),TRUE))</formula>
    </cfRule>
    <cfRule type="expression" dxfId="1910" priority="4040">
      <formula>IF(AF10&gt;=AG10,IF(AF10="",FALSE,TRUE))</formula>
    </cfRule>
  </conditionalFormatting>
  <conditionalFormatting sqref="AF9">
    <cfRule type="expression" dxfId="1909" priority="3285">
      <formula>OR(IF(AF9&lt;AG9,TRUE),IF(AND(AG9="",AF9&lt;&gt;""),TRUE))</formula>
    </cfRule>
    <cfRule type="expression" dxfId="1908" priority="3286">
      <formula>IF(AF9&gt;=AG9,IF(AF9="",FALSE,TRUE))</formula>
    </cfRule>
  </conditionalFormatting>
  <conditionalFormatting sqref="J47:K47 J51:K51">
    <cfRule type="colorScale" priority="4247">
      <colorScale>
        <cfvo type="percent" val="0"/>
        <cfvo type="percent" val="100"/>
        <color rgb="FFFF231B"/>
        <color rgb="FF10FF07"/>
      </colorScale>
    </cfRule>
  </conditionalFormatting>
  <conditionalFormatting sqref="J51 J47">
    <cfRule type="colorScale" priority="4249">
      <colorScale>
        <cfvo type="percent" val="0"/>
        <cfvo type="percent" val="100"/>
        <color rgb="FFFF231B"/>
        <color rgb="FF10FF07"/>
      </colorScale>
    </cfRule>
  </conditionalFormatting>
  <conditionalFormatting sqref="K51 K47">
    <cfRule type="colorScale" priority="4251">
      <colorScale>
        <cfvo type="percent" val="0"/>
        <cfvo type="percent" val="100"/>
        <color rgb="FFFF231B"/>
        <color rgb="FF10FF07"/>
      </colorScale>
    </cfRule>
  </conditionalFormatting>
  <conditionalFormatting sqref="J53:K63">
    <cfRule type="colorScale" priority="3244">
      <colorScale>
        <cfvo type="percent" val="0"/>
        <cfvo type="percent" val="100"/>
        <color rgb="FFFF231B"/>
        <color rgb="FF10FF07"/>
      </colorScale>
    </cfRule>
  </conditionalFormatting>
  <conditionalFormatting sqref="J52:J63">
    <cfRule type="colorScale" priority="3243">
      <colorScale>
        <cfvo type="percent" val="0"/>
        <cfvo type="percent" val="100"/>
        <color rgb="FFFF231B"/>
        <color rgb="FF10FF07"/>
      </colorScale>
    </cfRule>
  </conditionalFormatting>
  <conditionalFormatting sqref="K52:K63">
    <cfRule type="colorScale" priority="3242">
      <colorScale>
        <cfvo type="percent" val="0"/>
        <cfvo type="percent" val="100"/>
        <color rgb="FFFF231B"/>
        <color rgb="FF10FF07"/>
      </colorScale>
    </cfRule>
  </conditionalFormatting>
  <conditionalFormatting sqref="J64:K64">
    <cfRule type="colorScale" priority="3221">
      <colorScale>
        <cfvo type="percent" val="0"/>
        <cfvo type="percent" val="100"/>
        <color rgb="FFFF231B"/>
        <color rgb="FF10FF07"/>
      </colorScale>
    </cfRule>
  </conditionalFormatting>
  <conditionalFormatting sqref="J64">
    <cfRule type="colorScale" priority="3220">
      <colorScale>
        <cfvo type="percent" val="0"/>
        <cfvo type="percent" val="100"/>
        <color rgb="FFFF231B"/>
        <color rgb="FF10FF07"/>
      </colorScale>
    </cfRule>
  </conditionalFormatting>
  <conditionalFormatting sqref="K64">
    <cfRule type="colorScale" priority="3219">
      <colorScale>
        <cfvo type="percent" val="0"/>
        <cfvo type="percent" val="100"/>
        <color rgb="FFFF231B"/>
        <color rgb="FF10FF07"/>
      </colorScale>
    </cfRule>
  </conditionalFormatting>
  <conditionalFormatting sqref="J65:K65">
    <cfRule type="colorScale" priority="3198">
      <colorScale>
        <cfvo type="percent" val="0"/>
        <cfvo type="percent" val="100"/>
        <color rgb="FFFF231B"/>
        <color rgb="FF10FF07"/>
      </colorScale>
    </cfRule>
  </conditionalFormatting>
  <conditionalFormatting sqref="J65">
    <cfRule type="colorScale" priority="3197">
      <colorScale>
        <cfvo type="percent" val="0"/>
        <cfvo type="percent" val="100"/>
        <color rgb="FFFF231B"/>
        <color rgb="FF10FF07"/>
      </colorScale>
    </cfRule>
  </conditionalFormatting>
  <conditionalFormatting sqref="K65">
    <cfRule type="colorScale" priority="3196">
      <colorScale>
        <cfvo type="percent" val="0"/>
        <cfvo type="percent" val="100"/>
        <color rgb="FFFF231B"/>
        <color rgb="FF10FF07"/>
      </colorScale>
    </cfRule>
  </conditionalFormatting>
  <conditionalFormatting sqref="J66:K66">
    <cfRule type="colorScale" priority="3175">
      <colorScale>
        <cfvo type="percent" val="0"/>
        <cfvo type="percent" val="100"/>
        <color rgb="FFFF231B"/>
        <color rgb="FF10FF07"/>
      </colorScale>
    </cfRule>
  </conditionalFormatting>
  <conditionalFormatting sqref="J66">
    <cfRule type="colorScale" priority="3174">
      <colorScale>
        <cfvo type="percent" val="0"/>
        <cfvo type="percent" val="100"/>
        <color rgb="FFFF231B"/>
        <color rgb="FF10FF07"/>
      </colorScale>
    </cfRule>
  </conditionalFormatting>
  <conditionalFormatting sqref="K66">
    <cfRule type="colorScale" priority="3173">
      <colorScale>
        <cfvo type="percent" val="0"/>
        <cfvo type="percent" val="100"/>
        <color rgb="FFFF231B"/>
        <color rgb="FF10FF07"/>
      </colorScale>
    </cfRule>
  </conditionalFormatting>
  <conditionalFormatting sqref="J67:K67">
    <cfRule type="colorScale" priority="3152">
      <colorScale>
        <cfvo type="percent" val="0"/>
        <cfvo type="percent" val="100"/>
        <color rgb="FFFF231B"/>
        <color rgb="FF10FF07"/>
      </colorScale>
    </cfRule>
  </conditionalFormatting>
  <conditionalFormatting sqref="J67">
    <cfRule type="colorScale" priority="3151">
      <colorScale>
        <cfvo type="percent" val="0"/>
        <cfvo type="percent" val="100"/>
        <color rgb="FFFF231B"/>
        <color rgb="FF10FF07"/>
      </colorScale>
    </cfRule>
  </conditionalFormatting>
  <conditionalFormatting sqref="K67">
    <cfRule type="colorScale" priority="3150">
      <colorScale>
        <cfvo type="percent" val="0"/>
        <cfvo type="percent" val="100"/>
        <color rgb="FFFF231B"/>
        <color rgb="FF10FF07"/>
      </colorScale>
    </cfRule>
  </conditionalFormatting>
  <conditionalFormatting sqref="J68:K68">
    <cfRule type="colorScale" priority="3129">
      <colorScale>
        <cfvo type="percent" val="0"/>
        <cfvo type="percent" val="100"/>
        <color rgb="FFFF231B"/>
        <color rgb="FF10FF07"/>
      </colorScale>
    </cfRule>
  </conditionalFormatting>
  <conditionalFormatting sqref="J68">
    <cfRule type="colorScale" priority="3128">
      <colorScale>
        <cfvo type="percent" val="0"/>
        <cfvo type="percent" val="100"/>
        <color rgb="FFFF231B"/>
        <color rgb="FF10FF07"/>
      </colorScale>
    </cfRule>
  </conditionalFormatting>
  <conditionalFormatting sqref="K68">
    <cfRule type="colorScale" priority="3127">
      <colorScale>
        <cfvo type="percent" val="0"/>
        <cfvo type="percent" val="100"/>
        <color rgb="FFFF231B"/>
        <color rgb="FF10FF07"/>
      </colorScale>
    </cfRule>
  </conditionalFormatting>
  <conditionalFormatting sqref="J69:K69">
    <cfRule type="colorScale" priority="3106">
      <colorScale>
        <cfvo type="percent" val="0"/>
        <cfvo type="percent" val="100"/>
        <color rgb="FFFF231B"/>
        <color rgb="FF10FF07"/>
      </colorScale>
    </cfRule>
  </conditionalFormatting>
  <conditionalFormatting sqref="J69">
    <cfRule type="colorScale" priority="3105">
      <colorScale>
        <cfvo type="percent" val="0"/>
        <cfvo type="percent" val="100"/>
        <color rgb="FFFF231B"/>
        <color rgb="FF10FF07"/>
      </colorScale>
    </cfRule>
  </conditionalFormatting>
  <conditionalFormatting sqref="K69">
    <cfRule type="colorScale" priority="3104">
      <colorScale>
        <cfvo type="percent" val="0"/>
        <cfvo type="percent" val="100"/>
        <color rgb="FFFF231B"/>
        <color rgb="FF10FF07"/>
      </colorScale>
    </cfRule>
  </conditionalFormatting>
  <conditionalFormatting sqref="J70:K70">
    <cfRule type="colorScale" priority="3083">
      <colorScale>
        <cfvo type="percent" val="0"/>
        <cfvo type="percent" val="100"/>
        <color rgb="FFFF231B"/>
        <color rgb="FF10FF07"/>
      </colorScale>
    </cfRule>
  </conditionalFormatting>
  <conditionalFormatting sqref="J70">
    <cfRule type="colorScale" priority="3082">
      <colorScale>
        <cfvo type="percent" val="0"/>
        <cfvo type="percent" val="100"/>
        <color rgb="FFFF231B"/>
        <color rgb="FF10FF07"/>
      </colorScale>
    </cfRule>
  </conditionalFormatting>
  <conditionalFormatting sqref="K70">
    <cfRule type="colorScale" priority="3081">
      <colorScale>
        <cfvo type="percent" val="0"/>
        <cfvo type="percent" val="100"/>
        <color rgb="FFFF231B"/>
        <color rgb="FF10FF07"/>
      </colorScale>
    </cfRule>
  </conditionalFormatting>
  <conditionalFormatting sqref="J71:K71">
    <cfRule type="colorScale" priority="3060">
      <colorScale>
        <cfvo type="percent" val="0"/>
        <cfvo type="percent" val="100"/>
        <color rgb="FFFF231B"/>
        <color rgb="FF10FF07"/>
      </colorScale>
    </cfRule>
  </conditionalFormatting>
  <conditionalFormatting sqref="J71">
    <cfRule type="colorScale" priority="3059">
      <colorScale>
        <cfvo type="percent" val="0"/>
        <cfvo type="percent" val="100"/>
        <color rgb="FFFF231B"/>
        <color rgb="FF10FF07"/>
      </colorScale>
    </cfRule>
  </conditionalFormatting>
  <conditionalFormatting sqref="K71">
    <cfRule type="colorScale" priority="3058">
      <colorScale>
        <cfvo type="percent" val="0"/>
        <cfvo type="percent" val="100"/>
        <color rgb="FFFF231B"/>
        <color rgb="FF10FF07"/>
      </colorScale>
    </cfRule>
  </conditionalFormatting>
  <conditionalFormatting sqref="J72:K72">
    <cfRule type="colorScale" priority="3037">
      <colorScale>
        <cfvo type="percent" val="0"/>
        <cfvo type="percent" val="100"/>
        <color rgb="FFFF231B"/>
        <color rgb="FF10FF07"/>
      </colorScale>
    </cfRule>
  </conditionalFormatting>
  <conditionalFormatting sqref="J72">
    <cfRule type="colorScale" priority="3036">
      <colorScale>
        <cfvo type="percent" val="0"/>
        <cfvo type="percent" val="100"/>
        <color rgb="FFFF231B"/>
        <color rgb="FF10FF07"/>
      </colorScale>
    </cfRule>
  </conditionalFormatting>
  <conditionalFormatting sqref="K72">
    <cfRule type="colorScale" priority="3035">
      <colorScale>
        <cfvo type="percent" val="0"/>
        <cfvo type="percent" val="100"/>
        <color rgb="FFFF231B"/>
        <color rgb="FF10FF07"/>
      </colorScale>
    </cfRule>
  </conditionalFormatting>
  <conditionalFormatting sqref="J73:K73">
    <cfRule type="colorScale" priority="3014">
      <colorScale>
        <cfvo type="percent" val="0"/>
        <cfvo type="percent" val="100"/>
        <color rgb="FFFF231B"/>
        <color rgb="FF10FF07"/>
      </colorScale>
    </cfRule>
  </conditionalFormatting>
  <conditionalFormatting sqref="J73">
    <cfRule type="colorScale" priority="3013">
      <colorScale>
        <cfvo type="percent" val="0"/>
        <cfvo type="percent" val="100"/>
        <color rgb="FFFF231B"/>
        <color rgb="FF10FF07"/>
      </colorScale>
    </cfRule>
  </conditionalFormatting>
  <conditionalFormatting sqref="K73">
    <cfRule type="colorScale" priority="3012">
      <colorScale>
        <cfvo type="percent" val="0"/>
        <cfvo type="percent" val="100"/>
        <color rgb="FFFF231B"/>
        <color rgb="FF10FF07"/>
      </colorScale>
    </cfRule>
  </conditionalFormatting>
  <conditionalFormatting sqref="J74:K74">
    <cfRule type="colorScale" priority="2991">
      <colorScale>
        <cfvo type="percent" val="0"/>
        <cfvo type="percent" val="100"/>
        <color rgb="FFFF231B"/>
        <color rgb="FF10FF07"/>
      </colorScale>
    </cfRule>
  </conditionalFormatting>
  <conditionalFormatting sqref="J74">
    <cfRule type="colorScale" priority="2990">
      <colorScale>
        <cfvo type="percent" val="0"/>
        <cfvo type="percent" val="100"/>
        <color rgb="FFFF231B"/>
        <color rgb="FF10FF07"/>
      </colorScale>
    </cfRule>
  </conditionalFormatting>
  <conditionalFormatting sqref="K74">
    <cfRule type="colorScale" priority="2989">
      <colorScale>
        <cfvo type="percent" val="0"/>
        <cfvo type="percent" val="100"/>
        <color rgb="FFFF231B"/>
        <color rgb="FF10FF07"/>
      </colorScale>
    </cfRule>
  </conditionalFormatting>
  <conditionalFormatting sqref="J75:K75">
    <cfRule type="colorScale" priority="2968">
      <colorScale>
        <cfvo type="percent" val="0"/>
        <cfvo type="percent" val="100"/>
        <color rgb="FFFF231B"/>
        <color rgb="FF10FF07"/>
      </colorScale>
    </cfRule>
  </conditionalFormatting>
  <conditionalFormatting sqref="J75">
    <cfRule type="colorScale" priority="2967">
      <colorScale>
        <cfvo type="percent" val="0"/>
        <cfvo type="percent" val="100"/>
        <color rgb="FFFF231B"/>
        <color rgb="FF10FF07"/>
      </colorScale>
    </cfRule>
  </conditionalFormatting>
  <conditionalFormatting sqref="K75">
    <cfRule type="colorScale" priority="2966">
      <colorScale>
        <cfvo type="percent" val="0"/>
        <cfvo type="percent" val="100"/>
        <color rgb="FFFF231B"/>
        <color rgb="FF10FF07"/>
      </colorScale>
    </cfRule>
  </conditionalFormatting>
  <conditionalFormatting sqref="J76:K76">
    <cfRule type="colorScale" priority="2945">
      <colorScale>
        <cfvo type="percent" val="0"/>
        <cfvo type="percent" val="100"/>
        <color rgb="FFFF231B"/>
        <color rgb="FF10FF07"/>
      </colorScale>
    </cfRule>
  </conditionalFormatting>
  <conditionalFormatting sqref="J76">
    <cfRule type="colorScale" priority="2944">
      <colorScale>
        <cfvo type="percent" val="0"/>
        <cfvo type="percent" val="100"/>
        <color rgb="FFFF231B"/>
        <color rgb="FF10FF07"/>
      </colorScale>
    </cfRule>
  </conditionalFormatting>
  <conditionalFormatting sqref="K76">
    <cfRule type="colorScale" priority="2943">
      <colorScale>
        <cfvo type="percent" val="0"/>
        <cfvo type="percent" val="100"/>
        <color rgb="FFFF231B"/>
        <color rgb="FF10FF07"/>
      </colorScale>
    </cfRule>
  </conditionalFormatting>
  <conditionalFormatting sqref="AD52:AD53">
    <cfRule type="expression" dxfId="1669" priority="2941">
      <formula>OR(IF(AD52&lt;AE52,TRUE),IF(AND(AE52="",AD52&lt;&gt;""),TRUE))</formula>
    </cfRule>
    <cfRule type="expression" dxfId="1668" priority="2942">
      <formula>IF(AD52&gt;=AE52,IF(AD52="",FALSE,TRUE))</formula>
    </cfRule>
  </conditionalFormatting>
  <conditionalFormatting sqref="AF54:AF63">
    <cfRule type="expression" dxfId="1667" priority="2935">
      <formula>OR(IF(AF54&lt;AG54,TRUE),IF(AND(AG54="",AF54&lt;&gt;""),TRUE))</formula>
    </cfRule>
    <cfRule type="expression" dxfId="1666" priority="2936">
      <formula>IF(AF54&gt;=AG54,IF(AF54="",FALSE,TRUE))</formula>
    </cfRule>
  </conditionalFormatting>
  <conditionalFormatting sqref="AF52:AF53">
    <cfRule type="expression" dxfId="1665" priority="2939">
      <formula>OR(IF(AF52&lt;AG52,TRUE),IF(AND(AG52="",AF52&lt;&gt;""),TRUE))</formula>
    </cfRule>
    <cfRule type="expression" dxfId="1664" priority="2940">
      <formula>IF(AF52&gt;=AG52,IF(AF52="",FALSE,TRUE))</formula>
    </cfRule>
  </conditionalFormatting>
  <conditionalFormatting sqref="AD54:AD63">
    <cfRule type="expression" dxfId="1663" priority="2937">
      <formula>OR(IF(AD54&lt;AE54,TRUE),IF(AND(AE54="",AD54&lt;&gt;""),TRUE))</formula>
    </cfRule>
    <cfRule type="expression" dxfId="1662" priority="2938">
      <formula>IF(AD54&gt;=AE54,IF(AD54="",FALSE,TRUE))</formula>
    </cfRule>
  </conditionalFormatting>
  <conditionalFormatting sqref="AF64">
    <cfRule type="expression" dxfId="1661" priority="2931">
      <formula>OR(IF(AF64&lt;AG64,TRUE),IF(AND(AG64="",AF64&lt;&gt;""),TRUE))</formula>
    </cfRule>
    <cfRule type="expression" dxfId="1660" priority="2932">
      <formula>IF(AF64&gt;=AG64,IF(AF64="",FALSE,TRUE))</formula>
    </cfRule>
  </conditionalFormatting>
  <conditionalFormatting sqref="AD64">
    <cfRule type="expression" dxfId="1659" priority="2933">
      <formula>OR(IF(AD64&lt;AE64,TRUE),IF(AND(AE64="",AD64&lt;&gt;""),TRUE))</formula>
    </cfRule>
    <cfRule type="expression" dxfId="1658" priority="2934">
      <formula>IF(AD64&gt;=AE64,IF(AD64="",FALSE,TRUE))</formula>
    </cfRule>
  </conditionalFormatting>
  <conditionalFormatting sqref="AF65">
    <cfRule type="expression" dxfId="1657" priority="2927">
      <formula>OR(IF(AF65&lt;AG65,TRUE),IF(AND(AG65="",AF65&lt;&gt;""),TRUE))</formula>
    </cfRule>
    <cfRule type="expression" dxfId="1656" priority="2928">
      <formula>IF(AF65&gt;=AG65,IF(AF65="",FALSE,TRUE))</formula>
    </cfRule>
  </conditionalFormatting>
  <conditionalFormatting sqref="AD65">
    <cfRule type="expression" dxfId="1655" priority="2929">
      <formula>OR(IF(AD65&lt;AE65,TRUE),IF(AND(AE65="",AD65&lt;&gt;""),TRUE))</formula>
    </cfRule>
    <cfRule type="expression" dxfId="1654" priority="2930">
      <formula>IF(AD65&gt;=AE65,IF(AD65="",FALSE,TRUE))</formula>
    </cfRule>
  </conditionalFormatting>
  <conditionalFormatting sqref="AF66">
    <cfRule type="expression" dxfId="1653" priority="2923">
      <formula>OR(IF(AF66&lt;AG66,TRUE),IF(AND(AG66="",AF66&lt;&gt;""),TRUE))</formula>
    </cfRule>
    <cfRule type="expression" dxfId="1652" priority="2924">
      <formula>IF(AF66&gt;=AG66,IF(AF66="",FALSE,TRUE))</formula>
    </cfRule>
  </conditionalFormatting>
  <conditionalFormatting sqref="AD66">
    <cfRule type="expression" dxfId="1651" priority="2925">
      <formula>OR(IF(AD66&lt;AE66,TRUE),IF(AND(AE66="",AD66&lt;&gt;""),TRUE))</formula>
    </cfRule>
    <cfRule type="expression" dxfId="1650" priority="2926">
      <formula>IF(AD66&gt;=AE66,IF(AD66="",FALSE,TRUE))</formula>
    </cfRule>
  </conditionalFormatting>
  <conditionalFormatting sqref="AF67">
    <cfRule type="expression" dxfId="1649" priority="2919">
      <formula>OR(IF(AF67&lt;AG67,TRUE),IF(AND(AG67="",AF67&lt;&gt;""),TRUE))</formula>
    </cfRule>
    <cfRule type="expression" dxfId="1648" priority="2920">
      <formula>IF(AF67&gt;=AG67,IF(AF67="",FALSE,TRUE))</formula>
    </cfRule>
  </conditionalFormatting>
  <conditionalFormatting sqref="AD67">
    <cfRule type="expression" dxfId="1647" priority="2921">
      <formula>OR(IF(AD67&lt;AE67,TRUE),IF(AND(AE67="",AD67&lt;&gt;""),TRUE))</formula>
    </cfRule>
    <cfRule type="expression" dxfId="1646" priority="2922">
      <formula>IF(AD67&gt;=AE67,IF(AD67="",FALSE,TRUE))</formula>
    </cfRule>
  </conditionalFormatting>
  <conditionalFormatting sqref="AF68">
    <cfRule type="expression" dxfId="1645" priority="2915">
      <formula>OR(IF(AF68&lt;AG68,TRUE),IF(AND(AG68="",AF68&lt;&gt;""),TRUE))</formula>
    </cfRule>
    <cfRule type="expression" dxfId="1644" priority="2916">
      <formula>IF(AF68&gt;=AG68,IF(AF68="",FALSE,TRUE))</formula>
    </cfRule>
  </conditionalFormatting>
  <conditionalFormatting sqref="AD68">
    <cfRule type="expression" dxfId="1643" priority="2917">
      <formula>OR(IF(AD68&lt;AE68,TRUE),IF(AND(AE68="",AD68&lt;&gt;""),TRUE))</formula>
    </cfRule>
    <cfRule type="expression" dxfId="1642" priority="2918">
      <formula>IF(AD68&gt;=AE68,IF(AD68="",FALSE,TRUE))</formula>
    </cfRule>
  </conditionalFormatting>
  <conditionalFormatting sqref="AF69">
    <cfRule type="expression" dxfId="1641" priority="2911">
      <formula>OR(IF(AF69&lt;AG69,TRUE),IF(AND(AG69="",AF69&lt;&gt;""),TRUE))</formula>
    </cfRule>
    <cfRule type="expression" dxfId="1640" priority="2912">
      <formula>IF(AF69&gt;=AG69,IF(AF69="",FALSE,TRUE))</formula>
    </cfRule>
  </conditionalFormatting>
  <conditionalFormatting sqref="AD69">
    <cfRule type="expression" dxfId="1639" priority="2913">
      <formula>OR(IF(AD69&lt;AE69,TRUE),IF(AND(AE69="",AD69&lt;&gt;""),TRUE))</formula>
    </cfRule>
    <cfRule type="expression" dxfId="1638" priority="2914">
      <formula>IF(AD69&gt;=AE69,IF(AD69="",FALSE,TRUE))</formula>
    </cfRule>
  </conditionalFormatting>
  <conditionalFormatting sqref="AF70">
    <cfRule type="expression" dxfId="1637" priority="2907">
      <formula>OR(IF(AF70&lt;AG70,TRUE),IF(AND(AG70="",AF70&lt;&gt;""),TRUE))</formula>
    </cfRule>
    <cfRule type="expression" dxfId="1636" priority="2908">
      <formula>IF(AF70&gt;=AG70,IF(AF70="",FALSE,TRUE))</formula>
    </cfRule>
  </conditionalFormatting>
  <conditionalFormatting sqref="AD70">
    <cfRule type="expression" dxfId="1635" priority="2909">
      <formula>OR(IF(AD70&lt;AE70,TRUE),IF(AND(AE70="",AD70&lt;&gt;""),TRUE))</formula>
    </cfRule>
    <cfRule type="expression" dxfId="1634" priority="2910">
      <formula>IF(AD70&gt;=AE70,IF(AD70="",FALSE,TRUE))</formula>
    </cfRule>
  </conditionalFormatting>
  <conditionalFormatting sqref="AF71">
    <cfRule type="expression" dxfId="1633" priority="2903">
      <formula>OR(IF(AF71&lt;AG71,TRUE),IF(AND(AG71="",AF71&lt;&gt;""),TRUE))</formula>
    </cfRule>
    <cfRule type="expression" dxfId="1632" priority="2904">
      <formula>IF(AF71&gt;=AG71,IF(AF71="",FALSE,TRUE))</formula>
    </cfRule>
  </conditionalFormatting>
  <conditionalFormatting sqref="AD71">
    <cfRule type="expression" dxfId="1631" priority="2905">
      <formula>OR(IF(AD71&lt;AE71,TRUE),IF(AND(AE71="",AD71&lt;&gt;""),TRUE))</formula>
    </cfRule>
    <cfRule type="expression" dxfId="1630" priority="2906">
      <formula>IF(AD71&gt;=AE71,IF(AD71="",FALSE,TRUE))</formula>
    </cfRule>
  </conditionalFormatting>
  <conditionalFormatting sqref="AF72">
    <cfRule type="expression" dxfId="1629" priority="2899">
      <formula>OR(IF(AF72&lt;AG72,TRUE),IF(AND(AG72="",AF72&lt;&gt;""),TRUE))</formula>
    </cfRule>
    <cfRule type="expression" dxfId="1628" priority="2900">
      <formula>IF(AF72&gt;=AG72,IF(AF72="",FALSE,TRUE))</formula>
    </cfRule>
  </conditionalFormatting>
  <conditionalFormatting sqref="AD72">
    <cfRule type="expression" dxfId="1627" priority="2901">
      <formula>OR(IF(AD72&lt;AE72,TRUE),IF(AND(AE72="",AD72&lt;&gt;""),TRUE))</formula>
    </cfRule>
    <cfRule type="expression" dxfId="1626" priority="2902">
      <formula>IF(AD72&gt;=AE72,IF(AD72="",FALSE,TRUE))</formula>
    </cfRule>
  </conditionalFormatting>
  <conditionalFormatting sqref="AF73">
    <cfRule type="expression" dxfId="1625" priority="2895">
      <formula>OR(IF(AF73&lt;AG73,TRUE),IF(AND(AG73="",AF73&lt;&gt;""),TRUE))</formula>
    </cfRule>
    <cfRule type="expression" dxfId="1624" priority="2896">
      <formula>IF(AF73&gt;=AG73,IF(AF73="",FALSE,TRUE))</formula>
    </cfRule>
  </conditionalFormatting>
  <conditionalFormatting sqref="AD73">
    <cfRule type="expression" dxfId="1623" priority="2897">
      <formula>OR(IF(AD73&lt;AE73,TRUE),IF(AND(AE73="",AD73&lt;&gt;""),TRUE))</formula>
    </cfRule>
    <cfRule type="expression" dxfId="1622" priority="2898">
      <formula>IF(AD73&gt;=AE73,IF(AD73="",FALSE,TRUE))</formula>
    </cfRule>
  </conditionalFormatting>
  <conditionalFormatting sqref="AF74">
    <cfRule type="expression" dxfId="1621" priority="2891">
      <formula>OR(IF(AF74&lt;AG74,TRUE),IF(AND(AG74="",AF74&lt;&gt;""),TRUE))</formula>
    </cfRule>
    <cfRule type="expression" dxfId="1620" priority="2892">
      <formula>IF(AF74&gt;=AG74,IF(AF74="",FALSE,TRUE))</formula>
    </cfRule>
  </conditionalFormatting>
  <conditionalFormatting sqref="AD74">
    <cfRule type="expression" dxfId="1619" priority="2893">
      <formula>OR(IF(AD74&lt;AE74,TRUE),IF(AND(AE74="",AD74&lt;&gt;""),TRUE))</formula>
    </cfRule>
    <cfRule type="expression" dxfId="1618" priority="2894">
      <formula>IF(AD74&gt;=AE74,IF(AD74="",FALSE,TRUE))</formula>
    </cfRule>
  </conditionalFormatting>
  <conditionalFormatting sqref="AF75">
    <cfRule type="expression" dxfId="1617" priority="2887">
      <formula>OR(IF(AF75&lt;AG75,TRUE),IF(AND(AG75="",AF75&lt;&gt;""),TRUE))</formula>
    </cfRule>
    <cfRule type="expression" dxfId="1616" priority="2888">
      <formula>IF(AF75&gt;=AG75,IF(AF75="",FALSE,TRUE))</formula>
    </cfRule>
  </conditionalFormatting>
  <conditionalFormatting sqref="AD75">
    <cfRule type="expression" dxfId="1615" priority="2889">
      <formula>OR(IF(AD75&lt;AE75,TRUE),IF(AND(AE75="",AD75&lt;&gt;""),TRUE))</formula>
    </cfRule>
    <cfRule type="expression" dxfId="1614" priority="2890">
      <formula>IF(AD75&gt;=AE75,IF(AD75="",FALSE,TRUE))</formula>
    </cfRule>
  </conditionalFormatting>
  <conditionalFormatting sqref="AF76">
    <cfRule type="expression" dxfId="1613" priority="2883">
      <formula>OR(IF(AF76&lt;AG76,TRUE),IF(AND(AG76="",AF76&lt;&gt;""),TRUE))</formula>
    </cfRule>
    <cfRule type="expression" dxfId="1612" priority="2884">
      <formula>IF(AF76&gt;=AG76,IF(AF76="",FALSE,TRUE))</formula>
    </cfRule>
  </conditionalFormatting>
  <conditionalFormatting sqref="AD76">
    <cfRule type="expression" dxfId="1611" priority="2885">
      <formula>OR(IF(AD76&lt;AE76,TRUE),IF(AND(AE76="",AD76&lt;&gt;""),TRUE))</formula>
    </cfRule>
    <cfRule type="expression" dxfId="1610" priority="2886">
      <formula>IF(AD76&gt;=AE76,IF(AD76="",FALSE,TRUE))</formula>
    </cfRule>
  </conditionalFormatting>
  <conditionalFormatting sqref="AK52:AK53">
    <cfRule type="expression" dxfId="1609" priority="2881">
      <formula>OR(IF(AK52&lt;AL52,TRUE),IF(AND(AL52="",AK52&lt;&gt;""),TRUE))</formula>
    </cfRule>
    <cfRule type="expression" dxfId="1608" priority="2882">
      <formula>IF(AK52&gt;=AL52,IF(AK52="",FALSE,TRUE))</formula>
    </cfRule>
  </conditionalFormatting>
  <conditionalFormatting sqref="AM54:AM63">
    <cfRule type="expression" dxfId="1607" priority="2875">
      <formula>OR(IF(AM54&lt;AN54,TRUE),IF(AND(AN54="",AM54&lt;&gt;""),TRUE))</formula>
    </cfRule>
    <cfRule type="expression" dxfId="1606" priority="2876">
      <formula>IF(AM54&gt;=AN54,IF(AM54="",FALSE,TRUE))</formula>
    </cfRule>
  </conditionalFormatting>
  <conditionalFormatting sqref="AM52:AM53">
    <cfRule type="expression" dxfId="1605" priority="2879">
      <formula>OR(IF(AM52&lt;AN52,TRUE),IF(AND(AN52="",AM52&lt;&gt;""),TRUE))</formula>
    </cfRule>
    <cfRule type="expression" dxfId="1604" priority="2880">
      <formula>IF(AM52&gt;=AN52,IF(AM52="",FALSE,TRUE))</formula>
    </cfRule>
  </conditionalFormatting>
  <conditionalFormatting sqref="AK54:AK63">
    <cfRule type="expression" dxfId="1603" priority="2877">
      <formula>OR(IF(AK54&lt;AL54,TRUE),IF(AND(AL54="",AK54&lt;&gt;""),TRUE))</formula>
    </cfRule>
    <cfRule type="expression" dxfId="1602" priority="2878">
      <formula>IF(AK54&gt;=AL54,IF(AK54="",FALSE,TRUE))</formula>
    </cfRule>
  </conditionalFormatting>
  <conditionalFormatting sqref="AM64">
    <cfRule type="expression" dxfId="1601" priority="2871">
      <formula>OR(IF(AM64&lt;AN64,TRUE),IF(AND(AN64="",AM64&lt;&gt;""),TRUE))</formula>
    </cfRule>
    <cfRule type="expression" dxfId="1600" priority="2872">
      <formula>IF(AM64&gt;=AN64,IF(AM64="",FALSE,TRUE))</formula>
    </cfRule>
  </conditionalFormatting>
  <conditionalFormatting sqref="AK64">
    <cfRule type="expression" dxfId="1599" priority="2873">
      <formula>OR(IF(AK64&lt;AL64,TRUE),IF(AND(AL64="",AK64&lt;&gt;""),TRUE))</formula>
    </cfRule>
    <cfRule type="expression" dxfId="1598" priority="2874">
      <formula>IF(AK64&gt;=AL64,IF(AK64="",FALSE,TRUE))</formula>
    </cfRule>
  </conditionalFormatting>
  <conditionalFormatting sqref="AM65">
    <cfRule type="expression" dxfId="1597" priority="2867">
      <formula>OR(IF(AM65&lt;AN65,TRUE),IF(AND(AN65="",AM65&lt;&gt;""),TRUE))</formula>
    </cfRule>
    <cfRule type="expression" dxfId="1596" priority="2868">
      <formula>IF(AM65&gt;=AN65,IF(AM65="",FALSE,TRUE))</formula>
    </cfRule>
  </conditionalFormatting>
  <conditionalFormatting sqref="AK65">
    <cfRule type="expression" dxfId="1595" priority="2869">
      <formula>OR(IF(AK65&lt;AL65,TRUE),IF(AND(AL65="",AK65&lt;&gt;""),TRUE))</formula>
    </cfRule>
    <cfRule type="expression" dxfId="1594" priority="2870">
      <formula>IF(AK65&gt;=AL65,IF(AK65="",FALSE,TRUE))</formula>
    </cfRule>
  </conditionalFormatting>
  <conditionalFormatting sqref="AM66">
    <cfRule type="expression" dxfId="1593" priority="2863">
      <formula>OR(IF(AM66&lt;AN66,TRUE),IF(AND(AN66="",AM66&lt;&gt;""),TRUE))</formula>
    </cfRule>
    <cfRule type="expression" dxfId="1592" priority="2864">
      <formula>IF(AM66&gt;=AN66,IF(AM66="",FALSE,TRUE))</formula>
    </cfRule>
  </conditionalFormatting>
  <conditionalFormatting sqref="AK66">
    <cfRule type="expression" dxfId="1591" priority="2865">
      <formula>OR(IF(AK66&lt;AL66,TRUE),IF(AND(AL66="",AK66&lt;&gt;""),TRUE))</formula>
    </cfRule>
    <cfRule type="expression" dxfId="1590" priority="2866">
      <formula>IF(AK66&gt;=AL66,IF(AK66="",FALSE,TRUE))</formula>
    </cfRule>
  </conditionalFormatting>
  <conditionalFormatting sqref="AM67">
    <cfRule type="expression" dxfId="1589" priority="2859">
      <formula>OR(IF(AM67&lt;AN67,TRUE),IF(AND(AN67="",AM67&lt;&gt;""),TRUE))</formula>
    </cfRule>
    <cfRule type="expression" dxfId="1588" priority="2860">
      <formula>IF(AM67&gt;=AN67,IF(AM67="",FALSE,TRUE))</formula>
    </cfRule>
  </conditionalFormatting>
  <conditionalFormatting sqref="AK67">
    <cfRule type="expression" dxfId="1587" priority="2861">
      <formula>OR(IF(AK67&lt;AL67,TRUE),IF(AND(AL67="",AK67&lt;&gt;""),TRUE))</formula>
    </cfRule>
    <cfRule type="expression" dxfId="1586" priority="2862">
      <formula>IF(AK67&gt;=AL67,IF(AK67="",FALSE,TRUE))</formula>
    </cfRule>
  </conditionalFormatting>
  <conditionalFormatting sqref="AM68">
    <cfRule type="expression" dxfId="1585" priority="2855">
      <formula>OR(IF(AM68&lt;AN68,TRUE),IF(AND(AN68="",AM68&lt;&gt;""),TRUE))</formula>
    </cfRule>
    <cfRule type="expression" dxfId="1584" priority="2856">
      <formula>IF(AM68&gt;=AN68,IF(AM68="",FALSE,TRUE))</formula>
    </cfRule>
  </conditionalFormatting>
  <conditionalFormatting sqref="AK68">
    <cfRule type="expression" dxfId="1583" priority="2857">
      <formula>OR(IF(AK68&lt;AL68,TRUE),IF(AND(AL68="",AK68&lt;&gt;""),TRUE))</formula>
    </cfRule>
    <cfRule type="expression" dxfId="1582" priority="2858">
      <formula>IF(AK68&gt;=AL68,IF(AK68="",FALSE,TRUE))</formula>
    </cfRule>
  </conditionalFormatting>
  <conditionalFormatting sqref="AM69">
    <cfRule type="expression" dxfId="1581" priority="2851">
      <formula>OR(IF(AM69&lt;AN69,TRUE),IF(AND(AN69="",AM69&lt;&gt;""),TRUE))</formula>
    </cfRule>
    <cfRule type="expression" dxfId="1580" priority="2852">
      <formula>IF(AM69&gt;=AN69,IF(AM69="",FALSE,TRUE))</formula>
    </cfRule>
  </conditionalFormatting>
  <conditionalFormatting sqref="AK69">
    <cfRule type="expression" dxfId="1579" priority="2853">
      <formula>OR(IF(AK69&lt;AL69,TRUE),IF(AND(AL69="",AK69&lt;&gt;""),TRUE))</formula>
    </cfRule>
    <cfRule type="expression" dxfId="1578" priority="2854">
      <formula>IF(AK69&gt;=AL69,IF(AK69="",FALSE,TRUE))</formula>
    </cfRule>
  </conditionalFormatting>
  <conditionalFormatting sqref="AM70">
    <cfRule type="expression" dxfId="1577" priority="2847">
      <formula>OR(IF(AM70&lt;AN70,TRUE),IF(AND(AN70="",AM70&lt;&gt;""),TRUE))</formula>
    </cfRule>
    <cfRule type="expression" dxfId="1576" priority="2848">
      <formula>IF(AM70&gt;=AN70,IF(AM70="",FALSE,TRUE))</formula>
    </cfRule>
  </conditionalFormatting>
  <conditionalFormatting sqref="AK70">
    <cfRule type="expression" dxfId="1575" priority="2849">
      <formula>OR(IF(AK70&lt;AL70,TRUE),IF(AND(AL70="",AK70&lt;&gt;""),TRUE))</formula>
    </cfRule>
    <cfRule type="expression" dxfId="1574" priority="2850">
      <formula>IF(AK70&gt;=AL70,IF(AK70="",FALSE,TRUE))</formula>
    </cfRule>
  </conditionalFormatting>
  <conditionalFormatting sqref="AM71">
    <cfRule type="expression" dxfId="1573" priority="2843">
      <formula>OR(IF(AM71&lt;AN71,TRUE),IF(AND(AN71="",AM71&lt;&gt;""),TRUE))</formula>
    </cfRule>
    <cfRule type="expression" dxfId="1572" priority="2844">
      <formula>IF(AM71&gt;=AN71,IF(AM71="",FALSE,TRUE))</formula>
    </cfRule>
  </conditionalFormatting>
  <conditionalFormatting sqref="AK71">
    <cfRule type="expression" dxfId="1571" priority="2845">
      <formula>OR(IF(AK71&lt;AL71,TRUE),IF(AND(AL71="",AK71&lt;&gt;""),TRUE))</formula>
    </cfRule>
    <cfRule type="expression" dxfId="1570" priority="2846">
      <formula>IF(AK71&gt;=AL71,IF(AK71="",FALSE,TRUE))</formula>
    </cfRule>
  </conditionalFormatting>
  <conditionalFormatting sqref="AM72">
    <cfRule type="expression" dxfId="1569" priority="2839">
      <formula>OR(IF(AM72&lt;AN72,TRUE),IF(AND(AN72="",AM72&lt;&gt;""),TRUE))</formula>
    </cfRule>
    <cfRule type="expression" dxfId="1568" priority="2840">
      <formula>IF(AM72&gt;=AN72,IF(AM72="",FALSE,TRUE))</formula>
    </cfRule>
  </conditionalFormatting>
  <conditionalFormatting sqref="AK72">
    <cfRule type="expression" dxfId="1567" priority="2841">
      <formula>OR(IF(AK72&lt;AL72,TRUE),IF(AND(AL72="",AK72&lt;&gt;""),TRUE))</formula>
    </cfRule>
    <cfRule type="expression" dxfId="1566" priority="2842">
      <formula>IF(AK72&gt;=AL72,IF(AK72="",FALSE,TRUE))</formula>
    </cfRule>
  </conditionalFormatting>
  <conditionalFormatting sqref="AM73">
    <cfRule type="expression" dxfId="1565" priority="2835">
      <formula>OR(IF(AM73&lt;AN73,TRUE),IF(AND(AN73="",AM73&lt;&gt;""),TRUE))</formula>
    </cfRule>
    <cfRule type="expression" dxfId="1564" priority="2836">
      <formula>IF(AM73&gt;=AN73,IF(AM73="",FALSE,TRUE))</formula>
    </cfRule>
  </conditionalFormatting>
  <conditionalFormatting sqref="AK73">
    <cfRule type="expression" dxfId="1563" priority="2837">
      <formula>OR(IF(AK73&lt;AL73,TRUE),IF(AND(AL73="",AK73&lt;&gt;""),TRUE))</formula>
    </cfRule>
    <cfRule type="expression" dxfId="1562" priority="2838">
      <formula>IF(AK73&gt;=AL73,IF(AK73="",FALSE,TRUE))</formula>
    </cfRule>
  </conditionalFormatting>
  <conditionalFormatting sqref="AM74">
    <cfRule type="expression" dxfId="1561" priority="2831">
      <formula>OR(IF(AM74&lt;AN74,TRUE),IF(AND(AN74="",AM74&lt;&gt;""),TRUE))</formula>
    </cfRule>
    <cfRule type="expression" dxfId="1560" priority="2832">
      <formula>IF(AM74&gt;=AN74,IF(AM74="",FALSE,TRUE))</formula>
    </cfRule>
  </conditionalFormatting>
  <conditionalFormatting sqref="AK74">
    <cfRule type="expression" dxfId="1559" priority="2833">
      <formula>OR(IF(AK74&lt;AL74,TRUE),IF(AND(AL74="",AK74&lt;&gt;""),TRUE))</formula>
    </cfRule>
    <cfRule type="expression" dxfId="1558" priority="2834">
      <formula>IF(AK74&gt;=AL74,IF(AK74="",FALSE,TRUE))</formula>
    </cfRule>
  </conditionalFormatting>
  <conditionalFormatting sqref="AM75">
    <cfRule type="expression" dxfId="1557" priority="2827">
      <formula>OR(IF(AM75&lt;AN75,TRUE),IF(AND(AN75="",AM75&lt;&gt;""),TRUE))</formula>
    </cfRule>
    <cfRule type="expression" dxfId="1556" priority="2828">
      <formula>IF(AM75&gt;=AN75,IF(AM75="",FALSE,TRUE))</formula>
    </cfRule>
  </conditionalFormatting>
  <conditionalFormatting sqref="AK75">
    <cfRule type="expression" dxfId="1555" priority="2829">
      <formula>OR(IF(AK75&lt;AL75,TRUE),IF(AND(AL75="",AK75&lt;&gt;""),TRUE))</formula>
    </cfRule>
    <cfRule type="expression" dxfId="1554" priority="2830">
      <formula>IF(AK75&gt;=AL75,IF(AK75="",FALSE,TRUE))</formula>
    </cfRule>
  </conditionalFormatting>
  <conditionalFormatting sqref="AM76">
    <cfRule type="expression" dxfId="1553" priority="2823">
      <formula>OR(IF(AM76&lt;AN76,TRUE),IF(AND(AN76="",AM76&lt;&gt;""),TRUE))</formula>
    </cfRule>
    <cfRule type="expression" dxfId="1552" priority="2824">
      <formula>IF(AM76&gt;=AN76,IF(AM76="",FALSE,TRUE))</formula>
    </cfRule>
  </conditionalFormatting>
  <conditionalFormatting sqref="AK76">
    <cfRule type="expression" dxfId="1551" priority="2825">
      <formula>OR(IF(AK76&lt;AL76,TRUE),IF(AND(AL76="",AK76&lt;&gt;""),TRUE))</formula>
    </cfRule>
    <cfRule type="expression" dxfId="1550" priority="2826">
      <formula>IF(AK76&gt;=AL76,IF(AK76="",FALSE,TRUE))</formula>
    </cfRule>
  </conditionalFormatting>
  <conditionalFormatting sqref="AR52:AR53">
    <cfRule type="expression" dxfId="1549" priority="2821">
      <formula>OR(IF(AR52&lt;AS52,TRUE),IF(AND(AS52="",AR52&lt;&gt;""),TRUE))</formula>
    </cfRule>
    <cfRule type="expression" dxfId="1548" priority="2822">
      <formula>IF(AR52&gt;=AS52,IF(AR52="",FALSE,TRUE))</formula>
    </cfRule>
  </conditionalFormatting>
  <conditionalFormatting sqref="AT54:AT63">
    <cfRule type="expression" dxfId="1547" priority="2815">
      <formula>OR(IF(AT54&lt;AU54,TRUE),IF(AND(AU54="",AT54&lt;&gt;""),TRUE))</formula>
    </cfRule>
    <cfRule type="expression" dxfId="1546" priority="2816">
      <formula>IF(AT54&gt;=AU54,IF(AT54="",FALSE,TRUE))</formula>
    </cfRule>
  </conditionalFormatting>
  <conditionalFormatting sqref="AT52:AT53">
    <cfRule type="expression" dxfId="1545" priority="2819">
      <formula>OR(IF(AT52&lt;AU52,TRUE),IF(AND(AU52="",AT52&lt;&gt;""),TRUE))</formula>
    </cfRule>
    <cfRule type="expression" dxfId="1544" priority="2820">
      <formula>IF(AT52&gt;=AU52,IF(AT52="",FALSE,TRUE))</formula>
    </cfRule>
  </conditionalFormatting>
  <conditionalFormatting sqref="AR54:AR63">
    <cfRule type="expression" dxfId="1543" priority="2817">
      <formula>OR(IF(AR54&lt;AS54,TRUE),IF(AND(AS54="",AR54&lt;&gt;""),TRUE))</formula>
    </cfRule>
    <cfRule type="expression" dxfId="1542" priority="2818">
      <formula>IF(AR54&gt;=AS54,IF(AR54="",FALSE,TRUE))</formula>
    </cfRule>
  </conditionalFormatting>
  <conditionalFormatting sqref="AT64">
    <cfRule type="expression" dxfId="1541" priority="2811">
      <formula>OR(IF(AT64&lt;AU64,TRUE),IF(AND(AU64="",AT64&lt;&gt;""),TRUE))</formula>
    </cfRule>
    <cfRule type="expression" dxfId="1540" priority="2812">
      <formula>IF(AT64&gt;=AU64,IF(AT64="",FALSE,TRUE))</formula>
    </cfRule>
  </conditionalFormatting>
  <conditionalFormatting sqref="AR64">
    <cfRule type="expression" dxfId="1539" priority="2813">
      <formula>OR(IF(AR64&lt;AS64,TRUE),IF(AND(AS64="",AR64&lt;&gt;""),TRUE))</formula>
    </cfRule>
    <cfRule type="expression" dxfId="1538" priority="2814">
      <formula>IF(AR64&gt;=AS64,IF(AR64="",FALSE,TRUE))</formula>
    </cfRule>
  </conditionalFormatting>
  <conditionalFormatting sqref="AT65">
    <cfRule type="expression" dxfId="1537" priority="2807">
      <formula>OR(IF(AT65&lt;AU65,TRUE),IF(AND(AU65="",AT65&lt;&gt;""),TRUE))</formula>
    </cfRule>
    <cfRule type="expression" dxfId="1536" priority="2808">
      <formula>IF(AT65&gt;=AU65,IF(AT65="",FALSE,TRUE))</formula>
    </cfRule>
  </conditionalFormatting>
  <conditionalFormatting sqref="AR65">
    <cfRule type="expression" dxfId="1535" priority="2809">
      <formula>OR(IF(AR65&lt;AS65,TRUE),IF(AND(AS65="",AR65&lt;&gt;""),TRUE))</formula>
    </cfRule>
    <cfRule type="expression" dxfId="1534" priority="2810">
      <formula>IF(AR65&gt;=AS65,IF(AR65="",FALSE,TRUE))</formula>
    </cfRule>
  </conditionalFormatting>
  <conditionalFormatting sqref="AT66">
    <cfRule type="expression" dxfId="1533" priority="2803">
      <formula>OR(IF(AT66&lt;AU66,TRUE),IF(AND(AU66="",AT66&lt;&gt;""),TRUE))</formula>
    </cfRule>
    <cfRule type="expression" dxfId="1532" priority="2804">
      <formula>IF(AT66&gt;=AU66,IF(AT66="",FALSE,TRUE))</formula>
    </cfRule>
  </conditionalFormatting>
  <conditionalFormatting sqref="AR66">
    <cfRule type="expression" dxfId="1531" priority="2805">
      <formula>OR(IF(AR66&lt;AS66,TRUE),IF(AND(AS66="",AR66&lt;&gt;""),TRUE))</formula>
    </cfRule>
    <cfRule type="expression" dxfId="1530" priority="2806">
      <formula>IF(AR66&gt;=AS66,IF(AR66="",FALSE,TRUE))</formula>
    </cfRule>
  </conditionalFormatting>
  <conditionalFormatting sqref="AT67">
    <cfRule type="expression" dxfId="1529" priority="2799">
      <formula>OR(IF(AT67&lt;AU67,TRUE),IF(AND(AU67="",AT67&lt;&gt;""),TRUE))</formula>
    </cfRule>
    <cfRule type="expression" dxfId="1528" priority="2800">
      <formula>IF(AT67&gt;=AU67,IF(AT67="",FALSE,TRUE))</formula>
    </cfRule>
  </conditionalFormatting>
  <conditionalFormatting sqref="AR67">
    <cfRule type="expression" dxfId="1527" priority="2801">
      <formula>OR(IF(AR67&lt;AS67,TRUE),IF(AND(AS67="",AR67&lt;&gt;""),TRUE))</formula>
    </cfRule>
    <cfRule type="expression" dxfId="1526" priority="2802">
      <formula>IF(AR67&gt;=AS67,IF(AR67="",FALSE,TRUE))</formula>
    </cfRule>
  </conditionalFormatting>
  <conditionalFormatting sqref="AT68">
    <cfRule type="expression" dxfId="1525" priority="2795">
      <formula>OR(IF(AT68&lt;AU68,TRUE),IF(AND(AU68="",AT68&lt;&gt;""),TRUE))</formula>
    </cfRule>
    <cfRule type="expression" dxfId="1524" priority="2796">
      <formula>IF(AT68&gt;=AU68,IF(AT68="",FALSE,TRUE))</formula>
    </cfRule>
  </conditionalFormatting>
  <conditionalFormatting sqref="AR68">
    <cfRule type="expression" dxfId="1523" priority="2797">
      <formula>OR(IF(AR68&lt;AS68,TRUE),IF(AND(AS68="",AR68&lt;&gt;""),TRUE))</formula>
    </cfRule>
    <cfRule type="expression" dxfId="1522" priority="2798">
      <formula>IF(AR68&gt;=AS68,IF(AR68="",FALSE,TRUE))</formula>
    </cfRule>
  </conditionalFormatting>
  <conditionalFormatting sqref="AT69">
    <cfRule type="expression" dxfId="1521" priority="2791">
      <formula>OR(IF(AT69&lt;AU69,TRUE),IF(AND(AU69="",AT69&lt;&gt;""),TRUE))</formula>
    </cfRule>
    <cfRule type="expression" dxfId="1520" priority="2792">
      <formula>IF(AT69&gt;=AU69,IF(AT69="",FALSE,TRUE))</formula>
    </cfRule>
  </conditionalFormatting>
  <conditionalFormatting sqref="AR69">
    <cfRule type="expression" dxfId="1519" priority="2793">
      <formula>OR(IF(AR69&lt;AS69,TRUE),IF(AND(AS69="",AR69&lt;&gt;""),TRUE))</formula>
    </cfRule>
    <cfRule type="expression" dxfId="1518" priority="2794">
      <formula>IF(AR69&gt;=AS69,IF(AR69="",FALSE,TRUE))</formula>
    </cfRule>
  </conditionalFormatting>
  <conditionalFormatting sqref="AT70">
    <cfRule type="expression" dxfId="1517" priority="2787">
      <formula>OR(IF(AT70&lt;AU70,TRUE),IF(AND(AU70="",AT70&lt;&gt;""),TRUE))</formula>
    </cfRule>
    <cfRule type="expression" dxfId="1516" priority="2788">
      <formula>IF(AT70&gt;=AU70,IF(AT70="",FALSE,TRUE))</formula>
    </cfRule>
  </conditionalFormatting>
  <conditionalFormatting sqref="AR70">
    <cfRule type="expression" dxfId="1515" priority="2789">
      <formula>OR(IF(AR70&lt;AS70,TRUE),IF(AND(AS70="",AR70&lt;&gt;""),TRUE))</formula>
    </cfRule>
    <cfRule type="expression" dxfId="1514" priority="2790">
      <formula>IF(AR70&gt;=AS70,IF(AR70="",FALSE,TRUE))</formula>
    </cfRule>
  </conditionalFormatting>
  <conditionalFormatting sqref="AT71">
    <cfRule type="expression" dxfId="1513" priority="2783">
      <formula>OR(IF(AT71&lt;AU71,TRUE),IF(AND(AU71="",AT71&lt;&gt;""),TRUE))</formula>
    </cfRule>
    <cfRule type="expression" dxfId="1512" priority="2784">
      <formula>IF(AT71&gt;=AU71,IF(AT71="",FALSE,TRUE))</formula>
    </cfRule>
  </conditionalFormatting>
  <conditionalFormatting sqref="AR71">
    <cfRule type="expression" dxfId="1511" priority="2785">
      <formula>OR(IF(AR71&lt;AS71,TRUE),IF(AND(AS71="",AR71&lt;&gt;""),TRUE))</formula>
    </cfRule>
    <cfRule type="expression" dxfId="1510" priority="2786">
      <formula>IF(AR71&gt;=AS71,IF(AR71="",FALSE,TRUE))</formula>
    </cfRule>
  </conditionalFormatting>
  <conditionalFormatting sqref="AT72">
    <cfRule type="expression" dxfId="1509" priority="2779">
      <formula>OR(IF(AT72&lt;AU72,TRUE),IF(AND(AU72="",AT72&lt;&gt;""),TRUE))</formula>
    </cfRule>
    <cfRule type="expression" dxfId="1508" priority="2780">
      <formula>IF(AT72&gt;=AU72,IF(AT72="",FALSE,TRUE))</formula>
    </cfRule>
  </conditionalFormatting>
  <conditionalFormatting sqref="AR72">
    <cfRule type="expression" dxfId="1507" priority="2781">
      <formula>OR(IF(AR72&lt;AS72,TRUE),IF(AND(AS72="",AR72&lt;&gt;""),TRUE))</formula>
    </cfRule>
    <cfRule type="expression" dxfId="1506" priority="2782">
      <formula>IF(AR72&gt;=AS72,IF(AR72="",FALSE,TRUE))</formula>
    </cfRule>
  </conditionalFormatting>
  <conditionalFormatting sqref="AT73">
    <cfRule type="expression" dxfId="1505" priority="2775">
      <formula>OR(IF(AT73&lt;AU73,TRUE),IF(AND(AU73="",AT73&lt;&gt;""),TRUE))</formula>
    </cfRule>
    <cfRule type="expression" dxfId="1504" priority="2776">
      <formula>IF(AT73&gt;=AU73,IF(AT73="",FALSE,TRUE))</formula>
    </cfRule>
  </conditionalFormatting>
  <conditionalFormatting sqref="AR73">
    <cfRule type="expression" dxfId="1503" priority="2777">
      <formula>OR(IF(AR73&lt;AS73,TRUE),IF(AND(AS73="",AR73&lt;&gt;""),TRUE))</formula>
    </cfRule>
    <cfRule type="expression" dxfId="1502" priority="2778">
      <formula>IF(AR73&gt;=AS73,IF(AR73="",FALSE,TRUE))</formula>
    </cfRule>
  </conditionalFormatting>
  <conditionalFormatting sqref="AT74">
    <cfRule type="expression" dxfId="1501" priority="2771">
      <formula>OR(IF(AT74&lt;AU74,TRUE),IF(AND(AU74="",AT74&lt;&gt;""),TRUE))</formula>
    </cfRule>
    <cfRule type="expression" dxfId="1500" priority="2772">
      <formula>IF(AT74&gt;=AU74,IF(AT74="",FALSE,TRUE))</formula>
    </cfRule>
  </conditionalFormatting>
  <conditionalFormatting sqref="AR74">
    <cfRule type="expression" dxfId="1499" priority="2773">
      <formula>OR(IF(AR74&lt;AS74,TRUE),IF(AND(AS74="",AR74&lt;&gt;""),TRUE))</formula>
    </cfRule>
    <cfRule type="expression" dxfId="1498" priority="2774">
      <formula>IF(AR74&gt;=AS74,IF(AR74="",FALSE,TRUE))</formula>
    </cfRule>
  </conditionalFormatting>
  <conditionalFormatting sqref="AT75">
    <cfRule type="expression" dxfId="1497" priority="2767">
      <formula>OR(IF(AT75&lt;AU75,TRUE),IF(AND(AU75="",AT75&lt;&gt;""),TRUE))</formula>
    </cfRule>
    <cfRule type="expression" dxfId="1496" priority="2768">
      <formula>IF(AT75&gt;=AU75,IF(AT75="",FALSE,TRUE))</formula>
    </cfRule>
  </conditionalFormatting>
  <conditionalFormatting sqref="AR75">
    <cfRule type="expression" dxfId="1495" priority="2769">
      <formula>OR(IF(AR75&lt;AS75,TRUE),IF(AND(AS75="",AR75&lt;&gt;""),TRUE))</formula>
    </cfRule>
    <cfRule type="expression" dxfId="1494" priority="2770">
      <formula>IF(AR75&gt;=AS75,IF(AR75="",FALSE,TRUE))</formula>
    </cfRule>
  </conditionalFormatting>
  <conditionalFormatting sqref="AT76">
    <cfRule type="expression" dxfId="1493" priority="2763">
      <formula>OR(IF(AT76&lt;AU76,TRUE),IF(AND(AU76="",AT76&lt;&gt;""),TRUE))</formula>
    </cfRule>
    <cfRule type="expression" dxfId="1492" priority="2764">
      <formula>IF(AT76&gt;=AU76,IF(AT76="",FALSE,TRUE))</formula>
    </cfRule>
  </conditionalFormatting>
  <conditionalFormatting sqref="AR76">
    <cfRule type="expression" dxfId="1491" priority="2765">
      <formula>OR(IF(AR76&lt;AS76,TRUE),IF(AND(AS76="",AR76&lt;&gt;""),TRUE))</formula>
    </cfRule>
    <cfRule type="expression" dxfId="1490" priority="2766">
      <formula>IF(AR76&gt;=AS76,IF(AR76="",FALSE,TRUE))</formula>
    </cfRule>
  </conditionalFormatting>
  <conditionalFormatting sqref="AY52:AY53">
    <cfRule type="expression" dxfId="1489" priority="2761">
      <formula>OR(IF(AY52&lt;AZ52,TRUE),IF(AND(AZ52="",AY52&lt;&gt;""),TRUE))</formula>
    </cfRule>
    <cfRule type="expression" dxfId="1488" priority="2762">
      <formula>IF(AY52&gt;=AZ52,IF(AY52="",FALSE,TRUE))</formula>
    </cfRule>
  </conditionalFormatting>
  <conditionalFormatting sqref="BA54:BA63">
    <cfRule type="expression" dxfId="1487" priority="2755">
      <formula>OR(IF(BA54&lt;BB54,TRUE),IF(AND(BB54="",BA54&lt;&gt;""),TRUE))</formula>
    </cfRule>
    <cfRule type="expression" dxfId="1486" priority="2756">
      <formula>IF(BA54&gt;=BB54,IF(BA54="",FALSE,TRUE))</formula>
    </cfRule>
  </conditionalFormatting>
  <conditionalFormatting sqref="BA52:BA53">
    <cfRule type="expression" dxfId="1485" priority="2759">
      <formula>OR(IF(BA52&lt;BB52,TRUE),IF(AND(BB52="",BA52&lt;&gt;""),TRUE))</formula>
    </cfRule>
    <cfRule type="expression" dxfId="1484" priority="2760">
      <formula>IF(BA52&gt;=BB52,IF(BA52="",FALSE,TRUE))</formula>
    </cfRule>
  </conditionalFormatting>
  <conditionalFormatting sqref="AY54:AY63">
    <cfRule type="expression" dxfId="1483" priority="2757">
      <formula>OR(IF(AY54&lt;AZ54,TRUE),IF(AND(AZ54="",AY54&lt;&gt;""),TRUE))</formula>
    </cfRule>
    <cfRule type="expression" dxfId="1482" priority="2758">
      <formula>IF(AY54&gt;=AZ54,IF(AY54="",FALSE,TRUE))</formula>
    </cfRule>
  </conditionalFormatting>
  <conditionalFormatting sqref="BA64">
    <cfRule type="expression" dxfId="1481" priority="2751">
      <formula>OR(IF(BA64&lt;BB64,TRUE),IF(AND(BB64="",BA64&lt;&gt;""),TRUE))</formula>
    </cfRule>
    <cfRule type="expression" dxfId="1480" priority="2752">
      <formula>IF(BA64&gt;=BB64,IF(BA64="",FALSE,TRUE))</formula>
    </cfRule>
  </conditionalFormatting>
  <conditionalFormatting sqref="AY64">
    <cfRule type="expression" dxfId="1479" priority="2753">
      <formula>OR(IF(AY64&lt;AZ64,TRUE),IF(AND(AZ64="",AY64&lt;&gt;""),TRUE))</formula>
    </cfRule>
    <cfRule type="expression" dxfId="1478" priority="2754">
      <formula>IF(AY64&gt;=AZ64,IF(AY64="",FALSE,TRUE))</formula>
    </cfRule>
  </conditionalFormatting>
  <conditionalFormatting sqref="BA65">
    <cfRule type="expression" dxfId="1477" priority="2747">
      <formula>OR(IF(BA65&lt;BB65,TRUE),IF(AND(BB65="",BA65&lt;&gt;""),TRUE))</formula>
    </cfRule>
    <cfRule type="expression" dxfId="1476" priority="2748">
      <formula>IF(BA65&gt;=BB65,IF(BA65="",FALSE,TRUE))</formula>
    </cfRule>
  </conditionalFormatting>
  <conditionalFormatting sqref="AY65">
    <cfRule type="expression" dxfId="1475" priority="2749">
      <formula>OR(IF(AY65&lt;AZ65,TRUE),IF(AND(AZ65="",AY65&lt;&gt;""),TRUE))</formula>
    </cfRule>
    <cfRule type="expression" dxfId="1474" priority="2750">
      <formula>IF(AY65&gt;=AZ65,IF(AY65="",FALSE,TRUE))</formula>
    </cfRule>
  </conditionalFormatting>
  <conditionalFormatting sqref="BA66">
    <cfRule type="expression" dxfId="1473" priority="2743">
      <formula>OR(IF(BA66&lt;BB66,TRUE),IF(AND(BB66="",BA66&lt;&gt;""),TRUE))</formula>
    </cfRule>
    <cfRule type="expression" dxfId="1472" priority="2744">
      <formula>IF(BA66&gt;=BB66,IF(BA66="",FALSE,TRUE))</formula>
    </cfRule>
  </conditionalFormatting>
  <conditionalFormatting sqref="AY66">
    <cfRule type="expression" dxfId="1471" priority="2745">
      <formula>OR(IF(AY66&lt;AZ66,TRUE),IF(AND(AZ66="",AY66&lt;&gt;""),TRUE))</formula>
    </cfRule>
    <cfRule type="expression" dxfId="1470" priority="2746">
      <formula>IF(AY66&gt;=AZ66,IF(AY66="",FALSE,TRUE))</formula>
    </cfRule>
  </conditionalFormatting>
  <conditionalFormatting sqref="BA67">
    <cfRule type="expression" dxfId="1469" priority="2739">
      <formula>OR(IF(BA67&lt;BB67,TRUE),IF(AND(BB67="",BA67&lt;&gt;""),TRUE))</formula>
    </cfRule>
    <cfRule type="expression" dxfId="1468" priority="2740">
      <formula>IF(BA67&gt;=BB67,IF(BA67="",FALSE,TRUE))</formula>
    </cfRule>
  </conditionalFormatting>
  <conditionalFormatting sqref="AY67">
    <cfRule type="expression" dxfId="1467" priority="2741">
      <formula>OR(IF(AY67&lt;AZ67,TRUE),IF(AND(AZ67="",AY67&lt;&gt;""),TRUE))</formula>
    </cfRule>
    <cfRule type="expression" dxfId="1466" priority="2742">
      <formula>IF(AY67&gt;=AZ67,IF(AY67="",FALSE,TRUE))</formula>
    </cfRule>
  </conditionalFormatting>
  <conditionalFormatting sqref="BA68">
    <cfRule type="expression" dxfId="1465" priority="2735">
      <formula>OR(IF(BA68&lt;BB68,TRUE),IF(AND(BB68="",BA68&lt;&gt;""),TRUE))</formula>
    </cfRule>
    <cfRule type="expression" dxfId="1464" priority="2736">
      <formula>IF(BA68&gt;=BB68,IF(BA68="",FALSE,TRUE))</formula>
    </cfRule>
  </conditionalFormatting>
  <conditionalFormatting sqref="AY68">
    <cfRule type="expression" dxfId="1463" priority="2737">
      <formula>OR(IF(AY68&lt;AZ68,TRUE),IF(AND(AZ68="",AY68&lt;&gt;""),TRUE))</formula>
    </cfRule>
    <cfRule type="expression" dxfId="1462" priority="2738">
      <formula>IF(AY68&gt;=AZ68,IF(AY68="",FALSE,TRUE))</formula>
    </cfRule>
  </conditionalFormatting>
  <conditionalFormatting sqref="BA69">
    <cfRule type="expression" dxfId="1461" priority="2731">
      <formula>OR(IF(BA69&lt;BB69,TRUE),IF(AND(BB69="",BA69&lt;&gt;""),TRUE))</formula>
    </cfRule>
    <cfRule type="expression" dxfId="1460" priority="2732">
      <formula>IF(BA69&gt;=BB69,IF(BA69="",FALSE,TRUE))</formula>
    </cfRule>
  </conditionalFormatting>
  <conditionalFormatting sqref="AY69">
    <cfRule type="expression" dxfId="1459" priority="2733">
      <formula>OR(IF(AY69&lt;AZ69,TRUE),IF(AND(AZ69="",AY69&lt;&gt;""),TRUE))</formula>
    </cfRule>
    <cfRule type="expression" dxfId="1458" priority="2734">
      <formula>IF(AY69&gt;=AZ69,IF(AY69="",FALSE,TRUE))</formula>
    </cfRule>
  </conditionalFormatting>
  <conditionalFormatting sqref="BA70">
    <cfRule type="expression" dxfId="1457" priority="2727">
      <formula>OR(IF(BA70&lt;BB70,TRUE),IF(AND(BB70="",BA70&lt;&gt;""),TRUE))</formula>
    </cfRule>
    <cfRule type="expression" dxfId="1456" priority="2728">
      <formula>IF(BA70&gt;=BB70,IF(BA70="",FALSE,TRUE))</formula>
    </cfRule>
  </conditionalFormatting>
  <conditionalFormatting sqref="AY70">
    <cfRule type="expression" dxfId="1455" priority="2729">
      <formula>OR(IF(AY70&lt;AZ70,TRUE),IF(AND(AZ70="",AY70&lt;&gt;""),TRUE))</formula>
    </cfRule>
    <cfRule type="expression" dxfId="1454" priority="2730">
      <formula>IF(AY70&gt;=AZ70,IF(AY70="",FALSE,TRUE))</formula>
    </cfRule>
  </conditionalFormatting>
  <conditionalFormatting sqref="BA71">
    <cfRule type="expression" dxfId="1453" priority="2723">
      <formula>OR(IF(BA71&lt;BB71,TRUE),IF(AND(BB71="",BA71&lt;&gt;""),TRUE))</formula>
    </cfRule>
    <cfRule type="expression" dxfId="1452" priority="2724">
      <formula>IF(BA71&gt;=BB71,IF(BA71="",FALSE,TRUE))</formula>
    </cfRule>
  </conditionalFormatting>
  <conditionalFormatting sqref="AY71">
    <cfRule type="expression" dxfId="1451" priority="2725">
      <formula>OR(IF(AY71&lt;AZ71,TRUE),IF(AND(AZ71="",AY71&lt;&gt;""),TRUE))</formula>
    </cfRule>
    <cfRule type="expression" dxfId="1450" priority="2726">
      <formula>IF(AY71&gt;=AZ71,IF(AY71="",FALSE,TRUE))</formula>
    </cfRule>
  </conditionalFormatting>
  <conditionalFormatting sqref="BA72">
    <cfRule type="expression" dxfId="1449" priority="2719">
      <formula>OR(IF(BA72&lt;BB72,TRUE),IF(AND(BB72="",BA72&lt;&gt;""),TRUE))</formula>
    </cfRule>
    <cfRule type="expression" dxfId="1448" priority="2720">
      <formula>IF(BA72&gt;=BB72,IF(BA72="",FALSE,TRUE))</formula>
    </cfRule>
  </conditionalFormatting>
  <conditionalFormatting sqref="AY72">
    <cfRule type="expression" dxfId="1447" priority="2721">
      <formula>OR(IF(AY72&lt;AZ72,TRUE),IF(AND(AZ72="",AY72&lt;&gt;""),TRUE))</formula>
    </cfRule>
    <cfRule type="expression" dxfId="1446" priority="2722">
      <formula>IF(AY72&gt;=AZ72,IF(AY72="",FALSE,TRUE))</formula>
    </cfRule>
  </conditionalFormatting>
  <conditionalFormatting sqref="BA73">
    <cfRule type="expression" dxfId="1445" priority="2715">
      <formula>OR(IF(BA73&lt;BB73,TRUE),IF(AND(BB73="",BA73&lt;&gt;""),TRUE))</formula>
    </cfRule>
    <cfRule type="expression" dxfId="1444" priority="2716">
      <formula>IF(BA73&gt;=BB73,IF(BA73="",FALSE,TRUE))</formula>
    </cfRule>
  </conditionalFormatting>
  <conditionalFormatting sqref="AY73">
    <cfRule type="expression" dxfId="1443" priority="2717">
      <formula>OR(IF(AY73&lt;AZ73,TRUE),IF(AND(AZ73="",AY73&lt;&gt;""),TRUE))</formula>
    </cfRule>
    <cfRule type="expression" dxfId="1442" priority="2718">
      <formula>IF(AY73&gt;=AZ73,IF(AY73="",FALSE,TRUE))</formula>
    </cfRule>
  </conditionalFormatting>
  <conditionalFormatting sqref="BA74">
    <cfRule type="expression" dxfId="1441" priority="2711">
      <formula>OR(IF(BA74&lt;BB74,TRUE),IF(AND(BB74="",BA74&lt;&gt;""),TRUE))</formula>
    </cfRule>
    <cfRule type="expression" dxfId="1440" priority="2712">
      <formula>IF(BA74&gt;=BB74,IF(BA74="",FALSE,TRUE))</formula>
    </cfRule>
  </conditionalFormatting>
  <conditionalFormatting sqref="AY74">
    <cfRule type="expression" dxfId="1439" priority="2713">
      <formula>OR(IF(AY74&lt;AZ74,TRUE),IF(AND(AZ74="",AY74&lt;&gt;""),TRUE))</formula>
    </cfRule>
    <cfRule type="expression" dxfId="1438" priority="2714">
      <formula>IF(AY74&gt;=AZ74,IF(AY74="",FALSE,TRUE))</formula>
    </cfRule>
  </conditionalFormatting>
  <conditionalFormatting sqref="BA75">
    <cfRule type="expression" dxfId="1437" priority="2707">
      <formula>OR(IF(BA75&lt;BB75,TRUE),IF(AND(BB75="",BA75&lt;&gt;""),TRUE))</formula>
    </cfRule>
    <cfRule type="expression" dxfId="1436" priority="2708">
      <formula>IF(BA75&gt;=BB75,IF(BA75="",FALSE,TRUE))</formula>
    </cfRule>
  </conditionalFormatting>
  <conditionalFormatting sqref="AY75">
    <cfRule type="expression" dxfId="1435" priority="2709">
      <formula>OR(IF(AY75&lt;AZ75,TRUE),IF(AND(AZ75="",AY75&lt;&gt;""),TRUE))</formula>
    </cfRule>
    <cfRule type="expression" dxfId="1434" priority="2710">
      <formula>IF(AY75&gt;=AZ75,IF(AY75="",FALSE,TRUE))</formula>
    </cfRule>
  </conditionalFormatting>
  <conditionalFormatting sqref="BA76">
    <cfRule type="expression" dxfId="1433" priority="2703">
      <formula>OR(IF(BA76&lt;BB76,TRUE),IF(AND(BB76="",BA76&lt;&gt;""),TRUE))</formula>
    </cfRule>
    <cfRule type="expression" dxfId="1432" priority="2704">
      <formula>IF(BA76&gt;=BB76,IF(BA76="",FALSE,TRUE))</formula>
    </cfRule>
  </conditionalFormatting>
  <conditionalFormatting sqref="AY76">
    <cfRule type="expression" dxfId="1431" priority="2705">
      <formula>OR(IF(AY76&lt;AZ76,TRUE),IF(AND(AZ76="",AY76&lt;&gt;""),TRUE))</formula>
    </cfRule>
    <cfRule type="expression" dxfId="1430" priority="2706">
      <formula>IF(AY76&gt;=AZ76,IF(AY76="",FALSE,TRUE))</formula>
    </cfRule>
  </conditionalFormatting>
  <conditionalFormatting sqref="BF52:BF53">
    <cfRule type="expression" dxfId="1429" priority="2701">
      <formula>OR(IF(BF52&lt;BG52,TRUE),IF(AND(BG52="",BF52&lt;&gt;""),TRUE))</formula>
    </cfRule>
    <cfRule type="expression" dxfId="1428" priority="2702">
      <formula>IF(BF52&gt;=BG52,IF(BF52="",FALSE,TRUE))</formula>
    </cfRule>
  </conditionalFormatting>
  <conditionalFormatting sqref="BH54:BH63">
    <cfRule type="expression" dxfId="1427" priority="2695">
      <formula>OR(IF(BH54&lt;BI54,TRUE),IF(AND(BI54="",BH54&lt;&gt;""),TRUE))</formula>
    </cfRule>
    <cfRule type="expression" dxfId="1426" priority="2696">
      <formula>IF(BH54&gt;=BI54,IF(BH54="",FALSE,TRUE))</formula>
    </cfRule>
  </conditionalFormatting>
  <conditionalFormatting sqref="BH52:BH53">
    <cfRule type="expression" dxfId="1425" priority="2699">
      <formula>OR(IF(BH52&lt;BI52,TRUE),IF(AND(BI52="",BH52&lt;&gt;""),TRUE))</formula>
    </cfRule>
    <cfRule type="expression" dxfId="1424" priority="2700">
      <formula>IF(BH52&gt;=BI52,IF(BH52="",FALSE,TRUE))</formula>
    </cfRule>
  </conditionalFormatting>
  <conditionalFormatting sqref="BF54:BF63">
    <cfRule type="expression" dxfId="1423" priority="2697">
      <formula>OR(IF(BF54&lt;BG54,TRUE),IF(AND(BG54="",BF54&lt;&gt;""),TRUE))</formula>
    </cfRule>
    <cfRule type="expression" dxfId="1422" priority="2698">
      <formula>IF(BF54&gt;=BG54,IF(BF54="",FALSE,TRUE))</formula>
    </cfRule>
  </conditionalFormatting>
  <conditionalFormatting sqref="BH64">
    <cfRule type="expression" dxfId="1421" priority="2691">
      <formula>OR(IF(BH64&lt;BI64,TRUE),IF(AND(BI64="",BH64&lt;&gt;""),TRUE))</formula>
    </cfRule>
    <cfRule type="expression" dxfId="1420" priority="2692">
      <formula>IF(BH64&gt;=BI64,IF(BH64="",FALSE,TRUE))</formula>
    </cfRule>
  </conditionalFormatting>
  <conditionalFormatting sqref="BF64">
    <cfRule type="expression" dxfId="1419" priority="2693">
      <formula>OR(IF(BF64&lt;BG64,TRUE),IF(AND(BG64="",BF64&lt;&gt;""),TRUE))</formula>
    </cfRule>
    <cfRule type="expression" dxfId="1418" priority="2694">
      <formula>IF(BF64&gt;=BG64,IF(BF64="",FALSE,TRUE))</formula>
    </cfRule>
  </conditionalFormatting>
  <conditionalFormatting sqref="BH65">
    <cfRule type="expression" dxfId="1417" priority="2687">
      <formula>OR(IF(BH65&lt;BI65,TRUE),IF(AND(BI65="",BH65&lt;&gt;""),TRUE))</formula>
    </cfRule>
    <cfRule type="expression" dxfId="1416" priority="2688">
      <formula>IF(BH65&gt;=BI65,IF(BH65="",FALSE,TRUE))</formula>
    </cfRule>
  </conditionalFormatting>
  <conditionalFormatting sqref="BF65">
    <cfRule type="expression" dxfId="1415" priority="2689">
      <formula>OR(IF(BF65&lt;BG65,TRUE),IF(AND(BG65="",BF65&lt;&gt;""),TRUE))</formula>
    </cfRule>
    <cfRule type="expression" dxfId="1414" priority="2690">
      <formula>IF(BF65&gt;=BG65,IF(BF65="",FALSE,TRUE))</formula>
    </cfRule>
  </conditionalFormatting>
  <conditionalFormatting sqref="BH66">
    <cfRule type="expression" dxfId="1413" priority="2683">
      <formula>OR(IF(BH66&lt;BI66,TRUE),IF(AND(BI66="",BH66&lt;&gt;""),TRUE))</formula>
    </cfRule>
    <cfRule type="expression" dxfId="1412" priority="2684">
      <formula>IF(BH66&gt;=BI66,IF(BH66="",FALSE,TRUE))</formula>
    </cfRule>
  </conditionalFormatting>
  <conditionalFormatting sqref="BF66">
    <cfRule type="expression" dxfId="1411" priority="2685">
      <formula>OR(IF(BF66&lt;BG66,TRUE),IF(AND(BG66="",BF66&lt;&gt;""),TRUE))</formula>
    </cfRule>
    <cfRule type="expression" dxfId="1410" priority="2686">
      <formula>IF(BF66&gt;=BG66,IF(BF66="",FALSE,TRUE))</formula>
    </cfRule>
  </conditionalFormatting>
  <conditionalFormatting sqref="BH67">
    <cfRule type="expression" dxfId="1409" priority="2679">
      <formula>OR(IF(BH67&lt;BI67,TRUE),IF(AND(BI67="",BH67&lt;&gt;""),TRUE))</formula>
    </cfRule>
    <cfRule type="expression" dxfId="1408" priority="2680">
      <formula>IF(BH67&gt;=BI67,IF(BH67="",FALSE,TRUE))</formula>
    </cfRule>
  </conditionalFormatting>
  <conditionalFormatting sqref="BF67">
    <cfRule type="expression" dxfId="1407" priority="2681">
      <formula>OR(IF(BF67&lt;BG67,TRUE),IF(AND(BG67="",BF67&lt;&gt;""),TRUE))</formula>
    </cfRule>
    <cfRule type="expression" dxfId="1406" priority="2682">
      <formula>IF(BF67&gt;=BG67,IF(BF67="",FALSE,TRUE))</formula>
    </cfRule>
  </conditionalFormatting>
  <conditionalFormatting sqref="BH68">
    <cfRule type="expression" dxfId="1405" priority="2675">
      <formula>OR(IF(BH68&lt;BI68,TRUE),IF(AND(BI68="",BH68&lt;&gt;""),TRUE))</formula>
    </cfRule>
    <cfRule type="expression" dxfId="1404" priority="2676">
      <formula>IF(BH68&gt;=BI68,IF(BH68="",FALSE,TRUE))</formula>
    </cfRule>
  </conditionalFormatting>
  <conditionalFormatting sqref="BF68">
    <cfRule type="expression" dxfId="1403" priority="2677">
      <formula>OR(IF(BF68&lt;BG68,TRUE),IF(AND(BG68="",BF68&lt;&gt;""),TRUE))</formula>
    </cfRule>
    <cfRule type="expression" dxfId="1402" priority="2678">
      <formula>IF(BF68&gt;=BG68,IF(BF68="",FALSE,TRUE))</formula>
    </cfRule>
  </conditionalFormatting>
  <conditionalFormatting sqref="BH69">
    <cfRule type="expression" dxfId="1401" priority="2671">
      <formula>OR(IF(BH69&lt;BI69,TRUE),IF(AND(BI69="",BH69&lt;&gt;""),TRUE))</formula>
    </cfRule>
    <cfRule type="expression" dxfId="1400" priority="2672">
      <formula>IF(BH69&gt;=BI69,IF(BH69="",FALSE,TRUE))</formula>
    </cfRule>
  </conditionalFormatting>
  <conditionalFormatting sqref="BF69">
    <cfRule type="expression" dxfId="1399" priority="2673">
      <formula>OR(IF(BF69&lt;BG69,TRUE),IF(AND(BG69="",BF69&lt;&gt;""),TRUE))</formula>
    </cfRule>
    <cfRule type="expression" dxfId="1398" priority="2674">
      <formula>IF(BF69&gt;=BG69,IF(BF69="",FALSE,TRUE))</formula>
    </cfRule>
  </conditionalFormatting>
  <conditionalFormatting sqref="BH70">
    <cfRule type="expression" dxfId="1397" priority="2667">
      <formula>OR(IF(BH70&lt;BI70,TRUE),IF(AND(BI70="",BH70&lt;&gt;""),TRUE))</formula>
    </cfRule>
    <cfRule type="expression" dxfId="1396" priority="2668">
      <formula>IF(BH70&gt;=BI70,IF(BH70="",FALSE,TRUE))</formula>
    </cfRule>
  </conditionalFormatting>
  <conditionalFormatting sqref="BF70">
    <cfRule type="expression" dxfId="1395" priority="2669">
      <formula>OR(IF(BF70&lt;BG70,TRUE),IF(AND(BG70="",BF70&lt;&gt;""),TRUE))</formula>
    </cfRule>
    <cfRule type="expression" dxfId="1394" priority="2670">
      <formula>IF(BF70&gt;=BG70,IF(BF70="",FALSE,TRUE))</formula>
    </cfRule>
  </conditionalFormatting>
  <conditionalFormatting sqref="BH71">
    <cfRule type="expression" dxfId="1393" priority="2663">
      <formula>OR(IF(BH71&lt;BI71,TRUE),IF(AND(BI71="",BH71&lt;&gt;""),TRUE))</formula>
    </cfRule>
    <cfRule type="expression" dxfId="1392" priority="2664">
      <formula>IF(BH71&gt;=BI71,IF(BH71="",FALSE,TRUE))</formula>
    </cfRule>
  </conditionalFormatting>
  <conditionalFormatting sqref="BF71">
    <cfRule type="expression" dxfId="1391" priority="2665">
      <formula>OR(IF(BF71&lt;BG71,TRUE),IF(AND(BG71="",BF71&lt;&gt;""),TRUE))</formula>
    </cfRule>
    <cfRule type="expression" dxfId="1390" priority="2666">
      <formula>IF(BF71&gt;=BG71,IF(BF71="",FALSE,TRUE))</formula>
    </cfRule>
  </conditionalFormatting>
  <conditionalFormatting sqref="BH72">
    <cfRule type="expression" dxfId="1389" priority="2659">
      <formula>OR(IF(BH72&lt;BI72,TRUE),IF(AND(BI72="",BH72&lt;&gt;""),TRUE))</formula>
    </cfRule>
    <cfRule type="expression" dxfId="1388" priority="2660">
      <formula>IF(BH72&gt;=BI72,IF(BH72="",FALSE,TRUE))</formula>
    </cfRule>
  </conditionalFormatting>
  <conditionalFormatting sqref="BF72">
    <cfRule type="expression" dxfId="1387" priority="2661">
      <formula>OR(IF(BF72&lt;BG72,TRUE),IF(AND(BG72="",BF72&lt;&gt;""),TRUE))</formula>
    </cfRule>
    <cfRule type="expression" dxfId="1386" priority="2662">
      <formula>IF(BF72&gt;=BG72,IF(BF72="",FALSE,TRUE))</formula>
    </cfRule>
  </conditionalFormatting>
  <conditionalFormatting sqref="BH73">
    <cfRule type="expression" dxfId="1385" priority="2655">
      <formula>OR(IF(BH73&lt;BI73,TRUE),IF(AND(BI73="",BH73&lt;&gt;""),TRUE))</formula>
    </cfRule>
    <cfRule type="expression" dxfId="1384" priority="2656">
      <formula>IF(BH73&gt;=BI73,IF(BH73="",FALSE,TRUE))</formula>
    </cfRule>
  </conditionalFormatting>
  <conditionalFormatting sqref="BF73">
    <cfRule type="expression" dxfId="1383" priority="2657">
      <formula>OR(IF(BF73&lt;BG73,TRUE),IF(AND(BG73="",BF73&lt;&gt;""),TRUE))</formula>
    </cfRule>
    <cfRule type="expression" dxfId="1382" priority="2658">
      <formula>IF(BF73&gt;=BG73,IF(BF73="",FALSE,TRUE))</formula>
    </cfRule>
  </conditionalFormatting>
  <conditionalFormatting sqref="BH74">
    <cfRule type="expression" dxfId="1381" priority="2651">
      <formula>OR(IF(BH74&lt;BI74,TRUE),IF(AND(BI74="",BH74&lt;&gt;""),TRUE))</formula>
    </cfRule>
    <cfRule type="expression" dxfId="1380" priority="2652">
      <formula>IF(BH74&gt;=BI74,IF(BH74="",FALSE,TRUE))</formula>
    </cfRule>
  </conditionalFormatting>
  <conditionalFormatting sqref="BF74">
    <cfRule type="expression" dxfId="1379" priority="2653">
      <formula>OR(IF(BF74&lt;BG74,TRUE),IF(AND(BG74="",BF74&lt;&gt;""),TRUE))</formula>
    </cfRule>
    <cfRule type="expression" dxfId="1378" priority="2654">
      <formula>IF(BF74&gt;=BG74,IF(BF74="",FALSE,TRUE))</formula>
    </cfRule>
  </conditionalFormatting>
  <conditionalFormatting sqref="BH75">
    <cfRule type="expression" dxfId="1377" priority="2647">
      <formula>OR(IF(BH75&lt;BI75,TRUE),IF(AND(BI75="",BH75&lt;&gt;""),TRUE))</formula>
    </cfRule>
    <cfRule type="expression" dxfId="1376" priority="2648">
      <formula>IF(BH75&gt;=BI75,IF(BH75="",FALSE,TRUE))</formula>
    </cfRule>
  </conditionalFormatting>
  <conditionalFormatting sqref="BF75">
    <cfRule type="expression" dxfId="1375" priority="2649">
      <formula>OR(IF(BF75&lt;BG75,TRUE),IF(AND(BG75="",BF75&lt;&gt;""),TRUE))</formula>
    </cfRule>
    <cfRule type="expression" dxfId="1374" priority="2650">
      <formula>IF(BF75&gt;=BG75,IF(BF75="",FALSE,TRUE))</formula>
    </cfRule>
  </conditionalFormatting>
  <conditionalFormatting sqref="BH76">
    <cfRule type="expression" dxfId="1373" priority="2643">
      <formula>OR(IF(BH76&lt;BI76,TRUE),IF(AND(BI76="",BH76&lt;&gt;""),TRUE))</formula>
    </cfRule>
    <cfRule type="expression" dxfId="1372" priority="2644">
      <formula>IF(BH76&gt;=BI76,IF(BH76="",FALSE,TRUE))</formula>
    </cfRule>
  </conditionalFormatting>
  <conditionalFormatting sqref="BF76">
    <cfRule type="expression" dxfId="1371" priority="2645">
      <formula>OR(IF(BF76&lt;BG76,TRUE),IF(AND(BG76="",BF76&lt;&gt;""),TRUE))</formula>
    </cfRule>
    <cfRule type="expression" dxfId="1370" priority="2646">
      <formula>IF(BF76&gt;=BG76,IF(BF76="",FALSE,TRUE))</formula>
    </cfRule>
  </conditionalFormatting>
  <conditionalFormatting sqref="P52:P53">
    <cfRule type="expression" dxfId="1249" priority="2281">
      <formula>OR(IF(P52&lt;Q52,TRUE),IF(AND(Q52="",P52&lt;&gt;""),TRUE))</formula>
    </cfRule>
    <cfRule type="expression" dxfId="1248" priority="2282">
      <formula>IF(P52&gt;=Q52,IF(P52="",FALSE,TRUE))</formula>
    </cfRule>
  </conditionalFormatting>
  <conditionalFormatting sqref="R52:R53">
    <cfRule type="expression" dxfId="1247" priority="2279">
      <formula>OR(IF(R52&lt;S52,TRUE),IF(AND(S52="",R52&lt;&gt;""),TRUE))</formula>
    </cfRule>
    <cfRule type="expression" dxfId="1246" priority="2280">
      <formula>IF(R52&gt;=S52,IF(R52="",FALSE,TRUE))</formula>
    </cfRule>
  </conditionalFormatting>
  <conditionalFormatting sqref="R54:R63">
    <cfRule type="expression" dxfId="1245" priority="2275">
      <formula>OR(IF(R54&lt;S54,TRUE),IF(AND(S54="",R54&lt;&gt;""),TRUE))</formula>
    </cfRule>
    <cfRule type="expression" dxfId="1244" priority="2276">
      <formula>IF(R54&gt;=S54,IF(R54="",FALSE,TRUE))</formula>
    </cfRule>
  </conditionalFormatting>
  <conditionalFormatting sqref="P54:P63">
    <cfRule type="expression" dxfId="1243" priority="2277">
      <formula>OR(IF(P54&lt;Q54,TRUE),IF(AND(Q54="",P54&lt;&gt;""),TRUE))</formula>
    </cfRule>
    <cfRule type="expression" dxfId="1242" priority="2278">
      <formula>IF(P54&gt;=Q54,IF(P54="",FALSE,TRUE))</formula>
    </cfRule>
  </conditionalFormatting>
  <conditionalFormatting sqref="R64">
    <cfRule type="expression" dxfId="1241" priority="2271">
      <formula>OR(IF(R64&lt;S64,TRUE),IF(AND(S64="",R64&lt;&gt;""),TRUE))</formula>
    </cfRule>
    <cfRule type="expression" dxfId="1240" priority="2272">
      <formula>IF(R64&gt;=S64,IF(R64="",FALSE,TRUE))</formula>
    </cfRule>
  </conditionalFormatting>
  <conditionalFormatting sqref="P64">
    <cfRule type="expression" dxfId="1239" priority="2273">
      <formula>OR(IF(P64&lt;Q64,TRUE),IF(AND(Q64="",P64&lt;&gt;""),TRUE))</formula>
    </cfRule>
    <cfRule type="expression" dxfId="1238" priority="2274">
      <formula>IF(P64&gt;=Q64,IF(P64="",FALSE,TRUE))</formula>
    </cfRule>
  </conditionalFormatting>
  <conditionalFormatting sqref="R65">
    <cfRule type="expression" dxfId="1237" priority="2267">
      <formula>OR(IF(R65&lt;S65,TRUE),IF(AND(S65="",R65&lt;&gt;""),TRUE))</formula>
    </cfRule>
    <cfRule type="expression" dxfId="1236" priority="2268">
      <formula>IF(R65&gt;=S65,IF(R65="",FALSE,TRUE))</formula>
    </cfRule>
  </conditionalFormatting>
  <conditionalFormatting sqref="P65">
    <cfRule type="expression" dxfId="1235" priority="2269">
      <formula>OR(IF(P65&lt;Q65,TRUE),IF(AND(Q65="",P65&lt;&gt;""),TRUE))</formula>
    </cfRule>
    <cfRule type="expression" dxfId="1234" priority="2270">
      <formula>IF(P65&gt;=Q65,IF(P65="",FALSE,TRUE))</formula>
    </cfRule>
  </conditionalFormatting>
  <conditionalFormatting sqref="R66">
    <cfRule type="expression" dxfId="1233" priority="2263">
      <formula>OR(IF(R66&lt;S66,TRUE),IF(AND(S66="",R66&lt;&gt;""),TRUE))</formula>
    </cfRule>
    <cfRule type="expression" dxfId="1232" priority="2264">
      <formula>IF(R66&gt;=S66,IF(R66="",FALSE,TRUE))</formula>
    </cfRule>
  </conditionalFormatting>
  <conditionalFormatting sqref="P66">
    <cfRule type="expression" dxfId="1231" priority="2265">
      <formula>OR(IF(P66&lt;Q66,TRUE),IF(AND(Q66="",P66&lt;&gt;""),TRUE))</formula>
    </cfRule>
    <cfRule type="expression" dxfId="1230" priority="2266">
      <formula>IF(P66&gt;=Q66,IF(P66="",FALSE,TRUE))</formula>
    </cfRule>
  </conditionalFormatting>
  <conditionalFormatting sqref="R67">
    <cfRule type="expression" dxfId="1229" priority="2259">
      <formula>OR(IF(R67&lt;S67,TRUE),IF(AND(S67="",R67&lt;&gt;""),TRUE))</formula>
    </cfRule>
    <cfRule type="expression" dxfId="1228" priority="2260">
      <formula>IF(R67&gt;=S67,IF(R67="",FALSE,TRUE))</formula>
    </cfRule>
  </conditionalFormatting>
  <conditionalFormatting sqref="P67">
    <cfRule type="expression" dxfId="1227" priority="2261">
      <formula>OR(IF(P67&lt;Q67,TRUE),IF(AND(Q67="",P67&lt;&gt;""),TRUE))</formula>
    </cfRule>
    <cfRule type="expression" dxfId="1226" priority="2262">
      <formula>IF(P67&gt;=Q67,IF(P67="",FALSE,TRUE))</formula>
    </cfRule>
  </conditionalFormatting>
  <conditionalFormatting sqref="R68">
    <cfRule type="expression" dxfId="1225" priority="2255">
      <formula>OR(IF(R68&lt;S68,TRUE),IF(AND(S68="",R68&lt;&gt;""),TRUE))</formula>
    </cfRule>
    <cfRule type="expression" dxfId="1224" priority="2256">
      <formula>IF(R68&gt;=S68,IF(R68="",FALSE,TRUE))</formula>
    </cfRule>
  </conditionalFormatting>
  <conditionalFormatting sqref="P68">
    <cfRule type="expression" dxfId="1223" priority="2257">
      <formula>OR(IF(P68&lt;Q68,TRUE),IF(AND(Q68="",P68&lt;&gt;""),TRUE))</formula>
    </cfRule>
    <cfRule type="expression" dxfId="1222" priority="2258">
      <formula>IF(P68&gt;=Q68,IF(P68="",FALSE,TRUE))</formula>
    </cfRule>
  </conditionalFormatting>
  <conditionalFormatting sqref="R69">
    <cfRule type="expression" dxfId="1221" priority="2251">
      <formula>OR(IF(R69&lt;S69,TRUE),IF(AND(S69="",R69&lt;&gt;""),TRUE))</formula>
    </cfRule>
    <cfRule type="expression" dxfId="1220" priority="2252">
      <formula>IF(R69&gt;=S69,IF(R69="",FALSE,TRUE))</formula>
    </cfRule>
  </conditionalFormatting>
  <conditionalFormatting sqref="P69">
    <cfRule type="expression" dxfId="1219" priority="2253">
      <formula>OR(IF(P69&lt;Q69,TRUE),IF(AND(Q69="",P69&lt;&gt;""),TRUE))</formula>
    </cfRule>
    <cfRule type="expression" dxfId="1218" priority="2254">
      <formula>IF(P69&gt;=Q69,IF(P69="",FALSE,TRUE))</formula>
    </cfRule>
  </conditionalFormatting>
  <conditionalFormatting sqref="R70">
    <cfRule type="expression" dxfId="1217" priority="2247">
      <formula>OR(IF(R70&lt;S70,TRUE),IF(AND(S70="",R70&lt;&gt;""),TRUE))</formula>
    </cfRule>
    <cfRule type="expression" dxfId="1216" priority="2248">
      <formula>IF(R70&gt;=S70,IF(R70="",FALSE,TRUE))</formula>
    </cfRule>
  </conditionalFormatting>
  <conditionalFormatting sqref="P70">
    <cfRule type="expression" dxfId="1215" priority="2249">
      <formula>OR(IF(P70&lt;Q70,TRUE),IF(AND(Q70="",P70&lt;&gt;""),TRUE))</formula>
    </cfRule>
    <cfRule type="expression" dxfId="1214" priority="2250">
      <formula>IF(P70&gt;=Q70,IF(P70="",FALSE,TRUE))</formula>
    </cfRule>
  </conditionalFormatting>
  <conditionalFormatting sqref="R71">
    <cfRule type="expression" dxfId="1213" priority="2243">
      <formula>OR(IF(R71&lt;S71,TRUE),IF(AND(S71="",R71&lt;&gt;""),TRUE))</formula>
    </cfRule>
    <cfRule type="expression" dxfId="1212" priority="2244">
      <formula>IF(R71&gt;=S71,IF(R71="",FALSE,TRUE))</formula>
    </cfRule>
  </conditionalFormatting>
  <conditionalFormatting sqref="P71">
    <cfRule type="expression" dxfId="1211" priority="2245">
      <formula>OR(IF(P71&lt;Q71,TRUE),IF(AND(Q71="",P71&lt;&gt;""),TRUE))</formula>
    </cfRule>
    <cfRule type="expression" dxfId="1210" priority="2246">
      <formula>IF(P71&gt;=Q71,IF(P71="",FALSE,TRUE))</formula>
    </cfRule>
  </conditionalFormatting>
  <conditionalFormatting sqref="R72">
    <cfRule type="expression" dxfId="1209" priority="2239">
      <formula>OR(IF(R72&lt;S72,TRUE),IF(AND(S72="",R72&lt;&gt;""),TRUE))</formula>
    </cfRule>
    <cfRule type="expression" dxfId="1208" priority="2240">
      <formula>IF(R72&gt;=S72,IF(R72="",FALSE,TRUE))</formula>
    </cfRule>
  </conditionalFormatting>
  <conditionalFormatting sqref="P72">
    <cfRule type="expression" dxfId="1207" priority="2241">
      <formula>OR(IF(P72&lt;Q72,TRUE),IF(AND(Q72="",P72&lt;&gt;""),TRUE))</formula>
    </cfRule>
    <cfRule type="expression" dxfId="1206" priority="2242">
      <formula>IF(P72&gt;=Q72,IF(P72="",FALSE,TRUE))</formula>
    </cfRule>
  </conditionalFormatting>
  <conditionalFormatting sqref="R73">
    <cfRule type="expression" dxfId="1205" priority="2235">
      <formula>OR(IF(R73&lt;S73,TRUE),IF(AND(S73="",R73&lt;&gt;""),TRUE))</formula>
    </cfRule>
    <cfRule type="expression" dxfId="1204" priority="2236">
      <formula>IF(R73&gt;=S73,IF(R73="",FALSE,TRUE))</formula>
    </cfRule>
  </conditionalFormatting>
  <conditionalFormatting sqref="P73">
    <cfRule type="expression" dxfId="1203" priority="2237">
      <formula>OR(IF(P73&lt;Q73,TRUE),IF(AND(Q73="",P73&lt;&gt;""),TRUE))</formula>
    </cfRule>
    <cfRule type="expression" dxfId="1202" priority="2238">
      <formula>IF(P73&gt;=Q73,IF(P73="",FALSE,TRUE))</formula>
    </cfRule>
  </conditionalFormatting>
  <conditionalFormatting sqref="R74">
    <cfRule type="expression" dxfId="1201" priority="2231">
      <formula>OR(IF(R74&lt;S74,TRUE),IF(AND(S74="",R74&lt;&gt;""),TRUE))</formula>
    </cfRule>
    <cfRule type="expression" dxfId="1200" priority="2232">
      <formula>IF(R74&gt;=S74,IF(R74="",FALSE,TRUE))</formula>
    </cfRule>
  </conditionalFormatting>
  <conditionalFormatting sqref="P74">
    <cfRule type="expression" dxfId="1199" priority="2233">
      <formula>OR(IF(P74&lt;Q74,TRUE),IF(AND(Q74="",P74&lt;&gt;""),TRUE))</formula>
    </cfRule>
    <cfRule type="expression" dxfId="1198" priority="2234">
      <formula>IF(P74&gt;=Q74,IF(P74="",FALSE,TRUE))</formula>
    </cfRule>
  </conditionalFormatting>
  <conditionalFormatting sqref="R75">
    <cfRule type="expression" dxfId="1197" priority="2227">
      <formula>OR(IF(R75&lt;S75,TRUE),IF(AND(S75="",R75&lt;&gt;""),TRUE))</formula>
    </cfRule>
    <cfRule type="expression" dxfId="1196" priority="2228">
      <formula>IF(R75&gt;=S75,IF(R75="",FALSE,TRUE))</formula>
    </cfRule>
  </conditionalFormatting>
  <conditionalFormatting sqref="P75">
    <cfRule type="expression" dxfId="1195" priority="2229">
      <formula>OR(IF(P75&lt;Q75,TRUE),IF(AND(Q75="",P75&lt;&gt;""),TRUE))</formula>
    </cfRule>
    <cfRule type="expression" dxfId="1194" priority="2230">
      <formula>IF(P75&gt;=Q75,IF(P75="",FALSE,TRUE))</formula>
    </cfRule>
  </conditionalFormatting>
  <conditionalFormatting sqref="R76">
    <cfRule type="expression" dxfId="1193" priority="2223">
      <formula>OR(IF(R76&lt;S76,TRUE),IF(AND(S76="",R76&lt;&gt;""),TRUE))</formula>
    </cfRule>
    <cfRule type="expression" dxfId="1192" priority="2224">
      <formula>IF(R76&gt;=S76,IF(R76="",FALSE,TRUE))</formula>
    </cfRule>
  </conditionalFormatting>
  <conditionalFormatting sqref="P76">
    <cfRule type="expression" dxfId="1191" priority="2225">
      <formula>OR(IF(P76&lt;Q76,TRUE),IF(AND(Q76="",P76&lt;&gt;""),TRUE))</formula>
    </cfRule>
    <cfRule type="expression" dxfId="1190" priority="2226">
      <formula>IF(P76&gt;=Q76,IF(P76="",FALSE,TRUE))</formula>
    </cfRule>
  </conditionalFormatting>
  <conditionalFormatting sqref="W52:W53">
    <cfRule type="expression" dxfId="1189" priority="2221">
      <formula>OR(IF(W52&lt;X52,TRUE),IF(AND(X52="",W52&lt;&gt;""),TRUE))</formula>
    </cfRule>
    <cfRule type="expression" dxfId="1188" priority="2222">
      <formula>IF(W52&gt;=X52,IF(W52="",FALSE,TRUE))</formula>
    </cfRule>
  </conditionalFormatting>
  <conditionalFormatting sqref="Y52:Y53">
    <cfRule type="expression" dxfId="1187" priority="2219">
      <formula>OR(IF(Y52&lt;Z52,TRUE),IF(AND(Z52="",Y52&lt;&gt;""),TRUE))</formula>
    </cfRule>
    <cfRule type="expression" dxfId="1186" priority="2220">
      <formula>IF(Y52&gt;=Z52,IF(Y52="",FALSE,TRUE))</formula>
    </cfRule>
  </conditionalFormatting>
  <conditionalFormatting sqref="Y54:Y63">
    <cfRule type="expression" dxfId="1185" priority="2215">
      <formula>OR(IF(Y54&lt;Z54,TRUE),IF(AND(Z54="",Y54&lt;&gt;""),TRUE))</formula>
    </cfRule>
    <cfRule type="expression" dxfId="1184" priority="2216">
      <formula>IF(Y54&gt;=Z54,IF(Y54="",FALSE,TRUE))</formula>
    </cfRule>
  </conditionalFormatting>
  <conditionalFormatting sqref="W54:W63">
    <cfRule type="expression" dxfId="1183" priority="2217">
      <formula>OR(IF(W54&lt;X54,TRUE),IF(AND(X54="",W54&lt;&gt;""),TRUE))</formula>
    </cfRule>
    <cfRule type="expression" dxfId="1182" priority="2218">
      <formula>IF(W54&gt;=X54,IF(W54="",FALSE,TRUE))</formula>
    </cfRule>
  </conditionalFormatting>
  <conditionalFormatting sqref="Y64">
    <cfRule type="expression" dxfId="1181" priority="2211">
      <formula>OR(IF(Y64&lt;Z64,TRUE),IF(AND(Z64="",Y64&lt;&gt;""),TRUE))</formula>
    </cfRule>
    <cfRule type="expression" dxfId="1180" priority="2212">
      <formula>IF(Y64&gt;=Z64,IF(Y64="",FALSE,TRUE))</formula>
    </cfRule>
  </conditionalFormatting>
  <conditionalFormatting sqref="W64">
    <cfRule type="expression" dxfId="1179" priority="2213">
      <formula>OR(IF(W64&lt;X64,TRUE),IF(AND(X64="",W64&lt;&gt;""),TRUE))</formula>
    </cfRule>
    <cfRule type="expression" dxfId="1178" priority="2214">
      <formula>IF(W64&gt;=X64,IF(W64="",FALSE,TRUE))</formula>
    </cfRule>
  </conditionalFormatting>
  <conditionalFormatting sqref="Y65">
    <cfRule type="expression" dxfId="1177" priority="2207">
      <formula>OR(IF(Y65&lt;Z65,TRUE),IF(AND(Z65="",Y65&lt;&gt;""),TRUE))</formula>
    </cfRule>
    <cfRule type="expression" dxfId="1176" priority="2208">
      <formula>IF(Y65&gt;=Z65,IF(Y65="",FALSE,TRUE))</formula>
    </cfRule>
  </conditionalFormatting>
  <conditionalFormatting sqref="W65">
    <cfRule type="expression" dxfId="1175" priority="2209">
      <formula>OR(IF(W65&lt;X65,TRUE),IF(AND(X65="",W65&lt;&gt;""),TRUE))</formula>
    </cfRule>
    <cfRule type="expression" dxfId="1174" priority="2210">
      <formula>IF(W65&gt;=X65,IF(W65="",FALSE,TRUE))</formula>
    </cfRule>
  </conditionalFormatting>
  <conditionalFormatting sqref="Y66">
    <cfRule type="expression" dxfId="1173" priority="2203">
      <formula>OR(IF(Y66&lt;Z66,TRUE),IF(AND(Z66="",Y66&lt;&gt;""),TRUE))</formula>
    </cfRule>
    <cfRule type="expression" dxfId="1172" priority="2204">
      <formula>IF(Y66&gt;=Z66,IF(Y66="",FALSE,TRUE))</formula>
    </cfRule>
  </conditionalFormatting>
  <conditionalFormatting sqref="W66">
    <cfRule type="expression" dxfId="1171" priority="2205">
      <formula>OR(IF(W66&lt;X66,TRUE),IF(AND(X66="",W66&lt;&gt;""),TRUE))</formula>
    </cfRule>
    <cfRule type="expression" dxfId="1170" priority="2206">
      <formula>IF(W66&gt;=X66,IF(W66="",FALSE,TRUE))</formula>
    </cfRule>
  </conditionalFormatting>
  <conditionalFormatting sqref="Y67">
    <cfRule type="expression" dxfId="1169" priority="2199">
      <formula>OR(IF(Y67&lt;Z67,TRUE),IF(AND(Z67="",Y67&lt;&gt;""),TRUE))</formula>
    </cfRule>
    <cfRule type="expression" dxfId="1168" priority="2200">
      <formula>IF(Y67&gt;=Z67,IF(Y67="",FALSE,TRUE))</formula>
    </cfRule>
  </conditionalFormatting>
  <conditionalFormatting sqref="W67">
    <cfRule type="expression" dxfId="1167" priority="2201">
      <formula>OR(IF(W67&lt;X67,TRUE),IF(AND(X67="",W67&lt;&gt;""),TRUE))</formula>
    </cfRule>
    <cfRule type="expression" dxfId="1166" priority="2202">
      <formula>IF(W67&gt;=X67,IF(W67="",FALSE,TRUE))</formula>
    </cfRule>
  </conditionalFormatting>
  <conditionalFormatting sqref="Y68">
    <cfRule type="expression" dxfId="1165" priority="2195">
      <formula>OR(IF(Y68&lt;Z68,TRUE),IF(AND(Z68="",Y68&lt;&gt;""),TRUE))</formula>
    </cfRule>
    <cfRule type="expression" dxfId="1164" priority="2196">
      <formula>IF(Y68&gt;=Z68,IF(Y68="",FALSE,TRUE))</formula>
    </cfRule>
  </conditionalFormatting>
  <conditionalFormatting sqref="W68">
    <cfRule type="expression" dxfId="1163" priority="2197">
      <formula>OR(IF(W68&lt;X68,TRUE),IF(AND(X68="",W68&lt;&gt;""),TRUE))</formula>
    </cfRule>
    <cfRule type="expression" dxfId="1162" priority="2198">
      <formula>IF(W68&gt;=X68,IF(W68="",FALSE,TRUE))</formula>
    </cfRule>
  </conditionalFormatting>
  <conditionalFormatting sqref="Y69">
    <cfRule type="expression" dxfId="1161" priority="2191">
      <formula>OR(IF(Y69&lt;Z69,TRUE),IF(AND(Z69="",Y69&lt;&gt;""),TRUE))</formula>
    </cfRule>
    <cfRule type="expression" dxfId="1160" priority="2192">
      <formula>IF(Y69&gt;=Z69,IF(Y69="",FALSE,TRUE))</formula>
    </cfRule>
  </conditionalFormatting>
  <conditionalFormatting sqref="W69">
    <cfRule type="expression" dxfId="1159" priority="2193">
      <formula>OR(IF(W69&lt;X69,TRUE),IF(AND(X69="",W69&lt;&gt;""),TRUE))</formula>
    </cfRule>
    <cfRule type="expression" dxfId="1158" priority="2194">
      <formula>IF(W69&gt;=X69,IF(W69="",FALSE,TRUE))</formula>
    </cfRule>
  </conditionalFormatting>
  <conditionalFormatting sqref="Y70">
    <cfRule type="expression" dxfId="1157" priority="2187">
      <formula>OR(IF(Y70&lt;Z70,TRUE),IF(AND(Z70="",Y70&lt;&gt;""),TRUE))</formula>
    </cfRule>
    <cfRule type="expression" dxfId="1156" priority="2188">
      <formula>IF(Y70&gt;=Z70,IF(Y70="",FALSE,TRUE))</formula>
    </cfRule>
  </conditionalFormatting>
  <conditionalFormatting sqref="W70">
    <cfRule type="expression" dxfId="1155" priority="2189">
      <formula>OR(IF(W70&lt;X70,TRUE),IF(AND(X70="",W70&lt;&gt;""),TRUE))</formula>
    </cfRule>
    <cfRule type="expression" dxfId="1154" priority="2190">
      <formula>IF(W70&gt;=X70,IF(W70="",FALSE,TRUE))</formula>
    </cfRule>
  </conditionalFormatting>
  <conditionalFormatting sqref="Y71">
    <cfRule type="expression" dxfId="1153" priority="2183">
      <formula>OR(IF(Y71&lt;Z71,TRUE),IF(AND(Z71="",Y71&lt;&gt;""),TRUE))</formula>
    </cfRule>
    <cfRule type="expression" dxfId="1152" priority="2184">
      <formula>IF(Y71&gt;=Z71,IF(Y71="",FALSE,TRUE))</formula>
    </cfRule>
  </conditionalFormatting>
  <conditionalFormatting sqref="W71">
    <cfRule type="expression" dxfId="1151" priority="2185">
      <formula>OR(IF(W71&lt;X71,TRUE),IF(AND(X71="",W71&lt;&gt;""),TRUE))</formula>
    </cfRule>
    <cfRule type="expression" dxfId="1150" priority="2186">
      <formula>IF(W71&gt;=X71,IF(W71="",FALSE,TRUE))</formula>
    </cfRule>
  </conditionalFormatting>
  <conditionalFormatting sqref="Y72">
    <cfRule type="expression" dxfId="1149" priority="2179">
      <formula>OR(IF(Y72&lt;Z72,TRUE),IF(AND(Z72="",Y72&lt;&gt;""),TRUE))</formula>
    </cfRule>
    <cfRule type="expression" dxfId="1148" priority="2180">
      <formula>IF(Y72&gt;=Z72,IF(Y72="",FALSE,TRUE))</formula>
    </cfRule>
  </conditionalFormatting>
  <conditionalFormatting sqref="W72">
    <cfRule type="expression" dxfId="1147" priority="2181">
      <formula>OR(IF(W72&lt;X72,TRUE),IF(AND(X72="",W72&lt;&gt;""),TRUE))</formula>
    </cfRule>
    <cfRule type="expression" dxfId="1146" priority="2182">
      <formula>IF(W72&gt;=X72,IF(W72="",FALSE,TRUE))</formula>
    </cfRule>
  </conditionalFormatting>
  <conditionalFormatting sqref="Y73">
    <cfRule type="expression" dxfId="1145" priority="2175">
      <formula>OR(IF(Y73&lt;Z73,TRUE),IF(AND(Z73="",Y73&lt;&gt;""),TRUE))</formula>
    </cfRule>
    <cfRule type="expression" dxfId="1144" priority="2176">
      <formula>IF(Y73&gt;=Z73,IF(Y73="",FALSE,TRUE))</formula>
    </cfRule>
  </conditionalFormatting>
  <conditionalFormatting sqref="W73">
    <cfRule type="expression" dxfId="1143" priority="2177">
      <formula>OR(IF(W73&lt;X73,TRUE),IF(AND(X73="",W73&lt;&gt;""),TRUE))</formula>
    </cfRule>
    <cfRule type="expression" dxfId="1142" priority="2178">
      <formula>IF(W73&gt;=X73,IF(W73="",FALSE,TRUE))</formula>
    </cfRule>
  </conditionalFormatting>
  <conditionalFormatting sqref="Y74">
    <cfRule type="expression" dxfId="1141" priority="2171">
      <formula>OR(IF(Y74&lt;Z74,TRUE),IF(AND(Z74="",Y74&lt;&gt;""),TRUE))</formula>
    </cfRule>
    <cfRule type="expression" dxfId="1140" priority="2172">
      <formula>IF(Y74&gt;=Z74,IF(Y74="",FALSE,TRUE))</formula>
    </cfRule>
  </conditionalFormatting>
  <conditionalFormatting sqref="W74">
    <cfRule type="expression" dxfId="1139" priority="2173">
      <formula>OR(IF(W74&lt;X74,TRUE),IF(AND(X74="",W74&lt;&gt;""),TRUE))</formula>
    </cfRule>
    <cfRule type="expression" dxfId="1138" priority="2174">
      <formula>IF(W74&gt;=X74,IF(W74="",FALSE,TRUE))</formula>
    </cfRule>
  </conditionalFormatting>
  <conditionalFormatting sqref="Y75">
    <cfRule type="expression" dxfId="1137" priority="2167">
      <formula>OR(IF(Y75&lt;Z75,TRUE),IF(AND(Z75="",Y75&lt;&gt;""),TRUE))</formula>
    </cfRule>
    <cfRule type="expression" dxfId="1136" priority="2168">
      <formula>IF(Y75&gt;=Z75,IF(Y75="",FALSE,TRUE))</formula>
    </cfRule>
  </conditionalFormatting>
  <conditionalFormatting sqref="W75">
    <cfRule type="expression" dxfId="1135" priority="2169">
      <formula>OR(IF(W75&lt;X75,TRUE),IF(AND(X75="",W75&lt;&gt;""),TRUE))</formula>
    </cfRule>
    <cfRule type="expression" dxfId="1134" priority="2170">
      <formula>IF(W75&gt;=X75,IF(W75="",FALSE,TRUE))</formula>
    </cfRule>
  </conditionalFormatting>
  <conditionalFormatting sqref="Y76">
    <cfRule type="expression" dxfId="1133" priority="2163">
      <formula>OR(IF(Y76&lt;Z76,TRUE),IF(AND(Z76="",Y76&lt;&gt;""),TRUE))</formula>
    </cfRule>
    <cfRule type="expression" dxfId="1132" priority="2164">
      <formula>IF(Y76&gt;=Z76,IF(Y76="",FALSE,TRUE))</formula>
    </cfRule>
  </conditionalFormatting>
  <conditionalFormatting sqref="W76">
    <cfRule type="expression" dxfId="1131" priority="2165">
      <formula>OR(IF(W76&lt;X76,TRUE),IF(AND(X76="",W76&lt;&gt;""),TRUE))</formula>
    </cfRule>
    <cfRule type="expression" dxfId="1130" priority="2166">
      <formula>IF(W76&gt;=X76,IF(W76="",FALSE,TRUE))</formula>
    </cfRule>
  </conditionalFormatting>
  <conditionalFormatting sqref="R80 P80 Y80 W80 AF80 AD80 AM80 AK80 AT80 AR80 BA80 AY80 BH80 BF80">
    <cfRule type="expression" dxfId="1129" priority="2158">
      <formula>OR(IF(P80&lt;Q80,TRUE),IF(AND(Q80="",P80&lt;&gt;""),TRUE))</formula>
    </cfRule>
    <cfRule type="expression" dxfId="1128" priority="2159">
      <formula>IF(P80&gt;=Q80,IF(P80="",FALSE,TRUE))</formula>
    </cfRule>
  </conditionalFormatting>
  <conditionalFormatting sqref="J80:K80">
    <cfRule type="colorScale" priority="2160">
      <colorScale>
        <cfvo type="percent" val="0"/>
        <cfvo type="percent" val="100"/>
        <color rgb="FFFF231B"/>
        <color rgb="FF10FF07"/>
      </colorScale>
    </cfRule>
  </conditionalFormatting>
  <conditionalFormatting sqref="J80">
    <cfRule type="colorScale" priority="2161">
      <colorScale>
        <cfvo type="percent" val="0"/>
        <cfvo type="percent" val="100"/>
        <color rgb="FFFF231B"/>
        <color rgb="FF10FF07"/>
      </colorScale>
    </cfRule>
  </conditionalFormatting>
  <conditionalFormatting sqref="K80">
    <cfRule type="colorScale" priority="2162">
      <colorScale>
        <cfvo type="percent" val="0"/>
        <cfvo type="percent" val="100"/>
        <color rgb="FFFF231B"/>
        <color rgb="FF10FF07"/>
      </colorScale>
    </cfRule>
  </conditionalFormatting>
  <conditionalFormatting sqref="J82:K93">
    <cfRule type="colorScale" priority="2117">
      <colorScale>
        <cfvo type="percent" val="0"/>
        <cfvo type="percent" val="100"/>
        <color rgb="FFFF231B"/>
        <color rgb="FF10FF07"/>
      </colorScale>
    </cfRule>
  </conditionalFormatting>
  <conditionalFormatting sqref="J81:J93">
    <cfRule type="colorScale" priority="2116">
      <colorScale>
        <cfvo type="percent" val="0"/>
        <cfvo type="percent" val="100"/>
        <color rgb="FFFF231B"/>
        <color rgb="FF10FF07"/>
      </colorScale>
    </cfRule>
  </conditionalFormatting>
  <conditionalFormatting sqref="K81:K93">
    <cfRule type="colorScale" priority="2115">
      <colorScale>
        <cfvo type="percent" val="0"/>
        <cfvo type="percent" val="100"/>
        <color rgb="FFFF231B"/>
        <color rgb="FF10FF07"/>
      </colorScale>
    </cfRule>
  </conditionalFormatting>
  <conditionalFormatting sqref="AD81:AD82">
    <cfRule type="expression" dxfId="1095" priority="1814">
      <formula>OR(IF(AD81&lt;AE81,TRUE),IF(AND(AE81="",AD81&lt;&gt;""),TRUE))</formula>
    </cfRule>
    <cfRule type="expression" dxfId="1094" priority="1815">
      <formula>IF(AD81&gt;=AE81,IF(AD81="",FALSE,TRUE))</formula>
    </cfRule>
  </conditionalFormatting>
  <conditionalFormatting sqref="AF83:AF93">
    <cfRule type="expression" dxfId="1093" priority="1808">
      <formula>OR(IF(AF83&lt;AG83,TRUE),IF(AND(AG83="",AF83&lt;&gt;""),TRUE))</formula>
    </cfRule>
    <cfRule type="expression" dxfId="1092" priority="1809">
      <formula>IF(AF83&gt;=AG83,IF(AF83="",FALSE,TRUE))</formula>
    </cfRule>
  </conditionalFormatting>
  <conditionalFormatting sqref="AF81:AF82">
    <cfRule type="expression" dxfId="1091" priority="1812">
      <formula>OR(IF(AF81&lt;AG81,TRUE),IF(AND(AG81="",AF81&lt;&gt;""),TRUE))</formula>
    </cfRule>
    <cfRule type="expression" dxfId="1090" priority="1813">
      <formula>IF(AF81&gt;=AG81,IF(AF81="",FALSE,TRUE))</formula>
    </cfRule>
  </conditionalFormatting>
  <conditionalFormatting sqref="AD83:AD93">
    <cfRule type="expression" dxfId="1089" priority="1810">
      <formula>OR(IF(AD83&lt;AE83,TRUE),IF(AND(AE83="",AD83&lt;&gt;""),TRUE))</formula>
    </cfRule>
    <cfRule type="expression" dxfId="1088" priority="1811">
      <formula>IF(AD83&gt;=AE83,IF(AD83="",FALSE,TRUE))</formula>
    </cfRule>
  </conditionalFormatting>
  <conditionalFormatting sqref="AK81:AK82">
    <cfRule type="expression" dxfId="1087" priority="1754">
      <formula>OR(IF(AK81&lt;AL81,TRUE),IF(AND(AL81="",AK81&lt;&gt;""),TRUE))</formula>
    </cfRule>
    <cfRule type="expression" dxfId="1086" priority="1755">
      <formula>IF(AK81&gt;=AL81,IF(AK81="",FALSE,TRUE))</formula>
    </cfRule>
  </conditionalFormatting>
  <conditionalFormatting sqref="AM83:AM93">
    <cfRule type="expression" dxfId="1085" priority="1748">
      <formula>OR(IF(AM83&lt;AN83,TRUE),IF(AND(AN83="",AM83&lt;&gt;""),TRUE))</formula>
    </cfRule>
    <cfRule type="expression" dxfId="1084" priority="1749">
      <formula>IF(AM83&gt;=AN83,IF(AM83="",FALSE,TRUE))</formula>
    </cfRule>
  </conditionalFormatting>
  <conditionalFormatting sqref="AM81:AM82">
    <cfRule type="expression" dxfId="1083" priority="1752">
      <formula>OR(IF(AM81&lt;AN81,TRUE),IF(AND(AN81="",AM81&lt;&gt;""),TRUE))</formula>
    </cfRule>
    <cfRule type="expression" dxfId="1082" priority="1753">
      <formula>IF(AM81&gt;=AN81,IF(AM81="",FALSE,TRUE))</formula>
    </cfRule>
  </conditionalFormatting>
  <conditionalFormatting sqref="AK83:AK93">
    <cfRule type="expression" dxfId="1081" priority="1750">
      <formula>OR(IF(AK83&lt;AL83,TRUE),IF(AND(AL83="",AK83&lt;&gt;""),TRUE))</formula>
    </cfRule>
    <cfRule type="expression" dxfId="1080" priority="1751">
      <formula>IF(AK83&gt;=AL83,IF(AK83="",FALSE,TRUE))</formula>
    </cfRule>
  </conditionalFormatting>
  <conditionalFormatting sqref="AR81:AR82">
    <cfRule type="expression" dxfId="1079" priority="1694">
      <formula>OR(IF(AR81&lt;AS81,TRUE),IF(AND(AS81="",AR81&lt;&gt;""),TRUE))</formula>
    </cfRule>
    <cfRule type="expression" dxfId="1078" priority="1695">
      <formula>IF(AR81&gt;=AS81,IF(AR81="",FALSE,TRUE))</formula>
    </cfRule>
  </conditionalFormatting>
  <conditionalFormatting sqref="AT83:AT93">
    <cfRule type="expression" dxfId="1077" priority="1688">
      <formula>OR(IF(AT83&lt;AU83,TRUE),IF(AND(AU83="",AT83&lt;&gt;""),TRUE))</formula>
    </cfRule>
    <cfRule type="expression" dxfId="1076" priority="1689">
      <formula>IF(AT83&gt;=AU83,IF(AT83="",FALSE,TRUE))</formula>
    </cfRule>
  </conditionalFormatting>
  <conditionalFormatting sqref="AT81:AT82">
    <cfRule type="expression" dxfId="1075" priority="1692">
      <formula>OR(IF(AT81&lt;AU81,TRUE),IF(AND(AU81="",AT81&lt;&gt;""),TRUE))</formula>
    </cfRule>
    <cfRule type="expression" dxfId="1074" priority="1693">
      <formula>IF(AT81&gt;=AU81,IF(AT81="",FALSE,TRUE))</formula>
    </cfRule>
  </conditionalFormatting>
  <conditionalFormatting sqref="AR83:AR93">
    <cfRule type="expression" dxfId="1073" priority="1690">
      <formula>OR(IF(AR83&lt;AS83,TRUE),IF(AND(AS83="",AR83&lt;&gt;""),TRUE))</formula>
    </cfRule>
    <cfRule type="expression" dxfId="1072" priority="1691">
      <formula>IF(AR83&gt;=AS83,IF(AR83="",FALSE,TRUE))</formula>
    </cfRule>
  </conditionalFormatting>
  <conditionalFormatting sqref="AY81:AY82">
    <cfRule type="expression" dxfId="1071" priority="1634">
      <formula>OR(IF(AY81&lt;AZ81,TRUE),IF(AND(AZ81="",AY81&lt;&gt;""),TRUE))</formula>
    </cfRule>
    <cfRule type="expression" dxfId="1070" priority="1635">
      <formula>IF(AY81&gt;=AZ81,IF(AY81="",FALSE,TRUE))</formula>
    </cfRule>
  </conditionalFormatting>
  <conditionalFormatting sqref="BA83:BA93">
    <cfRule type="expression" dxfId="1069" priority="1628">
      <formula>OR(IF(BA83&lt;BB83,TRUE),IF(AND(BB83="",BA83&lt;&gt;""),TRUE))</formula>
    </cfRule>
    <cfRule type="expression" dxfId="1068" priority="1629">
      <formula>IF(BA83&gt;=BB83,IF(BA83="",FALSE,TRUE))</formula>
    </cfRule>
  </conditionalFormatting>
  <conditionalFormatting sqref="BA81:BA82">
    <cfRule type="expression" dxfId="1067" priority="1632">
      <formula>OR(IF(BA81&lt;BB81,TRUE),IF(AND(BB81="",BA81&lt;&gt;""),TRUE))</formula>
    </cfRule>
    <cfRule type="expression" dxfId="1066" priority="1633">
      <formula>IF(BA81&gt;=BB81,IF(BA81="",FALSE,TRUE))</formula>
    </cfRule>
  </conditionalFormatting>
  <conditionalFormatting sqref="AY83:AY93">
    <cfRule type="expression" dxfId="1065" priority="1630">
      <formula>OR(IF(AY83&lt;AZ83,TRUE),IF(AND(AZ83="",AY83&lt;&gt;""),TRUE))</formula>
    </cfRule>
    <cfRule type="expression" dxfId="1064" priority="1631">
      <formula>IF(AY83&gt;=AZ83,IF(AY83="",FALSE,TRUE))</formula>
    </cfRule>
  </conditionalFormatting>
  <conditionalFormatting sqref="BF81:BF82">
    <cfRule type="expression" dxfId="1063" priority="1574">
      <formula>OR(IF(BF81&lt;BG81,TRUE),IF(AND(BG81="",BF81&lt;&gt;""),TRUE))</formula>
    </cfRule>
    <cfRule type="expression" dxfId="1062" priority="1575">
      <formula>IF(BF81&gt;=BG81,IF(BF81="",FALSE,TRUE))</formula>
    </cfRule>
  </conditionalFormatting>
  <conditionalFormatting sqref="BH83:BH93">
    <cfRule type="expression" dxfId="1061" priority="1568">
      <formula>OR(IF(BH83&lt;BI83,TRUE),IF(AND(BI83="",BH83&lt;&gt;""),TRUE))</formula>
    </cfRule>
    <cfRule type="expression" dxfId="1060" priority="1569">
      <formula>IF(BH83&gt;=BI83,IF(BH83="",FALSE,TRUE))</formula>
    </cfRule>
  </conditionalFormatting>
  <conditionalFormatting sqref="BH81:BH82">
    <cfRule type="expression" dxfId="1059" priority="1572">
      <formula>OR(IF(BH81&lt;BI81,TRUE),IF(AND(BI81="",BH81&lt;&gt;""),TRUE))</formula>
    </cfRule>
    <cfRule type="expression" dxfId="1058" priority="1573">
      <formula>IF(BH81&gt;=BI81,IF(BH81="",FALSE,TRUE))</formula>
    </cfRule>
  </conditionalFormatting>
  <conditionalFormatting sqref="BF83:BF93">
    <cfRule type="expression" dxfId="1057" priority="1570">
      <formula>OR(IF(BF83&lt;BG83,TRUE),IF(AND(BG83="",BF83&lt;&gt;""),TRUE))</formula>
    </cfRule>
    <cfRule type="expression" dxfId="1056" priority="1571">
      <formula>IF(BF83&gt;=BG83,IF(BF83="",FALSE,TRUE))</formula>
    </cfRule>
  </conditionalFormatting>
  <conditionalFormatting sqref="P81:P82">
    <cfRule type="expression" dxfId="1039" priority="1154">
      <formula>OR(IF(P81&lt;Q81,TRUE),IF(AND(Q81="",P81&lt;&gt;""),TRUE))</formula>
    </cfRule>
    <cfRule type="expression" dxfId="1038" priority="1155">
      <formula>IF(P81&gt;=Q81,IF(P81="",FALSE,TRUE))</formula>
    </cfRule>
  </conditionalFormatting>
  <conditionalFormatting sqref="R81:R82">
    <cfRule type="expression" dxfId="1037" priority="1152">
      <formula>OR(IF(R81&lt;S81,TRUE),IF(AND(S81="",R81&lt;&gt;""),TRUE))</formula>
    </cfRule>
    <cfRule type="expression" dxfId="1036" priority="1153">
      <formula>IF(R81&gt;=S81,IF(R81="",FALSE,TRUE))</formula>
    </cfRule>
  </conditionalFormatting>
  <conditionalFormatting sqref="R83:R93">
    <cfRule type="expression" dxfId="1035" priority="1148">
      <formula>OR(IF(R83&lt;S83,TRUE),IF(AND(S83="",R83&lt;&gt;""),TRUE))</formula>
    </cfRule>
    <cfRule type="expression" dxfId="1034" priority="1149">
      <formula>IF(R83&gt;=S83,IF(R83="",FALSE,TRUE))</formula>
    </cfRule>
  </conditionalFormatting>
  <conditionalFormatting sqref="P83:P93">
    <cfRule type="expression" dxfId="1033" priority="1150">
      <formula>OR(IF(P83&lt;Q83,TRUE),IF(AND(Q83="",P83&lt;&gt;""),TRUE))</formula>
    </cfRule>
    <cfRule type="expression" dxfId="1032" priority="1151">
      <formula>IF(P83&gt;=Q83,IF(P83="",FALSE,TRUE))</formula>
    </cfRule>
  </conditionalFormatting>
  <conditionalFormatting sqref="W81:W82">
    <cfRule type="expression" dxfId="1031" priority="1094">
      <formula>OR(IF(W81&lt;X81,TRUE),IF(AND(X81="",W81&lt;&gt;""),TRUE))</formula>
    </cfRule>
    <cfRule type="expression" dxfId="1030" priority="1095">
      <formula>IF(W81&gt;=X81,IF(W81="",FALSE,TRUE))</formula>
    </cfRule>
  </conditionalFormatting>
  <conditionalFormatting sqref="Y81:Y82">
    <cfRule type="expression" dxfId="1029" priority="1092">
      <formula>OR(IF(Y81&lt;Z81,TRUE),IF(AND(Z81="",Y81&lt;&gt;""),TRUE))</formula>
    </cfRule>
    <cfRule type="expression" dxfId="1028" priority="1093">
      <formula>IF(Y81&gt;=Z81,IF(Y81="",FALSE,TRUE))</formula>
    </cfRule>
  </conditionalFormatting>
  <conditionalFormatting sqref="Y83:Y93">
    <cfRule type="expression" dxfId="1027" priority="1088">
      <formula>OR(IF(Y83&lt;Z83,TRUE),IF(AND(Z83="",Y83&lt;&gt;""),TRUE))</formula>
    </cfRule>
    <cfRule type="expression" dxfId="1026" priority="1089">
      <formula>IF(Y83&gt;=Z83,IF(Y83="",FALSE,TRUE))</formula>
    </cfRule>
  </conditionalFormatting>
  <conditionalFormatting sqref="W83:W93">
    <cfRule type="expression" dxfId="1025" priority="1090">
      <formula>OR(IF(W83&lt;X83,TRUE),IF(AND(X83="",W83&lt;&gt;""),TRUE))</formula>
    </cfRule>
    <cfRule type="expression" dxfId="1024" priority="1091">
      <formula>IF(W83&gt;=X83,IF(W83="",FALSE,TRUE))</formula>
    </cfRule>
  </conditionalFormatting>
  <conditionalFormatting sqref="BO47 BO51 BM47 BM51">
    <cfRule type="expression" dxfId="1023" priority="1034">
      <formula>OR(IF(BM47&lt;BN47,TRUE),IF(AND(BN47="",BM47&lt;&gt;""),TRUE))</formula>
    </cfRule>
    <cfRule type="expression" dxfId="1022" priority="1035">
      <formula>IF(BM47&gt;=BN47,IF(BM47="",FALSE,TRUE))</formula>
    </cfRule>
  </conditionalFormatting>
  <conditionalFormatting sqref="BM5:BM19 BO5:BO19 BO24:BO32 BM24:BM32 BO37:BO46 BM37:BM46">
    <cfRule type="expression" dxfId="1021" priority="1032">
      <formula>OR(IF(BM5&lt;BN5,TRUE),IF(AND(BN5="",BM5&lt;&gt;""),TRUE))</formula>
    </cfRule>
    <cfRule type="expression" dxfId="1020" priority="1033">
      <formula>IF(BM5&gt;=BN5,IF(BM5="",FALSE,TRUE))</formula>
    </cfRule>
  </conditionalFormatting>
  <conditionalFormatting sqref="BM22:BM23">
    <cfRule type="expression" dxfId="1019" priority="1030">
      <formula>OR(IF(BM22&lt;BN22,TRUE),IF(AND(BN22="",BM22&lt;&gt;""),TRUE))</formula>
    </cfRule>
    <cfRule type="expression" dxfId="1018" priority="1031">
      <formula>IF(BM22&gt;=BN22,IF(BM22="",FALSE,TRUE))</formula>
    </cfRule>
  </conditionalFormatting>
  <conditionalFormatting sqref="BO22:BO23">
    <cfRule type="expression" dxfId="1017" priority="1028">
      <formula>OR(IF(BO22&lt;BP22,TRUE),IF(AND(BP22="",BO22&lt;&gt;""),TRUE))</formula>
    </cfRule>
    <cfRule type="expression" dxfId="1016" priority="1029">
      <formula>IF(BO22&gt;=BP22,IF(BO22="",FALSE,TRUE))</formula>
    </cfRule>
  </conditionalFormatting>
  <conditionalFormatting sqref="BM35:BM36">
    <cfRule type="expression" dxfId="1015" priority="1026">
      <formula>OR(IF(BM35&lt;BN35,TRUE),IF(AND(BN35="",BM35&lt;&gt;""),TRUE))</formula>
    </cfRule>
    <cfRule type="expression" dxfId="1014" priority="1027">
      <formula>IF(BM35&gt;=BN35,IF(BM35="",FALSE,TRUE))</formula>
    </cfRule>
  </conditionalFormatting>
  <conditionalFormatting sqref="BO35:BO36">
    <cfRule type="expression" dxfId="1013" priority="1024">
      <formula>OR(IF(BO35&lt;BP35,TRUE),IF(AND(BP35="",BO35&lt;&gt;""),TRUE))</formula>
    </cfRule>
    <cfRule type="expression" dxfId="1012" priority="1025">
      <formula>IF(BO35&gt;=BP35,IF(BO35="",FALSE,TRUE))</formula>
    </cfRule>
  </conditionalFormatting>
  <conditionalFormatting sqref="BM52:BM53">
    <cfRule type="expression" dxfId="1011" priority="1022">
      <formula>OR(IF(BM52&lt;BN52,TRUE),IF(AND(BN52="",BM52&lt;&gt;""),TRUE))</formula>
    </cfRule>
    <cfRule type="expression" dxfId="1010" priority="1023">
      <formula>IF(BM52&gt;=BN52,IF(BM52="",FALSE,TRUE))</formula>
    </cfRule>
  </conditionalFormatting>
  <conditionalFormatting sqref="BO54:BO63">
    <cfRule type="expression" dxfId="1009" priority="1016">
      <formula>OR(IF(BO54&lt;BP54,TRUE),IF(AND(BP54="",BO54&lt;&gt;""),TRUE))</formula>
    </cfRule>
    <cfRule type="expression" dxfId="1008" priority="1017">
      <formula>IF(BO54&gt;=BP54,IF(BO54="",FALSE,TRUE))</formula>
    </cfRule>
  </conditionalFormatting>
  <conditionalFormatting sqref="BO52:BO53">
    <cfRule type="expression" dxfId="1007" priority="1020">
      <formula>OR(IF(BO52&lt;BP52,TRUE),IF(AND(BP52="",BO52&lt;&gt;""),TRUE))</formula>
    </cfRule>
    <cfRule type="expression" dxfId="1006" priority="1021">
      <formula>IF(BO52&gt;=BP52,IF(BO52="",FALSE,TRUE))</formula>
    </cfRule>
  </conditionalFormatting>
  <conditionalFormatting sqref="BM54:BM63">
    <cfRule type="expression" dxfId="1005" priority="1018">
      <formula>OR(IF(BM54&lt;BN54,TRUE),IF(AND(BN54="",BM54&lt;&gt;""),TRUE))</formula>
    </cfRule>
    <cfRule type="expression" dxfId="1004" priority="1019">
      <formula>IF(BM54&gt;=BN54,IF(BM54="",FALSE,TRUE))</formula>
    </cfRule>
  </conditionalFormatting>
  <conditionalFormatting sqref="BO64">
    <cfRule type="expression" dxfId="1003" priority="1012">
      <formula>OR(IF(BO64&lt;BP64,TRUE),IF(AND(BP64="",BO64&lt;&gt;""),TRUE))</formula>
    </cfRule>
    <cfRule type="expression" dxfId="1002" priority="1013">
      <formula>IF(BO64&gt;=BP64,IF(BO64="",FALSE,TRUE))</formula>
    </cfRule>
  </conditionalFormatting>
  <conditionalFormatting sqref="BM64">
    <cfRule type="expression" dxfId="1001" priority="1014">
      <formula>OR(IF(BM64&lt;BN64,TRUE),IF(AND(BN64="",BM64&lt;&gt;""),TRUE))</formula>
    </cfRule>
    <cfRule type="expression" dxfId="1000" priority="1015">
      <formula>IF(BM64&gt;=BN64,IF(BM64="",FALSE,TRUE))</formula>
    </cfRule>
  </conditionalFormatting>
  <conditionalFormatting sqref="BO65">
    <cfRule type="expression" dxfId="999" priority="1008">
      <formula>OR(IF(BO65&lt;BP65,TRUE),IF(AND(BP65="",BO65&lt;&gt;""),TRUE))</formula>
    </cfRule>
    <cfRule type="expression" dxfId="998" priority="1009">
      <formula>IF(BO65&gt;=BP65,IF(BO65="",FALSE,TRUE))</formula>
    </cfRule>
  </conditionalFormatting>
  <conditionalFormatting sqref="BM65">
    <cfRule type="expression" dxfId="997" priority="1010">
      <formula>OR(IF(BM65&lt;BN65,TRUE),IF(AND(BN65="",BM65&lt;&gt;""),TRUE))</formula>
    </cfRule>
    <cfRule type="expression" dxfId="996" priority="1011">
      <formula>IF(BM65&gt;=BN65,IF(BM65="",FALSE,TRUE))</formula>
    </cfRule>
  </conditionalFormatting>
  <conditionalFormatting sqref="BO66">
    <cfRule type="expression" dxfId="995" priority="1004">
      <formula>OR(IF(BO66&lt;BP66,TRUE),IF(AND(BP66="",BO66&lt;&gt;""),TRUE))</formula>
    </cfRule>
    <cfRule type="expression" dxfId="994" priority="1005">
      <formula>IF(BO66&gt;=BP66,IF(BO66="",FALSE,TRUE))</formula>
    </cfRule>
  </conditionalFormatting>
  <conditionalFormatting sqref="BM66">
    <cfRule type="expression" dxfId="993" priority="1006">
      <formula>OR(IF(BM66&lt;BN66,TRUE),IF(AND(BN66="",BM66&lt;&gt;""),TRUE))</formula>
    </cfRule>
    <cfRule type="expression" dxfId="992" priority="1007">
      <formula>IF(BM66&gt;=BN66,IF(BM66="",FALSE,TRUE))</formula>
    </cfRule>
  </conditionalFormatting>
  <conditionalFormatting sqref="BO67">
    <cfRule type="expression" dxfId="991" priority="1000">
      <formula>OR(IF(BO67&lt;BP67,TRUE),IF(AND(BP67="",BO67&lt;&gt;""),TRUE))</formula>
    </cfRule>
    <cfRule type="expression" dxfId="990" priority="1001">
      <formula>IF(BO67&gt;=BP67,IF(BO67="",FALSE,TRUE))</formula>
    </cfRule>
  </conditionalFormatting>
  <conditionalFormatting sqref="BM67">
    <cfRule type="expression" dxfId="989" priority="1002">
      <formula>OR(IF(BM67&lt;BN67,TRUE),IF(AND(BN67="",BM67&lt;&gt;""),TRUE))</formula>
    </cfRule>
    <cfRule type="expression" dxfId="988" priority="1003">
      <formula>IF(BM67&gt;=BN67,IF(BM67="",FALSE,TRUE))</formula>
    </cfRule>
  </conditionalFormatting>
  <conditionalFormatting sqref="BO68">
    <cfRule type="expression" dxfId="987" priority="996">
      <formula>OR(IF(BO68&lt;BP68,TRUE),IF(AND(BP68="",BO68&lt;&gt;""),TRUE))</formula>
    </cfRule>
    <cfRule type="expression" dxfId="986" priority="997">
      <formula>IF(BO68&gt;=BP68,IF(BO68="",FALSE,TRUE))</formula>
    </cfRule>
  </conditionalFormatting>
  <conditionalFormatting sqref="BM68">
    <cfRule type="expression" dxfId="985" priority="998">
      <formula>OR(IF(BM68&lt;BN68,TRUE),IF(AND(BN68="",BM68&lt;&gt;""),TRUE))</formula>
    </cfRule>
    <cfRule type="expression" dxfId="984" priority="999">
      <formula>IF(BM68&gt;=BN68,IF(BM68="",FALSE,TRUE))</formula>
    </cfRule>
  </conditionalFormatting>
  <conditionalFormatting sqref="BO69">
    <cfRule type="expression" dxfId="983" priority="992">
      <formula>OR(IF(BO69&lt;BP69,TRUE),IF(AND(BP69="",BO69&lt;&gt;""),TRUE))</formula>
    </cfRule>
    <cfRule type="expression" dxfId="982" priority="993">
      <formula>IF(BO69&gt;=BP69,IF(BO69="",FALSE,TRUE))</formula>
    </cfRule>
  </conditionalFormatting>
  <conditionalFormatting sqref="BM69">
    <cfRule type="expression" dxfId="981" priority="994">
      <formula>OR(IF(BM69&lt;BN69,TRUE),IF(AND(BN69="",BM69&lt;&gt;""),TRUE))</formula>
    </cfRule>
    <cfRule type="expression" dxfId="980" priority="995">
      <formula>IF(BM69&gt;=BN69,IF(BM69="",FALSE,TRUE))</formula>
    </cfRule>
  </conditionalFormatting>
  <conditionalFormatting sqref="BO70">
    <cfRule type="expression" dxfId="979" priority="988">
      <formula>OR(IF(BO70&lt;BP70,TRUE),IF(AND(BP70="",BO70&lt;&gt;""),TRUE))</formula>
    </cfRule>
    <cfRule type="expression" dxfId="978" priority="989">
      <formula>IF(BO70&gt;=BP70,IF(BO70="",FALSE,TRUE))</formula>
    </cfRule>
  </conditionalFormatting>
  <conditionalFormatting sqref="BM70">
    <cfRule type="expression" dxfId="977" priority="990">
      <formula>OR(IF(BM70&lt;BN70,TRUE),IF(AND(BN70="",BM70&lt;&gt;""),TRUE))</formula>
    </cfRule>
    <cfRule type="expression" dxfId="976" priority="991">
      <formula>IF(BM70&gt;=BN70,IF(BM70="",FALSE,TRUE))</formula>
    </cfRule>
  </conditionalFormatting>
  <conditionalFormatting sqref="BO71">
    <cfRule type="expression" dxfId="975" priority="984">
      <formula>OR(IF(BO71&lt;BP71,TRUE),IF(AND(BP71="",BO71&lt;&gt;""),TRUE))</formula>
    </cfRule>
    <cfRule type="expression" dxfId="974" priority="985">
      <formula>IF(BO71&gt;=BP71,IF(BO71="",FALSE,TRUE))</formula>
    </cfRule>
  </conditionalFormatting>
  <conditionalFormatting sqref="BM71">
    <cfRule type="expression" dxfId="973" priority="986">
      <formula>OR(IF(BM71&lt;BN71,TRUE),IF(AND(BN71="",BM71&lt;&gt;""),TRUE))</formula>
    </cfRule>
    <cfRule type="expression" dxfId="972" priority="987">
      <formula>IF(BM71&gt;=BN71,IF(BM71="",FALSE,TRUE))</formula>
    </cfRule>
  </conditionalFormatting>
  <conditionalFormatting sqref="BO72">
    <cfRule type="expression" dxfId="971" priority="980">
      <formula>OR(IF(BO72&lt;BP72,TRUE),IF(AND(BP72="",BO72&lt;&gt;""),TRUE))</formula>
    </cfRule>
    <cfRule type="expression" dxfId="970" priority="981">
      <formula>IF(BO72&gt;=BP72,IF(BO72="",FALSE,TRUE))</formula>
    </cfRule>
  </conditionalFormatting>
  <conditionalFormatting sqref="BM72">
    <cfRule type="expression" dxfId="969" priority="982">
      <formula>OR(IF(BM72&lt;BN72,TRUE),IF(AND(BN72="",BM72&lt;&gt;""),TRUE))</formula>
    </cfRule>
    <cfRule type="expression" dxfId="968" priority="983">
      <formula>IF(BM72&gt;=BN72,IF(BM72="",FALSE,TRUE))</formula>
    </cfRule>
  </conditionalFormatting>
  <conditionalFormatting sqref="BO73">
    <cfRule type="expression" dxfId="967" priority="976">
      <formula>OR(IF(BO73&lt;BP73,TRUE),IF(AND(BP73="",BO73&lt;&gt;""),TRUE))</formula>
    </cfRule>
    <cfRule type="expression" dxfId="966" priority="977">
      <formula>IF(BO73&gt;=BP73,IF(BO73="",FALSE,TRUE))</formula>
    </cfRule>
  </conditionalFormatting>
  <conditionalFormatting sqref="BM73">
    <cfRule type="expression" dxfId="965" priority="978">
      <formula>OR(IF(BM73&lt;BN73,TRUE),IF(AND(BN73="",BM73&lt;&gt;""),TRUE))</formula>
    </cfRule>
    <cfRule type="expression" dxfId="964" priority="979">
      <formula>IF(BM73&gt;=BN73,IF(BM73="",FALSE,TRUE))</formula>
    </cfRule>
  </conditionalFormatting>
  <conditionalFormatting sqref="BO74">
    <cfRule type="expression" dxfId="963" priority="972">
      <formula>OR(IF(BO74&lt;BP74,TRUE),IF(AND(BP74="",BO74&lt;&gt;""),TRUE))</formula>
    </cfRule>
    <cfRule type="expression" dxfId="962" priority="973">
      <formula>IF(BO74&gt;=BP74,IF(BO74="",FALSE,TRUE))</formula>
    </cfRule>
  </conditionalFormatting>
  <conditionalFormatting sqref="BM74">
    <cfRule type="expression" dxfId="961" priority="974">
      <formula>OR(IF(BM74&lt;BN74,TRUE),IF(AND(BN74="",BM74&lt;&gt;""),TRUE))</formula>
    </cfRule>
    <cfRule type="expression" dxfId="960" priority="975">
      <formula>IF(BM74&gt;=BN74,IF(BM74="",FALSE,TRUE))</formula>
    </cfRule>
  </conditionalFormatting>
  <conditionalFormatting sqref="BO75">
    <cfRule type="expression" dxfId="959" priority="968">
      <formula>OR(IF(BO75&lt;BP75,TRUE),IF(AND(BP75="",BO75&lt;&gt;""),TRUE))</formula>
    </cfRule>
    <cfRule type="expression" dxfId="958" priority="969">
      <formula>IF(BO75&gt;=BP75,IF(BO75="",FALSE,TRUE))</formula>
    </cfRule>
  </conditionalFormatting>
  <conditionalFormatting sqref="BM75">
    <cfRule type="expression" dxfId="957" priority="970">
      <formula>OR(IF(BM75&lt;BN75,TRUE),IF(AND(BN75="",BM75&lt;&gt;""),TRUE))</formula>
    </cfRule>
    <cfRule type="expression" dxfId="956" priority="971">
      <formula>IF(BM75&gt;=BN75,IF(BM75="",FALSE,TRUE))</formula>
    </cfRule>
  </conditionalFormatting>
  <conditionalFormatting sqref="BO76">
    <cfRule type="expression" dxfId="955" priority="964">
      <formula>OR(IF(BO76&lt;BP76,TRUE),IF(AND(BP76="",BO76&lt;&gt;""),TRUE))</formula>
    </cfRule>
    <cfRule type="expression" dxfId="954" priority="965">
      <formula>IF(BO76&gt;=BP76,IF(BO76="",FALSE,TRUE))</formula>
    </cfRule>
  </conditionalFormatting>
  <conditionalFormatting sqref="BM76">
    <cfRule type="expression" dxfId="953" priority="966">
      <formula>OR(IF(BM76&lt;BN76,TRUE),IF(AND(BN76="",BM76&lt;&gt;""),TRUE))</formula>
    </cfRule>
    <cfRule type="expression" dxfId="952" priority="967">
      <formula>IF(BM76&gt;=BN76,IF(BM76="",FALSE,TRUE))</formula>
    </cfRule>
  </conditionalFormatting>
  <conditionalFormatting sqref="BO80 BM80">
    <cfRule type="expression" dxfId="951" priority="962">
      <formula>OR(IF(BM80&lt;BN80,TRUE),IF(AND(BN80="",BM80&lt;&gt;""),TRUE))</formula>
    </cfRule>
    <cfRule type="expression" dxfId="950" priority="963">
      <formula>IF(BM80&gt;=BN80,IF(BM80="",FALSE,TRUE))</formula>
    </cfRule>
  </conditionalFormatting>
  <conditionalFormatting sqref="BM81:BM82">
    <cfRule type="expression" dxfId="949" priority="960">
      <formula>OR(IF(BM81&lt;BN81,TRUE),IF(AND(BN81="",BM81&lt;&gt;""),TRUE))</formula>
    </cfRule>
    <cfRule type="expression" dxfId="948" priority="961">
      <formula>IF(BM81&gt;=BN81,IF(BM81="",FALSE,TRUE))</formula>
    </cfRule>
  </conditionalFormatting>
  <conditionalFormatting sqref="BO83:BO93">
    <cfRule type="expression" dxfId="947" priority="954">
      <formula>OR(IF(BO83&lt;BP83,TRUE),IF(AND(BP83="",BO83&lt;&gt;""),TRUE))</formula>
    </cfRule>
    <cfRule type="expression" dxfId="946" priority="955">
      <formula>IF(BO83&gt;=BP83,IF(BO83="",FALSE,TRUE))</formula>
    </cfRule>
  </conditionalFormatting>
  <conditionalFormatting sqref="BO81:BO82">
    <cfRule type="expression" dxfId="945" priority="958">
      <formula>OR(IF(BO81&lt;BP81,TRUE),IF(AND(BP81="",BO81&lt;&gt;""),TRUE))</formula>
    </cfRule>
    <cfRule type="expression" dxfId="944" priority="959">
      <formula>IF(BO81&gt;=BP81,IF(BO81="",FALSE,TRUE))</formula>
    </cfRule>
  </conditionalFormatting>
  <conditionalFormatting sqref="BM83:BM93">
    <cfRule type="expression" dxfId="943" priority="956">
      <formula>OR(IF(BM83&lt;BN83,TRUE),IF(AND(BN83="",BM83&lt;&gt;""),TRUE))</formula>
    </cfRule>
    <cfRule type="expression" dxfId="942" priority="957">
      <formula>IF(BM83&gt;=BN83,IF(BM83="",FALSE,TRUE))</formula>
    </cfRule>
  </conditionalFormatting>
  <conditionalFormatting sqref="BV47 BV51 BT47 BT51">
    <cfRule type="expression" dxfId="941" priority="952">
      <formula>OR(IF(BT47&lt;BU47,TRUE),IF(AND(BU47="",BT47&lt;&gt;""),TRUE))</formula>
    </cfRule>
    <cfRule type="expression" dxfId="940" priority="953">
      <formula>IF(BT47&gt;=BU47,IF(BT47="",FALSE,TRUE))</formula>
    </cfRule>
  </conditionalFormatting>
  <conditionalFormatting sqref="BT5:BT19 BV5:BV19 BV24:BV32 BT24:BT32 BV37:BV46 BT37:BT46">
    <cfRule type="expression" dxfId="939" priority="950">
      <formula>OR(IF(BT5&lt;BU5,TRUE),IF(AND(BU5="",BT5&lt;&gt;""),TRUE))</formula>
    </cfRule>
    <cfRule type="expression" dxfId="938" priority="951">
      <formula>IF(BT5&gt;=BU5,IF(BT5="",FALSE,TRUE))</formula>
    </cfRule>
  </conditionalFormatting>
  <conditionalFormatting sqref="BT22:BT23">
    <cfRule type="expression" dxfId="937" priority="948">
      <formula>OR(IF(BT22&lt;BU22,TRUE),IF(AND(BU22="",BT22&lt;&gt;""),TRUE))</formula>
    </cfRule>
    <cfRule type="expression" dxfId="936" priority="949">
      <formula>IF(BT22&gt;=BU22,IF(BT22="",FALSE,TRUE))</formula>
    </cfRule>
  </conditionalFormatting>
  <conditionalFormatting sqref="BV22:BV23">
    <cfRule type="expression" dxfId="935" priority="946">
      <formula>OR(IF(BV22&lt;BW22,TRUE),IF(AND(BW22="",BV22&lt;&gt;""),TRUE))</formula>
    </cfRule>
    <cfRule type="expression" dxfId="934" priority="947">
      <formula>IF(BV22&gt;=BW22,IF(BV22="",FALSE,TRUE))</formula>
    </cfRule>
  </conditionalFormatting>
  <conditionalFormatting sqref="BT35:BT36">
    <cfRule type="expression" dxfId="933" priority="944">
      <formula>OR(IF(BT35&lt;BU35,TRUE),IF(AND(BU35="",BT35&lt;&gt;""),TRUE))</formula>
    </cfRule>
    <cfRule type="expression" dxfId="932" priority="945">
      <formula>IF(BT35&gt;=BU35,IF(BT35="",FALSE,TRUE))</formula>
    </cfRule>
  </conditionalFormatting>
  <conditionalFormatting sqref="BV35:BV36">
    <cfRule type="expression" dxfId="931" priority="942">
      <formula>OR(IF(BV35&lt;BW35,TRUE),IF(AND(BW35="",BV35&lt;&gt;""),TRUE))</formula>
    </cfRule>
    <cfRule type="expression" dxfId="930" priority="943">
      <formula>IF(BV35&gt;=BW35,IF(BV35="",FALSE,TRUE))</formula>
    </cfRule>
  </conditionalFormatting>
  <conditionalFormatting sqref="BT52:BT53">
    <cfRule type="expression" dxfId="929" priority="940">
      <formula>OR(IF(BT52&lt;BU52,TRUE),IF(AND(BU52="",BT52&lt;&gt;""),TRUE))</formula>
    </cfRule>
    <cfRule type="expression" dxfId="928" priority="941">
      <formula>IF(BT52&gt;=BU52,IF(BT52="",FALSE,TRUE))</formula>
    </cfRule>
  </conditionalFormatting>
  <conditionalFormatting sqref="BV54:BV63">
    <cfRule type="expression" dxfId="927" priority="934">
      <formula>OR(IF(BV54&lt;BW54,TRUE),IF(AND(BW54="",BV54&lt;&gt;""),TRUE))</formula>
    </cfRule>
    <cfRule type="expression" dxfId="926" priority="935">
      <formula>IF(BV54&gt;=BW54,IF(BV54="",FALSE,TRUE))</formula>
    </cfRule>
  </conditionalFormatting>
  <conditionalFormatting sqref="BV52:BV53">
    <cfRule type="expression" dxfId="925" priority="938">
      <formula>OR(IF(BV52&lt;BW52,TRUE),IF(AND(BW52="",BV52&lt;&gt;""),TRUE))</formula>
    </cfRule>
    <cfRule type="expression" dxfId="924" priority="939">
      <formula>IF(BV52&gt;=BW52,IF(BV52="",FALSE,TRUE))</formula>
    </cfRule>
  </conditionalFormatting>
  <conditionalFormatting sqref="BT54:BT63">
    <cfRule type="expression" dxfId="923" priority="936">
      <formula>OR(IF(BT54&lt;BU54,TRUE),IF(AND(BU54="",BT54&lt;&gt;""),TRUE))</formula>
    </cfRule>
    <cfRule type="expression" dxfId="922" priority="937">
      <formula>IF(BT54&gt;=BU54,IF(BT54="",FALSE,TRUE))</formula>
    </cfRule>
  </conditionalFormatting>
  <conditionalFormatting sqref="BV64">
    <cfRule type="expression" dxfId="921" priority="930">
      <formula>OR(IF(BV64&lt;BW64,TRUE),IF(AND(BW64="",BV64&lt;&gt;""),TRUE))</formula>
    </cfRule>
    <cfRule type="expression" dxfId="920" priority="931">
      <formula>IF(BV64&gt;=BW64,IF(BV64="",FALSE,TRUE))</formula>
    </cfRule>
  </conditionalFormatting>
  <conditionalFormatting sqref="BT64">
    <cfRule type="expression" dxfId="919" priority="932">
      <formula>OR(IF(BT64&lt;BU64,TRUE),IF(AND(BU64="",BT64&lt;&gt;""),TRUE))</formula>
    </cfRule>
    <cfRule type="expression" dxfId="918" priority="933">
      <formula>IF(BT64&gt;=BU64,IF(BT64="",FALSE,TRUE))</formula>
    </cfRule>
  </conditionalFormatting>
  <conditionalFormatting sqref="BV65">
    <cfRule type="expression" dxfId="917" priority="926">
      <formula>OR(IF(BV65&lt;BW65,TRUE),IF(AND(BW65="",BV65&lt;&gt;""),TRUE))</formula>
    </cfRule>
    <cfRule type="expression" dxfId="916" priority="927">
      <formula>IF(BV65&gt;=BW65,IF(BV65="",FALSE,TRUE))</formula>
    </cfRule>
  </conditionalFormatting>
  <conditionalFormatting sqref="BT65">
    <cfRule type="expression" dxfId="915" priority="928">
      <formula>OR(IF(BT65&lt;BU65,TRUE),IF(AND(BU65="",BT65&lt;&gt;""),TRUE))</formula>
    </cfRule>
    <cfRule type="expression" dxfId="914" priority="929">
      <formula>IF(BT65&gt;=BU65,IF(BT65="",FALSE,TRUE))</formula>
    </cfRule>
  </conditionalFormatting>
  <conditionalFormatting sqref="BV66">
    <cfRule type="expression" dxfId="913" priority="922">
      <formula>OR(IF(BV66&lt;BW66,TRUE),IF(AND(BW66="",BV66&lt;&gt;""),TRUE))</formula>
    </cfRule>
    <cfRule type="expression" dxfId="912" priority="923">
      <formula>IF(BV66&gt;=BW66,IF(BV66="",FALSE,TRUE))</formula>
    </cfRule>
  </conditionalFormatting>
  <conditionalFormatting sqref="BT66">
    <cfRule type="expression" dxfId="911" priority="924">
      <formula>OR(IF(BT66&lt;BU66,TRUE),IF(AND(BU66="",BT66&lt;&gt;""),TRUE))</formula>
    </cfRule>
    <cfRule type="expression" dxfId="910" priority="925">
      <formula>IF(BT66&gt;=BU66,IF(BT66="",FALSE,TRUE))</formula>
    </cfRule>
  </conditionalFormatting>
  <conditionalFormatting sqref="BV67">
    <cfRule type="expression" dxfId="909" priority="918">
      <formula>OR(IF(BV67&lt;BW67,TRUE),IF(AND(BW67="",BV67&lt;&gt;""),TRUE))</formula>
    </cfRule>
    <cfRule type="expression" dxfId="908" priority="919">
      <formula>IF(BV67&gt;=BW67,IF(BV67="",FALSE,TRUE))</formula>
    </cfRule>
  </conditionalFormatting>
  <conditionalFormatting sqref="BT67">
    <cfRule type="expression" dxfId="907" priority="920">
      <formula>OR(IF(BT67&lt;BU67,TRUE),IF(AND(BU67="",BT67&lt;&gt;""),TRUE))</formula>
    </cfRule>
    <cfRule type="expression" dxfId="906" priority="921">
      <formula>IF(BT67&gt;=BU67,IF(BT67="",FALSE,TRUE))</formula>
    </cfRule>
  </conditionalFormatting>
  <conditionalFormatting sqref="BV68">
    <cfRule type="expression" dxfId="905" priority="914">
      <formula>OR(IF(BV68&lt;BW68,TRUE),IF(AND(BW68="",BV68&lt;&gt;""),TRUE))</formula>
    </cfRule>
    <cfRule type="expression" dxfId="904" priority="915">
      <formula>IF(BV68&gt;=BW68,IF(BV68="",FALSE,TRUE))</formula>
    </cfRule>
  </conditionalFormatting>
  <conditionalFormatting sqref="BT68">
    <cfRule type="expression" dxfId="903" priority="916">
      <formula>OR(IF(BT68&lt;BU68,TRUE),IF(AND(BU68="",BT68&lt;&gt;""),TRUE))</formula>
    </cfRule>
    <cfRule type="expression" dxfId="902" priority="917">
      <formula>IF(BT68&gt;=BU68,IF(BT68="",FALSE,TRUE))</formula>
    </cfRule>
  </conditionalFormatting>
  <conditionalFormatting sqref="BV69">
    <cfRule type="expression" dxfId="901" priority="910">
      <formula>OR(IF(BV69&lt;BW69,TRUE),IF(AND(BW69="",BV69&lt;&gt;""),TRUE))</formula>
    </cfRule>
    <cfRule type="expression" dxfId="900" priority="911">
      <formula>IF(BV69&gt;=BW69,IF(BV69="",FALSE,TRUE))</formula>
    </cfRule>
  </conditionalFormatting>
  <conditionalFormatting sqref="BT69">
    <cfRule type="expression" dxfId="899" priority="912">
      <formula>OR(IF(BT69&lt;BU69,TRUE),IF(AND(BU69="",BT69&lt;&gt;""),TRUE))</formula>
    </cfRule>
    <cfRule type="expression" dxfId="898" priority="913">
      <formula>IF(BT69&gt;=BU69,IF(BT69="",FALSE,TRUE))</formula>
    </cfRule>
  </conditionalFormatting>
  <conditionalFormatting sqref="BV70">
    <cfRule type="expression" dxfId="897" priority="906">
      <formula>OR(IF(BV70&lt;BW70,TRUE),IF(AND(BW70="",BV70&lt;&gt;""),TRUE))</formula>
    </cfRule>
    <cfRule type="expression" dxfId="896" priority="907">
      <formula>IF(BV70&gt;=BW70,IF(BV70="",FALSE,TRUE))</formula>
    </cfRule>
  </conditionalFormatting>
  <conditionalFormatting sqref="BT70">
    <cfRule type="expression" dxfId="895" priority="908">
      <formula>OR(IF(BT70&lt;BU70,TRUE),IF(AND(BU70="",BT70&lt;&gt;""),TRUE))</formula>
    </cfRule>
    <cfRule type="expression" dxfId="894" priority="909">
      <formula>IF(BT70&gt;=BU70,IF(BT70="",FALSE,TRUE))</formula>
    </cfRule>
  </conditionalFormatting>
  <conditionalFormatting sqref="BV71">
    <cfRule type="expression" dxfId="893" priority="902">
      <formula>OR(IF(BV71&lt;BW71,TRUE),IF(AND(BW71="",BV71&lt;&gt;""),TRUE))</formula>
    </cfRule>
    <cfRule type="expression" dxfId="892" priority="903">
      <formula>IF(BV71&gt;=BW71,IF(BV71="",FALSE,TRUE))</formula>
    </cfRule>
  </conditionalFormatting>
  <conditionalFormatting sqref="BT71">
    <cfRule type="expression" dxfId="891" priority="904">
      <formula>OR(IF(BT71&lt;BU71,TRUE),IF(AND(BU71="",BT71&lt;&gt;""),TRUE))</formula>
    </cfRule>
    <cfRule type="expression" dxfId="890" priority="905">
      <formula>IF(BT71&gt;=BU71,IF(BT71="",FALSE,TRUE))</formula>
    </cfRule>
  </conditionalFormatting>
  <conditionalFormatting sqref="BV72">
    <cfRule type="expression" dxfId="889" priority="898">
      <formula>OR(IF(BV72&lt;BW72,TRUE),IF(AND(BW72="",BV72&lt;&gt;""),TRUE))</formula>
    </cfRule>
    <cfRule type="expression" dxfId="888" priority="899">
      <formula>IF(BV72&gt;=BW72,IF(BV72="",FALSE,TRUE))</formula>
    </cfRule>
  </conditionalFormatting>
  <conditionalFormatting sqref="BT72">
    <cfRule type="expression" dxfId="887" priority="900">
      <formula>OR(IF(BT72&lt;BU72,TRUE),IF(AND(BU72="",BT72&lt;&gt;""),TRUE))</formula>
    </cfRule>
    <cfRule type="expression" dxfId="886" priority="901">
      <formula>IF(BT72&gt;=BU72,IF(BT72="",FALSE,TRUE))</formula>
    </cfRule>
  </conditionalFormatting>
  <conditionalFormatting sqref="BV73">
    <cfRule type="expression" dxfId="885" priority="894">
      <formula>OR(IF(BV73&lt;BW73,TRUE),IF(AND(BW73="",BV73&lt;&gt;""),TRUE))</formula>
    </cfRule>
    <cfRule type="expression" dxfId="884" priority="895">
      <formula>IF(BV73&gt;=BW73,IF(BV73="",FALSE,TRUE))</formula>
    </cfRule>
  </conditionalFormatting>
  <conditionalFormatting sqref="BT73">
    <cfRule type="expression" dxfId="883" priority="896">
      <formula>OR(IF(BT73&lt;BU73,TRUE),IF(AND(BU73="",BT73&lt;&gt;""),TRUE))</formula>
    </cfRule>
    <cfRule type="expression" dxfId="882" priority="897">
      <formula>IF(BT73&gt;=BU73,IF(BT73="",FALSE,TRUE))</formula>
    </cfRule>
  </conditionalFormatting>
  <conditionalFormatting sqref="BV74">
    <cfRule type="expression" dxfId="881" priority="890">
      <formula>OR(IF(BV74&lt;BW74,TRUE),IF(AND(BW74="",BV74&lt;&gt;""),TRUE))</formula>
    </cfRule>
    <cfRule type="expression" dxfId="880" priority="891">
      <formula>IF(BV74&gt;=BW74,IF(BV74="",FALSE,TRUE))</formula>
    </cfRule>
  </conditionalFormatting>
  <conditionalFormatting sqref="BT74">
    <cfRule type="expression" dxfId="879" priority="892">
      <formula>OR(IF(BT74&lt;BU74,TRUE),IF(AND(BU74="",BT74&lt;&gt;""),TRUE))</formula>
    </cfRule>
    <cfRule type="expression" dxfId="878" priority="893">
      <formula>IF(BT74&gt;=BU74,IF(BT74="",FALSE,TRUE))</formula>
    </cfRule>
  </conditionalFormatting>
  <conditionalFormatting sqref="BV75">
    <cfRule type="expression" dxfId="877" priority="886">
      <formula>OR(IF(BV75&lt;BW75,TRUE),IF(AND(BW75="",BV75&lt;&gt;""),TRUE))</formula>
    </cfRule>
    <cfRule type="expression" dxfId="876" priority="887">
      <formula>IF(BV75&gt;=BW75,IF(BV75="",FALSE,TRUE))</formula>
    </cfRule>
  </conditionalFormatting>
  <conditionalFormatting sqref="BT75">
    <cfRule type="expression" dxfId="875" priority="888">
      <formula>OR(IF(BT75&lt;BU75,TRUE),IF(AND(BU75="",BT75&lt;&gt;""),TRUE))</formula>
    </cfRule>
    <cfRule type="expression" dxfId="874" priority="889">
      <formula>IF(BT75&gt;=BU75,IF(BT75="",FALSE,TRUE))</formula>
    </cfRule>
  </conditionalFormatting>
  <conditionalFormatting sqref="BV76">
    <cfRule type="expression" dxfId="873" priority="882">
      <formula>OR(IF(BV76&lt;BW76,TRUE),IF(AND(BW76="",BV76&lt;&gt;""),TRUE))</formula>
    </cfRule>
    <cfRule type="expression" dxfId="872" priority="883">
      <formula>IF(BV76&gt;=BW76,IF(BV76="",FALSE,TRUE))</formula>
    </cfRule>
  </conditionalFormatting>
  <conditionalFormatting sqref="BT76">
    <cfRule type="expression" dxfId="871" priority="884">
      <formula>OR(IF(BT76&lt;BU76,TRUE),IF(AND(BU76="",BT76&lt;&gt;""),TRUE))</formula>
    </cfRule>
    <cfRule type="expression" dxfId="870" priority="885">
      <formula>IF(BT76&gt;=BU76,IF(BT76="",FALSE,TRUE))</formula>
    </cfRule>
  </conditionalFormatting>
  <conditionalFormatting sqref="BV80 BT80">
    <cfRule type="expression" dxfId="869" priority="880">
      <formula>OR(IF(BT80&lt;BU80,TRUE),IF(AND(BU80="",BT80&lt;&gt;""),TRUE))</formula>
    </cfRule>
    <cfRule type="expression" dxfId="868" priority="881">
      <formula>IF(BT80&gt;=BU80,IF(BT80="",FALSE,TRUE))</formula>
    </cfRule>
  </conditionalFormatting>
  <conditionalFormatting sqref="BT81:BT82">
    <cfRule type="expression" dxfId="867" priority="878">
      <formula>OR(IF(BT81&lt;BU81,TRUE),IF(AND(BU81="",BT81&lt;&gt;""),TRUE))</formula>
    </cfRule>
    <cfRule type="expression" dxfId="866" priority="879">
      <formula>IF(BT81&gt;=BU81,IF(BT81="",FALSE,TRUE))</formula>
    </cfRule>
  </conditionalFormatting>
  <conditionalFormatting sqref="BV83:BV93">
    <cfRule type="expression" dxfId="865" priority="872">
      <formula>OR(IF(BV83&lt;BW83,TRUE),IF(AND(BW83="",BV83&lt;&gt;""),TRUE))</formula>
    </cfRule>
    <cfRule type="expression" dxfId="864" priority="873">
      <formula>IF(BV83&gt;=BW83,IF(BV83="",FALSE,TRUE))</formula>
    </cfRule>
  </conditionalFormatting>
  <conditionalFormatting sqref="BV81:BV82">
    <cfRule type="expression" dxfId="863" priority="876">
      <formula>OR(IF(BV81&lt;BW81,TRUE),IF(AND(BW81="",BV81&lt;&gt;""),TRUE))</formula>
    </cfRule>
    <cfRule type="expression" dxfId="862" priority="877">
      <formula>IF(BV81&gt;=BW81,IF(BV81="",FALSE,TRUE))</formula>
    </cfRule>
  </conditionalFormatting>
  <conditionalFormatting sqref="BT83:BT93">
    <cfRule type="expression" dxfId="861" priority="874">
      <formula>OR(IF(BT83&lt;BU83,TRUE),IF(AND(BU83="",BT83&lt;&gt;""),TRUE))</formula>
    </cfRule>
    <cfRule type="expression" dxfId="860" priority="875">
      <formula>IF(BT83&gt;=BU83,IF(BT83="",FALSE,TRUE))</formula>
    </cfRule>
  </conditionalFormatting>
  <conditionalFormatting sqref="CC47 CC51 CA47 CA51">
    <cfRule type="expression" dxfId="859" priority="870">
      <formula>OR(IF(CA47&lt;CB47,TRUE),IF(AND(CB47="",CA47&lt;&gt;""),TRUE))</formula>
    </cfRule>
    <cfRule type="expression" dxfId="858" priority="871">
      <formula>IF(CA47&gt;=CB47,IF(CA47="",FALSE,TRUE))</formula>
    </cfRule>
  </conditionalFormatting>
  <conditionalFormatting sqref="CA5:CA19 CC5:CC19 CC24:CC32 CA24:CA32 CC37:CC46 CA37:CA46">
    <cfRule type="expression" dxfId="857" priority="868">
      <formula>OR(IF(CA5&lt;CB5,TRUE),IF(AND(CB5="",CA5&lt;&gt;""),TRUE))</formula>
    </cfRule>
    <cfRule type="expression" dxfId="856" priority="869">
      <formula>IF(CA5&gt;=CB5,IF(CA5="",FALSE,TRUE))</formula>
    </cfRule>
  </conditionalFormatting>
  <conditionalFormatting sqref="CA22:CA23">
    <cfRule type="expression" dxfId="855" priority="866">
      <formula>OR(IF(CA22&lt;CB22,TRUE),IF(AND(CB22="",CA22&lt;&gt;""),TRUE))</formula>
    </cfRule>
    <cfRule type="expression" dxfId="854" priority="867">
      <formula>IF(CA22&gt;=CB22,IF(CA22="",FALSE,TRUE))</formula>
    </cfRule>
  </conditionalFormatting>
  <conditionalFormatting sqref="CC22:CC23">
    <cfRule type="expression" dxfId="853" priority="864">
      <formula>OR(IF(CC22&lt;CD22,TRUE),IF(AND(CD22="",CC22&lt;&gt;""),TRUE))</formula>
    </cfRule>
    <cfRule type="expression" dxfId="852" priority="865">
      <formula>IF(CC22&gt;=CD22,IF(CC22="",FALSE,TRUE))</formula>
    </cfRule>
  </conditionalFormatting>
  <conditionalFormatting sqref="CA35:CA36">
    <cfRule type="expression" dxfId="851" priority="862">
      <formula>OR(IF(CA35&lt;CB35,TRUE),IF(AND(CB35="",CA35&lt;&gt;""),TRUE))</formula>
    </cfRule>
    <cfRule type="expression" dxfId="850" priority="863">
      <formula>IF(CA35&gt;=CB35,IF(CA35="",FALSE,TRUE))</formula>
    </cfRule>
  </conditionalFormatting>
  <conditionalFormatting sqref="CC35:CC36">
    <cfRule type="expression" dxfId="849" priority="860">
      <formula>OR(IF(CC35&lt;CD35,TRUE),IF(AND(CD35="",CC35&lt;&gt;""),TRUE))</formula>
    </cfRule>
    <cfRule type="expression" dxfId="848" priority="861">
      <formula>IF(CC35&gt;=CD35,IF(CC35="",FALSE,TRUE))</formula>
    </cfRule>
  </conditionalFormatting>
  <conditionalFormatting sqref="CA52:CA53">
    <cfRule type="expression" dxfId="847" priority="858">
      <formula>OR(IF(CA52&lt;CB52,TRUE),IF(AND(CB52="",CA52&lt;&gt;""),TRUE))</formula>
    </cfRule>
    <cfRule type="expression" dxfId="846" priority="859">
      <formula>IF(CA52&gt;=CB52,IF(CA52="",FALSE,TRUE))</formula>
    </cfRule>
  </conditionalFormatting>
  <conditionalFormatting sqref="CC54:CC63">
    <cfRule type="expression" dxfId="845" priority="852">
      <formula>OR(IF(CC54&lt;CD54,TRUE),IF(AND(CD54="",CC54&lt;&gt;""),TRUE))</formula>
    </cfRule>
    <cfRule type="expression" dxfId="844" priority="853">
      <formula>IF(CC54&gt;=CD54,IF(CC54="",FALSE,TRUE))</formula>
    </cfRule>
  </conditionalFormatting>
  <conditionalFormatting sqref="CC52:CC53">
    <cfRule type="expression" dxfId="843" priority="856">
      <formula>OR(IF(CC52&lt;CD52,TRUE),IF(AND(CD52="",CC52&lt;&gt;""),TRUE))</formula>
    </cfRule>
    <cfRule type="expression" dxfId="842" priority="857">
      <formula>IF(CC52&gt;=CD52,IF(CC52="",FALSE,TRUE))</formula>
    </cfRule>
  </conditionalFormatting>
  <conditionalFormatting sqref="CA54:CA63">
    <cfRule type="expression" dxfId="841" priority="854">
      <formula>OR(IF(CA54&lt;CB54,TRUE),IF(AND(CB54="",CA54&lt;&gt;""),TRUE))</formula>
    </cfRule>
    <cfRule type="expression" dxfId="840" priority="855">
      <formula>IF(CA54&gt;=CB54,IF(CA54="",FALSE,TRUE))</formula>
    </cfRule>
  </conditionalFormatting>
  <conditionalFormatting sqref="CC64">
    <cfRule type="expression" dxfId="839" priority="848">
      <formula>OR(IF(CC64&lt;CD64,TRUE),IF(AND(CD64="",CC64&lt;&gt;""),TRUE))</formula>
    </cfRule>
    <cfRule type="expression" dxfId="838" priority="849">
      <formula>IF(CC64&gt;=CD64,IF(CC64="",FALSE,TRUE))</formula>
    </cfRule>
  </conditionalFormatting>
  <conditionalFormatting sqref="CA64">
    <cfRule type="expression" dxfId="837" priority="850">
      <formula>OR(IF(CA64&lt;CB64,TRUE),IF(AND(CB64="",CA64&lt;&gt;""),TRUE))</formula>
    </cfRule>
    <cfRule type="expression" dxfId="836" priority="851">
      <formula>IF(CA64&gt;=CB64,IF(CA64="",FALSE,TRUE))</formula>
    </cfRule>
  </conditionalFormatting>
  <conditionalFormatting sqref="CC65">
    <cfRule type="expression" dxfId="835" priority="844">
      <formula>OR(IF(CC65&lt;CD65,TRUE),IF(AND(CD65="",CC65&lt;&gt;""),TRUE))</formula>
    </cfRule>
    <cfRule type="expression" dxfId="834" priority="845">
      <formula>IF(CC65&gt;=CD65,IF(CC65="",FALSE,TRUE))</formula>
    </cfRule>
  </conditionalFormatting>
  <conditionalFormatting sqref="CA65">
    <cfRule type="expression" dxfId="833" priority="846">
      <formula>OR(IF(CA65&lt;CB65,TRUE),IF(AND(CB65="",CA65&lt;&gt;""),TRUE))</formula>
    </cfRule>
    <cfRule type="expression" dxfId="832" priority="847">
      <formula>IF(CA65&gt;=CB65,IF(CA65="",FALSE,TRUE))</formula>
    </cfRule>
  </conditionalFormatting>
  <conditionalFormatting sqref="CC66">
    <cfRule type="expression" dxfId="831" priority="840">
      <formula>OR(IF(CC66&lt;CD66,TRUE),IF(AND(CD66="",CC66&lt;&gt;""),TRUE))</formula>
    </cfRule>
    <cfRule type="expression" dxfId="830" priority="841">
      <formula>IF(CC66&gt;=CD66,IF(CC66="",FALSE,TRUE))</formula>
    </cfRule>
  </conditionalFormatting>
  <conditionalFormatting sqref="CA66">
    <cfRule type="expression" dxfId="829" priority="842">
      <formula>OR(IF(CA66&lt;CB66,TRUE),IF(AND(CB66="",CA66&lt;&gt;""),TRUE))</formula>
    </cfRule>
    <cfRule type="expression" dxfId="828" priority="843">
      <formula>IF(CA66&gt;=CB66,IF(CA66="",FALSE,TRUE))</formula>
    </cfRule>
  </conditionalFormatting>
  <conditionalFormatting sqref="CC67">
    <cfRule type="expression" dxfId="827" priority="836">
      <formula>OR(IF(CC67&lt;CD67,TRUE),IF(AND(CD67="",CC67&lt;&gt;""),TRUE))</formula>
    </cfRule>
    <cfRule type="expression" dxfId="826" priority="837">
      <formula>IF(CC67&gt;=CD67,IF(CC67="",FALSE,TRUE))</formula>
    </cfRule>
  </conditionalFormatting>
  <conditionalFormatting sqref="CA67">
    <cfRule type="expression" dxfId="825" priority="838">
      <formula>OR(IF(CA67&lt;CB67,TRUE),IF(AND(CB67="",CA67&lt;&gt;""),TRUE))</formula>
    </cfRule>
    <cfRule type="expression" dxfId="824" priority="839">
      <formula>IF(CA67&gt;=CB67,IF(CA67="",FALSE,TRUE))</formula>
    </cfRule>
  </conditionalFormatting>
  <conditionalFormatting sqref="CC68">
    <cfRule type="expression" dxfId="823" priority="832">
      <formula>OR(IF(CC68&lt;CD68,TRUE),IF(AND(CD68="",CC68&lt;&gt;""),TRUE))</formula>
    </cfRule>
    <cfRule type="expression" dxfId="822" priority="833">
      <formula>IF(CC68&gt;=CD68,IF(CC68="",FALSE,TRUE))</formula>
    </cfRule>
  </conditionalFormatting>
  <conditionalFormatting sqref="CA68">
    <cfRule type="expression" dxfId="821" priority="834">
      <formula>OR(IF(CA68&lt;CB68,TRUE),IF(AND(CB68="",CA68&lt;&gt;""),TRUE))</formula>
    </cfRule>
    <cfRule type="expression" dxfId="820" priority="835">
      <formula>IF(CA68&gt;=CB68,IF(CA68="",FALSE,TRUE))</formula>
    </cfRule>
  </conditionalFormatting>
  <conditionalFormatting sqref="CC69">
    <cfRule type="expression" dxfId="819" priority="828">
      <formula>OR(IF(CC69&lt;CD69,TRUE),IF(AND(CD69="",CC69&lt;&gt;""),TRUE))</formula>
    </cfRule>
    <cfRule type="expression" dxfId="818" priority="829">
      <formula>IF(CC69&gt;=CD69,IF(CC69="",FALSE,TRUE))</formula>
    </cfRule>
  </conditionalFormatting>
  <conditionalFormatting sqref="CA69">
    <cfRule type="expression" dxfId="817" priority="830">
      <formula>OR(IF(CA69&lt;CB69,TRUE),IF(AND(CB69="",CA69&lt;&gt;""),TRUE))</formula>
    </cfRule>
    <cfRule type="expression" dxfId="816" priority="831">
      <formula>IF(CA69&gt;=CB69,IF(CA69="",FALSE,TRUE))</formula>
    </cfRule>
  </conditionalFormatting>
  <conditionalFormatting sqref="CC70">
    <cfRule type="expression" dxfId="815" priority="824">
      <formula>OR(IF(CC70&lt;CD70,TRUE),IF(AND(CD70="",CC70&lt;&gt;""),TRUE))</formula>
    </cfRule>
    <cfRule type="expression" dxfId="814" priority="825">
      <formula>IF(CC70&gt;=CD70,IF(CC70="",FALSE,TRUE))</formula>
    </cfRule>
  </conditionalFormatting>
  <conditionalFormatting sqref="CA70">
    <cfRule type="expression" dxfId="813" priority="826">
      <formula>OR(IF(CA70&lt;CB70,TRUE),IF(AND(CB70="",CA70&lt;&gt;""),TRUE))</formula>
    </cfRule>
    <cfRule type="expression" dxfId="812" priority="827">
      <formula>IF(CA70&gt;=CB70,IF(CA70="",FALSE,TRUE))</formula>
    </cfRule>
  </conditionalFormatting>
  <conditionalFormatting sqref="CC71">
    <cfRule type="expression" dxfId="811" priority="820">
      <formula>OR(IF(CC71&lt;CD71,TRUE),IF(AND(CD71="",CC71&lt;&gt;""),TRUE))</formula>
    </cfRule>
    <cfRule type="expression" dxfId="810" priority="821">
      <formula>IF(CC71&gt;=CD71,IF(CC71="",FALSE,TRUE))</formula>
    </cfRule>
  </conditionalFormatting>
  <conditionalFormatting sqref="CA71">
    <cfRule type="expression" dxfId="809" priority="822">
      <formula>OR(IF(CA71&lt;CB71,TRUE),IF(AND(CB71="",CA71&lt;&gt;""),TRUE))</formula>
    </cfRule>
    <cfRule type="expression" dxfId="808" priority="823">
      <formula>IF(CA71&gt;=CB71,IF(CA71="",FALSE,TRUE))</formula>
    </cfRule>
  </conditionalFormatting>
  <conditionalFormatting sqref="CC72">
    <cfRule type="expression" dxfId="807" priority="816">
      <formula>OR(IF(CC72&lt;CD72,TRUE),IF(AND(CD72="",CC72&lt;&gt;""),TRUE))</formula>
    </cfRule>
    <cfRule type="expression" dxfId="806" priority="817">
      <formula>IF(CC72&gt;=CD72,IF(CC72="",FALSE,TRUE))</formula>
    </cfRule>
  </conditionalFormatting>
  <conditionalFormatting sqref="CA72">
    <cfRule type="expression" dxfId="805" priority="818">
      <formula>OR(IF(CA72&lt;CB72,TRUE),IF(AND(CB72="",CA72&lt;&gt;""),TRUE))</formula>
    </cfRule>
    <cfRule type="expression" dxfId="804" priority="819">
      <formula>IF(CA72&gt;=CB72,IF(CA72="",FALSE,TRUE))</formula>
    </cfRule>
  </conditionalFormatting>
  <conditionalFormatting sqref="CC73">
    <cfRule type="expression" dxfId="803" priority="812">
      <formula>OR(IF(CC73&lt;CD73,TRUE),IF(AND(CD73="",CC73&lt;&gt;""),TRUE))</formula>
    </cfRule>
    <cfRule type="expression" dxfId="802" priority="813">
      <formula>IF(CC73&gt;=CD73,IF(CC73="",FALSE,TRUE))</formula>
    </cfRule>
  </conditionalFormatting>
  <conditionalFormatting sqref="CA73">
    <cfRule type="expression" dxfId="801" priority="814">
      <formula>OR(IF(CA73&lt;CB73,TRUE),IF(AND(CB73="",CA73&lt;&gt;""),TRUE))</formula>
    </cfRule>
    <cfRule type="expression" dxfId="800" priority="815">
      <formula>IF(CA73&gt;=CB73,IF(CA73="",FALSE,TRUE))</formula>
    </cfRule>
  </conditionalFormatting>
  <conditionalFormatting sqref="CC74">
    <cfRule type="expression" dxfId="799" priority="808">
      <formula>OR(IF(CC74&lt;CD74,TRUE),IF(AND(CD74="",CC74&lt;&gt;""),TRUE))</formula>
    </cfRule>
    <cfRule type="expression" dxfId="798" priority="809">
      <formula>IF(CC74&gt;=CD74,IF(CC74="",FALSE,TRUE))</formula>
    </cfRule>
  </conditionalFormatting>
  <conditionalFormatting sqref="CA74">
    <cfRule type="expression" dxfId="797" priority="810">
      <formula>OR(IF(CA74&lt;CB74,TRUE),IF(AND(CB74="",CA74&lt;&gt;""),TRUE))</formula>
    </cfRule>
    <cfRule type="expression" dxfId="796" priority="811">
      <formula>IF(CA74&gt;=CB74,IF(CA74="",FALSE,TRUE))</formula>
    </cfRule>
  </conditionalFormatting>
  <conditionalFormatting sqref="CC75">
    <cfRule type="expression" dxfId="795" priority="804">
      <formula>OR(IF(CC75&lt;CD75,TRUE),IF(AND(CD75="",CC75&lt;&gt;""),TRUE))</formula>
    </cfRule>
    <cfRule type="expression" dxfId="794" priority="805">
      <formula>IF(CC75&gt;=CD75,IF(CC75="",FALSE,TRUE))</formula>
    </cfRule>
  </conditionalFormatting>
  <conditionalFormatting sqref="CA75">
    <cfRule type="expression" dxfId="793" priority="806">
      <formula>OR(IF(CA75&lt;CB75,TRUE),IF(AND(CB75="",CA75&lt;&gt;""),TRUE))</formula>
    </cfRule>
    <cfRule type="expression" dxfId="792" priority="807">
      <formula>IF(CA75&gt;=CB75,IF(CA75="",FALSE,TRUE))</formula>
    </cfRule>
  </conditionalFormatting>
  <conditionalFormatting sqref="CC76">
    <cfRule type="expression" dxfId="791" priority="800">
      <formula>OR(IF(CC76&lt;CD76,TRUE),IF(AND(CD76="",CC76&lt;&gt;""),TRUE))</formula>
    </cfRule>
    <cfRule type="expression" dxfId="790" priority="801">
      <formula>IF(CC76&gt;=CD76,IF(CC76="",FALSE,TRUE))</formula>
    </cfRule>
  </conditionalFormatting>
  <conditionalFormatting sqref="CA76">
    <cfRule type="expression" dxfId="789" priority="802">
      <formula>OR(IF(CA76&lt;CB76,TRUE),IF(AND(CB76="",CA76&lt;&gt;""),TRUE))</formula>
    </cfRule>
    <cfRule type="expression" dxfId="788" priority="803">
      <formula>IF(CA76&gt;=CB76,IF(CA76="",FALSE,TRUE))</formula>
    </cfRule>
  </conditionalFormatting>
  <conditionalFormatting sqref="CC80 CA80">
    <cfRule type="expression" dxfId="787" priority="798">
      <formula>OR(IF(CA80&lt;CB80,TRUE),IF(AND(CB80="",CA80&lt;&gt;""),TRUE))</formula>
    </cfRule>
    <cfRule type="expression" dxfId="786" priority="799">
      <formula>IF(CA80&gt;=CB80,IF(CA80="",FALSE,TRUE))</formula>
    </cfRule>
  </conditionalFormatting>
  <conditionalFormatting sqref="CA81:CA82">
    <cfRule type="expression" dxfId="785" priority="796">
      <formula>OR(IF(CA81&lt;CB81,TRUE),IF(AND(CB81="",CA81&lt;&gt;""),TRUE))</formula>
    </cfRule>
    <cfRule type="expression" dxfId="784" priority="797">
      <formula>IF(CA81&gt;=CB81,IF(CA81="",FALSE,TRUE))</formula>
    </cfRule>
  </conditionalFormatting>
  <conditionalFormatting sqref="CC83:CC93">
    <cfRule type="expression" dxfId="783" priority="790">
      <formula>OR(IF(CC83&lt;CD83,TRUE),IF(AND(CD83="",CC83&lt;&gt;""),TRUE))</formula>
    </cfRule>
    <cfRule type="expression" dxfId="782" priority="791">
      <formula>IF(CC83&gt;=CD83,IF(CC83="",FALSE,TRUE))</formula>
    </cfRule>
  </conditionalFormatting>
  <conditionalFormatting sqref="CC81:CC82">
    <cfRule type="expression" dxfId="781" priority="794">
      <formula>OR(IF(CC81&lt;CD81,TRUE),IF(AND(CD81="",CC81&lt;&gt;""),TRUE))</formula>
    </cfRule>
    <cfRule type="expression" dxfId="780" priority="795">
      <formula>IF(CC81&gt;=CD81,IF(CC81="",FALSE,TRUE))</formula>
    </cfRule>
  </conditionalFormatting>
  <conditionalFormatting sqref="CA83:CA93">
    <cfRule type="expression" dxfId="779" priority="792">
      <formula>OR(IF(CA83&lt;CB83,TRUE),IF(AND(CB83="",CA83&lt;&gt;""),TRUE))</formula>
    </cfRule>
    <cfRule type="expression" dxfId="778" priority="793">
      <formula>IF(CA83&gt;=CB83,IF(CA83="",FALSE,TRUE))</formula>
    </cfRule>
  </conditionalFormatting>
  <conditionalFormatting sqref="CJ47 CJ51 CH47 CH51">
    <cfRule type="expression" dxfId="777" priority="788">
      <formula>OR(IF(CH47&lt;CI47,TRUE),IF(AND(CI47="",CH47&lt;&gt;""),TRUE))</formula>
    </cfRule>
    <cfRule type="expression" dxfId="776" priority="789">
      <formula>IF(CH47&gt;=CI47,IF(CH47="",FALSE,TRUE))</formula>
    </cfRule>
  </conditionalFormatting>
  <conditionalFormatting sqref="CH5:CH19 CJ5:CJ19 CJ24:CJ32 CH24:CH32 CJ37:CJ46 CH37:CH46">
    <cfRule type="expression" dxfId="775" priority="786">
      <formula>OR(IF(CH5&lt;CI5,TRUE),IF(AND(CI5="",CH5&lt;&gt;""),TRUE))</formula>
    </cfRule>
    <cfRule type="expression" dxfId="774" priority="787">
      <formula>IF(CH5&gt;=CI5,IF(CH5="",FALSE,TRUE))</formula>
    </cfRule>
  </conditionalFormatting>
  <conditionalFormatting sqref="CH22:CH23">
    <cfRule type="expression" dxfId="773" priority="784">
      <formula>OR(IF(CH22&lt;CI22,TRUE),IF(AND(CI22="",CH22&lt;&gt;""),TRUE))</formula>
    </cfRule>
    <cfRule type="expression" dxfId="772" priority="785">
      <formula>IF(CH22&gt;=CI22,IF(CH22="",FALSE,TRUE))</formula>
    </cfRule>
  </conditionalFormatting>
  <conditionalFormatting sqref="CJ22:CJ23">
    <cfRule type="expression" dxfId="771" priority="782">
      <formula>OR(IF(CJ22&lt;CK22,TRUE),IF(AND(CK22="",CJ22&lt;&gt;""),TRUE))</formula>
    </cfRule>
    <cfRule type="expression" dxfId="770" priority="783">
      <formula>IF(CJ22&gt;=CK22,IF(CJ22="",FALSE,TRUE))</formula>
    </cfRule>
  </conditionalFormatting>
  <conditionalFormatting sqref="CH35:CH36">
    <cfRule type="expression" dxfId="769" priority="780">
      <formula>OR(IF(CH35&lt;CI35,TRUE),IF(AND(CI35="",CH35&lt;&gt;""),TRUE))</formula>
    </cfRule>
    <cfRule type="expression" dxfId="768" priority="781">
      <formula>IF(CH35&gt;=CI35,IF(CH35="",FALSE,TRUE))</formula>
    </cfRule>
  </conditionalFormatting>
  <conditionalFormatting sqref="CJ35:CJ36">
    <cfRule type="expression" dxfId="767" priority="778">
      <formula>OR(IF(CJ35&lt;CK35,TRUE),IF(AND(CK35="",CJ35&lt;&gt;""),TRUE))</formula>
    </cfRule>
    <cfRule type="expression" dxfId="766" priority="779">
      <formula>IF(CJ35&gt;=CK35,IF(CJ35="",FALSE,TRUE))</formula>
    </cfRule>
  </conditionalFormatting>
  <conditionalFormatting sqref="CH52:CH53">
    <cfRule type="expression" dxfId="765" priority="776">
      <formula>OR(IF(CH52&lt;CI52,TRUE),IF(AND(CI52="",CH52&lt;&gt;""),TRUE))</formula>
    </cfRule>
    <cfRule type="expression" dxfId="764" priority="777">
      <formula>IF(CH52&gt;=CI52,IF(CH52="",FALSE,TRUE))</formula>
    </cfRule>
  </conditionalFormatting>
  <conditionalFormatting sqref="CJ54:CJ63">
    <cfRule type="expression" dxfId="763" priority="770">
      <formula>OR(IF(CJ54&lt;CK54,TRUE),IF(AND(CK54="",CJ54&lt;&gt;""),TRUE))</formula>
    </cfRule>
    <cfRule type="expression" dxfId="762" priority="771">
      <formula>IF(CJ54&gt;=CK54,IF(CJ54="",FALSE,TRUE))</formula>
    </cfRule>
  </conditionalFormatting>
  <conditionalFormatting sqref="CJ52:CJ53">
    <cfRule type="expression" dxfId="761" priority="774">
      <formula>OR(IF(CJ52&lt;CK52,TRUE),IF(AND(CK52="",CJ52&lt;&gt;""),TRUE))</formula>
    </cfRule>
    <cfRule type="expression" dxfId="760" priority="775">
      <formula>IF(CJ52&gt;=CK52,IF(CJ52="",FALSE,TRUE))</formula>
    </cfRule>
  </conditionalFormatting>
  <conditionalFormatting sqref="CH54:CH63">
    <cfRule type="expression" dxfId="759" priority="772">
      <formula>OR(IF(CH54&lt;CI54,TRUE),IF(AND(CI54="",CH54&lt;&gt;""),TRUE))</formula>
    </cfRule>
    <cfRule type="expression" dxfId="758" priority="773">
      <formula>IF(CH54&gt;=CI54,IF(CH54="",FALSE,TRUE))</formula>
    </cfRule>
  </conditionalFormatting>
  <conditionalFormatting sqref="CJ64">
    <cfRule type="expression" dxfId="757" priority="766">
      <formula>OR(IF(CJ64&lt;CK64,TRUE),IF(AND(CK64="",CJ64&lt;&gt;""),TRUE))</formula>
    </cfRule>
    <cfRule type="expression" dxfId="756" priority="767">
      <formula>IF(CJ64&gt;=CK64,IF(CJ64="",FALSE,TRUE))</formula>
    </cfRule>
  </conditionalFormatting>
  <conditionalFormatting sqref="CH64">
    <cfRule type="expression" dxfId="755" priority="768">
      <formula>OR(IF(CH64&lt;CI64,TRUE),IF(AND(CI64="",CH64&lt;&gt;""),TRUE))</formula>
    </cfRule>
    <cfRule type="expression" dxfId="754" priority="769">
      <formula>IF(CH64&gt;=CI64,IF(CH64="",FALSE,TRUE))</formula>
    </cfRule>
  </conditionalFormatting>
  <conditionalFormatting sqref="CJ65">
    <cfRule type="expression" dxfId="753" priority="762">
      <formula>OR(IF(CJ65&lt;CK65,TRUE),IF(AND(CK65="",CJ65&lt;&gt;""),TRUE))</formula>
    </cfRule>
    <cfRule type="expression" dxfId="752" priority="763">
      <formula>IF(CJ65&gt;=CK65,IF(CJ65="",FALSE,TRUE))</formula>
    </cfRule>
  </conditionalFormatting>
  <conditionalFormatting sqref="CH65">
    <cfRule type="expression" dxfId="751" priority="764">
      <formula>OR(IF(CH65&lt;CI65,TRUE),IF(AND(CI65="",CH65&lt;&gt;""),TRUE))</formula>
    </cfRule>
    <cfRule type="expression" dxfId="750" priority="765">
      <formula>IF(CH65&gt;=CI65,IF(CH65="",FALSE,TRUE))</formula>
    </cfRule>
  </conditionalFormatting>
  <conditionalFormatting sqref="CJ66">
    <cfRule type="expression" dxfId="749" priority="758">
      <formula>OR(IF(CJ66&lt;CK66,TRUE),IF(AND(CK66="",CJ66&lt;&gt;""),TRUE))</formula>
    </cfRule>
    <cfRule type="expression" dxfId="748" priority="759">
      <formula>IF(CJ66&gt;=CK66,IF(CJ66="",FALSE,TRUE))</formula>
    </cfRule>
  </conditionalFormatting>
  <conditionalFormatting sqref="CH66">
    <cfRule type="expression" dxfId="747" priority="760">
      <formula>OR(IF(CH66&lt;CI66,TRUE),IF(AND(CI66="",CH66&lt;&gt;""),TRUE))</formula>
    </cfRule>
    <cfRule type="expression" dxfId="746" priority="761">
      <formula>IF(CH66&gt;=CI66,IF(CH66="",FALSE,TRUE))</formula>
    </cfRule>
  </conditionalFormatting>
  <conditionalFormatting sqref="CJ67">
    <cfRule type="expression" dxfId="745" priority="754">
      <formula>OR(IF(CJ67&lt;CK67,TRUE),IF(AND(CK67="",CJ67&lt;&gt;""),TRUE))</formula>
    </cfRule>
    <cfRule type="expression" dxfId="744" priority="755">
      <formula>IF(CJ67&gt;=CK67,IF(CJ67="",FALSE,TRUE))</formula>
    </cfRule>
  </conditionalFormatting>
  <conditionalFormatting sqref="CH67">
    <cfRule type="expression" dxfId="743" priority="756">
      <formula>OR(IF(CH67&lt;CI67,TRUE),IF(AND(CI67="",CH67&lt;&gt;""),TRUE))</formula>
    </cfRule>
    <cfRule type="expression" dxfId="742" priority="757">
      <formula>IF(CH67&gt;=CI67,IF(CH67="",FALSE,TRUE))</formula>
    </cfRule>
  </conditionalFormatting>
  <conditionalFormatting sqref="CJ68">
    <cfRule type="expression" dxfId="741" priority="750">
      <formula>OR(IF(CJ68&lt;CK68,TRUE),IF(AND(CK68="",CJ68&lt;&gt;""),TRUE))</formula>
    </cfRule>
    <cfRule type="expression" dxfId="740" priority="751">
      <formula>IF(CJ68&gt;=CK68,IF(CJ68="",FALSE,TRUE))</formula>
    </cfRule>
  </conditionalFormatting>
  <conditionalFormatting sqref="CH68">
    <cfRule type="expression" dxfId="739" priority="752">
      <formula>OR(IF(CH68&lt;CI68,TRUE),IF(AND(CI68="",CH68&lt;&gt;""),TRUE))</formula>
    </cfRule>
    <cfRule type="expression" dxfId="738" priority="753">
      <formula>IF(CH68&gt;=CI68,IF(CH68="",FALSE,TRUE))</formula>
    </cfRule>
  </conditionalFormatting>
  <conditionalFormatting sqref="CJ69">
    <cfRule type="expression" dxfId="737" priority="746">
      <formula>OR(IF(CJ69&lt;CK69,TRUE),IF(AND(CK69="",CJ69&lt;&gt;""),TRUE))</formula>
    </cfRule>
    <cfRule type="expression" dxfId="736" priority="747">
      <formula>IF(CJ69&gt;=CK69,IF(CJ69="",FALSE,TRUE))</formula>
    </cfRule>
  </conditionalFormatting>
  <conditionalFormatting sqref="CH69">
    <cfRule type="expression" dxfId="735" priority="748">
      <formula>OR(IF(CH69&lt;CI69,TRUE),IF(AND(CI69="",CH69&lt;&gt;""),TRUE))</formula>
    </cfRule>
    <cfRule type="expression" dxfId="734" priority="749">
      <formula>IF(CH69&gt;=CI69,IF(CH69="",FALSE,TRUE))</formula>
    </cfRule>
  </conditionalFormatting>
  <conditionalFormatting sqref="CJ70">
    <cfRule type="expression" dxfId="733" priority="742">
      <formula>OR(IF(CJ70&lt;CK70,TRUE),IF(AND(CK70="",CJ70&lt;&gt;""),TRUE))</formula>
    </cfRule>
    <cfRule type="expression" dxfId="732" priority="743">
      <formula>IF(CJ70&gt;=CK70,IF(CJ70="",FALSE,TRUE))</formula>
    </cfRule>
  </conditionalFormatting>
  <conditionalFormatting sqref="CH70">
    <cfRule type="expression" dxfId="731" priority="744">
      <formula>OR(IF(CH70&lt;CI70,TRUE),IF(AND(CI70="",CH70&lt;&gt;""),TRUE))</formula>
    </cfRule>
    <cfRule type="expression" dxfId="730" priority="745">
      <formula>IF(CH70&gt;=CI70,IF(CH70="",FALSE,TRUE))</formula>
    </cfRule>
  </conditionalFormatting>
  <conditionalFormatting sqref="CJ71">
    <cfRule type="expression" dxfId="729" priority="738">
      <formula>OR(IF(CJ71&lt;CK71,TRUE),IF(AND(CK71="",CJ71&lt;&gt;""),TRUE))</formula>
    </cfRule>
    <cfRule type="expression" dxfId="728" priority="739">
      <formula>IF(CJ71&gt;=CK71,IF(CJ71="",FALSE,TRUE))</formula>
    </cfRule>
  </conditionalFormatting>
  <conditionalFormatting sqref="CH71">
    <cfRule type="expression" dxfId="727" priority="740">
      <formula>OR(IF(CH71&lt;CI71,TRUE),IF(AND(CI71="",CH71&lt;&gt;""),TRUE))</formula>
    </cfRule>
    <cfRule type="expression" dxfId="726" priority="741">
      <formula>IF(CH71&gt;=CI71,IF(CH71="",FALSE,TRUE))</formula>
    </cfRule>
  </conditionalFormatting>
  <conditionalFormatting sqref="CJ72">
    <cfRule type="expression" dxfId="725" priority="734">
      <formula>OR(IF(CJ72&lt;CK72,TRUE),IF(AND(CK72="",CJ72&lt;&gt;""),TRUE))</formula>
    </cfRule>
    <cfRule type="expression" dxfId="724" priority="735">
      <formula>IF(CJ72&gt;=CK72,IF(CJ72="",FALSE,TRUE))</formula>
    </cfRule>
  </conditionalFormatting>
  <conditionalFormatting sqref="CH72">
    <cfRule type="expression" dxfId="723" priority="736">
      <formula>OR(IF(CH72&lt;CI72,TRUE),IF(AND(CI72="",CH72&lt;&gt;""),TRUE))</formula>
    </cfRule>
    <cfRule type="expression" dxfId="722" priority="737">
      <formula>IF(CH72&gt;=CI72,IF(CH72="",FALSE,TRUE))</formula>
    </cfRule>
  </conditionalFormatting>
  <conditionalFormatting sqref="CJ73">
    <cfRule type="expression" dxfId="721" priority="730">
      <formula>OR(IF(CJ73&lt;CK73,TRUE),IF(AND(CK73="",CJ73&lt;&gt;""),TRUE))</formula>
    </cfRule>
    <cfRule type="expression" dxfId="720" priority="731">
      <formula>IF(CJ73&gt;=CK73,IF(CJ73="",FALSE,TRUE))</formula>
    </cfRule>
  </conditionalFormatting>
  <conditionalFormatting sqref="CH73">
    <cfRule type="expression" dxfId="719" priority="732">
      <formula>OR(IF(CH73&lt;CI73,TRUE),IF(AND(CI73="",CH73&lt;&gt;""),TRUE))</formula>
    </cfRule>
    <cfRule type="expression" dxfId="718" priority="733">
      <formula>IF(CH73&gt;=CI73,IF(CH73="",FALSE,TRUE))</formula>
    </cfRule>
  </conditionalFormatting>
  <conditionalFormatting sqref="CJ74">
    <cfRule type="expression" dxfId="717" priority="726">
      <formula>OR(IF(CJ74&lt;CK74,TRUE),IF(AND(CK74="",CJ74&lt;&gt;""),TRUE))</formula>
    </cfRule>
    <cfRule type="expression" dxfId="716" priority="727">
      <formula>IF(CJ74&gt;=CK74,IF(CJ74="",FALSE,TRUE))</formula>
    </cfRule>
  </conditionalFormatting>
  <conditionalFormatting sqref="CH74">
    <cfRule type="expression" dxfId="715" priority="728">
      <formula>OR(IF(CH74&lt;CI74,TRUE),IF(AND(CI74="",CH74&lt;&gt;""),TRUE))</formula>
    </cfRule>
    <cfRule type="expression" dxfId="714" priority="729">
      <formula>IF(CH74&gt;=CI74,IF(CH74="",FALSE,TRUE))</formula>
    </cfRule>
  </conditionalFormatting>
  <conditionalFormatting sqref="CJ75">
    <cfRule type="expression" dxfId="713" priority="722">
      <formula>OR(IF(CJ75&lt;CK75,TRUE),IF(AND(CK75="",CJ75&lt;&gt;""),TRUE))</formula>
    </cfRule>
    <cfRule type="expression" dxfId="712" priority="723">
      <formula>IF(CJ75&gt;=CK75,IF(CJ75="",FALSE,TRUE))</formula>
    </cfRule>
  </conditionalFormatting>
  <conditionalFormatting sqref="CH75">
    <cfRule type="expression" dxfId="711" priority="724">
      <formula>OR(IF(CH75&lt;CI75,TRUE),IF(AND(CI75="",CH75&lt;&gt;""),TRUE))</formula>
    </cfRule>
    <cfRule type="expression" dxfId="710" priority="725">
      <formula>IF(CH75&gt;=CI75,IF(CH75="",FALSE,TRUE))</formula>
    </cfRule>
  </conditionalFormatting>
  <conditionalFormatting sqref="CJ76">
    <cfRule type="expression" dxfId="709" priority="718">
      <formula>OR(IF(CJ76&lt;CK76,TRUE),IF(AND(CK76="",CJ76&lt;&gt;""),TRUE))</formula>
    </cfRule>
    <cfRule type="expression" dxfId="708" priority="719">
      <formula>IF(CJ76&gt;=CK76,IF(CJ76="",FALSE,TRUE))</formula>
    </cfRule>
  </conditionalFormatting>
  <conditionalFormatting sqref="CH76">
    <cfRule type="expression" dxfId="707" priority="720">
      <formula>OR(IF(CH76&lt;CI76,TRUE),IF(AND(CI76="",CH76&lt;&gt;""),TRUE))</formula>
    </cfRule>
    <cfRule type="expression" dxfId="706" priority="721">
      <formula>IF(CH76&gt;=CI76,IF(CH76="",FALSE,TRUE))</formula>
    </cfRule>
  </conditionalFormatting>
  <conditionalFormatting sqref="CJ80 CH80">
    <cfRule type="expression" dxfId="705" priority="716">
      <formula>OR(IF(CH80&lt;CI80,TRUE),IF(AND(CI80="",CH80&lt;&gt;""),TRUE))</formula>
    </cfRule>
    <cfRule type="expression" dxfId="704" priority="717">
      <formula>IF(CH80&gt;=CI80,IF(CH80="",FALSE,TRUE))</formula>
    </cfRule>
  </conditionalFormatting>
  <conditionalFormatting sqref="CH81:CH82">
    <cfRule type="expression" dxfId="703" priority="714">
      <formula>OR(IF(CH81&lt;CI81,TRUE),IF(AND(CI81="",CH81&lt;&gt;""),TRUE))</formula>
    </cfRule>
    <cfRule type="expression" dxfId="702" priority="715">
      <formula>IF(CH81&gt;=CI81,IF(CH81="",FALSE,TRUE))</formula>
    </cfRule>
  </conditionalFormatting>
  <conditionalFormatting sqref="CJ83:CJ93">
    <cfRule type="expression" dxfId="701" priority="708">
      <formula>OR(IF(CJ83&lt;CK83,TRUE),IF(AND(CK83="",CJ83&lt;&gt;""),TRUE))</formula>
    </cfRule>
    <cfRule type="expression" dxfId="700" priority="709">
      <formula>IF(CJ83&gt;=CK83,IF(CJ83="",FALSE,TRUE))</formula>
    </cfRule>
  </conditionalFormatting>
  <conditionalFormatting sqref="CJ81:CJ82">
    <cfRule type="expression" dxfId="699" priority="712">
      <formula>OR(IF(CJ81&lt;CK81,TRUE),IF(AND(CK81="",CJ81&lt;&gt;""),TRUE))</formula>
    </cfRule>
    <cfRule type="expression" dxfId="698" priority="713">
      <formula>IF(CJ81&gt;=CK81,IF(CJ81="",FALSE,TRUE))</formula>
    </cfRule>
  </conditionalFormatting>
  <conditionalFormatting sqref="CH83:CH93">
    <cfRule type="expression" dxfId="697" priority="710">
      <formula>OR(IF(CH83&lt;CI83,TRUE),IF(AND(CI83="",CH83&lt;&gt;""),TRUE))</formula>
    </cfRule>
    <cfRule type="expression" dxfId="696" priority="711">
      <formula>IF(CH83&gt;=CI83,IF(CH83="",FALSE,TRUE))</formula>
    </cfRule>
  </conditionalFormatting>
  <conditionalFormatting sqref="CQ47 CQ51 CO47 CO51">
    <cfRule type="expression" dxfId="695" priority="706">
      <formula>OR(IF(CO47&lt;CP47,TRUE),IF(AND(CP47="",CO47&lt;&gt;""),TRUE))</formula>
    </cfRule>
    <cfRule type="expression" dxfId="694" priority="707">
      <formula>IF(CO47&gt;=CP47,IF(CO47="",FALSE,TRUE))</formula>
    </cfRule>
  </conditionalFormatting>
  <conditionalFormatting sqref="CO5:CO19 CQ5:CQ19 CQ24:CQ32 CO24:CO32 CQ37:CQ46 CO37:CO46">
    <cfRule type="expression" dxfId="693" priority="704">
      <formula>OR(IF(CO5&lt;CP5,TRUE),IF(AND(CP5="",CO5&lt;&gt;""),TRUE))</formula>
    </cfRule>
    <cfRule type="expression" dxfId="692" priority="705">
      <formula>IF(CO5&gt;=CP5,IF(CO5="",FALSE,TRUE))</formula>
    </cfRule>
  </conditionalFormatting>
  <conditionalFormatting sqref="CO22:CO23">
    <cfRule type="expression" dxfId="691" priority="702">
      <formula>OR(IF(CO22&lt;CP22,TRUE),IF(AND(CP22="",CO22&lt;&gt;""),TRUE))</formula>
    </cfRule>
    <cfRule type="expression" dxfId="690" priority="703">
      <formula>IF(CO22&gt;=CP22,IF(CO22="",FALSE,TRUE))</formula>
    </cfRule>
  </conditionalFormatting>
  <conditionalFormatting sqref="CQ22:CQ23">
    <cfRule type="expression" dxfId="689" priority="700">
      <formula>OR(IF(CQ22&lt;CR22,TRUE),IF(AND(CR22="",CQ22&lt;&gt;""),TRUE))</formula>
    </cfRule>
    <cfRule type="expression" dxfId="688" priority="701">
      <formula>IF(CQ22&gt;=CR22,IF(CQ22="",FALSE,TRUE))</formula>
    </cfRule>
  </conditionalFormatting>
  <conditionalFormatting sqref="CO35:CO36">
    <cfRule type="expression" dxfId="687" priority="698">
      <formula>OR(IF(CO35&lt;CP35,TRUE),IF(AND(CP35="",CO35&lt;&gt;""),TRUE))</formula>
    </cfRule>
    <cfRule type="expression" dxfId="686" priority="699">
      <formula>IF(CO35&gt;=CP35,IF(CO35="",FALSE,TRUE))</formula>
    </cfRule>
  </conditionalFormatting>
  <conditionalFormatting sqref="CQ35:CQ36">
    <cfRule type="expression" dxfId="685" priority="696">
      <formula>OR(IF(CQ35&lt;CR35,TRUE),IF(AND(CR35="",CQ35&lt;&gt;""),TRUE))</formula>
    </cfRule>
    <cfRule type="expression" dxfId="684" priority="697">
      <formula>IF(CQ35&gt;=CR35,IF(CQ35="",FALSE,TRUE))</formula>
    </cfRule>
  </conditionalFormatting>
  <conditionalFormatting sqref="CO52:CO53">
    <cfRule type="expression" dxfId="683" priority="694">
      <formula>OR(IF(CO52&lt;CP52,TRUE),IF(AND(CP52="",CO52&lt;&gt;""),TRUE))</formula>
    </cfRule>
    <cfRule type="expression" dxfId="682" priority="695">
      <formula>IF(CO52&gt;=CP52,IF(CO52="",FALSE,TRUE))</formula>
    </cfRule>
  </conditionalFormatting>
  <conditionalFormatting sqref="CQ54:CQ63">
    <cfRule type="expression" dxfId="681" priority="688">
      <formula>OR(IF(CQ54&lt;CR54,TRUE),IF(AND(CR54="",CQ54&lt;&gt;""),TRUE))</formula>
    </cfRule>
    <cfRule type="expression" dxfId="680" priority="689">
      <formula>IF(CQ54&gt;=CR54,IF(CQ54="",FALSE,TRUE))</formula>
    </cfRule>
  </conditionalFormatting>
  <conditionalFormatting sqref="CQ52:CQ53">
    <cfRule type="expression" dxfId="679" priority="692">
      <formula>OR(IF(CQ52&lt;CR52,TRUE),IF(AND(CR52="",CQ52&lt;&gt;""),TRUE))</formula>
    </cfRule>
    <cfRule type="expression" dxfId="678" priority="693">
      <formula>IF(CQ52&gt;=CR52,IF(CQ52="",FALSE,TRUE))</formula>
    </cfRule>
  </conditionalFormatting>
  <conditionalFormatting sqref="CO54:CO63">
    <cfRule type="expression" dxfId="677" priority="690">
      <formula>OR(IF(CO54&lt;CP54,TRUE),IF(AND(CP54="",CO54&lt;&gt;""),TRUE))</formula>
    </cfRule>
    <cfRule type="expression" dxfId="676" priority="691">
      <formula>IF(CO54&gt;=CP54,IF(CO54="",FALSE,TRUE))</formula>
    </cfRule>
  </conditionalFormatting>
  <conditionalFormatting sqref="CQ64">
    <cfRule type="expression" dxfId="675" priority="684">
      <formula>OR(IF(CQ64&lt;CR64,TRUE),IF(AND(CR64="",CQ64&lt;&gt;""),TRUE))</formula>
    </cfRule>
    <cfRule type="expression" dxfId="674" priority="685">
      <formula>IF(CQ64&gt;=CR64,IF(CQ64="",FALSE,TRUE))</formula>
    </cfRule>
  </conditionalFormatting>
  <conditionalFormatting sqref="CO64">
    <cfRule type="expression" dxfId="673" priority="686">
      <formula>OR(IF(CO64&lt;CP64,TRUE),IF(AND(CP64="",CO64&lt;&gt;""),TRUE))</formula>
    </cfRule>
    <cfRule type="expression" dxfId="672" priority="687">
      <formula>IF(CO64&gt;=CP64,IF(CO64="",FALSE,TRUE))</formula>
    </cfRule>
  </conditionalFormatting>
  <conditionalFormatting sqref="CQ65">
    <cfRule type="expression" dxfId="671" priority="680">
      <formula>OR(IF(CQ65&lt;CR65,TRUE),IF(AND(CR65="",CQ65&lt;&gt;""),TRUE))</formula>
    </cfRule>
    <cfRule type="expression" dxfId="670" priority="681">
      <formula>IF(CQ65&gt;=CR65,IF(CQ65="",FALSE,TRUE))</formula>
    </cfRule>
  </conditionalFormatting>
  <conditionalFormatting sqref="CO65">
    <cfRule type="expression" dxfId="669" priority="682">
      <formula>OR(IF(CO65&lt;CP65,TRUE),IF(AND(CP65="",CO65&lt;&gt;""),TRUE))</formula>
    </cfRule>
    <cfRule type="expression" dxfId="668" priority="683">
      <formula>IF(CO65&gt;=CP65,IF(CO65="",FALSE,TRUE))</formula>
    </cfRule>
  </conditionalFormatting>
  <conditionalFormatting sqref="CQ66">
    <cfRule type="expression" dxfId="667" priority="676">
      <formula>OR(IF(CQ66&lt;CR66,TRUE),IF(AND(CR66="",CQ66&lt;&gt;""),TRUE))</formula>
    </cfRule>
    <cfRule type="expression" dxfId="666" priority="677">
      <formula>IF(CQ66&gt;=CR66,IF(CQ66="",FALSE,TRUE))</formula>
    </cfRule>
  </conditionalFormatting>
  <conditionalFormatting sqref="CO66">
    <cfRule type="expression" dxfId="665" priority="678">
      <formula>OR(IF(CO66&lt;CP66,TRUE),IF(AND(CP66="",CO66&lt;&gt;""),TRUE))</formula>
    </cfRule>
    <cfRule type="expression" dxfId="664" priority="679">
      <formula>IF(CO66&gt;=CP66,IF(CO66="",FALSE,TRUE))</formula>
    </cfRule>
  </conditionalFormatting>
  <conditionalFormatting sqref="CQ67">
    <cfRule type="expression" dxfId="663" priority="672">
      <formula>OR(IF(CQ67&lt;CR67,TRUE),IF(AND(CR67="",CQ67&lt;&gt;""),TRUE))</formula>
    </cfRule>
    <cfRule type="expression" dxfId="662" priority="673">
      <formula>IF(CQ67&gt;=CR67,IF(CQ67="",FALSE,TRUE))</formula>
    </cfRule>
  </conditionalFormatting>
  <conditionalFormatting sqref="CO67">
    <cfRule type="expression" dxfId="661" priority="674">
      <formula>OR(IF(CO67&lt;CP67,TRUE),IF(AND(CP67="",CO67&lt;&gt;""),TRUE))</formula>
    </cfRule>
    <cfRule type="expression" dxfId="660" priority="675">
      <formula>IF(CO67&gt;=CP67,IF(CO67="",FALSE,TRUE))</formula>
    </cfRule>
  </conditionalFormatting>
  <conditionalFormatting sqref="CQ68">
    <cfRule type="expression" dxfId="659" priority="668">
      <formula>OR(IF(CQ68&lt;CR68,TRUE),IF(AND(CR68="",CQ68&lt;&gt;""),TRUE))</formula>
    </cfRule>
    <cfRule type="expression" dxfId="658" priority="669">
      <formula>IF(CQ68&gt;=CR68,IF(CQ68="",FALSE,TRUE))</formula>
    </cfRule>
  </conditionalFormatting>
  <conditionalFormatting sqref="CO68">
    <cfRule type="expression" dxfId="657" priority="670">
      <formula>OR(IF(CO68&lt;CP68,TRUE),IF(AND(CP68="",CO68&lt;&gt;""),TRUE))</formula>
    </cfRule>
    <cfRule type="expression" dxfId="656" priority="671">
      <formula>IF(CO68&gt;=CP68,IF(CO68="",FALSE,TRUE))</formula>
    </cfRule>
  </conditionalFormatting>
  <conditionalFormatting sqref="CQ69">
    <cfRule type="expression" dxfId="655" priority="664">
      <formula>OR(IF(CQ69&lt;CR69,TRUE),IF(AND(CR69="",CQ69&lt;&gt;""),TRUE))</formula>
    </cfRule>
    <cfRule type="expression" dxfId="654" priority="665">
      <formula>IF(CQ69&gt;=CR69,IF(CQ69="",FALSE,TRUE))</formula>
    </cfRule>
  </conditionalFormatting>
  <conditionalFormatting sqref="CO69">
    <cfRule type="expression" dxfId="653" priority="666">
      <formula>OR(IF(CO69&lt;CP69,TRUE),IF(AND(CP69="",CO69&lt;&gt;""),TRUE))</formula>
    </cfRule>
    <cfRule type="expression" dxfId="652" priority="667">
      <formula>IF(CO69&gt;=CP69,IF(CO69="",FALSE,TRUE))</formula>
    </cfRule>
  </conditionalFormatting>
  <conditionalFormatting sqref="CQ70">
    <cfRule type="expression" dxfId="651" priority="660">
      <formula>OR(IF(CQ70&lt;CR70,TRUE),IF(AND(CR70="",CQ70&lt;&gt;""),TRUE))</formula>
    </cfRule>
    <cfRule type="expression" dxfId="650" priority="661">
      <formula>IF(CQ70&gt;=CR70,IF(CQ70="",FALSE,TRUE))</formula>
    </cfRule>
  </conditionalFormatting>
  <conditionalFormatting sqref="CO70">
    <cfRule type="expression" dxfId="649" priority="662">
      <formula>OR(IF(CO70&lt;CP70,TRUE),IF(AND(CP70="",CO70&lt;&gt;""),TRUE))</formula>
    </cfRule>
    <cfRule type="expression" dxfId="648" priority="663">
      <formula>IF(CO70&gt;=CP70,IF(CO70="",FALSE,TRUE))</formula>
    </cfRule>
  </conditionalFormatting>
  <conditionalFormatting sqref="CQ71">
    <cfRule type="expression" dxfId="647" priority="656">
      <formula>OR(IF(CQ71&lt;CR71,TRUE),IF(AND(CR71="",CQ71&lt;&gt;""),TRUE))</formula>
    </cfRule>
    <cfRule type="expression" dxfId="646" priority="657">
      <formula>IF(CQ71&gt;=CR71,IF(CQ71="",FALSE,TRUE))</formula>
    </cfRule>
  </conditionalFormatting>
  <conditionalFormatting sqref="CO71">
    <cfRule type="expression" dxfId="645" priority="658">
      <formula>OR(IF(CO71&lt;CP71,TRUE),IF(AND(CP71="",CO71&lt;&gt;""),TRUE))</formula>
    </cfRule>
    <cfRule type="expression" dxfId="644" priority="659">
      <formula>IF(CO71&gt;=CP71,IF(CO71="",FALSE,TRUE))</formula>
    </cfRule>
  </conditionalFormatting>
  <conditionalFormatting sqref="CQ72">
    <cfRule type="expression" dxfId="643" priority="652">
      <formula>OR(IF(CQ72&lt;CR72,TRUE),IF(AND(CR72="",CQ72&lt;&gt;""),TRUE))</formula>
    </cfRule>
    <cfRule type="expression" dxfId="642" priority="653">
      <formula>IF(CQ72&gt;=CR72,IF(CQ72="",FALSE,TRUE))</formula>
    </cfRule>
  </conditionalFormatting>
  <conditionalFormatting sqref="CO72">
    <cfRule type="expression" dxfId="641" priority="654">
      <formula>OR(IF(CO72&lt;CP72,TRUE),IF(AND(CP72="",CO72&lt;&gt;""),TRUE))</formula>
    </cfRule>
    <cfRule type="expression" dxfId="640" priority="655">
      <formula>IF(CO72&gt;=CP72,IF(CO72="",FALSE,TRUE))</formula>
    </cfRule>
  </conditionalFormatting>
  <conditionalFormatting sqref="CQ73">
    <cfRule type="expression" dxfId="639" priority="648">
      <formula>OR(IF(CQ73&lt;CR73,TRUE),IF(AND(CR73="",CQ73&lt;&gt;""),TRUE))</formula>
    </cfRule>
    <cfRule type="expression" dxfId="638" priority="649">
      <formula>IF(CQ73&gt;=CR73,IF(CQ73="",FALSE,TRUE))</formula>
    </cfRule>
  </conditionalFormatting>
  <conditionalFormatting sqref="CO73">
    <cfRule type="expression" dxfId="637" priority="650">
      <formula>OR(IF(CO73&lt;CP73,TRUE),IF(AND(CP73="",CO73&lt;&gt;""),TRUE))</formula>
    </cfRule>
    <cfRule type="expression" dxfId="636" priority="651">
      <formula>IF(CO73&gt;=CP73,IF(CO73="",FALSE,TRUE))</formula>
    </cfRule>
  </conditionalFormatting>
  <conditionalFormatting sqref="CQ74">
    <cfRule type="expression" dxfId="635" priority="644">
      <formula>OR(IF(CQ74&lt;CR74,TRUE),IF(AND(CR74="",CQ74&lt;&gt;""),TRUE))</formula>
    </cfRule>
    <cfRule type="expression" dxfId="634" priority="645">
      <formula>IF(CQ74&gt;=CR74,IF(CQ74="",FALSE,TRUE))</formula>
    </cfRule>
  </conditionalFormatting>
  <conditionalFormatting sqref="CO74">
    <cfRule type="expression" dxfId="633" priority="646">
      <formula>OR(IF(CO74&lt;CP74,TRUE),IF(AND(CP74="",CO74&lt;&gt;""),TRUE))</formula>
    </cfRule>
    <cfRule type="expression" dxfId="632" priority="647">
      <formula>IF(CO74&gt;=CP74,IF(CO74="",FALSE,TRUE))</formula>
    </cfRule>
  </conditionalFormatting>
  <conditionalFormatting sqref="CQ75">
    <cfRule type="expression" dxfId="631" priority="640">
      <formula>OR(IF(CQ75&lt;CR75,TRUE),IF(AND(CR75="",CQ75&lt;&gt;""),TRUE))</formula>
    </cfRule>
    <cfRule type="expression" dxfId="630" priority="641">
      <formula>IF(CQ75&gt;=CR75,IF(CQ75="",FALSE,TRUE))</formula>
    </cfRule>
  </conditionalFormatting>
  <conditionalFormatting sqref="CO75">
    <cfRule type="expression" dxfId="629" priority="642">
      <formula>OR(IF(CO75&lt;CP75,TRUE),IF(AND(CP75="",CO75&lt;&gt;""),TRUE))</formula>
    </cfRule>
    <cfRule type="expression" dxfId="628" priority="643">
      <formula>IF(CO75&gt;=CP75,IF(CO75="",FALSE,TRUE))</formula>
    </cfRule>
  </conditionalFormatting>
  <conditionalFormatting sqref="CQ76">
    <cfRule type="expression" dxfId="627" priority="636">
      <formula>OR(IF(CQ76&lt;CR76,TRUE),IF(AND(CR76="",CQ76&lt;&gt;""),TRUE))</formula>
    </cfRule>
    <cfRule type="expression" dxfId="626" priority="637">
      <formula>IF(CQ76&gt;=CR76,IF(CQ76="",FALSE,TRUE))</formula>
    </cfRule>
  </conditionalFormatting>
  <conditionalFormatting sqref="CO76">
    <cfRule type="expression" dxfId="625" priority="638">
      <formula>OR(IF(CO76&lt;CP76,TRUE),IF(AND(CP76="",CO76&lt;&gt;""),TRUE))</formula>
    </cfRule>
    <cfRule type="expression" dxfId="624" priority="639">
      <formula>IF(CO76&gt;=CP76,IF(CO76="",FALSE,TRUE))</formula>
    </cfRule>
  </conditionalFormatting>
  <conditionalFormatting sqref="CQ80 CO80">
    <cfRule type="expression" dxfId="623" priority="634">
      <formula>OR(IF(CO80&lt;CP80,TRUE),IF(AND(CP80="",CO80&lt;&gt;""),TRUE))</formula>
    </cfRule>
    <cfRule type="expression" dxfId="622" priority="635">
      <formula>IF(CO80&gt;=CP80,IF(CO80="",FALSE,TRUE))</formula>
    </cfRule>
  </conditionalFormatting>
  <conditionalFormatting sqref="CO81:CO82">
    <cfRule type="expression" dxfId="621" priority="632">
      <formula>OR(IF(CO81&lt;CP81,TRUE),IF(AND(CP81="",CO81&lt;&gt;""),TRUE))</formula>
    </cfRule>
    <cfRule type="expression" dxfId="620" priority="633">
      <formula>IF(CO81&gt;=CP81,IF(CO81="",FALSE,TRUE))</formula>
    </cfRule>
  </conditionalFormatting>
  <conditionalFormatting sqref="CQ83:CQ93">
    <cfRule type="expression" dxfId="619" priority="626">
      <formula>OR(IF(CQ83&lt;CR83,TRUE),IF(AND(CR83="",CQ83&lt;&gt;""),TRUE))</formula>
    </cfRule>
    <cfRule type="expression" dxfId="618" priority="627">
      <formula>IF(CQ83&gt;=CR83,IF(CQ83="",FALSE,TRUE))</formula>
    </cfRule>
  </conditionalFormatting>
  <conditionalFormatting sqref="CQ81:CQ82">
    <cfRule type="expression" dxfId="617" priority="630">
      <formula>OR(IF(CQ81&lt;CR81,TRUE),IF(AND(CR81="",CQ81&lt;&gt;""),TRUE))</formula>
    </cfRule>
    <cfRule type="expression" dxfId="616" priority="631">
      <formula>IF(CQ81&gt;=CR81,IF(CQ81="",FALSE,TRUE))</formula>
    </cfRule>
  </conditionalFormatting>
  <conditionalFormatting sqref="CO83:CO93">
    <cfRule type="expression" dxfId="615" priority="628">
      <formula>OR(IF(CO83&lt;CP83,TRUE),IF(AND(CP83="",CO83&lt;&gt;""),TRUE))</formula>
    </cfRule>
    <cfRule type="expression" dxfId="614" priority="629">
      <formula>IF(CO83&gt;=CP83,IF(CO83="",FALSE,TRUE))</formula>
    </cfRule>
  </conditionalFormatting>
  <conditionalFormatting sqref="CX47 CX51 CV47 CV51">
    <cfRule type="expression" dxfId="613" priority="624">
      <formula>OR(IF(CV47&lt;CW47,TRUE),IF(AND(CW47="",CV47&lt;&gt;""),TRUE))</formula>
    </cfRule>
    <cfRule type="expression" dxfId="612" priority="625">
      <formula>IF(CV47&gt;=CW47,IF(CV47="",FALSE,TRUE))</formula>
    </cfRule>
  </conditionalFormatting>
  <conditionalFormatting sqref="CV5:CV19 CX5:CX19 CX24:CX32 CV24:CV32 CX37:CX46 CV37:CV46">
    <cfRule type="expression" dxfId="611" priority="622">
      <formula>OR(IF(CV5&lt;CW5,TRUE),IF(AND(CW5="",CV5&lt;&gt;""),TRUE))</formula>
    </cfRule>
    <cfRule type="expression" dxfId="610" priority="623">
      <formula>IF(CV5&gt;=CW5,IF(CV5="",FALSE,TRUE))</formula>
    </cfRule>
  </conditionalFormatting>
  <conditionalFormatting sqref="CV22:CV23">
    <cfRule type="expression" dxfId="609" priority="620">
      <formula>OR(IF(CV22&lt;CW22,TRUE),IF(AND(CW22="",CV22&lt;&gt;""),TRUE))</formula>
    </cfRule>
    <cfRule type="expression" dxfId="608" priority="621">
      <formula>IF(CV22&gt;=CW22,IF(CV22="",FALSE,TRUE))</formula>
    </cfRule>
  </conditionalFormatting>
  <conditionalFormatting sqref="CX22:CX23">
    <cfRule type="expression" dxfId="607" priority="618">
      <formula>OR(IF(CX22&lt;CY22,TRUE),IF(AND(CY22="",CX22&lt;&gt;""),TRUE))</formula>
    </cfRule>
    <cfRule type="expression" dxfId="606" priority="619">
      <formula>IF(CX22&gt;=CY22,IF(CX22="",FALSE,TRUE))</formula>
    </cfRule>
  </conditionalFormatting>
  <conditionalFormatting sqref="CV35:CV36">
    <cfRule type="expression" dxfId="605" priority="616">
      <formula>OR(IF(CV35&lt;CW35,TRUE),IF(AND(CW35="",CV35&lt;&gt;""),TRUE))</formula>
    </cfRule>
    <cfRule type="expression" dxfId="604" priority="617">
      <formula>IF(CV35&gt;=CW35,IF(CV35="",FALSE,TRUE))</formula>
    </cfRule>
  </conditionalFormatting>
  <conditionalFormatting sqref="CX35:CX36">
    <cfRule type="expression" dxfId="603" priority="614">
      <formula>OR(IF(CX35&lt;CY35,TRUE),IF(AND(CY35="",CX35&lt;&gt;""),TRUE))</formula>
    </cfRule>
    <cfRule type="expression" dxfId="602" priority="615">
      <formula>IF(CX35&gt;=CY35,IF(CX35="",FALSE,TRUE))</formula>
    </cfRule>
  </conditionalFormatting>
  <conditionalFormatting sqref="CV52:CV53">
    <cfRule type="expression" dxfId="601" priority="612">
      <formula>OR(IF(CV52&lt;CW52,TRUE),IF(AND(CW52="",CV52&lt;&gt;""),TRUE))</formula>
    </cfRule>
    <cfRule type="expression" dxfId="600" priority="613">
      <formula>IF(CV52&gt;=CW52,IF(CV52="",FALSE,TRUE))</formula>
    </cfRule>
  </conditionalFormatting>
  <conditionalFormatting sqref="CX54:CX63">
    <cfRule type="expression" dxfId="599" priority="606">
      <formula>OR(IF(CX54&lt;CY54,TRUE),IF(AND(CY54="",CX54&lt;&gt;""),TRUE))</formula>
    </cfRule>
    <cfRule type="expression" dxfId="598" priority="607">
      <formula>IF(CX54&gt;=CY54,IF(CX54="",FALSE,TRUE))</formula>
    </cfRule>
  </conditionalFormatting>
  <conditionalFormatting sqref="CX52:CX53">
    <cfRule type="expression" dxfId="597" priority="610">
      <formula>OR(IF(CX52&lt;CY52,TRUE),IF(AND(CY52="",CX52&lt;&gt;""),TRUE))</formula>
    </cfRule>
    <cfRule type="expression" dxfId="596" priority="611">
      <formula>IF(CX52&gt;=CY52,IF(CX52="",FALSE,TRUE))</formula>
    </cfRule>
  </conditionalFormatting>
  <conditionalFormatting sqref="CV54:CV63">
    <cfRule type="expression" dxfId="595" priority="608">
      <formula>OR(IF(CV54&lt;CW54,TRUE),IF(AND(CW54="",CV54&lt;&gt;""),TRUE))</formula>
    </cfRule>
    <cfRule type="expression" dxfId="594" priority="609">
      <formula>IF(CV54&gt;=CW54,IF(CV54="",FALSE,TRUE))</formula>
    </cfRule>
  </conditionalFormatting>
  <conditionalFormatting sqref="CX64">
    <cfRule type="expression" dxfId="593" priority="602">
      <formula>OR(IF(CX64&lt;CY64,TRUE),IF(AND(CY64="",CX64&lt;&gt;""),TRUE))</formula>
    </cfRule>
    <cfRule type="expression" dxfId="592" priority="603">
      <formula>IF(CX64&gt;=CY64,IF(CX64="",FALSE,TRUE))</formula>
    </cfRule>
  </conditionalFormatting>
  <conditionalFormatting sqref="CV64">
    <cfRule type="expression" dxfId="591" priority="604">
      <formula>OR(IF(CV64&lt;CW64,TRUE),IF(AND(CW64="",CV64&lt;&gt;""),TRUE))</formula>
    </cfRule>
    <cfRule type="expression" dxfId="590" priority="605">
      <formula>IF(CV64&gt;=CW64,IF(CV64="",FALSE,TRUE))</formula>
    </cfRule>
  </conditionalFormatting>
  <conditionalFormatting sqref="CX65">
    <cfRule type="expression" dxfId="589" priority="598">
      <formula>OR(IF(CX65&lt;CY65,TRUE),IF(AND(CY65="",CX65&lt;&gt;""),TRUE))</formula>
    </cfRule>
    <cfRule type="expression" dxfId="588" priority="599">
      <formula>IF(CX65&gt;=CY65,IF(CX65="",FALSE,TRUE))</formula>
    </cfRule>
  </conditionalFormatting>
  <conditionalFormatting sqref="CV65">
    <cfRule type="expression" dxfId="587" priority="600">
      <formula>OR(IF(CV65&lt;CW65,TRUE),IF(AND(CW65="",CV65&lt;&gt;""),TRUE))</formula>
    </cfRule>
    <cfRule type="expression" dxfId="586" priority="601">
      <formula>IF(CV65&gt;=CW65,IF(CV65="",FALSE,TRUE))</formula>
    </cfRule>
  </conditionalFormatting>
  <conditionalFormatting sqref="CX66">
    <cfRule type="expression" dxfId="585" priority="594">
      <formula>OR(IF(CX66&lt;CY66,TRUE),IF(AND(CY66="",CX66&lt;&gt;""),TRUE))</formula>
    </cfRule>
    <cfRule type="expression" dxfId="584" priority="595">
      <formula>IF(CX66&gt;=CY66,IF(CX66="",FALSE,TRUE))</formula>
    </cfRule>
  </conditionalFormatting>
  <conditionalFormatting sqref="CV66">
    <cfRule type="expression" dxfId="583" priority="596">
      <formula>OR(IF(CV66&lt;CW66,TRUE),IF(AND(CW66="",CV66&lt;&gt;""),TRUE))</formula>
    </cfRule>
    <cfRule type="expression" dxfId="582" priority="597">
      <formula>IF(CV66&gt;=CW66,IF(CV66="",FALSE,TRUE))</formula>
    </cfRule>
  </conditionalFormatting>
  <conditionalFormatting sqref="CX67">
    <cfRule type="expression" dxfId="581" priority="590">
      <formula>OR(IF(CX67&lt;CY67,TRUE),IF(AND(CY67="",CX67&lt;&gt;""),TRUE))</formula>
    </cfRule>
    <cfRule type="expression" dxfId="580" priority="591">
      <formula>IF(CX67&gt;=CY67,IF(CX67="",FALSE,TRUE))</formula>
    </cfRule>
  </conditionalFormatting>
  <conditionalFormatting sqref="CV67">
    <cfRule type="expression" dxfId="579" priority="592">
      <formula>OR(IF(CV67&lt;CW67,TRUE),IF(AND(CW67="",CV67&lt;&gt;""),TRUE))</formula>
    </cfRule>
    <cfRule type="expression" dxfId="578" priority="593">
      <formula>IF(CV67&gt;=CW67,IF(CV67="",FALSE,TRUE))</formula>
    </cfRule>
  </conditionalFormatting>
  <conditionalFormatting sqref="CX68">
    <cfRule type="expression" dxfId="577" priority="586">
      <formula>OR(IF(CX68&lt;CY68,TRUE),IF(AND(CY68="",CX68&lt;&gt;""),TRUE))</formula>
    </cfRule>
    <cfRule type="expression" dxfId="576" priority="587">
      <formula>IF(CX68&gt;=CY68,IF(CX68="",FALSE,TRUE))</formula>
    </cfRule>
  </conditionalFormatting>
  <conditionalFormatting sqref="CV68">
    <cfRule type="expression" dxfId="575" priority="588">
      <formula>OR(IF(CV68&lt;CW68,TRUE),IF(AND(CW68="",CV68&lt;&gt;""),TRUE))</formula>
    </cfRule>
    <cfRule type="expression" dxfId="574" priority="589">
      <formula>IF(CV68&gt;=CW68,IF(CV68="",FALSE,TRUE))</formula>
    </cfRule>
  </conditionalFormatting>
  <conditionalFormatting sqref="CX69">
    <cfRule type="expression" dxfId="573" priority="582">
      <formula>OR(IF(CX69&lt;CY69,TRUE),IF(AND(CY69="",CX69&lt;&gt;""),TRUE))</formula>
    </cfRule>
    <cfRule type="expression" dxfId="572" priority="583">
      <formula>IF(CX69&gt;=CY69,IF(CX69="",FALSE,TRUE))</formula>
    </cfRule>
  </conditionalFormatting>
  <conditionalFormatting sqref="CV69">
    <cfRule type="expression" dxfId="571" priority="584">
      <formula>OR(IF(CV69&lt;CW69,TRUE),IF(AND(CW69="",CV69&lt;&gt;""),TRUE))</formula>
    </cfRule>
    <cfRule type="expression" dxfId="570" priority="585">
      <formula>IF(CV69&gt;=CW69,IF(CV69="",FALSE,TRUE))</formula>
    </cfRule>
  </conditionalFormatting>
  <conditionalFormatting sqref="CX70">
    <cfRule type="expression" dxfId="569" priority="578">
      <formula>OR(IF(CX70&lt;CY70,TRUE),IF(AND(CY70="",CX70&lt;&gt;""),TRUE))</formula>
    </cfRule>
    <cfRule type="expression" dxfId="568" priority="579">
      <formula>IF(CX70&gt;=CY70,IF(CX70="",FALSE,TRUE))</formula>
    </cfRule>
  </conditionalFormatting>
  <conditionalFormatting sqref="CV70">
    <cfRule type="expression" dxfId="567" priority="580">
      <formula>OR(IF(CV70&lt;CW70,TRUE),IF(AND(CW70="",CV70&lt;&gt;""),TRUE))</formula>
    </cfRule>
    <cfRule type="expression" dxfId="566" priority="581">
      <formula>IF(CV70&gt;=CW70,IF(CV70="",FALSE,TRUE))</formula>
    </cfRule>
  </conditionalFormatting>
  <conditionalFormatting sqref="CX71">
    <cfRule type="expression" dxfId="565" priority="574">
      <formula>OR(IF(CX71&lt;CY71,TRUE),IF(AND(CY71="",CX71&lt;&gt;""),TRUE))</formula>
    </cfRule>
    <cfRule type="expression" dxfId="564" priority="575">
      <formula>IF(CX71&gt;=CY71,IF(CX71="",FALSE,TRUE))</formula>
    </cfRule>
  </conditionalFormatting>
  <conditionalFormatting sqref="CV71">
    <cfRule type="expression" dxfId="563" priority="576">
      <formula>OR(IF(CV71&lt;CW71,TRUE),IF(AND(CW71="",CV71&lt;&gt;""),TRUE))</formula>
    </cfRule>
    <cfRule type="expression" dxfId="562" priority="577">
      <formula>IF(CV71&gt;=CW71,IF(CV71="",FALSE,TRUE))</formula>
    </cfRule>
  </conditionalFormatting>
  <conditionalFormatting sqref="CX72">
    <cfRule type="expression" dxfId="561" priority="570">
      <formula>OR(IF(CX72&lt;CY72,TRUE),IF(AND(CY72="",CX72&lt;&gt;""),TRUE))</formula>
    </cfRule>
    <cfRule type="expression" dxfId="560" priority="571">
      <formula>IF(CX72&gt;=CY72,IF(CX72="",FALSE,TRUE))</formula>
    </cfRule>
  </conditionalFormatting>
  <conditionalFormatting sqref="CV72">
    <cfRule type="expression" dxfId="559" priority="572">
      <formula>OR(IF(CV72&lt;CW72,TRUE),IF(AND(CW72="",CV72&lt;&gt;""),TRUE))</formula>
    </cfRule>
    <cfRule type="expression" dxfId="558" priority="573">
      <formula>IF(CV72&gt;=CW72,IF(CV72="",FALSE,TRUE))</formula>
    </cfRule>
  </conditionalFormatting>
  <conditionalFormatting sqref="CX73">
    <cfRule type="expression" dxfId="557" priority="566">
      <formula>OR(IF(CX73&lt;CY73,TRUE),IF(AND(CY73="",CX73&lt;&gt;""),TRUE))</formula>
    </cfRule>
    <cfRule type="expression" dxfId="556" priority="567">
      <formula>IF(CX73&gt;=CY73,IF(CX73="",FALSE,TRUE))</formula>
    </cfRule>
  </conditionalFormatting>
  <conditionalFormatting sqref="CV73">
    <cfRule type="expression" dxfId="555" priority="568">
      <formula>OR(IF(CV73&lt;CW73,TRUE),IF(AND(CW73="",CV73&lt;&gt;""),TRUE))</formula>
    </cfRule>
    <cfRule type="expression" dxfId="554" priority="569">
      <formula>IF(CV73&gt;=CW73,IF(CV73="",FALSE,TRUE))</formula>
    </cfRule>
  </conditionalFormatting>
  <conditionalFormatting sqref="CX74">
    <cfRule type="expression" dxfId="553" priority="562">
      <formula>OR(IF(CX74&lt;CY74,TRUE),IF(AND(CY74="",CX74&lt;&gt;""),TRUE))</formula>
    </cfRule>
    <cfRule type="expression" dxfId="552" priority="563">
      <formula>IF(CX74&gt;=CY74,IF(CX74="",FALSE,TRUE))</formula>
    </cfRule>
  </conditionalFormatting>
  <conditionalFormatting sqref="CV74">
    <cfRule type="expression" dxfId="551" priority="564">
      <formula>OR(IF(CV74&lt;CW74,TRUE),IF(AND(CW74="",CV74&lt;&gt;""),TRUE))</formula>
    </cfRule>
    <cfRule type="expression" dxfId="550" priority="565">
      <formula>IF(CV74&gt;=CW74,IF(CV74="",FALSE,TRUE))</formula>
    </cfRule>
  </conditionalFormatting>
  <conditionalFormatting sqref="CX75">
    <cfRule type="expression" dxfId="549" priority="558">
      <formula>OR(IF(CX75&lt;CY75,TRUE),IF(AND(CY75="",CX75&lt;&gt;""),TRUE))</formula>
    </cfRule>
    <cfRule type="expression" dxfId="548" priority="559">
      <formula>IF(CX75&gt;=CY75,IF(CX75="",FALSE,TRUE))</formula>
    </cfRule>
  </conditionalFormatting>
  <conditionalFormatting sqref="CV75">
    <cfRule type="expression" dxfId="547" priority="560">
      <formula>OR(IF(CV75&lt;CW75,TRUE),IF(AND(CW75="",CV75&lt;&gt;""),TRUE))</formula>
    </cfRule>
    <cfRule type="expression" dxfId="546" priority="561">
      <formula>IF(CV75&gt;=CW75,IF(CV75="",FALSE,TRUE))</formula>
    </cfRule>
  </conditionalFormatting>
  <conditionalFormatting sqref="CX76">
    <cfRule type="expression" dxfId="545" priority="554">
      <formula>OR(IF(CX76&lt;CY76,TRUE),IF(AND(CY76="",CX76&lt;&gt;""),TRUE))</formula>
    </cfRule>
    <cfRule type="expression" dxfId="544" priority="555">
      <formula>IF(CX76&gt;=CY76,IF(CX76="",FALSE,TRUE))</formula>
    </cfRule>
  </conditionalFormatting>
  <conditionalFormatting sqref="CV76">
    <cfRule type="expression" dxfId="543" priority="556">
      <formula>OR(IF(CV76&lt;CW76,TRUE),IF(AND(CW76="",CV76&lt;&gt;""),TRUE))</formula>
    </cfRule>
    <cfRule type="expression" dxfId="542" priority="557">
      <formula>IF(CV76&gt;=CW76,IF(CV76="",FALSE,TRUE))</formula>
    </cfRule>
  </conditionalFormatting>
  <conditionalFormatting sqref="CX80 CV80">
    <cfRule type="expression" dxfId="541" priority="552">
      <formula>OR(IF(CV80&lt;CW80,TRUE),IF(AND(CW80="",CV80&lt;&gt;""),TRUE))</formula>
    </cfRule>
    <cfRule type="expression" dxfId="540" priority="553">
      <formula>IF(CV80&gt;=CW80,IF(CV80="",FALSE,TRUE))</formula>
    </cfRule>
  </conditionalFormatting>
  <conditionalFormatting sqref="CV81:CV82">
    <cfRule type="expression" dxfId="539" priority="550">
      <formula>OR(IF(CV81&lt;CW81,TRUE),IF(AND(CW81="",CV81&lt;&gt;""),TRUE))</formula>
    </cfRule>
    <cfRule type="expression" dxfId="538" priority="551">
      <formula>IF(CV81&gt;=CW81,IF(CV81="",FALSE,TRUE))</formula>
    </cfRule>
  </conditionalFormatting>
  <conditionalFormatting sqref="CX83:CX93">
    <cfRule type="expression" dxfId="537" priority="544">
      <formula>OR(IF(CX83&lt;CY83,TRUE),IF(AND(CY83="",CX83&lt;&gt;""),TRUE))</formula>
    </cfRule>
    <cfRule type="expression" dxfId="536" priority="545">
      <formula>IF(CX83&gt;=CY83,IF(CX83="",FALSE,TRUE))</formula>
    </cfRule>
  </conditionalFormatting>
  <conditionalFormatting sqref="CX81:CX82">
    <cfRule type="expression" dxfId="535" priority="548">
      <formula>OR(IF(CX81&lt;CY81,TRUE),IF(AND(CY81="",CX81&lt;&gt;""),TRUE))</formula>
    </cfRule>
    <cfRule type="expression" dxfId="534" priority="549">
      <formula>IF(CX81&gt;=CY81,IF(CX81="",FALSE,TRUE))</formula>
    </cfRule>
  </conditionalFormatting>
  <conditionalFormatting sqref="CV83:CV93">
    <cfRule type="expression" dxfId="533" priority="546">
      <formula>OR(IF(CV83&lt;CW83,TRUE),IF(AND(CW83="",CV83&lt;&gt;""),TRUE))</formula>
    </cfRule>
    <cfRule type="expression" dxfId="532" priority="547">
      <formula>IF(CV83&gt;=CW83,IF(CV83="",FALSE,TRUE))</formula>
    </cfRule>
  </conditionalFormatting>
  <conditionalFormatting sqref="DE47 DE51 DC47 DC51">
    <cfRule type="expression" dxfId="531" priority="542">
      <formula>OR(IF(DC47&lt;DD47,TRUE),IF(AND(DD47="",DC47&lt;&gt;""),TRUE))</formula>
    </cfRule>
    <cfRule type="expression" dxfId="530" priority="543">
      <formula>IF(DC47&gt;=DD47,IF(DC47="",FALSE,TRUE))</formula>
    </cfRule>
  </conditionalFormatting>
  <conditionalFormatting sqref="DC5:DC19 DE5:DE19 DE24:DE32 DC24:DC32 DE37:DE46 DC37:DC46">
    <cfRule type="expression" dxfId="529" priority="540">
      <formula>OR(IF(DC5&lt;DD5,TRUE),IF(AND(DD5="",DC5&lt;&gt;""),TRUE))</formula>
    </cfRule>
    <cfRule type="expression" dxfId="528" priority="541">
      <formula>IF(DC5&gt;=DD5,IF(DC5="",FALSE,TRUE))</formula>
    </cfRule>
  </conditionalFormatting>
  <conditionalFormatting sqref="DC22:DC23">
    <cfRule type="expression" dxfId="527" priority="538">
      <formula>OR(IF(DC22&lt;DD22,TRUE),IF(AND(DD22="",DC22&lt;&gt;""),TRUE))</formula>
    </cfRule>
    <cfRule type="expression" dxfId="526" priority="539">
      <formula>IF(DC22&gt;=DD22,IF(DC22="",FALSE,TRUE))</formula>
    </cfRule>
  </conditionalFormatting>
  <conditionalFormatting sqref="DE22:DE23">
    <cfRule type="expression" dxfId="525" priority="536">
      <formula>OR(IF(DE22&lt;DF22,TRUE),IF(AND(DF22="",DE22&lt;&gt;""),TRUE))</formula>
    </cfRule>
    <cfRule type="expression" dxfId="524" priority="537">
      <formula>IF(DE22&gt;=DF22,IF(DE22="",FALSE,TRUE))</formula>
    </cfRule>
  </conditionalFormatting>
  <conditionalFormatting sqref="DC35:DC36">
    <cfRule type="expression" dxfId="523" priority="534">
      <formula>OR(IF(DC35&lt;DD35,TRUE),IF(AND(DD35="",DC35&lt;&gt;""),TRUE))</formula>
    </cfRule>
    <cfRule type="expression" dxfId="522" priority="535">
      <formula>IF(DC35&gt;=DD35,IF(DC35="",FALSE,TRUE))</formula>
    </cfRule>
  </conditionalFormatting>
  <conditionalFormatting sqref="DE35:DE36">
    <cfRule type="expression" dxfId="521" priority="532">
      <formula>OR(IF(DE35&lt;DF35,TRUE),IF(AND(DF35="",DE35&lt;&gt;""),TRUE))</formula>
    </cfRule>
    <cfRule type="expression" dxfId="520" priority="533">
      <formula>IF(DE35&gt;=DF35,IF(DE35="",FALSE,TRUE))</formula>
    </cfRule>
  </conditionalFormatting>
  <conditionalFormatting sqref="DC52:DC53">
    <cfRule type="expression" dxfId="519" priority="530">
      <formula>OR(IF(DC52&lt;DD52,TRUE),IF(AND(DD52="",DC52&lt;&gt;""),TRUE))</formula>
    </cfRule>
    <cfRule type="expression" dxfId="518" priority="531">
      <formula>IF(DC52&gt;=DD52,IF(DC52="",FALSE,TRUE))</formula>
    </cfRule>
  </conditionalFormatting>
  <conditionalFormatting sqref="DE54:DE63">
    <cfRule type="expression" dxfId="517" priority="524">
      <formula>OR(IF(DE54&lt;DF54,TRUE),IF(AND(DF54="",DE54&lt;&gt;""),TRUE))</formula>
    </cfRule>
    <cfRule type="expression" dxfId="516" priority="525">
      <formula>IF(DE54&gt;=DF54,IF(DE54="",FALSE,TRUE))</formula>
    </cfRule>
  </conditionalFormatting>
  <conditionalFormatting sqref="DE52:DE53">
    <cfRule type="expression" dxfId="515" priority="528">
      <formula>OR(IF(DE52&lt;DF52,TRUE),IF(AND(DF52="",DE52&lt;&gt;""),TRUE))</formula>
    </cfRule>
    <cfRule type="expression" dxfId="514" priority="529">
      <formula>IF(DE52&gt;=DF52,IF(DE52="",FALSE,TRUE))</formula>
    </cfRule>
  </conditionalFormatting>
  <conditionalFormatting sqref="DC54:DC63">
    <cfRule type="expression" dxfId="513" priority="526">
      <formula>OR(IF(DC54&lt;DD54,TRUE),IF(AND(DD54="",DC54&lt;&gt;""),TRUE))</formula>
    </cfRule>
    <cfRule type="expression" dxfId="512" priority="527">
      <formula>IF(DC54&gt;=DD54,IF(DC54="",FALSE,TRUE))</formula>
    </cfRule>
  </conditionalFormatting>
  <conditionalFormatting sqref="DE64">
    <cfRule type="expression" dxfId="511" priority="520">
      <formula>OR(IF(DE64&lt;DF64,TRUE),IF(AND(DF64="",DE64&lt;&gt;""),TRUE))</formula>
    </cfRule>
    <cfRule type="expression" dxfId="510" priority="521">
      <formula>IF(DE64&gt;=DF64,IF(DE64="",FALSE,TRUE))</formula>
    </cfRule>
  </conditionalFormatting>
  <conditionalFormatting sqref="DC64">
    <cfRule type="expression" dxfId="509" priority="522">
      <formula>OR(IF(DC64&lt;DD64,TRUE),IF(AND(DD64="",DC64&lt;&gt;""),TRUE))</formula>
    </cfRule>
    <cfRule type="expression" dxfId="508" priority="523">
      <formula>IF(DC64&gt;=DD64,IF(DC64="",FALSE,TRUE))</formula>
    </cfRule>
  </conditionalFormatting>
  <conditionalFormatting sqref="DE65">
    <cfRule type="expression" dxfId="507" priority="516">
      <formula>OR(IF(DE65&lt;DF65,TRUE),IF(AND(DF65="",DE65&lt;&gt;""),TRUE))</formula>
    </cfRule>
    <cfRule type="expression" dxfId="506" priority="517">
      <formula>IF(DE65&gt;=DF65,IF(DE65="",FALSE,TRUE))</formula>
    </cfRule>
  </conditionalFormatting>
  <conditionalFormatting sqref="DC65">
    <cfRule type="expression" dxfId="505" priority="518">
      <formula>OR(IF(DC65&lt;DD65,TRUE),IF(AND(DD65="",DC65&lt;&gt;""),TRUE))</formula>
    </cfRule>
    <cfRule type="expression" dxfId="504" priority="519">
      <formula>IF(DC65&gt;=DD65,IF(DC65="",FALSE,TRUE))</formula>
    </cfRule>
  </conditionalFormatting>
  <conditionalFormatting sqref="DE66">
    <cfRule type="expression" dxfId="503" priority="512">
      <formula>OR(IF(DE66&lt;DF66,TRUE),IF(AND(DF66="",DE66&lt;&gt;""),TRUE))</formula>
    </cfRule>
    <cfRule type="expression" dxfId="502" priority="513">
      <formula>IF(DE66&gt;=DF66,IF(DE66="",FALSE,TRUE))</formula>
    </cfRule>
  </conditionalFormatting>
  <conditionalFormatting sqref="DC66">
    <cfRule type="expression" dxfId="501" priority="514">
      <formula>OR(IF(DC66&lt;DD66,TRUE),IF(AND(DD66="",DC66&lt;&gt;""),TRUE))</formula>
    </cfRule>
    <cfRule type="expression" dxfId="500" priority="515">
      <formula>IF(DC66&gt;=DD66,IF(DC66="",FALSE,TRUE))</formula>
    </cfRule>
  </conditionalFormatting>
  <conditionalFormatting sqref="DE67">
    <cfRule type="expression" dxfId="499" priority="508">
      <formula>OR(IF(DE67&lt;DF67,TRUE),IF(AND(DF67="",DE67&lt;&gt;""),TRUE))</formula>
    </cfRule>
    <cfRule type="expression" dxfId="498" priority="509">
      <formula>IF(DE67&gt;=DF67,IF(DE67="",FALSE,TRUE))</formula>
    </cfRule>
  </conditionalFormatting>
  <conditionalFormatting sqref="DC67">
    <cfRule type="expression" dxfId="497" priority="510">
      <formula>OR(IF(DC67&lt;DD67,TRUE),IF(AND(DD67="",DC67&lt;&gt;""),TRUE))</formula>
    </cfRule>
    <cfRule type="expression" dxfId="496" priority="511">
      <formula>IF(DC67&gt;=DD67,IF(DC67="",FALSE,TRUE))</formula>
    </cfRule>
  </conditionalFormatting>
  <conditionalFormatting sqref="DE68">
    <cfRule type="expression" dxfId="495" priority="504">
      <formula>OR(IF(DE68&lt;DF68,TRUE),IF(AND(DF68="",DE68&lt;&gt;""),TRUE))</formula>
    </cfRule>
    <cfRule type="expression" dxfId="494" priority="505">
      <formula>IF(DE68&gt;=DF68,IF(DE68="",FALSE,TRUE))</formula>
    </cfRule>
  </conditionalFormatting>
  <conditionalFormatting sqref="DC68">
    <cfRule type="expression" dxfId="493" priority="506">
      <formula>OR(IF(DC68&lt;DD68,TRUE),IF(AND(DD68="",DC68&lt;&gt;""),TRUE))</formula>
    </cfRule>
    <cfRule type="expression" dxfId="492" priority="507">
      <formula>IF(DC68&gt;=DD68,IF(DC68="",FALSE,TRUE))</formula>
    </cfRule>
  </conditionalFormatting>
  <conditionalFormatting sqref="DE69">
    <cfRule type="expression" dxfId="491" priority="500">
      <formula>OR(IF(DE69&lt;DF69,TRUE),IF(AND(DF69="",DE69&lt;&gt;""),TRUE))</formula>
    </cfRule>
    <cfRule type="expression" dxfId="490" priority="501">
      <formula>IF(DE69&gt;=DF69,IF(DE69="",FALSE,TRUE))</formula>
    </cfRule>
  </conditionalFormatting>
  <conditionalFormatting sqref="DC69">
    <cfRule type="expression" dxfId="489" priority="502">
      <formula>OR(IF(DC69&lt;DD69,TRUE),IF(AND(DD69="",DC69&lt;&gt;""),TRUE))</formula>
    </cfRule>
    <cfRule type="expression" dxfId="488" priority="503">
      <formula>IF(DC69&gt;=DD69,IF(DC69="",FALSE,TRUE))</formula>
    </cfRule>
  </conditionalFormatting>
  <conditionalFormatting sqref="DE70">
    <cfRule type="expression" dxfId="487" priority="496">
      <formula>OR(IF(DE70&lt;DF70,TRUE),IF(AND(DF70="",DE70&lt;&gt;""),TRUE))</formula>
    </cfRule>
    <cfRule type="expression" dxfId="486" priority="497">
      <formula>IF(DE70&gt;=DF70,IF(DE70="",FALSE,TRUE))</formula>
    </cfRule>
  </conditionalFormatting>
  <conditionalFormatting sqref="DC70">
    <cfRule type="expression" dxfId="485" priority="498">
      <formula>OR(IF(DC70&lt;DD70,TRUE),IF(AND(DD70="",DC70&lt;&gt;""),TRUE))</formula>
    </cfRule>
    <cfRule type="expression" dxfId="484" priority="499">
      <formula>IF(DC70&gt;=DD70,IF(DC70="",FALSE,TRUE))</formula>
    </cfRule>
  </conditionalFormatting>
  <conditionalFormatting sqref="DE71">
    <cfRule type="expression" dxfId="483" priority="492">
      <formula>OR(IF(DE71&lt;DF71,TRUE),IF(AND(DF71="",DE71&lt;&gt;""),TRUE))</formula>
    </cfRule>
    <cfRule type="expression" dxfId="482" priority="493">
      <formula>IF(DE71&gt;=DF71,IF(DE71="",FALSE,TRUE))</formula>
    </cfRule>
  </conditionalFormatting>
  <conditionalFormatting sqref="DC71">
    <cfRule type="expression" dxfId="481" priority="494">
      <formula>OR(IF(DC71&lt;DD71,TRUE),IF(AND(DD71="",DC71&lt;&gt;""),TRUE))</formula>
    </cfRule>
    <cfRule type="expression" dxfId="480" priority="495">
      <formula>IF(DC71&gt;=DD71,IF(DC71="",FALSE,TRUE))</formula>
    </cfRule>
  </conditionalFormatting>
  <conditionalFormatting sqref="DE72">
    <cfRule type="expression" dxfId="479" priority="488">
      <formula>OR(IF(DE72&lt;DF72,TRUE),IF(AND(DF72="",DE72&lt;&gt;""),TRUE))</formula>
    </cfRule>
    <cfRule type="expression" dxfId="478" priority="489">
      <formula>IF(DE72&gt;=DF72,IF(DE72="",FALSE,TRUE))</formula>
    </cfRule>
  </conditionalFormatting>
  <conditionalFormatting sqref="DC72">
    <cfRule type="expression" dxfId="477" priority="490">
      <formula>OR(IF(DC72&lt;DD72,TRUE),IF(AND(DD72="",DC72&lt;&gt;""),TRUE))</formula>
    </cfRule>
    <cfRule type="expression" dxfId="476" priority="491">
      <formula>IF(DC72&gt;=DD72,IF(DC72="",FALSE,TRUE))</formula>
    </cfRule>
  </conditionalFormatting>
  <conditionalFormatting sqref="DE73">
    <cfRule type="expression" dxfId="475" priority="484">
      <formula>OR(IF(DE73&lt;DF73,TRUE),IF(AND(DF73="",DE73&lt;&gt;""),TRUE))</formula>
    </cfRule>
    <cfRule type="expression" dxfId="474" priority="485">
      <formula>IF(DE73&gt;=DF73,IF(DE73="",FALSE,TRUE))</formula>
    </cfRule>
  </conditionalFormatting>
  <conditionalFormatting sqref="DC73">
    <cfRule type="expression" dxfId="473" priority="486">
      <formula>OR(IF(DC73&lt;DD73,TRUE),IF(AND(DD73="",DC73&lt;&gt;""),TRUE))</formula>
    </cfRule>
    <cfRule type="expression" dxfId="472" priority="487">
      <formula>IF(DC73&gt;=DD73,IF(DC73="",FALSE,TRUE))</formula>
    </cfRule>
  </conditionalFormatting>
  <conditionalFormatting sqref="DE74">
    <cfRule type="expression" dxfId="471" priority="480">
      <formula>OR(IF(DE74&lt;DF74,TRUE),IF(AND(DF74="",DE74&lt;&gt;""),TRUE))</formula>
    </cfRule>
    <cfRule type="expression" dxfId="470" priority="481">
      <formula>IF(DE74&gt;=DF74,IF(DE74="",FALSE,TRUE))</formula>
    </cfRule>
  </conditionalFormatting>
  <conditionalFormatting sqref="DC74">
    <cfRule type="expression" dxfId="469" priority="482">
      <formula>OR(IF(DC74&lt;DD74,TRUE),IF(AND(DD74="",DC74&lt;&gt;""),TRUE))</formula>
    </cfRule>
    <cfRule type="expression" dxfId="468" priority="483">
      <formula>IF(DC74&gt;=DD74,IF(DC74="",FALSE,TRUE))</formula>
    </cfRule>
  </conditionalFormatting>
  <conditionalFormatting sqref="DE75">
    <cfRule type="expression" dxfId="467" priority="476">
      <formula>OR(IF(DE75&lt;DF75,TRUE),IF(AND(DF75="",DE75&lt;&gt;""),TRUE))</formula>
    </cfRule>
    <cfRule type="expression" dxfId="466" priority="477">
      <formula>IF(DE75&gt;=DF75,IF(DE75="",FALSE,TRUE))</formula>
    </cfRule>
  </conditionalFormatting>
  <conditionalFormatting sqref="DC75">
    <cfRule type="expression" dxfId="465" priority="478">
      <formula>OR(IF(DC75&lt;DD75,TRUE),IF(AND(DD75="",DC75&lt;&gt;""),TRUE))</formula>
    </cfRule>
    <cfRule type="expression" dxfId="464" priority="479">
      <formula>IF(DC75&gt;=DD75,IF(DC75="",FALSE,TRUE))</formula>
    </cfRule>
  </conditionalFormatting>
  <conditionalFormatting sqref="DE76">
    <cfRule type="expression" dxfId="463" priority="472">
      <formula>OR(IF(DE76&lt;DF76,TRUE),IF(AND(DF76="",DE76&lt;&gt;""),TRUE))</formula>
    </cfRule>
    <cfRule type="expression" dxfId="462" priority="473">
      <formula>IF(DE76&gt;=DF76,IF(DE76="",FALSE,TRUE))</formula>
    </cfRule>
  </conditionalFormatting>
  <conditionalFormatting sqref="DC76">
    <cfRule type="expression" dxfId="461" priority="474">
      <formula>OR(IF(DC76&lt;DD76,TRUE),IF(AND(DD76="",DC76&lt;&gt;""),TRUE))</formula>
    </cfRule>
    <cfRule type="expression" dxfId="460" priority="475">
      <formula>IF(DC76&gt;=DD76,IF(DC76="",FALSE,TRUE))</formula>
    </cfRule>
  </conditionalFormatting>
  <conditionalFormatting sqref="DE80 DC80">
    <cfRule type="expression" dxfId="459" priority="470">
      <formula>OR(IF(DC80&lt;DD80,TRUE),IF(AND(DD80="",DC80&lt;&gt;""),TRUE))</formula>
    </cfRule>
    <cfRule type="expression" dxfId="458" priority="471">
      <formula>IF(DC80&gt;=DD80,IF(DC80="",FALSE,TRUE))</formula>
    </cfRule>
  </conditionalFormatting>
  <conditionalFormatting sqref="DC81:DC82">
    <cfRule type="expression" dxfId="457" priority="468">
      <formula>OR(IF(DC81&lt;DD81,TRUE),IF(AND(DD81="",DC81&lt;&gt;""),TRUE))</formula>
    </cfRule>
    <cfRule type="expression" dxfId="456" priority="469">
      <formula>IF(DC81&gt;=DD81,IF(DC81="",FALSE,TRUE))</formula>
    </cfRule>
  </conditionalFormatting>
  <conditionalFormatting sqref="DE83:DE93">
    <cfRule type="expression" dxfId="455" priority="462">
      <formula>OR(IF(DE83&lt;DF83,TRUE),IF(AND(DF83="",DE83&lt;&gt;""),TRUE))</formula>
    </cfRule>
    <cfRule type="expression" dxfId="454" priority="463">
      <formula>IF(DE83&gt;=DF83,IF(DE83="",FALSE,TRUE))</formula>
    </cfRule>
  </conditionalFormatting>
  <conditionalFormatting sqref="DE81:DE82">
    <cfRule type="expression" dxfId="453" priority="466">
      <formula>OR(IF(DE81&lt;DF81,TRUE),IF(AND(DF81="",DE81&lt;&gt;""),TRUE))</formula>
    </cfRule>
    <cfRule type="expression" dxfId="452" priority="467">
      <formula>IF(DE81&gt;=DF81,IF(DE81="",FALSE,TRUE))</formula>
    </cfRule>
  </conditionalFormatting>
  <conditionalFormatting sqref="DC83:DC93">
    <cfRule type="expression" dxfId="451" priority="464">
      <formula>OR(IF(DC83&lt;DD83,TRUE),IF(AND(DD83="",DC83&lt;&gt;""),TRUE))</formula>
    </cfRule>
    <cfRule type="expression" dxfId="450" priority="465">
      <formula>IF(DC83&gt;=DD83,IF(DC83="",FALSE,TRUE))</formula>
    </cfRule>
  </conditionalFormatting>
  <conditionalFormatting sqref="DL47 DL51 DJ47 DJ51">
    <cfRule type="expression" dxfId="449" priority="460">
      <formula>OR(IF(DJ47&lt;DK47,TRUE),IF(AND(DK47="",DJ47&lt;&gt;""),TRUE))</formula>
    </cfRule>
    <cfRule type="expression" dxfId="448" priority="461">
      <formula>IF(DJ47&gt;=DK47,IF(DJ47="",FALSE,TRUE))</formula>
    </cfRule>
  </conditionalFormatting>
  <conditionalFormatting sqref="DJ5:DJ19 DL5:DL19 DL24:DL32 DJ24:DJ32 DL37:DL46 DJ37:DJ46">
    <cfRule type="expression" dxfId="447" priority="458">
      <formula>OR(IF(DJ5&lt;DK5,TRUE),IF(AND(DK5="",DJ5&lt;&gt;""),TRUE))</formula>
    </cfRule>
    <cfRule type="expression" dxfId="446" priority="459">
      <formula>IF(DJ5&gt;=DK5,IF(DJ5="",FALSE,TRUE))</formula>
    </cfRule>
  </conditionalFormatting>
  <conditionalFormatting sqref="DJ22:DJ23">
    <cfRule type="expression" dxfId="445" priority="456">
      <formula>OR(IF(DJ22&lt;DK22,TRUE),IF(AND(DK22="",DJ22&lt;&gt;""),TRUE))</formula>
    </cfRule>
    <cfRule type="expression" dxfId="444" priority="457">
      <formula>IF(DJ22&gt;=DK22,IF(DJ22="",FALSE,TRUE))</formula>
    </cfRule>
  </conditionalFormatting>
  <conditionalFormatting sqref="DL22:DL23">
    <cfRule type="expression" dxfId="443" priority="454">
      <formula>OR(IF(DL22&lt;DM22,TRUE),IF(AND(DM22="",DL22&lt;&gt;""),TRUE))</formula>
    </cfRule>
    <cfRule type="expression" dxfId="442" priority="455">
      <formula>IF(DL22&gt;=DM22,IF(DL22="",FALSE,TRUE))</formula>
    </cfRule>
  </conditionalFormatting>
  <conditionalFormatting sqref="DJ35:DJ36">
    <cfRule type="expression" dxfId="441" priority="452">
      <formula>OR(IF(DJ35&lt;DK35,TRUE),IF(AND(DK35="",DJ35&lt;&gt;""),TRUE))</formula>
    </cfRule>
    <cfRule type="expression" dxfId="440" priority="453">
      <formula>IF(DJ35&gt;=DK35,IF(DJ35="",FALSE,TRUE))</formula>
    </cfRule>
  </conditionalFormatting>
  <conditionalFormatting sqref="DL35:DL36">
    <cfRule type="expression" dxfId="439" priority="450">
      <formula>OR(IF(DL35&lt;DM35,TRUE),IF(AND(DM35="",DL35&lt;&gt;""),TRUE))</formula>
    </cfRule>
    <cfRule type="expression" dxfId="438" priority="451">
      <formula>IF(DL35&gt;=DM35,IF(DL35="",FALSE,TRUE))</formula>
    </cfRule>
  </conditionalFormatting>
  <conditionalFormatting sqref="DJ52:DJ53">
    <cfRule type="expression" dxfId="437" priority="448">
      <formula>OR(IF(DJ52&lt;DK52,TRUE),IF(AND(DK52="",DJ52&lt;&gt;""),TRUE))</formula>
    </cfRule>
    <cfRule type="expression" dxfId="436" priority="449">
      <formula>IF(DJ52&gt;=DK52,IF(DJ52="",FALSE,TRUE))</formula>
    </cfRule>
  </conditionalFormatting>
  <conditionalFormatting sqref="DL54:DL63">
    <cfRule type="expression" dxfId="435" priority="442">
      <formula>OR(IF(DL54&lt;DM54,TRUE),IF(AND(DM54="",DL54&lt;&gt;""),TRUE))</formula>
    </cfRule>
    <cfRule type="expression" dxfId="434" priority="443">
      <formula>IF(DL54&gt;=DM54,IF(DL54="",FALSE,TRUE))</formula>
    </cfRule>
  </conditionalFormatting>
  <conditionalFormatting sqref="DL52:DL53">
    <cfRule type="expression" dxfId="433" priority="446">
      <formula>OR(IF(DL52&lt;DM52,TRUE),IF(AND(DM52="",DL52&lt;&gt;""),TRUE))</formula>
    </cfRule>
    <cfRule type="expression" dxfId="432" priority="447">
      <formula>IF(DL52&gt;=DM52,IF(DL52="",FALSE,TRUE))</formula>
    </cfRule>
  </conditionalFormatting>
  <conditionalFormatting sqref="DJ54:DJ63">
    <cfRule type="expression" dxfId="431" priority="444">
      <formula>OR(IF(DJ54&lt;DK54,TRUE),IF(AND(DK54="",DJ54&lt;&gt;""),TRUE))</formula>
    </cfRule>
    <cfRule type="expression" dxfId="430" priority="445">
      <formula>IF(DJ54&gt;=DK54,IF(DJ54="",FALSE,TRUE))</formula>
    </cfRule>
  </conditionalFormatting>
  <conditionalFormatting sqref="DL64">
    <cfRule type="expression" dxfId="429" priority="438">
      <formula>OR(IF(DL64&lt;DM64,TRUE),IF(AND(DM64="",DL64&lt;&gt;""),TRUE))</formula>
    </cfRule>
    <cfRule type="expression" dxfId="428" priority="439">
      <formula>IF(DL64&gt;=DM64,IF(DL64="",FALSE,TRUE))</formula>
    </cfRule>
  </conditionalFormatting>
  <conditionalFormatting sqref="DJ64">
    <cfRule type="expression" dxfId="427" priority="440">
      <formula>OR(IF(DJ64&lt;DK64,TRUE),IF(AND(DK64="",DJ64&lt;&gt;""),TRUE))</formula>
    </cfRule>
    <cfRule type="expression" dxfId="426" priority="441">
      <formula>IF(DJ64&gt;=DK64,IF(DJ64="",FALSE,TRUE))</formula>
    </cfRule>
  </conditionalFormatting>
  <conditionalFormatting sqref="DL65">
    <cfRule type="expression" dxfId="425" priority="434">
      <formula>OR(IF(DL65&lt;DM65,TRUE),IF(AND(DM65="",DL65&lt;&gt;""),TRUE))</formula>
    </cfRule>
    <cfRule type="expression" dxfId="424" priority="435">
      <formula>IF(DL65&gt;=DM65,IF(DL65="",FALSE,TRUE))</formula>
    </cfRule>
  </conditionalFormatting>
  <conditionalFormatting sqref="DJ65">
    <cfRule type="expression" dxfId="423" priority="436">
      <formula>OR(IF(DJ65&lt;DK65,TRUE),IF(AND(DK65="",DJ65&lt;&gt;""),TRUE))</formula>
    </cfRule>
    <cfRule type="expression" dxfId="422" priority="437">
      <formula>IF(DJ65&gt;=DK65,IF(DJ65="",FALSE,TRUE))</formula>
    </cfRule>
  </conditionalFormatting>
  <conditionalFormatting sqref="DL66">
    <cfRule type="expression" dxfId="421" priority="430">
      <formula>OR(IF(DL66&lt;DM66,TRUE),IF(AND(DM66="",DL66&lt;&gt;""),TRUE))</formula>
    </cfRule>
    <cfRule type="expression" dxfId="420" priority="431">
      <formula>IF(DL66&gt;=DM66,IF(DL66="",FALSE,TRUE))</formula>
    </cfRule>
  </conditionalFormatting>
  <conditionalFormatting sqref="DJ66">
    <cfRule type="expression" dxfId="419" priority="432">
      <formula>OR(IF(DJ66&lt;DK66,TRUE),IF(AND(DK66="",DJ66&lt;&gt;""),TRUE))</formula>
    </cfRule>
    <cfRule type="expression" dxfId="418" priority="433">
      <formula>IF(DJ66&gt;=DK66,IF(DJ66="",FALSE,TRUE))</formula>
    </cfRule>
  </conditionalFormatting>
  <conditionalFormatting sqref="DL67">
    <cfRule type="expression" dxfId="417" priority="426">
      <formula>OR(IF(DL67&lt;DM67,TRUE),IF(AND(DM67="",DL67&lt;&gt;""),TRUE))</formula>
    </cfRule>
    <cfRule type="expression" dxfId="416" priority="427">
      <formula>IF(DL67&gt;=DM67,IF(DL67="",FALSE,TRUE))</formula>
    </cfRule>
  </conditionalFormatting>
  <conditionalFormatting sqref="DJ67">
    <cfRule type="expression" dxfId="415" priority="428">
      <formula>OR(IF(DJ67&lt;DK67,TRUE),IF(AND(DK67="",DJ67&lt;&gt;""),TRUE))</formula>
    </cfRule>
    <cfRule type="expression" dxfId="414" priority="429">
      <formula>IF(DJ67&gt;=DK67,IF(DJ67="",FALSE,TRUE))</formula>
    </cfRule>
  </conditionalFormatting>
  <conditionalFormatting sqref="DL68">
    <cfRule type="expression" dxfId="413" priority="422">
      <formula>OR(IF(DL68&lt;DM68,TRUE),IF(AND(DM68="",DL68&lt;&gt;""),TRUE))</formula>
    </cfRule>
    <cfRule type="expression" dxfId="412" priority="423">
      <formula>IF(DL68&gt;=DM68,IF(DL68="",FALSE,TRUE))</formula>
    </cfRule>
  </conditionalFormatting>
  <conditionalFormatting sqref="DJ68">
    <cfRule type="expression" dxfId="411" priority="424">
      <formula>OR(IF(DJ68&lt;DK68,TRUE),IF(AND(DK68="",DJ68&lt;&gt;""),TRUE))</formula>
    </cfRule>
    <cfRule type="expression" dxfId="410" priority="425">
      <formula>IF(DJ68&gt;=DK68,IF(DJ68="",FALSE,TRUE))</formula>
    </cfRule>
  </conditionalFormatting>
  <conditionalFormatting sqref="DL69">
    <cfRule type="expression" dxfId="409" priority="418">
      <formula>OR(IF(DL69&lt;DM69,TRUE),IF(AND(DM69="",DL69&lt;&gt;""),TRUE))</formula>
    </cfRule>
    <cfRule type="expression" dxfId="408" priority="419">
      <formula>IF(DL69&gt;=DM69,IF(DL69="",FALSE,TRUE))</formula>
    </cfRule>
  </conditionalFormatting>
  <conditionalFormatting sqref="DJ69">
    <cfRule type="expression" dxfId="407" priority="420">
      <formula>OR(IF(DJ69&lt;DK69,TRUE),IF(AND(DK69="",DJ69&lt;&gt;""),TRUE))</formula>
    </cfRule>
    <cfRule type="expression" dxfId="406" priority="421">
      <formula>IF(DJ69&gt;=DK69,IF(DJ69="",FALSE,TRUE))</formula>
    </cfRule>
  </conditionalFormatting>
  <conditionalFormatting sqref="DL70">
    <cfRule type="expression" dxfId="405" priority="414">
      <formula>OR(IF(DL70&lt;DM70,TRUE),IF(AND(DM70="",DL70&lt;&gt;""),TRUE))</formula>
    </cfRule>
    <cfRule type="expression" dxfId="404" priority="415">
      <formula>IF(DL70&gt;=DM70,IF(DL70="",FALSE,TRUE))</formula>
    </cfRule>
  </conditionalFormatting>
  <conditionalFormatting sqref="DJ70">
    <cfRule type="expression" dxfId="403" priority="416">
      <formula>OR(IF(DJ70&lt;DK70,TRUE),IF(AND(DK70="",DJ70&lt;&gt;""),TRUE))</formula>
    </cfRule>
    <cfRule type="expression" dxfId="402" priority="417">
      <formula>IF(DJ70&gt;=DK70,IF(DJ70="",FALSE,TRUE))</formula>
    </cfRule>
  </conditionalFormatting>
  <conditionalFormatting sqref="DL71">
    <cfRule type="expression" dxfId="401" priority="410">
      <formula>OR(IF(DL71&lt;DM71,TRUE),IF(AND(DM71="",DL71&lt;&gt;""),TRUE))</formula>
    </cfRule>
    <cfRule type="expression" dxfId="400" priority="411">
      <formula>IF(DL71&gt;=DM71,IF(DL71="",FALSE,TRUE))</formula>
    </cfRule>
  </conditionalFormatting>
  <conditionalFormatting sqref="DJ71">
    <cfRule type="expression" dxfId="399" priority="412">
      <formula>OR(IF(DJ71&lt;DK71,TRUE),IF(AND(DK71="",DJ71&lt;&gt;""),TRUE))</formula>
    </cfRule>
    <cfRule type="expression" dxfId="398" priority="413">
      <formula>IF(DJ71&gt;=DK71,IF(DJ71="",FALSE,TRUE))</formula>
    </cfRule>
  </conditionalFormatting>
  <conditionalFormatting sqref="DL72">
    <cfRule type="expression" dxfId="397" priority="406">
      <formula>OR(IF(DL72&lt;DM72,TRUE),IF(AND(DM72="",DL72&lt;&gt;""),TRUE))</formula>
    </cfRule>
    <cfRule type="expression" dxfId="396" priority="407">
      <formula>IF(DL72&gt;=DM72,IF(DL72="",FALSE,TRUE))</formula>
    </cfRule>
  </conditionalFormatting>
  <conditionalFormatting sqref="DJ72">
    <cfRule type="expression" dxfId="395" priority="408">
      <formula>OR(IF(DJ72&lt;DK72,TRUE),IF(AND(DK72="",DJ72&lt;&gt;""),TRUE))</formula>
    </cfRule>
    <cfRule type="expression" dxfId="394" priority="409">
      <formula>IF(DJ72&gt;=DK72,IF(DJ72="",FALSE,TRUE))</formula>
    </cfRule>
  </conditionalFormatting>
  <conditionalFormatting sqref="DL73">
    <cfRule type="expression" dxfId="393" priority="402">
      <formula>OR(IF(DL73&lt;DM73,TRUE),IF(AND(DM73="",DL73&lt;&gt;""),TRUE))</formula>
    </cfRule>
    <cfRule type="expression" dxfId="392" priority="403">
      <formula>IF(DL73&gt;=DM73,IF(DL73="",FALSE,TRUE))</formula>
    </cfRule>
  </conditionalFormatting>
  <conditionalFormatting sqref="DJ73">
    <cfRule type="expression" dxfId="391" priority="404">
      <formula>OR(IF(DJ73&lt;DK73,TRUE),IF(AND(DK73="",DJ73&lt;&gt;""),TRUE))</formula>
    </cfRule>
    <cfRule type="expression" dxfId="390" priority="405">
      <formula>IF(DJ73&gt;=DK73,IF(DJ73="",FALSE,TRUE))</formula>
    </cfRule>
  </conditionalFormatting>
  <conditionalFormatting sqref="DL74">
    <cfRule type="expression" dxfId="389" priority="398">
      <formula>OR(IF(DL74&lt;DM74,TRUE),IF(AND(DM74="",DL74&lt;&gt;""),TRUE))</formula>
    </cfRule>
    <cfRule type="expression" dxfId="388" priority="399">
      <formula>IF(DL74&gt;=DM74,IF(DL74="",FALSE,TRUE))</formula>
    </cfRule>
  </conditionalFormatting>
  <conditionalFormatting sqref="DJ74">
    <cfRule type="expression" dxfId="387" priority="400">
      <formula>OR(IF(DJ74&lt;DK74,TRUE),IF(AND(DK74="",DJ74&lt;&gt;""),TRUE))</formula>
    </cfRule>
    <cfRule type="expression" dxfId="386" priority="401">
      <formula>IF(DJ74&gt;=DK74,IF(DJ74="",FALSE,TRUE))</formula>
    </cfRule>
  </conditionalFormatting>
  <conditionalFormatting sqref="DL75">
    <cfRule type="expression" dxfId="385" priority="394">
      <formula>OR(IF(DL75&lt;DM75,TRUE),IF(AND(DM75="",DL75&lt;&gt;""),TRUE))</formula>
    </cfRule>
    <cfRule type="expression" dxfId="384" priority="395">
      <formula>IF(DL75&gt;=DM75,IF(DL75="",FALSE,TRUE))</formula>
    </cfRule>
  </conditionalFormatting>
  <conditionalFormatting sqref="DJ75">
    <cfRule type="expression" dxfId="383" priority="396">
      <formula>OR(IF(DJ75&lt;DK75,TRUE),IF(AND(DK75="",DJ75&lt;&gt;""),TRUE))</formula>
    </cfRule>
    <cfRule type="expression" dxfId="382" priority="397">
      <formula>IF(DJ75&gt;=DK75,IF(DJ75="",FALSE,TRUE))</formula>
    </cfRule>
  </conditionalFormatting>
  <conditionalFormatting sqref="DL76">
    <cfRule type="expression" dxfId="381" priority="390">
      <formula>OR(IF(DL76&lt;DM76,TRUE),IF(AND(DM76="",DL76&lt;&gt;""),TRUE))</formula>
    </cfRule>
    <cfRule type="expression" dxfId="380" priority="391">
      <formula>IF(DL76&gt;=DM76,IF(DL76="",FALSE,TRUE))</formula>
    </cfRule>
  </conditionalFormatting>
  <conditionalFormatting sqref="DJ76">
    <cfRule type="expression" dxfId="379" priority="392">
      <formula>OR(IF(DJ76&lt;DK76,TRUE),IF(AND(DK76="",DJ76&lt;&gt;""),TRUE))</formula>
    </cfRule>
    <cfRule type="expression" dxfId="378" priority="393">
      <formula>IF(DJ76&gt;=DK76,IF(DJ76="",FALSE,TRUE))</formula>
    </cfRule>
  </conditionalFormatting>
  <conditionalFormatting sqref="DL80 DJ80">
    <cfRule type="expression" dxfId="377" priority="388">
      <formula>OR(IF(DJ80&lt;DK80,TRUE),IF(AND(DK80="",DJ80&lt;&gt;""),TRUE))</formula>
    </cfRule>
    <cfRule type="expression" dxfId="376" priority="389">
      <formula>IF(DJ80&gt;=DK80,IF(DJ80="",FALSE,TRUE))</formula>
    </cfRule>
  </conditionalFormatting>
  <conditionalFormatting sqref="DJ81:DJ82">
    <cfRule type="expression" dxfId="375" priority="386">
      <formula>OR(IF(DJ81&lt;DK81,TRUE),IF(AND(DK81="",DJ81&lt;&gt;""),TRUE))</formula>
    </cfRule>
    <cfRule type="expression" dxfId="374" priority="387">
      <formula>IF(DJ81&gt;=DK81,IF(DJ81="",FALSE,TRUE))</formula>
    </cfRule>
  </conditionalFormatting>
  <conditionalFormatting sqref="DL83:DL93">
    <cfRule type="expression" dxfId="373" priority="380">
      <formula>OR(IF(DL83&lt;DM83,TRUE),IF(AND(DM83="",DL83&lt;&gt;""),TRUE))</formula>
    </cfRule>
    <cfRule type="expression" dxfId="372" priority="381">
      <formula>IF(DL83&gt;=DM83,IF(DL83="",FALSE,TRUE))</formula>
    </cfRule>
  </conditionalFormatting>
  <conditionalFormatting sqref="DL81:DL82">
    <cfRule type="expression" dxfId="371" priority="384">
      <formula>OR(IF(DL81&lt;DM81,TRUE),IF(AND(DM81="",DL81&lt;&gt;""),TRUE))</formula>
    </cfRule>
    <cfRule type="expression" dxfId="370" priority="385">
      <formula>IF(DL81&gt;=DM81,IF(DL81="",FALSE,TRUE))</formula>
    </cfRule>
  </conditionalFormatting>
  <conditionalFormatting sqref="DJ83:DJ93">
    <cfRule type="expression" dxfId="369" priority="382">
      <formula>OR(IF(DJ83&lt;DK83,TRUE),IF(AND(DK83="",DJ83&lt;&gt;""),TRUE))</formula>
    </cfRule>
    <cfRule type="expression" dxfId="368" priority="383">
      <formula>IF(DJ83&gt;=DK83,IF(DJ83="",FALSE,TRUE))</formula>
    </cfRule>
  </conditionalFormatting>
  <conditionalFormatting sqref="DS47 DS51 DQ47 DQ51">
    <cfRule type="expression" dxfId="367" priority="378">
      <formula>OR(IF(DQ47&lt;DR47,TRUE),IF(AND(DR47="",DQ47&lt;&gt;""),TRUE))</formula>
    </cfRule>
    <cfRule type="expression" dxfId="366" priority="379">
      <formula>IF(DQ47&gt;=DR47,IF(DQ47="",FALSE,TRUE))</formula>
    </cfRule>
  </conditionalFormatting>
  <conditionalFormatting sqref="DQ5:DQ19 DS5:DS19 DS24:DS32 DQ24:DQ32 DS37:DS46 DQ37:DQ46">
    <cfRule type="expression" dxfId="365" priority="376">
      <formula>OR(IF(DQ5&lt;DR5,TRUE),IF(AND(DR5="",DQ5&lt;&gt;""),TRUE))</formula>
    </cfRule>
    <cfRule type="expression" dxfId="364" priority="377">
      <formula>IF(DQ5&gt;=DR5,IF(DQ5="",FALSE,TRUE))</formula>
    </cfRule>
  </conditionalFormatting>
  <conditionalFormatting sqref="DQ22:DQ23">
    <cfRule type="expression" dxfId="363" priority="374">
      <formula>OR(IF(DQ22&lt;DR22,TRUE),IF(AND(DR22="",DQ22&lt;&gt;""),TRUE))</formula>
    </cfRule>
    <cfRule type="expression" dxfId="362" priority="375">
      <formula>IF(DQ22&gt;=DR22,IF(DQ22="",FALSE,TRUE))</formula>
    </cfRule>
  </conditionalFormatting>
  <conditionalFormatting sqref="DS22:DS23">
    <cfRule type="expression" dxfId="361" priority="372">
      <formula>OR(IF(DS22&lt;DT22,TRUE),IF(AND(DT22="",DS22&lt;&gt;""),TRUE))</formula>
    </cfRule>
    <cfRule type="expression" dxfId="360" priority="373">
      <formula>IF(DS22&gt;=DT22,IF(DS22="",FALSE,TRUE))</formula>
    </cfRule>
  </conditionalFormatting>
  <conditionalFormatting sqref="DQ35:DQ36">
    <cfRule type="expression" dxfId="359" priority="370">
      <formula>OR(IF(DQ35&lt;DR35,TRUE),IF(AND(DR35="",DQ35&lt;&gt;""),TRUE))</formula>
    </cfRule>
    <cfRule type="expression" dxfId="358" priority="371">
      <formula>IF(DQ35&gt;=DR35,IF(DQ35="",FALSE,TRUE))</formula>
    </cfRule>
  </conditionalFormatting>
  <conditionalFormatting sqref="DS35:DS36">
    <cfRule type="expression" dxfId="357" priority="368">
      <formula>OR(IF(DS35&lt;DT35,TRUE),IF(AND(DT35="",DS35&lt;&gt;""),TRUE))</formula>
    </cfRule>
    <cfRule type="expression" dxfId="356" priority="369">
      <formula>IF(DS35&gt;=DT35,IF(DS35="",FALSE,TRUE))</formula>
    </cfRule>
  </conditionalFormatting>
  <conditionalFormatting sqref="DQ52:DQ53">
    <cfRule type="expression" dxfId="355" priority="366">
      <formula>OR(IF(DQ52&lt;DR52,TRUE),IF(AND(DR52="",DQ52&lt;&gt;""),TRUE))</formula>
    </cfRule>
    <cfRule type="expression" dxfId="354" priority="367">
      <formula>IF(DQ52&gt;=DR52,IF(DQ52="",FALSE,TRUE))</formula>
    </cfRule>
  </conditionalFormatting>
  <conditionalFormatting sqref="DS54:DS63">
    <cfRule type="expression" dxfId="353" priority="360">
      <formula>OR(IF(DS54&lt;DT54,TRUE),IF(AND(DT54="",DS54&lt;&gt;""),TRUE))</formula>
    </cfRule>
    <cfRule type="expression" dxfId="352" priority="361">
      <formula>IF(DS54&gt;=DT54,IF(DS54="",FALSE,TRUE))</formula>
    </cfRule>
  </conditionalFormatting>
  <conditionalFormatting sqref="DS52:DS53">
    <cfRule type="expression" dxfId="351" priority="364">
      <formula>OR(IF(DS52&lt;DT52,TRUE),IF(AND(DT52="",DS52&lt;&gt;""),TRUE))</formula>
    </cfRule>
    <cfRule type="expression" dxfId="350" priority="365">
      <formula>IF(DS52&gt;=DT52,IF(DS52="",FALSE,TRUE))</formula>
    </cfRule>
  </conditionalFormatting>
  <conditionalFormatting sqref="DQ54:DQ63">
    <cfRule type="expression" dxfId="349" priority="362">
      <formula>OR(IF(DQ54&lt;DR54,TRUE),IF(AND(DR54="",DQ54&lt;&gt;""),TRUE))</formula>
    </cfRule>
    <cfRule type="expression" dxfId="348" priority="363">
      <formula>IF(DQ54&gt;=DR54,IF(DQ54="",FALSE,TRUE))</formula>
    </cfRule>
  </conditionalFormatting>
  <conditionalFormatting sqref="DS64">
    <cfRule type="expression" dxfId="347" priority="356">
      <formula>OR(IF(DS64&lt;DT64,TRUE),IF(AND(DT64="",DS64&lt;&gt;""),TRUE))</formula>
    </cfRule>
    <cfRule type="expression" dxfId="346" priority="357">
      <formula>IF(DS64&gt;=DT64,IF(DS64="",FALSE,TRUE))</formula>
    </cfRule>
  </conditionalFormatting>
  <conditionalFormatting sqref="DQ64">
    <cfRule type="expression" dxfId="345" priority="358">
      <formula>OR(IF(DQ64&lt;DR64,TRUE),IF(AND(DR64="",DQ64&lt;&gt;""),TRUE))</formula>
    </cfRule>
    <cfRule type="expression" dxfId="344" priority="359">
      <formula>IF(DQ64&gt;=DR64,IF(DQ64="",FALSE,TRUE))</formula>
    </cfRule>
  </conditionalFormatting>
  <conditionalFormatting sqref="DS65">
    <cfRule type="expression" dxfId="343" priority="352">
      <formula>OR(IF(DS65&lt;DT65,TRUE),IF(AND(DT65="",DS65&lt;&gt;""),TRUE))</formula>
    </cfRule>
    <cfRule type="expression" dxfId="342" priority="353">
      <formula>IF(DS65&gt;=DT65,IF(DS65="",FALSE,TRUE))</formula>
    </cfRule>
  </conditionalFormatting>
  <conditionalFormatting sqref="DQ65">
    <cfRule type="expression" dxfId="341" priority="354">
      <formula>OR(IF(DQ65&lt;DR65,TRUE),IF(AND(DR65="",DQ65&lt;&gt;""),TRUE))</formula>
    </cfRule>
    <cfRule type="expression" dxfId="340" priority="355">
      <formula>IF(DQ65&gt;=DR65,IF(DQ65="",FALSE,TRUE))</formula>
    </cfRule>
  </conditionalFormatting>
  <conditionalFormatting sqref="DS66">
    <cfRule type="expression" dxfId="339" priority="348">
      <formula>OR(IF(DS66&lt;DT66,TRUE),IF(AND(DT66="",DS66&lt;&gt;""),TRUE))</formula>
    </cfRule>
    <cfRule type="expression" dxfId="338" priority="349">
      <formula>IF(DS66&gt;=DT66,IF(DS66="",FALSE,TRUE))</formula>
    </cfRule>
  </conditionalFormatting>
  <conditionalFormatting sqref="DQ66">
    <cfRule type="expression" dxfId="337" priority="350">
      <formula>OR(IF(DQ66&lt;DR66,TRUE),IF(AND(DR66="",DQ66&lt;&gt;""),TRUE))</formula>
    </cfRule>
    <cfRule type="expression" dxfId="336" priority="351">
      <formula>IF(DQ66&gt;=DR66,IF(DQ66="",FALSE,TRUE))</formula>
    </cfRule>
  </conditionalFormatting>
  <conditionalFormatting sqref="DS67">
    <cfRule type="expression" dxfId="335" priority="344">
      <formula>OR(IF(DS67&lt;DT67,TRUE),IF(AND(DT67="",DS67&lt;&gt;""),TRUE))</formula>
    </cfRule>
    <cfRule type="expression" dxfId="334" priority="345">
      <formula>IF(DS67&gt;=DT67,IF(DS67="",FALSE,TRUE))</formula>
    </cfRule>
  </conditionalFormatting>
  <conditionalFormatting sqref="DQ67">
    <cfRule type="expression" dxfId="333" priority="346">
      <formula>OR(IF(DQ67&lt;DR67,TRUE),IF(AND(DR67="",DQ67&lt;&gt;""),TRUE))</formula>
    </cfRule>
    <cfRule type="expression" dxfId="332" priority="347">
      <formula>IF(DQ67&gt;=DR67,IF(DQ67="",FALSE,TRUE))</formula>
    </cfRule>
  </conditionalFormatting>
  <conditionalFormatting sqref="DS68">
    <cfRule type="expression" dxfId="331" priority="340">
      <formula>OR(IF(DS68&lt;DT68,TRUE),IF(AND(DT68="",DS68&lt;&gt;""),TRUE))</formula>
    </cfRule>
    <cfRule type="expression" dxfId="330" priority="341">
      <formula>IF(DS68&gt;=DT68,IF(DS68="",FALSE,TRUE))</formula>
    </cfRule>
  </conditionalFormatting>
  <conditionalFormatting sqref="DQ68">
    <cfRule type="expression" dxfId="329" priority="342">
      <formula>OR(IF(DQ68&lt;DR68,TRUE),IF(AND(DR68="",DQ68&lt;&gt;""),TRUE))</formula>
    </cfRule>
    <cfRule type="expression" dxfId="328" priority="343">
      <formula>IF(DQ68&gt;=DR68,IF(DQ68="",FALSE,TRUE))</formula>
    </cfRule>
  </conditionalFormatting>
  <conditionalFormatting sqref="DS69">
    <cfRule type="expression" dxfId="327" priority="336">
      <formula>OR(IF(DS69&lt;DT69,TRUE),IF(AND(DT69="",DS69&lt;&gt;""),TRUE))</formula>
    </cfRule>
    <cfRule type="expression" dxfId="326" priority="337">
      <formula>IF(DS69&gt;=DT69,IF(DS69="",FALSE,TRUE))</formula>
    </cfRule>
  </conditionalFormatting>
  <conditionalFormatting sqref="DQ69">
    <cfRule type="expression" dxfId="325" priority="338">
      <formula>OR(IF(DQ69&lt;DR69,TRUE),IF(AND(DR69="",DQ69&lt;&gt;""),TRUE))</formula>
    </cfRule>
    <cfRule type="expression" dxfId="324" priority="339">
      <formula>IF(DQ69&gt;=DR69,IF(DQ69="",FALSE,TRUE))</formula>
    </cfRule>
  </conditionalFormatting>
  <conditionalFormatting sqref="DS70">
    <cfRule type="expression" dxfId="323" priority="332">
      <formula>OR(IF(DS70&lt;DT70,TRUE),IF(AND(DT70="",DS70&lt;&gt;""),TRUE))</formula>
    </cfRule>
    <cfRule type="expression" dxfId="322" priority="333">
      <formula>IF(DS70&gt;=DT70,IF(DS70="",FALSE,TRUE))</formula>
    </cfRule>
  </conditionalFormatting>
  <conditionalFormatting sqref="DQ70">
    <cfRule type="expression" dxfId="321" priority="334">
      <formula>OR(IF(DQ70&lt;DR70,TRUE),IF(AND(DR70="",DQ70&lt;&gt;""),TRUE))</formula>
    </cfRule>
    <cfRule type="expression" dxfId="320" priority="335">
      <formula>IF(DQ70&gt;=DR70,IF(DQ70="",FALSE,TRUE))</formula>
    </cfRule>
  </conditionalFormatting>
  <conditionalFormatting sqref="DS71">
    <cfRule type="expression" dxfId="319" priority="328">
      <formula>OR(IF(DS71&lt;DT71,TRUE),IF(AND(DT71="",DS71&lt;&gt;""),TRUE))</formula>
    </cfRule>
    <cfRule type="expression" dxfId="318" priority="329">
      <formula>IF(DS71&gt;=DT71,IF(DS71="",FALSE,TRUE))</formula>
    </cfRule>
  </conditionalFormatting>
  <conditionalFormatting sqref="DQ71">
    <cfRule type="expression" dxfId="317" priority="330">
      <formula>OR(IF(DQ71&lt;DR71,TRUE),IF(AND(DR71="",DQ71&lt;&gt;""),TRUE))</formula>
    </cfRule>
    <cfRule type="expression" dxfId="316" priority="331">
      <formula>IF(DQ71&gt;=DR71,IF(DQ71="",FALSE,TRUE))</formula>
    </cfRule>
  </conditionalFormatting>
  <conditionalFormatting sqref="DS72">
    <cfRule type="expression" dxfId="315" priority="324">
      <formula>OR(IF(DS72&lt;DT72,TRUE),IF(AND(DT72="",DS72&lt;&gt;""),TRUE))</formula>
    </cfRule>
    <cfRule type="expression" dxfId="314" priority="325">
      <formula>IF(DS72&gt;=DT72,IF(DS72="",FALSE,TRUE))</formula>
    </cfRule>
  </conditionalFormatting>
  <conditionalFormatting sqref="DQ72">
    <cfRule type="expression" dxfId="313" priority="326">
      <formula>OR(IF(DQ72&lt;DR72,TRUE),IF(AND(DR72="",DQ72&lt;&gt;""),TRUE))</formula>
    </cfRule>
    <cfRule type="expression" dxfId="312" priority="327">
      <formula>IF(DQ72&gt;=DR72,IF(DQ72="",FALSE,TRUE))</formula>
    </cfRule>
  </conditionalFormatting>
  <conditionalFormatting sqref="DS73">
    <cfRule type="expression" dxfId="311" priority="320">
      <formula>OR(IF(DS73&lt;DT73,TRUE),IF(AND(DT73="",DS73&lt;&gt;""),TRUE))</formula>
    </cfRule>
    <cfRule type="expression" dxfId="310" priority="321">
      <formula>IF(DS73&gt;=DT73,IF(DS73="",FALSE,TRUE))</formula>
    </cfRule>
  </conditionalFormatting>
  <conditionalFormatting sqref="DQ73">
    <cfRule type="expression" dxfId="309" priority="322">
      <formula>OR(IF(DQ73&lt;DR73,TRUE),IF(AND(DR73="",DQ73&lt;&gt;""),TRUE))</formula>
    </cfRule>
    <cfRule type="expression" dxfId="308" priority="323">
      <formula>IF(DQ73&gt;=DR73,IF(DQ73="",FALSE,TRUE))</formula>
    </cfRule>
  </conditionalFormatting>
  <conditionalFormatting sqref="DS74">
    <cfRule type="expression" dxfId="307" priority="316">
      <formula>OR(IF(DS74&lt;DT74,TRUE),IF(AND(DT74="",DS74&lt;&gt;""),TRUE))</formula>
    </cfRule>
    <cfRule type="expression" dxfId="306" priority="317">
      <formula>IF(DS74&gt;=DT74,IF(DS74="",FALSE,TRUE))</formula>
    </cfRule>
  </conditionalFormatting>
  <conditionalFormatting sqref="DQ74">
    <cfRule type="expression" dxfId="305" priority="318">
      <formula>OR(IF(DQ74&lt;DR74,TRUE),IF(AND(DR74="",DQ74&lt;&gt;""),TRUE))</formula>
    </cfRule>
    <cfRule type="expression" dxfId="304" priority="319">
      <formula>IF(DQ74&gt;=DR74,IF(DQ74="",FALSE,TRUE))</formula>
    </cfRule>
  </conditionalFormatting>
  <conditionalFormatting sqref="DS75">
    <cfRule type="expression" dxfId="303" priority="312">
      <formula>OR(IF(DS75&lt;DT75,TRUE),IF(AND(DT75="",DS75&lt;&gt;""),TRUE))</formula>
    </cfRule>
    <cfRule type="expression" dxfId="302" priority="313">
      <formula>IF(DS75&gt;=DT75,IF(DS75="",FALSE,TRUE))</formula>
    </cfRule>
  </conditionalFormatting>
  <conditionalFormatting sqref="DQ75">
    <cfRule type="expression" dxfId="301" priority="314">
      <formula>OR(IF(DQ75&lt;DR75,TRUE),IF(AND(DR75="",DQ75&lt;&gt;""),TRUE))</formula>
    </cfRule>
    <cfRule type="expression" dxfId="300" priority="315">
      <formula>IF(DQ75&gt;=DR75,IF(DQ75="",FALSE,TRUE))</formula>
    </cfRule>
  </conditionalFormatting>
  <conditionalFormatting sqref="DS76">
    <cfRule type="expression" dxfId="299" priority="308">
      <formula>OR(IF(DS76&lt;DT76,TRUE),IF(AND(DT76="",DS76&lt;&gt;""),TRUE))</formula>
    </cfRule>
    <cfRule type="expression" dxfId="298" priority="309">
      <formula>IF(DS76&gt;=DT76,IF(DS76="",FALSE,TRUE))</formula>
    </cfRule>
  </conditionalFormatting>
  <conditionalFormatting sqref="DQ76">
    <cfRule type="expression" dxfId="297" priority="310">
      <formula>OR(IF(DQ76&lt;DR76,TRUE),IF(AND(DR76="",DQ76&lt;&gt;""),TRUE))</formula>
    </cfRule>
    <cfRule type="expression" dxfId="296" priority="311">
      <formula>IF(DQ76&gt;=DR76,IF(DQ76="",FALSE,TRUE))</formula>
    </cfRule>
  </conditionalFormatting>
  <conditionalFormatting sqref="DS80 DQ80">
    <cfRule type="expression" dxfId="295" priority="306">
      <formula>OR(IF(DQ80&lt;DR80,TRUE),IF(AND(DR80="",DQ80&lt;&gt;""),TRUE))</formula>
    </cfRule>
    <cfRule type="expression" dxfId="294" priority="307">
      <formula>IF(DQ80&gt;=DR80,IF(DQ80="",FALSE,TRUE))</formula>
    </cfRule>
  </conditionalFormatting>
  <conditionalFormatting sqref="DQ81:DQ82">
    <cfRule type="expression" dxfId="293" priority="304">
      <formula>OR(IF(DQ81&lt;DR81,TRUE),IF(AND(DR81="",DQ81&lt;&gt;""),TRUE))</formula>
    </cfRule>
    <cfRule type="expression" dxfId="292" priority="305">
      <formula>IF(DQ81&gt;=DR81,IF(DQ81="",FALSE,TRUE))</formula>
    </cfRule>
  </conditionalFormatting>
  <conditionalFormatting sqref="DS83:DS93">
    <cfRule type="expression" dxfId="291" priority="298">
      <formula>OR(IF(DS83&lt;DT83,TRUE),IF(AND(DT83="",DS83&lt;&gt;""),TRUE))</formula>
    </cfRule>
    <cfRule type="expression" dxfId="290" priority="299">
      <formula>IF(DS83&gt;=DT83,IF(DS83="",FALSE,TRUE))</formula>
    </cfRule>
  </conditionalFormatting>
  <conditionalFormatting sqref="DS81:DS82">
    <cfRule type="expression" dxfId="289" priority="302">
      <formula>OR(IF(DS81&lt;DT81,TRUE),IF(AND(DT81="",DS81&lt;&gt;""),TRUE))</formula>
    </cfRule>
    <cfRule type="expression" dxfId="288" priority="303">
      <formula>IF(DS81&gt;=DT81,IF(DS81="",FALSE,TRUE))</formula>
    </cfRule>
  </conditionalFormatting>
  <conditionalFormatting sqref="DQ83:DQ93">
    <cfRule type="expression" dxfId="287" priority="300">
      <formula>OR(IF(DQ83&lt;DR83,TRUE),IF(AND(DR83="",DQ83&lt;&gt;""),TRUE))</formula>
    </cfRule>
    <cfRule type="expression" dxfId="286" priority="301">
      <formula>IF(DQ83&gt;=DR83,IF(DQ83="",FALSE,TRUE))</formula>
    </cfRule>
  </conditionalFormatting>
  <conditionalFormatting sqref="DZ47 DZ51 DX47 DX51">
    <cfRule type="expression" dxfId="285" priority="296">
      <formula>OR(IF(DX47&lt;DY47,TRUE),IF(AND(DY47="",DX47&lt;&gt;""),TRUE))</formula>
    </cfRule>
    <cfRule type="expression" dxfId="284" priority="297">
      <formula>IF(DX47&gt;=DY47,IF(DX47="",FALSE,TRUE))</formula>
    </cfRule>
  </conditionalFormatting>
  <conditionalFormatting sqref="DX5:DX19 DZ5:DZ19 DZ24:DZ32 DX24:DX32 DZ37:DZ46 DX37:DX46">
    <cfRule type="expression" dxfId="283" priority="294">
      <formula>OR(IF(DX5&lt;DY5,TRUE),IF(AND(DY5="",DX5&lt;&gt;""),TRUE))</formula>
    </cfRule>
    <cfRule type="expression" dxfId="282" priority="295">
      <formula>IF(DX5&gt;=DY5,IF(DX5="",FALSE,TRUE))</formula>
    </cfRule>
  </conditionalFormatting>
  <conditionalFormatting sqref="DX22:DX23">
    <cfRule type="expression" dxfId="281" priority="292">
      <formula>OR(IF(DX22&lt;DY22,TRUE),IF(AND(DY22="",DX22&lt;&gt;""),TRUE))</formula>
    </cfRule>
    <cfRule type="expression" dxfId="280" priority="293">
      <formula>IF(DX22&gt;=DY22,IF(DX22="",FALSE,TRUE))</formula>
    </cfRule>
  </conditionalFormatting>
  <conditionalFormatting sqref="DZ22:DZ23">
    <cfRule type="expression" dxfId="279" priority="290">
      <formula>OR(IF(DZ22&lt;EA22,TRUE),IF(AND(EA22="",DZ22&lt;&gt;""),TRUE))</formula>
    </cfRule>
    <cfRule type="expression" dxfId="278" priority="291">
      <formula>IF(DZ22&gt;=EA22,IF(DZ22="",FALSE,TRUE))</formula>
    </cfRule>
  </conditionalFormatting>
  <conditionalFormatting sqref="DX35:DX36">
    <cfRule type="expression" dxfId="277" priority="288">
      <formula>OR(IF(DX35&lt;DY35,TRUE),IF(AND(DY35="",DX35&lt;&gt;""),TRUE))</formula>
    </cfRule>
    <cfRule type="expression" dxfId="276" priority="289">
      <formula>IF(DX35&gt;=DY35,IF(DX35="",FALSE,TRUE))</formula>
    </cfRule>
  </conditionalFormatting>
  <conditionalFormatting sqref="DZ35:DZ36">
    <cfRule type="expression" dxfId="275" priority="286">
      <formula>OR(IF(DZ35&lt;EA35,TRUE),IF(AND(EA35="",DZ35&lt;&gt;""),TRUE))</formula>
    </cfRule>
    <cfRule type="expression" dxfId="274" priority="287">
      <formula>IF(DZ35&gt;=EA35,IF(DZ35="",FALSE,TRUE))</formula>
    </cfRule>
  </conditionalFormatting>
  <conditionalFormatting sqref="DX52:DX53">
    <cfRule type="expression" dxfId="273" priority="284">
      <formula>OR(IF(DX52&lt;DY52,TRUE),IF(AND(DY52="",DX52&lt;&gt;""),TRUE))</formula>
    </cfRule>
    <cfRule type="expression" dxfId="272" priority="285">
      <formula>IF(DX52&gt;=DY52,IF(DX52="",FALSE,TRUE))</formula>
    </cfRule>
  </conditionalFormatting>
  <conditionalFormatting sqref="DZ54:DZ63">
    <cfRule type="expression" dxfId="271" priority="278">
      <formula>OR(IF(DZ54&lt;EA54,TRUE),IF(AND(EA54="",DZ54&lt;&gt;""),TRUE))</formula>
    </cfRule>
    <cfRule type="expression" dxfId="270" priority="279">
      <formula>IF(DZ54&gt;=EA54,IF(DZ54="",FALSE,TRUE))</formula>
    </cfRule>
  </conditionalFormatting>
  <conditionalFormatting sqref="DZ52:DZ53">
    <cfRule type="expression" dxfId="269" priority="282">
      <formula>OR(IF(DZ52&lt;EA52,TRUE),IF(AND(EA52="",DZ52&lt;&gt;""),TRUE))</formula>
    </cfRule>
    <cfRule type="expression" dxfId="268" priority="283">
      <formula>IF(DZ52&gt;=EA52,IF(DZ52="",FALSE,TRUE))</formula>
    </cfRule>
  </conditionalFormatting>
  <conditionalFormatting sqref="DX54:DX63">
    <cfRule type="expression" dxfId="267" priority="280">
      <formula>OR(IF(DX54&lt;DY54,TRUE),IF(AND(DY54="",DX54&lt;&gt;""),TRUE))</formula>
    </cfRule>
    <cfRule type="expression" dxfId="266" priority="281">
      <formula>IF(DX54&gt;=DY54,IF(DX54="",FALSE,TRUE))</formula>
    </cfRule>
  </conditionalFormatting>
  <conditionalFormatting sqref="DZ64">
    <cfRule type="expression" dxfId="265" priority="274">
      <formula>OR(IF(DZ64&lt;EA64,TRUE),IF(AND(EA64="",DZ64&lt;&gt;""),TRUE))</formula>
    </cfRule>
    <cfRule type="expression" dxfId="264" priority="275">
      <formula>IF(DZ64&gt;=EA64,IF(DZ64="",FALSE,TRUE))</formula>
    </cfRule>
  </conditionalFormatting>
  <conditionalFormatting sqref="DX64">
    <cfRule type="expression" dxfId="263" priority="276">
      <formula>OR(IF(DX64&lt;DY64,TRUE),IF(AND(DY64="",DX64&lt;&gt;""),TRUE))</formula>
    </cfRule>
    <cfRule type="expression" dxfId="262" priority="277">
      <formula>IF(DX64&gt;=DY64,IF(DX64="",FALSE,TRUE))</formula>
    </cfRule>
  </conditionalFormatting>
  <conditionalFormatting sqref="DZ65">
    <cfRule type="expression" dxfId="261" priority="270">
      <formula>OR(IF(DZ65&lt;EA65,TRUE),IF(AND(EA65="",DZ65&lt;&gt;""),TRUE))</formula>
    </cfRule>
    <cfRule type="expression" dxfId="260" priority="271">
      <formula>IF(DZ65&gt;=EA65,IF(DZ65="",FALSE,TRUE))</formula>
    </cfRule>
  </conditionalFormatting>
  <conditionalFormatting sqref="DX65">
    <cfRule type="expression" dxfId="259" priority="272">
      <formula>OR(IF(DX65&lt;DY65,TRUE),IF(AND(DY65="",DX65&lt;&gt;""),TRUE))</formula>
    </cfRule>
    <cfRule type="expression" dxfId="258" priority="273">
      <formula>IF(DX65&gt;=DY65,IF(DX65="",FALSE,TRUE))</formula>
    </cfRule>
  </conditionalFormatting>
  <conditionalFormatting sqref="DZ66">
    <cfRule type="expression" dxfId="257" priority="266">
      <formula>OR(IF(DZ66&lt;EA66,TRUE),IF(AND(EA66="",DZ66&lt;&gt;""),TRUE))</formula>
    </cfRule>
    <cfRule type="expression" dxfId="256" priority="267">
      <formula>IF(DZ66&gt;=EA66,IF(DZ66="",FALSE,TRUE))</formula>
    </cfRule>
  </conditionalFormatting>
  <conditionalFormatting sqref="DX66">
    <cfRule type="expression" dxfId="255" priority="268">
      <formula>OR(IF(DX66&lt;DY66,TRUE),IF(AND(DY66="",DX66&lt;&gt;""),TRUE))</formula>
    </cfRule>
    <cfRule type="expression" dxfId="254" priority="269">
      <formula>IF(DX66&gt;=DY66,IF(DX66="",FALSE,TRUE))</formula>
    </cfRule>
  </conditionalFormatting>
  <conditionalFormatting sqref="DZ67">
    <cfRule type="expression" dxfId="253" priority="262">
      <formula>OR(IF(DZ67&lt;EA67,TRUE),IF(AND(EA67="",DZ67&lt;&gt;""),TRUE))</formula>
    </cfRule>
    <cfRule type="expression" dxfId="252" priority="263">
      <formula>IF(DZ67&gt;=EA67,IF(DZ67="",FALSE,TRUE))</formula>
    </cfRule>
  </conditionalFormatting>
  <conditionalFormatting sqref="DX67">
    <cfRule type="expression" dxfId="251" priority="264">
      <formula>OR(IF(DX67&lt;DY67,TRUE),IF(AND(DY67="",DX67&lt;&gt;""),TRUE))</formula>
    </cfRule>
    <cfRule type="expression" dxfId="250" priority="265">
      <formula>IF(DX67&gt;=DY67,IF(DX67="",FALSE,TRUE))</formula>
    </cfRule>
  </conditionalFormatting>
  <conditionalFormatting sqref="DZ68">
    <cfRule type="expression" dxfId="249" priority="258">
      <formula>OR(IF(DZ68&lt;EA68,TRUE),IF(AND(EA68="",DZ68&lt;&gt;""),TRUE))</formula>
    </cfRule>
    <cfRule type="expression" dxfId="248" priority="259">
      <formula>IF(DZ68&gt;=EA68,IF(DZ68="",FALSE,TRUE))</formula>
    </cfRule>
  </conditionalFormatting>
  <conditionalFormatting sqref="DX68">
    <cfRule type="expression" dxfId="247" priority="260">
      <formula>OR(IF(DX68&lt;DY68,TRUE),IF(AND(DY68="",DX68&lt;&gt;""),TRUE))</formula>
    </cfRule>
    <cfRule type="expression" dxfId="246" priority="261">
      <formula>IF(DX68&gt;=DY68,IF(DX68="",FALSE,TRUE))</formula>
    </cfRule>
  </conditionalFormatting>
  <conditionalFormatting sqref="DZ69">
    <cfRule type="expression" dxfId="245" priority="254">
      <formula>OR(IF(DZ69&lt;EA69,TRUE),IF(AND(EA69="",DZ69&lt;&gt;""),TRUE))</formula>
    </cfRule>
    <cfRule type="expression" dxfId="244" priority="255">
      <formula>IF(DZ69&gt;=EA69,IF(DZ69="",FALSE,TRUE))</formula>
    </cfRule>
  </conditionalFormatting>
  <conditionalFormatting sqref="DX69">
    <cfRule type="expression" dxfId="243" priority="256">
      <formula>OR(IF(DX69&lt;DY69,TRUE),IF(AND(DY69="",DX69&lt;&gt;""),TRUE))</formula>
    </cfRule>
    <cfRule type="expression" dxfId="242" priority="257">
      <formula>IF(DX69&gt;=DY69,IF(DX69="",FALSE,TRUE))</formula>
    </cfRule>
  </conditionalFormatting>
  <conditionalFormatting sqref="DZ70">
    <cfRule type="expression" dxfId="241" priority="250">
      <formula>OR(IF(DZ70&lt;EA70,TRUE),IF(AND(EA70="",DZ70&lt;&gt;""),TRUE))</formula>
    </cfRule>
    <cfRule type="expression" dxfId="240" priority="251">
      <formula>IF(DZ70&gt;=EA70,IF(DZ70="",FALSE,TRUE))</formula>
    </cfRule>
  </conditionalFormatting>
  <conditionalFormatting sqref="DX70">
    <cfRule type="expression" dxfId="239" priority="252">
      <formula>OR(IF(DX70&lt;DY70,TRUE),IF(AND(DY70="",DX70&lt;&gt;""),TRUE))</formula>
    </cfRule>
    <cfRule type="expression" dxfId="238" priority="253">
      <formula>IF(DX70&gt;=DY70,IF(DX70="",FALSE,TRUE))</formula>
    </cfRule>
  </conditionalFormatting>
  <conditionalFormatting sqref="DZ71">
    <cfRule type="expression" dxfId="237" priority="246">
      <formula>OR(IF(DZ71&lt;EA71,TRUE),IF(AND(EA71="",DZ71&lt;&gt;""),TRUE))</formula>
    </cfRule>
    <cfRule type="expression" dxfId="236" priority="247">
      <formula>IF(DZ71&gt;=EA71,IF(DZ71="",FALSE,TRUE))</formula>
    </cfRule>
  </conditionalFormatting>
  <conditionalFormatting sqref="DX71">
    <cfRule type="expression" dxfId="235" priority="248">
      <formula>OR(IF(DX71&lt;DY71,TRUE),IF(AND(DY71="",DX71&lt;&gt;""),TRUE))</formula>
    </cfRule>
    <cfRule type="expression" dxfId="234" priority="249">
      <formula>IF(DX71&gt;=DY71,IF(DX71="",FALSE,TRUE))</formula>
    </cfRule>
  </conditionalFormatting>
  <conditionalFormatting sqref="DZ72">
    <cfRule type="expression" dxfId="233" priority="242">
      <formula>OR(IF(DZ72&lt;EA72,TRUE),IF(AND(EA72="",DZ72&lt;&gt;""),TRUE))</formula>
    </cfRule>
    <cfRule type="expression" dxfId="232" priority="243">
      <formula>IF(DZ72&gt;=EA72,IF(DZ72="",FALSE,TRUE))</formula>
    </cfRule>
  </conditionalFormatting>
  <conditionalFormatting sqref="DX72">
    <cfRule type="expression" dxfId="231" priority="244">
      <formula>OR(IF(DX72&lt;DY72,TRUE),IF(AND(DY72="",DX72&lt;&gt;""),TRUE))</formula>
    </cfRule>
    <cfRule type="expression" dxfId="230" priority="245">
      <formula>IF(DX72&gt;=DY72,IF(DX72="",FALSE,TRUE))</formula>
    </cfRule>
  </conditionalFormatting>
  <conditionalFormatting sqref="DZ73">
    <cfRule type="expression" dxfId="229" priority="238">
      <formula>OR(IF(DZ73&lt;EA73,TRUE),IF(AND(EA73="",DZ73&lt;&gt;""),TRUE))</formula>
    </cfRule>
    <cfRule type="expression" dxfId="228" priority="239">
      <formula>IF(DZ73&gt;=EA73,IF(DZ73="",FALSE,TRUE))</formula>
    </cfRule>
  </conditionalFormatting>
  <conditionalFormatting sqref="DX73">
    <cfRule type="expression" dxfId="227" priority="240">
      <formula>OR(IF(DX73&lt;DY73,TRUE),IF(AND(DY73="",DX73&lt;&gt;""),TRUE))</formula>
    </cfRule>
    <cfRule type="expression" dxfId="226" priority="241">
      <formula>IF(DX73&gt;=DY73,IF(DX73="",FALSE,TRUE))</formula>
    </cfRule>
  </conditionalFormatting>
  <conditionalFormatting sqref="DZ74">
    <cfRule type="expression" dxfId="225" priority="234">
      <formula>OR(IF(DZ74&lt;EA74,TRUE),IF(AND(EA74="",DZ74&lt;&gt;""),TRUE))</formula>
    </cfRule>
    <cfRule type="expression" dxfId="224" priority="235">
      <formula>IF(DZ74&gt;=EA74,IF(DZ74="",FALSE,TRUE))</formula>
    </cfRule>
  </conditionalFormatting>
  <conditionalFormatting sqref="DX74">
    <cfRule type="expression" dxfId="223" priority="236">
      <formula>OR(IF(DX74&lt;DY74,TRUE),IF(AND(DY74="",DX74&lt;&gt;""),TRUE))</formula>
    </cfRule>
    <cfRule type="expression" dxfId="222" priority="237">
      <formula>IF(DX74&gt;=DY74,IF(DX74="",FALSE,TRUE))</formula>
    </cfRule>
  </conditionalFormatting>
  <conditionalFormatting sqref="DZ75">
    <cfRule type="expression" dxfId="221" priority="230">
      <formula>OR(IF(DZ75&lt;EA75,TRUE),IF(AND(EA75="",DZ75&lt;&gt;""),TRUE))</formula>
    </cfRule>
    <cfRule type="expression" dxfId="220" priority="231">
      <formula>IF(DZ75&gt;=EA75,IF(DZ75="",FALSE,TRUE))</formula>
    </cfRule>
  </conditionalFormatting>
  <conditionalFormatting sqref="DX75">
    <cfRule type="expression" dxfId="219" priority="232">
      <formula>OR(IF(DX75&lt;DY75,TRUE),IF(AND(DY75="",DX75&lt;&gt;""),TRUE))</formula>
    </cfRule>
    <cfRule type="expression" dxfId="218" priority="233">
      <formula>IF(DX75&gt;=DY75,IF(DX75="",FALSE,TRUE))</formula>
    </cfRule>
  </conditionalFormatting>
  <conditionalFormatting sqref="DZ76">
    <cfRule type="expression" dxfId="217" priority="226">
      <formula>OR(IF(DZ76&lt;EA76,TRUE),IF(AND(EA76="",DZ76&lt;&gt;""),TRUE))</formula>
    </cfRule>
    <cfRule type="expression" dxfId="216" priority="227">
      <formula>IF(DZ76&gt;=EA76,IF(DZ76="",FALSE,TRUE))</formula>
    </cfRule>
  </conditionalFormatting>
  <conditionalFormatting sqref="DX76">
    <cfRule type="expression" dxfId="215" priority="228">
      <formula>OR(IF(DX76&lt;DY76,TRUE),IF(AND(DY76="",DX76&lt;&gt;""),TRUE))</formula>
    </cfRule>
    <cfRule type="expression" dxfId="214" priority="229">
      <formula>IF(DX76&gt;=DY76,IF(DX76="",FALSE,TRUE))</formula>
    </cfRule>
  </conditionalFormatting>
  <conditionalFormatting sqref="DZ80 DX80">
    <cfRule type="expression" dxfId="213" priority="224">
      <formula>OR(IF(DX80&lt;DY80,TRUE),IF(AND(DY80="",DX80&lt;&gt;""),TRUE))</formula>
    </cfRule>
    <cfRule type="expression" dxfId="212" priority="225">
      <formula>IF(DX80&gt;=DY80,IF(DX80="",FALSE,TRUE))</formula>
    </cfRule>
  </conditionalFormatting>
  <conditionalFormatting sqref="DX81:DX82">
    <cfRule type="expression" dxfId="211" priority="222">
      <formula>OR(IF(DX81&lt;DY81,TRUE),IF(AND(DY81="",DX81&lt;&gt;""),TRUE))</formula>
    </cfRule>
    <cfRule type="expression" dxfId="210" priority="223">
      <formula>IF(DX81&gt;=DY81,IF(DX81="",FALSE,TRUE))</formula>
    </cfRule>
  </conditionalFormatting>
  <conditionalFormatting sqref="DZ83:DZ93">
    <cfRule type="expression" dxfId="209" priority="216">
      <formula>OR(IF(DZ83&lt;EA83,TRUE),IF(AND(EA83="",DZ83&lt;&gt;""),TRUE))</formula>
    </cfRule>
    <cfRule type="expression" dxfId="208" priority="217">
      <formula>IF(DZ83&gt;=EA83,IF(DZ83="",FALSE,TRUE))</formula>
    </cfRule>
  </conditionalFormatting>
  <conditionalFormatting sqref="DZ81:DZ82">
    <cfRule type="expression" dxfId="207" priority="220">
      <formula>OR(IF(DZ81&lt;EA81,TRUE),IF(AND(EA81="",DZ81&lt;&gt;""),TRUE))</formula>
    </cfRule>
    <cfRule type="expression" dxfId="206" priority="221">
      <formula>IF(DZ81&gt;=EA81,IF(DZ81="",FALSE,TRUE))</formula>
    </cfRule>
  </conditionalFormatting>
  <conditionalFormatting sqref="DX83:DX93">
    <cfRule type="expression" dxfId="205" priority="218">
      <formula>OR(IF(DX83&lt;DY83,TRUE),IF(AND(DY83="",DX83&lt;&gt;""),TRUE))</formula>
    </cfRule>
    <cfRule type="expression" dxfId="204" priority="219">
      <formula>IF(DX83&gt;=DY83,IF(DX83="",FALSE,TRUE))</formula>
    </cfRule>
  </conditionalFormatting>
  <conditionalFormatting sqref="J95:K95">
    <cfRule type="colorScale" priority="213">
      <colorScale>
        <cfvo type="percent" val="0"/>
        <cfvo type="percent" val="100"/>
        <color rgb="FFFF231B"/>
        <color rgb="FF10FF07"/>
      </colorScale>
    </cfRule>
  </conditionalFormatting>
  <conditionalFormatting sqref="J95">
    <cfRule type="colorScale" priority="214">
      <colorScale>
        <cfvo type="percent" val="0"/>
        <cfvo type="percent" val="100"/>
        <color rgb="FFFF231B"/>
        <color rgb="FF10FF07"/>
      </colorScale>
    </cfRule>
  </conditionalFormatting>
  <conditionalFormatting sqref="K95">
    <cfRule type="colorScale" priority="215">
      <colorScale>
        <cfvo type="percent" val="0"/>
        <cfvo type="percent" val="100"/>
        <color rgb="FFFF231B"/>
        <color rgb="FF10FF07"/>
      </colorScale>
    </cfRule>
  </conditionalFormatting>
  <conditionalFormatting sqref="J96">
    <cfRule type="colorScale" priority="211">
      <colorScale>
        <cfvo type="percent" val="0"/>
        <cfvo type="percent" val="100"/>
        <color rgb="FFFF231B"/>
        <color rgb="FF10FF07"/>
      </colorScale>
    </cfRule>
  </conditionalFormatting>
  <conditionalFormatting sqref="K96">
    <cfRule type="colorScale" priority="210">
      <colorScale>
        <cfvo type="percent" val="0"/>
        <cfvo type="percent" val="100"/>
        <color rgb="FFFF231B"/>
        <color rgb="FF10FF07"/>
      </colorScale>
    </cfRule>
  </conditionalFormatting>
  <conditionalFormatting sqref="J204:K204">
    <cfRule type="colorScale" priority="207">
      <colorScale>
        <cfvo type="percent" val="0"/>
        <cfvo type="percent" val="100"/>
        <color rgb="FFFF231B"/>
        <color rgb="FF10FF07"/>
      </colorScale>
    </cfRule>
  </conditionalFormatting>
  <conditionalFormatting sqref="J204">
    <cfRule type="colorScale" priority="208">
      <colorScale>
        <cfvo type="percent" val="0"/>
        <cfvo type="percent" val="100"/>
        <color rgb="FFFF231B"/>
        <color rgb="FF10FF07"/>
      </colorScale>
    </cfRule>
  </conditionalFormatting>
  <conditionalFormatting sqref="K204">
    <cfRule type="colorScale" priority="209">
      <colorScale>
        <cfvo type="percent" val="0"/>
        <cfvo type="percent" val="100"/>
        <color rgb="FFFF231B"/>
        <color rgb="FF10FF07"/>
      </colorScale>
    </cfRule>
  </conditionalFormatting>
  <conditionalFormatting sqref="J206:K216">
    <cfRule type="colorScale" priority="206">
      <colorScale>
        <cfvo type="percent" val="0"/>
        <cfvo type="percent" val="100"/>
        <color rgb="FFFF231B"/>
        <color rgb="FF10FF07"/>
      </colorScale>
    </cfRule>
  </conditionalFormatting>
  <conditionalFormatting sqref="J205:J216">
    <cfRule type="colorScale" priority="205">
      <colorScale>
        <cfvo type="percent" val="0"/>
        <cfvo type="percent" val="100"/>
        <color rgb="FFFF231B"/>
        <color rgb="FF10FF07"/>
      </colorScale>
    </cfRule>
  </conditionalFormatting>
  <conditionalFormatting sqref="K205:K216">
    <cfRule type="colorScale" priority="204">
      <colorScale>
        <cfvo type="percent" val="0"/>
        <cfvo type="percent" val="100"/>
        <color rgb="FFFF231B"/>
        <color rgb="FF10FF07"/>
      </colorScale>
    </cfRule>
  </conditionalFormatting>
  <conditionalFormatting sqref="J98:K108">
    <cfRule type="colorScale" priority="163">
      <colorScale>
        <cfvo type="percent" val="0"/>
        <cfvo type="percent" val="100"/>
        <color rgb="FFFF231B"/>
        <color rgb="FF10FF07"/>
      </colorScale>
    </cfRule>
  </conditionalFormatting>
  <conditionalFormatting sqref="J97:J108">
    <cfRule type="colorScale" priority="162">
      <colorScale>
        <cfvo type="percent" val="0"/>
        <cfvo type="percent" val="100"/>
        <color rgb="FFFF231B"/>
        <color rgb="FF10FF07"/>
      </colorScale>
    </cfRule>
  </conditionalFormatting>
  <conditionalFormatting sqref="K97:K108">
    <cfRule type="colorScale" priority="161">
      <colorScale>
        <cfvo type="percent" val="0"/>
        <cfvo type="percent" val="100"/>
        <color rgb="FFFF231B"/>
        <color rgb="FF10FF07"/>
      </colorScale>
    </cfRule>
  </conditionalFormatting>
  <conditionalFormatting sqref="AD97:AD98">
    <cfRule type="expression" dxfId="171" priority="159">
      <formula>OR(IF(AD97&lt;AE97,TRUE),IF(AND(AE97="",AD97&lt;&gt;""),TRUE))</formula>
    </cfRule>
    <cfRule type="expression" dxfId="170" priority="160">
      <formula>IF(AD97&gt;=AE97,IF(AD97="",FALSE,TRUE))</formula>
    </cfRule>
  </conditionalFormatting>
  <conditionalFormatting sqref="AF99:AF108">
    <cfRule type="expression" dxfId="169" priority="153">
      <formula>OR(IF(AF99&lt;AG99,TRUE),IF(AND(AG99="",AF99&lt;&gt;""),TRUE))</formula>
    </cfRule>
    <cfRule type="expression" dxfId="168" priority="154">
      <formula>IF(AF99&gt;=AG99,IF(AF99="",FALSE,TRUE))</formula>
    </cfRule>
  </conditionalFormatting>
  <conditionalFormatting sqref="AF97:AF98">
    <cfRule type="expression" dxfId="167" priority="157">
      <formula>OR(IF(AF97&lt;AG97,TRUE),IF(AND(AG97="",AF97&lt;&gt;""),TRUE))</formula>
    </cfRule>
    <cfRule type="expression" dxfId="166" priority="158">
      <formula>IF(AF97&gt;=AG97,IF(AF97="",FALSE,TRUE))</formula>
    </cfRule>
  </conditionalFormatting>
  <conditionalFormatting sqref="AD99:AD108">
    <cfRule type="expression" dxfId="165" priority="155">
      <formula>OR(IF(AD99&lt;AE99,TRUE),IF(AND(AE99="",AD99&lt;&gt;""),TRUE))</formula>
    </cfRule>
    <cfRule type="expression" dxfId="164" priority="156">
      <formula>IF(AD99&gt;=AE99,IF(AD99="",FALSE,TRUE))</formula>
    </cfRule>
  </conditionalFormatting>
  <conditionalFormatting sqref="AK97:AK98">
    <cfRule type="expression" dxfId="163" priority="151">
      <formula>OR(IF(AK97&lt;AL97,TRUE),IF(AND(AL97="",AK97&lt;&gt;""),TRUE))</formula>
    </cfRule>
    <cfRule type="expression" dxfId="162" priority="152">
      <formula>IF(AK97&gt;=AL97,IF(AK97="",FALSE,TRUE))</formula>
    </cfRule>
  </conditionalFormatting>
  <conditionalFormatting sqref="AM99:AM108">
    <cfRule type="expression" dxfId="161" priority="145">
      <formula>OR(IF(AM99&lt;AN99,TRUE),IF(AND(AN99="",AM99&lt;&gt;""),TRUE))</formula>
    </cfRule>
    <cfRule type="expression" dxfId="160" priority="146">
      <formula>IF(AM99&gt;=AN99,IF(AM99="",FALSE,TRUE))</formula>
    </cfRule>
  </conditionalFormatting>
  <conditionalFormatting sqref="AM97:AM98">
    <cfRule type="expression" dxfId="159" priority="149">
      <formula>OR(IF(AM97&lt;AN97,TRUE),IF(AND(AN97="",AM97&lt;&gt;""),TRUE))</formula>
    </cfRule>
    <cfRule type="expression" dxfId="158" priority="150">
      <formula>IF(AM97&gt;=AN97,IF(AM97="",FALSE,TRUE))</formula>
    </cfRule>
  </conditionalFormatting>
  <conditionalFormatting sqref="AK99:AK108">
    <cfRule type="expression" dxfId="157" priority="147">
      <formula>OR(IF(AK99&lt;AL99,TRUE),IF(AND(AL99="",AK99&lt;&gt;""),TRUE))</formula>
    </cfRule>
    <cfRule type="expression" dxfId="156" priority="148">
      <formula>IF(AK99&gt;=AL99,IF(AK99="",FALSE,TRUE))</formula>
    </cfRule>
  </conditionalFormatting>
  <conditionalFormatting sqref="AR97:AR98">
    <cfRule type="expression" dxfId="155" priority="143">
      <formula>OR(IF(AR97&lt;AS97,TRUE),IF(AND(AS97="",AR97&lt;&gt;""),TRUE))</formula>
    </cfRule>
    <cfRule type="expression" dxfId="154" priority="144">
      <formula>IF(AR97&gt;=AS97,IF(AR97="",FALSE,TRUE))</formula>
    </cfRule>
  </conditionalFormatting>
  <conditionalFormatting sqref="AT99:AT108">
    <cfRule type="expression" dxfId="153" priority="137">
      <formula>OR(IF(AT99&lt;AU99,TRUE),IF(AND(AU99="",AT99&lt;&gt;""),TRUE))</formula>
    </cfRule>
    <cfRule type="expression" dxfId="152" priority="138">
      <formula>IF(AT99&gt;=AU99,IF(AT99="",FALSE,TRUE))</formula>
    </cfRule>
  </conditionalFormatting>
  <conditionalFormatting sqref="AT97:AT98">
    <cfRule type="expression" dxfId="151" priority="141">
      <formula>OR(IF(AT97&lt;AU97,TRUE),IF(AND(AU97="",AT97&lt;&gt;""),TRUE))</formula>
    </cfRule>
    <cfRule type="expression" dxfId="150" priority="142">
      <formula>IF(AT97&gt;=AU97,IF(AT97="",FALSE,TRUE))</formula>
    </cfRule>
  </conditionalFormatting>
  <conditionalFormatting sqref="AR99:AR108">
    <cfRule type="expression" dxfId="149" priority="139">
      <formula>OR(IF(AR99&lt;AS99,TRUE),IF(AND(AS99="",AR99&lt;&gt;""),TRUE))</formula>
    </cfRule>
    <cfRule type="expression" dxfId="148" priority="140">
      <formula>IF(AR99&gt;=AS99,IF(AR99="",FALSE,TRUE))</formula>
    </cfRule>
  </conditionalFormatting>
  <conditionalFormatting sqref="AY97:AY98">
    <cfRule type="expression" dxfId="147" priority="135">
      <formula>OR(IF(AY97&lt;AZ97,TRUE),IF(AND(AZ97="",AY97&lt;&gt;""),TRUE))</formula>
    </cfRule>
    <cfRule type="expression" dxfId="146" priority="136">
      <formula>IF(AY97&gt;=AZ97,IF(AY97="",FALSE,TRUE))</formula>
    </cfRule>
  </conditionalFormatting>
  <conditionalFormatting sqref="BA99:BA108">
    <cfRule type="expression" dxfId="145" priority="129">
      <formula>OR(IF(BA99&lt;BB99,TRUE),IF(AND(BB99="",BA99&lt;&gt;""),TRUE))</formula>
    </cfRule>
    <cfRule type="expression" dxfId="144" priority="130">
      <formula>IF(BA99&gt;=BB99,IF(BA99="",FALSE,TRUE))</formula>
    </cfRule>
  </conditionalFormatting>
  <conditionalFormatting sqref="BA97:BA98">
    <cfRule type="expression" dxfId="143" priority="133">
      <formula>OR(IF(BA97&lt;BB97,TRUE),IF(AND(BB97="",BA97&lt;&gt;""),TRUE))</formula>
    </cfRule>
    <cfRule type="expression" dxfId="142" priority="134">
      <formula>IF(BA97&gt;=BB97,IF(BA97="",FALSE,TRUE))</formula>
    </cfRule>
  </conditionalFormatting>
  <conditionalFormatting sqref="AY99:AY108">
    <cfRule type="expression" dxfId="141" priority="131">
      <formula>OR(IF(AY99&lt;AZ99,TRUE),IF(AND(AZ99="",AY99&lt;&gt;""),TRUE))</formula>
    </cfRule>
    <cfRule type="expression" dxfId="140" priority="132">
      <formula>IF(AY99&gt;=AZ99,IF(AY99="",FALSE,TRUE))</formula>
    </cfRule>
  </conditionalFormatting>
  <conditionalFormatting sqref="BF97:BF98">
    <cfRule type="expression" dxfId="139" priority="127">
      <formula>OR(IF(BF97&lt;BG97,TRUE),IF(AND(BG97="",BF97&lt;&gt;""),TRUE))</formula>
    </cfRule>
    <cfRule type="expression" dxfId="138" priority="128">
      <formula>IF(BF97&gt;=BG97,IF(BF97="",FALSE,TRUE))</formula>
    </cfRule>
  </conditionalFormatting>
  <conditionalFormatting sqref="BH99:BH108">
    <cfRule type="expression" dxfId="137" priority="121">
      <formula>OR(IF(BH99&lt;BI99,TRUE),IF(AND(BI99="",BH99&lt;&gt;""),TRUE))</formula>
    </cfRule>
    <cfRule type="expression" dxfId="136" priority="122">
      <formula>IF(BH99&gt;=BI99,IF(BH99="",FALSE,TRUE))</formula>
    </cfRule>
  </conditionalFormatting>
  <conditionalFormatting sqref="BH97:BH98">
    <cfRule type="expression" dxfId="135" priority="125">
      <formula>OR(IF(BH97&lt;BI97,TRUE),IF(AND(BI97="",BH97&lt;&gt;""),TRUE))</formula>
    </cfRule>
    <cfRule type="expression" dxfId="134" priority="126">
      <formula>IF(BH97&gt;=BI97,IF(BH97="",FALSE,TRUE))</formula>
    </cfRule>
  </conditionalFormatting>
  <conditionalFormatting sqref="BF99:BF108">
    <cfRule type="expression" dxfId="133" priority="123">
      <formula>OR(IF(BF99&lt;BG99,TRUE),IF(AND(BG99="",BF99&lt;&gt;""),TRUE))</formula>
    </cfRule>
    <cfRule type="expression" dxfId="132" priority="124">
      <formula>IF(BF99&gt;=BG99,IF(BF99="",FALSE,TRUE))</formula>
    </cfRule>
  </conditionalFormatting>
  <conditionalFormatting sqref="P97:P98">
    <cfRule type="expression" dxfId="115" priority="103">
      <formula>OR(IF(P97&lt;Q97,TRUE),IF(AND(Q97="",P97&lt;&gt;""),TRUE))</formula>
    </cfRule>
    <cfRule type="expression" dxfId="114" priority="104">
      <formula>IF(P97&gt;=Q97,IF(P97="",FALSE,TRUE))</formula>
    </cfRule>
  </conditionalFormatting>
  <conditionalFormatting sqref="R97:R98">
    <cfRule type="expression" dxfId="113" priority="101">
      <formula>OR(IF(R97&lt;S97,TRUE),IF(AND(S97="",R97&lt;&gt;""),TRUE))</formula>
    </cfRule>
    <cfRule type="expression" dxfId="112" priority="102">
      <formula>IF(R97&gt;=S97,IF(R97="",FALSE,TRUE))</formula>
    </cfRule>
  </conditionalFormatting>
  <conditionalFormatting sqref="R99:R108">
    <cfRule type="expression" dxfId="111" priority="97">
      <formula>OR(IF(R99&lt;S99,TRUE),IF(AND(S99="",R99&lt;&gt;""),TRUE))</formula>
    </cfRule>
    <cfRule type="expression" dxfId="110" priority="98">
      <formula>IF(R99&gt;=S99,IF(R99="",FALSE,TRUE))</formula>
    </cfRule>
  </conditionalFormatting>
  <conditionalFormatting sqref="P99:P108">
    <cfRule type="expression" dxfId="109" priority="99">
      <formula>OR(IF(P99&lt;Q99,TRUE),IF(AND(Q99="",P99&lt;&gt;""),TRUE))</formula>
    </cfRule>
    <cfRule type="expression" dxfId="108" priority="100">
      <formula>IF(P99&gt;=Q99,IF(P99="",FALSE,TRUE))</formula>
    </cfRule>
  </conditionalFormatting>
  <conditionalFormatting sqref="W97:W98">
    <cfRule type="expression" dxfId="107" priority="95">
      <formula>OR(IF(W97&lt;X97,TRUE),IF(AND(X97="",W97&lt;&gt;""),TRUE))</formula>
    </cfRule>
    <cfRule type="expression" dxfId="106" priority="96">
      <formula>IF(W97&gt;=X97,IF(W97="",FALSE,TRUE))</formula>
    </cfRule>
  </conditionalFormatting>
  <conditionalFormatting sqref="Y97:Y98">
    <cfRule type="expression" dxfId="105" priority="93">
      <formula>OR(IF(Y97&lt;Z97,TRUE),IF(AND(Z97="",Y97&lt;&gt;""),TRUE))</formula>
    </cfRule>
    <cfRule type="expression" dxfId="104" priority="94">
      <formula>IF(Y97&gt;=Z97,IF(Y97="",FALSE,TRUE))</formula>
    </cfRule>
  </conditionalFormatting>
  <conditionalFormatting sqref="Y99:Y108">
    <cfRule type="expression" dxfId="103" priority="89">
      <formula>OR(IF(Y99&lt;Z99,TRUE),IF(AND(Z99="",Y99&lt;&gt;""),TRUE))</formula>
    </cfRule>
    <cfRule type="expression" dxfId="102" priority="90">
      <formula>IF(Y99&gt;=Z99,IF(Y99="",FALSE,TRUE))</formula>
    </cfRule>
  </conditionalFormatting>
  <conditionalFormatting sqref="W99:W108">
    <cfRule type="expression" dxfId="101" priority="91">
      <formula>OR(IF(W99&lt;X99,TRUE),IF(AND(X99="",W99&lt;&gt;""),TRUE))</formula>
    </cfRule>
    <cfRule type="expression" dxfId="100" priority="92">
      <formula>IF(W99&gt;=X99,IF(W99="",FALSE,TRUE))</formula>
    </cfRule>
  </conditionalFormatting>
  <conditionalFormatting sqref="BM97:BM98">
    <cfRule type="expression" dxfId="99" priority="87">
      <formula>OR(IF(BM97&lt;BN97,TRUE),IF(AND(BN97="",BM97&lt;&gt;""),TRUE))</formula>
    </cfRule>
    <cfRule type="expression" dxfId="98" priority="88">
      <formula>IF(BM97&gt;=BN97,IF(BM97="",FALSE,TRUE))</formula>
    </cfRule>
  </conditionalFormatting>
  <conditionalFormatting sqref="BO99:BO108">
    <cfRule type="expression" dxfId="97" priority="81">
      <formula>OR(IF(BO99&lt;BP99,TRUE),IF(AND(BP99="",BO99&lt;&gt;""),TRUE))</formula>
    </cfRule>
    <cfRule type="expression" dxfId="96" priority="82">
      <formula>IF(BO99&gt;=BP99,IF(BO99="",FALSE,TRUE))</formula>
    </cfRule>
  </conditionalFormatting>
  <conditionalFormatting sqref="BO97:BO98">
    <cfRule type="expression" dxfId="95" priority="85">
      <formula>OR(IF(BO97&lt;BP97,TRUE),IF(AND(BP97="",BO97&lt;&gt;""),TRUE))</formula>
    </cfRule>
    <cfRule type="expression" dxfId="94" priority="86">
      <formula>IF(BO97&gt;=BP97,IF(BO97="",FALSE,TRUE))</formula>
    </cfRule>
  </conditionalFormatting>
  <conditionalFormatting sqref="BM99:BM108">
    <cfRule type="expression" dxfId="93" priority="83">
      <formula>OR(IF(BM99&lt;BN99,TRUE),IF(AND(BN99="",BM99&lt;&gt;""),TRUE))</formula>
    </cfRule>
    <cfRule type="expression" dxfId="92" priority="84">
      <formula>IF(BM99&gt;=BN99,IF(BM99="",FALSE,TRUE))</formula>
    </cfRule>
  </conditionalFormatting>
  <conditionalFormatting sqref="BT97:BT98">
    <cfRule type="expression" dxfId="91" priority="79">
      <formula>OR(IF(BT97&lt;BU97,TRUE),IF(AND(BU97="",BT97&lt;&gt;""),TRUE))</formula>
    </cfRule>
    <cfRule type="expression" dxfId="90" priority="80">
      <formula>IF(BT97&gt;=BU97,IF(BT97="",FALSE,TRUE))</formula>
    </cfRule>
  </conditionalFormatting>
  <conditionalFormatting sqref="BV99:BV108">
    <cfRule type="expression" dxfId="89" priority="73">
      <formula>OR(IF(BV99&lt;BW99,TRUE),IF(AND(BW99="",BV99&lt;&gt;""),TRUE))</formula>
    </cfRule>
    <cfRule type="expression" dxfId="88" priority="74">
      <formula>IF(BV99&gt;=BW99,IF(BV99="",FALSE,TRUE))</formula>
    </cfRule>
  </conditionalFormatting>
  <conditionalFormatting sqref="BV97:BV98">
    <cfRule type="expression" dxfId="87" priority="77">
      <formula>OR(IF(BV97&lt;BW97,TRUE),IF(AND(BW97="",BV97&lt;&gt;""),TRUE))</formula>
    </cfRule>
    <cfRule type="expression" dxfId="86" priority="78">
      <formula>IF(BV97&gt;=BW97,IF(BV97="",FALSE,TRUE))</formula>
    </cfRule>
  </conditionalFormatting>
  <conditionalFormatting sqref="BT99:BT108">
    <cfRule type="expression" dxfId="85" priority="75">
      <formula>OR(IF(BT99&lt;BU99,TRUE),IF(AND(BU99="",BT99&lt;&gt;""),TRUE))</formula>
    </cfRule>
    <cfRule type="expression" dxfId="84" priority="76">
      <formula>IF(BT99&gt;=BU99,IF(BT99="",FALSE,TRUE))</formula>
    </cfRule>
  </conditionalFormatting>
  <conditionalFormatting sqref="CA97:CA98">
    <cfRule type="expression" dxfId="83" priority="71">
      <formula>OR(IF(CA97&lt;CB97,TRUE),IF(AND(CB97="",CA97&lt;&gt;""),TRUE))</formula>
    </cfRule>
    <cfRule type="expression" dxfId="82" priority="72">
      <formula>IF(CA97&gt;=CB97,IF(CA97="",FALSE,TRUE))</formula>
    </cfRule>
  </conditionalFormatting>
  <conditionalFormatting sqref="CC99:CC108">
    <cfRule type="expression" dxfId="81" priority="65">
      <formula>OR(IF(CC99&lt;CD99,TRUE),IF(AND(CD99="",CC99&lt;&gt;""),TRUE))</formula>
    </cfRule>
    <cfRule type="expression" dxfId="80" priority="66">
      <formula>IF(CC99&gt;=CD99,IF(CC99="",FALSE,TRUE))</formula>
    </cfRule>
  </conditionalFormatting>
  <conditionalFormatting sqref="CC97:CC98">
    <cfRule type="expression" dxfId="79" priority="69">
      <formula>OR(IF(CC97&lt;CD97,TRUE),IF(AND(CD97="",CC97&lt;&gt;""),TRUE))</formula>
    </cfRule>
    <cfRule type="expression" dxfId="78" priority="70">
      <formula>IF(CC97&gt;=CD97,IF(CC97="",FALSE,TRUE))</formula>
    </cfRule>
  </conditionalFormatting>
  <conditionalFormatting sqref="CA99:CA108">
    <cfRule type="expression" dxfId="77" priority="67">
      <formula>OR(IF(CA99&lt;CB99,TRUE),IF(AND(CB99="",CA99&lt;&gt;""),TRUE))</formula>
    </cfRule>
    <cfRule type="expression" dxfId="76" priority="68">
      <formula>IF(CA99&gt;=CB99,IF(CA99="",FALSE,TRUE))</formula>
    </cfRule>
  </conditionalFormatting>
  <conditionalFormatting sqref="CH97:CH98">
    <cfRule type="expression" dxfId="75" priority="63">
      <formula>OR(IF(CH97&lt;CI97,TRUE),IF(AND(CI97="",CH97&lt;&gt;""),TRUE))</formula>
    </cfRule>
    <cfRule type="expression" dxfId="74" priority="64">
      <formula>IF(CH97&gt;=CI97,IF(CH97="",FALSE,TRUE))</formula>
    </cfRule>
  </conditionalFormatting>
  <conditionalFormatting sqref="CJ99:CJ108">
    <cfRule type="expression" dxfId="73" priority="57">
      <formula>OR(IF(CJ99&lt;CK99,TRUE),IF(AND(CK99="",CJ99&lt;&gt;""),TRUE))</formula>
    </cfRule>
    <cfRule type="expression" dxfId="72" priority="58">
      <formula>IF(CJ99&gt;=CK99,IF(CJ99="",FALSE,TRUE))</formula>
    </cfRule>
  </conditionalFormatting>
  <conditionalFormatting sqref="CJ97:CJ98">
    <cfRule type="expression" dxfId="71" priority="61">
      <formula>OR(IF(CJ97&lt;CK97,TRUE),IF(AND(CK97="",CJ97&lt;&gt;""),TRUE))</formula>
    </cfRule>
    <cfRule type="expression" dxfId="70" priority="62">
      <formula>IF(CJ97&gt;=CK97,IF(CJ97="",FALSE,TRUE))</formula>
    </cfRule>
  </conditionalFormatting>
  <conditionalFormatting sqref="CH99:CH108">
    <cfRule type="expression" dxfId="69" priority="59">
      <formula>OR(IF(CH99&lt;CI99,TRUE),IF(AND(CI99="",CH99&lt;&gt;""),TRUE))</formula>
    </cfRule>
    <cfRule type="expression" dxfId="68" priority="60">
      <formula>IF(CH99&gt;=CI99,IF(CH99="",FALSE,TRUE))</formula>
    </cfRule>
  </conditionalFormatting>
  <conditionalFormatting sqref="CO97:CO98">
    <cfRule type="expression" dxfId="67" priority="55">
      <formula>OR(IF(CO97&lt;CP97,TRUE),IF(AND(CP97="",CO97&lt;&gt;""),TRUE))</formula>
    </cfRule>
    <cfRule type="expression" dxfId="66" priority="56">
      <formula>IF(CO97&gt;=CP97,IF(CO97="",FALSE,TRUE))</formula>
    </cfRule>
  </conditionalFormatting>
  <conditionalFormatting sqref="CQ99:CQ108">
    <cfRule type="expression" dxfId="65" priority="49">
      <formula>OR(IF(CQ99&lt;CR99,TRUE),IF(AND(CR99="",CQ99&lt;&gt;""),TRUE))</formula>
    </cfRule>
    <cfRule type="expression" dxfId="64" priority="50">
      <formula>IF(CQ99&gt;=CR99,IF(CQ99="",FALSE,TRUE))</formula>
    </cfRule>
  </conditionalFormatting>
  <conditionalFormatting sqref="CQ97:CQ98">
    <cfRule type="expression" dxfId="63" priority="53">
      <formula>OR(IF(CQ97&lt;CR97,TRUE),IF(AND(CR97="",CQ97&lt;&gt;""),TRUE))</formula>
    </cfRule>
    <cfRule type="expression" dxfId="62" priority="54">
      <formula>IF(CQ97&gt;=CR97,IF(CQ97="",FALSE,TRUE))</formula>
    </cfRule>
  </conditionalFormatting>
  <conditionalFormatting sqref="CO99:CO108">
    <cfRule type="expression" dxfId="61" priority="51">
      <formula>OR(IF(CO99&lt;CP99,TRUE),IF(AND(CP99="",CO99&lt;&gt;""),TRUE))</formula>
    </cfRule>
    <cfRule type="expression" dxfId="60" priority="52">
      <formula>IF(CO99&gt;=CP99,IF(CO99="",FALSE,TRUE))</formula>
    </cfRule>
  </conditionalFormatting>
  <conditionalFormatting sqref="CV97:CV98">
    <cfRule type="expression" dxfId="59" priority="47">
      <formula>OR(IF(CV97&lt;CW97,TRUE),IF(AND(CW97="",CV97&lt;&gt;""),TRUE))</formula>
    </cfRule>
    <cfRule type="expression" dxfId="58" priority="48">
      <formula>IF(CV97&gt;=CW97,IF(CV97="",FALSE,TRUE))</formula>
    </cfRule>
  </conditionalFormatting>
  <conditionalFormatting sqref="CX99:CX108">
    <cfRule type="expression" dxfId="57" priority="41">
      <formula>OR(IF(CX99&lt;CY99,TRUE),IF(AND(CY99="",CX99&lt;&gt;""),TRUE))</formula>
    </cfRule>
    <cfRule type="expression" dxfId="56" priority="42">
      <formula>IF(CX99&gt;=CY99,IF(CX99="",FALSE,TRUE))</formula>
    </cfRule>
  </conditionalFormatting>
  <conditionalFormatting sqref="CX97:CX98">
    <cfRule type="expression" dxfId="55" priority="45">
      <formula>OR(IF(CX97&lt;CY97,TRUE),IF(AND(CY97="",CX97&lt;&gt;""),TRUE))</formula>
    </cfRule>
    <cfRule type="expression" dxfId="54" priority="46">
      <formula>IF(CX97&gt;=CY97,IF(CX97="",FALSE,TRUE))</formula>
    </cfRule>
  </conditionalFormatting>
  <conditionalFormatting sqref="CV99:CV108">
    <cfRule type="expression" dxfId="53" priority="43">
      <formula>OR(IF(CV99&lt;CW99,TRUE),IF(AND(CW99="",CV99&lt;&gt;""),TRUE))</formula>
    </cfRule>
    <cfRule type="expression" dxfId="52" priority="44">
      <formula>IF(CV99&gt;=CW99,IF(CV99="",FALSE,TRUE))</formula>
    </cfRule>
  </conditionalFormatting>
  <conditionalFormatting sqref="DC97:DC98">
    <cfRule type="expression" dxfId="51" priority="39">
      <formula>OR(IF(DC97&lt;DD97,TRUE),IF(AND(DD97="",DC97&lt;&gt;""),TRUE))</formula>
    </cfRule>
    <cfRule type="expression" dxfId="50" priority="40">
      <formula>IF(DC97&gt;=DD97,IF(DC97="",FALSE,TRUE))</formula>
    </cfRule>
  </conditionalFormatting>
  <conditionalFormatting sqref="DE99:DE108">
    <cfRule type="expression" dxfId="49" priority="33">
      <formula>OR(IF(DE99&lt;DF99,TRUE),IF(AND(DF99="",DE99&lt;&gt;""),TRUE))</formula>
    </cfRule>
    <cfRule type="expression" dxfId="48" priority="34">
      <formula>IF(DE99&gt;=DF99,IF(DE99="",FALSE,TRUE))</formula>
    </cfRule>
  </conditionalFormatting>
  <conditionalFormatting sqref="DE97:DE98">
    <cfRule type="expression" dxfId="47" priority="37">
      <formula>OR(IF(DE97&lt;DF97,TRUE),IF(AND(DF97="",DE97&lt;&gt;""),TRUE))</formula>
    </cfRule>
    <cfRule type="expression" dxfId="46" priority="38">
      <formula>IF(DE97&gt;=DF97,IF(DE97="",FALSE,TRUE))</formula>
    </cfRule>
  </conditionalFormatting>
  <conditionalFormatting sqref="DC99:DC108">
    <cfRule type="expression" dxfId="45" priority="35">
      <formula>OR(IF(DC99&lt;DD99,TRUE),IF(AND(DD99="",DC99&lt;&gt;""),TRUE))</formula>
    </cfRule>
    <cfRule type="expression" dxfId="44" priority="36">
      <formula>IF(DC99&gt;=DD99,IF(DC99="",FALSE,TRUE))</formula>
    </cfRule>
  </conditionalFormatting>
  <conditionalFormatting sqref="DJ97:DJ98">
    <cfRule type="expression" dxfId="43" priority="31">
      <formula>OR(IF(DJ97&lt;DK97,TRUE),IF(AND(DK97="",DJ97&lt;&gt;""),TRUE))</formula>
    </cfRule>
    <cfRule type="expression" dxfId="42" priority="32">
      <formula>IF(DJ97&gt;=DK97,IF(DJ97="",FALSE,TRUE))</formula>
    </cfRule>
  </conditionalFormatting>
  <conditionalFormatting sqref="DL99:DL108">
    <cfRule type="expression" dxfId="41" priority="25">
      <formula>OR(IF(DL99&lt;DM99,TRUE),IF(AND(DM99="",DL99&lt;&gt;""),TRUE))</formula>
    </cfRule>
    <cfRule type="expression" dxfId="40" priority="26">
      <formula>IF(DL99&gt;=DM99,IF(DL99="",FALSE,TRUE))</formula>
    </cfRule>
  </conditionalFormatting>
  <conditionalFormatting sqref="DL97:DL98">
    <cfRule type="expression" dxfId="39" priority="29">
      <formula>OR(IF(DL97&lt;DM97,TRUE),IF(AND(DM97="",DL97&lt;&gt;""),TRUE))</formula>
    </cfRule>
    <cfRule type="expression" dxfId="38" priority="30">
      <formula>IF(DL97&gt;=DM97,IF(DL97="",FALSE,TRUE))</formula>
    </cfRule>
  </conditionalFormatting>
  <conditionalFormatting sqref="DJ99:DJ108">
    <cfRule type="expression" dxfId="37" priority="27">
      <formula>OR(IF(DJ99&lt;DK99,TRUE),IF(AND(DK99="",DJ99&lt;&gt;""),TRUE))</formula>
    </cfRule>
    <cfRule type="expression" dxfId="36" priority="28">
      <formula>IF(DJ99&gt;=DK99,IF(DJ99="",FALSE,TRUE))</formula>
    </cfRule>
  </conditionalFormatting>
  <conditionalFormatting sqref="DQ97:DQ98">
    <cfRule type="expression" dxfId="35" priority="23">
      <formula>OR(IF(DQ97&lt;DR97,TRUE),IF(AND(DR97="",DQ97&lt;&gt;""),TRUE))</formula>
    </cfRule>
    <cfRule type="expression" dxfId="34" priority="24">
      <formula>IF(DQ97&gt;=DR97,IF(DQ97="",FALSE,TRUE))</formula>
    </cfRule>
  </conditionalFormatting>
  <conditionalFormatting sqref="DS99:DS108">
    <cfRule type="expression" dxfId="33" priority="17">
      <formula>OR(IF(DS99&lt;DT99,TRUE),IF(AND(DT99="",DS99&lt;&gt;""),TRUE))</formula>
    </cfRule>
    <cfRule type="expression" dxfId="32" priority="18">
      <formula>IF(DS99&gt;=DT99,IF(DS99="",FALSE,TRUE))</formula>
    </cfRule>
  </conditionalFormatting>
  <conditionalFormatting sqref="DS97:DS98">
    <cfRule type="expression" dxfId="31" priority="21">
      <formula>OR(IF(DS97&lt;DT97,TRUE),IF(AND(DT97="",DS97&lt;&gt;""),TRUE))</formula>
    </cfRule>
    <cfRule type="expression" dxfId="30" priority="22">
      <formula>IF(DS97&gt;=DT97,IF(DS97="",FALSE,TRUE))</formula>
    </cfRule>
  </conditionalFormatting>
  <conditionalFormatting sqref="DQ99:DQ108">
    <cfRule type="expression" dxfId="29" priority="19">
      <formula>OR(IF(DQ99&lt;DR99,TRUE),IF(AND(DR99="",DQ99&lt;&gt;""),TRUE))</formula>
    </cfRule>
    <cfRule type="expression" dxfId="28" priority="20">
      <formula>IF(DQ99&gt;=DR99,IF(DQ99="",FALSE,TRUE))</formula>
    </cfRule>
  </conditionalFormatting>
  <conditionalFormatting sqref="DX97:DX98">
    <cfRule type="expression" dxfId="27" priority="15">
      <formula>OR(IF(DX97&lt;DY97,TRUE),IF(AND(DY97="",DX97&lt;&gt;""),TRUE))</formula>
    </cfRule>
    <cfRule type="expression" dxfId="26" priority="16">
      <formula>IF(DX97&gt;=DY97,IF(DX97="",FALSE,TRUE))</formula>
    </cfRule>
  </conditionalFormatting>
  <conditionalFormatting sqref="DZ99:DZ108">
    <cfRule type="expression" dxfId="25" priority="9">
      <formula>OR(IF(DZ99&lt;EA99,TRUE),IF(AND(EA99="",DZ99&lt;&gt;""),TRUE))</formula>
    </cfRule>
    <cfRule type="expression" dxfId="24" priority="10">
      <formula>IF(DZ99&gt;=EA99,IF(DZ99="",FALSE,TRUE))</formula>
    </cfRule>
  </conditionalFormatting>
  <conditionalFormatting sqref="DZ97:DZ98">
    <cfRule type="expression" dxfId="23" priority="13">
      <formula>OR(IF(DZ97&lt;EA97,TRUE),IF(AND(EA97="",DZ97&lt;&gt;""),TRUE))</formula>
    </cfRule>
    <cfRule type="expression" dxfId="22" priority="14">
      <formula>IF(DZ97&gt;=EA97,IF(DZ97="",FALSE,TRUE))</formula>
    </cfRule>
  </conditionalFormatting>
  <conditionalFormatting sqref="DX99:DX108">
    <cfRule type="expression" dxfId="21" priority="11">
      <formula>OR(IF(DX99&lt;DY99,TRUE),IF(AND(DY99="",DX99&lt;&gt;""),TRUE))</formula>
    </cfRule>
    <cfRule type="expression" dxfId="20" priority="12">
      <formula>IF(DX99&gt;=DY99,IF(DX99="",FALSE,TRUE))</formula>
    </cfRule>
  </conditionalFormatting>
  <conditionalFormatting sqref="BJ5:BJ17">
    <cfRule type="expression" dxfId="19" priority="7">
      <formula>OR(IF(BJ5&lt;BK5,TRUE),IF(AND(BK5="",BJ5&lt;&gt;""),TRUE))</formula>
    </cfRule>
    <cfRule type="expression" dxfId="18" priority="8">
      <formula>IF(BJ5&gt;=BK5,IF(BJ5="",FALSE,TRUE))</formula>
    </cfRule>
  </conditionalFormatting>
  <dataValidations count="1">
    <dataValidation type="list" allowBlank="1" showInputMessage="1" showErrorMessage="1" sqref="P5:S19 DJ80:DM93 CO5:CR19 AD5:AG19 W5:Z19 S97:S109 Z97:Z109 AK5:AN19 AG97:AG109 AR5:AU19 AN97:AN109 DX97:EA108 AU97:AU109 BJ5:BJ17 BB22:BB47 AM35:AM47 AN22:AN47 R35:R47 S22:S47 DX35:EA47 Y35:Y47 Z22:Z47 AF35:AF47 AG22:AG47 BH35:BH47 BI22:BI47 AT35:AT47 AU22:AU47 BA35:BA47 AZ22:AZ47 CD22:CD47 BP22:BP47 BM51:BP76 BW22:BW47 AK51:AN76 P51:S76 W51:Z76 AD51:AG76 BF51:BI76 AR51:AU76 AY51:BB76 CA51:CD76 BT51:BW76 BM5:BP19 BI97:BI109 BO35:BO47 BT5:BW19 BP97:BP109 BV35:BV47 CA5:CD19 BW97:BW109 CC35:CC47 CH5:CK19 CB97:CB109 CJ35:CJ47 CK22:CK47 CH51:CK76 CV5:CY19 CK97:CK109 CQ35:CQ47 CR22:CR47 CO51:CR76 DC5:DF19 CV22:CY32 CV51:CY76 CV35:CY47 CV80:CY93 DJ35:DM47 DC22:DF32 DC51:DF76 DC35:DF47 DC80:DF93 DS80:DT93 DJ51:DM76 DJ5:DM19 DX80:EA93 DJ22:DM32 DX51:EA76 DR80:DR94 DQ22:DT32 DQ5:DT19 DQ35:DT47 DX22:EA32 CR97:CR109 DX5:EA19 DQ80:DQ93 DQ51:DT76 DJ97:DM108 BM80:BP93 AK80:AN93 P80:S93 W80:Z93 AD80:AG93 BF80:BI93 AR80:AU93 AY80:BB93 CA80:CD93 BT80:BW93 CH80:CK93 CO80:CR93 CV97:CY108 DC97:DF108 DQ97:DT108 BF5:BI19 P22:P32 Q22:Q47 R22:R32 P35:P47 P97:P108 Q97:Q109 R97:R108 W22:W32 X22:X47 Y22:Y32 W35:W47 W97:W108 X97:X109 Y97:Y108 AD22:AD32 AE22:AE47 AF22:AF32 AD35:AD47 AD97:AD108 AE97:AE109 AF97:AF108 AK22:AK32 AL22:AL47 AM22:AM32 AK35:AK47 AK97:AK108 AL97:AL109 AM97:AM108 AR22:AR32 AS22:AS47 AT22:AT32 AR35:AR47 AR97:AR108 AS97:AS109 AT97:AT108 AY22:AY32 AY5:BB19 BA22:BA32 AY35:AY47 BF22:BF32 BG22:BG47 BH22:BH32 BF35:BF47 BF97:BF108 BG97:BG109 BH97:BH108 BM22:BM32 BN22:BN47 BO22:BO32 BM35:BM47 BM97:BM108 BN97:BN109 BO97:BO108 BT22:BT32 BU22:BU47 BV22:BV32 BT35:BT47 BT97:BT108 BU97:BU109 BV97:BV108 CA22:CA32 CB22:CB47 CC22:CC32 CA35:CA47 CD97:CD109 CA97:CA108 CC97:CC108 CH22:CH32 CI22:CI47 CJ22:CJ32 CH35:CH47 CH97:CH108 CI97:CI109 CJ97:CJ108 CO22:CO32 CP22:CP47 CQ22:CQ32 CO35:CO47 CO97:CO108 CP97:CP109 CQ97:CQ108 AY97:AY108 AZ97:AZ109 BA97:BA108 BB97:BB109" xr:uid="{DF46768B-76BD-4AD1-BDD9-05E5E50A35C8}">
      <formula1>"10%,20%,30%,40%,50%,60%,70%,80%,90%,100%"</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 workbookViewId="0">
      <selection activeCell="B18" sqref="B17:B18"/>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38</v>
      </c>
    </row>
    <row r="12" spans="2:2">
      <c r="B12" s="3" t="s">
        <v>17</v>
      </c>
    </row>
    <row r="13" spans="2:2" ht="126">
      <c r="B13" s="1" t="s">
        <v>18</v>
      </c>
    </row>
    <row r="15" spans="2:2">
      <c r="B15" s="3" t="s">
        <v>19</v>
      </c>
    </row>
    <row r="16" spans="2:2" ht="110.25">
      <c r="B16" s="1" t="s">
        <v>20</v>
      </c>
    </row>
    <row r="17" spans="2:2">
      <c r="B17" s="1"/>
    </row>
    <row r="18" spans="2:2">
      <c r="B18" s="3" t="s">
        <v>37</v>
      </c>
    </row>
    <row r="19" spans="2:2" ht="141.75">
      <c r="B19" s="1" t="s">
        <v>39</v>
      </c>
    </row>
    <row r="21" spans="2:2">
      <c r="B21" s="3" t="s">
        <v>21</v>
      </c>
    </row>
    <row r="22" spans="2:2" ht="110.25">
      <c r="B22" s="1" t="s">
        <v>40</v>
      </c>
    </row>
    <row r="24" spans="2:2">
      <c r="B24" s="3"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44</v>
      </c>
      <c r="B1" s="17" t="s">
        <v>41</v>
      </c>
      <c r="C1" s="17" t="s">
        <v>42</v>
      </c>
      <c r="D1" s="17" t="s">
        <v>43</v>
      </c>
      <c r="E1" s="1" t="s">
        <v>45</v>
      </c>
      <c r="F1" s="1" t="s">
        <v>46</v>
      </c>
      <c r="G1" s="1" t="s">
        <v>47</v>
      </c>
      <c r="H1" s="1" t="s">
        <v>48</v>
      </c>
      <c r="I1" s="1" t="s">
        <v>49</v>
      </c>
      <c r="J1" s="1" t="s">
        <v>50</v>
      </c>
      <c r="K1" s="1" t="s">
        <v>51</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295843-8335-457A-9FEE-54680918DDCA}">
  <ds:schemaRefs>
    <ds:schemaRef ds:uri="http://www.w3.org/2001/XMLSchema"/>
    <ds:schemaRef ds:uri="http://bilanza.com/cachedValu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sebas</cp:lastModifiedBy>
  <dcterms:created xsi:type="dcterms:W3CDTF">2020-04-19T13:33:28Z</dcterms:created>
  <dcterms:modified xsi:type="dcterms:W3CDTF">2022-09-22T17:07:25Z</dcterms:modified>
</cp:coreProperties>
</file>