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Nick Gläser\Documents\CBK\Semesterplanung\"/>
    </mc:Choice>
  </mc:AlternateContent>
  <xr:revisionPtr revIDLastSave="0" documentId="13_ncr:1_{ECB027EC-F33A-458D-A03A-7F43EB6E14DF}" xr6:coauthVersionLast="47" xr6:coauthVersionMax="47" xr10:uidLastSave="{00000000-0000-0000-0000-000000000000}"/>
  <bookViews>
    <workbookView xWindow="-120" yWindow="-120" windowWidth="29040" windowHeight="15720" activeTab="2" xr2:uid="{50F29292-BE80-0C47-A0D2-DD086CB3D310}"/>
  </bookViews>
  <sheets>
    <sheet name="Übersicht" sheetId="11" r:id="rId1"/>
    <sheet name="ANLEITUNG" sheetId="10" r:id="rId2"/>
    <sheet name="Semesterplan" sheetId="7" r:id="rId3"/>
    <sheet name="COMMITTMENT" sheetId="9" r:id="rId4"/>
    <sheet name="Best-Practice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8" i="7" l="1" a="1"/>
  <c r="K28" i="7" s="1"/>
  <c r="J28" i="7" a="1"/>
  <c r="J28" i="7" s="1"/>
  <c r="I28" i="7"/>
  <c r="K27" i="7" a="1"/>
  <c r="K27" i="7" s="1"/>
  <c r="J27" i="7" a="1"/>
  <c r="J27" i="7" s="1"/>
  <c r="I27" i="7"/>
  <c r="K26" i="7" a="1"/>
  <c r="K26" i="7" s="1"/>
  <c r="J26" i="7" a="1"/>
  <c r="J26" i="7" s="1"/>
  <c r="I26" i="7"/>
  <c r="K25" i="7" a="1"/>
  <c r="K25" i="7" s="1"/>
  <c r="J25" i="7" a="1"/>
  <c r="J25" i="7" s="1"/>
  <c r="I25" i="7"/>
  <c r="K24" i="7" a="1"/>
  <c r="K24" i="7" s="1"/>
  <c r="J24" i="7" a="1"/>
  <c r="J24" i="7" s="1"/>
  <c r="I24" i="7"/>
  <c r="AP23" i="7"/>
  <c r="AI23" i="7"/>
  <c r="AB23" i="7"/>
  <c r="U23" i="7"/>
  <c r="G23" i="7"/>
  <c r="G11" i="7"/>
  <c r="K21" i="7" a="1"/>
  <c r="K21" i="7" s="1"/>
  <c r="J21" i="7" a="1"/>
  <c r="J21" i="7" s="1"/>
  <c r="I21" i="7"/>
  <c r="K20" i="7" a="1"/>
  <c r="K20" i="7" s="1"/>
  <c r="J20" i="7" a="1"/>
  <c r="J20" i="7" s="1"/>
  <c r="I20" i="7"/>
  <c r="K19" i="7" a="1"/>
  <c r="K19" i="7" s="1"/>
  <c r="J19" i="7" a="1"/>
  <c r="J19" i="7" s="1"/>
  <c r="I19" i="7"/>
  <c r="K18" i="7" a="1"/>
  <c r="K18" i="7" s="1"/>
  <c r="J18" i="7" a="1"/>
  <c r="J18" i="7" s="1"/>
  <c r="I18" i="7"/>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K12" i="7" a="1"/>
  <c r="K12" i="7" s="1"/>
  <c r="J12" i="7" a="1"/>
  <c r="J12" i="7" s="1"/>
  <c r="I12" i="7"/>
  <c r="AP11" i="7"/>
  <c r="AI11" i="7"/>
  <c r="AB11" i="7"/>
  <c r="U11" i="7"/>
  <c r="N11" i="7"/>
  <c r="C12" i="10"/>
  <c r="K9" i="7" a="1"/>
  <c r="K9" i="7" s="1"/>
  <c r="J9" i="7" a="1"/>
  <c r="J9" i="7" s="1"/>
  <c r="K8" i="7" a="1"/>
  <c r="K8" i="7" s="1"/>
  <c r="J8" i="7" a="1"/>
  <c r="J8" i="7" s="1"/>
  <c r="K7" i="7" a="1"/>
  <c r="K7" i="7" s="1"/>
  <c r="J7" i="7" a="1"/>
  <c r="J7" i="7" s="1"/>
  <c r="K6" i="7" a="1"/>
  <c r="K6" i="7" s="1"/>
  <c r="J6" i="7" a="1"/>
  <c r="J6" i="7" s="1"/>
  <c r="K5" i="7" a="1"/>
  <c r="K5" i="7" s="1"/>
  <c r="J5" i="7" a="1"/>
  <c r="J5" i="7" s="1"/>
  <c r="AP4" i="7"/>
  <c r="AI4" i="7"/>
  <c r="AB4" i="7"/>
  <c r="U4" i="7"/>
  <c r="I9" i="7"/>
  <c r="I8" i="7"/>
  <c r="I7" i="7"/>
  <c r="I6" i="7"/>
  <c r="I5" i="7"/>
  <c r="N4" i="7"/>
  <c r="G4" i="7"/>
  <c r="I23" i="7" l="1"/>
  <c r="K23" i="7"/>
  <c r="J23" i="7"/>
  <c r="I11" i="7"/>
  <c r="J11" i="7"/>
  <c r="K11" i="7"/>
  <c r="I4" i="7"/>
  <c r="J4" i="7"/>
  <c r="K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<sst xmlns="http://schemas.openxmlformats.org/spreadsheetml/2006/main" count="229" uniqueCount="123">
  <si>
    <t>Semesterplan</t>
  </si>
  <si>
    <t>Fach</t>
  </si>
  <si>
    <t>Skript Niveau</t>
  </si>
  <si>
    <t>Rechnen Niveau</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</si>
  <si>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</si>
  <si>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</si>
  <si>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</si>
  <si>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</si>
  <si>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</si>
  <si>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</si>
  <si>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</si>
  <si>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</si>
  <si>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</si>
  <si>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</si>
  <si>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</si>
  <si>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</si>
  <si>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</si>
  <si>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</si>
  <si>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</si>
  <si>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</si>
  <si>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</si>
  <si>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</si>
  <si>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</si>
  <si>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</si>
  <si>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</si>
  <si>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</si>
  <si>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</si>
  <si>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</si>
  <si>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</si>
  <si>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</si>
  <si>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</si>
  <si>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</si>
  <si>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</si>
  <si>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</si>
  <si>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</si>
  <si>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</si>
  <si>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</si>
  <si>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</si>
  <si>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</si>
  <si>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</si>
  <si>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</si>
  <si>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</si>
  <si>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</si>
  <si>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</si>
  <si>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</si>
  <si>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</si>
  <si>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</si>
  <si>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</si>
  <si>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</si>
  <si>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</si>
  <si>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</si>
  <si>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</si>
  <si>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</si>
  <si>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</si>
  <si>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</si>
  <si>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</si>
  <si>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</si>
  <si>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</si>
  <si>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</si>
  <si>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</si>
  <si>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</si>
  <si>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</si>
  <si>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</si>
  <si>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</si>
  <si>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</si>
  <si>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</si>
  <si>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</si>
  <si>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</si>
  <si>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</si>
  <si>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</si>
  <si>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</si>
  <si>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</si>
  <si>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</si>
  <si>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</si>
  <si>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</si>
  <si>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</si>
  <si>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</si>
  <si>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</si>
  <si>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Übersicht erste Klausurenphase im 2. Semester</t>
  </si>
  <si>
    <t>Ressourcen:</t>
  </si>
  <si>
    <t>Mathe</t>
  </si>
  <si>
    <t>JUB</t>
  </si>
  <si>
    <t>Global Business</t>
  </si>
  <si>
    <t>Vorlesung</t>
  </si>
  <si>
    <t>Altklausuren</t>
  </si>
  <si>
    <t>Hausarbeit</t>
  </si>
  <si>
    <t>ja</t>
  </si>
  <si>
    <t>nein</t>
  </si>
  <si>
    <r>
      <t xml:space="preserve">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t>
    </r>
    <r>
      <rPr>
        <b/>
        <sz val="12"/>
        <color theme="1"/>
        <rFont val="Calibri"/>
        <family val="2"/>
        <scheme val="minor"/>
      </rPr>
      <t>ebenfalls auf die dazugehörigen Aufgaben/Übungen/Tutorien etc.</t>
    </r>
    <r>
      <rPr>
        <sz val="12"/>
        <color theme="1"/>
        <rFont val="Calibri"/>
        <family val="2"/>
        <scheme val="minor"/>
      </rPr>
      <t xml:space="preserve">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r>
  </si>
  <si>
    <t>Übersicht Mathe</t>
  </si>
  <si>
    <t>1) Lineare und quadratische Funktionen</t>
  </si>
  <si>
    <t>2) Elementare Finanzmathematik</t>
  </si>
  <si>
    <t>3) Differentialrechnung- Funktionen Variable</t>
  </si>
  <si>
    <t>4) Integralrechnung</t>
  </si>
  <si>
    <t>5) Wahrscheinlichkeitsrechnung 1</t>
  </si>
  <si>
    <t>6) Wahrscheinlichkeitsrechnung 2</t>
  </si>
  <si>
    <t>7) Lineare Gleichungssysteme</t>
  </si>
  <si>
    <t>8) Matrizenrechnung</t>
  </si>
  <si>
    <t>9) Differentialrechnung - Funktion 2 Variable</t>
  </si>
  <si>
    <t>10) Optimierung und Nebenbedingungen</t>
  </si>
  <si>
    <t>1) Geschäftsbericht</t>
  </si>
  <si>
    <t>2) Cash zum Accrual Accounting</t>
  </si>
  <si>
    <t>3) Cash zum Accrual Accounting</t>
  </si>
  <si>
    <t>4) Bilanzierungszeitpunkt &amp; Anlagevermögen</t>
  </si>
  <si>
    <t>5) Umlaufvermögen</t>
  </si>
  <si>
    <t>1) Themenblock 1</t>
  </si>
  <si>
    <t>2) Themenblock 2</t>
  </si>
  <si>
    <t>3) Themenblock 3</t>
  </si>
  <si>
    <t>4) Themenblock 4</t>
  </si>
  <si>
    <t>5) Themenblock 5</t>
  </si>
  <si>
    <t>Abgabe Case</t>
  </si>
  <si>
    <t>18.04. Doppelte</t>
  </si>
  <si>
    <t>Buchhaltung</t>
  </si>
  <si>
    <t>Klausuren - 06.05. bis 10.05</t>
  </si>
  <si>
    <t>KW 17 - 29.04. bis 05.05.</t>
  </si>
  <si>
    <t>KW 16 - 22.04. bis 28.04.</t>
  </si>
  <si>
    <t>KW 15 - 15.04. bis 21.04.</t>
  </si>
  <si>
    <t>KW 14 - 08.04. bis 14.04.</t>
  </si>
  <si>
    <t>KW 13 - 01.04. bis 07.04.</t>
  </si>
  <si>
    <t>KW 12 - 25.03. bis 31.03.</t>
  </si>
  <si>
    <t>KW 11 - 18.03. bis 24.03.</t>
  </si>
  <si>
    <t>Nein</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</si>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</sst>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family val="2"/>
      <scheme val="minor"/>
    </font>
    <font>
      <sz val="8"/>
      <name val="Calibri"/>
      <family val="2"/>
      <scheme val="minor"/>
    </font>
    <font>
      <b/>
      <sz val="12"/>
      <color theme="5"/>
      <name val="Calibri"/>
      <family val="2"/>
      <scheme val="minor"/>
    </font>
    <font>
      <b/>
      <i/>
      <sz val="12"/>
      <color theme="1"/>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4" fillId="0" borderId="0" xfId="0" applyFont="1"/>
    <xf numFmtId="0" fontId="6" fillId="0" borderId="0" xfId="0" applyFont="1"/>
    <xf numFmtId="0" fontId="1" fillId="0" borderId="3" xfId="0" applyFont="1" applyBorder="1"/>
    <xf numFmtId="0" fontId="0" fillId="0" borderId="2" xfId="0" applyBorder="1"/>
    <xf numFmtId="0" fontId="7" fillId="0" borderId="1" xfId="0" applyFont="1" applyBorder="1"/>
    <xf numFmtId="0" fontId="1" fillId="2" borderId="0" xfId="0" applyFont="1" applyFill="1" applyAlignment="1">
      <alignment horizontal="center"/>
    </xf>
  </cellXfs>
  <cellStyles count="1">
    <cellStyle name="Standard" xfId="0" builtinId="0"/>
  </cellStyles>
  <dxfs count="23">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55" totalsRowShown="0" headerRowDxfId="22">
  <autoFilter ref="A1:K55" xr:uid="{6E266E34-2786-2747-BCE7-51B74867A564}"/>
  <tableColumns count="11">
    <tableColumn id="1" xr3:uid="{95FD92F7-3DC8-704D-A103-A7EDDAB255AB}" name="Datum" dataDxfId="21"/>
    <tableColumn id="2" xr3:uid="{F464D510-8166-E740-A343-FB84BDEF877F}" name="Lerneinheiten durchgezogen" dataDxfId="20"/>
    <tableColumn id="3" xr3:uid="{75F52B08-1A00-0848-BBE6-1EDF7B31B1AD}" name="Tagesplan erstellt" dataDxfId="19"/>
    <tableColumn id="4" xr3:uid="{E6B18D89-E799-AD48-9DAA-37AEE1D29011}" name="Konzentrationslevel" dataDxfId="1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96BD-1F90-4FC9-9139-3733D8ABB712}">
  <dimension ref="B3:F11"/>
  <sheetViews>
    <sheetView workbookViewId="0">
      <selection activeCell="F15" sqref="F15"/>
    </sheetView>
  </sheetViews>
  <sheetFormatPr baseColWidth="10" defaultRowHeight="15.75" x14ac:dyDescent="0.25"/>
  <sheetData>
    <row r="3" spans="2:6" ht="26.25" x14ac:dyDescent="0.4">
      <c r="B3" s="18" t="s">
        <v>78</v>
      </c>
      <c r="C3" s="18"/>
      <c r="D3" s="18"/>
      <c r="E3" s="18"/>
    </row>
    <row r="8" spans="2:6" x14ac:dyDescent="0.25">
      <c r="B8" s="20" t="s">
        <v>79</v>
      </c>
      <c r="C8" s="22" t="s">
        <v>80</v>
      </c>
      <c r="D8" s="22" t="s">
        <v>81</v>
      </c>
      <c r="E8" s="22" t="s">
        <v>82</v>
      </c>
      <c r="F8" s="22"/>
    </row>
    <row r="9" spans="2:6" x14ac:dyDescent="0.25">
      <c r="B9" s="21" t="s">
        <v>83</v>
      </c>
      <c r="C9" t="s">
        <v>87</v>
      </c>
      <c r="D9" t="s">
        <v>86</v>
      </c>
      <c r="E9" t="s">
        <v>87</v>
      </c>
    </row>
    <row r="10" spans="2:6" x14ac:dyDescent="0.25">
      <c r="B10" s="21" t="s">
        <v>84</v>
      </c>
      <c r="C10" t="s">
        <v>86</v>
      </c>
      <c r="D10" t="s">
        <v>86</v>
      </c>
      <c r="E10" t="s">
        <v>87</v>
      </c>
    </row>
    <row r="11" spans="2:6" x14ac:dyDescent="0.25">
      <c r="B11" s="21" t="s">
        <v>85</v>
      </c>
      <c r="C11" t="s">
        <v>87</v>
      </c>
      <c r="D11" t="s">
        <v>86</v>
      </c>
      <c r="E11"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RowHeight="15.75" x14ac:dyDescent="0.25"/>
  <cols>
    <col min="1" max="1" width="11.875" customWidth="1"/>
    <col min="2" max="2" width="62.625" customWidth="1"/>
  </cols>
  <sheetData>
    <row r="2" spans="1:4" x14ac:dyDescent="0.25">
      <c r="C2" s="16" t="s">
        <v>62</v>
      </c>
    </row>
    <row r="3" spans="1:4" x14ac:dyDescent="0.25">
      <c r="C3" s="15" t="s">
        <v>47</v>
      </c>
    </row>
    <row r="4" spans="1:4" x14ac:dyDescent="0.25">
      <c r="C4" s="14" t="s">
        <v>61</v>
      </c>
    </row>
    <row r="5" spans="1:4" x14ac:dyDescent="0.25">
      <c r="A5" s="2" t="s">
        <v>44</v>
      </c>
      <c r="B5" s="2" t="s">
        <v>45</v>
      </c>
      <c r="C5" s="2" t="s">
        <v>46</v>
      </c>
      <c r="D5" s="2" t="s">
        <v>48</v>
      </c>
    </row>
    <row r="6" spans="1:4" x14ac:dyDescent="0.25">
      <c r="A6" t="s">
        <v>40</v>
      </c>
      <c r="B6" s="16" t="s">
        <v>43</v>
      </c>
      <c r="D6" t="s">
        <v>77</v>
      </c>
    </row>
    <row r="7" spans="1:4" x14ac:dyDescent="0.25">
      <c r="A7" t="s">
        <v>51</v>
      </c>
      <c r="B7" t="s">
        <v>52</v>
      </c>
      <c r="C7" s="14">
        <v>20</v>
      </c>
    </row>
    <row r="8" spans="1:4" x14ac:dyDescent="0.25">
      <c r="A8" t="s">
        <v>42</v>
      </c>
      <c r="B8" s="16" t="s">
        <v>41</v>
      </c>
      <c r="D8" t="s">
        <v>65</v>
      </c>
    </row>
    <row r="9" spans="1:4" x14ac:dyDescent="0.25">
      <c r="A9" t="s">
        <v>50</v>
      </c>
      <c r="B9" s="16" t="s">
        <v>63</v>
      </c>
      <c r="D9" t="s">
        <v>66</v>
      </c>
    </row>
    <row r="10" spans="1:4" x14ac:dyDescent="0.25">
      <c r="A10" t="s">
        <v>54</v>
      </c>
      <c r="B10" t="s">
        <v>53</v>
      </c>
      <c r="C10" s="14">
        <v>6.5</v>
      </c>
      <c r="D10" t="s">
        <v>49</v>
      </c>
    </row>
    <row r="11" spans="1:4" x14ac:dyDescent="0.25">
      <c r="A11" t="s">
        <v>55</v>
      </c>
      <c r="B11" t="s">
        <v>57</v>
      </c>
      <c r="C11" s="14">
        <v>60</v>
      </c>
      <c r="D11" t="s">
        <v>56</v>
      </c>
    </row>
    <row r="12" spans="1:4" x14ac:dyDescent="0.25">
      <c r="A12" t="s">
        <v>59</v>
      </c>
      <c r="B12" t="s">
        <v>58</v>
      </c>
      <c r="C12" s="15">
        <f>C11/C10</f>
        <v>9.2307692307692299</v>
      </c>
    </row>
    <row r="13" spans="1:4" x14ac:dyDescent="0.25">
      <c r="A13" t="s">
        <v>64</v>
      </c>
      <c r="B13" t="s">
        <v>60</v>
      </c>
      <c r="D13" t="s">
        <v>67</v>
      </c>
    </row>
    <row r="14" spans="1:4" x14ac:dyDescent="0.25">
      <c r="A14" t="s">
        <v>68</v>
      </c>
      <c r="B14" t="s">
        <v>69</v>
      </c>
      <c r="D14" t="s">
        <v>70</v>
      </c>
    </row>
    <row r="15" spans="1:4" x14ac:dyDescent="0.25">
      <c r="A15" t="s">
        <v>71</v>
      </c>
      <c r="B15" s="16" t="s">
        <v>72</v>
      </c>
    </row>
    <row r="16" spans="1:4" x14ac:dyDescent="0.25">
      <c r="A16" t="s">
        <v>75</v>
      </c>
      <c r="B16" s="16" t="s">
        <v>73</v>
      </c>
    </row>
    <row r="17" spans="1:2" x14ac:dyDescent="0.25">
      <c r="A17" t="s">
        <v>76</v>
      </c>
      <c r="B17" t="s">
        <v>74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P28"/>
  <sheetViews>
    <sheetView showGridLines="0" tabSelected="1" topLeftCell="AG1" zoomScale="75" zoomScaleNormal="83" workbookViewId="0">
      <selection activeCell="BF17" sqref="BF17"/>
    </sheetView>
  </sheetViews>
  <sheetFormatPr baseColWidth="10" defaultColWidth="8.875" defaultRowHeight="15.75" outlineLevelRow="1" x14ac:dyDescent="0.25"/>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70" width="2.5" customWidth="1"/>
  </cols>
  <sheetData>
    <row r="1" spans="2:68" ht="33.75" x14ac:dyDescent="0.5">
      <c r="B1" s="4" t="s">
        <v>0</v>
      </c>
      <c r="D1" s="4"/>
      <c r="G1" s="11" t="s">
        <v>24</v>
      </c>
      <c r="I1" s="11" t="s">
        <v>24</v>
      </c>
      <c r="J1" s="11" t="s">
        <v>24</v>
      </c>
      <c r="K1" s="11" t="s">
        <v>24</v>
      </c>
    </row>
    <row r="2" spans="2:68" x14ac:dyDescent="0.25">
      <c r="I2" s="23" t="s">
        <v>18</v>
      </c>
      <c r="J2" s="23"/>
      <c r="K2" s="23"/>
      <c r="L2" s="23"/>
      <c r="N2" s="23" t="s">
        <v>120</v>
      </c>
      <c r="O2" s="23"/>
      <c r="P2" s="23"/>
      <c r="Q2" s="23"/>
      <c r="R2" s="23"/>
      <c r="S2" s="23"/>
      <c r="U2" s="23" t="s">
        <v>119</v>
      </c>
      <c r="V2" s="23"/>
      <c r="W2" s="23"/>
      <c r="X2" s="23"/>
      <c r="Y2" s="23"/>
      <c r="Z2" s="23"/>
      <c r="AB2" s="23" t="s">
        <v>118</v>
      </c>
      <c r="AC2" s="23"/>
      <c r="AD2" s="23"/>
      <c r="AE2" s="23"/>
      <c r="AF2" s="23"/>
      <c r="AG2" s="23"/>
      <c r="AI2" s="23" t="s">
        <v>117</v>
      </c>
      <c r="AJ2" s="23"/>
      <c r="AK2" s="23"/>
      <c r="AL2" s="23"/>
      <c r="AM2" s="23"/>
      <c r="AN2" s="23"/>
      <c r="AP2" s="23" t="s">
        <v>116</v>
      </c>
      <c r="AQ2" s="23"/>
      <c r="AR2" s="23"/>
      <c r="AS2" s="23"/>
      <c r="AT2" s="23"/>
      <c r="AU2" s="23"/>
      <c r="AW2" s="23" t="s">
        <v>115</v>
      </c>
      <c r="AX2" s="23"/>
      <c r="AY2" s="23"/>
      <c r="AZ2" s="23"/>
      <c r="BA2" s="23"/>
      <c r="BB2" s="23"/>
      <c r="BD2" s="23" t="s">
        <v>114</v>
      </c>
      <c r="BE2" s="23"/>
      <c r="BF2" s="23"/>
      <c r="BG2" s="23"/>
      <c r="BH2" s="23"/>
      <c r="BI2" s="23"/>
      <c r="BK2" s="23" t="s">
        <v>113</v>
      </c>
      <c r="BL2" s="23"/>
      <c r="BM2" s="23"/>
      <c r="BN2" s="23"/>
      <c r="BO2" s="23"/>
      <c r="BP2" s="23"/>
    </row>
    <row r="3" spans="2:68" x14ac:dyDescent="0.25">
      <c r="B3" s="5" t="s">
        <v>17</v>
      </c>
      <c r="C3" s="5" t="s">
        <v>1</v>
      </c>
      <c r="D3" s="5" t="s">
        <v>16</v>
      </c>
      <c r="E3" s="6" t="s">
        <v>21</v>
      </c>
      <c r="F3" s="5" t="s">
        <v>20</v>
      </c>
      <c r="G3" s="5" t="s">
        <v>22</v>
      </c>
      <c r="I3" s="6" t="s">
        <v>4</v>
      </c>
      <c r="J3" s="6" t="s">
        <v>2</v>
      </c>
      <c r="K3" s="6" t="s">
        <v>3</v>
      </c>
      <c r="L3" s="6" t="s">
        <v>5</v>
      </c>
      <c r="N3" s="5" t="s">
        <v>4</v>
      </c>
      <c r="O3" s="5" t="s">
        <v>2</v>
      </c>
      <c r="P3" s="5" t="s">
        <v>23</v>
      </c>
      <c r="Q3" s="5" t="s">
        <v>3</v>
      </c>
      <c r="R3" s="5" t="s">
        <v>23</v>
      </c>
      <c r="S3" s="5" t="s">
        <v>5</v>
      </c>
      <c r="U3" s="5" t="s">
        <v>4</v>
      </c>
      <c r="V3" s="5" t="s">
        <v>2</v>
      </c>
      <c r="W3" s="5" t="s">
        <v>23</v>
      </c>
      <c r="X3" s="5" t="s">
        <v>3</v>
      </c>
      <c r="Y3" s="5" t="s">
        <v>23</v>
      </c>
      <c r="Z3" s="5" t="s">
        <v>5</v>
      </c>
      <c r="AB3" s="5" t="s">
        <v>4</v>
      </c>
      <c r="AC3" s="5" t="s">
        <v>2</v>
      </c>
      <c r="AD3" s="5" t="s">
        <v>23</v>
      </c>
      <c r="AE3" s="5" t="s">
        <v>3</v>
      </c>
      <c r="AF3" s="5" t="s">
        <v>23</v>
      </c>
      <c r="AG3" s="5" t="s">
        <v>5</v>
      </c>
      <c r="AI3" s="5" t="s">
        <v>4</v>
      </c>
      <c r="AJ3" s="5" t="s">
        <v>2</v>
      </c>
      <c r="AK3" s="5" t="s">
        <v>23</v>
      </c>
      <c r="AL3" s="5" t="s">
        <v>3</v>
      </c>
      <c r="AM3" s="5" t="s">
        <v>23</v>
      </c>
      <c r="AN3" s="5" t="s">
        <v>5</v>
      </c>
      <c r="AP3" s="5" t="s">
        <v>4</v>
      </c>
      <c r="AQ3" s="5" t="s">
        <v>2</v>
      </c>
      <c r="AR3" s="5" t="s">
        <v>23</v>
      </c>
      <c r="AS3" s="5" t="s">
        <v>3</v>
      </c>
      <c r="AT3" s="5" t="s">
        <v>23</v>
      </c>
      <c r="AU3" s="5" t="s">
        <v>5</v>
      </c>
      <c r="AW3" s="5" t="s">
        <v>4</v>
      </c>
      <c r="AX3" s="5" t="s">
        <v>2</v>
      </c>
      <c r="AY3" s="5" t="s">
        <v>23</v>
      </c>
      <c r="AZ3" s="5" t="s">
        <v>3</v>
      </c>
      <c r="BA3" s="5" t="s">
        <v>23</v>
      </c>
      <c r="BB3" s="5" t="s">
        <v>5</v>
      </c>
      <c r="BD3" s="5" t="s">
        <v>4</v>
      </c>
      <c r="BE3" s="5" t="s">
        <v>2</v>
      </c>
      <c r="BF3" s="5" t="s">
        <v>23</v>
      </c>
      <c r="BG3" s="5" t="s">
        <v>3</v>
      </c>
      <c r="BH3" s="5" t="s">
        <v>23</v>
      </c>
      <c r="BI3" s="5" t="s">
        <v>5</v>
      </c>
      <c r="BK3" s="5" t="s">
        <v>4</v>
      </c>
      <c r="BL3" s="5" t="s">
        <v>2</v>
      </c>
      <c r="BM3" s="5" t="s">
        <v>23</v>
      </c>
      <c r="BN3" s="5" t="s">
        <v>3</v>
      </c>
      <c r="BO3" s="5" t="s">
        <v>23</v>
      </c>
      <c r="BP3" s="5" t="s">
        <v>5</v>
      </c>
    </row>
    <row r="4" spans="2:68" x14ac:dyDescent="0.25">
      <c r="B4" t="s">
        <v>18</v>
      </c>
      <c r="C4" t="s">
        <v>82</v>
      </c>
      <c r="D4" s="17">
        <v>45420</v>
      </c>
      <c r="E4" s="7">
        <v>4</v>
      </c>
      <c r="G4" s="8">
        <f>+SUM(G5:G9)</f>
        <v>1</v>
      </c>
      <c r="I4" s="10">
        <f ca="1">+SUM(I5:I9)</f>
        <v>0</v>
      </c>
      <c r="J4" s="9">
        <f>+SUMPRODUCT(G5:G9,J5:J9)</f>
        <v>0</v>
      </c>
      <c r="K4" s="9">
        <f>+SUMPRODUCT(G5:G9,K5:K9)</f>
        <v>0</v>
      </c>
      <c r="L4" s="7"/>
      <c r="N4" s="10">
        <f>+SUM(N5:N9)</f>
        <v>0</v>
      </c>
      <c r="U4" s="10">
        <f>+SUM(U5:U9)</f>
        <v>0</v>
      </c>
      <c r="AB4" s="10">
        <f>+SUM(AB5:AB9)</f>
        <v>0</v>
      </c>
      <c r="AI4" s="10">
        <f>+SUM(AI5:AI9)</f>
        <v>0</v>
      </c>
      <c r="AP4" s="10">
        <f>+SUM(AP5:AP9)</f>
        <v>0</v>
      </c>
      <c r="AU4" s="2" t="s">
        <v>111</v>
      </c>
      <c r="BB4" s="19" t="s">
        <v>110</v>
      </c>
    </row>
    <row r="5" spans="2:68" outlineLevel="1" x14ac:dyDescent="0.25">
      <c r="B5" t="s">
        <v>19</v>
      </c>
      <c r="C5" t="s">
        <v>82</v>
      </c>
      <c r="E5" s="7"/>
      <c r="F5" t="s">
        <v>105</v>
      </c>
      <c r="G5" s="8">
        <v>0.2</v>
      </c>
      <c r="I5" s="7">
        <f ca="1">+SUMIF($N$3:$YL$3,I$3,$N5:$YH5)</f>
        <v>0</v>
      </c>
      <c r="J5" s="9" cm="1">
        <f t="array" ref="J5">MAX(IF($N$3:$CT$3=$J$3,N5:CP5))</f>
        <v>0</v>
      </c>
      <c r="K5" s="9" cm="1">
        <f t="array" ref="K5">MAX(IF($N$3:$CT$3=$J$3,N5:CP5))</f>
        <v>0</v>
      </c>
      <c r="L5" s="7"/>
      <c r="O5" s="8"/>
      <c r="P5" s="8">
        <v>0.5</v>
      </c>
      <c r="Q5" s="8"/>
      <c r="R5" s="8">
        <v>0.5</v>
      </c>
      <c r="V5" s="8"/>
      <c r="W5" s="8">
        <v>0.5</v>
      </c>
      <c r="X5" s="8"/>
      <c r="Y5" s="8">
        <v>0.5</v>
      </c>
      <c r="AC5" s="8"/>
      <c r="AD5" s="8">
        <v>0.8</v>
      </c>
      <c r="AE5" s="8"/>
      <c r="AF5" s="8">
        <v>0.8</v>
      </c>
      <c r="AJ5" s="8"/>
      <c r="AK5" s="8">
        <v>0.8</v>
      </c>
      <c r="AL5" s="8"/>
      <c r="AM5" s="8">
        <v>0.8</v>
      </c>
      <c r="AQ5" s="8"/>
      <c r="AR5" s="8">
        <v>1</v>
      </c>
      <c r="AS5" s="8"/>
      <c r="AT5" s="8">
        <v>1</v>
      </c>
      <c r="AU5" s="2" t="s">
        <v>112</v>
      </c>
      <c r="AX5" s="8"/>
      <c r="AY5" s="8">
        <v>1</v>
      </c>
      <c r="AZ5" s="8"/>
      <c r="BA5" s="8">
        <v>1</v>
      </c>
      <c r="BH5" s="8"/>
      <c r="BI5" s="8"/>
      <c r="BJ5" s="8"/>
      <c r="BK5" s="8"/>
    </row>
    <row r="6" spans="2:68" outlineLevel="1" x14ac:dyDescent="0.25">
      <c r="B6" t="s">
        <v>19</v>
      </c>
      <c r="C6" t="s">
        <v>82</v>
      </c>
      <c r="E6" s="7"/>
      <c r="F6" t="s">
        <v>106</v>
      </c>
      <c r="G6" s="8">
        <v>0.2</v>
      </c>
      <c r="I6" s="7">
        <f ca="1">+SUMIF($N$3:$YL$3,I$3,$N6:$YH6)</f>
        <v>0</v>
      </c>
      <c r="J6" s="9" cm="1">
        <f t="array" ref="J6">MAX(IF($N$3:$CT$3=$J$3,N6:CP6))</f>
        <v>0</v>
      </c>
      <c r="K6" s="9" cm="1">
        <f t="array" ref="K6">MAX(IF($N$3:$CT$3=$J$3,N6:CP6))</f>
        <v>0</v>
      </c>
      <c r="L6" s="7"/>
      <c r="O6" s="8"/>
      <c r="P6" s="8">
        <v>0.5</v>
      </c>
      <c r="Q6" s="8"/>
      <c r="R6" s="8">
        <v>0.5</v>
      </c>
      <c r="V6" s="8"/>
      <c r="W6" s="8">
        <v>0.5</v>
      </c>
      <c r="X6" s="8"/>
      <c r="Y6" s="8">
        <v>0.5</v>
      </c>
      <c r="AC6" s="8"/>
      <c r="AD6" s="8">
        <v>0.5</v>
      </c>
      <c r="AE6" s="8"/>
      <c r="AF6" s="8">
        <v>0.5</v>
      </c>
      <c r="AJ6" s="8"/>
      <c r="AK6" s="8">
        <v>0.8</v>
      </c>
      <c r="AL6" s="8"/>
      <c r="AM6" s="8">
        <v>0.8</v>
      </c>
      <c r="AQ6" s="8"/>
      <c r="AR6" s="8">
        <v>1</v>
      </c>
      <c r="AS6" s="8"/>
      <c r="AT6" s="8">
        <v>1</v>
      </c>
      <c r="AX6" s="8"/>
      <c r="AY6" s="8">
        <v>1</v>
      </c>
      <c r="AZ6" s="8"/>
      <c r="BA6" s="8">
        <v>1</v>
      </c>
      <c r="BH6" s="8"/>
      <c r="BI6" s="8"/>
      <c r="BJ6" s="8"/>
      <c r="BK6" s="8"/>
    </row>
    <row r="7" spans="2:68" outlineLevel="1" x14ac:dyDescent="0.25">
      <c r="B7" t="s">
        <v>19</v>
      </c>
      <c r="C7" t="s">
        <v>82</v>
      </c>
      <c r="E7" s="7"/>
      <c r="F7" t="s">
        <v>107</v>
      </c>
      <c r="G7" s="8">
        <v>0.2</v>
      </c>
      <c r="I7" s="7">
        <f ca="1">+SUMIF($N$3:$YL$3,I$3,$N7:$YH7)</f>
        <v>0</v>
      </c>
      <c r="J7" s="9" cm="1">
        <f t="array" ref="J7">MAX(IF($N$3:$CT$3=$J$3,N7:CP7))</f>
        <v>0</v>
      </c>
      <c r="K7" s="9" cm="1">
        <f t="array" ref="K7">MAX(IF($N$3:$CT$3=$J$3,N7:CP7))</f>
        <v>0</v>
      </c>
      <c r="L7" s="7"/>
      <c r="P7" s="8"/>
      <c r="R7" s="8"/>
      <c r="V7" s="8"/>
      <c r="W7" s="8">
        <v>0.5</v>
      </c>
      <c r="X7" s="8"/>
      <c r="Y7" s="8">
        <v>0.5</v>
      </c>
      <c r="AC7" s="8"/>
      <c r="AD7" s="8">
        <v>0.5</v>
      </c>
      <c r="AE7" s="8"/>
      <c r="AF7" s="8">
        <v>0.5</v>
      </c>
      <c r="AJ7" s="8"/>
      <c r="AK7" s="8">
        <v>0.8</v>
      </c>
      <c r="AL7" s="8"/>
      <c r="AM7" s="8">
        <v>0.8</v>
      </c>
      <c r="AQ7" s="8"/>
      <c r="AR7" s="8">
        <v>0.8</v>
      </c>
      <c r="AS7" s="8"/>
      <c r="AT7" s="8">
        <v>0.8</v>
      </c>
      <c r="AX7" s="8"/>
      <c r="AY7" s="8">
        <v>1</v>
      </c>
      <c r="AZ7" s="8"/>
      <c r="BA7" s="8">
        <v>1</v>
      </c>
      <c r="BH7" s="8"/>
      <c r="BI7" s="8"/>
      <c r="BJ7" s="8"/>
      <c r="BK7" s="8"/>
    </row>
    <row r="8" spans="2:68" outlineLevel="1" x14ac:dyDescent="0.25">
      <c r="B8" t="s">
        <v>19</v>
      </c>
      <c r="C8" t="s">
        <v>82</v>
      </c>
      <c r="E8" s="7"/>
      <c r="F8" t="s">
        <v>108</v>
      </c>
      <c r="G8" s="8">
        <v>0.2</v>
      </c>
      <c r="I8" s="7">
        <f ca="1">+SUMIF($N$3:$YL$3,I$3,$N8:$YH8)</f>
        <v>0</v>
      </c>
      <c r="J8" s="9" cm="1">
        <f t="array" ref="J8">MAX(IF($N$3:$CT$3=$J$3,N8:CP8))</f>
        <v>0</v>
      </c>
      <c r="K8" s="9" cm="1">
        <f t="array" ref="K8">MAX(IF($N$3:$CT$3=$J$3,N8:CP8))</f>
        <v>0</v>
      </c>
      <c r="L8" s="7"/>
      <c r="P8" s="8"/>
      <c r="R8" s="8"/>
      <c r="V8" s="8"/>
      <c r="W8" s="8">
        <v>0.5</v>
      </c>
      <c r="X8" s="8"/>
      <c r="Y8" s="8">
        <v>0.5</v>
      </c>
      <c r="AC8" s="8"/>
      <c r="AD8" s="8">
        <v>0.5</v>
      </c>
      <c r="AE8" s="8"/>
      <c r="AF8" s="8">
        <v>0.5</v>
      </c>
      <c r="AJ8" s="8"/>
      <c r="AK8" s="8">
        <v>0.5</v>
      </c>
      <c r="AL8" s="8"/>
      <c r="AM8" s="8">
        <v>0.5</v>
      </c>
      <c r="AQ8" s="8"/>
      <c r="AR8" s="8">
        <v>0.8</v>
      </c>
      <c r="AS8" s="8"/>
      <c r="AT8" s="8">
        <v>0.8</v>
      </c>
      <c r="AX8" s="8"/>
      <c r="AY8" s="8">
        <v>1</v>
      </c>
      <c r="AZ8" s="8"/>
      <c r="BA8" s="8">
        <v>1</v>
      </c>
      <c r="BH8" s="8"/>
      <c r="BI8" s="8"/>
      <c r="BJ8" s="8"/>
      <c r="BK8" s="8"/>
    </row>
    <row r="9" spans="2:68" outlineLevel="1" x14ac:dyDescent="0.25">
      <c r="B9" t="s">
        <v>19</v>
      </c>
      <c r="C9" t="s">
        <v>82</v>
      </c>
      <c r="E9" s="7"/>
      <c r="F9" t="s">
        <v>109</v>
      </c>
      <c r="G9" s="8">
        <v>0.2</v>
      </c>
      <c r="I9" s="7">
        <f ca="1">+SUMIF($N$3:$YL$3,I$3,$N9:$YH9)</f>
        <v>0</v>
      </c>
      <c r="J9" s="9" cm="1">
        <f t="array" ref="J9">MAX(IF($N$3:$CT$3=$J$3,N9:CP9))</f>
        <v>0</v>
      </c>
      <c r="K9" s="9" cm="1">
        <f t="array" ref="K9">MAX(IF($N$3:$CT$3=$J$3,N9:CP9))</f>
        <v>0</v>
      </c>
      <c r="L9" s="7"/>
      <c r="P9" s="8"/>
      <c r="Q9" s="8"/>
      <c r="R9" s="8"/>
      <c r="V9" s="8"/>
      <c r="W9" s="8"/>
      <c r="X9" s="8"/>
      <c r="Y9" s="8"/>
      <c r="AC9" s="8"/>
      <c r="AD9" s="8">
        <v>0.5</v>
      </c>
      <c r="AE9" s="8"/>
      <c r="AF9" s="8">
        <v>0.5</v>
      </c>
      <c r="AJ9" s="8"/>
      <c r="AK9" s="8">
        <v>0.5</v>
      </c>
      <c r="AL9" s="8"/>
      <c r="AM9" s="8">
        <v>0.5</v>
      </c>
      <c r="AQ9" s="8"/>
      <c r="AR9" s="8">
        <v>0.8</v>
      </c>
      <c r="AS9" s="8"/>
      <c r="AT9" s="8">
        <v>0.8</v>
      </c>
      <c r="AX9" s="8"/>
      <c r="AY9" s="8">
        <v>1</v>
      </c>
      <c r="AZ9" s="8"/>
      <c r="BA9" s="8">
        <v>1</v>
      </c>
      <c r="BH9" s="8"/>
      <c r="BI9" s="8"/>
      <c r="BJ9" s="8"/>
      <c r="BK9" s="8"/>
    </row>
    <row r="11" spans="2:68" x14ac:dyDescent="0.25">
      <c r="B11" t="s">
        <v>89</v>
      </c>
      <c r="D11" s="17">
        <v>45422</v>
      </c>
      <c r="E11" s="7">
        <v>4</v>
      </c>
      <c r="G11" s="8">
        <f>+SUM(G12:G21)</f>
        <v>0.99999999999999989</v>
      </c>
      <c r="I11" s="10">
        <f ca="1">+SUM(I12:I21)</f>
        <v>0</v>
      </c>
      <c r="J11" s="9">
        <f>+SUMPRODUCT(G12:G21,J12:J21)</f>
        <v>0</v>
      </c>
      <c r="K11" s="9">
        <f>+SUMPRODUCT(G12:G21,K12:K21)</f>
        <v>0</v>
      </c>
      <c r="L11" s="7"/>
      <c r="N11" s="10">
        <f>+SUM(N12:N21)</f>
        <v>0</v>
      </c>
      <c r="U11" s="10">
        <f>+SUM(U12:U21)</f>
        <v>0</v>
      </c>
      <c r="AB11" s="10">
        <f>+SUM(AB12:AB21)</f>
        <v>0</v>
      </c>
      <c r="AI11" s="10">
        <f>+SUM(AI12:AI21)</f>
        <v>0</v>
      </c>
      <c r="AP11" s="10">
        <f>+SUM(AP12:AP21)</f>
        <v>0</v>
      </c>
    </row>
    <row r="12" spans="2:68" outlineLevel="1" x14ac:dyDescent="0.25">
      <c r="B12" t="s">
        <v>19</v>
      </c>
      <c r="C12" t="s">
        <v>80</v>
      </c>
      <c r="E12" s="7"/>
      <c r="F12" t="s">
        <v>90</v>
      </c>
      <c r="G12" s="8">
        <v>7.0000000000000007E-2</v>
      </c>
      <c r="I12" s="7">
        <f t="shared" ref="I12:I21" ca="1" si="0">+SUMIF($N$3:$YL$3,I$3,$N12:$YJ12)</f>
        <v>0</v>
      </c>
      <c r="J12" s="9" cm="1">
        <f t="array" ref="J12">MAX(IF($N$3:$CT$3=$J$3,N12:CR12))</f>
        <v>0</v>
      </c>
      <c r="K12" s="9" cm="1">
        <f t="array" ref="K12">MAX(IF($N$3:$CT$3=$J$3,N12:CR12))</f>
        <v>0</v>
      </c>
      <c r="L12" s="7"/>
      <c r="O12" s="8"/>
      <c r="P12" s="8">
        <v>0.5</v>
      </c>
      <c r="Q12" s="8"/>
      <c r="R12" s="8">
        <v>0.5</v>
      </c>
      <c r="V12" s="8"/>
      <c r="W12" s="8">
        <v>0.5</v>
      </c>
      <c r="X12" s="8"/>
      <c r="Y12" s="8">
        <v>0.5</v>
      </c>
      <c r="AC12" s="8"/>
      <c r="AD12" s="8">
        <v>0.8</v>
      </c>
      <c r="AE12" s="8"/>
      <c r="AF12" s="8">
        <v>0.8</v>
      </c>
      <c r="AJ12" s="8"/>
      <c r="AK12" s="8">
        <v>0.8</v>
      </c>
      <c r="AL12" s="8"/>
      <c r="AM12" s="8">
        <v>0.8</v>
      </c>
      <c r="AQ12" s="8"/>
      <c r="AR12" s="8">
        <v>1</v>
      </c>
      <c r="AS12" s="8"/>
      <c r="AT12" s="8">
        <v>1</v>
      </c>
      <c r="AX12" s="8"/>
      <c r="AY12" s="8">
        <v>1</v>
      </c>
      <c r="AZ12" s="8"/>
      <c r="BA12" s="8">
        <v>1</v>
      </c>
      <c r="BE12" s="8"/>
      <c r="BF12" s="8"/>
      <c r="BG12" s="8"/>
      <c r="BH12" s="8"/>
      <c r="BL12" s="8"/>
      <c r="BM12" s="8"/>
    </row>
    <row r="13" spans="2:68" outlineLevel="1" x14ac:dyDescent="0.25">
      <c r="B13" t="s">
        <v>19</v>
      </c>
      <c r="C13" t="s">
        <v>80</v>
      </c>
      <c r="E13" s="7"/>
      <c r="F13" t="s">
        <v>91</v>
      </c>
      <c r="G13" s="8">
        <v>0.13</v>
      </c>
      <c r="I13" s="7">
        <f t="shared" ca="1" si="0"/>
        <v>0</v>
      </c>
      <c r="J13" s="9" cm="1">
        <f t="array" ref="J13">MAX(IF($N$3:$CT$3=$J$3,N13:CR13))</f>
        <v>0</v>
      </c>
      <c r="K13" s="9" cm="1">
        <f t="array" ref="K13">MAX(IF($N$3:$CT$3=$J$3,N13:CR13))</f>
        <v>0</v>
      </c>
      <c r="L13" s="7"/>
      <c r="O13" s="8"/>
      <c r="P13" s="8">
        <v>0.5</v>
      </c>
      <c r="Q13" s="8"/>
      <c r="R13" s="8">
        <v>0.5</v>
      </c>
      <c r="V13" s="8"/>
      <c r="W13" s="8">
        <v>0.5</v>
      </c>
      <c r="X13" s="8"/>
      <c r="Y13" s="8">
        <v>0.5</v>
      </c>
      <c r="AC13" s="8"/>
      <c r="AD13" s="8">
        <v>0.8</v>
      </c>
      <c r="AE13" s="8"/>
      <c r="AF13" s="8">
        <v>0.8</v>
      </c>
      <c r="AJ13" s="8"/>
      <c r="AK13" s="8">
        <v>0.8</v>
      </c>
      <c r="AL13" s="8"/>
      <c r="AM13" s="8">
        <v>0.8</v>
      </c>
      <c r="AQ13" s="8"/>
      <c r="AR13" s="8">
        <v>0.8</v>
      </c>
      <c r="AS13" s="8"/>
      <c r="AT13" s="8">
        <v>0.8</v>
      </c>
      <c r="AX13" s="8"/>
      <c r="AY13" s="8">
        <v>1</v>
      </c>
      <c r="AZ13" s="8"/>
      <c r="BA13" s="8">
        <v>1</v>
      </c>
      <c r="BE13" s="8"/>
      <c r="BF13" s="8"/>
      <c r="BG13" s="8"/>
      <c r="BH13" s="8"/>
      <c r="BL13" s="8"/>
      <c r="BM13" s="8"/>
    </row>
    <row r="14" spans="2:68" outlineLevel="1" x14ac:dyDescent="0.25">
      <c r="B14" t="s">
        <v>19</v>
      </c>
      <c r="C14" t="s">
        <v>80</v>
      </c>
      <c r="E14" s="7"/>
      <c r="F14" t="s">
        <v>92</v>
      </c>
      <c r="G14" s="8">
        <v>0.1</v>
      </c>
      <c r="I14" s="7">
        <f t="shared" ca="1" si="0"/>
        <v>0</v>
      </c>
      <c r="J14" s="9" cm="1">
        <f t="array" ref="J14">MAX(IF($N$3:$CT$3=$J$3,N14:CR14))</f>
        <v>0</v>
      </c>
      <c r="K14" s="9" cm="1">
        <f t="array" ref="K14">MAX(IF($N$3:$CT$3=$J$3,N14:CR14))</f>
        <v>0</v>
      </c>
      <c r="L14" s="7"/>
      <c r="O14" s="8"/>
      <c r="P14" s="8">
        <v>0.5</v>
      </c>
      <c r="Q14" s="8"/>
      <c r="R14" s="8">
        <v>0.5</v>
      </c>
      <c r="V14" s="8"/>
      <c r="W14" s="8">
        <v>0.5</v>
      </c>
      <c r="X14" s="8"/>
      <c r="Y14" s="8">
        <v>0.5</v>
      </c>
      <c r="AC14" s="8"/>
      <c r="AD14" s="8">
        <v>0.5</v>
      </c>
      <c r="AE14" s="8"/>
      <c r="AF14" s="8">
        <v>0.5</v>
      </c>
      <c r="AJ14" s="8"/>
      <c r="AK14" s="8">
        <v>0.8</v>
      </c>
      <c r="AL14" s="8"/>
      <c r="AM14" s="8">
        <v>0.8</v>
      </c>
      <c r="AQ14" s="8"/>
      <c r="AR14" s="8">
        <v>0.8</v>
      </c>
      <c r="AS14" s="8"/>
      <c r="AT14" s="8">
        <v>0.8</v>
      </c>
      <c r="AX14" s="8"/>
      <c r="AY14" s="8">
        <v>1</v>
      </c>
      <c r="AZ14" s="8"/>
      <c r="BA14" s="8">
        <v>1</v>
      </c>
      <c r="BE14" s="8"/>
      <c r="BF14" s="8"/>
      <c r="BG14" s="8"/>
      <c r="BH14" s="8"/>
      <c r="BL14" s="8"/>
      <c r="BM14" s="8"/>
    </row>
    <row r="15" spans="2:68" outlineLevel="1" x14ac:dyDescent="0.25">
      <c r="B15" t="s">
        <v>19</v>
      </c>
      <c r="C15" t="s">
        <v>80</v>
      </c>
      <c r="E15" s="7"/>
      <c r="F15" t="s">
        <v>93</v>
      </c>
      <c r="G15" s="8">
        <v>0.1</v>
      </c>
      <c r="I15" s="7">
        <f t="shared" ca="1" si="0"/>
        <v>0</v>
      </c>
      <c r="J15" s="9" cm="1">
        <f t="array" ref="J15">MAX(IF($N$3:$CT$3=$J$3,N15:CR15))</f>
        <v>0</v>
      </c>
      <c r="K15" s="9" cm="1">
        <f t="array" ref="K15">MAX(IF($N$3:$CT$3=$J$3,N15:CR15))</f>
        <v>0</v>
      </c>
      <c r="L15" s="7"/>
      <c r="O15" s="8"/>
      <c r="P15" s="8">
        <v>0.5</v>
      </c>
      <c r="Q15" s="8"/>
      <c r="R15" s="8">
        <v>0.5</v>
      </c>
      <c r="V15" s="8"/>
      <c r="W15" s="8">
        <v>0.5</v>
      </c>
      <c r="X15" s="8"/>
      <c r="Y15" s="8">
        <v>0.5</v>
      </c>
      <c r="AC15" s="8"/>
      <c r="AD15" s="8">
        <v>0.5</v>
      </c>
      <c r="AE15" s="8"/>
      <c r="AF15" s="8">
        <v>0.5</v>
      </c>
      <c r="AJ15" s="8"/>
      <c r="AK15" s="8">
        <v>0.8</v>
      </c>
      <c r="AL15" s="8"/>
      <c r="AM15" s="8">
        <v>0.8</v>
      </c>
      <c r="AQ15" s="8"/>
      <c r="AR15" s="8">
        <v>0.8</v>
      </c>
      <c r="AS15" s="8"/>
      <c r="AT15" s="8">
        <v>0.8</v>
      </c>
      <c r="AX15" s="8"/>
      <c r="AY15" s="8">
        <v>1</v>
      </c>
      <c r="AZ15" s="8"/>
      <c r="BA15" s="8">
        <v>1</v>
      </c>
      <c r="BE15" s="8"/>
      <c r="BF15" s="8"/>
      <c r="BG15" s="8"/>
      <c r="BH15" s="8"/>
      <c r="BL15" s="8"/>
      <c r="BM15" s="8"/>
    </row>
    <row r="16" spans="2:68" outlineLevel="1" x14ac:dyDescent="0.25">
      <c r="B16" t="s">
        <v>19</v>
      </c>
      <c r="C16" t="s">
        <v>80</v>
      </c>
      <c r="E16" s="7"/>
      <c r="F16" t="s">
        <v>94</v>
      </c>
      <c r="G16" s="8">
        <v>0.1</v>
      </c>
      <c r="I16" s="7">
        <f t="shared" ca="1" si="0"/>
        <v>0</v>
      </c>
      <c r="J16" s="9" cm="1">
        <f t="array" ref="J16">MAX(IF($N$3:$CT$3=$J$3,N16:CR16))</f>
        <v>0</v>
      </c>
      <c r="K16" s="9" cm="1">
        <f t="array" ref="K16">MAX(IF($N$3:$CT$3=$J$3,N16:CR16))</f>
        <v>0</v>
      </c>
      <c r="L16" s="7"/>
      <c r="O16" s="8"/>
      <c r="P16" s="8"/>
      <c r="Q16" s="8"/>
      <c r="R16" s="8"/>
      <c r="V16" s="8"/>
      <c r="W16" s="8">
        <v>0.5</v>
      </c>
      <c r="X16" s="8"/>
      <c r="Y16" s="8">
        <v>0.5</v>
      </c>
      <c r="AC16" s="8"/>
      <c r="AD16" s="8">
        <v>0.5</v>
      </c>
      <c r="AE16" s="8"/>
      <c r="AF16" s="8">
        <v>0.5</v>
      </c>
      <c r="AJ16" s="8"/>
      <c r="AK16" s="8">
        <v>0.8</v>
      </c>
      <c r="AL16" s="8"/>
      <c r="AM16" s="8">
        <v>0.8</v>
      </c>
      <c r="AQ16" s="8"/>
      <c r="AR16" s="8">
        <v>0.8</v>
      </c>
      <c r="AS16" s="8"/>
      <c r="AT16" s="8">
        <v>0.8</v>
      </c>
      <c r="AX16" s="8"/>
      <c r="AY16" s="8">
        <v>1</v>
      </c>
      <c r="AZ16" s="8"/>
      <c r="BA16" s="8">
        <v>1</v>
      </c>
      <c r="BE16" s="8"/>
      <c r="BF16" s="8"/>
      <c r="BG16" s="8"/>
      <c r="BH16" s="8"/>
      <c r="BL16" s="8"/>
      <c r="BM16" s="8"/>
    </row>
    <row r="17" spans="2:65" outlineLevel="1" x14ac:dyDescent="0.25">
      <c r="B17" t="s">
        <v>19</v>
      </c>
      <c r="C17" t="s">
        <v>80</v>
      </c>
      <c r="E17" s="7"/>
      <c r="F17" t="s">
        <v>95</v>
      </c>
      <c r="G17" s="8">
        <v>0.1</v>
      </c>
      <c r="I17" s="7">
        <f t="shared" ca="1" si="0"/>
        <v>0</v>
      </c>
      <c r="J17" s="9" cm="1">
        <f t="array" ref="J17">MAX(IF($N$3:$CT$3=$J$3,N17:CR17))</f>
        <v>0</v>
      </c>
      <c r="K17" s="9" cm="1">
        <f t="array" ref="K17">MAX(IF($N$3:$CT$3=$J$3,N17:CR17))</f>
        <v>0</v>
      </c>
      <c r="L17" s="7"/>
      <c r="O17" s="8"/>
      <c r="P17" s="8"/>
      <c r="Q17" s="8"/>
      <c r="R17" s="8"/>
      <c r="V17" s="8"/>
      <c r="W17" s="8">
        <v>0.5</v>
      </c>
      <c r="X17" s="8"/>
      <c r="Y17" s="8">
        <v>0.5</v>
      </c>
      <c r="AC17" s="8"/>
      <c r="AD17" s="8">
        <v>0.5</v>
      </c>
      <c r="AE17" s="8"/>
      <c r="AF17" s="8">
        <v>0.5</v>
      </c>
      <c r="AJ17" s="8"/>
      <c r="AK17" s="8">
        <v>0.8</v>
      </c>
      <c r="AL17" s="8"/>
      <c r="AM17" s="8">
        <v>0.8</v>
      </c>
      <c r="AQ17" s="8"/>
      <c r="AR17" s="8">
        <v>0.8</v>
      </c>
      <c r="AS17" s="8"/>
      <c r="AT17" s="8">
        <v>0.8</v>
      </c>
      <c r="AX17" s="8"/>
      <c r="AY17" s="8">
        <v>0.8</v>
      </c>
      <c r="AZ17" s="8"/>
      <c r="BA17" s="8">
        <v>0.8</v>
      </c>
      <c r="BE17" s="8"/>
      <c r="BF17" s="8">
        <v>1</v>
      </c>
      <c r="BG17" s="8"/>
      <c r="BH17" s="8">
        <v>1</v>
      </c>
      <c r="BL17" s="8"/>
      <c r="BM17" s="8"/>
    </row>
    <row r="18" spans="2:65" outlineLevel="1" x14ac:dyDescent="0.25">
      <c r="B18" t="s">
        <v>19</v>
      </c>
      <c r="C18" t="s">
        <v>80</v>
      </c>
      <c r="E18" s="7"/>
      <c r="F18" t="s">
        <v>96</v>
      </c>
      <c r="G18" s="8">
        <v>0.1</v>
      </c>
      <c r="I18" s="7">
        <f t="shared" ca="1" si="0"/>
        <v>0</v>
      </c>
      <c r="J18" s="9" cm="1">
        <f t="array" ref="J18">MAX(IF($N$3:$CT$3=$J$3,N18:CR18))</f>
        <v>0</v>
      </c>
      <c r="K18" s="9" cm="1">
        <f t="array" ref="K18">MAX(IF($N$3:$CT$3=$J$3,N18:CR18))</f>
        <v>0</v>
      </c>
      <c r="L18" s="7"/>
      <c r="O18" s="8"/>
      <c r="P18" s="8"/>
      <c r="Q18" s="8"/>
      <c r="R18" s="8"/>
      <c r="V18" s="8"/>
      <c r="W18" s="8">
        <v>0.5</v>
      </c>
      <c r="X18" s="8"/>
      <c r="Y18" s="8">
        <v>0.5</v>
      </c>
      <c r="AC18" s="8"/>
      <c r="AD18" s="8">
        <v>0.5</v>
      </c>
      <c r="AE18" s="8"/>
      <c r="AF18" s="8">
        <v>0.5</v>
      </c>
      <c r="AJ18" s="8"/>
      <c r="AK18" s="8">
        <v>0.8</v>
      </c>
      <c r="AL18" s="8"/>
      <c r="AM18" s="8">
        <v>0.8</v>
      </c>
      <c r="AQ18" s="8"/>
      <c r="AR18" s="8">
        <v>0.8</v>
      </c>
      <c r="AS18" s="8"/>
      <c r="AT18" s="8">
        <v>0.8</v>
      </c>
      <c r="AX18" s="8"/>
      <c r="AY18" s="8">
        <v>0.8</v>
      </c>
      <c r="AZ18" s="8"/>
      <c r="BA18" s="8">
        <v>0.8</v>
      </c>
      <c r="BE18" s="8"/>
      <c r="BF18" s="8">
        <v>1</v>
      </c>
      <c r="BG18" s="8"/>
      <c r="BH18" s="8">
        <v>1</v>
      </c>
      <c r="BL18" s="8"/>
      <c r="BM18" s="8"/>
    </row>
    <row r="19" spans="2:65" outlineLevel="1" x14ac:dyDescent="0.25">
      <c r="B19" t="s">
        <v>19</v>
      </c>
      <c r="C19" t="s">
        <v>80</v>
      </c>
      <c r="E19" s="7"/>
      <c r="F19" t="s">
        <v>97</v>
      </c>
      <c r="G19" s="8">
        <v>0.1</v>
      </c>
      <c r="I19" s="7">
        <f t="shared" ca="1" si="0"/>
        <v>0</v>
      </c>
      <c r="J19" s="9" cm="1">
        <f t="array" ref="J19">MAX(IF($N$3:$CT$3=$J$3,N19:CR19))</f>
        <v>0</v>
      </c>
      <c r="K19" s="9" cm="1">
        <f t="array" ref="K19">MAX(IF($N$3:$CT$3=$J$3,N19:CR19))</f>
        <v>0</v>
      </c>
      <c r="L19" s="7"/>
      <c r="O19" s="8"/>
      <c r="P19" s="8"/>
      <c r="Q19" s="8"/>
      <c r="R19" s="8"/>
      <c r="V19" s="8"/>
      <c r="W19" s="8">
        <v>0.5</v>
      </c>
      <c r="X19" s="8"/>
      <c r="Y19" s="8">
        <v>0.5</v>
      </c>
      <c r="AC19" s="8"/>
      <c r="AD19" s="8">
        <v>0.5</v>
      </c>
      <c r="AE19" s="8"/>
      <c r="AF19" s="8">
        <v>0.5</v>
      </c>
      <c r="AJ19" s="8"/>
      <c r="AK19" s="8">
        <v>0.5</v>
      </c>
      <c r="AL19" s="8"/>
      <c r="AM19" s="8">
        <v>0.5</v>
      </c>
      <c r="AQ19" s="8"/>
      <c r="AR19" s="8">
        <v>0.8</v>
      </c>
      <c r="AS19" s="8"/>
      <c r="AT19" s="8">
        <v>0.8</v>
      </c>
      <c r="AX19" s="8"/>
      <c r="AY19" s="8">
        <v>0.8</v>
      </c>
      <c r="AZ19" s="8"/>
      <c r="BA19" s="8">
        <v>0.8</v>
      </c>
      <c r="BE19" s="8"/>
      <c r="BF19" s="8">
        <v>1</v>
      </c>
      <c r="BG19" s="8"/>
      <c r="BH19" s="8">
        <v>1</v>
      </c>
      <c r="BL19" s="8"/>
      <c r="BM19" s="8"/>
    </row>
    <row r="20" spans="2:65" outlineLevel="1" x14ac:dyDescent="0.25">
      <c r="B20" t="s">
        <v>19</v>
      </c>
      <c r="C20" t="s">
        <v>80</v>
      </c>
      <c r="E20" s="7"/>
      <c r="F20" t="s">
        <v>98</v>
      </c>
      <c r="G20" s="8">
        <v>0.1</v>
      </c>
      <c r="I20" s="7">
        <f t="shared" ca="1" si="0"/>
        <v>0</v>
      </c>
      <c r="J20" s="9" cm="1">
        <f t="array" ref="J20">MAX(IF($N$3:$CT$3=$J$3,N20:CR20))</f>
        <v>0</v>
      </c>
      <c r="K20" s="9" cm="1">
        <f t="array" ref="K20">MAX(IF($N$3:$CT$3=$J$3,N20:CR20))</f>
        <v>0</v>
      </c>
      <c r="L20" s="7"/>
      <c r="O20" s="8"/>
      <c r="P20" s="8"/>
      <c r="Q20" s="8"/>
      <c r="R20" s="8"/>
      <c r="V20" s="8"/>
      <c r="W20" s="8"/>
      <c r="X20" s="8"/>
      <c r="Y20" s="8"/>
      <c r="AC20" s="8"/>
      <c r="AD20" s="8">
        <v>0.5</v>
      </c>
      <c r="AE20" s="8"/>
      <c r="AF20" s="8">
        <v>0.5</v>
      </c>
      <c r="AJ20" s="8"/>
      <c r="AK20" s="8">
        <v>0.5</v>
      </c>
      <c r="AL20" s="8"/>
      <c r="AM20" s="8">
        <v>0.5</v>
      </c>
      <c r="AQ20" s="8"/>
      <c r="AR20" s="8">
        <v>0.8</v>
      </c>
      <c r="AS20" s="8"/>
      <c r="AT20" s="8">
        <v>0.8</v>
      </c>
      <c r="AX20" s="8"/>
      <c r="AY20" s="8">
        <v>0.8</v>
      </c>
      <c r="AZ20" s="8"/>
      <c r="BA20" s="8">
        <v>0.8</v>
      </c>
      <c r="BE20" s="8"/>
      <c r="BF20" s="8">
        <v>1</v>
      </c>
      <c r="BG20" s="8"/>
      <c r="BH20" s="8">
        <v>1</v>
      </c>
      <c r="BL20" s="8"/>
      <c r="BM20" s="8"/>
    </row>
    <row r="21" spans="2:65" outlineLevel="1" x14ac:dyDescent="0.25">
      <c r="B21" t="s">
        <v>19</v>
      </c>
      <c r="C21" t="s">
        <v>80</v>
      </c>
      <c r="E21" s="7"/>
      <c r="F21" t="s">
        <v>99</v>
      </c>
      <c r="G21" s="8">
        <v>0.1</v>
      </c>
      <c r="I21" s="7">
        <f t="shared" ca="1" si="0"/>
        <v>0</v>
      </c>
      <c r="J21" s="9" cm="1">
        <f t="array" ref="J21">MAX(IF($N$3:$CT$3=$J$3,N21:CR21))</f>
        <v>0</v>
      </c>
      <c r="K21" s="9" cm="1">
        <f t="array" ref="K21">MAX(IF($N$3:$CT$3=$J$3,N21:CR21))</f>
        <v>0</v>
      </c>
      <c r="L21" s="7"/>
      <c r="O21" s="8"/>
      <c r="P21" s="8"/>
      <c r="Q21" s="8"/>
      <c r="R21" s="8"/>
      <c r="V21" s="8"/>
      <c r="W21" s="8"/>
      <c r="X21" s="8"/>
      <c r="Y21" s="8"/>
      <c r="AD21" s="8">
        <v>0.5</v>
      </c>
      <c r="AE21" s="8"/>
      <c r="AF21" s="8">
        <v>0.5</v>
      </c>
      <c r="AJ21" s="8"/>
      <c r="AK21" s="8">
        <v>0.5</v>
      </c>
      <c r="AL21" s="8"/>
      <c r="AM21" s="8">
        <v>0.5</v>
      </c>
      <c r="AQ21" s="8"/>
      <c r="AR21" s="8">
        <v>0.8</v>
      </c>
      <c r="AS21" s="8"/>
      <c r="AT21" s="8">
        <v>0.8</v>
      </c>
      <c r="AX21" s="8"/>
      <c r="AY21" s="8">
        <v>0.8</v>
      </c>
      <c r="AZ21" s="8"/>
      <c r="BA21" s="8">
        <v>0.8</v>
      </c>
      <c r="BE21" s="8"/>
      <c r="BF21" s="8">
        <v>1</v>
      </c>
      <c r="BG21" s="8"/>
      <c r="BH21" s="8">
        <v>1</v>
      </c>
      <c r="BL21" s="8"/>
      <c r="BM21" s="8"/>
    </row>
    <row r="23" spans="2:65" x14ac:dyDescent="0.25">
      <c r="B23" t="s">
        <v>89</v>
      </c>
      <c r="C23" t="s">
        <v>81</v>
      </c>
      <c r="D23" s="17">
        <v>45418</v>
      </c>
      <c r="E23" s="7">
        <v>4</v>
      </c>
      <c r="G23" s="8">
        <f>+SUM(G24:G28)</f>
        <v>1</v>
      </c>
      <c r="I23" s="10">
        <f ca="1">+SUM(I24:I28)</f>
        <v>0</v>
      </c>
      <c r="J23" s="9">
        <f>+SUMPRODUCT(G24:G28,J24:J28)</f>
        <v>0</v>
      </c>
      <c r="K23" s="9">
        <f>+SUMPRODUCT(G24:G28,K24:K28)</f>
        <v>0</v>
      </c>
      <c r="L23" s="7"/>
      <c r="N23" s="10"/>
      <c r="U23" s="10">
        <f>+SUM(U24:U28)</f>
        <v>0</v>
      </c>
      <c r="AB23" s="10">
        <f>+SUM(AB24:AB28)</f>
        <v>0</v>
      </c>
      <c r="AI23" s="10">
        <f>+SUM(AI24:AI28)</f>
        <v>0</v>
      </c>
      <c r="AP23" s="10">
        <f>+SUM(AP24:AP28)</f>
        <v>0</v>
      </c>
    </row>
    <row r="24" spans="2:65" outlineLevel="1" x14ac:dyDescent="0.25">
      <c r="B24" t="s">
        <v>19</v>
      </c>
      <c r="C24" t="s">
        <v>81</v>
      </c>
      <c r="E24" s="7"/>
      <c r="F24" t="s">
        <v>100</v>
      </c>
      <c r="G24" s="8">
        <v>0.25</v>
      </c>
      <c r="I24" s="7">
        <f ca="1">+SUMIF($N$3:$YL$3,I$3,$N24:$YJ24)</f>
        <v>0</v>
      </c>
      <c r="J24" s="9" cm="1">
        <f t="array" ref="J24">MAX(IF($N$3:$CT$3=$J$3,N24:CR24))</f>
        <v>0</v>
      </c>
      <c r="K24" s="9" cm="1">
        <f t="array" ref="K24">MAX(IF($N$3:$CT$3=$J$3,N24:CR24))</f>
        <v>0</v>
      </c>
      <c r="L24" s="7"/>
      <c r="O24" s="8"/>
      <c r="P24" s="8">
        <v>0.5</v>
      </c>
      <c r="Q24" s="8"/>
      <c r="R24" s="8">
        <v>0.5</v>
      </c>
      <c r="V24" s="8"/>
      <c r="W24" s="8">
        <v>0.8</v>
      </c>
      <c r="X24" s="8"/>
      <c r="Y24" s="8">
        <v>0.8</v>
      </c>
      <c r="AC24" s="8"/>
      <c r="AD24" s="8">
        <v>0.8</v>
      </c>
      <c r="AE24" s="8"/>
      <c r="AF24" s="8">
        <v>0.8</v>
      </c>
      <c r="AJ24" s="8"/>
      <c r="AK24" s="8">
        <v>1</v>
      </c>
      <c r="AL24" s="8"/>
      <c r="AM24" s="8">
        <v>1</v>
      </c>
      <c r="AQ24" s="8"/>
      <c r="AR24" s="8">
        <v>1</v>
      </c>
      <c r="AS24" s="8"/>
      <c r="AT24" s="8">
        <v>1</v>
      </c>
      <c r="AX24" s="8"/>
      <c r="AY24" s="8">
        <v>1</v>
      </c>
      <c r="AZ24" s="8"/>
      <c r="BA24" s="8">
        <v>1</v>
      </c>
      <c r="BE24" s="8"/>
      <c r="BF24" s="8"/>
      <c r="BG24" s="8"/>
      <c r="BH24" s="8"/>
      <c r="BL24" s="8"/>
      <c r="BM24" s="8"/>
    </row>
    <row r="25" spans="2:65" outlineLevel="1" x14ac:dyDescent="0.25">
      <c r="B25" t="s">
        <v>19</v>
      </c>
      <c r="C25" t="s">
        <v>81</v>
      </c>
      <c r="E25" s="7"/>
      <c r="F25" t="s">
        <v>101</v>
      </c>
      <c r="G25" s="8">
        <v>0.2</v>
      </c>
      <c r="I25" s="7">
        <f ca="1">+SUMIF($N$3:$YL$3,I$3,$N25:$YJ25)</f>
        <v>0</v>
      </c>
      <c r="J25" s="9" cm="1">
        <f t="array" ref="J25">MAX(IF($N$3:$CT$3=$J$3,N25:CR25))</f>
        <v>0</v>
      </c>
      <c r="K25" s="9" cm="1">
        <f t="array" ref="K25">MAX(IF($N$3:$CT$3=$J$3,N25:CR25))</f>
        <v>0</v>
      </c>
      <c r="L25" s="7"/>
      <c r="O25" s="8"/>
      <c r="P25" s="8">
        <v>0.5</v>
      </c>
      <c r="Q25" s="8"/>
      <c r="R25" s="8">
        <v>0.5</v>
      </c>
      <c r="V25" s="8"/>
      <c r="W25" s="8">
        <v>0.5</v>
      </c>
      <c r="X25" s="8"/>
      <c r="Y25" s="8">
        <v>0.5</v>
      </c>
      <c r="AC25" s="8"/>
      <c r="AD25" s="8">
        <v>0.8</v>
      </c>
      <c r="AE25" s="8"/>
      <c r="AF25" s="8">
        <v>0.8</v>
      </c>
      <c r="AJ25" s="8"/>
      <c r="AK25" s="8">
        <v>1</v>
      </c>
      <c r="AL25" s="8"/>
      <c r="AM25" s="8">
        <v>1</v>
      </c>
      <c r="AQ25" s="8"/>
      <c r="AR25" s="8">
        <v>1</v>
      </c>
      <c r="AS25" s="8"/>
      <c r="AT25" s="8">
        <v>1</v>
      </c>
      <c r="AX25" s="8"/>
      <c r="AY25" s="8">
        <v>1</v>
      </c>
      <c r="AZ25" s="8"/>
      <c r="BA25" s="8">
        <v>1</v>
      </c>
      <c r="BE25" s="8"/>
      <c r="BF25" s="8"/>
      <c r="BG25" s="8"/>
      <c r="BH25" s="8"/>
      <c r="BL25" s="8"/>
      <c r="BM25" s="8"/>
    </row>
    <row r="26" spans="2:65" outlineLevel="1" x14ac:dyDescent="0.25">
      <c r="B26" t="s">
        <v>19</v>
      </c>
      <c r="C26" t="s">
        <v>81</v>
      </c>
      <c r="E26" s="7"/>
      <c r="F26" t="s">
        <v>102</v>
      </c>
      <c r="G26" s="8">
        <v>0.15</v>
      </c>
      <c r="I26" s="7">
        <f ca="1">+SUMIF($N$3:$YL$3,I$3,$N26:$YJ26)</f>
        <v>0</v>
      </c>
      <c r="J26" s="9" cm="1">
        <f t="array" ref="J26">MAX(IF($N$3:$CT$3=$J$3,N26:CR26))</f>
        <v>0</v>
      </c>
      <c r="K26" s="9" cm="1">
        <f t="array" ref="K26">MAX(IF($N$3:$CT$3=$J$3,N26:CR26))</f>
        <v>0</v>
      </c>
      <c r="L26" s="7"/>
      <c r="O26" s="8"/>
      <c r="P26" s="8">
        <v>0.5</v>
      </c>
      <c r="Q26" s="8"/>
      <c r="R26" s="8">
        <v>0.5</v>
      </c>
      <c r="V26" s="8"/>
      <c r="W26" s="8">
        <v>0.5</v>
      </c>
      <c r="X26" s="8"/>
      <c r="Y26" s="8">
        <v>0.5</v>
      </c>
      <c r="AC26" s="8"/>
      <c r="AD26" s="8">
        <v>0.8</v>
      </c>
      <c r="AE26" s="8"/>
      <c r="AF26" s="8">
        <v>0.8</v>
      </c>
      <c r="AJ26" s="8"/>
      <c r="AK26" s="8">
        <v>0.8</v>
      </c>
      <c r="AL26" s="8"/>
      <c r="AM26" s="8">
        <v>0.8</v>
      </c>
      <c r="AQ26" s="8"/>
      <c r="AR26" s="8">
        <v>1</v>
      </c>
      <c r="AS26" s="8"/>
      <c r="AT26" s="8">
        <v>1</v>
      </c>
      <c r="AX26" s="8"/>
      <c r="AY26" s="8">
        <v>1</v>
      </c>
      <c r="AZ26" s="8"/>
      <c r="BA26" s="8">
        <v>1</v>
      </c>
      <c r="BE26" s="8"/>
      <c r="BF26" s="8"/>
      <c r="BG26" s="8"/>
      <c r="BH26" s="8"/>
      <c r="BL26" s="8"/>
      <c r="BM26" s="8"/>
    </row>
    <row r="27" spans="2:65" outlineLevel="1" x14ac:dyDescent="0.25">
      <c r="B27" t="s">
        <v>19</v>
      </c>
      <c r="C27" t="s">
        <v>81</v>
      </c>
      <c r="E27" s="7"/>
      <c r="F27" t="s">
        <v>103</v>
      </c>
      <c r="G27" s="8">
        <v>0.2</v>
      </c>
      <c r="I27" s="7">
        <f ca="1">+SUMIF($N$3:$YL$3,I$3,$N27:$YJ27)</f>
        <v>0</v>
      </c>
      <c r="J27" s="9" cm="1">
        <f t="array" ref="J27">MAX(IF($N$3:$CT$3=$J$3,N27:CR27))</f>
        <v>0</v>
      </c>
      <c r="K27" s="9" cm="1">
        <f t="array" ref="K27">MAX(IF($N$3:$CT$3=$J$3,N27:CR27))</f>
        <v>0</v>
      </c>
      <c r="L27" s="7"/>
      <c r="O27" s="8"/>
      <c r="P27" s="8"/>
      <c r="Q27" s="8"/>
      <c r="R27" s="8"/>
      <c r="V27" s="8"/>
      <c r="W27" s="8">
        <v>0.5</v>
      </c>
      <c r="X27" s="8"/>
      <c r="Y27" s="8">
        <v>0.5</v>
      </c>
      <c r="AC27" s="8"/>
      <c r="AD27" s="8">
        <v>0.8</v>
      </c>
      <c r="AE27" s="8"/>
      <c r="AF27" s="8">
        <v>0.8</v>
      </c>
      <c r="AJ27" s="8"/>
      <c r="AK27" s="8">
        <v>0.8</v>
      </c>
      <c r="AL27" s="8"/>
      <c r="AM27" s="8">
        <v>0.8</v>
      </c>
      <c r="AQ27" s="8"/>
      <c r="AR27" s="8">
        <v>0.8</v>
      </c>
      <c r="AS27" s="8"/>
      <c r="AT27" s="8">
        <v>0.8</v>
      </c>
      <c r="AX27" s="8"/>
      <c r="AY27" s="8">
        <v>1</v>
      </c>
      <c r="AZ27" s="8"/>
      <c r="BA27" s="8">
        <v>1</v>
      </c>
      <c r="BE27" s="8"/>
      <c r="BF27" s="8"/>
      <c r="BG27" s="8"/>
      <c r="BH27" s="8"/>
      <c r="BL27" s="8"/>
      <c r="BM27" s="8"/>
    </row>
    <row r="28" spans="2:65" outlineLevel="1" x14ac:dyDescent="0.25">
      <c r="B28" t="s">
        <v>19</v>
      </c>
      <c r="C28" t="s">
        <v>81</v>
      </c>
      <c r="E28" s="7"/>
      <c r="F28" t="s">
        <v>104</v>
      </c>
      <c r="G28" s="8">
        <v>0.2</v>
      </c>
      <c r="I28" s="7">
        <f ca="1">+SUMIF($N$3:$YL$3,I$3,$N28:$YJ28)</f>
        <v>0</v>
      </c>
      <c r="J28" s="9" cm="1">
        <f t="array" ref="J28">MAX(IF($N$3:$CT$3=$J$3,N28:CR28))</f>
        <v>0</v>
      </c>
      <c r="K28" s="9" cm="1">
        <f t="array" ref="K28">MAX(IF($N$3:$CT$3=$J$3,N28:CR28))</f>
        <v>0</v>
      </c>
      <c r="L28" s="7"/>
      <c r="O28" s="8"/>
      <c r="P28" s="8"/>
      <c r="Q28" s="8"/>
      <c r="R28" s="8"/>
      <c r="V28" s="8"/>
      <c r="W28" s="8">
        <v>0.5</v>
      </c>
      <c r="X28" s="8"/>
      <c r="Y28" s="8">
        <v>0.5</v>
      </c>
      <c r="AC28" s="8"/>
      <c r="AD28" s="8">
        <v>0.5</v>
      </c>
      <c r="AE28" s="8"/>
      <c r="AF28" s="8">
        <v>0.5</v>
      </c>
      <c r="AJ28" s="8"/>
      <c r="AK28" s="8">
        <v>0.8</v>
      </c>
      <c r="AL28" s="8"/>
      <c r="AM28" s="8">
        <v>0.8</v>
      </c>
      <c r="AQ28" s="8"/>
      <c r="AR28" s="8">
        <v>0.8</v>
      </c>
      <c r="AS28" s="8"/>
      <c r="AT28" s="8">
        <v>0.8</v>
      </c>
      <c r="AX28" s="8"/>
      <c r="AY28" s="8">
        <v>1</v>
      </c>
      <c r="AZ28" s="8"/>
      <c r="BA28" s="8">
        <v>1</v>
      </c>
      <c r="BE28" s="8"/>
      <c r="BF28" s="8"/>
      <c r="BG28" s="8"/>
      <c r="BH28" s="8"/>
      <c r="BL28" s="8"/>
      <c r="BM28" s="8"/>
    </row>
  </sheetData>
  <mergeCells count="9">
    <mergeCell ref="BK2:BP2"/>
    <mergeCell ref="I2:L2"/>
    <mergeCell ref="N2:S2"/>
    <mergeCell ref="BD2:BI2"/>
    <mergeCell ref="U2:Z2"/>
    <mergeCell ref="AB2:AG2"/>
    <mergeCell ref="AI2:AN2"/>
    <mergeCell ref="AP2:AU2"/>
    <mergeCell ref="AW2:BB2"/>
  </mergeCells>
  <phoneticPr fontId="5" type="noConversion"/>
  <conditionalFormatting sqref="J5:J9">
    <cfRule type="colorScale" priority="773">
      <colorScale>
        <cfvo type="percent" val="0"/>
        <cfvo type="percent" val="100"/>
        <color rgb="FFFF231B"/>
        <color rgb="FF10FF07"/>
      </colorScale>
    </cfRule>
  </conditionalFormatting>
  <conditionalFormatting sqref="J12:J21">
    <cfRule type="colorScale" priority="767">
      <colorScale>
        <cfvo type="percent" val="0"/>
        <cfvo type="percent" val="100"/>
        <color rgb="FFFF231B"/>
        <color rgb="FF10FF07"/>
      </colorScale>
    </cfRule>
  </conditionalFormatting>
  <conditionalFormatting sqref="J24:J28">
    <cfRule type="colorScale" priority="770">
      <colorScale>
        <cfvo type="percent" val="0"/>
        <cfvo type="percent" val="100"/>
        <color rgb="FFFF231B"/>
        <color rgb="FF10FF07"/>
      </colorScale>
    </cfRule>
  </conditionalFormatting>
  <conditionalFormatting sqref="J6:K9">
    <cfRule type="colorScale" priority="774">
      <colorScale>
        <cfvo type="percent" val="0"/>
        <cfvo type="percent" val="100"/>
        <color rgb="FFFF231B"/>
        <color rgb="FF10FF07"/>
      </colorScale>
    </cfRule>
  </conditionalFormatting>
  <conditionalFormatting sqref="J13:K21">
    <cfRule type="colorScale" priority="766">
      <colorScale>
        <cfvo type="percent" val="0"/>
        <cfvo type="percent" val="100"/>
        <color rgb="FFFF231B"/>
        <color rgb="FF10FF07"/>
      </colorScale>
    </cfRule>
  </conditionalFormatting>
  <conditionalFormatting sqref="J25:K28">
    <cfRule type="colorScale" priority="771">
      <colorScale>
        <cfvo type="percent" val="0"/>
        <cfvo type="percent" val="100"/>
        <color rgb="FFFF231B"/>
        <color rgb="FF10FF07"/>
      </colorScale>
    </cfRule>
  </conditionalFormatting>
  <conditionalFormatting sqref="K5:K9">
    <cfRule type="colorScale" priority="775">
      <colorScale>
        <cfvo type="percent" val="0"/>
        <cfvo type="percent" val="100"/>
        <color rgb="FFFF231B"/>
        <color rgb="FF10FF07"/>
      </colorScale>
    </cfRule>
  </conditionalFormatting>
  <conditionalFormatting sqref="K12:K21">
    <cfRule type="colorScale" priority="769">
      <colorScale>
        <cfvo type="percent" val="0"/>
        <cfvo type="percent" val="100"/>
        <color rgb="FFFF231B"/>
        <color rgb="FF10FF07"/>
      </colorScale>
    </cfRule>
  </conditionalFormatting>
  <conditionalFormatting sqref="K24:K28">
    <cfRule type="colorScale" priority="772">
      <colorScale>
        <cfvo type="percent" val="0"/>
        <cfvo type="percent" val="100"/>
        <color rgb="FFFF231B"/>
        <color rgb="FF10FF07"/>
      </colorScale>
    </cfRule>
  </conditionalFormatting>
  <conditionalFormatting sqref="V5:V9 X5:X9 AC5:AC9 AE5:AE9 AJ5:AJ9 AL5:AL9 AQ5:AQ9 AS5:AS9 AX5:AX9 AZ5:AZ9 BH5:BH9 BJ5:BJ9 O24:O28 Q24:Q28 V24:V28 X24:X28 AC24:AC28 AE24:AE28 AJ24:AJ28 AL24:AL28 AQ24:AQ28 AS24:AS28 AX24:AX28 AZ24:AZ28 BE24:BE28 BG24:BG28 BL24:BL28 Q5:Q6 Q9 O5:O7 AC12:AC19">
    <cfRule type="expression" dxfId="17" priority="523">
      <formula>OR(IF(O5&lt;P5,TRUE),IF(AND(P5="",O5&lt;&gt;""),TRUE))</formula>
    </cfRule>
    <cfRule type="expression" dxfId="16" priority="524">
      <formula>IF(O5&gt;=P5,IF(O5="",FALSE,TRUE))</formula>
    </cfRule>
  </conditionalFormatting>
  <conditionalFormatting sqref="O12:O21 Q12:Q21 V12:V21 X12:X21 AE12:AE21 AJ12:AJ21 AL12:AL21 AQ12:AQ21 AS12:AS21 AX12:AX21 AZ12:AZ21 BE12:BE21 BG12:BG21 BL12:BL21">
    <cfRule type="expression" dxfId="15" priority="582">
      <formula>OR(IF(O12&lt;P12,TRUE),IF(AND(P12="",O12&lt;&gt;""),TRUE))</formula>
    </cfRule>
    <cfRule type="expression" dxfId="14" priority="583">
      <formula>IF(O12&gt;=P12,IF(O12="",FALSE,TRUE))</formula>
    </cfRule>
  </conditionalFormatting>
  <conditionalFormatting sqref="AC20">
    <cfRule type="expression" dxfId="1" priority="778">
      <formula>OR(IF(AC20&lt;AD21,TRUE),IF(AND(AD21="",AC20&lt;&gt;""),TRUE))</formula>
    </cfRule>
    <cfRule type="expression" dxfId="0" priority="779">
      <formula>IF(AC20&gt;=AD21,IF(AC20="",FALSE,TRUE))</formula>
    </cfRule>
  </conditionalFormatting>
  <dataValidations count="1">
    <dataValidation type="list" allowBlank="1" showInputMessage="1" showErrorMessage="1" sqref="AC5:AF9 BH5:BK9 AQ5:AT9 AQ12:AT21 AC12:AF19 P8 BL12:BM21 AX5:BA9 AX12:BA21 AX24:BA28 V24:Y28 O12:R21 AJ5:AM9 BL24:BM28 BE12:BH21 BE24:BH28 AQ24:AT28 AC24:AF28 V5:Y9 O24:R28 AJ24:AM28 R8 P9:R9 O5:R7 V12:Y21 AC20:AD20 AD21 AE20:AF21 AJ12:AM21"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55"/>
  <sheetViews>
    <sheetView workbookViewId="0">
      <selection activeCell="B9" sqref="B9"/>
    </sheetView>
  </sheetViews>
  <sheetFormatPr baseColWidth="10" defaultColWidth="10.625" defaultRowHeight="15.75" x14ac:dyDescent="0.25"/>
  <cols>
    <col min="1" max="1" width="16.875" style="7" customWidth="1"/>
    <col min="2" max="2" width="19.125" style="7" customWidth="1"/>
    <col min="3" max="3" width="18.125" style="7" customWidth="1"/>
    <col min="4" max="4" width="19.5" style="7" customWidth="1"/>
    <col min="8" max="8" width="15.125" customWidth="1"/>
    <col min="10" max="10" width="42" customWidth="1"/>
    <col min="11" max="11" width="28.5" customWidth="1"/>
  </cols>
  <sheetData>
    <row r="1" spans="1:11" ht="31.5" x14ac:dyDescent="0.25">
      <c r="A1" s="7" t="s">
        <v>32</v>
      </c>
      <c r="B1" s="13" t="s">
        <v>29</v>
      </c>
      <c r="C1" s="13" t="s">
        <v>30</v>
      </c>
      <c r="D1" s="13" t="s">
        <v>31</v>
      </c>
      <c r="E1" s="1" t="s">
        <v>33</v>
      </c>
      <c r="F1" s="1" t="s">
        <v>34</v>
      </c>
      <c r="G1" s="1" t="s">
        <v>35</v>
      </c>
      <c r="H1" s="1" t="s">
        <v>36</v>
      </c>
      <c r="I1" s="1" t="s">
        <v>37</v>
      </c>
      <c r="J1" s="1" t="s">
        <v>38</v>
      </c>
      <c r="K1" s="1" t="s">
        <v>39</v>
      </c>
    </row>
    <row r="2" spans="1:11" x14ac:dyDescent="0.25">
      <c r="A2" s="12">
        <v>45369</v>
      </c>
      <c r="B2" s="7" t="s">
        <v>121</v>
      </c>
      <c r="C2" s="7" t="s">
        <v>122</v>
      </c>
      <c r="D2" s="9">
        <v>1</v>
      </c>
    </row>
    <row r="3" spans="1:11" x14ac:dyDescent="0.25">
      <c r="A3" s="12">
        <v>45370</v>
      </c>
      <c r="C3" s="7" t="s">
        <v>122</v>
      </c>
    </row>
    <row r="4" spans="1:11" x14ac:dyDescent="0.25">
      <c r="A4" s="12">
        <v>45371</v>
      </c>
      <c r="C4" s="7" t="s">
        <v>122</v>
      </c>
    </row>
    <row r="5" spans="1:11" x14ac:dyDescent="0.25">
      <c r="A5" s="12">
        <v>45372</v>
      </c>
      <c r="C5" s="7" t="s">
        <v>122</v>
      </c>
    </row>
    <row r="6" spans="1:11" x14ac:dyDescent="0.25">
      <c r="A6" s="12">
        <v>45373</v>
      </c>
      <c r="C6" s="7" t="s">
        <v>122</v>
      </c>
    </row>
    <row r="7" spans="1:11" x14ac:dyDescent="0.25">
      <c r="A7" s="12">
        <v>45374</v>
      </c>
      <c r="C7" s="7" t="s">
        <v>122</v>
      </c>
    </row>
    <row r="8" spans="1:11" x14ac:dyDescent="0.25">
      <c r="A8" s="12">
        <v>45375</v>
      </c>
      <c r="C8" s="7" t="s">
        <v>122</v>
      </c>
    </row>
    <row r="9" spans="1:11" x14ac:dyDescent="0.25">
      <c r="A9" s="12">
        <v>45376</v>
      </c>
    </row>
    <row r="10" spans="1:11" x14ac:dyDescent="0.25">
      <c r="A10" s="12">
        <v>45377</v>
      </c>
    </row>
    <row r="11" spans="1:11" x14ac:dyDescent="0.25">
      <c r="A11" s="12">
        <v>45378</v>
      </c>
    </row>
    <row r="12" spans="1:11" x14ac:dyDescent="0.25">
      <c r="A12" s="12">
        <v>45379</v>
      </c>
    </row>
    <row r="13" spans="1:11" x14ac:dyDescent="0.25">
      <c r="A13" s="12">
        <v>45380</v>
      </c>
    </row>
    <row r="14" spans="1:11" x14ac:dyDescent="0.25">
      <c r="A14" s="12">
        <v>45381</v>
      </c>
    </row>
    <row r="15" spans="1:11" x14ac:dyDescent="0.25">
      <c r="A15" s="12">
        <v>45382</v>
      </c>
    </row>
    <row r="16" spans="1:11" x14ac:dyDescent="0.25">
      <c r="A16" s="12">
        <v>45383</v>
      </c>
    </row>
    <row r="17" spans="1:1" x14ac:dyDescent="0.25">
      <c r="A17" s="12">
        <v>45384</v>
      </c>
    </row>
    <row r="18" spans="1:1" x14ac:dyDescent="0.25">
      <c r="A18" s="12">
        <v>45385</v>
      </c>
    </row>
    <row r="19" spans="1:1" x14ac:dyDescent="0.25">
      <c r="A19" s="12">
        <v>45386</v>
      </c>
    </row>
    <row r="20" spans="1:1" x14ac:dyDescent="0.25">
      <c r="A20" s="12">
        <v>45387</v>
      </c>
    </row>
    <row r="21" spans="1:1" x14ac:dyDescent="0.25">
      <c r="A21" s="12">
        <v>45388</v>
      </c>
    </row>
    <row r="22" spans="1:1" x14ac:dyDescent="0.25">
      <c r="A22" s="12">
        <v>45389</v>
      </c>
    </row>
    <row r="23" spans="1:1" x14ac:dyDescent="0.25">
      <c r="A23" s="12">
        <v>45390</v>
      </c>
    </row>
    <row r="24" spans="1:1" x14ac:dyDescent="0.25">
      <c r="A24" s="12">
        <v>45391</v>
      </c>
    </row>
    <row r="25" spans="1:1" x14ac:dyDescent="0.25">
      <c r="A25" s="12">
        <v>45392</v>
      </c>
    </row>
    <row r="26" spans="1:1" x14ac:dyDescent="0.25">
      <c r="A26" s="12">
        <v>45393</v>
      </c>
    </row>
    <row r="27" spans="1:1" x14ac:dyDescent="0.25">
      <c r="A27" s="12">
        <v>45394</v>
      </c>
    </row>
    <row r="28" spans="1:1" x14ac:dyDescent="0.25">
      <c r="A28" s="12">
        <v>45395</v>
      </c>
    </row>
    <row r="29" spans="1:1" x14ac:dyDescent="0.25">
      <c r="A29" s="12">
        <v>45396</v>
      </c>
    </row>
    <row r="30" spans="1:1" x14ac:dyDescent="0.25">
      <c r="A30" s="12">
        <v>45397</v>
      </c>
    </row>
    <row r="31" spans="1:1" x14ac:dyDescent="0.25">
      <c r="A31" s="12">
        <v>45398</v>
      </c>
    </row>
    <row r="32" spans="1:1" x14ac:dyDescent="0.25">
      <c r="A32" s="12">
        <v>45399</v>
      </c>
    </row>
    <row r="33" spans="1:1" x14ac:dyDescent="0.25">
      <c r="A33" s="12">
        <v>45400</v>
      </c>
    </row>
    <row r="34" spans="1:1" x14ac:dyDescent="0.25">
      <c r="A34" s="12">
        <v>45401</v>
      </c>
    </row>
    <row r="35" spans="1:1" x14ac:dyDescent="0.25">
      <c r="A35" s="12">
        <v>45402</v>
      </c>
    </row>
    <row r="36" spans="1:1" x14ac:dyDescent="0.25">
      <c r="A36" s="12">
        <v>45403</v>
      </c>
    </row>
    <row r="37" spans="1:1" x14ac:dyDescent="0.25">
      <c r="A37" s="12">
        <v>45404</v>
      </c>
    </row>
    <row r="38" spans="1:1" x14ac:dyDescent="0.25">
      <c r="A38" s="12">
        <v>45405</v>
      </c>
    </row>
    <row r="39" spans="1:1" x14ac:dyDescent="0.25">
      <c r="A39" s="12">
        <v>45406</v>
      </c>
    </row>
    <row r="40" spans="1:1" x14ac:dyDescent="0.25">
      <c r="A40" s="12">
        <v>45407</v>
      </c>
    </row>
    <row r="41" spans="1:1" x14ac:dyDescent="0.25">
      <c r="A41" s="12">
        <v>45408</v>
      </c>
    </row>
    <row r="42" spans="1:1" x14ac:dyDescent="0.25">
      <c r="A42" s="12">
        <v>45409</v>
      </c>
    </row>
    <row r="43" spans="1:1" x14ac:dyDescent="0.25">
      <c r="A43" s="12">
        <v>45410</v>
      </c>
    </row>
    <row r="44" spans="1:1" x14ac:dyDescent="0.25">
      <c r="A44" s="12">
        <v>45411</v>
      </c>
    </row>
    <row r="45" spans="1:1" x14ac:dyDescent="0.25">
      <c r="A45" s="12">
        <v>45412</v>
      </c>
    </row>
    <row r="46" spans="1:1" x14ac:dyDescent="0.25">
      <c r="A46" s="12">
        <v>45413</v>
      </c>
    </row>
    <row r="47" spans="1:1" x14ac:dyDescent="0.25">
      <c r="A47" s="12">
        <v>45414</v>
      </c>
    </row>
    <row r="48" spans="1:1" x14ac:dyDescent="0.25">
      <c r="A48" s="12">
        <v>45415</v>
      </c>
    </row>
    <row r="49" spans="1:1" x14ac:dyDescent="0.25">
      <c r="A49" s="12">
        <v>45416</v>
      </c>
    </row>
    <row r="50" spans="1:1" x14ac:dyDescent="0.25">
      <c r="A50" s="12">
        <v>45417</v>
      </c>
    </row>
    <row r="51" spans="1:1" x14ac:dyDescent="0.25">
      <c r="A51" s="12">
        <v>45418</v>
      </c>
    </row>
    <row r="52" spans="1:1" x14ac:dyDescent="0.25">
      <c r="A52" s="12">
        <v>45419</v>
      </c>
    </row>
    <row r="53" spans="1:1" x14ac:dyDescent="0.25">
      <c r="A53" s="12">
        <v>45420</v>
      </c>
    </row>
    <row r="54" spans="1:1" x14ac:dyDescent="0.25">
      <c r="A54" s="12">
        <v>45421</v>
      </c>
    </row>
    <row r="55" spans="1:1" x14ac:dyDescent="0.25">
      <c r="A55" s="12">
        <v>45422</v>
      </c>
    </row>
  </sheetData>
  <conditionalFormatting sqref="B2:B55">
    <cfRule type="cellIs" dxfId="13" priority="4" operator="equal">
      <formula>"Ja"</formula>
    </cfRule>
    <cfRule type="cellIs" dxfId="12" priority="14" operator="equal">
      <formula>"Ja"</formula>
    </cfRule>
    <cfRule type="cellIs" dxfId="11" priority="15" operator="equal">
      <formula>"Nein"</formula>
    </cfRule>
  </conditionalFormatting>
  <conditionalFormatting sqref="C2:C55">
    <cfRule type="cellIs" dxfId="10" priority="1" operator="equal">
      <formula>"Ja"</formula>
    </cfRule>
    <cfRule type="cellIs" dxfId="9" priority="2" operator="equal">
      <formula>"Ja"</formula>
    </cfRule>
    <cfRule type="cellIs" dxfId="8" priority="3" operator="equal">
      <formula>"Nein"</formula>
    </cfRule>
  </conditionalFormatting>
  <conditionalFormatting sqref="D2">
    <cfRule type="cellIs" dxfId="7" priority="6" operator="equal">
      <formula>1</formula>
    </cfRule>
    <cfRule type="cellIs" dxfId="6" priority="7" operator="equal">
      <formula>0.8</formula>
    </cfRule>
    <cfRule type="cellIs" dxfId="5" priority="8" operator="equal">
      <formula>0.6</formula>
    </cfRule>
    <cfRule type="cellIs" dxfId="4" priority="9" operator="equal">
      <formula>0.4</formula>
    </cfRule>
    <cfRule type="cellIs" dxfId="3" priority="10" operator="equal">
      <formula>0.2</formula>
    </cfRule>
    <cfRule type="cellIs" dxfId="2" priority="11" operator="equal">
      <formula>0</formula>
    </cfRule>
  </conditionalFormatting>
  <dataValidations count="2">
    <dataValidation type="list" allowBlank="1" showInputMessage="1" showErrorMessage="1" sqref="B2:C55"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18" sqref="B18"/>
    </sheetView>
  </sheetViews>
  <sheetFormatPr baseColWidth="10" defaultColWidth="10.625" defaultRowHeight="15.75" x14ac:dyDescent="0.25"/>
  <cols>
    <col min="2" max="2" width="161" customWidth="1"/>
    <col min="3" max="3" width="10.875"/>
  </cols>
  <sheetData>
    <row r="4" spans="2:2" ht="21" x14ac:dyDescent="0.35">
      <c r="B4" s="3" t="s">
        <v>9</v>
      </c>
    </row>
    <row r="6" spans="2:2" x14ac:dyDescent="0.25">
      <c r="B6" s="2" t="s">
        <v>6</v>
      </c>
    </row>
    <row r="7" spans="2:2" ht="47.25" x14ac:dyDescent="0.25">
      <c r="B7" s="1" t="s">
        <v>7</v>
      </c>
    </row>
    <row r="9" spans="2:2" x14ac:dyDescent="0.25">
      <c r="B9" s="2" t="s">
        <v>8</v>
      </c>
    </row>
    <row r="10" spans="2:2" ht="63" x14ac:dyDescent="0.25">
      <c r="B10" s="1" t="s">
        <v>26</v>
      </c>
    </row>
    <row r="12" spans="2:2" x14ac:dyDescent="0.25">
      <c r="B12" s="2" t="s">
        <v>10</v>
      </c>
    </row>
    <row r="13" spans="2:2" ht="126" x14ac:dyDescent="0.25">
      <c r="B13" s="1" t="s">
        <v>88</v>
      </c>
    </row>
    <row r="15" spans="2:2" x14ac:dyDescent="0.25">
      <c r="B15" s="2" t="s">
        <v>11</v>
      </c>
    </row>
    <row r="16" spans="2:2" ht="110.25" x14ac:dyDescent="0.25">
      <c r="B16" s="1" t="s">
        <v>12</v>
      </c>
    </row>
    <row r="17" spans="2:2" x14ac:dyDescent="0.25">
      <c r="B17" s="1"/>
    </row>
    <row r="18" spans="2:2" x14ac:dyDescent="0.25">
      <c r="B18" s="2" t="s">
        <v>25</v>
      </c>
    </row>
    <row r="19" spans="2:2" ht="141.75" x14ac:dyDescent="0.25">
      <c r="B19" s="1" t="s">
        <v>27</v>
      </c>
    </row>
    <row r="21" spans="2:2" x14ac:dyDescent="0.25">
      <c r="B21" s="2" t="s">
        <v>13</v>
      </c>
    </row>
    <row r="22" spans="2:2" ht="110.25" x14ac:dyDescent="0.25">
      <c r="B22" s="1" t="s">
        <v>28</v>
      </c>
    </row>
    <row r="24" spans="2:2" x14ac:dyDescent="0.25">
      <c r="B24" s="2" t="s">
        <v>14</v>
      </c>
    </row>
    <row r="25" spans="2:2" ht="126" x14ac:dyDescent="0.25">
      <c r="B2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Übersicht</vt:lpstr>
      <vt:lpstr>ANLEITUNG</vt:lpstr>
      <vt:lpstr>Semesterplan</vt:lpstr>
      <vt:lpstr>COMMITTMENT</vt:lpstr>
      <vt:lpstr>Best-Practices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Nick Gläser</cp:lastModifiedBy>
  <dcterms:created xsi:type="dcterms:W3CDTF">2020-04-19T13:33:28Z</dcterms:created>
  <dcterms:modified xsi:type="dcterms:W3CDTF">2024-03-18T21:09:39Z</dcterms:modified>
</cp:coreProperties>
</file>