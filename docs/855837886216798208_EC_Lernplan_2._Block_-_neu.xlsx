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defaultThemeVersion="166925"/>
  <mc:AlternateContent xmlns:mc="http://schemas.openxmlformats.org/markup-compatibility/2006">
    <mc:Choice Requires="x15">
      <x15ac:absPath xmlns:x15ac="http://schemas.microsoft.com/office/spreadsheetml/2010/11/ac" url="C:\Users\Sercan\Pictures\WR Lösungsansätze zum lösen\Anschreiben\Klausurplan\"/>
    </mc:Choice>
  </mc:AlternateContent>
  <xr:revisionPtr revIDLastSave="0" documentId="13_ncr:1_{35245B3B-64C8-4071-B153-1580508EDD9B}" xr6:coauthVersionLast="47" xr6:coauthVersionMax="47" xr10:uidLastSave="{00000000-0000-0000-0000-000000000000}"/>
  <bookViews>
    <workbookView xWindow="-120" yWindow="-120" windowWidth="24240" windowHeight="13290" activeTab="3" xr2:uid="{50F29292-BE80-0C47-A0D2-DD086CB3D310}"/>
  </bookViews>
  <sheets>
    <sheet name="Anleitung" sheetId="2" r:id="rId1"/>
    <sheet name="Semesterplan" sheetId="7" r:id="rId2"/>
    <sheet name="COMMITTMENT" sheetId="9" r:id="rId3"/>
    <sheet name="Wochenplan KW 19" sheetId="3" r:id="rId4"/>
    <sheet name="Wochenplan KW 20" sheetId="8"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48" i="7" l="1"/>
  <c r="J48" i="7"/>
  <c r="I48" i="7"/>
  <c r="K47" i="7"/>
  <c r="J47" i="7"/>
  <c r="I47" i="7"/>
  <c r="K46" i="7"/>
  <c r="J46" i="7"/>
  <c r="I46" i="7"/>
  <c r="G53" i="7"/>
  <c r="I54" i="7"/>
  <c r="J54" i="7"/>
  <c r="K54" i="7"/>
  <c r="K45" i="7"/>
  <c r="J45" i="7"/>
  <c r="I45" i="7"/>
  <c r="K44" i="7"/>
  <c r="J44" i="7"/>
  <c r="I44" i="7"/>
  <c r="K43" i="7"/>
  <c r="J43" i="7"/>
  <c r="I43" i="7"/>
  <c r="K42" i="7"/>
  <c r="J42" i="7"/>
  <c r="I42" i="7"/>
  <c r="K41" i="7"/>
  <c r="J41" i="7"/>
  <c r="I41" i="7"/>
  <c r="I25" i="7"/>
  <c r="K25" i="7"/>
  <c r="J25" i="7"/>
  <c r="K55" i="7"/>
  <c r="J55" i="7"/>
  <c r="I55" i="7"/>
  <c r="K24" i="7"/>
  <c r="J24" i="7"/>
  <c r="I24" i="7"/>
  <c r="K23" i="7"/>
  <c r="J23" i="7"/>
  <c r="I23" i="7"/>
  <c r="K22" i="7"/>
  <c r="J22" i="7"/>
  <c r="I22" i="7"/>
  <c r="K21" i="7"/>
  <c r="J21" i="7"/>
  <c r="I21" i="7"/>
  <c r="K20" i="7"/>
  <c r="J20" i="7"/>
  <c r="I20" i="7"/>
  <c r="K10" i="7"/>
  <c r="J10" i="7"/>
  <c r="I10" i="7"/>
  <c r="K9" i="7"/>
  <c r="J9" i="7"/>
  <c r="I9" i="7"/>
  <c r="K8" i="7"/>
  <c r="J8" i="7"/>
  <c r="I8" i="7"/>
  <c r="K7" i="7"/>
  <c r="J7" i="7"/>
  <c r="I7" i="7"/>
  <c r="K6" i="7"/>
  <c r="J6" i="7"/>
  <c r="I6" i="7"/>
  <c r="BD5" i="7"/>
  <c r="I13" i="7"/>
  <c r="J13" i="7"/>
  <c r="K13" i="7"/>
  <c r="I14" i="7"/>
  <c r="J14" i="7"/>
  <c r="K14" i="7"/>
  <c r="I15" i="7"/>
  <c r="J15" i="7"/>
  <c r="K15" i="7"/>
  <c r="I37" i="7"/>
  <c r="I36" i="7"/>
  <c r="I35" i="7"/>
  <c r="I34" i="7"/>
  <c r="I33" i="7"/>
  <c r="I32" i="7"/>
  <c r="I31" i="7"/>
  <c r="I30" i="7"/>
  <c r="I29" i="7"/>
  <c r="I28" i="7"/>
  <c r="I27" i="7"/>
  <c r="I26" i="7"/>
  <c r="I18" i="7"/>
  <c r="I17" i="7"/>
  <c r="I16" i="7"/>
  <c r="K37" i="7"/>
  <c r="J37" i="7"/>
  <c r="K36" i="7"/>
  <c r="J36" i="7"/>
  <c r="K35" i="7"/>
  <c r="J35" i="7"/>
  <c r="K34" i="7"/>
  <c r="J34" i="7"/>
  <c r="K33" i="7"/>
  <c r="J33" i="7"/>
  <c r="K32" i="7"/>
  <c r="J32" i="7"/>
  <c r="K31" i="7"/>
  <c r="J31" i="7"/>
  <c r="K30" i="7"/>
  <c r="J30" i="7"/>
  <c r="K29" i="7"/>
  <c r="J29" i="7"/>
  <c r="K28" i="7"/>
  <c r="J28" i="7"/>
  <c r="K27" i="7"/>
  <c r="J27" i="7"/>
  <c r="K26" i="7"/>
  <c r="J26" i="7"/>
  <c r="K18" i="7"/>
  <c r="J18" i="7"/>
  <c r="K17" i="7"/>
  <c r="J17" i="7"/>
  <c r="K16" i="7"/>
  <c r="J16" i="7"/>
  <c r="J53" i="7" l="1"/>
  <c r="J40" i="7" s="1"/>
  <c r="K53" i="7"/>
  <c r="K40" i="7" s="1"/>
  <c r="I5" i="7"/>
  <c r="K5" i="7"/>
  <c r="J5" i="7"/>
</calcChain>
</file>

<file path=xl/sharedStrings.xml><?xml version="1.0" encoding="utf-8"?>
<sst xmlns="http://schemas.openxmlformats.org/spreadsheetml/2006/main" count="305" uniqueCount="139">
  <si>
    <t>Semesterplan</t>
  </si>
  <si>
    <t>Fach</t>
  </si>
  <si>
    <t>Marketing</t>
  </si>
  <si>
    <t>Skript Niveau</t>
  </si>
  <si>
    <t>Rechnen Niveau</t>
  </si>
  <si>
    <t>Montag</t>
  </si>
  <si>
    <t>Dienstag</t>
  </si>
  <si>
    <t>Mittwoch</t>
  </si>
  <si>
    <t>Donnerstag</t>
  </si>
  <si>
    <t>Samstag</t>
  </si>
  <si>
    <t>Sonntag</t>
  </si>
  <si>
    <t>Freitag</t>
  </si>
  <si>
    <t>Stunden</t>
  </si>
  <si>
    <t>Bemerkungen</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</si>
  <si>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</si>
  <si>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</si>
  <si>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</si>
  <si>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Best Practices für die optimale Semesterplanung</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</si>
  <si>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</si>
  <si>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</si>
  <si>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</si>
  <si>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</si>
  <si>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Wiederholungen einbauen</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</si>
  <si>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</si>
  <si>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</si>
  <si>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Klausurdatum</t>
  </si>
  <si>
    <t>Wochenplan</t>
  </si>
  <si>
    <t>Typ</t>
  </si>
  <si>
    <t>Übersicht</t>
  </si>
  <si>
    <t>Thema</t>
  </si>
  <si>
    <t>Fachgebiet</t>
  </si>
  <si>
    <t>1) Einführung</t>
  </si>
  <si>
    <t>2) Aktuelle Herausforderungen an das Marketing</t>
  </si>
  <si>
    <t>3) Marktforschung</t>
  </si>
  <si>
    <t>4) Marketingziele &amp; -prognosen</t>
  </si>
  <si>
    <t>5) Strategisches Marketing</t>
  </si>
  <si>
    <t>6) Konsumentenorientieres Marketing</t>
  </si>
  <si>
    <t>7) Produkt</t>
  </si>
  <si>
    <t>8) Marke</t>
  </si>
  <si>
    <t>9) Preis</t>
  </si>
  <si>
    <t>10) Kommunikation</t>
  </si>
  <si>
    <t>11) Distribution &amp; E-Commerce</t>
  </si>
  <si>
    <t>12) Implementierung &amp; Controlling</t>
  </si>
  <si>
    <t>ECTS</t>
  </si>
  <si>
    <t>Anteil an Klausur</t>
  </si>
  <si>
    <t>Ziel</t>
  </si>
  <si>
    <t>(Übersicht-Zelle muss angepasst werden)</t>
  </si>
  <si>
    <t>Ziele setzen und Zeiten abschätzen</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</si>
  <si>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</si>
  <si>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</si>
  <si>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</si>
  <si>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Finanzen 1</t>
  </si>
  <si>
    <t>2) Der perfekte Markt</t>
  </si>
  <si>
    <t>3) Marktevaulierung</t>
  </si>
  <si>
    <t>4) CAPM</t>
  </si>
  <si>
    <t>5) Firmenbewertung</t>
  </si>
  <si>
    <t>6) DCF</t>
  </si>
  <si>
    <t>Lerneinheiten durchgezogen</t>
  </si>
  <si>
    <t>Tagesplan erstellt</t>
  </si>
  <si>
    <t>Konzentrationslevel</t>
  </si>
  <si>
    <t>Datum</t>
  </si>
  <si>
    <t>Kcal</t>
  </si>
  <si>
    <t>Fette</t>
  </si>
  <si>
    <t>Eiweiss</t>
  </si>
  <si>
    <t>Kohlenhydrate</t>
  </si>
  <si>
    <t>Gewicht</t>
  </si>
  <si>
    <t>Sonstiges Gefühl</t>
  </si>
  <si>
    <t>Optimierungen</t>
  </si>
  <si>
    <t>Statistik 1</t>
  </si>
  <si>
    <t>Training</t>
  </si>
  <si>
    <t>5. Block</t>
  </si>
  <si>
    <t>Wirtschaftsrecht</t>
  </si>
  <si>
    <t>KW15.06-20.06</t>
  </si>
  <si>
    <t>21.06-27.06</t>
  </si>
  <si>
    <t>28.06-04.07</t>
  </si>
  <si>
    <t>05.07-11.07</t>
  </si>
  <si>
    <t>12.07-18.07</t>
  </si>
  <si>
    <t>19.07-25.07</t>
  </si>
  <si>
    <t>09.08-15.08</t>
  </si>
  <si>
    <t>16.08-22.08</t>
  </si>
  <si>
    <t>23.08-29.08</t>
  </si>
  <si>
    <t>29.08-05.09</t>
  </si>
  <si>
    <t>06.09-12.09</t>
  </si>
  <si>
    <t>26.07-01.08</t>
  </si>
  <si>
    <t>02.08-08.08</t>
  </si>
  <si>
    <t>Betriebliche Entsch.</t>
  </si>
  <si>
    <t>1. Einführung</t>
  </si>
  <si>
    <t>2. Statistische Variablen und ihre Verteilung</t>
  </si>
  <si>
    <t>3, Verteilungsmaßzahlen</t>
  </si>
  <si>
    <t>4. Mehrdimensionale Merkmale</t>
  </si>
  <si>
    <t>5. Korrelation und Regression</t>
  </si>
  <si>
    <t>1. (Einführung) Grundmodell der Entscheidungstheorie</t>
  </si>
  <si>
    <t>2.Entscheidungen bei Sicherheit</t>
  </si>
  <si>
    <t>3. Entscheidungen bei Risiko</t>
  </si>
  <si>
    <t>4. Entscheidungen bei Risiko</t>
  </si>
  <si>
    <t>5. Entscheidungen bei Ungewissheit</t>
  </si>
  <si>
    <t xml:space="preserve">6. Variable Informationssysteme </t>
  </si>
  <si>
    <t>1. Bürgerliches Recht, Privatrecht, Öffentliches Recht</t>
  </si>
  <si>
    <t>2. Materielles Recht und Verfahrensrecht</t>
  </si>
  <si>
    <t>Klausur: Wirtschaftsrecht 24.08</t>
  </si>
  <si>
    <t>84 std. Woche</t>
  </si>
  <si>
    <t xml:space="preserve">84 std. Woche </t>
  </si>
  <si>
    <t>Makro</t>
  </si>
  <si>
    <t>Kap.1</t>
  </si>
  <si>
    <t>Kap.2</t>
  </si>
  <si>
    <t>Kap.3</t>
  </si>
  <si>
    <t>Kap.4</t>
  </si>
  <si>
    <t>Kap.5</t>
  </si>
  <si>
    <t>Kap.6</t>
  </si>
  <si>
    <t>Kap.7</t>
  </si>
  <si>
    <t>Kap.8</t>
  </si>
  <si>
    <t>Kap. 9</t>
  </si>
  <si>
    <t xml:space="preserve">29.07 Statistik </t>
  </si>
  <si>
    <t>, Makro:23.08</t>
  </si>
  <si>
    <t>aufstehen</t>
  </si>
  <si>
    <t>Duschen(…)</t>
  </si>
  <si>
    <t>Lernbeginn</t>
  </si>
  <si>
    <t>Statistik</t>
  </si>
  <si>
    <t>3 std. mit Pause in 60 min sprints</t>
  </si>
  <si>
    <t>Ende 1. Block</t>
  </si>
  <si>
    <t>5min Pause jewe</t>
  </si>
  <si>
    <t>jeweils</t>
  </si>
  <si>
    <t xml:space="preserve">2. Block </t>
  </si>
  <si>
    <t>15min Pause</t>
  </si>
  <si>
    <t>3 h , 60min sprints</t>
  </si>
  <si>
    <t>5min Pause</t>
  </si>
  <si>
    <t>Ende 2. Block</t>
  </si>
  <si>
    <t>Ende 3. Block</t>
  </si>
  <si>
    <t>25 min Pause</t>
  </si>
  <si>
    <t xml:space="preserve">3. Block </t>
  </si>
  <si>
    <t xml:space="preserve">4. Block </t>
  </si>
  <si>
    <t>Ende 4. Block</t>
  </si>
  <si>
    <t>Altklausur max. 35min</t>
  </si>
  <si>
    <t xml:space="preserve">Abendroutine </t>
  </si>
  <si>
    <t>Schlafen</t>
  </si>
  <si>
    <t>30-45min Pause</t>
  </si>
  <si>
    <t>hier wenn nötig 10min Pause</t>
  </si>
  <si>
    <t>Oder weiter Makro</t>
  </si>
  <si>
    <t>Übung Skript wdh.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</si>
</sst>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
  </numFmts>
  <fonts count="5">
    <font>
      <sz val="12"/>
      <color theme="1"/>
      <name val="Calibri"/>
      <family val="2"/>
      <scheme val="minor"/>
    </font>
    <font>
      <b/>
      <sz val="12"/>
      <color theme="1"/>
      <name val="Calibri"/>
      <family val="2"/>
      <scheme val="minor"/>
    </font>
    <font>
      <b/>
      <i/>
      <u/>
      <sz val="16"/>
      <color theme="1"/>
      <name val="Calibri"/>
      <family val="2"/>
      <scheme val="minor"/>
    </font>
    <font>
      <b/>
      <sz val="26"/>
      <color theme="1"/>
      <name val="Calibri"/>
      <family val="2"/>
      <scheme val="minor"/>
    </font>
    <font>
      <b/>
      <sz val="20"/>
      <color theme="1"/>
      <name val="Calibri (Body)"/>
    </font>
  </fonts>
  <fills count="5">
    <fill>
      <patternFill patternType="none"/>
    </fill>
    <fill>
      <patternFill patternType="gray125"/>
    </fill>
    <fill>
      <patternFill patternType="solid">
        <fgColor rgb="FFE0E0E0"/>
        <bgColor indexed="64"/>
      </patternFill>
    </fill>
    <fill>
      <patternFill patternType="solid">
        <fgColor rgb="FFFDFF05"/>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26">
    <xf numFmtId="0" fontId="0" fillId="0" borderId="0" xfId="0"/>
    <xf numFmtId="0" fontId="0" fillId="0" borderId="0" xfId="0" applyAlignment="1">
      <alignment wrapText="1"/>
    </xf>
    <xf numFmtId="0" fontId="0" fillId="0" borderId="0" xfId="0" applyAlignment="1"/>
    <xf numFmtId="0" fontId="1" fillId="0" borderId="0" xfId="0" applyFont="1"/>
    <xf numFmtId="0" fontId="2" fillId="0" borderId="0" xfId="0" applyFont="1"/>
    <xf numFmtId="0" fontId="3" fillId="0" borderId="0" xfId="0" applyFont="1"/>
    <xf numFmtId="0" fontId="1" fillId="2" borderId="0" xfId="0" applyFont="1" applyFill="1"/>
    <xf numFmtId="0" fontId="1" fillId="2" borderId="0" xfId="0" applyFont="1" applyFill="1" applyAlignment="1">
      <alignment horizontal="center"/>
    </xf>
    <xf numFmtId="0" fontId="4" fillId="0" borderId="0" xfId="0" applyFont="1"/>
    <xf numFmtId="20" fontId="0" fillId="0" borderId="0" xfId="0" applyNumberFormat="1" applyFont="1"/>
    <xf numFmtId="0" fontId="0" fillId="0" borderId="0" xfId="0" applyAlignment="1">
      <alignment horizontal="center"/>
    </xf>
    <xf numFmtId="9" fontId="0" fillId="0" borderId="0" xfId="0" applyNumberFormat="1"/>
    <xf numFmtId="9" fontId="0" fillId="0" borderId="0" xfId="0" applyNumberFormat="1" applyAlignment="1">
      <alignment horizontal="center"/>
    </xf>
    <xf numFmtId="1" fontId="0" fillId="0" borderId="0" xfId="0" applyNumberFormat="1" applyAlignment="1">
      <alignment horizontal="center"/>
    </xf>
    <xf numFmtId="0" fontId="0" fillId="3" borderId="0" xfId="0" applyFill="1"/>
    <xf numFmtId="14" fontId="0" fillId="0" borderId="0" xfId="0" applyNumberFormat="1" applyAlignment="1">
      <alignment horizontal="center"/>
    </xf>
    <xf numFmtId="0" fontId="0" fillId="0" borderId="0" xfId="0" applyAlignment="1">
      <alignment horizontal="center" wrapText="1"/>
    </xf>
    <xf numFmtId="9" fontId="0" fillId="0" borderId="0" xfId="0" applyNumberFormat="1" applyFill="1" applyAlignment="1">
      <alignment horizontal="center"/>
    </xf>
    <xf numFmtId="164" fontId="0" fillId="0" borderId="0" xfId="0" applyNumberFormat="1" applyAlignment="1">
      <alignment horizontal="center"/>
    </xf>
    <xf numFmtId="20" fontId="0" fillId="0" borderId="0" xfId="0" applyNumberFormat="1"/>
    <xf numFmtId="16" fontId="0" fillId="0" borderId="0" xfId="0" applyNumberFormat="1"/>
    <xf numFmtId="0" fontId="0" fillId="4" borderId="0" xfId="0" applyFill="1"/>
    <xf numFmtId="0" fontId="1" fillId="4" borderId="0" xfId="0" applyFont="1" applyFill="1"/>
    <xf numFmtId="1" fontId="0" fillId="4" borderId="0" xfId="0" applyNumberFormat="1" applyFill="1" applyAlignment="1">
      <alignment horizontal="center"/>
    </xf>
    <xf numFmtId="2" fontId="0" fillId="0" borderId="0" xfId="0" applyNumberFormat="1"/>
    <xf numFmtId="0" fontId="1" fillId="2" borderId="0" xfId="0" applyFont="1" applyFill="1" applyAlignment="1">
      <alignment horizontal="center"/>
    </xf>
  </cellXfs>
  <cellStyles count="1">
    <cellStyle name="Standard" xfId="0" builtinId="0"/>
  </cellStyles>
  <dxfs count="499">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ill>
        <patternFill>
          <bgColor rgb="FFFF0000"/>
        </patternFill>
      </fill>
    </dxf>
    <dxf>
      <fill>
        <patternFill>
          <bgColor rgb="FFFF755A"/>
        </patternFill>
      </fill>
    </dxf>
    <dxf>
      <fill>
        <patternFill>
          <bgColor rgb="FFFFDE7F"/>
        </patternFill>
      </fill>
    </dxf>
    <dxf>
      <fill>
        <patternFill>
          <bgColor rgb="FFC4FF87"/>
        </patternFill>
      </fill>
    </dxf>
    <dxf>
      <fill>
        <patternFill>
          <bgColor rgb="FF56FF5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dd/mm/yy"/>
      <alignment horizontal="center" vertical="bottom" textRotation="0" wrapText="0" indent="0" justifyLastLine="0" shrinkToFit="0" readingOrder="0"/>
    </dxf>
    <dxf>
      <alignment horizontal="general" vertical="bottom" textRotation="0" wrapText="1" indent="0" justifyLastLine="0" shrinkToFit="0" readingOrder="0"/>
    </dxf>
  </dxfs>
  <tableStyles count="0" defaultTableStyle="TableStyleMedium2" defaultPivotStyle="PivotStyleLight16"/>
  <colors>
    <mruColors>
      <color rgb="FF00FF29"/>
      <color rgb="FF56FF5E"/>
      <color rgb="FFC4FF87"/>
      <color rgb="FFFFDE7F"/>
      <color rgb="FFFF755A"/>
      <color rgb="FFFDFF05"/>
      <color rgb="FF10FF07"/>
      <color rgb="FFFF231B"/>
      <color rgb="FFE0E0E0"/>
      <color rgb="FF4A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321BF3-0CFB-EC45-B68D-D7DDE2C6EBFA}" name="Table1" displayName="Table1" ref="A1:K49" totalsRowShown="0" headerRowDxfId="498">
  <autoFilter ref="A1:K49" xr:uid="{6E266E34-2786-2747-BCE7-51B74867A564}">
    <filterColumn colId="0">
      <filters>
        <dateGroupItem year="2021" dateTimeGrouping="year"/>
      </filters>
    </filterColumn>
  </autoFilter>
  <sortState xmlns:xlrd2="http://schemas.microsoft.com/office/spreadsheetml/2017/richdata2" ref="A47:K47">
    <sortCondition ref="A1:A47"/>
  </sortState>
  <tableColumns count="11">
    <tableColumn id="1" xr3:uid="{95FD92F7-3DC8-704D-A103-A7EDDAB255AB}" name="Datum" dataDxfId="497"/>
    <tableColumn id="2" xr3:uid="{F464D510-8166-E740-A343-FB84BDEF877F}" name="Lerneinheiten durchgezogen" dataDxfId="496"/>
    <tableColumn id="3" xr3:uid="{75F52B08-1A00-0848-BBE6-1EDF7B31B1AD}" name="Tagesplan erstellt" dataDxfId="495"/>
    <tableColumn id="4" xr3:uid="{E6B18D89-E799-AD48-9DAA-37AEE1D29011}" name="Konzentrationslevel" dataDxfId="494"/>
    <tableColumn id="5" xr3:uid="{7038951F-EF31-2A4C-8291-6B3B984C5954}" name="Kcal"/>
    <tableColumn id="6" xr3:uid="{024A2E22-9FF9-5042-BCC0-8443A00A1A16}" name="Fette"/>
    <tableColumn id="7" xr3:uid="{FAD520C6-BB43-8B4B-A9FA-C5AEE0F8CD08}" name="Eiweiss"/>
    <tableColumn id="8" xr3:uid="{3816DA9B-3A76-FE4F-B985-3635CF939135}" name="Kohlenhydrate"/>
    <tableColumn id="9" xr3:uid="{1C987FBB-D4BA-7C4F-A887-190E64CF58FE}" name="Gewicht"/>
    <tableColumn id="10" xr3:uid="{823BE59B-AFBA-DB43-8C06-25B0D163DC42}" name="Sonstiges Gefühl"/>
    <tableColumn id="11" xr3:uid="{BB7DF43F-1783-D944-883B-7754E3407C95}" name="Optimierungen"/>
  </tableColumns>
  <tableStyleInfo name="TableStyleLight10"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3550-30B9-8F48-8345-10C51C6D0FC3}">
  <dimension ref="B4:C25"/>
  <sheetViews>
    <sheetView workbookViewId="0">
      <selection activeCell="B2" sqref="B2"/>
    </sheetView>
  </sheetViews>
  <sheetFormatPr baseColWidth="10" defaultColWidth="10.625" defaultRowHeight="15.75"/>
  <cols>
    <col min="2" max="2" width="161" customWidth="1"/>
    <col min="3" max="3" width="10.875" style="2"/>
  </cols>
  <sheetData>
    <row r="4" spans="2:2" ht="21">
      <c r="B4" s="4" t="s">
        <v>17</v>
      </c>
    </row>
    <row r="6" spans="2:2">
      <c r="B6" s="3" t="s">
        <v>14</v>
      </c>
    </row>
    <row r="7" spans="2:2" ht="47.25">
      <c r="B7" s="1" t="s">
        <v>15</v>
      </c>
    </row>
    <row r="9" spans="2:2">
      <c r="B9" s="3" t="s">
        <v>16</v>
      </c>
    </row>
    <row r="10" spans="2:2" ht="63">
      <c r="B10" s="1" t="s">
        <v>48</v>
      </c>
    </row>
    <row r="12" spans="2:2">
      <c r="B12" s="3" t="s">
        <v>18</v>
      </c>
    </row>
    <row r="13" spans="2:2" ht="126">
      <c r="B13" s="1" t="s">
        <v>19</v>
      </c>
    </row>
    <row r="15" spans="2:2">
      <c r="B15" s="3" t="s">
        <v>20</v>
      </c>
    </row>
    <row r="16" spans="2:2" ht="110.25">
      <c r="B16" s="1" t="s">
        <v>21</v>
      </c>
    </row>
    <row r="17" spans="2:2">
      <c r="B17" s="1"/>
    </row>
    <row r="18" spans="2:2">
      <c r="B18" s="3" t="s">
        <v>47</v>
      </c>
    </row>
    <row r="19" spans="2:2" ht="141.75">
      <c r="B19" s="1" t="s">
        <v>49</v>
      </c>
    </row>
    <row r="21" spans="2:2">
      <c r="B21" s="3" t="s">
        <v>22</v>
      </c>
    </row>
    <row r="22" spans="2:2" ht="110.25">
      <c r="B22" s="1" t="s">
        <v>50</v>
      </c>
    </row>
    <row r="24" spans="2:2">
      <c r="B24" s="3" t="s">
        <v>23</v>
      </c>
    </row>
    <row r="25" spans="2:2" ht="126">
      <c r="B25" s="1" t="s">
        <v>24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2FF6-E0D3-4829-9993-E7D2C4D02E9E}">
  <dimension ref="B1:CY67"/>
  <sheetViews>
    <sheetView showGridLines="0" topLeftCell="I4" zoomScale="69" zoomScaleNormal="69" workbookViewId="0">
      <selection activeCell="H21" sqref="H21"/>
    </sheetView>
  </sheetViews>
  <sheetFormatPr baseColWidth="10" defaultColWidth="8.875" defaultRowHeight="15.75" outlineLevelRow="1"/>
  <cols>
    <col min="3" max="3" width="9.5" bestFit="1" customWidth="1"/>
    <col min="4" max="4" width="13" bestFit="1" customWidth="1"/>
    <col min="5" max="5" width="4.875" bestFit="1" customWidth="1"/>
    <col min="6" max="6" width="41.125" bestFit="1" customWidth="1"/>
    <col min="7" max="7" width="15.5" bestFit="1" customWidth="1"/>
    <col min="8" max="8" width="2.5" customWidth="1"/>
    <col min="10" max="10" width="12.5" bestFit="1" customWidth="1"/>
    <col min="11" max="11" width="14.875" bestFit="1" customWidth="1"/>
    <col min="12" max="12" width="12.625" bestFit="1" customWidth="1"/>
    <col min="13" max="13" width="2.5" customWidth="1"/>
    <col min="15" max="15" width="12.5" bestFit="1" customWidth="1"/>
    <col min="16" max="16" width="6.375" customWidth="1"/>
    <col min="17" max="17" width="14.875" bestFit="1" customWidth="1"/>
    <col min="18" max="18" width="6" customWidth="1"/>
    <col min="19" max="19" width="12.625" bestFit="1" customWidth="1"/>
    <col min="20" max="20" width="2.5" customWidth="1"/>
    <col min="22" max="22" width="12.5" bestFit="1" customWidth="1"/>
    <col min="23" max="23" width="6.375" customWidth="1"/>
    <col min="24" max="24" width="14.875" bestFit="1" customWidth="1"/>
    <col min="25" max="25" width="6" customWidth="1"/>
    <col min="26" max="26" width="12.625" bestFit="1" customWidth="1"/>
    <col min="27" max="27" width="2.5" customWidth="1"/>
    <col min="29" max="29" width="12.5" bestFit="1" customWidth="1"/>
    <col min="30" max="30" width="6.375" customWidth="1"/>
    <col min="31" max="31" width="14.875" bestFit="1" customWidth="1"/>
    <col min="32" max="32" width="6" customWidth="1"/>
    <col min="33" max="33" width="12.625" bestFit="1" customWidth="1"/>
    <col min="34" max="34" width="2.5" customWidth="1"/>
    <col min="36" max="36" width="12.5" bestFit="1" customWidth="1"/>
    <col min="37" max="37" width="6.375" customWidth="1"/>
    <col min="38" max="38" width="14.875" bestFit="1" customWidth="1"/>
    <col min="39" max="39" width="6" customWidth="1"/>
    <col min="40" max="40" width="12.625" bestFit="1" customWidth="1"/>
    <col min="41" max="41" width="2.5" customWidth="1"/>
    <col min="43" max="43" width="12.5" bestFit="1" customWidth="1"/>
    <col min="44" max="44" width="6.375" customWidth="1"/>
    <col min="45" max="45" width="14.875" bestFit="1" customWidth="1"/>
    <col min="46" max="46" width="6" customWidth="1"/>
    <col min="47" max="47" width="12.625" bestFit="1" customWidth="1"/>
    <col min="48" max="48" width="2.5" customWidth="1"/>
    <col min="50" max="50" width="12.5" bestFit="1" customWidth="1"/>
    <col min="51" max="51" width="6.375" customWidth="1"/>
    <col min="52" max="52" width="14.875" bestFit="1" customWidth="1"/>
    <col min="53" max="53" width="6" customWidth="1"/>
    <col min="54" max="54" width="12.625" bestFit="1" customWidth="1"/>
    <col min="55" max="55" width="2.5" customWidth="1"/>
    <col min="56" max="56" width="8.875" style="21"/>
    <col min="57" max="57" width="12.5" bestFit="1" customWidth="1"/>
    <col min="58" max="58" width="6.375" customWidth="1"/>
    <col min="59" max="59" width="14.875" bestFit="1" customWidth="1"/>
    <col min="60" max="60" width="6" customWidth="1"/>
    <col min="61" max="61" width="12.625" bestFit="1" customWidth="1"/>
    <col min="62" max="62" width="2.5" customWidth="1"/>
    <col min="64" max="64" width="12.5" bestFit="1" customWidth="1"/>
    <col min="65" max="65" width="6.375" customWidth="1"/>
    <col min="66" max="66" width="14.875" bestFit="1" customWidth="1"/>
    <col min="67" max="67" width="6" customWidth="1"/>
    <col min="68" max="68" width="12.625" bestFit="1" customWidth="1"/>
    <col min="69" max="69" width="2.5" customWidth="1"/>
    <col min="70" max="70" width="8.875" style="21"/>
    <col min="71" max="71" width="12.5" bestFit="1" customWidth="1"/>
    <col min="72" max="72" width="6.375" customWidth="1"/>
    <col min="73" max="73" width="14.875" bestFit="1" customWidth="1"/>
    <col min="74" max="74" width="6" customWidth="1"/>
    <col min="75" max="75" width="12.625" bestFit="1" customWidth="1"/>
    <col min="76" max="76" width="2.5" customWidth="1"/>
    <col min="78" max="78" width="12.5" bestFit="1" customWidth="1"/>
    <col min="79" max="79" width="6.375" customWidth="1"/>
    <col min="80" max="80" width="14.875" bestFit="1" customWidth="1"/>
    <col min="81" max="81" width="6" customWidth="1"/>
    <col min="82" max="82" width="12.625" bestFit="1" customWidth="1"/>
    <col min="83" max="83" width="2.5" customWidth="1"/>
    <col min="84" max="84" width="8.875" style="21"/>
    <col min="85" max="85" width="12.5" bestFit="1" customWidth="1"/>
    <col min="86" max="86" width="6.375" customWidth="1"/>
    <col min="87" max="87" width="14.875" bestFit="1" customWidth="1"/>
    <col min="88" max="88" width="6" customWidth="1"/>
    <col min="89" max="89" width="12.625" bestFit="1" customWidth="1"/>
  </cols>
  <sheetData>
    <row r="1" spans="2:103" ht="33.75">
      <c r="B1" s="5" t="s">
        <v>0</v>
      </c>
      <c r="D1" s="5"/>
      <c r="G1" s="14" t="s">
        <v>46</v>
      </c>
      <c r="I1" s="14" t="s">
        <v>46</v>
      </c>
      <c r="J1" s="14" t="s">
        <v>46</v>
      </c>
      <c r="K1" s="14" t="s">
        <v>46</v>
      </c>
      <c r="BD1" s="21" t="s">
        <v>112</v>
      </c>
      <c r="CF1" s="21" t="s">
        <v>99</v>
      </c>
      <c r="CH1" s="24"/>
      <c r="CI1" t="s">
        <v>113</v>
      </c>
    </row>
    <row r="2" spans="2:103">
      <c r="I2" s="25" t="s">
        <v>28</v>
      </c>
      <c r="J2" s="25"/>
      <c r="K2" s="25"/>
      <c r="L2" s="25"/>
      <c r="N2" s="25" t="s">
        <v>72</v>
      </c>
      <c r="O2" s="25"/>
      <c r="P2" s="25"/>
      <c r="Q2" s="25"/>
      <c r="R2" s="25"/>
      <c r="S2" s="25"/>
      <c r="U2" s="25" t="s">
        <v>73</v>
      </c>
      <c r="V2" s="25"/>
      <c r="W2" s="25"/>
      <c r="X2" s="25"/>
      <c r="Y2" s="25"/>
      <c r="Z2" s="25"/>
      <c r="AB2" s="25" t="s">
        <v>74</v>
      </c>
      <c r="AC2" s="25"/>
      <c r="AD2" s="25"/>
      <c r="AE2" s="25"/>
      <c r="AF2" s="25"/>
      <c r="AG2" s="25"/>
      <c r="AI2" s="25" t="s">
        <v>75</v>
      </c>
      <c r="AJ2" s="25"/>
      <c r="AK2" s="25"/>
      <c r="AL2" s="25"/>
      <c r="AM2" s="25"/>
      <c r="AN2" s="25"/>
      <c r="AP2" s="25" t="s">
        <v>76</v>
      </c>
      <c r="AQ2" s="25"/>
      <c r="AR2" s="25"/>
      <c r="AS2" s="25"/>
      <c r="AT2" s="25"/>
      <c r="AU2" s="25"/>
      <c r="AW2" s="25" t="s">
        <v>77</v>
      </c>
      <c r="AX2" s="25"/>
      <c r="AY2" s="25"/>
      <c r="AZ2" s="25"/>
      <c r="BA2" s="25"/>
      <c r="BB2" s="25"/>
      <c r="BD2" s="25" t="s">
        <v>83</v>
      </c>
      <c r="BE2" s="25"/>
      <c r="BF2" s="25"/>
      <c r="BG2" s="25"/>
      <c r="BH2" s="25"/>
      <c r="BI2" s="25"/>
      <c r="BK2" s="25" t="s">
        <v>84</v>
      </c>
      <c r="BL2" s="25"/>
      <c r="BM2" s="25"/>
      <c r="BN2" s="25"/>
      <c r="BO2" s="25"/>
      <c r="BP2" s="25"/>
      <c r="BR2" s="25" t="s">
        <v>78</v>
      </c>
      <c r="BS2" s="25"/>
      <c r="BT2" s="25"/>
      <c r="BU2" s="25"/>
      <c r="BV2" s="25"/>
      <c r="BW2" s="25"/>
      <c r="BY2" s="25" t="s">
        <v>79</v>
      </c>
      <c r="BZ2" s="25"/>
      <c r="CA2" s="25"/>
      <c r="CB2" s="25"/>
      <c r="CC2" s="25"/>
      <c r="CD2" s="25"/>
      <c r="CF2" s="25" t="s">
        <v>80</v>
      </c>
      <c r="CG2" s="25"/>
      <c r="CH2" s="25"/>
      <c r="CI2" s="25"/>
      <c r="CJ2" s="25"/>
      <c r="CK2" s="25"/>
      <c r="CM2" s="25" t="s">
        <v>81</v>
      </c>
      <c r="CN2" s="25"/>
      <c r="CO2" s="25"/>
      <c r="CP2" s="25"/>
      <c r="CQ2" s="25"/>
      <c r="CR2" s="25"/>
      <c r="CT2" s="25" t="s">
        <v>82</v>
      </c>
      <c r="CU2" s="25"/>
      <c r="CV2" s="25"/>
      <c r="CW2" s="25"/>
      <c r="CX2" s="25"/>
      <c r="CY2" s="25"/>
    </row>
    <row r="3" spans="2:103">
      <c r="B3" s="6" t="s">
        <v>27</v>
      </c>
      <c r="C3" s="6" t="s">
        <v>1</v>
      </c>
      <c r="D3" s="6" t="s">
        <v>25</v>
      </c>
      <c r="E3" s="7" t="s">
        <v>43</v>
      </c>
      <c r="F3" s="6" t="s">
        <v>30</v>
      </c>
      <c r="G3" s="6" t="s">
        <v>44</v>
      </c>
      <c r="I3" s="7" t="s">
        <v>12</v>
      </c>
      <c r="J3" s="7" t="s">
        <v>3</v>
      </c>
      <c r="K3" s="7" t="s">
        <v>4</v>
      </c>
      <c r="L3" s="7" t="s">
        <v>13</v>
      </c>
      <c r="N3" s="6" t="s">
        <v>12</v>
      </c>
      <c r="O3" s="6" t="s">
        <v>3</v>
      </c>
      <c r="P3" s="6" t="s">
        <v>45</v>
      </c>
      <c r="Q3" s="6" t="s">
        <v>4</v>
      </c>
      <c r="R3" s="6" t="s">
        <v>45</v>
      </c>
      <c r="S3" s="6" t="s">
        <v>13</v>
      </c>
      <c r="U3" s="6" t="s">
        <v>12</v>
      </c>
      <c r="V3" s="6" t="s">
        <v>3</v>
      </c>
      <c r="W3" s="6" t="s">
        <v>45</v>
      </c>
      <c r="X3" s="6" t="s">
        <v>4</v>
      </c>
      <c r="Y3" s="6" t="s">
        <v>45</v>
      </c>
      <c r="Z3" s="6" t="s">
        <v>13</v>
      </c>
      <c r="AB3" s="6" t="s">
        <v>12</v>
      </c>
      <c r="AC3" s="6" t="s">
        <v>3</v>
      </c>
      <c r="AD3" s="6" t="s">
        <v>45</v>
      </c>
      <c r="AE3" s="6" t="s">
        <v>4</v>
      </c>
      <c r="AF3" s="6" t="s">
        <v>45</v>
      </c>
      <c r="AG3" s="6" t="s">
        <v>13</v>
      </c>
      <c r="AI3" s="6" t="s">
        <v>12</v>
      </c>
      <c r="AJ3" s="6" t="s">
        <v>3</v>
      </c>
      <c r="AK3" s="6" t="s">
        <v>45</v>
      </c>
      <c r="AL3" s="6" t="s">
        <v>4</v>
      </c>
      <c r="AM3" s="6" t="s">
        <v>45</v>
      </c>
      <c r="AN3" s="6" t="s">
        <v>13</v>
      </c>
      <c r="AP3" s="6" t="s">
        <v>12</v>
      </c>
      <c r="AQ3" s="6" t="s">
        <v>3</v>
      </c>
      <c r="AR3" s="6" t="s">
        <v>45</v>
      </c>
      <c r="AS3" s="6" t="s">
        <v>4</v>
      </c>
      <c r="AT3" s="6" t="s">
        <v>45</v>
      </c>
      <c r="AU3" s="6" t="s">
        <v>13</v>
      </c>
      <c r="AW3" s="6" t="s">
        <v>12</v>
      </c>
      <c r="AX3" s="6" t="s">
        <v>3</v>
      </c>
      <c r="AY3" s="6" t="s">
        <v>45</v>
      </c>
      <c r="AZ3" s="6" t="s">
        <v>4</v>
      </c>
      <c r="BA3" s="6" t="s">
        <v>45</v>
      </c>
      <c r="BB3" s="6" t="s">
        <v>13</v>
      </c>
      <c r="BD3" s="22" t="s">
        <v>12</v>
      </c>
      <c r="BE3" s="6" t="s">
        <v>3</v>
      </c>
      <c r="BF3" s="6" t="s">
        <v>45</v>
      </c>
      <c r="BG3" s="6" t="s">
        <v>4</v>
      </c>
      <c r="BH3" s="6" t="s">
        <v>45</v>
      </c>
      <c r="BI3" s="6" t="s">
        <v>13</v>
      </c>
      <c r="BK3" s="6" t="s">
        <v>12</v>
      </c>
      <c r="BL3" s="6" t="s">
        <v>3</v>
      </c>
      <c r="BM3" s="6" t="s">
        <v>45</v>
      </c>
      <c r="BN3" s="6" t="s">
        <v>4</v>
      </c>
      <c r="BO3" s="6" t="s">
        <v>45</v>
      </c>
      <c r="BP3" s="6" t="s">
        <v>13</v>
      </c>
      <c r="BR3" s="22" t="s">
        <v>12</v>
      </c>
      <c r="BS3" s="6" t="s">
        <v>3</v>
      </c>
      <c r="BT3" s="6" t="s">
        <v>45</v>
      </c>
      <c r="BU3" s="6" t="s">
        <v>4</v>
      </c>
      <c r="BV3" s="6" t="s">
        <v>45</v>
      </c>
      <c r="BW3" s="6" t="s">
        <v>13</v>
      </c>
      <c r="BY3" s="6" t="s">
        <v>12</v>
      </c>
      <c r="BZ3" s="6" t="s">
        <v>3</v>
      </c>
      <c r="CA3" s="6" t="s">
        <v>45</v>
      </c>
      <c r="CB3" s="6" t="s">
        <v>4</v>
      </c>
      <c r="CC3" s="6" t="s">
        <v>45</v>
      </c>
      <c r="CD3" s="6" t="s">
        <v>13</v>
      </c>
      <c r="CF3" s="22" t="s">
        <v>12</v>
      </c>
      <c r="CG3" s="6" t="s">
        <v>3</v>
      </c>
      <c r="CH3" s="6" t="s">
        <v>45</v>
      </c>
      <c r="CI3" s="6" t="s">
        <v>4</v>
      </c>
      <c r="CJ3" s="6" t="s">
        <v>45</v>
      </c>
      <c r="CK3" s="6" t="s">
        <v>13</v>
      </c>
      <c r="CM3" s="6" t="s">
        <v>12</v>
      </c>
      <c r="CN3" s="6" t="s">
        <v>3</v>
      </c>
      <c r="CO3" s="6" t="s">
        <v>45</v>
      </c>
      <c r="CP3" s="6" t="s">
        <v>4</v>
      </c>
      <c r="CQ3" s="6" t="s">
        <v>45</v>
      </c>
      <c r="CR3" s="6" t="s">
        <v>13</v>
      </c>
      <c r="CT3" s="6" t="s">
        <v>12</v>
      </c>
      <c r="CU3" s="6" t="s">
        <v>3</v>
      </c>
      <c r="CV3" s="6" t="s">
        <v>45</v>
      </c>
      <c r="CW3" s="6" t="s">
        <v>4</v>
      </c>
      <c r="CX3" s="6" t="s">
        <v>45</v>
      </c>
      <c r="CY3" s="6" t="s">
        <v>13</v>
      </c>
    </row>
    <row r="4" spans="2:103" outlineLevel="1">
      <c r="E4" s="10"/>
      <c r="G4" s="11"/>
      <c r="I4" s="10"/>
      <c r="J4" s="12"/>
      <c r="K4" s="12"/>
      <c r="L4" s="10"/>
      <c r="O4" s="11"/>
      <c r="P4" s="11"/>
      <c r="Q4" s="11"/>
      <c r="R4" s="11"/>
      <c r="V4" s="11"/>
      <c r="W4" s="11"/>
      <c r="X4" s="11"/>
      <c r="Y4" s="11"/>
      <c r="AC4" s="11"/>
      <c r="AD4" s="11"/>
      <c r="AE4" s="11"/>
      <c r="AF4" s="11"/>
      <c r="AJ4" s="11"/>
      <c r="AK4" s="11"/>
      <c r="AL4" s="11"/>
      <c r="AM4" s="11"/>
      <c r="AQ4" s="11"/>
      <c r="AR4" s="11"/>
      <c r="AS4" s="11"/>
      <c r="AT4" s="11"/>
      <c r="AX4" s="11"/>
      <c r="AY4" s="11"/>
      <c r="AZ4" s="11"/>
      <c r="BA4" s="11"/>
      <c r="BE4" s="11"/>
      <c r="BF4" s="11"/>
      <c r="BG4" s="11"/>
      <c r="BH4" s="11"/>
      <c r="BL4" s="11"/>
      <c r="BM4" s="11"/>
      <c r="BN4" s="11"/>
      <c r="BO4" s="11"/>
      <c r="BS4" s="11"/>
      <c r="BT4" s="11"/>
      <c r="BU4" s="11"/>
      <c r="BV4" s="11"/>
      <c r="BZ4" s="11"/>
      <c r="CA4" s="11"/>
      <c r="CB4" s="11"/>
      <c r="CC4" s="11"/>
      <c r="CG4" s="11"/>
      <c r="CH4" s="11"/>
      <c r="CI4" s="11"/>
      <c r="CJ4" s="11"/>
    </row>
    <row r="5" spans="2:103">
      <c r="B5" t="s">
        <v>28</v>
      </c>
      <c r="C5" t="s">
        <v>68</v>
      </c>
      <c r="D5" s="20">
        <v>44406</v>
      </c>
      <c r="E5" s="10">
        <v>5</v>
      </c>
      <c r="G5" s="11">
        <v>1</v>
      </c>
      <c r="I5" s="13">
        <f>+SUM(I6:I18)</f>
        <v>130</v>
      </c>
      <c r="J5" s="12">
        <f>+SUMPRODUCT(G6:G18,J6:J18)</f>
        <v>0.1</v>
      </c>
      <c r="K5" s="12">
        <f>+SUMPRODUCT(G6:G18,K6:K18)</f>
        <v>0.16000000000000003</v>
      </c>
      <c r="L5" s="10"/>
      <c r="N5" s="13">
        <v>22</v>
      </c>
      <c r="U5" s="13">
        <v>21</v>
      </c>
      <c r="AB5" s="13">
        <v>20</v>
      </c>
      <c r="AI5" s="13">
        <v>20</v>
      </c>
      <c r="AP5" s="13">
        <v>21</v>
      </c>
      <c r="AW5" s="13">
        <v>30</v>
      </c>
      <c r="BD5" s="23">
        <f>+SUM(BD6:BD18)</f>
        <v>0</v>
      </c>
      <c r="BK5" s="13"/>
      <c r="BR5" s="23"/>
      <c r="BY5" s="13"/>
      <c r="CF5" s="23"/>
    </row>
    <row r="6" spans="2:103" outlineLevel="1">
      <c r="B6" t="s">
        <v>29</v>
      </c>
      <c r="C6" t="s">
        <v>68</v>
      </c>
      <c r="E6" s="10"/>
      <c r="F6" t="s">
        <v>86</v>
      </c>
      <c r="G6" s="11">
        <v>0.2</v>
      </c>
      <c r="I6" s="10">
        <f>+SUMIF($N$3:$ZZ$3,I$3,$N6:$ZZ6)</f>
        <v>7</v>
      </c>
      <c r="J6" s="12">
        <f t="shared" ref="J6:K10" si="0">+_xlfn.MAXIFS($N6:$ZF6,$N$3:$ZF$3,J$3)</f>
        <v>0.5</v>
      </c>
      <c r="K6" s="12">
        <f t="shared" si="0"/>
        <v>0.8</v>
      </c>
      <c r="L6" s="10"/>
      <c r="N6">
        <v>2</v>
      </c>
      <c r="O6" s="11">
        <v>0.5</v>
      </c>
      <c r="P6" s="11">
        <v>0.5</v>
      </c>
      <c r="Q6" s="11">
        <v>0.8</v>
      </c>
      <c r="R6" s="11">
        <v>0.8</v>
      </c>
      <c r="U6">
        <v>1</v>
      </c>
      <c r="V6" s="11"/>
      <c r="W6" s="11">
        <v>1</v>
      </c>
      <c r="X6" s="11"/>
      <c r="Y6" s="11">
        <v>1</v>
      </c>
      <c r="AB6">
        <v>1</v>
      </c>
      <c r="AC6" s="11"/>
      <c r="AD6" s="11">
        <v>1</v>
      </c>
      <c r="AE6" s="11"/>
      <c r="AF6" s="11">
        <v>1</v>
      </c>
      <c r="AI6">
        <v>1</v>
      </c>
      <c r="AJ6" s="11"/>
      <c r="AK6" s="11">
        <v>1</v>
      </c>
      <c r="AL6" s="11"/>
      <c r="AM6" s="11">
        <v>1</v>
      </c>
      <c r="AP6">
        <v>1</v>
      </c>
      <c r="AQ6" s="11"/>
      <c r="AR6" s="11">
        <v>1</v>
      </c>
      <c r="AS6" s="11"/>
      <c r="AT6" s="11">
        <v>1</v>
      </c>
      <c r="AW6">
        <v>1</v>
      </c>
      <c r="AX6" s="11"/>
      <c r="AY6" s="11">
        <v>1</v>
      </c>
      <c r="AZ6" s="11"/>
      <c r="BA6" s="11">
        <v>1</v>
      </c>
      <c r="BE6" s="11"/>
      <c r="BF6" s="11"/>
      <c r="BG6" s="11"/>
      <c r="BH6" s="11"/>
      <c r="BL6" s="11"/>
      <c r="BM6" s="11"/>
      <c r="BN6" s="11"/>
      <c r="BO6" s="11"/>
      <c r="BS6" s="11"/>
      <c r="BU6" s="11"/>
      <c r="BV6" s="11"/>
      <c r="BZ6" s="11"/>
      <c r="CB6" s="11"/>
      <c r="CC6" s="11"/>
      <c r="CG6" s="11"/>
      <c r="CI6" s="11"/>
      <c r="CJ6" s="11"/>
    </row>
    <row r="7" spans="2:103" outlineLevel="1">
      <c r="B7" t="s">
        <v>29</v>
      </c>
      <c r="C7" t="s">
        <v>68</v>
      </c>
      <c r="E7" s="10"/>
      <c r="F7" t="s">
        <v>87</v>
      </c>
      <c r="G7" s="11">
        <v>0.2</v>
      </c>
      <c r="I7" s="10">
        <f t="shared" ref="I7:I10" si="1">+SUMIF($N$3:$ZZ$3,I$3,$N7:$ZZ7)</f>
        <v>28</v>
      </c>
      <c r="J7" s="12">
        <f t="shared" si="0"/>
        <v>0</v>
      </c>
      <c r="K7" s="12">
        <f t="shared" si="0"/>
        <v>0</v>
      </c>
      <c r="L7" s="10"/>
      <c r="N7">
        <v>6</v>
      </c>
      <c r="O7" s="11"/>
      <c r="P7" s="11">
        <v>0.3</v>
      </c>
      <c r="Q7" s="11"/>
      <c r="R7" s="11">
        <v>0.8</v>
      </c>
      <c r="U7">
        <v>6</v>
      </c>
      <c r="V7" s="11"/>
      <c r="W7" s="11">
        <v>0.6</v>
      </c>
      <c r="X7" s="11"/>
      <c r="Y7" s="11">
        <v>1</v>
      </c>
      <c r="AB7">
        <v>4</v>
      </c>
      <c r="AC7" s="11"/>
      <c r="AD7" s="11">
        <v>0.8</v>
      </c>
      <c r="AE7" s="11"/>
      <c r="AF7" s="11">
        <v>1</v>
      </c>
      <c r="AI7">
        <v>4</v>
      </c>
      <c r="AJ7" s="11"/>
      <c r="AK7" s="11">
        <v>1</v>
      </c>
      <c r="AL7" s="11"/>
      <c r="AM7" s="11">
        <v>1</v>
      </c>
      <c r="AP7">
        <v>4</v>
      </c>
      <c r="AQ7" s="11"/>
      <c r="AR7" s="11">
        <v>1</v>
      </c>
      <c r="AS7" s="11"/>
      <c r="AT7" s="11">
        <v>1</v>
      </c>
      <c r="AW7">
        <v>4</v>
      </c>
      <c r="AX7" s="11"/>
      <c r="AY7" s="11">
        <v>1</v>
      </c>
      <c r="AZ7" s="11"/>
      <c r="BA7" s="11">
        <v>1</v>
      </c>
      <c r="BE7" s="11"/>
      <c r="BF7" s="11"/>
      <c r="BG7" s="11"/>
      <c r="BH7" s="11"/>
      <c r="BL7" s="11"/>
      <c r="BM7" s="11"/>
      <c r="BN7" s="11"/>
      <c r="BO7" s="11"/>
      <c r="BS7" s="11"/>
      <c r="BT7" s="11"/>
      <c r="BU7" s="11"/>
      <c r="BV7" s="11"/>
      <c r="BZ7" s="11"/>
      <c r="CA7" s="11"/>
      <c r="CB7" s="11"/>
      <c r="CC7" s="11"/>
      <c r="CG7" s="11"/>
      <c r="CH7" s="11"/>
      <c r="CI7" s="11"/>
      <c r="CJ7" s="11"/>
    </row>
    <row r="8" spans="2:103" outlineLevel="1">
      <c r="B8" t="s">
        <v>29</v>
      </c>
      <c r="C8" t="s">
        <v>68</v>
      </c>
      <c r="E8" s="10"/>
      <c r="F8" t="s">
        <v>88</v>
      </c>
      <c r="G8" s="11">
        <v>0.2</v>
      </c>
      <c r="I8" s="10">
        <f t="shared" si="1"/>
        <v>30</v>
      </c>
      <c r="J8" s="12">
        <f t="shared" si="0"/>
        <v>0</v>
      </c>
      <c r="K8" s="12">
        <f t="shared" si="0"/>
        <v>0</v>
      </c>
      <c r="L8" s="10"/>
      <c r="N8">
        <v>6</v>
      </c>
      <c r="O8" s="11"/>
      <c r="P8" s="11">
        <v>0.3</v>
      </c>
      <c r="Q8" s="11"/>
      <c r="R8" s="11">
        <v>0.8</v>
      </c>
      <c r="U8">
        <v>5</v>
      </c>
      <c r="V8" s="11"/>
      <c r="W8" s="11">
        <v>0.6</v>
      </c>
      <c r="X8" s="11"/>
      <c r="Y8" s="11">
        <v>1</v>
      </c>
      <c r="AB8">
        <v>4</v>
      </c>
      <c r="AC8" s="11"/>
      <c r="AD8" s="11">
        <v>0.8</v>
      </c>
      <c r="AE8" s="11"/>
      <c r="AF8" s="11">
        <v>1</v>
      </c>
      <c r="AI8">
        <v>5</v>
      </c>
      <c r="AJ8" s="11"/>
      <c r="AK8" s="11">
        <v>1</v>
      </c>
      <c r="AL8" s="11"/>
      <c r="AM8" s="11">
        <v>1</v>
      </c>
      <c r="AP8">
        <v>5</v>
      </c>
      <c r="AQ8" s="11"/>
      <c r="AR8" s="11">
        <v>1</v>
      </c>
      <c r="AS8" s="11"/>
      <c r="AT8" s="11">
        <v>1</v>
      </c>
      <c r="AW8">
        <v>5</v>
      </c>
      <c r="AX8" s="11"/>
      <c r="AY8" s="11">
        <v>1</v>
      </c>
      <c r="AZ8" s="11"/>
      <c r="BA8" s="11">
        <v>1</v>
      </c>
      <c r="BE8" s="11"/>
      <c r="BF8" s="11"/>
      <c r="BG8" s="11"/>
      <c r="BH8" s="11"/>
      <c r="BL8" s="11"/>
      <c r="BM8" s="11"/>
      <c r="BN8" s="11"/>
      <c r="BO8" s="11"/>
      <c r="BS8" s="11"/>
      <c r="BT8" s="11"/>
      <c r="BU8" s="11"/>
      <c r="BV8" s="11"/>
      <c r="BZ8" s="11"/>
      <c r="CA8" s="11"/>
      <c r="CB8" s="11"/>
      <c r="CC8" s="11"/>
      <c r="CG8" s="11"/>
      <c r="CH8" s="11"/>
      <c r="CI8" s="11"/>
      <c r="CJ8" s="11"/>
    </row>
    <row r="9" spans="2:103" outlineLevel="1">
      <c r="B9" t="s">
        <v>29</v>
      </c>
      <c r="C9" t="s">
        <v>68</v>
      </c>
      <c r="E9" s="10"/>
      <c r="F9" t="s">
        <v>89</v>
      </c>
      <c r="G9" s="11">
        <v>0.2</v>
      </c>
      <c r="I9" s="10">
        <f t="shared" si="1"/>
        <v>32</v>
      </c>
      <c r="J9" s="12">
        <f t="shared" si="0"/>
        <v>0</v>
      </c>
      <c r="K9" s="12">
        <f t="shared" si="0"/>
        <v>0</v>
      </c>
      <c r="L9" s="10"/>
      <c r="N9">
        <v>4</v>
      </c>
      <c r="O9" s="11"/>
      <c r="P9" s="11">
        <v>0.3</v>
      </c>
      <c r="Q9" s="11"/>
      <c r="R9" s="11">
        <v>0.5</v>
      </c>
      <c r="U9">
        <v>5</v>
      </c>
      <c r="V9" s="11"/>
      <c r="W9" s="11">
        <v>0.5</v>
      </c>
      <c r="X9" s="11"/>
      <c r="Y9" s="11">
        <v>0.8</v>
      </c>
      <c r="AB9">
        <v>5</v>
      </c>
      <c r="AC9" s="11"/>
      <c r="AD9" s="11">
        <v>0.8</v>
      </c>
      <c r="AE9" s="11"/>
      <c r="AF9" s="11">
        <v>1</v>
      </c>
      <c r="AI9">
        <v>5</v>
      </c>
      <c r="AJ9" s="11"/>
      <c r="AK9" s="11">
        <v>1</v>
      </c>
      <c r="AL9" s="11"/>
      <c r="AM9" s="11">
        <v>1</v>
      </c>
      <c r="AP9">
        <v>6</v>
      </c>
      <c r="AQ9" s="11"/>
      <c r="AR9" s="11">
        <v>1</v>
      </c>
      <c r="AS9" s="11"/>
      <c r="AT9" s="11">
        <v>1</v>
      </c>
      <c r="AW9">
        <v>7</v>
      </c>
      <c r="AX9" s="11"/>
      <c r="AY9" s="11">
        <v>1</v>
      </c>
      <c r="AZ9" s="11"/>
      <c r="BA9" s="11">
        <v>1</v>
      </c>
      <c r="BE9" s="11"/>
      <c r="BF9" s="11"/>
      <c r="BG9" s="11"/>
      <c r="BH9" s="11"/>
      <c r="BL9" s="11"/>
      <c r="BM9" s="11"/>
      <c r="BN9" s="11"/>
      <c r="BO9" s="11"/>
      <c r="BS9" s="11"/>
      <c r="BT9" s="11"/>
      <c r="BU9" s="11"/>
      <c r="BV9" s="11"/>
      <c r="BZ9" s="11"/>
      <c r="CA9" s="11"/>
      <c r="CB9" s="11"/>
      <c r="CC9" s="11"/>
      <c r="CG9" s="11"/>
      <c r="CH9" s="11"/>
      <c r="CI9" s="11"/>
      <c r="CJ9" s="11"/>
    </row>
    <row r="10" spans="2:103" outlineLevel="1">
      <c r="B10" t="s">
        <v>29</v>
      </c>
      <c r="C10" t="s">
        <v>68</v>
      </c>
      <c r="E10" s="10"/>
      <c r="F10" t="s">
        <v>90</v>
      </c>
      <c r="G10" s="11">
        <v>0.2</v>
      </c>
      <c r="I10" s="10">
        <f t="shared" si="1"/>
        <v>33</v>
      </c>
      <c r="J10" s="12">
        <f t="shared" si="0"/>
        <v>0</v>
      </c>
      <c r="K10" s="12">
        <f t="shared" si="0"/>
        <v>0</v>
      </c>
      <c r="L10" s="10"/>
      <c r="N10">
        <v>4</v>
      </c>
      <c r="O10" s="11"/>
      <c r="P10" s="11">
        <v>0.3</v>
      </c>
      <c r="Q10" s="11"/>
      <c r="R10" s="11">
        <v>0.5</v>
      </c>
      <c r="U10">
        <v>4</v>
      </c>
      <c r="V10" s="11"/>
      <c r="W10" s="11">
        <v>0.5</v>
      </c>
      <c r="X10" s="11"/>
      <c r="Y10" s="11">
        <v>0.8</v>
      </c>
      <c r="AB10">
        <v>6</v>
      </c>
      <c r="AC10" s="11"/>
      <c r="AD10" s="11">
        <v>0.8</v>
      </c>
      <c r="AE10" s="11"/>
      <c r="AF10" s="11">
        <v>1</v>
      </c>
      <c r="AI10">
        <v>5</v>
      </c>
      <c r="AJ10" s="11"/>
      <c r="AK10" s="11">
        <v>1</v>
      </c>
      <c r="AL10" s="11"/>
      <c r="AM10" s="11">
        <v>1</v>
      </c>
      <c r="AP10">
        <v>7</v>
      </c>
      <c r="AQ10" s="11"/>
      <c r="AR10" s="11">
        <v>1</v>
      </c>
      <c r="AS10" s="11"/>
      <c r="AT10" s="11">
        <v>1</v>
      </c>
      <c r="AW10">
        <v>7</v>
      </c>
      <c r="AX10" s="11"/>
      <c r="AY10" s="11">
        <v>1</v>
      </c>
      <c r="AZ10" s="11"/>
      <c r="BA10" s="11">
        <v>1</v>
      </c>
      <c r="BE10" s="11"/>
      <c r="BF10" s="11"/>
      <c r="BG10" s="11"/>
      <c r="BH10" s="11"/>
      <c r="BL10" s="11"/>
      <c r="BM10" s="11"/>
      <c r="BN10" s="11"/>
      <c r="BO10" s="11"/>
      <c r="BS10" s="11"/>
      <c r="BT10" s="11"/>
      <c r="BU10" s="11"/>
      <c r="BV10" s="11"/>
      <c r="BZ10" s="11"/>
      <c r="CA10" s="11"/>
      <c r="CB10" s="11"/>
      <c r="CC10" s="11"/>
      <c r="CG10" s="11"/>
      <c r="CH10" s="11"/>
      <c r="CI10" s="11"/>
      <c r="CJ10" s="11"/>
    </row>
    <row r="11" spans="2:103" outlineLevel="1">
      <c r="E11" s="10"/>
      <c r="G11" s="11"/>
      <c r="I11" s="10"/>
      <c r="J11" s="12"/>
      <c r="K11" s="12"/>
      <c r="L11" s="10"/>
      <c r="O11" s="11"/>
      <c r="P11" s="11"/>
      <c r="Q11" s="11"/>
      <c r="R11" s="11"/>
      <c r="V11" s="11"/>
      <c r="W11" s="11"/>
      <c r="X11" s="11"/>
      <c r="Y11" s="11"/>
      <c r="AC11" s="11"/>
      <c r="AD11" s="11"/>
      <c r="AE11" s="11"/>
      <c r="AF11" s="11"/>
      <c r="AJ11" s="11"/>
      <c r="AK11" s="11"/>
      <c r="AL11" s="11"/>
      <c r="AM11" s="11"/>
      <c r="AQ11" s="11"/>
      <c r="AR11" s="11"/>
      <c r="AS11" s="11"/>
      <c r="AT11" s="11"/>
      <c r="AX11" s="11"/>
      <c r="AY11" s="11"/>
      <c r="AZ11" s="11"/>
      <c r="BA11" s="11"/>
      <c r="BE11" s="11"/>
      <c r="BF11" s="11"/>
      <c r="BG11" s="11"/>
      <c r="BH11" s="11"/>
      <c r="BL11" s="11"/>
      <c r="BM11" s="11"/>
      <c r="BN11" s="11"/>
      <c r="BO11" s="11"/>
      <c r="BS11" s="11"/>
      <c r="BT11" s="11"/>
      <c r="BU11" s="11"/>
      <c r="BV11" s="11"/>
      <c r="BZ11" s="11"/>
      <c r="CA11" s="11"/>
      <c r="CB11" s="11"/>
      <c r="CC11" s="11"/>
      <c r="CG11" s="11"/>
      <c r="CH11" s="11"/>
      <c r="CI11" s="11"/>
      <c r="CJ11" s="11"/>
    </row>
    <row r="12" spans="2:103" outlineLevel="1">
      <c r="E12" s="10"/>
      <c r="G12" s="11"/>
      <c r="I12" s="10"/>
      <c r="J12" s="12"/>
      <c r="K12" s="12"/>
      <c r="L12" s="10"/>
      <c r="O12" s="11"/>
      <c r="P12" s="11"/>
      <c r="Q12" s="11"/>
      <c r="R12" s="11"/>
      <c r="V12" s="11"/>
      <c r="W12" s="11"/>
      <c r="X12" s="11"/>
      <c r="Y12" s="11"/>
      <c r="AC12" s="11"/>
      <c r="AD12" s="11"/>
      <c r="AE12" s="11"/>
      <c r="AF12" s="11"/>
      <c r="AJ12" s="11"/>
      <c r="AK12" s="11"/>
      <c r="AL12" s="11"/>
      <c r="AM12" s="11"/>
      <c r="AQ12" s="11"/>
      <c r="AR12" s="11"/>
      <c r="AS12" s="11"/>
      <c r="AT12" s="11"/>
      <c r="AX12" s="11"/>
      <c r="AY12" s="11"/>
      <c r="AZ12" s="11"/>
      <c r="BA12" s="11"/>
      <c r="BE12" s="11"/>
      <c r="BF12" s="11"/>
      <c r="BG12" s="11"/>
      <c r="BH12" s="11"/>
      <c r="BL12" s="11"/>
      <c r="BM12" s="11"/>
      <c r="BN12" s="11"/>
      <c r="BO12" s="11"/>
      <c r="BS12" s="11"/>
      <c r="BT12" s="11"/>
      <c r="BU12" s="11"/>
      <c r="BV12" s="11"/>
      <c r="BZ12" s="11"/>
      <c r="CA12" s="11"/>
      <c r="CB12" s="11"/>
      <c r="CC12" s="11"/>
      <c r="CG12" s="11"/>
      <c r="CH12" s="11"/>
      <c r="CI12" s="11"/>
      <c r="CJ12" s="11"/>
    </row>
    <row r="13" spans="2:103" ht="15.75" hidden="1" customHeight="1" outlineLevel="1">
      <c r="B13" t="s">
        <v>29</v>
      </c>
      <c r="C13" t="s">
        <v>51</v>
      </c>
      <c r="E13" s="10"/>
      <c r="F13" t="s">
        <v>31</v>
      </c>
      <c r="G13" s="11">
        <v>0.1</v>
      </c>
      <c r="I13" s="10">
        <f t="shared" ref="I13:I18" si="2">+SUMIF($N$3:$ZZ$3,I$3,$N13:$ZZ13)</f>
        <v>0</v>
      </c>
      <c r="J13" s="12">
        <f t="shared" ref="J13:K18" si="3">+_xlfn.MAXIFS($N13:$ZF13,$N$3:$ZF$3,J$3)</f>
        <v>0</v>
      </c>
      <c r="K13" s="12">
        <f t="shared" si="3"/>
        <v>0</v>
      </c>
      <c r="L13" s="10"/>
      <c r="O13" s="11"/>
      <c r="P13" s="11"/>
      <c r="Q13" s="11"/>
      <c r="R13" s="11"/>
      <c r="V13" s="11"/>
      <c r="W13" s="11"/>
      <c r="X13" s="11"/>
      <c r="Y13" s="11"/>
      <c r="AC13" s="11"/>
      <c r="AD13" s="11"/>
      <c r="AE13" s="11"/>
      <c r="AF13" s="11"/>
      <c r="AJ13" s="11"/>
      <c r="AK13" s="11"/>
      <c r="AL13" s="11"/>
      <c r="AM13" s="11"/>
      <c r="AQ13" s="11"/>
      <c r="AR13" s="11">
        <v>1</v>
      </c>
      <c r="AS13" s="11"/>
      <c r="AT13" s="11">
        <v>1</v>
      </c>
      <c r="AX13" s="11"/>
      <c r="AY13" s="11"/>
      <c r="AZ13" s="11"/>
      <c r="BA13" s="11"/>
      <c r="BE13" s="11"/>
      <c r="BF13" s="11"/>
      <c r="BG13" s="11"/>
      <c r="BH13" s="11"/>
      <c r="BL13" s="11"/>
      <c r="BM13" s="11"/>
      <c r="BN13" s="11"/>
      <c r="BO13" s="11"/>
      <c r="BS13" s="11"/>
      <c r="BT13" s="11"/>
      <c r="BU13" s="11"/>
      <c r="BV13" s="11"/>
      <c r="BZ13" s="11"/>
      <c r="CA13" s="11"/>
      <c r="CB13" s="11"/>
      <c r="CC13" s="11"/>
      <c r="CG13" s="11"/>
      <c r="CH13" s="11"/>
      <c r="CI13" s="11"/>
      <c r="CJ13" s="11"/>
    </row>
    <row r="14" spans="2:103" ht="15.75" hidden="1" customHeight="1" outlineLevel="1">
      <c r="B14" t="s">
        <v>29</v>
      </c>
      <c r="C14" t="s">
        <v>51</v>
      </c>
      <c r="E14" s="10"/>
      <c r="F14" t="s">
        <v>52</v>
      </c>
      <c r="G14" s="11">
        <v>0.2</v>
      </c>
      <c r="I14" s="10">
        <f t="shared" si="2"/>
        <v>0</v>
      </c>
      <c r="J14" s="12">
        <f t="shared" si="3"/>
        <v>0</v>
      </c>
      <c r="K14" s="12">
        <f t="shared" si="3"/>
        <v>0</v>
      </c>
      <c r="L14" s="10"/>
      <c r="O14" s="11"/>
      <c r="P14" s="11"/>
      <c r="Q14" s="11"/>
      <c r="R14" s="11"/>
      <c r="V14" s="11"/>
      <c r="W14" s="11"/>
      <c r="X14" s="11"/>
      <c r="Y14" s="11"/>
      <c r="AC14" s="11"/>
      <c r="AD14" s="11"/>
      <c r="AE14" s="11"/>
      <c r="AF14" s="11"/>
      <c r="AJ14" s="11"/>
      <c r="AK14" s="11"/>
      <c r="AL14" s="11"/>
      <c r="AM14" s="11"/>
      <c r="AQ14" s="11"/>
      <c r="AR14" s="11">
        <v>1</v>
      </c>
      <c r="AS14" s="11"/>
      <c r="AT14" s="11">
        <v>1</v>
      </c>
      <c r="AX14" s="11"/>
      <c r="AY14" s="11"/>
      <c r="AZ14" s="11"/>
      <c r="BA14" s="11"/>
      <c r="BE14" s="11"/>
      <c r="BF14" s="11"/>
      <c r="BG14" s="11"/>
      <c r="BH14" s="11"/>
      <c r="BL14" s="11"/>
      <c r="BM14" s="11"/>
      <c r="BN14" s="11"/>
      <c r="BO14" s="11"/>
      <c r="BS14" s="11"/>
      <c r="BT14" s="11"/>
      <c r="BU14" s="11"/>
      <c r="BV14" s="11"/>
      <c r="BZ14" s="11"/>
      <c r="CA14" s="11"/>
      <c r="CB14" s="11"/>
      <c r="CC14" s="11"/>
      <c r="CG14" s="11"/>
      <c r="CH14" s="11"/>
      <c r="CI14" s="11"/>
      <c r="CJ14" s="11"/>
    </row>
    <row r="15" spans="2:103" ht="15.75" hidden="1" customHeight="1" outlineLevel="1">
      <c r="B15" t="s">
        <v>29</v>
      </c>
      <c r="C15" t="s">
        <v>51</v>
      </c>
      <c r="E15" s="10"/>
      <c r="F15" t="s">
        <v>53</v>
      </c>
      <c r="G15" s="11">
        <v>0.15</v>
      </c>
      <c r="I15" s="10">
        <f t="shared" si="2"/>
        <v>0</v>
      </c>
      <c r="J15" s="12">
        <f t="shared" si="3"/>
        <v>0</v>
      </c>
      <c r="K15" s="12">
        <f t="shared" si="3"/>
        <v>0</v>
      </c>
      <c r="L15" s="10"/>
      <c r="O15" s="11"/>
      <c r="P15" s="11"/>
      <c r="Q15" s="11"/>
      <c r="R15" s="11"/>
      <c r="V15" s="11"/>
      <c r="W15" s="11"/>
      <c r="X15" s="11"/>
      <c r="Y15" s="11"/>
      <c r="AC15" s="11"/>
      <c r="AD15" s="11"/>
      <c r="AE15" s="11"/>
      <c r="AF15" s="11"/>
      <c r="AJ15" s="11"/>
      <c r="AK15" s="11"/>
      <c r="AL15" s="11"/>
      <c r="AM15" s="11"/>
      <c r="AQ15" s="11"/>
      <c r="AR15" s="11">
        <v>1</v>
      </c>
      <c r="AS15" s="11"/>
      <c r="AT15" s="11">
        <v>1</v>
      </c>
      <c r="AX15" s="11"/>
      <c r="AY15" s="11"/>
      <c r="AZ15" s="11"/>
      <c r="BA15" s="11"/>
      <c r="BE15" s="11"/>
      <c r="BF15" s="11"/>
      <c r="BG15" s="11"/>
      <c r="BH15" s="11"/>
      <c r="BL15" s="11"/>
      <c r="BM15" s="11"/>
      <c r="BN15" s="11"/>
      <c r="BO15" s="11"/>
      <c r="BS15" s="11"/>
      <c r="BT15" s="11"/>
      <c r="BU15" s="11"/>
      <c r="BV15" s="11"/>
      <c r="BZ15" s="11"/>
      <c r="CA15" s="11"/>
      <c r="CB15" s="11"/>
      <c r="CC15" s="11"/>
      <c r="CG15" s="11"/>
      <c r="CH15" s="11"/>
      <c r="CI15" s="11"/>
      <c r="CJ15" s="11"/>
    </row>
    <row r="16" spans="2:103" ht="15.75" hidden="1" customHeight="1" outlineLevel="1">
      <c r="B16" t="s">
        <v>29</v>
      </c>
      <c r="C16" t="s">
        <v>51</v>
      </c>
      <c r="E16" s="10"/>
      <c r="F16" t="s">
        <v>54</v>
      </c>
      <c r="G16" s="11">
        <v>0.15</v>
      </c>
      <c r="I16" s="10">
        <f t="shared" si="2"/>
        <v>0</v>
      </c>
      <c r="J16" s="12">
        <f t="shared" si="3"/>
        <v>0</v>
      </c>
      <c r="K16" s="12">
        <f t="shared" si="3"/>
        <v>0</v>
      </c>
      <c r="L16" s="10"/>
      <c r="O16" s="11"/>
      <c r="P16" s="11"/>
      <c r="Q16" s="11"/>
      <c r="R16" s="11"/>
      <c r="V16" s="11"/>
      <c r="W16" s="11"/>
      <c r="X16" s="11"/>
      <c r="Y16" s="11"/>
      <c r="AC16" s="11"/>
      <c r="AD16" s="11"/>
      <c r="AE16" s="11"/>
      <c r="AF16" s="11"/>
      <c r="AJ16" s="11"/>
      <c r="AK16" s="11"/>
      <c r="AL16" s="11"/>
      <c r="AM16" s="11"/>
      <c r="AQ16" s="11"/>
      <c r="AR16" s="11">
        <v>1</v>
      </c>
      <c r="AS16" s="11"/>
      <c r="AT16" s="11">
        <v>1</v>
      </c>
      <c r="AX16" s="11"/>
      <c r="AY16" s="11"/>
      <c r="AZ16" s="11"/>
      <c r="BA16" s="11"/>
      <c r="BE16" s="11"/>
      <c r="BF16" s="11"/>
      <c r="BG16" s="11"/>
      <c r="BH16" s="11"/>
      <c r="BL16" s="11"/>
      <c r="BM16" s="11"/>
      <c r="BN16" s="11"/>
      <c r="BO16" s="11"/>
      <c r="BS16" s="11"/>
      <c r="BT16" s="11"/>
      <c r="BU16" s="11"/>
      <c r="BV16" s="11"/>
      <c r="BZ16" s="11"/>
      <c r="CA16" s="11"/>
      <c r="CB16" s="11"/>
      <c r="CC16" s="11"/>
      <c r="CG16" s="11"/>
      <c r="CH16" s="11"/>
      <c r="CI16" s="11"/>
      <c r="CJ16" s="11"/>
    </row>
    <row r="17" spans="2:88" ht="15.75" hidden="1" customHeight="1" outlineLevel="1">
      <c r="B17" t="s">
        <v>29</v>
      </c>
      <c r="C17" t="s">
        <v>51</v>
      </c>
      <c r="E17" s="10"/>
      <c r="F17" t="s">
        <v>55</v>
      </c>
      <c r="G17" s="11">
        <v>0.2</v>
      </c>
      <c r="I17" s="10">
        <f t="shared" si="2"/>
        <v>0</v>
      </c>
      <c r="J17" s="12">
        <f t="shared" si="3"/>
        <v>0</v>
      </c>
      <c r="K17" s="12">
        <f t="shared" si="3"/>
        <v>0</v>
      </c>
      <c r="L17" s="10"/>
      <c r="O17" s="11"/>
      <c r="P17" s="11"/>
      <c r="Q17" s="11"/>
      <c r="R17" s="11"/>
      <c r="V17" s="11"/>
      <c r="W17" s="11"/>
      <c r="X17" s="11"/>
      <c r="Y17" s="11"/>
      <c r="AC17" s="11"/>
      <c r="AD17" s="11"/>
      <c r="AE17" s="11"/>
      <c r="AF17" s="11"/>
      <c r="AJ17" s="11"/>
      <c r="AK17" s="11"/>
      <c r="AL17" s="11"/>
      <c r="AM17" s="11"/>
      <c r="AQ17" s="11"/>
      <c r="AR17" s="11">
        <v>1</v>
      </c>
      <c r="AS17" s="11"/>
      <c r="AT17" s="11">
        <v>1</v>
      </c>
      <c r="AX17" s="11"/>
      <c r="AY17" s="11"/>
      <c r="AZ17" s="11"/>
      <c r="BA17" s="11"/>
      <c r="BE17" s="11"/>
      <c r="BF17" s="11"/>
      <c r="BG17" s="11"/>
      <c r="BH17" s="11"/>
      <c r="BL17" s="11"/>
      <c r="BM17" s="11"/>
      <c r="BN17" s="11"/>
      <c r="BO17" s="11"/>
      <c r="BS17" s="11"/>
      <c r="BT17" s="11"/>
      <c r="BU17" s="11"/>
      <c r="BV17" s="11"/>
      <c r="BZ17" s="11"/>
      <c r="CA17" s="11"/>
      <c r="CB17" s="11"/>
      <c r="CC17" s="11"/>
      <c r="CG17" s="11"/>
      <c r="CH17" s="11"/>
      <c r="CI17" s="11"/>
      <c r="CJ17" s="11"/>
    </row>
    <row r="18" spans="2:88" ht="15.75" hidden="1" customHeight="1" outlineLevel="1">
      <c r="B18" t="s">
        <v>29</v>
      </c>
      <c r="C18" t="s">
        <v>51</v>
      </c>
      <c r="E18" s="10"/>
      <c r="F18" t="s">
        <v>56</v>
      </c>
      <c r="G18" s="11">
        <v>0.2</v>
      </c>
      <c r="I18" s="10">
        <f t="shared" si="2"/>
        <v>0</v>
      </c>
      <c r="J18" s="12">
        <f t="shared" si="3"/>
        <v>0</v>
      </c>
      <c r="K18" s="12">
        <f t="shared" si="3"/>
        <v>0</v>
      </c>
      <c r="L18" s="10"/>
      <c r="O18" s="11"/>
      <c r="P18" s="11"/>
      <c r="Q18" s="11"/>
      <c r="R18" s="11"/>
      <c r="V18" s="11"/>
      <c r="W18" s="11"/>
      <c r="X18" s="11"/>
      <c r="Y18" s="11"/>
      <c r="AC18" s="11"/>
      <c r="AD18" s="11"/>
      <c r="AE18" s="11"/>
      <c r="AF18" s="11"/>
      <c r="AJ18" s="11"/>
      <c r="AK18" s="11"/>
      <c r="AL18" s="11"/>
      <c r="AM18" s="11"/>
      <c r="AQ18" s="11"/>
      <c r="AR18" s="11">
        <v>1</v>
      </c>
      <c r="AS18" s="11"/>
      <c r="AT18" s="11">
        <v>1</v>
      </c>
      <c r="AX18" s="11"/>
      <c r="AY18" s="11"/>
      <c r="AZ18" s="11"/>
      <c r="BA18" s="11"/>
      <c r="BE18" s="11"/>
      <c r="BF18" s="11"/>
      <c r="BG18" s="11"/>
      <c r="BH18" s="11"/>
      <c r="BL18" s="11"/>
      <c r="BM18" s="11"/>
      <c r="BN18" s="11"/>
      <c r="BO18" s="11"/>
      <c r="BS18" s="11"/>
      <c r="BT18" s="11"/>
      <c r="BU18" s="11"/>
      <c r="BV18" s="11"/>
      <c r="BZ18" s="11"/>
      <c r="CA18" s="11"/>
      <c r="CB18" s="11"/>
      <c r="CC18" s="11"/>
      <c r="CG18" s="11"/>
      <c r="CH18" s="11"/>
      <c r="CI18" s="11"/>
      <c r="CJ18" s="11"/>
    </row>
    <row r="19" spans="2:88">
      <c r="B19" t="s">
        <v>28</v>
      </c>
      <c r="C19" t="s">
        <v>85</v>
      </c>
      <c r="D19" s="20">
        <v>44417</v>
      </c>
      <c r="E19" s="10">
        <v>5</v>
      </c>
      <c r="G19" s="11">
        <v>1</v>
      </c>
      <c r="I19" s="13">
        <v>175</v>
      </c>
      <c r="J19" s="12">
        <v>0</v>
      </c>
      <c r="K19" s="12">
        <v>0</v>
      </c>
      <c r="L19" s="10"/>
      <c r="N19" s="13">
        <v>13</v>
      </c>
      <c r="U19" s="13">
        <v>21</v>
      </c>
      <c r="AB19" s="13">
        <v>21</v>
      </c>
      <c r="AI19" s="13">
        <v>21</v>
      </c>
      <c r="AP19" s="13">
        <v>21</v>
      </c>
      <c r="AW19" s="13">
        <v>20</v>
      </c>
      <c r="BD19" s="23">
        <v>32</v>
      </c>
      <c r="BK19" s="13">
        <v>32</v>
      </c>
      <c r="BR19" s="23"/>
      <c r="BY19" s="13"/>
      <c r="CF19" s="23"/>
    </row>
    <row r="20" spans="2:88" outlineLevel="1">
      <c r="B20" t="s">
        <v>29</v>
      </c>
      <c r="E20" s="10"/>
      <c r="F20" t="s">
        <v>91</v>
      </c>
      <c r="G20" s="11">
        <v>0.15</v>
      </c>
      <c r="I20" s="10">
        <f>+SUMIF($N$3:$ZZ$3,I$3,$N20:$ZZ20)</f>
        <v>21</v>
      </c>
      <c r="J20" s="12">
        <f t="shared" ref="J20:K25" si="4">+_xlfn.MAXIFS($N20:$ZF20,$N$3:$ZF$3,J$3)</f>
        <v>0</v>
      </c>
      <c r="K20" s="12">
        <f t="shared" si="4"/>
        <v>0</v>
      </c>
      <c r="L20" s="10"/>
      <c r="N20">
        <v>3</v>
      </c>
      <c r="O20" s="11"/>
      <c r="P20" s="11">
        <v>0.3</v>
      </c>
      <c r="Q20" s="11"/>
      <c r="R20" s="11">
        <v>0.3</v>
      </c>
      <c r="U20">
        <v>3</v>
      </c>
      <c r="V20" s="11"/>
      <c r="W20" s="11">
        <v>0.4</v>
      </c>
      <c r="X20" s="11"/>
      <c r="Y20" s="11">
        <v>0.4</v>
      </c>
      <c r="AB20">
        <v>2</v>
      </c>
      <c r="AC20" s="11"/>
      <c r="AD20" s="11">
        <v>0.6</v>
      </c>
      <c r="AE20" s="11"/>
      <c r="AF20" s="11">
        <v>0.6</v>
      </c>
      <c r="AI20">
        <v>3</v>
      </c>
      <c r="AJ20" s="11"/>
      <c r="AK20" s="11">
        <v>0.8</v>
      </c>
      <c r="AL20" s="11"/>
      <c r="AM20" s="11">
        <v>0.8</v>
      </c>
      <c r="AP20">
        <v>2</v>
      </c>
      <c r="AQ20" s="11"/>
      <c r="AR20" s="11">
        <v>1</v>
      </c>
      <c r="AS20" s="11"/>
      <c r="AT20" s="11">
        <v>1</v>
      </c>
      <c r="AW20">
        <v>2</v>
      </c>
      <c r="AX20" s="11"/>
      <c r="AY20" s="11">
        <v>1</v>
      </c>
      <c r="AZ20" s="11"/>
      <c r="BA20" s="11">
        <v>1</v>
      </c>
      <c r="BD20" s="21">
        <v>3</v>
      </c>
      <c r="BE20" s="11"/>
      <c r="BF20" s="11">
        <v>1</v>
      </c>
      <c r="BG20" s="11"/>
      <c r="BH20" s="11">
        <v>1</v>
      </c>
      <c r="BK20">
        <v>3</v>
      </c>
      <c r="BL20" s="11"/>
      <c r="BM20" s="11">
        <v>1</v>
      </c>
      <c r="BN20" s="11"/>
      <c r="BO20" s="11">
        <v>1</v>
      </c>
      <c r="BS20" s="11"/>
      <c r="BU20" s="11"/>
      <c r="BV20" s="11"/>
      <c r="BZ20" s="11"/>
      <c r="CB20" s="11"/>
      <c r="CC20" s="11"/>
      <c r="CG20" s="11"/>
      <c r="CI20" s="11"/>
      <c r="CJ20" s="11"/>
    </row>
    <row r="21" spans="2:88" outlineLevel="1">
      <c r="B21" t="s">
        <v>29</v>
      </c>
      <c r="E21" s="10"/>
      <c r="F21" t="s">
        <v>92</v>
      </c>
      <c r="G21" s="11">
        <v>0.15</v>
      </c>
      <c r="I21" s="10">
        <f t="shared" ref="I21:I25" si="5">+SUMIF($N$3:$ZZ$3,I$3,$N21:$ZZ21)</f>
        <v>24</v>
      </c>
      <c r="J21" s="12">
        <f t="shared" si="4"/>
        <v>0</v>
      </c>
      <c r="K21" s="12">
        <f t="shared" si="4"/>
        <v>0</v>
      </c>
      <c r="L21" s="10"/>
      <c r="N21">
        <v>3</v>
      </c>
      <c r="O21" s="11"/>
      <c r="P21" s="11">
        <v>0.3</v>
      </c>
      <c r="Q21" s="11"/>
      <c r="R21" s="11">
        <v>0.3</v>
      </c>
      <c r="U21">
        <v>3</v>
      </c>
      <c r="V21" s="11"/>
      <c r="W21" s="11">
        <v>0.4</v>
      </c>
      <c r="X21" s="11"/>
      <c r="Y21" s="11">
        <v>0.4</v>
      </c>
      <c r="AB21">
        <v>3</v>
      </c>
      <c r="AC21" s="11"/>
      <c r="AD21" s="11">
        <v>0.6</v>
      </c>
      <c r="AE21" s="11"/>
      <c r="AF21" s="11">
        <v>0.6</v>
      </c>
      <c r="AI21">
        <v>3</v>
      </c>
      <c r="AJ21" s="11"/>
      <c r="AK21" s="11">
        <v>0.8</v>
      </c>
      <c r="AL21" s="11"/>
      <c r="AM21" s="11">
        <v>0.8</v>
      </c>
      <c r="AP21">
        <v>2</v>
      </c>
      <c r="AQ21" s="11"/>
      <c r="AR21" s="11">
        <v>1</v>
      </c>
      <c r="AS21" s="11"/>
      <c r="AT21" s="11">
        <v>1</v>
      </c>
      <c r="AW21">
        <v>2</v>
      </c>
      <c r="AX21" s="11"/>
      <c r="AY21" s="11">
        <v>1</v>
      </c>
      <c r="AZ21" s="11"/>
      <c r="BA21" s="11">
        <v>1</v>
      </c>
      <c r="BD21" s="21">
        <v>4</v>
      </c>
      <c r="BE21" s="11"/>
      <c r="BF21" s="11">
        <v>1</v>
      </c>
      <c r="BG21" s="11"/>
      <c r="BH21" s="11">
        <v>1</v>
      </c>
      <c r="BK21">
        <v>4</v>
      </c>
      <c r="BL21" s="11"/>
      <c r="BM21" s="11">
        <v>1</v>
      </c>
      <c r="BN21" s="11"/>
      <c r="BO21" s="11">
        <v>1</v>
      </c>
      <c r="BS21" s="11"/>
      <c r="BT21" s="11"/>
      <c r="BU21" s="11"/>
      <c r="BV21" s="11"/>
      <c r="BZ21" s="11"/>
      <c r="CA21" s="11"/>
      <c r="CB21" s="11"/>
      <c r="CC21" s="11"/>
      <c r="CG21" s="11"/>
      <c r="CH21" s="11"/>
      <c r="CI21" s="11"/>
      <c r="CJ21" s="11"/>
    </row>
    <row r="22" spans="2:88" outlineLevel="1">
      <c r="B22" t="s">
        <v>29</v>
      </c>
      <c r="E22" s="10"/>
      <c r="F22" t="s">
        <v>93</v>
      </c>
      <c r="G22" s="11">
        <v>0.15</v>
      </c>
      <c r="I22" s="10">
        <f t="shared" si="5"/>
        <v>29</v>
      </c>
      <c r="J22" s="12">
        <f t="shared" si="4"/>
        <v>0</v>
      </c>
      <c r="K22" s="12">
        <f t="shared" si="4"/>
        <v>0</v>
      </c>
      <c r="L22" s="10"/>
      <c r="N22">
        <v>3</v>
      </c>
      <c r="O22" s="11"/>
      <c r="P22" s="11">
        <v>0.3</v>
      </c>
      <c r="Q22" s="11"/>
      <c r="R22" s="11">
        <v>0.3</v>
      </c>
      <c r="U22">
        <v>4</v>
      </c>
      <c r="V22" s="11"/>
      <c r="W22" s="11">
        <v>0.4</v>
      </c>
      <c r="X22" s="11"/>
      <c r="Y22" s="11">
        <v>0.4</v>
      </c>
      <c r="AB22">
        <v>3</v>
      </c>
      <c r="AC22" s="11"/>
      <c r="AD22" s="11">
        <v>0.6</v>
      </c>
      <c r="AE22" s="11"/>
      <c r="AF22" s="11">
        <v>0.6</v>
      </c>
      <c r="AI22">
        <v>3</v>
      </c>
      <c r="AJ22" s="11"/>
      <c r="AK22" s="11">
        <v>0.8</v>
      </c>
      <c r="AL22" s="11"/>
      <c r="AM22" s="11">
        <v>0.8</v>
      </c>
      <c r="AP22">
        <v>3</v>
      </c>
      <c r="AQ22" s="11"/>
      <c r="AR22" s="11">
        <v>1</v>
      </c>
      <c r="AS22" s="11"/>
      <c r="AT22" s="11">
        <v>1</v>
      </c>
      <c r="AW22">
        <v>3</v>
      </c>
      <c r="AX22" s="11"/>
      <c r="AY22" s="11">
        <v>1</v>
      </c>
      <c r="AZ22" s="11"/>
      <c r="BA22" s="11">
        <v>1</v>
      </c>
      <c r="BD22" s="21">
        <v>5</v>
      </c>
      <c r="BE22" s="11"/>
      <c r="BF22" s="11">
        <v>1</v>
      </c>
      <c r="BG22" s="11"/>
      <c r="BH22" s="11">
        <v>1</v>
      </c>
      <c r="BK22">
        <v>5</v>
      </c>
      <c r="BL22" s="11"/>
      <c r="BM22" s="11">
        <v>1</v>
      </c>
      <c r="BN22" s="11"/>
      <c r="BO22" s="11">
        <v>1</v>
      </c>
      <c r="BS22" s="11"/>
      <c r="BT22" s="11"/>
      <c r="BU22" s="11"/>
      <c r="BV22" s="11"/>
      <c r="BZ22" s="11"/>
      <c r="CA22" s="11"/>
      <c r="CB22" s="11"/>
      <c r="CC22" s="11"/>
      <c r="CG22" s="11"/>
      <c r="CH22" s="11"/>
      <c r="CI22" s="11"/>
      <c r="CJ22" s="11"/>
    </row>
    <row r="23" spans="2:88" outlineLevel="1">
      <c r="B23" t="s">
        <v>29</v>
      </c>
      <c r="E23" s="10"/>
      <c r="F23" t="s">
        <v>94</v>
      </c>
      <c r="G23" s="11">
        <v>0.15</v>
      </c>
      <c r="I23" s="10">
        <f t="shared" si="5"/>
        <v>34</v>
      </c>
      <c r="J23" s="12">
        <f t="shared" si="4"/>
        <v>0</v>
      </c>
      <c r="K23" s="12">
        <f t="shared" si="4"/>
        <v>0</v>
      </c>
      <c r="L23" s="10"/>
      <c r="N23">
        <v>2</v>
      </c>
      <c r="O23" s="11"/>
      <c r="P23" s="11">
        <v>0.2</v>
      </c>
      <c r="Q23" s="11"/>
      <c r="R23" s="11">
        <v>0.2</v>
      </c>
      <c r="U23" s="2">
        <v>4</v>
      </c>
      <c r="V23" s="11"/>
      <c r="W23" s="11">
        <v>0.4</v>
      </c>
      <c r="X23" s="11"/>
      <c r="Y23" s="11">
        <v>0.4</v>
      </c>
      <c r="AB23">
        <v>4</v>
      </c>
      <c r="AC23" s="11"/>
      <c r="AD23" s="11">
        <v>0.6</v>
      </c>
      <c r="AE23" s="11"/>
      <c r="AF23" s="11">
        <v>0.6</v>
      </c>
      <c r="AI23">
        <v>4</v>
      </c>
      <c r="AJ23" s="11"/>
      <c r="AK23" s="11">
        <v>0.8</v>
      </c>
      <c r="AL23" s="11"/>
      <c r="AM23" s="11">
        <v>0.8</v>
      </c>
      <c r="AP23">
        <v>4</v>
      </c>
      <c r="AQ23" s="11"/>
      <c r="AR23" s="11">
        <v>1</v>
      </c>
      <c r="AS23" s="11"/>
      <c r="AT23" s="11">
        <v>1</v>
      </c>
      <c r="AW23">
        <v>4</v>
      </c>
      <c r="AX23" s="11"/>
      <c r="AY23" s="11">
        <v>1</v>
      </c>
      <c r="AZ23" s="11"/>
      <c r="BA23" s="11">
        <v>1</v>
      </c>
      <c r="BD23" s="21">
        <v>6</v>
      </c>
      <c r="BE23" s="11"/>
      <c r="BF23" s="11">
        <v>1</v>
      </c>
      <c r="BG23" s="11"/>
      <c r="BH23" s="11">
        <v>1</v>
      </c>
      <c r="BK23">
        <v>6</v>
      </c>
      <c r="BL23" s="11"/>
      <c r="BM23" s="11">
        <v>1</v>
      </c>
      <c r="BN23" s="11"/>
      <c r="BO23" s="11">
        <v>1</v>
      </c>
      <c r="BS23" s="11"/>
      <c r="BT23" s="11"/>
      <c r="BU23" s="11"/>
      <c r="BV23" s="11"/>
      <c r="BZ23" s="11"/>
      <c r="CA23" s="11"/>
      <c r="CB23" s="11"/>
      <c r="CC23" s="11"/>
      <c r="CG23" s="11"/>
      <c r="CH23" s="11"/>
      <c r="CI23" s="11"/>
      <c r="CJ23" s="11"/>
    </row>
    <row r="24" spans="2:88" outlineLevel="1">
      <c r="B24" t="s">
        <v>29</v>
      </c>
      <c r="E24" s="10"/>
      <c r="F24" t="s">
        <v>95</v>
      </c>
      <c r="G24" s="11">
        <v>0.2</v>
      </c>
      <c r="I24" s="10">
        <f t="shared" si="5"/>
        <v>37</v>
      </c>
      <c r="J24" s="12">
        <f t="shared" si="4"/>
        <v>0</v>
      </c>
      <c r="K24" s="12">
        <f t="shared" si="4"/>
        <v>0</v>
      </c>
      <c r="L24" s="10"/>
      <c r="N24">
        <v>2</v>
      </c>
      <c r="O24" s="11"/>
      <c r="P24" s="11">
        <v>0.2</v>
      </c>
      <c r="Q24" s="11"/>
      <c r="R24" s="11">
        <v>0.2</v>
      </c>
      <c r="U24">
        <v>3</v>
      </c>
      <c r="V24" s="11"/>
      <c r="W24" s="11">
        <v>0.4</v>
      </c>
      <c r="X24" s="11"/>
      <c r="Y24" s="11">
        <v>0.4</v>
      </c>
      <c r="AB24">
        <v>4</v>
      </c>
      <c r="AC24" s="11"/>
      <c r="AD24" s="11">
        <v>0.6</v>
      </c>
      <c r="AE24" s="11"/>
      <c r="AF24" s="11">
        <v>0.6</v>
      </c>
      <c r="AI24">
        <v>4</v>
      </c>
      <c r="AJ24" s="11"/>
      <c r="AK24" s="11">
        <v>0.8</v>
      </c>
      <c r="AL24" s="11"/>
      <c r="AM24" s="11">
        <v>0.8</v>
      </c>
      <c r="AP24">
        <v>5</v>
      </c>
      <c r="AQ24" s="11"/>
      <c r="AR24" s="11">
        <v>1</v>
      </c>
      <c r="AS24" s="11"/>
      <c r="AT24" s="11">
        <v>1</v>
      </c>
      <c r="AW24">
        <v>5</v>
      </c>
      <c r="AX24" s="11"/>
      <c r="AY24" s="11">
        <v>1</v>
      </c>
      <c r="AZ24" s="11"/>
      <c r="BA24" s="11">
        <v>1</v>
      </c>
      <c r="BD24" s="21">
        <v>7</v>
      </c>
      <c r="BE24" s="11"/>
      <c r="BF24" s="11">
        <v>1</v>
      </c>
      <c r="BG24" s="11"/>
      <c r="BH24" s="11">
        <v>1</v>
      </c>
      <c r="BK24">
        <v>7</v>
      </c>
      <c r="BL24" s="11"/>
      <c r="BM24" s="11">
        <v>1</v>
      </c>
      <c r="BN24" s="11"/>
      <c r="BO24" s="11">
        <v>1</v>
      </c>
      <c r="BS24" s="11"/>
      <c r="BT24" s="11"/>
      <c r="BU24" s="11"/>
      <c r="BV24" s="11"/>
      <c r="BZ24" s="11"/>
      <c r="CA24" s="11"/>
      <c r="CB24" s="11"/>
      <c r="CC24" s="11"/>
      <c r="CG24" s="11"/>
      <c r="CH24" s="11"/>
      <c r="CI24" s="11"/>
      <c r="CJ24" s="11"/>
    </row>
    <row r="25" spans="2:88">
      <c r="B25" t="s">
        <v>29</v>
      </c>
      <c r="E25" s="10"/>
      <c r="F25" t="s">
        <v>96</v>
      </c>
      <c r="G25" s="11">
        <v>0.2</v>
      </c>
      <c r="I25" s="10">
        <f t="shared" si="5"/>
        <v>35</v>
      </c>
      <c r="J25" s="12">
        <f t="shared" si="4"/>
        <v>0</v>
      </c>
      <c r="K25" s="12">
        <f t="shared" si="4"/>
        <v>0</v>
      </c>
      <c r="L25" s="10"/>
      <c r="O25" s="11"/>
      <c r="P25" s="11"/>
      <c r="Q25" s="11"/>
      <c r="R25" s="11"/>
      <c r="U25">
        <v>2</v>
      </c>
      <c r="V25" s="11"/>
      <c r="W25" s="11">
        <v>0.2</v>
      </c>
      <c r="X25" s="11"/>
      <c r="Y25" s="11">
        <v>0.2</v>
      </c>
      <c r="AB25">
        <v>5</v>
      </c>
      <c r="AC25" s="11"/>
      <c r="AD25" s="11">
        <v>0.4</v>
      </c>
      <c r="AE25" s="11"/>
      <c r="AF25" s="11">
        <v>0.4</v>
      </c>
      <c r="AI25">
        <v>4</v>
      </c>
      <c r="AJ25" s="11"/>
      <c r="AK25" s="11">
        <v>0.6</v>
      </c>
      <c r="AL25" s="11"/>
      <c r="AM25" s="11">
        <v>0.6</v>
      </c>
      <c r="AP25">
        <v>5</v>
      </c>
      <c r="AQ25" s="11"/>
      <c r="AR25" s="11">
        <v>0.8</v>
      </c>
      <c r="AS25" s="11"/>
      <c r="AT25" s="11">
        <v>0.8</v>
      </c>
      <c r="AW25">
        <v>5</v>
      </c>
      <c r="AX25" s="11"/>
      <c r="AY25" s="11">
        <v>0.8</v>
      </c>
      <c r="AZ25" s="11"/>
      <c r="BA25" s="11">
        <v>0.8</v>
      </c>
      <c r="BD25" s="21">
        <v>7</v>
      </c>
      <c r="BE25" s="11"/>
      <c r="BF25" s="11">
        <v>1</v>
      </c>
      <c r="BG25" s="11"/>
      <c r="BH25" s="11">
        <v>1</v>
      </c>
      <c r="BK25">
        <v>7</v>
      </c>
      <c r="BL25" s="11"/>
      <c r="BM25" s="11">
        <v>1</v>
      </c>
      <c r="BN25" s="11"/>
      <c r="BO25" s="11">
        <v>1</v>
      </c>
      <c r="BR25" s="23"/>
      <c r="BT25" s="11"/>
      <c r="BY25" s="13"/>
      <c r="CF25" s="23"/>
    </row>
    <row r="26" spans="2:88" ht="15.75" hidden="1" customHeight="1" outlineLevel="1">
      <c r="B26" t="s">
        <v>29</v>
      </c>
      <c r="C26" t="s">
        <v>2</v>
      </c>
      <c r="E26" s="10"/>
      <c r="F26" t="s">
        <v>31</v>
      </c>
      <c r="G26" s="11">
        <v>0.1</v>
      </c>
      <c r="I26" s="10">
        <f t="shared" ref="I26:I37" si="6">+SUMIF($N$3:$ZZ$3,I$3,$N26:$ZZ26)</f>
        <v>56</v>
      </c>
      <c r="J26" s="12">
        <f t="shared" ref="J26:K37" si="7">+_xlfn.MAXIFS($N26:$ZF26,$N$3:$ZF$3,J$3)</f>
        <v>0.7</v>
      </c>
      <c r="K26" s="12">
        <f t="shared" si="7"/>
        <v>0.5</v>
      </c>
      <c r="L26" s="10"/>
      <c r="N26">
        <v>10</v>
      </c>
      <c r="O26" s="11">
        <v>0.7</v>
      </c>
      <c r="P26" s="11">
        <v>0.8</v>
      </c>
      <c r="Q26" s="11">
        <v>0.5</v>
      </c>
      <c r="R26" s="11">
        <v>0.8</v>
      </c>
      <c r="U26">
        <v>2</v>
      </c>
      <c r="V26" s="11"/>
      <c r="W26" s="11">
        <v>0.8</v>
      </c>
      <c r="X26" s="11"/>
      <c r="Y26" s="11">
        <v>0.8</v>
      </c>
      <c r="AB26">
        <v>4</v>
      </c>
      <c r="AC26" s="11"/>
      <c r="AD26" s="11">
        <v>1</v>
      </c>
      <c r="AE26" s="11"/>
      <c r="AF26" s="11">
        <v>1</v>
      </c>
      <c r="AJ26" s="11"/>
      <c r="AK26" s="11">
        <v>1</v>
      </c>
      <c r="AL26" s="11"/>
      <c r="AM26" s="11">
        <v>1</v>
      </c>
      <c r="AP26">
        <v>0</v>
      </c>
      <c r="AQ26" s="11"/>
      <c r="AR26" s="11">
        <v>1</v>
      </c>
      <c r="AS26" s="11"/>
      <c r="AT26" s="11">
        <v>1</v>
      </c>
      <c r="AX26" s="11"/>
      <c r="AY26" s="11"/>
      <c r="AZ26" s="11"/>
      <c r="BA26" s="11"/>
      <c r="BE26" s="11"/>
      <c r="BF26" s="11"/>
      <c r="BG26" s="11"/>
      <c r="BH26" s="11"/>
      <c r="BK26">
        <v>10</v>
      </c>
      <c r="BL26" s="11">
        <v>0.7</v>
      </c>
      <c r="BM26" s="11">
        <v>0.8</v>
      </c>
      <c r="BN26" s="11">
        <v>0.5</v>
      </c>
      <c r="BO26" s="11">
        <v>0.8</v>
      </c>
      <c r="BR26" s="21">
        <v>10</v>
      </c>
      <c r="BS26" s="11">
        <v>0.7</v>
      </c>
      <c r="BT26" s="11">
        <v>0.8</v>
      </c>
      <c r="BU26" s="11">
        <v>0.5</v>
      </c>
      <c r="BV26" s="11">
        <v>0.8</v>
      </c>
      <c r="BY26">
        <v>10</v>
      </c>
      <c r="BZ26" s="11">
        <v>0.7</v>
      </c>
      <c r="CA26" s="11">
        <v>0.8</v>
      </c>
      <c r="CB26" s="11">
        <v>0.5</v>
      </c>
      <c r="CC26" s="11">
        <v>0.8</v>
      </c>
      <c r="CF26" s="21">
        <v>10</v>
      </c>
      <c r="CG26" s="11">
        <v>0.7</v>
      </c>
      <c r="CH26" s="11">
        <v>0.8</v>
      </c>
      <c r="CI26" s="11">
        <v>0.5</v>
      </c>
      <c r="CJ26" s="11">
        <v>0.8</v>
      </c>
    </row>
    <row r="27" spans="2:88" ht="15.75" hidden="1" customHeight="1" outlineLevel="1">
      <c r="B27" t="s">
        <v>29</v>
      </c>
      <c r="C27" t="s">
        <v>2</v>
      </c>
      <c r="E27" s="10"/>
      <c r="F27" t="s">
        <v>32</v>
      </c>
      <c r="G27" s="11">
        <v>0.05</v>
      </c>
      <c r="I27" s="10">
        <f t="shared" si="6"/>
        <v>15</v>
      </c>
      <c r="J27" s="12">
        <f t="shared" si="7"/>
        <v>0.5</v>
      </c>
      <c r="K27" s="12">
        <f t="shared" si="7"/>
        <v>0.5</v>
      </c>
      <c r="L27" s="10"/>
      <c r="N27">
        <v>3</v>
      </c>
      <c r="O27" s="11">
        <v>0.5</v>
      </c>
      <c r="P27" s="11">
        <v>0.5</v>
      </c>
      <c r="Q27" s="11">
        <v>0.5</v>
      </c>
      <c r="R27" s="11">
        <v>0.5</v>
      </c>
      <c r="V27" s="11"/>
      <c r="W27" s="11">
        <v>0.8</v>
      </c>
      <c r="X27" s="11"/>
      <c r="Y27" s="11">
        <v>0.8</v>
      </c>
      <c r="AC27" s="11"/>
      <c r="AD27" s="11">
        <v>1</v>
      </c>
      <c r="AE27" s="11"/>
      <c r="AF27" s="11">
        <v>1</v>
      </c>
      <c r="AJ27" s="11"/>
      <c r="AK27" s="11">
        <v>1</v>
      </c>
      <c r="AL27" s="11"/>
      <c r="AM27" s="11">
        <v>1</v>
      </c>
      <c r="AP27">
        <v>0</v>
      </c>
      <c r="AQ27" s="11"/>
      <c r="AR27" s="11">
        <v>1</v>
      </c>
      <c r="AS27" s="11"/>
      <c r="AT27" s="11">
        <v>1</v>
      </c>
      <c r="AX27" s="11"/>
      <c r="AY27" s="11"/>
      <c r="AZ27" s="11"/>
      <c r="BA27" s="11"/>
      <c r="BE27" s="11"/>
      <c r="BF27" s="11"/>
      <c r="BG27" s="11"/>
      <c r="BH27" s="11"/>
      <c r="BK27">
        <v>3</v>
      </c>
      <c r="BL27" s="11">
        <v>0.5</v>
      </c>
      <c r="BM27" s="11">
        <v>0.5</v>
      </c>
      <c r="BN27" s="11">
        <v>0.5</v>
      </c>
      <c r="BO27" s="11">
        <v>0.5</v>
      </c>
      <c r="BR27" s="21">
        <v>3</v>
      </c>
      <c r="BS27" s="11">
        <v>0.5</v>
      </c>
      <c r="BT27" s="11">
        <v>0.5</v>
      </c>
      <c r="BU27" s="11">
        <v>0.5</v>
      </c>
      <c r="BV27" s="11">
        <v>0.5</v>
      </c>
      <c r="BY27">
        <v>3</v>
      </c>
      <c r="BZ27" s="11">
        <v>0.5</v>
      </c>
      <c r="CA27" s="11">
        <v>0.5</v>
      </c>
      <c r="CB27" s="11">
        <v>0.5</v>
      </c>
      <c r="CC27" s="11">
        <v>0.5</v>
      </c>
      <c r="CF27" s="21">
        <v>3</v>
      </c>
      <c r="CG27" s="11">
        <v>0.5</v>
      </c>
      <c r="CH27" s="11">
        <v>0.5</v>
      </c>
      <c r="CI27" s="11">
        <v>0.5</v>
      </c>
      <c r="CJ27" s="11">
        <v>0.5</v>
      </c>
    </row>
    <row r="28" spans="2:88" ht="15.75" hidden="1" customHeight="1" outlineLevel="1">
      <c r="B28" t="s">
        <v>29</v>
      </c>
      <c r="C28" t="s">
        <v>2</v>
      </c>
      <c r="E28" s="10"/>
      <c r="F28" t="s">
        <v>33</v>
      </c>
      <c r="G28" s="11">
        <v>0.05</v>
      </c>
      <c r="I28" s="10">
        <f t="shared" si="6"/>
        <v>10</v>
      </c>
      <c r="J28" s="12">
        <f t="shared" si="7"/>
        <v>0.3</v>
      </c>
      <c r="K28" s="12">
        <f t="shared" si="7"/>
        <v>0.3</v>
      </c>
      <c r="L28" s="10"/>
      <c r="N28">
        <v>2</v>
      </c>
      <c r="O28" s="11">
        <v>0.3</v>
      </c>
      <c r="P28" s="11">
        <v>0.3</v>
      </c>
      <c r="Q28" s="11">
        <v>0.3</v>
      </c>
      <c r="R28" s="11">
        <v>0.3</v>
      </c>
      <c r="V28" s="11"/>
      <c r="W28" s="11">
        <v>0.5</v>
      </c>
      <c r="X28" s="11"/>
      <c r="Y28" s="11">
        <v>0.5</v>
      </c>
      <c r="AC28" s="11"/>
      <c r="AD28" s="11">
        <v>0.8</v>
      </c>
      <c r="AE28" s="11"/>
      <c r="AF28" s="11">
        <v>0.8</v>
      </c>
      <c r="AJ28" s="11"/>
      <c r="AK28" s="11">
        <v>1</v>
      </c>
      <c r="AL28" s="11"/>
      <c r="AM28" s="11">
        <v>1</v>
      </c>
      <c r="AP28">
        <v>0</v>
      </c>
      <c r="AQ28" s="11"/>
      <c r="AR28" s="11">
        <v>1</v>
      </c>
      <c r="AS28" s="11"/>
      <c r="AT28" s="11">
        <v>1</v>
      </c>
      <c r="AX28" s="11"/>
      <c r="AY28" s="11"/>
      <c r="AZ28" s="11"/>
      <c r="BA28" s="11"/>
      <c r="BE28" s="11"/>
      <c r="BF28" s="11"/>
      <c r="BG28" s="11"/>
      <c r="BH28" s="11"/>
      <c r="BK28">
        <v>2</v>
      </c>
      <c r="BL28" s="11">
        <v>0.3</v>
      </c>
      <c r="BM28" s="11">
        <v>0.3</v>
      </c>
      <c r="BN28" s="11">
        <v>0.3</v>
      </c>
      <c r="BO28" s="11">
        <v>0.3</v>
      </c>
      <c r="BR28" s="21">
        <v>2</v>
      </c>
      <c r="BS28" s="11">
        <v>0.3</v>
      </c>
      <c r="BT28" s="11">
        <v>0.3</v>
      </c>
      <c r="BU28" s="11">
        <v>0.3</v>
      </c>
      <c r="BV28" s="11">
        <v>0.3</v>
      </c>
      <c r="BY28">
        <v>2</v>
      </c>
      <c r="BZ28" s="11">
        <v>0.3</v>
      </c>
      <c r="CA28" s="11">
        <v>0.3</v>
      </c>
      <c r="CB28" s="11">
        <v>0.3</v>
      </c>
      <c r="CC28" s="11">
        <v>0.3</v>
      </c>
      <c r="CF28" s="21">
        <v>2</v>
      </c>
      <c r="CG28" s="11">
        <v>0.3</v>
      </c>
      <c r="CH28" s="11">
        <v>0.3</v>
      </c>
      <c r="CI28" s="11">
        <v>0.3</v>
      </c>
      <c r="CJ28" s="11">
        <v>0.3</v>
      </c>
    </row>
    <row r="29" spans="2:88" ht="15.75" hidden="1" customHeight="1" outlineLevel="1">
      <c r="B29" t="s">
        <v>29</v>
      </c>
      <c r="C29" t="s">
        <v>2</v>
      </c>
      <c r="E29" s="10"/>
      <c r="F29" t="s">
        <v>34</v>
      </c>
      <c r="G29" s="11">
        <v>0.05</v>
      </c>
      <c r="I29" s="10">
        <f t="shared" si="6"/>
        <v>10</v>
      </c>
      <c r="J29" s="12">
        <f t="shared" si="7"/>
        <v>0.3</v>
      </c>
      <c r="K29" s="12">
        <f t="shared" si="7"/>
        <v>0.2</v>
      </c>
      <c r="L29" s="10"/>
      <c r="N29">
        <v>2</v>
      </c>
      <c r="O29" s="11">
        <v>0.3</v>
      </c>
      <c r="P29" s="11">
        <v>0.3</v>
      </c>
      <c r="Q29" s="11">
        <v>0.2</v>
      </c>
      <c r="R29" s="11">
        <v>0.3</v>
      </c>
      <c r="V29" s="11"/>
      <c r="W29" s="11">
        <v>0.5</v>
      </c>
      <c r="X29" s="11"/>
      <c r="Y29" s="11">
        <v>0.5</v>
      </c>
      <c r="AC29" s="11"/>
      <c r="AD29" s="11">
        <v>0.8</v>
      </c>
      <c r="AE29" s="11"/>
      <c r="AF29" s="11">
        <v>0.8</v>
      </c>
      <c r="AJ29" s="11"/>
      <c r="AK29" s="11">
        <v>1</v>
      </c>
      <c r="AL29" s="11"/>
      <c r="AM29" s="11">
        <v>1</v>
      </c>
      <c r="AP29">
        <v>0</v>
      </c>
      <c r="AQ29" s="11"/>
      <c r="AR29" s="11">
        <v>1</v>
      </c>
      <c r="AS29" s="11"/>
      <c r="AT29" s="11">
        <v>1</v>
      </c>
      <c r="AX29" s="11"/>
      <c r="AY29" s="11"/>
      <c r="AZ29" s="11"/>
      <c r="BA29" s="11"/>
      <c r="BE29" s="11"/>
      <c r="BF29" s="11"/>
      <c r="BG29" s="11"/>
      <c r="BH29" s="11"/>
      <c r="BK29">
        <v>2</v>
      </c>
      <c r="BL29" s="11">
        <v>0.3</v>
      </c>
      <c r="BM29" s="11">
        <v>0.3</v>
      </c>
      <c r="BN29" s="11">
        <v>0.2</v>
      </c>
      <c r="BO29" s="11">
        <v>0.3</v>
      </c>
      <c r="BR29" s="21">
        <v>2</v>
      </c>
      <c r="BS29" s="11">
        <v>0.3</v>
      </c>
      <c r="BT29" s="11">
        <v>0.3</v>
      </c>
      <c r="BU29" s="11">
        <v>0.2</v>
      </c>
      <c r="BV29" s="11">
        <v>0.3</v>
      </c>
      <c r="BY29">
        <v>2</v>
      </c>
      <c r="BZ29" s="11">
        <v>0.3</v>
      </c>
      <c r="CA29" s="11">
        <v>0.3</v>
      </c>
      <c r="CB29" s="11">
        <v>0.2</v>
      </c>
      <c r="CC29" s="11">
        <v>0.3</v>
      </c>
      <c r="CF29" s="21">
        <v>2</v>
      </c>
      <c r="CG29" s="11">
        <v>0.3</v>
      </c>
      <c r="CH29" s="11">
        <v>0.3</v>
      </c>
      <c r="CI29" s="11">
        <v>0.2</v>
      </c>
      <c r="CJ29" s="11">
        <v>0.3</v>
      </c>
    </row>
    <row r="30" spans="2:88" ht="15.75" hidden="1" customHeight="1" outlineLevel="1">
      <c r="B30" t="s">
        <v>29</v>
      </c>
      <c r="C30" t="s">
        <v>2</v>
      </c>
      <c r="E30" s="10"/>
      <c r="F30" t="s">
        <v>35</v>
      </c>
      <c r="G30" s="11">
        <v>0.05</v>
      </c>
      <c r="I30" s="10">
        <f t="shared" si="6"/>
        <v>15</v>
      </c>
      <c r="J30" s="12">
        <f t="shared" si="7"/>
        <v>0.3</v>
      </c>
      <c r="K30" s="12">
        <f t="shared" si="7"/>
        <v>0</v>
      </c>
      <c r="L30" s="10"/>
      <c r="N30">
        <v>3</v>
      </c>
      <c r="O30" s="11">
        <v>0.3</v>
      </c>
      <c r="P30" s="11">
        <v>0.3</v>
      </c>
      <c r="Q30" s="11"/>
      <c r="R30" s="11">
        <v>0.3</v>
      </c>
      <c r="V30" s="11"/>
      <c r="W30" s="11">
        <v>0.5</v>
      </c>
      <c r="X30" s="11"/>
      <c r="Y30" s="11">
        <v>0.5</v>
      </c>
      <c r="AC30" s="11"/>
      <c r="AD30" s="11">
        <v>0.8</v>
      </c>
      <c r="AE30" s="11"/>
      <c r="AF30" s="11">
        <v>0.8</v>
      </c>
      <c r="AJ30" s="11"/>
      <c r="AK30" s="11">
        <v>1</v>
      </c>
      <c r="AL30" s="11"/>
      <c r="AM30" s="11">
        <v>1</v>
      </c>
      <c r="AP30">
        <v>0</v>
      </c>
      <c r="AQ30" s="11"/>
      <c r="AR30" s="11">
        <v>1</v>
      </c>
      <c r="AS30" s="11"/>
      <c r="AT30" s="11">
        <v>1</v>
      </c>
      <c r="AX30" s="11"/>
      <c r="AY30" s="11"/>
      <c r="AZ30" s="11"/>
      <c r="BA30" s="11"/>
      <c r="BE30" s="11"/>
      <c r="BF30" s="11"/>
      <c r="BG30" s="11"/>
      <c r="BH30" s="11"/>
      <c r="BK30">
        <v>3</v>
      </c>
      <c r="BL30" s="11">
        <v>0.3</v>
      </c>
      <c r="BM30" s="11">
        <v>0.3</v>
      </c>
      <c r="BN30" s="11"/>
      <c r="BO30" s="11">
        <v>0.3</v>
      </c>
      <c r="BR30" s="21">
        <v>3</v>
      </c>
      <c r="BS30" s="11">
        <v>0.3</v>
      </c>
      <c r="BT30" s="11">
        <v>0.3</v>
      </c>
      <c r="BU30" s="11"/>
      <c r="BV30" s="11">
        <v>0.3</v>
      </c>
      <c r="BY30">
        <v>3</v>
      </c>
      <c r="BZ30" s="11">
        <v>0.3</v>
      </c>
      <c r="CA30" s="11">
        <v>0.3</v>
      </c>
      <c r="CB30" s="11"/>
      <c r="CC30" s="11">
        <v>0.3</v>
      </c>
      <c r="CF30" s="21">
        <v>3</v>
      </c>
      <c r="CG30" s="11">
        <v>0.3</v>
      </c>
      <c r="CH30" s="11">
        <v>0.3</v>
      </c>
      <c r="CI30" s="11"/>
      <c r="CJ30" s="11">
        <v>0.3</v>
      </c>
    </row>
    <row r="31" spans="2:88" ht="15.75" hidden="1" customHeight="1" outlineLevel="1">
      <c r="B31" t="s">
        <v>29</v>
      </c>
      <c r="C31" t="s">
        <v>2</v>
      </c>
      <c r="E31" s="10"/>
      <c r="F31" t="s">
        <v>36</v>
      </c>
      <c r="G31" s="11">
        <v>0.1</v>
      </c>
      <c r="I31" s="10">
        <f t="shared" si="6"/>
        <v>2</v>
      </c>
      <c r="J31" s="12">
        <f t="shared" si="7"/>
        <v>0</v>
      </c>
      <c r="K31" s="12">
        <f t="shared" si="7"/>
        <v>0</v>
      </c>
      <c r="L31" s="10"/>
      <c r="O31" s="11"/>
      <c r="P31" s="11"/>
      <c r="Q31" s="11"/>
      <c r="R31" s="11"/>
      <c r="V31" s="11"/>
      <c r="W31" s="11">
        <v>0.3</v>
      </c>
      <c r="X31" s="11"/>
      <c r="Y31" s="11">
        <v>0.3</v>
      </c>
      <c r="AC31" s="11"/>
      <c r="AD31" s="11">
        <v>0.5</v>
      </c>
      <c r="AE31" s="11"/>
      <c r="AF31" s="11">
        <v>0.5</v>
      </c>
      <c r="AJ31" s="11"/>
      <c r="AK31" s="11">
        <v>0.8</v>
      </c>
      <c r="AL31" s="11"/>
      <c r="AM31" s="11">
        <v>0.8</v>
      </c>
      <c r="AP31">
        <v>2</v>
      </c>
      <c r="AQ31" s="11"/>
      <c r="AR31" s="11">
        <v>1</v>
      </c>
      <c r="AS31" s="11"/>
      <c r="AT31" s="11">
        <v>1</v>
      </c>
      <c r="AX31" s="11"/>
      <c r="AY31" s="11"/>
      <c r="AZ31" s="11"/>
      <c r="BA31" s="11"/>
      <c r="BE31" s="11"/>
      <c r="BF31" s="11"/>
      <c r="BG31" s="11"/>
      <c r="BH31" s="11"/>
      <c r="BL31" s="11"/>
      <c r="BM31" s="11"/>
      <c r="BN31" s="11"/>
      <c r="BO31" s="11"/>
      <c r="BS31" s="11"/>
      <c r="BT31" s="11"/>
      <c r="BU31" s="11"/>
      <c r="BV31" s="11"/>
      <c r="BZ31" s="11"/>
      <c r="CA31" s="11"/>
      <c r="CB31" s="11"/>
      <c r="CC31" s="11"/>
      <c r="CG31" s="11"/>
      <c r="CH31" s="11"/>
      <c r="CI31" s="11"/>
      <c r="CJ31" s="11"/>
    </row>
    <row r="32" spans="2:88" ht="15.75" hidden="1" customHeight="1" outlineLevel="1">
      <c r="B32" t="s">
        <v>29</v>
      </c>
      <c r="C32" t="s">
        <v>2</v>
      </c>
      <c r="E32" s="10"/>
      <c r="F32" t="s">
        <v>37</v>
      </c>
      <c r="G32" s="11">
        <v>0.1</v>
      </c>
      <c r="I32" s="10">
        <f t="shared" si="6"/>
        <v>2</v>
      </c>
      <c r="J32" s="12">
        <f t="shared" si="7"/>
        <v>0</v>
      </c>
      <c r="K32" s="12">
        <f t="shared" si="7"/>
        <v>0</v>
      </c>
      <c r="L32" s="10"/>
      <c r="O32" s="11"/>
      <c r="P32" s="11"/>
      <c r="Q32" s="11"/>
      <c r="R32" s="11"/>
      <c r="V32" s="11"/>
      <c r="W32" s="11">
        <v>0.3</v>
      </c>
      <c r="X32" s="11"/>
      <c r="Y32" s="11">
        <v>0.3</v>
      </c>
      <c r="AC32" s="11"/>
      <c r="AD32" s="11">
        <v>0.5</v>
      </c>
      <c r="AE32" s="11"/>
      <c r="AF32" s="11">
        <v>0.5</v>
      </c>
      <c r="AJ32" s="11"/>
      <c r="AK32" s="11">
        <v>0.8</v>
      </c>
      <c r="AL32" s="11"/>
      <c r="AM32" s="11">
        <v>0.8</v>
      </c>
      <c r="AP32">
        <v>2</v>
      </c>
      <c r="AQ32" s="11"/>
      <c r="AR32" s="11">
        <v>1</v>
      </c>
      <c r="AS32" s="11"/>
      <c r="AT32" s="11">
        <v>1</v>
      </c>
      <c r="AX32" s="11"/>
      <c r="AY32" s="11"/>
      <c r="AZ32" s="11"/>
      <c r="BA32" s="11"/>
      <c r="BE32" s="11"/>
      <c r="BF32" s="11"/>
      <c r="BG32" s="11"/>
      <c r="BH32" s="11"/>
      <c r="BL32" s="11"/>
      <c r="BM32" s="11"/>
      <c r="BN32" s="11"/>
      <c r="BO32" s="11"/>
      <c r="BS32" s="11"/>
      <c r="BT32" s="11"/>
      <c r="BU32" s="11"/>
      <c r="BV32" s="11"/>
      <c r="BZ32" s="11"/>
      <c r="CA32" s="11"/>
      <c r="CB32" s="11"/>
      <c r="CC32" s="11"/>
      <c r="CG32" s="11"/>
      <c r="CH32" s="11"/>
      <c r="CI32" s="11"/>
      <c r="CJ32" s="11"/>
    </row>
    <row r="33" spans="2:88" ht="15.75" hidden="1" customHeight="1" outlineLevel="1">
      <c r="B33" t="s">
        <v>29</v>
      </c>
      <c r="C33" t="s">
        <v>2</v>
      </c>
      <c r="E33" s="10"/>
      <c r="F33" t="s">
        <v>38</v>
      </c>
      <c r="G33" s="11">
        <v>0.1</v>
      </c>
      <c r="I33" s="10">
        <f t="shared" si="6"/>
        <v>2</v>
      </c>
      <c r="J33" s="12">
        <f t="shared" si="7"/>
        <v>0</v>
      </c>
      <c r="K33" s="12">
        <f t="shared" si="7"/>
        <v>0</v>
      </c>
      <c r="L33" s="10"/>
      <c r="O33" s="11"/>
      <c r="P33" s="11"/>
      <c r="Q33" s="11"/>
      <c r="R33" s="11"/>
      <c r="V33" s="11"/>
      <c r="W33" s="11"/>
      <c r="X33" s="11"/>
      <c r="Y33" s="11"/>
      <c r="AC33" s="11"/>
      <c r="AD33" s="11">
        <v>0.5</v>
      </c>
      <c r="AE33" s="11"/>
      <c r="AF33" s="11">
        <v>0.5</v>
      </c>
      <c r="AJ33" s="11"/>
      <c r="AK33" s="11">
        <v>0.8</v>
      </c>
      <c r="AL33" s="11"/>
      <c r="AM33" s="11">
        <v>0.8</v>
      </c>
      <c r="AP33">
        <v>2</v>
      </c>
      <c r="AQ33" s="11"/>
      <c r="AR33" s="11">
        <v>1</v>
      </c>
      <c r="AS33" s="11"/>
      <c r="AT33" s="11">
        <v>1</v>
      </c>
      <c r="AX33" s="11"/>
      <c r="AY33" s="11"/>
      <c r="AZ33" s="11"/>
      <c r="BA33" s="11"/>
      <c r="BE33" s="11"/>
      <c r="BF33" s="11"/>
      <c r="BG33" s="11"/>
      <c r="BH33" s="11"/>
      <c r="BL33" s="11"/>
      <c r="BM33" s="11"/>
      <c r="BN33" s="11"/>
      <c r="BO33" s="11"/>
      <c r="BS33" s="11"/>
      <c r="BT33" s="11"/>
      <c r="BU33" s="11"/>
      <c r="BV33" s="11"/>
      <c r="BZ33" s="11"/>
      <c r="CA33" s="11"/>
      <c r="CB33" s="11"/>
      <c r="CC33" s="11"/>
      <c r="CG33" s="11"/>
      <c r="CH33" s="11"/>
      <c r="CI33" s="11"/>
      <c r="CJ33" s="11"/>
    </row>
    <row r="34" spans="2:88" ht="15.75" hidden="1" customHeight="1" outlineLevel="1">
      <c r="B34" t="s">
        <v>29</v>
      </c>
      <c r="C34" t="s">
        <v>2</v>
      </c>
      <c r="E34" s="10"/>
      <c r="F34" t="s">
        <v>39</v>
      </c>
      <c r="G34" s="11">
        <v>0.1</v>
      </c>
      <c r="I34" s="10">
        <f t="shared" si="6"/>
        <v>2</v>
      </c>
      <c r="J34" s="12">
        <f t="shared" si="7"/>
        <v>0</v>
      </c>
      <c r="K34" s="12">
        <f t="shared" si="7"/>
        <v>0</v>
      </c>
      <c r="L34" s="10"/>
      <c r="O34" s="11"/>
      <c r="P34" s="11"/>
      <c r="Q34" s="11"/>
      <c r="R34" s="11"/>
      <c r="V34" s="11"/>
      <c r="W34" s="11"/>
      <c r="X34" s="11"/>
      <c r="Y34" s="11"/>
      <c r="AC34" s="11"/>
      <c r="AD34" s="11">
        <v>0.5</v>
      </c>
      <c r="AE34" s="11"/>
      <c r="AF34" s="11">
        <v>0.5</v>
      </c>
      <c r="AJ34" s="11"/>
      <c r="AK34" s="11">
        <v>0.8</v>
      </c>
      <c r="AL34" s="11"/>
      <c r="AM34" s="11">
        <v>0.8</v>
      </c>
      <c r="AP34">
        <v>2</v>
      </c>
      <c r="AQ34" s="11"/>
      <c r="AR34" s="11">
        <v>1</v>
      </c>
      <c r="AS34" s="11"/>
      <c r="AT34" s="11">
        <v>1</v>
      </c>
      <c r="AX34" s="11"/>
      <c r="AY34" s="11"/>
      <c r="AZ34" s="11"/>
      <c r="BA34" s="11"/>
      <c r="BE34" s="11"/>
      <c r="BF34" s="11"/>
      <c r="BG34" s="11"/>
      <c r="BH34" s="11"/>
      <c r="BL34" s="11"/>
      <c r="BM34" s="11"/>
      <c r="BN34" s="11"/>
      <c r="BO34" s="11"/>
      <c r="BS34" s="11"/>
      <c r="BT34" s="11"/>
      <c r="BU34" s="11"/>
      <c r="BV34" s="11"/>
      <c r="BZ34" s="11"/>
      <c r="CA34" s="11"/>
      <c r="CB34" s="11"/>
      <c r="CC34" s="11"/>
      <c r="CG34" s="11"/>
      <c r="CH34" s="11"/>
      <c r="CI34" s="11"/>
      <c r="CJ34" s="11"/>
    </row>
    <row r="35" spans="2:88" ht="15.75" hidden="1" customHeight="1" outlineLevel="1">
      <c r="B35" t="s">
        <v>29</v>
      </c>
      <c r="C35" t="s">
        <v>2</v>
      </c>
      <c r="E35" s="10"/>
      <c r="F35" t="s">
        <v>40</v>
      </c>
      <c r="G35" s="11">
        <v>0.1</v>
      </c>
      <c r="I35" s="10">
        <f t="shared" si="6"/>
        <v>4</v>
      </c>
      <c r="J35" s="12">
        <f t="shared" si="7"/>
        <v>0</v>
      </c>
      <c r="K35" s="12">
        <f t="shared" si="7"/>
        <v>0</v>
      </c>
      <c r="L35" s="10"/>
      <c r="O35" s="11"/>
      <c r="P35" s="11"/>
      <c r="Q35" s="11"/>
      <c r="R35" s="11"/>
      <c r="V35" s="11"/>
      <c r="W35" s="11"/>
      <c r="X35" s="11"/>
      <c r="Y35" s="11"/>
      <c r="AC35" s="11"/>
      <c r="AD35" s="11">
        <v>0.3</v>
      </c>
      <c r="AE35" s="11"/>
      <c r="AF35" s="11">
        <v>0.3</v>
      </c>
      <c r="AJ35" s="11"/>
      <c r="AK35" s="11">
        <v>0.5</v>
      </c>
      <c r="AL35" s="11"/>
      <c r="AM35" s="11">
        <v>0.5</v>
      </c>
      <c r="AP35">
        <v>4</v>
      </c>
      <c r="AQ35" s="11"/>
      <c r="AR35" s="11">
        <v>1</v>
      </c>
      <c r="AS35" s="11"/>
      <c r="AT35" s="11">
        <v>1</v>
      </c>
      <c r="AX35" s="11"/>
      <c r="AY35" s="11"/>
      <c r="AZ35" s="11"/>
      <c r="BA35" s="11"/>
      <c r="BE35" s="11"/>
      <c r="BF35" s="11"/>
      <c r="BG35" s="11"/>
      <c r="BH35" s="11"/>
      <c r="BL35" s="11"/>
      <c r="BM35" s="11"/>
      <c r="BN35" s="11"/>
      <c r="BO35" s="11"/>
      <c r="BS35" s="11"/>
      <c r="BT35" s="11"/>
      <c r="BU35" s="11"/>
      <c r="BV35" s="11"/>
      <c r="BZ35" s="11"/>
      <c r="CA35" s="11"/>
      <c r="CB35" s="11"/>
      <c r="CC35" s="11"/>
      <c r="CG35" s="11"/>
      <c r="CH35" s="11"/>
      <c r="CI35" s="11"/>
      <c r="CJ35" s="11"/>
    </row>
    <row r="36" spans="2:88" ht="15.75" hidden="1" customHeight="1" outlineLevel="1">
      <c r="B36" t="s">
        <v>29</v>
      </c>
      <c r="C36" t="s">
        <v>2</v>
      </c>
      <c r="E36" s="10"/>
      <c r="F36" t="s">
        <v>41</v>
      </c>
      <c r="G36" s="11">
        <v>0.1</v>
      </c>
      <c r="I36" s="10">
        <f t="shared" si="6"/>
        <v>4</v>
      </c>
      <c r="J36" s="12">
        <f t="shared" si="7"/>
        <v>0</v>
      </c>
      <c r="K36" s="12">
        <f t="shared" si="7"/>
        <v>0</v>
      </c>
      <c r="L36" s="10"/>
      <c r="O36" s="11"/>
      <c r="P36" s="11"/>
      <c r="Q36" s="11"/>
      <c r="R36" s="11"/>
      <c r="V36" s="11"/>
      <c r="W36" s="11"/>
      <c r="X36" s="11"/>
      <c r="Y36" s="11"/>
      <c r="AC36" s="11"/>
      <c r="AD36" s="11"/>
      <c r="AE36" s="11"/>
      <c r="AF36" s="11"/>
      <c r="AJ36" s="11"/>
      <c r="AK36" s="11">
        <v>0.5</v>
      </c>
      <c r="AL36" s="11"/>
      <c r="AM36" s="11">
        <v>0.5</v>
      </c>
      <c r="AP36">
        <v>4</v>
      </c>
      <c r="AQ36" s="11"/>
      <c r="AR36" s="11">
        <v>1</v>
      </c>
      <c r="AS36" s="11"/>
      <c r="AT36" s="11">
        <v>1</v>
      </c>
      <c r="AX36" s="11"/>
      <c r="AY36" s="11"/>
      <c r="AZ36" s="11"/>
      <c r="BA36" s="11"/>
      <c r="BE36" s="11"/>
      <c r="BF36" s="11"/>
      <c r="BG36" s="11"/>
      <c r="BH36" s="11"/>
      <c r="BL36" s="11"/>
      <c r="BM36" s="11"/>
      <c r="BN36" s="11"/>
      <c r="BO36" s="11"/>
      <c r="BS36" s="11"/>
      <c r="BT36" s="11"/>
      <c r="BU36" s="11"/>
      <c r="BV36" s="11"/>
      <c r="BZ36" s="11"/>
      <c r="CA36" s="11"/>
      <c r="CB36" s="11"/>
      <c r="CC36" s="11"/>
      <c r="CG36" s="11"/>
      <c r="CH36" s="11"/>
      <c r="CI36" s="11"/>
      <c r="CJ36" s="11"/>
    </row>
    <row r="37" spans="2:88" ht="15.75" hidden="1" customHeight="1" outlineLevel="1">
      <c r="B37" t="s">
        <v>29</v>
      </c>
      <c r="C37" t="s">
        <v>2</v>
      </c>
      <c r="E37" s="10"/>
      <c r="F37" t="s">
        <v>42</v>
      </c>
      <c r="G37" s="11">
        <v>0.1</v>
      </c>
      <c r="I37" s="10">
        <f t="shared" si="6"/>
        <v>4</v>
      </c>
      <c r="J37" s="12">
        <f t="shared" si="7"/>
        <v>0</v>
      </c>
      <c r="K37" s="12">
        <f t="shared" si="7"/>
        <v>0</v>
      </c>
      <c r="L37" s="10"/>
      <c r="O37" s="11"/>
      <c r="P37" s="11"/>
      <c r="Q37" s="11"/>
      <c r="R37" s="11"/>
      <c r="V37" s="11"/>
      <c r="W37" s="11"/>
      <c r="X37" s="11"/>
      <c r="Y37" s="11"/>
      <c r="AC37" s="11"/>
      <c r="AD37" s="11"/>
      <c r="AE37" s="11"/>
      <c r="AF37" s="11"/>
      <c r="AJ37" s="11"/>
      <c r="AK37" s="11">
        <v>0.5</v>
      </c>
      <c r="AL37" s="11"/>
      <c r="AM37" s="11">
        <v>0.5</v>
      </c>
      <c r="AP37">
        <v>4</v>
      </c>
      <c r="AQ37" s="11"/>
      <c r="AR37" s="11">
        <v>1</v>
      </c>
      <c r="AS37" s="11"/>
      <c r="AT37" s="11">
        <v>1</v>
      </c>
      <c r="AX37" s="11"/>
      <c r="AY37" s="11"/>
      <c r="AZ37" s="11"/>
      <c r="BA37" s="11"/>
      <c r="BE37" s="11"/>
      <c r="BF37" s="11"/>
      <c r="BG37" s="11"/>
      <c r="BH37" s="11"/>
      <c r="BL37" s="11"/>
      <c r="BM37" s="11"/>
      <c r="BN37" s="11"/>
      <c r="BO37" s="11"/>
      <c r="BS37" s="11"/>
      <c r="BT37" s="11"/>
      <c r="BU37" s="11"/>
      <c r="BV37" s="11"/>
      <c r="BZ37" s="11"/>
      <c r="CA37" s="11"/>
      <c r="CB37" s="11"/>
      <c r="CC37" s="11"/>
      <c r="CG37" s="11"/>
      <c r="CH37" s="11"/>
      <c r="CI37" s="11"/>
      <c r="CJ37" s="11"/>
    </row>
    <row r="38" spans="2:88" ht="15.75" customHeight="1" outlineLevel="1">
      <c r="E38" s="10"/>
      <c r="G38" s="11"/>
      <c r="I38" s="10"/>
      <c r="J38" s="12"/>
      <c r="K38" s="12"/>
      <c r="L38" s="10"/>
      <c r="O38" s="11"/>
      <c r="P38" s="11"/>
      <c r="Q38" s="11"/>
      <c r="R38" s="11"/>
      <c r="V38" s="11"/>
      <c r="W38" s="11"/>
      <c r="X38" s="11"/>
      <c r="Y38" s="11"/>
      <c r="AC38" s="11"/>
      <c r="AD38" s="11"/>
      <c r="AE38" s="11"/>
      <c r="AF38" s="11"/>
      <c r="AJ38" s="11"/>
      <c r="AK38" s="11"/>
      <c r="AL38" s="11"/>
      <c r="AM38" s="11"/>
      <c r="AQ38" s="11"/>
      <c r="AR38" s="11"/>
      <c r="AS38" s="11"/>
      <c r="AT38" s="11"/>
      <c r="AX38" s="11"/>
      <c r="AY38" s="11"/>
      <c r="AZ38" s="11"/>
      <c r="BA38" s="11"/>
      <c r="BE38" s="11"/>
      <c r="BF38" s="11"/>
      <c r="BG38" s="11"/>
      <c r="BH38" s="11"/>
      <c r="BL38" s="11"/>
      <c r="BM38" s="11"/>
      <c r="BN38" s="11"/>
      <c r="BO38" s="11"/>
      <c r="BS38" s="11"/>
      <c r="BT38" s="11"/>
      <c r="BU38" s="11"/>
      <c r="BV38" s="11"/>
      <c r="BZ38" s="11"/>
      <c r="CA38" s="11"/>
      <c r="CB38" s="11"/>
      <c r="CC38" s="11"/>
      <c r="CG38" s="11"/>
      <c r="CH38" s="11"/>
      <c r="CI38" s="11"/>
      <c r="CJ38" s="11"/>
    </row>
    <row r="39" spans="2:88" ht="15.75" customHeight="1" outlineLevel="1">
      <c r="E39" s="10"/>
      <c r="G39" s="11"/>
      <c r="I39" s="10"/>
      <c r="J39" s="12"/>
      <c r="K39" s="12"/>
      <c r="L39" s="10"/>
      <c r="O39" s="11"/>
      <c r="P39" s="11"/>
      <c r="Q39" s="11"/>
      <c r="R39" s="11"/>
      <c r="V39" s="11"/>
      <c r="W39" s="11"/>
      <c r="X39" s="11"/>
      <c r="Y39" s="11"/>
      <c r="AC39" s="11"/>
      <c r="AD39" s="11"/>
      <c r="AE39" s="11"/>
      <c r="AF39" s="11"/>
      <c r="AJ39" s="11"/>
      <c r="AK39" s="11"/>
      <c r="AL39" s="11"/>
      <c r="AM39" s="11"/>
      <c r="AQ39" s="11"/>
      <c r="AR39" s="11"/>
      <c r="AS39" s="11"/>
      <c r="AT39" s="11"/>
      <c r="AX39" s="11"/>
      <c r="AY39" s="11"/>
      <c r="AZ39" s="11"/>
      <c r="BA39" s="11"/>
      <c r="BE39" s="11"/>
      <c r="BF39" s="11"/>
      <c r="BG39" s="11"/>
      <c r="BH39" s="11"/>
      <c r="BL39" s="11"/>
      <c r="BM39" s="11"/>
      <c r="BN39" s="11"/>
      <c r="BO39" s="11"/>
      <c r="BS39" s="11"/>
      <c r="BT39" s="11"/>
      <c r="BU39" s="11"/>
      <c r="BV39" s="11"/>
      <c r="BZ39" s="11"/>
      <c r="CA39" s="11"/>
      <c r="CB39" s="11"/>
      <c r="CC39" s="11"/>
      <c r="CG39" s="11"/>
      <c r="CH39" s="11"/>
      <c r="CI39" s="11"/>
      <c r="CJ39" s="11"/>
    </row>
    <row r="40" spans="2:88">
      <c r="B40" t="s">
        <v>28</v>
      </c>
      <c r="C40" t="s">
        <v>102</v>
      </c>
      <c r="D40" s="20">
        <v>44431</v>
      </c>
      <c r="E40" s="10">
        <v>5</v>
      </c>
      <c r="G40" s="11">
        <v>1</v>
      </c>
      <c r="I40" s="13">
        <v>259</v>
      </c>
      <c r="J40" s="12">
        <f>+SUMPRODUCT(G41:G56,J41:J56)</f>
        <v>0</v>
      </c>
      <c r="K40" s="12">
        <f>+SUMPRODUCT(G41:G56,K41:K56)</f>
        <v>0</v>
      </c>
      <c r="L40" s="10"/>
      <c r="N40" s="13"/>
      <c r="U40" s="13">
        <v>24</v>
      </c>
      <c r="AB40" s="13">
        <v>23</v>
      </c>
      <c r="AI40" s="13">
        <v>23</v>
      </c>
      <c r="AP40" s="13">
        <v>22</v>
      </c>
      <c r="AW40" s="13">
        <v>19</v>
      </c>
      <c r="BD40" s="23">
        <v>32</v>
      </c>
      <c r="BK40" s="13">
        <v>32</v>
      </c>
      <c r="BR40" s="23">
        <v>40</v>
      </c>
      <c r="BY40" s="13">
        <v>40</v>
      </c>
      <c r="CF40" s="23"/>
    </row>
    <row r="41" spans="2:88" outlineLevel="1">
      <c r="B41" t="s">
        <v>29</v>
      </c>
      <c r="E41" s="10"/>
      <c r="F41" t="s">
        <v>103</v>
      </c>
      <c r="G41" s="11">
        <v>0.05</v>
      </c>
      <c r="I41" s="10">
        <f>+SUMIF($N$3:$ZZ$3,I$3,$N41:$ZZ41)</f>
        <v>15</v>
      </c>
      <c r="J41" s="12">
        <f t="shared" ref="J41:K48" si="8">+_xlfn.MAXIFS($N41:$ZF41,$N$3:$ZF$3,J$3)</f>
        <v>0</v>
      </c>
      <c r="K41" s="12">
        <f t="shared" si="8"/>
        <v>0</v>
      </c>
      <c r="L41" s="10"/>
      <c r="N41">
        <v>4</v>
      </c>
      <c r="O41" s="11"/>
      <c r="P41" s="11">
        <v>0.5</v>
      </c>
      <c r="Q41" s="11"/>
      <c r="R41" s="11">
        <v>1</v>
      </c>
      <c r="U41">
        <v>2</v>
      </c>
      <c r="V41" s="11"/>
      <c r="W41" s="11">
        <v>1</v>
      </c>
      <c r="X41" s="11"/>
      <c r="Y41" s="11">
        <v>1</v>
      </c>
      <c r="AB41">
        <v>2</v>
      </c>
      <c r="AC41" s="11"/>
      <c r="AD41" s="11">
        <v>1</v>
      </c>
      <c r="AE41" s="11"/>
      <c r="AF41" s="11">
        <v>1</v>
      </c>
      <c r="AI41">
        <v>1</v>
      </c>
      <c r="AJ41" s="11"/>
      <c r="AK41" s="11">
        <v>1</v>
      </c>
      <c r="AL41" s="11"/>
      <c r="AM41" s="11">
        <v>1</v>
      </c>
      <c r="AP41">
        <v>1</v>
      </c>
      <c r="AQ41" s="11"/>
      <c r="AR41" s="11">
        <v>1</v>
      </c>
      <c r="AS41" s="11"/>
      <c r="AT41" s="11">
        <v>1</v>
      </c>
      <c r="AW41">
        <v>1</v>
      </c>
      <c r="AX41" s="11"/>
      <c r="AY41" s="11">
        <v>1</v>
      </c>
      <c r="AZ41" s="11"/>
      <c r="BA41" s="11">
        <v>1</v>
      </c>
      <c r="BD41" s="21">
        <v>1</v>
      </c>
      <c r="BE41" s="11"/>
      <c r="BF41" s="11">
        <v>1</v>
      </c>
      <c r="BG41" s="11"/>
      <c r="BH41" s="11">
        <v>1</v>
      </c>
      <c r="BK41">
        <v>1</v>
      </c>
      <c r="BL41" s="11"/>
      <c r="BM41" s="11">
        <v>1</v>
      </c>
      <c r="BN41" s="11"/>
      <c r="BO41" s="11">
        <v>1</v>
      </c>
      <c r="BR41" s="21">
        <v>1</v>
      </c>
      <c r="BS41" s="11"/>
      <c r="BT41" s="11">
        <v>1</v>
      </c>
      <c r="BU41" s="11"/>
      <c r="BV41" s="11">
        <v>1</v>
      </c>
      <c r="BY41">
        <v>1</v>
      </c>
      <c r="BZ41" s="11"/>
      <c r="CA41" s="11">
        <v>1</v>
      </c>
      <c r="CB41" s="11"/>
      <c r="CC41" s="11">
        <v>1</v>
      </c>
      <c r="CG41" s="11"/>
      <c r="CH41" s="11"/>
      <c r="CI41" s="11"/>
      <c r="CJ41" s="11"/>
    </row>
    <row r="42" spans="2:88" outlineLevel="1">
      <c r="B42" t="s">
        <v>29</v>
      </c>
      <c r="E42" s="10"/>
      <c r="F42" t="s">
        <v>104</v>
      </c>
      <c r="G42" s="11">
        <v>7.0000000000000007E-2</v>
      </c>
      <c r="I42" s="10">
        <f t="shared" ref="I42:I45" si="9">+SUMIF($N$3:$ZZ$3,I$3,$N42:$ZZ42)</f>
        <v>22</v>
      </c>
      <c r="J42" s="12">
        <f t="shared" si="8"/>
        <v>0</v>
      </c>
      <c r="K42" s="12">
        <f t="shared" si="8"/>
        <v>0</v>
      </c>
      <c r="L42" s="10"/>
      <c r="N42">
        <v>4</v>
      </c>
      <c r="O42" s="11"/>
      <c r="P42" s="11">
        <v>0.3</v>
      </c>
      <c r="Q42" s="11"/>
      <c r="R42" s="11">
        <v>1</v>
      </c>
      <c r="U42">
        <v>3</v>
      </c>
      <c r="V42" s="11"/>
      <c r="W42" s="11">
        <v>0.6</v>
      </c>
      <c r="X42" s="11"/>
      <c r="Y42" s="11">
        <v>1</v>
      </c>
      <c r="AB42">
        <v>3</v>
      </c>
      <c r="AC42" s="11"/>
      <c r="AD42" s="11">
        <v>0.8</v>
      </c>
      <c r="AE42" s="11"/>
      <c r="AF42" s="11">
        <v>1</v>
      </c>
      <c r="AI42">
        <v>2</v>
      </c>
      <c r="AJ42" s="11"/>
      <c r="AK42" s="11">
        <v>1</v>
      </c>
      <c r="AL42" s="11"/>
      <c r="AM42" s="11">
        <v>1</v>
      </c>
      <c r="AP42">
        <v>1</v>
      </c>
      <c r="AQ42" s="11"/>
      <c r="AR42" s="11">
        <v>1</v>
      </c>
      <c r="AS42" s="11"/>
      <c r="AT42" s="11">
        <v>1</v>
      </c>
      <c r="AW42">
        <v>1</v>
      </c>
      <c r="AX42" s="11"/>
      <c r="AY42" s="11">
        <v>1</v>
      </c>
      <c r="AZ42" s="11"/>
      <c r="BA42" s="11">
        <v>1</v>
      </c>
      <c r="BD42" s="21">
        <v>2</v>
      </c>
      <c r="BE42" s="11"/>
      <c r="BF42" s="11">
        <v>1</v>
      </c>
      <c r="BG42" s="11"/>
      <c r="BH42" s="11">
        <v>1</v>
      </c>
      <c r="BK42">
        <v>2</v>
      </c>
      <c r="BL42" s="11"/>
      <c r="BM42" s="11">
        <v>1</v>
      </c>
      <c r="BN42" s="11"/>
      <c r="BO42" s="11">
        <v>1</v>
      </c>
      <c r="BR42" s="21">
        <v>2</v>
      </c>
      <c r="BS42" s="11"/>
      <c r="BT42" s="11">
        <v>1</v>
      </c>
      <c r="BU42" s="11"/>
      <c r="BV42" s="11">
        <v>1</v>
      </c>
      <c r="BY42">
        <v>2</v>
      </c>
      <c r="BZ42" s="11"/>
      <c r="CA42" s="11">
        <v>1</v>
      </c>
      <c r="CB42" s="11"/>
      <c r="CC42" s="11">
        <v>1</v>
      </c>
      <c r="CG42" s="11"/>
      <c r="CH42" s="11"/>
      <c r="CI42" s="11"/>
      <c r="CJ42" s="11"/>
    </row>
    <row r="43" spans="2:88" outlineLevel="1">
      <c r="B43" t="s">
        <v>29</v>
      </c>
      <c r="E43" s="10"/>
      <c r="F43" t="s">
        <v>105</v>
      </c>
      <c r="G43" s="11">
        <v>0.08</v>
      </c>
      <c r="I43" s="10">
        <f t="shared" si="9"/>
        <v>27</v>
      </c>
      <c r="J43" s="12">
        <f t="shared" si="8"/>
        <v>0</v>
      </c>
      <c r="K43" s="12">
        <f t="shared" si="8"/>
        <v>0</v>
      </c>
      <c r="L43" s="10"/>
      <c r="O43" s="11"/>
      <c r="P43" s="11"/>
      <c r="Q43" s="11"/>
      <c r="R43" s="11"/>
      <c r="U43">
        <v>7</v>
      </c>
      <c r="V43" s="11"/>
      <c r="W43" s="11">
        <v>0.4</v>
      </c>
      <c r="X43" s="11"/>
      <c r="Y43" s="11">
        <v>0.8</v>
      </c>
      <c r="AB43">
        <v>3</v>
      </c>
      <c r="AC43" s="11"/>
      <c r="AD43" s="11">
        <v>0.6</v>
      </c>
      <c r="AE43" s="11"/>
      <c r="AF43" s="11">
        <v>1</v>
      </c>
      <c r="AI43">
        <v>4</v>
      </c>
      <c r="AJ43" s="11"/>
      <c r="AK43" s="12">
        <v>0.8</v>
      </c>
      <c r="AL43" s="11"/>
      <c r="AM43" s="11">
        <v>1</v>
      </c>
      <c r="AP43">
        <v>3</v>
      </c>
      <c r="AQ43" s="11"/>
      <c r="AR43" s="11">
        <v>1</v>
      </c>
      <c r="AS43" s="11"/>
      <c r="AT43" s="11">
        <v>1</v>
      </c>
      <c r="AW43">
        <v>2</v>
      </c>
      <c r="AX43" s="11"/>
      <c r="AY43" s="11">
        <v>1</v>
      </c>
      <c r="AZ43" s="11"/>
      <c r="BA43" s="11">
        <v>1</v>
      </c>
      <c r="BD43" s="21">
        <v>2</v>
      </c>
      <c r="BE43" s="11"/>
      <c r="BF43" s="11">
        <v>1</v>
      </c>
      <c r="BG43" s="11"/>
      <c r="BH43" s="11">
        <v>1</v>
      </c>
      <c r="BK43">
        <v>2</v>
      </c>
      <c r="BL43" s="11"/>
      <c r="BM43" s="11">
        <v>1</v>
      </c>
      <c r="BN43" s="11"/>
      <c r="BO43" s="11">
        <v>1</v>
      </c>
      <c r="BR43" s="21">
        <v>2</v>
      </c>
      <c r="BS43" s="11"/>
      <c r="BT43" s="11">
        <v>1</v>
      </c>
      <c r="BU43" s="11"/>
      <c r="BV43" s="11">
        <v>1</v>
      </c>
      <c r="BY43">
        <v>2</v>
      </c>
      <c r="BZ43" s="11"/>
      <c r="CA43" s="11">
        <v>1</v>
      </c>
      <c r="CB43" s="11"/>
      <c r="CC43" s="11">
        <v>1</v>
      </c>
      <c r="CG43" s="11"/>
      <c r="CH43" s="11"/>
      <c r="CI43" s="11"/>
      <c r="CJ43" s="11"/>
    </row>
    <row r="44" spans="2:88" outlineLevel="1">
      <c r="B44" t="s">
        <v>29</v>
      </c>
      <c r="E44" s="10"/>
      <c r="F44" t="s">
        <v>106</v>
      </c>
      <c r="G44" s="11">
        <v>0.1</v>
      </c>
      <c r="I44" s="10">
        <f t="shared" si="9"/>
        <v>32</v>
      </c>
      <c r="J44" s="12">
        <f t="shared" si="8"/>
        <v>0</v>
      </c>
      <c r="K44" s="12">
        <f t="shared" si="8"/>
        <v>0</v>
      </c>
      <c r="L44" s="10"/>
      <c r="O44" s="11"/>
      <c r="P44" s="11"/>
      <c r="Q44" s="11"/>
      <c r="R44" s="11"/>
      <c r="U44">
        <v>7</v>
      </c>
      <c r="V44" s="11"/>
      <c r="W44" s="11">
        <v>0.4</v>
      </c>
      <c r="X44" s="11"/>
      <c r="Y44" s="11">
        <v>0.8</v>
      </c>
      <c r="AB44">
        <v>3</v>
      </c>
      <c r="AC44" s="11"/>
      <c r="AD44" s="11">
        <v>0.6</v>
      </c>
      <c r="AE44" s="11"/>
      <c r="AF44" s="11">
        <v>1</v>
      </c>
      <c r="AI44">
        <v>4</v>
      </c>
      <c r="AJ44" s="11"/>
      <c r="AK44" s="11">
        <v>0.8</v>
      </c>
      <c r="AL44" s="11"/>
      <c r="AM44" s="11">
        <v>1</v>
      </c>
      <c r="AP44">
        <v>3</v>
      </c>
      <c r="AQ44" s="11"/>
      <c r="AR44" s="11">
        <v>1</v>
      </c>
      <c r="AS44" s="11"/>
      <c r="AT44" s="11">
        <v>1</v>
      </c>
      <c r="AW44">
        <v>3</v>
      </c>
      <c r="AX44" s="11"/>
      <c r="AY44" s="11">
        <v>1</v>
      </c>
      <c r="AZ44" s="11"/>
      <c r="BA44" s="11">
        <v>1</v>
      </c>
      <c r="BD44" s="21">
        <v>3</v>
      </c>
      <c r="BE44" s="11"/>
      <c r="BF44" s="11">
        <v>1</v>
      </c>
      <c r="BG44" s="11"/>
      <c r="BH44" s="11">
        <v>1</v>
      </c>
      <c r="BK44">
        <v>3</v>
      </c>
      <c r="BL44" s="11"/>
      <c r="BM44" s="11">
        <v>1</v>
      </c>
      <c r="BN44" s="11"/>
      <c r="BO44" s="11">
        <v>1</v>
      </c>
      <c r="BR44" s="21">
        <v>3</v>
      </c>
      <c r="BS44" s="11"/>
      <c r="BT44" s="11">
        <v>1</v>
      </c>
      <c r="BU44" s="11"/>
      <c r="BV44" s="11">
        <v>1</v>
      </c>
      <c r="BY44">
        <v>3</v>
      </c>
      <c r="BZ44" s="11"/>
      <c r="CA44" s="11">
        <v>1</v>
      </c>
      <c r="CB44" s="11"/>
      <c r="CC44" s="11">
        <v>1</v>
      </c>
      <c r="CG44" s="11"/>
      <c r="CH44" s="11"/>
      <c r="CI44" s="11"/>
      <c r="CJ44" s="11"/>
    </row>
    <row r="45" spans="2:88" outlineLevel="1">
      <c r="B45" t="s">
        <v>29</v>
      </c>
      <c r="E45" s="10"/>
      <c r="F45" t="s">
        <v>107</v>
      </c>
      <c r="G45" s="11">
        <v>0.1</v>
      </c>
      <c r="I45" s="10">
        <f t="shared" si="9"/>
        <v>36</v>
      </c>
      <c r="J45" s="12">
        <f t="shared" si="8"/>
        <v>0</v>
      </c>
      <c r="K45" s="12">
        <f t="shared" si="8"/>
        <v>0</v>
      </c>
      <c r="L45" s="10"/>
      <c r="O45" s="11"/>
      <c r="P45" s="11"/>
      <c r="Q45" s="11"/>
      <c r="R45" s="11"/>
      <c r="U45">
        <v>7</v>
      </c>
      <c r="V45" s="11"/>
      <c r="W45" s="11">
        <v>0.4</v>
      </c>
      <c r="X45" s="11"/>
      <c r="Y45" s="11">
        <v>0.8</v>
      </c>
      <c r="AB45">
        <v>3</v>
      </c>
      <c r="AC45" s="11"/>
      <c r="AD45" s="11">
        <v>0.6</v>
      </c>
      <c r="AE45" s="11"/>
      <c r="AF45" s="11">
        <v>1</v>
      </c>
      <c r="AI45">
        <v>3</v>
      </c>
      <c r="AJ45" s="11"/>
      <c r="AK45" s="11">
        <v>0.7</v>
      </c>
      <c r="AL45" s="11"/>
      <c r="AM45" s="11">
        <v>1</v>
      </c>
      <c r="AP45">
        <v>4</v>
      </c>
      <c r="AQ45" s="11"/>
      <c r="AR45" s="11">
        <v>0.8</v>
      </c>
      <c r="AS45" s="11"/>
      <c r="AT45" s="11">
        <v>1</v>
      </c>
      <c r="AW45">
        <v>3</v>
      </c>
      <c r="AX45" s="11"/>
      <c r="AY45" s="11">
        <v>0.9</v>
      </c>
      <c r="AZ45" s="11"/>
      <c r="BA45" s="11">
        <v>1</v>
      </c>
      <c r="BD45" s="21">
        <v>3</v>
      </c>
      <c r="BE45" s="11"/>
      <c r="BF45" s="11">
        <v>1</v>
      </c>
      <c r="BG45" s="11"/>
      <c r="BH45" s="11">
        <v>1</v>
      </c>
      <c r="BK45">
        <v>3</v>
      </c>
      <c r="BL45" s="11"/>
      <c r="BM45" s="11">
        <v>1</v>
      </c>
      <c r="BN45" s="11"/>
      <c r="BO45" s="11">
        <v>1</v>
      </c>
      <c r="BR45" s="21">
        <v>4</v>
      </c>
      <c r="BS45" s="11"/>
      <c r="BT45" s="11">
        <v>1</v>
      </c>
      <c r="BU45" s="11"/>
      <c r="BV45" s="11">
        <v>1</v>
      </c>
      <c r="BY45">
        <v>6</v>
      </c>
      <c r="BZ45" s="11"/>
      <c r="CA45" s="11">
        <v>1</v>
      </c>
      <c r="CB45" s="11"/>
      <c r="CC45" s="11">
        <v>1</v>
      </c>
      <c r="CG45" s="11"/>
      <c r="CH45" s="11"/>
      <c r="CI45" s="11"/>
      <c r="CJ45" s="11"/>
    </row>
    <row r="46" spans="2:88" outlineLevel="1">
      <c r="B46" t="s">
        <v>29</v>
      </c>
      <c r="E46" s="10"/>
      <c r="F46" t="s">
        <v>108</v>
      </c>
      <c r="G46" s="11">
        <v>0.12</v>
      </c>
      <c r="I46" s="10">
        <f>+SUMIF($N$3:$ZZ$3,I$3,$N46:$ZZ46)</f>
        <v>39</v>
      </c>
      <c r="J46" s="12">
        <f t="shared" si="8"/>
        <v>0</v>
      </c>
      <c r="K46" s="12">
        <f t="shared" si="8"/>
        <v>0</v>
      </c>
      <c r="L46" s="10"/>
      <c r="O46" s="11"/>
      <c r="P46" s="11"/>
      <c r="Q46" s="11"/>
      <c r="R46" s="11"/>
      <c r="U46">
        <v>0</v>
      </c>
      <c r="V46" s="11"/>
      <c r="W46" s="11"/>
      <c r="X46" s="11"/>
      <c r="Y46" s="11"/>
      <c r="AB46">
        <v>3</v>
      </c>
      <c r="AC46" s="11"/>
      <c r="AD46" s="11">
        <v>0.3</v>
      </c>
      <c r="AE46" s="11"/>
      <c r="AF46" s="11">
        <v>0.4</v>
      </c>
      <c r="AI46">
        <v>3</v>
      </c>
      <c r="AJ46" s="11"/>
      <c r="AK46" s="11">
        <v>0.5</v>
      </c>
      <c r="AL46" s="11"/>
      <c r="AM46" s="11">
        <v>0.6</v>
      </c>
      <c r="AP46">
        <v>3</v>
      </c>
      <c r="AQ46" s="11"/>
      <c r="AR46" s="11">
        <v>0.7</v>
      </c>
      <c r="AS46" s="11"/>
      <c r="AT46" s="11">
        <v>0.8</v>
      </c>
      <c r="AW46">
        <v>3</v>
      </c>
      <c r="AX46" s="11"/>
      <c r="AY46" s="11">
        <v>0.8</v>
      </c>
      <c r="AZ46" s="11"/>
      <c r="BA46" s="11">
        <v>0.9</v>
      </c>
      <c r="BD46" s="21">
        <v>5</v>
      </c>
      <c r="BE46" s="11"/>
      <c r="BF46" s="11">
        <v>0.9</v>
      </c>
      <c r="BG46" s="11"/>
      <c r="BH46" s="11">
        <v>1</v>
      </c>
      <c r="BK46">
        <v>5</v>
      </c>
      <c r="BL46" s="11"/>
      <c r="BM46" s="11">
        <v>1</v>
      </c>
      <c r="BN46" s="11"/>
      <c r="BO46" s="11">
        <v>1</v>
      </c>
      <c r="BR46" s="21">
        <v>9</v>
      </c>
      <c r="BS46" s="11"/>
      <c r="BT46" s="11">
        <v>1</v>
      </c>
      <c r="BU46" s="11"/>
      <c r="BV46" s="11">
        <v>1</v>
      </c>
      <c r="BY46">
        <v>8</v>
      </c>
      <c r="BZ46" s="11"/>
      <c r="CA46" s="11">
        <v>1</v>
      </c>
      <c r="CB46" s="11"/>
      <c r="CC46" s="11">
        <v>1</v>
      </c>
      <c r="CG46" s="11"/>
      <c r="CH46" s="11"/>
      <c r="CI46" s="11"/>
      <c r="CJ46" s="11"/>
    </row>
    <row r="47" spans="2:88" outlineLevel="1">
      <c r="B47" t="s">
        <v>29</v>
      </c>
      <c r="E47" s="10"/>
      <c r="F47" t="s">
        <v>109</v>
      </c>
      <c r="G47" s="11">
        <v>0.13</v>
      </c>
      <c r="I47" s="10">
        <f t="shared" ref="I47:I48" si="10">+SUMIF($N$3:$ZZ$3,I$3,$N47:$ZZ47)</f>
        <v>41</v>
      </c>
      <c r="J47" s="12">
        <f t="shared" si="8"/>
        <v>0</v>
      </c>
      <c r="K47" s="12">
        <f t="shared" si="8"/>
        <v>0</v>
      </c>
      <c r="L47" s="10"/>
      <c r="O47" s="11"/>
      <c r="P47" s="11"/>
      <c r="Q47" s="11"/>
      <c r="R47" s="11"/>
      <c r="U47">
        <v>0</v>
      </c>
      <c r="V47" s="11"/>
      <c r="W47" s="11"/>
      <c r="X47" s="11"/>
      <c r="Y47" s="11"/>
      <c r="AB47">
        <v>3</v>
      </c>
      <c r="AC47" s="11"/>
      <c r="AD47" s="11">
        <v>0.2</v>
      </c>
      <c r="AE47" s="11"/>
      <c r="AF47" s="11">
        <v>0.3</v>
      </c>
      <c r="AI47">
        <v>3</v>
      </c>
      <c r="AJ47" s="11"/>
      <c r="AK47" s="11">
        <v>0.4</v>
      </c>
      <c r="AL47" s="11"/>
      <c r="AM47" s="11">
        <v>0.5</v>
      </c>
      <c r="AP47">
        <v>3</v>
      </c>
      <c r="AQ47" s="11"/>
      <c r="AR47" s="11">
        <v>0.5</v>
      </c>
      <c r="AS47" s="11"/>
      <c r="AT47" s="11">
        <v>0.7</v>
      </c>
      <c r="AW47">
        <v>3</v>
      </c>
      <c r="AX47" s="11"/>
      <c r="AY47" s="11">
        <v>0.6</v>
      </c>
      <c r="AZ47" s="11"/>
      <c r="BA47" s="11">
        <v>0.8</v>
      </c>
      <c r="BD47" s="21">
        <v>6</v>
      </c>
      <c r="BE47" s="11"/>
      <c r="BF47" s="11">
        <v>0.8</v>
      </c>
      <c r="BG47" s="11"/>
      <c r="BH47" s="11">
        <v>1</v>
      </c>
      <c r="BK47">
        <v>6</v>
      </c>
      <c r="BL47" s="11"/>
      <c r="BM47" s="11">
        <v>1</v>
      </c>
      <c r="BN47" s="11"/>
      <c r="BO47" s="11">
        <v>1</v>
      </c>
      <c r="BR47" s="21">
        <v>9</v>
      </c>
      <c r="BS47" s="11"/>
      <c r="BT47" s="11">
        <v>1</v>
      </c>
      <c r="BU47" s="11"/>
      <c r="BV47" s="11">
        <v>1</v>
      </c>
      <c r="BY47">
        <v>8</v>
      </c>
      <c r="BZ47" s="11"/>
      <c r="CA47" s="11">
        <v>1</v>
      </c>
      <c r="CB47" s="11"/>
      <c r="CC47" s="11">
        <v>1</v>
      </c>
      <c r="CG47" s="11"/>
      <c r="CH47" s="11"/>
      <c r="CI47" s="11"/>
      <c r="CJ47" s="11"/>
    </row>
    <row r="48" spans="2:88" outlineLevel="1">
      <c r="B48" t="s">
        <v>29</v>
      </c>
      <c r="E48" s="10"/>
      <c r="F48" t="s">
        <v>110</v>
      </c>
      <c r="G48" s="11">
        <v>0.15</v>
      </c>
      <c r="I48" s="10">
        <f t="shared" si="10"/>
        <v>44</v>
      </c>
      <c r="J48" s="12">
        <f t="shared" si="8"/>
        <v>0</v>
      </c>
      <c r="K48" s="12">
        <f t="shared" si="8"/>
        <v>0</v>
      </c>
      <c r="L48" s="10"/>
      <c r="O48" s="11"/>
      <c r="P48" s="11"/>
      <c r="Q48" s="11"/>
      <c r="R48" s="11"/>
      <c r="U48">
        <v>0</v>
      </c>
      <c r="V48" s="11"/>
      <c r="W48" s="11"/>
      <c r="X48" s="11"/>
      <c r="Y48" s="11"/>
      <c r="AB48">
        <v>3</v>
      </c>
      <c r="AC48" s="11"/>
      <c r="AD48" s="11">
        <v>0.2</v>
      </c>
      <c r="AE48" s="11"/>
      <c r="AF48" s="11">
        <v>0.3</v>
      </c>
      <c r="AI48">
        <v>3</v>
      </c>
      <c r="AJ48" s="11"/>
      <c r="AK48" s="11">
        <v>0.4</v>
      </c>
      <c r="AL48" s="11"/>
      <c r="AM48" s="11">
        <v>0.5</v>
      </c>
      <c r="AP48">
        <v>3</v>
      </c>
      <c r="AQ48" s="11"/>
      <c r="AR48" s="11">
        <v>0.5</v>
      </c>
      <c r="AS48" s="11"/>
      <c r="AT48" s="11">
        <v>0.7</v>
      </c>
      <c r="AW48">
        <v>3</v>
      </c>
      <c r="AX48" s="11"/>
      <c r="AY48" s="11">
        <v>0.6</v>
      </c>
      <c r="AZ48" s="11"/>
      <c r="BA48" s="11">
        <v>0.8</v>
      </c>
      <c r="BD48" s="21">
        <v>6</v>
      </c>
      <c r="BE48" s="11"/>
      <c r="BF48" s="11">
        <v>0.8</v>
      </c>
      <c r="BG48" s="11"/>
      <c r="BH48" s="11">
        <v>1</v>
      </c>
      <c r="BK48">
        <v>6</v>
      </c>
      <c r="BL48" s="11"/>
      <c r="BM48" s="11">
        <v>1</v>
      </c>
      <c r="BN48" s="11"/>
      <c r="BO48" s="11">
        <v>1</v>
      </c>
      <c r="BR48" s="21">
        <v>10</v>
      </c>
      <c r="BS48" s="11"/>
      <c r="BT48" s="11">
        <v>1</v>
      </c>
      <c r="BU48" s="11"/>
      <c r="BV48" s="11">
        <v>1</v>
      </c>
      <c r="BY48">
        <v>10</v>
      </c>
      <c r="BZ48" s="11"/>
      <c r="CA48" s="11">
        <v>1</v>
      </c>
      <c r="CB48" s="11"/>
      <c r="CC48" s="11">
        <v>1</v>
      </c>
      <c r="CG48" s="11"/>
      <c r="CH48" s="11"/>
      <c r="CI48" s="11"/>
      <c r="CJ48" s="11"/>
    </row>
    <row r="49" spans="2:88" ht="15.75" customHeight="1" outlineLevel="1">
      <c r="B49" t="s">
        <v>29</v>
      </c>
      <c r="E49" s="10"/>
      <c r="F49" t="s">
        <v>111</v>
      </c>
      <c r="G49" s="11"/>
      <c r="I49" s="10"/>
      <c r="J49" s="12"/>
      <c r="K49" s="12"/>
      <c r="L49" s="10"/>
      <c r="O49" s="11"/>
      <c r="P49" s="11"/>
      <c r="Q49" s="11"/>
      <c r="R49" s="11"/>
      <c r="V49" s="11"/>
      <c r="W49" s="11"/>
      <c r="X49" s="11"/>
      <c r="Y49" s="11"/>
      <c r="AC49" s="11"/>
      <c r="AD49" s="11"/>
      <c r="AE49" s="11"/>
      <c r="AF49" s="11"/>
      <c r="AJ49" s="11"/>
      <c r="AK49" s="11"/>
      <c r="AL49" s="11"/>
      <c r="AM49" s="11"/>
      <c r="AQ49" s="11"/>
      <c r="AR49" s="11"/>
      <c r="AS49" s="11"/>
      <c r="AT49" s="11"/>
      <c r="AX49" s="11"/>
      <c r="AY49" s="11"/>
      <c r="AZ49" s="11"/>
      <c r="BA49" s="11"/>
      <c r="BE49" s="11"/>
      <c r="BF49" s="11"/>
      <c r="BG49" s="11"/>
      <c r="BH49" s="11"/>
      <c r="BL49" s="11"/>
      <c r="BM49" s="11"/>
      <c r="BN49" s="11"/>
      <c r="BO49" s="11"/>
      <c r="BS49" s="11"/>
      <c r="BT49" s="11"/>
      <c r="BU49" s="11"/>
      <c r="BV49" s="11"/>
      <c r="BZ49" s="11"/>
      <c r="CA49" s="11"/>
      <c r="CB49" s="11"/>
      <c r="CC49" s="11"/>
      <c r="CG49" s="11"/>
      <c r="CH49" s="11"/>
      <c r="CI49" s="11"/>
      <c r="CJ49" s="11"/>
    </row>
    <row r="50" spans="2:88" ht="15.75" customHeight="1" outlineLevel="1">
      <c r="E50" s="10"/>
      <c r="G50" s="11"/>
      <c r="I50" s="10"/>
      <c r="J50" s="12"/>
      <c r="K50" s="12"/>
      <c r="L50" s="10"/>
      <c r="O50" s="11"/>
      <c r="P50" s="11"/>
      <c r="Q50" s="11"/>
      <c r="R50" s="11"/>
      <c r="V50" s="11"/>
      <c r="W50" s="11"/>
      <c r="X50" s="11"/>
      <c r="Y50" s="11"/>
      <c r="AC50" s="11"/>
      <c r="AD50" s="11"/>
      <c r="AE50" s="11"/>
      <c r="AF50" s="11"/>
      <c r="AJ50" s="11"/>
      <c r="AK50" s="11"/>
      <c r="AL50" s="11"/>
      <c r="AM50" s="11"/>
      <c r="AQ50" s="11"/>
      <c r="AR50" s="11"/>
      <c r="AS50" s="11"/>
      <c r="AT50" s="11"/>
      <c r="AX50" s="11"/>
      <c r="AY50" s="11"/>
      <c r="AZ50" s="11"/>
      <c r="BA50" s="11"/>
      <c r="BE50" s="11"/>
      <c r="BF50" s="11"/>
      <c r="BG50" s="11"/>
      <c r="BH50" s="11"/>
      <c r="BL50" s="11"/>
      <c r="BM50" s="11"/>
      <c r="BN50" s="11"/>
      <c r="BO50" s="11"/>
      <c r="BS50" s="11"/>
      <c r="BT50" s="11"/>
      <c r="BU50" s="11"/>
      <c r="BV50" s="11"/>
      <c r="BZ50" s="11"/>
      <c r="CA50" s="11"/>
      <c r="CB50" s="11"/>
      <c r="CC50" s="11"/>
      <c r="CG50" s="11"/>
      <c r="CH50" s="11"/>
      <c r="CI50" s="11"/>
      <c r="CJ50" s="11"/>
    </row>
    <row r="51" spans="2:88" ht="15.75" customHeight="1" outlineLevel="1">
      <c r="E51" s="10"/>
      <c r="G51" s="11"/>
      <c r="I51" s="10"/>
      <c r="J51" s="12"/>
      <c r="K51" s="12"/>
      <c r="L51" s="10"/>
      <c r="O51" s="11"/>
      <c r="P51" s="11"/>
      <c r="Q51" s="11"/>
      <c r="R51" s="11"/>
      <c r="V51" s="11"/>
      <c r="W51" s="11"/>
      <c r="X51" s="11"/>
      <c r="Y51" s="11"/>
      <c r="AC51" s="11"/>
      <c r="AD51" s="11"/>
      <c r="AE51" s="11"/>
      <c r="AF51" s="11"/>
      <c r="AJ51" s="11"/>
      <c r="AK51" s="11"/>
      <c r="AL51" s="11"/>
      <c r="AM51" s="11"/>
      <c r="AQ51" s="11"/>
      <c r="AR51" s="11"/>
      <c r="AS51" s="11"/>
      <c r="AT51" s="11"/>
      <c r="AX51" s="11"/>
      <c r="AY51" s="11"/>
      <c r="AZ51" s="11"/>
      <c r="BA51" s="11"/>
      <c r="BE51" s="11"/>
      <c r="BF51" s="11"/>
      <c r="BG51" s="11"/>
      <c r="BH51" s="11"/>
      <c r="BL51" s="11"/>
      <c r="BM51" s="11"/>
      <c r="BN51" s="11"/>
      <c r="BO51" s="11"/>
      <c r="BS51" s="11"/>
      <c r="BT51" s="11"/>
      <c r="BU51" s="11"/>
      <c r="BV51" s="11"/>
      <c r="BZ51" s="11"/>
      <c r="CA51" s="11"/>
      <c r="CB51" s="11"/>
      <c r="CC51" s="11"/>
      <c r="CG51" s="11"/>
      <c r="CH51" s="11"/>
      <c r="CI51" s="11"/>
      <c r="CJ51" s="11"/>
    </row>
    <row r="52" spans="2:88" ht="15.75" customHeight="1" outlineLevel="1">
      <c r="E52" s="10"/>
      <c r="G52" s="11"/>
      <c r="I52" s="10"/>
      <c r="J52" s="12"/>
      <c r="K52" s="12"/>
      <c r="L52" s="10"/>
      <c r="O52" s="11"/>
      <c r="P52" s="11"/>
      <c r="Q52" s="11"/>
      <c r="R52" s="11"/>
      <c r="V52" s="11"/>
      <c r="W52" s="11"/>
      <c r="X52" s="11"/>
      <c r="Y52" s="11"/>
      <c r="AC52" s="11"/>
      <c r="AD52" s="11"/>
      <c r="AE52" s="11"/>
      <c r="AF52" s="11"/>
      <c r="AJ52" s="11"/>
      <c r="AK52" s="11"/>
      <c r="AL52" s="11"/>
      <c r="AM52" s="11"/>
      <c r="AQ52" s="11"/>
      <c r="AR52" s="11"/>
      <c r="AS52" s="11"/>
      <c r="AT52" s="11"/>
      <c r="AX52" s="11"/>
      <c r="AY52" s="11"/>
      <c r="AZ52" s="11"/>
      <c r="BA52" s="11"/>
      <c r="BE52" s="11"/>
      <c r="BF52" s="11"/>
      <c r="BG52" s="11"/>
      <c r="BH52" s="11"/>
      <c r="BL52" s="11"/>
      <c r="BM52" s="11"/>
      <c r="BN52" s="11"/>
      <c r="BO52" s="11"/>
      <c r="BS52" s="11"/>
      <c r="BT52" s="11"/>
      <c r="BU52" s="11"/>
      <c r="BV52" s="11"/>
      <c r="BZ52" s="11"/>
      <c r="CA52" s="11"/>
      <c r="CB52" s="11"/>
      <c r="CC52" s="11"/>
      <c r="CG52" s="11"/>
      <c r="CH52" s="11"/>
      <c r="CI52" s="11"/>
      <c r="CJ52" s="11"/>
    </row>
    <row r="53" spans="2:88">
      <c r="B53" t="s">
        <v>28</v>
      </c>
      <c r="C53" t="s">
        <v>71</v>
      </c>
      <c r="D53" s="20">
        <v>44432</v>
      </c>
      <c r="E53" s="10">
        <v>5</v>
      </c>
      <c r="G53" s="11">
        <f>+SUM(G54:G66)</f>
        <v>1</v>
      </c>
      <c r="I53" s="13">
        <v>200</v>
      </c>
      <c r="J53" s="12">
        <f>+SUMPRODUCT(G54:G66,J54:J66)</f>
        <v>0</v>
      </c>
      <c r="K53" s="12">
        <f>+SUMPRODUCT(G54:G66,K54:K66)</f>
        <v>0</v>
      </c>
      <c r="L53" s="10"/>
      <c r="N53" s="13"/>
      <c r="U53">
        <v>18</v>
      </c>
      <c r="AB53" s="13">
        <v>20</v>
      </c>
      <c r="AI53" s="13">
        <v>20</v>
      </c>
      <c r="AP53" s="13">
        <v>20</v>
      </c>
      <c r="AW53" s="13">
        <v>15</v>
      </c>
      <c r="BD53" s="23">
        <v>20</v>
      </c>
      <c r="BK53" s="13">
        <v>20</v>
      </c>
      <c r="BR53" s="23">
        <v>40</v>
      </c>
      <c r="BY53" s="13">
        <v>40</v>
      </c>
      <c r="CF53" s="23"/>
    </row>
    <row r="54" spans="2:88" outlineLevel="1">
      <c r="B54" t="s">
        <v>29</v>
      </c>
      <c r="E54" s="10"/>
      <c r="F54" t="s">
        <v>97</v>
      </c>
      <c r="G54" s="11">
        <v>0.5</v>
      </c>
      <c r="I54" s="10">
        <f>+SUMIF($N$3:$ZZ$3,I$3,$N54:$ZZ54)</f>
        <v>105</v>
      </c>
      <c r="J54" s="12">
        <f t="shared" ref="J54:K55" si="11">+_xlfn.MAXIFS($N54:$ZF54,$N$3:$ZF$3,J$3)</f>
        <v>0</v>
      </c>
      <c r="K54" s="12">
        <f t="shared" si="11"/>
        <v>0</v>
      </c>
      <c r="L54" s="10"/>
      <c r="O54" s="11"/>
      <c r="P54" s="11"/>
      <c r="Q54" s="11"/>
      <c r="R54" s="11"/>
      <c r="U54">
        <v>13</v>
      </c>
      <c r="V54" s="11"/>
      <c r="W54" s="11">
        <v>0.4</v>
      </c>
      <c r="X54" s="11"/>
      <c r="Y54" s="11"/>
      <c r="AB54">
        <v>12</v>
      </c>
      <c r="AC54" s="11"/>
      <c r="AD54" s="11">
        <v>0.6</v>
      </c>
      <c r="AE54" s="11"/>
      <c r="AF54" s="11"/>
      <c r="AI54">
        <v>10</v>
      </c>
      <c r="AJ54" s="11"/>
      <c r="AK54" s="11">
        <v>0.8</v>
      </c>
      <c r="AL54" s="11"/>
      <c r="AM54" s="11"/>
      <c r="AP54">
        <v>8</v>
      </c>
      <c r="AQ54" s="11"/>
      <c r="AR54" s="11">
        <v>0.9</v>
      </c>
      <c r="AS54" s="11"/>
      <c r="AT54" s="11"/>
      <c r="AW54">
        <v>5</v>
      </c>
      <c r="AX54" s="11"/>
      <c r="AY54" s="11">
        <v>1</v>
      </c>
      <c r="AZ54" s="11"/>
      <c r="BA54" s="11"/>
      <c r="BD54" s="21">
        <v>7</v>
      </c>
      <c r="BE54" s="11"/>
      <c r="BF54" s="11">
        <v>1</v>
      </c>
      <c r="BG54" s="11"/>
      <c r="BH54" s="11"/>
      <c r="BK54">
        <v>10</v>
      </c>
      <c r="BL54" s="11"/>
      <c r="BM54" s="11">
        <v>1</v>
      </c>
      <c r="BN54" s="11"/>
      <c r="BO54" s="11"/>
      <c r="BR54" s="21">
        <v>20</v>
      </c>
      <c r="BS54" s="11"/>
      <c r="BT54" s="11">
        <v>1</v>
      </c>
      <c r="BU54" s="11"/>
      <c r="BV54" s="11"/>
      <c r="BY54">
        <v>20</v>
      </c>
      <c r="BZ54" s="11"/>
      <c r="CA54" s="11">
        <v>1</v>
      </c>
      <c r="CB54" s="11"/>
      <c r="CC54" s="11"/>
      <c r="CG54" s="11"/>
      <c r="CI54" s="11"/>
      <c r="CJ54" s="11"/>
    </row>
    <row r="55" spans="2:88" outlineLevel="1">
      <c r="B55" t="s">
        <v>29</v>
      </c>
      <c r="E55" s="10"/>
      <c r="F55" t="s">
        <v>98</v>
      </c>
      <c r="G55" s="11">
        <v>0.5</v>
      </c>
      <c r="I55" s="10">
        <f t="shared" ref="I55" si="12">+SUMIF($N$3:$ZZ$3,I$3,$N55:$ZZ55)</f>
        <v>106</v>
      </c>
      <c r="J55" s="12">
        <f t="shared" si="11"/>
        <v>0</v>
      </c>
      <c r="K55" s="12">
        <f t="shared" si="11"/>
        <v>0</v>
      </c>
      <c r="L55" s="10"/>
      <c r="O55" s="11"/>
      <c r="P55" s="11"/>
      <c r="Q55" s="11"/>
      <c r="R55" s="11"/>
      <c r="U55">
        <v>5</v>
      </c>
      <c r="V55" s="11"/>
      <c r="W55" s="11">
        <v>0.2</v>
      </c>
      <c r="X55" s="11"/>
      <c r="Y55" s="11"/>
      <c r="AB55">
        <v>8</v>
      </c>
      <c r="AC55" s="11"/>
      <c r="AD55" s="11">
        <v>0.3</v>
      </c>
      <c r="AE55" s="11"/>
      <c r="AF55" s="11"/>
      <c r="AI55">
        <v>10</v>
      </c>
      <c r="AJ55" s="11"/>
      <c r="AK55" s="11">
        <v>0.5</v>
      </c>
      <c r="AL55" s="11"/>
      <c r="AM55" s="11"/>
      <c r="AP55">
        <v>10</v>
      </c>
      <c r="AQ55" s="11"/>
      <c r="AR55" s="11">
        <v>0.8</v>
      </c>
      <c r="AS55" s="11"/>
      <c r="AT55" s="11"/>
      <c r="AW55">
        <v>10</v>
      </c>
      <c r="AX55" s="11"/>
      <c r="AY55" s="11">
        <v>0.9</v>
      </c>
      <c r="AZ55" s="11"/>
      <c r="BA55" s="11"/>
      <c r="BD55" s="21">
        <v>13</v>
      </c>
      <c r="BE55" s="11"/>
      <c r="BF55" s="11">
        <v>1</v>
      </c>
      <c r="BG55" s="11"/>
      <c r="BH55" s="11"/>
      <c r="BK55">
        <v>10</v>
      </c>
      <c r="BL55" s="11"/>
      <c r="BM55" s="11">
        <v>1</v>
      </c>
      <c r="BN55" s="11"/>
      <c r="BO55" s="11"/>
      <c r="BR55" s="21">
        <v>20</v>
      </c>
      <c r="BS55" s="11"/>
      <c r="BT55" s="11">
        <v>1</v>
      </c>
      <c r="BU55" s="11"/>
      <c r="BV55" s="11"/>
      <c r="BY55">
        <v>20</v>
      </c>
      <c r="BZ55" s="11"/>
      <c r="CA55" s="11">
        <v>1</v>
      </c>
      <c r="CB55" s="11"/>
      <c r="CC55" s="11"/>
      <c r="CG55" s="11"/>
      <c r="CH55" s="11"/>
      <c r="CI55" s="11"/>
      <c r="CJ55" s="11"/>
    </row>
    <row r="56" spans="2:88" outlineLevel="1">
      <c r="E56" s="10"/>
      <c r="G56" s="11"/>
      <c r="I56" s="10"/>
      <c r="J56" s="12"/>
      <c r="K56" s="12"/>
      <c r="L56" s="10"/>
      <c r="O56" s="11"/>
      <c r="P56" s="11"/>
      <c r="Q56" s="11"/>
      <c r="R56" s="11"/>
      <c r="V56" s="11"/>
      <c r="W56" s="11"/>
      <c r="X56" s="11"/>
      <c r="Y56" s="11"/>
      <c r="AC56" s="11"/>
      <c r="AD56" s="11"/>
      <c r="AE56" s="11"/>
      <c r="AF56" s="11"/>
      <c r="AJ56" s="11"/>
      <c r="AK56" s="11"/>
      <c r="AL56" s="11"/>
      <c r="AM56" s="11"/>
      <c r="AQ56" s="11"/>
      <c r="AR56" s="11"/>
      <c r="AS56" s="11"/>
      <c r="AT56" s="11"/>
      <c r="AX56" s="11"/>
      <c r="AY56" s="11"/>
      <c r="AZ56" s="11"/>
      <c r="BA56" s="11"/>
      <c r="BE56" s="11"/>
      <c r="BF56" s="11"/>
      <c r="BG56" s="11"/>
      <c r="BH56" s="11"/>
      <c r="BL56" s="11"/>
      <c r="BM56" s="11"/>
      <c r="BN56" s="11"/>
      <c r="BO56" s="11"/>
      <c r="BS56" s="11"/>
      <c r="BT56" s="11"/>
      <c r="BU56" s="11"/>
      <c r="BV56" s="11"/>
      <c r="BZ56" s="11"/>
      <c r="CA56" s="11"/>
      <c r="CB56" s="11"/>
      <c r="CC56" s="11"/>
      <c r="CG56" s="11"/>
      <c r="CH56" s="11"/>
      <c r="CI56" s="11"/>
      <c r="CJ56" s="11"/>
    </row>
    <row r="57" spans="2:88" outlineLevel="1">
      <c r="E57" s="10"/>
      <c r="G57" s="11"/>
      <c r="I57" s="10"/>
      <c r="J57" s="12"/>
      <c r="K57" s="12"/>
      <c r="L57" s="10"/>
      <c r="N57">
        <v>8</v>
      </c>
      <c r="O57" s="11"/>
      <c r="P57" s="11"/>
      <c r="Q57" s="11"/>
      <c r="R57" s="11"/>
      <c r="U57" s="13" t="s">
        <v>100</v>
      </c>
      <c r="V57" s="11"/>
      <c r="W57" s="11"/>
      <c r="X57" s="11"/>
      <c r="Y57" s="11"/>
      <c r="AB57" t="s">
        <v>100</v>
      </c>
      <c r="AC57" s="11"/>
      <c r="AD57" s="11"/>
      <c r="AE57" s="11"/>
      <c r="AF57" s="11"/>
      <c r="AI57" t="s">
        <v>100</v>
      </c>
      <c r="AJ57" s="11"/>
      <c r="AK57" s="11"/>
      <c r="AL57" s="11"/>
      <c r="AM57" s="11"/>
      <c r="AP57" t="s">
        <v>100</v>
      </c>
      <c r="AQ57" s="11"/>
      <c r="AR57" s="11"/>
      <c r="AS57" s="11"/>
      <c r="AT57" s="11"/>
      <c r="AW57" t="s">
        <v>101</v>
      </c>
      <c r="AX57" s="11"/>
      <c r="AY57" s="11"/>
      <c r="AZ57" s="11"/>
      <c r="BA57" s="11"/>
      <c r="BD57" s="21" t="s">
        <v>100</v>
      </c>
      <c r="BE57" s="11"/>
      <c r="BF57" s="11"/>
      <c r="BG57" s="11"/>
      <c r="BH57" s="11"/>
      <c r="BK57" s="21" t="s">
        <v>100</v>
      </c>
      <c r="BL57" s="11"/>
      <c r="BM57" s="11"/>
      <c r="BN57" s="11"/>
      <c r="BO57" s="11"/>
      <c r="BS57" s="11"/>
      <c r="BT57" s="11"/>
      <c r="BU57" s="11"/>
      <c r="BV57" s="11"/>
      <c r="BY57" s="21"/>
      <c r="BZ57" s="11"/>
      <c r="CA57" s="11"/>
      <c r="CB57" s="11"/>
      <c r="CC57" s="11"/>
      <c r="CG57" s="11"/>
      <c r="CH57" s="11"/>
      <c r="CI57" s="11"/>
      <c r="CJ57" s="11"/>
    </row>
    <row r="58" spans="2:88" outlineLevel="1">
      <c r="E58" s="10"/>
      <c r="G58" s="11"/>
      <c r="I58" s="10"/>
      <c r="J58" s="12"/>
      <c r="K58" s="12"/>
      <c r="L58" s="10"/>
      <c r="O58" s="11"/>
      <c r="P58" s="11"/>
      <c r="Q58" s="11"/>
      <c r="R58" s="11"/>
      <c r="V58" s="11"/>
      <c r="W58" s="11"/>
      <c r="X58" s="11"/>
      <c r="Y58" s="11"/>
      <c r="AC58" s="11"/>
      <c r="AD58" s="11"/>
      <c r="AE58" s="11"/>
      <c r="AF58" s="11"/>
      <c r="AJ58" s="11"/>
      <c r="AK58" s="11"/>
      <c r="AL58" s="11"/>
      <c r="AM58" s="11"/>
      <c r="AQ58" s="11"/>
      <c r="AR58" s="11"/>
      <c r="AS58" s="11"/>
      <c r="AT58" s="11"/>
      <c r="AX58" s="11"/>
      <c r="AY58" s="11"/>
      <c r="AZ58" s="11"/>
      <c r="BA58" s="11"/>
      <c r="BE58" s="11"/>
      <c r="BF58" s="11"/>
      <c r="BG58" s="11"/>
      <c r="BH58" s="11"/>
      <c r="BL58" s="11"/>
      <c r="BM58" s="11"/>
      <c r="BN58" s="11"/>
      <c r="BO58" s="11"/>
      <c r="BS58" s="11"/>
      <c r="BT58" s="11"/>
      <c r="BU58" s="11"/>
      <c r="BV58" s="11"/>
      <c r="BZ58" s="11"/>
      <c r="CA58" s="11"/>
      <c r="CB58" s="11"/>
      <c r="CC58" s="11"/>
      <c r="CG58" s="11"/>
      <c r="CH58" s="11"/>
      <c r="CI58" s="11"/>
      <c r="CJ58" s="11"/>
    </row>
    <row r="60" spans="2:88">
      <c r="BG60" s="11"/>
    </row>
    <row r="61" spans="2:88">
      <c r="G61" s="11"/>
      <c r="J61" s="12"/>
      <c r="K61" s="12"/>
      <c r="R61" s="11"/>
      <c r="AX61" s="11"/>
      <c r="BE61" s="11"/>
      <c r="BG61" s="11"/>
      <c r="BO61" s="11"/>
      <c r="BV61" s="11"/>
      <c r="CC61" s="11"/>
      <c r="CJ61" s="11"/>
    </row>
    <row r="62" spans="2:88">
      <c r="D62" s="20"/>
      <c r="E62" s="10"/>
      <c r="G62" s="11"/>
      <c r="I62" s="13"/>
      <c r="J62" s="12"/>
      <c r="K62" s="12"/>
      <c r="L62" s="10"/>
      <c r="N62" s="13"/>
      <c r="U62" s="13"/>
      <c r="AB62" s="13"/>
      <c r="AI62" s="13"/>
      <c r="AP62" s="13"/>
      <c r="AW62" s="13"/>
      <c r="BD62" s="23"/>
      <c r="BK62" s="13"/>
      <c r="BR62" s="23"/>
      <c r="BY62" s="13"/>
      <c r="CF62" s="23"/>
    </row>
    <row r="63" spans="2:88" outlineLevel="1">
      <c r="E63" s="10"/>
      <c r="G63" s="11"/>
      <c r="I63" s="10"/>
      <c r="J63" s="12"/>
      <c r="K63" s="12"/>
      <c r="L63" s="10"/>
      <c r="O63" s="11"/>
      <c r="P63" s="11"/>
      <c r="Q63" s="11"/>
      <c r="R63" s="11"/>
      <c r="V63" s="11"/>
      <c r="W63" s="11"/>
      <c r="X63" s="11"/>
      <c r="Y63" s="11"/>
      <c r="AC63" s="11"/>
      <c r="AD63" s="11"/>
      <c r="AE63" s="11"/>
      <c r="AF63" s="11"/>
      <c r="AJ63" s="11"/>
      <c r="AK63" s="11"/>
      <c r="AL63" s="11"/>
      <c r="AM63" s="11"/>
      <c r="AQ63" s="11"/>
      <c r="AR63" s="11"/>
      <c r="AS63" s="11"/>
      <c r="AT63" s="11"/>
      <c r="AX63" s="11"/>
      <c r="AY63" s="11"/>
      <c r="AZ63" s="11"/>
      <c r="BA63" s="11"/>
      <c r="BE63" s="11"/>
      <c r="BF63" s="11"/>
      <c r="BG63" s="11"/>
      <c r="BH63" s="11"/>
      <c r="BL63" s="11"/>
      <c r="BM63" s="11"/>
      <c r="BN63" s="11"/>
      <c r="BO63" s="11"/>
      <c r="BS63" s="11"/>
      <c r="BU63" s="11"/>
      <c r="BV63" s="11"/>
      <c r="BZ63" s="11"/>
      <c r="CB63" s="11"/>
      <c r="CC63" s="11"/>
      <c r="CG63" s="11"/>
      <c r="CI63" s="11"/>
      <c r="CJ63" s="11"/>
    </row>
    <row r="64" spans="2:88" outlineLevel="1">
      <c r="E64" s="10"/>
      <c r="G64" s="11"/>
      <c r="I64" s="10"/>
      <c r="J64" s="12"/>
      <c r="K64" s="12"/>
      <c r="L64" s="10"/>
      <c r="O64" s="11"/>
      <c r="P64" s="11"/>
      <c r="Q64" s="11"/>
      <c r="R64" s="11"/>
      <c r="V64" s="11"/>
      <c r="W64" s="11"/>
      <c r="X64" s="11"/>
      <c r="Y64" s="11"/>
      <c r="AC64" s="11"/>
      <c r="AD64" s="11"/>
      <c r="AE64" s="11"/>
      <c r="AF64" s="11"/>
      <c r="AJ64" s="11"/>
      <c r="AK64" s="11"/>
      <c r="AL64" s="11"/>
      <c r="AM64" s="11"/>
      <c r="AQ64" s="11"/>
      <c r="AR64" s="11"/>
      <c r="AS64" s="11"/>
      <c r="AT64" s="11"/>
      <c r="AX64" s="11"/>
      <c r="AY64" s="11"/>
      <c r="AZ64" s="11"/>
      <c r="BA64" s="11"/>
      <c r="BE64" s="11"/>
      <c r="BF64" s="11"/>
      <c r="BG64" s="11"/>
      <c r="BH64" s="11"/>
      <c r="BL64" s="11"/>
      <c r="BM64" s="11"/>
      <c r="BN64" s="11"/>
      <c r="BO64" s="11"/>
      <c r="BS64" s="11"/>
      <c r="BT64" s="11"/>
      <c r="BU64" s="11"/>
      <c r="BV64" s="11"/>
      <c r="BZ64" s="11"/>
      <c r="CA64" s="11"/>
      <c r="CB64" s="11"/>
      <c r="CC64" s="11"/>
      <c r="CG64" s="11"/>
      <c r="CH64" s="11"/>
      <c r="CI64" s="11"/>
      <c r="CJ64" s="11"/>
    </row>
    <row r="65" spans="5:88" outlineLevel="1">
      <c r="E65" s="10"/>
      <c r="G65" s="11"/>
      <c r="I65" s="10"/>
      <c r="J65" s="12"/>
      <c r="K65" s="12"/>
      <c r="L65" s="10"/>
      <c r="O65" s="11"/>
      <c r="P65" s="11"/>
      <c r="Q65" s="11"/>
      <c r="R65" s="11"/>
      <c r="V65" s="11"/>
      <c r="W65" s="11"/>
      <c r="X65" s="11"/>
      <c r="Y65" s="11"/>
      <c r="AC65" s="11"/>
      <c r="AD65" s="11"/>
      <c r="AE65" s="11"/>
      <c r="AF65" s="11"/>
      <c r="AJ65" s="11"/>
      <c r="AK65" s="11"/>
      <c r="AL65" s="11"/>
      <c r="AM65" s="11"/>
      <c r="AQ65" s="11"/>
      <c r="AR65" s="11"/>
      <c r="AS65" s="11"/>
      <c r="AT65" s="11"/>
      <c r="AX65" s="11"/>
      <c r="AY65" s="11"/>
      <c r="AZ65" s="11"/>
      <c r="BA65" s="11"/>
      <c r="BE65" s="11"/>
      <c r="BF65" s="11"/>
      <c r="BG65" s="11"/>
      <c r="BH65" s="11"/>
      <c r="BL65" s="11"/>
      <c r="BM65" s="11"/>
      <c r="BN65" s="11"/>
      <c r="BO65" s="11"/>
      <c r="BS65" s="11"/>
      <c r="BT65" s="11"/>
      <c r="BU65" s="11"/>
      <c r="BV65" s="11"/>
      <c r="BZ65" s="11"/>
      <c r="CA65" s="11"/>
      <c r="CB65" s="11"/>
      <c r="CC65" s="11"/>
      <c r="CG65" s="11"/>
      <c r="CH65" s="11"/>
      <c r="CI65" s="11"/>
      <c r="CJ65" s="11"/>
    </row>
    <row r="66" spans="5:88" outlineLevel="1">
      <c r="E66" s="10"/>
      <c r="G66" s="11"/>
      <c r="I66" s="10"/>
      <c r="J66" s="12"/>
      <c r="K66" s="12"/>
      <c r="L66" s="10"/>
      <c r="O66" s="11"/>
      <c r="P66" s="11"/>
      <c r="Q66" s="11"/>
      <c r="R66" s="11"/>
      <c r="V66" s="11"/>
      <c r="W66" s="11"/>
      <c r="X66" s="11"/>
      <c r="Y66" s="11"/>
      <c r="AC66" s="11"/>
      <c r="AD66" s="11"/>
      <c r="AE66" s="11"/>
      <c r="AF66" s="11"/>
      <c r="AJ66" s="11"/>
      <c r="AK66" s="11"/>
      <c r="AL66" s="11"/>
      <c r="AM66" s="11"/>
      <c r="AQ66" s="11"/>
      <c r="AR66" s="11"/>
      <c r="AS66" s="11"/>
      <c r="AT66" s="11"/>
      <c r="AX66" s="11"/>
      <c r="AY66" s="11"/>
      <c r="AZ66" s="11"/>
      <c r="BA66" s="11"/>
      <c r="BE66" s="11"/>
      <c r="BF66" s="11"/>
      <c r="BG66" s="11"/>
      <c r="BH66" s="11"/>
      <c r="BL66" s="11"/>
      <c r="BM66" s="11"/>
      <c r="BN66" s="11"/>
      <c r="BO66" s="11"/>
      <c r="BS66" s="11"/>
      <c r="BT66" s="11"/>
      <c r="BU66" s="11"/>
      <c r="BV66" s="11"/>
      <c r="BZ66" s="11"/>
      <c r="CA66" s="11"/>
      <c r="CB66" s="11"/>
      <c r="CC66" s="11"/>
      <c r="CG66" s="11"/>
      <c r="CH66" s="11"/>
      <c r="CI66" s="11"/>
      <c r="CJ66" s="11"/>
    </row>
    <row r="67" spans="5:88" outlineLevel="1">
      <c r="E67" s="10"/>
      <c r="G67" s="11"/>
      <c r="I67" s="10"/>
      <c r="J67" s="12"/>
      <c r="K67" s="12"/>
      <c r="L67" s="10"/>
      <c r="O67" s="11"/>
      <c r="P67" s="11"/>
      <c r="Q67" s="11"/>
      <c r="R67" s="11"/>
      <c r="V67" s="11"/>
      <c r="W67" s="11"/>
      <c r="X67" s="11"/>
      <c r="Y67" s="11"/>
      <c r="AC67" s="11"/>
      <c r="AD67" s="11"/>
      <c r="AE67" s="11"/>
      <c r="AF67" s="11"/>
      <c r="AJ67" s="11"/>
      <c r="AK67" s="11"/>
      <c r="AL67" s="11"/>
      <c r="AM67" s="11"/>
      <c r="AQ67" s="11"/>
      <c r="AR67" s="11"/>
      <c r="AS67" s="11"/>
      <c r="AT67" s="11"/>
      <c r="AX67" s="11"/>
      <c r="AY67" s="11"/>
      <c r="AZ67" s="11"/>
      <c r="BA67" s="11"/>
      <c r="BE67" s="11"/>
      <c r="BF67" s="11"/>
      <c r="BG67" s="11"/>
      <c r="BH67" s="11"/>
      <c r="BL67" s="11"/>
      <c r="BM67" s="11"/>
      <c r="BN67" s="11"/>
      <c r="BO67" s="11"/>
      <c r="BS67" s="11"/>
      <c r="BT67" s="11"/>
      <c r="BU67" s="11"/>
      <c r="BV67" s="11"/>
      <c r="BZ67" s="11"/>
      <c r="CA67" s="11"/>
      <c r="CB67" s="11"/>
      <c r="CC67" s="11"/>
      <c r="CG67" s="11"/>
      <c r="CH67" s="11"/>
      <c r="CI67" s="11"/>
      <c r="CJ67" s="11"/>
    </row>
  </sheetData>
  <mergeCells count="14">
    <mergeCell ref="BY2:CD2"/>
    <mergeCell ref="CF2:CK2"/>
    <mergeCell ref="CM2:CR2"/>
    <mergeCell ref="CT2:CY2"/>
    <mergeCell ref="BK2:BP2"/>
    <mergeCell ref="BR2:BW2"/>
    <mergeCell ref="I2:L2"/>
    <mergeCell ref="N2:S2"/>
    <mergeCell ref="BD2:BI2"/>
    <mergeCell ref="U2:Z2"/>
    <mergeCell ref="AB2:AG2"/>
    <mergeCell ref="AI2:AN2"/>
    <mergeCell ref="AP2:AU2"/>
    <mergeCell ref="AW2:BB2"/>
  </mergeCells>
  <conditionalFormatting sqref="O13:O17 Q13:Q18 O4 Q4 AQ4 AS4 BE4 BG4 V4 X4 AC4 AE4 AJ4 AL4 AX4 AZ4 BL4 BN4 BS4 BU4 BZ4 CB4 CG4 CI4">
    <cfRule type="expression" dxfId="493" priority="1017">
      <formula>OR(IF(O4&lt;P4,TRUE),IF(AND(P4="",O4&lt;&gt;""),TRUE))</formula>
    </cfRule>
    <cfRule type="expression" dxfId="492" priority="1018">
      <formula>IF(O4&gt;=P4,IF(O4="",FALSE,TRUE))</formula>
    </cfRule>
  </conditionalFormatting>
  <conditionalFormatting sqref="AJ28:AJ39 AJ49:AJ52">
    <cfRule type="expression" dxfId="491" priority="888">
      <formula>OR(IF(AJ28&lt;AK28,TRUE),IF(AND(AK28="",AJ28&lt;&gt;""),TRUE))</formula>
    </cfRule>
    <cfRule type="expression" dxfId="490" priority="889">
      <formula>IF(AJ28&gt;=AK28,IF(AJ28="",FALSE,TRUE))</formula>
    </cfRule>
  </conditionalFormatting>
  <conditionalFormatting sqref="AL28:AL39 AL49:AL52">
    <cfRule type="expression" dxfId="489" priority="886">
      <formula>OR(IF(AL28&lt;AM28,TRUE),IF(AND(AM28="",AL28&lt;&gt;""),TRUE))</formula>
    </cfRule>
    <cfRule type="expression" dxfId="488" priority="887">
      <formula>IF(AL28&gt;=AM28,IF(AL28="",FALSE,TRUE))</formula>
    </cfRule>
  </conditionalFormatting>
  <conditionalFormatting sqref="AQ13:AQ17 AS13:AS17">
    <cfRule type="expression" dxfId="487" priority="884">
      <formula>OR(IF(AQ13&lt;AR13,TRUE),IF(AND(AR13="",AQ13&lt;&gt;""),TRUE))</formula>
    </cfRule>
    <cfRule type="expression" dxfId="486" priority="885">
      <formula>IF(AQ13&gt;=AR13,IF(AQ13="",FALSE,TRUE))</formula>
    </cfRule>
  </conditionalFormatting>
  <conditionalFormatting sqref="J13:K18">
    <cfRule type="colorScale" priority="1020">
      <colorScale>
        <cfvo type="percent" val="0"/>
        <cfvo type="percent" val="100"/>
        <color rgb="FFFF231B"/>
        <color rgb="FF10FF07"/>
      </colorScale>
    </cfRule>
  </conditionalFormatting>
  <conditionalFormatting sqref="J26:K39 J49:K52">
    <cfRule type="colorScale" priority="960">
      <colorScale>
        <cfvo type="percent" val="0"/>
        <cfvo type="percent" val="100"/>
        <color rgb="FFFF231B"/>
        <color rgb="FF10FF07"/>
      </colorScale>
    </cfRule>
  </conditionalFormatting>
  <conditionalFormatting sqref="O26:O27">
    <cfRule type="expression" dxfId="485" priority="958">
      <formula>OR(IF(O26&lt;P26,TRUE),IF(AND(P26="",O26&lt;&gt;""),TRUE))</formula>
    </cfRule>
    <cfRule type="expression" dxfId="484" priority="959">
      <formula>IF(O26&gt;=P26,IF(O26="",FALSE,TRUE))</formula>
    </cfRule>
  </conditionalFormatting>
  <conditionalFormatting sqref="Q26:Q27">
    <cfRule type="expression" dxfId="483" priority="956">
      <formula>OR(IF(Q26&lt;R26,TRUE),IF(AND(R26="",Q26&lt;&gt;""),TRUE))</formula>
    </cfRule>
    <cfRule type="expression" dxfId="482" priority="957">
      <formula>IF(Q26&gt;=R26,IF(Q26="",FALSE,TRUE))</formula>
    </cfRule>
  </conditionalFormatting>
  <conditionalFormatting sqref="AZ18">
    <cfRule type="expression" dxfId="481" priority="858">
      <formula>OR(IF(AZ18&lt;BA18,TRUE),IF(AND(BA18="",AZ18&lt;&gt;""),TRUE))</formula>
    </cfRule>
    <cfRule type="expression" dxfId="480" priority="859">
      <formula>IF(AZ18&gt;=BA18,IF(AZ18="",FALSE,TRUE))</formula>
    </cfRule>
  </conditionalFormatting>
  <conditionalFormatting sqref="AX28:AX39 AX49:AX52">
    <cfRule type="expression" dxfId="479" priority="856">
      <formula>OR(IF(AX28&lt;AY28,TRUE),IF(AND(AY28="",AX28&lt;&gt;""),TRUE))</formula>
    </cfRule>
    <cfRule type="expression" dxfId="478" priority="857">
      <formula>IF(AX28&gt;=AY28,IF(AX28="",FALSE,TRUE))</formula>
    </cfRule>
  </conditionalFormatting>
  <conditionalFormatting sqref="AZ28:AZ39 AZ49:AZ52">
    <cfRule type="expression" dxfId="477" priority="854">
      <formula>OR(IF(AZ28&lt;BA28,TRUE),IF(AND(BA28="",AZ28&lt;&gt;""),TRUE))</formula>
    </cfRule>
    <cfRule type="expression" dxfId="476" priority="855">
      <formula>IF(AZ28&gt;=BA28,IF(AZ28="",FALSE,TRUE))</formula>
    </cfRule>
  </conditionalFormatting>
  <conditionalFormatting sqref="BE13:BE17 BG13:BG17">
    <cfRule type="expression" dxfId="475" priority="852">
      <formula>OR(IF(BE13&lt;BF13,TRUE),IF(AND(BF13="",BE13&lt;&gt;""),TRUE))</formula>
    </cfRule>
    <cfRule type="expression" dxfId="474" priority="853">
      <formula>IF(BE13&gt;=BF13,IF(BE13="",FALSE,TRUE))</formula>
    </cfRule>
  </conditionalFormatting>
  <conditionalFormatting sqref="BE26:BE27">
    <cfRule type="expression" dxfId="473" priority="848">
      <formula>OR(IF(BE26&lt;BF26,TRUE),IF(AND(BF26="",BE26&lt;&gt;""),TRUE))</formula>
    </cfRule>
    <cfRule type="expression" dxfId="472" priority="849">
      <formula>IF(BE26&gt;=BF26,IF(BE26="",FALSE,TRUE))</formula>
    </cfRule>
  </conditionalFormatting>
  <conditionalFormatting sqref="Q28:Q39 Q49:Q52">
    <cfRule type="expression" dxfId="471" priority="934">
      <formula>OR(IF(Q28&lt;R28,TRUE),IF(AND(R28="",Q28&lt;&gt;""),TRUE))</formula>
    </cfRule>
    <cfRule type="expression" dxfId="470" priority="935">
      <formula>IF(Q28&gt;=R28,IF(Q28="",FALSE,TRUE))</formula>
    </cfRule>
  </conditionalFormatting>
  <conditionalFormatting sqref="O18">
    <cfRule type="expression" dxfId="469" priority="940">
      <formula>OR(IF(O18&lt;P18,TRUE),IF(AND(P18="",O18&lt;&gt;""),TRUE))</formula>
    </cfRule>
    <cfRule type="expression" dxfId="468" priority="941">
      <formula>IF(O18&gt;=P18,IF(O18="",FALSE,TRUE))</formula>
    </cfRule>
  </conditionalFormatting>
  <conditionalFormatting sqref="O28:O39 O49:O52">
    <cfRule type="expression" dxfId="467" priority="936">
      <formula>OR(IF(O28&lt;P28,TRUE),IF(AND(P28="",O28&lt;&gt;""),TRUE))</formula>
    </cfRule>
    <cfRule type="expression" dxfId="466" priority="937">
      <formula>IF(O28&gt;=P28,IF(O28="",FALSE,TRUE))</formula>
    </cfRule>
  </conditionalFormatting>
  <conditionalFormatting sqref="BG28:BG39 BG49:BG52">
    <cfRule type="expression" dxfId="465" priority="838">
      <formula>OR(IF(BG28&lt;BH28,TRUE),IF(AND(BH28="",BG28&lt;&gt;""),TRUE))</formula>
    </cfRule>
    <cfRule type="expression" dxfId="464" priority="839">
      <formula>IF(BG28&gt;=BH28,IF(BG28="",FALSE,TRUE))</formula>
    </cfRule>
  </conditionalFormatting>
  <conditionalFormatting sqref="V13:V17 X13:X17">
    <cfRule type="expression" dxfId="463" priority="932">
      <formula>OR(IF(V13&lt;W13,TRUE),IF(AND(W13="",V13&lt;&gt;""),TRUE))</formula>
    </cfRule>
    <cfRule type="expression" dxfId="462" priority="933">
      <formula>IF(V13&gt;=W13,IF(V13="",FALSE,TRUE))</formula>
    </cfRule>
  </conditionalFormatting>
  <conditionalFormatting sqref="V26:V27">
    <cfRule type="expression" dxfId="461" priority="928">
      <formula>OR(IF(V26&lt;W26,TRUE),IF(AND(W26="",V26&lt;&gt;""),TRUE))</formula>
    </cfRule>
    <cfRule type="expression" dxfId="460" priority="929">
      <formula>IF(V26&gt;=W26,IF(V26="",FALSE,TRUE))</formula>
    </cfRule>
  </conditionalFormatting>
  <conditionalFormatting sqref="X26:X27">
    <cfRule type="expression" dxfId="459" priority="926">
      <formula>OR(IF(X26&lt;Y26,TRUE),IF(AND(Y26="",X26&lt;&gt;""),TRUE))</formula>
    </cfRule>
    <cfRule type="expression" dxfId="458" priority="927">
      <formula>IF(X26&gt;=Y26,IF(X26="",FALSE,TRUE))</formula>
    </cfRule>
  </conditionalFormatting>
  <conditionalFormatting sqref="X28:X39 X49:X52">
    <cfRule type="expression" dxfId="457" priority="918">
      <formula>OR(IF(X28&lt;Y28,TRUE),IF(AND(Y28="",X28&lt;&gt;""),TRUE))</formula>
    </cfRule>
    <cfRule type="expression" dxfId="456" priority="919">
      <formula>IF(X28&gt;=Y28,IF(X28="",FALSE,TRUE))</formula>
    </cfRule>
  </conditionalFormatting>
  <conditionalFormatting sqref="V18">
    <cfRule type="expression" dxfId="455" priority="924">
      <formula>OR(IF(V18&lt;W18,TRUE),IF(AND(W18="",V18&lt;&gt;""),TRUE))</formula>
    </cfRule>
    <cfRule type="expression" dxfId="454" priority="925">
      <formula>IF(V18&gt;=W18,IF(V18="",FALSE,TRUE))</formula>
    </cfRule>
  </conditionalFormatting>
  <conditionalFormatting sqref="X18">
    <cfRule type="expression" dxfId="453" priority="922">
      <formula>OR(IF(X18&lt;Y18,TRUE),IF(AND(Y18="",X18&lt;&gt;""),TRUE))</formula>
    </cfRule>
    <cfRule type="expression" dxfId="452" priority="923">
      <formula>IF(X18&gt;=Y18,IF(X18="",FALSE,TRUE))</formula>
    </cfRule>
  </conditionalFormatting>
  <conditionalFormatting sqref="V28:V39 V49:V52">
    <cfRule type="expression" dxfId="451" priority="920">
      <formula>OR(IF(V28&lt;W28,TRUE),IF(AND(W28="",V28&lt;&gt;""),TRUE))</formula>
    </cfRule>
    <cfRule type="expression" dxfId="450" priority="921">
      <formula>IF(V28&gt;=W28,IF(V28="",FALSE,TRUE))</formula>
    </cfRule>
  </conditionalFormatting>
  <conditionalFormatting sqref="AC13:AC17 AE13:AE17">
    <cfRule type="expression" dxfId="449" priority="916">
      <formula>OR(IF(AC13&lt;AD13,TRUE),IF(AND(AD13="",AC13&lt;&gt;""),TRUE))</formula>
    </cfRule>
    <cfRule type="expression" dxfId="448" priority="917">
      <formula>IF(AC13&gt;=AD13,IF(AC13="",FALSE,TRUE))</formula>
    </cfRule>
  </conditionalFormatting>
  <conditionalFormatting sqref="AC26:AC27">
    <cfRule type="expression" dxfId="447" priority="912">
      <formula>OR(IF(AC26&lt;AD26,TRUE),IF(AND(AD26="",AC26&lt;&gt;""),TRUE))</formula>
    </cfRule>
    <cfRule type="expression" dxfId="446" priority="913">
      <formula>IF(AC26&gt;=AD26,IF(AC26="",FALSE,TRUE))</formula>
    </cfRule>
  </conditionalFormatting>
  <conditionalFormatting sqref="AE26:AE27">
    <cfRule type="expression" dxfId="445" priority="910">
      <formula>OR(IF(AE26&lt;AF26,TRUE),IF(AND(AF26="",AE26&lt;&gt;""),TRUE))</formula>
    </cfRule>
    <cfRule type="expression" dxfId="444" priority="911">
      <formula>IF(AE26&gt;=AF26,IF(AE26="",FALSE,TRUE))</formula>
    </cfRule>
  </conditionalFormatting>
  <conditionalFormatting sqref="AE28:AE39 AE49:AE52">
    <cfRule type="expression" dxfId="443" priority="902">
      <formula>OR(IF(AE28&lt;AF28,TRUE),IF(AND(AF28="",AE28&lt;&gt;""),TRUE))</formula>
    </cfRule>
    <cfRule type="expression" dxfId="442" priority="903">
      <formula>IF(AE28&gt;=AF28,IF(AE28="",FALSE,TRUE))</formula>
    </cfRule>
  </conditionalFormatting>
  <conditionalFormatting sqref="AC18">
    <cfRule type="expression" dxfId="441" priority="908">
      <formula>OR(IF(AC18&lt;AD18,TRUE),IF(AND(AD18="",AC18&lt;&gt;""),TRUE))</formula>
    </cfRule>
    <cfRule type="expression" dxfId="440" priority="909">
      <formula>IF(AC18&gt;=AD18,IF(AC18="",FALSE,TRUE))</formula>
    </cfRule>
  </conditionalFormatting>
  <conditionalFormatting sqref="AE18">
    <cfRule type="expression" dxfId="439" priority="906">
      <formula>OR(IF(AE18&lt;AF18,TRUE),IF(AND(AF18="",AE18&lt;&gt;""),TRUE))</formula>
    </cfRule>
    <cfRule type="expression" dxfId="438" priority="907">
      <formula>IF(AE18&gt;=AF18,IF(AE18="",FALSE,TRUE))</formula>
    </cfRule>
  </conditionalFormatting>
  <conditionalFormatting sqref="AC28:AC39 AC49:AC52">
    <cfRule type="expression" dxfId="437" priority="904">
      <formula>OR(IF(AC28&lt;AD28,TRUE),IF(AND(AD28="",AC28&lt;&gt;""),TRUE))</formula>
    </cfRule>
    <cfRule type="expression" dxfId="436" priority="905">
      <formula>IF(AC28&gt;=AD28,IF(AC28="",FALSE,TRUE))</formula>
    </cfRule>
  </conditionalFormatting>
  <conditionalFormatting sqref="AJ13:AJ17 AL13:AL17">
    <cfRule type="expression" dxfId="435" priority="900">
      <formula>OR(IF(AJ13&lt;AK13,TRUE),IF(AND(AK13="",AJ13&lt;&gt;""),TRUE))</formula>
    </cfRule>
    <cfRule type="expression" dxfId="434" priority="901">
      <formula>IF(AJ13&gt;=AK13,IF(AJ13="",FALSE,TRUE))</formula>
    </cfRule>
  </conditionalFormatting>
  <conditionalFormatting sqref="AJ26:AJ27">
    <cfRule type="expression" dxfId="433" priority="896">
      <formula>OR(IF(AJ26&lt;AK26,TRUE),IF(AND(AK26="",AJ26&lt;&gt;""),TRUE))</formula>
    </cfRule>
    <cfRule type="expression" dxfId="432" priority="897">
      <formula>IF(AJ26&gt;=AK26,IF(AJ26="",FALSE,TRUE))</formula>
    </cfRule>
  </conditionalFormatting>
  <conditionalFormatting sqref="AL26:AL27">
    <cfRule type="expression" dxfId="431" priority="894">
      <formula>OR(IF(AL26&lt;AM26,TRUE),IF(AND(AM26="",AL26&lt;&gt;""),TRUE))</formula>
    </cfRule>
    <cfRule type="expression" dxfId="430" priority="895">
      <formula>IF(AL26&gt;=AM26,IF(AL26="",FALSE,TRUE))</formula>
    </cfRule>
  </conditionalFormatting>
  <conditionalFormatting sqref="AJ18">
    <cfRule type="expression" dxfId="429" priority="892">
      <formula>OR(IF(AJ18&lt;AK18,TRUE),IF(AND(AK18="",AJ18&lt;&gt;""),TRUE))</formula>
    </cfRule>
    <cfRule type="expression" dxfId="428" priority="893">
      <formula>IF(AJ18&gt;=AK18,IF(AJ18="",FALSE,TRUE))</formula>
    </cfRule>
  </conditionalFormatting>
  <conditionalFormatting sqref="AL18">
    <cfRule type="expression" dxfId="427" priority="890">
      <formula>OR(IF(AL18&lt;AM18,TRUE),IF(AND(AM18="",AL18&lt;&gt;""),TRUE))</formula>
    </cfRule>
    <cfRule type="expression" dxfId="426" priority="891">
      <formula>IF(AL18&gt;=AM18,IF(AL18="",FALSE,TRUE))</formula>
    </cfRule>
  </conditionalFormatting>
  <conditionalFormatting sqref="AQ26:AQ27">
    <cfRule type="expression" dxfId="425" priority="880">
      <formula>OR(IF(AQ26&lt;AR26,TRUE),IF(AND(AR26="",AQ26&lt;&gt;""),TRUE))</formula>
    </cfRule>
    <cfRule type="expression" dxfId="424" priority="881">
      <formula>IF(AQ26&gt;=AR26,IF(AQ26="",FALSE,TRUE))</formula>
    </cfRule>
  </conditionalFormatting>
  <conditionalFormatting sqref="AS26:AS27">
    <cfRule type="expression" dxfId="423" priority="878">
      <formula>OR(IF(AS26&lt;AT26,TRUE),IF(AND(AT26="",AS26&lt;&gt;""),TRUE))</formula>
    </cfRule>
    <cfRule type="expression" dxfId="422" priority="879">
      <formula>IF(AS26&gt;=AT26,IF(AS26="",FALSE,TRUE))</formula>
    </cfRule>
  </conditionalFormatting>
  <conditionalFormatting sqref="AS28:AS39 AS49:AS52">
    <cfRule type="expression" dxfId="421" priority="870">
      <formula>OR(IF(AS28&lt;AT28,TRUE),IF(AND(AT28="",AS28&lt;&gt;""),TRUE))</formula>
    </cfRule>
    <cfRule type="expression" dxfId="420" priority="871">
      <formula>IF(AS28&gt;=AT28,IF(AS28="",FALSE,TRUE))</formula>
    </cfRule>
  </conditionalFormatting>
  <conditionalFormatting sqref="AQ18">
    <cfRule type="expression" dxfId="419" priority="876">
      <formula>OR(IF(AQ18&lt;AR18,TRUE),IF(AND(AR18="",AQ18&lt;&gt;""),TRUE))</formula>
    </cfRule>
    <cfRule type="expression" dxfId="418" priority="877">
      <formula>IF(AQ18&gt;=AR18,IF(AQ18="",FALSE,TRUE))</formula>
    </cfRule>
  </conditionalFormatting>
  <conditionalFormatting sqref="AS18">
    <cfRule type="expression" dxfId="417" priority="874">
      <formula>OR(IF(AS18&lt;AT18,TRUE),IF(AND(AT18="",AS18&lt;&gt;""),TRUE))</formula>
    </cfRule>
    <cfRule type="expression" dxfId="416" priority="875">
      <formula>IF(AS18&gt;=AT18,IF(AS18="",FALSE,TRUE))</formula>
    </cfRule>
  </conditionalFormatting>
  <conditionalFormatting sqref="AQ28:AQ39 AQ49:AQ52">
    <cfRule type="expression" dxfId="415" priority="872">
      <formula>OR(IF(AQ28&lt;AR28,TRUE),IF(AND(AR28="",AQ28&lt;&gt;""),TRUE))</formula>
    </cfRule>
    <cfRule type="expression" dxfId="414" priority="873">
      <formula>IF(AQ28&gt;=AR28,IF(AQ28="",FALSE,TRUE))</formula>
    </cfRule>
  </conditionalFormatting>
  <conditionalFormatting sqref="AX13:AX17 AZ13:AZ17">
    <cfRule type="expression" dxfId="413" priority="868">
      <formula>OR(IF(AX13&lt;AY13,TRUE),IF(AND(AY13="",AX13&lt;&gt;""),TRUE))</formula>
    </cfRule>
    <cfRule type="expression" dxfId="412" priority="869">
      <formula>IF(AX13&gt;=AY13,IF(AX13="",FALSE,TRUE))</formula>
    </cfRule>
  </conditionalFormatting>
  <conditionalFormatting sqref="AX26:AX27">
    <cfRule type="expression" dxfId="411" priority="864">
      <formula>OR(IF(AX26&lt;AY26,TRUE),IF(AND(AY26="",AX26&lt;&gt;""),TRUE))</formula>
    </cfRule>
    <cfRule type="expression" dxfId="410" priority="865">
      <formula>IF(AX26&gt;=AY26,IF(AX26="",FALSE,TRUE))</formula>
    </cfRule>
  </conditionalFormatting>
  <conditionalFormatting sqref="AZ26:AZ27">
    <cfRule type="expression" dxfId="409" priority="862">
      <formula>OR(IF(AZ26&lt;BA26,TRUE),IF(AND(BA26="",AZ26&lt;&gt;""),TRUE))</formula>
    </cfRule>
    <cfRule type="expression" dxfId="408" priority="863">
      <formula>IF(AZ26&gt;=BA26,IF(AZ26="",FALSE,TRUE))</formula>
    </cfRule>
  </conditionalFormatting>
  <conditionalFormatting sqref="AX18">
    <cfRule type="expression" dxfId="407" priority="860">
      <formula>OR(IF(AX18&lt;AY18,TRUE),IF(AND(AY18="",AX18&lt;&gt;""),TRUE))</formula>
    </cfRule>
    <cfRule type="expression" dxfId="406" priority="861">
      <formula>IF(AX18&gt;=AY18,IF(AX18="",FALSE,TRUE))</formula>
    </cfRule>
  </conditionalFormatting>
  <conditionalFormatting sqref="BG26:BG27">
    <cfRule type="expression" dxfId="405" priority="846">
      <formula>OR(IF(BG26&lt;BH26,TRUE),IF(AND(BH26="",BG26&lt;&gt;""),TRUE))</formula>
    </cfRule>
    <cfRule type="expression" dxfId="404" priority="847">
      <formula>IF(BG26&gt;=BH26,IF(BG26="",FALSE,TRUE))</formula>
    </cfRule>
  </conditionalFormatting>
  <conditionalFormatting sqref="BE18">
    <cfRule type="expression" dxfId="403" priority="844">
      <formula>OR(IF(BE18&lt;BF18,TRUE),IF(AND(BF18="",BE18&lt;&gt;""),TRUE))</formula>
    </cfRule>
    <cfRule type="expression" dxfId="402" priority="845">
      <formula>IF(BE18&gt;=BF18,IF(BE18="",FALSE,TRUE))</formula>
    </cfRule>
  </conditionalFormatting>
  <conditionalFormatting sqref="BG18">
    <cfRule type="expression" dxfId="401" priority="842">
      <formula>OR(IF(BG18&lt;BH18,TRUE),IF(AND(BH18="",BG18&lt;&gt;""),TRUE))</formula>
    </cfRule>
    <cfRule type="expression" dxfId="400" priority="843">
      <formula>IF(BG18&gt;=BH18,IF(BG18="",FALSE,TRUE))</formula>
    </cfRule>
  </conditionalFormatting>
  <conditionalFormatting sqref="BE28:BE39 BE49:BE52">
    <cfRule type="expression" dxfId="399" priority="840">
      <formula>OR(IF(BE28&lt;BF28,TRUE),IF(AND(BF28="",BE28&lt;&gt;""),TRUE))</formula>
    </cfRule>
    <cfRule type="expression" dxfId="398" priority="841">
      <formula>IF(BE28&gt;=BF28,IF(BE28="",FALSE,TRUE))</formula>
    </cfRule>
  </conditionalFormatting>
  <conditionalFormatting sqref="AX61">
    <cfRule type="expression" dxfId="397" priority="639">
      <formula>OR(IF(AX61&lt;AY61,TRUE),IF(AND(AY61="",AX61&lt;&gt;""),TRUE))</formula>
    </cfRule>
    <cfRule type="expression" dxfId="396" priority="640">
      <formula>IF(AX61&gt;=AY61,IF(AX61="",FALSE,TRUE))</formula>
    </cfRule>
  </conditionalFormatting>
  <conditionalFormatting sqref="BE61">
    <cfRule type="expression" dxfId="395" priority="625">
      <formula>OR(IF(BE61&lt;BF61,TRUE),IF(AND(BF61="",BE61&lt;&gt;""),TRUE))</formula>
    </cfRule>
    <cfRule type="expression" dxfId="394" priority="626">
      <formula>IF(BE61&gt;=BF61,IF(BE61="",FALSE,TRUE))</formula>
    </cfRule>
  </conditionalFormatting>
  <conditionalFormatting sqref="BG60">
    <cfRule type="expression" dxfId="393" priority="623">
      <formula>OR(IF(BG60&lt;BH60,TRUE),IF(AND(BH60="",BG60&lt;&gt;""),TRUE))</formula>
    </cfRule>
    <cfRule type="expression" dxfId="392" priority="624">
      <formula>IF(BG60&gt;=BH60,IF(BG60="",FALSE,TRUE))</formula>
    </cfRule>
  </conditionalFormatting>
  <conditionalFormatting sqref="BG61">
    <cfRule type="expression" dxfId="391" priority="621">
      <formula>OR(IF(BG61&lt;BH61,TRUE),IF(AND(BH61="",BG61&lt;&gt;""),TRUE))</formula>
    </cfRule>
    <cfRule type="expression" dxfId="390" priority="622">
      <formula>IF(BG61&gt;=BH61,IF(BG61="",FALSE,TRUE))</formula>
    </cfRule>
  </conditionalFormatting>
  <conditionalFormatting sqref="CG26:CG27">
    <cfRule type="expression" dxfId="389" priority="431">
      <formula>OR(IF(CG26&lt;CH26,TRUE),IF(AND(CH26="",CG26&lt;&gt;""),TRUE))</formula>
    </cfRule>
    <cfRule type="expression" dxfId="388" priority="432">
      <formula>IF(CG26&gt;=CH26,IF(CG26="",FALSE,TRUE))</formula>
    </cfRule>
  </conditionalFormatting>
  <conditionalFormatting sqref="CI26:CI27">
    <cfRule type="expression" dxfId="387" priority="429">
      <formula>OR(IF(CI26&lt;CJ26,TRUE),IF(AND(CJ26="",CI26&lt;&gt;""),TRUE))</formula>
    </cfRule>
    <cfRule type="expression" dxfId="386" priority="430">
      <formula>IF(CI26&gt;=CJ26,IF(CI26="",FALSE,TRUE))</formula>
    </cfRule>
  </conditionalFormatting>
  <conditionalFormatting sqref="CG18">
    <cfRule type="expression" dxfId="385" priority="427">
      <formula>OR(IF(CG18&lt;CH18,TRUE),IF(AND(CH18="",CG18&lt;&gt;""),TRUE))</formula>
    </cfRule>
    <cfRule type="expression" dxfId="384" priority="428">
      <formula>IF(CG18&gt;=CH18,IF(CG18="",FALSE,TRUE))</formula>
    </cfRule>
  </conditionalFormatting>
  <conditionalFormatting sqref="CI18">
    <cfRule type="expression" dxfId="383" priority="425">
      <formula>OR(IF(CI18&lt;CJ18,TRUE),IF(AND(CJ18="",CI18&lt;&gt;""),TRUE))</formula>
    </cfRule>
    <cfRule type="expression" dxfId="382" priority="426">
      <formula>IF(CI18&gt;=CJ18,IF(CI18="",FALSE,TRUE))</formula>
    </cfRule>
  </conditionalFormatting>
  <conditionalFormatting sqref="CG28:CG39 CG49:CG52">
    <cfRule type="expression" dxfId="381" priority="423">
      <formula>OR(IF(CG28&lt;CH28,TRUE),IF(AND(CH28="",CG28&lt;&gt;""),TRUE))</formula>
    </cfRule>
    <cfRule type="expression" dxfId="380" priority="424">
      <formula>IF(CG28&gt;=CH28,IF(CG28="",FALSE,TRUE))</formula>
    </cfRule>
  </conditionalFormatting>
  <conditionalFormatting sqref="CI28:CI39 CI49:CI52">
    <cfRule type="expression" dxfId="379" priority="421">
      <formula>OR(IF(CI28&lt;CJ28,TRUE),IF(AND(CJ28="",CI28&lt;&gt;""),TRUE))</formula>
    </cfRule>
    <cfRule type="expression" dxfId="378" priority="422">
      <formula>IF(CI28&gt;=CJ28,IF(CI28="",FALSE,TRUE))</formula>
    </cfRule>
  </conditionalFormatting>
  <conditionalFormatting sqref="BL13:BL17 BN13:BN17">
    <cfRule type="expression" dxfId="377" priority="499">
      <formula>OR(IF(BL13&lt;BM13,TRUE),IF(AND(BM13="",BL13&lt;&gt;""),TRUE))</formula>
    </cfRule>
    <cfRule type="expression" dxfId="376" priority="500">
      <formula>IF(BL13&gt;=BM13,IF(BL13="",FALSE,TRUE))</formula>
    </cfRule>
  </conditionalFormatting>
  <conditionalFormatting sqref="BL26:BL27">
    <cfRule type="expression" dxfId="375" priority="495">
      <formula>OR(IF(BL26&lt;BM26,TRUE),IF(AND(BM26="",BL26&lt;&gt;""),TRUE))</formula>
    </cfRule>
    <cfRule type="expression" dxfId="374" priority="496">
      <formula>IF(BL26&gt;=BM26,IF(BL26="",FALSE,TRUE))</formula>
    </cfRule>
  </conditionalFormatting>
  <conditionalFormatting sqref="BN26:BN27">
    <cfRule type="expression" dxfId="373" priority="493">
      <formula>OR(IF(BN26&lt;BO26,TRUE),IF(AND(BO26="",BN26&lt;&gt;""),TRUE))</formula>
    </cfRule>
    <cfRule type="expression" dxfId="372" priority="494">
      <formula>IF(BN26&gt;=BO26,IF(BN26="",FALSE,TRUE))</formula>
    </cfRule>
  </conditionalFormatting>
  <conditionalFormatting sqref="BN28:BN39 BN49:BN52">
    <cfRule type="expression" dxfId="371" priority="485">
      <formula>OR(IF(BN28&lt;BO28,TRUE),IF(AND(BO28="",BN28&lt;&gt;""),TRUE))</formula>
    </cfRule>
    <cfRule type="expression" dxfId="370" priority="486">
      <formula>IF(BN28&gt;=BO28,IF(BN28="",FALSE,TRUE))</formula>
    </cfRule>
  </conditionalFormatting>
  <conditionalFormatting sqref="BL18">
    <cfRule type="expression" dxfId="369" priority="491">
      <formula>OR(IF(BL18&lt;BM18,TRUE),IF(AND(BM18="",BL18&lt;&gt;""),TRUE))</formula>
    </cfRule>
    <cfRule type="expression" dxfId="368" priority="492">
      <formula>IF(BL18&gt;=BM18,IF(BL18="",FALSE,TRUE))</formula>
    </cfRule>
  </conditionalFormatting>
  <conditionalFormatting sqref="BN18">
    <cfRule type="expression" dxfId="367" priority="489">
      <formula>OR(IF(BN18&lt;BO18,TRUE),IF(AND(BO18="",BN18&lt;&gt;""),TRUE))</formula>
    </cfRule>
    <cfRule type="expression" dxfId="366" priority="490">
      <formula>IF(BN18&gt;=BO18,IF(BN18="",FALSE,TRUE))</formula>
    </cfRule>
  </conditionalFormatting>
  <conditionalFormatting sqref="BL28:BL39 BL49:BL52">
    <cfRule type="expression" dxfId="365" priority="487">
      <formula>OR(IF(BL28&lt;BM28,TRUE),IF(AND(BM28="",BL28&lt;&gt;""),TRUE))</formula>
    </cfRule>
    <cfRule type="expression" dxfId="364" priority="488">
      <formula>IF(BL28&gt;=BM28,IF(BL28="",FALSE,TRUE))</formula>
    </cfRule>
  </conditionalFormatting>
  <conditionalFormatting sqref="BS13:BS17 BU13:BU17">
    <cfRule type="expression" dxfId="363" priority="467">
      <formula>OR(IF(BS13&lt;BT13,TRUE),IF(AND(BT13="",BS13&lt;&gt;""),TRUE))</formula>
    </cfRule>
    <cfRule type="expression" dxfId="362" priority="468">
      <formula>IF(BS13&gt;=BT13,IF(BS13="",FALSE,TRUE))</formula>
    </cfRule>
  </conditionalFormatting>
  <conditionalFormatting sqref="BS26:BS27">
    <cfRule type="expression" dxfId="361" priority="463">
      <formula>OR(IF(BS26&lt;BT26,TRUE),IF(AND(BT26="",BS26&lt;&gt;""),TRUE))</formula>
    </cfRule>
    <cfRule type="expression" dxfId="360" priority="464">
      <formula>IF(BS26&gt;=BT26,IF(BS26="",FALSE,TRUE))</formula>
    </cfRule>
  </conditionalFormatting>
  <conditionalFormatting sqref="BU26:BU27">
    <cfRule type="expression" dxfId="359" priority="461">
      <formula>OR(IF(BU26&lt;BV26,TRUE),IF(AND(BV26="",BU26&lt;&gt;""),TRUE))</formula>
    </cfRule>
    <cfRule type="expression" dxfId="358" priority="462">
      <formula>IF(BU26&gt;=BV26,IF(BU26="",FALSE,TRUE))</formula>
    </cfRule>
  </conditionalFormatting>
  <conditionalFormatting sqref="BU28:BU39 BU49:BU52">
    <cfRule type="expression" dxfId="357" priority="453">
      <formula>OR(IF(BU28&lt;BV28,TRUE),IF(AND(BV28="",BU28&lt;&gt;""),TRUE))</formula>
    </cfRule>
    <cfRule type="expression" dxfId="356" priority="454">
      <formula>IF(BU28&gt;=BV28,IF(BU28="",FALSE,TRUE))</formula>
    </cfRule>
  </conditionalFormatting>
  <conditionalFormatting sqref="BS18">
    <cfRule type="expression" dxfId="355" priority="459">
      <formula>OR(IF(BS18&lt;BT18,TRUE),IF(AND(BT18="",BS18&lt;&gt;""),TRUE))</formula>
    </cfRule>
    <cfRule type="expression" dxfId="354" priority="460">
      <formula>IF(BS18&gt;=BT18,IF(BS18="",FALSE,TRUE))</formula>
    </cfRule>
  </conditionalFormatting>
  <conditionalFormatting sqref="BU18">
    <cfRule type="expression" dxfId="353" priority="457">
      <formula>OR(IF(BU18&lt;BV18,TRUE),IF(AND(BV18="",BU18&lt;&gt;""),TRUE))</formula>
    </cfRule>
    <cfRule type="expression" dxfId="352" priority="458">
      <formula>IF(BU18&gt;=BV18,IF(BU18="",FALSE,TRUE))</formula>
    </cfRule>
  </conditionalFormatting>
  <conditionalFormatting sqref="BS28:BS39 BS49:BS52">
    <cfRule type="expression" dxfId="351" priority="455">
      <formula>OR(IF(BS28&lt;BT28,TRUE),IF(AND(BT28="",BS28&lt;&gt;""),TRUE))</formula>
    </cfRule>
    <cfRule type="expression" dxfId="350" priority="456">
      <formula>IF(BS28&gt;=BT28,IF(BS28="",FALSE,TRUE))</formula>
    </cfRule>
  </conditionalFormatting>
  <conditionalFormatting sqref="BZ13:BZ17 CB13:CB17">
    <cfRule type="expression" dxfId="349" priority="451">
      <formula>OR(IF(BZ13&lt;CA13,TRUE),IF(AND(CA13="",BZ13&lt;&gt;""),TRUE))</formula>
    </cfRule>
    <cfRule type="expression" dxfId="348" priority="452">
      <formula>IF(BZ13&gt;=CA13,IF(BZ13="",FALSE,TRUE))</formula>
    </cfRule>
  </conditionalFormatting>
  <conditionalFormatting sqref="BZ26:BZ27">
    <cfRule type="expression" dxfId="347" priority="447">
      <formula>OR(IF(BZ26&lt;CA26,TRUE),IF(AND(CA26="",BZ26&lt;&gt;""),TRUE))</formula>
    </cfRule>
    <cfRule type="expression" dxfId="346" priority="448">
      <formula>IF(BZ26&gt;=CA26,IF(BZ26="",FALSE,TRUE))</formula>
    </cfRule>
  </conditionalFormatting>
  <conditionalFormatting sqref="CB26:CB27">
    <cfRule type="expression" dxfId="345" priority="445">
      <formula>OR(IF(CB26&lt;CC26,TRUE),IF(AND(CC26="",CB26&lt;&gt;""),TRUE))</formula>
    </cfRule>
    <cfRule type="expression" dxfId="344" priority="446">
      <formula>IF(CB26&gt;=CC26,IF(CB26="",FALSE,TRUE))</formula>
    </cfRule>
  </conditionalFormatting>
  <conditionalFormatting sqref="CB28:CB39 CB49:CB52">
    <cfRule type="expression" dxfId="343" priority="437">
      <formula>OR(IF(CB28&lt;CC28,TRUE),IF(AND(CC28="",CB28&lt;&gt;""),TRUE))</formula>
    </cfRule>
    <cfRule type="expression" dxfId="342" priority="438">
      <formula>IF(CB28&gt;=CC28,IF(CB28="",FALSE,TRUE))</formula>
    </cfRule>
  </conditionalFormatting>
  <conditionalFormatting sqref="BZ18">
    <cfRule type="expression" dxfId="341" priority="443">
      <formula>OR(IF(BZ18&lt;CA18,TRUE),IF(AND(CA18="",BZ18&lt;&gt;""),TRUE))</formula>
    </cfRule>
    <cfRule type="expression" dxfId="340" priority="444">
      <formula>IF(BZ18&gt;=CA18,IF(BZ18="",FALSE,TRUE))</formula>
    </cfRule>
  </conditionalFormatting>
  <conditionalFormatting sqref="CB18">
    <cfRule type="expression" dxfId="339" priority="441">
      <formula>OR(IF(CB18&lt;CC18,TRUE),IF(AND(CC18="",CB18&lt;&gt;""),TRUE))</formula>
    </cfRule>
    <cfRule type="expression" dxfId="338" priority="442">
      <formula>IF(CB18&gt;=CC18,IF(CB18="",FALSE,TRUE))</formula>
    </cfRule>
  </conditionalFormatting>
  <conditionalFormatting sqref="BZ28:BZ39 BZ49:BZ52">
    <cfRule type="expression" dxfId="337" priority="439">
      <formula>OR(IF(BZ28&lt;CA28,TRUE),IF(AND(CA28="",BZ28&lt;&gt;""),TRUE))</formula>
    </cfRule>
    <cfRule type="expression" dxfId="336" priority="440">
      <formula>IF(BZ28&gt;=CA28,IF(BZ28="",FALSE,TRUE))</formula>
    </cfRule>
  </conditionalFormatting>
  <conditionalFormatting sqref="CG13:CG17 CI13:CI17">
    <cfRule type="expression" dxfId="335" priority="435">
      <formula>OR(IF(CG13&lt;CH13,TRUE),IF(AND(CH13="",CG13&lt;&gt;""),TRUE))</formula>
    </cfRule>
    <cfRule type="expression" dxfId="334" priority="436">
      <formula>IF(CG13&gt;=CH13,IF(CG13="",FALSE,TRUE))</formula>
    </cfRule>
  </conditionalFormatting>
  <conditionalFormatting sqref="O8">
    <cfRule type="expression" dxfId="333" priority="284">
      <formula>OR(IF(O8&lt;P8,TRUE),IF(AND(P8="",O8&lt;&gt;""),TRUE))</formula>
    </cfRule>
    <cfRule type="expression" dxfId="332" priority="285">
      <formula>IF(O8&gt;=P8,IF(O8="",FALSE,TRUE))</formula>
    </cfRule>
  </conditionalFormatting>
  <conditionalFormatting sqref="J6:K12">
    <cfRule type="colorScale" priority="332">
      <colorScale>
        <cfvo type="percent" val="0"/>
        <cfvo type="percent" val="100"/>
        <color rgb="FFFF231B"/>
        <color rgb="FF10FF07"/>
      </colorScale>
    </cfRule>
  </conditionalFormatting>
  <conditionalFormatting sqref="O6 O9:O12">
    <cfRule type="expression" dxfId="331" priority="330">
      <formula>OR(IF(O6&lt;P6,TRUE),IF(AND(P6="",O6&lt;&gt;""),TRUE))</formula>
    </cfRule>
    <cfRule type="expression" dxfId="330" priority="331">
      <formula>IF(O6&gt;=P6,IF(O6="",FALSE,TRUE))</formula>
    </cfRule>
  </conditionalFormatting>
  <conditionalFormatting sqref="Q6:Q12">
    <cfRule type="expression" dxfId="329" priority="328">
      <formula>OR(IF(Q6&lt;R6,TRUE),IF(AND(R6="",Q6&lt;&gt;""),TRUE))</formula>
    </cfRule>
    <cfRule type="expression" dxfId="328" priority="329">
      <formula>IF(Q6&gt;=R6,IF(Q6="",FALSE,TRUE))</formula>
    </cfRule>
  </conditionalFormatting>
  <conditionalFormatting sqref="AQ6:AQ12">
    <cfRule type="expression" dxfId="327" priority="314">
      <formula>OR(IF(AQ6&lt;AR6,TRUE),IF(AND(AR6="",AQ6&lt;&gt;""),TRUE))</formula>
    </cfRule>
    <cfRule type="expression" dxfId="326" priority="315">
      <formula>IF(AQ6&gt;=AR6,IF(AQ6="",FALSE,TRUE))</formula>
    </cfRule>
  </conditionalFormatting>
  <conditionalFormatting sqref="AS6:AS12">
    <cfRule type="expression" dxfId="325" priority="312">
      <formula>OR(IF(AS6&lt;AT6,TRUE),IF(AND(AT6="",AS6&lt;&gt;""),TRUE))</formula>
    </cfRule>
    <cfRule type="expression" dxfId="324" priority="313">
      <formula>IF(AS6&gt;=AT6,IF(AS6="",FALSE,TRUE))</formula>
    </cfRule>
  </conditionalFormatting>
  <conditionalFormatting sqref="BE6:BE12">
    <cfRule type="expression" dxfId="323" priority="306">
      <formula>OR(IF(BE6&lt;BF6,TRUE),IF(AND(BF6="",BE6&lt;&gt;""),TRUE))</formula>
    </cfRule>
    <cfRule type="expression" dxfId="322" priority="307">
      <formula>IF(BE6&gt;=BF6,IF(BE6="",FALSE,TRUE))</formula>
    </cfRule>
  </conditionalFormatting>
  <conditionalFormatting sqref="BG6:BG12">
    <cfRule type="expression" dxfId="321" priority="304">
      <formula>OR(IF(BG6&lt;BH6,TRUE),IF(AND(BH6="",BG6&lt;&gt;""),TRUE))</formula>
    </cfRule>
    <cfRule type="expression" dxfId="320" priority="305">
      <formula>IF(BG6&gt;=BH6,IF(BG6="",FALSE,TRUE))</formula>
    </cfRule>
  </conditionalFormatting>
  <conditionalFormatting sqref="V6:V12">
    <cfRule type="expression" dxfId="319" priority="326">
      <formula>OR(IF(V6&lt;W6,TRUE),IF(AND(W6="",V6&lt;&gt;""),TRUE))</formula>
    </cfRule>
    <cfRule type="expression" dxfId="318" priority="327">
      <formula>IF(V6&gt;=W6,IF(V6="",FALSE,TRUE))</formula>
    </cfRule>
  </conditionalFormatting>
  <conditionalFormatting sqref="X6:X12">
    <cfRule type="expression" dxfId="317" priority="324">
      <formula>OR(IF(X6&lt;Y6,TRUE),IF(AND(Y6="",X6&lt;&gt;""),TRUE))</formula>
    </cfRule>
    <cfRule type="expression" dxfId="316" priority="325">
      <formula>IF(X6&gt;=Y6,IF(X6="",FALSE,TRUE))</formula>
    </cfRule>
  </conditionalFormatting>
  <conditionalFormatting sqref="AC6:AC12">
    <cfRule type="expression" dxfId="315" priority="322">
      <formula>OR(IF(AC6&lt;AD6,TRUE),IF(AND(AD6="",AC6&lt;&gt;""),TRUE))</formula>
    </cfRule>
    <cfRule type="expression" dxfId="314" priority="323">
      <formula>IF(AC6&gt;=AD6,IF(AC6="",FALSE,TRUE))</formula>
    </cfRule>
  </conditionalFormatting>
  <conditionalFormatting sqref="AE6:AE12">
    <cfRule type="expression" dxfId="313" priority="320">
      <formula>OR(IF(AE6&lt;AF6,TRUE),IF(AND(AF6="",AE6&lt;&gt;""),TRUE))</formula>
    </cfRule>
    <cfRule type="expression" dxfId="312" priority="321">
      <formula>IF(AE6&gt;=AF6,IF(AE6="",FALSE,TRUE))</formula>
    </cfRule>
  </conditionalFormatting>
  <conditionalFormatting sqref="AJ6:AJ12">
    <cfRule type="expression" dxfId="311" priority="318">
      <formula>OR(IF(AJ6&lt;AK6,TRUE),IF(AND(AK6="",AJ6&lt;&gt;""),TRUE))</formula>
    </cfRule>
    <cfRule type="expression" dxfId="310" priority="319">
      <formula>IF(AJ6&gt;=AK6,IF(AJ6="",FALSE,TRUE))</formula>
    </cfRule>
  </conditionalFormatting>
  <conditionalFormatting sqref="AL6:AL12">
    <cfRule type="expression" dxfId="309" priority="316">
      <formula>OR(IF(AL6&lt;AM6,TRUE),IF(AND(AM6="",AL6&lt;&gt;""),TRUE))</formula>
    </cfRule>
    <cfRule type="expression" dxfId="308" priority="317">
      <formula>IF(AL6&gt;=AM6,IF(AL6="",FALSE,TRUE))</formula>
    </cfRule>
  </conditionalFormatting>
  <conditionalFormatting sqref="AX6:AX12">
    <cfRule type="expression" dxfId="307" priority="310">
      <formula>OR(IF(AX6&lt;AY6,TRUE),IF(AND(AY6="",AX6&lt;&gt;""),TRUE))</formula>
    </cfRule>
    <cfRule type="expression" dxfId="306" priority="311">
      <formula>IF(AX6&gt;=AY6,IF(AX6="",FALSE,TRUE))</formula>
    </cfRule>
  </conditionalFormatting>
  <conditionalFormatting sqref="AZ6:AZ12">
    <cfRule type="expression" dxfId="305" priority="308">
      <formula>OR(IF(AZ6&lt;BA6,TRUE),IF(AND(BA6="",AZ6&lt;&gt;""),TRUE))</formula>
    </cfRule>
    <cfRule type="expression" dxfId="304" priority="309">
      <formula>IF(AZ6&gt;=BA6,IF(AZ6="",FALSE,TRUE))</formula>
    </cfRule>
  </conditionalFormatting>
  <conditionalFormatting sqref="O7">
    <cfRule type="expression" dxfId="303" priority="286">
      <formula>OR(IF(O7&lt;P7,TRUE),IF(AND(P7="",O7&lt;&gt;""),TRUE))</formula>
    </cfRule>
    <cfRule type="expression" dxfId="302" priority="287">
      <formula>IF(O7&gt;=P7,IF(O7="",FALSE,TRUE))</formula>
    </cfRule>
  </conditionalFormatting>
  <conditionalFormatting sqref="BL6:BL12">
    <cfRule type="expression" dxfId="301" priority="302">
      <formula>OR(IF(BL6&lt;BM6,TRUE),IF(AND(BM6="",BL6&lt;&gt;""),TRUE))</formula>
    </cfRule>
    <cfRule type="expression" dxfId="300" priority="303">
      <formula>IF(BL6&gt;=BM6,IF(BL6="",FALSE,TRUE))</formula>
    </cfRule>
  </conditionalFormatting>
  <conditionalFormatting sqref="BN6:BN12">
    <cfRule type="expression" dxfId="299" priority="300">
      <formula>OR(IF(BN6&lt;BO6,TRUE),IF(AND(BO6="",BN6&lt;&gt;""),TRUE))</formula>
    </cfRule>
    <cfRule type="expression" dxfId="298" priority="301">
      <formula>IF(BN6&gt;=BO6,IF(BN6="",FALSE,TRUE))</formula>
    </cfRule>
  </conditionalFormatting>
  <conditionalFormatting sqref="BS6:BS12">
    <cfRule type="expression" dxfId="297" priority="298">
      <formula>OR(IF(BS6&lt;BT6,TRUE),IF(AND(BT6="",BS6&lt;&gt;""),TRUE))</formula>
    </cfRule>
    <cfRule type="expression" dxfId="296" priority="299">
      <formula>IF(BS6&gt;=BT6,IF(BS6="",FALSE,TRUE))</formula>
    </cfRule>
  </conditionalFormatting>
  <conditionalFormatting sqref="BU6:BU12">
    <cfRule type="expression" dxfId="295" priority="296">
      <formula>OR(IF(BU6&lt;BV6,TRUE),IF(AND(BV6="",BU6&lt;&gt;""),TRUE))</formula>
    </cfRule>
    <cfRule type="expression" dxfId="294" priority="297">
      <formula>IF(BU6&gt;=BV6,IF(BU6="",FALSE,TRUE))</formula>
    </cfRule>
  </conditionalFormatting>
  <conditionalFormatting sqref="BZ6:BZ12">
    <cfRule type="expression" dxfId="293" priority="294">
      <formula>OR(IF(BZ6&lt;CA6,TRUE),IF(AND(CA6="",BZ6&lt;&gt;""),TRUE))</formula>
    </cfRule>
    <cfRule type="expression" dxfId="292" priority="295">
      <formula>IF(BZ6&gt;=CA6,IF(BZ6="",FALSE,TRUE))</formula>
    </cfRule>
  </conditionalFormatting>
  <conditionalFormatting sqref="CB6:CB12">
    <cfRule type="expression" dxfId="291" priority="292">
      <formula>OR(IF(CB6&lt;CC6,TRUE),IF(AND(CC6="",CB6&lt;&gt;""),TRUE))</formula>
    </cfRule>
    <cfRule type="expression" dxfId="290" priority="293">
      <formula>IF(CB6&gt;=CC6,IF(CB6="",FALSE,TRUE))</formula>
    </cfRule>
  </conditionalFormatting>
  <conditionalFormatting sqref="CG6:CG12">
    <cfRule type="expression" dxfId="289" priority="290">
      <formula>OR(IF(CG6&lt;CH6,TRUE),IF(AND(CH6="",CG6&lt;&gt;""),TRUE))</formula>
    </cfRule>
    <cfRule type="expression" dxfId="288" priority="291">
      <formula>IF(CG6&gt;=CH6,IF(CG6="",FALSE,TRUE))</formula>
    </cfRule>
  </conditionalFormatting>
  <conditionalFormatting sqref="CI6:CI12">
    <cfRule type="expression" dxfId="287" priority="288">
      <formula>OR(IF(CI6&lt;CJ6,TRUE),IF(AND(CJ6="",CI6&lt;&gt;""),TRUE))</formula>
    </cfRule>
    <cfRule type="expression" dxfId="286" priority="289">
      <formula>IF(CI6&gt;=CJ6,IF(CI6="",FALSE,TRUE))</formula>
    </cfRule>
  </conditionalFormatting>
  <conditionalFormatting sqref="O22">
    <cfRule type="expression" dxfId="285" priority="235">
      <formula>OR(IF(O22&lt;P22,TRUE),IF(AND(P22="",O22&lt;&gt;""),TRUE))</formula>
    </cfRule>
    <cfRule type="expression" dxfId="284" priority="236">
      <formula>IF(O22&gt;=P22,IF(O22="",FALSE,TRUE))</formula>
    </cfRule>
  </conditionalFormatting>
  <conditionalFormatting sqref="J20:K24">
    <cfRule type="colorScale" priority="283">
      <colorScale>
        <cfvo type="percent" val="0"/>
        <cfvo type="percent" val="100"/>
        <color rgb="FFFF231B"/>
        <color rgb="FF10FF07"/>
      </colorScale>
    </cfRule>
  </conditionalFormatting>
  <conditionalFormatting sqref="O20 O23:O24">
    <cfRule type="expression" dxfId="283" priority="281">
      <formula>OR(IF(O20&lt;P20,TRUE),IF(AND(P20="",O20&lt;&gt;""),TRUE))</formula>
    </cfRule>
    <cfRule type="expression" dxfId="282" priority="282">
      <formula>IF(O20&gt;=P20,IF(O20="",FALSE,TRUE))</formula>
    </cfRule>
  </conditionalFormatting>
  <conditionalFormatting sqref="Q20:Q24">
    <cfRule type="expression" dxfId="281" priority="279">
      <formula>OR(IF(Q20&lt;R20,TRUE),IF(AND(R20="",Q20&lt;&gt;""),TRUE))</formula>
    </cfRule>
    <cfRule type="expression" dxfId="280" priority="280">
      <formula>IF(Q20&gt;=R20,IF(Q20="",FALSE,TRUE))</formula>
    </cfRule>
  </conditionalFormatting>
  <conditionalFormatting sqref="AQ20:AQ24">
    <cfRule type="expression" dxfId="279" priority="265">
      <formula>OR(IF(AQ20&lt;AR20,TRUE),IF(AND(AR20="",AQ20&lt;&gt;""),TRUE))</formula>
    </cfRule>
    <cfRule type="expression" dxfId="278" priority="266">
      <formula>IF(AQ20&gt;=AR20,IF(AQ20="",FALSE,TRUE))</formula>
    </cfRule>
  </conditionalFormatting>
  <conditionalFormatting sqref="AS20:AS24">
    <cfRule type="expression" dxfId="277" priority="263">
      <formula>OR(IF(AS20&lt;AT20,TRUE),IF(AND(AT20="",AS20&lt;&gt;""),TRUE))</formula>
    </cfRule>
    <cfRule type="expression" dxfId="276" priority="264">
      <formula>IF(AS20&gt;=AT20,IF(AS20="",FALSE,TRUE))</formula>
    </cfRule>
  </conditionalFormatting>
  <conditionalFormatting sqref="BE20:BE24">
    <cfRule type="expression" dxfId="275" priority="257">
      <formula>OR(IF(BE20&lt;BF20,TRUE),IF(AND(BF20="",BE20&lt;&gt;""),TRUE))</formula>
    </cfRule>
    <cfRule type="expression" dxfId="274" priority="258">
      <formula>IF(BE20&gt;=BF20,IF(BE20="",FALSE,TRUE))</formula>
    </cfRule>
  </conditionalFormatting>
  <conditionalFormatting sqref="BG20:BG23">
    <cfRule type="expression" dxfId="273" priority="255">
      <formula>OR(IF(BG20&lt;BH20,TRUE),IF(AND(BH20="",BG20&lt;&gt;""),TRUE))</formula>
    </cfRule>
    <cfRule type="expression" dxfId="272" priority="256">
      <formula>IF(BG20&gt;=BH20,IF(BG20="",FALSE,TRUE))</formula>
    </cfRule>
  </conditionalFormatting>
  <conditionalFormatting sqref="V20:V24">
    <cfRule type="expression" dxfId="271" priority="277">
      <formula>OR(IF(V20&lt;W20,TRUE),IF(AND(W20="",V20&lt;&gt;""),TRUE))</formula>
    </cfRule>
    <cfRule type="expression" dxfId="270" priority="278">
      <formula>IF(V20&gt;=W20,IF(V20="",FALSE,TRUE))</formula>
    </cfRule>
  </conditionalFormatting>
  <conditionalFormatting sqref="X20:X24">
    <cfRule type="expression" dxfId="269" priority="275">
      <formula>OR(IF(X20&lt;Y20,TRUE),IF(AND(Y20="",X20&lt;&gt;""),TRUE))</formula>
    </cfRule>
    <cfRule type="expression" dxfId="268" priority="276">
      <formula>IF(X20&gt;=Y20,IF(X20="",FALSE,TRUE))</formula>
    </cfRule>
  </conditionalFormatting>
  <conditionalFormatting sqref="AC20:AC24">
    <cfRule type="expression" dxfId="267" priority="273">
      <formula>OR(IF(AC20&lt;AD20,TRUE),IF(AND(AD20="",AC20&lt;&gt;""),TRUE))</formula>
    </cfRule>
    <cfRule type="expression" dxfId="266" priority="274">
      <formula>IF(AC20&gt;=AD20,IF(AC20="",FALSE,TRUE))</formula>
    </cfRule>
  </conditionalFormatting>
  <conditionalFormatting sqref="AE20:AE24">
    <cfRule type="expression" dxfId="265" priority="271">
      <formula>OR(IF(AE20&lt;AF20,TRUE),IF(AND(AF20="",AE20&lt;&gt;""),TRUE))</formula>
    </cfRule>
    <cfRule type="expression" dxfId="264" priority="272">
      <formula>IF(AE20&gt;=AF20,IF(AE20="",FALSE,TRUE))</formula>
    </cfRule>
  </conditionalFormatting>
  <conditionalFormatting sqref="AJ20:AJ24">
    <cfRule type="expression" dxfId="263" priority="269">
      <formula>OR(IF(AJ20&lt;AK20,TRUE),IF(AND(AK20="",AJ20&lt;&gt;""),TRUE))</formula>
    </cfRule>
    <cfRule type="expression" dxfId="262" priority="270">
      <formula>IF(AJ20&gt;=AK20,IF(AJ20="",FALSE,TRUE))</formula>
    </cfRule>
  </conditionalFormatting>
  <conditionalFormatting sqref="AL20:AL24">
    <cfRule type="expression" dxfId="261" priority="267">
      <formula>OR(IF(AL20&lt;AM20,TRUE),IF(AND(AM20="",AL20&lt;&gt;""),TRUE))</formula>
    </cfRule>
    <cfRule type="expression" dxfId="260" priority="268">
      <formula>IF(AL20&gt;=AM20,IF(AL20="",FALSE,TRUE))</formula>
    </cfRule>
  </conditionalFormatting>
  <conditionalFormatting sqref="AX20:AX24">
    <cfRule type="expression" dxfId="259" priority="261">
      <formula>OR(IF(AX20&lt;AY20,TRUE),IF(AND(AY20="",AX20&lt;&gt;""),TRUE))</formula>
    </cfRule>
    <cfRule type="expression" dxfId="258" priority="262">
      <formula>IF(AX20&gt;=AY20,IF(AX20="",FALSE,TRUE))</formula>
    </cfRule>
  </conditionalFormatting>
  <conditionalFormatting sqref="AZ20:AZ24">
    <cfRule type="expression" dxfId="257" priority="259">
      <formula>OR(IF(AZ20&lt;BA20,TRUE),IF(AND(BA20="",AZ20&lt;&gt;""),TRUE))</formula>
    </cfRule>
    <cfRule type="expression" dxfId="256" priority="260">
      <formula>IF(AZ20&gt;=BA20,IF(AZ20="",FALSE,TRUE))</formula>
    </cfRule>
  </conditionalFormatting>
  <conditionalFormatting sqref="O21">
    <cfRule type="expression" dxfId="255" priority="237">
      <formula>OR(IF(O21&lt;P21,TRUE),IF(AND(P21="",O21&lt;&gt;""),TRUE))</formula>
    </cfRule>
    <cfRule type="expression" dxfId="254" priority="238">
      <formula>IF(O21&gt;=P21,IF(O21="",FALSE,TRUE))</formula>
    </cfRule>
  </conditionalFormatting>
  <conditionalFormatting sqref="BL20:BL24">
    <cfRule type="expression" dxfId="253" priority="253">
      <formula>OR(IF(BL20&lt;BM20,TRUE),IF(AND(BM20="",BL20&lt;&gt;""),TRUE))</formula>
    </cfRule>
    <cfRule type="expression" dxfId="252" priority="254">
      <formula>IF(BL20&gt;=BM20,IF(BL20="",FALSE,TRUE))</formula>
    </cfRule>
  </conditionalFormatting>
  <conditionalFormatting sqref="BN20:BN24">
    <cfRule type="expression" dxfId="251" priority="251">
      <formula>OR(IF(BN20&lt;BO20,TRUE),IF(AND(BO20="",BN20&lt;&gt;""),TRUE))</formula>
    </cfRule>
    <cfRule type="expression" dxfId="250" priority="252">
      <formula>IF(BN20&gt;=BO20,IF(BN20="",FALSE,TRUE))</formula>
    </cfRule>
  </conditionalFormatting>
  <conditionalFormatting sqref="BS20:BS24">
    <cfRule type="expression" dxfId="249" priority="249">
      <formula>OR(IF(BS20&lt;BT20,TRUE),IF(AND(BT20="",BS20&lt;&gt;""),TRUE))</formula>
    </cfRule>
    <cfRule type="expression" dxfId="248" priority="250">
      <formula>IF(BS20&gt;=BT20,IF(BS20="",FALSE,TRUE))</formula>
    </cfRule>
  </conditionalFormatting>
  <conditionalFormatting sqref="BU20:BU24">
    <cfRule type="expression" dxfId="247" priority="247">
      <formula>OR(IF(BU20&lt;BV20,TRUE),IF(AND(BV20="",BU20&lt;&gt;""),TRUE))</formula>
    </cfRule>
    <cfRule type="expression" dxfId="246" priority="248">
      <formula>IF(BU20&gt;=BV20,IF(BU20="",FALSE,TRUE))</formula>
    </cfRule>
  </conditionalFormatting>
  <conditionalFormatting sqref="BZ20:BZ24">
    <cfRule type="expression" dxfId="245" priority="245">
      <formula>OR(IF(BZ20&lt;CA20,TRUE),IF(AND(CA20="",BZ20&lt;&gt;""),TRUE))</formula>
    </cfRule>
    <cfRule type="expression" dxfId="244" priority="246">
      <formula>IF(BZ20&gt;=CA20,IF(BZ20="",FALSE,TRUE))</formula>
    </cfRule>
  </conditionalFormatting>
  <conditionalFormatting sqref="CB20:CB24">
    <cfRule type="expression" dxfId="243" priority="243">
      <formula>OR(IF(CB20&lt;CC20,TRUE),IF(AND(CC20="",CB20&lt;&gt;""),TRUE))</formula>
    </cfRule>
    <cfRule type="expression" dxfId="242" priority="244">
      <formula>IF(CB20&gt;=CC20,IF(CB20="",FALSE,TRUE))</formula>
    </cfRule>
  </conditionalFormatting>
  <conditionalFormatting sqref="CG20:CG24">
    <cfRule type="expression" dxfId="241" priority="241">
      <formula>OR(IF(CG20&lt;CH20,TRUE),IF(AND(CH20="",CG20&lt;&gt;""),TRUE))</formula>
    </cfRule>
    <cfRule type="expression" dxfId="240" priority="242">
      <formula>IF(CG20&gt;=CH20,IF(CG20="",FALSE,TRUE))</formula>
    </cfRule>
  </conditionalFormatting>
  <conditionalFormatting sqref="CI20:CI24">
    <cfRule type="expression" dxfId="239" priority="239">
      <formula>OR(IF(CI20&lt;CJ20,TRUE),IF(AND(CJ20="",CI20&lt;&gt;""),TRUE))</formula>
    </cfRule>
    <cfRule type="expression" dxfId="238" priority="240">
      <formula>IF(CI20&gt;=CJ20,IF(CI20="",FALSE,TRUE))</formula>
    </cfRule>
  </conditionalFormatting>
  <conditionalFormatting sqref="O56">
    <cfRule type="expression" dxfId="237" priority="186">
      <formula>OR(IF(O56&lt;P56,TRUE),IF(AND(P56="",O56&lt;&gt;""),TRUE))</formula>
    </cfRule>
    <cfRule type="expression" dxfId="236" priority="187">
      <formula>IF(O56&gt;=P56,IF(O56="",FALSE,TRUE))</formula>
    </cfRule>
  </conditionalFormatting>
  <conditionalFormatting sqref="J54:K58">
    <cfRule type="colorScale" priority="234">
      <colorScale>
        <cfvo type="percent" val="0"/>
        <cfvo type="percent" val="100"/>
        <color rgb="FFFF231B"/>
        <color rgb="FF10FF07"/>
      </colorScale>
    </cfRule>
  </conditionalFormatting>
  <conditionalFormatting sqref="O54 O57:O58">
    <cfRule type="expression" dxfId="235" priority="232">
      <formula>OR(IF(O54&lt;P54,TRUE),IF(AND(P54="",O54&lt;&gt;""),TRUE))</formula>
    </cfRule>
    <cfRule type="expression" dxfId="234" priority="233">
      <formula>IF(O54&gt;=P54,IF(O54="",FALSE,TRUE))</formula>
    </cfRule>
  </conditionalFormatting>
  <conditionalFormatting sqref="Q54:Q58">
    <cfRule type="expression" dxfId="233" priority="230">
      <formula>OR(IF(Q54&lt;R54,TRUE),IF(AND(R54="",Q54&lt;&gt;""),TRUE))</formula>
    </cfRule>
    <cfRule type="expression" dxfId="232" priority="231">
      <formula>IF(Q54&gt;=R54,IF(Q54="",FALSE,TRUE))</formula>
    </cfRule>
  </conditionalFormatting>
  <conditionalFormatting sqref="AQ54:AQ58">
    <cfRule type="expression" dxfId="231" priority="216">
      <formula>OR(IF(AQ54&lt;AR54,TRUE),IF(AND(AR54="",AQ54&lt;&gt;""),TRUE))</formula>
    </cfRule>
    <cfRule type="expression" dxfId="230" priority="217">
      <formula>IF(AQ54&gt;=AR54,IF(AQ54="",FALSE,TRUE))</formula>
    </cfRule>
  </conditionalFormatting>
  <conditionalFormatting sqref="AS54:AS58">
    <cfRule type="expression" dxfId="229" priority="214">
      <formula>OR(IF(AS54&lt;AT54,TRUE),IF(AND(AT54="",AS54&lt;&gt;""),TRUE))</formula>
    </cfRule>
    <cfRule type="expression" dxfId="228" priority="215">
      <formula>IF(AS54&gt;=AT54,IF(AS54="",FALSE,TRUE))</formula>
    </cfRule>
  </conditionalFormatting>
  <conditionalFormatting sqref="BE54:BE58">
    <cfRule type="expression" dxfId="227" priority="208">
      <formula>OR(IF(BE54&lt;BF54,TRUE),IF(AND(BF54="",BE54&lt;&gt;""),TRUE))</formula>
    </cfRule>
    <cfRule type="expression" dxfId="226" priority="209">
      <formula>IF(BE54&gt;=BF54,IF(BE54="",FALSE,TRUE))</formula>
    </cfRule>
  </conditionalFormatting>
  <conditionalFormatting sqref="BG54:BG58">
    <cfRule type="expression" dxfId="225" priority="206">
      <formula>OR(IF(BG54&lt;BH54,TRUE),IF(AND(BH54="",BG54&lt;&gt;""),TRUE))</formula>
    </cfRule>
    <cfRule type="expression" dxfId="224" priority="207">
      <formula>IF(BG54&gt;=BH54,IF(BG54="",FALSE,TRUE))</formula>
    </cfRule>
  </conditionalFormatting>
  <conditionalFormatting sqref="V54:V58">
    <cfRule type="expression" dxfId="223" priority="228">
      <formula>OR(IF(V54&lt;W54,TRUE),IF(AND(W54="",V54&lt;&gt;""),TRUE))</formula>
    </cfRule>
    <cfRule type="expression" dxfId="222" priority="229">
      <formula>IF(V54&gt;=W54,IF(V54="",FALSE,TRUE))</formula>
    </cfRule>
  </conditionalFormatting>
  <conditionalFormatting sqref="X54:X58">
    <cfRule type="expression" dxfId="221" priority="226">
      <formula>OR(IF(X54&lt;Y54,TRUE),IF(AND(Y54="",X54&lt;&gt;""),TRUE))</formula>
    </cfRule>
    <cfRule type="expression" dxfId="220" priority="227">
      <formula>IF(X54&gt;=Y54,IF(X54="",FALSE,TRUE))</formula>
    </cfRule>
  </conditionalFormatting>
  <conditionalFormatting sqref="AC54:AC58">
    <cfRule type="expression" dxfId="219" priority="224">
      <formula>OR(IF(AC54&lt;AD54,TRUE),IF(AND(AD54="",AC54&lt;&gt;""),TRUE))</formula>
    </cfRule>
    <cfRule type="expression" dxfId="218" priority="225">
      <formula>IF(AC54&gt;=AD54,IF(AC54="",FALSE,TRUE))</formula>
    </cfRule>
  </conditionalFormatting>
  <conditionalFormatting sqref="AE54:AE58">
    <cfRule type="expression" dxfId="217" priority="222">
      <formula>OR(IF(AE54&lt;AF54,TRUE),IF(AND(AF54="",AE54&lt;&gt;""),TRUE))</formula>
    </cfRule>
    <cfRule type="expression" dxfId="216" priority="223">
      <formula>IF(AE54&gt;=AF54,IF(AE54="",FALSE,TRUE))</formula>
    </cfRule>
  </conditionalFormatting>
  <conditionalFormatting sqref="AJ54:AJ58">
    <cfRule type="expression" dxfId="215" priority="220">
      <formula>OR(IF(AJ54&lt;AK54,TRUE),IF(AND(AK54="",AJ54&lt;&gt;""),TRUE))</formula>
    </cfRule>
    <cfRule type="expression" dxfId="214" priority="221">
      <formula>IF(AJ54&gt;=AK54,IF(AJ54="",FALSE,TRUE))</formula>
    </cfRule>
  </conditionalFormatting>
  <conditionalFormatting sqref="AL54:AL58">
    <cfRule type="expression" dxfId="213" priority="218">
      <formula>OR(IF(AL54&lt;AM54,TRUE),IF(AND(AM54="",AL54&lt;&gt;""),TRUE))</formula>
    </cfRule>
    <cfRule type="expression" dxfId="212" priority="219">
      <formula>IF(AL54&gt;=AM54,IF(AL54="",FALSE,TRUE))</formula>
    </cfRule>
  </conditionalFormatting>
  <conditionalFormatting sqref="AX54:AX58">
    <cfRule type="expression" dxfId="211" priority="212">
      <formula>OR(IF(AX54&lt;AY54,TRUE),IF(AND(AY54="",AX54&lt;&gt;""),TRUE))</formula>
    </cfRule>
    <cfRule type="expression" dxfId="210" priority="213">
      <formula>IF(AX54&gt;=AY54,IF(AX54="",FALSE,TRUE))</formula>
    </cfRule>
  </conditionalFormatting>
  <conditionalFormatting sqref="AZ54:AZ58">
    <cfRule type="expression" dxfId="209" priority="210">
      <formula>OR(IF(AZ54&lt;BA54,TRUE),IF(AND(BA54="",AZ54&lt;&gt;""),TRUE))</formula>
    </cfRule>
    <cfRule type="expression" dxfId="208" priority="211">
      <formula>IF(AZ54&gt;=BA54,IF(AZ54="",FALSE,TRUE))</formula>
    </cfRule>
  </conditionalFormatting>
  <conditionalFormatting sqref="O55">
    <cfRule type="expression" dxfId="207" priority="188">
      <formula>OR(IF(O55&lt;P55,TRUE),IF(AND(P55="",O55&lt;&gt;""),TRUE))</formula>
    </cfRule>
    <cfRule type="expression" dxfId="206" priority="189">
      <formula>IF(O55&gt;=P55,IF(O55="",FALSE,TRUE))</formula>
    </cfRule>
  </conditionalFormatting>
  <conditionalFormatting sqref="BL54:BL58">
    <cfRule type="expression" dxfId="205" priority="204">
      <formula>OR(IF(BL54&lt;BM54,TRUE),IF(AND(BM54="",BL54&lt;&gt;""),TRUE))</formula>
    </cfRule>
    <cfRule type="expression" dxfId="204" priority="205">
      <formula>IF(BL54&gt;=BM54,IF(BL54="",FALSE,TRUE))</formula>
    </cfRule>
  </conditionalFormatting>
  <conditionalFormatting sqref="BN54:BN58">
    <cfRule type="expression" dxfId="203" priority="202">
      <formula>OR(IF(BN54&lt;BO54,TRUE),IF(AND(BO54="",BN54&lt;&gt;""),TRUE))</formula>
    </cfRule>
    <cfRule type="expression" dxfId="202" priority="203">
      <formula>IF(BN54&gt;=BO54,IF(BN54="",FALSE,TRUE))</formula>
    </cfRule>
  </conditionalFormatting>
  <conditionalFormatting sqref="BS54:BS58">
    <cfRule type="expression" dxfId="201" priority="200">
      <formula>OR(IF(BS54&lt;BT54,TRUE),IF(AND(BT54="",BS54&lt;&gt;""),TRUE))</formula>
    </cfRule>
    <cfRule type="expression" dxfId="200" priority="201">
      <formula>IF(BS54&gt;=BT54,IF(BS54="",FALSE,TRUE))</formula>
    </cfRule>
  </conditionalFormatting>
  <conditionalFormatting sqref="BU54:BU58">
    <cfRule type="expression" dxfId="199" priority="198">
      <formula>OR(IF(BU54&lt;BV54,TRUE),IF(AND(BV54="",BU54&lt;&gt;""),TRUE))</formula>
    </cfRule>
    <cfRule type="expression" dxfId="198" priority="199">
      <formula>IF(BU54&gt;=BV54,IF(BU54="",FALSE,TRUE))</formula>
    </cfRule>
  </conditionalFormatting>
  <conditionalFormatting sqref="BZ54:BZ58">
    <cfRule type="expression" dxfId="197" priority="196">
      <formula>OR(IF(BZ54&lt;CA54,TRUE),IF(AND(CA54="",BZ54&lt;&gt;""),TRUE))</formula>
    </cfRule>
    <cfRule type="expression" dxfId="196" priority="197">
      <formula>IF(BZ54&gt;=CA54,IF(BZ54="",FALSE,TRUE))</formula>
    </cfRule>
  </conditionalFormatting>
  <conditionalFormatting sqref="CB54:CB58">
    <cfRule type="expression" dxfId="195" priority="194">
      <formula>OR(IF(CB54&lt;CC54,TRUE),IF(AND(CC54="",CB54&lt;&gt;""),TRUE))</formula>
    </cfRule>
    <cfRule type="expression" dxfId="194" priority="195">
      <formula>IF(CB54&gt;=CC54,IF(CB54="",FALSE,TRUE))</formula>
    </cfRule>
  </conditionalFormatting>
  <conditionalFormatting sqref="CG54:CG58">
    <cfRule type="expression" dxfId="193" priority="192">
      <formula>OR(IF(CG54&lt;CH54,TRUE),IF(AND(CH54="",CG54&lt;&gt;""),TRUE))</formula>
    </cfRule>
    <cfRule type="expression" dxfId="192" priority="193">
      <formula>IF(CG54&gt;=CH54,IF(CG54="",FALSE,TRUE))</formula>
    </cfRule>
  </conditionalFormatting>
  <conditionalFormatting sqref="CI54:CI58">
    <cfRule type="expression" dxfId="191" priority="190">
      <formula>OR(IF(CI54&lt;CJ54,TRUE),IF(AND(CJ54="",CI54&lt;&gt;""),TRUE))</formula>
    </cfRule>
    <cfRule type="expression" dxfId="190" priority="191">
      <formula>IF(CI54&gt;=CJ54,IF(CI54="",FALSE,TRUE))</formula>
    </cfRule>
  </conditionalFormatting>
  <conditionalFormatting sqref="O65">
    <cfRule type="expression" dxfId="189" priority="137">
      <formula>OR(IF(O65&lt;P65,TRUE),IF(AND(P65="",O65&lt;&gt;""),TRUE))</formula>
    </cfRule>
    <cfRule type="expression" dxfId="188" priority="138">
      <formula>IF(O65&gt;=P65,IF(O65="",FALSE,TRUE))</formula>
    </cfRule>
  </conditionalFormatting>
  <conditionalFormatting sqref="J63:K67">
    <cfRule type="colorScale" priority="185">
      <colorScale>
        <cfvo type="percent" val="0"/>
        <cfvo type="percent" val="100"/>
        <color rgb="FFFF231B"/>
        <color rgb="FF10FF07"/>
      </colorScale>
    </cfRule>
  </conditionalFormatting>
  <conditionalFormatting sqref="O63 O66:O67">
    <cfRule type="expression" dxfId="187" priority="183">
      <formula>OR(IF(O63&lt;P63,TRUE),IF(AND(P63="",O63&lt;&gt;""),TRUE))</formula>
    </cfRule>
    <cfRule type="expression" dxfId="186" priority="184">
      <formula>IF(O63&gt;=P63,IF(O63="",FALSE,TRUE))</formula>
    </cfRule>
  </conditionalFormatting>
  <conditionalFormatting sqref="Q63:Q67">
    <cfRule type="expression" dxfId="185" priority="181">
      <formula>OR(IF(Q63&lt;R63,TRUE),IF(AND(R63="",Q63&lt;&gt;""),TRUE))</formula>
    </cfRule>
    <cfRule type="expression" dxfId="184" priority="182">
      <formula>IF(Q63&gt;=R63,IF(Q63="",FALSE,TRUE))</formula>
    </cfRule>
  </conditionalFormatting>
  <conditionalFormatting sqref="AQ63:AQ67">
    <cfRule type="expression" dxfId="183" priority="167">
      <formula>OR(IF(AQ63&lt;AR63,TRUE),IF(AND(AR63="",AQ63&lt;&gt;""),TRUE))</formula>
    </cfRule>
    <cfRule type="expression" dxfId="182" priority="168">
      <formula>IF(AQ63&gt;=AR63,IF(AQ63="",FALSE,TRUE))</formula>
    </cfRule>
  </conditionalFormatting>
  <conditionalFormatting sqref="AS63:AS67">
    <cfRule type="expression" dxfId="181" priority="165">
      <formula>OR(IF(AS63&lt;AT63,TRUE),IF(AND(AT63="",AS63&lt;&gt;""),TRUE))</formula>
    </cfRule>
    <cfRule type="expression" dxfId="180" priority="166">
      <formula>IF(AS63&gt;=AT63,IF(AS63="",FALSE,TRUE))</formula>
    </cfRule>
  </conditionalFormatting>
  <conditionalFormatting sqref="BE63:BE67">
    <cfRule type="expression" dxfId="179" priority="159">
      <formula>OR(IF(BE63&lt;BF63,TRUE),IF(AND(BF63="",BE63&lt;&gt;""),TRUE))</formula>
    </cfRule>
    <cfRule type="expression" dxfId="178" priority="160">
      <formula>IF(BE63&gt;=BF63,IF(BE63="",FALSE,TRUE))</formula>
    </cfRule>
  </conditionalFormatting>
  <conditionalFormatting sqref="BG63:BG67">
    <cfRule type="expression" dxfId="177" priority="157">
      <formula>OR(IF(BG63&lt;BH63,TRUE),IF(AND(BH63="",BG63&lt;&gt;""),TRUE))</formula>
    </cfRule>
    <cfRule type="expression" dxfId="176" priority="158">
      <formula>IF(BG63&gt;=BH63,IF(BG63="",FALSE,TRUE))</formula>
    </cfRule>
  </conditionalFormatting>
  <conditionalFormatting sqref="V63:V67">
    <cfRule type="expression" dxfId="175" priority="179">
      <formula>OR(IF(V63&lt;W63,TRUE),IF(AND(W63="",V63&lt;&gt;""),TRUE))</formula>
    </cfRule>
    <cfRule type="expression" dxfId="174" priority="180">
      <formula>IF(V63&gt;=W63,IF(V63="",FALSE,TRUE))</formula>
    </cfRule>
  </conditionalFormatting>
  <conditionalFormatting sqref="X63:X67">
    <cfRule type="expression" dxfId="173" priority="177">
      <formula>OR(IF(X63&lt;Y63,TRUE),IF(AND(Y63="",X63&lt;&gt;""),TRUE))</formula>
    </cfRule>
    <cfRule type="expression" dxfId="172" priority="178">
      <formula>IF(X63&gt;=Y63,IF(X63="",FALSE,TRUE))</formula>
    </cfRule>
  </conditionalFormatting>
  <conditionalFormatting sqref="AC63:AC67">
    <cfRule type="expression" dxfId="171" priority="175">
      <formula>OR(IF(AC63&lt;AD63,TRUE),IF(AND(AD63="",AC63&lt;&gt;""),TRUE))</formula>
    </cfRule>
    <cfRule type="expression" dxfId="170" priority="176">
      <formula>IF(AC63&gt;=AD63,IF(AC63="",FALSE,TRUE))</formula>
    </cfRule>
  </conditionalFormatting>
  <conditionalFormatting sqref="AE63:AE67">
    <cfRule type="expression" dxfId="169" priority="173">
      <formula>OR(IF(AE63&lt;AF63,TRUE),IF(AND(AF63="",AE63&lt;&gt;""),TRUE))</formula>
    </cfRule>
    <cfRule type="expression" dxfId="168" priority="174">
      <formula>IF(AE63&gt;=AF63,IF(AE63="",FALSE,TRUE))</formula>
    </cfRule>
  </conditionalFormatting>
  <conditionalFormatting sqref="AJ63:AJ67">
    <cfRule type="expression" dxfId="167" priority="171">
      <formula>OR(IF(AJ63&lt;AK63,TRUE),IF(AND(AK63="",AJ63&lt;&gt;""),TRUE))</formula>
    </cfRule>
    <cfRule type="expression" dxfId="166" priority="172">
      <formula>IF(AJ63&gt;=AK63,IF(AJ63="",FALSE,TRUE))</formula>
    </cfRule>
  </conditionalFormatting>
  <conditionalFormatting sqref="AL63:AL67">
    <cfRule type="expression" dxfId="165" priority="169">
      <formula>OR(IF(AL63&lt;AM63,TRUE),IF(AND(AM63="",AL63&lt;&gt;""),TRUE))</formula>
    </cfRule>
    <cfRule type="expression" dxfId="164" priority="170">
      <formula>IF(AL63&gt;=AM63,IF(AL63="",FALSE,TRUE))</formula>
    </cfRule>
  </conditionalFormatting>
  <conditionalFormatting sqref="AX63:AX67">
    <cfRule type="expression" dxfId="163" priority="163">
      <formula>OR(IF(AX63&lt;AY63,TRUE),IF(AND(AY63="",AX63&lt;&gt;""),TRUE))</formula>
    </cfRule>
    <cfRule type="expression" dxfId="162" priority="164">
      <formula>IF(AX63&gt;=AY63,IF(AX63="",FALSE,TRUE))</formula>
    </cfRule>
  </conditionalFormatting>
  <conditionalFormatting sqref="AZ63:AZ67">
    <cfRule type="expression" dxfId="161" priority="161">
      <formula>OR(IF(AZ63&lt;BA63,TRUE),IF(AND(BA63="",AZ63&lt;&gt;""),TRUE))</formula>
    </cfRule>
    <cfRule type="expression" dxfId="160" priority="162">
      <formula>IF(AZ63&gt;=BA63,IF(AZ63="",FALSE,TRUE))</formula>
    </cfRule>
  </conditionalFormatting>
  <conditionalFormatting sqref="O64">
    <cfRule type="expression" dxfId="159" priority="139">
      <formula>OR(IF(O64&lt;P64,TRUE),IF(AND(P64="",O64&lt;&gt;""),TRUE))</formula>
    </cfRule>
    <cfRule type="expression" dxfId="158" priority="140">
      <formula>IF(O64&gt;=P64,IF(O64="",FALSE,TRUE))</formula>
    </cfRule>
  </conditionalFormatting>
  <conditionalFormatting sqref="BL63:BL67">
    <cfRule type="expression" dxfId="157" priority="155">
      <formula>OR(IF(BL63&lt;BM63,TRUE),IF(AND(BM63="",BL63&lt;&gt;""),TRUE))</formula>
    </cfRule>
    <cfRule type="expression" dxfId="156" priority="156">
      <formula>IF(BL63&gt;=BM63,IF(BL63="",FALSE,TRUE))</formula>
    </cfRule>
  </conditionalFormatting>
  <conditionalFormatting sqref="BN63:BN67">
    <cfRule type="expression" dxfId="155" priority="153">
      <formula>OR(IF(BN63&lt;BO63,TRUE),IF(AND(BO63="",BN63&lt;&gt;""),TRUE))</formula>
    </cfRule>
    <cfRule type="expression" dxfId="154" priority="154">
      <formula>IF(BN63&gt;=BO63,IF(BN63="",FALSE,TRUE))</formula>
    </cfRule>
  </conditionalFormatting>
  <conditionalFormatting sqref="BS63:BS67">
    <cfRule type="expression" dxfId="153" priority="151">
      <formula>OR(IF(BS63&lt;BT63,TRUE),IF(AND(BT63="",BS63&lt;&gt;""),TRUE))</formula>
    </cfRule>
    <cfRule type="expression" dxfId="152" priority="152">
      <formula>IF(BS63&gt;=BT63,IF(BS63="",FALSE,TRUE))</formula>
    </cfRule>
  </conditionalFormatting>
  <conditionalFormatting sqref="BU63:BU67">
    <cfRule type="expression" dxfId="151" priority="149">
      <formula>OR(IF(BU63&lt;BV63,TRUE),IF(AND(BV63="",BU63&lt;&gt;""),TRUE))</formula>
    </cfRule>
    <cfRule type="expression" dxfId="150" priority="150">
      <formula>IF(BU63&gt;=BV63,IF(BU63="",FALSE,TRUE))</formula>
    </cfRule>
  </conditionalFormatting>
  <conditionalFormatting sqref="BZ63:BZ67">
    <cfRule type="expression" dxfId="149" priority="147">
      <formula>OR(IF(BZ63&lt;CA63,TRUE),IF(AND(CA63="",BZ63&lt;&gt;""),TRUE))</formula>
    </cfRule>
    <cfRule type="expression" dxfId="148" priority="148">
      <formula>IF(BZ63&gt;=CA63,IF(BZ63="",FALSE,TRUE))</formula>
    </cfRule>
  </conditionalFormatting>
  <conditionalFormatting sqref="CB63:CB67">
    <cfRule type="expression" dxfId="147" priority="145">
      <formula>OR(IF(CB63&lt;CC63,TRUE),IF(AND(CC63="",CB63&lt;&gt;""),TRUE))</formula>
    </cfRule>
    <cfRule type="expression" dxfId="146" priority="146">
      <formula>IF(CB63&gt;=CC63,IF(CB63="",FALSE,TRUE))</formula>
    </cfRule>
  </conditionalFormatting>
  <conditionalFormatting sqref="CG63:CG67">
    <cfRule type="expression" dxfId="145" priority="143">
      <formula>OR(IF(CG63&lt;CH63,TRUE),IF(AND(CH63="",CG63&lt;&gt;""),TRUE))</formula>
    </cfRule>
    <cfRule type="expression" dxfId="144" priority="144">
      <formula>IF(CG63&gt;=CH63,IF(CG63="",FALSE,TRUE))</formula>
    </cfRule>
  </conditionalFormatting>
  <conditionalFormatting sqref="CI63:CI67">
    <cfRule type="expression" dxfId="143" priority="141">
      <formula>OR(IF(CI63&lt;CJ63,TRUE),IF(AND(CJ63="",CI63&lt;&gt;""),TRUE))</formula>
    </cfRule>
    <cfRule type="expression" dxfId="142" priority="142">
      <formula>IF(CI63&gt;=CJ63,IF(CI63="",FALSE,TRUE))</formula>
    </cfRule>
  </conditionalFormatting>
  <conditionalFormatting sqref="BL25">
    <cfRule type="expression" dxfId="141" priority="135">
      <formula>OR(IF(BL25&lt;BM25,TRUE),IF(AND(BM25="",BL25&lt;&gt;""),TRUE))</formula>
    </cfRule>
    <cfRule type="expression" dxfId="140" priority="136">
      <formula>IF(BL25&gt;=BM25,IF(BL25="",FALSE,TRUE))</formula>
    </cfRule>
  </conditionalFormatting>
  <conditionalFormatting sqref="BN25">
    <cfRule type="expression" dxfId="139" priority="133">
      <formula>OR(IF(BN25&lt;BO25,TRUE),IF(AND(BO25="",BN25&lt;&gt;""),TRUE))</formula>
    </cfRule>
    <cfRule type="expression" dxfId="138" priority="134">
      <formula>IF(BN25&gt;=BO25,IF(BN25="",FALSE,TRUE))</formula>
    </cfRule>
  </conditionalFormatting>
  <conditionalFormatting sqref="BG25">
    <cfRule type="expression" dxfId="137" priority="131">
      <formula>OR(IF(BG25&lt;BH25,TRUE),IF(AND(BH25="",BG25&lt;&gt;""),TRUE))</formula>
    </cfRule>
    <cfRule type="expression" dxfId="136" priority="132">
      <formula>IF(BG25&gt;=BH25,IF(BG25="",FALSE,TRUE))</formula>
    </cfRule>
  </conditionalFormatting>
  <conditionalFormatting sqref="BG24">
    <cfRule type="expression" dxfId="135" priority="127">
      <formula>OR(IF(BG24&lt;BH24,TRUE),IF(AND(BH24="",BG24&lt;&gt;""),TRUE))</formula>
    </cfRule>
    <cfRule type="expression" dxfId="134" priority="128">
      <formula>IF(BG24&gt;=BH24,IF(BG24="",FALSE,TRUE))</formula>
    </cfRule>
  </conditionalFormatting>
  <conditionalFormatting sqref="BE25">
    <cfRule type="expression" dxfId="133" priority="125">
      <formula>OR(IF(BE25&lt;BF25,TRUE),IF(AND(BF25="",BE25&lt;&gt;""),TRUE))</formula>
    </cfRule>
    <cfRule type="expression" dxfId="132" priority="126">
      <formula>IF(BE25&gt;=BF25,IF(BE25="",FALSE,TRUE))</formula>
    </cfRule>
  </conditionalFormatting>
  <conditionalFormatting sqref="AZ25">
    <cfRule type="expression" dxfId="131" priority="123">
      <formula>OR(IF(AZ25&lt;BA25,TRUE),IF(AND(BA25="",AZ25&lt;&gt;""),TRUE))</formula>
    </cfRule>
    <cfRule type="expression" dxfId="130" priority="124">
      <formula>IF(AZ25&gt;=BA25,IF(AZ25="",FALSE,TRUE))</formula>
    </cfRule>
  </conditionalFormatting>
  <conditionalFormatting sqref="AX25">
    <cfRule type="expression" dxfId="129" priority="121">
      <formula>OR(IF(AX25&lt;AY25,TRUE),IF(AND(AY25="",AX25&lt;&gt;""),TRUE))</formula>
    </cfRule>
    <cfRule type="expression" dxfId="128" priority="122">
      <formula>IF(AX25&gt;=AY25,IF(AX25="",FALSE,TRUE))</formula>
    </cfRule>
  </conditionalFormatting>
  <conditionalFormatting sqref="AQ25">
    <cfRule type="expression" dxfId="127" priority="119">
      <formula>OR(IF(AQ25&lt;AR25,TRUE),IF(AND(AR25="",AQ25&lt;&gt;""),TRUE))</formula>
    </cfRule>
    <cfRule type="expression" dxfId="126" priority="120">
      <formula>IF(AQ25&gt;=AR25,IF(AQ25="",FALSE,TRUE))</formula>
    </cfRule>
  </conditionalFormatting>
  <conditionalFormatting sqref="AS25">
    <cfRule type="expression" dxfId="125" priority="117">
      <formula>OR(IF(AS25&lt;AT25,TRUE),IF(AND(AT25="",AS25&lt;&gt;""),TRUE))</formula>
    </cfRule>
    <cfRule type="expression" dxfId="124" priority="118">
      <formula>IF(AS25&gt;=AT25,IF(AS25="",FALSE,TRUE))</formula>
    </cfRule>
  </conditionalFormatting>
  <conditionalFormatting sqref="AL25">
    <cfRule type="expression" dxfId="123" priority="115">
      <formula>OR(IF(AL25&lt;AM25,TRUE),IF(AND(AM25="",AL25&lt;&gt;""),TRUE))</formula>
    </cfRule>
    <cfRule type="expression" dxfId="122" priority="116">
      <formula>IF(AL25&gt;=AM25,IF(AL25="",FALSE,TRUE))</formula>
    </cfRule>
  </conditionalFormatting>
  <conditionalFormatting sqref="AJ25">
    <cfRule type="expression" dxfId="121" priority="113">
      <formula>OR(IF(AJ25&lt;AK25,TRUE),IF(AND(AK25="",AJ25&lt;&gt;""),TRUE))</formula>
    </cfRule>
    <cfRule type="expression" dxfId="120" priority="114">
      <formula>IF(AJ25&gt;=AK25,IF(AJ25="",FALSE,TRUE))</formula>
    </cfRule>
  </conditionalFormatting>
  <conditionalFormatting sqref="AE25">
    <cfRule type="expression" dxfId="119" priority="111">
      <formula>OR(IF(AE25&lt;AF25,TRUE),IF(AND(AF25="",AE25&lt;&gt;""),TRUE))</formula>
    </cfRule>
    <cfRule type="expression" dxfId="118" priority="112">
      <formula>IF(AE25&gt;=AF25,IF(AE25="",FALSE,TRUE))</formula>
    </cfRule>
  </conditionalFormatting>
  <conditionalFormatting sqref="AC25">
    <cfRule type="expression" dxfId="117" priority="109">
      <formula>OR(IF(AC25&lt;AD25,TRUE),IF(AND(AD25="",AC25&lt;&gt;""),TRUE))</formula>
    </cfRule>
    <cfRule type="expression" dxfId="116" priority="110">
      <formula>IF(AC25&gt;=AD25,IF(AC25="",FALSE,TRUE))</formula>
    </cfRule>
  </conditionalFormatting>
  <conditionalFormatting sqref="X25">
    <cfRule type="expression" dxfId="115" priority="107">
      <formula>OR(IF(X25&lt;Y25,TRUE),IF(AND(Y25="",X25&lt;&gt;""),TRUE))</formula>
    </cfRule>
    <cfRule type="expression" dxfId="114" priority="108">
      <formula>IF(X25&gt;=Y25,IF(X25="",FALSE,TRUE))</formula>
    </cfRule>
  </conditionalFormatting>
  <conditionalFormatting sqref="V25">
    <cfRule type="expression" dxfId="113" priority="105">
      <formula>OR(IF(V25&lt;W25,TRUE),IF(AND(W25="",V25&lt;&gt;""),TRUE))</formula>
    </cfRule>
    <cfRule type="expression" dxfId="112" priority="106">
      <formula>IF(V25&gt;=W25,IF(V25="",FALSE,TRUE))</formula>
    </cfRule>
  </conditionalFormatting>
  <conditionalFormatting sqref="Q25">
    <cfRule type="expression" dxfId="111" priority="103">
      <formula>OR(IF(Q25&lt;R25,TRUE),IF(AND(R25="",Q25&lt;&gt;""),TRUE))</formula>
    </cfRule>
    <cfRule type="expression" dxfId="110" priority="104">
      <formula>IF(Q25&gt;=R25,IF(Q25="",FALSE,TRUE))</formula>
    </cfRule>
  </conditionalFormatting>
  <conditionalFormatting sqref="O25">
    <cfRule type="expression" dxfId="109" priority="101">
      <formula>OR(IF(O25&lt;P25,TRUE),IF(AND(P25="",O25&lt;&gt;""),TRUE))</formula>
    </cfRule>
    <cfRule type="expression" dxfId="108" priority="102">
      <formula>IF(O25&gt;=P25,IF(O25="",FALSE,TRUE))</formula>
    </cfRule>
  </conditionalFormatting>
  <conditionalFormatting sqref="J25">
    <cfRule type="colorScale" priority="100">
      <colorScale>
        <cfvo type="percent" val="0"/>
        <cfvo type="percent" val="100"/>
        <color rgb="FFFF231B"/>
        <color rgb="FF10FF07"/>
      </colorScale>
    </cfRule>
  </conditionalFormatting>
  <conditionalFormatting sqref="K25">
    <cfRule type="colorScale" priority="99">
      <colorScale>
        <cfvo type="percent" val="0"/>
        <cfvo type="percent" val="100"/>
        <color rgb="FFFF231B"/>
        <color rgb="FF10FF07"/>
      </colorScale>
    </cfRule>
  </conditionalFormatting>
  <conditionalFormatting sqref="J4:K4">
    <cfRule type="colorScale" priority="1242">
      <colorScale>
        <cfvo type="percent" val="0"/>
        <cfvo type="percent" val="100"/>
        <color rgb="FFFF231B"/>
        <color rgb="FF10FF07"/>
      </colorScale>
    </cfRule>
  </conditionalFormatting>
  <conditionalFormatting sqref="O43">
    <cfRule type="expression" dxfId="107" priority="50">
      <formula>OR(IF(O43&lt;P43,TRUE),IF(AND(P43="",O43&lt;&gt;""),TRUE))</formula>
    </cfRule>
    <cfRule type="expression" dxfId="106" priority="51">
      <formula>IF(O43&gt;=P43,IF(O43="",FALSE,TRUE))</formula>
    </cfRule>
  </conditionalFormatting>
  <conditionalFormatting sqref="J41:K45">
    <cfRule type="colorScale" priority="98">
      <colorScale>
        <cfvo type="percent" val="0"/>
        <cfvo type="percent" val="100"/>
        <color rgb="FFFF231B"/>
        <color rgb="FF10FF07"/>
      </colorScale>
    </cfRule>
  </conditionalFormatting>
  <conditionalFormatting sqref="O41 O44:O45">
    <cfRule type="expression" dxfId="105" priority="96">
      <formula>OR(IF(O41&lt;P41,TRUE),IF(AND(P41="",O41&lt;&gt;""),TRUE))</formula>
    </cfRule>
    <cfRule type="expression" dxfId="104" priority="97">
      <formula>IF(O41&gt;=P41,IF(O41="",FALSE,TRUE))</formula>
    </cfRule>
  </conditionalFormatting>
  <conditionalFormatting sqref="Q41:Q45">
    <cfRule type="expression" dxfId="103" priority="94">
      <formula>OR(IF(Q41&lt;R41,TRUE),IF(AND(R41="",Q41&lt;&gt;""),TRUE))</formula>
    </cfRule>
    <cfRule type="expression" dxfId="102" priority="95">
      <formula>IF(Q41&gt;=R41,IF(Q41="",FALSE,TRUE))</formula>
    </cfRule>
  </conditionalFormatting>
  <conditionalFormatting sqref="AQ41:AQ45">
    <cfRule type="expression" dxfId="101" priority="80">
      <formula>OR(IF(AQ41&lt;AR41,TRUE),IF(AND(AR41="",AQ41&lt;&gt;""),TRUE))</formula>
    </cfRule>
    <cfRule type="expression" dxfId="100" priority="81">
      <formula>IF(AQ41&gt;=AR41,IF(AQ41="",FALSE,TRUE))</formula>
    </cfRule>
  </conditionalFormatting>
  <conditionalFormatting sqref="AS41:AS45">
    <cfRule type="expression" dxfId="99" priority="78">
      <formula>OR(IF(AS41&lt;AT41,TRUE),IF(AND(AT41="",AS41&lt;&gt;""),TRUE))</formula>
    </cfRule>
    <cfRule type="expression" dxfId="98" priority="79">
      <formula>IF(AS41&gt;=AT41,IF(AS41="",FALSE,TRUE))</formula>
    </cfRule>
  </conditionalFormatting>
  <conditionalFormatting sqref="BE41:BE45">
    <cfRule type="expression" dxfId="97" priority="72">
      <formula>OR(IF(BE41&lt;BF41,TRUE),IF(AND(BF41="",BE41&lt;&gt;""),TRUE))</formula>
    </cfRule>
    <cfRule type="expression" dxfId="96" priority="73">
      <formula>IF(BE41&gt;=BF41,IF(BE41="",FALSE,TRUE))</formula>
    </cfRule>
  </conditionalFormatting>
  <conditionalFormatting sqref="BG41:BG45">
    <cfRule type="expression" dxfId="95" priority="70">
      <formula>OR(IF(BG41&lt;BH41,TRUE),IF(AND(BH41="",BG41&lt;&gt;""),TRUE))</formula>
    </cfRule>
    <cfRule type="expression" dxfId="94" priority="71">
      <formula>IF(BG41&gt;=BH41,IF(BG41="",FALSE,TRUE))</formula>
    </cfRule>
  </conditionalFormatting>
  <conditionalFormatting sqref="V41:V45">
    <cfRule type="expression" dxfId="93" priority="92">
      <formula>OR(IF(V41&lt;W41,TRUE),IF(AND(W41="",V41&lt;&gt;""),TRUE))</formula>
    </cfRule>
    <cfRule type="expression" dxfId="92" priority="93">
      <formula>IF(V41&gt;=W41,IF(V41="",FALSE,TRUE))</formula>
    </cfRule>
  </conditionalFormatting>
  <conditionalFormatting sqref="X41:X45">
    <cfRule type="expression" dxfId="91" priority="90">
      <formula>OR(IF(X41&lt;Y41,TRUE),IF(AND(Y41="",X41&lt;&gt;""),TRUE))</formula>
    </cfRule>
    <cfRule type="expression" dxfId="90" priority="91">
      <formula>IF(X41&gt;=Y41,IF(X41="",FALSE,TRUE))</formula>
    </cfRule>
  </conditionalFormatting>
  <conditionalFormatting sqref="AC41:AC45">
    <cfRule type="expression" dxfId="89" priority="88">
      <formula>OR(IF(AC41&lt;AD41,TRUE),IF(AND(AD41="",AC41&lt;&gt;""),TRUE))</formula>
    </cfRule>
    <cfRule type="expression" dxfId="88" priority="89">
      <formula>IF(AC41&gt;=AD41,IF(AC41="",FALSE,TRUE))</formula>
    </cfRule>
  </conditionalFormatting>
  <conditionalFormatting sqref="AE41:AE45">
    <cfRule type="expression" dxfId="87" priority="86">
      <formula>OR(IF(AE41&lt;AF41,TRUE),IF(AND(AF41="",AE41&lt;&gt;""),TRUE))</formula>
    </cfRule>
    <cfRule type="expression" dxfId="86" priority="87">
      <formula>IF(AE41&gt;=AF41,IF(AE41="",FALSE,TRUE))</formula>
    </cfRule>
  </conditionalFormatting>
  <conditionalFormatting sqref="AJ41:AJ45">
    <cfRule type="expression" dxfId="85" priority="84">
      <formula>OR(IF(AJ41&lt;AK41,TRUE),IF(AND(AK41="",AJ41&lt;&gt;""),TRUE))</formula>
    </cfRule>
    <cfRule type="expression" dxfId="84" priority="85">
      <formula>IF(AJ41&gt;=AK41,IF(AJ41="",FALSE,TRUE))</formula>
    </cfRule>
  </conditionalFormatting>
  <conditionalFormatting sqref="AL41:AL45">
    <cfRule type="expression" dxfId="83" priority="82">
      <formula>OR(IF(AL41&lt;AM41,TRUE),IF(AND(AM41="",AL41&lt;&gt;""),TRUE))</formula>
    </cfRule>
    <cfRule type="expression" dxfId="82" priority="83">
      <formula>IF(AL41&gt;=AM41,IF(AL41="",FALSE,TRUE))</formula>
    </cfRule>
  </conditionalFormatting>
  <conditionalFormatting sqref="AX41:AX45">
    <cfRule type="expression" dxfId="81" priority="76">
      <formula>OR(IF(AX41&lt;AY41,TRUE),IF(AND(AY41="",AX41&lt;&gt;""),TRUE))</formula>
    </cfRule>
    <cfRule type="expression" dxfId="80" priority="77">
      <formula>IF(AX41&gt;=AY41,IF(AX41="",FALSE,TRUE))</formula>
    </cfRule>
  </conditionalFormatting>
  <conditionalFormatting sqref="AZ41:AZ45">
    <cfRule type="expression" dxfId="79" priority="74">
      <formula>OR(IF(AZ41&lt;BA41,TRUE),IF(AND(BA41="",AZ41&lt;&gt;""),TRUE))</formula>
    </cfRule>
    <cfRule type="expression" dxfId="78" priority="75">
      <formula>IF(AZ41&gt;=BA41,IF(AZ41="",FALSE,TRUE))</formula>
    </cfRule>
  </conditionalFormatting>
  <conditionalFormatting sqref="O42">
    <cfRule type="expression" dxfId="77" priority="52">
      <formula>OR(IF(O42&lt;P42,TRUE),IF(AND(P42="",O42&lt;&gt;""),TRUE))</formula>
    </cfRule>
    <cfRule type="expression" dxfId="76" priority="53">
      <formula>IF(O42&gt;=P42,IF(O42="",FALSE,TRUE))</formula>
    </cfRule>
  </conditionalFormatting>
  <conditionalFormatting sqref="BL41:BL45">
    <cfRule type="expression" dxfId="75" priority="68">
      <formula>OR(IF(BL41&lt;BM41,TRUE),IF(AND(BM41="",BL41&lt;&gt;""),TRUE))</formula>
    </cfRule>
    <cfRule type="expression" dxfId="74" priority="69">
      <formula>IF(BL41&gt;=BM41,IF(BL41="",FALSE,TRUE))</formula>
    </cfRule>
  </conditionalFormatting>
  <conditionalFormatting sqref="BN41:BN45">
    <cfRule type="expression" dxfId="73" priority="66">
      <formula>OR(IF(BN41&lt;BO41,TRUE),IF(AND(BO41="",BN41&lt;&gt;""),TRUE))</formula>
    </cfRule>
    <cfRule type="expression" dxfId="72" priority="67">
      <formula>IF(BN41&gt;=BO41,IF(BN41="",FALSE,TRUE))</formula>
    </cfRule>
  </conditionalFormatting>
  <conditionalFormatting sqref="BS41:BS45">
    <cfRule type="expression" dxfId="71" priority="64">
      <formula>OR(IF(BS41&lt;BT41,TRUE),IF(AND(BT41="",BS41&lt;&gt;""),TRUE))</formula>
    </cfRule>
    <cfRule type="expression" dxfId="70" priority="65">
      <formula>IF(BS41&gt;=BT41,IF(BS41="",FALSE,TRUE))</formula>
    </cfRule>
  </conditionalFormatting>
  <conditionalFormatting sqref="BU41:BU45">
    <cfRule type="expression" dxfId="69" priority="62">
      <formula>OR(IF(BU41&lt;BV41,TRUE),IF(AND(BV41="",BU41&lt;&gt;""),TRUE))</formula>
    </cfRule>
    <cfRule type="expression" dxfId="68" priority="63">
      <formula>IF(BU41&gt;=BV41,IF(BU41="",FALSE,TRUE))</formula>
    </cfRule>
  </conditionalFormatting>
  <conditionalFormatting sqref="BZ41:BZ45">
    <cfRule type="expression" dxfId="67" priority="60">
      <formula>OR(IF(BZ41&lt;CA41,TRUE),IF(AND(CA41="",BZ41&lt;&gt;""),TRUE))</formula>
    </cfRule>
    <cfRule type="expression" dxfId="66" priority="61">
      <formula>IF(BZ41&gt;=CA41,IF(BZ41="",FALSE,TRUE))</formula>
    </cfRule>
  </conditionalFormatting>
  <conditionalFormatting sqref="CB41:CB45">
    <cfRule type="expression" dxfId="65" priority="58">
      <formula>OR(IF(CB41&lt;CC41,TRUE),IF(AND(CC41="",CB41&lt;&gt;""),TRUE))</formula>
    </cfRule>
    <cfRule type="expression" dxfId="64" priority="59">
      <formula>IF(CB41&gt;=CC41,IF(CB41="",FALSE,TRUE))</formula>
    </cfRule>
  </conditionalFormatting>
  <conditionalFormatting sqref="CG41:CG45">
    <cfRule type="expression" dxfId="63" priority="56">
      <formula>OR(IF(CG41&lt;CH41,TRUE),IF(AND(CH41="",CG41&lt;&gt;""),TRUE))</formula>
    </cfRule>
    <cfRule type="expression" dxfId="62" priority="57">
      <formula>IF(CG41&gt;=CH41,IF(CG41="",FALSE,TRUE))</formula>
    </cfRule>
  </conditionalFormatting>
  <conditionalFormatting sqref="CI41:CI45">
    <cfRule type="expression" dxfId="61" priority="54">
      <formula>OR(IF(CI41&lt;CJ41,TRUE),IF(AND(CJ41="",CI41&lt;&gt;""),TRUE))</formula>
    </cfRule>
    <cfRule type="expression" dxfId="60" priority="55">
      <formula>IF(CI41&gt;=CJ41,IF(CI41="",FALSE,TRUE))</formula>
    </cfRule>
  </conditionalFormatting>
  <conditionalFormatting sqref="O48">
    <cfRule type="expression" dxfId="59" priority="1">
      <formula>OR(IF(O48&lt;P48,TRUE),IF(AND(P48="",O48&lt;&gt;""),TRUE))</formula>
    </cfRule>
    <cfRule type="expression" dxfId="58" priority="2">
      <formula>IF(O48&gt;=P48,IF(O48="",FALSE,TRUE))</formula>
    </cfRule>
  </conditionalFormatting>
  <conditionalFormatting sqref="J46:K48">
    <cfRule type="colorScale" priority="49">
      <colorScale>
        <cfvo type="percent" val="0"/>
        <cfvo type="percent" val="100"/>
        <color rgb="FFFF231B"/>
        <color rgb="FF10FF07"/>
      </colorScale>
    </cfRule>
  </conditionalFormatting>
  <conditionalFormatting sqref="O46">
    <cfRule type="expression" dxfId="57" priority="47">
      <formula>OR(IF(O46&lt;P46,TRUE),IF(AND(P46="",O46&lt;&gt;""),TRUE))</formula>
    </cfRule>
    <cfRule type="expression" dxfId="56" priority="48">
      <formula>IF(O46&gt;=P46,IF(O46="",FALSE,TRUE))</formula>
    </cfRule>
  </conditionalFormatting>
  <conditionalFormatting sqref="Q46:Q48">
    <cfRule type="expression" dxfId="55" priority="45">
      <formula>OR(IF(Q46&lt;R46,TRUE),IF(AND(R46="",Q46&lt;&gt;""),TRUE))</formula>
    </cfRule>
    <cfRule type="expression" dxfId="54" priority="46">
      <formula>IF(Q46&gt;=R46,IF(Q46="",FALSE,TRUE))</formula>
    </cfRule>
  </conditionalFormatting>
  <conditionalFormatting sqref="AQ46:AQ48">
    <cfRule type="expression" dxfId="53" priority="31">
      <formula>OR(IF(AQ46&lt;AR46,TRUE),IF(AND(AR46="",AQ46&lt;&gt;""),TRUE))</formula>
    </cfRule>
    <cfRule type="expression" dxfId="52" priority="32">
      <formula>IF(AQ46&gt;=AR46,IF(AQ46="",FALSE,TRUE))</formula>
    </cfRule>
  </conditionalFormatting>
  <conditionalFormatting sqref="AS46:AS48">
    <cfRule type="expression" dxfId="51" priority="29">
      <formula>OR(IF(AS46&lt;AT46,TRUE),IF(AND(AT46="",AS46&lt;&gt;""),TRUE))</formula>
    </cfRule>
    <cfRule type="expression" dxfId="50" priority="30">
      <formula>IF(AS46&gt;=AT46,IF(AS46="",FALSE,TRUE))</formula>
    </cfRule>
  </conditionalFormatting>
  <conditionalFormatting sqref="BE46:BE48">
    <cfRule type="expression" dxfId="49" priority="23">
      <formula>OR(IF(BE46&lt;BF46,TRUE),IF(AND(BF46="",BE46&lt;&gt;""),TRUE))</formula>
    </cfRule>
    <cfRule type="expression" dxfId="48" priority="24">
      <formula>IF(BE46&gt;=BF46,IF(BE46="",FALSE,TRUE))</formula>
    </cfRule>
  </conditionalFormatting>
  <conditionalFormatting sqref="BG46:BG48">
    <cfRule type="expression" dxfId="47" priority="21">
      <formula>OR(IF(BG46&lt;BH46,TRUE),IF(AND(BH46="",BG46&lt;&gt;""),TRUE))</formula>
    </cfRule>
    <cfRule type="expression" dxfId="46" priority="22">
      <formula>IF(BG46&gt;=BH46,IF(BG46="",FALSE,TRUE))</formula>
    </cfRule>
  </conditionalFormatting>
  <conditionalFormatting sqref="V46:V48">
    <cfRule type="expression" dxfId="45" priority="43">
      <formula>OR(IF(V46&lt;W46,TRUE),IF(AND(W46="",V46&lt;&gt;""),TRUE))</formula>
    </cfRule>
    <cfRule type="expression" dxfId="44" priority="44">
      <formula>IF(V46&gt;=W46,IF(V46="",FALSE,TRUE))</formula>
    </cfRule>
  </conditionalFormatting>
  <conditionalFormatting sqref="X46:X48">
    <cfRule type="expression" dxfId="43" priority="41">
      <formula>OR(IF(X46&lt;Y46,TRUE),IF(AND(Y46="",X46&lt;&gt;""),TRUE))</formula>
    </cfRule>
    <cfRule type="expression" dxfId="42" priority="42">
      <formula>IF(X46&gt;=Y46,IF(X46="",FALSE,TRUE))</formula>
    </cfRule>
  </conditionalFormatting>
  <conditionalFormatting sqref="AC46:AC48">
    <cfRule type="expression" dxfId="41" priority="39">
      <formula>OR(IF(AC46&lt;AD46,TRUE),IF(AND(AD46="",AC46&lt;&gt;""),TRUE))</formula>
    </cfRule>
    <cfRule type="expression" dxfId="40" priority="40">
      <formula>IF(AC46&gt;=AD46,IF(AC46="",FALSE,TRUE))</formula>
    </cfRule>
  </conditionalFormatting>
  <conditionalFormatting sqref="AE46:AE48">
    <cfRule type="expression" dxfId="39" priority="37">
      <formula>OR(IF(AE46&lt;AF46,TRUE),IF(AND(AF46="",AE46&lt;&gt;""),TRUE))</formula>
    </cfRule>
    <cfRule type="expression" dxfId="38" priority="38">
      <formula>IF(AE46&gt;=AF46,IF(AE46="",FALSE,TRUE))</formula>
    </cfRule>
  </conditionalFormatting>
  <conditionalFormatting sqref="AJ46:AJ48">
    <cfRule type="expression" dxfId="37" priority="35">
      <formula>OR(IF(AJ46&lt;AK46,TRUE),IF(AND(AK46="",AJ46&lt;&gt;""),TRUE))</formula>
    </cfRule>
    <cfRule type="expression" dxfId="36" priority="36">
      <formula>IF(AJ46&gt;=AK46,IF(AJ46="",FALSE,TRUE))</formula>
    </cfRule>
  </conditionalFormatting>
  <conditionalFormatting sqref="AL46:AL48">
    <cfRule type="expression" dxfId="35" priority="33">
      <formula>OR(IF(AL46&lt;AM46,TRUE),IF(AND(AM46="",AL46&lt;&gt;""),TRUE))</formula>
    </cfRule>
    <cfRule type="expression" dxfId="34" priority="34">
      <formula>IF(AL46&gt;=AM46,IF(AL46="",FALSE,TRUE))</formula>
    </cfRule>
  </conditionalFormatting>
  <conditionalFormatting sqref="AX46:AX48">
    <cfRule type="expression" dxfId="33" priority="27">
      <formula>OR(IF(AX46&lt;AY46,TRUE),IF(AND(AY46="",AX46&lt;&gt;""),TRUE))</formula>
    </cfRule>
    <cfRule type="expression" dxfId="32" priority="28">
      <formula>IF(AX46&gt;=AY46,IF(AX46="",FALSE,TRUE))</formula>
    </cfRule>
  </conditionalFormatting>
  <conditionalFormatting sqref="AZ46:AZ48">
    <cfRule type="expression" dxfId="31" priority="25">
      <formula>OR(IF(AZ46&lt;BA46,TRUE),IF(AND(BA46="",AZ46&lt;&gt;""),TRUE))</formula>
    </cfRule>
    <cfRule type="expression" dxfId="30" priority="26">
      <formula>IF(AZ46&gt;=BA46,IF(AZ46="",FALSE,TRUE))</formula>
    </cfRule>
  </conditionalFormatting>
  <conditionalFormatting sqref="O47">
    <cfRule type="expression" dxfId="29" priority="3">
      <formula>OR(IF(O47&lt;P47,TRUE),IF(AND(P47="",O47&lt;&gt;""),TRUE))</formula>
    </cfRule>
    <cfRule type="expression" dxfId="28" priority="4">
      <formula>IF(O47&gt;=P47,IF(O47="",FALSE,TRUE))</formula>
    </cfRule>
  </conditionalFormatting>
  <conditionalFormatting sqref="BL46:BL48">
    <cfRule type="expression" dxfId="27" priority="19">
      <formula>OR(IF(BL46&lt;BM46,TRUE),IF(AND(BM46="",BL46&lt;&gt;""),TRUE))</formula>
    </cfRule>
    <cfRule type="expression" dxfId="26" priority="20">
      <formula>IF(BL46&gt;=BM46,IF(BL46="",FALSE,TRUE))</formula>
    </cfRule>
  </conditionalFormatting>
  <conditionalFormatting sqref="BN46:BN48">
    <cfRule type="expression" dxfId="25" priority="17">
      <formula>OR(IF(BN46&lt;BO46,TRUE),IF(AND(BO46="",BN46&lt;&gt;""),TRUE))</formula>
    </cfRule>
    <cfRule type="expression" dxfId="24" priority="18">
      <formula>IF(BN46&gt;=BO46,IF(BN46="",FALSE,TRUE))</formula>
    </cfRule>
  </conditionalFormatting>
  <conditionalFormatting sqref="BS46:BS48">
    <cfRule type="expression" dxfId="23" priority="15">
      <formula>OR(IF(BS46&lt;BT46,TRUE),IF(AND(BT46="",BS46&lt;&gt;""),TRUE))</formula>
    </cfRule>
    <cfRule type="expression" dxfId="22" priority="16">
      <formula>IF(BS46&gt;=BT46,IF(BS46="",FALSE,TRUE))</formula>
    </cfRule>
  </conditionalFormatting>
  <conditionalFormatting sqref="BU46:BU48">
    <cfRule type="expression" dxfId="21" priority="13">
      <formula>OR(IF(BU46&lt;BV46,TRUE),IF(AND(BV46="",BU46&lt;&gt;""),TRUE))</formula>
    </cfRule>
    <cfRule type="expression" dxfId="20" priority="14">
      <formula>IF(BU46&gt;=BV46,IF(BU46="",FALSE,TRUE))</formula>
    </cfRule>
  </conditionalFormatting>
  <conditionalFormatting sqref="BZ46:BZ48">
    <cfRule type="expression" dxfId="19" priority="11">
      <formula>OR(IF(BZ46&lt;CA46,TRUE),IF(AND(CA46="",BZ46&lt;&gt;""),TRUE))</formula>
    </cfRule>
    <cfRule type="expression" dxfId="18" priority="12">
      <formula>IF(BZ46&gt;=CA46,IF(BZ46="",FALSE,TRUE))</formula>
    </cfRule>
  </conditionalFormatting>
  <conditionalFormatting sqref="CB46:CB48">
    <cfRule type="expression" dxfId="17" priority="9">
      <formula>OR(IF(CB46&lt;CC46,TRUE),IF(AND(CC46="",CB46&lt;&gt;""),TRUE))</formula>
    </cfRule>
    <cfRule type="expression" dxfId="16" priority="10">
      <formula>IF(CB46&gt;=CC46,IF(CB46="",FALSE,TRUE))</formula>
    </cfRule>
  </conditionalFormatting>
  <conditionalFormatting sqref="CG46:CG48">
    <cfRule type="expression" dxfId="15" priority="7">
      <formula>OR(IF(CG46&lt;CH46,TRUE),IF(AND(CH46="",CG46&lt;&gt;""),TRUE))</formula>
    </cfRule>
    <cfRule type="expression" dxfId="14" priority="8">
      <formula>IF(CG46&gt;=CH46,IF(CG46="",FALSE,TRUE))</formula>
    </cfRule>
  </conditionalFormatting>
  <conditionalFormatting sqref="CI46:CI48">
    <cfRule type="expression" dxfId="13" priority="5">
      <formula>OR(IF(CI46&lt;CJ46,TRUE),IF(AND(CJ46="",CI46&lt;&gt;""),TRUE))</formula>
    </cfRule>
    <cfRule type="expression" dxfId="12" priority="6">
      <formula>IF(CI46&gt;=CJ46,IF(CI46="",FALSE,TRUE))</formula>
    </cfRule>
  </conditionalFormatting>
  <dataValidations count="1">
    <dataValidation type="list" allowBlank="1" showInputMessage="1" showErrorMessage="1" sqref="AC6:AF18 AJ6:AM18 AQ6:AT18 AX6:BA18 BE6:BH18 BL6:BO18 R61 BG60:BG61 AQ54:AT58 AX54:BA58 BZ54:CC58 AX61 AC54:AF58 BO61 BT7:BT18 BV61 BU6:BV18 CA7:CA18 CC61 CJ61 BZ6:BZ18 CI6:CJ18 CG6:CG18 CI54:CJ58 BE61 CG54:CG58 BS54:BV58 BL54:BO58 CH55:CH58 CB6:CC18 BS6:BS18 CH7:CH18 O54:R58 O6:R18 V6:Y18 BT21:BT25 CA21:CA24 BZ20:BZ24 CG20:CG24 BS20:BS24 CH21:CH24 CI20:CJ24 CB20:CC24 BU20:BV24 V54:Y58 AJ54:AM58 AC63:AF67 AJ63:AM67 AQ63:AT67 AX63:BA67 BE63:BH67 BL63:BO67 BT64:BT67 BU63:BV67 CA64:CA67 BZ63:BZ67 CI63:CJ67 CG63:CG67 CB63:CC67 BS63:BS67 CH64:CH67 O63:R67 V63:Y67 V4:Y4 BE54:BH58 AC4:AF4 AJ4:AM4 AQ4:AT4 AX4:BA4 BE4:BH4 BL4:BO4 CG4:CJ4 BZ4:CC4 BS4:BV4 O4:R4 CG49:CJ52 BS49:BV52 BS26:BV39 BZ26:CC39 CG26:CJ39 V20:Y39 BL20:BO39 O20:R39 BE20:BH39 AX20:BA39 AQ20:AT39 AJ20:AM39 AC20:AF39 CH41:CH45 BT41:BT45 BU41:BV48 CI41:CJ48 CG41:CG48 BS41:BS48 AC41:AF52 V41:Y52 BL41:BO52 O41:R52 BE41:BH52 AX41:BA52 AQ41:AT52 AJ41:AM52 BT47:BT48 BZ41:CC52 CH47:CH48" xr:uid="{DF46768B-76BD-4AD1-BDD9-05E5E50A35C8}">
      <formula1>"10%,20%,30%,40%,50%,60%,70%,80%,90%,100%"</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C74A-41FF-564E-9985-F60E7FCAF3B0}">
  <dimension ref="A1:K49"/>
  <sheetViews>
    <sheetView topLeftCell="A54" workbookViewId="0">
      <selection activeCell="A50" sqref="A50"/>
    </sheetView>
  </sheetViews>
  <sheetFormatPr baseColWidth="10" defaultRowHeight="15.75"/>
  <cols>
    <col min="1" max="1" width="16.875" style="10" customWidth="1"/>
    <col min="2" max="2" width="19.125" style="10" customWidth="1"/>
    <col min="3" max="3" width="18.125" style="10" customWidth="1"/>
    <col min="4" max="4" width="19.5" style="10" customWidth="1"/>
    <col min="8" max="8" width="15.125" customWidth="1"/>
    <col min="10" max="10" width="42" customWidth="1"/>
    <col min="11" max="11" width="28.5" customWidth="1"/>
  </cols>
  <sheetData>
    <row r="1" spans="1:11" ht="31.5">
      <c r="A1" s="10" t="s">
        <v>60</v>
      </c>
      <c r="B1" s="16" t="s">
        <v>57</v>
      </c>
      <c r="C1" s="16" t="s">
        <v>58</v>
      </c>
      <c r="D1" s="16" t="s">
        <v>59</v>
      </c>
      <c r="E1" s="1" t="s">
        <v>61</v>
      </c>
      <c r="F1" s="1" t="s">
        <v>62</v>
      </c>
      <c r="G1" s="1" t="s">
        <v>63</v>
      </c>
      <c r="H1" s="1" t="s">
        <v>64</v>
      </c>
      <c r="I1" s="1" t="s">
        <v>65</v>
      </c>
      <c r="J1" s="1" t="s">
        <v>66</v>
      </c>
      <c r="K1" s="1" t="s">
        <v>67</v>
      </c>
    </row>
    <row r="2" spans="1:11" hidden="1">
      <c r="A2" s="15">
        <v>44118</v>
      </c>
      <c r="D2" s="17">
        <v>1</v>
      </c>
    </row>
    <row r="3" spans="1:11" hidden="1">
      <c r="A3" s="15">
        <v>44119</v>
      </c>
    </row>
    <row r="4" spans="1:11" hidden="1">
      <c r="A4" s="15">
        <v>44120</v>
      </c>
    </row>
    <row r="5" spans="1:11" hidden="1">
      <c r="A5" s="15">
        <v>44121</v>
      </c>
    </row>
    <row r="6" spans="1:11" hidden="1">
      <c r="A6" s="15">
        <v>44122</v>
      </c>
    </row>
    <row r="7" spans="1:11" hidden="1">
      <c r="A7" s="15">
        <v>44123</v>
      </c>
    </row>
    <row r="8" spans="1:11" hidden="1">
      <c r="A8" s="15">
        <v>44124</v>
      </c>
    </row>
    <row r="9" spans="1:11" hidden="1">
      <c r="A9" s="15">
        <v>44125</v>
      </c>
    </row>
    <row r="10" spans="1:11" hidden="1">
      <c r="A10" s="15">
        <v>44126</v>
      </c>
    </row>
    <row r="11" spans="1:11" hidden="1">
      <c r="A11" s="15">
        <v>44127</v>
      </c>
    </row>
    <row r="12" spans="1:11" hidden="1">
      <c r="A12" s="15">
        <v>44128</v>
      </c>
    </row>
    <row r="13" spans="1:11" hidden="1">
      <c r="A13" s="15">
        <v>44129</v>
      </c>
    </row>
    <row r="14" spans="1:11" hidden="1">
      <c r="A14" s="15">
        <v>44130</v>
      </c>
    </row>
    <row r="15" spans="1:11" hidden="1">
      <c r="A15" s="15">
        <v>44131</v>
      </c>
    </row>
    <row r="16" spans="1:11" hidden="1">
      <c r="A16" s="15">
        <v>44132</v>
      </c>
    </row>
    <row r="17" spans="1:1" hidden="1">
      <c r="A17" s="15">
        <v>44133</v>
      </c>
    </row>
    <row r="18" spans="1:1" hidden="1">
      <c r="A18" s="15">
        <v>44134</v>
      </c>
    </row>
    <row r="19" spans="1:1" hidden="1">
      <c r="A19" s="15">
        <v>44135</v>
      </c>
    </row>
    <row r="20" spans="1:1" hidden="1">
      <c r="A20" s="15">
        <v>44136</v>
      </c>
    </row>
    <row r="21" spans="1:1" hidden="1">
      <c r="A21" s="15">
        <v>44137</v>
      </c>
    </row>
    <row r="22" spans="1:1" hidden="1">
      <c r="A22" s="15">
        <v>44138</v>
      </c>
    </row>
    <row r="23" spans="1:1" hidden="1">
      <c r="A23" s="15">
        <v>44139</v>
      </c>
    </row>
    <row r="24" spans="1:1" hidden="1">
      <c r="A24" s="15">
        <v>44140</v>
      </c>
    </row>
    <row r="25" spans="1:1" hidden="1">
      <c r="A25" s="15">
        <v>44141</v>
      </c>
    </row>
    <row r="26" spans="1:1" hidden="1">
      <c r="A26" s="15">
        <v>44142</v>
      </c>
    </row>
    <row r="27" spans="1:1" hidden="1">
      <c r="A27" s="15">
        <v>44143</v>
      </c>
    </row>
    <row r="28" spans="1:1" hidden="1">
      <c r="A28" s="15">
        <v>44144</v>
      </c>
    </row>
    <row r="29" spans="1:1" hidden="1">
      <c r="A29" s="15">
        <v>44145</v>
      </c>
    </row>
    <row r="30" spans="1:1" hidden="1">
      <c r="A30" s="15">
        <v>44146</v>
      </c>
    </row>
    <row r="31" spans="1:1" hidden="1">
      <c r="A31" s="15">
        <v>44147</v>
      </c>
    </row>
    <row r="32" spans="1:1" hidden="1">
      <c r="A32" s="15">
        <v>44148</v>
      </c>
    </row>
    <row r="33" spans="1:1" hidden="1">
      <c r="A33" s="15">
        <v>44149</v>
      </c>
    </row>
    <row r="34" spans="1:1" hidden="1">
      <c r="A34" s="15">
        <v>44150</v>
      </c>
    </row>
    <row r="35" spans="1:1" hidden="1">
      <c r="A35" s="15">
        <v>44151</v>
      </c>
    </row>
    <row r="36" spans="1:1" hidden="1">
      <c r="A36" s="15">
        <v>44152</v>
      </c>
    </row>
    <row r="37" spans="1:1" hidden="1">
      <c r="A37" s="15">
        <v>44153</v>
      </c>
    </row>
    <row r="38" spans="1:1" hidden="1">
      <c r="A38" s="15">
        <v>44154</v>
      </c>
    </row>
    <row r="39" spans="1:1" hidden="1">
      <c r="A39" s="15">
        <v>44155</v>
      </c>
    </row>
    <row r="40" spans="1:1" hidden="1">
      <c r="A40" s="15">
        <v>44156</v>
      </c>
    </row>
    <row r="41" spans="1:1" hidden="1">
      <c r="A41" s="15">
        <v>44157</v>
      </c>
    </row>
    <row r="42" spans="1:1" hidden="1">
      <c r="A42" s="15">
        <v>44158</v>
      </c>
    </row>
    <row r="43" spans="1:1" hidden="1">
      <c r="A43" s="15">
        <v>44159</v>
      </c>
    </row>
    <row r="44" spans="1:1" hidden="1">
      <c r="A44" s="15">
        <v>44160</v>
      </c>
    </row>
    <row r="45" spans="1:1" hidden="1">
      <c r="A45" s="15">
        <v>44161</v>
      </c>
    </row>
    <row r="46" spans="1:1" hidden="1">
      <c r="A46" s="15">
        <v>44162</v>
      </c>
    </row>
    <row r="47" spans="1:1" hidden="1">
      <c r="A47" s="18"/>
    </row>
    <row r="48" spans="1:1">
      <c r="A48" s="18">
        <v>44362</v>
      </c>
    </row>
    <row r="49" spans="1:1">
      <c r="A49" s="18">
        <v>44363</v>
      </c>
    </row>
  </sheetData>
  <conditionalFormatting sqref="B2:B49">
    <cfRule type="cellIs" dxfId="11" priority="14" operator="equal">
      <formula>"Ja"</formula>
    </cfRule>
    <cfRule type="cellIs" dxfId="10" priority="15" operator="equal">
      <formula>"Nein"</formula>
    </cfRule>
  </conditionalFormatting>
  <conditionalFormatting sqref="D2">
    <cfRule type="cellIs" dxfId="9" priority="6" operator="equal">
      <formula>1</formula>
    </cfRule>
    <cfRule type="cellIs" dxfId="8" priority="7" operator="equal">
      <formula>0.8</formula>
    </cfRule>
    <cfRule type="cellIs" dxfId="7" priority="8" operator="equal">
      <formula>0.6</formula>
    </cfRule>
    <cfRule type="cellIs" dxfId="6" priority="9" operator="equal">
      <formula>0.4</formula>
    </cfRule>
    <cfRule type="cellIs" dxfId="5" priority="10" operator="equal">
      <formula>0.2</formula>
    </cfRule>
    <cfRule type="cellIs" dxfId="4" priority="11" operator="equal">
      <formula>0</formula>
    </cfRule>
  </conditionalFormatting>
  <conditionalFormatting sqref="B2:B49">
    <cfRule type="cellIs" dxfId="3" priority="4" operator="equal">
      <formula>"Ja"</formula>
    </cfRule>
  </conditionalFormatting>
  <conditionalFormatting sqref="C2:C49">
    <cfRule type="cellIs" dxfId="2" priority="2" operator="equal">
      <formula>"Ja"</formula>
    </cfRule>
    <cfRule type="cellIs" dxfId="1" priority="3" operator="equal">
      <formula>"Nein"</formula>
    </cfRule>
  </conditionalFormatting>
  <conditionalFormatting sqref="C2:C49">
    <cfRule type="cellIs" dxfId="0" priority="1" operator="equal">
      <formula>"Ja"</formula>
    </cfRule>
  </conditionalFormatting>
  <dataValidations count="2">
    <dataValidation type="list" allowBlank="1" showInputMessage="1" showErrorMessage="1" sqref="B2:C49" xr:uid="{7FDD2772-70A7-4C43-8D43-0112E4DB6845}">
      <formula1>"Ja,Nein"</formula1>
    </dataValidation>
    <dataValidation type="list" allowBlank="1" showInputMessage="1" showErrorMessage="1" sqref="D2" xr:uid="{B2E161F3-3A4E-9042-B62A-806000DA1055}">
      <formula1>"100%,80%,60%,40%,20%,0%"</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01029-CCBE-F340-8963-50C19548FA2B}">
  <dimension ref="A1:H53"/>
  <sheetViews>
    <sheetView tabSelected="1" zoomScale="117" workbookViewId="0">
      <selection activeCell="A42" sqref="A42"/>
    </sheetView>
  </sheetViews>
  <sheetFormatPr baseColWidth="10" defaultColWidth="10.625" defaultRowHeight="15.75"/>
  <sheetData>
    <row r="1" spans="1:8" ht="26.25">
      <c r="B1" s="8" t="s">
        <v>26</v>
      </c>
    </row>
    <row r="4" spans="1:8">
      <c r="B4" s="3" t="s">
        <v>5</v>
      </c>
      <c r="C4" s="3" t="s">
        <v>6</v>
      </c>
      <c r="D4" s="3" t="s">
        <v>7</v>
      </c>
      <c r="E4" s="3" t="s">
        <v>8</v>
      </c>
      <c r="F4" s="3" t="s">
        <v>11</v>
      </c>
      <c r="G4" s="3" t="s">
        <v>9</v>
      </c>
      <c r="H4" s="3" t="s">
        <v>10</v>
      </c>
    </row>
    <row r="5" spans="1:8">
      <c r="A5" s="9">
        <v>0.27083333333333331</v>
      </c>
      <c r="B5" t="s">
        <v>114</v>
      </c>
    </row>
    <row r="6" spans="1:8">
      <c r="A6" s="9">
        <v>0.28819444444444448</v>
      </c>
      <c r="B6" t="s">
        <v>69</v>
      </c>
    </row>
    <row r="7" spans="1:8">
      <c r="A7" s="9"/>
      <c r="B7" t="s">
        <v>69</v>
      </c>
    </row>
    <row r="8" spans="1:8">
      <c r="A8" s="9">
        <v>0.35416666666666702</v>
      </c>
      <c r="B8" t="s">
        <v>69</v>
      </c>
    </row>
    <row r="9" spans="1:8">
      <c r="A9" s="9">
        <v>0.36458333333333331</v>
      </c>
      <c r="B9" t="s">
        <v>115</v>
      </c>
    </row>
    <row r="10" spans="1:8">
      <c r="A10" s="9"/>
    </row>
    <row r="11" spans="1:8">
      <c r="A11" s="9">
        <v>0.375</v>
      </c>
      <c r="B11" t="s">
        <v>116</v>
      </c>
    </row>
    <row r="12" spans="1:8">
      <c r="A12" s="9">
        <v>0.375</v>
      </c>
      <c r="B12" t="s">
        <v>117</v>
      </c>
    </row>
    <row r="13" spans="1:8">
      <c r="A13" s="9">
        <v>0.4375</v>
      </c>
      <c r="B13" t="s">
        <v>118</v>
      </c>
    </row>
    <row r="14" spans="1:8">
      <c r="A14" s="9">
        <v>0.45833333333333398</v>
      </c>
      <c r="B14" t="s">
        <v>120</v>
      </c>
      <c r="C14" t="s">
        <v>121</v>
      </c>
    </row>
    <row r="15" spans="1:8">
      <c r="A15" s="9">
        <v>0.47916666666666702</v>
      </c>
    </row>
    <row r="16" spans="1:8">
      <c r="A16" s="9">
        <v>0.5</v>
      </c>
      <c r="B16" t="s">
        <v>119</v>
      </c>
    </row>
    <row r="17" spans="1:2">
      <c r="A17" s="9"/>
    </row>
    <row r="18" spans="1:2">
      <c r="A18" s="9"/>
      <c r="B18" t="s">
        <v>123</v>
      </c>
    </row>
    <row r="19" spans="1:2">
      <c r="A19" s="9"/>
    </row>
    <row r="20" spans="1:2">
      <c r="A20" s="9">
        <v>0.51041666666666663</v>
      </c>
      <c r="B20" t="s">
        <v>122</v>
      </c>
    </row>
    <row r="21" spans="1:2">
      <c r="A21" s="9">
        <v>0.54166666666666696</v>
      </c>
      <c r="B21" t="s">
        <v>102</v>
      </c>
    </row>
    <row r="22" spans="1:2">
      <c r="A22" s="9">
        <v>0.5625</v>
      </c>
      <c r="B22" t="s">
        <v>124</v>
      </c>
    </row>
    <row r="23" spans="1:2">
      <c r="A23" s="9">
        <v>0.58333333333333404</v>
      </c>
      <c r="B23" t="s">
        <v>125</v>
      </c>
    </row>
    <row r="24" spans="1:2">
      <c r="A24" s="9">
        <v>0.60416666666666696</v>
      </c>
    </row>
    <row r="25" spans="1:2">
      <c r="A25" s="9">
        <v>0.625000000000001</v>
      </c>
    </row>
    <row r="26" spans="1:2">
      <c r="A26" s="9">
        <v>0.63888888888888895</v>
      </c>
      <c r="B26" t="s">
        <v>126</v>
      </c>
    </row>
    <row r="27" spans="1:2">
      <c r="A27" s="9"/>
    </row>
    <row r="28" spans="1:2">
      <c r="A28" s="9"/>
      <c r="B28" t="s">
        <v>128</v>
      </c>
    </row>
    <row r="29" spans="1:2">
      <c r="A29" s="9"/>
    </row>
    <row r="30" spans="1:2">
      <c r="A30" s="9">
        <v>0.65972222222222221</v>
      </c>
      <c r="B30" t="s">
        <v>129</v>
      </c>
    </row>
    <row r="31" spans="1:2">
      <c r="A31" s="9">
        <v>0.687500000000001</v>
      </c>
      <c r="B31" t="s">
        <v>117</v>
      </c>
    </row>
    <row r="32" spans="1:2">
      <c r="A32" s="9">
        <v>0.70833333333333404</v>
      </c>
    </row>
    <row r="33" spans="1:2">
      <c r="A33" s="9">
        <v>0.72916666666666696</v>
      </c>
    </row>
    <row r="34" spans="1:2">
      <c r="A34" s="9">
        <v>0.78125</v>
      </c>
      <c r="B34" t="s">
        <v>127</v>
      </c>
    </row>
    <row r="35" spans="1:2">
      <c r="A35" s="9"/>
    </row>
    <row r="36" spans="1:2">
      <c r="A36" s="9"/>
      <c r="B36" t="s">
        <v>135</v>
      </c>
    </row>
    <row r="37" spans="1:2">
      <c r="A37" s="9"/>
    </row>
    <row r="38" spans="1:2">
      <c r="A38" s="9">
        <v>0.80208333333333337</v>
      </c>
      <c r="B38" t="s">
        <v>130</v>
      </c>
    </row>
    <row r="39" spans="1:2">
      <c r="A39" s="9">
        <v>0.8125</v>
      </c>
      <c r="B39" t="s">
        <v>130</v>
      </c>
    </row>
    <row r="40" spans="1:2">
      <c r="A40" s="9">
        <v>0.812500000000001</v>
      </c>
      <c r="B40" t="s">
        <v>102</v>
      </c>
    </row>
    <row r="41" spans="1:2">
      <c r="A41" s="9">
        <v>0.83333333333333404</v>
      </c>
    </row>
    <row r="42" spans="1:2">
      <c r="A42" s="9">
        <v>0.85416666666666696</v>
      </c>
      <c r="B42" t="s">
        <v>136</v>
      </c>
    </row>
    <row r="43" spans="1:2">
      <c r="A43" s="9">
        <v>0.875000000000001</v>
      </c>
    </row>
    <row r="44" spans="1:2">
      <c r="A44" s="9">
        <v>0.89583333333333404</v>
      </c>
    </row>
    <row r="45" spans="1:2">
      <c r="A45" s="9">
        <v>0.9375</v>
      </c>
      <c r="B45" t="s">
        <v>131</v>
      </c>
    </row>
    <row r="46" spans="1:2">
      <c r="A46" s="9"/>
    </row>
    <row r="47" spans="1:2">
      <c r="A47" s="9">
        <v>0.9375</v>
      </c>
      <c r="B47" t="s">
        <v>123</v>
      </c>
    </row>
    <row r="48" spans="1:2">
      <c r="A48" s="9"/>
    </row>
    <row r="49" spans="1:4">
      <c r="A49" s="9">
        <v>0.94791666666666663</v>
      </c>
      <c r="B49" t="s">
        <v>70</v>
      </c>
      <c r="D49" t="s">
        <v>137</v>
      </c>
    </row>
    <row r="50" spans="1:4">
      <c r="A50" s="9"/>
      <c r="B50" t="s">
        <v>117</v>
      </c>
      <c r="D50" t="s">
        <v>138</v>
      </c>
    </row>
    <row r="51" spans="1:4">
      <c r="B51" t="s">
        <v>132</v>
      </c>
    </row>
    <row r="52" spans="1:4">
      <c r="A52" s="19">
        <v>0.98263888888888884</v>
      </c>
      <c r="B52" t="s">
        <v>133</v>
      </c>
    </row>
    <row r="53" spans="1:4">
      <c r="A53" s="19">
        <v>0.98958333333333337</v>
      </c>
      <c r="B53" t="s">
        <v>134</v>
      </c>
    </row>
  </sheetData>
  <pageMargins left="0.7" right="0.7" top="0.75" bottom="0.75" header="0.3" footer="0.3"/>
  <pageSetup paperSize="9" orientation="portrait" horizontalDpi="4294967293" verticalDpi="4294967293"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6C276-AAA2-A74B-8FD8-936D641BB4F1}">
  <dimension ref="A1:H47"/>
  <sheetViews>
    <sheetView zoomScale="117" workbookViewId="0">
      <selection activeCell="A4" sqref="A4:XFD48"/>
    </sheetView>
  </sheetViews>
  <sheetFormatPr baseColWidth="10" defaultColWidth="10.625" defaultRowHeight="15.75"/>
  <sheetData>
    <row r="1" spans="1:8" ht="26.25">
      <c r="B1" s="8" t="s">
        <v>26</v>
      </c>
    </row>
    <row r="4" spans="1:8">
      <c r="B4" s="3" t="s">
        <v>5</v>
      </c>
      <c r="C4" s="3" t="s">
        <v>6</v>
      </c>
      <c r="D4" s="3" t="s">
        <v>7</v>
      </c>
      <c r="E4" s="3" t="s">
        <v>8</v>
      </c>
      <c r="F4" s="3" t="s">
        <v>11</v>
      </c>
      <c r="G4" s="3" t="s">
        <v>9</v>
      </c>
      <c r="H4" s="3" t="s">
        <v>10</v>
      </c>
    </row>
    <row r="5" spans="1:8">
      <c r="A5" s="9">
        <v>0.16666666666666666</v>
      </c>
    </row>
    <row r="6" spans="1:8">
      <c r="A6" s="9">
        <v>0.1875</v>
      </c>
    </row>
    <row r="7" spans="1:8">
      <c r="A7" s="9">
        <v>0.20833333333333301</v>
      </c>
    </row>
    <row r="8" spans="1:8">
      <c r="A8" s="9">
        <v>0.22916666666666699</v>
      </c>
    </row>
    <row r="9" spans="1:8">
      <c r="A9" s="9">
        <v>0.25</v>
      </c>
    </row>
    <row r="10" spans="1:8">
      <c r="A10" s="9">
        <v>0.27083333333333398</v>
      </c>
    </row>
    <row r="11" spans="1:8">
      <c r="A11" s="9">
        <v>0.29166666666666702</v>
      </c>
    </row>
    <row r="12" spans="1:8">
      <c r="A12" s="9">
        <v>0.3125</v>
      </c>
    </row>
    <row r="13" spans="1:8">
      <c r="A13" s="9">
        <v>0.33333333333333398</v>
      </c>
    </row>
    <row r="14" spans="1:8">
      <c r="A14" s="9">
        <v>0.35416666666666702</v>
      </c>
    </row>
    <row r="15" spans="1:8">
      <c r="A15" s="9">
        <v>0.375</v>
      </c>
    </row>
    <row r="16" spans="1:8">
      <c r="A16" s="9">
        <v>0.39583333333333398</v>
      </c>
    </row>
    <row r="17" spans="1:1">
      <c r="A17" s="9">
        <v>0.41666666666666702</v>
      </c>
    </row>
    <row r="18" spans="1:1">
      <c r="A18" s="9">
        <v>0.4375</v>
      </c>
    </row>
    <row r="19" spans="1:1">
      <c r="A19" s="9">
        <v>0.45833333333333398</v>
      </c>
    </row>
    <row r="20" spans="1:1">
      <c r="A20" s="9">
        <v>0.47916666666666702</v>
      </c>
    </row>
    <row r="21" spans="1:1">
      <c r="A21" s="9">
        <v>0.5</v>
      </c>
    </row>
    <row r="22" spans="1:1">
      <c r="A22" s="9">
        <v>0.52083333333333404</v>
      </c>
    </row>
    <row r="23" spans="1:1">
      <c r="A23" s="9">
        <v>0.54166666666666696</v>
      </c>
    </row>
    <row r="24" spans="1:1">
      <c r="A24" s="9">
        <v>0.5625</v>
      </c>
    </row>
    <row r="25" spans="1:1">
      <c r="A25" s="9">
        <v>0.58333333333333404</v>
      </c>
    </row>
    <row r="26" spans="1:1">
      <c r="A26" s="9">
        <v>0.60416666666666696</v>
      </c>
    </row>
    <row r="27" spans="1:1">
      <c r="A27" s="9">
        <v>0.625000000000001</v>
      </c>
    </row>
    <row r="28" spans="1:1">
      <c r="A28" s="9">
        <v>0.64583333333333404</v>
      </c>
    </row>
    <row r="29" spans="1:1">
      <c r="A29" s="9">
        <v>0.66666666666666696</v>
      </c>
    </row>
    <row r="30" spans="1:1">
      <c r="A30" s="9">
        <v>0.687500000000001</v>
      </c>
    </row>
    <row r="31" spans="1:1">
      <c r="A31" s="9">
        <v>0.70833333333333404</v>
      </c>
    </row>
    <row r="32" spans="1:1">
      <c r="A32" s="9">
        <v>0.72916666666666696</v>
      </c>
    </row>
    <row r="33" spans="1:1">
      <c r="A33" s="9">
        <v>0.750000000000001</v>
      </c>
    </row>
    <row r="34" spans="1:1">
      <c r="A34" s="9">
        <v>0.77083333333333404</v>
      </c>
    </row>
    <row r="35" spans="1:1">
      <c r="A35" s="9">
        <v>0.79166666666666696</v>
      </c>
    </row>
    <row r="36" spans="1:1">
      <c r="A36" s="9">
        <v>0.812500000000001</v>
      </c>
    </row>
    <row r="37" spans="1:1">
      <c r="A37" s="9">
        <v>0.83333333333333404</v>
      </c>
    </row>
    <row r="38" spans="1:1">
      <c r="A38" s="9">
        <v>0.85416666666666696</v>
      </c>
    </row>
    <row r="39" spans="1:1">
      <c r="A39" s="9">
        <v>0.875000000000001</v>
      </c>
    </row>
    <row r="40" spans="1:1">
      <c r="A40" s="9">
        <v>0.89583333333333404</v>
      </c>
    </row>
    <row r="41" spans="1:1">
      <c r="A41" s="9">
        <v>0.91666666666666696</v>
      </c>
    </row>
    <row r="42" spans="1:1">
      <c r="A42" s="9">
        <v>0.937500000000001</v>
      </c>
    </row>
    <row r="43" spans="1:1">
      <c r="A43" s="9">
        <v>0.95833333333333404</v>
      </c>
    </row>
    <row r="44" spans="1:1">
      <c r="A44" s="9">
        <v>0.97916666666666696</v>
      </c>
    </row>
    <row r="45" spans="1:1">
      <c r="A45" s="9">
        <v>1</v>
      </c>
    </row>
    <row r="46" spans="1:1">
      <c r="A46" s="9">
        <v>1.0208333333333299</v>
      </c>
    </row>
    <row r="47" spans="1:1">
      <c r="A47" s="9">
        <v>1.0416666666666701</v>
      </c>
    </row>
  </sheetData>
  <pageMargins left="0.7" right="0.7" top="0.75" bottom="0.75" header="0.3" footer="0.3"/>
  <pageSetup paperSize="9"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5</vt:i4>
      </vt:variant>
    </vt:vector>
  </HeadingPairs>
  <TitlesOfParts>
    <vt:vector size="5" baseType="lpstr">
      <vt:lpstr>Anleitung</vt:lpstr>
      <vt:lpstr>Semesterplan</vt:lpstr>
      <vt:lpstr>COMMITTMENT</vt:lpstr>
      <vt:lpstr>Wochenplan KW 19</vt:lpstr>
      <vt:lpstr>Wochenplan KW 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Office-Benutzer</dc:creator>
  <cp:lastModifiedBy>Sercan</cp:lastModifiedBy>
  <dcterms:created xsi:type="dcterms:W3CDTF">2020-04-19T13:33:28Z</dcterms:created>
  <dcterms:modified xsi:type="dcterms:W3CDTF">2021-06-18T18:36:17Z</dcterms:modified>
</cp:coreProperties>
</file>