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vmela\OneDrive\Dokumente\Studium\Elite-Coaching\Excel\"/>
    </mc:Choice>
  </mc:AlternateContent>
  <xr:revisionPtr revIDLastSave="0" documentId="13_ncr:1_{5B4711E3-318B-46CD-B42D-31E6E279D77D}" xr6:coauthVersionLast="47" xr6:coauthVersionMax="47" xr10:uidLastSave="{00000000-0000-0000-0000-000000000000}"/>
  <bookViews>
    <workbookView xWindow="-110" yWindow="-110" windowWidth="19420" windowHeight="10420" activeTab="1" xr2:uid="{50F29292-BE80-0C47-A0D2-DD086CB3D310}"/>
  </bookViews>
  <sheets>
    <sheet name="Anleitung" sheetId="2" r:id="rId1"/>
    <sheet name="Semesterplan" sheetId="7" r:id="rId2"/>
    <sheet name="COMMITTMENT" sheetId="9" r:id="rId3"/>
    <sheet name="Wochenplan Vorlage"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Z37" i="7" l="1"/>
  <c r="BS37" i="7"/>
  <c r="BL37" i="7"/>
  <c r="I20" i="7" l="1"/>
  <c r="J20" i="7"/>
  <c r="K20" i="7"/>
  <c r="I21" i="7"/>
  <c r="J21" i="7"/>
  <c r="K21" i="7"/>
  <c r="G4" i="7"/>
  <c r="CN4" i="7"/>
  <c r="CG4" i="7"/>
  <c r="K15" i="7"/>
  <c r="J15" i="7"/>
  <c r="I15" i="7"/>
  <c r="K14" i="7"/>
  <c r="J14" i="7"/>
  <c r="I14" i="7"/>
  <c r="K13" i="7"/>
  <c r="J13" i="7"/>
  <c r="I13" i="7"/>
  <c r="K12" i="7"/>
  <c r="J12" i="7"/>
  <c r="I12" i="7"/>
  <c r="K11" i="7"/>
  <c r="J11" i="7"/>
  <c r="I11" i="7"/>
  <c r="K10" i="7"/>
  <c r="J10" i="7"/>
  <c r="I10" i="7"/>
  <c r="K9" i="7"/>
  <c r="J9" i="7"/>
  <c r="I9" i="7"/>
  <c r="K8" i="7"/>
  <c r="J8" i="7"/>
  <c r="I8" i="7"/>
  <c r="K7" i="7"/>
  <c r="J7" i="7"/>
  <c r="I7" i="7"/>
  <c r="K6" i="7"/>
  <c r="J6" i="7"/>
  <c r="I6" i="7"/>
  <c r="K5" i="7"/>
  <c r="J5" i="7"/>
  <c r="I5" i="7"/>
  <c r="DI55" i="7"/>
  <c r="DB55" i="7"/>
  <c r="DI37" i="7"/>
  <c r="DB37" i="7"/>
  <c r="CU55" i="7"/>
  <c r="CU37" i="7"/>
  <c r="CN55" i="7"/>
  <c r="CN37" i="7"/>
  <c r="CG55" i="7"/>
  <c r="CG37" i="7"/>
  <c r="BZ55" i="7"/>
  <c r="BS55" i="7"/>
  <c r="BL55" i="7"/>
  <c r="BD55" i="7"/>
  <c r="AW55" i="7"/>
  <c r="AP55" i="7"/>
  <c r="AI55" i="7"/>
  <c r="AB55" i="7"/>
  <c r="U55" i="7"/>
  <c r="N55" i="7"/>
  <c r="N37" i="7"/>
  <c r="K69" i="7"/>
  <c r="J69" i="7"/>
  <c r="K68" i="7"/>
  <c r="J68" i="7"/>
  <c r="I68" i="7"/>
  <c r="K67" i="7"/>
  <c r="J67" i="7"/>
  <c r="K66" i="7"/>
  <c r="J66" i="7"/>
  <c r="I66" i="7"/>
  <c r="K65" i="7"/>
  <c r="J65" i="7"/>
  <c r="I65" i="7"/>
  <c r="K64" i="7"/>
  <c r="J64" i="7"/>
  <c r="I64" i="7"/>
  <c r="K63" i="7"/>
  <c r="J63" i="7"/>
  <c r="I63" i="7"/>
  <c r="K62" i="7"/>
  <c r="J62" i="7"/>
  <c r="I62" i="7"/>
  <c r="K61" i="7"/>
  <c r="J61" i="7"/>
  <c r="I61" i="7"/>
  <c r="K60" i="7"/>
  <c r="J60" i="7"/>
  <c r="I60" i="7"/>
  <c r="K59" i="7"/>
  <c r="J59" i="7"/>
  <c r="I59" i="7"/>
  <c r="K58" i="7"/>
  <c r="J58" i="7"/>
  <c r="I58" i="7"/>
  <c r="K57" i="7"/>
  <c r="J57" i="7"/>
  <c r="I57" i="7"/>
  <c r="K56" i="7"/>
  <c r="J56" i="7"/>
  <c r="I56" i="7"/>
  <c r="DI19" i="7"/>
  <c r="DB19" i="7"/>
  <c r="CU19" i="7"/>
  <c r="CN19" i="7"/>
  <c r="CG19" i="7"/>
  <c r="DI4" i="7"/>
  <c r="DB4" i="7"/>
  <c r="CU4" i="7"/>
  <c r="K32" i="7"/>
  <c r="J32" i="7"/>
  <c r="K31" i="7"/>
  <c r="J31" i="7"/>
  <c r="I31" i="7"/>
  <c r="K30" i="7"/>
  <c r="J30" i="7"/>
  <c r="I30" i="7"/>
  <c r="K29" i="7"/>
  <c r="J29" i="7"/>
  <c r="I29" i="7"/>
  <c r="K28" i="7"/>
  <c r="J28" i="7"/>
  <c r="I28" i="7"/>
  <c r="K27" i="7"/>
  <c r="J27" i="7"/>
  <c r="I27" i="7"/>
  <c r="K26" i="7"/>
  <c r="J26" i="7"/>
  <c r="I26" i="7"/>
  <c r="K25" i="7"/>
  <c r="J25" i="7"/>
  <c r="I25" i="7"/>
  <c r="K24" i="7"/>
  <c r="J24" i="7"/>
  <c r="I24" i="7"/>
  <c r="K23" i="7"/>
  <c r="J23" i="7"/>
  <c r="I23" i="7"/>
  <c r="K22" i="7"/>
  <c r="J22" i="7"/>
  <c r="I22" i="7"/>
  <c r="BZ19" i="7"/>
  <c r="BS19" i="7"/>
  <c r="BL19" i="7"/>
  <c r="BD19" i="7"/>
  <c r="AW19" i="7"/>
  <c r="N19" i="7"/>
  <c r="BD37" i="7"/>
  <c r="J49" i="7"/>
  <c r="K49" i="7"/>
  <c r="K48" i="7"/>
  <c r="AW37" i="7"/>
  <c r="K51" i="7"/>
  <c r="J51" i="7"/>
  <c r="K50" i="7"/>
  <c r="J50" i="7"/>
  <c r="I50" i="7"/>
  <c r="J48" i="7"/>
  <c r="I48" i="7"/>
  <c r="K47" i="7"/>
  <c r="J47" i="7"/>
  <c r="I47" i="7"/>
  <c r="K46" i="7"/>
  <c r="J46" i="7"/>
  <c r="I46" i="7"/>
  <c r="K45" i="7"/>
  <c r="J45" i="7"/>
  <c r="I45" i="7"/>
  <c r="K44" i="7"/>
  <c r="J44" i="7"/>
  <c r="I44" i="7"/>
  <c r="K43" i="7"/>
  <c r="J43" i="7"/>
  <c r="I43" i="7"/>
  <c r="K42" i="7"/>
  <c r="J42" i="7"/>
  <c r="I42" i="7"/>
  <c r="K41" i="7"/>
  <c r="J41" i="7"/>
  <c r="I41" i="7"/>
  <c r="K40" i="7"/>
  <c r="J40" i="7"/>
  <c r="I40" i="7"/>
  <c r="K39" i="7"/>
  <c r="J39" i="7"/>
  <c r="I39" i="7"/>
  <c r="K38" i="7"/>
  <c r="J38" i="7"/>
  <c r="I38" i="7"/>
  <c r="AP37" i="7"/>
  <c r="AI37" i="7"/>
  <c r="AB37" i="7"/>
  <c r="U37" i="7"/>
  <c r="BZ4" i="7"/>
  <c r="K33" i="7"/>
  <c r="J33" i="7"/>
  <c r="G55" i="7"/>
  <c r="G37" i="7"/>
  <c r="G19" i="7"/>
  <c r="K4" i="7" l="1"/>
  <c r="J4" i="7"/>
  <c r="J55" i="7"/>
  <c r="K55" i="7"/>
  <c r="K19" i="7"/>
  <c r="J19" i="7"/>
  <c r="J37" i="7"/>
  <c r="K37" i="7"/>
  <c r="I37" i="7"/>
  <c r="I37" i="7" a="1"/>
  <c r="I19" i="7"/>
  <c r="I19" i="7" a="1"/>
  <c r="I4" i="7"/>
  <c r="I4" i="7" a="1"/>
  <c r="I55" i="7"/>
  <c r="I55" i="7"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<sst xmlns="http://schemas.openxmlformats.org/spreadsheetml/2006/main" count="268" uniqueCount="123">
  <si>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</si>
  <si>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</si>
  <si>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</si>
  <si>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</si>
  <si>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</si>
  <si>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</si>
  <si>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</si>
  <si>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</si>
  <si>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</si>
  <si>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</si>
  <si>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</si>
  <si>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</si>
  <si>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</si>
  <si>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</si>
  <si>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</si>
  <si>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</si>
  <si>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</si>
  <si>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</si>
  <si>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</si>
  <si>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</si>
  <si>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</si>
  <si>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</si>
  <si>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</si>
  <si>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</si>
  <si>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</si>
  <si>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</si>
  <si>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</si>
  <si>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</si>
  <si>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</si>
  <si>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</si>
  <si>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</si>
  <si>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</si>
  <si>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</si>
  <si>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</si>
  <si>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</si>
  <si>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</si>
  <si>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</si>
  <si>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</si>
  <si>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</si>
  <si>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</si>
  <si>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</si>
  <si>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</si>
  <si>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</si>
  <si>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</si>
  <si>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</si>
  <si>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</si>
  <si>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</si>
  <si>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</si>
  <si>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</si>
  <si>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 xml:space="preserve"> </t>
  </si>
  <si>
    <t>Probeklausur</t>
  </si>
  <si>
    <t xml:space="preserve">Thema </t>
  </si>
  <si>
    <t>Ja</t>
  </si>
  <si>
    <t>.</t>
  </si>
  <si>
    <t xml:space="preserve">60 h insgesamt </t>
  </si>
  <si>
    <t xml:space="preserve">54 h insgesamt </t>
  </si>
  <si>
    <t>Mikro B</t>
  </si>
  <si>
    <t xml:space="preserve">Kapitel 1: Einführung </t>
  </si>
  <si>
    <t>Finanzwirtschaft</t>
  </si>
  <si>
    <t>Grundlagen der Fiwi</t>
  </si>
  <si>
    <t xml:space="preserve">Opportunitätskosten,Rechtsformen &amp; 
Unternehmensziele </t>
  </si>
  <si>
    <t>Einführung in die Investitionsrechnung 
NPV-Methode</t>
  </si>
  <si>
    <t>Internal Rate of Return &amp; Amortisationszeit</t>
  </si>
  <si>
    <t xml:space="preserve">NPV-Methode: Erweiterungen </t>
  </si>
  <si>
    <t>Eigenkapital/Aktien</t>
  </si>
  <si>
    <t xml:space="preserve">Fremdkapital/Anleihen </t>
  </si>
  <si>
    <t xml:space="preserve">Einführung Rendite &amp; Risiko </t>
  </si>
  <si>
    <t xml:space="preserve">Portfoliotheorie </t>
  </si>
  <si>
    <t xml:space="preserve">Capital Asset Pricing Model </t>
  </si>
  <si>
    <t xml:space="preserve">Kapitalstruktur / Other Topics Finance </t>
  </si>
  <si>
    <t>11.12-23.12?</t>
  </si>
  <si>
    <t>KW 37</t>
  </si>
  <si>
    <t>KW 38</t>
  </si>
  <si>
    <t>KW 39</t>
  </si>
  <si>
    <t>KW 40</t>
  </si>
  <si>
    <t>KW 41</t>
  </si>
  <si>
    <t>KW 42</t>
  </si>
  <si>
    <t>KW 43</t>
  </si>
  <si>
    <t>KW 44</t>
  </si>
  <si>
    <t>KW 45</t>
  </si>
  <si>
    <t>KW 46</t>
  </si>
  <si>
    <t>KW 47</t>
  </si>
  <si>
    <t>KW 48</t>
  </si>
  <si>
    <t>KW 49</t>
  </si>
  <si>
    <t>KW 50</t>
  </si>
  <si>
    <t>KW 51</t>
  </si>
  <si>
    <t>1. Einleitung</t>
  </si>
  <si>
    <t xml:space="preserve">2. Demobilisierung im Zeichen sozialer Konflikte </t>
  </si>
  <si>
    <t>3. Die wirtschaftlichen Folgen des Versailler 
Vertrag</t>
  </si>
  <si>
    <t xml:space="preserve">4. Die Reperationspolitik der Alliierten </t>
  </si>
  <si>
    <t>5. Ursachen der Nachkriegs- und Hyperinflation
1919-1923</t>
  </si>
  <si>
    <t xml:space="preserve">6. Die realwirtschaftlichen und sozialen 
Folgen der Inflation </t>
  </si>
  <si>
    <t>7. Die Wiederherstellung der Goldwährung 
(1923/24)</t>
  </si>
  <si>
    <t>8. Die Konjunktur in den Jahren 1924-1929: 
"Krise vor der Krise"</t>
  </si>
  <si>
    <t xml:space="preserve">9. Kartelle und Unternehmenskonzentration </t>
  </si>
  <si>
    <t xml:space="preserve">10. Ursachen der Weltwirtschaftskrise </t>
  </si>
  <si>
    <t>11. Bankenkrise und Deflationspolitik</t>
  </si>
  <si>
    <t xml:space="preserve">12. Politische Radikalisierung und deren 
ökonomische Ursachen </t>
  </si>
  <si>
    <t>Powi</t>
  </si>
  <si>
    <t xml:space="preserve">1. Politik und Politikwissenschaft </t>
  </si>
  <si>
    <t xml:space="preserve">2. Politische Theorie &amp; der moderne Staat </t>
  </si>
  <si>
    <t xml:space="preserve">3. Was ist Wissenschaft? </t>
  </si>
  <si>
    <t xml:space="preserve">4. Methoden der Politikwissenschaft </t>
  </si>
  <si>
    <t xml:space="preserve">5. Politsche Kultur </t>
  </si>
  <si>
    <t xml:space="preserve">6. Wahlen und Parteien </t>
  </si>
  <si>
    <t xml:space="preserve">7. Demokratien und autoritäre Systeme </t>
  </si>
  <si>
    <t xml:space="preserve">8. Parlamemtarische und präsendentielle Systeme </t>
  </si>
  <si>
    <t xml:space="preserve">9. Recht und Gerichte </t>
  </si>
  <si>
    <t xml:space="preserve">10. Krieg und Frieden </t>
  </si>
  <si>
    <t xml:space="preserve">11. Internationale Kooperation &amp; Institutionen </t>
  </si>
  <si>
    <t xml:space="preserve">12. Regionale und Europäische Integration </t>
  </si>
  <si>
    <t xml:space="preserve">13. Abschlussbesprechung </t>
  </si>
  <si>
    <t>Wirtschaftsgeschichte der Weimarer Republik</t>
  </si>
  <si>
    <t xml:space="preserve">Kapitel 2: Externalitäten </t>
  </si>
  <si>
    <t xml:space="preserve">Kapitel 3: Öffentliche Güter </t>
  </si>
  <si>
    <t xml:space="preserve">Kapitel 4: Monopol </t>
  </si>
  <si>
    <t>Kapitel 5: Preisdiskriminierung und Produktbündelung</t>
  </si>
  <si>
    <t>Kapitel 6: Monopolistischer Wettbewerb und Oligopol</t>
  </si>
  <si>
    <t xml:space="preserve">Kapitel 7: Spieltheorie und Wettbewerbsstrategie </t>
  </si>
  <si>
    <t xml:space="preserve">Kapitel 8: Auktionen </t>
  </si>
  <si>
    <t>Kapitel 9: Adverse Selektion</t>
  </si>
  <si>
    <t xml:space="preserve">Kapitel 10: Moral Hazard </t>
  </si>
  <si>
    <t>Klausur 16.12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</si>
</sst>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theme="1"/>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0"/>
        <bgColor indexed="64"/>
      </patternFill>
    </fill>
    <fill>
      <patternFill patternType="solid">
        <fgColor rgb="FFC4FF87"/>
        <bgColor indexed="64"/>
      </patternFill>
    </fill>
    <fill>
      <patternFill patternType="solid">
        <fgColor rgb="FF00FF2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9" fontId="6" fillId="0" borderId="0" applyFont="0" applyFill="0" applyBorder="0" applyAlignment="0" applyProtection="0"/>
  </cellStyleXfs>
  <cellXfs count="5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0" borderId="1" xfId="0" applyBorder="1"/>
    <xf numFmtId="0" fontId="0" fillId="0" borderId="1" xfId="0" applyBorder="1" applyAlignment="1">
      <alignment horizontal="center"/>
    </xf>
    <xf numFmtId="0" fontId="0" fillId="0" borderId="1" xfId="0" applyBorder="1" applyAlignment="1">
      <alignment wrapText="1"/>
    </xf>
    <xf numFmtId="16" fontId="1" fillId="0" borderId="1" xfId="0" applyNumberFormat="1" applyFont="1" applyBorder="1" applyAlignment="1">
      <alignment horizontal="center"/>
    </xf>
    <xf numFmtId="0" fontId="0" fillId="0" borderId="3" xfId="0" applyBorder="1"/>
    <xf numFmtId="0" fontId="0" fillId="0" borderId="2" xfId="0" applyBorder="1"/>
    <xf numFmtId="0" fontId="0" fillId="0" borderId="2" xfId="0" applyBorder="1" applyAlignment="1">
      <alignment horizontal="center"/>
    </xf>
    <xf numFmtId="0" fontId="0" fillId="0" borderId="3" xfId="0" applyBorder="1" applyAlignment="1">
      <alignment horizontal="center"/>
    </xf>
    <xf numFmtId="0" fontId="0" fillId="0" borderId="3" xfId="0" applyBorder="1" applyAlignment="1">
      <alignment wrapText="1"/>
    </xf>
    <xf numFmtId="0" fontId="0" fillId="0" borderId="0" xfId="0" applyBorder="1"/>
    <xf numFmtId="0" fontId="0" fillId="0" borderId="0" xfId="0" applyBorder="1" applyAlignment="1">
      <alignment horizontal="center"/>
    </xf>
    <xf numFmtId="0" fontId="0" fillId="0" borderId="0" xfId="0" applyBorder="1" applyAlignment="1">
      <alignment wrapText="1"/>
    </xf>
    <xf numFmtId="0" fontId="1" fillId="0" borderId="1" xfId="0" applyFont="1" applyBorder="1" applyAlignment="1">
      <alignment wrapText="1"/>
    </xf>
    <xf numFmtId="0" fontId="1" fillId="0" borderId="1" xfId="0" applyFont="1" applyBorder="1"/>
    <xf numFmtId="0" fontId="1" fillId="0" borderId="1" xfId="0" applyFont="1" applyBorder="1" applyAlignment="1">
      <alignment horizontal="center"/>
    </xf>
    <xf numFmtId="16" fontId="1" fillId="0" borderId="0" xfId="0" applyNumberFormat="1" applyFont="1" applyBorder="1" applyAlignment="1">
      <alignment horizontal="center"/>
    </xf>
    <xf numFmtId="0" fontId="1" fillId="0" borderId="0" xfId="0" applyFont="1" applyBorder="1"/>
    <xf numFmtId="10" fontId="0" fillId="0" borderId="0" xfId="0" applyNumberFormat="1"/>
    <xf numFmtId="9" fontId="0" fillId="0" borderId="0" xfId="1" applyFont="1"/>
    <xf numFmtId="0" fontId="1" fillId="2" borderId="1" xfId="0" applyFont="1" applyFill="1" applyBorder="1"/>
    <xf numFmtId="1" fontId="0" fillId="0" borderId="1" xfId="0" applyNumberFormat="1" applyBorder="1" applyAlignment="1">
      <alignment horizontal="center"/>
    </xf>
    <xf numFmtId="9" fontId="0" fillId="0" borderId="1" xfId="0" applyNumberFormat="1" applyBorder="1"/>
    <xf numFmtId="0" fontId="1" fillId="2" borderId="1" xfId="0" applyFont="1" applyFill="1" applyBorder="1" applyAlignment="1">
      <alignment horizontal="center"/>
    </xf>
    <xf numFmtId="9" fontId="0" fillId="0" borderId="1" xfId="0" applyNumberFormat="1" applyBorder="1" applyAlignment="1">
      <alignment horizontal="center"/>
    </xf>
    <xf numFmtId="0" fontId="1" fillId="2" borderId="1" xfId="0" applyFont="1" applyFill="1" applyBorder="1" applyAlignment="1">
      <alignment horizontal="center"/>
    </xf>
    <xf numFmtId="0" fontId="0" fillId="4" borderId="1" xfId="0" applyFill="1" applyBorder="1"/>
    <xf numFmtId="164" fontId="0" fillId="0" borderId="1" xfId="0" applyNumberFormat="1" applyBorder="1"/>
    <xf numFmtId="0" fontId="0" fillId="5" borderId="0" xfId="0" applyFill="1"/>
    <xf numFmtId="9" fontId="0" fillId="0" borderId="0" xfId="0" applyNumberFormat="1" applyBorder="1"/>
    <xf numFmtId="0" fontId="1" fillId="2" borderId="1" xfId="0" applyFont="1" applyFill="1" applyBorder="1" applyAlignment="1">
      <alignment horizontal="center"/>
    </xf>
    <xf numFmtId="16" fontId="0" fillId="0" borderId="2" xfId="0" applyNumberFormat="1" applyBorder="1"/>
    <xf numFmtId="9" fontId="0" fillId="4" borderId="1" xfId="0" applyNumberFormat="1" applyFill="1" applyBorder="1"/>
    <xf numFmtId="0" fontId="0" fillId="4" borderId="0" xfId="0" applyFill="1"/>
    <xf numFmtId="0" fontId="0" fillId="0" borderId="1" xfId="0" applyFont="1" applyBorder="1"/>
    <xf numFmtId="9" fontId="0" fillId="0" borderId="0" xfId="0" applyNumberFormat="1" applyBorder="1" applyAlignment="1">
      <alignment horizontal="center"/>
    </xf>
    <xf numFmtId="0" fontId="0" fillId="6" borderId="0" xfId="0" applyFont="1" applyFill="1"/>
    <xf numFmtId="0" fontId="0" fillId="6" borderId="0" xfId="0" applyFont="1" applyFill="1" applyAlignment="1">
      <alignment horizontal="left"/>
    </xf>
    <xf numFmtId="0" fontId="1" fillId="2" borderId="1" xfId="0" applyFont="1" applyFill="1" applyBorder="1" applyAlignment="1">
      <alignment horizontal="center"/>
    </xf>
  </cellXfs>
  <cellStyles count="2">
    <cellStyle name="Prozent" xfId="1" builtinId="5"/>
    <cellStyle name="Standard" xfId="0" builtinId="0"/>
  </cellStyles>
  <dxfs count="10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C4FF87"/>
      <color rgb="FF10FF07"/>
      <color rgb="FF56FF5E"/>
      <color rgb="FFFFDE7F"/>
      <color rgb="FFFF755A"/>
      <color rgb="FFFDFF05"/>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66" totalsRowShown="0" headerRowDxfId="4">
  <autoFilter ref="A1:K6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B20" zoomScale="90" zoomScaleNormal="90" workbookViewId="0">
      <selection activeCell="B2" sqref="B2"/>
    </sheetView>
  </sheetViews>
  <sheetFormatPr baseColWidth="10" defaultColWidth="10.6640625" defaultRowHeight="15.5"/>
  <cols>
    <col min="2" max="2" width="161" customWidth="1"/>
    <col min="3" max="3" width="10.83203125" style="2"/>
  </cols>
  <sheetData>
    <row r="4" spans="2:2" ht="21">
      <c r="B4" s="4" t="s">
        <v>16</v>
      </c>
    </row>
    <row r="6" spans="2:2">
      <c r="B6" s="3" t="s">
        <v>13</v>
      </c>
    </row>
    <row r="7" spans="2:2" ht="46.5">
      <c r="B7" s="1" t="s">
        <v>14</v>
      </c>
    </row>
    <row r="9" spans="2:2">
      <c r="B9" s="3" t="s">
        <v>15</v>
      </c>
    </row>
    <row r="10" spans="2:2" ht="62">
      <c r="B10" s="1" t="s">
        <v>35</v>
      </c>
    </row>
    <row r="12" spans="2:2">
      <c r="B12" s="3" t="s">
        <v>17</v>
      </c>
    </row>
    <row r="13" spans="2:2" ht="124">
      <c r="B13" s="1" t="s">
        <v>18</v>
      </c>
    </row>
    <row r="15" spans="2:2">
      <c r="B15" s="3" t="s">
        <v>19</v>
      </c>
    </row>
    <row r="16" spans="2:2" ht="108.5">
      <c r="B16" s="1" t="s">
        <v>20</v>
      </c>
    </row>
    <row r="17" spans="2:2">
      <c r="B17" s="1"/>
    </row>
    <row r="18" spans="2:2">
      <c r="B18" s="3" t="s">
        <v>34</v>
      </c>
    </row>
    <row r="19" spans="2:2" ht="139.5">
      <c r="B19" s="1" t="s">
        <v>36</v>
      </c>
    </row>
    <row r="21" spans="2:2">
      <c r="B21" s="3" t="s">
        <v>21</v>
      </c>
    </row>
    <row r="22" spans="2:2" ht="124">
      <c r="B22" s="1" t="s">
        <v>37</v>
      </c>
    </row>
    <row r="24" spans="2:2">
      <c r="B24" s="3" t="s">
        <v>22</v>
      </c>
    </row>
    <row r="25" spans="2:2" ht="124">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DN75"/>
  <sheetViews>
    <sheetView showGridLines="0" tabSelected="1" topLeftCell="A41" zoomScale="50" zoomScaleNormal="50" workbookViewId="0">
      <pane xSplit="7" topLeftCell="CN1" activePane="topRight" state="frozen"/>
      <selection activeCell="A36" sqref="A36"/>
      <selection pane="topRight" activeCell="C37" sqref="C37"/>
    </sheetView>
  </sheetViews>
  <sheetFormatPr baseColWidth="10" defaultColWidth="8.83203125" defaultRowHeight="15.5" outlineLevelRow="1"/>
  <cols>
    <col min="2" max="2" width="11" customWidth="1"/>
    <col min="3" max="3" width="9.5" bestFit="1" customWidth="1"/>
    <col min="4" max="4" width="16" customWidth="1"/>
    <col min="5" max="5" width="4.83203125" customWidth="1"/>
    <col min="6" max="6" width="46.4140625"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3" max="63" width="2.1640625" customWidth="1"/>
    <col min="65" max="65" width="13" customWidth="1"/>
    <col min="66" max="66" width="6.83203125" customWidth="1"/>
    <col min="67" max="67" width="14.83203125" customWidth="1"/>
    <col min="68" max="68" width="6.6640625" customWidth="1"/>
    <col min="69" max="69" width="12.5" customWidth="1"/>
    <col min="72" max="72" width="13.83203125" customWidth="1"/>
    <col min="74" max="74" width="15.33203125" customWidth="1"/>
    <col min="76" max="76" width="13.83203125" customWidth="1"/>
    <col min="79" max="79" width="12" customWidth="1"/>
    <col min="80" max="80" width="6.6640625" customWidth="1"/>
    <col min="81" max="81" width="15.1640625" customWidth="1"/>
    <col min="82" max="82" width="6.1640625" customWidth="1"/>
    <col min="83" max="83" width="13.33203125" customWidth="1"/>
    <col min="85" max="85" width="10.1640625" customWidth="1"/>
    <col min="86" max="86" width="13" customWidth="1"/>
    <col min="87" max="87" width="9.6640625" customWidth="1"/>
    <col min="88" max="88" width="15.6640625" customWidth="1"/>
    <col min="90" max="90" width="13" customWidth="1"/>
    <col min="92" max="92" width="9.6640625" customWidth="1"/>
    <col min="93" max="93" width="12.33203125" customWidth="1"/>
    <col min="95" max="95" width="14.5" customWidth="1"/>
    <col min="97" max="97" width="13" customWidth="1"/>
    <col min="99" max="99" width="9.1640625" customWidth="1"/>
    <col min="100" max="100" width="12.5" customWidth="1"/>
    <col min="102" max="102" width="15" customWidth="1"/>
    <col min="104" max="104" width="12.33203125" customWidth="1"/>
    <col min="106" max="106" width="10.5" customWidth="1"/>
    <col min="107" max="107" width="12.5" customWidth="1"/>
    <col min="109" max="109" width="14.33203125" customWidth="1"/>
    <col min="111" max="111" width="12.6640625" customWidth="1"/>
    <col min="113" max="113" width="9.33203125" customWidth="1"/>
    <col min="114" max="114" width="12.33203125" customWidth="1"/>
    <col min="116" max="116" width="14.1640625" customWidth="1"/>
    <col min="118" max="118" width="12.33203125" customWidth="1"/>
  </cols>
  <sheetData>
    <row r="1" spans="1:118" ht="33.5">
      <c r="B1" s="5" t="s">
        <v>0</v>
      </c>
      <c r="D1" s="5"/>
      <c r="G1" s="12" t="s">
        <v>33</v>
      </c>
      <c r="I1" s="12" t="s">
        <v>33</v>
      </c>
      <c r="J1" s="12" t="s">
        <v>33</v>
      </c>
      <c r="K1" s="12" t="s">
        <v>33</v>
      </c>
      <c r="AD1" s="43" t="s">
        <v>54</v>
      </c>
      <c r="AE1" s="43"/>
      <c r="AK1" s="43" t="s">
        <v>54</v>
      </c>
      <c r="AL1" s="43"/>
      <c r="AR1" s="43" t="s">
        <v>55</v>
      </c>
      <c r="AS1" s="43"/>
      <c r="AY1" s="48"/>
      <c r="AZ1" s="48"/>
      <c r="BF1" s="48"/>
      <c r="BG1" s="48"/>
      <c r="BU1" s="48"/>
      <c r="BV1" s="48"/>
      <c r="DD1" s="52" t="s">
        <v>122</v>
      </c>
      <c r="DE1" s="51"/>
    </row>
    <row r="2" spans="1:118">
      <c r="I2" s="53" t="s">
        <v>27</v>
      </c>
      <c r="J2" s="53"/>
      <c r="K2" s="53"/>
      <c r="L2" s="53"/>
      <c r="N2" s="53" t="s">
        <v>71</v>
      </c>
      <c r="O2" s="53"/>
      <c r="P2" s="53"/>
      <c r="Q2" s="53"/>
      <c r="R2" s="53"/>
      <c r="S2" s="53"/>
      <c r="U2" s="53" t="s">
        <v>72</v>
      </c>
      <c r="V2" s="53"/>
      <c r="W2" s="53"/>
      <c r="X2" s="53"/>
      <c r="Y2" s="53"/>
      <c r="Z2" s="53"/>
      <c r="AB2" s="53" t="s">
        <v>73</v>
      </c>
      <c r="AC2" s="53"/>
      <c r="AD2" s="53"/>
      <c r="AE2" s="53"/>
      <c r="AF2" s="53"/>
      <c r="AG2" s="53"/>
      <c r="AI2" s="53" t="s">
        <v>74</v>
      </c>
      <c r="AJ2" s="53"/>
      <c r="AK2" s="53"/>
      <c r="AL2" s="53"/>
      <c r="AM2" s="53"/>
      <c r="AN2" s="53"/>
      <c r="AP2" s="53" t="s">
        <v>75</v>
      </c>
      <c r="AQ2" s="53"/>
      <c r="AR2" s="53"/>
      <c r="AS2" s="53"/>
      <c r="AT2" s="53"/>
      <c r="AU2" s="53"/>
      <c r="AW2" s="53" t="s">
        <v>76</v>
      </c>
      <c r="AX2" s="53"/>
      <c r="AY2" s="53"/>
      <c r="AZ2" s="53"/>
      <c r="BA2" s="53"/>
      <c r="BB2" s="53"/>
      <c r="BD2" s="53" t="s">
        <v>77</v>
      </c>
      <c r="BE2" s="53"/>
      <c r="BF2" s="53"/>
      <c r="BG2" s="53"/>
      <c r="BH2" s="53"/>
      <c r="BI2" s="53"/>
      <c r="BL2" s="53" t="s">
        <v>78</v>
      </c>
      <c r="BM2" s="53"/>
      <c r="BN2" s="53"/>
      <c r="BO2" s="53"/>
      <c r="BP2" s="53"/>
      <c r="BQ2" s="53"/>
      <c r="BS2" s="53" t="s">
        <v>79</v>
      </c>
      <c r="BT2" s="53"/>
      <c r="BU2" s="53"/>
      <c r="BV2" s="53"/>
      <c r="BW2" s="53"/>
      <c r="BX2" s="53"/>
      <c r="BZ2" s="53" t="s">
        <v>80</v>
      </c>
      <c r="CA2" s="53"/>
      <c r="CB2" s="53"/>
      <c r="CC2" s="53"/>
      <c r="CD2" s="53"/>
      <c r="CE2" s="53"/>
      <c r="CG2" s="53" t="s">
        <v>81</v>
      </c>
      <c r="CH2" s="53"/>
      <c r="CI2" s="53"/>
      <c r="CJ2" s="53"/>
      <c r="CK2" s="53"/>
      <c r="CL2" s="53"/>
      <c r="CN2" s="53" t="s">
        <v>82</v>
      </c>
      <c r="CO2" s="53"/>
      <c r="CP2" s="53"/>
      <c r="CQ2" s="53"/>
      <c r="CR2" s="53"/>
      <c r="CS2" s="53"/>
      <c r="CU2" s="53" t="s">
        <v>83</v>
      </c>
      <c r="CV2" s="53"/>
      <c r="CW2" s="53"/>
      <c r="CX2" s="53"/>
      <c r="CY2" s="53"/>
      <c r="CZ2" s="53"/>
      <c r="DB2" s="53" t="s">
        <v>84</v>
      </c>
      <c r="DC2" s="53"/>
      <c r="DD2" s="53"/>
      <c r="DE2" s="53"/>
      <c r="DF2" s="53"/>
      <c r="DG2" s="53"/>
      <c r="DI2" s="53" t="s">
        <v>85</v>
      </c>
      <c r="DJ2" s="53"/>
      <c r="DK2" s="53"/>
      <c r="DL2" s="53"/>
      <c r="DM2" s="53"/>
      <c r="DN2" s="53"/>
    </row>
    <row r="3" spans="1:118">
      <c r="B3" s="35" t="s">
        <v>26</v>
      </c>
      <c r="C3" s="35" t="s">
        <v>1</v>
      </c>
      <c r="D3" s="35" t="s">
        <v>24</v>
      </c>
      <c r="E3" s="40" t="s">
        <v>30</v>
      </c>
      <c r="F3" s="35" t="s">
        <v>29</v>
      </c>
      <c r="G3" s="6" t="s">
        <v>31</v>
      </c>
      <c r="I3" s="38" t="s">
        <v>11</v>
      </c>
      <c r="J3" s="38" t="s">
        <v>2</v>
      </c>
      <c r="K3" s="38" t="s">
        <v>3</v>
      </c>
      <c r="L3" s="38" t="s">
        <v>12</v>
      </c>
      <c r="N3" s="35" t="s">
        <v>11</v>
      </c>
      <c r="O3" s="35" t="s">
        <v>2</v>
      </c>
      <c r="P3" s="35" t="s">
        <v>32</v>
      </c>
      <c r="Q3" s="35" t="s">
        <v>3</v>
      </c>
      <c r="R3" s="35" t="s">
        <v>32</v>
      </c>
      <c r="S3" s="35" t="s">
        <v>12</v>
      </c>
      <c r="U3" s="35" t="s">
        <v>11</v>
      </c>
      <c r="V3" s="35" t="s">
        <v>2</v>
      </c>
      <c r="W3" s="35" t="s">
        <v>32</v>
      </c>
      <c r="X3" s="35" t="s">
        <v>3</v>
      </c>
      <c r="Y3" s="35" t="s">
        <v>32</v>
      </c>
      <c r="Z3" s="35" t="s">
        <v>12</v>
      </c>
      <c r="AB3" s="35" t="s">
        <v>11</v>
      </c>
      <c r="AC3" s="35" t="s">
        <v>2</v>
      </c>
      <c r="AD3" s="35" t="s">
        <v>32</v>
      </c>
      <c r="AE3" s="35" t="s">
        <v>3</v>
      </c>
      <c r="AF3" s="35" t="s">
        <v>32</v>
      </c>
      <c r="AG3" s="35" t="s">
        <v>12</v>
      </c>
      <c r="AI3" s="35" t="s">
        <v>11</v>
      </c>
      <c r="AJ3" s="35" t="s">
        <v>2</v>
      </c>
      <c r="AK3" s="35" t="s">
        <v>32</v>
      </c>
      <c r="AL3" s="35" t="s">
        <v>3</v>
      </c>
      <c r="AM3" s="35" t="s">
        <v>32</v>
      </c>
      <c r="AN3" s="35" t="s">
        <v>12</v>
      </c>
      <c r="AP3" s="35" t="s">
        <v>11</v>
      </c>
      <c r="AQ3" s="35" t="s">
        <v>2</v>
      </c>
      <c r="AR3" s="35" t="s">
        <v>32</v>
      </c>
      <c r="AS3" s="35" t="s">
        <v>3</v>
      </c>
      <c r="AT3" s="35" t="s">
        <v>32</v>
      </c>
      <c r="AU3" s="35" t="s">
        <v>12</v>
      </c>
      <c r="AW3" s="35" t="s">
        <v>11</v>
      </c>
      <c r="AX3" s="35" t="s">
        <v>2</v>
      </c>
      <c r="AY3" s="35" t="s">
        <v>32</v>
      </c>
      <c r="AZ3" s="35" t="s">
        <v>3</v>
      </c>
      <c r="BA3" s="35" t="s">
        <v>32</v>
      </c>
      <c r="BB3" s="35" t="s">
        <v>12</v>
      </c>
      <c r="BD3" s="35" t="s">
        <v>11</v>
      </c>
      <c r="BE3" s="35" t="s">
        <v>2</v>
      </c>
      <c r="BF3" s="35" t="s">
        <v>32</v>
      </c>
      <c r="BG3" s="35" t="s">
        <v>3</v>
      </c>
      <c r="BH3" s="35" t="s">
        <v>32</v>
      </c>
      <c r="BI3" s="35" t="s">
        <v>12</v>
      </c>
      <c r="BL3" s="35" t="s">
        <v>11</v>
      </c>
      <c r="BM3" s="35" t="s">
        <v>2</v>
      </c>
      <c r="BN3" s="35" t="s">
        <v>32</v>
      </c>
      <c r="BO3" s="35" t="s">
        <v>3</v>
      </c>
      <c r="BP3" s="35" t="s">
        <v>32</v>
      </c>
      <c r="BQ3" s="35" t="s">
        <v>12</v>
      </c>
      <c r="BS3" s="35" t="s">
        <v>11</v>
      </c>
      <c r="BT3" s="35" t="s">
        <v>2</v>
      </c>
      <c r="BU3" s="35" t="s">
        <v>32</v>
      </c>
      <c r="BV3" s="35" t="s">
        <v>3</v>
      </c>
      <c r="BW3" s="35" t="s">
        <v>32</v>
      </c>
      <c r="BX3" s="35" t="s">
        <v>12</v>
      </c>
      <c r="BZ3" s="45" t="s">
        <v>11</v>
      </c>
      <c r="CA3" s="45" t="s">
        <v>2</v>
      </c>
      <c r="CB3" s="45" t="s">
        <v>32</v>
      </c>
      <c r="CC3" s="45" t="s">
        <v>3</v>
      </c>
      <c r="CD3" s="45" t="s">
        <v>32</v>
      </c>
      <c r="CE3" s="45" t="s">
        <v>12</v>
      </c>
      <c r="CG3" s="45" t="s">
        <v>11</v>
      </c>
      <c r="CH3" s="45" t="s">
        <v>2</v>
      </c>
      <c r="CI3" s="45" t="s">
        <v>32</v>
      </c>
      <c r="CJ3" s="45" t="s">
        <v>3</v>
      </c>
      <c r="CK3" s="45" t="s">
        <v>32</v>
      </c>
      <c r="CL3" s="45" t="s">
        <v>12</v>
      </c>
      <c r="CN3" s="45" t="s">
        <v>11</v>
      </c>
      <c r="CO3" s="45" t="s">
        <v>2</v>
      </c>
      <c r="CP3" s="45" t="s">
        <v>32</v>
      </c>
      <c r="CQ3" s="45" t="s">
        <v>3</v>
      </c>
      <c r="CR3" s="45" t="s">
        <v>32</v>
      </c>
      <c r="CS3" s="45" t="s">
        <v>12</v>
      </c>
      <c r="CU3" s="45" t="s">
        <v>11</v>
      </c>
      <c r="CV3" s="45" t="s">
        <v>2</v>
      </c>
      <c r="CW3" s="45" t="s">
        <v>32</v>
      </c>
      <c r="CX3" s="45" t="s">
        <v>3</v>
      </c>
      <c r="CY3" s="45" t="s">
        <v>32</v>
      </c>
      <c r="CZ3" s="45" t="s">
        <v>12</v>
      </c>
      <c r="DB3" s="45" t="s">
        <v>11</v>
      </c>
      <c r="DC3" s="45" t="s">
        <v>2</v>
      </c>
      <c r="DD3" s="45" t="s">
        <v>32</v>
      </c>
      <c r="DE3" s="45" t="s">
        <v>3</v>
      </c>
      <c r="DF3" s="45" t="s">
        <v>32</v>
      </c>
      <c r="DG3" s="45" t="s">
        <v>12</v>
      </c>
      <c r="DI3" s="45" t="s">
        <v>11</v>
      </c>
      <c r="DJ3" s="45" t="s">
        <v>2</v>
      </c>
      <c r="DK3" s="45" t="s">
        <v>32</v>
      </c>
      <c r="DL3" s="45" t="s">
        <v>3</v>
      </c>
      <c r="DM3" s="45" t="s">
        <v>32</v>
      </c>
      <c r="DN3" s="45" t="s">
        <v>12</v>
      </c>
    </row>
    <row r="4" spans="1:118" ht="16" thickBot="1">
      <c r="B4" s="21" t="s">
        <v>27</v>
      </c>
      <c r="C4" s="21" t="s">
        <v>56</v>
      </c>
      <c r="D4" s="46"/>
      <c r="E4" s="22">
        <v>8</v>
      </c>
      <c r="F4" s="21"/>
      <c r="G4" s="11">
        <f>+SUM(G5:G14)</f>
        <v>0.99999999999999989</v>
      </c>
      <c r="I4" s="36" cm="1">
        <f t="array" aca="1" ref="I4" ca="1">I4:AU17=+SUM(I5:I16)</f>
        <v>0</v>
      </c>
      <c r="J4" s="39">
        <f>+SUMPRODUCT(G5:G16,J5:J16)</f>
        <v>0</v>
      </c>
      <c r="K4" s="39">
        <f>+SUMPRODUCT(G5:G16,K5:K16)</f>
        <v>0</v>
      </c>
      <c r="L4" s="17"/>
      <c r="N4" s="36"/>
      <c r="O4" s="37"/>
      <c r="P4" s="16"/>
      <c r="Q4" s="16"/>
      <c r="R4" s="16"/>
      <c r="S4" s="16"/>
      <c r="U4" s="36"/>
      <c r="V4" s="37"/>
      <c r="W4" s="16"/>
      <c r="X4" s="16"/>
      <c r="Y4" s="16"/>
      <c r="Z4" s="16"/>
      <c r="AB4" s="36"/>
      <c r="AC4" s="37"/>
      <c r="AD4" s="16"/>
      <c r="AE4" s="16"/>
      <c r="AF4" s="16"/>
      <c r="AG4" s="16"/>
      <c r="AI4" s="36"/>
      <c r="AJ4" s="16"/>
      <c r="AK4" s="16"/>
      <c r="AL4" s="16"/>
      <c r="AM4" s="16"/>
      <c r="AN4" s="16"/>
      <c r="AP4" s="36"/>
      <c r="AQ4" s="16"/>
      <c r="AR4" s="16"/>
      <c r="AS4" s="16"/>
      <c r="AT4" s="16"/>
      <c r="AU4" s="16"/>
      <c r="AW4" s="36"/>
      <c r="AX4" s="16"/>
      <c r="AY4" s="16"/>
      <c r="AZ4" s="16"/>
      <c r="BA4" s="16"/>
      <c r="BB4" s="16"/>
      <c r="BD4" s="36"/>
      <c r="BE4" s="16"/>
      <c r="BF4" s="16"/>
      <c r="BG4" s="16"/>
      <c r="BH4" s="16"/>
      <c r="BI4" s="16"/>
      <c r="BL4" s="36"/>
      <c r="BM4" s="16"/>
      <c r="BN4" s="16"/>
      <c r="BO4" s="16"/>
      <c r="BP4" s="16"/>
      <c r="BQ4" s="16"/>
      <c r="BS4" s="36"/>
      <c r="BT4" s="16"/>
      <c r="BU4" s="16"/>
      <c r="BV4" s="16"/>
      <c r="BW4" s="16"/>
      <c r="BX4" s="16"/>
      <c r="BZ4" s="36">
        <f>+SUM(BZ5:BZ15)</f>
        <v>0</v>
      </c>
      <c r="CA4" s="16"/>
      <c r="CB4" s="16"/>
      <c r="CC4" s="16"/>
      <c r="CD4" s="16"/>
      <c r="CE4" s="16"/>
      <c r="CG4" s="36">
        <f>+SUM(CG5:CG15)</f>
        <v>0</v>
      </c>
      <c r="CH4" s="16"/>
      <c r="CI4" s="16"/>
      <c r="CJ4" s="16"/>
      <c r="CK4" s="16"/>
      <c r="CL4" s="16"/>
      <c r="CN4" s="36">
        <f>+SUM(CN5:CN15)</f>
        <v>0</v>
      </c>
      <c r="CO4" s="16"/>
      <c r="CP4" s="16"/>
      <c r="CQ4" s="16"/>
      <c r="CR4" s="16"/>
      <c r="CS4" s="16"/>
      <c r="CU4" s="36">
        <f>+SUM(CU5:CU15)</f>
        <v>0</v>
      </c>
      <c r="CV4" s="16"/>
      <c r="CW4" s="16"/>
      <c r="CX4" s="16"/>
      <c r="CY4" s="16"/>
      <c r="CZ4" s="16"/>
      <c r="DB4" s="36">
        <f>+SUM(DB5:DB15)</f>
        <v>0</v>
      </c>
      <c r="DC4" s="16"/>
      <c r="DD4" s="16"/>
      <c r="DE4" s="16"/>
      <c r="DF4" s="16"/>
      <c r="DG4" s="16"/>
      <c r="DI4" s="36">
        <f>+SUM(DI5:DI15)</f>
        <v>0</v>
      </c>
      <c r="DJ4" s="16"/>
      <c r="DK4" s="16"/>
      <c r="DL4" s="16"/>
      <c r="DM4" s="16"/>
      <c r="DN4" s="16"/>
    </row>
    <row r="5" spans="1:118" outlineLevel="1">
      <c r="A5">
        <v>1</v>
      </c>
      <c r="B5" s="20" t="s">
        <v>28</v>
      </c>
      <c r="C5" s="20"/>
      <c r="D5" s="20"/>
      <c r="E5" s="20"/>
      <c r="F5" s="20" t="s">
        <v>57</v>
      </c>
      <c r="G5" s="11">
        <v>0.1</v>
      </c>
      <c r="I5" s="17">
        <f>+SUMIF($N$3:$ZZ$3,I$3,$N5:$ZZ5)</f>
        <v>0</v>
      </c>
      <c r="J5" s="39">
        <f t="shared" ref="J5:K15" si="0">+_xlfn.MAXIFS($N5:$ZF5,$N$3:$ZF$3,J$3)</f>
        <v>0</v>
      </c>
      <c r="K5" s="39">
        <f t="shared" si="0"/>
        <v>0</v>
      </c>
      <c r="L5" s="17"/>
      <c r="N5" s="16"/>
      <c r="O5" s="37"/>
      <c r="P5" s="37">
        <v>0.5</v>
      </c>
      <c r="Q5" s="37"/>
      <c r="R5" s="37">
        <v>0.5</v>
      </c>
      <c r="S5" s="16"/>
      <c r="U5" s="16"/>
      <c r="V5" s="37"/>
      <c r="W5" s="37">
        <v>0.8</v>
      </c>
      <c r="X5" s="37"/>
      <c r="Y5" s="37">
        <v>0.8</v>
      </c>
      <c r="Z5" s="16"/>
      <c r="AB5" s="16"/>
      <c r="AC5" s="37"/>
      <c r="AD5" s="37">
        <v>0.8</v>
      </c>
      <c r="AE5" s="37"/>
      <c r="AF5" s="37">
        <v>0.8</v>
      </c>
      <c r="AG5" s="16"/>
      <c r="AI5" s="16"/>
      <c r="AJ5" s="37"/>
      <c r="AK5" s="37">
        <v>0.8</v>
      </c>
      <c r="AL5" s="37"/>
      <c r="AM5" s="37">
        <v>0.8</v>
      </c>
      <c r="AN5" s="16"/>
      <c r="AP5" s="16"/>
      <c r="AQ5" s="37"/>
      <c r="AR5" s="37">
        <v>0.8</v>
      </c>
      <c r="AS5" s="37"/>
      <c r="AT5" s="37">
        <v>0.8</v>
      </c>
      <c r="AU5" s="16"/>
      <c r="AW5" s="16"/>
      <c r="AX5" s="37"/>
      <c r="AY5" s="37">
        <v>0.8</v>
      </c>
      <c r="AZ5" s="37"/>
      <c r="BA5" s="37">
        <v>0.8</v>
      </c>
      <c r="BB5" s="16"/>
      <c r="BD5" s="16"/>
      <c r="BE5" s="37"/>
      <c r="BF5" s="37">
        <v>0.8</v>
      </c>
      <c r="BG5" s="37"/>
      <c r="BH5" s="37">
        <v>0.8</v>
      </c>
      <c r="BI5" s="16"/>
      <c r="BL5" s="16"/>
      <c r="BM5" s="37"/>
      <c r="BN5" s="37">
        <v>0.8</v>
      </c>
      <c r="BO5" s="37"/>
      <c r="BP5" s="37">
        <v>0.8</v>
      </c>
      <c r="BQ5" s="16"/>
      <c r="BS5" s="16"/>
      <c r="BT5" s="37"/>
      <c r="BU5" s="37">
        <v>1</v>
      </c>
      <c r="BV5" s="37"/>
      <c r="BW5" s="37">
        <v>1</v>
      </c>
      <c r="BX5" s="16"/>
      <c r="BZ5" s="16"/>
      <c r="CA5" s="37"/>
      <c r="CB5" s="37">
        <v>1</v>
      </c>
      <c r="CC5" s="37"/>
      <c r="CD5" s="37">
        <v>1</v>
      </c>
      <c r="CE5" s="16"/>
      <c r="CG5" s="16"/>
      <c r="CH5" s="37"/>
      <c r="CI5" s="37">
        <v>1</v>
      </c>
      <c r="CJ5" s="37"/>
      <c r="CK5" s="37">
        <v>1</v>
      </c>
      <c r="CL5" s="16"/>
      <c r="CN5" s="16"/>
      <c r="CO5" s="37"/>
      <c r="CP5" s="37"/>
      <c r="CQ5" s="37"/>
      <c r="CR5" s="37"/>
      <c r="CS5" s="16"/>
      <c r="CU5" s="16"/>
      <c r="CV5" s="37"/>
      <c r="CW5" s="37"/>
      <c r="CX5" s="37"/>
      <c r="CY5" s="37"/>
      <c r="CZ5" s="16"/>
      <c r="DB5" s="16"/>
      <c r="DC5" s="37"/>
      <c r="DD5" s="37"/>
      <c r="DE5" s="37"/>
      <c r="DF5" s="37"/>
      <c r="DG5" s="16"/>
      <c r="DI5" s="16"/>
      <c r="DJ5" s="37"/>
      <c r="DK5" s="37"/>
      <c r="DL5" s="37"/>
      <c r="DM5" s="37"/>
      <c r="DN5" s="16"/>
    </row>
    <row r="6" spans="1:118" outlineLevel="1">
      <c r="A6">
        <v>2</v>
      </c>
      <c r="B6" s="16" t="s">
        <v>28</v>
      </c>
      <c r="C6" s="16"/>
      <c r="D6" s="16"/>
      <c r="E6" s="17"/>
      <c r="F6" s="16" t="s">
        <v>113</v>
      </c>
      <c r="G6" s="11">
        <v>0.1</v>
      </c>
      <c r="I6" s="17">
        <f t="shared" ref="I6:I15" si="1">+SUMIF($N$3:$ZZ$3,I$3,$N6:$ZZ6)</f>
        <v>0</v>
      </c>
      <c r="J6" s="39">
        <f t="shared" si="0"/>
        <v>0</v>
      </c>
      <c r="K6" s="39">
        <f t="shared" si="0"/>
        <v>0</v>
      </c>
      <c r="L6" s="17"/>
      <c r="N6" s="16"/>
      <c r="O6" s="37"/>
      <c r="P6" s="37">
        <v>0.5</v>
      </c>
      <c r="Q6" s="37"/>
      <c r="R6" s="37">
        <v>0.5</v>
      </c>
      <c r="S6" s="16"/>
      <c r="U6" s="16"/>
      <c r="V6" s="37"/>
      <c r="W6" s="37">
        <v>0.8</v>
      </c>
      <c r="X6" s="37"/>
      <c r="Y6" s="37">
        <v>0.8</v>
      </c>
      <c r="Z6" s="16"/>
      <c r="AB6" s="16"/>
      <c r="AC6" s="37"/>
      <c r="AD6" s="37">
        <v>0.8</v>
      </c>
      <c r="AE6" s="37"/>
      <c r="AF6" s="37">
        <v>0.8</v>
      </c>
      <c r="AG6" s="16"/>
      <c r="AI6" s="16"/>
      <c r="AJ6" s="37"/>
      <c r="AK6" s="37">
        <v>0.8</v>
      </c>
      <c r="AL6" s="37"/>
      <c r="AM6" s="37">
        <v>0.8</v>
      </c>
      <c r="AN6" s="16"/>
      <c r="AP6" s="16"/>
      <c r="AQ6" s="37"/>
      <c r="AR6" s="37">
        <v>0.8</v>
      </c>
      <c r="AS6" s="37"/>
      <c r="AT6" s="37">
        <v>0.8</v>
      </c>
      <c r="AU6" s="16"/>
      <c r="AW6" s="16"/>
      <c r="AX6" s="37"/>
      <c r="AY6" s="37">
        <v>0.8</v>
      </c>
      <c r="AZ6" s="37"/>
      <c r="BA6" s="37">
        <v>0.8</v>
      </c>
      <c r="BB6" s="16"/>
      <c r="BD6" s="16"/>
      <c r="BE6" s="37"/>
      <c r="BF6" s="37">
        <v>0.8</v>
      </c>
      <c r="BG6" s="37"/>
      <c r="BH6" s="37">
        <v>0.8</v>
      </c>
      <c r="BI6" s="16"/>
      <c r="BL6" s="16"/>
      <c r="BM6" s="37"/>
      <c r="BN6" s="37">
        <v>0.8</v>
      </c>
      <c r="BO6" s="37"/>
      <c r="BP6" s="37">
        <v>0.8</v>
      </c>
      <c r="BQ6" s="16"/>
      <c r="BS6" s="16"/>
      <c r="BT6" s="37"/>
      <c r="BU6" s="37">
        <v>0.8</v>
      </c>
      <c r="BV6" s="37"/>
      <c r="BW6" s="37">
        <v>0.8</v>
      </c>
      <c r="BX6" s="16"/>
      <c r="BZ6" s="16"/>
      <c r="CA6" s="37"/>
      <c r="CB6" s="37">
        <v>1</v>
      </c>
      <c r="CC6" s="37"/>
      <c r="CD6" s="37">
        <v>1</v>
      </c>
      <c r="CE6" s="16"/>
      <c r="CG6" s="16"/>
      <c r="CH6" s="37"/>
      <c r="CI6" s="37">
        <v>1</v>
      </c>
      <c r="CJ6" s="37"/>
      <c r="CK6" s="37">
        <v>1</v>
      </c>
      <c r="CL6" s="16"/>
      <c r="CN6" s="16"/>
      <c r="CO6" s="37"/>
      <c r="CP6" s="37"/>
      <c r="CQ6" s="37"/>
      <c r="CR6" s="37"/>
      <c r="CS6" s="16"/>
      <c r="CU6" s="16"/>
      <c r="CV6" s="37"/>
      <c r="CW6" s="37"/>
      <c r="CX6" s="37"/>
      <c r="CY6" s="37"/>
      <c r="CZ6" s="16"/>
      <c r="DB6" s="16"/>
      <c r="DC6" s="37"/>
      <c r="DD6" s="37"/>
      <c r="DE6" s="37"/>
      <c r="DF6" s="37"/>
      <c r="DG6" s="16"/>
      <c r="DI6" s="16"/>
      <c r="DJ6" s="37"/>
      <c r="DK6" s="37"/>
      <c r="DL6" s="37"/>
      <c r="DM6" s="37"/>
      <c r="DN6" s="16"/>
    </row>
    <row r="7" spans="1:118" outlineLevel="1">
      <c r="A7">
        <v>3</v>
      </c>
      <c r="B7" s="16" t="s">
        <v>28</v>
      </c>
      <c r="C7" s="16"/>
      <c r="D7" s="16"/>
      <c r="E7" s="17"/>
      <c r="F7" s="16" t="s">
        <v>114</v>
      </c>
      <c r="G7" s="11">
        <v>0.1</v>
      </c>
      <c r="I7" s="17">
        <f t="shared" si="1"/>
        <v>0</v>
      </c>
      <c r="J7" s="39">
        <f t="shared" si="0"/>
        <v>0</v>
      </c>
      <c r="K7" s="39">
        <f t="shared" si="0"/>
        <v>0</v>
      </c>
      <c r="L7" s="17"/>
      <c r="N7" s="16"/>
      <c r="O7" s="37"/>
      <c r="P7" s="37">
        <v>0.5</v>
      </c>
      <c r="Q7" s="37"/>
      <c r="R7" s="37">
        <v>0.5</v>
      </c>
      <c r="S7" s="16"/>
      <c r="U7" s="16"/>
      <c r="V7" s="37"/>
      <c r="W7" s="37">
        <v>0.5</v>
      </c>
      <c r="X7" s="37"/>
      <c r="Y7" s="37">
        <v>0.5</v>
      </c>
      <c r="Z7" s="16"/>
      <c r="AB7" s="16"/>
      <c r="AC7" s="37"/>
      <c r="AD7" s="37">
        <v>0.8</v>
      </c>
      <c r="AE7" s="37"/>
      <c r="AF7" s="37">
        <v>0.8</v>
      </c>
      <c r="AG7" s="16"/>
      <c r="AI7" s="16"/>
      <c r="AJ7" s="37"/>
      <c r="AK7" s="37">
        <v>0.8</v>
      </c>
      <c r="AL7" s="37"/>
      <c r="AM7" s="37">
        <v>0.8</v>
      </c>
      <c r="AN7" s="16"/>
      <c r="AP7" s="16"/>
      <c r="AQ7" s="37"/>
      <c r="AR7" s="37">
        <v>0.8</v>
      </c>
      <c r="AS7" s="37"/>
      <c r="AT7" s="37">
        <v>0.8</v>
      </c>
      <c r="AU7" s="16"/>
      <c r="AW7" s="16"/>
      <c r="AX7" s="37"/>
      <c r="AY7" s="37">
        <v>0.8</v>
      </c>
      <c r="AZ7" s="37"/>
      <c r="BA7" s="37">
        <v>0.8</v>
      </c>
      <c r="BB7" s="16"/>
      <c r="BD7" s="16"/>
      <c r="BE7" s="37"/>
      <c r="BF7" s="37">
        <v>0.8</v>
      </c>
      <c r="BG7" s="37"/>
      <c r="BH7" s="37">
        <v>0.8</v>
      </c>
      <c r="BI7" s="16"/>
      <c r="BL7" s="16"/>
      <c r="BM7" s="37"/>
      <c r="BN7" s="37">
        <v>0.8</v>
      </c>
      <c r="BO7" s="37"/>
      <c r="BP7" s="37">
        <v>0.8</v>
      </c>
      <c r="BQ7" s="16"/>
      <c r="BS7" s="16"/>
      <c r="BT7" s="37"/>
      <c r="BU7" s="37">
        <v>0.8</v>
      </c>
      <c r="BV7" s="37"/>
      <c r="BW7" s="37">
        <v>0.8</v>
      </c>
      <c r="BX7" s="16"/>
      <c r="BZ7" s="16"/>
      <c r="CA7" s="37"/>
      <c r="CB7" s="37">
        <v>1</v>
      </c>
      <c r="CC7" s="37"/>
      <c r="CD7" s="37">
        <v>1</v>
      </c>
      <c r="CE7" s="16"/>
      <c r="CG7" s="16"/>
      <c r="CH7" s="37"/>
      <c r="CI7" s="37">
        <v>1</v>
      </c>
      <c r="CJ7" s="37"/>
      <c r="CK7" s="37">
        <v>1</v>
      </c>
      <c r="CL7" s="16"/>
      <c r="CN7" s="16"/>
      <c r="CO7" s="37"/>
      <c r="CP7" s="37"/>
      <c r="CQ7" s="37"/>
      <c r="CR7" s="37"/>
      <c r="CS7" s="16"/>
      <c r="CU7" s="16"/>
      <c r="CV7" s="37"/>
      <c r="CW7" s="37"/>
      <c r="CX7" s="37"/>
      <c r="CY7" s="37"/>
      <c r="CZ7" s="16"/>
      <c r="DB7" s="16"/>
      <c r="DC7" s="37"/>
      <c r="DD7" s="37"/>
      <c r="DE7" s="37"/>
      <c r="DF7" s="37"/>
      <c r="DG7" s="16"/>
      <c r="DI7" s="16"/>
      <c r="DJ7" s="37"/>
      <c r="DK7" s="37"/>
      <c r="DL7" s="37"/>
      <c r="DM7" s="37"/>
      <c r="DN7" s="16"/>
    </row>
    <row r="8" spans="1:118" outlineLevel="1">
      <c r="A8">
        <v>4</v>
      </c>
      <c r="B8" s="16" t="s">
        <v>28</v>
      </c>
      <c r="C8" s="16"/>
      <c r="D8" s="16"/>
      <c r="E8" s="17"/>
      <c r="F8" s="16" t="s">
        <v>115</v>
      </c>
      <c r="G8" s="11">
        <v>0.1</v>
      </c>
      <c r="I8" s="17">
        <f t="shared" si="1"/>
        <v>0</v>
      </c>
      <c r="J8" s="39">
        <f t="shared" si="0"/>
        <v>0</v>
      </c>
      <c r="K8" s="39">
        <f t="shared" si="0"/>
        <v>0</v>
      </c>
      <c r="L8" s="17"/>
      <c r="N8" s="16"/>
      <c r="O8" s="37"/>
      <c r="P8" s="37"/>
      <c r="Q8" s="37"/>
      <c r="R8" s="37"/>
      <c r="S8" s="16"/>
      <c r="U8" s="16"/>
      <c r="V8" s="37"/>
      <c r="W8" s="37">
        <v>0.5</v>
      </c>
      <c r="X8" s="37"/>
      <c r="Y8" s="37">
        <v>0.5</v>
      </c>
      <c r="Z8" s="16"/>
      <c r="AB8" s="16"/>
      <c r="AC8" s="37"/>
      <c r="AD8" s="37">
        <v>0.5</v>
      </c>
      <c r="AE8" s="37"/>
      <c r="AF8" s="37">
        <v>0.5</v>
      </c>
      <c r="AG8" s="16"/>
      <c r="AI8" s="16"/>
      <c r="AJ8" s="37"/>
      <c r="AK8" s="37">
        <v>0.8</v>
      </c>
      <c r="AL8" s="37"/>
      <c r="AM8" s="37">
        <v>0.8</v>
      </c>
      <c r="AN8" s="16"/>
      <c r="AP8" s="16"/>
      <c r="AQ8" s="37"/>
      <c r="AR8" s="37">
        <v>0.8</v>
      </c>
      <c r="AS8" s="37"/>
      <c r="AT8" s="37">
        <v>0.8</v>
      </c>
      <c r="AU8" s="16"/>
      <c r="AW8" s="16"/>
      <c r="AX8" s="37"/>
      <c r="AY8" s="37">
        <v>0.8</v>
      </c>
      <c r="AZ8" s="37"/>
      <c r="BA8" s="37">
        <v>0.8</v>
      </c>
      <c r="BB8" s="16"/>
      <c r="BD8" s="16"/>
      <c r="BE8" s="37"/>
      <c r="BF8" s="37">
        <v>0.8</v>
      </c>
      <c r="BG8" s="37"/>
      <c r="BH8" s="37">
        <v>0.8</v>
      </c>
      <c r="BI8" s="16"/>
      <c r="BL8" s="16"/>
      <c r="BM8" s="37"/>
      <c r="BN8" s="37">
        <v>0.8</v>
      </c>
      <c r="BO8" s="37"/>
      <c r="BP8" s="37">
        <v>0.8</v>
      </c>
      <c r="BQ8" s="16"/>
      <c r="BS8" s="16"/>
      <c r="BT8" s="37"/>
      <c r="BU8" s="37">
        <v>0.8</v>
      </c>
      <c r="BV8" s="37"/>
      <c r="BW8" s="37">
        <v>0.8</v>
      </c>
      <c r="BX8" s="16"/>
      <c r="BZ8" s="16"/>
      <c r="CA8" s="37"/>
      <c r="CB8" s="37">
        <v>1</v>
      </c>
      <c r="CC8" s="37"/>
      <c r="CD8" s="37">
        <v>1</v>
      </c>
      <c r="CE8" s="16"/>
      <c r="CG8" s="16"/>
      <c r="CH8" s="37"/>
      <c r="CI8" s="37">
        <v>1</v>
      </c>
      <c r="CJ8" s="37"/>
      <c r="CK8" s="37">
        <v>1</v>
      </c>
      <c r="CL8" s="16"/>
      <c r="CN8" s="16"/>
      <c r="CO8" s="37"/>
      <c r="CP8" s="37"/>
      <c r="CQ8" s="37"/>
      <c r="CR8" s="37"/>
      <c r="CS8" s="16"/>
      <c r="CU8" s="16"/>
      <c r="CV8" s="37"/>
      <c r="CW8" s="37"/>
      <c r="CX8" s="37"/>
      <c r="CY8" s="37"/>
      <c r="CZ8" s="16"/>
      <c r="DB8" s="16"/>
      <c r="DC8" s="37"/>
      <c r="DD8" s="37"/>
      <c r="DE8" s="37"/>
      <c r="DF8" s="37"/>
      <c r="DG8" s="16"/>
      <c r="DI8" s="16"/>
      <c r="DJ8" s="37"/>
      <c r="DK8" s="37"/>
      <c r="DL8" s="37"/>
      <c r="DM8" s="37"/>
      <c r="DN8" s="16"/>
    </row>
    <row r="9" spans="1:118" outlineLevel="1">
      <c r="A9">
        <v>5</v>
      </c>
      <c r="B9" s="16" t="s">
        <v>28</v>
      </c>
      <c r="C9" s="16"/>
      <c r="D9" s="16"/>
      <c r="E9" s="17"/>
      <c r="F9" s="16" t="s">
        <v>116</v>
      </c>
      <c r="G9" s="11">
        <v>0.1</v>
      </c>
      <c r="I9" s="17">
        <f t="shared" si="1"/>
        <v>0</v>
      </c>
      <c r="J9" s="39">
        <f t="shared" si="0"/>
        <v>0</v>
      </c>
      <c r="K9" s="39">
        <f t="shared" si="0"/>
        <v>0</v>
      </c>
      <c r="L9" s="17"/>
      <c r="N9" s="16"/>
      <c r="O9" s="37"/>
      <c r="P9" s="37"/>
      <c r="Q9" s="37"/>
      <c r="R9" s="37"/>
      <c r="S9" s="16"/>
      <c r="U9" s="16"/>
      <c r="V9" s="37"/>
      <c r="W9" s="37"/>
      <c r="X9" s="37"/>
      <c r="Y9" s="37"/>
      <c r="Z9" s="16"/>
      <c r="AB9" s="16"/>
      <c r="AC9" s="37"/>
      <c r="AD9" s="37">
        <v>0.5</v>
      </c>
      <c r="AE9" s="37"/>
      <c r="AF9" s="37">
        <v>0.5</v>
      </c>
      <c r="AG9" s="16"/>
      <c r="AI9" s="16"/>
      <c r="AJ9" s="37"/>
      <c r="AK9" s="37">
        <v>0.5</v>
      </c>
      <c r="AL9" s="37"/>
      <c r="AM9" s="37">
        <v>0.5</v>
      </c>
      <c r="AN9" s="16"/>
      <c r="AP9" s="16"/>
      <c r="AQ9" s="37"/>
      <c r="AR9" s="37">
        <v>0.8</v>
      </c>
      <c r="AS9" s="37"/>
      <c r="AT9" s="37">
        <v>0.8</v>
      </c>
      <c r="AU9" s="16"/>
      <c r="AW9" s="16"/>
      <c r="AX9" s="37"/>
      <c r="AY9" s="37">
        <v>0.8</v>
      </c>
      <c r="AZ9" s="37"/>
      <c r="BA9" s="37">
        <v>0.8</v>
      </c>
      <c r="BB9" s="16"/>
      <c r="BD9" s="16"/>
      <c r="BE9" s="37"/>
      <c r="BF9" s="37">
        <v>0.8</v>
      </c>
      <c r="BG9" s="37"/>
      <c r="BH9" s="37">
        <v>0.8</v>
      </c>
      <c r="BI9" s="16"/>
      <c r="BL9" s="16"/>
      <c r="BM9" s="37"/>
      <c r="BN9" s="37">
        <v>0.8</v>
      </c>
      <c r="BO9" s="37"/>
      <c r="BP9" s="37">
        <v>0.8</v>
      </c>
      <c r="BQ9" s="16"/>
      <c r="BS9" s="16"/>
      <c r="BT9" s="37"/>
      <c r="BU9" s="37">
        <v>0.8</v>
      </c>
      <c r="BV9" s="37"/>
      <c r="BW9" s="37">
        <v>0.8</v>
      </c>
      <c r="BX9" s="16"/>
      <c r="BZ9" s="16"/>
      <c r="CA9" s="37"/>
      <c r="CB9" s="37">
        <v>1</v>
      </c>
      <c r="CC9" s="37"/>
      <c r="CD9" s="37">
        <v>1</v>
      </c>
      <c r="CE9" s="16"/>
      <c r="CG9" s="16"/>
      <c r="CH9" s="37"/>
      <c r="CI9" s="37">
        <v>1</v>
      </c>
      <c r="CJ9" s="37"/>
      <c r="CK9" s="37">
        <v>1</v>
      </c>
      <c r="CL9" s="16"/>
      <c r="CN9" s="16"/>
      <c r="CO9" s="37"/>
      <c r="CP9" s="37"/>
      <c r="CQ9" s="37"/>
      <c r="CR9" s="37"/>
      <c r="CS9" s="16"/>
      <c r="CU9" s="16"/>
      <c r="CV9" s="37"/>
      <c r="CW9" s="37"/>
      <c r="CX9" s="37"/>
      <c r="CY9" s="37"/>
      <c r="CZ9" s="16"/>
      <c r="DB9" s="16"/>
      <c r="DC9" s="37"/>
      <c r="DD9" s="37"/>
      <c r="DE9" s="37"/>
      <c r="DF9" s="37"/>
      <c r="DG9" s="16"/>
      <c r="DI9" s="16"/>
      <c r="DJ9" s="37"/>
      <c r="DK9" s="37"/>
      <c r="DL9" s="37"/>
      <c r="DM9" s="37"/>
      <c r="DN9" s="16"/>
    </row>
    <row r="10" spans="1:118" outlineLevel="1">
      <c r="A10">
        <v>6</v>
      </c>
      <c r="B10" s="16" t="s">
        <v>28</v>
      </c>
      <c r="C10" s="16"/>
      <c r="D10" s="16"/>
      <c r="E10" s="17"/>
      <c r="F10" s="16" t="s">
        <v>117</v>
      </c>
      <c r="G10" s="11">
        <v>0.1</v>
      </c>
      <c r="I10" s="17">
        <f t="shared" si="1"/>
        <v>0</v>
      </c>
      <c r="J10" s="39">
        <f t="shared" si="0"/>
        <v>0</v>
      </c>
      <c r="K10" s="39">
        <f t="shared" si="0"/>
        <v>0</v>
      </c>
      <c r="L10" s="17"/>
      <c r="N10" s="16"/>
      <c r="O10" s="37"/>
      <c r="P10" s="37"/>
      <c r="Q10" s="37"/>
      <c r="R10" s="37"/>
      <c r="S10" s="16"/>
      <c r="U10" s="16"/>
      <c r="V10" s="37"/>
      <c r="W10" s="37"/>
      <c r="X10" s="37"/>
      <c r="Y10" s="37"/>
      <c r="Z10" s="16"/>
      <c r="AB10" s="16"/>
      <c r="AC10" s="37"/>
      <c r="AD10" s="37"/>
      <c r="AE10" s="37"/>
      <c r="AF10" s="37"/>
      <c r="AG10" s="16"/>
      <c r="AI10" s="16"/>
      <c r="AJ10" s="37"/>
      <c r="AK10" s="37">
        <v>0.5</v>
      </c>
      <c r="AL10" s="37"/>
      <c r="AM10" s="37">
        <v>0.5</v>
      </c>
      <c r="AN10" s="16"/>
      <c r="AP10" s="16"/>
      <c r="AQ10" s="37"/>
      <c r="AR10" s="37">
        <v>0.8</v>
      </c>
      <c r="AS10" s="37"/>
      <c r="AT10" s="37">
        <v>0.8</v>
      </c>
      <c r="AU10" s="16"/>
      <c r="AW10" s="16"/>
      <c r="AX10" s="37"/>
      <c r="AY10" s="37">
        <v>0.8</v>
      </c>
      <c r="AZ10" s="37"/>
      <c r="BA10" s="37">
        <v>0.8</v>
      </c>
      <c r="BB10" s="16"/>
      <c r="BD10" s="16"/>
      <c r="BE10" s="37"/>
      <c r="BF10" s="37">
        <v>0.8</v>
      </c>
      <c r="BG10" s="37"/>
      <c r="BH10" s="37">
        <v>0.8</v>
      </c>
      <c r="BI10" s="16"/>
      <c r="BL10" s="16"/>
      <c r="BM10" s="37"/>
      <c r="BN10" s="37">
        <v>0.8</v>
      </c>
      <c r="BO10" s="37"/>
      <c r="BP10" s="37">
        <v>0.8</v>
      </c>
      <c r="BQ10" s="16"/>
      <c r="BS10" s="16"/>
      <c r="BT10" s="37"/>
      <c r="BU10" s="37">
        <v>0.8</v>
      </c>
      <c r="BV10" s="37"/>
      <c r="BW10" s="37">
        <v>0.8</v>
      </c>
      <c r="BX10" s="16"/>
      <c r="BZ10" s="16"/>
      <c r="CA10" s="37"/>
      <c r="CB10" s="37">
        <v>1</v>
      </c>
      <c r="CC10" s="37"/>
      <c r="CD10" s="37">
        <v>1</v>
      </c>
      <c r="CE10" s="16"/>
      <c r="CG10" s="16"/>
      <c r="CH10" s="37"/>
      <c r="CI10" s="37">
        <v>1</v>
      </c>
      <c r="CJ10" s="37"/>
      <c r="CK10" s="37">
        <v>1</v>
      </c>
      <c r="CL10" s="16"/>
      <c r="CN10" s="16"/>
      <c r="CO10" s="37"/>
      <c r="CP10" s="37"/>
      <c r="CQ10" s="37"/>
      <c r="CR10" s="37"/>
      <c r="CS10" s="16"/>
      <c r="CU10" s="16"/>
      <c r="CV10" s="37"/>
      <c r="CW10" s="37"/>
      <c r="CX10" s="37"/>
      <c r="CY10" s="37"/>
      <c r="CZ10" s="16"/>
      <c r="DB10" s="16"/>
      <c r="DC10" s="37"/>
      <c r="DD10" s="37"/>
      <c r="DE10" s="37"/>
      <c r="DF10" s="37"/>
      <c r="DG10" s="16"/>
      <c r="DI10" s="16"/>
      <c r="DJ10" s="37"/>
      <c r="DK10" s="37"/>
      <c r="DL10" s="37"/>
      <c r="DM10" s="37"/>
      <c r="DN10" s="16"/>
    </row>
    <row r="11" spans="1:118" outlineLevel="1">
      <c r="A11">
        <v>7</v>
      </c>
      <c r="B11" s="16" t="s">
        <v>28</v>
      </c>
      <c r="C11" s="16"/>
      <c r="D11" s="16"/>
      <c r="E11" s="17"/>
      <c r="F11" s="16" t="s">
        <v>118</v>
      </c>
      <c r="G11" s="11">
        <v>0.1</v>
      </c>
      <c r="I11" s="17">
        <f t="shared" si="1"/>
        <v>0</v>
      </c>
      <c r="J11" s="39">
        <f t="shared" si="0"/>
        <v>0</v>
      </c>
      <c r="K11" s="39">
        <f t="shared" si="0"/>
        <v>0</v>
      </c>
      <c r="L11" s="17"/>
      <c r="N11" s="16"/>
      <c r="O11" s="37"/>
      <c r="P11" s="37"/>
      <c r="Q11" s="37"/>
      <c r="R11" s="37"/>
      <c r="S11" s="16"/>
      <c r="U11" s="16"/>
      <c r="V11" s="37"/>
      <c r="W11" s="37"/>
      <c r="X11" s="37"/>
      <c r="Y11" s="37"/>
      <c r="Z11" s="16"/>
      <c r="AB11" s="16"/>
      <c r="AC11" s="37"/>
      <c r="AD11" s="37"/>
      <c r="AE11" s="37"/>
      <c r="AF11" s="37"/>
      <c r="AG11" s="16"/>
      <c r="AI11" s="16"/>
      <c r="AJ11" s="37"/>
      <c r="AK11" s="37"/>
      <c r="AL11" s="37"/>
      <c r="AM11" s="37"/>
      <c r="AN11" s="16"/>
      <c r="AP11" s="16"/>
      <c r="AQ11" s="37"/>
      <c r="AR11" s="37">
        <v>0.5</v>
      </c>
      <c r="AS11" s="37"/>
      <c r="AT11" s="37">
        <v>0.5</v>
      </c>
      <c r="AU11" s="16"/>
      <c r="AW11" s="16"/>
      <c r="AX11" s="37"/>
      <c r="AY11" s="37">
        <v>0.5</v>
      </c>
      <c r="AZ11" s="37"/>
      <c r="BA11" s="37">
        <v>0.5</v>
      </c>
      <c r="BB11" s="16"/>
      <c r="BD11" s="16"/>
      <c r="BE11" s="37"/>
      <c r="BF11" s="37">
        <v>0.8</v>
      </c>
      <c r="BG11" s="37"/>
      <c r="BH11" s="37">
        <v>0.8</v>
      </c>
      <c r="BI11" s="16"/>
      <c r="BL11" s="16"/>
      <c r="BM11" s="37"/>
      <c r="BN11" s="37">
        <v>0.8</v>
      </c>
      <c r="BO11" s="37"/>
      <c r="BP11" s="37">
        <v>0.8</v>
      </c>
      <c r="BQ11" s="16"/>
      <c r="BS11" s="16"/>
      <c r="BT11" s="37"/>
      <c r="BU11" s="37">
        <v>0.8</v>
      </c>
      <c r="BV11" s="37"/>
      <c r="BW11" s="37">
        <v>0.8</v>
      </c>
      <c r="BX11" s="16"/>
      <c r="BZ11" s="16"/>
      <c r="CA11" s="37"/>
      <c r="CB11" s="37">
        <v>0.8</v>
      </c>
      <c r="CC11" s="37"/>
      <c r="CD11" s="37">
        <v>0.8</v>
      </c>
      <c r="CE11" s="16"/>
      <c r="CG11" s="16"/>
      <c r="CH11" s="37"/>
      <c r="CI11" s="37">
        <v>1</v>
      </c>
      <c r="CJ11" s="37"/>
      <c r="CK11" s="37">
        <v>1</v>
      </c>
      <c r="CL11" s="16"/>
      <c r="CN11" s="16"/>
      <c r="CO11" s="37"/>
      <c r="CP11" s="37"/>
      <c r="CQ11" s="37"/>
      <c r="CR11" s="37"/>
      <c r="CS11" s="16"/>
      <c r="CU11" s="16"/>
      <c r="CV11" s="37"/>
      <c r="CW11" s="37"/>
      <c r="CX11" s="37"/>
      <c r="CY11" s="37"/>
      <c r="CZ11" s="16"/>
      <c r="DB11" s="16"/>
      <c r="DC11" s="37"/>
      <c r="DD11" s="37"/>
      <c r="DE11" s="37"/>
      <c r="DF11" s="37"/>
      <c r="DG11" s="16"/>
      <c r="DI11" s="16"/>
      <c r="DJ11" s="37"/>
      <c r="DK11" s="37"/>
      <c r="DL11" s="37"/>
      <c r="DM11" s="37"/>
      <c r="DN11" s="16"/>
    </row>
    <row r="12" spans="1:118" outlineLevel="1">
      <c r="A12">
        <v>8</v>
      </c>
      <c r="B12" s="16" t="s">
        <v>28</v>
      </c>
      <c r="C12" s="16"/>
      <c r="D12" s="16"/>
      <c r="E12" s="17"/>
      <c r="F12" s="16" t="s">
        <v>119</v>
      </c>
      <c r="G12" s="11">
        <v>0.1</v>
      </c>
      <c r="I12" s="17">
        <f t="shared" si="1"/>
        <v>0</v>
      </c>
      <c r="J12" s="39">
        <f t="shared" si="0"/>
        <v>0</v>
      </c>
      <c r="K12" s="39">
        <f t="shared" si="0"/>
        <v>0</v>
      </c>
      <c r="L12" s="17"/>
      <c r="N12" s="16"/>
      <c r="O12" s="37"/>
      <c r="P12" s="37"/>
      <c r="Q12" s="37"/>
      <c r="R12" s="37"/>
      <c r="S12" s="16"/>
      <c r="U12" s="16"/>
      <c r="V12" s="37"/>
      <c r="W12" s="37"/>
      <c r="X12" s="37"/>
      <c r="Y12" s="37"/>
      <c r="Z12" s="16"/>
      <c r="AB12" s="16"/>
      <c r="AC12" s="37"/>
      <c r="AD12" s="37"/>
      <c r="AE12" s="37"/>
      <c r="AF12" s="37"/>
      <c r="AG12" s="16"/>
      <c r="AI12" s="16"/>
      <c r="AJ12" s="37"/>
      <c r="AK12" s="37"/>
      <c r="AL12" s="37"/>
      <c r="AM12" s="37"/>
      <c r="AN12" s="16"/>
      <c r="AP12" s="16"/>
      <c r="AQ12" s="37"/>
      <c r="AR12" s="37"/>
      <c r="AS12" s="37"/>
      <c r="AT12" s="37"/>
      <c r="AU12" s="16"/>
      <c r="AW12" s="16"/>
      <c r="AX12" s="37"/>
      <c r="AY12" s="37">
        <v>0.5</v>
      </c>
      <c r="AZ12" s="37"/>
      <c r="BA12" s="37">
        <v>0.5</v>
      </c>
      <c r="BB12" s="16"/>
      <c r="BD12" s="16"/>
      <c r="BE12" s="37"/>
      <c r="BF12" s="37">
        <v>0.8</v>
      </c>
      <c r="BG12" s="37"/>
      <c r="BH12" s="37">
        <v>0.8</v>
      </c>
      <c r="BI12" s="16"/>
      <c r="BL12" s="16"/>
      <c r="BM12" s="37"/>
      <c r="BN12" s="37">
        <v>0.8</v>
      </c>
      <c r="BO12" s="37"/>
      <c r="BP12" s="37">
        <v>0.8</v>
      </c>
      <c r="BQ12" s="16"/>
      <c r="BS12" s="16"/>
      <c r="BT12" s="37"/>
      <c r="BU12" s="37">
        <v>0.8</v>
      </c>
      <c r="BV12" s="37"/>
      <c r="BW12" s="37">
        <v>0.8</v>
      </c>
      <c r="BX12" s="16"/>
      <c r="BZ12" s="16"/>
      <c r="CA12" s="37"/>
      <c r="CB12" s="37">
        <v>0.8</v>
      </c>
      <c r="CC12" s="37"/>
      <c r="CD12" s="37">
        <v>0.8</v>
      </c>
      <c r="CE12" s="16"/>
      <c r="CG12" s="16"/>
      <c r="CH12" s="37"/>
      <c r="CI12" s="37">
        <v>1</v>
      </c>
      <c r="CJ12" s="37"/>
      <c r="CK12" s="37">
        <v>1</v>
      </c>
      <c r="CL12" s="16"/>
      <c r="CN12" s="16"/>
      <c r="CO12" s="37"/>
      <c r="CP12" s="37"/>
      <c r="CQ12" s="37"/>
      <c r="CR12" s="37"/>
      <c r="CS12" s="16"/>
      <c r="CU12" s="16"/>
      <c r="CV12" s="37"/>
      <c r="CW12" s="37"/>
      <c r="CX12" s="37"/>
      <c r="CY12" s="37"/>
      <c r="CZ12" s="16"/>
      <c r="DB12" s="16"/>
      <c r="DC12" s="37"/>
      <c r="DD12" s="37"/>
      <c r="DE12" s="37"/>
      <c r="DF12" s="37"/>
      <c r="DG12" s="16"/>
      <c r="DI12" s="16"/>
      <c r="DJ12" s="37"/>
      <c r="DK12" s="37"/>
      <c r="DL12" s="37"/>
      <c r="DM12" s="37"/>
      <c r="DN12" s="16"/>
    </row>
    <row r="13" spans="1:118" outlineLevel="1">
      <c r="A13">
        <v>9</v>
      </c>
      <c r="B13" s="16" t="s">
        <v>28</v>
      </c>
      <c r="C13" s="16"/>
      <c r="D13" s="16"/>
      <c r="E13" s="17"/>
      <c r="F13" s="16" t="s">
        <v>120</v>
      </c>
      <c r="G13" s="11">
        <v>0.1</v>
      </c>
      <c r="I13" s="17">
        <f t="shared" si="1"/>
        <v>0</v>
      </c>
      <c r="J13" s="39">
        <f t="shared" si="0"/>
        <v>0</v>
      </c>
      <c r="K13" s="39">
        <f t="shared" si="0"/>
        <v>0</v>
      </c>
      <c r="L13" s="17"/>
      <c r="N13" s="16"/>
      <c r="O13" s="37"/>
      <c r="P13" s="37"/>
      <c r="Q13" s="37"/>
      <c r="R13" s="37"/>
      <c r="S13" s="16"/>
      <c r="U13" s="16"/>
      <c r="V13" s="37"/>
      <c r="W13" s="37"/>
      <c r="X13" s="37"/>
      <c r="Y13" s="37"/>
      <c r="Z13" s="16"/>
      <c r="AB13" s="16"/>
      <c r="AC13" s="37"/>
      <c r="AD13" s="37"/>
      <c r="AE13" s="37"/>
      <c r="AF13" s="37"/>
      <c r="AG13" s="16"/>
      <c r="AI13" s="16"/>
      <c r="AJ13" s="37"/>
      <c r="AK13" s="37"/>
      <c r="AL13" s="37"/>
      <c r="AM13" s="37"/>
      <c r="AN13" s="16"/>
      <c r="AP13" s="16"/>
      <c r="AQ13" s="37"/>
      <c r="AR13" s="37"/>
      <c r="AS13" s="37"/>
      <c r="AT13" s="37"/>
      <c r="AU13" s="16"/>
      <c r="AW13" s="16"/>
      <c r="AX13" s="37"/>
      <c r="AY13" s="37"/>
      <c r="AZ13" s="37"/>
      <c r="BA13" s="37"/>
      <c r="BB13" s="16"/>
      <c r="BD13" s="16"/>
      <c r="BE13" s="37"/>
      <c r="BF13" s="37">
        <v>0.5</v>
      </c>
      <c r="BG13" s="37"/>
      <c r="BH13" s="37">
        <v>0.5</v>
      </c>
      <c r="BI13" s="16"/>
      <c r="BL13" s="16"/>
      <c r="BM13" s="37"/>
      <c r="BN13" s="37">
        <v>0.5</v>
      </c>
      <c r="BO13" s="37"/>
      <c r="BP13" s="37">
        <v>0.5</v>
      </c>
      <c r="BQ13" s="16"/>
      <c r="BS13" s="16"/>
      <c r="BT13" s="37"/>
      <c r="BU13" s="37">
        <v>0.8</v>
      </c>
      <c r="BV13" s="37"/>
      <c r="BW13" s="37">
        <v>0.8</v>
      </c>
      <c r="BX13" s="16"/>
      <c r="BZ13" s="16"/>
      <c r="CA13" s="37"/>
      <c r="CB13" s="37">
        <v>0.8</v>
      </c>
      <c r="CC13" s="37"/>
      <c r="CD13" s="37">
        <v>0.8</v>
      </c>
      <c r="CE13" s="16"/>
      <c r="CG13" s="16"/>
      <c r="CH13" s="37"/>
      <c r="CI13" s="37">
        <v>1</v>
      </c>
      <c r="CJ13" s="37"/>
      <c r="CK13" s="37">
        <v>1</v>
      </c>
      <c r="CL13" s="16"/>
      <c r="CN13" s="16"/>
      <c r="CO13" s="37"/>
      <c r="CP13" s="37"/>
      <c r="CQ13" s="37"/>
      <c r="CR13" s="37"/>
      <c r="CS13" s="16"/>
      <c r="CU13" s="16"/>
      <c r="CV13" s="37"/>
      <c r="CW13" s="37"/>
      <c r="CX13" s="37"/>
      <c r="CY13" s="37"/>
      <c r="CZ13" s="16"/>
      <c r="DB13" s="16"/>
      <c r="DC13" s="37"/>
      <c r="DD13" s="37"/>
      <c r="DE13" s="37"/>
      <c r="DF13" s="37"/>
      <c r="DG13" s="16"/>
      <c r="DI13" s="16"/>
      <c r="DJ13" s="37"/>
      <c r="DK13" s="37"/>
      <c r="DL13" s="37"/>
      <c r="DM13" s="37"/>
      <c r="DN13" s="16"/>
    </row>
    <row r="14" spans="1:118" outlineLevel="1">
      <c r="A14">
        <v>10</v>
      </c>
      <c r="B14" s="16" t="s">
        <v>28</v>
      </c>
      <c r="C14" s="16"/>
      <c r="D14" s="16"/>
      <c r="E14" s="17"/>
      <c r="F14" s="16" t="s">
        <v>121</v>
      </c>
      <c r="G14" s="11">
        <v>0.1</v>
      </c>
      <c r="I14" s="17">
        <f t="shared" si="1"/>
        <v>0</v>
      </c>
      <c r="J14" s="39">
        <f t="shared" si="0"/>
        <v>0</v>
      </c>
      <c r="K14" s="39">
        <f t="shared" si="0"/>
        <v>0</v>
      </c>
      <c r="L14" s="17"/>
      <c r="N14" s="16"/>
      <c r="O14" s="37"/>
      <c r="P14" s="37"/>
      <c r="Q14" s="37"/>
      <c r="R14" s="37"/>
      <c r="S14" s="16"/>
      <c r="U14" s="16"/>
      <c r="V14" s="37"/>
      <c r="W14" s="37"/>
      <c r="X14" s="37"/>
      <c r="Y14" s="37"/>
      <c r="Z14" s="16"/>
      <c r="AB14" s="16"/>
      <c r="AC14" s="37"/>
      <c r="AD14" s="37"/>
      <c r="AE14" s="37"/>
      <c r="AF14" s="37"/>
      <c r="AG14" s="16"/>
      <c r="AI14" s="16"/>
      <c r="AJ14" s="37"/>
      <c r="AK14" s="37"/>
      <c r="AL14" s="37"/>
      <c r="AM14" s="37"/>
      <c r="AN14" s="16"/>
      <c r="AP14" s="16"/>
      <c r="AQ14" s="37"/>
      <c r="AR14" s="37"/>
      <c r="AS14" s="37"/>
      <c r="AT14" s="37"/>
      <c r="AU14" s="16"/>
      <c r="AW14" s="16"/>
      <c r="AX14" s="37"/>
      <c r="AY14" s="37"/>
      <c r="AZ14" s="37"/>
      <c r="BA14" s="37"/>
      <c r="BB14" s="16"/>
      <c r="BD14" s="16"/>
      <c r="BE14" s="37"/>
      <c r="BF14" s="37"/>
      <c r="BG14" s="37"/>
      <c r="BH14" s="37"/>
      <c r="BI14" s="16"/>
      <c r="BL14" s="16"/>
      <c r="BM14" s="37"/>
      <c r="BN14" s="37">
        <v>0.5</v>
      </c>
      <c r="BO14" s="37"/>
      <c r="BP14" s="37">
        <v>0.5</v>
      </c>
      <c r="BQ14" s="16"/>
      <c r="BS14" s="16"/>
      <c r="BT14" s="37"/>
      <c r="BU14" s="37">
        <v>0.8</v>
      </c>
      <c r="BV14" s="37"/>
      <c r="BW14" s="37">
        <v>0.8</v>
      </c>
      <c r="BX14" s="16"/>
      <c r="BZ14" s="16"/>
      <c r="CA14" s="37"/>
      <c r="CB14" s="37">
        <v>0.8</v>
      </c>
      <c r="CC14" s="37"/>
      <c r="CD14" s="37">
        <v>0.8</v>
      </c>
      <c r="CE14" s="16"/>
      <c r="CG14" s="16"/>
      <c r="CH14" s="37"/>
      <c r="CI14" s="37">
        <v>1</v>
      </c>
      <c r="CJ14" s="37"/>
      <c r="CK14" s="37">
        <v>1</v>
      </c>
      <c r="CL14" s="16"/>
      <c r="CN14" s="16"/>
      <c r="CO14" s="37"/>
      <c r="CP14" s="37"/>
      <c r="CQ14" s="37"/>
      <c r="CR14" s="37"/>
      <c r="CS14" s="16"/>
      <c r="CU14" s="16"/>
      <c r="CV14" s="37"/>
      <c r="CW14" s="37"/>
      <c r="CX14" s="37"/>
      <c r="CY14" s="37"/>
      <c r="CZ14" s="16"/>
      <c r="DB14" s="16"/>
      <c r="DC14" s="37"/>
      <c r="DD14" s="37"/>
      <c r="DE14" s="37"/>
      <c r="DF14" s="37"/>
      <c r="DG14" s="16"/>
      <c r="DI14" s="16"/>
      <c r="DJ14" s="37"/>
      <c r="DK14" s="37"/>
      <c r="DL14" s="37"/>
      <c r="DM14" s="37"/>
      <c r="DN14" s="16"/>
    </row>
    <row r="15" spans="1:118" outlineLevel="1">
      <c r="B15" s="16"/>
      <c r="C15" s="16"/>
      <c r="D15" s="19">
        <v>44546</v>
      </c>
      <c r="E15" s="17"/>
      <c r="F15" s="16"/>
      <c r="G15" s="11"/>
      <c r="I15" s="17">
        <f t="shared" si="1"/>
        <v>0</v>
      </c>
      <c r="J15" s="39">
        <f t="shared" si="0"/>
        <v>0</v>
      </c>
      <c r="K15" s="39">
        <f t="shared" si="0"/>
        <v>0</v>
      </c>
      <c r="L15" s="17"/>
      <c r="N15" s="16"/>
      <c r="O15" s="37"/>
      <c r="P15" s="37"/>
      <c r="Q15" s="37"/>
      <c r="R15" s="37"/>
      <c r="S15" s="16"/>
      <c r="U15" s="16"/>
      <c r="V15" s="37"/>
      <c r="W15" s="37"/>
      <c r="X15" s="37"/>
      <c r="Y15" s="37"/>
      <c r="Z15" s="16"/>
      <c r="AB15" s="16"/>
      <c r="AC15" s="37"/>
      <c r="AD15" s="37"/>
      <c r="AE15" s="37"/>
      <c r="AF15" s="37"/>
      <c r="AG15" s="16"/>
      <c r="AI15" s="16"/>
      <c r="AJ15" s="37"/>
      <c r="AK15" s="37"/>
      <c r="AL15" s="37"/>
      <c r="AM15" s="37"/>
      <c r="AN15" s="16"/>
      <c r="AP15" s="42"/>
      <c r="AQ15" s="37"/>
      <c r="AR15" s="37"/>
      <c r="AS15" s="37"/>
      <c r="AT15" s="37"/>
      <c r="AU15" s="16"/>
      <c r="AW15" s="16"/>
      <c r="AX15" s="37"/>
      <c r="AY15" s="37"/>
      <c r="AZ15" s="37"/>
      <c r="BA15" s="37"/>
      <c r="BB15" s="16"/>
      <c r="BD15" s="16"/>
      <c r="BE15" s="37"/>
      <c r="BF15" s="37"/>
      <c r="BG15" s="37"/>
      <c r="BH15" s="37"/>
      <c r="BI15" s="16"/>
      <c r="BL15" s="16"/>
      <c r="BM15" s="37"/>
      <c r="BN15" s="37"/>
      <c r="BO15" s="37"/>
      <c r="BP15" s="37"/>
      <c r="BQ15" s="16"/>
      <c r="BS15" s="16"/>
      <c r="BT15" s="37"/>
      <c r="BU15" s="37"/>
      <c r="BV15" s="37"/>
      <c r="BW15" s="37"/>
      <c r="BX15" s="16"/>
      <c r="BZ15" s="16"/>
      <c r="CA15" s="37"/>
      <c r="CB15" s="37"/>
      <c r="CC15" s="37"/>
      <c r="CD15" s="37"/>
      <c r="CE15" s="16"/>
      <c r="CG15" s="16"/>
      <c r="CH15" s="37"/>
      <c r="CI15" s="37"/>
      <c r="CJ15" s="37"/>
      <c r="CK15" s="37"/>
      <c r="CL15" s="16"/>
      <c r="CN15" s="16"/>
      <c r="CO15" s="37"/>
      <c r="CP15" s="37"/>
      <c r="CQ15" s="37"/>
      <c r="CR15" s="37"/>
      <c r="CS15" s="16"/>
      <c r="CU15" s="16"/>
      <c r="CV15" s="37"/>
      <c r="CW15" s="37"/>
      <c r="CX15" s="37"/>
      <c r="CY15" s="37"/>
      <c r="CZ15" s="16"/>
      <c r="DB15" s="16"/>
      <c r="DC15" s="37"/>
      <c r="DD15" s="37"/>
      <c r="DE15" s="37"/>
      <c r="DF15" s="37"/>
      <c r="DG15" s="16"/>
      <c r="DI15" s="16"/>
      <c r="DJ15" s="37"/>
      <c r="DK15" s="37"/>
      <c r="DL15" s="37"/>
      <c r="DM15" s="37"/>
      <c r="DN15" s="16"/>
    </row>
    <row r="16" spans="1:118">
      <c r="B16" t="s">
        <v>49</v>
      </c>
      <c r="I16" s="26"/>
      <c r="J16" s="50"/>
      <c r="K16" s="50"/>
      <c r="L16" s="26"/>
      <c r="O16" s="8"/>
      <c r="V16" s="8"/>
      <c r="AC16" s="8"/>
      <c r="AJ16" s="8"/>
      <c r="AQ16" s="8"/>
      <c r="AX16" s="8"/>
      <c r="BE16" s="8"/>
      <c r="BM16" s="48"/>
      <c r="BN16" s="48"/>
      <c r="BO16" s="48"/>
    </row>
    <row r="17" spans="1:118" outlineLevel="1">
      <c r="B17" s="25"/>
      <c r="C17" s="25"/>
      <c r="D17" s="25"/>
      <c r="E17" s="26"/>
      <c r="F17" s="27"/>
      <c r="G17" s="11"/>
      <c r="I17" s="26"/>
      <c r="J17" s="50"/>
      <c r="K17" s="50"/>
      <c r="L17" s="26"/>
      <c r="O17" s="11"/>
      <c r="P17" s="11"/>
      <c r="Q17" s="11"/>
      <c r="R17" s="11"/>
      <c r="V17" s="11"/>
      <c r="W17" s="11"/>
      <c r="X17" s="11"/>
      <c r="Y17" s="11"/>
      <c r="AC17" s="11"/>
      <c r="AD17" s="11"/>
      <c r="AE17" s="11"/>
      <c r="AF17" s="11"/>
      <c r="AJ17" s="11"/>
      <c r="AK17" s="11"/>
      <c r="AL17" s="11"/>
      <c r="AM17" s="11"/>
      <c r="AQ17" s="11"/>
      <c r="AR17" s="11"/>
      <c r="AS17" s="11"/>
      <c r="AT17" s="11"/>
      <c r="AX17" s="11"/>
      <c r="AY17" s="11"/>
      <c r="AZ17" s="11"/>
      <c r="BA17" s="11"/>
      <c r="BE17" s="11"/>
      <c r="BF17" s="11"/>
      <c r="BG17" s="11"/>
      <c r="BH17" s="11"/>
    </row>
    <row r="18" spans="1:118">
      <c r="I18" s="26"/>
      <c r="J18" s="50"/>
      <c r="K18" s="50"/>
      <c r="L18" s="26"/>
      <c r="BM18" s="48"/>
      <c r="BN18" s="48"/>
      <c r="BO18" s="48"/>
      <c r="CB18" s="48"/>
      <c r="CC18" s="48"/>
    </row>
    <row r="19" spans="1:118" ht="16" thickBot="1">
      <c r="B19" s="21" t="s">
        <v>27</v>
      </c>
      <c r="C19" s="21" t="s">
        <v>58</v>
      </c>
      <c r="D19" s="21"/>
      <c r="E19" s="22">
        <v>6</v>
      </c>
      <c r="F19" s="21"/>
      <c r="G19" s="11">
        <f>+SUM(G20:G31)</f>
        <v>0.9998999999999999</v>
      </c>
      <c r="I19" s="36" cm="1">
        <f t="array" aca="1" ref="I19" ca="1">I19:AU32=+SUM(I20:I31)</f>
        <v>0</v>
      </c>
      <c r="J19" s="39">
        <f>+SUMPRODUCT(G20:G31,J20:J31)</f>
        <v>0</v>
      </c>
      <c r="K19" s="39">
        <f>+SUMPRODUCT(G20:G31,K20:K31)</f>
        <v>0</v>
      </c>
      <c r="L19" s="17"/>
      <c r="N19" s="36">
        <f>+SUM(N20:N31)</f>
        <v>0</v>
      </c>
      <c r="O19" s="16"/>
      <c r="P19" s="16"/>
      <c r="Q19" s="16"/>
      <c r="R19" s="16"/>
      <c r="S19" s="16"/>
      <c r="U19" s="36"/>
      <c r="V19" s="37"/>
      <c r="W19" s="16"/>
      <c r="X19" s="16"/>
      <c r="Y19" s="16"/>
      <c r="Z19" s="16"/>
      <c r="AB19" s="36"/>
      <c r="AC19" s="16"/>
      <c r="AD19" s="16"/>
      <c r="AE19" s="16"/>
      <c r="AF19" s="16"/>
      <c r="AG19" s="16"/>
      <c r="AI19" s="36"/>
      <c r="AJ19" s="16"/>
      <c r="AK19" s="16"/>
      <c r="AL19" s="16"/>
      <c r="AM19" s="16"/>
      <c r="AN19" s="16"/>
      <c r="AP19" s="36"/>
      <c r="AQ19" s="16"/>
      <c r="AR19" s="16"/>
      <c r="AS19" s="16"/>
      <c r="AT19" s="16"/>
      <c r="AU19" s="16"/>
      <c r="AW19" s="36">
        <f>+SUM(AW20:AW31)</f>
        <v>0</v>
      </c>
      <c r="AX19" s="37"/>
      <c r="AY19" s="37"/>
      <c r="AZ19" s="41"/>
      <c r="BA19" s="37"/>
      <c r="BB19" s="16"/>
      <c r="BD19" s="36">
        <f>+SUM(BD20:BD31)</f>
        <v>0</v>
      </c>
      <c r="BE19" s="37"/>
      <c r="BF19" s="37"/>
      <c r="BG19" s="41"/>
      <c r="BH19" s="37"/>
      <c r="BI19" s="16"/>
      <c r="BL19" s="36">
        <f>+SUM(BL20:BL31)</f>
        <v>0</v>
      </c>
      <c r="BM19" s="37"/>
      <c r="BN19" s="37"/>
      <c r="BO19" s="41"/>
      <c r="BP19" s="37"/>
      <c r="BQ19" s="16"/>
      <c r="BS19" s="36">
        <f>+SUM(BS20:BS31)</f>
        <v>0</v>
      </c>
      <c r="BT19" s="37"/>
      <c r="BU19" s="37"/>
      <c r="BV19" s="41"/>
      <c r="BW19" s="37"/>
      <c r="BX19" s="16"/>
      <c r="BZ19" s="36">
        <f>+SUM(BZ20:BZ31)</f>
        <v>0</v>
      </c>
      <c r="CA19" s="37"/>
      <c r="CB19" s="37"/>
      <c r="CC19" s="41"/>
      <c r="CD19" s="37"/>
      <c r="CE19" s="16"/>
      <c r="CG19" s="36">
        <f>+SUM(CG20:CG31)</f>
        <v>0</v>
      </c>
      <c r="CH19" s="37"/>
      <c r="CI19" s="37"/>
      <c r="CJ19" s="41"/>
      <c r="CK19" s="37"/>
      <c r="CL19" s="16"/>
      <c r="CN19" s="36">
        <f>+SUM(CN20:CN31)</f>
        <v>0</v>
      </c>
      <c r="CO19" s="37"/>
      <c r="CP19" s="37"/>
      <c r="CQ19" s="41"/>
      <c r="CR19" s="37"/>
      <c r="CS19" s="16"/>
      <c r="CU19" s="36">
        <f>+SUM(CU20:CU31)</f>
        <v>0</v>
      </c>
      <c r="CV19" s="37"/>
      <c r="CW19" s="37"/>
      <c r="CX19" s="41"/>
      <c r="CY19" s="37"/>
      <c r="CZ19" s="16"/>
      <c r="DB19" s="36">
        <f>+SUM(DB20:DB31)</f>
        <v>0</v>
      </c>
      <c r="DC19" s="37"/>
      <c r="DD19" s="37"/>
      <c r="DE19" s="41"/>
      <c r="DF19" s="37"/>
      <c r="DG19" s="16"/>
      <c r="DI19" s="36">
        <f>+SUM(DI20:DI31)</f>
        <v>0</v>
      </c>
      <c r="DJ19" s="37"/>
      <c r="DK19" s="37"/>
      <c r="DL19" s="41"/>
      <c r="DM19" s="37"/>
      <c r="DN19" s="16"/>
    </row>
    <row r="20" spans="1:118" outlineLevel="1">
      <c r="A20">
        <v>1</v>
      </c>
      <c r="B20" s="20" t="s">
        <v>28</v>
      </c>
      <c r="C20" s="20"/>
      <c r="D20" s="20"/>
      <c r="E20" s="23"/>
      <c r="F20" s="20" t="s">
        <v>59</v>
      </c>
      <c r="G20" s="11">
        <v>9.0899999999999995E-2</v>
      </c>
      <c r="I20" s="17">
        <f>+SUMIF($N$3:$ZZ$3,I$3,$N20:$ZZ20)</f>
        <v>0</v>
      </c>
      <c r="J20" s="39">
        <f t="shared" ref="J20:K33" si="2">+_xlfn.MAXIFS($N20:$ZF20,$N$3:$ZF$3,J$3)</f>
        <v>0</v>
      </c>
      <c r="K20" s="39">
        <f t="shared" si="2"/>
        <v>0</v>
      </c>
      <c r="L20" s="17"/>
      <c r="N20" s="16"/>
      <c r="O20" s="37"/>
      <c r="P20" s="37">
        <v>0.5</v>
      </c>
      <c r="Q20" s="37"/>
      <c r="R20" s="37">
        <v>0.5</v>
      </c>
      <c r="S20" s="16"/>
      <c r="U20" s="16"/>
      <c r="V20" s="37"/>
      <c r="W20" s="37">
        <v>0.5</v>
      </c>
      <c r="X20" s="37"/>
      <c r="Y20" s="37">
        <v>0.5</v>
      </c>
      <c r="Z20" s="16"/>
      <c r="AB20" s="16"/>
      <c r="AC20" s="37"/>
      <c r="AD20" s="37">
        <v>0.5</v>
      </c>
      <c r="AE20" s="37"/>
      <c r="AF20" s="37">
        <v>0.5</v>
      </c>
      <c r="AG20" s="16"/>
      <c r="AI20" s="16"/>
      <c r="AJ20" s="37"/>
      <c r="AK20" s="37">
        <v>0.8</v>
      </c>
      <c r="AL20" s="37"/>
      <c r="AM20" s="37">
        <v>0.8</v>
      </c>
      <c r="AN20" s="16"/>
      <c r="AP20" s="16"/>
      <c r="AQ20" s="37"/>
      <c r="AR20" s="37">
        <v>0.8</v>
      </c>
      <c r="AS20" s="37"/>
      <c r="AT20" s="37">
        <v>0.8</v>
      </c>
      <c r="AU20" s="16"/>
      <c r="AW20" s="16"/>
      <c r="AX20" s="37"/>
      <c r="AY20" s="37">
        <v>0.8</v>
      </c>
      <c r="AZ20" s="37"/>
      <c r="BA20" s="37">
        <v>0.8</v>
      </c>
      <c r="BB20" s="16"/>
      <c r="BD20" s="16"/>
      <c r="BE20" s="37"/>
      <c r="BF20" s="37">
        <v>0.8</v>
      </c>
      <c r="BG20" s="37"/>
      <c r="BH20" s="37">
        <v>0.8</v>
      </c>
      <c r="BI20" s="16"/>
      <c r="BL20" s="16"/>
      <c r="BM20" s="37"/>
      <c r="BN20" s="37">
        <v>0.8</v>
      </c>
      <c r="BO20" s="37"/>
      <c r="BP20" s="37">
        <v>0.8</v>
      </c>
      <c r="BQ20" s="16"/>
      <c r="BS20" s="16"/>
      <c r="BT20" s="37"/>
      <c r="BU20" s="37">
        <v>1</v>
      </c>
      <c r="BV20" s="37"/>
      <c r="BW20" s="37">
        <v>1</v>
      </c>
      <c r="BX20" s="16"/>
      <c r="BZ20" s="16"/>
      <c r="CA20" s="37"/>
      <c r="CB20" s="37">
        <v>1</v>
      </c>
      <c r="CC20" s="37"/>
      <c r="CD20" s="37">
        <v>1</v>
      </c>
      <c r="CE20" s="16"/>
      <c r="CG20" s="16"/>
      <c r="CH20" s="37"/>
      <c r="CI20" s="37">
        <v>1</v>
      </c>
      <c r="CJ20" s="37"/>
      <c r="CK20" s="37">
        <v>1</v>
      </c>
      <c r="CL20" s="16"/>
      <c r="CN20" s="16"/>
      <c r="CO20" s="37"/>
      <c r="CP20" s="37">
        <v>1</v>
      </c>
      <c r="CQ20" s="37"/>
      <c r="CR20" s="37">
        <v>1</v>
      </c>
      <c r="CS20" s="16"/>
      <c r="CU20" s="16"/>
      <c r="CV20" s="37"/>
      <c r="CW20" s="37"/>
      <c r="CX20" s="37"/>
      <c r="CY20" s="37"/>
      <c r="CZ20" s="16"/>
      <c r="DB20" s="16"/>
      <c r="DC20" s="37"/>
      <c r="DD20" s="37"/>
      <c r="DE20" s="37"/>
      <c r="DF20" s="37"/>
      <c r="DG20" s="16"/>
      <c r="DI20" s="16"/>
      <c r="DJ20" s="37"/>
      <c r="DK20" s="37"/>
      <c r="DL20" s="37"/>
      <c r="DM20" s="37"/>
      <c r="DN20" s="16"/>
    </row>
    <row r="21" spans="1:118" ht="31" outlineLevel="1">
      <c r="A21">
        <v>2</v>
      </c>
      <c r="B21" s="16" t="s">
        <v>28</v>
      </c>
      <c r="C21" s="16"/>
      <c r="D21" s="16"/>
      <c r="E21" s="17"/>
      <c r="F21" s="18" t="s">
        <v>60</v>
      </c>
      <c r="G21" s="11">
        <v>9.0899999999999995E-2</v>
      </c>
      <c r="I21" s="17">
        <f t="shared" ref="I21:I30" si="3">+SUMIF($N$3:$ZZ$3,I$3,$N21:$ZZ21)</f>
        <v>0</v>
      </c>
      <c r="J21" s="39">
        <f t="shared" si="2"/>
        <v>0</v>
      </c>
      <c r="K21" s="39">
        <f t="shared" si="2"/>
        <v>0</v>
      </c>
      <c r="L21" s="17"/>
      <c r="N21" s="16"/>
      <c r="O21" s="37"/>
      <c r="P21" s="37"/>
      <c r="Q21" s="37"/>
      <c r="R21" s="37"/>
      <c r="S21" s="16"/>
      <c r="U21" s="16"/>
      <c r="V21" s="37"/>
      <c r="W21" s="37">
        <v>0.5</v>
      </c>
      <c r="X21" s="37"/>
      <c r="Y21" s="37">
        <v>0.5</v>
      </c>
      <c r="Z21" s="16"/>
      <c r="AB21" s="16"/>
      <c r="AC21" s="37"/>
      <c r="AD21" s="37">
        <v>0.5</v>
      </c>
      <c r="AE21" s="37"/>
      <c r="AF21" s="37">
        <v>0.5</v>
      </c>
      <c r="AG21" s="16"/>
      <c r="AI21" s="16"/>
      <c r="AJ21" s="37"/>
      <c r="AK21" s="37">
        <v>0.8</v>
      </c>
      <c r="AL21" s="37"/>
      <c r="AM21" s="37">
        <v>0.8</v>
      </c>
      <c r="AN21" s="16"/>
      <c r="AP21" s="16"/>
      <c r="AQ21" s="37"/>
      <c r="AR21" s="37">
        <v>0.8</v>
      </c>
      <c r="AS21" s="37"/>
      <c r="AT21" s="37">
        <v>0.8</v>
      </c>
      <c r="AU21" s="16"/>
      <c r="AW21" s="16"/>
      <c r="AX21" s="37"/>
      <c r="AY21" s="37">
        <v>0.8</v>
      </c>
      <c r="AZ21" s="37"/>
      <c r="BA21" s="37">
        <v>0.8</v>
      </c>
      <c r="BB21" s="16"/>
      <c r="BD21" s="16"/>
      <c r="BE21" s="37"/>
      <c r="BF21" s="37">
        <v>0.8</v>
      </c>
      <c r="BG21" s="37"/>
      <c r="BH21" s="37">
        <v>0.8</v>
      </c>
      <c r="BI21" s="16"/>
      <c r="BL21" s="16"/>
      <c r="BM21" s="37"/>
      <c r="BN21" s="37">
        <v>0.8</v>
      </c>
      <c r="BO21" s="37"/>
      <c r="BP21" s="37">
        <v>0.8</v>
      </c>
      <c r="BQ21" s="16"/>
      <c r="BS21" s="16"/>
      <c r="BT21" s="37"/>
      <c r="BU21" s="37">
        <v>1</v>
      </c>
      <c r="BV21" s="37"/>
      <c r="BW21" s="37">
        <v>1</v>
      </c>
      <c r="BX21" s="16"/>
      <c r="BZ21" s="16"/>
      <c r="CA21" s="37"/>
      <c r="CB21" s="37">
        <v>1</v>
      </c>
      <c r="CC21" s="37"/>
      <c r="CD21" s="37">
        <v>1</v>
      </c>
      <c r="CE21" s="16"/>
      <c r="CG21" s="16"/>
      <c r="CH21" s="37"/>
      <c r="CI21" s="37">
        <v>1</v>
      </c>
      <c r="CJ21" s="37"/>
      <c r="CK21" s="37">
        <v>1</v>
      </c>
      <c r="CL21" s="16"/>
      <c r="CN21" s="16"/>
      <c r="CO21" s="37"/>
      <c r="CP21" s="37">
        <v>1</v>
      </c>
      <c r="CQ21" s="37"/>
      <c r="CR21" s="37">
        <v>1</v>
      </c>
      <c r="CS21" s="16"/>
      <c r="CU21" s="16"/>
      <c r="CV21" s="37"/>
      <c r="CW21" s="37"/>
      <c r="CX21" s="37"/>
      <c r="CY21" s="37"/>
      <c r="CZ21" s="16"/>
      <c r="DB21" s="16"/>
      <c r="DC21" s="37"/>
      <c r="DD21" s="37"/>
      <c r="DE21" s="37"/>
      <c r="DF21" s="37"/>
      <c r="DG21" s="16"/>
      <c r="DI21" s="16"/>
      <c r="DJ21" s="37"/>
      <c r="DK21" s="37"/>
      <c r="DL21" s="37"/>
      <c r="DM21" s="37"/>
      <c r="DN21" s="16"/>
    </row>
    <row r="22" spans="1:118" ht="31" outlineLevel="1">
      <c r="A22">
        <v>3</v>
      </c>
      <c r="B22" s="16" t="s">
        <v>28</v>
      </c>
      <c r="C22" s="16"/>
      <c r="D22" s="16"/>
      <c r="E22" s="17"/>
      <c r="F22" s="18" t="s">
        <v>61</v>
      </c>
      <c r="G22" s="11">
        <v>9.0899999999999995E-2</v>
      </c>
      <c r="I22" s="17">
        <f t="shared" si="3"/>
        <v>0</v>
      </c>
      <c r="J22" s="39">
        <f t="shared" si="2"/>
        <v>0</v>
      </c>
      <c r="K22" s="39">
        <f t="shared" si="2"/>
        <v>0</v>
      </c>
      <c r="L22" s="17"/>
      <c r="N22" s="16"/>
      <c r="O22" s="37"/>
      <c r="P22" s="37"/>
      <c r="Q22" s="37"/>
      <c r="R22" s="37"/>
      <c r="S22" s="16"/>
      <c r="U22" s="16"/>
      <c r="V22" s="37"/>
      <c r="W22" s="37"/>
      <c r="X22" s="37"/>
      <c r="Y22" s="37"/>
      <c r="Z22" s="16"/>
      <c r="AB22" s="16"/>
      <c r="AC22" s="37"/>
      <c r="AD22" s="37">
        <v>0.5</v>
      </c>
      <c r="AE22" s="37"/>
      <c r="AF22" s="37">
        <v>0.5</v>
      </c>
      <c r="AG22" s="16"/>
      <c r="AI22" s="16"/>
      <c r="AJ22" s="37"/>
      <c r="AK22" s="37">
        <v>0.5</v>
      </c>
      <c r="AL22" s="37"/>
      <c r="AM22" s="37">
        <v>0.5</v>
      </c>
      <c r="AN22" s="16"/>
      <c r="AP22" s="16"/>
      <c r="AQ22" s="37"/>
      <c r="AR22" s="37">
        <v>0.8</v>
      </c>
      <c r="AS22" s="37"/>
      <c r="AT22" s="37">
        <v>0.8</v>
      </c>
      <c r="AU22" s="16"/>
      <c r="AW22" s="16"/>
      <c r="AX22" s="37"/>
      <c r="AY22" s="37">
        <v>0.8</v>
      </c>
      <c r="AZ22" s="37"/>
      <c r="BA22" s="37">
        <v>0.8</v>
      </c>
      <c r="BB22" s="16"/>
      <c r="BD22" s="16"/>
      <c r="BE22" s="37"/>
      <c r="BF22" s="37">
        <v>0.8</v>
      </c>
      <c r="BG22" s="37"/>
      <c r="BH22" s="37">
        <v>0.8</v>
      </c>
      <c r="BI22" s="16"/>
      <c r="BL22" s="16"/>
      <c r="BM22" s="37"/>
      <c r="BN22" s="37">
        <v>0.8</v>
      </c>
      <c r="BO22" s="37"/>
      <c r="BP22" s="37">
        <v>0.8</v>
      </c>
      <c r="BQ22" s="16"/>
      <c r="BS22" s="16"/>
      <c r="BT22" s="37"/>
      <c r="BU22" s="37">
        <v>0.8</v>
      </c>
      <c r="BV22" s="37"/>
      <c r="BW22" s="37">
        <v>0.8</v>
      </c>
      <c r="BX22" s="16"/>
      <c r="BZ22" s="16"/>
      <c r="CA22" s="37"/>
      <c r="CB22" s="37">
        <v>1</v>
      </c>
      <c r="CC22" s="37"/>
      <c r="CD22" s="37">
        <v>1</v>
      </c>
      <c r="CE22" s="16"/>
      <c r="CG22" s="16"/>
      <c r="CH22" s="37"/>
      <c r="CI22" s="37">
        <v>1</v>
      </c>
      <c r="CJ22" s="37"/>
      <c r="CK22" s="37">
        <v>1</v>
      </c>
      <c r="CL22" s="16"/>
      <c r="CN22" s="16"/>
      <c r="CO22" s="37"/>
      <c r="CP22" s="37">
        <v>1</v>
      </c>
      <c r="CQ22" s="37"/>
      <c r="CR22" s="37">
        <v>1</v>
      </c>
      <c r="CS22" s="16"/>
      <c r="CU22" s="16"/>
      <c r="CV22" s="37"/>
      <c r="CW22" s="37"/>
      <c r="CX22" s="37"/>
      <c r="CY22" s="37"/>
      <c r="CZ22" s="16"/>
      <c r="DB22" s="16"/>
      <c r="DC22" s="37"/>
      <c r="DD22" s="37"/>
      <c r="DE22" s="37"/>
      <c r="DF22" s="37"/>
      <c r="DG22" s="16"/>
      <c r="DI22" s="16"/>
      <c r="DJ22" s="37"/>
      <c r="DK22" s="37"/>
      <c r="DL22" s="37"/>
      <c r="DM22" s="37"/>
      <c r="DN22" s="16"/>
    </row>
    <row r="23" spans="1:118" outlineLevel="1">
      <c r="A23">
        <v>4</v>
      </c>
      <c r="B23" s="16" t="s">
        <v>28</v>
      </c>
      <c r="C23" s="16"/>
      <c r="D23" s="16"/>
      <c r="E23" s="17"/>
      <c r="F23" s="16" t="s">
        <v>63</v>
      </c>
      <c r="G23" s="11">
        <v>9.0899999999999995E-2</v>
      </c>
      <c r="I23" s="17">
        <f t="shared" si="3"/>
        <v>0</v>
      </c>
      <c r="J23" s="39">
        <f t="shared" si="2"/>
        <v>0</v>
      </c>
      <c r="K23" s="39">
        <f t="shared" si="2"/>
        <v>0</v>
      </c>
      <c r="L23" s="17"/>
      <c r="N23" s="16"/>
      <c r="O23" s="37"/>
      <c r="P23" s="37"/>
      <c r="Q23" s="37"/>
      <c r="R23" s="37"/>
      <c r="S23" s="16"/>
      <c r="U23" s="16"/>
      <c r="V23" s="37"/>
      <c r="W23" s="37"/>
      <c r="X23" s="37"/>
      <c r="Y23" s="37"/>
      <c r="Z23" s="16"/>
      <c r="AB23" s="16"/>
      <c r="AC23" s="37"/>
      <c r="AD23" s="37"/>
      <c r="AE23" s="37"/>
      <c r="AF23" s="37"/>
      <c r="AG23" s="16"/>
      <c r="AI23" s="16"/>
      <c r="AJ23" s="37"/>
      <c r="AK23" s="37">
        <v>0.5</v>
      </c>
      <c r="AL23" s="37"/>
      <c r="AM23" s="37">
        <v>0.5</v>
      </c>
      <c r="AN23" s="16"/>
      <c r="AP23" s="16"/>
      <c r="AQ23" s="37"/>
      <c r="AR23" s="37">
        <v>0.8</v>
      </c>
      <c r="AS23" s="37"/>
      <c r="AT23" s="37">
        <v>0.8</v>
      </c>
      <c r="AU23" s="16"/>
      <c r="AW23" s="16"/>
      <c r="AX23" s="37"/>
      <c r="AY23" s="37">
        <v>0.8</v>
      </c>
      <c r="AZ23" s="37"/>
      <c r="BA23" s="37">
        <v>0.8</v>
      </c>
      <c r="BB23" s="16"/>
      <c r="BD23" s="16"/>
      <c r="BE23" s="37"/>
      <c r="BF23" s="37">
        <v>0.8</v>
      </c>
      <c r="BG23" s="37"/>
      <c r="BH23" s="37">
        <v>0.8</v>
      </c>
      <c r="BI23" s="16"/>
      <c r="BL23" s="16"/>
      <c r="BM23" s="37"/>
      <c r="BN23" s="37">
        <v>0.8</v>
      </c>
      <c r="BO23" s="37"/>
      <c r="BP23" s="37">
        <v>0.8</v>
      </c>
      <c r="BQ23" s="16"/>
      <c r="BS23" s="16"/>
      <c r="BT23" s="37"/>
      <c r="BU23" s="37">
        <v>0.8</v>
      </c>
      <c r="BV23" s="37"/>
      <c r="BW23" s="37">
        <v>0.8</v>
      </c>
      <c r="BX23" s="16"/>
      <c r="BZ23" s="16"/>
      <c r="CA23" s="37"/>
      <c r="CB23" s="37">
        <v>1</v>
      </c>
      <c r="CC23" s="37"/>
      <c r="CD23" s="37">
        <v>1</v>
      </c>
      <c r="CE23" s="16"/>
      <c r="CG23" s="16"/>
      <c r="CH23" s="37"/>
      <c r="CI23" s="37">
        <v>1</v>
      </c>
      <c r="CJ23" s="37"/>
      <c r="CK23" s="37">
        <v>1</v>
      </c>
      <c r="CL23" s="16"/>
      <c r="CN23" s="16"/>
      <c r="CO23" s="37"/>
      <c r="CP23" s="37">
        <v>1</v>
      </c>
      <c r="CQ23" s="37"/>
      <c r="CR23" s="37">
        <v>1</v>
      </c>
      <c r="CS23" s="16"/>
      <c r="CU23" s="16"/>
      <c r="CV23" s="37"/>
      <c r="CW23" s="37"/>
      <c r="CX23" s="37"/>
      <c r="CY23" s="37"/>
      <c r="CZ23" s="16"/>
      <c r="DB23" s="16"/>
      <c r="DC23" s="37"/>
      <c r="DD23" s="37"/>
      <c r="DE23" s="37"/>
      <c r="DF23" s="37"/>
      <c r="DG23" s="16"/>
      <c r="DI23" s="16"/>
      <c r="DJ23" s="37"/>
      <c r="DK23" s="37"/>
      <c r="DL23" s="37"/>
      <c r="DM23" s="37"/>
      <c r="DN23" s="16"/>
    </row>
    <row r="24" spans="1:118" outlineLevel="1">
      <c r="A24">
        <v>5</v>
      </c>
      <c r="B24" s="16" t="s">
        <v>28</v>
      </c>
      <c r="C24" s="16"/>
      <c r="D24" s="16"/>
      <c r="E24" s="17"/>
      <c r="F24" s="16" t="s">
        <v>62</v>
      </c>
      <c r="G24" s="11">
        <v>9.0899999999999995E-2</v>
      </c>
      <c r="I24" s="17">
        <f t="shared" si="3"/>
        <v>0</v>
      </c>
      <c r="J24" s="39">
        <f t="shared" si="2"/>
        <v>0</v>
      </c>
      <c r="K24" s="39">
        <f t="shared" si="2"/>
        <v>0</v>
      </c>
      <c r="L24" s="17"/>
      <c r="N24" s="16"/>
      <c r="O24" s="37"/>
      <c r="P24" s="37"/>
      <c r="Q24" s="37"/>
      <c r="R24" s="37"/>
      <c r="S24" s="16"/>
      <c r="U24" s="16"/>
      <c r="V24" s="37"/>
      <c r="W24" s="37"/>
      <c r="X24" s="37"/>
      <c r="Y24" s="37"/>
      <c r="Z24" s="16"/>
      <c r="AB24" s="16"/>
      <c r="AC24" s="37"/>
      <c r="AD24" s="37"/>
      <c r="AE24" s="37"/>
      <c r="AF24" s="37"/>
      <c r="AG24" s="16"/>
      <c r="AI24" s="16"/>
      <c r="AJ24" s="37"/>
      <c r="AK24" s="37"/>
      <c r="AL24" s="37"/>
      <c r="AM24" s="37"/>
      <c r="AN24" s="16"/>
      <c r="AP24" s="16"/>
      <c r="AQ24" s="37"/>
      <c r="AR24" s="37">
        <v>0.5</v>
      </c>
      <c r="AS24" s="37"/>
      <c r="AT24" s="37">
        <v>0.5</v>
      </c>
      <c r="AU24" s="16"/>
      <c r="AW24" s="16"/>
      <c r="AX24" s="37"/>
      <c r="AY24" s="37">
        <v>0.8</v>
      </c>
      <c r="AZ24" s="37"/>
      <c r="BA24" s="37">
        <v>0.8</v>
      </c>
      <c r="BB24" s="16"/>
      <c r="BD24" s="16"/>
      <c r="BE24" s="37"/>
      <c r="BF24" s="37">
        <v>0.8</v>
      </c>
      <c r="BG24" s="37"/>
      <c r="BH24" s="37">
        <v>0.8</v>
      </c>
      <c r="BI24" s="16"/>
      <c r="BL24" s="16"/>
      <c r="BM24" s="37"/>
      <c r="BN24" s="37">
        <v>0.8</v>
      </c>
      <c r="BO24" s="37"/>
      <c r="BP24" s="37">
        <v>0.8</v>
      </c>
      <c r="BQ24" s="16"/>
      <c r="BS24" s="16"/>
      <c r="BT24" s="37"/>
      <c r="BU24" s="37">
        <v>0.8</v>
      </c>
      <c r="BV24" s="37"/>
      <c r="BW24" s="37">
        <v>0.8</v>
      </c>
      <c r="BX24" s="16"/>
      <c r="BZ24" s="16"/>
      <c r="CA24" s="37"/>
      <c r="CB24" s="37">
        <v>0.8</v>
      </c>
      <c r="CC24" s="37"/>
      <c r="CD24" s="37">
        <v>0.8</v>
      </c>
      <c r="CE24" s="16"/>
      <c r="CG24" s="16"/>
      <c r="CH24" s="37"/>
      <c r="CI24" s="37">
        <v>1</v>
      </c>
      <c r="CJ24" s="37"/>
      <c r="CK24" s="37">
        <v>1</v>
      </c>
      <c r="CL24" s="16"/>
      <c r="CN24" s="16"/>
      <c r="CO24" s="37"/>
      <c r="CP24" s="37">
        <v>1</v>
      </c>
      <c r="CQ24" s="37"/>
      <c r="CR24" s="37">
        <v>1</v>
      </c>
      <c r="CS24" s="16"/>
      <c r="CU24" s="16"/>
      <c r="CV24" s="37"/>
      <c r="CW24" s="37"/>
      <c r="CX24" s="37"/>
      <c r="CY24" s="37"/>
      <c r="CZ24" s="16"/>
      <c r="DB24" s="16"/>
      <c r="DC24" s="37"/>
      <c r="DD24" s="37"/>
      <c r="DE24" s="37"/>
      <c r="DF24" s="37"/>
      <c r="DG24" s="16"/>
      <c r="DI24" s="16"/>
      <c r="DJ24" s="37"/>
      <c r="DK24" s="37"/>
      <c r="DL24" s="37"/>
      <c r="DM24" s="37"/>
      <c r="DN24" s="16"/>
    </row>
    <row r="25" spans="1:118" outlineLevel="1">
      <c r="A25">
        <v>6</v>
      </c>
      <c r="B25" s="16" t="s">
        <v>28</v>
      </c>
      <c r="C25" s="16"/>
      <c r="D25" s="16"/>
      <c r="E25" s="17"/>
      <c r="F25" s="16" t="s">
        <v>64</v>
      </c>
      <c r="G25" s="11">
        <v>9.0899999999999995E-2</v>
      </c>
      <c r="I25" s="17">
        <f t="shared" si="3"/>
        <v>0</v>
      </c>
      <c r="J25" s="39">
        <f t="shared" si="2"/>
        <v>0</v>
      </c>
      <c r="K25" s="39">
        <f t="shared" si="2"/>
        <v>0</v>
      </c>
      <c r="L25" s="17"/>
      <c r="N25" s="16"/>
      <c r="O25" s="37"/>
      <c r="P25" s="37"/>
      <c r="Q25" s="37"/>
      <c r="R25" s="37"/>
      <c r="S25" s="16"/>
      <c r="U25" s="16"/>
      <c r="V25" s="37"/>
      <c r="W25" s="37"/>
      <c r="X25" s="37"/>
      <c r="Y25" s="37"/>
      <c r="Z25" s="16"/>
      <c r="AB25" s="16"/>
      <c r="AC25" s="37"/>
      <c r="AD25" s="37"/>
      <c r="AE25" s="37"/>
      <c r="AF25" s="37"/>
      <c r="AG25" s="16"/>
      <c r="AI25" s="16"/>
      <c r="AJ25" s="37"/>
      <c r="AK25" s="37"/>
      <c r="AL25" s="37"/>
      <c r="AM25" s="37"/>
      <c r="AN25" s="16"/>
      <c r="AP25" s="16"/>
      <c r="AQ25" s="37"/>
      <c r="AR25" s="37"/>
      <c r="AS25" s="37"/>
      <c r="AT25" s="37"/>
      <c r="AU25" s="16"/>
      <c r="AW25" s="16"/>
      <c r="AX25" s="37"/>
      <c r="AY25" s="37">
        <v>0.5</v>
      </c>
      <c r="AZ25" s="37"/>
      <c r="BA25" s="37">
        <v>0.5</v>
      </c>
      <c r="BB25" s="16"/>
      <c r="BD25" s="16"/>
      <c r="BE25" s="37"/>
      <c r="BF25" s="37">
        <v>0.5</v>
      </c>
      <c r="BG25" s="37"/>
      <c r="BH25" s="37">
        <v>0.5</v>
      </c>
      <c r="BI25" s="16"/>
      <c r="BL25" s="16"/>
      <c r="BM25" s="37"/>
      <c r="BN25" s="37">
        <v>0.8</v>
      </c>
      <c r="BO25" s="37"/>
      <c r="BP25" s="37">
        <v>0.8</v>
      </c>
      <c r="BQ25" s="16"/>
      <c r="BS25" s="16"/>
      <c r="BT25" s="37"/>
      <c r="BU25" s="37">
        <v>0.8</v>
      </c>
      <c r="BV25" s="37"/>
      <c r="BW25" s="37">
        <v>0.8</v>
      </c>
      <c r="BX25" s="16"/>
      <c r="BZ25" s="16"/>
      <c r="CA25" s="37"/>
      <c r="CB25" s="37">
        <v>0.8</v>
      </c>
      <c r="CC25" s="37"/>
      <c r="CD25" s="37">
        <v>0.8</v>
      </c>
      <c r="CE25" s="16"/>
      <c r="CG25" s="16"/>
      <c r="CH25" s="37"/>
      <c r="CI25" s="37">
        <v>1</v>
      </c>
      <c r="CJ25" s="37"/>
      <c r="CK25" s="37">
        <v>1</v>
      </c>
      <c r="CL25" s="16"/>
      <c r="CN25" s="16"/>
      <c r="CO25" s="37"/>
      <c r="CP25" s="37">
        <v>1</v>
      </c>
      <c r="CQ25" s="37"/>
      <c r="CR25" s="37">
        <v>1</v>
      </c>
      <c r="CS25" s="16"/>
      <c r="CU25" s="16"/>
      <c r="CV25" s="37"/>
      <c r="CW25" s="37"/>
      <c r="CX25" s="37"/>
      <c r="CY25" s="37"/>
      <c r="CZ25" s="16"/>
      <c r="DB25" s="16"/>
      <c r="DC25" s="37"/>
      <c r="DD25" s="37"/>
      <c r="DE25" s="37"/>
      <c r="DF25" s="37"/>
      <c r="DG25" s="16"/>
      <c r="DI25" s="16"/>
      <c r="DJ25" s="37"/>
      <c r="DK25" s="37"/>
      <c r="DL25" s="37"/>
      <c r="DM25" s="37"/>
      <c r="DN25" s="16"/>
    </row>
    <row r="26" spans="1:118" outlineLevel="1">
      <c r="A26">
        <v>7</v>
      </c>
      <c r="B26" s="16" t="s">
        <v>28</v>
      </c>
      <c r="C26" s="16"/>
      <c r="D26" s="16"/>
      <c r="E26" s="17"/>
      <c r="F26" s="16" t="s">
        <v>65</v>
      </c>
      <c r="G26" s="11">
        <v>9.0899999999999995E-2</v>
      </c>
      <c r="I26" s="17">
        <f t="shared" si="3"/>
        <v>0</v>
      </c>
      <c r="J26" s="39">
        <f t="shared" si="2"/>
        <v>0</v>
      </c>
      <c r="K26" s="39">
        <f t="shared" si="2"/>
        <v>0</v>
      </c>
      <c r="L26" s="17"/>
      <c r="N26" s="16"/>
      <c r="O26" s="37"/>
      <c r="P26" s="37"/>
      <c r="Q26" s="37"/>
      <c r="R26" s="37"/>
      <c r="S26" s="16"/>
      <c r="U26" s="16"/>
      <c r="V26" s="37"/>
      <c r="W26" s="37"/>
      <c r="X26" s="37"/>
      <c r="Y26" s="37"/>
      <c r="Z26" s="16"/>
      <c r="AB26" s="16"/>
      <c r="AC26" s="37"/>
      <c r="AD26" s="37"/>
      <c r="AE26" s="37"/>
      <c r="AF26" s="37"/>
      <c r="AG26" s="16"/>
      <c r="AI26" s="16"/>
      <c r="AJ26" s="37"/>
      <c r="AK26" s="37"/>
      <c r="AL26" s="37"/>
      <c r="AM26" s="37"/>
      <c r="AN26" s="16"/>
      <c r="AP26" s="16"/>
      <c r="AQ26" s="37"/>
      <c r="AR26" s="37"/>
      <c r="AS26" s="37"/>
      <c r="AT26" s="37"/>
      <c r="AU26" s="16"/>
      <c r="AW26" s="16"/>
      <c r="AX26" s="37"/>
      <c r="AY26" s="37"/>
      <c r="AZ26" s="37"/>
      <c r="BA26" s="37"/>
      <c r="BB26" s="16"/>
      <c r="BD26" s="16"/>
      <c r="BE26" s="37"/>
      <c r="BF26" s="37">
        <v>0.5</v>
      </c>
      <c r="BG26" s="37"/>
      <c r="BH26" s="37">
        <v>0.5</v>
      </c>
      <c r="BI26" s="16"/>
      <c r="BL26" s="16"/>
      <c r="BM26" s="37"/>
      <c r="BN26" s="37">
        <v>0.8</v>
      </c>
      <c r="BO26" s="37"/>
      <c r="BP26" s="37">
        <v>0.8</v>
      </c>
      <c r="BQ26" s="16"/>
      <c r="BS26" s="16"/>
      <c r="BT26" s="37"/>
      <c r="BU26" s="37">
        <v>0.8</v>
      </c>
      <c r="BV26" s="37"/>
      <c r="BW26" s="37">
        <v>0.8</v>
      </c>
      <c r="BX26" s="16"/>
      <c r="BZ26" s="16"/>
      <c r="CA26" s="37"/>
      <c r="CB26" s="37">
        <v>0.8</v>
      </c>
      <c r="CC26" s="37"/>
      <c r="CD26" s="37">
        <v>0.8</v>
      </c>
      <c r="CE26" s="16"/>
      <c r="CG26" s="16"/>
      <c r="CH26" s="37"/>
      <c r="CI26" s="37">
        <v>1</v>
      </c>
      <c r="CJ26" s="37"/>
      <c r="CK26" s="37">
        <v>1</v>
      </c>
      <c r="CL26" s="16"/>
      <c r="CN26" s="16"/>
      <c r="CO26" s="37"/>
      <c r="CP26" s="37">
        <v>1</v>
      </c>
      <c r="CQ26" s="37"/>
      <c r="CR26" s="37">
        <v>1</v>
      </c>
      <c r="CS26" s="16"/>
      <c r="CU26" s="16"/>
      <c r="CV26" s="37"/>
      <c r="CW26" s="37"/>
      <c r="CX26" s="37"/>
      <c r="CY26" s="37"/>
      <c r="CZ26" s="16"/>
      <c r="DB26" s="16"/>
      <c r="DC26" s="37"/>
      <c r="DD26" s="37"/>
      <c r="DE26" s="37"/>
      <c r="DF26" s="37"/>
      <c r="DG26" s="16"/>
      <c r="DI26" s="16"/>
      <c r="DJ26" s="37"/>
      <c r="DK26" s="37"/>
      <c r="DL26" s="37"/>
      <c r="DM26" s="37"/>
      <c r="DN26" s="16"/>
    </row>
    <row r="27" spans="1:118" outlineLevel="1">
      <c r="A27">
        <v>8</v>
      </c>
      <c r="B27" s="16" t="s">
        <v>28</v>
      </c>
      <c r="C27" s="16"/>
      <c r="D27" s="16"/>
      <c r="E27" s="17"/>
      <c r="F27" s="18" t="s">
        <v>66</v>
      </c>
      <c r="G27" s="11">
        <v>9.0899999999999995E-2</v>
      </c>
      <c r="I27" s="17">
        <f t="shared" si="3"/>
        <v>0</v>
      </c>
      <c r="J27" s="39">
        <f t="shared" si="2"/>
        <v>0</v>
      </c>
      <c r="K27" s="39">
        <f t="shared" si="2"/>
        <v>0</v>
      </c>
      <c r="L27" s="17"/>
      <c r="N27" s="16"/>
      <c r="O27" s="37"/>
      <c r="P27" s="37"/>
      <c r="Q27" s="37"/>
      <c r="R27" s="37"/>
      <c r="S27" s="16"/>
      <c r="U27" s="16"/>
      <c r="V27" s="37"/>
      <c r="W27" s="37"/>
      <c r="X27" s="37"/>
      <c r="Y27" s="37"/>
      <c r="Z27" s="16"/>
      <c r="AB27" s="16"/>
      <c r="AC27" s="47"/>
      <c r="AD27" s="37"/>
      <c r="AE27" s="47"/>
      <c r="AF27" s="37"/>
      <c r="AG27" s="16"/>
      <c r="AI27" s="16"/>
      <c r="AJ27" s="47"/>
      <c r="AK27" s="37"/>
      <c r="AL27" s="47"/>
      <c r="AM27" s="37"/>
      <c r="AN27" s="16"/>
      <c r="AP27" s="16"/>
      <c r="AQ27" s="47"/>
      <c r="AR27" s="37"/>
      <c r="AS27" s="47"/>
      <c r="AT27" s="37"/>
      <c r="AU27" s="16"/>
      <c r="AW27" s="16"/>
      <c r="AX27" s="47"/>
      <c r="AY27" s="37"/>
      <c r="AZ27" s="47"/>
      <c r="BA27" s="37"/>
      <c r="BB27" s="16"/>
      <c r="BD27" s="16"/>
      <c r="BE27" s="47"/>
      <c r="BF27" s="37"/>
      <c r="BG27" s="47"/>
      <c r="BH27" s="37"/>
      <c r="BI27" s="16"/>
      <c r="BL27" s="16"/>
      <c r="BM27" s="47"/>
      <c r="BN27" s="37">
        <v>0.5</v>
      </c>
      <c r="BO27" s="47"/>
      <c r="BP27" s="37">
        <v>0.5</v>
      </c>
      <c r="BQ27" s="16"/>
      <c r="BS27" s="16"/>
      <c r="BT27" s="37"/>
      <c r="BU27" s="37">
        <v>0.8</v>
      </c>
      <c r="BV27" s="37"/>
      <c r="BW27" s="37">
        <v>0.8</v>
      </c>
      <c r="BX27" s="16"/>
      <c r="BZ27" s="16"/>
      <c r="CA27" s="37"/>
      <c r="CB27" s="37">
        <v>0.8</v>
      </c>
      <c r="CC27" s="37"/>
      <c r="CD27" s="37">
        <v>0.8</v>
      </c>
      <c r="CE27" s="16"/>
      <c r="CG27" s="16"/>
      <c r="CH27" s="37"/>
      <c r="CI27" s="37">
        <v>0.8</v>
      </c>
      <c r="CJ27" s="37"/>
      <c r="CK27" s="37">
        <v>0.8</v>
      </c>
      <c r="CL27" s="16"/>
      <c r="CN27" s="16"/>
      <c r="CO27" s="37"/>
      <c r="CP27" s="37">
        <v>1</v>
      </c>
      <c r="CQ27" s="37"/>
      <c r="CR27" s="37">
        <v>1</v>
      </c>
      <c r="CS27" s="16"/>
      <c r="CU27" s="16"/>
      <c r="CV27" s="37"/>
      <c r="CW27" s="37"/>
      <c r="CX27" s="37"/>
      <c r="CY27" s="37"/>
      <c r="CZ27" s="16"/>
      <c r="DB27" s="16"/>
      <c r="DC27" s="37"/>
      <c r="DD27" s="37"/>
      <c r="DE27" s="37"/>
      <c r="DF27" s="37"/>
      <c r="DG27" s="16"/>
      <c r="DI27" s="16"/>
      <c r="DJ27" s="37"/>
      <c r="DK27" s="37"/>
      <c r="DL27" s="37"/>
      <c r="DM27" s="37"/>
      <c r="DN27" s="16"/>
    </row>
    <row r="28" spans="1:118" outlineLevel="1">
      <c r="A28">
        <v>9</v>
      </c>
      <c r="B28" s="16" t="s">
        <v>51</v>
      </c>
      <c r="C28" s="16"/>
      <c r="D28" s="16"/>
      <c r="E28" s="17"/>
      <c r="F28" s="18" t="s">
        <v>67</v>
      </c>
      <c r="G28" s="11">
        <v>9.0899999999999995E-2</v>
      </c>
      <c r="I28" s="17">
        <f t="shared" si="3"/>
        <v>0</v>
      </c>
      <c r="J28" s="39">
        <f t="shared" si="2"/>
        <v>0</v>
      </c>
      <c r="K28" s="39">
        <f t="shared" si="2"/>
        <v>0</v>
      </c>
      <c r="L28" s="17"/>
      <c r="N28" s="16"/>
      <c r="O28" s="37"/>
      <c r="P28" s="37"/>
      <c r="Q28" s="37"/>
      <c r="R28" s="37"/>
      <c r="S28" s="16"/>
      <c r="U28" s="16"/>
      <c r="V28" s="37"/>
      <c r="W28" s="37"/>
      <c r="X28" s="37"/>
      <c r="Y28" s="37"/>
      <c r="Z28" s="16"/>
      <c r="AB28" s="16"/>
      <c r="AC28" s="47"/>
      <c r="AD28" s="37"/>
      <c r="AE28" s="47"/>
      <c r="AF28" s="37"/>
      <c r="AG28" s="16"/>
      <c r="AI28" s="16"/>
      <c r="AJ28" s="47"/>
      <c r="AK28" s="37"/>
      <c r="AL28" s="47"/>
      <c r="AM28" s="37"/>
      <c r="AN28" s="16"/>
      <c r="AP28" s="16"/>
      <c r="AQ28" s="47"/>
      <c r="AR28" s="37"/>
      <c r="AS28" s="47"/>
      <c r="AT28" s="37"/>
      <c r="AU28" s="16"/>
      <c r="AW28" s="16"/>
      <c r="AX28" s="47"/>
      <c r="AY28" s="37"/>
      <c r="AZ28" s="47"/>
      <c r="BA28" s="37"/>
      <c r="BB28" s="16"/>
      <c r="BD28" s="16"/>
      <c r="BE28" s="47"/>
      <c r="BF28" s="37"/>
      <c r="BG28" s="47"/>
      <c r="BH28" s="37"/>
      <c r="BI28" s="16"/>
      <c r="BL28" s="16"/>
      <c r="BM28" s="47"/>
      <c r="BN28" s="37"/>
      <c r="BO28" s="47"/>
      <c r="BP28" s="37"/>
      <c r="BQ28" s="16"/>
      <c r="BS28" s="16"/>
      <c r="BT28" s="37"/>
      <c r="BU28" s="37">
        <v>0.5</v>
      </c>
      <c r="BV28" s="37"/>
      <c r="BW28" s="37">
        <v>0.5</v>
      </c>
      <c r="BX28" s="16"/>
      <c r="BZ28" s="16"/>
      <c r="CA28" s="37"/>
      <c r="CB28" s="37">
        <v>0.8</v>
      </c>
      <c r="CC28" s="37"/>
      <c r="CD28" s="37">
        <v>0.8</v>
      </c>
      <c r="CE28" s="16"/>
      <c r="CG28" s="16"/>
      <c r="CH28" s="37"/>
      <c r="CI28" s="37">
        <v>0.8</v>
      </c>
      <c r="CJ28" s="37"/>
      <c r="CK28" s="37">
        <v>0.8</v>
      </c>
      <c r="CL28" s="16"/>
      <c r="CN28" s="16"/>
      <c r="CO28" s="37"/>
      <c r="CP28" s="37">
        <v>1</v>
      </c>
      <c r="CQ28" s="37"/>
      <c r="CR28" s="37">
        <v>1</v>
      </c>
      <c r="CS28" s="16"/>
      <c r="CU28" s="16"/>
      <c r="CV28" s="37"/>
      <c r="CW28" s="37"/>
      <c r="CX28" s="37"/>
      <c r="CY28" s="37"/>
      <c r="CZ28" s="16"/>
      <c r="DB28" s="16"/>
      <c r="DC28" s="37"/>
      <c r="DD28" s="37"/>
      <c r="DE28" s="37"/>
      <c r="DF28" s="37"/>
      <c r="DG28" s="16"/>
      <c r="DI28" s="16"/>
      <c r="DJ28" s="37"/>
      <c r="DK28" s="37"/>
      <c r="DL28" s="37"/>
      <c r="DM28" s="37"/>
      <c r="DN28" s="16"/>
    </row>
    <row r="29" spans="1:118" outlineLevel="1">
      <c r="A29">
        <v>10</v>
      </c>
      <c r="B29" s="16" t="s">
        <v>28</v>
      </c>
      <c r="C29" s="16"/>
      <c r="D29" s="16"/>
      <c r="E29" s="17"/>
      <c r="F29" s="18" t="s">
        <v>68</v>
      </c>
      <c r="G29" s="11">
        <v>9.0899999999999995E-2</v>
      </c>
      <c r="I29" s="17">
        <f t="shared" si="3"/>
        <v>0</v>
      </c>
      <c r="J29" s="39">
        <f t="shared" si="2"/>
        <v>0</v>
      </c>
      <c r="K29" s="39">
        <f t="shared" si="2"/>
        <v>0</v>
      </c>
      <c r="L29" s="17"/>
      <c r="N29" s="16"/>
      <c r="O29" s="37"/>
      <c r="P29" s="37"/>
      <c r="Q29" s="37"/>
      <c r="R29" s="37"/>
      <c r="S29" s="16"/>
      <c r="U29" s="16"/>
      <c r="V29" s="37"/>
      <c r="W29" s="37"/>
      <c r="X29" s="37"/>
      <c r="Y29" s="37"/>
      <c r="Z29" s="16"/>
      <c r="AB29" s="16"/>
      <c r="AC29" s="37"/>
      <c r="AD29" s="37"/>
      <c r="AE29" s="37"/>
      <c r="AF29" s="37"/>
      <c r="AG29" s="16"/>
      <c r="AI29" s="16"/>
      <c r="AJ29" s="37"/>
      <c r="AK29" s="37"/>
      <c r="AL29" s="37"/>
      <c r="AM29" s="37"/>
      <c r="AN29" s="16"/>
      <c r="AP29" s="16"/>
      <c r="AQ29" s="37"/>
      <c r="AR29" s="37"/>
      <c r="AS29" s="37"/>
      <c r="AT29" s="37"/>
      <c r="AU29" s="16"/>
      <c r="AW29" s="16"/>
      <c r="AX29" s="37"/>
      <c r="AY29" s="37"/>
      <c r="AZ29" s="37"/>
      <c r="BA29" s="37"/>
      <c r="BB29" s="16"/>
      <c r="BD29" s="16"/>
      <c r="BE29" s="37"/>
      <c r="BF29" s="37"/>
      <c r="BG29" s="37"/>
      <c r="BH29" s="37"/>
      <c r="BI29" s="16"/>
      <c r="BL29" s="16"/>
      <c r="BM29" s="37"/>
      <c r="BN29" s="37"/>
      <c r="BO29" s="37"/>
      <c r="BP29" s="37"/>
      <c r="BQ29" s="16"/>
      <c r="BS29" s="16"/>
      <c r="BT29" s="37"/>
      <c r="BU29" s="37"/>
      <c r="BV29" s="37"/>
      <c r="BW29" s="37"/>
      <c r="BX29" s="16"/>
      <c r="BZ29" s="16"/>
      <c r="CA29" s="37"/>
      <c r="CB29" s="37">
        <v>0.5</v>
      </c>
      <c r="CC29" s="37"/>
      <c r="CD29" s="37">
        <v>0.5</v>
      </c>
      <c r="CE29" s="16"/>
      <c r="CG29" s="16"/>
      <c r="CH29" s="37"/>
      <c r="CI29" s="37">
        <v>0.8</v>
      </c>
      <c r="CJ29" s="37"/>
      <c r="CK29" s="37">
        <v>0.8</v>
      </c>
      <c r="CL29" s="16"/>
      <c r="CN29" s="16"/>
      <c r="CO29" s="37"/>
      <c r="CP29" s="37">
        <v>1</v>
      </c>
      <c r="CQ29" s="37"/>
      <c r="CR29" s="37">
        <v>1</v>
      </c>
      <c r="CS29" s="16"/>
      <c r="CU29" s="16"/>
      <c r="CV29" s="37"/>
      <c r="CW29" s="37"/>
      <c r="CX29" s="37"/>
      <c r="CY29" s="37"/>
      <c r="CZ29" s="16"/>
      <c r="DB29" s="16"/>
      <c r="DC29" s="37"/>
      <c r="DD29" s="37"/>
      <c r="DE29" s="37"/>
      <c r="DF29" s="37"/>
      <c r="DG29" s="16"/>
      <c r="DI29" s="16"/>
      <c r="DJ29" s="37"/>
      <c r="DK29" s="37"/>
      <c r="DL29" s="37"/>
      <c r="DM29" s="37"/>
      <c r="DN29" s="16"/>
    </row>
    <row r="30" spans="1:118" outlineLevel="1">
      <c r="A30">
        <v>11</v>
      </c>
      <c r="B30" s="16" t="s">
        <v>28</v>
      </c>
      <c r="C30" s="16"/>
      <c r="D30" s="16"/>
      <c r="E30" s="17"/>
      <c r="F30" s="16" t="s">
        <v>69</v>
      </c>
      <c r="G30" s="11">
        <v>9.0899999999999995E-2</v>
      </c>
      <c r="I30" s="17">
        <f t="shared" si="3"/>
        <v>0</v>
      </c>
      <c r="J30" s="39">
        <f t="shared" si="2"/>
        <v>0</v>
      </c>
      <c r="K30" s="39">
        <f t="shared" si="2"/>
        <v>0</v>
      </c>
      <c r="L30" s="17"/>
      <c r="N30" s="16"/>
      <c r="O30" s="37"/>
      <c r="P30" s="37"/>
      <c r="Q30" s="37"/>
      <c r="R30" s="37"/>
      <c r="S30" s="16"/>
      <c r="U30" s="16"/>
      <c r="V30" s="37"/>
      <c r="W30" s="37"/>
      <c r="X30" s="37"/>
      <c r="Y30" s="37"/>
      <c r="Z30" s="16"/>
      <c r="AB30" s="16"/>
      <c r="AC30" s="37"/>
      <c r="AD30" s="37"/>
      <c r="AE30" s="37"/>
      <c r="AF30" s="37"/>
      <c r="AG30" s="16"/>
      <c r="AI30" s="16"/>
      <c r="AJ30" s="37"/>
      <c r="AK30" s="37"/>
      <c r="AL30" s="37"/>
      <c r="AM30" s="37"/>
      <c r="AN30" s="16"/>
      <c r="AP30" s="16"/>
      <c r="AQ30" s="37"/>
      <c r="AR30" s="37"/>
      <c r="AS30" s="37"/>
      <c r="AT30" s="37"/>
      <c r="AU30" s="16"/>
      <c r="AW30" s="16"/>
      <c r="AX30" s="37"/>
      <c r="AY30" s="37"/>
      <c r="AZ30" s="37"/>
      <c r="BA30" s="37"/>
      <c r="BB30" s="16"/>
      <c r="BD30" s="16"/>
      <c r="BE30" s="37"/>
      <c r="BF30" s="37"/>
      <c r="BG30" s="37"/>
      <c r="BH30" s="37"/>
      <c r="BI30" s="16"/>
      <c r="BL30" s="16"/>
      <c r="BM30" s="37"/>
      <c r="BN30" s="37"/>
      <c r="BO30" s="37"/>
      <c r="BP30" s="37"/>
      <c r="BQ30" s="16"/>
      <c r="BS30" s="16"/>
      <c r="BT30" s="37"/>
      <c r="BU30" s="37"/>
      <c r="BV30" s="37"/>
      <c r="BW30" s="37"/>
      <c r="BX30" s="16"/>
      <c r="BZ30" s="16"/>
      <c r="CA30" s="37"/>
      <c r="CB30" s="37"/>
      <c r="CC30" s="37"/>
      <c r="CD30" s="37"/>
      <c r="CE30" s="16"/>
      <c r="CG30" s="16"/>
      <c r="CH30" s="37"/>
      <c r="CI30" s="37">
        <v>0.8</v>
      </c>
      <c r="CJ30" s="37"/>
      <c r="CK30" s="37">
        <v>0.8</v>
      </c>
      <c r="CL30" s="16"/>
      <c r="CN30" s="16"/>
      <c r="CO30" s="37"/>
      <c r="CP30" s="37">
        <v>1</v>
      </c>
      <c r="CQ30" s="37"/>
      <c r="CR30" s="37">
        <v>1</v>
      </c>
      <c r="CS30" s="16"/>
      <c r="CU30" s="16"/>
      <c r="CV30" s="37"/>
      <c r="CW30" s="37"/>
      <c r="CX30" s="37"/>
      <c r="CY30" s="37"/>
      <c r="CZ30" s="16"/>
      <c r="DB30" s="16"/>
      <c r="DC30" s="37"/>
      <c r="DD30" s="37"/>
      <c r="DE30" s="37"/>
      <c r="DF30" s="37"/>
      <c r="DG30" s="16"/>
      <c r="DI30" s="16"/>
      <c r="DJ30" s="37"/>
      <c r="DK30" s="37"/>
      <c r="DL30" s="37"/>
      <c r="DM30" s="37"/>
      <c r="DN30" s="16"/>
    </row>
    <row r="31" spans="1:118" outlineLevel="1">
      <c r="A31">
        <v>12</v>
      </c>
      <c r="B31" s="16" t="s">
        <v>28</v>
      </c>
      <c r="C31" s="16"/>
      <c r="D31" s="19">
        <v>44529</v>
      </c>
      <c r="E31" s="17"/>
      <c r="F31" s="16" t="s">
        <v>50</v>
      </c>
      <c r="G31" s="11"/>
      <c r="I31" s="17">
        <f>+SUMIF($N$3:$ZZ$3,I$3,$N31:$ZZ31)</f>
        <v>0</v>
      </c>
      <c r="J31" s="39">
        <f t="shared" si="2"/>
        <v>0</v>
      </c>
      <c r="K31" s="39">
        <f t="shared" si="2"/>
        <v>0</v>
      </c>
      <c r="L31" s="17"/>
      <c r="N31" s="16"/>
      <c r="O31" s="37"/>
      <c r="P31" s="37"/>
      <c r="Q31" s="37"/>
      <c r="R31" s="37"/>
      <c r="S31" s="16"/>
      <c r="U31" s="16"/>
      <c r="V31" s="37"/>
      <c r="W31" s="37"/>
      <c r="X31" s="37"/>
      <c r="Y31" s="37"/>
      <c r="Z31" s="16"/>
      <c r="AB31" s="16"/>
      <c r="AC31" s="37"/>
      <c r="AD31" s="37"/>
      <c r="AE31" s="37"/>
      <c r="AF31" s="37"/>
      <c r="AG31" s="16"/>
      <c r="AI31" s="16"/>
      <c r="AJ31" s="37"/>
      <c r="AK31" s="37"/>
      <c r="AL31" s="37"/>
      <c r="AM31" s="37"/>
      <c r="AN31" s="16"/>
      <c r="AP31" s="16"/>
      <c r="AQ31" s="37"/>
      <c r="AR31" s="37"/>
      <c r="AS31" s="37"/>
      <c r="AT31" s="37"/>
      <c r="AU31" s="16"/>
      <c r="AW31" s="16"/>
      <c r="AX31" s="37"/>
      <c r="AY31" s="37"/>
      <c r="AZ31" s="37"/>
      <c r="BA31" s="37"/>
      <c r="BB31" s="16"/>
      <c r="BD31" s="16"/>
      <c r="BE31" s="37"/>
      <c r="BF31" s="37"/>
      <c r="BG31" s="37"/>
      <c r="BH31" s="37"/>
      <c r="BI31" s="16"/>
      <c r="BL31" s="16"/>
      <c r="BM31" s="37"/>
      <c r="BN31" s="37"/>
      <c r="BO31" s="37"/>
      <c r="BP31" s="37"/>
      <c r="BQ31" s="16"/>
      <c r="BS31" s="16"/>
      <c r="BT31" s="37"/>
      <c r="BU31" s="37"/>
      <c r="BV31" s="37"/>
      <c r="BW31" s="37"/>
      <c r="BX31" s="16"/>
      <c r="BZ31" s="16"/>
      <c r="CA31" s="37"/>
      <c r="CB31" s="37"/>
      <c r="CC31" s="37"/>
      <c r="CD31" s="37"/>
      <c r="CE31" s="16"/>
      <c r="CG31" s="16"/>
      <c r="CH31" s="37"/>
      <c r="CI31" s="37"/>
      <c r="CJ31" s="37"/>
      <c r="CK31" s="37"/>
      <c r="CL31" s="16"/>
      <c r="CN31" s="16"/>
      <c r="CO31" s="37"/>
      <c r="CP31" s="37"/>
      <c r="CQ31" s="37"/>
      <c r="CR31" s="37"/>
      <c r="CS31" s="16"/>
      <c r="CU31" s="16"/>
      <c r="CV31" s="37"/>
      <c r="CW31" s="37"/>
      <c r="CX31" s="37"/>
      <c r="CY31" s="37"/>
      <c r="CZ31" s="16"/>
      <c r="DB31" s="16"/>
      <c r="DC31" s="37"/>
      <c r="DD31" s="37"/>
      <c r="DE31" s="37"/>
      <c r="DF31" s="37"/>
      <c r="DG31" s="16"/>
      <c r="DI31" s="16"/>
      <c r="DJ31" s="37"/>
      <c r="DK31" s="37"/>
      <c r="DL31" s="37"/>
      <c r="DM31" s="37"/>
      <c r="DN31" s="16"/>
    </row>
    <row r="32" spans="1:118" outlineLevel="1">
      <c r="A32">
        <v>13</v>
      </c>
      <c r="B32" s="16"/>
      <c r="C32" s="16"/>
      <c r="D32" s="30"/>
      <c r="E32" s="17"/>
      <c r="F32" s="29"/>
      <c r="G32" s="11"/>
      <c r="I32" s="17"/>
      <c r="J32" s="39">
        <f t="shared" si="2"/>
        <v>0</v>
      </c>
      <c r="K32" s="39">
        <f t="shared" si="2"/>
        <v>0</v>
      </c>
      <c r="L32" s="17"/>
      <c r="N32" s="16"/>
      <c r="O32" s="37"/>
      <c r="P32" s="37"/>
      <c r="Q32" s="37"/>
      <c r="R32" s="37"/>
      <c r="S32" s="16"/>
      <c r="U32" s="16"/>
      <c r="V32" s="37"/>
      <c r="W32" s="37"/>
      <c r="X32" s="37"/>
      <c r="Y32" s="37"/>
      <c r="Z32" s="16"/>
      <c r="AB32" s="16"/>
      <c r="AC32" s="37"/>
      <c r="AD32" s="37"/>
      <c r="AE32" s="37"/>
      <c r="AF32" s="37"/>
      <c r="AG32" s="16"/>
      <c r="AI32" s="16"/>
      <c r="AJ32" s="37"/>
      <c r="AK32" s="37"/>
      <c r="AL32" s="37"/>
      <c r="AM32" s="37"/>
      <c r="AN32" s="16"/>
      <c r="AP32" s="16"/>
      <c r="AQ32" s="37"/>
      <c r="AR32" s="37"/>
      <c r="AS32" s="37"/>
      <c r="AT32" s="37"/>
      <c r="AU32" s="16"/>
      <c r="AW32" s="16"/>
      <c r="AX32" s="37"/>
      <c r="AY32" s="37"/>
      <c r="AZ32" s="37"/>
      <c r="BA32" s="37"/>
      <c r="BB32" s="16"/>
      <c r="BD32" s="16"/>
      <c r="BE32" s="37"/>
      <c r="BF32" s="37"/>
      <c r="BG32" s="37"/>
      <c r="BH32" s="37"/>
      <c r="BI32" s="16"/>
      <c r="BL32" s="16"/>
      <c r="BM32" s="37"/>
      <c r="BN32" s="37"/>
      <c r="BO32" s="37"/>
      <c r="BP32" s="37"/>
      <c r="BQ32" s="16"/>
      <c r="BS32" s="16"/>
      <c r="BT32" s="37"/>
      <c r="BU32" s="37"/>
      <c r="BV32" s="37"/>
      <c r="BW32" s="37"/>
      <c r="BX32" s="16"/>
      <c r="BZ32" s="16"/>
      <c r="CA32" s="37"/>
      <c r="CB32" s="37"/>
      <c r="CC32" s="37"/>
      <c r="CD32" s="37"/>
      <c r="CE32" s="16"/>
      <c r="CG32" s="16"/>
      <c r="CH32" s="37"/>
      <c r="CI32" s="37"/>
      <c r="CJ32" s="37"/>
      <c r="CK32" s="37"/>
      <c r="CL32" s="16"/>
      <c r="CN32" s="16"/>
      <c r="CO32" s="37"/>
      <c r="CP32" s="37"/>
      <c r="CQ32" s="37"/>
      <c r="CR32" s="37"/>
      <c r="CS32" s="16"/>
      <c r="CU32" s="16"/>
      <c r="CV32" s="37"/>
      <c r="CW32" s="37"/>
      <c r="CX32" s="37"/>
      <c r="CY32" s="37"/>
      <c r="CZ32" s="16"/>
      <c r="DB32" s="16"/>
      <c r="DC32" s="37"/>
      <c r="DD32" s="37"/>
      <c r="DE32" s="37"/>
      <c r="DF32" s="37"/>
      <c r="DG32" s="16"/>
      <c r="DI32" s="16"/>
      <c r="DJ32" s="37"/>
      <c r="DK32" s="37"/>
      <c r="DL32" s="37"/>
      <c r="DM32" s="37"/>
      <c r="DN32" s="16"/>
    </row>
    <row r="33" spans="1:118" outlineLevel="1">
      <c r="A33">
        <v>14</v>
      </c>
      <c r="B33" s="16"/>
      <c r="C33" s="16"/>
      <c r="D33" s="19" t="s">
        <v>70</v>
      </c>
      <c r="E33" s="17"/>
      <c r="F33" s="29"/>
      <c r="G33" s="11"/>
      <c r="I33" s="17"/>
      <c r="J33" s="39">
        <f t="shared" si="2"/>
        <v>0</v>
      </c>
      <c r="K33" s="39">
        <f t="shared" si="2"/>
        <v>0</v>
      </c>
      <c r="L33" s="17"/>
      <c r="N33" s="16"/>
      <c r="O33" s="37"/>
      <c r="P33" s="37"/>
      <c r="Q33" s="37"/>
      <c r="R33" s="37"/>
      <c r="S33" s="16"/>
      <c r="U33" s="16"/>
      <c r="V33" s="37"/>
      <c r="W33" s="37"/>
      <c r="X33" s="37"/>
      <c r="Y33" s="37"/>
      <c r="Z33" s="16"/>
      <c r="AB33" s="16"/>
      <c r="AC33" s="37"/>
      <c r="AD33" s="37"/>
      <c r="AE33" s="37"/>
      <c r="AF33" s="37"/>
      <c r="AG33" s="16"/>
      <c r="AI33" s="16"/>
      <c r="AJ33" s="37"/>
      <c r="AK33" s="37"/>
      <c r="AL33" s="37"/>
      <c r="AM33" s="37"/>
      <c r="AN33" s="16"/>
      <c r="AP33" s="16"/>
      <c r="AQ33" s="37"/>
      <c r="AR33" s="37"/>
      <c r="AS33" s="37"/>
      <c r="AT33" s="37"/>
      <c r="AU33" s="16"/>
      <c r="AW33" s="16"/>
      <c r="AX33" s="37"/>
      <c r="AY33" s="37"/>
      <c r="AZ33" s="37"/>
      <c r="BA33" s="37"/>
      <c r="BB33" s="16"/>
      <c r="BD33" s="16"/>
      <c r="BE33" s="37"/>
      <c r="BF33" s="37"/>
      <c r="BG33" s="37"/>
      <c r="BH33" s="37"/>
      <c r="BI33" s="16"/>
      <c r="BL33" s="16"/>
      <c r="BM33" s="37"/>
      <c r="BN33" s="37"/>
      <c r="BO33" s="37"/>
      <c r="BP33" s="37"/>
      <c r="BQ33" s="16"/>
      <c r="BS33" s="16"/>
      <c r="BT33" s="37"/>
      <c r="BU33" s="37"/>
      <c r="BV33" s="37"/>
      <c r="BW33" s="37"/>
      <c r="BX33" s="16"/>
      <c r="BZ33" s="16"/>
      <c r="CA33" s="37"/>
      <c r="CB33" s="37"/>
      <c r="CC33" s="37"/>
      <c r="CD33" s="37"/>
      <c r="CE33" s="16"/>
      <c r="CG33" s="16"/>
      <c r="CH33" s="37"/>
      <c r="CI33" s="37"/>
      <c r="CJ33" s="37"/>
      <c r="CK33" s="37"/>
      <c r="CL33" s="16"/>
      <c r="CN33" s="16"/>
      <c r="CO33" s="37"/>
      <c r="CP33" s="37"/>
      <c r="CQ33" s="37"/>
      <c r="CR33" s="37"/>
      <c r="CS33" s="16"/>
      <c r="CU33" s="16"/>
      <c r="CV33" s="37"/>
      <c r="CW33" s="37"/>
      <c r="CX33" s="37"/>
      <c r="CY33" s="37"/>
      <c r="CZ33" s="16"/>
      <c r="DB33" s="16"/>
      <c r="DC33" s="37"/>
      <c r="DD33" s="37"/>
      <c r="DE33" s="37"/>
      <c r="DF33" s="37"/>
      <c r="DG33" s="16"/>
      <c r="DI33" s="16"/>
      <c r="DJ33" s="37"/>
      <c r="DK33" s="37"/>
      <c r="DL33" s="37"/>
      <c r="DM33" s="37"/>
      <c r="DN33" s="16"/>
    </row>
    <row r="34" spans="1:118" outlineLevel="1">
      <c r="B34" s="25"/>
      <c r="C34" s="25"/>
      <c r="D34" s="31"/>
      <c r="E34" s="26"/>
      <c r="F34" s="32"/>
      <c r="G34" s="11"/>
    </row>
    <row r="35" spans="1:118" outlineLevel="1">
      <c r="E35" s="10"/>
      <c r="G35" s="11"/>
    </row>
    <row r="36" spans="1:118">
      <c r="BU36" s="48"/>
      <c r="BV36" s="48"/>
    </row>
    <row r="37" spans="1:118" ht="16" thickBot="1">
      <c r="B37" s="21" t="s">
        <v>27</v>
      </c>
      <c r="C37" s="21" t="s">
        <v>112</v>
      </c>
      <c r="D37" s="21"/>
      <c r="E37" s="22">
        <v>7</v>
      </c>
      <c r="F37" s="21"/>
      <c r="G37" s="11">
        <f>SUM(G38:G50)</f>
        <v>0.99960000000000016</v>
      </c>
      <c r="I37" s="36" cm="1">
        <f t="array" aca="1" ref="I37" ca="1">I37:AU51=+SUM(I38:I50)</f>
        <v>0</v>
      </c>
      <c r="J37" s="39">
        <f>+SUMPRODUCT(G38:G50,J38:J50)</f>
        <v>0</v>
      </c>
      <c r="K37" s="39">
        <f>+SUMPRODUCT(G38:G50,K38:K50)</f>
        <v>0</v>
      </c>
      <c r="L37" s="17"/>
      <c r="N37" s="36">
        <f>+SUM(N38:N50)</f>
        <v>0</v>
      </c>
      <c r="O37" s="16"/>
      <c r="P37" s="16"/>
      <c r="Q37" s="16"/>
      <c r="R37" s="16"/>
      <c r="S37" s="16"/>
      <c r="U37" s="36">
        <f>+SUM(U38:U50)</f>
        <v>0</v>
      </c>
      <c r="V37" s="37"/>
      <c r="W37" s="16"/>
      <c r="X37" s="16"/>
      <c r="Y37" s="16"/>
      <c r="Z37" s="16"/>
      <c r="AB37" s="36">
        <f>+SUM(AB38:AB50)</f>
        <v>0</v>
      </c>
      <c r="AC37" s="16"/>
      <c r="AD37" s="16"/>
      <c r="AE37" s="16"/>
      <c r="AF37" s="16"/>
      <c r="AG37" s="16"/>
      <c r="AI37" s="36">
        <f>+SUM(AI38:AI50)</f>
        <v>0</v>
      </c>
      <c r="AJ37" s="16"/>
      <c r="AK37" s="16"/>
      <c r="AL37" s="16"/>
      <c r="AM37" s="16"/>
      <c r="AN37" s="16"/>
      <c r="AP37" s="36">
        <f>+SUM(AP38:AP50)</f>
        <v>0</v>
      </c>
      <c r="AQ37" s="16"/>
      <c r="AR37" s="16"/>
      <c r="AS37" s="16"/>
      <c r="AT37" s="16"/>
      <c r="AU37" s="16"/>
      <c r="AW37" s="36">
        <f>+SUM(AW38:AW50)</f>
        <v>0</v>
      </c>
      <c r="AX37" s="16"/>
      <c r="AY37" s="16"/>
      <c r="AZ37" s="16"/>
      <c r="BA37" s="16"/>
      <c r="BB37" s="16"/>
      <c r="BD37" s="36">
        <f>+SUM(BD38:BD50)</f>
        <v>0</v>
      </c>
      <c r="BE37" s="16"/>
      <c r="BF37" s="16"/>
      <c r="BG37" s="16"/>
      <c r="BH37" s="16"/>
      <c r="BI37" s="16"/>
      <c r="BL37" s="36">
        <f>+SUM(BL38:BL50)</f>
        <v>0</v>
      </c>
      <c r="BM37" s="16"/>
      <c r="BN37" s="16"/>
      <c r="BO37" s="16"/>
      <c r="BP37" s="16"/>
      <c r="BQ37" s="16"/>
      <c r="BS37" s="36">
        <f>+SUM(BS38:BS50)</f>
        <v>0</v>
      </c>
      <c r="BT37" s="16"/>
      <c r="BU37" s="16"/>
      <c r="BV37" s="16"/>
      <c r="BW37" s="16"/>
      <c r="BX37" s="16"/>
      <c r="BZ37" s="36">
        <f>+SUM(BZ38:BZ50)</f>
        <v>0</v>
      </c>
      <c r="CA37" s="16"/>
      <c r="CB37" s="16"/>
      <c r="CC37" s="16"/>
      <c r="CD37" s="16"/>
      <c r="CE37" s="16"/>
      <c r="CG37" s="36">
        <f>+SUM(CG38:CG50)</f>
        <v>0</v>
      </c>
      <c r="CH37" s="16"/>
      <c r="CI37" s="16"/>
      <c r="CJ37" s="16"/>
      <c r="CK37" s="16"/>
      <c r="CL37" s="16"/>
      <c r="CN37" s="36">
        <f>+SUM(CN38:CN50)</f>
        <v>0</v>
      </c>
      <c r="CO37" s="16"/>
      <c r="CP37" s="16"/>
      <c r="CQ37" s="16"/>
      <c r="CR37" s="16"/>
      <c r="CS37" s="16"/>
      <c r="CU37" s="36">
        <f>+SUM(CU38:CU50)</f>
        <v>0</v>
      </c>
      <c r="CV37" s="16"/>
      <c r="CW37" s="16"/>
      <c r="CX37" s="16"/>
      <c r="CY37" s="16"/>
      <c r="CZ37" s="16"/>
      <c r="DB37" s="36">
        <f>+SUM(DB38:DB49)</f>
        <v>0</v>
      </c>
      <c r="DC37" s="37"/>
      <c r="DD37" s="37"/>
      <c r="DE37" s="41"/>
      <c r="DF37" s="37"/>
      <c r="DG37" s="16"/>
      <c r="DI37" s="36">
        <f>+SUM(DI38:DI49)</f>
        <v>0</v>
      </c>
      <c r="DJ37" s="37"/>
      <c r="DK37" s="37"/>
      <c r="DL37" s="41"/>
      <c r="DM37" s="37"/>
      <c r="DN37" s="16"/>
    </row>
    <row r="38" spans="1:118">
      <c r="A38">
        <v>1</v>
      </c>
      <c r="B38" s="20" t="s">
        <v>28</v>
      </c>
      <c r="C38" s="20"/>
      <c r="D38" s="20"/>
      <c r="E38" s="23"/>
      <c r="F38" s="24" t="s">
        <v>86</v>
      </c>
      <c r="G38" s="11">
        <v>8.3299999999999999E-2</v>
      </c>
      <c r="I38" s="17">
        <f>+SUMIF($N$3:$ZZ$3,I$3,$N38:$ZZ38)</f>
        <v>0</v>
      </c>
      <c r="J38" s="39">
        <f t="shared" ref="J38:K51" si="4">+_xlfn.MAXIFS($N38:$ZF38,$N$3:$ZF$3,J$3)</f>
        <v>0</v>
      </c>
      <c r="K38" s="39">
        <f t="shared" si="4"/>
        <v>0</v>
      </c>
      <c r="L38" s="17"/>
      <c r="N38" s="16"/>
      <c r="O38" s="37"/>
      <c r="P38" s="37">
        <v>0.5</v>
      </c>
      <c r="Q38" s="37"/>
      <c r="R38" s="37"/>
      <c r="S38" s="16"/>
      <c r="U38" s="16"/>
      <c r="V38" s="37"/>
      <c r="W38" s="37">
        <v>0.8</v>
      </c>
      <c r="X38" s="37"/>
      <c r="Y38" s="37"/>
      <c r="Z38" s="16"/>
      <c r="AB38" s="16"/>
      <c r="AC38" s="37"/>
      <c r="AD38" s="37">
        <v>0.8</v>
      </c>
      <c r="AE38" s="37"/>
      <c r="AF38" s="37"/>
      <c r="AG38" s="16"/>
      <c r="AI38" s="16"/>
      <c r="AJ38" s="37"/>
      <c r="AK38" s="37">
        <v>0.8</v>
      </c>
      <c r="AL38" s="37"/>
      <c r="AM38" s="37"/>
      <c r="AN38" s="16"/>
      <c r="AP38" s="16"/>
      <c r="AQ38" s="37"/>
      <c r="AR38" s="37">
        <v>0.8</v>
      </c>
      <c r="AS38" s="37"/>
      <c r="AT38" s="37"/>
      <c r="AU38" s="16"/>
      <c r="AW38" s="16"/>
      <c r="AX38" s="37"/>
      <c r="AY38" s="37">
        <v>0.8</v>
      </c>
      <c r="AZ38" s="37"/>
      <c r="BA38" s="37"/>
      <c r="BB38" s="16"/>
      <c r="BD38" s="16"/>
      <c r="BE38" s="37"/>
      <c r="BF38" s="37">
        <v>0.8</v>
      </c>
      <c r="BG38" s="37"/>
      <c r="BH38" s="37"/>
      <c r="BI38" s="16"/>
      <c r="BL38" s="16"/>
      <c r="BM38" s="37"/>
      <c r="BN38" s="37">
        <v>0.8</v>
      </c>
      <c r="BO38" s="37"/>
      <c r="BP38" s="37"/>
      <c r="BQ38" s="16"/>
      <c r="BS38" s="16"/>
      <c r="BT38" s="37"/>
      <c r="BU38" s="37">
        <v>0.8</v>
      </c>
      <c r="BV38" s="37"/>
      <c r="BW38" s="37"/>
      <c r="BX38" s="16"/>
      <c r="BZ38" s="16"/>
      <c r="CA38" s="37"/>
      <c r="CB38" s="37">
        <v>0.8</v>
      </c>
      <c r="CC38" s="37"/>
      <c r="CD38" s="37"/>
      <c r="CE38" s="16"/>
      <c r="CG38" s="16"/>
      <c r="CH38" s="37"/>
      <c r="CI38" s="37">
        <v>1</v>
      </c>
      <c r="CJ38" s="37"/>
      <c r="CK38" s="37"/>
      <c r="CL38" s="16"/>
      <c r="CN38" s="16"/>
      <c r="CO38" s="37"/>
      <c r="CP38" s="37">
        <v>1</v>
      </c>
      <c r="CQ38" s="37"/>
      <c r="CR38" s="37"/>
      <c r="CS38" s="16"/>
      <c r="CU38" s="16"/>
      <c r="CV38" s="37"/>
      <c r="CW38" s="37">
        <v>1</v>
      </c>
      <c r="CX38" s="37"/>
      <c r="CY38" s="37"/>
      <c r="CZ38" s="16"/>
      <c r="DB38" s="16"/>
      <c r="DC38" s="37"/>
      <c r="DD38" s="37"/>
      <c r="DE38" s="37"/>
      <c r="DF38" s="37"/>
      <c r="DG38" s="16"/>
      <c r="DI38" s="16"/>
      <c r="DJ38" s="37"/>
      <c r="DK38" s="37"/>
      <c r="DL38" s="37"/>
      <c r="DM38" s="37"/>
      <c r="DN38" s="16"/>
    </row>
    <row r="39" spans="1:118">
      <c r="A39">
        <v>2</v>
      </c>
      <c r="B39" s="16" t="s">
        <v>28</v>
      </c>
      <c r="C39" s="16"/>
      <c r="D39" s="16"/>
      <c r="E39" s="17"/>
      <c r="F39" s="18" t="s">
        <v>87</v>
      </c>
      <c r="G39" s="11">
        <v>8.3299999999999999E-2</v>
      </c>
      <c r="I39" s="17">
        <f t="shared" ref="I39:I48" si="5">+SUMIF($N$3:$ZZ$3,I$3,$N39:$ZZ39)</f>
        <v>0</v>
      </c>
      <c r="J39" s="39">
        <f t="shared" si="4"/>
        <v>0</v>
      </c>
      <c r="K39" s="39">
        <f t="shared" si="4"/>
        <v>0</v>
      </c>
      <c r="L39" s="17"/>
      <c r="N39" s="16"/>
      <c r="O39" s="37"/>
      <c r="P39" s="37">
        <v>0.5</v>
      </c>
      <c r="Q39" s="37"/>
      <c r="R39" s="37"/>
      <c r="S39" s="16"/>
      <c r="U39" s="16"/>
      <c r="V39" s="37"/>
      <c r="W39" s="37">
        <v>0.8</v>
      </c>
      <c r="X39" s="37"/>
      <c r="Y39" s="37"/>
      <c r="Z39" s="16"/>
      <c r="AB39" s="16"/>
      <c r="AC39" s="37"/>
      <c r="AD39" s="37">
        <v>0.8</v>
      </c>
      <c r="AE39" s="37"/>
      <c r="AF39" s="37"/>
      <c r="AG39" s="16"/>
      <c r="AI39" s="16"/>
      <c r="AJ39" s="37"/>
      <c r="AK39" s="37">
        <v>0.8</v>
      </c>
      <c r="AL39" s="37"/>
      <c r="AM39" s="37"/>
      <c r="AN39" s="16"/>
      <c r="AP39" s="16"/>
      <c r="AQ39" s="37"/>
      <c r="AR39" s="37">
        <v>0.8</v>
      </c>
      <c r="AS39" s="37"/>
      <c r="AT39" s="37"/>
      <c r="AU39" s="16"/>
      <c r="AW39" s="16"/>
      <c r="AX39" s="37"/>
      <c r="AY39" s="37">
        <v>0.8</v>
      </c>
      <c r="AZ39" s="37"/>
      <c r="BA39" s="37"/>
      <c r="BB39" s="16"/>
      <c r="BD39" s="16"/>
      <c r="BE39" s="37"/>
      <c r="BF39" s="37">
        <v>0.8</v>
      </c>
      <c r="BG39" s="37"/>
      <c r="BH39" s="37"/>
      <c r="BI39" s="16"/>
      <c r="BL39" s="16"/>
      <c r="BM39" s="37"/>
      <c r="BN39" s="37">
        <v>0.8</v>
      </c>
      <c r="BO39" s="37"/>
      <c r="BP39" s="37"/>
      <c r="BQ39" s="16"/>
      <c r="BS39" s="16"/>
      <c r="BT39" s="37"/>
      <c r="BU39" s="37">
        <v>0.8</v>
      </c>
      <c r="BV39" s="37"/>
      <c r="BW39" s="37"/>
      <c r="BX39" s="16"/>
      <c r="BZ39" s="16"/>
      <c r="CA39" s="37"/>
      <c r="CB39" s="37">
        <v>0.8</v>
      </c>
      <c r="CC39" s="37"/>
      <c r="CD39" s="37"/>
      <c r="CE39" s="16"/>
      <c r="CG39" s="16"/>
      <c r="CH39" s="37"/>
      <c r="CI39" s="37">
        <v>1</v>
      </c>
      <c r="CJ39" s="37"/>
      <c r="CK39" s="37"/>
      <c r="CL39" s="16"/>
      <c r="CN39" s="16"/>
      <c r="CO39" s="37"/>
      <c r="CP39" s="37">
        <v>1</v>
      </c>
      <c r="CQ39" s="37"/>
      <c r="CR39" s="37"/>
      <c r="CS39" s="16"/>
      <c r="CU39" s="16"/>
      <c r="CV39" s="37"/>
      <c r="CW39" s="37">
        <v>1</v>
      </c>
      <c r="CX39" s="37"/>
      <c r="CY39" s="37"/>
      <c r="CZ39" s="16"/>
      <c r="DB39" s="16"/>
      <c r="DC39" s="37"/>
      <c r="DD39" s="37"/>
      <c r="DE39" s="37"/>
      <c r="DF39" s="37"/>
      <c r="DG39" s="16"/>
      <c r="DI39" s="16"/>
      <c r="DJ39" s="37"/>
      <c r="DK39" s="37"/>
      <c r="DL39" s="37"/>
      <c r="DM39" s="37"/>
      <c r="DN39" s="16"/>
    </row>
    <row r="40" spans="1:118" ht="31">
      <c r="A40">
        <v>3</v>
      </c>
      <c r="B40" s="16" t="s">
        <v>28</v>
      </c>
      <c r="C40" s="16"/>
      <c r="D40" s="16"/>
      <c r="E40" s="17"/>
      <c r="F40" s="18" t="s">
        <v>88</v>
      </c>
      <c r="G40" s="11">
        <v>8.3299999999999999E-2</v>
      </c>
      <c r="I40" s="17">
        <f t="shared" si="5"/>
        <v>0</v>
      </c>
      <c r="J40" s="39">
        <f t="shared" si="4"/>
        <v>0</v>
      </c>
      <c r="K40" s="39">
        <f t="shared" si="4"/>
        <v>0</v>
      </c>
      <c r="L40" s="17"/>
      <c r="N40" s="16"/>
      <c r="O40" s="37"/>
      <c r="P40" s="37">
        <v>0.5</v>
      </c>
      <c r="Q40" s="37"/>
      <c r="R40" s="37"/>
      <c r="S40" s="16"/>
      <c r="U40" s="16"/>
      <c r="V40" s="37"/>
      <c r="W40" s="37">
        <v>0.5</v>
      </c>
      <c r="X40" s="37"/>
      <c r="Y40" s="37"/>
      <c r="Z40" s="16"/>
      <c r="AB40" s="16"/>
      <c r="AC40" s="37"/>
      <c r="AD40" s="37">
        <v>0.8</v>
      </c>
      <c r="AE40" s="37"/>
      <c r="AF40" s="37"/>
      <c r="AG40" s="16"/>
      <c r="AI40" s="16"/>
      <c r="AJ40" s="37"/>
      <c r="AK40" s="37">
        <v>0.8</v>
      </c>
      <c r="AL40" s="37"/>
      <c r="AM40" s="37"/>
      <c r="AN40" s="16"/>
      <c r="AP40" s="16"/>
      <c r="AQ40" s="37"/>
      <c r="AR40" s="37">
        <v>0.8</v>
      </c>
      <c r="AS40" s="37"/>
      <c r="AT40" s="37"/>
      <c r="AU40" s="16"/>
      <c r="AW40" s="16"/>
      <c r="AX40" s="37"/>
      <c r="AY40" s="37">
        <v>0.8</v>
      </c>
      <c r="AZ40" s="37"/>
      <c r="BA40" s="37"/>
      <c r="BB40" s="16"/>
      <c r="BD40" s="16"/>
      <c r="BE40" s="37"/>
      <c r="BF40" s="37">
        <v>0.8</v>
      </c>
      <c r="BG40" s="37"/>
      <c r="BH40" s="37"/>
      <c r="BI40" s="16"/>
      <c r="BL40" s="16"/>
      <c r="BM40" s="37"/>
      <c r="BN40" s="37">
        <v>0.8</v>
      </c>
      <c r="BO40" s="37"/>
      <c r="BP40" s="37"/>
      <c r="BQ40" s="16"/>
      <c r="BS40" s="16"/>
      <c r="BT40" s="37"/>
      <c r="BU40" s="37">
        <v>0.8</v>
      </c>
      <c r="BV40" s="37"/>
      <c r="BW40" s="37"/>
      <c r="BX40" s="16"/>
      <c r="BZ40" s="16"/>
      <c r="CA40" s="37"/>
      <c r="CB40" s="37">
        <v>0.8</v>
      </c>
      <c r="CC40" s="37"/>
      <c r="CD40" s="37"/>
      <c r="CE40" s="16"/>
      <c r="CG40" s="16"/>
      <c r="CH40" s="37"/>
      <c r="CI40" s="37">
        <v>1</v>
      </c>
      <c r="CJ40" s="37"/>
      <c r="CK40" s="37"/>
      <c r="CL40" s="16"/>
      <c r="CN40" s="16"/>
      <c r="CO40" s="37"/>
      <c r="CP40" s="37">
        <v>1</v>
      </c>
      <c r="CQ40" s="37"/>
      <c r="CR40" s="37"/>
      <c r="CS40" s="16"/>
      <c r="CU40" s="16"/>
      <c r="CV40" s="37"/>
      <c r="CW40" s="37">
        <v>1</v>
      </c>
      <c r="CX40" s="37"/>
      <c r="CY40" s="37"/>
      <c r="CZ40" s="16"/>
      <c r="DB40" s="16"/>
      <c r="DC40" s="37"/>
      <c r="DD40" s="37"/>
      <c r="DE40" s="37"/>
      <c r="DF40" s="37"/>
      <c r="DG40" s="16"/>
      <c r="DI40" s="16"/>
      <c r="DJ40" s="37"/>
      <c r="DK40" s="37"/>
      <c r="DL40" s="37"/>
      <c r="DM40" s="37"/>
      <c r="DN40" s="16"/>
    </row>
    <row r="41" spans="1:118">
      <c r="A41">
        <v>4</v>
      </c>
      <c r="B41" s="16" t="s">
        <v>28</v>
      </c>
      <c r="C41" s="16"/>
      <c r="D41" s="16"/>
      <c r="E41" s="17"/>
      <c r="F41" s="18" t="s">
        <v>89</v>
      </c>
      <c r="G41" s="11">
        <v>8.3299999999999999E-2</v>
      </c>
      <c r="I41" s="17">
        <f t="shared" si="5"/>
        <v>0</v>
      </c>
      <c r="J41" s="39">
        <f t="shared" si="4"/>
        <v>0</v>
      </c>
      <c r="K41" s="39">
        <f t="shared" si="4"/>
        <v>0</v>
      </c>
      <c r="L41" s="17"/>
      <c r="N41" s="16"/>
      <c r="O41" s="37"/>
      <c r="P41" s="37"/>
      <c r="Q41" s="37"/>
      <c r="R41" s="37"/>
      <c r="S41" s="16"/>
      <c r="U41" s="16"/>
      <c r="V41" s="37"/>
      <c r="W41" s="37">
        <v>0.5</v>
      </c>
      <c r="X41" s="37"/>
      <c r="Y41" s="37"/>
      <c r="Z41" s="16"/>
      <c r="AB41" s="16"/>
      <c r="AC41" s="37"/>
      <c r="AD41" s="37">
        <v>0.8</v>
      </c>
      <c r="AE41" s="37"/>
      <c r="AF41" s="37"/>
      <c r="AG41" s="16"/>
      <c r="AI41" s="16"/>
      <c r="AJ41" s="37"/>
      <c r="AK41" s="37">
        <v>0.8</v>
      </c>
      <c r="AL41" s="37"/>
      <c r="AM41" s="37"/>
      <c r="AN41" s="16"/>
      <c r="AP41" s="16"/>
      <c r="AQ41" s="37"/>
      <c r="AR41" s="37">
        <v>0.8</v>
      </c>
      <c r="AS41" s="37"/>
      <c r="AT41" s="37"/>
      <c r="AU41" s="16"/>
      <c r="AW41" s="16"/>
      <c r="AX41" s="37"/>
      <c r="AY41" s="37">
        <v>0.8</v>
      </c>
      <c r="AZ41" s="37"/>
      <c r="BA41" s="37"/>
      <c r="BB41" s="16"/>
      <c r="BD41" s="16"/>
      <c r="BE41" s="37"/>
      <c r="BF41" s="37">
        <v>0.8</v>
      </c>
      <c r="BG41" s="37"/>
      <c r="BH41" s="37"/>
      <c r="BI41" s="16"/>
      <c r="BL41" s="16"/>
      <c r="BM41" s="37"/>
      <c r="BN41" s="37">
        <v>0.8</v>
      </c>
      <c r="BO41" s="37"/>
      <c r="BP41" s="37"/>
      <c r="BQ41" s="16"/>
      <c r="BS41" s="16"/>
      <c r="BT41" s="37"/>
      <c r="BU41" s="37">
        <v>0.8</v>
      </c>
      <c r="BV41" s="37"/>
      <c r="BW41" s="37"/>
      <c r="BX41" s="16"/>
      <c r="BZ41" s="16"/>
      <c r="CA41" s="37"/>
      <c r="CB41" s="37">
        <v>0.8</v>
      </c>
      <c r="CC41" s="37"/>
      <c r="CD41" s="37"/>
      <c r="CE41" s="16"/>
      <c r="CG41" s="16"/>
      <c r="CH41" s="37"/>
      <c r="CI41" s="37">
        <v>1</v>
      </c>
      <c r="CJ41" s="37"/>
      <c r="CK41" s="37"/>
      <c r="CL41" s="16"/>
      <c r="CN41" s="16"/>
      <c r="CO41" s="37"/>
      <c r="CP41" s="37">
        <v>1</v>
      </c>
      <c r="CQ41" s="37"/>
      <c r="CR41" s="37"/>
      <c r="CS41" s="16"/>
      <c r="CU41" s="16"/>
      <c r="CV41" s="37"/>
      <c r="CW41" s="37">
        <v>1</v>
      </c>
      <c r="CX41" s="37"/>
      <c r="CY41" s="37"/>
      <c r="CZ41" s="16"/>
      <c r="DB41" s="16"/>
      <c r="DC41" s="37"/>
      <c r="DD41" s="37"/>
      <c r="DE41" s="37"/>
      <c r="DF41" s="37"/>
      <c r="DG41" s="16"/>
      <c r="DI41" s="16"/>
      <c r="DJ41" s="37"/>
      <c r="DK41" s="37"/>
      <c r="DL41" s="37"/>
      <c r="DM41" s="37"/>
      <c r="DN41" s="16"/>
    </row>
    <row r="42" spans="1:118" ht="31">
      <c r="A42">
        <v>5</v>
      </c>
      <c r="B42" s="16" t="s">
        <v>28</v>
      </c>
      <c r="C42" s="16"/>
      <c r="D42" s="16"/>
      <c r="E42" s="17"/>
      <c r="F42" s="18" t="s">
        <v>90</v>
      </c>
      <c r="G42" s="11">
        <v>8.3299999999999999E-2</v>
      </c>
      <c r="I42" s="17">
        <f t="shared" si="5"/>
        <v>0</v>
      </c>
      <c r="J42" s="39">
        <f t="shared" si="4"/>
        <v>0</v>
      </c>
      <c r="K42" s="39">
        <f t="shared" si="4"/>
        <v>0</v>
      </c>
      <c r="L42" s="17"/>
      <c r="N42" s="16"/>
      <c r="O42" s="37"/>
      <c r="P42" s="37"/>
      <c r="Q42" s="37"/>
      <c r="R42" s="37"/>
      <c r="S42" s="16"/>
      <c r="U42" s="16"/>
      <c r="V42" s="37"/>
      <c r="W42" s="37"/>
      <c r="X42" s="37"/>
      <c r="Y42" s="37"/>
      <c r="Z42" s="16"/>
      <c r="AB42" s="16"/>
      <c r="AC42" s="37"/>
      <c r="AD42" s="37">
        <v>0.5</v>
      </c>
      <c r="AE42" s="37"/>
      <c r="AF42" s="37"/>
      <c r="AG42" s="16"/>
      <c r="AI42" s="16"/>
      <c r="AJ42" s="37"/>
      <c r="AK42" s="37">
        <v>0.8</v>
      </c>
      <c r="AL42" s="37"/>
      <c r="AM42" s="37"/>
      <c r="AN42" s="16"/>
      <c r="AP42" s="16"/>
      <c r="AQ42" s="37"/>
      <c r="AR42" s="37">
        <v>0.8</v>
      </c>
      <c r="AS42" s="37"/>
      <c r="AT42" s="37"/>
      <c r="AU42" s="16"/>
      <c r="AW42" s="16"/>
      <c r="AX42" s="37"/>
      <c r="AY42" s="37">
        <v>0.8</v>
      </c>
      <c r="AZ42" s="37"/>
      <c r="BA42" s="37"/>
      <c r="BB42" s="16"/>
      <c r="BD42" s="16"/>
      <c r="BE42" s="37"/>
      <c r="BF42" s="37">
        <v>0.8</v>
      </c>
      <c r="BG42" s="37"/>
      <c r="BH42" s="37"/>
      <c r="BI42" s="16"/>
      <c r="BL42" s="16"/>
      <c r="BM42" s="37"/>
      <c r="BN42" s="37">
        <v>0.8</v>
      </c>
      <c r="BO42" s="37"/>
      <c r="BP42" s="37"/>
      <c r="BQ42" s="16"/>
      <c r="BS42" s="16"/>
      <c r="BT42" s="37"/>
      <c r="BU42" s="37">
        <v>0.8</v>
      </c>
      <c r="BV42" s="37"/>
      <c r="BW42" s="37"/>
      <c r="BX42" s="16"/>
      <c r="BZ42" s="16"/>
      <c r="CA42" s="37"/>
      <c r="CB42" s="37">
        <v>0.8</v>
      </c>
      <c r="CC42" s="37"/>
      <c r="CD42" s="37"/>
      <c r="CE42" s="16"/>
      <c r="CG42" s="16"/>
      <c r="CH42" s="37"/>
      <c r="CI42" s="37">
        <v>0.8</v>
      </c>
      <c r="CJ42" s="37"/>
      <c r="CK42" s="37"/>
      <c r="CL42" s="16"/>
      <c r="CN42" s="16"/>
      <c r="CO42" s="37"/>
      <c r="CP42" s="37">
        <v>0.8</v>
      </c>
      <c r="CQ42" s="37"/>
      <c r="CR42" s="37"/>
      <c r="CS42" s="16"/>
      <c r="CU42" s="16"/>
      <c r="CV42" s="37"/>
      <c r="CW42" s="37">
        <v>1</v>
      </c>
      <c r="CX42" s="37"/>
      <c r="CY42" s="37"/>
      <c r="CZ42" s="16"/>
      <c r="DB42" s="16"/>
      <c r="DC42" s="37"/>
      <c r="DD42" s="37"/>
      <c r="DE42" s="37"/>
      <c r="DF42" s="37"/>
      <c r="DG42" s="16"/>
      <c r="DI42" s="16"/>
      <c r="DJ42" s="37"/>
      <c r="DK42" s="37"/>
      <c r="DL42" s="37"/>
      <c r="DM42" s="37"/>
      <c r="DN42" s="16"/>
    </row>
    <row r="43" spans="1:118" ht="31">
      <c r="A43">
        <v>6</v>
      </c>
      <c r="B43" s="16" t="s">
        <v>28</v>
      </c>
      <c r="C43" s="16"/>
      <c r="D43" s="16"/>
      <c r="E43" s="17"/>
      <c r="F43" s="18" t="s">
        <v>91</v>
      </c>
      <c r="G43" s="11">
        <v>8.3299999999999999E-2</v>
      </c>
      <c r="I43" s="17">
        <f t="shared" si="5"/>
        <v>0</v>
      </c>
      <c r="J43" s="39">
        <f t="shared" si="4"/>
        <v>0</v>
      </c>
      <c r="K43" s="39">
        <f t="shared" si="4"/>
        <v>0</v>
      </c>
      <c r="L43" s="17"/>
      <c r="N43" s="16"/>
      <c r="O43" s="37"/>
      <c r="P43" s="37"/>
      <c r="Q43" s="37"/>
      <c r="R43" s="37"/>
      <c r="S43" s="16"/>
      <c r="U43" s="16"/>
      <c r="V43" s="37"/>
      <c r="W43" s="37"/>
      <c r="X43" s="37"/>
      <c r="Y43" s="37"/>
      <c r="Z43" s="16"/>
      <c r="AB43" s="16"/>
      <c r="AC43" s="37"/>
      <c r="AD43" s="37"/>
      <c r="AE43" s="37"/>
      <c r="AF43" s="37"/>
      <c r="AG43" s="16"/>
      <c r="AI43" s="16"/>
      <c r="AJ43" s="37"/>
      <c r="AK43" s="37">
        <v>0.5</v>
      </c>
      <c r="AL43" s="37"/>
      <c r="AM43" s="37"/>
      <c r="AN43" s="16"/>
      <c r="AP43" s="16"/>
      <c r="AQ43" s="37"/>
      <c r="AR43" s="37">
        <v>0.8</v>
      </c>
      <c r="AS43" s="37"/>
      <c r="AT43" s="37"/>
      <c r="AU43" s="16"/>
      <c r="AW43" s="16"/>
      <c r="AX43" s="37"/>
      <c r="AY43" s="37">
        <v>0.8</v>
      </c>
      <c r="AZ43" s="37"/>
      <c r="BA43" s="37"/>
      <c r="BB43" s="16"/>
      <c r="BD43" s="16"/>
      <c r="BE43" s="37"/>
      <c r="BF43" s="37">
        <v>0.8</v>
      </c>
      <c r="BG43" s="37"/>
      <c r="BH43" s="37"/>
      <c r="BI43" s="16"/>
      <c r="BL43" s="16"/>
      <c r="BM43" s="37"/>
      <c r="BN43" s="37">
        <v>0.8</v>
      </c>
      <c r="BO43" s="37"/>
      <c r="BP43" s="37"/>
      <c r="BQ43" s="16"/>
      <c r="BS43" s="16"/>
      <c r="BT43" s="37"/>
      <c r="BU43" s="37">
        <v>0.8</v>
      </c>
      <c r="BV43" s="37"/>
      <c r="BW43" s="37"/>
      <c r="BX43" s="16"/>
      <c r="BZ43" s="16"/>
      <c r="CA43" s="37"/>
      <c r="CB43" s="37">
        <v>0.8</v>
      </c>
      <c r="CC43" s="37"/>
      <c r="CD43" s="37"/>
      <c r="CE43" s="16"/>
      <c r="CG43" s="16"/>
      <c r="CH43" s="37"/>
      <c r="CI43" s="37">
        <v>0.8</v>
      </c>
      <c r="CJ43" s="37"/>
      <c r="CK43" s="37"/>
      <c r="CL43" s="16"/>
      <c r="CN43" s="16"/>
      <c r="CO43" s="37"/>
      <c r="CP43" s="37">
        <v>0.8</v>
      </c>
      <c r="CQ43" s="37"/>
      <c r="CR43" s="37"/>
      <c r="CS43" s="16"/>
      <c r="CU43" s="16"/>
      <c r="CV43" s="37"/>
      <c r="CW43" s="37">
        <v>1</v>
      </c>
      <c r="CX43" s="37"/>
      <c r="CY43" s="37"/>
      <c r="CZ43" s="16"/>
      <c r="DB43" s="16"/>
      <c r="DC43" s="37"/>
      <c r="DD43" s="37"/>
      <c r="DE43" s="37"/>
      <c r="DF43" s="37"/>
      <c r="DG43" s="16"/>
      <c r="DI43" s="16"/>
      <c r="DJ43" s="37"/>
      <c r="DK43" s="37"/>
      <c r="DL43" s="37"/>
      <c r="DM43" s="37"/>
      <c r="DN43" s="16"/>
    </row>
    <row r="44" spans="1:118" ht="31">
      <c r="A44">
        <v>7</v>
      </c>
      <c r="B44" s="16" t="s">
        <v>28</v>
      </c>
      <c r="C44" s="16"/>
      <c r="D44" s="16"/>
      <c r="E44" s="17"/>
      <c r="F44" s="18" t="s">
        <v>92</v>
      </c>
      <c r="G44" s="11">
        <v>8.3299999999999999E-2</v>
      </c>
      <c r="I44" s="17">
        <f t="shared" si="5"/>
        <v>0</v>
      </c>
      <c r="J44" s="39">
        <f t="shared" si="4"/>
        <v>0</v>
      </c>
      <c r="K44" s="39">
        <f t="shared" si="4"/>
        <v>0</v>
      </c>
      <c r="L44" s="17"/>
      <c r="N44" s="16"/>
      <c r="O44" s="37"/>
      <c r="P44" s="37"/>
      <c r="Q44" s="37"/>
      <c r="R44" s="37"/>
      <c r="S44" s="16"/>
      <c r="U44" s="16"/>
      <c r="V44" s="37"/>
      <c r="W44" s="37"/>
      <c r="X44" s="37"/>
      <c r="Y44" s="37"/>
      <c r="Z44" s="16"/>
      <c r="AB44" s="16"/>
      <c r="AC44" s="37"/>
      <c r="AD44" s="37"/>
      <c r="AE44" s="37"/>
      <c r="AF44" s="37"/>
      <c r="AG44" s="16"/>
      <c r="AI44" s="16"/>
      <c r="AJ44" s="37"/>
      <c r="AK44" s="37"/>
      <c r="AL44" s="37"/>
      <c r="AM44" s="37"/>
      <c r="AN44" s="16"/>
      <c r="AP44" s="16"/>
      <c r="AQ44" s="37"/>
      <c r="AR44" s="37">
        <v>0.5</v>
      </c>
      <c r="AS44" s="37"/>
      <c r="AT44" s="37"/>
      <c r="AU44" s="16"/>
      <c r="AW44" s="16"/>
      <c r="AX44" s="37"/>
      <c r="AY44" s="37">
        <v>0.8</v>
      </c>
      <c r="AZ44" s="37"/>
      <c r="BA44" s="37"/>
      <c r="BB44" s="16"/>
      <c r="BD44" s="16"/>
      <c r="BE44" s="37"/>
      <c r="BF44" s="37">
        <v>0.8</v>
      </c>
      <c r="BG44" s="37"/>
      <c r="BH44" s="37"/>
      <c r="BI44" s="16"/>
      <c r="BL44" s="16"/>
      <c r="BM44" s="37"/>
      <c r="BN44" s="37">
        <v>0.8</v>
      </c>
      <c r="BO44" s="37"/>
      <c r="BP44" s="37"/>
      <c r="BQ44" s="16"/>
      <c r="BS44" s="16"/>
      <c r="BT44" s="37"/>
      <c r="BU44" s="37">
        <v>0.8</v>
      </c>
      <c r="BV44" s="37"/>
      <c r="BW44" s="37"/>
      <c r="BX44" s="16"/>
      <c r="BZ44" s="16"/>
      <c r="CA44" s="37"/>
      <c r="CB44" s="37">
        <v>0.8</v>
      </c>
      <c r="CC44" s="37"/>
      <c r="CD44" s="37"/>
      <c r="CE44" s="16"/>
      <c r="CG44" s="16"/>
      <c r="CH44" s="37"/>
      <c r="CI44" s="37">
        <v>0.8</v>
      </c>
      <c r="CJ44" s="37"/>
      <c r="CK44" s="37"/>
      <c r="CL44" s="16"/>
      <c r="CN44" s="16"/>
      <c r="CO44" s="37"/>
      <c r="CP44" s="37">
        <v>0.8</v>
      </c>
      <c r="CQ44" s="37"/>
      <c r="CR44" s="37"/>
      <c r="CS44" s="16"/>
      <c r="CU44" s="16"/>
      <c r="CV44" s="37"/>
      <c r="CW44" s="37">
        <v>1</v>
      </c>
      <c r="CX44" s="37"/>
      <c r="CY44" s="37"/>
      <c r="CZ44" s="16"/>
      <c r="DB44" s="16"/>
      <c r="DC44" s="37"/>
      <c r="DD44" s="37"/>
      <c r="DE44" s="37"/>
      <c r="DF44" s="37"/>
      <c r="DG44" s="16"/>
      <c r="DI44" s="16"/>
      <c r="DJ44" s="37"/>
      <c r="DK44" s="37"/>
      <c r="DL44" s="37"/>
      <c r="DM44" s="37"/>
      <c r="DN44" s="16"/>
    </row>
    <row r="45" spans="1:118" ht="31">
      <c r="A45">
        <v>8</v>
      </c>
      <c r="B45" s="16" t="s">
        <v>28</v>
      </c>
      <c r="C45" s="16"/>
      <c r="D45" s="16"/>
      <c r="E45" s="17"/>
      <c r="F45" s="18" t="s">
        <v>93</v>
      </c>
      <c r="G45" s="11">
        <v>8.3299999999999999E-2</v>
      </c>
      <c r="I45" s="17">
        <f t="shared" si="5"/>
        <v>0</v>
      </c>
      <c r="J45" s="39">
        <f t="shared" si="4"/>
        <v>0</v>
      </c>
      <c r="K45" s="39">
        <f t="shared" si="4"/>
        <v>0</v>
      </c>
      <c r="L45" s="17"/>
      <c r="N45" s="16"/>
      <c r="O45" s="37"/>
      <c r="P45" s="37"/>
      <c r="Q45" s="37"/>
      <c r="R45" s="37"/>
      <c r="S45" s="16"/>
      <c r="U45" s="16"/>
      <c r="V45" s="37"/>
      <c r="W45" s="37"/>
      <c r="X45" s="37"/>
      <c r="Y45" s="37"/>
      <c r="Z45" s="16"/>
      <c r="AB45" s="16"/>
      <c r="AC45" s="37"/>
      <c r="AD45" s="37"/>
      <c r="AE45" s="37"/>
      <c r="AF45" s="37"/>
      <c r="AG45" s="16"/>
      <c r="AI45" s="16"/>
      <c r="AJ45" s="37"/>
      <c r="AK45" s="37"/>
      <c r="AL45" s="37"/>
      <c r="AM45" s="37"/>
      <c r="AN45" s="16"/>
      <c r="AP45" s="16"/>
      <c r="AQ45" s="37"/>
      <c r="AR45" s="37"/>
      <c r="AS45" s="37"/>
      <c r="AT45" s="37"/>
      <c r="AU45" s="16"/>
      <c r="AW45" s="16"/>
      <c r="AX45" s="37"/>
      <c r="AY45" s="37">
        <v>0.5</v>
      </c>
      <c r="AZ45" s="37"/>
      <c r="BA45" s="37"/>
      <c r="BB45" s="16"/>
      <c r="BD45" s="16"/>
      <c r="BE45" s="37"/>
      <c r="BF45" s="37">
        <v>0.8</v>
      </c>
      <c r="BG45" s="37"/>
      <c r="BH45" s="37"/>
      <c r="BI45" s="16"/>
      <c r="BL45" s="16"/>
      <c r="BM45" s="37"/>
      <c r="BN45" s="37">
        <v>0.8</v>
      </c>
      <c r="BO45" s="37"/>
      <c r="BP45" s="37"/>
      <c r="BQ45" s="16"/>
      <c r="BS45" s="16"/>
      <c r="BT45" s="37"/>
      <c r="BU45" s="37">
        <v>0.8</v>
      </c>
      <c r="BV45" s="37"/>
      <c r="BW45" s="37"/>
      <c r="BX45" s="16"/>
      <c r="BZ45" s="16"/>
      <c r="CA45" s="37"/>
      <c r="CB45" s="37">
        <v>0.8</v>
      </c>
      <c r="CC45" s="37"/>
      <c r="CD45" s="37"/>
      <c r="CE45" s="16"/>
      <c r="CG45" s="16"/>
      <c r="CH45" s="37"/>
      <c r="CI45" s="37">
        <v>0.8</v>
      </c>
      <c r="CJ45" s="37"/>
      <c r="CK45" s="37"/>
      <c r="CL45" s="16"/>
      <c r="CN45" s="16"/>
      <c r="CO45" s="37"/>
      <c r="CP45" s="37">
        <v>1</v>
      </c>
      <c r="CQ45" s="37"/>
      <c r="CR45" s="37"/>
      <c r="CS45" s="16"/>
      <c r="CU45" s="16"/>
      <c r="CV45" s="37"/>
      <c r="CW45" s="37">
        <v>1</v>
      </c>
      <c r="CX45" s="37"/>
      <c r="CY45" s="37"/>
      <c r="CZ45" s="16"/>
      <c r="DB45" s="16"/>
      <c r="DC45" s="37"/>
      <c r="DD45" s="37"/>
      <c r="DE45" s="37"/>
      <c r="DF45" s="37"/>
      <c r="DG45" s="16"/>
      <c r="DI45" s="16"/>
      <c r="DJ45" s="37"/>
      <c r="DK45" s="37"/>
      <c r="DL45" s="37"/>
      <c r="DM45" s="37"/>
      <c r="DN45" s="16"/>
    </row>
    <row r="46" spans="1:118">
      <c r="A46">
        <v>9</v>
      </c>
      <c r="B46" s="16" t="s">
        <v>28</v>
      </c>
      <c r="C46" s="16"/>
      <c r="D46" s="16"/>
      <c r="E46" s="17"/>
      <c r="F46" s="18" t="s">
        <v>94</v>
      </c>
      <c r="G46" s="11">
        <v>8.3299999999999999E-2</v>
      </c>
      <c r="I46" s="17">
        <f t="shared" si="5"/>
        <v>0</v>
      </c>
      <c r="J46" s="39">
        <f t="shared" si="4"/>
        <v>0</v>
      </c>
      <c r="K46" s="39">
        <f t="shared" si="4"/>
        <v>0</v>
      </c>
      <c r="L46" s="17"/>
      <c r="N46" s="16"/>
      <c r="O46" s="37"/>
      <c r="P46" s="37"/>
      <c r="Q46" s="37"/>
      <c r="R46" s="37"/>
      <c r="S46" s="16"/>
      <c r="U46" s="16"/>
      <c r="V46" s="37"/>
      <c r="W46" s="37"/>
      <c r="X46" s="37"/>
      <c r="Y46" s="37"/>
      <c r="Z46" s="16"/>
      <c r="AB46" s="16"/>
      <c r="AC46" s="37"/>
      <c r="AD46" s="37"/>
      <c r="AE46" s="37"/>
      <c r="AF46" s="37"/>
      <c r="AG46" s="16"/>
      <c r="AI46" s="16"/>
      <c r="AJ46" s="37"/>
      <c r="AK46" s="37"/>
      <c r="AL46" s="37"/>
      <c r="AM46" s="37"/>
      <c r="AN46" s="16"/>
      <c r="AP46" s="16"/>
      <c r="AQ46" s="37"/>
      <c r="AR46" s="37"/>
      <c r="AS46" s="37"/>
      <c r="AT46" s="37"/>
      <c r="AU46" s="16"/>
      <c r="AW46" s="16"/>
      <c r="AX46" s="37"/>
      <c r="AY46" s="37"/>
      <c r="AZ46" s="37"/>
      <c r="BA46" s="37"/>
      <c r="BB46" s="16"/>
      <c r="BD46" s="16"/>
      <c r="BE46" s="37"/>
      <c r="BF46" s="37">
        <v>0.5</v>
      </c>
      <c r="BG46" s="37"/>
      <c r="BH46" s="37"/>
      <c r="BI46" s="16"/>
      <c r="BL46" s="16"/>
      <c r="BM46" s="37"/>
      <c r="BN46" s="37">
        <v>0.5</v>
      </c>
      <c r="BO46" s="37"/>
      <c r="BP46" s="37"/>
      <c r="BQ46" s="16"/>
      <c r="BS46" s="16"/>
      <c r="BT46" s="37"/>
      <c r="BU46" s="37">
        <v>0.8</v>
      </c>
      <c r="BV46" s="37"/>
      <c r="BW46" s="37"/>
      <c r="BX46" s="16"/>
      <c r="BZ46" s="16"/>
      <c r="CA46" s="37"/>
      <c r="CB46" s="37">
        <v>0.8</v>
      </c>
      <c r="CC46" s="37"/>
      <c r="CD46" s="37"/>
      <c r="CE46" s="16"/>
      <c r="CG46" s="16"/>
      <c r="CH46" s="37"/>
      <c r="CI46" s="37">
        <v>0.8</v>
      </c>
      <c r="CJ46" s="37"/>
      <c r="CK46" s="37"/>
      <c r="CL46" s="16"/>
      <c r="CN46" s="16"/>
      <c r="CO46" s="37"/>
      <c r="CP46" s="37">
        <v>1</v>
      </c>
      <c r="CQ46" s="37"/>
      <c r="CR46" s="37"/>
      <c r="CS46" s="16"/>
      <c r="CU46" s="16"/>
      <c r="CV46" s="37"/>
      <c r="CW46" s="37">
        <v>1</v>
      </c>
      <c r="CX46" s="37"/>
      <c r="CY46" s="37"/>
      <c r="CZ46" s="16"/>
      <c r="DB46" s="16"/>
      <c r="DC46" s="37"/>
      <c r="DD46" s="37"/>
      <c r="DE46" s="37"/>
      <c r="DF46" s="37"/>
      <c r="DG46" s="16"/>
      <c r="DI46" s="16"/>
      <c r="DJ46" s="37"/>
      <c r="DK46" s="37"/>
      <c r="DL46" s="37"/>
      <c r="DM46" s="37"/>
      <c r="DN46" s="16"/>
    </row>
    <row r="47" spans="1:118">
      <c r="A47">
        <v>10</v>
      </c>
      <c r="B47" s="16" t="s">
        <v>28</v>
      </c>
      <c r="C47" s="16"/>
      <c r="D47" s="16"/>
      <c r="E47" s="17"/>
      <c r="F47" s="18" t="s">
        <v>95</v>
      </c>
      <c r="G47" s="11">
        <v>8.3299999999999999E-2</v>
      </c>
      <c r="I47" s="17">
        <f t="shared" si="5"/>
        <v>0</v>
      </c>
      <c r="J47" s="39">
        <f t="shared" si="4"/>
        <v>0</v>
      </c>
      <c r="K47" s="39">
        <f t="shared" si="4"/>
        <v>0</v>
      </c>
      <c r="L47" s="17"/>
      <c r="N47" s="16"/>
      <c r="O47" s="37"/>
      <c r="P47" s="37"/>
      <c r="Q47" s="37"/>
      <c r="R47" s="37"/>
      <c r="S47" s="16"/>
      <c r="U47" s="16"/>
      <c r="V47" s="37"/>
      <c r="W47" s="37"/>
      <c r="X47" s="37"/>
      <c r="Y47" s="37"/>
      <c r="Z47" s="16"/>
      <c r="AB47" s="16"/>
      <c r="AC47" s="37"/>
      <c r="AD47" s="37"/>
      <c r="AE47" s="37"/>
      <c r="AF47" s="37"/>
      <c r="AG47" s="16"/>
      <c r="AI47" s="16"/>
      <c r="AJ47" s="37"/>
      <c r="AK47" s="37"/>
      <c r="AL47" s="37"/>
      <c r="AM47" s="37"/>
      <c r="AN47" s="16"/>
      <c r="AP47" s="16"/>
      <c r="AQ47" s="37"/>
      <c r="AR47" s="37"/>
      <c r="AS47" s="37"/>
      <c r="AT47" s="37"/>
      <c r="AU47" s="16"/>
      <c r="AW47" s="16"/>
      <c r="AX47" s="37"/>
      <c r="AY47" s="37"/>
      <c r="AZ47" s="37"/>
      <c r="BA47" s="37"/>
      <c r="BB47" s="16"/>
      <c r="BD47" s="16"/>
      <c r="BE47" s="37"/>
      <c r="BF47" s="37"/>
      <c r="BG47" s="37"/>
      <c r="BH47" s="37"/>
      <c r="BI47" s="16"/>
      <c r="BL47" s="16"/>
      <c r="BM47" s="37"/>
      <c r="BN47" s="37">
        <v>0.5</v>
      </c>
      <c r="BO47" s="37"/>
      <c r="BP47" s="37"/>
      <c r="BQ47" s="16"/>
      <c r="BS47" s="16"/>
      <c r="BT47" s="37"/>
      <c r="BU47" s="37">
        <v>0.8</v>
      </c>
      <c r="BV47" s="37"/>
      <c r="BW47" s="37"/>
      <c r="BX47" s="16"/>
      <c r="BZ47" s="16"/>
      <c r="CA47" s="37"/>
      <c r="CB47" s="37">
        <v>0.8</v>
      </c>
      <c r="CC47" s="37"/>
      <c r="CD47" s="37"/>
      <c r="CE47" s="16"/>
      <c r="CG47" s="16"/>
      <c r="CH47" s="37"/>
      <c r="CI47" s="37">
        <v>0.8</v>
      </c>
      <c r="CJ47" s="37"/>
      <c r="CK47" s="37"/>
      <c r="CL47" s="16"/>
      <c r="CN47" s="16"/>
      <c r="CO47" s="37"/>
      <c r="CP47" s="37">
        <v>1</v>
      </c>
      <c r="CQ47" s="37"/>
      <c r="CR47" s="37"/>
      <c r="CS47" s="16"/>
      <c r="CU47" s="16"/>
      <c r="CV47" s="37"/>
      <c r="CW47" s="37">
        <v>1</v>
      </c>
      <c r="CX47" s="37"/>
      <c r="CY47" s="37"/>
      <c r="CZ47" s="16"/>
      <c r="DB47" s="16"/>
      <c r="DC47" s="37"/>
      <c r="DD47" s="37"/>
      <c r="DE47" s="37"/>
      <c r="DF47" s="37"/>
      <c r="DG47" s="16"/>
      <c r="DI47" s="16"/>
      <c r="DJ47" s="37"/>
      <c r="DK47" s="37"/>
      <c r="DL47" s="37"/>
      <c r="DM47" s="37"/>
      <c r="DN47" s="16"/>
    </row>
    <row r="48" spans="1:118">
      <c r="A48">
        <v>11</v>
      </c>
      <c r="B48" s="16" t="s">
        <v>28</v>
      </c>
      <c r="C48" s="16"/>
      <c r="D48" s="16"/>
      <c r="E48" s="17"/>
      <c r="F48" s="18" t="s">
        <v>96</v>
      </c>
      <c r="G48" s="11">
        <v>8.3299999999999999E-2</v>
      </c>
      <c r="I48" s="17">
        <f t="shared" si="5"/>
        <v>0</v>
      </c>
      <c r="J48" s="39">
        <f t="shared" si="4"/>
        <v>0</v>
      </c>
      <c r="K48" s="39">
        <f t="shared" si="4"/>
        <v>0</v>
      </c>
      <c r="L48" s="17"/>
      <c r="N48" s="16"/>
      <c r="O48" s="37"/>
      <c r="P48" s="37"/>
      <c r="Q48" s="37"/>
      <c r="R48" s="37"/>
      <c r="S48" s="16"/>
      <c r="U48" s="16"/>
      <c r="V48" s="37"/>
      <c r="W48" s="37"/>
      <c r="X48" s="37"/>
      <c r="Y48" s="37"/>
      <c r="Z48" s="16"/>
      <c r="AB48" s="16"/>
      <c r="AC48" s="37"/>
      <c r="AD48" s="37"/>
      <c r="AE48" s="37"/>
      <c r="AF48" s="37"/>
      <c r="AG48" s="16"/>
      <c r="AI48" s="16"/>
      <c r="AJ48" s="37"/>
      <c r="AK48" s="37"/>
      <c r="AL48" s="37"/>
      <c r="AM48" s="37"/>
      <c r="AN48" s="16"/>
      <c r="AP48" s="16"/>
      <c r="AQ48" s="37"/>
      <c r="AR48" s="37"/>
      <c r="AS48" s="37"/>
      <c r="AT48" s="37"/>
      <c r="AU48" s="16"/>
      <c r="AW48" s="16"/>
      <c r="AX48" s="37"/>
      <c r="AY48" s="37"/>
      <c r="AZ48" s="37"/>
      <c r="BA48" s="37"/>
      <c r="BB48" s="16"/>
      <c r="BD48" s="16"/>
      <c r="BE48" s="37"/>
      <c r="BF48" s="37"/>
      <c r="BG48" s="37"/>
      <c r="BH48" s="37"/>
      <c r="BI48" s="16"/>
      <c r="BL48" s="16"/>
      <c r="BM48" s="37"/>
      <c r="BN48" s="37"/>
      <c r="BO48" s="37"/>
      <c r="BP48" s="37"/>
      <c r="BQ48" s="16"/>
      <c r="BS48" s="16"/>
      <c r="BT48" s="37"/>
      <c r="BU48" s="37">
        <v>0.5</v>
      </c>
      <c r="BV48" s="37"/>
      <c r="BW48" s="37"/>
      <c r="BX48" s="16"/>
      <c r="BZ48" s="16"/>
      <c r="CA48" s="37"/>
      <c r="CB48" s="37">
        <v>0.8</v>
      </c>
      <c r="CC48" s="37"/>
      <c r="CD48" s="37"/>
      <c r="CE48" s="16"/>
      <c r="CG48" s="16"/>
      <c r="CH48" s="37"/>
      <c r="CI48" s="37">
        <v>0.8</v>
      </c>
      <c r="CJ48" s="37"/>
      <c r="CK48" s="37"/>
      <c r="CL48" s="16"/>
      <c r="CN48" s="16"/>
      <c r="CO48" s="37"/>
      <c r="CP48" s="37">
        <v>1</v>
      </c>
      <c r="CQ48" s="37"/>
      <c r="CR48" s="37"/>
      <c r="CS48" s="16"/>
      <c r="CU48" s="16"/>
      <c r="CV48" s="37"/>
      <c r="CW48" s="37">
        <v>1</v>
      </c>
      <c r="CX48" s="37"/>
      <c r="CY48" s="37"/>
      <c r="CZ48" s="16"/>
      <c r="DB48" s="16"/>
      <c r="DC48" s="37"/>
      <c r="DD48" s="37"/>
      <c r="DE48" s="37"/>
      <c r="DF48" s="37"/>
      <c r="DG48" s="16"/>
      <c r="DI48" s="16"/>
      <c r="DJ48" s="37"/>
      <c r="DK48" s="37"/>
      <c r="DL48" s="37"/>
      <c r="DM48" s="37"/>
      <c r="DN48" s="16"/>
    </row>
    <row r="49" spans="1:118" ht="31">
      <c r="A49">
        <v>12</v>
      </c>
      <c r="B49" s="16" t="s">
        <v>51</v>
      </c>
      <c r="C49" s="16"/>
      <c r="D49" s="16"/>
      <c r="E49" s="17"/>
      <c r="F49" s="18" t="s">
        <v>97</v>
      </c>
      <c r="G49" s="11"/>
      <c r="I49" s="17">
        <v>4</v>
      </c>
      <c r="J49" s="39">
        <f t="shared" si="4"/>
        <v>0</v>
      </c>
      <c r="K49" s="39">
        <f t="shared" si="4"/>
        <v>0</v>
      </c>
      <c r="L49" s="17"/>
      <c r="N49" s="16"/>
      <c r="O49" s="37"/>
      <c r="P49" s="37"/>
      <c r="Q49" s="37"/>
      <c r="R49" s="37"/>
      <c r="S49" s="16"/>
      <c r="U49" s="16"/>
      <c r="V49" s="37"/>
      <c r="W49" s="37"/>
      <c r="X49" s="37"/>
      <c r="Y49" s="37"/>
      <c r="Z49" s="16"/>
      <c r="AB49" s="16"/>
      <c r="AC49" s="37"/>
      <c r="AD49" s="37"/>
      <c r="AE49" s="37"/>
      <c r="AF49" s="37"/>
      <c r="AG49" s="16"/>
      <c r="AI49" s="16"/>
      <c r="AJ49" s="37"/>
      <c r="AK49" s="37"/>
      <c r="AL49" s="37"/>
      <c r="AM49" s="37"/>
      <c r="AN49" s="16"/>
      <c r="AP49" s="16"/>
      <c r="AQ49" s="37"/>
      <c r="AR49" s="37"/>
      <c r="AS49" s="37"/>
      <c r="AT49" s="37"/>
      <c r="AU49" s="16"/>
      <c r="AW49" s="16"/>
      <c r="AX49" s="37"/>
      <c r="AY49" s="37"/>
      <c r="AZ49" s="37"/>
      <c r="BA49" s="37"/>
      <c r="BB49" s="16"/>
      <c r="BD49" s="16"/>
      <c r="BE49" s="37"/>
      <c r="BF49" s="37"/>
      <c r="BG49" s="37"/>
      <c r="BH49" s="37"/>
      <c r="BI49" s="16"/>
      <c r="BL49" s="16"/>
      <c r="BM49" s="37"/>
      <c r="BN49" s="37"/>
      <c r="BO49" s="37"/>
      <c r="BP49" s="37"/>
      <c r="BQ49" s="16"/>
      <c r="BS49" s="16"/>
      <c r="BT49" s="37"/>
      <c r="BU49" s="37"/>
      <c r="BV49" s="37"/>
      <c r="BW49" s="37"/>
      <c r="BX49" s="16"/>
      <c r="BZ49" s="16"/>
      <c r="CA49" s="37"/>
      <c r="CB49" s="37">
        <v>0.8</v>
      </c>
      <c r="CC49" s="37"/>
      <c r="CD49" s="37"/>
      <c r="CE49" s="16"/>
      <c r="CG49" s="16"/>
      <c r="CH49" s="37"/>
      <c r="CI49" s="37">
        <v>0.8</v>
      </c>
      <c r="CJ49" s="37"/>
      <c r="CK49" s="37"/>
      <c r="CL49" s="16"/>
      <c r="CN49" s="16"/>
      <c r="CO49" s="37"/>
      <c r="CP49" s="37">
        <v>1</v>
      </c>
      <c r="CQ49" s="37"/>
      <c r="CR49" s="37"/>
      <c r="CS49" s="16"/>
      <c r="CU49" s="16"/>
      <c r="CV49" s="37"/>
      <c r="CW49" s="37">
        <v>1</v>
      </c>
      <c r="CX49" s="37"/>
      <c r="CY49" s="37"/>
      <c r="CZ49" s="16"/>
      <c r="DB49" s="16"/>
      <c r="DC49" s="37"/>
      <c r="DD49" s="37"/>
      <c r="DE49" s="37"/>
      <c r="DF49" s="37"/>
      <c r="DG49" s="16"/>
      <c r="DI49" s="16"/>
      <c r="DJ49" s="37"/>
      <c r="DK49" s="37"/>
      <c r="DL49" s="37"/>
      <c r="DM49" s="37"/>
      <c r="DN49" s="16"/>
    </row>
    <row r="50" spans="1:118">
      <c r="A50">
        <v>13</v>
      </c>
      <c r="B50" s="16"/>
      <c r="C50" s="16"/>
      <c r="D50" s="16"/>
      <c r="E50" s="17"/>
      <c r="F50" s="18"/>
      <c r="G50" s="11">
        <v>8.3299999999999999E-2</v>
      </c>
      <c r="I50" s="17">
        <f>+SUMIF($N$3:$ZZ$3,I$3,$N50:$ZZ50)</f>
        <v>0</v>
      </c>
      <c r="J50" s="39">
        <f t="shared" si="4"/>
        <v>0</v>
      </c>
      <c r="K50" s="39">
        <f t="shared" si="4"/>
        <v>0</v>
      </c>
      <c r="L50" s="17"/>
      <c r="N50" s="16"/>
      <c r="O50" s="37"/>
      <c r="P50" s="37"/>
      <c r="Q50" s="37"/>
      <c r="R50" s="37"/>
      <c r="S50" s="16"/>
      <c r="U50" s="16"/>
      <c r="V50" s="37"/>
      <c r="W50" s="37"/>
      <c r="X50" s="37"/>
      <c r="Y50" s="37"/>
      <c r="Z50" s="16"/>
      <c r="AB50" s="16"/>
      <c r="AC50" s="37"/>
      <c r="AD50" s="37"/>
      <c r="AE50" s="37"/>
      <c r="AF50" s="37"/>
      <c r="AG50" s="16"/>
      <c r="AI50" s="16"/>
      <c r="AJ50" s="37"/>
      <c r="AK50" s="37"/>
      <c r="AL50" s="37"/>
      <c r="AM50" s="37"/>
      <c r="AN50" s="16"/>
      <c r="AP50" s="16"/>
      <c r="AQ50" s="37"/>
      <c r="AR50" s="37"/>
      <c r="AS50" s="37"/>
      <c r="AT50" s="37"/>
      <c r="AU50" s="16"/>
      <c r="AW50" s="16"/>
      <c r="AX50" s="37"/>
      <c r="AY50" s="37"/>
      <c r="AZ50" s="37"/>
      <c r="BA50" s="37"/>
      <c r="BB50" s="16"/>
      <c r="BD50" s="16"/>
      <c r="BE50" s="37"/>
      <c r="BF50" s="37"/>
      <c r="BG50" s="37"/>
      <c r="BH50" s="37"/>
      <c r="BI50" s="16"/>
      <c r="BL50" s="16"/>
      <c r="BM50" s="37"/>
      <c r="BN50" s="37"/>
      <c r="BO50" s="37"/>
      <c r="BP50" s="37"/>
      <c r="BQ50" s="16"/>
      <c r="BS50" s="16"/>
      <c r="BT50" s="37"/>
      <c r="BU50" s="37"/>
      <c r="BV50" s="37"/>
      <c r="BW50" s="37"/>
      <c r="BX50" s="16"/>
      <c r="BZ50" s="16"/>
      <c r="CA50" s="37"/>
      <c r="CB50" s="37"/>
      <c r="CC50" s="37"/>
      <c r="CD50" s="37"/>
      <c r="CE50" s="16"/>
      <c r="CG50" s="16"/>
      <c r="CH50" s="37"/>
      <c r="CI50" s="37"/>
      <c r="CJ50" s="37"/>
      <c r="CK50" s="37"/>
      <c r="CL50" s="16"/>
      <c r="CN50" s="16"/>
      <c r="CO50" s="37"/>
      <c r="CP50" s="37"/>
      <c r="CQ50" s="37"/>
      <c r="CR50" s="37"/>
      <c r="CS50" s="16"/>
      <c r="CU50" s="16"/>
      <c r="CV50" s="37"/>
      <c r="CW50" s="37"/>
      <c r="CX50" s="37"/>
      <c r="CY50" s="37"/>
      <c r="CZ50" s="16"/>
      <c r="DB50" s="16"/>
      <c r="DC50" s="37"/>
      <c r="DD50" s="37"/>
      <c r="DE50" s="37"/>
      <c r="DF50" s="37"/>
      <c r="DG50" s="16"/>
      <c r="DI50" s="16"/>
      <c r="DJ50" s="37"/>
      <c r="DK50" s="37"/>
      <c r="DL50" s="37"/>
      <c r="DM50" s="37"/>
      <c r="DN50" s="16"/>
    </row>
    <row r="51" spans="1:118">
      <c r="A51">
        <v>14</v>
      </c>
      <c r="B51" s="16"/>
      <c r="C51" s="16"/>
      <c r="D51" s="19" t="s">
        <v>70</v>
      </c>
      <c r="E51" s="17"/>
      <c r="F51" s="28"/>
      <c r="G51" s="11"/>
      <c r="I51" s="17"/>
      <c r="J51" s="39">
        <f t="shared" si="4"/>
        <v>0</v>
      </c>
      <c r="K51" s="39">
        <f t="shared" si="4"/>
        <v>0</v>
      </c>
      <c r="L51" s="17"/>
      <c r="N51" s="16"/>
      <c r="O51" s="37"/>
      <c r="P51" s="37"/>
      <c r="Q51" s="37"/>
      <c r="R51" s="37"/>
      <c r="S51" s="16"/>
      <c r="U51" s="16"/>
      <c r="V51" s="37"/>
      <c r="W51" s="37"/>
      <c r="X51" s="37"/>
      <c r="Y51" s="37"/>
      <c r="Z51" s="16"/>
      <c r="AB51" s="16"/>
      <c r="AC51" s="37"/>
      <c r="AD51" s="37"/>
      <c r="AE51" s="37"/>
      <c r="AF51" s="37"/>
      <c r="AG51" s="16"/>
      <c r="AI51" s="16"/>
      <c r="AJ51" s="37"/>
      <c r="AK51" s="37"/>
      <c r="AL51" s="37"/>
      <c r="AM51" s="37"/>
      <c r="AN51" s="16"/>
      <c r="AP51" s="16"/>
      <c r="AQ51" s="37"/>
      <c r="AR51" s="37"/>
      <c r="AS51" s="37"/>
      <c r="AT51" s="37"/>
      <c r="AU51" s="16"/>
      <c r="AW51" s="16"/>
      <c r="AX51" s="37"/>
      <c r="AY51" s="37"/>
      <c r="AZ51" s="37"/>
      <c r="BA51" s="37"/>
      <c r="BB51" s="16"/>
      <c r="BD51" s="16"/>
      <c r="BE51" s="37"/>
      <c r="BF51" s="37"/>
      <c r="BG51" s="37"/>
      <c r="BH51" s="37"/>
      <c r="BI51" s="16"/>
      <c r="BL51" s="16"/>
      <c r="BM51" s="37"/>
      <c r="BN51" s="37"/>
      <c r="BO51" s="37"/>
      <c r="BP51" s="37"/>
      <c r="BQ51" s="16"/>
      <c r="BS51" s="16"/>
      <c r="BT51" s="37"/>
      <c r="BU51" s="37"/>
      <c r="BV51" s="37"/>
      <c r="BW51" s="37"/>
      <c r="BX51" s="16"/>
      <c r="BZ51" s="16"/>
      <c r="CA51" s="37"/>
      <c r="CB51" s="37"/>
      <c r="CC51" s="37"/>
      <c r="CD51" s="37"/>
      <c r="CE51" s="16"/>
      <c r="CG51" s="16"/>
      <c r="CH51" s="37"/>
      <c r="CI51" s="37"/>
      <c r="CJ51" s="37"/>
      <c r="CK51" s="37"/>
      <c r="CL51" s="16"/>
      <c r="CN51" s="16"/>
      <c r="CO51" s="37"/>
      <c r="CP51" s="37"/>
      <c r="CQ51" s="37"/>
      <c r="CR51" s="37"/>
      <c r="CS51" s="16"/>
      <c r="CU51" s="16"/>
      <c r="CV51" s="37"/>
      <c r="CW51" s="37"/>
      <c r="CX51" s="37"/>
      <c r="CY51" s="37"/>
      <c r="CZ51" s="16"/>
      <c r="DB51" s="16"/>
      <c r="DC51" s="37"/>
      <c r="DD51" s="37"/>
      <c r="DE51" s="37"/>
      <c r="DF51" s="37"/>
      <c r="DG51" s="16"/>
      <c r="DI51" s="16"/>
      <c r="DJ51" s="37"/>
      <c r="DK51" s="37"/>
      <c r="DL51" s="37"/>
      <c r="DM51" s="37"/>
      <c r="DN51" s="16"/>
    </row>
    <row r="52" spans="1:118">
      <c r="BF52" s="44"/>
    </row>
    <row r="55" spans="1:118" ht="16" thickBot="1">
      <c r="B55" s="21" t="s">
        <v>27</v>
      </c>
      <c r="C55" s="21" t="s">
        <v>98</v>
      </c>
      <c r="D55" s="21"/>
      <c r="E55" s="22">
        <v>6</v>
      </c>
      <c r="F55" s="21"/>
      <c r="G55" s="34">
        <f>SUM(G56:G68)</f>
        <v>0.99599999999999989</v>
      </c>
      <c r="I55" s="36" cm="1">
        <f t="array" aca="1" ref="I55" ca="1">I55:AU69=+SUM(I56:I68)</f>
        <v>0</v>
      </c>
      <c r="J55" s="39">
        <f>+SUMPRODUCT(G56:G68,J56:J68)</f>
        <v>0</v>
      </c>
      <c r="K55" s="39">
        <f>+SUMPRODUCT(G56:G68,K56:K68)</f>
        <v>0</v>
      </c>
      <c r="L55" s="17"/>
      <c r="N55" s="36">
        <f>+SUM(N56:N68)</f>
        <v>0</v>
      </c>
      <c r="O55" s="16"/>
      <c r="P55" s="16"/>
      <c r="Q55" s="16"/>
      <c r="R55" s="16"/>
      <c r="S55" s="16"/>
      <c r="U55" s="36">
        <f>+SUM(U56:U68)</f>
        <v>0</v>
      </c>
      <c r="V55" s="16"/>
      <c r="W55" s="16"/>
      <c r="X55" s="16"/>
      <c r="Y55" s="16"/>
      <c r="Z55" s="16"/>
      <c r="AB55" s="36">
        <f>+SUM(AB56:AB68)</f>
        <v>0</v>
      </c>
      <c r="AC55" s="16"/>
      <c r="AD55" s="16"/>
      <c r="AE55" s="16"/>
      <c r="AF55" s="16"/>
      <c r="AG55" s="16"/>
      <c r="AI55" s="36">
        <f>+SUM(AI56:AI68)</f>
        <v>0</v>
      </c>
      <c r="AJ55" s="16"/>
      <c r="AK55" s="16"/>
      <c r="AL55" s="16"/>
      <c r="AM55" s="16"/>
      <c r="AN55" s="16"/>
      <c r="AP55" s="36">
        <f>+SUM(AP56:AP68)</f>
        <v>0</v>
      </c>
      <c r="AQ55" s="16"/>
      <c r="AR55" s="16"/>
      <c r="AS55" s="16"/>
      <c r="AT55" s="16"/>
      <c r="AU55" s="16"/>
      <c r="AW55" s="36">
        <f>+SUM(AW56:AW68)</f>
        <v>0</v>
      </c>
      <c r="AX55" s="16"/>
      <c r="AY55" s="16"/>
      <c r="AZ55" s="16"/>
      <c r="BA55" s="16"/>
      <c r="BB55" s="16"/>
      <c r="BD55" s="36">
        <f>+SUM(BD56:BD68)</f>
        <v>0</v>
      </c>
      <c r="BE55" s="16"/>
      <c r="BF55" s="16"/>
      <c r="BG55" s="16"/>
      <c r="BH55" s="16"/>
      <c r="BI55" s="16"/>
      <c r="BL55" s="36">
        <f>+SUM(BL56:BL68)</f>
        <v>0</v>
      </c>
      <c r="BM55" s="16"/>
      <c r="BN55" s="16"/>
      <c r="BO55" s="16"/>
      <c r="BP55" s="16"/>
      <c r="BQ55" s="16"/>
      <c r="BR55" s="48"/>
      <c r="BS55" s="36">
        <f>+SUM(BS56:BS68)</f>
        <v>0</v>
      </c>
      <c r="BT55" s="16"/>
      <c r="BU55" s="16"/>
      <c r="BV55" s="16"/>
      <c r="BW55" s="16"/>
      <c r="BX55" s="16"/>
      <c r="BZ55" s="36">
        <f>+SUM(BZ56:BZ68)</f>
        <v>0</v>
      </c>
      <c r="CA55" s="16"/>
      <c r="CB55" s="16"/>
      <c r="CC55" s="16"/>
      <c r="CD55" s="16"/>
      <c r="CE55" s="16"/>
      <c r="CG55" s="36">
        <f>+SUM(CG56:CG68)</f>
        <v>0</v>
      </c>
      <c r="CH55" s="16"/>
      <c r="CI55" s="16"/>
      <c r="CJ55" s="16"/>
      <c r="CK55" s="16"/>
      <c r="CL55" s="16"/>
      <c r="CN55" s="36">
        <f>+SUM(CN56:CN68)</f>
        <v>0</v>
      </c>
      <c r="CO55" s="16"/>
      <c r="CP55" s="16"/>
      <c r="CQ55" s="16"/>
      <c r="CR55" s="16"/>
      <c r="CS55" s="16"/>
      <c r="CU55" s="36">
        <f>+SUM(CU56:CU68)</f>
        <v>0</v>
      </c>
      <c r="CV55" s="16"/>
      <c r="CW55" s="16"/>
      <c r="CX55" s="16"/>
      <c r="CY55" s="16"/>
      <c r="CZ55" s="16"/>
      <c r="DB55" s="36">
        <f>+SUM(DB56:DB67)</f>
        <v>0</v>
      </c>
      <c r="DC55" s="37"/>
      <c r="DD55" s="37"/>
      <c r="DE55" s="41"/>
      <c r="DF55" s="37"/>
      <c r="DG55" s="16"/>
      <c r="DI55" s="36">
        <f>+SUM(DI56:DI67)</f>
        <v>0</v>
      </c>
      <c r="DJ55" s="37"/>
      <c r="DK55" s="37"/>
      <c r="DL55" s="41"/>
      <c r="DM55" s="37"/>
      <c r="DN55" s="16"/>
    </row>
    <row r="56" spans="1:118">
      <c r="A56">
        <v>1</v>
      </c>
      <c r="B56" s="20" t="s">
        <v>28</v>
      </c>
      <c r="C56" s="20"/>
      <c r="D56" s="20"/>
      <c r="E56" s="23"/>
      <c r="F56" s="20" t="s">
        <v>99</v>
      </c>
      <c r="G56" s="33">
        <v>8.3000000000000004E-2</v>
      </c>
      <c r="I56" s="17">
        <f>+SUMIF($N$3:$ZZ$3,I$3,$N56:$ZZ56)</f>
        <v>0</v>
      </c>
      <c r="J56" s="39">
        <f t="shared" ref="J56:K69" si="6">+_xlfn.MAXIFS($N56:$ZF56,$N$3:$ZF$3,J$3)</f>
        <v>0</v>
      </c>
      <c r="K56" s="39">
        <f t="shared" si="6"/>
        <v>0</v>
      </c>
      <c r="L56" s="17"/>
      <c r="N56" s="16"/>
      <c r="O56" s="37"/>
      <c r="P56" s="37">
        <v>0.5</v>
      </c>
      <c r="Q56" s="37"/>
      <c r="R56" s="37"/>
      <c r="S56" s="16"/>
      <c r="U56" s="16"/>
      <c r="V56" s="37"/>
      <c r="W56" s="37">
        <v>0.5</v>
      </c>
      <c r="X56" s="37"/>
      <c r="Y56" s="37"/>
      <c r="Z56" s="16"/>
      <c r="AB56" s="16"/>
      <c r="AC56" s="37"/>
      <c r="AD56" s="37">
        <v>0.5</v>
      </c>
      <c r="AE56" s="37"/>
      <c r="AF56" s="37"/>
      <c r="AG56" s="16"/>
      <c r="AI56" s="16"/>
      <c r="AJ56" s="37"/>
      <c r="AK56" s="37">
        <v>0.8</v>
      </c>
      <c r="AL56" s="37"/>
      <c r="AM56" s="37"/>
      <c r="AN56" s="16"/>
      <c r="AP56" s="16"/>
      <c r="AQ56" s="37"/>
      <c r="AR56" s="37">
        <v>0.8</v>
      </c>
      <c r="AS56" s="37"/>
      <c r="AT56" s="37"/>
      <c r="AU56" s="16"/>
      <c r="AW56" s="16"/>
      <c r="AX56" s="37"/>
      <c r="AY56" s="37">
        <v>0.8</v>
      </c>
      <c r="AZ56" s="37"/>
      <c r="BA56" s="37"/>
      <c r="BB56" s="16"/>
      <c r="BD56" s="16"/>
      <c r="BE56" s="37"/>
      <c r="BF56" s="37">
        <v>0.8</v>
      </c>
      <c r="BG56" s="37"/>
      <c r="BH56" s="37"/>
      <c r="BI56" s="16"/>
      <c r="BL56" s="16"/>
      <c r="BM56" s="37"/>
      <c r="BN56" s="37">
        <v>0.8</v>
      </c>
      <c r="BO56" s="37"/>
      <c r="BP56" s="37"/>
      <c r="BQ56" s="16"/>
      <c r="BS56" s="16"/>
      <c r="BT56" s="37"/>
      <c r="BU56" s="37">
        <v>0.8</v>
      </c>
      <c r="BV56" s="37"/>
      <c r="BW56" s="37"/>
      <c r="BX56" s="16"/>
      <c r="BZ56" s="16"/>
      <c r="CA56" s="37"/>
      <c r="CB56" s="37">
        <v>0.8</v>
      </c>
      <c r="CC56" s="37"/>
      <c r="CD56" s="37"/>
      <c r="CE56" s="16"/>
      <c r="CG56" s="16"/>
      <c r="CH56" s="37"/>
      <c r="CI56" s="37">
        <v>0.8</v>
      </c>
      <c r="CJ56" s="37"/>
      <c r="CK56" s="37"/>
      <c r="CL56" s="16"/>
      <c r="CN56" s="16"/>
      <c r="CO56" s="37"/>
      <c r="CP56" s="37">
        <v>0.8</v>
      </c>
      <c r="CQ56" s="37"/>
      <c r="CR56" s="37"/>
      <c r="CS56" s="16"/>
      <c r="CU56" s="16"/>
      <c r="CV56" s="37"/>
      <c r="CW56" s="37">
        <v>0.8</v>
      </c>
      <c r="CX56" s="37"/>
      <c r="CY56" s="37"/>
      <c r="CZ56" s="16"/>
      <c r="DB56" s="16"/>
      <c r="DC56" s="37"/>
      <c r="DD56" s="37"/>
      <c r="DE56" s="37"/>
      <c r="DF56" s="37"/>
      <c r="DG56" s="16"/>
      <c r="DI56" s="16"/>
      <c r="DJ56" s="37"/>
      <c r="DK56" s="37"/>
      <c r="DL56" s="37"/>
      <c r="DM56" s="37"/>
      <c r="DN56" s="16"/>
    </row>
    <row r="57" spans="1:118">
      <c r="A57">
        <v>2</v>
      </c>
      <c r="B57" s="16" t="s">
        <v>28</v>
      </c>
      <c r="C57" s="16"/>
      <c r="D57" s="16"/>
      <c r="E57" s="17"/>
      <c r="F57" s="16" t="s">
        <v>100</v>
      </c>
      <c r="G57" s="33">
        <v>8.3000000000000004E-2</v>
      </c>
      <c r="I57" s="17">
        <f t="shared" ref="I57:I66" si="7">+SUMIF($N$3:$ZZ$3,I$3,$N57:$ZZ57)</f>
        <v>0</v>
      </c>
      <c r="J57" s="39">
        <f t="shared" si="6"/>
        <v>0</v>
      </c>
      <c r="K57" s="39">
        <f t="shared" si="6"/>
        <v>0</v>
      </c>
      <c r="L57" s="17"/>
      <c r="N57" s="16"/>
      <c r="O57" s="37"/>
      <c r="P57" s="37"/>
      <c r="Q57" s="37"/>
      <c r="R57" s="37"/>
      <c r="S57" s="16"/>
      <c r="U57" s="16"/>
      <c r="V57" s="37"/>
      <c r="W57" s="37">
        <v>0.5</v>
      </c>
      <c r="X57" s="37"/>
      <c r="Y57" s="37"/>
      <c r="Z57" s="16"/>
      <c r="AB57" s="16"/>
      <c r="AC57" s="37"/>
      <c r="AD57" s="37">
        <v>0.5</v>
      </c>
      <c r="AE57" s="37"/>
      <c r="AF57" s="37"/>
      <c r="AG57" s="16"/>
      <c r="AI57" s="16"/>
      <c r="AJ57" s="37"/>
      <c r="AK57" s="37">
        <v>0.8</v>
      </c>
      <c r="AL57" s="37"/>
      <c r="AM57" s="37"/>
      <c r="AN57" s="16"/>
      <c r="AP57" s="16"/>
      <c r="AQ57" s="37"/>
      <c r="AR57" s="37">
        <v>0.8</v>
      </c>
      <c r="AS57" s="37"/>
      <c r="AT57" s="37"/>
      <c r="AU57" s="16"/>
      <c r="AW57" s="16"/>
      <c r="AX57" s="37"/>
      <c r="AY57" s="37">
        <v>0.8</v>
      </c>
      <c r="AZ57" s="37"/>
      <c r="BA57" s="37"/>
      <c r="BB57" s="16"/>
      <c r="BD57" s="16"/>
      <c r="BE57" s="37"/>
      <c r="BF57" s="37">
        <v>0.8</v>
      </c>
      <c r="BG57" s="37"/>
      <c r="BH57" s="37"/>
      <c r="BI57" s="16"/>
      <c r="BL57" s="16"/>
      <c r="BM57" s="37"/>
      <c r="BN57" s="37">
        <v>0.8</v>
      </c>
      <c r="BO57" s="37"/>
      <c r="BP57" s="37"/>
      <c r="BQ57" s="16"/>
      <c r="BS57" s="16"/>
      <c r="BT57" s="37"/>
      <c r="BU57" s="37">
        <v>0.8</v>
      </c>
      <c r="BV57" s="37"/>
      <c r="BW57" s="37"/>
      <c r="BX57" s="16"/>
      <c r="BZ57" s="16"/>
      <c r="CA57" s="37"/>
      <c r="CB57" s="37">
        <v>0.8</v>
      </c>
      <c r="CC57" s="37"/>
      <c r="CD57" s="37"/>
      <c r="CE57" s="16"/>
      <c r="CG57" s="16"/>
      <c r="CH57" s="37"/>
      <c r="CI57" s="37">
        <v>0.8</v>
      </c>
      <c r="CJ57" s="37"/>
      <c r="CK57" s="37"/>
      <c r="CL57" s="16"/>
      <c r="CN57" s="16"/>
      <c r="CO57" s="37"/>
      <c r="CP57" s="37">
        <v>0.8</v>
      </c>
      <c r="CQ57" s="37"/>
      <c r="CR57" s="37"/>
      <c r="CS57" s="16"/>
      <c r="CU57" s="16"/>
      <c r="CV57" s="37"/>
      <c r="CW57" s="37">
        <v>0.8</v>
      </c>
      <c r="CX57" s="37"/>
      <c r="CY57" s="37"/>
      <c r="CZ57" s="16"/>
      <c r="DB57" s="16"/>
      <c r="DC57" s="37"/>
      <c r="DD57" s="37"/>
      <c r="DE57" s="37"/>
      <c r="DF57" s="37"/>
      <c r="DG57" s="16"/>
      <c r="DI57" s="16"/>
      <c r="DJ57" s="37"/>
      <c r="DK57" s="37"/>
      <c r="DL57" s="37"/>
      <c r="DM57" s="37"/>
      <c r="DN57" s="16"/>
    </row>
    <row r="58" spans="1:118">
      <c r="A58">
        <v>3</v>
      </c>
      <c r="B58" s="16" t="s">
        <v>28</v>
      </c>
      <c r="C58" s="16"/>
      <c r="D58" s="16"/>
      <c r="E58" s="17"/>
      <c r="F58" s="18" t="s">
        <v>101</v>
      </c>
      <c r="G58" s="33">
        <v>8.3000000000000004E-2</v>
      </c>
      <c r="I58" s="17">
        <f t="shared" si="7"/>
        <v>0</v>
      </c>
      <c r="J58" s="39">
        <f t="shared" si="6"/>
        <v>0</v>
      </c>
      <c r="K58" s="39">
        <f t="shared" si="6"/>
        <v>0</v>
      </c>
      <c r="L58" s="17"/>
      <c r="N58" s="16"/>
      <c r="O58" s="37"/>
      <c r="P58" s="37"/>
      <c r="Q58" s="37"/>
      <c r="R58" s="37"/>
      <c r="S58" s="16"/>
      <c r="U58" s="16"/>
      <c r="V58" s="37"/>
      <c r="W58" s="37"/>
      <c r="X58" s="37"/>
      <c r="Y58" s="37"/>
      <c r="Z58" s="16"/>
      <c r="AB58" s="16"/>
      <c r="AC58" s="37"/>
      <c r="AD58" s="37">
        <v>0.5</v>
      </c>
      <c r="AE58" s="37"/>
      <c r="AF58" s="37"/>
      <c r="AG58" s="16"/>
      <c r="AI58" s="16"/>
      <c r="AJ58" s="37"/>
      <c r="AK58" s="37">
        <v>0.5</v>
      </c>
      <c r="AL58" s="37"/>
      <c r="AM58" s="37"/>
      <c r="AN58" s="16"/>
      <c r="AP58" s="16"/>
      <c r="AQ58" s="37"/>
      <c r="AR58" s="37">
        <v>0.8</v>
      </c>
      <c r="AS58" s="37"/>
      <c r="AT58" s="37"/>
      <c r="AU58" s="16"/>
      <c r="AW58" s="16"/>
      <c r="AX58" s="37"/>
      <c r="AY58" s="37">
        <v>0.8</v>
      </c>
      <c r="AZ58" s="37"/>
      <c r="BA58" s="37"/>
      <c r="BB58" s="16"/>
      <c r="BD58" s="16"/>
      <c r="BE58" s="37"/>
      <c r="BF58" s="37">
        <v>0.8</v>
      </c>
      <c r="BG58" s="37"/>
      <c r="BH58" s="37"/>
      <c r="BI58" s="16"/>
      <c r="BL58" s="16"/>
      <c r="BM58" s="37"/>
      <c r="BN58" s="37">
        <v>0.8</v>
      </c>
      <c r="BO58" s="37"/>
      <c r="BP58" s="37"/>
      <c r="BQ58" s="16"/>
      <c r="BS58" s="16"/>
      <c r="BT58" s="37"/>
      <c r="BU58" s="37">
        <v>0.8</v>
      </c>
      <c r="BV58" s="37"/>
      <c r="BW58" s="37"/>
      <c r="BX58" s="16"/>
      <c r="BZ58" s="16"/>
      <c r="CA58" s="37"/>
      <c r="CB58" s="37">
        <v>0.8</v>
      </c>
      <c r="CC58" s="37"/>
      <c r="CD58" s="37"/>
      <c r="CE58" s="16"/>
      <c r="CG58" s="16"/>
      <c r="CH58" s="37"/>
      <c r="CI58" s="37">
        <v>0.8</v>
      </c>
      <c r="CJ58" s="37"/>
      <c r="CK58" s="37"/>
      <c r="CL58" s="16"/>
      <c r="CN58" s="16"/>
      <c r="CO58" s="37"/>
      <c r="CP58" s="37">
        <v>0.8</v>
      </c>
      <c r="CQ58" s="37"/>
      <c r="CR58" s="37"/>
      <c r="CS58" s="16"/>
      <c r="CU58" s="16"/>
      <c r="CV58" s="37"/>
      <c r="CW58" s="37">
        <v>0.8</v>
      </c>
      <c r="CX58" s="37"/>
      <c r="CY58" s="37"/>
      <c r="CZ58" s="16"/>
      <c r="DB58" s="16"/>
      <c r="DC58" s="37"/>
      <c r="DD58" s="37"/>
      <c r="DE58" s="37"/>
      <c r="DF58" s="37"/>
      <c r="DG58" s="16"/>
      <c r="DI58" s="16"/>
      <c r="DJ58" s="37"/>
      <c r="DK58" s="37"/>
      <c r="DL58" s="37"/>
      <c r="DM58" s="37"/>
      <c r="DN58" s="16"/>
    </row>
    <row r="59" spans="1:118">
      <c r="A59">
        <v>4</v>
      </c>
      <c r="B59" s="16" t="s">
        <v>28</v>
      </c>
      <c r="C59" s="16"/>
      <c r="D59" s="16"/>
      <c r="E59" s="17"/>
      <c r="F59" s="16" t="s">
        <v>102</v>
      </c>
      <c r="G59" s="33">
        <v>8.3000000000000004E-2</v>
      </c>
      <c r="I59" s="17">
        <f t="shared" si="7"/>
        <v>0</v>
      </c>
      <c r="J59" s="39">
        <f t="shared" si="6"/>
        <v>0</v>
      </c>
      <c r="K59" s="39">
        <f t="shared" si="6"/>
        <v>0</v>
      </c>
      <c r="L59" s="17"/>
      <c r="N59" s="16"/>
      <c r="O59" s="37"/>
      <c r="P59" s="37"/>
      <c r="Q59" s="37"/>
      <c r="R59" s="37"/>
      <c r="S59" s="16"/>
      <c r="U59" s="16"/>
      <c r="V59" s="37"/>
      <c r="W59" s="37"/>
      <c r="X59" s="37"/>
      <c r="Y59" s="37"/>
      <c r="Z59" s="16"/>
      <c r="AB59" s="16"/>
      <c r="AC59" s="37"/>
      <c r="AD59" s="37"/>
      <c r="AE59" s="37"/>
      <c r="AF59" s="37"/>
      <c r="AG59" s="16"/>
      <c r="AI59" s="16"/>
      <c r="AJ59" s="37"/>
      <c r="AK59" s="37">
        <v>0.5</v>
      </c>
      <c r="AL59" s="37"/>
      <c r="AM59" s="37"/>
      <c r="AN59" s="16"/>
      <c r="AP59" s="16"/>
      <c r="AQ59" s="37"/>
      <c r="AR59" s="37">
        <v>0.8</v>
      </c>
      <c r="AS59" s="37"/>
      <c r="AT59" s="37"/>
      <c r="AU59" s="16"/>
      <c r="AW59" s="16"/>
      <c r="AX59" s="37"/>
      <c r="AY59" s="37">
        <v>0.8</v>
      </c>
      <c r="AZ59" s="37"/>
      <c r="BA59" s="37"/>
      <c r="BB59" s="16"/>
      <c r="BD59" s="16"/>
      <c r="BE59" s="37"/>
      <c r="BF59" s="37">
        <v>0.8</v>
      </c>
      <c r="BG59" s="37"/>
      <c r="BH59" s="37"/>
      <c r="BI59" s="16"/>
      <c r="BL59" s="16"/>
      <c r="BM59" s="37"/>
      <c r="BN59" s="37">
        <v>0.8</v>
      </c>
      <c r="BO59" s="37"/>
      <c r="BP59" s="37"/>
      <c r="BQ59" s="16"/>
      <c r="BS59" s="16"/>
      <c r="BT59" s="37"/>
      <c r="BU59" s="37">
        <v>0.8</v>
      </c>
      <c r="BV59" s="37"/>
      <c r="BW59" s="37"/>
      <c r="BX59" s="16"/>
      <c r="BZ59" s="16"/>
      <c r="CA59" s="37"/>
      <c r="CB59" s="37">
        <v>0.8</v>
      </c>
      <c r="CC59" s="37"/>
      <c r="CD59" s="37"/>
      <c r="CE59" s="16"/>
      <c r="CG59" s="16"/>
      <c r="CH59" s="37"/>
      <c r="CI59" s="37">
        <v>0.8</v>
      </c>
      <c r="CJ59" s="37"/>
      <c r="CK59" s="37"/>
      <c r="CL59" s="16"/>
      <c r="CN59" s="16"/>
      <c r="CO59" s="37"/>
      <c r="CP59" s="37">
        <v>0.8</v>
      </c>
      <c r="CQ59" s="37"/>
      <c r="CR59" s="37"/>
      <c r="CS59" s="16"/>
      <c r="CU59" s="16"/>
      <c r="CV59" s="37"/>
      <c r="CW59" s="37">
        <v>0.8</v>
      </c>
      <c r="CX59" s="37"/>
      <c r="CY59" s="37"/>
      <c r="CZ59" s="16"/>
      <c r="DB59" s="16"/>
      <c r="DC59" s="37"/>
      <c r="DD59" s="37"/>
      <c r="DE59" s="37"/>
      <c r="DF59" s="37"/>
      <c r="DG59" s="16"/>
      <c r="DI59" s="16"/>
      <c r="DJ59" s="37"/>
      <c r="DK59" s="37"/>
      <c r="DL59" s="37"/>
      <c r="DM59" s="37"/>
      <c r="DN59" s="16"/>
    </row>
    <row r="60" spans="1:118">
      <c r="A60">
        <v>5</v>
      </c>
      <c r="B60" s="16" t="s">
        <v>28</v>
      </c>
      <c r="C60" s="16"/>
      <c r="D60" s="16"/>
      <c r="E60" s="17"/>
      <c r="F60" s="16" t="s">
        <v>103</v>
      </c>
      <c r="G60" s="33">
        <v>8.3000000000000004E-2</v>
      </c>
      <c r="I60" s="17">
        <f t="shared" si="7"/>
        <v>0</v>
      </c>
      <c r="J60" s="39">
        <f t="shared" si="6"/>
        <v>0</v>
      </c>
      <c r="K60" s="39">
        <f t="shared" si="6"/>
        <v>0</v>
      </c>
      <c r="L60" s="17"/>
      <c r="N60" s="16"/>
      <c r="O60" s="37"/>
      <c r="P60" s="37"/>
      <c r="Q60" s="37"/>
      <c r="R60" s="37"/>
      <c r="S60" s="16"/>
      <c r="U60" s="16"/>
      <c r="V60" s="37"/>
      <c r="W60" s="37"/>
      <c r="X60" s="37"/>
      <c r="Y60" s="37"/>
      <c r="Z60" s="16"/>
      <c r="AB60" s="16"/>
      <c r="AC60" s="37"/>
      <c r="AD60" s="37"/>
      <c r="AE60" s="37"/>
      <c r="AF60" s="37"/>
      <c r="AG60" s="16"/>
      <c r="AI60" s="16"/>
      <c r="AJ60" s="37"/>
      <c r="AK60" s="37"/>
      <c r="AL60" s="37"/>
      <c r="AM60" s="37"/>
      <c r="AN60" s="16"/>
      <c r="AP60" s="16"/>
      <c r="AQ60" s="37"/>
      <c r="AR60" s="37">
        <v>0.5</v>
      </c>
      <c r="AS60" s="37"/>
      <c r="AT60" s="37"/>
      <c r="AU60" s="16"/>
      <c r="AW60" s="16"/>
      <c r="AX60" s="37"/>
      <c r="AY60" s="37">
        <v>0.8</v>
      </c>
      <c r="AZ60" s="37"/>
      <c r="BA60" s="37"/>
      <c r="BB60" s="16"/>
      <c r="BD60" s="16"/>
      <c r="BE60" s="37"/>
      <c r="BF60" s="37">
        <v>0.8</v>
      </c>
      <c r="BG60" s="37"/>
      <c r="BH60" s="37"/>
      <c r="BI60" s="16"/>
      <c r="BL60" s="16"/>
      <c r="BM60" s="37"/>
      <c r="BN60" s="37">
        <v>0.8</v>
      </c>
      <c r="BO60" s="37"/>
      <c r="BP60" s="37"/>
      <c r="BQ60" s="16"/>
      <c r="BS60" s="16"/>
      <c r="BT60" s="37"/>
      <c r="BU60" s="37">
        <v>0.8</v>
      </c>
      <c r="BV60" s="37"/>
      <c r="BW60" s="37"/>
      <c r="BX60" s="16"/>
      <c r="BZ60" s="16"/>
      <c r="CA60" s="37"/>
      <c r="CB60" s="37">
        <v>0.8</v>
      </c>
      <c r="CC60" s="37"/>
      <c r="CD60" s="37"/>
      <c r="CE60" s="16"/>
      <c r="CG60" s="16"/>
      <c r="CH60" s="37"/>
      <c r="CI60" s="37">
        <v>0.8</v>
      </c>
      <c r="CJ60" s="37"/>
      <c r="CK60" s="37"/>
      <c r="CL60" s="16"/>
      <c r="CN60" s="16"/>
      <c r="CO60" s="37"/>
      <c r="CP60" s="37">
        <v>0.8</v>
      </c>
      <c r="CQ60" s="37"/>
      <c r="CR60" s="37"/>
      <c r="CS60" s="16"/>
      <c r="CU60" s="16"/>
      <c r="CV60" s="37"/>
      <c r="CW60" s="37">
        <v>0.8</v>
      </c>
      <c r="CX60" s="37"/>
      <c r="CY60" s="37"/>
      <c r="CZ60" s="16"/>
      <c r="DB60" s="16"/>
      <c r="DC60" s="37"/>
      <c r="DD60" s="37"/>
      <c r="DE60" s="37"/>
      <c r="DF60" s="37"/>
      <c r="DG60" s="16"/>
      <c r="DI60" s="16"/>
      <c r="DJ60" s="37"/>
      <c r="DK60" s="37"/>
      <c r="DL60" s="37"/>
      <c r="DM60" s="37"/>
      <c r="DN60" s="16"/>
    </row>
    <row r="61" spans="1:118">
      <c r="A61">
        <v>6</v>
      </c>
      <c r="B61" s="16" t="s">
        <v>28</v>
      </c>
      <c r="C61" s="16"/>
      <c r="D61" s="16"/>
      <c r="E61" s="17"/>
      <c r="F61" s="16" t="s">
        <v>104</v>
      </c>
      <c r="G61" s="33">
        <v>8.3000000000000004E-2</v>
      </c>
      <c r="I61" s="17">
        <f t="shared" si="7"/>
        <v>0</v>
      </c>
      <c r="J61" s="39">
        <f t="shared" si="6"/>
        <v>0</v>
      </c>
      <c r="K61" s="39">
        <f t="shared" si="6"/>
        <v>0</v>
      </c>
      <c r="L61" s="17"/>
      <c r="N61" s="16"/>
      <c r="O61" s="37"/>
      <c r="P61" s="37"/>
      <c r="Q61" s="37"/>
      <c r="R61" s="37"/>
      <c r="S61" s="16"/>
      <c r="U61" s="16"/>
      <c r="V61" s="37"/>
      <c r="W61" s="37"/>
      <c r="X61" s="37"/>
      <c r="Y61" s="37"/>
      <c r="Z61" s="16"/>
      <c r="AB61" s="16"/>
      <c r="AC61" s="37"/>
      <c r="AD61" s="37"/>
      <c r="AE61" s="37"/>
      <c r="AF61" s="37"/>
      <c r="AG61" s="16"/>
      <c r="AI61" s="16"/>
      <c r="AJ61" s="37"/>
      <c r="AK61" s="37"/>
      <c r="AL61" s="37"/>
      <c r="AM61" s="37"/>
      <c r="AN61" s="16"/>
      <c r="AP61" s="16"/>
      <c r="AQ61" s="37"/>
      <c r="AR61" s="37"/>
      <c r="AS61" s="37"/>
      <c r="AT61" s="37"/>
      <c r="AU61" s="16"/>
      <c r="AW61" s="16"/>
      <c r="AX61" s="37"/>
      <c r="AY61" s="37">
        <v>0.5</v>
      </c>
      <c r="AZ61" s="37"/>
      <c r="BA61" s="37"/>
      <c r="BB61" s="16"/>
      <c r="BD61" s="16"/>
      <c r="BE61" s="37"/>
      <c r="BF61" s="37">
        <v>0.8</v>
      </c>
      <c r="BG61" s="37"/>
      <c r="BH61" s="37"/>
      <c r="BI61" s="16"/>
      <c r="BL61" s="16"/>
      <c r="BM61" s="37"/>
      <c r="BN61" s="37">
        <v>0.8</v>
      </c>
      <c r="BO61" s="37"/>
      <c r="BP61" s="37"/>
      <c r="BQ61" s="16"/>
      <c r="BS61" s="16"/>
      <c r="BT61" s="37"/>
      <c r="BU61" s="37">
        <v>0.8</v>
      </c>
      <c r="BV61" s="37"/>
      <c r="BW61" s="37"/>
      <c r="BX61" s="16"/>
      <c r="BZ61" s="16"/>
      <c r="CA61" s="37"/>
      <c r="CB61" s="37">
        <v>0.8</v>
      </c>
      <c r="CC61" s="37"/>
      <c r="CD61" s="37"/>
      <c r="CE61" s="16"/>
      <c r="CG61" s="16"/>
      <c r="CH61" s="37"/>
      <c r="CI61" s="37">
        <v>0.8</v>
      </c>
      <c r="CJ61" s="37"/>
      <c r="CK61" s="37"/>
      <c r="CL61" s="16"/>
      <c r="CN61" s="16"/>
      <c r="CO61" s="37"/>
      <c r="CP61" s="37">
        <v>0.8</v>
      </c>
      <c r="CQ61" s="37"/>
      <c r="CR61" s="37"/>
      <c r="CS61" s="16"/>
      <c r="CU61" s="16"/>
      <c r="CV61" s="37"/>
      <c r="CW61" s="37">
        <v>0.8</v>
      </c>
      <c r="CX61" s="37"/>
      <c r="CY61" s="37"/>
      <c r="CZ61" s="16"/>
      <c r="DB61" s="16"/>
      <c r="DC61" s="37"/>
      <c r="DD61" s="37"/>
      <c r="DE61" s="37"/>
      <c r="DF61" s="37"/>
      <c r="DG61" s="16"/>
      <c r="DI61" s="16"/>
      <c r="DJ61" s="37"/>
      <c r="DK61" s="37"/>
      <c r="DL61" s="37"/>
      <c r="DM61" s="37"/>
      <c r="DN61" s="16"/>
    </row>
    <row r="62" spans="1:118">
      <c r="A62">
        <v>7</v>
      </c>
      <c r="B62" s="16" t="s">
        <v>28</v>
      </c>
      <c r="C62" s="16"/>
      <c r="D62" s="16"/>
      <c r="E62" s="17"/>
      <c r="F62" s="16" t="s">
        <v>105</v>
      </c>
      <c r="G62" s="33">
        <v>8.3000000000000004E-2</v>
      </c>
      <c r="I62" s="17">
        <f t="shared" si="7"/>
        <v>0</v>
      </c>
      <c r="J62" s="39">
        <f t="shared" si="6"/>
        <v>0</v>
      </c>
      <c r="K62" s="39">
        <f t="shared" si="6"/>
        <v>0</v>
      </c>
      <c r="L62" s="17"/>
      <c r="N62" s="16"/>
      <c r="O62" s="37"/>
      <c r="P62" s="37"/>
      <c r="Q62" s="37"/>
      <c r="R62" s="37"/>
      <c r="S62" s="16"/>
      <c r="U62" s="16"/>
      <c r="V62" s="37"/>
      <c r="W62" s="37"/>
      <c r="X62" s="37"/>
      <c r="Y62" s="37"/>
      <c r="Z62" s="16"/>
      <c r="AB62" s="16"/>
      <c r="AC62" s="37"/>
      <c r="AD62" s="37"/>
      <c r="AE62" s="37"/>
      <c r="AF62" s="37"/>
      <c r="AG62" s="16"/>
      <c r="AI62" s="16"/>
      <c r="AJ62" s="37"/>
      <c r="AK62" s="37"/>
      <c r="AL62" s="37"/>
      <c r="AM62" s="37"/>
      <c r="AN62" s="16"/>
      <c r="AP62" s="16"/>
      <c r="AQ62" s="37"/>
      <c r="AR62" s="37"/>
      <c r="AS62" s="37"/>
      <c r="AT62" s="37"/>
      <c r="AU62" s="16"/>
      <c r="AW62" s="16"/>
      <c r="AX62" s="37"/>
      <c r="AY62" s="37"/>
      <c r="AZ62" s="37"/>
      <c r="BA62" s="37"/>
      <c r="BB62" s="16"/>
      <c r="BD62" s="16"/>
      <c r="BE62" s="37"/>
      <c r="BF62" s="37">
        <v>0.5</v>
      </c>
      <c r="BG62" s="37"/>
      <c r="BH62" s="37"/>
      <c r="BI62" s="16"/>
      <c r="BL62" s="16"/>
      <c r="BM62" s="37"/>
      <c r="BN62" s="37">
        <v>0.8</v>
      </c>
      <c r="BO62" s="37"/>
      <c r="BP62" s="37"/>
      <c r="BQ62" s="16"/>
      <c r="BS62" s="16"/>
      <c r="BT62" s="37"/>
      <c r="BU62" s="37">
        <v>0.8</v>
      </c>
      <c r="BV62" s="37"/>
      <c r="BW62" s="37"/>
      <c r="BX62" s="16"/>
      <c r="BZ62" s="16"/>
      <c r="CA62" s="37"/>
      <c r="CB62" s="37">
        <v>0.8</v>
      </c>
      <c r="CC62" s="37"/>
      <c r="CD62" s="37"/>
      <c r="CE62" s="16"/>
      <c r="CG62" s="16"/>
      <c r="CH62" s="37"/>
      <c r="CI62" s="37">
        <v>0.8</v>
      </c>
      <c r="CJ62" s="37"/>
      <c r="CK62" s="37"/>
      <c r="CL62" s="16"/>
      <c r="CN62" s="16"/>
      <c r="CO62" s="37"/>
      <c r="CP62" s="37">
        <v>0.8</v>
      </c>
      <c r="CQ62" s="37"/>
      <c r="CR62" s="37"/>
      <c r="CS62" s="16"/>
      <c r="CU62" s="16"/>
      <c r="CV62" s="37"/>
      <c r="CW62" s="37">
        <v>0.8</v>
      </c>
      <c r="CX62" s="37"/>
      <c r="CY62" s="37"/>
      <c r="CZ62" s="16"/>
      <c r="DB62" s="16"/>
      <c r="DC62" s="37"/>
      <c r="DD62" s="37"/>
      <c r="DE62" s="37"/>
      <c r="DF62" s="37"/>
      <c r="DG62" s="16"/>
      <c r="DI62" s="16"/>
      <c r="DJ62" s="37"/>
      <c r="DK62" s="37"/>
      <c r="DL62" s="37"/>
      <c r="DM62" s="37"/>
      <c r="DN62" s="16"/>
    </row>
    <row r="63" spans="1:118">
      <c r="A63">
        <v>8</v>
      </c>
      <c r="B63" s="16" t="s">
        <v>28</v>
      </c>
      <c r="C63" s="16"/>
      <c r="D63" s="16"/>
      <c r="E63" s="17"/>
      <c r="F63" s="18" t="s">
        <v>106</v>
      </c>
      <c r="G63" s="33">
        <v>8.3000000000000004E-2</v>
      </c>
      <c r="I63" s="17">
        <f t="shared" si="7"/>
        <v>0</v>
      </c>
      <c r="J63" s="39">
        <f t="shared" si="6"/>
        <v>0</v>
      </c>
      <c r="K63" s="39">
        <f t="shared" si="6"/>
        <v>0</v>
      </c>
      <c r="L63" s="17"/>
      <c r="N63" s="16"/>
      <c r="O63" s="37"/>
      <c r="P63" s="37"/>
      <c r="Q63" s="37"/>
      <c r="R63" s="37"/>
      <c r="S63" s="16"/>
      <c r="U63" s="16"/>
      <c r="V63" s="37"/>
      <c r="W63" s="37"/>
      <c r="X63" s="37"/>
      <c r="Y63" s="37"/>
      <c r="Z63" s="16"/>
      <c r="AB63" s="16"/>
      <c r="AC63" s="37"/>
      <c r="AD63" s="37"/>
      <c r="AE63" s="37"/>
      <c r="AF63" s="37"/>
      <c r="AG63" s="16"/>
      <c r="AI63" s="16"/>
      <c r="AJ63" s="37"/>
      <c r="AK63" s="37"/>
      <c r="AL63" s="37"/>
      <c r="AM63" s="37"/>
      <c r="AN63" s="16"/>
      <c r="AP63" s="16"/>
      <c r="AQ63" s="37"/>
      <c r="AR63" s="37"/>
      <c r="AS63" s="37"/>
      <c r="AT63" s="37"/>
      <c r="AU63" s="16"/>
      <c r="AW63" s="16"/>
      <c r="AX63" s="37"/>
      <c r="AY63" s="37"/>
      <c r="AZ63" s="37"/>
      <c r="BA63" s="37"/>
      <c r="BB63" s="16"/>
      <c r="BD63" s="16"/>
      <c r="BE63" s="37"/>
      <c r="BF63" s="37"/>
      <c r="BG63" s="37"/>
      <c r="BH63" s="37"/>
      <c r="BI63" s="16"/>
      <c r="BL63" s="16"/>
      <c r="BM63" s="37"/>
      <c r="BN63" s="37">
        <v>0.5</v>
      </c>
      <c r="BO63" s="37"/>
      <c r="BP63" s="37"/>
      <c r="BQ63" s="16"/>
      <c r="BS63" s="16"/>
      <c r="BT63" s="37"/>
      <c r="BU63" s="37">
        <v>0.8</v>
      </c>
      <c r="BV63" s="37"/>
      <c r="BW63" s="37"/>
      <c r="BX63" s="16"/>
      <c r="BZ63" s="16"/>
      <c r="CA63" s="37"/>
      <c r="CB63" s="37">
        <v>0.8</v>
      </c>
      <c r="CC63" s="37"/>
      <c r="CD63" s="37"/>
      <c r="CE63" s="16"/>
      <c r="CG63" s="16"/>
      <c r="CH63" s="37"/>
      <c r="CI63" s="37">
        <v>0.8</v>
      </c>
      <c r="CJ63" s="37"/>
      <c r="CK63" s="37"/>
      <c r="CL63" s="16"/>
      <c r="CN63" s="16"/>
      <c r="CO63" s="37"/>
      <c r="CP63" s="37">
        <v>0.8</v>
      </c>
      <c r="CQ63" s="37"/>
      <c r="CR63" s="37"/>
      <c r="CS63" s="16"/>
      <c r="CU63" s="16"/>
      <c r="CV63" s="37"/>
      <c r="CW63" s="37">
        <v>0.8</v>
      </c>
      <c r="CX63" s="37"/>
      <c r="CY63" s="37"/>
      <c r="CZ63" s="16"/>
      <c r="DB63" s="16"/>
      <c r="DC63" s="37"/>
      <c r="DD63" s="37"/>
      <c r="DE63" s="37"/>
      <c r="DF63" s="37"/>
      <c r="DG63" s="16"/>
      <c r="DI63" s="16"/>
      <c r="DJ63" s="37"/>
      <c r="DK63" s="37"/>
      <c r="DL63" s="37"/>
      <c r="DM63" s="37"/>
      <c r="DN63" s="16"/>
    </row>
    <row r="64" spans="1:118">
      <c r="A64">
        <v>9</v>
      </c>
      <c r="B64" s="16" t="s">
        <v>51</v>
      </c>
      <c r="C64" s="16"/>
      <c r="D64" s="16"/>
      <c r="E64" s="17"/>
      <c r="F64" s="18" t="s">
        <v>107</v>
      </c>
      <c r="G64" s="33">
        <v>8.3000000000000004E-2</v>
      </c>
      <c r="I64" s="17">
        <f t="shared" si="7"/>
        <v>0</v>
      </c>
      <c r="J64" s="39">
        <f t="shared" si="6"/>
        <v>0</v>
      </c>
      <c r="K64" s="39">
        <f t="shared" si="6"/>
        <v>0</v>
      </c>
      <c r="L64" s="17"/>
      <c r="N64" s="16"/>
      <c r="O64" s="37"/>
      <c r="P64" s="37"/>
      <c r="Q64" s="37"/>
      <c r="R64" s="37"/>
      <c r="S64" s="16"/>
      <c r="U64" s="16"/>
      <c r="V64" s="37"/>
      <c r="W64" s="37"/>
      <c r="X64" s="37"/>
      <c r="Y64" s="37"/>
      <c r="Z64" s="16"/>
      <c r="AB64" s="16"/>
      <c r="AC64" s="37"/>
      <c r="AD64" s="37"/>
      <c r="AE64" s="37"/>
      <c r="AF64" s="37"/>
      <c r="AG64" s="16"/>
      <c r="AI64" s="16"/>
      <c r="AJ64" s="37"/>
      <c r="AK64" s="37"/>
      <c r="AL64" s="37"/>
      <c r="AM64" s="37"/>
      <c r="AN64" s="16"/>
      <c r="AP64" s="16"/>
      <c r="AQ64" s="37"/>
      <c r="AR64" s="37"/>
      <c r="AS64" s="37"/>
      <c r="AT64" s="37"/>
      <c r="AU64" s="16"/>
      <c r="AW64" s="16"/>
      <c r="AX64" s="37"/>
      <c r="AY64" s="37"/>
      <c r="AZ64" s="37"/>
      <c r="BA64" s="37"/>
      <c r="BB64" s="16"/>
      <c r="BD64" s="16"/>
      <c r="BE64" s="37"/>
      <c r="BF64" s="37"/>
      <c r="BG64" s="37"/>
      <c r="BH64" s="37"/>
      <c r="BI64" s="16"/>
      <c r="BL64" s="16"/>
      <c r="BM64" s="37"/>
      <c r="BN64" s="37"/>
      <c r="BO64" s="37"/>
      <c r="BP64" s="37"/>
      <c r="BQ64" s="16"/>
      <c r="BS64" s="16"/>
      <c r="BT64" s="37"/>
      <c r="BU64" s="37">
        <v>0.5</v>
      </c>
      <c r="BV64" s="37"/>
      <c r="BW64" s="37"/>
      <c r="BX64" s="16"/>
      <c r="BZ64" s="16"/>
      <c r="CA64" s="37"/>
      <c r="CB64" s="37">
        <v>0.8</v>
      </c>
      <c r="CC64" s="37"/>
      <c r="CD64" s="37"/>
      <c r="CE64" s="16"/>
      <c r="CG64" s="16"/>
      <c r="CH64" s="37"/>
      <c r="CI64" s="37">
        <v>0.8</v>
      </c>
      <c r="CJ64" s="37"/>
      <c r="CK64" s="37"/>
      <c r="CL64" s="16"/>
      <c r="CN64" s="16"/>
      <c r="CO64" s="37"/>
      <c r="CP64" s="37">
        <v>0.8</v>
      </c>
      <c r="CQ64" s="37"/>
      <c r="CR64" s="37"/>
      <c r="CS64" s="16"/>
      <c r="CU64" s="16"/>
      <c r="CV64" s="37"/>
      <c r="CW64" s="37">
        <v>0.8</v>
      </c>
      <c r="CX64" s="37"/>
      <c r="CY64" s="37"/>
      <c r="CZ64" s="16"/>
      <c r="DB64" s="16"/>
      <c r="DC64" s="37"/>
      <c r="DD64" s="37"/>
      <c r="DE64" s="37"/>
      <c r="DF64" s="37"/>
      <c r="DG64" s="16"/>
      <c r="DI64" s="16"/>
      <c r="DJ64" s="37"/>
      <c r="DK64" s="37"/>
      <c r="DL64" s="37"/>
      <c r="DM64" s="37"/>
      <c r="DN64" s="16"/>
    </row>
    <row r="65" spans="1:118">
      <c r="A65">
        <v>10</v>
      </c>
      <c r="B65" s="16" t="s">
        <v>28</v>
      </c>
      <c r="C65" s="16"/>
      <c r="D65" s="16"/>
      <c r="E65" s="17"/>
      <c r="F65" s="18" t="s">
        <v>108</v>
      </c>
      <c r="G65" s="33">
        <v>8.3000000000000004E-2</v>
      </c>
      <c r="I65" s="17">
        <f t="shared" si="7"/>
        <v>0</v>
      </c>
      <c r="J65" s="39">
        <f t="shared" si="6"/>
        <v>0</v>
      </c>
      <c r="K65" s="39">
        <f t="shared" si="6"/>
        <v>0</v>
      </c>
      <c r="L65" s="17"/>
      <c r="N65" s="16"/>
      <c r="O65" s="37"/>
      <c r="P65" s="37"/>
      <c r="Q65" s="37"/>
      <c r="R65" s="37"/>
      <c r="S65" s="16"/>
      <c r="U65" s="16"/>
      <c r="V65" s="37"/>
      <c r="W65" s="37"/>
      <c r="X65" s="37"/>
      <c r="Y65" s="37"/>
      <c r="Z65" s="16"/>
      <c r="AB65" s="16"/>
      <c r="AC65" s="37"/>
      <c r="AD65" s="37"/>
      <c r="AE65" s="37"/>
      <c r="AF65" s="37"/>
      <c r="AG65" s="16"/>
      <c r="AI65" s="16"/>
      <c r="AJ65" s="37"/>
      <c r="AK65" s="37"/>
      <c r="AL65" s="37"/>
      <c r="AM65" s="37"/>
      <c r="AN65" s="16"/>
      <c r="AP65" s="16"/>
      <c r="AQ65" s="37"/>
      <c r="AR65" s="37"/>
      <c r="AS65" s="37"/>
      <c r="AT65" s="37"/>
      <c r="AU65" s="16"/>
      <c r="AW65" s="16"/>
      <c r="AX65" s="37"/>
      <c r="AY65" s="37"/>
      <c r="AZ65" s="37"/>
      <c r="BA65" s="37"/>
      <c r="BB65" s="16"/>
      <c r="BD65" s="16"/>
      <c r="BE65" s="37"/>
      <c r="BF65" s="37"/>
      <c r="BG65" s="37"/>
      <c r="BH65" s="37"/>
      <c r="BI65" s="16"/>
      <c r="BL65" s="16"/>
      <c r="BM65" s="37"/>
      <c r="BN65" s="37"/>
      <c r="BO65" s="37"/>
      <c r="BP65" s="37"/>
      <c r="BQ65" s="16"/>
      <c r="BS65" s="16"/>
      <c r="BT65" s="37"/>
      <c r="BU65" s="37"/>
      <c r="BV65" s="37"/>
      <c r="BW65" s="37"/>
      <c r="BX65" s="16"/>
      <c r="BZ65" s="16"/>
      <c r="CA65" s="37"/>
      <c r="CB65" s="37">
        <v>0.5</v>
      </c>
      <c r="CC65" s="37"/>
      <c r="CD65" s="37"/>
      <c r="CE65" s="16"/>
      <c r="CG65" s="16"/>
      <c r="CH65" s="37"/>
      <c r="CI65" s="37">
        <v>0.8</v>
      </c>
      <c r="CJ65" s="37"/>
      <c r="CK65" s="37"/>
      <c r="CL65" s="16"/>
      <c r="CN65" s="16"/>
      <c r="CO65" s="37"/>
      <c r="CP65" s="37">
        <v>0.8</v>
      </c>
      <c r="CQ65" s="37"/>
      <c r="CR65" s="37"/>
      <c r="CS65" s="16"/>
      <c r="CU65" s="16"/>
      <c r="CV65" s="37"/>
      <c r="CW65" s="37">
        <v>0.8</v>
      </c>
      <c r="CX65" s="37"/>
      <c r="CY65" s="37"/>
      <c r="CZ65" s="16"/>
      <c r="DB65" s="16"/>
      <c r="DC65" s="37"/>
      <c r="DD65" s="37"/>
      <c r="DE65" s="37"/>
      <c r="DF65" s="37"/>
      <c r="DG65" s="16"/>
      <c r="DI65" s="16"/>
      <c r="DJ65" s="37"/>
      <c r="DK65" s="37"/>
      <c r="DL65" s="37"/>
      <c r="DM65" s="37"/>
      <c r="DN65" s="16"/>
    </row>
    <row r="66" spans="1:118">
      <c r="A66">
        <v>11</v>
      </c>
      <c r="B66" s="16" t="s">
        <v>28</v>
      </c>
      <c r="C66" s="16"/>
      <c r="D66" s="16"/>
      <c r="E66" s="17"/>
      <c r="F66" s="16" t="s">
        <v>109</v>
      </c>
      <c r="G66" s="33">
        <v>8.3000000000000004E-2</v>
      </c>
      <c r="I66" s="17">
        <f t="shared" si="7"/>
        <v>0</v>
      </c>
      <c r="J66" s="39">
        <f t="shared" si="6"/>
        <v>0</v>
      </c>
      <c r="K66" s="39">
        <f t="shared" si="6"/>
        <v>0</v>
      </c>
      <c r="L66" s="17"/>
      <c r="N66" s="16"/>
      <c r="O66" s="37"/>
      <c r="P66" s="37"/>
      <c r="Q66" s="37"/>
      <c r="R66" s="37"/>
      <c r="S66" s="16"/>
      <c r="U66" s="16"/>
      <c r="V66" s="37"/>
      <c r="W66" s="37"/>
      <c r="X66" s="37"/>
      <c r="Y66" s="37"/>
      <c r="Z66" s="16"/>
      <c r="AB66" s="16"/>
      <c r="AC66" s="37"/>
      <c r="AD66" s="37"/>
      <c r="AE66" s="37"/>
      <c r="AF66" s="37"/>
      <c r="AG66" s="16"/>
      <c r="AI66" s="16"/>
      <c r="AJ66" s="37"/>
      <c r="AK66" s="37"/>
      <c r="AL66" s="37"/>
      <c r="AM66" s="37"/>
      <c r="AN66" s="16"/>
      <c r="AP66" s="16"/>
      <c r="AQ66" s="37"/>
      <c r="AR66" s="37"/>
      <c r="AS66" s="37"/>
      <c r="AT66" s="37"/>
      <c r="AU66" s="16"/>
      <c r="AW66" s="16"/>
      <c r="AX66" s="37"/>
      <c r="AY66" s="37"/>
      <c r="AZ66" s="37"/>
      <c r="BA66" s="37"/>
      <c r="BB66" s="16"/>
      <c r="BD66" s="16"/>
      <c r="BE66" s="37"/>
      <c r="BF66" s="37"/>
      <c r="BG66" s="37"/>
      <c r="BH66" s="37"/>
      <c r="BI66" s="16"/>
      <c r="BL66" s="16"/>
      <c r="BM66" s="37"/>
      <c r="BN66" s="37"/>
      <c r="BO66" s="37"/>
      <c r="BP66" s="37"/>
      <c r="BQ66" s="16"/>
      <c r="BS66" s="16"/>
      <c r="BT66" s="37"/>
      <c r="BU66" s="37"/>
      <c r="BV66" s="37"/>
      <c r="BW66" s="37"/>
      <c r="BX66" s="16"/>
      <c r="BZ66" s="16"/>
      <c r="CA66" s="37"/>
      <c r="CB66" s="37"/>
      <c r="CC66" s="37"/>
      <c r="CD66" s="37"/>
      <c r="CE66" s="16"/>
      <c r="CG66" s="16"/>
      <c r="CH66" s="37"/>
      <c r="CI66" s="37">
        <v>0.5</v>
      </c>
      <c r="CJ66" s="37"/>
      <c r="CK66" s="37"/>
      <c r="CL66" s="16"/>
      <c r="CN66" s="16"/>
      <c r="CO66" s="37"/>
      <c r="CP66" s="37">
        <v>0.8</v>
      </c>
      <c r="CQ66" s="37"/>
      <c r="CR66" s="37"/>
      <c r="CS66" s="16"/>
      <c r="CU66" s="16"/>
      <c r="CV66" s="37"/>
      <c r="CW66" s="37">
        <v>0.8</v>
      </c>
      <c r="CX66" s="37"/>
      <c r="CY66" s="37"/>
      <c r="CZ66" s="16"/>
      <c r="DB66" s="16"/>
      <c r="DC66" s="37"/>
      <c r="DD66" s="37"/>
      <c r="DE66" s="37"/>
      <c r="DF66" s="37"/>
      <c r="DG66" s="16"/>
      <c r="DI66" s="16"/>
      <c r="DJ66" s="37"/>
      <c r="DK66" s="37"/>
      <c r="DL66" s="37"/>
      <c r="DM66" s="37"/>
      <c r="DN66" s="16"/>
    </row>
    <row r="67" spans="1:118">
      <c r="A67">
        <v>12</v>
      </c>
      <c r="B67" s="16" t="s">
        <v>28</v>
      </c>
      <c r="C67" s="16"/>
      <c r="D67" s="16"/>
      <c r="E67" s="17"/>
      <c r="F67" s="16" t="s">
        <v>110</v>
      </c>
      <c r="G67" s="33">
        <v>8.3000000000000004E-2</v>
      </c>
      <c r="I67" s="17">
        <v>4</v>
      </c>
      <c r="J67" s="39">
        <f t="shared" si="6"/>
        <v>0</v>
      </c>
      <c r="K67" s="39">
        <f t="shared" si="6"/>
        <v>0</v>
      </c>
      <c r="L67" s="17"/>
      <c r="N67" s="16"/>
      <c r="O67" s="37"/>
      <c r="P67" s="37"/>
      <c r="Q67" s="37"/>
      <c r="R67" s="37"/>
      <c r="S67" s="16"/>
      <c r="U67" s="16"/>
      <c r="V67" s="37"/>
      <c r="W67" s="37"/>
      <c r="X67" s="37"/>
      <c r="Y67" s="37"/>
      <c r="Z67" s="16"/>
      <c r="AB67" s="16"/>
      <c r="AC67" s="37"/>
      <c r="AD67" s="37"/>
      <c r="AE67" s="37"/>
      <c r="AF67" s="37"/>
      <c r="AG67" s="16"/>
      <c r="AI67" s="16"/>
      <c r="AJ67" s="37"/>
      <c r="AK67" s="37"/>
      <c r="AL67" s="37"/>
      <c r="AM67" s="37"/>
      <c r="AN67" s="16"/>
      <c r="AP67" s="16"/>
      <c r="AQ67" s="37"/>
      <c r="AR67" s="37"/>
      <c r="AS67" s="37"/>
      <c r="AT67" s="37"/>
      <c r="AU67" s="16"/>
      <c r="AW67" s="16"/>
      <c r="AX67" s="37"/>
      <c r="AY67" s="37"/>
      <c r="AZ67" s="37"/>
      <c r="BA67" s="37"/>
      <c r="BB67" s="16"/>
      <c r="BD67" s="16"/>
      <c r="BE67" s="37"/>
      <c r="BF67" s="37"/>
      <c r="BG67" s="37"/>
      <c r="BH67" s="37"/>
      <c r="BI67" s="16"/>
      <c r="BL67" s="16"/>
      <c r="BM67" s="37"/>
      <c r="BN67" s="37"/>
      <c r="BO67" s="37"/>
      <c r="BP67" s="37"/>
      <c r="BQ67" s="16"/>
      <c r="BS67" s="16"/>
      <c r="BT67" s="37"/>
      <c r="BU67" s="37"/>
      <c r="BV67" s="37"/>
      <c r="BW67" s="37"/>
      <c r="BX67" s="16"/>
      <c r="BZ67" s="16"/>
      <c r="CA67" s="37"/>
      <c r="CB67" s="37"/>
      <c r="CC67" s="37"/>
      <c r="CD67" s="37"/>
      <c r="CE67" s="16"/>
      <c r="CG67" s="16"/>
      <c r="CH67" s="37"/>
      <c r="CI67" s="37"/>
      <c r="CJ67" s="37"/>
      <c r="CK67" s="37"/>
      <c r="CL67" s="16"/>
      <c r="CN67" s="16"/>
      <c r="CO67" s="37"/>
      <c r="CP67" s="37">
        <v>0.5</v>
      </c>
      <c r="CQ67" s="37"/>
      <c r="CR67" s="37"/>
      <c r="CS67" s="16"/>
      <c r="CU67" s="16"/>
      <c r="CV67" s="37"/>
      <c r="CW67" s="37">
        <v>0.8</v>
      </c>
      <c r="CX67" s="37"/>
      <c r="CY67" s="37"/>
      <c r="CZ67" s="16"/>
      <c r="DB67" s="16"/>
      <c r="DC67" s="37"/>
      <c r="DD67" s="37"/>
      <c r="DE67" s="37"/>
      <c r="DF67" s="37"/>
      <c r="DG67" s="16"/>
      <c r="DI67" s="16"/>
      <c r="DJ67" s="37"/>
      <c r="DK67" s="37"/>
      <c r="DL67" s="37"/>
      <c r="DM67" s="37"/>
      <c r="DN67" s="16"/>
    </row>
    <row r="68" spans="1:118">
      <c r="A68">
        <v>13</v>
      </c>
      <c r="B68" s="16" t="s">
        <v>51</v>
      </c>
      <c r="C68" s="16"/>
      <c r="D68" s="30"/>
      <c r="E68" s="17"/>
      <c r="F68" s="49" t="s">
        <v>111</v>
      </c>
      <c r="G68" s="33"/>
      <c r="I68" s="17">
        <f>+SUMIF($N$3:$ZZ$3,I$3,$N68:$ZZ68)</f>
        <v>0</v>
      </c>
      <c r="J68" s="39">
        <f t="shared" si="6"/>
        <v>0</v>
      </c>
      <c r="K68" s="39">
        <f t="shared" si="6"/>
        <v>0</v>
      </c>
      <c r="L68" s="17"/>
      <c r="N68" s="16"/>
      <c r="O68" s="37"/>
      <c r="P68" s="37"/>
      <c r="Q68" s="37"/>
      <c r="R68" s="37"/>
      <c r="S68" s="16"/>
      <c r="U68" s="16"/>
      <c r="V68" s="37"/>
      <c r="W68" s="37"/>
      <c r="X68" s="37"/>
      <c r="Y68" s="37"/>
      <c r="Z68" s="16"/>
      <c r="AB68" s="16"/>
      <c r="AC68" s="37"/>
      <c r="AD68" s="37"/>
      <c r="AE68" s="37"/>
      <c r="AF68" s="37"/>
      <c r="AG68" s="16"/>
      <c r="AI68" s="16"/>
      <c r="AJ68" s="37"/>
      <c r="AK68" s="37"/>
      <c r="AL68" s="37"/>
      <c r="AM68" s="37"/>
      <c r="AN68" s="16"/>
      <c r="AP68" s="16"/>
      <c r="AQ68" s="37"/>
      <c r="AR68" s="37"/>
      <c r="AS68" s="37"/>
      <c r="AT68" s="37"/>
      <c r="AU68" s="16"/>
      <c r="AW68" s="16"/>
      <c r="AX68" s="37"/>
      <c r="AY68" s="37"/>
      <c r="AZ68" s="37"/>
      <c r="BA68" s="37"/>
      <c r="BB68" s="16"/>
      <c r="BD68" s="16"/>
      <c r="BE68" s="37"/>
      <c r="BF68" s="37"/>
      <c r="BG68" s="37"/>
      <c r="BH68" s="37"/>
      <c r="BI68" s="16"/>
      <c r="BL68" s="16"/>
      <c r="BM68" s="37"/>
      <c r="BN68" s="37"/>
      <c r="BO68" s="37"/>
      <c r="BP68" s="37"/>
      <c r="BQ68" s="16"/>
      <c r="BS68" s="16"/>
      <c r="BT68" s="37"/>
      <c r="BU68" s="37"/>
      <c r="BV68" s="37"/>
      <c r="BW68" s="37"/>
      <c r="BX68" s="16"/>
      <c r="BZ68" s="16"/>
      <c r="CA68" s="37"/>
      <c r="CB68" s="37"/>
      <c r="CC68" s="37"/>
      <c r="CD68" s="37"/>
      <c r="CE68" s="16"/>
      <c r="CG68" s="16"/>
      <c r="CH68" s="37"/>
      <c r="CI68" s="37"/>
      <c r="CJ68" s="37"/>
      <c r="CK68" s="37"/>
      <c r="CL68" s="16"/>
      <c r="CN68" s="16"/>
      <c r="CO68" s="37"/>
      <c r="CP68" s="37"/>
      <c r="CQ68" s="37"/>
      <c r="CR68" s="37"/>
      <c r="CS68" s="16"/>
      <c r="CU68" s="16"/>
      <c r="CV68" s="37"/>
      <c r="CW68" s="37"/>
      <c r="CX68" s="37"/>
      <c r="CY68" s="37"/>
      <c r="CZ68" s="16"/>
      <c r="DB68" s="16"/>
      <c r="DC68" s="37"/>
      <c r="DD68" s="37"/>
      <c r="DE68" s="37"/>
      <c r="DF68" s="37"/>
      <c r="DG68" s="16"/>
      <c r="DI68" s="16"/>
      <c r="DJ68" s="37"/>
      <c r="DK68" s="37"/>
      <c r="DL68" s="37"/>
      <c r="DM68" s="37"/>
      <c r="DN68" s="16"/>
    </row>
    <row r="69" spans="1:118">
      <c r="A69">
        <v>14</v>
      </c>
      <c r="B69" s="16"/>
      <c r="C69" s="16"/>
      <c r="D69" s="19" t="s">
        <v>70</v>
      </c>
      <c r="E69" s="17"/>
      <c r="F69" s="29"/>
      <c r="I69" s="17"/>
      <c r="J69" s="39">
        <f t="shared" si="6"/>
        <v>0</v>
      </c>
      <c r="K69" s="39">
        <f t="shared" si="6"/>
        <v>0</v>
      </c>
      <c r="L69" s="17"/>
      <c r="N69" s="16"/>
      <c r="O69" s="37"/>
      <c r="P69" s="37"/>
      <c r="Q69" s="37"/>
      <c r="R69" s="37"/>
      <c r="S69" s="16"/>
      <c r="U69" s="16"/>
      <c r="V69" s="37"/>
      <c r="W69" s="37"/>
      <c r="X69" s="37"/>
      <c r="Y69" s="37"/>
      <c r="Z69" s="16"/>
      <c r="AB69" s="16"/>
      <c r="AC69" s="37"/>
      <c r="AD69" s="37"/>
      <c r="AE69" s="37"/>
      <c r="AF69" s="37"/>
      <c r="AG69" s="16"/>
      <c r="AI69" s="16"/>
      <c r="AJ69" s="37"/>
      <c r="AK69" s="37"/>
      <c r="AL69" s="37"/>
      <c r="AM69" s="37"/>
      <c r="AN69" s="16"/>
      <c r="AP69" s="16"/>
      <c r="AQ69" s="37"/>
      <c r="AR69" s="37"/>
      <c r="AS69" s="37"/>
      <c r="AT69" s="37"/>
      <c r="AU69" s="16"/>
      <c r="AW69" s="16"/>
      <c r="AX69" s="37"/>
      <c r="AY69" s="37"/>
      <c r="AZ69" s="37"/>
      <c r="BA69" s="37"/>
      <c r="BB69" s="16"/>
      <c r="BD69" s="16"/>
      <c r="BE69" s="37"/>
      <c r="BF69" s="37"/>
      <c r="BG69" s="37"/>
      <c r="BH69" s="37"/>
      <c r="BI69" s="16"/>
      <c r="BL69" s="16"/>
      <c r="BM69" s="37"/>
      <c r="BN69" s="37"/>
      <c r="BO69" s="37"/>
      <c r="BP69" s="37"/>
      <c r="BQ69" s="16"/>
      <c r="BS69" s="16"/>
      <c r="BT69" s="37"/>
      <c r="BU69" s="37"/>
      <c r="BV69" s="37"/>
      <c r="BW69" s="37"/>
      <c r="BX69" s="16"/>
      <c r="BZ69" s="16"/>
      <c r="CA69" s="37"/>
      <c r="CB69" s="37"/>
      <c r="CC69" s="37"/>
      <c r="CD69" s="37"/>
      <c r="CE69" s="16"/>
      <c r="CG69" s="16"/>
      <c r="CH69" s="37"/>
      <c r="CI69" s="37"/>
      <c r="CJ69" s="37"/>
      <c r="CK69" s="37"/>
      <c r="CL69" s="16"/>
      <c r="CN69" s="16"/>
      <c r="CO69" s="37"/>
      <c r="CP69" s="37"/>
      <c r="CQ69" s="37"/>
      <c r="CR69" s="37"/>
      <c r="CS69" s="16"/>
      <c r="CU69" s="16"/>
      <c r="CV69" s="37"/>
      <c r="CW69" s="37"/>
      <c r="CX69" s="37"/>
      <c r="CY69" s="37"/>
      <c r="CZ69" s="16"/>
      <c r="DB69" s="16"/>
      <c r="DC69" s="37"/>
      <c r="DD69" s="37"/>
      <c r="DE69" s="37"/>
      <c r="DF69" s="37"/>
      <c r="DG69" s="16"/>
      <c r="DI69" s="16"/>
      <c r="DJ69" s="37"/>
      <c r="DK69" s="37"/>
      <c r="DL69" s="37"/>
      <c r="DM69" s="37"/>
      <c r="DN69" s="16"/>
    </row>
    <row r="75" spans="1:118">
      <c r="G75" t="s">
        <v>53</v>
      </c>
    </row>
  </sheetData>
  <mergeCells count="16">
    <mergeCell ref="CG2:CL2"/>
    <mergeCell ref="CN2:CS2"/>
    <mergeCell ref="CU2:CZ2"/>
    <mergeCell ref="DB2:DG2"/>
    <mergeCell ref="DI2:DN2"/>
    <mergeCell ref="BZ2:CE2"/>
    <mergeCell ref="BL2:BQ2"/>
    <mergeCell ref="BS2:BX2"/>
    <mergeCell ref="I2:L2"/>
    <mergeCell ref="N2:S2"/>
    <mergeCell ref="BD2:BI2"/>
    <mergeCell ref="U2:Z2"/>
    <mergeCell ref="AB2:AG2"/>
    <mergeCell ref="AI2:AN2"/>
    <mergeCell ref="AP2:AU2"/>
    <mergeCell ref="AW2:BB2"/>
  </mergeCells>
  <phoneticPr fontId="5" type="noConversion"/>
  <conditionalFormatting sqref="O20:O33 AQ20:AQ33 AS20:AS33 AJ20:AJ33 AL20:AL33 Q20:Q33 V20:V33 X20:X33 AE20:AE33 AC20:AC33 BM5:BM15 BO5:BO15 BT5:BT15 BV5:BV15 CA5:CA15 CC5:CC15 AC4:AC15 AE5:AE15 AZ17 O17 Q17 V17 X17 AC17 AE17 AJ17 AL17 AQ17 AS17 AX17 BE17 BG17 O4:O15 Q5:Q15 AQ5:AQ15 AS5:AS15 BE5:BE15 BG5:BG15 V4:V15 X5:X15 AJ5:AJ15 AL5:AL15 AX5:AX15 AZ5:AZ15">
    <cfRule type="expression" dxfId="100" priority="342">
      <formula>OR(IF(O4&lt;P4,TRUE),IF(AND(P4="",O4&lt;&gt;""),TRUE))</formula>
    </cfRule>
    <cfRule type="expression" dxfId="99" priority="343">
      <formula>IF(O4&gt;=P4,IF(O4="",FALSE,TRUE))</formula>
    </cfRule>
  </conditionalFormatting>
  <conditionalFormatting sqref="J20:K33">
    <cfRule type="colorScale" priority="350">
      <colorScale>
        <cfvo type="percent" val="0"/>
        <cfvo type="percent" val="100"/>
        <color rgb="FFFF231B"/>
        <color rgb="FF10FF07"/>
      </colorScale>
    </cfRule>
  </conditionalFormatting>
  <conditionalFormatting sqref="AZ20:AZ33 AX19:AX33">
    <cfRule type="expression" dxfId="98" priority="104">
      <formula>OR(IF(AX19&lt;AY19,TRUE),IF(AND(AY19="",AX19&lt;&gt;""),TRUE))</formula>
    </cfRule>
    <cfRule type="expression" dxfId="97" priority="105">
      <formula>IF(AX19&gt;=AY19,IF(AX19="",FALSE,TRUE))</formula>
    </cfRule>
  </conditionalFormatting>
  <conditionalFormatting sqref="BO20:BO33 BM19:BM33">
    <cfRule type="expression" dxfId="96" priority="102">
      <formula>OR(IF(BM19&lt;BN19,TRUE),IF(AND(BN19="",BM19&lt;&gt;""),TRUE))</formula>
    </cfRule>
    <cfRule type="expression" dxfId="95" priority="103">
      <formula>IF(BM19&gt;=BN19,IF(BM19="",FALSE,TRUE))</formula>
    </cfRule>
  </conditionalFormatting>
  <conditionalFormatting sqref="BG20:BG33 BE19:BE33">
    <cfRule type="expression" dxfId="94" priority="100">
      <formula>OR(IF(BE19&lt;BF19,TRUE),IF(AND(BF19="",BE19&lt;&gt;""),TRUE))</formula>
    </cfRule>
    <cfRule type="expression" dxfId="93" priority="101">
      <formula>IF(BE19&gt;=BF19,IF(BE19="",FALSE,TRUE))</formula>
    </cfRule>
  </conditionalFormatting>
  <conditionalFormatting sqref="BV20:BV33 BT19:BT33">
    <cfRule type="expression" dxfId="92" priority="98">
      <formula>OR(IF(BT19&lt;BU19,TRUE),IF(AND(BU19="",BT19&lt;&gt;""),TRUE))</formula>
    </cfRule>
    <cfRule type="expression" dxfId="91" priority="99">
      <formula>IF(BT19&gt;=BU19,IF(BT19="",FALSE,TRUE))</formula>
    </cfRule>
  </conditionalFormatting>
  <conditionalFormatting sqref="CC20:CC33 CA19:CA33">
    <cfRule type="expression" dxfId="90" priority="90">
      <formula>OR(IF(CA19&lt;CB19,TRUE),IF(AND(CB19="",CA19&lt;&gt;""),TRUE))</formula>
    </cfRule>
    <cfRule type="expression" dxfId="89" priority="91">
      <formula>IF(CA19&gt;=CB19,IF(CA19="",FALSE,TRUE))</formula>
    </cfRule>
  </conditionalFormatting>
  <conditionalFormatting sqref="AQ38:AQ51 AS38:AS51 AC38:AC51 AJ38:AJ51 AL38:AL51 O38:O51 Q38:Q51 V38:V51 X38:X51 AE38:AE51">
    <cfRule type="expression" dxfId="88" priority="87">
      <formula>OR(IF(O38&lt;P38,TRUE),IF(AND(P38="",O38&lt;&gt;""),TRUE))</formula>
    </cfRule>
    <cfRule type="expression" dxfId="87" priority="88">
      <formula>IF(O38&gt;=P38,IF(O38="",FALSE,TRUE))</formula>
    </cfRule>
  </conditionalFormatting>
  <conditionalFormatting sqref="J38:K51">
    <cfRule type="colorScale" priority="89">
      <colorScale>
        <cfvo type="percent" val="0"/>
        <cfvo type="percent" val="100"/>
        <color rgb="FFFF231B"/>
        <color rgb="FF10FF07"/>
      </colorScale>
    </cfRule>
  </conditionalFormatting>
  <conditionalFormatting sqref="AX38:AX51 AZ38:AZ51">
    <cfRule type="expression" dxfId="86" priority="85">
      <formula>OR(IF(AX38&lt;AY38,TRUE),IF(AND(AY38="",AX38&lt;&gt;""),TRUE))</formula>
    </cfRule>
    <cfRule type="expression" dxfId="85" priority="86">
      <formula>IF(AX38&gt;=AY38,IF(AX38="",FALSE,TRUE))</formula>
    </cfRule>
  </conditionalFormatting>
  <conditionalFormatting sqref="BE38:BE51 BG38:BG51">
    <cfRule type="expression" dxfId="84" priority="83">
      <formula>OR(IF(BE38&lt;BF38,TRUE),IF(AND(BF38="",BE38&lt;&gt;""),TRUE))</formula>
    </cfRule>
    <cfRule type="expression" dxfId="83" priority="84">
      <formula>IF(BE38&gt;=BF38,IF(BE38="",FALSE,TRUE))</formula>
    </cfRule>
  </conditionalFormatting>
  <conditionalFormatting sqref="CV5:CV15 CX5:CX15">
    <cfRule type="expression" dxfId="82" priority="67">
      <formula>OR(IF(CV5&lt;CW5,TRUE),IF(AND(CW5="",CV5&lt;&gt;""),TRUE))</formula>
    </cfRule>
    <cfRule type="expression" dxfId="81" priority="68">
      <formula>IF(CV5&gt;=CW5,IF(CV5="",FALSE,TRUE))</formula>
    </cfRule>
  </conditionalFormatting>
  <conditionalFormatting sqref="DC5:DC15 DE5:DE15">
    <cfRule type="expression" dxfId="80" priority="65">
      <formula>OR(IF(DC5&lt;DD5,TRUE),IF(AND(DD5="",DC5&lt;&gt;""),TRUE))</formula>
    </cfRule>
    <cfRule type="expression" dxfId="79" priority="66">
      <formula>IF(DC5&gt;=DD5,IF(DC5="",FALSE,TRUE))</formula>
    </cfRule>
  </conditionalFormatting>
  <conditionalFormatting sqref="DJ5:DJ15 DL5:DL15">
    <cfRule type="expression" dxfId="78" priority="63">
      <formula>OR(IF(DJ5&lt;DK5,TRUE),IF(AND(DK5="",DJ5&lt;&gt;""),TRUE))</formula>
    </cfRule>
    <cfRule type="expression" dxfId="77" priority="64">
      <formula>IF(DJ5&gt;=DK5,IF(DJ5="",FALSE,TRUE))</formula>
    </cfRule>
  </conditionalFormatting>
  <conditionalFormatting sqref="DE20:DE33 DC19:DC33">
    <cfRule type="expression" dxfId="76" priority="55">
      <formula>OR(IF(DC19&lt;DD19,TRUE),IF(AND(DD19="",DC19&lt;&gt;""),TRUE))</formula>
    </cfRule>
    <cfRule type="expression" dxfId="75" priority="56">
      <formula>IF(DC19&gt;=DD19,IF(DC19="",FALSE,TRUE))</formula>
    </cfRule>
  </conditionalFormatting>
  <conditionalFormatting sqref="CJ20:CJ33 CH19:CH33">
    <cfRule type="expression" dxfId="74" priority="61">
      <formula>OR(IF(CH19&lt;CI19,TRUE),IF(AND(CI19="",CH19&lt;&gt;""),TRUE))</formula>
    </cfRule>
    <cfRule type="expression" dxfId="73" priority="62">
      <formula>IF(CH19&gt;=CI19,IF(CH19="",FALSE,TRUE))</formula>
    </cfRule>
  </conditionalFormatting>
  <conditionalFormatting sqref="CQ20:CQ33 CO19:CO33">
    <cfRule type="expression" dxfId="72" priority="59">
      <formula>OR(IF(CO19&lt;CP19,TRUE),IF(AND(CP19="",CO19&lt;&gt;""),TRUE))</formula>
    </cfRule>
    <cfRule type="expression" dxfId="71" priority="60">
      <formula>IF(CO19&gt;=CP19,IF(CO19="",FALSE,TRUE))</formula>
    </cfRule>
  </conditionalFormatting>
  <conditionalFormatting sqref="CX20:CX33 CV19:CV33">
    <cfRule type="expression" dxfId="70" priority="57">
      <formula>OR(IF(CV19&lt;CW19,TRUE),IF(AND(CW19="",CV19&lt;&gt;""),TRUE))</formula>
    </cfRule>
    <cfRule type="expression" dxfId="69" priority="58">
      <formula>IF(CV19&gt;=CW19,IF(CV19="",FALSE,TRUE))</formula>
    </cfRule>
  </conditionalFormatting>
  <conditionalFormatting sqref="DL20:DL33 DJ19:DJ33">
    <cfRule type="expression" dxfId="68" priority="53">
      <formula>OR(IF(DJ19&lt;DK19,TRUE),IF(AND(DK19="",DJ19&lt;&gt;""),TRUE))</formula>
    </cfRule>
    <cfRule type="expression" dxfId="67" priority="54">
      <formula>IF(DJ19&gt;=DK19,IF(DJ19="",FALSE,TRUE))</formula>
    </cfRule>
  </conditionalFormatting>
  <conditionalFormatting sqref="J56:K69">
    <cfRule type="colorScale" priority="52">
      <colorScale>
        <cfvo type="percent" val="0"/>
        <cfvo type="percent" val="100"/>
        <color rgb="FFFF231B"/>
        <color rgb="FF10FF07"/>
      </colorScale>
    </cfRule>
  </conditionalFormatting>
  <conditionalFormatting sqref="O56:O69 Q56:Q69">
    <cfRule type="expression" dxfId="66" priority="50">
      <formula>OR(IF(O56&lt;P56,TRUE),IF(AND(P56="",O56&lt;&gt;""),TRUE))</formula>
    </cfRule>
    <cfRule type="expression" dxfId="65" priority="51">
      <formula>IF(O56&gt;=P56,IF(O56="",FALSE,TRUE))</formula>
    </cfRule>
  </conditionalFormatting>
  <conditionalFormatting sqref="V56:V69 X56:X69">
    <cfRule type="expression" dxfId="64" priority="48">
      <formula>OR(IF(V56&lt;W56,TRUE),IF(AND(W56="",V56&lt;&gt;""),TRUE))</formula>
    </cfRule>
    <cfRule type="expression" dxfId="63" priority="49">
      <formula>IF(V56&gt;=W56,IF(V56="",FALSE,TRUE))</formula>
    </cfRule>
  </conditionalFormatting>
  <conditionalFormatting sqref="AC56:AC69 AE56:AE69">
    <cfRule type="expression" dxfId="62" priority="46">
      <formula>OR(IF(AC56&lt;AD56,TRUE),IF(AND(AD56="",AC56&lt;&gt;""),TRUE))</formula>
    </cfRule>
    <cfRule type="expression" dxfId="61" priority="47">
      <formula>IF(AC56&gt;=AD56,IF(AC56="",FALSE,TRUE))</formula>
    </cfRule>
  </conditionalFormatting>
  <conditionalFormatting sqref="AJ56:AJ69 AL56:AL69">
    <cfRule type="expression" dxfId="60" priority="44">
      <formula>OR(IF(AJ56&lt;AK56,TRUE),IF(AND(AK56="",AJ56&lt;&gt;""),TRUE))</formula>
    </cfRule>
    <cfRule type="expression" dxfId="59" priority="45">
      <formula>IF(AJ56&gt;=AK56,IF(AJ56="",FALSE,TRUE))</formula>
    </cfRule>
  </conditionalFormatting>
  <conditionalFormatting sqref="AQ56:AQ69 AS56:AS69">
    <cfRule type="expression" dxfId="58" priority="42">
      <formula>OR(IF(AQ56&lt;AR56,TRUE),IF(AND(AR56="",AQ56&lt;&gt;""),TRUE))</formula>
    </cfRule>
    <cfRule type="expression" dxfId="57" priority="43">
      <formula>IF(AQ56&gt;=AR56,IF(AQ56="",FALSE,TRUE))</formula>
    </cfRule>
  </conditionalFormatting>
  <conditionalFormatting sqref="AX56:AX69 AZ56:AZ69">
    <cfRule type="expression" dxfId="56" priority="40">
      <formula>OR(IF(AX56&lt;AY56,TRUE),IF(AND(AY56="",AX56&lt;&gt;""),TRUE))</formula>
    </cfRule>
    <cfRule type="expression" dxfId="55" priority="41">
      <formula>IF(AX56&gt;=AY56,IF(AX56="",FALSE,TRUE))</formula>
    </cfRule>
  </conditionalFormatting>
  <conditionalFormatting sqref="BE56:BE69 BG56:BG69">
    <cfRule type="expression" dxfId="54" priority="38">
      <formula>OR(IF(BE56&lt;BF56,TRUE),IF(AND(BF56="",BE56&lt;&gt;""),TRUE))</formula>
    </cfRule>
    <cfRule type="expression" dxfId="53" priority="39">
      <formula>IF(BE56&gt;=BF56,IF(BE56="",FALSE,TRUE))</formula>
    </cfRule>
  </conditionalFormatting>
  <conditionalFormatting sqref="BM56:BM69 BO56:BO69">
    <cfRule type="expression" dxfId="52" priority="36">
      <formula>OR(IF(BM56&lt;BN56,TRUE),IF(AND(BN56="",BM56&lt;&gt;""),TRUE))</formula>
    </cfRule>
    <cfRule type="expression" dxfId="51" priority="37">
      <formula>IF(BM56&gt;=BN56,IF(BM56="",FALSE,TRUE))</formula>
    </cfRule>
  </conditionalFormatting>
  <conditionalFormatting sqref="BT56:BT69 BV56:BV69">
    <cfRule type="expression" dxfId="50" priority="34">
      <formula>OR(IF(BT56&lt;BU56,TRUE),IF(AND(BU56="",BT56&lt;&gt;""),TRUE))</formula>
    </cfRule>
    <cfRule type="expression" dxfId="49" priority="35">
      <formula>IF(BT56&gt;=BU56,IF(BT56="",FALSE,TRUE))</formula>
    </cfRule>
  </conditionalFormatting>
  <conditionalFormatting sqref="CA56:CA69 CC56:CC69">
    <cfRule type="expression" dxfId="48" priority="32">
      <formula>OR(IF(CA56&lt;CB56,TRUE),IF(AND(CB56="",CA56&lt;&gt;""),TRUE))</formula>
    </cfRule>
    <cfRule type="expression" dxfId="47" priority="33">
      <formula>IF(CA56&gt;=CB56,IF(CA56="",FALSE,TRUE))</formula>
    </cfRule>
  </conditionalFormatting>
  <conditionalFormatting sqref="CH38:CH51 CJ38:CJ51">
    <cfRule type="expression" dxfId="46" priority="30">
      <formula>OR(IF(CH38&lt;CI38,TRUE),IF(AND(CI38="",CH38&lt;&gt;""),TRUE))</formula>
    </cfRule>
    <cfRule type="expression" dxfId="45" priority="31">
      <formula>IF(CH38&gt;=CI38,IF(CH38="",FALSE,TRUE))</formula>
    </cfRule>
  </conditionalFormatting>
  <conditionalFormatting sqref="CH56:CH69 CJ56:CJ69">
    <cfRule type="expression" dxfId="44" priority="28">
      <formula>OR(IF(CH56&lt;CI56,TRUE),IF(AND(CI56="",CH56&lt;&gt;""),TRUE))</formula>
    </cfRule>
    <cfRule type="expression" dxfId="43" priority="29">
      <formula>IF(CH56&gt;=CI56,IF(CH56="",FALSE,TRUE))</formula>
    </cfRule>
  </conditionalFormatting>
  <conditionalFormatting sqref="CO38:CO51 CQ38:CQ51">
    <cfRule type="expression" dxfId="42" priority="26">
      <formula>OR(IF(CO38&lt;CP38,TRUE),IF(AND(CP38="",CO38&lt;&gt;""),TRUE))</formula>
    </cfRule>
    <cfRule type="expression" dxfId="41" priority="27">
      <formula>IF(CO38&gt;=CP38,IF(CO38="",FALSE,TRUE))</formula>
    </cfRule>
  </conditionalFormatting>
  <conditionalFormatting sqref="CO56:CO69 CQ56:CQ69">
    <cfRule type="expression" dxfId="40" priority="24">
      <formula>OR(IF(CO56&lt;CP56,TRUE),IF(AND(CP56="",CO56&lt;&gt;""),TRUE))</formula>
    </cfRule>
    <cfRule type="expression" dxfId="39" priority="25">
      <formula>IF(CO56&gt;=CP56,IF(CO56="",FALSE,TRUE))</formula>
    </cfRule>
  </conditionalFormatting>
  <conditionalFormatting sqref="CV38:CV51 CX38:CX51">
    <cfRule type="expression" dxfId="38" priority="22">
      <formula>OR(IF(CV38&lt;CW38,TRUE),IF(AND(CW38="",CV38&lt;&gt;""),TRUE))</formula>
    </cfRule>
    <cfRule type="expression" dxfId="37" priority="23">
      <formula>IF(CV38&gt;=CW38,IF(CV38="",FALSE,TRUE))</formula>
    </cfRule>
  </conditionalFormatting>
  <conditionalFormatting sqref="CV56:CV69 CX56:CX69">
    <cfRule type="expression" dxfId="36" priority="20">
      <formula>OR(IF(CV56&lt;CW56,TRUE),IF(AND(CW56="",CV56&lt;&gt;""),TRUE))</formula>
    </cfRule>
    <cfRule type="expression" dxfId="35" priority="21">
      <formula>IF(CV56&gt;=CW56,IF(CV56="",FALSE,TRUE))</formula>
    </cfRule>
  </conditionalFormatting>
  <conditionalFormatting sqref="DE38:DE51 DC37:DC51">
    <cfRule type="expression" dxfId="34" priority="18">
      <formula>OR(IF(DC37&lt;DD37,TRUE),IF(AND(DD37="",DC37&lt;&gt;""),TRUE))</formula>
    </cfRule>
    <cfRule type="expression" dxfId="33" priority="19">
      <formula>IF(DC37&gt;=DD37,IF(DC37="",FALSE,TRUE))</formula>
    </cfRule>
  </conditionalFormatting>
  <conditionalFormatting sqref="DL38:DL51 DJ37:DJ51">
    <cfRule type="expression" dxfId="32" priority="16">
      <formula>OR(IF(DJ37&lt;DK37,TRUE),IF(AND(DK37="",DJ37&lt;&gt;""),TRUE))</formula>
    </cfRule>
    <cfRule type="expression" dxfId="31" priority="17">
      <formula>IF(DJ37&gt;=DK37,IF(DJ37="",FALSE,TRUE))</formula>
    </cfRule>
  </conditionalFormatting>
  <conditionalFormatting sqref="DE56:DE69 DC55:DC69">
    <cfRule type="expression" dxfId="30" priority="14">
      <formula>OR(IF(DC55&lt;DD55,TRUE),IF(AND(DD55="",DC55&lt;&gt;""),TRUE))</formula>
    </cfRule>
    <cfRule type="expression" dxfId="29" priority="15">
      <formula>IF(DC55&gt;=DD55,IF(DC55="",FALSE,TRUE))</formula>
    </cfRule>
  </conditionalFormatting>
  <conditionalFormatting sqref="DL56:DL69 DJ55:DJ69">
    <cfRule type="expression" dxfId="28" priority="12">
      <formula>OR(IF(DJ55&lt;DK55,TRUE),IF(AND(DK55="",DJ55&lt;&gt;""),TRUE))</formula>
    </cfRule>
    <cfRule type="expression" dxfId="27" priority="13">
      <formula>IF(DJ55&gt;=DK55,IF(DJ55="",FALSE,TRUE))</formula>
    </cfRule>
  </conditionalFormatting>
  <conditionalFormatting sqref="J5:K18">
    <cfRule type="colorScale" priority="11">
      <colorScale>
        <cfvo type="percent" val="0"/>
        <cfvo type="percent" val="100"/>
        <color rgb="FFFF231B"/>
        <color rgb="FF10FF07"/>
      </colorScale>
    </cfRule>
  </conditionalFormatting>
  <conditionalFormatting sqref="CH5:CH15 CJ5:CJ15">
    <cfRule type="expression" dxfId="26" priority="9">
      <formula>OR(IF(CH5&lt;CI5,TRUE),IF(AND(CI5="",CH5&lt;&gt;""),TRUE))</formula>
    </cfRule>
    <cfRule type="expression" dxfId="25" priority="10">
      <formula>IF(CH5&gt;=CI5,IF(CH5="",FALSE,TRUE))</formula>
    </cfRule>
  </conditionalFormatting>
  <conditionalFormatting sqref="CO5:CO15 CQ5:CQ15">
    <cfRule type="expression" dxfId="24" priority="7">
      <formula>OR(IF(CO5&lt;CP5,TRUE),IF(AND(CP5="",CO5&lt;&gt;""),TRUE))</formula>
    </cfRule>
    <cfRule type="expression" dxfId="23" priority="8">
      <formula>IF(CO5&gt;=CP5,IF(CO5="",FALSE,TRUE))</formula>
    </cfRule>
  </conditionalFormatting>
  <conditionalFormatting sqref="BM38:BM51 BO38:BO51">
    <cfRule type="expression" dxfId="22" priority="5">
      <formula>OR(IF(BM38&lt;BN38,TRUE),IF(AND(BN38="",BM38&lt;&gt;""),TRUE))</formula>
    </cfRule>
    <cfRule type="expression" dxfId="21" priority="6">
      <formula>IF(BM38&gt;=BN38,IF(BM38="",FALSE,TRUE))</formula>
    </cfRule>
  </conditionalFormatting>
  <conditionalFormatting sqref="BT38:BT51 BV38:BV51">
    <cfRule type="expression" dxfId="20" priority="3">
      <formula>OR(IF(BT38&lt;BU38,TRUE),IF(AND(BU38="",BT38&lt;&gt;""),TRUE))</formula>
    </cfRule>
    <cfRule type="expression" dxfId="19" priority="4">
      <formula>IF(BT38&gt;=BU38,IF(BT38="",FALSE,TRUE))</formula>
    </cfRule>
  </conditionalFormatting>
  <conditionalFormatting sqref="CA38:CA51 CC38:CC51">
    <cfRule type="expression" dxfId="18" priority="1">
      <formula>OR(IF(CA38&lt;CB38,TRUE),IF(AND(CB38="",CA38&lt;&gt;""),TRUE))</formula>
    </cfRule>
    <cfRule type="expression" dxfId="17" priority="2">
      <formula>IF(CA38&gt;=CB38,IF(CA38="",FALSE,TRUE))</formula>
    </cfRule>
  </conditionalFormatting>
  <dataValidations count="1">
    <dataValidation type="list" allowBlank="1" showInputMessage="1" showErrorMessage="1" sqref="O4 AC5:AF15 AC4 CA19:CB19 CA56:CD69 AJ38:AM51 BT5:BW15 AC20:AF33 AQ20:AT33 V4 AQ5:AT15 AX5:BA15 O38:R51 AX20:BA33 AQ38:AT51 AX38:BA51 AJ20:AM33 V38:Y51 V20:Y33 BT20:BW33 BE20:BH33 AC38:AF51 BM20:BP33 O20:R33 BA19 AX19:AY19 BP19 BM19:BN19 BH19 BE19:BF19 BW19 BT19:BU19 CD19 BE38:BE51 BG38:BH51 BE5:BH15 O5:R15 BM5:BP15 V5:Y15 CH5:CK15 CA20:CD33 AJ5:AM15 AQ17:AT17 AC17:AF17 AX17:BA17 V17:Y17 BE17:BH17 AJ17:AM17 O17:R17 DM55 CO5:CR15 CV5:CY15 DC5:DF15 DJ5:DM15 CH19:CI19 CA5:CD15 CK19 CO19:CP19 CV56:CY69 CR19 CV19:CW19 CV20:CY33 CY19 DC19:DD19 DC20:DF33 DF19 DJ19:DK19 DJ20:DM33 DM19 O56:R69 CA38:CD51 V56:Y69 AC56:AF69 AJ56:AM69 AQ56:AT69 AX56:BA69 BE56:BH69 CO56:CR69 BT56:BW69 CO20:CR33 CV38:CY51 CH20:CK33 CH56:CK69 CH38:CK51 BM56:BP69 DC37:DD37 DC38:DF51 DF37 DJ37:DK37 DJ38:DM51 DM37 DC55:DD55 DC56:DF69 DF55 DJ55:DK55 DJ56:DM69 BF38:BF52 BM38:BP51 BT38:BW51 CO38:CR51" xr:uid="{DF46768B-76BD-4AD1-BDD9-05E5E50A35C8}">
      <formula1>"10%,20%,30%,40%,50%,60%,70%,80%,90%,100%"</formula1>
    </dataValidation>
  </dataValidation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66"/>
  <sheetViews>
    <sheetView zoomScale="68" workbookViewId="0">
      <selection activeCell="J10" sqref="J10"/>
    </sheetView>
  </sheetViews>
  <sheetFormatPr baseColWidth="10" defaultRowHeight="15.5"/>
  <cols>
    <col min="1" max="1" width="16.83203125" style="10" customWidth="1"/>
    <col min="2" max="2" width="19.1640625" style="10" customWidth="1"/>
    <col min="3" max="3" width="18.1640625" style="10" customWidth="1"/>
    <col min="4" max="4" width="19.5" style="10" customWidth="1"/>
    <col min="8" max="8" width="15.1640625" customWidth="1"/>
    <col min="10" max="10" width="42" customWidth="1"/>
    <col min="11" max="11" width="28.5" customWidth="1"/>
  </cols>
  <sheetData>
    <row r="1" spans="1:11" ht="31">
      <c r="A1" s="10" t="s">
        <v>41</v>
      </c>
      <c r="B1" s="14" t="s">
        <v>38</v>
      </c>
      <c r="C1" s="14" t="s">
        <v>39</v>
      </c>
      <c r="D1" s="14" t="s">
        <v>40</v>
      </c>
      <c r="E1" s="1" t="s">
        <v>42</v>
      </c>
      <c r="F1" s="1" t="s">
        <v>43</v>
      </c>
      <c r="G1" s="1" t="s">
        <v>44</v>
      </c>
      <c r="H1" s="1" t="s">
        <v>45</v>
      </c>
      <c r="I1" s="1" t="s">
        <v>46</v>
      </c>
      <c r="J1" s="1" t="s">
        <v>47</v>
      </c>
      <c r="K1" s="1" t="s">
        <v>48</v>
      </c>
    </row>
    <row r="2" spans="1:11">
      <c r="A2" s="13">
        <v>44316</v>
      </c>
      <c r="B2" s="10" t="s">
        <v>52</v>
      </c>
      <c r="C2" s="10" t="s">
        <v>52</v>
      </c>
      <c r="D2" s="15">
        <v>0.8</v>
      </c>
      <c r="E2">
        <v>1600</v>
      </c>
      <c r="F2">
        <v>59</v>
      </c>
      <c r="G2">
        <v>69</v>
      </c>
      <c r="H2">
        <v>78</v>
      </c>
    </row>
    <row r="3" spans="1:11">
      <c r="A3" s="13">
        <v>44317</v>
      </c>
    </row>
    <row r="4" spans="1:11">
      <c r="A4" s="13">
        <v>44318</v>
      </c>
    </row>
    <row r="5" spans="1:11">
      <c r="A5" s="13">
        <v>44319</v>
      </c>
    </row>
    <row r="6" spans="1:11">
      <c r="A6" s="13">
        <v>44320</v>
      </c>
    </row>
    <row r="7" spans="1:11">
      <c r="A7" s="13">
        <v>44321</v>
      </c>
    </row>
    <row r="8" spans="1:11">
      <c r="A8" s="13">
        <v>44322</v>
      </c>
    </row>
    <row r="9" spans="1:11">
      <c r="A9" s="13">
        <v>44323</v>
      </c>
    </row>
    <row r="10" spans="1:11">
      <c r="A10" s="13">
        <v>44324</v>
      </c>
    </row>
    <row r="11" spans="1:11">
      <c r="A11" s="13">
        <v>44325</v>
      </c>
    </row>
    <row r="12" spans="1:11">
      <c r="A12" s="13">
        <v>44326</v>
      </c>
    </row>
    <row r="13" spans="1:11">
      <c r="A13" s="13">
        <v>44327</v>
      </c>
    </row>
    <row r="14" spans="1:11">
      <c r="A14" s="13">
        <v>44328</v>
      </c>
    </row>
    <row r="15" spans="1:11">
      <c r="A15" s="13">
        <v>44329</v>
      </c>
    </row>
    <row r="16" spans="1:11">
      <c r="A16" s="13">
        <v>44330</v>
      </c>
    </row>
    <row r="17" spans="1:1">
      <c r="A17" s="13">
        <v>44331</v>
      </c>
    </row>
    <row r="18" spans="1:1">
      <c r="A18" s="13">
        <v>44332</v>
      </c>
    </row>
    <row r="19" spans="1:1">
      <c r="A19" s="13">
        <v>44333</v>
      </c>
    </row>
    <row r="20" spans="1:1">
      <c r="A20" s="13">
        <v>44334</v>
      </c>
    </row>
    <row r="21" spans="1:1">
      <c r="A21" s="13">
        <v>44335</v>
      </c>
    </row>
    <row r="22" spans="1:1">
      <c r="A22" s="13">
        <v>44336</v>
      </c>
    </row>
    <row r="23" spans="1:1">
      <c r="A23" s="13">
        <v>44337</v>
      </c>
    </row>
    <row r="24" spans="1:1">
      <c r="A24" s="13">
        <v>44338</v>
      </c>
    </row>
    <row r="25" spans="1:1">
      <c r="A25" s="13">
        <v>44339</v>
      </c>
    </row>
    <row r="26" spans="1:1">
      <c r="A26" s="13">
        <v>44340</v>
      </c>
    </row>
    <row r="27" spans="1:1">
      <c r="A27" s="13">
        <v>44341</v>
      </c>
    </row>
    <row r="28" spans="1:1">
      <c r="A28" s="13">
        <v>44342</v>
      </c>
    </row>
    <row r="29" spans="1:1">
      <c r="A29" s="13">
        <v>44343</v>
      </c>
    </row>
    <row r="30" spans="1:1">
      <c r="A30" s="13">
        <v>44344</v>
      </c>
    </row>
    <row r="31" spans="1:1">
      <c r="A31" s="13">
        <v>44345</v>
      </c>
    </row>
    <row r="32" spans="1:1">
      <c r="A32" s="13">
        <v>44346</v>
      </c>
    </row>
    <row r="33" spans="1:1">
      <c r="A33" s="13">
        <v>44347</v>
      </c>
    </row>
    <row r="34" spans="1:1">
      <c r="A34" s="13">
        <v>44348</v>
      </c>
    </row>
    <row r="35" spans="1:1">
      <c r="A35" s="13">
        <v>44349</v>
      </c>
    </row>
    <row r="36" spans="1:1">
      <c r="A36" s="13">
        <v>44350</v>
      </c>
    </row>
    <row r="37" spans="1:1">
      <c r="A37" s="13">
        <v>44351</v>
      </c>
    </row>
    <row r="38" spans="1:1">
      <c r="A38" s="13">
        <v>44352</v>
      </c>
    </row>
    <row r="39" spans="1:1">
      <c r="A39" s="13">
        <v>44353</v>
      </c>
    </row>
    <row r="40" spans="1:1">
      <c r="A40" s="13">
        <v>44354</v>
      </c>
    </row>
    <row r="41" spans="1:1">
      <c r="A41" s="13">
        <v>44355</v>
      </c>
    </row>
    <row r="42" spans="1:1">
      <c r="A42" s="13">
        <v>44356</v>
      </c>
    </row>
    <row r="43" spans="1:1">
      <c r="A43" s="13">
        <v>44357</v>
      </c>
    </row>
    <row r="44" spans="1:1">
      <c r="A44" s="13">
        <v>44358</v>
      </c>
    </row>
    <row r="45" spans="1:1">
      <c r="A45" s="13">
        <v>44359</v>
      </c>
    </row>
    <row r="46" spans="1:1">
      <c r="A46" s="13">
        <v>44360</v>
      </c>
    </row>
    <row r="47" spans="1:1">
      <c r="A47" s="13">
        <v>44361</v>
      </c>
    </row>
    <row r="48" spans="1:1">
      <c r="A48" s="13">
        <v>44362</v>
      </c>
    </row>
    <row r="49" spans="1:1">
      <c r="A49" s="13">
        <v>44363</v>
      </c>
    </row>
    <row r="50" spans="1:1">
      <c r="A50" s="13">
        <v>44364</v>
      </c>
    </row>
    <row r="51" spans="1:1">
      <c r="A51" s="13">
        <v>44365</v>
      </c>
    </row>
    <row r="52" spans="1:1">
      <c r="A52" s="13">
        <v>44366</v>
      </c>
    </row>
    <row r="53" spans="1:1">
      <c r="A53" s="13">
        <v>44367</v>
      </c>
    </row>
    <row r="54" spans="1:1">
      <c r="A54" s="13">
        <v>44368</v>
      </c>
    </row>
    <row r="55" spans="1:1">
      <c r="A55" s="13">
        <v>44369</v>
      </c>
    </row>
    <row r="56" spans="1:1">
      <c r="A56" s="13">
        <v>44370</v>
      </c>
    </row>
    <row r="57" spans="1:1">
      <c r="A57" s="13">
        <v>44371</v>
      </c>
    </row>
    <row r="58" spans="1:1">
      <c r="A58" s="13">
        <v>44372</v>
      </c>
    </row>
    <row r="59" spans="1:1">
      <c r="A59" s="13">
        <v>44373</v>
      </c>
    </row>
    <row r="60" spans="1:1">
      <c r="A60" s="13">
        <v>44374</v>
      </c>
    </row>
    <row r="61" spans="1:1">
      <c r="A61" s="13">
        <v>44375</v>
      </c>
    </row>
    <row r="62" spans="1:1">
      <c r="A62" s="13">
        <v>44376</v>
      </c>
    </row>
    <row r="63" spans="1:1">
      <c r="A63" s="13">
        <v>44377</v>
      </c>
    </row>
    <row r="64" spans="1:1">
      <c r="A64" s="13">
        <v>44378</v>
      </c>
    </row>
    <row r="65" spans="1:1">
      <c r="A65" s="13">
        <v>44379</v>
      </c>
    </row>
    <row r="66" spans="1:1">
      <c r="A66" s="13">
        <v>44380</v>
      </c>
    </row>
  </sheetData>
  <conditionalFormatting sqref="B2:B6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66">
    <cfRule type="cellIs" dxfId="8" priority="4" operator="equal">
      <formula>"Ja"</formula>
    </cfRule>
  </conditionalFormatting>
  <conditionalFormatting sqref="C2:C66">
    <cfRule type="cellIs" dxfId="7" priority="2" operator="equal">
      <formula>"Ja"</formula>
    </cfRule>
    <cfRule type="cellIs" dxfId="6" priority="3" operator="equal">
      <formula>"Nein"</formula>
    </cfRule>
  </conditionalFormatting>
  <conditionalFormatting sqref="C2:C66">
    <cfRule type="cellIs" dxfId="5" priority="1" operator="equal">
      <formula>"Ja"</formula>
    </cfRule>
  </conditionalFormatting>
  <dataValidations count="2">
    <dataValidation type="list" allowBlank="1" showInputMessage="1" showErrorMessage="1" sqref="B2:C6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J11" sqref="J11"/>
    </sheetView>
  </sheetViews>
  <sheetFormatPr baseColWidth="10" defaultColWidth="10.6640625" defaultRowHeight="15.5"/>
  <sheetData>
    <row r="1" spans="1:8" ht="25">
      <c r="B1" s="7" t="s">
        <v>25</v>
      </c>
    </row>
    <row r="4" spans="1:8">
      <c r="B4" s="3" t="s">
        <v>4</v>
      </c>
      <c r="C4" s="3" t="s">
        <v>5</v>
      </c>
      <c r="D4" s="3" t="s">
        <v>6</v>
      </c>
      <c r="E4" s="3" t="s">
        <v>7</v>
      </c>
      <c r="F4" s="3" t="s">
        <v>10</v>
      </c>
      <c r="G4" s="3" t="s">
        <v>8</v>
      </c>
      <c r="H4" s="3" t="s">
        <v>9</v>
      </c>
    </row>
    <row r="5" spans="1:8">
      <c r="A5" s="9">
        <v>0.16666666666666666</v>
      </c>
    </row>
    <row r="6" spans="1:8">
      <c r="A6" s="9">
        <v>0.1875</v>
      </c>
    </row>
    <row r="7" spans="1:8">
      <c r="A7" s="9">
        <v>0.20833333333333301</v>
      </c>
    </row>
    <row r="8" spans="1:8">
      <c r="A8" s="9">
        <v>0.22916666666666699</v>
      </c>
    </row>
    <row r="9" spans="1:8">
      <c r="A9" s="9">
        <v>0.25</v>
      </c>
    </row>
    <row r="10" spans="1:8">
      <c r="A10" s="9">
        <v>0.27083333333333398</v>
      </c>
    </row>
    <row r="11" spans="1:8">
      <c r="A11" s="9">
        <v>0.29166666666666702</v>
      </c>
    </row>
    <row r="12" spans="1:8">
      <c r="A12" s="9">
        <v>0.3125</v>
      </c>
    </row>
    <row r="13" spans="1:8">
      <c r="A13" s="9">
        <v>0.33333333333333398</v>
      </c>
    </row>
    <row r="14" spans="1:8">
      <c r="A14" s="9">
        <v>0.35416666666666702</v>
      </c>
    </row>
    <row r="15" spans="1:8">
      <c r="A15" s="9">
        <v>0.375</v>
      </c>
    </row>
    <row r="16" spans="1:8">
      <c r="A16" s="9">
        <v>0.39583333333333398</v>
      </c>
    </row>
    <row r="17" spans="1:1">
      <c r="A17" s="9">
        <v>0.41666666666666702</v>
      </c>
    </row>
    <row r="18" spans="1:1">
      <c r="A18" s="9">
        <v>0.4375</v>
      </c>
    </row>
    <row r="19" spans="1:1">
      <c r="A19" s="9">
        <v>0.45833333333333398</v>
      </c>
    </row>
    <row r="20" spans="1:1">
      <c r="A20" s="9">
        <v>0.47916666666666702</v>
      </c>
    </row>
    <row r="21" spans="1:1">
      <c r="A21" s="9">
        <v>0.5</v>
      </c>
    </row>
    <row r="22" spans="1:1">
      <c r="A22" s="9">
        <v>0.52083333333333404</v>
      </c>
    </row>
    <row r="23" spans="1:1">
      <c r="A23" s="9">
        <v>0.54166666666666696</v>
      </c>
    </row>
    <row r="24" spans="1:1">
      <c r="A24" s="9">
        <v>0.5625</v>
      </c>
    </row>
    <row r="25" spans="1:1">
      <c r="A25" s="9">
        <v>0.58333333333333404</v>
      </c>
    </row>
    <row r="26" spans="1:1">
      <c r="A26" s="9">
        <v>0.60416666666666696</v>
      </c>
    </row>
    <row r="27" spans="1:1">
      <c r="A27" s="9">
        <v>0.625000000000001</v>
      </c>
    </row>
    <row r="28" spans="1:1">
      <c r="A28" s="9">
        <v>0.64583333333333404</v>
      </c>
    </row>
    <row r="29" spans="1:1">
      <c r="A29" s="9">
        <v>0.66666666666666696</v>
      </c>
    </row>
    <row r="30" spans="1:1">
      <c r="A30" s="9">
        <v>0.687500000000001</v>
      </c>
    </row>
    <row r="31" spans="1:1">
      <c r="A31" s="9">
        <v>0.70833333333333404</v>
      </c>
    </row>
    <row r="32" spans="1:1">
      <c r="A32" s="9">
        <v>0.72916666666666696</v>
      </c>
    </row>
    <row r="33" spans="1:1">
      <c r="A33" s="9">
        <v>0.750000000000001</v>
      </c>
    </row>
    <row r="34" spans="1:1">
      <c r="A34" s="9">
        <v>0.77083333333333404</v>
      </c>
    </row>
    <row r="35" spans="1:1">
      <c r="A35" s="9">
        <v>0.79166666666666696</v>
      </c>
    </row>
    <row r="36" spans="1:1">
      <c r="A36" s="9">
        <v>0.812500000000001</v>
      </c>
    </row>
    <row r="37" spans="1:1">
      <c r="A37" s="9">
        <v>0.83333333333333404</v>
      </c>
    </row>
    <row r="38" spans="1:1">
      <c r="A38" s="9">
        <v>0.85416666666666696</v>
      </c>
    </row>
    <row r="39" spans="1:1">
      <c r="A39" s="9">
        <v>0.875000000000001</v>
      </c>
    </row>
    <row r="40" spans="1:1">
      <c r="A40" s="9">
        <v>0.89583333333333404</v>
      </c>
    </row>
    <row r="41" spans="1:1">
      <c r="A41" s="9">
        <v>0.91666666666666696</v>
      </c>
    </row>
    <row r="42" spans="1:1">
      <c r="A42" s="9">
        <v>0.937500000000001</v>
      </c>
    </row>
    <row r="43" spans="1:1">
      <c r="A43" s="9">
        <v>0.95833333333333404</v>
      </c>
    </row>
    <row r="44" spans="1:1">
      <c r="A44" s="9">
        <v>0.97916666666666696</v>
      </c>
    </row>
    <row r="45" spans="1:1">
      <c r="A45" s="9">
        <v>1</v>
      </c>
    </row>
    <row r="46" spans="1:1">
      <c r="A46" s="9">
        <v>1.0208333333333299</v>
      </c>
    </row>
    <row r="47" spans="1:1">
      <c r="A47" s="9">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Anleitung</vt:lpstr>
      <vt:lpstr>Semesterplan</vt:lpstr>
      <vt:lpstr>COMMITTMENT</vt:lpstr>
      <vt:lpstr>Wochenplan Vorlage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vmela</cp:lastModifiedBy>
  <dcterms:created xsi:type="dcterms:W3CDTF">2020-04-19T13:33:28Z</dcterms:created>
  <dcterms:modified xsi:type="dcterms:W3CDTF">2021-09-26T12:25:40Z</dcterms:modified>
</cp:coreProperties>
</file>