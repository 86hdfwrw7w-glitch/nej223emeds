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cdimo\Downloads\"/>
    </mc:Choice>
  </mc:AlternateContent>
  <xr:revisionPtr revIDLastSave="0" documentId="13_ncr:1_{64810427-FF50-4048-9D5E-2064F8380762}" xr6:coauthVersionLast="47" xr6:coauthVersionMax="47" xr10:uidLastSave="{00000000-0000-0000-0000-000000000000}"/>
  <bookViews>
    <workbookView xWindow="-108" yWindow="-108" windowWidth="23256" windowHeight="12576"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4" i="7" l="1"/>
  <c r="J54" i="7"/>
  <c r="I54" i="7"/>
  <c r="K53" i="7"/>
  <c r="J53" i="7"/>
  <c r="I53" i="7"/>
  <c r="K52" i="7"/>
  <c r="J52" i="7"/>
  <c r="I52" i="7"/>
  <c r="K51" i="7"/>
  <c r="J51" i="7"/>
  <c r="I51" i="7"/>
  <c r="K50" i="7"/>
  <c r="J50" i="7"/>
  <c r="I50" i="7"/>
  <c r="K49" i="7"/>
  <c r="J49" i="7"/>
  <c r="I49" i="7"/>
  <c r="K48" i="7"/>
  <c r="J48" i="7"/>
  <c r="I48" i="7"/>
  <c r="K47" i="7"/>
  <c r="J47" i="7"/>
  <c r="I47" i="7"/>
  <c r="K46" i="7"/>
  <c r="J46" i="7"/>
  <c r="I46" i="7"/>
  <c r="K45" i="7"/>
  <c r="J45" i="7"/>
  <c r="I45" i="7"/>
  <c r="K44" i="7"/>
  <c r="J44" i="7"/>
  <c r="I44" i="7"/>
  <c r="K43" i="7"/>
  <c r="J43" i="7"/>
  <c r="I43" i="7"/>
  <c r="I42" i="7" s="1"/>
  <c r="AW42" i="7"/>
  <c r="AP42" i="7"/>
  <c r="AI42" i="7"/>
  <c r="AB42" i="7"/>
  <c r="U42" i="7"/>
  <c r="N42" i="7"/>
  <c r="K42" i="7"/>
  <c r="J42" i="7"/>
  <c r="G42" i="7"/>
  <c r="AP19" i="7"/>
  <c r="AI19" i="7"/>
  <c r="AB19" i="7"/>
  <c r="U19" i="7"/>
  <c r="AW4" i="7"/>
  <c r="AP4" i="7"/>
  <c r="AI4" i="7"/>
  <c r="AB4" i="7"/>
  <c r="U4" i="7"/>
  <c r="N4" i="7"/>
  <c r="N19" i="7"/>
  <c r="G4" i="7"/>
  <c r="AP27" i="7"/>
  <c r="AI27" i="7"/>
  <c r="AB27" i="7"/>
  <c r="U27" i="7"/>
  <c r="I38" i="7"/>
  <c r="I37" i="7"/>
  <c r="I36" i="7"/>
  <c r="I35" i="7"/>
  <c r="I34" i="7"/>
  <c r="I33" i="7"/>
  <c r="I32" i="7"/>
  <c r="I31" i="7"/>
  <c r="I30" i="7"/>
  <c r="I29" i="7"/>
  <c r="I28" i="7"/>
  <c r="I25" i="7"/>
  <c r="I24" i="7"/>
  <c r="I23" i="7"/>
  <c r="I22" i="7"/>
  <c r="I21" i="7"/>
  <c r="I20" i="7"/>
  <c r="I16" i="7"/>
  <c r="I6" i="7"/>
  <c r="I7" i="7"/>
  <c r="I8" i="7"/>
  <c r="I9" i="7"/>
  <c r="I10" i="7"/>
  <c r="I11" i="7"/>
  <c r="I12" i="7"/>
  <c r="I13" i="7"/>
  <c r="I14" i="7"/>
  <c r="I15" i="7"/>
  <c r="I5" i="7"/>
  <c r="K38" i="7"/>
  <c r="J38" i="7"/>
  <c r="K37" i="7"/>
  <c r="J37" i="7"/>
  <c r="K36" i="7"/>
  <c r="J36" i="7"/>
  <c r="K35" i="7"/>
  <c r="J35" i="7"/>
  <c r="K34" i="7"/>
  <c r="J34" i="7"/>
  <c r="K33" i="7"/>
  <c r="J33" i="7"/>
  <c r="K32" i="7"/>
  <c r="J32" i="7"/>
  <c r="K31" i="7"/>
  <c r="J31" i="7"/>
  <c r="K30" i="7"/>
  <c r="J30" i="7"/>
  <c r="K29" i="7"/>
  <c r="J29" i="7"/>
  <c r="K28" i="7"/>
  <c r="J28" i="7"/>
  <c r="G27" i="7"/>
  <c r="J5" i="7"/>
  <c r="G19" i="7"/>
  <c r="K25" i="7"/>
  <c r="J25" i="7"/>
  <c r="K24" i="7"/>
  <c r="J24" i="7"/>
  <c r="K23" i="7"/>
  <c r="J23" i="7"/>
  <c r="K22" i="7"/>
  <c r="J22" i="7"/>
  <c r="K21" i="7"/>
  <c r="J21" i="7"/>
  <c r="K20" i="7"/>
  <c r="J20" i="7"/>
  <c r="K6" i="7"/>
  <c r="K7" i="7"/>
  <c r="K8" i="7"/>
  <c r="K9" i="7"/>
  <c r="K10" i="7"/>
  <c r="K11" i="7"/>
  <c r="K12" i="7"/>
  <c r="K13" i="7"/>
  <c r="K14" i="7"/>
  <c r="K15" i="7"/>
  <c r="K16" i="7"/>
  <c r="J6" i="7"/>
  <c r="J7" i="7"/>
  <c r="J8" i="7"/>
  <c r="J9" i="7"/>
  <c r="J10" i="7"/>
  <c r="J11" i="7"/>
  <c r="J12" i="7"/>
  <c r="J13" i="7"/>
  <c r="J14" i="7"/>
  <c r="J15" i="7"/>
  <c r="J16" i="7"/>
  <c r="K5" i="7"/>
  <c r="I27" i="7" l="1"/>
  <c r="J27" i="7"/>
  <c r="K27" i="7"/>
  <c r="I19" i="7"/>
  <c r="J19" i="7"/>
  <c r="K19" i="7"/>
  <c r="K4" i="7"/>
  <c r="I4" i="7" l="1"/>
  <c r="J4" i="7"/>
</calcChain>
</file>

<file path=xl/sharedStrings.xml><?xml version="1.0" encoding="utf-8"?>
<sst xmlns="http://schemas.openxmlformats.org/spreadsheetml/2006/main" count="331" uniqueCount="116">
  <si>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</si>
  <si>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</si>
  <si>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</si>
  <si>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</si>
  <si>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</si>
  <si>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</si>
  <si>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</si>
  <si>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</si>
  <si>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</si>
  <si>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</si>
  <si>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</si>
  <si>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</si>
  <si>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</si>
  <si>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</si>
  <si>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</si>
  <si>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</si>
  <si>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</si>
  <si>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</si>
  <si>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</si>
  <si>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</si>
  <si>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</si>
  <si>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</si>
  <si>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</si>
  <si>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</si>
  <si>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</si>
  <si>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</si>
  <si>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</si>
  <si>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</si>
  <si>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</si>
  <si>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</si>
  <si>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</si>
  <si>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</si>
  <si>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</si>
  <si>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</si>
  <si>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</si>
  <si>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</si>
  <si>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</si>
  <si>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</si>
  <si>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</si>
  <si>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</si>
  <si>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</si>
  <si>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</si>
  <si>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</si>
  <si>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</si>
  <si>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</si>
  <si>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</si>
  <si>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</si>
  <si>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</si>
  <si>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</si>
  <si>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Mikroökonomik</t>
  </si>
  <si>
    <t>8) Angebot</t>
  </si>
  <si>
    <t>9) Marktgleichgewicht</t>
  </si>
  <si>
    <t>10) Wohlfahrtstheoreme</t>
  </si>
  <si>
    <t>11) Monopol</t>
  </si>
  <si>
    <t>12) Steuern und Regulierung</t>
  </si>
  <si>
    <t>1) Einführung und Wohnungsmarkt</t>
  </si>
  <si>
    <t>2) Budgetrestriktionen</t>
  </si>
  <si>
    <t>3) Präferenzen und Nutzen</t>
  </si>
  <si>
    <t>4) Konsumentscheidung</t>
  </si>
  <si>
    <t>5) Nachfrage</t>
  </si>
  <si>
    <t>6) Technologie</t>
  </si>
  <si>
    <t>7) Kostenminimierung</t>
  </si>
  <si>
    <t>13) Spieltheorie</t>
  </si>
  <si>
    <t>KW 41</t>
  </si>
  <si>
    <t>KW 42</t>
  </si>
  <si>
    <t>KW 43</t>
  </si>
  <si>
    <t>KW 44</t>
  </si>
  <si>
    <t>KW 45</t>
  </si>
  <si>
    <t>KW 46</t>
  </si>
  <si>
    <t>KW 47</t>
  </si>
  <si>
    <t>KW 48</t>
  </si>
  <si>
    <t>KW 49</t>
  </si>
  <si>
    <t>KW 50</t>
  </si>
  <si>
    <t>KW 51</t>
  </si>
  <si>
    <t>KW 52</t>
  </si>
  <si>
    <t>KW 1</t>
  </si>
  <si>
    <t>KW 2</t>
  </si>
  <si>
    <t>KW 3</t>
  </si>
  <si>
    <t>KW 4</t>
  </si>
  <si>
    <t>KW 5</t>
  </si>
  <si>
    <t>KW 6</t>
  </si>
  <si>
    <t>KW 7</t>
  </si>
  <si>
    <t>Statistik</t>
  </si>
  <si>
    <t>1) Zufallsvorgänge und Wahrscheinlichkeiten</t>
  </si>
  <si>
    <t>2) Zufallsvariablen und Verteilungen</t>
  </si>
  <si>
    <t>3) Spezielle diskrete Verteilungen</t>
  </si>
  <si>
    <t>4) Spezielle stetige Verteilungen</t>
  </si>
  <si>
    <t>5) Gemeinsame Verteilungen</t>
  </si>
  <si>
    <t>6) Grenzwertsätze</t>
  </si>
  <si>
    <t>7) Stichproben und Statistiken</t>
  </si>
  <si>
    <t>8) Punktschätzung</t>
  </si>
  <si>
    <t>9) Intervallschätzung</t>
  </si>
  <si>
    <t>10) Hypothesentests</t>
  </si>
  <si>
    <t>11) Lineare Regression</t>
  </si>
  <si>
    <t>BuE</t>
  </si>
  <si>
    <t>1) Bilanz- und Erfolgsrechnung als Teil des betrieblichen Rechnungswesens</t>
  </si>
  <si>
    <t>2) Die Rechnungslegung im Spiegel der dogmengeschichtlichen Entwicklung</t>
  </si>
  <si>
    <t xml:space="preserve">3) Die Bilanz (der Jahresabschluss) im Rechtssinne </t>
  </si>
  <si>
    <t>4) Ansatznormen nach HGB</t>
  </si>
  <si>
    <t>5) Bewertungsnormen nach HGB</t>
  </si>
  <si>
    <t>6) Grundlagen der Konzernrechnungslegung</t>
  </si>
  <si>
    <t>Ethik</t>
  </si>
  <si>
    <t>1) Eröffnungsveranstaltung</t>
  </si>
  <si>
    <t>2) Ethisch normative Grundlagen I</t>
  </si>
  <si>
    <t>3) Ethisch normative Grundlagen II</t>
  </si>
  <si>
    <t>4) Moralpsychologische Grundlagen: Moral und Intuition</t>
  </si>
  <si>
    <t>5) Wirtschaftsethik: Moral und Märkte</t>
  </si>
  <si>
    <t>6) Compliance, CSR, Sustainability</t>
  </si>
  <si>
    <t>7) Compliance (Gastvortrag)</t>
  </si>
  <si>
    <t>8) Sustainability (Gastvortrag)</t>
  </si>
  <si>
    <t>9) CSR</t>
  </si>
  <si>
    <t>10) Investitionen und Finanzierung</t>
  </si>
  <si>
    <t>11) Accounting</t>
  </si>
  <si>
    <t>12) Corporate Development</t>
  </si>
  <si>
    <t>13) Marketing</t>
  </si>
  <si>
    <t>14) 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</si>
</sst>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50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35</v>
      </c>
    </row>
    <row r="12" spans="2:2">
      <c r="B12" s="3" t="s">
        <v>17</v>
      </c>
    </row>
    <row r="13" spans="2:2" ht="140.4">
      <c r="B13" s="1" t="s">
        <v>18</v>
      </c>
    </row>
    <row r="15" spans="2:2">
      <c r="B15" s="3" t="s">
        <v>19</v>
      </c>
    </row>
    <row r="16" spans="2:2" ht="109.2">
      <c r="B16" s="1" t="s">
        <v>20</v>
      </c>
    </row>
    <row r="17" spans="2:2">
      <c r="B17" s="1"/>
    </row>
    <row r="18" spans="2:2">
      <c r="B18" s="3" t="s">
        <v>34</v>
      </c>
    </row>
    <row r="19" spans="2:2" ht="140.4">
      <c r="B19" s="1" t="s">
        <v>36</v>
      </c>
    </row>
    <row r="21" spans="2:2">
      <c r="B21" s="3" t="s">
        <v>21</v>
      </c>
    </row>
    <row r="22" spans="2:2" ht="124.8">
      <c r="B22" s="1" t="s">
        <v>37</v>
      </c>
    </row>
    <row r="24" spans="2:2">
      <c r="B24" s="3" t="s">
        <v>22</v>
      </c>
    </row>
    <row r="25" spans="2:2" ht="124.8">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56"/>
  <sheetViews>
    <sheetView showGridLines="0" tabSelected="1" topLeftCell="M19" zoomScale="62" zoomScaleNormal="62" workbookViewId="0">
      <selection activeCell="CC11" sqref="A11:XFD11"/>
    </sheetView>
  </sheetViews>
  <sheetFormatPr baseColWidth="10" defaultColWidth="8.796875" defaultRowHeight="15.6" outlineLevelRow="1"/>
  <cols>
    <col min="3" max="3" width="9.5" bestFit="1" customWidth="1"/>
    <col min="4" max="4" width="13" bestFit="1" customWidth="1"/>
    <col min="5" max="5" width="4.796875" bestFit="1" customWidth="1"/>
    <col min="6" max="6" width="78.59765625"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4.796875" customWidth="1"/>
    <col min="71" max="71" width="12.5" bestFit="1" customWidth="1"/>
    <col min="72" max="72" width="6.296875" customWidth="1"/>
    <col min="73" max="73" width="14.796875" bestFit="1" customWidth="1"/>
    <col min="74" max="74" width="6" customWidth="1"/>
    <col min="75" max="75" width="12.69921875" bestFit="1" customWidth="1"/>
    <col min="76" max="76" width="5.19921875" customWidth="1"/>
    <col min="78" max="78" width="12.5" bestFit="1" customWidth="1"/>
    <col min="79" max="79" width="6.296875" customWidth="1"/>
    <col min="80" max="80" width="14.796875" bestFit="1" customWidth="1"/>
    <col min="81" max="81" width="6" customWidth="1"/>
    <col min="82" max="82" width="12.69921875" bestFit="1" customWidth="1"/>
    <col min="85" max="85" width="12.5" bestFit="1" customWidth="1"/>
    <col min="86" max="86" width="6.296875" customWidth="1"/>
    <col min="87" max="87" width="14.796875" bestFit="1" customWidth="1"/>
    <col min="88" max="88" width="6" customWidth="1"/>
    <col min="89" max="89" width="12.69921875" bestFit="1" customWidth="1"/>
    <col min="92" max="92" width="12.5" bestFit="1" customWidth="1"/>
    <col min="93" max="93" width="6.296875" customWidth="1"/>
    <col min="94" max="94" width="14.796875" bestFit="1" customWidth="1"/>
    <col min="95" max="95" width="6" customWidth="1"/>
    <col min="96" max="96" width="12.69921875" bestFit="1" customWidth="1"/>
    <col min="99" max="99" width="12.5" bestFit="1" customWidth="1"/>
    <col min="100" max="100" width="6.296875" customWidth="1"/>
    <col min="101" max="101" width="14.796875" bestFit="1" customWidth="1"/>
    <col min="102" max="102" width="6" customWidth="1"/>
    <col min="103" max="103" width="12.69921875" bestFit="1" customWidth="1"/>
    <col min="106" max="106" width="12.5" bestFit="1" customWidth="1"/>
    <col min="107" max="107" width="6.296875" customWidth="1"/>
    <col min="108" max="108" width="14.796875" bestFit="1" customWidth="1"/>
    <col min="109" max="109" width="6" customWidth="1"/>
    <col min="110" max="110" width="12.69921875" bestFit="1" customWidth="1"/>
    <col min="113" max="113" width="12.5" bestFit="1" customWidth="1"/>
    <col min="114" max="114" width="6.296875" customWidth="1"/>
    <col min="115" max="115" width="14.796875" bestFit="1" customWidth="1"/>
    <col min="116" max="116" width="6" customWidth="1"/>
    <col min="117" max="117" width="12.69921875" bestFit="1" customWidth="1"/>
    <col min="120" max="120" width="12.5" bestFit="1" customWidth="1"/>
    <col min="121" max="121" width="6.296875" customWidth="1"/>
    <col min="122" max="122" width="14.796875" bestFit="1" customWidth="1"/>
    <col min="123" max="123" width="6" customWidth="1"/>
    <col min="124" max="124" width="12.69921875" bestFit="1" customWidth="1"/>
    <col min="127" max="127" width="12.5" bestFit="1" customWidth="1"/>
    <col min="128" max="128" width="6.296875" customWidth="1"/>
    <col min="129" max="129" width="14.796875" bestFit="1" customWidth="1"/>
    <col min="130" max="130" width="6" customWidth="1"/>
    <col min="131" max="131" width="12.69921875" bestFit="1" customWidth="1"/>
    <col min="134" max="134" width="12.5" bestFit="1" customWidth="1"/>
    <col min="135" max="135" width="6.296875" customWidth="1"/>
    <col min="136" max="136" width="14.796875" bestFit="1" customWidth="1"/>
    <col min="137" max="137" width="6" customWidth="1"/>
    <col min="138" max="138" width="12.69921875" bestFit="1" customWidth="1"/>
    <col min="141" max="141" width="12.5" bestFit="1" customWidth="1"/>
    <col min="142" max="142" width="6.296875" customWidth="1"/>
    <col min="143" max="143" width="14.796875" bestFit="1" customWidth="1"/>
    <col min="144" max="144" width="6" customWidth="1"/>
    <col min="145" max="145" width="12.69921875" bestFit="1" customWidth="1"/>
  </cols>
  <sheetData>
    <row r="1" spans="2:145" ht="33.6">
      <c r="B1" s="5" t="s">
        <v>0</v>
      </c>
      <c r="D1" s="5"/>
      <c r="G1" s="15" t="s">
        <v>33</v>
      </c>
      <c r="I1" s="15" t="s">
        <v>33</v>
      </c>
      <c r="J1" s="15" t="s">
        <v>33</v>
      </c>
      <c r="K1" s="15" t="s">
        <v>33</v>
      </c>
    </row>
    <row r="2" spans="2:145">
      <c r="I2" s="19" t="s">
        <v>27</v>
      </c>
      <c r="J2" s="19"/>
      <c r="K2" s="19"/>
      <c r="L2" s="19"/>
      <c r="N2" s="19" t="s">
        <v>63</v>
      </c>
      <c r="O2" s="19"/>
      <c r="P2" s="19"/>
      <c r="Q2" s="19"/>
      <c r="R2" s="19"/>
      <c r="S2" s="19"/>
      <c r="U2" s="19" t="s">
        <v>64</v>
      </c>
      <c r="V2" s="19"/>
      <c r="W2" s="19"/>
      <c r="X2" s="19"/>
      <c r="Y2" s="19"/>
      <c r="Z2" s="19"/>
      <c r="AB2" s="19" t="s">
        <v>65</v>
      </c>
      <c r="AC2" s="19"/>
      <c r="AD2" s="19"/>
      <c r="AE2" s="19"/>
      <c r="AF2" s="19"/>
      <c r="AG2" s="19"/>
      <c r="AI2" s="19" t="s">
        <v>66</v>
      </c>
      <c r="AJ2" s="19"/>
      <c r="AK2" s="19"/>
      <c r="AL2" s="19"/>
      <c r="AM2" s="19"/>
      <c r="AN2" s="19"/>
      <c r="AP2" s="19" t="s">
        <v>67</v>
      </c>
      <c r="AQ2" s="19"/>
      <c r="AR2" s="19"/>
      <c r="AS2" s="19"/>
      <c r="AT2" s="19"/>
      <c r="AU2" s="19"/>
      <c r="AW2" s="19" t="s">
        <v>68</v>
      </c>
      <c r="AX2" s="19"/>
      <c r="AY2" s="19"/>
      <c r="AZ2" s="19"/>
      <c r="BA2" s="19"/>
      <c r="BB2" s="19"/>
      <c r="BD2" s="19" t="s">
        <v>69</v>
      </c>
      <c r="BE2" s="19"/>
      <c r="BF2" s="19"/>
      <c r="BG2" s="19"/>
      <c r="BH2" s="19"/>
      <c r="BI2" s="19"/>
      <c r="BK2" s="19" t="s">
        <v>70</v>
      </c>
      <c r="BL2" s="19"/>
      <c r="BM2" s="19"/>
      <c r="BN2" s="19"/>
      <c r="BO2" s="19"/>
      <c r="BP2" s="19"/>
      <c r="BR2" s="19" t="s">
        <v>71</v>
      </c>
      <c r="BS2" s="19"/>
      <c r="BT2" s="19"/>
      <c r="BU2" s="19"/>
      <c r="BV2" s="19"/>
      <c r="BW2" s="19"/>
      <c r="BY2" s="19" t="s">
        <v>72</v>
      </c>
      <c r="BZ2" s="19"/>
      <c r="CA2" s="19"/>
      <c r="CB2" s="19"/>
      <c r="CC2" s="19"/>
      <c r="CD2" s="19"/>
      <c r="CF2" s="19" t="s">
        <v>73</v>
      </c>
      <c r="CG2" s="19"/>
      <c r="CH2" s="19"/>
      <c r="CI2" s="19"/>
      <c r="CJ2" s="19"/>
      <c r="CK2" s="19"/>
      <c r="CM2" s="19" t="s">
        <v>74</v>
      </c>
      <c r="CN2" s="19"/>
      <c r="CO2" s="19"/>
      <c r="CP2" s="19"/>
      <c r="CQ2" s="19"/>
      <c r="CR2" s="19"/>
      <c r="CT2" s="19" t="s">
        <v>75</v>
      </c>
      <c r="CU2" s="19"/>
      <c r="CV2" s="19"/>
      <c r="CW2" s="19"/>
      <c r="CX2" s="19"/>
      <c r="CY2" s="19"/>
      <c r="DA2" s="19" t="s">
        <v>76</v>
      </c>
      <c r="DB2" s="19"/>
      <c r="DC2" s="19"/>
      <c r="DD2" s="19"/>
      <c r="DE2" s="19"/>
      <c r="DF2" s="19"/>
      <c r="DH2" s="19" t="s">
        <v>77</v>
      </c>
      <c r="DI2" s="19"/>
      <c r="DJ2" s="19"/>
      <c r="DK2" s="19"/>
      <c r="DL2" s="19"/>
      <c r="DM2" s="19"/>
      <c r="DO2" s="19" t="s">
        <v>78</v>
      </c>
      <c r="DP2" s="19"/>
      <c r="DQ2" s="19"/>
      <c r="DR2" s="19"/>
      <c r="DS2" s="19"/>
      <c r="DT2" s="19"/>
      <c r="DV2" s="19" t="s">
        <v>79</v>
      </c>
      <c r="DW2" s="19"/>
      <c r="DX2" s="19"/>
      <c r="DY2" s="19"/>
      <c r="DZ2" s="19"/>
      <c r="EA2" s="19"/>
      <c r="EC2" s="19" t="s">
        <v>80</v>
      </c>
      <c r="ED2" s="19"/>
      <c r="EE2" s="19"/>
      <c r="EF2" s="19"/>
      <c r="EG2" s="19"/>
      <c r="EH2" s="19"/>
      <c r="EJ2" s="19" t="s">
        <v>81</v>
      </c>
      <c r="EK2" s="19"/>
      <c r="EL2" s="19"/>
      <c r="EM2" s="19"/>
      <c r="EN2" s="19"/>
      <c r="EO2" s="19"/>
    </row>
    <row r="3" spans="2:14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row>
    <row r="4" spans="2:145">
      <c r="B4" t="s">
        <v>27</v>
      </c>
      <c r="C4" t="s">
        <v>49</v>
      </c>
      <c r="E4" s="11">
        <v>9</v>
      </c>
      <c r="G4" s="12">
        <f>+SUM(G5:G16)</f>
        <v>0.86999999999999988</v>
      </c>
      <c r="I4" s="14">
        <f>+SUM(I5:I16)</f>
        <v>0</v>
      </c>
      <c r="J4" s="13" t="e">
        <f>+SUMPRODUCT(G5:G16,J5:J16)</f>
        <v>#VALUE!</v>
      </c>
      <c r="K4" s="13" t="e">
        <f>+SUMPRODUCT(G5:G16,K5:K16)</f>
        <v>#VALUE!</v>
      </c>
      <c r="L4" s="11"/>
      <c r="N4" s="14">
        <f>+SUM(N5:N16)</f>
        <v>0</v>
      </c>
      <c r="U4" s="14">
        <f>+SUM(U5:U16)</f>
        <v>0</v>
      </c>
      <c r="AB4" s="14">
        <f>+SUM(AB5:AB16)</f>
        <v>0</v>
      </c>
      <c r="AI4" s="14">
        <f>+SUM(AI5:AI16)</f>
        <v>0</v>
      </c>
      <c r="AP4" s="14">
        <f>+SUM(AP5:AP16)</f>
        <v>0</v>
      </c>
      <c r="AW4" s="14">
        <f>+SUM(AW5:AW16)</f>
        <v>0</v>
      </c>
      <c r="BD4" s="14"/>
      <c r="BK4" s="14"/>
      <c r="BR4" s="14"/>
      <c r="BY4" s="14"/>
      <c r="CF4" s="14"/>
      <c r="CM4" s="14"/>
      <c r="CT4" s="14"/>
      <c r="DA4" s="14"/>
      <c r="DH4" s="14"/>
      <c r="DO4" s="14"/>
      <c r="DV4" s="14"/>
      <c r="EC4" s="14"/>
      <c r="EJ4" s="14"/>
    </row>
    <row r="5" spans="2:145" outlineLevel="1">
      <c r="B5" t="s">
        <v>28</v>
      </c>
      <c r="C5" t="s">
        <v>49</v>
      </c>
      <c r="E5" s="11"/>
      <c r="F5" t="s">
        <v>55</v>
      </c>
      <c r="G5" s="12">
        <v>0.08</v>
      </c>
      <c r="H5" s="11"/>
      <c r="I5" s="11">
        <f>+SUMIF($N$3:$UQ$3,I$3,$N5:$ZN5)</f>
        <v>0</v>
      </c>
      <c r="J5" s="13" t="e">
        <f t="shared" ref="J5:K7" si="0">+_xlfn.MAXIFS($N5:$YT5,$N$3:$TW$3,J$3)</f>
        <v>#VALUE!</v>
      </c>
      <c r="K5" s="13" t="e">
        <f t="shared" si="0"/>
        <v>#VALUE!</v>
      </c>
      <c r="L5" s="11"/>
      <c r="O5" s="12">
        <v>0.8</v>
      </c>
      <c r="P5" s="12">
        <v>0.8</v>
      </c>
      <c r="Q5" s="12">
        <v>0.8</v>
      </c>
      <c r="R5" s="12">
        <v>0.8</v>
      </c>
      <c r="V5" s="12"/>
      <c r="W5" s="12">
        <v>0.8</v>
      </c>
      <c r="X5" s="12"/>
      <c r="Y5" s="12">
        <v>0.8</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v>1</v>
      </c>
      <c r="DR5" s="12"/>
      <c r="DS5" s="12">
        <v>1</v>
      </c>
      <c r="DW5" s="12"/>
      <c r="DX5" s="12">
        <v>1</v>
      </c>
      <c r="DY5" s="12"/>
      <c r="DZ5" s="12">
        <v>1</v>
      </c>
      <c r="ED5" s="12"/>
      <c r="EE5" s="12">
        <v>1</v>
      </c>
      <c r="EF5" s="12"/>
      <c r="EG5" s="12">
        <v>1</v>
      </c>
      <c r="EK5" s="12"/>
      <c r="EL5" s="12">
        <v>1</v>
      </c>
      <c r="EM5" s="12"/>
      <c r="EN5" s="12">
        <v>1</v>
      </c>
    </row>
    <row r="6" spans="2:145" outlineLevel="1">
      <c r="B6" t="s">
        <v>28</v>
      </c>
      <c r="C6" t="s">
        <v>49</v>
      </c>
      <c r="E6" s="11"/>
      <c r="F6" t="s">
        <v>56</v>
      </c>
      <c r="G6" s="12">
        <v>0.04</v>
      </c>
      <c r="H6" s="11"/>
      <c r="I6" s="11">
        <f>+SUMIF($N$3:$UQ$3,I$3,$N6:$ZN6)</f>
        <v>0</v>
      </c>
      <c r="J6" s="13" t="e">
        <f t="shared" si="0"/>
        <v>#VALUE!</v>
      </c>
      <c r="K6" s="13" t="e">
        <f t="shared" si="0"/>
        <v>#VALUE!</v>
      </c>
      <c r="L6" s="11"/>
      <c r="O6" s="12"/>
      <c r="P6" s="12"/>
      <c r="Q6" s="12"/>
      <c r="R6" s="12"/>
      <c r="V6" s="12"/>
      <c r="W6" s="12">
        <v>0.8</v>
      </c>
      <c r="X6" s="12"/>
      <c r="Y6" s="12">
        <v>0.8</v>
      </c>
      <c r="AC6" s="12"/>
      <c r="AD6" s="12">
        <v>0.8</v>
      </c>
      <c r="AE6" s="12"/>
      <c r="AF6" s="12">
        <v>0.8</v>
      </c>
      <c r="AJ6" s="12"/>
      <c r="AK6" s="12">
        <v>0.8</v>
      </c>
      <c r="AL6" s="12"/>
      <c r="AM6" s="12">
        <v>0.8</v>
      </c>
      <c r="AQ6" s="12"/>
      <c r="AR6" s="12">
        <v>0.8</v>
      </c>
      <c r="AS6" s="12"/>
      <c r="AT6" s="12">
        <v>0.8</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P6" s="12"/>
      <c r="DQ6" s="12">
        <v>1</v>
      </c>
      <c r="DR6" s="12"/>
      <c r="DS6" s="12">
        <v>1</v>
      </c>
      <c r="DW6" s="12"/>
      <c r="DX6" s="12">
        <v>1</v>
      </c>
      <c r="DY6" s="12"/>
      <c r="DZ6" s="12">
        <v>1</v>
      </c>
      <c r="ED6" s="12"/>
      <c r="EE6" s="12">
        <v>1</v>
      </c>
      <c r="EF6" s="12"/>
      <c r="EG6" s="12">
        <v>1</v>
      </c>
      <c r="EK6" s="12"/>
      <c r="EL6" s="12">
        <v>1</v>
      </c>
      <c r="EM6" s="12"/>
      <c r="EN6" s="12">
        <v>1</v>
      </c>
    </row>
    <row r="7" spans="2:145" outlineLevel="1">
      <c r="B7" t="s">
        <v>28</v>
      </c>
      <c r="C7" t="s">
        <v>49</v>
      </c>
      <c r="E7" s="11"/>
      <c r="F7" t="s">
        <v>57</v>
      </c>
      <c r="G7" s="12">
        <v>0.08</v>
      </c>
      <c r="H7" s="11"/>
      <c r="I7" s="11">
        <f>+SUMIF($N$3:$UQ$3,I$3,$N7:$ZN7)</f>
        <v>0</v>
      </c>
      <c r="J7" s="13" t="e">
        <f t="shared" si="0"/>
        <v>#VALUE!</v>
      </c>
      <c r="K7" s="13" t="e">
        <f t="shared" si="0"/>
        <v>#VALUE!</v>
      </c>
      <c r="L7" s="11"/>
      <c r="O7" s="12"/>
      <c r="P7" s="12"/>
      <c r="Q7" s="12"/>
      <c r="R7" s="12"/>
      <c r="V7" s="12"/>
      <c r="W7" s="12"/>
      <c r="X7" s="12"/>
      <c r="Y7" s="12"/>
      <c r="AC7" s="12"/>
      <c r="AD7" s="12">
        <v>0.8</v>
      </c>
      <c r="AE7" s="12"/>
      <c r="AF7" s="12">
        <v>0.8</v>
      </c>
      <c r="AJ7" s="12"/>
      <c r="AK7" s="12">
        <v>0.8</v>
      </c>
      <c r="AL7" s="12"/>
      <c r="AM7" s="12">
        <v>0.8</v>
      </c>
      <c r="AQ7" s="12"/>
      <c r="AR7" s="12">
        <v>0.8</v>
      </c>
      <c r="AS7" s="12"/>
      <c r="AT7" s="12">
        <v>0.8</v>
      </c>
      <c r="AX7" s="12"/>
      <c r="AY7" s="12">
        <v>0.8</v>
      </c>
      <c r="AZ7" s="12"/>
      <c r="BA7" s="12">
        <v>0.8</v>
      </c>
      <c r="BE7" s="12"/>
      <c r="BF7" s="12">
        <v>0.8</v>
      </c>
      <c r="BG7" s="12"/>
      <c r="BH7" s="12">
        <v>0.8</v>
      </c>
      <c r="BL7" s="12"/>
      <c r="BM7" s="12">
        <v>0.8</v>
      </c>
      <c r="BN7" s="12"/>
      <c r="BO7" s="12">
        <v>0.8</v>
      </c>
      <c r="BS7" s="12"/>
      <c r="BT7" s="12">
        <v>1</v>
      </c>
      <c r="BU7" s="12"/>
      <c r="BV7" s="12">
        <v>1</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P7" s="12"/>
      <c r="DQ7" s="12">
        <v>1</v>
      </c>
      <c r="DR7" s="12"/>
      <c r="DS7" s="12">
        <v>1</v>
      </c>
      <c r="DW7" s="12"/>
      <c r="DX7" s="12">
        <v>1</v>
      </c>
      <c r="DY7" s="12"/>
      <c r="DZ7" s="12">
        <v>1</v>
      </c>
      <c r="ED7" s="12"/>
      <c r="EE7" s="12">
        <v>1</v>
      </c>
      <c r="EF7" s="12"/>
      <c r="EG7" s="12">
        <v>1</v>
      </c>
      <c r="EK7" s="12"/>
      <c r="EL7" s="12">
        <v>1</v>
      </c>
      <c r="EM7" s="12"/>
      <c r="EN7" s="12">
        <v>1</v>
      </c>
    </row>
    <row r="8" spans="2:145" outlineLevel="1">
      <c r="B8" t="s">
        <v>28</v>
      </c>
      <c r="C8" t="s">
        <v>49</v>
      </c>
      <c r="E8" s="11"/>
      <c r="F8" t="s">
        <v>58</v>
      </c>
      <c r="G8" s="12">
        <v>0.05</v>
      </c>
      <c r="H8" s="11"/>
      <c r="I8" s="11">
        <f t="shared" ref="I8:I16" si="1">+SUMIF($N$3:$UQ$3,I$3,$N8:$ZT8)</f>
        <v>0</v>
      </c>
      <c r="J8" s="13" t="e">
        <f t="shared" ref="J8:K16" si="2">+_xlfn.MAXIFS($N8:$YZ8,$N$3:$TW$3,J$3)</f>
        <v>#VALUE!</v>
      </c>
      <c r="K8" s="13" t="e">
        <f t="shared" si="2"/>
        <v>#VALUE!</v>
      </c>
      <c r="L8" s="11"/>
      <c r="O8" s="12"/>
      <c r="P8" s="12"/>
      <c r="Q8" s="12"/>
      <c r="R8" s="12"/>
      <c r="V8" s="12"/>
      <c r="W8" s="12"/>
      <c r="X8" s="12"/>
      <c r="Y8" s="12"/>
      <c r="AC8" s="12"/>
      <c r="AD8" s="12"/>
      <c r="AE8" s="12"/>
      <c r="AF8" s="12"/>
      <c r="AJ8" s="12"/>
      <c r="AK8" s="12">
        <v>0.8</v>
      </c>
      <c r="AL8" s="12"/>
      <c r="AM8" s="12">
        <v>0.8</v>
      </c>
      <c r="AQ8" s="12"/>
      <c r="AR8" s="12">
        <v>0.8</v>
      </c>
      <c r="AS8" s="12"/>
      <c r="AT8" s="12">
        <v>0.8</v>
      </c>
      <c r="AX8" s="12"/>
      <c r="AY8" s="12">
        <v>0.8</v>
      </c>
      <c r="AZ8" s="12"/>
      <c r="BA8" s="12">
        <v>0.8</v>
      </c>
      <c r="BE8" s="12"/>
      <c r="BF8" s="12">
        <v>0.8</v>
      </c>
      <c r="BG8" s="12"/>
      <c r="BH8" s="12">
        <v>0.8</v>
      </c>
      <c r="BL8" s="12"/>
      <c r="BM8" s="12">
        <v>0.8</v>
      </c>
      <c r="BN8" s="12"/>
      <c r="BO8" s="12">
        <v>0.8</v>
      </c>
      <c r="BS8" s="12"/>
      <c r="BT8" s="12">
        <v>0.8</v>
      </c>
      <c r="BU8" s="12"/>
      <c r="BV8" s="12">
        <v>0.8</v>
      </c>
      <c r="BZ8" s="12"/>
      <c r="CA8" s="12">
        <v>0.8</v>
      </c>
      <c r="CB8" s="12"/>
      <c r="CC8" s="12">
        <v>0.8</v>
      </c>
      <c r="CG8" s="12"/>
      <c r="CH8" s="12">
        <v>0.8</v>
      </c>
      <c r="CI8" s="12"/>
      <c r="CJ8" s="12">
        <v>0.8</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W8" s="12"/>
      <c r="DX8" s="12">
        <v>1</v>
      </c>
      <c r="DY8" s="12"/>
      <c r="DZ8" s="12">
        <v>1</v>
      </c>
      <c r="ED8" s="12"/>
      <c r="EE8" s="12">
        <v>1</v>
      </c>
      <c r="EF8" s="12"/>
      <c r="EG8" s="12">
        <v>1</v>
      </c>
      <c r="EK8" s="12"/>
      <c r="EL8" s="12">
        <v>1</v>
      </c>
      <c r="EM8" s="12"/>
      <c r="EN8" s="12">
        <v>1</v>
      </c>
    </row>
    <row r="9" spans="2:145" ht="14.4" customHeight="1" outlineLevel="1">
      <c r="B9" t="s">
        <v>28</v>
      </c>
      <c r="C9" t="s">
        <v>49</v>
      </c>
      <c r="E9" s="11"/>
      <c r="F9" t="s">
        <v>59</v>
      </c>
      <c r="G9" s="12">
        <v>0.14000000000000001</v>
      </c>
      <c r="H9" s="11"/>
      <c r="I9" s="11">
        <f t="shared" si="1"/>
        <v>0</v>
      </c>
      <c r="J9" s="13" t="e">
        <f t="shared" si="2"/>
        <v>#VALUE!</v>
      </c>
      <c r="K9" s="13" t="e">
        <f t="shared" si="2"/>
        <v>#VALUE!</v>
      </c>
      <c r="L9" s="11"/>
      <c r="O9" s="12"/>
      <c r="P9" s="12"/>
      <c r="Q9" s="12"/>
      <c r="R9" s="12"/>
      <c r="V9" s="12"/>
      <c r="W9" s="12"/>
      <c r="X9" s="12"/>
      <c r="Y9" s="12"/>
      <c r="AC9" s="12"/>
      <c r="AD9" s="12"/>
      <c r="AE9" s="12"/>
      <c r="AF9" s="12"/>
      <c r="AJ9" s="12"/>
      <c r="AK9" s="12"/>
      <c r="AL9" s="12"/>
      <c r="AM9" s="12"/>
      <c r="AQ9" s="12"/>
      <c r="AR9" s="12">
        <v>0.8</v>
      </c>
      <c r="AS9" s="12"/>
      <c r="AT9" s="12">
        <v>0.8</v>
      </c>
      <c r="AX9" s="12"/>
      <c r="AY9" s="12">
        <v>0.8</v>
      </c>
      <c r="AZ9" s="12"/>
      <c r="BA9" s="12">
        <v>0.8</v>
      </c>
      <c r="BE9" s="12"/>
      <c r="BF9" s="12">
        <v>0.8</v>
      </c>
      <c r="BG9" s="12"/>
      <c r="BH9" s="12">
        <v>0.8</v>
      </c>
      <c r="BL9" s="12"/>
      <c r="BM9" s="12">
        <v>0.8</v>
      </c>
      <c r="BN9" s="12"/>
      <c r="BO9" s="12">
        <v>0.8</v>
      </c>
      <c r="BS9" s="12"/>
      <c r="BT9" s="12">
        <v>0.8</v>
      </c>
      <c r="BU9" s="12"/>
      <c r="BV9" s="12">
        <v>0.8</v>
      </c>
      <c r="BZ9" s="12"/>
      <c r="CA9" s="12">
        <v>0.8</v>
      </c>
      <c r="CB9" s="12"/>
      <c r="CC9" s="12">
        <v>0.8</v>
      </c>
      <c r="CG9" s="12"/>
      <c r="CH9" s="12">
        <v>0.8</v>
      </c>
      <c r="CI9" s="12"/>
      <c r="CJ9" s="12">
        <v>0.8</v>
      </c>
      <c r="CN9" s="12"/>
      <c r="CO9" s="12">
        <v>0.8</v>
      </c>
      <c r="CP9" s="12"/>
      <c r="CQ9" s="12">
        <v>0.8</v>
      </c>
      <c r="CU9" s="12"/>
      <c r="CV9" s="12">
        <v>0.8</v>
      </c>
      <c r="CW9" s="12"/>
      <c r="CX9" s="12">
        <v>0.8</v>
      </c>
      <c r="DB9" s="12"/>
      <c r="DC9" s="12">
        <v>1</v>
      </c>
      <c r="DD9" s="12"/>
      <c r="DE9" s="12">
        <v>1</v>
      </c>
      <c r="DI9" s="12"/>
      <c r="DJ9" s="12">
        <v>1</v>
      </c>
      <c r="DK9" s="12"/>
      <c r="DL9" s="12">
        <v>1</v>
      </c>
      <c r="DP9" s="12"/>
      <c r="DQ9" s="12">
        <v>1</v>
      </c>
      <c r="DR9" s="12"/>
      <c r="DS9" s="12">
        <v>1</v>
      </c>
      <c r="DW9" s="12"/>
      <c r="DX9" s="12">
        <v>1</v>
      </c>
      <c r="DY9" s="12"/>
      <c r="DZ9" s="12">
        <v>1</v>
      </c>
      <c r="ED9" s="12"/>
      <c r="EE9" s="12">
        <v>1</v>
      </c>
      <c r="EF9" s="12"/>
      <c r="EG9" s="12">
        <v>1</v>
      </c>
      <c r="EK9" s="12"/>
      <c r="EL9" s="12">
        <v>1</v>
      </c>
      <c r="EM9" s="12"/>
      <c r="EN9" s="12">
        <v>1</v>
      </c>
    </row>
    <row r="10" spans="2:145" outlineLevel="1">
      <c r="B10" t="s">
        <v>28</v>
      </c>
      <c r="C10" t="s">
        <v>49</v>
      </c>
      <c r="E10" s="11"/>
      <c r="F10" t="s">
        <v>60</v>
      </c>
      <c r="G10" s="12">
        <v>7.0000000000000007E-2</v>
      </c>
      <c r="H10" s="11"/>
      <c r="I10" s="11">
        <f t="shared" si="1"/>
        <v>0</v>
      </c>
      <c r="J10" s="13" t="e">
        <f t="shared" si="2"/>
        <v>#VALUE!</v>
      </c>
      <c r="K10" s="13" t="e">
        <f t="shared" si="2"/>
        <v>#VALUE!</v>
      </c>
      <c r="L10" s="11"/>
      <c r="O10" s="12"/>
      <c r="P10" s="12"/>
      <c r="Q10" s="12"/>
      <c r="R10" s="12"/>
      <c r="V10" s="12"/>
      <c r="W10" s="12"/>
      <c r="X10" s="12"/>
      <c r="Y10" s="12"/>
      <c r="AC10" s="12"/>
      <c r="AD10" s="12"/>
      <c r="AE10" s="12"/>
      <c r="AF10" s="12"/>
      <c r="AJ10" s="12"/>
      <c r="AK10" s="12"/>
      <c r="AL10" s="12"/>
      <c r="AM10" s="12"/>
      <c r="AQ10" s="12"/>
      <c r="AR10" s="12"/>
      <c r="AS10" s="12"/>
      <c r="AT10" s="12"/>
      <c r="AX10" s="12"/>
      <c r="AY10" s="12">
        <v>0.8</v>
      </c>
      <c r="AZ10" s="12"/>
      <c r="BA10" s="12">
        <v>0.8</v>
      </c>
      <c r="BE10" s="12"/>
      <c r="BF10" s="12">
        <v>0.8</v>
      </c>
      <c r="BG10" s="12"/>
      <c r="BH10" s="12">
        <v>0.8</v>
      </c>
      <c r="BL10" s="12"/>
      <c r="BM10" s="12">
        <v>0.8</v>
      </c>
      <c r="BN10" s="12"/>
      <c r="BO10" s="12">
        <v>0.8</v>
      </c>
      <c r="BS10" s="12"/>
      <c r="BT10" s="12">
        <v>0.8</v>
      </c>
      <c r="BU10" s="12"/>
      <c r="BV10" s="12">
        <v>0.8</v>
      </c>
      <c r="BZ10" s="12"/>
      <c r="CA10" s="12">
        <v>0.8</v>
      </c>
      <c r="CB10" s="12"/>
      <c r="CC10" s="12">
        <v>0.8</v>
      </c>
      <c r="CG10" s="12"/>
      <c r="CH10" s="12">
        <v>0.8</v>
      </c>
      <c r="CI10" s="12"/>
      <c r="CJ10" s="12">
        <v>0.8</v>
      </c>
      <c r="CN10" s="12"/>
      <c r="CO10" s="12">
        <v>0.8</v>
      </c>
      <c r="CP10" s="12"/>
      <c r="CQ10" s="12">
        <v>0.8</v>
      </c>
      <c r="CU10" s="12"/>
      <c r="CV10" s="12">
        <v>0.8</v>
      </c>
      <c r="CW10" s="12"/>
      <c r="CX10" s="12">
        <v>0.8</v>
      </c>
      <c r="DB10" s="12"/>
      <c r="DC10" s="12">
        <v>1</v>
      </c>
      <c r="DD10" s="12"/>
      <c r="DE10" s="12">
        <v>1</v>
      </c>
      <c r="DI10" s="12"/>
      <c r="DJ10" s="12">
        <v>1</v>
      </c>
      <c r="DK10" s="12"/>
      <c r="DL10" s="12">
        <v>1</v>
      </c>
      <c r="DP10" s="12"/>
      <c r="DQ10" s="12">
        <v>1</v>
      </c>
      <c r="DR10" s="12"/>
      <c r="DS10" s="12">
        <v>1</v>
      </c>
      <c r="DW10" s="12"/>
      <c r="DX10" s="12">
        <v>1</v>
      </c>
      <c r="DY10" s="12"/>
      <c r="DZ10" s="12">
        <v>1</v>
      </c>
      <c r="ED10" s="12"/>
      <c r="EE10" s="12">
        <v>1</v>
      </c>
      <c r="EF10" s="12"/>
      <c r="EG10" s="12">
        <v>1</v>
      </c>
      <c r="EK10" s="12"/>
      <c r="EL10" s="12">
        <v>1</v>
      </c>
      <c r="EM10" s="12"/>
      <c r="EN10" s="12">
        <v>1</v>
      </c>
    </row>
    <row r="11" spans="2:145" outlineLevel="1">
      <c r="B11" t="s">
        <v>28</v>
      </c>
      <c r="C11" t="s">
        <v>49</v>
      </c>
      <c r="E11" s="11"/>
      <c r="F11" t="s">
        <v>61</v>
      </c>
      <c r="G11" s="12">
        <v>0.08</v>
      </c>
      <c r="H11" s="11"/>
      <c r="I11" s="11">
        <f t="shared" si="1"/>
        <v>0</v>
      </c>
      <c r="J11" s="13" t="e">
        <f t="shared" si="2"/>
        <v>#VALUE!</v>
      </c>
      <c r="K11" s="13" t="e">
        <f t="shared" si="2"/>
        <v>#VALUE!</v>
      </c>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v>0.8</v>
      </c>
      <c r="BG11" s="12"/>
      <c r="BH11" s="12">
        <v>0.8</v>
      </c>
      <c r="BL11" s="12"/>
      <c r="BM11" s="12">
        <v>0.8</v>
      </c>
      <c r="BN11" s="12"/>
      <c r="BO11" s="12">
        <v>0.8</v>
      </c>
      <c r="BS11" s="12"/>
      <c r="BT11" s="12">
        <v>0.8</v>
      </c>
      <c r="BU11" s="12"/>
      <c r="BV11" s="12">
        <v>0.8</v>
      </c>
      <c r="BZ11" s="12"/>
      <c r="CA11" s="12">
        <v>0.8</v>
      </c>
      <c r="CB11" s="12"/>
      <c r="CC11" s="12">
        <v>0.8</v>
      </c>
      <c r="CG11" s="12"/>
      <c r="CH11" s="12">
        <v>0.8</v>
      </c>
      <c r="CI11" s="12"/>
      <c r="CJ11" s="12">
        <v>0.8</v>
      </c>
      <c r="CN11" s="12"/>
      <c r="CO11" s="12">
        <v>0.8</v>
      </c>
      <c r="CP11" s="12"/>
      <c r="CQ11" s="12">
        <v>0.8</v>
      </c>
      <c r="CU11" s="12"/>
      <c r="CV11" s="12">
        <v>0.8</v>
      </c>
      <c r="CW11" s="12"/>
      <c r="CX11" s="12">
        <v>0.8</v>
      </c>
      <c r="DB11" s="12"/>
      <c r="DC11" s="12">
        <v>0.8</v>
      </c>
      <c r="DD11" s="12"/>
      <c r="DE11" s="12">
        <v>0.8</v>
      </c>
      <c r="DI11" s="12"/>
      <c r="DJ11" s="12">
        <v>1</v>
      </c>
      <c r="DK11" s="12"/>
      <c r="DL11" s="12">
        <v>1</v>
      </c>
      <c r="DP11" s="12"/>
      <c r="DQ11" s="12">
        <v>1</v>
      </c>
      <c r="DR11" s="12"/>
      <c r="DS11" s="12">
        <v>1</v>
      </c>
      <c r="DW11" s="12"/>
      <c r="DX11" s="12">
        <v>1</v>
      </c>
      <c r="DY11" s="12"/>
      <c r="DZ11" s="12">
        <v>1</v>
      </c>
      <c r="ED11" s="12"/>
      <c r="EE11" s="12">
        <v>1</v>
      </c>
      <c r="EF11" s="12"/>
      <c r="EG11" s="12">
        <v>1</v>
      </c>
      <c r="EK11" s="12"/>
      <c r="EL11" s="12">
        <v>1</v>
      </c>
      <c r="EM11" s="12"/>
      <c r="EN11" s="12">
        <v>1</v>
      </c>
    </row>
    <row r="12" spans="2:145" outlineLevel="1">
      <c r="B12" t="s">
        <v>28</v>
      </c>
      <c r="C12" t="s">
        <v>49</v>
      </c>
      <c r="E12" s="11"/>
      <c r="F12" t="s">
        <v>50</v>
      </c>
      <c r="G12" s="12">
        <v>0.04</v>
      </c>
      <c r="H12" s="11"/>
      <c r="I12" s="11">
        <f t="shared" si="1"/>
        <v>0</v>
      </c>
      <c r="J12" s="13" t="e">
        <f t="shared" si="2"/>
        <v>#VALUE!</v>
      </c>
      <c r="K12" s="13" t="e">
        <f t="shared" si="2"/>
        <v>#VALUE!</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v>0.8</v>
      </c>
      <c r="BN12" s="12"/>
      <c r="BO12" s="12">
        <v>0.8</v>
      </c>
      <c r="BS12" s="12"/>
      <c r="BT12" s="12">
        <v>0.8</v>
      </c>
      <c r="BU12" s="12"/>
      <c r="BV12" s="12">
        <v>0.8</v>
      </c>
      <c r="BZ12" s="12"/>
      <c r="CA12" s="12">
        <v>0.8</v>
      </c>
      <c r="CB12" s="12"/>
      <c r="CC12" s="12">
        <v>0.8</v>
      </c>
      <c r="CG12" s="12"/>
      <c r="CH12" s="12">
        <v>0.8</v>
      </c>
      <c r="CI12" s="12"/>
      <c r="CJ12" s="12">
        <v>0.8</v>
      </c>
      <c r="CN12" s="12"/>
      <c r="CO12" s="12">
        <v>0.8</v>
      </c>
      <c r="CP12" s="12"/>
      <c r="CQ12" s="12">
        <v>0.8</v>
      </c>
      <c r="CU12" s="12"/>
      <c r="CV12" s="12">
        <v>0.8</v>
      </c>
      <c r="CW12" s="12"/>
      <c r="CX12" s="12">
        <v>0.8</v>
      </c>
      <c r="DB12" s="12"/>
      <c r="DC12" s="12">
        <v>0.8</v>
      </c>
      <c r="DD12" s="12"/>
      <c r="DE12" s="12">
        <v>0.8</v>
      </c>
      <c r="DI12" s="12"/>
      <c r="DJ12" s="12">
        <v>1</v>
      </c>
      <c r="DK12" s="12"/>
      <c r="DL12" s="12">
        <v>1</v>
      </c>
      <c r="DP12" s="12"/>
      <c r="DQ12" s="12">
        <v>1</v>
      </c>
      <c r="DR12" s="12"/>
      <c r="DS12" s="12">
        <v>1</v>
      </c>
      <c r="DW12" s="12"/>
      <c r="DX12" s="12">
        <v>1</v>
      </c>
      <c r="DY12" s="12"/>
      <c r="DZ12" s="12">
        <v>1</v>
      </c>
      <c r="ED12" s="12"/>
      <c r="EE12" s="12">
        <v>1</v>
      </c>
      <c r="EF12" s="12"/>
      <c r="EG12" s="12">
        <v>1</v>
      </c>
      <c r="EK12" s="12"/>
      <c r="EL12" s="12">
        <v>1</v>
      </c>
      <c r="EM12" s="12"/>
      <c r="EN12" s="12">
        <v>1</v>
      </c>
    </row>
    <row r="13" spans="2:145" outlineLevel="1">
      <c r="B13" t="s">
        <v>28</v>
      </c>
      <c r="C13" t="s">
        <v>49</v>
      </c>
      <c r="E13" s="11"/>
      <c r="F13" t="s">
        <v>51</v>
      </c>
      <c r="G13" s="12">
        <v>0.08</v>
      </c>
      <c r="H13" s="11"/>
      <c r="I13" s="11">
        <f t="shared" si="1"/>
        <v>0</v>
      </c>
      <c r="J13" s="13" t="e">
        <f t="shared" si="2"/>
        <v>#VALUE!</v>
      </c>
      <c r="K13" s="13" t="e">
        <f t="shared" si="2"/>
        <v>#VALUE!</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v>0.8</v>
      </c>
      <c r="BU13" s="12"/>
      <c r="BV13" s="12">
        <v>0.8</v>
      </c>
      <c r="BZ13" s="12"/>
      <c r="CA13" s="12">
        <v>0.8</v>
      </c>
      <c r="CB13" s="12"/>
      <c r="CC13" s="12">
        <v>0.8</v>
      </c>
      <c r="CG13" s="12"/>
      <c r="CH13" s="12">
        <v>0.8</v>
      </c>
      <c r="CI13" s="12"/>
      <c r="CJ13" s="12">
        <v>0.8</v>
      </c>
      <c r="CN13" s="12"/>
      <c r="CO13" s="12">
        <v>0.8</v>
      </c>
      <c r="CP13" s="12"/>
      <c r="CQ13" s="12">
        <v>0.8</v>
      </c>
      <c r="CU13" s="12"/>
      <c r="CV13" s="12">
        <v>0.8</v>
      </c>
      <c r="CW13" s="12"/>
      <c r="CX13" s="12">
        <v>0.8</v>
      </c>
      <c r="DB13" s="12"/>
      <c r="DC13" s="12">
        <v>0.8</v>
      </c>
      <c r="DD13" s="12"/>
      <c r="DE13" s="12">
        <v>0.8</v>
      </c>
      <c r="DI13" s="12"/>
      <c r="DJ13" s="12">
        <v>1</v>
      </c>
      <c r="DK13" s="12"/>
      <c r="DL13" s="12">
        <v>1</v>
      </c>
      <c r="DP13" s="12"/>
      <c r="DQ13" s="12">
        <v>1</v>
      </c>
      <c r="DR13" s="12"/>
      <c r="DS13" s="12">
        <v>1</v>
      </c>
      <c r="DW13" s="12"/>
      <c r="DX13" s="12">
        <v>1</v>
      </c>
      <c r="DY13" s="12"/>
      <c r="DZ13" s="12">
        <v>1</v>
      </c>
      <c r="ED13" s="12"/>
      <c r="EE13" s="12">
        <v>1</v>
      </c>
      <c r="EF13" s="12"/>
      <c r="EG13" s="12">
        <v>1</v>
      </c>
      <c r="EK13" s="12"/>
      <c r="EL13" s="12">
        <v>1</v>
      </c>
      <c r="EM13" s="12"/>
      <c r="EN13" s="12">
        <v>1</v>
      </c>
    </row>
    <row r="14" spans="2:145" outlineLevel="1">
      <c r="B14" t="s">
        <v>28</v>
      </c>
      <c r="C14" t="s">
        <v>49</v>
      </c>
      <c r="E14" s="11"/>
      <c r="F14" t="s">
        <v>52</v>
      </c>
      <c r="G14" s="12">
        <v>0.06</v>
      </c>
      <c r="H14" s="11"/>
      <c r="I14" s="11">
        <f t="shared" si="1"/>
        <v>0</v>
      </c>
      <c r="J14" s="13" t="e">
        <f t="shared" si="2"/>
        <v>#VALUE!</v>
      </c>
      <c r="K14" s="13" t="e">
        <f t="shared" si="2"/>
        <v>#VALUE!</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v>0.8</v>
      </c>
      <c r="CB14" s="12"/>
      <c r="CC14" s="12">
        <v>0.8</v>
      </c>
      <c r="CG14" s="12"/>
      <c r="CH14" s="12">
        <v>0.8</v>
      </c>
      <c r="CI14" s="12"/>
      <c r="CJ14" s="12">
        <v>0.8</v>
      </c>
      <c r="CN14" s="12"/>
      <c r="CO14" s="12">
        <v>0.8</v>
      </c>
      <c r="CP14" s="12"/>
      <c r="CQ14" s="12">
        <v>0.8</v>
      </c>
      <c r="CU14" s="12"/>
      <c r="CV14" s="12">
        <v>0.8</v>
      </c>
      <c r="CW14" s="12"/>
      <c r="CX14" s="12">
        <v>0.8</v>
      </c>
      <c r="DB14" s="12"/>
      <c r="DC14" s="12">
        <v>0.8</v>
      </c>
      <c r="DD14" s="12"/>
      <c r="DE14" s="12">
        <v>0.8</v>
      </c>
      <c r="DI14" s="12"/>
      <c r="DJ14" s="12">
        <v>0.8</v>
      </c>
      <c r="DK14" s="12"/>
      <c r="DL14" s="12">
        <v>0.8</v>
      </c>
      <c r="DP14" s="12"/>
      <c r="DQ14" s="12">
        <v>1</v>
      </c>
      <c r="DR14" s="12"/>
      <c r="DS14" s="12">
        <v>1</v>
      </c>
      <c r="DW14" s="12"/>
      <c r="DX14" s="12">
        <v>1</v>
      </c>
      <c r="DY14" s="12"/>
      <c r="DZ14" s="12">
        <v>1</v>
      </c>
      <c r="ED14" s="12"/>
      <c r="EE14" s="12">
        <v>1</v>
      </c>
      <c r="EF14" s="12"/>
      <c r="EG14" s="12">
        <v>1</v>
      </c>
      <c r="EK14" s="12"/>
      <c r="EL14" s="12">
        <v>1</v>
      </c>
      <c r="EM14" s="12"/>
      <c r="EN14" s="12">
        <v>1</v>
      </c>
    </row>
    <row r="15" spans="2:145" outlineLevel="1">
      <c r="B15" t="s">
        <v>28</v>
      </c>
      <c r="C15" t="s">
        <v>49</v>
      </c>
      <c r="E15" s="11"/>
      <c r="F15" t="s">
        <v>53</v>
      </c>
      <c r="G15" s="12">
        <v>0.08</v>
      </c>
      <c r="H15" s="11"/>
      <c r="I15" s="11">
        <f t="shared" si="1"/>
        <v>0</v>
      </c>
      <c r="J15" s="13" t="e">
        <f t="shared" si="2"/>
        <v>#VALUE!</v>
      </c>
      <c r="K15" s="13" t="e">
        <f t="shared" si="2"/>
        <v>#VALUE!</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c r="CB15" s="12"/>
      <c r="CC15" s="12"/>
      <c r="CG15" s="12"/>
      <c r="CH15" s="12">
        <v>0.8</v>
      </c>
      <c r="CI15" s="12"/>
      <c r="CJ15" s="12">
        <v>0.8</v>
      </c>
      <c r="CN15" s="12"/>
      <c r="CO15" s="12">
        <v>0.8</v>
      </c>
      <c r="CP15" s="12"/>
      <c r="CQ15" s="12">
        <v>0.8</v>
      </c>
      <c r="CU15" s="12"/>
      <c r="CV15" s="12">
        <v>0.8</v>
      </c>
      <c r="CW15" s="12"/>
      <c r="CX15" s="12">
        <v>0.8</v>
      </c>
      <c r="DB15" s="12"/>
      <c r="DC15" s="12">
        <v>0.8</v>
      </c>
      <c r="DD15" s="12"/>
      <c r="DE15" s="12">
        <v>0.8</v>
      </c>
      <c r="DI15" s="12"/>
      <c r="DJ15" s="12">
        <v>0.8</v>
      </c>
      <c r="DK15" s="12"/>
      <c r="DL15" s="12">
        <v>0.8</v>
      </c>
      <c r="DP15" s="12"/>
      <c r="DQ15" s="12">
        <v>1</v>
      </c>
      <c r="DR15" s="12"/>
      <c r="DS15" s="12">
        <v>1</v>
      </c>
      <c r="DW15" s="12"/>
      <c r="DX15" s="12">
        <v>1</v>
      </c>
      <c r="DY15" s="12"/>
      <c r="DZ15" s="12">
        <v>1</v>
      </c>
      <c r="ED15" s="12"/>
      <c r="EE15" s="12">
        <v>1</v>
      </c>
      <c r="EF15" s="12"/>
      <c r="EG15" s="12">
        <v>1</v>
      </c>
      <c r="EK15" s="12"/>
      <c r="EL15" s="12">
        <v>1</v>
      </c>
      <c r="EM15" s="12"/>
      <c r="EN15" s="12">
        <v>1</v>
      </c>
    </row>
    <row r="16" spans="2:145" ht="14.4" customHeight="1" outlineLevel="1">
      <c r="B16" t="s">
        <v>28</v>
      </c>
      <c r="C16" t="s">
        <v>49</v>
      </c>
      <c r="E16" s="11"/>
      <c r="F16" t="s">
        <v>54</v>
      </c>
      <c r="G16" s="12">
        <v>7.0000000000000007E-2</v>
      </c>
      <c r="H16" s="11"/>
      <c r="I16" s="11">
        <f t="shared" si="1"/>
        <v>0</v>
      </c>
      <c r="J16" s="13" t="e">
        <f t="shared" si="2"/>
        <v>#VALUE!</v>
      </c>
      <c r="K16" s="13" t="e">
        <f t="shared" si="2"/>
        <v>#VALUE!</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c r="CN16" s="12"/>
      <c r="CO16" s="12">
        <v>0.8</v>
      </c>
      <c r="CP16" s="12"/>
      <c r="CQ16" s="12">
        <v>0.8</v>
      </c>
      <c r="CU16" s="12"/>
      <c r="CV16" s="12">
        <v>0.8</v>
      </c>
      <c r="CW16" s="12"/>
      <c r="CX16" s="12">
        <v>0.8</v>
      </c>
      <c r="DB16" s="12"/>
      <c r="DC16" s="12">
        <v>0.8</v>
      </c>
      <c r="DD16" s="12"/>
      <c r="DE16" s="12">
        <v>0.8</v>
      </c>
      <c r="DI16" s="12"/>
      <c r="DJ16" s="12">
        <v>0.8</v>
      </c>
      <c r="DK16" s="12"/>
      <c r="DL16" s="12">
        <v>0.8</v>
      </c>
      <c r="DP16" s="12"/>
      <c r="DQ16" s="12">
        <v>0.8</v>
      </c>
      <c r="DR16" s="12"/>
      <c r="DS16" s="12">
        <v>0.8</v>
      </c>
      <c r="DW16" s="12"/>
      <c r="DX16" s="12">
        <v>1</v>
      </c>
      <c r="DY16" s="12"/>
      <c r="DZ16" s="12">
        <v>1</v>
      </c>
      <c r="ED16" s="12"/>
      <c r="EE16" s="12">
        <v>1</v>
      </c>
      <c r="EF16" s="12"/>
      <c r="EG16" s="12">
        <v>1</v>
      </c>
      <c r="EK16" s="12"/>
      <c r="EL16" s="12">
        <v>1</v>
      </c>
      <c r="EM16" s="12"/>
      <c r="EN16" s="12">
        <v>1</v>
      </c>
    </row>
    <row r="17" spans="2:144" ht="14.4" customHeight="1" outlineLevel="1">
      <c r="B17" t="s">
        <v>28</v>
      </c>
      <c r="C17" t="s">
        <v>49</v>
      </c>
      <c r="E17" s="11"/>
      <c r="F17" t="s">
        <v>62</v>
      </c>
      <c r="G17" s="12">
        <v>0.13</v>
      </c>
      <c r="H17" s="11"/>
      <c r="I17" s="11"/>
      <c r="J17" s="13"/>
      <c r="K17" s="13"/>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v>0.8</v>
      </c>
      <c r="CW17" s="12"/>
      <c r="CX17" s="12">
        <v>0.8</v>
      </c>
      <c r="DB17" s="12"/>
      <c r="DC17" s="12">
        <v>0.8</v>
      </c>
      <c r="DD17" s="12"/>
      <c r="DE17" s="12">
        <v>0.8</v>
      </c>
      <c r="DI17" s="12"/>
      <c r="DJ17" s="12">
        <v>0.8</v>
      </c>
      <c r="DK17" s="12"/>
      <c r="DL17" s="12">
        <v>0.8</v>
      </c>
      <c r="DP17" s="12"/>
      <c r="DQ17" s="12">
        <v>0.8</v>
      </c>
      <c r="DR17" s="12"/>
      <c r="DS17" s="12">
        <v>0.8</v>
      </c>
      <c r="DW17" s="12"/>
      <c r="DX17" s="12">
        <v>1</v>
      </c>
      <c r="DY17" s="12"/>
      <c r="DZ17" s="12">
        <v>1</v>
      </c>
      <c r="ED17" s="12"/>
      <c r="EE17" s="12">
        <v>1</v>
      </c>
      <c r="EF17" s="12"/>
      <c r="EG17" s="12">
        <v>1</v>
      </c>
      <c r="EK17" s="12"/>
      <c r="EL17" s="12">
        <v>1</v>
      </c>
      <c r="EM17" s="12"/>
      <c r="EN17" s="12">
        <v>1</v>
      </c>
    </row>
    <row r="18" spans="2:144">
      <c r="O18" s="9"/>
      <c r="V18" s="9"/>
      <c r="AC18" s="9"/>
      <c r="AJ18" s="9"/>
      <c r="AQ18" s="9"/>
      <c r="AX18" s="9"/>
      <c r="BE18" s="9"/>
      <c r="BL18" s="9"/>
      <c r="BS18" s="9"/>
      <c r="BZ18" s="9"/>
      <c r="CG18" s="9"/>
      <c r="CN18" s="9"/>
      <c r="CU18" s="9"/>
      <c r="DB18" s="9"/>
      <c r="DI18" s="9"/>
      <c r="DP18" s="9"/>
      <c r="DW18" s="9"/>
      <c r="ED18" s="9"/>
      <c r="EK18" s="9"/>
    </row>
    <row r="19" spans="2:144">
      <c r="B19" t="s">
        <v>27</v>
      </c>
      <c r="C19" t="s">
        <v>94</v>
      </c>
      <c r="E19" s="11">
        <v>6</v>
      </c>
      <c r="G19" s="12">
        <f>+SUM(G20:G25)</f>
        <v>0.96000000000000019</v>
      </c>
      <c r="I19" s="14">
        <f>+SUM(I20:I25)</f>
        <v>0</v>
      </c>
      <c r="J19" s="13" t="e">
        <f>+SUMPRODUCT(G20:G25,J20:J25)</f>
        <v>#VALUE!</v>
      </c>
      <c r="K19" s="13" t="e">
        <f>+SUMPRODUCT(G20:G25,K20:K25)</f>
        <v>#VALUE!</v>
      </c>
      <c r="L19" s="11"/>
      <c r="N19" s="14">
        <f>+SUM(N20:N25)</f>
        <v>0</v>
      </c>
      <c r="U19" s="14">
        <f>+SUM(U20:U25)</f>
        <v>0</v>
      </c>
      <c r="AB19" s="14">
        <f>+SUM(AB20:AB25)</f>
        <v>0</v>
      </c>
      <c r="AI19" s="14">
        <f>+SUM(AI20:AI25)</f>
        <v>0</v>
      </c>
      <c r="AP19" s="14">
        <f>+SUM(AP20:AP25)</f>
        <v>0</v>
      </c>
    </row>
    <row r="20" spans="2:144" outlineLevel="1">
      <c r="B20" t="s">
        <v>28</v>
      </c>
      <c r="C20" t="s">
        <v>94</v>
      </c>
      <c r="E20" s="11"/>
      <c r="F20" t="s">
        <v>95</v>
      </c>
      <c r="G20" s="12">
        <v>0.14000000000000001</v>
      </c>
      <c r="I20" s="11">
        <f t="shared" ref="I20:I25" si="3">+SUMIF($N$3:$UQ$3,I$3,$N20:$ZT20)</f>
        <v>0</v>
      </c>
      <c r="J20" s="13" t="e">
        <f t="shared" ref="J20:K25" si="4">+_xlfn.MAXIFS($N20:$YZ20,$N$3:$TW$3,J$3)</f>
        <v>#VALUE!</v>
      </c>
      <c r="K20" s="13" t="e">
        <f t="shared" si="4"/>
        <v>#VALUE!</v>
      </c>
      <c r="L20" s="11"/>
      <c r="O20" s="12">
        <v>0.7</v>
      </c>
      <c r="P20" s="12">
        <v>0.5</v>
      </c>
      <c r="Q20" s="12">
        <v>0.7</v>
      </c>
      <c r="R20" s="12">
        <v>0.5</v>
      </c>
      <c r="V20" s="12"/>
      <c r="W20" s="12">
        <v>0.8</v>
      </c>
      <c r="X20" s="12"/>
      <c r="Y20" s="12">
        <v>0.8</v>
      </c>
      <c r="AC20" s="12"/>
      <c r="AD20" s="12">
        <v>0.8</v>
      </c>
      <c r="AE20" s="12"/>
      <c r="AF20" s="12">
        <v>0.8</v>
      </c>
      <c r="AJ20" s="12"/>
      <c r="AK20" s="12">
        <v>1</v>
      </c>
      <c r="AL20" s="12"/>
      <c r="AM20" s="12">
        <v>1</v>
      </c>
      <c r="AQ20" s="12"/>
      <c r="AR20" s="12">
        <v>1</v>
      </c>
      <c r="AS20" s="12"/>
      <c r="AT20" s="12">
        <v>1</v>
      </c>
      <c r="AX20" s="12"/>
      <c r="AY20" s="12">
        <v>1</v>
      </c>
      <c r="AZ20" s="12"/>
      <c r="BA20" s="12">
        <v>1</v>
      </c>
      <c r="BE20" s="12"/>
      <c r="BF20" s="12">
        <v>1</v>
      </c>
      <c r="BG20" s="12"/>
      <c r="BH20" s="12">
        <v>1</v>
      </c>
      <c r="BL20" s="12"/>
      <c r="BM20" s="12">
        <v>1</v>
      </c>
      <c r="BN20" s="12"/>
      <c r="BO20" s="12">
        <v>1</v>
      </c>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row>
    <row r="21" spans="2:144" outlineLevel="1">
      <c r="B21" t="s">
        <v>28</v>
      </c>
      <c r="C21" t="s">
        <v>94</v>
      </c>
      <c r="E21" s="11"/>
      <c r="F21" t="s">
        <v>96</v>
      </c>
      <c r="G21" s="12">
        <v>0.08</v>
      </c>
      <c r="I21" s="11">
        <f t="shared" si="3"/>
        <v>0</v>
      </c>
      <c r="J21" s="13" t="e">
        <f t="shared" si="4"/>
        <v>#VALUE!</v>
      </c>
      <c r="K21" s="13" t="e">
        <f t="shared" si="4"/>
        <v>#VALUE!</v>
      </c>
      <c r="L21" s="11"/>
      <c r="O21" s="12">
        <v>0.5</v>
      </c>
      <c r="P21" s="12">
        <v>0.5</v>
      </c>
      <c r="Q21" s="12">
        <v>0.5</v>
      </c>
      <c r="R21" s="12">
        <v>0.5</v>
      </c>
      <c r="V21" s="12"/>
      <c r="W21" s="12">
        <v>0.5</v>
      </c>
      <c r="X21" s="12"/>
      <c r="Y21" s="12">
        <v>0.5</v>
      </c>
      <c r="AC21" s="12"/>
      <c r="AD21" s="12">
        <v>0.8</v>
      </c>
      <c r="AE21" s="12"/>
      <c r="AF21" s="12">
        <v>0.8</v>
      </c>
      <c r="AJ21" s="12"/>
      <c r="AK21" s="12">
        <v>0.8</v>
      </c>
      <c r="AL21" s="12"/>
      <c r="AM21" s="12">
        <v>0.8</v>
      </c>
      <c r="AQ21" s="12"/>
      <c r="AR21" s="12">
        <v>1</v>
      </c>
      <c r="AS21" s="12"/>
      <c r="AT21" s="12">
        <v>1</v>
      </c>
      <c r="AX21" s="12"/>
      <c r="AY21" s="12">
        <v>1</v>
      </c>
      <c r="AZ21" s="12"/>
      <c r="BA21" s="12">
        <v>1</v>
      </c>
      <c r="BE21" s="12"/>
      <c r="BF21" s="12">
        <v>1</v>
      </c>
      <c r="BG21" s="12"/>
      <c r="BH21" s="12">
        <v>1</v>
      </c>
      <c r="BL21" s="12"/>
      <c r="BM21" s="12">
        <v>1</v>
      </c>
      <c r="BN21" s="12"/>
      <c r="BO21" s="12">
        <v>1</v>
      </c>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row>
    <row r="22" spans="2:144" outlineLevel="1">
      <c r="B22" t="s">
        <v>28</v>
      </c>
      <c r="C22" t="s">
        <v>94</v>
      </c>
      <c r="E22" s="11"/>
      <c r="F22" t="s">
        <v>97</v>
      </c>
      <c r="G22" s="12">
        <v>0.37</v>
      </c>
      <c r="I22" s="11">
        <f t="shared" si="3"/>
        <v>0</v>
      </c>
      <c r="J22" s="13" t="e">
        <f t="shared" si="4"/>
        <v>#VALUE!</v>
      </c>
      <c r="K22" s="13" t="e">
        <f t="shared" si="4"/>
        <v>#VALUE!</v>
      </c>
      <c r="L22" s="11"/>
      <c r="O22" s="12"/>
      <c r="P22" s="12"/>
      <c r="Q22" s="12"/>
      <c r="R22" s="12"/>
      <c r="V22" s="12"/>
      <c r="W22" s="12">
        <v>0.5</v>
      </c>
      <c r="X22" s="12"/>
      <c r="Y22" s="12">
        <v>0.5</v>
      </c>
      <c r="AC22" s="12"/>
      <c r="AD22" s="12">
        <v>0.5</v>
      </c>
      <c r="AE22" s="12"/>
      <c r="AF22" s="12">
        <v>0.5</v>
      </c>
      <c r="AJ22" s="12"/>
      <c r="AK22" s="12">
        <v>0.8</v>
      </c>
      <c r="AL22" s="12"/>
      <c r="AM22" s="12">
        <v>0.8</v>
      </c>
      <c r="AQ22" s="12"/>
      <c r="AR22" s="12">
        <v>0.8</v>
      </c>
      <c r="AS22" s="12"/>
      <c r="AT22" s="12">
        <v>0.8</v>
      </c>
      <c r="AX22" s="12"/>
      <c r="AY22" s="12">
        <v>1</v>
      </c>
      <c r="AZ22" s="12"/>
      <c r="BA22" s="12">
        <v>1</v>
      </c>
      <c r="BE22" s="12"/>
      <c r="BF22" s="12">
        <v>1</v>
      </c>
      <c r="BG22" s="12"/>
      <c r="BH22" s="12">
        <v>1</v>
      </c>
      <c r="BL22" s="12"/>
      <c r="BM22" s="12">
        <v>1</v>
      </c>
      <c r="BN22" s="12"/>
      <c r="BO22" s="12">
        <v>1</v>
      </c>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row>
    <row r="23" spans="2:144" outlineLevel="1">
      <c r="B23" t="s">
        <v>28</v>
      </c>
      <c r="C23" t="s">
        <v>94</v>
      </c>
      <c r="E23" s="11"/>
      <c r="F23" t="s">
        <v>98</v>
      </c>
      <c r="G23" s="12">
        <v>0.17</v>
      </c>
      <c r="I23" s="11">
        <f t="shared" si="3"/>
        <v>0</v>
      </c>
      <c r="J23" s="13" t="e">
        <f t="shared" si="4"/>
        <v>#VALUE!</v>
      </c>
      <c r="K23" s="13" t="e">
        <f t="shared" si="4"/>
        <v>#VALUE!</v>
      </c>
      <c r="L23" s="11"/>
      <c r="O23" s="12"/>
      <c r="P23" s="12"/>
      <c r="Q23" s="12"/>
      <c r="R23" s="12"/>
      <c r="V23" s="12"/>
      <c r="W23" s="12">
        <v>0.5</v>
      </c>
      <c r="X23" s="12"/>
      <c r="Y23" s="12">
        <v>0.5</v>
      </c>
      <c r="AC23" s="12"/>
      <c r="AD23" s="12">
        <v>0.5</v>
      </c>
      <c r="AE23" s="12"/>
      <c r="AF23" s="12">
        <v>0.5</v>
      </c>
      <c r="AJ23" s="12"/>
      <c r="AK23" s="12">
        <v>0.8</v>
      </c>
      <c r="AL23" s="12"/>
      <c r="AM23" s="12">
        <v>0.8</v>
      </c>
      <c r="AQ23" s="12"/>
      <c r="AR23" s="12">
        <v>0.8</v>
      </c>
      <c r="AS23" s="12"/>
      <c r="AT23" s="12">
        <v>0.8</v>
      </c>
      <c r="AX23" s="12"/>
      <c r="AY23" s="12">
        <v>1</v>
      </c>
      <c r="AZ23" s="12"/>
      <c r="BA23" s="12">
        <v>1</v>
      </c>
      <c r="BE23" s="12"/>
      <c r="BF23" s="12">
        <v>1</v>
      </c>
      <c r="BG23" s="12"/>
      <c r="BH23" s="12">
        <v>1</v>
      </c>
      <c r="BL23" s="12"/>
      <c r="BM23" s="12">
        <v>1</v>
      </c>
      <c r="BN23" s="12"/>
      <c r="BO23" s="12">
        <v>1</v>
      </c>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row>
    <row r="24" spans="2:144" outlineLevel="1">
      <c r="B24" t="s">
        <v>28</v>
      </c>
      <c r="C24" t="s">
        <v>94</v>
      </c>
      <c r="E24" s="11"/>
      <c r="F24" t="s">
        <v>99</v>
      </c>
      <c r="G24" s="12">
        <v>0.16</v>
      </c>
      <c r="I24" s="11">
        <f t="shared" si="3"/>
        <v>0</v>
      </c>
      <c r="J24" s="13" t="e">
        <f t="shared" si="4"/>
        <v>#VALUE!</v>
      </c>
      <c r="K24" s="13" t="e">
        <f t="shared" si="4"/>
        <v>#VALUE!</v>
      </c>
      <c r="L24" s="11"/>
      <c r="O24" s="12"/>
      <c r="P24" s="12"/>
      <c r="Q24" s="12"/>
      <c r="R24" s="12"/>
      <c r="V24" s="12"/>
      <c r="W24" s="12"/>
      <c r="X24" s="12"/>
      <c r="Y24" s="12"/>
      <c r="AC24" s="12"/>
      <c r="AD24" s="12">
        <v>0.5</v>
      </c>
      <c r="AE24" s="12"/>
      <c r="AF24" s="12">
        <v>0.5</v>
      </c>
      <c r="AJ24" s="12"/>
      <c r="AK24" s="12">
        <v>0.5</v>
      </c>
      <c r="AL24" s="12"/>
      <c r="AM24" s="12">
        <v>0.5</v>
      </c>
      <c r="AQ24" s="12"/>
      <c r="AR24" s="12">
        <v>0.8</v>
      </c>
      <c r="AS24" s="12"/>
      <c r="AT24" s="12">
        <v>0.8</v>
      </c>
      <c r="AX24" s="12"/>
      <c r="AY24" s="12">
        <v>1</v>
      </c>
      <c r="AZ24" s="12"/>
      <c r="BA24" s="12">
        <v>1</v>
      </c>
      <c r="BE24" s="12"/>
      <c r="BF24" s="12">
        <v>1</v>
      </c>
      <c r="BG24" s="12"/>
      <c r="BH24" s="12">
        <v>1</v>
      </c>
      <c r="BL24" s="12"/>
      <c r="BM24" s="12">
        <v>1</v>
      </c>
      <c r="BN24" s="12"/>
      <c r="BO24" s="12">
        <v>1</v>
      </c>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row>
    <row r="25" spans="2:144" outlineLevel="1">
      <c r="B25" t="s">
        <v>28</v>
      </c>
      <c r="C25" t="s">
        <v>94</v>
      </c>
      <c r="E25" s="11"/>
      <c r="F25" t="s">
        <v>100</v>
      </c>
      <c r="G25" s="12">
        <v>0.04</v>
      </c>
      <c r="I25" s="11">
        <f t="shared" si="3"/>
        <v>0</v>
      </c>
      <c r="J25" s="13" t="e">
        <f t="shared" si="4"/>
        <v>#VALUE!</v>
      </c>
      <c r="K25" s="13" t="e">
        <f t="shared" si="4"/>
        <v>#VALUE!</v>
      </c>
      <c r="L25" s="11"/>
      <c r="O25" s="12"/>
      <c r="P25" s="12"/>
      <c r="Q25" s="12"/>
      <c r="R25" s="12"/>
      <c r="V25" s="12"/>
      <c r="W25" s="12"/>
      <c r="X25" s="12"/>
      <c r="Y25" s="12"/>
      <c r="AC25" s="12"/>
      <c r="AD25" s="12">
        <v>0.5</v>
      </c>
      <c r="AE25" s="12"/>
      <c r="AF25" s="12">
        <v>0.5</v>
      </c>
      <c r="AJ25" s="12"/>
      <c r="AK25" s="12">
        <v>0.5</v>
      </c>
      <c r="AL25" s="12"/>
      <c r="AM25" s="12">
        <v>0.5</v>
      </c>
      <c r="AQ25" s="12"/>
      <c r="AR25" s="12">
        <v>0.8</v>
      </c>
      <c r="AS25" s="12"/>
      <c r="AT25" s="12">
        <v>0.8</v>
      </c>
      <c r="AX25" s="12"/>
      <c r="AY25" s="12">
        <v>1</v>
      </c>
      <c r="AZ25" s="12"/>
      <c r="BA25" s="12">
        <v>1</v>
      </c>
      <c r="BE25" s="12"/>
      <c r="BF25" s="12">
        <v>1</v>
      </c>
      <c r="BG25" s="12"/>
      <c r="BH25" s="12">
        <v>1</v>
      </c>
      <c r="BL25" s="12"/>
      <c r="BM25" s="12">
        <v>1</v>
      </c>
      <c r="BN25" s="12"/>
      <c r="BO25" s="12">
        <v>1</v>
      </c>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c r="EK25" s="12"/>
      <c r="EL25" s="12"/>
      <c r="EM25" s="12"/>
      <c r="EN25" s="12"/>
    </row>
    <row r="27" spans="2:144">
      <c r="B27" t="s">
        <v>27</v>
      </c>
      <c r="C27" t="s">
        <v>82</v>
      </c>
      <c r="E27" s="11">
        <v>6</v>
      </c>
      <c r="G27" s="12">
        <f>+SUM(G28:G38)</f>
        <v>1</v>
      </c>
      <c r="I27" s="14">
        <f>+SUM(I28:I38)</f>
        <v>12</v>
      </c>
      <c r="J27" s="13" t="e">
        <f>+SUMPRODUCT(G28:G38,J28:J38)</f>
        <v>#VALUE!</v>
      </c>
      <c r="K27" s="13" t="e">
        <f>+SUMPRODUCT(G28:G38,K28:K38)</f>
        <v>#VALUE!</v>
      </c>
      <c r="L27" s="11"/>
      <c r="N27" s="14"/>
      <c r="U27" s="14">
        <f>+SUM(U28:U38)</f>
        <v>2</v>
      </c>
      <c r="AB27" s="14">
        <f>+SUM(AB28:AB38)</f>
        <v>4</v>
      </c>
      <c r="AI27" s="14">
        <f>+SUM(AI28:AI38)</f>
        <v>0</v>
      </c>
      <c r="AP27" s="14">
        <f>+SUM(AP28:AP38)</f>
        <v>6</v>
      </c>
    </row>
    <row r="28" spans="2:144" outlineLevel="1">
      <c r="B28" t="s">
        <v>28</v>
      </c>
      <c r="C28" t="s">
        <v>82</v>
      </c>
      <c r="E28" s="11"/>
      <c r="F28" t="s">
        <v>83</v>
      </c>
      <c r="G28" s="12">
        <v>0.09</v>
      </c>
      <c r="I28" s="11">
        <f t="shared" ref="I28:I38" si="5">+SUMIF($N$3:$UQ$3,I$3,$N28:$ZT28)</f>
        <v>6</v>
      </c>
      <c r="J28" s="13" t="e">
        <f t="shared" ref="J28:K38" si="6">+_xlfn.MAXIFS($N28:$YZ28,$N$3:$TW$3,J$3)</f>
        <v>#VALUE!</v>
      </c>
      <c r="K28" s="13" t="e">
        <f t="shared" si="6"/>
        <v>#VALUE!</v>
      </c>
      <c r="L28" s="11"/>
      <c r="O28" s="12">
        <v>0.5</v>
      </c>
      <c r="P28" s="12">
        <v>0.5</v>
      </c>
      <c r="Q28" s="12">
        <v>0.5</v>
      </c>
      <c r="R28" s="12">
        <v>0.5</v>
      </c>
      <c r="U28">
        <v>2</v>
      </c>
      <c r="V28" s="12"/>
      <c r="W28" s="12">
        <v>0.5</v>
      </c>
      <c r="X28" s="12"/>
      <c r="Y28" s="12">
        <v>0.5</v>
      </c>
      <c r="AB28">
        <v>4</v>
      </c>
      <c r="AC28" s="12"/>
      <c r="AD28" s="12">
        <v>0.8</v>
      </c>
      <c r="AE28" s="12"/>
      <c r="AF28" s="12">
        <v>0.8</v>
      </c>
      <c r="AJ28" s="12"/>
      <c r="AK28" s="12">
        <v>0.8</v>
      </c>
      <c r="AL28" s="12"/>
      <c r="AM28" s="12">
        <v>0.8</v>
      </c>
      <c r="AP28">
        <v>0</v>
      </c>
      <c r="AQ28" s="12"/>
      <c r="AR28" s="12">
        <v>0.8</v>
      </c>
      <c r="AS28" s="12"/>
      <c r="AT28" s="12">
        <v>0.8</v>
      </c>
      <c r="AX28" s="12"/>
      <c r="AY28" s="12">
        <v>0.8</v>
      </c>
      <c r="AZ28" s="12"/>
      <c r="BA28" s="12">
        <v>0.8</v>
      </c>
      <c r="BE28" s="12"/>
      <c r="BF28" s="12">
        <v>1</v>
      </c>
      <c r="BG28" s="12"/>
      <c r="BH28" s="12">
        <v>1</v>
      </c>
      <c r="BL28" s="12"/>
      <c r="BM28" s="12">
        <v>1</v>
      </c>
      <c r="BN28" s="12"/>
      <c r="BO28" s="12">
        <v>1</v>
      </c>
      <c r="BS28" s="12"/>
      <c r="BT28" s="12">
        <v>1</v>
      </c>
      <c r="BU28" s="12"/>
      <c r="BV28" s="12">
        <v>1</v>
      </c>
      <c r="BZ28" s="12"/>
      <c r="CA28" s="12">
        <v>1</v>
      </c>
      <c r="CB28" s="12"/>
      <c r="CC28" s="12">
        <v>1</v>
      </c>
      <c r="CG28" s="12"/>
      <c r="CH28" s="12">
        <v>1</v>
      </c>
      <c r="CI28" s="12"/>
      <c r="CJ28" s="12">
        <v>1</v>
      </c>
      <c r="CN28" s="12"/>
      <c r="CO28" s="12">
        <v>1</v>
      </c>
      <c r="CP28" s="12"/>
      <c r="CQ28" s="12">
        <v>1</v>
      </c>
      <c r="CU28" s="12"/>
      <c r="CV28" s="12">
        <v>1</v>
      </c>
      <c r="CW28" s="12"/>
      <c r="CX28" s="12">
        <v>1</v>
      </c>
      <c r="DB28" s="12"/>
      <c r="DC28" s="12">
        <v>1</v>
      </c>
      <c r="DD28" s="12"/>
      <c r="DE28" s="12">
        <v>1</v>
      </c>
      <c r="DI28" s="12"/>
      <c r="DJ28" s="12">
        <v>1</v>
      </c>
      <c r="DK28" s="12"/>
      <c r="DL28" s="12">
        <v>1</v>
      </c>
      <c r="DP28" s="12"/>
      <c r="DQ28" s="12">
        <v>1</v>
      </c>
      <c r="DR28" s="12"/>
      <c r="DS28" s="12">
        <v>1</v>
      </c>
      <c r="DW28" s="12"/>
      <c r="DX28" s="12"/>
      <c r="DY28" s="12"/>
      <c r="DZ28" s="12"/>
      <c r="ED28" s="12"/>
      <c r="EE28" s="12"/>
      <c r="EF28" s="12"/>
      <c r="EG28" s="12"/>
      <c r="EK28" s="12"/>
      <c r="EL28" s="12"/>
      <c r="EM28" s="12"/>
      <c r="EN28" s="12"/>
    </row>
    <row r="29" spans="2:144" outlineLevel="1">
      <c r="B29" t="s">
        <v>28</v>
      </c>
      <c r="C29" t="s">
        <v>82</v>
      </c>
      <c r="E29" s="11"/>
      <c r="F29" t="s">
        <v>84</v>
      </c>
      <c r="G29" s="12">
        <v>0.13</v>
      </c>
      <c r="I29" s="11">
        <f t="shared" si="5"/>
        <v>0</v>
      </c>
      <c r="J29" s="13" t="e">
        <f t="shared" si="6"/>
        <v>#VALUE!</v>
      </c>
      <c r="K29" s="13" t="e">
        <f t="shared" si="6"/>
        <v>#VALUE!</v>
      </c>
      <c r="L29" s="11"/>
      <c r="O29" s="12">
        <v>0.5</v>
      </c>
      <c r="P29" s="12">
        <v>0.5</v>
      </c>
      <c r="Q29" s="12">
        <v>0.5</v>
      </c>
      <c r="R29" s="12">
        <v>0.5</v>
      </c>
      <c r="V29" s="12"/>
      <c r="W29" s="12">
        <v>0.5</v>
      </c>
      <c r="X29" s="12"/>
      <c r="Y29" s="12">
        <v>0.8</v>
      </c>
      <c r="AC29" s="12"/>
      <c r="AD29" s="12">
        <v>0.5</v>
      </c>
      <c r="AE29" s="12"/>
      <c r="AF29" s="12">
        <v>0.5</v>
      </c>
      <c r="AJ29" s="12"/>
      <c r="AK29" s="12">
        <v>0.8</v>
      </c>
      <c r="AL29" s="12"/>
      <c r="AM29" s="12">
        <v>0.8</v>
      </c>
      <c r="AP29">
        <v>0</v>
      </c>
      <c r="AQ29" s="12"/>
      <c r="AR29" s="12">
        <v>0.8</v>
      </c>
      <c r="AS29" s="12"/>
      <c r="AT29" s="12">
        <v>0.8</v>
      </c>
      <c r="AX29" s="12"/>
      <c r="AY29" s="12">
        <v>0.8</v>
      </c>
      <c r="AZ29" s="12"/>
      <c r="BA29" s="12">
        <v>0.8</v>
      </c>
      <c r="BE29" s="12"/>
      <c r="BF29" s="12">
        <v>0.8</v>
      </c>
      <c r="BG29" s="12"/>
      <c r="BH29" s="12">
        <v>0.8</v>
      </c>
      <c r="BL29" s="12"/>
      <c r="BM29" s="12">
        <v>1</v>
      </c>
      <c r="BN29" s="12"/>
      <c r="BO29" s="12">
        <v>1</v>
      </c>
      <c r="BS29" s="12"/>
      <c r="BT29" s="12">
        <v>1</v>
      </c>
      <c r="BU29" s="12"/>
      <c r="BV29" s="12">
        <v>1</v>
      </c>
      <c r="BZ29" s="12"/>
      <c r="CA29" s="12">
        <v>1</v>
      </c>
      <c r="CB29" s="12"/>
      <c r="CC29" s="12">
        <v>1</v>
      </c>
      <c r="CG29" s="12"/>
      <c r="CH29" s="12">
        <v>1</v>
      </c>
      <c r="CI29" s="12"/>
      <c r="CJ29" s="12">
        <v>1</v>
      </c>
      <c r="CN29" s="12"/>
      <c r="CO29" s="12">
        <v>1</v>
      </c>
      <c r="CP29" s="12"/>
      <c r="CQ29" s="12">
        <v>1</v>
      </c>
      <c r="CU29" s="12"/>
      <c r="CV29" s="12">
        <v>1</v>
      </c>
      <c r="CW29" s="12"/>
      <c r="CX29" s="12">
        <v>1</v>
      </c>
      <c r="DB29" s="12"/>
      <c r="DC29" s="12">
        <v>1</v>
      </c>
      <c r="DD29" s="12"/>
      <c r="DE29" s="12">
        <v>1</v>
      </c>
      <c r="DI29" s="12"/>
      <c r="DJ29" s="12">
        <v>1</v>
      </c>
      <c r="DK29" s="12"/>
      <c r="DL29" s="12">
        <v>1</v>
      </c>
      <c r="DP29" s="12"/>
      <c r="DQ29" s="12">
        <v>1</v>
      </c>
      <c r="DR29" s="12"/>
      <c r="DS29" s="12">
        <v>1</v>
      </c>
      <c r="DW29" s="12"/>
      <c r="DX29" s="12"/>
      <c r="DY29" s="12"/>
      <c r="DZ29" s="12"/>
      <c r="ED29" s="12"/>
      <c r="EE29" s="12"/>
      <c r="EF29" s="12"/>
      <c r="EG29" s="12"/>
      <c r="EK29" s="12"/>
      <c r="EL29" s="12"/>
      <c r="EM29" s="12"/>
      <c r="EN29" s="12"/>
    </row>
    <row r="30" spans="2:144" outlineLevel="1">
      <c r="B30" t="s">
        <v>28</v>
      </c>
      <c r="C30" t="s">
        <v>82</v>
      </c>
      <c r="E30" s="11"/>
      <c r="F30" t="s">
        <v>85</v>
      </c>
      <c r="G30" s="12">
        <v>0.08</v>
      </c>
      <c r="I30" s="11">
        <f t="shared" si="5"/>
        <v>0</v>
      </c>
      <c r="J30" s="13" t="e">
        <f t="shared" si="6"/>
        <v>#VALUE!</v>
      </c>
      <c r="K30" s="13" t="e">
        <f t="shared" si="6"/>
        <v>#VALUE!</v>
      </c>
      <c r="L30" s="11"/>
      <c r="O30" s="12"/>
      <c r="P30" s="12"/>
      <c r="Q30" s="12"/>
      <c r="R30" s="12"/>
      <c r="V30" s="12"/>
      <c r="W30" s="12">
        <v>0.5</v>
      </c>
      <c r="X30" s="12"/>
      <c r="Y30" s="12">
        <v>0.5</v>
      </c>
      <c r="AC30" s="12"/>
      <c r="AD30" s="12">
        <v>0.5</v>
      </c>
      <c r="AE30" s="12"/>
      <c r="AF30" s="12">
        <v>0.5</v>
      </c>
      <c r="AJ30" s="12"/>
      <c r="AK30" s="12">
        <v>0.8</v>
      </c>
      <c r="AL30" s="12"/>
      <c r="AM30" s="12">
        <v>0.8</v>
      </c>
      <c r="AP30">
        <v>0</v>
      </c>
      <c r="AQ30" s="12"/>
      <c r="AR30" s="12">
        <v>0.8</v>
      </c>
      <c r="AS30" s="12"/>
      <c r="AT30" s="12">
        <v>0.8</v>
      </c>
      <c r="AX30" s="12"/>
      <c r="AY30" s="12">
        <v>0.8</v>
      </c>
      <c r="AZ30" s="12"/>
      <c r="BA30" s="12">
        <v>0.8</v>
      </c>
      <c r="BE30" s="12"/>
      <c r="BF30" s="12">
        <v>0.8</v>
      </c>
      <c r="BG30" s="12"/>
      <c r="BH30" s="12">
        <v>0.8</v>
      </c>
      <c r="BL30" s="12"/>
      <c r="BM30" s="12">
        <v>0.8</v>
      </c>
      <c r="BN30" s="12"/>
      <c r="BO30" s="12">
        <v>0.8</v>
      </c>
      <c r="BS30" s="12"/>
      <c r="BT30" s="12">
        <v>1</v>
      </c>
      <c r="BU30" s="12"/>
      <c r="BV30" s="12">
        <v>1</v>
      </c>
      <c r="BZ30" s="12"/>
      <c r="CA30" s="12">
        <v>1</v>
      </c>
      <c r="CB30" s="12"/>
      <c r="CC30" s="12">
        <v>1</v>
      </c>
      <c r="CG30" s="12"/>
      <c r="CH30" s="12">
        <v>1</v>
      </c>
      <c r="CI30" s="12"/>
      <c r="CJ30" s="12">
        <v>1</v>
      </c>
      <c r="CN30" s="12"/>
      <c r="CO30" s="12">
        <v>1</v>
      </c>
      <c r="CP30" s="12"/>
      <c r="CQ30" s="12">
        <v>1</v>
      </c>
      <c r="CU30" s="12"/>
      <c r="CV30" s="12">
        <v>1</v>
      </c>
      <c r="CW30" s="12"/>
      <c r="CX30" s="12">
        <v>1</v>
      </c>
      <c r="DB30" s="12"/>
      <c r="DC30" s="12">
        <v>1</v>
      </c>
      <c r="DD30" s="12"/>
      <c r="DE30" s="12">
        <v>1</v>
      </c>
      <c r="DI30" s="12"/>
      <c r="DJ30" s="12">
        <v>1</v>
      </c>
      <c r="DK30" s="12"/>
      <c r="DL30" s="12">
        <v>1</v>
      </c>
      <c r="DP30" s="12"/>
      <c r="DQ30" s="12">
        <v>1</v>
      </c>
      <c r="DR30" s="12"/>
      <c r="DS30" s="12">
        <v>1</v>
      </c>
      <c r="DW30" s="12"/>
      <c r="DX30" s="12"/>
      <c r="DY30" s="12"/>
      <c r="DZ30" s="12"/>
      <c r="ED30" s="12"/>
      <c r="EE30" s="12"/>
      <c r="EF30" s="12"/>
      <c r="EG30" s="12"/>
      <c r="EK30" s="12"/>
      <c r="EL30" s="12"/>
      <c r="EM30" s="12"/>
      <c r="EN30" s="12"/>
    </row>
    <row r="31" spans="2:144" outlineLevel="1">
      <c r="B31" t="s">
        <v>28</v>
      </c>
      <c r="C31" t="s">
        <v>82</v>
      </c>
      <c r="E31" s="11"/>
      <c r="F31" t="s">
        <v>86</v>
      </c>
      <c r="G31" s="12">
        <v>7.0000000000000007E-2</v>
      </c>
      <c r="I31" s="11">
        <f t="shared" si="5"/>
        <v>0</v>
      </c>
      <c r="J31" s="13" t="e">
        <f t="shared" si="6"/>
        <v>#VALUE!</v>
      </c>
      <c r="K31" s="13" t="e">
        <f t="shared" si="6"/>
        <v>#VALUE!</v>
      </c>
      <c r="L31" s="11"/>
      <c r="O31" s="12"/>
      <c r="P31" s="12"/>
      <c r="Q31" s="12"/>
      <c r="R31" s="12"/>
      <c r="V31" s="12"/>
      <c r="W31" s="12">
        <v>0.5</v>
      </c>
      <c r="X31" s="12"/>
      <c r="Y31" s="12">
        <v>0.5</v>
      </c>
      <c r="AC31" s="12"/>
      <c r="AD31" s="12">
        <v>0.5</v>
      </c>
      <c r="AE31" s="12"/>
      <c r="AF31" s="12">
        <v>0.5</v>
      </c>
      <c r="AJ31" s="12"/>
      <c r="AK31" s="12">
        <v>0.5</v>
      </c>
      <c r="AL31" s="12"/>
      <c r="AM31" s="12">
        <v>0.5</v>
      </c>
      <c r="AP31">
        <v>0</v>
      </c>
      <c r="AQ31" s="12"/>
      <c r="AR31" s="12">
        <v>0.8</v>
      </c>
      <c r="AS31" s="12"/>
      <c r="AT31" s="12">
        <v>0.8</v>
      </c>
      <c r="AX31" s="12"/>
      <c r="AY31" s="12">
        <v>0.8</v>
      </c>
      <c r="AZ31" s="12"/>
      <c r="BA31" s="12">
        <v>0.8</v>
      </c>
      <c r="BE31" s="12"/>
      <c r="BF31" s="12">
        <v>0.8</v>
      </c>
      <c r="BG31" s="12"/>
      <c r="BH31" s="12">
        <v>0.8</v>
      </c>
      <c r="BL31" s="12"/>
      <c r="BM31" s="12">
        <v>0.8</v>
      </c>
      <c r="BN31" s="12"/>
      <c r="BO31" s="12">
        <v>0.8</v>
      </c>
      <c r="BS31" s="12"/>
      <c r="BT31" s="12">
        <v>0.8</v>
      </c>
      <c r="BU31" s="12"/>
      <c r="BV31" s="12">
        <v>0.8</v>
      </c>
      <c r="BZ31" s="12"/>
      <c r="CA31" s="12">
        <v>1</v>
      </c>
      <c r="CB31" s="12"/>
      <c r="CC31" s="12">
        <v>1</v>
      </c>
      <c r="CG31" s="12"/>
      <c r="CH31" s="12">
        <v>1</v>
      </c>
      <c r="CI31" s="12"/>
      <c r="CJ31" s="12">
        <v>1</v>
      </c>
      <c r="CN31" s="12"/>
      <c r="CO31" s="12">
        <v>1</v>
      </c>
      <c r="CP31" s="12"/>
      <c r="CQ31" s="12">
        <v>1</v>
      </c>
      <c r="CU31" s="12"/>
      <c r="CV31" s="12">
        <v>1</v>
      </c>
      <c r="CW31" s="12"/>
      <c r="CX31" s="12">
        <v>1</v>
      </c>
      <c r="DB31" s="12"/>
      <c r="DC31" s="12">
        <v>1</v>
      </c>
      <c r="DD31" s="12"/>
      <c r="DE31" s="12">
        <v>1</v>
      </c>
      <c r="DI31" s="12"/>
      <c r="DJ31" s="12">
        <v>1</v>
      </c>
      <c r="DK31" s="12"/>
      <c r="DL31" s="12">
        <v>1</v>
      </c>
      <c r="DP31" s="12"/>
      <c r="DQ31" s="12">
        <v>1</v>
      </c>
      <c r="DR31" s="12"/>
      <c r="DS31" s="12">
        <v>1</v>
      </c>
      <c r="DW31" s="12"/>
      <c r="DX31" s="12"/>
      <c r="DY31" s="12"/>
      <c r="DZ31" s="12"/>
      <c r="ED31" s="12"/>
      <c r="EE31" s="12"/>
      <c r="EF31" s="12"/>
      <c r="EG31" s="12"/>
      <c r="EK31" s="12"/>
      <c r="EL31" s="12"/>
      <c r="EM31" s="12"/>
      <c r="EN31" s="12"/>
    </row>
    <row r="32" spans="2:144" outlineLevel="1">
      <c r="B32" t="s">
        <v>28</v>
      </c>
      <c r="C32" t="s">
        <v>82</v>
      </c>
      <c r="E32" s="11"/>
      <c r="F32" t="s">
        <v>87</v>
      </c>
      <c r="G32" s="12">
        <v>0.12</v>
      </c>
      <c r="I32" s="11">
        <f t="shared" si="5"/>
        <v>0</v>
      </c>
      <c r="J32" s="13" t="e">
        <f t="shared" si="6"/>
        <v>#VALUE!</v>
      </c>
      <c r="K32" s="13" t="e">
        <f t="shared" si="6"/>
        <v>#VALUE!</v>
      </c>
      <c r="L32" s="11"/>
      <c r="O32" s="12"/>
      <c r="P32" s="12"/>
      <c r="Q32" s="12"/>
      <c r="R32" s="12"/>
      <c r="V32" s="12"/>
      <c r="W32" s="12">
        <v>0.5</v>
      </c>
      <c r="X32" s="12"/>
      <c r="Y32" s="12">
        <v>0.5</v>
      </c>
      <c r="AC32" s="12"/>
      <c r="AD32" s="12">
        <v>0.5</v>
      </c>
      <c r="AE32" s="12"/>
      <c r="AF32" s="12">
        <v>0.5</v>
      </c>
      <c r="AJ32" s="12"/>
      <c r="AK32" s="12">
        <v>0.5</v>
      </c>
      <c r="AL32" s="12"/>
      <c r="AM32" s="12">
        <v>0.5</v>
      </c>
      <c r="AP32">
        <v>0</v>
      </c>
      <c r="AQ32" s="12"/>
      <c r="AR32" s="12">
        <v>0.5</v>
      </c>
      <c r="AS32" s="12"/>
      <c r="AT32" s="12">
        <v>0.5</v>
      </c>
      <c r="AX32" s="12"/>
      <c r="AY32" s="12">
        <v>0.8</v>
      </c>
      <c r="AZ32" s="12"/>
      <c r="BA32" s="12">
        <v>0.8</v>
      </c>
      <c r="BE32" s="12"/>
      <c r="BF32" s="12">
        <v>0.8</v>
      </c>
      <c r="BG32" s="12"/>
      <c r="BH32" s="12">
        <v>0.8</v>
      </c>
      <c r="BL32" s="12"/>
      <c r="BM32" s="12">
        <v>0.8</v>
      </c>
      <c r="BN32" s="12"/>
      <c r="BO32" s="12">
        <v>0.8</v>
      </c>
      <c r="BS32" s="12"/>
      <c r="BT32" s="12">
        <v>0.8</v>
      </c>
      <c r="BU32" s="12"/>
      <c r="BV32" s="12">
        <v>0.8</v>
      </c>
      <c r="BZ32" s="12"/>
      <c r="CA32" s="12">
        <v>0.8</v>
      </c>
      <c r="CB32" s="12"/>
      <c r="CC32" s="12">
        <v>0.8</v>
      </c>
      <c r="CG32" s="12"/>
      <c r="CH32" s="12">
        <v>1</v>
      </c>
      <c r="CI32" s="12"/>
      <c r="CJ32" s="12">
        <v>1</v>
      </c>
      <c r="CN32" s="12"/>
      <c r="CO32" s="12">
        <v>1</v>
      </c>
      <c r="CP32" s="12"/>
      <c r="CQ32" s="12">
        <v>1</v>
      </c>
      <c r="CU32" s="12"/>
      <c r="CV32" s="12">
        <v>1</v>
      </c>
      <c r="CW32" s="12"/>
      <c r="CX32" s="12">
        <v>1</v>
      </c>
      <c r="DB32" s="12"/>
      <c r="DC32" s="12">
        <v>1</v>
      </c>
      <c r="DD32" s="12"/>
      <c r="DE32" s="12">
        <v>1</v>
      </c>
      <c r="DI32" s="12"/>
      <c r="DJ32" s="12">
        <v>1</v>
      </c>
      <c r="DK32" s="12"/>
      <c r="DL32" s="12">
        <v>1</v>
      </c>
      <c r="DP32" s="12"/>
      <c r="DQ32" s="12">
        <v>1</v>
      </c>
      <c r="DR32" s="12"/>
      <c r="DS32" s="12">
        <v>1</v>
      </c>
      <c r="DW32" s="12"/>
      <c r="DX32" s="12"/>
      <c r="DY32" s="12"/>
      <c r="DZ32" s="12"/>
      <c r="ED32" s="12"/>
      <c r="EE32" s="12"/>
      <c r="EF32" s="12"/>
      <c r="EG32" s="12"/>
      <c r="EK32" s="12"/>
      <c r="EL32" s="12"/>
      <c r="EM32" s="12"/>
      <c r="EN32" s="12"/>
    </row>
    <row r="33" spans="2:144" outlineLevel="1">
      <c r="B33" t="s">
        <v>28</v>
      </c>
      <c r="C33" t="s">
        <v>82</v>
      </c>
      <c r="E33" s="11"/>
      <c r="F33" t="s">
        <v>88</v>
      </c>
      <c r="G33" s="12">
        <v>0.09</v>
      </c>
      <c r="I33" s="11">
        <f t="shared" si="5"/>
        <v>2</v>
      </c>
      <c r="J33" s="13" t="e">
        <f t="shared" si="6"/>
        <v>#VALUE!</v>
      </c>
      <c r="K33" s="13" t="e">
        <f t="shared" si="6"/>
        <v>#VALUE!</v>
      </c>
      <c r="L33" s="11"/>
      <c r="O33" s="12"/>
      <c r="P33" s="12"/>
      <c r="Q33" s="12"/>
      <c r="R33" s="12"/>
      <c r="V33" s="12"/>
      <c r="W33" s="12"/>
      <c r="X33" s="12"/>
      <c r="Y33" s="12"/>
      <c r="AC33" s="12"/>
      <c r="AD33" s="12">
        <v>0.5</v>
      </c>
      <c r="AE33" s="12"/>
      <c r="AF33" s="12">
        <v>0.5</v>
      </c>
      <c r="AJ33" s="12"/>
      <c r="AK33" s="12">
        <v>0.5</v>
      </c>
      <c r="AL33" s="12"/>
      <c r="AM33" s="12">
        <v>0.5</v>
      </c>
      <c r="AP33">
        <v>2</v>
      </c>
      <c r="AQ33" s="12"/>
      <c r="AR33" s="12">
        <v>0.5</v>
      </c>
      <c r="AS33" s="12"/>
      <c r="AT33" s="12">
        <v>0.5</v>
      </c>
      <c r="AX33" s="12"/>
      <c r="AY33" s="12">
        <v>0.5</v>
      </c>
      <c r="AZ33" s="12"/>
      <c r="BA33" s="12">
        <v>0.5</v>
      </c>
      <c r="BE33" s="12"/>
      <c r="BF33" s="12">
        <v>0.5</v>
      </c>
      <c r="BG33" s="12"/>
      <c r="BH33" s="12">
        <v>0.5</v>
      </c>
      <c r="BL33" s="12"/>
      <c r="BM33" s="12">
        <v>0.8</v>
      </c>
      <c r="BN33" s="12"/>
      <c r="BO33" s="12">
        <v>0.8</v>
      </c>
      <c r="BS33" s="12"/>
      <c r="BT33" s="12">
        <v>0.8</v>
      </c>
      <c r="BU33" s="12"/>
      <c r="BV33" s="12">
        <v>0.8</v>
      </c>
      <c r="BZ33" s="12"/>
      <c r="CA33" s="12">
        <v>0.8</v>
      </c>
      <c r="CB33" s="12"/>
      <c r="CC33" s="12">
        <v>0.8</v>
      </c>
      <c r="CG33" s="12"/>
      <c r="CH33" s="12">
        <v>0.8</v>
      </c>
      <c r="CI33" s="12"/>
      <c r="CJ33" s="12">
        <v>0.8</v>
      </c>
      <c r="CN33" s="12"/>
      <c r="CO33" s="12">
        <v>1</v>
      </c>
      <c r="CP33" s="12"/>
      <c r="CQ33" s="12">
        <v>1</v>
      </c>
      <c r="CU33" s="12"/>
      <c r="CV33" s="12">
        <v>1</v>
      </c>
      <c r="CW33" s="12"/>
      <c r="CX33" s="12">
        <v>1</v>
      </c>
      <c r="DB33" s="12"/>
      <c r="DC33" s="12">
        <v>1</v>
      </c>
      <c r="DD33" s="12"/>
      <c r="DE33" s="12">
        <v>1</v>
      </c>
      <c r="DI33" s="12"/>
      <c r="DJ33" s="12">
        <v>1</v>
      </c>
      <c r="DK33" s="12"/>
      <c r="DL33" s="12">
        <v>1</v>
      </c>
      <c r="DP33" s="12"/>
      <c r="DQ33" s="12">
        <v>1</v>
      </c>
      <c r="DR33" s="12"/>
      <c r="DS33" s="12">
        <v>1</v>
      </c>
      <c r="DW33" s="12"/>
      <c r="DX33" s="12"/>
      <c r="DY33" s="12"/>
      <c r="DZ33" s="12"/>
      <c r="ED33" s="12"/>
      <c r="EE33" s="12"/>
      <c r="EF33" s="12"/>
      <c r="EG33" s="12"/>
      <c r="EK33" s="12"/>
      <c r="EL33" s="12"/>
      <c r="EM33" s="12"/>
      <c r="EN33" s="12"/>
    </row>
    <row r="34" spans="2:144" outlineLevel="1">
      <c r="B34" t="s">
        <v>28</v>
      </c>
      <c r="C34" t="s">
        <v>82</v>
      </c>
      <c r="E34" s="11"/>
      <c r="F34" t="s">
        <v>89</v>
      </c>
      <c r="G34" s="12">
        <v>0.05</v>
      </c>
      <c r="I34" s="11">
        <f t="shared" si="5"/>
        <v>2</v>
      </c>
      <c r="J34" s="13" t="e">
        <f t="shared" si="6"/>
        <v>#VALUE!</v>
      </c>
      <c r="K34" s="13" t="e">
        <f t="shared" si="6"/>
        <v>#VALUE!</v>
      </c>
      <c r="L34" s="11"/>
      <c r="O34" s="12"/>
      <c r="P34" s="12"/>
      <c r="Q34" s="12"/>
      <c r="R34" s="12"/>
      <c r="V34" s="12"/>
      <c r="W34" s="12"/>
      <c r="X34" s="12"/>
      <c r="Y34" s="12"/>
      <c r="AC34" s="12"/>
      <c r="AD34" s="12"/>
      <c r="AE34" s="12"/>
      <c r="AF34" s="12"/>
      <c r="AJ34" s="12"/>
      <c r="AK34" s="12">
        <v>0.5</v>
      </c>
      <c r="AL34" s="12"/>
      <c r="AM34" s="12">
        <v>0.5</v>
      </c>
      <c r="AP34">
        <v>2</v>
      </c>
      <c r="AQ34" s="12"/>
      <c r="AR34" s="12">
        <v>0.5</v>
      </c>
      <c r="AS34" s="12"/>
      <c r="AT34" s="12">
        <v>0.5</v>
      </c>
      <c r="AX34" s="12"/>
      <c r="AY34" s="12">
        <v>0.5</v>
      </c>
      <c r="AZ34" s="12"/>
      <c r="BA34" s="12">
        <v>0.5</v>
      </c>
      <c r="BE34" s="12"/>
      <c r="BF34" s="12">
        <v>0.5</v>
      </c>
      <c r="BG34" s="12"/>
      <c r="BH34" s="12">
        <v>0.5</v>
      </c>
      <c r="BL34" s="12"/>
      <c r="BM34" s="12">
        <v>0.8</v>
      </c>
      <c r="BN34" s="12"/>
      <c r="BO34" s="12">
        <v>0.8</v>
      </c>
      <c r="BS34" s="12"/>
      <c r="BT34" s="12">
        <v>0.8</v>
      </c>
      <c r="BU34" s="12"/>
      <c r="BV34" s="12">
        <v>0.8</v>
      </c>
      <c r="BZ34" s="12"/>
      <c r="CA34" s="12">
        <v>0.8</v>
      </c>
      <c r="CB34" s="12"/>
      <c r="CC34" s="12">
        <v>0.8</v>
      </c>
      <c r="CG34" s="12"/>
      <c r="CH34" s="12">
        <v>0.8</v>
      </c>
      <c r="CI34" s="12"/>
      <c r="CJ34" s="12">
        <v>0.8</v>
      </c>
      <c r="CN34" s="12"/>
      <c r="CO34" s="12">
        <v>1</v>
      </c>
      <c r="CP34" s="12"/>
      <c r="CQ34" s="12">
        <v>1</v>
      </c>
      <c r="CU34" s="12"/>
      <c r="CV34" s="12">
        <v>1</v>
      </c>
      <c r="CW34" s="12"/>
      <c r="CX34" s="12">
        <v>1</v>
      </c>
      <c r="DB34" s="12"/>
      <c r="DC34" s="12">
        <v>1</v>
      </c>
      <c r="DD34" s="12"/>
      <c r="DE34" s="12">
        <v>1</v>
      </c>
      <c r="DI34" s="12"/>
      <c r="DJ34" s="12">
        <v>1</v>
      </c>
      <c r="DK34" s="12"/>
      <c r="DL34" s="12">
        <v>1</v>
      </c>
      <c r="DP34" s="12"/>
      <c r="DQ34" s="12">
        <v>1</v>
      </c>
      <c r="DR34" s="12"/>
      <c r="DS34" s="12">
        <v>1</v>
      </c>
      <c r="DW34" s="12"/>
      <c r="DX34" s="12"/>
      <c r="DY34" s="12"/>
      <c r="DZ34" s="12"/>
      <c r="ED34" s="12"/>
      <c r="EE34" s="12"/>
      <c r="EF34" s="12"/>
      <c r="EG34" s="12"/>
      <c r="EK34" s="12"/>
      <c r="EL34" s="12"/>
      <c r="EM34" s="12"/>
      <c r="EN34" s="12"/>
    </row>
    <row r="35" spans="2:144" outlineLevel="1">
      <c r="B35" t="s">
        <v>28</v>
      </c>
      <c r="C35" t="s">
        <v>82</v>
      </c>
      <c r="E35" s="11"/>
      <c r="F35" t="s">
        <v>90</v>
      </c>
      <c r="G35" s="12">
        <v>0.05</v>
      </c>
      <c r="I35" s="11">
        <f t="shared" si="5"/>
        <v>2</v>
      </c>
      <c r="J35" s="13" t="e">
        <f t="shared" si="6"/>
        <v>#VALUE!</v>
      </c>
      <c r="K35" s="13" t="e">
        <f t="shared" si="6"/>
        <v>#VALUE!</v>
      </c>
      <c r="L35" s="11"/>
      <c r="O35" s="12"/>
      <c r="P35" s="12"/>
      <c r="Q35" s="12"/>
      <c r="R35" s="12"/>
      <c r="V35" s="12"/>
      <c r="W35" s="12"/>
      <c r="X35" s="12"/>
      <c r="Y35" s="12"/>
      <c r="AC35" s="12"/>
      <c r="AD35" s="12"/>
      <c r="AE35" s="12"/>
      <c r="AF35" s="12"/>
      <c r="AJ35" s="12"/>
      <c r="AK35" s="12"/>
      <c r="AL35" s="12"/>
      <c r="AM35" s="12"/>
      <c r="AP35">
        <v>2</v>
      </c>
      <c r="AQ35" s="12"/>
      <c r="AR35" s="12">
        <v>0.5</v>
      </c>
      <c r="AS35" s="12"/>
      <c r="AT35" s="12">
        <v>0.5</v>
      </c>
      <c r="AX35" s="12"/>
      <c r="AY35" s="12">
        <v>0.5</v>
      </c>
      <c r="AZ35" s="12"/>
      <c r="BA35" s="12">
        <v>0.5</v>
      </c>
      <c r="BE35" s="12"/>
      <c r="BF35" s="12">
        <v>0.5</v>
      </c>
      <c r="BG35" s="12"/>
      <c r="BH35" s="12">
        <v>0.5</v>
      </c>
      <c r="BL35" s="12"/>
      <c r="BM35" s="12">
        <v>0.5</v>
      </c>
      <c r="BN35" s="12"/>
      <c r="BO35" s="12">
        <v>0.5</v>
      </c>
      <c r="BS35" s="12"/>
      <c r="BT35" s="12">
        <v>0.8</v>
      </c>
      <c r="BU35" s="12"/>
      <c r="BV35" s="12">
        <v>0.8</v>
      </c>
      <c r="BZ35" s="12"/>
      <c r="CA35" s="12">
        <v>0.8</v>
      </c>
      <c r="CB35" s="12"/>
      <c r="CC35" s="12">
        <v>0.8</v>
      </c>
      <c r="CG35" s="12"/>
      <c r="CH35" s="12">
        <v>0.8</v>
      </c>
      <c r="CI35" s="12"/>
      <c r="CJ35" s="12">
        <v>0.8</v>
      </c>
      <c r="CN35" s="12"/>
      <c r="CO35" s="12">
        <v>1</v>
      </c>
      <c r="CP35" s="12"/>
      <c r="CQ35" s="12">
        <v>1</v>
      </c>
      <c r="CU35" s="12"/>
      <c r="CV35" s="12">
        <v>1</v>
      </c>
      <c r="CW35" s="12"/>
      <c r="CX35" s="12">
        <v>1</v>
      </c>
      <c r="DB35" s="12"/>
      <c r="DC35" s="12">
        <v>1</v>
      </c>
      <c r="DD35" s="12"/>
      <c r="DE35" s="12">
        <v>1</v>
      </c>
      <c r="DI35" s="12"/>
      <c r="DJ35" s="12">
        <v>1</v>
      </c>
      <c r="DK35" s="12"/>
      <c r="DL35" s="12">
        <v>1</v>
      </c>
      <c r="DP35" s="12"/>
      <c r="DQ35" s="12">
        <v>1</v>
      </c>
      <c r="DR35" s="12"/>
      <c r="DS35" s="12">
        <v>1</v>
      </c>
      <c r="DW35" s="12"/>
      <c r="DX35" s="12"/>
      <c r="DY35" s="12"/>
      <c r="DZ35" s="12"/>
      <c r="ED35" s="12"/>
      <c r="EE35" s="12"/>
      <c r="EF35" s="12"/>
      <c r="EG35" s="12"/>
      <c r="EK35" s="12"/>
      <c r="EL35" s="12"/>
      <c r="EM35" s="12"/>
      <c r="EN35" s="12"/>
    </row>
    <row r="36" spans="2:144" outlineLevel="1">
      <c r="B36" t="s">
        <v>28</v>
      </c>
      <c r="C36" t="s">
        <v>82</v>
      </c>
      <c r="E36" s="11"/>
      <c r="F36" t="s">
        <v>91</v>
      </c>
      <c r="G36" s="12">
        <v>0.05</v>
      </c>
      <c r="I36" s="11">
        <f t="shared" si="5"/>
        <v>0</v>
      </c>
      <c r="J36" s="13" t="e">
        <f t="shared" si="6"/>
        <v>#VALUE!</v>
      </c>
      <c r="K36" s="13" t="e">
        <f t="shared" si="6"/>
        <v>#VALUE!</v>
      </c>
      <c r="L36" s="11"/>
      <c r="O36" s="12"/>
      <c r="P36" s="12"/>
      <c r="Q36" s="12"/>
      <c r="R36" s="12"/>
      <c r="V36" s="12"/>
      <c r="W36" s="12"/>
      <c r="X36" s="12"/>
      <c r="Y36" s="12"/>
      <c r="AC36" s="12"/>
      <c r="AD36" s="12"/>
      <c r="AE36" s="12"/>
      <c r="AF36" s="12"/>
      <c r="AJ36" s="12"/>
      <c r="AK36" s="12"/>
      <c r="AL36" s="12"/>
      <c r="AM36" s="12"/>
      <c r="AQ36" s="12"/>
      <c r="AR36" s="12"/>
      <c r="AS36" s="12"/>
      <c r="AT36" s="12"/>
      <c r="AX36" s="12"/>
      <c r="AY36" s="12">
        <v>0.5</v>
      </c>
      <c r="AZ36" s="12"/>
      <c r="BA36" s="12">
        <v>0.5</v>
      </c>
      <c r="BE36" s="12"/>
      <c r="BF36" s="12">
        <v>0.5</v>
      </c>
      <c r="BG36" s="12"/>
      <c r="BH36" s="12">
        <v>0.5</v>
      </c>
      <c r="BL36" s="12"/>
      <c r="BM36" s="12">
        <v>0.5</v>
      </c>
      <c r="BN36" s="12"/>
      <c r="BO36" s="12">
        <v>0.5</v>
      </c>
      <c r="BS36" s="12"/>
      <c r="BT36" s="12">
        <v>0.5</v>
      </c>
      <c r="BU36" s="12"/>
      <c r="BV36" s="12">
        <v>0.5</v>
      </c>
      <c r="BZ36" s="12"/>
      <c r="CA36" s="12">
        <v>0.8</v>
      </c>
      <c r="CB36" s="12"/>
      <c r="CC36" s="12">
        <v>0.8</v>
      </c>
      <c r="CG36" s="12"/>
      <c r="CH36" s="12">
        <v>0.8</v>
      </c>
      <c r="CI36" s="12"/>
      <c r="CJ36" s="12">
        <v>0.8</v>
      </c>
      <c r="CN36" s="12"/>
      <c r="CO36" s="12">
        <v>0.8</v>
      </c>
      <c r="CP36" s="12"/>
      <c r="CQ36" s="12">
        <v>0.8</v>
      </c>
      <c r="CU36" s="12"/>
      <c r="CV36" s="12">
        <v>1</v>
      </c>
      <c r="CW36" s="12"/>
      <c r="CX36" s="12">
        <v>1</v>
      </c>
      <c r="DB36" s="12"/>
      <c r="DC36" s="12">
        <v>1</v>
      </c>
      <c r="DD36" s="12"/>
      <c r="DE36" s="12">
        <v>1</v>
      </c>
      <c r="DI36" s="12"/>
      <c r="DJ36" s="12">
        <v>1</v>
      </c>
      <c r="DK36" s="12"/>
      <c r="DL36" s="12">
        <v>1</v>
      </c>
      <c r="DP36" s="12"/>
      <c r="DQ36" s="12">
        <v>1</v>
      </c>
      <c r="DR36" s="12"/>
      <c r="DS36" s="12">
        <v>1</v>
      </c>
      <c r="DW36" s="12"/>
      <c r="DX36" s="12"/>
      <c r="DY36" s="12"/>
      <c r="DZ36" s="12"/>
      <c r="ED36" s="12"/>
      <c r="EE36" s="12"/>
      <c r="EF36" s="12"/>
      <c r="EG36" s="12"/>
      <c r="EK36" s="12"/>
      <c r="EL36" s="12"/>
      <c r="EM36" s="12"/>
      <c r="EN36" s="12"/>
    </row>
    <row r="37" spans="2:144" outlineLevel="1">
      <c r="B37" t="s">
        <v>28</v>
      </c>
      <c r="C37" t="s">
        <v>82</v>
      </c>
      <c r="E37" s="11"/>
      <c r="F37" t="s">
        <v>92</v>
      </c>
      <c r="G37" s="12">
        <v>0.1</v>
      </c>
      <c r="I37" s="11">
        <f t="shared" si="5"/>
        <v>0</v>
      </c>
      <c r="J37" s="13" t="e">
        <f t="shared" si="6"/>
        <v>#VALUE!</v>
      </c>
      <c r="K37" s="13" t="e">
        <f t="shared" si="6"/>
        <v>#VALUE!</v>
      </c>
      <c r="L37" s="11"/>
      <c r="O37" s="12"/>
      <c r="P37" s="12"/>
      <c r="Q37" s="12"/>
      <c r="R37" s="12"/>
      <c r="V37" s="12"/>
      <c r="W37" s="12"/>
      <c r="X37" s="12"/>
      <c r="Y37" s="12"/>
      <c r="AC37" s="12"/>
      <c r="AD37" s="12"/>
      <c r="AE37" s="12"/>
      <c r="AF37" s="12"/>
      <c r="AJ37" s="12"/>
      <c r="AK37" s="12"/>
      <c r="AL37" s="12"/>
      <c r="AM37" s="12"/>
      <c r="AQ37" s="12"/>
      <c r="AR37" s="12"/>
      <c r="AS37" s="12"/>
      <c r="AT37" s="12"/>
      <c r="AX37" s="12"/>
      <c r="AY37" s="12">
        <v>0.5</v>
      </c>
      <c r="AZ37" s="12"/>
      <c r="BA37" s="12">
        <v>0.5</v>
      </c>
      <c r="BE37" s="12"/>
      <c r="BF37" s="12">
        <v>0.5</v>
      </c>
      <c r="BG37" s="12"/>
      <c r="BH37" s="12">
        <v>0.5</v>
      </c>
      <c r="BL37" s="12"/>
      <c r="BM37" s="12">
        <v>0.5</v>
      </c>
      <c r="BN37" s="12"/>
      <c r="BO37" s="12">
        <v>0.5</v>
      </c>
      <c r="BS37" s="12"/>
      <c r="BT37" s="12">
        <v>0.5</v>
      </c>
      <c r="BU37" s="12"/>
      <c r="BV37" s="12">
        <v>0.5</v>
      </c>
      <c r="BZ37" s="12"/>
      <c r="CA37" s="12">
        <v>0.8</v>
      </c>
      <c r="CB37" s="12"/>
      <c r="CC37" s="12">
        <v>0.8</v>
      </c>
      <c r="CG37" s="12"/>
      <c r="CH37" s="12">
        <v>0.8</v>
      </c>
      <c r="CI37" s="12"/>
      <c r="CJ37" s="12">
        <v>0.8</v>
      </c>
      <c r="CN37" s="12"/>
      <c r="CO37" s="12">
        <v>0.8</v>
      </c>
      <c r="CP37" s="12"/>
      <c r="CQ37" s="12">
        <v>0.8</v>
      </c>
      <c r="CU37" s="12"/>
      <c r="CV37" s="12">
        <v>1</v>
      </c>
      <c r="CW37" s="12"/>
      <c r="CX37" s="12">
        <v>1</v>
      </c>
      <c r="DB37" s="12"/>
      <c r="DC37" s="12">
        <v>1</v>
      </c>
      <c r="DD37" s="12"/>
      <c r="DE37" s="12">
        <v>1</v>
      </c>
      <c r="DI37" s="12"/>
      <c r="DJ37" s="12">
        <v>1</v>
      </c>
      <c r="DK37" s="12"/>
      <c r="DL37" s="12">
        <v>1</v>
      </c>
      <c r="DP37" s="12"/>
      <c r="DQ37" s="12">
        <v>1</v>
      </c>
      <c r="DR37" s="12"/>
      <c r="DS37" s="12">
        <v>1</v>
      </c>
      <c r="DW37" s="12"/>
      <c r="DX37" s="12"/>
      <c r="DY37" s="12"/>
      <c r="DZ37" s="12"/>
      <c r="ED37" s="12"/>
      <c r="EE37" s="12"/>
      <c r="EF37" s="12"/>
      <c r="EG37" s="12"/>
      <c r="EK37" s="12"/>
      <c r="EL37" s="12"/>
      <c r="EM37" s="12"/>
      <c r="EN37" s="12"/>
    </row>
    <row r="38" spans="2:144" outlineLevel="1">
      <c r="B38" t="s">
        <v>28</v>
      </c>
      <c r="C38" t="s">
        <v>82</v>
      </c>
      <c r="E38" s="11"/>
      <c r="F38" t="s">
        <v>93</v>
      </c>
      <c r="G38" s="12">
        <v>0.17</v>
      </c>
      <c r="I38" s="11">
        <f t="shared" si="5"/>
        <v>0</v>
      </c>
      <c r="J38" s="13" t="e">
        <f t="shared" si="6"/>
        <v>#VALUE!</v>
      </c>
      <c r="K38" s="13" t="e">
        <f t="shared" si="6"/>
        <v>#VALUE!</v>
      </c>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v>0.5</v>
      </c>
      <c r="BG38" s="12"/>
      <c r="BH38" s="12">
        <v>0.5</v>
      </c>
      <c r="BL38" s="12"/>
      <c r="BM38" s="12">
        <v>0.5</v>
      </c>
      <c r="BN38" s="12"/>
      <c r="BO38" s="12">
        <v>0.5</v>
      </c>
      <c r="BS38" s="12"/>
      <c r="BT38" s="12">
        <v>0.5</v>
      </c>
      <c r="BU38" s="12"/>
      <c r="BV38" s="12">
        <v>0.5</v>
      </c>
      <c r="BZ38" s="12"/>
      <c r="CA38" s="12">
        <v>0.5</v>
      </c>
      <c r="CB38" s="12"/>
      <c r="CC38" s="12">
        <v>0.5</v>
      </c>
      <c r="CG38" s="12"/>
      <c r="CH38" s="12">
        <v>0.8</v>
      </c>
      <c r="CI38" s="12"/>
      <c r="CJ38" s="12">
        <v>0.8</v>
      </c>
      <c r="CN38" s="12"/>
      <c r="CO38" s="12">
        <v>0.8</v>
      </c>
      <c r="CP38" s="12"/>
      <c r="CQ38" s="12">
        <v>0.8</v>
      </c>
      <c r="CU38" s="12"/>
      <c r="CV38" s="12">
        <v>1</v>
      </c>
      <c r="CW38" s="12"/>
      <c r="CX38" s="12">
        <v>1</v>
      </c>
      <c r="DB38" s="12"/>
      <c r="DC38" s="12">
        <v>1</v>
      </c>
      <c r="DD38" s="12"/>
      <c r="DE38" s="12">
        <v>1</v>
      </c>
      <c r="DI38" s="12"/>
      <c r="DJ38" s="12">
        <v>1</v>
      </c>
      <c r="DK38" s="12"/>
      <c r="DL38" s="12">
        <v>1</v>
      </c>
      <c r="DP38" s="12"/>
      <c r="DQ38" s="12">
        <v>1</v>
      </c>
      <c r="DR38" s="12"/>
      <c r="DS38" s="12">
        <v>1</v>
      </c>
      <c r="DW38" s="12"/>
      <c r="DX38" s="12"/>
      <c r="DY38" s="12"/>
      <c r="DZ38" s="12"/>
      <c r="ED38" s="12"/>
      <c r="EE38" s="12"/>
      <c r="EF38" s="12"/>
      <c r="EG38" s="12"/>
      <c r="EK38" s="12"/>
      <c r="EL38" s="12"/>
      <c r="EM38" s="12"/>
      <c r="EN38" s="12"/>
    </row>
    <row r="42" spans="2:144">
      <c r="B42" t="s">
        <v>27</v>
      </c>
      <c r="C42" t="s">
        <v>101</v>
      </c>
      <c r="E42" s="11">
        <v>9</v>
      </c>
      <c r="G42" s="12">
        <f>+SUM(G43:G54)</f>
        <v>0.86999999999999988</v>
      </c>
      <c r="I42" s="14">
        <f>+SUM(I43:I54)</f>
        <v>0</v>
      </c>
      <c r="J42" s="13" t="e">
        <f>+SUMPRODUCT(G43:G54,J43:J54)</f>
        <v>#VALUE!</v>
      </c>
      <c r="K42" s="13" t="e">
        <f>+SUMPRODUCT(G43:G54,K43:K54)</f>
        <v>#VALUE!</v>
      </c>
      <c r="L42" s="11"/>
      <c r="N42" s="14">
        <f>+SUM(N43:N54)</f>
        <v>0</v>
      </c>
      <c r="U42" s="14">
        <f>+SUM(U43:U54)</f>
        <v>0</v>
      </c>
      <c r="AB42" s="14">
        <f>+SUM(AB43:AB54)</f>
        <v>0</v>
      </c>
      <c r="AI42" s="14">
        <f>+SUM(AI43:AI54)</f>
        <v>0</v>
      </c>
      <c r="AP42" s="14">
        <f>+SUM(AP43:AP54)</f>
        <v>0</v>
      </c>
      <c r="AW42" s="14">
        <f>+SUM(AW43:AW54)</f>
        <v>0</v>
      </c>
      <c r="BD42" s="14"/>
      <c r="BK42" s="14"/>
      <c r="BR42" s="14"/>
      <c r="BY42" s="14"/>
      <c r="CF42" s="14"/>
      <c r="CM42" s="14"/>
      <c r="CT42" s="14"/>
      <c r="DA42" s="14"/>
      <c r="DH42" s="14"/>
      <c r="DO42" s="14"/>
      <c r="DV42" s="14"/>
      <c r="EC42" s="14"/>
      <c r="EJ42" s="14"/>
    </row>
    <row r="43" spans="2:144" outlineLevel="1">
      <c r="B43" t="s">
        <v>28</v>
      </c>
      <c r="C43" t="s">
        <v>101</v>
      </c>
      <c r="E43" s="11"/>
      <c r="F43" t="s">
        <v>102</v>
      </c>
      <c r="G43" s="12">
        <v>0.08</v>
      </c>
      <c r="H43" s="11"/>
      <c r="I43" s="11">
        <f>+SUMIF($N$3:$UQ$3,I$3,$N43:$ZN43)</f>
        <v>0</v>
      </c>
      <c r="J43" s="13" t="e">
        <f t="shared" ref="J43:K45" si="7">+_xlfn.MAXIFS($N43:$YT43,$N$3:$TW$3,J$3)</f>
        <v>#VALUE!</v>
      </c>
      <c r="K43" s="13" t="e">
        <f t="shared" si="7"/>
        <v>#VALUE!</v>
      </c>
      <c r="L43" s="11"/>
      <c r="O43" s="12">
        <v>0.8</v>
      </c>
      <c r="P43" s="12">
        <v>0.5</v>
      </c>
      <c r="Q43" s="12">
        <v>0.8</v>
      </c>
      <c r="R43" s="12">
        <v>0.5</v>
      </c>
      <c r="V43" s="12"/>
      <c r="W43" s="12">
        <v>0.5</v>
      </c>
      <c r="X43" s="12"/>
      <c r="Y43" s="12">
        <v>0.5</v>
      </c>
      <c r="AC43" s="12"/>
      <c r="AD43" s="12">
        <v>0.8</v>
      </c>
      <c r="AE43" s="12"/>
      <c r="AF43" s="12">
        <v>0.8</v>
      </c>
      <c r="AJ43" s="12"/>
      <c r="AK43" s="12">
        <v>0.8</v>
      </c>
      <c r="AL43" s="12"/>
      <c r="AM43" s="12">
        <v>0.8</v>
      </c>
      <c r="AQ43" s="12"/>
      <c r="AR43" s="12">
        <v>0.8</v>
      </c>
      <c r="AS43" s="12"/>
      <c r="AT43" s="12">
        <v>0.8</v>
      </c>
      <c r="AX43" s="12"/>
      <c r="AY43" s="12">
        <v>0.8</v>
      </c>
      <c r="AZ43" s="12"/>
      <c r="BA43" s="12">
        <v>0.8</v>
      </c>
      <c r="BE43" s="12"/>
      <c r="BF43" s="12">
        <v>0.8</v>
      </c>
      <c r="BG43" s="12"/>
      <c r="BH43" s="12">
        <v>0.8</v>
      </c>
      <c r="BL43" s="12"/>
      <c r="BM43" s="12">
        <v>0.8</v>
      </c>
      <c r="BN43" s="12"/>
      <c r="BO43" s="12">
        <v>0.8</v>
      </c>
      <c r="BS43" s="12"/>
      <c r="BT43" s="12">
        <v>1</v>
      </c>
      <c r="BU43" s="12"/>
      <c r="BV43" s="12">
        <v>1</v>
      </c>
      <c r="BZ43" s="12"/>
      <c r="CA43" s="12">
        <v>1</v>
      </c>
      <c r="CB43" s="12"/>
      <c r="CC43" s="12">
        <v>1</v>
      </c>
      <c r="CG43" s="12"/>
      <c r="CH43" s="12">
        <v>1</v>
      </c>
      <c r="CI43" s="12"/>
      <c r="CJ43" s="12">
        <v>1</v>
      </c>
      <c r="CN43" s="12"/>
      <c r="CO43" s="12">
        <v>1</v>
      </c>
      <c r="CP43" s="12"/>
      <c r="CQ43" s="12">
        <v>1</v>
      </c>
      <c r="CU43" s="12"/>
      <c r="CV43" s="12">
        <v>1</v>
      </c>
      <c r="CW43" s="12"/>
      <c r="CX43" s="12">
        <v>1</v>
      </c>
      <c r="DB43" s="12"/>
      <c r="DC43" s="12">
        <v>1</v>
      </c>
      <c r="DD43" s="12"/>
      <c r="DE43" s="12">
        <v>1</v>
      </c>
      <c r="DI43" s="12"/>
      <c r="DJ43" s="12">
        <v>1</v>
      </c>
      <c r="DK43" s="12"/>
      <c r="DL43" s="12">
        <v>1</v>
      </c>
      <c r="DP43" s="12"/>
      <c r="DQ43" s="12">
        <v>1</v>
      </c>
      <c r="DR43" s="12"/>
      <c r="DS43" s="12">
        <v>1</v>
      </c>
      <c r="DW43" s="12"/>
      <c r="DX43" s="12">
        <v>1</v>
      </c>
      <c r="DY43" s="12"/>
      <c r="DZ43" s="12">
        <v>1</v>
      </c>
      <c r="ED43" s="12"/>
      <c r="EE43" s="12">
        <v>1</v>
      </c>
      <c r="EF43" s="12"/>
      <c r="EG43" s="12">
        <v>1</v>
      </c>
      <c r="EK43" s="12"/>
      <c r="EL43" s="12">
        <v>1</v>
      </c>
      <c r="EM43" s="12"/>
      <c r="EN43" s="12">
        <v>1</v>
      </c>
    </row>
    <row r="44" spans="2:144" outlineLevel="1">
      <c r="B44" t="s">
        <v>28</v>
      </c>
      <c r="C44" t="s">
        <v>101</v>
      </c>
      <c r="E44" s="11"/>
      <c r="F44" t="s">
        <v>103</v>
      </c>
      <c r="G44" s="12">
        <v>0.04</v>
      </c>
      <c r="H44" s="11"/>
      <c r="I44" s="11">
        <f>+SUMIF($N$3:$UQ$3,I$3,$N44:$ZN44)</f>
        <v>0</v>
      </c>
      <c r="J44" s="13" t="e">
        <f t="shared" si="7"/>
        <v>#VALUE!</v>
      </c>
      <c r="K44" s="13" t="e">
        <f t="shared" si="7"/>
        <v>#VALUE!</v>
      </c>
      <c r="L44" s="11"/>
      <c r="O44" s="12"/>
      <c r="P44" s="12">
        <v>0.5</v>
      </c>
      <c r="Q44" s="12"/>
      <c r="R44" s="12">
        <v>0.5</v>
      </c>
      <c r="V44" s="12"/>
      <c r="W44" s="12">
        <v>0.5</v>
      </c>
      <c r="X44" s="12"/>
      <c r="Y44" s="12">
        <v>0.5</v>
      </c>
      <c r="AC44" s="12"/>
      <c r="AD44" s="12">
        <v>0.5</v>
      </c>
      <c r="AE44" s="12"/>
      <c r="AF44" s="12">
        <v>0.5</v>
      </c>
      <c r="AJ44" s="12"/>
      <c r="AK44" s="12">
        <v>0.8</v>
      </c>
      <c r="AL44" s="12"/>
      <c r="AM44" s="12">
        <v>0.8</v>
      </c>
      <c r="AQ44" s="12"/>
      <c r="AR44" s="12">
        <v>0.8</v>
      </c>
      <c r="AS44" s="12"/>
      <c r="AT44" s="12">
        <v>0.8</v>
      </c>
      <c r="AX44" s="12"/>
      <c r="AY44" s="12">
        <v>0.8</v>
      </c>
      <c r="AZ44" s="12"/>
      <c r="BA44" s="12">
        <v>0.8</v>
      </c>
      <c r="BE44" s="12"/>
      <c r="BF44" s="12">
        <v>0.8</v>
      </c>
      <c r="BG44" s="12"/>
      <c r="BH44" s="12">
        <v>0.8</v>
      </c>
      <c r="BL44" s="12"/>
      <c r="BM44" s="12">
        <v>0.8</v>
      </c>
      <c r="BN44" s="12"/>
      <c r="BO44" s="12">
        <v>0.8</v>
      </c>
      <c r="BS44" s="12"/>
      <c r="BT44" s="12">
        <v>0.8</v>
      </c>
      <c r="BU44" s="12"/>
      <c r="BV44" s="12">
        <v>0.8</v>
      </c>
      <c r="BZ44" s="12"/>
      <c r="CA44" s="12">
        <v>1</v>
      </c>
      <c r="CB44" s="12"/>
      <c r="CC44" s="12">
        <v>1</v>
      </c>
      <c r="CG44" s="12"/>
      <c r="CH44" s="12">
        <v>1</v>
      </c>
      <c r="CI44" s="12"/>
      <c r="CJ44" s="12">
        <v>1</v>
      </c>
      <c r="CN44" s="12"/>
      <c r="CO44" s="12">
        <v>1</v>
      </c>
      <c r="CP44" s="12"/>
      <c r="CQ44" s="12">
        <v>1</v>
      </c>
      <c r="CU44" s="12"/>
      <c r="CV44" s="12">
        <v>1</v>
      </c>
      <c r="CW44" s="12"/>
      <c r="CX44" s="12">
        <v>1</v>
      </c>
      <c r="DB44" s="12"/>
      <c r="DC44" s="12">
        <v>1</v>
      </c>
      <c r="DD44" s="12"/>
      <c r="DE44" s="12">
        <v>1</v>
      </c>
      <c r="DI44" s="12"/>
      <c r="DJ44" s="12">
        <v>1</v>
      </c>
      <c r="DK44" s="12"/>
      <c r="DL44" s="12">
        <v>1</v>
      </c>
      <c r="DP44" s="12"/>
      <c r="DQ44" s="12">
        <v>1</v>
      </c>
      <c r="DR44" s="12"/>
      <c r="DS44" s="12">
        <v>1</v>
      </c>
      <c r="DW44" s="12"/>
      <c r="DX44" s="12">
        <v>1</v>
      </c>
      <c r="DY44" s="12"/>
      <c r="DZ44" s="12">
        <v>1</v>
      </c>
      <c r="ED44" s="12"/>
      <c r="EE44" s="12">
        <v>1</v>
      </c>
      <c r="EF44" s="12"/>
      <c r="EG44" s="12">
        <v>1</v>
      </c>
      <c r="EK44" s="12"/>
      <c r="EL44" s="12">
        <v>1</v>
      </c>
      <c r="EM44" s="12"/>
      <c r="EN44" s="12">
        <v>1</v>
      </c>
    </row>
    <row r="45" spans="2:144" outlineLevel="1">
      <c r="B45" t="s">
        <v>28</v>
      </c>
      <c r="C45" t="s">
        <v>101</v>
      </c>
      <c r="E45" s="11"/>
      <c r="F45" t="s">
        <v>104</v>
      </c>
      <c r="G45" s="12">
        <v>0.08</v>
      </c>
      <c r="H45" s="11"/>
      <c r="I45" s="11">
        <f>+SUMIF($N$3:$UQ$3,I$3,$N45:$ZN45)</f>
        <v>0</v>
      </c>
      <c r="J45" s="13" t="e">
        <f t="shared" si="7"/>
        <v>#VALUE!</v>
      </c>
      <c r="K45" s="13" t="e">
        <f t="shared" si="7"/>
        <v>#VALUE!</v>
      </c>
      <c r="L45" s="11"/>
      <c r="O45" s="12"/>
      <c r="P45" s="12"/>
      <c r="Q45" s="12"/>
      <c r="R45" s="12"/>
      <c r="V45" s="12"/>
      <c r="W45" s="12">
        <v>0.5</v>
      </c>
      <c r="X45" s="12"/>
      <c r="Y45" s="12">
        <v>0.5</v>
      </c>
      <c r="AC45" s="12"/>
      <c r="AD45" s="12">
        <v>0.5</v>
      </c>
      <c r="AE45" s="12"/>
      <c r="AF45" s="12">
        <v>0.5</v>
      </c>
      <c r="AJ45" s="12"/>
      <c r="AK45" s="12">
        <v>0.5</v>
      </c>
      <c r="AL45" s="12"/>
      <c r="AM45" s="12">
        <v>0.5</v>
      </c>
      <c r="AQ45" s="12"/>
      <c r="AR45" s="12">
        <v>0.8</v>
      </c>
      <c r="AS45" s="12"/>
      <c r="AT45" s="12">
        <v>0.8</v>
      </c>
      <c r="AX45" s="12"/>
      <c r="AY45" s="12">
        <v>0.8</v>
      </c>
      <c r="AZ45" s="12"/>
      <c r="BA45" s="12">
        <v>0.8</v>
      </c>
      <c r="BE45" s="12"/>
      <c r="BF45" s="12">
        <v>0.8</v>
      </c>
      <c r="BG45" s="12"/>
      <c r="BH45" s="12">
        <v>0.8</v>
      </c>
      <c r="BL45" s="12"/>
      <c r="BM45" s="12">
        <v>0.8</v>
      </c>
      <c r="BN45" s="12"/>
      <c r="BO45" s="12">
        <v>0.8</v>
      </c>
      <c r="BS45" s="12"/>
      <c r="BT45" s="12">
        <v>0.8</v>
      </c>
      <c r="BU45" s="12"/>
      <c r="BV45" s="12">
        <v>0.8</v>
      </c>
      <c r="BZ45" s="12"/>
      <c r="CA45" s="12">
        <v>0.8</v>
      </c>
      <c r="CB45" s="12"/>
      <c r="CC45" s="12">
        <v>0.8</v>
      </c>
      <c r="CG45" s="12"/>
      <c r="CH45" s="12">
        <v>1</v>
      </c>
      <c r="CI45" s="12"/>
      <c r="CJ45" s="12">
        <v>1</v>
      </c>
      <c r="CN45" s="12"/>
      <c r="CO45" s="12">
        <v>1</v>
      </c>
      <c r="CP45" s="12"/>
      <c r="CQ45" s="12">
        <v>1</v>
      </c>
      <c r="CU45" s="12"/>
      <c r="CV45" s="12">
        <v>1</v>
      </c>
      <c r="CW45" s="12"/>
      <c r="CX45" s="12">
        <v>1</v>
      </c>
      <c r="DB45" s="12"/>
      <c r="DC45" s="12">
        <v>1</v>
      </c>
      <c r="DD45" s="12"/>
      <c r="DE45" s="12">
        <v>1</v>
      </c>
      <c r="DI45" s="12"/>
      <c r="DJ45" s="12">
        <v>1</v>
      </c>
      <c r="DK45" s="12"/>
      <c r="DL45" s="12">
        <v>1</v>
      </c>
      <c r="DP45" s="12"/>
      <c r="DQ45" s="12">
        <v>1</v>
      </c>
      <c r="DR45" s="12"/>
      <c r="DS45" s="12">
        <v>1</v>
      </c>
      <c r="DW45" s="12"/>
      <c r="DX45" s="12">
        <v>1</v>
      </c>
      <c r="DY45" s="12"/>
      <c r="DZ45" s="12">
        <v>1</v>
      </c>
      <c r="ED45" s="12"/>
      <c r="EE45" s="12">
        <v>1</v>
      </c>
      <c r="EF45" s="12"/>
      <c r="EG45" s="12">
        <v>1</v>
      </c>
      <c r="EK45" s="12"/>
      <c r="EL45" s="12">
        <v>1</v>
      </c>
      <c r="EM45" s="12"/>
      <c r="EN45" s="12">
        <v>1</v>
      </c>
    </row>
    <row r="46" spans="2:144" outlineLevel="1">
      <c r="B46" t="s">
        <v>28</v>
      </c>
      <c r="C46" t="s">
        <v>101</v>
      </c>
      <c r="E46" s="11"/>
      <c r="F46" t="s">
        <v>105</v>
      </c>
      <c r="G46" s="12">
        <v>0.05</v>
      </c>
      <c r="H46" s="11"/>
      <c r="I46" s="11">
        <f t="shared" ref="I46:I54" si="8">+SUMIF($N$3:$UQ$3,I$3,$N46:$ZT46)</f>
        <v>0</v>
      </c>
      <c r="J46" s="13" t="e">
        <f t="shared" ref="J46:K54" si="9">+_xlfn.MAXIFS($N46:$YZ46,$N$3:$TW$3,J$3)</f>
        <v>#VALUE!</v>
      </c>
      <c r="K46" s="13" t="e">
        <f t="shared" si="9"/>
        <v>#VALUE!</v>
      </c>
      <c r="L46" s="11"/>
      <c r="O46" s="12"/>
      <c r="P46" s="12"/>
      <c r="Q46" s="12"/>
      <c r="R46" s="12"/>
      <c r="V46" s="12"/>
      <c r="W46" s="12">
        <v>0.5</v>
      </c>
      <c r="X46" s="12"/>
      <c r="Y46" s="12">
        <v>0.5</v>
      </c>
      <c r="AC46" s="12"/>
      <c r="AD46" s="12">
        <v>0.5</v>
      </c>
      <c r="AE46" s="12"/>
      <c r="AF46" s="12">
        <v>0.5</v>
      </c>
      <c r="AJ46" s="12"/>
      <c r="AK46" s="12">
        <v>0.5</v>
      </c>
      <c r="AL46" s="12"/>
      <c r="AM46" s="12">
        <v>0.5</v>
      </c>
      <c r="AQ46" s="12"/>
      <c r="AR46" s="12">
        <v>0.5</v>
      </c>
      <c r="AS46" s="12"/>
      <c r="AT46" s="12">
        <v>0.5</v>
      </c>
      <c r="AX46" s="12"/>
      <c r="AY46" s="12">
        <v>0.8</v>
      </c>
      <c r="AZ46" s="12"/>
      <c r="BA46" s="12">
        <v>0.8</v>
      </c>
      <c r="BE46" s="12"/>
      <c r="BF46" s="12">
        <v>0.8</v>
      </c>
      <c r="BG46" s="12"/>
      <c r="BH46" s="12">
        <v>0.8</v>
      </c>
      <c r="BL46" s="12"/>
      <c r="BM46" s="12">
        <v>0.8</v>
      </c>
      <c r="BN46" s="12"/>
      <c r="BO46" s="12">
        <v>0.8</v>
      </c>
      <c r="BS46" s="12"/>
      <c r="BT46" s="12">
        <v>0.8</v>
      </c>
      <c r="BU46" s="12"/>
      <c r="BV46" s="12">
        <v>0.8</v>
      </c>
      <c r="BZ46" s="12"/>
      <c r="CA46" s="12">
        <v>0.8</v>
      </c>
      <c r="CB46" s="12"/>
      <c r="CC46" s="12">
        <v>0.8</v>
      </c>
      <c r="CG46" s="12"/>
      <c r="CH46" s="12">
        <v>0.8</v>
      </c>
      <c r="CI46" s="12"/>
      <c r="CJ46" s="12">
        <v>0.8</v>
      </c>
      <c r="CN46" s="12"/>
      <c r="CO46" s="12">
        <v>1</v>
      </c>
      <c r="CP46" s="12"/>
      <c r="CQ46" s="12">
        <v>1</v>
      </c>
      <c r="CU46" s="12"/>
      <c r="CV46" s="12">
        <v>1</v>
      </c>
      <c r="CW46" s="12"/>
      <c r="CX46" s="12">
        <v>1</v>
      </c>
      <c r="DB46" s="12"/>
      <c r="DC46" s="12">
        <v>1</v>
      </c>
      <c r="DD46" s="12"/>
      <c r="DE46" s="12">
        <v>1</v>
      </c>
      <c r="DI46" s="12"/>
      <c r="DJ46" s="12">
        <v>1</v>
      </c>
      <c r="DK46" s="12"/>
      <c r="DL46" s="12">
        <v>1</v>
      </c>
      <c r="DP46" s="12"/>
      <c r="DQ46" s="12">
        <v>1</v>
      </c>
      <c r="DR46" s="12"/>
      <c r="DS46" s="12">
        <v>1</v>
      </c>
      <c r="DW46" s="12"/>
      <c r="DX46" s="12">
        <v>1</v>
      </c>
      <c r="DY46" s="12"/>
      <c r="DZ46" s="12">
        <v>1</v>
      </c>
      <c r="ED46" s="12"/>
      <c r="EE46" s="12">
        <v>1</v>
      </c>
      <c r="EF46" s="12"/>
      <c r="EG46" s="12">
        <v>1</v>
      </c>
      <c r="EK46" s="12"/>
      <c r="EL46" s="12">
        <v>1</v>
      </c>
      <c r="EM46" s="12"/>
      <c r="EN46" s="12">
        <v>1</v>
      </c>
    </row>
    <row r="47" spans="2:144" ht="14.4" customHeight="1" outlineLevel="1">
      <c r="B47" t="s">
        <v>28</v>
      </c>
      <c r="C47" t="s">
        <v>101</v>
      </c>
      <c r="E47" s="11"/>
      <c r="F47" t="s">
        <v>106</v>
      </c>
      <c r="G47" s="12">
        <v>0.14000000000000001</v>
      </c>
      <c r="H47" s="11"/>
      <c r="I47" s="11">
        <f t="shared" si="8"/>
        <v>0</v>
      </c>
      <c r="J47" s="13" t="e">
        <f t="shared" si="9"/>
        <v>#VALUE!</v>
      </c>
      <c r="K47" s="13" t="e">
        <f t="shared" si="9"/>
        <v>#VALUE!</v>
      </c>
      <c r="L47" s="11"/>
      <c r="O47" s="12"/>
      <c r="P47" s="12"/>
      <c r="Q47" s="12"/>
      <c r="R47" s="12"/>
      <c r="V47" s="12"/>
      <c r="W47" s="12"/>
      <c r="X47" s="12"/>
      <c r="Y47" s="12"/>
      <c r="AC47" s="12"/>
      <c r="AD47" s="12">
        <v>0.5</v>
      </c>
      <c r="AE47" s="12"/>
      <c r="AF47" s="12">
        <v>0.5</v>
      </c>
      <c r="AJ47" s="12"/>
      <c r="AK47" s="12">
        <v>0.5</v>
      </c>
      <c r="AL47" s="12"/>
      <c r="AM47" s="12">
        <v>0.5</v>
      </c>
      <c r="AQ47" s="12"/>
      <c r="AR47" s="12">
        <v>0.5</v>
      </c>
      <c r="AS47" s="12"/>
      <c r="AT47" s="12">
        <v>0.5</v>
      </c>
      <c r="AX47" s="12"/>
      <c r="AY47" s="12">
        <v>0.5</v>
      </c>
      <c r="AZ47" s="12"/>
      <c r="BA47" s="12">
        <v>0.5</v>
      </c>
      <c r="BE47" s="12"/>
      <c r="BF47" s="12">
        <v>0.8</v>
      </c>
      <c r="BG47" s="12"/>
      <c r="BH47" s="12">
        <v>0.8</v>
      </c>
      <c r="BL47" s="12"/>
      <c r="BM47" s="12">
        <v>0.8</v>
      </c>
      <c r="BN47" s="12"/>
      <c r="BO47" s="12">
        <v>0.8</v>
      </c>
      <c r="BS47" s="12"/>
      <c r="BT47" s="12">
        <v>0.8</v>
      </c>
      <c r="BU47" s="12"/>
      <c r="BV47" s="12">
        <v>0.8</v>
      </c>
      <c r="BZ47" s="12"/>
      <c r="CA47" s="12">
        <v>0.8</v>
      </c>
      <c r="CB47" s="12"/>
      <c r="CC47" s="12">
        <v>0.8</v>
      </c>
      <c r="CG47" s="12"/>
      <c r="CH47" s="12">
        <v>0.8</v>
      </c>
      <c r="CI47" s="12"/>
      <c r="CJ47" s="12">
        <v>0.8</v>
      </c>
      <c r="CN47" s="12"/>
      <c r="CO47" s="12">
        <v>1</v>
      </c>
      <c r="CP47" s="12"/>
      <c r="CQ47" s="12">
        <v>1</v>
      </c>
      <c r="CU47" s="12"/>
      <c r="CV47" s="12">
        <v>1</v>
      </c>
      <c r="CW47" s="12"/>
      <c r="CX47" s="12">
        <v>1</v>
      </c>
      <c r="DB47" s="12"/>
      <c r="DC47" s="12">
        <v>1</v>
      </c>
      <c r="DD47" s="12"/>
      <c r="DE47" s="12">
        <v>1</v>
      </c>
      <c r="DI47" s="12"/>
      <c r="DJ47" s="12">
        <v>1</v>
      </c>
      <c r="DK47" s="12"/>
      <c r="DL47" s="12">
        <v>1</v>
      </c>
      <c r="DP47" s="12"/>
      <c r="DQ47" s="12">
        <v>1</v>
      </c>
      <c r="DR47" s="12"/>
      <c r="DS47" s="12">
        <v>1</v>
      </c>
      <c r="DW47" s="12"/>
      <c r="DX47" s="12">
        <v>1</v>
      </c>
      <c r="DY47" s="12"/>
      <c r="DZ47" s="12">
        <v>1</v>
      </c>
      <c r="ED47" s="12"/>
      <c r="EE47" s="12">
        <v>1</v>
      </c>
      <c r="EF47" s="12"/>
      <c r="EG47" s="12">
        <v>1</v>
      </c>
      <c r="EK47" s="12"/>
      <c r="EL47" s="12">
        <v>1</v>
      </c>
      <c r="EM47" s="12"/>
      <c r="EN47" s="12">
        <v>1</v>
      </c>
    </row>
    <row r="48" spans="2:144" outlineLevel="1">
      <c r="B48" t="s">
        <v>28</v>
      </c>
      <c r="C48" t="s">
        <v>101</v>
      </c>
      <c r="E48" s="11"/>
      <c r="F48" t="s">
        <v>107</v>
      </c>
      <c r="G48" s="12">
        <v>7.0000000000000007E-2</v>
      </c>
      <c r="H48" s="11"/>
      <c r="I48" s="11">
        <f t="shared" si="8"/>
        <v>0</v>
      </c>
      <c r="J48" s="13" t="e">
        <f t="shared" si="9"/>
        <v>#VALUE!</v>
      </c>
      <c r="K48" s="13" t="e">
        <f t="shared" si="9"/>
        <v>#VALUE!</v>
      </c>
      <c r="L48" s="11"/>
      <c r="O48" s="12"/>
      <c r="P48" s="12"/>
      <c r="Q48" s="12"/>
      <c r="R48" s="12"/>
      <c r="V48" s="12"/>
      <c r="W48" s="12"/>
      <c r="X48" s="12"/>
      <c r="Y48" s="12"/>
      <c r="AC48" s="12"/>
      <c r="AD48" s="12">
        <v>0.5</v>
      </c>
      <c r="AE48" s="12"/>
      <c r="AF48" s="12">
        <v>0.5</v>
      </c>
      <c r="AJ48" s="12"/>
      <c r="AK48" s="12">
        <v>0.5</v>
      </c>
      <c r="AL48" s="12"/>
      <c r="AM48" s="12">
        <v>0.5</v>
      </c>
      <c r="AQ48" s="12"/>
      <c r="AR48" s="12">
        <v>0.5</v>
      </c>
      <c r="AS48" s="12"/>
      <c r="AT48" s="12">
        <v>0.5</v>
      </c>
      <c r="AX48" s="12"/>
      <c r="AY48" s="12">
        <v>0.5</v>
      </c>
      <c r="AZ48" s="12"/>
      <c r="BA48" s="12">
        <v>0.5</v>
      </c>
      <c r="BE48" s="12"/>
      <c r="BF48" s="12">
        <v>0.5</v>
      </c>
      <c r="BG48" s="12"/>
      <c r="BH48" s="12">
        <v>0.5</v>
      </c>
      <c r="BL48" s="12"/>
      <c r="BM48" s="12">
        <v>0.8</v>
      </c>
      <c r="BN48" s="12"/>
      <c r="BO48" s="12">
        <v>0.8</v>
      </c>
      <c r="BS48" s="12"/>
      <c r="BT48" s="12">
        <v>0.8</v>
      </c>
      <c r="BU48" s="12"/>
      <c r="BV48" s="12">
        <v>0.8</v>
      </c>
      <c r="BZ48" s="12"/>
      <c r="CA48" s="12">
        <v>0.8</v>
      </c>
      <c r="CB48" s="12"/>
      <c r="CC48" s="12">
        <v>0.8</v>
      </c>
      <c r="CG48" s="12"/>
      <c r="CH48" s="12">
        <v>0.8</v>
      </c>
      <c r="CI48" s="12"/>
      <c r="CJ48" s="12">
        <v>0.8</v>
      </c>
      <c r="CN48" s="12"/>
      <c r="CO48" s="12">
        <v>0.8</v>
      </c>
      <c r="CP48" s="12"/>
      <c r="CQ48" s="12">
        <v>0.8</v>
      </c>
      <c r="CU48" s="12"/>
      <c r="CV48" s="12">
        <v>1</v>
      </c>
      <c r="CW48" s="12"/>
      <c r="CX48" s="12">
        <v>1</v>
      </c>
      <c r="DB48" s="12"/>
      <c r="DC48" s="12">
        <v>1</v>
      </c>
      <c r="DD48" s="12"/>
      <c r="DE48" s="12">
        <v>1</v>
      </c>
      <c r="DI48" s="12"/>
      <c r="DJ48" s="12">
        <v>1</v>
      </c>
      <c r="DK48" s="12"/>
      <c r="DL48" s="12">
        <v>1</v>
      </c>
      <c r="DP48" s="12"/>
      <c r="DQ48" s="12">
        <v>1</v>
      </c>
      <c r="DR48" s="12"/>
      <c r="DS48" s="12">
        <v>1</v>
      </c>
      <c r="DW48" s="12"/>
      <c r="DX48" s="12">
        <v>1</v>
      </c>
      <c r="DY48" s="12"/>
      <c r="DZ48" s="12">
        <v>1</v>
      </c>
      <c r="ED48" s="12"/>
      <c r="EE48" s="12">
        <v>1</v>
      </c>
      <c r="EF48" s="12"/>
      <c r="EG48" s="12">
        <v>1</v>
      </c>
      <c r="EK48" s="12"/>
      <c r="EL48" s="12">
        <v>1</v>
      </c>
      <c r="EM48" s="12"/>
      <c r="EN48" s="12">
        <v>1</v>
      </c>
    </row>
    <row r="49" spans="2:144" outlineLevel="1">
      <c r="B49" t="s">
        <v>28</v>
      </c>
      <c r="C49" t="s">
        <v>101</v>
      </c>
      <c r="E49" s="11"/>
      <c r="F49" t="s">
        <v>108</v>
      </c>
      <c r="G49" s="12">
        <v>0.08</v>
      </c>
      <c r="H49" s="11"/>
      <c r="I49" s="11">
        <f t="shared" si="8"/>
        <v>0</v>
      </c>
      <c r="J49" s="13" t="e">
        <f t="shared" si="9"/>
        <v>#VALUE!</v>
      </c>
      <c r="K49" s="13" t="e">
        <f t="shared" si="9"/>
        <v>#VALUE!</v>
      </c>
      <c r="L49" s="11"/>
      <c r="O49" s="12"/>
      <c r="P49" s="12"/>
      <c r="Q49" s="12"/>
      <c r="R49" s="12"/>
      <c r="V49" s="12"/>
      <c r="W49" s="12"/>
      <c r="X49" s="12"/>
      <c r="Y49" s="12"/>
      <c r="AC49" s="12"/>
      <c r="AD49" s="12"/>
      <c r="AE49" s="12"/>
      <c r="AF49" s="12"/>
      <c r="AJ49" s="12"/>
      <c r="AK49" s="12">
        <v>0.5</v>
      </c>
      <c r="AL49" s="12"/>
      <c r="AM49" s="12">
        <v>0.5</v>
      </c>
      <c r="AQ49" s="12"/>
      <c r="AR49" s="12">
        <v>0.5</v>
      </c>
      <c r="AS49" s="12"/>
      <c r="AT49" s="12">
        <v>0.5</v>
      </c>
      <c r="AX49" s="12"/>
      <c r="AY49" s="12">
        <v>0.5</v>
      </c>
      <c r="AZ49" s="12"/>
      <c r="BA49" s="12">
        <v>0.5</v>
      </c>
      <c r="BE49" s="12"/>
      <c r="BF49" s="12">
        <v>0.5</v>
      </c>
      <c r="BG49" s="12"/>
      <c r="BH49" s="12">
        <v>0.5</v>
      </c>
      <c r="BL49" s="12"/>
      <c r="BM49" s="12">
        <v>0.5</v>
      </c>
      <c r="BN49" s="12"/>
      <c r="BO49" s="12">
        <v>0.5</v>
      </c>
      <c r="BS49" s="12"/>
      <c r="BT49" s="12">
        <v>0.8</v>
      </c>
      <c r="BU49" s="12"/>
      <c r="BV49" s="12">
        <v>0.8</v>
      </c>
      <c r="BZ49" s="12"/>
      <c r="CA49" s="12">
        <v>0.8</v>
      </c>
      <c r="CB49" s="12"/>
      <c r="CC49" s="12">
        <v>0.8</v>
      </c>
      <c r="CG49" s="12"/>
      <c r="CH49" s="12">
        <v>0.8</v>
      </c>
      <c r="CI49" s="12"/>
      <c r="CJ49" s="12">
        <v>0.8</v>
      </c>
      <c r="CN49" s="12"/>
      <c r="CO49" s="12">
        <v>0.8</v>
      </c>
      <c r="CP49" s="12"/>
      <c r="CQ49" s="12">
        <v>0.8</v>
      </c>
      <c r="CU49" s="12"/>
      <c r="CV49" s="12">
        <v>0.8</v>
      </c>
      <c r="CW49" s="12"/>
      <c r="CX49" s="12">
        <v>0.8</v>
      </c>
      <c r="DB49" s="12"/>
      <c r="DC49" s="12">
        <v>1</v>
      </c>
      <c r="DD49" s="12"/>
      <c r="DE49" s="12">
        <v>1</v>
      </c>
      <c r="DI49" s="12"/>
      <c r="DJ49" s="12">
        <v>1</v>
      </c>
      <c r="DK49" s="12"/>
      <c r="DL49" s="12">
        <v>1</v>
      </c>
      <c r="DP49" s="12"/>
      <c r="DQ49" s="12">
        <v>1</v>
      </c>
      <c r="DR49" s="12"/>
      <c r="DS49" s="12">
        <v>1</v>
      </c>
      <c r="DW49" s="12"/>
      <c r="DX49" s="12">
        <v>1</v>
      </c>
      <c r="DY49" s="12"/>
      <c r="DZ49" s="12">
        <v>1</v>
      </c>
      <c r="ED49" s="12"/>
      <c r="EE49" s="12">
        <v>1</v>
      </c>
      <c r="EF49" s="12"/>
      <c r="EG49" s="12">
        <v>1</v>
      </c>
      <c r="EK49" s="12"/>
      <c r="EL49" s="12">
        <v>1</v>
      </c>
      <c r="EM49" s="12"/>
      <c r="EN49" s="12">
        <v>1</v>
      </c>
    </row>
    <row r="50" spans="2:144" outlineLevel="1">
      <c r="B50" t="s">
        <v>28</v>
      </c>
      <c r="C50" t="s">
        <v>101</v>
      </c>
      <c r="E50" s="11"/>
      <c r="F50" t="s">
        <v>109</v>
      </c>
      <c r="G50" s="12">
        <v>0.04</v>
      </c>
      <c r="H50" s="11"/>
      <c r="I50" s="11">
        <f t="shared" si="8"/>
        <v>0</v>
      </c>
      <c r="J50" s="13" t="e">
        <f t="shared" si="9"/>
        <v>#VALUE!</v>
      </c>
      <c r="K50" s="13" t="e">
        <f t="shared" si="9"/>
        <v>#VALUE!</v>
      </c>
      <c r="L50" s="11"/>
      <c r="O50" s="12"/>
      <c r="P50" s="12"/>
      <c r="Q50" s="12"/>
      <c r="R50" s="12"/>
      <c r="V50" s="12"/>
      <c r="W50" s="12"/>
      <c r="X50" s="12"/>
      <c r="Y50" s="12"/>
      <c r="AC50" s="12"/>
      <c r="AD50" s="12"/>
      <c r="AE50" s="12"/>
      <c r="AF50" s="12"/>
      <c r="AJ50" s="12"/>
      <c r="AK50" s="12"/>
      <c r="AL50" s="12"/>
      <c r="AM50" s="12"/>
      <c r="AQ50" s="12"/>
      <c r="AR50" s="12">
        <v>0.5</v>
      </c>
      <c r="AS50" s="12"/>
      <c r="AT50" s="12">
        <v>0.5</v>
      </c>
      <c r="AX50" s="12"/>
      <c r="AY50" s="12">
        <v>0.5</v>
      </c>
      <c r="AZ50" s="12"/>
      <c r="BA50" s="12">
        <v>0.5</v>
      </c>
      <c r="BE50" s="12"/>
      <c r="BF50" s="12">
        <v>0.5</v>
      </c>
      <c r="BG50" s="12"/>
      <c r="BH50" s="12">
        <v>0.5</v>
      </c>
      <c r="BL50" s="12"/>
      <c r="BM50" s="12">
        <v>0.5</v>
      </c>
      <c r="BN50" s="12"/>
      <c r="BO50" s="12">
        <v>0.5</v>
      </c>
      <c r="BS50" s="12"/>
      <c r="BT50" s="12">
        <v>0.5</v>
      </c>
      <c r="BU50" s="12"/>
      <c r="BV50" s="12">
        <v>0.5</v>
      </c>
      <c r="BZ50" s="12"/>
      <c r="CA50" s="12">
        <v>0.8</v>
      </c>
      <c r="CB50" s="12"/>
      <c r="CC50" s="12">
        <v>0.8</v>
      </c>
      <c r="CG50" s="12"/>
      <c r="CH50" s="12">
        <v>0.8</v>
      </c>
      <c r="CI50" s="12"/>
      <c r="CJ50" s="12">
        <v>0.8</v>
      </c>
      <c r="CN50" s="12"/>
      <c r="CO50" s="12">
        <v>0.8</v>
      </c>
      <c r="CP50" s="12"/>
      <c r="CQ50" s="12">
        <v>0.8</v>
      </c>
      <c r="CU50" s="12"/>
      <c r="CV50" s="12">
        <v>0.8</v>
      </c>
      <c r="CW50" s="12"/>
      <c r="CX50" s="12">
        <v>0.8</v>
      </c>
      <c r="DB50" s="12"/>
      <c r="DC50" s="12">
        <v>0.8</v>
      </c>
      <c r="DD50" s="12"/>
      <c r="DE50" s="12">
        <v>0.8</v>
      </c>
      <c r="DI50" s="12"/>
      <c r="DJ50" s="12">
        <v>1</v>
      </c>
      <c r="DK50" s="12"/>
      <c r="DL50" s="12">
        <v>1</v>
      </c>
      <c r="DP50" s="12"/>
      <c r="DQ50" s="12">
        <v>1</v>
      </c>
      <c r="DR50" s="12"/>
      <c r="DS50" s="12">
        <v>1</v>
      </c>
      <c r="DW50" s="12"/>
      <c r="DX50" s="12">
        <v>1</v>
      </c>
      <c r="DY50" s="12"/>
      <c r="DZ50" s="12">
        <v>1</v>
      </c>
      <c r="ED50" s="12"/>
      <c r="EE50" s="12">
        <v>1</v>
      </c>
      <c r="EF50" s="12"/>
      <c r="EG50" s="12">
        <v>1</v>
      </c>
      <c r="EK50" s="12"/>
      <c r="EL50" s="12">
        <v>1</v>
      </c>
      <c r="EM50" s="12"/>
      <c r="EN50" s="12">
        <v>1</v>
      </c>
    </row>
    <row r="51" spans="2:144" outlineLevel="1">
      <c r="B51" t="s">
        <v>28</v>
      </c>
      <c r="C51" t="s">
        <v>101</v>
      </c>
      <c r="E51" s="11"/>
      <c r="F51" t="s">
        <v>110</v>
      </c>
      <c r="G51" s="12">
        <v>0.08</v>
      </c>
      <c r="H51" s="11"/>
      <c r="I51" s="11">
        <f t="shared" si="8"/>
        <v>0</v>
      </c>
      <c r="J51" s="13" t="e">
        <f t="shared" si="9"/>
        <v>#VALUE!</v>
      </c>
      <c r="K51" s="13" t="e">
        <f t="shared" si="9"/>
        <v>#VALUE!</v>
      </c>
      <c r="L51" s="11"/>
      <c r="O51" s="12"/>
      <c r="P51" s="12"/>
      <c r="Q51" s="12"/>
      <c r="R51" s="12"/>
      <c r="V51" s="12"/>
      <c r="W51" s="12"/>
      <c r="X51" s="12"/>
      <c r="Y51" s="12"/>
      <c r="AC51" s="12"/>
      <c r="AD51" s="12"/>
      <c r="AE51" s="12"/>
      <c r="AF51" s="12"/>
      <c r="AJ51" s="12"/>
      <c r="AK51" s="12"/>
      <c r="AL51" s="12"/>
      <c r="AM51" s="12"/>
      <c r="AQ51" s="12"/>
      <c r="AR51" s="12"/>
      <c r="AS51" s="12"/>
      <c r="AT51" s="12"/>
      <c r="AX51" s="12"/>
      <c r="AY51" s="12">
        <v>0.5</v>
      </c>
      <c r="AZ51" s="12"/>
      <c r="BA51" s="12">
        <v>0.5</v>
      </c>
      <c r="BE51" s="12"/>
      <c r="BF51" s="12">
        <v>0.5</v>
      </c>
      <c r="BG51" s="12"/>
      <c r="BH51" s="12">
        <v>0.5</v>
      </c>
      <c r="BL51" s="12"/>
      <c r="BM51" s="12">
        <v>0.5</v>
      </c>
      <c r="BN51" s="12"/>
      <c r="BO51" s="12">
        <v>0.5</v>
      </c>
      <c r="BS51" s="12"/>
      <c r="BT51" s="12">
        <v>0.5</v>
      </c>
      <c r="BU51" s="12"/>
      <c r="BV51" s="12">
        <v>0.5</v>
      </c>
      <c r="BZ51" s="12"/>
      <c r="CA51" s="12">
        <v>0.5</v>
      </c>
      <c r="CB51" s="12"/>
      <c r="CC51" s="12">
        <v>0.5</v>
      </c>
      <c r="CG51" s="12"/>
      <c r="CH51" s="12">
        <v>0.8</v>
      </c>
      <c r="CI51" s="12"/>
      <c r="CJ51" s="12">
        <v>0.8</v>
      </c>
      <c r="CN51" s="12"/>
      <c r="CO51" s="12">
        <v>0.8</v>
      </c>
      <c r="CP51" s="12"/>
      <c r="CQ51" s="12">
        <v>0.8</v>
      </c>
      <c r="CU51" s="12"/>
      <c r="CV51" s="12">
        <v>0.8</v>
      </c>
      <c r="CW51" s="12"/>
      <c r="CX51" s="12">
        <v>0.8</v>
      </c>
      <c r="DB51" s="12"/>
      <c r="DC51" s="12">
        <v>0.8</v>
      </c>
      <c r="DD51" s="12"/>
      <c r="DE51" s="12">
        <v>0.8</v>
      </c>
      <c r="DI51" s="12"/>
      <c r="DJ51" s="12">
        <v>1</v>
      </c>
      <c r="DK51" s="12"/>
      <c r="DL51" s="12">
        <v>1</v>
      </c>
      <c r="DP51" s="12"/>
      <c r="DQ51" s="12">
        <v>1</v>
      </c>
      <c r="DR51" s="12"/>
      <c r="DS51" s="12">
        <v>1</v>
      </c>
      <c r="DW51" s="12"/>
      <c r="DX51" s="12">
        <v>1</v>
      </c>
      <c r="DY51" s="12"/>
      <c r="DZ51" s="12">
        <v>1</v>
      </c>
      <c r="ED51" s="12"/>
      <c r="EE51" s="12">
        <v>1</v>
      </c>
      <c r="EF51" s="12"/>
      <c r="EG51" s="12">
        <v>1</v>
      </c>
      <c r="EK51" s="12"/>
      <c r="EL51" s="12">
        <v>1</v>
      </c>
      <c r="EM51" s="12"/>
      <c r="EN51" s="12">
        <v>1</v>
      </c>
    </row>
    <row r="52" spans="2:144" outlineLevel="1">
      <c r="B52" t="s">
        <v>28</v>
      </c>
      <c r="C52" t="s">
        <v>101</v>
      </c>
      <c r="E52" s="11"/>
      <c r="F52" t="s">
        <v>111</v>
      </c>
      <c r="G52" s="12">
        <v>0.06</v>
      </c>
      <c r="H52" s="11"/>
      <c r="I52" s="11">
        <f t="shared" si="8"/>
        <v>0</v>
      </c>
      <c r="J52" s="13" t="e">
        <f t="shared" si="9"/>
        <v>#VALUE!</v>
      </c>
      <c r="K52" s="13" t="e">
        <f t="shared" si="9"/>
        <v>#VALUE!</v>
      </c>
      <c r="L52" s="11"/>
      <c r="O52" s="12"/>
      <c r="P52" s="12"/>
      <c r="Q52" s="12"/>
      <c r="R52" s="12"/>
      <c r="V52" s="12"/>
      <c r="W52" s="12"/>
      <c r="X52" s="12"/>
      <c r="Y52" s="12"/>
      <c r="AC52" s="12"/>
      <c r="AD52" s="12"/>
      <c r="AE52" s="12"/>
      <c r="AF52" s="12"/>
      <c r="AJ52" s="12"/>
      <c r="AK52" s="12"/>
      <c r="AL52" s="12"/>
      <c r="AM52" s="12"/>
      <c r="AQ52" s="12"/>
      <c r="AR52" s="12"/>
      <c r="AS52" s="12"/>
      <c r="AT52" s="12"/>
      <c r="AX52" s="12"/>
      <c r="AY52" s="12">
        <v>0.5</v>
      </c>
      <c r="AZ52" s="12"/>
      <c r="BA52" s="12">
        <v>0.5</v>
      </c>
      <c r="BE52" s="12"/>
      <c r="BF52" s="12">
        <v>0.5</v>
      </c>
      <c r="BG52" s="12"/>
      <c r="BH52" s="12">
        <v>0.5</v>
      </c>
      <c r="BL52" s="12"/>
      <c r="BM52" s="12">
        <v>0.5</v>
      </c>
      <c r="BN52" s="12"/>
      <c r="BO52" s="12">
        <v>0.5</v>
      </c>
      <c r="BS52" s="12"/>
      <c r="BT52" s="12">
        <v>0.5</v>
      </c>
      <c r="BU52" s="12"/>
      <c r="BV52" s="12">
        <v>0.5</v>
      </c>
      <c r="BZ52" s="12"/>
      <c r="CA52" s="12">
        <v>0.5</v>
      </c>
      <c r="CB52" s="12"/>
      <c r="CC52" s="12">
        <v>0.5</v>
      </c>
      <c r="CG52" s="12"/>
      <c r="CH52" s="12">
        <v>0.5</v>
      </c>
      <c r="CI52" s="12"/>
      <c r="CJ52" s="12">
        <v>0.5</v>
      </c>
      <c r="CN52" s="12"/>
      <c r="CO52" s="12">
        <v>0.8</v>
      </c>
      <c r="CP52" s="12"/>
      <c r="CQ52" s="12">
        <v>0.8</v>
      </c>
      <c r="CU52" s="12"/>
      <c r="CV52" s="12">
        <v>0.8</v>
      </c>
      <c r="CW52" s="12"/>
      <c r="CX52" s="12">
        <v>0.8</v>
      </c>
      <c r="DB52" s="12"/>
      <c r="DC52" s="12">
        <v>0.8</v>
      </c>
      <c r="DD52" s="12"/>
      <c r="DE52" s="12">
        <v>0.8</v>
      </c>
      <c r="DI52" s="12"/>
      <c r="DJ52" s="12">
        <v>0.8</v>
      </c>
      <c r="DK52" s="12"/>
      <c r="DL52" s="12">
        <v>0.8</v>
      </c>
      <c r="DP52" s="12"/>
      <c r="DQ52" s="12">
        <v>1</v>
      </c>
      <c r="DR52" s="12"/>
      <c r="DS52" s="12">
        <v>1</v>
      </c>
      <c r="DW52" s="12"/>
      <c r="DX52" s="12">
        <v>1</v>
      </c>
      <c r="DY52" s="12"/>
      <c r="DZ52" s="12">
        <v>1</v>
      </c>
      <c r="ED52" s="12"/>
      <c r="EE52" s="12">
        <v>1</v>
      </c>
      <c r="EF52" s="12"/>
      <c r="EG52" s="12">
        <v>1</v>
      </c>
      <c r="EK52" s="12"/>
      <c r="EL52" s="12">
        <v>1</v>
      </c>
      <c r="EM52" s="12"/>
      <c r="EN52" s="12">
        <v>1</v>
      </c>
    </row>
    <row r="53" spans="2:144" outlineLevel="1">
      <c r="B53" t="s">
        <v>28</v>
      </c>
      <c r="C53" t="s">
        <v>101</v>
      </c>
      <c r="E53" s="11"/>
      <c r="F53" t="s">
        <v>112</v>
      </c>
      <c r="G53" s="12">
        <v>0.08</v>
      </c>
      <c r="H53" s="11"/>
      <c r="I53" s="11">
        <f t="shared" si="8"/>
        <v>0</v>
      </c>
      <c r="J53" s="13" t="e">
        <f t="shared" si="9"/>
        <v>#VALUE!</v>
      </c>
      <c r="K53" s="13" t="e">
        <f t="shared" si="9"/>
        <v>#VALUE!</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v>0.5</v>
      </c>
      <c r="BG53" s="12"/>
      <c r="BH53" s="12">
        <v>0.5</v>
      </c>
      <c r="BL53" s="12"/>
      <c r="BM53" s="12">
        <v>0.5</v>
      </c>
      <c r="BN53" s="12"/>
      <c r="BO53" s="12">
        <v>0.5</v>
      </c>
      <c r="BS53" s="12"/>
      <c r="BT53" s="12">
        <v>0.5</v>
      </c>
      <c r="BU53" s="12"/>
      <c r="BV53" s="12">
        <v>0.5</v>
      </c>
      <c r="BZ53" s="12"/>
      <c r="CA53" s="12">
        <v>0.5</v>
      </c>
      <c r="CB53" s="12"/>
      <c r="CC53" s="12">
        <v>0.5</v>
      </c>
      <c r="CG53" s="12"/>
      <c r="CH53" s="12">
        <v>0.5</v>
      </c>
      <c r="CI53" s="12"/>
      <c r="CJ53" s="12">
        <v>0.5</v>
      </c>
      <c r="CN53" s="12"/>
      <c r="CO53" s="12">
        <v>0.5</v>
      </c>
      <c r="CP53" s="12"/>
      <c r="CQ53" s="12">
        <v>0.5</v>
      </c>
      <c r="CU53" s="12"/>
      <c r="CV53" s="12">
        <v>0.8</v>
      </c>
      <c r="CW53" s="12"/>
      <c r="CX53" s="12">
        <v>0.8</v>
      </c>
      <c r="DB53" s="12"/>
      <c r="DC53" s="12">
        <v>0.8</v>
      </c>
      <c r="DD53" s="12"/>
      <c r="DE53" s="12">
        <v>0.8</v>
      </c>
      <c r="DI53" s="12"/>
      <c r="DJ53" s="12">
        <v>0.8</v>
      </c>
      <c r="DK53" s="12"/>
      <c r="DL53" s="12">
        <v>0.8</v>
      </c>
      <c r="DP53" s="12"/>
      <c r="DQ53" s="12">
        <v>1</v>
      </c>
      <c r="DR53" s="12"/>
      <c r="DS53" s="12">
        <v>1</v>
      </c>
      <c r="DW53" s="12"/>
      <c r="DX53" s="12">
        <v>1</v>
      </c>
      <c r="DY53" s="12"/>
      <c r="DZ53" s="12">
        <v>1</v>
      </c>
      <c r="ED53" s="12"/>
      <c r="EE53" s="12">
        <v>1</v>
      </c>
      <c r="EF53" s="12"/>
      <c r="EG53" s="12">
        <v>1</v>
      </c>
      <c r="EK53" s="12"/>
      <c r="EL53" s="12">
        <v>1</v>
      </c>
      <c r="EM53" s="12"/>
      <c r="EN53" s="12">
        <v>1</v>
      </c>
    </row>
    <row r="54" spans="2:144" ht="14.4" customHeight="1" outlineLevel="1">
      <c r="B54" t="s">
        <v>28</v>
      </c>
      <c r="C54" t="s">
        <v>101</v>
      </c>
      <c r="E54" s="11"/>
      <c r="F54" t="s">
        <v>113</v>
      </c>
      <c r="G54" s="12">
        <v>7.0000000000000007E-2</v>
      </c>
      <c r="H54" s="11"/>
      <c r="I54" s="11">
        <f t="shared" si="8"/>
        <v>0</v>
      </c>
      <c r="J54" s="13" t="e">
        <f t="shared" si="9"/>
        <v>#VALUE!</v>
      </c>
      <c r="K54" s="13" t="e">
        <f t="shared" si="9"/>
        <v>#VALUE!</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v>0.5</v>
      </c>
      <c r="BN54" s="12"/>
      <c r="BO54" s="12">
        <v>0.5</v>
      </c>
      <c r="BS54" s="12"/>
      <c r="BT54" s="12">
        <v>0.5</v>
      </c>
      <c r="BU54" s="12"/>
      <c r="BV54" s="12">
        <v>0.5</v>
      </c>
      <c r="BZ54" s="12"/>
      <c r="CA54" s="12">
        <v>0.5</v>
      </c>
      <c r="CB54" s="12"/>
      <c r="CC54" s="12">
        <v>0.5</v>
      </c>
      <c r="CG54" s="12"/>
      <c r="CH54" s="12">
        <v>0.5</v>
      </c>
      <c r="CI54" s="12"/>
      <c r="CJ54" s="12">
        <v>0.5</v>
      </c>
      <c r="CN54" s="12"/>
      <c r="CO54" s="12">
        <v>0.5</v>
      </c>
      <c r="CP54" s="12"/>
      <c r="CQ54" s="12">
        <v>0.5</v>
      </c>
      <c r="CU54" s="12"/>
      <c r="CV54" s="12">
        <v>0.5</v>
      </c>
      <c r="CW54" s="12"/>
      <c r="CX54" s="12">
        <v>0.5</v>
      </c>
      <c r="DB54" s="12"/>
      <c r="DC54" s="12">
        <v>0.8</v>
      </c>
      <c r="DD54" s="12"/>
      <c r="DE54" s="12">
        <v>0.8</v>
      </c>
      <c r="DI54" s="12"/>
      <c r="DJ54" s="12">
        <v>0.8</v>
      </c>
      <c r="DK54" s="12"/>
      <c r="DL54" s="12">
        <v>0.8</v>
      </c>
      <c r="DP54" s="12"/>
      <c r="DQ54" s="12">
        <v>0.8</v>
      </c>
      <c r="DR54" s="12"/>
      <c r="DS54" s="12">
        <v>0.8</v>
      </c>
      <c r="DW54" s="12"/>
      <c r="DX54" s="12">
        <v>1</v>
      </c>
      <c r="DY54" s="12"/>
      <c r="DZ54" s="12">
        <v>1</v>
      </c>
      <c r="ED54" s="12"/>
      <c r="EE54" s="12">
        <v>1</v>
      </c>
      <c r="EF54" s="12"/>
      <c r="EG54" s="12">
        <v>1</v>
      </c>
      <c r="EK54" s="12"/>
      <c r="EL54" s="12">
        <v>1</v>
      </c>
      <c r="EM54" s="12"/>
      <c r="EN54" s="12">
        <v>1</v>
      </c>
    </row>
    <row r="55" spans="2:144" ht="14.4" customHeight="1" outlineLevel="1">
      <c r="B55" t="s">
        <v>28</v>
      </c>
      <c r="C55" t="s">
        <v>101</v>
      </c>
      <c r="E55" s="11"/>
      <c r="F55" t="s">
        <v>114</v>
      </c>
      <c r="G55" s="12">
        <v>0.13</v>
      </c>
      <c r="H55" s="11"/>
      <c r="I55" s="11"/>
      <c r="J55" s="13"/>
      <c r="K55" s="13"/>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v>0.5</v>
      </c>
      <c r="BU55" s="12"/>
      <c r="BV55" s="12">
        <v>0.5</v>
      </c>
      <c r="BZ55" s="12"/>
      <c r="CA55" s="12">
        <v>0.5</v>
      </c>
      <c r="CB55" s="12"/>
      <c r="CC55" s="12">
        <v>0.5</v>
      </c>
      <c r="CG55" s="12"/>
      <c r="CH55" s="12">
        <v>0.5</v>
      </c>
      <c r="CI55" s="12"/>
      <c r="CJ55" s="12">
        <v>0.5</v>
      </c>
      <c r="CN55" s="12"/>
      <c r="CO55" s="12">
        <v>0.5</v>
      </c>
      <c r="CP55" s="12"/>
      <c r="CQ55" s="12">
        <v>0.5</v>
      </c>
      <c r="CU55" s="12"/>
      <c r="CV55" s="12">
        <v>0.5</v>
      </c>
      <c r="CW55" s="12"/>
      <c r="CX55" s="12">
        <v>0.5</v>
      </c>
      <c r="DB55" s="12"/>
      <c r="DC55" s="12">
        <v>0.5</v>
      </c>
      <c r="DD55" s="12"/>
      <c r="DE55" s="12">
        <v>0.5</v>
      </c>
      <c r="DI55" s="12"/>
      <c r="DJ55" s="12">
        <v>0.8</v>
      </c>
      <c r="DK55" s="12"/>
      <c r="DL55" s="12">
        <v>0.8</v>
      </c>
      <c r="DP55" s="12"/>
      <c r="DQ55" s="12">
        <v>0.8</v>
      </c>
      <c r="DR55" s="12"/>
      <c r="DS55" s="12">
        <v>0.8</v>
      </c>
      <c r="DW55" s="12"/>
      <c r="DX55" s="12">
        <v>1</v>
      </c>
      <c r="DY55" s="12"/>
      <c r="DZ55" s="12">
        <v>1</v>
      </c>
      <c r="ED55" s="12"/>
      <c r="EE55" s="12">
        <v>1</v>
      </c>
      <c r="EF55" s="12"/>
      <c r="EG55" s="12">
        <v>1</v>
      </c>
      <c r="EK55" s="12"/>
      <c r="EL55" s="12">
        <v>1</v>
      </c>
      <c r="EM55" s="12"/>
      <c r="EN55" s="12">
        <v>1</v>
      </c>
    </row>
    <row r="56" spans="2:144" ht="14.4" customHeight="1" outlineLevel="1">
      <c r="B56" t="s">
        <v>28</v>
      </c>
      <c r="C56" t="s">
        <v>101</v>
      </c>
      <c r="E56" s="11"/>
      <c r="F56" t="s">
        <v>115</v>
      </c>
      <c r="G56" s="12">
        <v>0.13</v>
      </c>
      <c r="H56" s="11"/>
      <c r="I56" s="11"/>
      <c r="J56" s="13"/>
      <c r="K56" s="13"/>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v>0.5</v>
      </c>
      <c r="BU56" s="12"/>
      <c r="BV56" s="12">
        <v>0.5</v>
      </c>
      <c r="BZ56" s="12"/>
      <c r="CA56" s="12">
        <v>0.5</v>
      </c>
      <c r="CB56" s="12"/>
      <c r="CC56" s="12">
        <v>0.5</v>
      </c>
      <c r="CG56" s="12"/>
      <c r="CH56" s="12">
        <v>0.5</v>
      </c>
      <c r="CI56" s="12"/>
      <c r="CJ56" s="12">
        <v>0.5</v>
      </c>
      <c r="CN56" s="12"/>
      <c r="CO56" s="12">
        <v>0.5</v>
      </c>
      <c r="CP56" s="12"/>
      <c r="CQ56" s="12">
        <v>0.5</v>
      </c>
      <c r="CU56" s="12"/>
      <c r="CV56" s="12">
        <v>0.5</v>
      </c>
      <c r="CW56" s="12"/>
      <c r="CX56" s="12">
        <v>0.5</v>
      </c>
      <c r="DB56" s="12"/>
      <c r="DC56" s="12">
        <v>0.5</v>
      </c>
      <c r="DD56" s="12"/>
      <c r="DE56" s="12">
        <v>0.5</v>
      </c>
      <c r="DI56" s="12"/>
      <c r="DJ56" s="12">
        <v>0.8</v>
      </c>
      <c r="DK56" s="12"/>
      <c r="DL56" s="12">
        <v>0.8</v>
      </c>
      <c r="DP56" s="12"/>
      <c r="DQ56" s="12">
        <v>0.8</v>
      </c>
      <c r="DR56" s="12"/>
      <c r="DS56" s="12">
        <v>0.8</v>
      </c>
      <c r="DW56" s="12"/>
      <c r="DX56" s="12">
        <v>1</v>
      </c>
      <c r="DY56" s="12"/>
      <c r="DZ56" s="12">
        <v>1</v>
      </c>
      <c r="ED56" s="12"/>
      <c r="EE56" s="12">
        <v>1</v>
      </c>
      <c r="EF56" s="12"/>
      <c r="EG56" s="12">
        <v>1</v>
      </c>
      <c r="EK56" s="12"/>
      <c r="EL56" s="12">
        <v>1</v>
      </c>
      <c r="EM56" s="12"/>
      <c r="EN56" s="12">
        <v>1</v>
      </c>
    </row>
  </sheetData>
  <mergeCells count="20">
    <mergeCell ref="EJ2:EO2"/>
    <mergeCell ref="BD2:BI2"/>
    <mergeCell ref="BR2:BW2"/>
    <mergeCell ref="BY2:CD2"/>
    <mergeCell ref="CF2:CK2"/>
    <mergeCell ref="CM2:CR2"/>
    <mergeCell ref="CT2:CY2"/>
    <mergeCell ref="DA2:DF2"/>
    <mergeCell ref="DH2:DM2"/>
    <mergeCell ref="DO2:DT2"/>
    <mergeCell ref="DV2:EA2"/>
    <mergeCell ref="EC2:EH2"/>
    <mergeCell ref="BK2:BP2"/>
    <mergeCell ref="AP2:AU2"/>
    <mergeCell ref="AW2:BB2"/>
    <mergeCell ref="I2:L2"/>
    <mergeCell ref="N2:S2"/>
    <mergeCell ref="U2:Z2"/>
    <mergeCell ref="AB2:AG2"/>
    <mergeCell ref="AI2:AN2"/>
  </mergeCells>
  <conditionalFormatting sqref="J5:K17">
    <cfRule type="colorScale" priority="636">
      <colorScale>
        <cfvo type="percent" val="0"/>
        <cfvo type="percent" val="100"/>
        <color rgb="FFFF231B"/>
        <color rgb="FF10FF07"/>
      </colorScale>
    </cfRule>
  </conditionalFormatting>
  <conditionalFormatting sqref="O20:O24 Q20:Q24 O5:O17 AJ30:AJ38 AL30:AL38 AX30:AX38 AZ30:AZ38 Q30:Q38 O30:O38 BG30:BG38 X30:X38 V30:V38 AE30:AE38 AC30:AC38 AS30:AS38 AQ30:AQ38 BE30:BE38 BN30:BN38 BL30:BL38 BU30:BU38 BS30:BS38 CB30:CB38 BZ30:BZ38 CI30:CI38 CG30:CG38 CP30:CP38 CN30:CN38 CW30:CW38 CU30:CU38 DD30:DD38 DB30:DB38 DK30:DK38 DI30:DI38 DR30:DR38 DP30:DP38 DY30:DY38 DW30:DW38 EF30:EF38 ED30:ED38 EM30:EM38 EK30:EK38">
    <cfRule type="expression" dxfId="500" priority="634">
      <formula>OR(IF(O5&lt;P5,TRUE),IF(AND(P5="",O5&lt;&gt;""),TRUE))</formula>
    </cfRule>
    <cfRule type="expression" dxfId="499" priority="635">
      <formula>IF(O5&gt;=P5,IF(O5="",FALSE,TRUE))</formula>
    </cfRule>
  </conditionalFormatting>
  <conditionalFormatting sqref="Q5:Q17">
    <cfRule type="expression" dxfId="498" priority="632">
      <formula>OR(IF(Q5&lt;R5,TRUE),IF(AND(R5="",Q5&lt;&gt;""),TRUE))</formula>
    </cfRule>
    <cfRule type="expression" dxfId="497" priority="633">
      <formula>IF(Q5&gt;=R5,IF(Q5="",FALSE,TRUE))</formula>
    </cfRule>
  </conditionalFormatting>
  <conditionalFormatting sqref="AQ20:AQ24 AS20:AS24 AQ5:AQ17">
    <cfRule type="expression" dxfId="496" priority="501">
      <formula>OR(IF(AQ5&lt;AR5,TRUE),IF(AND(AR5="",AQ5&lt;&gt;""),TRUE))</formula>
    </cfRule>
    <cfRule type="expression" dxfId="495" priority="502">
      <formula>IF(AQ5&gt;=AR5,IF(AQ5="",FALSE,TRUE))</formula>
    </cfRule>
  </conditionalFormatting>
  <conditionalFormatting sqref="AS5:AS17">
    <cfRule type="expression" dxfId="494" priority="499">
      <formula>OR(IF(AS5&lt;AT5,TRUE),IF(AND(AT5="",AS5&lt;&gt;""),TRUE))</formula>
    </cfRule>
    <cfRule type="expression" dxfId="493" priority="500">
      <formula>IF(AS5&gt;=AT5,IF(AS5="",FALSE,TRUE))</formula>
    </cfRule>
  </conditionalFormatting>
  <conditionalFormatting sqref="J20:K25">
    <cfRule type="colorScale" priority="637">
      <colorScale>
        <cfvo type="percent" val="0"/>
        <cfvo type="percent" val="100"/>
        <color rgb="FFFF231B"/>
        <color rgb="FF10FF07"/>
      </colorScale>
    </cfRule>
  </conditionalFormatting>
  <conditionalFormatting sqref="O28:O29">
    <cfRule type="expression" dxfId="492" priority="575">
      <formula>OR(IF(O28&lt;P28,TRUE),IF(AND(P28="",O28&lt;&gt;""),TRUE))</formula>
    </cfRule>
    <cfRule type="expression" dxfId="491" priority="576">
      <formula>IF(O28&gt;=P28,IF(O28="",FALSE,TRUE))</formula>
    </cfRule>
  </conditionalFormatting>
  <conditionalFormatting sqref="Q28:Q29">
    <cfRule type="expression" dxfId="490" priority="573">
      <formula>OR(IF(Q28&lt;R28,TRUE),IF(AND(R28="",Q28&lt;&gt;""),TRUE))</formula>
    </cfRule>
    <cfRule type="expression" dxfId="489" priority="574">
      <formula>IF(Q28&gt;=R28,IF(Q28="",FALSE,TRUE))</formula>
    </cfRule>
  </conditionalFormatting>
  <conditionalFormatting sqref="AZ25">
    <cfRule type="expression" dxfId="488" priority="475">
      <formula>OR(IF(AZ25&lt;BA25,TRUE),IF(AND(BA25="",AZ25&lt;&gt;""),TRUE))</formula>
    </cfRule>
    <cfRule type="expression" dxfId="487" priority="476">
      <formula>IF(AZ25&gt;=BA25,IF(AZ25="",FALSE,TRUE))</formula>
    </cfRule>
  </conditionalFormatting>
  <conditionalFormatting sqref="BE20:BE24 BG20:BG24 BE17">
    <cfRule type="expression" dxfId="486" priority="469">
      <formula>OR(IF(BE17&lt;BF17,TRUE),IF(AND(BF17="",BE17&lt;&gt;""),TRUE))</formula>
    </cfRule>
    <cfRule type="expression" dxfId="485" priority="470">
      <formula>IF(BE17&gt;=BF17,IF(BE17="",FALSE,TRUE))</formula>
    </cfRule>
  </conditionalFormatting>
  <conditionalFormatting sqref="BG17">
    <cfRule type="expression" dxfId="484" priority="467">
      <formula>OR(IF(BG17&lt;BH17,TRUE),IF(AND(BH17="",BG17&lt;&gt;""),TRUE))</formula>
    </cfRule>
    <cfRule type="expression" dxfId="483" priority="468">
      <formula>IF(BG17&gt;=BH17,IF(BG17="",FALSE,TRUE))</formula>
    </cfRule>
  </conditionalFormatting>
  <conditionalFormatting sqref="BE28:BE29">
    <cfRule type="expression" dxfId="482" priority="465">
      <formula>OR(IF(BE28&lt;BF28,TRUE),IF(AND(BF28="",BE28&lt;&gt;""),TRUE))</formula>
    </cfRule>
    <cfRule type="expression" dxfId="481" priority="466">
      <formula>IF(BE28&gt;=BF28,IF(BE28="",FALSE,TRUE))</formula>
    </cfRule>
  </conditionalFormatting>
  <conditionalFormatting sqref="O25">
    <cfRule type="expression" dxfId="480" priority="557">
      <formula>OR(IF(O25&lt;P25,TRUE),IF(AND(P25="",O25&lt;&gt;""),TRUE))</formula>
    </cfRule>
    <cfRule type="expression" dxfId="479" priority="558">
      <formula>IF(O25&gt;=P25,IF(O25="",FALSE,TRUE))</formula>
    </cfRule>
  </conditionalFormatting>
  <conditionalFormatting sqref="Q25">
    <cfRule type="expression" dxfId="478" priority="555">
      <formula>OR(IF(Q25&lt;R25,TRUE),IF(AND(R25="",Q25&lt;&gt;""),TRUE))</formula>
    </cfRule>
    <cfRule type="expression" dxfId="477" priority="556">
      <formula>IF(Q25&gt;=R25,IF(Q25="",FALSE,TRUE))</formula>
    </cfRule>
  </conditionalFormatting>
  <conditionalFormatting sqref="V20:V24 X20:X24 V5:V17">
    <cfRule type="expression" dxfId="476" priority="549">
      <formula>OR(IF(V5&lt;W5,TRUE),IF(AND(W5="",V5&lt;&gt;""),TRUE))</formula>
    </cfRule>
    <cfRule type="expression" dxfId="475" priority="550">
      <formula>IF(V5&gt;=W5,IF(V5="",FALSE,TRUE))</formula>
    </cfRule>
  </conditionalFormatting>
  <conditionalFormatting sqref="X5:X17">
    <cfRule type="expression" dxfId="474" priority="547">
      <formula>OR(IF(X5&lt;Y5,TRUE),IF(AND(Y5="",X5&lt;&gt;""),TRUE))</formula>
    </cfRule>
    <cfRule type="expression" dxfId="473" priority="548">
      <formula>IF(X5&gt;=Y5,IF(X5="",FALSE,TRUE))</formula>
    </cfRule>
  </conditionalFormatting>
  <conditionalFormatting sqref="V28:V29">
    <cfRule type="expression" dxfId="472" priority="545">
      <formula>OR(IF(V28&lt;W28,TRUE),IF(AND(W28="",V28&lt;&gt;""),TRUE))</formula>
    </cfRule>
    <cfRule type="expression" dxfId="471" priority="546">
      <formula>IF(V28&gt;=W28,IF(V28="",FALSE,TRUE))</formula>
    </cfRule>
  </conditionalFormatting>
  <conditionalFormatting sqref="X28:X29">
    <cfRule type="expression" dxfId="470" priority="543">
      <formula>OR(IF(X28&lt;Y28,TRUE),IF(AND(Y28="",X28&lt;&gt;""),TRUE))</formula>
    </cfRule>
    <cfRule type="expression" dxfId="469" priority="544">
      <formula>IF(X28&gt;=Y28,IF(X28="",FALSE,TRUE))</formula>
    </cfRule>
  </conditionalFormatting>
  <conditionalFormatting sqref="V25">
    <cfRule type="expression" dxfId="468" priority="541">
      <formula>OR(IF(V25&lt;W25,TRUE),IF(AND(W25="",V25&lt;&gt;""),TRUE))</formula>
    </cfRule>
    <cfRule type="expression" dxfId="467" priority="542">
      <formula>IF(V25&gt;=W25,IF(V25="",FALSE,TRUE))</formula>
    </cfRule>
  </conditionalFormatting>
  <conditionalFormatting sqref="X25">
    <cfRule type="expression" dxfId="466" priority="539">
      <formula>OR(IF(X25&lt;Y25,TRUE),IF(AND(Y25="",X25&lt;&gt;""),TRUE))</formula>
    </cfRule>
    <cfRule type="expression" dxfId="465" priority="540">
      <formula>IF(X25&gt;=Y25,IF(X25="",FALSE,TRUE))</formula>
    </cfRule>
  </conditionalFormatting>
  <conditionalFormatting sqref="AC20:AC24 AE20:AE24 AC5:AC17">
    <cfRule type="expression" dxfId="464" priority="533">
      <formula>OR(IF(AC5&lt;AD5,TRUE),IF(AND(AD5="",AC5&lt;&gt;""),TRUE))</formula>
    </cfRule>
    <cfRule type="expression" dxfId="463" priority="534">
      <formula>IF(AC5&gt;=AD5,IF(AC5="",FALSE,TRUE))</formula>
    </cfRule>
  </conditionalFormatting>
  <conditionalFormatting sqref="AE5:AE17">
    <cfRule type="expression" dxfId="462" priority="531">
      <formula>OR(IF(AE5&lt;AF5,TRUE),IF(AND(AF5="",AE5&lt;&gt;""),TRUE))</formula>
    </cfRule>
    <cfRule type="expression" dxfId="461" priority="532">
      <formula>IF(AE5&gt;=AF5,IF(AE5="",FALSE,TRUE))</formula>
    </cfRule>
  </conditionalFormatting>
  <conditionalFormatting sqref="AC28:AC29">
    <cfRule type="expression" dxfId="460" priority="529">
      <formula>OR(IF(AC28&lt;AD28,TRUE),IF(AND(AD28="",AC28&lt;&gt;""),TRUE))</formula>
    </cfRule>
    <cfRule type="expression" dxfId="459" priority="530">
      <formula>IF(AC28&gt;=AD28,IF(AC28="",FALSE,TRUE))</formula>
    </cfRule>
  </conditionalFormatting>
  <conditionalFormatting sqref="AE28:AE29">
    <cfRule type="expression" dxfId="458" priority="527">
      <formula>OR(IF(AE28&lt;AF28,TRUE),IF(AND(AF28="",AE28&lt;&gt;""),TRUE))</formula>
    </cfRule>
    <cfRule type="expression" dxfId="457" priority="528">
      <formula>IF(AE28&gt;=AF28,IF(AE28="",FALSE,TRUE))</formula>
    </cfRule>
  </conditionalFormatting>
  <conditionalFormatting sqref="AC25">
    <cfRule type="expression" dxfId="456" priority="525">
      <formula>OR(IF(AC25&lt;AD25,TRUE),IF(AND(AD25="",AC25&lt;&gt;""),TRUE))</formula>
    </cfRule>
    <cfRule type="expression" dxfId="455" priority="526">
      <formula>IF(AC25&gt;=AD25,IF(AC25="",FALSE,TRUE))</formula>
    </cfRule>
  </conditionalFormatting>
  <conditionalFormatting sqref="AE25">
    <cfRule type="expression" dxfId="454" priority="523">
      <formula>OR(IF(AE25&lt;AF25,TRUE),IF(AND(AF25="",AE25&lt;&gt;""),TRUE))</formula>
    </cfRule>
    <cfRule type="expression" dxfId="453" priority="524">
      <formula>IF(AE25&gt;=AF25,IF(AE25="",FALSE,TRUE))</formula>
    </cfRule>
  </conditionalFormatting>
  <conditionalFormatting sqref="AJ20:AJ24 AL20:AL24 AJ5:AJ17">
    <cfRule type="expression" dxfId="452" priority="517">
      <formula>OR(IF(AJ5&lt;AK5,TRUE),IF(AND(AK5="",AJ5&lt;&gt;""),TRUE))</formula>
    </cfRule>
    <cfRule type="expression" dxfId="451" priority="518">
      <formula>IF(AJ5&gt;=AK5,IF(AJ5="",FALSE,TRUE))</formula>
    </cfRule>
  </conditionalFormatting>
  <conditionalFormatting sqref="AL5:AL17">
    <cfRule type="expression" dxfId="450" priority="515">
      <formula>OR(IF(AL5&lt;AM5,TRUE),IF(AND(AM5="",AL5&lt;&gt;""),TRUE))</formula>
    </cfRule>
    <cfRule type="expression" dxfId="449" priority="516">
      <formula>IF(AL5&gt;=AM5,IF(AL5="",FALSE,TRUE))</formula>
    </cfRule>
  </conditionalFormatting>
  <conditionalFormatting sqref="AJ28:AJ29">
    <cfRule type="expression" dxfId="448" priority="513">
      <formula>OR(IF(AJ28&lt;AK28,TRUE),IF(AND(AK28="",AJ28&lt;&gt;""),TRUE))</formula>
    </cfRule>
    <cfRule type="expression" dxfId="447" priority="514">
      <formula>IF(AJ28&gt;=AK28,IF(AJ28="",FALSE,TRUE))</formula>
    </cfRule>
  </conditionalFormatting>
  <conditionalFormatting sqref="AL28:AL29">
    <cfRule type="expression" dxfId="446" priority="511">
      <formula>OR(IF(AL28&lt;AM28,TRUE),IF(AND(AM28="",AL28&lt;&gt;""),TRUE))</formula>
    </cfRule>
    <cfRule type="expression" dxfId="445" priority="512">
      <formula>IF(AL28&gt;=AM28,IF(AL28="",FALSE,TRUE))</formula>
    </cfRule>
  </conditionalFormatting>
  <conditionalFormatting sqref="AJ25">
    <cfRule type="expression" dxfId="444" priority="509">
      <formula>OR(IF(AJ25&lt;AK25,TRUE),IF(AND(AK25="",AJ25&lt;&gt;""),TRUE))</formula>
    </cfRule>
    <cfRule type="expression" dxfId="443" priority="510">
      <formula>IF(AJ25&gt;=AK25,IF(AJ25="",FALSE,TRUE))</formula>
    </cfRule>
  </conditionalFormatting>
  <conditionalFormatting sqref="AL25">
    <cfRule type="expression" dxfId="442" priority="507">
      <formula>OR(IF(AL25&lt;AM25,TRUE),IF(AND(AM25="",AL25&lt;&gt;""),TRUE))</formula>
    </cfRule>
    <cfRule type="expression" dxfId="441" priority="508">
      <formula>IF(AL25&gt;=AM25,IF(AL25="",FALSE,TRUE))</formula>
    </cfRule>
  </conditionalFormatting>
  <conditionalFormatting sqref="AQ28:AQ29">
    <cfRule type="expression" dxfId="440" priority="497">
      <formula>OR(IF(AQ28&lt;AR28,TRUE),IF(AND(AR28="",AQ28&lt;&gt;""),TRUE))</formula>
    </cfRule>
    <cfRule type="expression" dxfId="439" priority="498">
      <formula>IF(AQ28&gt;=AR28,IF(AQ28="",FALSE,TRUE))</formula>
    </cfRule>
  </conditionalFormatting>
  <conditionalFormatting sqref="AS28:AS29">
    <cfRule type="expression" dxfId="438" priority="495">
      <formula>OR(IF(AS28&lt;AT28,TRUE),IF(AND(AT28="",AS28&lt;&gt;""),TRUE))</formula>
    </cfRule>
    <cfRule type="expression" dxfId="437" priority="496">
      <formula>IF(AS28&gt;=AT28,IF(AS28="",FALSE,TRUE))</formula>
    </cfRule>
  </conditionalFormatting>
  <conditionalFormatting sqref="AQ25">
    <cfRule type="expression" dxfId="436" priority="493">
      <formula>OR(IF(AQ25&lt;AR25,TRUE),IF(AND(AR25="",AQ25&lt;&gt;""),TRUE))</formula>
    </cfRule>
    <cfRule type="expression" dxfId="435" priority="494">
      <formula>IF(AQ25&gt;=AR25,IF(AQ25="",FALSE,TRUE))</formula>
    </cfRule>
  </conditionalFormatting>
  <conditionalFormatting sqref="AS25">
    <cfRule type="expression" dxfId="434" priority="491">
      <formula>OR(IF(AS25&lt;AT25,TRUE),IF(AND(AT25="",AS25&lt;&gt;""),TRUE))</formula>
    </cfRule>
    <cfRule type="expression" dxfId="433" priority="492">
      <formula>IF(AS25&gt;=AT25,IF(AS25="",FALSE,TRUE))</formula>
    </cfRule>
  </conditionalFormatting>
  <conditionalFormatting sqref="AX20:AX24 AZ20:AZ24 AX5:AX17">
    <cfRule type="expression" dxfId="432" priority="485">
      <formula>OR(IF(AX5&lt;AY5,TRUE),IF(AND(AY5="",AX5&lt;&gt;""),TRUE))</formula>
    </cfRule>
    <cfRule type="expression" dxfId="431" priority="486">
      <formula>IF(AX5&gt;=AY5,IF(AX5="",FALSE,TRUE))</formula>
    </cfRule>
  </conditionalFormatting>
  <conditionalFormatting sqref="AZ5:AZ17">
    <cfRule type="expression" dxfId="430" priority="483">
      <formula>OR(IF(AZ5&lt;BA5,TRUE),IF(AND(BA5="",AZ5&lt;&gt;""),TRUE))</formula>
    </cfRule>
    <cfRule type="expression" dxfId="429" priority="484">
      <formula>IF(AZ5&gt;=BA5,IF(AZ5="",FALSE,TRUE))</formula>
    </cfRule>
  </conditionalFormatting>
  <conditionalFormatting sqref="AX28:AX29">
    <cfRule type="expression" dxfId="428" priority="481">
      <formula>OR(IF(AX28&lt;AY28,TRUE),IF(AND(AY28="",AX28&lt;&gt;""),TRUE))</formula>
    </cfRule>
    <cfRule type="expression" dxfId="427" priority="482">
      <formula>IF(AX28&gt;=AY28,IF(AX28="",FALSE,TRUE))</formula>
    </cfRule>
  </conditionalFormatting>
  <conditionalFormatting sqref="AZ28:AZ29">
    <cfRule type="expression" dxfId="426" priority="479">
      <formula>OR(IF(AZ28&lt;BA28,TRUE),IF(AND(BA28="",AZ28&lt;&gt;""),TRUE))</formula>
    </cfRule>
    <cfRule type="expression" dxfId="425" priority="480">
      <formula>IF(AZ28&gt;=BA28,IF(AZ28="",FALSE,TRUE))</formula>
    </cfRule>
  </conditionalFormatting>
  <conditionalFormatting sqref="AX25">
    <cfRule type="expression" dxfId="424" priority="477">
      <formula>OR(IF(AX25&lt;AY25,TRUE),IF(AND(AY25="",AX25&lt;&gt;""),TRUE))</formula>
    </cfRule>
    <cfRule type="expression" dxfId="423" priority="478">
      <formula>IF(AX25&gt;=AY25,IF(AX25="",FALSE,TRUE))</formula>
    </cfRule>
  </conditionalFormatting>
  <conditionalFormatting sqref="BG28:BG29">
    <cfRule type="expression" dxfId="422" priority="463">
      <formula>OR(IF(BG28&lt;BH28,TRUE),IF(AND(BH28="",BG28&lt;&gt;""),TRUE))</formula>
    </cfRule>
    <cfRule type="expression" dxfId="421" priority="464">
      <formula>IF(BG28&gt;=BH28,IF(BG28="",FALSE,TRUE))</formula>
    </cfRule>
  </conditionalFormatting>
  <conditionalFormatting sqref="BE25">
    <cfRule type="expression" dxfId="420" priority="461">
      <formula>OR(IF(BE25&lt;BF25,TRUE),IF(AND(BF25="",BE25&lt;&gt;""),TRUE))</formula>
    </cfRule>
    <cfRule type="expression" dxfId="419" priority="462">
      <formula>IF(BE25&gt;=BF25,IF(BE25="",FALSE,TRUE))</formula>
    </cfRule>
  </conditionalFormatting>
  <conditionalFormatting sqref="BG25">
    <cfRule type="expression" dxfId="418" priority="459">
      <formula>OR(IF(BG25&lt;BH25,TRUE),IF(AND(BH25="",BG25&lt;&gt;""),TRUE))</formula>
    </cfRule>
    <cfRule type="expression" dxfId="417" priority="460">
      <formula>IF(BG25&gt;=BH25,IF(BG25="",FALSE,TRUE))</formula>
    </cfRule>
  </conditionalFormatting>
  <conditionalFormatting sqref="BE5:BE16">
    <cfRule type="expression" dxfId="416" priority="453">
      <formula>OR(IF(BE5&lt;BF5,TRUE),IF(AND(BF5="",BE5&lt;&gt;""),TRUE))</formula>
    </cfRule>
    <cfRule type="expression" dxfId="415" priority="454">
      <formula>IF(BE5&gt;=BF5,IF(BE5="",FALSE,TRUE))</formula>
    </cfRule>
  </conditionalFormatting>
  <conditionalFormatting sqref="BG5:BG16">
    <cfRule type="expression" dxfId="414" priority="451">
      <formula>OR(IF(BG5&lt;BH5,TRUE),IF(AND(BH5="",BG5&lt;&gt;""),TRUE))</formula>
    </cfRule>
    <cfRule type="expression" dxfId="413" priority="452">
      <formula>IF(BG5&gt;=BH5,IF(BG5="",FALSE,TRUE))</formula>
    </cfRule>
  </conditionalFormatting>
  <conditionalFormatting sqref="BL20:BL24 BN20:BN24 BL17">
    <cfRule type="expression" dxfId="412" priority="445">
      <formula>OR(IF(BL17&lt;BM17,TRUE),IF(AND(BM17="",BL17&lt;&gt;""),TRUE))</formula>
    </cfRule>
    <cfRule type="expression" dxfId="411" priority="446">
      <formula>IF(BL17&gt;=BM17,IF(BL17="",FALSE,TRUE))</formula>
    </cfRule>
  </conditionalFormatting>
  <conditionalFormatting sqref="BN17">
    <cfRule type="expression" dxfId="410" priority="443">
      <formula>OR(IF(BN17&lt;BO17,TRUE),IF(AND(BO17="",BN17&lt;&gt;""),TRUE))</formula>
    </cfRule>
    <cfRule type="expression" dxfId="409" priority="444">
      <formula>IF(BN17&gt;=BO17,IF(BN17="",FALSE,TRUE))</formula>
    </cfRule>
  </conditionalFormatting>
  <conditionalFormatting sqref="BL28:BL29">
    <cfRule type="expression" dxfId="408" priority="441">
      <formula>OR(IF(BL28&lt;BM28,TRUE),IF(AND(BM28="",BL28&lt;&gt;""),TRUE))</formula>
    </cfRule>
    <cfRule type="expression" dxfId="407" priority="442">
      <formula>IF(BL28&gt;=BM28,IF(BL28="",FALSE,TRUE))</formula>
    </cfRule>
  </conditionalFormatting>
  <conditionalFormatting sqref="BN28:BN29">
    <cfRule type="expression" dxfId="406" priority="439">
      <formula>OR(IF(BN28&lt;BO28,TRUE),IF(AND(BO28="",BN28&lt;&gt;""),TRUE))</formula>
    </cfRule>
    <cfRule type="expression" dxfId="405" priority="440">
      <formula>IF(BN28&gt;=BO28,IF(BN28="",FALSE,TRUE))</formula>
    </cfRule>
  </conditionalFormatting>
  <conditionalFormatting sqref="BL25">
    <cfRule type="expression" dxfId="404" priority="437">
      <formula>OR(IF(BL25&lt;BM25,TRUE),IF(AND(BM25="",BL25&lt;&gt;""),TRUE))</formula>
    </cfRule>
    <cfRule type="expression" dxfId="403" priority="438">
      <formula>IF(BL25&gt;=BM25,IF(BL25="",FALSE,TRUE))</formula>
    </cfRule>
  </conditionalFormatting>
  <conditionalFormatting sqref="BN25">
    <cfRule type="expression" dxfId="402" priority="435">
      <formula>OR(IF(BN25&lt;BO25,TRUE),IF(AND(BO25="",BN25&lt;&gt;""),TRUE))</formula>
    </cfRule>
    <cfRule type="expression" dxfId="401" priority="436">
      <formula>IF(BN25&gt;=BO25,IF(BN25="",FALSE,TRUE))</formula>
    </cfRule>
  </conditionalFormatting>
  <conditionalFormatting sqref="BL5:BL16">
    <cfRule type="expression" dxfId="400" priority="429">
      <formula>OR(IF(BL5&lt;BM5,TRUE),IF(AND(BM5="",BL5&lt;&gt;""),TRUE))</formula>
    </cfRule>
    <cfRule type="expression" dxfId="399" priority="430">
      <formula>IF(BL5&gt;=BM5,IF(BL5="",FALSE,TRUE))</formula>
    </cfRule>
  </conditionalFormatting>
  <conditionalFormatting sqref="BN5:BN16">
    <cfRule type="expression" dxfId="398" priority="427">
      <formula>OR(IF(BN5&lt;BO5,TRUE),IF(AND(BO5="",BN5&lt;&gt;""),TRUE))</formula>
    </cfRule>
    <cfRule type="expression" dxfId="397" priority="428">
      <formula>IF(BN5&gt;=BO5,IF(BN5="",FALSE,TRUE))</formula>
    </cfRule>
  </conditionalFormatting>
  <conditionalFormatting sqref="BS20:BS24 BU20:BU24 BS17">
    <cfRule type="expression" dxfId="396" priority="425">
      <formula>OR(IF(BS17&lt;BT17,TRUE),IF(AND(BT17="",BS17&lt;&gt;""),TRUE))</formula>
    </cfRule>
    <cfRule type="expression" dxfId="395" priority="426">
      <formula>IF(BS17&gt;=BT17,IF(BS17="",FALSE,TRUE))</formula>
    </cfRule>
  </conditionalFormatting>
  <conditionalFormatting sqref="BU17">
    <cfRule type="expression" dxfId="394" priority="423">
      <formula>OR(IF(BU17&lt;BV17,TRUE),IF(AND(BV17="",BU17&lt;&gt;""),TRUE))</formula>
    </cfRule>
    <cfRule type="expression" dxfId="393" priority="424">
      <formula>IF(BU17&gt;=BV17,IF(BU17="",FALSE,TRUE))</formula>
    </cfRule>
  </conditionalFormatting>
  <conditionalFormatting sqref="BS28:BS29">
    <cfRule type="expression" dxfId="392" priority="421">
      <formula>OR(IF(BS28&lt;BT28,TRUE),IF(AND(BT28="",BS28&lt;&gt;""),TRUE))</formula>
    </cfRule>
    <cfRule type="expression" dxfId="391" priority="422">
      <formula>IF(BS28&gt;=BT28,IF(BS28="",FALSE,TRUE))</formula>
    </cfRule>
  </conditionalFormatting>
  <conditionalFormatting sqref="BU28:BU29">
    <cfRule type="expression" dxfId="390" priority="419">
      <formula>OR(IF(BU28&lt;BV28,TRUE),IF(AND(BV28="",BU28&lt;&gt;""),TRUE))</formula>
    </cfRule>
    <cfRule type="expression" dxfId="389" priority="420">
      <formula>IF(BU28&gt;=BV28,IF(BU28="",FALSE,TRUE))</formula>
    </cfRule>
  </conditionalFormatting>
  <conditionalFormatting sqref="BS25">
    <cfRule type="expression" dxfId="388" priority="417">
      <formula>OR(IF(BS25&lt;BT25,TRUE),IF(AND(BT25="",BS25&lt;&gt;""),TRUE))</formula>
    </cfRule>
    <cfRule type="expression" dxfId="387" priority="418">
      <formula>IF(BS25&gt;=BT25,IF(BS25="",FALSE,TRUE))</formula>
    </cfRule>
  </conditionalFormatting>
  <conditionalFormatting sqref="BU25">
    <cfRule type="expression" dxfId="386" priority="415">
      <formula>OR(IF(BU25&lt;BV25,TRUE),IF(AND(BV25="",BU25&lt;&gt;""),TRUE))</formula>
    </cfRule>
    <cfRule type="expression" dxfId="385" priority="416">
      <formula>IF(BU25&gt;=BV25,IF(BU25="",FALSE,TRUE))</formula>
    </cfRule>
  </conditionalFormatting>
  <conditionalFormatting sqref="BS5:BS16">
    <cfRule type="expression" dxfId="384" priority="409">
      <formula>OR(IF(BS5&lt;BT5,TRUE),IF(AND(BT5="",BS5&lt;&gt;""),TRUE))</formula>
    </cfRule>
    <cfRule type="expression" dxfId="383" priority="410">
      <formula>IF(BS5&gt;=BT5,IF(BS5="",FALSE,TRUE))</formula>
    </cfRule>
  </conditionalFormatting>
  <conditionalFormatting sqref="BU5:BU16">
    <cfRule type="expression" dxfId="382" priority="407">
      <formula>OR(IF(BU5&lt;BV5,TRUE),IF(AND(BV5="",BU5&lt;&gt;""),TRUE))</formula>
    </cfRule>
    <cfRule type="expression" dxfId="381" priority="408">
      <formula>IF(BU5&gt;=BV5,IF(BU5="",FALSE,TRUE))</formula>
    </cfRule>
  </conditionalFormatting>
  <conditionalFormatting sqref="BZ20:BZ24 CB20:CB24 BZ17">
    <cfRule type="expression" dxfId="380" priority="405">
      <formula>OR(IF(BZ17&lt;CA17,TRUE),IF(AND(CA17="",BZ17&lt;&gt;""),TRUE))</formula>
    </cfRule>
    <cfRule type="expression" dxfId="379" priority="406">
      <formula>IF(BZ17&gt;=CA17,IF(BZ17="",FALSE,TRUE))</formula>
    </cfRule>
  </conditionalFormatting>
  <conditionalFormatting sqref="CB17">
    <cfRule type="expression" dxfId="378" priority="403">
      <formula>OR(IF(CB17&lt;CC17,TRUE),IF(AND(CC17="",CB17&lt;&gt;""),TRUE))</formula>
    </cfRule>
    <cfRule type="expression" dxfId="377" priority="404">
      <formula>IF(CB17&gt;=CC17,IF(CB17="",FALSE,TRUE))</formula>
    </cfRule>
  </conditionalFormatting>
  <conditionalFormatting sqref="BZ28:BZ29">
    <cfRule type="expression" dxfId="376" priority="401">
      <formula>OR(IF(BZ28&lt;CA28,TRUE),IF(AND(CA28="",BZ28&lt;&gt;""),TRUE))</formula>
    </cfRule>
    <cfRule type="expression" dxfId="375" priority="402">
      <formula>IF(BZ28&gt;=CA28,IF(BZ28="",FALSE,TRUE))</formula>
    </cfRule>
  </conditionalFormatting>
  <conditionalFormatting sqref="CB28:CB29">
    <cfRule type="expression" dxfId="374" priority="399">
      <formula>OR(IF(CB28&lt;CC28,TRUE),IF(AND(CC28="",CB28&lt;&gt;""),TRUE))</formula>
    </cfRule>
    <cfRule type="expression" dxfId="373" priority="400">
      <formula>IF(CB28&gt;=CC28,IF(CB28="",FALSE,TRUE))</formula>
    </cfRule>
  </conditionalFormatting>
  <conditionalFormatting sqref="BZ25">
    <cfRule type="expression" dxfId="372" priority="397">
      <formula>OR(IF(BZ25&lt;CA25,TRUE),IF(AND(CA25="",BZ25&lt;&gt;""),TRUE))</formula>
    </cfRule>
    <cfRule type="expression" dxfId="371" priority="398">
      <formula>IF(BZ25&gt;=CA25,IF(BZ25="",FALSE,TRUE))</formula>
    </cfRule>
  </conditionalFormatting>
  <conditionalFormatting sqref="CB25">
    <cfRule type="expression" dxfId="370" priority="395">
      <formula>OR(IF(CB25&lt;CC25,TRUE),IF(AND(CC25="",CB25&lt;&gt;""),TRUE))</formula>
    </cfRule>
    <cfRule type="expression" dxfId="369" priority="396">
      <formula>IF(CB25&gt;=CC25,IF(CB25="",FALSE,TRUE))</formula>
    </cfRule>
  </conditionalFormatting>
  <conditionalFormatting sqref="BZ5:BZ16">
    <cfRule type="expression" dxfId="368" priority="389">
      <formula>OR(IF(BZ5&lt;CA5,TRUE),IF(AND(CA5="",BZ5&lt;&gt;""),TRUE))</formula>
    </cfRule>
    <cfRule type="expression" dxfId="367" priority="390">
      <formula>IF(BZ5&gt;=CA5,IF(BZ5="",FALSE,TRUE))</formula>
    </cfRule>
  </conditionalFormatting>
  <conditionalFormatting sqref="CB5:CB16">
    <cfRule type="expression" dxfId="366" priority="387">
      <formula>OR(IF(CB5&lt;CC5,TRUE),IF(AND(CC5="",CB5&lt;&gt;""),TRUE))</formula>
    </cfRule>
    <cfRule type="expression" dxfId="365" priority="388">
      <formula>IF(CB5&gt;=CC5,IF(CB5="",FALSE,TRUE))</formula>
    </cfRule>
  </conditionalFormatting>
  <conditionalFormatting sqref="CG20:CG24 CI20:CI24 CG17">
    <cfRule type="expression" dxfId="364" priority="385">
      <formula>OR(IF(CG17&lt;CH17,TRUE),IF(AND(CH17="",CG17&lt;&gt;""),TRUE))</formula>
    </cfRule>
    <cfRule type="expression" dxfId="363" priority="386">
      <formula>IF(CG17&gt;=CH17,IF(CG17="",FALSE,TRUE))</formula>
    </cfRule>
  </conditionalFormatting>
  <conditionalFormatting sqref="CI17">
    <cfRule type="expression" dxfId="362" priority="383">
      <formula>OR(IF(CI17&lt;CJ17,TRUE),IF(AND(CJ17="",CI17&lt;&gt;""),TRUE))</formula>
    </cfRule>
    <cfRule type="expression" dxfId="361" priority="384">
      <formula>IF(CI17&gt;=CJ17,IF(CI17="",FALSE,TRUE))</formula>
    </cfRule>
  </conditionalFormatting>
  <conditionalFormatting sqref="CG28:CG29">
    <cfRule type="expression" dxfId="360" priority="381">
      <formula>OR(IF(CG28&lt;CH28,TRUE),IF(AND(CH28="",CG28&lt;&gt;""),TRUE))</formula>
    </cfRule>
    <cfRule type="expression" dxfId="359" priority="382">
      <formula>IF(CG28&gt;=CH28,IF(CG28="",FALSE,TRUE))</formula>
    </cfRule>
  </conditionalFormatting>
  <conditionalFormatting sqref="CI28:CI29">
    <cfRule type="expression" dxfId="358" priority="379">
      <formula>OR(IF(CI28&lt;CJ28,TRUE),IF(AND(CJ28="",CI28&lt;&gt;""),TRUE))</formula>
    </cfRule>
    <cfRule type="expression" dxfId="357" priority="380">
      <formula>IF(CI28&gt;=CJ28,IF(CI28="",FALSE,TRUE))</formula>
    </cfRule>
  </conditionalFormatting>
  <conditionalFormatting sqref="CG25">
    <cfRule type="expression" dxfId="356" priority="377">
      <formula>OR(IF(CG25&lt;CH25,TRUE),IF(AND(CH25="",CG25&lt;&gt;""),TRUE))</formula>
    </cfRule>
    <cfRule type="expression" dxfId="355" priority="378">
      <formula>IF(CG25&gt;=CH25,IF(CG25="",FALSE,TRUE))</formula>
    </cfRule>
  </conditionalFormatting>
  <conditionalFormatting sqref="CI25">
    <cfRule type="expression" dxfId="354" priority="375">
      <formula>OR(IF(CI25&lt;CJ25,TRUE),IF(AND(CJ25="",CI25&lt;&gt;""),TRUE))</formula>
    </cfRule>
    <cfRule type="expression" dxfId="353" priority="376">
      <formula>IF(CI25&gt;=CJ25,IF(CI25="",FALSE,TRUE))</formula>
    </cfRule>
  </conditionalFormatting>
  <conditionalFormatting sqref="CG5:CG16">
    <cfRule type="expression" dxfId="352" priority="369">
      <formula>OR(IF(CG5&lt;CH5,TRUE),IF(AND(CH5="",CG5&lt;&gt;""),TRUE))</formula>
    </cfRule>
    <cfRule type="expression" dxfId="351" priority="370">
      <formula>IF(CG5&gt;=CH5,IF(CG5="",FALSE,TRUE))</formula>
    </cfRule>
  </conditionalFormatting>
  <conditionalFormatting sqref="CI5:CI16">
    <cfRule type="expression" dxfId="350" priority="367">
      <formula>OR(IF(CI5&lt;CJ5,TRUE),IF(AND(CJ5="",CI5&lt;&gt;""),TRUE))</formula>
    </cfRule>
    <cfRule type="expression" dxfId="349" priority="368">
      <formula>IF(CI5&gt;=CJ5,IF(CI5="",FALSE,TRUE))</formula>
    </cfRule>
  </conditionalFormatting>
  <conditionalFormatting sqref="CN20:CN24 CP20:CP24 CN17">
    <cfRule type="expression" dxfId="348" priority="365">
      <formula>OR(IF(CN17&lt;CO17,TRUE),IF(AND(CO17="",CN17&lt;&gt;""),TRUE))</formula>
    </cfRule>
    <cfRule type="expression" dxfId="347" priority="366">
      <formula>IF(CN17&gt;=CO17,IF(CN17="",FALSE,TRUE))</formula>
    </cfRule>
  </conditionalFormatting>
  <conditionalFormatting sqref="CP17">
    <cfRule type="expression" dxfId="346" priority="363">
      <formula>OR(IF(CP17&lt;CQ17,TRUE),IF(AND(CQ17="",CP17&lt;&gt;""),TRUE))</formula>
    </cfRule>
    <cfRule type="expression" dxfId="345" priority="364">
      <formula>IF(CP17&gt;=CQ17,IF(CP17="",FALSE,TRUE))</formula>
    </cfRule>
  </conditionalFormatting>
  <conditionalFormatting sqref="CN28:CN29">
    <cfRule type="expression" dxfId="344" priority="361">
      <formula>OR(IF(CN28&lt;CO28,TRUE),IF(AND(CO28="",CN28&lt;&gt;""),TRUE))</formula>
    </cfRule>
    <cfRule type="expression" dxfId="343" priority="362">
      <formula>IF(CN28&gt;=CO28,IF(CN28="",FALSE,TRUE))</formula>
    </cfRule>
  </conditionalFormatting>
  <conditionalFormatting sqref="CP28:CP29">
    <cfRule type="expression" dxfId="342" priority="359">
      <formula>OR(IF(CP28&lt;CQ28,TRUE),IF(AND(CQ28="",CP28&lt;&gt;""),TRUE))</formula>
    </cfRule>
    <cfRule type="expression" dxfId="341" priority="360">
      <formula>IF(CP28&gt;=CQ28,IF(CP28="",FALSE,TRUE))</formula>
    </cfRule>
  </conditionalFormatting>
  <conditionalFormatting sqref="CN25">
    <cfRule type="expression" dxfId="340" priority="357">
      <formula>OR(IF(CN25&lt;CO25,TRUE),IF(AND(CO25="",CN25&lt;&gt;""),TRUE))</formula>
    </cfRule>
    <cfRule type="expression" dxfId="339" priority="358">
      <formula>IF(CN25&gt;=CO25,IF(CN25="",FALSE,TRUE))</formula>
    </cfRule>
  </conditionalFormatting>
  <conditionalFormatting sqref="CP25">
    <cfRule type="expression" dxfId="338" priority="355">
      <formula>OR(IF(CP25&lt;CQ25,TRUE),IF(AND(CQ25="",CP25&lt;&gt;""),TRUE))</formula>
    </cfRule>
    <cfRule type="expression" dxfId="337" priority="356">
      <formula>IF(CP25&gt;=CQ25,IF(CP25="",FALSE,TRUE))</formula>
    </cfRule>
  </conditionalFormatting>
  <conditionalFormatting sqref="CN5:CN16">
    <cfRule type="expression" dxfId="336" priority="349">
      <formula>OR(IF(CN5&lt;CO5,TRUE),IF(AND(CO5="",CN5&lt;&gt;""),TRUE))</formula>
    </cfRule>
    <cfRule type="expression" dxfId="335" priority="350">
      <formula>IF(CN5&gt;=CO5,IF(CN5="",FALSE,TRUE))</formula>
    </cfRule>
  </conditionalFormatting>
  <conditionalFormatting sqref="CP5:CP16">
    <cfRule type="expression" dxfId="334" priority="347">
      <formula>OR(IF(CP5&lt;CQ5,TRUE),IF(AND(CQ5="",CP5&lt;&gt;""),TRUE))</formula>
    </cfRule>
    <cfRule type="expression" dxfId="333" priority="348">
      <formula>IF(CP5&gt;=CQ5,IF(CP5="",FALSE,TRUE))</formula>
    </cfRule>
  </conditionalFormatting>
  <conditionalFormatting sqref="CU20:CU24 CW20:CW24 CU17">
    <cfRule type="expression" dxfId="332" priority="345">
      <formula>OR(IF(CU17&lt;CV17,TRUE),IF(AND(CV17="",CU17&lt;&gt;""),TRUE))</formula>
    </cfRule>
    <cfRule type="expression" dxfId="331" priority="346">
      <formula>IF(CU17&gt;=CV17,IF(CU17="",FALSE,TRUE))</formula>
    </cfRule>
  </conditionalFormatting>
  <conditionalFormatting sqref="CW17">
    <cfRule type="expression" dxfId="330" priority="343">
      <formula>OR(IF(CW17&lt;CX17,TRUE),IF(AND(CX17="",CW17&lt;&gt;""),TRUE))</formula>
    </cfRule>
    <cfRule type="expression" dxfId="329" priority="344">
      <formula>IF(CW17&gt;=CX17,IF(CW17="",FALSE,TRUE))</formula>
    </cfRule>
  </conditionalFormatting>
  <conditionalFormatting sqref="CU28:CU29">
    <cfRule type="expression" dxfId="328" priority="341">
      <formula>OR(IF(CU28&lt;CV28,TRUE),IF(AND(CV28="",CU28&lt;&gt;""),TRUE))</formula>
    </cfRule>
    <cfRule type="expression" dxfId="327" priority="342">
      <formula>IF(CU28&gt;=CV28,IF(CU28="",FALSE,TRUE))</formula>
    </cfRule>
  </conditionalFormatting>
  <conditionalFormatting sqref="CW28:CW29">
    <cfRule type="expression" dxfId="326" priority="339">
      <formula>OR(IF(CW28&lt;CX28,TRUE),IF(AND(CX28="",CW28&lt;&gt;""),TRUE))</formula>
    </cfRule>
    <cfRule type="expression" dxfId="325" priority="340">
      <formula>IF(CW28&gt;=CX28,IF(CW28="",FALSE,TRUE))</formula>
    </cfRule>
  </conditionalFormatting>
  <conditionalFormatting sqref="CU25">
    <cfRule type="expression" dxfId="324" priority="337">
      <formula>OR(IF(CU25&lt;CV25,TRUE),IF(AND(CV25="",CU25&lt;&gt;""),TRUE))</formula>
    </cfRule>
    <cfRule type="expression" dxfId="323" priority="338">
      <formula>IF(CU25&gt;=CV25,IF(CU25="",FALSE,TRUE))</formula>
    </cfRule>
  </conditionalFormatting>
  <conditionalFormatting sqref="CW25">
    <cfRule type="expression" dxfId="322" priority="335">
      <formula>OR(IF(CW25&lt;CX25,TRUE),IF(AND(CX25="",CW25&lt;&gt;""),TRUE))</formula>
    </cfRule>
    <cfRule type="expression" dxfId="321" priority="336">
      <formula>IF(CW25&gt;=CX25,IF(CW25="",FALSE,TRUE))</formula>
    </cfRule>
  </conditionalFormatting>
  <conditionalFormatting sqref="CU5:CU16">
    <cfRule type="expression" dxfId="320" priority="329">
      <formula>OR(IF(CU5&lt;CV5,TRUE),IF(AND(CV5="",CU5&lt;&gt;""),TRUE))</formula>
    </cfRule>
    <cfRule type="expression" dxfId="319" priority="330">
      <formula>IF(CU5&gt;=CV5,IF(CU5="",FALSE,TRUE))</formula>
    </cfRule>
  </conditionalFormatting>
  <conditionalFormatting sqref="CW5:CW16">
    <cfRule type="expression" dxfId="318" priority="327">
      <formula>OR(IF(CW5&lt;CX5,TRUE),IF(AND(CX5="",CW5&lt;&gt;""),TRUE))</formula>
    </cfRule>
    <cfRule type="expression" dxfId="317" priority="328">
      <formula>IF(CW5&gt;=CX5,IF(CW5="",FALSE,TRUE))</formula>
    </cfRule>
  </conditionalFormatting>
  <conditionalFormatting sqref="DB20:DB24 DD20:DD24 DB17">
    <cfRule type="expression" dxfId="316" priority="325">
      <formula>OR(IF(DB17&lt;DC17,TRUE),IF(AND(DC17="",DB17&lt;&gt;""),TRUE))</formula>
    </cfRule>
    <cfRule type="expression" dxfId="315" priority="326">
      <formula>IF(DB17&gt;=DC17,IF(DB17="",FALSE,TRUE))</formula>
    </cfRule>
  </conditionalFormatting>
  <conditionalFormatting sqref="DD17">
    <cfRule type="expression" dxfId="314" priority="323">
      <formula>OR(IF(DD17&lt;DE17,TRUE),IF(AND(DE17="",DD17&lt;&gt;""),TRUE))</formula>
    </cfRule>
    <cfRule type="expression" dxfId="313" priority="324">
      <formula>IF(DD17&gt;=DE17,IF(DD17="",FALSE,TRUE))</formula>
    </cfRule>
  </conditionalFormatting>
  <conditionalFormatting sqref="DB28:DB29">
    <cfRule type="expression" dxfId="312" priority="321">
      <formula>OR(IF(DB28&lt;DC28,TRUE),IF(AND(DC28="",DB28&lt;&gt;""),TRUE))</formula>
    </cfRule>
    <cfRule type="expression" dxfId="311" priority="322">
      <formula>IF(DB28&gt;=DC28,IF(DB28="",FALSE,TRUE))</formula>
    </cfRule>
  </conditionalFormatting>
  <conditionalFormatting sqref="DD28:DD29">
    <cfRule type="expression" dxfId="310" priority="319">
      <formula>OR(IF(DD28&lt;DE28,TRUE),IF(AND(DE28="",DD28&lt;&gt;""),TRUE))</formula>
    </cfRule>
    <cfRule type="expression" dxfId="309" priority="320">
      <formula>IF(DD28&gt;=DE28,IF(DD28="",FALSE,TRUE))</formula>
    </cfRule>
  </conditionalFormatting>
  <conditionalFormatting sqref="DB25">
    <cfRule type="expression" dxfId="308" priority="317">
      <formula>OR(IF(DB25&lt;DC25,TRUE),IF(AND(DC25="",DB25&lt;&gt;""),TRUE))</formula>
    </cfRule>
    <cfRule type="expression" dxfId="307" priority="318">
      <formula>IF(DB25&gt;=DC25,IF(DB25="",FALSE,TRUE))</formula>
    </cfRule>
  </conditionalFormatting>
  <conditionalFormatting sqref="DD25">
    <cfRule type="expression" dxfId="306" priority="315">
      <formula>OR(IF(DD25&lt;DE25,TRUE),IF(AND(DE25="",DD25&lt;&gt;""),TRUE))</formula>
    </cfRule>
    <cfRule type="expression" dxfId="305" priority="316">
      <formula>IF(DD25&gt;=DE25,IF(DD25="",FALSE,TRUE))</formula>
    </cfRule>
  </conditionalFormatting>
  <conditionalFormatting sqref="DB5:DB16">
    <cfRule type="expression" dxfId="304" priority="309">
      <formula>OR(IF(DB5&lt;DC5,TRUE),IF(AND(DC5="",DB5&lt;&gt;""),TRUE))</formula>
    </cfRule>
    <cfRule type="expression" dxfId="303" priority="310">
      <formula>IF(DB5&gt;=DC5,IF(DB5="",FALSE,TRUE))</formula>
    </cfRule>
  </conditionalFormatting>
  <conditionalFormatting sqref="DD5:DD16">
    <cfRule type="expression" dxfId="302" priority="307">
      <formula>OR(IF(DD5&lt;DE5,TRUE),IF(AND(DE5="",DD5&lt;&gt;""),TRUE))</formula>
    </cfRule>
    <cfRule type="expression" dxfId="301" priority="308">
      <formula>IF(DD5&gt;=DE5,IF(DD5="",FALSE,TRUE))</formula>
    </cfRule>
  </conditionalFormatting>
  <conditionalFormatting sqref="DI20:DI24 DK20:DK24 DI17">
    <cfRule type="expression" dxfId="300" priority="305">
      <formula>OR(IF(DI17&lt;DJ17,TRUE),IF(AND(DJ17="",DI17&lt;&gt;""),TRUE))</formula>
    </cfRule>
    <cfRule type="expression" dxfId="299" priority="306">
      <formula>IF(DI17&gt;=DJ17,IF(DI17="",FALSE,TRUE))</formula>
    </cfRule>
  </conditionalFormatting>
  <conditionalFormatting sqref="DK17">
    <cfRule type="expression" dxfId="298" priority="303">
      <formula>OR(IF(DK17&lt;DL17,TRUE),IF(AND(DL17="",DK17&lt;&gt;""),TRUE))</formula>
    </cfRule>
    <cfRule type="expression" dxfId="297" priority="304">
      <formula>IF(DK17&gt;=DL17,IF(DK17="",FALSE,TRUE))</formula>
    </cfRule>
  </conditionalFormatting>
  <conditionalFormatting sqref="DI28:DI29">
    <cfRule type="expression" dxfId="296" priority="301">
      <formula>OR(IF(DI28&lt;DJ28,TRUE),IF(AND(DJ28="",DI28&lt;&gt;""),TRUE))</formula>
    </cfRule>
    <cfRule type="expression" dxfId="295" priority="302">
      <formula>IF(DI28&gt;=DJ28,IF(DI28="",FALSE,TRUE))</formula>
    </cfRule>
  </conditionalFormatting>
  <conditionalFormatting sqref="DK28:DK29">
    <cfRule type="expression" dxfId="294" priority="299">
      <formula>OR(IF(DK28&lt;DL28,TRUE),IF(AND(DL28="",DK28&lt;&gt;""),TRUE))</formula>
    </cfRule>
    <cfRule type="expression" dxfId="293" priority="300">
      <formula>IF(DK28&gt;=DL28,IF(DK28="",FALSE,TRUE))</formula>
    </cfRule>
  </conditionalFormatting>
  <conditionalFormatting sqref="DI25">
    <cfRule type="expression" dxfId="292" priority="297">
      <formula>OR(IF(DI25&lt;DJ25,TRUE),IF(AND(DJ25="",DI25&lt;&gt;""),TRUE))</formula>
    </cfRule>
    <cfRule type="expression" dxfId="291" priority="298">
      <formula>IF(DI25&gt;=DJ25,IF(DI25="",FALSE,TRUE))</formula>
    </cfRule>
  </conditionalFormatting>
  <conditionalFormatting sqref="DK25">
    <cfRule type="expression" dxfId="290" priority="295">
      <formula>OR(IF(DK25&lt;DL25,TRUE),IF(AND(DL25="",DK25&lt;&gt;""),TRUE))</formula>
    </cfRule>
    <cfRule type="expression" dxfId="289" priority="296">
      <formula>IF(DK25&gt;=DL25,IF(DK25="",FALSE,TRUE))</formula>
    </cfRule>
  </conditionalFormatting>
  <conditionalFormatting sqref="DI5:DI16">
    <cfRule type="expression" dxfId="288" priority="289">
      <formula>OR(IF(DI5&lt;DJ5,TRUE),IF(AND(DJ5="",DI5&lt;&gt;""),TRUE))</formula>
    </cfRule>
    <cfRule type="expression" dxfId="287" priority="290">
      <formula>IF(DI5&gt;=DJ5,IF(DI5="",FALSE,TRUE))</formula>
    </cfRule>
  </conditionalFormatting>
  <conditionalFormatting sqref="DK5:DK16">
    <cfRule type="expression" dxfId="286" priority="287">
      <formula>OR(IF(DK5&lt;DL5,TRUE),IF(AND(DL5="",DK5&lt;&gt;""),TRUE))</formula>
    </cfRule>
    <cfRule type="expression" dxfId="285" priority="288">
      <formula>IF(DK5&gt;=DL5,IF(DK5="",FALSE,TRUE))</formula>
    </cfRule>
  </conditionalFormatting>
  <conditionalFormatting sqref="DP20:DP24 DR20:DR24 DP17">
    <cfRule type="expression" dxfId="284" priority="285">
      <formula>OR(IF(DP17&lt;DQ17,TRUE),IF(AND(DQ17="",DP17&lt;&gt;""),TRUE))</formula>
    </cfRule>
    <cfRule type="expression" dxfId="283" priority="286">
      <formula>IF(DP17&gt;=DQ17,IF(DP17="",FALSE,TRUE))</formula>
    </cfRule>
  </conditionalFormatting>
  <conditionalFormatting sqref="DR17">
    <cfRule type="expression" dxfId="282" priority="283">
      <formula>OR(IF(DR17&lt;DS17,TRUE),IF(AND(DS17="",DR17&lt;&gt;""),TRUE))</formula>
    </cfRule>
    <cfRule type="expression" dxfId="281" priority="284">
      <formula>IF(DR17&gt;=DS17,IF(DR17="",FALSE,TRUE))</formula>
    </cfRule>
  </conditionalFormatting>
  <conditionalFormatting sqref="DP28:DP29">
    <cfRule type="expression" dxfId="280" priority="281">
      <formula>OR(IF(DP28&lt;DQ28,TRUE),IF(AND(DQ28="",DP28&lt;&gt;""),TRUE))</formula>
    </cfRule>
    <cfRule type="expression" dxfId="279" priority="282">
      <formula>IF(DP28&gt;=DQ28,IF(DP28="",FALSE,TRUE))</formula>
    </cfRule>
  </conditionalFormatting>
  <conditionalFormatting sqref="DR28:DR29">
    <cfRule type="expression" dxfId="278" priority="279">
      <formula>OR(IF(DR28&lt;DS28,TRUE),IF(AND(DS28="",DR28&lt;&gt;""),TRUE))</formula>
    </cfRule>
    <cfRule type="expression" dxfId="277" priority="280">
      <formula>IF(DR28&gt;=DS28,IF(DR28="",FALSE,TRUE))</formula>
    </cfRule>
  </conditionalFormatting>
  <conditionalFormatting sqref="DP25">
    <cfRule type="expression" dxfId="276" priority="277">
      <formula>OR(IF(DP25&lt;DQ25,TRUE),IF(AND(DQ25="",DP25&lt;&gt;""),TRUE))</formula>
    </cfRule>
    <cfRule type="expression" dxfId="275" priority="278">
      <formula>IF(DP25&gt;=DQ25,IF(DP25="",FALSE,TRUE))</formula>
    </cfRule>
  </conditionalFormatting>
  <conditionalFormatting sqref="DR25">
    <cfRule type="expression" dxfId="274" priority="275">
      <formula>OR(IF(DR25&lt;DS25,TRUE),IF(AND(DS25="",DR25&lt;&gt;""),TRUE))</formula>
    </cfRule>
    <cfRule type="expression" dxfId="273" priority="276">
      <formula>IF(DR25&gt;=DS25,IF(DR25="",FALSE,TRUE))</formula>
    </cfRule>
  </conditionalFormatting>
  <conditionalFormatting sqref="DP5:DP16">
    <cfRule type="expression" dxfId="272" priority="269">
      <formula>OR(IF(DP5&lt;DQ5,TRUE),IF(AND(DQ5="",DP5&lt;&gt;""),TRUE))</formula>
    </cfRule>
    <cfRule type="expression" dxfId="271" priority="270">
      <formula>IF(DP5&gt;=DQ5,IF(DP5="",FALSE,TRUE))</formula>
    </cfRule>
  </conditionalFormatting>
  <conditionalFormatting sqref="DR5:DR16">
    <cfRule type="expression" dxfId="270" priority="267">
      <formula>OR(IF(DR5&lt;DS5,TRUE),IF(AND(DS5="",DR5&lt;&gt;""),TRUE))</formula>
    </cfRule>
    <cfRule type="expression" dxfId="269" priority="268">
      <formula>IF(DR5&gt;=DS5,IF(DR5="",FALSE,TRUE))</formula>
    </cfRule>
  </conditionalFormatting>
  <conditionalFormatting sqref="DW20:DW24 DY20:DY24 DW17">
    <cfRule type="expression" dxfId="268" priority="265">
      <formula>OR(IF(DW17&lt;DX17,TRUE),IF(AND(DX17="",DW17&lt;&gt;""),TRUE))</formula>
    </cfRule>
    <cfRule type="expression" dxfId="267" priority="266">
      <formula>IF(DW17&gt;=DX17,IF(DW17="",FALSE,TRUE))</formula>
    </cfRule>
  </conditionalFormatting>
  <conditionalFormatting sqref="DY17">
    <cfRule type="expression" dxfId="266" priority="263">
      <formula>OR(IF(DY17&lt;DZ17,TRUE),IF(AND(DZ17="",DY17&lt;&gt;""),TRUE))</formula>
    </cfRule>
    <cfRule type="expression" dxfId="265" priority="264">
      <formula>IF(DY17&gt;=DZ17,IF(DY17="",FALSE,TRUE))</formula>
    </cfRule>
  </conditionalFormatting>
  <conditionalFormatting sqref="DW28:DW29">
    <cfRule type="expression" dxfId="264" priority="261">
      <formula>OR(IF(DW28&lt;DX28,TRUE),IF(AND(DX28="",DW28&lt;&gt;""),TRUE))</formula>
    </cfRule>
    <cfRule type="expression" dxfId="263" priority="262">
      <formula>IF(DW28&gt;=DX28,IF(DW28="",FALSE,TRUE))</formula>
    </cfRule>
  </conditionalFormatting>
  <conditionalFormatting sqref="DY28:DY29">
    <cfRule type="expression" dxfId="262" priority="259">
      <formula>OR(IF(DY28&lt;DZ28,TRUE),IF(AND(DZ28="",DY28&lt;&gt;""),TRUE))</formula>
    </cfRule>
    <cfRule type="expression" dxfId="261" priority="260">
      <formula>IF(DY28&gt;=DZ28,IF(DY28="",FALSE,TRUE))</formula>
    </cfRule>
  </conditionalFormatting>
  <conditionalFormatting sqref="DW25">
    <cfRule type="expression" dxfId="260" priority="257">
      <formula>OR(IF(DW25&lt;DX25,TRUE),IF(AND(DX25="",DW25&lt;&gt;""),TRUE))</formula>
    </cfRule>
    <cfRule type="expression" dxfId="259" priority="258">
      <formula>IF(DW25&gt;=DX25,IF(DW25="",FALSE,TRUE))</formula>
    </cfRule>
  </conditionalFormatting>
  <conditionalFormatting sqref="DY25">
    <cfRule type="expression" dxfId="258" priority="255">
      <formula>OR(IF(DY25&lt;DZ25,TRUE),IF(AND(DZ25="",DY25&lt;&gt;""),TRUE))</formula>
    </cfRule>
    <cfRule type="expression" dxfId="257" priority="256">
      <formula>IF(DY25&gt;=DZ25,IF(DY25="",FALSE,TRUE))</formula>
    </cfRule>
  </conditionalFormatting>
  <conditionalFormatting sqref="DW5:DW16">
    <cfRule type="expression" dxfId="256" priority="249">
      <formula>OR(IF(DW5&lt;DX5,TRUE),IF(AND(DX5="",DW5&lt;&gt;""),TRUE))</formula>
    </cfRule>
    <cfRule type="expression" dxfId="255" priority="250">
      <formula>IF(DW5&gt;=DX5,IF(DW5="",FALSE,TRUE))</formula>
    </cfRule>
  </conditionalFormatting>
  <conditionalFormatting sqref="DY5:DY16">
    <cfRule type="expression" dxfId="254" priority="247">
      <formula>OR(IF(DY5&lt;DZ5,TRUE),IF(AND(DZ5="",DY5&lt;&gt;""),TRUE))</formula>
    </cfRule>
    <cfRule type="expression" dxfId="253" priority="248">
      <formula>IF(DY5&gt;=DZ5,IF(DY5="",FALSE,TRUE))</formula>
    </cfRule>
  </conditionalFormatting>
  <conditionalFormatting sqref="ED20:ED24 EF20:EF24 ED17">
    <cfRule type="expression" dxfId="252" priority="245">
      <formula>OR(IF(ED17&lt;EE17,TRUE),IF(AND(EE17="",ED17&lt;&gt;""),TRUE))</formula>
    </cfRule>
    <cfRule type="expression" dxfId="251" priority="246">
      <formula>IF(ED17&gt;=EE17,IF(ED17="",FALSE,TRUE))</formula>
    </cfRule>
  </conditionalFormatting>
  <conditionalFormatting sqref="EF17">
    <cfRule type="expression" dxfId="250" priority="243">
      <formula>OR(IF(EF17&lt;EG17,TRUE),IF(AND(EG17="",EF17&lt;&gt;""),TRUE))</formula>
    </cfRule>
    <cfRule type="expression" dxfId="249" priority="244">
      <formula>IF(EF17&gt;=EG17,IF(EF17="",FALSE,TRUE))</formula>
    </cfRule>
  </conditionalFormatting>
  <conditionalFormatting sqref="ED28:ED29">
    <cfRule type="expression" dxfId="248" priority="241">
      <formula>OR(IF(ED28&lt;EE28,TRUE),IF(AND(EE28="",ED28&lt;&gt;""),TRUE))</formula>
    </cfRule>
    <cfRule type="expression" dxfId="247" priority="242">
      <formula>IF(ED28&gt;=EE28,IF(ED28="",FALSE,TRUE))</formula>
    </cfRule>
  </conditionalFormatting>
  <conditionalFormatting sqref="EF28:EF29">
    <cfRule type="expression" dxfId="246" priority="239">
      <formula>OR(IF(EF28&lt;EG28,TRUE),IF(AND(EG28="",EF28&lt;&gt;""),TRUE))</formula>
    </cfRule>
    <cfRule type="expression" dxfId="245" priority="240">
      <formula>IF(EF28&gt;=EG28,IF(EF28="",FALSE,TRUE))</formula>
    </cfRule>
  </conditionalFormatting>
  <conditionalFormatting sqref="ED25">
    <cfRule type="expression" dxfId="244" priority="237">
      <formula>OR(IF(ED25&lt;EE25,TRUE),IF(AND(EE25="",ED25&lt;&gt;""),TRUE))</formula>
    </cfRule>
    <cfRule type="expression" dxfId="243" priority="238">
      <formula>IF(ED25&gt;=EE25,IF(ED25="",FALSE,TRUE))</formula>
    </cfRule>
  </conditionalFormatting>
  <conditionalFormatting sqref="EF25">
    <cfRule type="expression" dxfId="242" priority="235">
      <formula>OR(IF(EF25&lt;EG25,TRUE),IF(AND(EG25="",EF25&lt;&gt;""),TRUE))</formula>
    </cfRule>
    <cfRule type="expression" dxfId="241" priority="236">
      <formula>IF(EF25&gt;=EG25,IF(EF25="",FALSE,TRUE))</formula>
    </cfRule>
  </conditionalFormatting>
  <conditionalFormatting sqref="ED5:ED16">
    <cfRule type="expression" dxfId="240" priority="229">
      <formula>OR(IF(ED5&lt;EE5,TRUE),IF(AND(EE5="",ED5&lt;&gt;""),TRUE))</formula>
    </cfRule>
    <cfRule type="expression" dxfId="239" priority="230">
      <formula>IF(ED5&gt;=EE5,IF(ED5="",FALSE,TRUE))</formula>
    </cfRule>
  </conditionalFormatting>
  <conditionalFormatting sqref="EF5:EF16">
    <cfRule type="expression" dxfId="238" priority="227">
      <formula>OR(IF(EF5&lt;EG5,TRUE),IF(AND(EG5="",EF5&lt;&gt;""),TRUE))</formula>
    </cfRule>
    <cfRule type="expression" dxfId="237" priority="228">
      <formula>IF(EF5&gt;=EG5,IF(EF5="",FALSE,TRUE))</formula>
    </cfRule>
  </conditionalFormatting>
  <conditionalFormatting sqref="EK20:EK24 EM20:EM24 EK17">
    <cfRule type="expression" dxfId="236" priority="225">
      <formula>OR(IF(EK17&lt;EL17,TRUE),IF(AND(EL17="",EK17&lt;&gt;""),TRUE))</formula>
    </cfRule>
    <cfRule type="expression" dxfId="235" priority="226">
      <formula>IF(EK17&gt;=EL17,IF(EK17="",FALSE,TRUE))</formula>
    </cfRule>
  </conditionalFormatting>
  <conditionalFormatting sqref="EM17">
    <cfRule type="expression" dxfId="234" priority="223">
      <formula>OR(IF(EM17&lt;EN17,TRUE),IF(AND(EN17="",EM17&lt;&gt;""),TRUE))</formula>
    </cfRule>
    <cfRule type="expression" dxfId="233" priority="224">
      <formula>IF(EM17&gt;=EN17,IF(EM17="",FALSE,TRUE))</formula>
    </cfRule>
  </conditionalFormatting>
  <conditionalFormatting sqref="EK28:EK29">
    <cfRule type="expression" dxfId="232" priority="221">
      <formula>OR(IF(EK28&lt;EL28,TRUE),IF(AND(EL28="",EK28&lt;&gt;""),TRUE))</formula>
    </cfRule>
    <cfRule type="expression" dxfId="231" priority="222">
      <formula>IF(EK28&gt;=EL28,IF(EK28="",FALSE,TRUE))</formula>
    </cfRule>
  </conditionalFormatting>
  <conditionalFormatting sqref="EM28:EM29">
    <cfRule type="expression" dxfId="230" priority="219">
      <formula>OR(IF(EM28&lt;EN28,TRUE),IF(AND(EN28="",EM28&lt;&gt;""),TRUE))</formula>
    </cfRule>
    <cfRule type="expression" dxfId="229" priority="220">
      <formula>IF(EM28&gt;=EN28,IF(EM28="",FALSE,TRUE))</formula>
    </cfRule>
  </conditionalFormatting>
  <conditionalFormatting sqref="EK25">
    <cfRule type="expression" dxfId="228" priority="217">
      <formula>OR(IF(EK25&lt;EL25,TRUE),IF(AND(EL25="",EK25&lt;&gt;""),TRUE))</formula>
    </cfRule>
    <cfRule type="expression" dxfId="227" priority="218">
      <formula>IF(EK25&gt;=EL25,IF(EK25="",FALSE,TRUE))</formula>
    </cfRule>
  </conditionalFormatting>
  <conditionalFormatting sqref="EM25">
    <cfRule type="expression" dxfId="226" priority="215">
      <formula>OR(IF(EM25&lt;EN25,TRUE),IF(AND(EN25="",EM25&lt;&gt;""),TRUE))</formula>
    </cfRule>
    <cfRule type="expression" dxfId="225" priority="216">
      <formula>IF(EM25&gt;=EN25,IF(EM25="",FALSE,TRUE))</formula>
    </cfRule>
  </conditionalFormatting>
  <conditionalFormatting sqref="EK5:EK16">
    <cfRule type="expression" dxfId="224" priority="209">
      <formula>OR(IF(EK5&lt;EL5,TRUE),IF(AND(EL5="",EK5&lt;&gt;""),TRUE))</formula>
    </cfRule>
    <cfRule type="expression" dxfId="223" priority="210">
      <formula>IF(EK5&gt;=EL5,IF(EK5="",FALSE,TRUE))</formula>
    </cfRule>
  </conditionalFormatting>
  <conditionalFormatting sqref="EM5:EM16">
    <cfRule type="expression" dxfId="222" priority="207">
      <formula>OR(IF(EM5&lt;EN5,TRUE),IF(AND(EN5="",EM5&lt;&gt;""),TRUE))</formula>
    </cfRule>
    <cfRule type="expression" dxfId="221" priority="208">
      <formula>IF(EM5&gt;=EN5,IF(EM5="",FALSE,TRUE))</formula>
    </cfRule>
  </conditionalFormatting>
  <conditionalFormatting sqref="J28:K38">
    <cfRule type="colorScale" priority="642">
      <colorScale>
        <cfvo type="percent" val="0"/>
        <cfvo type="percent" val="100"/>
        <color rgb="FFFF231B"/>
        <color rgb="FF10FF07"/>
      </colorScale>
    </cfRule>
  </conditionalFormatting>
  <conditionalFormatting sqref="J43:K55">
    <cfRule type="colorScale" priority="206">
      <colorScale>
        <cfvo type="percent" val="0"/>
        <cfvo type="percent" val="100"/>
        <color rgb="FFFF231B"/>
        <color rgb="FF10FF07"/>
      </colorScale>
    </cfRule>
  </conditionalFormatting>
  <conditionalFormatting sqref="O43:O55">
    <cfRule type="expression" dxfId="220" priority="204">
      <formula>OR(IF(O43&lt;P43,TRUE),IF(AND(P43="",O43&lt;&gt;""),TRUE))</formula>
    </cfRule>
    <cfRule type="expression" dxfId="219" priority="205">
      <formula>IF(O43&gt;=P43,IF(O43="",FALSE,TRUE))</formula>
    </cfRule>
  </conditionalFormatting>
  <conditionalFormatting sqref="Q43:Q55">
    <cfRule type="expression" dxfId="218" priority="202">
      <formula>OR(IF(Q43&lt;R43,TRUE),IF(AND(R43="",Q43&lt;&gt;""),TRUE))</formula>
    </cfRule>
    <cfRule type="expression" dxfId="217" priority="203">
      <formula>IF(Q43&gt;=R43,IF(Q43="",FALSE,TRUE))</formula>
    </cfRule>
  </conditionalFormatting>
  <conditionalFormatting sqref="AQ43:AQ55">
    <cfRule type="expression" dxfId="216" priority="188">
      <formula>OR(IF(AQ43&lt;AR43,TRUE),IF(AND(AR43="",AQ43&lt;&gt;""),TRUE))</formula>
    </cfRule>
    <cfRule type="expression" dxfId="215" priority="189">
      <formula>IF(AQ43&gt;=AR43,IF(AQ43="",FALSE,TRUE))</formula>
    </cfRule>
  </conditionalFormatting>
  <conditionalFormatting sqref="AS43:AS55">
    <cfRule type="expression" dxfId="214" priority="186">
      <formula>OR(IF(AS43&lt;AT43,TRUE),IF(AND(AT43="",AS43&lt;&gt;""),TRUE))</formula>
    </cfRule>
    <cfRule type="expression" dxfId="213" priority="187">
      <formula>IF(AS43&gt;=AT43,IF(AS43="",FALSE,TRUE))</formula>
    </cfRule>
  </conditionalFormatting>
  <conditionalFormatting sqref="BE55">
    <cfRule type="expression" dxfId="212" priority="180">
      <formula>OR(IF(BE55&lt;BF55,TRUE),IF(AND(BF55="",BE55&lt;&gt;""),TRUE))</formula>
    </cfRule>
    <cfRule type="expression" dxfId="211" priority="181">
      <formula>IF(BE55&gt;=BF55,IF(BE55="",FALSE,TRUE))</formula>
    </cfRule>
  </conditionalFormatting>
  <conditionalFormatting sqref="BG55">
    <cfRule type="expression" dxfId="210" priority="178">
      <formula>OR(IF(BG55&lt;BH55,TRUE),IF(AND(BH55="",BG55&lt;&gt;""),TRUE))</formula>
    </cfRule>
    <cfRule type="expression" dxfId="209" priority="179">
      <formula>IF(BG55&gt;=BH55,IF(BG55="",FALSE,TRUE))</formula>
    </cfRule>
  </conditionalFormatting>
  <conditionalFormatting sqref="V43:V55">
    <cfRule type="expression" dxfId="208" priority="200">
      <formula>OR(IF(V43&lt;W43,TRUE),IF(AND(W43="",V43&lt;&gt;""),TRUE))</formula>
    </cfRule>
    <cfRule type="expression" dxfId="207" priority="201">
      <formula>IF(V43&gt;=W43,IF(V43="",FALSE,TRUE))</formula>
    </cfRule>
  </conditionalFormatting>
  <conditionalFormatting sqref="X43:X55">
    <cfRule type="expression" dxfId="206" priority="198">
      <formula>OR(IF(X43&lt;Y43,TRUE),IF(AND(Y43="",X43&lt;&gt;""),TRUE))</formula>
    </cfRule>
    <cfRule type="expression" dxfId="205" priority="199">
      <formula>IF(X43&gt;=Y43,IF(X43="",FALSE,TRUE))</formula>
    </cfRule>
  </conditionalFormatting>
  <conditionalFormatting sqref="AC43:AC55">
    <cfRule type="expression" dxfId="204" priority="196">
      <formula>OR(IF(AC43&lt;AD43,TRUE),IF(AND(AD43="",AC43&lt;&gt;""),TRUE))</formula>
    </cfRule>
    <cfRule type="expression" dxfId="203" priority="197">
      <formula>IF(AC43&gt;=AD43,IF(AC43="",FALSE,TRUE))</formula>
    </cfRule>
  </conditionalFormatting>
  <conditionalFormatting sqref="AE43:AE55">
    <cfRule type="expression" dxfId="202" priority="194">
      <formula>OR(IF(AE43&lt;AF43,TRUE),IF(AND(AF43="",AE43&lt;&gt;""),TRUE))</formula>
    </cfRule>
    <cfRule type="expression" dxfId="201" priority="195">
      <formula>IF(AE43&gt;=AF43,IF(AE43="",FALSE,TRUE))</formula>
    </cfRule>
  </conditionalFormatting>
  <conditionalFormatting sqref="AJ43:AJ55">
    <cfRule type="expression" dxfId="200" priority="192">
      <formula>OR(IF(AJ43&lt;AK43,TRUE),IF(AND(AK43="",AJ43&lt;&gt;""),TRUE))</formula>
    </cfRule>
    <cfRule type="expression" dxfId="199" priority="193">
      <formula>IF(AJ43&gt;=AK43,IF(AJ43="",FALSE,TRUE))</formula>
    </cfRule>
  </conditionalFormatting>
  <conditionalFormatting sqref="AL43:AL55">
    <cfRule type="expression" dxfId="198" priority="190">
      <formula>OR(IF(AL43&lt;AM43,TRUE),IF(AND(AM43="",AL43&lt;&gt;""),TRUE))</formula>
    </cfRule>
    <cfRule type="expression" dxfId="197" priority="191">
      <formula>IF(AL43&gt;=AM43,IF(AL43="",FALSE,TRUE))</formula>
    </cfRule>
  </conditionalFormatting>
  <conditionalFormatting sqref="AX43:AX55">
    <cfRule type="expression" dxfId="196" priority="184">
      <formula>OR(IF(AX43&lt;AY43,TRUE),IF(AND(AY43="",AX43&lt;&gt;""),TRUE))</formula>
    </cfRule>
    <cfRule type="expression" dxfId="195" priority="185">
      <formula>IF(AX43&gt;=AY43,IF(AX43="",FALSE,TRUE))</formula>
    </cfRule>
  </conditionalFormatting>
  <conditionalFormatting sqref="AZ43:AZ55">
    <cfRule type="expression" dxfId="194" priority="182">
      <formula>OR(IF(AZ43&lt;BA43,TRUE),IF(AND(BA43="",AZ43&lt;&gt;""),TRUE))</formula>
    </cfRule>
    <cfRule type="expression" dxfId="193" priority="183">
      <formula>IF(AZ43&gt;=BA43,IF(AZ43="",FALSE,TRUE))</formula>
    </cfRule>
  </conditionalFormatting>
  <conditionalFormatting sqref="BE43:BE54">
    <cfRule type="expression" dxfId="192" priority="176">
      <formula>OR(IF(BE43&lt;BF43,TRUE),IF(AND(BF43="",BE43&lt;&gt;""),TRUE))</formula>
    </cfRule>
    <cfRule type="expression" dxfId="191" priority="177">
      <formula>IF(BE43&gt;=BF43,IF(BE43="",FALSE,TRUE))</formula>
    </cfRule>
  </conditionalFormatting>
  <conditionalFormatting sqref="BG43:BG54">
    <cfRule type="expression" dxfId="190" priority="174">
      <formula>OR(IF(BG43&lt;BH43,TRUE),IF(AND(BH43="",BG43&lt;&gt;""),TRUE))</formula>
    </cfRule>
    <cfRule type="expression" dxfId="189" priority="175">
      <formula>IF(BG43&gt;=BH43,IF(BG43="",FALSE,TRUE))</formula>
    </cfRule>
  </conditionalFormatting>
  <conditionalFormatting sqref="BL55">
    <cfRule type="expression" dxfId="188" priority="172">
      <formula>OR(IF(BL55&lt;BM55,TRUE),IF(AND(BM55="",BL55&lt;&gt;""),TRUE))</formula>
    </cfRule>
    <cfRule type="expression" dxfId="187" priority="173">
      <formula>IF(BL55&gt;=BM55,IF(BL55="",FALSE,TRUE))</formula>
    </cfRule>
  </conditionalFormatting>
  <conditionalFormatting sqref="BN55">
    <cfRule type="expression" dxfId="186" priority="170">
      <formula>OR(IF(BN55&lt;BO55,TRUE),IF(AND(BO55="",BN55&lt;&gt;""),TRUE))</formula>
    </cfRule>
    <cfRule type="expression" dxfId="185" priority="171">
      <formula>IF(BN55&gt;=BO55,IF(BN55="",FALSE,TRUE))</formula>
    </cfRule>
  </conditionalFormatting>
  <conditionalFormatting sqref="BL43:BL54">
    <cfRule type="expression" dxfId="184" priority="168">
      <formula>OR(IF(BL43&lt;BM43,TRUE),IF(AND(BM43="",BL43&lt;&gt;""),TRUE))</formula>
    </cfRule>
    <cfRule type="expression" dxfId="183" priority="169">
      <formula>IF(BL43&gt;=BM43,IF(BL43="",FALSE,TRUE))</formula>
    </cfRule>
  </conditionalFormatting>
  <conditionalFormatting sqref="BN43:BN54">
    <cfRule type="expression" dxfId="182" priority="166">
      <formula>OR(IF(BN43&lt;BO43,TRUE),IF(AND(BO43="",BN43&lt;&gt;""),TRUE))</formula>
    </cfRule>
    <cfRule type="expression" dxfId="181" priority="167">
      <formula>IF(BN43&gt;=BO43,IF(BN43="",FALSE,TRUE))</formula>
    </cfRule>
  </conditionalFormatting>
  <conditionalFormatting sqref="BS55">
    <cfRule type="expression" dxfId="180" priority="164">
      <formula>OR(IF(BS55&lt;BT55,TRUE),IF(AND(BT55="",BS55&lt;&gt;""),TRUE))</formula>
    </cfRule>
    <cfRule type="expression" dxfId="179" priority="165">
      <formula>IF(BS55&gt;=BT55,IF(BS55="",FALSE,TRUE))</formula>
    </cfRule>
  </conditionalFormatting>
  <conditionalFormatting sqref="BU55">
    <cfRule type="expression" dxfId="178" priority="162">
      <formula>OR(IF(BU55&lt;BV55,TRUE),IF(AND(BV55="",BU55&lt;&gt;""),TRUE))</formula>
    </cfRule>
    <cfRule type="expression" dxfId="177" priority="163">
      <formula>IF(BU55&gt;=BV55,IF(BU55="",FALSE,TRUE))</formula>
    </cfRule>
  </conditionalFormatting>
  <conditionalFormatting sqref="BS43:BS54">
    <cfRule type="expression" dxfId="176" priority="160">
      <formula>OR(IF(BS43&lt;BT43,TRUE),IF(AND(BT43="",BS43&lt;&gt;""),TRUE))</formula>
    </cfRule>
    <cfRule type="expression" dxfId="175" priority="161">
      <formula>IF(BS43&gt;=BT43,IF(BS43="",FALSE,TRUE))</formula>
    </cfRule>
  </conditionalFormatting>
  <conditionalFormatting sqref="BU43:BU54">
    <cfRule type="expression" dxfId="174" priority="158">
      <formula>OR(IF(BU43&lt;BV43,TRUE),IF(AND(BV43="",BU43&lt;&gt;""),TRUE))</formula>
    </cfRule>
    <cfRule type="expression" dxfId="173" priority="159">
      <formula>IF(BU43&gt;=BV43,IF(BU43="",FALSE,TRUE))</formula>
    </cfRule>
  </conditionalFormatting>
  <conditionalFormatting sqref="BZ55">
    <cfRule type="expression" dxfId="172" priority="156">
      <formula>OR(IF(BZ55&lt;CA55,TRUE),IF(AND(CA55="",BZ55&lt;&gt;""),TRUE))</formula>
    </cfRule>
    <cfRule type="expression" dxfId="171" priority="157">
      <formula>IF(BZ55&gt;=CA55,IF(BZ55="",FALSE,TRUE))</formula>
    </cfRule>
  </conditionalFormatting>
  <conditionalFormatting sqref="CB55">
    <cfRule type="expression" dxfId="170" priority="154">
      <formula>OR(IF(CB55&lt;CC55,TRUE),IF(AND(CC55="",CB55&lt;&gt;""),TRUE))</formula>
    </cfRule>
    <cfRule type="expression" dxfId="169" priority="155">
      <formula>IF(CB55&gt;=CC55,IF(CB55="",FALSE,TRUE))</formula>
    </cfRule>
  </conditionalFormatting>
  <conditionalFormatting sqref="BZ43:BZ54">
    <cfRule type="expression" dxfId="168" priority="152">
      <formula>OR(IF(BZ43&lt;CA43,TRUE),IF(AND(CA43="",BZ43&lt;&gt;""),TRUE))</formula>
    </cfRule>
    <cfRule type="expression" dxfId="167" priority="153">
      <formula>IF(BZ43&gt;=CA43,IF(BZ43="",FALSE,TRUE))</formula>
    </cfRule>
  </conditionalFormatting>
  <conditionalFormatting sqref="CB43:CB54">
    <cfRule type="expression" dxfId="166" priority="150">
      <formula>OR(IF(CB43&lt;CC43,TRUE),IF(AND(CC43="",CB43&lt;&gt;""),TRUE))</formula>
    </cfRule>
    <cfRule type="expression" dxfId="165" priority="151">
      <formula>IF(CB43&gt;=CC43,IF(CB43="",FALSE,TRUE))</formula>
    </cfRule>
  </conditionalFormatting>
  <conditionalFormatting sqref="CG55">
    <cfRule type="expression" dxfId="164" priority="148">
      <formula>OR(IF(CG55&lt;CH55,TRUE),IF(AND(CH55="",CG55&lt;&gt;""),TRUE))</formula>
    </cfRule>
    <cfRule type="expression" dxfId="163" priority="149">
      <formula>IF(CG55&gt;=CH55,IF(CG55="",FALSE,TRUE))</formula>
    </cfRule>
  </conditionalFormatting>
  <conditionalFormatting sqref="CI55">
    <cfRule type="expression" dxfId="162" priority="146">
      <formula>OR(IF(CI55&lt;CJ55,TRUE),IF(AND(CJ55="",CI55&lt;&gt;""),TRUE))</formula>
    </cfRule>
    <cfRule type="expression" dxfId="161" priority="147">
      <formula>IF(CI55&gt;=CJ55,IF(CI55="",FALSE,TRUE))</formula>
    </cfRule>
  </conditionalFormatting>
  <conditionalFormatting sqref="CG43:CG54">
    <cfRule type="expression" dxfId="160" priority="144">
      <formula>OR(IF(CG43&lt;CH43,TRUE),IF(AND(CH43="",CG43&lt;&gt;""),TRUE))</formula>
    </cfRule>
    <cfRule type="expression" dxfId="159" priority="145">
      <formula>IF(CG43&gt;=CH43,IF(CG43="",FALSE,TRUE))</formula>
    </cfRule>
  </conditionalFormatting>
  <conditionalFormatting sqref="CI43:CI54">
    <cfRule type="expression" dxfId="158" priority="142">
      <formula>OR(IF(CI43&lt;CJ43,TRUE),IF(AND(CJ43="",CI43&lt;&gt;""),TRUE))</formula>
    </cfRule>
    <cfRule type="expression" dxfId="157" priority="143">
      <formula>IF(CI43&gt;=CJ43,IF(CI43="",FALSE,TRUE))</formula>
    </cfRule>
  </conditionalFormatting>
  <conditionalFormatting sqref="CN55">
    <cfRule type="expression" dxfId="156" priority="140">
      <formula>OR(IF(CN55&lt;CO55,TRUE),IF(AND(CO55="",CN55&lt;&gt;""),TRUE))</formula>
    </cfRule>
    <cfRule type="expression" dxfId="155" priority="141">
      <formula>IF(CN55&gt;=CO55,IF(CN55="",FALSE,TRUE))</formula>
    </cfRule>
  </conditionalFormatting>
  <conditionalFormatting sqref="CP55">
    <cfRule type="expression" dxfId="154" priority="138">
      <formula>OR(IF(CP55&lt;CQ55,TRUE),IF(AND(CQ55="",CP55&lt;&gt;""),TRUE))</formula>
    </cfRule>
    <cfRule type="expression" dxfId="153" priority="139">
      <formula>IF(CP55&gt;=CQ55,IF(CP55="",FALSE,TRUE))</formula>
    </cfRule>
  </conditionalFormatting>
  <conditionalFormatting sqref="CN43:CN54">
    <cfRule type="expression" dxfId="152" priority="136">
      <formula>OR(IF(CN43&lt;CO43,TRUE),IF(AND(CO43="",CN43&lt;&gt;""),TRUE))</formula>
    </cfRule>
    <cfRule type="expression" dxfId="151" priority="137">
      <formula>IF(CN43&gt;=CO43,IF(CN43="",FALSE,TRUE))</formula>
    </cfRule>
  </conditionalFormatting>
  <conditionalFormatting sqref="CP43:CP54">
    <cfRule type="expression" dxfId="150" priority="134">
      <formula>OR(IF(CP43&lt;CQ43,TRUE),IF(AND(CQ43="",CP43&lt;&gt;""),TRUE))</formula>
    </cfRule>
    <cfRule type="expression" dxfId="149" priority="135">
      <formula>IF(CP43&gt;=CQ43,IF(CP43="",FALSE,TRUE))</formula>
    </cfRule>
  </conditionalFormatting>
  <conditionalFormatting sqref="CU55">
    <cfRule type="expression" dxfId="148" priority="132">
      <formula>OR(IF(CU55&lt;CV55,TRUE),IF(AND(CV55="",CU55&lt;&gt;""),TRUE))</formula>
    </cfRule>
    <cfRule type="expression" dxfId="147" priority="133">
      <formula>IF(CU55&gt;=CV55,IF(CU55="",FALSE,TRUE))</formula>
    </cfRule>
  </conditionalFormatting>
  <conditionalFormatting sqref="CW55">
    <cfRule type="expression" dxfId="146" priority="130">
      <formula>OR(IF(CW55&lt;CX55,TRUE),IF(AND(CX55="",CW55&lt;&gt;""),TRUE))</formula>
    </cfRule>
    <cfRule type="expression" dxfId="145" priority="131">
      <formula>IF(CW55&gt;=CX55,IF(CW55="",FALSE,TRUE))</formula>
    </cfRule>
  </conditionalFormatting>
  <conditionalFormatting sqref="CU43:CU54">
    <cfRule type="expression" dxfId="144" priority="128">
      <formula>OR(IF(CU43&lt;CV43,TRUE),IF(AND(CV43="",CU43&lt;&gt;""),TRUE))</formula>
    </cfRule>
    <cfRule type="expression" dxfId="143" priority="129">
      <formula>IF(CU43&gt;=CV43,IF(CU43="",FALSE,TRUE))</formula>
    </cfRule>
  </conditionalFormatting>
  <conditionalFormatting sqref="CW43:CW54">
    <cfRule type="expression" dxfId="142" priority="126">
      <formula>OR(IF(CW43&lt;CX43,TRUE),IF(AND(CX43="",CW43&lt;&gt;""),TRUE))</formula>
    </cfRule>
    <cfRule type="expression" dxfId="141" priority="127">
      <formula>IF(CW43&gt;=CX43,IF(CW43="",FALSE,TRUE))</formula>
    </cfRule>
  </conditionalFormatting>
  <conditionalFormatting sqref="DB55">
    <cfRule type="expression" dxfId="140" priority="124">
      <formula>OR(IF(DB55&lt;DC55,TRUE),IF(AND(DC55="",DB55&lt;&gt;""),TRUE))</formula>
    </cfRule>
    <cfRule type="expression" dxfId="139" priority="125">
      <formula>IF(DB55&gt;=DC55,IF(DB55="",FALSE,TRUE))</formula>
    </cfRule>
  </conditionalFormatting>
  <conditionalFormatting sqref="DD55">
    <cfRule type="expression" dxfId="138" priority="122">
      <formula>OR(IF(DD55&lt;DE55,TRUE),IF(AND(DE55="",DD55&lt;&gt;""),TRUE))</formula>
    </cfRule>
    <cfRule type="expression" dxfId="137" priority="123">
      <formula>IF(DD55&gt;=DE55,IF(DD55="",FALSE,TRUE))</formula>
    </cfRule>
  </conditionalFormatting>
  <conditionalFormatting sqref="DB43:DB54">
    <cfRule type="expression" dxfId="136" priority="120">
      <formula>OR(IF(DB43&lt;DC43,TRUE),IF(AND(DC43="",DB43&lt;&gt;""),TRUE))</formula>
    </cfRule>
    <cfRule type="expression" dxfId="135" priority="121">
      <formula>IF(DB43&gt;=DC43,IF(DB43="",FALSE,TRUE))</formula>
    </cfRule>
  </conditionalFormatting>
  <conditionalFormatting sqref="DD43:DD54">
    <cfRule type="expression" dxfId="134" priority="118">
      <formula>OR(IF(DD43&lt;DE43,TRUE),IF(AND(DE43="",DD43&lt;&gt;""),TRUE))</formula>
    </cfRule>
    <cfRule type="expression" dxfId="133" priority="119">
      <formula>IF(DD43&gt;=DE43,IF(DD43="",FALSE,TRUE))</formula>
    </cfRule>
  </conditionalFormatting>
  <conditionalFormatting sqref="DI55">
    <cfRule type="expression" dxfId="132" priority="116">
      <formula>OR(IF(DI55&lt;DJ55,TRUE),IF(AND(DJ55="",DI55&lt;&gt;""),TRUE))</formula>
    </cfRule>
    <cfRule type="expression" dxfId="131" priority="117">
      <formula>IF(DI55&gt;=DJ55,IF(DI55="",FALSE,TRUE))</formula>
    </cfRule>
  </conditionalFormatting>
  <conditionalFormatting sqref="DK55">
    <cfRule type="expression" dxfId="130" priority="114">
      <formula>OR(IF(DK55&lt;DL55,TRUE),IF(AND(DL55="",DK55&lt;&gt;""),TRUE))</formula>
    </cfRule>
    <cfRule type="expression" dxfId="129" priority="115">
      <formula>IF(DK55&gt;=DL55,IF(DK55="",FALSE,TRUE))</formula>
    </cfRule>
  </conditionalFormatting>
  <conditionalFormatting sqref="DI43:DI54">
    <cfRule type="expression" dxfId="128" priority="112">
      <formula>OR(IF(DI43&lt;DJ43,TRUE),IF(AND(DJ43="",DI43&lt;&gt;""),TRUE))</formula>
    </cfRule>
    <cfRule type="expression" dxfId="127" priority="113">
      <formula>IF(DI43&gt;=DJ43,IF(DI43="",FALSE,TRUE))</formula>
    </cfRule>
  </conditionalFormatting>
  <conditionalFormatting sqref="DK43:DK54">
    <cfRule type="expression" dxfId="126" priority="110">
      <formula>OR(IF(DK43&lt;DL43,TRUE),IF(AND(DL43="",DK43&lt;&gt;""),TRUE))</formula>
    </cfRule>
    <cfRule type="expression" dxfId="125" priority="111">
      <formula>IF(DK43&gt;=DL43,IF(DK43="",FALSE,TRUE))</formula>
    </cfRule>
  </conditionalFormatting>
  <conditionalFormatting sqref="DP55">
    <cfRule type="expression" dxfId="124" priority="108">
      <formula>OR(IF(DP55&lt;DQ55,TRUE),IF(AND(DQ55="",DP55&lt;&gt;""),TRUE))</formula>
    </cfRule>
    <cfRule type="expression" dxfId="123" priority="109">
      <formula>IF(DP55&gt;=DQ55,IF(DP55="",FALSE,TRUE))</formula>
    </cfRule>
  </conditionalFormatting>
  <conditionalFormatting sqref="DR55">
    <cfRule type="expression" dxfId="122" priority="106">
      <formula>OR(IF(DR55&lt;DS55,TRUE),IF(AND(DS55="",DR55&lt;&gt;""),TRUE))</formula>
    </cfRule>
    <cfRule type="expression" dxfId="121" priority="107">
      <formula>IF(DR55&gt;=DS55,IF(DR55="",FALSE,TRUE))</formula>
    </cfRule>
  </conditionalFormatting>
  <conditionalFormatting sqref="DP43:DP54">
    <cfRule type="expression" dxfId="120" priority="104">
      <formula>OR(IF(DP43&lt;DQ43,TRUE),IF(AND(DQ43="",DP43&lt;&gt;""),TRUE))</formula>
    </cfRule>
    <cfRule type="expression" dxfId="119" priority="105">
      <formula>IF(DP43&gt;=DQ43,IF(DP43="",FALSE,TRUE))</formula>
    </cfRule>
  </conditionalFormatting>
  <conditionalFormatting sqref="DR43:DR54">
    <cfRule type="expression" dxfId="118" priority="102">
      <formula>OR(IF(DR43&lt;DS43,TRUE),IF(AND(DS43="",DR43&lt;&gt;""),TRUE))</formula>
    </cfRule>
    <cfRule type="expression" dxfId="117" priority="103">
      <formula>IF(DR43&gt;=DS43,IF(DR43="",FALSE,TRUE))</formula>
    </cfRule>
  </conditionalFormatting>
  <conditionalFormatting sqref="DW55">
    <cfRule type="expression" dxfId="116" priority="100">
      <formula>OR(IF(DW55&lt;DX55,TRUE),IF(AND(DX55="",DW55&lt;&gt;""),TRUE))</formula>
    </cfRule>
    <cfRule type="expression" dxfId="115" priority="101">
      <formula>IF(DW55&gt;=DX55,IF(DW55="",FALSE,TRUE))</formula>
    </cfRule>
  </conditionalFormatting>
  <conditionalFormatting sqref="DY55">
    <cfRule type="expression" dxfId="114" priority="98">
      <formula>OR(IF(DY55&lt;DZ55,TRUE),IF(AND(DZ55="",DY55&lt;&gt;""),TRUE))</formula>
    </cfRule>
    <cfRule type="expression" dxfId="113" priority="99">
      <formula>IF(DY55&gt;=DZ55,IF(DY55="",FALSE,TRUE))</formula>
    </cfRule>
  </conditionalFormatting>
  <conditionalFormatting sqref="DW43:DW54">
    <cfRule type="expression" dxfId="112" priority="96">
      <formula>OR(IF(DW43&lt;DX43,TRUE),IF(AND(DX43="",DW43&lt;&gt;""),TRUE))</formula>
    </cfRule>
    <cfRule type="expression" dxfId="111" priority="97">
      <formula>IF(DW43&gt;=DX43,IF(DW43="",FALSE,TRUE))</formula>
    </cfRule>
  </conditionalFormatting>
  <conditionalFormatting sqref="DY43:DY54">
    <cfRule type="expression" dxfId="110" priority="94">
      <formula>OR(IF(DY43&lt;DZ43,TRUE),IF(AND(DZ43="",DY43&lt;&gt;""),TRUE))</formula>
    </cfRule>
    <cfRule type="expression" dxfId="109" priority="95">
      <formula>IF(DY43&gt;=DZ43,IF(DY43="",FALSE,TRUE))</formula>
    </cfRule>
  </conditionalFormatting>
  <conditionalFormatting sqref="ED55">
    <cfRule type="expression" dxfId="108" priority="92">
      <formula>OR(IF(ED55&lt;EE55,TRUE),IF(AND(EE55="",ED55&lt;&gt;""),TRUE))</formula>
    </cfRule>
    <cfRule type="expression" dxfId="107" priority="93">
      <formula>IF(ED55&gt;=EE55,IF(ED55="",FALSE,TRUE))</formula>
    </cfRule>
  </conditionalFormatting>
  <conditionalFormatting sqref="EF55">
    <cfRule type="expression" dxfId="106" priority="90">
      <formula>OR(IF(EF55&lt;EG55,TRUE),IF(AND(EG55="",EF55&lt;&gt;""),TRUE))</formula>
    </cfRule>
    <cfRule type="expression" dxfId="105" priority="91">
      <formula>IF(EF55&gt;=EG55,IF(EF55="",FALSE,TRUE))</formula>
    </cfRule>
  </conditionalFormatting>
  <conditionalFormatting sqref="ED43:ED54">
    <cfRule type="expression" dxfId="104" priority="88">
      <formula>OR(IF(ED43&lt;EE43,TRUE),IF(AND(EE43="",ED43&lt;&gt;""),TRUE))</formula>
    </cfRule>
    <cfRule type="expression" dxfId="103" priority="89">
      <formula>IF(ED43&gt;=EE43,IF(ED43="",FALSE,TRUE))</formula>
    </cfRule>
  </conditionalFormatting>
  <conditionalFormatting sqref="EF43:EF54">
    <cfRule type="expression" dxfId="102" priority="86">
      <formula>OR(IF(EF43&lt;EG43,TRUE),IF(AND(EG43="",EF43&lt;&gt;""),TRUE))</formula>
    </cfRule>
    <cfRule type="expression" dxfId="101" priority="87">
      <formula>IF(EF43&gt;=EG43,IF(EF43="",FALSE,TRUE))</formula>
    </cfRule>
  </conditionalFormatting>
  <conditionalFormatting sqref="EK55">
    <cfRule type="expression" dxfId="100" priority="84">
      <formula>OR(IF(EK55&lt;EL55,TRUE),IF(AND(EL55="",EK55&lt;&gt;""),TRUE))</formula>
    </cfRule>
    <cfRule type="expression" dxfId="99" priority="85">
      <formula>IF(EK55&gt;=EL55,IF(EK55="",FALSE,TRUE))</formula>
    </cfRule>
  </conditionalFormatting>
  <conditionalFormatting sqref="EM55">
    <cfRule type="expression" dxfId="98" priority="82">
      <formula>OR(IF(EM55&lt;EN55,TRUE),IF(AND(EN55="",EM55&lt;&gt;""),TRUE))</formula>
    </cfRule>
    <cfRule type="expression" dxfId="97" priority="83">
      <formula>IF(EM55&gt;=EN55,IF(EM55="",FALSE,TRUE))</formula>
    </cfRule>
  </conditionalFormatting>
  <conditionalFormatting sqref="EK43:EK54">
    <cfRule type="expression" dxfId="96" priority="80">
      <formula>OR(IF(EK43&lt;EL43,TRUE),IF(AND(EL43="",EK43&lt;&gt;""),TRUE))</formula>
    </cfRule>
    <cfRule type="expression" dxfId="95" priority="81">
      <formula>IF(EK43&gt;=EL43,IF(EK43="",FALSE,TRUE))</formula>
    </cfRule>
  </conditionalFormatting>
  <conditionalFormatting sqref="EM43:EM54">
    <cfRule type="expression" dxfId="94" priority="78">
      <formula>OR(IF(EM43&lt;EN43,TRUE),IF(AND(EN43="",EM43&lt;&gt;""),TRUE))</formula>
    </cfRule>
    <cfRule type="expression" dxfId="93" priority="79">
      <formula>IF(EM43&gt;=EN43,IF(EM43="",FALSE,TRUE))</formula>
    </cfRule>
  </conditionalFormatting>
  <conditionalFormatting sqref="J56:K56">
    <cfRule type="colorScale" priority="77">
      <colorScale>
        <cfvo type="percent" val="0"/>
        <cfvo type="percent" val="100"/>
        <color rgb="FFFF231B"/>
        <color rgb="FF10FF07"/>
      </colorScale>
    </cfRule>
  </conditionalFormatting>
  <conditionalFormatting sqref="O56">
    <cfRule type="expression" dxfId="92" priority="75">
      <formula>OR(IF(O56&lt;P56,TRUE),IF(AND(P56="",O56&lt;&gt;""),TRUE))</formula>
    </cfRule>
    <cfRule type="expression" dxfId="91" priority="76">
      <formula>IF(O56&gt;=P56,IF(O56="",FALSE,TRUE))</formula>
    </cfRule>
  </conditionalFormatting>
  <conditionalFormatting sqref="Q56">
    <cfRule type="expression" dxfId="90" priority="73">
      <formula>OR(IF(Q56&lt;R56,TRUE),IF(AND(R56="",Q56&lt;&gt;""),TRUE))</formula>
    </cfRule>
    <cfRule type="expression" dxfId="89" priority="74">
      <formula>IF(Q56&gt;=R56,IF(Q56="",FALSE,TRUE))</formula>
    </cfRule>
  </conditionalFormatting>
  <conditionalFormatting sqref="AQ56">
    <cfRule type="expression" dxfId="88" priority="59">
      <formula>OR(IF(AQ56&lt;AR56,TRUE),IF(AND(AR56="",AQ56&lt;&gt;""),TRUE))</formula>
    </cfRule>
    <cfRule type="expression" dxfId="87" priority="60">
      <formula>IF(AQ56&gt;=AR56,IF(AQ56="",FALSE,TRUE))</formula>
    </cfRule>
  </conditionalFormatting>
  <conditionalFormatting sqref="AS56">
    <cfRule type="expression" dxfId="86" priority="57">
      <formula>OR(IF(AS56&lt;AT56,TRUE),IF(AND(AT56="",AS56&lt;&gt;""),TRUE))</formula>
    </cfRule>
    <cfRule type="expression" dxfId="85" priority="58">
      <formula>IF(AS56&gt;=AT56,IF(AS56="",FALSE,TRUE))</formula>
    </cfRule>
  </conditionalFormatting>
  <conditionalFormatting sqref="BE56">
    <cfRule type="expression" dxfId="84" priority="51">
      <formula>OR(IF(BE56&lt;BF56,TRUE),IF(AND(BF56="",BE56&lt;&gt;""),TRUE))</formula>
    </cfRule>
    <cfRule type="expression" dxfId="83" priority="52">
      <formula>IF(BE56&gt;=BF56,IF(BE56="",FALSE,TRUE))</formula>
    </cfRule>
  </conditionalFormatting>
  <conditionalFormatting sqref="BG56">
    <cfRule type="expression" dxfId="82" priority="49">
      <formula>OR(IF(BG56&lt;BH56,TRUE),IF(AND(BH56="",BG56&lt;&gt;""),TRUE))</formula>
    </cfRule>
    <cfRule type="expression" dxfId="81" priority="50">
      <formula>IF(BG56&gt;=BH56,IF(BG56="",FALSE,TRUE))</formula>
    </cfRule>
  </conditionalFormatting>
  <conditionalFormatting sqref="V56">
    <cfRule type="expression" dxfId="80" priority="71">
      <formula>OR(IF(V56&lt;W56,TRUE),IF(AND(W56="",V56&lt;&gt;""),TRUE))</formula>
    </cfRule>
    <cfRule type="expression" dxfId="79" priority="72">
      <formula>IF(V56&gt;=W56,IF(V56="",FALSE,TRUE))</formula>
    </cfRule>
  </conditionalFormatting>
  <conditionalFormatting sqref="X56">
    <cfRule type="expression" dxfId="78" priority="69">
      <formula>OR(IF(X56&lt;Y56,TRUE),IF(AND(Y56="",X56&lt;&gt;""),TRUE))</formula>
    </cfRule>
    <cfRule type="expression" dxfId="77" priority="70">
      <formula>IF(X56&gt;=Y56,IF(X56="",FALSE,TRUE))</formula>
    </cfRule>
  </conditionalFormatting>
  <conditionalFormatting sqref="AC56">
    <cfRule type="expression" dxfId="76" priority="67">
      <formula>OR(IF(AC56&lt;AD56,TRUE),IF(AND(AD56="",AC56&lt;&gt;""),TRUE))</formula>
    </cfRule>
    <cfRule type="expression" dxfId="75" priority="68">
      <formula>IF(AC56&gt;=AD56,IF(AC56="",FALSE,TRUE))</formula>
    </cfRule>
  </conditionalFormatting>
  <conditionalFormatting sqref="AE56">
    <cfRule type="expression" dxfId="74" priority="65">
      <formula>OR(IF(AE56&lt;AF56,TRUE),IF(AND(AF56="",AE56&lt;&gt;""),TRUE))</formula>
    </cfRule>
    <cfRule type="expression" dxfId="73" priority="66">
      <formula>IF(AE56&gt;=AF56,IF(AE56="",FALSE,TRUE))</formula>
    </cfRule>
  </conditionalFormatting>
  <conditionalFormatting sqref="AJ56">
    <cfRule type="expression" dxfId="72" priority="63">
      <formula>OR(IF(AJ56&lt;AK56,TRUE),IF(AND(AK56="",AJ56&lt;&gt;""),TRUE))</formula>
    </cfRule>
    <cfRule type="expression" dxfId="71" priority="64">
      <formula>IF(AJ56&gt;=AK56,IF(AJ56="",FALSE,TRUE))</formula>
    </cfRule>
  </conditionalFormatting>
  <conditionalFormatting sqref="AL56">
    <cfRule type="expression" dxfId="70" priority="61">
      <formula>OR(IF(AL56&lt;AM56,TRUE),IF(AND(AM56="",AL56&lt;&gt;""),TRUE))</formula>
    </cfRule>
    <cfRule type="expression" dxfId="69" priority="62">
      <formula>IF(AL56&gt;=AM56,IF(AL56="",FALSE,TRUE))</formula>
    </cfRule>
  </conditionalFormatting>
  <conditionalFormatting sqref="AX56">
    <cfRule type="expression" dxfId="68" priority="55">
      <formula>OR(IF(AX56&lt;AY56,TRUE),IF(AND(AY56="",AX56&lt;&gt;""),TRUE))</formula>
    </cfRule>
    <cfRule type="expression" dxfId="67" priority="56">
      <formula>IF(AX56&gt;=AY56,IF(AX56="",FALSE,TRUE))</formula>
    </cfRule>
  </conditionalFormatting>
  <conditionalFormatting sqref="AZ56">
    <cfRule type="expression" dxfId="66" priority="53">
      <formula>OR(IF(AZ56&lt;BA56,TRUE),IF(AND(BA56="",AZ56&lt;&gt;""),TRUE))</formula>
    </cfRule>
    <cfRule type="expression" dxfId="65" priority="54">
      <formula>IF(AZ56&gt;=BA56,IF(AZ56="",FALSE,TRUE))</formula>
    </cfRule>
  </conditionalFormatting>
  <conditionalFormatting sqref="BL56">
    <cfRule type="expression" dxfId="64" priority="47">
      <formula>OR(IF(BL56&lt;BM56,TRUE),IF(AND(BM56="",BL56&lt;&gt;""),TRUE))</formula>
    </cfRule>
    <cfRule type="expression" dxfId="63" priority="48">
      <formula>IF(BL56&gt;=BM56,IF(BL56="",FALSE,TRUE))</formula>
    </cfRule>
  </conditionalFormatting>
  <conditionalFormatting sqref="BN56">
    <cfRule type="expression" dxfId="62" priority="45">
      <formula>OR(IF(BN56&lt;BO56,TRUE),IF(AND(BO56="",BN56&lt;&gt;""),TRUE))</formula>
    </cfRule>
    <cfRule type="expression" dxfId="61" priority="46">
      <formula>IF(BN56&gt;=BO56,IF(BN56="",FALSE,TRUE))</formula>
    </cfRule>
  </conditionalFormatting>
  <conditionalFormatting sqref="BS56">
    <cfRule type="expression" dxfId="60" priority="43">
      <formula>OR(IF(BS56&lt;BT56,TRUE),IF(AND(BT56="",BS56&lt;&gt;""),TRUE))</formula>
    </cfRule>
    <cfRule type="expression" dxfId="59" priority="44">
      <formula>IF(BS56&gt;=BT56,IF(BS56="",FALSE,TRUE))</formula>
    </cfRule>
  </conditionalFormatting>
  <conditionalFormatting sqref="BU56">
    <cfRule type="expression" dxfId="58" priority="41">
      <formula>OR(IF(BU56&lt;BV56,TRUE),IF(AND(BV56="",BU56&lt;&gt;""),TRUE))</formula>
    </cfRule>
    <cfRule type="expression" dxfId="57" priority="42">
      <formula>IF(BU56&gt;=BV56,IF(BU56="",FALSE,TRUE))</formula>
    </cfRule>
  </conditionalFormatting>
  <conditionalFormatting sqref="BZ56">
    <cfRule type="expression" dxfId="56" priority="39">
      <formula>OR(IF(BZ56&lt;CA56,TRUE),IF(AND(CA56="",BZ56&lt;&gt;""),TRUE))</formula>
    </cfRule>
    <cfRule type="expression" dxfId="55" priority="40">
      <formula>IF(BZ56&gt;=CA56,IF(BZ56="",FALSE,TRUE))</formula>
    </cfRule>
  </conditionalFormatting>
  <conditionalFormatting sqref="CB56">
    <cfRule type="expression" dxfId="54" priority="37">
      <formula>OR(IF(CB56&lt;CC56,TRUE),IF(AND(CC56="",CB56&lt;&gt;""),TRUE))</formula>
    </cfRule>
    <cfRule type="expression" dxfId="53" priority="38">
      <formula>IF(CB56&gt;=CC56,IF(CB56="",FALSE,TRUE))</formula>
    </cfRule>
  </conditionalFormatting>
  <conditionalFormatting sqref="CG56">
    <cfRule type="expression" dxfId="52" priority="35">
      <formula>OR(IF(CG56&lt;CH56,TRUE),IF(AND(CH56="",CG56&lt;&gt;""),TRUE))</formula>
    </cfRule>
    <cfRule type="expression" dxfId="51" priority="36">
      <formula>IF(CG56&gt;=CH56,IF(CG56="",FALSE,TRUE))</formula>
    </cfRule>
  </conditionalFormatting>
  <conditionalFormatting sqref="CI56">
    <cfRule type="expression" dxfId="50" priority="33">
      <formula>OR(IF(CI56&lt;CJ56,TRUE),IF(AND(CJ56="",CI56&lt;&gt;""),TRUE))</formula>
    </cfRule>
    <cfRule type="expression" dxfId="49" priority="34">
      <formula>IF(CI56&gt;=CJ56,IF(CI56="",FALSE,TRUE))</formula>
    </cfRule>
  </conditionalFormatting>
  <conditionalFormatting sqref="CN56">
    <cfRule type="expression" dxfId="48" priority="31">
      <formula>OR(IF(CN56&lt;CO56,TRUE),IF(AND(CO56="",CN56&lt;&gt;""),TRUE))</formula>
    </cfRule>
    <cfRule type="expression" dxfId="47" priority="32">
      <formula>IF(CN56&gt;=CO56,IF(CN56="",FALSE,TRUE))</formula>
    </cfRule>
  </conditionalFormatting>
  <conditionalFormatting sqref="CP56">
    <cfRule type="expression" dxfId="46" priority="29">
      <formula>OR(IF(CP56&lt;CQ56,TRUE),IF(AND(CQ56="",CP56&lt;&gt;""),TRUE))</formula>
    </cfRule>
    <cfRule type="expression" dxfId="45" priority="30">
      <formula>IF(CP56&gt;=CQ56,IF(CP56="",FALSE,TRUE))</formula>
    </cfRule>
  </conditionalFormatting>
  <conditionalFormatting sqref="CU56">
    <cfRule type="expression" dxfId="44" priority="27">
      <formula>OR(IF(CU56&lt;CV56,TRUE),IF(AND(CV56="",CU56&lt;&gt;""),TRUE))</formula>
    </cfRule>
    <cfRule type="expression" dxfId="43" priority="28">
      <formula>IF(CU56&gt;=CV56,IF(CU56="",FALSE,TRUE))</formula>
    </cfRule>
  </conditionalFormatting>
  <conditionalFormatting sqref="CW56">
    <cfRule type="expression" dxfId="42" priority="25">
      <formula>OR(IF(CW56&lt;CX56,TRUE),IF(AND(CX56="",CW56&lt;&gt;""),TRUE))</formula>
    </cfRule>
    <cfRule type="expression" dxfId="41" priority="26">
      <formula>IF(CW56&gt;=CX56,IF(CW56="",FALSE,TRUE))</formula>
    </cfRule>
  </conditionalFormatting>
  <conditionalFormatting sqref="DB56">
    <cfRule type="expression" dxfId="40" priority="23">
      <formula>OR(IF(DB56&lt;DC56,TRUE),IF(AND(DC56="",DB56&lt;&gt;""),TRUE))</formula>
    </cfRule>
    <cfRule type="expression" dxfId="39" priority="24">
      <formula>IF(DB56&gt;=DC56,IF(DB56="",FALSE,TRUE))</formula>
    </cfRule>
  </conditionalFormatting>
  <conditionalFormatting sqref="DD56">
    <cfRule type="expression" dxfId="38" priority="21">
      <formula>OR(IF(DD56&lt;DE56,TRUE),IF(AND(DE56="",DD56&lt;&gt;""),TRUE))</formula>
    </cfRule>
    <cfRule type="expression" dxfId="37" priority="22">
      <formula>IF(DD56&gt;=DE56,IF(DD56="",FALSE,TRUE))</formula>
    </cfRule>
  </conditionalFormatting>
  <conditionalFormatting sqref="DI56">
    <cfRule type="expression" dxfId="36" priority="19">
      <formula>OR(IF(DI56&lt;DJ56,TRUE),IF(AND(DJ56="",DI56&lt;&gt;""),TRUE))</formula>
    </cfRule>
    <cfRule type="expression" dxfId="35" priority="20">
      <formula>IF(DI56&gt;=DJ56,IF(DI56="",FALSE,TRUE))</formula>
    </cfRule>
  </conditionalFormatting>
  <conditionalFormatting sqref="DK56">
    <cfRule type="expression" dxfId="34" priority="17">
      <formula>OR(IF(DK56&lt;DL56,TRUE),IF(AND(DL56="",DK56&lt;&gt;""),TRUE))</formula>
    </cfRule>
    <cfRule type="expression" dxfId="33" priority="18">
      <formula>IF(DK56&gt;=DL56,IF(DK56="",FALSE,TRUE))</formula>
    </cfRule>
  </conditionalFormatting>
  <conditionalFormatting sqref="DP56">
    <cfRule type="expression" dxfId="32" priority="15">
      <formula>OR(IF(DP56&lt;DQ56,TRUE),IF(AND(DQ56="",DP56&lt;&gt;""),TRUE))</formula>
    </cfRule>
    <cfRule type="expression" dxfId="31" priority="16">
      <formula>IF(DP56&gt;=DQ56,IF(DP56="",FALSE,TRUE))</formula>
    </cfRule>
  </conditionalFormatting>
  <conditionalFormatting sqref="DR56">
    <cfRule type="expression" dxfId="30" priority="13">
      <formula>OR(IF(DR56&lt;DS56,TRUE),IF(AND(DS56="",DR56&lt;&gt;""),TRUE))</formula>
    </cfRule>
    <cfRule type="expression" dxfId="29" priority="14">
      <formula>IF(DR56&gt;=DS56,IF(DR56="",FALSE,TRUE))</formula>
    </cfRule>
  </conditionalFormatting>
  <conditionalFormatting sqref="DW56">
    <cfRule type="expression" dxfId="28" priority="11">
      <formula>OR(IF(DW56&lt;DX56,TRUE),IF(AND(DX56="",DW56&lt;&gt;""),TRUE))</formula>
    </cfRule>
    <cfRule type="expression" dxfId="27" priority="12">
      <formula>IF(DW56&gt;=DX56,IF(DW56="",FALSE,TRUE))</formula>
    </cfRule>
  </conditionalFormatting>
  <conditionalFormatting sqref="DY56">
    <cfRule type="expression" dxfId="26" priority="9">
      <formula>OR(IF(DY56&lt;DZ56,TRUE),IF(AND(DZ56="",DY56&lt;&gt;""),TRUE))</formula>
    </cfRule>
    <cfRule type="expression" dxfId="25" priority="10">
      <formula>IF(DY56&gt;=DZ56,IF(DY56="",FALSE,TRUE))</formula>
    </cfRule>
  </conditionalFormatting>
  <conditionalFormatting sqref="ED56">
    <cfRule type="expression" dxfId="24" priority="7">
      <formula>OR(IF(ED56&lt;EE56,TRUE),IF(AND(EE56="",ED56&lt;&gt;""),TRUE))</formula>
    </cfRule>
    <cfRule type="expression" dxfId="23" priority="8">
      <formula>IF(ED56&gt;=EE56,IF(ED56="",FALSE,TRUE))</formula>
    </cfRule>
  </conditionalFormatting>
  <conditionalFormatting sqref="EF56">
    <cfRule type="expression" dxfId="22" priority="5">
      <formula>OR(IF(EF56&lt;EG56,TRUE),IF(AND(EG56="",EF56&lt;&gt;""),TRUE))</formula>
    </cfRule>
    <cfRule type="expression" dxfId="21" priority="6">
      <formula>IF(EF56&gt;=EG56,IF(EF56="",FALSE,TRUE))</formula>
    </cfRule>
  </conditionalFormatting>
  <conditionalFormatting sqref="EK56">
    <cfRule type="expression" dxfId="20" priority="3">
      <formula>OR(IF(EK56&lt;EL56,TRUE),IF(AND(EL56="",EK56&lt;&gt;""),TRUE))</formula>
    </cfRule>
    <cfRule type="expression" dxfId="19" priority="4">
      <formula>IF(EK56&gt;=EL56,IF(EK56="",FALSE,TRUE))</formula>
    </cfRule>
  </conditionalFormatting>
  <conditionalFormatting sqref="EM56">
    <cfRule type="expression" dxfId="18" priority="1">
      <formula>OR(IF(EM56&lt;EN56,TRUE),IF(AND(EN56="",EM56&lt;&gt;""),TRUE))</formula>
    </cfRule>
    <cfRule type="expression" dxfId="17" priority="2">
      <formula>IF(EM56&gt;=EN56,IF(EM56="",FALSE,TRUE))</formula>
    </cfRule>
  </conditionalFormatting>
  <dataValidations count="1">
    <dataValidation type="list" allowBlank="1" showInputMessage="1" showErrorMessage="1" sqref="O20:R25 O5:R17 DP28:DS38 V20:Y25 CU5:CX17 V28:Y38 AX20:BA25 V5:Y17 AC28:AF38 AC20:AF25 AC5:AF17 AJ28:AM38 AJ5:AM17 AX28:BA38 AQ20:AT25 BE20:BH25 AQ5:AT17 AQ28:AT38 BL20:BO25 O28:R38 AX5:BA17 BE28:BH38 DI5:DL17 BE5:BH17 BL28:BO38 BS20:BV25 BL5:BO17 BS28:BV38 BZ20:CC25 BS5:BV17 BZ28:CC38 CG20:CJ25 BZ5:CC17 CG28:CJ38 CN20:CQ25 DP5:DS17 CN28:CQ38 CU20:CX25 CG5:CJ17 CU28:CX38 DB20:DE25 CN5:CQ17 DB28:DE38 DI20:DL25 DB5:DE17 DI28:DL38 DP20:DS25 ED5:EG17 DW28:DZ38 DW20:DZ25 EK5:EN17 ED28:EG38 ED20:EG25 DW5:DZ17 EK28:EN38 EK20:EN25 AJ20:AM25 O43:R56 CU43:CX56 V43:Y56 AC43:AF56 AJ43:AM56 AQ43:AT56 AX43:BA56 DI43:DL56 BE43:BH56 BL43:BO56 BS43:BV56 BZ43:CC56 DP43:DS56 CG43:CJ56 CN43:CQ56 DB43:DE56 ED43:EG56 EK43:EN56 DW43:DZ5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Christos Dimoschakis</cp:lastModifiedBy>
  <dcterms:created xsi:type="dcterms:W3CDTF">2020-04-19T13:33:28Z</dcterms:created>
  <dcterms:modified xsi:type="dcterms:W3CDTF">2021-10-17T18:41:09Z</dcterms:modified>
</cp:coreProperties>
</file>