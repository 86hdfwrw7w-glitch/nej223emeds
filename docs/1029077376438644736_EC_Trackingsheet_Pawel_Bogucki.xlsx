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Paweł\Desktop\"/>
    </mc:Choice>
  </mc:AlternateContent>
  <xr:revisionPtr revIDLastSave="0" documentId="13_ncr:1_{E514C235-CEE4-4592-B4F9-359452CD8DFC}" xr6:coauthVersionLast="47" xr6:coauthVersionMax="47" xr10:uidLastSave="{00000000-0000-0000-0000-000000000000}"/>
  <bookViews>
    <workbookView xWindow="-120" yWindow="-120" windowWidth="29040" windowHeight="15840" activeTab="1" xr2:uid="{50F29292-BE80-0C47-A0D2-DD086CB3D310}"/>
  </bookViews>
  <sheets>
    <sheet name="ANLEITUNG" sheetId="10" r:id="rId1"/>
    <sheet name="Semesterplan" sheetId="7" r:id="rId2"/>
    <sheet name="Tabelle1" sheetId="11" r:id="rId3"/>
    <sheet name="Best-Practices" sheetId="2" r:id="rId4"/>
    <sheet name="COMMITTMENT" sheetId="9" r:id="rId5"/>
    <sheet name="Wochenplan KW 19" sheetId="3" r:id="rId6"/>
    <sheet name="Wochenplan KW 20"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52" i="7" l="1" a="1"/>
  <c r="K52" i="7" s="1"/>
  <c r="J52" i="7" a="1"/>
  <c r="J52" i="7" s="1"/>
  <c r="I52" i="7"/>
  <c r="K14" i="7" a="1"/>
  <c r="K14" i="7" s="1"/>
  <c r="J14" i="7" a="1"/>
  <c r="J14" i="7" s="1"/>
  <c r="I14" i="7"/>
  <c r="I24" i="7"/>
  <c r="J24" i="7" a="1"/>
  <c r="J24" i="7" s="1"/>
  <c r="K24" i="7" a="1"/>
  <c r="K24" i="7" s="1"/>
  <c r="C11" i="10"/>
  <c r="C12" i="10" s="1"/>
  <c r="EK4" i="7"/>
  <c r="ED4" i="7"/>
  <c r="DW4" i="7"/>
  <c r="DP4" i="7"/>
  <c r="DI4" i="7"/>
  <c r="DB4" i="7"/>
  <c r="CU4" i="7"/>
  <c r="CN4" i="7"/>
  <c r="K53" i="7" a="1"/>
  <c r="K53" i="7" s="1"/>
  <c r="J53" i="7" a="1"/>
  <c r="J53" i="7" s="1"/>
  <c r="I53" i="7"/>
  <c r="K15" i="7" a="1"/>
  <c r="K15" i="7" s="1"/>
  <c r="J15" i="7" a="1"/>
  <c r="J15" i="7" s="1"/>
  <c r="I15" i="7"/>
  <c r="K13" i="7" a="1"/>
  <c r="K13" i="7" s="1"/>
  <c r="J13" i="7" a="1"/>
  <c r="J13" i="7" s="1"/>
  <c r="I13" i="7"/>
  <c r="K12" i="7" a="1"/>
  <c r="K12" i="7" s="1"/>
  <c r="J12" i="7" a="1"/>
  <c r="J12" i="7" s="1"/>
  <c r="I12" i="7"/>
  <c r="K11" i="7" a="1"/>
  <c r="K11" i="7" s="1"/>
  <c r="J11" i="7" a="1"/>
  <c r="J11" i="7" s="1"/>
  <c r="I11" i="7"/>
  <c r="K10" i="7" a="1"/>
  <c r="K10" i="7" s="1"/>
  <c r="J10" i="7" a="1"/>
  <c r="J10" i="7" s="1"/>
  <c r="I10" i="7"/>
  <c r="CG4" i="7"/>
  <c r="BZ4" i="7"/>
  <c r="BS4" i="7"/>
  <c r="BL4" i="7"/>
  <c r="BE4" i="7"/>
  <c r="AX4" i="7"/>
  <c r="K20" i="7" a="1"/>
  <c r="K20" i="7" s="1"/>
  <c r="J20" i="7" a="1"/>
  <c r="J20" i="7" s="1"/>
  <c r="I20" i="7"/>
  <c r="K19" i="7" a="1"/>
  <c r="K19" i="7" s="1"/>
  <c r="J19" i="7" a="1"/>
  <c r="J19" i="7" s="1"/>
  <c r="I19"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V42" i="7"/>
  <c r="O42" i="7"/>
  <c r="G42" i="7"/>
  <c r="K40" i="7" a="1"/>
  <c r="K40" i="7" s="1"/>
  <c r="J40" i="7" a="1"/>
  <c r="J40" i="7" s="1"/>
  <c r="I40" i="7"/>
  <c r="K39" i="7" a="1"/>
  <c r="K39" i="7" s="1"/>
  <c r="J39" i="7" a="1"/>
  <c r="J39" i="7" s="1"/>
  <c r="I39" i="7"/>
  <c r="K38" i="7" a="1"/>
  <c r="K38" i="7" s="1"/>
  <c r="J38" i="7" a="1"/>
  <c r="J38" i="7" s="1"/>
  <c r="I38" i="7"/>
  <c r="K37" i="7" a="1"/>
  <c r="K37" i="7" s="1"/>
  <c r="J37" i="7" a="1"/>
  <c r="J37" i="7" s="1"/>
  <c r="I37" i="7"/>
  <c r="K36" i="7" a="1"/>
  <c r="K36" i="7" s="1"/>
  <c r="J36" i="7" a="1"/>
  <c r="J36" i="7" s="1"/>
  <c r="I36" i="7"/>
  <c r="V35" i="7"/>
  <c r="O35" i="7"/>
  <c r="G35" i="7"/>
  <c r="AQ4" i="7"/>
  <c r="K23" i="7" a="1"/>
  <c r="K23" i="7" s="1"/>
  <c r="J23" i="7" a="1"/>
  <c r="J23" i="7" s="1"/>
  <c r="K22" i="7" a="1"/>
  <c r="K22" i="7" s="1"/>
  <c r="J22" i="7" a="1"/>
  <c r="J22" i="7" s="1"/>
  <c r="K21" i="7" a="1"/>
  <c r="K21" i="7" s="1"/>
  <c r="J21" i="7" a="1"/>
  <c r="J21" i="7" s="1"/>
  <c r="K18" i="7" a="1"/>
  <c r="K18" i="7" s="1"/>
  <c r="J18" i="7" a="1"/>
  <c r="J18"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9" i="7" a="1"/>
  <c r="K9" i="7" s="1"/>
  <c r="J9" i="7" a="1"/>
  <c r="J9" i="7" s="1"/>
  <c r="K8" i="7" a="1"/>
  <c r="K8" i="7" s="1"/>
  <c r="J8" i="7" a="1"/>
  <c r="J8" i="7" s="1"/>
  <c r="K7" i="7" a="1"/>
  <c r="K7" i="7" s="1"/>
  <c r="J7" i="7" a="1"/>
  <c r="J7" i="7" s="1"/>
  <c r="K6" i="7" a="1"/>
  <c r="K6" i="7" s="1"/>
  <c r="J6" i="7" a="1"/>
  <c r="J6" i="7" s="1"/>
  <c r="K5" i="7" a="1"/>
  <c r="K5" i="7" s="1"/>
  <c r="J5" i="7" a="1"/>
  <c r="J5" i="7" s="1"/>
  <c r="V17" i="7"/>
  <c r="O17" i="7"/>
  <c r="AJ4" i="7"/>
  <c r="AC4" i="7"/>
  <c r="V4" i="7"/>
  <c r="O4" i="7"/>
  <c r="G4" i="7"/>
  <c r="V26" i="7"/>
  <c r="O26" i="7"/>
  <c r="I33" i="7"/>
  <c r="I32" i="7"/>
  <c r="I31" i="7"/>
  <c r="I30" i="7"/>
  <c r="I29" i="7"/>
  <c r="I28" i="7"/>
  <c r="I27" i="7"/>
  <c r="I23" i="7"/>
  <c r="I22" i="7"/>
  <c r="I21" i="7"/>
  <c r="I18" i="7"/>
  <c r="I6" i="7"/>
  <c r="I7" i="7"/>
  <c r="I8" i="7"/>
  <c r="I9" i="7"/>
  <c r="I5" i="7"/>
  <c r="G26" i="7"/>
  <c r="G17" i="7"/>
  <c r="I42" i="7" l="1"/>
  <c r="I35" i="7"/>
  <c r="J42" i="7"/>
  <c r="K42" i="7"/>
  <c r="K35" i="7"/>
  <c r="J35" i="7"/>
  <c r="I26" i="7"/>
  <c r="J26" i="7"/>
  <c r="K26" i="7"/>
  <c r="I17" i="7"/>
  <c r="J17" i="7"/>
  <c r="K17"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<sst xmlns="http://schemas.openxmlformats.org/spreadsheetml/2006/main" count="361" uniqueCount="159">
  <si>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</si>
  <si>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</si>
  <si>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</si>
  <si>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</si>
  <si>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</si>
  <si>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</si>
  <si>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</si>
  <si>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</si>
  <si>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</si>
  <si>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</si>
  <si>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</si>
  <si>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</si>
  <si>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</si>
  <si>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</si>
  <si>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</si>
  <si>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</si>
  <si>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</si>
  <si>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</si>
  <si>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</si>
  <si>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</si>
  <si>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</si>
  <si>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</si>
  <si>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</si>
  <si>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</si>
  <si>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</si>
  <si>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</si>
  <si>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</si>
  <si>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</si>
  <si>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</si>
  <si>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</si>
  <si>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</si>
  <si>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</si>
  <si>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</si>
  <si>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</si>
  <si>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</si>
  <si>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</si>
  <si>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</si>
  <si>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</si>
  <si>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</si>
  <si>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</si>
  <si>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</si>
  <si>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</si>
  <si>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</si>
  <si>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</si>
  <si>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</si>
  <si>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</si>
  <si>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</si>
  <si>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</si>
  <si>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</si>
  <si>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</si>
  <si>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</si>
  <si>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</si>
  <si>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</si>
  <si>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</si>
  <si>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</si>
  <si>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</si>
  <si>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</si>
  <si>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</si>
  <si>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</si>
  <si>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</si>
  <si>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</si>
  <si>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</si>
  <si>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</si>
  <si>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</si>
  <si>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</si>
  <si>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</si>
  <si>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</si>
  <si>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</si>
  <si>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</si>
  <si>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</si>
  <si>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</si>
  <si>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</si>
  <si>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</si>
  <si>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</si>
  <si>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</si>
  <si>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</si>
  <si>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</si>
  <si>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</si>
  <si>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</si>
  <si>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</si>
  <si>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</si>
  <si>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</si>
  <si>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</si>
  <si>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</si>
  <si>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</si>
  <si>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</si>
  <si>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</si>
  <si>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Accounting</t>
  </si>
  <si>
    <t>Makro I</t>
  </si>
  <si>
    <t>Mikro I</t>
  </si>
  <si>
    <t>Management I</t>
  </si>
  <si>
    <t>Mathe I</t>
  </si>
  <si>
    <t>Buchführung</t>
  </si>
  <si>
    <t>Kostenrechnung</t>
  </si>
  <si>
    <t>4) Besondere Geschäftsvorfälle</t>
  </si>
  <si>
    <t>Einführung</t>
  </si>
  <si>
    <t>Einkommen und Ausgaben</t>
  </si>
  <si>
    <t xml:space="preserve">7) Staatliche Einnahmen und Ausgaben </t>
  </si>
  <si>
    <t>Gegenstände von Management Teil 1</t>
  </si>
  <si>
    <t>Gegenstände von Management Teil 2</t>
  </si>
  <si>
    <t>Mathematische Grundlagen</t>
  </si>
  <si>
    <t>Analysis von Funktionen einer Variablen</t>
  </si>
  <si>
    <t>KW 42</t>
  </si>
  <si>
    <t>KW 43</t>
  </si>
  <si>
    <t>KW 44</t>
  </si>
  <si>
    <t>KW 45</t>
  </si>
  <si>
    <t>KW 46</t>
  </si>
  <si>
    <t>KW 47</t>
  </si>
  <si>
    <t>KW 48</t>
  </si>
  <si>
    <t>KW 49</t>
  </si>
  <si>
    <t>KW 50</t>
  </si>
  <si>
    <t>KW 51</t>
  </si>
  <si>
    <t>KW 52</t>
  </si>
  <si>
    <t>KW 01 (53)</t>
  </si>
  <si>
    <t>KW 02 (54)</t>
  </si>
  <si>
    <t>KW 04 (56)</t>
  </si>
  <si>
    <t>KW 05 (57)</t>
  </si>
  <si>
    <t>KW 06 (58)</t>
  </si>
  <si>
    <t>KW 07 (59)</t>
  </si>
  <si>
    <t>1) The Principles and Practice of Economics/Economic Methods and Economic Questions</t>
  </si>
  <si>
    <t>2)Optimization: Doing the Best You Can/Demand, Supply, and Equilibrium</t>
  </si>
  <si>
    <t>3) Consumers and Incentives –Consumer Surplus and Elasticities</t>
  </si>
  <si>
    <t>4) Sellers and Incentives</t>
  </si>
  <si>
    <t>5) Perfect Competition and the Invisible Hand/Trade</t>
  </si>
  <si>
    <t>6) Externalities and Public Goods/ The Government in the Economy: Taxation and Regulation</t>
  </si>
  <si>
    <t>7) The Government in the Economy: Taxation and Regulation/Markets for Factors of Production</t>
  </si>
  <si>
    <t>8) Monopoly/Game Theory and Strategic Play</t>
  </si>
  <si>
    <t>9) Oligopoly and Monopolistic Competition/Trade Offs Involving Times and Risk</t>
  </si>
  <si>
    <t>1) Mathematische Grundlagen</t>
  </si>
  <si>
    <t>2) Analysis von Funktionen einer Variablen</t>
  </si>
  <si>
    <t>3) Analysis von Funktionen mehrerer Variablen</t>
  </si>
  <si>
    <t>4) Integralrechnung</t>
  </si>
  <si>
    <t>5) Lineare Algebra</t>
  </si>
  <si>
    <t>1) Gegenstand der Betriebswirtschaftslehre/Unternehmensziele</t>
  </si>
  <si>
    <t>2) Unternehmensführung/Rechtsformwahl</t>
  </si>
  <si>
    <t>3) Standortentscheidungen/Unternehmenszusammenschlüsse</t>
  </si>
  <si>
    <t>4) Organisationsgestaltung</t>
  </si>
  <si>
    <t>5) Personalmanagement</t>
  </si>
  <si>
    <t>6) Personalführung/Forschung in BWL</t>
  </si>
  <si>
    <t>1) Einführung</t>
  </si>
  <si>
    <t>2) Einkommen und Ausgaben</t>
  </si>
  <si>
    <t>3) Das IS-LM Modell</t>
  </si>
  <si>
    <t>4) Bestandsaufnahme Formulierungen des IS-LM Modells</t>
  </si>
  <si>
    <t>5) Die offene Volkswirtschaft</t>
  </si>
  <si>
    <t>6) Wechselkursregime</t>
  </si>
  <si>
    <t>1) Rolle der Buchführung/Technik der doppelten Buchführung</t>
  </si>
  <si>
    <t>2) Jahresabschluss</t>
  </si>
  <si>
    <t>3) Besondere Geschäftsvorfälle</t>
  </si>
  <si>
    <t>5) Umlaufvermögen</t>
  </si>
  <si>
    <t>6) Verbindlichkeiten und Rückstellungen/Periodenabgrenzung</t>
  </si>
  <si>
    <t>7) Grundlagen der Kostenrechnung</t>
  </si>
  <si>
    <t>8) Kostenartenrechnung</t>
  </si>
  <si>
    <t>9) Kostenstellenrechnung/Kostenträgerstückrechnung</t>
  </si>
  <si>
    <t>10) Kostenträgerzeitrechnung/Systeme der Plankostenrechnung</t>
  </si>
  <si>
    <t>11) Systeme der Plankostenrechnung/Entscheidungsorientierte Kostenrechnung</t>
  </si>
  <si>
    <t>10) The Economics of Information</t>
  </si>
  <si>
    <t>11) Auctions and Bargaining/Social Economics</t>
  </si>
  <si>
    <t>KW 3 (55)</t>
  </si>
  <si>
    <t>KW 08 (60) KLAUSUREN!!!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</si>
</sst>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9" fontId="0" fillId="2" borderId="0" xfId="0" applyNumberFormat="1" applyFill="1"/>
    <xf numFmtId="0" fontId="1" fillId="2" borderId="0" xfId="0" applyFont="1" applyFill="1" applyAlignment="1">
      <alignment horizontal="center"/>
    </xf>
  </cellXfs>
  <cellStyles count="1">
    <cellStyle name="Standard" xfId="0" builtinId="0"/>
  </cellStyles>
  <dxfs count="335">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E0E0E0"/>
      <color rgb="FF00FF29"/>
      <color rgb="FF56FF5E"/>
      <color rgb="FFC4FF87"/>
      <color rgb="FFFFDE7F"/>
      <color rgb="FFFF755A"/>
      <color rgb="FFFDFF05"/>
      <color rgb="FF10FF07"/>
      <color rgb="FFFF231B"/>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34">
  <autoFilter ref="A1:K46" xr:uid="{6E266E34-2786-2747-BCE7-51B74867A564}"/>
  <tableColumns count="11">
    <tableColumn id="1" xr3:uid="{95FD92F7-3DC8-704D-A103-A7EDDAB255AB}" name="Datum" dataDxfId="333"/>
    <tableColumn id="2" xr3:uid="{F464D510-8166-E740-A343-FB84BDEF877F}" name="Lerneinheiten durchgezogen" dataDxfId="332"/>
    <tableColumn id="3" xr3:uid="{75F52B08-1A00-0848-BBE6-1EDF7B31B1AD}" name="Tagesplan erstellt" dataDxfId="331"/>
    <tableColumn id="4" xr3:uid="{E6B18D89-E799-AD48-9DAA-37AEE1D29011}" name="Konzentrationslevel" dataDxfId="33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X1" workbookViewId="0">
      <selection activeCell="C11" sqref="C11"/>
    </sheetView>
  </sheetViews>
  <sheetFormatPr baseColWidth="10" defaultRowHeight="15.75"/>
  <cols>
    <col min="1" max="1" width="11.875" customWidth="1"/>
    <col min="2" max="2" width="62.625" customWidth="1"/>
  </cols>
  <sheetData>
    <row r="2" spans="1:4">
      <c r="C2" s="21" t="s">
        <v>71</v>
      </c>
    </row>
    <row r="3" spans="1:4">
      <c r="C3" s="20" t="s">
        <v>56</v>
      </c>
    </row>
    <row r="4" spans="1:4">
      <c r="C4" s="19" t="s">
        <v>70</v>
      </c>
    </row>
    <row r="5" spans="1:4">
      <c r="A5" s="3" t="s">
        <v>53</v>
      </c>
      <c r="B5" s="3" t="s">
        <v>54</v>
      </c>
      <c r="C5" s="3" t="s">
        <v>55</v>
      </c>
      <c r="D5" s="3" t="s">
        <v>57</v>
      </c>
    </row>
    <row r="6" spans="1:4">
      <c r="A6" t="s">
        <v>49</v>
      </c>
      <c r="B6" s="21" t="s">
        <v>52</v>
      </c>
      <c r="D6" t="s">
        <v>86</v>
      </c>
    </row>
    <row r="7" spans="1:4">
      <c r="A7" t="s">
        <v>60</v>
      </c>
      <c r="B7" t="s">
        <v>61</v>
      </c>
      <c r="C7" s="19">
        <v>40</v>
      </c>
    </row>
    <row r="8" spans="1:4">
      <c r="A8" t="s">
        <v>51</v>
      </c>
      <c r="B8" s="21" t="s">
        <v>50</v>
      </c>
      <c r="C8" s="9"/>
      <c r="D8" t="s">
        <v>74</v>
      </c>
    </row>
    <row r="9" spans="1:4">
      <c r="A9" t="s">
        <v>59</v>
      </c>
      <c r="B9" s="21" t="s">
        <v>72</v>
      </c>
      <c r="D9" t="s">
        <v>75</v>
      </c>
    </row>
    <row r="10" spans="1:4">
      <c r="A10" t="s">
        <v>63</v>
      </c>
      <c r="B10" t="s">
        <v>62</v>
      </c>
      <c r="C10" s="19">
        <v>15</v>
      </c>
      <c r="D10" t="s">
        <v>58</v>
      </c>
    </row>
    <row r="11" spans="1:4">
      <c r="A11" t="s">
        <v>64</v>
      </c>
      <c r="B11" t="s">
        <v>66</v>
      </c>
      <c r="C11" s="19">
        <f>C7*3</f>
        <v>120</v>
      </c>
      <c r="D11" t="s">
        <v>65</v>
      </c>
    </row>
    <row r="12" spans="1:4">
      <c r="A12" t="s">
        <v>68</v>
      </c>
      <c r="B12" t="s">
        <v>67</v>
      </c>
      <c r="C12" s="20">
        <f>C11/C10</f>
        <v>8</v>
      </c>
    </row>
    <row r="13" spans="1:4">
      <c r="A13" t="s">
        <v>73</v>
      </c>
      <c r="B13" t="s">
        <v>69</v>
      </c>
      <c r="D13" t="s">
        <v>76</v>
      </c>
    </row>
    <row r="14" spans="1:4">
      <c r="A14" t="s">
        <v>77</v>
      </c>
      <c r="B14" t="s">
        <v>78</v>
      </c>
      <c r="D14" t="s">
        <v>79</v>
      </c>
    </row>
    <row r="15" spans="1:4">
      <c r="A15" t="s">
        <v>80</v>
      </c>
      <c r="B15" s="21" t="s">
        <v>81</v>
      </c>
    </row>
    <row r="16" spans="1:4">
      <c r="A16" t="s">
        <v>84</v>
      </c>
      <c r="B16" s="21" t="s">
        <v>82</v>
      </c>
    </row>
    <row r="17" spans="1: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P53"/>
  <sheetViews>
    <sheetView showGridLines="0" tabSelected="1" zoomScaleNormal="100" workbookViewId="0">
      <pane xSplit="12" topLeftCell="N1" activePane="topRight" state="frozen"/>
      <selection pane="topRight" activeCell="N42" sqref="N42"/>
    </sheetView>
  </sheetViews>
  <sheetFormatPr baseColWidth="10" defaultColWidth="8.875" defaultRowHeight="15.75" outlineLevelRow="1"/>
  <cols>
    <col min="3" max="3" width="33.75" bestFit="1" customWidth="1"/>
    <col min="4" max="4" width="13" bestFit="1" customWidth="1"/>
    <col min="5" max="5" width="4.875" bestFit="1" customWidth="1"/>
    <col min="6" max="6" width="67.125" customWidth="1"/>
    <col min="7" max="7" width="15.5" hidden="1" customWidth="1"/>
    <col min="8" max="8" width="2.5" hidden="1" customWidth="1"/>
    <col min="9" max="9" width="8.875" hidden="1" customWidth="1"/>
    <col min="10" max="10" width="12.5" hidden="1" customWidth="1"/>
    <col min="11" max="11" width="14.875" hidden="1" customWidth="1"/>
    <col min="12" max="12" width="13" hidden="1" customWidth="1"/>
    <col min="13" max="13" width="2.5" hidden="1" customWidth="1"/>
    <col min="14" max="14" width="2.5" customWidth="1"/>
    <col min="16" max="16" width="12.5" bestFit="1" customWidth="1"/>
    <col min="17" max="17" width="6.375" customWidth="1"/>
    <col min="18" max="18" width="14.875" bestFit="1" customWidth="1"/>
    <col min="19" max="19" width="6" customWidth="1"/>
    <col min="20" max="20" width="12.625" bestFit="1" customWidth="1"/>
    <col min="21" max="21" width="2.5" customWidth="1"/>
    <col min="23" max="23" width="12.5" bestFit="1" customWidth="1"/>
    <col min="24" max="24" width="6.375" customWidth="1"/>
    <col min="25" max="25" width="14.875" bestFit="1" customWidth="1"/>
    <col min="26" max="26" width="6" customWidth="1"/>
    <col min="27" max="27" width="12.625" bestFit="1" customWidth="1"/>
    <col min="28" max="28" width="2.5" customWidth="1"/>
    <col min="30" max="30" width="12.5" bestFit="1" customWidth="1"/>
    <col min="31" max="31" width="6.375" customWidth="1"/>
    <col min="32" max="32" width="14.875" bestFit="1" customWidth="1"/>
    <col min="33" max="33" width="6" customWidth="1"/>
    <col min="34" max="34" width="12.625" bestFit="1" customWidth="1"/>
    <col min="35" max="35" width="2.5" customWidth="1"/>
    <col min="37" max="37" width="12.5" bestFit="1" customWidth="1"/>
    <col min="38" max="38" width="6.375" customWidth="1"/>
    <col min="39" max="39" width="14.875" bestFit="1" customWidth="1"/>
    <col min="40" max="40" width="6" customWidth="1"/>
    <col min="41" max="41" width="12.625" bestFit="1" customWidth="1"/>
    <col min="42" max="42" width="2.5" customWidth="1"/>
    <col min="44" max="44" width="12.5" bestFit="1" customWidth="1"/>
    <col min="45" max="45" width="6.375" customWidth="1"/>
    <col min="46" max="46" width="14.875" bestFit="1" customWidth="1"/>
    <col min="47" max="47" width="6" customWidth="1"/>
    <col min="48" max="48" width="12.625" bestFit="1" customWidth="1"/>
    <col min="49" max="49" width="2.5" customWidth="1"/>
    <col min="51" max="51" width="12.5" bestFit="1" customWidth="1"/>
    <col min="52" max="52" width="6.375" customWidth="1"/>
    <col min="53" max="53" width="14.875" bestFit="1" customWidth="1"/>
    <col min="54" max="54" width="6" customWidth="1"/>
    <col min="55" max="55" width="12.625" bestFit="1" customWidth="1"/>
    <col min="56" max="56" width="2.5" customWidth="1"/>
    <col min="58" max="58" width="12.5" bestFit="1" customWidth="1"/>
    <col min="59" max="59" width="6.375" customWidth="1"/>
    <col min="60" max="60" width="14.875" bestFit="1" customWidth="1"/>
    <col min="61" max="61" width="6" customWidth="1"/>
    <col min="62" max="62" width="12.625" bestFit="1" customWidth="1"/>
    <col min="63" max="63" width="2.5" customWidth="1"/>
    <col min="65" max="65" width="12.5" bestFit="1" customWidth="1"/>
    <col min="66" max="66" width="6.375" customWidth="1"/>
    <col min="67" max="67" width="14.875" bestFit="1" customWidth="1"/>
    <col min="68" max="68" width="6" customWidth="1"/>
    <col min="69" max="69" width="12.625" bestFit="1" customWidth="1"/>
    <col min="70" max="70" width="2.5" customWidth="1"/>
    <col min="72" max="72" width="12.5" bestFit="1" customWidth="1"/>
    <col min="73" max="73" width="6.375" customWidth="1"/>
    <col min="74" max="74" width="14.875" bestFit="1" customWidth="1"/>
    <col min="75" max="75" width="6" customWidth="1"/>
    <col min="76" max="76" width="12.625" bestFit="1" customWidth="1"/>
    <col min="77" max="77" width="2.5" customWidth="1"/>
    <col min="79" max="79" width="12.5" bestFit="1" customWidth="1"/>
    <col min="80" max="80" width="6.375" customWidth="1"/>
    <col min="81" max="81" width="14.875" bestFit="1" customWidth="1"/>
    <col min="82" max="82" width="6" customWidth="1"/>
    <col min="83" max="83" width="12.625" bestFit="1" customWidth="1"/>
    <col min="84" max="84" width="2.5" customWidth="1"/>
    <col min="86" max="86" width="12.5" bestFit="1" customWidth="1"/>
    <col min="87" max="87" width="6.375" customWidth="1"/>
    <col min="88" max="88" width="14.875" bestFit="1" customWidth="1"/>
    <col min="89" max="89" width="6" customWidth="1"/>
    <col min="90" max="90" width="12.625" bestFit="1" customWidth="1"/>
    <col min="91" max="91" width="2.5" customWidth="1"/>
    <col min="93" max="93" width="12.5" bestFit="1" customWidth="1"/>
    <col min="94" max="94" width="6.375" customWidth="1"/>
    <col min="95" max="95" width="14.875" bestFit="1" customWidth="1"/>
    <col min="96" max="96" width="6" customWidth="1"/>
    <col min="97" max="97" width="12.625" bestFit="1" customWidth="1"/>
    <col min="98" max="98" width="2.5" customWidth="1"/>
    <col min="100" max="100" width="12.5" bestFit="1" customWidth="1"/>
    <col min="101" max="101" width="6.375" customWidth="1"/>
    <col min="102" max="102" width="14.875" bestFit="1" customWidth="1"/>
    <col min="103" max="103" width="6" customWidth="1"/>
    <col min="104" max="104" width="12.625" bestFit="1" customWidth="1"/>
    <col min="105" max="105" width="2.5" customWidth="1"/>
    <col min="107" max="107" width="12.5" bestFit="1" customWidth="1"/>
    <col min="108" max="108" width="6.375" customWidth="1"/>
    <col min="109" max="109" width="14.875" bestFit="1" customWidth="1"/>
    <col min="110" max="110" width="6" customWidth="1"/>
    <col min="111" max="111" width="12.625" bestFit="1" customWidth="1"/>
    <col min="112" max="112" width="2.5" customWidth="1"/>
    <col min="114" max="114" width="12.5" bestFit="1" customWidth="1"/>
    <col min="115" max="115" width="6.375" customWidth="1"/>
    <col min="116" max="116" width="14.875" bestFit="1" customWidth="1"/>
    <col min="117" max="117" width="6" customWidth="1"/>
    <col min="118" max="118" width="12.625" bestFit="1" customWidth="1"/>
    <col min="119" max="119" width="2.5" customWidth="1"/>
    <col min="121" max="121" width="12.5" bestFit="1" customWidth="1"/>
    <col min="122" max="122" width="6.375" customWidth="1"/>
    <col min="123" max="123" width="14.875" bestFit="1" customWidth="1"/>
    <col min="124" max="124" width="6" customWidth="1"/>
    <col min="125" max="125" width="12.625" bestFit="1" customWidth="1"/>
    <col min="126" max="126" width="2.5" customWidth="1"/>
    <col min="128" max="128" width="12.5" bestFit="1" customWidth="1"/>
    <col min="129" max="129" width="6.375" customWidth="1"/>
    <col min="130" max="130" width="14.875" bestFit="1" customWidth="1"/>
    <col min="131" max="131" width="6" customWidth="1"/>
    <col min="132" max="132" width="12.625" bestFit="1" customWidth="1"/>
    <col min="133" max="133" width="2.5" customWidth="1"/>
    <col min="135" max="135" width="12.5" bestFit="1" customWidth="1"/>
    <col min="136" max="136" width="6.375" customWidth="1"/>
    <col min="137" max="137" width="14.875" bestFit="1" customWidth="1"/>
    <col min="138" max="138" width="6" customWidth="1"/>
    <col min="139" max="139" width="12.625" bestFit="1" customWidth="1"/>
    <col min="140" max="140" width="2.5" customWidth="1"/>
    <col min="142" max="142" width="12.5" bestFit="1" customWidth="1"/>
    <col min="143" max="143" width="6.375" customWidth="1"/>
    <col min="144" max="144" width="14.875" bestFit="1" customWidth="1"/>
    <col min="145" max="145" width="6" customWidth="1"/>
    <col min="146" max="146" width="12.625" bestFit="1" customWidth="1"/>
  </cols>
  <sheetData>
    <row r="1" spans="2:146" ht="33.75">
      <c r="B1" s="5" t="s">
        <v>0</v>
      </c>
      <c r="D1" s="5"/>
      <c r="G1" s="15" t="s">
        <v>33</v>
      </c>
      <c r="I1" s="15" t="s">
        <v>33</v>
      </c>
      <c r="J1" s="15" t="s">
        <v>33</v>
      </c>
      <c r="K1" s="15" t="s">
        <v>33</v>
      </c>
    </row>
    <row r="2" spans="2:146">
      <c r="I2" s="24" t="s">
        <v>27</v>
      </c>
      <c r="J2" s="24"/>
      <c r="K2" s="24"/>
      <c r="L2" s="24"/>
      <c r="O2" s="24" t="s">
        <v>102</v>
      </c>
      <c r="P2" s="24"/>
      <c r="Q2" s="24"/>
      <c r="R2" s="24"/>
      <c r="S2" s="24"/>
      <c r="T2" s="24"/>
      <c r="V2" s="24" t="s">
        <v>103</v>
      </c>
      <c r="W2" s="24"/>
      <c r="X2" s="24"/>
      <c r="Y2" s="24"/>
      <c r="Z2" s="24"/>
      <c r="AA2" s="24"/>
      <c r="AC2" s="24" t="s">
        <v>104</v>
      </c>
      <c r="AD2" s="24"/>
      <c r="AE2" s="24"/>
      <c r="AF2" s="24"/>
      <c r="AG2" s="24"/>
      <c r="AH2" s="24"/>
      <c r="AJ2" s="24" t="s">
        <v>105</v>
      </c>
      <c r="AK2" s="24"/>
      <c r="AL2" s="24"/>
      <c r="AM2" s="24"/>
      <c r="AN2" s="24"/>
      <c r="AO2" s="24"/>
      <c r="AQ2" s="24" t="s">
        <v>106</v>
      </c>
      <c r="AR2" s="24"/>
      <c r="AS2" s="24"/>
      <c r="AT2" s="24"/>
      <c r="AU2" s="24"/>
      <c r="AV2" s="24"/>
      <c r="AX2" s="24" t="s">
        <v>107</v>
      </c>
      <c r="AY2" s="24"/>
      <c r="AZ2" s="24"/>
      <c r="BA2" s="24"/>
      <c r="BB2" s="24"/>
      <c r="BC2" s="24"/>
      <c r="BE2" s="24" t="s">
        <v>108</v>
      </c>
      <c r="BF2" s="24"/>
      <c r="BG2" s="24"/>
      <c r="BH2" s="24"/>
      <c r="BI2" s="24"/>
      <c r="BJ2" s="24"/>
      <c r="BL2" s="24" t="s">
        <v>109</v>
      </c>
      <c r="BM2" s="24"/>
      <c r="BN2" s="24"/>
      <c r="BO2" s="24"/>
      <c r="BP2" s="24"/>
      <c r="BQ2" s="24"/>
      <c r="BS2" s="24" t="s">
        <v>110</v>
      </c>
      <c r="BT2" s="24"/>
      <c r="BU2" s="24"/>
      <c r="BV2" s="24"/>
      <c r="BW2" s="24"/>
      <c r="BX2" s="24"/>
      <c r="BZ2" s="24" t="s">
        <v>111</v>
      </c>
      <c r="CA2" s="24"/>
      <c r="CB2" s="24"/>
      <c r="CC2" s="24"/>
      <c r="CD2" s="24"/>
      <c r="CE2" s="24"/>
      <c r="CG2" s="24" t="s">
        <v>112</v>
      </c>
      <c r="CH2" s="24"/>
      <c r="CI2" s="24"/>
      <c r="CJ2" s="24"/>
      <c r="CK2" s="24"/>
      <c r="CL2" s="24"/>
      <c r="CN2" s="24" t="s">
        <v>113</v>
      </c>
      <c r="CO2" s="24"/>
      <c r="CP2" s="24"/>
      <c r="CQ2" s="24"/>
      <c r="CR2" s="24"/>
      <c r="CS2" s="24"/>
      <c r="CU2" s="24" t="s">
        <v>114</v>
      </c>
      <c r="CV2" s="24"/>
      <c r="CW2" s="24"/>
      <c r="CX2" s="24"/>
      <c r="CY2" s="24"/>
      <c r="CZ2" s="24"/>
      <c r="DB2" s="24" t="s">
        <v>157</v>
      </c>
      <c r="DC2" s="24"/>
      <c r="DD2" s="24"/>
      <c r="DE2" s="24"/>
      <c r="DF2" s="24"/>
      <c r="DG2" s="24"/>
      <c r="DI2" s="24" t="s">
        <v>115</v>
      </c>
      <c r="DJ2" s="24"/>
      <c r="DK2" s="24"/>
      <c r="DL2" s="24"/>
      <c r="DM2" s="24"/>
      <c r="DN2" s="24"/>
      <c r="DP2" s="24" t="s">
        <v>116</v>
      </c>
      <c r="DQ2" s="24"/>
      <c r="DR2" s="24"/>
      <c r="DS2" s="24"/>
      <c r="DT2" s="24"/>
      <c r="DU2" s="24"/>
      <c r="DW2" s="24" t="s">
        <v>117</v>
      </c>
      <c r="DX2" s="24"/>
      <c r="DY2" s="24"/>
      <c r="DZ2" s="24"/>
      <c r="EA2" s="24"/>
      <c r="EB2" s="24"/>
      <c r="ED2" s="24" t="s">
        <v>118</v>
      </c>
      <c r="EE2" s="24"/>
      <c r="EF2" s="24"/>
      <c r="EG2" s="24"/>
      <c r="EH2" s="24"/>
      <c r="EI2" s="24"/>
      <c r="EK2" s="24" t="s">
        <v>158</v>
      </c>
      <c r="EL2" s="24"/>
      <c r="EM2" s="24"/>
      <c r="EN2" s="24"/>
      <c r="EO2" s="24"/>
      <c r="EP2" s="24"/>
    </row>
    <row r="3" spans="2:146">
      <c r="B3" s="6" t="s">
        <v>26</v>
      </c>
      <c r="C3" s="6" t="s">
        <v>1</v>
      </c>
      <c r="D3" s="6" t="s">
        <v>24</v>
      </c>
      <c r="E3" s="7" t="s">
        <v>30</v>
      </c>
      <c r="F3" s="6" t="s">
        <v>29</v>
      </c>
      <c r="G3" s="6" t="s">
        <v>31</v>
      </c>
      <c r="I3" s="7" t="s">
        <v>11</v>
      </c>
      <c r="J3" s="7" t="s">
        <v>2</v>
      </c>
      <c r="K3" s="7" t="s">
        <v>3</v>
      </c>
      <c r="L3" s="7" t="s">
        <v>12</v>
      </c>
      <c r="O3" s="6" t="s">
        <v>11</v>
      </c>
      <c r="P3" s="6" t="s">
        <v>2</v>
      </c>
      <c r="Q3" s="6" t="s">
        <v>32</v>
      </c>
      <c r="R3" s="6" t="s">
        <v>3</v>
      </c>
      <c r="S3" s="6" t="s">
        <v>32</v>
      </c>
      <c r="T3" s="6" t="s">
        <v>12</v>
      </c>
      <c r="V3" s="6" t="s">
        <v>11</v>
      </c>
      <c r="W3" s="6" t="s">
        <v>2</v>
      </c>
      <c r="X3" s="6" t="s">
        <v>32</v>
      </c>
      <c r="Y3" s="6" t="s">
        <v>3</v>
      </c>
      <c r="Z3" s="6" t="s">
        <v>32</v>
      </c>
      <c r="AA3" s="6" t="s">
        <v>12</v>
      </c>
      <c r="AC3" s="6" t="s">
        <v>11</v>
      </c>
      <c r="AD3" s="6" t="s">
        <v>2</v>
      </c>
      <c r="AE3" s="6" t="s">
        <v>32</v>
      </c>
      <c r="AF3" s="6" t="s">
        <v>3</v>
      </c>
      <c r="AG3" s="6" t="s">
        <v>32</v>
      </c>
      <c r="AH3" s="6" t="s">
        <v>12</v>
      </c>
      <c r="AJ3" s="6" t="s">
        <v>11</v>
      </c>
      <c r="AK3" s="6" t="s">
        <v>2</v>
      </c>
      <c r="AL3" s="6" t="s">
        <v>32</v>
      </c>
      <c r="AM3" s="6" t="s">
        <v>3</v>
      </c>
      <c r="AN3" s="6" t="s">
        <v>32</v>
      </c>
      <c r="AO3" s="6" t="s">
        <v>12</v>
      </c>
      <c r="AQ3" s="6" t="s">
        <v>11</v>
      </c>
      <c r="AR3" s="6" t="s">
        <v>2</v>
      </c>
      <c r="AS3" s="6" t="s">
        <v>32</v>
      </c>
      <c r="AT3" s="6" t="s">
        <v>3</v>
      </c>
      <c r="AU3" s="6" t="s">
        <v>32</v>
      </c>
      <c r="AV3" s="6" t="s">
        <v>12</v>
      </c>
      <c r="AX3" s="6" t="s">
        <v>11</v>
      </c>
      <c r="AY3" s="6" t="s">
        <v>2</v>
      </c>
      <c r="AZ3" s="6" t="s">
        <v>32</v>
      </c>
      <c r="BA3" s="6" t="s">
        <v>3</v>
      </c>
      <c r="BB3" s="6" t="s">
        <v>32</v>
      </c>
      <c r="BC3" s="6" t="s">
        <v>12</v>
      </c>
      <c r="BE3" s="6" t="s">
        <v>11</v>
      </c>
      <c r="BF3" s="6" t="s">
        <v>2</v>
      </c>
      <c r="BG3" s="6" t="s">
        <v>32</v>
      </c>
      <c r="BH3" s="6" t="s">
        <v>3</v>
      </c>
      <c r="BI3" s="6" t="s">
        <v>32</v>
      </c>
      <c r="BJ3" s="6" t="s">
        <v>12</v>
      </c>
      <c r="BL3" s="6" t="s">
        <v>11</v>
      </c>
      <c r="BM3" s="6" t="s">
        <v>2</v>
      </c>
      <c r="BN3" s="6" t="s">
        <v>32</v>
      </c>
      <c r="BO3" s="6" t="s">
        <v>3</v>
      </c>
      <c r="BP3" s="6" t="s">
        <v>32</v>
      </c>
      <c r="BQ3" s="6" t="s">
        <v>12</v>
      </c>
      <c r="BS3" s="6" t="s">
        <v>11</v>
      </c>
      <c r="BT3" s="6" t="s">
        <v>2</v>
      </c>
      <c r="BU3" s="6" t="s">
        <v>32</v>
      </c>
      <c r="BV3" s="6" t="s">
        <v>3</v>
      </c>
      <c r="BW3" s="6" t="s">
        <v>32</v>
      </c>
      <c r="BX3" s="6" t="s">
        <v>12</v>
      </c>
      <c r="BZ3" s="6" t="s">
        <v>11</v>
      </c>
      <c r="CA3" s="6" t="s">
        <v>2</v>
      </c>
      <c r="CB3" s="6" t="s">
        <v>32</v>
      </c>
      <c r="CC3" s="6" t="s">
        <v>3</v>
      </c>
      <c r="CD3" s="6" t="s">
        <v>32</v>
      </c>
      <c r="CE3" s="6" t="s">
        <v>12</v>
      </c>
      <c r="CG3" s="6" t="s">
        <v>11</v>
      </c>
      <c r="CH3" s="6" t="s">
        <v>2</v>
      </c>
      <c r="CI3" s="6" t="s">
        <v>32</v>
      </c>
      <c r="CJ3" s="6" t="s">
        <v>3</v>
      </c>
      <c r="CK3" s="6" t="s">
        <v>32</v>
      </c>
      <c r="CL3" s="6" t="s">
        <v>12</v>
      </c>
      <c r="CN3" s="6" t="s">
        <v>11</v>
      </c>
      <c r="CO3" s="6" t="s">
        <v>2</v>
      </c>
      <c r="CP3" s="6" t="s">
        <v>32</v>
      </c>
      <c r="CQ3" s="6" t="s">
        <v>3</v>
      </c>
      <c r="CR3" s="6" t="s">
        <v>32</v>
      </c>
      <c r="CS3" s="6" t="s">
        <v>12</v>
      </c>
      <c r="CU3" s="6" t="s">
        <v>11</v>
      </c>
      <c r="CV3" s="6" t="s">
        <v>2</v>
      </c>
      <c r="CW3" s="6" t="s">
        <v>32</v>
      </c>
      <c r="CX3" s="6" t="s">
        <v>3</v>
      </c>
      <c r="CY3" s="6" t="s">
        <v>32</v>
      </c>
      <c r="CZ3" s="6" t="s">
        <v>12</v>
      </c>
      <c r="DB3" s="6" t="s">
        <v>11</v>
      </c>
      <c r="DC3" s="6" t="s">
        <v>2</v>
      </c>
      <c r="DD3" s="6" t="s">
        <v>32</v>
      </c>
      <c r="DE3" s="6" t="s">
        <v>3</v>
      </c>
      <c r="DF3" s="6" t="s">
        <v>32</v>
      </c>
      <c r="DG3" s="6" t="s">
        <v>12</v>
      </c>
      <c r="DI3" s="6" t="s">
        <v>11</v>
      </c>
      <c r="DJ3" s="6" t="s">
        <v>2</v>
      </c>
      <c r="DK3" s="6" t="s">
        <v>32</v>
      </c>
      <c r="DL3" s="6" t="s">
        <v>3</v>
      </c>
      <c r="DM3" s="6" t="s">
        <v>32</v>
      </c>
      <c r="DN3" s="6" t="s">
        <v>12</v>
      </c>
      <c r="DP3" s="6" t="s">
        <v>11</v>
      </c>
      <c r="DQ3" s="6" t="s">
        <v>2</v>
      </c>
      <c r="DR3" s="6" t="s">
        <v>32</v>
      </c>
      <c r="DS3" s="6" t="s">
        <v>3</v>
      </c>
      <c r="DT3" s="6" t="s">
        <v>32</v>
      </c>
      <c r="DU3" s="6" t="s">
        <v>12</v>
      </c>
      <c r="DW3" s="6" t="s">
        <v>11</v>
      </c>
      <c r="DX3" s="6" t="s">
        <v>2</v>
      </c>
      <c r="DY3" s="6" t="s">
        <v>32</v>
      </c>
      <c r="DZ3" s="6" t="s">
        <v>3</v>
      </c>
      <c r="EA3" s="6" t="s">
        <v>32</v>
      </c>
      <c r="EB3" s="6" t="s">
        <v>12</v>
      </c>
      <c r="ED3" s="6" t="s">
        <v>11</v>
      </c>
      <c r="EE3" s="6" t="s">
        <v>2</v>
      </c>
      <c r="EF3" s="6" t="s">
        <v>32</v>
      </c>
      <c r="EG3" s="6" t="s">
        <v>3</v>
      </c>
      <c r="EH3" s="6" t="s">
        <v>32</v>
      </c>
      <c r="EI3" s="6" t="s">
        <v>12</v>
      </c>
      <c r="EK3" s="6" t="s">
        <v>11</v>
      </c>
      <c r="EL3" s="6" t="s">
        <v>2</v>
      </c>
      <c r="EM3" s="6" t="s">
        <v>32</v>
      </c>
      <c r="EN3" s="6" t="s">
        <v>3</v>
      </c>
      <c r="EO3" s="6" t="s">
        <v>32</v>
      </c>
      <c r="EP3" s="6" t="s">
        <v>12</v>
      </c>
    </row>
    <row r="4" spans="2:146">
      <c r="B4" t="s">
        <v>27</v>
      </c>
      <c r="C4" t="s">
        <v>87</v>
      </c>
      <c r="D4" s="22">
        <v>44605</v>
      </c>
      <c r="E4" s="11">
        <v>6</v>
      </c>
      <c r="G4" s="12">
        <f>+SUM(G5:G15)</f>
        <v>0.89999999999999991</v>
      </c>
      <c r="I4" s="14">
        <f>+SUM(I5:I15)</f>
        <v>0</v>
      </c>
      <c r="J4" s="13">
        <f>+SUMPRODUCT(G5:G15,J5:J15)</f>
        <v>0</v>
      </c>
      <c r="K4" s="13">
        <f>+SUMPRODUCT(G5:G15,K5:K15)</f>
        <v>0</v>
      </c>
      <c r="L4" s="11"/>
      <c r="O4" s="14">
        <f>+SUM(O5:O15)</f>
        <v>0</v>
      </c>
      <c r="V4" s="14">
        <f>+SUM(V5:V15)</f>
        <v>0</v>
      </c>
      <c r="AC4" s="14">
        <f>+SUM(AC5:AC15)</f>
        <v>0</v>
      </c>
      <c r="AJ4" s="14">
        <f>+SUM(AJ5:AJ15)</f>
        <v>0</v>
      </c>
      <c r="AQ4" s="14">
        <f>+SUM(AQ5:AQ15)</f>
        <v>0</v>
      </c>
      <c r="AX4" s="14">
        <f>+SUM(AX5:AX15)</f>
        <v>0</v>
      </c>
      <c r="BE4" s="14">
        <f>+SUM(BE5:BE15)</f>
        <v>0</v>
      </c>
      <c r="BL4" s="14">
        <f>+SUM(BL5:BL15)</f>
        <v>0</v>
      </c>
      <c r="BS4" s="14">
        <f>+SUM(BS5:BS15)</f>
        <v>0</v>
      </c>
      <c r="BZ4" s="14">
        <f>+SUM(BZ5:BZ15)</f>
        <v>0</v>
      </c>
      <c r="CG4" s="14">
        <f>+SUM(CG5:CG15)</f>
        <v>0</v>
      </c>
      <c r="CN4" s="14">
        <f>+SUM(CN5:CN15)</f>
        <v>0</v>
      </c>
      <c r="CU4" s="14">
        <f>+SUM(CU5:CU15)</f>
        <v>0</v>
      </c>
      <c r="DB4" s="14">
        <f>+SUM(DB5:DB15)</f>
        <v>0</v>
      </c>
      <c r="DI4" s="14">
        <f>+SUM(DI5:DI15)</f>
        <v>0</v>
      </c>
      <c r="DP4" s="14">
        <f>+SUM(DP5:DP15)</f>
        <v>0</v>
      </c>
      <c r="DW4" s="14">
        <f>+SUM(DW5:DW15)</f>
        <v>0</v>
      </c>
      <c r="ED4" s="14">
        <f>+SUM(ED5:ED15)</f>
        <v>0</v>
      </c>
      <c r="EK4" s="14">
        <f>+SUM(EK5:EK15)</f>
        <v>0</v>
      </c>
    </row>
    <row r="5" spans="2:146" ht="15.75" customHeight="1" outlineLevel="1">
      <c r="B5" t="s">
        <v>28</v>
      </c>
      <c r="C5" t="s">
        <v>92</v>
      </c>
      <c r="E5" s="11"/>
      <c r="F5" t="s">
        <v>145</v>
      </c>
      <c r="G5" s="12">
        <v>0.1</v>
      </c>
      <c r="I5" s="11">
        <f>+SUMIF($N$3:$YD$3,I$3,$N5:$YD5)</f>
        <v>0</v>
      </c>
      <c r="J5" s="13" cm="1">
        <f t="array" ref="J5">MAX(IF($N$3:$DN$3=$J$3,N5:DN5))</f>
        <v>0</v>
      </c>
      <c r="K5" s="13" cm="1">
        <f t="array" ref="K5">MAX(IF($N$3:$DN$3=$J$3,N5:DN5))</f>
        <v>0</v>
      </c>
      <c r="L5" s="11"/>
      <c r="P5" s="12"/>
      <c r="Q5" s="12">
        <v>0.5</v>
      </c>
      <c r="R5" s="12"/>
      <c r="S5" s="12">
        <v>0.5</v>
      </c>
      <c r="W5" s="12"/>
      <c r="X5" s="12">
        <v>0.5</v>
      </c>
      <c r="Y5" s="12"/>
      <c r="Z5" s="12">
        <v>0.5</v>
      </c>
      <c r="AD5" s="12"/>
      <c r="AE5" s="12">
        <v>0.5</v>
      </c>
      <c r="AF5" s="12"/>
      <c r="AG5" s="12">
        <v>0.5</v>
      </c>
      <c r="AK5" s="12"/>
      <c r="AL5" s="12">
        <v>0.5</v>
      </c>
      <c r="AM5" s="12"/>
      <c r="AN5" s="12">
        <v>0.5</v>
      </c>
      <c r="AR5" s="12"/>
      <c r="AS5" s="12">
        <v>0.8</v>
      </c>
      <c r="AT5" s="12"/>
      <c r="AU5" s="12">
        <v>0.8</v>
      </c>
      <c r="AY5" s="12"/>
      <c r="AZ5" s="12">
        <v>0.8</v>
      </c>
      <c r="BA5" s="12"/>
      <c r="BB5" s="12">
        <v>0.8</v>
      </c>
      <c r="BF5" s="12"/>
      <c r="BG5" s="12">
        <v>0.8</v>
      </c>
      <c r="BH5" s="12"/>
      <c r="BI5" s="12">
        <v>0.8</v>
      </c>
      <c r="BM5" s="12"/>
      <c r="BN5" s="12">
        <v>0.8</v>
      </c>
      <c r="BO5" s="12"/>
      <c r="BP5" s="12">
        <v>0.8</v>
      </c>
      <c r="BT5" s="12"/>
      <c r="BU5" s="12">
        <v>0.8</v>
      </c>
      <c r="BV5" s="12"/>
      <c r="BW5" s="12">
        <v>0.8</v>
      </c>
      <c r="CA5" s="12"/>
      <c r="CB5" s="12">
        <v>1</v>
      </c>
      <c r="CC5" s="12"/>
      <c r="CD5" s="12">
        <v>1</v>
      </c>
      <c r="CH5" s="12"/>
      <c r="CI5" s="12">
        <v>1</v>
      </c>
      <c r="CJ5" s="12"/>
      <c r="CK5" s="12">
        <v>1</v>
      </c>
      <c r="CO5" s="12"/>
      <c r="CP5" s="12">
        <v>1</v>
      </c>
      <c r="CQ5" s="12"/>
      <c r="CR5" s="12">
        <v>1</v>
      </c>
      <c r="CV5" s="12"/>
      <c r="CW5" s="12">
        <v>1</v>
      </c>
      <c r="CX5" s="12"/>
      <c r="CY5" s="12">
        <v>1</v>
      </c>
      <c r="DC5" s="12"/>
      <c r="DD5" s="12">
        <v>1</v>
      </c>
      <c r="DE5" s="12"/>
      <c r="DF5" s="12">
        <v>1</v>
      </c>
      <c r="DJ5" s="12"/>
      <c r="DK5" s="12">
        <v>1</v>
      </c>
      <c r="DL5" s="12"/>
      <c r="DM5" s="12">
        <v>1</v>
      </c>
      <c r="DQ5" s="12"/>
      <c r="DR5" s="12"/>
      <c r="DS5" s="12"/>
      <c r="DT5" s="12"/>
      <c r="DX5" s="12"/>
      <c r="DY5" s="12"/>
      <c r="DZ5" s="12"/>
      <c r="EA5" s="12"/>
      <c r="EE5" s="12"/>
      <c r="EF5" s="23"/>
      <c r="EG5" s="12"/>
      <c r="EH5" s="12"/>
      <c r="EL5" s="12"/>
      <c r="EM5" s="12"/>
      <c r="EN5" s="12"/>
      <c r="EO5" s="12"/>
    </row>
    <row r="6" spans="2:146" ht="15.75" customHeight="1" outlineLevel="1">
      <c r="B6" t="s">
        <v>28</v>
      </c>
      <c r="C6" t="s">
        <v>92</v>
      </c>
      <c r="E6" s="11"/>
      <c r="F6" t="s">
        <v>146</v>
      </c>
      <c r="G6" s="12">
        <v>0.05</v>
      </c>
      <c r="I6" s="11">
        <f>+SUMIF($N$3:$YD$3,I$3,$N6:$YD6)</f>
        <v>0</v>
      </c>
      <c r="J6" s="13" cm="1">
        <f t="array" ref="J6">MAX(IF($N$3:$DN$3=$J$3,N6:DN6))</f>
        <v>0</v>
      </c>
      <c r="K6" s="13" cm="1">
        <f t="array" ref="K6">MAX(IF($N$3:$DN$3=$J$3,N6:DN6))</f>
        <v>0</v>
      </c>
      <c r="L6" s="11"/>
      <c r="P6" s="12"/>
      <c r="Q6" s="12">
        <v>0.5</v>
      </c>
      <c r="R6" s="12"/>
      <c r="S6" s="12">
        <v>0.5</v>
      </c>
      <c r="W6" s="12"/>
      <c r="X6" s="12">
        <v>0.5</v>
      </c>
      <c r="Y6" s="12"/>
      <c r="Z6" s="12">
        <v>0.5</v>
      </c>
      <c r="AD6" s="12"/>
      <c r="AE6" s="12">
        <v>0.5</v>
      </c>
      <c r="AF6" s="12"/>
      <c r="AG6" s="12">
        <v>0.5</v>
      </c>
      <c r="AK6" s="12"/>
      <c r="AL6" s="12">
        <v>0.5</v>
      </c>
      <c r="AM6" s="12"/>
      <c r="AN6" s="12">
        <v>0.5</v>
      </c>
      <c r="AR6" s="12"/>
      <c r="AS6" s="12">
        <v>0.8</v>
      </c>
      <c r="AT6" s="12"/>
      <c r="AU6" s="12">
        <v>0.8</v>
      </c>
      <c r="AY6" s="12"/>
      <c r="AZ6" s="12">
        <v>0.8</v>
      </c>
      <c r="BA6" s="12"/>
      <c r="BB6" s="12">
        <v>0.8</v>
      </c>
      <c r="BF6" s="12"/>
      <c r="BG6" s="12">
        <v>0.8</v>
      </c>
      <c r="BH6" s="12"/>
      <c r="BI6" s="12">
        <v>0.8</v>
      </c>
      <c r="BM6" s="12"/>
      <c r="BN6" s="12">
        <v>0.8</v>
      </c>
      <c r="BO6" s="12"/>
      <c r="BP6" s="12">
        <v>0.8</v>
      </c>
      <c r="BT6" s="12"/>
      <c r="BU6" s="12">
        <v>0.8</v>
      </c>
      <c r="BV6" s="12"/>
      <c r="BW6" s="12">
        <v>0.8</v>
      </c>
      <c r="CA6" s="12"/>
      <c r="CB6" s="12">
        <v>0.8</v>
      </c>
      <c r="CC6" s="12"/>
      <c r="CD6" s="12">
        <v>0.8</v>
      </c>
      <c r="CH6" s="12"/>
      <c r="CI6" s="12">
        <v>1</v>
      </c>
      <c r="CJ6" s="12"/>
      <c r="CK6" s="12">
        <v>1</v>
      </c>
      <c r="CO6" s="12"/>
      <c r="CP6" s="12">
        <v>1</v>
      </c>
      <c r="CQ6" s="12"/>
      <c r="CR6" s="12">
        <v>1</v>
      </c>
      <c r="CV6" s="12"/>
      <c r="CW6" s="12">
        <v>1</v>
      </c>
      <c r="CX6" s="12"/>
      <c r="CY6" s="12">
        <v>1</v>
      </c>
      <c r="DC6" s="12"/>
      <c r="DD6" s="12">
        <v>1</v>
      </c>
      <c r="DE6" s="12"/>
      <c r="DF6" s="12">
        <v>1</v>
      </c>
      <c r="DJ6" s="12"/>
      <c r="DK6" s="12">
        <v>1</v>
      </c>
      <c r="DL6" s="12"/>
      <c r="DM6" s="12">
        <v>1</v>
      </c>
      <c r="DQ6" s="12"/>
      <c r="DR6" s="12"/>
      <c r="DS6" s="12"/>
      <c r="DT6" s="12"/>
      <c r="DX6" s="12"/>
      <c r="DY6" s="12"/>
      <c r="DZ6" s="12"/>
      <c r="EA6" s="12"/>
      <c r="EE6" s="12"/>
      <c r="EF6" s="23"/>
      <c r="EG6" s="12"/>
      <c r="EH6" s="12"/>
      <c r="EL6" s="12"/>
      <c r="EM6" s="12"/>
      <c r="EN6" s="12"/>
      <c r="EO6" s="12"/>
    </row>
    <row r="7" spans="2:146" ht="15.75" customHeight="1" outlineLevel="1">
      <c r="B7" t="s">
        <v>28</v>
      </c>
      <c r="C7" t="s">
        <v>92</v>
      </c>
      <c r="E7" s="11"/>
      <c r="F7" t="s">
        <v>147</v>
      </c>
      <c r="G7" s="12">
        <v>0.05</v>
      </c>
      <c r="I7" s="11">
        <f>+SUMIF($N$3:$YD$3,I$3,$N7:$YD7)</f>
        <v>0</v>
      </c>
      <c r="J7" s="13" cm="1">
        <f t="array" ref="J7">MAX(IF($N$3:$DN$3=$J$3,N7:DN7))</f>
        <v>0</v>
      </c>
      <c r="K7" s="13" cm="1">
        <f t="array" ref="K7">MAX(IF($N$3:$DN$3=$J$3,N7:DN7))</f>
        <v>0</v>
      </c>
      <c r="L7" s="11"/>
      <c r="P7" s="12"/>
      <c r="Q7" s="12">
        <v>0.5</v>
      </c>
      <c r="R7" s="12"/>
      <c r="S7" s="12">
        <v>0.5</v>
      </c>
      <c r="W7" s="12"/>
      <c r="X7" s="12">
        <v>0.5</v>
      </c>
      <c r="Y7" s="12"/>
      <c r="Z7" s="12">
        <v>0.5</v>
      </c>
      <c r="AD7" s="12"/>
      <c r="AE7" s="12">
        <v>0.5</v>
      </c>
      <c r="AF7" s="12"/>
      <c r="AG7" s="12">
        <v>0.5</v>
      </c>
      <c r="AK7" s="12"/>
      <c r="AL7" s="12">
        <v>0.5</v>
      </c>
      <c r="AM7" s="12"/>
      <c r="AN7" s="12">
        <v>0.5</v>
      </c>
      <c r="AR7" s="12"/>
      <c r="AS7" s="12">
        <v>0.5</v>
      </c>
      <c r="AT7" s="12"/>
      <c r="AU7" s="12">
        <v>0.5</v>
      </c>
      <c r="AY7" s="12"/>
      <c r="AZ7" s="12">
        <v>0.8</v>
      </c>
      <c r="BA7" s="12"/>
      <c r="BB7" s="12">
        <v>0.8</v>
      </c>
      <c r="BF7" s="12"/>
      <c r="BG7" s="12">
        <v>0.8</v>
      </c>
      <c r="BH7" s="12"/>
      <c r="BI7" s="12">
        <v>0.8</v>
      </c>
      <c r="BM7" s="12"/>
      <c r="BN7" s="12">
        <v>0.8</v>
      </c>
      <c r="BO7" s="12"/>
      <c r="BP7" s="12">
        <v>0.8</v>
      </c>
      <c r="BT7" s="12"/>
      <c r="BU7" s="12">
        <v>0.8</v>
      </c>
      <c r="BV7" s="12"/>
      <c r="BW7" s="12">
        <v>0.8</v>
      </c>
      <c r="CA7" s="12"/>
      <c r="CB7" s="12">
        <v>0.8</v>
      </c>
      <c r="CC7" s="12"/>
      <c r="CD7" s="12">
        <v>0.8</v>
      </c>
      <c r="CH7" s="12"/>
      <c r="CI7" s="12">
        <v>1</v>
      </c>
      <c r="CJ7" s="12"/>
      <c r="CK7" s="12">
        <v>1</v>
      </c>
      <c r="CO7" s="12"/>
      <c r="CP7" s="12">
        <v>1</v>
      </c>
      <c r="CQ7" s="12"/>
      <c r="CR7" s="12">
        <v>1</v>
      </c>
      <c r="CV7" s="12"/>
      <c r="CW7" s="12">
        <v>1</v>
      </c>
      <c r="CX7" s="12"/>
      <c r="CY7" s="12">
        <v>1</v>
      </c>
      <c r="DC7" s="12"/>
      <c r="DD7" s="12">
        <v>1</v>
      </c>
      <c r="DE7" s="12"/>
      <c r="DF7" s="12">
        <v>1</v>
      </c>
      <c r="DJ7" s="12"/>
      <c r="DK7" s="12">
        <v>1</v>
      </c>
      <c r="DL7" s="12"/>
      <c r="DM7" s="12">
        <v>1</v>
      </c>
      <c r="DQ7" s="12"/>
      <c r="DR7" s="12"/>
      <c r="DS7" s="12"/>
      <c r="DT7" s="12"/>
      <c r="DX7" s="12"/>
      <c r="DY7" s="12"/>
      <c r="DZ7" s="12"/>
      <c r="EA7" s="12"/>
      <c r="EE7" s="12"/>
      <c r="EF7" s="23"/>
      <c r="EG7" s="12"/>
      <c r="EH7" s="12"/>
      <c r="EL7" s="12"/>
      <c r="EM7" s="12"/>
      <c r="EN7" s="12"/>
      <c r="EO7" s="12"/>
    </row>
    <row r="8" spans="2:146" ht="15.75" customHeight="1" outlineLevel="1">
      <c r="B8" t="s">
        <v>28</v>
      </c>
      <c r="C8" t="s">
        <v>92</v>
      </c>
      <c r="E8" s="11"/>
      <c r="F8" t="s">
        <v>94</v>
      </c>
      <c r="G8" s="12">
        <v>0.05</v>
      </c>
      <c r="I8" s="11">
        <f>+SUMIF($N$3:$YD$3,I$3,$N8:$YD8)</f>
        <v>0</v>
      </c>
      <c r="J8" s="13" cm="1">
        <f t="array" ref="J8">MAX(IF($N$3:$DN$3=$J$3,N8:DN8))</f>
        <v>0</v>
      </c>
      <c r="K8" s="13" cm="1">
        <f t="array" ref="K8">MAX(IF($N$3:$DN$3=$J$3,N8:DN8))</f>
        <v>0</v>
      </c>
      <c r="L8" s="11"/>
      <c r="P8" s="12"/>
      <c r="Q8" s="12">
        <v>0.5</v>
      </c>
      <c r="R8" s="12"/>
      <c r="S8" s="12">
        <v>0.5</v>
      </c>
      <c r="W8" s="12"/>
      <c r="X8" s="12">
        <v>0.5</v>
      </c>
      <c r="Y8" s="12"/>
      <c r="Z8" s="12">
        <v>0.5</v>
      </c>
      <c r="AD8" s="12"/>
      <c r="AE8" s="12">
        <v>0.5</v>
      </c>
      <c r="AF8" s="12"/>
      <c r="AG8" s="12">
        <v>0.5</v>
      </c>
      <c r="AK8" s="12"/>
      <c r="AL8" s="12">
        <v>0.5</v>
      </c>
      <c r="AM8" s="12"/>
      <c r="AN8" s="12">
        <v>0.5</v>
      </c>
      <c r="AR8" s="12"/>
      <c r="AS8" s="12">
        <v>0.5</v>
      </c>
      <c r="AT8" s="12"/>
      <c r="AU8" s="12">
        <v>0.5</v>
      </c>
      <c r="AY8" s="12"/>
      <c r="AZ8" s="12">
        <v>0.8</v>
      </c>
      <c r="BA8" s="12"/>
      <c r="BB8" s="12">
        <v>0.8</v>
      </c>
      <c r="BF8" s="12"/>
      <c r="BG8" s="12">
        <v>0.8</v>
      </c>
      <c r="BH8" s="12"/>
      <c r="BI8" s="12">
        <v>0.8</v>
      </c>
      <c r="BM8" s="12"/>
      <c r="BN8" s="12">
        <v>0.8</v>
      </c>
      <c r="BO8" s="12"/>
      <c r="BP8" s="12">
        <v>0.8</v>
      </c>
      <c r="BT8" s="12"/>
      <c r="BU8" s="12">
        <v>0.8</v>
      </c>
      <c r="BV8" s="12"/>
      <c r="BW8" s="12">
        <v>0.8</v>
      </c>
      <c r="CA8" s="12"/>
      <c r="CB8" s="12">
        <v>0.8</v>
      </c>
      <c r="CC8" s="12"/>
      <c r="CD8" s="12">
        <v>0.8</v>
      </c>
      <c r="CH8" s="12"/>
      <c r="CI8" s="12">
        <v>0.8</v>
      </c>
      <c r="CJ8" s="12"/>
      <c r="CK8" s="12">
        <v>0.8</v>
      </c>
      <c r="CO8" s="12"/>
      <c r="CP8" s="12">
        <v>1</v>
      </c>
      <c r="CQ8" s="12"/>
      <c r="CR8" s="12">
        <v>1</v>
      </c>
      <c r="CV8" s="12"/>
      <c r="CW8" s="12">
        <v>1</v>
      </c>
      <c r="CX8" s="12"/>
      <c r="CY8" s="12">
        <v>1</v>
      </c>
      <c r="DC8" s="12"/>
      <c r="DD8" s="12">
        <v>1</v>
      </c>
      <c r="DE8" s="12"/>
      <c r="DF8" s="12">
        <v>1</v>
      </c>
      <c r="DJ8" s="12"/>
      <c r="DK8" s="12">
        <v>1</v>
      </c>
      <c r="DL8" s="12"/>
      <c r="DM8" s="12">
        <v>1</v>
      </c>
      <c r="DQ8" s="12"/>
      <c r="DR8" s="12"/>
      <c r="DS8" s="12"/>
      <c r="DT8" s="12"/>
      <c r="DX8" s="12"/>
      <c r="DY8" s="12"/>
      <c r="DZ8" s="12"/>
      <c r="EA8" s="12"/>
      <c r="EE8" s="12"/>
      <c r="EF8" s="23"/>
      <c r="EG8" s="12"/>
      <c r="EH8" s="12"/>
      <c r="EL8" s="12"/>
      <c r="EM8" s="12"/>
      <c r="EN8" s="12"/>
      <c r="EO8" s="12"/>
    </row>
    <row r="9" spans="2:146" ht="15.75" customHeight="1" outlineLevel="1">
      <c r="B9" t="s">
        <v>28</v>
      </c>
      <c r="C9" t="s">
        <v>93</v>
      </c>
      <c r="E9" s="11"/>
      <c r="F9" t="s">
        <v>148</v>
      </c>
      <c r="G9" s="12">
        <v>0.05</v>
      </c>
      <c r="I9" s="11">
        <f>+SUMIF($N$3:$YD$3,I$3,$N9:$YD9)</f>
        <v>0</v>
      </c>
      <c r="J9" s="13" cm="1">
        <f t="array" ref="J9">MAX(IF($N$3:$DN$3=$J$3,N9:DN9))</f>
        <v>0</v>
      </c>
      <c r="K9" s="13" cm="1">
        <f t="array" ref="K9">MAX(IF($N$3:$DN$3=$J$3,N9:DN9))</f>
        <v>0</v>
      </c>
      <c r="L9" s="11"/>
      <c r="P9" s="12"/>
      <c r="Q9" s="12">
        <v>0.5</v>
      </c>
      <c r="R9" s="12"/>
      <c r="S9" s="12">
        <v>0.5</v>
      </c>
      <c r="W9" s="12"/>
      <c r="X9" s="12">
        <v>0.5</v>
      </c>
      <c r="Y9" s="12"/>
      <c r="Z9" s="12">
        <v>0.5</v>
      </c>
      <c r="AD9" s="12"/>
      <c r="AE9" s="12">
        <v>0.5</v>
      </c>
      <c r="AF9" s="12"/>
      <c r="AG9" s="12">
        <v>0.5</v>
      </c>
      <c r="AK9" s="12"/>
      <c r="AL9" s="12">
        <v>0.5</v>
      </c>
      <c r="AM9" s="12"/>
      <c r="AN9" s="12">
        <v>0.5</v>
      </c>
      <c r="AR9" s="12"/>
      <c r="AS9" s="12">
        <v>0.5</v>
      </c>
      <c r="AT9" s="12"/>
      <c r="AU9" s="12">
        <v>0.5</v>
      </c>
      <c r="AY9" s="12"/>
      <c r="AZ9" s="12">
        <v>0.5</v>
      </c>
      <c r="BA9" s="12"/>
      <c r="BB9" s="12">
        <v>0.5</v>
      </c>
      <c r="BF9" s="12"/>
      <c r="BG9" s="12">
        <v>0.8</v>
      </c>
      <c r="BH9" s="12"/>
      <c r="BI9" s="12">
        <v>0.8</v>
      </c>
      <c r="BM9" s="12"/>
      <c r="BN9" s="12">
        <v>0.8</v>
      </c>
      <c r="BO9" s="12"/>
      <c r="BP9" s="12">
        <v>0.8</v>
      </c>
      <c r="BT9" s="12"/>
      <c r="BU9" s="12">
        <v>0.8</v>
      </c>
      <c r="BV9" s="12"/>
      <c r="BW9" s="12">
        <v>0.8</v>
      </c>
      <c r="CA9" s="12"/>
      <c r="CB9" s="12">
        <v>0.8</v>
      </c>
      <c r="CC9" s="12"/>
      <c r="CD9" s="12">
        <v>0.8</v>
      </c>
      <c r="CH9" s="12"/>
      <c r="CI9" s="12">
        <v>0.8</v>
      </c>
      <c r="CJ9" s="12"/>
      <c r="CK9" s="12">
        <v>0.8</v>
      </c>
      <c r="CO9" s="12"/>
      <c r="CP9" s="12">
        <v>1</v>
      </c>
      <c r="CQ9" s="12"/>
      <c r="CR9" s="12">
        <v>1</v>
      </c>
      <c r="CV9" s="12"/>
      <c r="CW9" s="12">
        <v>1</v>
      </c>
      <c r="CX9" s="12"/>
      <c r="CY9" s="12">
        <v>1</v>
      </c>
      <c r="DC9" s="12"/>
      <c r="DD9" s="12">
        <v>1</v>
      </c>
      <c r="DE9" s="12"/>
      <c r="DF9" s="12">
        <v>1</v>
      </c>
      <c r="DJ9" s="12"/>
      <c r="DK9" s="12">
        <v>1</v>
      </c>
      <c r="DL9" s="12"/>
      <c r="DM9" s="12">
        <v>1</v>
      </c>
      <c r="DQ9" s="12"/>
      <c r="DR9" s="12"/>
      <c r="DS9" s="12"/>
      <c r="DT9" s="12"/>
      <c r="DX9" s="12"/>
      <c r="DY9" s="12"/>
      <c r="DZ9" s="12"/>
      <c r="EA9" s="12"/>
      <c r="EE9" s="12"/>
      <c r="EF9" s="23"/>
      <c r="EG9" s="12"/>
      <c r="EH9" s="12"/>
      <c r="EL9" s="12"/>
      <c r="EM9" s="12"/>
      <c r="EN9" s="12"/>
      <c r="EO9" s="12"/>
    </row>
    <row r="10" spans="2:146" ht="15.75" customHeight="1" outlineLevel="1">
      <c r="B10" t="s">
        <v>28</v>
      </c>
      <c r="C10" t="s">
        <v>93</v>
      </c>
      <c r="E10" s="11"/>
      <c r="F10" t="s">
        <v>149</v>
      </c>
      <c r="G10" s="12">
        <v>0.1</v>
      </c>
      <c r="I10" s="11">
        <f>+SUMIF($N$3:$YD$3,I$3,$N10:$YD10)</f>
        <v>0</v>
      </c>
      <c r="J10" s="13" cm="1">
        <f t="array" ref="J10">MAX(IF($N$3:$DN$3=$J$3,N10:DN10))</f>
        <v>0</v>
      </c>
      <c r="K10" s="13" cm="1">
        <f t="array" ref="K10">MAX(IF($N$3:$DN$3=$J$3,N10:DN10))</f>
        <v>0</v>
      </c>
      <c r="L10" s="11"/>
      <c r="P10" s="12"/>
      <c r="Q10" s="12"/>
      <c r="R10" s="12"/>
      <c r="S10" s="12"/>
      <c r="W10" s="12"/>
      <c r="X10" s="12">
        <v>0.5</v>
      </c>
      <c r="Y10" s="12"/>
      <c r="Z10" s="12">
        <v>0.5</v>
      </c>
      <c r="AD10" s="12"/>
      <c r="AE10" s="12">
        <v>0.5</v>
      </c>
      <c r="AF10" s="12"/>
      <c r="AG10" s="12">
        <v>0.5</v>
      </c>
      <c r="AK10" s="12"/>
      <c r="AL10" s="12">
        <v>0.5</v>
      </c>
      <c r="AM10" s="12"/>
      <c r="AN10" s="12">
        <v>0.5</v>
      </c>
      <c r="AR10" s="12"/>
      <c r="AS10" s="12">
        <v>0.5</v>
      </c>
      <c r="AT10" s="12"/>
      <c r="AU10" s="12">
        <v>0.5</v>
      </c>
      <c r="AY10" s="12"/>
      <c r="AZ10" s="12">
        <v>0.5</v>
      </c>
      <c r="BA10" s="12"/>
      <c r="BB10" s="12">
        <v>0.5</v>
      </c>
      <c r="BF10" s="12"/>
      <c r="BG10" s="12">
        <v>0.8</v>
      </c>
      <c r="BH10" s="12"/>
      <c r="BI10" s="12">
        <v>0.8</v>
      </c>
      <c r="BM10" s="12"/>
      <c r="BN10" s="12">
        <v>0.8</v>
      </c>
      <c r="BO10" s="12"/>
      <c r="BP10" s="12">
        <v>0.8</v>
      </c>
      <c r="BT10" s="12"/>
      <c r="BU10" s="12">
        <v>0.8</v>
      </c>
      <c r="BV10" s="12"/>
      <c r="BW10" s="12">
        <v>0.8</v>
      </c>
      <c r="CA10" s="12"/>
      <c r="CB10" s="12">
        <v>0.8</v>
      </c>
      <c r="CC10" s="12"/>
      <c r="CD10" s="12">
        <v>0.8</v>
      </c>
      <c r="CH10" s="12"/>
      <c r="CI10" s="12">
        <v>0.8</v>
      </c>
      <c r="CJ10" s="12"/>
      <c r="CK10" s="12">
        <v>0.8</v>
      </c>
      <c r="CO10" s="12"/>
      <c r="CP10" s="12">
        <v>0.8</v>
      </c>
      <c r="CQ10" s="12"/>
      <c r="CR10" s="12">
        <v>0.8</v>
      </c>
      <c r="CV10" s="12"/>
      <c r="CW10" s="12">
        <v>1</v>
      </c>
      <c r="CX10" s="12"/>
      <c r="CY10" s="12">
        <v>1</v>
      </c>
      <c r="DC10" s="12"/>
      <c r="DD10" s="12">
        <v>1</v>
      </c>
      <c r="DE10" s="12"/>
      <c r="DF10" s="12">
        <v>1</v>
      </c>
      <c r="DJ10" s="12"/>
      <c r="DK10" s="12">
        <v>1</v>
      </c>
      <c r="DL10" s="12"/>
      <c r="DM10" s="12">
        <v>1</v>
      </c>
      <c r="DQ10" s="12"/>
      <c r="DR10" s="12"/>
      <c r="DS10" s="12"/>
      <c r="DT10" s="12"/>
      <c r="DX10" s="12"/>
      <c r="DY10" s="12"/>
      <c r="DZ10" s="12"/>
      <c r="EA10" s="12"/>
      <c r="EE10" s="12"/>
      <c r="EF10" s="23"/>
      <c r="EG10" s="12"/>
      <c r="EH10" s="12"/>
      <c r="EL10" s="12"/>
      <c r="EM10" s="12"/>
      <c r="EN10" s="12"/>
      <c r="EO10" s="12"/>
    </row>
    <row r="11" spans="2:146" ht="15.75" customHeight="1" outlineLevel="1">
      <c r="B11" t="s">
        <v>28</v>
      </c>
      <c r="C11" t="s">
        <v>93</v>
      </c>
      <c r="E11" s="11"/>
      <c r="F11" t="s">
        <v>150</v>
      </c>
      <c r="G11" s="12">
        <v>0.1</v>
      </c>
      <c r="I11" s="11">
        <f>+SUMIF($N$3:$YD$3,I$3,$N11:$YD11)</f>
        <v>0</v>
      </c>
      <c r="J11" s="13" cm="1">
        <f t="array" ref="J11">MAX(IF($N$3:$DN$3=$J$3,N11:DN11))</f>
        <v>0</v>
      </c>
      <c r="K11" s="13" cm="1">
        <f t="array" ref="K11">MAX(IF($N$3:$DN$3=$J$3,N11:DN11))</f>
        <v>0</v>
      </c>
      <c r="L11" s="11"/>
      <c r="P11" s="12"/>
      <c r="Q11" s="12"/>
      <c r="R11" s="12"/>
      <c r="S11" s="12"/>
      <c r="W11" s="12"/>
      <c r="X11" s="12">
        <v>0.5</v>
      </c>
      <c r="Y11" s="12"/>
      <c r="Z11" s="12">
        <v>0.5</v>
      </c>
      <c r="AD11" s="12"/>
      <c r="AE11" s="12">
        <v>0.5</v>
      </c>
      <c r="AF11" s="12"/>
      <c r="AG11" s="12">
        <v>0.5</v>
      </c>
      <c r="AK11" s="12"/>
      <c r="AL11" s="12">
        <v>0.5</v>
      </c>
      <c r="AM11" s="12"/>
      <c r="AN11" s="12">
        <v>0.5</v>
      </c>
      <c r="AR11" s="12"/>
      <c r="AS11" s="12">
        <v>0.5</v>
      </c>
      <c r="AT11" s="12"/>
      <c r="AU11" s="12">
        <v>0.5</v>
      </c>
      <c r="AY11" s="12"/>
      <c r="AZ11" s="12">
        <v>0.5</v>
      </c>
      <c r="BA11" s="12"/>
      <c r="BB11" s="12">
        <v>0.5</v>
      </c>
      <c r="BF11" s="12"/>
      <c r="BG11" s="12">
        <v>0.5</v>
      </c>
      <c r="BH11" s="12"/>
      <c r="BI11" s="12">
        <v>0.5</v>
      </c>
      <c r="BM11" s="12"/>
      <c r="BN11" s="12">
        <v>0.8</v>
      </c>
      <c r="BO11" s="12"/>
      <c r="BP11" s="12">
        <v>0.8</v>
      </c>
      <c r="BT11" s="12"/>
      <c r="BU11" s="12">
        <v>0.8</v>
      </c>
      <c r="BV11" s="12"/>
      <c r="BW11" s="12">
        <v>0.8</v>
      </c>
      <c r="CA11" s="12"/>
      <c r="CB11" s="12">
        <v>0.8</v>
      </c>
      <c r="CC11" s="12"/>
      <c r="CD11" s="12">
        <v>0.8</v>
      </c>
      <c r="CH11" s="12"/>
      <c r="CI11" s="12">
        <v>0.8</v>
      </c>
      <c r="CJ11" s="12"/>
      <c r="CK11" s="12">
        <v>0.8</v>
      </c>
      <c r="CO11" s="12"/>
      <c r="CP11" s="12">
        <v>0.8</v>
      </c>
      <c r="CQ11" s="12"/>
      <c r="CR11" s="12">
        <v>0.8</v>
      </c>
      <c r="CV11" s="12"/>
      <c r="CW11" s="12">
        <v>1</v>
      </c>
      <c r="CX11" s="12"/>
      <c r="CY11" s="12">
        <v>1</v>
      </c>
      <c r="DC11" s="12"/>
      <c r="DD11" s="12">
        <v>1</v>
      </c>
      <c r="DE11" s="12"/>
      <c r="DF11" s="12">
        <v>1</v>
      </c>
      <c r="DJ11" s="12"/>
      <c r="DK11" s="12">
        <v>1</v>
      </c>
      <c r="DL11" s="12"/>
      <c r="DM11" s="12">
        <v>1</v>
      </c>
      <c r="DQ11" s="12"/>
      <c r="DR11" s="12"/>
      <c r="DS11" s="12"/>
      <c r="DT11" s="12"/>
      <c r="DX11" s="12"/>
      <c r="DY11" s="12"/>
      <c r="DZ11" s="12"/>
      <c r="EA11" s="12"/>
      <c r="EE11" s="12"/>
      <c r="EF11" s="23"/>
      <c r="EG11" s="12"/>
      <c r="EH11" s="12"/>
      <c r="EL11" s="12"/>
      <c r="EM11" s="12"/>
      <c r="EN11" s="12"/>
      <c r="EO11" s="12"/>
    </row>
    <row r="12" spans="2:146" ht="15.75" customHeight="1" outlineLevel="1">
      <c r="B12" t="s">
        <v>28</v>
      </c>
      <c r="C12" t="s">
        <v>93</v>
      </c>
      <c r="E12" s="11"/>
      <c r="F12" t="s">
        <v>151</v>
      </c>
      <c r="G12" s="12">
        <v>0.1</v>
      </c>
      <c r="I12" s="11">
        <f>+SUMIF($N$3:$YD$3,I$3,$N12:$YD12)</f>
        <v>0</v>
      </c>
      <c r="J12" s="13" cm="1">
        <f t="array" ref="J12">MAX(IF($N$3:$DN$3=$J$3,N12:DN12))</f>
        <v>0</v>
      </c>
      <c r="K12" s="13" cm="1">
        <f t="array" ref="K12">MAX(IF($N$3:$DN$3=$J$3,N12:DN12))</f>
        <v>0</v>
      </c>
      <c r="L12" s="11"/>
      <c r="P12" s="12"/>
      <c r="Q12" s="12"/>
      <c r="R12" s="12"/>
      <c r="S12" s="12"/>
      <c r="W12" s="12"/>
      <c r="X12" s="12"/>
      <c r="Y12" s="12"/>
      <c r="Z12" s="12"/>
      <c r="AD12" s="12"/>
      <c r="AE12" s="12">
        <v>0.5</v>
      </c>
      <c r="AF12" s="12"/>
      <c r="AG12" s="12">
        <v>0.5</v>
      </c>
      <c r="AK12" s="12"/>
      <c r="AL12" s="12">
        <v>0.5</v>
      </c>
      <c r="AM12" s="12"/>
      <c r="AN12" s="12">
        <v>0.5</v>
      </c>
      <c r="AR12" s="12"/>
      <c r="AS12" s="12">
        <v>0.5</v>
      </c>
      <c r="AT12" s="12"/>
      <c r="AU12" s="12">
        <v>0.5</v>
      </c>
      <c r="AY12" s="12"/>
      <c r="AZ12" s="12">
        <v>0.5</v>
      </c>
      <c r="BA12" s="12"/>
      <c r="BB12" s="12">
        <v>0.5</v>
      </c>
      <c r="BF12" s="12"/>
      <c r="BG12" s="12">
        <v>0.5</v>
      </c>
      <c r="BH12" s="12"/>
      <c r="BI12" s="12">
        <v>0.5</v>
      </c>
      <c r="BM12" s="12"/>
      <c r="BN12" s="12">
        <v>0.8</v>
      </c>
      <c r="BO12" s="12"/>
      <c r="BP12" s="12">
        <v>0.8</v>
      </c>
      <c r="BT12" s="12"/>
      <c r="BU12" s="12">
        <v>0.8</v>
      </c>
      <c r="BV12" s="12"/>
      <c r="BW12" s="12">
        <v>0.8</v>
      </c>
      <c r="CA12" s="12"/>
      <c r="CB12" s="12">
        <v>0.8</v>
      </c>
      <c r="CC12" s="12"/>
      <c r="CD12" s="12">
        <v>0.8</v>
      </c>
      <c r="CH12" s="12"/>
      <c r="CI12" s="12">
        <v>0.8</v>
      </c>
      <c r="CJ12" s="12"/>
      <c r="CK12" s="12">
        <v>0.8</v>
      </c>
      <c r="CO12" s="12"/>
      <c r="CP12" s="12">
        <v>0.8</v>
      </c>
      <c r="CQ12" s="12"/>
      <c r="CR12" s="12">
        <v>0.8</v>
      </c>
      <c r="CV12" s="12"/>
      <c r="CW12" s="12">
        <v>0.8</v>
      </c>
      <c r="CX12" s="12"/>
      <c r="CY12" s="12">
        <v>0.8</v>
      </c>
      <c r="DC12" s="12"/>
      <c r="DD12" s="12">
        <v>1</v>
      </c>
      <c r="DE12" s="12"/>
      <c r="DF12" s="12">
        <v>1</v>
      </c>
      <c r="DJ12" s="12"/>
      <c r="DK12" s="12">
        <v>1</v>
      </c>
      <c r="DL12" s="12"/>
      <c r="DM12" s="12">
        <v>1</v>
      </c>
      <c r="DQ12" s="12"/>
      <c r="DR12" s="12"/>
      <c r="DS12" s="12"/>
      <c r="DT12" s="12"/>
      <c r="DX12" s="12"/>
      <c r="DY12" s="12"/>
      <c r="DZ12" s="12"/>
      <c r="EA12" s="12"/>
      <c r="EE12" s="12"/>
      <c r="EF12" s="23"/>
      <c r="EG12" s="12"/>
      <c r="EH12" s="12"/>
      <c r="EL12" s="12"/>
      <c r="EM12" s="12"/>
      <c r="EN12" s="12"/>
      <c r="EO12" s="12"/>
    </row>
    <row r="13" spans="2:146" ht="15.75" customHeight="1" outlineLevel="1">
      <c r="B13" t="s">
        <v>28</v>
      </c>
      <c r="C13" t="s">
        <v>93</v>
      </c>
      <c r="E13" s="11"/>
      <c r="F13" t="s">
        <v>152</v>
      </c>
      <c r="G13" s="12">
        <v>0.1</v>
      </c>
      <c r="I13" s="11">
        <f>+SUMIF($N$3:$YD$3,I$3,$N13:$YD13)</f>
        <v>0</v>
      </c>
      <c r="J13" s="13" cm="1">
        <f t="array" ref="J13">MAX(IF($N$3:$DN$3=$J$3,N13:DN13))</f>
        <v>0</v>
      </c>
      <c r="K13" s="13" cm="1">
        <f t="array" ref="K13">MAX(IF($N$3:$DN$3=$J$3,N13:DN13))</f>
        <v>0</v>
      </c>
      <c r="L13" s="11"/>
      <c r="P13" s="12"/>
      <c r="Q13" s="12"/>
      <c r="R13" s="12"/>
      <c r="S13" s="12"/>
      <c r="W13" s="12"/>
      <c r="X13" s="12"/>
      <c r="Y13" s="12"/>
      <c r="Z13" s="12"/>
      <c r="AD13" s="12"/>
      <c r="AE13" s="12">
        <v>0.5</v>
      </c>
      <c r="AF13" s="12"/>
      <c r="AG13" s="12">
        <v>0.5</v>
      </c>
      <c r="AK13" s="12"/>
      <c r="AL13" s="12">
        <v>0.5</v>
      </c>
      <c r="AM13" s="12"/>
      <c r="AN13" s="12">
        <v>0.5</v>
      </c>
      <c r="AR13" s="12"/>
      <c r="AS13" s="12">
        <v>0.5</v>
      </c>
      <c r="AT13" s="12"/>
      <c r="AU13" s="12">
        <v>0.5</v>
      </c>
      <c r="AY13" s="12"/>
      <c r="AZ13" s="12">
        <v>0.5</v>
      </c>
      <c r="BA13" s="12"/>
      <c r="BB13" s="12">
        <v>0.5</v>
      </c>
      <c r="BF13" s="12"/>
      <c r="BG13" s="12">
        <v>0.5</v>
      </c>
      <c r="BH13" s="12"/>
      <c r="BI13" s="12">
        <v>0.5</v>
      </c>
      <c r="BM13" s="12"/>
      <c r="BN13" s="12">
        <v>0.5</v>
      </c>
      <c r="BO13" s="12"/>
      <c r="BP13" s="12">
        <v>0.5</v>
      </c>
      <c r="BT13" s="12"/>
      <c r="BU13" s="12">
        <v>0.8</v>
      </c>
      <c r="BV13" s="12"/>
      <c r="BW13" s="12">
        <v>0.8</v>
      </c>
      <c r="CA13" s="12"/>
      <c r="CB13" s="12">
        <v>0.8</v>
      </c>
      <c r="CC13" s="12"/>
      <c r="CD13" s="12">
        <v>0.8</v>
      </c>
      <c r="CH13" s="12"/>
      <c r="CI13" s="12">
        <v>0.8</v>
      </c>
      <c r="CJ13" s="12"/>
      <c r="CK13" s="12">
        <v>0.8</v>
      </c>
      <c r="CO13" s="12"/>
      <c r="CP13" s="12">
        <v>0.8</v>
      </c>
      <c r="CQ13" s="12"/>
      <c r="CR13" s="12">
        <v>0.8</v>
      </c>
      <c r="CV13" s="12"/>
      <c r="CW13" s="12">
        <v>0.8</v>
      </c>
      <c r="CX13" s="12"/>
      <c r="CY13" s="12">
        <v>0.8</v>
      </c>
      <c r="DC13" s="12"/>
      <c r="DD13" s="12">
        <v>1</v>
      </c>
      <c r="DE13" s="12"/>
      <c r="DF13" s="12">
        <v>1</v>
      </c>
      <c r="DJ13" s="12"/>
      <c r="DK13" s="12">
        <v>1</v>
      </c>
      <c r="DL13" s="12"/>
      <c r="DM13" s="12">
        <v>1</v>
      </c>
      <c r="DQ13" s="12"/>
      <c r="DR13" s="12"/>
      <c r="DS13" s="12"/>
      <c r="DT13" s="12"/>
      <c r="DX13" s="12"/>
      <c r="DY13" s="12"/>
      <c r="DZ13" s="12"/>
      <c r="EA13" s="12"/>
      <c r="EE13" s="12"/>
      <c r="EF13" s="23"/>
      <c r="EG13" s="12"/>
      <c r="EH13" s="12"/>
      <c r="EL13" s="12"/>
      <c r="EM13" s="12"/>
      <c r="EN13" s="12"/>
      <c r="EO13" s="12"/>
    </row>
    <row r="14" spans="2:146" ht="15.75" customHeight="1" outlineLevel="1">
      <c r="B14" t="s">
        <v>28</v>
      </c>
      <c r="C14" t="s">
        <v>93</v>
      </c>
      <c r="E14" s="11"/>
      <c r="F14" t="s">
        <v>153</v>
      </c>
      <c r="G14" s="12">
        <v>0.1</v>
      </c>
      <c r="I14" s="11">
        <f>+SUMIF($N$3:$YD$3,I$3,$N14:$YD14)</f>
        <v>0</v>
      </c>
      <c r="J14" s="13" cm="1">
        <f t="array" ref="J14">MAX(IF($N$3:$DN$3=$J$3,N14:DN14))</f>
        <v>0</v>
      </c>
      <c r="K14" s="13" cm="1">
        <f t="array" ref="K14">MAX(IF($N$3:$DN$3=$J$3,N14:DN14))</f>
        <v>0</v>
      </c>
      <c r="L14" s="11"/>
      <c r="P14" s="12"/>
      <c r="Q14" s="12"/>
      <c r="R14" s="12"/>
      <c r="S14" s="12"/>
      <c r="W14" s="12"/>
      <c r="X14" s="12"/>
      <c r="Y14" s="12"/>
      <c r="Z14" s="12"/>
      <c r="AD14" s="12"/>
      <c r="AE14" s="12"/>
      <c r="AF14" s="12"/>
      <c r="AG14" s="12"/>
      <c r="AK14" s="12"/>
      <c r="AL14" s="12">
        <v>0.5</v>
      </c>
      <c r="AM14" s="12"/>
      <c r="AN14" s="12">
        <v>0.5</v>
      </c>
      <c r="AR14" s="12"/>
      <c r="AS14" s="12">
        <v>0.5</v>
      </c>
      <c r="AT14" s="12"/>
      <c r="AU14" s="12">
        <v>0.5</v>
      </c>
      <c r="AY14" s="12"/>
      <c r="AZ14" s="12">
        <v>0.5</v>
      </c>
      <c r="BA14" s="12"/>
      <c r="BB14" s="12">
        <v>0.5</v>
      </c>
      <c r="BF14" s="12"/>
      <c r="BG14" s="12">
        <v>0.5</v>
      </c>
      <c r="BH14" s="12"/>
      <c r="BI14" s="12">
        <v>0.5</v>
      </c>
      <c r="BM14" s="12"/>
      <c r="BN14" s="12">
        <v>0.5</v>
      </c>
      <c r="BO14" s="12"/>
      <c r="BP14" s="12">
        <v>0.5</v>
      </c>
      <c r="BT14" s="12"/>
      <c r="BU14" s="12">
        <v>0.8</v>
      </c>
      <c r="BV14" s="12"/>
      <c r="BW14" s="12">
        <v>0.8</v>
      </c>
      <c r="CA14" s="12"/>
      <c r="CB14" s="12">
        <v>0.8</v>
      </c>
      <c r="CC14" s="12"/>
      <c r="CD14" s="12">
        <v>0.8</v>
      </c>
      <c r="CH14" s="12"/>
      <c r="CI14" s="12">
        <v>0.8</v>
      </c>
      <c r="CJ14" s="12"/>
      <c r="CK14" s="12">
        <v>0.8</v>
      </c>
      <c r="CO14" s="12"/>
      <c r="CP14" s="12">
        <v>0.8</v>
      </c>
      <c r="CQ14" s="12"/>
      <c r="CR14" s="12">
        <v>0.8</v>
      </c>
      <c r="CV14" s="12"/>
      <c r="CW14" s="12">
        <v>0.8</v>
      </c>
      <c r="CX14" s="12"/>
      <c r="CY14" s="12">
        <v>0.8</v>
      </c>
      <c r="DC14" s="12"/>
      <c r="DD14" s="12">
        <v>0.8</v>
      </c>
      <c r="DE14" s="12"/>
      <c r="DF14" s="12">
        <v>0.8</v>
      </c>
      <c r="DJ14" s="12"/>
      <c r="DK14" s="12">
        <v>1</v>
      </c>
      <c r="DL14" s="12"/>
      <c r="DM14" s="12">
        <v>1</v>
      </c>
      <c r="DQ14" s="12"/>
      <c r="DR14" s="12"/>
      <c r="DS14" s="12"/>
      <c r="DT14" s="12"/>
      <c r="DX14" s="12"/>
      <c r="DY14" s="12"/>
      <c r="DZ14" s="12"/>
      <c r="EA14" s="12"/>
      <c r="EE14" s="12"/>
      <c r="EF14" s="23"/>
      <c r="EG14" s="12"/>
      <c r="EH14" s="12"/>
      <c r="EL14" s="12"/>
      <c r="EM14" s="12"/>
      <c r="EN14" s="12"/>
      <c r="EO14" s="12"/>
    </row>
    <row r="15" spans="2:146" ht="15.75" customHeight="1" outlineLevel="1">
      <c r="B15" t="s">
        <v>28</v>
      </c>
      <c r="C15" t="s">
        <v>93</v>
      </c>
      <c r="E15" s="11"/>
      <c r="F15" t="s">
        <v>154</v>
      </c>
      <c r="G15" s="12">
        <v>0.1</v>
      </c>
      <c r="I15" s="11">
        <f>+SUMIF($N$3:$YD$3,I$3,$N15:$YD15)</f>
        <v>0</v>
      </c>
      <c r="J15" s="13" cm="1">
        <f t="array" ref="J15">MAX(IF($N$3:$DN$3=$J$3,N15:DN15))</f>
        <v>0</v>
      </c>
      <c r="K15" s="13" cm="1">
        <f t="array" ref="K15">MAX(IF($N$3:$DN$3=$J$3,N15:DN15))</f>
        <v>0</v>
      </c>
      <c r="L15" s="11"/>
      <c r="P15" s="12"/>
      <c r="Q15" s="12"/>
      <c r="R15" s="12"/>
      <c r="S15" s="12"/>
      <c r="W15" s="12"/>
      <c r="X15" s="12"/>
      <c r="Y15" s="12"/>
      <c r="Z15" s="12"/>
      <c r="AD15" s="12"/>
      <c r="AE15" s="12"/>
      <c r="AF15" s="12"/>
      <c r="AG15" s="12"/>
      <c r="AK15" s="12"/>
      <c r="AL15" s="12">
        <v>0.5</v>
      </c>
      <c r="AM15" s="12"/>
      <c r="AN15" s="12">
        <v>0.5</v>
      </c>
      <c r="AR15" s="12"/>
      <c r="AS15" s="12">
        <v>0.5</v>
      </c>
      <c r="AT15" s="12"/>
      <c r="AU15" s="12">
        <v>0.5</v>
      </c>
      <c r="AY15" s="12"/>
      <c r="AZ15" s="12">
        <v>0.5</v>
      </c>
      <c r="BA15" s="12"/>
      <c r="BB15" s="12">
        <v>0.5</v>
      </c>
      <c r="BF15" s="12"/>
      <c r="BG15" s="12">
        <v>0.5</v>
      </c>
      <c r="BH15" s="12"/>
      <c r="BI15" s="12">
        <v>0.5</v>
      </c>
      <c r="BM15" s="12"/>
      <c r="BN15" s="12">
        <v>0.5</v>
      </c>
      <c r="BO15" s="12"/>
      <c r="BP15" s="12">
        <v>0.5</v>
      </c>
      <c r="BT15" s="12"/>
      <c r="BU15" s="12">
        <v>0.5</v>
      </c>
      <c r="BV15" s="12"/>
      <c r="BW15" s="12">
        <v>0.5</v>
      </c>
      <c r="CA15" s="12"/>
      <c r="CB15" s="12">
        <v>0.8</v>
      </c>
      <c r="CC15" s="12"/>
      <c r="CD15" s="12">
        <v>0.8</v>
      </c>
      <c r="CH15" s="12"/>
      <c r="CI15" s="12">
        <v>0.8</v>
      </c>
      <c r="CJ15" s="12"/>
      <c r="CK15" s="12">
        <v>0.8</v>
      </c>
      <c r="CO15" s="12"/>
      <c r="CP15" s="12">
        <v>0.8</v>
      </c>
      <c r="CQ15" s="12"/>
      <c r="CR15" s="12">
        <v>0.8</v>
      </c>
      <c r="CV15" s="12"/>
      <c r="CW15" s="12">
        <v>0.8</v>
      </c>
      <c r="CX15" s="12"/>
      <c r="CY15" s="12">
        <v>0.8</v>
      </c>
      <c r="DC15" s="12"/>
      <c r="DD15" s="12">
        <v>0.8</v>
      </c>
      <c r="DE15" s="12"/>
      <c r="DF15" s="12">
        <v>0.8</v>
      </c>
      <c r="DJ15" s="12"/>
      <c r="DK15" s="12">
        <v>1</v>
      </c>
      <c r="DL15" s="12"/>
      <c r="DM15" s="12">
        <v>1</v>
      </c>
      <c r="DQ15" s="12"/>
      <c r="DR15" s="12"/>
      <c r="DS15" s="12"/>
      <c r="DT15" s="12"/>
      <c r="DX15" s="12"/>
      <c r="DY15" s="12"/>
      <c r="DZ15" s="12"/>
      <c r="EA15" s="12"/>
      <c r="EE15" s="12"/>
      <c r="EF15" s="23"/>
      <c r="EG15" s="12"/>
      <c r="EH15" s="12"/>
      <c r="EL15" s="12"/>
      <c r="EM15" s="12"/>
      <c r="EN15" s="12"/>
      <c r="EO15" s="12"/>
    </row>
    <row r="16" spans="2:146">
      <c r="P16" s="9"/>
      <c r="W16" s="9"/>
      <c r="AD16" s="9"/>
      <c r="AK16" s="9"/>
      <c r="AR16" s="9"/>
      <c r="AY16" s="9"/>
      <c r="BF16" s="9"/>
      <c r="BM16" s="9"/>
      <c r="BT16" s="9"/>
      <c r="CA16" s="9"/>
      <c r="CH16" s="9"/>
      <c r="CO16" s="9"/>
      <c r="CV16" s="9"/>
      <c r="DC16" s="9"/>
      <c r="DJ16" s="9"/>
      <c r="DQ16" s="9"/>
      <c r="DX16" s="9"/>
      <c r="EE16" s="9"/>
      <c r="EL16" s="9"/>
    </row>
    <row r="17" spans="2:145">
      <c r="B17" t="s">
        <v>27</v>
      </c>
      <c r="C17" t="s">
        <v>88</v>
      </c>
      <c r="D17" s="22">
        <v>44607</v>
      </c>
      <c r="E17" s="11">
        <v>6</v>
      </c>
      <c r="G17" s="12">
        <f>+SUM(G18:G25)</f>
        <v>1.2</v>
      </c>
      <c r="I17" s="14">
        <f>+SUM(I18:I25)</f>
        <v>0</v>
      </c>
      <c r="J17" s="13">
        <f>+SUMPRODUCT(G18:G25,J18:J25)</f>
        <v>0</v>
      </c>
      <c r="K17" s="13">
        <f>+SUMPRODUCT(G18:G25,K18:K25)</f>
        <v>0</v>
      </c>
      <c r="L17" s="11"/>
      <c r="O17" s="14">
        <f>+SUM(O18:O25)</f>
        <v>0</v>
      </c>
      <c r="V17" s="14">
        <f>+SUM(V18:V25)</f>
        <v>0</v>
      </c>
    </row>
    <row r="18" spans="2:145" ht="15.75" customHeight="1" outlineLevel="1">
      <c r="B18" t="s">
        <v>28</v>
      </c>
      <c r="C18" t="s">
        <v>95</v>
      </c>
      <c r="E18" s="11"/>
      <c r="F18" t="s">
        <v>139</v>
      </c>
      <c r="G18" s="12">
        <v>0.1</v>
      </c>
      <c r="I18" s="11">
        <f>+SUMIF($N$3:$YD$3,I$3,$N18:$YD18)</f>
        <v>0</v>
      </c>
      <c r="J18" s="13" cm="1">
        <f t="array" ref="J18">MAX(IF($N$3:$DN$3=$J$3,N18:DN18))</f>
        <v>0</v>
      </c>
      <c r="K18" s="13" cm="1">
        <f t="array" ref="K18">MAX(IF($N$3:$DN$3=$J$3,N18:DN18))</f>
        <v>0</v>
      </c>
      <c r="L18" s="11"/>
      <c r="P18" s="12"/>
      <c r="Q18" s="12"/>
      <c r="R18" s="12"/>
      <c r="S18" s="12"/>
      <c r="W18" s="12"/>
      <c r="X18" s="12">
        <v>0.5</v>
      </c>
      <c r="Y18" s="12"/>
      <c r="Z18" s="12">
        <v>0.5</v>
      </c>
      <c r="AD18" s="12"/>
      <c r="AE18" s="12">
        <v>0.5</v>
      </c>
      <c r="AF18" s="12"/>
      <c r="AG18" s="12">
        <v>0.5</v>
      </c>
      <c r="AK18" s="12"/>
      <c r="AL18" s="12">
        <v>0.5</v>
      </c>
      <c r="AM18" s="12"/>
      <c r="AN18" s="12">
        <v>0.5</v>
      </c>
      <c r="AR18" s="12"/>
      <c r="AS18" s="12">
        <v>0.5</v>
      </c>
      <c r="AT18" s="12"/>
      <c r="AU18" s="12">
        <v>0.5</v>
      </c>
      <c r="AY18" s="12"/>
      <c r="AZ18" s="12">
        <v>0.8</v>
      </c>
      <c r="BA18" s="12"/>
      <c r="BB18" s="12">
        <v>0.8</v>
      </c>
      <c r="BF18" s="12"/>
      <c r="BG18" s="12">
        <v>0.8</v>
      </c>
      <c r="BH18" s="12"/>
      <c r="BI18" s="12">
        <v>0.8</v>
      </c>
      <c r="BM18" s="12"/>
      <c r="BN18" s="12">
        <v>0.8</v>
      </c>
      <c r="BO18" s="12"/>
      <c r="BP18" s="12">
        <v>0.8</v>
      </c>
      <c r="BT18" s="12"/>
      <c r="BU18" s="12">
        <v>0.8</v>
      </c>
      <c r="BV18" s="12"/>
      <c r="BW18" s="12">
        <v>0.8</v>
      </c>
      <c r="CA18" s="12"/>
      <c r="CB18" s="12">
        <v>0.8</v>
      </c>
      <c r="CC18" s="12"/>
      <c r="CD18" s="12">
        <v>0.8</v>
      </c>
      <c r="CH18" s="12"/>
      <c r="CI18" s="12">
        <v>1</v>
      </c>
      <c r="CJ18" s="12"/>
      <c r="CK18" s="12">
        <v>1</v>
      </c>
      <c r="CO18" s="12"/>
      <c r="CP18" s="12">
        <v>1</v>
      </c>
      <c r="CQ18" s="12"/>
      <c r="CR18" s="12">
        <v>1</v>
      </c>
      <c r="CV18" s="12"/>
      <c r="CW18" s="12">
        <v>1</v>
      </c>
      <c r="CX18" s="12"/>
      <c r="CY18" s="12">
        <v>1</v>
      </c>
      <c r="DC18" s="12"/>
      <c r="DD18" s="12">
        <v>1</v>
      </c>
      <c r="DE18" s="12"/>
      <c r="DF18" s="12">
        <v>1</v>
      </c>
      <c r="DJ18" s="12"/>
      <c r="DK18" s="12">
        <v>1</v>
      </c>
      <c r="DL18" s="12"/>
      <c r="DM18" s="12">
        <v>1</v>
      </c>
      <c r="DQ18" s="12"/>
      <c r="DR18" s="12"/>
      <c r="DS18" s="12"/>
      <c r="DT18" s="12"/>
      <c r="DX18" s="12"/>
      <c r="DY18" s="12"/>
      <c r="DZ18" s="12"/>
      <c r="EA18" s="12"/>
      <c r="EE18" s="23"/>
      <c r="EF18" s="12"/>
      <c r="EG18" s="12"/>
      <c r="EH18" s="12"/>
      <c r="EL18" s="12"/>
      <c r="EM18" s="12"/>
      <c r="EN18" s="12"/>
      <c r="EO18" s="12"/>
    </row>
    <row r="19" spans="2:145" ht="15.75" customHeight="1" outlineLevel="1">
      <c r="B19" t="s">
        <v>28</v>
      </c>
      <c r="C19" t="s">
        <v>95</v>
      </c>
      <c r="E19" s="11"/>
      <c r="F19" t="s">
        <v>140</v>
      </c>
      <c r="G19" s="12">
        <v>0.2</v>
      </c>
      <c r="I19" s="11">
        <f>+SUMIF($N$3:$YD$3,I$3,$N19:$YD19)</f>
        <v>0</v>
      </c>
      <c r="J19" s="13" cm="1">
        <f t="array" ref="J19">MAX(IF($N$3:$DN$3=$J$3,N19:DN19))</f>
        <v>0</v>
      </c>
      <c r="K19" s="13" cm="1">
        <f t="array" ref="K19">MAX(IF($N$3:$DN$3=$J$3,N19:DN19))</f>
        <v>0</v>
      </c>
      <c r="L19" s="11"/>
      <c r="P19" s="12"/>
      <c r="Q19" s="12"/>
      <c r="R19" s="12"/>
      <c r="S19" s="12"/>
      <c r="W19" s="12"/>
      <c r="X19" s="12"/>
      <c r="Y19" s="12"/>
      <c r="Z19" s="12"/>
      <c r="AD19" s="12"/>
      <c r="AE19" s="12">
        <v>0.5</v>
      </c>
      <c r="AF19" s="12"/>
      <c r="AG19" s="12">
        <v>0.5</v>
      </c>
      <c r="AK19" s="12"/>
      <c r="AL19" s="12">
        <v>0.5</v>
      </c>
      <c r="AM19" s="12"/>
      <c r="AN19" s="12">
        <v>0.5</v>
      </c>
      <c r="AR19" s="12"/>
      <c r="AS19" s="12">
        <v>0.5</v>
      </c>
      <c r="AT19" s="12"/>
      <c r="AU19" s="12">
        <v>0.5</v>
      </c>
      <c r="AY19" s="12"/>
      <c r="AZ19" s="12">
        <v>0.5</v>
      </c>
      <c r="BA19" s="12"/>
      <c r="BB19" s="12">
        <v>0.5</v>
      </c>
      <c r="BF19" s="12"/>
      <c r="BG19" s="12">
        <v>0.8</v>
      </c>
      <c r="BH19" s="12"/>
      <c r="BI19" s="12">
        <v>0.8</v>
      </c>
      <c r="BM19" s="12"/>
      <c r="BN19" s="12">
        <v>0.8</v>
      </c>
      <c r="BO19" s="12"/>
      <c r="BP19" s="12">
        <v>0.8</v>
      </c>
      <c r="BT19" s="12"/>
      <c r="BU19" s="12">
        <v>0.8</v>
      </c>
      <c r="BV19" s="12"/>
      <c r="BW19" s="12">
        <v>0.8</v>
      </c>
      <c r="CA19" s="12"/>
      <c r="CB19" s="12">
        <v>0.8</v>
      </c>
      <c r="CC19" s="12"/>
      <c r="CD19" s="12">
        <v>0.8</v>
      </c>
      <c r="CH19" s="12"/>
      <c r="CI19" s="12">
        <v>1</v>
      </c>
      <c r="CJ19" s="12"/>
      <c r="CK19" s="12">
        <v>1</v>
      </c>
      <c r="CO19" s="12"/>
      <c r="CP19" s="12">
        <v>1</v>
      </c>
      <c r="CQ19" s="12"/>
      <c r="CR19" s="12">
        <v>1</v>
      </c>
      <c r="CV19" s="12"/>
      <c r="CW19" s="12">
        <v>1</v>
      </c>
      <c r="CX19" s="12"/>
      <c r="CY19" s="12">
        <v>1</v>
      </c>
      <c r="DC19" s="12"/>
      <c r="DD19" s="12">
        <v>1</v>
      </c>
      <c r="DE19" s="12"/>
      <c r="DF19" s="12">
        <v>1</v>
      </c>
      <c r="DJ19" s="12"/>
      <c r="DK19" s="12">
        <v>1</v>
      </c>
      <c r="DL19" s="12"/>
      <c r="DM19" s="12">
        <v>1</v>
      </c>
      <c r="DQ19" s="12"/>
      <c r="DR19" s="12"/>
      <c r="DS19" s="12"/>
      <c r="DT19" s="12"/>
      <c r="DX19" s="12"/>
      <c r="DY19" s="12"/>
      <c r="DZ19" s="12"/>
      <c r="EA19" s="12"/>
      <c r="EE19" s="23"/>
      <c r="EF19" s="12"/>
      <c r="EG19" s="12"/>
      <c r="EH19" s="12"/>
      <c r="EL19" s="12"/>
      <c r="EM19" s="12"/>
      <c r="EN19" s="12"/>
      <c r="EO19" s="12"/>
    </row>
    <row r="20" spans="2:145" ht="15.75" customHeight="1" outlineLevel="1">
      <c r="B20" t="s">
        <v>28</v>
      </c>
      <c r="C20" t="s">
        <v>95</v>
      </c>
      <c r="E20" s="11"/>
      <c r="F20" t="s">
        <v>141</v>
      </c>
      <c r="G20" s="12">
        <v>0.2</v>
      </c>
      <c r="I20" s="11">
        <f>+SUMIF($N$3:$YD$3,I$3,$N20:$YD20)</f>
        <v>0</v>
      </c>
      <c r="J20" s="13" cm="1">
        <f t="array" ref="J20">MAX(IF($N$3:$DN$3=$J$3,N20:DN20))</f>
        <v>0</v>
      </c>
      <c r="K20" s="13" cm="1">
        <f t="array" ref="K20">MAX(IF($N$3:$DN$3=$J$3,N20:DN20))</f>
        <v>0</v>
      </c>
      <c r="L20" s="11"/>
      <c r="P20" s="12"/>
      <c r="Q20" s="12"/>
      <c r="R20" s="12"/>
      <c r="S20" s="12"/>
      <c r="W20" s="12"/>
      <c r="X20" s="12"/>
      <c r="Y20" s="12"/>
      <c r="Z20" s="12"/>
      <c r="AD20" s="12"/>
      <c r="AE20" s="12">
        <v>0.5</v>
      </c>
      <c r="AF20" s="12"/>
      <c r="AG20" s="12">
        <v>0.5</v>
      </c>
      <c r="AK20" s="12"/>
      <c r="AL20" s="12">
        <v>0.5</v>
      </c>
      <c r="AM20" s="12"/>
      <c r="AN20" s="12">
        <v>0.5</v>
      </c>
      <c r="AR20" s="12"/>
      <c r="AS20" s="12">
        <v>0.5</v>
      </c>
      <c r="AT20" s="12"/>
      <c r="AU20" s="12">
        <v>0.5</v>
      </c>
      <c r="AY20" s="12"/>
      <c r="AZ20" s="12">
        <v>0.5</v>
      </c>
      <c r="BA20" s="12"/>
      <c r="BB20" s="12">
        <v>0.5</v>
      </c>
      <c r="BF20" s="12"/>
      <c r="BG20" s="12">
        <v>0.5</v>
      </c>
      <c r="BH20" s="12"/>
      <c r="BI20" s="12">
        <v>0.5</v>
      </c>
      <c r="BM20" s="12"/>
      <c r="BN20" s="12">
        <v>0.8</v>
      </c>
      <c r="BO20" s="12"/>
      <c r="BP20" s="12">
        <v>0.8</v>
      </c>
      <c r="BT20" s="12"/>
      <c r="BU20" s="12">
        <v>0.8</v>
      </c>
      <c r="BV20" s="12"/>
      <c r="BW20" s="12">
        <v>0.8</v>
      </c>
      <c r="CA20" s="12"/>
      <c r="CB20" s="12">
        <v>0.8</v>
      </c>
      <c r="CC20" s="12"/>
      <c r="CD20" s="12">
        <v>0.8</v>
      </c>
      <c r="CH20" s="12"/>
      <c r="CI20" s="12">
        <v>0.8</v>
      </c>
      <c r="CJ20" s="12"/>
      <c r="CK20" s="12">
        <v>0.8</v>
      </c>
      <c r="CO20" s="12"/>
      <c r="CP20" s="12">
        <v>1</v>
      </c>
      <c r="CQ20" s="12"/>
      <c r="CR20" s="12">
        <v>1</v>
      </c>
      <c r="CV20" s="12"/>
      <c r="CW20" s="12">
        <v>1</v>
      </c>
      <c r="CX20" s="12"/>
      <c r="CY20" s="12">
        <v>1</v>
      </c>
      <c r="DC20" s="12"/>
      <c r="DD20" s="12">
        <v>1</v>
      </c>
      <c r="DE20" s="12"/>
      <c r="DF20" s="12">
        <v>1</v>
      </c>
      <c r="DJ20" s="12"/>
      <c r="DK20" s="12">
        <v>1</v>
      </c>
      <c r="DL20" s="12"/>
      <c r="DM20" s="12">
        <v>1</v>
      </c>
      <c r="DQ20" s="12"/>
      <c r="DR20" s="12"/>
      <c r="DS20" s="12"/>
      <c r="DT20" s="12"/>
      <c r="DX20" s="12"/>
      <c r="DY20" s="12"/>
      <c r="DZ20" s="12"/>
      <c r="EA20" s="12"/>
      <c r="EE20" s="23"/>
      <c r="EF20" s="12"/>
      <c r="EG20" s="12"/>
      <c r="EH20" s="12"/>
      <c r="EL20" s="12"/>
      <c r="EM20" s="12"/>
      <c r="EN20" s="12"/>
      <c r="EO20" s="12"/>
    </row>
    <row r="21" spans="2:145" ht="15.75" customHeight="1" outlineLevel="1">
      <c r="B21" t="s">
        <v>28</v>
      </c>
      <c r="C21" t="s">
        <v>95</v>
      </c>
      <c r="E21" s="11"/>
      <c r="F21" t="s">
        <v>142</v>
      </c>
      <c r="G21" s="12">
        <v>0.2</v>
      </c>
      <c r="I21" s="11">
        <f>+SUMIF($N$3:$YD$3,I$3,$N21:$YD21)</f>
        <v>0</v>
      </c>
      <c r="J21" s="13" cm="1">
        <f t="array" ref="J21">MAX(IF($N$3:$DN$3=$J$3,N21:DN21))</f>
        <v>0</v>
      </c>
      <c r="K21" s="13" cm="1">
        <f t="array" ref="K21">MAX(IF($N$3:$DN$3=$J$3,N21:DN21))</f>
        <v>0</v>
      </c>
      <c r="L21" s="11"/>
      <c r="P21" s="12"/>
      <c r="Q21" s="12"/>
      <c r="R21" s="12"/>
      <c r="S21" s="12"/>
      <c r="W21" s="12"/>
      <c r="X21" s="12"/>
      <c r="Y21" s="12"/>
      <c r="Z21" s="12"/>
      <c r="AD21" s="12"/>
      <c r="AE21" s="12"/>
      <c r="AF21" s="12"/>
      <c r="AG21" s="12"/>
      <c r="AK21" s="12"/>
      <c r="AL21" s="12">
        <v>0.5</v>
      </c>
      <c r="AM21" s="12"/>
      <c r="AN21" s="12">
        <v>0.5</v>
      </c>
      <c r="AR21" s="12"/>
      <c r="AS21" s="12">
        <v>0.5</v>
      </c>
      <c r="AT21" s="12"/>
      <c r="AU21" s="12">
        <v>0.5</v>
      </c>
      <c r="AY21" s="12"/>
      <c r="AZ21" s="12">
        <v>0.5</v>
      </c>
      <c r="BA21" s="12"/>
      <c r="BB21" s="12">
        <v>0.5</v>
      </c>
      <c r="BF21" s="12"/>
      <c r="BG21" s="12">
        <v>0.5</v>
      </c>
      <c r="BH21" s="12"/>
      <c r="BI21" s="12">
        <v>0.5</v>
      </c>
      <c r="BM21" s="12"/>
      <c r="BN21" s="12">
        <v>0.8</v>
      </c>
      <c r="BO21" s="12"/>
      <c r="BP21" s="12">
        <v>0.8</v>
      </c>
      <c r="BT21" s="12"/>
      <c r="BU21" s="12">
        <v>0.8</v>
      </c>
      <c r="BV21" s="12"/>
      <c r="BW21" s="12">
        <v>0.8</v>
      </c>
      <c r="CA21" s="12"/>
      <c r="CB21" s="12">
        <v>0.8</v>
      </c>
      <c r="CC21" s="12"/>
      <c r="CD21" s="12">
        <v>0.8</v>
      </c>
      <c r="CH21" s="12"/>
      <c r="CI21" s="12">
        <v>0.8</v>
      </c>
      <c r="CJ21" s="12"/>
      <c r="CK21" s="12">
        <v>0.8</v>
      </c>
      <c r="CO21" s="12"/>
      <c r="CP21" s="12">
        <v>0.8</v>
      </c>
      <c r="CQ21" s="12"/>
      <c r="CR21" s="12">
        <v>0.8</v>
      </c>
      <c r="CV21" s="12"/>
      <c r="CW21" s="12">
        <v>1</v>
      </c>
      <c r="CX21" s="12"/>
      <c r="CY21" s="12">
        <v>1</v>
      </c>
      <c r="DC21" s="12"/>
      <c r="DD21" s="12">
        <v>1</v>
      </c>
      <c r="DE21" s="12"/>
      <c r="DF21" s="12">
        <v>1</v>
      </c>
      <c r="DJ21" s="12"/>
      <c r="DK21" s="12">
        <v>1</v>
      </c>
      <c r="DL21" s="12"/>
      <c r="DM21" s="12">
        <v>1</v>
      </c>
      <c r="DQ21" s="12"/>
      <c r="DR21" s="12"/>
      <c r="DS21" s="12"/>
      <c r="DT21" s="12"/>
      <c r="DX21" s="12"/>
      <c r="DY21" s="12"/>
      <c r="DZ21" s="12"/>
      <c r="EA21" s="12"/>
      <c r="EE21" s="23"/>
      <c r="EF21" s="12"/>
      <c r="EG21" s="12"/>
      <c r="EH21" s="12"/>
      <c r="EL21" s="12"/>
      <c r="EM21" s="12"/>
      <c r="EN21" s="12"/>
      <c r="EO21" s="12"/>
    </row>
    <row r="22" spans="2:145" ht="15.75" customHeight="1" outlineLevel="1">
      <c r="B22" t="s">
        <v>28</v>
      </c>
      <c r="C22" t="s">
        <v>96</v>
      </c>
      <c r="E22" s="11"/>
      <c r="F22" t="s">
        <v>143</v>
      </c>
      <c r="G22" s="12">
        <v>0.15</v>
      </c>
      <c r="I22" s="11">
        <f>+SUMIF($N$3:$YD$3,I$3,$N22:$YD22)</f>
        <v>0</v>
      </c>
      <c r="J22" s="13" cm="1">
        <f t="array" ref="J22">MAX(IF($N$3:$DN$3=$J$3,N22:DN22))</f>
        <v>0</v>
      </c>
      <c r="K22" s="13" cm="1">
        <f t="array" ref="K22">MAX(IF($N$3:$DN$3=$J$3,N22:DN22))</f>
        <v>0</v>
      </c>
      <c r="L22" s="11"/>
      <c r="P22" s="12"/>
      <c r="Q22" s="12"/>
      <c r="R22" s="12"/>
      <c r="S22" s="12"/>
      <c r="W22" s="12"/>
      <c r="X22" s="12"/>
      <c r="Y22" s="12"/>
      <c r="Z22" s="12"/>
      <c r="AD22" s="12"/>
      <c r="AE22" s="12"/>
      <c r="AF22" s="12"/>
      <c r="AG22" s="12"/>
      <c r="AK22" s="12"/>
      <c r="AL22" s="12">
        <v>0.5</v>
      </c>
      <c r="AM22" s="12"/>
      <c r="AN22" s="12">
        <v>0.5</v>
      </c>
      <c r="AR22" s="12"/>
      <c r="AS22" s="12">
        <v>0.5</v>
      </c>
      <c r="AT22" s="12"/>
      <c r="AU22" s="12">
        <v>0.5</v>
      </c>
      <c r="AY22" s="12"/>
      <c r="AZ22" s="12">
        <v>0.5</v>
      </c>
      <c r="BA22" s="12"/>
      <c r="BB22" s="12">
        <v>0.5</v>
      </c>
      <c r="BF22" s="12"/>
      <c r="BG22" s="12">
        <v>0.5</v>
      </c>
      <c r="BH22" s="12"/>
      <c r="BI22" s="12">
        <v>0.5</v>
      </c>
      <c r="BM22" s="12"/>
      <c r="BN22" s="12">
        <v>0.5</v>
      </c>
      <c r="BO22" s="12"/>
      <c r="BP22" s="12">
        <v>0.5</v>
      </c>
      <c r="BT22" s="12"/>
      <c r="BU22" s="12">
        <v>0.8</v>
      </c>
      <c r="BV22" s="12"/>
      <c r="BW22" s="12">
        <v>0.8</v>
      </c>
      <c r="CA22" s="12"/>
      <c r="CB22" s="12">
        <v>0.8</v>
      </c>
      <c r="CC22" s="12"/>
      <c r="CD22" s="12">
        <v>0.8</v>
      </c>
      <c r="CH22" s="12"/>
      <c r="CI22" s="12">
        <v>0.8</v>
      </c>
      <c r="CJ22" s="12"/>
      <c r="CK22" s="12">
        <v>0.8</v>
      </c>
      <c r="CO22" s="12"/>
      <c r="CP22" s="12">
        <v>0.8</v>
      </c>
      <c r="CQ22" s="12"/>
      <c r="CR22" s="12">
        <v>0.8</v>
      </c>
      <c r="CV22" s="12"/>
      <c r="CW22" s="12">
        <v>1</v>
      </c>
      <c r="CX22" s="12"/>
      <c r="CY22" s="12">
        <v>1</v>
      </c>
      <c r="DC22" s="12"/>
      <c r="DD22" s="12">
        <v>1</v>
      </c>
      <c r="DE22" s="12"/>
      <c r="DF22" s="12">
        <v>1</v>
      </c>
      <c r="DJ22" s="12"/>
      <c r="DK22" s="12">
        <v>1</v>
      </c>
      <c r="DL22" s="12"/>
      <c r="DM22" s="12">
        <v>1</v>
      </c>
      <c r="DQ22" s="12"/>
      <c r="DR22" s="12"/>
      <c r="DS22" s="12"/>
      <c r="DT22" s="12"/>
      <c r="DX22" s="12"/>
      <c r="DY22" s="12"/>
      <c r="DZ22" s="12"/>
      <c r="EA22" s="12"/>
      <c r="EE22" s="23"/>
      <c r="EF22" s="12"/>
      <c r="EG22" s="12"/>
      <c r="EH22" s="12"/>
      <c r="EL22" s="12"/>
      <c r="EM22" s="12"/>
      <c r="EN22" s="12"/>
      <c r="EO22" s="12"/>
    </row>
    <row r="23" spans="2:145" ht="15.75" customHeight="1" outlineLevel="1">
      <c r="B23" t="s">
        <v>28</v>
      </c>
      <c r="C23" t="s">
        <v>96</v>
      </c>
      <c r="E23" s="11"/>
      <c r="F23" t="s">
        <v>144</v>
      </c>
      <c r="G23" s="12">
        <v>0.15</v>
      </c>
      <c r="I23" s="11">
        <f>+SUMIF($N$3:$YD$3,I$3,$N23:$YD23)</f>
        <v>0</v>
      </c>
      <c r="J23" s="13" cm="1">
        <f t="array" ref="J23">MAX(IF($N$3:$DN$3=$J$3,N23:DN23))</f>
        <v>0</v>
      </c>
      <c r="K23" s="13" cm="1">
        <f t="array" ref="K23">MAX(IF($N$3:$DN$3=$J$3,N23:DN23))</f>
        <v>0</v>
      </c>
      <c r="L23" s="11"/>
      <c r="P23" s="12"/>
      <c r="Q23" s="12"/>
      <c r="R23" s="12"/>
      <c r="S23" s="12"/>
      <c r="W23" s="12"/>
      <c r="X23" s="12"/>
      <c r="Y23" s="12"/>
      <c r="Z23" s="12"/>
      <c r="AD23" s="12"/>
      <c r="AE23" s="12"/>
      <c r="AF23" s="12"/>
      <c r="AG23" s="12"/>
      <c r="AK23" s="12"/>
      <c r="AL23" s="12"/>
      <c r="AM23" s="12"/>
      <c r="AN23" s="12"/>
      <c r="AR23" s="12"/>
      <c r="AS23" s="12">
        <v>0.5</v>
      </c>
      <c r="AT23" s="12"/>
      <c r="AU23" s="12">
        <v>0.5</v>
      </c>
      <c r="AY23" s="12"/>
      <c r="AZ23" s="12">
        <v>0.5</v>
      </c>
      <c r="BA23" s="12"/>
      <c r="BB23" s="12">
        <v>0.5</v>
      </c>
      <c r="BF23" s="12"/>
      <c r="BG23" s="12">
        <v>0.5</v>
      </c>
      <c r="BH23" s="12"/>
      <c r="BI23" s="12">
        <v>0.5</v>
      </c>
      <c r="BM23" s="12"/>
      <c r="BN23" s="12">
        <v>0.5</v>
      </c>
      <c r="BO23" s="12"/>
      <c r="BP23" s="12">
        <v>0.5</v>
      </c>
      <c r="BT23" s="12"/>
      <c r="BU23" s="12">
        <v>0.8</v>
      </c>
      <c r="BV23" s="12"/>
      <c r="BW23" s="12">
        <v>0.8</v>
      </c>
      <c r="CA23" s="12"/>
      <c r="CB23" s="12">
        <v>0.8</v>
      </c>
      <c r="CC23" s="12"/>
      <c r="CD23" s="12">
        <v>0.8</v>
      </c>
      <c r="CH23" s="12"/>
      <c r="CI23" s="12">
        <v>0.8</v>
      </c>
      <c r="CJ23" s="12"/>
      <c r="CK23" s="12">
        <v>0.8</v>
      </c>
      <c r="CO23" s="12"/>
      <c r="CP23" s="12">
        <v>0.8</v>
      </c>
      <c r="CQ23" s="12"/>
      <c r="CR23" s="12">
        <v>0.8</v>
      </c>
      <c r="CV23" s="12"/>
      <c r="CW23" s="12">
        <v>0.8</v>
      </c>
      <c r="CX23" s="12"/>
      <c r="CY23" s="12">
        <v>0.8</v>
      </c>
      <c r="DC23" s="12"/>
      <c r="DD23" s="12">
        <v>1</v>
      </c>
      <c r="DE23" s="12"/>
      <c r="DF23" s="12">
        <v>1</v>
      </c>
      <c r="DJ23" s="12"/>
      <c r="DK23" s="12">
        <v>1</v>
      </c>
      <c r="DL23" s="12"/>
      <c r="DM23" s="12">
        <v>1</v>
      </c>
      <c r="DQ23" s="12"/>
      <c r="DR23" s="12"/>
      <c r="DS23" s="12"/>
      <c r="DT23" s="12"/>
      <c r="DX23" s="12"/>
      <c r="DY23" s="12"/>
      <c r="DZ23" s="12"/>
      <c r="EA23" s="12"/>
      <c r="EE23" s="23"/>
      <c r="EF23" s="12"/>
      <c r="EG23" s="12"/>
      <c r="EH23" s="12"/>
      <c r="EL23" s="12"/>
      <c r="EM23" s="12"/>
      <c r="EN23" s="12"/>
      <c r="EO23" s="12"/>
    </row>
    <row r="24" spans="2:145" ht="15.75" customHeight="1" outlineLevel="1">
      <c r="B24" t="s">
        <v>28</v>
      </c>
      <c r="C24" t="s">
        <v>96</v>
      </c>
      <c r="E24" s="11"/>
      <c r="F24" t="s">
        <v>97</v>
      </c>
      <c r="G24" s="12">
        <v>0.2</v>
      </c>
      <c r="I24" s="11">
        <f>+SUMIF($N$3:$YD$3,I$3,$N24:$YD24)</f>
        <v>0</v>
      </c>
      <c r="J24" s="13" cm="1">
        <f t="array" ref="J24">MAX(IF($N$3:$DN$3=$J$3,N24:DN24))</f>
        <v>0</v>
      </c>
      <c r="K24" s="13" cm="1">
        <f t="array" ref="K24">MAX(IF($N$3:$DN$3=$J$3,N24:DN24))</f>
        <v>0</v>
      </c>
      <c r="L24" s="11"/>
      <c r="P24" s="12"/>
      <c r="Q24" s="12"/>
      <c r="R24" s="12"/>
      <c r="S24" s="12"/>
      <c r="W24" s="12"/>
      <c r="X24" s="12"/>
      <c r="Y24" s="12"/>
      <c r="Z24" s="12"/>
      <c r="AD24" s="12"/>
      <c r="AE24" s="12"/>
      <c r="AF24" s="12"/>
      <c r="AG24" s="12"/>
      <c r="AK24" s="12"/>
      <c r="AL24" s="12"/>
      <c r="AM24" s="12"/>
      <c r="AN24" s="12"/>
      <c r="AR24" s="12"/>
      <c r="AS24" s="12">
        <v>0.5</v>
      </c>
      <c r="AT24" s="12"/>
      <c r="AU24" s="12">
        <v>0.5</v>
      </c>
      <c r="AY24" s="12"/>
      <c r="AZ24" s="12">
        <v>0.5</v>
      </c>
      <c r="BA24" s="12"/>
      <c r="BB24" s="12">
        <v>0.5</v>
      </c>
      <c r="BF24" s="12"/>
      <c r="BG24" s="12">
        <v>0.5</v>
      </c>
      <c r="BH24" s="12"/>
      <c r="BI24" s="12">
        <v>0.5</v>
      </c>
      <c r="BM24" s="12"/>
      <c r="BN24" s="12">
        <v>0.5</v>
      </c>
      <c r="BO24" s="12"/>
      <c r="BP24" s="12">
        <v>0.5</v>
      </c>
      <c r="BT24" s="12"/>
      <c r="BU24" s="12">
        <v>0.5</v>
      </c>
      <c r="BV24" s="12"/>
      <c r="BW24" s="12">
        <v>0.5</v>
      </c>
      <c r="CA24" s="12"/>
      <c r="CB24" s="12">
        <v>0.8</v>
      </c>
      <c r="CC24" s="12"/>
      <c r="CD24" s="12">
        <v>0.8</v>
      </c>
      <c r="CH24" s="12"/>
      <c r="CI24" s="12">
        <v>0.8</v>
      </c>
      <c r="CJ24" s="12"/>
      <c r="CK24" s="12">
        <v>0.8</v>
      </c>
      <c r="CO24" s="12"/>
      <c r="CP24" s="12">
        <v>0.8</v>
      </c>
      <c r="CQ24" s="12"/>
      <c r="CR24" s="12">
        <v>0.8</v>
      </c>
      <c r="CV24" s="12"/>
      <c r="CW24" s="12">
        <v>0.8</v>
      </c>
      <c r="CX24" s="12"/>
      <c r="CY24" s="12">
        <v>0.8</v>
      </c>
      <c r="DC24" s="12"/>
      <c r="DD24" s="12">
        <v>0.8</v>
      </c>
      <c r="DE24" s="12"/>
      <c r="DF24" s="12">
        <v>0.8</v>
      </c>
      <c r="DJ24" s="12"/>
      <c r="DK24" s="12">
        <v>1</v>
      </c>
      <c r="DL24" s="12"/>
      <c r="DM24" s="12">
        <v>1</v>
      </c>
      <c r="DQ24" s="12"/>
      <c r="DR24" s="12"/>
      <c r="DS24" s="12"/>
      <c r="DT24" s="12"/>
      <c r="DX24" s="12"/>
      <c r="DY24" s="12"/>
      <c r="DZ24" s="12"/>
      <c r="EA24" s="12"/>
      <c r="EE24" s="23"/>
      <c r="EF24" s="12"/>
      <c r="EG24" s="12"/>
      <c r="EH24" s="12"/>
      <c r="EL24" s="12"/>
      <c r="EM24" s="12"/>
      <c r="EN24" s="12"/>
      <c r="EO24" s="12"/>
    </row>
    <row r="25" spans="2:145">
      <c r="P25" s="9"/>
      <c r="W25" s="9"/>
      <c r="AD25" s="9"/>
      <c r="AK25" s="9"/>
      <c r="AR25" s="9"/>
      <c r="AY25" s="9"/>
      <c r="BF25" s="9"/>
      <c r="BM25" s="9"/>
      <c r="BT25" s="9"/>
      <c r="CA25" s="9"/>
      <c r="CH25" s="9"/>
      <c r="CO25" s="9"/>
      <c r="CV25" s="9"/>
      <c r="DC25" s="9"/>
      <c r="DJ25" s="9"/>
      <c r="DQ25" s="9"/>
      <c r="DX25" s="9"/>
      <c r="EE25" s="9"/>
      <c r="EL25" s="9"/>
    </row>
    <row r="26" spans="2:145">
      <c r="B26" t="s">
        <v>27</v>
      </c>
      <c r="C26" t="s">
        <v>90</v>
      </c>
      <c r="D26" s="22">
        <v>44609</v>
      </c>
      <c r="E26" s="11">
        <v>6</v>
      </c>
      <c r="G26" s="12">
        <f>+SUM(G27:G33)</f>
        <v>0.54999999999999993</v>
      </c>
      <c r="I26" s="14">
        <f>+SUM(I27:I33)</f>
        <v>0</v>
      </c>
      <c r="J26" s="13">
        <f>+SUMPRODUCT(G27:G33,J27:J33)</f>
        <v>0</v>
      </c>
      <c r="K26" s="13">
        <f>+SUMPRODUCT(G27:G33,K27:K33)</f>
        <v>0</v>
      </c>
      <c r="L26" s="11"/>
      <c r="O26" s="14">
        <f>+SUM(O27:O33)</f>
        <v>0</v>
      </c>
      <c r="V26" s="14">
        <f>+SUM(V27:V33)</f>
        <v>0</v>
      </c>
    </row>
    <row r="27" spans="2:145" ht="15.75" customHeight="1" outlineLevel="1">
      <c r="B27" t="s">
        <v>28</v>
      </c>
      <c r="C27" t="s">
        <v>98</v>
      </c>
      <c r="E27" s="11"/>
      <c r="F27" t="s">
        <v>133</v>
      </c>
      <c r="G27" s="12">
        <v>0.1</v>
      </c>
      <c r="I27" s="11">
        <f>+SUMIF($N$3:$YD$3,I$3,$N27:$YD27)</f>
        <v>0</v>
      </c>
      <c r="J27" s="13" cm="1">
        <f t="array" ref="J27">MAX(IF($N$3:$DN$3=$J$3,N27:DN27))</f>
        <v>0</v>
      </c>
      <c r="K27" s="13" cm="1">
        <f t="array" ref="K27">MAX(IF($N$3:$DN$3=$J$3,N27:DN27))</f>
        <v>0</v>
      </c>
      <c r="L27" s="11"/>
      <c r="P27" s="12"/>
      <c r="Q27" s="12"/>
      <c r="R27" s="12"/>
      <c r="S27" s="12"/>
      <c r="W27" s="12"/>
      <c r="X27" s="12">
        <v>0.5</v>
      </c>
      <c r="Y27" s="12"/>
      <c r="Z27" s="12">
        <v>0.5</v>
      </c>
      <c r="AD27" s="12"/>
      <c r="AE27" s="12">
        <v>0.5</v>
      </c>
      <c r="AF27" s="12"/>
      <c r="AG27" s="12">
        <v>0.5</v>
      </c>
      <c r="AK27" s="12"/>
      <c r="AL27" s="12">
        <v>0.5</v>
      </c>
      <c r="AM27" s="12"/>
      <c r="AN27" s="12">
        <v>0.5</v>
      </c>
      <c r="AR27" s="12"/>
      <c r="AS27" s="12">
        <v>0.5</v>
      </c>
      <c r="AT27" s="12"/>
      <c r="AU27" s="12">
        <v>0.5</v>
      </c>
      <c r="AY27" s="12"/>
      <c r="AZ27" s="12">
        <v>0.5</v>
      </c>
      <c r="BA27" s="12"/>
      <c r="BB27" s="12">
        <v>0.5</v>
      </c>
      <c r="BF27" s="12"/>
      <c r="BG27" s="12">
        <v>0.8</v>
      </c>
      <c r="BH27" s="12"/>
      <c r="BI27" s="12">
        <v>0.8</v>
      </c>
      <c r="BM27" s="12"/>
      <c r="BN27" s="12">
        <v>0.8</v>
      </c>
      <c r="BO27" s="12"/>
      <c r="BP27" s="12">
        <v>0.8</v>
      </c>
      <c r="BT27" s="12"/>
      <c r="BU27" s="12">
        <v>0.8</v>
      </c>
      <c r="BV27" s="12"/>
      <c r="BW27" s="12">
        <v>0.8</v>
      </c>
      <c r="CA27" s="12"/>
      <c r="CB27" s="12">
        <v>0.8</v>
      </c>
      <c r="CC27" s="12"/>
      <c r="CD27" s="12">
        <v>0.8</v>
      </c>
      <c r="CH27" s="12"/>
      <c r="CI27" s="12">
        <v>0.8</v>
      </c>
      <c r="CJ27" s="12"/>
      <c r="CK27" s="12">
        <v>0.8</v>
      </c>
      <c r="CO27" s="12"/>
      <c r="CP27" s="12">
        <v>1</v>
      </c>
      <c r="CQ27" s="12"/>
      <c r="CR27" s="12">
        <v>1</v>
      </c>
      <c r="CV27" s="12"/>
      <c r="CW27" s="12">
        <v>1</v>
      </c>
      <c r="CX27" s="12"/>
      <c r="CY27" s="12">
        <v>1</v>
      </c>
      <c r="DC27" s="12"/>
      <c r="DD27" s="12">
        <v>1</v>
      </c>
      <c r="DE27" s="12"/>
      <c r="DF27" s="12">
        <v>1</v>
      </c>
      <c r="DJ27" s="12"/>
      <c r="DK27" s="12">
        <v>1</v>
      </c>
      <c r="DL27" s="12"/>
      <c r="DM27" s="12">
        <v>1</v>
      </c>
      <c r="DQ27" s="12"/>
      <c r="DR27" s="12"/>
      <c r="DS27" s="12"/>
      <c r="DT27" s="12"/>
      <c r="DX27" s="12"/>
      <c r="DY27" s="12"/>
      <c r="DZ27" s="12"/>
      <c r="EA27" s="12"/>
      <c r="EE27" s="12"/>
      <c r="EF27" s="12"/>
      <c r="EG27" s="12"/>
      <c r="EH27" s="12"/>
      <c r="EL27" s="12"/>
      <c r="EM27" s="12"/>
      <c r="EN27" s="12"/>
      <c r="EO27" s="12"/>
    </row>
    <row r="28" spans="2:145" ht="15.75" customHeight="1" outlineLevel="1">
      <c r="B28" t="s">
        <v>28</v>
      </c>
      <c r="C28" t="s">
        <v>98</v>
      </c>
      <c r="E28" s="11"/>
      <c r="F28" t="s">
        <v>134</v>
      </c>
      <c r="G28" s="12">
        <v>0.05</v>
      </c>
      <c r="I28" s="11">
        <f>+SUMIF($N$3:$YD$3,I$3,$N28:$YD28)</f>
        <v>0</v>
      </c>
      <c r="J28" s="13" cm="1">
        <f t="array" ref="J28">MAX(IF($N$3:$DN$3=$J$3,N28:DN28))</f>
        <v>0</v>
      </c>
      <c r="K28" s="13" cm="1">
        <f t="array" ref="K28">MAX(IF($N$3:$DN$3=$J$3,N28:DN28))</f>
        <v>0</v>
      </c>
      <c r="L28" s="11"/>
      <c r="P28" s="12"/>
      <c r="Q28" s="12"/>
      <c r="R28" s="12"/>
      <c r="S28" s="12"/>
      <c r="W28" s="12"/>
      <c r="X28" s="12">
        <v>0.5</v>
      </c>
      <c r="Y28" s="12"/>
      <c r="Z28" s="12">
        <v>0.5</v>
      </c>
      <c r="AD28" s="12"/>
      <c r="AE28" s="12">
        <v>0.5</v>
      </c>
      <c r="AF28" s="12"/>
      <c r="AG28" s="12">
        <v>0.5</v>
      </c>
      <c r="AK28" s="12"/>
      <c r="AL28" s="12">
        <v>0.5</v>
      </c>
      <c r="AM28" s="12"/>
      <c r="AN28" s="12">
        <v>0.5</v>
      </c>
      <c r="AR28" s="12"/>
      <c r="AS28" s="12">
        <v>0.5</v>
      </c>
      <c r="AT28" s="12"/>
      <c r="AU28" s="12">
        <v>0.5</v>
      </c>
      <c r="AY28" s="12"/>
      <c r="AZ28" s="12">
        <v>0.5</v>
      </c>
      <c r="BA28" s="12"/>
      <c r="BB28" s="12">
        <v>0.5</v>
      </c>
      <c r="BF28" s="12"/>
      <c r="BG28" s="12">
        <v>0.8</v>
      </c>
      <c r="BH28" s="12"/>
      <c r="BI28" s="12">
        <v>0.8</v>
      </c>
      <c r="BM28" s="12"/>
      <c r="BN28" s="12">
        <v>0.8</v>
      </c>
      <c r="BO28" s="12"/>
      <c r="BP28" s="12">
        <v>0.8</v>
      </c>
      <c r="BT28" s="12"/>
      <c r="BU28" s="12">
        <v>0.8</v>
      </c>
      <c r="BV28" s="12"/>
      <c r="BW28" s="12">
        <v>0.8</v>
      </c>
      <c r="CA28" s="12"/>
      <c r="CB28" s="12">
        <v>0.8</v>
      </c>
      <c r="CC28" s="12"/>
      <c r="CD28" s="12">
        <v>0.8</v>
      </c>
      <c r="CH28" s="12"/>
      <c r="CI28" s="12">
        <v>0.8</v>
      </c>
      <c r="CJ28" s="12"/>
      <c r="CK28" s="12">
        <v>0.8</v>
      </c>
      <c r="CO28" s="12"/>
      <c r="CP28" s="12">
        <v>1</v>
      </c>
      <c r="CQ28" s="12"/>
      <c r="CR28" s="12">
        <v>1</v>
      </c>
      <c r="CV28" s="12"/>
      <c r="CW28" s="12">
        <v>1</v>
      </c>
      <c r="CX28" s="12"/>
      <c r="CY28" s="12">
        <v>1</v>
      </c>
      <c r="DC28" s="12"/>
      <c r="DD28" s="12">
        <v>1</v>
      </c>
      <c r="DE28" s="12"/>
      <c r="DF28" s="12">
        <v>1</v>
      </c>
      <c r="DJ28" s="12"/>
      <c r="DK28" s="12">
        <v>1</v>
      </c>
      <c r="DL28" s="12"/>
      <c r="DM28" s="12">
        <v>1</v>
      </c>
      <c r="DQ28" s="12"/>
      <c r="DR28" s="12"/>
      <c r="DS28" s="12"/>
      <c r="DT28" s="12"/>
      <c r="DX28" s="12"/>
      <c r="DY28" s="12"/>
      <c r="DZ28" s="12"/>
      <c r="EA28" s="12"/>
      <c r="EE28" s="12"/>
      <c r="EF28" s="12"/>
      <c r="EG28" s="12"/>
      <c r="EH28" s="12"/>
      <c r="EL28" s="12"/>
      <c r="EM28" s="12"/>
      <c r="EN28" s="12"/>
      <c r="EO28" s="12"/>
    </row>
    <row r="29" spans="2:145" ht="15.75" customHeight="1" outlineLevel="1">
      <c r="B29" t="s">
        <v>28</v>
      </c>
      <c r="C29" t="s">
        <v>98</v>
      </c>
      <c r="E29" s="11"/>
      <c r="F29" t="s">
        <v>135</v>
      </c>
      <c r="G29" s="12">
        <v>0.05</v>
      </c>
      <c r="I29" s="11">
        <f>+SUMIF($N$3:$YD$3,I$3,$N29:$YD29)</f>
        <v>0</v>
      </c>
      <c r="J29" s="13" cm="1">
        <f t="array" ref="J29">MAX(IF($N$3:$DN$3=$J$3,N29:DN29))</f>
        <v>0</v>
      </c>
      <c r="K29" s="13" cm="1">
        <f t="array" ref="K29">MAX(IF($N$3:$DN$3=$J$3,N29:DN29))</f>
        <v>0</v>
      </c>
      <c r="L29" s="11"/>
      <c r="P29" s="12"/>
      <c r="Q29" s="12"/>
      <c r="R29" s="12"/>
      <c r="S29" s="12"/>
      <c r="W29" s="12"/>
      <c r="X29" s="12"/>
      <c r="Y29" s="12"/>
      <c r="Z29" s="12"/>
      <c r="AD29" s="12"/>
      <c r="AE29" s="12">
        <v>0.5</v>
      </c>
      <c r="AF29" s="12"/>
      <c r="AG29" s="12">
        <v>0.5</v>
      </c>
      <c r="AK29" s="12"/>
      <c r="AL29" s="12">
        <v>0.5</v>
      </c>
      <c r="AM29" s="12"/>
      <c r="AN29" s="12">
        <v>0.5</v>
      </c>
      <c r="AR29" s="12"/>
      <c r="AS29" s="12">
        <v>0.5</v>
      </c>
      <c r="AT29" s="12"/>
      <c r="AU29" s="12">
        <v>0.5</v>
      </c>
      <c r="AY29" s="12"/>
      <c r="AZ29" s="12">
        <v>0.5</v>
      </c>
      <c r="BA29" s="12"/>
      <c r="BB29" s="12">
        <v>0.5</v>
      </c>
      <c r="BF29" s="12"/>
      <c r="BG29" s="12">
        <v>0.5</v>
      </c>
      <c r="BH29" s="12"/>
      <c r="BI29" s="12">
        <v>0.5</v>
      </c>
      <c r="BM29" s="12"/>
      <c r="BN29" s="12">
        <v>0.8</v>
      </c>
      <c r="BO29" s="12"/>
      <c r="BP29" s="12">
        <v>0.8</v>
      </c>
      <c r="BT29" s="12"/>
      <c r="BU29" s="12">
        <v>0.8</v>
      </c>
      <c r="BV29" s="12"/>
      <c r="BW29" s="12">
        <v>0.8</v>
      </c>
      <c r="CA29" s="12"/>
      <c r="CB29" s="12">
        <v>0.8</v>
      </c>
      <c r="CC29" s="12"/>
      <c r="CD29" s="12">
        <v>0.8</v>
      </c>
      <c r="CH29" s="12"/>
      <c r="CI29" s="12">
        <v>0.8</v>
      </c>
      <c r="CJ29" s="12"/>
      <c r="CK29" s="12">
        <v>0.8</v>
      </c>
      <c r="CO29" s="12"/>
      <c r="CP29" s="12">
        <v>0.8</v>
      </c>
      <c r="CQ29" s="12"/>
      <c r="CR29" s="12">
        <v>0.8</v>
      </c>
      <c r="CV29" s="12"/>
      <c r="CW29" s="12">
        <v>1</v>
      </c>
      <c r="CX29" s="12"/>
      <c r="CY29" s="12">
        <v>1</v>
      </c>
      <c r="DC29" s="12"/>
      <c r="DD29" s="12">
        <v>1</v>
      </c>
      <c r="DE29" s="12"/>
      <c r="DF29" s="12">
        <v>1</v>
      </c>
      <c r="DJ29" s="12"/>
      <c r="DK29" s="12">
        <v>1</v>
      </c>
      <c r="DL29" s="12"/>
      <c r="DM29" s="12">
        <v>1</v>
      </c>
      <c r="DQ29" s="12"/>
      <c r="DR29" s="12"/>
      <c r="DS29" s="12"/>
      <c r="DT29" s="12"/>
      <c r="DX29" s="12"/>
      <c r="DY29" s="12"/>
      <c r="DZ29" s="12"/>
      <c r="EA29" s="12"/>
      <c r="EE29" s="12"/>
      <c r="EF29" s="12"/>
      <c r="EG29" s="12"/>
      <c r="EH29" s="12"/>
      <c r="EL29" s="12"/>
      <c r="EM29" s="12"/>
      <c r="EN29" s="12"/>
      <c r="EO29" s="12"/>
    </row>
    <row r="30" spans="2:145" ht="15.75" customHeight="1" outlineLevel="1">
      <c r="B30" t="s">
        <v>28</v>
      </c>
      <c r="C30" t="s">
        <v>98</v>
      </c>
      <c r="E30" s="11"/>
      <c r="F30" t="s">
        <v>136</v>
      </c>
      <c r="G30" s="12">
        <v>0.05</v>
      </c>
      <c r="I30" s="11">
        <f>+SUMIF($N$3:$YD$3,I$3,$N30:$YD30)</f>
        <v>0</v>
      </c>
      <c r="J30" s="13" cm="1">
        <f t="array" ref="J30">MAX(IF($N$3:$DN$3=$J$3,N30:DN30))</f>
        <v>0</v>
      </c>
      <c r="K30" s="13" cm="1">
        <f t="array" ref="K30">MAX(IF($N$3:$DN$3=$J$3,N30:DN30))</f>
        <v>0</v>
      </c>
      <c r="L30" s="11"/>
      <c r="P30" s="12"/>
      <c r="Q30" s="12"/>
      <c r="R30" s="12"/>
      <c r="S30" s="12"/>
      <c r="W30" s="12"/>
      <c r="X30" s="12"/>
      <c r="Y30" s="12"/>
      <c r="Z30" s="12"/>
      <c r="AD30" s="12"/>
      <c r="AE30" s="12"/>
      <c r="AF30" s="12"/>
      <c r="AG30" s="12"/>
      <c r="AK30" s="12"/>
      <c r="AL30" s="12">
        <v>0.5</v>
      </c>
      <c r="AM30" s="12"/>
      <c r="AN30" s="12">
        <v>0.5</v>
      </c>
      <c r="AR30" s="12"/>
      <c r="AS30" s="12">
        <v>0.5</v>
      </c>
      <c r="AT30" s="12"/>
      <c r="AU30" s="12">
        <v>0.5</v>
      </c>
      <c r="AY30" s="12"/>
      <c r="AZ30" s="12">
        <v>0.5</v>
      </c>
      <c r="BA30" s="12"/>
      <c r="BB30" s="12">
        <v>0.5</v>
      </c>
      <c r="BF30" s="12"/>
      <c r="BG30" s="12">
        <v>0.5</v>
      </c>
      <c r="BH30" s="12"/>
      <c r="BI30" s="12">
        <v>0.5</v>
      </c>
      <c r="BM30" s="12"/>
      <c r="BN30" s="12">
        <v>0.5</v>
      </c>
      <c r="BO30" s="12"/>
      <c r="BP30" s="12">
        <v>0.5</v>
      </c>
      <c r="BT30" s="12"/>
      <c r="BU30" s="12">
        <v>0.8</v>
      </c>
      <c r="BV30" s="12"/>
      <c r="BW30" s="12">
        <v>0.8</v>
      </c>
      <c r="CA30" s="12"/>
      <c r="CB30" s="12">
        <v>0.8</v>
      </c>
      <c r="CC30" s="12"/>
      <c r="CD30" s="12">
        <v>0.8</v>
      </c>
      <c r="CH30" s="12"/>
      <c r="CI30" s="12">
        <v>0.8</v>
      </c>
      <c r="CJ30" s="12"/>
      <c r="CK30" s="12">
        <v>0.8</v>
      </c>
      <c r="CO30" s="12"/>
      <c r="CP30" s="12">
        <v>0.8</v>
      </c>
      <c r="CQ30" s="12"/>
      <c r="CR30" s="12">
        <v>0.8</v>
      </c>
      <c r="CV30" s="12"/>
      <c r="CW30" s="12">
        <v>0.8</v>
      </c>
      <c r="CX30" s="12"/>
      <c r="CY30" s="12">
        <v>0.8</v>
      </c>
      <c r="DC30" s="12"/>
      <c r="DD30" s="12">
        <v>1</v>
      </c>
      <c r="DE30" s="12"/>
      <c r="DF30" s="12">
        <v>1</v>
      </c>
      <c r="DJ30" s="12"/>
      <c r="DK30" s="12">
        <v>1</v>
      </c>
      <c r="DL30" s="12"/>
      <c r="DM30" s="12">
        <v>1</v>
      </c>
      <c r="DQ30" s="12"/>
      <c r="DR30" s="12"/>
      <c r="DS30" s="12"/>
      <c r="DT30" s="12"/>
      <c r="DX30" s="12"/>
      <c r="DY30" s="12"/>
      <c r="DZ30" s="12"/>
      <c r="EA30" s="12"/>
      <c r="EE30" s="12"/>
      <c r="EF30" s="12"/>
      <c r="EG30" s="12"/>
      <c r="EH30" s="12"/>
      <c r="EL30" s="12"/>
      <c r="EM30" s="12"/>
      <c r="EN30" s="12"/>
      <c r="EO30" s="12"/>
    </row>
    <row r="31" spans="2:145" ht="15.75" customHeight="1" outlineLevel="1">
      <c r="B31" t="s">
        <v>28</v>
      </c>
      <c r="C31" t="s">
        <v>98</v>
      </c>
      <c r="E31" s="11"/>
      <c r="F31" t="s">
        <v>137</v>
      </c>
      <c r="G31" s="12">
        <v>0.1</v>
      </c>
      <c r="I31" s="11">
        <f>+SUMIF($N$3:$YD$3,I$3,$N31:$YD31)</f>
        <v>0</v>
      </c>
      <c r="J31" s="13" cm="1">
        <f t="array" ref="J31">MAX(IF($N$3:$DN$3=$J$3,N31:DN31))</f>
        <v>0</v>
      </c>
      <c r="K31" s="13" cm="1">
        <f t="array" ref="K31">MAX(IF($N$3:$DN$3=$J$3,N31:DN31))</f>
        <v>0</v>
      </c>
      <c r="L31" s="11"/>
      <c r="P31" s="12"/>
      <c r="Q31" s="12"/>
      <c r="R31" s="12"/>
      <c r="S31" s="12"/>
      <c r="W31" s="12"/>
      <c r="X31" s="12"/>
      <c r="Y31" s="12"/>
      <c r="Z31" s="12"/>
      <c r="AD31" s="12"/>
      <c r="AE31" s="12"/>
      <c r="AF31" s="12"/>
      <c r="AG31" s="12"/>
      <c r="AK31" s="12"/>
      <c r="AL31" s="12"/>
      <c r="AM31" s="12"/>
      <c r="AN31" s="12"/>
      <c r="AR31" s="12"/>
      <c r="AS31" s="12">
        <v>0.5</v>
      </c>
      <c r="AT31" s="12"/>
      <c r="AU31" s="12">
        <v>0.5</v>
      </c>
      <c r="AY31" s="12"/>
      <c r="AZ31" s="12">
        <v>0.5</v>
      </c>
      <c r="BA31" s="12"/>
      <c r="BB31" s="12">
        <v>0.5</v>
      </c>
      <c r="BF31" s="12"/>
      <c r="BG31" s="12">
        <v>0.5</v>
      </c>
      <c r="BH31" s="12"/>
      <c r="BI31" s="12">
        <v>0.5</v>
      </c>
      <c r="BM31" s="12"/>
      <c r="BN31" s="12">
        <v>0.5</v>
      </c>
      <c r="BO31" s="12"/>
      <c r="BP31" s="12">
        <v>0.5</v>
      </c>
      <c r="BT31" s="12"/>
      <c r="BU31" s="12">
        <v>0.5</v>
      </c>
      <c r="BV31" s="12"/>
      <c r="BW31" s="12">
        <v>0.5</v>
      </c>
      <c r="CA31" s="12"/>
      <c r="CB31" s="12">
        <v>0.8</v>
      </c>
      <c r="CC31" s="12"/>
      <c r="CD31" s="12">
        <v>0.8</v>
      </c>
      <c r="CH31" s="12"/>
      <c r="CI31" s="12">
        <v>0.8</v>
      </c>
      <c r="CJ31" s="12"/>
      <c r="CK31" s="12">
        <v>0.8</v>
      </c>
      <c r="CO31" s="12"/>
      <c r="CP31" s="12">
        <v>0.8</v>
      </c>
      <c r="CQ31" s="12"/>
      <c r="CR31" s="12">
        <v>0.8</v>
      </c>
      <c r="CV31" s="12"/>
      <c r="CW31" s="12">
        <v>0.8</v>
      </c>
      <c r="CX31" s="12"/>
      <c r="CY31" s="12">
        <v>0.8</v>
      </c>
      <c r="DC31" s="12"/>
      <c r="DD31" s="12">
        <v>1</v>
      </c>
      <c r="DE31" s="12"/>
      <c r="DF31" s="12">
        <v>1</v>
      </c>
      <c r="DJ31" s="12"/>
      <c r="DK31" s="12">
        <v>1</v>
      </c>
      <c r="DL31" s="12"/>
      <c r="DM31" s="12">
        <v>1</v>
      </c>
      <c r="DQ31" s="12"/>
      <c r="DR31" s="12"/>
      <c r="DS31" s="12"/>
      <c r="DT31" s="12"/>
      <c r="DX31" s="12"/>
      <c r="DY31" s="12"/>
      <c r="DZ31" s="12"/>
      <c r="EA31" s="12"/>
      <c r="EE31" s="12"/>
      <c r="EF31" s="12"/>
      <c r="EG31" s="12"/>
      <c r="EH31" s="12"/>
      <c r="EL31" s="12"/>
      <c r="EM31" s="12"/>
      <c r="EN31" s="12"/>
      <c r="EO31" s="12"/>
    </row>
    <row r="32" spans="2:145" ht="15.75" customHeight="1" outlineLevel="1">
      <c r="B32" t="s">
        <v>28</v>
      </c>
      <c r="C32" t="s">
        <v>98</v>
      </c>
      <c r="E32" s="11"/>
      <c r="F32" t="s">
        <v>138</v>
      </c>
      <c r="G32" s="12">
        <v>0.1</v>
      </c>
      <c r="I32" s="11">
        <f>+SUMIF($N$3:$YD$3,I$3,$N32:$YD32)</f>
        <v>0</v>
      </c>
      <c r="J32" s="13" cm="1">
        <f t="array" ref="J32">MAX(IF($N$3:$DN$3=$J$3,N32:DN32))</f>
        <v>0</v>
      </c>
      <c r="K32" s="13" cm="1">
        <f t="array" ref="K32">MAX(IF($N$3:$DN$3=$J$3,N32:DN32))</f>
        <v>0</v>
      </c>
      <c r="L32" s="11"/>
      <c r="P32" s="12"/>
      <c r="Q32" s="12"/>
      <c r="R32" s="12"/>
      <c r="S32" s="12"/>
      <c r="W32" s="12"/>
      <c r="X32" s="12"/>
      <c r="Y32" s="12"/>
      <c r="Z32" s="12"/>
      <c r="AD32" s="12"/>
      <c r="AE32" s="12"/>
      <c r="AF32" s="12"/>
      <c r="AG32" s="12"/>
      <c r="AK32" s="12"/>
      <c r="AL32" s="12"/>
      <c r="AM32" s="12"/>
      <c r="AN32" s="12"/>
      <c r="AR32" s="12"/>
      <c r="AS32" s="12"/>
      <c r="AT32" s="12"/>
      <c r="AU32" s="12"/>
      <c r="AY32" s="12"/>
      <c r="AZ32" s="12">
        <v>0.5</v>
      </c>
      <c r="BA32" s="12"/>
      <c r="BB32" s="12">
        <v>0.5</v>
      </c>
      <c r="BF32" s="12"/>
      <c r="BG32" s="12">
        <v>0.5</v>
      </c>
      <c r="BH32" s="12"/>
      <c r="BI32" s="12">
        <v>0.5</v>
      </c>
      <c r="BM32" s="12"/>
      <c r="BN32" s="12">
        <v>0.5</v>
      </c>
      <c r="BO32" s="12"/>
      <c r="BP32" s="12">
        <v>0.5</v>
      </c>
      <c r="BT32" s="12"/>
      <c r="BU32" s="12">
        <v>0.5</v>
      </c>
      <c r="BV32" s="12"/>
      <c r="BW32" s="12">
        <v>0.5</v>
      </c>
      <c r="CA32" s="12"/>
      <c r="CB32" s="12">
        <v>0.8</v>
      </c>
      <c r="CC32" s="12"/>
      <c r="CD32" s="12">
        <v>0.8</v>
      </c>
      <c r="CH32" s="12"/>
      <c r="CI32" s="12">
        <v>0.8</v>
      </c>
      <c r="CJ32" s="12"/>
      <c r="CK32" s="12">
        <v>0.8</v>
      </c>
      <c r="CO32" s="12"/>
      <c r="CP32" s="12">
        <v>0.8</v>
      </c>
      <c r="CQ32" s="12"/>
      <c r="CR32" s="12">
        <v>0.8</v>
      </c>
      <c r="CV32" s="12"/>
      <c r="CW32" s="12">
        <v>0.8</v>
      </c>
      <c r="CX32" s="12"/>
      <c r="CY32" s="12">
        <v>0.8</v>
      </c>
      <c r="DC32" s="12"/>
      <c r="DD32" s="12">
        <v>0.8</v>
      </c>
      <c r="DE32" s="12"/>
      <c r="DF32" s="12">
        <v>0.8</v>
      </c>
      <c r="DJ32" s="12"/>
      <c r="DK32" s="12">
        <v>1</v>
      </c>
      <c r="DL32" s="12"/>
      <c r="DM32" s="12">
        <v>1</v>
      </c>
      <c r="DQ32" s="12"/>
      <c r="DR32" s="12"/>
      <c r="DS32" s="12"/>
      <c r="DT32" s="12"/>
      <c r="DX32" s="12"/>
      <c r="DY32" s="12"/>
      <c r="DZ32" s="12"/>
      <c r="EA32" s="12"/>
      <c r="EE32" s="12"/>
      <c r="EF32" s="12"/>
      <c r="EG32" s="12"/>
      <c r="EH32" s="12"/>
      <c r="EL32" s="12"/>
      <c r="EM32" s="12"/>
      <c r="EN32" s="12"/>
      <c r="EO32" s="12"/>
    </row>
    <row r="33" spans="2:145" ht="15.75" customHeight="1" outlineLevel="1">
      <c r="B33" t="s">
        <v>28</v>
      </c>
      <c r="C33" t="s">
        <v>99</v>
      </c>
      <c r="E33" s="11"/>
      <c r="G33" s="12">
        <v>0.1</v>
      </c>
      <c r="I33" s="11">
        <f>+SUMIF($N$3:$YD$3,I$3,$N33:$YD33)</f>
        <v>0</v>
      </c>
      <c r="J33" s="13" cm="1">
        <f t="array" ref="J33">MAX(IF($N$3:$DN$3=$J$3,N33:DN33))</f>
        <v>0</v>
      </c>
      <c r="K33" s="13" cm="1">
        <f t="array" ref="K33">MAX(IF($N$3:$DN$3=$J$3,N33:DN33))</f>
        <v>0</v>
      </c>
      <c r="L33" s="11"/>
      <c r="P33" s="12"/>
      <c r="Q33" s="12"/>
      <c r="R33" s="12"/>
      <c r="S33" s="12"/>
      <c r="W33" s="12"/>
      <c r="X33" s="12"/>
      <c r="Y33" s="12"/>
      <c r="Z33" s="12"/>
      <c r="AD33" s="12"/>
      <c r="AE33" s="12"/>
      <c r="AF33" s="12"/>
      <c r="AG33" s="12"/>
      <c r="AK33" s="12"/>
      <c r="AL33" s="12"/>
      <c r="AM33" s="12"/>
      <c r="AN33" s="12"/>
      <c r="AR33" s="12"/>
      <c r="AS33" s="12"/>
      <c r="AT33" s="12"/>
      <c r="AU33" s="12"/>
      <c r="AY33" s="12"/>
      <c r="AZ33" s="12">
        <v>0.5</v>
      </c>
      <c r="BA33" s="12"/>
      <c r="BB33" s="12">
        <v>0.5</v>
      </c>
      <c r="BF33" s="12"/>
      <c r="BG33" s="12">
        <v>0.5</v>
      </c>
      <c r="BH33" s="12"/>
      <c r="BI33" s="12">
        <v>0.5</v>
      </c>
      <c r="BM33" s="12"/>
      <c r="BN33" s="12">
        <v>0.5</v>
      </c>
      <c r="BO33" s="12"/>
      <c r="BP33" s="12">
        <v>0.5</v>
      </c>
      <c r="BT33" s="12"/>
      <c r="BU33" s="12">
        <v>0.5</v>
      </c>
      <c r="BV33" s="12"/>
      <c r="BW33" s="12">
        <v>0.5</v>
      </c>
      <c r="CA33" s="12"/>
      <c r="CB33" s="12">
        <v>0.5</v>
      </c>
      <c r="CC33" s="12"/>
      <c r="CD33" s="12">
        <v>0.5</v>
      </c>
      <c r="CH33" s="12"/>
      <c r="CI33" s="12">
        <v>0.8</v>
      </c>
      <c r="CJ33" s="12"/>
      <c r="CK33" s="12">
        <v>0.8</v>
      </c>
      <c r="CO33" s="12"/>
      <c r="CP33" s="12">
        <v>0.8</v>
      </c>
      <c r="CQ33" s="12"/>
      <c r="CR33" s="12">
        <v>0.8</v>
      </c>
      <c r="CV33" s="12"/>
      <c r="CW33" s="12">
        <v>0.8</v>
      </c>
      <c r="CX33" s="12"/>
      <c r="CY33" s="12">
        <v>0.8</v>
      </c>
      <c r="DC33" s="12"/>
      <c r="DD33" s="12">
        <v>0.8</v>
      </c>
      <c r="DE33" s="12"/>
      <c r="DF33" s="12">
        <v>0.8</v>
      </c>
      <c r="DJ33" s="12"/>
      <c r="DK33" s="12">
        <v>1</v>
      </c>
      <c r="DL33" s="12"/>
      <c r="DM33" s="12">
        <v>1</v>
      </c>
      <c r="DQ33" s="12"/>
      <c r="DR33" s="12"/>
      <c r="DS33" s="12"/>
      <c r="DT33" s="12"/>
      <c r="DX33" s="12"/>
      <c r="DY33" s="12"/>
      <c r="DZ33" s="12"/>
      <c r="EA33" s="12"/>
      <c r="EE33" s="12"/>
      <c r="EF33" s="12"/>
      <c r="EG33" s="12"/>
      <c r="EH33" s="12"/>
      <c r="EL33" s="12"/>
      <c r="EM33" s="12"/>
      <c r="EN33" s="12"/>
      <c r="EO33" s="12"/>
    </row>
    <row r="35" spans="2:145">
      <c r="B35" t="s">
        <v>27</v>
      </c>
      <c r="C35" t="s">
        <v>91</v>
      </c>
      <c r="D35" s="22">
        <v>44612</v>
      </c>
      <c r="E35" s="11">
        <v>6</v>
      </c>
      <c r="G35" s="12">
        <f>+SUM(G36:G40)</f>
        <v>0.44999999999999996</v>
      </c>
      <c r="I35" s="14">
        <f>+SUM(I36:I40)</f>
        <v>0</v>
      </c>
      <c r="J35" s="13">
        <f>+SUMPRODUCT(G36:G40,J36:J40)</f>
        <v>0</v>
      </c>
      <c r="K35" s="13">
        <f>+SUMPRODUCT(G36:G40,K36:K40)</f>
        <v>0</v>
      </c>
      <c r="L35" s="11"/>
      <c r="O35" s="14">
        <f>+SUM(O36:O40)</f>
        <v>0</v>
      </c>
      <c r="V35" s="14">
        <f>+SUM(V36:V40)</f>
        <v>0</v>
      </c>
    </row>
    <row r="36" spans="2:145" ht="15.75" customHeight="1" outlineLevel="1">
      <c r="B36" t="s">
        <v>28</v>
      </c>
      <c r="C36" t="s">
        <v>100</v>
      </c>
      <c r="E36" s="11"/>
      <c r="F36" t="s">
        <v>128</v>
      </c>
      <c r="G36" s="12">
        <v>0.1</v>
      </c>
      <c r="I36" s="11">
        <f>+SUMIF($N$3:$YD$3,I$3,$N36:$YD36)</f>
        <v>0</v>
      </c>
      <c r="J36" s="13" cm="1">
        <f t="array" ref="J36">MAX(IF($N$3:$DN$3=$J$3,N36:DN36))</f>
        <v>0</v>
      </c>
      <c r="K36" s="13" cm="1">
        <f t="array" ref="K36">MAX(IF($N$3:$DN$3=$J$3,N36:DN36))</f>
        <v>0</v>
      </c>
      <c r="L36" s="11"/>
      <c r="P36" s="12"/>
      <c r="Q36" s="12">
        <v>0.5</v>
      </c>
      <c r="R36" s="12"/>
      <c r="S36" s="12">
        <v>0.5</v>
      </c>
      <c r="W36" s="12"/>
      <c r="X36" s="12">
        <v>0.5</v>
      </c>
      <c r="Y36" s="12"/>
      <c r="Z36" s="12">
        <v>0.5</v>
      </c>
      <c r="AD36" s="12"/>
      <c r="AE36" s="12">
        <v>0.5</v>
      </c>
      <c r="AF36" s="12"/>
      <c r="AG36" s="12">
        <v>0.5</v>
      </c>
      <c r="AK36" s="12"/>
      <c r="AL36" s="12">
        <v>0.5</v>
      </c>
      <c r="AM36" s="12"/>
      <c r="AN36" s="12">
        <v>0.5</v>
      </c>
      <c r="AR36" s="12"/>
      <c r="AS36" s="12">
        <v>0.5</v>
      </c>
      <c r="AT36" s="12"/>
      <c r="AU36" s="12">
        <v>0.5</v>
      </c>
      <c r="AY36" s="12"/>
      <c r="AZ36" s="12">
        <v>0.8</v>
      </c>
      <c r="BA36" s="12"/>
      <c r="BB36" s="12">
        <v>0.8</v>
      </c>
      <c r="BF36" s="12"/>
      <c r="BG36" s="12">
        <v>0.8</v>
      </c>
      <c r="BH36" s="12"/>
      <c r="BI36" s="12">
        <v>0.8</v>
      </c>
      <c r="BM36" s="12"/>
      <c r="BN36" s="12">
        <v>0.8</v>
      </c>
      <c r="BO36" s="12"/>
      <c r="BP36" s="12">
        <v>0.8</v>
      </c>
      <c r="BT36" s="12"/>
      <c r="BU36" s="12">
        <v>0.8</v>
      </c>
      <c r="BV36" s="12"/>
      <c r="BW36" s="12">
        <v>0.8</v>
      </c>
      <c r="CA36" s="12"/>
      <c r="CB36" s="12">
        <v>0.8</v>
      </c>
      <c r="CC36" s="12"/>
      <c r="CD36" s="12">
        <v>0.8</v>
      </c>
      <c r="CH36" s="12"/>
      <c r="CI36" s="12">
        <v>1</v>
      </c>
      <c r="CJ36" s="12"/>
      <c r="CK36" s="12">
        <v>1</v>
      </c>
      <c r="CO36" s="12"/>
      <c r="CP36" s="12">
        <v>1</v>
      </c>
      <c r="CQ36" s="12"/>
      <c r="CR36" s="12">
        <v>1</v>
      </c>
      <c r="CV36" s="12"/>
      <c r="CW36" s="12">
        <v>1</v>
      </c>
      <c r="CX36" s="12"/>
      <c r="CY36" s="12">
        <v>1</v>
      </c>
      <c r="DC36" s="12"/>
      <c r="DD36" s="12">
        <v>1</v>
      </c>
      <c r="DE36" s="12"/>
      <c r="DF36" s="12">
        <v>1</v>
      </c>
      <c r="DJ36" s="12"/>
      <c r="DK36" s="12">
        <v>1</v>
      </c>
      <c r="DL36" s="12"/>
      <c r="DM36" s="12">
        <v>1</v>
      </c>
      <c r="DQ36" s="12"/>
      <c r="DR36" s="12"/>
      <c r="DS36" s="12"/>
      <c r="DT36" s="12"/>
      <c r="DX36" s="12"/>
      <c r="DY36" s="12"/>
      <c r="DZ36" s="12"/>
      <c r="EA36" s="12"/>
      <c r="EE36" s="12"/>
      <c r="EF36" s="12"/>
      <c r="EG36" s="12"/>
      <c r="EH36" s="12"/>
      <c r="EL36" s="12"/>
      <c r="EM36" s="12"/>
      <c r="EN36" s="12"/>
      <c r="EO36" s="12"/>
    </row>
    <row r="37" spans="2:145" ht="15.75" customHeight="1" outlineLevel="1">
      <c r="B37" t="s">
        <v>28</v>
      </c>
      <c r="C37" t="s">
        <v>100</v>
      </c>
      <c r="E37" s="11"/>
      <c r="F37" t="s">
        <v>129</v>
      </c>
      <c r="G37" s="12">
        <v>0.05</v>
      </c>
      <c r="I37" s="11">
        <f>+SUMIF($N$3:$YD$3,I$3,$N37:$YD37)</f>
        <v>0</v>
      </c>
      <c r="J37" s="13" cm="1">
        <f t="array" ref="J37">MAX(IF($N$3:$DN$3=$J$3,N37:DN37))</f>
        <v>0</v>
      </c>
      <c r="K37" s="13" cm="1">
        <f t="array" ref="K37">MAX(IF($N$3:$DN$3=$J$3,N37:DN37))</f>
        <v>0</v>
      </c>
      <c r="L37" s="11"/>
      <c r="P37" s="12"/>
      <c r="Q37" s="12"/>
      <c r="R37" s="12"/>
      <c r="S37" s="12"/>
      <c r="W37" s="12"/>
      <c r="X37" s="12">
        <v>0.5</v>
      </c>
      <c r="Y37" s="12"/>
      <c r="Z37" s="12">
        <v>0.5</v>
      </c>
      <c r="AD37" s="12"/>
      <c r="AE37" s="12">
        <v>0.5</v>
      </c>
      <c r="AF37" s="12"/>
      <c r="AG37" s="12">
        <v>0.5</v>
      </c>
      <c r="AK37" s="12"/>
      <c r="AL37" s="12">
        <v>0.5</v>
      </c>
      <c r="AM37" s="12"/>
      <c r="AN37" s="12">
        <v>0.5</v>
      </c>
      <c r="AR37" s="12"/>
      <c r="AS37" s="12">
        <v>0.5</v>
      </c>
      <c r="AT37" s="12"/>
      <c r="AU37" s="12">
        <v>0.5</v>
      </c>
      <c r="AY37" s="12"/>
      <c r="AZ37" s="12">
        <v>0.5</v>
      </c>
      <c r="BA37" s="12"/>
      <c r="BB37" s="12">
        <v>0.5</v>
      </c>
      <c r="BF37" s="12"/>
      <c r="BG37" s="12">
        <v>0.8</v>
      </c>
      <c r="BH37" s="12"/>
      <c r="BI37" s="12">
        <v>0.8</v>
      </c>
      <c r="BM37" s="12"/>
      <c r="BN37" s="12">
        <v>0.8</v>
      </c>
      <c r="BO37" s="12"/>
      <c r="BP37" s="12">
        <v>0.8</v>
      </c>
      <c r="BT37" s="12"/>
      <c r="BU37" s="12">
        <v>0.8</v>
      </c>
      <c r="BV37" s="12"/>
      <c r="BW37" s="12">
        <v>0.8</v>
      </c>
      <c r="CA37" s="12"/>
      <c r="CB37" s="12">
        <v>0.8</v>
      </c>
      <c r="CC37" s="12"/>
      <c r="CD37" s="12">
        <v>0.8</v>
      </c>
      <c r="CH37" s="12"/>
      <c r="CI37" s="12">
        <v>0.8</v>
      </c>
      <c r="CJ37" s="12"/>
      <c r="CK37" s="12">
        <v>0.8</v>
      </c>
      <c r="CO37" s="12"/>
      <c r="CP37" s="12">
        <v>1</v>
      </c>
      <c r="CQ37" s="12"/>
      <c r="CR37" s="12">
        <v>1</v>
      </c>
      <c r="CV37" s="12"/>
      <c r="CW37" s="12">
        <v>1</v>
      </c>
      <c r="CX37" s="12"/>
      <c r="CY37" s="12">
        <v>1</v>
      </c>
      <c r="DC37" s="12"/>
      <c r="DD37" s="12">
        <v>1</v>
      </c>
      <c r="DE37" s="12"/>
      <c r="DF37" s="12">
        <v>1</v>
      </c>
      <c r="DJ37" s="12"/>
      <c r="DK37" s="12">
        <v>1</v>
      </c>
      <c r="DL37" s="12"/>
      <c r="DM37" s="12">
        <v>1</v>
      </c>
      <c r="DQ37" s="12"/>
      <c r="DR37" s="12"/>
      <c r="DS37" s="12"/>
      <c r="DT37" s="12"/>
      <c r="DX37" s="12"/>
      <c r="DY37" s="12"/>
      <c r="DZ37" s="12"/>
      <c r="EA37" s="12"/>
      <c r="EE37" s="12"/>
      <c r="EF37" s="12"/>
      <c r="EG37" s="12"/>
      <c r="EH37" s="12"/>
      <c r="EL37" s="12"/>
      <c r="EM37" s="12"/>
      <c r="EN37" s="12"/>
      <c r="EO37" s="12"/>
    </row>
    <row r="38" spans="2:145" ht="15.75" customHeight="1" outlineLevel="1">
      <c r="B38" t="s">
        <v>28</v>
      </c>
      <c r="C38" t="s">
        <v>100</v>
      </c>
      <c r="E38" s="11"/>
      <c r="F38" t="s">
        <v>130</v>
      </c>
      <c r="G38" s="12">
        <v>0.1</v>
      </c>
      <c r="I38" s="11">
        <f>+SUMIF($N$3:$YD$3,I$3,$N38:$YD38)</f>
        <v>0</v>
      </c>
      <c r="J38" s="13" cm="1">
        <f t="array" ref="J38">MAX(IF($N$3:$DN$3=$J$3,N38:DN38))</f>
        <v>0</v>
      </c>
      <c r="K38" s="13" cm="1">
        <f t="array" ref="K38">MAX(IF($N$3:$DN$3=$J$3,N38:DN38))</f>
        <v>0</v>
      </c>
      <c r="L38" s="11"/>
      <c r="P38" s="12"/>
      <c r="Q38" s="12"/>
      <c r="R38" s="12"/>
      <c r="S38" s="12"/>
      <c r="W38" s="12"/>
      <c r="X38" s="12"/>
      <c r="Y38" s="12"/>
      <c r="Z38" s="12"/>
      <c r="AD38" s="12"/>
      <c r="AE38" s="12">
        <v>0.5</v>
      </c>
      <c r="AF38" s="12"/>
      <c r="AG38" s="12">
        <v>0.5</v>
      </c>
      <c r="AK38" s="12"/>
      <c r="AL38" s="12">
        <v>0.5</v>
      </c>
      <c r="AM38" s="12"/>
      <c r="AN38" s="12">
        <v>0.5</v>
      </c>
      <c r="AR38" s="12"/>
      <c r="AS38" s="12">
        <v>0.5</v>
      </c>
      <c r="AT38" s="12"/>
      <c r="AU38" s="12">
        <v>0.5</v>
      </c>
      <c r="AY38" s="12"/>
      <c r="AZ38" s="12">
        <v>0.5</v>
      </c>
      <c r="BA38" s="12"/>
      <c r="BB38" s="12">
        <v>0.5</v>
      </c>
      <c r="BF38" s="12"/>
      <c r="BG38" s="12">
        <v>0.5</v>
      </c>
      <c r="BH38" s="12"/>
      <c r="BI38" s="12">
        <v>0.5</v>
      </c>
      <c r="BM38" s="12"/>
      <c r="BN38" s="12">
        <v>0.8</v>
      </c>
      <c r="BO38" s="12"/>
      <c r="BP38" s="12">
        <v>0.8</v>
      </c>
      <c r="BT38" s="12"/>
      <c r="BU38" s="12">
        <v>0.8</v>
      </c>
      <c r="BV38" s="12"/>
      <c r="BW38" s="12">
        <v>0.8</v>
      </c>
      <c r="CA38" s="12"/>
      <c r="CB38" s="12">
        <v>0.8</v>
      </c>
      <c r="CC38" s="12"/>
      <c r="CD38" s="12">
        <v>0.8</v>
      </c>
      <c r="CH38" s="12"/>
      <c r="CI38" s="12">
        <v>0.8</v>
      </c>
      <c r="CJ38" s="12"/>
      <c r="CK38" s="12">
        <v>0.8</v>
      </c>
      <c r="CO38" s="12"/>
      <c r="CP38" s="12">
        <v>0.8</v>
      </c>
      <c r="CQ38" s="12"/>
      <c r="CR38" s="12">
        <v>0.8</v>
      </c>
      <c r="CV38" s="12"/>
      <c r="CW38" s="12">
        <v>1</v>
      </c>
      <c r="CX38" s="12"/>
      <c r="CY38" s="12">
        <v>1</v>
      </c>
      <c r="DC38" s="12"/>
      <c r="DD38" s="12">
        <v>1</v>
      </c>
      <c r="DE38" s="12"/>
      <c r="DF38" s="12">
        <v>1</v>
      </c>
      <c r="DJ38" s="12"/>
      <c r="DK38" s="12">
        <v>1</v>
      </c>
      <c r="DL38" s="12"/>
      <c r="DM38" s="12">
        <v>1</v>
      </c>
      <c r="DQ38" s="12"/>
      <c r="DR38" s="12"/>
      <c r="DS38" s="12"/>
      <c r="DT38" s="12"/>
      <c r="DX38" s="12"/>
      <c r="DY38" s="12"/>
      <c r="DZ38" s="12"/>
      <c r="EA38" s="12"/>
      <c r="EE38" s="12"/>
      <c r="EF38" s="12"/>
      <c r="EG38" s="12"/>
      <c r="EH38" s="12"/>
      <c r="EL38" s="12"/>
      <c r="EM38" s="12"/>
      <c r="EN38" s="12"/>
      <c r="EO38" s="12"/>
    </row>
    <row r="39" spans="2:145" ht="15.75" customHeight="1" outlineLevel="1">
      <c r="B39" t="s">
        <v>28</v>
      </c>
      <c r="C39" t="s">
        <v>100</v>
      </c>
      <c r="E39" s="11"/>
      <c r="F39" t="s">
        <v>131</v>
      </c>
      <c r="G39" s="12">
        <v>0.1</v>
      </c>
      <c r="I39" s="11">
        <f>+SUMIF($N$3:$YD$3,I$3,$N39:$YD39)</f>
        <v>0</v>
      </c>
      <c r="J39" s="13" cm="1">
        <f t="array" ref="J39">MAX(IF($N$3:$DN$3=$J$3,N39:DN39))</f>
        <v>0</v>
      </c>
      <c r="K39" s="13" cm="1">
        <f t="array" ref="K39">MAX(IF($N$3:$DN$3=$J$3,N39:DN39))</f>
        <v>0</v>
      </c>
      <c r="L39" s="11"/>
      <c r="P39" s="12"/>
      <c r="Q39" s="12"/>
      <c r="R39" s="12"/>
      <c r="S39" s="12"/>
      <c r="W39" s="12"/>
      <c r="X39" s="12"/>
      <c r="Y39" s="12"/>
      <c r="Z39" s="12"/>
      <c r="AD39" s="12"/>
      <c r="AE39" s="12"/>
      <c r="AF39" s="12"/>
      <c r="AG39" s="12"/>
      <c r="AK39" s="12"/>
      <c r="AL39" s="12">
        <v>0.5</v>
      </c>
      <c r="AM39" s="12"/>
      <c r="AN39" s="12">
        <v>0.5</v>
      </c>
      <c r="AR39" s="12"/>
      <c r="AS39" s="12">
        <v>0.5</v>
      </c>
      <c r="AT39" s="12"/>
      <c r="AU39" s="12">
        <v>0.5</v>
      </c>
      <c r="AY39" s="12"/>
      <c r="AZ39" s="12">
        <v>0.5</v>
      </c>
      <c r="BA39" s="12"/>
      <c r="BB39" s="12">
        <v>0.5</v>
      </c>
      <c r="BF39" s="12"/>
      <c r="BG39" s="12">
        <v>0.5</v>
      </c>
      <c r="BH39" s="12"/>
      <c r="BI39" s="12">
        <v>0.5</v>
      </c>
      <c r="BM39" s="12"/>
      <c r="BN39" s="12">
        <v>0.5</v>
      </c>
      <c r="BO39" s="12"/>
      <c r="BP39" s="12">
        <v>0.5</v>
      </c>
      <c r="BT39" s="12"/>
      <c r="BU39" s="12">
        <v>0.8</v>
      </c>
      <c r="BV39" s="12"/>
      <c r="BW39" s="12">
        <v>0.8</v>
      </c>
      <c r="CA39" s="12"/>
      <c r="CB39" s="12">
        <v>0.8</v>
      </c>
      <c r="CC39" s="12"/>
      <c r="CD39" s="12">
        <v>0.8</v>
      </c>
      <c r="CH39" s="12"/>
      <c r="CI39" s="12">
        <v>0.8</v>
      </c>
      <c r="CJ39" s="12"/>
      <c r="CK39" s="12">
        <v>0.8</v>
      </c>
      <c r="CO39" s="12"/>
      <c r="CP39" s="12">
        <v>0.8</v>
      </c>
      <c r="CQ39" s="12"/>
      <c r="CR39" s="12">
        <v>0.8</v>
      </c>
      <c r="CV39" s="12"/>
      <c r="CW39" s="12">
        <v>0.8</v>
      </c>
      <c r="CX39" s="12"/>
      <c r="CY39" s="12">
        <v>0.8</v>
      </c>
      <c r="DC39" s="12"/>
      <c r="DD39" s="12">
        <v>1</v>
      </c>
      <c r="DE39" s="12"/>
      <c r="DF39" s="12">
        <v>1</v>
      </c>
      <c r="DJ39" s="12"/>
      <c r="DK39" s="12">
        <v>1</v>
      </c>
      <c r="DL39" s="12"/>
      <c r="DM39" s="12">
        <v>1</v>
      </c>
      <c r="DQ39" s="12"/>
      <c r="DR39" s="12"/>
      <c r="DS39" s="12"/>
      <c r="DT39" s="12"/>
      <c r="DX39" s="12"/>
      <c r="DY39" s="12"/>
      <c r="DZ39" s="12"/>
      <c r="EA39" s="12"/>
      <c r="EE39" s="12"/>
      <c r="EF39" s="12"/>
      <c r="EG39" s="12"/>
      <c r="EH39" s="12"/>
      <c r="EL39" s="12"/>
      <c r="EM39" s="12"/>
      <c r="EN39" s="12"/>
      <c r="EO39" s="12"/>
    </row>
    <row r="40" spans="2:145" ht="15.75" customHeight="1" outlineLevel="1">
      <c r="B40" t="s">
        <v>28</v>
      </c>
      <c r="C40" t="s">
        <v>101</v>
      </c>
      <c r="E40" s="11"/>
      <c r="F40" t="s">
        <v>132</v>
      </c>
      <c r="G40" s="12">
        <v>0.1</v>
      </c>
      <c r="I40" s="11">
        <f>+SUMIF($N$3:$YD$3,I$3,$N40:$YD40)</f>
        <v>0</v>
      </c>
      <c r="J40" s="13" cm="1">
        <f t="array" ref="J40">MAX(IF($N$3:$DN$3=$J$3,N40:DN40))</f>
        <v>0</v>
      </c>
      <c r="K40" s="13" cm="1">
        <f t="array" ref="K40">MAX(IF($N$3:$DN$3=$J$3,N40:DN40))</f>
        <v>0</v>
      </c>
      <c r="L40" s="11"/>
      <c r="P40" s="12"/>
      <c r="Q40" s="12"/>
      <c r="R40" s="12"/>
      <c r="S40" s="12"/>
      <c r="W40" s="12"/>
      <c r="X40" s="12"/>
      <c r="Y40" s="12"/>
      <c r="Z40" s="12"/>
      <c r="AD40" s="12"/>
      <c r="AE40" s="12"/>
      <c r="AF40" s="12"/>
      <c r="AG40" s="12"/>
      <c r="AK40" s="12"/>
      <c r="AL40" s="12"/>
      <c r="AM40" s="12"/>
      <c r="AN40" s="12"/>
      <c r="AR40" s="12"/>
      <c r="AS40" s="12">
        <v>0.5</v>
      </c>
      <c r="AT40" s="12"/>
      <c r="AU40" s="12">
        <v>0.5</v>
      </c>
      <c r="AY40" s="12"/>
      <c r="AZ40" s="12">
        <v>0.5</v>
      </c>
      <c r="BA40" s="12"/>
      <c r="BB40" s="12">
        <v>0.5</v>
      </c>
      <c r="BF40" s="12"/>
      <c r="BG40" s="12">
        <v>0.5</v>
      </c>
      <c r="BH40" s="12"/>
      <c r="BI40" s="12">
        <v>0.5</v>
      </c>
      <c r="BM40" s="12"/>
      <c r="BN40" s="12">
        <v>0.5</v>
      </c>
      <c r="BO40" s="12"/>
      <c r="BP40" s="12">
        <v>0.5</v>
      </c>
      <c r="BT40" s="12"/>
      <c r="BU40" s="12">
        <v>0.5</v>
      </c>
      <c r="BV40" s="12"/>
      <c r="BW40" s="12">
        <v>0.5</v>
      </c>
      <c r="CA40" s="12"/>
      <c r="CB40" s="12">
        <v>0.8</v>
      </c>
      <c r="CC40" s="12"/>
      <c r="CD40" s="12">
        <v>0.8</v>
      </c>
      <c r="CH40" s="12"/>
      <c r="CI40" s="12">
        <v>0.8</v>
      </c>
      <c r="CJ40" s="12"/>
      <c r="CK40" s="12">
        <v>0.8</v>
      </c>
      <c r="CO40" s="12"/>
      <c r="CP40" s="12">
        <v>0.8</v>
      </c>
      <c r="CQ40" s="12"/>
      <c r="CR40" s="12">
        <v>0.8</v>
      </c>
      <c r="CV40" s="12"/>
      <c r="CW40" s="12">
        <v>0.8</v>
      </c>
      <c r="CX40" s="12"/>
      <c r="CY40" s="12">
        <v>0.8</v>
      </c>
      <c r="DC40" s="12"/>
      <c r="DD40" s="12">
        <v>0.8</v>
      </c>
      <c r="DE40" s="12"/>
      <c r="DF40" s="12">
        <v>0.8</v>
      </c>
      <c r="DJ40" s="12"/>
      <c r="DK40" s="12">
        <v>1</v>
      </c>
      <c r="DL40" s="12"/>
      <c r="DM40" s="12">
        <v>1</v>
      </c>
      <c r="DQ40" s="12"/>
      <c r="DR40" s="12"/>
      <c r="DS40" s="12"/>
      <c r="DT40" s="12"/>
      <c r="DX40" s="12"/>
      <c r="DY40" s="12"/>
      <c r="DZ40" s="12"/>
      <c r="EA40" s="12"/>
      <c r="EE40" s="12"/>
      <c r="EF40" s="12"/>
      <c r="EG40" s="12"/>
      <c r="EH40" s="12"/>
      <c r="EL40" s="12"/>
      <c r="EM40" s="12"/>
      <c r="EN40" s="12"/>
      <c r="EO40" s="12"/>
    </row>
    <row r="42" spans="2:145">
      <c r="B42" t="s">
        <v>27</v>
      </c>
      <c r="C42" t="s">
        <v>89</v>
      </c>
      <c r="D42" s="22">
        <v>44614</v>
      </c>
      <c r="E42" s="11">
        <v>6</v>
      </c>
      <c r="G42" s="12">
        <f>+SUM(G43:G53)</f>
        <v>0.99999999999999989</v>
      </c>
      <c r="I42" s="14">
        <f>+SUM(I43:I53)</f>
        <v>0</v>
      </c>
      <c r="J42" s="13">
        <f>+SUMPRODUCT(G43:G53,J43:J53)</f>
        <v>0</v>
      </c>
      <c r="K42" s="13">
        <f>+SUMPRODUCT(G43:G53,K43:K53)</f>
        <v>0</v>
      </c>
      <c r="L42" s="11"/>
      <c r="O42" s="14">
        <f>+SUM(O43:O53)</f>
        <v>0</v>
      </c>
      <c r="V42" s="14">
        <f>+SUM(V43:V53)</f>
        <v>0</v>
      </c>
    </row>
    <row r="43" spans="2:145" ht="15.75" customHeight="1" outlineLevel="1">
      <c r="B43" t="s">
        <v>28</v>
      </c>
      <c r="C43" t="s">
        <v>89</v>
      </c>
      <c r="E43" s="11"/>
      <c r="F43" t="s">
        <v>119</v>
      </c>
      <c r="G43" s="12">
        <v>0.1</v>
      </c>
      <c r="I43" s="11">
        <f>+SUMIF($N$3:$YD$3,I$3,$N43:$YD43)</f>
        <v>0</v>
      </c>
      <c r="J43" s="13" cm="1">
        <f t="array" ref="J43">MAX(IF($N$3:$DN$3=$J$3,N43:DN43))</f>
        <v>0</v>
      </c>
      <c r="K43" s="13" cm="1">
        <f t="array" ref="K43">MAX(IF($N$3:$DN$3=$J$3,N43:DN43))</f>
        <v>0</v>
      </c>
      <c r="L43" s="11"/>
      <c r="P43" s="12"/>
      <c r="Q43" s="12">
        <v>0.5</v>
      </c>
      <c r="R43" s="12"/>
      <c r="S43" s="12">
        <v>0.5</v>
      </c>
      <c r="W43" s="12"/>
      <c r="X43" s="12">
        <v>0.5</v>
      </c>
      <c r="Y43" s="12"/>
      <c r="Z43" s="12">
        <v>0.5</v>
      </c>
      <c r="AD43" s="12"/>
      <c r="AE43" s="12">
        <v>0.5</v>
      </c>
      <c r="AF43" s="12"/>
      <c r="AG43" s="12">
        <v>0.5</v>
      </c>
      <c r="AK43" s="12"/>
      <c r="AL43" s="12">
        <v>0.5</v>
      </c>
      <c r="AM43" s="12"/>
      <c r="AN43" s="12">
        <v>0.5</v>
      </c>
      <c r="AR43" s="12"/>
      <c r="AS43" s="12">
        <v>0.8</v>
      </c>
      <c r="AT43" s="12"/>
      <c r="AU43" s="12">
        <v>0.8</v>
      </c>
      <c r="AY43" s="12"/>
      <c r="AZ43" s="12">
        <v>0.8</v>
      </c>
      <c r="BA43" s="12"/>
      <c r="BB43" s="12">
        <v>0.8</v>
      </c>
      <c r="BF43" s="12"/>
      <c r="BG43" s="12">
        <v>0.8</v>
      </c>
      <c r="BH43" s="12"/>
      <c r="BI43" s="12">
        <v>0.8</v>
      </c>
      <c r="BM43" s="12"/>
      <c r="BN43" s="12">
        <v>0.8</v>
      </c>
      <c r="BO43" s="12"/>
      <c r="BP43" s="12">
        <v>0.8</v>
      </c>
      <c r="BT43" s="12"/>
      <c r="BU43" s="12">
        <v>0.8</v>
      </c>
      <c r="BV43" s="12"/>
      <c r="BW43" s="12">
        <v>0.8</v>
      </c>
      <c r="CA43" s="12"/>
      <c r="CB43" s="12">
        <v>1</v>
      </c>
      <c r="CC43" s="12"/>
      <c r="CD43" s="12">
        <v>1</v>
      </c>
      <c r="CH43" s="12"/>
      <c r="CI43" s="12">
        <v>1</v>
      </c>
      <c r="CJ43" s="12"/>
      <c r="CK43" s="12">
        <v>1</v>
      </c>
      <c r="CO43" s="12"/>
      <c r="CP43" s="12">
        <v>1</v>
      </c>
      <c r="CQ43" s="12"/>
      <c r="CR43" s="12">
        <v>1</v>
      </c>
      <c r="CV43" s="12"/>
      <c r="CW43" s="12">
        <v>1</v>
      </c>
      <c r="CX43" s="12"/>
      <c r="CY43" s="12">
        <v>1</v>
      </c>
      <c r="DC43" s="12"/>
      <c r="DD43" s="12">
        <v>1</v>
      </c>
      <c r="DE43" s="12"/>
      <c r="DF43" s="12">
        <v>1</v>
      </c>
      <c r="DJ43" s="12"/>
      <c r="DK43" s="12">
        <v>1</v>
      </c>
      <c r="DL43" s="12"/>
      <c r="DM43" s="12">
        <v>1</v>
      </c>
      <c r="DQ43" s="12"/>
      <c r="DR43" s="12"/>
      <c r="DS43" s="12"/>
      <c r="DT43" s="12"/>
      <c r="DX43" s="12"/>
      <c r="DY43" s="12"/>
      <c r="DZ43" s="12"/>
      <c r="EA43" s="12"/>
      <c r="EE43" s="12"/>
      <c r="EF43" s="12"/>
      <c r="EG43" s="12"/>
      <c r="EH43" s="12"/>
      <c r="EL43" s="12"/>
      <c r="EM43" s="12"/>
      <c r="EN43" s="12"/>
      <c r="EO43" s="12"/>
    </row>
    <row r="44" spans="2:145" ht="15.75" customHeight="1" outlineLevel="1">
      <c r="B44" t="s">
        <v>28</v>
      </c>
      <c r="C44" t="s">
        <v>89</v>
      </c>
      <c r="E44" s="11"/>
      <c r="F44" t="s">
        <v>120</v>
      </c>
      <c r="G44" s="12">
        <v>0.05</v>
      </c>
      <c r="I44" s="11">
        <f>+SUMIF($N$3:$YD$3,I$3,$N44:$YD44)</f>
        <v>0</v>
      </c>
      <c r="J44" s="13" cm="1">
        <f t="array" ref="J44">MAX(IF($N$3:$DN$3=$J$3,N44:DN44))</f>
        <v>0</v>
      </c>
      <c r="K44" s="13" cm="1">
        <f t="array" ref="K44">MAX(IF($N$3:$DN$3=$J$3,N44:DN44))</f>
        <v>0</v>
      </c>
      <c r="L44" s="11"/>
      <c r="P44" s="12"/>
      <c r="Q44" s="12">
        <v>0.5</v>
      </c>
      <c r="R44" s="12"/>
      <c r="S44" s="12">
        <v>0.5</v>
      </c>
      <c r="W44" s="12"/>
      <c r="X44" s="12">
        <v>0.5</v>
      </c>
      <c r="Y44" s="12"/>
      <c r="Z44" s="12">
        <v>0.5</v>
      </c>
      <c r="AD44" s="12"/>
      <c r="AE44" s="12">
        <v>0.5</v>
      </c>
      <c r="AF44" s="12"/>
      <c r="AG44" s="12">
        <v>0.5</v>
      </c>
      <c r="AK44" s="12"/>
      <c r="AL44" s="12">
        <v>0.5</v>
      </c>
      <c r="AM44" s="12"/>
      <c r="AN44" s="12">
        <v>0.5</v>
      </c>
      <c r="AR44" s="12"/>
      <c r="AS44" s="12">
        <v>0.8</v>
      </c>
      <c r="AT44" s="12"/>
      <c r="AU44" s="12">
        <v>0.8</v>
      </c>
      <c r="AY44" s="12"/>
      <c r="AZ44" s="12">
        <v>0.8</v>
      </c>
      <c r="BA44" s="12"/>
      <c r="BB44" s="12">
        <v>0.8</v>
      </c>
      <c r="BF44" s="12"/>
      <c r="BG44" s="12">
        <v>0.8</v>
      </c>
      <c r="BH44" s="12"/>
      <c r="BI44" s="12">
        <v>0.8</v>
      </c>
      <c r="BM44" s="12"/>
      <c r="BN44" s="12">
        <v>0.8</v>
      </c>
      <c r="BO44" s="12"/>
      <c r="BP44" s="12">
        <v>0.8</v>
      </c>
      <c r="BT44" s="12"/>
      <c r="BU44" s="12">
        <v>0.8</v>
      </c>
      <c r="BV44" s="12"/>
      <c r="BW44" s="12">
        <v>0.8</v>
      </c>
      <c r="CA44" s="12"/>
      <c r="CB44" s="12">
        <v>0.8</v>
      </c>
      <c r="CC44" s="12"/>
      <c r="CD44" s="12">
        <v>0.8</v>
      </c>
      <c r="CH44" s="12"/>
      <c r="CI44" s="12">
        <v>1</v>
      </c>
      <c r="CJ44" s="12"/>
      <c r="CK44" s="12">
        <v>1</v>
      </c>
      <c r="CO44" s="12"/>
      <c r="CP44" s="12">
        <v>1</v>
      </c>
      <c r="CQ44" s="12"/>
      <c r="CR44" s="12">
        <v>1</v>
      </c>
      <c r="CV44" s="12"/>
      <c r="CW44" s="12">
        <v>1</v>
      </c>
      <c r="CX44" s="12"/>
      <c r="CY44" s="12">
        <v>1</v>
      </c>
      <c r="DC44" s="12"/>
      <c r="DD44" s="12">
        <v>1</v>
      </c>
      <c r="DE44" s="12"/>
      <c r="DF44" s="12">
        <v>1</v>
      </c>
      <c r="DJ44" s="12"/>
      <c r="DK44" s="12">
        <v>1</v>
      </c>
      <c r="DL44" s="12"/>
      <c r="DM44" s="12">
        <v>1</v>
      </c>
      <c r="DQ44" s="12"/>
      <c r="DR44" s="12"/>
      <c r="DS44" s="12"/>
      <c r="DT44" s="12"/>
      <c r="DX44" s="12"/>
      <c r="DY44" s="12"/>
      <c r="DZ44" s="12"/>
      <c r="EA44" s="12"/>
      <c r="EE44" s="12"/>
      <c r="EF44" s="12"/>
      <c r="EG44" s="12"/>
      <c r="EH44" s="12"/>
      <c r="EL44" s="12"/>
      <c r="EM44" s="12"/>
      <c r="EN44" s="12"/>
      <c r="EO44" s="12"/>
    </row>
    <row r="45" spans="2:145" ht="15.75" customHeight="1" outlineLevel="1">
      <c r="B45" t="s">
        <v>28</v>
      </c>
      <c r="C45" t="s">
        <v>89</v>
      </c>
      <c r="E45" s="11"/>
      <c r="F45" t="s">
        <v>121</v>
      </c>
      <c r="G45" s="12">
        <v>0.05</v>
      </c>
      <c r="I45" s="11">
        <f>+SUMIF($N$3:$YD$3,I$3,$N45:$YD45)</f>
        <v>0</v>
      </c>
      <c r="J45" s="13" cm="1">
        <f t="array" ref="J45">MAX(IF($N$3:$DN$3=$J$3,N45:DN45))</f>
        <v>0</v>
      </c>
      <c r="K45" s="13" cm="1">
        <f t="array" ref="K45">MAX(IF($N$3:$DN$3=$J$3,N45:DN45))</f>
        <v>0</v>
      </c>
      <c r="L45" s="11"/>
      <c r="P45" s="12"/>
      <c r="Q45" s="12">
        <v>0.5</v>
      </c>
      <c r="R45" s="12"/>
      <c r="S45" s="12">
        <v>0.5</v>
      </c>
      <c r="W45" s="12"/>
      <c r="X45" s="12">
        <v>0.5</v>
      </c>
      <c r="Y45" s="12"/>
      <c r="Z45" s="12">
        <v>0.5</v>
      </c>
      <c r="AD45" s="12"/>
      <c r="AE45" s="12">
        <v>0.5</v>
      </c>
      <c r="AF45" s="12"/>
      <c r="AG45" s="12">
        <v>0.5</v>
      </c>
      <c r="AK45" s="12"/>
      <c r="AL45" s="12">
        <v>0.5</v>
      </c>
      <c r="AM45" s="12"/>
      <c r="AN45" s="12">
        <v>0.5</v>
      </c>
      <c r="AR45" s="12"/>
      <c r="AS45" s="12">
        <v>0.5</v>
      </c>
      <c r="AT45" s="12"/>
      <c r="AU45" s="12">
        <v>0.5</v>
      </c>
      <c r="AY45" s="12"/>
      <c r="AZ45" s="12">
        <v>0.8</v>
      </c>
      <c r="BA45" s="12"/>
      <c r="BB45" s="12">
        <v>0.8</v>
      </c>
      <c r="BF45" s="12"/>
      <c r="BG45" s="12">
        <v>0.8</v>
      </c>
      <c r="BH45" s="12"/>
      <c r="BI45" s="12">
        <v>0.8</v>
      </c>
      <c r="BM45" s="12"/>
      <c r="BN45" s="12">
        <v>0.8</v>
      </c>
      <c r="BO45" s="12"/>
      <c r="BP45" s="12">
        <v>0.8</v>
      </c>
      <c r="BT45" s="12"/>
      <c r="BU45" s="12">
        <v>0.8</v>
      </c>
      <c r="BV45" s="12"/>
      <c r="BW45" s="12">
        <v>0.8</v>
      </c>
      <c r="CA45" s="12"/>
      <c r="CB45" s="12">
        <v>0.8</v>
      </c>
      <c r="CC45" s="12"/>
      <c r="CD45" s="12">
        <v>0.8</v>
      </c>
      <c r="CH45" s="12"/>
      <c r="CI45" s="12">
        <v>1</v>
      </c>
      <c r="CJ45" s="12"/>
      <c r="CK45" s="12">
        <v>1</v>
      </c>
      <c r="CO45" s="12"/>
      <c r="CP45" s="12">
        <v>1</v>
      </c>
      <c r="CQ45" s="12"/>
      <c r="CR45" s="12">
        <v>1</v>
      </c>
      <c r="CV45" s="12"/>
      <c r="CW45" s="12">
        <v>1</v>
      </c>
      <c r="CX45" s="12"/>
      <c r="CY45" s="12">
        <v>1</v>
      </c>
      <c r="DC45" s="12"/>
      <c r="DD45" s="12">
        <v>1</v>
      </c>
      <c r="DE45" s="12"/>
      <c r="DF45" s="12">
        <v>1</v>
      </c>
      <c r="DJ45" s="12"/>
      <c r="DK45" s="12">
        <v>1</v>
      </c>
      <c r="DL45" s="12"/>
      <c r="DM45" s="12">
        <v>1</v>
      </c>
      <c r="DQ45" s="12"/>
      <c r="DR45" s="12"/>
      <c r="DS45" s="12"/>
      <c r="DT45" s="12"/>
      <c r="DX45" s="12"/>
      <c r="DY45" s="12"/>
      <c r="DZ45" s="12"/>
      <c r="EA45" s="12"/>
      <c r="EE45" s="12"/>
      <c r="EF45" s="12"/>
      <c r="EG45" s="12"/>
      <c r="EH45" s="12"/>
      <c r="EL45" s="12"/>
      <c r="EM45" s="12"/>
      <c r="EN45" s="12"/>
      <c r="EO45" s="12"/>
    </row>
    <row r="46" spans="2:145" ht="15.75" customHeight="1" outlineLevel="1">
      <c r="B46" t="s">
        <v>28</v>
      </c>
      <c r="C46" t="s">
        <v>89</v>
      </c>
      <c r="E46" s="11"/>
      <c r="F46" t="s">
        <v>122</v>
      </c>
      <c r="G46" s="12">
        <v>0.1</v>
      </c>
      <c r="I46" s="11">
        <f>+SUMIF($N$3:$YD$3,I$3,$N46:$YD46)</f>
        <v>0</v>
      </c>
      <c r="J46" s="13" cm="1">
        <f t="array" ref="J46">MAX(IF($N$3:$DN$3=$J$3,N46:DN46))</f>
        <v>0</v>
      </c>
      <c r="K46" s="13" cm="1">
        <f t="array" ref="K46">MAX(IF($N$3:$DN$3=$J$3,N46:DN46))</f>
        <v>0</v>
      </c>
      <c r="L46" s="11"/>
      <c r="P46" s="12"/>
      <c r="Q46" s="12">
        <v>0.5</v>
      </c>
      <c r="R46" s="12"/>
      <c r="S46" s="12">
        <v>0.5</v>
      </c>
      <c r="W46" s="12"/>
      <c r="X46" s="12">
        <v>0.5</v>
      </c>
      <c r="Y46" s="12"/>
      <c r="Z46" s="12">
        <v>0.5</v>
      </c>
      <c r="AD46" s="12"/>
      <c r="AE46" s="12">
        <v>0.5</v>
      </c>
      <c r="AF46" s="12"/>
      <c r="AG46" s="12">
        <v>0.5</v>
      </c>
      <c r="AK46" s="12"/>
      <c r="AL46" s="12">
        <v>0.5</v>
      </c>
      <c r="AM46" s="12"/>
      <c r="AN46" s="12">
        <v>0.5</v>
      </c>
      <c r="AR46" s="12"/>
      <c r="AS46" s="12">
        <v>0.5</v>
      </c>
      <c r="AT46" s="12"/>
      <c r="AU46" s="12">
        <v>0.5</v>
      </c>
      <c r="AY46" s="12"/>
      <c r="AZ46" s="12">
        <v>0.8</v>
      </c>
      <c r="BA46" s="12"/>
      <c r="BB46" s="12">
        <v>0.8</v>
      </c>
      <c r="BF46" s="12"/>
      <c r="BG46" s="12">
        <v>0.8</v>
      </c>
      <c r="BH46" s="12"/>
      <c r="BI46" s="12">
        <v>0.8</v>
      </c>
      <c r="BM46" s="12"/>
      <c r="BN46" s="12">
        <v>0.8</v>
      </c>
      <c r="BO46" s="12"/>
      <c r="BP46" s="12">
        <v>0.8</v>
      </c>
      <c r="BT46" s="12"/>
      <c r="BU46" s="12">
        <v>0.8</v>
      </c>
      <c r="BV46" s="12"/>
      <c r="BW46" s="12">
        <v>0.8</v>
      </c>
      <c r="CA46" s="12"/>
      <c r="CB46" s="12">
        <v>0.8</v>
      </c>
      <c r="CC46" s="12"/>
      <c r="CD46" s="12">
        <v>0.8</v>
      </c>
      <c r="CH46" s="12"/>
      <c r="CI46" s="12">
        <v>0.8</v>
      </c>
      <c r="CJ46" s="12"/>
      <c r="CK46" s="12">
        <v>0.8</v>
      </c>
      <c r="CO46" s="12"/>
      <c r="CP46" s="12">
        <v>1</v>
      </c>
      <c r="CQ46" s="12"/>
      <c r="CR46" s="12">
        <v>1</v>
      </c>
      <c r="CV46" s="12"/>
      <c r="CW46" s="12">
        <v>1</v>
      </c>
      <c r="CX46" s="12"/>
      <c r="CY46" s="12">
        <v>1</v>
      </c>
      <c r="DC46" s="12"/>
      <c r="DD46" s="12">
        <v>1</v>
      </c>
      <c r="DE46" s="12"/>
      <c r="DF46" s="12">
        <v>1</v>
      </c>
      <c r="DJ46" s="12"/>
      <c r="DK46" s="12">
        <v>1</v>
      </c>
      <c r="DL46" s="12"/>
      <c r="DM46" s="12">
        <v>1</v>
      </c>
      <c r="DQ46" s="12"/>
      <c r="DR46" s="12"/>
      <c r="DS46" s="12"/>
      <c r="DT46" s="12"/>
      <c r="DX46" s="12"/>
      <c r="DY46" s="12"/>
      <c r="DZ46" s="12"/>
      <c r="EA46" s="12"/>
      <c r="EE46" s="12"/>
      <c r="EF46" s="12"/>
      <c r="EG46" s="12"/>
      <c r="EH46" s="12"/>
      <c r="EL46" s="12"/>
      <c r="EM46" s="12"/>
      <c r="EN46" s="12"/>
      <c r="EO46" s="12"/>
    </row>
    <row r="47" spans="2:145" ht="15.75" customHeight="1" outlineLevel="1">
      <c r="B47" t="s">
        <v>28</v>
      </c>
      <c r="C47" t="s">
        <v>89</v>
      </c>
      <c r="E47" s="11"/>
      <c r="F47" t="s">
        <v>123</v>
      </c>
      <c r="G47" s="12">
        <v>0.1</v>
      </c>
      <c r="I47" s="11">
        <f>+SUMIF($N$3:$YD$3,I$3,$N47:$YD47)</f>
        <v>0</v>
      </c>
      <c r="J47" s="13" cm="1">
        <f t="array" ref="J47">MAX(IF($N$3:$DN$3=$J$3,N47:DN47))</f>
        <v>0</v>
      </c>
      <c r="K47" s="13" cm="1">
        <f t="array" ref="K47">MAX(IF($N$3:$DN$3=$J$3,N47:DN47))</f>
        <v>0</v>
      </c>
      <c r="L47" s="11"/>
      <c r="P47" s="12"/>
      <c r="Q47" s="12">
        <v>0.5</v>
      </c>
      <c r="R47" s="12"/>
      <c r="S47" s="12">
        <v>0.5</v>
      </c>
      <c r="W47" s="12"/>
      <c r="X47" s="12">
        <v>0.5</v>
      </c>
      <c r="Y47" s="12"/>
      <c r="Z47" s="12">
        <v>0.5</v>
      </c>
      <c r="AD47" s="12"/>
      <c r="AE47" s="12">
        <v>0.5</v>
      </c>
      <c r="AF47" s="12"/>
      <c r="AG47" s="12">
        <v>0.5</v>
      </c>
      <c r="AK47" s="12"/>
      <c r="AL47" s="12">
        <v>0.5</v>
      </c>
      <c r="AM47" s="12"/>
      <c r="AN47" s="12">
        <v>0.5</v>
      </c>
      <c r="AR47" s="12"/>
      <c r="AS47" s="12">
        <v>0.5</v>
      </c>
      <c r="AT47" s="12"/>
      <c r="AU47" s="12">
        <v>0.5</v>
      </c>
      <c r="AY47" s="12"/>
      <c r="AZ47" s="12">
        <v>0.5</v>
      </c>
      <c r="BA47" s="12"/>
      <c r="BB47" s="12">
        <v>0.5</v>
      </c>
      <c r="BF47" s="12"/>
      <c r="BG47" s="12">
        <v>0.8</v>
      </c>
      <c r="BH47" s="12"/>
      <c r="BI47" s="12">
        <v>0.8</v>
      </c>
      <c r="BM47" s="12"/>
      <c r="BN47" s="12">
        <v>0.8</v>
      </c>
      <c r="BO47" s="12"/>
      <c r="BP47" s="12">
        <v>0.8</v>
      </c>
      <c r="BT47" s="12"/>
      <c r="BU47" s="12">
        <v>0.8</v>
      </c>
      <c r="BV47" s="12"/>
      <c r="BW47" s="12">
        <v>0.8</v>
      </c>
      <c r="CA47" s="12"/>
      <c r="CB47" s="12">
        <v>0.8</v>
      </c>
      <c r="CC47" s="12"/>
      <c r="CD47" s="12">
        <v>0.8</v>
      </c>
      <c r="CH47" s="12"/>
      <c r="CI47" s="12">
        <v>0.8</v>
      </c>
      <c r="CJ47" s="12"/>
      <c r="CK47" s="12">
        <v>0.8</v>
      </c>
      <c r="CO47" s="12"/>
      <c r="CP47" s="12">
        <v>1</v>
      </c>
      <c r="CQ47" s="12"/>
      <c r="CR47" s="12">
        <v>1</v>
      </c>
      <c r="CV47" s="12"/>
      <c r="CW47" s="12">
        <v>1</v>
      </c>
      <c r="CX47" s="12"/>
      <c r="CY47" s="12">
        <v>1</v>
      </c>
      <c r="DC47" s="12"/>
      <c r="DD47" s="12">
        <v>1</v>
      </c>
      <c r="DE47" s="12"/>
      <c r="DF47" s="12">
        <v>1</v>
      </c>
      <c r="DJ47" s="12"/>
      <c r="DK47" s="12">
        <v>1</v>
      </c>
      <c r="DL47" s="12"/>
      <c r="DM47" s="12">
        <v>1</v>
      </c>
      <c r="DQ47" s="12"/>
      <c r="DR47" s="12"/>
      <c r="DS47" s="12"/>
      <c r="DT47" s="12"/>
      <c r="DX47" s="12"/>
      <c r="DY47" s="12"/>
      <c r="DZ47" s="12"/>
      <c r="EA47" s="12"/>
      <c r="EE47" s="12"/>
      <c r="EF47" s="12"/>
      <c r="EG47" s="12"/>
      <c r="EH47" s="12"/>
      <c r="EL47" s="12"/>
      <c r="EM47" s="12"/>
      <c r="EN47" s="12"/>
      <c r="EO47" s="12"/>
    </row>
    <row r="48" spans="2:145" ht="15.75" customHeight="1" outlineLevel="1">
      <c r="B48" t="s">
        <v>28</v>
      </c>
      <c r="C48" t="s">
        <v>89</v>
      </c>
      <c r="E48" s="11"/>
      <c r="F48" t="s">
        <v>124</v>
      </c>
      <c r="G48" s="12">
        <v>0.1</v>
      </c>
      <c r="I48" s="11">
        <f>+SUMIF($N$3:$YD$3,I$3,$N48:$YD48)</f>
        <v>0</v>
      </c>
      <c r="J48" s="13" cm="1">
        <f t="array" ref="J48">MAX(IF($N$3:$DN$3=$J$3,N48:DN48))</f>
        <v>0</v>
      </c>
      <c r="K48" s="13" cm="1">
        <f t="array" ref="K48">MAX(IF($N$3:$DN$3=$J$3,N48:DN48))</f>
        <v>0</v>
      </c>
      <c r="L48" s="11"/>
      <c r="P48" s="12"/>
      <c r="Q48" s="12"/>
      <c r="R48" s="12"/>
      <c r="S48" s="12"/>
      <c r="W48" s="12"/>
      <c r="X48" s="12">
        <v>0.5</v>
      </c>
      <c r="Y48" s="12"/>
      <c r="Z48" s="12">
        <v>0.5</v>
      </c>
      <c r="AD48" s="12"/>
      <c r="AE48" s="12">
        <v>0.5</v>
      </c>
      <c r="AF48" s="12"/>
      <c r="AG48" s="12">
        <v>0.5</v>
      </c>
      <c r="AK48" s="12"/>
      <c r="AL48" s="12">
        <v>0.5</v>
      </c>
      <c r="AM48" s="12"/>
      <c r="AN48" s="12">
        <v>0.5</v>
      </c>
      <c r="AR48" s="12"/>
      <c r="AS48" s="12">
        <v>0.5</v>
      </c>
      <c r="AT48" s="12"/>
      <c r="AU48" s="12">
        <v>0.5</v>
      </c>
      <c r="AY48" s="12"/>
      <c r="AZ48" s="12">
        <v>0.5</v>
      </c>
      <c r="BA48" s="12"/>
      <c r="BB48" s="12">
        <v>0.5</v>
      </c>
      <c r="BF48" s="12"/>
      <c r="BG48" s="12">
        <v>0.8</v>
      </c>
      <c r="BH48" s="12"/>
      <c r="BI48" s="12">
        <v>0.8</v>
      </c>
      <c r="BM48" s="12"/>
      <c r="BN48" s="12">
        <v>0.8</v>
      </c>
      <c r="BO48" s="12"/>
      <c r="BP48" s="12">
        <v>0.8</v>
      </c>
      <c r="BT48" s="12"/>
      <c r="BU48" s="12">
        <v>0.8</v>
      </c>
      <c r="BV48" s="12"/>
      <c r="BW48" s="12">
        <v>0.8</v>
      </c>
      <c r="CA48" s="12"/>
      <c r="CB48" s="12">
        <v>0.8</v>
      </c>
      <c r="CC48" s="12"/>
      <c r="CD48" s="12">
        <v>0.8</v>
      </c>
      <c r="CH48" s="12"/>
      <c r="CI48" s="12">
        <v>0.8</v>
      </c>
      <c r="CJ48" s="12"/>
      <c r="CK48" s="12">
        <v>0.8</v>
      </c>
      <c r="CO48" s="12"/>
      <c r="CP48" s="12">
        <v>0.8</v>
      </c>
      <c r="CQ48" s="12"/>
      <c r="CR48" s="12">
        <v>0.8</v>
      </c>
      <c r="CV48" s="12"/>
      <c r="CW48" s="12">
        <v>1</v>
      </c>
      <c r="CX48" s="12"/>
      <c r="CY48" s="12">
        <v>1</v>
      </c>
      <c r="DC48" s="12"/>
      <c r="DD48" s="12">
        <v>1</v>
      </c>
      <c r="DE48" s="12"/>
      <c r="DF48" s="12">
        <v>1</v>
      </c>
      <c r="DJ48" s="12"/>
      <c r="DK48" s="12">
        <v>1</v>
      </c>
      <c r="DL48" s="12"/>
      <c r="DM48" s="12">
        <v>1</v>
      </c>
      <c r="DQ48" s="12"/>
      <c r="DR48" s="12"/>
      <c r="DS48" s="12"/>
      <c r="DT48" s="12"/>
      <c r="DX48" s="12"/>
      <c r="DY48" s="12"/>
      <c r="DZ48" s="12"/>
      <c r="EA48" s="12"/>
      <c r="EE48" s="12"/>
      <c r="EF48" s="12"/>
      <c r="EG48" s="12"/>
      <c r="EH48" s="12"/>
      <c r="EL48" s="12"/>
      <c r="EM48" s="12"/>
      <c r="EN48" s="12"/>
      <c r="EO48" s="12"/>
    </row>
    <row r="49" spans="2:145" ht="15.75" customHeight="1" outlineLevel="1">
      <c r="B49" t="s">
        <v>28</v>
      </c>
      <c r="C49" t="s">
        <v>89</v>
      </c>
      <c r="E49" s="11"/>
      <c r="F49" t="s">
        <v>125</v>
      </c>
      <c r="G49" s="12">
        <v>0.1</v>
      </c>
      <c r="I49" s="11">
        <f>+SUMIF($N$3:$YD$3,I$3,$N49:$YD49)</f>
        <v>0</v>
      </c>
      <c r="J49" s="13" cm="1">
        <f t="array" ref="J49">MAX(IF($N$3:$DN$3=$J$3,N49:DN49))</f>
        <v>0</v>
      </c>
      <c r="K49" s="13" cm="1">
        <f t="array" ref="K49">MAX(IF($N$3:$DN$3=$J$3,N49:DN49))</f>
        <v>0</v>
      </c>
      <c r="L49" s="11"/>
      <c r="P49" s="12"/>
      <c r="Q49" s="12"/>
      <c r="R49" s="12"/>
      <c r="S49" s="12"/>
      <c r="W49" s="12"/>
      <c r="X49" s="12">
        <v>0.5</v>
      </c>
      <c r="Y49" s="12"/>
      <c r="Z49" s="12">
        <v>0.5</v>
      </c>
      <c r="AD49" s="12"/>
      <c r="AE49" s="12">
        <v>0.5</v>
      </c>
      <c r="AF49" s="12"/>
      <c r="AG49" s="12">
        <v>0.5</v>
      </c>
      <c r="AK49" s="12"/>
      <c r="AL49" s="12">
        <v>0.5</v>
      </c>
      <c r="AM49" s="12"/>
      <c r="AN49" s="12">
        <v>0.5</v>
      </c>
      <c r="AR49" s="12"/>
      <c r="AS49" s="12">
        <v>0.5</v>
      </c>
      <c r="AT49" s="12"/>
      <c r="AU49" s="12">
        <v>0.5</v>
      </c>
      <c r="AY49" s="12"/>
      <c r="AZ49" s="12">
        <v>0.5</v>
      </c>
      <c r="BA49" s="12"/>
      <c r="BB49" s="12">
        <v>0.5</v>
      </c>
      <c r="BF49" s="12"/>
      <c r="BG49" s="12">
        <v>0.5</v>
      </c>
      <c r="BH49" s="12"/>
      <c r="BI49" s="12">
        <v>0.5</v>
      </c>
      <c r="BM49" s="12"/>
      <c r="BN49" s="12">
        <v>0.8</v>
      </c>
      <c r="BO49" s="12"/>
      <c r="BP49" s="12">
        <v>0.8</v>
      </c>
      <c r="BT49" s="12"/>
      <c r="BU49" s="12">
        <v>0.8</v>
      </c>
      <c r="BV49" s="12"/>
      <c r="BW49" s="12">
        <v>0.8</v>
      </c>
      <c r="CA49" s="12"/>
      <c r="CB49" s="12">
        <v>0.8</v>
      </c>
      <c r="CC49" s="12"/>
      <c r="CD49" s="12">
        <v>0.8</v>
      </c>
      <c r="CH49" s="12"/>
      <c r="CI49" s="12">
        <v>0.8</v>
      </c>
      <c r="CJ49" s="12"/>
      <c r="CK49" s="12">
        <v>0.8</v>
      </c>
      <c r="CO49" s="12"/>
      <c r="CP49" s="12">
        <v>0.8</v>
      </c>
      <c r="CQ49" s="12"/>
      <c r="CR49" s="12">
        <v>0.8</v>
      </c>
      <c r="CV49" s="12"/>
      <c r="CW49" s="12">
        <v>1</v>
      </c>
      <c r="CX49" s="12"/>
      <c r="CY49" s="12">
        <v>1</v>
      </c>
      <c r="DC49" s="12"/>
      <c r="DD49" s="12">
        <v>1</v>
      </c>
      <c r="DE49" s="12"/>
      <c r="DF49" s="12">
        <v>1</v>
      </c>
      <c r="DJ49" s="12"/>
      <c r="DK49" s="12">
        <v>1</v>
      </c>
      <c r="DL49" s="12"/>
      <c r="DM49" s="12">
        <v>1</v>
      </c>
      <c r="DQ49" s="12"/>
      <c r="DR49" s="12"/>
      <c r="DS49" s="12"/>
      <c r="DT49" s="12"/>
      <c r="DX49" s="12"/>
      <c r="DY49" s="12"/>
      <c r="DZ49" s="12"/>
      <c r="EA49" s="12"/>
      <c r="EE49" s="12"/>
      <c r="EF49" s="12"/>
      <c r="EG49" s="12"/>
      <c r="EH49" s="12"/>
      <c r="EL49" s="12"/>
      <c r="EM49" s="12"/>
      <c r="EN49" s="12"/>
      <c r="EO49" s="12"/>
    </row>
    <row r="50" spans="2:145" ht="15.75" customHeight="1" outlineLevel="1">
      <c r="B50" t="s">
        <v>28</v>
      </c>
      <c r="C50" t="s">
        <v>89</v>
      </c>
      <c r="E50" s="11"/>
      <c r="F50" t="s">
        <v>126</v>
      </c>
      <c r="G50" s="12">
        <v>0.1</v>
      </c>
      <c r="I50" s="11">
        <f>+SUMIF($N$3:$YD$3,I$3,$N50:$YD50)</f>
        <v>0</v>
      </c>
      <c r="J50" s="13" cm="1">
        <f t="array" ref="J50">MAX(IF($N$3:$DN$3=$J$3,N50:DN50))</f>
        <v>0</v>
      </c>
      <c r="K50" s="13" cm="1">
        <f t="array" ref="K50">MAX(IF($N$3:$DN$3=$J$3,N50:DN50))</f>
        <v>0</v>
      </c>
      <c r="L50" s="11"/>
      <c r="P50" s="12"/>
      <c r="Q50" s="12"/>
      <c r="R50" s="12"/>
      <c r="S50" s="12"/>
      <c r="W50" s="12"/>
      <c r="X50" s="12"/>
      <c r="Y50" s="12"/>
      <c r="Z50" s="12"/>
      <c r="AD50" s="12"/>
      <c r="AE50" s="12">
        <v>0.5</v>
      </c>
      <c r="AF50" s="12"/>
      <c r="AG50" s="12">
        <v>0.5</v>
      </c>
      <c r="AK50" s="12"/>
      <c r="AL50" s="12">
        <v>0.5</v>
      </c>
      <c r="AM50" s="12"/>
      <c r="AN50" s="12">
        <v>0.5</v>
      </c>
      <c r="AR50" s="12"/>
      <c r="AS50" s="12">
        <v>0.5</v>
      </c>
      <c r="AT50" s="12"/>
      <c r="AU50" s="12">
        <v>0.5</v>
      </c>
      <c r="AY50" s="12"/>
      <c r="AZ50" s="12">
        <v>0.5</v>
      </c>
      <c r="BA50" s="12"/>
      <c r="BB50" s="12">
        <v>0.5</v>
      </c>
      <c r="BF50" s="12"/>
      <c r="BG50" s="12">
        <v>0.5</v>
      </c>
      <c r="BH50" s="12"/>
      <c r="BI50" s="12">
        <v>0.5</v>
      </c>
      <c r="BM50" s="12"/>
      <c r="BN50" s="12">
        <v>0.8</v>
      </c>
      <c r="BO50" s="12"/>
      <c r="BP50" s="12">
        <v>0.8</v>
      </c>
      <c r="BT50" s="12"/>
      <c r="BU50" s="12">
        <v>0.8</v>
      </c>
      <c r="BV50" s="12"/>
      <c r="BW50" s="12">
        <v>0.8</v>
      </c>
      <c r="CA50" s="12"/>
      <c r="CB50" s="12">
        <v>0.8</v>
      </c>
      <c r="CC50" s="12"/>
      <c r="CD50" s="12">
        <v>0.8</v>
      </c>
      <c r="CH50" s="12"/>
      <c r="CI50" s="12">
        <v>0.8</v>
      </c>
      <c r="CJ50" s="12"/>
      <c r="CK50" s="12">
        <v>0.8</v>
      </c>
      <c r="CO50" s="12"/>
      <c r="CP50" s="12">
        <v>0.8</v>
      </c>
      <c r="CQ50" s="12"/>
      <c r="CR50" s="12">
        <v>0.8</v>
      </c>
      <c r="CV50" s="12"/>
      <c r="CW50" s="12">
        <v>0.8</v>
      </c>
      <c r="CX50" s="12"/>
      <c r="CY50" s="12">
        <v>0.8</v>
      </c>
      <c r="DC50" s="12"/>
      <c r="DD50" s="12">
        <v>1</v>
      </c>
      <c r="DE50" s="12"/>
      <c r="DF50" s="12">
        <v>1</v>
      </c>
      <c r="DJ50" s="12"/>
      <c r="DK50" s="12">
        <v>1</v>
      </c>
      <c r="DL50" s="12"/>
      <c r="DM50" s="12">
        <v>1</v>
      </c>
      <c r="DQ50" s="12"/>
      <c r="DR50" s="12"/>
      <c r="DS50" s="12"/>
      <c r="DT50" s="12"/>
      <c r="DX50" s="12"/>
      <c r="DY50" s="12"/>
      <c r="DZ50" s="12"/>
      <c r="EA50" s="12"/>
      <c r="EE50" s="12"/>
      <c r="EF50" s="12"/>
      <c r="EG50" s="12"/>
      <c r="EH50" s="12"/>
      <c r="EL50" s="12"/>
      <c r="EM50" s="12"/>
      <c r="EN50" s="12"/>
      <c r="EO50" s="12"/>
    </row>
    <row r="51" spans="2:145" ht="15.75" customHeight="1" outlineLevel="1">
      <c r="B51" t="s">
        <v>28</v>
      </c>
      <c r="C51" t="s">
        <v>89</v>
      </c>
      <c r="E51" s="11"/>
      <c r="F51" t="s">
        <v>127</v>
      </c>
      <c r="G51" s="12">
        <v>0.1</v>
      </c>
      <c r="I51" s="11">
        <f>+SUMIF($N$3:$YD$3,I$3,$N51:$YD51)</f>
        <v>0</v>
      </c>
      <c r="J51" s="13" cm="1">
        <f t="array" ref="J51">MAX(IF($N$3:$DN$3=$J$3,N51:DN51))</f>
        <v>0</v>
      </c>
      <c r="K51" s="13" cm="1">
        <f t="array" ref="K51">MAX(IF($N$3:$DN$3=$J$3,N51:DN51))</f>
        <v>0</v>
      </c>
      <c r="L51" s="11"/>
      <c r="P51" s="12"/>
      <c r="Q51" s="12"/>
      <c r="R51" s="12"/>
      <c r="S51" s="12"/>
      <c r="W51" s="12"/>
      <c r="X51" s="12"/>
      <c r="Y51" s="12"/>
      <c r="Z51" s="12"/>
      <c r="AD51" s="12"/>
      <c r="AE51" s="12">
        <v>0.5</v>
      </c>
      <c r="AF51" s="12"/>
      <c r="AG51" s="12">
        <v>0.5</v>
      </c>
      <c r="AK51" s="12"/>
      <c r="AL51" s="12">
        <v>0.5</v>
      </c>
      <c r="AM51" s="12"/>
      <c r="AN51" s="12">
        <v>0.5</v>
      </c>
      <c r="AR51" s="12"/>
      <c r="AS51" s="12">
        <v>0.5</v>
      </c>
      <c r="AT51" s="12"/>
      <c r="AU51" s="12">
        <v>0.5</v>
      </c>
      <c r="AY51" s="12"/>
      <c r="AZ51" s="12">
        <v>0.5</v>
      </c>
      <c r="BA51" s="12"/>
      <c r="BB51" s="12">
        <v>0.5</v>
      </c>
      <c r="BF51" s="12"/>
      <c r="BG51" s="12">
        <v>0.5</v>
      </c>
      <c r="BH51" s="12"/>
      <c r="BI51" s="12">
        <v>0.5</v>
      </c>
      <c r="BM51" s="12"/>
      <c r="BN51" s="12">
        <v>0.5</v>
      </c>
      <c r="BO51" s="12"/>
      <c r="BP51" s="12">
        <v>0.5</v>
      </c>
      <c r="BT51" s="12"/>
      <c r="BU51" s="12">
        <v>0.8</v>
      </c>
      <c r="BV51" s="12"/>
      <c r="BW51" s="12">
        <v>0.8</v>
      </c>
      <c r="CA51" s="12"/>
      <c r="CB51" s="12">
        <v>0.8</v>
      </c>
      <c r="CC51" s="12"/>
      <c r="CD51" s="12">
        <v>0.8</v>
      </c>
      <c r="CH51" s="12"/>
      <c r="CI51" s="12">
        <v>0.8</v>
      </c>
      <c r="CJ51" s="12"/>
      <c r="CK51" s="12">
        <v>0.8</v>
      </c>
      <c r="CO51" s="12"/>
      <c r="CP51" s="12">
        <v>0.8</v>
      </c>
      <c r="CQ51" s="12"/>
      <c r="CR51" s="12">
        <v>0.8</v>
      </c>
      <c r="CV51" s="12"/>
      <c r="CW51" s="12">
        <v>0.8</v>
      </c>
      <c r="CX51" s="12"/>
      <c r="CY51" s="12">
        <v>0.8</v>
      </c>
      <c r="DC51" s="12"/>
      <c r="DD51" s="12">
        <v>1</v>
      </c>
      <c r="DE51" s="12"/>
      <c r="DF51" s="12">
        <v>1</v>
      </c>
      <c r="DJ51" s="12"/>
      <c r="DK51" s="12">
        <v>1</v>
      </c>
      <c r="DL51" s="12"/>
      <c r="DM51" s="12">
        <v>1</v>
      </c>
      <c r="DQ51" s="12"/>
      <c r="DR51" s="12"/>
      <c r="DS51" s="12"/>
      <c r="DT51" s="12"/>
      <c r="DX51" s="12"/>
      <c r="DY51" s="12"/>
      <c r="DZ51" s="12"/>
      <c r="EA51" s="12"/>
      <c r="EE51" s="12"/>
      <c r="EF51" s="12"/>
      <c r="EG51" s="12"/>
      <c r="EH51" s="12"/>
      <c r="EL51" s="12"/>
      <c r="EM51" s="12"/>
      <c r="EN51" s="12"/>
      <c r="EO51" s="12"/>
    </row>
    <row r="52" spans="2:145" ht="15.75" customHeight="1" outlineLevel="1">
      <c r="B52" t="s">
        <v>28</v>
      </c>
      <c r="C52" t="s">
        <v>89</v>
      </c>
      <c r="E52" s="11"/>
      <c r="F52" t="s">
        <v>155</v>
      </c>
      <c r="G52" s="12">
        <v>0.1</v>
      </c>
      <c r="I52" s="11">
        <f>+SUMIF($N$3:$YD$3,I$3,$N52:$YD52)</f>
        <v>0</v>
      </c>
      <c r="J52" s="13" cm="1">
        <f t="array" ref="J52">MAX(IF($N$3:$DN$3=$J$3,N52:DN52))</f>
        <v>0</v>
      </c>
      <c r="K52" s="13" cm="1">
        <f t="array" ref="K52">MAX(IF($N$3:$DN$3=$J$3,N52:DN52))</f>
        <v>0</v>
      </c>
      <c r="L52" s="11"/>
      <c r="P52" s="12"/>
      <c r="Q52" s="12"/>
      <c r="R52" s="12"/>
      <c r="S52" s="12"/>
      <c r="W52" s="12"/>
      <c r="X52" s="12"/>
      <c r="Y52" s="12"/>
      <c r="Z52" s="12"/>
      <c r="AD52" s="12"/>
      <c r="AE52" s="12"/>
      <c r="AF52" s="12"/>
      <c r="AG52" s="12"/>
      <c r="AK52" s="12"/>
      <c r="AL52" s="12">
        <v>0.5</v>
      </c>
      <c r="AM52" s="12"/>
      <c r="AN52" s="12">
        <v>0.5</v>
      </c>
      <c r="AR52" s="12"/>
      <c r="AS52" s="12">
        <v>0.5</v>
      </c>
      <c r="AT52" s="12"/>
      <c r="AU52" s="12">
        <v>0.5</v>
      </c>
      <c r="AY52" s="12"/>
      <c r="AZ52" s="12">
        <v>0.5</v>
      </c>
      <c r="BA52" s="12"/>
      <c r="BB52" s="12">
        <v>0.5</v>
      </c>
      <c r="BF52" s="12"/>
      <c r="BG52" s="12">
        <v>0.5</v>
      </c>
      <c r="BH52" s="12"/>
      <c r="BI52" s="12">
        <v>0.5</v>
      </c>
      <c r="BM52" s="12"/>
      <c r="BN52" s="12">
        <v>0.5</v>
      </c>
      <c r="BO52" s="12"/>
      <c r="BP52" s="12">
        <v>0.5</v>
      </c>
      <c r="BT52" s="12"/>
      <c r="BU52" s="12">
        <v>0.8</v>
      </c>
      <c r="BV52" s="12"/>
      <c r="BW52" s="12">
        <v>0.8</v>
      </c>
      <c r="CA52" s="12"/>
      <c r="CB52" s="12">
        <v>0.8</v>
      </c>
      <c r="CC52" s="12"/>
      <c r="CD52" s="12">
        <v>0.8</v>
      </c>
      <c r="CH52" s="12"/>
      <c r="CI52" s="12">
        <v>0.8</v>
      </c>
      <c r="CJ52" s="12"/>
      <c r="CK52" s="12">
        <v>0.8</v>
      </c>
      <c r="CO52" s="12"/>
      <c r="CP52" s="12">
        <v>0.8</v>
      </c>
      <c r="CQ52" s="12"/>
      <c r="CR52" s="12">
        <v>0.8</v>
      </c>
      <c r="CV52" s="12"/>
      <c r="CW52" s="12">
        <v>0.8</v>
      </c>
      <c r="CX52" s="12"/>
      <c r="CY52" s="12">
        <v>0.8</v>
      </c>
      <c r="DC52" s="12"/>
      <c r="DD52" s="12">
        <v>0.8</v>
      </c>
      <c r="DE52" s="12"/>
      <c r="DF52" s="12">
        <v>0.8</v>
      </c>
      <c r="DJ52" s="12"/>
      <c r="DK52" s="12">
        <v>1</v>
      </c>
      <c r="DL52" s="12"/>
      <c r="DM52" s="12">
        <v>1</v>
      </c>
      <c r="DQ52" s="12"/>
      <c r="DR52" s="12"/>
      <c r="DS52" s="12"/>
      <c r="DT52" s="12"/>
      <c r="DX52" s="12"/>
      <c r="DY52" s="12"/>
      <c r="DZ52" s="12"/>
      <c r="EA52" s="12"/>
      <c r="EE52" s="12"/>
      <c r="EF52" s="12"/>
      <c r="EG52" s="12"/>
      <c r="EH52" s="12"/>
      <c r="EL52" s="12"/>
      <c r="EM52" s="12"/>
      <c r="EN52" s="12"/>
      <c r="EO52" s="12"/>
    </row>
    <row r="53" spans="2:145" ht="15.75" customHeight="1" outlineLevel="1">
      <c r="B53" t="s">
        <v>28</v>
      </c>
      <c r="C53" t="s">
        <v>89</v>
      </c>
      <c r="E53" s="11"/>
      <c r="F53" t="s">
        <v>156</v>
      </c>
      <c r="G53" s="12">
        <v>0.1</v>
      </c>
      <c r="I53" s="11">
        <f>+SUMIF($N$3:$YD$3,I$3,$N53:$YD53)</f>
        <v>0</v>
      </c>
      <c r="J53" s="13" cm="1">
        <f t="array" ref="J53">MAX(IF($N$3:$DN$3=$J$3,N53:DN53))</f>
        <v>0</v>
      </c>
      <c r="K53" s="13" cm="1">
        <f t="array" ref="K53">MAX(IF($N$3:$DN$3=$J$3,N53:DN53))</f>
        <v>0</v>
      </c>
      <c r="L53" s="11"/>
      <c r="P53" s="12"/>
      <c r="Q53" s="12"/>
      <c r="R53" s="12"/>
      <c r="S53" s="12"/>
      <c r="W53" s="12"/>
      <c r="X53" s="12"/>
      <c r="Y53" s="12"/>
      <c r="Z53" s="12"/>
      <c r="AD53" s="12"/>
      <c r="AE53" s="12"/>
      <c r="AF53" s="12"/>
      <c r="AG53" s="12"/>
      <c r="AK53" s="12"/>
      <c r="AL53" s="12">
        <v>0.5</v>
      </c>
      <c r="AM53" s="12"/>
      <c r="AN53" s="12">
        <v>0.5</v>
      </c>
      <c r="AR53" s="12"/>
      <c r="AS53" s="12">
        <v>0.5</v>
      </c>
      <c r="AT53" s="12"/>
      <c r="AU53" s="12">
        <v>0.5</v>
      </c>
      <c r="AY53" s="12"/>
      <c r="AZ53" s="12">
        <v>0.5</v>
      </c>
      <c r="BA53" s="12"/>
      <c r="BB53" s="12">
        <v>0.5</v>
      </c>
      <c r="BF53" s="12"/>
      <c r="BG53" s="12">
        <v>0.5</v>
      </c>
      <c r="BH53" s="12"/>
      <c r="BI53" s="12">
        <v>0.5</v>
      </c>
      <c r="BM53" s="12"/>
      <c r="BN53" s="12">
        <v>0.5</v>
      </c>
      <c r="BO53" s="12"/>
      <c r="BP53" s="12">
        <v>0.5</v>
      </c>
      <c r="BT53" s="12"/>
      <c r="BU53" s="12">
        <v>0.5</v>
      </c>
      <c r="BV53" s="12"/>
      <c r="BW53" s="12">
        <v>0.5</v>
      </c>
      <c r="CA53" s="12"/>
      <c r="CB53" s="12">
        <v>0.8</v>
      </c>
      <c r="CC53" s="12"/>
      <c r="CD53" s="12">
        <v>0.8</v>
      </c>
      <c r="CH53" s="12"/>
      <c r="CI53" s="12">
        <v>0.8</v>
      </c>
      <c r="CJ53" s="12"/>
      <c r="CK53" s="12">
        <v>0.8</v>
      </c>
      <c r="CO53" s="12"/>
      <c r="CP53" s="12">
        <v>0.8</v>
      </c>
      <c r="CQ53" s="12"/>
      <c r="CR53" s="12">
        <v>0.8</v>
      </c>
      <c r="CV53" s="12"/>
      <c r="CW53" s="12">
        <v>0.8</v>
      </c>
      <c r="CX53" s="12"/>
      <c r="CY53" s="12">
        <v>0.8</v>
      </c>
      <c r="DC53" s="12"/>
      <c r="DD53" s="12">
        <v>0.8</v>
      </c>
      <c r="DE53" s="12"/>
      <c r="DF53" s="12">
        <v>0.8</v>
      </c>
      <c r="DJ53" s="12"/>
      <c r="DK53" s="12">
        <v>1</v>
      </c>
      <c r="DL53" s="12"/>
      <c r="DM53" s="12">
        <v>1</v>
      </c>
      <c r="DQ53" s="12"/>
      <c r="DR53" s="12"/>
      <c r="DS53" s="12"/>
      <c r="DT53" s="12"/>
      <c r="DX53" s="12"/>
      <c r="DY53" s="12"/>
      <c r="DZ53" s="12"/>
      <c r="EA53" s="12"/>
      <c r="EE53" s="12"/>
      <c r="EF53" s="12"/>
      <c r="EG53" s="12"/>
      <c r="EH53" s="12"/>
      <c r="EL53" s="12"/>
      <c r="EM53" s="12"/>
      <c r="EN53" s="12"/>
      <c r="EO53" s="12"/>
    </row>
  </sheetData>
  <mergeCells count="20">
    <mergeCell ref="I2:L2"/>
    <mergeCell ref="AJ2:AO2"/>
    <mergeCell ref="O2:T2"/>
    <mergeCell ref="V2:AA2"/>
    <mergeCell ref="AC2:AH2"/>
    <mergeCell ref="BZ2:CE2"/>
    <mergeCell ref="CG2:CL2"/>
    <mergeCell ref="AQ2:AV2"/>
    <mergeCell ref="AX2:BC2"/>
    <mergeCell ref="BE2:BJ2"/>
    <mergeCell ref="BL2:BQ2"/>
    <mergeCell ref="BS2:BX2"/>
    <mergeCell ref="CN2:CS2"/>
    <mergeCell ref="CU2:CZ2"/>
    <mergeCell ref="DB2:DG2"/>
    <mergeCell ref="DI2:DN2"/>
    <mergeCell ref="DP2:DU2"/>
    <mergeCell ref="DW2:EB2"/>
    <mergeCell ref="ED2:EI2"/>
    <mergeCell ref="EK2:EP2"/>
  </mergeCells>
  <conditionalFormatting sqref="BH5:BH8 EG18:EG24 P29:P33 R29:R33 AD29:AD33 AF29:AF33 AM29:AM33 Y29:Y33 W29:W33 AK29:AK33 AT29:AT33 AR29:AR33 BA29:BA33 AY29:AY33 BH29:BH33 BF29:BF33 BO29:BO33 BM29:BM33 BT29:BT33 CC29:CC33 CA29:CA33 CJ29:CJ33 CH29:CH33 BV27:BV33 CQ29:CQ33 CO29:CO33 CV29:CV33 CX27:CX33 DE29:DE33 DC29:DC33 DL29:DL33 DJ29:DJ33 DS29:DS33 DQ29:DQ33 DZ29:DZ33 DX29:DX33 EE27:EE33 EG27:EG33 EN29:EN33 EL29:EL33 P38:P40 R38:R40 AD38:AD40 AF38:AF40 AM38:AM40 Y38:Y40 W38:W40 AK38:AK40 AT38:AT40 AR38:AR40 BA38:BA40 AY38:AY40 BH38:BH40 BF38:BF40 BO38:BO40 BM38:BM40 BV38:BV40 BT38:BT40 CC38:CC40 CA38:CA40 CJ38:CJ40 CH38:CH40 CQ38:CQ40 CO38:CO40 CX38:CX40 CV38:CV40 DE38:DE40 DC38:DC40 DL38:DL40 DJ38:DJ40 DS38:DS40 DQ38:DQ40 DZ38:DZ40 DX38:DX40 EG38:EG40 EE38:EE40 EN38:EN40 EL38:EL40 W5:W15 Y5:Y15 AK5:AK15 AM5:AM15 P5:P15 R5:R15 AD5:AD15 AF5:AF15 AR5:AR15 AT5:AT15 DS5:DS15 AY5:AY15 BA5:BA15 BF5:BF15 BM5:BM15 BO5:BO15 BT5:BT15 BV5:BV15 CA5:CA15 CC5:CC15 CH5:CH15 CJ5:CJ15 BH10:BH15 CO5:CO15 CQ5:CQ15 CV5:CV15 CX5:CX15 DC5:DC15 DE5:DE15 DJ5:DJ15 DL5:DL15 DQ5:DQ15 DX5:DX15 DZ5:DZ15 EE5:EE15 EG5:EG15 EL5:EL15 EN5:EN15 P43:P53 R43:R53 Y43:Y53 W43:W53 AD43:AD53 AF43:AF53 AM43:AM53 AK43:AK53 AT43:AT53 AR43:AR53 DS43:DS53 BA43:BA53 AY43:AY53 BH43:BH53 BF43:BF53 BO43:BO53 BM43:BM53 BV43:BV53 BT43:BT53 CC43:CC53 CA43:CA53 CJ43:CJ53 CH43:CH53 CQ43:CQ53 CO43:CO53 CX43:CX53 CV43:CV53 DE43:DE53 DC43:DC53 DL43:DL53 DJ43:DJ53 DQ43:DQ53 DZ43:DZ53 DX43:DX53 EG43:EG53 EE43:EE53 EN43:EN53 EL43:EL53">
    <cfRule type="expression" dxfId="329" priority="1093">
      <formula>OR(IF(P5&lt;Q5,TRUE),IF(AND(Q5="",P5&lt;&gt;""),TRUE))</formula>
    </cfRule>
    <cfRule type="expression" dxfId="328" priority="1094">
      <formula>IF(P5&gt;=Q5,IF(P5="",FALSE,TRUE))</formula>
    </cfRule>
  </conditionalFormatting>
  <conditionalFormatting sqref="W18 Y18 Y21:Y24 W21:W24">
    <cfRule type="expression" dxfId="327" priority="960">
      <formula>OR(IF(W18&lt;X18,TRUE),IF(AND(X18="",W18&lt;&gt;""),TRUE))</formula>
    </cfRule>
    <cfRule type="expression" dxfId="326" priority="961">
      <formula>IF(W18&gt;=X18,IF(W18="",FALSE,TRUE))</formula>
    </cfRule>
  </conditionalFormatting>
  <conditionalFormatting sqref="AK18 AM18 AM21:AM24 AK21:AK24">
    <cfRule type="expression" dxfId="325" priority="928">
      <formula>OR(IF(AK18&lt;AL18,TRUE),IF(AND(AL18="",AK18&lt;&gt;""),TRUE))</formula>
    </cfRule>
    <cfRule type="expression" dxfId="324" priority="929">
      <formula>IF(AK18&gt;=AL18,IF(AK18="",FALSE,TRUE))</formula>
    </cfRule>
  </conditionalFormatting>
  <conditionalFormatting sqref="AK27:AK28">
    <cfRule type="expression" dxfId="323" priority="924">
      <formula>OR(IF(AK27&lt;AL27,TRUE),IF(AND(AL27="",AK27&lt;&gt;""),TRUE))</formula>
    </cfRule>
    <cfRule type="expression" dxfId="322" priority="925">
      <formula>IF(AK27&gt;=AL27,IF(AK27="",FALSE,TRUE))</formula>
    </cfRule>
  </conditionalFormatting>
  <conditionalFormatting sqref="P18 R18 R21:R24 P21:P24">
    <cfRule type="expression" dxfId="321" priority="976">
      <formula>OR(IF(P18&lt;Q18,TRUE),IF(AND(Q18="",P18&lt;&gt;""),TRUE))</formula>
    </cfRule>
    <cfRule type="expression" dxfId="320" priority="977">
      <formula>IF(P18&gt;=Q18,IF(P18="",FALSE,TRUE))</formula>
    </cfRule>
  </conditionalFormatting>
  <conditionalFormatting sqref="P27:P28">
    <cfRule type="expression" dxfId="319" priority="972">
      <formula>OR(IF(P27&lt;Q27,TRUE),IF(AND(Q27="",P27&lt;&gt;""),TRUE))</formula>
    </cfRule>
    <cfRule type="expression" dxfId="318" priority="973">
      <formula>IF(P27&gt;=Q27,IF(P27="",FALSE,TRUE))</formula>
    </cfRule>
  </conditionalFormatting>
  <conditionalFormatting sqref="R27:R28">
    <cfRule type="expression" dxfId="317" priority="970">
      <formula>OR(IF(R27&lt;S27,TRUE),IF(AND(S27="",R27&lt;&gt;""),TRUE))</formula>
    </cfRule>
    <cfRule type="expression" dxfId="316" priority="971">
      <formula>IF(R27&gt;=S27,IF(R27="",FALSE,TRUE))</formula>
    </cfRule>
  </conditionalFormatting>
  <conditionalFormatting sqref="W27:W28">
    <cfRule type="expression" dxfId="315" priority="956">
      <formula>OR(IF(W27&lt;X27,TRUE),IF(AND(X27="",W27&lt;&gt;""),TRUE))</formula>
    </cfRule>
    <cfRule type="expression" dxfId="314" priority="957">
      <formula>IF(W27&gt;=X27,IF(W27="",FALSE,TRUE))</formula>
    </cfRule>
  </conditionalFormatting>
  <conditionalFormatting sqref="Y27:Y28">
    <cfRule type="expression" dxfId="313" priority="954">
      <formula>OR(IF(Y27&lt;Z27,TRUE),IF(AND(Z27="",Y27&lt;&gt;""),TRUE))</formula>
    </cfRule>
    <cfRule type="expression" dxfId="312" priority="955">
      <formula>IF(Y27&gt;=Z27,IF(Y27="",FALSE,TRUE))</formula>
    </cfRule>
  </conditionalFormatting>
  <conditionalFormatting sqref="AD18 AF18 AF21:AF24 AD21:AD24">
    <cfRule type="expression" dxfId="311" priority="944">
      <formula>OR(IF(AD18&lt;AE18,TRUE),IF(AND(AE18="",AD18&lt;&gt;""),TRUE))</formula>
    </cfRule>
    <cfRule type="expression" dxfId="310" priority="945">
      <formula>IF(AD18&gt;=AE18,IF(AD18="",FALSE,TRUE))</formula>
    </cfRule>
  </conditionalFormatting>
  <conditionalFormatting sqref="AD27:AD28">
    <cfRule type="expression" dxfId="309" priority="940">
      <formula>OR(IF(AD27&lt;AE27,TRUE),IF(AND(AE27="",AD27&lt;&gt;""),TRUE))</formula>
    </cfRule>
    <cfRule type="expression" dxfId="308" priority="941">
      <formula>IF(AD27&gt;=AE27,IF(AD27="",FALSE,TRUE))</formula>
    </cfRule>
  </conditionalFormatting>
  <conditionalFormatting sqref="AF27:AF28">
    <cfRule type="expression" dxfId="307" priority="938">
      <formula>OR(IF(AF27&lt;AG27,TRUE),IF(AND(AG27="",AF27&lt;&gt;""),TRUE))</formula>
    </cfRule>
    <cfRule type="expression" dxfId="306" priority="939">
      <formula>IF(AF27&gt;=AG27,IF(AF27="",FALSE,TRUE))</formula>
    </cfRule>
  </conditionalFormatting>
  <conditionalFormatting sqref="AM27:AM28">
    <cfRule type="expression" dxfId="305" priority="922">
      <formula>OR(IF(AM27&lt;AN27,TRUE),IF(AND(AN27="",AM27&lt;&gt;""),TRUE))</formula>
    </cfRule>
    <cfRule type="expression" dxfId="304" priority="923">
      <formula>IF(AM27&gt;=AN27,IF(AM27="",FALSE,TRUE))</formula>
    </cfRule>
  </conditionalFormatting>
  <conditionalFormatting sqref="AR18 AT18 AT21:AT24 AR21:AR24">
    <cfRule type="expression" dxfId="303" priority="904">
      <formula>OR(IF(AR18&lt;AS18,TRUE),IF(AND(AS18="",AR18&lt;&gt;""),TRUE))</formula>
    </cfRule>
    <cfRule type="expression" dxfId="302" priority="905">
      <formula>IF(AR18&gt;=AS18,IF(AR18="",FALSE,TRUE))</formula>
    </cfRule>
  </conditionalFormatting>
  <conditionalFormatting sqref="AR27:AR28">
    <cfRule type="expression" dxfId="301" priority="900">
      <formula>OR(IF(AR27&lt;AS27,TRUE),IF(AND(AS27="",AR27&lt;&gt;""),TRUE))</formula>
    </cfRule>
    <cfRule type="expression" dxfId="300" priority="901">
      <formula>IF(AR27&gt;=AS27,IF(AR27="",FALSE,TRUE))</formula>
    </cfRule>
  </conditionalFormatting>
  <conditionalFormatting sqref="AT27:AT28">
    <cfRule type="expression" dxfId="299" priority="898">
      <formula>OR(IF(AT27&lt;AU27,TRUE),IF(AND(AU27="",AT27&lt;&gt;""),TRUE))</formula>
    </cfRule>
    <cfRule type="expression" dxfId="298" priority="899">
      <formula>IF(AT27&gt;=AU27,IF(AT27="",FALSE,TRUE))</formula>
    </cfRule>
  </conditionalFormatting>
  <conditionalFormatting sqref="AK36:AK37">
    <cfRule type="expression" dxfId="297" priority="773">
      <formula>OR(IF(AK36&lt;AL36,TRUE),IF(AND(AL36="",AK36&lt;&gt;""),TRUE))</formula>
    </cfRule>
    <cfRule type="expression" dxfId="296" priority="774">
      <formula>IF(AK36&gt;=AL36,IF(AK36="",FALSE,TRUE))</formula>
    </cfRule>
  </conditionalFormatting>
  <conditionalFormatting sqref="P36:P37">
    <cfRule type="expression" dxfId="295" priority="797">
      <formula>OR(IF(P36&lt;Q36,TRUE),IF(AND(Q36="",P36&lt;&gt;""),TRUE))</formula>
    </cfRule>
    <cfRule type="expression" dxfId="294" priority="798">
      <formula>IF(P36&gt;=Q36,IF(P36="",FALSE,TRUE))</formula>
    </cfRule>
  </conditionalFormatting>
  <conditionalFormatting sqref="R36:R37">
    <cfRule type="expression" dxfId="293" priority="795">
      <formula>OR(IF(R36&lt;S36,TRUE),IF(AND(S36="",R36&lt;&gt;""),TRUE))</formula>
    </cfRule>
    <cfRule type="expression" dxfId="292" priority="796">
      <formula>IF(R36&gt;=S36,IF(R36="",FALSE,TRUE))</formula>
    </cfRule>
  </conditionalFormatting>
  <conditionalFormatting sqref="W36:W37">
    <cfRule type="expression" dxfId="291" priority="789">
      <formula>OR(IF(W36&lt;X36,TRUE),IF(AND(X36="",W36&lt;&gt;""),TRUE))</formula>
    </cfRule>
    <cfRule type="expression" dxfId="290" priority="790">
      <formula>IF(W36&gt;=X36,IF(W36="",FALSE,TRUE))</formula>
    </cfRule>
  </conditionalFormatting>
  <conditionalFormatting sqref="Y36:Y37">
    <cfRule type="expression" dxfId="289" priority="787">
      <formula>OR(IF(Y36&lt;Z36,TRUE),IF(AND(Z36="",Y36&lt;&gt;""),TRUE))</formula>
    </cfRule>
    <cfRule type="expression" dxfId="288" priority="788">
      <formula>IF(Y36&gt;=Z36,IF(Y36="",FALSE,TRUE))</formula>
    </cfRule>
  </conditionalFormatting>
  <conditionalFormatting sqref="AD36:AD37">
    <cfRule type="expression" dxfId="287" priority="781">
      <formula>OR(IF(AD36&lt;AE36,TRUE),IF(AND(AE36="",AD36&lt;&gt;""),TRUE))</formula>
    </cfRule>
    <cfRule type="expression" dxfId="286" priority="782">
      <formula>IF(AD36&gt;=AE36,IF(AD36="",FALSE,TRUE))</formula>
    </cfRule>
  </conditionalFormatting>
  <conditionalFormatting sqref="AF36:AF37">
    <cfRule type="expression" dxfId="285" priority="779">
      <formula>OR(IF(AF36&lt;AG36,TRUE),IF(AND(AG36="",AF36&lt;&gt;""),TRUE))</formula>
    </cfRule>
    <cfRule type="expression" dxfId="284" priority="780">
      <formula>IF(AF36&gt;=AG36,IF(AF36="",FALSE,TRUE))</formula>
    </cfRule>
  </conditionalFormatting>
  <conditionalFormatting sqref="AM36:AM37">
    <cfRule type="expression" dxfId="283" priority="771">
      <formula>OR(IF(AM36&lt;AN36,TRUE),IF(AND(AN36="",AM36&lt;&gt;""),TRUE))</formula>
    </cfRule>
    <cfRule type="expression" dxfId="282" priority="772">
      <formula>IF(AM36&gt;=AN36,IF(AM36="",FALSE,TRUE))</formula>
    </cfRule>
  </conditionalFormatting>
  <conditionalFormatting sqref="AR36:AR37">
    <cfRule type="expression" dxfId="281" priority="762">
      <formula>OR(IF(AR36&lt;AS36,TRUE),IF(AND(AS36="",AR36&lt;&gt;""),TRUE))</formula>
    </cfRule>
    <cfRule type="expression" dxfId="280" priority="763">
      <formula>IF(AR36&gt;=AS36,IF(AR36="",FALSE,TRUE))</formula>
    </cfRule>
  </conditionalFormatting>
  <conditionalFormatting sqref="AT36:AT37">
    <cfRule type="expression" dxfId="279" priority="760">
      <formula>OR(IF(AT36&lt;AU36,TRUE),IF(AND(AU36="",AT36&lt;&gt;""),TRUE))</formula>
    </cfRule>
    <cfRule type="expression" dxfId="278" priority="761">
      <formula>IF(AT36&gt;=AU36,IF(AT36="",FALSE,TRUE))</formula>
    </cfRule>
  </conditionalFormatting>
  <conditionalFormatting sqref="W19 Y19">
    <cfRule type="expression" dxfId="277" priority="679">
      <formula>OR(IF(W19&lt;X19,TRUE),IF(AND(X19="",W19&lt;&gt;""),TRUE))</formula>
    </cfRule>
    <cfRule type="expression" dxfId="276" priority="680">
      <formula>IF(W19&gt;=X19,IF(W19="",FALSE,TRUE))</formula>
    </cfRule>
  </conditionalFormatting>
  <conditionalFormatting sqref="AK19 AM19">
    <cfRule type="expression" dxfId="275" priority="675">
      <formula>OR(IF(AK19&lt;AL19,TRUE),IF(AND(AL19="",AK19&lt;&gt;""),TRUE))</formula>
    </cfRule>
    <cfRule type="expression" dxfId="274" priority="676">
      <formula>IF(AK19&gt;=AL19,IF(AK19="",FALSE,TRUE))</formula>
    </cfRule>
  </conditionalFormatting>
  <conditionalFormatting sqref="P19 R19">
    <cfRule type="expression" dxfId="273" priority="681">
      <formula>OR(IF(P19&lt;Q19,TRUE),IF(AND(Q19="",P19&lt;&gt;""),TRUE))</formula>
    </cfRule>
    <cfRule type="expression" dxfId="272" priority="682">
      <formula>IF(P19&gt;=Q19,IF(P19="",FALSE,TRUE))</formula>
    </cfRule>
  </conditionalFormatting>
  <conditionalFormatting sqref="AD19 AF19">
    <cfRule type="expression" dxfId="271" priority="677">
      <formula>OR(IF(AD19&lt;AE19,TRUE),IF(AND(AE19="",AD19&lt;&gt;""),TRUE))</formula>
    </cfRule>
    <cfRule type="expression" dxfId="270" priority="678">
      <formula>IF(AD19&gt;=AE19,IF(AD19="",FALSE,TRUE))</formula>
    </cfRule>
  </conditionalFormatting>
  <conditionalFormatting sqref="J19:K19">
    <cfRule type="colorScale" priority="674">
      <colorScale>
        <cfvo type="percent" val="0"/>
        <cfvo type="percent" val="100"/>
        <color rgb="FFFF231B"/>
        <color rgb="FF10FF07"/>
      </colorScale>
    </cfRule>
  </conditionalFormatting>
  <conditionalFormatting sqref="J19">
    <cfRule type="colorScale" priority="673">
      <colorScale>
        <cfvo type="percent" val="0"/>
        <cfvo type="percent" val="100"/>
        <color rgb="FFFF231B"/>
        <color rgb="FF10FF07"/>
      </colorScale>
    </cfRule>
  </conditionalFormatting>
  <conditionalFormatting sqref="K19">
    <cfRule type="colorScale" priority="672">
      <colorScale>
        <cfvo type="percent" val="0"/>
        <cfvo type="percent" val="100"/>
        <color rgb="FFFF231B"/>
        <color rgb="FF10FF07"/>
      </colorScale>
    </cfRule>
  </conditionalFormatting>
  <conditionalFormatting sqref="AR19 AT19">
    <cfRule type="expression" dxfId="269" priority="670">
      <formula>OR(IF(AR19&lt;AS19,TRUE),IF(AND(AS19="",AR19&lt;&gt;""),TRUE))</formula>
    </cfRule>
    <cfRule type="expression" dxfId="268" priority="671">
      <formula>IF(AR19&gt;=AS19,IF(AR19="",FALSE,TRUE))</formula>
    </cfRule>
  </conditionalFormatting>
  <conditionalFormatting sqref="Y20 W20">
    <cfRule type="expression" dxfId="267" priority="660">
      <formula>OR(IF(W20&lt;X20,TRUE),IF(AND(X20="",W20&lt;&gt;""),TRUE))</formula>
    </cfRule>
    <cfRule type="expression" dxfId="266" priority="661">
      <formula>IF(W20&gt;=X20,IF(W20="",FALSE,TRUE))</formula>
    </cfRule>
  </conditionalFormatting>
  <conditionalFormatting sqref="AM20 AK20">
    <cfRule type="expression" dxfId="265" priority="656">
      <formula>OR(IF(AK20&lt;AL20,TRUE),IF(AND(AL20="",AK20&lt;&gt;""),TRUE))</formula>
    </cfRule>
    <cfRule type="expression" dxfId="264" priority="657">
      <formula>IF(AK20&gt;=AL20,IF(AK20="",FALSE,TRUE))</formula>
    </cfRule>
  </conditionalFormatting>
  <conditionalFormatting sqref="R20 P20">
    <cfRule type="expression" dxfId="263" priority="662">
      <formula>OR(IF(P20&lt;Q20,TRUE),IF(AND(Q20="",P20&lt;&gt;""),TRUE))</formula>
    </cfRule>
    <cfRule type="expression" dxfId="262" priority="663">
      <formula>IF(P20&gt;=Q20,IF(P20="",FALSE,TRUE))</formula>
    </cfRule>
  </conditionalFormatting>
  <conditionalFormatting sqref="AF20 AD20">
    <cfRule type="expression" dxfId="261" priority="658">
      <formula>OR(IF(AD20&lt;AE20,TRUE),IF(AND(AE20="",AD20&lt;&gt;""),TRUE))</formula>
    </cfRule>
    <cfRule type="expression" dxfId="260" priority="659">
      <formula>IF(AD20&gt;=AE20,IF(AD20="",FALSE,TRUE))</formula>
    </cfRule>
  </conditionalFormatting>
  <conditionalFormatting sqref="J20:K20">
    <cfRule type="colorScale" priority="655">
      <colorScale>
        <cfvo type="percent" val="0"/>
        <cfvo type="percent" val="100"/>
        <color rgb="FFFF231B"/>
        <color rgb="FF10FF07"/>
      </colorScale>
    </cfRule>
  </conditionalFormatting>
  <conditionalFormatting sqref="J20">
    <cfRule type="colorScale" priority="654">
      <colorScale>
        <cfvo type="percent" val="0"/>
        <cfvo type="percent" val="100"/>
        <color rgb="FFFF231B"/>
        <color rgb="FF10FF07"/>
      </colorScale>
    </cfRule>
  </conditionalFormatting>
  <conditionalFormatting sqref="K20">
    <cfRule type="colorScale" priority="653">
      <colorScale>
        <cfvo type="percent" val="0"/>
        <cfvo type="percent" val="100"/>
        <color rgb="FFFF231B"/>
        <color rgb="FF10FF07"/>
      </colorScale>
    </cfRule>
  </conditionalFormatting>
  <conditionalFormatting sqref="AT20 AR20">
    <cfRule type="expression" dxfId="259" priority="651">
      <formula>OR(IF(AR20&lt;AS20,TRUE),IF(AND(AS20="",AR20&lt;&gt;""),TRUE))</formula>
    </cfRule>
    <cfRule type="expression" dxfId="258" priority="652">
      <formula>IF(AR20&gt;=AS20,IF(AR20="",FALSE,TRUE))</formula>
    </cfRule>
  </conditionalFormatting>
  <conditionalFormatting sqref="AY18 BA18 BA21:BA24 AY21:AY24">
    <cfRule type="expression" dxfId="257" priority="647">
      <formula>OR(IF(AY18&lt;AZ18,TRUE),IF(AND(AZ18="",AY18&lt;&gt;""),TRUE))</formula>
    </cfRule>
    <cfRule type="expression" dxfId="256" priority="648">
      <formula>IF(AY18&gt;=AZ18,IF(AY18="",FALSE,TRUE))</formula>
    </cfRule>
  </conditionalFormatting>
  <conditionalFormatting sqref="AY27:AY28">
    <cfRule type="expression" dxfId="255" priority="645">
      <formula>OR(IF(AY27&lt;AZ27,TRUE),IF(AND(AZ27="",AY27&lt;&gt;""),TRUE))</formula>
    </cfRule>
    <cfRule type="expression" dxfId="254" priority="646">
      <formula>IF(AY27&gt;=AZ27,IF(AY27="",FALSE,TRUE))</formula>
    </cfRule>
  </conditionalFormatting>
  <conditionalFormatting sqref="BA27:BA28">
    <cfRule type="expression" dxfId="253" priority="643">
      <formula>OR(IF(BA27&lt;BB27,TRUE),IF(AND(BB27="",BA27&lt;&gt;""),TRUE))</formula>
    </cfRule>
    <cfRule type="expression" dxfId="252" priority="644">
      <formula>IF(BA27&gt;=BB27,IF(BA27="",FALSE,TRUE))</formula>
    </cfRule>
  </conditionalFormatting>
  <conditionalFormatting sqref="AY36:AY37">
    <cfRule type="expression" dxfId="251" priority="637">
      <formula>OR(IF(AY36&lt;AZ36,TRUE),IF(AND(AZ36="",AY36&lt;&gt;""),TRUE))</formula>
    </cfRule>
    <cfRule type="expression" dxfId="250" priority="638">
      <formula>IF(AY36&gt;=AZ36,IF(AY36="",FALSE,TRUE))</formula>
    </cfRule>
  </conditionalFormatting>
  <conditionalFormatting sqref="BA36:BA37">
    <cfRule type="expression" dxfId="249" priority="635">
      <formula>OR(IF(BA36&lt;BB36,TRUE),IF(AND(BB36="",BA36&lt;&gt;""),TRUE))</formula>
    </cfRule>
    <cfRule type="expression" dxfId="248" priority="636">
      <formula>IF(BA36&gt;=BB36,IF(BA36="",FALSE,TRUE))</formula>
    </cfRule>
  </conditionalFormatting>
  <conditionalFormatting sqref="AY19 BA19">
    <cfRule type="expression" dxfId="247" priority="633">
      <formula>OR(IF(AY19&lt;AZ19,TRUE),IF(AND(AZ19="",AY19&lt;&gt;""),TRUE))</formula>
    </cfRule>
    <cfRule type="expression" dxfId="246" priority="634">
      <formula>IF(AY19&gt;=AZ19,IF(AY19="",FALSE,TRUE))</formula>
    </cfRule>
  </conditionalFormatting>
  <conditionalFormatting sqref="BA20 AY20">
    <cfRule type="expression" dxfId="245" priority="631">
      <formula>OR(IF(AY20&lt;AZ20,TRUE),IF(AND(AZ20="",AY20&lt;&gt;""),TRUE))</formula>
    </cfRule>
    <cfRule type="expression" dxfId="244" priority="632">
      <formula>IF(AY20&gt;=AZ20,IF(AY20="",FALSE,TRUE))</formula>
    </cfRule>
  </conditionalFormatting>
  <conditionalFormatting sqref="BF18 BH18 BH21:BH24 BF21:BF24">
    <cfRule type="expression" dxfId="243" priority="627">
      <formula>OR(IF(BF18&lt;BG18,TRUE),IF(AND(BG18="",BF18&lt;&gt;""),TRUE))</formula>
    </cfRule>
    <cfRule type="expression" dxfId="242" priority="628">
      <formula>IF(BF18&gt;=BG18,IF(BF18="",FALSE,TRUE))</formula>
    </cfRule>
  </conditionalFormatting>
  <conditionalFormatting sqref="BF27:BF28">
    <cfRule type="expression" dxfId="241" priority="625">
      <formula>OR(IF(BF27&lt;BG27,TRUE),IF(AND(BG27="",BF27&lt;&gt;""),TRUE))</formula>
    </cfRule>
    <cfRule type="expression" dxfId="240" priority="626">
      <formula>IF(BF27&gt;=BG27,IF(BF27="",FALSE,TRUE))</formula>
    </cfRule>
  </conditionalFormatting>
  <conditionalFormatting sqref="BH27:BH28">
    <cfRule type="expression" dxfId="239" priority="623">
      <formula>OR(IF(BH27&lt;BI27,TRUE),IF(AND(BI27="",BH27&lt;&gt;""),TRUE))</formula>
    </cfRule>
    <cfRule type="expression" dxfId="238" priority="624">
      <formula>IF(BH27&gt;=BI27,IF(BH27="",FALSE,TRUE))</formula>
    </cfRule>
  </conditionalFormatting>
  <conditionalFormatting sqref="BF36:BF37">
    <cfRule type="expression" dxfId="237" priority="617">
      <formula>OR(IF(BF36&lt;BG36,TRUE),IF(AND(BG36="",BF36&lt;&gt;""),TRUE))</formula>
    </cfRule>
    <cfRule type="expression" dxfId="236" priority="618">
      <formula>IF(BF36&gt;=BG36,IF(BF36="",FALSE,TRUE))</formula>
    </cfRule>
  </conditionalFormatting>
  <conditionalFormatting sqref="BH36:BH37">
    <cfRule type="expression" dxfId="235" priority="615">
      <formula>OR(IF(BH36&lt;BI36,TRUE),IF(AND(BI36="",BH36&lt;&gt;""),TRUE))</formula>
    </cfRule>
    <cfRule type="expression" dxfId="234" priority="616">
      <formula>IF(BH36&gt;=BI36,IF(BH36="",FALSE,TRUE))</formula>
    </cfRule>
  </conditionalFormatting>
  <conditionalFormatting sqref="BF19 BH19">
    <cfRule type="expression" dxfId="233" priority="613">
      <formula>OR(IF(BF19&lt;BG19,TRUE),IF(AND(BG19="",BF19&lt;&gt;""),TRUE))</formula>
    </cfRule>
    <cfRule type="expression" dxfId="232" priority="614">
      <formula>IF(BF19&gt;=BG19,IF(BF19="",FALSE,TRUE))</formula>
    </cfRule>
  </conditionalFormatting>
  <conditionalFormatting sqref="BH20 BF20">
    <cfRule type="expression" dxfId="231" priority="611">
      <formula>OR(IF(BF20&lt;BG20,TRUE),IF(AND(BG20="",BF20&lt;&gt;""),TRUE))</formula>
    </cfRule>
    <cfRule type="expression" dxfId="230" priority="612">
      <formula>IF(BF20&gt;=BG20,IF(BF20="",FALSE,TRUE))</formula>
    </cfRule>
  </conditionalFormatting>
  <conditionalFormatting sqref="BM18 BO18 BO21:BO24 BM21:BM24">
    <cfRule type="expression" dxfId="229" priority="607">
      <formula>OR(IF(BM18&lt;BN18,TRUE),IF(AND(BN18="",BM18&lt;&gt;""),TRUE))</formula>
    </cfRule>
    <cfRule type="expression" dxfId="228" priority="608">
      <formula>IF(BM18&gt;=BN18,IF(BM18="",FALSE,TRUE))</formula>
    </cfRule>
  </conditionalFormatting>
  <conditionalFormatting sqref="BM27:BM28">
    <cfRule type="expression" dxfId="227" priority="605">
      <formula>OR(IF(BM27&lt;BN27,TRUE),IF(AND(BN27="",BM27&lt;&gt;""),TRUE))</formula>
    </cfRule>
    <cfRule type="expression" dxfId="226" priority="606">
      <formula>IF(BM27&gt;=BN27,IF(BM27="",FALSE,TRUE))</formula>
    </cfRule>
  </conditionalFormatting>
  <conditionalFormatting sqref="BO27:BO28">
    <cfRule type="expression" dxfId="225" priority="603">
      <formula>OR(IF(BO27&lt;BP27,TRUE),IF(AND(BP27="",BO27&lt;&gt;""),TRUE))</formula>
    </cfRule>
    <cfRule type="expression" dxfId="224" priority="604">
      <formula>IF(BO27&gt;=BP27,IF(BO27="",FALSE,TRUE))</formula>
    </cfRule>
  </conditionalFormatting>
  <conditionalFormatting sqref="BM36:BM37">
    <cfRule type="expression" dxfId="223" priority="597">
      <formula>OR(IF(BM36&lt;BN36,TRUE),IF(AND(BN36="",BM36&lt;&gt;""),TRUE))</formula>
    </cfRule>
    <cfRule type="expression" dxfId="222" priority="598">
      <formula>IF(BM36&gt;=BN36,IF(BM36="",FALSE,TRUE))</formula>
    </cfRule>
  </conditionalFormatting>
  <conditionalFormatting sqref="BO36:BO37">
    <cfRule type="expression" dxfId="221" priority="595">
      <formula>OR(IF(BO36&lt;BP36,TRUE),IF(AND(BP36="",BO36&lt;&gt;""),TRUE))</formula>
    </cfRule>
    <cfRule type="expression" dxfId="220" priority="596">
      <formula>IF(BO36&gt;=BP36,IF(BO36="",FALSE,TRUE))</formula>
    </cfRule>
  </conditionalFormatting>
  <conditionalFormatting sqref="BM19 BO19">
    <cfRule type="expression" dxfId="219" priority="593">
      <formula>OR(IF(BM19&lt;BN19,TRUE),IF(AND(BN19="",BM19&lt;&gt;""),TRUE))</formula>
    </cfRule>
    <cfRule type="expression" dxfId="218" priority="594">
      <formula>IF(BM19&gt;=BN19,IF(BM19="",FALSE,TRUE))</formula>
    </cfRule>
  </conditionalFormatting>
  <conditionalFormatting sqref="BO20 BM20">
    <cfRule type="expression" dxfId="217" priority="591">
      <formula>OR(IF(BM20&lt;BN20,TRUE),IF(AND(BN20="",BM20&lt;&gt;""),TRUE))</formula>
    </cfRule>
    <cfRule type="expression" dxfId="216" priority="592">
      <formula>IF(BM20&gt;=BN20,IF(BM20="",FALSE,TRUE))</formula>
    </cfRule>
  </conditionalFormatting>
  <conditionalFormatting sqref="BT18 BV18 BV21:BV24 BT21:BT24">
    <cfRule type="expression" dxfId="215" priority="587">
      <formula>OR(IF(BT18&lt;BU18,TRUE),IF(AND(BU18="",BT18&lt;&gt;""),TRUE))</formula>
    </cfRule>
    <cfRule type="expression" dxfId="214" priority="588">
      <formula>IF(BT18&gt;=BU18,IF(BT18="",FALSE,TRUE))</formula>
    </cfRule>
  </conditionalFormatting>
  <conditionalFormatting sqref="BT27:BT28">
    <cfRule type="expression" dxfId="213" priority="585">
      <formula>OR(IF(BT27&lt;BU27,TRUE),IF(AND(BU27="",BT27&lt;&gt;""),TRUE))</formula>
    </cfRule>
    <cfRule type="expression" dxfId="212" priority="586">
      <formula>IF(BT27&gt;=BU27,IF(BT27="",FALSE,TRUE))</formula>
    </cfRule>
  </conditionalFormatting>
  <conditionalFormatting sqref="BT36:BT37">
    <cfRule type="expression" dxfId="211" priority="577">
      <formula>OR(IF(BT36&lt;BU36,TRUE),IF(AND(BU36="",BT36&lt;&gt;""),TRUE))</formula>
    </cfRule>
    <cfRule type="expression" dxfId="210" priority="578">
      <formula>IF(BT36&gt;=BU36,IF(BT36="",FALSE,TRUE))</formula>
    </cfRule>
  </conditionalFormatting>
  <conditionalFormatting sqref="BV36:BV37">
    <cfRule type="expression" dxfId="209" priority="575">
      <formula>OR(IF(BV36&lt;BW36,TRUE),IF(AND(BW36="",BV36&lt;&gt;""),TRUE))</formula>
    </cfRule>
    <cfRule type="expression" dxfId="208" priority="576">
      <formula>IF(BV36&gt;=BW36,IF(BV36="",FALSE,TRUE))</formula>
    </cfRule>
  </conditionalFormatting>
  <conditionalFormatting sqref="BT19 BV19">
    <cfRule type="expression" dxfId="207" priority="573">
      <formula>OR(IF(BT19&lt;BU19,TRUE),IF(AND(BU19="",BT19&lt;&gt;""),TRUE))</formula>
    </cfRule>
    <cfRule type="expression" dxfId="206" priority="574">
      <formula>IF(BT19&gt;=BU19,IF(BT19="",FALSE,TRUE))</formula>
    </cfRule>
  </conditionalFormatting>
  <conditionalFormatting sqref="BV20 BT20">
    <cfRule type="expression" dxfId="205" priority="571">
      <formula>OR(IF(BT20&lt;BU20,TRUE),IF(AND(BU20="",BT20&lt;&gt;""),TRUE))</formula>
    </cfRule>
    <cfRule type="expression" dxfId="204" priority="572">
      <formula>IF(BT20&gt;=BU20,IF(BT20="",FALSE,TRUE))</formula>
    </cfRule>
  </conditionalFormatting>
  <conditionalFormatting sqref="CA18 CC18 CC21:CC24 CA21:CA24">
    <cfRule type="expression" dxfId="203" priority="567">
      <formula>OR(IF(CA18&lt;CB18,TRUE),IF(AND(CB18="",CA18&lt;&gt;""),TRUE))</formula>
    </cfRule>
    <cfRule type="expression" dxfId="202" priority="568">
      <formula>IF(CA18&gt;=CB18,IF(CA18="",FALSE,TRUE))</formula>
    </cfRule>
  </conditionalFormatting>
  <conditionalFormatting sqref="CA27:CA28">
    <cfRule type="expression" dxfId="201" priority="565">
      <formula>OR(IF(CA27&lt;CB27,TRUE),IF(AND(CB27="",CA27&lt;&gt;""),TRUE))</formula>
    </cfRule>
    <cfRule type="expression" dxfId="200" priority="566">
      <formula>IF(CA27&gt;=CB27,IF(CA27="",FALSE,TRUE))</formula>
    </cfRule>
  </conditionalFormatting>
  <conditionalFormatting sqref="CC27:CC28">
    <cfRule type="expression" dxfId="199" priority="563">
      <formula>OR(IF(CC27&lt;CD27,TRUE),IF(AND(CD27="",CC27&lt;&gt;""),TRUE))</formula>
    </cfRule>
    <cfRule type="expression" dxfId="198" priority="564">
      <formula>IF(CC27&gt;=CD27,IF(CC27="",FALSE,TRUE))</formula>
    </cfRule>
  </conditionalFormatting>
  <conditionalFormatting sqref="CA36:CA37">
    <cfRule type="expression" dxfId="197" priority="557">
      <formula>OR(IF(CA36&lt;CB36,TRUE),IF(AND(CB36="",CA36&lt;&gt;""),TRUE))</formula>
    </cfRule>
    <cfRule type="expression" dxfId="196" priority="558">
      <formula>IF(CA36&gt;=CB36,IF(CA36="",FALSE,TRUE))</formula>
    </cfRule>
  </conditionalFormatting>
  <conditionalFormatting sqref="CC36:CC37">
    <cfRule type="expression" dxfId="195" priority="555">
      <formula>OR(IF(CC36&lt;CD36,TRUE),IF(AND(CD36="",CC36&lt;&gt;""),TRUE))</formula>
    </cfRule>
    <cfRule type="expression" dxfId="194" priority="556">
      <formula>IF(CC36&gt;=CD36,IF(CC36="",FALSE,TRUE))</formula>
    </cfRule>
  </conditionalFormatting>
  <conditionalFormatting sqref="CA19 CC19">
    <cfRule type="expression" dxfId="193" priority="553">
      <formula>OR(IF(CA19&lt;CB19,TRUE),IF(AND(CB19="",CA19&lt;&gt;""),TRUE))</formula>
    </cfRule>
    <cfRule type="expression" dxfId="192" priority="554">
      <formula>IF(CA19&gt;=CB19,IF(CA19="",FALSE,TRUE))</formula>
    </cfRule>
  </conditionalFormatting>
  <conditionalFormatting sqref="CC20 CA20">
    <cfRule type="expression" dxfId="191" priority="551">
      <formula>OR(IF(CA20&lt;CB20,TRUE),IF(AND(CB20="",CA20&lt;&gt;""),TRUE))</formula>
    </cfRule>
    <cfRule type="expression" dxfId="190" priority="552">
      <formula>IF(CA20&gt;=CB20,IF(CA20="",FALSE,TRUE))</formula>
    </cfRule>
  </conditionalFormatting>
  <conditionalFormatting sqref="CH18 CJ18 CJ21:CJ24 CH21:CH24">
    <cfRule type="expression" dxfId="189" priority="547">
      <formula>OR(IF(CH18&lt;CI18,TRUE),IF(AND(CI18="",CH18&lt;&gt;""),TRUE))</formula>
    </cfRule>
    <cfRule type="expression" dxfId="188" priority="548">
      <formula>IF(CH18&gt;=CI18,IF(CH18="",FALSE,TRUE))</formula>
    </cfRule>
  </conditionalFormatting>
  <conditionalFormatting sqref="CH27:CH28">
    <cfRule type="expression" dxfId="187" priority="545">
      <formula>OR(IF(CH27&lt;CI27,TRUE),IF(AND(CI27="",CH27&lt;&gt;""),TRUE))</formula>
    </cfRule>
    <cfRule type="expression" dxfId="186" priority="546">
      <formula>IF(CH27&gt;=CI27,IF(CH27="",FALSE,TRUE))</formula>
    </cfRule>
  </conditionalFormatting>
  <conditionalFormatting sqref="CJ27:CJ28">
    <cfRule type="expression" dxfId="185" priority="543">
      <formula>OR(IF(CJ27&lt;CK27,TRUE),IF(AND(CK27="",CJ27&lt;&gt;""),TRUE))</formula>
    </cfRule>
    <cfRule type="expression" dxfId="184" priority="544">
      <formula>IF(CJ27&gt;=CK27,IF(CJ27="",FALSE,TRUE))</formula>
    </cfRule>
  </conditionalFormatting>
  <conditionalFormatting sqref="CH36:CH37">
    <cfRule type="expression" dxfId="183" priority="537">
      <formula>OR(IF(CH36&lt;CI36,TRUE),IF(AND(CI36="",CH36&lt;&gt;""),TRUE))</formula>
    </cfRule>
    <cfRule type="expression" dxfId="182" priority="538">
      <formula>IF(CH36&gt;=CI36,IF(CH36="",FALSE,TRUE))</formula>
    </cfRule>
  </conditionalFormatting>
  <conditionalFormatting sqref="CJ36:CJ37">
    <cfRule type="expression" dxfId="181" priority="535">
      <formula>OR(IF(CJ36&lt;CK36,TRUE),IF(AND(CK36="",CJ36&lt;&gt;""),TRUE))</formula>
    </cfRule>
    <cfRule type="expression" dxfId="180" priority="536">
      <formula>IF(CJ36&gt;=CK36,IF(CJ36="",FALSE,TRUE))</formula>
    </cfRule>
  </conditionalFormatting>
  <conditionalFormatting sqref="CH19 CJ19">
    <cfRule type="expression" dxfId="179" priority="533">
      <formula>OR(IF(CH19&lt;CI19,TRUE),IF(AND(CI19="",CH19&lt;&gt;""),TRUE))</formula>
    </cfRule>
    <cfRule type="expression" dxfId="178" priority="534">
      <formula>IF(CH19&gt;=CI19,IF(CH19="",FALSE,TRUE))</formula>
    </cfRule>
  </conditionalFormatting>
  <conditionalFormatting sqref="CJ20 CH20">
    <cfRule type="expression" dxfId="177" priority="531">
      <formula>OR(IF(CH20&lt;CI20,TRUE),IF(AND(CI20="",CH20&lt;&gt;""),TRUE))</formula>
    </cfRule>
    <cfRule type="expression" dxfId="176" priority="532">
      <formula>IF(CH20&gt;=CI20,IF(CH20="",FALSE,TRUE))</formula>
    </cfRule>
  </conditionalFormatting>
  <conditionalFormatting sqref="BH9">
    <cfRule type="expression" dxfId="175" priority="529">
      <formula>OR(IF(BH9&lt;BI9,TRUE),IF(AND(BI9="",BH9&lt;&gt;""),TRUE))</formula>
    </cfRule>
    <cfRule type="expression" dxfId="174" priority="530">
      <formula>IF(BH9&gt;=BI9,IF(BH9="",FALSE,TRUE))</formula>
    </cfRule>
  </conditionalFormatting>
  <conditionalFormatting sqref="CO18 CQ18 CQ21:CQ24 CO21:CO24">
    <cfRule type="expression" dxfId="173" priority="501">
      <formula>OR(IF(CO18&lt;CP18,TRUE),IF(AND(CP18="",CO18&lt;&gt;""),TRUE))</formula>
    </cfRule>
    <cfRule type="expression" dxfId="172" priority="502">
      <formula>IF(CO18&gt;=CP18,IF(CO18="",FALSE,TRUE))</formula>
    </cfRule>
  </conditionalFormatting>
  <conditionalFormatting sqref="CO27:CO28">
    <cfRule type="expression" dxfId="171" priority="499">
      <formula>OR(IF(CO27&lt;CP27,TRUE),IF(AND(CP27="",CO27&lt;&gt;""),TRUE))</formula>
    </cfRule>
    <cfRule type="expression" dxfId="170" priority="500">
      <formula>IF(CO27&gt;=CP27,IF(CO27="",FALSE,TRUE))</formula>
    </cfRule>
  </conditionalFormatting>
  <conditionalFormatting sqref="CQ27:CQ28">
    <cfRule type="expression" dxfId="169" priority="497">
      <formula>OR(IF(CQ27&lt;CR27,TRUE),IF(AND(CR27="",CQ27&lt;&gt;""),TRUE))</formula>
    </cfRule>
    <cfRule type="expression" dxfId="168" priority="498">
      <formula>IF(CQ27&gt;=CR27,IF(CQ27="",FALSE,TRUE))</formula>
    </cfRule>
  </conditionalFormatting>
  <conditionalFormatting sqref="CO36:CO37">
    <cfRule type="expression" dxfId="167" priority="491">
      <formula>OR(IF(CO36&lt;CP36,TRUE),IF(AND(CP36="",CO36&lt;&gt;""),TRUE))</formula>
    </cfRule>
    <cfRule type="expression" dxfId="166" priority="492">
      <formula>IF(CO36&gt;=CP36,IF(CO36="",FALSE,TRUE))</formula>
    </cfRule>
  </conditionalFormatting>
  <conditionalFormatting sqref="CQ36:CQ37">
    <cfRule type="expression" dxfId="165" priority="489">
      <formula>OR(IF(CQ36&lt;CR36,TRUE),IF(AND(CR36="",CQ36&lt;&gt;""),TRUE))</formula>
    </cfRule>
    <cfRule type="expression" dxfId="164" priority="490">
      <formula>IF(CQ36&gt;=CR36,IF(CQ36="",FALSE,TRUE))</formula>
    </cfRule>
  </conditionalFormatting>
  <conditionalFormatting sqref="CO19 CQ19">
    <cfRule type="expression" dxfId="163" priority="487">
      <formula>OR(IF(CO19&lt;CP19,TRUE),IF(AND(CP19="",CO19&lt;&gt;""),TRUE))</formula>
    </cfRule>
    <cfRule type="expression" dxfId="162" priority="488">
      <formula>IF(CO19&gt;=CP19,IF(CO19="",FALSE,TRUE))</formula>
    </cfRule>
  </conditionalFormatting>
  <conditionalFormatting sqref="CQ20 CO20">
    <cfRule type="expression" dxfId="161" priority="485">
      <formula>OR(IF(CO20&lt;CP20,TRUE),IF(AND(CP20="",CO20&lt;&gt;""),TRUE))</formula>
    </cfRule>
    <cfRule type="expression" dxfId="160" priority="486">
      <formula>IF(CO20&gt;=CP20,IF(CO20="",FALSE,TRUE))</formula>
    </cfRule>
  </conditionalFormatting>
  <conditionalFormatting sqref="CV18 CX18 CX21:CX24 CV21:CV24">
    <cfRule type="expression" dxfId="159" priority="457">
      <formula>OR(IF(CV18&lt;CW18,TRUE),IF(AND(CW18="",CV18&lt;&gt;""),TRUE))</formula>
    </cfRule>
    <cfRule type="expression" dxfId="158" priority="458">
      <formula>IF(CV18&gt;=CW18,IF(CV18="",FALSE,TRUE))</formula>
    </cfRule>
  </conditionalFormatting>
  <conditionalFormatting sqref="CV27:CV28">
    <cfRule type="expression" dxfId="157" priority="455">
      <formula>OR(IF(CV27&lt;CW27,TRUE),IF(AND(CW27="",CV27&lt;&gt;""),TRUE))</formula>
    </cfRule>
    <cfRule type="expression" dxfId="156" priority="456">
      <formula>IF(CV27&gt;=CW27,IF(CV27="",FALSE,TRUE))</formula>
    </cfRule>
  </conditionalFormatting>
  <conditionalFormatting sqref="CV36:CV37">
    <cfRule type="expression" dxfId="155" priority="447">
      <formula>OR(IF(CV36&lt;CW36,TRUE),IF(AND(CW36="",CV36&lt;&gt;""),TRUE))</formula>
    </cfRule>
    <cfRule type="expression" dxfId="154" priority="448">
      <formula>IF(CV36&gt;=CW36,IF(CV36="",FALSE,TRUE))</formula>
    </cfRule>
  </conditionalFormatting>
  <conditionalFormatting sqref="CX36:CX37">
    <cfRule type="expression" dxfId="153" priority="445">
      <formula>OR(IF(CX36&lt;CY36,TRUE),IF(AND(CY36="",CX36&lt;&gt;""),TRUE))</formula>
    </cfRule>
    <cfRule type="expression" dxfId="152" priority="446">
      <formula>IF(CX36&gt;=CY36,IF(CX36="",FALSE,TRUE))</formula>
    </cfRule>
  </conditionalFormatting>
  <conditionalFormatting sqref="CV19 CX19">
    <cfRule type="expression" dxfId="151" priority="443">
      <formula>OR(IF(CV19&lt;CW19,TRUE),IF(AND(CW19="",CV19&lt;&gt;""),TRUE))</formula>
    </cfRule>
    <cfRule type="expression" dxfId="150" priority="444">
      <formula>IF(CV19&gt;=CW19,IF(CV19="",FALSE,TRUE))</formula>
    </cfRule>
  </conditionalFormatting>
  <conditionalFormatting sqref="CX20 CV20">
    <cfRule type="expression" dxfId="149" priority="441">
      <formula>OR(IF(CV20&lt;CW20,TRUE),IF(AND(CW20="",CV20&lt;&gt;""),TRUE))</formula>
    </cfRule>
    <cfRule type="expression" dxfId="148" priority="442">
      <formula>IF(CV20&gt;=CW20,IF(CV20="",FALSE,TRUE))</formula>
    </cfRule>
  </conditionalFormatting>
  <conditionalFormatting sqref="DC18 DE18 DE21:DE24 DC21:DC24">
    <cfRule type="expression" dxfId="147" priority="413">
      <formula>OR(IF(DC18&lt;DD18,TRUE),IF(AND(DD18="",DC18&lt;&gt;""),TRUE))</formula>
    </cfRule>
    <cfRule type="expression" dxfId="146" priority="414">
      <formula>IF(DC18&gt;=DD18,IF(DC18="",FALSE,TRUE))</formula>
    </cfRule>
  </conditionalFormatting>
  <conditionalFormatting sqref="DC27:DC28">
    <cfRule type="expression" dxfId="145" priority="411">
      <formula>OR(IF(DC27&lt;DD27,TRUE),IF(AND(DD27="",DC27&lt;&gt;""),TRUE))</formula>
    </cfRule>
    <cfRule type="expression" dxfId="144" priority="412">
      <formula>IF(DC27&gt;=DD27,IF(DC27="",FALSE,TRUE))</formula>
    </cfRule>
  </conditionalFormatting>
  <conditionalFormatting sqref="DE27:DE28">
    <cfRule type="expression" dxfId="143" priority="409">
      <formula>OR(IF(DE27&lt;DF27,TRUE),IF(AND(DF27="",DE27&lt;&gt;""),TRUE))</formula>
    </cfRule>
    <cfRule type="expression" dxfId="142" priority="410">
      <formula>IF(DE27&gt;=DF27,IF(DE27="",FALSE,TRUE))</formula>
    </cfRule>
  </conditionalFormatting>
  <conditionalFormatting sqref="DC36:DC37">
    <cfRule type="expression" dxfId="141" priority="403">
      <formula>OR(IF(DC36&lt;DD36,TRUE),IF(AND(DD36="",DC36&lt;&gt;""),TRUE))</formula>
    </cfRule>
    <cfRule type="expression" dxfId="140" priority="404">
      <formula>IF(DC36&gt;=DD36,IF(DC36="",FALSE,TRUE))</formula>
    </cfRule>
  </conditionalFormatting>
  <conditionalFormatting sqref="DE36:DE37">
    <cfRule type="expression" dxfId="139" priority="401">
      <formula>OR(IF(DE36&lt;DF36,TRUE),IF(AND(DF36="",DE36&lt;&gt;""),TRUE))</formula>
    </cfRule>
    <cfRule type="expression" dxfId="138" priority="402">
      <formula>IF(DE36&gt;=DF36,IF(DE36="",FALSE,TRUE))</formula>
    </cfRule>
  </conditionalFormatting>
  <conditionalFormatting sqref="DC19 DE19">
    <cfRule type="expression" dxfId="137" priority="399">
      <formula>OR(IF(DC19&lt;DD19,TRUE),IF(AND(DD19="",DC19&lt;&gt;""),TRUE))</formula>
    </cfRule>
    <cfRule type="expression" dxfId="136" priority="400">
      <formula>IF(DC19&gt;=DD19,IF(DC19="",FALSE,TRUE))</formula>
    </cfRule>
  </conditionalFormatting>
  <conditionalFormatting sqref="DE20 DC20">
    <cfRule type="expression" dxfId="135" priority="397">
      <formula>OR(IF(DC20&lt;DD20,TRUE),IF(AND(DD20="",DC20&lt;&gt;""),TRUE))</formula>
    </cfRule>
    <cfRule type="expression" dxfId="134" priority="398">
      <formula>IF(DC20&gt;=DD20,IF(DC20="",FALSE,TRUE))</formula>
    </cfRule>
  </conditionalFormatting>
  <conditionalFormatting sqref="DJ18 DL18 DL21:DL24 DJ21:DJ24">
    <cfRule type="expression" dxfId="133" priority="369">
      <formula>OR(IF(DJ18&lt;DK18,TRUE),IF(AND(DK18="",DJ18&lt;&gt;""),TRUE))</formula>
    </cfRule>
    <cfRule type="expression" dxfId="132" priority="370">
      <formula>IF(DJ18&gt;=DK18,IF(DJ18="",FALSE,TRUE))</formula>
    </cfRule>
  </conditionalFormatting>
  <conditionalFormatting sqref="DJ27:DJ28">
    <cfRule type="expression" dxfId="131" priority="367">
      <formula>OR(IF(DJ27&lt;DK27,TRUE),IF(AND(DK27="",DJ27&lt;&gt;""),TRUE))</formula>
    </cfRule>
    <cfRule type="expression" dxfId="130" priority="368">
      <formula>IF(DJ27&gt;=DK27,IF(DJ27="",FALSE,TRUE))</formula>
    </cfRule>
  </conditionalFormatting>
  <conditionalFormatting sqref="DL27:DL28">
    <cfRule type="expression" dxfId="129" priority="365">
      <formula>OR(IF(DL27&lt;DM27,TRUE),IF(AND(DM27="",DL27&lt;&gt;""),TRUE))</formula>
    </cfRule>
    <cfRule type="expression" dxfId="128" priority="366">
      <formula>IF(DL27&gt;=DM27,IF(DL27="",FALSE,TRUE))</formula>
    </cfRule>
  </conditionalFormatting>
  <conditionalFormatting sqref="DJ36:DJ37">
    <cfRule type="expression" dxfId="127" priority="359">
      <formula>OR(IF(DJ36&lt;DK36,TRUE),IF(AND(DK36="",DJ36&lt;&gt;""),TRUE))</formula>
    </cfRule>
    <cfRule type="expression" dxfId="126" priority="360">
      <formula>IF(DJ36&gt;=DK36,IF(DJ36="",FALSE,TRUE))</formula>
    </cfRule>
  </conditionalFormatting>
  <conditionalFormatting sqref="DL36:DL37">
    <cfRule type="expression" dxfId="125" priority="357">
      <formula>OR(IF(DL36&lt;DM36,TRUE),IF(AND(DM36="",DL36&lt;&gt;""),TRUE))</formula>
    </cfRule>
    <cfRule type="expression" dxfId="124" priority="358">
      <formula>IF(DL36&gt;=DM36,IF(DL36="",FALSE,TRUE))</formula>
    </cfRule>
  </conditionalFormatting>
  <conditionalFormatting sqref="DJ19 DL19">
    <cfRule type="expression" dxfId="123" priority="355">
      <formula>OR(IF(DJ19&lt;DK19,TRUE),IF(AND(DK19="",DJ19&lt;&gt;""),TRUE))</formula>
    </cfRule>
    <cfRule type="expression" dxfId="122" priority="356">
      <formula>IF(DJ19&gt;=DK19,IF(DJ19="",FALSE,TRUE))</formula>
    </cfRule>
  </conditionalFormatting>
  <conditionalFormatting sqref="DL20 DJ20">
    <cfRule type="expression" dxfId="121" priority="353">
      <formula>OR(IF(DJ20&lt;DK20,TRUE),IF(AND(DK20="",DJ20&lt;&gt;""),TRUE))</formula>
    </cfRule>
    <cfRule type="expression" dxfId="120" priority="354">
      <formula>IF(DJ20&gt;=DK20,IF(DJ20="",FALSE,TRUE))</formula>
    </cfRule>
  </conditionalFormatting>
  <conditionalFormatting sqref="DQ18 DS18 DS21:DS24 DQ21:DQ24">
    <cfRule type="expression" dxfId="119" priority="325">
      <formula>OR(IF(DQ18&lt;DR18,TRUE),IF(AND(DR18="",DQ18&lt;&gt;""),TRUE))</formula>
    </cfRule>
    <cfRule type="expression" dxfId="118" priority="326">
      <formula>IF(DQ18&gt;=DR18,IF(DQ18="",FALSE,TRUE))</formula>
    </cfRule>
  </conditionalFormatting>
  <conditionalFormatting sqref="DQ27:DQ28">
    <cfRule type="expression" dxfId="117" priority="323">
      <formula>OR(IF(DQ27&lt;DR27,TRUE),IF(AND(DR27="",DQ27&lt;&gt;""),TRUE))</formula>
    </cfRule>
    <cfRule type="expression" dxfId="116" priority="324">
      <formula>IF(DQ27&gt;=DR27,IF(DQ27="",FALSE,TRUE))</formula>
    </cfRule>
  </conditionalFormatting>
  <conditionalFormatting sqref="DS27:DS28">
    <cfRule type="expression" dxfId="115" priority="321">
      <formula>OR(IF(DS27&lt;DT27,TRUE),IF(AND(DT27="",DS27&lt;&gt;""),TRUE))</formula>
    </cfRule>
    <cfRule type="expression" dxfId="114" priority="322">
      <formula>IF(DS27&gt;=DT27,IF(DS27="",FALSE,TRUE))</formula>
    </cfRule>
  </conditionalFormatting>
  <conditionalFormatting sqref="DQ36:DQ37">
    <cfRule type="expression" dxfId="113" priority="315">
      <formula>OR(IF(DQ36&lt;DR36,TRUE),IF(AND(DR36="",DQ36&lt;&gt;""),TRUE))</formula>
    </cfRule>
    <cfRule type="expression" dxfId="112" priority="316">
      <formula>IF(DQ36&gt;=DR36,IF(DQ36="",FALSE,TRUE))</formula>
    </cfRule>
  </conditionalFormatting>
  <conditionalFormatting sqref="DS36:DS37">
    <cfRule type="expression" dxfId="111" priority="313">
      <formula>OR(IF(DS36&lt;DT36,TRUE),IF(AND(DT36="",DS36&lt;&gt;""),TRUE))</formula>
    </cfRule>
    <cfRule type="expression" dxfId="110" priority="314">
      <formula>IF(DS36&gt;=DT36,IF(DS36="",FALSE,TRUE))</formula>
    </cfRule>
  </conditionalFormatting>
  <conditionalFormatting sqref="DQ19 DS19">
    <cfRule type="expression" dxfId="109" priority="311">
      <formula>OR(IF(DQ19&lt;DR19,TRUE),IF(AND(DR19="",DQ19&lt;&gt;""),TRUE))</formula>
    </cfRule>
    <cfRule type="expression" dxfId="108" priority="312">
      <formula>IF(DQ19&gt;=DR19,IF(DQ19="",FALSE,TRUE))</formula>
    </cfRule>
  </conditionalFormatting>
  <conditionalFormatting sqref="DS20 DQ20">
    <cfRule type="expression" dxfId="107" priority="309">
      <formula>OR(IF(DQ20&lt;DR20,TRUE),IF(AND(DR20="",DQ20&lt;&gt;""),TRUE))</formula>
    </cfRule>
    <cfRule type="expression" dxfId="106" priority="310">
      <formula>IF(DQ20&gt;=DR20,IF(DQ20="",FALSE,TRUE))</formula>
    </cfRule>
  </conditionalFormatting>
  <conditionalFormatting sqref="DX18 DZ18 DZ21:DZ24 DX21:DX24">
    <cfRule type="expression" dxfId="105" priority="281">
      <formula>OR(IF(DX18&lt;DY18,TRUE),IF(AND(DY18="",DX18&lt;&gt;""),TRUE))</formula>
    </cfRule>
    <cfRule type="expression" dxfId="104" priority="282">
      <formula>IF(DX18&gt;=DY18,IF(DX18="",FALSE,TRUE))</formula>
    </cfRule>
  </conditionalFormatting>
  <conditionalFormatting sqref="DX27:DX28">
    <cfRule type="expression" dxfId="103" priority="279">
      <formula>OR(IF(DX27&lt;DY27,TRUE),IF(AND(DY27="",DX27&lt;&gt;""),TRUE))</formula>
    </cfRule>
    <cfRule type="expression" dxfId="102" priority="280">
      <formula>IF(DX27&gt;=DY27,IF(DX27="",FALSE,TRUE))</formula>
    </cfRule>
  </conditionalFormatting>
  <conditionalFormatting sqref="DZ27:DZ28">
    <cfRule type="expression" dxfId="101" priority="277">
      <formula>OR(IF(DZ27&lt;EA27,TRUE),IF(AND(EA27="",DZ27&lt;&gt;""),TRUE))</formula>
    </cfRule>
    <cfRule type="expression" dxfId="100" priority="278">
      <formula>IF(DZ27&gt;=EA27,IF(DZ27="",FALSE,TRUE))</formula>
    </cfRule>
  </conditionalFormatting>
  <conditionalFormatting sqref="DX36:DX37">
    <cfRule type="expression" dxfId="99" priority="271">
      <formula>OR(IF(DX36&lt;DY36,TRUE),IF(AND(DY36="",DX36&lt;&gt;""),TRUE))</formula>
    </cfRule>
    <cfRule type="expression" dxfId="98" priority="272">
      <formula>IF(DX36&gt;=DY36,IF(DX36="",FALSE,TRUE))</formula>
    </cfRule>
  </conditionalFormatting>
  <conditionalFormatting sqref="DZ36:DZ37">
    <cfRule type="expression" dxfId="97" priority="269">
      <formula>OR(IF(DZ36&lt;EA36,TRUE),IF(AND(EA36="",DZ36&lt;&gt;""),TRUE))</formula>
    </cfRule>
    <cfRule type="expression" dxfId="96" priority="270">
      <formula>IF(DZ36&gt;=EA36,IF(DZ36="",FALSE,TRUE))</formula>
    </cfRule>
  </conditionalFormatting>
  <conditionalFormatting sqref="DX19 DZ19">
    <cfRule type="expression" dxfId="95" priority="267">
      <formula>OR(IF(DX19&lt;DY19,TRUE),IF(AND(DY19="",DX19&lt;&gt;""),TRUE))</formula>
    </cfRule>
    <cfRule type="expression" dxfId="94" priority="268">
      <formula>IF(DX19&gt;=DY19,IF(DX19="",FALSE,TRUE))</formula>
    </cfRule>
  </conditionalFormatting>
  <conditionalFormatting sqref="DZ20 DX20">
    <cfRule type="expression" dxfId="93" priority="265">
      <formula>OR(IF(DX20&lt;DY20,TRUE),IF(AND(DY20="",DX20&lt;&gt;""),TRUE))</formula>
    </cfRule>
    <cfRule type="expression" dxfId="92" priority="266">
      <formula>IF(DX20&gt;=DY20,IF(DX20="",FALSE,TRUE))</formula>
    </cfRule>
  </conditionalFormatting>
  <conditionalFormatting sqref="EE18 EE21:EE24">
    <cfRule type="expression" dxfId="91" priority="237">
      <formula>OR(IF(EE18&lt;EF18,TRUE),IF(AND(EF18="",EE18&lt;&gt;""),TRUE))</formula>
    </cfRule>
    <cfRule type="expression" dxfId="90" priority="238">
      <formula>IF(EE18&gt;=EF18,IF(EE18="",FALSE,TRUE))</formula>
    </cfRule>
  </conditionalFormatting>
  <conditionalFormatting sqref="EE36:EE37">
    <cfRule type="expression" dxfId="89" priority="227">
      <formula>OR(IF(EE36&lt;EF36,TRUE),IF(AND(EF36="",EE36&lt;&gt;""),TRUE))</formula>
    </cfRule>
    <cfRule type="expression" dxfId="88" priority="228">
      <formula>IF(EE36&gt;=EF36,IF(EE36="",FALSE,TRUE))</formula>
    </cfRule>
  </conditionalFormatting>
  <conditionalFormatting sqref="EG36:EG37">
    <cfRule type="expression" dxfId="87" priority="225">
      <formula>OR(IF(EG36&lt;EH36,TRUE),IF(AND(EH36="",EG36&lt;&gt;""),TRUE))</formula>
    </cfRule>
    <cfRule type="expression" dxfId="86" priority="226">
      <formula>IF(EG36&gt;=EH36,IF(EG36="",FALSE,TRUE))</formula>
    </cfRule>
  </conditionalFormatting>
  <conditionalFormatting sqref="EE19">
    <cfRule type="expression" dxfId="85" priority="223">
      <formula>OR(IF(EE19&lt;EF19,TRUE),IF(AND(EF19="",EE19&lt;&gt;""),TRUE))</formula>
    </cfRule>
    <cfRule type="expression" dxfId="84" priority="224">
      <formula>IF(EE19&gt;=EF19,IF(EE19="",FALSE,TRUE))</formula>
    </cfRule>
  </conditionalFormatting>
  <conditionalFormatting sqref="EE20">
    <cfRule type="expression" dxfId="83" priority="221">
      <formula>OR(IF(EE20&lt;EF20,TRUE),IF(AND(EF20="",EE20&lt;&gt;""),TRUE))</formula>
    </cfRule>
    <cfRule type="expression" dxfId="82" priority="222">
      <formula>IF(EE20&gt;=EF20,IF(EE20="",FALSE,TRUE))</formula>
    </cfRule>
  </conditionalFormatting>
  <conditionalFormatting sqref="EL18 EN18 EN21:EN24 EL21:EL24">
    <cfRule type="expression" dxfId="81" priority="193">
      <formula>OR(IF(EL18&lt;EM18,TRUE),IF(AND(EM18="",EL18&lt;&gt;""),TRUE))</formula>
    </cfRule>
    <cfRule type="expression" dxfId="80" priority="194">
      <formula>IF(EL18&gt;=EM18,IF(EL18="",FALSE,TRUE))</formula>
    </cfRule>
  </conditionalFormatting>
  <conditionalFormatting sqref="EL27:EL28">
    <cfRule type="expression" dxfId="79" priority="191">
      <formula>OR(IF(EL27&lt;EM27,TRUE),IF(AND(EM27="",EL27&lt;&gt;""),TRUE))</formula>
    </cfRule>
    <cfRule type="expression" dxfId="78" priority="192">
      <formula>IF(EL27&gt;=EM27,IF(EL27="",FALSE,TRUE))</formula>
    </cfRule>
  </conditionalFormatting>
  <conditionalFormatting sqref="EN27:EN28">
    <cfRule type="expression" dxfId="77" priority="189">
      <formula>OR(IF(EN27&lt;EO27,TRUE),IF(AND(EO27="",EN27&lt;&gt;""),TRUE))</formula>
    </cfRule>
    <cfRule type="expression" dxfId="76" priority="190">
      <formula>IF(EN27&gt;=EO27,IF(EN27="",FALSE,TRUE))</formula>
    </cfRule>
  </conditionalFormatting>
  <conditionalFormatting sqref="EL36:EL37">
    <cfRule type="expression" dxfId="75" priority="183">
      <formula>OR(IF(EL36&lt;EM36,TRUE),IF(AND(EM36="",EL36&lt;&gt;""),TRUE))</formula>
    </cfRule>
    <cfRule type="expression" dxfId="74" priority="184">
      <formula>IF(EL36&gt;=EM36,IF(EL36="",FALSE,TRUE))</formula>
    </cfRule>
  </conditionalFormatting>
  <conditionalFormatting sqref="EN36:EN37">
    <cfRule type="expression" dxfId="73" priority="181">
      <formula>OR(IF(EN36&lt;EO36,TRUE),IF(AND(EO36="",EN36&lt;&gt;""),TRUE))</formula>
    </cfRule>
    <cfRule type="expression" dxfId="72" priority="182">
      <formula>IF(EN36&gt;=EO36,IF(EN36="",FALSE,TRUE))</formula>
    </cfRule>
  </conditionalFormatting>
  <conditionalFormatting sqref="EL19 EN19">
    <cfRule type="expression" dxfId="71" priority="179">
      <formula>OR(IF(EL19&lt;EM19,TRUE),IF(AND(EM19="",EL19&lt;&gt;""),TRUE))</formula>
    </cfRule>
    <cfRule type="expression" dxfId="70" priority="180">
      <formula>IF(EL19&gt;=EM19,IF(EL19="",FALSE,TRUE))</formula>
    </cfRule>
  </conditionalFormatting>
  <conditionalFormatting sqref="EN20 EL20">
    <cfRule type="expression" dxfId="69" priority="177">
      <formula>OR(IF(EL20&lt;EM20,TRUE),IF(AND(EM20="",EL20&lt;&gt;""),TRUE))</formula>
    </cfRule>
    <cfRule type="expression" dxfId="68" priority="178">
      <formula>IF(EL20&gt;=EM20,IF(EL20="",FALSE,TRUE))</formula>
    </cfRule>
  </conditionalFormatting>
  <conditionalFormatting sqref="J21:K24">
    <cfRule type="colorScale" priority="1340">
      <colorScale>
        <cfvo type="percent" val="0"/>
        <cfvo type="percent" val="100"/>
        <color rgb="FFFF231B"/>
        <color rgb="FF10FF07"/>
      </colorScale>
    </cfRule>
  </conditionalFormatting>
  <conditionalFormatting sqref="J21:J24 J18">
    <cfRule type="colorScale" priority="1341">
      <colorScale>
        <cfvo type="percent" val="0"/>
        <cfvo type="percent" val="100"/>
        <color rgb="FFFF231B"/>
        <color rgb="FF10FF07"/>
      </colorScale>
    </cfRule>
  </conditionalFormatting>
  <conditionalFormatting sqref="K21:K24 K18">
    <cfRule type="colorScale" priority="1343">
      <colorScale>
        <cfvo type="percent" val="0"/>
        <cfvo type="percent" val="100"/>
        <color rgb="FFFF231B"/>
        <color rgb="FF10FF07"/>
      </colorScale>
    </cfRule>
  </conditionalFormatting>
  <conditionalFormatting sqref="J6:K15">
    <cfRule type="colorScale" priority="1366">
      <colorScale>
        <cfvo type="percent" val="0"/>
        <cfvo type="percent" val="100"/>
        <color rgb="FFFF231B"/>
        <color rgb="FF10FF07"/>
      </colorScale>
    </cfRule>
  </conditionalFormatting>
  <conditionalFormatting sqref="J5:J15">
    <cfRule type="colorScale" priority="1367">
      <colorScale>
        <cfvo type="percent" val="0"/>
        <cfvo type="percent" val="100"/>
        <color rgb="FFFF231B"/>
        <color rgb="FF10FF07"/>
      </colorScale>
    </cfRule>
  </conditionalFormatting>
  <conditionalFormatting sqref="K5:K15">
    <cfRule type="colorScale" priority="1368">
      <colorScale>
        <cfvo type="percent" val="0"/>
        <cfvo type="percent" val="100"/>
        <color rgb="FFFF231B"/>
        <color rgb="FF10FF07"/>
      </colorScale>
    </cfRule>
  </conditionalFormatting>
  <conditionalFormatting sqref="J28:K33">
    <cfRule type="colorScale" priority="1413">
      <colorScale>
        <cfvo type="percent" val="0"/>
        <cfvo type="percent" val="100"/>
        <color rgb="FFFF231B"/>
        <color rgb="FF10FF07"/>
      </colorScale>
    </cfRule>
  </conditionalFormatting>
  <conditionalFormatting sqref="J27:J33">
    <cfRule type="colorScale" priority="1414">
      <colorScale>
        <cfvo type="percent" val="0"/>
        <cfvo type="percent" val="100"/>
        <color rgb="FFFF231B"/>
        <color rgb="FF10FF07"/>
      </colorScale>
    </cfRule>
  </conditionalFormatting>
  <conditionalFormatting sqref="K27:K33">
    <cfRule type="colorScale" priority="1415">
      <colorScale>
        <cfvo type="percent" val="0"/>
        <cfvo type="percent" val="100"/>
        <color rgb="FFFF231B"/>
        <color rgb="FF10FF07"/>
      </colorScale>
    </cfRule>
  </conditionalFormatting>
  <conditionalFormatting sqref="J44:K53">
    <cfRule type="colorScale" priority="1556">
      <colorScale>
        <cfvo type="percent" val="0"/>
        <cfvo type="percent" val="100"/>
        <color rgb="FFFF231B"/>
        <color rgb="FF10FF07"/>
      </colorScale>
    </cfRule>
  </conditionalFormatting>
  <conditionalFormatting sqref="J43:J53">
    <cfRule type="colorScale" priority="1557">
      <colorScale>
        <cfvo type="percent" val="0"/>
        <cfvo type="percent" val="100"/>
        <color rgb="FFFF231B"/>
        <color rgb="FF10FF07"/>
      </colorScale>
    </cfRule>
  </conditionalFormatting>
  <conditionalFormatting sqref="K43:K53">
    <cfRule type="colorScale" priority="1558">
      <colorScale>
        <cfvo type="percent" val="0"/>
        <cfvo type="percent" val="100"/>
        <color rgb="FFFF231B"/>
        <color rgb="FF10FF07"/>
      </colorScale>
    </cfRule>
  </conditionalFormatting>
  <conditionalFormatting sqref="J37:K40">
    <cfRule type="colorScale" priority="1651">
      <colorScale>
        <cfvo type="percent" val="0"/>
        <cfvo type="percent" val="100"/>
        <color rgb="FFFF231B"/>
        <color rgb="FF10FF07"/>
      </colorScale>
    </cfRule>
  </conditionalFormatting>
  <conditionalFormatting sqref="J36:J40">
    <cfRule type="colorScale" priority="1652">
      <colorScale>
        <cfvo type="percent" val="0"/>
        <cfvo type="percent" val="100"/>
        <color rgb="FFFF231B"/>
        <color rgb="FF10FF07"/>
      </colorScale>
    </cfRule>
  </conditionalFormatting>
  <conditionalFormatting sqref="K36:K40">
    <cfRule type="colorScale" priority="1653">
      <colorScale>
        <cfvo type="percent" val="0"/>
        <cfvo type="percent" val="100"/>
        <color rgb="FFFF231B"/>
        <color rgb="FF10FF07"/>
      </colorScale>
    </cfRule>
  </conditionalFormatting>
  <dataValidations count="1">
    <dataValidation type="list" allowBlank="1" showInputMessage="1" showErrorMessage="1" sqref="W5:Z15 P5:S15 AY5:BB15 BF5:BI15 AK5:AN15 BM5:BP15 BT5:BW15 CA5:CD15 CH5:CK15 AR5:AU15 CH18:CK24 W27:Z33 AR27:AU33 AY27:BB33 CO5:CR15 AR18:AU24 AD18:AG24 AK18:AN24 W18:Z24 P18:S24 AY18:BB24 BF18:BI24 BM18:BP24 BT18:BW24 CA18:CD24 AD27:AG33 AK27:AN33 BF27:BI33 CH27:CK33 BT27:BW33 CA27:CD33 P27:S33 BM27:BP33 CO18:CR24 CV5:CY15 CO27:CR33 CV18:CY24 DJ43:DM53 CV27:CY33 DC5:DF15 DJ5:DM15 DC27:DF33 DJ18:DM24 DQ18:DT24 DJ27:DM33 DQ27:DT33 DX18:EA24 DQ36:DT40 EE18:EH24 DX36:EA40 DX27:EA33 EE27:EH33 EL18:EO24 EE36:EH40 EL36:EO40 EL27:EO33 AY43:BB53 AD5:AG15 EL5:EO15 EE5:EH15 DX5:EA15 DQ5:DT15 DC36:DF40 P36:S40 DC43:DF53 CV43:CY53 CH43:CK53 CA43:CD53 BT43:BW53 BF43:BI53 AR43:AU53 AK43:AN53 AD43:AG53 W43:Z53 BM43:BP53 CO43:CR53 AD36:AG40 AK36:AN40 AR36:AU40 BM36:BP40 BF36:BI40 BT36:BW40 CA36:CD40 CH36:CK40 CO36:CR40 W36:Z40 AY36:BB40 CV36:CY40 DC18:DF24 DJ36:DM40 DQ43:DT53 DX43:EA53 EE43:EH53 EL43:EO53 P43:S53"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2D16-6450-444B-9278-14E809D58DDA}">
  <dimension ref="A1"/>
  <sheetViews>
    <sheetView workbookViewId="0"/>
  </sheetViews>
  <sheetFormatPr baseColWidth="10" defaultRowHeight="15.7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35</v>
      </c>
    </row>
    <row r="12" spans="2:2">
      <c r="B12" s="3" t="s">
        <v>17</v>
      </c>
    </row>
    <row r="13" spans="2:2" ht="126">
      <c r="B13" s="1" t="s">
        <v>18</v>
      </c>
    </row>
    <row r="15" spans="2:2">
      <c r="B15" s="3" t="s">
        <v>19</v>
      </c>
    </row>
    <row r="16" spans="2:2" ht="110.25">
      <c r="B16" s="1" t="s">
        <v>20</v>
      </c>
    </row>
    <row r="17" spans="2:2">
      <c r="B17" s="1"/>
    </row>
    <row r="18" spans="2:2">
      <c r="B18" s="3" t="s">
        <v>34</v>
      </c>
    </row>
    <row r="19" spans="2:2" ht="141.75">
      <c r="B19" s="1" t="s">
        <v>36</v>
      </c>
    </row>
    <row r="21" spans="2:2">
      <c r="B21" s="3" t="s">
        <v>21</v>
      </c>
    </row>
    <row r="22" spans="2:2" ht="110.25">
      <c r="B22" s="1" t="s">
        <v>37</v>
      </c>
    </row>
    <row r="24" spans="2:2">
      <c r="B24" s="3" t="s">
        <v>22</v>
      </c>
    </row>
    <row r="25" spans="2:2" ht="126">
      <c r="B25" s="1"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25"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41</v>
      </c>
      <c r="B1" s="17" t="s">
        <v>38</v>
      </c>
      <c r="C1" s="17" t="s">
        <v>39</v>
      </c>
      <c r="D1" s="17" t="s">
        <v>40</v>
      </c>
      <c r="E1" s="1" t="s">
        <v>42</v>
      </c>
      <c r="F1" s="1" t="s">
        <v>43</v>
      </c>
      <c r="G1" s="1" t="s">
        <v>44</v>
      </c>
      <c r="H1" s="1" t="s">
        <v>45</v>
      </c>
      <c r="I1" s="1" t="s">
        <v>46</v>
      </c>
      <c r="J1" s="1" t="s">
        <v>47</v>
      </c>
      <c r="K1" s="1" t="s">
        <v>48</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Tabelle1</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Paweł</cp:lastModifiedBy>
  <dcterms:created xsi:type="dcterms:W3CDTF">2020-04-19T13:33:28Z</dcterms:created>
  <dcterms:modified xsi:type="dcterms:W3CDTF">2022-10-10T17:05:31Z</dcterms:modified>
</cp:coreProperties>
</file>