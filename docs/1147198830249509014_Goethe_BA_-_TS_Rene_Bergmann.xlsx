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https://goetheuniversitaet-my.sharepoint.com/personal/r3g5pt9848_goetheuniversitaet_onmicrosoft_com/Documents/"/>
    </mc:Choice>
  </mc:AlternateContent>
  <xr:revisionPtr revIDLastSave="556" documentId="8_{8EC4F669-AA6D-3E45-9230-6300E9192A2D}" xr6:coauthVersionLast="47" xr6:coauthVersionMax="47" xr10:uidLastSave="{251335E4-B2EB-486D-8920-8778070F866B}"/>
  <bookViews>
    <workbookView xWindow="-28920" yWindow="2835" windowWidth="29040" windowHeight="15840" firstSheet="1" activeTab="4" xr2:uid="{50F29292-BE80-0C47-A0D2-DD086CB3D310}"/>
  </bookViews>
  <sheets>
    <sheet name="ANLEITUNG" sheetId="10" r:id="rId1"/>
    <sheet name="Semesterplan" sheetId="7" r:id="rId2"/>
    <sheet name="Best-Practices" sheetId="2" r:id="rId3"/>
    <sheet name="COMMITTMENT" sheetId="9" r:id="rId4"/>
    <sheet name="Wochenplan KW 35" sheetId="8" r:id="rId5"/>
    <sheet name="Wochenplan KW 36" sheetId="11" r:id="rId6"/>
    <sheet name="Wochenplan KW 37" sheetId="12" r:id="rId7"/>
    <sheet name="Wochenplan KW 38" sheetId="14" r:id="rId8"/>
    <sheet name="Wochenplan KW 39" sheetId="15" r:id="rId9"/>
    <sheet name="Wochenplan KW 40" sheetId="17"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4" i="7" l="1"/>
  <c r="U4" i="7"/>
  <c r="N4" i="7"/>
  <c r="I7" i="7"/>
  <c r="G4" i="7"/>
  <c r="I6" i="7"/>
  <c r="I8" i="7"/>
  <c r="K11" i="7" a="1"/>
  <c r="K11" i="7" s="1"/>
  <c r="G13" i="7"/>
  <c r="N13" i="7"/>
  <c r="U13" i="7"/>
  <c r="AB13" i="7"/>
  <c r="AI13" i="7"/>
  <c r="I14" i="7"/>
  <c r="J14" i="7" a="1"/>
  <c r="J14" i="7" s="1"/>
  <c r="K14" i="7" a="1"/>
  <c r="K14" i="7" s="1"/>
  <c r="I15" i="7"/>
  <c r="J15" i="7" a="1"/>
  <c r="J15" i="7" s="1"/>
  <c r="K15" i="7" a="1"/>
  <c r="K15" i="7" s="1"/>
  <c r="I16" i="7"/>
  <c r="J16" i="7" a="1"/>
  <c r="J16" i="7" s="1"/>
  <c r="K16" i="7" a="1"/>
  <c r="K16" i="7" s="1"/>
  <c r="I17" i="7"/>
  <c r="J17" i="7" a="1"/>
  <c r="J17" i="7" s="1"/>
  <c r="K17" i="7" a="1"/>
  <c r="K17" i="7" s="1"/>
  <c r="I18" i="7"/>
  <c r="J18" i="7" a="1"/>
  <c r="J18" i="7" s="1"/>
  <c r="K18" i="7" a="1"/>
  <c r="K18" i="7" s="1"/>
  <c r="I19" i="7"/>
  <c r="J19" i="7" a="1"/>
  <c r="J19" i="7" s="1"/>
  <c r="K19" i="7" a="1"/>
  <c r="K19" i="7" s="1"/>
  <c r="I20" i="7"/>
  <c r="J20" i="7" a="1"/>
  <c r="J20" i="7" s="1"/>
  <c r="K20" i="7" a="1"/>
  <c r="K20" i="7" s="1"/>
  <c r="I21" i="7"/>
  <c r="J21" i="7" a="1"/>
  <c r="J21" i="7" s="1"/>
  <c r="K21" i="7" a="1"/>
  <c r="K21" i="7" s="1"/>
  <c r="C7" i="10"/>
  <c r="C11" i="10"/>
  <c r="K55" i="7" a="1"/>
  <c r="K55" i="7" s="1"/>
  <c r="J55" i="7" a="1"/>
  <c r="J55" i="7" s="1"/>
  <c r="I55"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I46" i="7"/>
  <c r="AI45" i="7"/>
  <c r="AB45" i="7"/>
  <c r="U45" i="7"/>
  <c r="N45" i="7"/>
  <c r="G45" i="7"/>
  <c r="K43" i="7" a="1"/>
  <c r="K43" i="7" s="1"/>
  <c r="J43" i="7" a="1"/>
  <c r="J43" i="7" s="1"/>
  <c r="I43" i="7"/>
  <c r="K42" i="7" a="1"/>
  <c r="K42" i="7" s="1"/>
  <c r="J42" i="7" a="1"/>
  <c r="J42" i="7" s="1"/>
  <c r="I42" i="7"/>
  <c r="K41" i="7" a="1"/>
  <c r="K41" i="7" s="1"/>
  <c r="J41" i="7" a="1"/>
  <c r="J41" i="7" s="1"/>
  <c r="I41" i="7"/>
  <c r="K40" i="7" a="1"/>
  <c r="K40" i="7" s="1"/>
  <c r="J40" i="7" a="1"/>
  <c r="J40" i="7" s="1"/>
  <c r="I40" i="7"/>
  <c r="K39" i="7" a="1"/>
  <c r="K39" i="7" s="1"/>
  <c r="J39" i="7" a="1"/>
  <c r="J39" i="7" s="1"/>
  <c r="I39" i="7"/>
  <c r="K38" i="7" a="1"/>
  <c r="K38" i="7" s="1"/>
  <c r="J38" i="7" a="1"/>
  <c r="J38" i="7" s="1"/>
  <c r="I38" i="7"/>
  <c r="K37" i="7" a="1"/>
  <c r="K37" i="7" s="1"/>
  <c r="J37" i="7" a="1"/>
  <c r="J37" i="7" s="1"/>
  <c r="I37" i="7"/>
  <c r="AI36" i="7"/>
  <c r="AB36" i="7"/>
  <c r="U36" i="7"/>
  <c r="N36" i="7"/>
  <c r="G36" i="7"/>
  <c r="C12" i="10"/>
  <c r="K34" i="7" a="1"/>
  <c r="K34" i="7" s="1"/>
  <c r="J34" i="7" a="1"/>
  <c r="J34"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27" i="7" a="1"/>
  <c r="K27" i="7" s="1"/>
  <c r="J27" i="7" a="1"/>
  <c r="J27" i="7" s="1"/>
  <c r="K26" i="7" a="1"/>
  <c r="K26" i="7" s="1"/>
  <c r="J26" i="7" a="1"/>
  <c r="J26" i="7" s="1"/>
  <c r="K25" i="7" a="1"/>
  <c r="K25" i="7" s="1"/>
  <c r="J25" i="7" a="1"/>
  <c r="J25" i="7" s="1"/>
  <c r="K24" i="7" a="1"/>
  <c r="K24" i="7" s="1"/>
  <c r="J24" i="7" a="1"/>
  <c r="J24"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AW4" i="7"/>
  <c r="AP4" i="7"/>
  <c r="AI23" i="7"/>
  <c r="AB23" i="7"/>
  <c r="U23" i="7"/>
  <c r="N23" i="7"/>
  <c r="I34" i="7"/>
  <c r="I33" i="7"/>
  <c r="I32" i="7"/>
  <c r="I31" i="7"/>
  <c r="I30" i="7"/>
  <c r="I29" i="7"/>
  <c r="I28" i="7"/>
  <c r="I27" i="7"/>
  <c r="I26" i="7"/>
  <c r="I25" i="7"/>
  <c r="I24" i="7"/>
  <c r="I9" i="7"/>
  <c r="I10" i="7"/>
  <c r="G23" i="7"/>
  <c r="AI4" i="7" l="1"/>
  <c r="I5" i="7"/>
  <c r="I11" i="7"/>
  <c r="J11" i="7" a="1"/>
  <c r="J11" i="7" s="1"/>
  <c r="J4" i="7" s="1"/>
  <c r="K4" i="7"/>
  <c r="J13" i="7"/>
  <c r="I13" i="7"/>
  <c r="K13" i="7"/>
  <c r="I45" i="7"/>
  <c r="I36" i="7"/>
  <c r="J45" i="7"/>
  <c r="K45" i="7"/>
  <c r="K36" i="7"/>
  <c r="J36" i="7"/>
  <c r="I23" i="7"/>
  <c r="J23" i="7"/>
  <c r="K23" i="7"/>
  <c r="I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<sst xmlns="http://schemas.openxmlformats.org/spreadsheetml/2006/main" count="771" uniqueCount="141">
  <si>
    <t>Im Trackingsheet hinterlegen</t>
  </si>
  <si>
    <t>Formel</t>
  </si>
  <si>
    <t>Zahl hier hinterlegen</t>
  </si>
  <si>
    <t>Reihenfolge</t>
  </si>
  <si>
    <t>Task</t>
  </si>
  <si>
    <t>Zahl</t>
  </si>
  <si>
    <t>Kommentare</t>
  </si>
  <si>
    <t>Schritt 1:</t>
  </si>
  <si>
    <t>Alle Fächer des Semesters hinterlegen inkl. Kapitel (zur Not Platzhalter)</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</si>
  <si>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</si>
  <si>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Schritt 2:</t>
  </si>
  <si>
    <t>Gesamte Kapitelanzahl hinterlegen</t>
  </si>
  <si>
    <t xml:space="preserve">Schritt 3: </t>
  </si>
  <si>
    <t>Klausurdatum hinterlegen</t>
  </si>
  <si>
    <t>Falls du es schätzen musst, trage einfach eine Schätzung ein. Normalerweise sind die Klausuren 1-3 Wochen nach Vorlesungsschluss.</t>
  </si>
  <si>
    <t xml:space="preserve">Schritt 4: </t>
  </si>
  <si>
    <t>Gesamte benötigte Wochen hinterlegen</t>
  </si>
  <si>
    <t>Um eine neue Woche zu hinterlegen, markierst du einfach die Leerspalte neben der letzten Woche bis zur letzten Spalte der Woche, kopierst sie (strg. +C) und fügst sie in die leerzeile hinter der letzten Woche ein.</t>
  </si>
  <si>
    <t xml:space="preserve">Schritt 5: </t>
  </si>
  <si>
    <t>Anzahl verfügbarer "Lernwochen" ausrechnen und hinterlegen</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</si>
  <si>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</si>
  <si>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6: </t>
  </si>
  <si>
    <t>Anzahl an Gesamt-Levelups ausrechnen und hinterlegen</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</si>
  <si>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</si>
  <si>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 xml:space="preserve">Schritt 7: </t>
  </si>
  <si>
    <t>Anzahl an Levelups pro Woche ausrechnen</t>
  </si>
  <si>
    <t xml:space="preserve">Schritt 8: </t>
  </si>
  <si>
    <t>Levelups von hinten nach vorne verteilen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</si>
  <si>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</si>
  <si>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</si>
  <si>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</si>
  <si>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</si>
  <si>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</si>
  <si>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</si>
  <si>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 xml:space="preserve">Schritt 11: </t>
  </si>
  <si>
    <t>Ende der Woche: Kenntnisstand pro Kapitel eintragen</t>
  </si>
  <si>
    <t xml:space="preserve">Schritt 12: </t>
  </si>
  <si>
    <t>Falls zu viel Zeit oder nicht genug Progress: In den Call kommen</t>
  </si>
  <si>
    <t>Semesterplan</t>
  </si>
  <si>
    <t>(Übersicht-Zelle muss angepasst werden)</t>
  </si>
  <si>
    <t>Übersicht</t>
  </si>
  <si>
    <t>Typ</t>
  </si>
  <si>
    <t>Fach</t>
  </si>
  <si>
    <t>Klausurdatum</t>
  </si>
  <si>
    <t>ECTS</t>
  </si>
  <si>
    <t>Fachgebiet</t>
  </si>
  <si>
    <t>Anteil an Klausur</t>
  </si>
  <si>
    <t>Stunden</t>
  </si>
  <si>
    <t>Skript Niveau</t>
  </si>
  <si>
    <t>Rechnen Niveau</t>
  </si>
  <si>
    <t>Bemerkungen</t>
  </si>
  <si>
    <t>Ziel</t>
  </si>
  <si>
    <t>PFIN</t>
  </si>
  <si>
    <t>Thema</t>
  </si>
  <si>
    <t>1) Einführung</t>
  </si>
  <si>
    <t>2) Aktuelle Herausforderungen an das Marketing</t>
  </si>
  <si>
    <t>3) Marktforschung</t>
  </si>
  <si>
    <t>4) Marketingziele &amp; -prognosen</t>
  </si>
  <si>
    <t>5) Strategisches Marketing</t>
  </si>
  <si>
    <t>6) Konsumentenorientieres Marketing</t>
  </si>
  <si>
    <t>Finanzen 1</t>
  </si>
  <si>
    <t>2) Der perfekte Markt</t>
  </si>
  <si>
    <t>3) Marktevaulierung</t>
  </si>
  <si>
    <t>4) CAPM</t>
  </si>
  <si>
    <t>5) Firmenbewertung</t>
  </si>
  <si>
    <t>6) DCF</t>
  </si>
  <si>
    <t>Mikroökonomie</t>
  </si>
  <si>
    <t>Marketing</t>
  </si>
  <si>
    <t>7) Produkt</t>
  </si>
  <si>
    <t>8) Marke</t>
  </si>
  <si>
    <t>9) Preis</t>
  </si>
  <si>
    <t>10) Kommunikation</t>
  </si>
  <si>
    <t>11) Distribution &amp; E-Commerce</t>
  </si>
  <si>
    <t>12) Implementierung &amp; Controlling</t>
  </si>
  <si>
    <t>Ethik</t>
  </si>
  <si>
    <t>2) Ethik in der Vergangenheit</t>
  </si>
  <si>
    <t>Accounting 2</t>
  </si>
  <si>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</si>
  <si>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</si>
  <si>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</si>
  <si>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</si>
  <si>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</si>
  <si>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</si>
  <si>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</si>
  <si>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</si>
  <si>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</si>
  <si>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</si>
  <si>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</si>
  <si>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</si>
  <si>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</si>
  <si>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</si>
  <si>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</si>
  <si>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</si>
  <si>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</si>
  <si>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</si>
  <si>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</si>
  <si>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</si>
  <si>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</si>
  <si>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</si>
  <si>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</si>
  <si>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</si>
  <si>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</si>
  <si>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</si>
  <si>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</si>
  <si>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</si>
  <si>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</si>
  <si>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</si>
  <si>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</si>
  <si>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</si>
  <si>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</si>
  <si>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</si>
  <si>
    <t>1) Capital Structure in a Perfect Market</t>
  </si>
  <si>
    <t>2) Debt and Taxes</t>
  </si>
  <si>
    <t>3) Financial Distress, Managerial Incentives and Information</t>
  </si>
  <si>
    <t>4) Capital Budgeting and Valuation with Leverage</t>
  </si>
  <si>
    <t>5) Real Options</t>
  </si>
  <si>
    <t>7) Risk Management</t>
  </si>
  <si>
    <t>6) Mergers &amp; Acquisitions</t>
  </si>
  <si>
    <t>KW35</t>
  </si>
  <si>
    <t>KW 36</t>
  </si>
  <si>
    <t>KW 37</t>
  </si>
  <si>
    <t>KW 38</t>
  </si>
  <si>
    <t>KW 39</t>
  </si>
  <si>
    <t>KLAUSUR!</t>
  </si>
  <si>
    <t>ca. 04.10.2023</t>
  </si>
  <si>
    <t>Ja</t>
  </si>
  <si>
    <t>Plan früher fertig haben</t>
  </si>
  <si>
    <t>Ok</t>
  </si>
  <si>
    <t>K = Kapitel, L = Anzahl Levelups, W = Anzahl wochen bis 100%</t>
  </si>
  <si>
    <t>L = (3*K) /W = 5,25</t>
  </si>
  <si>
    <t>Noten-Modul</t>
  </si>
  <si>
    <t>CBC</t>
  </si>
  <si>
    <t>Gut</t>
  </si>
  <si>
    <t>Weniger Ablenkungen</t>
  </si>
  <si>
    <t>Kapitel 01</t>
  </si>
  <si>
    <t>Nein</t>
  </si>
  <si>
    <t>Lerneinheit dazwischen schieben</t>
  </si>
  <si>
    <t>Müde (gestern länger unterwegs)</t>
  </si>
  <si>
    <t>Trotzdem committen</t>
  </si>
  <si>
    <t>PFIN Orga</t>
  </si>
  <si>
    <t>Noten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</si>
</sst>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1"/>
      <color rgb="FF9C5700"/>
      <name val="Calibri"/>
      <family val="2"/>
      <scheme val="minor"/>
    </font>
    <font>
      <sz val="12"/>
      <color rgb="FFFF0000"/>
      <name val="Calibri"/>
      <family val="2"/>
      <scheme val="minor"/>
    </font>
    <font>
      <sz val="8"/>
      <name val="Calibri"/>
      <family val="2"/>
      <scheme val="minor"/>
    </font>
    <font>
      <sz val="11"/>
      <color rgb="FF006100"/>
      <name val="Calibri"/>
      <family val="2"/>
      <scheme val="minor"/>
    </font>
  </fonts>
  <fills count="10">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EB9C"/>
      </patternFill>
    </fill>
    <fill>
      <patternFill patternType="solid">
        <fgColor rgb="FF00B0F0"/>
        <bgColor indexed="64"/>
      </patternFill>
    </fill>
    <fill>
      <patternFill patternType="solid">
        <fgColor rgb="FFC6EFCE"/>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5" fillId="7" borderId="0" applyNumberFormat="0" applyBorder="0" applyAlignment="0" applyProtection="0"/>
    <xf numFmtId="0" fontId="8" fillId="9" borderId="0" applyNumberFormat="0" applyBorder="0" applyAlignment="0" applyProtection="0"/>
  </cellStyleXfs>
  <cellXfs count="29">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1" fontId="0" fillId="0" borderId="0" xfId="0" applyNumberFormat="1"/>
    <xf numFmtId="0" fontId="4" fillId="0" borderId="0" xfId="0" applyFont="1" applyAlignment="1">
      <alignment horizontal="center"/>
    </xf>
    <xf numFmtId="0" fontId="1" fillId="0" borderId="0" xfId="0" applyFont="1" applyAlignment="1">
      <alignment horizontal="center"/>
    </xf>
    <xf numFmtId="0" fontId="5" fillId="7" borderId="0" xfId="1" applyAlignment="1">
      <alignment horizontal="center"/>
    </xf>
    <xf numFmtId="0" fontId="6" fillId="0" borderId="0" xfId="0" applyFont="1"/>
    <xf numFmtId="20" fontId="0" fillId="0" borderId="0" xfId="0" applyNumberFormat="1" applyAlignment="1">
      <alignment horizontal="center"/>
    </xf>
    <xf numFmtId="0" fontId="5" fillId="7" borderId="1" xfId="1" applyBorder="1" applyAlignment="1">
      <alignment horizontal="center"/>
    </xf>
    <xf numFmtId="14" fontId="0" fillId="8" borderId="0" xfId="0" applyNumberFormat="1" applyFill="1"/>
    <xf numFmtId="0" fontId="8" fillId="9" borderId="0" xfId="2" applyAlignment="1">
      <alignment horizontal="center"/>
    </xf>
    <xf numFmtId="0" fontId="1" fillId="2" borderId="0" xfId="0" applyFont="1" applyFill="1" applyAlignment="1">
      <alignment horizontal="center"/>
    </xf>
  </cellXfs>
  <cellStyles count="3">
    <cellStyle name="Gut" xfId="2" builtinId="26"/>
    <cellStyle name="Neutral" xfId="1" builtinId="28"/>
    <cellStyle name="Standard" xfId="0" builtinId="0"/>
  </cellStyles>
  <dxfs count="78">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center"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9" totalsRowShown="0" headerRowDxfId="77">
  <autoFilter ref="A1:K49" xr:uid="{6E266E34-2786-2747-BCE7-51B74867A564}"/>
  <tableColumns count="11">
    <tableColumn id="1" xr3:uid="{95FD92F7-3DC8-704D-A103-A7EDDAB255AB}" name="Datum" dataDxfId="76"/>
    <tableColumn id="2" xr3:uid="{F464D510-8166-E740-A343-FB84BDEF877F}" name="Lerneinheiten durchgezogen" dataDxfId="75"/>
    <tableColumn id="3" xr3:uid="{75F52B08-1A00-0848-BBE6-1EDF7B31B1AD}" name="Tagesplan erstellt" dataDxfId="74"/>
    <tableColumn id="4" xr3:uid="{E6B18D89-E799-AD48-9DAA-37AEE1D29011}" name="Konzentrationslevel" dataDxfId="73"/>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dataDxfId="72"/>
    <tableColumn id="11" xr3:uid="{BB7DF43F-1783-D944-883B-7754E3407C95}" name="Optimierungen" dataDxfId="71"/>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17" sqref="B17"/>
    </sheetView>
  </sheetViews>
  <sheetFormatPr baseColWidth="10" defaultColWidth="11" defaultRowHeight="15.75"/>
  <cols>
    <col min="1" max="1" width="11.875" customWidth="1"/>
    <col min="2" max="2" width="62.625" customWidth="1"/>
    <col min="3" max="3" width="25.125" bestFit="1" customWidth="1"/>
  </cols>
  <sheetData>
    <row r="2" spans="1:4">
      <c r="C2" s="17" t="s">
        <v>0</v>
      </c>
    </row>
    <row r="3" spans="1:4">
      <c r="C3" s="16" t="s">
        <v>1</v>
      </c>
    </row>
    <row r="4" spans="1:4">
      <c r="C4" s="15" t="s">
        <v>2</v>
      </c>
    </row>
    <row r="5" spans="1:4">
      <c r="A5" s="2" t="s">
        <v>3</v>
      </c>
      <c r="B5" s="2" t="s">
        <v>4</v>
      </c>
      <c r="C5" s="2" t="s">
        <v>5</v>
      </c>
      <c r="D5" s="2" t="s">
        <v>6</v>
      </c>
    </row>
    <row r="6" spans="1:4">
      <c r="A6" t="s">
        <v>7</v>
      </c>
      <c r="B6" s="17" t="s">
        <v>8</v>
      </c>
      <c r="D6" t="s">
        <v>9</v>
      </c>
    </row>
    <row r="7" spans="1:4">
      <c r="A7" t="s">
        <v>10</v>
      </c>
      <c r="B7" t="s">
        <v>11</v>
      </c>
      <c r="C7" s="15">
        <f>6+8+11+7+10</f>
        <v>42</v>
      </c>
    </row>
    <row r="8" spans="1:4">
      <c r="A8" t="s">
        <v>12</v>
      </c>
      <c r="B8" s="17" t="s">
        <v>13</v>
      </c>
      <c r="D8" t="s">
        <v>14</v>
      </c>
    </row>
    <row r="9" spans="1:4">
      <c r="A9" t="s">
        <v>15</v>
      </c>
      <c r="B9" s="17" t="s">
        <v>16</v>
      </c>
      <c r="D9" t="s">
        <v>17</v>
      </c>
    </row>
    <row r="10" spans="1:4">
      <c r="A10" t="s">
        <v>18</v>
      </c>
      <c r="B10" t="s">
        <v>19</v>
      </c>
      <c r="C10" s="15">
        <v>10.5</v>
      </c>
      <c r="D10" t="s">
        <v>20</v>
      </c>
    </row>
    <row r="11" spans="1:4">
      <c r="A11" t="s">
        <v>21</v>
      </c>
      <c r="B11" t="s">
        <v>22</v>
      </c>
      <c r="C11" s="15">
        <f>42*3</f>
        <v>126</v>
      </c>
      <c r="D11" t="s">
        <v>23</v>
      </c>
    </row>
    <row r="12" spans="1:4">
      <c r="A12" t="s">
        <v>24</v>
      </c>
      <c r="B12" t="s">
        <v>25</v>
      </c>
      <c r="C12" s="16">
        <f>C11/C10</f>
        <v>12</v>
      </c>
    </row>
    <row r="13" spans="1:4">
      <c r="A13" t="s">
        <v>26</v>
      </c>
      <c r="B13" t="s">
        <v>27</v>
      </c>
      <c r="D13" t="s">
        <v>28</v>
      </c>
    </row>
    <row r="14" spans="1:4">
      <c r="A14" t="s">
        <v>29</v>
      </c>
      <c r="B14" t="s">
        <v>30</v>
      </c>
      <c r="D14" t="s">
        <v>31</v>
      </c>
    </row>
    <row r="15" spans="1:4">
      <c r="A15" t="s">
        <v>32</v>
      </c>
      <c r="B15" s="17" t="s">
        <v>33</v>
      </c>
    </row>
    <row r="16" spans="1:4">
      <c r="A16" t="s">
        <v>34</v>
      </c>
      <c r="B16" s="17" t="s">
        <v>35</v>
      </c>
    </row>
    <row r="17" spans="1:2">
      <c r="A17" t="s">
        <v>36</v>
      </c>
      <c r="B17" t="s">
        <v>37</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B56"/>
  <sheetViews>
    <sheetView showGridLines="0" zoomScaleNormal="100" workbookViewId="0">
      <pane xSplit="12" topLeftCell="M1" activePane="topRight" state="frozen"/>
      <selection pane="topRight" activeCell="N10" sqref="N10"/>
    </sheetView>
  </sheetViews>
  <sheetFormatPr baseColWidth="10" defaultColWidth="8.875" defaultRowHeight="15.75" outlineLevelRow="1"/>
  <cols>
    <col min="3" max="3" width="9.5" bestFit="1" customWidth="1"/>
    <col min="4" max="4" width="13" bestFit="1" customWidth="1"/>
    <col min="5" max="5" width="4.875" bestFit="1" customWidth="1"/>
    <col min="6" max="6" width="50.6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5" max="35" width="9.375" bestFit="1"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s>
  <sheetData>
    <row r="1" spans="2:54" ht="33.75">
      <c r="B1" s="4" t="s">
        <v>38</v>
      </c>
      <c r="D1" s="4"/>
      <c r="F1" s="23" t="s">
        <v>128</v>
      </c>
      <c r="G1" s="12" t="s">
        <v>39</v>
      </c>
      <c r="I1" s="12" t="s">
        <v>39</v>
      </c>
      <c r="J1" s="12" t="s">
        <v>39</v>
      </c>
      <c r="K1" s="12" t="s">
        <v>39</v>
      </c>
    </row>
    <row r="2" spans="2:54">
      <c r="F2" s="23" t="s">
        <v>129</v>
      </c>
      <c r="I2" s="28" t="s">
        <v>40</v>
      </c>
      <c r="J2" s="28"/>
      <c r="K2" s="28"/>
      <c r="L2" s="28"/>
      <c r="N2" s="28" t="s">
        <v>118</v>
      </c>
      <c r="O2" s="28"/>
      <c r="P2" s="28"/>
      <c r="Q2" s="28"/>
      <c r="R2" s="28"/>
      <c r="S2" s="28"/>
      <c r="U2" s="28" t="s">
        <v>119</v>
      </c>
      <c r="V2" s="28"/>
      <c r="W2" s="28"/>
      <c r="X2" s="28"/>
      <c r="Y2" s="28"/>
      <c r="Z2" s="28"/>
      <c r="AB2" s="28" t="s">
        <v>120</v>
      </c>
      <c r="AC2" s="28"/>
      <c r="AD2" s="28"/>
      <c r="AE2" s="28"/>
      <c r="AF2" s="28"/>
      <c r="AG2" s="28"/>
      <c r="AI2" s="28" t="s">
        <v>121</v>
      </c>
      <c r="AJ2" s="28"/>
      <c r="AK2" s="28"/>
      <c r="AL2" s="28"/>
      <c r="AM2" s="28"/>
      <c r="AN2" s="28"/>
      <c r="AP2" s="28" t="s">
        <v>122</v>
      </c>
      <c r="AQ2" s="28"/>
      <c r="AR2" s="28"/>
      <c r="AS2" s="28"/>
      <c r="AT2" s="28"/>
      <c r="AU2" s="28"/>
      <c r="AW2" s="28" t="s">
        <v>123</v>
      </c>
      <c r="AX2" s="28"/>
      <c r="AY2" s="28"/>
      <c r="AZ2" s="28"/>
      <c r="BA2" s="28"/>
      <c r="BB2" s="28"/>
    </row>
    <row r="3" spans="2:54">
      <c r="B3" s="5" t="s">
        <v>41</v>
      </c>
      <c r="C3" s="5" t="s">
        <v>42</v>
      </c>
      <c r="D3" s="5" t="s">
        <v>43</v>
      </c>
      <c r="E3" s="6" t="s">
        <v>44</v>
      </c>
      <c r="F3" s="5" t="s">
        <v>45</v>
      </c>
      <c r="G3" s="5" t="s">
        <v>46</v>
      </c>
      <c r="I3" s="6" t="s">
        <v>47</v>
      </c>
      <c r="J3" s="6" t="s">
        <v>48</v>
      </c>
      <c r="K3" s="6" t="s">
        <v>49</v>
      </c>
      <c r="L3" s="6" t="s">
        <v>50</v>
      </c>
      <c r="N3" s="5" t="s">
        <v>47</v>
      </c>
      <c r="O3" s="5" t="s">
        <v>48</v>
      </c>
      <c r="P3" s="5" t="s">
        <v>51</v>
      </c>
      <c r="Q3" s="5" t="s">
        <v>49</v>
      </c>
      <c r="R3" s="5" t="s">
        <v>51</v>
      </c>
      <c r="S3" s="5" t="s">
        <v>50</v>
      </c>
      <c r="U3" s="5" t="s">
        <v>47</v>
      </c>
      <c r="V3" s="5" t="s">
        <v>48</v>
      </c>
      <c r="W3" s="5" t="s">
        <v>51</v>
      </c>
      <c r="X3" s="5" t="s">
        <v>49</v>
      </c>
      <c r="Y3" s="5" t="s">
        <v>51</v>
      </c>
      <c r="Z3" s="5" t="s">
        <v>50</v>
      </c>
      <c r="AB3" s="5" t="s">
        <v>47</v>
      </c>
      <c r="AC3" s="5" t="s">
        <v>48</v>
      </c>
      <c r="AD3" s="5" t="s">
        <v>51</v>
      </c>
      <c r="AE3" s="5" t="s">
        <v>49</v>
      </c>
      <c r="AF3" s="5" t="s">
        <v>51</v>
      </c>
      <c r="AG3" s="5" t="s">
        <v>50</v>
      </c>
      <c r="AI3" s="5" t="s">
        <v>47</v>
      </c>
      <c r="AJ3" s="5" t="s">
        <v>48</v>
      </c>
      <c r="AK3" s="5" t="s">
        <v>51</v>
      </c>
      <c r="AL3" s="5" t="s">
        <v>49</v>
      </c>
      <c r="AM3" s="5" t="s">
        <v>51</v>
      </c>
      <c r="AN3" s="5" t="s">
        <v>50</v>
      </c>
      <c r="AP3" s="5" t="s">
        <v>47</v>
      </c>
      <c r="AQ3" s="5" t="s">
        <v>48</v>
      </c>
      <c r="AR3" s="5" t="s">
        <v>51</v>
      </c>
      <c r="AS3" s="5" t="s">
        <v>49</v>
      </c>
      <c r="AT3" s="5" t="s">
        <v>51</v>
      </c>
      <c r="AU3" s="5" t="s">
        <v>50</v>
      </c>
      <c r="AW3" s="5" t="s">
        <v>47</v>
      </c>
      <c r="AX3" s="5" t="s">
        <v>48</v>
      </c>
      <c r="AY3" s="5" t="s">
        <v>51</v>
      </c>
      <c r="AZ3" s="5" t="s">
        <v>49</v>
      </c>
      <c r="BA3" s="5" t="s">
        <v>51</v>
      </c>
      <c r="BB3" s="5" t="s">
        <v>50</v>
      </c>
    </row>
    <row r="4" spans="2:54">
      <c r="B4" t="s">
        <v>40</v>
      </c>
      <c r="C4" t="s">
        <v>52</v>
      </c>
      <c r="D4" s="26" t="s">
        <v>124</v>
      </c>
      <c r="E4" s="8">
        <v>6</v>
      </c>
      <c r="G4" s="9">
        <f>+SUM(G5:G11)</f>
        <v>1.0003</v>
      </c>
      <c r="I4" s="11">
        <f>+SUM(I5:I11)</f>
        <v>0</v>
      </c>
      <c r="J4" s="10">
        <f>+SUMPRODUCT(G5:G11,J5:J11)</f>
        <v>0</v>
      </c>
      <c r="K4" s="10">
        <f>+SUMPRODUCT(G5:G11,K5:K11)</f>
        <v>0</v>
      </c>
      <c r="L4" s="8"/>
      <c r="N4" s="11">
        <f>+SUM(N5:N10)</f>
        <v>0</v>
      </c>
      <c r="U4" s="11">
        <f>+SUM(U5:U10)</f>
        <v>0</v>
      </c>
      <c r="AB4" s="11">
        <f>+SUM(AB5:AB10)</f>
        <v>0</v>
      </c>
      <c r="AI4" s="11">
        <f>+SUM(AI5:AI11)</f>
        <v>0</v>
      </c>
      <c r="AP4" s="11">
        <f>+SUM(AP5:AP10)</f>
        <v>0</v>
      </c>
      <c r="AW4" s="11">
        <f>+SUM(AW5:AW10)</f>
        <v>0</v>
      </c>
    </row>
    <row r="5" spans="2:54" outlineLevel="1">
      <c r="B5" t="s">
        <v>53</v>
      </c>
      <c r="C5" t="s">
        <v>52</v>
      </c>
      <c r="E5" s="8"/>
      <c r="F5" t="s">
        <v>111</v>
      </c>
      <c r="G5" s="9">
        <v>0.1429</v>
      </c>
      <c r="I5" s="11">
        <f t="shared" ref="I5:I11" si="0">+SUMIF($N$3:$XV$3,I$3,$N5:$XV5)</f>
        <v>0</v>
      </c>
      <c r="J5" s="10" cm="1">
        <f t="array" ref="J5">MAX(IF($N$3:$CD$3=$J$3,N5:CD5))</f>
        <v>0</v>
      </c>
      <c r="K5" s="10" cm="1">
        <f t="array" ref="K5">MAX(IF($N$3:$CD$3=$J$3,N5:CD5))</f>
        <v>0</v>
      </c>
      <c r="L5" s="8"/>
      <c r="O5" s="9"/>
      <c r="P5" s="9"/>
      <c r="Q5" s="9"/>
      <c r="R5" s="9"/>
      <c r="V5" s="9"/>
      <c r="W5" s="9"/>
      <c r="X5" s="9"/>
      <c r="Y5" s="9"/>
      <c r="AC5" s="9"/>
      <c r="AD5" s="9"/>
      <c r="AE5" s="9"/>
      <c r="AF5" s="9"/>
      <c r="AI5" s="19">
        <v>0</v>
      </c>
      <c r="AJ5" s="9"/>
      <c r="AK5" s="9">
        <v>1</v>
      </c>
      <c r="AL5" s="9"/>
      <c r="AM5" s="9">
        <v>1</v>
      </c>
      <c r="AQ5" s="9"/>
      <c r="AR5" s="9"/>
      <c r="AS5" s="9"/>
      <c r="AT5" s="9"/>
      <c r="AX5" s="9"/>
      <c r="AY5" s="9"/>
      <c r="AZ5" s="9"/>
      <c r="BA5" s="9"/>
    </row>
    <row r="6" spans="2:54" outlineLevel="1">
      <c r="B6" t="s">
        <v>53</v>
      </c>
      <c r="C6" t="s">
        <v>52</v>
      </c>
      <c r="E6" s="8"/>
      <c r="F6" t="s">
        <v>112</v>
      </c>
      <c r="G6" s="9">
        <v>0.1429</v>
      </c>
      <c r="I6" s="11">
        <f t="shared" si="0"/>
        <v>0</v>
      </c>
      <c r="J6" s="10" cm="1">
        <f t="array" ref="J6">MAX(IF($N$3:$CD$3=$J$3,N6:CD6))</f>
        <v>0</v>
      </c>
      <c r="K6" s="10" cm="1">
        <f t="array" ref="K6">MAX(IF($N$3:$CD$3=$J$3,N6:CD6))</f>
        <v>0</v>
      </c>
      <c r="L6" s="8"/>
      <c r="O6" s="9"/>
      <c r="P6" s="9"/>
      <c r="Q6" s="9"/>
      <c r="R6" s="9"/>
      <c r="V6" s="9"/>
      <c r="W6" s="9"/>
      <c r="X6" s="9"/>
      <c r="Y6" s="9"/>
      <c r="AC6" s="9"/>
      <c r="AD6" s="9"/>
      <c r="AE6" s="9"/>
      <c r="AF6" s="9"/>
      <c r="AI6" s="19">
        <v>0</v>
      </c>
      <c r="AJ6" s="9"/>
      <c r="AK6" s="9">
        <v>1</v>
      </c>
      <c r="AL6" s="9"/>
      <c r="AM6" s="9">
        <v>1</v>
      </c>
      <c r="AQ6" s="9"/>
      <c r="AR6" s="9"/>
      <c r="AS6" s="9"/>
      <c r="AT6" s="9"/>
      <c r="AX6" s="9"/>
      <c r="AY6" s="9"/>
      <c r="AZ6" s="9"/>
      <c r="BA6" s="9"/>
    </row>
    <row r="7" spans="2:54" outlineLevel="1">
      <c r="B7" t="s">
        <v>53</v>
      </c>
      <c r="C7" t="s">
        <v>52</v>
      </c>
      <c r="E7" s="8"/>
      <c r="F7" t="s">
        <v>113</v>
      </c>
      <c r="G7" s="9">
        <v>0.1429</v>
      </c>
      <c r="I7" s="11">
        <f t="shared" si="0"/>
        <v>0</v>
      </c>
      <c r="J7" s="10" cm="1">
        <f t="array" ref="J7">MAX(IF($N$3:$CD$3=$J$3,N7:CD7))</f>
        <v>0</v>
      </c>
      <c r="K7" s="10" cm="1">
        <f t="array" ref="K7">MAX(IF($N$3:$CD$3=$J$3,N7:CD7))</f>
        <v>0</v>
      </c>
      <c r="L7" s="8"/>
      <c r="O7" s="9"/>
      <c r="P7" s="9"/>
      <c r="Q7" s="9"/>
      <c r="R7" s="9"/>
      <c r="V7" s="9"/>
      <c r="W7" s="9"/>
      <c r="X7" s="9"/>
      <c r="Y7" s="9"/>
      <c r="AC7" s="9"/>
      <c r="AD7" s="9"/>
      <c r="AE7" s="9"/>
      <c r="AF7" s="9"/>
      <c r="AI7" s="19">
        <v>0</v>
      </c>
      <c r="AJ7" s="9"/>
      <c r="AK7" s="9">
        <v>1</v>
      </c>
      <c r="AL7" s="9"/>
      <c r="AM7" s="9">
        <v>1</v>
      </c>
      <c r="AQ7" s="9"/>
      <c r="AR7" s="9"/>
      <c r="AS7" s="9"/>
      <c r="AT7" s="9"/>
      <c r="AX7" s="9"/>
      <c r="AY7" s="9"/>
      <c r="AZ7" s="9"/>
      <c r="BA7" s="9"/>
    </row>
    <row r="8" spans="2:54" outlineLevel="1">
      <c r="B8" t="s">
        <v>53</v>
      </c>
      <c r="C8" t="s">
        <v>52</v>
      </c>
      <c r="E8" s="8"/>
      <c r="F8" t="s">
        <v>114</v>
      </c>
      <c r="G8" s="9">
        <v>0.1429</v>
      </c>
      <c r="I8" s="11">
        <f t="shared" si="0"/>
        <v>0</v>
      </c>
      <c r="J8" s="10" cm="1">
        <f t="array" ref="J8">MAX(IF($N$3:$CD$3=$J$3,N8:CD8))</f>
        <v>0</v>
      </c>
      <c r="K8" s="10" cm="1">
        <f t="array" ref="K8">MAX(IF($N$3:$CD$3=$J$3,N8:CD8))</f>
        <v>0</v>
      </c>
      <c r="L8" s="8"/>
      <c r="O8" s="9"/>
      <c r="P8" s="9"/>
      <c r="Q8" s="9"/>
      <c r="R8" s="9"/>
      <c r="V8" s="9"/>
      <c r="W8" s="9"/>
      <c r="X8" s="9"/>
      <c r="Y8" s="9"/>
      <c r="AC8" s="9"/>
      <c r="AD8" s="9"/>
      <c r="AE8" s="9"/>
      <c r="AF8" s="9"/>
      <c r="AI8" s="19">
        <v>0</v>
      </c>
      <c r="AJ8" s="9"/>
      <c r="AK8" s="9">
        <v>1</v>
      </c>
      <c r="AL8" s="9"/>
      <c r="AM8" s="9">
        <v>1</v>
      </c>
      <c r="AQ8" s="9"/>
      <c r="AR8" s="9"/>
      <c r="AS8" s="9"/>
      <c r="AT8" s="9"/>
      <c r="AX8" s="9"/>
      <c r="AY8" s="9"/>
      <c r="AZ8" s="9"/>
      <c r="BA8" s="9"/>
    </row>
    <row r="9" spans="2:54" outlineLevel="1">
      <c r="B9" t="s">
        <v>53</v>
      </c>
      <c r="C9" t="s">
        <v>52</v>
      </c>
      <c r="E9" s="8"/>
      <c r="F9" t="s">
        <v>115</v>
      </c>
      <c r="G9" s="9">
        <v>0.1429</v>
      </c>
      <c r="I9" s="11">
        <f t="shared" si="0"/>
        <v>0</v>
      </c>
      <c r="J9" s="10" cm="1">
        <f t="array" ref="J9">MAX(IF($N$3:$CD$3=$J$3,N9:CD9))</f>
        <v>0</v>
      </c>
      <c r="K9" s="10" cm="1">
        <f t="array" ref="K9">MAX(IF($N$3:$CD$3=$J$3,N9:CD9))</f>
        <v>0</v>
      </c>
      <c r="L9" s="8"/>
      <c r="O9" s="9"/>
      <c r="P9" s="9"/>
      <c r="Q9" s="9"/>
      <c r="R9" s="9"/>
      <c r="V9" s="9"/>
      <c r="W9" s="9"/>
      <c r="X9" s="9"/>
      <c r="Y9" s="9"/>
      <c r="AC9" s="9"/>
      <c r="AD9" s="9"/>
      <c r="AE9" s="9"/>
      <c r="AF9" s="9"/>
      <c r="AI9" s="19">
        <v>0</v>
      </c>
      <c r="AJ9" s="9"/>
      <c r="AK9" s="9">
        <v>1</v>
      </c>
      <c r="AL9" s="9"/>
      <c r="AM9" s="9">
        <v>1</v>
      </c>
      <c r="AQ9" s="9"/>
      <c r="AR9" s="9"/>
      <c r="AS9" s="9"/>
      <c r="AT9" s="9"/>
      <c r="AX9" s="9"/>
      <c r="AY9" s="9"/>
      <c r="AZ9" s="9"/>
      <c r="BA9" s="9"/>
    </row>
    <row r="10" spans="2:54" outlineLevel="1">
      <c r="B10" t="s">
        <v>53</v>
      </c>
      <c r="C10" t="s">
        <v>52</v>
      </c>
      <c r="E10" s="8"/>
      <c r="F10" t="s">
        <v>117</v>
      </c>
      <c r="G10" s="9">
        <v>0.1429</v>
      </c>
      <c r="I10" s="11">
        <f t="shared" si="0"/>
        <v>0</v>
      </c>
      <c r="J10" s="10" cm="1">
        <f t="array" ref="J10">MAX(IF($N$3:$CD$3=$J$3,N10:CD10))</f>
        <v>0</v>
      </c>
      <c r="K10" s="10" cm="1">
        <f t="array" ref="K10">MAX(IF($N$3:$CD$3=$J$3,N10:CD10))</f>
        <v>0</v>
      </c>
      <c r="L10" s="8"/>
      <c r="O10" s="9"/>
      <c r="P10" s="9"/>
      <c r="Q10" s="9"/>
      <c r="R10" s="9"/>
      <c r="V10" s="9"/>
      <c r="W10" s="9"/>
      <c r="X10" s="9"/>
      <c r="Y10" s="9"/>
      <c r="AC10" s="9"/>
      <c r="AD10" s="9"/>
      <c r="AE10" s="9"/>
      <c r="AF10" s="9"/>
      <c r="AI10" s="19">
        <v>0</v>
      </c>
      <c r="AJ10" s="9"/>
      <c r="AK10" s="9">
        <v>1</v>
      </c>
      <c r="AL10" s="9"/>
      <c r="AM10" s="9">
        <v>1</v>
      </c>
      <c r="AQ10" s="9"/>
      <c r="AR10" s="9"/>
      <c r="AS10" s="9"/>
      <c r="AT10" s="9"/>
      <c r="AX10" s="9"/>
      <c r="AY10" s="9"/>
      <c r="AZ10" s="9"/>
      <c r="BA10" s="9"/>
    </row>
    <row r="11" spans="2:54" outlineLevel="1">
      <c r="B11" t="s">
        <v>53</v>
      </c>
      <c r="C11" t="s">
        <v>52</v>
      </c>
      <c r="E11" s="8"/>
      <c r="F11" t="s">
        <v>116</v>
      </c>
      <c r="G11" s="9">
        <v>0.1429</v>
      </c>
      <c r="I11" s="11">
        <f t="shared" si="0"/>
        <v>0</v>
      </c>
      <c r="J11" s="10" cm="1">
        <f t="array" ref="J11">MAX(IF($N$3:$CD$3=$J$3,N11:CD11))</f>
        <v>0</v>
      </c>
      <c r="K11" s="10" cm="1">
        <f t="array" ref="K11">MAX(IF($N$3:$CD$3=$J$3,N11:CD11))</f>
        <v>0</v>
      </c>
      <c r="L11" s="8"/>
      <c r="O11" s="9"/>
      <c r="P11" s="9"/>
      <c r="Q11" s="9"/>
      <c r="R11" s="9"/>
      <c r="V11" s="9"/>
      <c r="W11" s="9"/>
      <c r="X11" s="9"/>
      <c r="Y11" s="9"/>
      <c r="AC11" s="9"/>
      <c r="AD11" s="9"/>
      <c r="AE11" s="9"/>
      <c r="AF11" s="9"/>
      <c r="AI11" s="19">
        <v>0</v>
      </c>
      <c r="AJ11" s="9"/>
      <c r="AK11" s="9">
        <v>1</v>
      </c>
      <c r="AL11" s="9"/>
      <c r="AM11" s="9">
        <v>1</v>
      </c>
      <c r="AQ11" s="9"/>
      <c r="AR11" s="9"/>
      <c r="AS11" s="9"/>
      <c r="AT11" s="9"/>
      <c r="AX11" s="9"/>
      <c r="AY11" s="9"/>
      <c r="AZ11" s="9"/>
      <c r="BA11" s="9"/>
    </row>
    <row r="13" spans="2:54" hidden="1" outlineLevel="1">
      <c r="B13" t="s">
        <v>40</v>
      </c>
      <c r="C13" t="s">
        <v>60</v>
      </c>
      <c r="D13" s="18">
        <v>44663</v>
      </c>
      <c r="E13" s="8">
        <v>6</v>
      </c>
      <c r="G13" s="9">
        <f>+SUM(G14:G21)</f>
        <v>1.4</v>
      </c>
      <c r="I13" s="11">
        <f>+SUM(I14:I21)</f>
        <v>0</v>
      </c>
      <c r="J13" s="10">
        <f>+SUMPRODUCT(G14:G21,J14:J21)</f>
        <v>0</v>
      </c>
      <c r="K13" s="10">
        <f>+SUMPRODUCT(G14:G21,K14:K21)</f>
        <v>0</v>
      </c>
      <c r="L13" s="8"/>
      <c r="N13" s="11">
        <f>+SUM(N14:N21)</f>
        <v>0</v>
      </c>
      <c r="U13" s="11">
        <f>+SUM(U14:U21)</f>
        <v>0</v>
      </c>
      <c r="AB13" s="11">
        <f>+SUM(AB14:AB21)</f>
        <v>0</v>
      </c>
      <c r="AI13" s="11">
        <f>+SUM(AI14:AI21)</f>
        <v>0</v>
      </c>
    </row>
    <row r="14" spans="2:54" hidden="1" outlineLevel="1">
      <c r="B14" t="s">
        <v>53</v>
      </c>
      <c r="C14" t="s">
        <v>60</v>
      </c>
      <c r="E14" s="8"/>
      <c r="F14" t="s">
        <v>54</v>
      </c>
      <c r="G14" s="9">
        <v>0.1</v>
      </c>
      <c r="I14" s="8">
        <f t="shared" ref="I14:I21" si="1">+SUMIF($N$3:$XV$3,I$3,$N14:$XV14)</f>
        <v>0</v>
      </c>
      <c r="J14" s="10" cm="1">
        <f t="array" ref="J14">MAX(IF($N$3:$CD$3=$J$3,N14:CD14))</f>
        <v>0</v>
      </c>
      <c r="K14" s="10" cm="1">
        <f t="array" ref="K14">MAX(IF($N$3:$CD$3=$J$3,N14:CD14))</f>
        <v>0</v>
      </c>
      <c r="L14" s="8"/>
      <c r="O14" s="9"/>
      <c r="P14" s="9"/>
      <c r="Q14" s="9"/>
      <c r="R14" s="9"/>
      <c r="V14" s="9"/>
      <c r="W14" s="9"/>
      <c r="X14" s="9"/>
      <c r="Y14" s="9"/>
      <c r="AC14" s="9"/>
      <c r="AD14" s="9"/>
      <c r="AE14" s="9"/>
      <c r="AF14" s="9"/>
      <c r="AJ14" s="9"/>
      <c r="AK14" s="9">
        <v>1</v>
      </c>
      <c r="AL14" s="9"/>
      <c r="AM14" s="9">
        <v>1</v>
      </c>
      <c r="AQ14" s="9"/>
      <c r="AR14" s="9"/>
      <c r="AS14" s="9"/>
      <c r="AT14" s="9"/>
      <c r="AX14" s="9"/>
      <c r="AY14" s="9"/>
      <c r="AZ14" s="9"/>
      <c r="BA14" s="9"/>
    </row>
    <row r="15" spans="2:54" hidden="1" outlineLevel="1">
      <c r="B15" t="s">
        <v>53</v>
      </c>
      <c r="C15" t="s">
        <v>60</v>
      </c>
      <c r="E15" s="8"/>
      <c r="F15" t="s">
        <v>61</v>
      </c>
      <c r="G15" s="9">
        <v>0.2</v>
      </c>
      <c r="I15" s="8">
        <f t="shared" si="1"/>
        <v>0</v>
      </c>
      <c r="J15" s="10" cm="1">
        <f t="array" ref="J15">MAX(IF($N$3:$CD$3=$J$3,N15:CD15))</f>
        <v>0</v>
      </c>
      <c r="K15" s="10" cm="1">
        <f t="array" ref="K15">MAX(IF($N$3:$CD$3=$J$3,N15:CD15))</f>
        <v>0</v>
      </c>
      <c r="L15" s="8"/>
      <c r="O15" s="9"/>
      <c r="P15" s="9"/>
      <c r="Q15" s="9"/>
      <c r="R15" s="9"/>
      <c r="V15" s="9"/>
      <c r="W15" s="9"/>
      <c r="X15" s="9"/>
      <c r="Y15" s="9"/>
      <c r="AC15" s="9"/>
      <c r="AD15" s="9"/>
      <c r="AE15" s="9"/>
      <c r="AF15" s="9"/>
      <c r="AJ15" s="9"/>
      <c r="AK15" s="9">
        <v>1</v>
      </c>
      <c r="AL15" s="9"/>
      <c r="AM15" s="9">
        <v>1</v>
      </c>
      <c r="AQ15" s="9"/>
      <c r="AR15" s="9"/>
      <c r="AS15" s="9"/>
      <c r="AT15" s="9"/>
      <c r="AX15" s="9"/>
      <c r="AY15" s="9"/>
      <c r="AZ15" s="9"/>
      <c r="BA15" s="9"/>
    </row>
    <row r="16" spans="2:54" hidden="1" outlineLevel="1">
      <c r="B16" t="s">
        <v>53</v>
      </c>
      <c r="C16" t="s">
        <v>60</v>
      </c>
      <c r="E16" s="8"/>
      <c r="F16" t="s">
        <v>61</v>
      </c>
      <c r="G16" s="9">
        <v>0.2</v>
      </c>
      <c r="I16" s="8">
        <f t="shared" si="1"/>
        <v>0</v>
      </c>
      <c r="J16" s="10" cm="1">
        <f t="array" ref="J16">MAX(IF($N$3:$CD$3=$J$3,N16:CD16))</f>
        <v>0</v>
      </c>
      <c r="K16" s="10" cm="1">
        <f t="array" ref="K16">MAX(IF($N$3:$CD$3=$J$3,N16:CD16))</f>
        <v>0</v>
      </c>
      <c r="L16" s="8"/>
      <c r="O16" s="9"/>
      <c r="P16" s="9"/>
      <c r="Q16" s="9"/>
      <c r="R16" s="9"/>
      <c r="V16" s="9"/>
      <c r="W16" s="9"/>
      <c r="X16" s="9"/>
      <c r="Y16" s="9"/>
      <c r="AC16" s="9"/>
      <c r="AD16" s="9"/>
      <c r="AE16" s="9"/>
      <c r="AF16" s="9"/>
      <c r="AJ16" s="9"/>
      <c r="AK16" s="9">
        <v>1</v>
      </c>
      <c r="AL16" s="9"/>
      <c r="AM16" s="9">
        <v>1</v>
      </c>
      <c r="AQ16" s="9"/>
      <c r="AR16" s="9"/>
      <c r="AS16" s="9"/>
      <c r="AT16" s="9"/>
      <c r="AX16" s="9"/>
      <c r="AY16" s="9"/>
      <c r="AZ16" s="9"/>
      <c r="BA16" s="9"/>
    </row>
    <row r="17" spans="2:53" hidden="1" outlineLevel="1">
      <c r="B17" t="s">
        <v>53</v>
      </c>
      <c r="C17" t="s">
        <v>60</v>
      </c>
      <c r="E17" s="8"/>
      <c r="F17" t="s">
        <v>61</v>
      </c>
      <c r="G17" s="9">
        <v>0.2</v>
      </c>
      <c r="I17" s="8">
        <f t="shared" si="1"/>
        <v>0</v>
      </c>
      <c r="J17" s="10" cm="1">
        <f t="array" ref="J17">MAX(IF($N$3:$CD$3=$J$3,N17:CD17))</f>
        <v>0</v>
      </c>
      <c r="K17" s="10" cm="1">
        <f t="array" ref="K17">MAX(IF($N$3:$CD$3=$J$3,N17:CD17))</f>
        <v>0</v>
      </c>
      <c r="L17" s="8"/>
      <c r="O17" s="9"/>
      <c r="P17" s="9"/>
      <c r="Q17" s="9"/>
      <c r="R17" s="9"/>
      <c r="V17" s="9"/>
      <c r="W17" s="9"/>
      <c r="X17" s="9"/>
      <c r="Y17" s="9"/>
      <c r="AC17" s="9"/>
      <c r="AD17" s="9"/>
      <c r="AE17" s="9"/>
      <c r="AF17" s="9"/>
      <c r="AJ17" s="9"/>
      <c r="AK17" s="9">
        <v>1</v>
      </c>
      <c r="AL17" s="9"/>
      <c r="AM17" s="9">
        <v>1</v>
      </c>
      <c r="AQ17" s="9"/>
      <c r="AR17" s="9"/>
      <c r="AS17" s="9"/>
      <c r="AT17" s="9"/>
      <c r="AX17" s="9"/>
      <c r="AY17" s="9"/>
      <c r="AZ17" s="9"/>
      <c r="BA17" s="9"/>
    </row>
    <row r="18" spans="2:53" hidden="1" outlineLevel="1">
      <c r="B18" t="s">
        <v>53</v>
      </c>
      <c r="C18" t="s">
        <v>60</v>
      </c>
      <c r="E18" s="8"/>
      <c r="F18" t="s">
        <v>62</v>
      </c>
      <c r="G18" s="9">
        <v>0.15</v>
      </c>
      <c r="I18" s="8">
        <f t="shared" si="1"/>
        <v>0</v>
      </c>
      <c r="J18" s="10" cm="1">
        <f t="array" ref="J18">MAX(IF($N$3:$CD$3=$J$3,N18:CD18))</f>
        <v>0</v>
      </c>
      <c r="K18" s="10" cm="1">
        <f t="array" ref="K18">MAX(IF($N$3:$CD$3=$J$3,N18:CD18))</f>
        <v>0</v>
      </c>
      <c r="L18" s="8"/>
      <c r="O18" s="9"/>
      <c r="P18" s="9"/>
      <c r="Q18" s="9"/>
      <c r="R18" s="9"/>
      <c r="V18" s="9"/>
      <c r="W18" s="9"/>
      <c r="X18" s="9"/>
      <c r="Y18" s="9"/>
      <c r="AC18" s="9"/>
      <c r="AD18" s="9"/>
      <c r="AE18" s="9"/>
      <c r="AF18" s="9"/>
      <c r="AJ18" s="9"/>
      <c r="AK18" s="9">
        <v>1</v>
      </c>
      <c r="AL18" s="9"/>
      <c r="AM18" s="9">
        <v>1</v>
      </c>
      <c r="AQ18" s="9"/>
      <c r="AR18" s="9"/>
      <c r="AS18" s="9"/>
      <c r="AT18" s="9"/>
      <c r="AX18" s="9"/>
      <c r="AY18" s="9"/>
      <c r="AZ18" s="9"/>
      <c r="BA18" s="9"/>
    </row>
    <row r="19" spans="2:53" hidden="1" outlineLevel="1">
      <c r="B19" t="s">
        <v>53</v>
      </c>
      <c r="C19" t="s">
        <v>60</v>
      </c>
      <c r="E19" s="8"/>
      <c r="F19" t="s">
        <v>63</v>
      </c>
      <c r="G19" s="9">
        <v>0.15</v>
      </c>
      <c r="I19" s="8">
        <f t="shared" si="1"/>
        <v>0</v>
      </c>
      <c r="J19" s="10" cm="1">
        <f t="array" ref="J19">MAX(IF($N$3:$CD$3=$J$3,N19:CD19))</f>
        <v>0</v>
      </c>
      <c r="K19" s="10" cm="1">
        <f t="array" ref="K19">MAX(IF($N$3:$CD$3=$J$3,N19:CD19))</f>
        <v>0</v>
      </c>
      <c r="L19" s="8"/>
      <c r="O19" s="9"/>
      <c r="P19" s="9"/>
      <c r="Q19" s="9"/>
      <c r="R19" s="9"/>
      <c r="V19" s="9"/>
      <c r="W19" s="9"/>
      <c r="X19" s="9"/>
      <c r="Y19" s="9"/>
      <c r="AC19" s="9"/>
      <c r="AD19" s="9"/>
      <c r="AE19" s="9"/>
      <c r="AF19" s="9"/>
      <c r="AJ19" s="9"/>
      <c r="AK19" s="9">
        <v>1</v>
      </c>
      <c r="AL19" s="9"/>
      <c r="AM19" s="9">
        <v>1</v>
      </c>
      <c r="AQ19" s="9"/>
      <c r="AR19" s="9"/>
      <c r="AS19" s="9"/>
      <c r="AT19" s="9"/>
      <c r="AX19" s="9"/>
      <c r="AY19" s="9"/>
      <c r="AZ19" s="9"/>
      <c r="BA19" s="9"/>
    </row>
    <row r="20" spans="2:53" hidden="1" outlineLevel="1">
      <c r="B20" t="s">
        <v>53</v>
      </c>
      <c r="C20" t="s">
        <v>60</v>
      </c>
      <c r="E20" s="8"/>
      <c r="F20" t="s">
        <v>64</v>
      </c>
      <c r="G20" s="9">
        <v>0.2</v>
      </c>
      <c r="I20" s="8">
        <f t="shared" si="1"/>
        <v>0</v>
      </c>
      <c r="J20" s="10" cm="1">
        <f t="array" ref="J20">MAX(IF($N$3:$CD$3=$J$3,N20:CD20))</f>
        <v>0</v>
      </c>
      <c r="K20" s="10" cm="1">
        <f t="array" ref="K20">MAX(IF($N$3:$CD$3=$J$3,N20:CD20))</f>
        <v>0</v>
      </c>
      <c r="L20" s="8"/>
      <c r="O20" s="9"/>
      <c r="P20" s="9"/>
      <c r="Q20" s="9"/>
      <c r="R20" s="9"/>
      <c r="V20" s="9"/>
      <c r="W20" s="9"/>
      <c r="X20" s="9"/>
      <c r="Y20" s="9"/>
      <c r="AC20" s="9"/>
      <c r="AD20" s="9"/>
      <c r="AE20" s="9"/>
      <c r="AF20" s="9"/>
      <c r="AJ20" s="9"/>
      <c r="AK20" s="9">
        <v>1</v>
      </c>
      <c r="AL20" s="9"/>
      <c r="AM20" s="9">
        <v>1</v>
      </c>
      <c r="AQ20" s="9"/>
      <c r="AR20" s="9"/>
      <c r="AS20" s="9"/>
      <c r="AT20" s="9"/>
      <c r="AX20" s="9"/>
      <c r="AY20" s="9"/>
      <c r="AZ20" s="9"/>
      <c r="BA20" s="9"/>
    </row>
    <row r="21" spans="2:53" hidden="1" outlineLevel="1">
      <c r="B21" t="s">
        <v>53</v>
      </c>
      <c r="C21" t="s">
        <v>60</v>
      </c>
      <c r="E21" s="8"/>
      <c r="F21" t="s">
        <v>65</v>
      </c>
      <c r="G21" s="9">
        <v>0.2</v>
      </c>
      <c r="I21" s="8">
        <f t="shared" si="1"/>
        <v>0</v>
      </c>
      <c r="J21" s="10" cm="1">
        <f t="array" ref="J21">MAX(IF($N$3:$CD$3=$J$3,N21:CD21))</f>
        <v>0</v>
      </c>
      <c r="K21" s="10" cm="1">
        <f t="array" ref="K21">MAX(IF($N$3:$CD$3=$J$3,N21:CD21))</f>
        <v>0</v>
      </c>
      <c r="L21" s="8"/>
      <c r="O21" s="9"/>
      <c r="P21" s="9"/>
      <c r="Q21" s="9"/>
      <c r="R21" s="9"/>
      <c r="V21" s="9"/>
      <c r="W21" s="9"/>
      <c r="X21" s="9"/>
      <c r="Y21" s="9"/>
      <c r="AC21" s="9"/>
      <c r="AD21" s="9"/>
      <c r="AE21" s="9"/>
      <c r="AF21" s="9"/>
      <c r="AJ21" s="9"/>
      <c r="AK21" s="9">
        <v>1</v>
      </c>
      <c r="AL21" s="9"/>
      <c r="AM21" s="9">
        <v>1</v>
      </c>
      <c r="AQ21" s="9"/>
      <c r="AR21" s="9"/>
      <c r="AS21" s="9"/>
      <c r="AT21" s="9"/>
      <c r="AX21" s="9"/>
      <c r="AY21" s="9"/>
      <c r="AZ21" s="9"/>
      <c r="BA21" s="9"/>
    </row>
    <row r="22" spans="2:53" collapsed="1"/>
    <row r="23" spans="2:53" hidden="1" outlineLevel="1">
      <c r="B23" t="s">
        <v>40</v>
      </c>
      <c r="C23" t="s">
        <v>66</v>
      </c>
      <c r="D23" s="18">
        <v>44621</v>
      </c>
      <c r="E23" s="8">
        <v>12</v>
      </c>
      <c r="G23" s="9">
        <f>+SUM(G24:G34)</f>
        <v>0.94999999999999984</v>
      </c>
      <c r="I23" s="11">
        <f>+SUM(I24:I34)</f>
        <v>0</v>
      </c>
      <c r="J23" s="10">
        <f>+SUMPRODUCT(G24:G34,J24:J34)</f>
        <v>0</v>
      </c>
      <c r="K23" s="10">
        <f>+SUMPRODUCT(G24:G34,K24:K34)</f>
        <v>0</v>
      </c>
      <c r="L23" s="8"/>
      <c r="N23" s="11">
        <f>+SUM(N24:N34)</f>
        <v>0</v>
      </c>
      <c r="U23" s="11">
        <f>+SUM(U24:U34)</f>
        <v>0</v>
      </c>
      <c r="AB23" s="11">
        <f>+SUM(AB24:AB34)</f>
        <v>0</v>
      </c>
      <c r="AI23" s="11">
        <f>+SUM(AI24:AI34)</f>
        <v>0</v>
      </c>
    </row>
    <row r="24" spans="2:53" hidden="1" outlineLevel="1">
      <c r="B24" t="s">
        <v>53</v>
      </c>
      <c r="C24" t="s">
        <v>67</v>
      </c>
      <c r="E24" s="8"/>
      <c r="F24" t="s">
        <v>54</v>
      </c>
      <c r="G24" s="9">
        <v>0.1</v>
      </c>
      <c r="I24" s="8">
        <f t="shared" ref="I24:I34" si="2">+SUMIF($N$3:$XV$3,I$3,$N24:$XV24)</f>
        <v>0</v>
      </c>
      <c r="J24" s="10" cm="1">
        <f t="array" ref="J24">MAX(IF($N$3:$CD$3=$J$3,N24:CD24))</f>
        <v>0</v>
      </c>
      <c r="K24" s="10" cm="1">
        <f t="array" ref="K24">MAX(IF($N$3:$CD$3=$J$3,N24:CD24))</f>
        <v>0</v>
      </c>
      <c r="L24" s="8"/>
      <c r="O24" s="9"/>
      <c r="P24" s="9">
        <v>0.8</v>
      </c>
      <c r="Q24" s="9"/>
      <c r="R24" s="9">
        <v>0.8</v>
      </c>
      <c r="V24" s="9"/>
      <c r="W24" s="9">
        <v>1</v>
      </c>
      <c r="X24" s="9"/>
      <c r="Y24" s="9">
        <v>1</v>
      </c>
      <c r="AC24" s="9"/>
      <c r="AD24" s="9">
        <v>1</v>
      </c>
      <c r="AE24" s="9"/>
      <c r="AF24" s="9">
        <v>1</v>
      </c>
      <c r="AJ24" s="9"/>
      <c r="AK24" s="9">
        <v>1</v>
      </c>
      <c r="AL24" s="9"/>
      <c r="AM24" s="9">
        <v>1</v>
      </c>
      <c r="AQ24" s="9"/>
      <c r="AR24" s="9"/>
      <c r="AS24" s="9"/>
      <c r="AT24" s="9"/>
      <c r="AX24" s="9"/>
      <c r="AY24" s="9">
        <v>1</v>
      </c>
      <c r="AZ24" s="9"/>
      <c r="BA24" s="9">
        <v>1</v>
      </c>
    </row>
    <row r="25" spans="2:53" hidden="1" outlineLevel="1">
      <c r="B25" t="s">
        <v>53</v>
      </c>
      <c r="C25" t="s">
        <v>67</v>
      </c>
      <c r="E25" s="8"/>
      <c r="F25" t="s">
        <v>55</v>
      </c>
      <c r="G25" s="9">
        <v>0.05</v>
      </c>
      <c r="I25" s="8">
        <f t="shared" si="2"/>
        <v>0</v>
      </c>
      <c r="J25" s="10" cm="1">
        <f t="array" ref="J25">MAX(IF($N$3:$CD$3=$J$3,N25:CD25))</f>
        <v>0</v>
      </c>
      <c r="K25" s="10" cm="1">
        <f t="array" ref="K25">MAX(IF($N$3:$CD$3=$J$3,N25:CD25))</f>
        <v>0</v>
      </c>
      <c r="L25" s="8"/>
      <c r="O25" s="9"/>
      <c r="P25" s="9">
        <v>0.8</v>
      </c>
      <c r="Q25" s="9"/>
      <c r="R25" s="9">
        <v>0.8</v>
      </c>
      <c r="V25" s="9"/>
      <c r="W25" s="9">
        <v>1</v>
      </c>
      <c r="X25" s="9"/>
      <c r="Y25" s="9">
        <v>1</v>
      </c>
      <c r="AC25" s="9"/>
      <c r="AD25" s="9">
        <v>1</v>
      </c>
      <c r="AE25" s="9"/>
      <c r="AF25" s="9">
        <v>1</v>
      </c>
      <c r="AJ25" s="9"/>
      <c r="AK25" s="9">
        <v>1</v>
      </c>
      <c r="AL25" s="9"/>
      <c r="AM25" s="9">
        <v>1</v>
      </c>
      <c r="AQ25" s="9"/>
      <c r="AR25" s="9"/>
      <c r="AS25" s="9"/>
      <c r="AT25" s="9"/>
      <c r="AX25" s="9"/>
      <c r="AY25" s="9">
        <v>1</v>
      </c>
      <c r="AZ25" s="9"/>
      <c r="BA25" s="9">
        <v>1</v>
      </c>
    </row>
    <row r="26" spans="2:53" hidden="1" outlineLevel="1">
      <c r="B26" t="s">
        <v>53</v>
      </c>
      <c r="C26" t="s">
        <v>67</v>
      </c>
      <c r="E26" s="8"/>
      <c r="F26" t="s">
        <v>56</v>
      </c>
      <c r="G26" s="9">
        <v>0.05</v>
      </c>
      <c r="I26" s="8">
        <f t="shared" si="2"/>
        <v>0</v>
      </c>
      <c r="J26" s="10" cm="1">
        <f t="array" ref="J26">MAX(IF($N$3:$CD$3=$J$3,N26:CD26))</f>
        <v>0</v>
      </c>
      <c r="K26" s="10" cm="1">
        <f t="array" ref="K26">MAX(IF($N$3:$CD$3=$J$3,N26:CD26))</f>
        <v>0</v>
      </c>
      <c r="L26" s="8"/>
      <c r="O26" s="9"/>
      <c r="P26" s="9">
        <v>0.5</v>
      </c>
      <c r="Q26" s="9"/>
      <c r="R26" s="9">
        <v>0.5</v>
      </c>
      <c r="V26" s="9"/>
      <c r="W26" s="9">
        <v>0.8</v>
      </c>
      <c r="X26" s="9"/>
      <c r="Y26" s="9">
        <v>0.8</v>
      </c>
      <c r="AC26" s="9"/>
      <c r="AD26" s="9">
        <v>1</v>
      </c>
      <c r="AE26" s="9"/>
      <c r="AF26" s="9">
        <v>1</v>
      </c>
      <c r="AJ26" s="9"/>
      <c r="AK26" s="9">
        <v>1</v>
      </c>
      <c r="AL26" s="9"/>
      <c r="AM26" s="9">
        <v>1</v>
      </c>
      <c r="AQ26" s="9"/>
      <c r="AR26" s="9"/>
      <c r="AS26" s="9"/>
      <c r="AT26" s="9"/>
      <c r="AX26" s="9"/>
      <c r="AY26" s="9">
        <v>1</v>
      </c>
      <c r="AZ26" s="9"/>
      <c r="BA26" s="9">
        <v>1</v>
      </c>
    </row>
    <row r="27" spans="2:53" hidden="1" outlineLevel="1">
      <c r="B27" t="s">
        <v>53</v>
      </c>
      <c r="C27" t="s">
        <v>67</v>
      </c>
      <c r="E27" s="8"/>
      <c r="F27" t="s">
        <v>58</v>
      </c>
      <c r="G27" s="9">
        <v>0.05</v>
      </c>
      <c r="I27" s="8">
        <f t="shared" si="2"/>
        <v>0</v>
      </c>
      <c r="J27" s="10" cm="1">
        <f t="array" ref="J27">MAX(IF($N$3:$CD$3=$J$3,N27:CD27))</f>
        <v>0</v>
      </c>
      <c r="K27" s="10" cm="1">
        <f t="array" ref="K27">MAX(IF($N$3:$CD$3=$J$3,N27:CD27))</f>
        <v>0</v>
      </c>
      <c r="L27" s="8"/>
      <c r="O27" s="9"/>
      <c r="P27" s="9">
        <v>0.5</v>
      </c>
      <c r="Q27" s="9"/>
      <c r="R27" s="9">
        <v>0.5</v>
      </c>
      <c r="V27" s="9"/>
      <c r="W27" s="9">
        <v>0.8</v>
      </c>
      <c r="X27" s="9"/>
      <c r="Y27" s="9">
        <v>0.8</v>
      </c>
      <c r="AC27" s="9"/>
      <c r="AD27" s="9">
        <v>1</v>
      </c>
      <c r="AE27" s="9"/>
      <c r="AF27" s="9">
        <v>1</v>
      </c>
      <c r="AJ27" s="9"/>
      <c r="AK27" s="9">
        <v>1</v>
      </c>
      <c r="AL27" s="9"/>
      <c r="AM27" s="9">
        <v>1</v>
      </c>
      <c r="AQ27" s="9"/>
      <c r="AR27" s="9"/>
      <c r="AS27" s="9"/>
      <c r="AT27" s="9"/>
      <c r="AX27" s="9"/>
      <c r="AY27" s="9">
        <v>1</v>
      </c>
      <c r="AZ27" s="9"/>
      <c r="BA27" s="9">
        <v>1</v>
      </c>
    </row>
    <row r="28" spans="2:53" hidden="1" outlineLevel="1">
      <c r="B28" t="s">
        <v>53</v>
      </c>
      <c r="C28" t="s">
        <v>67</v>
      </c>
      <c r="E28" s="8"/>
      <c r="F28" t="s">
        <v>59</v>
      </c>
      <c r="G28" s="9">
        <v>0.1</v>
      </c>
      <c r="I28" s="8">
        <f t="shared" si="2"/>
        <v>0</v>
      </c>
      <c r="J28" s="10" cm="1">
        <f t="array" ref="J28">MAX(IF($N$3:$CD$3=$J$3,N28:CD28))</f>
        <v>0</v>
      </c>
      <c r="K28" s="10" cm="1">
        <f t="array" ref="K28">MAX(IF($N$3:$CD$3=$J$3,N28:CD28))</f>
        <v>0</v>
      </c>
      <c r="L28" s="8"/>
      <c r="O28" s="9"/>
      <c r="P28" s="9">
        <v>0.3</v>
      </c>
      <c r="Q28" s="9"/>
      <c r="R28" s="9">
        <v>0.3</v>
      </c>
      <c r="V28" s="9"/>
      <c r="W28" s="9">
        <v>0.5</v>
      </c>
      <c r="X28" s="9"/>
      <c r="Y28" s="9">
        <v>0.5</v>
      </c>
      <c r="AC28" s="9"/>
      <c r="AD28" s="9">
        <v>0.8</v>
      </c>
      <c r="AE28" s="9"/>
      <c r="AF28" s="9">
        <v>0.8</v>
      </c>
      <c r="AJ28" s="9"/>
      <c r="AK28" s="9">
        <v>1</v>
      </c>
      <c r="AL28" s="9"/>
      <c r="AM28" s="9">
        <v>1</v>
      </c>
      <c r="AQ28" s="9"/>
      <c r="AR28" s="9"/>
      <c r="AS28" s="9"/>
      <c r="AT28" s="9"/>
      <c r="AX28" s="9"/>
      <c r="AY28" s="9">
        <v>1</v>
      </c>
      <c r="AZ28" s="9"/>
      <c r="BA28" s="9">
        <v>1</v>
      </c>
    </row>
    <row r="29" spans="2:53" hidden="1" outlineLevel="1">
      <c r="B29" t="s">
        <v>53</v>
      </c>
      <c r="C29" t="s">
        <v>67</v>
      </c>
      <c r="E29" s="8"/>
      <c r="F29" t="s">
        <v>68</v>
      </c>
      <c r="G29" s="9">
        <v>0.1</v>
      </c>
      <c r="I29" s="8">
        <f t="shared" si="2"/>
        <v>0</v>
      </c>
      <c r="J29" s="10" cm="1">
        <f t="array" ref="J29">MAX(IF($N$3:$CD$3=$J$3,N29:CD29))</f>
        <v>0</v>
      </c>
      <c r="K29" s="10" cm="1">
        <f t="array" ref="K29">MAX(IF($N$3:$CD$3=$J$3,N29:CD29))</f>
        <v>0</v>
      </c>
      <c r="L29" s="8"/>
      <c r="O29" s="9"/>
      <c r="P29" s="9">
        <v>0.3</v>
      </c>
      <c r="Q29" s="9"/>
      <c r="R29" s="9">
        <v>0.3</v>
      </c>
      <c r="V29" s="9"/>
      <c r="W29" s="9">
        <v>0.5</v>
      </c>
      <c r="X29" s="9"/>
      <c r="Y29" s="9">
        <v>0.5</v>
      </c>
      <c r="AC29" s="9"/>
      <c r="AD29" s="9">
        <v>0.8</v>
      </c>
      <c r="AE29" s="9"/>
      <c r="AF29" s="9">
        <v>0.8</v>
      </c>
      <c r="AJ29" s="9"/>
      <c r="AK29" s="9">
        <v>1</v>
      </c>
      <c r="AL29" s="9"/>
      <c r="AM29" s="9">
        <v>1</v>
      </c>
      <c r="AQ29" s="9"/>
      <c r="AR29" s="9"/>
      <c r="AS29" s="9"/>
      <c r="AT29" s="9"/>
      <c r="AX29" s="9"/>
      <c r="AY29" s="9">
        <v>1</v>
      </c>
      <c r="AZ29" s="9"/>
      <c r="BA29" s="9">
        <v>1</v>
      </c>
    </row>
    <row r="30" spans="2:53" hidden="1" outlineLevel="1">
      <c r="B30" t="s">
        <v>53</v>
      </c>
      <c r="C30" t="s">
        <v>67</v>
      </c>
      <c r="E30" s="8"/>
      <c r="F30" t="s">
        <v>69</v>
      </c>
      <c r="G30" s="9">
        <v>0.1</v>
      </c>
      <c r="I30" s="8">
        <f t="shared" si="2"/>
        <v>0</v>
      </c>
      <c r="J30" s="10" cm="1">
        <f t="array" ref="J30">MAX(IF($N$3:$CD$3=$J$3,N30:CD30))</f>
        <v>0</v>
      </c>
      <c r="K30" s="10" cm="1">
        <f t="array" ref="K30">MAX(IF($N$3:$CD$3=$J$3,N30:CD30))</f>
        <v>0</v>
      </c>
      <c r="L30" s="8"/>
      <c r="O30" s="9"/>
      <c r="P30" s="9"/>
      <c r="Q30" s="9"/>
      <c r="R30" s="9"/>
      <c r="V30" s="9"/>
      <c r="W30" s="9">
        <v>0.5</v>
      </c>
      <c r="X30" s="9"/>
      <c r="Y30" s="9">
        <v>0.5</v>
      </c>
      <c r="AC30" s="9"/>
      <c r="AD30" s="9">
        <v>0.8</v>
      </c>
      <c r="AE30" s="9"/>
      <c r="AF30" s="9">
        <v>0.8</v>
      </c>
      <c r="AJ30" s="9"/>
      <c r="AK30" s="9">
        <v>1</v>
      </c>
      <c r="AL30" s="9"/>
      <c r="AM30" s="9">
        <v>1</v>
      </c>
      <c r="AQ30" s="9"/>
      <c r="AR30" s="9"/>
      <c r="AS30" s="9"/>
      <c r="AT30" s="9"/>
      <c r="AX30" s="9"/>
      <c r="AY30" s="9">
        <v>1</v>
      </c>
      <c r="AZ30" s="9"/>
      <c r="BA30" s="9">
        <v>1</v>
      </c>
    </row>
    <row r="31" spans="2:53" hidden="1" outlineLevel="1">
      <c r="B31" t="s">
        <v>53</v>
      </c>
      <c r="C31" t="s">
        <v>67</v>
      </c>
      <c r="E31" s="8"/>
      <c r="F31" t="s">
        <v>70</v>
      </c>
      <c r="G31" s="9">
        <v>0.1</v>
      </c>
      <c r="I31" s="8">
        <f t="shared" si="2"/>
        <v>0</v>
      </c>
      <c r="J31" s="10" cm="1">
        <f t="array" ref="J31">MAX(IF($N$3:$CD$3=$J$3,N31:CD31))</f>
        <v>0</v>
      </c>
      <c r="K31" s="10" cm="1">
        <f t="array" ref="K31">MAX(IF($N$3:$CD$3=$J$3,N31:CD31))</f>
        <v>0</v>
      </c>
      <c r="L31" s="8"/>
      <c r="O31" s="9"/>
      <c r="P31" s="9"/>
      <c r="Q31" s="9"/>
      <c r="R31" s="9"/>
      <c r="V31" s="9"/>
      <c r="W31" s="9">
        <v>0.5</v>
      </c>
      <c r="X31" s="9"/>
      <c r="Y31" s="9">
        <v>0.5</v>
      </c>
      <c r="AC31" s="9"/>
      <c r="AD31" s="9">
        <v>0.8</v>
      </c>
      <c r="AE31" s="9"/>
      <c r="AF31" s="9">
        <v>0.8</v>
      </c>
      <c r="AJ31" s="9"/>
      <c r="AK31" s="9">
        <v>1</v>
      </c>
      <c r="AL31" s="9"/>
      <c r="AM31" s="9">
        <v>1</v>
      </c>
      <c r="AQ31" s="9"/>
      <c r="AR31" s="9"/>
      <c r="AS31" s="9"/>
      <c r="AT31" s="9"/>
      <c r="AX31" s="9"/>
      <c r="AY31" s="9">
        <v>1</v>
      </c>
      <c r="AZ31" s="9"/>
      <c r="BA31" s="9">
        <v>1</v>
      </c>
    </row>
    <row r="32" spans="2:53" hidden="1" outlineLevel="1">
      <c r="B32" t="s">
        <v>53</v>
      </c>
      <c r="C32" t="s">
        <v>67</v>
      </c>
      <c r="E32" s="8"/>
      <c r="F32" t="s">
        <v>71</v>
      </c>
      <c r="G32" s="9">
        <v>0.1</v>
      </c>
      <c r="I32" s="8">
        <f t="shared" si="2"/>
        <v>0</v>
      </c>
      <c r="J32" s="10" cm="1">
        <f t="array" ref="J32">MAX(IF($N$3:$CD$3=$J$3,N32:CD32))</f>
        <v>0</v>
      </c>
      <c r="K32" s="10" cm="1">
        <f t="array" ref="K32">MAX(IF($N$3:$CD$3=$J$3,N32:CD32))</f>
        <v>0</v>
      </c>
      <c r="L32" s="8"/>
      <c r="O32" s="9"/>
      <c r="P32" s="9"/>
      <c r="Q32" s="9"/>
      <c r="R32" s="9"/>
      <c r="V32" s="9"/>
      <c r="W32" s="9">
        <v>0.3</v>
      </c>
      <c r="X32" s="9"/>
      <c r="Y32" s="9">
        <v>0.3</v>
      </c>
      <c r="AC32" s="9"/>
      <c r="AD32" s="9">
        <v>0.5</v>
      </c>
      <c r="AE32" s="9"/>
      <c r="AF32" s="9">
        <v>0.5</v>
      </c>
      <c r="AJ32" s="9"/>
      <c r="AK32" s="9">
        <v>1</v>
      </c>
      <c r="AL32" s="9"/>
      <c r="AM32" s="9">
        <v>1</v>
      </c>
      <c r="AQ32" s="9"/>
      <c r="AR32" s="9"/>
      <c r="AS32" s="9"/>
      <c r="AT32" s="9"/>
      <c r="AX32" s="9"/>
      <c r="AY32" s="9">
        <v>1</v>
      </c>
      <c r="AZ32" s="9"/>
      <c r="BA32" s="9">
        <v>1</v>
      </c>
    </row>
    <row r="33" spans="2:53" hidden="1" outlineLevel="1">
      <c r="B33" t="s">
        <v>53</v>
      </c>
      <c r="C33" t="s">
        <v>67</v>
      </c>
      <c r="E33" s="8"/>
      <c r="F33" t="s">
        <v>72</v>
      </c>
      <c r="G33" s="9">
        <v>0.1</v>
      </c>
      <c r="I33" s="8">
        <f t="shared" si="2"/>
        <v>0</v>
      </c>
      <c r="J33" s="10" cm="1">
        <f t="array" ref="J33">MAX(IF($N$3:$CD$3=$J$3,N33:CD33))</f>
        <v>0</v>
      </c>
      <c r="K33" s="10" cm="1">
        <f t="array" ref="K33">MAX(IF($N$3:$CD$3=$J$3,N33:CD33))</f>
        <v>0</v>
      </c>
      <c r="L33" s="8"/>
      <c r="O33" s="9"/>
      <c r="P33" s="9"/>
      <c r="Q33" s="9"/>
      <c r="R33" s="9"/>
      <c r="V33" s="9"/>
      <c r="W33" s="9"/>
      <c r="X33" s="9"/>
      <c r="Y33" s="9"/>
      <c r="AC33" s="9"/>
      <c r="AD33" s="9">
        <v>0.5</v>
      </c>
      <c r="AE33" s="9"/>
      <c r="AF33" s="9">
        <v>0.5</v>
      </c>
      <c r="AJ33" s="9"/>
      <c r="AK33" s="9">
        <v>1</v>
      </c>
      <c r="AL33" s="9"/>
      <c r="AM33" s="9">
        <v>1</v>
      </c>
      <c r="AQ33" s="9"/>
      <c r="AR33" s="9"/>
      <c r="AS33" s="9"/>
      <c r="AT33" s="9"/>
      <c r="AX33" s="9"/>
      <c r="AY33" s="9">
        <v>1</v>
      </c>
      <c r="AZ33" s="9"/>
      <c r="BA33" s="9">
        <v>1</v>
      </c>
    </row>
    <row r="34" spans="2:53" hidden="1" outlineLevel="1">
      <c r="B34" t="s">
        <v>53</v>
      </c>
      <c r="C34" t="s">
        <v>67</v>
      </c>
      <c r="E34" s="8"/>
      <c r="F34" t="s">
        <v>73</v>
      </c>
      <c r="G34" s="9">
        <v>0.1</v>
      </c>
      <c r="I34" s="8">
        <f t="shared" si="2"/>
        <v>0</v>
      </c>
      <c r="J34" s="10" cm="1">
        <f t="array" ref="J34">MAX(IF($N$3:$CD$3=$J$3,N34:CD34))</f>
        <v>0</v>
      </c>
      <c r="K34" s="10" cm="1">
        <f t="array" ref="K34">MAX(IF($N$3:$CD$3=$J$3,N34:CD34))</f>
        <v>0</v>
      </c>
      <c r="L34" s="8"/>
      <c r="O34" s="9"/>
      <c r="P34" s="9"/>
      <c r="Q34" s="9"/>
      <c r="R34" s="9"/>
      <c r="V34" s="9"/>
      <c r="W34" s="9"/>
      <c r="X34" s="9"/>
      <c r="Y34" s="9"/>
      <c r="AC34" s="9"/>
      <c r="AD34" s="9">
        <v>0.5</v>
      </c>
      <c r="AE34" s="9"/>
      <c r="AF34" s="9">
        <v>0.5</v>
      </c>
      <c r="AJ34" s="9"/>
      <c r="AK34" s="9">
        <v>1</v>
      </c>
      <c r="AL34" s="9"/>
      <c r="AM34" s="9">
        <v>1</v>
      </c>
      <c r="AQ34" s="9"/>
      <c r="AR34" s="9"/>
      <c r="AS34" s="9"/>
      <c r="AT34" s="9"/>
      <c r="AX34" s="9"/>
      <c r="AY34" s="9">
        <v>1</v>
      </c>
      <c r="AZ34" s="9"/>
      <c r="BA34" s="9">
        <v>1</v>
      </c>
    </row>
    <row r="35" spans="2:53" collapsed="1"/>
    <row r="36" spans="2:53" hidden="1" outlineLevel="1">
      <c r="B36" t="s">
        <v>40</v>
      </c>
      <c r="C36" t="s">
        <v>74</v>
      </c>
      <c r="D36" s="18">
        <v>44661</v>
      </c>
      <c r="E36" s="8">
        <v>12</v>
      </c>
      <c r="G36" s="9">
        <f>+SUM(G37:G43)</f>
        <v>0.64999999999999991</v>
      </c>
      <c r="I36" s="11">
        <f>+SUM(I37:I43)</f>
        <v>0</v>
      </c>
      <c r="J36" s="10">
        <f>+SUMPRODUCT(G37:G43,J37:J43)</f>
        <v>0</v>
      </c>
      <c r="K36" s="10">
        <f>+SUMPRODUCT(G37:G43,K37:K43)</f>
        <v>0</v>
      </c>
      <c r="L36" s="8"/>
      <c r="N36" s="11">
        <f>+SUM(N37:N43)</f>
        <v>0</v>
      </c>
      <c r="U36" s="11">
        <f>+SUM(U37:U43)</f>
        <v>0</v>
      </c>
      <c r="AB36" s="11">
        <f>+SUM(AB37:AB43)</f>
        <v>0</v>
      </c>
      <c r="AI36" s="11">
        <f>+SUM(AI37:AI43)</f>
        <v>0</v>
      </c>
    </row>
    <row r="37" spans="2:53" hidden="1" outlineLevel="1">
      <c r="B37" t="s">
        <v>53</v>
      </c>
      <c r="C37" t="s">
        <v>74</v>
      </c>
      <c r="E37" s="8"/>
      <c r="F37" t="s">
        <v>54</v>
      </c>
      <c r="G37" s="9">
        <v>0.1</v>
      </c>
      <c r="I37" s="8">
        <f t="shared" ref="I37:I43" si="3">+SUMIF($N$3:$XV$3,I$3,$N37:$XV37)</f>
        <v>0</v>
      </c>
      <c r="J37" s="10" cm="1">
        <f t="array" ref="J37">MAX(IF($N$3:$CD$3=$J$3,N37:CD37))</f>
        <v>0</v>
      </c>
      <c r="K37" s="10" cm="1">
        <f t="array" ref="K37">MAX(IF($N$3:$CD$3=$J$3,N37:CD37))</f>
        <v>0</v>
      </c>
      <c r="L37" s="8"/>
      <c r="O37" s="9"/>
      <c r="P37" s="9">
        <v>0.8</v>
      </c>
      <c r="Q37" s="9"/>
      <c r="R37" s="9">
        <v>0.8</v>
      </c>
      <c r="V37" s="9"/>
      <c r="W37" s="9">
        <v>1</v>
      </c>
      <c r="X37" s="9"/>
      <c r="Y37" s="9">
        <v>1</v>
      </c>
      <c r="AC37" s="9"/>
      <c r="AD37" s="9">
        <v>1</v>
      </c>
      <c r="AE37" s="9"/>
      <c r="AF37" s="9">
        <v>1</v>
      </c>
      <c r="AJ37" s="9"/>
      <c r="AK37" s="9">
        <v>1</v>
      </c>
      <c r="AL37" s="9"/>
      <c r="AM37" s="9">
        <v>1</v>
      </c>
      <c r="AQ37" s="9"/>
      <c r="AR37" s="9"/>
      <c r="AS37" s="9"/>
      <c r="AT37" s="9"/>
      <c r="AX37" s="9"/>
      <c r="AY37" s="9"/>
      <c r="AZ37" s="9"/>
      <c r="BA37" s="9"/>
    </row>
    <row r="38" spans="2:53" hidden="1" outlineLevel="1">
      <c r="B38" t="s">
        <v>53</v>
      </c>
      <c r="C38" t="s">
        <v>74</v>
      </c>
      <c r="E38" s="8"/>
      <c r="F38" t="s">
        <v>75</v>
      </c>
      <c r="G38" s="9">
        <v>0.05</v>
      </c>
      <c r="I38" s="8">
        <f t="shared" si="3"/>
        <v>0</v>
      </c>
      <c r="J38" s="10" cm="1">
        <f t="array" ref="J38">MAX(IF($N$3:$CD$3=$J$3,N38:CD38))</f>
        <v>0</v>
      </c>
      <c r="K38" s="10" cm="1">
        <f t="array" ref="K38">MAX(IF($N$3:$CD$3=$J$3,N38:CD38))</f>
        <v>0</v>
      </c>
      <c r="L38" s="8"/>
      <c r="O38" s="9"/>
      <c r="P38" s="9">
        <v>0.8</v>
      </c>
      <c r="Q38" s="9"/>
      <c r="R38" s="9">
        <v>0.8</v>
      </c>
      <c r="V38" s="9"/>
      <c r="W38" s="9">
        <v>1</v>
      </c>
      <c r="X38" s="9"/>
      <c r="Y38" s="9">
        <v>1</v>
      </c>
      <c r="AC38" s="9"/>
      <c r="AD38" s="9">
        <v>1</v>
      </c>
      <c r="AE38" s="9"/>
      <c r="AF38" s="9">
        <v>1</v>
      </c>
      <c r="AJ38" s="9"/>
      <c r="AK38" s="9">
        <v>1</v>
      </c>
      <c r="AL38" s="9"/>
      <c r="AM38" s="9">
        <v>1</v>
      </c>
      <c r="AQ38" s="9"/>
      <c r="AR38" s="9"/>
      <c r="AS38" s="9"/>
      <c r="AT38" s="9"/>
      <c r="AX38" s="9"/>
      <c r="AY38" s="9"/>
      <c r="AZ38" s="9"/>
      <c r="BA38" s="9"/>
    </row>
    <row r="39" spans="2:53" hidden="1" outlineLevel="1">
      <c r="B39" t="s">
        <v>53</v>
      </c>
      <c r="C39" t="s">
        <v>74</v>
      </c>
      <c r="E39" s="8"/>
      <c r="F39" t="s">
        <v>69</v>
      </c>
      <c r="G39" s="9">
        <v>0.1</v>
      </c>
      <c r="I39" s="8">
        <f t="shared" si="3"/>
        <v>0</v>
      </c>
      <c r="J39" s="10" cm="1">
        <f t="array" ref="J39">MAX(IF($N$3:$CD$3=$J$3,N39:CD39))</f>
        <v>0</v>
      </c>
      <c r="K39" s="10" cm="1">
        <f t="array" ref="K39">MAX(IF($N$3:$CD$3=$J$3,N39:CD39))</f>
        <v>0</v>
      </c>
      <c r="L39" s="8"/>
      <c r="O39" s="9"/>
      <c r="P39" s="9"/>
      <c r="Q39" s="9"/>
      <c r="R39" s="9"/>
      <c r="V39" s="9"/>
      <c r="W39" s="9">
        <v>0.5</v>
      </c>
      <c r="X39" s="9"/>
      <c r="Y39" s="9">
        <v>0.5</v>
      </c>
      <c r="AC39" s="9"/>
      <c r="AD39" s="9">
        <v>0.8</v>
      </c>
      <c r="AE39" s="9"/>
      <c r="AF39" s="9">
        <v>0.8</v>
      </c>
      <c r="AJ39" s="9"/>
      <c r="AK39" s="9">
        <v>1</v>
      </c>
      <c r="AL39" s="9"/>
      <c r="AM39" s="9">
        <v>1</v>
      </c>
      <c r="AQ39" s="9"/>
      <c r="AR39" s="9"/>
      <c r="AS39" s="9"/>
      <c r="AT39" s="9"/>
      <c r="AX39" s="9"/>
      <c r="AY39" s="9"/>
      <c r="AZ39" s="9"/>
      <c r="BA39" s="9"/>
    </row>
    <row r="40" spans="2:53" hidden="1" outlineLevel="1">
      <c r="B40" t="s">
        <v>53</v>
      </c>
      <c r="C40" t="s">
        <v>74</v>
      </c>
      <c r="E40" s="8"/>
      <c r="F40" t="s">
        <v>70</v>
      </c>
      <c r="G40" s="9">
        <v>0.1</v>
      </c>
      <c r="I40" s="8">
        <f t="shared" si="3"/>
        <v>0</v>
      </c>
      <c r="J40" s="10" cm="1">
        <f t="array" ref="J40">MAX(IF($N$3:$CD$3=$J$3,N40:CD40))</f>
        <v>0</v>
      </c>
      <c r="K40" s="10" cm="1">
        <f t="array" ref="K40">MAX(IF($N$3:$CD$3=$J$3,N40:CD40))</f>
        <v>0</v>
      </c>
      <c r="L40" s="8"/>
      <c r="O40" s="9"/>
      <c r="P40" s="9"/>
      <c r="Q40" s="9"/>
      <c r="R40" s="9"/>
      <c r="V40" s="9"/>
      <c r="W40" s="9">
        <v>0.5</v>
      </c>
      <c r="X40" s="9"/>
      <c r="Y40" s="9">
        <v>0.5</v>
      </c>
      <c r="AC40" s="9"/>
      <c r="AD40" s="9">
        <v>0.8</v>
      </c>
      <c r="AE40" s="9"/>
      <c r="AF40" s="9">
        <v>0.8</v>
      </c>
      <c r="AJ40" s="9"/>
      <c r="AK40" s="9">
        <v>1</v>
      </c>
      <c r="AL40" s="9"/>
      <c r="AM40" s="9">
        <v>1</v>
      </c>
      <c r="AQ40" s="9"/>
      <c r="AR40" s="9"/>
      <c r="AS40" s="9"/>
      <c r="AT40" s="9"/>
      <c r="AX40" s="9"/>
      <c r="AY40" s="9"/>
      <c r="AZ40" s="9"/>
      <c r="BA40" s="9"/>
    </row>
    <row r="41" spans="2:53" hidden="1" outlineLevel="1">
      <c r="B41" t="s">
        <v>53</v>
      </c>
      <c r="C41" t="s">
        <v>74</v>
      </c>
      <c r="E41" s="8"/>
      <c r="F41" t="s">
        <v>71</v>
      </c>
      <c r="G41" s="9">
        <v>0.1</v>
      </c>
      <c r="I41" s="8">
        <f t="shared" si="3"/>
        <v>0</v>
      </c>
      <c r="J41" s="10" cm="1">
        <f t="array" ref="J41">MAX(IF($N$3:$CD$3=$J$3,N41:CD41))</f>
        <v>0</v>
      </c>
      <c r="K41" s="10" cm="1">
        <f t="array" ref="K41">MAX(IF($N$3:$CD$3=$J$3,N41:CD41))</f>
        <v>0</v>
      </c>
      <c r="L41" s="8"/>
      <c r="O41" s="9"/>
      <c r="P41" s="9"/>
      <c r="Q41" s="9"/>
      <c r="R41" s="9"/>
      <c r="V41" s="9"/>
      <c r="W41" s="9">
        <v>0.3</v>
      </c>
      <c r="X41" s="9"/>
      <c r="Y41" s="9">
        <v>0.3</v>
      </c>
      <c r="AC41" s="9"/>
      <c r="AD41" s="9">
        <v>0.5</v>
      </c>
      <c r="AE41" s="9"/>
      <c r="AF41" s="9">
        <v>0.5</v>
      </c>
      <c r="AJ41" s="9"/>
      <c r="AK41" s="9">
        <v>1</v>
      </c>
      <c r="AL41" s="9"/>
      <c r="AM41" s="9">
        <v>1</v>
      </c>
      <c r="AQ41" s="9"/>
      <c r="AR41" s="9"/>
      <c r="AS41" s="9"/>
      <c r="AT41" s="9"/>
      <c r="AX41" s="9"/>
      <c r="AY41" s="9"/>
      <c r="AZ41" s="9"/>
      <c r="BA41" s="9"/>
    </row>
    <row r="42" spans="2:53" hidden="1" outlineLevel="1">
      <c r="B42" t="s">
        <v>53</v>
      </c>
      <c r="C42" t="s">
        <v>74</v>
      </c>
      <c r="E42" s="8"/>
      <c r="F42" t="s">
        <v>72</v>
      </c>
      <c r="G42" s="9">
        <v>0.1</v>
      </c>
      <c r="I42" s="8">
        <f t="shared" si="3"/>
        <v>0</v>
      </c>
      <c r="J42" s="10" cm="1">
        <f t="array" ref="J42">MAX(IF($N$3:$CD$3=$J$3,N42:CD42))</f>
        <v>0</v>
      </c>
      <c r="K42" s="10" cm="1">
        <f t="array" ref="K42">MAX(IF($N$3:$CD$3=$J$3,N42:CD42))</f>
        <v>0</v>
      </c>
      <c r="L42" s="8"/>
      <c r="O42" s="9"/>
      <c r="P42" s="9"/>
      <c r="Q42" s="9"/>
      <c r="R42" s="9"/>
      <c r="V42" s="9"/>
      <c r="W42" s="9"/>
      <c r="X42" s="9"/>
      <c r="Y42" s="9"/>
      <c r="AC42" s="9"/>
      <c r="AD42" s="9">
        <v>0.5</v>
      </c>
      <c r="AE42" s="9"/>
      <c r="AF42" s="9">
        <v>0.5</v>
      </c>
      <c r="AJ42" s="9"/>
      <c r="AK42" s="9">
        <v>1</v>
      </c>
      <c r="AL42" s="9"/>
      <c r="AM42" s="9">
        <v>1</v>
      </c>
      <c r="AQ42" s="9"/>
      <c r="AR42" s="9"/>
      <c r="AS42" s="9"/>
      <c r="AT42" s="9"/>
      <c r="AX42" s="9"/>
      <c r="AY42" s="9"/>
      <c r="AZ42" s="9"/>
      <c r="BA42" s="9"/>
    </row>
    <row r="43" spans="2:53" hidden="1" outlineLevel="1">
      <c r="B43" t="s">
        <v>53</v>
      </c>
      <c r="C43" t="s">
        <v>74</v>
      </c>
      <c r="E43" s="8"/>
      <c r="F43" t="s">
        <v>73</v>
      </c>
      <c r="G43" s="9">
        <v>0.1</v>
      </c>
      <c r="I43" s="8">
        <f t="shared" si="3"/>
        <v>0</v>
      </c>
      <c r="J43" s="10" cm="1">
        <f t="array" ref="J43">MAX(IF($N$3:$CD$3=$J$3,N43:CD43))</f>
        <v>0</v>
      </c>
      <c r="K43" s="10" cm="1">
        <f t="array" ref="K43">MAX(IF($N$3:$CD$3=$J$3,N43:CD43))</f>
        <v>0</v>
      </c>
      <c r="L43" s="8"/>
      <c r="O43" s="9"/>
      <c r="P43" s="9"/>
      <c r="Q43" s="9"/>
      <c r="R43" s="9"/>
      <c r="V43" s="9"/>
      <c r="W43" s="9"/>
      <c r="X43" s="9"/>
      <c r="Y43" s="9"/>
      <c r="AC43" s="9"/>
      <c r="AD43" s="9">
        <v>0.5</v>
      </c>
      <c r="AE43" s="9"/>
      <c r="AF43" s="9">
        <v>0.5</v>
      </c>
      <c r="AJ43" s="9"/>
      <c r="AK43" s="9">
        <v>1</v>
      </c>
      <c r="AL43" s="9"/>
      <c r="AM43" s="9">
        <v>1</v>
      </c>
      <c r="AQ43" s="9"/>
      <c r="AR43" s="9"/>
      <c r="AS43" s="9"/>
      <c r="AT43" s="9"/>
      <c r="AX43" s="9"/>
      <c r="AY43" s="9"/>
      <c r="AZ43" s="9"/>
      <c r="BA43" s="9"/>
    </row>
    <row r="44" spans="2:53" collapsed="1"/>
    <row r="45" spans="2:53" hidden="1" outlineLevel="1">
      <c r="B45" t="s">
        <v>40</v>
      </c>
      <c r="C45" t="s">
        <v>76</v>
      </c>
      <c r="D45" s="18">
        <v>44661</v>
      </c>
      <c r="E45" s="8">
        <v>12</v>
      </c>
      <c r="G45" s="9">
        <f>+SUM(G46:G55)</f>
        <v>0.89999999999999991</v>
      </c>
      <c r="I45" s="11">
        <f>+SUM(I46:I55)</f>
        <v>0</v>
      </c>
      <c r="J45" s="10">
        <f>+SUMPRODUCT(G46:G55,J46:J55)</f>
        <v>0</v>
      </c>
      <c r="K45" s="10">
        <f>+SUMPRODUCT(G46:G55,K46:K55)</f>
        <v>0</v>
      </c>
      <c r="L45" s="8"/>
      <c r="N45" s="11">
        <f>+SUM(N46:N55)</f>
        <v>0</v>
      </c>
      <c r="U45" s="11">
        <f>+SUM(U46:U55)</f>
        <v>0</v>
      </c>
      <c r="AB45" s="11">
        <f>+SUM(AB46:AB55)</f>
        <v>0</v>
      </c>
      <c r="AI45" s="11">
        <f>+SUM(AI46:AI55)</f>
        <v>0</v>
      </c>
    </row>
    <row r="46" spans="2:53" hidden="1" outlineLevel="1">
      <c r="B46" t="s">
        <v>53</v>
      </c>
      <c r="C46" t="s">
        <v>76</v>
      </c>
      <c r="E46" s="8"/>
      <c r="F46" t="s">
        <v>54</v>
      </c>
      <c r="G46" s="9">
        <v>0.1</v>
      </c>
      <c r="I46" s="8">
        <f t="shared" ref="I46:I55" si="4">+SUMIF($N$3:$XV$3,I$3,$N46:$XV46)</f>
        <v>0</v>
      </c>
      <c r="J46" s="10" cm="1">
        <f t="array" ref="J46">MAX(IF($N$3:$CD$3=$J$3,N46:CD46))</f>
        <v>0</v>
      </c>
      <c r="K46" s="10" cm="1">
        <f t="array" ref="K46">MAX(IF($N$3:$CD$3=$J$3,N46:CD46))</f>
        <v>0</v>
      </c>
      <c r="L46" s="8"/>
      <c r="O46" s="9"/>
      <c r="P46" s="9">
        <v>0.8</v>
      </c>
      <c r="Q46" s="9"/>
      <c r="R46" s="9">
        <v>0.8</v>
      </c>
      <c r="V46" s="9"/>
      <c r="W46" s="9">
        <v>0.8</v>
      </c>
      <c r="X46" s="9"/>
      <c r="Y46" s="9">
        <v>0.8</v>
      </c>
      <c r="AC46" s="9"/>
      <c r="AD46" s="9">
        <v>1</v>
      </c>
      <c r="AE46" s="9"/>
      <c r="AF46" s="9">
        <v>1</v>
      </c>
      <c r="AJ46" s="9"/>
      <c r="AK46" s="9">
        <v>1</v>
      </c>
      <c r="AL46" s="9"/>
      <c r="AM46" s="9">
        <v>1</v>
      </c>
      <c r="AQ46" s="9"/>
      <c r="AR46" s="9"/>
      <c r="AS46" s="9"/>
      <c r="AT46" s="9"/>
      <c r="AX46" s="9"/>
      <c r="AY46" s="9"/>
      <c r="AZ46" s="9"/>
      <c r="BA46" s="9"/>
    </row>
    <row r="47" spans="2:53" hidden="1" outlineLevel="1">
      <c r="B47" t="s">
        <v>53</v>
      </c>
      <c r="C47" t="s">
        <v>76</v>
      </c>
      <c r="E47" s="8"/>
      <c r="F47" t="s">
        <v>57</v>
      </c>
      <c r="G47" s="9">
        <v>0.05</v>
      </c>
      <c r="I47" s="8">
        <f t="shared" si="4"/>
        <v>0</v>
      </c>
      <c r="J47" s="10" cm="1">
        <f t="array" ref="J47">MAX(IF($N$3:$CD$3=$J$3,N47:CD47))</f>
        <v>0</v>
      </c>
      <c r="K47" s="10" cm="1">
        <f t="array" ref="K47">MAX(IF($N$3:$CD$3=$J$3,N47:CD47))</f>
        <v>0</v>
      </c>
      <c r="L47" s="8"/>
      <c r="O47" s="9"/>
      <c r="P47" s="9">
        <v>0.8</v>
      </c>
      <c r="Q47" s="9"/>
      <c r="R47" s="9">
        <v>0.8</v>
      </c>
      <c r="V47" s="9"/>
      <c r="W47" s="9">
        <v>0.8</v>
      </c>
      <c r="X47" s="9"/>
      <c r="Y47" s="9">
        <v>0.8</v>
      </c>
      <c r="AC47" s="9"/>
      <c r="AD47" s="9">
        <v>1</v>
      </c>
      <c r="AE47" s="9"/>
      <c r="AF47" s="9">
        <v>1</v>
      </c>
      <c r="AJ47" s="9"/>
      <c r="AK47" s="9">
        <v>1</v>
      </c>
      <c r="AL47" s="9"/>
      <c r="AM47" s="9">
        <v>1</v>
      </c>
      <c r="AQ47" s="9"/>
      <c r="AR47" s="9"/>
      <c r="AS47" s="9"/>
      <c r="AT47" s="9"/>
      <c r="AX47" s="9"/>
      <c r="AY47" s="9"/>
      <c r="AZ47" s="9"/>
      <c r="BA47" s="9"/>
    </row>
    <row r="48" spans="2:53" hidden="1" outlineLevel="1">
      <c r="B48" t="s">
        <v>53</v>
      </c>
      <c r="C48" t="s">
        <v>76</v>
      </c>
      <c r="E48" s="8"/>
      <c r="F48" t="s">
        <v>58</v>
      </c>
      <c r="G48" s="9">
        <v>0.05</v>
      </c>
      <c r="I48" s="8">
        <f t="shared" si="4"/>
        <v>0</v>
      </c>
      <c r="J48" s="10" cm="1">
        <f t="array" ref="J48">MAX(IF($N$3:$CD$3=$J$3,N48:CD48))</f>
        <v>0</v>
      </c>
      <c r="K48" s="10" cm="1">
        <f t="array" ref="K48">MAX(IF($N$3:$CD$3=$J$3,N48:CD48))</f>
        <v>0</v>
      </c>
      <c r="L48" s="8"/>
      <c r="O48" s="9"/>
      <c r="P48" s="9">
        <v>0.5</v>
      </c>
      <c r="Q48" s="9"/>
      <c r="R48" s="9">
        <v>0.5</v>
      </c>
      <c r="V48" s="9"/>
      <c r="W48" s="9">
        <v>0.8</v>
      </c>
      <c r="X48" s="9"/>
      <c r="Y48" s="9">
        <v>0.8</v>
      </c>
      <c r="AC48" s="9"/>
      <c r="AD48" s="9">
        <v>0.8</v>
      </c>
      <c r="AE48" s="9"/>
      <c r="AF48" s="9">
        <v>0.8</v>
      </c>
      <c r="AJ48" s="9"/>
      <c r="AK48" s="9">
        <v>1</v>
      </c>
      <c r="AL48" s="9"/>
      <c r="AM48" s="9">
        <v>1</v>
      </c>
      <c r="AQ48" s="9"/>
      <c r="AR48" s="9"/>
      <c r="AS48" s="9"/>
      <c r="AT48" s="9"/>
      <c r="AX48" s="9"/>
      <c r="AY48" s="9"/>
      <c r="AZ48" s="9"/>
      <c r="BA48" s="9"/>
    </row>
    <row r="49" spans="2:53" hidden="1" outlineLevel="1">
      <c r="B49" t="s">
        <v>53</v>
      </c>
      <c r="C49" t="s">
        <v>76</v>
      </c>
      <c r="E49" s="8"/>
      <c r="F49" t="s">
        <v>59</v>
      </c>
      <c r="G49" s="9">
        <v>0.1</v>
      </c>
      <c r="I49" s="8">
        <f t="shared" si="4"/>
        <v>0</v>
      </c>
      <c r="J49" s="10" cm="1">
        <f t="array" ref="J49">MAX(IF($N$3:$CD$3=$J$3,N49:CD49))</f>
        <v>0</v>
      </c>
      <c r="K49" s="10" cm="1">
        <f t="array" ref="K49">MAX(IF($N$3:$CD$3=$J$3,N49:CD49))</f>
        <v>0</v>
      </c>
      <c r="L49" s="8"/>
      <c r="O49" s="9"/>
      <c r="P49" s="9">
        <v>0.5</v>
      </c>
      <c r="Q49" s="9"/>
      <c r="R49" s="9">
        <v>0.5</v>
      </c>
      <c r="V49" s="9"/>
      <c r="W49" s="9">
        <v>0.8</v>
      </c>
      <c r="X49" s="9"/>
      <c r="Y49" s="9">
        <v>0.8</v>
      </c>
      <c r="AC49" s="9"/>
      <c r="AD49" s="9">
        <v>0.8</v>
      </c>
      <c r="AE49" s="9"/>
      <c r="AF49" s="9">
        <v>0.8</v>
      </c>
      <c r="AJ49" s="9"/>
      <c r="AK49" s="9">
        <v>1</v>
      </c>
      <c r="AL49" s="9"/>
      <c r="AM49" s="9">
        <v>1</v>
      </c>
      <c r="AQ49" s="9"/>
      <c r="AR49" s="9"/>
      <c r="AS49" s="9"/>
      <c r="AT49" s="9"/>
      <c r="AX49" s="9"/>
      <c r="AY49" s="9"/>
      <c r="AZ49" s="9"/>
      <c r="BA49" s="9"/>
    </row>
    <row r="50" spans="2:53" hidden="1" outlineLevel="1">
      <c r="B50" t="s">
        <v>53</v>
      </c>
      <c r="C50" t="s">
        <v>76</v>
      </c>
      <c r="E50" s="8"/>
      <c r="F50" t="s">
        <v>68</v>
      </c>
      <c r="G50" s="9">
        <v>0.1</v>
      </c>
      <c r="I50" s="8">
        <f t="shared" si="4"/>
        <v>0</v>
      </c>
      <c r="J50" s="10" cm="1">
        <f t="array" ref="J50">MAX(IF($N$3:$CD$3=$J$3,N50:CD50))</f>
        <v>0</v>
      </c>
      <c r="K50" s="10" cm="1">
        <f t="array" ref="K50">MAX(IF($N$3:$CD$3=$J$3,N50:CD50))</f>
        <v>0</v>
      </c>
      <c r="L50" s="8"/>
      <c r="O50" s="9"/>
      <c r="P50" s="9">
        <v>0.5</v>
      </c>
      <c r="Q50" s="9"/>
      <c r="R50" s="9">
        <v>0.5</v>
      </c>
      <c r="V50" s="9"/>
      <c r="W50" s="9">
        <v>0.5</v>
      </c>
      <c r="X50" s="9"/>
      <c r="Y50" s="9">
        <v>0.5</v>
      </c>
      <c r="AC50" s="9"/>
      <c r="AD50" s="9">
        <v>0.5</v>
      </c>
      <c r="AE50" s="9"/>
      <c r="AF50" s="9">
        <v>0.5</v>
      </c>
      <c r="AJ50" s="9"/>
      <c r="AK50" s="9">
        <v>1</v>
      </c>
      <c r="AL50" s="9"/>
      <c r="AM50" s="9">
        <v>1</v>
      </c>
      <c r="AQ50" s="9"/>
      <c r="AR50" s="9"/>
      <c r="AS50" s="9"/>
      <c r="AT50" s="9"/>
      <c r="AX50" s="9"/>
      <c r="AY50" s="9"/>
      <c r="AZ50" s="9"/>
      <c r="BA50" s="9"/>
    </row>
    <row r="51" spans="2:53" hidden="1" outlineLevel="1">
      <c r="B51" t="s">
        <v>53</v>
      </c>
      <c r="C51" t="s">
        <v>76</v>
      </c>
      <c r="E51" s="8"/>
      <c r="F51" t="s">
        <v>69</v>
      </c>
      <c r="G51" s="9">
        <v>0.1</v>
      </c>
      <c r="I51" s="8">
        <f t="shared" si="4"/>
        <v>0</v>
      </c>
      <c r="J51" s="10" cm="1">
        <f t="array" ref="J51">MAX(IF($N$3:$CD$3=$J$3,N51:CD51))</f>
        <v>0</v>
      </c>
      <c r="K51" s="10" cm="1">
        <f t="array" ref="K51">MAX(IF($N$3:$CD$3=$J$3,N51:CD51))</f>
        <v>0</v>
      </c>
      <c r="L51" s="8"/>
      <c r="O51" s="9"/>
      <c r="P51" s="9">
        <v>0.5</v>
      </c>
      <c r="Q51" s="9"/>
      <c r="R51" s="9">
        <v>0.5</v>
      </c>
      <c r="V51" s="9"/>
      <c r="W51" s="9">
        <v>0.5</v>
      </c>
      <c r="X51" s="9"/>
      <c r="Y51" s="9">
        <v>0.5</v>
      </c>
      <c r="AC51" s="9"/>
      <c r="AD51" s="9">
        <v>0.5</v>
      </c>
      <c r="AE51" s="9"/>
      <c r="AF51" s="9">
        <v>0.5</v>
      </c>
      <c r="AJ51" s="9"/>
      <c r="AK51" s="9">
        <v>1</v>
      </c>
      <c r="AL51" s="9"/>
      <c r="AM51" s="9">
        <v>1</v>
      </c>
      <c r="AQ51" s="9"/>
      <c r="AR51" s="9"/>
      <c r="AS51" s="9"/>
      <c r="AT51" s="9"/>
      <c r="AX51" s="9"/>
      <c r="AY51" s="9"/>
      <c r="AZ51" s="9"/>
      <c r="BA51" s="9"/>
    </row>
    <row r="52" spans="2:53" hidden="1" outlineLevel="1">
      <c r="B52" t="s">
        <v>53</v>
      </c>
      <c r="C52" t="s">
        <v>76</v>
      </c>
      <c r="E52" s="8"/>
      <c r="F52" t="s">
        <v>70</v>
      </c>
      <c r="G52" s="9">
        <v>0.1</v>
      </c>
      <c r="I52" s="8">
        <f t="shared" si="4"/>
        <v>0</v>
      </c>
      <c r="J52" s="10" cm="1">
        <f t="array" ref="J52">MAX(IF($N$3:$CD$3=$J$3,N52:CD52))</f>
        <v>0</v>
      </c>
      <c r="K52" s="10" cm="1">
        <f t="array" ref="K52">MAX(IF($N$3:$CD$3=$J$3,N52:CD52))</f>
        <v>0</v>
      </c>
      <c r="L52" s="8"/>
      <c r="O52" s="9"/>
      <c r="P52" s="9"/>
      <c r="Q52" s="9"/>
      <c r="R52" s="9"/>
      <c r="V52" s="9"/>
      <c r="W52" s="9">
        <v>0.5</v>
      </c>
      <c r="X52" s="9"/>
      <c r="Y52" s="9">
        <v>0.5</v>
      </c>
      <c r="AC52" s="9"/>
      <c r="AD52" s="9">
        <v>0.5</v>
      </c>
      <c r="AE52" s="9"/>
      <c r="AF52" s="9">
        <v>0.5</v>
      </c>
      <c r="AJ52" s="9"/>
      <c r="AK52" s="9">
        <v>1</v>
      </c>
      <c r="AL52" s="9"/>
      <c r="AM52" s="9">
        <v>1</v>
      </c>
      <c r="AQ52" s="9"/>
      <c r="AR52" s="9"/>
      <c r="AS52" s="9"/>
      <c r="AT52" s="9"/>
      <c r="AX52" s="9"/>
      <c r="AY52" s="9"/>
      <c r="AZ52" s="9"/>
      <c r="BA52" s="9"/>
    </row>
    <row r="53" spans="2:53" hidden="1" outlineLevel="1">
      <c r="B53" t="s">
        <v>53</v>
      </c>
      <c r="C53" t="s">
        <v>76</v>
      </c>
      <c r="E53" s="8"/>
      <c r="F53" t="s">
        <v>71</v>
      </c>
      <c r="G53" s="9">
        <v>0.1</v>
      </c>
      <c r="I53" s="8">
        <f t="shared" si="4"/>
        <v>0</v>
      </c>
      <c r="J53" s="10" cm="1">
        <f t="array" ref="J53">MAX(IF($N$3:$CD$3=$J$3,N53:CD53))</f>
        <v>0</v>
      </c>
      <c r="K53" s="10" cm="1">
        <f t="array" ref="K53">MAX(IF($N$3:$CD$3=$J$3,N53:CD53))</f>
        <v>0</v>
      </c>
      <c r="L53" s="8"/>
      <c r="O53" s="9"/>
      <c r="P53" s="9"/>
      <c r="Q53" s="9"/>
      <c r="R53" s="9"/>
      <c r="V53" s="9"/>
      <c r="W53" s="9">
        <v>0.5</v>
      </c>
      <c r="X53" s="9"/>
      <c r="Y53" s="9">
        <v>0.5</v>
      </c>
      <c r="AC53" s="9"/>
      <c r="AD53" s="9">
        <v>0.5</v>
      </c>
      <c r="AE53" s="9"/>
      <c r="AF53" s="9">
        <v>0.5</v>
      </c>
      <c r="AJ53" s="9"/>
      <c r="AK53" s="9">
        <v>1</v>
      </c>
      <c r="AL53" s="9"/>
      <c r="AM53" s="9">
        <v>1</v>
      </c>
      <c r="AQ53" s="9"/>
      <c r="AR53" s="9"/>
      <c r="AS53" s="9"/>
      <c r="AT53" s="9"/>
      <c r="AX53" s="9"/>
      <c r="AY53" s="9"/>
      <c r="AZ53" s="9"/>
      <c r="BA53" s="9"/>
    </row>
    <row r="54" spans="2:53" hidden="1" outlineLevel="1">
      <c r="B54" t="s">
        <v>53</v>
      </c>
      <c r="C54" t="s">
        <v>76</v>
      </c>
      <c r="E54" s="8"/>
      <c r="F54" t="s">
        <v>72</v>
      </c>
      <c r="G54" s="9">
        <v>0.1</v>
      </c>
      <c r="I54" s="8">
        <f t="shared" si="4"/>
        <v>0</v>
      </c>
      <c r="J54" s="10" cm="1">
        <f t="array" ref="J54">MAX(IF($N$3:$CD$3=$J$3,N54:CD54))</f>
        <v>0</v>
      </c>
      <c r="K54" s="10" cm="1">
        <f t="array" ref="K54">MAX(IF($N$3:$CD$3=$J$3,N54:CD54))</f>
        <v>0</v>
      </c>
      <c r="L54" s="8"/>
      <c r="O54" s="9"/>
      <c r="P54" s="9"/>
      <c r="Q54" s="9"/>
      <c r="R54" s="9"/>
      <c r="V54" s="9"/>
      <c r="W54" s="9"/>
      <c r="X54" s="9"/>
      <c r="Y54" s="9"/>
      <c r="AC54" s="9"/>
      <c r="AD54" s="9">
        <v>0.5</v>
      </c>
      <c r="AE54" s="9"/>
      <c r="AF54" s="9">
        <v>0.5</v>
      </c>
      <c r="AJ54" s="9"/>
      <c r="AK54" s="9">
        <v>1</v>
      </c>
      <c r="AL54" s="9"/>
      <c r="AM54" s="9">
        <v>1</v>
      </c>
      <c r="AQ54" s="9"/>
      <c r="AR54" s="9"/>
      <c r="AS54" s="9"/>
      <c r="AT54" s="9"/>
      <c r="AX54" s="9"/>
      <c r="AY54" s="9"/>
      <c r="AZ54" s="9"/>
      <c r="BA54" s="9"/>
    </row>
    <row r="55" spans="2:53" hidden="1" outlineLevel="1">
      <c r="B55" t="s">
        <v>53</v>
      </c>
      <c r="C55" t="s">
        <v>76</v>
      </c>
      <c r="E55" s="8"/>
      <c r="F55" t="s">
        <v>73</v>
      </c>
      <c r="G55" s="9">
        <v>0.1</v>
      </c>
      <c r="I55" s="8">
        <f t="shared" si="4"/>
        <v>0</v>
      </c>
      <c r="J55" s="10" cm="1">
        <f t="array" ref="J55">MAX(IF($N$3:$CD$3=$J$3,N55:CD55))</f>
        <v>0</v>
      </c>
      <c r="K55" s="10" cm="1">
        <f t="array" ref="K55">MAX(IF($N$3:$CD$3=$J$3,N55:CD55))</f>
        <v>0</v>
      </c>
      <c r="L55" s="8"/>
      <c r="O55" s="9"/>
      <c r="P55" s="9"/>
      <c r="Q55" s="9"/>
      <c r="R55" s="9"/>
      <c r="V55" s="9"/>
      <c r="W55" s="9"/>
      <c r="X55" s="9"/>
      <c r="Y55" s="9"/>
      <c r="AC55" s="9"/>
      <c r="AD55" s="9">
        <v>0.5</v>
      </c>
      <c r="AE55" s="9"/>
      <c r="AF55" s="9">
        <v>0.5</v>
      </c>
      <c r="AJ55" s="9"/>
      <c r="AK55" s="9">
        <v>1</v>
      </c>
      <c r="AL55" s="9"/>
      <c r="AM55" s="9">
        <v>1</v>
      </c>
      <c r="AQ55" s="9"/>
      <c r="AR55" s="9"/>
      <c r="AS55" s="9"/>
      <c r="AT55" s="9"/>
      <c r="AX55" s="9"/>
      <c r="AY55" s="9"/>
      <c r="AZ55" s="9"/>
      <c r="BA55" s="9"/>
    </row>
    <row r="56" spans="2:53" collapsed="1"/>
  </sheetData>
  <mergeCells count="7">
    <mergeCell ref="I2:L2"/>
    <mergeCell ref="AW2:BB2"/>
    <mergeCell ref="N2:S2"/>
    <mergeCell ref="U2:Z2"/>
    <mergeCell ref="AB2:AG2"/>
    <mergeCell ref="AI2:AN2"/>
    <mergeCell ref="AP2:AU2"/>
  </mergeCells>
  <conditionalFormatting sqref="J5:J11">
    <cfRule type="colorScale" priority="597">
      <colorScale>
        <cfvo type="percent" val="0"/>
        <cfvo type="percent" val="100"/>
        <color rgb="FFFF231B"/>
        <color rgb="FF10FF07"/>
      </colorScale>
    </cfRule>
  </conditionalFormatting>
  <conditionalFormatting sqref="J15">
    <cfRule type="colorScale" priority="145">
      <colorScale>
        <cfvo type="percent" val="0"/>
        <cfvo type="percent" val="100"/>
        <color rgb="FFFF231B"/>
        <color rgb="FF10FF07"/>
      </colorScale>
    </cfRule>
  </conditionalFormatting>
  <conditionalFormatting sqref="J16">
    <cfRule type="colorScale" priority="126">
      <colorScale>
        <cfvo type="percent" val="0"/>
        <cfvo type="percent" val="100"/>
        <color rgb="FFFF231B"/>
        <color rgb="FF10FF07"/>
      </colorScale>
    </cfRule>
  </conditionalFormatting>
  <conditionalFormatting sqref="J17:J21 J14">
    <cfRule type="colorScale" priority="379">
      <colorScale>
        <cfvo type="percent" val="0"/>
        <cfvo type="percent" val="100"/>
        <color rgb="FFFF231B"/>
        <color rgb="FF10FF07"/>
      </colorScale>
    </cfRule>
  </conditionalFormatting>
  <conditionalFormatting sqref="J24:J34">
    <cfRule type="colorScale" priority="657">
      <colorScale>
        <cfvo type="percent" val="0"/>
        <cfvo type="percent" val="100"/>
        <color rgb="FFFF231B"/>
        <color rgb="FF10FF07"/>
      </colorScale>
    </cfRule>
  </conditionalFormatting>
  <conditionalFormatting sqref="J37:J43">
    <cfRule type="colorScale" priority="690">
      <colorScale>
        <cfvo type="percent" val="0"/>
        <cfvo type="percent" val="100"/>
        <color rgb="FFFF231B"/>
        <color rgb="FF10FF07"/>
      </colorScale>
    </cfRule>
  </conditionalFormatting>
  <conditionalFormatting sqref="J46:J55">
    <cfRule type="colorScale" priority="750">
      <colorScale>
        <cfvo type="percent" val="0"/>
        <cfvo type="percent" val="100"/>
        <color rgb="FFFF231B"/>
        <color rgb="FF10FF07"/>
      </colorScale>
    </cfRule>
  </conditionalFormatting>
  <conditionalFormatting sqref="J6:K11">
    <cfRule type="colorScale" priority="568">
      <colorScale>
        <cfvo type="percent" val="0"/>
        <cfvo type="percent" val="100"/>
        <color rgb="FFFF231B"/>
        <color rgb="FF10FF07"/>
      </colorScale>
    </cfRule>
  </conditionalFormatting>
  <conditionalFormatting sqref="J15:K15">
    <cfRule type="colorScale" priority="146">
      <colorScale>
        <cfvo type="percent" val="0"/>
        <cfvo type="percent" val="100"/>
        <color rgb="FFFF231B"/>
        <color rgb="FF10FF07"/>
      </colorScale>
    </cfRule>
  </conditionalFormatting>
  <conditionalFormatting sqref="J16:K16">
    <cfRule type="colorScale" priority="127">
      <colorScale>
        <cfvo type="percent" val="0"/>
        <cfvo type="percent" val="100"/>
        <color rgb="FFFF231B"/>
        <color rgb="FF10FF07"/>
      </colorScale>
    </cfRule>
  </conditionalFormatting>
  <conditionalFormatting sqref="J17:K21">
    <cfRule type="colorScale" priority="380">
      <colorScale>
        <cfvo type="percent" val="0"/>
        <cfvo type="percent" val="100"/>
        <color rgb="FFFF231B"/>
        <color rgb="FF10FF07"/>
      </colorScale>
    </cfRule>
  </conditionalFormatting>
  <conditionalFormatting sqref="J25:K34">
    <cfRule type="colorScale" priority="655">
      <colorScale>
        <cfvo type="percent" val="0"/>
        <cfvo type="percent" val="100"/>
        <color rgb="FFFF231B"/>
        <color rgb="FF10FF07"/>
      </colorScale>
    </cfRule>
  </conditionalFormatting>
  <conditionalFormatting sqref="J38:K43">
    <cfRule type="colorScale" priority="688">
      <colorScale>
        <cfvo type="percent" val="0"/>
        <cfvo type="percent" val="100"/>
        <color rgb="FFFF231B"/>
        <color rgb="FF10FF07"/>
      </colorScale>
    </cfRule>
  </conditionalFormatting>
  <conditionalFormatting sqref="J47:K55">
    <cfRule type="colorScale" priority="749">
      <colorScale>
        <cfvo type="percent" val="0"/>
        <cfvo type="percent" val="100"/>
        <color rgb="FFFF231B"/>
        <color rgb="FF10FF07"/>
      </colorScale>
    </cfRule>
  </conditionalFormatting>
  <conditionalFormatting sqref="K5:K11">
    <cfRule type="colorScale" priority="598">
      <colorScale>
        <cfvo type="percent" val="0"/>
        <cfvo type="percent" val="100"/>
        <color rgb="FFFF231B"/>
        <color rgb="FF10FF07"/>
      </colorScale>
    </cfRule>
  </conditionalFormatting>
  <conditionalFormatting sqref="K15">
    <cfRule type="colorScale" priority="144">
      <colorScale>
        <cfvo type="percent" val="0"/>
        <cfvo type="percent" val="100"/>
        <color rgb="FFFF231B"/>
        <color rgb="FF10FF07"/>
      </colorScale>
    </cfRule>
  </conditionalFormatting>
  <conditionalFormatting sqref="K16">
    <cfRule type="colorScale" priority="125">
      <colorScale>
        <cfvo type="percent" val="0"/>
        <cfvo type="percent" val="100"/>
        <color rgb="FFFF231B"/>
        <color rgb="FF10FF07"/>
      </colorScale>
    </cfRule>
  </conditionalFormatting>
  <conditionalFormatting sqref="K17:K21 K14">
    <cfRule type="colorScale" priority="378">
      <colorScale>
        <cfvo type="percent" val="0"/>
        <cfvo type="percent" val="100"/>
        <color rgb="FFFF231B"/>
        <color rgb="FF10FF07"/>
      </colorScale>
    </cfRule>
  </conditionalFormatting>
  <conditionalFormatting sqref="K24:K34">
    <cfRule type="colorScale" priority="659">
      <colorScale>
        <cfvo type="percent" val="0"/>
        <cfvo type="percent" val="100"/>
        <color rgb="FFFF231B"/>
        <color rgb="FF10FF07"/>
      </colorScale>
    </cfRule>
  </conditionalFormatting>
  <conditionalFormatting sqref="K37:K43">
    <cfRule type="colorScale" priority="692">
      <colorScale>
        <cfvo type="percent" val="0"/>
        <cfvo type="percent" val="100"/>
        <color rgb="FFFF231B"/>
        <color rgb="FF10FF07"/>
      </colorScale>
    </cfRule>
  </conditionalFormatting>
  <conditionalFormatting sqref="K46:K55">
    <cfRule type="colorScale" priority="752">
      <colorScale>
        <cfvo type="percent" val="0"/>
        <cfvo type="percent" val="100"/>
        <color rgb="FFFF231B"/>
        <color rgb="FF10FF07"/>
      </colorScale>
    </cfRule>
  </conditionalFormatting>
  <conditionalFormatting sqref="O5:O11 Q5:Q11 V5:V11 X5:X11 AC5:AC11 AE5:AE11 AJ5:AJ11 AL5:AL11 AQ5:AQ11 AS5:AS11 AX5:AX11 AZ5:AZ11 O46:O55 Q46:Q55 V46:V55 X46:X55 AC46:AC55 AE46:AE55 AJ46:AJ55 AL46:AL55 AQ46:AQ55 AS46:AS55 AX46:AX55 AZ46:AZ55">
    <cfRule type="expression" dxfId="70" priority="565">
      <formula>OR(IF(O5&lt;P5,TRUE),IF(AND(P5="",O5&lt;&gt;""),TRUE))</formula>
    </cfRule>
    <cfRule type="expression" dxfId="69" priority="566">
      <formula>IF(O5&gt;=P5,IF(O5="",FALSE,TRUE))</formula>
    </cfRule>
  </conditionalFormatting>
  <conditionalFormatting sqref="O14:O21 Q14:Q21">
    <cfRule type="expression" dxfId="68" priority="139">
      <formula>IF(O14&gt;=P14,IF(O14="",FALSE,TRUE))</formula>
    </cfRule>
    <cfRule type="expression" dxfId="67" priority="138">
      <formula>OR(IF(O14&lt;P14,TRUE),IF(AND(P14="",O14&lt;&gt;""),TRUE))</formula>
    </cfRule>
  </conditionalFormatting>
  <conditionalFormatting sqref="O24:O34">
    <cfRule type="expression" dxfId="66" priority="476">
      <formula>OR(IF(O24&lt;P24,TRUE),IF(AND(P24="",O24&lt;&gt;""),TRUE))</formula>
    </cfRule>
    <cfRule type="expression" dxfId="65" priority="477">
      <formula>IF(O24&gt;=P24,IF(O24="",FALSE,TRUE))</formula>
    </cfRule>
  </conditionalFormatting>
  <conditionalFormatting sqref="O37:O43">
    <cfRule type="expression" dxfId="64" priority="286">
      <formula>IF(O37&gt;=P37,IF(O37="",FALSE,TRUE))</formula>
    </cfRule>
    <cfRule type="expression" dxfId="63" priority="285">
      <formula>OR(IF(O37&lt;P37,TRUE),IF(AND(P37="",O37&lt;&gt;""),TRUE))</formula>
    </cfRule>
  </conditionalFormatting>
  <conditionalFormatting sqref="Q24:Q34">
    <cfRule type="expression" dxfId="62" priority="475">
      <formula>IF(Q24&gt;=R24,IF(Q24="",FALSE,TRUE))</formula>
    </cfRule>
    <cfRule type="expression" dxfId="61" priority="474">
      <formula>OR(IF(Q24&lt;R24,TRUE),IF(AND(R24="",Q24&lt;&gt;""),TRUE))</formula>
    </cfRule>
  </conditionalFormatting>
  <conditionalFormatting sqref="Q37:Q43">
    <cfRule type="expression" dxfId="60" priority="283">
      <formula>OR(IF(Q37&lt;R37,TRUE),IF(AND(R37="",Q37&lt;&gt;""),TRUE))</formula>
    </cfRule>
    <cfRule type="expression" dxfId="59" priority="284">
      <formula>IF(Q37&gt;=R37,IF(Q37="",FALSE,TRUE))</formula>
    </cfRule>
  </conditionalFormatting>
  <conditionalFormatting sqref="V14:V21 X14:X21">
    <cfRule type="expression" dxfId="58" priority="137">
      <formula>IF(V14&gt;=W14,IF(V14="",FALSE,TRUE))</formula>
    </cfRule>
    <cfRule type="expression" dxfId="57" priority="136">
      <formula>OR(IF(V14&lt;W14,TRUE),IF(AND(W14="",V14&lt;&gt;""),TRUE))</formula>
    </cfRule>
  </conditionalFormatting>
  <conditionalFormatting sqref="V24:V34">
    <cfRule type="expression" dxfId="56" priority="461">
      <formula>IF(V24&gt;=W24,IF(V24="",FALSE,TRUE))</formula>
    </cfRule>
    <cfRule type="expression" dxfId="55" priority="460">
      <formula>OR(IF(V24&lt;W24,TRUE),IF(AND(W24="",V24&lt;&gt;""),TRUE))</formula>
    </cfRule>
  </conditionalFormatting>
  <conditionalFormatting sqref="V37:V43">
    <cfRule type="expression" dxfId="54" priority="277">
      <formula>OR(IF(V37&lt;W37,TRUE),IF(AND(W37="",V37&lt;&gt;""),TRUE))</formula>
    </cfRule>
    <cfRule type="expression" dxfId="53" priority="278">
      <formula>IF(V37&gt;=W37,IF(V37="",FALSE,TRUE))</formula>
    </cfRule>
  </conditionalFormatting>
  <conditionalFormatting sqref="X24:X34">
    <cfRule type="expression" dxfId="52" priority="458">
      <formula>OR(IF(X24&lt;Y24,TRUE),IF(AND(Y24="",X24&lt;&gt;""),TRUE))</formula>
    </cfRule>
    <cfRule type="expression" dxfId="51" priority="459">
      <formula>IF(X24&gt;=Y24,IF(X24="",FALSE,TRUE))</formula>
    </cfRule>
  </conditionalFormatting>
  <conditionalFormatting sqref="X37:X43">
    <cfRule type="expression" dxfId="50" priority="275">
      <formula>OR(IF(X37&lt;Y37,TRUE),IF(AND(Y37="",X37&lt;&gt;""),TRUE))</formula>
    </cfRule>
    <cfRule type="expression" dxfId="49" priority="276">
      <formula>IF(X37&gt;=Y37,IF(X37="",FALSE,TRUE))</formula>
    </cfRule>
  </conditionalFormatting>
  <conditionalFormatting sqref="AC14:AC21 AE14:AE21">
    <cfRule type="expression" dxfId="48" priority="135">
      <formula>IF(AC14&gt;=AD14,IF(AC14="",FALSE,TRUE))</formula>
    </cfRule>
    <cfRule type="expression" dxfId="47" priority="134">
      <formula>OR(IF(AC14&lt;AD14,TRUE),IF(AND(AD14="",AC14&lt;&gt;""),TRUE))</formula>
    </cfRule>
  </conditionalFormatting>
  <conditionalFormatting sqref="AC24:AC34">
    <cfRule type="expression" dxfId="46" priority="444">
      <formula>OR(IF(AC24&lt;AD24,TRUE),IF(AND(AD24="",AC24&lt;&gt;""),TRUE))</formula>
    </cfRule>
    <cfRule type="expression" dxfId="45" priority="445">
      <formula>IF(AC24&gt;=AD24,IF(AC24="",FALSE,TRUE))</formula>
    </cfRule>
  </conditionalFormatting>
  <conditionalFormatting sqref="AC37:AC43">
    <cfRule type="expression" dxfId="44" priority="269">
      <formula>OR(IF(AC37&lt;AD37,TRUE),IF(AND(AD37="",AC37&lt;&gt;""),TRUE))</formula>
    </cfRule>
    <cfRule type="expression" dxfId="43" priority="270">
      <formula>IF(AC37&gt;=AD37,IF(AC37="",FALSE,TRUE))</formula>
    </cfRule>
  </conditionalFormatting>
  <conditionalFormatting sqref="AE24:AE34">
    <cfRule type="expression" dxfId="42" priority="442">
      <formula>OR(IF(AE24&lt;AF24,TRUE),IF(AND(AF24="",AE24&lt;&gt;""),TRUE))</formula>
    </cfRule>
    <cfRule type="expression" dxfId="41" priority="443">
      <formula>IF(AE24&gt;=AF24,IF(AE24="",FALSE,TRUE))</formula>
    </cfRule>
  </conditionalFormatting>
  <conditionalFormatting sqref="AE37:AE43">
    <cfRule type="expression" dxfId="40" priority="267">
      <formula>OR(IF(AE37&lt;AF37,TRUE),IF(AND(AF37="",AE37&lt;&gt;""),TRUE))</formula>
    </cfRule>
    <cfRule type="expression" dxfId="39" priority="268">
      <formula>IF(AE37&gt;=AF37,IF(AE37="",FALSE,TRUE))</formula>
    </cfRule>
  </conditionalFormatting>
  <conditionalFormatting sqref="AJ14:AJ21 AL14:AL21">
    <cfRule type="expression" dxfId="38" priority="132">
      <formula>OR(IF(AJ14&lt;AK14,TRUE),IF(AND(AK14="",AJ14&lt;&gt;""),TRUE))</formula>
    </cfRule>
    <cfRule type="expression" dxfId="37" priority="133">
      <formula>IF(AJ14&gt;=AK14,IF(AJ14="",FALSE,TRUE))</formula>
    </cfRule>
  </conditionalFormatting>
  <conditionalFormatting sqref="AJ24:AJ34">
    <cfRule type="expression" dxfId="36" priority="428">
      <formula>OR(IF(AJ24&lt;AK24,TRUE),IF(AND(AK24="",AJ24&lt;&gt;""),TRUE))</formula>
    </cfRule>
    <cfRule type="expression" dxfId="35" priority="429">
      <formula>IF(AJ24&gt;=AK24,IF(AJ24="",FALSE,TRUE))</formula>
    </cfRule>
  </conditionalFormatting>
  <conditionalFormatting sqref="AJ37:AJ43">
    <cfRule type="expression" dxfId="34" priority="262">
      <formula>IF(AJ37&gt;=AK37,IF(AJ37="",FALSE,TRUE))</formula>
    </cfRule>
    <cfRule type="expression" dxfId="33" priority="261">
      <formula>OR(IF(AJ37&lt;AK37,TRUE),IF(AND(AK37="",AJ37&lt;&gt;""),TRUE))</formula>
    </cfRule>
  </conditionalFormatting>
  <conditionalFormatting sqref="AL24:AL34">
    <cfRule type="expression" dxfId="32" priority="426">
      <formula>OR(IF(AL24&lt;AM24,TRUE),IF(AND(AM24="",AL24&lt;&gt;""),TRUE))</formula>
    </cfRule>
    <cfRule type="expression" dxfId="31" priority="427">
      <formula>IF(AL24&gt;=AM24,IF(AL24="",FALSE,TRUE))</formula>
    </cfRule>
  </conditionalFormatting>
  <conditionalFormatting sqref="AL37:AL43">
    <cfRule type="expression" dxfId="30" priority="260">
      <formula>IF(AL37&gt;=AM37,IF(AL37="",FALSE,TRUE))</formula>
    </cfRule>
    <cfRule type="expression" dxfId="29" priority="259">
      <formula>OR(IF(AL37&lt;AM37,TRUE),IF(AND(AM37="",AL37&lt;&gt;""),TRUE))</formula>
    </cfRule>
  </conditionalFormatting>
  <conditionalFormatting sqref="AQ14:AQ21 AS14:AS21">
    <cfRule type="expression" dxfId="28" priority="131">
      <formula>IF(AQ14&gt;=AR14,IF(AQ14="",FALSE,TRUE))</formula>
    </cfRule>
    <cfRule type="expression" dxfId="27" priority="130">
      <formula>OR(IF(AQ14&lt;AR14,TRUE),IF(AND(AR14="",AQ14&lt;&gt;""),TRUE))</formula>
    </cfRule>
  </conditionalFormatting>
  <conditionalFormatting sqref="AQ24:AQ34">
    <cfRule type="expression" dxfId="26" priority="413">
      <formula>IF(AQ24&gt;=AR24,IF(AQ24="",FALSE,TRUE))</formula>
    </cfRule>
    <cfRule type="expression" dxfId="25" priority="412">
      <formula>OR(IF(AQ24&lt;AR24,TRUE),IF(AND(AR24="",AQ24&lt;&gt;""),TRUE))</formula>
    </cfRule>
  </conditionalFormatting>
  <conditionalFormatting sqref="AQ37:AQ43">
    <cfRule type="expression" dxfId="24" priority="254">
      <formula>IF(AQ37&gt;=AR37,IF(AQ37="",FALSE,TRUE))</formula>
    </cfRule>
    <cfRule type="expression" dxfId="23" priority="253">
      <formula>OR(IF(AQ37&lt;AR37,TRUE),IF(AND(AR37="",AQ37&lt;&gt;""),TRUE))</formula>
    </cfRule>
  </conditionalFormatting>
  <conditionalFormatting sqref="AS24:AS34">
    <cfRule type="expression" dxfId="22" priority="411">
      <formula>IF(AS24&gt;=AT24,IF(AS24="",FALSE,TRUE))</formula>
    </cfRule>
    <cfRule type="expression" dxfId="21" priority="410">
      <formula>OR(IF(AS24&lt;AT24,TRUE),IF(AND(AT24="",AS24&lt;&gt;""),TRUE))</formula>
    </cfRule>
  </conditionalFormatting>
  <conditionalFormatting sqref="AS37:AS43">
    <cfRule type="expression" dxfId="20" priority="252">
      <formula>IF(AS37&gt;=AT37,IF(AS37="",FALSE,TRUE))</formula>
    </cfRule>
    <cfRule type="expression" dxfId="19" priority="251">
      <formula>OR(IF(AS37&lt;AT37,TRUE),IF(AND(AT37="",AS37&lt;&gt;""),TRUE))</formula>
    </cfRule>
  </conditionalFormatting>
  <conditionalFormatting sqref="AX14:AX21 AZ14:AZ21">
    <cfRule type="expression" dxfId="18" priority="129">
      <formula>IF(AX14&gt;=AY14,IF(AX14="",FALSE,TRUE))</formula>
    </cfRule>
    <cfRule type="expression" dxfId="17" priority="128">
      <formula>OR(IF(AX14&lt;AY14,TRUE),IF(AND(AY14="",AX14&lt;&gt;""),TRUE))</formula>
    </cfRule>
  </conditionalFormatting>
  <conditionalFormatting sqref="AX24:AX34">
    <cfRule type="expression" dxfId="16" priority="396">
      <formula>OR(IF(AX24&lt;AY24,TRUE),IF(AND(AY24="",AX24&lt;&gt;""),TRUE))</formula>
    </cfRule>
    <cfRule type="expression" dxfId="15" priority="397">
      <formula>IF(AX24&gt;=AY24,IF(AX24="",FALSE,TRUE))</formula>
    </cfRule>
  </conditionalFormatting>
  <conditionalFormatting sqref="AX37:AX43">
    <cfRule type="expression" dxfId="14" priority="246">
      <formula>IF(AX37&gt;=AY37,IF(AX37="",FALSE,TRUE))</formula>
    </cfRule>
    <cfRule type="expression" dxfId="13" priority="245">
      <formula>OR(IF(AX37&lt;AY37,TRUE),IF(AND(AY37="",AX37&lt;&gt;""),TRUE))</formula>
    </cfRule>
  </conditionalFormatting>
  <conditionalFormatting sqref="AZ24:AZ34">
    <cfRule type="expression" dxfId="12" priority="395">
      <formula>IF(AZ24&gt;=BA24,IF(AZ24="",FALSE,TRUE))</formula>
    </cfRule>
    <cfRule type="expression" dxfId="11" priority="394">
      <formula>OR(IF(AZ24&lt;BA24,TRUE),IF(AND(BA24="",AZ24&lt;&gt;""),TRUE))</formula>
    </cfRule>
  </conditionalFormatting>
  <conditionalFormatting sqref="AZ37:AZ43">
    <cfRule type="expression" dxfId="10" priority="244">
      <formula>IF(AZ37&gt;=BA37,IF(AZ37="",FALSE,TRUE))</formula>
    </cfRule>
    <cfRule type="expression" dxfId="9" priority="243">
      <formula>OR(IF(AZ37&lt;BA37,TRUE),IF(AND(BA37="",AZ37&lt;&gt;""),TRUE))</formula>
    </cfRule>
  </conditionalFormatting>
  <dataValidations count="1">
    <dataValidation type="list" allowBlank="1" showInputMessage="1" showErrorMessage="1" sqref="AC46:AF55 V5:Y11 O5:R11 AJ5:AM11 AQ5:AT11 AX5:BA11 O14:R21 V14:Y21 AC14:AF21 AJ14:AM21 AQ14:AT21 AX14:BA21 AQ24:AT34 AJ24:AM34 AC24:AF34 V24:Y34 O24:R34 AQ37:AT43 AX37:BA43 AJ37:AM43 AC37:AF43 V37:Y43 O37:R43 AQ46:AT55 AX46:BA55 AJ46:AM55 V46:Y55 O46:R55 AX24:BA34 AC5:AF11"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25" defaultRowHeight="15.75"/>
  <cols>
    <col min="2" max="2" width="161" customWidth="1"/>
    <col min="3" max="3" width="10.875"/>
  </cols>
  <sheetData>
    <row r="4" spans="2:2" ht="21">
      <c r="B4" s="3" t="s">
        <v>77</v>
      </c>
    </row>
    <row r="6" spans="2:2">
      <c r="B6" s="2" t="s">
        <v>78</v>
      </c>
    </row>
    <row r="7" spans="2:2" ht="47.25">
      <c r="B7" s="1" t="s">
        <v>79</v>
      </c>
    </row>
    <row r="9" spans="2:2">
      <c r="B9" s="2" t="s">
        <v>80</v>
      </c>
    </row>
    <row r="10" spans="2:2" ht="63">
      <c r="B10" s="1" t="s">
        <v>81</v>
      </c>
    </row>
    <row r="12" spans="2:2">
      <c r="B12" s="2" t="s">
        <v>82</v>
      </c>
    </row>
    <row r="13" spans="2:2" ht="126">
      <c r="B13" s="1" t="s">
        <v>83</v>
      </c>
    </row>
    <row r="15" spans="2:2">
      <c r="B15" s="2" t="s">
        <v>84</v>
      </c>
    </row>
    <row r="16" spans="2:2" ht="110.25">
      <c r="B16" s="1" t="s">
        <v>85</v>
      </c>
    </row>
    <row r="17" spans="2:2">
      <c r="B17" s="1"/>
    </row>
    <row r="18" spans="2:2">
      <c r="B18" s="2" t="s">
        <v>86</v>
      </c>
    </row>
    <row r="19" spans="2:2" ht="141.75">
      <c r="B19" s="1" t="s">
        <v>87</v>
      </c>
    </row>
    <row r="21" spans="2:2">
      <c r="B21" s="2" t="s">
        <v>88</v>
      </c>
    </row>
    <row r="22" spans="2:2" ht="110.25">
      <c r="B22" s="1" t="s">
        <v>89</v>
      </c>
    </row>
    <row r="24" spans="2:2">
      <c r="B24" s="2" t="s">
        <v>90</v>
      </c>
    </row>
    <row r="25" spans="2:2" ht="126">
      <c r="B25" s="1" t="s">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52"/>
  <sheetViews>
    <sheetView topLeftCell="A3" workbookViewId="0">
      <selection activeCell="D9" sqref="D9"/>
    </sheetView>
  </sheetViews>
  <sheetFormatPr baseColWidth="10" defaultColWidth="10.625" defaultRowHeight="15.75" outlineLevelCol="1"/>
  <cols>
    <col min="1" max="1" width="16.875" style="8" customWidth="1"/>
    <col min="2" max="2" width="19.125" style="8" customWidth="1"/>
    <col min="3" max="3" width="18.125" style="8" customWidth="1"/>
    <col min="4" max="4" width="19.5" style="8" customWidth="1"/>
    <col min="5" max="7" width="0" hidden="1" customWidth="1" outlineLevel="1"/>
    <col min="8" max="8" width="15.125" hidden="1" customWidth="1" outlineLevel="1"/>
    <col min="9" max="9" width="0" hidden="1" customWidth="1" outlineLevel="1"/>
    <col min="10" max="10" width="42" style="8" customWidth="1" collapsed="1"/>
    <col min="11" max="11" width="28.5" style="8" customWidth="1"/>
  </cols>
  <sheetData>
    <row r="1" spans="1:11" ht="31.5">
      <c r="A1" s="8" t="s">
        <v>92</v>
      </c>
      <c r="B1" s="14" t="s">
        <v>93</v>
      </c>
      <c r="C1" s="14" t="s">
        <v>94</v>
      </c>
      <c r="D1" s="14" t="s">
        <v>95</v>
      </c>
      <c r="E1" s="14" t="s">
        <v>96</v>
      </c>
      <c r="F1" s="14" t="s">
        <v>97</v>
      </c>
      <c r="G1" s="14" t="s">
        <v>98</v>
      </c>
      <c r="H1" s="14" t="s">
        <v>99</v>
      </c>
      <c r="I1" s="14" t="s">
        <v>100</v>
      </c>
      <c r="J1" s="14" t="s">
        <v>101</v>
      </c>
      <c r="K1" s="14" t="s">
        <v>102</v>
      </c>
    </row>
    <row r="2" spans="1:11">
      <c r="A2" s="13">
        <v>45166</v>
      </c>
      <c r="B2" s="8" t="s">
        <v>125</v>
      </c>
      <c r="C2" s="8" t="s">
        <v>125</v>
      </c>
      <c r="D2" s="10">
        <v>0.6</v>
      </c>
      <c r="J2" s="8" t="s">
        <v>127</v>
      </c>
      <c r="K2" s="8" t="s">
        <v>126</v>
      </c>
    </row>
    <row r="3" spans="1:11">
      <c r="A3" s="13">
        <v>45167</v>
      </c>
      <c r="B3" s="8" t="s">
        <v>125</v>
      </c>
      <c r="C3" s="8" t="s">
        <v>125</v>
      </c>
      <c r="D3" s="10">
        <v>0.4</v>
      </c>
      <c r="J3" s="8" t="s">
        <v>132</v>
      </c>
      <c r="K3" s="8" t="s">
        <v>133</v>
      </c>
    </row>
    <row r="4" spans="1:11">
      <c r="A4" s="13">
        <v>45168</v>
      </c>
      <c r="B4" s="8" t="s">
        <v>135</v>
      </c>
      <c r="C4" s="8" t="s">
        <v>135</v>
      </c>
      <c r="D4" s="10">
        <v>0.4</v>
      </c>
      <c r="J4" s="8" t="s">
        <v>132</v>
      </c>
      <c r="K4" s="8" t="s">
        <v>136</v>
      </c>
    </row>
    <row r="5" spans="1:11">
      <c r="A5" s="13">
        <v>45169</v>
      </c>
      <c r="B5" s="8" t="s">
        <v>125</v>
      </c>
      <c r="C5" s="8" t="s">
        <v>135</v>
      </c>
      <c r="D5" s="10">
        <v>0.4</v>
      </c>
      <c r="J5" s="8" t="s">
        <v>137</v>
      </c>
      <c r="K5" s="8" t="s">
        <v>138</v>
      </c>
    </row>
    <row r="6" spans="1:11">
      <c r="A6" s="13">
        <v>45170</v>
      </c>
    </row>
    <row r="7" spans="1:11">
      <c r="A7" s="13">
        <v>45171</v>
      </c>
    </row>
    <row r="8" spans="1:11">
      <c r="A8" s="13">
        <v>45172</v>
      </c>
    </row>
    <row r="9" spans="1:11">
      <c r="A9" s="13">
        <v>45173</v>
      </c>
    </row>
    <row r="10" spans="1:11">
      <c r="A10" s="13">
        <v>45174</v>
      </c>
    </row>
    <row r="11" spans="1:11">
      <c r="A11" s="13">
        <v>45175</v>
      </c>
    </row>
    <row r="12" spans="1:11">
      <c r="A12" s="13">
        <v>45176</v>
      </c>
    </row>
    <row r="13" spans="1:11">
      <c r="A13" s="13">
        <v>45177</v>
      </c>
    </row>
    <row r="14" spans="1:11">
      <c r="A14" s="13">
        <v>45178</v>
      </c>
    </row>
    <row r="15" spans="1:11">
      <c r="A15" s="13">
        <v>45179</v>
      </c>
    </row>
    <row r="16" spans="1:11">
      <c r="A16" s="13">
        <v>45180</v>
      </c>
    </row>
    <row r="17" spans="1:1">
      <c r="A17" s="13">
        <v>45181</v>
      </c>
    </row>
    <row r="18" spans="1:1">
      <c r="A18" s="13">
        <v>45182</v>
      </c>
    </row>
    <row r="19" spans="1:1">
      <c r="A19" s="13">
        <v>45183</v>
      </c>
    </row>
    <row r="20" spans="1:1">
      <c r="A20" s="13">
        <v>45184</v>
      </c>
    </row>
    <row r="21" spans="1:1">
      <c r="A21" s="13">
        <v>45185</v>
      </c>
    </row>
    <row r="22" spans="1:1">
      <c r="A22" s="13">
        <v>45186</v>
      </c>
    </row>
    <row r="23" spans="1:1">
      <c r="A23" s="13">
        <v>45187</v>
      </c>
    </row>
    <row r="24" spans="1:1">
      <c r="A24" s="13">
        <v>45188</v>
      </c>
    </row>
    <row r="25" spans="1:1">
      <c r="A25" s="13">
        <v>45189</v>
      </c>
    </row>
    <row r="26" spans="1:1">
      <c r="A26" s="13">
        <v>45190</v>
      </c>
    </row>
    <row r="27" spans="1:1">
      <c r="A27" s="13">
        <v>45191</v>
      </c>
    </row>
    <row r="28" spans="1:1">
      <c r="A28" s="13">
        <v>45192</v>
      </c>
    </row>
    <row r="29" spans="1:1">
      <c r="A29" s="13">
        <v>45193</v>
      </c>
    </row>
    <row r="30" spans="1:1">
      <c r="A30" s="13">
        <v>45194</v>
      </c>
    </row>
    <row r="31" spans="1:1">
      <c r="A31" s="13">
        <v>45195</v>
      </c>
    </row>
    <row r="32" spans="1:1">
      <c r="A32" s="13">
        <v>45196</v>
      </c>
    </row>
    <row r="33" spans="1:1">
      <c r="A33" s="13">
        <v>45197</v>
      </c>
    </row>
    <row r="34" spans="1:1">
      <c r="A34" s="13">
        <v>45198</v>
      </c>
    </row>
    <row r="35" spans="1:1">
      <c r="A35" s="13">
        <v>45199</v>
      </c>
    </row>
    <row r="36" spans="1:1">
      <c r="A36" s="13">
        <v>45200</v>
      </c>
    </row>
    <row r="37" spans="1:1">
      <c r="A37" s="13">
        <v>45201</v>
      </c>
    </row>
    <row r="38" spans="1:1">
      <c r="A38" s="13">
        <v>45202</v>
      </c>
    </row>
    <row r="39" spans="1:1">
      <c r="A39" s="13">
        <v>45203</v>
      </c>
    </row>
    <row r="40" spans="1:1">
      <c r="A40" s="13">
        <v>45204</v>
      </c>
    </row>
    <row r="41" spans="1:1">
      <c r="A41" s="13">
        <v>45205</v>
      </c>
    </row>
    <row r="42" spans="1:1">
      <c r="A42" s="13">
        <v>45206</v>
      </c>
    </row>
    <row r="43" spans="1:1">
      <c r="A43" s="13">
        <v>45207</v>
      </c>
    </row>
    <row r="44" spans="1:1">
      <c r="A44" s="13">
        <v>45208</v>
      </c>
    </row>
    <row r="45" spans="1:1">
      <c r="A45" s="13">
        <v>45209</v>
      </c>
    </row>
    <row r="46" spans="1:1">
      <c r="A46" s="13">
        <v>45210</v>
      </c>
    </row>
    <row r="47" spans="1:1">
      <c r="A47" s="13">
        <v>45211</v>
      </c>
    </row>
    <row r="48" spans="1:1">
      <c r="A48" s="13">
        <v>45212</v>
      </c>
    </row>
    <row r="49" spans="1:1">
      <c r="A49" s="13">
        <v>45213</v>
      </c>
    </row>
    <row r="50" spans="1:1">
      <c r="A50" s="13"/>
    </row>
    <row r="51" spans="1:1">
      <c r="A51" s="13"/>
    </row>
    <row r="52" spans="1:1">
      <c r="A52" s="13"/>
    </row>
  </sheetData>
  <conditionalFormatting sqref="B2:C52">
    <cfRule type="cellIs" dxfId="8" priority="4" operator="equal">
      <formula>"Ja"</formula>
    </cfRule>
    <cfRule type="cellIs" dxfId="7" priority="14" operator="equal">
      <formula>"Ja"</formula>
    </cfRule>
    <cfRule type="cellIs" dxfId="6" priority="15" operator="equal">
      <formula>"Nein"</formula>
    </cfRule>
  </conditionalFormatting>
  <conditionalFormatting sqref="D2:D5">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D2:D5" xr:uid="{B2E161F3-3A4E-9042-B62A-806000DA1055}">
      <formula1>"100%,80%,60%,40%,20%,0%"</formula1>
    </dataValidation>
    <dataValidation type="list" allowBlank="1" showInputMessage="1" showErrorMessage="1" sqref="B2:C52" xr:uid="{7FDD2772-70A7-4C43-8D43-0112E4DB6845}">
      <formula1>"Ja,Nein"</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tabSelected="1" topLeftCell="A13" zoomScaleNormal="100" workbookViewId="0">
      <selection activeCell="I34" sqref="I34"/>
    </sheetView>
  </sheetViews>
  <sheetFormatPr baseColWidth="10" defaultColWidth="10.625" defaultRowHeight="15.75"/>
  <cols>
    <col min="2" max="2" width="10.625" style="8" customWidth="1"/>
    <col min="3" max="8" width="10.625" style="8"/>
  </cols>
  <sheetData>
    <row r="1" spans="1:8" ht="26.25">
      <c r="B1" s="20" t="s">
        <v>103</v>
      </c>
    </row>
    <row r="4" spans="1:8">
      <c r="B4" s="21" t="s">
        <v>104</v>
      </c>
      <c r="C4" s="21" t="s">
        <v>105</v>
      </c>
      <c r="D4" s="21" t="s">
        <v>106</v>
      </c>
      <c r="E4" s="21" t="s">
        <v>107</v>
      </c>
      <c r="F4" s="21" t="s">
        <v>108</v>
      </c>
      <c r="G4" s="21" t="s">
        <v>109</v>
      </c>
      <c r="H4" s="21" t="s">
        <v>110</v>
      </c>
    </row>
    <row r="5" spans="1:8">
      <c r="A5" s="7">
        <v>0.16666666666666666</v>
      </c>
    </row>
    <row r="6" spans="1:8">
      <c r="A6" s="7">
        <v>0.1875</v>
      </c>
    </row>
    <row r="7" spans="1:8">
      <c r="A7" s="7">
        <v>0.20833333333333301</v>
      </c>
    </row>
    <row r="8" spans="1:8">
      <c r="A8" s="7">
        <v>0.22916666666666699</v>
      </c>
    </row>
    <row r="9" spans="1:8">
      <c r="A9" s="7">
        <v>0.25</v>
      </c>
    </row>
    <row r="10" spans="1:8">
      <c r="A10" s="7">
        <v>0.27083333333333398</v>
      </c>
    </row>
    <row r="11" spans="1:8">
      <c r="A11" s="7">
        <v>0.29166666666666702</v>
      </c>
    </row>
    <row r="12" spans="1:8">
      <c r="A12" s="7">
        <v>0.3125</v>
      </c>
    </row>
    <row r="13" spans="1:8">
      <c r="A13" s="7">
        <v>0.33333333333333398</v>
      </c>
    </row>
    <row r="14" spans="1:8">
      <c r="A14" s="7">
        <v>0.35416666666666702</v>
      </c>
    </row>
    <row r="15" spans="1:8">
      <c r="A15" s="7">
        <v>0.375</v>
      </c>
    </row>
    <row r="16" spans="1:8">
      <c r="A16" s="7">
        <v>0.39583333333333398</v>
      </c>
    </row>
    <row r="17" spans="1:6">
      <c r="A17" s="7">
        <v>0.41666666666666702</v>
      </c>
    </row>
    <row r="18" spans="1:6">
      <c r="A18" s="7">
        <v>0.4375</v>
      </c>
    </row>
    <row r="19" spans="1:6">
      <c r="A19" s="7">
        <v>0.45833333333333398</v>
      </c>
    </row>
    <row r="20" spans="1:6">
      <c r="A20" s="7">
        <v>0.47916666666666702</v>
      </c>
    </row>
    <row r="21" spans="1:6">
      <c r="A21" s="7">
        <v>0.5</v>
      </c>
    </row>
    <row r="22" spans="1:6">
      <c r="A22" s="7">
        <v>0.52083333333333404</v>
      </c>
    </row>
    <row r="23" spans="1:6">
      <c r="A23" s="7">
        <v>0.54166666666666696</v>
      </c>
      <c r="B23" s="22" t="s">
        <v>130</v>
      </c>
    </row>
    <row r="24" spans="1:6">
      <c r="A24" s="7">
        <v>0.5625</v>
      </c>
      <c r="B24" s="22" t="s">
        <v>130</v>
      </c>
    </row>
    <row r="25" spans="1:6">
      <c r="A25" s="7">
        <v>0.58333333333333404</v>
      </c>
      <c r="B25" s="22" t="s">
        <v>130</v>
      </c>
    </row>
    <row r="26" spans="1:6">
      <c r="A26" s="7">
        <v>0.60416666666666696</v>
      </c>
      <c r="B26" s="22" t="s">
        <v>130</v>
      </c>
    </row>
    <row r="27" spans="1:6">
      <c r="A27" s="7">
        <v>0.625000000000001</v>
      </c>
      <c r="B27" s="22" t="s">
        <v>130</v>
      </c>
      <c r="E27" s="27" t="s">
        <v>139</v>
      </c>
    </row>
    <row r="28" spans="1:6">
      <c r="A28" s="7">
        <v>0.64583333333333404</v>
      </c>
      <c r="B28" s="22" t="s">
        <v>130</v>
      </c>
      <c r="E28" s="27" t="s">
        <v>139</v>
      </c>
    </row>
    <row r="29" spans="1:6">
      <c r="A29" s="7">
        <v>0.66666666666666696</v>
      </c>
      <c r="B29" s="22" t="s">
        <v>130</v>
      </c>
      <c r="E29" s="27" t="s">
        <v>139</v>
      </c>
    </row>
    <row r="30" spans="1:6">
      <c r="A30" s="7">
        <v>0.687500000000001</v>
      </c>
      <c r="B30" s="22" t="s">
        <v>130</v>
      </c>
      <c r="C30" s="22" t="s">
        <v>130</v>
      </c>
      <c r="F30" s="27" t="s">
        <v>134</v>
      </c>
    </row>
    <row r="31" spans="1:6">
      <c r="A31" s="7">
        <v>0.70833333333333404</v>
      </c>
      <c r="C31" s="22" t="s">
        <v>130</v>
      </c>
      <c r="F31" s="27" t="s">
        <v>134</v>
      </c>
    </row>
    <row r="32" spans="1:6">
      <c r="A32" s="7">
        <v>0.72916666666666696</v>
      </c>
      <c r="C32" s="22" t="s">
        <v>130</v>
      </c>
      <c r="F32" s="27" t="s">
        <v>134</v>
      </c>
    </row>
    <row r="33" spans="1:6">
      <c r="A33" s="7">
        <v>0.750000000000001</v>
      </c>
      <c r="C33" s="22" t="s">
        <v>130</v>
      </c>
      <c r="F33" s="22" t="s">
        <v>140</v>
      </c>
    </row>
    <row r="34" spans="1:6">
      <c r="A34" s="7">
        <v>0.77083333333333404</v>
      </c>
      <c r="C34" s="22" t="s">
        <v>130</v>
      </c>
      <c r="F34" s="22" t="s">
        <v>140</v>
      </c>
    </row>
    <row r="35" spans="1:6">
      <c r="A35" s="7">
        <v>0.79166666666666696</v>
      </c>
      <c r="C35" s="22" t="s">
        <v>130</v>
      </c>
      <c r="F35" s="22" t="s">
        <v>140</v>
      </c>
    </row>
    <row r="36" spans="1:6">
      <c r="A36" s="7">
        <v>0.812500000000001</v>
      </c>
    </row>
    <row r="37" spans="1:6">
      <c r="A37" s="7">
        <v>0.83333333333333404</v>
      </c>
    </row>
    <row r="38" spans="1:6">
      <c r="A38" s="7">
        <v>0.85416666666666696</v>
      </c>
    </row>
    <row r="39" spans="1:6">
      <c r="A39" s="7">
        <v>0.875000000000001</v>
      </c>
    </row>
    <row r="40" spans="1:6">
      <c r="A40" s="7">
        <v>0.89583333333333404</v>
      </c>
    </row>
    <row r="41" spans="1:6">
      <c r="A41" s="7">
        <v>0.91666666666666696</v>
      </c>
    </row>
    <row r="42" spans="1:6">
      <c r="A42" s="7">
        <v>0.937500000000001</v>
      </c>
    </row>
    <row r="43" spans="1:6">
      <c r="A43" s="7">
        <v>0.95833333333333404</v>
      </c>
    </row>
    <row r="44" spans="1:6">
      <c r="A44" s="7">
        <v>0.97916666666666696</v>
      </c>
    </row>
    <row r="45" spans="1:6">
      <c r="A45" s="7">
        <v>1</v>
      </c>
    </row>
    <row r="46" spans="1:6">
      <c r="A46" s="7">
        <v>1.0208333333333299</v>
      </c>
    </row>
    <row r="47" spans="1:6">
      <c r="A47" s="7">
        <v>1.0416666666666701</v>
      </c>
    </row>
  </sheetData>
  <phoneticPr fontId="7" type="noConversion"/>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B5BAD-C256-4D9D-8EF3-665BEF9D49B2}">
  <dimension ref="A1:H47"/>
  <sheetViews>
    <sheetView zoomScale="117" workbookViewId="0">
      <selection activeCell="K20" sqref="K20"/>
    </sheetView>
  </sheetViews>
  <sheetFormatPr baseColWidth="10" defaultColWidth="10.625" defaultRowHeight="15.75"/>
  <cols>
    <col min="1" max="8" width="10.625" style="8"/>
  </cols>
  <sheetData>
    <row r="1" spans="1:8" ht="26.25">
      <c r="B1" s="20" t="s">
        <v>103</v>
      </c>
    </row>
    <row r="4" spans="1:8">
      <c r="B4" s="21" t="s">
        <v>104</v>
      </c>
      <c r="C4" s="21" t="s">
        <v>105</v>
      </c>
      <c r="D4" s="21" t="s">
        <v>106</v>
      </c>
      <c r="E4" s="21" t="s">
        <v>107</v>
      </c>
      <c r="F4" s="21" t="s">
        <v>108</v>
      </c>
      <c r="G4" s="21" t="s">
        <v>109</v>
      </c>
      <c r="H4" s="21" t="s">
        <v>110</v>
      </c>
    </row>
    <row r="5" spans="1:8">
      <c r="A5" s="24">
        <v>0.16666666666666666</v>
      </c>
    </row>
    <row r="6" spans="1:8">
      <c r="A6" s="24">
        <v>0.1875</v>
      </c>
    </row>
    <row r="7" spans="1:8">
      <c r="A7" s="24">
        <v>0.20833333333333301</v>
      </c>
    </row>
    <row r="8" spans="1:8">
      <c r="A8" s="24">
        <v>0.22916666666666699</v>
      </c>
    </row>
    <row r="9" spans="1:8">
      <c r="A9" s="24">
        <v>0.25</v>
      </c>
    </row>
    <row r="10" spans="1:8">
      <c r="A10" s="24">
        <v>0.27083333333333398</v>
      </c>
    </row>
    <row r="11" spans="1:8">
      <c r="A11" s="24">
        <v>0.29166666666666702</v>
      </c>
    </row>
    <row r="12" spans="1:8">
      <c r="A12" s="24">
        <v>0.3125</v>
      </c>
    </row>
    <row r="13" spans="1:8">
      <c r="A13" s="24">
        <v>0.33333333333333398</v>
      </c>
    </row>
    <row r="14" spans="1:8">
      <c r="A14" s="24">
        <v>0.35416666666666702</v>
      </c>
    </row>
    <row r="15" spans="1:8">
      <c r="A15" s="24">
        <v>0.375</v>
      </c>
    </row>
    <row r="16" spans="1:8">
      <c r="A16" s="24">
        <v>0.39583333333333398</v>
      </c>
    </row>
    <row r="17" spans="1:1">
      <c r="A17" s="24">
        <v>0.41666666666666702</v>
      </c>
    </row>
    <row r="18" spans="1:1">
      <c r="A18" s="24">
        <v>0.4375</v>
      </c>
    </row>
    <row r="19" spans="1:1">
      <c r="A19" s="24">
        <v>0.45833333333333398</v>
      </c>
    </row>
    <row r="20" spans="1:1">
      <c r="A20" s="24">
        <v>0.47916666666666702</v>
      </c>
    </row>
    <row r="21" spans="1:1">
      <c r="A21" s="24">
        <v>0.5</v>
      </c>
    </row>
    <row r="22" spans="1:1">
      <c r="A22" s="24">
        <v>0.52083333333333404</v>
      </c>
    </row>
    <row r="23" spans="1:1">
      <c r="A23" s="24">
        <v>0.54166666666666696</v>
      </c>
    </row>
    <row r="24" spans="1:1">
      <c r="A24" s="24">
        <v>0.5625</v>
      </c>
    </row>
    <row r="25" spans="1:1">
      <c r="A25" s="24">
        <v>0.58333333333333404</v>
      </c>
    </row>
    <row r="26" spans="1:1">
      <c r="A26" s="24">
        <v>0.60416666666666696</v>
      </c>
    </row>
    <row r="27" spans="1:1">
      <c r="A27" s="24">
        <v>0.625000000000001</v>
      </c>
    </row>
    <row r="28" spans="1:1">
      <c r="A28" s="24">
        <v>0.64583333333333404</v>
      </c>
    </row>
    <row r="29" spans="1:1">
      <c r="A29" s="24">
        <v>0.66666666666666696</v>
      </c>
    </row>
    <row r="30" spans="1:1">
      <c r="A30" s="24">
        <v>0.687500000000001</v>
      </c>
    </row>
    <row r="31" spans="1:1">
      <c r="A31" s="24">
        <v>0.70833333333333404</v>
      </c>
    </row>
    <row r="32" spans="1:1">
      <c r="A32" s="24">
        <v>0.72916666666666696</v>
      </c>
    </row>
    <row r="33" spans="1:1">
      <c r="A33" s="24">
        <v>0.750000000000001</v>
      </c>
    </row>
    <row r="34" spans="1:1">
      <c r="A34" s="24">
        <v>0.77083333333333404</v>
      </c>
    </row>
    <row r="35" spans="1:1">
      <c r="A35" s="24">
        <v>0.79166666666666696</v>
      </c>
    </row>
    <row r="36" spans="1:1">
      <c r="A36" s="24">
        <v>0.812500000000001</v>
      </c>
    </row>
    <row r="37" spans="1:1">
      <c r="A37" s="24">
        <v>0.83333333333333404</v>
      </c>
    </row>
    <row r="38" spans="1:1">
      <c r="A38" s="24">
        <v>0.85416666666666696</v>
      </c>
    </row>
    <row r="39" spans="1:1">
      <c r="A39" s="24">
        <v>0.875000000000001</v>
      </c>
    </row>
    <row r="40" spans="1:1">
      <c r="A40" s="24">
        <v>0.89583333333333404</v>
      </c>
    </row>
    <row r="41" spans="1:1">
      <c r="A41" s="24">
        <v>0.91666666666666696</v>
      </c>
    </row>
    <row r="42" spans="1:1">
      <c r="A42" s="24">
        <v>0.937500000000001</v>
      </c>
    </row>
    <row r="43" spans="1:1">
      <c r="A43" s="24">
        <v>0.95833333333333404</v>
      </c>
    </row>
    <row r="44" spans="1:1">
      <c r="A44" s="24">
        <v>0.97916666666666696</v>
      </c>
    </row>
    <row r="45" spans="1:1">
      <c r="A45" s="24">
        <v>1</v>
      </c>
    </row>
    <row r="46" spans="1:1">
      <c r="A46" s="24">
        <v>1.0208333333333299</v>
      </c>
    </row>
    <row r="47" spans="1:1">
      <c r="A47" s="24">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E0CC1-69BE-4020-B6B2-4DBFEA59E6E7}">
  <dimension ref="A1:H47"/>
  <sheetViews>
    <sheetView zoomScale="117" workbookViewId="0">
      <selection activeCell="J26" sqref="J26"/>
    </sheetView>
  </sheetViews>
  <sheetFormatPr baseColWidth="10" defaultColWidth="10.625" defaultRowHeight="15.75"/>
  <cols>
    <col min="1" max="8" width="10.625" style="8"/>
  </cols>
  <sheetData>
    <row r="1" spans="1:8" ht="26.25">
      <c r="B1" s="20" t="s">
        <v>103</v>
      </c>
    </row>
    <row r="4" spans="1:8">
      <c r="B4" s="21" t="s">
        <v>104</v>
      </c>
      <c r="C4" s="21" t="s">
        <v>105</v>
      </c>
      <c r="D4" s="21" t="s">
        <v>106</v>
      </c>
      <c r="E4" s="21" t="s">
        <v>107</v>
      </c>
      <c r="F4" s="21" t="s">
        <v>108</v>
      </c>
      <c r="G4" s="21" t="s">
        <v>109</v>
      </c>
      <c r="H4" s="21" t="s">
        <v>110</v>
      </c>
    </row>
    <row r="5" spans="1:8">
      <c r="A5" s="24">
        <v>0.16666666666666666</v>
      </c>
    </row>
    <row r="6" spans="1:8">
      <c r="A6" s="24">
        <v>0.1875</v>
      </c>
    </row>
    <row r="7" spans="1:8">
      <c r="A7" s="24">
        <v>0.20833333333333301</v>
      </c>
    </row>
    <row r="8" spans="1:8">
      <c r="A8" s="24">
        <v>0.22916666666666699</v>
      </c>
    </row>
    <row r="9" spans="1:8">
      <c r="A9" s="24">
        <v>0.25</v>
      </c>
    </row>
    <row r="10" spans="1:8">
      <c r="A10" s="24">
        <v>0.27083333333333398</v>
      </c>
    </row>
    <row r="11" spans="1:8">
      <c r="A11" s="24">
        <v>0.29166666666666702</v>
      </c>
    </row>
    <row r="12" spans="1:8">
      <c r="A12" s="24">
        <v>0.3125</v>
      </c>
    </row>
    <row r="13" spans="1:8">
      <c r="A13" s="24">
        <v>0.33333333333333398</v>
      </c>
    </row>
    <row r="14" spans="1:8">
      <c r="A14" s="24">
        <v>0.35416666666666702</v>
      </c>
    </row>
    <row r="15" spans="1:8">
      <c r="A15" s="24">
        <v>0.375</v>
      </c>
      <c r="B15" s="25" t="s">
        <v>131</v>
      </c>
      <c r="C15" s="25" t="s">
        <v>131</v>
      </c>
      <c r="D15" s="25" t="s">
        <v>131</v>
      </c>
      <c r="E15" s="25" t="s">
        <v>131</v>
      </c>
      <c r="F15" s="25" t="s">
        <v>131</v>
      </c>
    </row>
    <row r="16" spans="1:8">
      <c r="A16" s="24">
        <v>0.39583333333333398</v>
      </c>
      <c r="B16" s="25" t="s">
        <v>131</v>
      </c>
      <c r="C16" s="25" t="s">
        <v>131</v>
      </c>
      <c r="D16" s="25" t="s">
        <v>131</v>
      </c>
      <c r="E16" s="25" t="s">
        <v>131</v>
      </c>
      <c r="F16" s="25" t="s">
        <v>131</v>
      </c>
    </row>
    <row r="17" spans="1:6">
      <c r="A17" s="24">
        <v>0.41666666666666702</v>
      </c>
      <c r="B17" s="25" t="s">
        <v>131</v>
      </c>
      <c r="C17" s="25" t="s">
        <v>131</v>
      </c>
      <c r="D17" s="25" t="s">
        <v>131</v>
      </c>
      <c r="E17" s="25" t="s">
        <v>131</v>
      </c>
      <c r="F17" s="25" t="s">
        <v>131</v>
      </c>
    </row>
    <row r="18" spans="1:6">
      <c r="A18" s="24">
        <v>0.4375</v>
      </c>
      <c r="B18" s="25" t="s">
        <v>131</v>
      </c>
      <c r="C18" s="25" t="s">
        <v>131</v>
      </c>
      <c r="D18" s="25" t="s">
        <v>131</v>
      </c>
      <c r="E18" s="25" t="s">
        <v>131</v>
      </c>
      <c r="F18" s="25" t="s">
        <v>131</v>
      </c>
    </row>
    <row r="19" spans="1:6">
      <c r="A19" s="24">
        <v>0.45833333333333398</v>
      </c>
      <c r="B19" s="25" t="s">
        <v>131</v>
      </c>
      <c r="C19" s="25" t="s">
        <v>131</v>
      </c>
      <c r="D19" s="25" t="s">
        <v>131</v>
      </c>
      <c r="E19" s="25" t="s">
        <v>131</v>
      </c>
      <c r="F19" s="25" t="s">
        <v>131</v>
      </c>
    </row>
    <row r="20" spans="1:6">
      <c r="A20" s="24">
        <v>0.47916666666666702</v>
      </c>
      <c r="B20" s="25" t="s">
        <v>131</v>
      </c>
      <c r="C20" s="25" t="s">
        <v>131</v>
      </c>
      <c r="D20" s="25" t="s">
        <v>131</v>
      </c>
      <c r="E20" s="25" t="s">
        <v>131</v>
      </c>
      <c r="F20" s="25" t="s">
        <v>131</v>
      </c>
    </row>
    <row r="21" spans="1:6">
      <c r="A21" s="24">
        <v>0.5</v>
      </c>
      <c r="B21" s="25" t="s">
        <v>131</v>
      </c>
      <c r="C21" s="25" t="s">
        <v>131</v>
      </c>
      <c r="D21" s="25" t="s">
        <v>131</v>
      </c>
      <c r="E21" s="25" t="s">
        <v>131</v>
      </c>
      <c r="F21" s="25" t="s">
        <v>131</v>
      </c>
    </row>
    <row r="22" spans="1:6">
      <c r="A22" s="24">
        <v>0.52083333333333404</v>
      </c>
      <c r="B22" s="25" t="s">
        <v>131</v>
      </c>
      <c r="C22" s="25" t="s">
        <v>131</v>
      </c>
      <c r="D22" s="25" t="s">
        <v>131</v>
      </c>
      <c r="E22" s="25" t="s">
        <v>131</v>
      </c>
      <c r="F22" s="25" t="s">
        <v>131</v>
      </c>
    </row>
    <row r="23" spans="1:6">
      <c r="A23" s="24">
        <v>0.54166666666666696</v>
      </c>
      <c r="B23" s="25" t="s">
        <v>131</v>
      </c>
      <c r="C23" s="25" t="s">
        <v>131</v>
      </c>
      <c r="D23" s="25" t="s">
        <v>131</v>
      </c>
      <c r="E23" s="25" t="s">
        <v>131</v>
      </c>
      <c r="F23" s="25" t="s">
        <v>131</v>
      </c>
    </row>
    <row r="24" spans="1:6">
      <c r="A24" s="24">
        <v>0.5625</v>
      </c>
      <c r="B24" s="25" t="s">
        <v>131</v>
      </c>
      <c r="C24" s="25" t="s">
        <v>131</v>
      </c>
      <c r="D24" s="25" t="s">
        <v>131</v>
      </c>
      <c r="E24" s="25" t="s">
        <v>131</v>
      </c>
      <c r="F24" s="25" t="s">
        <v>131</v>
      </c>
    </row>
    <row r="25" spans="1:6">
      <c r="A25" s="24">
        <v>0.58333333333333404</v>
      </c>
      <c r="B25" s="25" t="s">
        <v>131</v>
      </c>
      <c r="C25" s="25" t="s">
        <v>131</v>
      </c>
      <c r="D25" s="25" t="s">
        <v>131</v>
      </c>
      <c r="E25" s="25" t="s">
        <v>131</v>
      </c>
      <c r="F25" s="25" t="s">
        <v>131</v>
      </c>
    </row>
    <row r="26" spans="1:6">
      <c r="A26" s="24">
        <v>0.60416666666666696</v>
      </c>
      <c r="B26" s="25" t="s">
        <v>131</v>
      </c>
      <c r="C26" s="25" t="s">
        <v>131</v>
      </c>
      <c r="D26" s="25" t="s">
        <v>131</v>
      </c>
      <c r="E26" s="25" t="s">
        <v>131</v>
      </c>
      <c r="F26" s="25" t="s">
        <v>131</v>
      </c>
    </row>
    <row r="27" spans="1:6">
      <c r="A27" s="24">
        <v>0.625000000000001</v>
      </c>
      <c r="B27" s="25" t="s">
        <v>131</v>
      </c>
      <c r="C27" s="25" t="s">
        <v>131</v>
      </c>
      <c r="D27" s="25" t="s">
        <v>131</v>
      </c>
      <c r="E27" s="25" t="s">
        <v>131</v>
      </c>
      <c r="F27" s="25" t="s">
        <v>131</v>
      </c>
    </row>
    <row r="28" spans="1:6">
      <c r="A28" s="24">
        <v>0.64583333333333404</v>
      </c>
      <c r="B28" s="25" t="s">
        <v>131</v>
      </c>
      <c r="C28" s="25" t="s">
        <v>131</v>
      </c>
      <c r="D28" s="25" t="s">
        <v>131</v>
      </c>
      <c r="E28" s="25" t="s">
        <v>131</v>
      </c>
      <c r="F28" s="25" t="s">
        <v>131</v>
      </c>
    </row>
    <row r="29" spans="1:6">
      <c r="A29" s="24">
        <v>0.66666666666666696</v>
      </c>
      <c r="B29" s="25" t="s">
        <v>131</v>
      </c>
      <c r="C29" s="25" t="s">
        <v>131</v>
      </c>
      <c r="D29" s="25" t="s">
        <v>131</v>
      </c>
      <c r="E29" s="25" t="s">
        <v>131</v>
      </c>
      <c r="F29" s="25" t="s">
        <v>131</v>
      </c>
    </row>
    <row r="30" spans="1:6">
      <c r="A30" s="24">
        <v>0.687500000000001</v>
      </c>
      <c r="B30" s="25" t="s">
        <v>131</v>
      </c>
      <c r="C30" s="25" t="s">
        <v>131</v>
      </c>
      <c r="D30" s="25" t="s">
        <v>131</v>
      </c>
      <c r="E30" s="25" t="s">
        <v>131</v>
      </c>
      <c r="F30" s="25" t="s">
        <v>131</v>
      </c>
    </row>
    <row r="31" spans="1:6">
      <c r="A31" s="24">
        <v>0.70833333333333404</v>
      </c>
      <c r="B31" s="25" t="s">
        <v>131</v>
      </c>
      <c r="C31" s="25" t="s">
        <v>131</v>
      </c>
      <c r="D31" s="25" t="s">
        <v>131</v>
      </c>
      <c r="E31" s="25" t="s">
        <v>131</v>
      </c>
      <c r="F31" s="25" t="s">
        <v>131</v>
      </c>
    </row>
    <row r="32" spans="1:6">
      <c r="A32" s="24">
        <v>0.72916666666666696</v>
      </c>
      <c r="B32" s="25" t="s">
        <v>131</v>
      </c>
      <c r="C32" s="25" t="s">
        <v>131</v>
      </c>
      <c r="D32" s="25" t="s">
        <v>131</v>
      </c>
      <c r="E32" s="25" t="s">
        <v>131</v>
      </c>
      <c r="F32" s="25" t="s">
        <v>131</v>
      </c>
    </row>
    <row r="33" spans="1:6">
      <c r="A33" s="24">
        <v>0.750000000000001</v>
      </c>
      <c r="B33" s="25" t="s">
        <v>131</v>
      </c>
      <c r="C33" s="25" t="s">
        <v>131</v>
      </c>
      <c r="D33" s="25" t="s">
        <v>131</v>
      </c>
      <c r="E33" s="25" t="s">
        <v>131</v>
      </c>
      <c r="F33" s="25" t="s">
        <v>131</v>
      </c>
    </row>
    <row r="34" spans="1:6">
      <c r="A34" s="24">
        <v>0.77083333333333404</v>
      </c>
      <c r="B34" s="25" t="s">
        <v>131</v>
      </c>
      <c r="C34" s="25" t="s">
        <v>131</v>
      </c>
      <c r="D34" s="25" t="s">
        <v>131</v>
      </c>
      <c r="E34" s="25" t="s">
        <v>131</v>
      </c>
      <c r="F34" s="25" t="s">
        <v>131</v>
      </c>
    </row>
    <row r="35" spans="1:6">
      <c r="A35" s="24">
        <v>0.79166666666666696</v>
      </c>
      <c r="B35" s="25" t="s">
        <v>131</v>
      </c>
      <c r="C35" s="25" t="s">
        <v>131</v>
      </c>
      <c r="D35" s="25" t="s">
        <v>131</v>
      </c>
      <c r="E35" s="25" t="s">
        <v>131</v>
      </c>
      <c r="F35" s="25" t="s">
        <v>131</v>
      </c>
    </row>
    <row r="36" spans="1:6">
      <c r="A36" s="24">
        <v>0.812500000000001</v>
      </c>
    </row>
    <row r="37" spans="1:6">
      <c r="A37" s="24">
        <v>0.83333333333333404</v>
      </c>
    </row>
    <row r="38" spans="1:6">
      <c r="A38" s="24">
        <v>0.85416666666666696</v>
      </c>
    </row>
    <row r="39" spans="1:6">
      <c r="A39" s="24">
        <v>0.875000000000001</v>
      </c>
    </row>
    <row r="40" spans="1:6">
      <c r="A40" s="24">
        <v>0.89583333333333404</v>
      </c>
    </row>
    <row r="41" spans="1:6">
      <c r="A41" s="24">
        <v>0.91666666666666696</v>
      </c>
    </row>
    <row r="42" spans="1:6">
      <c r="A42" s="24">
        <v>0.937500000000001</v>
      </c>
    </row>
    <row r="43" spans="1:6">
      <c r="A43" s="24">
        <v>0.95833333333333404</v>
      </c>
    </row>
    <row r="44" spans="1:6">
      <c r="A44" s="24">
        <v>0.97916666666666696</v>
      </c>
    </row>
    <row r="45" spans="1:6">
      <c r="A45" s="24">
        <v>1</v>
      </c>
    </row>
    <row r="46" spans="1:6">
      <c r="A46" s="24">
        <v>1.0208333333333299</v>
      </c>
    </row>
    <row r="47" spans="1:6">
      <c r="A47" s="24">
        <v>1.0416666666666701</v>
      </c>
    </row>
  </sheetData>
  <pageMargins left="0.7" right="0.7" top="0.75" bottom="0.75" header="0.3" footer="0.3"/>
  <pageSetup paperSize="9" orientation="portrait" horizontalDpi="4294967293" vertic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CC9BD-05A4-451D-A206-CF9ABED225E6}">
  <dimension ref="A1:H47"/>
  <sheetViews>
    <sheetView zoomScale="117" workbookViewId="0">
      <selection sqref="A1:F1048576"/>
    </sheetView>
  </sheetViews>
  <sheetFormatPr baseColWidth="10" defaultColWidth="10.625" defaultRowHeight="15.75"/>
  <cols>
    <col min="1" max="6" width="10.625" style="8"/>
  </cols>
  <sheetData>
    <row r="1" spans="1:8" ht="26.25">
      <c r="B1" s="20" t="s">
        <v>103</v>
      </c>
    </row>
    <row r="4" spans="1:8">
      <c r="B4" s="21" t="s">
        <v>104</v>
      </c>
      <c r="C4" s="21" t="s">
        <v>105</v>
      </c>
      <c r="D4" s="21" t="s">
        <v>106</v>
      </c>
      <c r="E4" s="21" t="s">
        <v>107</v>
      </c>
      <c r="F4" s="21" t="s">
        <v>108</v>
      </c>
      <c r="G4" s="2" t="s">
        <v>109</v>
      </c>
      <c r="H4" s="2" t="s">
        <v>110</v>
      </c>
    </row>
    <row r="5" spans="1:8">
      <c r="A5" s="24">
        <v>0.16666666666666666</v>
      </c>
    </row>
    <row r="6" spans="1:8">
      <c r="A6" s="24">
        <v>0.1875</v>
      </c>
    </row>
    <row r="7" spans="1:8">
      <c r="A7" s="24">
        <v>0.20833333333333301</v>
      </c>
    </row>
    <row r="8" spans="1:8">
      <c r="A8" s="24">
        <v>0.22916666666666699</v>
      </c>
    </row>
    <row r="9" spans="1:8">
      <c r="A9" s="24">
        <v>0.25</v>
      </c>
    </row>
    <row r="10" spans="1:8">
      <c r="A10" s="24">
        <v>0.27083333333333398</v>
      </c>
    </row>
    <row r="11" spans="1:8">
      <c r="A11" s="24">
        <v>0.29166666666666702</v>
      </c>
    </row>
    <row r="12" spans="1:8">
      <c r="A12" s="24">
        <v>0.3125</v>
      </c>
    </row>
    <row r="13" spans="1:8">
      <c r="A13" s="24">
        <v>0.33333333333333398</v>
      </c>
    </row>
    <row r="14" spans="1:8">
      <c r="A14" s="24">
        <v>0.35416666666666702</v>
      </c>
    </row>
    <row r="15" spans="1:8">
      <c r="A15" s="24">
        <v>0.375</v>
      </c>
      <c r="B15" s="25" t="s">
        <v>131</v>
      </c>
      <c r="C15" s="25" t="s">
        <v>131</v>
      </c>
      <c r="D15" s="25" t="s">
        <v>131</v>
      </c>
      <c r="E15" s="25" t="s">
        <v>131</v>
      </c>
      <c r="F15" s="25" t="s">
        <v>131</v>
      </c>
    </row>
    <row r="16" spans="1:8">
      <c r="A16" s="24">
        <v>0.39583333333333398</v>
      </c>
      <c r="B16" s="25" t="s">
        <v>131</v>
      </c>
      <c r="C16" s="25" t="s">
        <v>131</v>
      </c>
      <c r="D16" s="25" t="s">
        <v>131</v>
      </c>
      <c r="E16" s="25" t="s">
        <v>131</v>
      </c>
      <c r="F16" s="25" t="s">
        <v>131</v>
      </c>
    </row>
    <row r="17" spans="1:6">
      <c r="A17" s="24">
        <v>0.41666666666666702</v>
      </c>
      <c r="B17" s="25" t="s">
        <v>131</v>
      </c>
      <c r="C17" s="25" t="s">
        <v>131</v>
      </c>
      <c r="D17" s="25" t="s">
        <v>131</v>
      </c>
      <c r="E17" s="25" t="s">
        <v>131</v>
      </c>
      <c r="F17" s="25" t="s">
        <v>131</v>
      </c>
    </row>
    <row r="18" spans="1:6">
      <c r="A18" s="24">
        <v>0.4375</v>
      </c>
      <c r="B18" s="25" t="s">
        <v>131</v>
      </c>
      <c r="C18" s="25" t="s">
        <v>131</v>
      </c>
      <c r="D18" s="25" t="s">
        <v>131</v>
      </c>
      <c r="E18" s="25" t="s">
        <v>131</v>
      </c>
      <c r="F18" s="25" t="s">
        <v>131</v>
      </c>
    </row>
    <row r="19" spans="1:6">
      <c r="A19" s="24">
        <v>0.45833333333333398</v>
      </c>
      <c r="B19" s="25" t="s">
        <v>131</v>
      </c>
      <c r="C19" s="25" t="s">
        <v>131</v>
      </c>
      <c r="D19" s="25" t="s">
        <v>131</v>
      </c>
      <c r="E19" s="25" t="s">
        <v>131</v>
      </c>
      <c r="F19" s="25" t="s">
        <v>131</v>
      </c>
    </row>
    <row r="20" spans="1:6">
      <c r="A20" s="24">
        <v>0.47916666666666702</v>
      </c>
      <c r="B20" s="25" t="s">
        <v>131</v>
      </c>
      <c r="C20" s="25" t="s">
        <v>131</v>
      </c>
      <c r="D20" s="25" t="s">
        <v>131</v>
      </c>
      <c r="E20" s="25" t="s">
        <v>131</v>
      </c>
      <c r="F20" s="25" t="s">
        <v>131</v>
      </c>
    </row>
    <row r="21" spans="1:6">
      <c r="A21" s="24">
        <v>0.5</v>
      </c>
      <c r="B21" s="25" t="s">
        <v>131</v>
      </c>
      <c r="C21" s="25" t="s">
        <v>131</v>
      </c>
      <c r="D21" s="25" t="s">
        <v>131</v>
      </c>
      <c r="E21" s="25" t="s">
        <v>131</v>
      </c>
      <c r="F21" s="25" t="s">
        <v>131</v>
      </c>
    </row>
    <row r="22" spans="1:6">
      <c r="A22" s="24">
        <v>0.52083333333333404</v>
      </c>
      <c r="B22" s="25" t="s">
        <v>131</v>
      </c>
      <c r="C22" s="25" t="s">
        <v>131</v>
      </c>
      <c r="D22" s="25" t="s">
        <v>131</v>
      </c>
      <c r="E22" s="25" t="s">
        <v>131</v>
      </c>
      <c r="F22" s="25" t="s">
        <v>131</v>
      </c>
    </row>
    <row r="23" spans="1:6">
      <c r="A23" s="24">
        <v>0.54166666666666696</v>
      </c>
      <c r="B23" s="25" t="s">
        <v>131</v>
      </c>
      <c r="C23" s="25" t="s">
        <v>131</v>
      </c>
      <c r="D23" s="25" t="s">
        <v>131</v>
      </c>
      <c r="E23" s="25" t="s">
        <v>131</v>
      </c>
      <c r="F23" s="25" t="s">
        <v>131</v>
      </c>
    </row>
    <row r="24" spans="1:6">
      <c r="A24" s="24">
        <v>0.5625</v>
      </c>
      <c r="B24" s="25" t="s">
        <v>131</v>
      </c>
      <c r="C24" s="25" t="s">
        <v>131</v>
      </c>
      <c r="D24" s="25" t="s">
        <v>131</v>
      </c>
      <c r="E24" s="25" t="s">
        <v>131</v>
      </c>
      <c r="F24" s="25" t="s">
        <v>131</v>
      </c>
    </row>
    <row r="25" spans="1:6">
      <c r="A25" s="24">
        <v>0.58333333333333404</v>
      </c>
      <c r="B25" s="25" t="s">
        <v>131</v>
      </c>
      <c r="C25" s="25" t="s">
        <v>131</v>
      </c>
      <c r="D25" s="25" t="s">
        <v>131</v>
      </c>
      <c r="E25" s="25" t="s">
        <v>131</v>
      </c>
      <c r="F25" s="25" t="s">
        <v>131</v>
      </c>
    </row>
    <row r="26" spans="1:6">
      <c r="A26" s="24">
        <v>0.60416666666666696</v>
      </c>
      <c r="B26" s="25" t="s">
        <v>131</v>
      </c>
      <c r="C26" s="25" t="s">
        <v>131</v>
      </c>
      <c r="D26" s="25" t="s">
        <v>131</v>
      </c>
      <c r="E26" s="25" t="s">
        <v>131</v>
      </c>
      <c r="F26" s="25" t="s">
        <v>131</v>
      </c>
    </row>
    <row r="27" spans="1:6">
      <c r="A27" s="24">
        <v>0.625000000000001</v>
      </c>
      <c r="B27" s="25" t="s">
        <v>131</v>
      </c>
      <c r="C27" s="25" t="s">
        <v>131</v>
      </c>
      <c r="D27" s="25" t="s">
        <v>131</v>
      </c>
      <c r="E27" s="25" t="s">
        <v>131</v>
      </c>
      <c r="F27" s="25" t="s">
        <v>131</v>
      </c>
    </row>
    <row r="28" spans="1:6">
      <c r="A28" s="24">
        <v>0.64583333333333404</v>
      </c>
      <c r="B28" s="25" t="s">
        <v>131</v>
      </c>
      <c r="C28" s="25" t="s">
        <v>131</v>
      </c>
      <c r="D28" s="25" t="s">
        <v>131</v>
      </c>
      <c r="E28" s="25" t="s">
        <v>131</v>
      </c>
      <c r="F28" s="25" t="s">
        <v>131</v>
      </c>
    </row>
    <row r="29" spans="1:6">
      <c r="A29" s="24">
        <v>0.66666666666666696</v>
      </c>
      <c r="B29" s="25" t="s">
        <v>131</v>
      </c>
      <c r="C29" s="25" t="s">
        <v>131</v>
      </c>
      <c r="D29" s="25" t="s">
        <v>131</v>
      </c>
      <c r="E29" s="25" t="s">
        <v>131</v>
      </c>
      <c r="F29" s="25" t="s">
        <v>131</v>
      </c>
    </row>
    <row r="30" spans="1:6">
      <c r="A30" s="24">
        <v>0.687500000000001</v>
      </c>
      <c r="B30" s="25" t="s">
        <v>131</v>
      </c>
      <c r="C30" s="25" t="s">
        <v>131</v>
      </c>
      <c r="D30" s="25" t="s">
        <v>131</v>
      </c>
      <c r="E30" s="25" t="s">
        <v>131</v>
      </c>
      <c r="F30" s="25" t="s">
        <v>131</v>
      </c>
    </row>
    <row r="31" spans="1:6">
      <c r="A31" s="24">
        <v>0.70833333333333404</v>
      </c>
      <c r="B31" s="25" t="s">
        <v>131</v>
      </c>
      <c r="C31" s="25" t="s">
        <v>131</v>
      </c>
      <c r="D31" s="25" t="s">
        <v>131</v>
      </c>
      <c r="E31" s="25" t="s">
        <v>131</v>
      </c>
      <c r="F31" s="25" t="s">
        <v>131</v>
      </c>
    </row>
    <row r="32" spans="1:6">
      <c r="A32" s="24">
        <v>0.72916666666666696</v>
      </c>
      <c r="B32" s="25" t="s">
        <v>131</v>
      </c>
      <c r="C32" s="25" t="s">
        <v>131</v>
      </c>
      <c r="D32" s="25" t="s">
        <v>131</v>
      </c>
      <c r="E32" s="25" t="s">
        <v>131</v>
      </c>
      <c r="F32" s="25" t="s">
        <v>131</v>
      </c>
    </row>
    <row r="33" spans="1:6">
      <c r="A33" s="24">
        <v>0.750000000000001</v>
      </c>
      <c r="B33" s="25" t="s">
        <v>131</v>
      </c>
      <c r="C33" s="25" t="s">
        <v>131</v>
      </c>
      <c r="D33" s="25" t="s">
        <v>131</v>
      </c>
      <c r="E33" s="25" t="s">
        <v>131</v>
      </c>
      <c r="F33" s="25" t="s">
        <v>131</v>
      </c>
    </row>
    <row r="34" spans="1:6">
      <c r="A34" s="24">
        <v>0.77083333333333404</v>
      </c>
      <c r="B34" s="25" t="s">
        <v>131</v>
      </c>
      <c r="C34" s="25" t="s">
        <v>131</v>
      </c>
      <c r="D34" s="25" t="s">
        <v>131</v>
      </c>
      <c r="E34" s="25" t="s">
        <v>131</v>
      </c>
      <c r="F34" s="25" t="s">
        <v>131</v>
      </c>
    </row>
    <row r="35" spans="1:6">
      <c r="A35" s="24">
        <v>0.79166666666666696</v>
      </c>
      <c r="B35" s="25" t="s">
        <v>131</v>
      </c>
      <c r="C35" s="25" t="s">
        <v>131</v>
      </c>
      <c r="D35" s="25" t="s">
        <v>131</v>
      </c>
      <c r="E35" s="25" t="s">
        <v>131</v>
      </c>
      <c r="F35" s="25" t="s">
        <v>131</v>
      </c>
    </row>
    <row r="36" spans="1:6">
      <c r="A36" s="24">
        <v>0.812500000000001</v>
      </c>
    </row>
    <row r="37" spans="1:6">
      <c r="A37" s="24">
        <v>0.83333333333333404</v>
      </c>
    </row>
    <row r="38" spans="1:6">
      <c r="A38" s="24">
        <v>0.85416666666666696</v>
      </c>
    </row>
    <row r="39" spans="1:6">
      <c r="A39" s="24">
        <v>0.875000000000001</v>
      </c>
    </row>
    <row r="40" spans="1:6">
      <c r="A40" s="24">
        <v>0.89583333333333404</v>
      </c>
    </row>
    <row r="41" spans="1:6">
      <c r="A41" s="24">
        <v>0.91666666666666696</v>
      </c>
    </row>
    <row r="42" spans="1:6">
      <c r="A42" s="24">
        <v>0.937500000000001</v>
      </c>
    </row>
    <row r="43" spans="1:6">
      <c r="A43" s="24">
        <v>0.95833333333333404</v>
      </c>
    </row>
    <row r="44" spans="1:6">
      <c r="A44" s="24">
        <v>0.97916666666666696</v>
      </c>
    </row>
    <row r="45" spans="1:6">
      <c r="A45" s="24">
        <v>1</v>
      </c>
    </row>
    <row r="46" spans="1:6">
      <c r="A46" s="24">
        <v>1.0208333333333299</v>
      </c>
    </row>
    <row r="47" spans="1:6">
      <c r="A47" s="24">
        <v>1.0416666666666701</v>
      </c>
    </row>
  </sheetData>
  <pageMargins left="0.7" right="0.7" top="0.75" bottom="0.75" header="0.3" footer="0.3"/>
  <pageSetup paperSize="9" orientation="portrait" horizontalDpi="4294967293" vertic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A430-5F71-4A91-B7EF-AB4EC8135F13}">
  <dimension ref="A1:H47"/>
  <sheetViews>
    <sheetView zoomScale="117" workbookViewId="0">
      <selection sqref="A1:F1048576"/>
    </sheetView>
  </sheetViews>
  <sheetFormatPr baseColWidth="10" defaultColWidth="10.625" defaultRowHeight="15.75"/>
  <cols>
    <col min="1" max="6" width="10.625" style="8"/>
  </cols>
  <sheetData>
    <row r="1" spans="1:8" ht="26.25">
      <c r="B1" s="20" t="s">
        <v>103</v>
      </c>
    </row>
    <row r="4" spans="1:8">
      <c r="B4" s="21" t="s">
        <v>104</v>
      </c>
      <c r="C4" s="21" t="s">
        <v>105</v>
      </c>
      <c r="D4" s="21" t="s">
        <v>106</v>
      </c>
      <c r="E4" s="21" t="s">
        <v>107</v>
      </c>
      <c r="F4" s="21" t="s">
        <v>108</v>
      </c>
      <c r="G4" s="2" t="s">
        <v>109</v>
      </c>
      <c r="H4" s="2" t="s">
        <v>110</v>
      </c>
    </row>
    <row r="5" spans="1:8">
      <c r="A5" s="24">
        <v>0.16666666666666666</v>
      </c>
    </row>
    <row r="6" spans="1:8">
      <c r="A6" s="24">
        <v>0.1875</v>
      </c>
    </row>
    <row r="7" spans="1:8">
      <c r="A7" s="24">
        <v>0.20833333333333301</v>
      </c>
    </row>
    <row r="8" spans="1:8">
      <c r="A8" s="24">
        <v>0.22916666666666699</v>
      </c>
    </row>
    <row r="9" spans="1:8">
      <c r="A9" s="24">
        <v>0.25</v>
      </c>
    </row>
    <row r="10" spans="1:8">
      <c r="A10" s="24">
        <v>0.27083333333333398</v>
      </c>
    </row>
    <row r="11" spans="1:8">
      <c r="A11" s="24">
        <v>0.29166666666666702</v>
      </c>
    </row>
    <row r="12" spans="1:8">
      <c r="A12" s="24">
        <v>0.3125</v>
      </c>
    </row>
    <row r="13" spans="1:8">
      <c r="A13" s="24">
        <v>0.33333333333333398</v>
      </c>
    </row>
    <row r="14" spans="1:8">
      <c r="A14" s="24">
        <v>0.35416666666666702</v>
      </c>
    </row>
    <row r="15" spans="1:8">
      <c r="A15" s="24">
        <v>0.375</v>
      </c>
      <c r="B15" s="25" t="s">
        <v>131</v>
      </c>
      <c r="C15" s="25" t="s">
        <v>131</v>
      </c>
      <c r="D15" s="25" t="s">
        <v>131</v>
      </c>
      <c r="E15" s="25" t="s">
        <v>131</v>
      </c>
      <c r="F15" s="25" t="s">
        <v>131</v>
      </c>
    </row>
    <row r="16" spans="1:8">
      <c r="A16" s="24">
        <v>0.39583333333333398</v>
      </c>
      <c r="B16" s="25" t="s">
        <v>131</v>
      </c>
      <c r="C16" s="25" t="s">
        <v>131</v>
      </c>
      <c r="D16" s="25" t="s">
        <v>131</v>
      </c>
      <c r="E16" s="25" t="s">
        <v>131</v>
      </c>
      <c r="F16" s="25" t="s">
        <v>131</v>
      </c>
    </row>
    <row r="17" spans="1:6">
      <c r="A17" s="24">
        <v>0.41666666666666702</v>
      </c>
      <c r="B17" s="25" t="s">
        <v>131</v>
      </c>
      <c r="C17" s="25" t="s">
        <v>131</v>
      </c>
      <c r="D17" s="25" t="s">
        <v>131</v>
      </c>
      <c r="E17" s="25" t="s">
        <v>131</v>
      </c>
      <c r="F17" s="25" t="s">
        <v>131</v>
      </c>
    </row>
    <row r="18" spans="1:6">
      <c r="A18" s="24">
        <v>0.4375</v>
      </c>
      <c r="B18" s="25" t="s">
        <v>131</v>
      </c>
      <c r="C18" s="25" t="s">
        <v>131</v>
      </c>
      <c r="D18" s="25" t="s">
        <v>131</v>
      </c>
      <c r="E18" s="25" t="s">
        <v>131</v>
      </c>
      <c r="F18" s="25" t="s">
        <v>131</v>
      </c>
    </row>
    <row r="19" spans="1:6">
      <c r="A19" s="24">
        <v>0.45833333333333398</v>
      </c>
      <c r="B19" s="25" t="s">
        <v>131</v>
      </c>
      <c r="C19" s="25" t="s">
        <v>131</v>
      </c>
      <c r="D19" s="25" t="s">
        <v>131</v>
      </c>
      <c r="E19" s="25" t="s">
        <v>131</v>
      </c>
      <c r="F19" s="25" t="s">
        <v>131</v>
      </c>
    </row>
    <row r="20" spans="1:6">
      <c r="A20" s="24">
        <v>0.47916666666666702</v>
      </c>
      <c r="B20" s="25" t="s">
        <v>131</v>
      </c>
      <c r="C20" s="25" t="s">
        <v>131</v>
      </c>
      <c r="D20" s="25" t="s">
        <v>131</v>
      </c>
      <c r="E20" s="25" t="s">
        <v>131</v>
      </c>
      <c r="F20" s="25" t="s">
        <v>131</v>
      </c>
    </row>
    <row r="21" spans="1:6">
      <c r="A21" s="24">
        <v>0.5</v>
      </c>
      <c r="B21" s="25" t="s">
        <v>131</v>
      </c>
      <c r="C21" s="25" t="s">
        <v>131</v>
      </c>
      <c r="D21" s="25" t="s">
        <v>131</v>
      </c>
      <c r="E21" s="25" t="s">
        <v>131</v>
      </c>
      <c r="F21" s="25" t="s">
        <v>131</v>
      </c>
    </row>
    <row r="22" spans="1:6">
      <c r="A22" s="24">
        <v>0.52083333333333404</v>
      </c>
      <c r="B22" s="25" t="s">
        <v>131</v>
      </c>
      <c r="C22" s="25" t="s">
        <v>131</v>
      </c>
      <c r="D22" s="25" t="s">
        <v>131</v>
      </c>
      <c r="E22" s="25" t="s">
        <v>131</v>
      </c>
      <c r="F22" s="25" t="s">
        <v>131</v>
      </c>
    </row>
    <row r="23" spans="1:6">
      <c r="A23" s="24">
        <v>0.54166666666666696</v>
      </c>
      <c r="B23" s="25" t="s">
        <v>131</v>
      </c>
      <c r="C23" s="25" t="s">
        <v>131</v>
      </c>
      <c r="D23" s="25" t="s">
        <v>131</v>
      </c>
      <c r="E23" s="25" t="s">
        <v>131</v>
      </c>
      <c r="F23" s="25" t="s">
        <v>131</v>
      </c>
    </row>
    <row r="24" spans="1:6">
      <c r="A24" s="24">
        <v>0.5625</v>
      </c>
      <c r="B24" s="25" t="s">
        <v>131</v>
      </c>
      <c r="C24" s="25" t="s">
        <v>131</v>
      </c>
      <c r="D24" s="25" t="s">
        <v>131</v>
      </c>
      <c r="E24" s="25" t="s">
        <v>131</v>
      </c>
      <c r="F24" s="25" t="s">
        <v>131</v>
      </c>
    </row>
    <row r="25" spans="1:6">
      <c r="A25" s="24">
        <v>0.58333333333333404</v>
      </c>
      <c r="B25" s="25" t="s">
        <v>131</v>
      </c>
      <c r="C25" s="25" t="s">
        <v>131</v>
      </c>
      <c r="D25" s="25" t="s">
        <v>131</v>
      </c>
      <c r="E25" s="25" t="s">
        <v>131</v>
      </c>
      <c r="F25" s="25" t="s">
        <v>131</v>
      </c>
    </row>
    <row r="26" spans="1:6">
      <c r="A26" s="24">
        <v>0.60416666666666696</v>
      </c>
      <c r="B26" s="25" t="s">
        <v>131</v>
      </c>
      <c r="C26" s="25" t="s">
        <v>131</v>
      </c>
      <c r="D26" s="25" t="s">
        <v>131</v>
      </c>
      <c r="E26" s="25" t="s">
        <v>131</v>
      </c>
      <c r="F26" s="25" t="s">
        <v>131</v>
      </c>
    </row>
    <row r="27" spans="1:6">
      <c r="A27" s="24">
        <v>0.625000000000001</v>
      </c>
      <c r="B27" s="25" t="s">
        <v>131</v>
      </c>
      <c r="C27" s="25" t="s">
        <v>131</v>
      </c>
      <c r="D27" s="25" t="s">
        <v>131</v>
      </c>
      <c r="E27" s="25" t="s">
        <v>131</v>
      </c>
      <c r="F27" s="25" t="s">
        <v>131</v>
      </c>
    </row>
    <row r="28" spans="1:6">
      <c r="A28" s="24">
        <v>0.64583333333333404</v>
      </c>
      <c r="B28" s="25" t="s">
        <v>131</v>
      </c>
      <c r="C28" s="25" t="s">
        <v>131</v>
      </c>
      <c r="D28" s="25" t="s">
        <v>131</v>
      </c>
      <c r="E28" s="25" t="s">
        <v>131</v>
      </c>
      <c r="F28" s="25" t="s">
        <v>131</v>
      </c>
    </row>
    <row r="29" spans="1:6">
      <c r="A29" s="24">
        <v>0.66666666666666696</v>
      </c>
      <c r="B29" s="25" t="s">
        <v>131</v>
      </c>
      <c r="C29" s="25" t="s">
        <v>131</v>
      </c>
      <c r="D29" s="25" t="s">
        <v>131</v>
      </c>
      <c r="E29" s="25" t="s">
        <v>131</v>
      </c>
      <c r="F29" s="25" t="s">
        <v>131</v>
      </c>
    </row>
    <row r="30" spans="1:6">
      <c r="A30" s="24">
        <v>0.687500000000001</v>
      </c>
      <c r="B30" s="25" t="s">
        <v>131</v>
      </c>
      <c r="C30" s="25" t="s">
        <v>131</v>
      </c>
      <c r="D30" s="25" t="s">
        <v>131</v>
      </c>
      <c r="E30" s="25" t="s">
        <v>131</v>
      </c>
      <c r="F30" s="25" t="s">
        <v>131</v>
      </c>
    </row>
    <row r="31" spans="1:6">
      <c r="A31" s="24">
        <v>0.70833333333333404</v>
      </c>
      <c r="B31" s="25" t="s">
        <v>131</v>
      </c>
      <c r="C31" s="25" t="s">
        <v>131</v>
      </c>
      <c r="D31" s="25" t="s">
        <v>131</v>
      </c>
      <c r="E31" s="25" t="s">
        <v>131</v>
      </c>
      <c r="F31" s="25" t="s">
        <v>131</v>
      </c>
    </row>
    <row r="32" spans="1:6">
      <c r="A32" s="24">
        <v>0.72916666666666696</v>
      </c>
      <c r="B32" s="25" t="s">
        <v>131</v>
      </c>
      <c r="C32" s="25" t="s">
        <v>131</v>
      </c>
      <c r="D32" s="25" t="s">
        <v>131</v>
      </c>
      <c r="E32" s="25" t="s">
        <v>131</v>
      </c>
      <c r="F32" s="25" t="s">
        <v>131</v>
      </c>
    </row>
    <row r="33" spans="1:6">
      <c r="A33" s="24">
        <v>0.750000000000001</v>
      </c>
      <c r="B33" s="25" t="s">
        <v>131</v>
      </c>
      <c r="C33" s="25" t="s">
        <v>131</v>
      </c>
      <c r="D33" s="25" t="s">
        <v>131</v>
      </c>
      <c r="E33" s="25" t="s">
        <v>131</v>
      </c>
      <c r="F33" s="25" t="s">
        <v>131</v>
      </c>
    </row>
    <row r="34" spans="1:6">
      <c r="A34" s="24">
        <v>0.77083333333333404</v>
      </c>
      <c r="B34" s="25" t="s">
        <v>131</v>
      </c>
      <c r="C34" s="25" t="s">
        <v>131</v>
      </c>
      <c r="D34" s="25" t="s">
        <v>131</v>
      </c>
      <c r="E34" s="25" t="s">
        <v>131</v>
      </c>
      <c r="F34" s="25" t="s">
        <v>131</v>
      </c>
    </row>
    <row r="35" spans="1:6">
      <c r="A35" s="24">
        <v>0.79166666666666696</v>
      </c>
      <c r="B35" s="25" t="s">
        <v>131</v>
      </c>
      <c r="C35" s="25" t="s">
        <v>131</v>
      </c>
      <c r="D35" s="25" t="s">
        <v>131</v>
      </c>
      <c r="E35" s="25" t="s">
        <v>131</v>
      </c>
      <c r="F35" s="25" t="s">
        <v>131</v>
      </c>
    </row>
    <row r="36" spans="1:6">
      <c r="A36" s="24">
        <v>0.812500000000001</v>
      </c>
    </row>
    <row r="37" spans="1:6">
      <c r="A37" s="24">
        <v>0.83333333333333404</v>
      </c>
    </row>
    <row r="38" spans="1:6">
      <c r="A38" s="24">
        <v>0.85416666666666696</v>
      </c>
    </row>
    <row r="39" spans="1:6">
      <c r="A39" s="24">
        <v>0.875000000000001</v>
      </c>
    </row>
    <row r="40" spans="1:6">
      <c r="A40" s="24">
        <v>0.89583333333333404</v>
      </c>
    </row>
    <row r="41" spans="1:6">
      <c r="A41" s="24">
        <v>0.91666666666666696</v>
      </c>
    </row>
    <row r="42" spans="1:6">
      <c r="A42" s="24">
        <v>0.937500000000001</v>
      </c>
    </row>
    <row r="43" spans="1:6">
      <c r="A43" s="24">
        <v>0.95833333333333404</v>
      </c>
    </row>
    <row r="44" spans="1:6">
      <c r="A44" s="24">
        <v>0.97916666666666696</v>
      </c>
    </row>
    <row r="45" spans="1:6">
      <c r="A45" s="24">
        <v>1</v>
      </c>
    </row>
    <row r="46" spans="1:6">
      <c r="A46" s="24">
        <v>1.0208333333333299</v>
      </c>
    </row>
    <row r="47" spans="1:6">
      <c r="A47" s="24">
        <v>1.0416666666666701</v>
      </c>
    </row>
  </sheetData>
  <pageMargins left="0.7" right="0.7" top="0.75" bottom="0.75" header="0.3" footer="0.3"/>
  <pageSetup paperSize="9" orientation="portrait" horizontalDpi="4294967293" vertic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3FE21-51D2-4947-B556-F745B8EEFDF3}">
  <dimension ref="A1:H47"/>
  <sheetViews>
    <sheetView zoomScale="117" workbookViewId="0">
      <selection activeCell="H11" sqref="H11"/>
    </sheetView>
  </sheetViews>
  <sheetFormatPr baseColWidth="10" defaultColWidth="10.625" defaultRowHeight="15.75"/>
  <cols>
    <col min="1" max="6" width="10.625" style="8"/>
  </cols>
  <sheetData>
    <row r="1" spans="1:8" ht="26.25">
      <c r="B1" s="20" t="s">
        <v>103</v>
      </c>
    </row>
    <row r="4" spans="1:8">
      <c r="B4" s="21" t="s">
        <v>104</v>
      </c>
      <c r="C4" s="21" t="s">
        <v>105</v>
      </c>
      <c r="D4" s="21" t="s">
        <v>106</v>
      </c>
      <c r="E4" s="21" t="s">
        <v>107</v>
      </c>
      <c r="F4" s="21" t="s">
        <v>108</v>
      </c>
      <c r="G4" s="2" t="s">
        <v>109</v>
      </c>
      <c r="H4" s="2" t="s">
        <v>110</v>
      </c>
    </row>
    <row r="5" spans="1:8">
      <c r="A5" s="24">
        <v>0.16666666666666666</v>
      </c>
    </row>
    <row r="6" spans="1:8">
      <c r="A6" s="24">
        <v>0.1875</v>
      </c>
    </row>
    <row r="7" spans="1:8">
      <c r="A7" s="24">
        <v>0.20833333333333301</v>
      </c>
    </row>
    <row r="8" spans="1:8">
      <c r="A8" s="24">
        <v>0.22916666666666699</v>
      </c>
    </row>
    <row r="9" spans="1:8">
      <c r="A9" s="24">
        <v>0.25</v>
      </c>
    </row>
    <row r="10" spans="1:8">
      <c r="A10" s="24">
        <v>0.27083333333333398</v>
      </c>
    </row>
    <row r="11" spans="1:8">
      <c r="A11" s="24">
        <v>0.29166666666666702</v>
      </c>
    </row>
    <row r="12" spans="1:8">
      <c r="A12" s="24">
        <v>0.3125</v>
      </c>
    </row>
    <row r="13" spans="1:8">
      <c r="A13" s="24">
        <v>0.33333333333333398</v>
      </c>
    </row>
    <row r="14" spans="1:8">
      <c r="A14" s="24">
        <v>0.35416666666666702</v>
      </c>
    </row>
    <row r="15" spans="1:8">
      <c r="A15" s="24">
        <v>0.375</v>
      </c>
      <c r="B15" s="25" t="s">
        <v>131</v>
      </c>
      <c r="C15" s="25" t="s">
        <v>131</v>
      </c>
      <c r="D15" s="25" t="s">
        <v>131</v>
      </c>
      <c r="E15" s="25" t="s">
        <v>131</v>
      </c>
      <c r="F15" s="25" t="s">
        <v>131</v>
      </c>
    </row>
    <row r="16" spans="1:8">
      <c r="A16" s="24">
        <v>0.39583333333333398</v>
      </c>
      <c r="B16" s="25" t="s">
        <v>131</v>
      </c>
      <c r="C16" s="25" t="s">
        <v>131</v>
      </c>
      <c r="D16" s="25" t="s">
        <v>131</v>
      </c>
      <c r="E16" s="25" t="s">
        <v>131</v>
      </c>
      <c r="F16" s="25" t="s">
        <v>131</v>
      </c>
    </row>
    <row r="17" spans="1:6">
      <c r="A17" s="24">
        <v>0.41666666666666702</v>
      </c>
      <c r="B17" s="25" t="s">
        <v>131</v>
      </c>
      <c r="C17" s="25" t="s">
        <v>131</v>
      </c>
      <c r="D17" s="25" t="s">
        <v>131</v>
      </c>
      <c r="E17" s="25" t="s">
        <v>131</v>
      </c>
      <c r="F17" s="25" t="s">
        <v>131</v>
      </c>
    </row>
    <row r="18" spans="1:6">
      <c r="A18" s="24">
        <v>0.4375</v>
      </c>
      <c r="B18" s="25" t="s">
        <v>131</v>
      </c>
      <c r="C18" s="25" t="s">
        <v>131</v>
      </c>
      <c r="D18" s="25" t="s">
        <v>131</v>
      </c>
      <c r="E18" s="25" t="s">
        <v>131</v>
      </c>
      <c r="F18" s="25" t="s">
        <v>131</v>
      </c>
    </row>
    <row r="19" spans="1:6">
      <c r="A19" s="24">
        <v>0.45833333333333398</v>
      </c>
      <c r="B19" s="25" t="s">
        <v>131</v>
      </c>
      <c r="C19" s="25" t="s">
        <v>131</v>
      </c>
      <c r="D19" s="25" t="s">
        <v>131</v>
      </c>
      <c r="E19" s="25" t="s">
        <v>131</v>
      </c>
      <c r="F19" s="25" t="s">
        <v>131</v>
      </c>
    </row>
    <row r="20" spans="1:6">
      <c r="A20" s="24">
        <v>0.47916666666666702</v>
      </c>
      <c r="B20" s="25" t="s">
        <v>131</v>
      </c>
      <c r="C20" s="25" t="s">
        <v>131</v>
      </c>
      <c r="D20" s="25" t="s">
        <v>131</v>
      </c>
      <c r="E20" s="25" t="s">
        <v>131</v>
      </c>
      <c r="F20" s="25" t="s">
        <v>131</v>
      </c>
    </row>
    <row r="21" spans="1:6">
      <c r="A21" s="24">
        <v>0.5</v>
      </c>
      <c r="B21" s="25" t="s">
        <v>131</v>
      </c>
      <c r="C21" s="25" t="s">
        <v>131</v>
      </c>
      <c r="D21" s="25" t="s">
        <v>131</v>
      </c>
      <c r="E21" s="25" t="s">
        <v>131</v>
      </c>
      <c r="F21" s="25" t="s">
        <v>131</v>
      </c>
    </row>
    <row r="22" spans="1:6">
      <c r="A22" s="24">
        <v>0.52083333333333404</v>
      </c>
      <c r="B22" s="25" t="s">
        <v>131</v>
      </c>
      <c r="C22" s="25" t="s">
        <v>131</v>
      </c>
      <c r="D22" s="25" t="s">
        <v>131</v>
      </c>
      <c r="E22" s="25" t="s">
        <v>131</v>
      </c>
      <c r="F22" s="25" t="s">
        <v>131</v>
      </c>
    </row>
    <row r="23" spans="1:6">
      <c r="A23" s="24">
        <v>0.54166666666666696</v>
      </c>
      <c r="B23" s="25" t="s">
        <v>131</v>
      </c>
      <c r="C23" s="25" t="s">
        <v>131</v>
      </c>
      <c r="D23" s="25" t="s">
        <v>131</v>
      </c>
      <c r="E23" s="25" t="s">
        <v>131</v>
      </c>
      <c r="F23" s="25" t="s">
        <v>131</v>
      </c>
    </row>
    <row r="24" spans="1:6">
      <c r="A24" s="24">
        <v>0.5625</v>
      </c>
      <c r="B24" s="25" t="s">
        <v>131</v>
      </c>
      <c r="C24" s="25" t="s">
        <v>131</v>
      </c>
      <c r="D24" s="25" t="s">
        <v>131</v>
      </c>
      <c r="E24" s="25" t="s">
        <v>131</v>
      </c>
      <c r="F24" s="25" t="s">
        <v>131</v>
      </c>
    </row>
    <row r="25" spans="1:6">
      <c r="A25" s="24">
        <v>0.58333333333333404</v>
      </c>
      <c r="B25" s="25" t="s">
        <v>131</v>
      </c>
      <c r="C25" s="25" t="s">
        <v>131</v>
      </c>
      <c r="D25" s="25" t="s">
        <v>131</v>
      </c>
      <c r="E25" s="25" t="s">
        <v>131</v>
      </c>
      <c r="F25" s="25" t="s">
        <v>131</v>
      </c>
    </row>
    <row r="26" spans="1:6">
      <c r="A26" s="24">
        <v>0.60416666666666696</v>
      </c>
      <c r="B26" s="25" t="s">
        <v>131</v>
      </c>
      <c r="C26" s="25" t="s">
        <v>131</v>
      </c>
      <c r="D26" s="25" t="s">
        <v>131</v>
      </c>
      <c r="E26" s="25" t="s">
        <v>131</v>
      </c>
      <c r="F26" s="25" t="s">
        <v>131</v>
      </c>
    </row>
    <row r="27" spans="1:6">
      <c r="A27" s="24">
        <v>0.625000000000001</v>
      </c>
      <c r="B27" s="25" t="s">
        <v>131</v>
      </c>
      <c r="C27" s="25" t="s">
        <v>131</v>
      </c>
      <c r="D27" s="25" t="s">
        <v>131</v>
      </c>
      <c r="E27" s="25" t="s">
        <v>131</v>
      </c>
      <c r="F27" s="25" t="s">
        <v>131</v>
      </c>
    </row>
    <row r="28" spans="1:6">
      <c r="A28" s="24">
        <v>0.64583333333333404</v>
      </c>
      <c r="B28" s="25" t="s">
        <v>131</v>
      </c>
      <c r="C28" s="25" t="s">
        <v>131</v>
      </c>
      <c r="D28" s="25" t="s">
        <v>131</v>
      </c>
      <c r="E28" s="25" t="s">
        <v>131</v>
      </c>
      <c r="F28" s="25" t="s">
        <v>131</v>
      </c>
    </row>
    <row r="29" spans="1:6">
      <c r="A29" s="24">
        <v>0.66666666666666696</v>
      </c>
      <c r="B29" s="25" t="s">
        <v>131</v>
      </c>
      <c r="C29" s="25" t="s">
        <v>131</v>
      </c>
      <c r="D29" s="25" t="s">
        <v>131</v>
      </c>
      <c r="E29" s="25" t="s">
        <v>131</v>
      </c>
      <c r="F29" s="25" t="s">
        <v>131</v>
      </c>
    </row>
    <row r="30" spans="1:6">
      <c r="A30" s="24">
        <v>0.687500000000001</v>
      </c>
      <c r="B30" s="25" t="s">
        <v>131</v>
      </c>
      <c r="C30" s="25" t="s">
        <v>131</v>
      </c>
      <c r="D30" s="25" t="s">
        <v>131</v>
      </c>
      <c r="E30" s="25" t="s">
        <v>131</v>
      </c>
      <c r="F30" s="25" t="s">
        <v>131</v>
      </c>
    </row>
    <row r="31" spans="1:6">
      <c r="A31" s="24">
        <v>0.70833333333333404</v>
      </c>
      <c r="B31" s="25" t="s">
        <v>131</v>
      </c>
      <c r="C31" s="25" t="s">
        <v>131</v>
      </c>
      <c r="D31" s="25" t="s">
        <v>131</v>
      </c>
      <c r="E31" s="25" t="s">
        <v>131</v>
      </c>
      <c r="F31" s="25" t="s">
        <v>131</v>
      </c>
    </row>
    <row r="32" spans="1:6">
      <c r="A32" s="24">
        <v>0.72916666666666696</v>
      </c>
      <c r="B32" s="25" t="s">
        <v>131</v>
      </c>
      <c r="C32" s="25" t="s">
        <v>131</v>
      </c>
      <c r="D32" s="25" t="s">
        <v>131</v>
      </c>
      <c r="E32" s="25" t="s">
        <v>131</v>
      </c>
      <c r="F32" s="25" t="s">
        <v>131</v>
      </c>
    </row>
    <row r="33" spans="1:6">
      <c r="A33" s="24">
        <v>0.750000000000001</v>
      </c>
      <c r="B33" s="25" t="s">
        <v>131</v>
      </c>
      <c r="C33" s="25" t="s">
        <v>131</v>
      </c>
      <c r="D33" s="25" t="s">
        <v>131</v>
      </c>
      <c r="E33" s="25" t="s">
        <v>131</v>
      </c>
      <c r="F33" s="25" t="s">
        <v>131</v>
      </c>
    </row>
    <row r="34" spans="1:6">
      <c r="A34" s="24">
        <v>0.77083333333333404</v>
      </c>
      <c r="B34" s="25" t="s">
        <v>131</v>
      </c>
      <c r="C34" s="25" t="s">
        <v>131</v>
      </c>
      <c r="D34" s="25" t="s">
        <v>131</v>
      </c>
      <c r="E34" s="25" t="s">
        <v>131</v>
      </c>
      <c r="F34" s="25" t="s">
        <v>131</v>
      </c>
    </row>
    <row r="35" spans="1:6">
      <c r="A35" s="24">
        <v>0.79166666666666696</v>
      </c>
      <c r="B35" s="25" t="s">
        <v>131</v>
      </c>
      <c r="C35" s="25" t="s">
        <v>131</v>
      </c>
      <c r="D35" s="25" t="s">
        <v>131</v>
      </c>
      <c r="E35" s="25" t="s">
        <v>131</v>
      </c>
      <c r="F35" s="25" t="s">
        <v>131</v>
      </c>
    </row>
    <row r="36" spans="1:6">
      <c r="A36" s="24">
        <v>0.812500000000001</v>
      </c>
    </row>
    <row r="37" spans="1:6">
      <c r="A37" s="24">
        <v>0.83333333333333404</v>
      </c>
    </row>
    <row r="38" spans="1:6">
      <c r="A38" s="24">
        <v>0.85416666666666696</v>
      </c>
    </row>
    <row r="39" spans="1:6">
      <c r="A39" s="24">
        <v>0.875000000000001</v>
      </c>
    </row>
    <row r="40" spans="1:6">
      <c r="A40" s="24">
        <v>0.89583333333333404</v>
      </c>
    </row>
    <row r="41" spans="1:6">
      <c r="A41" s="24">
        <v>0.91666666666666696</v>
      </c>
    </row>
    <row r="42" spans="1:6">
      <c r="A42" s="24">
        <v>0.937500000000001</v>
      </c>
    </row>
    <row r="43" spans="1:6">
      <c r="A43" s="24">
        <v>0.95833333333333404</v>
      </c>
    </row>
    <row r="44" spans="1:6">
      <c r="A44" s="24">
        <v>0.97916666666666696</v>
      </c>
    </row>
    <row r="45" spans="1:6">
      <c r="A45" s="24">
        <v>1</v>
      </c>
    </row>
    <row r="46" spans="1:6">
      <c r="A46" s="24">
        <v>1.0208333333333299</v>
      </c>
    </row>
    <row r="47" spans="1:6">
      <c r="A47" s="24">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10</vt:i4>
      </vt:variant>
    </vt:vector>
  </HeadingPairs>
  <TitlesOfParts>
    <vt:vector size="10" baseType="lpstr">
      <vt:lpstr>ANLEITUNG</vt:lpstr>
      <vt:lpstr>Semesterplan</vt:lpstr>
      <vt:lpstr>Best-Practices</vt:lpstr>
      <vt:lpstr>COMMITTMENT</vt:lpstr>
      <vt:lpstr>Wochenplan KW 35</vt:lpstr>
      <vt:lpstr>Wochenplan KW 36</vt:lpstr>
      <vt:lpstr>Wochenplan KW 37</vt:lpstr>
      <vt:lpstr>Wochenplan KW 38</vt:lpstr>
      <vt:lpstr>Wochenplan KW 39</vt:lpstr>
      <vt:lpstr>Wochenplan KW 40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Office-Benutzer</dc:creator>
  <cp:keywords/>
  <dc:description/>
  <cp:lastModifiedBy>Goethe Entrepreneurship Conference</cp:lastModifiedBy>
  <cp:revision/>
  <dcterms:created xsi:type="dcterms:W3CDTF">2020-04-19T13:33:28Z</dcterms:created>
  <dcterms:modified xsi:type="dcterms:W3CDTF">2023-09-01T15:43:39Z</dcterms:modified>
  <cp:category/>
  <cp:contentStatus/>
</cp:coreProperties>
</file>