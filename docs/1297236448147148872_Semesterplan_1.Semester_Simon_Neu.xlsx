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simon\Documents\pumpkincareers\"/>
    </mc:Choice>
  </mc:AlternateContent>
  <xr:revisionPtr revIDLastSave="0" documentId="13_ncr:1_{1D1E3CB0-B51F-4183-BDB6-F3E97F2455EE}" xr6:coauthVersionLast="47" xr6:coauthVersionMax="47" xr10:uidLastSave="{00000000-0000-0000-0000-000000000000}"/>
  <bookViews>
    <workbookView xWindow="-108" yWindow="-108" windowWidth="23256" windowHeight="12456" activeTab="1" xr2:uid="{50F29292-BE80-0C47-A0D2-DD086CB3D310}"/>
  </bookViews>
  <sheets>
    <sheet name="ANLEITUNG" sheetId="10" r:id="rId1"/>
    <sheet name="Semesterplan" sheetId="7" r:id="rId2"/>
    <sheet name="Best-Practices" sheetId="2" r:id="rId3"/>
    <sheet name="COMMITTMENT" sheetId="9" r:id="rId4"/>
    <sheet name="Wochenplan KW 38" sheetId="3" r:id="rId5"/>
    <sheet name="Wochenplan KW 39" sheetId="8" r:id="rId6"/>
    <sheet name="WP KW 40" sheetId="12" r:id="rId7"/>
    <sheet name="KW41"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G55" i="7" l="1"/>
  <c r="GG43" i="7"/>
  <c r="GG34" i="7"/>
  <c r="GG20" i="7"/>
  <c r="GG4" i="7"/>
  <c r="FZ55" i="7"/>
  <c r="FZ43" i="7" s="1"/>
  <c r="FZ34" i="7" s="1"/>
  <c r="FZ20" i="7"/>
  <c r="FZ4" i="7"/>
  <c r="FS55" i="7"/>
  <c r="FS43" i="7"/>
  <c r="FS34" i="7"/>
  <c r="FS20" i="7"/>
  <c r="FS4" i="7"/>
  <c r="FL55" i="7"/>
  <c r="FL43" i="7"/>
  <c r="FL34" i="7"/>
  <c r="FL20" i="7"/>
  <c r="FL4" i="7"/>
  <c r="FE55" i="7"/>
  <c r="FE43" i="7"/>
  <c r="FE34" i="7"/>
  <c r="FE20" i="7"/>
  <c r="FE4" i="7"/>
  <c r="EX55" i="7"/>
  <c r="EX43" i="7"/>
  <c r="EX34" i="7"/>
  <c r="EX20" i="7"/>
  <c r="EX4" i="7"/>
  <c r="EQ55" i="7"/>
  <c r="EQ43" i="7"/>
  <c r="EQ34" i="7"/>
  <c r="EQ20" i="7"/>
  <c r="EQ4" i="7"/>
  <c r="EJ55" i="7"/>
  <c r="EJ43" i="7"/>
  <c r="EJ34" i="7"/>
  <c r="EJ20" i="7"/>
  <c r="EJ4" i="7"/>
  <c r="EC55" i="7"/>
  <c r="EC43" i="7"/>
  <c r="EC34" i="7"/>
  <c r="EC20" i="7"/>
  <c r="EC4" i="7"/>
  <c r="DV55" i="7"/>
  <c r="DV43" i="7"/>
  <c r="DV34" i="7"/>
  <c r="DV20" i="7"/>
  <c r="DV4" i="7"/>
  <c r="DO55" i="7"/>
  <c r="DO43" i="7"/>
  <c r="DO34" i="7"/>
  <c r="DO20" i="7"/>
  <c r="DO4" i="7"/>
  <c r="DH55" i="7"/>
  <c r="DH43" i="7"/>
  <c r="DH34" i="7"/>
  <c r="DH20" i="7"/>
  <c r="DH4" i="7"/>
  <c r="DA55" i="7"/>
  <c r="DA43" i="7"/>
  <c r="DA34" i="7"/>
  <c r="DA20" i="7"/>
  <c r="DA4" i="7"/>
  <c r="CT55" i="7"/>
  <c r="CT43" i="7"/>
  <c r="CT34" i="7" s="1"/>
  <c r="CT20" i="7"/>
  <c r="CT4" i="7"/>
  <c r="CM55" i="7"/>
  <c r="CM43" i="7"/>
  <c r="CM34" i="7" s="1"/>
  <c r="CM20" i="7"/>
  <c r="CM4" i="7"/>
  <c r="CF55" i="7"/>
  <c r="CF43" i="7"/>
  <c r="CF34" i="7"/>
  <c r="CF20" i="7"/>
  <c r="CF4" i="7"/>
  <c r="BY55" i="7"/>
  <c r="BY43" i="7"/>
  <c r="BY34" i="7"/>
  <c r="BY20" i="7"/>
  <c r="BY4" i="7"/>
  <c r="BR55" i="7"/>
  <c r="BR43" i="7" s="1"/>
  <c r="BR34" i="7" s="1"/>
  <c r="BR20" i="7"/>
  <c r="BR4" i="7"/>
  <c r="BK55" i="7"/>
  <c r="BK43" i="7" s="1"/>
  <c r="BK34" i="7" s="1"/>
  <c r="BK20" i="7"/>
  <c r="BK4" i="7"/>
  <c r="BD55" i="7"/>
  <c r="BD43" i="7"/>
  <c r="BD34" i="7"/>
  <c r="BD20" i="7"/>
  <c r="BD4" i="7"/>
  <c r="AW55" i="7"/>
  <c r="AW43" i="7"/>
  <c r="AW34" i="7"/>
  <c r="AW20" i="7"/>
  <c r="AW4" i="7"/>
  <c r="AP55" i="7"/>
  <c r="AP43" i="7" s="1"/>
  <c r="AP34" i="7" s="1"/>
  <c r="AP20" i="7"/>
  <c r="AP4" i="7"/>
  <c r="AI55" i="7"/>
  <c r="AI43" i="7"/>
  <c r="AI34" i="7" s="1"/>
  <c r="AI20" i="7"/>
  <c r="AI4" i="7"/>
  <c r="N4" i="7" l="1"/>
  <c r="N20" i="7"/>
  <c r="N34" i="7"/>
  <c r="N43" i="7"/>
  <c r="N55"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K25" i="7" a="1"/>
  <c r="K25" i="7" s="1"/>
  <c r="J25" i="7" a="1"/>
  <c r="J25" i="7" s="1"/>
  <c r="I25" i="7"/>
  <c r="K24" i="7" a="1"/>
  <c r="K24" i="7" s="1"/>
  <c r="J24" i="7" a="1"/>
  <c r="J24" i="7" s="1"/>
  <c r="I24" i="7"/>
  <c r="K22" i="7" a="1"/>
  <c r="K22" i="7" s="1"/>
  <c r="J22" i="7" a="1"/>
  <c r="J22" i="7" s="1"/>
  <c r="I22" i="7"/>
  <c r="K21" i="7" a="1"/>
  <c r="K21" i="7" s="1"/>
  <c r="K5" i="7" a="1"/>
  <c r="K5" i="7" s="1"/>
  <c r="J21" i="7" a="1"/>
  <c r="J21" i="7" s="1"/>
  <c r="I21" i="7"/>
  <c r="K53" i="7" a="1"/>
  <c r="K53" i="7" s="1"/>
  <c r="J53" i="7" a="1"/>
  <c r="J53" i="7" s="1"/>
  <c r="I53" i="7"/>
  <c r="K52" i="7" a="1"/>
  <c r="K52" i="7" s="1"/>
  <c r="J52" i="7" a="1"/>
  <c r="J52" i="7" s="1"/>
  <c r="I52" i="7"/>
  <c r="K51" i="7" a="1"/>
  <c r="K51" i="7" s="1"/>
  <c r="J51" i="7" a="1"/>
  <c r="J51" i="7" s="1"/>
  <c r="I51" i="7"/>
  <c r="K50" i="7" a="1"/>
  <c r="K50" i="7" s="1"/>
  <c r="J50" i="7" a="1"/>
  <c r="J50" i="7" s="1"/>
  <c r="I50" i="7"/>
  <c r="K37" i="7" a="1"/>
  <c r="K37" i="7" s="1"/>
  <c r="J37" i="7" a="1"/>
  <c r="J37" i="7" s="1"/>
  <c r="I37" i="7"/>
  <c r="K7" i="7" a="1"/>
  <c r="K7" i="7" s="1"/>
  <c r="J7" i="7" a="1"/>
  <c r="J7" i="7" s="1"/>
  <c r="I7" i="7"/>
  <c r="K13" i="7" a="1"/>
  <c r="K13" i="7" s="1"/>
  <c r="J13" i="7" a="1"/>
  <c r="J13" i="7" s="1"/>
  <c r="I13" i="7"/>
  <c r="K12" i="7" a="1"/>
  <c r="K12" i="7" s="1"/>
  <c r="J12" i="7" a="1"/>
  <c r="J12" i="7" s="1"/>
  <c r="I12" i="7"/>
  <c r="K11" i="7" a="1"/>
  <c r="K11" i="7" s="1"/>
  <c r="J11" i="7" a="1"/>
  <c r="J11" i="7" s="1"/>
  <c r="I11" i="7"/>
  <c r="K10" i="7" a="1"/>
  <c r="K10" i="7" s="1"/>
  <c r="J10" i="7" a="1"/>
  <c r="J10" i="7" s="1"/>
  <c r="I10" i="7"/>
  <c r="K9" i="7" a="1"/>
  <c r="K9" i="7" s="1"/>
  <c r="J9" i="7" a="1"/>
  <c r="J9" i="7" s="1"/>
  <c r="I9" i="7"/>
  <c r="AB55" i="7"/>
  <c r="AB43" i="7" s="1"/>
  <c r="AB34" i="7" s="1"/>
  <c r="AB20" i="7"/>
  <c r="AB4" i="7"/>
  <c r="U55" i="7"/>
  <c r="U43" i="7" s="1"/>
  <c r="U34" i="7" s="1"/>
  <c r="U20" i="7"/>
  <c r="C11" i="10"/>
  <c r="C12" i="10"/>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G55" i="7"/>
  <c r="K8" i="7" a="1"/>
  <c r="K8" i="7" s="1"/>
  <c r="J8" i="7" a="1"/>
  <c r="J8" i="7" s="1"/>
  <c r="I8" i="7"/>
  <c r="K6" i="7" a="1"/>
  <c r="K6" i="7" s="1"/>
  <c r="J6" i="7" a="1"/>
  <c r="J6" i="7" s="1"/>
  <c r="I6" i="7"/>
  <c r="K32" i="7" a="1"/>
  <c r="K32" i="7" s="1"/>
  <c r="J32" i="7" a="1"/>
  <c r="J32" i="7" s="1"/>
  <c r="I32" i="7"/>
  <c r="K26" i="7" a="1"/>
  <c r="K26" i="7" s="1"/>
  <c r="J26" i="7" a="1"/>
  <c r="J26" i="7" s="1"/>
  <c r="I26" i="7"/>
  <c r="K23" i="7" a="1"/>
  <c r="K23" i="7" s="1"/>
  <c r="J23" i="7" a="1"/>
  <c r="J23" i="7" s="1"/>
  <c r="I23"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G43" i="7"/>
  <c r="K41" i="7" a="1"/>
  <c r="K41" i="7" s="1"/>
  <c r="J41" i="7" a="1"/>
  <c r="J41" i="7" s="1"/>
  <c r="K40" i="7" a="1"/>
  <c r="K40" i="7" s="1"/>
  <c r="J40" i="7" a="1"/>
  <c r="J40" i="7" s="1"/>
  <c r="K39" i="7" a="1"/>
  <c r="K39" i="7" s="1"/>
  <c r="J39" i="7" a="1"/>
  <c r="J39" i="7" s="1"/>
  <c r="K38" i="7" a="1"/>
  <c r="K38" i="7" s="1"/>
  <c r="J38" i="7" a="1"/>
  <c r="J38" i="7" s="1"/>
  <c r="K36" i="7" a="1"/>
  <c r="K36" i="7" s="1"/>
  <c r="J36" i="7" a="1"/>
  <c r="J36" i="7" s="1"/>
  <c r="K35" i="7" a="1"/>
  <c r="K35" i="7" s="1"/>
  <c r="J35" i="7" a="1"/>
  <c r="J35" i="7" s="1"/>
  <c r="K18" i="7" a="1"/>
  <c r="K18" i="7" s="1"/>
  <c r="J18" i="7" a="1"/>
  <c r="J18" i="7" s="1"/>
  <c r="K17" i="7" a="1"/>
  <c r="K17" i="7" s="1"/>
  <c r="J17" i="7" a="1"/>
  <c r="J17" i="7" s="1"/>
  <c r="K16" i="7" a="1"/>
  <c r="K16" i="7" s="1"/>
  <c r="J16" i="7" a="1"/>
  <c r="J16" i="7" s="1"/>
  <c r="K15" i="7" a="1"/>
  <c r="K15" i="7" s="1"/>
  <c r="J15" i="7" a="1"/>
  <c r="J15" i="7" s="1"/>
  <c r="K14" i="7" a="1"/>
  <c r="K14" i="7" s="1"/>
  <c r="J14" i="7" a="1"/>
  <c r="J14" i="7" s="1"/>
  <c r="J5" i="7" a="1"/>
  <c r="J5" i="7" s="1"/>
  <c r="U4" i="7"/>
  <c r="G4" i="7"/>
  <c r="I41" i="7"/>
  <c r="I40" i="7"/>
  <c r="I39" i="7"/>
  <c r="I38" i="7"/>
  <c r="I36" i="7"/>
  <c r="I35" i="7"/>
  <c r="I14" i="7"/>
  <c r="I15" i="7"/>
  <c r="I16" i="7"/>
  <c r="I17" i="7"/>
  <c r="I18" i="7"/>
  <c r="I5" i="7"/>
  <c r="G34" i="7"/>
  <c r="G20" i="7"/>
  <c r="I20" i="7" l="1"/>
  <c r="I55" i="7"/>
  <c r="J55" i="7"/>
  <c r="K55" i="7"/>
  <c r="I43" i="7"/>
  <c r="K43" i="7"/>
  <c r="J43" i="7"/>
  <c r="I34" i="7"/>
  <c r="J34" i="7"/>
  <c r="K34" i="7"/>
  <c r="J20" i="7"/>
  <c r="K20"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<sst xmlns="http://schemas.openxmlformats.org/spreadsheetml/2006/main" count="552" uniqueCount="202">
  <si>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</si>
  <si>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</si>
  <si>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</si>
  <si>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</si>
  <si>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</si>
  <si>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</si>
  <si>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</si>
  <si>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</si>
  <si>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</si>
  <si>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</si>
  <si>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</si>
  <si>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</si>
  <si>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</si>
  <si>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</si>
  <si>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</si>
  <si>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</si>
  <si>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</si>
  <si>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</si>
  <si>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</si>
  <si>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</si>
  <si>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</si>
  <si>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</si>
  <si>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</si>
  <si>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</si>
  <si>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</si>
  <si>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</si>
  <si>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</si>
  <si>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</si>
  <si>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</si>
  <si>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</si>
  <si>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</si>
  <si>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</si>
  <si>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</si>
  <si>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</si>
  <si>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</si>
  <si>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</si>
  <si>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</si>
  <si>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</si>
  <si>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</si>
  <si>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</si>
  <si>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</si>
  <si>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</si>
  <si>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</si>
  <si>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</si>
  <si>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</si>
  <si>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</si>
  <si>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</si>
  <si>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</si>
  <si>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</si>
  <si>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</si>
  <si>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</si>
  <si>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</si>
  <si>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</si>
  <si>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</si>
  <si>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</si>
  <si>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</si>
  <si>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</si>
  <si>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</si>
  <si>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</si>
  <si>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</si>
  <si>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</si>
  <si>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</si>
  <si>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</si>
  <si>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</si>
  <si>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</si>
  <si>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</si>
  <si>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</si>
  <si>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</si>
  <si>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</si>
  <si>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</si>
  <si>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</si>
  <si>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</si>
  <si>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</si>
  <si>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</si>
  <si>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</si>
  <si>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</si>
  <si>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</si>
  <si>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</si>
  <si>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</si>
  <si>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</si>
  <si>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</si>
  <si>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</si>
  <si>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</si>
  <si>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</si>
  <si>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</si>
  <si>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</si>
  <si>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Einführung BWL</t>
  </si>
  <si>
    <t>Mathematische Methoden</t>
  </si>
  <si>
    <t>Explorative Datenanalyse</t>
  </si>
  <si>
    <t>Einführung VWL</t>
  </si>
  <si>
    <t>Jahresabschluss</t>
  </si>
  <si>
    <t>1) Gegenstand und Zweck des betrieblichen Rechnungswesens 16</t>
  </si>
  <si>
    <t>2) Buchführung 13</t>
  </si>
  <si>
    <t>3) Doppellte Buchführung 21</t>
  </si>
  <si>
    <t>4) Buchführungskreislauf 28</t>
  </si>
  <si>
    <t>5) Weiterführende Buchungen 21</t>
  </si>
  <si>
    <t>6) Jahresabschluss nach HGB 36</t>
  </si>
  <si>
    <t>7) Kapitalmarktorientierte Rechnungslegung nach IFRS 12</t>
  </si>
  <si>
    <t>9) Bewertung 9</t>
  </si>
  <si>
    <t>KW 43</t>
  </si>
  <si>
    <t>KW 44</t>
  </si>
  <si>
    <t>KW 45</t>
  </si>
  <si>
    <t>KW 46</t>
  </si>
  <si>
    <t>KW 47</t>
  </si>
  <si>
    <t>KW 48</t>
  </si>
  <si>
    <t>KW 49</t>
  </si>
  <si>
    <t>KW 50</t>
  </si>
  <si>
    <t>KW 51</t>
  </si>
  <si>
    <t>KW 52</t>
  </si>
  <si>
    <t>KW 1</t>
  </si>
  <si>
    <t>KW 3</t>
  </si>
  <si>
    <t>KW 4</t>
  </si>
  <si>
    <t>KW 5</t>
  </si>
  <si>
    <t>KW 2 80% 1. Semseters</t>
  </si>
  <si>
    <t>Ja</t>
  </si>
  <si>
    <t>Nein</t>
  </si>
  <si>
    <t>10)Bilanzierungsfragen/Jahresabschlussanalyse 16</t>
  </si>
  <si>
    <t>8) Gliederung Bilanz + Ansatz Vermögen &amp; Schulden 15</t>
  </si>
  <si>
    <t>KW 42 Vorlesungsbeginn</t>
  </si>
  <si>
    <t>Anki</t>
  </si>
  <si>
    <t>Weniger Ablenkung (am besten Tür immer zu) besseren, strukturierteren Tagesplan erstellen</t>
  </si>
  <si>
    <t>Aufstehen</t>
  </si>
  <si>
    <t>Aufstehen; und lesen</t>
  </si>
  <si>
    <t>Frühstücken</t>
  </si>
  <si>
    <t>1h Anki +1h Aufgaben (Einführung BWL</t>
  </si>
  <si>
    <t>Explorative Datenanalyse: 2h Anki; keine Aufgaben vorhanden</t>
  </si>
  <si>
    <t>Mathematische Methoden: 1h Anki + 1h Aufgaben</t>
  </si>
  <si>
    <t>Jahrsabschluss: 2h Anki</t>
  </si>
  <si>
    <t>Einführung BWL 1h Anki + 1h Aufgaben</t>
  </si>
  <si>
    <t>Mathe Anki 1h</t>
  </si>
  <si>
    <t>BWL 1h Anki + 1h Aufgaben</t>
  </si>
  <si>
    <t>Mahte 1h Anki + 1h Aufgaben</t>
  </si>
  <si>
    <t>Explorative Datenanalyse 2h Anki</t>
  </si>
  <si>
    <t>Teamsmeating BDO</t>
  </si>
  <si>
    <t>Jahresabschluss 2h Anki</t>
  </si>
  <si>
    <t>Aufstehen +Lesen</t>
  </si>
  <si>
    <t>Mathevorkurs</t>
  </si>
  <si>
    <t>Infoveranstaltung EcoBa</t>
  </si>
  <si>
    <t>Zug Anki lernen</t>
  </si>
  <si>
    <t>1) Statistische Variablen - Histogramm 25</t>
  </si>
  <si>
    <t>2) Maßzahlen zur charakterisierung von Verteilungen 14</t>
  </si>
  <si>
    <t>5) Regressionsanaylse 16</t>
  </si>
  <si>
    <t>6) Deskriptive Zeitreihenanalyse 25</t>
  </si>
  <si>
    <t>7) Indizes 8</t>
  </si>
  <si>
    <t>3) Mehrdimensionale empirische Verteilungen I 21 S. 67-88</t>
  </si>
  <si>
    <t>4) Mehrdimensionale empirische Verteilungen II 21 S.89-109</t>
  </si>
  <si>
    <t>1) Die Kapitalistische Revolution</t>
  </si>
  <si>
    <t xml:space="preserve">2) Technologie, Bevölkerung und Wachstum </t>
  </si>
  <si>
    <t>3) Knappheit, Arbeit und Entscheidungen</t>
  </si>
  <si>
    <t>4) Soziale Interaktionen</t>
  </si>
  <si>
    <t>5) Eigentum und Macht: Gegenseitige Vorteile und Konflikte</t>
  </si>
  <si>
    <t>6) Das Unternehmen: Eigentümer, Management und Beschäftigte</t>
  </si>
  <si>
    <t>7) Das Unternehmen und seine Kundschaft</t>
  </si>
  <si>
    <t>8) Preisbildung und Wettbewerb auf Märkten</t>
  </si>
  <si>
    <t>9) Rent-Seeking, Preissetzung und Marktdynamik</t>
  </si>
  <si>
    <t>10) Märkte, Effizienz und öffentliche Politik</t>
  </si>
  <si>
    <t>1) Vektoren - Matrixinvertierung 46</t>
  </si>
  <si>
    <t>2) Die Determinante - Ökonomische Anwendung von LGS'en 38</t>
  </si>
  <si>
    <t>3) Gauß'sche Elimination - Quadratische Formen 31</t>
  </si>
  <si>
    <t>4) Die Ableitung - Höhere Ableitung</t>
  </si>
  <si>
    <t>5) Konvexe Funktionen - Regel von L'Hospital</t>
  </si>
  <si>
    <t>6) Optimierung von Funktionen einer Variable</t>
  </si>
  <si>
    <t>7) Funktionen mehrerer Variablen</t>
  </si>
  <si>
    <t>8) Werkzeuge für die komparativ-statische Analyse</t>
  </si>
  <si>
    <t>9) Optimierung von Funktionen mit mehreren Variablen</t>
  </si>
  <si>
    <t>10) Optimierung unter Nebenbedingungen</t>
  </si>
  <si>
    <t xml:space="preserve">11) Das unbestimmte Integral - Integralfunktion </t>
  </si>
  <si>
    <t xml:space="preserve">12) Eigenschaften bestimmter Integrale - Mehrfachintegrale </t>
  </si>
  <si>
    <t>1) Grundlagen I</t>
  </si>
  <si>
    <t>2) Grundlagen II</t>
  </si>
  <si>
    <t>3) Unternehmerisch-strategische Perspektive I</t>
  </si>
  <si>
    <t>4) Unternehmerisch-strategische Perspektive II</t>
  </si>
  <si>
    <t>5) Finanzielle Perspektive I</t>
  </si>
  <si>
    <t>6) Finanzielle Perspektive II</t>
  </si>
  <si>
    <t>7) Kundenperspektive I</t>
  </si>
  <si>
    <t>8) Kundenperspektive II</t>
  </si>
  <si>
    <t>9) Produktions- und Prozessperspektive I</t>
  </si>
  <si>
    <t>10) Produktions- und Prozessperspektive II</t>
  </si>
  <si>
    <t>11) Mitarbeiterperspektive I</t>
  </si>
  <si>
    <t>12) Mitarbeiterperspektive II</t>
  </si>
  <si>
    <t>13) Normative Perspektive I</t>
  </si>
  <si>
    <t>14) Normative Perspektive II</t>
  </si>
  <si>
    <t>KW 38-41</t>
  </si>
  <si>
    <t>KW 6 Klausuren!!! EDA &amp; Mathe</t>
  </si>
  <si>
    <t>KW 7 Klausuren!!! VWL</t>
  </si>
  <si>
    <t>KW 8</t>
  </si>
  <si>
    <t>KW 9</t>
  </si>
  <si>
    <t>KW 10</t>
  </si>
  <si>
    <t>KW 12</t>
  </si>
  <si>
    <t>KW 13</t>
  </si>
  <si>
    <t>KW 14 Klausuren!!! BWL &amp; Jahresabschluss</t>
  </si>
  <si>
    <t>KW 11 100% für Nachtermin Klausuren</t>
  </si>
  <si>
    <t>5lv</t>
  </si>
  <si>
    <t>4lv</t>
  </si>
  <si>
    <t>3lv</t>
  </si>
  <si>
    <t>2lv</t>
  </si>
  <si>
    <t>1lv  Aufgaben</t>
  </si>
  <si>
    <t>VWL Klausur 12.04.</t>
  </si>
  <si>
    <t>6lv</t>
  </si>
  <si>
    <t>Rest der Woche nach der Klausur benutzen um wieder in den Stoff von BWL und Jahresabschluss reinzukommen</t>
  </si>
  <si>
    <t>Klausur EDA 08.02.</t>
  </si>
  <si>
    <t>Klausur Mathe 10.02.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</si>
</sst>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0"/>
      <color theme="1"/>
      <name val="Calibri"/>
      <family val="2"/>
      <scheme val="minor"/>
    </font>
    <font>
      <sz val="12"/>
      <color theme="0"/>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38">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3" borderId="0" xfId="0" applyFill="1"/>
    <xf numFmtId="0" fontId="0" fillId="4" borderId="0" xfId="0" applyFill="1"/>
    <xf numFmtId="0" fontId="0" fillId="5" borderId="0" xfId="0" applyFill="1"/>
    <xf numFmtId="0" fontId="1" fillId="2" borderId="0" xfId="0" applyFont="1" applyFill="1" applyAlignment="1">
      <alignment horizontal="left" wrapText="1"/>
    </xf>
    <xf numFmtId="9" fontId="0" fillId="6" borderId="0" xfId="0" applyNumberFormat="1" applyFill="1"/>
    <xf numFmtId="0" fontId="1" fillId="0" borderId="0" xfId="0" applyFont="1" applyAlignment="1">
      <alignment wrapText="1"/>
    </xf>
    <xf numFmtId="0" fontId="4" fillId="0" borderId="0" xfId="0" applyFont="1"/>
    <xf numFmtId="0" fontId="5" fillId="0" borderId="0" xfId="0" applyFont="1" applyAlignment="1">
      <alignment wrapText="1"/>
    </xf>
    <xf numFmtId="0" fontId="0" fillId="0" borderId="0" xfId="0"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vertical="center"/>
    </xf>
    <xf numFmtId="0" fontId="6" fillId="0" borderId="0" xfId="0" applyFont="1"/>
    <xf numFmtId="10" fontId="0" fillId="0" borderId="0" xfId="0" applyNumberFormat="1"/>
    <xf numFmtId="0" fontId="1" fillId="2" borderId="0" xfId="0" applyFont="1" applyFill="1" applyAlignment="1">
      <alignment horizontal="center"/>
    </xf>
    <xf numFmtId="0" fontId="5" fillId="0" borderId="0" xfId="0" applyFont="1" applyAlignment="1">
      <alignment horizontal="center" vertical="center" wrapText="1"/>
    </xf>
    <xf numFmtId="0" fontId="0" fillId="0" borderId="0" xfId="0" applyAlignment="1">
      <alignment horizontal="center" vertical="center" wrapText="1"/>
    </xf>
    <xf numFmtId="14" fontId="0" fillId="7" borderId="0" xfId="0" applyNumberFormat="1" applyFill="1" applyAlignment="1">
      <alignment horizontal="right"/>
    </xf>
    <xf numFmtId="14" fontId="0" fillId="8" borderId="0" xfId="0" applyNumberFormat="1" applyFill="1" applyAlignment="1">
      <alignment horizontal="right"/>
    </xf>
    <xf numFmtId="16" fontId="0" fillId="0" borderId="0" xfId="0" applyNumberFormat="1"/>
    <xf numFmtId="9" fontId="0" fillId="0" borderId="0" xfId="0" applyNumberFormat="1" applyFill="1"/>
    <xf numFmtId="0" fontId="0" fillId="0" borderId="0" xfId="0" applyFill="1"/>
    <xf numFmtId="0" fontId="0" fillId="0" borderId="0" xfId="0" applyFill="1" applyAlignment="1">
      <alignment horizontal="center" vertical="center"/>
    </xf>
    <xf numFmtId="0" fontId="0" fillId="9" borderId="0" xfId="0" applyFill="1" applyAlignment="1">
      <alignment horizontal="center" vertical="center" wrapText="1"/>
    </xf>
  </cellXfs>
  <cellStyles count="1">
    <cellStyle name="Standard" xfId="0" builtinId="0"/>
  </cellStyles>
  <dxfs count="494">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9" totalsRowShown="0" headerRowDxfId="493">
  <autoFilter ref="A1:K49" xr:uid="{6E266E34-2786-2747-BCE7-51B74867A564}"/>
  <tableColumns count="11">
    <tableColumn id="1" xr3:uid="{95FD92F7-3DC8-704D-A103-A7EDDAB255AB}" name="Datum" dataDxfId="492"/>
    <tableColumn id="2" xr3:uid="{F464D510-8166-E740-A343-FB84BDEF877F}" name="Lerneinheiten durchgezogen" dataDxfId="491"/>
    <tableColumn id="3" xr3:uid="{75F52B08-1A00-0848-BBE6-1EDF7B31B1AD}" name="Tagesplan erstellt" dataDxfId="490"/>
    <tableColumn id="4" xr3:uid="{E6B18D89-E799-AD48-9DAA-37AEE1D29011}" name="Konzentrationslevel" dataDxfId="489"/>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O1" zoomScale="74" workbookViewId="0">
      <selection activeCell="C12" sqref="C12"/>
    </sheetView>
  </sheetViews>
  <sheetFormatPr baseColWidth="10" defaultRowHeight="15.6"/>
  <cols>
    <col min="1" max="1" width="11.796875" customWidth="1"/>
    <col min="2" max="2" width="62.69921875" customWidth="1"/>
  </cols>
  <sheetData>
    <row r="2" spans="1:4">
      <c r="C2" s="16" t="s">
        <v>70</v>
      </c>
    </row>
    <row r="3" spans="1:4">
      <c r="C3" s="15" t="s">
        <v>55</v>
      </c>
    </row>
    <row r="4" spans="1:4">
      <c r="C4" s="14" t="s">
        <v>69</v>
      </c>
    </row>
    <row r="5" spans="1:4">
      <c r="A5" s="2" t="s">
        <v>52</v>
      </c>
      <c r="B5" s="2" t="s">
        <v>53</v>
      </c>
      <c r="C5" s="2" t="s">
        <v>54</v>
      </c>
      <c r="D5" s="2" t="s">
        <v>56</v>
      </c>
    </row>
    <row r="6" spans="1:4">
      <c r="A6" t="s">
        <v>48</v>
      </c>
      <c r="B6" s="16" t="s">
        <v>51</v>
      </c>
      <c r="D6" t="s">
        <v>85</v>
      </c>
    </row>
    <row r="7" spans="1:4">
      <c r="A7" t="s">
        <v>59</v>
      </c>
      <c r="B7" t="s">
        <v>60</v>
      </c>
      <c r="C7" s="14">
        <v>53</v>
      </c>
    </row>
    <row r="8" spans="1:4">
      <c r="A8" t="s">
        <v>50</v>
      </c>
      <c r="B8" s="16" t="s">
        <v>49</v>
      </c>
      <c r="D8" t="s">
        <v>73</v>
      </c>
    </row>
    <row r="9" spans="1:4">
      <c r="A9" t="s">
        <v>58</v>
      </c>
      <c r="B9" s="16" t="s">
        <v>71</v>
      </c>
      <c r="D9" t="s">
        <v>74</v>
      </c>
    </row>
    <row r="10" spans="1:4">
      <c r="A10" t="s">
        <v>62</v>
      </c>
      <c r="B10" t="s">
        <v>61</v>
      </c>
      <c r="C10" s="14">
        <v>15</v>
      </c>
      <c r="D10" t="s">
        <v>57</v>
      </c>
    </row>
    <row r="11" spans="1:4">
      <c r="A11" t="s">
        <v>63</v>
      </c>
      <c r="B11" t="s">
        <v>65</v>
      </c>
      <c r="C11" s="14">
        <f>40*3</f>
        <v>120</v>
      </c>
      <c r="D11" t="s">
        <v>64</v>
      </c>
    </row>
    <row r="12" spans="1:4">
      <c r="A12" t="s">
        <v>67</v>
      </c>
      <c r="B12" t="s">
        <v>66</v>
      </c>
      <c r="C12" s="15">
        <f>C11/C10</f>
        <v>8</v>
      </c>
    </row>
    <row r="13" spans="1:4">
      <c r="A13" t="s">
        <v>72</v>
      </c>
      <c r="B13" t="s">
        <v>68</v>
      </c>
      <c r="D13" t="s">
        <v>75</v>
      </c>
    </row>
    <row r="14" spans="1:4">
      <c r="A14" t="s">
        <v>76</v>
      </c>
      <c r="B14" t="s">
        <v>77</v>
      </c>
      <c r="D14" t="s">
        <v>78</v>
      </c>
    </row>
    <row r="15" spans="1:4">
      <c r="A15" t="s">
        <v>79</v>
      </c>
      <c r="B15" s="16" t="s">
        <v>80</v>
      </c>
    </row>
    <row r="16" spans="1:4">
      <c r="A16" t="s">
        <v>83</v>
      </c>
      <c r="B16" s="16" t="s">
        <v>81</v>
      </c>
    </row>
    <row r="17" spans="1:2">
      <c r="A17" t="s">
        <v>84</v>
      </c>
      <c r="B17" t="s">
        <v>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GL65"/>
  <sheetViews>
    <sheetView tabSelected="1" zoomScale="65" zoomScaleNormal="60" workbookViewId="0">
      <pane xSplit="11" topLeftCell="W1" activePane="topRight" state="frozen"/>
      <selection pane="topRight" activeCell="AG59" sqref="AG59"/>
    </sheetView>
  </sheetViews>
  <sheetFormatPr baseColWidth="10" defaultColWidth="8.796875" defaultRowHeight="15.6" outlineLevelRow="1"/>
  <cols>
    <col min="3" max="3" width="22.796875" customWidth="1"/>
    <col min="4" max="4" width="13" bestFit="1" customWidth="1"/>
    <col min="5" max="5" width="4.796875" bestFit="1" customWidth="1"/>
    <col min="6" max="6" width="57.5" customWidth="1"/>
    <col min="7" max="7" width="9.796875"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7" max="127" width="12.5" bestFit="1" customWidth="1"/>
    <col min="128" max="128" width="6.296875" customWidth="1"/>
    <col min="129" max="129" width="14.796875" bestFit="1" customWidth="1"/>
    <col min="130" max="130" width="6" customWidth="1"/>
    <col min="131" max="131" width="12.69921875" bestFit="1" customWidth="1"/>
    <col min="132" max="132" width="2.5" customWidth="1"/>
    <col min="134" max="134" width="12.5" bestFit="1" customWidth="1"/>
    <col min="135" max="135" width="6.296875" customWidth="1"/>
    <col min="136" max="136" width="14.796875" bestFit="1" customWidth="1"/>
    <col min="137" max="137" width="6" customWidth="1"/>
    <col min="138" max="138" width="12.69921875" bestFit="1" customWidth="1"/>
    <col min="139" max="139" width="2.5" customWidth="1"/>
    <col min="141" max="141" width="12.5" bestFit="1" customWidth="1"/>
    <col min="142" max="142" width="6.296875" customWidth="1"/>
    <col min="143" max="143" width="14.796875" bestFit="1" customWidth="1"/>
    <col min="144" max="144" width="6" customWidth="1"/>
    <col min="145" max="145" width="12.69921875" bestFit="1" customWidth="1"/>
    <col min="146" max="146" width="2.5" customWidth="1"/>
    <col min="148" max="148" width="12.5" bestFit="1" customWidth="1"/>
    <col min="149" max="149" width="6.296875" customWidth="1"/>
    <col min="150" max="150" width="14.796875" bestFit="1" customWidth="1"/>
    <col min="151" max="151" width="6" customWidth="1"/>
    <col min="152" max="152" width="12.69921875" bestFit="1" customWidth="1"/>
    <col min="153" max="153" width="2.5" customWidth="1"/>
    <col min="155" max="155" width="12.5" bestFit="1" customWidth="1"/>
    <col min="156" max="156" width="6.296875" customWidth="1"/>
    <col min="157" max="157" width="14.796875" bestFit="1" customWidth="1"/>
    <col min="158" max="158" width="6" customWidth="1"/>
    <col min="159" max="159" width="12.69921875" bestFit="1" customWidth="1"/>
    <col min="160" max="160" width="2.5" customWidth="1"/>
    <col min="162" max="162" width="12.5" bestFit="1" customWidth="1"/>
    <col min="163" max="163" width="6.296875" customWidth="1"/>
    <col min="164" max="164" width="14.796875" bestFit="1" customWidth="1"/>
    <col min="165" max="165" width="6" customWidth="1"/>
    <col min="166" max="166" width="12.69921875" bestFit="1" customWidth="1"/>
    <col min="167" max="167" width="2.5" customWidth="1"/>
    <col min="169" max="169" width="12.5" bestFit="1" customWidth="1"/>
    <col min="170" max="170" width="6.296875" customWidth="1"/>
    <col min="171" max="171" width="14.796875" bestFit="1" customWidth="1"/>
    <col min="172" max="172" width="6" customWidth="1"/>
    <col min="173" max="173" width="12.69921875" bestFit="1" customWidth="1"/>
    <col min="174" max="174" width="2.5" customWidth="1"/>
    <col min="176" max="176" width="12.5" bestFit="1" customWidth="1"/>
    <col min="177" max="177" width="6.296875" customWidth="1"/>
    <col min="178" max="178" width="14.796875" bestFit="1" customWidth="1"/>
    <col min="179" max="179" width="6" customWidth="1"/>
    <col min="180" max="180" width="12.69921875" bestFit="1" customWidth="1"/>
    <col min="181" max="181" width="2.5" customWidth="1"/>
    <col min="183" max="183" width="12.5" bestFit="1" customWidth="1"/>
    <col min="184" max="184" width="6.296875" customWidth="1"/>
    <col min="185" max="185" width="14.796875" bestFit="1" customWidth="1"/>
    <col min="186" max="186" width="6" customWidth="1"/>
    <col min="187" max="187" width="12.69921875" bestFit="1" customWidth="1"/>
    <col min="188" max="188" width="2.5" customWidth="1"/>
    <col min="190" max="190" width="12.5" bestFit="1" customWidth="1"/>
    <col min="191" max="191" width="6.296875" customWidth="1"/>
    <col min="192" max="192" width="14.796875" bestFit="1" customWidth="1"/>
    <col min="193" max="193" width="6" customWidth="1"/>
    <col min="194" max="194" width="12.69921875" bestFit="1" customWidth="1"/>
  </cols>
  <sheetData>
    <row r="1" spans="2:194" ht="33.6">
      <c r="B1" s="4" t="s">
        <v>0</v>
      </c>
      <c r="D1" s="4"/>
      <c r="N1">
        <v>152</v>
      </c>
      <c r="P1">
        <v>16</v>
      </c>
      <c r="Q1" s="33"/>
      <c r="R1">
        <v>9.5</v>
      </c>
      <c r="AE1">
        <v>10</v>
      </c>
      <c r="AL1">
        <v>10</v>
      </c>
      <c r="AS1">
        <v>10</v>
      </c>
      <c r="AZ1">
        <v>10</v>
      </c>
      <c r="BG1">
        <v>10</v>
      </c>
      <c r="BN1">
        <v>10</v>
      </c>
      <c r="BU1">
        <v>10</v>
      </c>
      <c r="CB1">
        <v>10</v>
      </c>
      <c r="CI1">
        <v>10</v>
      </c>
      <c r="CP1">
        <v>10</v>
      </c>
      <c r="CW1">
        <v>10</v>
      </c>
      <c r="DD1">
        <v>10</v>
      </c>
    </row>
    <row r="2" spans="2:194">
      <c r="I2" s="28" t="s">
        <v>27</v>
      </c>
      <c r="J2" s="28"/>
      <c r="K2" s="28"/>
      <c r="L2" s="28"/>
      <c r="N2" s="28" t="s">
        <v>182</v>
      </c>
      <c r="O2" s="28"/>
      <c r="P2" s="28"/>
      <c r="Q2" s="28"/>
      <c r="R2" s="28"/>
      <c r="S2" s="28"/>
      <c r="U2" s="28" t="s">
        <v>118</v>
      </c>
      <c r="V2" s="28"/>
      <c r="W2" s="28"/>
      <c r="X2" s="28"/>
      <c r="Y2" s="28"/>
      <c r="Z2" s="28"/>
      <c r="AB2" s="28" t="s">
        <v>99</v>
      </c>
      <c r="AC2" s="28"/>
      <c r="AD2" s="28"/>
      <c r="AE2" s="28"/>
      <c r="AF2" s="28"/>
      <c r="AG2" s="28"/>
      <c r="AI2" s="28" t="s">
        <v>100</v>
      </c>
      <c r="AJ2" s="28"/>
      <c r="AK2" s="28"/>
      <c r="AL2" s="28"/>
      <c r="AM2" s="28"/>
      <c r="AN2" s="28"/>
      <c r="AP2" s="28" t="s">
        <v>101</v>
      </c>
      <c r="AQ2" s="28"/>
      <c r="AR2" s="28"/>
      <c r="AS2" s="28"/>
      <c r="AT2" s="28"/>
      <c r="AU2" s="28"/>
      <c r="AW2" s="28" t="s">
        <v>102</v>
      </c>
      <c r="AX2" s="28"/>
      <c r="AY2" s="28"/>
      <c r="AZ2" s="28"/>
      <c r="BA2" s="28"/>
      <c r="BB2" s="28"/>
      <c r="BD2" s="28" t="s">
        <v>103</v>
      </c>
      <c r="BE2" s="28"/>
      <c r="BF2" s="28"/>
      <c r="BG2" s="28"/>
      <c r="BH2" s="28"/>
      <c r="BI2" s="28"/>
      <c r="BK2" s="28" t="s">
        <v>104</v>
      </c>
      <c r="BL2" s="28"/>
      <c r="BM2" s="28"/>
      <c r="BN2" s="28"/>
      <c r="BO2" s="28"/>
      <c r="BP2" s="28"/>
      <c r="BR2" s="28" t="s">
        <v>105</v>
      </c>
      <c r="BS2" s="28"/>
      <c r="BT2" s="28"/>
      <c r="BU2" s="28"/>
      <c r="BV2" s="28"/>
      <c r="BW2" s="28"/>
      <c r="BY2" s="28" t="s">
        <v>106</v>
      </c>
      <c r="BZ2" s="28"/>
      <c r="CA2" s="28"/>
      <c r="CB2" s="28"/>
      <c r="CC2" s="28"/>
      <c r="CD2" s="28"/>
      <c r="CF2" s="28" t="s">
        <v>107</v>
      </c>
      <c r="CG2" s="28"/>
      <c r="CH2" s="28"/>
      <c r="CI2" s="28"/>
      <c r="CJ2" s="28"/>
      <c r="CK2" s="28"/>
      <c r="CM2" s="28" t="s">
        <v>108</v>
      </c>
      <c r="CN2" s="28"/>
      <c r="CO2" s="28"/>
      <c r="CP2" s="28"/>
      <c r="CQ2" s="28"/>
      <c r="CR2" s="28"/>
      <c r="CT2" s="28" t="s">
        <v>109</v>
      </c>
      <c r="CU2" s="28"/>
      <c r="CV2" s="28"/>
      <c r="CW2" s="28"/>
      <c r="CX2" s="28"/>
      <c r="CY2" s="28"/>
      <c r="DA2" s="28" t="s">
        <v>113</v>
      </c>
      <c r="DB2" s="28"/>
      <c r="DC2" s="28"/>
      <c r="DD2" s="28"/>
      <c r="DE2" s="28"/>
      <c r="DF2" s="28"/>
      <c r="DH2" s="28" t="s">
        <v>110</v>
      </c>
      <c r="DI2" s="28"/>
      <c r="DJ2" s="28"/>
      <c r="DK2" s="28"/>
      <c r="DL2" s="28"/>
      <c r="DM2" s="28"/>
      <c r="DO2" s="28" t="s">
        <v>111</v>
      </c>
      <c r="DP2" s="28"/>
      <c r="DQ2" s="28"/>
      <c r="DR2" s="28"/>
      <c r="DS2" s="28"/>
      <c r="DT2" s="28"/>
      <c r="DV2" s="28" t="s">
        <v>112</v>
      </c>
      <c r="DW2" s="28"/>
      <c r="DX2" s="28"/>
      <c r="DY2" s="28"/>
      <c r="DZ2" s="28"/>
      <c r="EA2" s="28"/>
      <c r="EC2" s="28" t="s">
        <v>183</v>
      </c>
      <c r="ED2" s="28"/>
      <c r="EE2" s="28"/>
      <c r="EF2" s="28"/>
      <c r="EG2" s="28"/>
      <c r="EH2" s="28"/>
      <c r="EJ2" s="28" t="s">
        <v>184</v>
      </c>
      <c r="EK2" s="28"/>
      <c r="EL2" s="28"/>
      <c r="EM2" s="28"/>
      <c r="EN2" s="28"/>
      <c r="EO2" s="28"/>
      <c r="EQ2" s="28" t="s">
        <v>185</v>
      </c>
      <c r="ER2" s="28"/>
      <c r="ES2" s="28"/>
      <c r="ET2" s="28"/>
      <c r="EU2" s="28"/>
      <c r="EV2" s="28"/>
      <c r="EX2" s="28" t="s">
        <v>186</v>
      </c>
      <c r="EY2" s="28"/>
      <c r="EZ2" s="28"/>
      <c r="FA2" s="28"/>
      <c r="FB2" s="28"/>
      <c r="FC2" s="28"/>
      <c r="FE2" s="28" t="s">
        <v>187</v>
      </c>
      <c r="FF2" s="28"/>
      <c r="FG2" s="28"/>
      <c r="FH2" s="28"/>
      <c r="FI2" s="28"/>
      <c r="FJ2" s="28"/>
      <c r="FL2" s="28" t="s">
        <v>191</v>
      </c>
      <c r="FM2" s="28"/>
      <c r="FN2" s="28"/>
      <c r="FO2" s="28"/>
      <c r="FP2" s="28"/>
      <c r="FQ2" s="28"/>
      <c r="FS2" s="28" t="s">
        <v>188</v>
      </c>
      <c r="FT2" s="28"/>
      <c r="FU2" s="28"/>
      <c r="FV2" s="28"/>
      <c r="FW2" s="28"/>
      <c r="FX2" s="28"/>
      <c r="FZ2" s="28" t="s">
        <v>189</v>
      </c>
      <c r="GA2" s="28"/>
      <c r="GB2" s="28"/>
      <c r="GC2" s="28"/>
      <c r="GD2" s="28"/>
      <c r="GE2" s="28"/>
      <c r="GG2" s="28" t="s">
        <v>190</v>
      </c>
      <c r="GH2" s="28"/>
      <c r="GI2" s="28"/>
      <c r="GJ2" s="28"/>
      <c r="GK2" s="28"/>
      <c r="GL2" s="28"/>
    </row>
    <row r="3" spans="2:194" ht="28.2" customHeight="1">
      <c r="B3" s="5" t="s">
        <v>26</v>
      </c>
      <c r="C3" s="5" t="s">
        <v>1</v>
      </c>
      <c r="D3" s="5" t="s">
        <v>24</v>
      </c>
      <c r="E3" s="6" t="s">
        <v>30</v>
      </c>
      <c r="F3" s="5" t="s">
        <v>29</v>
      </c>
      <c r="G3" s="17"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c r="EX3" s="5" t="s">
        <v>11</v>
      </c>
      <c r="EY3" s="5" t="s">
        <v>2</v>
      </c>
      <c r="EZ3" s="5" t="s">
        <v>32</v>
      </c>
      <c r="FA3" s="5" t="s">
        <v>3</v>
      </c>
      <c r="FB3" s="5" t="s">
        <v>32</v>
      </c>
      <c r="FC3" s="5" t="s">
        <v>12</v>
      </c>
      <c r="FE3" s="5" t="s">
        <v>11</v>
      </c>
      <c r="FF3" s="5" t="s">
        <v>2</v>
      </c>
      <c r="FG3" s="5" t="s">
        <v>32</v>
      </c>
      <c r="FH3" s="5" t="s">
        <v>3</v>
      </c>
      <c r="FI3" s="5" t="s">
        <v>32</v>
      </c>
      <c r="FJ3" s="5" t="s">
        <v>12</v>
      </c>
      <c r="FL3" s="5" t="s">
        <v>11</v>
      </c>
      <c r="FM3" s="5" t="s">
        <v>2</v>
      </c>
      <c r="FN3" s="5" t="s">
        <v>32</v>
      </c>
      <c r="FO3" s="5" t="s">
        <v>3</v>
      </c>
      <c r="FP3" s="5" t="s">
        <v>32</v>
      </c>
      <c r="FQ3" s="5" t="s">
        <v>12</v>
      </c>
      <c r="FS3" s="5" t="s">
        <v>11</v>
      </c>
      <c r="FT3" s="5" t="s">
        <v>2</v>
      </c>
      <c r="FU3" s="5" t="s">
        <v>32</v>
      </c>
      <c r="FV3" s="5" t="s">
        <v>3</v>
      </c>
      <c r="FW3" s="5" t="s">
        <v>32</v>
      </c>
      <c r="FX3" s="5" t="s">
        <v>12</v>
      </c>
      <c r="FZ3" s="5" t="s">
        <v>11</v>
      </c>
      <c r="GA3" s="5" t="s">
        <v>2</v>
      </c>
      <c r="GB3" s="5" t="s">
        <v>32</v>
      </c>
      <c r="GC3" s="5" t="s">
        <v>3</v>
      </c>
      <c r="GD3" s="5" t="s">
        <v>32</v>
      </c>
      <c r="GE3" s="5" t="s">
        <v>12</v>
      </c>
      <c r="GG3" s="5" t="s">
        <v>11</v>
      </c>
      <c r="GH3" s="5" t="s">
        <v>2</v>
      </c>
      <c r="GI3" s="5" t="s">
        <v>32</v>
      </c>
      <c r="GJ3" s="5" t="s">
        <v>3</v>
      </c>
      <c r="GK3" s="5" t="s">
        <v>32</v>
      </c>
      <c r="GL3" s="5" t="s">
        <v>12</v>
      </c>
    </row>
    <row r="4" spans="2:194">
      <c r="B4" t="s">
        <v>27</v>
      </c>
      <c r="C4" t="s">
        <v>86</v>
      </c>
      <c r="D4" s="31">
        <v>45758</v>
      </c>
      <c r="E4" s="8">
        <v>6</v>
      </c>
      <c r="G4" s="9">
        <f>+SUM(G5:G18)</f>
        <v>0.99999999999999956</v>
      </c>
      <c r="I4" s="11">
        <f>+SUM(I5:I18)</f>
        <v>0</v>
      </c>
      <c r="J4" s="10">
        <f>+SUMPRODUCT(G5:G18,J5:J18)</f>
        <v>0</v>
      </c>
      <c r="K4" s="10">
        <f>+SUMPRODUCT(G5:G18,K5:K18)</f>
        <v>0</v>
      </c>
      <c r="L4" s="8"/>
      <c r="N4" s="11">
        <f>+SUM(N5:N18)</f>
        <v>0</v>
      </c>
      <c r="U4" s="11">
        <f>+SUM(U5:U18)</f>
        <v>0</v>
      </c>
      <c r="AB4" s="11">
        <f>+SUM(AB5:AB18)</f>
        <v>0</v>
      </c>
      <c r="AI4" s="11">
        <f>+SUM(AI5:AI18)</f>
        <v>0</v>
      </c>
      <c r="AP4" s="11">
        <f>+SUM(AP5:AP18)</f>
        <v>0</v>
      </c>
      <c r="AW4" s="11">
        <f>+SUM(AW5:AW18)</f>
        <v>0</v>
      </c>
      <c r="BD4" s="11">
        <f>+SUM(BD5:BD18)</f>
        <v>0</v>
      </c>
      <c r="BK4" s="11">
        <f>+SUM(BK5:BK18)</f>
        <v>0</v>
      </c>
      <c r="BR4" s="11">
        <f>+SUM(BR5:BR18)</f>
        <v>0</v>
      </c>
      <c r="BY4" s="11">
        <f>+SUM(BY5:BY18)</f>
        <v>0</v>
      </c>
      <c r="CF4" s="11">
        <f>+SUM(CF5:CF18)</f>
        <v>0</v>
      </c>
      <c r="CM4" s="11">
        <f>+SUM(CM5:CM18)</f>
        <v>0</v>
      </c>
      <c r="CT4" s="11">
        <f>+SUM(CT5:CT18)</f>
        <v>0</v>
      </c>
      <c r="DA4" s="11">
        <f>+SUM(DA5:DA18)</f>
        <v>0</v>
      </c>
      <c r="DH4" s="11">
        <f>+SUM(DH5:DH18)</f>
        <v>0</v>
      </c>
      <c r="DO4" s="11">
        <f>+SUM(DO5:DO18)</f>
        <v>0</v>
      </c>
      <c r="DV4" s="11">
        <f>+SUM(DV5:DV18)</f>
        <v>0</v>
      </c>
      <c r="EC4" s="11">
        <f>+SUM(EC5:EC18)</f>
        <v>0</v>
      </c>
      <c r="EJ4" s="11">
        <f>+SUM(EJ5:EJ18)</f>
        <v>0</v>
      </c>
      <c r="EQ4" s="11">
        <f>+SUM(EQ5:EQ18)</f>
        <v>0</v>
      </c>
      <c r="EX4" s="11">
        <f>+SUM(EX5:EX18)</f>
        <v>0</v>
      </c>
      <c r="FE4" s="11">
        <f>+SUM(FE5:FE18)</f>
        <v>0</v>
      </c>
      <c r="FL4" s="11">
        <f>+SUM(FL5:FL18)</f>
        <v>0</v>
      </c>
      <c r="FS4" s="11">
        <f>+SUM(FS5:FS18)</f>
        <v>0</v>
      </c>
      <c r="FZ4" s="11">
        <f>+SUM(FZ5:FZ18)</f>
        <v>0</v>
      </c>
      <c r="GG4" s="11">
        <f>+SUM(GG5:GG18)</f>
        <v>0</v>
      </c>
    </row>
    <row r="5" spans="2:194" outlineLevel="1">
      <c r="B5" t="s">
        <v>28</v>
      </c>
      <c r="C5" t="s">
        <v>86</v>
      </c>
      <c r="E5" s="8"/>
      <c r="F5" t="s">
        <v>168</v>
      </c>
      <c r="G5" s="27">
        <v>7.1428571428571397E-2</v>
      </c>
      <c r="I5" s="8">
        <f t="shared" ref="I5:I18" si="0">+SUMIF($M$3:$XA$3,I$3,$M5:$XA5)</f>
        <v>0</v>
      </c>
      <c r="J5" s="10" cm="1">
        <f t="array" ref="J5">MAX(IF($M$3:$DF$3=$J$3,M5:DF5))</f>
        <v>0</v>
      </c>
      <c r="K5" s="10" cm="1">
        <f t="array" ref="K5">MAX(IF($M$3:$DF$3=$J$3,M5:DF5))</f>
        <v>0</v>
      </c>
      <c r="L5" s="8"/>
      <c r="O5" s="9"/>
      <c r="P5" s="9"/>
      <c r="Q5" s="9"/>
      <c r="R5" s="9"/>
      <c r="V5" s="9"/>
      <c r="W5" s="9"/>
      <c r="X5" s="9"/>
      <c r="Y5" s="9"/>
      <c r="AC5" s="9"/>
      <c r="AD5" s="9">
        <v>0.8</v>
      </c>
      <c r="AE5" s="9"/>
      <c r="AF5" s="9">
        <v>0.8</v>
      </c>
      <c r="AG5" t="s">
        <v>195</v>
      </c>
      <c r="AJ5" s="9"/>
      <c r="AK5" s="9">
        <v>0.8</v>
      </c>
      <c r="AL5" s="9"/>
      <c r="AM5" s="9">
        <v>0.8</v>
      </c>
      <c r="AQ5" s="9"/>
      <c r="AR5" s="9">
        <v>0.8</v>
      </c>
      <c r="AS5" s="9"/>
      <c r="AT5" s="9">
        <v>0.8</v>
      </c>
      <c r="AX5" s="9"/>
      <c r="AY5" s="9">
        <v>0.8</v>
      </c>
      <c r="AZ5" s="9"/>
      <c r="BA5" s="9">
        <v>0.8</v>
      </c>
      <c r="BE5" s="9"/>
      <c r="BF5" s="9">
        <v>0.8</v>
      </c>
      <c r="BG5" s="9"/>
      <c r="BH5" s="9">
        <v>0.8</v>
      </c>
      <c r="BL5" s="9"/>
      <c r="BM5" s="9">
        <v>0.8</v>
      </c>
      <c r="BN5" s="9"/>
      <c r="BO5" s="9">
        <v>0.8</v>
      </c>
      <c r="BS5" s="9"/>
      <c r="BT5" s="9">
        <v>0.8</v>
      </c>
      <c r="BU5" s="9"/>
      <c r="BV5" s="9">
        <v>0.8</v>
      </c>
      <c r="BZ5" s="9"/>
      <c r="CA5" s="9">
        <v>0.8</v>
      </c>
      <c r="CB5" s="9"/>
      <c r="CC5" s="9">
        <v>0.8</v>
      </c>
      <c r="CG5" s="9"/>
      <c r="CH5" s="9">
        <v>0.8</v>
      </c>
      <c r="CI5" s="9"/>
      <c r="CJ5" s="9">
        <v>0.8</v>
      </c>
      <c r="CN5" s="9"/>
      <c r="CO5" s="9">
        <v>0.8</v>
      </c>
      <c r="CP5" s="9"/>
      <c r="CQ5" s="9">
        <v>0.8</v>
      </c>
      <c r="CU5" s="9"/>
      <c r="CV5" s="9">
        <v>1</v>
      </c>
      <c r="CW5" s="9"/>
      <c r="CX5" s="9">
        <v>1</v>
      </c>
      <c r="DB5" s="9"/>
      <c r="DC5" s="9">
        <v>1</v>
      </c>
      <c r="DD5" s="9"/>
      <c r="DE5" s="9">
        <v>1</v>
      </c>
      <c r="DI5" s="9"/>
      <c r="DJ5" s="9"/>
      <c r="DK5" s="9"/>
      <c r="DL5" s="9"/>
      <c r="DP5" s="9"/>
      <c r="DQ5" s="9"/>
      <c r="DR5" s="9"/>
      <c r="DS5" s="9"/>
      <c r="DW5" s="9"/>
      <c r="DX5" s="9"/>
      <c r="DY5" s="9"/>
      <c r="DZ5" s="9"/>
      <c r="ED5" s="9"/>
      <c r="EE5" s="9"/>
      <c r="EF5" s="9"/>
      <c r="EG5" s="9"/>
      <c r="EK5" s="9"/>
      <c r="EL5" s="9"/>
      <c r="EM5" s="9"/>
      <c r="EN5" s="9"/>
      <c r="ER5" s="9"/>
      <c r="ES5" s="9">
        <v>1</v>
      </c>
      <c r="ET5" s="9"/>
      <c r="EU5" s="9">
        <v>1</v>
      </c>
      <c r="EY5" s="9"/>
      <c r="EZ5" s="9">
        <v>1</v>
      </c>
      <c r="FA5" s="9"/>
      <c r="FB5" s="9">
        <v>1</v>
      </c>
      <c r="FF5" s="9"/>
      <c r="FG5" s="9">
        <v>1</v>
      </c>
      <c r="FH5" s="9"/>
      <c r="FI5" s="9">
        <v>1</v>
      </c>
      <c r="FM5" s="9"/>
      <c r="FN5" s="9">
        <v>1</v>
      </c>
      <c r="FO5" s="9"/>
      <c r="FP5" s="9">
        <v>1</v>
      </c>
      <c r="FT5" s="9"/>
      <c r="FU5" s="9"/>
      <c r="FV5" s="9"/>
      <c r="FW5" s="9"/>
      <c r="GA5" s="9"/>
      <c r="GB5" s="9"/>
      <c r="GC5" s="9"/>
      <c r="GD5" s="9"/>
      <c r="GH5" s="9"/>
      <c r="GI5" s="9"/>
      <c r="GJ5" s="9"/>
      <c r="GK5" s="9"/>
    </row>
    <row r="6" spans="2:194" outlineLevel="1">
      <c r="B6" t="s">
        <v>28</v>
      </c>
      <c r="C6" t="s">
        <v>86</v>
      </c>
      <c r="E6" s="8"/>
      <c r="F6" t="s">
        <v>169</v>
      </c>
      <c r="G6" s="27">
        <v>7.1428571428571397E-2</v>
      </c>
      <c r="I6" s="8">
        <f t="shared" si="0"/>
        <v>0</v>
      </c>
      <c r="J6" s="10" cm="1">
        <f t="array" ref="J6">MAX(IF($M$3:$DF$3=$J$3,M6:DF6))</f>
        <v>0</v>
      </c>
      <c r="K6" s="10" cm="1">
        <f t="array" ref="K6">MAX(IF($M$3:$DF$3=$J$3,M6:DF6))</f>
        <v>0</v>
      </c>
      <c r="L6" s="8"/>
      <c r="O6" s="9"/>
      <c r="P6" s="9"/>
      <c r="Q6" s="9"/>
      <c r="R6" s="9"/>
      <c r="V6" s="9"/>
      <c r="W6" s="9"/>
      <c r="X6" s="9"/>
      <c r="Y6" s="9"/>
      <c r="AC6" s="9"/>
      <c r="AD6" s="34"/>
      <c r="AE6" s="34"/>
      <c r="AF6" s="34"/>
      <c r="AG6" s="35"/>
      <c r="AH6" s="35"/>
      <c r="AJ6" s="34"/>
      <c r="AK6" s="9">
        <v>0.5</v>
      </c>
      <c r="AL6" s="9"/>
      <c r="AM6" s="9">
        <v>0.5</v>
      </c>
      <c r="AN6" s="35"/>
      <c r="AO6" s="35"/>
      <c r="AQ6" s="34"/>
      <c r="AR6" s="9">
        <v>0.5</v>
      </c>
      <c r="AS6" s="9"/>
      <c r="AT6" s="9">
        <v>0.5</v>
      </c>
      <c r="AU6" s="35"/>
      <c r="AV6" s="35"/>
      <c r="AX6" s="34"/>
      <c r="AY6" s="9">
        <v>0.8</v>
      </c>
      <c r="AZ6" s="9"/>
      <c r="BA6" s="9">
        <v>0.8</v>
      </c>
      <c r="BE6" s="9"/>
      <c r="BF6" s="9">
        <v>0.8</v>
      </c>
      <c r="BG6" s="9"/>
      <c r="BH6" s="9">
        <v>0.8</v>
      </c>
      <c r="BL6" s="9"/>
      <c r="BM6" s="9">
        <v>0.8</v>
      </c>
      <c r="BN6" s="9"/>
      <c r="BO6" s="9">
        <v>0.8</v>
      </c>
      <c r="BS6" s="9"/>
      <c r="BT6" s="9">
        <v>0.8</v>
      </c>
      <c r="BU6" s="9"/>
      <c r="BV6" s="9">
        <v>0.8</v>
      </c>
      <c r="BZ6" s="9"/>
      <c r="CA6" s="9">
        <v>0.8</v>
      </c>
      <c r="CB6" s="9"/>
      <c r="CC6" s="9">
        <v>0.8</v>
      </c>
      <c r="CG6" s="9"/>
      <c r="CH6" s="9">
        <v>0.8</v>
      </c>
      <c r="CI6" s="9"/>
      <c r="CJ6" s="9">
        <v>0.8</v>
      </c>
      <c r="CN6" s="9"/>
      <c r="CO6" s="9">
        <v>0.8</v>
      </c>
      <c r="CP6" s="9"/>
      <c r="CQ6" s="9">
        <v>0.8</v>
      </c>
      <c r="CU6" s="9"/>
      <c r="CV6" s="9">
        <v>0.8</v>
      </c>
      <c r="CW6" s="9"/>
      <c r="CX6" s="9">
        <v>0.8</v>
      </c>
      <c r="DB6" s="9"/>
      <c r="DC6" s="9">
        <v>1</v>
      </c>
      <c r="DD6" s="9"/>
      <c r="DE6" s="9">
        <v>1</v>
      </c>
      <c r="DI6" s="9"/>
      <c r="DJ6" s="9"/>
      <c r="DK6" s="9"/>
      <c r="DL6" s="9"/>
      <c r="DP6" s="9"/>
      <c r="DQ6" s="9"/>
      <c r="DR6" s="9"/>
      <c r="DS6" s="9"/>
      <c r="DW6" s="9"/>
      <c r="DX6" s="9"/>
      <c r="DY6" s="9"/>
      <c r="DZ6" s="9"/>
      <c r="ED6" s="9"/>
      <c r="EE6" s="9"/>
      <c r="EF6" s="9"/>
      <c r="EG6" s="9"/>
      <c r="EK6" s="9"/>
      <c r="EL6" s="9"/>
      <c r="EM6" s="9"/>
      <c r="EN6" s="9"/>
      <c r="ER6" s="9"/>
      <c r="ES6" s="9">
        <v>1</v>
      </c>
      <c r="ET6" s="9"/>
      <c r="EU6" s="9">
        <v>1</v>
      </c>
      <c r="EY6" s="9"/>
      <c r="EZ6" s="9">
        <v>1</v>
      </c>
      <c r="FA6" s="9"/>
      <c r="FB6" s="9">
        <v>1</v>
      </c>
      <c r="FF6" s="9"/>
      <c r="FG6" s="9">
        <v>1</v>
      </c>
      <c r="FH6" s="9"/>
      <c r="FI6" s="9">
        <v>1</v>
      </c>
      <c r="FM6" s="9"/>
      <c r="FN6" s="9">
        <v>1</v>
      </c>
      <c r="FO6" s="9"/>
      <c r="FP6" s="9">
        <v>1</v>
      </c>
      <c r="FT6" s="9"/>
      <c r="FU6" s="9"/>
      <c r="FV6" s="9"/>
      <c r="FW6" s="9"/>
      <c r="GA6" s="9"/>
      <c r="GB6" s="9"/>
      <c r="GC6" s="9"/>
      <c r="GD6" s="9"/>
      <c r="GH6" s="9"/>
      <c r="GI6" s="9"/>
      <c r="GJ6" s="9"/>
      <c r="GK6" s="9"/>
    </row>
    <row r="7" spans="2:194" outlineLevel="1">
      <c r="B7" t="s">
        <v>28</v>
      </c>
      <c r="C7" t="s">
        <v>86</v>
      </c>
      <c r="E7" s="8"/>
      <c r="F7" t="s">
        <v>170</v>
      </c>
      <c r="G7" s="27">
        <v>7.1428571428571397E-2</v>
      </c>
      <c r="I7" s="8">
        <f t="shared" si="0"/>
        <v>0</v>
      </c>
      <c r="J7" s="10" cm="1">
        <f t="array" ref="J7">MAX(IF($M$3:$DF$3=$J$3,M7:DF7))</f>
        <v>0</v>
      </c>
      <c r="K7" s="10" cm="1">
        <f t="array" ref="K7">MAX(IF($M$3:$DF$3=$J$3,M7:DF7))</f>
        <v>0</v>
      </c>
      <c r="L7" s="8"/>
      <c r="O7" s="9"/>
      <c r="P7" s="9"/>
      <c r="Q7" s="9"/>
      <c r="R7" s="9"/>
      <c r="V7" s="9"/>
      <c r="W7" s="9"/>
      <c r="X7" s="9"/>
      <c r="Y7" s="9"/>
      <c r="AC7" s="9"/>
      <c r="AD7" s="34"/>
      <c r="AE7" s="34"/>
      <c r="AF7" s="34"/>
      <c r="AG7" s="35"/>
      <c r="AH7" s="35"/>
      <c r="AJ7" s="34"/>
      <c r="AK7" s="34"/>
      <c r="AL7" s="34"/>
      <c r="AM7" s="34"/>
      <c r="AN7" s="35"/>
      <c r="AO7" s="35"/>
      <c r="AQ7" s="34"/>
      <c r="AR7" s="9">
        <v>0.5</v>
      </c>
      <c r="AS7" s="9"/>
      <c r="AT7" s="9">
        <v>0.5</v>
      </c>
      <c r="AU7" s="35"/>
      <c r="AV7" s="35"/>
      <c r="AX7" s="34"/>
      <c r="AY7" s="9">
        <v>0.5</v>
      </c>
      <c r="AZ7" s="9"/>
      <c r="BA7" s="9">
        <v>0.5</v>
      </c>
      <c r="BE7" s="9"/>
      <c r="BF7" s="9">
        <v>0.5</v>
      </c>
      <c r="BG7" s="9"/>
      <c r="BH7" s="9">
        <v>0.5</v>
      </c>
      <c r="BL7" s="9"/>
      <c r="BM7" s="9">
        <v>0.5</v>
      </c>
      <c r="BN7" s="9"/>
      <c r="BO7" s="9">
        <v>0.5</v>
      </c>
      <c r="BS7" s="9"/>
      <c r="BT7" s="9">
        <v>0.8</v>
      </c>
      <c r="BU7" s="9"/>
      <c r="BV7" s="9">
        <v>0.8</v>
      </c>
      <c r="BZ7" s="9"/>
      <c r="CA7" s="9">
        <v>0.8</v>
      </c>
      <c r="CB7" s="9"/>
      <c r="CC7" s="9">
        <v>0.8</v>
      </c>
      <c r="CG7" s="9"/>
      <c r="CH7" s="9">
        <v>0.8</v>
      </c>
      <c r="CI7" s="9"/>
      <c r="CJ7" s="9">
        <v>0.8</v>
      </c>
      <c r="CN7" s="9"/>
      <c r="CO7" s="9">
        <v>0.8</v>
      </c>
      <c r="CP7" s="9"/>
      <c r="CQ7" s="9">
        <v>0.8</v>
      </c>
      <c r="CU7" s="9"/>
      <c r="CV7" s="9">
        <v>0.8</v>
      </c>
      <c r="CW7" s="9"/>
      <c r="CX7" s="9">
        <v>0.8</v>
      </c>
      <c r="DB7" s="9"/>
      <c r="DC7" s="9">
        <v>0.8</v>
      </c>
      <c r="DD7" s="9"/>
      <c r="DE7" s="9">
        <v>0.8</v>
      </c>
      <c r="DI7" s="9"/>
      <c r="DJ7" s="9"/>
      <c r="DK7" s="9"/>
      <c r="DL7" s="9"/>
      <c r="DP7" s="9"/>
      <c r="DQ7" s="9"/>
      <c r="DR7" s="9"/>
      <c r="DS7" s="9"/>
      <c r="DW7" s="9"/>
      <c r="DX7" s="9"/>
      <c r="DY7" s="9"/>
      <c r="DZ7" s="9"/>
      <c r="ED7" s="9"/>
      <c r="EE7" s="9"/>
      <c r="EF7" s="9"/>
      <c r="EG7" s="9"/>
      <c r="EK7" s="9"/>
      <c r="EL7" s="9"/>
      <c r="EM7" s="9"/>
      <c r="EN7" s="9"/>
      <c r="EO7" s="30" t="s">
        <v>199</v>
      </c>
      <c r="ER7" s="9"/>
      <c r="ES7" s="9">
        <v>0.8</v>
      </c>
      <c r="ET7" s="9"/>
      <c r="EU7" s="9">
        <v>0.8</v>
      </c>
      <c r="EY7" s="9"/>
      <c r="EZ7" s="9">
        <v>1</v>
      </c>
      <c r="FA7" s="9"/>
      <c r="FB7" s="9">
        <v>1</v>
      </c>
      <c r="FF7" s="9"/>
      <c r="FG7" s="9">
        <v>1</v>
      </c>
      <c r="FH7" s="9"/>
      <c r="FI7" s="9">
        <v>1</v>
      </c>
      <c r="FM7" s="9"/>
      <c r="FN7" s="9">
        <v>1</v>
      </c>
      <c r="FO7" s="9"/>
      <c r="FP7" s="9">
        <v>1</v>
      </c>
      <c r="FT7" s="9"/>
      <c r="FU7" s="9"/>
      <c r="FV7" s="9"/>
      <c r="FW7" s="9"/>
      <c r="GA7" s="9"/>
      <c r="GB7" s="9"/>
      <c r="GC7" s="9"/>
      <c r="GD7" s="9"/>
      <c r="GH7" s="9"/>
      <c r="GI7" s="9"/>
      <c r="GJ7" s="9"/>
      <c r="GK7" s="9"/>
    </row>
    <row r="8" spans="2:194" outlineLevel="1">
      <c r="B8" t="s">
        <v>28</v>
      </c>
      <c r="C8" t="s">
        <v>86</v>
      </c>
      <c r="E8" s="8"/>
      <c r="F8" t="s">
        <v>171</v>
      </c>
      <c r="G8" s="27">
        <v>7.1428571428571397E-2</v>
      </c>
      <c r="I8" s="8">
        <f t="shared" si="0"/>
        <v>0</v>
      </c>
      <c r="J8" s="10" cm="1">
        <f t="array" ref="J8">MAX(IF($M$3:$DF$3=$J$3,M8:DF8))</f>
        <v>0</v>
      </c>
      <c r="K8" s="10" cm="1">
        <f t="array" ref="K8">MAX(IF($M$3:$DF$3=$J$3,M8:DF8))</f>
        <v>0</v>
      </c>
      <c r="L8" s="8"/>
      <c r="O8" s="9"/>
      <c r="P8" s="9"/>
      <c r="Q8" s="9"/>
      <c r="R8" s="9"/>
      <c r="V8" s="9"/>
      <c r="W8" s="9"/>
      <c r="X8" s="9"/>
      <c r="Y8" s="9"/>
      <c r="AC8" s="9"/>
      <c r="AD8" s="34"/>
      <c r="AE8" s="34"/>
      <c r="AF8" s="34"/>
      <c r="AG8" s="35"/>
      <c r="AH8" s="35"/>
      <c r="AJ8" s="34"/>
      <c r="AK8" s="34"/>
      <c r="AL8" s="34"/>
      <c r="AM8" s="34"/>
      <c r="AN8" s="35"/>
      <c r="AO8" s="35"/>
      <c r="AQ8" s="34"/>
      <c r="AR8" s="9">
        <v>0.5</v>
      </c>
      <c r="AS8" s="9"/>
      <c r="AT8" s="9">
        <v>0.5</v>
      </c>
      <c r="AU8" s="35"/>
      <c r="AV8" s="35"/>
      <c r="AX8" s="34"/>
      <c r="AY8" s="9">
        <v>0.5</v>
      </c>
      <c r="AZ8" s="9"/>
      <c r="BA8" s="9">
        <v>0.5</v>
      </c>
      <c r="BE8" s="9"/>
      <c r="BF8" s="9">
        <v>0.5</v>
      </c>
      <c r="BG8" s="9"/>
      <c r="BH8" s="9">
        <v>0.5</v>
      </c>
      <c r="BL8" s="9"/>
      <c r="BM8" s="9">
        <v>0.5</v>
      </c>
      <c r="BN8" s="9"/>
      <c r="BO8" s="9">
        <v>0.5</v>
      </c>
      <c r="BS8" s="9"/>
      <c r="BT8" s="9">
        <v>0.5</v>
      </c>
      <c r="BU8" s="9"/>
      <c r="BV8" s="9">
        <v>0.5</v>
      </c>
      <c r="BZ8" s="9"/>
      <c r="CA8" s="9">
        <v>0.5</v>
      </c>
      <c r="CB8" s="9"/>
      <c r="CC8" s="9">
        <v>0.5</v>
      </c>
      <c r="CG8" s="9"/>
      <c r="CH8" s="9">
        <v>0.8</v>
      </c>
      <c r="CI8" s="9"/>
      <c r="CJ8" s="9">
        <v>0.8</v>
      </c>
      <c r="CN8" s="9"/>
      <c r="CO8" s="9">
        <v>0.8</v>
      </c>
      <c r="CP8" s="9"/>
      <c r="CQ8" s="9">
        <v>0.8</v>
      </c>
      <c r="CU8" s="9"/>
      <c r="CV8" s="9">
        <v>0.8</v>
      </c>
      <c r="CW8" s="9"/>
      <c r="CX8" s="9">
        <v>0.8</v>
      </c>
      <c r="DB8" s="9"/>
      <c r="DC8" s="9">
        <v>0.8</v>
      </c>
      <c r="DD8" s="9"/>
      <c r="DE8" s="9">
        <v>0.8</v>
      </c>
      <c r="DI8" s="9"/>
      <c r="DJ8" s="9"/>
      <c r="DK8" s="9"/>
      <c r="DL8" s="9"/>
      <c r="DP8" s="9"/>
      <c r="DQ8" s="9"/>
      <c r="DR8" s="9"/>
      <c r="DS8" s="9"/>
      <c r="DW8" s="9"/>
      <c r="DX8" s="9"/>
      <c r="DY8" s="9"/>
      <c r="DZ8" s="9"/>
      <c r="ED8" s="9"/>
      <c r="EE8" s="9"/>
      <c r="EF8" s="9"/>
      <c r="EG8" s="9"/>
      <c r="EK8" s="9"/>
      <c r="EL8" s="9"/>
      <c r="EM8" s="9"/>
      <c r="EN8" s="9"/>
      <c r="EO8" s="30"/>
      <c r="ER8" s="9"/>
      <c r="ES8" s="9">
        <v>0.8</v>
      </c>
      <c r="ET8" s="9"/>
      <c r="EU8" s="9">
        <v>0.8</v>
      </c>
      <c r="EY8" s="9"/>
      <c r="EZ8" s="9">
        <v>1</v>
      </c>
      <c r="FA8" s="9"/>
      <c r="FB8" s="9">
        <v>1</v>
      </c>
      <c r="FF8" s="9"/>
      <c r="FG8" s="9">
        <v>1</v>
      </c>
      <c r="FH8" s="9"/>
      <c r="FI8" s="9">
        <v>1</v>
      </c>
      <c r="FM8" s="9"/>
      <c r="FN8" s="9">
        <v>1</v>
      </c>
      <c r="FO8" s="9"/>
      <c r="FP8" s="9">
        <v>1</v>
      </c>
      <c r="FT8" s="9"/>
      <c r="FU8" s="9"/>
      <c r="FV8" s="9"/>
      <c r="FW8" s="9"/>
      <c r="GA8" s="9"/>
      <c r="GB8" s="9"/>
      <c r="GC8" s="9"/>
      <c r="GD8" s="9"/>
      <c r="GH8" s="9"/>
      <c r="GI8" s="9"/>
      <c r="GJ8" s="9"/>
      <c r="GK8" s="9"/>
    </row>
    <row r="9" spans="2:194" outlineLevel="1">
      <c r="B9" t="s">
        <v>28</v>
      </c>
      <c r="C9" t="s">
        <v>86</v>
      </c>
      <c r="E9" s="8"/>
      <c r="F9" t="s">
        <v>172</v>
      </c>
      <c r="G9" s="27">
        <v>7.1428571428571397E-2</v>
      </c>
      <c r="I9" s="8">
        <f t="shared" si="0"/>
        <v>0</v>
      </c>
      <c r="J9" s="10" cm="1">
        <f t="array" ref="J9">MAX(IF($M$3:$DF$3=$J$3,M9:DF9))</f>
        <v>0</v>
      </c>
      <c r="K9" s="10" cm="1">
        <f t="array" ref="K9">MAX(IF($M$3:$DF$3=$J$3,M9:DF9))</f>
        <v>0</v>
      </c>
      <c r="L9" s="8"/>
      <c r="O9" s="9"/>
      <c r="P9" s="9"/>
      <c r="Q9" s="9"/>
      <c r="R9" s="9"/>
      <c r="V9" s="9"/>
      <c r="W9" s="9"/>
      <c r="X9" s="9"/>
      <c r="Y9" s="9"/>
      <c r="AC9" s="9"/>
      <c r="AD9" s="34"/>
      <c r="AE9" s="34"/>
      <c r="AF9" s="34"/>
      <c r="AG9" s="35"/>
      <c r="AH9" s="35"/>
      <c r="AJ9" s="34"/>
      <c r="AK9" s="34"/>
      <c r="AL9" s="34"/>
      <c r="AM9" s="34"/>
      <c r="AN9" s="35"/>
      <c r="AO9" s="35"/>
      <c r="AQ9" s="34"/>
      <c r="AR9" s="34"/>
      <c r="AS9" s="34"/>
      <c r="AT9" s="34"/>
      <c r="AU9" s="35"/>
      <c r="AV9" s="35"/>
      <c r="AX9" s="34"/>
      <c r="AY9" s="34"/>
      <c r="AZ9" s="34"/>
      <c r="BA9" s="34"/>
      <c r="BE9" s="9"/>
      <c r="BF9" s="9">
        <v>0.5</v>
      </c>
      <c r="BG9" s="9"/>
      <c r="BH9" s="9">
        <v>0.5</v>
      </c>
      <c r="BL9" s="9"/>
      <c r="BM9" s="9">
        <v>0.5</v>
      </c>
      <c r="BN9" s="9"/>
      <c r="BO9" s="9">
        <v>0.5</v>
      </c>
      <c r="BS9" s="9"/>
      <c r="BT9" s="9">
        <v>0.5</v>
      </c>
      <c r="BU9" s="9"/>
      <c r="BV9" s="9">
        <v>0.5</v>
      </c>
      <c r="BZ9" s="9"/>
      <c r="CA9" s="9">
        <v>0.5</v>
      </c>
      <c r="CB9" s="9"/>
      <c r="CC9" s="9">
        <v>0.5</v>
      </c>
      <c r="CG9" s="9"/>
      <c r="CH9" s="9">
        <v>0.5</v>
      </c>
      <c r="CI9" s="9"/>
      <c r="CJ9" s="9">
        <v>0.5</v>
      </c>
      <c r="CN9" s="9"/>
      <c r="CO9" s="9">
        <v>0.8</v>
      </c>
      <c r="CP9" s="9"/>
      <c r="CQ9" s="9">
        <v>0.8</v>
      </c>
      <c r="CU9" s="9"/>
      <c r="CV9" s="9">
        <v>0.8</v>
      </c>
      <c r="CW9" s="9"/>
      <c r="CX9" s="9">
        <v>0.8</v>
      </c>
      <c r="DB9" s="9"/>
      <c r="DC9" s="9">
        <v>0.8</v>
      </c>
      <c r="DD9" s="9"/>
      <c r="DE9" s="9">
        <v>0.8</v>
      </c>
      <c r="DI9" s="9"/>
      <c r="DJ9" s="9"/>
      <c r="DK9" s="9"/>
      <c r="DL9" s="9"/>
      <c r="DP9" s="9"/>
      <c r="DQ9" s="9"/>
      <c r="DR9" s="9"/>
      <c r="DS9" s="9"/>
      <c r="DW9" s="9"/>
      <c r="DX9" s="9"/>
      <c r="DY9" s="9"/>
      <c r="DZ9" s="9"/>
      <c r="ED9" s="9"/>
      <c r="EE9" s="9"/>
      <c r="EF9" s="9"/>
      <c r="EG9" s="9"/>
      <c r="EK9" s="9"/>
      <c r="EL9" s="9"/>
      <c r="EM9" s="9"/>
      <c r="EN9" s="9"/>
      <c r="EO9" s="30"/>
      <c r="ER9" s="9"/>
      <c r="ES9" s="9">
        <v>0.8</v>
      </c>
      <c r="ET9" s="9"/>
      <c r="EU9" s="9">
        <v>0.8</v>
      </c>
      <c r="EY9" s="9"/>
      <c r="EZ9" s="9">
        <v>0.8</v>
      </c>
      <c r="FA9" s="9"/>
      <c r="FB9" s="9">
        <v>0.8</v>
      </c>
      <c r="FF9" s="9"/>
      <c r="FG9" s="9">
        <v>1</v>
      </c>
      <c r="FH9" s="9"/>
      <c r="FI9" s="9">
        <v>1</v>
      </c>
      <c r="FM9" s="9"/>
      <c r="FN9" s="9">
        <v>1</v>
      </c>
      <c r="FO9" s="9"/>
      <c r="FP9" s="9">
        <v>1</v>
      </c>
      <c r="FT9" s="9"/>
      <c r="FU9" s="9"/>
      <c r="FV9" s="9"/>
      <c r="FW9" s="9"/>
      <c r="GA9" s="9"/>
      <c r="GB9" s="9"/>
      <c r="GC9" s="9"/>
      <c r="GD9" s="9"/>
      <c r="GH9" s="9"/>
      <c r="GI9" s="9"/>
      <c r="GJ9" s="9"/>
      <c r="GK9" s="9"/>
    </row>
    <row r="10" spans="2:194" outlineLevel="1">
      <c r="B10" t="s">
        <v>28</v>
      </c>
      <c r="C10" t="s">
        <v>86</v>
      </c>
      <c r="E10" s="8"/>
      <c r="F10" t="s">
        <v>173</v>
      </c>
      <c r="G10" s="27">
        <v>7.1428571428571397E-2</v>
      </c>
      <c r="I10" s="8">
        <f t="shared" si="0"/>
        <v>0</v>
      </c>
      <c r="J10" s="10" cm="1">
        <f t="array" ref="J10">MAX(IF($M$3:$DF$3=$J$3,M10:DF10))</f>
        <v>0</v>
      </c>
      <c r="K10" s="10" cm="1">
        <f t="array" ref="K10">MAX(IF($M$3:$DF$3=$J$3,M10:DF10))</f>
        <v>0</v>
      </c>
      <c r="L10" s="8"/>
      <c r="O10" s="9"/>
      <c r="P10" s="9"/>
      <c r="Q10" s="9"/>
      <c r="R10" s="9"/>
      <c r="V10" s="9"/>
      <c r="W10" s="9"/>
      <c r="X10" s="9"/>
      <c r="Y10" s="9"/>
      <c r="AC10" s="9"/>
      <c r="AD10" s="34"/>
      <c r="AE10" s="34"/>
      <c r="AF10" s="34"/>
      <c r="AG10" s="35"/>
      <c r="AH10" s="35"/>
      <c r="AJ10" s="34"/>
      <c r="AK10" s="34"/>
      <c r="AL10" s="34"/>
      <c r="AM10" s="34"/>
      <c r="AN10" s="35"/>
      <c r="AO10" s="35"/>
      <c r="AQ10" s="34"/>
      <c r="AR10" s="34"/>
      <c r="AS10" s="34"/>
      <c r="AT10" s="34"/>
      <c r="AU10" s="35"/>
      <c r="AV10" s="35"/>
      <c r="AX10" s="34"/>
      <c r="AY10" s="34"/>
      <c r="AZ10" s="34"/>
      <c r="BA10" s="34"/>
      <c r="BE10" s="9"/>
      <c r="BF10" s="9"/>
      <c r="BG10" s="9"/>
      <c r="BH10" s="9"/>
      <c r="BL10" s="9"/>
      <c r="BM10" s="9">
        <v>0.5</v>
      </c>
      <c r="BN10" s="9"/>
      <c r="BO10" s="9">
        <v>0.5</v>
      </c>
      <c r="BS10" s="9"/>
      <c r="BT10" s="9">
        <v>0.5</v>
      </c>
      <c r="BU10" s="9"/>
      <c r="BV10" s="9">
        <v>0.5</v>
      </c>
      <c r="BZ10" s="9"/>
      <c r="CA10" s="9">
        <v>0.5</v>
      </c>
      <c r="CB10" s="9"/>
      <c r="CC10" s="9">
        <v>0.5</v>
      </c>
      <c r="CG10" s="9"/>
      <c r="CH10" s="9">
        <v>0.5</v>
      </c>
      <c r="CI10" s="9"/>
      <c r="CJ10" s="9">
        <v>0.5</v>
      </c>
      <c r="CN10" s="9"/>
      <c r="CO10" s="9">
        <v>0.5</v>
      </c>
      <c r="CP10" s="9"/>
      <c r="CQ10" s="9">
        <v>0.5</v>
      </c>
      <c r="CU10" s="9"/>
      <c r="CV10" s="9">
        <v>0.8</v>
      </c>
      <c r="CW10" s="9"/>
      <c r="CX10" s="9">
        <v>0.8</v>
      </c>
      <c r="DB10" s="9"/>
      <c r="DC10" s="9">
        <v>0.8</v>
      </c>
      <c r="DD10" s="9"/>
      <c r="DE10" s="9">
        <v>0.8</v>
      </c>
      <c r="DI10" s="9"/>
      <c r="DJ10" s="9"/>
      <c r="DK10" s="9"/>
      <c r="DL10" s="9"/>
      <c r="DP10" s="9"/>
      <c r="DQ10" s="9"/>
      <c r="DR10" s="9"/>
      <c r="DS10" s="9"/>
      <c r="DW10" s="9"/>
      <c r="DX10" s="9"/>
      <c r="DY10" s="9"/>
      <c r="DZ10" s="9"/>
      <c r="ED10" s="9"/>
      <c r="EE10" s="9"/>
      <c r="EF10" s="9"/>
      <c r="EG10" s="9"/>
      <c r="EK10" s="9"/>
      <c r="EL10" s="9"/>
      <c r="EM10" s="9"/>
      <c r="EN10" s="9"/>
      <c r="EO10" s="30"/>
      <c r="ER10" s="9"/>
      <c r="ES10" s="9">
        <v>0.8</v>
      </c>
      <c r="ET10" s="9"/>
      <c r="EU10" s="9">
        <v>0.8</v>
      </c>
      <c r="EY10" s="9"/>
      <c r="EZ10" s="9">
        <v>0.8</v>
      </c>
      <c r="FA10" s="9"/>
      <c r="FB10" s="9">
        <v>0.8</v>
      </c>
      <c r="FF10" s="9"/>
      <c r="FG10" s="9">
        <v>1</v>
      </c>
      <c r="FH10" s="9"/>
      <c r="FI10" s="9">
        <v>1</v>
      </c>
      <c r="FM10" s="9"/>
      <c r="FN10" s="9">
        <v>1</v>
      </c>
      <c r="FO10" s="9"/>
      <c r="FP10" s="9">
        <v>1</v>
      </c>
      <c r="FT10" s="9"/>
      <c r="FU10" s="9"/>
      <c r="FV10" s="9"/>
      <c r="FW10" s="9"/>
      <c r="GA10" s="9"/>
      <c r="GB10" s="9"/>
      <c r="GC10" s="9"/>
      <c r="GD10" s="9"/>
      <c r="GH10" s="9"/>
      <c r="GI10" s="9"/>
      <c r="GJ10" s="9"/>
      <c r="GK10" s="9"/>
    </row>
    <row r="11" spans="2:194" outlineLevel="1">
      <c r="B11" t="s">
        <v>28</v>
      </c>
      <c r="C11" t="s">
        <v>86</v>
      </c>
      <c r="E11" s="8"/>
      <c r="F11" t="s">
        <v>174</v>
      </c>
      <c r="G11" s="27">
        <v>7.1428571428571397E-2</v>
      </c>
      <c r="I11" s="8">
        <f t="shared" si="0"/>
        <v>0</v>
      </c>
      <c r="J11" s="10" cm="1">
        <f t="array" ref="J11">MAX(IF($M$3:$DF$3=$J$3,M11:DF11))</f>
        <v>0</v>
      </c>
      <c r="K11" s="10" cm="1">
        <f t="array" ref="K11">MAX(IF($M$3:$DF$3=$J$3,M11:DF11))</f>
        <v>0</v>
      </c>
      <c r="L11" s="8"/>
      <c r="O11" s="9"/>
      <c r="P11" s="9"/>
      <c r="Q11" s="9"/>
      <c r="R11" s="9"/>
      <c r="V11" s="9"/>
      <c r="W11" s="9"/>
      <c r="X11" s="9"/>
      <c r="Y11" s="9"/>
      <c r="AC11" s="9"/>
      <c r="AD11" s="34"/>
      <c r="AE11" s="34"/>
      <c r="AF11" s="34"/>
      <c r="AG11" s="35"/>
      <c r="AH11" s="35"/>
      <c r="AJ11" s="34"/>
      <c r="AK11" s="34"/>
      <c r="AL11" s="34"/>
      <c r="AM11" s="34"/>
      <c r="AN11" s="35"/>
      <c r="AO11" s="35"/>
      <c r="AQ11" s="34"/>
      <c r="AR11" s="34"/>
      <c r="AS11" s="34"/>
      <c r="AT11" s="34"/>
      <c r="AU11" s="35"/>
      <c r="AV11" s="35"/>
      <c r="AX11" s="34"/>
      <c r="AY11" s="34"/>
      <c r="AZ11" s="34"/>
      <c r="BA11" s="34"/>
      <c r="BE11" s="9"/>
      <c r="BF11" s="9"/>
      <c r="BG11" s="9"/>
      <c r="BH11" s="9"/>
      <c r="BL11" s="9"/>
      <c r="BM11" s="9"/>
      <c r="BN11" s="9"/>
      <c r="BO11" s="9"/>
      <c r="BS11" s="9"/>
      <c r="BT11" s="9">
        <v>0.5</v>
      </c>
      <c r="BU11" s="9"/>
      <c r="BV11" s="9">
        <v>0.5</v>
      </c>
      <c r="BZ11" s="9"/>
      <c r="CA11" s="9">
        <v>0.5</v>
      </c>
      <c r="CB11" s="9"/>
      <c r="CC11" s="9">
        <v>0.5</v>
      </c>
      <c r="CG11" s="9"/>
      <c r="CH11" s="9">
        <v>0.5</v>
      </c>
      <c r="CI11" s="9"/>
      <c r="CJ11" s="9">
        <v>0.5</v>
      </c>
      <c r="CN11" s="9"/>
      <c r="CO11" s="9">
        <v>0.5</v>
      </c>
      <c r="CP11" s="9"/>
      <c r="CQ11" s="9">
        <v>0.5</v>
      </c>
      <c r="CU11" s="9"/>
      <c r="CV11" s="9">
        <v>0.8</v>
      </c>
      <c r="CW11" s="9"/>
      <c r="CX11" s="9">
        <v>0.8</v>
      </c>
      <c r="DB11" s="9"/>
      <c r="DC11" s="9">
        <v>0.8</v>
      </c>
      <c r="DD11" s="9"/>
      <c r="DE11" s="9">
        <v>0.8</v>
      </c>
      <c r="DI11" s="9"/>
      <c r="DJ11" s="9"/>
      <c r="DK11" s="9"/>
      <c r="DL11" s="9"/>
      <c r="DP11" s="9"/>
      <c r="DQ11" s="9"/>
      <c r="DR11" s="9"/>
      <c r="DS11" s="9"/>
      <c r="DW11" s="9"/>
      <c r="DX11" s="9"/>
      <c r="DY11" s="9"/>
      <c r="DZ11" s="9"/>
      <c r="ED11" s="9"/>
      <c r="EE11" s="9"/>
      <c r="EF11" s="9"/>
      <c r="EG11" s="9"/>
      <c r="EK11" s="9"/>
      <c r="EL11" s="9"/>
      <c r="EM11" s="9"/>
      <c r="EN11" s="9"/>
      <c r="EO11" s="30"/>
      <c r="ER11" s="9"/>
      <c r="ES11" s="9">
        <v>0.8</v>
      </c>
      <c r="ET11" s="9"/>
      <c r="EU11" s="9">
        <v>0.8</v>
      </c>
      <c r="EY11" s="9"/>
      <c r="EZ11" s="9">
        <v>0.8</v>
      </c>
      <c r="FA11" s="9"/>
      <c r="FB11" s="9">
        <v>0.8</v>
      </c>
      <c r="FF11" s="9"/>
      <c r="FG11" s="9">
        <v>1</v>
      </c>
      <c r="FH11" s="9"/>
      <c r="FI11" s="9">
        <v>1</v>
      </c>
      <c r="FM11" s="9"/>
      <c r="FN11" s="9">
        <v>1</v>
      </c>
      <c r="FO11" s="9"/>
      <c r="FP11" s="9">
        <v>1</v>
      </c>
      <c r="FT11" s="9"/>
      <c r="FU11" s="9"/>
      <c r="FV11" s="9"/>
      <c r="FW11" s="9"/>
      <c r="GA11" s="9"/>
      <c r="GB11" s="9"/>
      <c r="GC11" s="9"/>
      <c r="GD11" s="9"/>
      <c r="GH11" s="9"/>
      <c r="GI11" s="9"/>
      <c r="GJ11" s="9"/>
      <c r="GK11" s="9"/>
    </row>
    <row r="12" spans="2:194" outlineLevel="1">
      <c r="B12" t="s">
        <v>28</v>
      </c>
      <c r="C12" t="s">
        <v>86</v>
      </c>
      <c r="E12" s="8"/>
      <c r="F12" t="s">
        <v>175</v>
      </c>
      <c r="G12" s="27">
        <v>7.1428571428571397E-2</v>
      </c>
      <c r="I12" s="8">
        <f t="shared" si="0"/>
        <v>0</v>
      </c>
      <c r="J12" s="10" cm="1">
        <f t="array" ref="J12">MAX(IF($M$3:$DF$3=$J$3,M12:DF12))</f>
        <v>0</v>
      </c>
      <c r="K12" s="10" cm="1">
        <f t="array" ref="K12">MAX(IF($M$3:$DF$3=$J$3,M12:DF12))</f>
        <v>0</v>
      </c>
      <c r="L12" s="8"/>
      <c r="O12" s="9"/>
      <c r="P12" s="9"/>
      <c r="Q12" s="9"/>
      <c r="R12" s="9"/>
      <c r="V12" s="9"/>
      <c r="W12" s="9"/>
      <c r="X12" s="9"/>
      <c r="Y12" s="9"/>
      <c r="AC12" s="9"/>
      <c r="AD12" s="34"/>
      <c r="AE12" s="34"/>
      <c r="AF12" s="34"/>
      <c r="AG12" s="35"/>
      <c r="AH12" s="35"/>
      <c r="AJ12" s="34"/>
      <c r="AK12" s="34"/>
      <c r="AL12" s="34"/>
      <c r="AM12" s="34"/>
      <c r="AN12" s="35"/>
      <c r="AO12" s="35"/>
      <c r="AQ12" s="34"/>
      <c r="AR12" s="34"/>
      <c r="AS12" s="34"/>
      <c r="AT12" s="34"/>
      <c r="AU12" s="35"/>
      <c r="AV12" s="35"/>
      <c r="AX12" s="34"/>
      <c r="AY12" s="34"/>
      <c r="AZ12" s="34"/>
      <c r="BA12" s="34"/>
      <c r="BE12" s="9"/>
      <c r="BF12" s="9"/>
      <c r="BG12" s="9"/>
      <c r="BH12" s="9"/>
      <c r="BL12" s="9"/>
      <c r="BM12" s="9"/>
      <c r="BN12" s="9"/>
      <c r="BO12" s="9"/>
      <c r="BS12" s="9"/>
      <c r="BT12" s="9"/>
      <c r="BU12" s="9"/>
      <c r="BV12" s="9"/>
      <c r="BZ12" s="9"/>
      <c r="CA12" s="9">
        <v>0.5</v>
      </c>
      <c r="CB12" s="9"/>
      <c r="CC12" s="9">
        <v>0.5</v>
      </c>
      <c r="CG12" s="9"/>
      <c r="CH12" s="9">
        <v>0.5</v>
      </c>
      <c r="CI12" s="9"/>
      <c r="CJ12" s="9">
        <v>0.5</v>
      </c>
      <c r="CN12" s="9"/>
      <c r="CO12" s="9">
        <v>0.5</v>
      </c>
      <c r="CP12" s="9"/>
      <c r="CQ12" s="9">
        <v>0.5</v>
      </c>
      <c r="CU12" s="9"/>
      <c r="CV12" s="9">
        <v>0.5</v>
      </c>
      <c r="CW12" s="9"/>
      <c r="CX12" s="9">
        <v>0.5</v>
      </c>
      <c r="DB12" s="9"/>
      <c r="DC12" s="9">
        <v>0.8</v>
      </c>
      <c r="DD12" s="9"/>
      <c r="DE12" s="9">
        <v>0.8</v>
      </c>
      <c r="DI12" s="9"/>
      <c r="DJ12" s="9"/>
      <c r="DK12" s="9"/>
      <c r="DL12" s="9"/>
      <c r="DP12" s="9"/>
      <c r="DQ12" s="9"/>
      <c r="DR12" s="9"/>
      <c r="DS12" s="9"/>
      <c r="DW12" s="9"/>
      <c r="DX12" s="9"/>
      <c r="DY12" s="9"/>
      <c r="DZ12" s="9"/>
      <c r="ED12" s="9"/>
      <c r="EE12" s="9"/>
      <c r="EF12" s="9"/>
      <c r="EG12" s="9"/>
      <c r="EK12" s="9"/>
      <c r="EL12" s="9"/>
      <c r="EM12" s="9"/>
      <c r="EN12" s="9"/>
      <c r="EO12" s="30"/>
      <c r="ER12" s="9"/>
      <c r="ES12" s="9">
        <v>0.8</v>
      </c>
      <c r="ET12" s="9"/>
      <c r="EU12" s="9">
        <v>0.8</v>
      </c>
      <c r="EY12" s="9"/>
      <c r="EZ12" s="9">
        <v>0.8</v>
      </c>
      <c r="FA12" s="9"/>
      <c r="FB12" s="9">
        <v>0.8</v>
      </c>
      <c r="FF12" s="9"/>
      <c r="FG12" s="9">
        <v>1</v>
      </c>
      <c r="FH12" s="9"/>
      <c r="FI12" s="9">
        <v>1</v>
      </c>
      <c r="FM12" s="9"/>
      <c r="FN12" s="9">
        <v>1</v>
      </c>
      <c r="FO12" s="9"/>
      <c r="FP12" s="9">
        <v>1</v>
      </c>
      <c r="FT12" s="9"/>
      <c r="FU12" s="9"/>
      <c r="FV12" s="9"/>
      <c r="FW12" s="9"/>
      <c r="GA12" s="9"/>
      <c r="GB12" s="9"/>
      <c r="GC12" s="9"/>
      <c r="GD12" s="9"/>
      <c r="GH12" s="9"/>
      <c r="GI12" s="9"/>
      <c r="GJ12" s="9"/>
      <c r="GK12" s="9"/>
    </row>
    <row r="13" spans="2:194" outlineLevel="1">
      <c r="B13" t="s">
        <v>28</v>
      </c>
      <c r="C13" t="s">
        <v>86</v>
      </c>
      <c r="E13" s="8"/>
      <c r="F13" t="s">
        <v>176</v>
      </c>
      <c r="G13" s="27">
        <v>7.1428571428571397E-2</v>
      </c>
      <c r="I13" s="8">
        <f t="shared" si="0"/>
        <v>0</v>
      </c>
      <c r="J13" s="10" cm="1">
        <f t="array" ref="J13">MAX(IF($M$3:$DF$3=$J$3,M13:DF13))</f>
        <v>0</v>
      </c>
      <c r="K13" s="10" cm="1">
        <f t="array" ref="K13">MAX(IF($M$3:$DF$3=$J$3,M13:DF13))</f>
        <v>0</v>
      </c>
      <c r="L13" s="8"/>
      <c r="O13" s="9"/>
      <c r="P13" s="9"/>
      <c r="Q13" s="9"/>
      <c r="R13" s="9"/>
      <c r="V13" s="9"/>
      <c r="W13" s="9"/>
      <c r="X13" s="9"/>
      <c r="Y13" s="9"/>
      <c r="AC13" s="9"/>
      <c r="AD13" s="34"/>
      <c r="AE13" s="34"/>
      <c r="AF13" s="34"/>
      <c r="AG13" s="35"/>
      <c r="AH13" s="35"/>
      <c r="AJ13" s="34"/>
      <c r="AK13" s="34"/>
      <c r="AL13" s="34"/>
      <c r="AM13" s="34"/>
      <c r="AN13" s="35"/>
      <c r="AO13" s="35"/>
      <c r="AQ13" s="34"/>
      <c r="AR13" s="34"/>
      <c r="AS13" s="34"/>
      <c r="AT13" s="34"/>
      <c r="AU13" s="35"/>
      <c r="AV13" s="35"/>
      <c r="AX13" s="34"/>
      <c r="AY13" s="34"/>
      <c r="AZ13" s="34"/>
      <c r="BA13" s="34"/>
      <c r="BE13" s="9"/>
      <c r="BF13" s="9"/>
      <c r="BG13" s="9"/>
      <c r="BH13" s="9"/>
      <c r="BL13" s="9"/>
      <c r="BM13" s="9"/>
      <c r="BN13" s="9"/>
      <c r="BO13" s="9"/>
      <c r="BS13" s="9"/>
      <c r="BT13" s="9"/>
      <c r="BU13" s="9"/>
      <c r="BV13" s="9"/>
      <c r="BZ13" s="9"/>
      <c r="CA13" s="9"/>
      <c r="CB13" s="9"/>
      <c r="CC13" s="9"/>
      <c r="CG13" s="9"/>
      <c r="CH13" s="9">
        <v>0.5</v>
      </c>
      <c r="CI13" s="9"/>
      <c r="CJ13" s="9">
        <v>0.5</v>
      </c>
      <c r="CN13" s="9"/>
      <c r="CO13" s="9">
        <v>0.5</v>
      </c>
      <c r="CP13" s="9"/>
      <c r="CQ13" s="9">
        <v>0.5</v>
      </c>
      <c r="CU13" s="9"/>
      <c r="CV13" s="9">
        <v>0.5</v>
      </c>
      <c r="CW13" s="9"/>
      <c r="CX13" s="9">
        <v>0.5</v>
      </c>
      <c r="DB13" s="9"/>
      <c r="DC13" s="9">
        <v>0.5</v>
      </c>
      <c r="DD13" s="9"/>
      <c r="DE13" s="9">
        <v>0.5</v>
      </c>
      <c r="DI13" s="9"/>
      <c r="DJ13" s="9"/>
      <c r="DK13" s="9"/>
      <c r="DL13" s="9"/>
      <c r="DP13" s="9"/>
      <c r="DQ13" s="9"/>
      <c r="DR13" s="9"/>
      <c r="DS13" s="9"/>
      <c r="DW13" s="9"/>
      <c r="DX13" s="9"/>
      <c r="DY13" s="9"/>
      <c r="DZ13" s="9"/>
      <c r="ED13" s="9"/>
      <c r="EE13" s="9"/>
      <c r="EF13" s="9"/>
      <c r="EG13" s="9"/>
      <c r="EK13" s="9"/>
      <c r="EL13" s="9"/>
      <c r="EM13" s="9"/>
      <c r="EN13" s="9"/>
      <c r="EO13" s="30"/>
      <c r="ER13" s="9"/>
      <c r="ES13" s="9">
        <v>0.5</v>
      </c>
      <c r="ET13" s="9"/>
      <c r="EU13" s="9">
        <v>0.5</v>
      </c>
      <c r="EY13" s="9"/>
      <c r="EZ13" s="9">
        <v>0.8</v>
      </c>
      <c r="FA13" s="9"/>
      <c r="FB13" s="9">
        <v>0.8</v>
      </c>
      <c r="FF13" s="9"/>
      <c r="FG13" s="9">
        <v>0.8</v>
      </c>
      <c r="FH13" s="9"/>
      <c r="FI13" s="9">
        <v>0.8</v>
      </c>
      <c r="FM13" s="9"/>
      <c r="FN13" s="9">
        <v>1</v>
      </c>
      <c r="FO13" s="9"/>
      <c r="FP13" s="9">
        <v>1</v>
      </c>
      <c r="FT13" s="9"/>
      <c r="FU13" s="9"/>
      <c r="FV13" s="9"/>
      <c r="FW13" s="9"/>
      <c r="GA13" s="9"/>
      <c r="GB13" s="9"/>
      <c r="GC13" s="9"/>
      <c r="GD13" s="9"/>
      <c r="GH13" s="9"/>
      <c r="GI13" s="9"/>
      <c r="GJ13" s="9"/>
      <c r="GK13" s="9"/>
    </row>
    <row r="14" spans="2:194" outlineLevel="1">
      <c r="B14" t="s">
        <v>28</v>
      </c>
      <c r="C14" t="s">
        <v>86</v>
      </c>
      <c r="E14" s="8"/>
      <c r="F14" t="s">
        <v>177</v>
      </c>
      <c r="G14" s="27">
        <v>7.1428571428571397E-2</v>
      </c>
      <c r="I14" s="8">
        <f t="shared" si="0"/>
        <v>0</v>
      </c>
      <c r="J14" s="10" cm="1">
        <f t="array" ref="J14">MAX(IF($M$3:$DF$3=$J$3,M14:DF14))</f>
        <v>0</v>
      </c>
      <c r="K14" s="10" cm="1">
        <f t="array" ref="K14">MAX(IF($M$3:$DF$3=$J$3,M14:DF14))</f>
        <v>0</v>
      </c>
      <c r="L14" s="8"/>
      <c r="O14" s="9"/>
      <c r="P14" s="9"/>
      <c r="Q14" s="9"/>
      <c r="R14" s="9"/>
      <c r="V14" s="9"/>
      <c r="W14" s="9"/>
      <c r="X14" s="9"/>
      <c r="Y14" s="9"/>
      <c r="AC14" s="9"/>
      <c r="AD14" s="34"/>
      <c r="AE14" s="34"/>
      <c r="AF14" s="34"/>
      <c r="AG14" s="35"/>
      <c r="AH14" s="35"/>
      <c r="AJ14" s="34"/>
      <c r="AK14" s="34"/>
      <c r="AL14" s="34"/>
      <c r="AM14" s="34"/>
      <c r="AN14" s="35"/>
      <c r="AO14" s="35"/>
      <c r="AQ14" s="34"/>
      <c r="AR14" s="34"/>
      <c r="AS14" s="34"/>
      <c r="AT14" s="34"/>
      <c r="AU14" s="35"/>
      <c r="AV14" s="35"/>
      <c r="AX14" s="34"/>
      <c r="AY14" s="34"/>
      <c r="AZ14" s="34"/>
      <c r="BA14" s="34"/>
      <c r="BE14" s="9"/>
      <c r="BF14" s="9"/>
      <c r="BG14" s="9"/>
      <c r="BH14" s="9"/>
      <c r="BL14" s="9"/>
      <c r="BM14" s="9"/>
      <c r="BN14" s="9"/>
      <c r="BO14" s="9"/>
      <c r="BS14" s="9"/>
      <c r="BT14" s="9"/>
      <c r="BU14" s="9"/>
      <c r="BV14" s="9"/>
      <c r="BZ14" s="9"/>
      <c r="CA14" s="9"/>
      <c r="CB14" s="9"/>
      <c r="CC14" s="9"/>
      <c r="CG14" s="9"/>
      <c r="CH14" s="9"/>
      <c r="CI14" s="9"/>
      <c r="CJ14" s="9"/>
      <c r="CN14" s="9"/>
      <c r="CO14" s="9">
        <v>0.5</v>
      </c>
      <c r="CP14" s="9"/>
      <c r="CQ14" s="9">
        <v>0.5</v>
      </c>
      <c r="CU14" s="9"/>
      <c r="CV14" s="9">
        <v>0.5</v>
      </c>
      <c r="CW14" s="9"/>
      <c r="CX14" s="9">
        <v>0.5</v>
      </c>
      <c r="DB14" s="9"/>
      <c r="DC14" s="9">
        <v>0.5</v>
      </c>
      <c r="DD14" s="9"/>
      <c r="DE14" s="9">
        <v>0.5</v>
      </c>
      <c r="DI14" s="9"/>
      <c r="DJ14" s="9"/>
      <c r="DK14" s="9"/>
      <c r="DL14" s="9"/>
      <c r="DP14" s="9"/>
      <c r="DQ14" s="9"/>
      <c r="DR14" s="9"/>
      <c r="DS14" s="9"/>
      <c r="DW14" s="9"/>
      <c r="DX14" s="9"/>
      <c r="DY14" s="9"/>
      <c r="DZ14" s="9"/>
      <c r="ED14" s="9"/>
      <c r="EE14" s="9"/>
      <c r="EF14" s="9"/>
      <c r="EG14" s="9"/>
      <c r="EK14" s="9"/>
      <c r="EL14" s="9"/>
      <c r="EM14" s="9"/>
      <c r="EN14" s="9"/>
      <c r="EO14" s="30"/>
      <c r="ER14" s="9"/>
      <c r="ES14" s="9">
        <v>0.5</v>
      </c>
      <c r="ET14" s="9"/>
      <c r="EU14" s="9">
        <v>0.5</v>
      </c>
      <c r="EY14" s="9"/>
      <c r="EZ14" s="9">
        <v>0.8</v>
      </c>
      <c r="FA14" s="9"/>
      <c r="FB14" s="9">
        <v>0.8</v>
      </c>
      <c r="FF14" s="9"/>
      <c r="FG14" s="9">
        <v>0.8</v>
      </c>
      <c r="FH14" s="9"/>
      <c r="FI14" s="9">
        <v>0.8</v>
      </c>
      <c r="FM14" s="9"/>
      <c r="FN14" s="9">
        <v>1</v>
      </c>
      <c r="FO14" s="9"/>
      <c r="FP14" s="9">
        <v>1</v>
      </c>
      <c r="FT14" s="9"/>
      <c r="FU14" s="9"/>
      <c r="FV14" s="9"/>
      <c r="FW14" s="9"/>
      <c r="GA14" s="9"/>
      <c r="GB14" s="9"/>
      <c r="GC14" s="9"/>
      <c r="GD14" s="9"/>
      <c r="GH14" s="9"/>
      <c r="GI14" s="9"/>
      <c r="GJ14" s="9"/>
      <c r="GK14" s="9"/>
    </row>
    <row r="15" spans="2:194" outlineLevel="1">
      <c r="B15" t="s">
        <v>28</v>
      </c>
      <c r="C15" t="s">
        <v>86</v>
      </c>
      <c r="E15" s="8"/>
      <c r="F15" t="s">
        <v>178</v>
      </c>
      <c r="G15" s="27">
        <v>7.1428571428571397E-2</v>
      </c>
      <c r="I15" s="8">
        <f t="shared" si="0"/>
        <v>0</v>
      </c>
      <c r="J15" s="10" cm="1">
        <f t="array" ref="J15">MAX(IF($M$3:$DF$3=$J$3,M15:DF15))</f>
        <v>0</v>
      </c>
      <c r="K15" s="10" cm="1">
        <f t="array" ref="K15">MAX(IF($M$3:$DF$3=$J$3,M15:DF15))</f>
        <v>0</v>
      </c>
      <c r="L15" s="8"/>
      <c r="O15" s="9"/>
      <c r="P15" s="9"/>
      <c r="Q15" s="9"/>
      <c r="R15" s="9"/>
      <c r="V15" s="9"/>
      <c r="W15" s="9"/>
      <c r="X15" s="9"/>
      <c r="Y15" s="9"/>
      <c r="AC15" s="9"/>
      <c r="AD15" s="34"/>
      <c r="AE15" s="34"/>
      <c r="AF15" s="34"/>
      <c r="AG15" s="35"/>
      <c r="AH15" s="35"/>
      <c r="AJ15" s="34"/>
      <c r="AK15" s="34"/>
      <c r="AL15" s="34"/>
      <c r="AM15" s="34"/>
      <c r="AN15" s="35"/>
      <c r="AO15" s="35"/>
      <c r="AQ15" s="34"/>
      <c r="AR15" s="34"/>
      <c r="AS15" s="34"/>
      <c r="AT15" s="34"/>
      <c r="AU15" s="35"/>
      <c r="AV15" s="35"/>
      <c r="AX15" s="34"/>
      <c r="AY15" s="34"/>
      <c r="AZ15" s="34"/>
      <c r="BA15" s="34"/>
      <c r="BE15" s="9"/>
      <c r="BF15" s="9"/>
      <c r="BG15" s="9"/>
      <c r="BH15" s="9"/>
      <c r="BL15" s="9"/>
      <c r="BM15" s="9"/>
      <c r="BN15" s="9"/>
      <c r="BO15" s="9"/>
      <c r="BS15" s="9"/>
      <c r="BT15" s="9"/>
      <c r="BU15" s="9"/>
      <c r="BV15" s="9"/>
      <c r="BZ15" s="9"/>
      <c r="CA15" s="9"/>
      <c r="CB15" s="9"/>
      <c r="CC15" s="9"/>
      <c r="CG15" s="9"/>
      <c r="CH15" s="9"/>
      <c r="CI15" s="9"/>
      <c r="CJ15" s="9"/>
      <c r="CN15" s="9"/>
      <c r="CO15" s="9">
        <v>0.5</v>
      </c>
      <c r="CP15" s="9"/>
      <c r="CQ15" s="9">
        <v>0.5</v>
      </c>
      <c r="CU15" s="9"/>
      <c r="CV15" s="9">
        <v>0.5</v>
      </c>
      <c r="CW15" s="9"/>
      <c r="CX15" s="9">
        <v>0.5</v>
      </c>
      <c r="DB15" s="9"/>
      <c r="DC15" s="9">
        <v>0.5</v>
      </c>
      <c r="DD15" s="9"/>
      <c r="DE15" s="9">
        <v>0.5</v>
      </c>
      <c r="DI15" s="9"/>
      <c r="DJ15" s="9"/>
      <c r="DK15" s="9"/>
      <c r="DL15" s="9"/>
      <c r="DP15" s="9"/>
      <c r="DQ15" s="9"/>
      <c r="DR15" s="9"/>
      <c r="DS15" s="9"/>
      <c r="DW15" s="9"/>
      <c r="DX15" s="9"/>
      <c r="DY15" s="9"/>
      <c r="DZ15" s="9"/>
      <c r="ED15" s="9"/>
      <c r="EE15" s="9"/>
      <c r="EF15" s="9"/>
      <c r="EG15" s="9"/>
      <c r="EK15" s="9"/>
      <c r="EL15" s="9"/>
      <c r="EM15" s="9"/>
      <c r="EN15" s="9"/>
      <c r="EO15" s="30"/>
      <c r="ER15" s="9"/>
      <c r="ES15" s="9">
        <v>0.5</v>
      </c>
      <c r="ET15" s="9"/>
      <c r="EU15" s="9">
        <v>0.5</v>
      </c>
      <c r="EY15" s="9"/>
      <c r="EZ15" s="9">
        <v>0.8</v>
      </c>
      <c r="FA15" s="9"/>
      <c r="FB15" s="9">
        <v>0.8</v>
      </c>
      <c r="FF15" s="9"/>
      <c r="FG15" s="9">
        <v>0.8</v>
      </c>
      <c r="FH15" s="9"/>
      <c r="FI15" s="9">
        <v>0.8</v>
      </c>
      <c r="FJ15" t="s">
        <v>198</v>
      </c>
      <c r="FM15" s="9"/>
      <c r="FN15" s="9">
        <v>1</v>
      </c>
      <c r="FO15" s="9"/>
      <c r="FP15" s="9">
        <v>1</v>
      </c>
      <c r="FT15" s="9"/>
      <c r="FU15" s="9"/>
      <c r="FV15" s="9"/>
      <c r="FW15" s="9"/>
      <c r="GA15" s="9"/>
      <c r="GB15" s="9"/>
      <c r="GC15" s="9"/>
      <c r="GD15" s="9"/>
      <c r="GH15" s="9"/>
      <c r="GI15" s="9"/>
      <c r="GJ15" s="9"/>
      <c r="GK15" s="9"/>
    </row>
    <row r="16" spans="2:194" outlineLevel="1">
      <c r="B16" t="s">
        <v>28</v>
      </c>
      <c r="C16" t="s">
        <v>86</v>
      </c>
      <c r="E16" s="8"/>
      <c r="F16" t="s">
        <v>179</v>
      </c>
      <c r="G16" s="27">
        <v>7.1428571428571397E-2</v>
      </c>
      <c r="I16" s="8">
        <f t="shared" si="0"/>
        <v>0</v>
      </c>
      <c r="J16" s="10" cm="1">
        <f t="array" ref="J16">MAX(IF($M$3:$DF$3=$J$3,M16:DF16))</f>
        <v>0</v>
      </c>
      <c r="K16" s="10" cm="1">
        <f t="array" ref="K16">MAX(IF($M$3:$DF$3=$J$3,M16:DF16))</f>
        <v>0</v>
      </c>
      <c r="L16" s="8"/>
      <c r="O16" s="9"/>
      <c r="P16" s="9"/>
      <c r="Q16" s="9"/>
      <c r="R16" s="9"/>
      <c r="V16" s="9"/>
      <c r="W16" s="9"/>
      <c r="X16" s="9"/>
      <c r="Y16" s="9"/>
      <c r="AC16" s="9"/>
      <c r="AD16" s="34"/>
      <c r="AE16" s="34"/>
      <c r="AF16" s="34"/>
      <c r="AG16" s="35"/>
      <c r="AH16" s="35"/>
      <c r="AJ16" s="34"/>
      <c r="AK16" s="34"/>
      <c r="AL16" s="34"/>
      <c r="AM16" s="34"/>
      <c r="AN16" s="35"/>
      <c r="AO16" s="35"/>
      <c r="AQ16" s="34"/>
      <c r="AR16" s="34"/>
      <c r="AS16" s="34"/>
      <c r="AT16" s="34"/>
      <c r="AU16" s="35"/>
      <c r="AV16" s="35"/>
      <c r="AX16" s="34"/>
      <c r="AY16" s="34"/>
      <c r="AZ16" s="34"/>
      <c r="BA16" s="34"/>
      <c r="BE16" s="9"/>
      <c r="BF16" s="9"/>
      <c r="BG16" s="9"/>
      <c r="BH16" s="9"/>
      <c r="BL16" s="9"/>
      <c r="BM16" s="9"/>
      <c r="BN16" s="9"/>
      <c r="BO16" s="9"/>
      <c r="BS16" s="9"/>
      <c r="BT16" s="9"/>
      <c r="BU16" s="9"/>
      <c r="BV16" s="9"/>
      <c r="BZ16" s="9"/>
      <c r="CA16" s="9"/>
      <c r="CB16" s="9"/>
      <c r="CC16" s="9"/>
      <c r="CG16" s="9"/>
      <c r="CH16" s="9"/>
      <c r="CI16" s="9"/>
      <c r="CJ16" s="9"/>
      <c r="CN16" s="9"/>
      <c r="CO16" s="9">
        <v>0.5</v>
      </c>
      <c r="CP16" s="9"/>
      <c r="CQ16" s="9">
        <v>0.5</v>
      </c>
      <c r="CU16" s="9"/>
      <c r="CV16" s="9">
        <v>0.5</v>
      </c>
      <c r="CW16" s="9"/>
      <c r="CX16" s="9">
        <v>0.5</v>
      </c>
      <c r="DB16" s="9"/>
      <c r="DC16" s="9">
        <v>0.5</v>
      </c>
      <c r="DD16" s="9"/>
      <c r="DE16" s="9">
        <v>0.5</v>
      </c>
      <c r="DI16" s="9"/>
      <c r="DJ16" s="9"/>
      <c r="DK16" s="9"/>
      <c r="DL16" s="9"/>
      <c r="DP16" s="9"/>
      <c r="DQ16" s="9"/>
      <c r="DR16" s="9"/>
      <c r="DS16" s="9"/>
      <c r="DW16" s="9"/>
      <c r="DX16" s="9"/>
      <c r="DY16" s="9"/>
      <c r="DZ16" s="9"/>
      <c r="ED16" s="9"/>
      <c r="EE16" s="9"/>
      <c r="EF16" s="9"/>
      <c r="EG16" s="9"/>
      <c r="EK16" s="9"/>
      <c r="EL16" s="9"/>
      <c r="EM16" s="9"/>
      <c r="EN16" s="9"/>
      <c r="EO16" s="30"/>
      <c r="ER16" s="9"/>
      <c r="ES16" s="9">
        <v>0.5</v>
      </c>
      <c r="ET16" s="9"/>
      <c r="EU16" s="9">
        <v>0.5</v>
      </c>
      <c r="EY16" s="9"/>
      <c r="EZ16" s="9">
        <v>0.8</v>
      </c>
      <c r="FA16" s="9"/>
      <c r="FB16" s="9">
        <v>0.8</v>
      </c>
      <c r="FF16" s="9"/>
      <c r="FG16" s="9">
        <v>0.8</v>
      </c>
      <c r="FH16" s="9"/>
      <c r="FI16" s="9">
        <v>0.8</v>
      </c>
      <c r="FM16" s="9"/>
      <c r="FN16" s="9">
        <v>1</v>
      </c>
      <c r="FO16" s="9"/>
      <c r="FP16" s="9">
        <v>1</v>
      </c>
      <c r="FT16" s="9"/>
      <c r="FU16" s="9"/>
      <c r="FV16" s="9"/>
      <c r="FW16" s="9"/>
      <c r="GA16" s="9"/>
      <c r="GB16" s="9"/>
      <c r="GC16" s="9"/>
      <c r="GD16" s="9"/>
      <c r="GH16" s="9"/>
      <c r="GI16" s="9"/>
      <c r="GJ16" s="9"/>
      <c r="GK16" s="9"/>
    </row>
    <row r="17" spans="2:193" outlineLevel="1">
      <c r="B17" t="s">
        <v>28</v>
      </c>
      <c r="C17" t="s">
        <v>86</v>
      </c>
      <c r="E17" s="8"/>
      <c r="F17" t="s">
        <v>180</v>
      </c>
      <c r="G17" s="27">
        <v>7.1428571428571397E-2</v>
      </c>
      <c r="I17" s="8">
        <f t="shared" si="0"/>
        <v>0</v>
      </c>
      <c r="J17" s="10" cm="1">
        <f t="array" ref="J17">MAX(IF($M$3:$DF$3=$J$3,M17:DF17))</f>
        <v>0</v>
      </c>
      <c r="K17" s="10" cm="1">
        <f t="array" ref="K17">MAX(IF($M$3:$DF$3=$J$3,M17:DF17))</f>
        <v>0</v>
      </c>
      <c r="L17" s="8"/>
      <c r="O17" s="9"/>
      <c r="P17" s="9"/>
      <c r="Q17" s="9"/>
      <c r="R17" s="9"/>
      <c r="V17" s="9"/>
      <c r="W17" s="9"/>
      <c r="X17" s="9"/>
      <c r="Y17" s="9"/>
      <c r="AC17" s="9"/>
      <c r="AD17" s="34"/>
      <c r="AE17" s="34"/>
      <c r="AF17" s="34"/>
      <c r="AG17" s="35"/>
      <c r="AH17" s="35"/>
      <c r="AJ17" s="34"/>
      <c r="AK17" s="34"/>
      <c r="AL17" s="34"/>
      <c r="AM17" s="34"/>
      <c r="AN17" s="35"/>
      <c r="AO17" s="35"/>
      <c r="AQ17" s="34"/>
      <c r="AR17" s="34"/>
      <c r="AS17" s="34"/>
      <c r="AT17" s="34"/>
      <c r="AU17" s="35"/>
      <c r="AV17" s="35"/>
      <c r="AX17" s="34"/>
      <c r="AY17" s="34"/>
      <c r="AZ17" s="34"/>
      <c r="BA17" s="34"/>
      <c r="BE17" s="9"/>
      <c r="BF17" s="9"/>
      <c r="BG17" s="9"/>
      <c r="BH17" s="9"/>
      <c r="BL17" s="9"/>
      <c r="BM17" s="9"/>
      <c r="BN17" s="9"/>
      <c r="BO17" s="9"/>
      <c r="BS17" s="9"/>
      <c r="BT17" s="9"/>
      <c r="BU17" s="9"/>
      <c r="BV17" s="9"/>
      <c r="BZ17" s="9"/>
      <c r="CA17" s="9"/>
      <c r="CB17" s="9"/>
      <c r="CC17" s="9"/>
      <c r="CG17" s="9"/>
      <c r="CH17" s="9"/>
      <c r="CI17" s="9"/>
      <c r="CJ17" s="9"/>
      <c r="CN17" s="9"/>
      <c r="CO17" s="9"/>
      <c r="CP17" s="9"/>
      <c r="CQ17" s="9"/>
      <c r="CU17" s="9"/>
      <c r="CV17" s="9"/>
      <c r="CW17" s="9"/>
      <c r="CX17" s="9"/>
      <c r="DB17" s="9"/>
      <c r="DC17" s="9">
        <v>0.5</v>
      </c>
      <c r="DD17" s="9"/>
      <c r="DE17" s="9">
        <v>0.5</v>
      </c>
      <c r="DI17" s="9"/>
      <c r="DJ17" s="9"/>
      <c r="DK17" s="9"/>
      <c r="DL17" s="9"/>
      <c r="DP17" s="9"/>
      <c r="DQ17" s="9"/>
      <c r="DR17" s="9"/>
      <c r="DS17" s="9"/>
      <c r="DW17" s="9"/>
      <c r="DX17" s="9"/>
      <c r="DY17" s="9"/>
      <c r="DZ17" s="9"/>
      <c r="ED17" s="9"/>
      <c r="EE17" s="9"/>
      <c r="EF17" s="9"/>
      <c r="EG17" s="9"/>
      <c r="EK17" s="9"/>
      <c r="EL17" s="9"/>
      <c r="EM17" s="9"/>
      <c r="EN17" s="9"/>
      <c r="EO17" s="30"/>
      <c r="ER17" s="9"/>
      <c r="ES17" s="9">
        <v>0.5</v>
      </c>
      <c r="ET17" s="9"/>
      <c r="EU17" s="9">
        <v>0.5</v>
      </c>
      <c r="EY17" s="9"/>
      <c r="EZ17" s="9">
        <v>0.5</v>
      </c>
      <c r="FA17" s="9"/>
      <c r="FB17" s="9">
        <v>0.5</v>
      </c>
      <c r="FF17" s="9"/>
      <c r="FG17" s="9">
        <v>0.8</v>
      </c>
      <c r="FH17" s="9"/>
      <c r="FI17" s="9">
        <v>0.8</v>
      </c>
      <c r="FM17" s="9"/>
      <c r="FN17" s="9">
        <v>1</v>
      </c>
      <c r="FO17" s="9"/>
      <c r="FP17" s="9">
        <v>1</v>
      </c>
      <c r="FT17" s="9"/>
      <c r="FU17" s="9"/>
      <c r="FV17" s="9"/>
      <c r="FW17" s="9"/>
      <c r="GA17" s="9"/>
      <c r="GB17" s="9"/>
      <c r="GC17" s="9"/>
      <c r="GD17" s="9"/>
      <c r="GH17" s="9"/>
      <c r="GI17" s="9"/>
      <c r="GJ17" s="9"/>
      <c r="GK17" s="9"/>
    </row>
    <row r="18" spans="2:193" outlineLevel="1">
      <c r="B18" t="s">
        <v>28</v>
      </c>
      <c r="C18" t="s">
        <v>86</v>
      </c>
      <c r="E18" s="8"/>
      <c r="F18" t="s">
        <v>181</v>
      </c>
      <c r="G18" s="27">
        <v>7.1428571428571397E-2</v>
      </c>
      <c r="I18" s="8">
        <f t="shared" si="0"/>
        <v>0</v>
      </c>
      <c r="J18" s="10" cm="1">
        <f t="array" ref="J18">MAX(IF($M$3:$DF$3=$J$3,M18:DF18))</f>
        <v>0</v>
      </c>
      <c r="K18" s="10" cm="1">
        <f t="array" ref="K18">MAX(IF($M$3:$DF$3=$J$3,M18:DF18))</f>
        <v>0</v>
      </c>
      <c r="L18" s="8"/>
      <c r="O18" s="9"/>
      <c r="P18" s="9"/>
      <c r="Q18" s="9"/>
      <c r="R18" s="9"/>
      <c r="V18" s="9"/>
      <c r="W18" s="9"/>
      <c r="X18" s="9"/>
      <c r="Y18" s="9"/>
      <c r="AC18" s="9"/>
      <c r="AD18" s="34"/>
      <c r="AE18" s="34"/>
      <c r="AF18" s="34"/>
      <c r="AG18" s="35"/>
      <c r="AH18" s="35"/>
      <c r="AJ18" s="34"/>
      <c r="AK18" s="34"/>
      <c r="AL18" s="34"/>
      <c r="AM18" s="34"/>
      <c r="AN18" s="35"/>
      <c r="AO18" s="35"/>
      <c r="AQ18" s="34"/>
      <c r="AR18" s="34"/>
      <c r="AS18" s="34"/>
      <c r="AT18" s="34"/>
      <c r="AU18" s="35"/>
      <c r="AV18" s="35"/>
      <c r="AX18" s="34"/>
      <c r="AY18" s="34"/>
      <c r="AZ18" s="34"/>
      <c r="BA18" s="34"/>
      <c r="BE18" s="9"/>
      <c r="BF18" s="9"/>
      <c r="BG18" s="9"/>
      <c r="BH18" s="9"/>
      <c r="BL18" s="9"/>
      <c r="BM18" s="9"/>
      <c r="BN18" s="9"/>
      <c r="BO18" s="9"/>
      <c r="BS18" s="9"/>
      <c r="BT18" s="9"/>
      <c r="BU18" s="9"/>
      <c r="BV18" s="9"/>
      <c r="BZ18" s="9"/>
      <c r="CA18" s="9"/>
      <c r="CB18" s="9"/>
      <c r="CC18" s="9"/>
      <c r="CG18" s="9"/>
      <c r="CH18" s="9"/>
      <c r="CI18" s="9"/>
      <c r="CJ18" s="9"/>
      <c r="CN18" s="9"/>
      <c r="CO18" s="9"/>
      <c r="CP18" s="9"/>
      <c r="CQ18" s="9"/>
      <c r="CU18" s="9"/>
      <c r="CV18" s="9"/>
      <c r="CW18" s="9"/>
      <c r="CX18" s="9"/>
      <c r="DB18" s="9"/>
      <c r="DC18" s="9"/>
      <c r="DD18" s="9"/>
      <c r="DE18" s="9"/>
      <c r="DI18" s="9"/>
      <c r="DJ18" s="9"/>
      <c r="DK18" s="9"/>
      <c r="DL18" s="9"/>
      <c r="DP18" s="9"/>
      <c r="DQ18" s="9"/>
      <c r="DR18" s="9"/>
      <c r="DS18" s="9"/>
      <c r="DW18" s="9"/>
      <c r="DX18" s="9"/>
      <c r="DY18" s="9"/>
      <c r="DZ18" s="9"/>
      <c r="ED18" s="9"/>
      <c r="EE18" s="9"/>
      <c r="EF18" s="9"/>
      <c r="EG18" s="9"/>
      <c r="EK18" s="9"/>
      <c r="EL18" s="9"/>
      <c r="EM18" s="9"/>
      <c r="EN18" s="9"/>
      <c r="EO18" s="30"/>
      <c r="ER18" s="9"/>
      <c r="ES18" s="9"/>
      <c r="ET18" s="9"/>
      <c r="EU18" s="9"/>
      <c r="EY18" s="9"/>
      <c r="EZ18" s="9">
        <v>0.5</v>
      </c>
      <c r="FA18" s="9"/>
      <c r="FB18" s="9">
        <v>0.5</v>
      </c>
      <c r="FF18" s="9"/>
      <c r="FG18" s="9">
        <v>0.8</v>
      </c>
      <c r="FH18" s="9"/>
      <c r="FI18" s="9">
        <v>0.8</v>
      </c>
      <c r="FM18" s="9"/>
      <c r="FN18" s="9">
        <v>1</v>
      </c>
      <c r="FO18" s="9"/>
      <c r="FP18" s="9">
        <v>1</v>
      </c>
      <c r="FT18" s="9"/>
      <c r="FU18" s="9"/>
      <c r="FV18" s="9"/>
      <c r="FW18" s="9"/>
      <c r="GA18" s="9"/>
      <c r="GB18" s="9"/>
      <c r="GC18" s="9"/>
      <c r="GD18" s="9"/>
      <c r="GH18" s="9"/>
      <c r="GI18" s="9"/>
      <c r="GJ18" s="9"/>
      <c r="GK18" s="9"/>
    </row>
    <row r="19" spans="2:193" ht="15.6" customHeight="1">
      <c r="V19" s="9"/>
      <c r="W19" s="9"/>
      <c r="X19" s="9"/>
      <c r="Y19" s="9"/>
      <c r="EO19" s="30"/>
    </row>
    <row r="20" spans="2:193">
      <c r="B20" t="s">
        <v>27</v>
      </c>
      <c r="C20" t="s">
        <v>87</v>
      </c>
      <c r="D20" s="32">
        <v>45698</v>
      </c>
      <c r="E20" s="8">
        <v>6</v>
      </c>
      <c r="G20" s="9">
        <f>+SUM(G21:G32)</f>
        <v>1.1499999999999999</v>
      </c>
      <c r="I20" s="11">
        <f>+SUM(I21:I32)</f>
        <v>11</v>
      </c>
      <c r="J20" s="10">
        <f>+SUMPRODUCT(G21:G32,J21:J32)</f>
        <v>0.06</v>
      </c>
      <c r="K20" s="10">
        <f>+SUMPRODUCT(G21:G32,K21:K32)</f>
        <v>0.06</v>
      </c>
      <c r="L20" s="8"/>
      <c r="N20" s="11">
        <f>+SUM(N21:N32)</f>
        <v>11</v>
      </c>
      <c r="U20" s="11">
        <f>+SUM(U21:U32)</f>
        <v>0</v>
      </c>
      <c r="V20" s="9"/>
      <c r="W20" s="9"/>
      <c r="X20" s="9"/>
      <c r="Y20" s="9"/>
      <c r="AB20" s="11">
        <f>+SUM(AB21:AB32)</f>
        <v>0</v>
      </c>
      <c r="AI20" s="11">
        <f>+SUM(AI21:AI32)</f>
        <v>0</v>
      </c>
      <c r="AP20" s="11">
        <f>+SUM(AP21:AP32)</f>
        <v>0</v>
      </c>
      <c r="AW20" s="11">
        <f>+SUM(AW21:AW32)</f>
        <v>0</v>
      </c>
      <c r="BD20" s="11">
        <f>+SUM(BD21:BD32)</f>
        <v>0</v>
      </c>
      <c r="BK20" s="11">
        <f>+SUM(BK21:BK32)</f>
        <v>0</v>
      </c>
      <c r="BR20" s="11">
        <f>+SUM(BR21:BR32)</f>
        <v>0</v>
      </c>
      <c r="BY20" s="11">
        <f>+SUM(BY21:BY32)</f>
        <v>0</v>
      </c>
      <c r="CF20" s="11">
        <f>+SUM(CF21:CF32)</f>
        <v>0</v>
      </c>
      <c r="CM20" s="11">
        <f>+SUM(CM21:CM32)</f>
        <v>0</v>
      </c>
      <c r="CT20" s="11">
        <f>+SUM(CT21:CT32)</f>
        <v>0</v>
      </c>
      <c r="DA20" s="11">
        <f>+SUM(DA21:DA32)</f>
        <v>0</v>
      </c>
      <c r="DH20" s="11">
        <f>+SUM(DH21:DH32)</f>
        <v>0</v>
      </c>
      <c r="DO20" s="11">
        <f>+SUM(DO21:DO32)</f>
        <v>0</v>
      </c>
      <c r="DV20" s="11">
        <f>+SUM(DV21:DV32)</f>
        <v>0</v>
      </c>
      <c r="EC20" s="11">
        <f>+SUM(EC21:EC32)</f>
        <v>0</v>
      </c>
      <c r="EJ20" s="11">
        <f>+SUM(EJ21:EJ32)</f>
        <v>0</v>
      </c>
      <c r="EO20" s="30"/>
      <c r="EQ20" s="11">
        <f>+SUM(EQ21:EQ32)</f>
        <v>0</v>
      </c>
      <c r="EX20" s="11">
        <f>+SUM(EX21:EX32)</f>
        <v>0</v>
      </c>
      <c r="FE20" s="11">
        <f>+SUM(FE21:FE32)</f>
        <v>0</v>
      </c>
      <c r="FL20" s="11">
        <f>+SUM(FL21:FL32)</f>
        <v>0</v>
      </c>
      <c r="FS20" s="11">
        <f>+SUM(FS21:FS32)</f>
        <v>0</v>
      </c>
      <c r="FZ20" s="11">
        <f>+SUM(FZ21:FZ32)</f>
        <v>0</v>
      </c>
      <c r="GG20" s="11">
        <f>+SUM(GG21:GG32)</f>
        <v>0</v>
      </c>
    </row>
    <row r="21" spans="2:193" outlineLevel="1">
      <c r="B21" t="s">
        <v>28</v>
      </c>
      <c r="C21" t="s">
        <v>87</v>
      </c>
      <c r="E21" s="8"/>
      <c r="F21" t="s">
        <v>156</v>
      </c>
      <c r="G21" s="9">
        <v>0.1</v>
      </c>
      <c r="I21" s="8">
        <f t="shared" ref="I21:I32" si="1">+SUMIF($M$3:$XA$3,I$3,$M21:$XA21)</f>
        <v>11</v>
      </c>
      <c r="J21" s="10" cm="1">
        <f t="array" ref="J21">MAX(IF($M$3:$DF$3=$J$3,M21:DF21))</f>
        <v>0.6</v>
      </c>
      <c r="K21" s="10" cm="1">
        <f t="array" ref="K21">MAX(IF($M$3:$DF$3=$J$3,M21:DF21))</f>
        <v>0.6</v>
      </c>
      <c r="L21" s="8"/>
      <c r="N21">
        <v>11</v>
      </c>
      <c r="O21" s="9">
        <v>0.6</v>
      </c>
      <c r="P21" s="9">
        <v>0.5</v>
      </c>
      <c r="Q21" s="9">
        <v>0.5</v>
      </c>
      <c r="R21" s="9">
        <v>0.5</v>
      </c>
      <c r="V21" s="9"/>
      <c r="W21" s="9"/>
      <c r="X21" s="9"/>
      <c r="Y21" s="9"/>
      <c r="AC21" s="34">
        <v>0.6</v>
      </c>
      <c r="AD21" s="9">
        <v>0.5</v>
      </c>
      <c r="AE21" s="9">
        <v>0.5</v>
      </c>
      <c r="AF21" s="9">
        <v>0.5</v>
      </c>
      <c r="AG21" s="35"/>
      <c r="AH21" s="35"/>
      <c r="AJ21" s="34"/>
      <c r="AK21" s="9">
        <v>0.5</v>
      </c>
      <c r="AL21" s="9"/>
      <c r="AM21" s="9">
        <v>0.5</v>
      </c>
      <c r="AN21" s="35"/>
      <c r="AO21" s="35"/>
      <c r="AQ21" s="34"/>
      <c r="AR21" s="9">
        <v>0.8</v>
      </c>
      <c r="AS21" s="9"/>
      <c r="AT21" s="9">
        <v>0.8</v>
      </c>
      <c r="AU21" s="35"/>
      <c r="AV21" s="35"/>
      <c r="AX21" s="34"/>
      <c r="AY21" s="9">
        <v>0.8</v>
      </c>
      <c r="AZ21" s="9"/>
      <c r="BA21" s="9">
        <v>0.8</v>
      </c>
      <c r="BB21" s="35"/>
      <c r="BC21" s="35"/>
      <c r="BE21" s="34"/>
      <c r="BF21" s="9">
        <v>0.8</v>
      </c>
      <c r="BG21" s="9"/>
      <c r="BH21" s="9">
        <v>0.8</v>
      </c>
      <c r="BI21" s="35"/>
      <c r="BJ21" s="35"/>
      <c r="BL21" s="34"/>
      <c r="BM21" s="9">
        <v>0.8</v>
      </c>
      <c r="BN21" s="9"/>
      <c r="BO21" s="9">
        <v>0.8</v>
      </c>
      <c r="BP21" s="35"/>
      <c r="BQ21" s="35"/>
      <c r="BS21" s="34"/>
      <c r="BT21" s="9">
        <v>1</v>
      </c>
      <c r="BU21" s="9"/>
      <c r="BV21" s="9">
        <v>1</v>
      </c>
      <c r="BW21" s="35"/>
      <c r="BX21" s="35"/>
      <c r="BZ21" s="34"/>
      <c r="CA21" s="9">
        <v>1</v>
      </c>
      <c r="CB21" s="9"/>
      <c r="CC21" s="9">
        <v>1</v>
      </c>
      <c r="CD21" s="35"/>
      <c r="CE21" s="35"/>
      <c r="CG21" s="34"/>
      <c r="CH21" s="9">
        <v>1</v>
      </c>
      <c r="CI21" s="9"/>
      <c r="CJ21" s="9">
        <v>1</v>
      </c>
      <c r="CK21" s="35"/>
      <c r="CL21" s="35"/>
      <c r="CN21" s="34"/>
      <c r="CO21" s="9">
        <v>1</v>
      </c>
      <c r="CP21" s="9"/>
      <c r="CQ21" s="9">
        <v>1</v>
      </c>
      <c r="CR21" s="35"/>
      <c r="CS21" s="35"/>
      <c r="CU21" s="34"/>
      <c r="CV21" s="9">
        <v>1</v>
      </c>
      <c r="CW21" s="9"/>
      <c r="CX21" s="9">
        <v>1</v>
      </c>
      <c r="DB21" s="9"/>
      <c r="DC21" s="9">
        <v>1</v>
      </c>
      <c r="DD21" s="9"/>
      <c r="DE21" s="9">
        <v>1</v>
      </c>
      <c r="DI21" s="9"/>
      <c r="DJ21" s="9"/>
      <c r="DK21" s="9"/>
      <c r="DL21" s="9"/>
      <c r="DP21" s="9"/>
      <c r="DQ21" s="9"/>
      <c r="DR21" s="9"/>
      <c r="DS21" s="9"/>
      <c r="DW21" s="9"/>
      <c r="DX21" s="9"/>
      <c r="DY21" s="9"/>
      <c r="DZ21" s="9"/>
      <c r="ED21" s="9"/>
      <c r="EE21" s="9"/>
      <c r="EF21" s="9"/>
      <c r="EG21" s="9"/>
      <c r="EK21" s="9"/>
      <c r="EL21" s="9"/>
      <c r="EM21" s="9"/>
      <c r="EN21" s="9"/>
      <c r="EO21" s="30"/>
      <c r="ER21" s="9"/>
      <c r="ES21" s="9"/>
      <c r="ET21" s="9"/>
      <c r="EU21" s="9"/>
      <c r="EY21" s="9"/>
      <c r="EZ21" s="9"/>
      <c r="FA21" s="9"/>
      <c r="FB21" s="9"/>
      <c r="FF21" s="9"/>
      <c r="FG21" s="9"/>
      <c r="FH21" s="9"/>
      <c r="FI21" s="9"/>
      <c r="FM21" s="9"/>
      <c r="FN21" s="9"/>
      <c r="FO21" s="9"/>
      <c r="FP21" s="9"/>
      <c r="FT21" s="9"/>
      <c r="FU21" s="9"/>
      <c r="FV21" s="9"/>
      <c r="FW21" s="9"/>
      <c r="GA21" s="9"/>
      <c r="GB21" s="9"/>
      <c r="GC21" s="9"/>
      <c r="GD21" s="9"/>
      <c r="GH21" s="9"/>
      <c r="GI21" s="9"/>
      <c r="GJ21" s="9"/>
      <c r="GK21" s="9"/>
    </row>
    <row r="22" spans="2:193" outlineLevel="1">
      <c r="B22" t="s">
        <v>28</v>
      </c>
      <c r="C22" t="s">
        <v>87</v>
      </c>
      <c r="E22" s="8"/>
      <c r="F22" t="s">
        <v>157</v>
      </c>
      <c r="G22" s="9">
        <v>0.1</v>
      </c>
      <c r="I22" s="8">
        <f t="shared" si="1"/>
        <v>0</v>
      </c>
      <c r="J22" s="10" cm="1">
        <f t="array" ref="J22">MAX(IF($M$3:$DF$3=$J$3,M22:DF22))</f>
        <v>0</v>
      </c>
      <c r="K22" s="10" cm="1">
        <f t="array" ref="K22">MAX(IF($M$3:$DF$3=$J$3,M22:DF22))</f>
        <v>0</v>
      </c>
      <c r="L22" s="8"/>
      <c r="O22" s="9"/>
      <c r="P22" s="9"/>
      <c r="Q22" s="9"/>
      <c r="R22" s="9"/>
      <c r="V22" s="9"/>
      <c r="W22" s="9"/>
      <c r="X22" s="9"/>
      <c r="Y22" s="9"/>
      <c r="AC22" s="34"/>
      <c r="AD22" s="9">
        <v>0.5</v>
      </c>
      <c r="AE22" s="9"/>
      <c r="AF22" s="9">
        <v>0.5</v>
      </c>
      <c r="AG22" s="35"/>
      <c r="AH22" s="35"/>
      <c r="AJ22" s="34"/>
      <c r="AK22" s="9">
        <v>0.5</v>
      </c>
      <c r="AL22" s="9"/>
      <c r="AM22" s="9">
        <v>0.5</v>
      </c>
      <c r="AN22" s="35"/>
      <c r="AO22" s="35"/>
      <c r="AQ22" s="34"/>
      <c r="AR22" s="9">
        <v>0.5</v>
      </c>
      <c r="AS22" s="9"/>
      <c r="AT22" s="9">
        <v>0.5</v>
      </c>
      <c r="AU22" s="35"/>
      <c r="AV22" s="35"/>
      <c r="AX22" s="34"/>
      <c r="AY22" s="9">
        <v>0.8</v>
      </c>
      <c r="AZ22" s="9"/>
      <c r="BA22" s="9">
        <v>0.8</v>
      </c>
      <c r="BB22" s="35"/>
      <c r="BC22" s="35"/>
      <c r="BE22" s="34"/>
      <c r="BF22" s="9">
        <v>0.8</v>
      </c>
      <c r="BG22" s="9"/>
      <c r="BH22" s="9">
        <v>0.8</v>
      </c>
      <c r="BI22" s="35"/>
      <c r="BJ22" s="35"/>
      <c r="BL22" s="34"/>
      <c r="BM22" s="9">
        <v>0.8</v>
      </c>
      <c r="BN22" s="9"/>
      <c r="BO22" s="9">
        <v>0.8</v>
      </c>
      <c r="BP22" s="35"/>
      <c r="BQ22" s="35"/>
      <c r="BS22" s="34"/>
      <c r="BT22" s="9">
        <v>1</v>
      </c>
      <c r="BU22" s="9"/>
      <c r="BV22" s="9">
        <v>1</v>
      </c>
      <c r="BW22" s="35"/>
      <c r="BX22" s="35"/>
      <c r="BZ22" s="34"/>
      <c r="CA22" s="9">
        <v>1</v>
      </c>
      <c r="CB22" s="9"/>
      <c r="CC22" s="9">
        <v>1</v>
      </c>
      <c r="CD22" s="35"/>
      <c r="CE22" s="35"/>
      <c r="CG22" s="34"/>
      <c r="CH22" s="9">
        <v>1</v>
      </c>
      <c r="CI22" s="9"/>
      <c r="CJ22" s="9">
        <v>1</v>
      </c>
      <c r="CK22" s="35"/>
      <c r="CL22" s="35"/>
      <c r="CN22" s="34"/>
      <c r="CO22" s="9">
        <v>1</v>
      </c>
      <c r="CP22" s="9"/>
      <c r="CQ22" s="9">
        <v>1</v>
      </c>
      <c r="CR22" s="35"/>
      <c r="CS22" s="35"/>
      <c r="CU22" s="34"/>
      <c r="CV22" s="9">
        <v>1</v>
      </c>
      <c r="CW22" s="9"/>
      <c r="CX22" s="9">
        <v>1</v>
      </c>
      <c r="DB22" s="9"/>
      <c r="DC22" s="9">
        <v>1</v>
      </c>
      <c r="DD22" s="9"/>
      <c r="DE22" s="9">
        <v>1</v>
      </c>
      <c r="DI22" s="9"/>
      <c r="DJ22" s="9"/>
      <c r="DK22" s="9"/>
      <c r="DL22" s="9"/>
      <c r="DP22" s="9"/>
      <c r="DQ22" s="9"/>
      <c r="DR22" s="9"/>
      <c r="DS22" s="9"/>
      <c r="DW22" s="9"/>
      <c r="DX22" s="9"/>
      <c r="DY22" s="9"/>
      <c r="DZ22" s="9"/>
      <c r="ED22" s="9"/>
      <c r="EE22" s="9"/>
      <c r="EF22" s="9"/>
      <c r="EG22" s="9"/>
      <c r="EK22" s="9"/>
      <c r="EL22" s="9"/>
      <c r="EM22" s="9"/>
      <c r="EN22" s="9"/>
      <c r="EO22" s="30"/>
      <c r="ER22" s="9"/>
      <c r="ES22" s="9"/>
      <c r="ET22" s="9"/>
      <c r="EU22" s="9"/>
      <c r="EY22" s="9"/>
      <c r="EZ22" s="9"/>
      <c r="FA22" s="9"/>
      <c r="FB22" s="9"/>
      <c r="FF22" s="9"/>
      <c r="FG22" s="9"/>
      <c r="FH22" s="9"/>
      <c r="FI22" s="9"/>
      <c r="FM22" s="9"/>
      <c r="FN22" s="9"/>
      <c r="FO22" s="9"/>
      <c r="FP22" s="9"/>
      <c r="FT22" s="9"/>
      <c r="FU22" s="9"/>
      <c r="FV22" s="9"/>
      <c r="FW22" s="9"/>
      <c r="GA22" s="9"/>
      <c r="GB22" s="9"/>
      <c r="GC22" s="9"/>
      <c r="GD22" s="9"/>
      <c r="GH22" s="9"/>
      <c r="GI22" s="9"/>
      <c r="GJ22" s="9"/>
      <c r="GK22" s="9"/>
    </row>
    <row r="23" spans="2:193" outlineLevel="1">
      <c r="B23" t="s">
        <v>28</v>
      </c>
      <c r="C23" t="s">
        <v>87</v>
      </c>
      <c r="E23" s="8"/>
      <c r="F23" t="s">
        <v>158</v>
      </c>
      <c r="G23" s="9">
        <v>0.05</v>
      </c>
      <c r="I23" s="8">
        <f t="shared" si="1"/>
        <v>0</v>
      </c>
      <c r="J23" s="10" cm="1">
        <f t="array" ref="J23">MAX(IF($M$3:$DF$3=$J$3,M23:DF23))</f>
        <v>0</v>
      </c>
      <c r="K23" s="10" cm="1">
        <f t="array" ref="K23">MAX(IF($M$3:$DF$3=$J$3,M23:DF23))</f>
        <v>0</v>
      </c>
      <c r="L23" s="8"/>
      <c r="O23" s="9"/>
      <c r="P23" s="9"/>
      <c r="Q23" s="9"/>
      <c r="R23" s="9"/>
      <c r="V23" s="9"/>
      <c r="W23" s="9"/>
      <c r="X23" s="9"/>
      <c r="Y23" s="9"/>
      <c r="AC23" s="34"/>
      <c r="AD23" s="9">
        <v>0.5</v>
      </c>
      <c r="AE23" s="9"/>
      <c r="AF23" s="9">
        <v>0.5</v>
      </c>
      <c r="AG23" s="35"/>
      <c r="AH23" s="35"/>
      <c r="AJ23" s="34"/>
      <c r="AK23" s="9">
        <v>0.5</v>
      </c>
      <c r="AL23" s="9"/>
      <c r="AM23" s="9">
        <v>0.5</v>
      </c>
      <c r="AN23" s="35"/>
      <c r="AO23" s="35"/>
      <c r="AQ23" s="34"/>
      <c r="AR23" s="9">
        <v>0.5</v>
      </c>
      <c r="AS23" s="9"/>
      <c r="AT23" s="9">
        <v>0.5</v>
      </c>
      <c r="AU23" s="35"/>
      <c r="AV23" s="35"/>
      <c r="AX23" s="34"/>
      <c r="AY23" s="9">
        <v>0.8</v>
      </c>
      <c r="AZ23" s="9"/>
      <c r="BA23" s="9">
        <v>0.8</v>
      </c>
      <c r="BB23" s="35"/>
      <c r="BC23" s="35"/>
      <c r="BE23" s="34"/>
      <c r="BF23" s="9">
        <v>0.8</v>
      </c>
      <c r="BG23" s="9"/>
      <c r="BH23" s="9">
        <v>0.8</v>
      </c>
      <c r="BI23" s="35"/>
      <c r="BJ23" s="35"/>
      <c r="BL23" s="34"/>
      <c r="BM23" s="9">
        <v>0.8</v>
      </c>
      <c r="BN23" s="9"/>
      <c r="BO23" s="9">
        <v>0.8</v>
      </c>
      <c r="BP23" s="35"/>
      <c r="BQ23" s="35"/>
      <c r="BS23" s="34"/>
      <c r="BT23" s="9">
        <v>0.8</v>
      </c>
      <c r="BU23" s="9"/>
      <c r="BV23" s="9">
        <v>0.8</v>
      </c>
      <c r="BW23" s="35"/>
      <c r="BX23" s="35"/>
      <c r="BZ23" s="34"/>
      <c r="CA23" s="9">
        <v>1</v>
      </c>
      <c r="CB23" s="9"/>
      <c r="CC23" s="9">
        <v>1</v>
      </c>
      <c r="CD23" s="35"/>
      <c r="CE23" s="35"/>
      <c r="CG23" s="34"/>
      <c r="CH23" s="9">
        <v>1</v>
      </c>
      <c r="CI23" s="9"/>
      <c r="CJ23" s="9">
        <v>1</v>
      </c>
      <c r="CK23" s="35"/>
      <c r="CL23" s="35"/>
      <c r="CN23" s="34"/>
      <c r="CO23" s="9">
        <v>1</v>
      </c>
      <c r="CP23" s="9"/>
      <c r="CQ23" s="9">
        <v>1</v>
      </c>
      <c r="CR23" s="35"/>
      <c r="CS23" s="35"/>
      <c r="CU23" s="34"/>
      <c r="CV23" s="9">
        <v>1</v>
      </c>
      <c r="CW23" s="9"/>
      <c r="CX23" s="9">
        <v>1</v>
      </c>
      <c r="DB23" s="9"/>
      <c r="DC23" s="9">
        <v>1</v>
      </c>
      <c r="DD23" s="9"/>
      <c r="DE23" s="9">
        <v>1</v>
      </c>
      <c r="DI23" s="9"/>
      <c r="DJ23" s="9"/>
      <c r="DK23" s="9"/>
      <c r="DL23" s="9"/>
      <c r="DP23" s="9"/>
      <c r="DQ23" s="9"/>
      <c r="DR23" s="9"/>
      <c r="DS23" s="9"/>
      <c r="DW23" s="9"/>
      <c r="DX23" s="9"/>
      <c r="DY23" s="9"/>
      <c r="DZ23" s="9"/>
      <c r="ED23" s="9"/>
      <c r="EE23" s="9"/>
      <c r="EF23" s="9"/>
      <c r="EG23" s="9"/>
      <c r="EH23" s="37" t="s">
        <v>201</v>
      </c>
      <c r="EK23" s="9"/>
      <c r="EL23" s="9"/>
      <c r="EM23" s="9"/>
      <c r="EN23" s="9"/>
      <c r="EO23" s="30"/>
      <c r="ER23" s="9"/>
      <c r="ES23" s="9"/>
      <c r="ET23" s="9"/>
      <c r="EU23" s="9"/>
      <c r="EY23" s="9"/>
      <c r="EZ23" s="9"/>
      <c r="FA23" s="9"/>
      <c r="FB23" s="9"/>
      <c r="FF23" s="9"/>
      <c r="FG23" s="9"/>
      <c r="FH23" s="9"/>
      <c r="FI23" s="9"/>
      <c r="FM23" s="9"/>
      <c r="FN23" s="9"/>
      <c r="FO23" s="9"/>
      <c r="FP23" s="9"/>
      <c r="FT23" s="9"/>
      <c r="FU23" s="9"/>
      <c r="FV23" s="9"/>
      <c r="FW23" s="9"/>
      <c r="GA23" s="9"/>
      <c r="GB23" s="9"/>
      <c r="GC23" s="9"/>
      <c r="GD23" s="9"/>
      <c r="GH23" s="9"/>
      <c r="GI23" s="9"/>
      <c r="GJ23" s="9"/>
      <c r="GK23" s="9"/>
    </row>
    <row r="24" spans="2:193" outlineLevel="1">
      <c r="B24" t="s">
        <v>28</v>
      </c>
      <c r="C24" t="s">
        <v>87</v>
      </c>
      <c r="E24" s="8"/>
      <c r="F24" t="s">
        <v>159</v>
      </c>
      <c r="G24" s="9">
        <v>0.1</v>
      </c>
      <c r="I24" s="8">
        <f t="shared" si="1"/>
        <v>0</v>
      </c>
      <c r="J24" s="10" cm="1">
        <f t="array" ref="J24">MAX(IF($M$3:$DF$3=$J$3,M24:DF24))</f>
        <v>0</v>
      </c>
      <c r="K24" s="10" cm="1">
        <f t="array" ref="K24">MAX(IF($M$3:$DF$3=$J$3,M24:DF24))</f>
        <v>0</v>
      </c>
      <c r="L24" s="8"/>
      <c r="O24" s="9"/>
      <c r="P24" s="9"/>
      <c r="Q24" s="9"/>
      <c r="R24" s="9"/>
      <c r="V24" s="9"/>
      <c r="W24" s="9"/>
      <c r="X24" s="9"/>
      <c r="Y24" s="9"/>
      <c r="AC24" s="34"/>
      <c r="AD24" s="9"/>
      <c r="AE24" s="9"/>
      <c r="AF24" s="9"/>
      <c r="AG24" s="35"/>
      <c r="AH24" s="35"/>
      <c r="AJ24" s="34"/>
      <c r="AK24" s="9">
        <v>0.5</v>
      </c>
      <c r="AL24" s="9"/>
      <c r="AM24" s="9">
        <v>0.5</v>
      </c>
      <c r="AN24" s="35"/>
      <c r="AO24" s="35"/>
      <c r="AQ24" s="34"/>
      <c r="AR24" s="9">
        <v>0.5</v>
      </c>
      <c r="AS24" s="9"/>
      <c r="AT24" s="9">
        <v>0.5</v>
      </c>
      <c r="AU24" s="35"/>
      <c r="AV24" s="35"/>
      <c r="AX24" s="34"/>
      <c r="AY24" s="9">
        <v>0.5</v>
      </c>
      <c r="AZ24" s="9"/>
      <c r="BA24" s="9">
        <v>0.5</v>
      </c>
      <c r="BB24" s="35"/>
      <c r="BC24" s="35"/>
      <c r="BE24" s="34"/>
      <c r="BF24" s="9">
        <v>0.8</v>
      </c>
      <c r="BG24" s="9"/>
      <c r="BH24" s="9">
        <v>0.8</v>
      </c>
      <c r="BI24" s="35"/>
      <c r="BJ24" s="35"/>
      <c r="BL24" s="34"/>
      <c r="BM24" s="9">
        <v>0.8</v>
      </c>
      <c r="BN24" s="9"/>
      <c r="BO24" s="9">
        <v>0.8</v>
      </c>
      <c r="BP24" s="35"/>
      <c r="BQ24" s="35"/>
      <c r="BS24" s="34"/>
      <c r="BT24" s="9">
        <v>0.8</v>
      </c>
      <c r="BU24" s="9"/>
      <c r="BV24" s="9">
        <v>0.8</v>
      </c>
      <c r="BW24" s="35"/>
      <c r="BX24" s="35"/>
      <c r="BZ24" s="34"/>
      <c r="CA24" s="9">
        <v>1</v>
      </c>
      <c r="CB24" s="9"/>
      <c r="CC24" s="9">
        <v>1</v>
      </c>
      <c r="CD24" s="35"/>
      <c r="CE24" s="35"/>
      <c r="CG24" s="34"/>
      <c r="CH24" s="9">
        <v>1</v>
      </c>
      <c r="CI24" s="9"/>
      <c r="CJ24" s="9">
        <v>1</v>
      </c>
      <c r="CK24" s="35"/>
      <c r="CL24" s="35"/>
      <c r="CN24" s="34"/>
      <c r="CO24" s="9">
        <v>1</v>
      </c>
      <c r="CP24" s="9"/>
      <c r="CQ24" s="9">
        <v>1</v>
      </c>
      <c r="CR24" s="35"/>
      <c r="CS24" s="35"/>
      <c r="CU24" s="34"/>
      <c r="CV24" s="9">
        <v>1</v>
      </c>
      <c r="CW24" s="9"/>
      <c r="CX24" s="9">
        <v>1</v>
      </c>
      <c r="DB24" s="9"/>
      <c r="DC24" s="9">
        <v>1</v>
      </c>
      <c r="DD24" s="9"/>
      <c r="DE24" s="9">
        <v>1</v>
      </c>
      <c r="DI24" s="9"/>
      <c r="DJ24" s="9"/>
      <c r="DK24" s="9"/>
      <c r="DL24" s="9"/>
      <c r="DP24" s="9"/>
      <c r="DQ24" s="9"/>
      <c r="DR24" s="9"/>
      <c r="DS24" s="9"/>
      <c r="DW24" s="9"/>
      <c r="DX24" s="9"/>
      <c r="DY24" s="9"/>
      <c r="DZ24" s="9"/>
      <c r="ED24" s="9"/>
      <c r="EE24" s="9"/>
      <c r="EF24" s="9"/>
      <c r="EG24" s="9"/>
      <c r="EH24" s="37"/>
      <c r="EK24" s="9"/>
      <c r="EL24" s="9"/>
      <c r="EM24" s="9"/>
      <c r="EN24" s="9"/>
      <c r="EO24" s="30"/>
      <c r="ER24" s="9"/>
      <c r="ES24" s="9"/>
      <c r="ET24" s="9"/>
      <c r="EU24" s="9"/>
      <c r="EY24" s="9"/>
      <c r="EZ24" s="9"/>
      <c r="FA24" s="9"/>
      <c r="FB24" s="9"/>
      <c r="FF24" s="9"/>
      <c r="FG24" s="9"/>
      <c r="FH24" s="9"/>
      <c r="FI24" s="9"/>
      <c r="FM24" s="9"/>
      <c r="FN24" s="9"/>
      <c r="FO24" s="9"/>
      <c r="FP24" s="9"/>
      <c r="FT24" s="9"/>
      <c r="FU24" s="9"/>
      <c r="FV24" s="9"/>
      <c r="FW24" s="9"/>
      <c r="GA24" s="9"/>
      <c r="GB24" s="9"/>
      <c r="GC24" s="9"/>
      <c r="GD24" s="9"/>
      <c r="GH24" s="9"/>
      <c r="GI24" s="9"/>
      <c r="GJ24" s="9"/>
      <c r="GK24" s="9"/>
    </row>
    <row r="25" spans="2:193" outlineLevel="1">
      <c r="B25" t="s">
        <v>28</v>
      </c>
      <c r="C25" t="s">
        <v>87</v>
      </c>
      <c r="E25" s="8"/>
      <c r="F25" t="s">
        <v>160</v>
      </c>
      <c r="G25" s="9">
        <v>0.1</v>
      </c>
      <c r="I25" s="8">
        <f t="shared" si="1"/>
        <v>0</v>
      </c>
      <c r="J25" s="10" cm="1">
        <f t="array" ref="J25">MAX(IF($M$3:$DF$3=$J$3,M25:DF25))</f>
        <v>0</v>
      </c>
      <c r="K25" s="10" cm="1">
        <f t="array" ref="K25">MAX(IF($M$3:$DF$3=$J$3,M25:DF25))</f>
        <v>0</v>
      </c>
      <c r="L25" s="8"/>
      <c r="O25" s="9"/>
      <c r="P25" s="9"/>
      <c r="Q25" s="9"/>
      <c r="R25" s="9"/>
      <c r="V25" s="9"/>
      <c r="W25" s="9"/>
      <c r="X25" s="9"/>
      <c r="Y25" s="9"/>
      <c r="AC25" s="34"/>
      <c r="AD25" s="9"/>
      <c r="AE25" s="9"/>
      <c r="AF25" s="9"/>
      <c r="AG25" s="35"/>
      <c r="AH25" s="35"/>
      <c r="AJ25" s="34"/>
      <c r="AK25" s="9">
        <v>0.5</v>
      </c>
      <c r="AL25" s="9"/>
      <c r="AM25" s="9">
        <v>0.5</v>
      </c>
      <c r="AN25" s="35"/>
      <c r="AO25" s="35"/>
      <c r="AQ25" s="34"/>
      <c r="AR25" s="9">
        <v>0.5</v>
      </c>
      <c r="AS25" s="9"/>
      <c r="AT25" s="9">
        <v>0.5</v>
      </c>
      <c r="AU25" s="35"/>
      <c r="AV25" s="35"/>
      <c r="AX25" s="34"/>
      <c r="AY25" s="9">
        <v>0.5</v>
      </c>
      <c r="AZ25" s="9"/>
      <c r="BA25" s="9">
        <v>0.5</v>
      </c>
      <c r="BB25" s="35"/>
      <c r="BC25" s="35"/>
      <c r="BE25" s="34"/>
      <c r="BF25" s="9">
        <v>0.8</v>
      </c>
      <c r="BG25" s="9"/>
      <c r="BH25" s="9">
        <v>0.8</v>
      </c>
      <c r="BI25" s="35"/>
      <c r="BJ25" s="35"/>
      <c r="BL25" s="34"/>
      <c r="BM25" s="9">
        <v>0.8</v>
      </c>
      <c r="BN25" s="9"/>
      <c r="BO25" s="9">
        <v>0.8</v>
      </c>
      <c r="BP25" s="35"/>
      <c r="BQ25" s="35"/>
      <c r="BS25" s="34"/>
      <c r="BT25" s="9">
        <v>0.8</v>
      </c>
      <c r="BU25" s="9"/>
      <c r="BV25" s="9">
        <v>0.8</v>
      </c>
      <c r="BW25" s="35"/>
      <c r="BX25" s="35"/>
      <c r="BZ25" s="34"/>
      <c r="CA25" s="9">
        <v>0.8</v>
      </c>
      <c r="CB25" s="9"/>
      <c r="CC25" s="9">
        <v>0.8</v>
      </c>
      <c r="CD25" s="35"/>
      <c r="CE25" s="35"/>
      <c r="CG25" s="34"/>
      <c r="CH25" s="9">
        <v>1</v>
      </c>
      <c r="CI25" s="9"/>
      <c r="CJ25" s="9">
        <v>1</v>
      </c>
      <c r="CK25" s="35"/>
      <c r="CL25" s="35"/>
      <c r="CN25" s="34"/>
      <c r="CO25" s="9">
        <v>1</v>
      </c>
      <c r="CP25" s="9"/>
      <c r="CQ25" s="9">
        <v>1</v>
      </c>
      <c r="CR25" s="35"/>
      <c r="CS25" s="35"/>
      <c r="CU25" s="34"/>
      <c r="CV25" s="9">
        <v>1</v>
      </c>
      <c r="CW25" s="9"/>
      <c r="CX25" s="9">
        <v>1</v>
      </c>
      <c r="DB25" s="9"/>
      <c r="DC25" s="9">
        <v>1</v>
      </c>
      <c r="DD25" s="9"/>
      <c r="DE25" s="9">
        <v>1</v>
      </c>
      <c r="DI25" s="9"/>
      <c r="DJ25" s="9"/>
      <c r="DK25" s="9"/>
      <c r="DL25" s="9"/>
      <c r="DP25" s="9"/>
      <c r="DQ25" s="9"/>
      <c r="DR25" s="9"/>
      <c r="DS25" s="9"/>
      <c r="DW25" s="9"/>
      <c r="DX25" s="9"/>
      <c r="DY25" s="9"/>
      <c r="DZ25" s="9"/>
      <c r="ED25" s="9"/>
      <c r="EE25" s="9"/>
      <c r="EF25" s="9"/>
      <c r="EG25" s="9"/>
      <c r="EH25" s="37"/>
      <c r="EK25" s="9"/>
      <c r="EL25" s="9"/>
      <c r="EM25" s="9"/>
      <c r="EN25" s="9"/>
      <c r="ER25" s="9"/>
      <c r="ES25" s="9"/>
      <c r="ET25" s="9"/>
      <c r="EU25" s="9"/>
      <c r="EY25" s="9"/>
      <c r="EZ25" s="9"/>
      <c r="FA25" s="9"/>
      <c r="FB25" s="9"/>
      <c r="FF25" s="9"/>
      <c r="FG25" s="9"/>
      <c r="FH25" s="9"/>
      <c r="FI25" s="9"/>
      <c r="FM25" s="9"/>
      <c r="FN25" s="9"/>
      <c r="FO25" s="9"/>
      <c r="FP25" s="9"/>
      <c r="FT25" s="9"/>
      <c r="FU25" s="9"/>
      <c r="FV25" s="9"/>
      <c r="FW25" s="9"/>
      <c r="GA25" s="9"/>
      <c r="GB25" s="9"/>
      <c r="GC25" s="9"/>
      <c r="GD25" s="9"/>
      <c r="GH25" s="9"/>
      <c r="GI25" s="9"/>
      <c r="GJ25" s="9"/>
      <c r="GK25" s="9"/>
    </row>
    <row r="26" spans="2:193" outlineLevel="1">
      <c r="B26" t="s">
        <v>28</v>
      </c>
      <c r="C26" t="s">
        <v>87</v>
      </c>
      <c r="E26" s="8"/>
      <c r="F26" t="s">
        <v>161</v>
      </c>
      <c r="G26" s="9">
        <v>0.1</v>
      </c>
      <c r="I26" s="8">
        <f t="shared" si="1"/>
        <v>0</v>
      </c>
      <c r="J26" s="10" cm="1">
        <f t="array" ref="J26">MAX(IF($M$3:$DF$3=$J$3,M26:DF26))</f>
        <v>0</v>
      </c>
      <c r="K26" s="10" cm="1">
        <f t="array" ref="K26">MAX(IF($M$3:$DF$3=$J$3,M26:DF26))</f>
        <v>0</v>
      </c>
      <c r="L26" s="8"/>
      <c r="O26" s="9"/>
      <c r="P26" s="9"/>
      <c r="Q26" s="9"/>
      <c r="R26" s="9"/>
      <c r="V26" s="9"/>
      <c r="W26" s="9"/>
      <c r="X26" s="9"/>
      <c r="Y26" s="9"/>
      <c r="AC26" s="34"/>
      <c r="AD26" s="9"/>
      <c r="AE26" s="9"/>
      <c r="AF26" s="9"/>
      <c r="AG26" s="35"/>
      <c r="AH26" s="35"/>
      <c r="AJ26" s="34"/>
      <c r="AK26" s="9">
        <v>0.5</v>
      </c>
      <c r="AL26" s="9"/>
      <c r="AM26" s="9">
        <v>0.5</v>
      </c>
      <c r="AN26" s="35"/>
      <c r="AO26" s="35"/>
      <c r="AQ26" s="34"/>
      <c r="AR26" s="9">
        <v>0.5</v>
      </c>
      <c r="AS26" s="9"/>
      <c r="AT26" s="9">
        <v>0.5</v>
      </c>
      <c r="AU26" s="35"/>
      <c r="AV26" s="35"/>
      <c r="AX26" s="34"/>
      <c r="AY26" s="9">
        <v>0.5</v>
      </c>
      <c r="AZ26" s="9"/>
      <c r="BA26" s="9">
        <v>0.5</v>
      </c>
      <c r="BB26" s="35"/>
      <c r="BC26" s="35"/>
      <c r="BE26" s="34"/>
      <c r="BF26" s="9">
        <v>0.5</v>
      </c>
      <c r="BG26" s="9"/>
      <c r="BH26" s="9">
        <v>0.5</v>
      </c>
      <c r="BI26" s="35"/>
      <c r="BJ26" s="35"/>
      <c r="BL26" s="34"/>
      <c r="BM26" s="9">
        <v>0.8</v>
      </c>
      <c r="BN26" s="9"/>
      <c r="BO26" s="9">
        <v>0.8</v>
      </c>
      <c r="BP26" s="35"/>
      <c r="BQ26" s="35"/>
      <c r="BS26" s="34"/>
      <c r="BT26" s="9">
        <v>0.8</v>
      </c>
      <c r="BU26" s="9"/>
      <c r="BV26" s="9">
        <v>0.8</v>
      </c>
      <c r="BW26" s="35"/>
      <c r="BX26" s="35"/>
      <c r="BZ26" s="34"/>
      <c r="CA26" s="9">
        <v>0.8</v>
      </c>
      <c r="CB26" s="9"/>
      <c r="CC26" s="9">
        <v>0.8</v>
      </c>
      <c r="CD26" s="35"/>
      <c r="CE26" s="35"/>
      <c r="CG26" s="34"/>
      <c r="CH26" s="9">
        <v>0.8</v>
      </c>
      <c r="CI26" s="9"/>
      <c r="CJ26" s="9">
        <v>0.8</v>
      </c>
      <c r="CK26" s="35"/>
      <c r="CL26" s="35"/>
      <c r="CN26" s="34"/>
      <c r="CO26" s="9">
        <v>1</v>
      </c>
      <c r="CP26" s="9"/>
      <c r="CQ26" s="9">
        <v>1</v>
      </c>
      <c r="CR26" s="35"/>
      <c r="CS26" s="35"/>
      <c r="CU26" s="34"/>
      <c r="CV26" s="9">
        <v>1</v>
      </c>
      <c r="CW26" s="9"/>
      <c r="CX26" s="9">
        <v>1</v>
      </c>
      <c r="DB26" s="9"/>
      <c r="DC26" s="9">
        <v>1</v>
      </c>
      <c r="DD26" s="9"/>
      <c r="DE26" s="9">
        <v>1</v>
      </c>
      <c r="DI26" s="9"/>
      <c r="DJ26" s="9"/>
      <c r="DK26" s="9"/>
      <c r="DL26" s="9"/>
      <c r="DP26" s="9"/>
      <c r="DQ26" s="9"/>
      <c r="DR26" s="9"/>
      <c r="DS26" s="9"/>
      <c r="DW26" s="9"/>
      <c r="DX26" s="9"/>
      <c r="DY26" s="9"/>
      <c r="DZ26" s="9"/>
      <c r="ED26" s="9"/>
      <c r="EE26" s="9"/>
      <c r="EF26" s="9"/>
      <c r="EG26" s="9"/>
      <c r="EH26" s="37"/>
      <c r="EK26" s="9"/>
      <c r="EL26" s="9"/>
      <c r="EM26" s="9"/>
      <c r="EN26" s="9"/>
      <c r="ER26" s="9"/>
      <c r="ES26" s="9"/>
      <c r="ET26" s="9"/>
      <c r="EU26" s="9"/>
      <c r="EY26" s="9"/>
      <c r="EZ26" s="9"/>
      <c r="FA26" s="9"/>
      <c r="FB26" s="9"/>
      <c r="FF26" s="9"/>
      <c r="FG26" s="9"/>
      <c r="FH26" s="9"/>
      <c r="FI26" s="9"/>
      <c r="FM26" s="9"/>
      <c r="FN26" s="9"/>
      <c r="FO26" s="9"/>
      <c r="FP26" s="9"/>
      <c r="FT26" s="9"/>
      <c r="FU26" s="9"/>
      <c r="FV26" s="9"/>
      <c r="FW26" s="9"/>
      <c r="GA26" s="9"/>
      <c r="GB26" s="9"/>
      <c r="GC26" s="9"/>
      <c r="GD26" s="9"/>
      <c r="GH26" s="9"/>
      <c r="GI26" s="9"/>
      <c r="GJ26" s="9"/>
      <c r="GK26" s="9"/>
    </row>
    <row r="27" spans="2:193" outlineLevel="1">
      <c r="B27" t="s">
        <v>28</v>
      </c>
      <c r="C27" t="s">
        <v>87</v>
      </c>
      <c r="E27" s="8"/>
      <c r="F27" t="s">
        <v>162</v>
      </c>
      <c r="G27" s="9">
        <v>0.1</v>
      </c>
      <c r="I27" s="8">
        <f t="shared" si="1"/>
        <v>0</v>
      </c>
      <c r="J27" s="10" cm="1">
        <f t="array" ref="J27">MAX(IF($M$3:$DF$3=$J$3,M27:DF27))</f>
        <v>0</v>
      </c>
      <c r="K27" s="10" cm="1">
        <f t="array" ref="K27">MAX(IF($M$3:$DF$3=$J$3,M27:DF27))</f>
        <v>0</v>
      </c>
      <c r="L27" s="8"/>
      <c r="O27" s="9"/>
      <c r="P27" s="9"/>
      <c r="Q27" s="9"/>
      <c r="R27" s="9"/>
      <c r="V27" s="9"/>
      <c r="W27" s="9"/>
      <c r="X27" s="9"/>
      <c r="Y27" s="9"/>
      <c r="AC27" s="34"/>
      <c r="AD27" s="34"/>
      <c r="AE27" s="34"/>
      <c r="AF27" s="34"/>
      <c r="AG27" s="35"/>
      <c r="AH27" s="35"/>
      <c r="AJ27" s="34"/>
      <c r="AK27" s="9"/>
      <c r="AL27" s="9"/>
      <c r="AM27" s="9"/>
      <c r="AN27" s="35"/>
      <c r="AO27" s="35"/>
      <c r="AQ27" s="34"/>
      <c r="AR27" s="9">
        <v>0.5</v>
      </c>
      <c r="AS27" s="9"/>
      <c r="AT27" s="9">
        <v>0.5</v>
      </c>
      <c r="AU27" s="35"/>
      <c r="AV27" s="35"/>
      <c r="AX27" s="34"/>
      <c r="AY27" s="9">
        <v>0.5</v>
      </c>
      <c r="AZ27" s="9"/>
      <c r="BA27" s="9">
        <v>0.5</v>
      </c>
      <c r="BB27" s="35"/>
      <c r="BC27" s="35"/>
      <c r="BE27" s="34"/>
      <c r="BF27" s="9">
        <v>0.5</v>
      </c>
      <c r="BG27" s="9"/>
      <c r="BH27" s="9">
        <v>0.5</v>
      </c>
      <c r="BI27" s="35"/>
      <c r="BJ27" s="35"/>
      <c r="BL27" s="34"/>
      <c r="BM27" s="9">
        <v>0.5</v>
      </c>
      <c r="BN27" s="9"/>
      <c r="BO27" s="9">
        <v>0.5</v>
      </c>
      <c r="BP27" s="35"/>
      <c r="BQ27" s="35"/>
      <c r="BS27" s="34"/>
      <c r="BT27" s="9">
        <v>0.8</v>
      </c>
      <c r="BU27" s="9"/>
      <c r="BV27" s="9">
        <v>0.8</v>
      </c>
      <c r="BW27" s="35"/>
      <c r="BX27" s="35"/>
      <c r="BZ27" s="34"/>
      <c r="CA27" s="9">
        <v>0.8</v>
      </c>
      <c r="CB27" s="9"/>
      <c r="CC27" s="9">
        <v>0.8</v>
      </c>
      <c r="CD27" s="35"/>
      <c r="CE27" s="35"/>
      <c r="CG27" s="34"/>
      <c r="CH27" s="9">
        <v>0.8</v>
      </c>
      <c r="CI27" s="9"/>
      <c r="CJ27" s="9">
        <v>0.8</v>
      </c>
      <c r="CK27" s="35"/>
      <c r="CL27" s="35"/>
      <c r="CN27" s="34"/>
      <c r="CO27" s="9">
        <v>0.8</v>
      </c>
      <c r="CP27" s="9"/>
      <c r="CQ27" s="9">
        <v>0.8</v>
      </c>
      <c r="CR27" s="35"/>
      <c r="CS27" s="35"/>
      <c r="CU27" s="34"/>
      <c r="CV27" s="9">
        <v>1</v>
      </c>
      <c r="CW27" s="9"/>
      <c r="CX27" s="9">
        <v>1</v>
      </c>
      <c r="DB27" s="9"/>
      <c r="DC27" s="9">
        <v>1</v>
      </c>
      <c r="DD27" s="9"/>
      <c r="DE27" s="9">
        <v>1</v>
      </c>
      <c r="DF27" t="s">
        <v>194</v>
      </c>
      <c r="DI27" s="9"/>
      <c r="DJ27" s="9"/>
      <c r="DK27" s="9"/>
      <c r="DL27" s="9"/>
      <c r="DP27" s="9"/>
      <c r="DQ27" s="9"/>
      <c r="DR27" s="9"/>
      <c r="DS27" s="9"/>
      <c r="DW27" s="9"/>
      <c r="DX27" s="9"/>
      <c r="DY27" s="9"/>
      <c r="DZ27" s="9"/>
      <c r="ED27" s="9"/>
      <c r="EE27" s="9"/>
      <c r="EF27" s="9"/>
      <c r="EG27" s="9"/>
      <c r="EH27" s="37"/>
      <c r="EK27" s="9"/>
      <c r="EL27" s="9"/>
      <c r="EM27" s="9"/>
      <c r="EN27" s="9"/>
      <c r="ER27" s="9"/>
      <c r="ES27" s="9"/>
      <c r="ET27" s="9"/>
      <c r="EU27" s="9"/>
      <c r="EY27" s="9"/>
      <c r="EZ27" s="9"/>
      <c r="FA27" s="9"/>
      <c r="FB27" s="9"/>
      <c r="FF27" s="9"/>
      <c r="FG27" s="9"/>
      <c r="FH27" s="9"/>
      <c r="FI27" s="9"/>
      <c r="FM27" s="9"/>
      <c r="FN27" s="9"/>
      <c r="FO27" s="9"/>
      <c r="FP27" s="9"/>
      <c r="FT27" s="9"/>
      <c r="FU27" s="9"/>
      <c r="FV27" s="9"/>
      <c r="FW27" s="9"/>
      <c r="GA27" s="9"/>
      <c r="GB27" s="9"/>
      <c r="GC27" s="9"/>
      <c r="GD27" s="9"/>
      <c r="GH27" s="9"/>
      <c r="GI27" s="9"/>
      <c r="GJ27" s="9"/>
      <c r="GK27" s="9"/>
    </row>
    <row r="28" spans="2:193" outlineLevel="1">
      <c r="B28" t="s">
        <v>28</v>
      </c>
      <c r="C28" t="s">
        <v>87</v>
      </c>
      <c r="E28" s="8"/>
      <c r="F28" t="s">
        <v>163</v>
      </c>
      <c r="G28" s="9">
        <v>0.1</v>
      </c>
      <c r="I28" s="8">
        <f t="shared" si="1"/>
        <v>0</v>
      </c>
      <c r="J28" s="10" cm="1">
        <f t="array" ref="J28">MAX(IF($M$3:$DF$3=$J$3,M28:DF28))</f>
        <v>0</v>
      </c>
      <c r="K28" s="10" cm="1">
        <f t="array" ref="K28">MAX(IF($M$3:$DF$3=$J$3,M28:DF28))</f>
        <v>0</v>
      </c>
      <c r="L28" s="8"/>
      <c r="O28" s="9"/>
      <c r="P28" s="9"/>
      <c r="Q28" s="9"/>
      <c r="R28" s="9"/>
      <c r="V28" s="9"/>
      <c r="W28" s="9"/>
      <c r="X28" s="9"/>
      <c r="Y28" s="9"/>
      <c r="AC28" s="34"/>
      <c r="AD28" s="34"/>
      <c r="AE28" s="34"/>
      <c r="AF28" s="34"/>
      <c r="AG28" s="35"/>
      <c r="AH28" s="35"/>
      <c r="AJ28" s="34"/>
      <c r="AK28" s="34"/>
      <c r="AL28" s="34"/>
      <c r="AM28" s="34"/>
      <c r="AN28" s="35"/>
      <c r="AO28" s="35"/>
      <c r="AQ28" s="34"/>
      <c r="AR28" s="9">
        <v>0.5</v>
      </c>
      <c r="AS28" s="9"/>
      <c r="AT28" s="9">
        <v>0.5</v>
      </c>
      <c r="AU28" s="35"/>
      <c r="AV28" s="35"/>
      <c r="AX28" s="34"/>
      <c r="AY28" s="9">
        <v>0.5</v>
      </c>
      <c r="AZ28" s="9"/>
      <c r="BA28" s="9">
        <v>0.5</v>
      </c>
      <c r="BB28" s="35"/>
      <c r="BC28" s="35"/>
      <c r="BE28" s="34"/>
      <c r="BF28" s="9">
        <v>0.5</v>
      </c>
      <c r="BG28" s="9"/>
      <c r="BH28" s="9">
        <v>0.5</v>
      </c>
      <c r="BI28" s="35"/>
      <c r="BJ28" s="35"/>
      <c r="BL28" s="34"/>
      <c r="BM28" s="9">
        <v>0.5</v>
      </c>
      <c r="BN28" s="9"/>
      <c r="BO28" s="9">
        <v>0.5</v>
      </c>
      <c r="BP28" s="35"/>
      <c r="BQ28" s="35"/>
      <c r="BS28" s="34"/>
      <c r="BT28" s="9">
        <v>0.5</v>
      </c>
      <c r="BU28" s="9"/>
      <c r="BV28" s="9">
        <v>0.5</v>
      </c>
      <c r="BW28" s="35"/>
      <c r="BX28" s="35"/>
      <c r="BZ28" s="34"/>
      <c r="CA28" s="9">
        <v>0.8</v>
      </c>
      <c r="CB28" s="9"/>
      <c r="CC28" s="9">
        <v>0.8</v>
      </c>
      <c r="CD28" s="35"/>
      <c r="CE28" s="35"/>
      <c r="CG28" s="34"/>
      <c r="CH28" s="9">
        <v>0.8</v>
      </c>
      <c r="CI28" s="9"/>
      <c r="CJ28" s="9">
        <v>0.8</v>
      </c>
      <c r="CK28" s="35"/>
      <c r="CL28" s="35"/>
      <c r="CN28" s="34"/>
      <c r="CO28" s="9">
        <v>0.8</v>
      </c>
      <c r="CP28" s="9"/>
      <c r="CQ28" s="9">
        <v>0.8</v>
      </c>
      <c r="CR28" s="35"/>
      <c r="CS28" s="35"/>
      <c r="CU28" s="34"/>
      <c r="CV28" s="9">
        <v>1</v>
      </c>
      <c r="CW28" s="9"/>
      <c r="CX28" s="9">
        <v>1</v>
      </c>
      <c r="DB28" s="9"/>
      <c r="DC28" s="9">
        <v>1</v>
      </c>
      <c r="DD28" s="9"/>
      <c r="DE28" s="9">
        <v>1</v>
      </c>
      <c r="DI28" s="9"/>
      <c r="DJ28" s="9"/>
      <c r="DK28" s="9"/>
      <c r="DL28" s="9"/>
      <c r="DP28" s="9"/>
      <c r="DQ28" s="9"/>
      <c r="DR28" s="9"/>
      <c r="DS28" s="9"/>
      <c r="DW28" s="9"/>
      <c r="DX28" s="9"/>
      <c r="DY28" s="9"/>
      <c r="DZ28" s="9"/>
      <c r="ED28" s="9"/>
      <c r="EE28" s="9"/>
      <c r="EF28" s="9"/>
      <c r="EG28" s="9"/>
      <c r="EH28" s="37"/>
      <c r="EK28" s="9"/>
      <c r="EL28" s="9"/>
      <c r="EM28" s="9"/>
      <c r="EN28" s="9"/>
      <c r="ER28" s="9"/>
      <c r="ES28" s="9"/>
      <c r="ET28" s="9"/>
      <c r="EU28" s="9"/>
      <c r="EY28" s="9"/>
      <c r="EZ28" s="9"/>
      <c r="FA28" s="9"/>
      <c r="FB28" s="9"/>
      <c r="FF28" s="9"/>
      <c r="FG28" s="9"/>
      <c r="FH28" s="9"/>
      <c r="FI28" s="9"/>
      <c r="FM28" s="9"/>
      <c r="FN28" s="9"/>
      <c r="FO28" s="9"/>
      <c r="FP28" s="9"/>
      <c r="FT28" s="9"/>
      <c r="FU28" s="9"/>
      <c r="FV28" s="9"/>
      <c r="FW28" s="9"/>
      <c r="GA28" s="9"/>
      <c r="GB28" s="9"/>
      <c r="GC28" s="9"/>
      <c r="GD28" s="9"/>
      <c r="GH28" s="9"/>
      <c r="GI28" s="9"/>
      <c r="GJ28" s="9"/>
      <c r="GK28" s="9"/>
    </row>
    <row r="29" spans="2:193" outlineLevel="1">
      <c r="B29" t="s">
        <v>28</v>
      </c>
      <c r="C29" t="s">
        <v>87</v>
      </c>
      <c r="E29" s="8"/>
      <c r="F29" t="s">
        <v>164</v>
      </c>
      <c r="G29" s="9">
        <v>0.1</v>
      </c>
      <c r="I29" s="8">
        <f t="shared" si="1"/>
        <v>0</v>
      </c>
      <c r="J29" s="10" cm="1">
        <f t="array" ref="J29">MAX(IF($M$3:$DF$3=$J$3,M29:DF29))</f>
        <v>0</v>
      </c>
      <c r="K29" s="10" cm="1">
        <f t="array" ref="K29">MAX(IF($M$3:$DF$3=$J$3,M29:DF29))</f>
        <v>0</v>
      </c>
      <c r="L29" s="8"/>
      <c r="O29" s="9"/>
      <c r="P29" s="9"/>
      <c r="Q29" s="9"/>
      <c r="R29" s="9"/>
      <c r="V29" s="9"/>
      <c r="W29" s="9"/>
      <c r="X29" s="9"/>
      <c r="Y29" s="9"/>
      <c r="AC29" s="34"/>
      <c r="AD29" s="34"/>
      <c r="AE29" s="34"/>
      <c r="AF29" s="34"/>
      <c r="AG29" s="35"/>
      <c r="AH29" s="35"/>
      <c r="AJ29" s="34"/>
      <c r="AK29" s="34"/>
      <c r="AL29" s="34"/>
      <c r="AM29" s="34"/>
      <c r="AN29" s="35"/>
      <c r="AO29" s="35"/>
      <c r="AQ29" s="34"/>
      <c r="AR29" s="34"/>
      <c r="AS29" s="34"/>
      <c r="AT29" s="34"/>
      <c r="AU29" s="35"/>
      <c r="AV29" s="35"/>
      <c r="AX29" s="34"/>
      <c r="AY29" s="9">
        <v>0.5</v>
      </c>
      <c r="AZ29" s="9"/>
      <c r="BA29" s="9">
        <v>0.5</v>
      </c>
      <c r="BB29" s="35"/>
      <c r="BC29" s="35"/>
      <c r="BE29" s="34"/>
      <c r="BF29" s="9">
        <v>0.5</v>
      </c>
      <c r="BG29" s="9"/>
      <c r="BH29" s="9">
        <v>0.5</v>
      </c>
      <c r="BI29" s="35"/>
      <c r="BJ29" s="35"/>
      <c r="BL29" s="34"/>
      <c r="BM29" s="9">
        <v>0.5</v>
      </c>
      <c r="BN29" s="9"/>
      <c r="BO29" s="9">
        <v>0.5</v>
      </c>
      <c r="BP29" s="35"/>
      <c r="BQ29" s="35"/>
      <c r="BS29" s="34"/>
      <c r="BT29" s="9">
        <v>0.5</v>
      </c>
      <c r="BU29" s="9"/>
      <c r="BV29" s="9">
        <v>0.5</v>
      </c>
      <c r="BW29" s="35"/>
      <c r="BX29" s="35"/>
      <c r="BZ29" s="34"/>
      <c r="CA29" s="9">
        <v>0.5</v>
      </c>
      <c r="CB29" s="9"/>
      <c r="CC29" s="9">
        <v>0.5</v>
      </c>
      <c r="CD29" s="35"/>
      <c r="CE29" s="35"/>
      <c r="CG29" s="34"/>
      <c r="CH29" s="9">
        <v>0.8</v>
      </c>
      <c r="CI29" s="9"/>
      <c r="CJ29" s="9">
        <v>0.8</v>
      </c>
      <c r="CK29" s="35"/>
      <c r="CL29" s="35"/>
      <c r="CN29" s="34"/>
      <c r="CO29" s="9">
        <v>0.8</v>
      </c>
      <c r="CP29" s="9"/>
      <c r="CQ29" s="9">
        <v>0.8</v>
      </c>
      <c r="CR29" s="35"/>
      <c r="CS29" s="35"/>
      <c r="CU29" s="34"/>
      <c r="CV29" s="9">
        <v>1</v>
      </c>
      <c r="CW29" s="9"/>
      <c r="CX29" s="9">
        <v>1</v>
      </c>
      <c r="DB29" s="9"/>
      <c r="DC29" s="9">
        <v>1</v>
      </c>
      <c r="DD29" s="9"/>
      <c r="DE29" s="9">
        <v>1</v>
      </c>
      <c r="DI29" s="9"/>
      <c r="DJ29" s="9"/>
      <c r="DK29" s="9"/>
      <c r="DL29" s="9"/>
      <c r="DP29" s="9"/>
      <c r="DQ29" s="9"/>
      <c r="DR29" s="9"/>
      <c r="DS29" s="9"/>
      <c r="DW29" s="9"/>
      <c r="DX29" s="9"/>
      <c r="DY29" s="9"/>
      <c r="DZ29" s="9"/>
      <c r="ED29" s="9"/>
      <c r="EE29" s="9"/>
      <c r="EF29" s="9"/>
      <c r="EG29" s="9"/>
      <c r="EK29" s="9"/>
      <c r="EL29" s="9"/>
      <c r="EM29" s="9"/>
      <c r="EN29" s="9"/>
      <c r="ER29" s="9"/>
      <c r="ES29" s="9"/>
      <c r="ET29" s="9"/>
      <c r="EU29" s="9"/>
      <c r="EY29" s="9"/>
      <c r="EZ29" s="9"/>
      <c r="FA29" s="9"/>
      <c r="FB29" s="9"/>
      <c r="FF29" s="9"/>
      <c r="FG29" s="9"/>
      <c r="FH29" s="9"/>
      <c r="FI29" s="9"/>
      <c r="FM29" s="9"/>
      <c r="FN29" s="9"/>
      <c r="FO29" s="9"/>
      <c r="FP29" s="9"/>
      <c r="FT29" s="9"/>
      <c r="FU29" s="9"/>
      <c r="FV29" s="9"/>
      <c r="FW29" s="9"/>
      <c r="GA29" s="9"/>
      <c r="GB29" s="9"/>
      <c r="GC29" s="9"/>
      <c r="GD29" s="9"/>
      <c r="GH29" s="9"/>
      <c r="GI29" s="9"/>
      <c r="GJ29" s="9"/>
      <c r="GK29" s="9"/>
    </row>
    <row r="30" spans="2:193" outlineLevel="1">
      <c r="B30" t="s">
        <v>28</v>
      </c>
      <c r="C30" t="s">
        <v>87</v>
      </c>
      <c r="E30" s="8"/>
      <c r="F30" t="s">
        <v>165</v>
      </c>
      <c r="G30" s="9">
        <v>0.1</v>
      </c>
      <c r="I30" s="8">
        <f t="shared" si="1"/>
        <v>0</v>
      </c>
      <c r="J30" s="10" cm="1">
        <f t="array" ref="J30">MAX(IF($M$3:$DF$3=$J$3,M30:DF30))</f>
        <v>0</v>
      </c>
      <c r="K30" s="10" cm="1">
        <f t="array" ref="K30">MAX(IF($M$3:$DF$3=$J$3,M30:DF30))</f>
        <v>0</v>
      </c>
      <c r="L30" s="8"/>
      <c r="O30" s="9"/>
      <c r="P30" s="9"/>
      <c r="Q30" s="9"/>
      <c r="R30" s="9"/>
      <c r="V30" s="9"/>
      <c r="W30" s="9"/>
      <c r="X30" s="9"/>
      <c r="Y30" s="9"/>
      <c r="AC30" s="34"/>
      <c r="AD30" s="34"/>
      <c r="AE30" s="34"/>
      <c r="AF30" s="34"/>
      <c r="AG30" s="35"/>
      <c r="AH30" s="35"/>
      <c r="AJ30" s="34"/>
      <c r="AK30" s="34"/>
      <c r="AL30" s="34"/>
      <c r="AM30" s="34"/>
      <c r="AN30" s="35"/>
      <c r="AO30" s="35"/>
      <c r="AQ30" s="34"/>
      <c r="AR30" s="34"/>
      <c r="AS30" s="34"/>
      <c r="AT30" s="34"/>
      <c r="AU30" s="35"/>
      <c r="AV30" s="35"/>
      <c r="AX30" s="34"/>
      <c r="AY30" s="9"/>
      <c r="AZ30" s="9"/>
      <c r="BA30" s="9"/>
      <c r="BB30" s="35"/>
      <c r="BC30" s="35"/>
      <c r="BE30" s="34"/>
      <c r="BF30" s="9">
        <v>0.5</v>
      </c>
      <c r="BG30" s="9"/>
      <c r="BH30" s="9">
        <v>0.5</v>
      </c>
      <c r="BI30" s="35"/>
      <c r="BJ30" s="35"/>
      <c r="BL30" s="34"/>
      <c r="BM30" s="9">
        <v>0.5</v>
      </c>
      <c r="BN30" s="9"/>
      <c r="BO30" s="9">
        <v>0.5</v>
      </c>
      <c r="BP30" s="35"/>
      <c r="BQ30" s="35"/>
      <c r="BS30" s="34"/>
      <c r="BT30" s="9">
        <v>0.5</v>
      </c>
      <c r="BU30" s="9"/>
      <c r="BV30" s="9">
        <v>0.5</v>
      </c>
      <c r="BW30" s="35"/>
      <c r="BX30" s="35"/>
      <c r="BZ30" s="34"/>
      <c r="CA30" s="9">
        <v>0.5</v>
      </c>
      <c r="CB30" s="9"/>
      <c r="CC30" s="9">
        <v>0.5</v>
      </c>
      <c r="CD30" s="35"/>
      <c r="CE30" s="35"/>
      <c r="CG30" s="34"/>
      <c r="CH30" s="9">
        <v>0.8</v>
      </c>
      <c r="CI30" s="9"/>
      <c r="CJ30" s="9">
        <v>0.8</v>
      </c>
      <c r="CK30" s="35"/>
      <c r="CL30" s="35"/>
      <c r="CN30" s="34"/>
      <c r="CO30" s="9">
        <v>0.8</v>
      </c>
      <c r="CP30" s="9"/>
      <c r="CQ30" s="9">
        <v>0.8</v>
      </c>
      <c r="CR30" s="35"/>
      <c r="CS30" s="35"/>
      <c r="CU30" s="34"/>
      <c r="CV30" s="9">
        <v>0.8</v>
      </c>
      <c r="CW30" s="9"/>
      <c r="CX30" s="9">
        <v>0.8</v>
      </c>
      <c r="DB30" s="9"/>
      <c r="DC30" s="9">
        <v>1</v>
      </c>
      <c r="DD30" s="9"/>
      <c r="DE30" s="9">
        <v>1</v>
      </c>
      <c r="DI30" s="9"/>
      <c r="DJ30" s="9"/>
      <c r="DK30" s="9"/>
      <c r="DL30" s="9"/>
      <c r="DP30" s="9"/>
      <c r="DQ30" s="9"/>
      <c r="DR30" s="9"/>
      <c r="DS30" s="9"/>
      <c r="DW30" s="9"/>
      <c r="DX30" s="9"/>
      <c r="DY30" s="9"/>
      <c r="DZ30" s="9"/>
      <c r="ED30" s="9"/>
      <c r="EE30" s="9"/>
      <c r="EF30" s="9"/>
      <c r="EG30" s="9"/>
      <c r="EK30" s="9"/>
      <c r="EL30" s="9"/>
      <c r="EM30" s="9"/>
      <c r="EN30" s="9"/>
      <c r="ER30" s="9"/>
      <c r="ES30" s="9"/>
      <c r="ET30" s="9"/>
      <c r="EU30" s="9"/>
      <c r="EY30" s="9"/>
      <c r="EZ30" s="9"/>
      <c r="FA30" s="9"/>
      <c r="FB30" s="9"/>
      <c r="FF30" s="9"/>
      <c r="FG30" s="9"/>
      <c r="FH30" s="9"/>
      <c r="FI30" s="9"/>
      <c r="FM30" s="9"/>
      <c r="FN30" s="9"/>
      <c r="FO30" s="9"/>
      <c r="FP30" s="9"/>
      <c r="FT30" s="9"/>
      <c r="FU30" s="9"/>
      <c r="FV30" s="9"/>
      <c r="FW30" s="9"/>
      <c r="GA30" s="9"/>
      <c r="GB30" s="9"/>
      <c r="GC30" s="9"/>
      <c r="GD30" s="9"/>
      <c r="GH30" s="9"/>
      <c r="GI30" s="9"/>
      <c r="GJ30" s="9"/>
      <c r="GK30" s="9"/>
    </row>
    <row r="31" spans="2:193" outlineLevel="1">
      <c r="B31" t="s">
        <v>28</v>
      </c>
      <c r="C31" t="s">
        <v>87</v>
      </c>
      <c r="E31" s="8"/>
      <c r="F31" t="s">
        <v>166</v>
      </c>
      <c r="G31" s="9">
        <v>0.1</v>
      </c>
      <c r="I31" s="8">
        <f t="shared" si="1"/>
        <v>0</v>
      </c>
      <c r="J31" s="10" cm="1">
        <f t="array" ref="J31">MAX(IF($M$3:$DF$3=$J$3,M31:DF31))</f>
        <v>0</v>
      </c>
      <c r="K31" s="10" cm="1">
        <f t="array" ref="K31">MAX(IF($M$3:$DF$3=$J$3,M31:DF31))</f>
        <v>0</v>
      </c>
      <c r="L31" s="8"/>
      <c r="O31" s="9"/>
      <c r="P31" s="9"/>
      <c r="Q31" s="9"/>
      <c r="R31" s="9"/>
      <c r="V31" s="9"/>
      <c r="W31" s="9"/>
      <c r="X31" s="9"/>
      <c r="Y31" s="9"/>
      <c r="AC31" s="34"/>
      <c r="AD31" s="34"/>
      <c r="AE31" s="34"/>
      <c r="AF31" s="34"/>
      <c r="AG31" s="35"/>
      <c r="AH31" s="35"/>
      <c r="AJ31" s="34"/>
      <c r="AK31" s="34"/>
      <c r="AL31" s="34"/>
      <c r="AM31" s="34"/>
      <c r="AN31" s="35"/>
      <c r="AO31" s="35"/>
      <c r="AQ31" s="34"/>
      <c r="AR31" s="34"/>
      <c r="AS31" s="34"/>
      <c r="AT31" s="34"/>
      <c r="AU31" s="35"/>
      <c r="AV31" s="35"/>
      <c r="AX31" s="34"/>
      <c r="AY31" s="34"/>
      <c r="AZ31" s="34"/>
      <c r="BA31" s="34"/>
      <c r="BB31" s="35"/>
      <c r="BC31" s="35"/>
      <c r="BE31" s="34"/>
      <c r="BF31" s="9"/>
      <c r="BG31" s="9"/>
      <c r="BH31" s="9"/>
      <c r="BI31" s="35"/>
      <c r="BJ31" s="35"/>
      <c r="BL31" s="34"/>
      <c r="BM31" s="9">
        <v>0.5</v>
      </c>
      <c r="BN31" s="9"/>
      <c r="BO31" s="9">
        <v>0.5</v>
      </c>
      <c r="BP31" s="35"/>
      <c r="BQ31" s="35"/>
      <c r="BS31" s="34"/>
      <c r="BT31" s="9">
        <v>0.5</v>
      </c>
      <c r="BU31" s="9"/>
      <c r="BV31" s="9">
        <v>0.5</v>
      </c>
      <c r="BW31" s="35"/>
      <c r="BX31" s="35"/>
      <c r="BZ31" s="34"/>
      <c r="CA31" s="9">
        <v>0.5</v>
      </c>
      <c r="CB31" s="9"/>
      <c r="CC31" s="9">
        <v>0.5</v>
      </c>
      <c r="CD31" s="35"/>
      <c r="CE31" s="35"/>
      <c r="CG31" s="34"/>
      <c r="CH31" s="9">
        <v>0.5</v>
      </c>
      <c r="CI31" s="9"/>
      <c r="CJ31" s="9">
        <v>0.5</v>
      </c>
      <c r="CK31" s="35"/>
      <c r="CL31" s="35"/>
      <c r="CN31" s="34"/>
      <c r="CO31" s="9">
        <v>0.8</v>
      </c>
      <c r="CP31" s="9"/>
      <c r="CQ31" s="9">
        <v>0.8</v>
      </c>
      <c r="CR31" s="35"/>
      <c r="CS31" s="35"/>
      <c r="CU31" s="34"/>
      <c r="CV31" s="9">
        <v>0.8</v>
      </c>
      <c r="CW31" s="9"/>
      <c r="CX31" s="9">
        <v>0.8</v>
      </c>
      <c r="DB31" s="9"/>
      <c r="DC31" s="9">
        <v>1</v>
      </c>
      <c r="DD31" s="9"/>
      <c r="DE31" s="9">
        <v>1</v>
      </c>
      <c r="DI31" s="9"/>
      <c r="DJ31" s="9"/>
      <c r="DK31" s="9"/>
      <c r="DL31" s="9"/>
      <c r="DP31" s="9"/>
      <c r="DQ31" s="9"/>
      <c r="DR31" s="9"/>
      <c r="DS31" s="9"/>
      <c r="DW31" s="9"/>
      <c r="DX31" s="9"/>
      <c r="DY31" s="9"/>
      <c r="DZ31" s="9"/>
      <c r="ED31" s="9"/>
      <c r="EE31" s="9"/>
      <c r="EF31" s="9"/>
      <c r="EG31" s="9"/>
      <c r="EK31" s="9"/>
      <c r="EL31" s="9"/>
      <c r="EM31" s="9"/>
      <c r="EN31" s="9"/>
      <c r="ER31" s="9"/>
      <c r="ES31" s="9"/>
      <c r="ET31" s="9"/>
      <c r="EU31" s="9"/>
      <c r="EY31" s="9"/>
      <c r="EZ31" s="9"/>
      <c r="FA31" s="9"/>
      <c r="FB31" s="9"/>
      <c r="FF31" s="9"/>
      <c r="FG31" s="9"/>
      <c r="FH31" s="9"/>
      <c r="FI31" s="9"/>
      <c r="FM31" s="9"/>
      <c r="FN31" s="9"/>
      <c r="FO31" s="9"/>
      <c r="FP31" s="9"/>
      <c r="FT31" s="9"/>
      <c r="FU31" s="9"/>
      <c r="FV31" s="9"/>
      <c r="FW31" s="9"/>
      <c r="GA31" s="9"/>
      <c r="GB31" s="9"/>
      <c r="GC31" s="9"/>
      <c r="GD31" s="9"/>
      <c r="GH31" s="9"/>
      <c r="GI31" s="9"/>
      <c r="GJ31" s="9"/>
      <c r="GK31" s="9"/>
    </row>
    <row r="32" spans="2:193" outlineLevel="1">
      <c r="B32" t="s">
        <v>28</v>
      </c>
      <c r="C32" t="s">
        <v>87</v>
      </c>
      <c r="E32" s="8"/>
      <c r="F32" t="s">
        <v>167</v>
      </c>
      <c r="G32" s="9">
        <v>0.1</v>
      </c>
      <c r="I32" s="8">
        <f t="shared" si="1"/>
        <v>0</v>
      </c>
      <c r="J32" s="10" cm="1">
        <f t="array" ref="J32">MAX(IF($M$3:$DF$3=$J$3,M32:DF32))</f>
        <v>0</v>
      </c>
      <c r="K32" s="10" cm="1">
        <f t="array" ref="K32">MAX(IF($M$3:$DF$3=$J$3,M32:DF32))</f>
        <v>0</v>
      </c>
      <c r="L32" s="8"/>
      <c r="O32" s="9"/>
      <c r="P32" s="9"/>
      <c r="Q32" s="9"/>
      <c r="R32" s="9"/>
      <c r="V32" s="9"/>
      <c r="W32" s="9"/>
      <c r="X32" s="9"/>
      <c r="Y32" s="9"/>
      <c r="AC32" s="34"/>
      <c r="AD32" s="34"/>
      <c r="AE32" s="34"/>
      <c r="AF32" s="34"/>
      <c r="AG32" s="35"/>
      <c r="AH32" s="35"/>
      <c r="AJ32" s="34"/>
      <c r="AK32" s="34"/>
      <c r="AL32" s="34"/>
      <c r="AM32" s="34"/>
      <c r="AN32" s="35"/>
      <c r="AO32" s="35"/>
      <c r="AQ32" s="34"/>
      <c r="AR32" s="34"/>
      <c r="AS32" s="34"/>
      <c r="AT32" s="34"/>
      <c r="AU32" s="35"/>
      <c r="AV32" s="35"/>
      <c r="AX32" s="34"/>
      <c r="AY32" s="34"/>
      <c r="AZ32" s="34"/>
      <c r="BA32" s="34"/>
      <c r="BB32" s="35"/>
      <c r="BC32" s="35"/>
      <c r="BE32" s="34"/>
      <c r="BF32" s="9"/>
      <c r="BG32" s="9"/>
      <c r="BH32" s="9"/>
      <c r="BI32" s="35"/>
      <c r="BJ32" s="35"/>
      <c r="BL32" s="34"/>
      <c r="BM32" s="9">
        <v>0.5</v>
      </c>
      <c r="BN32" s="9"/>
      <c r="BO32" s="9">
        <v>0.5</v>
      </c>
      <c r="BP32" s="35"/>
      <c r="BQ32" s="35"/>
      <c r="BS32" s="34"/>
      <c r="BT32" s="9">
        <v>0.5</v>
      </c>
      <c r="BU32" s="9"/>
      <c r="BV32" s="9">
        <v>0.5</v>
      </c>
      <c r="BW32" s="35"/>
      <c r="BX32" s="35"/>
      <c r="BZ32" s="34"/>
      <c r="CA32" s="9">
        <v>0.5</v>
      </c>
      <c r="CB32" s="9"/>
      <c r="CC32" s="9">
        <v>0.5</v>
      </c>
      <c r="CD32" s="35"/>
      <c r="CE32" s="35"/>
      <c r="CG32" s="34"/>
      <c r="CH32" s="9">
        <v>0.5</v>
      </c>
      <c r="CI32" s="9"/>
      <c r="CJ32" s="9">
        <v>0.5</v>
      </c>
      <c r="CK32" s="35"/>
      <c r="CL32" s="35"/>
      <c r="CN32" s="34"/>
      <c r="CO32" s="9">
        <v>0.8</v>
      </c>
      <c r="CP32" s="9"/>
      <c r="CQ32" s="9">
        <v>0.8</v>
      </c>
      <c r="CR32" s="35"/>
      <c r="CS32" s="35"/>
      <c r="CU32" s="34"/>
      <c r="CV32" s="9">
        <v>0.8</v>
      </c>
      <c r="CW32" s="9"/>
      <c r="CX32" s="9">
        <v>0.8</v>
      </c>
      <c r="DB32" s="9"/>
      <c r="DC32" s="9">
        <v>1</v>
      </c>
      <c r="DD32" s="9"/>
      <c r="DE32" s="9">
        <v>1</v>
      </c>
      <c r="DI32" s="9"/>
      <c r="DJ32" s="9"/>
      <c r="DK32" s="9"/>
      <c r="DL32" s="9"/>
      <c r="DP32" s="9"/>
      <c r="DQ32" s="9"/>
      <c r="DR32" s="9"/>
      <c r="DS32" s="9"/>
      <c r="DW32" s="9"/>
      <c r="DX32" s="9"/>
      <c r="DY32" s="9"/>
      <c r="DZ32" s="9"/>
      <c r="ED32" s="9"/>
      <c r="EE32" s="9"/>
      <c r="EF32" s="9"/>
      <c r="EG32" s="9"/>
      <c r="EK32" s="9"/>
      <c r="EL32" s="9"/>
      <c r="EM32" s="9"/>
      <c r="EN32" s="9"/>
      <c r="ER32" s="9"/>
      <c r="ES32" s="9"/>
      <c r="ET32" s="9"/>
      <c r="EU32" s="9"/>
      <c r="EY32" s="9"/>
      <c r="EZ32" s="9"/>
      <c r="FA32" s="9"/>
      <c r="FB32" s="9"/>
      <c r="FF32" s="9"/>
      <c r="FG32" s="9"/>
      <c r="FH32" s="9"/>
      <c r="FI32" s="9"/>
      <c r="FM32" s="9"/>
      <c r="FN32" s="9"/>
      <c r="FO32" s="9"/>
      <c r="FP32" s="9"/>
      <c r="FT32" s="9"/>
      <c r="FU32" s="9"/>
      <c r="FV32" s="9"/>
      <c r="FW32" s="9"/>
      <c r="GA32" s="9"/>
      <c r="GB32" s="9"/>
      <c r="GC32" s="9"/>
      <c r="GD32" s="9"/>
      <c r="GH32" s="9"/>
      <c r="GI32" s="9"/>
      <c r="GJ32" s="9"/>
      <c r="GK32" s="9"/>
    </row>
    <row r="33" spans="2:193">
      <c r="V33" s="9"/>
      <c r="W33" s="9"/>
      <c r="X33" s="9"/>
      <c r="Y33" s="9"/>
      <c r="AC33" s="35"/>
      <c r="AD33" s="35"/>
      <c r="AE33" s="35"/>
      <c r="AF33" s="35"/>
      <c r="AG33" s="35"/>
      <c r="AH33" s="35"/>
      <c r="AJ33" s="35"/>
      <c r="AK33" s="35"/>
      <c r="AL33" s="35"/>
      <c r="AM33" s="35"/>
      <c r="AN33" s="35"/>
      <c r="AO33" s="35"/>
      <c r="AQ33" s="35"/>
      <c r="AR33" s="35"/>
      <c r="AS33" s="35"/>
      <c r="AT33" s="35"/>
      <c r="AU33" s="35"/>
      <c r="AV33" s="35"/>
      <c r="AX33" s="35"/>
      <c r="AY33" s="35"/>
      <c r="AZ33" s="35"/>
      <c r="BA33" s="35"/>
      <c r="BB33" s="35"/>
      <c r="BC33" s="35"/>
      <c r="BE33" s="35"/>
      <c r="BF33" s="35"/>
      <c r="BG33" s="35"/>
      <c r="BH33" s="35"/>
      <c r="BI33" s="35"/>
      <c r="BJ33" s="35"/>
      <c r="BL33" s="35"/>
      <c r="BM33" s="35"/>
      <c r="BN33" s="35"/>
      <c r="BO33" s="35"/>
      <c r="BP33" s="35"/>
      <c r="BQ33" s="35"/>
      <c r="BS33" s="35"/>
      <c r="BT33" s="35"/>
      <c r="BU33" s="35"/>
      <c r="BV33" s="35"/>
      <c r="BW33" s="35"/>
      <c r="BX33" s="35"/>
      <c r="BZ33" s="35"/>
      <c r="CA33" s="35"/>
      <c r="CB33" s="35"/>
      <c r="CC33" s="35"/>
      <c r="CD33" s="35"/>
      <c r="CE33" s="35"/>
      <c r="CG33" s="35"/>
      <c r="CH33" s="35"/>
      <c r="CI33" s="35"/>
      <c r="CJ33" s="35"/>
      <c r="CK33" s="35"/>
      <c r="CL33" s="35"/>
      <c r="CN33" s="35"/>
      <c r="CO33" s="35"/>
      <c r="CP33" s="35"/>
      <c r="CQ33" s="35"/>
      <c r="CR33" s="35"/>
      <c r="CS33" s="35"/>
      <c r="CU33" s="35"/>
      <c r="CV33" s="35"/>
      <c r="CW33" s="35"/>
      <c r="CX33" s="35"/>
    </row>
    <row r="34" spans="2:193">
      <c r="B34" t="s">
        <v>27</v>
      </c>
      <c r="C34" t="s">
        <v>88</v>
      </c>
      <c r="D34" s="32">
        <v>45696</v>
      </c>
      <c r="E34" s="8">
        <v>6</v>
      </c>
      <c r="G34" s="9">
        <f>+SUM(G35:G41)</f>
        <v>1</v>
      </c>
      <c r="I34" s="11">
        <f>+SUM(I35:I41)</f>
        <v>0</v>
      </c>
      <c r="J34" s="10">
        <f>+SUMPRODUCT(G35:G41,J35:J41)</f>
        <v>0.17499999999999999</v>
      </c>
      <c r="K34" s="10">
        <f>+SUMPRODUCT(G35:G41,K35:K41)</f>
        <v>0.17499999999999999</v>
      </c>
      <c r="L34" s="8"/>
      <c r="N34" s="11">
        <f>+SUM(N35:N41)</f>
        <v>0</v>
      </c>
      <c r="U34" s="11">
        <f>+SUM(U35:U44)</f>
        <v>0</v>
      </c>
      <c r="V34" s="9"/>
      <c r="W34" s="9"/>
      <c r="X34" s="9"/>
      <c r="Y34" s="9"/>
      <c r="AB34" s="11">
        <f>+SUM(AB35:AB44)</f>
        <v>0</v>
      </c>
      <c r="AC34" s="35"/>
      <c r="AD34" s="35"/>
      <c r="AE34" s="35"/>
      <c r="AF34" s="35"/>
      <c r="AG34" s="35"/>
      <c r="AH34" s="35"/>
      <c r="AI34" s="11">
        <f>+SUM(AI35:AI44)</f>
        <v>0</v>
      </c>
      <c r="AJ34" s="35"/>
      <c r="AK34" s="35"/>
      <c r="AL34" s="35"/>
      <c r="AM34" s="35"/>
      <c r="AN34" s="35"/>
      <c r="AO34" s="35"/>
      <c r="AP34" s="11">
        <f>+SUM(AP35:AP44)</f>
        <v>0</v>
      </c>
      <c r="AQ34" s="35"/>
      <c r="AR34" s="35"/>
      <c r="AS34" s="35"/>
      <c r="AT34" s="35"/>
      <c r="AU34" s="35"/>
      <c r="AV34" s="35"/>
      <c r="AW34" s="11">
        <f>+SUM(AW35:AW44)</f>
        <v>0</v>
      </c>
      <c r="AX34" s="35"/>
      <c r="AY34" s="35"/>
      <c r="AZ34" s="35"/>
      <c r="BA34" s="35"/>
      <c r="BB34" s="35"/>
      <c r="BC34" s="35"/>
      <c r="BD34" s="11">
        <f>+SUM(BD35:BD44)</f>
        <v>0</v>
      </c>
      <c r="BE34" s="35"/>
      <c r="BF34" s="35"/>
      <c r="BG34" s="35"/>
      <c r="BH34" s="35"/>
      <c r="BI34" s="35"/>
      <c r="BJ34" s="35"/>
      <c r="BK34" s="11">
        <f>+SUM(BK35:BK44)</f>
        <v>0</v>
      </c>
      <c r="BL34" s="35"/>
      <c r="BM34" s="35"/>
      <c r="BN34" s="35"/>
      <c r="BO34" s="35"/>
      <c r="BP34" s="35"/>
      <c r="BQ34" s="35"/>
      <c r="BR34" s="11">
        <f>+SUM(BR35:BR44)</f>
        <v>0</v>
      </c>
      <c r="BS34" s="35"/>
      <c r="BT34" s="35"/>
      <c r="BU34" s="35"/>
      <c r="BV34" s="35"/>
      <c r="BW34" s="35"/>
      <c r="BX34" s="35"/>
      <c r="BY34" s="11">
        <f>+SUM(BY35:BY44)</f>
        <v>0</v>
      </c>
      <c r="BZ34" s="35"/>
      <c r="CA34" s="35"/>
      <c r="CB34" s="35"/>
      <c r="CC34" s="35"/>
      <c r="CD34" s="35"/>
      <c r="CE34" s="35"/>
      <c r="CF34" s="11">
        <f>+SUM(CF35:CF44)</f>
        <v>0</v>
      </c>
      <c r="CG34" s="35"/>
      <c r="CH34" s="35"/>
      <c r="CI34" s="35"/>
      <c r="CJ34" s="35"/>
      <c r="CK34" s="35"/>
      <c r="CL34" s="35"/>
      <c r="CM34" s="11">
        <f>+SUM(CM35:CM44)</f>
        <v>0</v>
      </c>
      <c r="CN34" s="35"/>
      <c r="CO34" s="35"/>
      <c r="CP34" s="35"/>
      <c r="CQ34" s="35"/>
      <c r="CR34" s="35"/>
      <c r="CS34" s="35"/>
      <c r="CT34" s="11">
        <f>+SUM(CT35:CT44)</f>
        <v>0</v>
      </c>
      <c r="CU34" s="35"/>
      <c r="CV34" s="35"/>
      <c r="CW34" s="35"/>
      <c r="CX34" s="35"/>
      <c r="DA34" s="11">
        <f>+SUM(DA35:DA44)</f>
        <v>0</v>
      </c>
      <c r="DH34" s="11">
        <f>+SUM(DH35:DH44)</f>
        <v>0</v>
      </c>
      <c r="DO34" s="11">
        <f>+SUM(DO35:DO44)</f>
        <v>0</v>
      </c>
      <c r="DV34" s="11">
        <f>+SUM(DV35:DV44)</f>
        <v>0</v>
      </c>
      <c r="EC34" s="11">
        <f>+SUM(EC35:EC44)</f>
        <v>0</v>
      </c>
      <c r="EJ34" s="11">
        <f>+SUM(EJ35:EJ44)</f>
        <v>0</v>
      </c>
      <c r="EQ34" s="11">
        <f>+SUM(EQ35:EQ44)</f>
        <v>0</v>
      </c>
      <c r="EX34" s="11">
        <f>+SUM(EX35:EX44)</f>
        <v>0</v>
      </c>
      <c r="FE34" s="11">
        <f>+SUM(FE35:FE44)</f>
        <v>0</v>
      </c>
      <c r="FL34" s="11">
        <f>+SUM(FL35:FL44)</f>
        <v>0</v>
      </c>
      <c r="FS34" s="11">
        <f>+SUM(FS35:FS44)</f>
        <v>0</v>
      </c>
      <c r="FZ34" s="11">
        <f>+SUM(FZ35:FZ44)</f>
        <v>0</v>
      </c>
      <c r="GG34" s="11">
        <f>+SUM(GG35:GG44)</f>
        <v>0</v>
      </c>
    </row>
    <row r="35" spans="2:193" outlineLevel="1">
      <c r="B35" t="s">
        <v>28</v>
      </c>
      <c r="C35" t="s">
        <v>88</v>
      </c>
      <c r="E35" s="8"/>
      <c r="F35" t="s">
        <v>139</v>
      </c>
      <c r="G35" s="9">
        <v>0.15</v>
      </c>
      <c r="I35" s="8">
        <f t="shared" ref="I35:I41" si="2">+SUMIF($M$3:$XA$3,I$3,$M35:$XA35)</f>
        <v>0</v>
      </c>
      <c r="J35" s="10" cm="1">
        <f t="array" ref="J35">MAX(IF($M$3:$DF$3=$J$3,M35:DF35))</f>
        <v>0.5</v>
      </c>
      <c r="K35" s="10" cm="1">
        <f t="array" ref="K35">MAX(IF($M$3:$DF$3=$J$3,M35:DF35))</f>
        <v>0.5</v>
      </c>
      <c r="L35" s="8"/>
      <c r="O35" s="9">
        <v>0.5</v>
      </c>
      <c r="P35" s="9">
        <v>0.5</v>
      </c>
      <c r="Q35" s="9"/>
      <c r="R35" s="9">
        <v>0.5</v>
      </c>
      <c r="V35" s="9"/>
      <c r="W35" s="9"/>
      <c r="X35" s="9"/>
      <c r="Y35" s="9"/>
      <c r="AC35" s="34">
        <v>0.5</v>
      </c>
      <c r="AD35" s="9">
        <v>0.5</v>
      </c>
      <c r="AE35" s="9"/>
      <c r="AF35" s="9">
        <v>0.5</v>
      </c>
      <c r="AG35" s="36" t="s">
        <v>196</v>
      </c>
      <c r="AH35" s="35"/>
      <c r="AJ35" s="34"/>
      <c r="AK35" s="9">
        <v>0.5</v>
      </c>
      <c r="AL35" s="9"/>
      <c r="AM35" s="9">
        <v>0.5</v>
      </c>
      <c r="AN35" s="35"/>
      <c r="AO35" s="35"/>
      <c r="AQ35" s="34"/>
      <c r="AR35" s="9">
        <v>0.8</v>
      </c>
      <c r="AS35" s="9"/>
      <c r="AT35" s="9">
        <v>0.8</v>
      </c>
      <c r="AU35" s="35"/>
      <c r="AV35" s="35"/>
      <c r="AX35" s="34"/>
      <c r="AY35" s="9">
        <v>0.8</v>
      </c>
      <c r="AZ35" s="9"/>
      <c r="BA35" s="9">
        <v>0.8</v>
      </c>
      <c r="BB35" s="35"/>
      <c r="BC35" s="35"/>
      <c r="BE35" s="34"/>
      <c r="BF35" s="9">
        <v>0.8</v>
      </c>
      <c r="BG35" s="9"/>
      <c r="BH35" s="9">
        <v>0.8</v>
      </c>
      <c r="BI35" s="35"/>
      <c r="BJ35" s="35"/>
      <c r="BL35" s="34"/>
      <c r="BM35" s="9">
        <v>1</v>
      </c>
      <c r="BN35" s="9"/>
      <c r="BO35" s="9">
        <v>1</v>
      </c>
      <c r="BP35" s="35"/>
      <c r="BQ35" s="35"/>
      <c r="BS35" s="34"/>
      <c r="BT35" s="9">
        <v>1</v>
      </c>
      <c r="BU35" s="9"/>
      <c r="BV35" s="9">
        <v>1</v>
      </c>
      <c r="BW35" s="35"/>
      <c r="BX35" s="35"/>
      <c r="BZ35" s="34"/>
      <c r="CA35" s="9">
        <v>1</v>
      </c>
      <c r="CB35" s="9"/>
      <c r="CC35" s="9">
        <v>1</v>
      </c>
      <c r="CD35" s="35"/>
      <c r="CE35" s="35"/>
      <c r="CG35" s="34"/>
      <c r="CH35" s="9">
        <v>1</v>
      </c>
      <c r="CI35" s="9"/>
      <c r="CJ35" s="9">
        <v>1</v>
      </c>
      <c r="CK35" s="35"/>
      <c r="CL35" s="35"/>
      <c r="CN35" s="34"/>
      <c r="CO35" s="9">
        <v>1</v>
      </c>
      <c r="CP35" s="9"/>
      <c r="CQ35" s="9">
        <v>1</v>
      </c>
      <c r="CR35" s="35"/>
      <c r="CS35" s="35"/>
      <c r="CU35" s="34"/>
      <c r="CV35" s="9">
        <v>1</v>
      </c>
      <c r="CW35" s="9"/>
      <c r="CX35" s="9">
        <v>1</v>
      </c>
      <c r="DB35" s="9"/>
      <c r="DC35" s="9">
        <v>1</v>
      </c>
      <c r="DD35" s="9"/>
      <c r="DE35" s="9">
        <v>1</v>
      </c>
      <c r="DI35" s="9"/>
      <c r="DJ35" s="9"/>
      <c r="DK35" s="9"/>
      <c r="DL35" s="9"/>
      <c r="DP35" s="9"/>
      <c r="DQ35" s="9"/>
      <c r="DR35" s="9"/>
      <c r="DS35" s="9"/>
      <c r="DW35" s="9"/>
      <c r="DX35" s="9"/>
      <c r="DY35" s="9"/>
      <c r="DZ35" s="9"/>
      <c r="ED35" s="9"/>
      <c r="EE35" s="9"/>
      <c r="EF35" s="9"/>
      <c r="EG35" s="9"/>
      <c r="EH35" s="37" t="s">
        <v>200</v>
      </c>
      <c r="EK35" s="9"/>
      <c r="EL35" s="9"/>
      <c r="EM35" s="9"/>
      <c r="EN35" s="9"/>
      <c r="ER35" s="9"/>
      <c r="ES35" s="9"/>
      <c r="ET35" s="9"/>
      <c r="EU35" s="9"/>
      <c r="EY35" s="9"/>
      <c r="EZ35" s="9"/>
      <c r="FA35" s="9"/>
      <c r="FB35" s="9"/>
      <c r="FF35" s="9"/>
      <c r="FG35" s="9"/>
      <c r="FH35" s="9"/>
      <c r="FI35" s="9"/>
      <c r="FM35" s="9"/>
      <c r="FN35" s="9"/>
      <c r="FO35" s="9"/>
      <c r="FP35" s="9"/>
      <c r="FT35" s="9"/>
      <c r="FU35" s="9"/>
      <c r="FV35" s="9"/>
      <c r="FW35" s="9"/>
      <c r="GA35" s="9"/>
      <c r="GB35" s="9"/>
      <c r="GC35" s="9"/>
      <c r="GD35" s="9"/>
      <c r="GH35" s="9"/>
      <c r="GI35" s="9"/>
      <c r="GJ35" s="9"/>
      <c r="GK35" s="9"/>
    </row>
    <row r="36" spans="2:193" ht="15.6" customHeight="1" outlineLevel="1">
      <c r="B36" t="s">
        <v>28</v>
      </c>
      <c r="C36" t="s">
        <v>88</v>
      </c>
      <c r="E36" s="8"/>
      <c r="F36" t="s">
        <v>140</v>
      </c>
      <c r="G36" s="9">
        <v>0.2</v>
      </c>
      <c r="I36" s="8">
        <f t="shared" si="2"/>
        <v>0</v>
      </c>
      <c r="J36" s="10" cm="1">
        <f t="array" ref="J36">MAX(IF($M$3:$DF$3=$J$3,M36:DF36))</f>
        <v>0.5</v>
      </c>
      <c r="K36" s="10" cm="1">
        <f t="array" ref="K36">MAX(IF($M$3:$DF$3=$J$3,M36:DF36))</f>
        <v>0.5</v>
      </c>
      <c r="L36" s="8"/>
      <c r="O36" s="9">
        <v>0.5</v>
      </c>
      <c r="P36" s="9">
        <v>0.5</v>
      </c>
      <c r="Q36" s="9"/>
      <c r="R36" s="9">
        <v>0.5</v>
      </c>
      <c r="V36" s="9"/>
      <c r="W36" s="9"/>
      <c r="X36" s="9"/>
      <c r="Y36" s="9"/>
      <c r="AC36" s="34">
        <v>0.5</v>
      </c>
      <c r="AD36" s="9">
        <v>0.5</v>
      </c>
      <c r="AE36" s="9"/>
      <c r="AF36" s="9">
        <v>0.5</v>
      </c>
      <c r="AG36" s="36"/>
      <c r="AH36" s="35"/>
      <c r="AJ36" s="34"/>
      <c r="AK36" s="9">
        <v>0.5</v>
      </c>
      <c r="AL36" s="9"/>
      <c r="AM36" s="9">
        <v>0.5</v>
      </c>
      <c r="AN36" s="35"/>
      <c r="AO36" s="35"/>
      <c r="AQ36" s="34"/>
      <c r="AR36" s="9">
        <v>0.5</v>
      </c>
      <c r="AS36" s="9"/>
      <c r="AT36" s="9">
        <v>0.5</v>
      </c>
      <c r="AU36" s="35"/>
      <c r="AV36" s="35"/>
      <c r="AX36" s="34"/>
      <c r="AY36" s="9">
        <v>0.8</v>
      </c>
      <c r="AZ36" s="9"/>
      <c r="BA36" s="9">
        <v>0.8</v>
      </c>
      <c r="BB36" s="35"/>
      <c r="BC36" s="35"/>
      <c r="BE36" s="34"/>
      <c r="BF36" s="9">
        <v>0.8</v>
      </c>
      <c r="BG36" s="9"/>
      <c r="BH36" s="9">
        <v>0.8</v>
      </c>
      <c r="BI36" s="35"/>
      <c r="BJ36" s="35"/>
      <c r="BL36" s="34"/>
      <c r="BM36" s="9">
        <v>0.8</v>
      </c>
      <c r="BN36" s="9"/>
      <c r="BO36" s="9">
        <v>0.8</v>
      </c>
      <c r="BP36" s="35"/>
      <c r="BQ36" s="35"/>
      <c r="BS36" s="34"/>
      <c r="BT36" s="9">
        <v>1</v>
      </c>
      <c r="BU36" s="9"/>
      <c r="BV36" s="9">
        <v>1</v>
      </c>
      <c r="BW36" s="35"/>
      <c r="BX36" s="35"/>
      <c r="BZ36" s="34"/>
      <c r="CA36" s="9">
        <v>1</v>
      </c>
      <c r="CB36" s="9"/>
      <c r="CC36" s="9">
        <v>1</v>
      </c>
      <c r="CD36" s="35"/>
      <c r="CE36" s="35"/>
      <c r="CG36" s="34"/>
      <c r="CH36" s="9">
        <v>1</v>
      </c>
      <c r="CI36" s="9"/>
      <c r="CJ36" s="9">
        <v>1</v>
      </c>
      <c r="CK36" s="35"/>
      <c r="CL36" s="35"/>
      <c r="CN36" s="34"/>
      <c r="CO36" s="9">
        <v>1</v>
      </c>
      <c r="CP36" s="9"/>
      <c r="CQ36" s="9">
        <v>1</v>
      </c>
      <c r="CR36" s="35"/>
      <c r="CS36" s="35"/>
      <c r="CU36" s="34"/>
      <c r="CV36" s="9">
        <v>1</v>
      </c>
      <c r="CW36" s="9"/>
      <c r="CX36" s="9">
        <v>1</v>
      </c>
      <c r="DB36" s="9"/>
      <c r="DC36" s="9">
        <v>1</v>
      </c>
      <c r="DD36" s="9"/>
      <c r="DE36" s="9">
        <v>1</v>
      </c>
      <c r="DI36" s="9"/>
      <c r="DJ36" s="9"/>
      <c r="DK36" s="9"/>
      <c r="DL36" s="9"/>
      <c r="DP36" s="9"/>
      <c r="DQ36" s="9"/>
      <c r="DR36" s="9"/>
      <c r="DS36" s="9"/>
      <c r="DW36" s="9"/>
      <c r="DX36" s="9"/>
      <c r="DY36" s="9"/>
      <c r="DZ36" s="9"/>
      <c r="ED36" s="9"/>
      <c r="EE36" s="9"/>
      <c r="EF36" s="9"/>
      <c r="EG36" s="9"/>
      <c r="EH36" s="37"/>
      <c r="EK36" s="9"/>
      <c r="EL36" s="9"/>
      <c r="EM36" s="9"/>
      <c r="EN36" s="9"/>
      <c r="ER36" s="9"/>
      <c r="ES36" s="9"/>
      <c r="ET36" s="9"/>
      <c r="EU36" s="9"/>
      <c r="EY36" s="9"/>
      <c r="EZ36" s="9"/>
      <c r="FA36" s="9"/>
      <c r="FB36" s="9"/>
      <c r="FF36" s="9"/>
      <c r="FG36" s="9"/>
      <c r="FH36" s="9"/>
      <c r="FI36" s="9"/>
      <c r="FM36" s="9"/>
      <c r="FN36" s="9"/>
      <c r="FO36" s="9"/>
      <c r="FP36" s="9"/>
      <c r="FT36" s="9"/>
      <c r="FU36" s="9"/>
      <c r="FV36" s="9"/>
      <c r="FW36" s="9"/>
      <c r="GA36" s="9"/>
      <c r="GB36" s="9"/>
      <c r="GC36" s="9"/>
      <c r="GD36" s="9"/>
      <c r="GH36" s="9"/>
      <c r="GI36" s="9"/>
      <c r="GJ36" s="9"/>
      <c r="GK36" s="9"/>
    </row>
    <row r="37" spans="2:193" outlineLevel="1">
      <c r="B37" t="s">
        <v>28</v>
      </c>
      <c r="C37" t="s">
        <v>88</v>
      </c>
      <c r="E37" s="8"/>
      <c r="F37" t="s">
        <v>144</v>
      </c>
      <c r="G37" s="9">
        <v>0.1</v>
      </c>
      <c r="I37" s="8">
        <f t="shared" si="2"/>
        <v>0</v>
      </c>
      <c r="J37" s="10" cm="1">
        <f t="array" ref="J37">MAX(IF($M$3:$DF$3=$J$3,M37:DF37))</f>
        <v>0</v>
      </c>
      <c r="K37" s="10" cm="1">
        <f t="array" ref="K37">MAX(IF($M$3:$DF$3=$J$3,M37:DF37))</f>
        <v>0</v>
      </c>
      <c r="L37" s="8"/>
      <c r="M37" s="26">
        <v>0</v>
      </c>
      <c r="O37" s="9"/>
      <c r="P37" s="9"/>
      <c r="Q37" s="9"/>
      <c r="R37" s="9"/>
      <c r="V37" s="9"/>
      <c r="W37" s="9"/>
      <c r="X37" s="9"/>
      <c r="Y37" s="9"/>
      <c r="AC37" s="34"/>
      <c r="AD37" s="34">
        <v>0.5</v>
      </c>
      <c r="AE37" s="34"/>
      <c r="AF37" s="34">
        <v>0.5</v>
      </c>
      <c r="AG37" s="35"/>
      <c r="AH37" s="35"/>
      <c r="AJ37" s="34"/>
      <c r="AK37" s="34">
        <v>0.5</v>
      </c>
      <c r="AL37" s="34"/>
      <c r="AM37" s="34">
        <v>0.5</v>
      </c>
      <c r="AN37" s="35"/>
      <c r="AO37" s="35"/>
      <c r="AQ37" s="34"/>
      <c r="AR37" s="34">
        <v>0.5</v>
      </c>
      <c r="AS37" s="34"/>
      <c r="AT37" s="34">
        <v>0.5</v>
      </c>
      <c r="AU37" s="35"/>
      <c r="AV37" s="35"/>
      <c r="AX37" s="34"/>
      <c r="AY37" s="34">
        <v>0.5</v>
      </c>
      <c r="AZ37" s="34"/>
      <c r="BA37" s="34">
        <v>0.5</v>
      </c>
      <c r="BB37" s="35"/>
      <c r="BC37" s="35"/>
      <c r="BE37" s="34"/>
      <c r="BF37" s="34">
        <v>0.8</v>
      </c>
      <c r="BG37" s="34"/>
      <c r="BH37" s="34">
        <v>0.8</v>
      </c>
      <c r="BI37" s="35"/>
      <c r="BJ37" s="35"/>
      <c r="BL37" s="34"/>
      <c r="BM37" s="34">
        <v>0.8</v>
      </c>
      <c r="BN37" s="34"/>
      <c r="BO37" s="34">
        <v>0.8</v>
      </c>
      <c r="BP37" s="35"/>
      <c r="BQ37" s="35"/>
      <c r="BS37" s="34"/>
      <c r="BT37" s="34">
        <v>0.8</v>
      </c>
      <c r="BU37" s="34"/>
      <c r="BV37" s="34">
        <v>0.8</v>
      </c>
      <c r="BW37" s="35"/>
      <c r="BX37" s="35"/>
      <c r="BZ37" s="34"/>
      <c r="CA37" s="34">
        <v>1</v>
      </c>
      <c r="CB37" s="34"/>
      <c r="CC37" s="34">
        <v>1</v>
      </c>
      <c r="CD37" s="35"/>
      <c r="CE37" s="35"/>
      <c r="CG37" s="34"/>
      <c r="CH37" s="34">
        <v>1</v>
      </c>
      <c r="CI37" s="34"/>
      <c r="CJ37" s="34">
        <v>1</v>
      </c>
      <c r="CK37" s="35"/>
      <c r="CL37" s="35"/>
      <c r="CN37" s="34"/>
      <c r="CO37" s="34">
        <v>1</v>
      </c>
      <c r="CP37" s="34"/>
      <c r="CQ37" s="34">
        <v>1</v>
      </c>
      <c r="CR37" s="35"/>
      <c r="CS37" s="35"/>
      <c r="CU37" s="34"/>
      <c r="CV37" s="34">
        <v>1</v>
      </c>
      <c r="CW37" s="34"/>
      <c r="CX37" s="34">
        <v>1</v>
      </c>
      <c r="DB37" s="9"/>
      <c r="DC37" s="9">
        <v>1</v>
      </c>
      <c r="DD37" s="9"/>
      <c r="DE37" s="9">
        <v>1</v>
      </c>
      <c r="DF37" t="s">
        <v>195</v>
      </c>
      <c r="DI37" s="9"/>
      <c r="DJ37" s="9"/>
      <c r="DK37" s="9"/>
      <c r="DL37" s="9"/>
      <c r="DP37" s="9"/>
      <c r="DQ37" s="9"/>
      <c r="DR37" s="9"/>
      <c r="DS37" s="9"/>
      <c r="DW37" s="9"/>
      <c r="DX37" s="9"/>
      <c r="DY37" s="9"/>
      <c r="DZ37" s="9"/>
      <c r="ED37" s="9"/>
      <c r="EE37" s="9"/>
      <c r="EF37" s="9"/>
      <c r="EG37" s="9"/>
      <c r="EH37" s="37"/>
      <c r="EK37" s="9"/>
      <c r="EL37" s="9"/>
      <c r="EM37" s="9"/>
      <c r="EN37" s="9"/>
      <c r="ER37" s="9"/>
      <c r="ES37" s="9"/>
      <c r="ET37" s="9"/>
      <c r="EU37" s="9"/>
      <c r="EY37" s="9"/>
      <c r="EZ37" s="9"/>
      <c r="FA37" s="9"/>
      <c r="FB37" s="9"/>
      <c r="FF37" s="9"/>
      <c r="FG37" s="9"/>
      <c r="FH37" s="9"/>
      <c r="FI37" s="9"/>
      <c r="FM37" s="9"/>
      <c r="FN37" s="9"/>
      <c r="FO37" s="9"/>
      <c r="FP37" s="9"/>
      <c r="FT37" s="9"/>
      <c r="FU37" s="9"/>
      <c r="FV37" s="9"/>
      <c r="FW37" s="9"/>
      <c r="GA37" s="9"/>
      <c r="GB37" s="9"/>
      <c r="GC37" s="9"/>
      <c r="GD37" s="9"/>
      <c r="GH37" s="9"/>
      <c r="GI37" s="9"/>
      <c r="GJ37" s="9"/>
      <c r="GK37" s="9"/>
    </row>
    <row r="38" spans="2:193" outlineLevel="1">
      <c r="B38" t="s">
        <v>28</v>
      </c>
      <c r="C38" t="s">
        <v>88</v>
      </c>
      <c r="E38" s="8"/>
      <c r="F38" t="s">
        <v>145</v>
      </c>
      <c r="G38" s="9">
        <v>0.1</v>
      </c>
      <c r="I38" s="8">
        <f t="shared" si="2"/>
        <v>0</v>
      </c>
      <c r="J38" s="10" cm="1">
        <f t="array" ref="J38">MAX(IF($M$3:$DF$3=$J$3,M38:DF38))</f>
        <v>0</v>
      </c>
      <c r="K38" s="10" cm="1">
        <f t="array" ref="K38">MAX(IF($M$3:$DF$3=$J$3,M38:DF38))</f>
        <v>0</v>
      </c>
      <c r="L38" s="8"/>
      <c r="M38" s="26">
        <v>0</v>
      </c>
      <c r="O38" s="9"/>
      <c r="P38" s="9"/>
      <c r="Q38" s="9"/>
      <c r="R38" s="9"/>
      <c r="V38" s="9"/>
      <c r="W38" s="9"/>
      <c r="X38" s="9"/>
      <c r="Y38" s="9"/>
      <c r="AC38" s="34"/>
      <c r="AD38" s="34"/>
      <c r="AE38" s="34"/>
      <c r="AF38" s="34"/>
      <c r="AG38" s="35"/>
      <c r="AH38" s="35"/>
      <c r="AJ38" s="34"/>
      <c r="AK38" s="34">
        <v>0.5</v>
      </c>
      <c r="AL38" s="34"/>
      <c r="AM38" s="34">
        <v>0.5</v>
      </c>
      <c r="AN38" s="35"/>
      <c r="AO38" s="35"/>
      <c r="AQ38" s="34"/>
      <c r="AR38" s="34">
        <v>0.5</v>
      </c>
      <c r="AS38" s="34"/>
      <c r="AT38" s="34">
        <v>0.5</v>
      </c>
      <c r="AU38" s="35"/>
      <c r="AV38" s="35"/>
      <c r="AX38" s="34"/>
      <c r="AY38" s="34">
        <v>0.5</v>
      </c>
      <c r="AZ38" s="34"/>
      <c r="BA38" s="34">
        <v>0.5</v>
      </c>
      <c r="BB38" s="35"/>
      <c r="BC38" s="35"/>
      <c r="BE38" s="34"/>
      <c r="BF38" s="34">
        <v>0.5</v>
      </c>
      <c r="BG38" s="34"/>
      <c r="BH38" s="34">
        <v>0.5</v>
      </c>
      <c r="BI38" s="35"/>
      <c r="BJ38" s="35"/>
      <c r="BL38" s="34"/>
      <c r="BM38" s="34">
        <v>0.8</v>
      </c>
      <c r="BN38" s="34"/>
      <c r="BO38" s="34">
        <v>0.8</v>
      </c>
      <c r="BP38" s="35"/>
      <c r="BQ38" s="35"/>
      <c r="BS38" s="34"/>
      <c r="BT38" s="34">
        <v>0.8</v>
      </c>
      <c r="BU38" s="34"/>
      <c r="BV38" s="34">
        <v>0.8</v>
      </c>
      <c r="BW38" s="35"/>
      <c r="BX38" s="35"/>
      <c r="BZ38" s="34"/>
      <c r="CA38" s="34">
        <v>0.8</v>
      </c>
      <c r="CB38" s="34"/>
      <c r="CC38" s="34">
        <v>0.8</v>
      </c>
      <c r="CD38" s="35"/>
      <c r="CE38" s="35"/>
      <c r="CG38" s="34"/>
      <c r="CH38" s="34">
        <v>1</v>
      </c>
      <c r="CI38" s="34"/>
      <c r="CJ38" s="34">
        <v>1</v>
      </c>
      <c r="CK38" s="35"/>
      <c r="CL38" s="35"/>
      <c r="CN38" s="34"/>
      <c r="CO38" s="34">
        <v>1</v>
      </c>
      <c r="CP38" s="34"/>
      <c r="CQ38" s="34">
        <v>1</v>
      </c>
      <c r="CR38" s="35"/>
      <c r="CS38" s="35"/>
      <c r="CU38" s="34"/>
      <c r="CV38" s="34">
        <v>1</v>
      </c>
      <c r="CW38" s="34"/>
      <c r="CX38" s="34">
        <v>1</v>
      </c>
      <c r="DB38" s="9"/>
      <c r="DC38" s="9">
        <v>1</v>
      </c>
      <c r="DD38" s="9"/>
      <c r="DE38" s="9">
        <v>1</v>
      </c>
      <c r="DI38" s="9"/>
      <c r="DJ38" s="9"/>
      <c r="DK38" s="9"/>
      <c r="DL38" s="9"/>
      <c r="DP38" s="9"/>
      <c r="DQ38" s="9"/>
      <c r="DR38" s="9"/>
      <c r="DS38" s="9"/>
      <c r="DW38" s="9"/>
      <c r="DX38" s="9"/>
      <c r="DY38" s="9"/>
      <c r="DZ38" s="9"/>
      <c r="ED38" s="9"/>
      <c r="EE38" s="9"/>
      <c r="EF38" s="9"/>
      <c r="EG38" s="9"/>
      <c r="EH38" s="37"/>
      <c r="EK38" s="9"/>
      <c r="EL38" s="9"/>
      <c r="EM38" s="9"/>
      <c r="EN38" s="9"/>
      <c r="ER38" s="9"/>
      <c r="ES38" s="9"/>
      <c r="ET38" s="9"/>
      <c r="EU38" s="9"/>
      <c r="EY38" s="9"/>
      <c r="EZ38" s="9"/>
      <c r="FA38" s="9"/>
      <c r="FB38" s="9"/>
      <c r="FF38" s="9"/>
      <c r="FG38" s="9"/>
      <c r="FH38" s="9"/>
      <c r="FI38" s="9"/>
      <c r="FM38" s="9"/>
      <c r="FN38" s="9"/>
      <c r="FO38" s="9"/>
      <c r="FP38" s="9"/>
      <c r="FT38" s="9"/>
      <c r="FU38" s="9"/>
      <c r="FV38" s="9"/>
      <c r="FW38" s="9"/>
      <c r="GA38" s="9"/>
      <c r="GB38" s="9"/>
      <c r="GC38" s="9"/>
      <c r="GD38" s="9"/>
      <c r="GH38" s="9"/>
      <c r="GI38" s="9"/>
      <c r="GJ38" s="9"/>
      <c r="GK38" s="9"/>
    </row>
    <row r="39" spans="2:193" outlineLevel="1">
      <c r="B39" t="s">
        <v>28</v>
      </c>
      <c r="C39" t="s">
        <v>88</v>
      </c>
      <c r="E39" s="8"/>
      <c r="F39" t="s">
        <v>141</v>
      </c>
      <c r="G39" s="9">
        <v>0.2</v>
      </c>
      <c r="I39" s="8">
        <f t="shared" si="2"/>
        <v>0</v>
      </c>
      <c r="J39" s="10" cm="1">
        <f t="array" ref="J39">MAX(IF($M$3:$DF$3=$J$3,M39:DF39))</f>
        <v>0</v>
      </c>
      <c r="K39" s="10" cm="1">
        <f t="array" ref="K39">MAX(IF($M$3:$DF$3=$J$3,M39:DF39))</f>
        <v>0</v>
      </c>
      <c r="L39" s="8"/>
      <c r="O39" s="9"/>
      <c r="P39" s="9"/>
      <c r="Q39" s="9"/>
      <c r="R39" s="9"/>
      <c r="V39" s="9"/>
      <c r="W39" s="9"/>
      <c r="X39" s="9"/>
      <c r="Y39" s="9"/>
      <c r="AC39" s="34"/>
      <c r="AD39" s="34"/>
      <c r="AE39" s="34"/>
      <c r="AF39" s="34"/>
      <c r="AG39" s="35"/>
      <c r="AH39" s="35"/>
      <c r="AJ39" s="34"/>
      <c r="AK39" s="34">
        <v>0.5</v>
      </c>
      <c r="AL39" s="34"/>
      <c r="AM39" s="34">
        <v>0.5</v>
      </c>
      <c r="AN39" s="35"/>
      <c r="AO39" s="35"/>
      <c r="AQ39" s="34"/>
      <c r="AR39" s="34">
        <v>0.5</v>
      </c>
      <c r="AS39" s="34"/>
      <c r="AT39" s="34">
        <v>0.5</v>
      </c>
      <c r="AU39" s="35"/>
      <c r="AV39" s="35"/>
      <c r="AX39" s="34"/>
      <c r="AY39" s="34">
        <v>0.5</v>
      </c>
      <c r="AZ39" s="34"/>
      <c r="BA39" s="34">
        <v>0.5</v>
      </c>
      <c r="BB39" s="35"/>
      <c r="BC39" s="35"/>
      <c r="BE39" s="34"/>
      <c r="BF39" s="34">
        <v>0.5</v>
      </c>
      <c r="BG39" s="34"/>
      <c r="BH39" s="34">
        <v>0.5</v>
      </c>
      <c r="BI39" s="35"/>
      <c r="BJ39" s="35"/>
      <c r="BL39" s="34"/>
      <c r="BM39" s="34">
        <v>0.5</v>
      </c>
      <c r="BN39" s="34"/>
      <c r="BO39" s="34">
        <v>0.5</v>
      </c>
      <c r="BP39" s="35"/>
      <c r="BQ39" s="35"/>
      <c r="BS39" s="34"/>
      <c r="BT39" s="34">
        <v>0.8</v>
      </c>
      <c r="BU39" s="34"/>
      <c r="BV39" s="34">
        <v>0.8</v>
      </c>
      <c r="BW39" s="35"/>
      <c r="BX39" s="35"/>
      <c r="BZ39" s="34"/>
      <c r="CA39" s="34">
        <v>0.8</v>
      </c>
      <c r="CB39" s="34"/>
      <c r="CC39" s="34">
        <v>0.8</v>
      </c>
      <c r="CD39" s="35"/>
      <c r="CE39" s="35"/>
      <c r="CG39" s="34"/>
      <c r="CH39" s="34">
        <v>0.8</v>
      </c>
      <c r="CI39" s="34"/>
      <c r="CJ39" s="34">
        <v>1</v>
      </c>
      <c r="CK39" s="35"/>
      <c r="CL39" s="35"/>
      <c r="CN39" s="34"/>
      <c r="CO39" s="34">
        <v>1</v>
      </c>
      <c r="CP39" s="34"/>
      <c r="CQ39" s="34">
        <v>1</v>
      </c>
      <c r="CR39" s="35"/>
      <c r="CS39" s="35"/>
      <c r="CU39" s="34"/>
      <c r="CV39" s="34">
        <v>1</v>
      </c>
      <c r="CW39" s="34"/>
      <c r="CX39" s="34">
        <v>1</v>
      </c>
      <c r="DB39" s="9"/>
      <c r="DC39" s="9">
        <v>1</v>
      </c>
      <c r="DD39" s="9"/>
      <c r="DE39" s="9">
        <v>1</v>
      </c>
      <c r="DI39" s="9"/>
      <c r="DJ39" s="9"/>
      <c r="DK39" s="9"/>
      <c r="DL39" s="9"/>
      <c r="DP39" s="9"/>
      <c r="DQ39" s="9"/>
      <c r="DR39" s="9"/>
      <c r="DS39" s="9"/>
      <c r="DW39" s="9"/>
      <c r="DX39" s="9"/>
      <c r="DY39" s="9"/>
      <c r="DZ39" s="9"/>
      <c r="ED39" s="9"/>
      <c r="EE39" s="9"/>
      <c r="EF39" s="9"/>
      <c r="EG39" s="9"/>
      <c r="EH39" s="37"/>
      <c r="EK39" s="9"/>
      <c r="EL39" s="9"/>
      <c r="EM39" s="9"/>
      <c r="EN39" s="9"/>
      <c r="ER39" s="9"/>
      <c r="ES39" s="9"/>
      <c r="ET39" s="9"/>
      <c r="EU39" s="9"/>
      <c r="EY39" s="9"/>
      <c r="EZ39" s="9"/>
      <c r="FA39" s="9"/>
      <c r="FB39" s="9"/>
      <c r="FF39" s="9"/>
      <c r="FG39" s="9"/>
      <c r="FH39" s="9"/>
      <c r="FI39" s="9"/>
      <c r="FM39" s="9"/>
      <c r="FN39" s="9"/>
      <c r="FO39" s="9"/>
      <c r="FP39" s="9"/>
      <c r="FT39" s="9"/>
      <c r="FU39" s="9"/>
      <c r="FV39" s="9"/>
      <c r="FW39" s="9"/>
      <c r="GA39" s="9"/>
      <c r="GB39" s="9"/>
      <c r="GC39" s="9"/>
      <c r="GD39" s="9"/>
      <c r="GH39" s="9"/>
      <c r="GI39" s="9"/>
      <c r="GJ39" s="9"/>
      <c r="GK39" s="9"/>
    </row>
    <row r="40" spans="2:193" outlineLevel="1">
      <c r="B40" t="s">
        <v>28</v>
      </c>
      <c r="C40" t="s">
        <v>88</v>
      </c>
      <c r="E40" s="8"/>
      <c r="F40" t="s">
        <v>142</v>
      </c>
      <c r="G40" s="9">
        <v>0.2</v>
      </c>
      <c r="I40" s="8">
        <f t="shared" si="2"/>
        <v>0</v>
      </c>
      <c r="J40" s="10" cm="1">
        <f t="array" ref="J40">MAX(IF($M$3:$DF$3=$J$3,M40:DF40))</f>
        <v>0</v>
      </c>
      <c r="K40" s="10" cm="1">
        <f t="array" ref="K40">MAX(IF($M$3:$DF$3=$J$3,M40:DF40))</f>
        <v>0</v>
      </c>
      <c r="L40" s="8"/>
      <c r="O40" s="9"/>
      <c r="P40" s="9"/>
      <c r="Q40" s="9"/>
      <c r="R40" s="9"/>
      <c r="V40" s="9"/>
      <c r="W40" s="9"/>
      <c r="X40" s="9"/>
      <c r="Y40" s="9"/>
      <c r="AC40" s="34"/>
      <c r="AD40" s="34"/>
      <c r="AE40" s="34"/>
      <c r="AF40" s="34"/>
      <c r="AG40" s="35"/>
      <c r="AH40" s="35"/>
      <c r="AJ40" s="34"/>
      <c r="AK40" s="34"/>
      <c r="AL40" s="34"/>
      <c r="AM40" s="34"/>
      <c r="AN40" s="35"/>
      <c r="AO40" s="35"/>
      <c r="AQ40" s="34"/>
      <c r="AR40" s="34"/>
      <c r="AS40" s="34"/>
      <c r="AT40" s="34"/>
      <c r="AU40" s="35"/>
      <c r="AV40" s="35"/>
      <c r="AX40" s="34"/>
      <c r="AY40" s="34">
        <v>0.5</v>
      </c>
      <c r="AZ40" s="34"/>
      <c r="BA40" s="34">
        <v>0.5</v>
      </c>
      <c r="BB40" s="35"/>
      <c r="BC40" s="35"/>
      <c r="BE40" s="34"/>
      <c r="BF40" s="34">
        <v>0.5</v>
      </c>
      <c r="BG40" s="34"/>
      <c r="BH40" s="34">
        <v>0.5</v>
      </c>
      <c r="BI40" s="35"/>
      <c r="BJ40" s="35"/>
      <c r="BL40" s="34"/>
      <c r="BM40" s="34">
        <v>0.5</v>
      </c>
      <c r="BN40" s="34"/>
      <c r="BO40" s="34">
        <v>0.5</v>
      </c>
      <c r="BP40" s="35"/>
      <c r="BQ40" s="35"/>
      <c r="BS40" s="34"/>
      <c r="BT40" s="34">
        <v>0.5</v>
      </c>
      <c r="BU40" s="34"/>
      <c r="BV40" s="34">
        <v>0.5</v>
      </c>
      <c r="BW40" s="35"/>
      <c r="BX40" s="35"/>
      <c r="BZ40" s="34"/>
      <c r="CA40" s="34">
        <v>0.8</v>
      </c>
      <c r="CB40" s="34"/>
      <c r="CC40" s="34">
        <v>0.8</v>
      </c>
      <c r="CD40" s="35"/>
      <c r="CE40" s="35"/>
      <c r="CG40" s="34"/>
      <c r="CH40" s="34">
        <v>0.8</v>
      </c>
      <c r="CI40" s="34"/>
      <c r="CJ40" s="34">
        <v>0.8</v>
      </c>
      <c r="CK40" s="35"/>
      <c r="CL40" s="35"/>
      <c r="CN40" s="34"/>
      <c r="CO40" s="34">
        <v>0.8</v>
      </c>
      <c r="CP40" s="34"/>
      <c r="CQ40" s="34">
        <v>0.8</v>
      </c>
      <c r="CR40" s="35"/>
      <c r="CS40" s="35"/>
      <c r="CU40" s="34"/>
      <c r="CV40" s="34">
        <v>1</v>
      </c>
      <c r="CW40" s="34"/>
      <c r="CX40" s="34">
        <v>1</v>
      </c>
      <c r="DB40" s="9"/>
      <c r="DC40" s="9">
        <v>1</v>
      </c>
      <c r="DD40" s="9"/>
      <c r="DE40" s="9">
        <v>1</v>
      </c>
      <c r="DI40" s="9"/>
      <c r="DJ40" s="9"/>
      <c r="DK40" s="9"/>
      <c r="DL40" s="9"/>
      <c r="DP40" s="9"/>
      <c r="DQ40" s="9"/>
      <c r="DR40" s="9"/>
      <c r="DS40" s="9"/>
      <c r="DW40" s="9"/>
      <c r="DX40" s="9"/>
      <c r="DY40" s="9"/>
      <c r="DZ40" s="9"/>
      <c r="ED40" s="9"/>
      <c r="EE40" s="9"/>
      <c r="EF40" s="9"/>
      <c r="EG40" s="9"/>
      <c r="EH40" s="37"/>
      <c r="EK40" s="9"/>
      <c r="EL40" s="9"/>
      <c r="EM40" s="9"/>
      <c r="EN40" s="9"/>
      <c r="ER40" s="9"/>
      <c r="ES40" s="9"/>
      <c r="ET40" s="9"/>
      <c r="EU40" s="9"/>
      <c r="EY40" s="9"/>
      <c r="EZ40" s="9"/>
      <c r="FA40" s="9"/>
      <c r="FB40" s="9"/>
      <c r="FF40" s="9"/>
      <c r="FG40" s="9"/>
      <c r="FH40" s="9"/>
      <c r="FI40" s="9"/>
      <c r="FM40" s="9"/>
      <c r="FN40" s="9"/>
      <c r="FO40" s="9"/>
      <c r="FP40" s="9"/>
      <c r="FT40" s="9"/>
      <c r="FU40" s="9"/>
      <c r="FV40" s="9"/>
      <c r="FW40" s="9"/>
      <c r="GA40" s="9"/>
      <c r="GB40" s="9"/>
      <c r="GC40" s="9"/>
      <c r="GD40" s="9"/>
      <c r="GH40" s="9"/>
      <c r="GI40" s="9"/>
      <c r="GJ40" s="9"/>
      <c r="GK40" s="9"/>
    </row>
    <row r="41" spans="2:193" outlineLevel="1">
      <c r="B41" t="s">
        <v>28</v>
      </c>
      <c r="C41" t="s">
        <v>88</v>
      </c>
      <c r="E41" s="8"/>
      <c r="F41" t="s">
        <v>143</v>
      </c>
      <c r="G41" s="9">
        <v>0.05</v>
      </c>
      <c r="I41" s="8">
        <f t="shared" si="2"/>
        <v>0</v>
      </c>
      <c r="J41" s="10" cm="1">
        <f t="array" ref="J41">MAX(IF($M$3:$DF$3=$J$3,M41:DF41))</f>
        <v>0</v>
      </c>
      <c r="K41" s="10" cm="1">
        <f t="array" ref="K41">MAX(IF($M$3:$DF$3=$J$3,M41:DF41))</f>
        <v>0</v>
      </c>
      <c r="L41" s="8"/>
      <c r="O41" s="9"/>
      <c r="P41" s="9"/>
      <c r="Q41" s="9"/>
      <c r="R41" s="9"/>
      <c r="V41" s="9"/>
      <c r="W41" s="9"/>
      <c r="X41" s="9"/>
      <c r="Y41" s="9"/>
      <c r="AC41" s="34"/>
      <c r="AD41" s="34"/>
      <c r="AE41" s="34"/>
      <c r="AF41" s="34"/>
      <c r="AG41" s="35"/>
      <c r="AH41" s="35"/>
      <c r="AJ41" s="34"/>
      <c r="AK41" s="34"/>
      <c r="AL41" s="34"/>
      <c r="AM41" s="34"/>
      <c r="AN41" s="35"/>
      <c r="AO41" s="35"/>
      <c r="AQ41" s="34"/>
      <c r="AR41" s="34"/>
      <c r="AS41" s="34"/>
      <c r="AT41" s="34"/>
      <c r="AU41" s="35"/>
      <c r="AV41" s="35"/>
      <c r="AX41" s="34"/>
      <c r="AY41" s="34"/>
      <c r="AZ41" s="34"/>
      <c r="BA41" s="34"/>
      <c r="BB41" s="35"/>
      <c r="BC41" s="35"/>
      <c r="BE41" s="34"/>
      <c r="BF41" s="34">
        <v>0.5</v>
      </c>
      <c r="BG41" s="34"/>
      <c r="BH41" s="34">
        <v>0.5</v>
      </c>
      <c r="BI41" s="35"/>
      <c r="BJ41" s="35"/>
      <c r="BL41" s="34"/>
      <c r="BM41" s="34">
        <v>0.5</v>
      </c>
      <c r="BN41" s="34"/>
      <c r="BO41" s="34">
        <v>0.5</v>
      </c>
      <c r="BP41" s="35"/>
      <c r="BQ41" s="35"/>
      <c r="BS41" s="34"/>
      <c r="BT41" s="34">
        <v>0.5</v>
      </c>
      <c r="BU41" s="34"/>
      <c r="BV41" s="34">
        <v>0.5</v>
      </c>
      <c r="BW41" s="35"/>
      <c r="BX41" s="35"/>
      <c r="BZ41" s="34"/>
      <c r="CA41" s="34">
        <v>0.5</v>
      </c>
      <c r="CB41" s="34"/>
      <c r="CC41" s="34">
        <v>0.5</v>
      </c>
      <c r="CD41" s="35"/>
      <c r="CE41" s="35"/>
      <c r="CG41" s="34"/>
      <c r="CH41" s="34">
        <v>0.8</v>
      </c>
      <c r="CI41" s="34"/>
      <c r="CJ41" s="34">
        <v>0.8</v>
      </c>
      <c r="CK41" s="35"/>
      <c r="CL41" s="35"/>
      <c r="CN41" s="34"/>
      <c r="CO41" s="34">
        <v>0.8</v>
      </c>
      <c r="CP41" s="34"/>
      <c r="CQ41" s="34">
        <v>0.8</v>
      </c>
      <c r="CR41" s="35"/>
      <c r="CS41" s="35"/>
      <c r="CU41" s="34"/>
      <c r="CV41" s="34">
        <v>0.8</v>
      </c>
      <c r="CW41" s="34"/>
      <c r="CX41" s="34">
        <v>0.8</v>
      </c>
      <c r="DB41" s="9"/>
      <c r="DC41" s="9">
        <v>1</v>
      </c>
      <c r="DD41" s="9"/>
      <c r="DE41" s="9">
        <v>1</v>
      </c>
      <c r="DI41" s="9"/>
      <c r="DJ41" s="9"/>
      <c r="DK41" s="9"/>
      <c r="DL41" s="9"/>
      <c r="DP41" s="9"/>
      <c r="DQ41" s="9"/>
      <c r="DR41" s="9"/>
      <c r="DS41" s="9"/>
      <c r="DW41" s="9"/>
      <c r="DX41" s="9"/>
      <c r="DY41" s="9"/>
      <c r="DZ41" s="9"/>
      <c r="ED41" s="9"/>
      <c r="EE41" s="9"/>
      <c r="EF41" s="9"/>
      <c r="EG41" s="9"/>
      <c r="EH41" s="37"/>
      <c r="EK41" s="9"/>
      <c r="EL41" s="9"/>
      <c r="EM41" s="9"/>
      <c r="EN41" s="9"/>
      <c r="ER41" s="9"/>
      <c r="ES41" s="9"/>
      <c r="ET41" s="9"/>
      <c r="EU41" s="9"/>
      <c r="EY41" s="9"/>
      <c r="EZ41" s="9"/>
      <c r="FA41" s="9"/>
      <c r="FB41" s="9"/>
      <c r="FF41" s="9"/>
      <c r="FG41" s="9"/>
      <c r="FH41" s="9"/>
      <c r="FI41" s="9"/>
      <c r="FM41" s="9"/>
      <c r="FN41" s="9"/>
      <c r="FO41" s="9"/>
      <c r="FP41" s="9"/>
      <c r="FT41" s="9"/>
      <c r="FU41" s="9"/>
      <c r="FV41" s="9"/>
      <c r="FW41" s="9"/>
      <c r="GA41" s="9"/>
      <c r="GB41" s="9"/>
      <c r="GC41" s="9"/>
      <c r="GD41" s="9"/>
      <c r="GH41" s="9"/>
      <c r="GI41" s="9"/>
      <c r="GJ41" s="9"/>
      <c r="GK41" s="9"/>
    </row>
    <row r="42" spans="2:193">
      <c r="V42" s="9"/>
      <c r="W42" s="9"/>
      <c r="X42" s="9"/>
      <c r="Y42" s="9"/>
      <c r="AC42" s="35"/>
      <c r="AD42" s="35"/>
      <c r="AE42" s="35"/>
      <c r="AF42" s="35"/>
      <c r="AG42" s="35"/>
      <c r="AH42" s="35"/>
      <c r="AJ42" s="35"/>
      <c r="AK42" s="35"/>
      <c r="AL42" s="35"/>
      <c r="AM42" s="35"/>
      <c r="AN42" s="35"/>
      <c r="AO42" s="35"/>
      <c r="AQ42" s="35"/>
      <c r="AR42" s="35"/>
      <c r="AS42" s="35"/>
      <c r="AT42" s="35"/>
      <c r="AU42" s="35"/>
      <c r="AV42" s="35"/>
      <c r="AX42" s="35"/>
      <c r="AY42" s="35"/>
      <c r="AZ42" s="35"/>
      <c r="BA42" s="35"/>
      <c r="BB42" s="35"/>
      <c r="BC42" s="35"/>
      <c r="BE42" s="35"/>
      <c r="BF42" s="35"/>
      <c r="BG42" s="35"/>
      <c r="BH42" s="35"/>
      <c r="BI42" s="35"/>
      <c r="BJ42" s="35"/>
      <c r="BL42" s="35"/>
      <c r="BM42" s="35"/>
      <c r="BN42" s="35"/>
      <c r="BO42" s="35"/>
      <c r="BP42" s="35"/>
      <c r="BQ42" s="35"/>
      <c r="BS42" s="35"/>
      <c r="BT42" s="35"/>
      <c r="BU42" s="35"/>
      <c r="BV42" s="35"/>
      <c r="BW42" s="35"/>
      <c r="BX42" s="35"/>
      <c r="BZ42" s="35"/>
      <c r="CA42" s="35"/>
      <c r="CB42" s="35"/>
      <c r="CC42" s="35"/>
      <c r="CD42" s="35"/>
      <c r="CE42" s="35"/>
      <c r="CG42" s="35"/>
      <c r="CH42" s="35"/>
      <c r="CI42" s="35"/>
      <c r="CJ42" s="35"/>
      <c r="CK42" s="35"/>
      <c r="CL42" s="35"/>
      <c r="CN42" s="35"/>
      <c r="CO42" s="35"/>
      <c r="CP42" s="35"/>
      <c r="CQ42" s="35"/>
      <c r="CR42" s="35"/>
      <c r="CS42" s="35"/>
      <c r="CU42" s="35"/>
      <c r="CV42" s="35"/>
      <c r="CW42" s="35"/>
      <c r="CX42" s="35"/>
    </row>
    <row r="43" spans="2:193">
      <c r="B43" t="s">
        <v>27</v>
      </c>
      <c r="C43" t="s">
        <v>89</v>
      </c>
      <c r="D43" s="32">
        <v>45700</v>
      </c>
      <c r="E43" s="8">
        <v>6</v>
      </c>
      <c r="G43" s="9">
        <f>+SUM(G44:G53)</f>
        <v>0.99999999999999989</v>
      </c>
      <c r="I43" s="11">
        <f>+SUM(I44:I53)</f>
        <v>0</v>
      </c>
      <c r="J43" s="10">
        <f>+SUMPRODUCT(G44:G53,J44:J53)</f>
        <v>0</v>
      </c>
      <c r="K43" s="10">
        <f>+SUMPRODUCT(G44:G53,K44:K53)</f>
        <v>0</v>
      </c>
      <c r="L43" s="8"/>
      <c r="N43" s="11">
        <f>+SUM(N44:N53)</f>
        <v>0</v>
      </c>
      <c r="U43" s="11">
        <f>+SUM(U44:U55)</f>
        <v>0</v>
      </c>
      <c r="V43" s="9"/>
      <c r="W43" s="9"/>
      <c r="X43" s="9"/>
      <c r="Y43" s="9"/>
      <c r="AB43" s="11">
        <f>+SUM(AB44:AB55)</f>
        <v>0</v>
      </c>
      <c r="AC43" s="35"/>
      <c r="AD43" s="35"/>
      <c r="AE43" s="35"/>
      <c r="AF43" s="35"/>
      <c r="AG43" s="35"/>
      <c r="AH43" s="35"/>
      <c r="AI43" s="11">
        <f>+SUM(AI44:AI55)</f>
        <v>0</v>
      </c>
      <c r="AJ43" s="35"/>
      <c r="AK43" s="35"/>
      <c r="AL43" s="35"/>
      <c r="AM43" s="35"/>
      <c r="AN43" s="35"/>
      <c r="AO43" s="35"/>
      <c r="AP43" s="11">
        <f>+SUM(AP44:AP55)</f>
        <v>0</v>
      </c>
      <c r="AQ43" s="35"/>
      <c r="AR43" s="35"/>
      <c r="AS43" s="35"/>
      <c r="AT43" s="35"/>
      <c r="AU43" s="35"/>
      <c r="AV43" s="35"/>
      <c r="AW43" s="11">
        <f>+SUM(AW44:AW55)</f>
        <v>0</v>
      </c>
      <c r="AX43" s="35"/>
      <c r="AY43" s="35"/>
      <c r="AZ43" s="35"/>
      <c r="BA43" s="35"/>
      <c r="BB43" s="35"/>
      <c r="BC43" s="35"/>
      <c r="BD43" s="11">
        <f>+SUM(BD44:BD55)</f>
        <v>0</v>
      </c>
      <c r="BE43" s="35"/>
      <c r="BF43" s="35"/>
      <c r="BG43" s="35"/>
      <c r="BH43" s="35"/>
      <c r="BI43" s="35"/>
      <c r="BJ43" s="35"/>
      <c r="BK43" s="11">
        <f>+SUM(BK44:BK55)</f>
        <v>0</v>
      </c>
      <c r="BL43" s="35"/>
      <c r="BM43" s="35"/>
      <c r="BN43" s="35"/>
      <c r="BO43" s="35"/>
      <c r="BP43" s="35"/>
      <c r="BQ43" s="35"/>
      <c r="BR43" s="11">
        <f>+SUM(BR44:BR55)</f>
        <v>0</v>
      </c>
      <c r="BS43" s="35"/>
      <c r="BT43" s="35"/>
      <c r="BU43" s="35"/>
      <c r="BV43" s="35"/>
      <c r="BW43" s="35"/>
      <c r="BX43" s="35"/>
      <c r="BY43" s="11">
        <f>+SUM(BY44:BY55)</f>
        <v>0</v>
      </c>
      <c r="BZ43" s="35"/>
      <c r="CA43" s="35"/>
      <c r="CB43" s="35"/>
      <c r="CC43" s="35"/>
      <c r="CD43" s="35"/>
      <c r="CE43" s="35"/>
      <c r="CF43" s="11">
        <f>+SUM(CF44:CF55)</f>
        <v>0</v>
      </c>
      <c r="CG43" s="35"/>
      <c r="CH43" s="35"/>
      <c r="CI43" s="35"/>
      <c r="CJ43" s="35"/>
      <c r="CK43" s="35"/>
      <c r="CL43" s="35"/>
      <c r="CM43" s="11">
        <f>+SUM(CM44:CM55)</f>
        <v>0</v>
      </c>
      <c r="CN43" s="35"/>
      <c r="CO43" s="35"/>
      <c r="CP43" s="35"/>
      <c r="CQ43" s="35"/>
      <c r="CR43" s="35"/>
      <c r="CS43" s="35"/>
      <c r="CT43" s="11">
        <f>+SUM(CT44:CT55)</f>
        <v>0</v>
      </c>
      <c r="CU43" s="35"/>
      <c r="CV43" s="35"/>
      <c r="CW43" s="35"/>
      <c r="CX43" s="35"/>
      <c r="DA43" s="11">
        <f>+SUM(DA44:DA55)</f>
        <v>0</v>
      </c>
      <c r="DH43" s="11">
        <f>+SUM(DH44:DH55)</f>
        <v>0</v>
      </c>
      <c r="DO43" s="11">
        <f>+SUM(DO44:DO55)</f>
        <v>0</v>
      </c>
      <c r="DV43" s="11">
        <f>+SUM(DV44:DV55)</f>
        <v>0</v>
      </c>
      <c r="EC43" s="11">
        <f>+SUM(EC44:EC55)</f>
        <v>0</v>
      </c>
      <c r="EJ43" s="11">
        <f>+SUM(EJ44:EJ55)</f>
        <v>0</v>
      </c>
      <c r="EQ43" s="11">
        <f>+SUM(EQ44:EQ55)</f>
        <v>0</v>
      </c>
      <c r="EX43" s="11">
        <f>+SUM(EX44:EX55)</f>
        <v>0</v>
      </c>
      <c r="FE43" s="11">
        <f>+SUM(FE44:FE55)</f>
        <v>0</v>
      </c>
      <c r="FL43" s="11">
        <f>+SUM(FL44:FL55)</f>
        <v>0</v>
      </c>
      <c r="FS43" s="11">
        <f>+SUM(FS44:FS55)</f>
        <v>0</v>
      </c>
      <c r="FZ43" s="11">
        <f>+SUM(FZ44:FZ55)</f>
        <v>0</v>
      </c>
      <c r="GG43" s="11">
        <f>+SUM(GG44:GG55)</f>
        <v>0</v>
      </c>
    </row>
    <row r="44" spans="2:193" outlineLevel="1">
      <c r="B44" t="s">
        <v>28</v>
      </c>
      <c r="C44" t="s">
        <v>89</v>
      </c>
      <c r="E44" s="8"/>
      <c r="F44" t="s">
        <v>146</v>
      </c>
      <c r="G44" s="9">
        <v>0.1</v>
      </c>
      <c r="I44" s="8">
        <f t="shared" ref="I44:I53" si="3">+SUMIF($M$3:$XA$3,I$3,$M44:$XA44)</f>
        <v>0</v>
      </c>
      <c r="J44" s="10" cm="1">
        <f t="array" ref="J44">MAX(IF($M$3:$DF$3=$J$3,M44:DF44))</f>
        <v>0</v>
      </c>
      <c r="K44" s="10" cm="1">
        <f t="array" ref="K44">MAX(IF($M$3:$DF$3=$J$3,M44:DF44))</f>
        <v>0</v>
      </c>
      <c r="L44" s="8"/>
      <c r="O44" s="9"/>
      <c r="P44" s="9"/>
      <c r="Q44" s="9"/>
      <c r="R44" s="9"/>
      <c r="V44" s="9"/>
      <c r="W44" s="9"/>
      <c r="X44" s="9"/>
      <c r="Y44" s="9"/>
      <c r="AC44" s="34"/>
      <c r="AD44" s="34">
        <v>0.5</v>
      </c>
      <c r="AE44" s="34"/>
      <c r="AF44" s="34">
        <v>0.5</v>
      </c>
      <c r="AG44" s="35"/>
      <c r="AH44" s="35"/>
      <c r="AJ44" s="34"/>
      <c r="AK44" s="34">
        <v>0.8</v>
      </c>
      <c r="AL44" s="34"/>
      <c r="AM44" s="34">
        <v>0.8</v>
      </c>
      <c r="AN44" s="35"/>
      <c r="AO44" s="35"/>
      <c r="AQ44" s="34"/>
      <c r="AR44" s="34">
        <v>0.8</v>
      </c>
      <c r="AS44" s="34"/>
      <c r="AT44" s="34">
        <v>0.8</v>
      </c>
      <c r="AU44" s="35"/>
      <c r="AV44" s="35"/>
      <c r="AX44" s="34"/>
      <c r="AY44" s="34">
        <v>0.8</v>
      </c>
      <c r="AZ44" s="34"/>
      <c r="BA44" s="34">
        <v>0.8</v>
      </c>
      <c r="BB44" s="35"/>
      <c r="BC44" s="35"/>
      <c r="BE44" s="34"/>
      <c r="BF44" s="34">
        <v>0.8</v>
      </c>
      <c r="BG44" s="34"/>
      <c r="BH44" s="34">
        <v>0.8</v>
      </c>
      <c r="BI44" s="35"/>
      <c r="BJ44" s="35"/>
      <c r="BL44" s="34"/>
      <c r="BM44" s="34">
        <v>1</v>
      </c>
      <c r="BN44" s="34"/>
      <c r="BO44" s="34">
        <v>1</v>
      </c>
      <c r="BP44" s="35"/>
      <c r="BQ44" s="35"/>
      <c r="BS44" s="34"/>
      <c r="BT44" s="34">
        <v>1</v>
      </c>
      <c r="BU44" s="34"/>
      <c r="BV44" s="34">
        <v>1</v>
      </c>
      <c r="BW44" s="35"/>
      <c r="BX44" s="35"/>
      <c r="BZ44" s="34"/>
      <c r="CA44" s="34">
        <v>1</v>
      </c>
      <c r="CB44" s="34"/>
      <c r="CC44" s="34">
        <v>1</v>
      </c>
      <c r="CD44" s="35"/>
      <c r="CE44" s="35"/>
      <c r="CG44" s="34"/>
      <c r="CH44" s="34">
        <v>1</v>
      </c>
      <c r="CI44" s="34"/>
      <c r="CJ44" s="34">
        <v>1</v>
      </c>
      <c r="CK44" s="35"/>
      <c r="CL44" s="35"/>
      <c r="CN44" s="34"/>
      <c r="CO44" s="34">
        <v>1</v>
      </c>
      <c r="CP44" s="34"/>
      <c r="CQ44" s="34">
        <v>1</v>
      </c>
      <c r="CR44" s="35"/>
      <c r="CS44" s="35"/>
      <c r="CU44" s="34"/>
      <c r="CV44" s="34">
        <v>1</v>
      </c>
      <c r="CW44" s="34"/>
      <c r="CX44" s="34">
        <v>1</v>
      </c>
      <c r="DB44" s="9"/>
      <c r="DC44" s="9">
        <v>1</v>
      </c>
      <c r="DD44" s="9"/>
      <c r="DE44" s="9">
        <v>1</v>
      </c>
      <c r="DI44" s="9"/>
      <c r="DJ44" s="9"/>
      <c r="DK44" s="9"/>
      <c r="DL44" s="9"/>
      <c r="DP44" s="9"/>
      <c r="DQ44" s="9"/>
      <c r="DR44" s="9"/>
      <c r="DS44" s="9"/>
      <c r="DW44" s="9"/>
      <c r="DX44" s="9"/>
      <c r="DY44" s="9"/>
      <c r="DZ44" s="9"/>
      <c r="ED44" s="9"/>
      <c r="EE44" s="9"/>
      <c r="EF44" s="9"/>
      <c r="EG44" s="9"/>
      <c r="EK44" s="9"/>
      <c r="EL44" s="9"/>
      <c r="EM44" s="9"/>
      <c r="EN44" s="9"/>
      <c r="ER44" s="9"/>
      <c r="ES44" s="9"/>
      <c r="ET44" s="9"/>
      <c r="EU44" s="9"/>
      <c r="EY44" s="9"/>
      <c r="EZ44" s="9"/>
      <c r="FA44" s="9"/>
      <c r="FB44" s="9"/>
      <c r="FF44" s="9"/>
      <c r="FG44" s="9"/>
      <c r="FH44" s="9"/>
      <c r="FI44" s="9"/>
      <c r="FM44" s="9"/>
      <c r="FN44" s="9"/>
      <c r="FO44" s="9"/>
      <c r="FP44" s="9"/>
      <c r="FT44" s="9"/>
      <c r="FU44" s="9"/>
      <c r="FV44" s="9"/>
      <c r="FW44" s="9"/>
      <c r="GA44" s="9"/>
      <c r="GB44" s="9"/>
      <c r="GC44" s="9"/>
      <c r="GD44" s="9"/>
      <c r="GH44" s="9"/>
      <c r="GI44" s="9"/>
      <c r="GJ44" s="9"/>
      <c r="GK44" s="9"/>
    </row>
    <row r="45" spans="2:193" outlineLevel="1">
      <c r="B45" t="s">
        <v>28</v>
      </c>
      <c r="C45" t="s">
        <v>89</v>
      </c>
      <c r="E45" s="8"/>
      <c r="F45" t="s">
        <v>147</v>
      </c>
      <c r="G45" s="9">
        <v>0.1</v>
      </c>
      <c r="I45" s="8">
        <f t="shared" si="3"/>
        <v>0</v>
      </c>
      <c r="J45" s="10" cm="1">
        <f t="array" ref="J45">MAX(IF($M$3:$DF$3=$J$3,M45:DF45))</f>
        <v>0</v>
      </c>
      <c r="K45" s="10" cm="1">
        <f t="array" ref="K45">MAX(IF($M$3:$DF$3=$J$3,M45:DF45))</f>
        <v>0</v>
      </c>
      <c r="L45" s="8"/>
      <c r="O45" s="9"/>
      <c r="P45" s="9"/>
      <c r="Q45" s="9"/>
      <c r="R45" s="9"/>
      <c r="V45" s="9"/>
      <c r="W45" s="9"/>
      <c r="X45" s="9"/>
      <c r="Y45" s="9"/>
      <c r="AC45" s="34"/>
      <c r="AD45" s="34">
        <v>0.5</v>
      </c>
      <c r="AE45" s="34"/>
      <c r="AF45" s="34">
        <v>0.5</v>
      </c>
      <c r="AG45" s="35"/>
      <c r="AH45" s="35"/>
      <c r="AJ45" s="34"/>
      <c r="AK45" s="34">
        <v>0.5</v>
      </c>
      <c r="AL45" s="34"/>
      <c r="AM45" s="34">
        <v>0.5</v>
      </c>
      <c r="AN45" s="35"/>
      <c r="AO45" s="35"/>
      <c r="AQ45" s="34"/>
      <c r="AR45" s="34">
        <v>0.8</v>
      </c>
      <c r="AS45" s="34"/>
      <c r="AT45" s="34">
        <v>0.8</v>
      </c>
      <c r="AU45" s="35"/>
      <c r="AV45" s="35"/>
      <c r="AX45" s="34"/>
      <c r="AY45" s="34">
        <v>0.8</v>
      </c>
      <c r="AZ45" s="34"/>
      <c r="BA45" s="34">
        <v>0.8</v>
      </c>
      <c r="BB45" s="35"/>
      <c r="BC45" s="35"/>
      <c r="BE45" s="34"/>
      <c r="BF45" s="34">
        <v>0.8</v>
      </c>
      <c r="BG45" s="34"/>
      <c r="BH45" s="34">
        <v>0.8</v>
      </c>
      <c r="BI45" s="35"/>
      <c r="BJ45" s="35"/>
      <c r="BL45" s="34"/>
      <c r="BM45" s="34">
        <v>0.8</v>
      </c>
      <c r="BN45" s="34"/>
      <c r="BO45" s="34">
        <v>0.8</v>
      </c>
      <c r="BP45" s="35"/>
      <c r="BQ45" s="35"/>
      <c r="BS45" s="34"/>
      <c r="BT45" s="34">
        <v>1</v>
      </c>
      <c r="BU45" s="34"/>
      <c r="BV45" s="34">
        <v>1</v>
      </c>
      <c r="BW45" s="35"/>
      <c r="BX45" s="35"/>
      <c r="BZ45" s="34"/>
      <c r="CA45" s="34">
        <v>1</v>
      </c>
      <c r="CB45" s="34"/>
      <c r="CC45" s="34">
        <v>1</v>
      </c>
      <c r="CD45" s="35"/>
      <c r="CE45" s="35"/>
      <c r="CG45" s="34"/>
      <c r="CH45" s="34">
        <v>1</v>
      </c>
      <c r="CI45" s="34"/>
      <c r="CJ45" s="34">
        <v>1</v>
      </c>
      <c r="CK45" s="35"/>
      <c r="CL45" s="35"/>
      <c r="CN45" s="34"/>
      <c r="CO45" s="34">
        <v>1</v>
      </c>
      <c r="CP45" s="34"/>
      <c r="CQ45" s="34">
        <v>1</v>
      </c>
      <c r="CR45" s="35"/>
      <c r="CS45" s="35"/>
      <c r="CU45" s="34"/>
      <c r="CV45" s="34">
        <v>1</v>
      </c>
      <c r="CW45" s="34"/>
      <c r="CX45" s="34">
        <v>1</v>
      </c>
      <c r="DB45" s="9"/>
      <c r="DC45" s="9">
        <v>1</v>
      </c>
      <c r="DD45" s="9"/>
      <c r="DE45" s="9">
        <v>1</v>
      </c>
      <c r="DI45" s="9"/>
      <c r="DJ45" s="9"/>
      <c r="DK45" s="9"/>
      <c r="DL45" s="9"/>
      <c r="DP45" s="9"/>
      <c r="DQ45" s="9"/>
      <c r="DR45" s="9"/>
      <c r="DS45" s="9"/>
      <c r="DW45" s="9"/>
      <c r="DX45" s="9"/>
      <c r="DY45" s="9"/>
      <c r="DZ45" s="9"/>
      <c r="ED45" s="9"/>
      <c r="EE45" s="9"/>
      <c r="EF45" s="9"/>
      <c r="EG45" s="9"/>
      <c r="EK45" s="9"/>
      <c r="EL45" s="9"/>
      <c r="EM45" s="9"/>
      <c r="EN45" s="9"/>
      <c r="EO45" s="37" t="s">
        <v>197</v>
      </c>
      <c r="ER45" s="9"/>
      <c r="ES45" s="9"/>
      <c r="ET45" s="9"/>
      <c r="EU45" s="9"/>
      <c r="EY45" s="9"/>
      <c r="EZ45" s="9"/>
      <c r="FA45" s="9"/>
      <c r="FB45" s="9"/>
      <c r="FF45" s="9"/>
      <c r="FG45" s="9"/>
      <c r="FH45" s="9"/>
      <c r="FI45" s="9"/>
      <c r="FM45" s="9"/>
      <c r="FN45" s="9"/>
      <c r="FO45" s="9"/>
      <c r="FP45" s="9"/>
      <c r="FT45" s="9"/>
      <c r="FU45" s="9"/>
      <c r="FV45" s="9"/>
      <c r="FW45" s="9"/>
      <c r="GA45" s="9"/>
      <c r="GB45" s="9"/>
      <c r="GC45" s="9"/>
      <c r="GD45" s="9"/>
      <c r="GH45" s="9"/>
      <c r="GI45" s="9"/>
      <c r="GJ45" s="9"/>
      <c r="GK45" s="9"/>
    </row>
    <row r="46" spans="2:193" outlineLevel="1">
      <c r="B46" t="s">
        <v>28</v>
      </c>
      <c r="C46" t="s">
        <v>89</v>
      </c>
      <c r="E46" s="8"/>
      <c r="F46" t="s">
        <v>148</v>
      </c>
      <c r="G46" s="9">
        <v>0.1</v>
      </c>
      <c r="I46" s="8">
        <f t="shared" si="3"/>
        <v>0</v>
      </c>
      <c r="J46" s="10" cm="1">
        <f t="array" ref="J46">MAX(IF($M$3:$DF$3=$J$3,M46:DF46))</f>
        <v>0</v>
      </c>
      <c r="K46" s="10" cm="1">
        <f t="array" ref="K46">MAX(IF($M$3:$DF$3=$J$3,M46:DF46))</f>
        <v>0</v>
      </c>
      <c r="L46" s="8"/>
      <c r="O46" s="9"/>
      <c r="P46" s="9"/>
      <c r="Q46" s="9"/>
      <c r="R46" s="9"/>
      <c r="V46" s="9"/>
      <c r="W46" s="9"/>
      <c r="X46" s="9"/>
      <c r="Y46" s="9"/>
      <c r="AC46" s="34"/>
      <c r="AD46" s="34">
        <v>0.5</v>
      </c>
      <c r="AE46" s="34"/>
      <c r="AF46" s="34">
        <v>0.5</v>
      </c>
      <c r="AG46" s="35"/>
      <c r="AH46" s="35"/>
      <c r="AJ46" s="34"/>
      <c r="AK46" s="34">
        <v>0.5</v>
      </c>
      <c r="AL46" s="34"/>
      <c r="AM46" s="34">
        <v>0.5</v>
      </c>
      <c r="AN46" s="35"/>
      <c r="AO46" s="35"/>
      <c r="AQ46" s="34"/>
      <c r="AR46" s="34">
        <v>0.5</v>
      </c>
      <c r="AS46" s="34"/>
      <c r="AT46" s="34">
        <v>0.5</v>
      </c>
      <c r="AU46" s="35"/>
      <c r="AV46" s="35"/>
      <c r="AX46" s="34"/>
      <c r="AY46" s="34">
        <v>0.8</v>
      </c>
      <c r="AZ46" s="34"/>
      <c r="BA46" s="34">
        <v>0.8</v>
      </c>
      <c r="BB46" s="35"/>
      <c r="BC46" s="35"/>
      <c r="BE46" s="34"/>
      <c r="BF46" s="34">
        <v>0.8</v>
      </c>
      <c r="BG46" s="34"/>
      <c r="BH46" s="34">
        <v>0.8</v>
      </c>
      <c r="BI46" s="35"/>
      <c r="BJ46" s="35"/>
      <c r="BL46" s="34"/>
      <c r="BM46" s="34">
        <v>0.8</v>
      </c>
      <c r="BN46" s="34"/>
      <c r="BO46" s="34">
        <v>0.8</v>
      </c>
      <c r="BP46" s="35"/>
      <c r="BQ46" s="35"/>
      <c r="BS46" s="34"/>
      <c r="BT46" s="34">
        <v>0.8</v>
      </c>
      <c r="BU46" s="34"/>
      <c r="BV46" s="34">
        <v>0.8</v>
      </c>
      <c r="BW46" s="35"/>
      <c r="BX46" s="35"/>
      <c r="BZ46" s="34"/>
      <c r="CA46" s="34">
        <v>1</v>
      </c>
      <c r="CB46" s="34"/>
      <c r="CC46" s="34">
        <v>1</v>
      </c>
      <c r="CD46" s="35"/>
      <c r="CE46" s="35"/>
      <c r="CG46" s="34"/>
      <c r="CH46" s="34">
        <v>1</v>
      </c>
      <c r="CI46" s="34"/>
      <c r="CJ46" s="34">
        <v>1</v>
      </c>
      <c r="CK46" s="35"/>
      <c r="CL46" s="35"/>
      <c r="CN46" s="34"/>
      <c r="CO46" s="34">
        <v>1</v>
      </c>
      <c r="CP46" s="34"/>
      <c r="CQ46" s="34">
        <v>1</v>
      </c>
      <c r="CR46" s="35"/>
      <c r="CS46" s="35"/>
      <c r="CU46" s="34"/>
      <c r="CV46" s="34">
        <v>1</v>
      </c>
      <c r="CW46" s="34"/>
      <c r="CX46" s="34">
        <v>1</v>
      </c>
      <c r="DB46" s="9"/>
      <c r="DC46" s="9">
        <v>1</v>
      </c>
      <c r="DD46" s="9"/>
      <c r="DE46" s="9">
        <v>1</v>
      </c>
      <c r="DI46" s="9"/>
      <c r="DJ46" s="9"/>
      <c r="DK46" s="9"/>
      <c r="DL46" s="9"/>
      <c r="DP46" s="9"/>
      <c r="DQ46" s="9"/>
      <c r="DR46" s="9"/>
      <c r="DS46" s="9"/>
      <c r="DW46" s="9"/>
      <c r="DX46" s="9"/>
      <c r="DY46" s="9"/>
      <c r="DZ46" s="9"/>
      <c r="ED46" s="9"/>
      <c r="EE46" s="9"/>
      <c r="EF46" s="9"/>
      <c r="EG46" s="9"/>
      <c r="EK46" s="9"/>
      <c r="EL46" s="9"/>
      <c r="EM46" s="9"/>
      <c r="EN46" s="9"/>
      <c r="EO46" s="37"/>
      <c r="ER46" s="9"/>
      <c r="ES46" s="9"/>
      <c r="ET46" s="9"/>
      <c r="EU46" s="9"/>
      <c r="EY46" s="9"/>
      <c r="EZ46" s="9"/>
      <c r="FA46" s="9"/>
      <c r="FB46" s="9"/>
      <c r="FF46" s="9"/>
      <c r="FG46" s="9"/>
      <c r="FH46" s="9"/>
      <c r="FI46" s="9"/>
      <c r="FM46" s="9"/>
      <c r="FN46" s="9"/>
      <c r="FO46" s="9"/>
      <c r="FP46" s="9"/>
      <c r="FT46" s="9"/>
      <c r="FU46" s="9"/>
      <c r="FV46" s="9"/>
      <c r="FW46" s="9"/>
      <c r="GA46" s="9"/>
      <c r="GB46" s="9"/>
      <c r="GC46" s="9"/>
      <c r="GD46" s="9"/>
      <c r="GH46" s="9"/>
      <c r="GI46" s="9"/>
      <c r="GJ46" s="9"/>
      <c r="GK46" s="9"/>
    </row>
    <row r="47" spans="2:193" outlineLevel="1">
      <c r="B47" t="s">
        <v>28</v>
      </c>
      <c r="C47" t="s">
        <v>89</v>
      </c>
      <c r="E47" s="8"/>
      <c r="F47" t="s">
        <v>149</v>
      </c>
      <c r="G47" s="9">
        <v>0.1</v>
      </c>
      <c r="I47" s="8">
        <f t="shared" si="3"/>
        <v>0</v>
      </c>
      <c r="J47" s="10" cm="1">
        <f t="array" ref="J47">MAX(IF($M$3:$DF$3=$J$3,M47:DF47))</f>
        <v>0</v>
      </c>
      <c r="K47" s="10" cm="1">
        <f t="array" ref="K47">MAX(IF($M$3:$DF$3=$J$3,M47:DF47))</f>
        <v>0</v>
      </c>
      <c r="L47" s="8"/>
      <c r="O47" s="9"/>
      <c r="P47" s="9"/>
      <c r="Q47" s="9"/>
      <c r="R47" s="9"/>
      <c r="V47" s="9"/>
      <c r="W47" s="9"/>
      <c r="X47" s="9"/>
      <c r="Y47" s="9"/>
      <c r="AC47" s="34"/>
      <c r="AD47" s="34"/>
      <c r="AE47" s="34"/>
      <c r="AF47" s="34"/>
      <c r="AG47" s="35"/>
      <c r="AH47" s="35"/>
      <c r="AJ47" s="34"/>
      <c r="AK47" s="34">
        <v>0.5</v>
      </c>
      <c r="AL47" s="34"/>
      <c r="AM47" s="34">
        <v>0.5</v>
      </c>
      <c r="AN47" s="35"/>
      <c r="AO47" s="35"/>
      <c r="AQ47" s="34"/>
      <c r="AR47" s="34">
        <v>0.5</v>
      </c>
      <c r="AS47" s="34"/>
      <c r="AT47" s="34">
        <v>0.5</v>
      </c>
      <c r="AU47" s="35"/>
      <c r="AV47" s="35"/>
      <c r="AX47" s="34"/>
      <c r="AY47" s="34">
        <v>0.5</v>
      </c>
      <c r="AZ47" s="34"/>
      <c r="BA47" s="34">
        <v>0.5</v>
      </c>
      <c r="BB47" s="35"/>
      <c r="BC47" s="35"/>
      <c r="BE47" s="34"/>
      <c r="BF47" s="34">
        <v>0.8</v>
      </c>
      <c r="BG47" s="34"/>
      <c r="BH47" s="34">
        <v>0.8</v>
      </c>
      <c r="BI47" s="35"/>
      <c r="BJ47" s="35"/>
      <c r="BL47" s="34"/>
      <c r="BM47" s="34">
        <v>0.8</v>
      </c>
      <c r="BN47" s="34"/>
      <c r="BO47" s="34">
        <v>0.8</v>
      </c>
      <c r="BP47" s="35"/>
      <c r="BQ47" s="35"/>
      <c r="BS47" s="34"/>
      <c r="BT47" s="34">
        <v>0.8</v>
      </c>
      <c r="BU47" s="34"/>
      <c r="BV47" s="34">
        <v>0.8</v>
      </c>
      <c r="BW47" s="35"/>
      <c r="BX47" s="35"/>
      <c r="BZ47" s="34"/>
      <c r="CA47" s="34">
        <v>0.8</v>
      </c>
      <c r="CB47" s="34"/>
      <c r="CC47" s="34">
        <v>0.8</v>
      </c>
      <c r="CD47" s="35"/>
      <c r="CE47" s="35"/>
      <c r="CG47" s="34"/>
      <c r="CH47" s="34">
        <v>1</v>
      </c>
      <c r="CI47" s="34"/>
      <c r="CJ47" s="34">
        <v>1</v>
      </c>
      <c r="CK47" s="35"/>
      <c r="CL47" s="35"/>
      <c r="CN47" s="34"/>
      <c r="CO47" s="34">
        <v>1</v>
      </c>
      <c r="CP47" s="34"/>
      <c r="CQ47" s="34">
        <v>1</v>
      </c>
      <c r="CR47" s="35"/>
      <c r="CS47" s="35"/>
      <c r="CU47" s="34"/>
      <c r="CV47" s="34">
        <v>1</v>
      </c>
      <c r="CW47" s="34"/>
      <c r="CX47" s="34">
        <v>1</v>
      </c>
      <c r="DB47" s="9"/>
      <c r="DC47" s="9">
        <v>1</v>
      </c>
      <c r="DD47" s="9"/>
      <c r="DE47" s="9">
        <v>1</v>
      </c>
      <c r="DI47" s="9"/>
      <c r="DJ47" s="9"/>
      <c r="DK47" s="9"/>
      <c r="DL47" s="9"/>
      <c r="DP47" s="9"/>
      <c r="DQ47" s="9"/>
      <c r="DR47" s="9"/>
      <c r="DS47" s="9"/>
      <c r="DW47" s="9"/>
      <c r="DX47" s="9"/>
      <c r="DY47" s="9"/>
      <c r="DZ47" s="9"/>
      <c r="ED47" s="9"/>
      <c r="EE47" s="9"/>
      <c r="EF47" s="9"/>
      <c r="EG47" s="9"/>
      <c r="EK47" s="9"/>
      <c r="EL47" s="9"/>
      <c r="EM47" s="9"/>
      <c r="EN47" s="9"/>
      <c r="EO47" s="37"/>
      <c r="ER47" s="9"/>
      <c r="ES47" s="9"/>
      <c r="ET47" s="9"/>
      <c r="EU47" s="9"/>
      <c r="EY47" s="9"/>
      <c r="EZ47" s="9"/>
      <c r="FA47" s="9"/>
      <c r="FB47" s="9"/>
      <c r="FF47" s="9"/>
      <c r="FG47" s="9"/>
      <c r="FH47" s="9"/>
      <c r="FI47" s="9"/>
      <c r="FM47" s="9"/>
      <c r="FN47" s="9"/>
      <c r="FO47" s="9"/>
      <c r="FP47" s="9"/>
      <c r="FT47" s="9"/>
      <c r="FU47" s="9"/>
      <c r="FV47" s="9"/>
      <c r="FW47" s="9"/>
      <c r="GA47" s="9"/>
      <c r="GB47" s="9"/>
      <c r="GC47" s="9"/>
      <c r="GD47" s="9"/>
      <c r="GH47" s="9"/>
      <c r="GI47" s="9"/>
      <c r="GJ47" s="9"/>
      <c r="GK47" s="9"/>
    </row>
    <row r="48" spans="2:193" outlineLevel="1">
      <c r="B48" t="s">
        <v>28</v>
      </c>
      <c r="C48" t="s">
        <v>89</v>
      </c>
      <c r="E48" s="8"/>
      <c r="F48" t="s">
        <v>150</v>
      </c>
      <c r="G48" s="9">
        <v>0.1</v>
      </c>
      <c r="I48" s="8">
        <f t="shared" si="3"/>
        <v>0</v>
      </c>
      <c r="J48" s="10" cm="1">
        <f t="array" ref="J48">MAX(IF($M$3:$DF$3=$J$3,M48:DF48))</f>
        <v>0</v>
      </c>
      <c r="K48" s="10" cm="1">
        <f t="array" ref="K48">MAX(IF($M$3:$DF$3=$J$3,M48:DF48))</f>
        <v>0</v>
      </c>
      <c r="L48" s="8"/>
      <c r="O48" s="9"/>
      <c r="P48" s="9"/>
      <c r="Q48" s="9"/>
      <c r="R48" s="9"/>
      <c r="V48" s="9"/>
      <c r="W48" s="9"/>
      <c r="X48" s="9"/>
      <c r="Y48" s="9"/>
      <c r="AC48" s="34"/>
      <c r="AD48" s="34"/>
      <c r="AE48" s="34"/>
      <c r="AF48" s="34"/>
      <c r="AG48" s="35"/>
      <c r="AH48" s="35"/>
      <c r="AJ48" s="34"/>
      <c r="AK48" s="34">
        <v>0.5</v>
      </c>
      <c r="AL48" s="34"/>
      <c r="AM48" s="34">
        <v>0.5</v>
      </c>
      <c r="AN48" s="35"/>
      <c r="AO48" s="35"/>
      <c r="AQ48" s="34"/>
      <c r="AR48" s="34">
        <v>0.5</v>
      </c>
      <c r="AS48" s="34"/>
      <c r="AT48" s="34">
        <v>0.5</v>
      </c>
      <c r="AU48" s="35"/>
      <c r="AV48" s="35"/>
      <c r="AX48" s="34"/>
      <c r="AY48" s="34">
        <v>0.5</v>
      </c>
      <c r="AZ48" s="34"/>
      <c r="BA48" s="34">
        <v>0.5</v>
      </c>
      <c r="BB48" s="35"/>
      <c r="BC48" s="35"/>
      <c r="BE48" s="34"/>
      <c r="BF48" s="34">
        <v>0.8</v>
      </c>
      <c r="BG48" s="34"/>
      <c r="BH48" s="34">
        <v>0.8</v>
      </c>
      <c r="BI48" s="35"/>
      <c r="BJ48" s="35"/>
      <c r="BL48" s="34"/>
      <c r="BM48" s="34">
        <v>0.8</v>
      </c>
      <c r="BN48" s="34"/>
      <c r="BO48" s="34">
        <v>0.8</v>
      </c>
      <c r="BP48" s="35"/>
      <c r="BQ48" s="35"/>
      <c r="BS48" s="34"/>
      <c r="BT48" s="34">
        <v>0.8</v>
      </c>
      <c r="BU48" s="34"/>
      <c r="BV48" s="34">
        <v>0.8</v>
      </c>
      <c r="BW48" s="35"/>
      <c r="BX48" s="35"/>
      <c r="BZ48" s="34"/>
      <c r="CA48" s="34">
        <v>0.8</v>
      </c>
      <c r="CB48" s="34"/>
      <c r="CC48" s="34">
        <v>0.8</v>
      </c>
      <c r="CD48" s="35"/>
      <c r="CE48" s="35"/>
      <c r="CG48" s="34"/>
      <c r="CH48" s="34">
        <v>0.8</v>
      </c>
      <c r="CI48" s="34"/>
      <c r="CJ48" s="34">
        <v>0.8</v>
      </c>
      <c r="CK48" s="35"/>
      <c r="CL48" s="35"/>
      <c r="CN48" s="34"/>
      <c r="CO48" s="34">
        <v>1</v>
      </c>
      <c r="CP48" s="34"/>
      <c r="CQ48" s="34">
        <v>1</v>
      </c>
      <c r="CR48" s="35"/>
      <c r="CS48" s="35"/>
      <c r="CU48" s="34"/>
      <c r="CV48" s="34">
        <v>1</v>
      </c>
      <c r="CW48" s="34"/>
      <c r="CX48" s="34">
        <v>1</v>
      </c>
      <c r="DB48" s="9"/>
      <c r="DC48" s="9">
        <v>1</v>
      </c>
      <c r="DD48" s="9"/>
      <c r="DE48" s="9">
        <v>1</v>
      </c>
      <c r="DF48" t="s">
        <v>194</v>
      </c>
      <c r="DI48" s="9"/>
      <c r="DJ48" s="9"/>
      <c r="DK48" s="9"/>
      <c r="DL48" s="9"/>
      <c r="DP48" s="9"/>
      <c r="DQ48" s="9"/>
      <c r="DR48" s="9"/>
      <c r="DS48" s="9"/>
      <c r="DW48" s="9"/>
      <c r="DX48" s="9"/>
      <c r="DY48" s="9"/>
      <c r="DZ48" s="9"/>
      <c r="ED48" s="9"/>
      <c r="EE48" s="9"/>
      <c r="EF48" s="9"/>
      <c r="EG48" s="9"/>
      <c r="EK48" s="9"/>
      <c r="EL48" s="9"/>
      <c r="EM48" s="9"/>
      <c r="EN48" s="9"/>
      <c r="EO48" s="37"/>
      <c r="ER48" s="9"/>
      <c r="ES48" s="9"/>
      <c r="ET48" s="9"/>
      <c r="EU48" s="9"/>
      <c r="EY48" s="9"/>
      <c r="EZ48" s="9"/>
      <c r="FA48" s="9"/>
      <c r="FB48" s="9"/>
      <c r="FF48" s="9"/>
      <c r="FG48" s="9"/>
      <c r="FH48" s="9"/>
      <c r="FI48" s="9"/>
      <c r="FM48" s="9"/>
      <c r="FN48" s="9"/>
      <c r="FO48" s="9"/>
      <c r="FP48" s="9"/>
      <c r="FT48" s="9"/>
      <c r="FU48" s="9"/>
      <c r="FV48" s="9"/>
      <c r="FW48" s="9"/>
      <c r="GA48" s="9"/>
      <c r="GB48" s="9"/>
      <c r="GC48" s="9"/>
      <c r="GD48" s="9"/>
      <c r="GH48" s="9"/>
      <c r="GI48" s="9"/>
      <c r="GJ48" s="9"/>
      <c r="GK48" s="9"/>
    </row>
    <row r="49" spans="2:193" outlineLevel="1">
      <c r="B49" t="s">
        <v>28</v>
      </c>
      <c r="C49" t="s">
        <v>89</v>
      </c>
      <c r="E49" s="8"/>
      <c r="F49" t="s">
        <v>151</v>
      </c>
      <c r="G49" s="9">
        <v>0.1</v>
      </c>
      <c r="I49" s="8">
        <f t="shared" si="3"/>
        <v>0</v>
      </c>
      <c r="J49" s="10" cm="1">
        <f t="array" ref="J49">MAX(IF($M$3:$DF$3=$J$3,M49:DF49))</f>
        <v>0</v>
      </c>
      <c r="K49" s="10" cm="1">
        <f t="array" ref="K49">MAX(IF($M$3:$DF$3=$J$3,M49:DF49))</f>
        <v>0</v>
      </c>
      <c r="L49" s="8"/>
      <c r="O49" s="9"/>
      <c r="P49" s="9"/>
      <c r="Q49" s="9"/>
      <c r="R49" s="9"/>
      <c r="V49" s="9"/>
      <c r="W49" s="9"/>
      <c r="X49" s="9"/>
      <c r="Y49" s="9"/>
      <c r="AC49" s="34"/>
      <c r="AD49" s="34"/>
      <c r="AE49" s="34"/>
      <c r="AF49" s="34"/>
      <c r="AG49" s="35"/>
      <c r="AH49" s="35"/>
      <c r="AJ49" s="34"/>
      <c r="AK49" s="34"/>
      <c r="AL49" s="34"/>
      <c r="AM49" s="34"/>
      <c r="AN49" s="35"/>
      <c r="AO49" s="35"/>
      <c r="AQ49" s="34"/>
      <c r="AR49" s="34">
        <v>0.5</v>
      </c>
      <c r="AS49" s="34"/>
      <c r="AT49" s="34">
        <v>0.5</v>
      </c>
      <c r="AU49" s="35"/>
      <c r="AV49" s="35"/>
      <c r="AX49" s="34"/>
      <c r="AY49" s="34">
        <v>0.5</v>
      </c>
      <c r="AZ49" s="34"/>
      <c r="BA49" s="34">
        <v>0.5</v>
      </c>
      <c r="BB49" s="35"/>
      <c r="BC49" s="35"/>
      <c r="BE49" s="34"/>
      <c r="BF49" s="34">
        <v>0.5</v>
      </c>
      <c r="BG49" s="34"/>
      <c r="BH49" s="34">
        <v>0.5</v>
      </c>
      <c r="BI49" s="35"/>
      <c r="BJ49" s="35"/>
      <c r="BL49" s="34"/>
      <c r="BM49" s="34">
        <v>0.8</v>
      </c>
      <c r="BN49" s="34"/>
      <c r="BO49" s="34">
        <v>0.8</v>
      </c>
      <c r="BP49" s="35"/>
      <c r="BQ49" s="35"/>
      <c r="BS49" s="34"/>
      <c r="BT49" s="34">
        <v>0.8</v>
      </c>
      <c r="BU49" s="34"/>
      <c r="BV49" s="34">
        <v>0.8</v>
      </c>
      <c r="BW49" s="35"/>
      <c r="BX49" s="35"/>
      <c r="BZ49" s="34"/>
      <c r="CA49" s="34">
        <v>0.8</v>
      </c>
      <c r="CB49" s="34"/>
      <c r="CC49" s="34">
        <v>0.8</v>
      </c>
      <c r="CD49" s="35"/>
      <c r="CE49" s="35"/>
      <c r="CG49" s="34"/>
      <c r="CH49" s="34">
        <v>0.8</v>
      </c>
      <c r="CI49" s="34"/>
      <c r="CJ49" s="34">
        <v>0.8</v>
      </c>
      <c r="CK49" s="35"/>
      <c r="CL49" s="35"/>
      <c r="CN49" s="34"/>
      <c r="CO49" s="34">
        <v>1</v>
      </c>
      <c r="CP49" s="34"/>
      <c r="CQ49" s="34">
        <v>1</v>
      </c>
      <c r="CR49" s="35"/>
      <c r="CS49" s="35"/>
      <c r="CU49" s="34"/>
      <c r="CV49" s="34">
        <v>1</v>
      </c>
      <c r="CW49" s="34"/>
      <c r="CX49" s="34">
        <v>1</v>
      </c>
      <c r="DB49" s="9"/>
      <c r="DC49" s="9">
        <v>1</v>
      </c>
      <c r="DD49" s="9"/>
      <c r="DE49" s="9">
        <v>1</v>
      </c>
      <c r="DI49" s="9"/>
      <c r="DJ49" s="9"/>
      <c r="DK49" s="9"/>
      <c r="DL49" s="9"/>
      <c r="DP49" s="9"/>
      <c r="DQ49" s="9"/>
      <c r="DR49" s="9"/>
      <c r="DS49" s="9"/>
      <c r="DW49" s="9"/>
      <c r="DX49" s="9"/>
      <c r="DY49" s="9"/>
      <c r="DZ49" s="9"/>
      <c r="ED49" s="9"/>
      <c r="EE49" s="9"/>
      <c r="EF49" s="9"/>
      <c r="EG49" s="9"/>
      <c r="EK49" s="9"/>
      <c r="EL49" s="9"/>
      <c r="EM49" s="9"/>
      <c r="EN49" s="9"/>
      <c r="EO49" s="37"/>
      <c r="ER49" s="9"/>
      <c r="ES49" s="9"/>
      <c r="ET49" s="9"/>
      <c r="EU49" s="9"/>
      <c r="EY49" s="9"/>
      <c r="EZ49" s="9"/>
      <c r="FA49" s="9"/>
      <c r="FB49" s="9"/>
      <c r="FF49" s="9"/>
      <c r="FG49" s="9"/>
      <c r="FH49" s="9"/>
      <c r="FI49" s="9"/>
      <c r="FM49" s="9"/>
      <c r="FN49" s="9"/>
      <c r="FO49" s="9"/>
      <c r="FP49" s="9"/>
      <c r="FT49" s="9"/>
      <c r="FU49" s="9"/>
      <c r="FV49" s="9"/>
      <c r="FW49" s="9"/>
      <c r="GA49" s="9"/>
      <c r="GB49" s="9"/>
      <c r="GC49" s="9"/>
      <c r="GD49" s="9"/>
      <c r="GH49" s="9"/>
      <c r="GI49" s="9"/>
      <c r="GJ49" s="9"/>
      <c r="GK49" s="9"/>
    </row>
    <row r="50" spans="2:193" outlineLevel="1">
      <c r="B50" t="s">
        <v>28</v>
      </c>
      <c r="C50" t="s">
        <v>89</v>
      </c>
      <c r="E50" s="8"/>
      <c r="F50" t="s">
        <v>152</v>
      </c>
      <c r="G50" s="9">
        <v>0.1</v>
      </c>
      <c r="I50" s="8">
        <f t="shared" si="3"/>
        <v>0</v>
      </c>
      <c r="J50" s="10" cm="1">
        <f t="array" ref="J50">MAX(IF($M$3:$DF$3=$J$3,M50:DF50))</f>
        <v>0</v>
      </c>
      <c r="K50" s="10" cm="1">
        <f t="array" ref="K50">MAX(IF($M$3:$DF$3=$J$3,M50:DF50))</f>
        <v>0</v>
      </c>
      <c r="L50" s="8"/>
      <c r="O50" s="9"/>
      <c r="P50" s="9"/>
      <c r="Q50" s="9"/>
      <c r="R50" s="9"/>
      <c r="V50" s="9"/>
      <c r="W50" s="9"/>
      <c r="X50" s="9"/>
      <c r="Y50" s="9"/>
      <c r="AC50" s="34"/>
      <c r="AD50" s="34"/>
      <c r="AE50" s="34"/>
      <c r="AF50" s="34"/>
      <c r="AG50" s="35"/>
      <c r="AH50" s="35"/>
      <c r="AJ50" s="34"/>
      <c r="AK50" s="34"/>
      <c r="AL50" s="34"/>
      <c r="AM50" s="34"/>
      <c r="AN50" s="35"/>
      <c r="AO50" s="35"/>
      <c r="AQ50" s="34"/>
      <c r="AR50" s="34">
        <v>0.5</v>
      </c>
      <c r="AS50" s="34"/>
      <c r="AT50" s="34">
        <v>0.5</v>
      </c>
      <c r="AU50" s="35"/>
      <c r="AV50" s="35"/>
      <c r="AX50" s="34"/>
      <c r="AY50" s="34">
        <v>0.5</v>
      </c>
      <c r="AZ50" s="34"/>
      <c r="BA50" s="34">
        <v>0.5</v>
      </c>
      <c r="BB50" s="35"/>
      <c r="BC50" s="35"/>
      <c r="BE50" s="34"/>
      <c r="BF50" s="34">
        <v>0.5</v>
      </c>
      <c r="BG50" s="34"/>
      <c r="BH50" s="34">
        <v>0.5</v>
      </c>
      <c r="BI50" s="35"/>
      <c r="BJ50" s="35"/>
      <c r="BL50" s="34"/>
      <c r="BM50" s="34">
        <v>0.8</v>
      </c>
      <c r="BN50" s="34"/>
      <c r="BO50" s="34">
        <v>0.8</v>
      </c>
      <c r="BP50" s="35"/>
      <c r="BQ50" s="35"/>
      <c r="BS50" s="34"/>
      <c r="BT50" s="34">
        <v>0.8</v>
      </c>
      <c r="BU50" s="34"/>
      <c r="BV50" s="34">
        <v>0.8</v>
      </c>
      <c r="BW50" s="35"/>
      <c r="BX50" s="35"/>
      <c r="BZ50" s="34"/>
      <c r="CA50" s="34">
        <v>0.8</v>
      </c>
      <c r="CB50" s="34"/>
      <c r="CC50" s="34">
        <v>0.8</v>
      </c>
      <c r="CD50" s="35"/>
      <c r="CE50" s="35"/>
      <c r="CG50" s="34"/>
      <c r="CH50" s="34">
        <v>0.8</v>
      </c>
      <c r="CI50" s="34"/>
      <c r="CJ50" s="34">
        <v>0.8</v>
      </c>
      <c r="CK50" s="35"/>
      <c r="CL50" s="35"/>
      <c r="CN50" s="34"/>
      <c r="CO50" s="34">
        <v>0.8</v>
      </c>
      <c r="CP50" s="34"/>
      <c r="CQ50" s="34">
        <v>0.8</v>
      </c>
      <c r="CR50" s="35"/>
      <c r="CS50" s="35"/>
      <c r="CU50" s="34"/>
      <c r="CV50" s="34">
        <v>1</v>
      </c>
      <c r="CW50" s="34"/>
      <c r="CX50" s="34">
        <v>1</v>
      </c>
      <c r="DB50" s="9"/>
      <c r="DC50" s="9">
        <v>1</v>
      </c>
      <c r="DD50" s="9"/>
      <c r="DE50" s="9">
        <v>1</v>
      </c>
      <c r="DI50" s="9"/>
      <c r="DJ50" s="9"/>
      <c r="DK50" s="9"/>
      <c r="DL50" s="9"/>
      <c r="DP50" s="9"/>
      <c r="DQ50" s="9"/>
      <c r="DR50" s="9"/>
      <c r="DS50" s="9"/>
      <c r="DW50" s="9"/>
      <c r="DX50" s="9"/>
      <c r="DY50" s="9"/>
      <c r="DZ50" s="9"/>
      <c r="ED50" s="9"/>
      <c r="EE50" s="9"/>
      <c r="EF50" s="9"/>
      <c r="EG50" s="9"/>
      <c r="EK50" s="9"/>
      <c r="EL50" s="9"/>
      <c r="EM50" s="9"/>
      <c r="EN50" s="9"/>
      <c r="EO50" s="37"/>
      <c r="ER50" s="9"/>
      <c r="ES50" s="9"/>
      <c r="ET50" s="9"/>
      <c r="EU50" s="9"/>
      <c r="EY50" s="9"/>
      <c r="EZ50" s="9"/>
      <c r="FA50" s="9"/>
      <c r="FB50" s="9"/>
      <c r="FF50" s="9"/>
      <c r="FG50" s="9"/>
      <c r="FH50" s="9"/>
      <c r="FI50" s="9"/>
      <c r="FM50" s="9"/>
      <c r="FN50" s="9"/>
      <c r="FO50" s="9"/>
      <c r="FP50" s="9"/>
      <c r="FT50" s="9"/>
      <c r="FU50" s="9"/>
      <c r="FV50" s="9"/>
      <c r="FW50" s="9"/>
      <c r="GA50" s="9"/>
      <c r="GB50" s="9"/>
      <c r="GC50" s="9"/>
      <c r="GD50" s="9"/>
      <c r="GH50" s="9"/>
      <c r="GI50" s="9"/>
      <c r="GJ50" s="9"/>
      <c r="GK50" s="9"/>
    </row>
    <row r="51" spans="2:193" outlineLevel="1">
      <c r="B51" t="s">
        <v>28</v>
      </c>
      <c r="C51" t="s">
        <v>89</v>
      </c>
      <c r="E51" s="8"/>
      <c r="F51" t="s">
        <v>153</v>
      </c>
      <c r="G51" s="9">
        <v>0.1</v>
      </c>
      <c r="I51" s="8">
        <f t="shared" si="3"/>
        <v>0</v>
      </c>
      <c r="J51" s="10" cm="1">
        <f t="array" ref="J51">MAX(IF($M$3:$DF$3=$J$3,M51:DF51))</f>
        <v>0</v>
      </c>
      <c r="K51" s="10" cm="1">
        <f t="array" ref="K51">MAX(IF($M$3:$DF$3=$J$3,M51:DF51))</f>
        <v>0</v>
      </c>
      <c r="L51" s="8"/>
      <c r="O51" s="9"/>
      <c r="P51" s="9"/>
      <c r="Q51" s="9"/>
      <c r="R51" s="9"/>
      <c r="V51" s="9"/>
      <c r="W51" s="9"/>
      <c r="X51" s="9"/>
      <c r="Y51" s="9"/>
      <c r="AC51" s="34"/>
      <c r="AD51" s="34"/>
      <c r="AE51" s="34"/>
      <c r="AF51" s="34"/>
      <c r="AG51" s="35"/>
      <c r="AH51" s="35"/>
      <c r="AJ51" s="34"/>
      <c r="AK51" s="34"/>
      <c r="AL51" s="34"/>
      <c r="AM51" s="34"/>
      <c r="AN51" s="35"/>
      <c r="AO51" s="35"/>
      <c r="AQ51" s="34"/>
      <c r="AR51" s="34"/>
      <c r="AS51" s="34"/>
      <c r="AT51" s="34"/>
      <c r="AU51" s="35"/>
      <c r="AV51" s="35"/>
      <c r="AX51" s="34"/>
      <c r="AY51" s="34">
        <v>0.5</v>
      </c>
      <c r="AZ51" s="34"/>
      <c r="BA51" s="34">
        <v>0.5</v>
      </c>
      <c r="BB51" s="35"/>
      <c r="BC51" s="35"/>
      <c r="BE51" s="34"/>
      <c r="BF51" s="34">
        <v>0.5</v>
      </c>
      <c r="BG51" s="34"/>
      <c r="BH51" s="34">
        <v>0.5</v>
      </c>
      <c r="BI51" s="35"/>
      <c r="BJ51" s="35"/>
      <c r="BL51" s="34"/>
      <c r="BM51" s="34">
        <v>0.5</v>
      </c>
      <c r="BN51" s="34"/>
      <c r="BO51" s="34">
        <v>0.5</v>
      </c>
      <c r="BP51" s="35"/>
      <c r="BQ51" s="35"/>
      <c r="BS51" s="34"/>
      <c r="BT51" s="34">
        <v>0.8</v>
      </c>
      <c r="BU51" s="34"/>
      <c r="BV51" s="34">
        <v>0.8</v>
      </c>
      <c r="BW51" s="35"/>
      <c r="BX51" s="35"/>
      <c r="BZ51" s="34"/>
      <c r="CA51" s="34">
        <v>0.8</v>
      </c>
      <c r="CB51" s="34"/>
      <c r="CC51" s="34">
        <v>0.8</v>
      </c>
      <c r="CD51" s="35"/>
      <c r="CE51" s="35"/>
      <c r="CG51" s="34"/>
      <c r="CH51" s="34">
        <v>0.8</v>
      </c>
      <c r="CI51" s="34"/>
      <c r="CJ51" s="34">
        <v>0.8</v>
      </c>
      <c r="CK51" s="35"/>
      <c r="CL51" s="35"/>
      <c r="CN51" s="34"/>
      <c r="CO51" s="34">
        <v>0.8</v>
      </c>
      <c r="CP51" s="34"/>
      <c r="CQ51" s="34">
        <v>0.8</v>
      </c>
      <c r="CR51" s="35"/>
      <c r="CS51" s="35"/>
      <c r="CU51" s="34"/>
      <c r="CV51" s="34">
        <v>1</v>
      </c>
      <c r="CW51" s="34"/>
      <c r="CX51" s="34">
        <v>1</v>
      </c>
      <c r="DB51" s="9"/>
      <c r="DC51" s="9">
        <v>1</v>
      </c>
      <c r="DD51" s="9"/>
      <c r="DE51" s="9">
        <v>1</v>
      </c>
      <c r="DI51" s="9"/>
      <c r="DJ51" s="9"/>
      <c r="DK51" s="9"/>
      <c r="DL51" s="9"/>
      <c r="DP51" s="9"/>
      <c r="DQ51" s="9"/>
      <c r="DR51" s="9"/>
      <c r="DS51" s="9"/>
      <c r="DW51" s="9"/>
      <c r="DX51" s="9"/>
      <c r="DY51" s="9"/>
      <c r="DZ51" s="9"/>
      <c r="ED51" s="9"/>
      <c r="EE51" s="9"/>
      <c r="EF51" s="9"/>
      <c r="EG51" s="9"/>
      <c r="EK51" s="9"/>
      <c r="EL51" s="9"/>
      <c r="EM51" s="9"/>
      <c r="EN51" s="9"/>
      <c r="EO51" s="37"/>
      <c r="ER51" s="9"/>
      <c r="ES51" s="9"/>
      <c r="ET51" s="9"/>
      <c r="EU51" s="9"/>
      <c r="EY51" s="9"/>
      <c r="EZ51" s="9"/>
      <c r="FA51" s="9"/>
      <c r="FB51" s="9"/>
      <c r="FF51" s="9"/>
      <c r="FG51" s="9"/>
      <c r="FH51" s="9"/>
      <c r="FI51" s="9"/>
      <c r="FM51" s="9"/>
      <c r="FN51" s="9"/>
      <c r="FO51" s="9"/>
      <c r="FP51" s="9"/>
      <c r="FT51" s="9"/>
      <c r="FU51" s="9"/>
      <c r="FV51" s="9"/>
      <c r="FW51" s="9"/>
      <c r="GA51" s="9"/>
      <c r="GB51" s="9"/>
      <c r="GC51" s="9"/>
      <c r="GD51" s="9"/>
      <c r="GH51" s="9"/>
      <c r="GI51" s="9"/>
      <c r="GJ51" s="9"/>
      <c r="GK51" s="9"/>
    </row>
    <row r="52" spans="2:193" outlineLevel="1">
      <c r="B52" t="s">
        <v>28</v>
      </c>
      <c r="C52" t="s">
        <v>89</v>
      </c>
      <c r="E52" s="8"/>
      <c r="F52" t="s">
        <v>154</v>
      </c>
      <c r="G52" s="9">
        <v>0.1</v>
      </c>
      <c r="I52" s="8">
        <f t="shared" si="3"/>
        <v>0</v>
      </c>
      <c r="J52" s="10" cm="1">
        <f t="array" ref="J52">MAX(IF($M$3:$DF$3=$J$3,M52:DF52))</f>
        <v>0</v>
      </c>
      <c r="K52" s="10" cm="1">
        <f t="array" ref="K52">MAX(IF($M$3:$DF$3=$J$3,M52:DF52))</f>
        <v>0</v>
      </c>
      <c r="L52" s="8"/>
      <c r="O52" s="9"/>
      <c r="P52" s="9"/>
      <c r="Q52" s="9"/>
      <c r="R52" s="9"/>
      <c r="V52" s="9"/>
      <c r="W52" s="9"/>
      <c r="X52" s="9"/>
      <c r="Y52" s="9"/>
      <c r="AC52" s="34"/>
      <c r="AD52" s="34"/>
      <c r="AE52" s="34"/>
      <c r="AF52" s="34"/>
      <c r="AG52" s="35"/>
      <c r="AH52" s="35"/>
      <c r="AJ52" s="34"/>
      <c r="AK52" s="34"/>
      <c r="AL52" s="34"/>
      <c r="AM52" s="34"/>
      <c r="AN52" s="35"/>
      <c r="AO52" s="35"/>
      <c r="AQ52" s="34"/>
      <c r="AR52" s="34"/>
      <c r="AS52" s="34"/>
      <c r="AT52" s="34"/>
      <c r="AU52" s="35"/>
      <c r="AV52" s="35"/>
      <c r="AX52" s="34"/>
      <c r="AY52" s="34">
        <v>0.5</v>
      </c>
      <c r="AZ52" s="34"/>
      <c r="BA52" s="34">
        <v>0.5</v>
      </c>
      <c r="BB52" s="35"/>
      <c r="BC52" s="35"/>
      <c r="BE52" s="34"/>
      <c r="BF52" s="34">
        <v>0.5</v>
      </c>
      <c r="BG52" s="34"/>
      <c r="BH52" s="34">
        <v>0.5</v>
      </c>
      <c r="BI52" s="35"/>
      <c r="BJ52" s="35"/>
      <c r="BL52" s="34"/>
      <c r="BM52" s="34">
        <v>0.5</v>
      </c>
      <c r="BN52" s="34"/>
      <c r="BO52" s="34">
        <v>0.5</v>
      </c>
      <c r="BP52" s="35"/>
      <c r="BQ52" s="35"/>
      <c r="BS52" s="34"/>
      <c r="BT52" s="34">
        <v>0.5</v>
      </c>
      <c r="BU52" s="34"/>
      <c r="BV52" s="34">
        <v>0.5</v>
      </c>
      <c r="BW52" s="35"/>
      <c r="BX52" s="35"/>
      <c r="BZ52" s="34"/>
      <c r="CA52" s="34">
        <v>0.8</v>
      </c>
      <c r="CB52" s="34"/>
      <c r="CC52" s="34">
        <v>0.8</v>
      </c>
      <c r="CD52" s="35"/>
      <c r="CE52" s="35"/>
      <c r="CG52" s="34"/>
      <c r="CH52" s="34">
        <v>0.8</v>
      </c>
      <c r="CI52" s="34"/>
      <c r="CJ52" s="34">
        <v>0.8</v>
      </c>
      <c r="CK52" s="35"/>
      <c r="CL52" s="35"/>
      <c r="CN52" s="34"/>
      <c r="CO52" s="34">
        <v>0.8</v>
      </c>
      <c r="CP52" s="34"/>
      <c r="CQ52" s="34">
        <v>0.8</v>
      </c>
      <c r="CR52" s="35"/>
      <c r="CS52" s="35"/>
      <c r="CU52" s="34"/>
      <c r="CV52" s="34">
        <v>0.8</v>
      </c>
      <c r="CW52" s="34"/>
      <c r="CX52" s="34">
        <v>0.8</v>
      </c>
      <c r="DB52" s="9"/>
      <c r="DC52" s="9">
        <v>1</v>
      </c>
      <c r="DD52" s="9"/>
      <c r="DE52" s="9">
        <v>1</v>
      </c>
      <c r="DI52" s="9"/>
      <c r="DJ52" s="9"/>
      <c r="DK52" s="9"/>
      <c r="DL52" s="9"/>
      <c r="DP52" s="9"/>
      <c r="DQ52" s="9"/>
      <c r="DR52" s="9"/>
      <c r="DS52" s="9"/>
      <c r="DW52" s="9"/>
      <c r="DX52" s="9"/>
      <c r="DY52" s="9"/>
      <c r="DZ52" s="9"/>
      <c r="ED52" s="9"/>
      <c r="EE52" s="9"/>
      <c r="EF52" s="9"/>
      <c r="EG52" s="9"/>
      <c r="EK52" s="9"/>
      <c r="EL52" s="9"/>
      <c r="EM52" s="9"/>
      <c r="EN52" s="9"/>
      <c r="EO52" s="37"/>
      <c r="ER52" s="9"/>
      <c r="ES52" s="9"/>
      <c r="ET52" s="9"/>
      <c r="EU52" s="9"/>
      <c r="EY52" s="9"/>
      <c r="EZ52" s="9"/>
      <c r="FA52" s="9"/>
      <c r="FB52" s="9"/>
      <c r="FF52" s="9"/>
      <c r="FG52" s="9"/>
      <c r="FH52" s="9"/>
      <c r="FI52" s="9"/>
      <c r="FM52" s="9"/>
      <c r="FN52" s="9"/>
      <c r="FO52" s="9"/>
      <c r="FP52" s="9"/>
      <c r="FT52" s="9"/>
      <c r="FU52" s="9"/>
      <c r="FV52" s="9"/>
      <c r="FW52" s="9"/>
      <c r="GA52" s="9"/>
      <c r="GB52" s="9"/>
      <c r="GC52" s="9"/>
      <c r="GD52" s="9"/>
      <c r="GH52" s="9"/>
      <c r="GI52" s="9"/>
      <c r="GJ52" s="9"/>
      <c r="GK52" s="9"/>
    </row>
    <row r="53" spans="2:193" outlineLevel="1">
      <c r="B53" t="s">
        <v>28</v>
      </c>
      <c r="C53" t="s">
        <v>89</v>
      </c>
      <c r="E53" s="8"/>
      <c r="F53" t="s">
        <v>155</v>
      </c>
      <c r="G53" s="9">
        <v>0.1</v>
      </c>
      <c r="I53" s="8">
        <f t="shared" si="3"/>
        <v>0</v>
      </c>
      <c r="J53" s="10" cm="1">
        <f t="array" ref="J53">MAX(IF($M$3:$DF$3=$J$3,M53:DF53))</f>
        <v>0</v>
      </c>
      <c r="K53" s="10" cm="1">
        <f t="array" ref="K53">MAX(IF($M$3:$DF$3=$J$3,M53:DF53))</f>
        <v>0</v>
      </c>
      <c r="L53" s="8"/>
      <c r="O53" s="9"/>
      <c r="P53" s="9"/>
      <c r="Q53" s="9"/>
      <c r="R53" s="9"/>
      <c r="V53" s="9"/>
      <c r="W53" s="9"/>
      <c r="X53" s="9"/>
      <c r="Y53" s="9"/>
      <c r="AC53" s="34"/>
      <c r="AD53" s="34"/>
      <c r="AE53" s="34"/>
      <c r="AF53" s="34"/>
      <c r="AG53" s="35"/>
      <c r="AH53" s="35"/>
      <c r="AJ53" s="34"/>
      <c r="AK53" s="34"/>
      <c r="AL53" s="34"/>
      <c r="AM53" s="34"/>
      <c r="AN53" s="35"/>
      <c r="AO53" s="35"/>
      <c r="AQ53" s="34"/>
      <c r="AR53" s="34"/>
      <c r="AS53" s="34"/>
      <c r="AT53" s="34"/>
      <c r="AU53" s="35"/>
      <c r="AV53" s="35"/>
      <c r="AX53" s="34"/>
      <c r="AY53" s="34"/>
      <c r="AZ53" s="34"/>
      <c r="BA53" s="34"/>
      <c r="BB53" s="35"/>
      <c r="BC53" s="35"/>
      <c r="BE53" s="34"/>
      <c r="BF53" s="34">
        <v>0.5</v>
      </c>
      <c r="BG53" s="34"/>
      <c r="BH53" s="34">
        <v>0.5</v>
      </c>
      <c r="BI53" s="35"/>
      <c r="BJ53" s="35"/>
      <c r="BL53" s="34"/>
      <c r="BM53" s="34">
        <v>0.5</v>
      </c>
      <c r="BN53" s="34"/>
      <c r="BO53" s="34">
        <v>0.5</v>
      </c>
      <c r="BP53" s="35"/>
      <c r="BQ53" s="35"/>
      <c r="BS53" s="34"/>
      <c r="BT53" s="34">
        <v>0.5</v>
      </c>
      <c r="BU53" s="34"/>
      <c r="BV53" s="34">
        <v>0.5</v>
      </c>
      <c r="BW53" s="35"/>
      <c r="BX53" s="35"/>
      <c r="BZ53" s="34"/>
      <c r="CA53" s="34">
        <v>0.5</v>
      </c>
      <c r="CB53" s="34"/>
      <c r="CC53" s="34">
        <v>0.5</v>
      </c>
      <c r="CD53" s="35"/>
      <c r="CE53" s="35"/>
      <c r="CG53" s="34"/>
      <c r="CH53" s="34">
        <v>0.8</v>
      </c>
      <c r="CI53" s="34"/>
      <c r="CJ53" s="34">
        <v>0.8</v>
      </c>
      <c r="CK53" s="35"/>
      <c r="CL53" s="35"/>
      <c r="CN53" s="34"/>
      <c r="CO53" s="34">
        <v>0.8</v>
      </c>
      <c r="CP53" s="34"/>
      <c r="CQ53" s="34">
        <v>0.8</v>
      </c>
      <c r="CR53" s="35"/>
      <c r="CS53" s="35"/>
      <c r="CU53" s="34"/>
      <c r="CV53" s="34">
        <v>0.8</v>
      </c>
      <c r="CW53" s="34"/>
      <c r="CX53" s="34">
        <v>0.8</v>
      </c>
      <c r="DB53" s="9"/>
      <c r="DC53" s="9">
        <v>1</v>
      </c>
      <c r="DD53" s="9"/>
      <c r="DE53" s="9">
        <v>1</v>
      </c>
      <c r="DI53" s="9"/>
      <c r="DJ53" s="9"/>
      <c r="DK53" s="9"/>
      <c r="DL53" s="9"/>
      <c r="DP53" s="9"/>
      <c r="DQ53" s="9"/>
      <c r="DR53" s="9"/>
      <c r="DS53" s="9"/>
      <c r="DW53" s="9"/>
      <c r="DX53" s="9"/>
      <c r="DY53" s="9"/>
      <c r="DZ53" s="9"/>
      <c r="ED53" s="9"/>
      <c r="EE53" s="9"/>
      <c r="EF53" s="9"/>
      <c r="EG53" s="9"/>
      <c r="EK53" s="9"/>
      <c r="EL53" s="9"/>
      <c r="EM53" s="9"/>
      <c r="EN53" s="9"/>
      <c r="ER53" s="9"/>
      <c r="ES53" s="9"/>
      <c r="ET53" s="9"/>
      <c r="EU53" s="9"/>
      <c r="EY53" s="9"/>
      <c r="EZ53" s="9"/>
      <c r="FA53" s="9"/>
      <c r="FB53" s="9"/>
      <c r="FF53" s="9"/>
      <c r="FG53" s="9"/>
      <c r="FH53" s="9"/>
      <c r="FI53" s="9"/>
      <c r="FM53" s="9"/>
      <c r="FN53" s="9"/>
      <c r="FO53" s="9"/>
      <c r="FP53" s="9"/>
      <c r="FT53" s="9"/>
      <c r="FU53" s="9"/>
      <c r="FV53" s="9"/>
      <c r="FW53" s="9"/>
      <c r="GA53" s="9"/>
      <c r="GB53" s="9"/>
      <c r="GC53" s="9"/>
      <c r="GD53" s="9"/>
      <c r="GH53" s="9"/>
      <c r="GI53" s="9"/>
      <c r="GJ53" s="9"/>
      <c r="GK53" s="9"/>
    </row>
    <row r="54" spans="2:193">
      <c r="V54" s="9"/>
      <c r="W54" s="9"/>
      <c r="X54" s="9"/>
      <c r="Y54" s="9"/>
      <c r="AC54" s="35"/>
      <c r="AD54" s="35"/>
      <c r="AE54" s="35"/>
      <c r="AF54" s="35"/>
      <c r="AG54" s="35"/>
      <c r="AH54" s="35"/>
      <c r="AJ54" s="35"/>
      <c r="AK54" s="35"/>
      <c r="AL54" s="35"/>
      <c r="AM54" s="35"/>
      <c r="AN54" s="35"/>
      <c r="AO54" s="35"/>
      <c r="AQ54" s="35"/>
      <c r="AR54" s="35"/>
      <c r="AS54" s="35"/>
      <c r="AT54" s="35"/>
      <c r="AU54" s="35"/>
      <c r="AV54" s="35"/>
      <c r="AX54" s="35"/>
      <c r="AY54" s="35"/>
      <c r="AZ54" s="35"/>
      <c r="BA54" s="35"/>
      <c r="BB54" s="35"/>
      <c r="BC54" s="35"/>
      <c r="BE54" s="35"/>
      <c r="BF54" s="35"/>
      <c r="BG54" s="35"/>
      <c r="BH54" s="35"/>
      <c r="BI54" s="35"/>
      <c r="BJ54" s="35"/>
      <c r="BL54" s="35"/>
      <c r="BM54" s="35"/>
      <c r="BN54" s="35"/>
      <c r="BO54" s="35"/>
      <c r="BP54" s="35"/>
      <c r="BQ54" s="35"/>
      <c r="BS54" s="35"/>
      <c r="BT54" s="35"/>
      <c r="BU54" s="35"/>
      <c r="BV54" s="35"/>
      <c r="BW54" s="35"/>
      <c r="BX54" s="35"/>
      <c r="BZ54" s="35"/>
      <c r="CA54" s="35"/>
      <c r="CB54" s="35"/>
      <c r="CC54" s="35"/>
      <c r="CD54" s="35"/>
      <c r="CE54" s="35"/>
      <c r="CG54" s="35"/>
      <c r="CH54" s="35"/>
      <c r="CI54" s="35"/>
      <c r="CJ54" s="35"/>
      <c r="CK54" s="35"/>
      <c r="CL54" s="35"/>
      <c r="CN54" s="35"/>
      <c r="CO54" s="35"/>
      <c r="CP54" s="35"/>
      <c r="CQ54" s="35"/>
      <c r="CR54" s="35"/>
      <c r="CS54" s="35"/>
      <c r="CU54" s="35"/>
      <c r="CV54" s="35"/>
      <c r="CW54" s="35"/>
      <c r="CX54" s="35"/>
    </row>
    <row r="55" spans="2:193">
      <c r="B55" t="s">
        <v>27</v>
      </c>
      <c r="C55" t="s">
        <v>90</v>
      </c>
      <c r="D55" s="31">
        <v>45748</v>
      </c>
      <c r="E55" s="8">
        <v>6</v>
      </c>
      <c r="G55" s="9">
        <f>+SUM(G56:G65)</f>
        <v>1</v>
      </c>
      <c r="I55" s="11">
        <f>+SUM(I56:I65)</f>
        <v>8</v>
      </c>
      <c r="J55" s="10">
        <f>+SUMPRODUCT(G56:G65,J56:J65)</f>
        <v>0.215</v>
      </c>
      <c r="K55" s="10">
        <f>+SUMPRODUCT(G56:G65,K56:K65)</f>
        <v>0.215</v>
      </c>
      <c r="L55" s="8"/>
      <c r="N55" s="11">
        <f>+SUM(N56:N65)</f>
        <v>8</v>
      </c>
      <c r="U55" s="11">
        <f>+SUM(U56:U64)</f>
        <v>0</v>
      </c>
      <c r="V55" s="9"/>
      <c r="W55" s="9"/>
      <c r="X55" s="9"/>
      <c r="Y55" s="9"/>
      <c r="AB55" s="11">
        <f>+SUM(AB56:AB64)</f>
        <v>0</v>
      </c>
      <c r="AC55" s="35"/>
      <c r="AD55" s="35"/>
      <c r="AE55" s="35"/>
      <c r="AF55" s="35"/>
      <c r="AG55" s="35"/>
      <c r="AH55" s="35"/>
      <c r="AI55" s="11">
        <f>+SUM(AI56:AI64)</f>
        <v>0</v>
      </c>
      <c r="AJ55" s="35"/>
      <c r="AK55" s="35"/>
      <c r="AL55" s="35"/>
      <c r="AM55" s="35"/>
      <c r="AN55" s="35"/>
      <c r="AO55" s="35"/>
      <c r="AP55" s="11">
        <f>+SUM(AP56:AP64)</f>
        <v>0</v>
      </c>
      <c r="AQ55" s="35"/>
      <c r="AR55" s="35"/>
      <c r="AS55" s="35"/>
      <c r="AT55" s="35"/>
      <c r="AU55" s="35"/>
      <c r="AV55" s="35"/>
      <c r="AW55" s="11">
        <f>+SUM(AW56:AW64)</f>
        <v>0</v>
      </c>
      <c r="AX55" s="35"/>
      <c r="AY55" s="35"/>
      <c r="AZ55" s="35"/>
      <c r="BA55" s="35"/>
      <c r="BB55" s="35"/>
      <c r="BC55" s="35"/>
      <c r="BD55" s="11">
        <f>+SUM(BD56:BD64)</f>
        <v>0</v>
      </c>
      <c r="BE55" s="35"/>
      <c r="BF55" s="35"/>
      <c r="BG55" s="35"/>
      <c r="BH55" s="35"/>
      <c r="BI55" s="35"/>
      <c r="BJ55" s="35"/>
      <c r="BK55" s="11">
        <f>+SUM(BK56:BK64)</f>
        <v>0</v>
      </c>
      <c r="BL55" s="35"/>
      <c r="BM55" s="35"/>
      <c r="BN55" s="35"/>
      <c r="BO55" s="35"/>
      <c r="BP55" s="35"/>
      <c r="BQ55" s="35"/>
      <c r="BR55" s="11">
        <f>+SUM(BR56:BR64)</f>
        <v>0</v>
      </c>
      <c r="BS55" s="35"/>
      <c r="BT55" s="35"/>
      <c r="BU55" s="35"/>
      <c r="BV55" s="35"/>
      <c r="BW55" s="35"/>
      <c r="BX55" s="35"/>
      <c r="BY55" s="11">
        <f>+SUM(BY56:BY64)</f>
        <v>0</v>
      </c>
      <c r="BZ55" s="35"/>
      <c r="CA55" s="35"/>
      <c r="CB55" s="35"/>
      <c r="CC55" s="35"/>
      <c r="CD55" s="35"/>
      <c r="CE55" s="35"/>
      <c r="CF55" s="11">
        <f>+SUM(CF56:CF64)</f>
        <v>0</v>
      </c>
      <c r="CG55" s="35"/>
      <c r="CH55" s="35"/>
      <c r="CI55" s="35"/>
      <c r="CJ55" s="35"/>
      <c r="CK55" s="35"/>
      <c r="CL55" s="35"/>
      <c r="CM55" s="11">
        <f>+SUM(CM56:CM64)</f>
        <v>0</v>
      </c>
      <c r="CN55" s="35"/>
      <c r="CO55" s="35"/>
      <c r="CP55" s="35"/>
      <c r="CQ55" s="35"/>
      <c r="CR55" s="35"/>
      <c r="CS55" s="35"/>
      <c r="CT55" s="11">
        <f>+SUM(CT56:CT64)</f>
        <v>0</v>
      </c>
      <c r="CU55" s="35"/>
      <c r="CV55" s="35"/>
      <c r="CW55" s="35"/>
      <c r="CX55" s="35"/>
      <c r="DA55" s="11">
        <f>+SUM(DA56:DA64)</f>
        <v>0</v>
      </c>
      <c r="DH55" s="11">
        <f>+SUM(DH56:DH64)</f>
        <v>0</v>
      </c>
      <c r="DO55" s="11">
        <f>+SUM(DO56:DO64)</f>
        <v>0</v>
      </c>
      <c r="DV55" s="11">
        <f>+SUM(DV56:DV64)</f>
        <v>0</v>
      </c>
      <c r="EC55" s="11">
        <f>+SUM(EC56:EC64)</f>
        <v>0</v>
      </c>
      <c r="EJ55" s="11">
        <f>+SUM(EJ56:EJ64)</f>
        <v>0</v>
      </c>
      <c r="EQ55" s="11">
        <f>+SUM(EQ56:EQ64)</f>
        <v>0</v>
      </c>
      <c r="EX55" s="11">
        <f>+SUM(EX56:EX64)</f>
        <v>0</v>
      </c>
      <c r="FE55" s="11">
        <f>+SUM(FE56:FE64)</f>
        <v>0</v>
      </c>
      <c r="FL55" s="11">
        <f>+SUM(FL56:FL64)</f>
        <v>0</v>
      </c>
      <c r="FS55" s="11">
        <f>+SUM(FS56:FS64)</f>
        <v>0</v>
      </c>
      <c r="FZ55" s="11">
        <f>+SUM(FZ56:FZ64)</f>
        <v>0</v>
      </c>
      <c r="GG55" s="11">
        <f>+SUM(GG56:GG64)</f>
        <v>0</v>
      </c>
    </row>
    <row r="56" spans="2:193" outlineLevel="1">
      <c r="B56" t="s">
        <v>28</v>
      </c>
      <c r="C56" t="s">
        <v>90</v>
      </c>
      <c r="E56" s="8"/>
      <c r="F56" t="s">
        <v>91</v>
      </c>
      <c r="G56" s="9">
        <v>0.1</v>
      </c>
      <c r="I56" s="8">
        <f t="shared" ref="I56:I65" si="4">+SUMIF($M$3:$XA$3,I$3,$M56:$XA56)</f>
        <v>8</v>
      </c>
      <c r="J56" s="10" cm="1">
        <f t="array" ref="J56">MAX(IF($M$3:$DF$3=$J$3,M56:DF56))</f>
        <v>0.5</v>
      </c>
      <c r="K56" s="10" cm="1">
        <f t="array" ref="K56">MAX(IF($M$3:$DF$3=$J$3,M56:DF56))</f>
        <v>0.5</v>
      </c>
      <c r="L56" s="8"/>
      <c r="N56">
        <v>8</v>
      </c>
      <c r="O56" s="9">
        <v>0.5</v>
      </c>
      <c r="P56" s="9">
        <v>0.5</v>
      </c>
      <c r="Q56" s="9"/>
      <c r="R56" s="9">
        <v>0.5</v>
      </c>
      <c r="V56" s="9"/>
      <c r="W56" s="9"/>
      <c r="X56" s="9"/>
      <c r="Y56" s="9"/>
      <c r="Z56" s="9"/>
      <c r="AC56" s="9">
        <v>0.5</v>
      </c>
      <c r="AD56" s="9">
        <v>0.5</v>
      </c>
      <c r="AE56" s="9"/>
      <c r="AF56" s="9">
        <v>0.5</v>
      </c>
      <c r="AG56" s="35"/>
      <c r="AH56" s="35"/>
      <c r="AJ56" s="34"/>
      <c r="AK56" s="9">
        <v>0.8</v>
      </c>
      <c r="AL56" s="9"/>
      <c r="AM56" s="9">
        <v>0.8</v>
      </c>
      <c r="AN56" s="35"/>
      <c r="AO56" s="35"/>
      <c r="AQ56" s="34"/>
      <c r="AR56" s="9">
        <v>0.8</v>
      </c>
      <c r="AS56" s="9"/>
      <c r="AT56" s="9">
        <v>0.8</v>
      </c>
      <c r="AU56" s="35"/>
      <c r="AV56" s="35"/>
      <c r="AX56" s="34"/>
      <c r="AY56" s="9">
        <v>0.8</v>
      </c>
      <c r="AZ56" s="9"/>
      <c r="BA56" s="9">
        <v>0.8</v>
      </c>
      <c r="BB56" s="35"/>
      <c r="BC56" s="35"/>
      <c r="BE56" s="34"/>
      <c r="BF56" s="9">
        <v>0.8</v>
      </c>
      <c r="BG56" s="9"/>
      <c r="BH56" s="9">
        <v>0.8</v>
      </c>
      <c r="BI56" s="35"/>
      <c r="BJ56" s="35"/>
      <c r="BL56" s="34"/>
      <c r="BM56" s="9">
        <v>0.8</v>
      </c>
      <c r="BN56" s="9"/>
      <c r="BO56" s="9">
        <v>0.8</v>
      </c>
      <c r="BP56" s="35"/>
      <c r="BQ56" s="35"/>
      <c r="BS56" s="34"/>
      <c r="BT56" s="9">
        <v>0.8</v>
      </c>
      <c r="BU56" s="9"/>
      <c r="BV56" s="9">
        <v>0.8</v>
      </c>
      <c r="BW56" s="35"/>
      <c r="BX56" s="35"/>
      <c r="BZ56" s="34"/>
      <c r="CA56" s="9">
        <v>0.8</v>
      </c>
      <c r="CB56" s="9"/>
      <c r="CC56" s="9">
        <v>0.8</v>
      </c>
      <c r="CD56" s="35"/>
      <c r="CE56" s="35"/>
      <c r="CG56" s="34"/>
      <c r="CH56" s="9">
        <v>0.8</v>
      </c>
      <c r="CI56" s="9"/>
      <c r="CJ56" s="9">
        <v>0.8</v>
      </c>
      <c r="CK56" s="35"/>
      <c r="CL56" s="35"/>
      <c r="CN56" s="34"/>
      <c r="CO56" s="9">
        <v>0.8</v>
      </c>
      <c r="CP56" s="9"/>
      <c r="CQ56" s="9">
        <v>0.8</v>
      </c>
      <c r="CR56" s="35"/>
      <c r="CS56" s="35"/>
      <c r="CU56" s="34"/>
      <c r="CV56" s="9">
        <v>0.8</v>
      </c>
      <c r="CW56" s="9"/>
      <c r="CX56" s="9">
        <v>0.8</v>
      </c>
      <c r="DB56" s="9"/>
      <c r="DC56" s="9">
        <v>1</v>
      </c>
      <c r="DD56" s="9"/>
      <c r="DE56" s="9">
        <v>1</v>
      </c>
      <c r="DI56" s="9"/>
      <c r="DJ56" s="9"/>
      <c r="DK56" s="9"/>
      <c r="DL56" s="9"/>
      <c r="DP56" s="9"/>
      <c r="DQ56" s="9"/>
      <c r="DR56" s="9"/>
      <c r="DS56" s="9"/>
      <c r="DW56" s="9"/>
      <c r="DX56" s="9"/>
      <c r="DY56" s="9"/>
      <c r="DZ56" s="9"/>
      <c r="ED56" s="9"/>
      <c r="EE56" s="9"/>
      <c r="EF56" s="9"/>
      <c r="EG56" s="9"/>
      <c r="EK56" s="9"/>
      <c r="EL56" s="9"/>
      <c r="EM56" s="9"/>
      <c r="EN56" s="9"/>
      <c r="ER56" s="9"/>
      <c r="ES56" s="9">
        <v>1</v>
      </c>
      <c r="ET56" s="9"/>
      <c r="EU56" s="9">
        <v>1</v>
      </c>
      <c r="EY56" s="9"/>
      <c r="EZ56" s="9">
        <v>1</v>
      </c>
      <c r="FA56" s="9"/>
      <c r="FB56" s="9">
        <v>1</v>
      </c>
      <c r="FF56" s="9"/>
      <c r="FG56" s="9">
        <v>1</v>
      </c>
      <c r="FH56" s="9"/>
      <c r="FI56" s="9">
        <v>1</v>
      </c>
      <c r="FM56" s="9"/>
      <c r="FN56" s="9">
        <v>1</v>
      </c>
      <c r="FO56" s="9"/>
      <c r="FP56" s="9">
        <v>1</v>
      </c>
      <c r="FT56" s="9"/>
      <c r="FU56" s="9"/>
      <c r="FV56" s="9"/>
      <c r="FW56" s="9"/>
      <c r="GA56" s="9"/>
      <c r="GB56" s="9"/>
      <c r="GC56" s="9"/>
      <c r="GD56" s="9"/>
      <c r="GH56" s="9"/>
      <c r="GI56" s="9"/>
      <c r="GJ56" s="9"/>
      <c r="GK56" s="9"/>
    </row>
    <row r="57" spans="2:193" outlineLevel="1">
      <c r="B57" t="s">
        <v>28</v>
      </c>
      <c r="C57" t="s">
        <v>90</v>
      </c>
      <c r="E57" s="8"/>
      <c r="F57" t="s">
        <v>92</v>
      </c>
      <c r="G57" s="9">
        <v>0.1</v>
      </c>
      <c r="I57" s="8">
        <f t="shared" si="4"/>
        <v>0</v>
      </c>
      <c r="J57" s="10" cm="1">
        <f t="array" ref="J57">MAX(IF($M$3:$DF$3=$J$3,M57:DF57))</f>
        <v>0.5</v>
      </c>
      <c r="K57" s="10" cm="1">
        <f t="array" ref="K57">MAX(IF($M$3:$DF$3=$J$3,M57:DF57))</f>
        <v>0.5</v>
      </c>
      <c r="L57" s="8"/>
      <c r="O57" s="9">
        <v>0.5</v>
      </c>
      <c r="P57" s="9">
        <v>0.5</v>
      </c>
      <c r="Q57" s="9"/>
      <c r="R57" s="9">
        <v>0.5</v>
      </c>
      <c r="V57" s="9"/>
      <c r="W57" s="9"/>
      <c r="X57" s="9"/>
      <c r="Y57" s="9"/>
      <c r="Z57" s="9"/>
      <c r="AC57" s="9">
        <v>0.5</v>
      </c>
      <c r="AD57" s="9">
        <v>0.5</v>
      </c>
      <c r="AE57" s="9"/>
      <c r="AF57" s="9">
        <v>0.5</v>
      </c>
      <c r="AG57" s="35"/>
      <c r="AH57" s="35"/>
      <c r="AJ57" s="34"/>
      <c r="AK57" s="9">
        <v>0.5</v>
      </c>
      <c r="AL57" s="9"/>
      <c r="AM57" s="9">
        <v>0.5</v>
      </c>
      <c r="AN57" s="35"/>
      <c r="AO57" s="35"/>
      <c r="AQ57" s="34"/>
      <c r="AR57" s="9">
        <v>0.5</v>
      </c>
      <c r="AS57" s="9"/>
      <c r="AT57" s="9">
        <v>0.5</v>
      </c>
      <c r="AU57" s="35"/>
      <c r="AV57" s="35"/>
      <c r="AX57" s="34"/>
      <c r="AY57" s="9">
        <v>0.8</v>
      </c>
      <c r="AZ57" s="9"/>
      <c r="BA57" s="9">
        <v>0.8</v>
      </c>
      <c r="BB57" s="35"/>
      <c r="BC57" s="35"/>
      <c r="BE57" s="34"/>
      <c r="BF57" s="9">
        <v>0.8</v>
      </c>
      <c r="BG57" s="9"/>
      <c r="BH57" s="9">
        <v>0.8</v>
      </c>
      <c r="BI57" s="35"/>
      <c r="BJ57" s="35"/>
      <c r="BL57" s="34"/>
      <c r="BM57" s="9">
        <v>0.8</v>
      </c>
      <c r="BN57" s="9"/>
      <c r="BO57" s="9">
        <v>0.8</v>
      </c>
      <c r="BP57" s="35"/>
      <c r="BQ57" s="35"/>
      <c r="BS57" s="34"/>
      <c r="BT57" s="9">
        <v>0.8</v>
      </c>
      <c r="BU57" s="9"/>
      <c r="BV57" s="9">
        <v>0.8</v>
      </c>
      <c r="BW57" s="35"/>
      <c r="BX57" s="35"/>
      <c r="BZ57" s="34"/>
      <c r="CA57" s="9">
        <v>0.8</v>
      </c>
      <c r="CB57" s="9"/>
      <c r="CC57" s="9">
        <v>0.8</v>
      </c>
      <c r="CD57" s="35"/>
      <c r="CE57" s="35"/>
      <c r="CG57" s="34"/>
      <c r="CH57" s="9">
        <v>0.8</v>
      </c>
      <c r="CI57" s="9"/>
      <c r="CJ57" s="9">
        <v>0.8</v>
      </c>
      <c r="CK57" s="35"/>
      <c r="CL57" s="35"/>
      <c r="CN57" s="34"/>
      <c r="CO57" s="9">
        <v>0.8</v>
      </c>
      <c r="CP57" s="9"/>
      <c r="CQ57" s="9">
        <v>0.8</v>
      </c>
      <c r="CR57" s="35"/>
      <c r="CS57" s="35"/>
      <c r="CU57" s="34"/>
      <c r="CV57" s="9">
        <v>0.8</v>
      </c>
      <c r="CW57" s="9"/>
      <c r="CX57" s="9">
        <v>0.8</v>
      </c>
      <c r="DB57" s="9"/>
      <c r="DC57" s="9">
        <v>0.8</v>
      </c>
      <c r="DD57" s="9"/>
      <c r="DE57" s="9">
        <v>0.8</v>
      </c>
      <c r="DI57" s="9"/>
      <c r="DJ57" s="9"/>
      <c r="DK57" s="9"/>
      <c r="DL57" s="9"/>
      <c r="DP57" s="9"/>
      <c r="DQ57" s="9"/>
      <c r="DR57" s="9"/>
      <c r="DS57" s="9"/>
      <c r="DW57" s="9"/>
      <c r="DX57" s="9"/>
      <c r="DY57" s="9"/>
      <c r="DZ57" s="9"/>
      <c r="ED57" s="9"/>
      <c r="EE57" s="9"/>
      <c r="EF57" s="9"/>
      <c r="EG57" s="9"/>
      <c r="EK57" s="9"/>
      <c r="EL57" s="9"/>
      <c r="EM57" s="9"/>
      <c r="EN57" s="9"/>
      <c r="ER57" s="9"/>
      <c r="ES57" s="9">
        <v>0.8</v>
      </c>
      <c r="ET57" s="9"/>
      <c r="EU57" s="9">
        <v>0.8</v>
      </c>
      <c r="EY57" s="9"/>
      <c r="EZ57" s="9">
        <v>1</v>
      </c>
      <c r="FA57" s="9"/>
      <c r="FB57" s="9">
        <v>1</v>
      </c>
      <c r="FF57" s="9"/>
      <c r="FG57" s="9">
        <v>1</v>
      </c>
      <c r="FH57" s="9"/>
      <c r="FI57" s="9">
        <v>1</v>
      </c>
      <c r="FM57" s="9"/>
      <c r="FN57" s="9">
        <v>1</v>
      </c>
      <c r="FO57" s="9"/>
      <c r="FP57" s="9">
        <v>1</v>
      </c>
      <c r="FT57" s="9"/>
      <c r="FU57" s="9"/>
      <c r="FV57" s="9"/>
      <c r="FW57" s="9"/>
      <c r="GA57" s="9"/>
      <c r="GB57" s="9"/>
      <c r="GC57" s="9"/>
      <c r="GD57" s="9"/>
      <c r="GH57" s="9"/>
      <c r="GI57" s="9"/>
      <c r="GJ57" s="9"/>
      <c r="GK57" s="9"/>
    </row>
    <row r="58" spans="2:193" outlineLevel="1">
      <c r="B58" t="s">
        <v>28</v>
      </c>
      <c r="C58" t="s">
        <v>90</v>
      </c>
      <c r="E58" s="8"/>
      <c r="F58" t="s">
        <v>93</v>
      </c>
      <c r="G58" s="9">
        <v>0.15</v>
      </c>
      <c r="I58" s="8">
        <f t="shared" si="4"/>
        <v>0</v>
      </c>
      <c r="J58" s="10" cm="1">
        <f t="array" ref="J58">MAX(IF($M$3:$DF$3=$J$3,M58:DF58))</f>
        <v>0.5</v>
      </c>
      <c r="K58" s="10" cm="1">
        <f t="array" ref="K58">MAX(IF($M$3:$DF$3=$J$3,M58:DF58))</f>
        <v>0.5</v>
      </c>
      <c r="L58" s="8"/>
      <c r="M58" s="26">
        <v>0</v>
      </c>
      <c r="O58" s="9">
        <v>0.5</v>
      </c>
      <c r="P58" s="9">
        <v>0.5</v>
      </c>
      <c r="Q58" s="9">
        <v>0.1</v>
      </c>
      <c r="R58" s="9">
        <v>0.5</v>
      </c>
      <c r="V58" s="9"/>
      <c r="W58" s="9"/>
      <c r="X58" s="9"/>
      <c r="Y58" s="9"/>
      <c r="Z58" s="9"/>
      <c r="AC58" s="9">
        <v>0.5</v>
      </c>
      <c r="AD58" s="9">
        <v>0.5</v>
      </c>
      <c r="AE58" s="9">
        <v>0.1</v>
      </c>
      <c r="AF58" s="9">
        <v>0.5</v>
      </c>
      <c r="AG58" s="35"/>
      <c r="AH58" s="35"/>
      <c r="AJ58" s="34"/>
      <c r="AK58" s="9">
        <v>0.5</v>
      </c>
      <c r="AL58" s="9"/>
      <c r="AM58" s="9">
        <v>0.5</v>
      </c>
      <c r="AN58" s="35"/>
      <c r="AO58" s="35"/>
      <c r="AQ58" s="34"/>
      <c r="AR58" s="9">
        <v>0.5</v>
      </c>
      <c r="AS58" s="9"/>
      <c r="AT58" s="9">
        <v>0.5</v>
      </c>
      <c r="AU58" s="35"/>
      <c r="AV58" s="35"/>
      <c r="AX58" s="34"/>
      <c r="AY58" s="9">
        <v>0.5</v>
      </c>
      <c r="AZ58" s="9"/>
      <c r="BA58" s="9">
        <v>0.5</v>
      </c>
      <c r="BB58" s="35"/>
      <c r="BC58" s="35"/>
      <c r="BE58" s="34"/>
      <c r="BF58" s="9">
        <v>0.5</v>
      </c>
      <c r="BG58" s="9"/>
      <c r="BH58" s="9">
        <v>0.5</v>
      </c>
      <c r="BI58" s="35"/>
      <c r="BJ58" s="35"/>
      <c r="BL58" s="34"/>
      <c r="BM58" s="9">
        <v>0.8</v>
      </c>
      <c r="BN58" s="9"/>
      <c r="BO58" s="9">
        <v>0.8</v>
      </c>
      <c r="BP58" s="35"/>
      <c r="BQ58" s="35"/>
      <c r="BS58" s="34"/>
      <c r="BT58" s="9">
        <v>0.8</v>
      </c>
      <c r="BU58" s="9"/>
      <c r="BV58" s="9">
        <v>0.8</v>
      </c>
      <c r="BW58" s="35"/>
      <c r="BX58" s="35"/>
      <c r="BZ58" s="34"/>
      <c r="CA58" s="9">
        <v>0.8</v>
      </c>
      <c r="CB58" s="9"/>
      <c r="CC58" s="9">
        <v>0.8</v>
      </c>
      <c r="CD58" s="35"/>
      <c r="CE58" s="35"/>
      <c r="CG58" s="34"/>
      <c r="CH58" s="9">
        <v>0.8</v>
      </c>
      <c r="CI58" s="9"/>
      <c r="CJ58" s="9">
        <v>0.8</v>
      </c>
      <c r="CK58" s="35"/>
      <c r="CL58" s="35"/>
      <c r="CN58" s="34"/>
      <c r="CO58" s="9">
        <v>0.8</v>
      </c>
      <c r="CP58" s="9"/>
      <c r="CQ58" s="9">
        <v>0.8</v>
      </c>
      <c r="CR58" s="35"/>
      <c r="CS58" s="35"/>
      <c r="CU58" s="34"/>
      <c r="CV58" s="9">
        <v>0.8</v>
      </c>
      <c r="CW58" s="9"/>
      <c r="CX58" s="9">
        <v>0.8</v>
      </c>
      <c r="DB58" s="9"/>
      <c r="DC58" s="9">
        <v>0.8</v>
      </c>
      <c r="DD58" s="9"/>
      <c r="DE58" s="9">
        <v>0.8</v>
      </c>
      <c r="DI58" s="9"/>
      <c r="DJ58" s="9"/>
      <c r="DK58" s="9"/>
      <c r="DL58" s="9"/>
      <c r="DP58" s="9"/>
      <c r="DQ58" s="9"/>
      <c r="DR58" s="9"/>
      <c r="DS58" s="9"/>
      <c r="DW58" s="9"/>
      <c r="DX58" s="9"/>
      <c r="DY58" s="9"/>
      <c r="DZ58" s="9"/>
      <c r="ED58" s="9"/>
      <c r="EE58" s="9"/>
      <c r="EF58" s="9"/>
      <c r="EG58" s="9"/>
      <c r="EK58" s="9"/>
      <c r="EL58" s="9"/>
      <c r="EM58" s="9"/>
      <c r="EN58" s="9"/>
      <c r="ER58" s="9"/>
      <c r="ES58" s="9">
        <v>0.8</v>
      </c>
      <c r="ET58" s="9"/>
      <c r="EU58" s="9">
        <v>0.8</v>
      </c>
      <c r="EY58" s="9"/>
      <c r="EZ58" s="9">
        <v>1</v>
      </c>
      <c r="FA58" s="9"/>
      <c r="FB58" s="9">
        <v>1</v>
      </c>
      <c r="FF58" s="9"/>
      <c r="FG58" s="9">
        <v>1</v>
      </c>
      <c r="FH58" s="9"/>
      <c r="FI58" s="9">
        <v>1</v>
      </c>
      <c r="FM58" s="9"/>
      <c r="FN58" s="9">
        <v>1</v>
      </c>
      <c r="FO58" s="9"/>
      <c r="FP58" s="9">
        <v>1</v>
      </c>
      <c r="FT58" s="9"/>
      <c r="FU58" s="9"/>
      <c r="FV58" s="9"/>
      <c r="FW58" s="9"/>
      <c r="GA58" s="9"/>
      <c r="GB58" s="9"/>
      <c r="GC58" s="9"/>
      <c r="GD58" s="9"/>
      <c r="GH58" s="9"/>
      <c r="GI58" s="9"/>
      <c r="GJ58" s="9"/>
      <c r="GK58" s="9"/>
    </row>
    <row r="59" spans="2:193" outlineLevel="1">
      <c r="B59" t="s">
        <v>28</v>
      </c>
      <c r="C59" t="s">
        <v>90</v>
      </c>
      <c r="E59" s="8"/>
      <c r="F59" t="s">
        <v>94</v>
      </c>
      <c r="G59" s="9">
        <v>0.1</v>
      </c>
      <c r="I59" s="8">
        <f t="shared" si="4"/>
        <v>0</v>
      </c>
      <c r="J59" s="10" cm="1">
        <f t="array" ref="J59">MAX(IF($M$3:$DF$3=$J$3,M59:DF59))</f>
        <v>0.4</v>
      </c>
      <c r="K59" s="10" cm="1">
        <f t="array" ref="K59">MAX(IF($M$3:$DF$3=$J$3,M59:DF59))</f>
        <v>0.4</v>
      </c>
      <c r="L59" s="8"/>
      <c r="O59" s="9">
        <v>0.4</v>
      </c>
      <c r="P59" s="18">
        <v>0.5</v>
      </c>
      <c r="Q59" s="9"/>
      <c r="R59" s="18">
        <v>0.5</v>
      </c>
      <c r="V59" s="9"/>
      <c r="W59" s="9"/>
      <c r="X59" s="9"/>
      <c r="Y59" s="9"/>
      <c r="AC59" s="9">
        <v>0.4</v>
      </c>
      <c r="AD59" s="34">
        <v>0.5</v>
      </c>
      <c r="AE59" s="9"/>
      <c r="AF59" s="34">
        <v>0.5</v>
      </c>
      <c r="AG59" s="35"/>
      <c r="AH59" s="35"/>
      <c r="AJ59" s="34"/>
      <c r="AK59" s="34">
        <v>0.5</v>
      </c>
      <c r="AL59" s="9"/>
      <c r="AM59" s="34">
        <v>0.5</v>
      </c>
      <c r="AN59" s="35"/>
      <c r="AO59" s="35"/>
      <c r="AQ59" s="34"/>
      <c r="AR59" s="34">
        <v>0.5</v>
      </c>
      <c r="AS59" s="9"/>
      <c r="AT59" s="34">
        <v>0.5</v>
      </c>
      <c r="AU59" s="35"/>
      <c r="AV59" s="35"/>
      <c r="AX59" s="34"/>
      <c r="AY59" s="34">
        <v>0.5</v>
      </c>
      <c r="AZ59" s="9"/>
      <c r="BA59" s="34">
        <v>0.5</v>
      </c>
      <c r="BB59" s="35"/>
      <c r="BC59" s="35"/>
      <c r="BE59" s="34"/>
      <c r="BF59" s="34">
        <v>0.5</v>
      </c>
      <c r="BG59" s="9"/>
      <c r="BH59" s="34">
        <v>0.5</v>
      </c>
      <c r="BI59" s="35"/>
      <c r="BJ59" s="35"/>
      <c r="BL59" s="34"/>
      <c r="BM59" s="34">
        <v>0.5</v>
      </c>
      <c r="BN59" s="9"/>
      <c r="BO59" s="34">
        <v>0.5</v>
      </c>
      <c r="BP59" s="35"/>
      <c r="BQ59" s="35"/>
      <c r="BS59" s="34"/>
      <c r="BT59" s="34">
        <v>0.5</v>
      </c>
      <c r="BU59" s="9"/>
      <c r="BV59" s="34">
        <v>0.5</v>
      </c>
      <c r="BW59" s="35"/>
      <c r="BX59" s="35"/>
      <c r="BZ59" s="34"/>
      <c r="CA59" s="9">
        <v>0.8</v>
      </c>
      <c r="CB59" s="9"/>
      <c r="CC59" s="9">
        <v>0.8</v>
      </c>
      <c r="CD59" s="35"/>
      <c r="CE59" s="35"/>
      <c r="CG59" s="34"/>
      <c r="CH59" s="9">
        <v>0.8</v>
      </c>
      <c r="CI59" s="9"/>
      <c r="CJ59" s="9">
        <v>0.8</v>
      </c>
      <c r="CK59" s="35"/>
      <c r="CL59" s="35"/>
      <c r="CN59" s="34"/>
      <c r="CO59" s="9">
        <v>0.8</v>
      </c>
      <c r="CP59" s="9"/>
      <c r="CQ59" s="9">
        <v>0.8</v>
      </c>
      <c r="CR59" s="35"/>
      <c r="CS59" s="35"/>
      <c r="CU59" s="34"/>
      <c r="CV59" s="9">
        <v>0.8</v>
      </c>
      <c r="CW59" s="9"/>
      <c r="CX59" s="9">
        <v>0.8</v>
      </c>
      <c r="DB59" s="9"/>
      <c r="DC59" s="9">
        <v>0.8</v>
      </c>
      <c r="DD59" s="9"/>
      <c r="DE59" s="9">
        <v>0.8</v>
      </c>
      <c r="DI59" s="9"/>
      <c r="DJ59" s="9"/>
      <c r="DK59" s="9"/>
      <c r="DL59" s="9"/>
      <c r="DP59" s="9"/>
      <c r="DQ59" s="9"/>
      <c r="DR59" s="9"/>
      <c r="DS59" s="9"/>
      <c r="DW59" s="9"/>
      <c r="DX59" s="9"/>
      <c r="DY59" s="9"/>
      <c r="DZ59" s="9"/>
      <c r="ED59" s="9"/>
      <c r="EE59" s="9"/>
      <c r="EF59" s="9"/>
      <c r="EG59" s="9"/>
      <c r="EK59" s="9"/>
      <c r="EL59" s="9"/>
      <c r="EM59" s="9"/>
      <c r="EN59" s="9"/>
      <c r="ER59" s="9"/>
      <c r="ES59" s="9">
        <v>0.8</v>
      </c>
      <c r="ET59" s="9"/>
      <c r="EU59" s="9">
        <v>0.8</v>
      </c>
      <c r="EY59" s="9"/>
      <c r="EZ59" s="9">
        <v>0.8</v>
      </c>
      <c r="FA59" s="9"/>
      <c r="FB59" s="9">
        <v>0.8</v>
      </c>
      <c r="FF59" s="9"/>
      <c r="FG59" s="9">
        <v>1</v>
      </c>
      <c r="FH59" s="9"/>
      <c r="FI59" s="9">
        <v>1</v>
      </c>
      <c r="FM59" s="9"/>
      <c r="FN59" s="9">
        <v>1</v>
      </c>
      <c r="FO59" s="9"/>
      <c r="FP59" s="9">
        <v>1</v>
      </c>
      <c r="FT59" s="9"/>
      <c r="FU59" s="9"/>
      <c r="FV59" s="9"/>
      <c r="FW59" s="9"/>
      <c r="GA59" s="9"/>
      <c r="GB59" s="9"/>
      <c r="GC59" s="9"/>
      <c r="GD59" s="9"/>
      <c r="GH59" s="9"/>
      <c r="GI59" s="9"/>
      <c r="GJ59" s="9"/>
      <c r="GK59" s="9"/>
    </row>
    <row r="60" spans="2:193" outlineLevel="1">
      <c r="B60" t="s">
        <v>28</v>
      </c>
      <c r="C60" t="s">
        <v>90</v>
      </c>
      <c r="E60" s="8"/>
      <c r="F60" t="s">
        <v>95</v>
      </c>
      <c r="G60" s="9">
        <v>0.1</v>
      </c>
      <c r="I60" s="8">
        <f t="shared" si="4"/>
        <v>0</v>
      </c>
      <c r="J60" s="10" cm="1">
        <f t="array" ref="J60">MAX(IF($M$3:$DF$3=$J$3,M60:DF60))</f>
        <v>0</v>
      </c>
      <c r="K60" s="10" cm="1">
        <f t="array" ref="K60">MAX(IF($M$3:$DF$3=$J$3,M60:DF60))</f>
        <v>0</v>
      </c>
      <c r="L60" s="8"/>
      <c r="O60" s="9"/>
      <c r="P60" s="9"/>
      <c r="Q60" s="9"/>
      <c r="R60" s="9"/>
      <c r="V60" s="9"/>
      <c r="W60" s="9"/>
      <c r="X60" s="9"/>
      <c r="Y60" s="9"/>
      <c r="AC60" s="34"/>
      <c r="AD60" s="34">
        <v>0.5</v>
      </c>
      <c r="AE60" s="34"/>
      <c r="AF60" s="34">
        <v>0.5</v>
      </c>
      <c r="AG60" s="35"/>
      <c r="AH60" s="35"/>
      <c r="AJ60" s="34"/>
      <c r="AK60" s="34">
        <v>0.5</v>
      </c>
      <c r="AL60" s="34"/>
      <c r="AM60" s="34">
        <v>0.5</v>
      </c>
      <c r="AN60" s="35"/>
      <c r="AO60" s="35"/>
      <c r="AQ60" s="34"/>
      <c r="AR60" s="34">
        <v>0.5</v>
      </c>
      <c r="AS60" s="34"/>
      <c r="AT60" s="34">
        <v>0.5</v>
      </c>
      <c r="AU60" s="35"/>
      <c r="AV60" s="35"/>
      <c r="AX60" s="34"/>
      <c r="AY60" s="34">
        <v>0.5</v>
      </c>
      <c r="AZ60" s="34"/>
      <c r="BA60" s="34">
        <v>0.5</v>
      </c>
      <c r="BB60" s="35"/>
      <c r="BC60" s="35"/>
      <c r="BE60" s="34"/>
      <c r="BF60" s="34">
        <v>0.5</v>
      </c>
      <c r="BG60" s="34"/>
      <c r="BH60" s="34">
        <v>0.5</v>
      </c>
      <c r="BI60" s="35"/>
      <c r="BJ60" s="35"/>
      <c r="BL60" s="34"/>
      <c r="BM60" s="34">
        <v>0.5</v>
      </c>
      <c r="BN60" s="34"/>
      <c r="BO60" s="34">
        <v>0.5</v>
      </c>
      <c r="BP60" s="35"/>
      <c r="BQ60" s="35"/>
      <c r="BS60" s="34"/>
      <c r="BT60" s="34">
        <v>0.5</v>
      </c>
      <c r="BU60" s="34"/>
      <c r="BV60" s="34">
        <v>0.5</v>
      </c>
      <c r="BW60" s="35"/>
      <c r="BX60" s="35"/>
      <c r="BZ60" s="34"/>
      <c r="CA60" s="34">
        <v>0.5</v>
      </c>
      <c r="CB60" s="34"/>
      <c r="CC60" s="34">
        <v>0.5</v>
      </c>
      <c r="CD60" s="35"/>
      <c r="CE60" s="35"/>
      <c r="CG60" s="34"/>
      <c r="CH60" s="34">
        <v>0.5</v>
      </c>
      <c r="CI60" s="34"/>
      <c r="CJ60" s="34">
        <v>0.5</v>
      </c>
      <c r="CK60" s="35"/>
      <c r="CL60" s="35"/>
      <c r="CN60" s="34"/>
      <c r="CO60" s="9">
        <v>0.8</v>
      </c>
      <c r="CP60" s="9"/>
      <c r="CQ60" s="9">
        <v>0.8</v>
      </c>
      <c r="CR60" s="35"/>
      <c r="CS60" s="35"/>
      <c r="CU60" s="34"/>
      <c r="CV60" s="9">
        <v>0.8</v>
      </c>
      <c r="CW60" s="9"/>
      <c r="CX60" s="9">
        <v>0.8</v>
      </c>
      <c r="DB60" s="9"/>
      <c r="DC60" s="9">
        <v>0.8</v>
      </c>
      <c r="DD60" s="9"/>
      <c r="DE60" s="9">
        <v>0.8</v>
      </c>
      <c r="DI60" s="9"/>
      <c r="DJ60" s="9"/>
      <c r="DK60" s="9"/>
      <c r="DL60" s="9"/>
      <c r="DP60" s="9"/>
      <c r="DQ60" s="9"/>
      <c r="DR60" s="9"/>
      <c r="DS60" s="9"/>
      <c r="DW60" s="9"/>
      <c r="DX60" s="9"/>
      <c r="DY60" s="9"/>
      <c r="DZ60" s="9"/>
      <c r="ED60" s="9"/>
      <c r="EE60" s="9"/>
      <c r="EF60" s="9"/>
      <c r="EG60" s="9"/>
      <c r="EK60" s="9"/>
      <c r="EL60" s="9"/>
      <c r="EM60" s="9"/>
      <c r="EN60" s="9"/>
      <c r="ER60" s="9"/>
      <c r="ES60" s="9">
        <v>0.8</v>
      </c>
      <c r="ET60" s="9"/>
      <c r="EU60" s="9">
        <v>0.8</v>
      </c>
      <c r="EV60" t="s">
        <v>193</v>
      </c>
      <c r="EY60" s="9"/>
      <c r="EZ60" s="9">
        <v>0.8</v>
      </c>
      <c r="FA60" s="9"/>
      <c r="FB60" s="9">
        <v>0.8</v>
      </c>
      <c r="FC60" t="s">
        <v>192</v>
      </c>
      <c r="FF60" s="9"/>
      <c r="FG60" s="9">
        <v>1</v>
      </c>
      <c r="FH60" s="9"/>
      <c r="FI60" s="9">
        <v>1</v>
      </c>
      <c r="FJ60" t="s">
        <v>193</v>
      </c>
      <c r="FM60" s="9"/>
      <c r="FN60" s="9">
        <v>1</v>
      </c>
      <c r="FO60" s="9"/>
      <c r="FP60" s="9">
        <v>1</v>
      </c>
      <c r="FT60" s="9"/>
      <c r="FU60" s="9"/>
      <c r="FV60" s="9"/>
      <c r="FW60" s="9"/>
      <c r="GA60" s="9"/>
      <c r="GB60" s="9"/>
      <c r="GC60" s="9"/>
      <c r="GD60" s="9"/>
      <c r="GH60" s="9"/>
      <c r="GI60" s="9"/>
      <c r="GJ60" s="9"/>
      <c r="GK60" s="9"/>
    </row>
    <row r="61" spans="2:193" outlineLevel="1">
      <c r="B61" t="s">
        <v>28</v>
      </c>
      <c r="C61" t="s">
        <v>90</v>
      </c>
      <c r="E61" s="8"/>
      <c r="F61" t="s">
        <v>96</v>
      </c>
      <c r="G61" s="9">
        <v>0.15</v>
      </c>
      <c r="I61" s="8">
        <f t="shared" si="4"/>
        <v>0</v>
      </c>
      <c r="J61" s="10" cm="1">
        <f t="array" ref="J61">MAX(IF($M$3:$DF$3=$J$3,M61:DF61))</f>
        <v>0</v>
      </c>
      <c r="K61" s="10" cm="1">
        <f t="array" ref="K61">MAX(IF($M$3:$DF$3=$J$3,M61:DF61))</f>
        <v>0</v>
      </c>
      <c r="L61" s="8"/>
      <c r="O61" s="9"/>
      <c r="P61" s="9"/>
      <c r="Q61" s="9"/>
      <c r="R61" s="9"/>
      <c r="V61" s="9"/>
      <c r="W61" s="9"/>
      <c r="X61" s="9"/>
      <c r="Y61" s="9"/>
      <c r="AC61" s="34"/>
      <c r="AD61" s="34"/>
      <c r="AE61" s="34"/>
      <c r="AF61" s="34"/>
      <c r="AG61" s="35"/>
      <c r="AH61" s="35"/>
      <c r="AJ61" s="34"/>
      <c r="AK61" s="34"/>
      <c r="AL61" s="34"/>
      <c r="AM61" s="34"/>
      <c r="AN61" s="35"/>
      <c r="AO61" s="35"/>
      <c r="AQ61" s="34"/>
      <c r="AR61" s="34">
        <v>0.5</v>
      </c>
      <c r="AS61" s="34"/>
      <c r="AT61" s="34">
        <v>0.5</v>
      </c>
      <c r="AU61" s="35"/>
      <c r="AV61" s="35"/>
      <c r="AX61" s="34"/>
      <c r="AY61" s="34">
        <v>0.5</v>
      </c>
      <c r="AZ61" s="34"/>
      <c r="BA61" s="34">
        <v>0.5</v>
      </c>
      <c r="BB61" s="35"/>
      <c r="BC61" s="35"/>
      <c r="BE61" s="34"/>
      <c r="BF61" s="34">
        <v>0.5</v>
      </c>
      <c r="BG61" s="34"/>
      <c r="BH61" s="34">
        <v>0.5</v>
      </c>
      <c r="BI61" s="35"/>
      <c r="BJ61" s="35"/>
      <c r="BL61" s="34"/>
      <c r="BM61" s="34">
        <v>0.5</v>
      </c>
      <c r="BN61" s="34"/>
      <c r="BO61" s="34">
        <v>0.5</v>
      </c>
      <c r="BP61" s="35"/>
      <c r="BQ61" s="35"/>
      <c r="BS61" s="34"/>
      <c r="BT61" s="34">
        <v>0.5</v>
      </c>
      <c r="BU61" s="34"/>
      <c r="BV61" s="34">
        <v>0.5</v>
      </c>
      <c r="BW61" s="35"/>
      <c r="BX61" s="35"/>
      <c r="BZ61" s="34"/>
      <c r="CA61" s="34">
        <v>0.5</v>
      </c>
      <c r="CB61" s="34"/>
      <c r="CC61" s="34">
        <v>0.5</v>
      </c>
      <c r="CD61" s="35"/>
      <c r="CE61" s="35"/>
      <c r="CG61" s="34"/>
      <c r="CH61" s="34">
        <v>0.5</v>
      </c>
      <c r="CI61" s="34"/>
      <c r="CJ61" s="34">
        <v>0.5</v>
      </c>
      <c r="CK61" s="35"/>
      <c r="CL61" s="35"/>
      <c r="CN61" s="34"/>
      <c r="CO61" s="34">
        <v>0.5</v>
      </c>
      <c r="CP61" s="34"/>
      <c r="CQ61" s="34">
        <v>0.5</v>
      </c>
      <c r="CR61" s="35"/>
      <c r="CS61" s="35"/>
      <c r="CU61" s="34"/>
      <c r="CV61" s="9">
        <v>0.8</v>
      </c>
      <c r="CW61" s="9"/>
      <c r="CX61" s="9">
        <v>0.8</v>
      </c>
      <c r="DB61" s="9"/>
      <c r="DC61" s="9">
        <v>0.8</v>
      </c>
      <c r="DD61" s="9"/>
      <c r="DE61" s="9">
        <v>0.8</v>
      </c>
      <c r="DI61" s="9"/>
      <c r="DJ61" s="9"/>
      <c r="DK61" s="9"/>
      <c r="DL61" s="9"/>
      <c r="DP61" s="9"/>
      <c r="DQ61" s="9"/>
      <c r="DR61" s="9"/>
      <c r="DS61" s="9"/>
      <c r="DW61" s="9"/>
      <c r="DX61" s="9"/>
      <c r="DY61" s="9"/>
      <c r="DZ61" s="9"/>
      <c r="ED61" s="9"/>
      <c r="EE61" s="9"/>
      <c r="EF61" s="9"/>
      <c r="EG61" s="9"/>
      <c r="EK61" s="9"/>
      <c r="EL61" s="9"/>
      <c r="EM61" s="9"/>
      <c r="EN61" s="9"/>
      <c r="ER61" s="9"/>
      <c r="ES61" s="9">
        <v>0.8</v>
      </c>
      <c r="ET61" s="9"/>
      <c r="EU61" s="9">
        <v>0.8</v>
      </c>
      <c r="EY61" s="9"/>
      <c r="EZ61" s="9">
        <v>0.8</v>
      </c>
      <c r="FA61" s="9"/>
      <c r="FB61" s="9">
        <v>0.8</v>
      </c>
      <c r="FF61" s="9"/>
      <c r="FG61" s="9">
        <v>1</v>
      </c>
      <c r="FH61" s="9"/>
      <c r="FI61" s="9">
        <v>1</v>
      </c>
      <c r="FM61" s="9"/>
      <c r="FN61" s="9">
        <v>1</v>
      </c>
      <c r="FO61" s="9"/>
      <c r="FP61" s="9">
        <v>1</v>
      </c>
      <c r="FT61" s="9"/>
      <c r="FU61" s="9"/>
      <c r="FV61" s="9"/>
      <c r="FW61" s="9"/>
      <c r="GA61" s="9"/>
      <c r="GB61" s="9"/>
      <c r="GC61" s="9"/>
      <c r="GD61" s="9"/>
      <c r="GH61" s="9"/>
      <c r="GI61" s="9"/>
      <c r="GJ61" s="9"/>
      <c r="GK61" s="9"/>
    </row>
    <row r="62" spans="2:193" outlineLevel="1">
      <c r="B62" t="s">
        <v>28</v>
      </c>
      <c r="C62" t="s">
        <v>90</v>
      </c>
      <c r="E62" s="8"/>
      <c r="F62" t="s">
        <v>97</v>
      </c>
      <c r="G62" s="9">
        <v>0.1</v>
      </c>
      <c r="I62" s="8">
        <f t="shared" si="4"/>
        <v>0</v>
      </c>
      <c r="J62" s="10" cm="1">
        <f t="array" ref="J62">MAX(IF($M$3:$DF$3=$J$3,M62:DF62))</f>
        <v>0</v>
      </c>
      <c r="K62" s="10" cm="1">
        <f t="array" ref="K62">MAX(IF($M$3:$DF$3=$J$3,M62:DF62))</f>
        <v>0</v>
      </c>
      <c r="L62" s="8"/>
      <c r="O62" s="9"/>
      <c r="P62" s="9"/>
      <c r="Q62" s="9"/>
      <c r="R62" s="9"/>
      <c r="V62" s="9"/>
      <c r="W62" s="9"/>
      <c r="X62" s="9"/>
      <c r="Y62" s="9"/>
      <c r="AC62" s="34"/>
      <c r="AD62" s="34"/>
      <c r="AE62" s="34"/>
      <c r="AF62" s="34"/>
      <c r="AG62" s="35"/>
      <c r="AH62" s="35"/>
      <c r="AJ62" s="34"/>
      <c r="AK62" s="34"/>
      <c r="AL62" s="34"/>
      <c r="AM62" s="34"/>
      <c r="AN62" s="35"/>
      <c r="AO62" s="35"/>
      <c r="AQ62" s="34"/>
      <c r="AR62" s="34"/>
      <c r="AS62" s="34"/>
      <c r="AT62" s="34"/>
      <c r="AU62" s="35"/>
      <c r="AV62" s="35"/>
      <c r="AX62" s="34"/>
      <c r="AY62" s="34"/>
      <c r="AZ62" s="34"/>
      <c r="BA62" s="34"/>
      <c r="BB62" s="35"/>
      <c r="BC62" s="35"/>
      <c r="BE62" s="34"/>
      <c r="BF62" s="34">
        <v>0.5</v>
      </c>
      <c r="BG62" s="34"/>
      <c r="BH62" s="34">
        <v>0.5</v>
      </c>
      <c r="BI62" s="35"/>
      <c r="BJ62" s="35"/>
      <c r="BL62" s="34"/>
      <c r="BM62" s="34">
        <v>0.5</v>
      </c>
      <c r="BN62" s="34"/>
      <c r="BO62" s="34">
        <v>0.5</v>
      </c>
      <c r="BP62" s="35"/>
      <c r="BQ62" s="35"/>
      <c r="BS62" s="34"/>
      <c r="BT62" s="34">
        <v>0.5</v>
      </c>
      <c r="BU62" s="34"/>
      <c r="BV62" s="34">
        <v>0.5</v>
      </c>
      <c r="BW62" s="35"/>
      <c r="BX62" s="35"/>
      <c r="BZ62" s="34"/>
      <c r="CA62" s="34">
        <v>0.5</v>
      </c>
      <c r="CB62" s="34"/>
      <c r="CC62" s="34">
        <v>0.5</v>
      </c>
      <c r="CD62" s="35"/>
      <c r="CE62" s="35"/>
      <c r="CG62" s="34"/>
      <c r="CH62" s="34">
        <v>0.5</v>
      </c>
      <c r="CI62" s="34"/>
      <c r="CJ62" s="34">
        <v>0.5</v>
      </c>
      <c r="CK62" s="35"/>
      <c r="CL62" s="35"/>
      <c r="CN62" s="34"/>
      <c r="CO62" s="34">
        <v>0.5</v>
      </c>
      <c r="CP62" s="34"/>
      <c r="CQ62" s="34">
        <v>0.5</v>
      </c>
      <c r="CR62" s="35"/>
      <c r="CS62" s="35"/>
      <c r="CU62" s="34"/>
      <c r="CV62" s="34">
        <v>0.5</v>
      </c>
      <c r="CW62" s="34"/>
      <c r="CX62" s="34">
        <v>0.5</v>
      </c>
      <c r="DB62" s="9"/>
      <c r="DC62" s="9">
        <v>0.5</v>
      </c>
      <c r="DD62" s="9"/>
      <c r="DE62" s="9">
        <v>0.5</v>
      </c>
      <c r="DI62" s="9"/>
      <c r="DJ62" s="9"/>
      <c r="DK62" s="9"/>
      <c r="DL62" s="9"/>
      <c r="DP62" s="9"/>
      <c r="DQ62" s="9"/>
      <c r="DR62" s="9"/>
      <c r="DS62" s="9"/>
      <c r="DW62" s="9"/>
      <c r="DX62" s="9"/>
      <c r="DY62" s="9"/>
      <c r="DZ62" s="9"/>
      <c r="ED62" s="9"/>
      <c r="EE62" s="9"/>
      <c r="EF62" s="9"/>
      <c r="EG62" s="9"/>
      <c r="EK62" s="9"/>
      <c r="EL62" s="9"/>
      <c r="EM62" s="9"/>
      <c r="EN62" s="9"/>
      <c r="ER62" s="9"/>
      <c r="ES62" s="9">
        <v>0.5</v>
      </c>
      <c r="ET62" s="9"/>
      <c r="EU62" s="9">
        <v>0.5</v>
      </c>
      <c r="EY62" s="9"/>
      <c r="EZ62" s="9">
        <v>0.8</v>
      </c>
      <c r="FA62" s="9"/>
      <c r="FB62" s="9">
        <v>0.8</v>
      </c>
      <c r="FF62" s="9"/>
      <c r="FG62" s="9">
        <v>0.8</v>
      </c>
      <c r="FH62" s="9"/>
      <c r="FI62" s="9">
        <v>0.8</v>
      </c>
      <c r="FM62" s="9"/>
      <c r="FN62" s="9">
        <v>1</v>
      </c>
      <c r="FO62" s="9"/>
      <c r="FP62" s="9">
        <v>1</v>
      </c>
      <c r="FT62" s="9"/>
      <c r="FU62" s="9"/>
      <c r="FV62" s="9"/>
      <c r="FW62" s="9"/>
      <c r="GA62" s="9"/>
      <c r="GB62" s="9"/>
      <c r="GC62" s="9"/>
      <c r="GD62" s="9"/>
      <c r="GH62" s="9"/>
      <c r="GI62" s="9"/>
      <c r="GJ62" s="9"/>
      <c r="GK62" s="9"/>
    </row>
    <row r="63" spans="2:193" outlineLevel="1">
      <c r="B63" t="s">
        <v>28</v>
      </c>
      <c r="C63" t="s">
        <v>90</v>
      </c>
      <c r="E63" s="8"/>
      <c r="F63" t="s">
        <v>117</v>
      </c>
      <c r="G63" s="9">
        <v>0.05</v>
      </c>
      <c r="I63" s="8">
        <f t="shared" si="4"/>
        <v>0</v>
      </c>
      <c r="J63" s="10" cm="1">
        <f t="array" ref="J63">MAX(IF($M$3:$DF$3=$J$3,M63:DF63))</f>
        <v>0</v>
      </c>
      <c r="K63" s="10" cm="1">
        <f t="array" ref="K63">MAX(IF($M$3:$DF$3=$J$3,M63:DF63))</f>
        <v>0</v>
      </c>
      <c r="L63" s="8"/>
      <c r="O63" s="9"/>
      <c r="P63" s="9"/>
      <c r="Q63" s="9"/>
      <c r="R63" s="9"/>
      <c r="V63" s="9"/>
      <c r="W63" s="9"/>
      <c r="X63" s="9"/>
      <c r="Y63" s="9"/>
      <c r="AC63" s="34"/>
      <c r="AD63" s="34"/>
      <c r="AE63" s="34"/>
      <c r="AF63" s="34"/>
      <c r="AG63" s="35"/>
      <c r="AH63" s="35"/>
      <c r="AJ63" s="34"/>
      <c r="AK63" s="34"/>
      <c r="AL63" s="34"/>
      <c r="AM63" s="34"/>
      <c r="AN63" s="35"/>
      <c r="AO63" s="35"/>
      <c r="AQ63" s="34"/>
      <c r="AR63" s="34"/>
      <c r="AS63" s="34"/>
      <c r="AT63" s="34"/>
      <c r="AU63" s="35"/>
      <c r="AV63" s="35"/>
      <c r="AX63" s="34"/>
      <c r="AY63" s="34"/>
      <c r="AZ63" s="34"/>
      <c r="BA63" s="34"/>
      <c r="BB63" s="35"/>
      <c r="BC63" s="35"/>
      <c r="BE63" s="34"/>
      <c r="BF63" s="34"/>
      <c r="BG63" s="34"/>
      <c r="BH63" s="34"/>
      <c r="BI63" s="35"/>
      <c r="BJ63" s="35"/>
      <c r="BL63" s="34"/>
      <c r="BM63" s="34"/>
      <c r="BN63" s="34"/>
      <c r="BO63" s="34"/>
      <c r="BP63" s="35"/>
      <c r="BQ63" s="35"/>
      <c r="BS63" s="34"/>
      <c r="BT63" s="34">
        <v>0.5</v>
      </c>
      <c r="BU63" s="34"/>
      <c r="BV63" s="34">
        <v>0.5</v>
      </c>
      <c r="BW63" s="35"/>
      <c r="BX63" s="35"/>
      <c r="BZ63" s="34"/>
      <c r="CA63" s="34">
        <v>0.5</v>
      </c>
      <c r="CB63" s="34"/>
      <c r="CC63" s="34">
        <v>0.5</v>
      </c>
      <c r="CD63" s="35"/>
      <c r="CE63" s="35"/>
      <c r="CG63" s="34"/>
      <c r="CH63" s="34">
        <v>0.5</v>
      </c>
      <c r="CI63" s="34"/>
      <c r="CJ63" s="34">
        <v>0.5</v>
      </c>
      <c r="CK63" s="35"/>
      <c r="CL63" s="35"/>
      <c r="CN63" s="34"/>
      <c r="CO63" s="34">
        <v>0.5</v>
      </c>
      <c r="CP63" s="34"/>
      <c r="CQ63" s="34">
        <v>0.5</v>
      </c>
      <c r="CR63" s="35"/>
      <c r="CS63" s="35"/>
      <c r="CU63" s="34"/>
      <c r="CV63" s="34">
        <v>0.5</v>
      </c>
      <c r="CW63" s="34"/>
      <c r="CX63" s="34">
        <v>0.5</v>
      </c>
      <c r="DB63" s="9"/>
      <c r="DC63" s="9">
        <v>0.5</v>
      </c>
      <c r="DD63" s="9"/>
      <c r="DE63" s="9">
        <v>0.5</v>
      </c>
      <c r="DI63" s="9"/>
      <c r="DJ63" s="9"/>
      <c r="DK63" s="9"/>
      <c r="DL63" s="9"/>
      <c r="DP63" s="9"/>
      <c r="DQ63" s="9"/>
      <c r="DR63" s="9"/>
      <c r="DS63" s="9"/>
      <c r="DW63" s="9"/>
      <c r="DX63" s="9"/>
      <c r="DY63" s="9"/>
      <c r="DZ63" s="9"/>
      <c r="ED63" s="9"/>
      <c r="EE63" s="9"/>
      <c r="EF63" s="9"/>
      <c r="EG63" s="9"/>
      <c r="EK63" s="9"/>
      <c r="EL63" s="9"/>
      <c r="EM63" s="9"/>
      <c r="EN63" s="9"/>
      <c r="ER63" s="9"/>
      <c r="ES63" s="9">
        <v>0.5</v>
      </c>
      <c r="ET63" s="9"/>
      <c r="EU63" s="9">
        <v>0.5</v>
      </c>
      <c r="EY63" s="9"/>
      <c r="EZ63" s="9">
        <v>0.8</v>
      </c>
      <c r="FA63" s="9"/>
      <c r="FB63" s="9">
        <v>0.8</v>
      </c>
      <c r="FF63" s="9"/>
      <c r="FG63" s="9">
        <v>0.8</v>
      </c>
      <c r="FH63" s="9"/>
      <c r="FI63" s="9">
        <v>0.8</v>
      </c>
      <c r="FM63" s="9"/>
      <c r="FN63" s="9">
        <v>1</v>
      </c>
      <c r="FO63" s="9"/>
      <c r="FP63" s="9">
        <v>1</v>
      </c>
      <c r="FT63" s="9"/>
      <c r="FU63" s="9"/>
      <c r="FV63" s="9"/>
      <c r="FW63" s="9"/>
      <c r="GA63" s="9"/>
      <c r="GB63" s="9"/>
      <c r="GC63" s="9"/>
      <c r="GD63" s="9"/>
      <c r="GH63" s="9"/>
      <c r="GI63" s="9"/>
      <c r="GJ63" s="9"/>
      <c r="GK63" s="9"/>
    </row>
    <row r="64" spans="2:193" outlineLevel="1">
      <c r="B64" t="s">
        <v>28</v>
      </c>
      <c r="C64" t="s">
        <v>90</v>
      </c>
      <c r="E64" s="8"/>
      <c r="F64" t="s">
        <v>98</v>
      </c>
      <c r="G64" s="9">
        <v>0.05</v>
      </c>
      <c r="I64" s="8">
        <f t="shared" si="4"/>
        <v>0</v>
      </c>
      <c r="J64" s="10" cm="1">
        <f t="array" ref="J64">MAX(IF($M$3:$DF$3=$J$3,M64:DF64))</f>
        <v>0</v>
      </c>
      <c r="K64" s="10" cm="1">
        <f t="array" ref="K64">MAX(IF($M$3:$DF$3=$J$3,M64:DF64))</f>
        <v>0</v>
      </c>
      <c r="L64" s="8"/>
      <c r="O64" s="9"/>
      <c r="P64" s="9"/>
      <c r="Q64" s="9"/>
      <c r="R64" s="9"/>
      <c r="V64" s="9"/>
      <c r="W64" s="9"/>
      <c r="X64" s="9"/>
      <c r="Y64" s="9"/>
      <c r="AC64" s="34"/>
      <c r="AD64" s="34"/>
      <c r="AE64" s="34"/>
      <c r="AF64" s="34"/>
      <c r="AG64" s="35"/>
      <c r="AH64" s="35"/>
      <c r="AJ64" s="34"/>
      <c r="AK64" s="34"/>
      <c r="AL64" s="34"/>
      <c r="AM64" s="34"/>
      <c r="AN64" s="35"/>
      <c r="AO64" s="35"/>
      <c r="AQ64" s="34"/>
      <c r="AR64" s="34"/>
      <c r="AS64" s="34"/>
      <c r="AT64" s="34"/>
      <c r="AU64" s="35"/>
      <c r="AV64" s="35"/>
      <c r="AX64" s="34"/>
      <c r="AY64" s="34"/>
      <c r="AZ64" s="34"/>
      <c r="BA64" s="34"/>
      <c r="BB64" s="35"/>
      <c r="BC64" s="35"/>
      <c r="BE64" s="34"/>
      <c r="BF64" s="34"/>
      <c r="BG64" s="34"/>
      <c r="BH64" s="34"/>
      <c r="BI64" s="35"/>
      <c r="BJ64" s="35"/>
      <c r="BL64" s="34"/>
      <c r="BM64" s="34"/>
      <c r="BN64" s="34"/>
      <c r="BO64" s="34"/>
      <c r="BP64" s="35"/>
      <c r="BQ64" s="35"/>
      <c r="BS64" s="34"/>
      <c r="BT64" s="34"/>
      <c r="BU64" s="34"/>
      <c r="BV64" s="34"/>
      <c r="BW64" s="35"/>
      <c r="BX64" s="35"/>
      <c r="BZ64" s="34"/>
      <c r="CA64" s="34">
        <v>0.5</v>
      </c>
      <c r="CB64" s="34"/>
      <c r="CC64" s="34">
        <v>0.5</v>
      </c>
      <c r="CD64" s="35"/>
      <c r="CE64" s="35"/>
      <c r="CG64" s="34"/>
      <c r="CH64" s="34">
        <v>0.5</v>
      </c>
      <c r="CI64" s="34"/>
      <c r="CJ64" s="34">
        <v>0.5</v>
      </c>
      <c r="CK64" s="35"/>
      <c r="CL64" s="35"/>
      <c r="CN64" s="34"/>
      <c r="CO64" s="34">
        <v>0.5</v>
      </c>
      <c r="CP64" s="34"/>
      <c r="CQ64" s="34">
        <v>0.5</v>
      </c>
      <c r="CR64" s="35"/>
      <c r="CS64" s="35"/>
      <c r="CU64" s="34"/>
      <c r="CV64" s="34">
        <v>0.5</v>
      </c>
      <c r="CW64" s="34"/>
      <c r="CX64" s="34">
        <v>0.5</v>
      </c>
      <c r="DB64" s="9"/>
      <c r="DC64" s="9">
        <v>0.5</v>
      </c>
      <c r="DD64" s="9"/>
      <c r="DE64" s="9">
        <v>0.5</v>
      </c>
      <c r="DI64" s="9"/>
      <c r="DJ64" s="9"/>
      <c r="DK64" s="9"/>
      <c r="DL64" s="9"/>
      <c r="DP64" s="9"/>
      <c r="DQ64" s="9"/>
      <c r="DR64" s="9"/>
      <c r="DS64" s="9"/>
      <c r="DW64" s="9"/>
      <c r="DX64" s="9"/>
      <c r="DY64" s="9"/>
      <c r="DZ64" s="9"/>
      <c r="ED64" s="9"/>
      <c r="EE64" s="9"/>
      <c r="EF64" s="9"/>
      <c r="EG64" s="9"/>
      <c r="EK64" s="9"/>
      <c r="EL64" s="9"/>
      <c r="EM64" s="9"/>
      <c r="EN64" s="9"/>
      <c r="ER64" s="9"/>
      <c r="ES64" s="9">
        <v>0.5</v>
      </c>
      <c r="ET64" s="9"/>
      <c r="EU64" s="9">
        <v>0.5</v>
      </c>
      <c r="EY64" s="9"/>
      <c r="EZ64" s="9">
        <v>0.5</v>
      </c>
      <c r="FA64" s="9"/>
      <c r="FB64" s="9">
        <v>0.5</v>
      </c>
      <c r="FF64" s="9"/>
      <c r="FG64" s="9">
        <v>0.8</v>
      </c>
      <c r="FH64" s="9"/>
      <c r="FI64" s="9">
        <v>0.8</v>
      </c>
      <c r="FM64" s="9"/>
      <c r="FN64" s="9">
        <v>1</v>
      </c>
      <c r="FO64" s="9"/>
      <c r="FP64" s="9">
        <v>1</v>
      </c>
      <c r="FT64" s="9"/>
      <c r="FU64" s="9"/>
      <c r="FV64" s="9"/>
      <c r="FW64" s="9"/>
      <c r="GA64" s="9"/>
      <c r="GB64" s="9"/>
      <c r="GC64" s="9"/>
      <c r="GD64" s="9"/>
      <c r="GH64" s="9"/>
      <c r="GI64" s="9"/>
      <c r="GJ64" s="9"/>
      <c r="GK64" s="9"/>
    </row>
    <row r="65" spans="2:193" outlineLevel="1">
      <c r="B65" t="s">
        <v>28</v>
      </c>
      <c r="C65" t="s">
        <v>90</v>
      </c>
      <c r="E65" s="8"/>
      <c r="F65" t="s">
        <v>116</v>
      </c>
      <c r="G65" s="9">
        <v>0.1</v>
      </c>
      <c r="I65" s="8">
        <f t="shared" si="4"/>
        <v>0</v>
      </c>
      <c r="J65" s="10" cm="1">
        <f t="array" ref="J65">MAX(IF($M$3:$DF$3=$J$3,M65:DF65))</f>
        <v>0</v>
      </c>
      <c r="K65" s="10" cm="1">
        <f t="array" ref="K65">MAX(IF($M$3:$DF$3=$J$3,M65:DF65))</f>
        <v>0</v>
      </c>
      <c r="L65" s="8"/>
      <c r="O65" s="9"/>
      <c r="P65" s="9"/>
      <c r="Q65" s="9"/>
      <c r="R65" s="9"/>
      <c r="V65" s="9"/>
      <c r="W65" s="9"/>
      <c r="X65" s="9"/>
      <c r="Y65" s="9"/>
      <c r="AC65" s="34"/>
      <c r="AD65" s="34"/>
      <c r="AE65" s="34"/>
      <c r="AF65" s="34"/>
      <c r="AG65" s="35"/>
      <c r="AH65" s="35"/>
      <c r="AJ65" s="34"/>
      <c r="AK65" s="34"/>
      <c r="AL65" s="34"/>
      <c r="AM65" s="34"/>
      <c r="AN65" s="35"/>
      <c r="AO65" s="35"/>
      <c r="AQ65" s="34"/>
      <c r="AR65" s="34"/>
      <c r="AS65" s="34"/>
      <c r="AT65" s="34"/>
      <c r="AU65" s="35"/>
      <c r="AV65" s="35"/>
      <c r="AX65" s="34"/>
      <c r="AY65" s="34"/>
      <c r="AZ65" s="34"/>
      <c r="BA65" s="34"/>
      <c r="BB65" s="35"/>
      <c r="BC65" s="35"/>
      <c r="BE65" s="34"/>
      <c r="BF65" s="34"/>
      <c r="BG65" s="34"/>
      <c r="BH65" s="34"/>
      <c r="BI65" s="35"/>
      <c r="BJ65" s="35"/>
      <c r="BL65" s="34"/>
      <c r="BM65" s="34"/>
      <c r="BN65" s="34"/>
      <c r="BO65" s="34"/>
      <c r="BP65" s="35"/>
      <c r="BQ65" s="35"/>
      <c r="BS65" s="34"/>
      <c r="BT65" s="34"/>
      <c r="BU65" s="34"/>
      <c r="BV65" s="34"/>
      <c r="BW65" s="35"/>
      <c r="BX65" s="35"/>
      <c r="BZ65" s="34"/>
      <c r="CA65" s="34"/>
      <c r="CB65" s="34"/>
      <c r="CC65" s="34"/>
      <c r="CD65" s="35"/>
      <c r="CE65" s="35"/>
      <c r="CG65" s="34"/>
      <c r="CH65" s="34">
        <v>0.5</v>
      </c>
      <c r="CI65" s="34"/>
      <c r="CJ65" s="34">
        <v>0.5</v>
      </c>
      <c r="CK65" s="35"/>
      <c r="CL65" s="35"/>
      <c r="CN65" s="34"/>
      <c r="CO65" s="34">
        <v>0.5</v>
      </c>
      <c r="CP65" s="34"/>
      <c r="CQ65" s="34">
        <v>0.5</v>
      </c>
      <c r="CR65" s="35"/>
      <c r="CS65" s="35"/>
      <c r="CU65" s="34"/>
      <c r="CV65" s="34">
        <v>0.5</v>
      </c>
      <c r="CW65" s="34"/>
      <c r="CX65" s="34">
        <v>0.5</v>
      </c>
      <c r="DB65" s="9"/>
      <c r="DC65" s="9">
        <v>0.5</v>
      </c>
      <c r="DD65" s="9"/>
      <c r="DE65" s="9">
        <v>0.5</v>
      </c>
      <c r="DI65" s="9"/>
      <c r="DJ65" s="9"/>
      <c r="DK65" s="9"/>
      <c r="DL65" s="9"/>
      <c r="DP65" s="9"/>
      <c r="DQ65" s="9"/>
      <c r="DR65" s="9"/>
      <c r="DS65" s="9"/>
      <c r="DW65" s="9"/>
      <c r="DX65" s="9"/>
      <c r="DY65" s="9"/>
      <c r="DZ65" s="9"/>
      <c r="ED65" s="9"/>
      <c r="EE65" s="9"/>
      <c r="EF65" s="9"/>
      <c r="EG65" s="9"/>
      <c r="EK65" s="9"/>
      <c r="EL65" s="9"/>
      <c r="EM65" s="9"/>
      <c r="EN65" s="9"/>
      <c r="ER65" s="9"/>
      <c r="ES65" s="9">
        <v>0.5</v>
      </c>
      <c r="ET65" s="9"/>
      <c r="EU65" s="9">
        <v>0.5</v>
      </c>
      <c r="EY65" s="9"/>
      <c r="EZ65" s="9">
        <v>0.5</v>
      </c>
      <c r="FA65" s="9"/>
      <c r="FB65" s="9">
        <v>0.5</v>
      </c>
      <c r="FF65" s="9"/>
      <c r="FG65" s="9">
        <v>0.8</v>
      </c>
      <c r="FH65" s="9"/>
      <c r="FI65" s="9">
        <v>0.8</v>
      </c>
      <c r="FM65" s="9"/>
      <c r="FN65" s="9">
        <v>1</v>
      </c>
      <c r="FO65" s="9"/>
      <c r="FP65" s="9">
        <v>1</v>
      </c>
      <c r="FT65" s="9"/>
      <c r="FU65" s="9"/>
      <c r="FV65" s="9"/>
      <c r="FW65" s="9"/>
      <c r="GA65" s="9"/>
      <c r="GB65" s="9"/>
      <c r="GC65" s="9"/>
      <c r="GD65" s="9"/>
      <c r="GH65" s="9"/>
      <c r="GI65" s="9"/>
      <c r="GJ65" s="9"/>
      <c r="GK65" s="9"/>
    </row>
  </sheetData>
  <mergeCells count="32">
    <mergeCell ref="EO7:EO24"/>
    <mergeCell ref="EH35:EH41"/>
    <mergeCell ref="EH23:EH28"/>
    <mergeCell ref="EO45:EO52"/>
    <mergeCell ref="I2:L2"/>
    <mergeCell ref="AB2:AG2"/>
    <mergeCell ref="N2:S2"/>
    <mergeCell ref="U2:Z2"/>
    <mergeCell ref="AG35:AG36"/>
    <mergeCell ref="BR2:BW2"/>
    <mergeCell ref="BY2:CD2"/>
    <mergeCell ref="AI2:AN2"/>
    <mergeCell ref="AP2:AU2"/>
    <mergeCell ref="AW2:BB2"/>
    <mergeCell ref="BD2:BI2"/>
    <mergeCell ref="BK2:BP2"/>
    <mergeCell ref="DO2:DT2"/>
    <mergeCell ref="DV2:EA2"/>
    <mergeCell ref="EC2:EH2"/>
    <mergeCell ref="CF2:CK2"/>
    <mergeCell ref="CM2:CR2"/>
    <mergeCell ref="CT2:CY2"/>
    <mergeCell ref="DA2:DF2"/>
    <mergeCell ref="DH2:DM2"/>
    <mergeCell ref="FS2:FX2"/>
    <mergeCell ref="FZ2:GE2"/>
    <mergeCell ref="GG2:GL2"/>
    <mergeCell ref="EJ2:EO2"/>
    <mergeCell ref="EQ2:EV2"/>
    <mergeCell ref="EX2:FC2"/>
    <mergeCell ref="FE2:FJ2"/>
    <mergeCell ref="FL2:FQ2"/>
  </mergeCells>
  <conditionalFormatting sqref="J5:J18">
    <cfRule type="colorScale" priority="1148">
      <colorScale>
        <cfvo type="percent" val="0"/>
        <cfvo type="percent" val="100"/>
        <color rgb="FFFF231B"/>
        <color rgb="FF10FF07"/>
      </colorScale>
    </cfRule>
  </conditionalFormatting>
  <conditionalFormatting sqref="J21">
    <cfRule type="colorScale" priority="2083">
      <colorScale>
        <cfvo type="percent" val="0"/>
        <cfvo type="percent" val="100"/>
        <color rgb="FFFF231B"/>
        <color rgb="FF10FF07"/>
      </colorScale>
    </cfRule>
    <cfRule type="colorScale" priority="2082">
      <colorScale>
        <cfvo type="percent" val="0"/>
        <cfvo type="percent" val="100"/>
        <color rgb="FFFF231B"/>
        <color rgb="FF10FF07"/>
      </colorScale>
    </cfRule>
  </conditionalFormatting>
  <conditionalFormatting sqref="J22:J32">
    <cfRule type="colorScale" priority="2256">
      <colorScale>
        <cfvo type="percent" val="0"/>
        <cfvo type="percent" val="100"/>
        <color rgb="FFFF231B"/>
        <color rgb="FF10FF07"/>
      </colorScale>
    </cfRule>
  </conditionalFormatting>
  <conditionalFormatting sqref="J35:J41">
    <cfRule type="colorScale" priority="1720">
      <colorScale>
        <cfvo type="percent" val="0"/>
        <cfvo type="percent" val="100"/>
        <color rgb="FFFF231B"/>
        <color rgb="FF10FF07"/>
      </colorScale>
    </cfRule>
  </conditionalFormatting>
  <conditionalFormatting sqref="J44:J53">
    <cfRule type="colorScale" priority="1241">
      <colorScale>
        <cfvo type="percent" val="0"/>
        <cfvo type="percent" val="100"/>
        <color rgb="FFFF231B"/>
        <color rgb="FF10FF07"/>
      </colorScale>
    </cfRule>
  </conditionalFormatting>
  <conditionalFormatting sqref="J56:J65">
    <cfRule type="colorScale" priority="2079">
      <colorScale>
        <cfvo type="percent" val="0"/>
        <cfvo type="percent" val="100"/>
        <color rgb="FFFF231B"/>
        <color rgb="FF10FF07"/>
      </colorScale>
    </cfRule>
  </conditionalFormatting>
  <conditionalFormatting sqref="J6:K8">
    <cfRule type="colorScale" priority="551">
      <colorScale>
        <cfvo type="percent" val="0"/>
        <cfvo type="percent" val="100"/>
        <color rgb="FFFF231B"/>
        <color rgb="FF10FF07"/>
      </colorScale>
    </cfRule>
  </conditionalFormatting>
  <conditionalFormatting sqref="J14:K18">
    <cfRule type="colorScale" priority="1119">
      <colorScale>
        <cfvo type="percent" val="0"/>
        <cfvo type="percent" val="100"/>
        <color rgb="FFFF231B"/>
        <color rgb="FF10FF07"/>
      </colorScale>
    </cfRule>
  </conditionalFormatting>
  <conditionalFormatting sqref="J22:K22">
    <cfRule type="colorScale" priority="355">
      <colorScale>
        <cfvo type="percent" val="0"/>
        <cfvo type="percent" val="100"/>
        <color rgb="FFFF231B"/>
        <color rgb="FF10FF07"/>
      </colorScale>
    </cfRule>
  </conditionalFormatting>
  <conditionalFormatting sqref="J23:K32">
    <cfRule type="colorScale" priority="2258">
      <colorScale>
        <cfvo type="percent" val="0"/>
        <cfvo type="percent" val="100"/>
        <color rgb="FFFF231B"/>
        <color rgb="FF10FF07"/>
      </colorScale>
    </cfRule>
  </conditionalFormatting>
  <conditionalFormatting sqref="J36:K41">
    <cfRule type="colorScale" priority="1721">
      <colorScale>
        <cfvo type="percent" val="0"/>
        <cfvo type="percent" val="100"/>
        <color rgb="FFFF231B"/>
        <color rgb="FF10FF07"/>
      </colorScale>
    </cfRule>
  </conditionalFormatting>
  <conditionalFormatting sqref="J45:K53">
    <cfRule type="colorScale" priority="1239">
      <colorScale>
        <cfvo type="percent" val="0"/>
        <cfvo type="percent" val="100"/>
        <color rgb="FFFF231B"/>
        <color rgb="FF10FF07"/>
      </colorScale>
    </cfRule>
  </conditionalFormatting>
  <conditionalFormatting sqref="J57:K65">
    <cfRule type="colorScale" priority="2080">
      <colorScale>
        <cfvo type="percent" val="0"/>
        <cfvo type="percent" val="100"/>
        <color rgb="FFFF231B"/>
        <color rgb="FF10FF07"/>
      </colorScale>
    </cfRule>
  </conditionalFormatting>
  <conditionalFormatting sqref="K5:K18">
    <cfRule type="colorScale" priority="1149">
      <colorScale>
        <cfvo type="percent" val="0"/>
        <cfvo type="percent" val="100"/>
        <color rgb="FFFF231B"/>
        <color rgb="FF10FF07"/>
      </colorScale>
    </cfRule>
  </conditionalFormatting>
  <conditionalFormatting sqref="K21">
    <cfRule type="colorScale" priority="356">
      <colorScale>
        <cfvo type="percent" val="0"/>
        <cfvo type="percent" val="100"/>
        <color rgb="FFFF231B"/>
        <color rgb="FF10FF07"/>
      </colorScale>
    </cfRule>
  </conditionalFormatting>
  <conditionalFormatting sqref="K22:K32">
    <cfRule type="colorScale" priority="2259">
      <colorScale>
        <cfvo type="percent" val="0"/>
        <cfvo type="percent" val="100"/>
        <color rgb="FFFF231B"/>
        <color rgb="FF10FF07"/>
      </colorScale>
    </cfRule>
  </conditionalFormatting>
  <conditionalFormatting sqref="K35:K41">
    <cfRule type="colorScale" priority="1722">
      <colorScale>
        <cfvo type="percent" val="0"/>
        <cfvo type="percent" val="100"/>
        <color rgb="FFFF231B"/>
        <color rgb="FF10FF07"/>
      </colorScale>
    </cfRule>
  </conditionalFormatting>
  <conditionalFormatting sqref="K44:K53">
    <cfRule type="colorScale" priority="1243">
      <colorScale>
        <cfvo type="percent" val="0"/>
        <cfvo type="percent" val="100"/>
        <color rgb="FFFF231B"/>
        <color rgb="FF10FF07"/>
      </colorScale>
    </cfRule>
  </conditionalFormatting>
  <conditionalFormatting sqref="K56:K65">
    <cfRule type="colorScale" priority="2081">
      <colorScale>
        <cfvo type="percent" val="0"/>
        <cfvo type="percent" val="100"/>
        <color rgb="FFFF231B"/>
        <color rgb="FF10FF07"/>
      </colorScale>
    </cfRule>
  </conditionalFormatting>
  <conditionalFormatting sqref="O5:O18 Q5:Q18 AC5:AC18 AJ5:AJ18 V5:Y60 O21:O32 Q21:Q32 AC21:AC32 AJ21:AJ32 AQ21:AQ32 AX21:AX32 BE21:BE32 BL21:BL32 BS21:BS32 BZ21:BZ32 CG21:CG32 CN21:CN32 CU21:CU32 DB21:DB32 DD21:DD32 DI21:DI32 DK21:DK32 DP21:DP32 DR21:DR32 DW21:DW32 DY21:DY32 ED21:ED32 EF21:EF32 O35:O41 Q35:Q41 AC35:AC41 AX35:AX41 BE35:BE41 BL35:BL41 BS35:BS41 BZ35:BZ41 O56:O65 Q56:Q65 V56:V65 X56:X65 AJ56:AJ65 AQ56:AQ65 AX56:AX65 BE56:BE65 BL56:BL65 BS56:BS65 BZ56:BZ65 CG56:CG65 CN56:CN65 CU56:CU65 DB56:DB65 DI56:DI65 DK56:DK65 DP56:DP65 DR56:DR65 DW56:DW65 DY56:DY65 ED56:ED65 EF65 CW21:CW32 CP21:CP32 CI21:CI32 CB21:CB32 BU21:BU32 BN21:BN32 BG21:BG32 AZ21:AZ32 AS21:AS32 AL21:AL32 AE21:AE32 AE35:AE41 AJ35:AJ41 AL35:AL41 AQ35:AQ41 AS35:AS41 AZ35:AZ41 BG35:BG41 BN35:BN41 BU35:BU41 CB35:CB41 CI35:CI41 CP35:CP41 CW35:CW41 AE5:AE18 AL5:AL18 AS5:AS18 AC56:AC65 AE56:AE65 AL56:AL65 AS56:AS65 AZ56:AZ65 BG56:BG65 BN56:BN65 BU56:BU65 CB56:CB65 CI56:CI65 CP56:CP65 CW56:CW65">
    <cfRule type="expression" dxfId="93" priority="1117">
      <formula>IF(O5&gt;=P5,IF(O5="",FALSE,TRUE))</formula>
    </cfRule>
  </conditionalFormatting>
  <conditionalFormatting sqref="O44:O53">
    <cfRule type="expression" dxfId="488" priority="813">
      <formula>IF(O44&gt;=P44,IF(O44="",FALSE,TRUE))</formula>
    </cfRule>
    <cfRule type="expression" dxfId="487" priority="812">
      <formula>OR(IF(O44&lt;P44,TRUE),IF(AND(P44="",O44&lt;&gt;""),TRUE))</formula>
    </cfRule>
  </conditionalFormatting>
  <conditionalFormatting sqref="Q44:Q53">
    <cfRule type="expression" dxfId="486" priority="810">
      <formula>OR(IF(Q44&lt;R44,TRUE),IF(AND(R44="",Q44&lt;&gt;""),TRUE))</formula>
    </cfRule>
    <cfRule type="expression" dxfId="485" priority="811">
      <formula>IF(Q44&gt;=R44,IF(Q44="",FALSE,TRUE))</formula>
    </cfRule>
  </conditionalFormatting>
  <conditionalFormatting sqref="V44:V53">
    <cfRule type="expression" dxfId="484" priority="804">
      <formula>OR(IF(V44&lt;W44,TRUE),IF(AND(W44="",V44&lt;&gt;""),TRUE))</formula>
    </cfRule>
    <cfRule type="expression" dxfId="483" priority="805">
      <formula>IF(V44&gt;=W44,IF(V44="",FALSE,TRUE))</formula>
    </cfRule>
  </conditionalFormatting>
  <conditionalFormatting sqref="V5:Y60 O5:O18 Q5:Q18 AC5:AC18 AJ5:AJ18 O21:O32 Q21:Q32 AC21:AC32 AJ21:AJ32 AQ21:AQ32 AX21:AX32 BE21:BE32 BL21:BL32 BS21:BS32 BZ21:BZ32 CG21:CG32 CN21:CN32 CU21:CU32 DB21:DB32 DD21:DD32 DI21:DI32 DK21:DK32 DP21:DP32 DR21:DR32 DW21:DW32 DY21:DY32 ED21:ED32 EF21:EF32 O35:O41 Q35:Q41 AC35:AC41 AX35:AX41 BE35:BE41 BL35:BL41 BS35:BS41 BZ35:BZ41 O56:O65 Q56:Q65 V56:V65 X56:X65 AJ56:AJ65 AQ56:AQ65 AX56:AX65 BE56:BE65 BL56:BL65 BS56:BS65 BZ56:BZ65 CG56:CG65 CN56:CN65 CU56:CU65 DB56:DB65 DI56:DI65 DK56:DK65 DP56:DP65 DR56:DR65 DW56:DW65 DY56:DY65 ED56:ED65 EF65 CW21:CW32 CP21:CP32 CI21:CI32 CB21:CB32 BU21:BU32 BN21:BN32 BG21:BG32 AZ21:AZ32 AS21:AS32 AL21:AL32 AE21:AE32 AE35:AE41 AJ35:AJ41 AL35:AL41 AQ35:AQ41 AS35:AS41 AZ35:AZ41 BG35:BG41 BN35:BN41 BU35:BU41 CB35:CB41 CI35:CI41 CP35:CP41 CW35:CW41 AE5:AE18 AL5:AL18 AS5:AS18 AC56:AC65 AE56:AE65 AL56:AL65 AS56:AS65 AZ56:AZ65 BG56:BG65 BN56:BN65 BU56:BU65 CB56:CB65 CI56:CI65 CP56:CP65 CW56:CW65">
    <cfRule type="expression" dxfId="92" priority="1116">
      <formula>OR(IF(O5&lt;P5,TRUE),IF(AND(P5="",O5&lt;&gt;""),TRUE))</formula>
    </cfRule>
  </conditionalFormatting>
  <conditionalFormatting sqref="X44:X53">
    <cfRule type="expression" dxfId="482" priority="426">
      <formula>IF(X44&gt;=Y44,IF(X44="",FALSE,TRUE))</formula>
    </cfRule>
    <cfRule type="expression" dxfId="481" priority="425">
      <formula>OR(IF(X44&lt;Y44,TRUE),IF(AND(Y44="",X44&lt;&gt;""),TRUE))</formula>
    </cfRule>
  </conditionalFormatting>
  <conditionalFormatting sqref="Z56:Z58">
    <cfRule type="expression" dxfId="480" priority="432">
      <formula>IF(Z56&gt;=AA56,IF(Z56="",FALSE,TRUE))</formula>
    </cfRule>
    <cfRule type="expression" dxfId="479" priority="431">
      <formula>OR(IF(Z56&lt;AA56,TRUE),IF(AND(AA56="",Z56&lt;&gt;""),TRUE))</formula>
    </cfRule>
  </conditionalFormatting>
  <conditionalFormatting sqref="AC44:AC53">
    <cfRule type="expression" dxfId="478" priority="424">
      <formula>IF(AC44&gt;=AD44,IF(AC44="",FALSE,TRUE))</formula>
    </cfRule>
    <cfRule type="expression" dxfId="477" priority="423">
      <formula>OR(IF(AC44&lt;AD44,TRUE),IF(AND(AD44="",AC44&lt;&gt;""),TRUE))</formula>
    </cfRule>
  </conditionalFormatting>
  <conditionalFormatting sqref="AE44:AE53">
    <cfRule type="expression" dxfId="476" priority="421">
      <formula>OR(IF(AE44&lt;AF44,TRUE),IF(AND(AF44="",AE44&lt;&gt;""),TRUE))</formula>
    </cfRule>
    <cfRule type="expression" dxfId="475" priority="422">
      <formula>IF(AE44&gt;=AF44,IF(AE44="",FALSE,TRUE))</formula>
    </cfRule>
  </conditionalFormatting>
  <conditionalFormatting sqref="AJ44:AJ53">
    <cfRule type="expression" dxfId="474" priority="786">
      <formula>IF(AJ44&gt;=AK44,IF(AJ44="",FALSE,TRUE))</formula>
    </cfRule>
    <cfRule type="expression" dxfId="473" priority="785">
      <formula>OR(IF(AJ44&lt;AK44,TRUE),IF(AND(AK44="",AJ44&lt;&gt;""),TRUE))</formula>
    </cfRule>
  </conditionalFormatting>
  <conditionalFormatting sqref="AL47:AL53">
    <cfRule type="expression" dxfId="472" priority="419">
      <formula>OR(IF(AL47&lt;AM47,TRUE),IF(AND(AM47="",AL47&lt;&gt;""),TRUE))</formula>
    </cfRule>
    <cfRule type="expression" dxfId="471" priority="420">
      <formula>IF(AL47&gt;=AM47,IF(AL47="",FALSE,TRUE))</formula>
    </cfRule>
  </conditionalFormatting>
  <conditionalFormatting sqref="AQ5:AQ18">
    <cfRule type="expression" dxfId="470" priority="673">
      <formula>IF(AQ5&gt;=AR5,IF(AQ5="",FALSE,TRUE))</formula>
    </cfRule>
    <cfRule type="expression" dxfId="469" priority="672">
      <formula>OR(IF(AQ5&lt;AR5,TRUE),IF(AND(AR5="",AQ5&lt;&gt;""),TRUE))</formula>
    </cfRule>
  </conditionalFormatting>
  <conditionalFormatting sqref="AQ44:AQ53">
    <cfRule type="expression" dxfId="468" priority="661">
      <formula>IF(AQ44&gt;=AR44,IF(AQ44="",FALSE,TRUE))</formula>
    </cfRule>
    <cfRule type="expression" dxfId="467" priority="660">
      <formula>OR(IF(AQ44&lt;AR44,TRUE),IF(AND(AR44="",AQ44&lt;&gt;""),TRUE))</formula>
    </cfRule>
  </conditionalFormatting>
  <conditionalFormatting sqref="AS49:AS53">
    <cfRule type="expression" dxfId="466" priority="418">
      <formula>IF(AS49&gt;=AT49,IF(AS49="",FALSE,TRUE))</formula>
    </cfRule>
    <cfRule type="expression" dxfId="465" priority="417">
      <formula>OR(IF(AS49&lt;AT49,TRUE),IF(AND(AT49="",AS49&lt;&gt;""),TRUE))</formula>
    </cfRule>
  </conditionalFormatting>
  <conditionalFormatting sqref="AX5:AX18">
    <cfRule type="expression" dxfId="464" priority="653">
      <formula>IF(AX5&gt;=AY5,IF(AX5="",FALSE,TRUE))</formula>
    </cfRule>
    <cfRule type="expression" dxfId="463" priority="652">
      <formula>OR(IF(AX5&lt;AY5,TRUE),IF(AND(AY5="",AX5&lt;&gt;""),TRUE))</formula>
    </cfRule>
  </conditionalFormatting>
  <conditionalFormatting sqref="AX44:AX53">
    <cfRule type="expression" dxfId="462" priority="641">
      <formula>IF(AX44&gt;=AY44,IF(AX44="",FALSE,TRUE))</formula>
    </cfRule>
    <cfRule type="expression" dxfId="461" priority="640">
      <formula>OR(IF(AX44&lt;AY44,TRUE),IF(AND(AY44="",AX44&lt;&gt;""),TRUE))</formula>
    </cfRule>
  </conditionalFormatting>
  <conditionalFormatting sqref="AZ8:AZ18">
    <cfRule type="expression" dxfId="460" priority="414">
      <formula>IF(AZ8&gt;=BA8,IF(AZ8="",FALSE,TRUE))</formula>
    </cfRule>
    <cfRule type="expression" dxfId="459" priority="413">
      <formula>OR(IF(AZ8&lt;BA8,TRUE),IF(AND(BA8="",AZ8&lt;&gt;""),TRUE))</formula>
    </cfRule>
  </conditionalFormatting>
  <conditionalFormatting sqref="AZ51:AZ53">
    <cfRule type="expression" dxfId="458" priority="415">
      <formula>OR(IF(AZ51&lt;BA51,TRUE),IF(AND(BA51="",AZ51&lt;&gt;""),TRUE))</formula>
    </cfRule>
    <cfRule type="expression" dxfId="457" priority="416">
      <formula>IF(AZ51&gt;=BA51,IF(AZ51="",FALSE,TRUE))</formula>
    </cfRule>
  </conditionalFormatting>
  <conditionalFormatting sqref="BE5:BE18">
    <cfRule type="expression" dxfId="456" priority="632">
      <formula>OR(IF(BE5&lt;BF5,TRUE),IF(AND(BF5="",BE5&lt;&gt;""),TRUE))</formula>
    </cfRule>
    <cfRule type="expression" dxfId="455" priority="633">
      <formula>IF(BE5&gt;=BF5,IF(BE5="",FALSE,TRUE))</formula>
    </cfRule>
  </conditionalFormatting>
  <conditionalFormatting sqref="BE44:BE53">
    <cfRule type="expression" dxfId="454" priority="621">
      <formula>IF(BE44&gt;=BF44,IF(BE44="",FALSE,TRUE))</formula>
    </cfRule>
    <cfRule type="expression" dxfId="453" priority="620">
      <formula>OR(IF(BE44&lt;BF44,TRUE),IF(AND(BF44="",BE44&lt;&gt;""),TRUE))</formula>
    </cfRule>
  </conditionalFormatting>
  <conditionalFormatting sqref="BG10:BG18">
    <cfRule type="expression" dxfId="452" priority="406">
      <formula>IF(BG10&gt;=BH10,IF(BG10="",FALSE,TRUE))</formula>
    </cfRule>
    <cfRule type="expression" dxfId="451" priority="405">
      <formula>OR(IF(BG10&lt;BH10,TRUE),IF(AND(BH10="",BG10&lt;&gt;""),TRUE))</formula>
    </cfRule>
  </conditionalFormatting>
  <conditionalFormatting sqref="BG53">
    <cfRule type="expression" dxfId="450" priority="407">
      <formula>OR(IF(BG53&lt;BH53,TRUE),IF(AND(BH53="",BG53&lt;&gt;""),TRUE))</formula>
    </cfRule>
    <cfRule type="expression" dxfId="449" priority="408">
      <formula>IF(BG53&gt;=BH53,IF(BG53="",FALSE,TRUE))</formula>
    </cfRule>
  </conditionalFormatting>
  <conditionalFormatting sqref="BL5:BL18">
    <cfRule type="expression" dxfId="448" priority="612">
      <formula>OR(IF(BL5&lt;BM5,TRUE),IF(AND(BM5="",BL5&lt;&gt;""),TRUE))</formula>
    </cfRule>
    <cfRule type="expression" dxfId="447" priority="613">
      <formula>IF(BL5&gt;=BM5,IF(BL5="",FALSE,TRUE))</formula>
    </cfRule>
  </conditionalFormatting>
  <conditionalFormatting sqref="BL44:BL53">
    <cfRule type="expression" dxfId="446" priority="601">
      <formula>IF(BL44&gt;=BM44,IF(BL44="",FALSE,TRUE))</formula>
    </cfRule>
    <cfRule type="expression" dxfId="445" priority="600">
      <formula>OR(IF(BL44&lt;BM44,TRUE),IF(AND(BM44="",BL44&lt;&gt;""),TRUE))</formula>
    </cfRule>
  </conditionalFormatting>
  <conditionalFormatting sqref="BN11:BN18">
    <cfRule type="expression" dxfId="444" priority="398">
      <formula>IF(BN11&gt;=BO11,IF(BN11="",FALSE,TRUE))</formula>
    </cfRule>
    <cfRule type="expression" dxfId="443" priority="397">
      <formula>OR(IF(BN11&lt;BO11,TRUE),IF(AND(BO11="",BN11&lt;&gt;""),TRUE))</formula>
    </cfRule>
  </conditionalFormatting>
  <conditionalFormatting sqref="BS5:BS18">
    <cfRule type="expression" dxfId="440" priority="593">
      <formula>IF(BS5&gt;=BT5,IF(BS5="",FALSE,TRUE))</formula>
    </cfRule>
    <cfRule type="expression" dxfId="439" priority="592">
      <formula>OR(IF(BS5&lt;BT5,TRUE),IF(AND(BT5="",BS5&lt;&gt;""),TRUE))</formula>
    </cfRule>
  </conditionalFormatting>
  <conditionalFormatting sqref="BS44:BS53">
    <cfRule type="expression" dxfId="438" priority="581">
      <formula>IF(BS44&gt;=BT44,IF(BS44="",FALSE,TRUE))</formula>
    </cfRule>
    <cfRule type="expression" dxfId="437" priority="580">
      <formula>OR(IF(BS44&lt;BT44,TRUE),IF(AND(BT44="",BS44&lt;&gt;""),TRUE))</formula>
    </cfRule>
  </conditionalFormatting>
  <conditionalFormatting sqref="BU12:BU18">
    <cfRule type="expression" dxfId="436" priority="389">
      <formula>OR(IF(BU12&lt;BV12,TRUE),IF(AND(BV12="",BU12&lt;&gt;""),TRUE))</formula>
    </cfRule>
    <cfRule type="expression" dxfId="435" priority="390">
      <formula>IF(BU12&gt;=BV12,IF(BU12="",FALSE,TRUE))</formula>
    </cfRule>
  </conditionalFormatting>
  <conditionalFormatting sqref="BZ5:BZ18">
    <cfRule type="expression" dxfId="432" priority="572">
      <formula>OR(IF(BZ5&lt;CA5,TRUE),IF(AND(CA5="",BZ5&lt;&gt;""),TRUE))</formula>
    </cfRule>
    <cfRule type="expression" dxfId="431" priority="573">
      <formula>IF(BZ5&gt;=CA5,IF(BZ5="",FALSE,TRUE))</formula>
    </cfRule>
  </conditionalFormatting>
  <conditionalFormatting sqref="BZ44:BZ53">
    <cfRule type="expression" dxfId="430" priority="560">
      <formula>OR(IF(BZ44&lt;CA44,TRUE),IF(AND(CA44="",BZ44&lt;&gt;""),TRUE))</formula>
    </cfRule>
    <cfRule type="expression" dxfId="429" priority="561">
      <formula>IF(BZ44&gt;=CA44,IF(BZ44="",FALSE,TRUE))</formula>
    </cfRule>
  </conditionalFormatting>
  <conditionalFormatting sqref="CB12:CB18">
    <cfRule type="expression" dxfId="428" priority="382">
      <formula>IF(CB12&gt;=CC12,IF(CB12="",FALSE,TRUE))</formula>
    </cfRule>
    <cfRule type="expression" dxfId="427" priority="381">
      <formula>OR(IF(CB12&lt;CC12,TRUE),IF(AND(CC12="",CB12&lt;&gt;""),TRUE))</formula>
    </cfRule>
  </conditionalFormatting>
  <conditionalFormatting sqref="CG5:CG18">
    <cfRule type="expression" dxfId="424" priority="542">
      <formula>IF(CG5&gt;=CH5,IF(CG5="",FALSE,TRUE))</formula>
    </cfRule>
    <cfRule type="expression" dxfId="423" priority="541">
      <formula>OR(IF(CG5&lt;CH5,TRUE),IF(AND(CH5="",CG5&lt;&gt;""),TRUE))</formula>
    </cfRule>
  </conditionalFormatting>
  <conditionalFormatting sqref="CG35:CG41">
    <cfRule type="expression" dxfId="422" priority="544">
      <formula>IF(CG35&gt;=CH35,IF(CG35="",FALSE,TRUE))</formula>
    </cfRule>
    <cfRule type="expression" dxfId="421" priority="543">
      <formula>OR(IF(CG35&lt;CH35,TRUE),IF(AND(CH35="",CG35&lt;&gt;""),TRUE))</formula>
    </cfRule>
  </conditionalFormatting>
  <conditionalFormatting sqref="CG44:CG53">
    <cfRule type="expression" dxfId="420" priority="539">
      <formula>OR(IF(CG44&lt;CH44,TRUE),IF(AND(CH44="",CG44&lt;&gt;""),TRUE))</formula>
    </cfRule>
    <cfRule type="expression" dxfId="419" priority="540">
      <formula>IF(CG44&gt;=CH44,IF(CG44="",FALSE,TRUE))</formula>
    </cfRule>
  </conditionalFormatting>
  <conditionalFormatting sqref="CI13:CI18">
    <cfRule type="expression" dxfId="418" priority="374">
      <formula>IF(CI13&gt;=CJ13,IF(CI13="",FALSE,TRUE))</formula>
    </cfRule>
    <cfRule type="expression" dxfId="417" priority="373">
      <formula>OR(IF(CI13&lt;CJ13,TRUE),IF(AND(CJ13="",CI13&lt;&gt;""),TRUE))</formula>
    </cfRule>
  </conditionalFormatting>
  <conditionalFormatting sqref="CN5:CN18">
    <cfRule type="expression" dxfId="414" priority="438">
      <formula>IF(CN5&gt;=CO5,IF(CN5="",FALSE,TRUE))</formula>
    </cfRule>
    <cfRule type="expression" dxfId="413" priority="437">
      <formula>OR(IF(CN5&lt;CO5,TRUE),IF(AND(CO5="",CN5&lt;&gt;""),TRUE))</formula>
    </cfRule>
  </conditionalFormatting>
  <conditionalFormatting sqref="CN35:CN41">
    <cfRule type="expression" dxfId="412" priority="439">
      <formula>OR(IF(CN35&lt;CO35,TRUE),IF(AND(CO35="",CN35&lt;&gt;""),TRUE))</formula>
    </cfRule>
    <cfRule type="expression" dxfId="411" priority="440">
      <formula>IF(CN35&gt;=CO35,IF(CN35="",FALSE,TRUE))</formula>
    </cfRule>
  </conditionalFormatting>
  <conditionalFormatting sqref="CN44:CN53">
    <cfRule type="expression" dxfId="410" priority="435">
      <formula>OR(IF(CN44&lt;CO44,TRUE),IF(AND(CO44="",CN44&lt;&gt;""),TRUE))</formula>
    </cfRule>
    <cfRule type="expression" dxfId="409" priority="436">
      <formula>IF(CN44&gt;=CO44,IF(CN44="",FALSE,TRUE))</formula>
    </cfRule>
  </conditionalFormatting>
  <conditionalFormatting sqref="CP13:CP18">
    <cfRule type="expression" dxfId="408" priority="365">
      <formula>OR(IF(CP13&lt;CQ13,TRUE),IF(AND(CQ13="",CP13&lt;&gt;""),TRUE))</formula>
    </cfRule>
    <cfRule type="expression" dxfId="407" priority="366">
      <formula>IF(CP13&gt;=CQ13,IF(CP13="",FALSE,TRUE))</formula>
    </cfRule>
  </conditionalFormatting>
  <conditionalFormatting sqref="CU5:CU18">
    <cfRule type="expression" dxfId="404" priority="526">
      <formula>IF(CU5&gt;=CV5,IF(CU5="",FALSE,TRUE))</formula>
    </cfRule>
    <cfRule type="expression" dxfId="403" priority="525">
      <formula>OR(IF(CU5&lt;CV5,TRUE),IF(AND(CV5="",CU5&lt;&gt;""),TRUE))</formula>
    </cfRule>
  </conditionalFormatting>
  <conditionalFormatting sqref="CU35:CU41">
    <cfRule type="expression" dxfId="402" priority="528">
      <formula>IF(CU35&gt;=CV35,IF(CU35="",FALSE,TRUE))</formula>
    </cfRule>
    <cfRule type="expression" dxfId="401" priority="527">
      <formula>OR(IF(CU35&lt;CV35,TRUE),IF(AND(CV35="",CU35&lt;&gt;""),TRUE))</formula>
    </cfRule>
  </conditionalFormatting>
  <conditionalFormatting sqref="CU44:CU53">
    <cfRule type="expression" dxfId="400" priority="524">
      <formula>IF(CU44&gt;=CV44,IF(CU44="",FALSE,TRUE))</formula>
    </cfRule>
    <cfRule type="expression" dxfId="399" priority="523">
      <formula>OR(IF(CU44&lt;CV44,TRUE),IF(AND(CV44="",CU44&lt;&gt;""),TRUE))</formula>
    </cfRule>
  </conditionalFormatting>
  <conditionalFormatting sqref="DB5:DB18">
    <cfRule type="expression" dxfId="394" priority="445">
      <formula>OR(IF(DB5&lt;DC5,TRUE),IF(AND(DC5="",DB5&lt;&gt;""),TRUE))</formula>
    </cfRule>
    <cfRule type="expression" dxfId="393" priority="446">
      <formula>IF(DB5&gt;=DC5,IF(DB5="",FALSE,TRUE))</formula>
    </cfRule>
  </conditionalFormatting>
  <conditionalFormatting sqref="DB35:DB41 DD35:DD41">
    <cfRule type="expression" dxfId="392" priority="447">
      <formula>OR(IF(DB35&lt;DC35,TRUE),IF(AND(DC35="",DB35&lt;&gt;""),TRUE))</formula>
    </cfRule>
    <cfRule type="expression" dxfId="391" priority="448">
      <formula>IF(DB35&gt;=DC35,IF(DB35="",FALSE,TRUE))</formula>
    </cfRule>
  </conditionalFormatting>
  <conditionalFormatting sqref="DB44:DB53">
    <cfRule type="expression" dxfId="390" priority="444">
      <formula>IF(DB44&gt;=DC44,IF(DB44="",FALSE,TRUE))</formula>
    </cfRule>
    <cfRule type="expression" dxfId="389" priority="443">
      <formula>OR(IF(DB44&lt;DC44,TRUE),IF(AND(DC44="",DB44&lt;&gt;""),TRUE))</formula>
    </cfRule>
  </conditionalFormatting>
  <conditionalFormatting sqref="DD44:DD53">
    <cfRule type="expression" dxfId="388" priority="442">
      <formula>IF(DD44&gt;=DE44,IF(DD44="",FALSE,TRUE))</formula>
    </cfRule>
    <cfRule type="expression" dxfId="387" priority="441">
      <formula>OR(IF(DD44&lt;DE44,TRUE),IF(AND(DE44="",DD44&lt;&gt;""),TRUE))</formula>
    </cfRule>
  </conditionalFormatting>
  <conditionalFormatting sqref="DI5:DI18 DK5:DK18">
    <cfRule type="expression" dxfId="386" priority="509">
      <formula>OR(IF(DI5&lt;DJ5,TRUE),IF(AND(DJ5="",DI5&lt;&gt;""),TRUE))</formula>
    </cfRule>
    <cfRule type="expression" dxfId="385" priority="510">
      <formula>IF(DI5&gt;=DJ5,IF(DI5="",FALSE,TRUE))</formula>
    </cfRule>
  </conditionalFormatting>
  <conditionalFormatting sqref="DI35:DI41 DK35:DK41">
    <cfRule type="expression" dxfId="384" priority="512">
      <formula>IF(DI35&gt;=DJ35,IF(DI35="",FALSE,TRUE))</formula>
    </cfRule>
    <cfRule type="expression" dxfId="383" priority="511">
      <formula>OR(IF(DI35&lt;DJ35,TRUE),IF(AND(DJ35="",DI35&lt;&gt;""),TRUE))</formula>
    </cfRule>
  </conditionalFormatting>
  <conditionalFormatting sqref="DI44:DI53">
    <cfRule type="expression" dxfId="382" priority="508">
      <formula>IF(DI44&gt;=DJ44,IF(DI44="",FALSE,TRUE))</formula>
    </cfRule>
    <cfRule type="expression" dxfId="381" priority="507">
      <formula>OR(IF(DI44&lt;DJ44,TRUE),IF(AND(DJ44="",DI44&lt;&gt;""),TRUE))</formula>
    </cfRule>
  </conditionalFormatting>
  <conditionalFormatting sqref="DK44:DK53">
    <cfRule type="expression" dxfId="380" priority="505">
      <formula>OR(IF(DK44&lt;DL44,TRUE),IF(AND(DL44="",DK44&lt;&gt;""),TRUE))</formula>
    </cfRule>
    <cfRule type="expression" dxfId="379" priority="506">
      <formula>IF(DK44&gt;=DL44,IF(DK44="",FALSE,TRUE))</formula>
    </cfRule>
  </conditionalFormatting>
  <conditionalFormatting sqref="DP5:DP18 DR5:DR18">
    <cfRule type="expression" dxfId="378" priority="501">
      <formula>OR(IF(DP5&lt;DQ5,TRUE),IF(AND(DQ5="",DP5&lt;&gt;""),TRUE))</formula>
    </cfRule>
    <cfRule type="expression" dxfId="377" priority="502">
      <formula>IF(DP5&gt;=DQ5,IF(DP5="",FALSE,TRUE))</formula>
    </cfRule>
  </conditionalFormatting>
  <conditionalFormatting sqref="DP35:DP41 DR35:DR41">
    <cfRule type="expression" dxfId="376" priority="503">
      <formula>OR(IF(DP35&lt;DQ35,TRUE),IF(AND(DQ35="",DP35&lt;&gt;""),TRUE))</formula>
    </cfRule>
    <cfRule type="expression" dxfId="375" priority="504">
      <formula>IF(DP35&gt;=DQ35,IF(DP35="",FALSE,TRUE))</formula>
    </cfRule>
  </conditionalFormatting>
  <conditionalFormatting sqref="DP44:DP53">
    <cfRule type="expression" dxfId="374" priority="500">
      <formula>IF(DP44&gt;=DQ44,IF(DP44="",FALSE,TRUE))</formula>
    </cfRule>
    <cfRule type="expression" dxfId="373" priority="499">
      <formula>OR(IF(DP44&lt;DQ44,TRUE),IF(AND(DQ44="",DP44&lt;&gt;""),TRUE))</formula>
    </cfRule>
  </conditionalFormatting>
  <conditionalFormatting sqref="DR44:DR53">
    <cfRule type="expression" dxfId="372" priority="497">
      <formula>OR(IF(DR44&lt;DS44,TRUE),IF(AND(DS44="",DR44&lt;&gt;""),TRUE))</formula>
    </cfRule>
    <cfRule type="expression" dxfId="371" priority="498">
      <formula>IF(DR44&gt;=DS44,IF(DR44="",FALSE,TRUE))</formula>
    </cfRule>
  </conditionalFormatting>
  <conditionalFormatting sqref="DW5:DW18 DY5:DY18">
    <cfRule type="expression" dxfId="370" priority="494">
      <formula>IF(DW5&gt;=DX5,IF(DW5="",FALSE,TRUE))</formula>
    </cfRule>
    <cfRule type="expression" dxfId="369" priority="493">
      <formula>OR(IF(DW5&lt;DX5,TRUE),IF(AND(DX5="",DW5&lt;&gt;""),TRUE))</formula>
    </cfRule>
  </conditionalFormatting>
  <conditionalFormatting sqref="DW35:DW41 DY35:DY41">
    <cfRule type="expression" dxfId="368" priority="495">
      <formula>OR(IF(DW35&lt;DX35,TRUE),IF(AND(DX35="",DW35&lt;&gt;""),TRUE))</formula>
    </cfRule>
    <cfRule type="expression" dxfId="367" priority="496">
      <formula>IF(DW35&gt;=DX35,IF(DW35="",FALSE,TRUE))</formula>
    </cfRule>
  </conditionalFormatting>
  <conditionalFormatting sqref="DW44:DW53">
    <cfRule type="expression" dxfId="366" priority="492">
      <formula>IF(DW44&gt;=DX44,IF(DW44="",FALSE,TRUE))</formula>
    </cfRule>
    <cfRule type="expression" dxfId="365" priority="491">
      <formula>OR(IF(DW44&lt;DX44,TRUE),IF(AND(DX44="",DW44&lt;&gt;""),TRUE))</formula>
    </cfRule>
  </conditionalFormatting>
  <conditionalFormatting sqref="DY44:DY53">
    <cfRule type="expression" dxfId="364" priority="490">
      <formula>IF(DY44&gt;=DZ44,IF(DY44="",FALSE,TRUE))</formula>
    </cfRule>
    <cfRule type="expression" dxfId="363" priority="489">
      <formula>OR(IF(DY44&lt;DZ44,TRUE),IF(AND(DZ44="",DY44&lt;&gt;""),TRUE))</formula>
    </cfRule>
  </conditionalFormatting>
  <conditionalFormatting sqref="ED5:ED18">
    <cfRule type="expression" dxfId="362" priority="485">
      <formula>OR(IF(ED5&lt;EE5,TRUE),IF(AND(EE5="",ED5&lt;&gt;""),TRUE))</formula>
    </cfRule>
    <cfRule type="expression" dxfId="361" priority="486">
      <formula>IF(ED5&gt;=EE5,IF(ED5="",FALSE,TRUE))</formula>
    </cfRule>
  </conditionalFormatting>
  <conditionalFormatting sqref="ED35:ED41 EF35:EF41">
    <cfRule type="expression" dxfId="360" priority="487">
      <formula>OR(IF(ED35&lt;EE35,TRUE),IF(AND(EE35="",ED35&lt;&gt;""),TRUE))</formula>
    </cfRule>
    <cfRule type="expression" dxfId="359" priority="488">
      <formula>IF(ED35&gt;=EE35,IF(ED35="",FALSE,TRUE))</formula>
    </cfRule>
  </conditionalFormatting>
  <conditionalFormatting sqref="ED44:ED53">
    <cfRule type="expression" dxfId="358" priority="484">
      <formula>IF(ED44&gt;=EE44,IF(ED44="",FALSE,TRUE))</formula>
    </cfRule>
    <cfRule type="expression" dxfId="357" priority="483">
      <formula>OR(IF(ED44&lt;EE44,TRUE),IF(AND(EE44="",ED44&lt;&gt;""),TRUE))</formula>
    </cfRule>
  </conditionalFormatting>
  <conditionalFormatting sqref="EF44:EF53">
    <cfRule type="expression" dxfId="356" priority="481">
      <formula>OR(IF(EF44&lt;EG44,TRUE),IF(AND(EG44="",EF44&lt;&gt;""),TRUE))</formula>
    </cfRule>
    <cfRule type="expression" dxfId="355" priority="482">
      <formula>IF(EF44&gt;=EG44,IF(EF44="",FALSE,TRUE))</formula>
    </cfRule>
  </conditionalFormatting>
  <conditionalFormatting sqref="EK5:EK18">
    <cfRule type="expression" dxfId="354" priority="350">
      <formula>IF(EK5&gt;=EL5,IF(EK5="",FALSE,TRUE))</formula>
    </cfRule>
    <cfRule type="expression" dxfId="353" priority="349">
      <formula>OR(IF(EK5&lt;EL5,TRUE),IF(AND(EL5="",EK5&lt;&gt;""),TRUE))</formula>
    </cfRule>
  </conditionalFormatting>
  <conditionalFormatting sqref="EK21:EK32 EM21:EM32 EK56:EK65">
    <cfRule type="expression" dxfId="352" priority="354">
      <formula>IF(EK21&gt;=EL21,IF(EK21="",FALSE,TRUE))</formula>
    </cfRule>
    <cfRule type="expression" dxfId="351" priority="353">
      <formula>OR(IF(EK21&lt;EL21,TRUE),IF(AND(EL21="",EK21&lt;&gt;""),TRUE))</formula>
    </cfRule>
  </conditionalFormatting>
  <conditionalFormatting sqref="EK35:EK41 EM35:EM41">
    <cfRule type="expression" dxfId="350" priority="352">
      <formula>IF(EK35&gt;=EL35,IF(EK35="",FALSE,TRUE))</formula>
    </cfRule>
    <cfRule type="expression" dxfId="349" priority="351">
      <formula>OR(IF(EK35&lt;EL35,TRUE),IF(AND(EL35="",EK35&lt;&gt;""),TRUE))</formula>
    </cfRule>
  </conditionalFormatting>
  <conditionalFormatting sqref="EK44:EK53">
    <cfRule type="expression" dxfId="348" priority="348">
      <formula>IF(EK44&gt;=EL44,IF(EK44="",FALSE,TRUE))</formula>
    </cfRule>
    <cfRule type="expression" dxfId="347" priority="347">
      <formula>OR(IF(EK44&lt;EL44,TRUE),IF(AND(EL44="",EK44&lt;&gt;""),TRUE))</formula>
    </cfRule>
  </conditionalFormatting>
  <conditionalFormatting sqref="EM44:EM53">
    <cfRule type="expression" dxfId="346" priority="346">
      <formula>IF(EM44&gt;=EN44,IF(EM44="",FALSE,TRUE))</formula>
    </cfRule>
    <cfRule type="expression" dxfId="345" priority="345">
      <formula>OR(IF(EM44&lt;EN44,TRUE),IF(AND(EN44="",EM44&lt;&gt;""),TRUE))</formula>
    </cfRule>
  </conditionalFormatting>
  <conditionalFormatting sqref="ER5:ER18">
    <cfRule type="expression" dxfId="344" priority="340">
      <formula>IF(ER5&gt;=ES5,IF(ER5="",FALSE,TRUE))</formula>
    </cfRule>
    <cfRule type="expression" dxfId="343" priority="339">
      <formula>OR(IF(ER5&lt;ES5,TRUE),IF(AND(ES5="",ER5&lt;&gt;""),TRUE))</formula>
    </cfRule>
  </conditionalFormatting>
  <conditionalFormatting sqref="ER21:ER32 ET21:ET32 ER56:ER65">
    <cfRule type="expression" dxfId="342" priority="344">
      <formula>IF(ER21&gt;=ES21,IF(ER21="",FALSE,TRUE))</formula>
    </cfRule>
    <cfRule type="expression" dxfId="341" priority="343">
      <formula>OR(IF(ER21&lt;ES21,TRUE),IF(AND(ES21="",ER21&lt;&gt;""),TRUE))</formula>
    </cfRule>
  </conditionalFormatting>
  <conditionalFormatting sqref="ER35:ER41 ET35:ET41">
    <cfRule type="expression" dxfId="340" priority="342">
      <formula>IF(ER35&gt;=ES35,IF(ER35="",FALSE,TRUE))</formula>
    </cfRule>
    <cfRule type="expression" dxfId="339" priority="341">
      <formula>OR(IF(ER35&lt;ES35,TRUE),IF(AND(ES35="",ER35&lt;&gt;""),TRUE))</formula>
    </cfRule>
  </conditionalFormatting>
  <conditionalFormatting sqref="ER44:ER53">
    <cfRule type="expression" dxfId="338" priority="337">
      <formula>OR(IF(ER44&lt;ES44,TRUE),IF(AND(ES44="",ER44&lt;&gt;""),TRUE))</formula>
    </cfRule>
    <cfRule type="expression" dxfId="337" priority="338">
      <formula>IF(ER44&gt;=ES44,IF(ER44="",FALSE,TRUE))</formula>
    </cfRule>
  </conditionalFormatting>
  <conditionalFormatting sqref="ET44:ET53">
    <cfRule type="expression" dxfId="336" priority="335">
      <formula>OR(IF(ET44&lt;EU44,TRUE),IF(AND(EU44="",ET44&lt;&gt;""),TRUE))</formula>
    </cfRule>
    <cfRule type="expression" dxfId="335" priority="336">
      <formula>IF(ET44&gt;=EU44,IF(ET44="",FALSE,TRUE))</formula>
    </cfRule>
  </conditionalFormatting>
  <conditionalFormatting sqref="EY5:EY18">
    <cfRule type="expression" dxfId="334" priority="329">
      <formula>OR(IF(EY5&lt;EZ5,TRUE),IF(AND(EZ5="",EY5&lt;&gt;""),TRUE))</formula>
    </cfRule>
    <cfRule type="expression" dxfId="333" priority="330">
      <formula>IF(EY5&gt;=EZ5,IF(EY5="",FALSE,TRUE))</formula>
    </cfRule>
  </conditionalFormatting>
  <conditionalFormatting sqref="EY21:EY32 FA21:FA32 EY56:EY65">
    <cfRule type="expression" dxfId="332" priority="334">
      <formula>IF(EY21&gt;=EZ21,IF(EY21="",FALSE,TRUE))</formula>
    </cfRule>
    <cfRule type="expression" dxfId="331" priority="333">
      <formula>OR(IF(EY21&lt;EZ21,TRUE),IF(AND(EZ21="",EY21&lt;&gt;""),TRUE))</formula>
    </cfRule>
  </conditionalFormatting>
  <conditionalFormatting sqref="EY35:EY41 FA35:FA41">
    <cfRule type="expression" dxfId="330" priority="332">
      <formula>IF(EY35&gt;=EZ35,IF(EY35="",FALSE,TRUE))</formula>
    </cfRule>
    <cfRule type="expression" dxfId="329" priority="331">
      <formula>OR(IF(EY35&lt;EZ35,TRUE),IF(AND(EZ35="",EY35&lt;&gt;""),TRUE))</formula>
    </cfRule>
  </conditionalFormatting>
  <conditionalFormatting sqref="EY44:EY53">
    <cfRule type="expression" dxfId="328" priority="328">
      <formula>IF(EY44&gt;=EZ44,IF(EY44="",FALSE,TRUE))</formula>
    </cfRule>
    <cfRule type="expression" dxfId="327" priority="327">
      <formula>OR(IF(EY44&lt;EZ44,TRUE),IF(AND(EZ44="",EY44&lt;&gt;""),TRUE))</formula>
    </cfRule>
  </conditionalFormatting>
  <conditionalFormatting sqref="FA44:FA53">
    <cfRule type="expression" dxfId="326" priority="325">
      <formula>OR(IF(FA44&lt;FB44,TRUE),IF(AND(FB44="",FA44&lt;&gt;""),TRUE))</formula>
    </cfRule>
    <cfRule type="expression" dxfId="325" priority="326">
      <formula>IF(FA44&gt;=FB44,IF(FA44="",FALSE,TRUE))</formula>
    </cfRule>
  </conditionalFormatting>
  <conditionalFormatting sqref="FF5:FF18">
    <cfRule type="expression" dxfId="324" priority="320">
      <formula>IF(FF5&gt;=FG5,IF(FF5="",FALSE,TRUE))</formula>
    </cfRule>
    <cfRule type="expression" dxfId="323" priority="319">
      <formula>OR(IF(FF5&lt;FG5,TRUE),IF(AND(FG5="",FF5&lt;&gt;""),TRUE))</formula>
    </cfRule>
  </conditionalFormatting>
  <conditionalFormatting sqref="FF21:FF32 FH21:FH32 FF56:FF65">
    <cfRule type="expression" dxfId="322" priority="323">
      <formula>OR(IF(FF21&lt;FG21,TRUE),IF(AND(FG21="",FF21&lt;&gt;""),TRUE))</formula>
    </cfRule>
    <cfRule type="expression" dxfId="321" priority="324">
      <formula>IF(FF21&gt;=FG21,IF(FF21="",FALSE,TRUE))</formula>
    </cfRule>
  </conditionalFormatting>
  <conditionalFormatting sqref="FF35:FF41 FH35:FH41">
    <cfRule type="expression" dxfId="320" priority="322">
      <formula>IF(FF35&gt;=FG35,IF(FF35="",FALSE,TRUE))</formula>
    </cfRule>
    <cfRule type="expression" dxfId="319" priority="321">
      <formula>OR(IF(FF35&lt;FG35,TRUE),IF(AND(FG35="",FF35&lt;&gt;""),TRUE))</formula>
    </cfRule>
  </conditionalFormatting>
  <conditionalFormatting sqref="FF44:FF53">
    <cfRule type="expression" dxfId="318" priority="318">
      <formula>IF(FF44&gt;=FG44,IF(FF44="",FALSE,TRUE))</formula>
    </cfRule>
    <cfRule type="expression" dxfId="317" priority="317">
      <formula>OR(IF(FF44&lt;FG44,TRUE),IF(AND(FG44="",FF44&lt;&gt;""),TRUE))</formula>
    </cfRule>
  </conditionalFormatting>
  <conditionalFormatting sqref="FH44:FH53">
    <cfRule type="expression" dxfId="316" priority="316">
      <formula>IF(FH44&gt;=FI44,IF(FH44="",FALSE,TRUE))</formula>
    </cfRule>
    <cfRule type="expression" dxfId="315" priority="315">
      <formula>OR(IF(FH44&lt;FI44,TRUE),IF(AND(FI44="",FH44&lt;&gt;""),TRUE))</formula>
    </cfRule>
  </conditionalFormatting>
  <conditionalFormatting sqref="FM5:FM18">
    <cfRule type="expression" dxfId="314" priority="310">
      <formula>IF(FM5&gt;=FN5,IF(FM5="",FALSE,TRUE))</formula>
    </cfRule>
    <cfRule type="expression" dxfId="313" priority="309">
      <formula>OR(IF(FM5&lt;FN5,TRUE),IF(AND(FN5="",FM5&lt;&gt;""),TRUE))</formula>
    </cfRule>
  </conditionalFormatting>
  <conditionalFormatting sqref="FM21:FM32 FO21:FO32 FM56:FM65 FO56:FO65">
    <cfRule type="expression" dxfId="312" priority="314">
      <formula>IF(FM21&gt;=FN21,IF(FM21="",FALSE,TRUE))</formula>
    </cfRule>
    <cfRule type="expression" dxfId="311" priority="313">
      <formula>OR(IF(FM21&lt;FN21,TRUE),IF(AND(FN21="",FM21&lt;&gt;""),TRUE))</formula>
    </cfRule>
  </conditionalFormatting>
  <conditionalFormatting sqref="FM35:FM41 FO35:FO41">
    <cfRule type="expression" dxfId="310" priority="312">
      <formula>IF(FM35&gt;=FN35,IF(FM35="",FALSE,TRUE))</formula>
    </cfRule>
    <cfRule type="expression" dxfId="309" priority="311">
      <formula>OR(IF(FM35&lt;FN35,TRUE),IF(AND(FN35="",FM35&lt;&gt;""),TRUE))</formula>
    </cfRule>
  </conditionalFormatting>
  <conditionalFormatting sqref="FM44:FM53">
    <cfRule type="expression" dxfId="308" priority="308">
      <formula>IF(FM44&gt;=FN44,IF(FM44="",FALSE,TRUE))</formula>
    </cfRule>
    <cfRule type="expression" dxfId="307" priority="307">
      <formula>OR(IF(FM44&lt;FN44,TRUE),IF(AND(FN44="",FM44&lt;&gt;""),TRUE))</formula>
    </cfRule>
  </conditionalFormatting>
  <conditionalFormatting sqref="FO44:FO53">
    <cfRule type="expression" dxfId="306" priority="306">
      <formula>IF(FO44&gt;=FP44,IF(FO44="",FALSE,TRUE))</formula>
    </cfRule>
    <cfRule type="expression" dxfId="305" priority="305">
      <formula>OR(IF(FO44&lt;FP44,TRUE),IF(AND(FP44="",FO44&lt;&gt;""),TRUE))</formula>
    </cfRule>
  </conditionalFormatting>
  <conditionalFormatting sqref="FT5:FT18 FV5:FV18">
    <cfRule type="expression" dxfId="304" priority="300">
      <formula>IF(FT5&gt;=FU5,IF(FT5="",FALSE,TRUE))</formula>
    </cfRule>
    <cfRule type="expression" dxfId="303" priority="299">
      <formula>OR(IF(FT5&lt;FU5,TRUE),IF(AND(FU5="",FT5&lt;&gt;""),TRUE))</formula>
    </cfRule>
  </conditionalFormatting>
  <conditionalFormatting sqref="FT21:FT32 FV21:FV32 FT56:FT65 FV56:FV65">
    <cfRule type="expression" dxfId="302" priority="304">
      <formula>IF(FT21&gt;=FU21,IF(FT21="",FALSE,TRUE))</formula>
    </cfRule>
    <cfRule type="expression" dxfId="301" priority="303">
      <formula>OR(IF(FT21&lt;FU21,TRUE),IF(AND(FU21="",FT21&lt;&gt;""),TRUE))</formula>
    </cfRule>
  </conditionalFormatting>
  <conditionalFormatting sqref="FT35:FT41 FV35:FV41">
    <cfRule type="expression" dxfId="300" priority="302">
      <formula>IF(FT35&gt;=FU35,IF(FT35="",FALSE,TRUE))</formula>
    </cfRule>
    <cfRule type="expression" dxfId="299" priority="301">
      <formula>OR(IF(FT35&lt;FU35,TRUE),IF(AND(FU35="",FT35&lt;&gt;""),TRUE))</formula>
    </cfRule>
  </conditionalFormatting>
  <conditionalFormatting sqref="FT44:FT53">
    <cfRule type="expression" dxfId="298" priority="297">
      <formula>OR(IF(FT44&lt;FU44,TRUE),IF(AND(FU44="",FT44&lt;&gt;""),TRUE))</formula>
    </cfRule>
    <cfRule type="expression" dxfId="297" priority="298">
      <formula>IF(FT44&gt;=FU44,IF(FT44="",FALSE,TRUE))</formula>
    </cfRule>
  </conditionalFormatting>
  <conditionalFormatting sqref="FV44:FV53">
    <cfRule type="expression" dxfId="296" priority="296">
      <formula>IF(FV44&gt;=FW44,IF(FV44="",FALSE,TRUE))</formula>
    </cfRule>
    <cfRule type="expression" dxfId="295" priority="295">
      <formula>OR(IF(FV44&lt;FW44,TRUE),IF(AND(FW44="",FV44&lt;&gt;""),TRUE))</formula>
    </cfRule>
  </conditionalFormatting>
  <conditionalFormatting sqref="GA5:GA18 GC5:GC18">
    <cfRule type="expression" dxfId="294" priority="290">
      <formula>IF(GA5&gt;=GB5,IF(GA5="",FALSE,TRUE))</formula>
    </cfRule>
    <cfRule type="expression" dxfId="293" priority="289">
      <formula>OR(IF(GA5&lt;GB5,TRUE),IF(AND(GB5="",GA5&lt;&gt;""),TRUE))</formula>
    </cfRule>
  </conditionalFormatting>
  <conditionalFormatting sqref="GA21:GA32 GC21:GC32 GA56:GA65 GC56:GC65">
    <cfRule type="expression" dxfId="292" priority="294">
      <formula>IF(GA21&gt;=GB21,IF(GA21="",FALSE,TRUE))</formula>
    </cfRule>
    <cfRule type="expression" dxfId="291" priority="293">
      <formula>OR(IF(GA21&lt;GB21,TRUE),IF(AND(GB21="",GA21&lt;&gt;""),TRUE))</formula>
    </cfRule>
  </conditionalFormatting>
  <conditionalFormatting sqref="GA35:GA41 GC35:GC41">
    <cfRule type="expression" dxfId="290" priority="292">
      <formula>IF(GA35&gt;=GB35,IF(GA35="",FALSE,TRUE))</formula>
    </cfRule>
    <cfRule type="expression" dxfId="289" priority="291">
      <formula>OR(IF(GA35&lt;GB35,TRUE),IF(AND(GB35="",GA35&lt;&gt;""),TRUE))</formula>
    </cfRule>
  </conditionalFormatting>
  <conditionalFormatting sqref="GA44:GA53">
    <cfRule type="expression" dxfId="288" priority="287">
      <formula>OR(IF(GA44&lt;GB44,TRUE),IF(AND(GB44="",GA44&lt;&gt;""),TRUE))</formula>
    </cfRule>
    <cfRule type="expression" dxfId="287" priority="288">
      <formula>IF(GA44&gt;=GB44,IF(GA44="",FALSE,TRUE))</formula>
    </cfRule>
  </conditionalFormatting>
  <conditionalFormatting sqref="GC44:GC53">
    <cfRule type="expression" dxfId="286" priority="286">
      <formula>IF(GC44&gt;=GD44,IF(GC44="",FALSE,TRUE))</formula>
    </cfRule>
    <cfRule type="expression" dxfId="285" priority="285">
      <formula>OR(IF(GC44&lt;GD44,TRUE),IF(AND(GD44="",GC44&lt;&gt;""),TRUE))</formula>
    </cfRule>
  </conditionalFormatting>
  <conditionalFormatting sqref="GH5:GH18 GJ5:GJ18">
    <cfRule type="expression" dxfId="284" priority="280">
      <formula>IF(GH5&gt;=GI5,IF(GH5="",FALSE,TRUE))</formula>
    </cfRule>
    <cfRule type="expression" dxfId="283" priority="279">
      <formula>OR(IF(GH5&lt;GI5,TRUE),IF(AND(GI5="",GH5&lt;&gt;""),TRUE))</formula>
    </cfRule>
  </conditionalFormatting>
  <conditionalFormatting sqref="GH21:GH32 GJ21:GJ32 GH56:GH65 GJ56:GJ65">
    <cfRule type="expression" dxfId="282" priority="284">
      <formula>IF(GH21&gt;=GI21,IF(GH21="",FALSE,TRUE))</formula>
    </cfRule>
    <cfRule type="expression" dxfId="281" priority="283">
      <formula>OR(IF(GH21&lt;GI21,TRUE),IF(AND(GI21="",GH21&lt;&gt;""),TRUE))</formula>
    </cfRule>
  </conditionalFormatting>
  <conditionalFormatting sqref="GH35:GH41 GJ35:GJ41">
    <cfRule type="expression" dxfId="280" priority="281">
      <formula>OR(IF(GH35&lt;GI35,TRUE),IF(AND(GI35="",GH35&lt;&gt;""),TRUE))</formula>
    </cfRule>
    <cfRule type="expression" dxfId="279" priority="282">
      <formula>IF(GH35&gt;=GI35,IF(GH35="",FALSE,TRUE))</formula>
    </cfRule>
  </conditionalFormatting>
  <conditionalFormatting sqref="GH44:GH53">
    <cfRule type="expression" dxfId="278" priority="278">
      <formula>IF(GH44&gt;=GI44,IF(GH44="",FALSE,TRUE))</formula>
    </cfRule>
    <cfRule type="expression" dxfId="277" priority="277">
      <formula>OR(IF(GH44&lt;GI44,TRUE),IF(AND(GI44="",GH44&lt;&gt;""),TRUE))</formula>
    </cfRule>
  </conditionalFormatting>
  <conditionalFormatting sqref="GJ44:GJ53">
    <cfRule type="expression" dxfId="276" priority="275">
      <formula>OR(IF(GJ44&lt;GK44,TRUE),IF(AND(GK44="",GJ44&lt;&gt;""),TRUE))</formula>
    </cfRule>
    <cfRule type="expression" dxfId="275" priority="276">
      <formula>IF(GJ44&gt;=GK44,IF(GJ44="",FALSE,TRUE))</formula>
    </cfRule>
  </conditionalFormatting>
  <conditionalFormatting sqref="FH56:FH65">
    <cfRule type="expression" dxfId="262" priority="241">
      <formula>OR(IF(FH56&lt;FI56,TRUE),IF(AND(FI56="",FH56&lt;&gt;""),TRUE))</formula>
    </cfRule>
    <cfRule type="expression" dxfId="263" priority="242">
      <formula>IF(FH56&gt;=FI56,IF(FH56="",FALSE,TRUE))</formula>
    </cfRule>
  </conditionalFormatting>
  <conditionalFormatting sqref="FA18">
    <cfRule type="expression" dxfId="261" priority="239">
      <formula>OR(IF(FA18&lt;FB18,TRUE),IF(AND(FB18="",FA18&lt;&gt;""),TRUE))</formula>
    </cfRule>
    <cfRule type="expression" dxfId="260" priority="240">
      <formula>IF(FA18&gt;=FB18,IF(FA18="",FALSE,TRUE))</formula>
    </cfRule>
  </conditionalFormatting>
  <conditionalFormatting sqref="FA56:FA65">
    <cfRule type="expression" dxfId="259" priority="237">
      <formula>OR(IF(FA56&lt;FB56,TRUE),IF(AND(FB56="",FA56&lt;&gt;""),TRUE))</formula>
    </cfRule>
    <cfRule type="expression" dxfId="258" priority="238">
      <formula>IF(FA56&gt;=FB56,IF(FA56="",FALSE,TRUE))</formula>
    </cfRule>
  </conditionalFormatting>
  <conditionalFormatting sqref="ET18">
    <cfRule type="expression" dxfId="257" priority="235">
      <formula>OR(IF(ET18&lt;EU18,TRUE),IF(AND(EU18="",ET18&lt;&gt;""),TRUE))</formula>
    </cfRule>
    <cfRule type="expression" dxfId="256" priority="236">
      <formula>IF(ET18&gt;=EU18,IF(ET18="",FALSE,TRUE))</formula>
    </cfRule>
  </conditionalFormatting>
  <conditionalFormatting sqref="ET56:ET65">
    <cfRule type="expression" dxfId="255" priority="233">
      <formula>OR(IF(ET56&lt;EU56,TRUE),IF(AND(EU56="",ET56&lt;&gt;""),TRUE))</formula>
    </cfRule>
    <cfRule type="expression" dxfId="254" priority="234">
      <formula>IF(ET56&gt;=EU56,IF(ET56="",FALSE,TRUE))</formula>
    </cfRule>
  </conditionalFormatting>
  <conditionalFormatting sqref="EM56:EM65">
    <cfRule type="expression" dxfId="251" priority="229">
      <formula>OR(IF(EM56&lt;EN56,TRUE),IF(AND(EN56="",EM56&lt;&gt;""),TRUE))</formula>
    </cfRule>
    <cfRule type="expression" dxfId="250" priority="230">
      <formula>IF(EM56&gt;=EN56,IF(EM56="",FALSE,TRUE))</formula>
    </cfRule>
  </conditionalFormatting>
  <conditionalFormatting sqref="EF5:EF18">
    <cfRule type="expression" dxfId="249" priority="227">
      <formula>OR(IF(EF5&lt;EG5,TRUE),IF(AND(EG5="",EF5&lt;&gt;""),TRUE))</formula>
    </cfRule>
    <cfRule type="expression" dxfId="248" priority="228">
      <formula>IF(EF5&gt;=EG5,IF(EF5="",FALSE,TRUE))</formula>
    </cfRule>
  </conditionalFormatting>
  <conditionalFormatting sqref="EF56:EF64">
    <cfRule type="expression" dxfId="247" priority="225">
      <formula>OR(IF(EF56&lt;EG56,TRUE),IF(AND(EG56="",EF56&lt;&gt;""),TRUE))</formula>
    </cfRule>
    <cfRule type="expression" dxfId="246" priority="226">
      <formula>IF(EF56&gt;=EG56,IF(EF56="",FALSE,TRUE))</formula>
    </cfRule>
  </conditionalFormatting>
  <conditionalFormatting sqref="DD56:DD65">
    <cfRule type="expression" dxfId="243" priority="221">
      <formula>OR(IF(DD56&lt;DE56,TRUE),IF(AND(DE56="",DD56&lt;&gt;""),TRUE))</formula>
    </cfRule>
    <cfRule type="expression" dxfId="242" priority="222">
      <formula>IF(DD56&gt;=DE56,IF(DD56="",FALSE,TRUE))</formula>
    </cfRule>
  </conditionalFormatting>
  <conditionalFormatting sqref="AL44:AL46">
    <cfRule type="expression" dxfId="237" priority="215">
      <formula>OR(IF(AL44&lt;AM44,TRUE),IF(AND(AM44="",AL44&lt;&gt;""),TRUE))</formula>
    </cfRule>
    <cfRule type="expression" dxfId="236" priority="216">
      <formula>IF(AL44&gt;=AM44,IF(AL44="",FALSE,TRUE))</formula>
    </cfRule>
  </conditionalFormatting>
  <conditionalFormatting sqref="AS47:AS48">
    <cfRule type="expression" dxfId="235" priority="213">
      <formula>OR(IF(AS47&lt;AT47,TRUE),IF(AND(AT47="",AS47&lt;&gt;""),TRUE))</formula>
    </cfRule>
    <cfRule type="expression" dxfId="234" priority="214">
      <formula>IF(AS47&gt;=AT47,IF(AS47="",FALSE,TRUE))</formula>
    </cfRule>
  </conditionalFormatting>
  <conditionalFormatting sqref="AS44:AS46">
    <cfRule type="expression" dxfId="233" priority="211">
      <formula>OR(IF(AS44&lt;AT44,TRUE),IF(AND(AT44="",AS44&lt;&gt;""),TRUE))</formula>
    </cfRule>
    <cfRule type="expression" dxfId="232" priority="212">
      <formula>IF(AS44&gt;=AT44,IF(AS44="",FALSE,TRUE))</formula>
    </cfRule>
  </conditionalFormatting>
  <conditionalFormatting sqref="AZ49:AZ50">
    <cfRule type="expression" dxfId="230" priority="209">
      <formula>OR(IF(AZ49&lt;BA49,TRUE),IF(AND(BA49="",AZ49&lt;&gt;""),TRUE))</formula>
    </cfRule>
    <cfRule type="expression" dxfId="231" priority="210">
      <formula>IF(AZ49&gt;=BA49,IF(AZ49="",FALSE,TRUE))</formula>
    </cfRule>
  </conditionalFormatting>
  <conditionalFormatting sqref="AZ47:AZ48">
    <cfRule type="expression" dxfId="229" priority="207">
      <formula>OR(IF(AZ47&lt;BA47,TRUE),IF(AND(BA47="",AZ47&lt;&gt;""),TRUE))</formula>
    </cfRule>
    <cfRule type="expression" dxfId="228" priority="208">
      <formula>IF(AZ47&gt;=BA47,IF(AZ47="",FALSE,TRUE))</formula>
    </cfRule>
  </conditionalFormatting>
  <conditionalFormatting sqref="AZ44:AZ46">
    <cfRule type="expression" dxfId="227" priority="205">
      <formula>OR(IF(AZ44&lt;BA44,TRUE),IF(AND(BA44="",AZ44&lt;&gt;""),TRUE))</formula>
    </cfRule>
    <cfRule type="expression" dxfId="226" priority="206">
      <formula>IF(AZ44&gt;=BA44,IF(AZ44="",FALSE,TRUE))</formula>
    </cfRule>
  </conditionalFormatting>
  <conditionalFormatting sqref="BG51:BG52">
    <cfRule type="expression" dxfId="225" priority="203">
      <formula>OR(IF(BG51&lt;BH51,TRUE),IF(AND(BH51="",BG51&lt;&gt;""),TRUE))</formula>
    </cfRule>
    <cfRule type="expression" dxfId="224" priority="204">
      <formula>IF(BG51&gt;=BH51,IF(BG51="",FALSE,TRUE))</formula>
    </cfRule>
  </conditionalFormatting>
  <conditionalFormatting sqref="BG49:BG50">
    <cfRule type="expression" dxfId="223" priority="201">
      <formula>OR(IF(BG49&lt;BH49,TRUE),IF(AND(BH49="",BG49&lt;&gt;""),TRUE))</formula>
    </cfRule>
    <cfRule type="expression" dxfId="222" priority="202">
      <formula>IF(BG49&gt;=BH49,IF(BG49="",FALSE,TRUE))</formula>
    </cfRule>
  </conditionalFormatting>
  <conditionalFormatting sqref="BG47:BG48">
    <cfRule type="expression" dxfId="221" priority="199">
      <formula>OR(IF(BG47&lt;BH47,TRUE),IF(AND(BH47="",BG47&lt;&gt;""),TRUE))</formula>
    </cfRule>
    <cfRule type="expression" dxfId="220" priority="200">
      <formula>IF(BG47&gt;=BH47,IF(BG47="",FALSE,TRUE))</formula>
    </cfRule>
  </conditionalFormatting>
  <conditionalFormatting sqref="BG44:BG46">
    <cfRule type="expression" dxfId="219" priority="197">
      <formula>OR(IF(BG44&lt;BH44,TRUE),IF(AND(BH44="",BG44&lt;&gt;""),TRUE))</formula>
    </cfRule>
    <cfRule type="expression" dxfId="218" priority="198">
      <formula>IF(BG44&gt;=BH44,IF(BG44="",FALSE,TRUE))</formula>
    </cfRule>
  </conditionalFormatting>
  <conditionalFormatting sqref="BN53">
    <cfRule type="expression" dxfId="217" priority="195">
      <formula>OR(IF(BN53&lt;BO53,TRUE),IF(AND(BO53="",BN53&lt;&gt;""),TRUE))</formula>
    </cfRule>
    <cfRule type="expression" dxfId="216" priority="196">
      <formula>IF(BN53&gt;=BO53,IF(BN53="",FALSE,TRUE))</formula>
    </cfRule>
  </conditionalFormatting>
  <conditionalFormatting sqref="BN51:BN52">
    <cfRule type="expression" dxfId="215" priority="193">
      <formula>OR(IF(BN51&lt;BO51,TRUE),IF(AND(BO51="",BN51&lt;&gt;""),TRUE))</formula>
    </cfRule>
    <cfRule type="expression" dxfId="214" priority="194">
      <formula>IF(BN51&gt;=BO51,IF(BN51="",FALSE,TRUE))</formula>
    </cfRule>
  </conditionalFormatting>
  <conditionalFormatting sqref="BN49:BN50">
    <cfRule type="expression" dxfId="213" priority="191">
      <formula>OR(IF(BN49&lt;BO49,TRUE),IF(AND(BO49="",BN49&lt;&gt;""),TRUE))</formula>
    </cfRule>
    <cfRule type="expression" dxfId="212" priority="192">
      <formula>IF(BN49&gt;=BO49,IF(BN49="",FALSE,TRUE))</formula>
    </cfRule>
  </conditionalFormatting>
  <conditionalFormatting sqref="BN47:BN50">
    <cfRule type="expression" dxfId="211" priority="189">
      <formula>OR(IF(BN47&lt;BO47,TRUE),IF(AND(BO47="",BN47&lt;&gt;""),TRUE))</formula>
    </cfRule>
    <cfRule type="expression" dxfId="210" priority="190">
      <formula>IF(BN47&gt;=BO47,IF(BN47="",FALSE,TRUE))</formula>
    </cfRule>
  </conditionalFormatting>
  <conditionalFormatting sqref="BN44:BN46">
    <cfRule type="expression" dxfId="209" priority="187">
      <formula>OR(IF(BN44&lt;BO44,TRUE),IF(AND(BO44="",BN44&lt;&gt;""),TRUE))</formula>
    </cfRule>
    <cfRule type="expression" dxfId="208" priority="188">
      <formula>IF(BN44&gt;=BO44,IF(BN44="",FALSE,TRUE))</formula>
    </cfRule>
  </conditionalFormatting>
  <conditionalFormatting sqref="BU53">
    <cfRule type="expression" dxfId="167" priority="145">
      <formula>OR(IF(BU53&lt;BV53,TRUE),IF(AND(BV53="",BU53&lt;&gt;""),TRUE))</formula>
    </cfRule>
    <cfRule type="expression" dxfId="166" priority="146">
      <formula>IF(BU53&gt;=BV53,IF(BU53="",FALSE,TRUE))</formula>
    </cfRule>
  </conditionalFormatting>
  <conditionalFormatting sqref="BU51:BU52">
    <cfRule type="expression" dxfId="165" priority="143">
      <formula>OR(IF(BU51&lt;BV51,TRUE),IF(AND(BV51="",BU51&lt;&gt;""),TRUE))</formula>
    </cfRule>
    <cfRule type="expression" dxfId="164" priority="144">
      <formula>IF(BU51&gt;=BV51,IF(BU51="",FALSE,TRUE))</formula>
    </cfRule>
  </conditionalFormatting>
  <conditionalFormatting sqref="BU49:BU50">
    <cfRule type="expression" dxfId="163" priority="141">
      <formula>OR(IF(BU49&lt;BV49,TRUE),IF(AND(BV49="",BU49&lt;&gt;""),TRUE))</formula>
    </cfRule>
    <cfRule type="expression" dxfId="162" priority="142">
      <formula>IF(BU49&gt;=BV49,IF(BU49="",FALSE,TRUE))</formula>
    </cfRule>
  </conditionalFormatting>
  <conditionalFormatting sqref="BU47:BU50">
    <cfRule type="expression" dxfId="161" priority="139">
      <formula>OR(IF(BU47&lt;BV47,TRUE),IF(AND(BV47="",BU47&lt;&gt;""),TRUE))</formula>
    </cfRule>
    <cfRule type="expression" dxfId="160" priority="140">
      <formula>IF(BU47&gt;=BV47,IF(BU47="",FALSE,TRUE))</formula>
    </cfRule>
  </conditionalFormatting>
  <conditionalFormatting sqref="BU44:BU46">
    <cfRule type="expression" dxfId="159" priority="137">
      <formula>OR(IF(BU44&lt;BV44,TRUE),IF(AND(BV44="",BU44&lt;&gt;""),TRUE))</formula>
    </cfRule>
    <cfRule type="expression" dxfId="158" priority="138">
      <formula>IF(BU44&gt;=BV44,IF(BU44="",FALSE,TRUE))</formula>
    </cfRule>
  </conditionalFormatting>
  <conditionalFormatting sqref="CB53">
    <cfRule type="expression" dxfId="157" priority="135">
      <formula>OR(IF(CB53&lt;CC53,TRUE),IF(AND(CC53="",CB53&lt;&gt;""),TRUE))</formula>
    </cfRule>
    <cfRule type="expression" dxfId="156" priority="136">
      <formula>IF(CB53&gt;=CC53,IF(CB53="",FALSE,TRUE))</formula>
    </cfRule>
  </conditionalFormatting>
  <conditionalFormatting sqref="CB51:CB52">
    <cfRule type="expression" dxfId="155" priority="133">
      <formula>OR(IF(CB51&lt;CC51,TRUE),IF(AND(CC51="",CB51&lt;&gt;""),TRUE))</formula>
    </cfRule>
    <cfRule type="expression" dxfId="154" priority="134">
      <formula>IF(CB51&gt;=CC51,IF(CB51="",FALSE,TRUE))</formula>
    </cfRule>
  </conditionalFormatting>
  <conditionalFormatting sqref="CB49:CB50">
    <cfRule type="expression" dxfId="153" priority="131">
      <formula>OR(IF(CB49&lt;CC49,TRUE),IF(AND(CC49="",CB49&lt;&gt;""),TRUE))</formula>
    </cfRule>
    <cfRule type="expression" dxfId="152" priority="132">
      <formula>IF(CB49&gt;=CC49,IF(CB49="",FALSE,TRUE))</formula>
    </cfRule>
  </conditionalFormatting>
  <conditionalFormatting sqref="CB47:CB50">
    <cfRule type="expression" dxfId="151" priority="129">
      <formula>OR(IF(CB47&lt;CC47,TRUE),IF(AND(CC47="",CB47&lt;&gt;""),TRUE))</formula>
    </cfRule>
    <cfRule type="expression" dxfId="150" priority="130">
      <formula>IF(CB47&gt;=CC47,IF(CB47="",FALSE,TRUE))</formula>
    </cfRule>
  </conditionalFormatting>
  <conditionalFormatting sqref="CB44:CB46">
    <cfRule type="expression" dxfId="149" priority="127">
      <formula>OR(IF(CB44&lt;CC44,TRUE),IF(AND(CC44="",CB44&lt;&gt;""),TRUE))</formula>
    </cfRule>
    <cfRule type="expression" dxfId="148" priority="128">
      <formula>IF(CB44&gt;=CC44,IF(CB44="",FALSE,TRUE))</formula>
    </cfRule>
  </conditionalFormatting>
  <conditionalFormatting sqref="CI53">
    <cfRule type="expression" dxfId="147" priority="125">
      <formula>OR(IF(CI53&lt;CJ53,TRUE),IF(AND(CJ53="",CI53&lt;&gt;""),TRUE))</formula>
    </cfRule>
    <cfRule type="expression" dxfId="146" priority="126">
      <formula>IF(CI53&gt;=CJ53,IF(CI53="",FALSE,TRUE))</formula>
    </cfRule>
  </conditionalFormatting>
  <conditionalFormatting sqref="CI51:CI53">
    <cfRule type="expression" dxfId="145" priority="123">
      <formula>OR(IF(CI51&lt;CJ51,TRUE),IF(AND(CJ51="",CI51&lt;&gt;""),TRUE))</formula>
    </cfRule>
    <cfRule type="expression" dxfId="144" priority="124">
      <formula>IF(CI51&gt;=CJ51,IF(CI51="",FALSE,TRUE))</formula>
    </cfRule>
  </conditionalFormatting>
  <conditionalFormatting sqref="CI49:CI50">
    <cfRule type="expression" dxfId="143" priority="121">
      <formula>OR(IF(CI49&lt;CJ49,TRUE),IF(AND(CJ49="",CI49&lt;&gt;""),TRUE))</formula>
    </cfRule>
    <cfRule type="expression" dxfId="142" priority="122">
      <formula>IF(CI49&gt;=CJ49,IF(CI49="",FALSE,TRUE))</formula>
    </cfRule>
  </conditionalFormatting>
  <conditionalFormatting sqref="CI47:CI50">
    <cfRule type="expression" dxfId="141" priority="119">
      <formula>OR(IF(CI47&lt;CJ47,TRUE),IF(AND(CJ47="",CI47&lt;&gt;""),TRUE))</formula>
    </cfRule>
    <cfRule type="expression" dxfId="140" priority="120">
      <formula>IF(CI47&gt;=CJ47,IF(CI47="",FALSE,TRUE))</formula>
    </cfRule>
  </conditionalFormatting>
  <conditionalFormatting sqref="CI44:CI47">
    <cfRule type="expression" dxfId="139" priority="117">
      <formula>OR(IF(CI44&lt;CJ44,TRUE),IF(AND(CJ44="",CI44&lt;&gt;""),TRUE))</formula>
    </cfRule>
    <cfRule type="expression" dxfId="138" priority="118">
      <formula>IF(CI44&gt;=CJ44,IF(CI44="",FALSE,TRUE))</formula>
    </cfRule>
  </conditionalFormatting>
  <conditionalFormatting sqref="CP53">
    <cfRule type="expression" dxfId="137" priority="115">
      <formula>OR(IF(CP53&lt;CQ53,TRUE),IF(AND(CQ53="",CP53&lt;&gt;""),TRUE))</formula>
    </cfRule>
    <cfRule type="expression" dxfId="136" priority="116">
      <formula>IF(CP53&gt;=CQ53,IF(CP53="",FALSE,TRUE))</formula>
    </cfRule>
  </conditionalFormatting>
  <conditionalFormatting sqref="CP51:CP53">
    <cfRule type="expression" dxfId="135" priority="113">
      <formula>OR(IF(CP51&lt;CQ51,TRUE),IF(AND(CQ51="",CP51&lt;&gt;""),TRUE))</formula>
    </cfRule>
    <cfRule type="expression" dxfId="134" priority="114">
      <formula>IF(CP51&gt;=CQ51,IF(CP51="",FALSE,TRUE))</formula>
    </cfRule>
  </conditionalFormatting>
  <conditionalFormatting sqref="CP49:CP50">
    <cfRule type="expression" dxfId="133" priority="111">
      <formula>OR(IF(CP49&lt;CQ49,TRUE),IF(AND(CQ49="",CP49&lt;&gt;""),TRUE))</formula>
    </cfRule>
    <cfRule type="expression" dxfId="132" priority="112">
      <formula>IF(CP49&gt;=CQ49,IF(CP49="",FALSE,TRUE))</formula>
    </cfRule>
  </conditionalFormatting>
  <conditionalFormatting sqref="CP47:CP50">
    <cfRule type="expression" dxfId="131" priority="109">
      <formula>OR(IF(CP47&lt;CQ47,TRUE),IF(AND(CQ47="",CP47&lt;&gt;""),TRUE))</formula>
    </cfRule>
    <cfRule type="expression" dxfId="130" priority="110">
      <formula>IF(CP47&gt;=CQ47,IF(CP47="",FALSE,TRUE))</formula>
    </cfRule>
  </conditionalFormatting>
  <conditionalFormatting sqref="CP44:CP49">
    <cfRule type="expression" dxfId="129" priority="107">
      <formula>OR(IF(CP44&lt;CQ44,TRUE),IF(AND(CQ44="",CP44&lt;&gt;""),TRUE))</formula>
    </cfRule>
    <cfRule type="expression" dxfId="128" priority="108">
      <formula>IF(CP44&gt;=CQ44,IF(CP44="",FALSE,TRUE))</formula>
    </cfRule>
  </conditionalFormatting>
  <conditionalFormatting sqref="CW53">
    <cfRule type="expression" dxfId="127" priority="105">
      <formula>OR(IF(CW53&lt;CX53,TRUE),IF(AND(CX53="",CW53&lt;&gt;""),TRUE))</formula>
    </cfRule>
    <cfRule type="expression" dxfId="126" priority="106">
      <formula>IF(CW53&gt;=CX53,IF(CW53="",FALSE,TRUE))</formula>
    </cfRule>
  </conditionalFormatting>
  <conditionalFormatting sqref="CW51:CW53">
    <cfRule type="expression" dxfId="125" priority="103">
      <formula>OR(IF(CW51&lt;CX51,TRUE),IF(AND(CX51="",CW51&lt;&gt;""),TRUE))</formula>
    </cfRule>
    <cfRule type="expression" dxfId="124" priority="104">
      <formula>IF(CW51&gt;=CX51,IF(CW51="",FALSE,TRUE))</formula>
    </cfRule>
  </conditionalFormatting>
  <conditionalFormatting sqref="CW49:CW51">
    <cfRule type="expression" dxfId="123" priority="101">
      <formula>OR(IF(CW49&lt;CX49,TRUE),IF(AND(CX49="",CW49&lt;&gt;""),TRUE))</formula>
    </cfRule>
    <cfRule type="expression" dxfId="122" priority="102">
      <formula>IF(CW49&gt;=CX49,IF(CW49="",FALSE,TRUE))</formula>
    </cfRule>
  </conditionalFormatting>
  <conditionalFormatting sqref="CW47:CW51">
    <cfRule type="expression" dxfId="121" priority="99">
      <formula>OR(IF(CW47&lt;CX47,TRUE),IF(AND(CX47="",CW47&lt;&gt;""),TRUE))</formula>
    </cfRule>
    <cfRule type="expression" dxfId="120" priority="100">
      <formula>IF(CW47&gt;=CX47,IF(CW47="",FALSE,TRUE))</formula>
    </cfRule>
  </conditionalFormatting>
  <conditionalFormatting sqref="CW44:CW51">
    <cfRule type="expression" dxfId="119" priority="97">
      <formula>OR(IF(CW44&lt;CX44,TRUE),IF(AND(CX44="",CW44&lt;&gt;""),TRUE))</formula>
    </cfRule>
    <cfRule type="expression" dxfId="118" priority="98">
      <formula>IF(CW44&gt;=CX44,IF(CW44="",FALSE,TRUE))</formula>
    </cfRule>
  </conditionalFormatting>
  <conditionalFormatting sqref="CW17:CW18">
    <cfRule type="expression" dxfId="117" priority="95">
      <formula>OR(IF(CW17&lt;CX17,TRUE),IF(AND(CX17="",CW17&lt;&gt;""),TRUE))</formula>
    </cfRule>
    <cfRule type="expression" dxfId="116" priority="96">
      <formula>IF(CW17&gt;=CX17,IF(CW17="",FALSE,TRUE))</formula>
    </cfRule>
  </conditionalFormatting>
  <conditionalFormatting sqref="AZ5:AZ8">
    <cfRule type="expression" dxfId="115" priority="94">
      <formula>IF(AZ5&gt;=BA5,IF(AZ5="",FALSE,TRUE))</formula>
    </cfRule>
  </conditionalFormatting>
  <conditionalFormatting sqref="AZ5:AZ8">
    <cfRule type="expression" dxfId="114" priority="93">
      <formula>OR(IF(AZ5&lt;BA5,TRUE),IF(AND(BA5="",AZ5&lt;&gt;""),TRUE))</formula>
    </cfRule>
  </conditionalFormatting>
  <conditionalFormatting sqref="BG5:BG9">
    <cfRule type="expression" dxfId="113" priority="92">
      <formula>IF(BG5&gt;=BH5,IF(BG5="",FALSE,TRUE))</formula>
    </cfRule>
  </conditionalFormatting>
  <conditionalFormatting sqref="BG5:BG9">
    <cfRule type="expression" dxfId="112" priority="91">
      <formula>OR(IF(BG5&lt;BH5,TRUE),IF(AND(BH5="",BG5&lt;&gt;""),TRUE))</formula>
    </cfRule>
  </conditionalFormatting>
  <conditionalFormatting sqref="BN5 BN7:BN10">
    <cfRule type="expression" dxfId="111" priority="90">
      <formula>IF(BN5&gt;=BO5,IF(BN5="",FALSE,TRUE))</formula>
    </cfRule>
  </conditionalFormatting>
  <conditionalFormatting sqref="BN5 BN7:BN10">
    <cfRule type="expression" dxfId="110" priority="89">
      <formula>OR(IF(BN5&lt;BO5,TRUE),IF(AND(BO5="",BN5&lt;&gt;""),TRUE))</formula>
    </cfRule>
  </conditionalFormatting>
  <conditionalFormatting sqref="BU5:BU11">
    <cfRule type="expression" dxfId="109" priority="88">
      <formula>IF(BU5&gt;=BV5,IF(BU5="",FALSE,TRUE))</formula>
    </cfRule>
  </conditionalFormatting>
  <conditionalFormatting sqref="BU5:BU11">
    <cfRule type="expression" dxfId="108" priority="87">
      <formula>OR(IF(BU5&lt;BV5,TRUE),IF(AND(BV5="",BU5&lt;&gt;""),TRUE))</formula>
    </cfRule>
  </conditionalFormatting>
  <conditionalFormatting sqref="CB8:CB12">
    <cfRule type="expression" dxfId="107" priority="86">
      <formula>IF(CB8&gt;=CC8,IF(CB8="",FALSE,TRUE))</formula>
    </cfRule>
  </conditionalFormatting>
  <conditionalFormatting sqref="CB8:CB12">
    <cfRule type="expression" dxfId="106" priority="85">
      <formula>OR(IF(CB8&lt;CC8,TRUE),IF(AND(CC8="",CB8&lt;&gt;""),TRUE))</formula>
    </cfRule>
  </conditionalFormatting>
  <conditionalFormatting sqref="CI12">
    <cfRule type="expression" dxfId="104" priority="83">
      <formula>OR(IF(CI12&lt;CJ12,TRUE),IF(AND(CJ12="",CI12&lt;&gt;""),TRUE))</formula>
    </cfRule>
    <cfRule type="expression" dxfId="105" priority="84">
      <formula>IF(CI12&gt;=CJ12,IF(CI12="",FALSE,TRUE))</formula>
    </cfRule>
  </conditionalFormatting>
  <conditionalFormatting sqref="CI5:CI12">
    <cfRule type="expression" dxfId="103" priority="82">
      <formula>IF(CI5&gt;=CJ5,IF(CI5="",FALSE,TRUE))</formula>
    </cfRule>
  </conditionalFormatting>
  <conditionalFormatting sqref="CI5:CI12">
    <cfRule type="expression" dxfId="102" priority="81">
      <formula>OR(IF(CI5&lt;CJ5,TRUE),IF(AND(CJ5="",CI5&lt;&gt;""),TRUE))</formula>
    </cfRule>
  </conditionalFormatting>
  <conditionalFormatting sqref="CP12">
    <cfRule type="expression" dxfId="101" priority="79">
      <formula>OR(IF(CP12&lt;CQ12,TRUE),IF(AND(CQ12="",CP12&lt;&gt;""),TRUE))</formula>
    </cfRule>
    <cfRule type="expression" dxfId="100" priority="80">
      <formula>IF(CP12&gt;=CQ12,IF(CP12="",FALSE,TRUE))</formula>
    </cfRule>
  </conditionalFormatting>
  <conditionalFormatting sqref="CP5:CP12">
    <cfRule type="expression" dxfId="99" priority="78">
      <formula>IF(CP5&gt;=CQ5,IF(CP5="",FALSE,TRUE))</formula>
    </cfRule>
  </conditionalFormatting>
  <conditionalFormatting sqref="CP5:CP12">
    <cfRule type="expression" dxfId="98" priority="77">
      <formula>OR(IF(CP5&lt;CQ5,TRUE),IF(AND(CQ5="",CP5&lt;&gt;""),TRUE))</formula>
    </cfRule>
  </conditionalFormatting>
  <conditionalFormatting sqref="DD17:DD18">
    <cfRule type="expression" dxfId="95" priority="75">
      <formula>OR(IF(DD17&lt;DE17,TRUE),IF(AND(DE17="",DD17&lt;&gt;""),TRUE))</formula>
    </cfRule>
    <cfRule type="expression" dxfId="94" priority="76">
      <formula>IF(DD17&gt;=DE17,IF(DD17="",FALSE,TRUE))</formula>
    </cfRule>
  </conditionalFormatting>
  <conditionalFormatting sqref="EM16:EM18">
    <cfRule type="expression" dxfId="69" priority="69">
      <formula>OR(IF(EM16&lt;EN16,TRUE),IF(AND(EN16="",EM16&lt;&gt;""),TRUE))</formula>
    </cfRule>
    <cfRule type="expression" dxfId="68" priority="70">
      <formula>IF(EM16&gt;=EN16,IF(EM16="",FALSE,TRUE))</formula>
    </cfRule>
  </conditionalFormatting>
  <conditionalFormatting sqref="EM8:EM15">
    <cfRule type="expression" dxfId="65" priority="65">
      <formula>OR(IF(EM8&lt;EN8,TRUE),IF(AND(EN8="",EM8&lt;&gt;""),TRUE))</formula>
    </cfRule>
    <cfRule type="expression" dxfId="64" priority="66">
      <formula>IF(EM8&gt;=EN8,IF(EM8="",FALSE,TRUE))</formula>
    </cfRule>
  </conditionalFormatting>
  <conditionalFormatting sqref="EM5:EM7">
    <cfRule type="expression" dxfId="63" priority="64">
      <formula>IF(EM5&gt;=EN5,IF(EM5="",FALSE,TRUE))</formula>
    </cfRule>
  </conditionalFormatting>
  <conditionalFormatting sqref="EM5:EM7">
    <cfRule type="expression" dxfId="62" priority="63">
      <formula>OR(IF(EM5&lt;EN5,TRUE),IF(AND(EN5="",EM5&lt;&gt;""),TRUE))</formula>
    </cfRule>
  </conditionalFormatting>
  <conditionalFormatting sqref="FO16:FO18">
    <cfRule type="expression" dxfId="47" priority="47">
      <formula>OR(IF(FO16&lt;FP16,TRUE),IF(AND(FP16="",FO16&lt;&gt;""),TRUE))</formula>
    </cfRule>
    <cfRule type="expression" dxfId="46" priority="48">
      <formula>IF(FO16&gt;=FP16,IF(FO16="",FALSE,TRUE))</formula>
    </cfRule>
  </conditionalFormatting>
  <conditionalFormatting sqref="FO8:FO18">
    <cfRule type="expression" dxfId="45" priority="45">
      <formula>OR(IF(FO8&lt;FP8,TRUE),IF(AND(FP8="",FO8&lt;&gt;""),TRUE))</formula>
    </cfRule>
    <cfRule type="expression" dxfId="44" priority="46">
      <formula>IF(FO8&gt;=FP8,IF(FO8="",FALSE,TRUE))</formula>
    </cfRule>
  </conditionalFormatting>
  <conditionalFormatting sqref="FO5:FO18">
    <cfRule type="expression" dxfId="43" priority="44">
      <formula>IF(FO5&gt;=FP5,IF(FO5="",FALSE,TRUE))</formula>
    </cfRule>
  </conditionalFormatting>
  <conditionalFormatting sqref="FO5:FO18">
    <cfRule type="expression" dxfId="42" priority="43">
      <formula>OR(IF(FO5&lt;FP5,TRUE),IF(AND(FP5="",FO5&lt;&gt;""),TRUE))</formula>
    </cfRule>
  </conditionalFormatting>
  <conditionalFormatting sqref="BN6">
    <cfRule type="expression" dxfId="41" priority="42">
      <formula>IF(BN6&gt;=BO6,IF(BN6="",FALSE,TRUE))</formula>
    </cfRule>
  </conditionalFormatting>
  <conditionalFormatting sqref="BN6">
    <cfRule type="expression" dxfId="40" priority="41">
      <formula>OR(IF(BN6&lt;BO6,TRUE),IF(AND(BO6="",BN6&lt;&gt;""),TRUE))</formula>
    </cfRule>
  </conditionalFormatting>
  <conditionalFormatting sqref="CB5:CB7">
    <cfRule type="expression" dxfId="39" priority="40">
      <formula>IF(CB5&gt;=CC5,IF(CB5="",FALSE,TRUE))</formula>
    </cfRule>
  </conditionalFormatting>
  <conditionalFormatting sqref="CB5:CB7">
    <cfRule type="expression" dxfId="38" priority="39">
      <formula>OR(IF(CB5&lt;CC5,TRUE),IF(AND(CC5="",CB5&lt;&gt;""),TRUE))</formula>
    </cfRule>
  </conditionalFormatting>
  <conditionalFormatting sqref="CW13:CW16">
    <cfRule type="expression" dxfId="37" priority="37">
      <formula>OR(IF(CW13&lt;CX13,TRUE),IF(AND(CX13="",CW13&lt;&gt;""),TRUE))</formula>
    </cfRule>
    <cfRule type="expression" dxfId="36" priority="38">
      <formula>IF(CW13&gt;=CX13,IF(CW13="",FALSE,TRUE))</formula>
    </cfRule>
  </conditionalFormatting>
  <conditionalFormatting sqref="CW12">
    <cfRule type="expression" dxfId="35" priority="35">
      <formula>OR(IF(CW12&lt;CX12,TRUE),IF(AND(CX12="",CW12&lt;&gt;""),TRUE))</formula>
    </cfRule>
    <cfRule type="expression" dxfId="34" priority="36">
      <formula>IF(CW12&gt;=CX12,IF(CW12="",FALSE,TRUE))</formula>
    </cfRule>
  </conditionalFormatting>
  <conditionalFormatting sqref="CW5:CW12">
    <cfRule type="expression" dxfId="33" priority="34">
      <formula>IF(CW5&gt;=CX5,IF(CW5="",FALSE,TRUE))</formula>
    </cfRule>
  </conditionalFormatting>
  <conditionalFormatting sqref="CW5:CW12">
    <cfRule type="expression" dxfId="32" priority="33">
      <formula>OR(IF(CW5&lt;CX5,TRUE),IF(AND(CX5="",CW5&lt;&gt;""),TRUE))</formula>
    </cfRule>
  </conditionalFormatting>
  <conditionalFormatting sqref="DD13:DD16">
    <cfRule type="expression" dxfId="31" priority="31">
      <formula>OR(IF(DD13&lt;DE13,TRUE),IF(AND(DE13="",DD13&lt;&gt;""),TRUE))</formula>
    </cfRule>
    <cfRule type="expression" dxfId="30" priority="32">
      <formula>IF(DD13&gt;=DE13,IF(DD13="",FALSE,TRUE))</formula>
    </cfRule>
  </conditionalFormatting>
  <conditionalFormatting sqref="DD12">
    <cfRule type="expression" dxfId="29" priority="29">
      <formula>OR(IF(DD12&lt;DE12,TRUE),IF(AND(DE12="",DD12&lt;&gt;""),TRUE))</formula>
    </cfRule>
    <cfRule type="expression" dxfId="28" priority="30">
      <formula>IF(DD12&gt;=DE12,IF(DD12="",FALSE,TRUE))</formula>
    </cfRule>
  </conditionalFormatting>
  <conditionalFormatting sqref="DD5:DD12">
    <cfRule type="expression" dxfId="27" priority="28">
      <formula>IF(DD5&gt;=DE5,IF(DD5="",FALSE,TRUE))</formula>
    </cfRule>
  </conditionalFormatting>
  <conditionalFormatting sqref="DD5:DD12">
    <cfRule type="expression" dxfId="26" priority="27">
      <formula>OR(IF(DD5&lt;DE5,TRUE),IF(AND(DE5="",DD5&lt;&gt;""),TRUE))</formula>
    </cfRule>
  </conditionalFormatting>
  <conditionalFormatting sqref="ET17">
    <cfRule type="expression" dxfId="25" priority="25">
      <formula>OR(IF(ET17&lt;EU17,TRUE),IF(AND(EU17="",ET17&lt;&gt;""),TRUE))</formula>
    </cfRule>
    <cfRule type="expression" dxfId="24" priority="26">
      <formula>IF(ET17&gt;=EU17,IF(ET17="",FALSE,TRUE))</formula>
    </cfRule>
  </conditionalFormatting>
  <conditionalFormatting sqref="ET13:ET16">
    <cfRule type="expression" dxfId="23" priority="23">
      <formula>OR(IF(ET13&lt;EU13,TRUE),IF(AND(EU13="",ET13&lt;&gt;""),TRUE))</formula>
    </cfRule>
    <cfRule type="expression" dxfId="22" priority="24">
      <formula>IF(ET13&gt;=EU13,IF(ET13="",FALSE,TRUE))</formula>
    </cfRule>
  </conditionalFormatting>
  <conditionalFormatting sqref="ET12">
    <cfRule type="expression" dxfId="21" priority="21">
      <formula>OR(IF(ET12&lt;EU12,TRUE),IF(AND(EU12="",ET12&lt;&gt;""),TRUE))</formula>
    </cfRule>
    <cfRule type="expression" dxfId="20" priority="22">
      <formula>IF(ET12&gt;=EU12,IF(ET12="",FALSE,TRUE))</formula>
    </cfRule>
  </conditionalFormatting>
  <conditionalFormatting sqref="ET5:ET12">
    <cfRule type="expression" dxfId="19" priority="20">
      <formula>IF(ET5&gt;=EU5,IF(ET5="",FALSE,TRUE))</formula>
    </cfRule>
  </conditionalFormatting>
  <conditionalFormatting sqref="ET5:ET12">
    <cfRule type="expression" dxfId="18" priority="19">
      <formula>OR(IF(ET5&lt;EU5,TRUE),IF(AND(EU5="",ET5&lt;&gt;""),TRUE))</formula>
    </cfRule>
  </conditionalFormatting>
  <conditionalFormatting sqref="FA17">
    <cfRule type="expression" dxfId="17" priority="17">
      <formula>OR(IF(FA17&lt;FB17,TRUE),IF(AND(FB17="",FA17&lt;&gt;""),TRUE))</formula>
    </cfRule>
    <cfRule type="expression" dxfId="16" priority="18">
      <formula>IF(FA17&gt;=FB17,IF(FA17="",FALSE,TRUE))</formula>
    </cfRule>
  </conditionalFormatting>
  <conditionalFormatting sqref="FA13:FA16">
    <cfRule type="expression" dxfId="15" priority="15">
      <formula>OR(IF(FA13&lt;FB13,TRUE),IF(AND(FB13="",FA13&lt;&gt;""),TRUE))</formula>
    </cfRule>
    <cfRule type="expression" dxfId="14" priority="16">
      <formula>IF(FA13&gt;=FB13,IF(FA13="",FALSE,TRUE))</formula>
    </cfRule>
  </conditionalFormatting>
  <conditionalFormatting sqref="FA12">
    <cfRule type="expression" dxfId="13" priority="13">
      <formula>OR(IF(FA12&lt;FB12,TRUE),IF(AND(FB12="",FA12&lt;&gt;""),TRUE))</formula>
    </cfRule>
    <cfRule type="expression" dxfId="12" priority="14">
      <formula>IF(FA12&gt;=FB12,IF(FA12="",FALSE,TRUE))</formula>
    </cfRule>
  </conditionalFormatting>
  <conditionalFormatting sqref="FA5:FA12">
    <cfRule type="expression" dxfId="11" priority="12">
      <formula>IF(FA5&gt;=FB5,IF(FA5="",FALSE,TRUE))</formula>
    </cfRule>
  </conditionalFormatting>
  <conditionalFormatting sqref="FA5:FA12">
    <cfRule type="expression" dxfId="10" priority="11">
      <formula>OR(IF(FA5&lt;FB5,TRUE),IF(AND(FB5="",FA5&lt;&gt;""),TRUE))</formula>
    </cfRule>
  </conditionalFormatting>
  <conditionalFormatting sqref="FH18">
    <cfRule type="expression" dxfId="9" priority="9">
      <formula>OR(IF(FH18&lt;FI18,TRUE),IF(AND(FI18="",FH18&lt;&gt;""),TRUE))</formula>
    </cfRule>
    <cfRule type="expression" dxfId="8" priority="10">
      <formula>IF(FH18&gt;=FI18,IF(FH18="",FALSE,TRUE))</formula>
    </cfRule>
  </conditionalFormatting>
  <conditionalFormatting sqref="FH17">
    <cfRule type="expression" dxfId="7" priority="7">
      <formula>OR(IF(FH17&lt;FI17,TRUE),IF(AND(FI17="",FH17&lt;&gt;""),TRUE))</formula>
    </cfRule>
    <cfRule type="expression" dxfId="6" priority="8">
      <formula>IF(FH17&gt;=FI17,IF(FH17="",FALSE,TRUE))</formula>
    </cfRule>
  </conditionalFormatting>
  <conditionalFormatting sqref="FH13:FH18">
    <cfRule type="expression" dxfId="5" priority="5">
      <formula>OR(IF(FH13&lt;FI13,TRUE),IF(AND(FI13="",FH13&lt;&gt;""),TRUE))</formula>
    </cfRule>
    <cfRule type="expression" dxfId="4" priority="6">
      <formula>IF(FH13&gt;=FI13,IF(FH13="",FALSE,TRUE))</formula>
    </cfRule>
  </conditionalFormatting>
  <conditionalFormatting sqref="FH12">
    <cfRule type="expression" dxfId="3" priority="3">
      <formula>OR(IF(FH12&lt;FI12,TRUE),IF(AND(FI12="",FH12&lt;&gt;""),TRUE))</formula>
    </cfRule>
    <cfRule type="expression" dxfId="2" priority="4">
      <formula>IF(FH12&gt;=FI12,IF(FH12="",FALSE,TRUE))</formula>
    </cfRule>
  </conditionalFormatting>
  <conditionalFormatting sqref="FH5:FH12">
    <cfRule type="expression" dxfId="1" priority="2">
      <formula>IF(FH5&gt;=FI5,IF(FH5="",FALSE,TRUE))</formula>
    </cfRule>
  </conditionalFormatting>
  <conditionalFormatting sqref="FH5:FH12">
    <cfRule type="expression" dxfId="0" priority="1">
      <formula>OR(IF(FH5&lt;FI5,TRUE),IF(AND(FI5="",FH5&lt;&gt;""),TRUE))</formula>
    </cfRule>
  </conditionalFormatting>
  <dataValidations count="1">
    <dataValidation type="list" allowBlank="1" showInputMessage="1" showErrorMessage="1" sqref="Z56:Z58 BE56:BH65 BL56:BO65 CU56:CX65 AQ56:AT65 BS56:BV65 BZ56:CC65 CN56:CQ65 ED5:EG18 EK5:EN18 DI56:DL65 DP56:DS65 DW56:DZ65 CN44:CQ53 CG56:CJ65 O56:R65 BS35:BV41 CU5:CX18 AC56:AF65 AJ56:AM65 AX56:BA65 AC5:AF18 AJ5:AM18 BZ5:CC18 CG21:CJ32 AX5:BA18 BE5:BH18 AQ5:AT18 FF5:FI18 ED56:EG65 CU44:CX53 EK56:EN65 DI5:DL18 DP5:DS18 DW5:DZ18 BL5:BO18 BS5:BV18 AC21:AF32 DW35:DZ41 DP35:DS41 DI35:DL41 ED35:EG41 CN35:CQ41 CG35:CJ41 DB35:DE41 AQ35:AT41 BZ35:CC41 O35:R41 BL35:BO41 BE35:BH41 AX35:BA41 AJ35:AM41 AC35:AF41 BZ44:CC53 DW44:DZ53 DP44:DS53 DI44:DL53 ED44:EG53 CU35:CX41 DB44:DE53 BS44:BV53 AC44:AF53 CG44:CJ53 AQ44:AT53 AJ44:AM53 AX44:BA53 BE44:BH53 O44:R53 BL44:BO53 DW21:DZ32 DP21:DS32 DI21:DL32 DB21:DE32 ED21:EG32 CN21:CQ32 CU21:CX32 AJ21:AM32 O21:R32 DB56:DE65 BS21:BV32 BL21:BO32 AQ21:AT32 AX21:BA32 BZ21:CC32 BE21:BH32 O5:R18 CN5:CQ18 ER56:EU65 EK35:EN41 EK44:EN53 EK21:EN32 DB5:DE18 EY56:FB65 ER35:EU41 ER44:EU53 ER21:EU32 CG5:CJ18 FF56:FI65 EY35:FB41 EY44:FB53 EY21:FB32 ER5:EU18 FM56:FP65 FF35:FI41 FF44:FI53 FF21:FI32 EY5:FB18 V5:Y65 FM35:FP41 FM44:FP53 FM21:FP32 FT56:FW65 FT5:FW18 FT35:FW41 FT44:FW53 FT21:FW32 GA56:GD65 GA5:GD18 GA35:GD41 GA44:GD53 GA21:GD32 GH56:GK65 GH5:GK18 GH35:GK41 GH44:GK53 GH21:GK32 FM5:FP18"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21" workbookViewId="0">
      <selection activeCell="C24" sqref="C24"/>
    </sheetView>
  </sheetViews>
  <sheetFormatPr baseColWidth="10"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34</v>
      </c>
    </row>
    <row r="12" spans="2:2">
      <c r="B12" s="2" t="s">
        <v>17</v>
      </c>
    </row>
    <row r="13" spans="2:2" ht="140.4">
      <c r="B13" s="1" t="s">
        <v>18</v>
      </c>
    </row>
    <row r="15" spans="2:2">
      <c r="B15" s="2" t="s">
        <v>19</v>
      </c>
    </row>
    <row r="16" spans="2:2" ht="109.2">
      <c r="B16" s="1" t="s">
        <v>20</v>
      </c>
    </row>
    <row r="17" spans="2:2">
      <c r="B17" s="1"/>
    </row>
    <row r="18" spans="2:2">
      <c r="B18" s="2" t="s">
        <v>33</v>
      </c>
    </row>
    <row r="19" spans="2:2" ht="140.4">
      <c r="B19" s="1" t="s">
        <v>35</v>
      </c>
    </row>
    <row r="21" spans="2:2">
      <c r="B21" s="2" t="s">
        <v>21</v>
      </c>
    </row>
    <row r="22" spans="2:2" ht="124.8">
      <c r="B22" s="1" t="s">
        <v>36</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9"/>
  <sheetViews>
    <sheetView topLeftCell="A9" workbookViewId="0">
      <selection activeCell="F25" sqref="F25"/>
    </sheetView>
  </sheetViews>
  <sheetFormatPr baseColWidth="10" defaultColWidth="10.69921875" defaultRowHeight="15.6"/>
  <cols>
    <col min="1" max="1" width="16.796875" style="8" customWidth="1"/>
    <col min="2" max="2" width="19.19921875" style="8" customWidth="1"/>
    <col min="3" max="3" width="18.19921875" style="8" customWidth="1"/>
    <col min="4" max="4" width="19.5" style="8" customWidth="1"/>
    <col min="8" max="8" width="15.19921875" customWidth="1"/>
    <col min="10" max="10" width="42" customWidth="1"/>
    <col min="11" max="11" width="28.5" customWidth="1"/>
  </cols>
  <sheetData>
    <row r="1" spans="1:11" ht="31.2">
      <c r="A1" s="8" t="s">
        <v>40</v>
      </c>
      <c r="B1" s="13" t="s">
        <v>37</v>
      </c>
      <c r="C1" s="13" t="s">
        <v>38</v>
      </c>
      <c r="D1" s="13" t="s">
        <v>39</v>
      </c>
      <c r="E1" s="1" t="s">
        <v>41</v>
      </c>
      <c r="F1" s="1" t="s">
        <v>42</v>
      </c>
      <c r="G1" s="1" t="s">
        <v>43</v>
      </c>
      <c r="H1" s="1" t="s">
        <v>44</v>
      </c>
      <c r="I1" s="1" t="s">
        <v>45</v>
      </c>
      <c r="J1" s="1" t="s">
        <v>46</v>
      </c>
      <c r="K1" s="1" t="s">
        <v>47</v>
      </c>
    </row>
    <row r="2" spans="1:11" ht="62.4">
      <c r="A2" s="12">
        <v>45551</v>
      </c>
      <c r="B2" s="8" t="s">
        <v>114</v>
      </c>
      <c r="C2" s="8" t="s">
        <v>114</v>
      </c>
      <c r="D2" s="10">
        <v>0.6</v>
      </c>
      <c r="K2" s="1" t="s">
        <v>120</v>
      </c>
    </row>
    <row r="3" spans="1:11">
      <c r="A3" s="12">
        <v>45552</v>
      </c>
      <c r="B3" s="8" t="s">
        <v>114</v>
      </c>
      <c r="C3" s="8" t="s">
        <v>114</v>
      </c>
      <c r="D3" s="10">
        <v>0.8</v>
      </c>
    </row>
    <row r="4" spans="1:11">
      <c r="A4" s="12">
        <v>45553</v>
      </c>
      <c r="B4" s="8" t="s">
        <v>114</v>
      </c>
      <c r="C4" s="8" t="s">
        <v>115</v>
      </c>
      <c r="D4" s="10">
        <v>0.8</v>
      </c>
    </row>
    <row r="5" spans="1:11">
      <c r="A5" s="12">
        <v>45554</v>
      </c>
      <c r="B5" s="8" t="s">
        <v>114</v>
      </c>
      <c r="C5" s="8" t="s">
        <v>114</v>
      </c>
      <c r="D5" s="10">
        <v>0.6</v>
      </c>
    </row>
    <row r="6" spans="1:11">
      <c r="A6" s="12">
        <v>45555</v>
      </c>
      <c r="B6" s="8" t="s">
        <v>114</v>
      </c>
      <c r="C6" s="8" t="s">
        <v>114</v>
      </c>
      <c r="D6" s="10">
        <v>0.6</v>
      </c>
    </row>
    <row r="7" spans="1:11">
      <c r="A7" s="12">
        <v>45556</v>
      </c>
      <c r="D7" s="10"/>
    </row>
    <row r="8" spans="1:11">
      <c r="A8" s="12">
        <v>45557</v>
      </c>
      <c r="D8" s="10"/>
    </row>
    <row r="9" spans="1:11">
      <c r="A9" s="12">
        <v>45558</v>
      </c>
      <c r="B9" s="8" t="s">
        <v>114</v>
      </c>
      <c r="C9" s="8" t="s">
        <v>115</v>
      </c>
      <c r="D9" s="10">
        <v>0.6</v>
      </c>
    </row>
    <row r="10" spans="1:11">
      <c r="A10" s="12">
        <v>45559</v>
      </c>
      <c r="B10" s="8" t="s">
        <v>114</v>
      </c>
      <c r="C10" s="8" t="s">
        <v>114</v>
      </c>
      <c r="D10" s="10">
        <v>0.8</v>
      </c>
    </row>
    <row r="11" spans="1:11">
      <c r="A11" s="12">
        <v>45560</v>
      </c>
      <c r="B11" s="8" t="s">
        <v>114</v>
      </c>
      <c r="C11" s="8" t="s">
        <v>114</v>
      </c>
      <c r="D11" s="10">
        <v>0.8</v>
      </c>
    </row>
    <row r="12" spans="1:11">
      <c r="A12" s="12">
        <v>45561</v>
      </c>
      <c r="B12" s="8" t="s">
        <v>114</v>
      </c>
      <c r="C12" s="8" t="s">
        <v>114</v>
      </c>
      <c r="D12" s="10">
        <v>0.8</v>
      </c>
    </row>
    <row r="13" spans="1:11">
      <c r="A13" s="12">
        <v>45562</v>
      </c>
      <c r="B13" s="8" t="s">
        <v>114</v>
      </c>
      <c r="C13" s="8" t="s">
        <v>115</v>
      </c>
      <c r="D13" s="10">
        <v>0.6</v>
      </c>
    </row>
    <row r="14" spans="1:11">
      <c r="A14" s="12">
        <v>45563</v>
      </c>
      <c r="D14" s="10"/>
    </row>
    <row r="15" spans="1:11">
      <c r="A15" s="12">
        <v>45564</v>
      </c>
      <c r="D15" s="10"/>
    </row>
    <row r="16" spans="1:11">
      <c r="A16" s="12">
        <v>45565</v>
      </c>
      <c r="B16" s="8" t="s">
        <v>114</v>
      </c>
      <c r="C16" s="8" t="s">
        <v>114</v>
      </c>
      <c r="D16" s="10">
        <v>0.4</v>
      </c>
    </row>
    <row r="17" spans="1:4">
      <c r="A17" s="12">
        <v>45566</v>
      </c>
      <c r="B17" s="8" t="s">
        <v>114</v>
      </c>
      <c r="C17" s="8" t="s">
        <v>114</v>
      </c>
      <c r="D17" s="10">
        <v>0.6</v>
      </c>
    </row>
    <row r="18" spans="1:4">
      <c r="A18" s="12">
        <v>45567</v>
      </c>
      <c r="B18" s="8" t="s">
        <v>114</v>
      </c>
      <c r="C18" s="8" t="s">
        <v>114</v>
      </c>
      <c r="D18" s="10">
        <v>0.6</v>
      </c>
    </row>
    <row r="19" spans="1:4">
      <c r="A19" s="12">
        <v>45568</v>
      </c>
      <c r="B19" s="8" t="s">
        <v>114</v>
      </c>
      <c r="C19" s="8" t="s">
        <v>114</v>
      </c>
      <c r="D19" s="10">
        <v>0.8</v>
      </c>
    </row>
    <row r="20" spans="1:4">
      <c r="A20" s="12">
        <v>45569</v>
      </c>
      <c r="D20" s="10"/>
    </row>
    <row r="21" spans="1:4">
      <c r="A21" s="12">
        <v>45570</v>
      </c>
      <c r="D21" s="10"/>
    </row>
    <row r="22" spans="1:4">
      <c r="A22" s="12">
        <v>45571</v>
      </c>
      <c r="D22" s="10"/>
    </row>
    <row r="23" spans="1:4">
      <c r="A23" s="12">
        <v>45572</v>
      </c>
      <c r="B23" s="8" t="s">
        <v>114</v>
      </c>
      <c r="C23" s="8" t="s">
        <v>114</v>
      </c>
      <c r="D23" s="10">
        <v>0.6</v>
      </c>
    </row>
    <row r="24" spans="1:4">
      <c r="A24" s="12">
        <v>45573</v>
      </c>
      <c r="C24" s="8" t="s">
        <v>115</v>
      </c>
      <c r="D24" s="10"/>
    </row>
    <row r="25" spans="1:4">
      <c r="A25" s="12">
        <v>45574</v>
      </c>
      <c r="C25" s="8" t="s">
        <v>115</v>
      </c>
      <c r="D25" s="10"/>
    </row>
    <row r="26" spans="1:4">
      <c r="A26" s="12">
        <v>45575</v>
      </c>
      <c r="C26" s="8" t="s">
        <v>115</v>
      </c>
      <c r="D26" s="10"/>
    </row>
    <row r="27" spans="1:4">
      <c r="A27" s="12">
        <v>45576</v>
      </c>
      <c r="C27" s="8" t="s">
        <v>115</v>
      </c>
      <c r="D27" s="10"/>
    </row>
    <row r="28" spans="1:4">
      <c r="A28" s="12">
        <v>45577</v>
      </c>
      <c r="D28" s="10"/>
    </row>
    <row r="29" spans="1:4">
      <c r="A29" s="12">
        <v>45578</v>
      </c>
      <c r="D29" s="10"/>
    </row>
    <row r="30" spans="1:4">
      <c r="A30" s="12">
        <v>45579</v>
      </c>
      <c r="D30" s="10"/>
    </row>
    <row r="31" spans="1:4">
      <c r="A31" s="12">
        <v>45580</v>
      </c>
      <c r="D31" s="10"/>
    </row>
    <row r="32" spans="1:4">
      <c r="A32" s="12">
        <v>45581</v>
      </c>
      <c r="D32" s="10"/>
    </row>
    <row r="33" spans="1:4">
      <c r="A33" s="12">
        <v>45582</v>
      </c>
      <c r="D33" s="10"/>
    </row>
    <row r="34" spans="1:4">
      <c r="A34" s="12">
        <v>45583</v>
      </c>
      <c r="D34" s="10"/>
    </row>
    <row r="35" spans="1:4">
      <c r="A35" s="12">
        <v>45584</v>
      </c>
      <c r="D35" s="10"/>
    </row>
    <row r="36" spans="1:4">
      <c r="A36" s="12">
        <v>45585</v>
      </c>
      <c r="D36" s="10"/>
    </row>
    <row r="37" spans="1:4">
      <c r="A37" s="12">
        <v>45586</v>
      </c>
      <c r="D37" s="10"/>
    </row>
    <row r="38" spans="1:4">
      <c r="A38" s="12">
        <v>45587</v>
      </c>
      <c r="D38" s="10"/>
    </row>
    <row r="39" spans="1:4">
      <c r="A39" s="12">
        <v>45588</v>
      </c>
      <c r="D39" s="10"/>
    </row>
    <row r="40" spans="1:4">
      <c r="A40" s="12">
        <v>45589</v>
      </c>
      <c r="D40" s="10"/>
    </row>
    <row r="41" spans="1:4">
      <c r="A41" s="12">
        <v>45590</v>
      </c>
      <c r="D41" s="10"/>
    </row>
    <row r="42" spans="1:4">
      <c r="A42" s="12">
        <v>45591</v>
      </c>
      <c r="D42" s="10"/>
    </row>
    <row r="43" spans="1:4">
      <c r="A43" s="12">
        <v>45592</v>
      </c>
      <c r="D43" s="10"/>
    </row>
    <row r="44" spans="1:4">
      <c r="A44" s="12">
        <v>45593</v>
      </c>
      <c r="D44" s="10"/>
    </row>
    <row r="45" spans="1:4">
      <c r="A45" s="12">
        <v>45594</v>
      </c>
      <c r="D45" s="10"/>
    </row>
    <row r="46" spans="1:4">
      <c r="A46" s="12">
        <v>45595</v>
      </c>
      <c r="D46" s="10"/>
    </row>
    <row r="47" spans="1:4">
      <c r="A47" s="12">
        <v>45596</v>
      </c>
      <c r="D47" s="10"/>
    </row>
    <row r="48" spans="1:4">
      <c r="A48" s="12">
        <v>45597</v>
      </c>
      <c r="D48" s="10"/>
    </row>
    <row r="49" spans="1:4">
      <c r="A49" s="12">
        <v>45598</v>
      </c>
      <c r="D49" s="10"/>
    </row>
  </sheetData>
  <conditionalFormatting sqref="C2:C21 B2:B49 C23:C49">
    <cfRule type="cellIs" dxfId="274" priority="4" operator="equal">
      <formula>"Ja"</formula>
    </cfRule>
    <cfRule type="cellIs" dxfId="273" priority="14" operator="equal">
      <formula>"Ja"</formula>
    </cfRule>
    <cfRule type="cellIs" dxfId="272" priority="15" operator="equal">
      <formula>"Nein"</formula>
    </cfRule>
  </conditionalFormatting>
  <conditionalFormatting sqref="D2:D49">
    <cfRule type="cellIs" dxfId="271" priority="6" operator="equal">
      <formula>1</formula>
    </cfRule>
    <cfRule type="cellIs" dxfId="270" priority="7" operator="equal">
      <formula>0.8</formula>
    </cfRule>
    <cfRule type="cellIs" dxfId="269" priority="8" operator="equal">
      <formula>0.6</formula>
    </cfRule>
    <cfRule type="cellIs" dxfId="268" priority="9" operator="equal">
      <formula>0.4</formula>
    </cfRule>
    <cfRule type="cellIs" dxfId="267" priority="10" operator="equal">
      <formula>0.2</formula>
    </cfRule>
    <cfRule type="cellIs" dxfId="266" priority="11" operator="equal">
      <formula>0</formula>
    </cfRule>
  </conditionalFormatting>
  <dataValidations count="2">
    <dataValidation type="list" allowBlank="1" showInputMessage="1" showErrorMessage="1" sqref="D2:D49" xr:uid="{C8C9C9BB-9D19-4E7A-906B-62DD6508E0F3}">
      <formula1>"100%,80%,60%,40%,20%,0%"</formula1>
    </dataValidation>
    <dataValidation type="list" allowBlank="1" showInputMessage="1" showErrorMessage="1" sqref="B2:C21 B22 B23:C49" xr:uid="{7FDD2772-70A7-4C43-8D43-0112E4DB6845}">
      <formula1>"Ja,Nein"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0" zoomScale="117" workbookViewId="0">
      <selection activeCell="F24" sqref="F24:F28"/>
    </sheetView>
  </sheetViews>
  <sheetFormatPr baseColWidth="10" defaultColWidth="10.69921875" defaultRowHeight="15.6"/>
  <cols>
    <col min="2" max="3" width="10.69921875" style="1"/>
    <col min="4" max="4" width="10.69921875" style="22"/>
    <col min="5" max="8" width="10.69921875" style="1"/>
  </cols>
  <sheetData>
    <row r="1" spans="1:8" ht="24.6">
      <c r="B1" s="20" t="s">
        <v>25</v>
      </c>
    </row>
    <row r="4" spans="1:8">
      <c r="B4" s="19" t="s">
        <v>4</v>
      </c>
      <c r="C4" s="19" t="s">
        <v>5</v>
      </c>
      <c r="D4" s="23" t="s">
        <v>6</v>
      </c>
      <c r="E4" s="19" t="s">
        <v>7</v>
      </c>
      <c r="F4" s="19" t="s">
        <v>10</v>
      </c>
      <c r="G4" s="19" t="s">
        <v>8</v>
      </c>
      <c r="H4" s="19" t="s">
        <v>9</v>
      </c>
    </row>
    <row r="5" spans="1:8">
      <c r="A5" s="7">
        <v>0.16666666666666666</v>
      </c>
    </row>
    <row r="6" spans="1:8">
      <c r="A6" s="7">
        <v>0.1875</v>
      </c>
    </row>
    <row r="7" spans="1:8">
      <c r="A7" s="7">
        <v>0.20833333333333301</v>
      </c>
    </row>
    <row r="8" spans="1:8">
      <c r="A8" s="7">
        <v>0.22916666666666699</v>
      </c>
    </row>
    <row r="9" spans="1:8">
      <c r="A9" s="7">
        <v>0.25</v>
      </c>
    </row>
    <row r="10" spans="1:8">
      <c r="A10" s="7">
        <v>0.27083333333333398</v>
      </c>
    </row>
    <row r="11" spans="1:8">
      <c r="A11" s="7">
        <v>0.29166666666666702</v>
      </c>
    </row>
    <row r="12" spans="1:8">
      <c r="A12" s="7">
        <v>0.3125</v>
      </c>
    </row>
    <row r="13" spans="1:8">
      <c r="A13" s="7">
        <v>0.33333333333333398</v>
      </c>
    </row>
    <row r="14" spans="1:8">
      <c r="A14" s="7">
        <v>0.35416666666666702</v>
      </c>
    </row>
    <row r="15" spans="1:8">
      <c r="A15" s="7">
        <v>0.375</v>
      </c>
    </row>
    <row r="16" spans="1:8">
      <c r="A16" s="7">
        <v>0.39583333333333398</v>
      </c>
    </row>
    <row r="17" spans="1:6">
      <c r="A17" s="7">
        <v>0.41666666666666702</v>
      </c>
      <c r="B17" s="21"/>
      <c r="C17" s="29" t="s">
        <v>122</v>
      </c>
    </row>
    <row r="18" spans="1:6">
      <c r="A18" s="7">
        <v>0.4375</v>
      </c>
      <c r="B18" s="21"/>
      <c r="C18" s="29"/>
    </row>
    <row r="19" spans="1:6">
      <c r="A19" s="7">
        <v>0.45833333333333398</v>
      </c>
      <c r="B19" s="21"/>
      <c r="C19" s="29"/>
    </row>
    <row r="20" spans="1:6">
      <c r="A20" s="7">
        <v>0.47916666666666702</v>
      </c>
      <c r="B20" s="21"/>
      <c r="C20" s="29" t="s">
        <v>123</v>
      </c>
    </row>
    <row r="21" spans="1:6">
      <c r="A21" s="7">
        <v>0.5</v>
      </c>
      <c r="B21" s="21"/>
      <c r="C21" s="29"/>
    </row>
    <row r="22" spans="1:6">
      <c r="A22" s="7">
        <v>0.52083333333333404</v>
      </c>
      <c r="B22" s="21"/>
      <c r="C22" s="21"/>
    </row>
    <row r="23" spans="1:6">
      <c r="A23" s="7">
        <v>0.54166666666666696</v>
      </c>
      <c r="B23" s="29" t="s">
        <v>124</v>
      </c>
      <c r="C23" s="29" t="s">
        <v>125</v>
      </c>
      <c r="E23" s="29" t="s">
        <v>125</v>
      </c>
    </row>
    <row r="24" spans="1:6">
      <c r="A24" s="7">
        <v>0.5625</v>
      </c>
      <c r="B24" s="29"/>
      <c r="C24" s="29"/>
      <c r="D24" s="29" t="s">
        <v>128</v>
      </c>
      <c r="E24" s="29"/>
      <c r="F24" s="29" t="s">
        <v>128</v>
      </c>
    </row>
    <row r="25" spans="1:6">
      <c r="A25" s="7">
        <v>0.58333333333333404</v>
      </c>
      <c r="B25" s="29"/>
      <c r="C25" s="29"/>
      <c r="D25" s="29"/>
      <c r="E25" s="29"/>
      <c r="F25" s="29"/>
    </row>
    <row r="26" spans="1:6">
      <c r="A26" s="7">
        <v>0.60416666666666696</v>
      </c>
      <c r="B26" s="29"/>
      <c r="C26" s="29"/>
      <c r="D26" s="29"/>
      <c r="E26" s="29"/>
      <c r="F26" s="29"/>
    </row>
    <row r="27" spans="1:6">
      <c r="A27" s="7">
        <v>0.625000000000001</v>
      </c>
      <c r="B27" s="29"/>
      <c r="C27" s="29"/>
      <c r="D27" s="29"/>
      <c r="E27" s="29"/>
      <c r="F27" s="29"/>
    </row>
    <row r="28" spans="1:6">
      <c r="A28" s="7">
        <v>0.64583333333333404</v>
      </c>
      <c r="B28" s="29" t="s">
        <v>119</v>
      </c>
      <c r="C28" s="21"/>
      <c r="D28" s="29"/>
      <c r="F28" s="29"/>
    </row>
    <row r="29" spans="1:6" ht="15.6" customHeight="1">
      <c r="A29" s="7">
        <v>0.66666666666666696</v>
      </c>
      <c r="B29" s="29"/>
      <c r="C29" s="29" t="s">
        <v>127</v>
      </c>
      <c r="E29" s="29" t="s">
        <v>127</v>
      </c>
    </row>
    <row r="30" spans="1:6">
      <c r="A30" s="7">
        <v>0.687500000000001</v>
      </c>
      <c r="B30" s="21"/>
      <c r="C30" s="29"/>
      <c r="D30" s="29" t="s">
        <v>126</v>
      </c>
      <c r="E30" s="29"/>
      <c r="F30" s="29" t="s">
        <v>129</v>
      </c>
    </row>
    <row r="31" spans="1:6">
      <c r="A31" s="7">
        <v>0.70833333333333404</v>
      </c>
      <c r="B31" s="29" t="s">
        <v>126</v>
      </c>
      <c r="C31" s="29"/>
      <c r="D31" s="29"/>
      <c r="E31" s="29"/>
      <c r="F31" s="29"/>
    </row>
    <row r="32" spans="1:6">
      <c r="A32" s="7">
        <v>0.72916666666666696</v>
      </c>
      <c r="B32" s="29"/>
      <c r="C32" s="29"/>
      <c r="D32" s="29"/>
      <c r="E32" s="29"/>
      <c r="F32" s="29"/>
    </row>
    <row r="33" spans="1:6">
      <c r="A33" s="7">
        <v>0.750000000000001</v>
      </c>
      <c r="B33" s="29"/>
      <c r="C33" s="29"/>
      <c r="D33" s="29"/>
      <c r="E33" s="29"/>
      <c r="F33" s="24"/>
    </row>
    <row r="34" spans="1:6">
      <c r="A34" s="7">
        <v>0.77083333333333404</v>
      </c>
      <c r="B34" s="29"/>
      <c r="C34" s="21"/>
      <c r="D34" s="29"/>
      <c r="F34" s="24"/>
    </row>
    <row r="35" spans="1:6">
      <c r="A35" s="7">
        <v>0.79166666666666696</v>
      </c>
      <c r="B35" s="29"/>
      <c r="C35" s="21"/>
    </row>
    <row r="36" spans="1:6">
      <c r="A36" s="7">
        <v>0.812500000000001</v>
      </c>
    </row>
    <row r="37" spans="1:6">
      <c r="A37" s="7">
        <v>0.83333333333333404</v>
      </c>
    </row>
    <row r="38" spans="1:6">
      <c r="A38" s="7">
        <v>0.85416666666666696</v>
      </c>
    </row>
    <row r="39" spans="1:6">
      <c r="A39" s="7">
        <v>0.875000000000001</v>
      </c>
    </row>
    <row r="40" spans="1:6">
      <c r="A40" s="7">
        <v>0.89583333333333404</v>
      </c>
    </row>
    <row r="41" spans="1:6">
      <c r="A41" s="7">
        <v>0.91666666666666696</v>
      </c>
    </row>
    <row r="42" spans="1:6">
      <c r="A42" s="7">
        <v>0.937500000000001</v>
      </c>
    </row>
    <row r="43" spans="1:6">
      <c r="A43" s="7">
        <v>0.95833333333333404</v>
      </c>
    </row>
    <row r="44" spans="1:6">
      <c r="A44" s="7">
        <v>0.97916666666666696</v>
      </c>
    </row>
    <row r="45" spans="1:6">
      <c r="A45" s="7">
        <v>1</v>
      </c>
    </row>
    <row r="46" spans="1:6">
      <c r="A46" s="7">
        <v>1.0208333333333299</v>
      </c>
    </row>
    <row r="47" spans="1:6">
      <c r="A47" s="7">
        <v>1.0416666666666701</v>
      </c>
    </row>
  </sheetData>
  <mergeCells count="13">
    <mergeCell ref="F24:F28"/>
    <mergeCell ref="F30:F32"/>
    <mergeCell ref="C17:C19"/>
    <mergeCell ref="C20:C21"/>
    <mergeCell ref="C23:C27"/>
    <mergeCell ref="C29:C33"/>
    <mergeCell ref="D24:D28"/>
    <mergeCell ref="D30:D34"/>
    <mergeCell ref="B23:B27"/>
    <mergeCell ref="B28:B29"/>
    <mergeCell ref="B31:B35"/>
    <mergeCell ref="E23:E27"/>
    <mergeCell ref="E29:E33"/>
  </mergeCells>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10" zoomScale="84" workbookViewId="0">
      <selection activeCell="K41" sqref="K41"/>
    </sheetView>
  </sheetViews>
  <sheetFormatPr baseColWidth="10" defaultColWidth="10.69921875" defaultRowHeight="15.6"/>
  <cols>
    <col min="2" max="8" width="10.69921875" style="22"/>
  </cols>
  <sheetData>
    <row r="1" spans="1:8" ht="24.6">
      <c r="B1" s="25" t="s">
        <v>25</v>
      </c>
    </row>
    <row r="4" spans="1:8">
      <c r="B4" s="23" t="s">
        <v>4</v>
      </c>
      <c r="C4" s="23" t="s">
        <v>5</v>
      </c>
      <c r="D4" s="23" t="s">
        <v>6</v>
      </c>
      <c r="E4" s="23" t="s">
        <v>7</v>
      </c>
      <c r="F4" s="23" t="s">
        <v>10</v>
      </c>
      <c r="G4" s="23" t="s">
        <v>8</v>
      </c>
      <c r="H4" s="23" t="s">
        <v>9</v>
      </c>
    </row>
    <row r="5" spans="1:8">
      <c r="A5" s="7">
        <v>0.16666666666666666</v>
      </c>
    </row>
    <row r="6" spans="1:8">
      <c r="A6" s="7">
        <v>0.1875</v>
      </c>
    </row>
    <row r="7" spans="1:8">
      <c r="A7" s="7">
        <v>0.20833333333333301</v>
      </c>
    </row>
    <row r="8" spans="1:8">
      <c r="A8" s="7">
        <v>0.22916666666666699</v>
      </c>
    </row>
    <row r="9" spans="1:8">
      <c r="A9" s="7">
        <v>0.25</v>
      </c>
    </row>
    <row r="10" spans="1:8">
      <c r="A10" s="7">
        <v>0.27083333333333398</v>
      </c>
    </row>
    <row r="11" spans="1:8">
      <c r="A11" s="7">
        <v>0.29166666666666702</v>
      </c>
    </row>
    <row r="12" spans="1:8">
      <c r="A12" s="7">
        <v>0.3125</v>
      </c>
    </row>
    <row r="13" spans="1:8">
      <c r="A13" s="7">
        <v>0.33333333333333398</v>
      </c>
      <c r="D13" s="30" t="s">
        <v>135</v>
      </c>
      <c r="E13" s="30" t="s">
        <v>135</v>
      </c>
    </row>
    <row r="14" spans="1:8">
      <c r="A14" s="7">
        <v>0.35416666666666702</v>
      </c>
      <c r="D14" s="30"/>
      <c r="E14" s="30"/>
    </row>
    <row r="15" spans="1:8">
      <c r="A15" s="7">
        <v>0.375</v>
      </c>
      <c r="B15" s="22" t="s">
        <v>121</v>
      </c>
      <c r="C15" s="22" t="s">
        <v>121</v>
      </c>
      <c r="D15" s="30"/>
      <c r="E15" s="30"/>
    </row>
    <row r="16" spans="1:8">
      <c r="A16" s="7">
        <v>0.39583333333333398</v>
      </c>
    </row>
    <row r="17" spans="1:5">
      <c r="A17" s="7">
        <v>0.41666666666666702</v>
      </c>
    </row>
    <row r="18" spans="1:5">
      <c r="A18" s="7">
        <v>0.4375</v>
      </c>
    </row>
    <row r="19" spans="1:5">
      <c r="A19" s="7">
        <v>0.45833333333333398</v>
      </c>
      <c r="E19" s="30" t="s">
        <v>132</v>
      </c>
    </row>
    <row r="20" spans="1:5">
      <c r="A20" s="7">
        <v>0.47916666666666702</v>
      </c>
      <c r="E20" s="30"/>
    </row>
    <row r="21" spans="1:5">
      <c r="A21" s="7">
        <v>0.5</v>
      </c>
      <c r="D21" s="30" t="s">
        <v>130</v>
      </c>
      <c r="E21" s="30"/>
    </row>
    <row r="22" spans="1:5">
      <c r="A22" s="7">
        <v>0.52083333333333404</v>
      </c>
      <c r="B22" s="30" t="s">
        <v>130</v>
      </c>
      <c r="D22" s="30"/>
      <c r="E22" s="30"/>
    </row>
    <row r="23" spans="1:5">
      <c r="A23" s="7">
        <v>0.54166666666666696</v>
      </c>
      <c r="B23" s="30"/>
      <c r="C23" s="30" t="s">
        <v>132</v>
      </c>
      <c r="D23" s="30"/>
      <c r="E23" s="30"/>
    </row>
    <row r="24" spans="1:5">
      <c r="A24" s="7">
        <v>0.5625</v>
      </c>
      <c r="B24" s="30"/>
      <c r="C24" s="30"/>
      <c r="D24" s="30"/>
    </row>
    <row r="25" spans="1:5" ht="15.6" customHeight="1">
      <c r="A25" s="7">
        <v>0.58333333333333404</v>
      </c>
      <c r="B25" s="30"/>
      <c r="C25" s="30"/>
      <c r="D25" s="30"/>
      <c r="E25" s="30" t="s">
        <v>134</v>
      </c>
    </row>
    <row r="26" spans="1:5">
      <c r="A26" s="7">
        <v>0.60416666666666696</v>
      </c>
      <c r="B26" s="30"/>
      <c r="C26" s="30"/>
      <c r="E26" s="30"/>
    </row>
    <row r="27" spans="1:5">
      <c r="A27" s="7">
        <v>0.625000000000001</v>
      </c>
      <c r="C27" s="30"/>
      <c r="E27" s="30"/>
    </row>
    <row r="28" spans="1:5">
      <c r="A28" s="7">
        <v>0.64583333333333404</v>
      </c>
      <c r="D28" s="30" t="s">
        <v>131</v>
      </c>
      <c r="E28" s="30"/>
    </row>
    <row r="29" spans="1:5">
      <c r="A29" s="7">
        <v>0.66666666666666696</v>
      </c>
      <c r="B29" s="30" t="s">
        <v>131</v>
      </c>
      <c r="D29" s="30"/>
      <c r="E29" s="30"/>
    </row>
    <row r="30" spans="1:5">
      <c r="A30" s="7">
        <v>0.687500000000001</v>
      </c>
      <c r="B30" s="30"/>
      <c r="D30" s="30"/>
    </row>
    <row r="31" spans="1:5" ht="31.2">
      <c r="A31" s="7">
        <v>0.70833333333333404</v>
      </c>
      <c r="B31" s="30"/>
      <c r="C31" s="22" t="s">
        <v>133</v>
      </c>
      <c r="D31" s="30"/>
    </row>
    <row r="32" spans="1:5">
      <c r="A32" s="7">
        <v>0.72916666666666696</v>
      </c>
      <c r="B32" s="30"/>
      <c r="C32" s="30" t="s">
        <v>134</v>
      </c>
      <c r="D32" s="30"/>
    </row>
    <row r="33" spans="1:3">
      <c r="A33" s="7">
        <v>0.750000000000001</v>
      </c>
      <c r="B33" s="30"/>
      <c r="C33" s="30"/>
    </row>
    <row r="34" spans="1:3">
      <c r="A34" s="7">
        <v>0.77083333333333404</v>
      </c>
      <c r="C34" s="30"/>
    </row>
    <row r="35" spans="1:3">
      <c r="A35" s="7">
        <v>0.79166666666666696</v>
      </c>
      <c r="C35" s="30"/>
    </row>
    <row r="36" spans="1:3">
      <c r="A36" s="7">
        <v>0.812500000000001</v>
      </c>
      <c r="C36" s="30"/>
    </row>
    <row r="37" spans="1:3">
      <c r="A37" s="7">
        <v>0.83333333333333404</v>
      </c>
    </row>
    <row r="38" spans="1:3">
      <c r="A38" s="7">
        <v>0.85416666666666696</v>
      </c>
    </row>
    <row r="39" spans="1:3">
      <c r="A39" s="7">
        <v>0.875000000000001</v>
      </c>
    </row>
    <row r="40" spans="1:3">
      <c r="A40" s="7">
        <v>0.89583333333333404</v>
      </c>
    </row>
    <row r="41" spans="1:3">
      <c r="A41" s="7">
        <v>0.91666666666666696</v>
      </c>
    </row>
    <row r="42" spans="1:3">
      <c r="A42" s="7">
        <v>0.937500000000001</v>
      </c>
    </row>
    <row r="43" spans="1:3">
      <c r="A43" s="7">
        <v>0.95833333333333404</v>
      </c>
    </row>
    <row r="44" spans="1:3">
      <c r="A44" s="7">
        <v>0.97916666666666696</v>
      </c>
    </row>
    <row r="45" spans="1:3">
      <c r="A45" s="7">
        <v>1</v>
      </c>
    </row>
    <row r="46" spans="1:3">
      <c r="A46" s="7">
        <v>1.0208333333333299</v>
      </c>
    </row>
    <row r="47" spans="1:3">
      <c r="A47" s="7">
        <v>1.0416666666666701</v>
      </c>
    </row>
  </sheetData>
  <mergeCells count="10">
    <mergeCell ref="E13:E15"/>
    <mergeCell ref="E19:E23"/>
    <mergeCell ref="E25:E29"/>
    <mergeCell ref="D13:D15"/>
    <mergeCell ref="B22:B26"/>
    <mergeCell ref="B29:B33"/>
    <mergeCell ref="C23:C27"/>
    <mergeCell ref="C32:C36"/>
    <mergeCell ref="D21:D25"/>
    <mergeCell ref="D28:D32"/>
  </mergeCells>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B6184-5D33-48EF-8973-EF2351900644}">
  <dimension ref="A1:H47"/>
  <sheetViews>
    <sheetView topLeftCell="A9" workbookViewId="0">
      <selection activeCell="J38" sqref="J38"/>
    </sheetView>
  </sheetViews>
  <sheetFormatPr baseColWidth="10" defaultRowHeight="15.6"/>
  <sheetData>
    <row r="1" spans="1:8" ht="24.6">
      <c r="B1" s="25" t="s">
        <v>25</v>
      </c>
      <c r="C1" s="22"/>
      <c r="D1" s="22"/>
      <c r="E1" s="22"/>
      <c r="F1" s="22"/>
      <c r="G1" s="22"/>
      <c r="H1" s="22"/>
    </row>
    <row r="2" spans="1:8">
      <c r="B2" s="22"/>
      <c r="C2" s="22"/>
      <c r="D2" s="22"/>
      <c r="E2" s="22"/>
      <c r="F2" s="22"/>
      <c r="G2" s="22"/>
      <c r="H2" s="22"/>
    </row>
    <row r="3" spans="1:8">
      <c r="B3" s="22"/>
      <c r="C3" s="22"/>
      <c r="D3" s="22"/>
      <c r="E3" s="22"/>
      <c r="F3" s="22"/>
      <c r="G3" s="22"/>
      <c r="H3" s="22"/>
    </row>
    <row r="4" spans="1:8">
      <c r="B4" s="23" t="s">
        <v>4</v>
      </c>
      <c r="C4" s="23" t="s">
        <v>5</v>
      </c>
      <c r="D4" s="23" t="s">
        <v>6</v>
      </c>
      <c r="E4" s="23" t="s">
        <v>7</v>
      </c>
      <c r="F4" s="23" t="s">
        <v>10</v>
      </c>
      <c r="G4" s="23" t="s">
        <v>8</v>
      </c>
      <c r="H4" s="23" t="s">
        <v>9</v>
      </c>
    </row>
    <row r="5" spans="1:8">
      <c r="A5" s="7">
        <v>0.16666666666666666</v>
      </c>
      <c r="B5" s="22"/>
      <c r="C5" s="22"/>
      <c r="D5" s="22"/>
      <c r="E5" s="22"/>
      <c r="F5" s="22"/>
      <c r="G5" s="22"/>
      <c r="H5" s="22"/>
    </row>
    <row r="6" spans="1:8">
      <c r="A6" s="7">
        <v>0.1875</v>
      </c>
      <c r="B6" s="22"/>
      <c r="C6" s="22"/>
      <c r="D6" s="22"/>
      <c r="E6" s="22"/>
      <c r="F6" s="22"/>
      <c r="G6" s="22"/>
      <c r="H6" s="22"/>
    </row>
    <row r="7" spans="1:8">
      <c r="A7" s="7">
        <v>0.20833333333333301</v>
      </c>
      <c r="B7" s="22"/>
      <c r="C7" s="22"/>
      <c r="D7" s="22"/>
      <c r="E7" s="22"/>
      <c r="F7" s="22"/>
      <c r="G7" s="22"/>
      <c r="H7" s="22"/>
    </row>
    <row r="8" spans="1:8">
      <c r="A8" s="7">
        <v>0.22916666666666699</v>
      </c>
      <c r="B8" s="22"/>
      <c r="C8" s="22"/>
      <c r="D8" s="22"/>
      <c r="E8" s="22"/>
      <c r="F8" s="22"/>
      <c r="G8" s="22"/>
      <c r="H8" s="22"/>
    </row>
    <row r="9" spans="1:8">
      <c r="A9" s="7">
        <v>0.25</v>
      </c>
      <c r="B9" s="22"/>
      <c r="C9" s="22"/>
      <c r="D9" s="22"/>
      <c r="E9" s="22"/>
      <c r="F9" s="22"/>
      <c r="G9" s="22"/>
      <c r="H9" s="22"/>
    </row>
    <row r="10" spans="1:8">
      <c r="A10" s="7">
        <v>0.27083333333333398</v>
      </c>
      <c r="B10" s="22"/>
      <c r="C10" s="22"/>
      <c r="D10" s="22"/>
      <c r="E10" s="22"/>
      <c r="F10" s="22"/>
      <c r="G10" s="22"/>
      <c r="H10" s="22"/>
    </row>
    <row r="11" spans="1:8">
      <c r="A11" s="7">
        <v>0.29166666666666702</v>
      </c>
      <c r="B11" s="22"/>
      <c r="C11" s="22"/>
      <c r="D11" s="22"/>
      <c r="E11" s="22"/>
      <c r="F11" s="22"/>
      <c r="G11" s="22"/>
      <c r="H11" s="22"/>
    </row>
    <row r="12" spans="1:8">
      <c r="A12" s="7">
        <v>0.3125</v>
      </c>
      <c r="B12" s="22"/>
      <c r="C12" s="22"/>
      <c r="D12" s="22"/>
      <c r="E12" s="22"/>
      <c r="F12" s="22"/>
      <c r="G12" s="22"/>
      <c r="H12" s="22"/>
    </row>
    <row r="13" spans="1:8">
      <c r="A13" s="7">
        <v>0.33333333333333398</v>
      </c>
      <c r="B13" s="22"/>
      <c r="C13" s="30" t="s">
        <v>135</v>
      </c>
      <c r="D13" s="30" t="s">
        <v>135</v>
      </c>
      <c r="E13" s="30" t="s">
        <v>135</v>
      </c>
      <c r="F13" s="22"/>
      <c r="G13" s="22"/>
      <c r="H13" s="22"/>
    </row>
    <row r="14" spans="1:8">
      <c r="A14" s="7">
        <v>0.35416666666666702</v>
      </c>
      <c r="B14" s="22"/>
      <c r="C14" s="30"/>
      <c r="D14" s="30"/>
      <c r="E14" s="30"/>
      <c r="F14" s="22"/>
      <c r="G14" s="22"/>
      <c r="H14" s="22"/>
    </row>
    <row r="15" spans="1:8">
      <c r="A15" s="7">
        <v>0.375</v>
      </c>
      <c r="B15" s="30" t="s">
        <v>135</v>
      </c>
      <c r="C15" s="30"/>
      <c r="D15" s="30"/>
      <c r="E15" s="30"/>
      <c r="F15" s="22"/>
      <c r="G15" s="22"/>
      <c r="H15" s="22"/>
    </row>
    <row r="16" spans="1:8">
      <c r="A16" s="7">
        <v>0.39583333333333398</v>
      </c>
      <c r="B16" s="30"/>
      <c r="C16" s="22"/>
      <c r="D16" s="22"/>
      <c r="E16" s="22"/>
      <c r="F16" s="22"/>
      <c r="G16" s="22"/>
      <c r="H16" s="22"/>
    </row>
    <row r="17" spans="1:8">
      <c r="A17" s="7">
        <v>0.41666666666666702</v>
      </c>
      <c r="B17" s="30"/>
      <c r="C17" s="22"/>
      <c r="D17" s="22"/>
      <c r="E17" s="22"/>
      <c r="F17" s="22"/>
      <c r="G17" s="22"/>
      <c r="H17" s="22"/>
    </row>
    <row r="18" spans="1:8">
      <c r="A18" s="7">
        <v>0.4375</v>
      </c>
      <c r="B18" s="22"/>
      <c r="C18" s="22"/>
      <c r="D18" s="22"/>
      <c r="E18" s="22"/>
      <c r="F18" s="22"/>
      <c r="G18" s="22"/>
      <c r="H18" s="22"/>
    </row>
    <row r="19" spans="1:8">
      <c r="A19" s="7">
        <v>0.45833333333333398</v>
      </c>
      <c r="B19" s="22"/>
      <c r="C19" s="30" t="s">
        <v>132</v>
      </c>
      <c r="D19" s="22"/>
      <c r="E19" s="30" t="s">
        <v>132</v>
      </c>
      <c r="F19" s="22"/>
      <c r="G19" s="22"/>
      <c r="H19" s="22"/>
    </row>
    <row r="20" spans="1:8">
      <c r="A20" s="7">
        <v>0.47916666666666702</v>
      </c>
      <c r="B20" s="22"/>
      <c r="C20" s="30"/>
      <c r="D20" s="22"/>
      <c r="E20" s="30"/>
      <c r="F20" s="22"/>
      <c r="G20" s="22"/>
      <c r="H20" s="22"/>
    </row>
    <row r="21" spans="1:8">
      <c r="A21" s="7">
        <v>0.5</v>
      </c>
      <c r="B21" s="30" t="s">
        <v>130</v>
      </c>
      <c r="C21" s="30"/>
      <c r="D21" s="30" t="s">
        <v>130</v>
      </c>
      <c r="E21" s="30"/>
      <c r="F21" s="22"/>
      <c r="G21" s="22"/>
      <c r="H21" s="22"/>
    </row>
    <row r="22" spans="1:8">
      <c r="A22" s="7">
        <v>0.52083333333333404</v>
      </c>
      <c r="B22" s="30"/>
      <c r="C22" s="30"/>
      <c r="D22" s="30"/>
      <c r="E22" s="30"/>
      <c r="F22" s="22"/>
      <c r="G22" s="22"/>
      <c r="H22" s="22"/>
    </row>
    <row r="23" spans="1:8" ht="15.6" customHeight="1">
      <c r="A23" s="7">
        <v>0.54166666666666696</v>
      </c>
      <c r="B23" s="30"/>
      <c r="C23" s="30"/>
      <c r="D23" s="30"/>
      <c r="E23" s="30"/>
      <c r="F23" s="22"/>
      <c r="G23" s="22"/>
      <c r="H23" s="22"/>
    </row>
    <row r="24" spans="1:8">
      <c r="A24" s="7">
        <v>0.5625</v>
      </c>
      <c r="B24" s="30"/>
      <c r="C24" s="22"/>
      <c r="D24" s="30"/>
      <c r="E24" s="22"/>
      <c r="F24" s="22"/>
      <c r="G24" s="22"/>
      <c r="H24" s="22"/>
    </row>
    <row r="25" spans="1:8">
      <c r="A25" s="7">
        <v>0.58333333333333404</v>
      </c>
      <c r="B25" s="30"/>
      <c r="C25" s="30" t="s">
        <v>134</v>
      </c>
      <c r="D25" s="30"/>
      <c r="E25" s="30" t="s">
        <v>134</v>
      </c>
      <c r="F25" s="22"/>
      <c r="G25" s="22"/>
      <c r="H25" s="22"/>
    </row>
    <row r="26" spans="1:8">
      <c r="A26" s="7">
        <v>0.60416666666666696</v>
      </c>
      <c r="B26" s="22"/>
      <c r="C26" s="30"/>
      <c r="D26" s="22"/>
      <c r="E26" s="30"/>
      <c r="F26" s="22"/>
      <c r="G26" s="22"/>
      <c r="H26" s="22"/>
    </row>
    <row r="27" spans="1:8">
      <c r="A27" s="7">
        <v>0.625000000000001</v>
      </c>
      <c r="B27" s="30" t="s">
        <v>131</v>
      </c>
      <c r="C27" s="30"/>
      <c r="D27" s="22"/>
      <c r="E27" s="30"/>
      <c r="F27" s="22"/>
      <c r="G27" s="22"/>
      <c r="H27" s="22"/>
    </row>
    <row r="28" spans="1:8">
      <c r="A28" s="7">
        <v>0.64583333333333404</v>
      </c>
      <c r="B28" s="30"/>
      <c r="C28" s="30"/>
      <c r="D28" s="30" t="s">
        <v>131</v>
      </c>
      <c r="E28" s="30"/>
      <c r="F28" s="22"/>
      <c r="G28" s="22"/>
      <c r="H28" s="22"/>
    </row>
    <row r="29" spans="1:8" ht="15.6" customHeight="1">
      <c r="A29" s="7">
        <v>0.66666666666666696</v>
      </c>
      <c r="B29" s="30"/>
      <c r="C29" s="30"/>
      <c r="D29" s="30"/>
      <c r="E29" s="30"/>
      <c r="F29" s="22"/>
      <c r="G29" s="22"/>
      <c r="H29" s="22"/>
    </row>
    <row r="30" spans="1:8">
      <c r="A30" s="7">
        <v>0.687500000000001</v>
      </c>
      <c r="B30" s="30"/>
      <c r="C30" s="22"/>
      <c r="D30" s="30"/>
      <c r="E30" s="22"/>
      <c r="F30" s="22"/>
      <c r="G30" s="22"/>
      <c r="H30" s="22"/>
    </row>
    <row r="31" spans="1:8">
      <c r="A31" s="7">
        <v>0.70833333333333404</v>
      </c>
      <c r="B31" s="30"/>
      <c r="C31" s="22"/>
      <c r="D31" s="30"/>
      <c r="E31" s="22"/>
      <c r="F31" s="22"/>
      <c r="G31" s="22"/>
      <c r="H31" s="22"/>
    </row>
    <row r="32" spans="1:8" ht="15.6" customHeight="1">
      <c r="A32" s="7">
        <v>0.72916666666666696</v>
      </c>
      <c r="B32" s="22"/>
      <c r="C32" s="22"/>
      <c r="D32" s="30"/>
      <c r="E32" s="22"/>
      <c r="F32" s="22"/>
      <c r="G32" s="22"/>
      <c r="H32" s="22"/>
    </row>
    <row r="33" spans="1:8">
      <c r="A33" s="7">
        <v>0.750000000000001</v>
      </c>
      <c r="B33" s="22"/>
      <c r="C33" s="22"/>
      <c r="D33" s="22"/>
      <c r="E33" s="22"/>
      <c r="F33" s="22"/>
      <c r="G33" s="22"/>
      <c r="H33" s="22"/>
    </row>
    <row r="34" spans="1:8">
      <c r="A34" s="7">
        <v>0.77083333333333404</v>
      </c>
      <c r="B34" s="22"/>
      <c r="C34" s="22"/>
      <c r="D34" s="22"/>
      <c r="E34" s="22"/>
      <c r="F34" s="22"/>
      <c r="G34" s="22"/>
      <c r="H34" s="22"/>
    </row>
    <row r="35" spans="1:8">
      <c r="A35" s="7">
        <v>0.79166666666666696</v>
      </c>
      <c r="B35" s="22"/>
      <c r="C35" s="22"/>
      <c r="D35" s="22"/>
      <c r="E35" s="22"/>
      <c r="F35" s="22"/>
      <c r="G35" s="22"/>
      <c r="H35" s="22"/>
    </row>
    <row r="36" spans="1:8">
      <c r="A36" s="7">
        <v>0.812500000000001</v>
      </c>
      <c r="B36" s="22"/>
      <c r="C36" s="22"/>
      <c r="D36" s="22"/>
      <c r="E36" s="22"/>
      <c r="F36" s="22"/>
      <c r="G36" s="22"/>
      <c r="H36" s="22"/>
    </row>
    <row r="37" spans="1:8">
      <c r="A37" s="7">
        <v>0.83333333333333404</v>
      </c>
      <c r="B37" s="22"/>
      <c r="C37" s="22"/>
      <c r="D37" s="22"/>
      <c r="E37" s="22"/>
      <c r="F37" s="22"/>
      <c r="G37" s="22"/>
      <c r="H37" s="22"/>
    </row>
    <row r="38" spans="1:8">
      <c r="A38" s="7">
        <v>0.85416666666666696</v>
      </c>
      <c r="B38" s="22"/>
      <c r="C38" s="22"/>
      <c r="D38" s="22"/>
      <c r="E38" s="22"/>
      <c r="F38" s="22"/>
      <c r="G38" s="22"/>
      <c r="H38" s="22"/>
    </row>
    <row r="39" spans="1:8">
      <c r="A39" s="7">
        <v>0.875000000000001</v>
      </c>
      <c r="B39" s="22"/>
      <c r="C39" s="22"/>
      <c r="D39" s="22"/>
      <c r="E39" s="22"/>
      <c r="F39" s="22"/>
      <c r="G39" s="22"/>
      <c r="H39" s="22"/>
    </row>
    <row r="40" spans="1:8">
      <c r="A40" s="7">
        <v>0.89583333333333404</v>
      </c>
      <c r="B40" s="22"/>
      <c r="C40" s="22"/>
      <c r="D40" s="22"/>
      <c r="E40" s="22"/>
      <c r="F40" s="22"/>
      <c r="G40" s="22"/>
      <c r="H40" s="22"/>
    </row>
    <row r="41" spans="1:8">
      <c r="A41" s="7">
        <v>0.91666666666666696</v>
      </c>
      <c r="B41" s="22"/>
      <c r="C41" s="22"/>
      <c r="D41" s="22"/>
      <c r="E41" s="22"/>
      <c r="F41" s="22"/>
      <c r="G41" s="22"/>
      <c r="H41" s="22"/>
    </row>
    <row r="42" spans="1:8">
      <c r="A42" s="7">
        <v>0.937500000000001</v>
      </c>
      <c r="B42" s="22"/>
      <c r="C42" s="22"/>
      <c r="D42" s="22"/>
      <c r="E42" s="22"/>
      <c r="F42" s="22"/>
      <c r="G42" s="22"/>
      <c r="H42" s="22"/>
    </row>
    <row r="43" spans="1:8">
      <c r="A43" s="7">
        <v>0.95833333333333404</v>
      </c>
      <c r="B43" s="22"/>
      <c r="C43" s="22"/>
      <c r="D43" s="22"/>
      <c r="E43" s="22"/>
      <c r="F43" s="22"/>
      <c r="G43" s="22"/>
      <c r="H43" s="22"/>
    </row>
    <row r="44" spans="1:8">
      <c r="A44" s="7">
        <v>0.97916666666666696</v>
      </c>
      <c r="B44" s="22"/>
      <c r="C44" s="22"/>
      <c r="D44" s="22"/>
      <c r="E44" s="22"/>
      <c r="F44" s="22"/>
      <c r="G44" s="22"/>
      <c r="H44" s="22"/>
    </row>
    <row r="45" spans="1:8">
      <c r="A45" s="7">
        <v>1</v>
      </c>
      <c r="B45" s="22"/>
      <c r="C45" s="22"/>
      <c r="D45" s="22"/>
      <c r="E45" s="22"/>
      <c r="F45" s="22"/>
      <c r="G45" s="22"/>
      <c r="H45" s="22"/>
    </row>
    <row r="46" spans="1:8">
      <c r="A46" s="7">
        <v>1.0208333333333299</v>
      </c>
      <c r="B46" s="22"/>
      <c r="C46" s="22"/>
      <c r="D46" s="22"/>
      <c r="E46" s="22"/>
      <c r="F46" s="22"/>
      <c r="G46" s="22"/>
      <c r="H46" s="22"/>
    </row>
    <row r="47" spans="1:8">
      <c r="A47" s="7">
        <v>1.0416666666666701</v>
      </c>
      <c r="B47" s="22"/>
      <c r="C47" s="22"/>
      <c r="D47" s="22"/>
      <c r="E47" s="22"/>
      <c r="F47" s="22"/>
      <c r="G47" s="22"/>
      <c r="H47" s="22"/>
    </row>
  </sheetData>
  <mergeCells count="12">
    <mergeCell ref="D13:D15"/>
    <mergeCell ref="E13:E15"/>
    <mergeCell ref="E19:E23"/>
    <mergeCell ref="D21:D25"/>
    <mergeCell ref="E25:E29"/>
    <mergeCell ref="D28:D32"/>
    <mergeCell ref="B15:B17"/>
    <mergeCell ref="B21:B25"/>
    <mergeCell ref="B27:B31"/>
    <mergeCell ref="C13:C15"/>
    <mergeCell ref="C19:C23"/>
    <mergeCell ref="C25:C29"/>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4656-8F45-426C-9D75-B8637AF601B8}">
  <dimension ref="A1:H47"/>
  <sheetViews>
    <sheetView topLeftCell="A2" workbookViewId="0">
      <selection activeCell="C13" sqref="C13:C15"/>
    </sheetView>
  </sheetViews>
  <sheetFormatPr baseColWidth="10" defaultRowHeight="15.6"/>
  <sheetData>
    <row r="1" spans="1:8" ht="24.6">
      <c r="B1" s="25" t="s">
        <v>25</v>
      </c>
      <c r="C1" s="22"/>
      <c r="D1" s="22"/>
      <c r="E1" s="22"/>
      <c r="F1" s="22"/>
      <c r="G1" s="22"/>
      <c r="H1" s="22"/>
    </row>
    <row r="2" spans="1:8">
      <c r="B2" s="22"/>
      <c r="C2" s="22"/>
      <c r="D2" s="22"/>
      <c r="E2" s="22"/>
      <c r="F2" s="22"/>
      <c r="G2" s="22"/>
      <c r="H2" s="22"/>
    </row>
    <row r="3" spans="1:8">
      <c r="B3" s="22"/>
      <c r="C3" s="22"/>
      <c r="D3" s="22"/>
      <c r="E3" s="22"/>
      <c r="F3" s="22"/>
      <c r="G3" s="22"/>
      <c r="H3" s="22"/>
    </row>
    <row r="4" spans="1:8">
      <c r="B4" s="23" t="s">
        <v>4</v>
      </c>
      <c r="C4" s="23" t="s">
        <v>5</v>
      </c>
      <c r="D4" s="23" t="s">
        <v>6</v>
      </c>
      <c r="E4" s="23" t="s">
        <v>7</v>
      </c>
      <c r="F4" s="23" t="s">
        <v>10</v>
      </c>
      <c r="G4" s="23" t="s">
        <v>8</v>
      </c>
      <c r="H4" s="23" t="s">
        <v>9</v>
      </c>
    </row>
    <row r="5" spans="1:8">
      <c r="A5" s="7">
        <v>0.16666666666666666</v>
      </c>
      <c r="B5" s="22"/>
      <c r="C5" s="22"/>
      <c r="D5" s="22"/>
      <c r="E5" s="22"/>
      <c r="F5" s="22"/>
      <c r="G5" s="22"/>
      <c r="H5" s="22"/>
    </row>
    <row r="6" spans="1:8">
      <c r="A6" s="7">
        <v>0.1875</v>
      </c>
      <c r="B6" s="22"/>
      <c r="C6" s="22"/>
      <c r="D6" s="22"/>
      <c r="E6" s="22"/>
      <c r="F6" s="22"/>
      <c r="G6" s="22"/>
      <c r="H6" s="22"/>
    </row>
    <row r="7" spans="1:8">
      <c r="A7" s="7">
        <v>0.20833333333333301</v>
      </c>
      <c r="B7" s="22"/>
      <c r="C7" s="22"/>
      <c r="D7" s="22"/>
      <c r="E7" s="22"/>
      <c r="F7" s="22"/>
      <c r="G7" s="22"/>
      <c r="H7" s="22"/>
    </row>
    <row r="8" spans="1:8">
      <c r="A8" s="7">
        <v>0.22916666666666699</v>
      </c>
      <c r="B8" s="22"/>
      <c r="C8" s="22"/>
      <c r="D8" s="22"/>
      <c r="E8" s="22"/>
      <c r="F8" s="22"/>
      <c r="G8" s="22"/>
      <c r="H8" s="22"/>
    </row>
    <row r="9" spans="1:8">
      <c r="A9" s="7">
        <v>0.25</v>
      </c>
      <c r="B9" s="22"/>
      <c r="C9" s="22"/>
      <c r="D9" s="22"/>
      <c r="E9" s="22"/>
      <c r="F9" s="22"/>
      <c r="G9" s="22"/>
      <c r="H9" s="22"/>
    </row>
    <row r="10" spans="1:8">
      <c r="A10" s="7">
        <v>0.27083333333333398</v>
      </c>
      <c r="B10" s="22"/>
      <c r="C10" s="22" t="s">
        <v>121</v>
      </c>
      <c r="D10" s="22"/>
      <c r="E10" s="22"/>
      <c r="F10" s="22"/>
      <c r="G10" s="22"/>
      <c r="H10" s="22"/>
    </row>
    <row r="11" spans="1:8">
      <c r="A11" s="7">
        <v>0.29166666666666702</v>
      </c>
      <c r="B11" s="22"/>
      <c r="C11" s="22"/>
      <c r="D11" s="22"/>
      <c r="E11" s="22"/>
      <c r="F11" s="22"/>
      <c r="G11" s="22"/>
      <c r="H11" s="22"/>
    </row>
    <row r="12" spans="1:8">
      <c r="A12" s="7">
        <v>0.3125</v>
      </c>
      <c r="B12" s="22"/>
      <c r="C12" s="22"/>
      <c r="D12" s="22"/>
      <c r="E12" s="22"/>
      <c r="F12" s="22"/>
      <c r="G12" s="22"/>
      <c r="H12" s="22"/>
    </row>
    <row r="13" spans="1:8" ht="15.6" customHeight="1">
      <c r="A13" s="7">
        <v>0.33333333333333398</v>
      </c>
      <c r="B13" s="22"/>
      <c r="C13" s="30" t="s">
        <v>138</v>
      </c>
      <c r="D13" s="22"/>
      <c r="E13" s="22"/>
      <c r="F13" s="22"/>
      <c r="G13" s="22"/>
      <c r="H13" s="22"/>
    </row>
    <row r="14" spans="1:8">
      <c r="A14" s="7">
        <v>0.35416666666666702</v>
      </c>
      <c r="B14" s="22"/>
      <c r="C14" s="30"/>
      <c r="D14" s="22"/>
      <c r="E14" s="22"/>
      <c r="F14" s="22"/>
      <c r="G14" s="22"/>
      <c r="H14" s="22"/>
    </row>
    <row r="15" spans="1:8">
      <c r="A15" s="7">
        <v>0.375</v>
      </c>
      <c r="B15" s="30" t="s">
        <v>135</v>
      </c>
      <c r="C15" s="30"/>
      <c r="D15" s="22"/>
      <c r="E15" s="22"/>
      <c r="F15" s="22"/>
      <c r="G15" s="22"/>
      <c r="H15" s="22"/>
    </row>
    <row r="16" spans="1:8">
      <c r="A16" s="7">
        <v>0.39583333333333398</v>
      </c>
      <c r="B16" s="30"/>
      <c r="C16" s="22"/>
      <c r="D16" s="22"/>
      <c r="E16" s="22"/>
      <c r="F16" s="22"/>
      <c r="G16" s="22"/>
      <c r="H16" s="22"/>
    </row>
    <row r="17" spans="1:8">
      <c r="A17" s="7">
        <v>0.41666666666666702</v>
      </c>
      <c r="B17" s="30"/>
      <c r="C17" s="30" t="s">
        <v>136</v>
      </c>
      <c r="D17" s="22"/>
      <c r="E17" s="22"/>
      <c r="F17" s="22"/>
      <c r="G17" s="22"/>
      <c r="H17" s="22"/>
    </row>
    <row r="18" spans="1:8">
      <c r="A18" s="7">
        <v>0.4375</v>
      </c>
      <c r="B18" s="22"/>
      <c r="C18" s="30"/>
      <c r="D18" s="22"/>
      <c r="E18" s="22"/>
      <c r="F18" s="22"/>
      <c r="G18" s="22"/>
      <c r="H18" s="22"/>
    </row>
    <row r="19" spans="1:8" ht="15.6" customHeight="1">
      <c r="A19" s="7">
        <v>0.45833333333333398</v>
      </c>
      <c r="B19" s="22"/>
      <c r="C19" s="30"/>
      <c r="D19" s="22"/>
      <c r="E19" s="22"/>
      <c r="F19" s="22"/>
      <c r="G19" s="22"/>
      <c r="H19" s="22"/>
    </row>
    <row r="20" spans="1:8">
      <c r="A20" s="7">
        <v>0.47916666666666702</v>
      </c>
      <c r="B20" s="22"/>
      <c r="C20" s="30"/>
      <c r="D20" s="22"/>
      <c r="E20" s="22"/>
      <c r="F20" s="22"/>
      <c r="G20" s="22"/>
      <c r="H20" s="22"/>
    </row>
    <row r="21" spans="1:8" ht="15.6" customHeight="1">
      <c r="A21" s="7">
        <v>0.5</v>
      </c>
      <c r="B21" s="30" t="s">
        <v>130</v>
      </c>
      <c r="C21" s="30"/>
      <c r="D21" s="22"/>
      <c r="E21" s="22"/>
      <c r="F21" s="22"/>
      <c r="G21" s="22"/>
      <c r="H21" s="22"/>
    </row>
    <row r="22" spans="1:8">
      <c r="A22" s="7">
        <v>0.52083333333333404</v>
      </c>
      <c r="B22" s="30"/>
      <c r="C22" s="22"/>
      <c r="D22" s="22"/>
      <c r="E22" s="22"/>
      <c r="F22" s="22"/>
      <c r="G22" s="22"/>
      <c r="H22" s="22"/>
    </row>
    <row r="23" spans="1:8">
      <c r="A23" s="7">
        <v>0.54166666666666696</v>
      </c>
      <c r="B23" s="30"/>
      <c r="C23" s="22"/>
      <c r="D23" s="22"/>
      <c r="E23" s="22"/>
      <c r="F23" s="22"/>
      <c r="G23" s="22"/>
      <c r="H23" s="22"/>
    </row>
    <row r="24" spans="1:8">
      <c r="A24" s="7">
        <v>0.5625</v>
      </c>
      <c r="B24" s="30"/>
      <c r="C24" s="22"/>
      <c r="D24" s="22"/>
      <c r="E24" s="22"/>
      <c r="F24" s="22"/>
      <c r="G24" s="22"/>
      <c r="H24" s="22"/>
    </row>
    <row r="25" spans="1:8" ht="15.6" customHeight="1">
      <c r="A25" s="7">
        <v>0.58333333333333404</v>
      </c>
      <c r="B25" s="30"/>
      <c r="C25" s="30" t="s">
        <v>137</v>
      </c>
      <c r="D25" s="22"/>
      <c r="E25" s="22"/>
      <c r="F25" s="22"/>
      <c r="G25" s="22"/>
      <c r="H25" s="22"/>
    </row>
    <row r="26" spans="1:8">
      <c r="A26" s="7">
        <v>0.60416666666666696</v>
      </c>
      <c r="B26" s="22"/>
      <c r="C26" s="30"/>
      <c r="D26" s="22"/>
      <c r="E26" s="22"/>
      <c r="F26" s="22"/>
      <c r="G26" s="22"/>
      <c r="H26" s="22"/>
    </row>
    <row r="27" spans="1:8">
      <c r="A27" s="7">
        <v>0.625000000000001</v>
      </c>
      <c r="B27" s="30" t="s">
        <v>134</v>
      </c>
      <c r="C27" s="30"/>
      <c r="D27" s="22"/>
      <c r="E27" s="22"/>
      <c r="F27" s="22"/>
      <c r="G27" s="22"/>
      <c r="H27" s="22"/>
    </row>
    <row r="28" spans="1:8" ht="15.6" customHeight="1">
      <c r="A28" s="7">
        <v>0.64583333333333404</v>
      </c>
      <c r="B28" s="30"/>
      <c r="C28" s="30"/>
      <c r="D28" s="22"/>
      <c r="E28" s="22"/>
      <c r="F28" s="22"/>
      <c r="G28" s="22"/>
      <c r="H28" s="22"/>
    </row>
    <row r="29" spans="1:8">
      <c r="A29" s="7">
        <v>0.66666666666666696</v>
      </c>
      <c r="B29" s="30"/>
      <c r="C29" s="30"/>
      <c r="D29" s="22"/>
      <c r="E29" s="22"/>
      <c r="F29" s="22"/>
      <c r="G29" s="22"/>
      <c r="H29" s="22"/>
    </row>
    <row r="30" spans="1:8">
      <c r="A30" s="7">
        <v>0.687500000000001</v>
      </c>
      <c r="B30" s="30"/>
      <c r="C30" s="22"/>
      <c r="D30" s="22"/>
      <c r="E30" s="22"/>
      <c r="F30" s="22"/>
      <c r="G30" s="22"/>
      <c r="H30" s="22"/>
    </row>
    <row r="31" spans="1:8">
      <c r="A31" s="7">
        <v>0.70833333333333404</v>
      </c>
      <c r="B31" s="30"/>
      <c r="C31" s="22"/>
      <c r="D31" s="22"/>
      <c r="E31" s="22"/>
      <c r="F31" s="22"/>
      <c r="G31" s="22"/>
      <c r="H31" s="22"/>
    </row>
    <row r="32" spans="1:8">
      <c r="A32" s="7">
        <v>0.72916666666666696</v>
      </c>
      <c r="B32" s="22"/>
      <c r="C32" s="22"/>
      <c r="D32" s="22"/>
      <c r="E32" s="22"/>
      <c r="F32" s="22"/>
      <c r="G32" s="22"/>
      <c r="H32" s="22"/>
    </row>
    <row r="33" spans="1:8">
      <c r="A33" s="7">
        <v>0.750000000000001</v>
      </c>
      <c r="B33" s="22"/>
      <c r="C33" s="22"/>
      <c r="D33" s="22"/>
      <c r="E33" s="22"/>
      <c r="F33" s="22"/>
      <c r="G33" s="22"/>
      <c r="H33" s="22"/>
    </row>
    <row r="34" spans="1:8">
      <c r="A34" s="7">
        <v>0.77083333333333404</v>
      </c>
      <c r="B34" s="22"/>
      <c r="C34" s="22"/>
      <c r="D34" s="22"/>
      <c r="E34" s="22"/>
      <c r="F34" s="22"/>
      <c r="G34" s="22"/>
      <c r="H34" s="22"/>
    </row>
    <row r="35" spans="1:8">
      <c r="A35" s="7">
        <v>0.79166666666666696</v>
      </c>
      <c r="B35" s="22"/>
      <c r="C35" s="22"/>
      <c r="D35" s="22"/>
      <c r="E35" s="22"/>
      <c r="F35" s="22"/>
      <c r="G35" s="22"/>
      <c r="H35" s="22"/>
    </row>
    <row r="36" spans="1:8">
      <c r="A36" s="7">
        <v>0.812500000000001</v>
      </c>
      <c r="B36" s="22"/>
      <c r="C36" s="22"/>
      <c r="D36" s="22"/>
      <c r="E36" s="22"/>
      <c r="F36" s="22"/>
      <c r="G36" s="22"/>
      <c r="H36" s="22"/>
    </row>
    <row r="37" spans="1:8">
      <c r="A37" s="7">
        <v>0.83333333333333404</v>
      </c>
      <c r="B37" s="22"/>
      <c r="C37" s="22"/>
      <c r="D37" s="22"/>
      <c r="E37" s="22"/>
      <c r="F37" s="22"/>
      <c r="G37" s="22"/>
      <c r="H37" s="22"/>
    </row>
    <row r="38" spans="1:8">
      <c r="A38" s="7">
        <v>0.85416666666666696</v>
      </c>
      <c r="B38" s="22"/>
      <c r="C38" s="22"/>
      <c r="D38" s="22"/>
      <c r="E38" s="22"/>
      <c r="F38" s="22"/>
      <c r="G38" s="22"/>
      <c r="H38" s="22"/>
    </row>
    <row r="39" spans="1:8">
      <c r="A39" s="7">
        <v>0.875000000000001</v>
      </c>
      <c r="B39" s="22"/>
      <c r="C39" s="22"/>
      <c r="D39" s="22"/>
      <c r="E39" s="22"/>
      <c r="F39" s="22"/>
      <c r="G39" s="22"/>
      <c r="H39" s="22"/>
    </row>
    <row r="40" spans="1:8">
      <c r="A40" s="7">
        <v>0.89583333333333404</v>
      </c>
      <c r="B40" s="22"/>
      <c r="C40" s="22"/>
      <c r="D40" s="22"/>
      <c r="E40" s="22"/>
      <c r="F40" s="22"/>
      <c r="G40" s="22"/>
      <c r="H40" s="22"/>
    </row>
    <row r="41" spans="1:8">
      <c r="A41" s="7">
        <v>0.91666666666666696</v>
      </c>
      <c r="B41" s="22"/>
      <c r="C41" s="22"/>
      <c r="D41" s="22"/>
      <c r="E41" s="22"/>
      <c r="F41" s="22"/>
      <c r="G41" s="22"/>
      <c r="H41" s="22"/>
    </row>
    <row r="42" spans="1:8">
      <c r="A42" s="7">
        <v>0.937500000000001</v>
      </c>
      <c r="B42" s="22"/>
      <c r="C42" s="22"/>
      <c r="D42" s="22"/>
      <c r="E42" s="22"/>
      <c r="F42" s="22"/>
      <c r="G42" s="22"/>
      <c r="H42" s="22"/>
    </row>
    <row r="43" spans="1:8">
      <c r="A43" s="7">
        <v>0.95833333333333404</v>
      </c>
      <c r="B43" s="22"/>
      <c r="C43" s="22"/>
      <c r="D43" s="22"/>
      <c r="E43" s="22"/>
      <c r="F43" s="22"/>
      <c r="G43" s="22"/>
      <c r="H43" s="22"/>
    </row>
    <row r="44" spans="1:8">
      <c r="A44" s="7">
        <v>0.97916666666666696</v>
      </c>
      <c r="B44" s="22"/>
      <c r="C44" s="22"/>
      <c r="D44" s="22"/>
      <c r="E44" s="22"/>
      <c r="F44" s="22"/>
      <c r="G44" s="22"/>
      <c r="H44" s="22"/>
    </row>
    <row r="45" spans="1:8">
      <c r="A45" s="7">
        <v>1</v>
      </c>
      <c r="B45" s="22"/>
      <c r="C45" s="22"/>
      <c r="D45" s="22"/>
      <c r="E45" s="22"/>
      <c r="F45" s="22"/>
      <c r="G45" s="22"/>
      <c r="H45" s="22"/>
    </row>
    <row r="46" spans="1:8">
      <c r="A46" s="7">
        <v>1.0208333333333299</v>
      </c>
      <c r="B46" s="22"/>
      <c r="C46" s="22"/>
      <c r="D46" s="22"/>
      <c r="E46" s="22"/>
      <c r="F46" s="22"/>
      <c r="G46" s="22"/>
      <c r="H46" s="22"/>
    </row>
    <row r="47" spans="1:8">
      <c r="A47" s="7">
        <v>1.0416666666666701</v>
      </c>
      <c r="B47" s="22"/>
      <c r="C47" s="22"/>
      <c r="D47" s="22"/>
      <c r="E47" s="22"/>
      <c r="F47" s="22"/>
      <c r="G47" s="22"/>
      <c r="H47" s="22"/>
    </row>
  </sheetData>
  <mergeCells count="6">
    <mergeCell ref="B27:B31"/>
    <mergeCell ref="C17:C21"/>
    <mergeCell ref="C13:C15"/>
    <mergeCell ref="B15:B17"/>
    <mergeCell ref="B21:B25"/>
    <mergeCell ref="C25:C29"/>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ANLEITUNG</vt:lpstr>
      <vt:lpstr>Semesterplan</vt:lpstr>
      <vt:lpstr>Best-Practices</vt:lpstr>
      <vt:lpstr>COMMITTMENT</vt:lpstr>
      <vt:lpstr>Wochenplan KW 38</vt:lpstr>
      <vt:lpstr>Wochenplan KW 39</vt:lpstr>
      <vt:lpstr>WP KW 40</vt:lpstr>
      <vt:lpstr>KW41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Simon Ruz</cp:lastModifiedBy>
  <dcterms:created xsi:type="dcterms:W3CDTF">2020-04-19T13:33:28Z</dcterms:created>
  <dcterms:modified xsi:type="dcterms:W3CDTF">2024-10-19T16:30:39Z</dcterms:modified>
</cp:coreProperties>
</file>