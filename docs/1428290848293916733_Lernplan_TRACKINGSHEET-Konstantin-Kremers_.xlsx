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166925"/>
  <mc:AlternateContent xmlns:mc="http://schemas.openxmlformats.org/markup-compatibility/2006">
    <mc:Choice Requires="x15">
      <x15ac:absPath xmlns:x15ac="http://schemas.microsoft.com/office/spreadsheetml/2010/11/ac" url="https://universitaetstgallen-my.sharepoint.com/personal/konstantin_kremers_student_unisg_ch/Documents/"/>
    </mc:Choice>
  </mc:AlternateContent>
  <xr:revisionPtr revIDLastSave="0" documentId="8_{5B4FD9E9-DF37-A746-AD28-AB7DF3626BC2}" xr6:coauthVersionLast="47" xr6:coauthVersionMax="47" xr10:uidLastSave="{00000000-0000-0000-0000-000000000000}"/>
  <bookViews>
    <workbookView xWindow="0" yWindow="720" windowWidth="29400" windowHeight="1840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A55" i="7" l="1"/>
  <c r="CT55" i="7"/>
  <c r="CM55" i="7"/>
  <c r="CF55" i="7"/>
  <c r="BY55" i="7"/>
  <c r="BR55" i="7"/>
  <c r="BK55" i="7"/>
  <c r="BD55" i="7"/>
  <c r="AW55" i="7"/>
  <c r="AP55" i="7"/>
  <c r="AI55" i="7"/>
  <c r="AB55" i="7"/>
  <c r="U55" i="7"/>
  <c r="G55" i="7"/>
  <c r="K42" i="7" a="1"/>
  <c r="K42" i="7" s="1"/>
  <c r="J42" i="7" a="1"/>
  <c r="J42" i="7" s="1"/>
  <c r="I42" i="7"/>
  <c r="K41" i="7" a="1"/>
  <c r="K41" i="7" s="1"/>
  <c r="J41" i="7" a="1"/>
  <c r="J41" i="7" s="1"/>
  <c r="I41" i="7"/>
  <c r="K40" i="7" a="1"/>
  <c r="K40" i="7" s="1"/>
  <c r="J40" i="7" a="1"/>
  <c r="J40" i="7" s="1"/>
  <c r="I40" i="7"/>
  <c r="K39" i="7" a="1"/>
  <c r="K39" i="7" s="1"/>
  <c r="J39" i="7" a="1"/>
  <c r="J39" i="7" s="1"/>
  <c r="I39" i="7"/>
  <c r="K38" i="7" a="1"/>
  <c r="K38" i="7" s="1"/>
  <c r="J38" i="7" a="1"/>
  <c r="J38" i="7" s="1"/>
  <c r="I38" i="7"/>
  <c r="C11" i="10"/>
  <c r="DA4" i="7"/>
  <c r="CT4" i="7"/>
  <c r="CM4" i="7"/>
  <c r="CF4" i="7"/>
  <c r="BY4" i="7"/>
  <c r="BR4" i="7"/>
  <c r="C7" i="10"/>
  <c r="K15" i="7" a="1"/>
  <c r="K15" i="7" s="1"/>
  <c r="J15" i="7" a="1"/>
  <c r="J15" i="7" s="1"/>
  <c r="I15" i="7"/>
  <c r="K14" i="7" a="1"/>
  <c r="K14" i="7" s="1"/>
  <c r="J14" i="7" a="1"/>
  <c r="J14" i="7" s="1"/>
  <c r="I1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AP45" i="7"/>
  <c r="AI45" i="7"/>
  <c r="AB45" i="7"/>
  <c r="U45" i="7"/>
  <c r="N45" i="7"/>
  <c r="G45" i="7"/>
  <c r="K43" i="7" a="1"/>
  <c r="K43" i="7" s="1"/>
  <c r="J43" i="7" a="1"/>
  <c r="J43" i="7" s="1"/>
  <c r="I43" i="7"/>
  <c r="K37" i="7" a="1"/>
  <c r="K37" i="7" s="1"/>
  <c r="J37" i="7" a="1"/>
  <c r="J37" i="7" s="1"/>
  <c r="I37" i="7"/>
  <c r="K36" i="7" a="1"/>
  <c r="K36" i="7" s="1"/>
  <c r="J36" i="7" a="1"/>
  <c r="J36" i="7" s="1"/>
  <c r="I36" i="7"/>
  <c r="K35" i="7" a="1"/>
  <c r="K35" i="7" s="1"/>
  <c r="J35" i="7" a="1"/>
  <c r="J35" i="7" s="1"/>
  <c r="I35" i="7"/>
  <c r="K34" i="7" a="1"/>
  <c r="K34" i="7" s="1"/>
  <c r="J34" i="7" a="1"/>
  <c r="J34" i="7" s="1"/>
  <c r="I34" i="7"/>
  <c r="K33" i="7" a="1"/>
  <c r="K33" i="7" s="1"/>
  <c r="J33" i="7" a="1"/>
  <c r="J33" i="7" s="1"/>
  <c r="I33" i="7"/>
  <c r="K32" i="7" a="1"/>
  <c r="K32" i="7" s="1"/>
  <c r="J32" i="7" a="1"/>
  <c r="J32" i="7" s="1"/>
  <c r="I32" i="7"/>
  <c r="AP31" i="7"/>
  <c r="AI31" i="7"/>
  <c r="AB31" i="7"/>
  <c r="U31" i="7"/>
  <c r="N31" i="7"/>
  <c r="G31" i="7"/>
  <c r="BK4" i="7"/>
  <c r="C12" i="10"/>
  <c r="K18" i="7" a="1"/>
  <c r="K18" i="7" s="1"/>
  <c r="J18" i="7" a="1"/>
  <c r="J18" i="7" s="1"/>
  <c r="K17" i="7" a="1"/>
  <c r="K17" i="7" s="1"/>
  <c r="J17" i="7" a="1"/>
  <c r="J17" i="7" s="1"/>
  <c r="K16" i="7" a="1"/>
  <c r="K16" i="7" s="1"/>
  <c r="J16" i="7" a="1"/>
  <c r="J16" i="7" s="1"/>
  <c r="K13" i="7" a="1"/>
  <c r="K13" i="7" s="1"/>
  <c r="J13" i="7" a="1"/>
  <c r="J13" i="7" s="1"/>
  <c r="K29" i="7" a="1"/>
  <c r="K29" i="7" s="1"/>
  <c r="J29" i="7" a="1"/>
  <c r="J29" i="7" s="1"/>
  <c r="K28" i="7" a="1"/>
  <c r="K28" i="7" s="1"/>
  <c r="J28" i="7" a="1"/>
  <c r="J28" i="7" s="1"/>
  <c r="K27" i="7" a="1"/>
  <c r="K27" i="7" s="1"/>
  <c r="J27" i="7" a="1"/>
  <c r="J27" i="7" s="1"/>
  <c r="K26" i="7" a="1"/>
  <c r="K26" i="7" s="1"/>
  <c r="J26" i="7" a="1"/>
  <c r="J26" i="7" s="1"/>
  <c r="K25" i="7" a="1"/>
  <c r="K25" i="7" s="1"/>
  <c r="J25" i="7" a="1"/>
  <c r="J25" i="7" s="1"/>
  <c r="K24" i="7" a="1"/>
  <c r="K24" i="7" s="1"/>
  <c r="J24" i="7" a="1"/>
  <c r="J24" i="7" s="1"/>
  <c r="K23" i="7" a="1"/>
  <c r="K23" i="7" s="1"/>
  <c r="J23" i="7" a="1"/>
  <c r="J23" i="7" s="1"/>
  <c r="K22" i="7" a="1"/>
  <c r="K22" i="7" s="1"/>
  <c r="J22" i="7" a="1"/>
  <c r="J22" i="7" s="1"/>
  <c r="K21" i="7" a="1"/>
  <c r="K21" i="7" s="1"/>
  <c r="J21" i="7" a="1"/>
  <c r="J21"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P12" i="7"/>
  <c r="AI12" i="7"/>
  <c r="AB12" i="7"/>
  <c r="U12" i="7"/>
  <c r="BD4" i="7"/>
  <c r="AW4" i="7"/>
  <c r="AP4" i="7"/>
  <c r="AI4" i="7"/>
  <c r="AB4" i="7"/>
  <c r="U4" i="7"/>
  <c r="N4" i="7"/>
  <c r="N12" i="7"/>
  <c r="G4" i="7"/>
  <c r="AP20" i="7"/>
  <c r="AI20" i="7"/>
  <c r="AB20" i="7"/>
  <c r="U20" i="7"/>
  <c r="I29" i="7"/>
  <c r="I28" i="7"/>
  <c r="I27" i="7"/>
  <c r="I26" i="7"/>
  <c r="I25" i="7"/>
  <c r="I24" i="7"/>
  <c r="I23" i="7"/>
  <c r="I22" i="7"/>
  <c r="I21" i="7"/>
  <c r="I18" i="7"/>
  <c r="I17" i="7"/>
  <c r="I16" i="7"/>
  <c r="I13" i="7"/>
  <c r="I6" i="7"/>
  <c r="I7" i="7"/>
  <c r="I8" i="7"/>
  <c r="I9" i="7"/>
  <c r="I10" i="7"/>
  <c r="I5" i="7"/>
  <c r="N20" i="7"/>
  <c r="G20" i="7"/>
  <c r="G12" i="7"/>
  <c r="I45" i="7" l="1"/>
  <c r="I31" i="7"/>
  <c r="J45" i="7"/>
  <c r="K45" i="7"/>
  <c r="K31" i="7"/>
  <c r="J31" i="7"/>
  <c r="I20" i="7"/>
  <c r="J20" i="7"/>
  <c r="K20" i="7"/>
  <c r="I12" i="7"/>
  <c r="J12" i="7"/>
  <c r="K12"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<sst xmlns="http://schemas.openxmlformats.org/spreadsheetml/2006/main" count="330" uniqueCount="165">
  <si>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</si>
  <si>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</si>
  <si>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</si>
  <si>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</si>
  <si>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</si>
  <si>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</si>
  <si>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</si>
  <si>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</si>
  <si>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</si>
  <si>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</si>
  <si>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</si>
  <si>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</si>
  <si>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</si>
  <si>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</si>
  <si>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</si>
  <si>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</si>
  <si>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</si>
  <si>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</si>
  <si>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</si>
  <si>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</si>
  <si>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</si>
  <si>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</si>
  <si>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</si>
  <si>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</si>
  <si>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</si>
  <si>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</si>
  <si>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</si>
  <si>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</si>
  <si>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</si>
  <si>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</si>
  <si>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</si>
  <si>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</si>
  <si>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</si>
  <si>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</si>
  <si>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</si>
  <si>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</si>
  <si>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</si>
  <si>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</si>
  <si>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</si>
  <si>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</si>
  <si>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</si>
  <si>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</si>
  <si>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</si>
  <si>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</si>
  <si>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</si>
  <si>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</si>
  <si>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</si>
  <si>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</si>
  <si>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</si>
  <si>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</si>
  <si>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</si>
  <si>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</si>
  <si>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</si>
  <si>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</si>
  <si>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</si>
  <si>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</si>
  <si>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</si>
  <si>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</si>
  <si>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</si>
  <si>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</si>
  <si>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</si>
  <si>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</si>
  <si>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</si>
  <si>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</si>
  <si>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</si>
  <si>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</si>
  <si>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</si>
  <si>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</si>
  <si>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</si>
  <si>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</si>
  <si>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</si>
  <si>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</si>
  <si>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</si>
  <si>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</si>
  <si>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</si>
  <si>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</si>
  <si>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</si>
  <si>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</si>
  <si>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</si>
  <si>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</si>
  <si>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</si>
  <si>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</si>
  <si>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</si>
  <si>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</si>
  <si>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</si>
  <si>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</si>
  <si>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</si>
  <si>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</si>
  <si>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</si>
  <si>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BWL</t>
  </si>
  <si>
    <t>Marktorientierte Führung</t>
  </si>
  <si>
    <t>1) Geschäftsprozesse</t>
  </si>
  <si>
    <t>2) Marktanalyse</t>
  </si>
  <si>
    <t>3) Marketingstrategie</t>
  </si>
  <si>
    <t>5) Marketingmix 2</t>
  </si>
  <si>
    <t>4) Marketingmix 1</t>
  </si>
  <si>
    <t>6) Controlling und Innovation</t>
  </si>
  <si>
    <t>BWL 2</t>
  </si>
  <si>
    <t>Management-Lehre</t>
  </si>
  <si>
    <t>1) Management und Management-Modelle</t>
  </si>
  <si>
    <t>2) Entscheidungen und Kommunikation</t>
  </si>
  <si>
    <t>3)Strategie und Entwicklungsmodi</t>
  </si>
  <si>
    <t>4) Struktur und Kultur</t>
  </si>
  <si>
    <t>5) Führung und Governance</t>
  </si>
  <si>
    <t>6) Umwelt und Interaktionsthemen</t>
  </si>
  <si>
    <t>Privat Recht</t>
  </si>
  <si>
    <t>1) Einführung und Vertragsabschluss</t>
  </si>
  <si>
    <r>
      <t xml:space="preserve">3) </t>
    </r>
    <r>
      <rPr>
        <sz val="8"/>
        <color theme="1"/>
        <rFont val="Calibri (Textkörper)"/>
      </rPr>
      <t>Vertragsinhalt, charakteristische Merkmale, Erfüllungsmodalitäten</t>
    </r>
  </si>
  <si>
    <r>
      <t xml:space="preserve">2) </t>
    </r>
    <r>
      <rPr>
        <sz val="10"/>
        <color theme="1"/>
        <rFont val="Calibri (Textkörper)"/>
      </rPr>
      <t xml:space="preserve">Vertragsgültigkeit, Willensmängel und Stellvertretung </t>
    </r>
  </si>
  <si>
    <r>
      <t xml:space="preserve">4) </t>
    </r>
    <r>
      <rPr>
        <sz val="8"/>
        <color theme="1"/>
        <rFont val="Calibri (Textkörper)"/>
      </rPr>
      <t>Änderung Vertragsparteien, besondere Pflichten in Verträgen und AGB</t>
    </r>
  </si>
  <si>
    <t>5) Nichterfüllung</t>
  </si>
  <si>
    <t>6) Schlechterfüllung</t>
  </si>
  <si>
    <t>7) Unerlaubte Handlung und Hilfspersonenhaftung</t>
  </si>
  <si>
    <t>8) Haftung des Produzenten und PrHG</t>
  </si>
  <si>
    <t>9) Beendigung der Leistungspflicht</t>
  </si>
  <si>
    <t>Mathe</t>
  </si>
  <si>
    <t>1) Mathematische Logik, Folgen und Reihen</t>
  </si>
  <si>
    <t>2) Finanzmathematik</t>
  </si>
  <si>
    <r>
      <t>12)</t>
    </r>
    <r>
      <rPr>
        <sz val="9"/>
        <color theme="1"/>
        <rFont val="Calibri (Textkörper)"/>
      </rPr>
      <t xml:space="preserve"> </t>
    </r>
    <r>
      <rPr>
        <sz val="12"/>
        <color theme="1"/>
        <rFont val="Calibri (Textkörper)"/>
      </rPr>
      <t>" 2</t>
    </r>
  </si>
  <si>
    <t>3) Grenzwerte und Funktionen, Stetigkeit</t>
  </si>
  <si>
    <t>4) Differenzierbarkeit</t>
  </si>
  <si>
    <t>5) Differential, Änderungsraten und Elastizitäten</t>
  </si>
  <si>
    <t>6) Taylor-Polynome</t>
  </si>
  <si>
    <r>
      <t>7)</t>
    </r>
    <r>
      <rPr>
        <sz val="9"/>
        <color theme="1"/>
        <rFont val="Calibri (Textkörper)"/>
      </rPr>
      <t xml:space="preserve"> Funktionen zweier reeller Variablen, partielle Ableitungen</t>
    </r>
  </si>
  <si>
    <t>8) Satz von der impliziten Funktion</t>
  </si>
  <si>
    <r>
      <t xml:space="preserve">9) </t>
    </r>
    <r>
      <rPr>
        <sz val="8"/>
        <color theme="1"/>
        <rFont val="Calibri (Textkörper)"/>
      </rPr>
      <t>Optimierung von Funktionen zweier Variablen mit und ohne Nebenbedingung</t>
    </r>
  </si>
  <si>
    <r>
      <t xml:space="preserve">10) </t>
    </r>
    <r>
      <rPr>
        <sz val="9"/>
        <color theme="1"/>
        <rFont val="Calibri (Textkörper)"/>
      </rPr>
      <t>Totales Differential, patrielle Elastizitäten, homogene Funktionen</t>
    </r>
  </si>
  <si>
    <r>
      <t xml:space="preserve">11) </t>
    </r>
    <r>
      <rPr>
        <sz val="9"/>
        <color theme="1"/>
        <rFont val="Calibri (Textkörper)"/>
      </rPr>
      <t>Grundbegriffe der Wahrscheinlichkeitstheorie und Statistik 1</t>
    </r>
  </si>
  <si>
    <t>Mikroökonomik 1</t>
  </si>
  <si>
    <t>1) Grundlagen</t>
  </si>
  <si>
    <t>!1.2</t>
  </si>
  <si>
    <t>!1.1</t>
  </si>
  <si>
    <t>!2.1</t>
  </si>
  <si>
    <t>!2.2</t>
  </si>
  <si>
    <t>!3.1</t>
  </si>
  <si>
    <t>!3.2</t>
  </si>
  <si>
    <t>!3.3</t>
  </si>
  <si>
    <t>!3.4</t>
  </si>
  <si>
    <t>2) Spezialisierung und Tausch</t>
  </si>
  <si>
    <t>3) Angebot und Nachfrage</t>
  </si>
  <si>
    <r>
      <t xml:space="preserve">5) </t>
    </r>
    <r>
      <rPr>
        <sz val="9"/>
        <color theme="1"/>
        <rFont val="Calibri (Textkörper)"/>
      </rPr>
      <t>Kosten &amp; Unternehmen auf Märkten mit Vollständiger Konkurrenz</t>
    </r>
  </si>
  <si>
    <t>4) Externe Effekte und die Grenzen des Marktes</t>
  </si>
  <si>
    <t>6) Unternehmensverhalten auf Monopolmärkten</t>
  </si>
  <si>
    <t>7) Grundlagen der Spieltheorie</t>
  </si>
  <si>
    <t>8) Unternehmensverhalten auf Oligopolmärkten</t>
  </si>
  <si>
    <t xml:space="preserve">Accounting </t>
  </si>
  <si>
    <t>1) Zweck der Buchhaltung, Inventar und Bilanz</t>
  </si>
  <si>
    <r>
      <t>2)</t>
    </r>
    <r>
      <rPr>
        <sz val="8"/>
        <color theme="1"/>
        <rFont val="Calibri (Textkörper)"/>
      </rPr>
      <t xml:space="preserve"> Bilanzkonten und Buchungssatz, Eröffnung und Abschluss der Bilanz</t>
    </r>
  </si>
  <si>
    <t>3) Erfolgsrechnung</t>
  </si>
  <si>
    <t>4) Warenhandel, Einzelunternehmen</t>
  </si>
  <si>
    <t>5.5!</t>
  </si>
  <si>
    <t>3.5!</t>
  </si>
  <si>
    <t>KW 42</t>
  </si>
  <si>
    <t>KW 43</t>
  </si>
  <si>
    <t>KW 44</t>
  </si>
  <si>
    <t>KW 45</t>
  </si>
  <si>
    <t>KW 46</t>
  </si>
  <si>
    <t>KW 47</t>
  </si>
  <si>
    <t>KW 48</t>
  </si>
  <si>
    <t>KW 49</t>
  </si>
  <si>
    <t>KW 1</t>
  </si>
  <si>
    <t>KW 2</t>
  </si>
  <si>
    <t>Fertig sein</t>
  </si>
  <si>
    <t>KW50</t>
  </si>
  <si>
    <t>KW51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</si>
</sst>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9"/>
      <color theme="1"/>
      <name val="Calibri (Textkörper)"/>
    </font>
    <font>
      <sz val="8"/>
      <color theme="1"/>
      <name val="Calibri (Textkörper)"/>
    </font>
    <font>
      <sz val="10"/>
      <color theme="1"/>
      <name val="Calibri (Textkörper)"/>
    </font>
    <font>
      <sz val="11"/>
      <color theme="1"/>
      <name val="Calibri (Textkörper)"/>
    </font>
    <font>
      <sz val="12"/>
      <color theme="1"/>
      <name val="Calibri (Textkörpe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xf numFmtId="0" fontId="8" fillId="0" borderId="0" xfId="0" applyFont="1"/>
    <xf numFmtId="0" fontId="6" fillId="0" borderId="0" xfId="0" applyFont="1"/>
    <xf numFmtId="16" fontId="0" fillId="0" borderId="0" xfId="0" applyNumberFormat="1"/>
    <xf numFmtId="16" fontId="0" fillId="0" borderId="0" xfId="0" applyNumberFormat="1" applyAlignment="1">
      <alignment horizontal="center"/>
    </xf>
  </cellXfs>
  <cellStyles count="1">
    <cellStyle name="Standard" xfId="0" builtinId="0"/>
  </cellStyles>
  <dxfs count="99">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98">
  <autoFilter ref="A1:K46" xr:uid="{6E266E34-2786-2747-BCE7-51B74867A564}"/>
  <tableColumns count="11">
    <tableColumn id="1" xr3:uid="{95FD92F7-3DC8-704D-A103-A7EDDAB255AB}" name="Datum" dataDxfId="97"/>
    <tableColumn id="2" xr3:uid="{F464D510-8166-E740-A343-FB84BDEF877F}" name="Lerneinheiten durchgezogen" dataDxfId="96"/>
    <tableColumn id="3" xr3:uid="{75F52B08-1A00-0848-BBE6-1EDF7B31B1AD}" name="Tagesplan erstellt" dataDxfId="95"/>
    <tableColumn id="4" xr3:uid="{E6B18D89-E799-AD48-9DAA-37AEE1D29011}" name="Konzentrationslevel" dataDxfId="9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17" sqref="B17"/>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f>6+8+11+7+10</f>
        <v>42</v>
      </c>
    </row>
    <row r="8" spans="1:4" x14ac:dyDescent="0.2">
      <c r="A8" t="s">
        <v>52</v>
      </c>
      <c r="B8" s="18" t="s">
        <v>51</v>
      </c>
      <c r="D8" t="s">
        <v>75</v>
      </c>
    </row>
    <row r="9" spans="1:4" x14ac:dyDescent="0.2">
      <c r="A9" t="s">
        <v>60</v>
      </c>
      <c r="B9" s="18" t="s">
        <v>73</v>
      </c>
      <c r="D9" t="s">
        <v>76</v>
      </c>
    </row>
    <row r="10" spans="1:4" x14ac:dyDescent="0.2">
      <c r="A10" t="s">
        <v>64</v>
      </c>
      <c r="B10" t="s">
        <v>63</v>
      </c>
      <c r="C10" s="16">
        <v>10.5</v>
      </c>
      <c r="D10" t="s">
        <v>59</v>
      </c>
    </row>
    <row r="11" spans="1:4" x14ac:dyDescent="0.2">
      <c r="A11" t="s">
        <v>65</v>
      </c>
      <c r="B11" t="s">
        <v>67</v>
      </c>
      <c r="C11" s="16">
        <f>42*3</f>
        <v>126</v>
      </c>
      <c r="D11" t="s">
        <v>66</v>
      </c>
    </row>
    <row r="12" spans="1:4" x14ac:dyDescent="0.2">
      <c r="A12" t="s">
        <v>69</v>
      </c>
      <c r="B12" t="s">
        <v>68</v>
      </c>
      <c r="C12" s="17">
        <f>C11/C10</f>
        <v>12</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F59"/>
  <sheetViews>
    <sheetView showGridLines="0" tabSelected="1" zoomScale="75" zoomScaleNormal="83" workbookViewId="0">
      <pane xSplit="7" topLeftCell="H1" activePane="topRight" state="frozen"/>
      <selection pane="topRight" activeCell="G44" sqref="G44"/>
    </sheetView>
  </sheetViews>
  <sheetFormatPr baseColWidth="10" defaultColWidth="8.83203125" defaultRowHeight="16" outlineLevelRow="1" x14ac:dyDescent="0.2"/>
  <cols>
    <col min="3" max="3" width="9.5" bestFit="1" customWidth="1"/>
    <col min="4" max="4" width="13" bestFit="1" customWidth="1"/>
    <col min="5" max="5" width="7.66406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s>
  <sheetData>
    <row r="1" spans="2:110" ht="34" x14ac:dyDescent="0.4">
      <c r="B1" s="4" t="s">
        <v>0</v>
      </c>
      <c r="D1" s="4"/>
      <c r="G1" s="13" t="s">
        <v>34</v>
      </c>
      <c r="I1" s="13" t="s">
        <v>34</v>
      </c>
      <c r="J1" s="13" t="s">
        <v>34</v>
      </c>
      <c r="K1" s="13" t="s">
        <v>34</v>
      </c>
    </row>
    <row r="2" spans="2:110" x14ac:dyDescent="0.2">
      <c r="I2" s="20" t="s">
        <v>28</v>
      </c>
      <c r="J2" s="20"/>
      <c r="K2" s="20"/>
      <c r="L2" s="20"/>
      <c r="N2" s="20" t="s">
        <v>152</v>
      </c>
      <c r="O2" s="20"/>
      <c r="P2" s="20"/>
      <c r="Q2" s="20"/>
      <c r="R2" s="20"/>
      <c r="S2" s="20"/>
      <c r="U2" s="20" t="s">
        <v>153</v>
      </c>
      <c r="V2" s="20"/>
      <c r="W2" s="20"/>
      <c r="X2" s="20"/>
      <c r="Y2" s="20"/>
      <c r="Z2" s="20"/>
      <c r="AB2" s="20" t="s">
        <v>154</v>
      </c>
      <c r="AC2" s="20"/>
      <c r="AD2" s="20"/>
      <c r="AE2" s="20"/>
      <c r="AF2" s="20"/>
      <c r="AG2" s="20"/>
      <c r="AI2" s="20" t="s">
        <v>155</v>
      </c>
      <c r="AJ2" s="20"/>
      <c r="AK2" s="20"/>
      <c r="AL2" s="20"/>
      <c r="AM2" s="20"/>
      <c r="AN2" s="20"/>
      <c r="AP2" s="20" t="s">
        <v>156</v>
      </c>
      <c r="AQ2" s="20"/>
      <c r="AR2" s="20"/>
      <c r="AS2" s="20"/>
      <c r="AT2" s="20"/>
      <c r="AU2" s="20"/>
      <c r="AW2" s="20" t="s">
        <v>157</v>
      </c>
      <c r="AX2" s="20"/>
      <c r="AY2" s="20"/>
      <c r="AZ2" s="20"/>
      <c r="BA2" s="20"/>
      <c r="BB2" s="20"/>
      <c r="BD2" s="20" t="s">
        <v>158</v>
      </c>
      <c r="BE2" s="20"/>
      <c r="BF2" s="20"/>
      <c r="BG2" s="20"/>
      <c r="BH2" s="20"/>
      <c r="BI2" s="20"/>
      <c r="BK2" s="20" t="s">
        <v>159</v>
      </c>
      <c r="BL2" s="20"/>
      <c r="BM2" s="20"/>
      <c r="BN2" s="20"/>
      <c r="BO2" s="20"/>
      <c r="BP2" s="20"/>
      <c r="BR2" s="20" t="s">
        <v>163</v>
      </c>
      <c r="BS2" s="20"/>
      <c r="BT2" s="20"/>
      <c r="BU2" s="20"/>
      <c r="BV2" s="20"/>
      <c r="BW2" s="20"/>
      <c r="BY2" s="20" t="s">
        <v>164</v>
      </c>
      <c r="BZ2" s="20"/>
      <c r="CA2" s="20"/>
      <c r="CB2" s="20"/>
      <c r="CC2" s="20"/>
      <c r="CD2" s="20"/>
      <c r="CF2" s="20" t="s">
        <v>162</v>
      </c>
      <c r="CG2" s="20"/>
      <c r="CH2" s="20"/>
      <c r="CI2" s="20"/>
      <c r="CJ2" s="20"/>
      <c r="CK2" s="20"/>
      <c r="CM2" s="20" t="s">
        <v>160</v>
      </c>
      <c r="CN2" s="20"/>
      <c r="CO2" s="20"/>
      <c r="CP2" s="20"/>
      <c r="CQ2" s="20"/>
      <c r="CR2" s="20"/>
      <c r="CT2" s="20" t="s">
        <v>161</v>
      </c>
      <c r="CU2" s="20"/>
      <c r="CV2" s="20"/>
      <c r="CW2" s="20"/>
      <c r="CX2" s="20"/>
      <c r="CY2" s="20"/>
      <c r="DA2" s="20" t="s">
        <v>88</v>
      </c>
      <c r="DB2" s="20"/>
      <c r="DC2" s="20"/>
      <c r="DD2" s="20"/>
      <c r="DE2" s="20"/>
      <c r="DF2" s="20"/>
    </row>
    <row r="3" spans="2:110" x14ac:dyDescent="0.2">
      <c r="B3" s="5" t="s">
        <v>27</v>
      </c>
      <c r="C3" s="5" t="s">
        <v>1</v>
      </c>
      <c r="D3" s="5" t="s">
        <v>25</v>
      </c>
      <c r="E3" s="6" t="s">
        <v>31</v>
      </c>
      <c r="F3" s="5" t="s">
        <v>30</v>
      </c>
      <c r="G3" s="5" t="s">
        <v>32</v>
      </c>
      <c r="I3" s="6" t="s">
        <v>12</v>
      </c>
      <c r="J3" s="6" t="s">
        <v>3</v>
      </c>
      <c r="K3" s="6" t="s">
        <v>4</v>
      </c>
      <c r="L3" s="6" t="s">
        <v>13</v>
      </c>
      <c r="N3" s="5" t="s">
        <v>12</v>
      </c>
      <c r="O3" s="5" t="s">
        <v>3</v>
      </c>
      <c r="P3" s="5" t="s">
        <v>33</v>
      </c>
      <c r="Q3" s="5" t="s">
        <v>4</v>
      </c>
      <c r="R3" s="5" t="s">
        <v>33</v>
      </c>
      <c r="S3" s="5" t="s">
        <v>13</v>
      </c>
      <c r="U3" s="5" t="s">
        <v>12</v>
      </c>
      <c r="V3" s="5" t="s">
        <v>3</v>
      </c>
      <c r="W3" s="5" t="s">
        <v>33</v>
      </c>
      <c r="X3" s="5" t="s">
        <v>4</v>
      </c>
      <c r="Y3" s="5" t="s">
        <v>33</v>
      </c>
      <c r="Z3" s="5" t="s">
        <v>13</v>
      </c>
      <c r="AB3" s="5" t="s">
        <v>12</v>
      </c>
      <c r="AC3" s="5" t="s">
        <v>3</v>
      </c>
      <c r="AD3" s="5" t="s">
        <v>33</v>
      </c>
      <c r="AE3" s="5" t="s">
        <v>4</v>
      </c>
      <c r="AF3" s="5" t="s">
        <v>33</v>
      </c>
      <c r="AG3" s="5" t="s">
        <v>13</v>
      </c>
      <c r="AI3" s="5" t="s">
        <v>12</v>
      </c>
      <c r="AJ3" s="5" t="s">
        <v>3</v>
      </c>
      <c r="AK3" s="5" t="s">
        <v>33</v>
      </c>
      <c r="AL3" s="5" t="s">
        <v>4</v>
      </c>
      <c r="AM3" s="5" t="s">
        <v>33</v>
      </c>
      <c r="AN3" s="5" t="s">
        <v>13</v>
      </c>
      <c r="AP3" s="5" t="s">
        <v>12</v>
      </c>
      <c r="AQ3" s="5" t="s">
        <v>3</v>
      </c>
      <c r="AR3" s="5" t="s">
        <v>33</v>
      </c>
      <c r="AS3" s="5" t="s">
        <v>4</v>
      </c>
      <c r="AT3" s="5" t="s">
        <v>33</v>
      </c>
      <c r="AU3" s="5" t="s">
        <v>13</v>
      </c>
      <c r="AW3" s="5" t="s">
        <v>12</v>
      </c>
      <c r="AX3" s="5" t="s">
        <v>3</v>
      </c>
      <c r="AY3" s="5" t="s">
        <v>33</v>
      </c>
      <c r="AZ3" s="5" t="s">
        <v>4</v>
      </c>
      <c r="BA3" s="5" t="s">
        <v>33</v>
      </c>
      <c r="BB3" s="5" t="s">
        <v>13</v>
      </c>
      <c r="BD3" s="5" t="s">
        <v>12</v>
      </c>
      <c r="BE3" s="5" t="s">
        <v>3</v>
      </c>
      <c r="BF3" s="5" t="s">
        <v>33</v>
      </c>
      <c r="BG3" s="5" t="s">
        <v>4</v>
      </c>
      <c r="BH3" s="5" t="s">
        <v>33</v>
      </c>
      <c r="BI3" s="5" t="s">
        <v>13</v>
      </c>
      <c r="BK3" s="5" t="s">
        <v>12</v>
      </c>
      <c r="BL3" s="5" t="s">
        <v>3</v>
      </c>
      <c r="BM3" s="5" t="s">
        <v>33</v>
      </c>
      <c r="BN3" s="5" t="s">
        <v>4</v>
      </c>
      <c r="BO3" s="5" t="s">
        <v>33</v>
      </c>
      <c r="BP3" s="5" t="s">
        <v>13</v>
      </c>
      <c r="BR3" s="5" t="s">
        <v>12</v>
      </c>
      <c r="BS3" s="5" t="s">
        <v>3</v>
      </c>
      <c r="BT3" s="5" t="s">
        <v>33</v>
      </c>
      <c r="BU3" s="5" t="s">
        <v>4</v>
      </c>
      <c r="BV3" s="5" t="s">
        <v>33</v>
      </c>
      <c r="BW3" s="5" t="s">
        <v>13</v>
      </c>
      <c r="BY3" s="5" t="s">
        <v>12</v>
      </c>
      <c r="BZ3" s="5" t="s">
        <v>3</v>
      </c>
      <c r="CA3" s="5" t="s">
        <v>33</v>
      </c>
      <c r="CB3" s="5" t="s">
        <v>4</v>
      </c>
      <c r="CC3" s="5" t="s">
        <v>33</v>
      </c>
      <c r="CD3" s="5" t="s">
        <v>13</v>
      </c>
      <c r="CF3" s="5" t="s">
        <v>12</v>
      </c>
      <c r="CG3" s="5" t="s">
        <v>3</v>
      </c>
      <c r="CH3" s="5" t="s">
        <v>33</v>
      </c>
      <c r="CI3" s="5" t="s">
        <v>4</v>
      </c>
      <c r="CJ3" s="5" t="s">
        <v>33</v>
      </c>
      <c r="CK3" s="5" t="s">
        <v>13</v>
      </c>
      <c r="CM3" s="5" t="s">
        <v>12</v>
      </c>
      <c r="CN3" s="5" t="s">
        <v>3</v>
      </c>
      <c r="CO3" s="5" t="s">
        <v>33</v>
      </c>
      <c r="CP3" s="5" t="s">
        <v>4</v>
      </c>
      <c r="CQ3" s="5" t="s">
        <v>33</v>
      </c>
      <c r="CR3" s="5" t="s">
        <v>13</v>
      </c>
      <c r="CT3" s="5" t="s">
        <v>12</v>
      </c>
      <c r="CU3" s="5" t="s">
        <v>3</v>
      </c>
      <c r="CV3" s="5" t="s">
        <v>33</v>
      </c>
      <c r="CW3" s="5" t="s">
        <v>4</v>
      </c>
      <c r="CX3" s="5" t="s">
        <v>33</v>
      </c>
      <c r="CY3" s="5" t="s">
        <v>13</v>
      </c>
      <c r="DA3" s="5" t="s">
        <v>12</v>
      </c>
      <c r="DB3" s="5" t="s">
        <v>3</v>
      </c>
      <c r="DC3" s="5" t="s">
        <v>33</v>
      </c>
      <c r="DD3" s="5" t="s">
        <v>4</v>
      </c>
      <c r="DE3" s="5" t="s">
        <v>33</v>
      </c>
      <c r="DF3" s="5" t="s">
        <v>13</v>
      </c>
    </row>
    <row r="4" spans="2:110" x14ac:dyDescent="0.2">
      <c r="B4" t="s">
        <v>28</v>
      </c>
      <c r="C4" t="s">
        <v>89</v>
      </c>
      <c r="D4" s="19">
        <v>46042</v>
      </c>
      <c r="E4" s="24" t="s">
        <v>150</v>
      </c>
      <c r="G4" s="10">
        <f>+SUM(G5:G10)</f>
        <v>0.4</v>
      </c>
      <c r="I4" s="12">
        <f>+SUM(I5:I10)</f>
        <v>7</v>
      </c>
      <c r="J4" s="11">
        <f>+SUMPRODUCT(G5:G10,J5:J10)</f>
        <v>2.5000000000000005E-2</v>
      </c>
      <c r="K4" s="11">
        <f>+SUMPRODUCT(G5:G10,K5:K10)</f>
        <v>2.5000000000000005E-2</v>
      </c>
      <c r="L4" s="9"/>
      <c r="N4" s="12">
        <f>+SUM(N5:N10)</f>
        <v>7</v>
      </c>
      <c r="U4" s="12">
        <f>+SUM(U5:U10)</f>
        <v>0</v>
      </c>
      <c r="AB4" s="12">
        <f>+SUM(AB5:AB10)</f>
        <v>0</v>
      </c>
      <c r="AI4" s="12">
        <f>+SUM(AI5:AI10)</f>
        <v>0</v>
      </c>
      <c r="AP4" s="12">
        <f>+SUM(AP5:AP10)</f>
        <v>0</v>
      </c>
      <c r="AW4" s="12">
        <f>+SUM(AW5:AW10)</f>
        <v>0</v>
      </c>
      <c r="BD4" s="12">
        <f>+SUM(BD5:BD10)</f>
        <v>0</v>
      </c>
      <c r="BK4" s="12">
        <f>+SUM(BK5:BK10)</f>
        <v>0</v>
      </c>
      <c r="BR4" s="12">
        <f>+SUM(BR5:BR10)</f>
        <v>0</v>
      </c>
      <c r="BY4" s="12">
        <f>+SUM(BY5:BY10)</f>
        <v>0</v>
      </c>
      <c r="CF4" s="12">
        <f>+SUM(CF5:CF10)</f>
        <v>0</v>
      </c>
      <c r="CM4" s="12">
        <f>+SUM(CM5:CM10)</f>
        <v>0</v>
      </c>
      <c r="CT4" s="12">
        <f>+SUM(CT5:CT10)</f>
        <v>0</v>
      </c>
      <c r="DA4" s="12">
        <f>+SUM(DA5:DA10)</f>
        <v>0</v>
      </c>
    </row>
    <row r="5" spans="2:110" outlineLevel="1" x14ac:dyDescent="0.2">
      <c r="B5" t="s">
        <v>29</v>
      </c>
      <c r="C5" t="s">
        <v>90</v>
      </c>
      <c r="E5" s="9"/>
      <c r="F5" t="s">
        <v>91</v>
      </c>
      <c r="G5" s="10">
        <v>0.1</v>
      </c>
      <c r="I5" s="9">
        <f>+SUMIF($N$3:$ZZ$3,I$3,$N5:$ZZ5)</f>
        <v>2</v>
      </c>
      <c r="J5" s="11" cm="1">
        <f t="array" ref="J5">MAX(IF($N$3:$EH$3=$J$3,N5:EH5))</f>
        <v>0.1</v>
      </c>
      <c r="K5" s="11" cm="1">
        <f t="array" ref="K5">MAX(IF($N$3:$EH$3=$J$3,N5:EH5))</f>
        <v>0.1</v>
      </c>
      <c r="L5" s="9"/>
      <c r="N5">
        <v>2</v>
      </c>
      <c r="O5" s="10">
        <v>0.1</v>
      </c>
      <c r="P5" s="10">
        <v>0.5</v>
      </c>
      <c r="Q5" s="10"/>
      <c r="R5" s="10">
        <v>0.5</v>
      </c>
      <c r="V5" s="10"/>
      <c r="W5" s="10">
        <v>0.5</v>
      </c>
      <c r="X5" s="10"/>
      <c r="Y5" s="10">
        <v>0.5</v>
      </c>
      <c r="AC5" s="10"/>
      <c r="AD5" s="10">
        <v>0.8</v>
      </c>
      <c r="AE5" s="10">
        <v>0.1</v>
      </c>
      <c r="AF5" s="10">
        <v>0.8</v>
      </c>
      <c r="AJ5" s="10"/>
      <c r="AK5" s="10">
        <v>1</v>
      </c>
      <c r="AL5" s="10"/>
      <c r="AM5" s="10">
        <v>1</v>
      </c>
      <c r="AQ5" s="10"/>
      <c r="AR5" s="10">
        <v>1</v>
      </c>
      <c r="AS5" s="10"/>
      <c r="AT5" s="10">
        <v>1</v>
      </c>
      <c r="AX5" s="10"/>
      <c r="AY5" s="10">
        <v>1</v>
      </c>
      <c r="AZ5" s="10"/>
      <c r="BA5" s="10">
        <v>1</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c r="CP5" s="10"/>
      <c r="CQ5" s="10"/>
      <c r="CU5" s="10"/>
      <c r="CV5" s="10"/>
      <c r="CW5" s="10"/>
      <c r="CX5" s="10"/>
      <c r="DB5" s="10"/>
      <c r="DC5" s="10"/>
      <c r="DD5" s="10"/>
      <c r="DE5" s="10"/>
    </row>
    <row r="6" spans="2:110" outlineLevel="1" x14ac:dyDescent="0.2">
      <c r="B6" t="s">
        <v>29</v>
      </c>
      <c r="C6" t="s">
        <v>90</v>
      </c>
      <c r="E6" s="9"/>
      <c r="F6" t="s">
        <v>92</v>
      </c>
      <c r="G6" s="10">
        <v>0.05</v>
      </c>
      <c r="I6" s="9">
        <f t="shared" ref="I6:I10" si="0">+SUMIF($N$3:$ZZ$3,I$3,$N6:$ZZ6)</f>
        <v>1.5</v>
      </c>
      <c r="J6" s="11" cm="1">
        <f t="array" ref="J6">MAX(IF($N$3:$EH$3=$J$3,N6:EH6))</f>
        <v>0.1</v>
      </c>
      <c r="K6" s="11" cm="1">
        <f t="array" ref="K6">MAX(IF($N$3:$EH$3=$J$3,N6:EH6))</f>
        <v>0.1</v>
      </c>
      <c r="L6" s="9"/>
      <c r="N6">
        <v>1.5</v>
      </c>
      <c r="O6" s="10">
        <v>0.1</v>
      </c>
      <c r="P6" s="10">
        <v>0.5</v>
      </c>
      <c r="Q6" s="10"/>
      <c r="R6" s="10">
        <v>0.5</v>
      </c>
      <c r="V6" s="10"/>
      <c r="W6" s="10">
        <v>0.5</v>
      </c>
      <c r="X6" s="10"/>
      <c r="Y6" s="10">
        <v>0.5</v>
      </c>
      <c r="AC6" s="10"/>
      <c r="AD6" s="10">
        <v>0.5</v>
      </c>
      <c r="AE6" s="10"/>
      <c r="AF6" s="10">
        <v>0.5</v>
      </c>
      <c r="AJ6" s="10"/>
      <c r="AK6" s="10">
        <v>0.8</v>
      </c>
      <c r="AL6" s="10"/>
      <c r="AM6" s="10">
        <v>0.8</v>
      </c>
      <c r="AQ6" s="10"/>
      <c r="AR6" s="10">
        <v>1</v>
      </c>
      <c r="AS6" s="10"/>
      <c r="AT6" s="10">
        <v>1</v>
      </c>
      <c r="AX6" s="10"/>
      <c r="AY6" s="10">
        <v>1</v>
      </c>
      <c r="AZ6" s="10"/>
      <c r="BA6" s="10">
        <v>1</v>
      </c>
      <c r="BE6" s="10"/>
      <c r="BF6" s="10">
        <v>1</v>
      </c>
      <c r="BG6" s="10"/>
      <c r="BH6" s="10">
        <v>1</v>
      </c>
      <c r="BL6" s="10"/>
      <c r="BM6" s="10">
        <v>1</v>
      </c>
      <c r="BN6" s="10"/>
      <c r="BO6" s="10">
        <v>1</v>
      </c>
      <c r="BS6" s="10"/>
      <c r="BT6" s="10">
        <v>1</v>
      </c>
      <c r="BU6" s="10"/>
      <c r="BV6" s="10">
        <v>1</v>
      </c>
      <c r="BZ6" s="10"/>
      <c r="CA6" s="10">
        <v>1</v>
      </c>
      <c r="CB6" s="10"/>
      <c r="CC6" s="10">
        <v>1</v>
      </c>
      <c r="CG6" s="10"/>
      <c r="CH6" s="10">
        <v>1</v>
      </c>
      <c r="CI6" s="10"/>
      <c r="CJ6" s="10">
        <v>1</v>
      </c>
      <c r="CN6" s="10"/>
      <c r="CO6" s="10"/>
      <c r="CP6" s="10"/>
      <c r="CQ6" s="10"/>
      <c r="CU6" s="10"/>
      <c r="CV6" s="10"/>
      <c r="CW6" s="10"/>
      <c r="CX6" s="10"/>
      <c r="DB6" s="10"/>
      <c r="DC6" s="10"/>
      <c r="DD6" s="10"/>
      <c r="DE6" s="10"/>
    </row>
    <row r="7" spans="2:110" outlineLevel="1" x14ac:dyDescent="0.2">
      <c r="B7" t="s">
        <v>29</v>
      </c>
      <c r="C7" t="s">
        <v>90</v>
      </c>
      <c r="E7" s="9"/>
      <c r="F7" t="s">
        <v>93</v>
      </c>
      <c r="G7" s="10">
        <v>0.05</v>
      </c>
      <c r="I7" s="9">
        <f t="shared" si="0"/>
        <v>1.5</v>
      </c>
      <c r="J7" s="11" cm="1">
        <f t="array" ref="J7">MAX(IF($N$3:$EH$3=$J$3,N7:EH7))</f>
        <v>0.1</v>
      </c>
      <c r="K7" s="11" cm="1">
        <f t="array" ref="K7">MAX(IF($N$3:$EH$3=$J$3,N7:EH7))</f>
        <v>0.1</v>
      </c>
      <c r="L7" s="9"/>
      <c r="N7">
        <v>1.5</v>
      </c>
      <c r="O7" s="10">
        <v>0.1</v>
      </c>
      <c r="P7" s="10">
        <v>0.5</v>
      </c>
      <c r="Q7" s="10"/>
      <c r="R7" s="10">
        <v>0.5</v>
      </c>
      <c r="V7" s="10"/>
      <c r="W7" s="10">
        <v>0.5</v>
      </c>
      <c r="X7" s="10"/>
      <c r="Y7" s="10">
        <v>0.5</v>
      </c>
      <c r="AC7" s="10"/>
      <c r="AD7" s="10">
        <v>0.5</v>
      </c>
      <c r="AE7" s="10"/>
      <c r="AF7" s="10">
        <v>0.5</v>
      </c>
      <c r="AJ7" s="10"/>
      <c r="AK7" s="10">
        <v>0.8</v>
      </c>
      <c r="AL7" s="10"/>
      <c r="AM7" s="10">
        <v>0.8</v>
      </c>
      <c r="AQ7" s="10"/>
      <c r="AR7" s="10">
        <v>0.8</v>
      </c>
      <c r="AS7" s="10"/>
      <c r="AT7" s="10">
        <v>0.8</v>
      </c>
      <c r="AX7" s="10"/>
      <c r="AY7" s="10">
        <v>1</v>
      </c>
      <c r="AZ7" s="10"/>
      <c r="BA7" s="10">
        <v>1</v>
      </c>
      <c r="BE7" s="10"/>
      <c r="BF7" s="10">
        <v>1</v>
      </c>
      <c r="BG7" s="10"/>
      <c r="BH7" s="10">
        <v>1</v>
      </c>
      <c r="BL7" s="10"/>
      <c r="BM7" s="10">
        <v>1</v>
      </c>
      <c r="BN7" s="10"/>
      <c r="BO7" s="10">
        <v>1</v>
      </c>
      <c r="BS7" s="10"/>
      <c r="BT7" s="10">
        <v>1</v>
      </c>
      <c r="BU7" s="10"/>
      <c r="BV7" s="10">
        <v>1</v>
      </c>
      <c r="BZ7" s="10"/>
      <c r="CA7" s="10">
        <v>1</v>
      </c>
      <c r="CB7" s="10"/>
      <c r="CC7" s="10">
        <v>1</v>
      </c>
      <c r="CG7" s="10"/>
      <c r="CH7" s="10">
        <v>1</v>
      </c>
      <c r="CI7" s="10"/>
      <c r="CJ7" s="10">
        <v>1</v>
      </c>
      <c r="CN7" s="10"/>
      <c r="CO7" s="10"/>
      <c r="CP7" s="10"/>
      <c r="CQ7" s="10"/>
      <c r="CU7" s="10"/>
      <c r="CV7" s="10"/>
      <c r="CW7" s="10"/>
      <c r="CX7" s="10"/>
      <c r="DB7" s="10"/>
      <c r="DC7" s="10"/>
      <c r="DD7" s="10"/>
      <c r="DE7" s="10"/>
    </row>
    <row r="8" spans="2:110" outlineLevel="1" x14ac:dyDescent="0.2">
      <c r="B8" t="s">
        <v>29</v>
      </c>
      <c r="C8" t="s">
        <v>90</v>
      </c>
      <c r="E8" s="9"/>
      <c r="F8" t="s">
        <v>95</v>
      </c>
      <c r="G8" s="10">
        <v>0.05</v>
      </c>
      <c r="I8" s="9">
        <f t="shared" si="0"/>
        <v>2</v>
      </c>
      <c r="J8" s="11" cm="1">
        <f t="array" ref="J8">MAX(IF($N$3:$EH$3=$J$3,N8:EH8))</f>
        <v>0.1</v>
      </c>
      <c r="K8" s="11" cm="1">
        <f t="array" ref="K8">MAX(IF($N$3:$EH$3=$J$3,N8:EH8))</f>
        <v>0.1</v>
      </c>
      <c r="L8" s="9"/>
      <c r="N8">
        <v>2</v>
      </c>
      <c r="O8" s="10">
        <v>0.1</v>
      </c>
      <c r="P8" s="10">
        <v>0.5</v>
      </c>
      <c r="Q8" s="10"/>
      <c r="R8" s="10">
        <v>0.5</v>
      </c>
      <c r="V8" s="10"/>
      <c r="W8" s="10">
        <v>0.5</v>
      </c>
      <c r="X8" s="10"/>
      <c r="Y8" s="10">
        <v>0.5</v>
      </c>
      <c r="AC8" s="10"/>
      <c r="AD8" s="10">
        <v>0.5</v>
      </c>
      <c r="AE8" s="10"/>
      <c r="AF8" s="10">
        <v>0.5</v>
      </c>
      <c r="AJ8" s="10"/>
      <c r="AK8" s="10">
        <v>0.5</v>
      </c>
      <c r="AL8" s="10"/>
      <c r="AM8" s="10">
        <v>0.5</v>
      </c>
      <c r="AQ8" s="10"/>
      <c r="AR8" s="10">
        <v>0.8</v>
      </c>
      <c r="AS8" s="10"/>
      <c r="AT8" s="10">
        <v>0.8</v>
      </c>
      <c r="AX8" s="10"/>
      <c r="AY8" s="10">
        <v>0.8</v>
      </c>
      <c r="AZ8" s="10"/>
      <c r="BA8" s="10">
        <v>0.8</v>
      </c>
      <c r="BE8" s="10"/>
      <c r="BF8" s="10">
        <v>1</v>
      </c>
      <c r="BG8" s="10"/>
      <c r="BH8" s="10">
        <v>1</v>
      </c>
      <c r="BL8" s="10"/>
      <c r="BM8" s="10">
        <v>1</v>
      </c>
      <c r="BN8" s="10"/>
      <c r="BO8" s="10">
        <v>1</v>
      </c>
      <c r="BS8" s="10"/>
      <c r="BT8" s="10">
        <v>1</v>
      </c>
      <c r="BU8" s="10"/>
      <c r="BV8" s="10">
        <v>1</v>
      </c>
      <c r="BZ8" s="10"/>
      <c r="CA8" s="10">
        <v>1</v>
      </c>
      <c r="CB8" s="10"/>
      <c r="CC8" s="10">
        <v>1</v>
      </c>
      <c r="CG8" s="10"/>
      <c r="CH8" s="10">
        <v>1</v>
      </c>
      <c r="CI8" s="10"/>
      <c r="CJ8" s="10">
        <v>1</v>
      </c>
      <c r="CN8" s="10"/>
      <c r="CO8" s="10"/>
      <c r="CP8" s="10"/>
      <c r="CQ8" s="10"/>
      <c r="CU8" s="10"/>
      <c r="CV8" s="10"/>
      <c r="CW8" s="10"/>
      <c r="CX8" s="10"/>
      <c r="DB8" s="10"/>
      <c r="DC8" s="10"/>
      <c r="DD8" s="10"/>
      <c r="DE8" s="10"/>
    </row>
    <row r="9" spans="2:110" outlineLevel="1" x14ac:dyDescent="0.2">
      <c r="B9" t="s">
        <v>29</v>
      </c>
      <c r="C9" t="s">
        <v>90</v>
      </c>
      <c r="E9" s="9"/>
      <c r="F9" t="s">
        <v>94</v>
      </c>
      <c r="G9" s="10">
        <v>0.05</v>
      </c>
      <c r="I9" s="9">
        <f t="shared" si="0"/>
        <v>0</v>
      </c>
      <c r="J9" s="11" cm="1">
        <f t="array" ref="J9">MAX(IF($N$3:$EH$3=$J$3,N9:EH9))</f>
        <v>0</v>
      </c>
      <c r="K9" s="11" cm="1">
        <f t="array" ref="K9">MAX(IF($N$3:$EH$3=$J$3,N9:EH9))</f>
        <v>0</v>
      </c>
      <c r="L9" s="9"/>
      <c r="O9" s="10"/>
      <c r="P9" s="10">
        <v>0.1</v>
      </c>
      <c r="Q9" s="10"/>
      <c r="R9" s="10">
        <v>0.1</v>
      </c>
      <c r="V9" s="10"/>
      <c r="W9" s="10">
        <v>0.5</v>
      </c>
      <c r="X9" s="10"/>
      <c r="Y9" s="10">
        <v>0.5</v>
      </c>
      <c r="AC9" s="10"/>
      <c r="AD9" s="10">
        <v>0.5</v>
      </c>
      <c r="AE9" s="10"/>
      <c r="AF9" s="10">
        <v>0.5</v>
      </c>
      <c r="AJ9" s="10"/>
      <c r="AK9" s="10">
        <v>0.5</v>
      </c>
      <c r="AL9" s="10"/>
      <c r="AM9" s="10">
        <v>0.5</v>
      </c>
      <c r="AQ9" s="10"/>
      <c r="AR9" s="10">
        <v>0.8</v>
      </c>
      <c r="AS9" s="10"/>
      <c r="AT9" s="10">
        <v>0.8</v>
      </c>
      <c r="AX9" s="10"/>
      <c r="AY9" s="10">
        <v>0.8</v>
      </c>
      <c r="AZ9" s="10"/>
      <c r="BA9" s="10">
        <v>0.8</v>
      </c>
      <c r="BE9" s="10"/>
      <c r="BF9" s="10">
        <v>1</v>
      </c>
      <c r="BG9" s="10"/>
      <c r="BH9" s="10">
        <v>1</v>
      </c>
      <c r="BL9" s="10"/>
      <c r="BM9" s="10">
        <v>1</v>
      </c>
      <c r="BN9" s="10"/>
      <c r="BO9" s="10">
        <v>1</v>
      </c>
      <c r="BS9" s="10"/>
      <c r="BT9" s="10">
        <v>1</v>
      </c>
      <c r="BU9" s="10"/>
      <c r="BV9" s="10">
        <v>1</v>
      </c>
      <c r="BZ9" s="10"/>
      <c r="CA9" s="10">
        <v>1</v>
      </c>
      <c r="CB9" s="10"/>
      <c r="CC9" s="10">
        <v>1</v>
      </c>
      <c r="CG9" s="10"/>
      <c r="CH9" s="10">
        <v>1</v>
      </c>
      <c r="CI9" s="10"/>
      <c r="CJ9" s="10">
        <v>1</v>
      </c>
      <c r="CN9" s="10"/>
      <c r="CO9" s="10"/>
      <c r="CP9" s="10"/>
      <c r="CQ9" s="10"/>
      <c r="CU9" s="10"/>
      <c r="CV9" s="10"/>
      <c r="CW9" s="10"/>
      <c r="CX9" s="10"/>
      <c r="DB9" s="10"/>
      <c r="DC9" s="10"/>
      <c r="DD9" s="10"/>
      <c r="DE9" s="10"/>
    </row>
    <row r="10" spans="2:110" outlineLevel="1" x14ac:dyDescent="0.2">
      <c r="B10" t="s">
        <v>29</v>
      </c>
      <c r="C10" t="s">
        <v>90</v>
      </c>
      <c r="E10" s="9"/>
      <c r="F10" t="s">
        <v>96</v>
      </c>
      <c r="G10" s="10">
        <v>0.1</v>
      </c>
      <c r="I10" s="9">
        <f t="shared" si="0"/>
        <v>0</v>
      </c>
      <c r="J10" s="11" cm="1">
        <f t="array" ref="J10">MAX(IF($N$3:$EH$3=$J$3,N10:EH10))</f>
        <v>0</v>
      </c>
      <c r="K10" s="11" cm="1">
        <f t="array" ref="K10">MAX(IF($N$3:$EH$3=$J$3,N10:EH10))</f>
        <v>0</v>
      </c>
      <c r="L10" s="9"/>
      <c r="O10" s="10"/>
      <c r="P10" s="10">
        <v>0.1</v>
      </c>
      <c r="Q10" s="10"/>
      <c r="R10" s="10">
        <v>0.1</v>
      </c>
      <c r="V10" s="10"/>
      <c r="W10" s="10">
        <v>0.1</v>
      </c>
      <c r="X10" s="10"/>
      <c r="Y10" s="10">
        <v>0.1</v>
      </c>
      <c r="AC10" s="10"/>
      <c r="AD10" s="10">
        <v>0.5</v>
      </c>
      <c r="AE10" s="10"/>
      <c r="AF10" s="10">
        <v>0.5</v>
      </c>
      <c r="AJ10" s="10"/>
      <c r="AK10" s="10">
        <v>0.5</v>
      </c>
      <c r="AL10" s="10"/>
      <c r="AM10" s="10">
        <v>0.5</v>
      </c>
      <c r="AQ10" s="10"/>
      <c r="AR10" s="10">
        <v>0.8</v>
      </c>
      <c r="AS10" s="10"/>
      <c r="AT10" s="10">
        <v>0.8</v>
      </c>
      <c r="AX10" s="10"/>
      <c r="AY10" s="10">
        <v>0.8</v>
      </c>
      <c r="AZ10" s="10"/>
      <c r="BA10" s="10">
        <v>0.8</v>
      </c>
      <c r="BE10" s="10"/>
      <c r="BF10" s="10">
        <v>0.8</v>
      </c>
      <c r="BG10" s="10"/>
      <c r="BH10" s="10">
        <v>0.8</v>
      </c>
      <c r="BL10" s="10"/>
      <c r="BM10" s="10">
        <v>1</v>
      </c>
      <c r="BN10" s="10"/>
      <c r="BO10" s="10">
        <v>1</v>
      </c>
      <c r="BS10" s="10"/>
      <c r="BT10" s="10">
        <v>1</v>
      </c>
      <c r="BU10" s="10"/>
      <c r="BV10" s="10">
        <v>1</v>
      </c>
      <c r="BZ10" s="10"/>
      <c r="CA10" s="10">
        <v>1</v>
      </c>
      <c r="CB10" s="10"/>
      <c r="CC10" s="10">
        <v>1</v>
      </c>
      <c r="CG10" s="10"/>
      <c r="CH10" s="10">
        <v>1</v>
      </c>
      <c r="CI10" s="10"/>
      <c r="CJ10" s="10">
        <v>1</v>
      </c>
      <c r="CN10" s="10"/>
      <c r="CO10" s="10"/>
      <c r="CP10" s="10"/>
      <c r="CQ10" s="10"/>
      <c r="CU10" s="10"/>
      <c r="CV10" s="10"/>
      <c r="CW10" s="10"/>
      <c r="CX10" s="10"/>
      <c r="DB10" s="10"/>
      <c r="DC10" s="10"/>
      <c r="DD10" s="10"/>
      <c r="DE10" s="10"/>
    </row>
    <row r="11" spans="2:110" x14ac:dyDescent="0.2">
      <c r="P11" s="10"/>
      <c r="R11" s="10"/>
      <c r="W11" s="10"/>
      <c r="Y11" s="10"/>
      <c r="AD11" s="10"/>
      <c r="AF11" s="10"/>
      <c r="AK11" s="10"/>
      <c r="AM11" s="10"/>
      <c r="AY11" s="10"/>
      <c r="BA11" s="10"/>
      <c r="BF11" s="10"/>
      <c r="BH11" s="10"/>
      <c r="BM11" s="10"/>
      <c r="BO11" s="10"/>
    </row>
    <row r="12" spans="2:110" x14ac:dyDescent="0.2">
      <c r="B12" t="s">
        <v>28</v>
      </c>
      <c r="C12" t="s">
        <v>97</v>
      </c>
      <c r="D12" s="19">
        <v>46042</v>
      </c>
      <c r="E12" s="9" t="s">
        <v>150</v>
      </c>
      <c r="G12" s="10">
        <f>+SUM(G13:G18)</f>
        <v>1</v>
      </c>
      <c r="I12" s="12">
        <f>+SUM(I13:I18)</f>
        <v>11</v>
      </c>
      <c r="J12" s="11">
        <f>+SUMPRODUCT(G13:G18,J13:J18)</f>
        <v>3.0000000000000006E-2</v>
      </c>
      <c r="K12" s="11">
        <f>+SUMPRODUCT(G13:G18,K13:K18)</f>
        <v>3.0000000000000006E-2</v>
      </c>
      <c r="L12" s="9"/>
      <c r="N12" s="12">
        <f>+SUM(N13:N18)</f>
        <v>11</v>
      </c>
      <c r="P12" s="10"/>
      <c r="R12" s="10"/>
      <c r="U12" s="12">
        <f>+SUM(U13:U18)</f>
        <v>0</v>
      </c>
      <c r="W12" s="10"/>
      <c r="Y12" s="10"/>
      <c r="AB12" s="12">
        <f>+SUM(AB13:AB18)</f>
        <v>0</v>
      </c>
      <c r="AD12" s="10"/>
      <c r="AF12" s="10"/>
      <c r="AI12" s="12">
        <f>+SUM(AI13:AI18)</f>
        <v>0</v>
      </c>
      <c r="AK12" s="10"/>
      <c r="AM12" s="10"/>
      <c r="AP12" s="12">
        <f>+SUM(AP13:AP18)</f>
        <v>0</v>
      </c>
      <c r="AY12" s="10"/>
      <c r="BA12" s="10"/>
      <c r="BF12" s="10"/>
      <c r="BH12" s="10"/>
      <c r="BM12" s="10"/>
      <c r="BO12" s="10"/>
    </row>
    <row r="13" spans="2:110" outlineLevel="1" x14ac:dyDescent="0.2">
      <c r="B13" t="s">
        <v>29</v>
      </c>
      <c r="C13" t="s">
        <v>98</v>
      </c>
      <c r="E13" s="9"/>
      <c r="F13" t="s">
        <v>99</v>
      </c>
      <c r="G13" s="10">
        <v>0.1</v>
      </c>
      <c r="I13" s="9">
        <f t="shared" ref="I13:I18" si="1">+SUMIF($N$3:$ZZ$3,I$3,$N13:$ZZ13)</f>
        <v>7</v>
      </c>
      <c r="J13" s="11" cm="1">
        <f t="array" ref="J13">MAX(IF($N$3:$EH$3=$J$3,N13:EH13))</f>
        <v>0.1</v>
      </c>
      <c r="K13" s="11" cm="1">
        <f t="array" ref="K13">MAX(IF($N$3:$EH$3=$J$3,N13:EH13))</f>
        <v>0.1</v>
      </c>
      <c r="L13" s="9"/>
      <c r="N13">
        <v>7</v>
      </c>
      <c r="O13" s="10">
        <v>0.1</v>
      </c>
      <c r="P13" s="10">
        <v>0.1</v>
      </c>
      <c r="Q13" s="10"/>
      <c r="R13" s="10">
        <v>0.1</v>
      </c>
      <c r="V13" s="10"/>
      <c r="W13" s="10">
        <v>0.1</v>
      </c>
      <c r="X13" s="10"/>
      <c r="Y13" s="10">
        <v>0.1</v>
      </c>
      <c r="AC13" s="10"/>
      <c r="AD13" s="10">
        <v>0.1</v>
      </c>
      <c r="AE13" s="10"/>
      <c r="AF13" s="10">
        <v>0.1</v>
      </c>
      <c r="AJ13" s="10"/>
      <c r="AK13" s="10">
        <v>0.5</v>
      </c>
      <c r="AL13" s="10"/>
      <c r="AM13" s="10">
        <v>0.5</v>
      </c>
      <c r="AQ13" s="10"/>
      <c r="AR13" s="10">
        <v>0.5</v>
      </c>
      <c r="AS13" s="10"/>
      <c r="AT13" s="10">
        <v>0.5</v>
      </c>
      <c r="AX13" s="10"/>
      <c r="AY13" s="10">
        <v>0.8</v>
      </c>
      <c r="AZ13" s="10"/>
      <c r="BA13" s="10">
        <v>0.8</v>
      </c>
      <c r="BE13" s="10"/>
      <c r="BF13" s="10">
        <v>0.8</v>
      </c>
      <c r="BG13" s="10"/>
      <c r="BH13" s="10">
        <v>0.8</v>
      </c>
      <c r="BL13" s="10"/>
      <c r="BM13" s="10">
        <v>1</v>
      </c>
      <c r="BN13" s="10"/>
      <c r="BO13" s="10">
        <v>1</v>
      </c>
      <c r="BS13" s="10"/>
      <c r="BT13" s="10">
        <v>1</v>
      </c>
      <c r="BU13" s="10"/>
      <c r="BV13" s="10">
        <v>1</v>
      </c>
      <c r="BZ13" s="10"/>
      <c r="CA13" s="10">
        <v>1</v>
      </c>
      <c r="CB13" s="10"/>
      <c r="CC13" s="10">
        <v>1</v>
      </c>
      <c r="CG13" s="10"/>
      <c r="CH13" s="10">
        <v>1</v>
      </c>
      <c r="CI13" s="10"/>
      <c r="CJ13" s="10">
        <v>1</v>
      </c>
      <c r="CN13" s="10"/>
      <c r="CO13" s="10"/>
      <c r="CP13" s="10"/>
      <c r="CQ13" s="10"/>
      <c r="CU13" s="10"/>
      <c r="CV13" s="10"/>
      <c r="CW13" s="10"/>
      <c r="CX13" s="10"/>
      <c r="DB13" s="10"/>
      <c r="DC13" s="10"/>
      <c r="DD13" s="10"/>
      <c r="DE13" s="10"/>
    </row>
    <row r="14" spans="2:110" outlineLevel="1" x14ac:dyDescent="0.2">
      <c r="B14" t="s">
        <v>29</v>
      </c>
      <c r="C14" t="s">
        <v>98</v>
      </c>
      <c r="E14" s="9"/>
      <c r="F14" t="s">
        <v>100</v>
      </c>
      <c r="G14" s="10">
        <v>0.2</v>
      </c>
      <c r="I14" s="9">
        <f t="shared" si="1"/>
        <v>4</v>
      </c>
      <c r="J14" s="11" cm="1">
        <f t="array" ref="J14">MAX(IF($N$3:$EH$3=$J$3,N14:EH14))</f>
        <v>0.1</v>
      </c>
      <c r="K14" s="11" cm="1">
        <f t="array" ref="K14">MAX(IF($N$3:$EH$3=$J$3,N14:EH14))</f>
        <v>0.1</v>
      </c>
      <c r="L14" s="9"/>
      <c r="N14">
        <v>4</v>
      </c>
      <c r="O14" s="10">
        <v>0.1</v>
      </c>
      <c r="P14" s="10">
        <v>0.1</v>
      </c>
      <c r="Q14" s="10"/>
      <c r="R14" s="10">
        <v>0.1</v>
      </c>
      <c r="V14" s="10"/>
      <c r="W14" s="10">
        <v>0.1</v>
      </c>
      <c r="X14" s="10"/>
      <c r="Y14" s="10">
        <v>0.1</v>
      </c>
      <c r="AC14" s="10"/>
      <c r="AD14" s="10">
        <v>0.1</v>
      </c>
      <c r="AE14" s="10"/>
      <c r="AF14" s="10">
        <v>0.1</v>
      </c>
      <c r="AJ14" s="10"/>
      <c r="AK14" s="10">
        <v>0.1</v>
      </c>
      <c r="AL14" s="10"/>
      <c r="AM14" s="10">
        <v>0.1</v>
      </c>
      <c r="AQ14" s="10"/>
      <c r="AR14" s="10">
        <v>0.5</v>
      </c>
      <c r="AS14" s="10"/>
      <c r="AT14" s="10">
        <v>0.5</v>
      </c>
      <c r="AX14" s="10"/>
      <c r="AY14" s="10">
        <v>0.5</v>
      </c>
      <c r="AZ14" s="10"/>
      <c r="BA14" s="10">
        <v>0.5</v>
      </c>
      <c r="BE14" s="10"/>
      <c r="BF14" s="10">
        <v>0.8</v>
      </c>
      <c r="BG14" s="10"/>
      <c r="BH14" s="10">
        <v>0.8</v>
      </c>
      <c r="BL14" s="10"/>
      <c r="BM14" s="10">
        <v>0.8</v>
      </c>
      <c r="BN14" s="10"/>
      <c r="BO14" s="10">
        <v>0.8</v>
      </c>
      <c r="BS14" s="10"/>
      <c r="BT14" s="10">
        <v>0.8</v>
      </c>
      <c r="BU14" s="10"/>
      <c r="BV14" s="10">
        <v>0.8</v>
      </c>
      <c r="BZ14" s="10"/>
      <c r="CA14" s="10">
        <v>1</v>
      </c>
      <c r="CB14" s="10"/>
      <c r="CC14" s="10">
        <v>1</v>
      </c>
      <c r="CG14" s="10"/>
      <c r="CH14" s="10">
        <v>1</v>
      </c>
      <c r="CI14" s="10"/>
      <c r="CJ14" s="10">
        <v>1</v>
      </c>
      <c r="CN14" s="10"/>
      <c r="CO14" s="10"/>
      <c r="CP14" s="10"/>
      <c r="CQ14" s="10"/>
      <c r="CU14" s="10"/>
      <c r="CV14" s="10"/>
      <c r="CW14" s="10"/>
      <c r="CX14" s="10"/>
      <c r="DB14" s="10"/>
      <c r="DC14" s="10"/>
      <c r="DD14" s="10"/>
      <c r="DE14" s="10"/>
    </row>
    <row r="15" spans="2:110" outlineLevel="1" x14ac:dyDescent="0.2">
      <c r="B15" t="s">
        <v>29</v>
      </c>
      <c r="C15" t="s">
        <v>98</v>
      </c>
      <c r="E15" s="9"/>
      <c r="F15" t="s">
        <v>101</v>
      </c>
      <c r="G15" s="10">
        <v>0.2</v>
      </c>
      <c r="I15" s="9">
        <f t="shared" si="1"/>
        <v>0</v>
      </c>
      <c r="J15" s="11" cm="1">
        <f t="array" ref="J15">MAX(IF($N$3:$EH$3=$J$3,N15:EH15))</f>
        <v>0</v>
      </c>
      <c r="K15" s="11" cm="1">
        <f t="array" ref="K15">MAX(IF($N$3:$EH$3=$J$3,N15:EH15))</f>
        <v>0</v>
      </c>
      <c r="L15" s="9"/>
      <c r="O15" s="10"/>
      <c r="P15" s="10">
        <v>0.1</v>
      </c>
      <c r="Q15" s="10"/>
      <c r="R15" s="10">
        <v>0.1</v>
      </c>
      <c r="V15" s="10"/>
      <c r="W15" s="10">
        <v>0.1</v>
      </c>
      <c r="X15" s="10"/>
      <c r="Y15" s="10">
        <v>0.1</v>
      </c>
      <c r="AC15" s="10"/>
      <c r="AD15" s="10">
        <v>0.1</v>
      </c>
      <c r="AE15" s="10"/>
      <c r="AF15" s="10">
        <v>0.1</v>
      </c>
      <c r="AJ15" s="10"/>
      <c r="AK15" s="10">
        <v>0.1</v>
      </c>
      <c r="AL15" s="10"/>
      <c r="AM15" s="10">
        <v>0.1</v>
      </c>
      <c r="AQ15" s="10"/>
      <c r="AR15" s="10">
        <v>0.1</v>
      </c>
      <c r="AS15" s="10"/>
      <c r="AT15" s="10">
        <v>0.1</v>
      </c>
      <c r="AX15" s="10"/>
      <c r="AY15" s="10">
        <v>0.5</v>
      </c>
      <c r="AZ15" s="10"/>
      <c r="BA15" s="10">
        <v>0.5</v>
      </c>
      <c r="BE15" s="10"/>
      <c r="BF15" s="10">
        <v>0.5</v>
      </c>
      <c r="BG15" s="10"/>
      <c r="BH15" s="10">
        <v>0.5</v>
      </c>
      <c r="BL15" s="10"/>
      <c r="BM15" s="10">
        <v>0.8</v>
      </c>
      <c r="BN15" s="10"/>
      <c r="BO15" s="10">
        <v>0.8</v>
      </c>
      <c r="BS15" s="10"/>
      <c r="BT15" s="10">
        <v>0.8</v>
      </c>
      <c r="BU15" s="10"/>
      <c r="BV15" s="10">
        <v>0.8</v>
      </c>
      <c r="BZ15" s="10"/>
      <c r="CA15" s="10">
        <v>1</v>
      </c>
      <c r="CB15" s="10"/>
      <c r="CC15" s="10">
        <v>1</v>
      </c>
      <c r="CG15" s="10"/>
      <c r="CH15" s="10">
        <v>1</v>
      </c>
      <c r="CI15" s="10"/>
      <c r="CJ15" s="10">
        <v>1</v>
      </c>
      <c r="CN15" s="10"/>
      <c r="CO15" s="10"/>
      <c r="CP15" s="10"/>
      <c r="CQ15" s="10"/>
      <c r="CU15" s="10"/>
      <c r="CV15" s="10"/>
      <c r="CW15" s="10"/>
      <c r="CX15" s="10"/>
      <c r="DB15" s="10"/>
      <c r="DC15" s="10"/>
      <c r="DD15" s="10"/>
      <c r="DE15" s="10"/>
    </row>
    <row r="16" spans="2:110" outlineLevel="1" x14ac:dyDescent="0.2">
      <c r="B16" t="s">
        <v>29</v>
      </c>
      <c r="C16" t="s">
        <v>98</v>
      </c>
      <c r="E16" s="9"/>
      <c r="F16" t="s">
        <v>102</v>
      </c>
      <c r="G16" s="10">
        <v>0.2</v>
      </c>
      <c r="I16" s="9">
        <f t="shared" si="1"/>
        <v>0</v>
      </c>
      <c r="J16" s="11" cm="1">
        <f t="array" ref="J16">MAX(IF($N$3:$EH$3=$J$3,N16:EH16))</f>
        <v>0</v>
      </c>
      <c r="K16" s="11" cm="1">
        <f t="array" ref="K16">MAX(IF($N$3:$EH$3=$J$3,N16:EH16))</f>
        <v>0</v>
      </c>
      <c r="L16" s="9"/>
      <c r="O16" s="10"/>
      <c r="P16" s="10">
        <v>0.1</v>
      </c>
      <c r="Q16" s="10"/>
      <c r="R16" s="10">
        <v>0.1</v>
      </c>
      <c r="V16" s="10"/>
      <c r="W16" s="10">
        <v>0.1</v>
      </c>
      <c r="X16" s="10"/>
      <c r="Y16" s="10">
        <v>0.1</v>
      </c>
      <c r="AC16" s="10"/>
      <c r="AD16" s="10">
        <v>0.1</v>
      </c>
      <c r="AE16" s="10"/>
      <c r="AF16" s="10">
        <v>0.1</v>
      </c>
      <c r="AJ16" s="10"/>
      <c r="AK16" s="10">
        <v>0.1</v>
      </c>
      <c r="AL16" s="10"/>
      <c r="AM16" s="10">
        <v>0.1</v>
      </c>
      <c r="AQ16" s="10"/>
      <c r="AR16" s="10">
        <v>0.1</v>
      </c>
      <c r="AS16" s="10"/>
      <c r="AT16" s="10">
        <v>0.1</v>
      </c>
      <c r="AX16" s="10"/>
      <c r="AY16" s="10">
        <v>0.1</v>
      </c>
      <c r="AZ16" s="10"/>
      <c r="BA16" s="10">
        <v>0.1</v>
      </c>
      <c r="BE16" s="10"/>
      <c r="BF16" s="10">
        <v>0.5</v>
      </c>
      <c r="BG16" s="10"/>
      <c r="BH16" s="10">
        <v>0.5</v>
      </c>
      <c r="BL16" s="10"/>
      <c r="BM16" s="10">
        <v>0.5</v>
      </c>
      <c r="BN16" s="10"/>
      <c r="BO16" s="10">
        <v>0.5</v>
      </c>
      <c r="BS16" s="10"/>
      <c r="BT16" s="10">
        <v>0.8</v>
      </c>
      <c r="BU16" s="10"/>
      <c r="BV16" s="10">
        <v>0.8</v>
      </c>
      <c r="BZ16" s="10"/>
      <c r="CA16" s="10">
        <v>0.8</v>
      </c>
      <c r="CB16" s="10"/>
      <c r="CC16" s="10">
        <v>0.8</v>
      </c>
      <c r="CG16" s="10"/>
      <c r="CH16" s="10">
        <v>1</v>
      </c>
      <c r="CI16" s="10"/>
      <c r="CJ16" s="10">
        <v>1</v>
      </c>
      <c r="CN16" s="10"/>
      <c r="CO16" s="10"/>
      <c r="CP16" s="10"/>
      <c r="CQ16" s="10"/>
      <c r="CU16" s="10"/>
      <c r="CV16" s="10"/>
      <c r="CW16" s="10"/>
      <c r="CX16" s="10"/>
      <c r="DB16" s="10"/>
      <c r="DC16" s="10"/>
      <c r="DD16" s="10"/>
      <c r="DE16" s="10"/>
    </row>
    <row r="17" spans="2:109" outlineLevel="1" x14ac:dyDescent="0.2">
      <c r="B17" t="s">
        <v>29</v>
      </c>
      <c r="C17" t="s">
        <v>98</v>
      </c>
      <c r="E17" s="9"/>
      <c r="F17" t="s">
        <v>103</v>
      </c>
      <c r="G17" s="10">
        <v>0.15</v>
      </c>
      <c r="I17" s="9">
        <f t="shared" si="1"/>
        <v>0</v>
      </c>
      <c r="J17" s="11" cm="1">
        <f t="array" ref="J17">MAX(IF($N$3:$EH$3=$J$3,N17:EH17))</f>
        <v>0</v>
      </c>
      <c r="K17" s="11" cm="1">
        <f t="array" ref="K17">MAX(IF($N$3:$EH$3=$J$3,N17:EH17))</f>
        <v>0</v>
      </c>
      <c r="L17" s="9"/>
      <c r="O17" s="10"/>
      <c r="P17" s="10">
        <v>0.1</v>
      </c>
      <c r="Q17" s="10"/>
      <c r="R17" s="10">
        <v>0.1</v>
      </c>
      <c r="V17" s="10"/>
      <c r="W17" s="10">
        <v>0.1</v>
      </c>
      <c r="X17" s="10"/>
      <c r="Y17" s="10">
        <v>0.1</v>
      </c>
      <c r="AC17" s="10"/>
      <c r="AD17" s="10">
        <v>0.1</v>
      </c>
      <c r="AE17" s="10"/>
      <c r="AF17" s="10">
        <v>0.1</v>
      </c>
      <c r="AJ17" s="10"/>
      <c r="AK17" s="10">
        <v>0.1</v>
      </c>
      <c r="AL17" s="10"/>
      <c r="AM17" s="10">
        <v>0.1</v>
      </c>
      <c r="AQ17" s="10"/>
      <c r="AR17" s="10">
        <v>0.1</v>
      </c>
      <c r="AS17" s="10"/>
      <c r="AT17" s="10">
        <v>0.1</v>
      </c>
      <c r="AX17" s="10"/>
      <c r="AY17" s="10">
        <v>0.1</v>
      </c>
      <c r="AZ17" s="10"/>
      <c r="BA17" s="10">
        <v>0.1</v>
      </c>
      <c r="BE17" s="10"/>
      <c r="BF17" s="10">
        <v>0.1</v>
      </c>
      <c r="BG17" s="10"/>
      <c r="BH17" s="10">
        <v>0.1</v>
      </c>
      <c r="BL17" s="10"/>
      <c r="BM17" s="10">
        <v>0.5</v>
      </c>
      <c r="BN17" s="10"/>
      <c r="BO17" s="10">
        <v>0.5</v>
      </c>
      <c r="BS17" s="10"/>
      <c r="BT17" s="10">
        <v>0.5</v>
      </c>
      <c r="BU17" s="10"/>
      <c r="BV17" s="10">
        <v>0.5</v>
      </c>
      <c r="BZ17" s="10"/>
      <c r="CA17" s="10">
        <v>0.8</v>
      </c>
      <c r="CB17" s="10"/>
      <c r="CC17" s="10">
        <v>0.8</v>
      </c>
      <c r="CG17" s="10"/>
      <c r="CH17" s="10">
        <v>1</v>
      </c>
      <c r="CI17" s="10"/>
      <c r="CJ17" s="10">
        <v>1</v>
      </c>
      <c r="CN17" s="10"/>
      <c r="CO17" s="10"/>
      <c r="CP17" s="10"/>
      <c r="CQ17" s="10"/>
      <c r="CU17" s="10"/>
      <c r="CV17" s="10"/>
      <c r="CW17" s="10"/>
      <c r="CX17" s="10"/>
      <c r="DB17" s="10"/>
      <c r="DC17" s="10"/>
      <c r="DD17" s="10"/>
      <c r="DE17" s="10"/>
    </row>
    <row r="18" spans="2:109" outlineLevel="1" x14ac:dyDescent="0.2">
      <c r="B18" t="s">
        <v>29</v>
      </c>
      <c r="C18" t="s">
        <v>98</v>
      </c>
      <c r="E18" s="9"/>
      <c r="F18" t="s">
        <v>104</v>
      </c>
      <c r="G18" s="10">
        <v>0.15</v>
      </c>
      <c r="I18" s="9">
        <f t="shared" si="1"/>
        <v>0</v>
      </c>
      <c r="J18" s="11" cm="1">
        <f t="array" ref="J18">MAX(IF($N$3:$EH$3=$J$3,N18:EH18))</f>
        <v>0</v>
      </c>
      <c r="K18" s="11" cm="1">
        <f t="array" ref="K18">MAX(IF($N$3:$EH$3=$J$3,N18:EH18))</f>
        <v>0</v>
      </c>
      <c r="L18" s="9"/>
      <c r="O18" s="10"/>
      <c r="P18" s="10">
        <v>0.1</v>
      </c>
      <c r="Q18" s="10"/>
      <c r="R18" s="10">
        <v>0.1</v>
      </c>
      <c r="V18" s="10"/>
      <c r="W18" s="10">
        <v>0.1</v>
      </c>
      <c r="X18" s="10"/>
      <c r="Y18" s="10">
        <v>0.1</v>
      </c>
      <c r="AC18" s="10"/>
      <c r="AD18" s="10">
        <v>0.1</v>
      </c>
      <c r="AE18" s="10"/>
      <c r="AF18" s="10">
        <v>0.1</v>
      </c>
      <c r="AJ18" s="10"/>
      <c r="AK18" s="10">
        <v>0.1</v>
      </c>
      <c r="AL18" s="10"/>
      <c r="AM18" s="10">
        <v>0.1</v>
      </c>
      <c r="AQ18" s="10"/>
      <c r="AR18" s="10">
        <v>0.1</v>
      </c>
      <c r="AS18" s="10"/>
      <c r="AT18" s="10">
        <v>0.1</v>
      </c>
      <c r="AX18" s="10"/>
      <c r="AY18" s="10">
        <v>0.1</v>
      </c>
      <c r="AZ18" s="10"/>
      <c r="BA18" s="10">
        <v>0.1</v>
      </c>
      <c r="BE18" s="10"/>
      <c r="BF18" s="10">
        <v>0.1</v>
      </c>
      <c r="BG18" s="10"/>
      <c r="BH18" s="10">
        <v>0.1</v>
      </c>
      <c r="BL18" s="10"/>
      <c r="BM18" s="10">
        <v>0.1</v>
      </c>
      <c r="BN18" s="10"/>
      <c r="BO18" s="10">
        <v>0.1</v>
      </c>
      <c r="BS18" s="10"/>
      <c r="BT18" s="10">
        <v>0.5</v>
      </c>
      <c r="BU18" s="10"/>
      <c r="BV18" s="10">
        <v>0.5</v>
      </c>
      <c r="BZ18" s="10"/>
      <c r="CA18" s="10">
        <v>0.8</v>
      </c>
      <c r="CB18" s="10"/>
      <c r="CC18" s="10">
        <v>0.8</v>
      </c>
      <c r="CG18" s="10"/>
      <c r="CH18" s="10">
        <v>1</v>
      </c>
      <c r="CI18" s="10"/>
      <c r="CJ18" s="10">
        <v>1</v>
      </c>
      <c r="CN18" s="10"/>
      <c r="CO18" s="10"/>
      <c r="CP18" s="10"/>
      <c r="CQ18" s="10"/>
      <c r="CU18" s="10"/>
      <c r="CV18" s="10"/>
      <c r="CW18" s="10"/>
      <c r="CX18" s="10"/>
      <c r="DB18" s="10"/>
      <c r="DC18" s="10"/>
      <c r="DD18" s="10"/>
      <c r="DE18" s="10"/>
    </row>
    <row r="20" spans="2:109" x14ac:dyDescent="0.2">
      <c r="B20" t="s">
        <v>28</v>
      </c>
      <c r="C20" s="21" t="s">
        <v>105</v>
      </c>
      <c r="D20" s="19">
        <v>46036</v>
      </c>
      <c r="E20" s="9" t="s">
        <v>150</v>
      </c>
      <c r="G20" s="10">
        <f>+SUM(G21:G29)</f>
        <v>0.74999999999999989</v>
      </c>
      <c r="I20" s="12">
        <f>+SUM(I21:I29)</f>
        <v>0</v>
      </c>
      <c r="J20" s="11">
        <f>+SUMPRODUCT(G21:G29,J21:J29)</f>
        <v>1.0000000000000002E-2</v>
      </c>
      <c r="K20" s="11">
        <f>+SUMPRODUCT(G21:G29,K21:K29)</f>
        <v>1.0000000000000002E-2</v>
      </c>
      <c r="L20" s="9"/>
      <c r="N20" s="12">
        <f>+SUM(N21:N29)</f>
        <v>0</v>
      </c>
      <c r="U20" s="12">
        <f>+SUM(U21:U29)</f>
        <v>0</v>
      </c>
      <c r="AB20" s="12">
        <f>+SUM(AB21:AB29)</f>
        <v>0</v>
      </c>
      <c r="AI20" s="12">
        <f>+SUM(AI21:AI29)</f>
        <v>0</v>
      </c>
      <c r="AP20" s="12">
        <f>+SUM(AP21:AP29)</f>
        <v>0</v>
      </c>
    </row>
    <row r="21" spans="2:109" outlineLevel="1" x14ac:dyDescent="0.2">
      <c r="B21" t="s">
        <v>29</v>
      </c>
      <c r="C21" t="s">
        <v>2</v>
      </c>
      <c r="E21" s="9"/>
      <c r="F21" t="s">
        <v>106</v>
      </c>
      <c r="G21" s="10">
        <v>0.1</v>
      </c>
      <c r="I21" s="9">
        <f t="shared" ref="I21:I29" si="2">+SUMIF($N$3:$ZZ$3,I$3,$N21:$ZZ21)</f>
        <v>0</v>
      </c>
      <c r="J21" s="11" cm="1">
        <f t="array" ref="J21">MAX(IF($N$3:$EH$3=$J$3,N21:EH21))</f>
        <v>0.1</v>
      </c>
      <c r="K21" s="11" cm="1">
        <f t="array" ref="K21">MAX(IF($N$3:$EH$3=$J$3,N21:EH21))</f>
        <v>0.1</v>
      </c>
      <c r="L21" s="9"/>
      <c r="O21" s="10"/>
      <c r="P21" s="10">
        <v>0.5</v>
      </c>
      <c r="Q21" s="10"/>
      <c r="R21" s="10">
        <v>0.5</v>
      </c>
      <c r="V21" s="10"/>
      <c r="W21" s="10">
        <v>0.8</v>
      </c>
      <c r="X21" s="10"/>
      <c r="Y21" s="10">
        <v>0.8</v>
      </c>
      <c r="AC21" s="10"/>
      <c r="AD21" s="10">
        <v>0.8</v>
      </c>
      <c r="AE21" s="10"/>
      <c r="AF21" s="10">
        <v>0.8</v>
      </c>
      <c r="AJ21" s="10"/>
      <c r="AK21" s="10">
        <v>0.8</v>
      </c>
      <c r="AL21" s="10"/>
      <c r="AM21" s="10">
        <v>0.8</v>
      </c>
      <c r="AQ21" s="10"/>
      <c r="AR21" s="10">
        <v>0.8</v>
      </c>
      <c r="AS21" s="10"/>
      <c r="AT21" s="10">
        <v>0.8</v>
      </c>
      <c r="AX21" s="10"/>
      <c r="AY21" s="10">
        <v>1</v>
      </c>
      <c r="AZ21" s="10"/>
      <c r="BA21" s="10">
        <v>1</v>
      </c>
      <c r="BE21" s="10"/>
      <c r="BF21" s="10">
        <v>1</v>
      </c>
      <c r="BG21" s="10"/>
      <c r="BH21" s="10">
        <v>1</v>
      </c>
      <c r="BL21" s="10"/>
      <c r="BM21" s="10">
        <v>1</v>
      </c>
      <c r="BN21" s="10"/>
      <c r="BO21" s="10">
        <v>1</v>
      </c>
      <c r="BS21" s="10">
        <v>0.1</v>
      </c>
      <c r="BT21" s="10">
        <v>1</v>
      </c>
      <c r="BU21" s="10"/>
      <c r="BV21" s="10">
        <v>1</v>
      </c>
      <c r="BZ21" s="10"/>
      <c r="CA21" s="10">
        <v>1</v>
      </c>
      <c r="CB21" s="10"/>
      <c r="CC21" s="10">
        <v>1</v>
      </c>
      <c r="CG21" s="10"/>
      <c r="CH21" s="10">
        <v>1</v>
      </c>
      <c r="CI21" s="10"/>
      <c r="CJ21" s="10">
        <v>1</v>
      </c>
      <c r="CN21" s="10"/>
      <c r="CO21" s="10"/>
      <c r="CP21" s="10"/>
      <c r="CQ21" s="10"/>
      <c r="CU21" s="10"/>
      <c r="CV21" s="10"/>
      <c r="CW21" s="10"/>
      <c r="CX21" s="10"/>
      <c r="DB21" s="10"/>
      <c r="DC21" s="10"/>
      <c r="DD21" s="10"/>
      <c r="DE21" s="10"/>
    </row>
    <row r="22" spans="2:109" outlineLevel="1" x14ac:dyDescent="0.2">
      <c r="B22" t="s">
        <v>29</v>
      </c>
      <c r="C22" t="s">
        <v>2</v>
      </c>
      <c r="E22" s="9"/>
      <c r="F22" t="s">
        <v>108</v>
      </c>
      <c r="G22" s="10">
        <v>0.05</v>
      </c>
      <c r="I22" s="9">
        <f t="shared" si="2"/>
        <v>0</v>
      </c>
      <c r="J22" s="11" cm="1">
        <f t="array" ref="J22">MAX(IF($N$3:$EH$3=$J$3,N22:EH22))</f>
        <v>0</v>
      </c>
      <c r="K22" s="11" cm="1">
        <f t="array" ref="K22">MAX(IF($N$3:$EH$3=$J$3,N22:EH22))</f>
        <v>0</v>
      </c>
      <c r="L22" s="9"/>
      <c r="O22" s="10"/>
      <c r="P22" s="10">
        <v>0.5</v>
      </c>
      <c r="Q22" s="10"/>
      <c r="R22" s="10">
        <v>0.5</v>
      </c>
      <c r="V22" s="10"/>
      <c r="W22" s="10">
        <v>0.5</v>
      </c>
      <c r="X22" s="10"/>
      <c r="Y22" s="10">
        <v>0.5</v>
      </c>
      <c r="AC22" s="10"/>
      <c r="AD22" s="10">
        <v>0.5</v>
      </c>
      <c r="AE22" s="10"/>
      <c r="AF22" s="10">
        <v>0.5</v>
      </c>
      <c r="AJ22" s="10"/>
      <c r="AK22" s="10">
        <v>0.5</v>
      </c>
      <c r="AL22" s="10"/>
      <c r="AM22" s="10">
        <v>0.5</v>
      </c>
      <c r="AQ22" s="10"/>
      <c r="AR22" s="10">
        <v>0.8</v>
      </c>
      <c r="AS22" s="10"/>
      <c r="AT22" s="10">
        <v>0.8</v>
      </c>
      <c r="AX22" s="10"/>
      <c r="AY22" s="10">
        <v>0.8</v>
      </c>
      <c r="AZ22" s="10"/>
      <c r="BA22" s="10">
        <v>0.8</v>
      </c>
      <c r="BE22" s="10"/>
      <c r="BF22" s="10">
        <v>1</v>
      </c>
      <c r="BG22" s="10"/>
      <c r="BH22" s="10">
        <v>1</v>
      </c>
      <c r="BL22" s="10"/>
      <c r="BM22" s="10">
        <v>1</v>
      </c>
      <c r="BN22" s="10"/>
      <c r="BO22" s="10">
        <v>1</v>
      </c>
      <c r="BS22" s="10"/>
      <c r="BT22" s="10">
        <v>1</v>
      </c>
      <c r="BU22" s="10"/>
      <c r="BV22" s="10">
        <v>1</v>
      </c>
      <c r="BZ22" s="10"/>
      <c r="CA22" s="10">
        <v>1</v>
      </c>
      <c r="CB22" s="10"/>
      <c r="CC22" s="10">
        <v>1</v>
      </c>
      <c r="CG22" s="10"/>
      <c r="CH22" s="10">
        <v>1</v>
      </c>
      <c r="CI22" s="10">
        <v>0.1</v>
      </c>
      <c r="CJ22" s="10">
        <v>1</v>
      </c>
      <c r="CN22" s="10"/>
      <c r="CO22" s="10"/>
      <c r="CP22" s="10"/>
      <c r="CQ22" s="10"/>
      <c r="CU22" s="10"/>
      <c r="CV22" s="10"/>
      <c r="CW22" s="10"/>
      <c r="CX22" s="10"/>
      <c r="DB22" s="10"/>
      <c r="DC22" s="10"/>
      <c r="DD22" s="10"/>
      <c r="DE22" s="10"/>
    </row>
    <row r="23" spans="2:109" outlineLevel="1" x14ac:dyDescent="0.2">
      <c r="B23" t="s">
        <v>29</v>
      </c>
      <c r="C23" t="s">
        <v>2</v>
      </c>
      <c r="E23" s="9"/>
      <c r="F23" t="s">
        <v>107</v>
      </c>
      <c r="G23" s="10">
        <v>0.05</v>
      </c>
      <c r="I23" s="9">
        <f t="shared" si="2"/>
        <v>0</v>
      </c>
      <c r="J23" s="11" cm="1">
        <f t="array" ref="J23">MAX(IF($N$3:$EH$3=$J$3,N23:EH23))</f>
        <v>0</v>
      </c>
      <c r="K23" s="11" cm="1">
        <f t="array" ref="K23">MAX(IF($N$3:$EH$3=$J$3,N23:EH23))</f>
        <v>0</v>
      </c>
      <c r="L23" s="9"/>
      <c r="O23" s="10"/>
      <c r="P23" s="10">
        <v>0.5</v>
      </c>
      <c r="Q23" s="10"/>
      <c r="R23" s="10">
        <v>0.5</v>
      </c>
      <c r="V23" s="10"/>
      <c r="W23" s="10">
        <v>0.5</v>
      </c>
      <c r="X23" s="10"/>
      <c r="Y23" s="10">
        <v>0.5</v>
      </c>
      <c r="AC23" s="10"/>
      <c r="AD23" s="10">
        <v>0.5</v>
      </c>
      <c r="AE23" s="10"/>
      <c r="AF23" s="10">
        <v>0.5</v>
      </c>
      <c r="AJ23" s="10"/>
      <c r="AK23" s="10">
        <v>0.5</v>
      </c>
      <c r="AL23" s="10"/>
      <c r="AM23" s="10">
        <v>0.5</v>
      </c>
      <c r="AQ23" s="10"/>
      <c r="AR23" s="10">
        <v>0.8</v>
      </c>
      <c r="AS23" s="10"/>
      <c r="AT23" s="10">
        <v>0.8</v>
      </c>
      <c r="AX23" s="10"/>
      <c r="AY23" s="10">
        <v>0.8</v>
      </c>
      <c r="AZ23" s="10"/>
      <c r="BA23" s="10">
        <v>0.8</v>
      </c>
      <c r="BE23" s="10"/>
      <c r="BF23" s="10">
        <v>0.8</v>
      </c>
      <c r="BG23" s="10"/>
      <c r="BH23" s="10">
        <v>0.8</v>
      </c>
      <c r="BL23" s="10"/>
      <c r="BM23" s="10">
        <v>1</v>
      </c>
      <c r="BN23" s="10"/>
      <c r="BO23" s="10">
        <v>1</v>
      </c>
      <c r="BS23" s="10"/>
      <c r="BT23" s="10">
        <v>1</v>
      </c>
      <c r="BU23" s="10"/>
      <c r="BV23" s="10">
        <v>1</v>
      </c>
      <c r="BZ23" s="10"/>
      <c r="CA23" s="10">
        <v>1</v>
      </c>
      <c r="CB23" s="10"/>
      <c r="CC23" s="10">
        <v>1</v>
      </c>
      <c r="CG23" s="10"/>
      <c r="CH23" s="10">
        <v>1</v>
      </c>
      <c r="CI23" s="10"/>
      <c r="CJ23" s="10">
        <v>1</v>
      </c>
      <c r="CN23" s="10"/>
      <c r="CO23" s="10"/>
      <c r="CP23" s="10"/>
      <c r="CQ23" s="10"/>
      <c r="CU23" s="10"/>
      <c r="CV23" s="10"/>
      <c r="CW23" s="10"/>
      <c r="CX23" s="10"/>
      <c r="DB23" s="10"/>
      <c r="DC23" s="10"/>
      <c r="DD23" s="10"/>
      <c r="DE23" s="10"/>
    </row>
    <row r="24" spans="2:109" outlineLevel="1" x14ac:dyDescent="0.2">
      <c r="B24" t="s">
        <v>29</v>
      </c>
      <c r="C24" t="s">
        <v>2</v>
      </c>
      <c r="E24" s="9"/>
      <c r="F24" t="s">
        <v>109</v>
      </c>
      <c r="G24" s="10">
        <v>0.05</v>
      </c>
      <c r="I24" s="9">
        <f t="shared" si="2"/>
        <v>0</v>
      </c>
      <c r="J24" s="11" cm="1">
        <f t="array" ref="J24">MAX(IF($N$3:$EH$3=$J$3,N24:EH24))</f>
        <v>0</v>
      </c>
      <c r="K24" s="11" cm="1">
        <f t="array" ref="K24">MAX(IF($N$3:$EH$3=$J$3,N24:EH24))</f>
        <v>0</v>
      </c>
      <c r="L24" s="9"/>
      <c r="O24" s="10"/>
      <c r="P24" s="10">
        <v>0.5</v>
      </c>
      <c r="Q24" s="10"/>
      <c r="R24" s="10">
        <v>0.5</v>
      </c>
      <c r="V24" s="10"/>
      <c r="W24" s="10">
        <v>0.5</v>
      </c>
      <c r="X24" s="10"/>
      <c r="Y24" s="10">
        <v>0.5</v>
      </c>
      <c r="AC24" s="10"/>
      <c r="AD24" s="10">
        <v>0.5</v>
      </c>
      <c r="AE24" s="10"/>
      <c r="AF24" s="10">
        <v>0.5</v>
      </c>
      <c r="AJ24" s="10"/>
      <c r="AK24" s="10">
        <v>0.5</v>
      </c>
      <c r="AL24" s="10"/>
      <c r="AM24" s="10">
        <v>0.5</v>
      </c>
      <c r="AQ24" s="10"/>
      <c r="AR24" s="10">
        <v>0.5</v>
      </c>
      <c r="AS24" s="10"/>
      <c r="AT24" s="10">
        <v>0.5</v>
      </c>
      <c r="AX24" s="10"/>
      <c r="AY24" s="10">
        <v>0.8</v>
      </c>
      <c r="AZ24" s="10"/>
      <c r="BA24" s="10">
        <v>0.8</v>
      </c>
      <c r="BE24" s="10"/>
      <c r="BF24" s="10">
        <v>0.8</v>
      </c>
      <c r="BG24" s="10"/>
      <c r="BH24" s="10">
        <v>0.8</v>
      </c>
      <c r="BL24" s="10"/>
      <c r="BM24" s="10">
        <v>0.8</v>
      </c>
      <c r="BN24" s="10"/>
      <c r="BO24" s="10">
        <v>0.8</v>
      </c>
      <c r="BS24" s="10"/>
      <c r="BT24" s="10">
        <v>1</v>
      </c>
      <c r="BU24" s="10"/>
      <c r="BV24" s="10">
        <v>1</v>
      </c>
      <c r="BZ24" s="10"/>
      <c r="CA24" s="10">
        <v>1</v>
      </c>
      <c r="CB24" s="10"/>
      <c r="CC24" s="10">
        <v>1</v>
      </c>
      <c r="CG24" s="10"/>
      <c r="CH24" s="10">
        <v>1</v>
      </c>
      <c r="CI24" s="10"/>
      <c r="CJ24" s="10">
        <v>1</v>
      </c>
      <c r="CN24" s="10"/>
      <c r="CO24" s="10"/>
      <c r="CP24" s="10"/>
      <c r="CQ24" s="10"/>
      <c r="CU24" s="10"/>
      <c r="CV24" s="10"/>
      <c r="CW24" s="10"/>
      <c r="CX24" s="10"/>
      <c r="DB24" s="10"/>
      <c r="DC24" s="10"/>
      <c r="DD24" s="10"/>
      <c r="DE24" s="10"/>
    </row>
    <row r="25" spans="2:109" outlineLevel="1" x14ac:dyDescent="0.2">
      <c r="B25" t="s">
        <v>29</v>
      </c>
      <c r="C25" t="s">
        <v>2</v>
      </c>
      <c r="E25" s="9"/>
      <c r="F25" t="s">
        <v>110</v>
      </c>
      <c r="G25" s="10">
        <v>0.1</v>
      </c>
      <c r="I25" s="9">
        <f t="shared" si="2"/>
        <v>0</v>
      </c>
      <c r="J25" s="11" cm="1">
        <f t="array" ref="J25">MAX(IF($N$3:$EH$3=$J$3,N25:EH25))</f>
        <v>0</v>
      </c>
      <c r="K25" s="11" cm="1">
        <f t="array" ref="K25">MAX(IF($N$3:$EH$3=$J$3,N25:EH25))</f>
        <v>0</v>
      </c>
      <c r="L25" s="9"/>
      <c r="O25" s="10"/>
      <c r="P25" s="10">
        <v>0.1</v>
      </c>
      <c r="Q25" s="10"/>
      <c r="R25" s="10">
        <v>0.1</v>
      </c>
      <c r="V25" s="10"/>
      <c r="W25" s="10">
        <v>0.5</v>
      </c>
      <c r="X25" s="10"/>
      <c r="Y25" s="10">
        <v>0.5</v>
      </c>
      <c r="AC25" s="10"/>
      <c r="AD25" s="10">
        <v>0.5</v>
      </c>
      <c r="AE25" s="10"/>
      <c r="AF25" s="10">
        <v>0.5</v>
      </c>
      <c r="AJ25" s="10"/>
      <c r="AK25" s="10">
        <v>0.5</v>
      </c>
      <c r="AL25" s="10"/>
      <c r="AM25" s="10">
        <v>0.5</v>
      </c>
      <c r="AQ25" s="10"/>
      <c r="AR25" s="10">
        <v>0.5</v>
      </c>
      <c r="AS25" s="10"/>
      <c r="AT25" s="10">
        <v>0.5</v>
      </c>
      <c r="AX25" s="10"/>
      <c r="AY25" s="10">
        <v>0.5</v>
      </c>
      <c r="AZ25" s="10"/>
      <c r="BA25" s="10">
        <v>0.5</v>
      </c>
      <c r="BE25" s="10"/>
      <c r="BF25" s="10">
        <v>0.5</v>
      </c>
      <c r="BG25" s="10"/>
      <c r="BH25" s="10">
        <v>0.5</v>
      </c>
      <c r="BL25" s="10"/>
      <c r="BM25" s="10">
        <v>0.8</v>
      </c>
      <c r="BN25" s="10"/>
      <c r="BO25" s="10">
        <v>0.8</v>
      </c>
      <c r="BS25" s="10"/>
      <c r="BT25" s="10">
        <v>1</v>
      </c>
      <c r="BU25" s="10"/>
      <c r="BV25" s="10">
        <v>1</v>
      </c>
      <c r="BZ25" s="10"/>
      <c r="CA25" s="10">
        <v>1</v>
      </c>
      <c r="CB25" s="10"/>
      <c r="CC25" s="10">
        <v>1</v>
      </c>
      <c r="CG25" s="10"/>
      <c r="CH25" s="10">
        <v>1</v>
      </c>
      <c r="CI25" s="10"/>
      <c r="CJ25" s="10">
        <v>1</v>
      </c>
      <c r="CN25" s="10"/>
      <c r="CO25" s="10"/>
      <c r="CP25" s="10"/>
      <c r="CQ25" s="10"/>
      <c r="CU25" s="10"/>
      <c r="CV25" s="10"/>
      <c r="CW25" s="10"/>
      <c r="CX25" s="10"/>
      <c r="DB25" s="10"/>
      <c r="DC25" s="10"/>
      <c r="DD25" s="10"/>
      <c r="DE25" s="10"/>
    </row>
    <row r="26" spans="2:109" outlineLevel="1" x14ac:dyDescent="0.2">
      <c r="B26" t="s">
        <v>29</v>
      </c>
      <c r="C26" t="s">
        <v>2</v>
      </c>
      <c r="E26" s="9"/>
      <c r="F26" t="s">
        <v>111</v>
      </c>
      <c r="G26" s="10">
        <v>0.1</v>
      </c>
      <c r="I26" s="9">
        <f t="shared" si="2"/>
        <v>0</v>
      </c>
      <c r="J26" s="11" cm="1">
        <f t="array" ref="J26">MAX(IF($N$3:$EH$3=$J$3,N26:EH26))</f>
        <v>0</v>
      </c>
      <c r="K26" s="11" cm="1">
        <f t="array" ref="K26">MAX(IF($N$3:$EH$3=$J$3,N26:EH26))</f>
        <v>0</v>
      </c>
      <c r="L26" s="9"/>
      <c r="O26" s="10"/>
      <c r="P26" s="10">
        <v>0.1</v>
      </c>
      <c r="Q26" s="10"/>
      <c r="R26" s="10">
        <v>0.1</v>
      </c>
      <c r="V26" s="10"/>
      <c r="W26" s="10">
        <v>0.1</v>
      </c>
      <c r="X26" s="10"/>
      <c r="Y26" s="10">
        <v>0.1</v>
      </c>
      <c r="AC26" s="10"/>
      <c r="AD26" s="10">
        <v>0.1</v>
      </c>
      <c r="AE26" s="10"/>
      <c r="AF26" s="10">
        <v>0.1</v>
      </c>
      <c r="AJ26" s="10"/>
      <c r="AK26" s="10">
        <v>0.1</v>
      </c>
      <c r="AL26" s="10"/>
      <c r="AM26" s="10">
        <v>0.1</v>
      </c>
      <c r="AQ26" s="10"/>
      <c r="AR26" s="10">
        <v>0.1</v>
      </c>
      <c r="AS26" s="10"/>
      <c r="AT26" s="10">
        <v>0.1</v>
      </c>
      <c r="AX26" s="10"/>
      <c r="AY26" s="10">
        <v>0.5</v>
      </c>
      <c r="AZ26" s="10"/>
      <c r="BA26" s="10">
        <v>0.5</v>
      </c>
      <c r="BE26" s="10"/>
      <c r="BF26" s="10">
        <v>0.5</v>
      </c>
      <c r="BG26" s="10"/>
      <c r="BH26" s="10">
        <v>0.5</v>
      </c>
      <c r="BL26" s="10"/>
      <c r="BM26" s="10">
        <v>0.8</v>
      </c>
      <c r="BN26" s="10"/>
      <c r="BO26" s="10">
        <v>0.8</v>
      </c>
      <c r="BS26" s="10"/>
      <c r="BT26" s="10">
        <v>0.8</v>
      </c>
      <c r="BU26" s="10"/>
      <c r="BV26" s="10">
        <v>0.8</v>
      </c>
      <c r="BZ26" s="10"/>
      <c r="CA26" s="10">
        <v>1</v>
      </c>
      <c r="CB26" s="10"/>
      <c r="CC26" s="10">
        <v>1</v>
      </c>
      <c r="CG26" s="10"/>
      <c r="CH26" s="10">
        <v>1</v>
      </c>
      <c r="CI26" s="10"/>
      <c r="CJ26" s="10">
        <v>1</v>
      </c>
      <c r="CN26" s="10"/>
      <c r="CO26" s="10"/>
      <c r="CP26" s="10"/>
      <c r="CQ26" s="10"/>
      <c r="CU26" s="10"/>
      <c r="CV26" s="10"/>
      <c r="CW26" s="10"/>
      <c r="CX26" s="10"/>
      <c r="DB26" s="10"/>
      <c r="DC26" s="10"/>
      <c r="DD26" s="10"/>
      <c r="DE26" s="10"/>
    </row>
    <row r="27" spans="2:109" outlineLevel="1" x14ac:dyDescent="0.2">
      <c r="B27" t="s">
        <v>29</v>
      </c>
      <c r="C27" t="s">
        <v>2</v>
      </c>
      <c r="E27" s="9"/>
      <c r="F27" t="s">
        <v>112</v>
      </c>
      <c r="G27" s="10">
        <v>0.1</v>
      </c>
      <c r="I27" s="9">
        <f t="shared" si="2"/>
        <v>0</v>
      </c>
      <c r="J27" s="11" cm="1">
        <f t="array" ref="J27">MAX(IF($N$3:$EH$3=$J$3,N27:EH27))</f>
        <v>0</v>
      </c>
      <c r="K27" s="11" cm="1">
        <f t="array" ref="K27">MAX(IF($N$3:$EH$3=$J$3,N27:EH27))</f>
        <v>0</v>
      </c>
      <c r="L27" s="9"/>
      <c r="O27" s="10"/>
      <c r="P27" s="10">
        <v>0.1</v>
      </c>
      <c r="Q27" s="10"/>
      <c r="R27" s="10">
        <v>0.1</v>
      </c>
      <c r="V27" s="10"/>
      <c r="W27" s="10">
        <v>0.1</v>
      </c>
      <c r="X27" s="10"/>
      <c r="Y27" s="10">
        <v>0.1</v>
      </c>
      <c r="AC27" s="10"/>
      <c r="AD27" s="10">
        <v>0.1</v>
      </c>
      <c r="AE27" s="10"/>
      <c r="AF27" s="10">
        <v>0.1</v>
      </c>
      <c r="AJ27" s="10"/>
      <c r="AK27" s="10">
        <v>0.1</v>
      </c>
      <c r="AL27" s="10"/>
      <c r="AM27" s="10">
        <v>0.1</v>
      </c>
      <c r="AQ27" s="10"/>
      <c r="AR27" s="10">
        <v>0.1</v>
      </c>
      <c r="AS27" s="10"/>
      <c r="AT27" s="10">
        <v>0.1</v>
      </c>
      <c r="AX27" s="10"/>
      <c r="AY27" s="10">
        <v>0.1</v>
      </c>
      <c r="AZ27" s="10"/>
      <c r="BA27" s="10">
        <v>0.1</v>
      </c>
      <c r="BE27" s="10"/>
      <c r="BF27" s="10">
        <v>0.5</v>
      </c>
      <c r="BG27" s="10"/>
      <c r="BH27" s="10">
        <v>0.5</v>
      </c>
      <c r="BL27" s="10"/>
      <c r="BM27" s="10">
        <v>0.5</v>
      </c>
      <c r="BN27" s="10"/>
      <c r="BO27" s="10">
        <v>0.5</v>
      </c>
      <c r="BS27" s="10"/>
      <c r="BT27" s="10">
        <v>0.8</v>
      </c>
      <c r="BU27" s="10"/>
      <c r="BV27" s="10">
        <v>0.8</v>
      </c>
      <c r="BZ27" s="10"/>
      <c r="CA27" s="10">
        <v>1</v>
      </c>
      <c r="CB27" s="10"/>
      <c r="CC27" s="10">
        <v>1</v>
      </c>
      <c r="CG27" s="10"/>
      <c r="CH27" s="10">
        <v>1</v>
      </c>
      <c r="CI27" s="10"/>
      <c r="CJ27" s="10">
        <v>1</v>
      </c>
      <c r="CN27" s="10"/>
      <c r="CO27" s="10"/>
      <c r="CP27" s="10"/>
      <c r="CQ27" s="10"/>
      <c r="CU27" s="10"/>
      <c r="CV27" s="10"/>
      <c r="CW27" s="10"/>
      <c r="CX27" s="10"/>
      <c r="DB27" s="10"/>
      <c r="DC27" s="10"/>
      <c r="DD27" s="10"/>
      <c r="DE27" s="10"/>
    </row>
    <row r="28" spans="2:109" outlineLevel="1" x14ac:dyDescent="0.2">
      <c r="B28" t="s">
        <v>29</v>
      </c>
      <c r="C28" t="s">
        <v>2</v>
      </c>
      <c r="E28" s="9"/>
      <c r="F28" t="s">
        <v>113</v>
      </c>
      <c r="G28" s="10">
        <v>0.1</v>
      </c>
      <c r="I28" s="9">
        <f t="shared" si="2"/>
        <v>0</v>
      </c>
      <c r="J28" s="11" cm="1">
        <f t="array" ref="J28">MAX(IF($N$3:$EH$3=$J$3,N28:EH28))</f>
        <v>0</v>
      </c>
      <c r="K28" s="11" cm="1">
        <f t="array" ref="K28">MAX(IF($N$3:$EH$3=$J$3,N28:EH28))</f>
        <v>0</v>
      </c>
      <c r="L28" s="9"/>
      <c r="O28" s="10"/>
      <c r="P28" s="10">
        <v>0.1</v>
      </c>
      <c r="Q28" s="10"/>
      <c r="R28" s="10">
        <v>0.1</v>
      </c>
      <c r="V28" s="10"/>
      <c r="W28" s="10">
        <v>0.1</v>
      </c>
      <c r="X28" s="10"/>
      <c r="Y28" s="10">
        <v>0.1</v>
      </c>
      <c r="AC28" s="10"/>
      <c r="AD28" s="10">
        <v>0.1</v>
      </c>
      <c r="AE28" s="10"/>
      <c r="AF28" s="10">
        <v>0.1</v>
      </c>
      <c r="AJ28" s="10"/>
      <c r="AK28" s="10">
        <v>0.1</v>
      </c>
      <c r="AL28" s="10"/>
      <c r="AM28" s="10">
        <v>0.1</v>
      </c>
      <c r="AQ28" s="10"/>
      <c r="AR28" s="10">
        <v>0.1</v>
      </c>
      <c r="AS28" s="10"/>
      <c r="AT28" s="10">
        <v>0.1</v>
      </c>
      <c r="AX28" s="10"/>
      <c r="AY28" s="10">
        <v>0.1</v>
      </c>
      <c r="AZ28" s="10"/>
      <c r="BA28" s="10">
        <v>0.1</v>
      </c>
      <c r="BE28" s="10"/>
      <c r="BF28" s="10">
        <v>0.5</v>
      </c>
      <c r="BG28" s="10"/>
      <c r="BH28" s="10">
        <v>0.5</v>
      </c>
      <c r="BL28" s="10"/>
      <c r="BM28" s="10">
        <v>0.5</v>
      </c>
      <c r="BN28" s="10"/>
      <c r="BO28" s="10">
        <v>0.5</v>
      </c>
      <c r="BS28" s="10"/>
      <c r="BT28" s="10">
        <v>0.8</v>
      </c>
      <c r="BU28" s="10"/>
      <c r="BV28" s="10">
        <v>0.8</v>
      </c>
      <c r="BZ28" s="10"/>
      <c r="CA28" s="10">
        <v>0.8</v>
      </c>
      <c r="CB28" s="10"/>
      <c r="CC28" s="10">
        <v>0.8</v>
      </c>
      <c r="CG28" s="10"/>
      <c r="CH28" s="10">
        <v>1</v>
      </c>
      <c r="CI28" s="10"/>
      <c r="CJ28" s="10">
        <v>1</v>
      </c>
      <c r="CN28" s="10"/>
      <c r="CO28" s="10"/>
      <c r="CP28" s="10"/>
      <c r="CQ28" s="10"/>
      <c r="CU28" s="10"/>
      <c r="CV28" s="10"/>
      <c r="CW28" s="10"/>
      <c r="CX28" s="10"/>
      <c r="DB28" s="10"/>
      <c r="DC28" s="10"/>
      <c r="DD28" s="10"/>
      <c r="DE28" s="10"/>
    </row>
    <row r="29" spans="2:109" outlineLevel="1" x14ac:dyDescent="0.2">
      <c r="B29" t="s">
        <v>29</v>
      </c>
      <c r="C29" t="s">
        <v>2</v>
      </c>
      <c r="E29" s="9"/>
      <c r="F29" t="s">
        <v>114</v>
      </c>
      <c r="G29" s="10">
        <v>0.1</v>
      </c>
      <c r="I29" s="9">
        <f t="shared" si="2"/>
        <v>0</v>
      </c>
      <c r="J29" s="11" cm="1">
        <f t="array" ref="J29">MAX(IF($N$3:$EH$3=$J$3,N29:EH29))</f>
        <v>0</v>
      </c>
      <c r="K29" s="11" cm="1">
        <f t="array" ref="K29">MAX(IF($N$3:$EH$3=$J$3,N29:EH29))</f>
        <v>0</v>
      </c>
      <c r="L29" s="9"/>
      <c r="O29" s="10"/>
      <c r="P29" s="10">
        <v>0.1</v>
      </c>
      <c r="Q29" s="10"/>
      <c r="R29" s="10">
        <v>0.1</v>
      </c>
      <c r="V29" s="10"/>
      <c r="W29" s="10">
        <v>0.1</v>
      </c>
      <c r="X29" s="10"/>
      <c r="Y29" s="10">
        <v>0.1</v>
      </c>
      <c r="AC29" s="10"/>
      <c r="AD29" s="10">
        <v>0.1</v>
      </c>
      <c r="AE29" s="10"/>
      <c r="AF29" s="10">
        <v>0.1</v>
      </c>
      <c r="AJ29" s="10"/>
      <c r="AK29" s="10">
        <v>0.1</v>
      </c>
      <c r="AL29" s="10"/>
      <c r="AM29" s="10">
        <v>0.1</v>
      </c>
      <c r="AQ29" s="10"/>
      <c r="AR29" s="10">
        <v>0.1</v>
      </c>
      <c r="AS29" s="10"/>
      <c r="AT29" s="10">
        <v>0.1</v>
      </c>
      <c r="AX29" s="10"/>
      <c r="AY29" s="10">
        <v>0.1</v>
      </c>
      <c r="AZ29" s="10"/>
      <c r="BA29" s="10">
        <v>0.1</v>
      </c>
      <c r="BE29" s="10"/>
      <c r="BF29" s="10">
        <v>0.1</v>
      </c>
      <c r="BG29" s="10"/>
      <c r="BH29" s="10">
        <v>0.1</v>
      </c>
      <c r="BL29" s="10"/>
      <c r="BM29" s="10">
        <v>0.5</v>
      </c>
      <c r="BN29" s="10"/>
      <c r="BO29" s="10">
        <v>0.5</v>
      </c>
      <c r="BS29" s="10"/>
      <c r="BT29" s="10">
        <v>0.5</v>
      </c>
      <c r="BU29" s="10"/>
      <c r="BV29" s="10">
        <v>0.5</v>
      </c>
      <c r="BZ29" s="10"/>
      <c r="CA29" s="10">
        <v>0.8</v>
      </c>
      <c r="CB29" s="10"/>
      <c r="CC29" s="10">
        <v>0.8</v>
      </c>
      <c r="CG29" s="10"/>
      <c r="CH29" s="10">
        <v>1</v>
      </c>
      <c r="CI29" s="10"/>
      <c r="CJ29" s="10">
        <v>1</v>
      </c>
      <c r="CN29" s="10"/>
      <c r="CO29" s="10"/>
      <c r="CP29" s="10"/>
      <c r="CQ29" s="10"/>
      <c r="CU29" s="10"/>
      <c r="CV29" s="10"/>
      <c r="CW29" s="10"/>
      <c r="CX29" s="10"/>
      <c r="DB29" s="10"/>
      <c r="DC29" s="10"/>
      <c r="DD29" s="10"/>
      <c r="DE29" s="10"/>
    </row>
    <row r="31" spans="2:109" x14ac:dyDescent="0.2">
      <c r="B31" t="s">
        <v>28</v>
      </c>
      <c r="C31" t="s">
        <v>115</v>
      </c>
      <c r="D31" s="19">
        <v>46049</v>
      </c>
      <c r="E31" s="9" t="s">
        <v>151</v>
      </c>
      <c r="G31" s="10">
        <f>+SUM(G32:G43)</f>
        <v>1</v>
      </c>
      <c r="I31" s="12">
        <f>+SUM(I32:I43)</f>
        <v>0</v>
      </c>
      <c r="J31" s="11">
        <f>+SUMPRODUCT(G32:G43,J32:J43)</f>
        <v>0</v>
      </c>
      <c r="K31" s="11">
        <f>+SUMPRODUCT(G32:G43,K32:K43)</f>
        <v>0</v>
      </c>
      <c r="L31" s="9"/>
      <c r="N31" s="12">
        <f>+SUM(N32:N43)</f>
        <v>0</v>
      </c>
      <c r="U31" s="12">
        <f>+SUM(U32:U43)</f>
        <v>0</v>
      </c>
      <c r="AB31" s="12">
        <f>+SUM(AB32:AB43)</f>
        <v>0</v>
      </c>
      <c r="AI31" s="12">
        <f>+SUM(AI32:AI43)</f>
        <v>0</v>
      </c>
      <c r="AP31" s="12">
        <f>+SUM(AP32:AP43)</f>
        <v>0</v>
      </c>
    </row>
    <row r="32" spans="2:109" outlineLevel="1" x14ac:dyDescent="0.2">
      <c r="B32" t="s">
        <v>29</v>
      </c>
      <c r="E32" s="9"/>
      <c r="F32" t="s">
        <v>116</v>
      </c>
      <c r="G32" s="10">
        <v>0.05</v>
      </c>
      <c r="I32" s="9">
        <f t="shared" ref="I32:I53" si="3">+SUMIF($N$3:$ZZ$3,I$3,$N32:$ZZ32)</f>
        <v>0</v>
      </c>
      <c r="J32" s="11" cm="1">
        <f t="array" ref="J32">MAX(IF($N$3:$EH$3=$J$3,N32:EH32))</f>
        <v>0</v>
      </c>
      <c r="K32" s="11" cm="1">
        <f t="array" ref="K32">MAX(IF($N$3:$EH$3=$J$3,N32:EH32))</f>
        <v>0</v>
      </c>
      <c r="L32" s="9"/>
      <c r="O32" s="10"/>
      <c r="P32" s="10">
        <v>0.5</v>
      </c>
      <c r="Q32" s="10"/>
      <c r="R32" s="10">
        <v>0.5</v>
      </c>
      <c r="V32" s="10"/>
      <c r="W32" s="10">
        <v>0.5</v>
      </c>
      <c r="X32" s="10"/>
      <c r="Y32" s="10">
        <v>0.5</v>
      </c>
      <c r="AC32" s="10"/>
      <c r="AD32" s="10">
        <v>0.5</v>
      </c>
      <c r="AE32" s="10"/>
      <c r="AF32" s="10">
        <v>0.5</v>
      </c>
      <c r="AJ32" s="10"/>
      <c r="AK32" s="10">
        <v>0.8</v>
      </c>
      <c r="AL32" s="10"/>
      <c r="AM32" s="10">
        <v>0.8</v>
      </c>
      <c r="AQ32" s="10"/>
      <c r="AR32" s="10">
        <v>1</v>
      </c>
      <c r="AS32" s="10"/>
      <c r="AT32" s="10">
        <v>1</v>
      </c>
      <c r="AX32" s="10"/>
      <c r="AY32" s="10">
        <v>1</v>
      </c>
      <c r="AZ32" s="10"/>
      <c r="BA32" s="10">
        <v>1</v>
      </c>
      <c r="BE32" s="10"/>
      <c r="BF32" s="10">
        <v>1</v>
      </c>
      <c r="BG32" s="10"/>
      <c r="BH32" s="10">
        <v>1</v>
      </c>
      <c r="BL32" s="10"/>
      <c r="BM32" s="10">
        <v>1</v>
      </c>
      <c r="BN32" s="10"/>
      <c r="BO32" s="10">
        <v>1</v>
      </c>
      <c r="BS32" s="10"/>
      <c r="BT32" s="10">
        <v>1</v>
      </c>
      <c r="BU32" s="10"/>
      <c r="BV32" s="10">
        <v>1</v>
      </c>
      <c r="BZ32" s="10"/>
      <c r="CA32" s="10">
        <v>1</v>
      </c>
      <c r="CB32" s="10"/>
      <c r="CC32" s="10">
        <v>1</v>
      </c>
      <c r="CG32" s="10"/>
      <c r="CH32" s="10">
        <v>1</v>
      </c>
      <c r="CI32" s="10"/>
      <c r="CJ32" s="10">
        <v>1</v>
      </c>
      <c r="CN32" s="10"/>
      <c r="CO32" s="10"/>
      <c r="CP32" s="10"/>
      <c r="CQ32" s="10"/>
      <c r="CU32" s="10"/>
      <c r="CV32" s="10"/>
      <c r="CW32" s="10"/>
      <c r="CX32" s="10"/>
      <c r="DB32" s="10"/>
      <c r="DC32" s="10"/>
      <c r="DD32" s="10"/>
      <c r="DE32" s="10"/>
    </row>
    <row r="33" spans="2:109" outlineLevel="1" x14ac:dyDescent="0.2">
      <c r="B33" t="s">
        <v>29</v>
      </c>
      <c r="E33" s="9"/>
      <c r="F33" t="s">
        <v>117</v>
      </c>
      <c r="G33" s="10">
        <v>0.1</v>
      </c>
      <c r="I33" s="9">
        <f t="shared" si="3"/>
        <v>0</v>
      </c>
      <c r="J33" s="11" cm="1">
        <f t="array" ref="J33">MAX(IF($N$3:$EH$3=$J$3,N33:EH33))</f>
        <v>0</v>
      </c>
      <c r="K33" s="11" cm="1">
        <f t="array" ref="K33">MAX(IF($N$3:$EH$3=$J$3,N33:EH33))</f>
        <v>0</v>
      </c>
      <c r="L33" s="9"/>
      <c r="O33" s="10"/>
      <c r="P33" s="10">
        <v>0.5</v>
      </c>
      <c r="Q33" s="10"/>
      <c r="R33" s="10">
        <v>0.5</v>
      </c>
      <c r="V33" s="10"/>
      <c r="W33" s="10">
        <v>0.5</v>
      </c>
      <c r="X33" s="10"/>
      <c r="Y33" s="10">
        <v>0.5</v>
      </c>
      <c r="AC33" s="10"/>
      <c r="AD33" s="10">
        <v>0.5</v>
      </c>
      <c r="AE33" s="10"/>
      <c r="AF33" s="10">
        <v>0.5</v>
      </c>
      <c r="AJ33" s="10"/>
      <c r="AK33" s="10">
        <v>0.5</v>
      </c>
      <c r="AL33" s="10"/>
      <c r="AM33" s="10">
        <v>0.5</v>
      </c>
      <c r="AQ33" s="10"/>
      <c r="AR33" s="10">
        <v>0.8</v>
      </c>
      <c r="AS33" s="10"/>
      <c r="AT33" s="10">
        <v>0.8</v>
      </c>
      <c r="AX33" s="10"/>
      <c r="AY33" s="10">
        <v>1</v>
      </c>
      <c r="AZ33" s="10"/>
      <c r="BA33" s="10">
        <v>1</v>
      </c>
      <c r="BE33" s="10"/>
      <c r="BF33" s="10">
        <v>1</v>
      </c>
      <c r="BG33" s="10"/>
      <c r="BH33" s="10">
        <v>1</v>
      </c>
      <c r="BL33" s="10"/>
      <c r="BM33" s="10">
        <v>1</v>
      </c>
      <c r="BN33" s="10"/>
      <c r="BO33" s="10">
        <v>1</v>
      </c>
      <c r="BS33" s="10"/>
      <c r="BT33" s="10">
        <v>1</v>
      </c>
      <c r="BU33" s="10"/>
      <c r="BV33" s="10">
        <v>1</v>
      </c>
      <c r="BZ33" s="10"/>
      <c r="CA33" s="10">
        <v>1</v>
      </c>
      <c r="CB33" s="10"/>
      <c r="CC33" s="10">
        <v>1</v>
      </c>
      <c r="CG33" s="10"/>
      <c r="CH33" s="10">
        <v>1</v>
      </c>
      <c r="CI33" s="10"/>
      <c r="CJ33" s="10">
        <v>1</v>
      </c>
      <c r="CN33" s="10"/>
      <c r="CO33" s="10"/>
      <c r="CP33" s="10"/>
      <c r="CQ33" s="10"/>
      <c r="CU33" s="10"/>
      <c r="CV33" s="10"/>
      <c r="CW33" s="10"/>
      <c r="CX33" s="10"/>
      <c r="DB33" s="10"/>
      <c r="DC33" s="10"/>
      <c r="DD33" s="10"/>
      <c r="DE33" s="10"/>
    </row>
    <row r="34" spans="2:109" outlineLevel="1" x14ac:dyDescent="0.2">
      <c r="B34" t="s">
        <v>29</v>
      </c>
      <c r="E34" s="9"/>
      <c r="F34" t="s">
        <v>119</v>
      </c>
      <c r="G34" s="10">
        <v>0.1</v>
      </c>
      <c r="I34" s="9">
        <f t="shared" si="3"/>
        <v>0</v>
      </c>
      <c r="J34" s="11" cm="1">
        <f t="array" ref="J34">MAX(IF($N$3:$EH$3=$J$3,N34:EH34))</f>
        <v>0</v>
      </c>
      <c r="K34" s="11" cm="1">
        <f t="array" ref="K34">MAX(IF($N$3:$EH$3=$J$3,N34:EH34))</f>
        <v>0</v>
      </c>
      <c r="L34" s="9"/>
      <c r="O34" s="10"/>
      <c r="P34" s="10">
        <v>0.5</v>
      </c>
      <c r="Q34" s="10"/>
      <c r="R34" s="10">
        <v>0.5</v>
      </c>
      <c r="V34" s="10"/>
      <c r="W34" s="10">
        <v>0.5</v>
      </c>
      <c r="X34" s="10"/>
      <c r="Y34" s="10">
        <v>0.5</v>
      </c>
      <c r="AC34" s="10"/>
      <c r="AD34" s="10">
        <v>0.5</v>
      </c>
      <c r="AE34" s="10"/>
      <c r="AF34" s="10">
        <v>0.5</v>
      </c>
      <c r="AJ34" s="10"/>
      <c r="AK34" s="10">
        <v>0.5</v>
      </c>
      <c r="AL34" s="10"/>
      <c r="AM34" s="10">
        <v>0.5</v>
      </c>
      <c r="AQ34" s="10"/>
      <c r="AR34" s="10">
        <v>0.8</v>
      </c>
      <c r="AS34" s="10"/>
      <c r="AT34" s="10">
        <v>0.8</v>
      </c>
      <c r="AX34" s="10"/>
      <c r="AY34" s="10">
        <v>0.8</v>
      </c>
      <c r="AZ34" s="10"/>
      <c r="BA34" s="10">
        <v>0.8</v>
      </c>
      <c r="BE34" s="10"/>
      <c r="BF34" s="10">
        <v>1</v>
      </c>
      <c r="BG34" s="10"/>
      <c r="BH34" s="10">
        <v>1</v>
      </c>
      <c r="BL34" s="10"/>
      <c r="BM34" s="10">
        <v>1</v>
      </c>
      <c r="BN34" s="10"/>
      <c r="BO34" s="10">
        <v>1</v>
      </c>
      <c r="BS34" s="10"/>
      <c r="BT34" s="10">
        <v>1</v>
      </c>
      <c r="BU34" s="10"/>
      <c r="BV34" s="10">
        <v>1</v>
      </c>
      <c r="BZ34" s="10"/>
      <c r="CA34" s="10">
        <v>1</v>
      </c>
      <c r="CB34" s="10"/>
      <c r="CC34" s="10">
        <v>1</v>
      </c>
      <c r="CG34" s="10"/>
      <c r="CH34" s="10">
        <v>1</v>
      </c>
      <c r="CI34" s="10"/>
      <c r="CJ34" s="10">
        <v>1</v>
      </c>
      <c r="CN34" s="10"/>
      <c r="CO34" s="10"/>
      <c r="CP34" s="10"/>
      <c r="CQ34" s="10"/>
      <c r="CU34" s="10"/>
      <c r="CV34" s="10"/>
      <c r="CW34" s="10"/>
      <c r="CX34" s="10"/>
      <c r="DB34" s="10"/>
      <c r="DC34" s="10"/>
      <c r="DD34" s="10"/>
      <c r="DE34" s="10"/>
    </row>
    <row r="35" spans="2:109" outlineLevel="1" x14ac:dyDescent="0.2">
      <c r="B35" t="s">
        <v>29</v>
      </c>
      <c r="E35" s="9"/>
      <c r="F35" t="s">
        <v>120</v>
      </c>
      <c r="G35" s="10">
        <v>0.1</v>
      </c>
      <c r="I35" s="9">
        <f t="shared" si="3"/>
        <v>0</v>
      </c>
      <c r="J35" s="11" cm="1">
        <f t="array" ref="J35">MAX(IF($N$3:$EH$3=$J$3,N35:EH35))</f>
        <v>0</v>
      </c>
      <c r="K35" s="11" cm="1">
        <f t="array" ref="K35">MAX(IF($N$3:$EH$3=$J$3,N35:EH35))</f>
        <v>0</v>
      </c>
      <c r="L35" s="9"/>
      <c r="O35" s="10"/>
      <c r="P35" s="10">
        <v>0.1</v>
      </c>
      <c r="Q35" s="10"/>
      <c r="R35" s="10">
        <v>0.1</v>
      </c>
      <c r="V35" s="10"/>
      <c r="W35" s="10">
        <v>0.5</v>
      </c>
      <c r="X35" s="10"/>
      <c r="Y35" s="10">
        <v>0.5</v>
      </c>
      <c r="AC35" s="10"/>
      <c r="AD35" s="10">
        <v>0.5</v>
      </c>
      <c r="AE35" s="10"/>
      <c r="AF35" s="10">
        <v>0.5</v>
      </c>
      <c r="AJ35" s="10"/>
      <c r="AK35" s="10">
        <v>0.5</v>
      </c>
      <c r="AL35" s="10"/>
      <c r="AM35" s="10">
        <v>0.5</v>
      </c>
      <c r="AQ35" s="10"/>
      <c r="AR35" s="10">
        <v>0.8</v>
      </c>
      <c r="AS35" s="10"/>
      <c r="AT35" s="10">
        <v>0.8</v>
      </c>
      <c r="AX35" s="10"/>
      <c r="AY35" s="10">
        <v>0.8</v>
      </c>
      <c r="AZ35" s="10"/>
      <c r="BA35" s="10">
        <v>0.8</v>
      </c>
      <c r="BE35" s="10"/>
      <c r="BF35" s="10">
        <v>1</v>
      </c>
      <c r="BG35" s="10"/>
      <c r="BH35" s="10">
        <v>1</v>
      </c>
      <c r="BL35" s="10"/>
      <c r="BM35" s="10">
        <v>1</v>
      </c>
      <c r="BN35" s="10"/>
      <c r="BO35" s="10">
        <v>1</v>
      </c>
      <c r="BS35" s="10"/>
      <c r="BT35" s="10">
        <v>1</v>
      </c>
      <c r="BU35" s="10"/>
      <c r="BV35" s="10">
        <v>1</v>
      </c>
      <c r="BZ35" s="10"/>
      <c r="CA35" s="10">
        <v>1</v>
      </c>
      <c r="CB35" s="10"/>
      <c r="CC35" s="10">
        <v>1</v>
      </c>
      <c r="CG35" s="10"/>
      <c r="CH35" s="10">
        <v>1</v>
      </c>
      <c r="CI35" s="10"/>
      <c r="CJ35" s="10">
        <v>1</v>
      </c>
      <c r="CN35" s="10"/>
      <c r="CO35" s="10"/>
      <c r="CP35" s="10"/>
      <c r="CQ35" s="10"/>
      <c r="CU35" s="10"/>
      <c r="CV35" s="10"/>
      <c r="CW35" s="10"/>
      <c r="CX35" s="10"/>
      <c r="DB35" s="10"/>
      <c r="DC35" s="10"/>
      <c r="DD35" s="10"/>
      <c r="DE35" s="10"/>
    </row>
    <row r="36" spans="2:109" outlineLevel="1" x14ac:dyDescent="0.2">
      <c r="B36" t="s">
        <v>29</v>
      </c>
      <c r="E36" s="9"/>
      <c r="F36" t="s">
        <v>121</v>
      </c>
      <c r="G36" s="10">
        <v>0.1</v>
      </c>
      <c r="I36" s="9">
        <f t="shared" si="3"/>
        <v>0</v>
      </c>
      <c r="J36" s="11" cm="1">
        <f t="array" ref="J36">MAX(IF($N$3:$EH$3=$J$3,N36:EH36))</f>
        <v>0</v>
      </c>
      <c r="K36" s="11" cm="1">
        <f t="array" ref="K36">MAX(IF($N$3:$EH$3=$J$3,N36:EH36))</f>
        <v>0</v>
      </c>
      <c r="L36" s="9"/>
      <c r="O36" s="10"/>
      <c r="P36" s="10">
        <v>0.1</v>
      </c>
      <c r="Q36" s="10"/>
      <c r="R36" s="10">
        <v>0.1</v>
      </c>
      <c r="V36" s="10"/>
      <c r="W36" s="10">
        <v>0.1</v>
      </c>
      <c r="X36" s="10"/>
      <c r="Y36" s="10">
        <v>0.1</v>
      </c>
      <c r="AC36" s="10"/>
      <c r="AD36" s="10">
        <v>0.5</v>
      </c>
      <c r="AE36" s="10"/>
      <c r="AF36" s="10">
        <v>0.5</v>
      </c>
      <c r="AJ36" s="10"/>
      <c r="AK36" s="10">
        <v>0.5</v>
      </c>
      <c r="AL36" s="10"/>
      <c r="AM36" s="10">
        <v>0.5</v>
      </c>
      <c r="AQ36" s="10"/>
      <c r="AR36" s="10">
        <v>0.5</v>
      </c>
      <c r="AS36" s="10"/>
      <c r="AT36" s="10">
        <v>0.5</v>
      </c>
      <c r="AX36" s="10"/>
      <c r="AY36" s="10">
        <v>0.8</v>
      </c>
      <c r="AZ36" s="10"/>
      <c r="BA36" s="10">
        <v>0.8</v>
      </c>
      <c r="BE36" s="10"/>
      <c r="BF36" s="10">
        <v>0.8</v>
      </c>
      <c r="BG36" s="10"/>
      <c r="BH36" s="10">
        <v>0.8</v>
      </c>
      <c r="BL36" s="10"/>
      <c r="BM36" s="10">
        <v>1</v>
      </c>
      <c r="BN36" s="10"/>
      <c r="BO36" s="10">
        <v>1</v>
      </c>
      <c r="BS36" s="10"/>
      <c r="BT36" s="10">
        <v>1</v>
      </c>
      <c r="BU36" s="10"/>
      <c r="BV36" s="10">
        <v>1</v>
      </c>
      <c r="BZ36" s="10"/>
      <c r="CA36" s="10">
        <v>1</v>
      </c>
      <c r="CB36" s="10"/>
      <c r="CC36" s="10">
        <v>1</v>
      </c>
      <c r="CG36" s="10"/>
      <c r="CH36" s="10">
        <v>1</v>
      </c>
      <c r="CI36" s="10"/>
      <c r="CJ36" s="10">
        <v>1</v>
      </c>
      <c r="CN36" s="10"/>
      <c r="CO36" s="10"/>
      <c r="CP36" s="10"/>
      <c r="CQ36" s="10"/>
      <c r="CU36" s="10"/>
      <c r="CV36" s="10"/>
      <c r="CW36" s="10"/>
      <c r="CX36" s="10"/>
      <c r="DB36" s="10"/>
      <c r="DC36" s="10"/>
      <c r="DD36" s="10"/>
      <c r="DE36" s="10"/>
    </row>
    <row r="37" spans="2:109" outlineLevel="1" x14ac:dyDescent="0.2">
      <c r="B37" t="s">
        <v>29</v>
      </c>
      <c r="E37" s="9"/>
      <c r="F37" t="s">
        <v>122</v>
      </c>
      <c r="G37" s="10">
        <v>0.1</v>
      </c>
      <c r="I37" s="9">
        <f t="shared" si="3"/>
        <v>0</v>
      </c>
      <c r="J37" s="11" cm="1">
        <f t="array" ref="J37">MAX(IF($N$3:$EH$3=$J$3,N37:EH37))</f>
        <v>0</v>
      </c>
      <c r="K37" s="11" cm="1">
        <f t="array" ref="K37">MAX(IF($N$3:$EH$3=$J$3,N37:EH37))</f>
        <v>0</v>
      </c>
      <c r="L37" s="9"/>
      <c r="O37" s="10"/>
      <c r="P37" s="10">
        <v>0.1</v>
      </c>
      <c r="Q37" s="10"/>
      <c r="R37" s="10">
        <v>0.1</v>
      </c>
      <c r="V37" s="10"/>
      <c r="W37" s="10">
        <v>0.1</v>
      </c>
      <c r="X37" s="10"/>
      <c r="Y37" s="10">
        <v>0.1</v>
      </c>
      <c r="AC37" s="10"/>
      <c r="AD37" s="10">
        <v>0.1</v>
      </c>
      <c r="AE37" s="10"/>
      <c r="AF37" s="10">
        <v>0.1</v>
      </c>
      <c r="AJ37" s="10"/>
      <c r="AK37" s="10">
        <v>0.5</v>
      </c>
      <c r="AL37" s="10"/>
      <c r="AM37" s="10">
        <v>0.5</v>
      </c>
      <c r="AQ37" s="10"/>
      <c r="AR37" s="10">
        <v>0.5</v>
      </c>
      <c r="AS37" s="10"/>
      <c r="AT37" s="10">
        <v>0.5</v>
      </c>
      <c r="AX37" s="10"/>
      <c r="AY37" s="10">
        <v>0.8</v>
      </c>
      <c r="AZ37" s="10"/>
      <c r="BA37" s="10">
        <v>0.8</v>
      </c>
      <c r="BE37" s="10"/>
      <c r="BF37" s="10">
        <v>0.8</v>
      </c>
      <c r="BG37" s="10"/>
      <c r="BH37" s="10">
        <v>0.8</v>
      </c>
      <c r="BL37" s="10"/>
      <c r="BM37" s="10">
        <v>1</v>
      </c>
      <c r="BN37" s="10"/>
      <c r="BO37" s="10">
        <v>1</v>
      </c>
      <c r="BS37" s="10"/>
      <c r="BT37" s="10">
        <v>1</v>
      </c>
      <c r="BU37" s="10"/>
      <c r="BV37" s="10">
        <v>1</v>
      </c>
      <c r="BZ37" s="10"/>
      <c r="CA37" s="10">
        <v>1</v>
      </c>
      <c r="CB37" s="10"/>
      <c r="CC37" s="10">
        <v>1</v>
      </c>
      <c r="CG37" s="10"/>
      <c r="CH37" s="10">
        <v>1</v>
      </c>
      <c r="CI37" s="10"/>
      <c r="CJ37" s="10">
        <v>1</v>
      </c>
      <c r="CN37" s="10"/>
      <c r="CO37" s="10"/>
      <c r="CP37" s="10"/>
      <c r="CQ37" s="10"/>
      <c r="CU37" s="10"/>
      <c r="CV37" s="10"/>
      <c r="CW37" s="10"/>
      <c r="CX37" s="10"/>
      <c r="DB37" s="10"/>
      <c r="DC37" s="10"/>
      <c r="DD37" s="10"/>
      <c r="DE37" s="10"/>
    </row>
    <row r="38" spans="2:109" outlineLevel="1" x14ac:dyDescent="0.2">
      <c r="B38" t="s">
        <v>29</v>
      </c>
      <c r="E38" s="9"/>
      <c r="F38" t="s">
        <v>123</v>
      </c>
      <c r="G38" s="10">
        <v>0.1</v>
      </c>
      <c r="I38" s="9">
        <f t="shared" si="3"/>
        <v>0</v>
      </c>
      <c r="J38" s="11" cm="1">
        <f t="array" ref="J38">MAX(IF($N$3:$EH$3=$J$3,N38:EH38))</f>
        <v>0</v>
      </c>
      <c r="K38" s="11" cm="1">
        <f t="array" ref="K38">MAX(IF($N$3:$EH$3=$J$3,N38:EH38))</f>
        <v>0</v>
      </c>
      <c r="L38" s="9"/>
      <c r="O38" s="10"/>
      <c r="P38" s="10">
        <v>0.1</v>
      </c>
      <c r="Q38" s="10"/>
      <c r="R38" s="10">
        <v>0.1</v>
      </c>
      <c r="V38" s="10"/>
      <c r="W38" s="10">
        <v>0.1</v>
      </c>
      <c r="X38" s="10"/>
      <c r="Y38" s="10">
        <v>0.1</v>
      </c>
      <c r="AC38" s="10"/>
      <c r="AD38" s="10">
        <v>0.1</v>
      </c>
      <c r="AE38" s="10"/>
      <c r="AF38" s="10">
        <v>0.1</v>
      </c>
      <c r="AJ38" s="10"/>
      <c r="AK38" s="10">
        <v>0.1</v>
      </c>
      <c r="AL38" s="10"/>
      <c r="AM38" s="10">
        <v>0.1</v>
      </c>
      <c r="AQ38" s="10"/>
      <c r="AR38" s="10">
        <v>0.5</v>
      </c>
      <c r="AS38" s="10"/>
      <c r="AT38" s="10">
        <v>0.5</v>
      </c>
      <c r="AX38" s="10"/>
      <c r="AY38" s="10">
        <v>0.5</v>
      </c>
      <c r="AZ38" s="10"/>
      <c r="BA38" s="10">
        <v>0.5</v>
      </c>
      <c r="BE38" s="10"/>
      <c r="BF38" s="10">
        <v>0.8</v>
      </c>
      <c r="BG38" s="10"/>
      <c r="BH38" s="10">
        <v>0.8</v>
      </c>
      <c r="BL38" s="10"/>
      <c r="BM38" s="10">
        <v>0.8</v>
      </c>
      <c r="BN38" s="10"/>
      <c r="BO38" s="10">
        <v>0.8</v>
      </c>
      <c r="BS38" s="10"/>
      <c r="BT38" s="10">
        <v>1</v>
      </c>
      <c r="BU38" s="10"/>
      <c r="BV38" s="10">
        <v>1</v>
      </c>
      <c r="BZ38" s="10"/>
      <c r="CA38" s="10">
        <v>1</v>
      </c>
      <c r="CB38" s="10"/>
      <c r="CC38" s="10">
        <v>1</v>
      </c>
      <c r="CG38" s="10"/>
      <c r="CH38" s="10">
        <v>1</v>
      </c>
      <c r="CI38" s="10"/>
      <c r="CJ38" s="10">
        <v>1</v>
      </c>
      <c r="CN38" s="10"/>
      <c r="CO38" s="10"/>
      <c r="CP38" s="10"/>
      <c r="CQ38" s="10"/>
      <c r="CU38" s="10"/>
      <c r="CV38" s="10"/>
      <c r="CW38" s="10"/>
      <c r="CX38" s="10"/>
      <c r="DB38" s="10"/>
      <c r="DC38" s="10"/>
      <c r="DD38" s="10"/>
      <c r="DE38" s="10"/>
    </row>
    <row r="39" spans="2:109" outlineLevel="1" x14ac:dyDescent="0.2">
      <c r="B39" t="s">
        <v>29</v>
      </c>
      <c r="E39" s="9"/>
      <c r="F39" t="s">
        <v>124</v>
      </c>
      <c r="G39" s="10">
        <v>0.05</v>
      </c>
      <c r="I39" s="9">
        <f t="shared" si="3"/>
        <v>0</v>
      </c>
      <c r="J39" s="11" cm="1">
        <f t="array" ref="J39">MAX(IF($N$3:$EH$3=$J$3,N39:EH39))</f>
        <v>0</v>
      </c>
      <c r="K39" s="11" cm="1">
        <f t="array" ref="K39">MAX(IF($N$3:$EH$3=$J$3,N39:EH39))</f>
        <v>0</v>
      </c>
      <c r="L39" s="9"/>
      <c r="O39" s="10"/>
      <c r="P39" s="10">
        <v>0.1</v>
      </c>
      <c r="Q39" s="10"/>
      <c r="R39" s="10">
        <v>0.1</v>
      </c>
      <c r="V39" s="10"/>
      <c r="W39" s="10">
        <v>0.1</v>
      </c>
      <c r="X39" s="10"/>
      <c r="Y39" s="10">
        <v>0.1</v>
      </c>
      <c r="AC39" s="10"/>
      <c r="AD39" s="10">
        <v>0.1</v>
      </c>
      <c r="AE39" s="10"/>
      <c r="AF39" s="10">
        <v>0.1</v>
      </c>
      <c r="AJ39" s="10"/>
      <c r="AK39" s="10">
        <v>0.1</v>
      </c>
      <c r="AL39" s="10"/>
      <c r="AM39" s="10">
        <v>0.1</v>
      </c>
      <c r="AQ39" s="10"/>
      <c r="AR39" s="10">
        <v>0.5</v>
      </c>
      <c r="AS39" s="10"/>
      <c r="AT39" s="10">
        <v>0.5</v>
      </c>
      <c r="AX39" s="10"/>
      <c r="AY39" s="10">
        <v>0.5</v>
      </c>
      <c r="AZ39" s="10"/>
      <c r="BA39" s="10">
        <v>0.5</v>
      </c>
      <c r="BE39" s="10"/>
      <c r="BF39" s="10">
        <v>0.5</v>
      </c>
      <c r="BG39" s="10"/>
      <c r="BH39" s="10">
        <v>0.5</v>
      </c>
      <c r="BL39" s="10"/>
      <c r="BM39" s="10">
        <v>0.8</v>
      </c>
      <c r="BN39" s="10"/>
      <c r="BO39" s="10">
        <v>0.8</v>
      </c>
      <c r="BS39" s="10"/>
      <c r="BT39" s="10">
        <v>0.8</v>
      </c>
      <c r="BU39" s="10"/>
      <c r="BV39" s="10">
        <v>0.8</v>
      </c>
      <c r="BZ39" s="10"/>
      <c r="CA39" s="10">
        <v>1</v>
      </c>
      <c r="CB39" s="10"/>
      <c r="CC39" s="10">
        <v>1</v>
      </c>
      <c r="CG39" s="10"/>
      <c r="CH39" s="10">
        <v>1</v>
      </c>
      <c r="CI39" s="10"/>
      <c r="CJ39" s="10">
        <v>1</v>
      </c>
      <c r="CN39" s="10"/>
      <c r="CO39" s="10"/>
      <c r="CP39" s="10"/>
      <c r="CQ39" s="10"/>
      <c r="CU39" s="10"/>
      <c r="CV39" s="10"/>
      <c r="CW39" s="10"/>
      <c r="CX39" s="10"/>
      <c r="DB39" s="10"/>
      <c r="DC39" s="10"/>
      <c r="DD39" s="10"/>
      <c r="DE39" s="10"/>
    </row>
    <row r="40" spans="2:109" outlineLevel="1" x14ac:dyDescent="0.2">
      <c r="B40" t="s">
        <v>29</v>
      </c>
      <c r="E40" s="9"/>
      <c r="F40" t="s">
        <v>125</v>
      </c>
      <c r="G40" s="10">
        <v>0.1</v>
      </c>
      <c r="I40" s="9">
        <f t="shared" si="3"/>
        <v>0</v>
      </c>
      <c r="J40" s="11" cm="1">
        <f t="array" ref="J40">MAX(IF($N$3:$EH$3=$J$3,N40:EH40))</f>
        <v>0</v>
      </c>
      <c r="K40" s="11" cm="1">
        <f t="array" ref="K40">MAX(IF($N$3:$EH$3=$J$3,N40:EH40))</f>
        <v>0</v>
      </c>
      <c r="L40" s="9"/>
      <c r="O40" s="10"/>
      <c r="P40" s="10">
        <v>0.1</v>
      </c>
      <c r="Q40" s="10"/>
      <c r="R40" s="10">
        <v>0.1</v>
      </c>
      <c r="V40" s="10"/>
      <c r="W40" s="10">
        <v>0.1</v>
      </c>
      <c r="X40" s="10"/>
      <c r="Y40" s="10">
        <v>0.1</v>
      </c>
      <c r="AC40" s="10"/>
      <c r="AD40" s="10">
        <v>0.1</v>
      </c>
      <c r="AE40" s="10"/>
      <c r="AF40" s="10">
        <v>0.1</v>
      </c>
      <c r="AJ40" s="10"/>
      <c r="AK40" s="10">
        <v>0.1</v>
      </c>
      <c r="AL40" s="10"/>
      <c r="AM40" s="10">
        <v>0.1</v>
      </c>
      <c r="AQ40" s="10"/>
      <c r="AR40" s="10">
        <v>0.1</v>
      </c>
      <c r="AS40" s="10"/>
      <c r="AT40" s="10">
        <v>0.1</v>
      </c>
      <c r="AX40" s="10"/>
      <c r="AY40" s="10">
        <v>0.5</v>
      </c>
      <c r="AZ40" s="10"/>
      <c r="BA40" s="10">
        <v>0.5</v>
      </c>
      <c r="BE40" s="10"/>
      <c r="BF40" s="10">
        <v>0.5</v>
      </c>
      <c r="BG40" s="10"/>
      <c r="BH40" s="10">
        <v>0.5</v>
      </c>
      <c r="BL40" s="10"/>
      <c r="BM40" s="10">
        <v>0.5</v>
      </c>
      <c r="BN40" s="10"/>
      <c r="BO40" s="10">
        <v>0.5</v>
      </c>
      <c r="BS40" s="10"/>
      <c r="BT40" s="10">
        <v>0.8</v>
      </c>
      <c r="BU40" s="10"/>
      <c r="BV40" s="10">
        <v>0.8</v>
      </c>
      <c r="BZ40" s="10"/>
      <c r="CA40" s="10">
        <v>1</v>
      </c>
      <c r="CB40" s="10"/>
      <c r="CC40" s="10">
        <v>1</v>
      </c>
      <c r="CG40" s="10"/>
      <c r="CH40" s="10">
        <v>1</v>
      </c>
      <c r="CI40" s="10"/>
      <c r="CJ40" s="10">
        <v>1</v>
      </c>
      <c r="CN40" s="10"/>
      <c r="CO40" s="10"/>
      <c r="CP40" s="10"/>
      <c r="CQ40" s="10"/>
      <c r="CU40" s="10"/>
      <c r="CV40" s="10"/>
      <c r="CW40" s="10"/>
      <c r="CX40" s="10"/>
      <c r="DB40" s="10"/>
      <c r="DC40" s="10"/>
      <c r="DD40" s="10"/>
      <c r="DE40" s="10"/>
    </row>
    <row r="41" spans="2:109" outlineLevel="1" x14ac:dyDescent="0.2">
      <c r="B41" t="s">
        <v>29</v>
      </c>
      <c r="E41" s="9"/>
      <c r="F41" t="s">
        <v>126</v>
      </c>
      <c r="G41" s="10">
        <v>0.1</v>
      </c>
      <c r="I41" s="9">
        <f t="shared" si="3"/>
        <v>0</v>
      </c>
      <c r="J41" s="11" cm="1">
        <f t="array" ref="J41">MAX(IF($N$3:$EH$3=$J$3,N41:EH41))</f>
        <v>0</v>
      </c>
      <c r="K41" s="11" cm="1">
        <f t="array" ref="K41">MAX(IF($N$3:$EH$3=$J$3,N41:EH41))</f>
        <v>0</v>
      </c>
      <c r="L41" s="9"/>
      <c r="O41" s="10"/>
      <c r="P41" s="10">
        <v>0.1</v>
      </c>
      <c r="Q41" s="10"/>
      <c r="R41" s="10">
        <v>0.1</v>
      </c>
      <c r="V41" s="10"/>
      <c r="W41" s="10">
        <v>0.1</v>
      </c>
      <c r="X41" s="10"/>
      <c r="Y41" s="10">
        <v>0.1</v>
      </c>
      <c r="AC41" s="10"/>
      <c r="AD41" s="10">
        <v>0.1</v>
      </c>
      <c r="AE41" s="10"/>
      <c r="AF41" s="10">
        <v>0.1</v>
      </c>
      <c r="AJ41" s="10"/>
      <c r="AK41" s="10">
        <v>0.1</v>
      </c>
      <c r="AL41" s="10"/>
      <c r="AM41" s="10">
        <v>0.1</v>
      </c>
      <c r="AQ41" s="10"/>
      <c r="AR41" s="10">
        <v>0.1</v>
      </c>
      <c r="AS41" s="10"/>
      <c r="AT41" s="10">
        <v>0.1</v>
      </c>
      <c r="AX41" s="10"/>
      <c r="AY41" s="10">
        <v>0.5</v>
      </c>
      <c r="AZ41" s="10"/>
      <c r="BA41" s="10">
        <v>0.5</v>
      </c>
      <c r="BE41" s="10"/>
      <c r="BF41" s="10">
        <v>0.5</v>
      </c>
      <c r="BG41" s="10"/>
      <c r="BH41" s="10">
        <v>0.5</v>
      </c>
      <c r="BL41" s="10"/>
      <c r="BM41" s="10">
        <v>0.5</v>
      </c>
      <c r="BN41" s="10"/>
      <c r="BO41" s="10">
        <v>0.5</v>
      </c>
      <c r="BS41" s="10"/>
      <c r="BT41" s="10">
        <v>0.8</v>
      </c>
      <c r="BU41" s="10"/>
      <c r="BV41" s="10">
        <v>0.8</v>
      </c>
      <c r="BZ41" s="10"/>
      <c r="CA41" s="10">
        <v>0.8</v>
      </c>
      <c r="CB41" s="10"/>
      <c r="CC41" s="10">
        <v>0.8</v>
      </c>
      <c r="CG41" s="10"/>
      <c r="CH41" s="10">
        <v>1</v>
      </c>
      <c r="CI41" s="10"/>
      <c r="CJ41" s="10">
        <v>1</v>
      </c>
      <c r="CN41" s="10"/>
      <c r="CO41" s="10"/>
      <c r="CP41" s="10"/>
      <c r="CQ41" s="10"/>
      <c r="CU41" s="10"/>
      <c r="CV41" s="10"/>
      <c r="CW41" s="10"/>
      <c r="CX41" s="10"/>
      <c r="DB41" s="10"/>
      <c r="DC41" s="10"/>
      <c r="DD41" s="10"/>
      <c r="DE41" s="10"/>
    </row>
    <row r="42" spans="2:109" outlineLevel="1" x14ac:dyDescent="0.2">
      <c r="B42" t="s">
        <v>29</v>
      </c>
      <c r="E42" s="9"/>
      <c r="F42" t="s">
        <v>127</v>
      </c>
      <c r="G42" s="10">
        <v>0.05</v>
      </c>
      <c r="I42" s="9">
        <f t="shared" si="3"/>
        <v>0</v>
      </c>
      <c r="J42" s="11" cm="1">
        <f t="array" ref="J42">MAX(IF($N$3:$EH$3=$J$3,N42:EH42))</f>
        <v>0</v>
      </c>
      <c r="K42" s="11" cm="1">
        <f t="array" ref="K42">MAX(IF($N$3:$EH$3=$J$3,N42:EH42))</f>
        <v>0</v>
      </c>
      <c r="L42" s="9"/>
      <c r="O42" s="10"/>
      <c r="P42" s="10">
        <v>0.1</v>
      </c>
      <c r="Q42" s="10"/>
      <c r="R42" s="10">
        <v>0.1</v>
      </c>
      <c r="V42" s="10"/>
      <c r="W42" s="10">
        <v>0.1</v>
      </c>
      <c r="X42" s="10"/>
      <c r="Y42" s="10">
        <v>0.1</v>
      </c>
      <c r="AC42" s="10"/>
      <c r="AD42" s="10">
        <v>0.1</v>
      </c>
      <c r="AE42" s="10"/>
      <c r="AF42" s="10">
        <v>0.1</v>
      </c>
      <c r="AJ42" s="10"/>
      <c r="AK42" s="10">
        <v>0.1</v>
      </c>
      <c r="AL42" s="10"/>
      <c r="AM42" s="10">
        <v>0.1</v>
      </c>
      <c r="AQ42" s="10"/>
      <c r="AR42" s="10">
        <v>0.1</v>
      </c>
      <c r="AS42" s="10"/>
      <c r="AT42" s="10">
        <v>0.1</v>
      </c>
      <c r="AX42" s="10"/>
      <c r="AY42" s="10">
        <v>0.1</v>
      </c>
      <c r="AZ42" s="10"/>
      <c r="BA42" s="10">
        <v>0.1</v>
      </c>
      <c r="BE42" s="10"/>
      <c r="BF42" s="10">
        <v>0.1</v>
      </c>
      <c r="BG42" s="10"/>
      <c r="BH42" s="10">
        <v>0.1</v>
      </c>
      <c r="BL42" s="10"/>
      <c r="BM42" s="10">
        <v>0.5</v>
      </c>
      <c r="BN42" s="10"/>
      <c r="BO42" s="10">
        <v>0.5</v>
      </c>
      <c r="BS42" s="10"/>
      <c r="BT42" s="10">
        <v>0.8</v>
      </c>
      <c r="BU42" s="10"/>
      <c r="BV42" s="10">
        <v>0.8</v>
      </c>
      <c r="BZ42" s="10"/>
      <c r="CA42" s="10">
        <v>0.8</v>
      </c>
      <c r="CB42" s="10"/>
      <c r="CC42" s="10">
        <v>0.8</v>
      </c>
      <c r="CG42" s="10"/>
      <c r="CH42" s="10">
        <v>1</v>
      </c>
      <c r="CI42" s="10"/>
      <c r="CJ42" s="10">
        <v>1</v>
      </c>
      <c r="CN42" s="10"/>
      <c r="CO42" s="10"/>
      <c r="CP42" s="10"/>
      <c r="CQ42" s="10"/>
      <c r="CU42" s="10"/>
      <c r="CV42" s="10"/>
      <c r="CW42" s="10"/>
      <c r="CX42" s="10"/>
      <c r="DB42" s="10"/>
      <c r="DC42" s="10"/>
      <c r="DD42" s="10"/>
      <c r="DE42" s="10"/>
    </row>
    <row r="43" spans="2:109" outlineLevel="1" x14ac:dyDescent="0.2">
      <c r="B43" t="s">
        <v>29</v>
      </c>
      <c r="E43" s="9"/>
      <c r="F43" t="s">
        <v>118</v>
      </c>
      <c r="G43" s="10">
        <v>0.05</v>
      </c>
      <c r="I43" s="9">
        <f t="shared" si="3"/>
        <v>0</v>
      </c>
      <c r="J43" s="11" cm="1">
        <f t="array" ref="J43">MAX(IF($N$3:$EH$3=$J$3,N43:EH43))</f>
        <v>0</v>
      </c>
      <c r="K43" s="11" cm="1">
        <f t="array" ref="K43">MAX(IF($N$3:$EH$3=$J$3,N43:EH43))</f>
        <v>0</v>
      </c>
      <c r="L43" s="9"/>
      <c r="O43" s="10"/>
      <c r="P43" s="10">
        <v>0.1</v>
      </c>
      <c r="Q43" s="10"/>
      <c r="R43" s="10">
        <v>0.1</v>
      </c>
      <c r="V43" s="10"/>
      <c r="W43" s="10">
        <v>0.1</v>
      </c>
      <c r="X43" s="10"/>
      <c r="Y43" s="10">
        <v>0.1</v>
      </c>
      <c r="AC43" s="10"/>
      <c r="AD43" s="10">
        <v>0.1</v>
      </c>
      <c r="AE43" s="10"/>
      <c r="AF43" s="10">
        <v>0.1</v>
      </c>
      <c r="AJ43" s="10"/>
      <c r="AK43" s="10">
        <v>0.1</v>
      </c>
      <c r="AL43" s="10"/>
      <c r="AM43" s="10">
        <v>0.1</v>
      </c>
      <c r="AQ43" s="10"/>
      <c r="AR43" s="10">
        <v>0.1</v>
      </c>
      <c r="AS43" s="10"/>
      <c r="AT43" s="10">
        <v>0.1</v>
      </c>
      <c r="AX43" s="10"/>
      <c r="AY43" s="10">
        <v>0.1</v>
      </c>
      <c r="AZ43" s="10"/>
      <c r="BA43" s="10">
        <v>0.1</v>
      </c>
      <c r="BE43" s="10"/>
      <c r="BF43" s="10">
        <v>0.1</v>
      </c>
      <c r="BG43" s="10"/>
      <c r="BH43" s="10">
        <v>0.1</v>
      </c>
      <c r="BL43" s="10"/>
      <c r="BM43" s="10">
        <v>0.1</v>
      </c>
      <c r="BN43" s="10"/>
      <c r="BO43" s="10">
        <v>0.1</v>
      </c>
      <c r="BS43" s="10"/>
      <c r="BT43" s="10">
        <v>0.5</v>
      </c>
      <c r="BU43" s="10"/>
      <c r="BV43" s="10">
        <v>0.5</v>
      </c>
      <c r="BZ43" s="10"/>
      <c r="CA43" s="10">
        <v>0.8</v>
      </c>
      <c r="CB43" s="10"/>
      <c r="CC43" s="10">
        <v>0.8</v>
      </c>
      <c r="CG43" s="10"/>
      <c r="CH43" s="10">
        <v>1</v>
      </c>
      <c r="CI43" s="10"/>
      <c r="CJ43" s="10">
        <v>1</v>
      </c>
      <c r="CN43" s="10"/>
      <c r="CO43" s="10"/>
      <c r="CP43" s="10"/>
      <c r="CQ43" s="10"/>
      <c r="CU43" s="10"/>
      <c r="CV43" s="10"/>
      <c r="CW43" s="10"/>
      <c r="CX43" s="10"/>
      <c r="DB43" s="10"/>
      <c r="DC43" s="10"/>
      <c r="DD43" s="10"/>
      <c r="DE43" s="10"/>
    </row>
    <row r="45" spans="2:109" x14ac:dyDescent="0.2">
      <c r="B45" t="s">
        <v>28</v>
      </c>
      <c r="C45" s="22" t="s">
        <v>128</v>
      </c>
      <c r="D45" s="19">
        <v>46044</v>
      </c>
      <c r="E45" s="9" t="s">
        <v>150</v>
      </c>
      <c r="G45" s="10">
        <f>+SUM(G46:G53)</f>
        <v>1</v>
      </c>
      <c r="I45" s="12">
        <f>+SUM(I46:I53)</f>
        <v>0</v>
      </c>
      <c r="J45" s="11">
        <f>+SUMPRODUCT(G46:G53,J46:J53)</f>
        <v>0</v>
      </c>
      <c r="K45" s="11">
        <f>+SUMPRODUCT(G46:G53,K46:K53)</f>
        <v>0</v>
      </c>
      <c r="L45" s="9"/>
      <c r="N45" s="12">
        <f>+SUM(N46:N53)</f>
        <v>0</v>
      </c>
      <c r="U45" s="12">
        <f>+SUM(U46:U53)</f>
        <v>0</v>
      </c>
      <c r="AB45" s="12">
        <f>+SUM(AB46:AB53)</f>
        <v>0</v>
      </c>
      <c r="AI45" s="12">
        <f>+SUM(AI46:AI53)</f>
        <v>0</v>
      </c>
      <c r="AP45" s="12">
        <f>+SUM(AP46:AP53)</f>
        <v>0</v>
      </c>
    </row>
    <row r="46" spans="2:109" outlineLevel="1" x14ac:dyDescent="0.2">
      <c r="B46" t="s">
        <v>29</v>
      </c>
      <c r="C46" t="s">
        <v>131</v>
      </c>
      <c r="E46" s="9"/>
      <c r="F46" t="s">
        <v>129</v>
      </c>
      <c r="G46" s="10">
        <v>0.1</v>
      </c>
      <c r="I46" s="9">
        <f t="shared" si="3"/>
        <v>0</v>
      </c>
      <c r="J46" s="11" cm="1">
        <f t="array" ref="J46">MAX(IF($N$3:$EH$3=$J$3,N46:EH46))</f>
        <v>0</v>
      </c>
      <c r="K46" s="11" cm="1">
        <f t="array" ref="K46">MAX(IF($N$3:$EH$3=$J$3,N46:EH46))</f>
        <v>0</v>
      </c>
      <c r="L46" s="9"/>
      <c r="O46" s="10"/>
      <c r="P46" s="10">
        <v>0.5</v>
      </c>
      <c r="Q46" s="10"/>
      <c r="R46" s="10">
        <v>0.5</v>
      </c>
      <c r="V46" s="10"/>
      <c r="W46" s="10">
        <v>0.5</v>
      </c>
      <c r="X46" s="10"/>
      <c r="Y46" s="10">
        <v>0.5</v>
      </c>
      <c r="AC46" s="10"/>
      <c r="AD46" s="10">
        <v>0.5</v>
      </c>
      <c r="AE46" s="10"/>
      <c r="AF46" s="10">
        <v>0.5</v>
      </c>
      <c r="AJ46" s="10"/>
      <c r="AK46" s="10">
        <v>0.8</v>
      </c>
      <c r="AL46" s="10"/>
      <c r="AM46" s="10">
        <v>0.8</v>
      </c>
      <c r="AQ46" s="10"/>
      <c r="AR46" s="10">
        <v>0.8</v>
      </c>
      <c r="AS46" s="10"/>
      <c r="AT46" s="10">
        <v>0.8</v>
      </c>
      <c r="AX46" s="10"/>
      <c r="AY46" s="10">
        <v>0.8</v>
      </c>
      <c r="AZ46" s="10"/>
      <c r="BA46" s="10">
        <v>0.8</v>
      </c>
      <c r="BE46" s="10"/>
      <c r="BF46" s="10">
        <v>1</v>
      </c>
      <c r="BG46" s="10"/>
      <c r="BH46" s="10">
        <v>1</v>
      </c>
      <c r="BL46" s="10"/>
      <c r="BM46" s="10">
        <v>1</v>
      </c>
      <c r="BN46" s="10"/>
      <c r="BO46" s="10">
        <v>1</v>
      </c>
      <c r="BS46" s="10"/>
      <c r="BT46" s="10">
        <v>1</v>
      </c>
      <c r="BU46" s="10"/>
      <c r="BV46" s="10">
        <v>1</v>
      </c>
      <c r="BZ46" s="10"/>
      <c r="CA46" s="10">
        <v>1</v>
      </c>
      <c r="CB46" s="10"/>
      <c r="CC46" s="10">
        <v>1</v>
      </c>
      <c r="CG46" s="10"/>
      <c r="CH46" s="10">
        <v>1</v>
      </c>
      <c r="CI46" s="10"/>
      <c r="CJ46" s="10">
        <v>1</v>
      </c>
      <c r="CN46" s="10"/>
      <c r="CO46" s="10"/>
      <c r="CP46" s="10"/>
      <c r="CQ46" s="10"/>
      <c r="CU46" s="10"/>
      <c r="CV46" s="10"/>
      <c r="CW46" s="10"/>
      <c r="CX46" s="10"/>
      <c r="DB46" s="10"/>
      <c r="DC46" s="10"/>
      <c r="DD46" s="10"/>
      <c r="DE46" s="10"/>
    </row>
    <row r="47" spans="2:109" outlineLevel="1" x14ac:dyDescent="0.2">
      <c r="B47" t="s">
        <v>29</v>
      </c>
      <c r="C47" s="23" t="s">
        <v>130</v>
      </c>
      <c r="E47" s="9"/>
      <c r="F47" t="s">
        <v>138</v>
      </c>
      <c r="G47" s="10">
        <v>0.1</v>
      </c>
      <c r="I47" s="9">
        <f t="shared" si="3"/>
        <v>0</v>
      </c>
      <c r="J47" s="11" cm="1">
        <f t="array" ref="J47">MAX(IF($N$3:$EH$3=$J$3,N47:EH47))</f>
        <v>0</v>
      </c>
      <c r="K47" s="11" cm="1">
        <f t="array" ref="K47">MAX(IF($N$3:$EH$3=$J$3,N47:EH47))</f>
        <v>0</v>
      </c>
      <c r="L47" s="9"/>
      <c r="O47" s="10"/>
      <c r="P47" s="10">
        <v>0.1</v>
      </c>
      <c r="Q47" s="10"/>
      <c r="R47" s="10">
        <v>0.1</v>
      </c>
      <c r="V47" s="10"/>
      <c r="W47" s="10">
        <v>0.5</v>
      </c>
      <c r="X47" s="10"/>
      <c r="Y47" s="10">
        <v>0.5</v>
      </c>
      <c r="AC47" s="10"/>
      <c r="AD47" s="10">
        <v>0.5</v>
      </c>
      <c r="AE47" s="10"/>
      <c r="AF47" s="10">
        <v>0.5</v>
      </c>
      <c r="AJ47" s="10"/>
      <c r="AK47" s="10">
        <v>0.5</v>
      </c>
      <c r="AL47" s="10"/>
      <c r="AM47" s="10">
        <v>0.5</v>
      </c>
      <c r="AQ47" s="10"/>
      <c r="AR47" s="10">
        <v>0.8</v>
      </c>
      <c r="AS47" s="10"/>
      <c r="AT47" s="10">
        <v>1</v>
      </c>
      <c r="AX47" s="10"/>
      <c r="AY47" s="10">
        <v>0.8</v>
      </c>
      <c r="AZ47" s="10"/>
      <c r="BA47" s="10">
        <v>0.8</v>
      </c>
      <c r="BE47" s="10"/>
      <c r="BF47" s="10">
        <v>1</v>
      </c>
      <c r="BG47" s="10"/>
      <c r="BH47" s="10">
        <v>1</v>
      </c>
      <c r="BL47" s="10"/>
      <c r="BM47" s="10">
        <v>1</v>
      </c>
      <c r="BN47" s="10"/>
      <c r="BO47" s="10">
        <v>1</v>
      </c>
      <c r="BS47" s="10"/>
      <c r="BT47" s="10">
        <v>1</v>
      </c>
      <c r="BU47" s="10"/>
      <c r="BV47" s="10">
        <v>1</v>
      </c>
      <c r="BZ47" s="10"/>
      <c r="CA47" s="10">
        <v>1</v>
      </c>
      <c r="CB47" s="10"/>
      <c r="CC47" s="10">
        <v>1</v>
      </c>
      <c r="CG47" s="10"/>
      <c r="CH47" s="10">
        <v>1</v>
      </c>
      <c r="CI47" s="10"/>
      <c r="CJ47" s="10">
        <v>1</v>
      </c>
      <c r="CN47" s="10"/>
      <c r="CO47" s="10"/>
      <c r="CP47" s="10"/>
      <c r="CQ47" s="10"/>
      <c r="CU47" s="10"/>
      <c r="CV47" s="10"/>
      <c r="CW47" s="10"/>
      <c r="CX47" s="10"/>
      <c r="DB47" s="10"/>
      <c r="DC47" s="10"/>
      <c r="DD47" s="10"/>
      <c r="DE47" s="10"/>
    </row>
    <row r="48" spans="2:109" outlineLevel="1" x14ac:dyDescent="0.2">
      <c r="B48" t="s">
        <v>29</v>
      </c>
      <c r="C48" s="23" t="s">
        <v>132</v>
      </c>
      <c r="E48" s="9"/>
      <c r="F48" t="s">
        <v>139</v>
      </c>
      <c r="G48" s="10">
        <v>0.2</v>
      </c>
      <c r="I48" s="9">
        <f t="shared" si="3"/>
        <v>0</v>
      </c>
      <c r="J48" s="11" cm="1">
        <f t="array" ref="J48">MAX(IF($N$3:$EH$3=$J$3,N48:EH48))</f>
        <v>0</v>
      </c>
      <c r="K48" s="11" cm="1">
        <f t="array" ref="K48">MAX(IF($N$3:$EH$3=$J$3,N48:EH48))</f>
        <v>0</v>
      </c>
      <c r="L48" s="9"/>
      <c r="O48" s="10"/>
      <c r="P48" s="10">
        <v>0.1</v>
      </c>
      <c r="Q48" s="10"/>
      <c r="R48" s="10">
        <v>0.1</v>
      </c>
      <c r="V48" s="10"/>
      <c r="W48" s="10">
        <v>0.1</v>
      </c>
      <c r="X48" s="10"/>
      <c r="Y48" s="10">
        <v>0.1</v>
      </c>
      <c r="AC48" s="10"/>
      <c r="AD48" s="10">
        <v>0.5</v>
      </c>
      <c r="AE48" s="10"/>
      <c r="AF48" s="10">
        <v>0.5</v>
      </c>
      <c r="AJ48" s="10"/>
      <c r="AK48" s="10">
        <v>0.5</v>
      </c>
      <c r="AL48" s="10"/>
      <c r="AM48" s="10">
        <v>0.5</v>
      </c>
      <c r="AQ48" s="10"/>
      <c r="AR48" s="10">
        <v>0.5</v>
      </c>
      <c r="AS48" s="10"/>
      <c r="AT48" s="10">
        <v>0.5</v>
      </c>
      <c r="AX48" s="10"/>
      <c r="AY48" s="10">
        <v>0.8</v>
      </c>
      <c r="AZ48" s="10"/>
      <c r="BA48" s="10">
        <v>0.8</v>
      </c>
      <c r="BE48" s="10"/>
      <c r="BF48" s="10">
        <v>0.8</v>
      </c>
      <c r="BG48" s="10"/>
      <c r="BH48" s="10">
        <v>0.8</v>
      </c>
      <c r="BL48" s="10"/>
      <c r="BM48" s="10">
        <v>0.8</v>
      </c>
      <c r="BN48" s="10"/>
      <c r="BO48" s="10">
        <v>0.8</v>
      </c>
      <c r="BS48" s="10"/>
      <c r="BT48" s="10">
        <v>1</v>
      </c>
      <c r="BU48" s="10"/>
      <c r="BV48" s="10">
        <v>1</v>
      </c>
      <c r="BZ48" s="10"/>
      <c r="CA48" s="10">
        <v>1</v>
      </c>
      <c r="CB48" s="10"/>
      <c r="CC48" s="10">
        <v>1</v>
      </c>
      <c r="CG48" s="10"/>
      <c r="CH48" s="10">
        <v>1</v>
      </c>
      <c r="CI48" s="10"/>
      <c r="CJ48" s="10">
        <v>1</v>
      </c>
      <c r="CN48" s="10"/>
      <c r="CO48" s="10"/>
      <c r="CP48" s="10"/>
      <c r="CQ48" s="10"/>
      <c r="CU48" s="10"/>
      <c r="CV48" s="10"/>
      <c r="CW48" s="10"/>
      <c r="CX48" s="10"/>
      <c r="DB48" s="10"/>
      <c r="DC48" s="10"/>
      <c r="DD48" s="10"/>
      <c r="DE48" s="10"/>
    </row>
    <row r="49" spans="2:109" outlineLevel="1" x14ac:dyDescent="0.2">
      <c r="B49" t="s">
        <v>29</v>
      </c>
      <c r="C49" t="s">
        <v>133</v>
      </c>
      <c r="E49" s="9"/>
      <c r="F49" t="s">
        <v>141</v>
      </c>
      <c r="G49" s="10">
        <v>0.1</v>
      </c>
      <c r="I49" s="9">
        <f t="shared" si="3"/>
        <v>0</v>
      </c>
      <c r="J49" s="11" cm="1">
        <f t="array" ref="J49">MAX(IF($N$3:$EH$3=$J$3,N49:EH49))</f>
        <v>0</v>
      </c>
      <c r="K49" s="11" cm="1">
        <f t="array" ref="K49">MAX(IF($N$3:$EH$3=$J$3,N49:EH49))</f>
        <v>0</v>
      </c>
      <c r="L49" s="9"/>
      <c r="O49" s="10"/>
      <c r="P49" s="10">
        <v>0.1</v>
      </c>
      <c r="Q49" s="10"/>
      <c r="R49" s="10">
        <v>0.1</v>
      </c>
      <c r="V49" s="10"/>
      <c r="W49" s="10">
        <v>0.1</v>
      </c>
      <c r="X49" s="10"/>
      <c r="Y49" s="10">
        <v>0.1</v>
      </c>
      <c r="AC49" s="10"/>
      <c r="AD49" s="10">
        <v>0.1</v>
      </c>
      <c r="AE49" s="10"/>
      <c r="AF49" s="10">
        <v>0.1</v>
      </c>
      <c r="AJ49" s="10"/>
      <c r="AK49" s="10">
        <v>0.5</v>
      </c>
      <c r="AL49" s="10"/>
      <c r="AM49" s="10">
        <v>0.5</v>
      </c>
      <c r="AQ49" s="10"/>
      <c r="AR49" s="10">
        <v>0.5</v>
      </c>
      <c r="AS49" s="10"/>
      <c r="AT49" s="10">
        <v>0.5</v>
      </c>
      <c r="AX49" s="10"/>
      <c r="AY49" s="10">
        <v>0.8</v>
      </c>
      <c r="AZ49" s="10"/>
      <c r="BA49" s="10">
        <v>0.8</v>
      </c>
      <c r="BE49" s="10"/>
      <c r="BF49" s="10">
        <v>0.8</v>
      </c>
      <c r="BG49" s="10"/>
      <c r="BH49" s="10">
        <v>0.8</v>
      </c>
      <c r="BL49" s="10"/>
      <c r="BM49" s="10">
        <v>0.8</v>
      </c>
      <c r="BN49" s="10"/>
      <c r="BO49" s="10">
        <v>0.8</v>
      </c>
      <c r="BS49" s="10"/>
      <c r="BT49" s="10">
        <v>1</v>
      </c>
      <c r="BU49" s="10"/>
      <c r="BV49" s="10">
        <v>1</v>
      </c>
      <c r="BZ49" s="10"/>
      <c r="CA49" s="10">
        <v>1</v>
      </c>
      <c r="CB49" s="10"/>
      <c r="CC49" s="10">
        <v>1</v>
      </c>
      <c r="CG49" s="10"/>
      <c r="CH49" s="10">
        <v>1</v>
      </c>
      <c r="CI49" s="10"/>
      <c r="CJ49" s="10">
        <v>1</v>
      </c>
      <c r="CN49" s="10"/>
      <c r="CO49" s="10"/>
      <c r="CP49" s="10"/>
      <c r="CQ49" s="10"/>
      <c r="CU49" s="10"/>
      <c r="CV49" s="10"/>
      <c r="CW49" s="10"/>
      <c r="CX49" s="10"/>
      <c r="DB49" s="10"/>
      <c r="DC49" s="10"/>
      <c r="DD49" s="10"/>
      <c r="DE49" s="10"/>
    </row>
    <row r="50" spans="2:109" outlineLevel="1" x14ac:dyDescent="0.2">
      <c r="B50" t="s">
        <v>29</v>
      </c>
      <c r="C50" t="s">
        <v>134</v>
      </c>
      <c r="E50" s="9"/>
      <c r="F50" t="s">
        <v>140</v>
      </c>
      <c r="G50" s="10">
        <v>0.1</v>
      </c>
      <c r="I50" s="9">
        <f t="shared" si="3"/>
        <v>0</v>
      </c>
      <c r="J50" s="11" cm="1">
        <f t="array" ref="J50">MAX(IF($N$3:$EH$3=$J$3,N50:EH50))</f>
        <v>0</v>
      </c>
      <c r="K50" s="11" cm="1">
        <f t="array" ref="K50">MAX(IF($N$3:$EH$3=$J$3,N50:EH50))</f>
        <v>0</v>
      </c>
      <c r="L50" s="9"/>
      <c r="O50" s="10"/>
      <c r="P50" s="10">
        <v>0.1</v>
      </c>
      <c r="Q50" s="10"/>
      <c r="R50" s="10">
        <v>0.1</v>
      </c>
      <c r="V50" s="10"/>
      <c r="W50" s="10">
        <v>0.1</v>
      </c>
      <c r="X50" s="10"/>
      <c r="Y50" s="10">
        <v>0.1</v>
      </c>
      <c r="AC50" s="10"/>
      <c r="AD50" s="10">
        <v>0.1</v>
      </c>
      <c r="AE50" s="10"/>
      <c r="AF50" s="10">
        <v>0.1</v>
      </c>
      <c r="AJ50" s="10"/>
      <c r="AK50" s="10">
        <v>0.1</v>
      </c>
      <c r="AL50" s="10"/>
      <c r="AM50" s="10">
        <v>0.1</v>
      </c>
      <c r="AQ50" s="10"/>
      <c r="AR50" s="10">
        <v>0.5</v>
      </c>
      <c r="AS50" s="10"/>
      <c r="AT50" s="10">
        <v>0.5</v>
      </c>
      <c r="AX50" s="10"/>
      <c r="AY50" s="10">
        <v>0.5</v>
      </c>
      <c r="AZ50" s="10"/>
      <c r="BA50" s="10">
        <v>0.5</v>
      </c>
      <c r="BE50" s="10"/>
      <c r="BF50" s="10">
        <v>0.5</v>
      </c>
      <c r="BG50" s="10"/>
      <c r="BH50" s="10">
        <v>0.5</v>
      </c>
      <c r="BL50" s="10"/>
      <c r="BM50" s="10">
        <v>0.8</v>
      </c>
      <c r="BN50" s="10"/>
      <c r="BO50" s="10">
        <v>0.8</v>
      </c>
      <c r="BS50" s="10"/>
      <c r="BT50" s="10">
        <v>1</v>
      </c>
      <c r="BU50" s="10"/>
      <c r="BV50" s="10">
        <v>1</v>
      </c>
      <c r="BZ50" s="10"/>
      <c r="CA50" s="10">
        <v>1</v>
      </c>
      <c r="CB50" s="10"/>
      <c r="CC50" s="10">
        <v>1</v>
      </c>
      <c r="CG50" s="10"/>
      <c r="CH50" s="10">
        <v>1</v>
      </c>
      <c r="CI50" s="10"/>
      <c r="CJ50" s="10">
        <v>1</v>
      </c>
      <c r="CN50" s="10"/>
      <c r="CO50" s="10"/>
      <c r="CP50" s="10"/>
      <c r="CQ50" s="10"/>
      <c r="CU50" s="10"/>
      <c r="CV50" s="10"/>
      <c r="CW50" s="10"/>
      <c r="CX50" s="10"/>
      <c r="DB50" s="10"/>
      <c r="DC50" s="10"/>
      <c r="DD50" s="10"/>
      <c r="DE50" s="10"/>
    </row>
    <row r="51" spans="2:109" outlineLevel="1" x14ac:dyDescent="0.2">
      <c r="B51" t="s">
        <v>29</v>
      </c>
      <c r="C51" t="s">
        <v>135</v>
      </c>
      <c r="E51" s="9"/>
      <c r="F51" t="s">
        <v>142</v>
      </c>
      <c r="G51" s="10">
        <v>0.15</v>
      </c>
      <c r="I51" s="9">
        <f t="shared" si="3"/>
        <v>0</v>
      </c>
      <c r="J51" s="11" cm="1">
        <f t="array" ref="J51">MAX(IF($N$3:$EH$3=$J$3,N51:EH51))</f>
        <v>0</v>
      </c>
      <c r="K51" s="11" cm="1">
        <f t="array" ref="K51">MAX(IF($N$3:$EH$3=$J$3,N51:EH51))</f>
        <v>0</v>
      </c>
      <c r="L51" s="9"/>
      <c r="O51" s="10"/>
      <c r="P51" s="10">
        <v>0.1</v>
      </c>
      <c r="Q51" s="10"/>
      <c r="R51" s="10">
        <v>0.1</v>
      </c>
      <c r="V51" s="10"/>
      <c r="W51" s="10">
        <v>0.1</v>
      </c>
      <c r="X51" s="10"/>
      <c r="Y51" s="10">
        <v>0.1</v>
      </c>
      <c r="AC51" s="10"/>
      <c r="AD51" s="10">
        <v>0.1</v>
      </c>
      <c r="AE51" s="10"/>
      <c r="AF51" s="10">
        <v>0.1</v>
      </c>
      <c r="AJ51" s="10"/>
      <c r="AK51" s="10">
        <v>0.1</v>
      </c>
      <c r="AL51" s="10"/>
      <c r="AM51" s="10">
        <v>0.1</v>
      </c>
      <c r="AQ51" s="10"/>
      <c r="AR51" s="10">
        <v>0.1</v>
      </c>
      <c r="AS51" s="10"/>
      <c r="AT51" s="10">
        <v>0.1</v>
      </c>
      <c r="AX51" s="10"/>
      <c r="AY51" s="10">
        <v>0.1</v>
      </c>
      <c r="AZ51" s="10"/>
      <c r="BA51" s="10">
        <v>0.1</v>
      </c>
      <c r="BE51" s="10"/>
      <c r="BF51" s="10">
        <v>0.5</v>
      </c>
      <c r="BG51" s="10"/>
      <c r="BH51" s="10">
        <v>0.5</v>
      </c>
      <c r="BL51" s="10"/>
      <c r="BM51" s="10">
        <v>0.5</v>
      </c>
      <c r="BN51" s="10"/>
      <c r="BO51" s="10">
        <v>0.5</v>
      </c>
      <c r="BS51" s="10"/>
      <c r="BT51" s="10">
        <v>0.8</v>
      </c>
      <c r="BU51" s="10"/>
      <c r="BV51" s="10">
        <v>0.8</v>
      </c>
      <c r="BZ51" s="10"/>
      <c r="CA51" s="10">
        <v>1</v>
      </c>
      <c r="CB51" s="10"/>
      <c r="CC51" s="10">
        <v>1</v>
      </c>
      <c r="CG51" s="10"/>
      <c r="CH51" s="10">
        <v>1</v>
      </c>
      <c r="CI51" s="10"/>
      <c r="CJ51" s="10">
        <v>1</v>
      </c>
      <c r="CN51" s="10"/>
      <c r="CO51" s="10"/>
      <c r="CP51" s="10"/>
      <c r="CQ51" s="10"/>
      <c r="CU51" s="10"/>
      <c r="CV51" s="10"/>
      <c r="CW51" s="10"/>
      <c r="CX51" s="10"/>
      <c r="DB51" s="10"/>
      <c r="DC51" s="10"/>
      <c r="DD51" s="10"/>
      <c r="DE51" s="10"/>
    </row>
    <row r="52" spans="2:109" outlineLevel="1" x14ac:dyDescent="0.2">
      <c r="B52" t="s">
        <v>29</v>
      </c>
      <c r="C52" t="s">
        <v>136</v>
      </c>
      <c r="E52" s="9"/>
      <c r="F52" t="s">
        <v>143</v>
      </c>
      <c r="G52" s="10">
        <v>0.1</v>
      </c>
      <c r="I52" s="9">
        <f t="shared" si="3"/>
        <v>0</v>
      </c>
      <c r="J52" s="11" cm="1">
        <f t="array" ref="J52">MAX(IF($N$3:$EH$3=$J$3,N52:EH52))</f>
        <v>0</v>
      </c>
      <c r="K52" s="11" cm="1">
        <f t="array" ref="K52">MAX(IF($N$3:$EH$3=$J$3,N52:EH52))</f>
        <v>0</v>
      </c>
      <c r="L52" s="9"/>
      <c r="O52" s="10"/>
      <c r="P52" s="10">
        <v>0.1</v>
      </c>
      <c r="Q52" s="10"/>
      <c r="R52" s="10">
        <v>0.1</v>
      </c>
      <c r="V52" s="10"/>
      <c r="W52" s="10">
        <v>0.1</v>
      </c>
      <c r="X52" s="10"/>
      <c r="Y52" s="10">
        <v>0.1</v>
      </c>
      <c r="AC52" s="10"/>
      <c r="AD52" s="10">
        <v>0.1</v>
      </c>
      <c r="AE52" s="10"/>
      <c r="AF52" s="10">
        <v>0.1</v>
      </c>
      <c r="AJ52" s="10"/>
      <c r="AK52" s="10">
        <v>0.1</v>
      </c>
      <c r="AL52" s="10"/>
      <c r="AM52" s="10">
        <v>0.1</v>
      </c>
      <c r="AQ52" s="10"/>
      <c r="AR52" s="10">
        <v>0.1</v>
      </c>
      <c r="AS52" s="10"/>
      <c r="AT52" s="10">
        <v>0.1</v>
      </c>
      <c r="AX52" s="10"/>
      <c r="AY52" s="10">
        <v>0.1</v>
      </c>
      <c r="AZ52" s="10"/>
      <c r="BA52" s="10">
        <v>0.1</v>
      </c>
      <c r="BE52" s="10"/>
      <c r="BF52" s="10">
        <v>0.5</v>
      </c>
      <c r="BG52" s="10"/>
      <c r="BH52" s="10">
        <v>0.5</v>
      </c>
      <c r="BL52" s="10"/>
      <c r="BM52" s="10">
        <v>0.5</v>
      </c>
      <c r="BN52" s="10"/>
      <c r="BO52" s="10">
        <v>0.5</v>
      </c>
      <c r="BS52" s="10"/>
      <c r="BT52" s="10">
        <v>0.8</v>
      </c>
      <c r="BU52" s="10"/>
      <c r="BV52" s="10">
        <v>0.8</v>
      </c>
      <c r="BZ52" s="10"/>
      <c r="CA52" s="10">
        <v>0.8</v>
      </c>
      <c r="CB52" s="10"/>
      <c r="CC52" s="10">
        <v>0.8</v>
      </c>
      <c r="CG52" s="10"/>
      <c r="CH52" s="10">
        <v>1</v>
      </c>
      <c r="CI52" s="10"/>
      <c r="CJ52" s="10">
        <v>1</v>
      </c>
      <c r="CN52" s="10"/>
      <c r="CO52" s="10"/>
      <c r="CP52" s="10"/>
      <c r="CQ52" s="10"/>
      <c r="CU52" s="10"/>
      <c r="CV52" s="10"/>
      <c r="CW52" s="10"/>
      <c r="CX52" s="10"/>
      <c r="DB52" s="10"/>
      <c r="DC52" s="10"/>
      <c r="DD52" s="10"/>
      <c r="DE52" s="10"/>
    </row>
    <row r="53" spans="2:109" outlineLevel="1" x14ac:dyDescent="0.2">
      <c r="B53" t="s">
        <v>29</v>
      </c>
      <c r="C53" t="s">
        <v>137</v>
      </c>
      <c r="E53" s="9"/>
      <c r="F53" t="s">
        <v>144</v>
      </c>
      <c r="G53" s="10">
        <v>0.15</v>
      </c>
      <c r="I53" s="9">
        <f t="shared" si="3"/>
        <v>0</v>
      </c>
      <c r="J53" s="11" cm="1">
        <f t="array" ref="J53">MAX(IF($N$3:$EH$3=$J$3,N53:EH53))</f>
        <v>0</v>
      </c>
      <c r="K53" s="11" cm="1">
        <f t="array" ref="K53">MAX(IF($N$3:$EH$3=$J$3,N53:EH53))</f>
        <v>0</v>
      </c>
      <c r="L53" s="9"/>
      <c r="O53" s="10"/>
      <c r="P53" s="10">
        <v>0.1</v>
      </c>
      <c r="Q53" s="10"/>
      <c r="R53" s="10">
        <v>0.1</v>
      </c>
      <c r="V53" s="10"/>
      <c r="W53" s="10">
        <v>0.1</v>
      </c>
      <c r="X53" s="10"/>
      <c r="Y53" s="10">
        <v>0.1</v>
      </c>
      <c r="AC53" s="10"/>
      <c r="AD53" s="10">
        <v>0.1</v>
      </c>
      <c r="AE53" s="10"/>
      <c r="AF53" s="10">
        <v>0.1</v>
      </c>
      <c r="AJ53" s="10"/>
      <c r="AK53" s="10">
        <v>0.1</v>
      </c>
      <c r="AL53" s="10"/>
      <c r="AM53" s="10">
        <v>0.1</v>
      </c>
      <c r="AQ53" s="10"/>
      <c r="AR53" s="10">
        <v>0.1</v>
      </c>
      <c r="AS53" s="10"/>
      <c r="AT53" s="10">
        <v>0.1</v>
      </c>
      <c r="AX53" s="10"/>
      <c r="AY53" s="10">
        <v>0.1</v>
      </c>
      <c r="AZ53" s="10"/>
      <c r="BA53" s="10">
        <v>0.1</v>
      </c>
      <c r="BE53" s="10"/>
      <c r="BF53" s="10">
        <v>0.1</v>
      </c>
      <c r="BG53" s="10"/>
      <c r="BH53" s="10">
        <v>0.1</v>
      </c>
      <c r="BL53" s="10"/>
      <c r="BM53" s="10">
        <v>0.1</v>
      </c>
      <c r="BN53" s="10"/>
      <c r="BO53" s="10">
        <v>0.1</v>
      </c>
      <c r="BS53" s="10"/>
      <c r="BT53" s="10">
        <v>0.5</v>
      </c>
      <c r="BU53" s="10"/>
      <c r="BV53" s="10">
        <v>0.5</v>
      </c>
      <c r="BZ53" s="10"/>
      <c r="CA53" s="10">
        <v>0.8</v>
      </c>
      <c r="CB53" s="10"/>
      <c r="CC53" s="10">
        <v>0.8</v>
      </c>
      <c r="CG53" s="10"/>
      <c r="CH53" s="10">
        <v>1</v>
      </c>
      <c r="CI53" s="10"/>
      <c r="CJ53" s="10">
        <v>1</v>
      </c>
      <c r="CN53" s="10"/>
      <c r="CO53" s="10"/>
      <c r="CP53" s="10"/>
      <c r="CQ53" s="10"/>
      <c r="CU53" s="10"/>
      <c r="CV53" s="10"/>
      <c r="CW53" s="10"/>
      <c r="CX53" s="10"/>
      <c r="DB53" s="10"/>
      <c r="DC53" s="10"/>
      <c r="DD53" s="10"/>
      <c r="DE53" s="10"/>
    </row>
    <row r="55" spans="2:109" x14ac:dyDescent="0.2">
      <c r="B55" t="s">
        <v>28</v>
      </c>
      <c r="C55" t="s">
        <v>145</v>
      </c>
      <c r="D55" s="19">
        <v>45666</v>
      </c>
      <c r="E55" s="9">
        <v>6</v>
      </c>
      <c r="G55" s="10">
        <f>+SUM(G56:G59)</f>
        <v>0.25</v>
      </c>
      <c r="I55" s="12"/>
      <c r="J55" s="11"/>
      <c r="K55" s="11"/>
      <c r="L55" s="9"/>
      <c r="N55" s="12"/>
      <c r="U55" s="12">
        <f>+SUM(U56:U59)</f>
        <v>0</v>
      </c>
      <c r="AB55" s="12">
        <f>+SUM(AB56:AB59)</f>
        <v>0</v>
      </c>
      <c r="AI55" s="12">
        <f>+SUM(AI56:AI59)</f>
        <v>0</v>
      </c>
      <c r="AP55" s="12">
        <f>+SUM(AP56:AP59)</f>
        <v>0</v>
      </c>
      <c r="AW55" s="12">
        <f>+SUM(AW56:AW59)</f>
        <v>0</v>
      </c>
      <c r="BD55" s="12">
        <f>+SUM(BD56:BD59)</f>
        <v>0</v>
      </c>
      <c r="BK55" s="12">
        <f>+SUM(BK56:BK59)</f>
        <v>0</v>
      </c>
      <c r="BR55" s="12">
        <f>+SUM(BR56:BR59)</f>
        <v>0</v>
      </c>
      <c r="BY55" s="12">
        <f>+SUM(BY56:BY59)</f>
        <v>0</v>
      </c>
      <c r="CF55" s="12">
        <f>+SUM(CF56:CF59)</f>
        <v>0</v>
      </c>
      <c r="CM55" s="12">
        <f>+SUM(CM56:CM59)</f>
        <v>0</v>
      </c>
      <c r="CT55" s="12">
        <f>+SUM(CT56:CT59)</f>
        <v>0</v>
      </c>
      <c r="DA55" s="12">
        <f>+SUM(DA56:DA59)</f>
        <v>0</v>
      </c>
    </row>
    <row r="56" spans="2:109" outlineLevel="1" x14ac:dyDescent="0.2">
      <c r="B56" t="s">
        <v>29</v>
      </c>
      <c r="D56" s="23">
        <v>45730</v>
      </c>
      <c r="E56" s="9"/>
      <c r="F56" t="s">
        <v>146</v>
      </c>
      <c r="G56" s="10">
        <v>0.1</v>
      </c>
      <c r="I56" s="9"/>
      <c r="J56" s="11"/>
      <c r="K56" s="11"/>
      <c r="L56" s="9"/>
      <c r="O56" s="10"/>
      <c r="P56" s="10"/>
      <c r="Q56" s="10"/>
      <c r="R56" s="10"/>
      <c r="V56" s="10"/>
      <c r="W56" s="10"/>
      <c r="X56" s="10"/>
      <c r="Y56" s="10"/>
      <c r="AC56" s="10"/>
      <c r="AD56" s="10"/>
      <c r="AE56" s="10"/>
      <c r="AF56" s="10"/>
      <c r="AJ56" s="10"/>
      <c r="AK56" s="10"/>
      <c r="AL56" s="10"/>
      <c r="AM56" s="10"/>
      <c r="AQ56" s="10"/>
      <c r="AR56" s="10"/>
      <c r="AS56" s="10"/>
      <c r="AT56" s="10"/>
      <c r="AX56" s="10"/>
      <c r="AY56" s="10"/>
      <c r="AZ56" s="10"/>
      <c r="BA56" s="10"/>
      <c r="BE56" s="10"/>
      <c r="BF56" s="10"/>
      <c r="BG56" s="10"/>
      <c r="BH56" s="10"/>
      <c r="BL56" s="10"/>
      <c r="BM56" s="10"/>
      <c r="BN56" s="10"/>
      <c r="BO56" s="10"/>
      <c r="BS56" s="10"/>
      <c r="BT56" s="10">
        <v>1</v>
      </c>
      <c r="BU56" s="10"/>
      <c r="BV56" s="10">
        <v>1</v>
      </c>
      <c r="BZ56" s="10"/>
      <c r="CA56" s="10">
        <v>1</v>
      </c>
      <c r="CB56" s="10"/>
      <c r="CC56" s="10">
        <v>1</v>
      </c>
      <c r="CG56" s="10"/>
      <c r="CH56" s="10">
        <v>1</v>
      </c>
      <c r="CI56" s="10"/>
      <c r="CJ56" s="10">
        <v>1</v>
      </c>
      <c r="CN56" s="10"/>
      <c r="CO56" s="10"/>
      <c r="CP56" s="10"/>
      <c r="CQ56" s="10"/>
      <c r="CU56" s="10"/>
      <c r="CV56" s="10"/>
      <c r="CW56" s="10"/>
      <c r="CX56" s="10"/>
      <c r="DB56" s="10"/>
      <c r="DC56" s="10"/>
      <c r="DD56" s="10"/>
      <c r="DE56" s="10"/>
    </row>
    <row r="57" spans="2:109" outlineLevel="1" x14ac:dyDescent="0.2">
      <c r="B57" t="s">
        <v>29</v>
      </c>
      <c r="D57" s="23">
        <v>45819</v>
      </c>
      <c r="E57" s="9"/>
      <c r="F57" t="s">
        <v>147</v>
      </c>
      <c r="G57" s="10">
        <v>0.05</v>
      </c>
      <c r="I57" s="9"/>
      <c r="J57" s="11"/>
      <c r="K57" s="11"/>
      <c r="L57" s="9"/>
      <c r="O57" s="10"/>
      <c r="P57" s="10"/>
      <c r="Q57" s="10"/>
      <c r="R57" s="10"/>
      <c r="V57" s="10"/>
      <c r="W57" s="10"/>
      <c r="X57" s="10"/>
      <c r="Y57" s="10"/>
      <c r="AC57" s="10"/>
      <c r="AD57" s="10"/>
      <c r="AE57" s="10"/>
      <c r="AF57" s="10"/>
      <c r="AJ57" s="10"/>
      <c r="AK57" s="10"/>
      <c r="AL57" s="10"/>
      <c r="AM57" s="10"/>
      <c r="AQ57" s="10"/>
      <c r="AR57" s="10"/>
      <c r="AS57" s="10"/>
      <c r="AT57" s="10"/>
      <c r="AX57" s="10"/>
      <c r="AY57" s="10"/>
      <c r="AZ57" s="10"/>
      <c r="BA57" s="10"/>
      <c r="BE57" s="10"/>
      <c r="BF57" s="10"/>
      <c r="BG57" s="10"/>
      <c r="BH57" s="10"/>
      <c r="BL57" s="10"/>
      <c r="BM57" s="10"/>
      <c r="BN57" s="10"/>
      <c r="BO57" s="10"/>
      <c r="BS57" s="10"/>
      <c r="BT57" s="10">
        <v>0.8</v>
      </c>
      <c r="BU57" s="10"/>
      <c r="BV57" s="10">
        <v>0.8</v>
      </c>
      <c r="BZ57" s="10"/>
      <c r="CA57" s="10">
        <v>1</v>
      </c>
      <c r="CB57" s="10"/>
      <c r="CC57" s="10">
        <v>1</v>
      </c>
      <c r="CG57" s="10"/>
      <c r="CH57" s="10">
        <v>1</v>
      </c>
      <c r="CI57" s="10"/>
      <c r="CJ57" s="10">
        <v>1</v>
      </c>
      <c r="CN57" s="10"/>
      <c r="CO57" s="10"/>
      <c r="CP57" s="10"/>
      <c r="CQ57" s="10"/>
      <c r="CU57" s="10"/>
      <c r="CV57" s="10"/>
      <c r="CW57" s="10"/>
      <c r="CX57" s="10"/>
      <c r="DB57" s="10"/>
      <c r="DC57" s="10"/>
      <c r="DD57" s="10"/>
      <c r="DE57" s="10"/>
    </row>
    <row r="58" spans="2:109" outlineLevel="1" x14ac:dyDescent="0.2">
      <c r="B58" t="s">
        <v>29</v>
      </c>
      <c r="E58" s="9"/>
      <c r="F58" t="s">
        <v>148</v>
      </c>
      <c r="G58" s="10">
        <v>0.05</v>
      </c>
      <c r="I58" s="9"/>
      <c r="J58" s="11"/>
      <c r="K58" s="11"/>
      <c r="L58" s="9"/>
      <c r="O58" s="10"/>
      <c r="P58" s="10"/>
      <c r="Q58" s="10"/>
      <c r="R58" s="10"/>
      <c r="V58" s="10"/>
      <c r="W58" s="10"/>
      <c r="X58" s="10"/>
      <c r="Y58" s="10"/>
      <c r="AC58" s="10"/>
      <c r="AD58" s="10"/>
      <c r="AE58" s="10"/>
      <c r="AF58" s="10"/>
      <c r="AJ58" s="10"/>
      <c r="AK58" s="10"/>
      <c r="AL58" s="10"/>
      <c r="AM58" s="10"/>
      <c r="AQ58" s="10"/>
      <c r="AR58" s="10"/>
      <c r="AS58" s="10"/>
      <c r="AT58" s="10"/>
      <c r="AX58" s="10"/>
      <c r="AY58" s="10"/>
      <c r="AZ58" s="10"/>
      <c r="BA58" s="10"/>
      <c r="BE58" s="10"/>
      <c r="BF58" s="10"/>
      <c r="BG58" s="10"/>
      <c r="BH58" s="10"/>
      <c r="BL58" s="10"/>
      <c r="BM58" s="10"/>
      <c r="BN58" s="10"/>
      <c r="BO58" s="10"/>
      <c r="BS58" s="10"/>
      <c r="BT58" s="10">
        <v>0.8</v>
      </c>
      <c r="BU58" s="10"/>
      <c r="BV58" s="10">
        <v>0.8</v>
      </c>
      <c r="BZ58" s="10"/>
      <c r="CA58" s="10">
        <v>1</v>
      </c>
      <c r="CB58" s="10"/>
      <c r="CC58" s="10">
        <v>1</v>
      </c>
      <c r="CG58" s="10"/>
      <c r="CH58" s="10">
        <v>1</v>
      </c>
      <c r="CI58" s="10"/>
      <c r="CJ58" s="10">
        <v>1</v>
      </c>
      <c r="CN58" s="10"/>
      <c r="CO58" s="10"/>
      <c r="CP58" s="10"/>
      <c r="CQ58" s="10"/>
      <c r="CU58" s="10"/>
      <c r="CV58" s="10"/>
      <c r="CW58" s="10"/>
      <c r="CX58" s="10"/>
      <c r="DB58" s="10"/>
      <c r="DC58" s="10"/>
      <c r="DD58" s="10"/>
      <c r="DE58" s="10"/>
    </row>
    <row r="59" spans="2:109" outlineLevel="1" x14ac:dyDescent="0.2">
      <c r="B59" t="s">
        <v>29</v>
      </c>
      <c r="E59" s="9"/>
      <c r="F59" t="s">
        <v>149</v>
      </c>
      <c r="G59" s="10">
        <v>0.05</v>
      </c>
      <c r="I59" s="9"/>
      <c r="J59" s="11"/>
      <c r="K59" s="11"/>
      <c r="L59" s="9"/>
      <c r="O59" s="10"/>
      <c r="P59" s="10"/>
      <c r="Q59" s="10"/>
      <c r="R59" s="10"/>
      <c r="V59" s="10"/>
      <c r="W59" s="10"/>
      <c r="X59" s="10"/>
      <c r="Y59" s="10"/>
      <c r="AC59" s="10"/>
      <c r="AD59" s="10"/>
      <c r="AE59" s="10"/>
      <c r="AF59" s="10"/>
      <c r="AJ59" s="10"/>
      <c r="AK59" s="10"/>
      <c r="AL59" s="10"/>
      <c r="AM59" s="10"/>
      <c r="AQ59" s="10"/>
      <c r="AR59" s="10"/>
      <c r="AS59" s="10"/>
      <c r="AT59" s="10"/>
      <c r="AX59" s="10"/>
      <c r="AY59" s="10"/>
      <c r="AZ59" s="10"/>
      <c r="BA59" s="10"/>
      <c r="BE59" s="10"/>
      <c r="BF59" s="10"/>
      <c r="BG59" s="10"/>
      <c r="BH59" s="10"/>
      <c r="BL59" s="10"/>
      <c r="BM59" s="10"/>
      <c r="BN59" s="10"/>
      <c r="BO59" s="10"/>
      <c r="BS59" s="10"/>
      <c r="BT59" s="10">
        <v>0.8</v>
      </c>
      <c r="BU59" s="10"/>
      <c r="BV59" s="10">
        <v>0.8</v>
      </c>
      <c r="BZ59" s="10"/>
      <c r="CA59" s="10">
        <v>1</v>
      </c>
      <c r="CB59" s="10"/>
      <c r="CC59" s="10">
        <v>1</v>
      </c>
      <c r="CG59" s="10"/>
      <c r="CH59" s="10">
        <v>1</v>
      </c>
      <c r="CI59" s="10"/>
      <c r="CJ59" s="10">
        <v>1</v>
      </c>
      <c r="CN59" s="10"/>
      <c r="CO59" s="10"/>
      <c r="CP59" s="10"/>
      <c r="CQ59" s="10"/>
      <c r="CU59" s="10"/>
      <c r="CV59" s="10"/>
      <c r="CW59" s="10"/>
      <c r="CX59" s="10"/>
      <c r="DB59" s="10"/>
      <c r="DC59" s="10"/>
      <c r="DD59" s="10"/>
      <c r="DE59" s="10"/>
    </row>
  </sheetData>
  <mergeCells count="15">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 ref="CM2:CR2"/>
  </mergeCells>
  <conditionalFormatting sqref="J5:J10">
    <cfRule type="colorScale" priority="622">
      <colorScale>
        <cfvo type="percent" val="0"/>
        <cfvo type="percent" val="100"/>
        <color rgb="FFFF231B"/>
        <color rgb="FF10FF07"/>
      </colorScale>
    </cfRule>
  </conditionalFormatting>
  <conditionalFormatting sqref="J14">
    <cfRule type="colorScale" priority="170">
      <colorScale>
        <cfvo type="percent" val="0"/>
        <cfvo type="percent" val="100"/>
        <color rgb="FFFF231B"/>
        <color rgb="FF10FF07"/>
      </colorScale>
    </cfRule>
  </conditionalFormatting>
  <conditionalFormatting sqref="J15">
    <cfRule type="colorScale" priority="151">
      <colorScale>
        <cfvo type="percent" val="0"/>
        <cfvo type="percent" val="100"/>
        <color rgb="FFFF231B"/>
        <color rgb="FF10FF07"/>
      </colorScale>
    </cfRule>
  </conditionalFormatting>
  <conditionalFormatting sqref="J32:J43">
    <cfRule type="colorScale" priority="715">
      <colorScale>
        <cfvo type="percent" val="0"/>
        <cfvo type="percent" val="100"/>
        <color rgb="FFFF231B"/>
        <color rgb="FF10FF07"/>
      </colorScale>
    </cfRule>
  </conditionalFormatting>
  <conditionalFormatting sqref="J6:K10">
    <cfRule type="colorScale" priority="593">
      <colorScale>
        <cfvo type="percent" val="0"/>
        <cfvo type="percent" val="100"/>
        <color rgb="FFFF231B"/>
        <color rgb="FF10FF07"/>
      </colorScale>
    </cfRule>
  </conditionalFormatting>
  <conditionalFormatting sqref="J14:K14">
    <cfRule type="colorScale" priority="171">
      <colorScale>
        <cfvo type="percent" val="0"/>
        <cfvo type="percent" val="100"/>
        <color rgb="FFFF231B"/>
        <color rgb="FF10FF07"/>
      </colorScale>
    </cfRule>
  </conditionalFormatting>
  <conditionalFormatting sqref="J15:K15">
    <cfRule type="colorScale" priority="152">
      <colorScale>
        <cfvo type="percent" val="0"/>
        <cfvo type="percent" val="100"/>
        <color rgb="FFFF231B"/>
        <color rgb="FF10FF07"/>
      </colorScale>
    </cfRule>
  </conditionalFormatting>
  <conditionalFormatting sqref="J33:K37 J39:K43">
    <cfRule type="colorScale" priority="713">
      <colorScale>
        <cfvo type="percent" val="0"/>
        <cfvo type="percent" val="100"/>
        <color rgb="FFFF231B"/>
        <color rgb="FF10FF07"/>
      </colorScale>
    </cfRule>
  </conditionalFormatting>
  <conditionalFormatting sqref="K5:K10">
    <cfRule type="colorScale" priority="623">
      <colorScale>
        <cfvo type="percent" val="0"/>
        <cfvo type="percent" val="100"/>
        <color rgb="FFFF231B"/>
        <color rgb="FF10FF07"/>
      </colorScale>
    </cfRule>
  </conditionalFormatting>
  <conditionalFormatting sqref="K14">
    <cfRule type="colorScale" priority="169">
      <colorScale>
        <cfvo type="percent" val="0"/>
        <cfvo type="percent" val="100"/>
        <color rgb="FFFF231B"/>
        <color rgb="FF10FF07"/>
      </colorScale>
    </cfRule>
  </conditionalFormatting>
  <conditionalFormatting sqref="K15">
    <cfRule type="colorScale" priority="150">
      <colorScale>
        <cfvo type="percent" val="0"/>
        <cfvo type="percent" val="100"/>
        <color rgb="FFFF231B"/>
        <color rgb="FF10FF07"/>
      </colorScale>
    </cfRule>
  </conditionalFormatting>
  <conditionalFormatting sqref="K32:K43">
    <cfRule type="colorScale" priority="717">
      <colorScale>
        <cfvo type="percent" val="0"/>
        <cfvo type="percent" val="100"/>
        <color rgb="FFFF231B"/>
        <color rgb="FF10FF07"/>
      </colorScale>
    </cfRule>
  </conditionalFormatting>
  <conditionalFormatting sqref="O5:O10 Q5:Q10 V5:V10 X5:X10 AC5:AC10 AJ5:AJ10 AL5:AL10 AQ5:AQ10 AS5:AS10 AX5:AX10 AZ5:AZ10 BE5:BE10 BG5:BG10 BL5:BL10 BN5:BN10 O13:O18 Q13:Q18 V13:V18 X13:X18 AC13:AC18 AE13:AE18 AJ13:AJ18 AL13:AL18 AQ13:AQ18 AS13:AS18 AX13:AX18 AZ13:AZ18 BE13:BE18 BG13:BG18 BL13:BL18 BN13:BN18 BS13:BS18 BZ13:BZ18 CB13:CB18 CG13:CG18 CI13:CI18 CN13:CN18 CP13:CP18 CU13:CU18 CW13:CW18 DB13:DB18 DD13:DD18 O21:O29 Q21:Q29 V21:V29 X21:X29 AC21:AC29 AE21:AE29 AJ21:AJ29 AL21:AL29 AQ21:AQ29 AS21:AS29 AX21:AX29 AZ21:AZ29 BE21:BE29 BG21:BG29 BL21:BL29 BN21:BN29 BU21:BU29 BZ21:BZ29 CB21:CB29 CI21:CI29 CN21:CN29 CP21:CP29 CU21:CU29 CW21:CW29 DB21:DB29 DD21:DD29 O46:O53 Q46:Q53 V46:V53 X46:X53 AC46:AC53 AE46:AE53 AJ46:AJ53 AL46:AL53 AQ46:AQ53 AS46:AS53 AX46:AX53 AZ46:AZ53 BE46:BE53 BG46:BG53 BL46:BL53 BN46:BN53 BS46:BS53 BU46:BU53 BZ46:BZ53 CB46:CB53 CG46:CG53 CI46:CI53 CN46:CN53 CP46:CP53 CU46:CU53 CW46:CW53 DB46:DB53 DD46:DD53 O56:O59 Q56:Q59 V56:V59 X56:X59 AC56:AC59 AE56:AE59 AJ56:AJ59 AL56:AL59 AQ56:AQ59 AS56:AS59 AX56:AX59 AZ56:AZ59 BE56:BE59 BG56:BG59 BL56:BL59 BN56:BN59 BS56:BS59 BU56:BU59 BZ56:BZ59 CB56:CB59 CG56:CG59 CI56:CI59 CN56:CN59 CP56:CP59 CU56:CU59 CW56:CW59 DB56:DB59 DD56:DD59 CG21:CG29 BS23:BS29 AE7:AE10 BU16:BU18">
    <cfRule type="expression" dxfId="93" priority="590">
      <formula>OR(IF(O5&lt;P5,TRUE),IF(AND(P5="",O5&lt;&gt;""),TRUE))</formula>
    </cfRule>
    <cfRule type="expression" dxfId="92" priority="591">
      <formula>IF(O5&gt;=P5,IF(O5="",FALSE,TRUE))</formula>
    </cfRule>
  </conditionalFormatting>
  <conditionalFormatting sqref="O32:O43">
    <cfRule type="expression" dxfId="91" priority="318">
      <formula>OR(IF(O32&lt;P32,TRUE),IF(AND(P32="",O32&lt;&gt;""),TRUE))</formula>
    </cfRule>
    <cfRule type="expression" dxfId="90" priority="319">
      <formula>IF(O32&gt;=P32,IF(O32="",FALSE,TRUE))</formula>
    </cfRule>
  </conditionalFormatting>
  <conditionalFormatting sqref="Q32:Q43">
    <cfRule type="expression" dxfId="89" priority="316">
      <formula>OR(IF(Q32&lt;R32,TRUE),IF(AND(R32="",Q32&lt;&gt;""),TRUE))</formula>
    </cfRule>
    <cfRule type="expression" dxfId="88" priority="317">
      <formula>IF(Q32&gt;=R32,IF(Q32="",FALSE,TRUE))</formula>
    </cfRule>
  </conditionalFormatting>
  <conditionalFormatting sqref="V32:V43">
    <cfRule type="expression" dxfId="87" priority="310">
      <formula>OR(IF(V32&lt;W32,TRUE),IF(AND(W32="",V32&lt;&gt;""),TRUE))</formula>
    </cfRule>
    <cfRule type="expression" dxfId="86" priority="311">
      <formula>IF(V32&gt;=W32,IF(V32="",FALSE,TRUE))</formula>
    </cfRule>
  </conditionalFormatting>
  <conditionalFormatting sqref="X32:X43">
    <cfRule type="expression" dxfId="85" priority="308">
      <formula>OR(IF(X32&lt;Y32,TRUE),IF(AND(Y32="",X32&lt;&gt;""),TRUE))</formula>
    </cfRule>
    <cfRule type="expression" dxfId="84" priority="309">
      <formula>IF(X32&gt;=Y32,IF(X32="",FALSE,TRUE))</formula>
    </cfRule>
  </conditionalFormatting>
  <conditionalFormatting sqref="AC32:AC43">
    <cfRule type="expression" dxfId="83" priority="302">
      <formula>OR(IF(AC32&lt;AD32,TRUE),IF(AND(AD32="",AC32&lt;&gt;""),TRUE))</formula>
    </cfRule>
    <cfRule type="expression" dxfId="82" priority="303">
      <formula>IF(AC32&gt;=AD32,IF(AC32="",FALSE,TRUE))</formula>
    </cfRule>
  </conditionalFormatting>
  <conditionalFormatting sqref="AE32:AE43">
    <cfRule type="expression" dxfId="81" priority="300">
      <formula>OR(IF(AE32&lt;AF32,TRUE),IF(AND(AF32="",AE32&lt;&gt;""),TRUE))</formula>
    </cfRule>
    <cfRule type="expression" dxfId="80" priority="301">
      <formula>IF(AE32&gt;=AF32,IF(AE32="",FALSE,TRUE))</formula>
    </cfRule>
  </conditionalFormatting>
  <conditionalFormatting sqref="AJ32:AJ43">
    <cfRule type="expression" dxfId="79" priority="294">
      <formula>OR(IF(AJ32&lt;AK32,TRUE),IF(AND(AK32="",AJ32&lt;&gt;""),TRUE))</formula>
    </cfRule>
    <cfRule type="expression" dxfId="78" priority="295">
      <formula>IF(AJ32&gt;=AK32,IF(AJ32="",FALSE,TRUE))</formula>
    </cfRule>
  </conditionalFormatting>
  <conditionalFormatting sqref="AL32:AL43">
    <cfRule type="expression" dxfId="77" priority="292">
      <formula>OR(IF(AL32&lt;AM32,TRUE),IF(AND(AM32="",AL32&lt;&gt;""),TRUE))</formula>
    </cfRule>
    <cfRule type="expression" dxfId="76" priority="293">
      <formula>IF(AL32&gt;=AM32,IF(AL32="",FALSE,TRUE))</formula>
    </cfRule>
  </conditionalFormatting>
  <conditionalFormatting sqref="AQ32:AQ43">
    <cfRule type="expression" dxfId="75" priority="286">
      <formula>OR(IF(AQ32&lt;AR32,TRUE),IF(AND(AR32="",AQ32&lt;&gt;""),TRUE))</formula>
    </cfRule>
    <cfRule type="expression" dxfId="74" priority="287">
      <formula>IF(AQ32&gt;=AR32,IF(AQ32="",FALSE,TRUE))</formula>
    </cfRule>
  </conditionalFormatting>
  <conditionalFormatting sqref="AS32:AS43">
    <cfRule type="expression" dxfId="73" priority="284">
      <formula>OR(IF(AS32&lt;AT32,TRUE),IF(AND(AT32="",AS32&lt;&gt;""),TRUE))</formula>
    </cfRule>
    <cfRule type="expression" dxfId="72" priority="285">
      <formula>IF(AS32&gt;=AT32,IF(AS32="",FALSE,TRUE))</formula>
    </cfRule>
  </conditionalFormatting>
  <conditionalFormatting sqref="AX32:AX43">
    <cfRule type="expression" dxfId="71" priority="278">
      <formula>OR(IF(AX32&lt;AY32,TRUE),IF(AND(AY32="",AX32&lt;&gt;""),TRUE))</formula>
    </cfRule>
    <cfRule type="expression" dxfId="70" priority="279">
      <formula>IF(AX32&gt;=AY32,IF(AX32="",FALSE,TRUE))</formula>
    </cfRule>
  </conditionalFormatting>
  <conditionalFormatting sqref="AZ32:AZ43">
    <cfRule type="expression" dxfId="69" priority="276">
      <formula>OR(IF(AZ32&lt;BA32,TRUE),IF(AND(BA32="",AZ32&lt;&gt;""),TRUE))</formula>
    </cfRule>
    <cfRule type="expression" dxfId="68" priority="277">
      <formula>IF(AZ32&gt;=BA32,IF(AZ32="",FALSE,TRUE))</formula>
    </cfRule>
  </conditionalFormatting>
  <conditionalFormatting sqref="BE32:BE43">
    <cfRule type="expression" dxfId="67" priority="270">
      <formula>OR(IF(BE32&lt;BF32,TRUE),IF(AND(BF32="",BE32&lt;&gt;""),TRUE))</formula>
    </cfRule>
    <cfRule type="expression" dxfId="66" priority="271">
      <formula>IF(BE32&gt;=BF32,IF(BE32="",FALSE,TRUE))</formula>
    </cfRule>
  </conditionalFormatting>
  <conditionalFormatting sqref="BG32:BG43">
    <cfRule type="expression" dxfId="65" priority="268">
      <formula>OR(IF(BG32&lt;BH32,TRUE),IF(AND(BH32="",BG32&lt;&gt;""),TRUE))</formula>
    </cfRule>
    <cfRule type="expression" dxfId="64" priority="269">
      <formula>IF(BG32&gt;=BH32,IF(BG32="",FALSE,TRUE))</formula>
    </cfRule>
  </conditionalFormatting>
  <conditionalFormatting sqref="BL32:BL43">
    <cfRule type="expression" dxfId="63" priority="259">
      <formula>OR(IF(BL32&lt;BM32,TRUE),IF(AND(BM32="",BL32&lt;&gt;""),TRUE))</formula>
    </cfRule>
    <cfRule type="expression" dxfId="62" priority="260">
      <formula>IF(BL32&gt;=BM32,IF(BL32="",FALSE,TRUE))</formula>
    </cfRule>
  </conditionalFormatting>
  <conditionalFormatting sqref="BN32:BN43">
    <cfRule type="expression" dxfId="61" priority="257">
      <formula>OR(IF(BN32&lt;BO32,TRUE),IF(AND(BO32="",BN32&lt;&gt;""),TRUE))</formula>
    </cfRule>
    <cfRule type="expression" dxfId="60" priority="258">
      <formula>IF(BN32&gt;=BO32,IF(BN32="",FALSE,TRUE))</formula>
    </cfRule>
  </conditionalFormatting>
  <conditionalFormatting sqref="BS5:BS10 BU5:BU10">
    <cfRule type="expression" dxfId="59" priority="146">
      <formula>OR(IF(BS5&lt;BT5,TRUE),IF(AND(BT5="",BS5&lt;&gt;""),TRUE))</formula>
    </cfRule>
    <cfRule type="expression" dxfId="58" priority="147">
      <formula>IF(BS5&gt;=BT5,IF(BS5="",FALSE,TRUE))</formula>
    </cfRule>
  </conditionalFormatting>
  <conditionalFormatting sqref="BS32:BS43">
    <cfRule type="expression" dxfId="57" priority="134">
      <formula>OR(IF(BS32&lt;BT32,TRUE),IF(AND(BT32="",BS32&lt;&gt;""),TRUE))</formula>
    </cfRule>
    <cfRule type="expression" dxfId="56" priority="135">
      <formula>IF(BS32&gt;=BT32,IF(BS32="",FALSE,TRUE))</formula>
    </cfRule>
  </conditionalFormatting>
  <conditionalFormatting sqref="BU32:BU43">
    <cfRule type="expression" dxfId="55" priority="132">
      <formula>OR(IF(BU32&lt;BV32,TRUE),IF(AND(BV32="",BU32&lt;&gt;""),TRUE))</formula>
    </cfRule>
    <cfRule type="expression" dxfId="54" priority="133">
      <formula>IF(BU32&gt;=BV32,IF(BU32="",FALSE,TRUE))</formula>
    </cfRule>
  </conditionalFormatting>
  <conditionalFormatting sqref="BZ5:BZ10">
    <cfRule type="expression" dxfId="53" priority="126">
      <formula>OR(IF(BZ5&lt;CA5,TRUE),IF(AND(CA5="",BZ5&lt;&gt;""),TRUE))</formula>
    </cfRule>
    <cfRule type="expression" dxfId="52" priority="127">
      <formula>IF(BZ5&gt;=CA5,IF(BZ5="",FALSE,TRUE))</formula>
    </cfRule>
  </conditionalFormatting>
  <conditionalFormatting sqref="BZ32:BZ43">
    <cfRule type="expression" dxfId="51" priority="114">
      <formula>OR(IF(BZ32&lt;CA32,TRUE),IF(AND(CA32="",BZ32&lt;&gt;""),TRUE))</formula>
    </cfRule>
    <cfRule type="expression" dxfId="50" priority="115">
      <formula>IF(BZ32&gt;=CA32,IF(BZ32="",FALSE,TRUE))</formula>
    </cfRule>
  </conditionalFormatting>
  <conditionalFormatting sqref="CB5:CB10">
    <cfRule type="expression" dxfId="49" priority="26">
      <formula>OR(IF(CB5&lt;CC5,TRUE),IF(AND(CC5="",CB5&lt;&gt;""),TRUE))</formula>
    </cfRule>
    <cfRule type="expression" dxfId="48" priority="27">
      <formula>IF(CB5&gt;=CC5,IF(CB5="",FALSE,TRUE))</formula>
    </cfRule>
  </conditionalFormatting>
  <conditionalFormatting sqref="CB32:CB43">
    <cfRule type="expression" dxfId="47" priority="112">
      <formula>OR(IF(CB32&lt;CC32,TRUE),IF(AND(CC32="",CB32&lt;&gt;""),TRUE))</formula>
    </cfRule>
    <cfRule type="expression" dxfId="46" priority="113">
      <formula>IF(CB32&gt;=CC32,IF(CB32="",FALSE,TRUE))</formula>
    </cfRule>
  </conditionalFormatting>
  <conditionalFormatting sqref="CG5:CG10 CI5:CI10">
    <cfRule type="expression" dxfId="45" priority="106">
      <formula>OR(IF(CG5&lt;CH5,TRUE),IF(AND(CH5="",CG5&lt;&gt;""),TRUE))</formula>
    </cfRule>
    <cfRule type="expression" dxfId="44" priority="107">
      <formula>IF(CG5&gt;=CH5,IF(CG5="",FALSE,TRUE))</formula>
    </cfRule>
  </conditionalFormatting>
  <conditionalFormatting sqref="CG32:CG43">
    <cfRule type="expression" dxfId="43" priority="94">
      <formula>OR(IF(CG32&lt;CH32,TRUE),IF(AND(CH32="",CG32&lt;&gt;""),TRUE))</formula>
    </cfRule>
    <cfRule type="expression" dxfId="42" priority="95">
      <formula>IF(CG32&gt;=CH32,IF(CG32="",FALSE,TRUE))</formula>
    </cfRule>
  </conditionalFormatting>
  <conditionalFormatting sqref="CI32:CI43">
    <cfRule type="expression" dxfId="41" priority="92">
      <formula>OR(IF(CI32&lt;CJ32,TRUE),IF(AND(CJ32="",CI32&lt;&gt;""),TRUE))</formula>
    </cfRule>
    <cfRule type="expression" dxfId="40" priority="93">
      <formula>IF(CI32&gt;=CJ32,IF(CI32="",FALSE,TRUE))</formula>
    </cfRule>
  </conditionalFormatting>
  <conditionalFormatting sqref="CN5:CN10 CP5:CP10">
    <cfRule type="expression" dxfId="39" priority="86">
      <formula>OR(IF(CN5&lt;CO5,TRUE),IF(AND(CO5="",CN5&lt;&gt;""),TRUE))</formula>
    </cfRule>
    <cfRule type="expression" dxfId="38" priority="87">
      <formula>IF(CN5&gt;=CO5,IF(CN5="",FALSE,TRUE))</formula>
    </cfRule>
  </conditionalFormatting>
  <conditionalFormatting sqref="CN32:CN43">
    <cfRule type="expression" dxfId="37" priority="74">
      <formula>OR(IF(CN32&lt;CO32,TRUE),IF(AND(CO32="",CN32&lt;&gt;""),TRUE))</formula>
    </cfRule>
    <cfRule type="expression" dxfId="36" priority="75">
      <formula>IF(CN32&gt;=CO32,IF(CN32="",FALSE,TRUE))</formula>
    </cfRule>
  </conditionalFormatting>
  <conditionalFormatting sqref="CP32:CP43">
    <cfRule type="expression" dxfId="35" priority="72">
      <formula>OR(IF(CP32&lt;CQ32,TRUE),IF(AND(CQ32="",CP32&lt;&gt;""),TRUE))</formula>
    </cfRule>
    <cfRule type="expression" dxfId="34" priority="73">
      <formula>IF(CP32&gt;=CQ32,IF(CP32="",FALSE,TRUE))</formula>
    </cfRule>
  </conditionalFormatting>
  <conditionalFormatting sqref="CU5:CU10 CW5:CW10">
    <cfRule type="expression" dxfId="33" priority="66">
      <formula>OR(IF(CU5&lt;CV5,TRUE),IF(AND(CV5="",CU5&lt;&gt;""),TRUE))</formula>
    </cfRule>
    <cfRule type="expression" dxfId="32" priority="67">
      <formula>IF(CU5&gt;=CV5,IF(CU5="",FALSE,TRUE))</formula>
    </cfRule>
  </conditionalFormatting>
  <conditionalFormatting sqref="CU32:CU43">
    <cfRule type="expression" dxfId="31" priority="54">
      <formula>OR(IF(CU32&lt;CV32,TRUE),IF(AND(CV32="",CU32&lt;&gt;""),TRUE))</formula>
    </cfRule>
    <cfRule type="expression" dxfId="30" priority="55">
      <formula>IF(CU32&gt;=CV32,IF(CU32="",FALSE,TRUE))</formula>
    </cfRule>
  </conditionalFormatting>
  <conditionalFormatting sqref="CW32:CW43">
    <cfRule type="expression" dxfId="29" priority="52">
      <formula>OR(IF(CW32&lt;CX32,TRUE),IF(AND(CX32="",CW32&lt;&gt;""),TRUE))</formula>
    </cfRule>
    <cfRule type="expression" dxfId="28" priority="53">
      <formula>IF(CW32&gt;=CX32,IF(CW32="",FALSE,TRUE))</formula>
    </cfRule>
  </conditionalFormatting>
  <conditionalFormatting sqref="DB5:DB10 DD5:DD10">
    <cfRule type="expression" dxfId="27" priority="46">
      <formula>OR(IF(DB5&lt;DC5,TRUE),IF(AND(DC5="",DB5&lt;&gt;""),TRUE))</formula>
    </cfRule>
    <cfRule type="expression" dxfId="26" priority="47">
      <formula>IF(DB5&gt;=DC5,IF(DB5="",FALSE,TRUE))</formula>
    </cfRule>
  </conditionalFormatting>
  <conditionalFormatting sqref="DB32:DB43">
    <cfRule type="expression" dxfId="25" priority="34">
      <formula>OR(IF(DB32&lt;DC32,TRUE),IF(AND(DC32="",DB32&lt;&gt;""),TRUE))</formula>
    </cfRule>
    <cfRule type="expression" dxfId="24" priority="35">
      <formula>IF(DB32&gt;=DC32,IF(DB32="",FALSE,TRUE))</formula>
    </cfRule>
  </conditionalFormatting>
  <conditionalFormatting sqref="DD32:DD43">
    <cfRule type="expression" dxfId="23" priority="32">
      <formula>OR(IF(DD32&lt;DE32,TRUE),IF(AND(DE32="",DD32&lt;&gt;""),TRUE))</formula>
    </cfRule>
    <cfRule type="expression" dxfId="22" priority="33">
      <formula>IF(DD32&gt;=DE32,IF(DD32="",FALSE,TRUE))</formula>
    </cfRule>
  </conditionalFormatting>
  <conditionalFormatting sqref="J16:J18 J13">
    <cfRule type="colorScale" priority="778">
      <colorScale>
        <cfvo type="percent" val="0"/>
        <cfvo type="percent" val="100"/>
        <color rgb="FFFF231B"/>
        <color rgb="FF10FF07"/>
      </colorScale>
    </cfRule>
  </conditionalFormatting>
  <conditionalFormatting sqref="J16:K18">
    <cfRule type="colorScale" priority="780">
      <colorScale>
        <cfvo type="percent" val="0"/>
        <cfvo type="percent" val="100"/>
        <color rgb="FFFF231B"/>
        <color rgb="FF10FF07"/>
      </colorScale>
    </cfRule>
  </conditionalFormatting>
  <conditionalFormatting sqref="K16:K18 K13">
    <cfRule type="colorScale" priority="781">
      <colorScale>
        <cfvo type="percent" val="0"/>
        <cfvo type="percent" val="100"/>
        <color rgb="FFFF231B"/>
        <color rgb="FF10FF07"/>
      </colorScale>
    </cfRule>
  </conditionalFormatting>
  <conditionalFormatting sqref="J21:J29">
    <cfRule type="colorScale" priority="841">
      <colorScale>
        <cfvo type="percent" val="0"/>
        <cfvo type="percent" val="100"/>
        <color rgb="FFFF231B"/>
        <color rgb="FF10FF07"/>
      </colorScale>
    </cfRule>
  </conditionalFormatting>
  <conditionalFormatting sqref="J22:K29">
    <cfRule type="colorScale" priority="842">
      <colorScale>
        <cfvo type="percent" val="0"/>
        <cfvo type="percent" val="100"/>
        <color rgb="FFFF231B"/>
        <color rgb="FF10FF07"/>
      </colorScale>
    </cfRule>
  </conditionalFormatting>
  <conditionalFormatting sqref="K21:K29">
    <cfRule type="colorScale" priority="843">
      <colorScale>
        <cfvo type="percent" val="0"/>
        <cfvo type="percent" val="100"/>
        <color rgb="FFFF231B"/>
        <color rgb="FF10FF07"/>
      </colorScale>
    </cfRule>
  </conditionalFormatting>
  <conditionalFormatting sqref="J46:J53">
    <cfRule type="colorScale" priority="844">
      <colorScale>
        <cfvo type="percent" val="0"/>
        <cfvo type="percent" val="100"/>
        <color rgb="FFFF231B"/>
        <color rgb="FF10FF07"/>
      </colorScale>
    </cfRule>
  </conditionalFormatting>
  <conditionalFormatting sqref="J47:K53">
    <cfRule type="colorScale" priority="845">
      <colorScale>
        <cfvo type="percent" val="0"/>
        <cfvo type="percent" val="100"/>
        <color rgb="FFFF231B"/>
        <color rgb="FF10FF07"/>
      </colorScale>
    </cfRule>
  </conditionalFormatting>
  <conditionalFormatting sqref="K46:K53">
    <cfRule type="colorScale" priority="846">
      <colorScale>
        <cfvo type="percent" val="0"/>
        <cfvo type="percent" val="100"/>
        <color rgb="FFFF231B"/>
        <color rgb="FF10FF07"/>
      </colorScale>
    </cfRule>
  </conditionalFormatting>
  <conditionalFormatting sqref="J56:J59">
    <cfRule type="colorScale" priority="847">
      <colorScale>
        <cfvo type="percent" val="0"/>
        <cfvo type="percent" val="100"/>
        <color rgb="FFFF231B"/>
        <color rgb="FF10FF07"/>
      </colorScale>
    </cfRule>
  </conditionalFormatting>
  <conditionalFormatting sqref="J57:K59">
    <cfRule type="colorScale" priority="848">
      <colorScale>
        <cfvo type="percent" val="0"/>
        <cfvo type="percent" val="100"/>
        <color rgb="FFFF231B"/>
        <color rgb="FF10FF07"/>
      </colorScale>
    </cfRule>
  </conditionalFormatting>
  <conditionalFormatting sqref="K56:K59">
    <cfRule type="colorScale" priority="849">
      <colorScale>
        <cfvo type="percent" val="0"/>
        <cfvo type="percent" val="100"/>
        <color rgb="FFFF231B"/>
        <color rgb="FF10FF07"/>
      </colorScale>
    </cfRule>
  </conditionalFormatting>
  <conditionalFormatting sqref="BS21:BS22 AE5:AE6">
    <cfRule type="expression" dxfId="21" priority="852">
      <formula>OR(IF(AE5&lt;AF4,TRUE),IF(AND(AF4="",AE5&lt;&gt;""),TRUE))</formula>
    </cfRule>
    <cfRule type="expression" dxfId="20" priority="853">
      <formula>IF(AE5&gt;=AF4,IF(AE5="",FALSE,TRUE))</formula>
    </cfRule>
  </conditionalFormatting>
  <conditionalFormatting sqref="BU13">
    <cfRule type="expression" dxfId="5" priority="5">
      <formula>OR(IF(BU13&lt;BV13,TRUE),IF(AND(BV13="",BU13&lt;&gt;""),TRUE))</formula>
    </cfRule>
    <cfRule type="expression" dxfId="4" priority="6">
      <formula>IF(BU13&gt;=BV13,IF(BU13="",FALSE,TRUE))</formula>
    </cfRule>
  </conditionalFormatting>
  <conditionalFormatting sqref="BU14">
    <cfRule type="expression" dxfId="3" priority="3">
      <formula>OR(IF(BU14&lt;BV14,TRUE),IF(AND(BV14="",BU14&lt;&gt;""),TRUE))</formula>
    </cfRule>
    <cfRule type="expression" dxfId="2" priority="4">
      <formula>IF(BU14&gt;=BV14,IF(BU14="",FALSE,TRUE))</formula>
    </cfRule>
  </conditionalFormatting>
  <conditionalFormatting sqref="BU15">
    <cfRule type="expression" dxfId="1" priority="1">
      <formula>OR(IF(BU15&lt;BV15,TRUE),IF(AND(BV15="",BU15&lt;&gt;""),TRUE))</formula>
    </cfRule>
    <cfRule type="expression" dxfId="0" priority="2">
      <formula>IF(BU15&gt;=BV15,IF(BU15="",FALSE,TRUE))</formula>
    </cfRule>
  </conditionalFormatting>
  <dataValidations count="1">
    <dataValidation type="list" allowBlank="1" showInputMessage="1" showErrorMessage="1" sqref="AQ5:AT10 AQ13:AT18 CG46:CJ53 AQ21:AT29 AQ46:AT53 BZ5:CC10 BS5:BV10 BS46:BV53 BZ21:CC29 BZ46:CC53 DB46:DE53 CG5:CJ10 CG13:CJ18 CN5:CQ10 CN13:CQ18 CN21:CQ29 CN46:CQ53 CU5:CX10 CU13:CX18 CU21:CX29 CU46:CX53 DB5:DE10 DB13:DE18 DB21:DE29 BZ13:CC18 DB32:DE43 CU32:CX43 CN32:CQ43 CG32:CJ43 BZ32:CC43 BS32:BV43 AC21:AF29 AX13:BA18 AQ32:AT43 BL5:BO10 BE13:BH18 V13:Y18 BS23:BV29 V56:Y59 AC56:AF59 AJ56:AM59 AQ56:AT59 AX56:BA59 BE56:BH59 BL56:BO59 O56:R59 BZ56:CC59 BS56:BV59 CG56:CJ59 CN56:CQ59 CU56:CX59 DB56:DE59 CG21:CJ29 BS21:BS22 BU21:BV22 BL32:BO43 BL46:BO53 BL21:BO29 BL13:BO18 BE5:BH10 BE32:BH43 BE21:BH29 BE46:BH53 AX5:BA10 AX32:BA43 AX46:BA53 AX21:BA29 AJ46:AM53 AJ32:AM43 AJ21:AM29 AJ13:AM18 AJ5:AM10 AC13:AF18 BS13:BV18 AC32:AF43 AC46:AF53 V5:Y10 V32:Y43 V46:Y53 V21:Y29 O13:R18 O46:R53 O21:R29 O5:R10 O32:R43 AC5:AF10" xr:uid="{DF46768B-76BD-4AD1-BDD9-05E5E50A35C8}">
      <formula1>"10%,20%,30%,40%,50%,60%,70%,80%,90%,100%"</formula1>
    </dataValidation>
  </dataValidation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17</v>
      </c>
    </row>
    <row r="6" spans="2:2" x14ac:dyDescent="0.2">
      <c r="B6" s="2" t="s">
        <v>14</v>
      </c>
    </row>
    <row r="7" spans="2:2" ht="51" x14ac:dyDescent="0.2">
      <c r="B7" s="1" t="s">
        <v>15</v>
      </c>
    </row>
    <row r="9" spans="2:2" x14ac:dyDescent="0.2">
      <c r="B9" s="2" t="s">
        <v>16</v>
      </c>
    </row>
    <row r="10" spans="2:2" ht="68" x14ac:dyDescent="0.2">
      <c r="B10" s="1" t="s">
        <v>36</v>
      </c>
    </row>
    <row r="12" spans="2:2" x14ac:dyDescent="0.2">
      <c r="B12" s="2" t="s">
        <v>18</v>
      </c>
    </row>
    <row r="13" spans="2:2" ht="153" x14ac:dyDescent="0.2">
      <c r="B13" s="1" t="s">
        <v>19</v>
      </c>
    </row>
    <row r="15" spans="2:2" x14ac:dyDescent="0.2">
      <c r="B15" s="2" t="s">
        <v>20</v>
      </c>
    </row>
    <row r="16" spans="2:2" ht="119" x14ac:dyDescent="0.2">
      <c r="B16" s="1" t="s">
        <v>21</v>
      </c>
    </row>
    <row r="17" spans="2:2" x14ac:dyDescent="0.2">
      <c r="B17" s="1"/>
    </row>
    <row r="18" spans="2:2" x14ac:dyDescent="0.2">
      <c r="B18" s="2" t="s">
        <v>35</v>
      </c>
    </row>
    <row r="19" spans="2:2" ht="153" x14ac:dyDescent="0.2">
      <c r="B19" s="1" t="s">
        <v>37</v>
      </c>
    </row>
    <row r="21" spans="2:2" x14ac:dyDescent="0.2">
      <c r="B21" s="2" t="s">
        <v>22</v>
      </c>
    </row>
    <row r="22" spans="2:2" ht="136" x14ac:dyDescent="0.2">
      <c r="B22" s="1" t="s">
        <v>38</v>
      </c>
    </row>
    <row r="24" spans="2:2" x14ac:dyDescent="0.2">
      <c r="B24" s="2" t="s">
        <v>23</v>
      </c>
    </row>
    <row r="25" spans="2:2" ht="136" x14ac:dyDescent="0.2">
      <c r="B25" s="1" t="s">
        <v>24</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7" priority="4" operator="equal">
      <formula>"Ja"</formula>
    </cfRule>
    <cfRule type="cellIs" dxfId="16" priority="14" operator="equal">
      <formula>"Ja"</formula>
    </cfRule>
    <cfRule type="cellIs" dxfId="15" priority="15" operator="equal">
      <formula>"Nein"</formula>
    </cfRule>
  </conditionalFormatting>
  <conditionalFormatting sqref="C2:C46">
    <cfRule type="cellIs" dxfId="14" priority="1" operator="equal">
      <formula>"Ja"</formula>
    </cfRule>
    <cfRule type="cellIs" dxfId="13" priority="2" operator="equal">
      <formula>"Ja"</formula>
    </cfRule>
    <cfRule type="cellIs" dxfId="12" priority="3" operator="equal">
      <formula>"Nein"</formula>
    </cfRule>
  </conditionalFormatting>
  <conditionalFormatting sqref="D2">
    <cfRule type="cellIs" dxfId="11" priority="6" operator="equal">
      <formula>1</formula>
    </cfRule>
    <cfRule type="cellIs" dxfId="10" priority="7" operator="equal">
      <formula>0.8</formula>
    </cfRule>
    <cfRule type="cellIs" dxfId="9" priority="8" operator="equal">
      <formula>0.6</formula>
    </cfRule>
    <cfRule type="cellIs" dxfId="8" priority="9" operator="equal">
      <formula>0.4</formula>
    </cfRule>
    <cfRule type="cellIs" dxfId="7" priority="10" operator="equal">
      <formula>0.2</formula>
    </cfRule>
    <cfRule type="cellIs" dxfId="6"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pageSetup paperSize="9"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7" t="s">
        <v>26</v>
      </c>
    </row>
    <row r="4" spans="1:8" x14ac:dyDescent="0.2">
      <c r="B4" s="2" t="s">
        <v>5</v>
      </c>
      <c r="C4" s="2" t="s">
        <v>6</v>
      </c>
      <c r="D4" s="2" t="s">
        <v>7</v>
      </c>
      <c r="E4" s="2" t="s">
        <v>8</v>
      </c>
      <c r="F4" s="2" t="s">
        <v>11</v>
      </c>
      <c r="G4" s="2" t="s">
        <v>9</v>
      </c>
      <c r="H4" s="2" t="s">
        <v>10</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26</v>
      </c>
    </row>
    <row r="4" spans="1:8" x14ac:dyDescent="0.2">
      <c r="B4" s="2" t="s">
        <v>5</v>
      </c>
      <c r="C4" s="2" t="s">
        <v>6</v>
      </c>
      <c r="D4" s="2" t="s">
        <v>7</v>
      </c>
      <c r="E4" s="2" t="s">
        <v>8</v>
      </c>
      <c r="F4" s="2" t="s">
        <v>11</v>
      </c>
      <c r="G4" s="2" t="s">
        <v>9</v>
      </c>
      <c r="H4" s="2" t="s">
        <v>10</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Kremers, Konstantin</cp:lastModifiedBy>
  <cp:lastPrinted>2025-10-16T07:53:54Z</cp:lastPrinted>
  <dcterms:created xsi:type="dcterms:W3CDTF">2020-04-19T13:33:28Z</dcterms:created>
  <dcterms:modified xsi:type="dcterms:W3CDTF">2025-10-16T07:54:24Z</dcterms:modified>
</cp:coreProperties>
</file>