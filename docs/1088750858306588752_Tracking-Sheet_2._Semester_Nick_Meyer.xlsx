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0fc1bb492a05d204/Dokumente/"/>
    </mc:Choice>
  </mc:AlternateContent>
  <xr:revisionPtr revIDLastSave="1253" documentId="8_{78266773-B422-4CA9-9644-B933ED18E181}" xr6:coauthVersionLast="47" xr6:coauthVersionMax="47" xr10:uidLastSave="{9B827B05-D35C-4763-A23E-2B6D614F3E78}"/>
  <bookViews>
    <workbookView xWindow="3204" yWindow="288" windowWidth="19524" windowHeight="8880" firstSheet="1" activeTab="1" xr2:uid="{50F29292-BE80-0C47-A0D2-DD086CB3D310}"/>
  </bookViews>
  <sheets>
    <sheet name="ANLEITUNG" sheetId="10" r:id="rId1"/>
    <sheet name="Semesterplan" sheetId="7" r:id="rId2"/>
    <sheet name="Best-Practices" sheetId="2" r:id="rId3"/>
    <sheet name="COMMITTMENT" sheetId="9" r:id="rId4"/>
    <sheet name="Wochenplan KW 14" sheetId="3" r:id="rId5"/>
    <sheet name="Wochenplan KW 15"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G40" i="7" l="1"/>
  <c r="CF40" i="7"/>
  <c r="BY40" i="7"/>
  <c r="BR40" i="7"/>
  <c r="BK40" i="7"/>
  <c r="AP40" i="7"/>
  <c r="AI40" i="7"/>
  <c r="AB40" i="7"/>
  <c r="U40" i="7"/>
  <c r="N40" i="7"/>
  <c r="K40" i="7"/>
  <c r="J40" i="7"/>
  <c r="I40" i="7"/>
  <c r="G40" i="7"/>
  <c r="CF27" i="7"/>
  <c r="CF18" i="7"/>
  <c r="CF11" i="7"/>
  <c r="BY27" i="7"/>
  <c r="BY18" i="7"/>
  <c r="BY11" i="7"/>
  <c r="BR27" i="7"/>
  <c r="BR18" i="7"/>
  <c r="BR11" i="7"/>
  <c r="BK27" i="7"/>
  <c r="BK18" i="7"/>
  <c r="BK11" i="7"/>
  <c r="DG27" i="7" l="1"/>
  <c r="DG18" i="7"/>
  <c r="DG11" i="7"/>
  <c r="DG4" i="7"/>
  <c r="N4" i="7"/>
  <c r="N11"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AP27" i="7"/>
  <c r="AI27" i="7"/>
  <c r="AB27" i="7"/>
  <c r="U27" i="7"/>
  <c r="N27" i="7"/>
  <c r="G27" i="7"/>
  <c r="I27" i="7" l="1"/>
  <c r="K27" i="7"/>
  <c r="J27" i="7"/>
  <c r="C11" i="10" l="1"/>
  <c r="DA4" i="7"/>
  <c r="CT4" i="7"/>
  <c r="CM4" i="7"/>
  <c r="CF4" i="7"/>
  <c r="BY4" i="7"/>
  <c r="BR4" i="7"/>
  <c r="C7" i="10"/>
  <c r="K14" i="7" a="1"/>
  <c r="K14" i="7" s="1"/>
  <c r="J14" i="7" a="1"/>
  <c r="J14" i="7" s="1"/>
  <c r="I14" i="7"/>
  <c r="K13" i="7" a="1"/>
  <c r="K13" i="7" s="1"/>
  <c r="J13" i="7" a="1"/>
  <c r="J13" i="7" s="1"/>
  <c r="I13" i="7"/>
  <c r="BK4" i="7"/>
  <c r="C12" i="10"/>
  <c r="K16" i="7" a="1"/>
  <c r="K16" i="7" s="1"/>
  <c r="J16" i="7" a="1"/>
  <c r="J16" i="7" s="1"/>
  <c r="K15" i="7" a="1"/>
  <c r="K15" i="7" s="1"/>
  <c r="J15" i="7" a="1"/>
  <c r="J15" i="7" s="1"/>
  <c r="K12" i="7" a="1"/>
  <c r="K12" i="7" s="1"/>
  <c r="J12" i="7" a="1"/>
  <c r="J12" i="7" s="1"/>
  <c r="K25" i="7"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K9" i="7" a="1"/>
  <c r="K9" i="7" s="1"/>
  <c r="J9" i="7" a="1"/>
  <c r="J9" i="7" s="1"/>
  <c r="K8" i="7" a="1"/>
  <c r="K8" i="7" s="1"/>
  <c r="J8" i="7" a="1"/>
  <c r="J8" i="7" s="1"/>
  <c r="K7" i="7" a="1"/>
  <c r="K7" i="7" s="1"/>
  <c r="J7" i="7" a="1"/>
  <c r="J7" i="7" s="1"/>
  <c r="K6" i="7" a="1"/>
  <c r="K6" i="7" s="1"/>
  <c r="J6" i="7" a="1"/>
  <c r="J6" i="7" s="1"/>
  <c r="K5" i="7" a="1"/>
  <c r="K5" i="7" s="1"/>
  <c r="J5" i="7" a="1"/>
  <c r="J5" i="7" s="1"/>
  <c r="AP11" i="7"/>
  <c r="AI11" i="7"/>
  <c r="AB11" i="7"/>
  <c r="U11" i="7"/>
  <c r="BD4" i="7"/>
  <c r="AW4" i="7"/>
  <c r="AP4" i="7"/>
  <c r="AI4" i="7"/>
  <c r="AB4" i="7"/>
  <c r="U4" i="7"/>
  <c r="G4" i="7"/>
  <c r="AP18" i="7"/>
  <c r="AI18" i="7"/>
  <c r="AB18" i="7"/>
  <c r="U18" i="7"/>
  <c r="I25" i="7"/>
  <c r="I24" i="7"/>
  <c r="I23" i="7"/>
  <c r="I22" i="7"/>
  <c r="I21" i="7"/>
  <c r="I20" i="7"/>
  <c r="I19" i="7"/>
  <c r="I16" i="7"/>
  <c r="I15" i="7"/>
  <c r="I12" i="7"/>
  <c r="I6" i="7"/>
  <c r="I7" i="7"/>
  <c r="I8" i="7"/>
  <c r="I9" i="7"/>
  <c r="I5" i="7"/>
  <c r="N18" i="7"/>
  <c r="G18" i="7"/>
  <c r="G11" i="7"/>
  <c r="I18" i="7" l="1"/>
  <c r="J18" i="7"/>
  <c r="K18" i="7"/>
  <c r="I11" i="7"/>
  <c r="J11" i="7"/>
  <c r="K11"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<sst xmlns="http://schemas.openxmlformats.org/spreadsheetml/2006/main" count="295" uniqueCount="135">
  <si>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</si>
  <si>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</si>
  <si>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</si>
  <si>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</si>
  <si>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</si>
  <si>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</si>
  <si>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</si>
  <si>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</si>
  <si>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</si>
  <si>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</si>
  <si>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</si>
  <si>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</si>
  <si>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</si>
  <si>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</si>
  <si>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</si>
  <si>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</si>
  <si>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</si>
  <si>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</si>
  <si>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</si>
  <si>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</si>
  <si>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</si>
  <si>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</si>
  <si>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</si>
  <si>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</si>
  <si>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</si>
  <si>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</si>
  <si>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</si>
  <si>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</si>
  <si>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</si>
  <si>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</si>
  <si>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</si>
  <si>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</si>
  <si>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</si>
  <si>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</si>
  <si>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</si>
  <si>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</si>
  <si>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</si>
  <si>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</si>
  <si>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</si>
  <si>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</si>
  <si>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</si>
  <si>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</si>
  <si>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</si>
  <si>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</si>
  <si>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</si>
  <si>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</si>
  <si>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</si>
  <si>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</si>
  <si>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</si>
  <si>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</si>
  <si>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</si>
  <si>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</si>
  <si>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</si>
  <si>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</si>
  <si>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</si>
  <si>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</si>
  <si>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</si>
  <si>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</si>
  <si>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</si>
  <si>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</si>
  <si>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</si>
  <si>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</si>
  <si>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</si>
  <si>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</si>
  <si>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</si>
  <si>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</si>
  <si>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</si>
  <si>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</si>
  <si>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</si>
  <si>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</si>
  <si>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</si>
  <si>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</si>
  <si>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</si>
  <si>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</si>
  <si>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</si>
  <si>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</si>
  <si>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</si>
  <si>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</si>
  <si>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</si>
  <si>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</si>
  <si>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</si>
  <si>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</si>
  <si>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</si>
  <si>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</si>
  <si>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</si>
  <si>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</si>
  <si>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</si>
  <si>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</si>
  <si>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</si>
  <si>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</si>
  <si>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</si>
  <si>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</si>
  <si>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</si>
  <si>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</si>
  <si>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</si>
  <si>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Makroökonomie</t>
  </si>
  <si>
    <t>1) Haushaltstheorie</t>
  </si>
  <si>
    <t>2) Unternehmenstheorie</t>
  </si>
  <si>
    <t>3) Vollkommene Konkurrenz und Wohlfahrtstheorie</t>
  </si>
  <si>
    <t>4) Marktformenlehre</t>
  </si>
  <si>
    <t>5) Externe Effekte und öffentliche Güter</t>
  </si>
  <si>
    <t>Externes Rechnungswesen</t>
  </si>
  <si>
    <t>1) Grundlagen und Aufgaben des Jahresabschlusses</t>
  </si>
  <si>
    <t>2) Der rechtliche Rahmen des Jahresabschlusses</t>
  </si>
  <si>
    <t>3) Wesentliche Bilanzinhalte</t>
  </si>
  <si>
    <t>Internes Rechnungswesen</t>
  </si>
  <si>
    <t xml:space="preserve">1) Kosten- und Erlösrechung als Teil der Unternehmensrechnung </t>
  </si>
  <si>
    <t>2) Grundbegriffe der Kosten- und Erlösrechnung</t>
  </si>
  <si>
    <t>3) Kostenartenrechnung</t>
  </si>
  <si>
    <t>4) Kostenstellenrechnung</t>
  </si>
  <si>
    <t>5) Kalkulation</t>
  </si>
  <si>
    <t>6) Kalkulatorische Erfolgsrechnung</t>
  </si>
  <si>
    <t>7) Break-Even-Analysen</t>
  </si>
  <si>
    <t>Handels- und Gesellschaftsrecht</t>
  </si>
  <si>
    <t>3) Kaufleute</t>
  </si>
  <si>
    <t>4) Personengesellschaften im Überblick</t>
  </si>
  <si>
    <t xml:space="preserve">6) Publizität von Unternehmen </t>
  </si>
  <si>
    <t>7) Firma, Geschäftsbezeichnung &amp; Marke</t>
  </si>
  <si>
    <t>8) Stellvertretung im Unternehmen</t>
  </si>
  <si>
    <t>9) "Gesellschafts- Außenrecht" - Vertretung und haftung</t>
  </si>
  <si>
    <t xml:space="preserve">10) Corporate Governance </t>
  </si>
  <si>
    <t xml:space="preserve">11) Corporate Finance  </t>
  </si>
  <si>
    <t>12) Handelsgeschäfte</t>
  </si>
  <si>
    <t>5) Kapitalgesellschaften im Überblick</t>
  </si>
  <si>
    <t>1+2) Sinn und Zweck des HGB und Rechtsformen des Unternehmens</t>
  </si>
  <si>
    <t>KW 14</t>
  </si>
  <si>
    <t>KW 15</t>
  </si>
  <si>
    <t>KW 16</t>
  </si>
  <si>
    <t>KW 17</t>
  </si>
  <si>
    <t>KW 18</t>
  </si>
  <si>
    <t>KW 27</t>
  </si>
  <si>
    <t>KW 28</t>
  </si>
  <si>
    <t>5) Weitere Elemente der Rechnungslegung</t>
  </si>
  <si>
    <t>4) Bewertungsprobleme</t>
  </si>
  <si>
    <t>Mathematik für Wirtschaftswissenschaften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</si>
</sst>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5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4">
  <autoFilter ref="A1:K46" xr:uid="{6E266E34-2786-2747-BCE7-51B74867A564}"/>
  <tableColumns count="11">
    <tableColumn id="1" xr3:uid="{95FD92F7-3DC8-704D-A103-A7EDDAB255AB}" name="Datum" dataDxfId="53"/>
    <tableColumn id="2" xr3:uid="{F464D510-8166-E740-A343-FB84BDEF877F}" name="Lerneinheiten durchgezogen" dataDxfId="52"/>
    <tableColumn id="3" xr3:uid="{75F52B08-1A00-0848-BBE6-1EDF7B31B1AD}" name="Tagesplan erstellt" dataDxfId="51"/>
    <tableColumn id="4" xr3:uid="{E6B18D89-E799-AD48-9DAA-37AEE1D29011}" name="Konzentrationslevel" dataDxfId="5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5.6"/>
  <cols>
    <col min="1" max="1" width="11.796875" customWidth="1"/>
    <col min="2" max="2" width="62.69921875" customWidth="1"/>
  </cols>
  <sheetData>
    <row r="2" spans="1:4">
      <c r="C2" s="18" t="s">
        <v>78</v>
      </c>
    </row>
    <row r="3" spans="1:4">
      <c r="C3" s="17" t="s">
        <v>63</v>
      </c>
    </row>
    <row r="4" spans="1:4">
      <c r="C4" s="16" t="s">
        <v>77</v>
      </c>
    </row>
    <row r="5" spans="1:4">
      <c r="A5" s="2" t="s">
        <v>60</v>
      </c>
      <c r="B5" s="2" t="s">
        <v>61</v>
      </c>
      <c r="C5" s="2" t="s">
        <v>62</v>
      </c>
      <c r="D5" s="2" t="s">
        <v>64</v>
      </c>
    </row>
    <row r="6" spans="1:4">
      <c r="A6" t="s">
        <v>56</v>
      </c>
      <c r="B6" s="18" t="s">
        <v>59</v>
      </c>
      <c r="D6" t="s">
        <v>93</v>
      </c>
    </row>
    <row r="7" spans="1:4">
      <c r="A7" t="s">
        <v>67</v>
      </c>
      <c r="B7" t="s">
        <v>68</v>
      </c>
      <c r="C7" s="16">
        <f>6+8+11+7+10</f>
        <v>42</v>
      </c>
    </row>
    <row r="8" spans="1:4">
      <c r="A8" t="s">
        <v>58</v>
      </c>
      <c r="B8" s="18" t="s">
        <v>57</v>
      </c>
      <c r="D8" t="s">
        <v>81</v>
      </c>
    </row>
    <row r="9" spans="1:4">
      <c r="A9" t="s">
        <v>66</v>
      </c>
      <c r="B9" s="18" t="s">
        <v>79</v>
      </c>
      <c r="D9" t="s">
        <v>82</v>
      </c>
    </row>
    <row r="10" spans="1:4">
      <c r="A10" t="s">
        <v>70</v>
      </c>
      <c r="B10" t="s">
        <v>69</v>
      </c>
      <c r="C10" s="16">
        <v>10.5</v>
      </c>
      <c r="D10" t="s">
        <v>65</v>
      </c>
    </row>
    <row r="11" spans="1:4">
      <c r="A11" t="s">
        <v>71</v>
      </c>
      <c r="B11" t="s">
        <v>73</v>
      </c>
      <c r="C11" s="16">
        <f>42*3</f>
        <v>126</v>
      </c>
      <c r="D11" t="s">
        <v>72</v>
      </c>
    </row>
    <row r="12" spans="1:4">
      <c r="A12" t="s">
        <v>75</v>
      </c>
      <c r="B12" t="s">
        <v>74</v>
      </c>
      <c r="C12" s="17">
        <f>C11/C10</f>
        <v>12</v>
      </c>
    </row>
    <row r="13" spans="1:4">
      <c r="A13" t="s">
        <v>80</v>
      </c>
      <c r="B13" t="s">
        <v>76</v>
      </c>
      <c r="D13" t="s">
        <v>83</v>
      </c>
    </row>
    <row r="14" spans="1:4">
      <c r="A14" t="s">
        <v>84</v>
      </c>
      <c r="B14" t="s">
        <v>85</v>
      </c>
      <c r="D14" t="s">
        <v>86</v>
      </c>
    </row>
    <row r="15" spans="1:4">
      <c r="A15" t="s">
        <v>87</v>
      </c>
      <c r="B15" s="18" t="s">
        <v>88</v>
      </c>
    </row>
    <row r="16" spans="1:4">
      <c r="A16" t="s">
        <v>91</v>
      </c>
      <c r="B16" s="18" t="s">
        <v>89</v>
      </c>
    </row>
    <row r="17" spans="1:2">
      <c r="A17" t="s">
        <v>92</v>
      </c>
      <c r="B17" t="s">
        <v>90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L40"/>
  <sheetViews>
    <sheetView showGridLines="0" tabSelected="1" zoomScale="50" zoomScaleNormal="50" workbookViewId="0">
      <pane xSplit="12" topLeftCell="M1" activePane="topRight" state="frozen"/>
      <selection pane="topRight" activeCell="C41" sqref="C41"/>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2" max="112" width="12.5" bestFit="1" customWidth="1"/>
    <col min="113" max="113" width="6.296875" customWidth="1"/>
    <col min="114" max="114" width="14.796875" bestFit="1" customWidth="1"/>
    <col min="115" max="115" width="6" customWidth="1"/>
    <col min="116" max="116" width="12.69921875" bestFit="1" customWidth="1"/>
    <col min="117" max="117" width="2.5" customWidth="1"/>
  </cols>
  <sheetData>
    <row r="1" spans="2:116" ht="33.6">
      <c r="B1" s="4" t="s">
        <v>0</v>
      </c>
      <c r="D1" s="4"/>
      <c r="G1" s="13" t="s">
        <v>33</v>
      </c>
      <c r="I1" s="13" t="s">
        <v>33</v>
      </c>
      <c r="J1" s="13" t="s">
        <v>33</v>
      </c>
      <c r="K1" s="13" t="s">
        <v>33</v>
      </c>
    </row>
    <row r="2" spans="2:116">
      <c r="I2" s="20" t="s">
        <v>27</v>
      </c>
      <c r="J2" s="20"/>
      <c r="K2" s="20"/>
      <c r="L2" s="20"/>
      <c r="N2" s="20" t="s">
        <v>125</v>
      </c>
      <c r="O2" s="20"/>
      <c r="P2" s="20"/>
      <c r="Q2" s="20"/>
      <c r="R2" s="20"/>
      <c r="S2" s="20"/>
      <c r="U2" s="20" t="s">
        <v>126</v>
      </c>
      <c r="V2" s="20"/>
      <c r="W2" s="20"/>
      <c r="X2" s="20"/>
      <c r="Y2" s="20"/>
      <c r="Z2" s="20"/>
      <c r="AB2" s="20" t="s">
        <v>127</v>
      </c>
      <c r="AC2" s="20"/>
      <c r="AD2" s="20"/>
      <c r="AE2" s="20"/>
      <c r="AF2" s="20"/>
      <c r="AG2" s="20"/>
      <c r="AI2" s="20" t="s">
        <v>128</v>
      </c>
      <c r="AJ2" s="20"/>
      <c r="AK2" s="20"/>
      <c r="AL2" s="20"/>
      <c r="AM2" s="20"/>
      <c r="AN2" s="20"/>
      <c r="AP2" s="20" t="s">
        <v>129</v>
      </c>
      <c r="AQ2" s="20"/>
      <c r="AR2" s="20"/>
      <c r="AS2" s="20"/>
      <c r="AT2" s="20"/>
      <c r="AU2" s="20"/>
      <c r="AW2" s="20" t="s">
        <v>34</v>
      </c>
      <c r="AX2" s="20"/>
      <c r="AY2" s="20"/>
      <c r="AZ2" s="20"/>
      <c r="BA2" s="20"/>
      <c r="BB2" s="20"/>
      <c r="BD2" s="20" t="s">
        <v>35</v>
      </c>
      <c r="BE2" s="20"/>
      <c r="BF2" s="20"/>
      <c r="BG2" s="20"/>
      <c r="BH2" s="20"/>
      <c r="BI2" s="20"/>
      <c r="BK2" s="20" t="s">
        <v>36</v>
      </c>
      <c r="BL2" s="20"/>
      <c r="BM2" s="20"/>
      <c r="BN2" s="20"/>
      <c r="BO2" s="20"/>
      <c r="BP2" s="20"/>
      <c r="BR2" s="20" t="s">
        <v>37</v>
      </c>
      <c r="BS2" s="20"/>
      <c r="BT2" s="20"/>
      <c r="BU2" s="20"/>
      <c r="BV2" s="20"/>
      <c r="BW2" s="20"/>
      <c r="BY2" s="20" t="s">
        <v>42</v>
      </c>
      <c r="BZ2" s="20"/>
      <c r="CA2" s="20"/>
      <c r="CB2" s="20"/>
      <c r="CC2" s="20"/>
      <c r="CD2" s="20"/>
      <c r="CF2" s="20" t="s">
        <v>43</v>
      </c>
      <c r="CG2" s="20"/>
      <c r="CH2" s="20"/>
      <c r="CI2" s="20"/>
      <c r="CJ2" s="20"/>
      <c r="CK2" s="20"/>
      <c r="CM2" s="20" t="s">
        <v>44</v>
      </c>
      <c r="CN2" s="20"/>
      <c r="CO2" s="20"/>
      <c r="CP2" s="20"/>
      <c r="CQ2" s="20"/>
      <c r="CR2" s="20"/>
      <c r="CT2" s="20" t="s">
        <v>94</v>
      </c>
      <c r="CU2" s="20"/>
      <c r="CV2" s="20"/>
      <c r="CW2" s="20"/>
      <c r="CX2" s="20"/>
      <c r="CY2" s="20"/>
      <c r="DA2" s="20" t="s">
        <v>130</v>
      </c>
      <c r="DB2" s="20"/>
      <c r="DC2" s="20"/>
      <c r="DD2" s="20"/>
      <c r="DE2" s="20"/>
      <c r="DF2" s="20"/>
      <c r="DG2" s="20" t="s">
        <v>131</v>
      </c>
      <c r="DH2" s="20"/>
      <c r="DI2" s="20"/>
      <c r="DJ2" s="20"/>
      <c r="DK2" s="20"/>
      <c r="DL2" s="20"/>
    </row>
    <row r="3" spans="2:116">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G3" s="5" t="s">
        <v>11</v>
      </c>
      <c r="DH3" s="5" t="s">
        <v>2</v>
      </c>
      <c r="DI3" s="5" t="s">
        <v>32</v>
      </c>
      <c r="DJ3" s="5" t="s">
        <v>3</v>
      </c>
      <c r="DK3" s="5" t="s">
        <v>32</v>
      </c>
      <c r="DL3" s="5" t="s">
        <v>12</v>
      </c>
    </row>
    <row r="4" spans="2:116">
      <c r="B4" t="s">
        <v>27</v>
      </c>
      <c r="C4" t="s">
        <v>95</v>
      </c>
      <c r="D4" s="19">
        <v>45122</v>
      </c>
      <c r="E4" s="9">
        <v>10</v>
      </c>
      <c r="G4" s="10">
        <f>+SUM(G5:G9)</f>
        <v>1</v>
      </c>
      <c r="I4" s="12">
        <f>+SUM(I5:I9)</f>
        <v>0</v>
      </c>
      <c r="J4" s="11">
        <f>+SUMPRODUCT(G5:G9,J5:J9)</f>
        <v>0</v>
      </c>
      <c r="K4" s="11">
        <f>+SUMPRODUCT(G5:G9,K5:K9)</f>
        <v>0</v>
      </c>
      <c r="L4" s="9"/>
      <c r="N4" s="12">
        <f>+SUM(N5:N9)</f>
        <v>0</v>
      </c>
      <c r="U4" s="12">
        <f>+SUM(U5:U9)</f>
        <v>0</v>
      </c>
      <c r="AB4" s="12">
        <f>+SUM(AB5:AB9)</f>
        <v>0</v>
      </c>
      <c r="AI4" s="12">
        <f>+SUM(AI5:AI9)</f>
        <v>0</v>
      </c>
      <c r="AP4" s="12">
        <f>+SUM(AP5:AP9)</f>
        <v>0</v>
      </c>
      <c r="AW4" s="12">
        <f>+SUM(AW5:AW9)</f>
        <v>0</v>
      </c>
      <c r="BD4" s="12">
        <f>+SUM(BD5:BD9)</f>
        <v>0</v>
      </c>
      <c r="BK4" s="12">
        <f>+SUM(BK5:BK9)</f>
        <v>0</v>
      </c>
      <c r="BR4" s="12">
        <f>+SUM(BR5:BR9)</f>
        <v>0</v>
      </c>
      <c r="BY4" s="12">
        <f>+SUM(BY5:BY9)</f>
        <v>0</v>
      </c>
      <c r="CF4" s="12">
        <f>+SUM(CF5:CF9)</f>
        <v>0</v>
      </c>
      <c r="CM4" s="12">
        <f>+SUM(CM5:CM9)</f>
        <v>0</v>
      </c>
      <c r="CT4" s="12">
        <f>+SUM(CT5:CT9)</f>
        <v>0</v>
      </c>
      <c r="DA4" s="12">
        <f>+SUM(DA5:DA9)</f>
        <v>0</v>
      </c>
      <c r="DG4" s="12">
        <f>+SUM(DG5:DG9)</f>
        <v>0</v>
      </c>
    </row>
    <row r="5" spans="2:116" outlineLevel="1">
      <c r="B5" t="s">
        <v>28</v>
      </c>
      <c r="C5" t="s">
        <v>95</v>
      </c>
      <c r="E5" s="9"/>
      <c r="F5" t="s">
        <v>96</v>
      </c>
      <c r="G5" s="10">
        <v>0.4</v>
      </c>
      <c r="I5" s="9">
        <f>+SUMIF($N$3:$ZS$3,I$3,$N5:$ZS5)</f>
        <v>0</v>
      </c>
      <c r="J5" s="11" cm="1">
        <f t="array" ref="J5">MAX(IF($N$3:$EA$3=$J$3,N5:EA5))</f>
        <v>0</v>
      </c>
      <c r="K5" s="11" cm="1">
        <f t="array" ref="K5">MAX(IF($N$3:$EA$3=$J$3,N5:EA5))</f>
        <v>0</v>
      </c>
      <c r="L5" s="9"/>
      <c r="O5" s="10"/>
      <c r="P5" s="10">
        <v>0.3</v>
      </c>
      <c r="Q5" s="10"/>
      <c r="R5" s="10">
        <v>0.3</v>
      </c>
      <c r="V5" s="10"/>
      <c r="W5" s="10">
        <v>0.5</v>
      </c>
      <c r="X5" s="10"/>
      <c r="Y5" s="10">
        <v>0.5</v>
      </c>
      <c r="AC5" s="10"/>
      <c r="AD5" s="10">
        <v>0.5</v>
      </c>
      <c r="AE5" s="10"/>
      <c r="AF5" s="10">
        <v>0.5</v>
      </c>
      <c r="AJ5" s="10"/>
      <c r="AK5" s="10">
        <v>0.5</v>
      </c>
      <c r="AL5" s="10"/>
      <c r="AM5" s="10">
        <v>0.5</v>
      </c>
      <c r="AQ5" s="10"/>
      <c r="AR5" s="10">
        <v>0.8</v>
      </c>
      <c r="AS5" s="10"/>
      <c r="AT5" s="10">
        <v>0.8</v>
      </c>
      <c r="AX5" s="10"/>
      <c r="AY5" s="10">
        <v>0.8</v>
      </c>
      <c r="AZ5" s="10"/>
      <c r="BA5" s="10">
        <v>0.8</v>
      </c>
      <c r="BE5" s="10"/>
      <c r="BF5" s="10">
        <v>0.8</v>
      </c>
      <c r="BG5" s="10"/>
      <c r="BH5" s="10">
        <v>0.8</v>
      </c>
      <c r="BL5" s="10"/>
      <c r="BM5" s="10">
        <v>1</v>
      </c>
      <c r="BN5" s="10"/>
      <c r="BO5" s="10">
        <v>1</v>
      </c>
      <c r="BS5" s="10"/>
      <c r="BT5" s="10">
        <v>1</v>
      </c>
      <c r="BU5" s="10"/>
      <c r="BV5" s="10">
        <v>1</v>
      </c>
      <c r="BZ5" s="10"/>
      <c r="CA5" s="10">
        <v>1</v>
      </c>
      <c r="CB5" s="10"/>
      <c r="CC5" s="10">
        <v>1</v>
      </c>
      <c r="CG5" s="10"/>
      <c r="CH5" s="10"/>
      <c r="CI5" s="10"/>
      <c r="CJ5" s="10"/>
      <c r="CN5" s="10"/>
      <c r="CO5" s="10"/>
      <c r="CP5" s="10"/>
      <c r="CQ5" s="10"/>
      <c r="CU5" s="10"/>
      <c r="CV5" s="10"/>
      <c r="CW5" s="10"/>
      <c r="CX5" s="10"/>
      <c r="DB5" s="10"/>
      <c r="DC5" s="10"/>
      <c r="DD5" s="10"/>
      <c r="DE5" s="10"/>
      <c r="DH5" s="10"/>
      <c r="DI5" s="10"/>
      <c r="DJ5" s="10"/>
      <c r="DK5" s="10"/>
    </row>
    <row r="6" spans="2:116" outlineLevel="1">
      <c r="B6" t="s">
        <v>28</v>
      </c>
      <c r="C6" t="s">
        <v>95</v>
      </c>
      <c r="E6" s="9"/>
      <c r="F6" t="s">
        <v>97</v>
      </c>
      <c r="G6" s="10">
        <v>0.15</v>
      </c>
      <c r="I6" s="9">
        <f>+SUMIF($N$3:$ZS$3,I$3,$N6:$ZS6)</f>
        <v>0</v>
      </c>
      <c r="J6" s="11" cm="1">
        <f t="array" ref="J6">MAX(IF($N$3:$EA$3=$J$3,N6:EA6))</f>
        <v>0</v>
      </c>
      <c r="K6" s="11" cm="1">
        <f t="array" ref="K6">MAX(IF($N$3:$EA$3=$J$3,N6:EA6))</f>
        <v>0</v>
      </c>
      <c r="L6" s="9"/>
      <c r="O6" s="10"/>
      <c r="P6" s="10">
        <v>0.3</v>
      </c>
      <c r="Q6" s="10"/>
      <c r="R6" s="10">
        <v>0.3</v>
      </c>
      <c r="V6" s="10"/>
      <c r="W6" s="10">
        <v>0.3</v>
      </c>
      <c r="X6" s="10"/>
      <c r="Y6" s="10">
        <v>0.3</v>
      </c>
      <c r="AC6" s="10"/>
      <c r="AD6" s="10">
        <v>0.5</v>
      </c>
      <c r="AE6" s="10"/>
      <c r="AF6" s="10">
        <v>0.5</v>
      </c>
      <c r="AJ6" s="10"/>
      <c r="AK6" s="10">
        <v>0.5</v>
      </c>
      <c r="AL6" s="10"/>
      <c r="AM6" s="10">
        <v>0.5</v>
      </c>
      <c r="AQ6" s="10"/>
      <c r="AR6" s="10">
        <v>0.5</v>
      </c>
      <c r="AS6" s="10"/>
      <c r="AT6" s="10">
        <v>0.5</v>
      </c>
      <c r="AX6" s="10"/>
      <c r="AY6" s="10">
        <v>0.8</v>
      </c>
      <c r="AZ6" s="10"/>
      <c r="BA6" s="10">
        <v>0.8</v>
      </c>
      <c r="BE6" s="10"/>
      <c r="BF6" s="10">
        <v>0.8</v>
      </c>
      <c r="BG6" s="10"/>
      <c r="BH6" s="10">
        <v>0.8</v>
      </c>
      <c r="BL6" s="10"/>
      <c r="BM6" s="10">
        <v>0.8</v>
      </c>
      <c r="BN6" s="10"/>
      <c r="BO6" s="10">
        <v>0.8</v>
      </c>
      <c r="BS6" s="10"/>
      <c r="BT6" s="10">
        <v>1</v>
      </c>
      <c r="BU6" s="10"/>
      <c r="BV6" s="10">
        <v>1</v>
      </c>
      <c r="BZ6" s="10"/>
      <c r="CA6" s="10">
        <v>1</v>
      </c>
      <c r="CB6" s="10"/>
      <c r="CC6" s="10">
        <v>1</v>
      </c>
      <c r="CG6" s="10"/>
      <c r="CH6" s="10"/>
      <c r="CI6" s="10"/>
      <c r="CJ6" s="10"/>
      <c r="CN6" s="10"/>
      <c r="CO6" s="10"/>
      <c r="CP6" s="10"/>
      <c r="CQ6" s="10"/>
      <c r="CU6" s="10"/>
      <c r="CV6" s="10"/>
      <c r="CW6" s="10"/>
      <c r="CX6" s="10"/>
      <c r="DB6" s="10"/>
      <c r="DC6" s="10"/>
      <c r="DD6" s="10"/>
      <c r="DE6" s="10"/>
      <c r="DH6" s="10"/>
      <c r="DI6" s="10"/>
      <c r="DJ6" s="10"/>
      <c r="DK6" s="10"/>
    </row>
    <row r="7" spans="2:116" outlineLevel="1">
      <c r="B7" t="s">
        <v>28</v>
      </c>
      <c r="C7" t="s">
        <v>95</v>
      </c>
      <c r="E7" s="9"/>
      <c r="F7" t="s">
        <v>98</v>
      </c>
      <c r="G7" s="10">
        <v>0.1</v>
      </c>
      <c r="I7" s="9">
        <f>+SUMIF($N$3:$ZS$3,I$3,$N7:$ZS7)</f>
        <v>0</v>
      </c>
      <c r="J7" s="11" cm="1">
        <f t="array" ref="J7">MAX(IF($N$3:$EA$3=$J$3,N7:EA7))</f>
        <v>0</v>
      </c>
      <c r="K7" s="11" cm="1">
        <f t="array" ref="K7">MAX(IF($N$3:$EA$3=$J$3,N7:EA7))</f>
        <v>0</v>
      </c>
      <c r="L7" s="9"/>
      <c r="O7" s="10"/>
      <c r="P7" s="10"/>
      <c r="Q7" s="10"/>
      <c r="R7" s="10"/>
      <c r="V7" s="10"/>
      <c r="W7" s="10">
        <v>0.3</v>
      </c>
      <c r="X7" s="10"/>
      <c r="Y7" s="10">
        <v>0.3</v>
      </c>
      <c r="AC7" s="10"/>
      <c r="AD7" s="10">
        <v>0.3</v>
      </c>
      <c r="AE7" s="10"/>
      <c r="AF7" s="10">
        <v>0.3</v>
      </c>
      <c r="AJ7" s="10"/>
      <c r="AK7" s="10">
        <v>0.5</v>
      </c>
      <c r="AL7" s="10"/>
      <c r="AM7" s="10">
        <v>0.5</v>
      </c>
      <c r="AQ7" s="10"/>
      <c r="AR7" s="10">
        <v>0.5</v>
      </c>
      <c r="AS7" s="10"/>
      <c r="AT7" s="10">
        <v>0.5</v>
      </c>
      <c r="AX7" s="10"/>
      <c r="AY7" s="10">
        <v>0.5</v>
      </c>
      <c r="AZ7" s="10"/>
      <c r="BA7" s="10">
        <v>0.5</v>
      </c>
      <c r="BE7" s="10"/>
      <c r="BF7" s="10">
        <v>0.8</v>
      </c>
      <c r="BG7" s="10"/>
      <c r="BH7" s="10">
        <v>0.8</v>
      </c>
      <c r="BL7" s="10"/>
      <c r="BM7" s="10">
        <v>0.8</v>
      </c>
      <c r="BN7" s="10"/>
      <c r="BO7" s="10">
        <v>0.8</v>
      </c>
      <c r="BS7" s="10"/>
      <c r="BT7" s="10">
        <v>1</v>
      </c>
      <c r="BU7" s="10"/>
      <c r="BV7" s="10">
        <v>1</v>
      </c>
      <c r="BZ7" s="10"/>
      <c r="CA7" s="10">
        <v>1</v>
      </c>
      <c r="CB7" s="10"/>
      <c r="CC7" s="10">
        <v>1</v>
      </c>
      <c r="CG7" s="10"/>
      <c r="CH7" s="10"/>
      <c r="CI7" s="10"/>
      <c r="CJ7" s="10"/>
      <c r="CN7" s="10"/>
      <c r="CO7" s="10"/>
      <c r="CP7" s="10"/>
      <c r="CQ7" s="10"/>
      <c r="CU7" s="10"/>
      <c r="CV7" s="10"/>
      <c r="CW7" s="10"/>
      <c r="CX7" s="10"/>
      <c r="DB7" s="10"/>
      <c r="DC7" s="10"/>
      <c r="DD7" s="10"/>
      <c r="DE7" s="10"/>
      <c r="DH7" s="10"/>
      <c r="DI7" s="10"/>
      <c r="DJ7" s="10"/>
      <c r="DK7" s="10"/>
    </row>
    <row r="8" spans="2:116" outlineLevel="1">
      <c r="B8" t="s">
        <v>28</v>
      </c>
      <c r="C8" t="s">
        <v>95</v>
      </c>
      <c r="E8" s="9"/>
      <c r="F8" t="s">
        <v>99</v>
      </c>
      <c r="G8" s="10">
        <v>0.2</v>
      </c>
      <c r="I8" s="9">
        <f>+SUMIF($N$3:$ZS$3,I$3,$N8:$ZS8)</f>
        <v>0</v>
      </c>
      <c r="J8" s="11" cm="1">
        <f t="array" ref="J8">MAX(IF($N$3:$EA$3=$J$3,N8:EA8))</f>
        <v>0</v>
      </c>
      <c r="K8" s="11" cm="1">
        <f t="array" ref="K8">MAX(IF($N$3:$EA$3=$J$3,N8:EA8))</f>
        <v>0</v>
      </c>
      <c r="L8" s="9"/>
      <c r="O8" s="10"/>
      <c r="P8" s="10"/>
      <c r="Q8" s="10"/>
      <c r="R8" s="10"/>
      <c r="V8" s="10"/>
      <c r="W8" s="10"/>
      <c r="X8" s="10"/>
      <c r="Y8" s="10"/>
      <c r="AC8" s="10"/>
      <c r="AD8" s="10">
        <v>0.3</v>
      </c>
      <c r="AE8" s="10"/>
      <c r="AF8" s="10">
        <v>0.3</v>
      </c>
      <c r="AJ8" s="10"/>
      <c r="AK8" s="10">
        <v>0.3</v>
      </c>
      <c r="AL8" s="10"/>
      <c r="AM8" s="10">
        <v>0.3</v>
      </c>
      <c r="AQ8" s="10"/>
      <c r="AR8" s="10">
        <v>0.5</v>
      </c>
      <c r="AS8" s="10"/>
      <c r="AT8" s="10">
        <v>0.5</v>
      </c>
      <c r="AX8" s="10"/>
      <c r="AY8" s="10">
        <v>0.5</v>
      </c>
      <c r="AZ8" s="10"/>
      <c r="BA8" s="10">
        <v>0.5</v>
      </c>
      <c r="BE8" s="10"/>
      <c r="BF8" s="10">
        <v>0.8</v>
      </c>
      <c r="BG8" s="10"/>
      <c r="BH8" s="10">
        <v>0.8</v>
      </c>
      <c r="BL8" s="10"/>
      <c r="BM8" s="10">
        <v>0.8</v>
      </c>
      <c r="BN8" s="10"/>
      <c r="BO8" s="10">
        <v>0.8</v>
      </c>
      <c r="BS8" s="10"/>
      <c r="BT8" s="10">
        <v>0.8</v>
      </c>
      <c r="BU8" s="10"/>
      <c r="BV8" s="10">
        <v>0.8</v>
      </c>
      <c r="BZ8" s="10"/>
      <c r="CA8" s="10">
        <v>1</v>
      </c>
      <c r="CB8" s="10"/>
      <c r="CC8" s="10">
        <v>1</v>
      </c>
      <c r="CG8" s="10"/>
      <c r="CH8" s="10"/>
      <c r="CI8" s="10"/>
      <c r="CJ8" s="10"/>
      <c r="CN8" s="10"/>
      <c r="CO8" s="10"/>
      <c r="CP8" s="10"/>
      <c r="CQ8" s="10"/>
      <c r="CU8" s="10"/>
      <c r="CV8" s="10"/>
      <c r="CW8" s="10"/>
      <c r="CX8" s="10"/>
      <c r="DB8" s="10"/>
      <c r="DC8" s="10"/>
      <c r="DD8" s="10"/>
      <c r="DE8" s="10"/>
      <c r="DH8" s="10"/>
      <c r="DI8" s="10"/>
      <c r="DJ8" s="10"/>
      <c r="DK8" s="10"/>
    </row>
    <row r="9" spans="2:116" outlineLevel="1">
      <c r="B9" t="s">
        <v>28</v>
      </c>
      <c r="C9" t="s">
        <v>95</v>
      </c>
      <c r="E9" s="9"/>
      <c r="F9" t="s">
        <v>100</v>
      </c>
      <c r="G9" s="10">
        <v>0.15</v>
      </c>
      <c r="I9" s="9">
        <f>+SUMIF($N$3:$ZS$3,I$3,$N9:$ZS9)</f>
        <v>0</v>
      </c>
      <c r="J9" s="11" cm="1">
        <f t="array" ref="J9">MAX(IF($N$3:$EA$3=$J$3,N9:EA9))</f>
        <v>0</v>
      </c>
      <c r="K9" s="11" cm="1">
        <f t="array" ref="K9">MAX(IF($N$3:$EA$3=$J$3,N9:EA9))</f>
        <v>0</v>
      </c>
      <c r="L9" s="9"/>
      <c r="O9" s="10"/>
      <c r="P9" s="10"/>
      <c r="Q9" s="10"/>
      <c r="R9" s="10"/>
      <c r="V9" s="10"/>
      <c r="W9" s="10"/>
      <c r="X9" s="10"/>
      <c r="Y9" s="10"/>
      <c r="AC9" s="10"/>
      <c r="AD9" s="10"/>
      <c r="AE9" s="10"/>
      <c r="AF9" s="10"/>
      <c r="AJ9" s="10"/>
      <c r="AK9" s="10">
        <v>0.3</v>
      </c>
      <c r="AL9" s="10"/>
      <c r="AM9" s="10">
        <v>0.3</v>
      </c>
      <c r="AQ9" s="10"/>
      <c r="AR9" s="10">
        <v>0.3</v>
      </c>
      <c r="AS9" s="10"/>
      <c r="AT9" s="10">
        <v>0.3</v>
      </c>
      <c r="AX9" s="10"/>
      <c r="AY9" s="10">
        <v>0.3</v>
      </c>
      <c r="AZ9" s="10"/>
      <c r="BA9" s="10">
        <v>0.3</v>
      </c>
      <c r="BE9" s="10"/>
      <c r="BF9" s="10">
        <v>0.5</v>
      </c>
      <c r="BG9" s="10"/>
      <c r="BH9" s="10">
        <v>0.5</v>
      </c>
      <c r="BL9" s="10"/>
      <c r="BM9" s="10">
        <v>0.8</v>
      </c>
      <c r="BN9" s="10"/>
      <c r="BO9" s="10">
        <v>0.8</v>
      </c>
      <c r="BS9" s="10"/>
      <c r="BT9" s="10">
        <v>0.8</v>
      </c>
      <c r="BU9" s="10"/>
      <c r="BV9" s="10">
        <v>0.8</v>
      </c>
      <c r="BZ9" s="10"/>
      <c r="CA9" s="10">
        <v>1</v>
      </c>
      <c r="CB9" s="10"/>
      <c r="CC9" s="10">
        <v>1</v>
      </c>
      <c r="CG9" s="10"/>
      <c r="CH9" s="10"/>
      <c r="CI9" s="10"/>
      <c r="CJ9" s="10"/>
      <c r="CN9" s="10"/>
      <c r="CO9" s="10"/>
      <c r="CP9" s="10"/>
      <c r="CQ9" s="10"/>
      <c r="CU9" s="10"/>
      <c r="CV9" s="10"/>
      <c r="CW9" s="10"/>
      <c r="CX9" s="10"/>
      <c r="DB9" s="10"/>
      <c r="DC9" s="10"/>
      <c r="DD9" s="10"/>
      <c r="DE9" s="10"/>
      <c r="DH9" s="10"/>
      <c r="DI9" s="10"/>
      <c r="DJ9" s="10"/>
      <c r="DK9" s="10"/>
    </row>
    <row r="10" spans="2:116">
      <c r="AR10" s="10"/>
    </row>
    <row r="11" spans="2:116">
      <c r="B11" t="s">
        <v>27</v>
      </c>
      <c r="C11" t="s">
        <v>101</v>
      </c>
      <c r="D11" s="19">
        <v>45121</v>
      </c>
      <c r="E11" s="9">
        <v>5</v>
      </c>
      <c r="G11" s="10">
        <f>+SUM(G12:G16)</f>
        <v>0.99999999999999989</v>
      </c>
      <c r="I11" s="12">
        <f>+SUM(I12:I16)</f>
        <v>0</v>
      </c>
      <c r="J11" s="11">
        <f>+SUMPRODUCT(G12:G16,J12:J16)</f>
        <v>0</v>
      </c>
      <c r="K11" s="11">
        <f>+SUMPRODUCT(G12:G16,K12:K16)</f>
        <v>0</v>
      </c>
      <c r="L11" s="9"/>
      <c r="N11" s="12">
        <f>+SUM(N12:N16)</f>
        <v>0</v>
      </c>
      <c r="U11" s="12">
        <f>+SUM(U12:U16)</f>
        <v>0</v>
      </c>
      <c r="AB11" s="12">
        <f>+SUM(AB12:AB16)</f>
        <v>0</v>
      </c>
      <c r="AI11" s="12">
        <f>+SUM(AI12:AI16)</f>
        <v>0</v>
      </c>
      <c r="AP11" s="12">
        <f>+SUM(AP12:AP16)</f>
        <v>0</v>
      </c>
      <c r="BK11" s="12">
        <f>+SUM(BK12:BK16)</f>
        <v>0</v>
      </c>
      <c r="BR11" s="12">
        <f>+SUM(BR12:BR16)</f>
        <v>0</v>
      </c>
      <c r="BY11" s="12">
        <f>+SUM(BY12:BY16)</f>
        <v>0</v>
      </c>
      <c r="CF11" s="12">
        <f>+SUM(CF12:CF16)</f>
        <v>0</v>
      </c>
      <c r="DG11" s="12">
        <f>+SUM(DG12:DG16)</f>
        <v>0</v>
      </c>
    </row>
    <row r="12" spans="2:116" outlineLevel="1">
      <c r="B12" t="s">
        <v>28</v>
      </c>
      <c r="C12" t="s">
        <v>101</v>
      </c>
      <c r="E12" s="9"/>
      <c r="F12" t="s">
        <v>102</v>
      </c>
      <c r="G12" s="10">
        <v>0.25</v>
      </c>
      <c r="I12" s="9">
        <f>+SUMIF($N$3:$ZS$3,I$3,$N12:$ZS12)</f>
        <v>0</v>
      </c>
      <c r="J12" s="11" cm="1">
        <f t="array" ref="J12">MAX(IF($N$3:$EA$3=$J$3,N12:EA12))</f>
        <v>0</v>
      </c>
      <c r="K12" s="11" cm="1">
        <f t="array" ref="K12">MAX(IF($N$3:$EA$3=$J$3,N12:EA12))</f>
        <v>0</v>
      </c>
      <c r="L12" s="9"/>
      <c r="O12" s="10"/>
      <c r="P12" s="10">
        <v>0.5</v>
      </c>
      <c r="Q12" s="10"/>
      <c r="R12" s="10">
        <v>0.5</v>
      </c>
      <c r="V12" s="10"/>
      <c r="W12" s="10">
        <v>0.5</v>
      </c>
      <c r="X12" s="10"/>
      <c r="Y12" s="10">
        <v>0.5</v>
      </c>
      <c r="AC12" s="10"/>
      <c r="AD12" s="10">
        <v>0.5</v>
      </c>
      <c r="AE12" s="10"/>
      <c r="AF12" s="10">
        <v>0.5</v>
      </c>
      <c r="AJ12" s="10"/>
      <c r="AK12" s="10">
        <v>0.8</v>
      </c>
      <c r="AL12" s="10"/>
      <c r="AM12" s="10">
        <v>0.8</v>
      </c>
      <c r="AQ12" s="10"/>
      <c r="AR12" s="10">
        <v>0.8</v>
      </c>
      <c r="AS12" s="10"/>
      <c r="AT12" s="10">
        <v>0.8</v>
      </c>
      <c r="AX12" s="10"/>
      <c r="AY12" s="10">
        <v>0.8</v>
      </c>
      <c r="AZ12" s="10"/>
      <c r="BA12" s="10">
        <v>0.8</v>
      </c>
      <c r="BE12" s="10"/>
      <c r="BF12" s="10">
        <v>1</v>
      </c>
      <c r="BG12" s="10"/>
      <c r="BH12" s="10">
        <v>1</v>
      </c>
      <c r="BL12" s="10"/>
      <c r="BM12" s="10">
        <v>1</v>
      </c>
      <c r="BN12" s="10"/>
      <c r="BO12" s="10">
        <v>1</v>
      </c>
      <c r="BS12" s="10"/>
      <c r="BT12" s="10">
        <v>1</v>
      </c>
      <c r="BU12" s="10"/>
      <c r="BV12" s="10">
        <v>1</v>
      </c>
      <c r="BZ12" s="10"/>
      <c r="CA12" s="10">
        <v>1</v>
      </c>
      <c r="CB12" s="10"/>
      <c r="CC12" s="10">
        <v>1</v>
      </c>
      <c r="CG12" s="10"/>
      <c r="CH12" s="10">
        <v>1</v>
      </c>
      <c r="CI12" s="10"/>
      <c r="CJ12" s="10">
        <v>1</v>
      </c>
      <c r="CN12" s="10"/>
      <c r="CO12" s="10"/>
      <c r="CP12" s="10"/>
      <c r="CQ12" s="10"/>
      <c r="CU12" s="10"/>
      <c r="CV12" s="10"/>
      <c r="CW12" s="10"/>
      <c r="CX12" s="10"/>
      <c r="DB12" s="10"/>
      <c r="DC12" s="10"/>
      <c r="DD12" s="10"/>
      <c r="DE12" s="10"/>
      <c r="DH12" s="10"/>
      <c r="DI12" s="10"/>
      <c r="DJ12" s="10"/>
      <c r="DK12" s="10"/>
    </row>
    <row r="13" spans="2:116" outlineLevel="1">
      <c r="B13" t="s">
        <v>28</v>
      </c>
      <c r="C13" t="s">
        <v>101</v>
      </c>
      <c r="E13" s="9"/>
      <c r="F13" t="s">
        <v>103</v>
      </c>
      <c r="G13" s="10">
        <v>0.05</v>
      </c>
      <c r="I13" s="9">
        <f>+SUMIF($N$3:$ZS$3,I$3,$N13:$ZS13)</f>
        <v>0</v>
      </c>
      <c r="J13" s="11" cm="1">
        <f t="array" ref="J13">MAX(IF($N$3:$EA$3=$J$3,N13:EA13))</f>
        <v>0</v>
      </c>
      <c r="K13" s="11" cm="1">
        <f t="array" ref="K13">MAX(IF($N$3:$EA$3=$J$3,N13:EA13))</f>
        <v>0</v>
      </c>
      <c r="L13" s="9"/>
      <c r="O13" s="10"/>
      <c r="P13" s="10"/>
      <c r="Q13" s="10"/>
      <c r="R13" s="10"/>
      <c r="V13" s="10"/>
      <c r="W13" s="10">
        <v>0.5</v>
      </c>
      <c r="X13" s="10"/>
      <c r="Y13" s="10">
        <v>0.5</v>
      </c>
      <c r="AC13" s="10"/>
      <c r="AD13" s="10">
        <v>0.5</v>
      </c>
      <c r="AE13" s="10"/>
      <c r="AF13" s="10">
        <v>0.5</v>
      </c>
      <c r="AJ13" s="10"/>
      <c r="AK13" s="10">
        <v>0.5</v>
      </c>
      <c r="AL13" s="10"/>
      <c r="AM13" s="10">
        <v>0.5</v>
      </c>
      <c r="AQ13" s="10"/>
      <c r="AR13" s="10">
        <v>0.8</v>
      </c>
      <c r="AS13" s="10"/>
      <c r="AT13" s="10">
        <v>0.8</v>
      </c>
      <c r="AX13" s="10"/>
      <c r="AY13" s="10">
        <v>0.8</v>
      </c>
      <c r="AZ13" s="10"/>
      <c r="BA13" s="10">
        <v>0.8</v>
      </c>
      <c r="BE13" s="10"/>
      <c r="BF13" s="10">
        <v>0.8</v>
      </c>
      <c r="BG13" s="10"/>
      <c r="BH13" s="10">
        <v>0.8</v>
      </c>
      <c r="BL13" s="10"/>
      <c r="BM13" s="10">
        <v>1</v>
      </c>
      <c r="BN13" s="10"/>
      <c r="BO13" s="10">
        <v>0.1</v>
      </c>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c r="DH13" s="10"/>
      <c r="DI13" s="10"/>
      <c r="DJ13" s="10"/>
      <c r="DK13" s="10"/>
    </row>
    <row r="14" spans="2:116" outlineLevel="1">
      <c r="B14" t="s">
        <v>28</v>
      </c>
      <c r="C14" t="s">
        <v>101</v>
      </c>
      <c r="E14" s="9"/>
      <c r="F14" t="s">
        <v>104</v>
      </c>
      <c r="G14" s="10">
        <v>0.3</v>
      </c>
      <c r="I14" s="9">
        <f>+SUMIF($N$3:$ZS$3,I$3,$N14:$ZS14)</f>
        <v>0</v>
      </c>
      <c r="J14" s="11" cm="1">
        <f t="array" ref="J14">MAX(IF($N$3:$EA$3=$J$3,N14:EA14))</f>
        <v>0</v>
      </c>
      <c r="K14" s="11" cm="1">
        <f t="array" ref="K14">MAX(IF($N$3:$EA$3=$J$3,N14:EA14))</f>
        <v>0</v>
      </c>
      <c r="L14" s="9"/>
      <c r="O14" s="10"/>
      <c r="P14" s="10"/>
      <c r="Q14" s="10"/>
      <c r="R14" s="10"/>
      <c r="V14" s="10"/>
      <c r="W14" s="10"/>
      <c r="X14" s="10"/>
      <c r="Y14" s="10"/>
      <c r="AC14" s="10"/>
      <c r="AD14" s="10">
        <v>0.5</v>
      </c>
      <c r="AE14" s="10"/>
      <c r="AF14" s="10">
        <v>0.5</v>
      </c>
      <c r="AJ14" s="10"/>
      <c r="AK14" s="10">
        <v>0.5</v>
      </c>
      <c r="AL14" s="10"/>
      <c r="AM14" s="10">
        <v>0.5</v>
      </c>
      <c r="AQ14" s="10"/>
      <c r="AR14" s="10">
        <v>0.5</v>
      </c>
      <c r="AS14" s="10"/>
      <c r="AT14" s="10">
        <v>0.5</v>
      </c>
      <c r="AX14" s="10"/>
      <c r="AY14" s="10">
        <v>0.5</v>
      </c>
      <c r="AZ14" s="10"/>
      <c r="BA14" s="10">
        <v>0.5</v>
      </c>
      <c r="BE14" s="10"/>
      <c r="BF14" s="10">
        <v>0.8</v>
      </c>
      <c r="BG14" s="10"/>
      <c r="BH14" s="10">
        <v>0.8</v>
      </c>
      <c r="BL14" s="10"/>
      <c r="BM14" s="10">
        <v>0.8</v>
      </c>
      <c r="BN14" s="10"/>
      <c r="BO14" s="10">
        <v>0.8</v>
      </c>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c r="DH14" s="10"/>
      <c r="DI14" s="10"/>
      <c r="DJ14" s="10"/>
      <c r="DK14" s="10"/>
    </row>
    <row r="15" spans="2:116" outlineLevel="1">
      <c r="B15" t="s">
        <v>28</v>
      </c>
      <c r="C15" t="s">
        <v>101</v>
      </c>
      <c r="E15" s="9"/>
      <c r="F15" t="s">
        <v>133</v>
      </c>
      <c r="G15" s="10">
        <v>0.3</v>
      </c>
      <c r="I15" s="9">
        <f>+SUMIF($N$3:$ZS$3,I$3,$N15:$ZS15)</f>
        <v>0</v>
      </c>
      <c r="J15" s="11" cm="1">
        <f t="array" ref="J15">MAX(IF($N$3:$EA$3=$J$3,N15:EA15))</f>
        <v>0</v>
      </c>
      <c r="K15" s="11" cm="1">
        <f t="array" ref="K15">MAX(IF($N$3:$EA$3=$J$3,N15:EA15))</f>
        <v>0</v>
      </c>
      <c r="L15" s="9"/>
      <c r="O15" s="10"/>
      <c r="P15" s="10"/>
      <c r="Q15" s="10"/>
      <c r="R15" s="10"/>
      <c r="V15" s="10"/>
      <c r="W15" s="10"/>
      <c r="X15" s="10"/>
      <c r="Y15" s="10"/>
      <c r="AC15" s="10"/>
      <c r="AD15" s="10"/>
      <c r="AE15" s="10"/>
      <c r="AF15" s="10"/>
      <c r="AJ15" s="10"/>
      <c r="AK15" s="10">
        <v>0.5</v>
      </c>
      <c r="AL15" s="10"/>
      <c r="AM15" s="10">
        <v>0.5</v>
      </c>
      <c r="AQ15" s="10"/>
      <c r="AR15" s="10">
        <v>0.5</v>
      </c>
      <c r="AS15" s="10"/>
      <c r="AT15" s="10">
        <v>0.5</v>
      </c>
      <c r="AX15" s="10"/>
      <c r="AY15" s="10">
        <v>0.5</v>
      </c>
      <c r="AZ15" s="10"/>
      <c r="BA15" s="10">
        <v>0.5</v>
      </c>
      <c r="BE15" s="10"/>
      <c r="BF15" s="10">
        <v>0.5</v>
      </c>
      <c r="BG15" s="10"/>
      <c r="BH15" s="10">
        <v>0.5</v>
      </c>
      <c r="BL15" s="10"/>
      <c r="BM15" s="10">
        <v>0.8</v>
      </c>
      <c r="BN15" s="10"/>
      <c r="BO15" s="10">
        <v>0.8</v>
      </c>
      <c r="BS15" s="10"/>
      <c r="BT15" s="10">
        <v>0.8</v>
      </c>
      <c r="BU15" s="10"/>
      <c r="BV15" s="10">
        <v>0.8</v>
      </c>
      <c r="BZ15" s="10"/>
      <c r="CA15" s="10">
        <v>1</v>
      </c>
      <c r="CB15" s="10"/>
      <c r="CC15" s="10">
        <v>1</v>
      </c>
      <c r="CG15" s="10"/>
      <c r="CH15" s="10">
        <v>1</v>
      </c>
      <c r="CI15" s="10"/>
      <c r="CJ15" s="10">
        <v>1</v>
      </c>
      <c r="CN15" s="10"/>
      <c r="CO15" s="10"/>
      <c r="CP15" s="10"/>
      <c r="CQ15" s="10"/>
      <c r="CU15" s="10"/>
      <c r="CV15" s="10"/>
      <c r="CW15" s="10"/>
      <c r="CX15" s="10"/>
      <c r="DB15" s="10"/>
      <c r="DC15" s="10"/>
      <c r="DD15" s="10"/>
      <c r="DE15" s="10"/>
      <c r="DH15" s="10"/>
      <c r="DI15" s="10"/>
      <c r="DJ15" s="10"/>
      <c r="DK15" s="10"/>
    </row>
    <row r="16" spans="2:116" outlineLevel="1">
      <c r="B16" t="s">
        <v>28</v>
      </c>
      <c r="C16" t="s">
        <v>101</v>
      </c>
      <c r="E16" s="9"/>
      <c r="F16" t="s">
        <v>132</v>
      </c>
      <c r="G16" s="10">
        <v>0.1</v>
      </c>
      <c r="I16" s="9">
        <f>+SUMIF($N$3:$ZS$3,I$3,$N16:$ZS16)</f>
        <v>0</v>
      </c>
      <c r="J16" s="11" cm="1">
        <f t="array" ref="J16">MAX(IF($N$3:$EA$3=$J$3,N16:EA16))</f>
        <v>0</v>
      </c>
      <c r="K16" s="11" cm="1">
        <f t="array" ref="K16">MAX(IF($N$3:$EA$3=$J$3,N16:EA16))</f>
        <v>0</v>
      </c>
      <c r="L16" s="9"/>
      <c r="O16" s="10"/>
      <c r="P16" s="10"/>
      <c r="Q16" s="10"/>
      <c r="R16" s="10"/>
      <c r="V16" s="10"/>
      <c r="W16" s="10"/>
      <c r="X16" s="10"/>
      <c r="Y16" s="10"/>
      <c r="AC16" s="10"/>
      <c r="AD16" s="10"/>
      <c r="AE16" s="10"/>
      <c r="AF16" s="10"/>
      <c r="AJ16" s="10"/>
      <c r="AK16" s="10"/>
      <c r="AL16" s="10"/>
      <c r="AM16" s="10"/>
      <c r="AQ16" s="10"/>
      <c r="AR16" s="10"/>
      <c r="AS16" s="10"/>
      <c r="AT16" s="10"/>
      <c r="AX16" s="10"/>
      <c r="AY16" s="10">
        <v>0.5</v>
      </c>
      <c r="AZ16" s="10"/>
      <c r="BA16" s="10">
        <v>0.5</v>
      </c>
      <c r="BE16" s="10"/>
      <c r="BF16" s="10">
        <v>0.5</v>
      </c>
      <c r="BG16" s="10"/>
      <c r="BH16" s="10">
        <v>0.5</v>
      </c>
      <c r="BL16" s="10"/>
      <c r="BM16" s="10">
        <v>0.5</v>
      </c>
      <c r="BN16" s="10"/>
      <c r="BO16" s="10">
        <v>0.5</v>
      </c>
      <c r="BS16" s="10"/>
      <c r="BT16" s="10">
        <v>0.8</v>
      </c>
      <c r="BU16" s="10"/>
      <c r="BV16" s="10">
        <v>0.8</v>
      </c>
      <c r="BZ16" s="10"/>
      <c r="CA16" s="10">
        <v>0.8</v>
      </c>
      <c r="CB16" s="10"/>
      <c r="CC16" s="10">
        <v>0.8</v>
      </c>
      <c r="CG16" s="10"/>
      <c r="CH16" s="10">
        <v>1</v>
      </c>
      <c r="CI16" s="10"/>
      <c r="CJ16" s="10">
        <v>1</v>
      </c>
      <c r="CN16" s="10"/>
      <c r="CO16" s="10"/>
      <c r="CP16" s="10"/>
      <c r="CQ16" s="10"/>
      <c r="CU16" s="10"/>
      <c r="CV16" s="10"/>
      <c r="CW16" s="10"/>
      <c r="CX16" s="10"/>
      <c r="DB16" s="10"/>
      <c r="DC16" s="10"/>
      <c r="DD16" s="10"/>
      <c r="DE16" s="10"/>
      <c r="DH16" s="10"/>
      <c r="DI16" s="10"/>
      <c r="DJ16" s="10"/>
      <c r="DK16" s="10"/>
    </row>
    <row r="17" spans="2:115">
      <c r="P17" s="10"/>
    </row>
    <row r="18" spans="2:115">
      <c r="B18" t="s">
        <v>27</v>
      </c>
      <c r="C18" t="s">
        <v>105</v>
      </c>
      <c r="D18" s="19">
        <v>45118</v>
      </c>
      <c r="E18" s="9">
        <v>5</v>
      </c>
      <c r="G18" s="10">
        <f>+SUM(G19:G25)</f>
        <v>1</v>
      </c>
      <c r="I18" s="12">
        <f>+SUM(I19:I25)</f>
        <v>0</v>
      </c>
      <c r="J18" s="11">
        <f>+SUMPRODUCT(G19:G25,J19:J25)</f>
        <v>0</v>
      </c>
      <c r="K18" s="11">
        <f>+SUMPRODUCT(G19:G25,K19:K25)</f>
        <v>0</v>
      </c>
      <c r="L18" s="9"/>
      <c r="N18" s="12">
        <f>+SUM(N19:N25)</f>
        <v>0</v>
      </c>
      <c r="U18" s="12">
        <f>+SUM(U19:U25)</f>
        <v>0</v>
      </c>
      <c r="AB18" s="12">
        <f>+SUM(AB19:AB25)</f>
        <v>0</v>
      </c>
      <c r="AI18" s="12">
        <f>+SUM(AI19:AI25)</f>
        <v>0</v>
      </c>
      <c r="AP18" s="12">
        <f>+SUM(AP19:AP25)</f>
        <v>0</v>
      </c>
      <c r="BK18" s="12">
        <f>+SUM(BK19:BK23)</f>
        <v>0</v>
      </c>
      <c r="BR18" s="12">
        <f>+SUM(BR19:BR23)</f>
        <v>0</v>
      </c>
      <c r="BY18" s="12">
        <f>+SUM(BY19:BY23)</f>
        <v>0</v>
      </c>
      <c r="CF18" s="12">
        <f>+SUM(CF19:CF23)</f>
        <v>0</v>
      </c>
      <c r="DG18" s="12">
        <f>+SUM(DG19:DG25)</f>
        <v>0</v>
      </c>
    </row>
    <row r="19" spans="2:115" outlineLevel="1">
      <c r="B19" t="s">
        <v>28</v>
      </c>
      <c r="C19" t="s">
        <v>105</v>
      </c>
      <c r="E19" s="9"/>
      <c r="F19" t="s">
        <v>106</v>
      </c>
      <c r="G19" s="10">
        <v>0.1</v>
      </c>
      <c r="I19" s="9">
        <f t="shared" ref="I19:I25" si="0">+SUMIF($N$3:$ZS$3,I$3,$N19:$ZS19)</f>
        <v>0</v>
      </c>
      <c r="J19" s="11" cm="1">
        <f t="array" ref="J19">MAX(IF($N$3:$EA$3=$J$3,N19:EA19))</f>
        <v>0</v>
      </c>
      <c r="K19" s="11" cm="1">
        <f t="array" ref="K19">MAX(IF($N$3:$EA$3=$J$3,N19:EA19))</f>
        <v>0</v>
      </c>
      <c r="L19" s="9"/>
      <c r="O19" s="10"/>
      <c r="P19" s="10">
        <v>0.5</v>
      </c>
      <c r="Q19" s="10"/>
      <c r="R19" s="10">
        <v>0.5</v>
      </c>
      <c r="V19" s="10"/>
      <c r="W19" s="10">
        <v>0.5</v>
      </c>
      <c r="X19" s="10"/>
      <c r="Y19" s="10">
        <v>0.5</v>
      </c>
      <c r="AC19" s="10"/>
      <c r="AD19" s="10">
        <v>0.8</v>
      </c>
      <c r="AE19" s="10"/>
      <c r="AF19" s="10">
        <v>0.8</v>
      </c>
      <c r="AJ19" s="10"/>
      <c r="AK19" s="10">
        <v>0.8</v>
      </c>
      <c r="AL19" s="10"/>
      <c r="AM19" s="10">
        <v>0.8</v>
      </c>
      <c r="AQ19" s="10"/>
      <c r="AR19" s="10">
        <v>0.8</v>
      </c>
      <c r="AS19" s="10"/>
      <c r="AT19" s="10">
        <v>0.8</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c r="CP19" s="10"/>
      <c r="CQ19" s="10"/>
      <c r="CU19" s="10"/>
      <c r="CV19" s="10"/>
      <c r="CW19" s="10"/>
      <c r="CX19" s="10"/>
      <c r="DB19" s="10"/>
      <c r="DC19" s="10"/>
      <c r="DD19" s="10"/>
      <c r="DE19" s="10"/>
      <c r="DH19" s="10"/>
      <c r="DI19" s="10"/>
      <c r="DJ19" s="10"/>
      <c r="DK19" s="10"/>
    </row>
    <row r="20" spans="2:115" outlineLevel="1">
      <c r="B20" t="s">
        <v>28</v>
      </c>
      <c r="C20" t="s">
        <v>105</v>
      </c>
      <c r="E20" s="9"/>
      <c r="F20" t="s">
        <v>107</v>
      </c>
      <c r="G20" s="10">
        <v>0.15</v>
      </c>
      <c r="I20" s="9">
        <f t="shared" si="0"/>
        <v>0</v>
      </c>
      <c r="J20" s="11" cm="1">
        <f t="array" ref="J20">MAX(IF($N$3:$EA$3=$J$3,N20:EA20))</f>
        <v>0</v>
      </c>
      <c r="K20" s="11" cm="1">
        <f t="array" ref="K20">MAX(IF($N$3:$EA$3=$J$3,N20:EA20))</f>
        <v>0</v>
      </c>
      <c r="L20" s="9"/>
      <c r="O20" s="10"/>
      <c r="P20" s="10">
        <v>0.5</v>
      </c>
      <c r="Q20" s="10"/>
      <c r="R20" s="10">
        <v>0.5</v>
      </c>
      <c r="V20" s="10"/>
      <c r="W20" s="10">
        <v>0.5</v>
      </c>
      <c r="X20" s="10"/>
      <c r="Y20" s="10">
        <v>0.5</v>
      </c>
      <c r="AC20" s="10"/>
      <c r="AD20" s="10">
        <v>0.5</v>
      </c>
      <c r="AE20" s="10"/>
      <c r="AF20" s="10">
        <v>0.5</v>
      </c>
      <c r="AJ20" s="10"/>
      <c r="AK20" s="10">
        <v>0.8</v>
      </c>
      <c r="AL20" s="10"/>
      <c r="AM20" s="10">
        <v>0.8</v>
      </c>
      <c r="AQ20" s="10"/>
      <c r="AR20" s="10">
        <v>0.8</v>
      </c>
      <c r="AS20" s="10"/>
      <c r="AT20" s="10">
        <v>0.8</v>
      </c>
      <c r="AX20" s="10"/>
      <c r="AY20" s="10">
        <v>0.8</v>
      </c>
      <c r="AZ20" s="10"/>
      <c r="BA20" s="10">
        <v>0.8</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c r="CP20" s="10"/>
      <c r="CQ20" s="10"/>
      <c r="CU20" s="10"/>
      <c r="CV20" s="10"/>
      <c r="CW20" s="10"/>
      <c r="CX20" s="10"/>
      <c r="DB20" s="10"/>
      <c r="DC20" s="10"/>
      <c r="DD20" s="10"/>
      <c r="DE20" s="10"/>
      <c r="DH20" s="10"/>
      <c r="DI20" s="10"/>
      <c r="DJ20" s="10"/>
      <c r="DK20" s="10"/>
    </row>
    <row r="21" spans="2:115" outlineLevel="1">
      <c r="B21" t="s">
        <v>28</v>
      </c>
      <c r="C21" t="s">
        <v>105</v>
      </c>
      <c r="E21" s="9"/>
      <c r="F21" t="s">
        <v>108</v>
      </c>
      <c r="G21" s="10">
        <v>0.2</v>
      </c>
      <c r="I21" s="9">
        <f t="shared" si="0"/>
        <v>0</v>
      </c>
      <c r="J21" s="11" cm="1">
        <f t="array" ref="J21">MAX(IF($N$3:$EA$3=$J$3,N21:EA21))</f>
        <v>0</v>
      </c>
      <c r="K21" s="11" cm="1">
        <f t="array" ref="K21">MAX(IF($N$3:$EA$3=$J$3,N21:EA21))</f>
        <v>0</v>
      </c>
      <c r="L21" s="9"/>
      <c r="O21" s="10"/>
      <c r="P21" s="10"/>
      <c r="Q21" s="10"/>
      <c r="R21" s="10"/>
      <c r="V21" s="10"/>
      <c r="W21" s="10">
        <v>0.5</v>
      </c>
      <c r="X21" s="10"/>
      <c r="Y21" s="10">
        <v>0.5</v>
      </c>
      <c r="AC21" s="10"/>
      <c r="AD21" s="10">
        <v>0.5</v>
      </c>
      <c r="AE21" s="10"/>
      <c r="AF21" s="10">
        <v>0.5</v>
      </c>
      <c r="AJ21" s="10"/>
      <c r="AK21" s="10">
        <v>0.5</v>
      </c>
      <c r="AL21" s="10"/>
      <c r="AM21" s="10">
        <v>0.5</v>
      </c>
      <c r="AQ21" s="10"/>
      <c r="AR21" s="10">
        <v>0.8</v>
      </c>
      <c r="AS21" s="10"/>
      <c r="AT21" s="10">
        <v>0.8</v>
      </c>
      <c r="AX21" s="10"/>
      <c r="AY21" s="10">
        <v>0.8</v>
      </c>
      <c r="AZ21" s="10"/>
      <c r="BA21" s="10">
        <v>0.8</v>
      </c>
      <c r="BE21" s="10"/>
      <c r="BF21" s="10">
        <v>0.8</v>
      </c>
      <c r="BG21" s="10"/>
      <c r="BH21" s="10">
        <v>0.8</v>
      </c>
      <c r="BL21" s="10"/>
      <c r="BM21" s="10">
        <v>1</v>
      </c>
      <c r="BN21" s="10"/>
      <c r="BO21" s="10">
        <v>1</v>
      </c>
      <c r="BS21" s="10"/>
      <c r="BT21" s="10">
        <v>1</v>
      </c>
      <c r="BU21" s="10"/>
      <c r="BV21" s="10">
        <v>1</v>
      </c>
      <c r="BZ21" s="10"/>
      <c r="CA21" s="10">
        <v>1</v>
      </c>
      <c r="CB21" s="10"/>
      <c r="CC21" s="10">
        <v>1</v>
      </c>
      <c r="CG21" s="10"/>
      <c r="CH21" s="10">
        <v>1</v>
      </c>
      <c r="CI21" s="10"/>
      <c r="CJ21" s="10">
        <v>1</v>
      </c>
      <c r="CN21" s="10"/>
      <c r="CO21" s="10"/>
      <c r="CP21" s="10"/>
      <c r="CQ21" s="10"/>
      <c r="CU21" s="10"/>
      <c r="CV21" s="10"/>
      <c r="CW21" s="10"/>
      <c r="CX21" s="10"/>
      <c r="DB21" s="10"/>
      <c r="DC21" s="10"/>
      <c r="DD21" s="10"/>
      <c r="DE21" s="10"/>
      <c r="DH21" s="10"/>
      <c r="DI21" s="10"/>
      <c r="DJ21" s="10"/>
      <c r="DK21" s="10"/>
    </row>
    <row r="22" spans="2:115" outlineLevel="1">
      <c r="B22" t="s">
        <v>28</v>
      </c>
      <c r="C22" t="s">
        <v>105</v>
      </c>
      <c r="E22" s="9"/>
      <c r="F22" t="s">
        <v>109</v>
      </c>
      <c r="G22" s="10">
        <v>0.15</v>
      </c>
      <c r="I22" s="9">
        <f t="shared" si="0"/>
        <v>0</v>
      </c>
      <c r="J22" s="11" cm="1">
        <f t="array" ref="J22">MAX(IF($N$3:$EA$3=$J$3,N22:EA22))</f>
        <v>0</v>
      </c>
      <c r="K22" s="11" cm="1">
        <f t="array" ref="K22">MAX(IF($N$3:$EA$3=$J$3,N22:EA22))</f>
        <v>0</v>
      </c>
      <c r="L22" s="9"/>
      <c r="O22" s="10"/>
      <c r="P22" s="10"/>
      <c r="Q22" s="10"/>
      <c r="R22" s="10"/>
      <c r="V22" s="10"/>
      <c r="W22" s="10">
        <v>0.5</v>
      </c>
      <c r="X22" s="10"/>
      <c r="Y22" s="10">
        <v>0.5</v>
      </c>
      <c r="AC22" s="10"/>
      <c r="AD22" s="10">
        <v>0.5</v>
      </c>
      <c r="AE22" s="10"/>
      <c r="AF22" s="10">
        <v>0.5</v>
      </c>
      <c r="AJ22" s="10"/>
      <c r="AK22" s="10">
        <v>0.5</v>
      </c>
      <c r="AL22" s="10"/>
      <c r="AM22" s="10">
        <v>0.5</v>
      </c>
      <c r="AQ22" s="10"/>
      <c r="AR22" s="10">
        <v>0.5</v>
      </c>
      <c r="AS22" s="10"/>
      <c r="AT22" s="10">
        <v>0.5</v>
      </c>
      <c r="AX22" s="10"/>
      <c r="AY22" s="10">
        <v>0.8</v>
      </c>
      <c r="AZ22" s="10"/>
      <c r="BA22" s="10">
        <v>0.8</v>
      </c>
      <c r="BE22" s="10"/>
      <c r="BF22" s="10">
        <v>0.8</v>
      </c>
      <c r="BG22" s="10"/>
      <c r="BH22" s="10">
        <v>0.8</v>
      </c>
      <c r="BL22" s="10"/>
      <c r="BM22" s="10">
        <v>0.8</v>
      </c>
      <c r="BN22" s="10"/>
      <c r="BO22" s="10">
        <v>0.8</v>
      </c>
      <c r="BS22" s="10"/>
      <c r="BT22" s="10">
        <v>1</v>
      </c>
      <c r="BU22" s="10"/>
      <c r="BV22" s="10">
        <v>1</v>
      </c>
      <c r="BZ22" s="10"/>
      <c r="CA22" s="10">
        <v>1</v>
      </c>
      <c r="CB22" s="10"/>
      <c r="CC22" s="10">
        <v>1</v>
      </c>
      <c r="CG22" s="10"/>
      <c r="CH22" s="10">
        <v>1</v>
      </c>
      <c r="CI22" s="10"/>
      <c r="CJ22" s="10">
        <v>1</v>
      </c>
      <c r="CN22" s="10"/>
      <c r="CO22" s="10"/>
      <c r="CP22" s="10"/>
      <c r="CQ22" s="10"/>
      <c r="CU22" s="10"/>
      <c r="CV22" s="10"/>
      <c r="CW22" s="10"/>
      <c r="CX22" s="10"/>
      <c r="DB22" s="10"/>
      <c r="DC22" s="10"/>
      <c r="DD22" s="10"/>
      <c r="DE22" s="10"/>
      <c r="DH22" s="10"/>
      <c r="DI22" s="10"/>
      <c r="DJ22" s="10"/>
      <c r="DK22" s="10"/>
    </row>
    <row r="23" spans="2:115" outlineLevel="1">
      <c r="B23" t="s">
        <v>28</v>
      </c>
      <c r="C23" t="s">
        <v>105</v>
      </c>
      <c r="E23" s="9"/>
      <c r="F23" t="s">
        <v>110</v>
      </c>
      <c r="G23" s="10">
        <v>0.2</v>
      </c>
      <c r="I23" s="9">
        <f t="shared" si="0"/>
        <v>0</v>
      </c>
      <c r="J23" s="11" cm="1">
        <f t="array" ref="J23">MAX(IF($N$3:$EA$3=$J$3,N23:EA23))</f>
        <v>0</v>
      </c>
      <c r="K23" s="11" cm="1">
        <f t="array" ref="K23">MAX(IF($N$3:$EA$3=$J$3,N23:EA23))</f>
        <v>0</v>
      </c>
      <c r="L23" s="9"/>
      <c r="O23" s="10"/>
      <c r="P23" s="10"/>
      <c r="Q23" s="10"/>
      <c r="R23" s="10"/>
      <c r="V23" s="10"/>
      <c r="W23" s="10"/>
      <c r="X23" s="10"/>
      <c r="Y23" s="10"/>
      <c r="AC23" s="10"/>
      <c r="AD23" s="10">
        <v>0.5</v>
      </c>
      <c r="AE23" s="10"/>
      <c r="AF23" s="10">
        <v>0.5</v>
      </c>
      <c r="AJ23" s="10"/>
      <c r="AK23" s="10">
        <v>0.5</v>
      </c>
      <c r="AL23" s="10"/>
      <c r="AM23" s="10">
        <v>0.5</v>
      </c>
      <c r="AQ23" s="10"/>
      <c r="AR23" s="10">
        <v>0.5</v>
      </c>
      <c r="AS23" s="10"/>
      <c r="AT23" s="10">
        <v>0.5</v>
      </c>
      <c r="AX23" s="10"/>
      <c r="AY23" s="10">
        <v>0.5</v>
      </c>
      <c r="AZ23" s="10"/>
      <c r="BA23" s="10">
        <v>0.5</v>
      </c>
      <c r="BE23" s="10"/>
      <c r="BF23" s="10">
        <v>0.8</v>
      </c>
      <c r="BG23" s="10"/>
      <c r="BH23" s="10">
        <v>0.8</v>
      </c>
      <c r="BL23" s="10"/>
      <c r="BM23" s="10">
        <v>0.8</v>
      </c>
      <c r="BN23" s="10"/>
      <c r="BO23" s="10">
        <v>0.8</v>
      </c>
      <c r="BS23" s="10"/>
      <c r="BT23" s="10">
        <v>0.8</v>
      </c>
      <c r="BU23" s="10"/>
      <c r="BV23" s="10">
        <v>0.8</v>
      </c>
      <c r="BZ23" s="10"/>
      <c r="CA23" s="10">
        <v>1</v>
      </c>
      <c r="CB23" s="10"/>
      <c r="CC23" s="10">
        <v>1</v>
      </c>
      <c r="CG23" s="10"/>
      <c r="CH23" s="10">
        <v>1</v>
      </c>
      <c r="CI23" s="10"/>
      <c r="CJ23" s="10">
        <v>1</v>
      </c>
      <c r="CN23" s="10"/>
      <c r="CO23" s="10"/>
      <c r="CP23" s="10"/>
      <c r="CQ23" s="10"/>
      <c r="CU23" s="10"/>
      <c r="CV23" s="10"/>
      <c r="CW23" s="10"/>
      <c r="CX23" s="10"/>
      <c r="DB23" s="10"/>
      <c r="DC23" s="10"/>
      <c r="DD23" s="10"/>
      <c r="DE23" s="10"/>
      <c r="DH23" s="10"/>
      <c r="DI23" s="10"/>
      <c r="DJ23" s="10"/>
      <c r="DK23" s="10"/>
    </row>
    <row r="24" spans="2:115" outlineLevel="1">
      <c r="B24" t="s">
        <v>28</v>
      </c>
      <c r="C24" t="s">
        <v>105</v>
      </c>
      <c r="E24" s="9"/>
      <c r="F24" t="s">
        <v>111</v>
      </c>
      <c r="G24" s="10">
        <v>0.15</v>
      </c>
      <c r="I24" s="9">
        <f t="shared" si="0"/>
        <v>0</v>
      </c>
      <c r="J24" s="11" cm="1">
        <f t="array" ref="J24">MAX(IF($N$3:$EA$3=$J$3,N24:EA24))</f>
        <v>0</v>
      </c>
      <c r="K24" s="11" cm="1">
        <f t="array" ref="K24">MAX(IF($N$3:$EA$3=$J$3,N24:EA24))</f>
        <v>0</v>
      </c>
      <c r="L24" s="9"/>
      <c r="O24" s="10"/>
      <c r="P24" s="10"/>
      <c r="Q24" s="10"/>
      <c r="R24" s="10"/>
      <c r="V24" s="10"/>
      <c r="W24" s="10"/>
      <c r="X24" s="10"/>
      <c r="Y24" s="10"/>
      <c r="AC24" s="10"/>
      <c r="AD24" s="10"/>
      <c r="AE24" s="10"/>
      <c r="AF24" s="10"/>
      <c r="AJ24" s="10"/>
      <c r="AK24" s="10">
        <v>0.5</v>
      </c>
      <c r="AL24" s="10"/>
      <c r="AM24" s="10">
        <v>0.5</v>
      </c>
      <c r="AQ24" s="10"/>
      <c r="AR24" s="10">
        <v>0.5</v>
      </c>
      <c r="AS24" s="10"/>
      <c r="AT24" s="10">
        <v>0.5</v>
      </c>
      <c r="AX24" s="10"/>
      <c r="AY24" s="10">
        <v>0.5</v>
      </c>
      <c r="AZ24" s="10"/>
      <c r="BA24" s="10">
        <v>0.5</v>
      </c>
      <c r="BE24" s="10"/>
      <c r="BF24" s="10">
        <v>0.5</v>
      </c>
      <c r="BG24" s="10"/>
      <c r="BH24" s="10">
        <v>0.5</v>
      </c>
      <c r="BL24" s="10"/>
      <c r="BM24" s="10">
        <v>0.8</v>
      </c>
      <c r="BN24" s="10"/>
      <c r="BO24" s="10">
        <v>0.8</v>
      </c>
      <c r="BS24" s="10"/>
      <c r="BT24" s="10">
        <v>0.8</v>
      </c>
      <c r="BU24" s="10"/>
      <c r="BV24" s="10">
        <v>0.8</v>
      </c>
      <c r="BZ24" s="10"/>
      <c r="CA24" s="10">
        <v>1</v>
      </c>
      <c r="CB24" s="10"/>
      <c r="CC24" s="10">
        <v>1</v>
      </c>
      <c r="CG24" s="10"/>
      <c r="CH24" s="10">
        <v>1</v>
      </c>
      <c r="CI24" s="10"/>
      <c r="CJ24" s="10">
        <v>1</v>
      </c>
      <c r="CN24" s="10"/>
      <c r="CO24" s="10"/>
      <c r="CP24" s="10"/>
      <c r="CQ24" s="10"/>
      <c r="CU24" s="10"/>
      <c r="CV24" s="10"/>
      <c r="CW24" s="10"/>
      <c r="CX24" s="10"/>
      <c r="DB24" s="10"/>
      <c r="DC24" s="10"/>
      <c r="DD24" s="10"/>
      <c r="DE24" s="10"/>
      <c r="DH24" s="10"/>
      <c r="DI24" s="10"/>
      <c r="DJ24" s="10"/>
      <c r="DK24" s="10"/>
    </row>
    <row r="25" spans="2:115" outlineLevel="1">
      <c r="B25" t="s">
        <v>28</v>
      </c>
      <c r="C25" t="s">
        <v>105</v>
      </c>
      <c r="E25" s="9"/>
      <c r="F25" t="s">
        <v>112</v>
      </c>
      <c r="G25" s="10">
        <v>0.05</v>
      </c>
      <c r="I25" s="9">
        <f t="shared" si="0"/>
        <v>0</v>
      </c>
      <c r="J25" s="11" cm="1">
        <f t="array" ref="J25">MAX(IF($N$3:$EA$3=$J$3,N25:EA25))</f>
        <v>0</v>
      </c>
      <c r="K25" s="11" cm="1">
        <f t="array" ref="K25">MAX(IF($N$3:$EA$3=$J$3,N25:EA25))</f>
        <v>0</v>
      </c>
      <c r="L25" s="9"/>
      <c r="O25" s="10"/>
      <c r="P25" s="10"/>
      <c r="Q25" s="10"/>
      <c r="R25" s="10"/>
      <c r="V25" s="10"/>
      <c r="W25" s="10"/>
      <c r="X25" s="10"/>
      <c r="Y25" s="10"/>
      <c r="AC25" s="10"/>
      <c r="AD25" s="10"/>
      <c r="AE25" s="10"/>
      <c r="AF25" s="10"/>
      <c r="AJ25" s="10"/>
      <c r="AK25" s="10"/>
      <c r="AL25" s="10"/>
      <c r="AM25" s="10"/>
      <c r="AQ25" s="10"/>
      <c r="AR25" s="10">
        <v>0.5</v>
      </c>
      <c r="AS25" s="10"/>
      <c r="AT25" s="10">
        <v>0.5</v>
      </c>
      <c r="AX25" s="10"/>
      <c r="AY25" s="10">
        <v>0.5</v>
      </c>
      <c r="AZ25" s="10"/>
      <c r="BA25" s="10">
        <v>0.5</v>
      </c>
      <c r="BE25" s="10"/>
      <c r="BF25" s="10">
        <v>0.5</v>
      </c>
      <c r="BG25" s="10"/>
      <c r="BH25" s="10">
        <v>0.5</v>
      </c>
      <c r="BL25" s="10"/>
      <c r="BM25" s="10">
        <v>0.5</v>
      </c>
      <c r="BN25" s="10"/>
      <c r="BO25" s="10">
        <v>0.5</v>
      </c>
      <c r="BS25" s="10"/>
      <c r="BT25" s="10">
        <v>0.8</v>
      </c>
      <c r="BU25" s="10"/>
      <c r="BV25" s="10">
        <v>0.8</v>
      </c>
      <c r="BZ25" s="10"/>
      <c r="CA25" s="10">
        <v>0.8</v>
      </c>
      <c r="CB25" s="10"/>
      <c r="CC25" s="10">
        <v>0.8</v>
      </c>
      <c r="CG25" s="10"/>
      <c r="CH25" s="10">
        <v>1</v>
      </c>
      <c r="CI25" s="10"/>
      <c r="CJ25" s="10">
        <v>1</v>
      </c>
      <c r="CN25" s="10"/>
      <c r="CO25" s="10"/>
      <c r="CP25" s="10"/>
      <c r="CQ25" s="10"/>
      <c r="CU25" s="10"/>
      <c r="CV25" s="10"/>
      <c r="CW25" s="10"/>
      <c r="CX25" s="10"/>
      <c r="DB25" s="10"/>
      <c r="DC25" s="10"/>
      <c r="DD25" s="10"/>
      <c r="DE25" s="10"/>
      <c r="DH25" s="10"/>
      <c r="DI25" s="10"/>
      <c r="DJ25" s="10"/>
      <c r="DK25" s="10"/>
    </row>
    <row r="26" spans="2:115">
      <c r="AY26" s="10"/>
      <c r="CA26" s="10"/>
      <c r="CH26" s="10"/>
    </row>
    <row r="27" spans="2:115">
      <c r="B27" t="s">
        <v>27</v>
      </c>
      <c r="C27" t="s">
        <v>113</v>
      </c>
      <c r="D27" s="19">
        <v>45118</v>
      </c>
      <c r="E27" s="9">
        <v>5</v>
      </c>
      <c r="G27" s="10">
        <f>+SUM(G28:G38)</f>
        <v>1</v>
      </c>
      <c r="I27" s="12">
        <f>+SUM(I28:I38)</f>
        <v>0</v>
      </c>
      <c r="J27" s="11">
        <f>+SUMPRODUCT(G28:G38,J28:J38)</f>
        <v>0</v>
      </c>
      <c r="K27" s="11">
        <f>+SUMPRODUCT(G28:G38,K28:K38)</f>
        <v>0</v>
      </c>
      <c r="L27" s="9"/>
      <c r="N27" s="12">
        <f>+SUM(N28:N38)</f>
        <v>0</v>
      </c>
      <c r="U27" s="12">
        <f>+SUM(U28:U38)</f>
        <v>0</v>
      </c>
      <c r="AB27" s="12">
        <f>+SUM(AB28:AB38)</f>
        <v>0</v>
      </c>
      <c r="AI27" s="12">
        <f>+SUM(AI28:AI38)</f>
        <v>0</v>
      </c>
      <c r="AP27" s="12">
        <f>+SUM(AP28:AP38)</f>
        <v>0</v>
      </c>
      <c r="BK27" s="12">
        <f>+SUM(BK28:BK32)</f>
        <v>0</v>
      </c>
      <c r="BR27" s="12">
        <f>+SUM(BR28:BR32)</f>
        <v>0</v>
      </c>
      <c r="BY27" s="12">
        <f>+SUM(BY28:BY32)</f>
        <v>0</v>
      </c>
      <c r="CF27" s="12">
        <f>+SUM(CF28:CF32)</f>
        <v>0</v>
      </c>
      <c r="DG27" s="12">
        <f>+SUM(DG28:DG38)</f>
        <v>0</v>
      </c>
    </row>
    <row r="28" spans="2:115" outlineLevel="1">
      <c r="B28" t="s">
        <v>28</v>
      </c>
      <c r="C28" t="s">
        <v>113</v>
      </c>
      <c r="E28" s="9"/>
      <c r="F28" t="s">
        <v>124</v>
      </c>
      <c r="G28" s="10">
        <v>0.02</v>
      </c>
      <c r="I28" s="9">
        <f t="shared" ref="I28:I38" si="1">+SUMIF($N$3:$ZS$3,I$3,$N28:$ZS28)</f>
        <v>0</v>
      </c>
      <c r="J28" s="11" cm="1">
        <f t="array" ref="J28">MAX(IF($N$3:$EA$3=$J$3,N28:EA28))</f>
        <v>0</v>
      </c>
      <c r="K28" s="11" cm="1">
        <f t="array" ref="K28">MAX(IF($N$3:$EA$3=$J$3,N28:EA28))</f>
        <v>0</v>
      </c>
      <c r="L28" s="9"/>
      <c r="O28" s="10"/>
      <c r="P28" s="10">
        <v>0.5</v>
      </c>
      <c r="Q28" s="10"/>
      <c r="R28" s="10">
        <v>0.5</v>
      </c>
      <c r="V28" s="10"/>
      <c r="W28" s="10">
        <v>0.5</v>
      </c>
      <c r="X28" s="10"/>
      <c r="Y28" s="10">
        <v>0.5</v>
      </c>
      <c r="AC28" s="10"/>
      <c r="AD28" s="10">
        <v>0.8</v>
      </c>
      <c r="AE28" s="10"/>
      <c r="AF28" s="10">
        <v>0.8</v>
      </c>
      <c r="AJ28" s="10"/>
      <c r="AK28" s="10">
        <v>0.8</v>
      </c>
      <c r="AL28" s="10"/>
      <c r="AM28" s="10">
        <v>0.8</v>
      </c>
      <c r="AQ28" s="10"/>
      <c r="AR28" s="10">
        <v>0.8</v>
      </c>
      <c r="AS28" s="10"/>
      <c r="AT28" s="10">
        <v>0.8</v>
      </c>
      <c r="AX28" s="10"/>
      <c r="AY28" s="10">
        <v>1</v>
      </c>
      <c r="AZ28" s="10"/>
      <c r="BA28" s="10">
        <v>1</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N28" s="10"/>
      <c r="CO28" s="10"/>
      <c r="CP28" s="10"/>
      <c r="CQ28" s="10"/>
      <c r="CU28" s="10"/>
      <c r="CV28" s="10"/>
      <c r="CW28" s="10"/>
      <c r="CX28" s="10"/>
      <c r="DB28" s="10"/>
      <c r="DC28" s="10"/>
      <c r="DD28" s="10"/>
      <c r="DE28" s="10"/>
      <c r="DH28" s="10"/>
      <c r="DI28" s="10"/>
      <c r="DJ28" s="10"/>
      <c r="DK28" s="10"/>
    </row>
    <row r="29" spans="2:115" outlineLevel="1">
      <c r="B29" t="s">
        <v>28</v>
      </c>
      <c r="C29" t="s">
        <v>113</v>
      </c>
      <c r="E29" s="9"/>
      <c r="F29" t="s">
        <v>114</v>
      </c>
      <c r="G29" s="10">
        <v>0.1</v>
      </c>
      <c r="I29" s="9">
        <f t="shared" si="1"/>
        <v>0</v>
      </c>
      <c r="J29" s="11" cm="1">
        <f t="array" ref="J29">MAX(IF($N$3:$EA$3=$J$3,N29:EA29))</f>
        <v>0</v>
      </c>
      <c r="K29" s="11" cm="1">
        <f t="array" ref="K29">MAX(IF($N$3:$EA$3=$J$3,N29:EA29))</f>
        <v>0</v>
      </c>
      <c r="L29" s="9"/>
      <c r="O29" s="10"/>
      <c r="P29" s="10">
        <v>0.5</v>
      </c>
      <c r="Q29" s="10"/>
      <c r="R29" s="10">
        <v>0.5</v>
      </c>
      <c r="V29" s="10"/>
      <c r="W29" s="10">
        <v>0.5</v>
      </c>
      <c r="X29" s="10"/>
      <c r="Y29" s="10">
        <v>0.5</v>
      </c>
      <c r="AC29" s="10"/>
      <c r="AD29" s="10">
        <v>0.8</v>
      </c>
      <c r="AE29" s="10"/>
      <c r="AF29" s="10">
        <v>0.8</v>
      </c>
      <c r="AJ29" s="10"/>
      <c r="AK29" s="10">
        <v>0.8</v>
      </c>
      <c r="AL29" s="10"/>
      <c r="AM29" s="10">
        <v>0.8</v>
      </c>
      <c r="AQ29" s="10"/>
      <c r="AR29" s="10">
        <v>0.8</v>
      </c>
      <c r="AS29" s="10"/>
      <c r="AT29" s="10">
        <v>0.8</v>
      </c>
      <c r="AX29" s="10"/>
      <c r="AY29" s="10">
        <v>0.8</v>
      </c>
      <c r="AZ29" s="10"/>
      <c r="BA29" s="10">
        <v>0.8</v>
      </c>
      <c r="BE29" s="10"/>
      <c r="BF29" s="10">
        <v>1</v>
      </c>
      <c r="BG29" s="10"/>
      <c r="BH29" s="10">
        <v>1</v>
      </c>
      <c r="BL29" s="10"/>
      <c r="BM29" s="10">
        <v>1</v>
      </c>
      <c r="BN29" s="10"/>
      <c r="BO29" s="10">
        <v>1</v>
      </c>
      <c r="BS29" s="10"/>
      <c r="BT29" s="10">
        <v>1</v>
      </c>
      <c r="BU29" s="10"/>
      <c r="BV29" s="10">
        <v>1</v>
      </c>
      <c r="BZ29" s="10"/>
      <c r="CA29" s="10">
        <v>1</v>
      </c>
      <c r="CB29" s="10"/>
      <c r="CC29" s="10">
        <v>1</v>
      </c>
      <c r="CG29" s="10"/>
      <c r="CH29" s="10">
        <v>1</v>
      </c>
      <c r="CI29" s="10"/>
      <c r="CJ29" s="10">
        <v>1</v>
      </c>
      <c r="CN29" s="10"/>
      <c r="CO29" s="10"/>
      <c r="CP29" s="10"/>
      <c r="CQ29" s="10"/>
      <c r="CU29" s="10"/>
      <c r="CV29" s="10"/>
      <c r="CW29" s="10"/>
      <c r="CX29" s="10"/>
      <c r="DB29" s="10"/>
      <c r="DC29" s="10"/>
      <c r="DD29" s="10"/>
      <c r="DE29" s="10"/>
      <c r="DH29" s="10"/>
      <c r="DI29" s="10"/>
      <c r="DJ29" s="10"/>
      <c r="DK29" s="10"/>
    </row>
    <row r="30" spans="2:115" outlineLevel="1">
      <c r="B30" t="s">
        <v>28</v>
      </c>
      <c r="C30" t="s">
        <v>113</v>
      </c>
      <c r="E30" s="9"/>
      <c r="F30" t="s">
        <v>115</v>
      </c>
      <c r="G30" s="10">
        <v>0.05</v>
      </c>
      <c r="I30" s="9">
        <f t="shared" si="1"/>
        <v>0</v>
      </c>
      <c r="J30" s="11" cm="1">
        <f t="array" ref="J30">MAX(IF($N$3:$EA$3=$J$3,N30:EA30))</f>
        <v>0</v>
      </c>
      <c r="K30" s="11" cm="1">
        <f t="array" ref="K30">MAX(IF($N$3:$EA$3=$J$3,N30:EA30))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0.8</v>
      </c>
      <c r="AZ30" s="10"/>
      <c r="BA30" s="10">
        <v>0.8</v>
      </c>
      <c r="BE30" s="10"/>
      <c r="BF30" s="10">
        <v>0.8</v>
      </c>
      <c r="BG30" s="10"/>
      <c r="BH30" s="10">
        <v>0.8</v>
      </c>
      <c r="BL30" s="10"/>
      <c r="BM30" s="10">
        <v>1</v>
      </c>
      <c r="BN30" s="10"/>
      <c r="BO30" s="10">
        <v>1</v>
      </c>
      <c r="BS30" s="10"/>
      <c r="BT30" s="10">
        <v>1</v>
      </c>
      <c r="BU30" s="10"/>
      <c r="BV30" s="10">
        <v>1</v>
      </c>
      <c r="BZ30" s="10"/>
      <c r="CA30" s="10">
        <v>1</v>
      </c>
      <c r="CB30" s="10"/>
      <c r="CC30" s="10">
        <v>1</v>
      </c>
      <c r="CG30" s="10"/>
      <c r="CH30" s="10">
        <v>1</v>
      </c>
      <c r="CI30" s="10"/>
      <c r="CJ30" s="10">
        <v>1</v>
      </c>
      <c r="CN30" s="10"/>
      <c r="CO30" s="10"/>
      <c r="CP30" s="10"/>
      <c r="CQ30" s="10"/>
      <c r="CU30" s="10"/>
      <c r="CV30" s="10"/>
      <c r="CW30" s="10"/>
      <c r="CX30" s="10"/>
      <c r="DB30" s="10"/>
      <c r="DC30" s="10"/>
      <c r="DD30" s="10"/>
      <c r="DE30" s="10"/>
      <c r="DH30" s="10"/>
      <c r="DI30" s="10"/>
      <c r="DJ30" s="10"/>
      <c r="DK30" s="10"/>
    </row>
    <row r="31" spans="2:115" outlineLevel="1">
      <c r="B31" t="s">
        <v>28</v>
      </c>
      <c r="C31" t="s">
        <v>113</v>
      </c>
      <c r="E31" s="9"/>
      <c r="F31" t="s">
        <v>123</v>
      </c>
      <c r="G31" s="10">
        <v>0.05</v>
      </c>
      <c r="I31" s="9">
        <f t="shared" si="1"/>
        <v>0</v>
      </c>
      <c r="J31" s="11" cm="1">
        <f t="array" ref="J31">MAX(IF($N$3:$EA$3=$J$3,N31:EA31))</f>
        <v>0</v>
      </c>
      <c r="K31" s="11" cm="1">
        <f t="array" ref="K31">MAX(IF($N$3:$EA$3=$J$3,N31:EA31))</f>
        <v>0</v>
      </c>
      <c r="L31" s="9"/>
      <c r="O31" s="10"/>
      <c r="P31" s="10"/>
      <c r="Q31" s="10"/>
      <c r="R31" s="10"/>
      <c r="V31" s="10"/>
      <c r="W31" s="10">
        <v>0.5</v>
      </c>
      <c r="X31" s="10"/>
      <c r="Y31" s="10">
        <v>0.5</v>
      </c>
      <c r="AC31" s="10"/>
      <c r="AD31" s="10">
        <v>0.5</v>
      </c>
      <c r="AE31" s="10"/>
      <c r="AF31" s="10">
        <v>0.5</v>
      </c>
      <c r="AJ31" s="10"/>
      <c r="AK31" s="10">
        <v>0.5</v>
      </c>
      <c r="AL31" s="10"/>
      <c r="AM31" s="10">
        <v>0.5</v>
      </c>
      <c r="AQ31" s="10"/>
      <c r="AR31" s="10">
        <v>0.8</v>
      </c>
      <c r="AS31" s="10"/>
      <c r="AT31" s="10">
        <v>0.8</v>
      </c>
      <c r="AX31" s="10"/>
      <c r="AY31" s="10">
        <v>0.8</v>
      </c>
      <c r="AZ31" s="10"/>
      <c r="BA31" s="10">
        <v>0.8</v>
      </c>
      <c r="BE31" s="10"/>
      <c r="BF31" s="10">
        <v>0.8</v>
      </c>
      <c r="BG31" s="10"/>
      <c r="BH31" s="10">
        <v>0.8</v>
      </c>
      <c r="BL31" s="10"/>
      <c r="BM31" s="10">
        <v>1</v>
      </c>
      <c r="BN31" s="10"/>
      <c r="BO31" s="10">
        <v>1</v>
      </c>
      <c r="BS31" s="10"/>
      <c r="BT31" s="10">
        <v>1</v>
      </c>
      <c r="BU31" s="10"/>
      <c r="BV31" s="10">
        <v>1</v>
      </c>
      <c r="BZ31" s="10"/>
      <c r="CA31" s="10">
        <v>1</v>
      </c>
      <c r="CB31" s="10"/>
      <c r="CC31" s="10">
        <v>1</v>
      </c>
      <c r="CG31" s="10"/>
      <c r="CH31" s="10">
        <v>1</v>
      </c>
      <c r="CI31" s="10"/>
      <c r="CJ31" s="10">
        <v>1</v>
      </c>
      <c r="CN31" s="10"/>
      <c r="CO31" s="10"/>
      <c r="CP31" s="10"/>
      <c r="CQ31" s="10"/>
      <c r="CU31" s="10"/>
      <c r="CV31" s="10"/>
      <c r="CW31" s="10"/>
      <c r="CX31" s="10"/>
      <c r="DB31" s="10"/>
      <c r="DC31" s="10"/>
      <c r="DD31" s="10"/>
      <c r="DE31" s="10"/>
      <c r="DH31" s="10"/>
      <c r="DI31" s="10"/>
      <c r="DJ31" s="10"/>
      <c r="DK31" s="10"/>
    </row>
    <row r="32" spans="2:115" outlineLevel="1">
      <c r="B32" t="s">
        <v>28</v>
      </c>
      <c r="C32" t="s">
        <v>113</v>
      </c>
      <c r="E32" s="9"/>
      <c r="F32" t="s">
        <v>116</v>
      </c>
      <c r="G32" s="10">
        <v>0.1</v>
      </c>
      <c r="I32" s="9">
        <f t="shared" si="1"/>
        <v>0</v>
      </c>
      <c r="J32" s="11" cm="1">
        <f t="array" ref="J32">MAX(IF($N$3:$EA$3=$J$3,N32:EA32))</f>
        <v>0</v>
      </c>
      <c r="K32" s="11" cm="1">
        <f t="array" ref="K32">MAX(IF($N$3:$EA$3=$J$3,N32:EA32))</f>
        <v>0</v>
      </c>
      <c r="L32" s="9"/>
      <c r="O32" s="10"/>
      <c r="P32" s="10"/>
      <c r="Q32" s="10"/>
      <c r="R32" s="10"/>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0.8</v>
      </c>
      <c r="BN32" s="10"/>
      <c r="BO32" s="10">
        <v>0.8</v>
      </c>
      <c r="BS32" s="10"/>
      <c r="BT32" s="10">
        <v>1</v>
      </c>
      <c r="BU32" s="10"/>
      <c r="BV32" s="10">
        <v>1</v>
      </c>
      <c r="BZ32" s="10"/>
      <c r="CA32" s="10">
        <v>1</v>
      </c>
      <c r="CB32" s="10"/>
      <c r="CC32" s="10">
        <v>1</v>
      </c>
      <c r="CG32" s="10"/>
      <c r="CH32" s="10">
        <v>1</v>
      </c>
      <c r="CI32" s="10"/>
      <c r="CJ32" s="10">
        <v>1</v>
      </c>
      <c r="CN32" s="10"/>
      <c r="CO32" s="10"/>
      <c r="CP32" s="10"/>
      <c r="CQ32" s="10"/>
      <c r="CU32" s="10"/>
      <c r="CV32" s="10"/>
      <c r="CW32" s="10"/>
      <c r="CX32" s="10"/>
      <c r="DB32" s="10"/>
      <c r="DC32" s="10"/>
      <c r="DD32" s="10"/>
      <c r="DE32" s="10"/>
      <c r="DH32" s="10"/>
      <c r="DI32" s="10"/>
      <c r="DJ32" s="10"/>
      <c r="DK32" s="10"/>
    </row>
    <row r="33" spans="2:115" outlineLevel="1">
      <c r="B33" t="s">
        <v>28</v>
      </c>
      <c r="C33" t="s">
        <v>113</v>
      </c>
      <c r="E33" s="9"/>
      <c r="F33" t="s">
        <v>117</v>
      </c>
      <c r="G33" s="10">
        <v>0.1</v>
      </c>
      <c r="I33" s="9">
        <f t="shared" si="1"/>
        <v>0</v>
      </c>
      <c r="J33" s="11" cm="1">
        <f t="array" ref="J33">MAX(IF($N$3:$EA$3=$J$3,N33:EA33))</f>
        <v>0</v>
      </c>
      <c r="K33" s="11" cm="1">
        <f t="array" ref="K33">MAX(IF($N$3:$EA$3=$J$3,N33:EA33))</f>
        <v>0</v>
      </c>
      <c r="L33" s="9"/>
      <c r="O33" s="10"/>
      <c r="P33" s="10"/>
      <c r="Q33" s="10"/>
      <c r="R33" s="10"/>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0.8</v>
      </c>
      <c r="BU33" s="10"/>
      <c r="BV33" s="10">
        <v>0.8</v>
      </c>
      <c r="BZ33" s="10"/>
      <c r="CA33" s="10">
        <v>1</v>
      </c>
      <c r="CB33" s="10"/>
      <c r="CC33" s="10">
        <v>1</v>
      </c>
      <c r="CG33" s="10"/>
      <c r="CH33" s="10">
        <v>1</v>
      </c>
      <c r="CI33" s="10"/>
      <c r="CJ33" s="10">
        <v>1</v>
      </c>
      <c r="CN33" s="10"/>
      <c r="CO33" s="10"/>
      <c r="CP33" s="10"/>
      <c r="CQ33" s="10"/>
      <c r="CU33" s="10"/>
      <c r="CV33" s="10"/>
      <c r="CW33" s="10"/>
      <c r="CX33" s="10"/>
      <c r="DB33" s="10"/>
      <c r="DC33" s="10"/>
      <c r="DD33" s="10"/>
      <c r="DE33" s="10"/>
      <c r="DH33" s="10"/>
      <c r="DI33" s="10"/>
      <c r="DJ33" s="10"/>
      <c r="DK33" s="10"/>
    </row>
    <row r="34" spans="2:115" outlineLevel="1">
      <c r="B34" t="s">
        <v>28</v>
      </c>
      <c r="C34" t="s">
        <v>113</v>
      </c>
      <c r="E34" s="9"/>
      <c r="F34" t="s">
        <v>118</v>
      </c>
      <c r="G34" s="10">
        <v>0.1</v>
      </c>
      <c r="I34" s="9">
        <f t="shared" si="1"/>
        <v>0</v>
      </c>
      <c r="J34" s="11" cm="1">
        <f t="array" ref="J34">MAX(IF($N$3:$EA$3=$J$3,N34:EA34))</f>
        <v>0</v>
      </c>
      <c r="K34" s="11" cm="1">
        <f t="array" ref="K34">MAX(IF($N$3:$EA$3=$J$3,N34:EA34))</f>
        <v>0</v>
      </c>
      <c r="L34" s="9"/>
      <c r="O34" s="10"/>
      <c r="P34" s="10"/>
      <c r="Q34" s="10"/>
      <c r="R34" s="10"/>
      <c r="V34" s="10"/>
      <c r="W34" s="10"/>
      <c r="X34" s="10"/>
      <c r="Y34" s="10"/>
      <c r="AC34" s="10"/>
      <c r="AD34" s="10">
        <v>0.5</v>
      </c>
      <c r="AE34" s="10"/>
      <c r="AF34" s="10">
        <v>0.5</v>
      </c>
      <c r="AJ34" s="10"/>
      <c r="AK34" s="10">
        <v>0.5</v>
      </c>
      <c r="AL34" s="10"/>
      <c r="AM34" s="10">
        <v>0.5</v>
      </c>
      <c r="AQ34" s="10"/>
      <c r="AR34" s="10">
        <v>0.5</v>
      </c>
      <c r="AS34" s="10"/>
      <c r="AT34" s="10">
        <v>0.5</v>
      </c>
      <c r="AX34" s="10"/>
      <c r="AY34" s="10">
        <v>0.5</v>
      </c>
      <c r="AZ34" s="10"/>
      <c r="BA34" s="10">
        <v>0.5</v>
      </c>
      <c r="BE34" s="10"/>
      <c r="BF34" s="10">
        <v>0.8</v>
      </c>
      <c r="BG34" s="10"/>
      <c r="BH34" s="10">
        <v>0.8</v>
      </c>
      <c r="BL34" s="10"/>
      <c r="BM34" s="10">
        <v>0.8</v>
      </c>
      <c r="BN34" s="10"/>
      <c r="BO34" s="10">
        <v>0.8</v>
      </c>
      <c r="BS34" s="10"/>
      <c r="BT34" s="10">
        <v>0.8</v>
      </c>
      <c r="BU34" s="10"/>
      <c r="BV34" s="10">
        <v>0.8</v>
      </c>
      <c r="BZ34" s="10"/>
      <c r="CA34" s="10">
        <v>1</v>
      </c>
      <c r="CB34" s="10"/>
      <c r="CC34" s="10">
        <v>1</v>
      </c>
      <c r="CG34" s="10"/>
      <c r="CH34" s="10">
        <v>1</v>
      </c>
      <c r="CI34" s="10"/>
      <c r="CJ34" s="10">
        <v>1</v>
      </c>
      <c r="CN34" s="10"/>
      <c r="CO34" s="10"/>
      <c r="CP34" s="10"/>
      <c r="CQ34" s="10"/>
      <c r="CU34" s="10"/>
      <c r="CV34" s="10"/>
      <c r="CW34" s="10"/>
      <c r="CX34" s="10"/>
      <c r="DB34" s="10"/>
      <c r="DC34" s="10"/>
      <c r="DD34" s="10"/>
      <c r="DE34" s="10"/>
      <c r="DH34" s="10"/>
      <c r="DI34" s="10"/>
      <c r="DJ34" s="10"/>
      <c r="DK34" s="10"/>
    </row>
    <row r="35" spans="2:115" outlineLevel="1">
      <c r="B35" t="s">
        <v>28</v>
      </c>
      <c r="C35" t="s">
        <v>113</v>
      </c>
      <c r="E35" s="9"/>
      <c r="F35" t="s">
        <v>119</v>
      </c>
      <c r="G35" s="10">
        <v>0.03</v>
      </c>
      <c r="I35" s="9">
        <f t="shared" si="1"/>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v>0.5</v>
      </c>
      <c r="AL35" s="10"/>
      <c r="AM35" s="10">
        <v>0.5</v>
      </c>
      <c r="AQ35" s="10"/>
      <c r="AR35" s="10">
        <v>0.5</v>
      </c>
      <c r="AS35" s="10"/>
      <c r="AT35" s="10">
        <v>0.5</v>
      </c>
      <c r="AX35" s="10"/>
      <c r="AY35" s="10">
        <v>0.5</v>
      </c>
      <c r="AZ35" s="10"/>
      <c r="BA35" s="10">
        <v>0.5</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c r="CP35" s="10"/>
      <c r="CQ35" s="10"/>
      <c r="CU35" s="10"/>
      <c r="CV35" s="10"/>
      <c r="CW35" s="10"/>
      <c r="CX35" s="10"/>
      <c r="DB35" s="10"/>
      <c r="DC35" s="10"/>
      <c r="DD35" s="10"/>
      <c r="DE35" s="10"/>
      <c r="DH35" s="10"/>
      <c r="DI35" s="10"/>
      <c r="DJ35" s="10"/>
      <c r="DK35" s="10"/>
    </row>
    <row r="36" spans="2:115" outlineLevel="1">
      <c r="B36" t="s">
        <v>28</v>
      </c>
      <c r="C36" t="s">
        <v>113</v>
      </c>
      <c r="E36" s="9"/>
      <c r="F36" t="s">
        <v>120</v>
      </c>
      <c r="G36" s="10">
        <v>0.2</v>
      </c>
      <c r="I36" s="9">
        <f t="shared" si="1"/>
        <v>0</v>
      </c>
      <c r="J36" s="11" cm="1">
        <f t="array" ref="J36">MAX(IF($N$3:$EA$3=$J$3,N36:EA36))</f>
        <v>0</v>
      </c>
      <c r="K36" s="11" cm="1">
        <f t="array" ref="K36">MAX(IF($N$3:$EA$3=$J$3,N36:EA36))</f>
        <v>0</v>
      </c>
      <c r="L36" s="9"/>
      <c r="O36" s="10"/>
      <c r="P36" s="10"/>
      <c r="Q36" s="10"/>
      <c r="R36" s="10"/>
      <c r="V36" s="10"/>
      <c r="W36" s="10"/>
      <c r="X36" s="10"/>
      <c r="Y36" s="10"/>
      <c r="AC36" s="10"/>
      <c r="AD36" s="10"/>
      <c r="AE36" s="10"/>
      <c r="AF36" s="10"/>
      <c r="AJ36" s="10"/>
      <c r="AK36" s="10">
        <v>0.5</v>
      </c>
      <c r="AL36" s="10"/>
      <c r="AM36" s="10">
        <v>0.5</v>
      </c>
      <c r="AQ36" s="10"/>
      <c r="AR36" s="10">
        <v>0.5</v>
      </c>
      <c r="AS36" s="10"/>
      <c r="AT36" s="10">
        <v>0.5</v>
      </c>
      <c r="AX36" s="10"/>
      <c r="AY36" s="10">
        <v>0.5</v>
      </c>
      <c r="AZ36" s="10"/>
      <c r="BA36" s="10">
        <v>0.5</v>
      </c>
      <c r="BE36" s="10"/>
      <c r="BF36" s="10">
        <v>0.5</v>
      </c>
      <c r="BG36" s="10"/>
      <c r="BH36" s="10">
        <v>0.5</v>
      </c>
      <c r="BL36" s="10"/>
      <c r="BM36" s="10">
        <v>0.8</v>
      </c>
      <c r="BN36" s="10"/>
      <c r="BO36" s="10">
        <v>0.8</v>
      </c>
      <c r="BS36" s="10"/>
      <c r="BT36" s="10">
        <v>0.8</v>
      </c>
      <c r="BU36" s="10"/>
      <c r="BV36" s="10">
        <v>0.8</v>
      </c>
      <c r="BZ36" s="10"/>
      <c r="CA36" s="10">
        <v>0.8</v>
      </c>
      <c r="CB36" s="10"/>
      <c r="CC36" s="10">
        <v>0.8</v>
      </c>
      <c r="CG36" s="10"/>
      <c r="CH36" s="10">
        <v>1</v>
      </c>
      <c r="CI36" s="10"/>
      <c r="CJ36" s="10">
        <v>1</v>
      </c>
      <c r="CN36" s="10"/>
      <c r="CO36" s="10"/>
      <c r="CP36" s="10"/>
      <c r="CQ36" s="10"/>
      <c r="CU36" s="10"/>
      <c r="CV36" s="10"/>
      <c r="CW36" s="10"/>
      <c r="CX36" s="10"/>
      <c r="DB36" s="10"/>
      <c r="DC36" s="10"/>
      <c r="DD36" s="10"/>
      <c r="DE36" s="10"/>
      <c r="DH36" s="10"/>
      <c r="DI36" s="10"/>
      <c r="DJ36" s="10"/>
      <c r="DK36" s="10"/>
    </row>
    <row r="37" spans="2:115" outlineLevel="1">
      <c r="B37" t="s">
        <v>28</v>
      </c>
      <c r="C37" t="s">
        <v>113</v>
      </c>
      <c r="E37" s="9"/>
      <c r="F37" t="s">
        <v>121</v>
      </c>
      <c r="G37" s="10">
        <v>0.1</v>
      </c>
      <c r="I37" s="9">
        <f t="shared" si="1"/>
        <v>0</v>
      </c>
      <c r="J37" s="11" cm="1">
        <f t="array" ref="J37">MAX(IF($N$3:$EA$3=$J$3,N37:EA37))</f>
        <v>0</v>
      </c>
      <c r="K37" s="11" cm="1">
        <f t="array" ref="K37">MAX(IF($N$3:$EA$3=$J$3,N37:EA37))</f>
        <v>0</v>
      </c>
      <c r="L37" s="9"/>
      <c r="O37" s="10"/>
      <c r="P37" s="10"/>
      <c r="Q37" s="10"/>
      <c r="R37" s="10"/>
      <c r="V37" s="10"/>
      <c r="W37" s="10"/>
      <c r="X37" s="10"/>
      <c r="Y37" s="10"/>
      <c r="AC37" s="10"/>
      <c r="AD37" s="10"/>
      <c r="AE37" s="10"/>
      <c r="AF37" s="10"/>
      <c r="AJ37" s="10"/>
      <c r="AK37" s="10"/>
      <c r="AL37" s="10"/>
      <c r="AM37" s="10"/>
      <c r="AQ37" s="10"/>
      <c r="AR37" s="10">
        <v>0.5</v>
      </c>
      <c r="AS37" s="10"/>
      <c r="AT37" s="10">
        <v>0.5</v>
      </c>
      <c r="AX37" s="10"/>
      <c r="AY37" s="10">
        <v>0.5</v>
      </c>
      <c r="AZ37" s="10"/>
      <c r="BA37" s="10">
        <v>0.5</v>
      </c>
      <c r="BE37" s="10"/>
      <c r="BF37" s="10">
        <v>0.5</v>
      </c>
      <c r="BG37" s="10"/>
      <c r="BH37" s="10">
        <v>0.5</v>
      </c>
      <c r="BL37" s="10"/>
      <c r="BM37" s="10">
        <v>0.5</v>
      </c>
      <c r="BN37" s="10"/>
      <c r="BO37" s="10">
        <v>0.5</v>
      </c>
      <c r="BS37" s="10"/>
      <c r="BT37" s="10">
        <v>0.8</v>
      </c>
      <c r="BU37" s="10"/>
      <c r="BV37" s="10">
        <v>0.8</v>
      </c>
      <c r="BZ37" s="10"/>
      <c r="CA37" s="10">
        <v>0.8</v>
      </c>
      <c r="CB37" s="10"/>
      <c r="CC37" s="10">
        <v>0.8</v>
      </c>
      <c r="CG37" s="10"/>
      <c r="CH37" s="10">
        <v>1</v>
      </c>
      <c r="CI37" s="10"/>
      <c r="CJ37" s="10">
        <v>1</v>
      </c>
      <c r="CN37" s="10"/>
      <c r="CO37" s="10"/>
      <c r="CP37" s="10"/>
      <c r="CQ37" s="10"/>
      <c r="CU37" s="10"/>
      <c r="CV37" s="10"/>
      <c r="CW37" s="10"/>
      <c r="CX37" s="10"/>
      <c r="DB37" s="10"/>
      <c r="DC37" s="10"/>
      <c r="DD37" s="10"/>
      <c r="DE37" s="10"/>
      <c r="DH37" s="10"/>
      <c r="DI37" s="10"/>
      <c r="DJ37" s="10"/>
      <c r="DK37" s="10"/>
    </row>
    <row r="38" spans="2:115" outlineLevel="1">
      <c r="B38" t="s">
        <v>28</v>
      </c>
      <c r="C38" t="s">
        <v>113</v>
      </c>
      <c r="E38" s="9"/>
      <c r="F38" t="s">
        <v>122</v>
      </c>
      <c r="G38" s="10">
        <v>0.15</v>
      </c>
      <c r="I38" s="9">
        <f t="shared" si="1"/>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v>0.5</v>
      </c>
      <c r="AZ38" s="10"/>
      <c r="BA38" s="10">
        <v>0.5</v>
      </c>
      <c r="BE38" s="10"/>
      <c r="BF38" s="10">
        <v>0.5</v>
      </c>
      <c r="BG38" s="10"/>
      <c r="BH38" s="10">
        <v>0.5</v>
      </c>
      <c r="BL38" s="10"/>
      <c r="BM38" s="10">
        <v>0.5</v>
      </c>
      <c r="BN38" s="10"/>
      <c r="BO38" s="10">
        <v>0.5</v>
      </c>
      <c r="BS38" s="10"/>
      <c r="BT38" s="10">
        <v>0.8</v>
      </c>
      <c r="BU38" s="10"/>
      <c r="BV38" s="10">
        <v>0.8</v>
      </c>
      <c r="BZ38" s="10"/>
      <c r="CA38" s="10">
        <v>0.8</v>
      </c>
      <c r="CB38" s="10"/>
      <c r="CC38" s="10">
        <v>0.8</v>
      </c>
      <c r="CG38" s="10"/>
      <c r="CH38" s="10">
        <v>1</v>
      </c>
      <c r="CI38" s="10"/>
      <c r="CJ38" s="10">
        <v>1</v>
      </c>
      <c r="CN38" s="10"/>
      <c r="CO38" s="10"/>
      <c r="CP38" s="10"/>
      <c r="CQ38" s="10"/>
      <c r="CU38" s="10"/>
      <c r="CV38" s="10"/>
      <c r="CW38" s="10"/>
      <c r="CX38" s="10"/>
      <c r="DB38" s="10"/>
      <c r="DC38" s="10"/>
      <c r="DD38" s="10"/>
      <c r="DE38" s="10"/>
      <c r="DH38" s="10"/>
      <c r="DI38" s="10"/>
      <c r="DJ38" s="10"/>
      <c r="DK38" s="10"/>
    </row>
    <row r="40" spans="2:115">
      <c r="B40" t="s">
        <v>27</v>
      </c>
      <c r="C40" t="s">
        <v>134</v>
      </c>
      <c r="D40" s="19">
        <v>45119</v>
      </c>
      <c r="E40" s="9">
        <v>5</v>
      </c>
      <c r="G40" s="10">
        <f>+SUM(G41:G51)</f>
        <v>0</v>
      </c>
      <c r="I40" s="12">
        <f>+SUM(I41:I51)</f>
        <v>0</v>
      </c>
      <c r="J40" s="11">
        <f>+SUMPRODUCT(G41:G51,J41:J51)</f>
        <v>0</v>
      </c>
      <c r="K40" s="11">
        <f>+SUMPRODUCT(G41:G51,K41:K51)</f>
        <v>0</v>
      </c>
      <c r="L40" s="9"/>
      <c r="N40" s="12">
        <f>+SUM(N41:N51)</f>
        <v>0</v>
      </c>
      <c r="U40" s="12">
        <f>+SUM(U41:U51)</f>
        <v>0</v>
      </c>
      <c r="AB40" s="12">
        <f>+SUM(AB41:AB51)</f>
        <v>0</v>
      </c>
      <c r="AI40" s="12">
        <f>+SUM(AI41:AI51)</f>
        <v>0</v>
      </c>
      <c r="AP40" s="12">
        <f>+SUM(AP41:AP51)</f>
        <v>0</v>
      </c>
      <c r="BK40" s="12">
        <f>+SUM(BK41:BK45)</f>
        <v>0</v>
      </c>
      <c r="BR40" s="12">
        <f>+SUM(BR41:BR45)</f>
        <v>0</v>
      </c>
      <c r="BY40" s="12">
        <f>+SUM(BY41:BY45)</f>
        <v>0</v>
      </c>
      <c r="CF40" s="12">
        <f>+SUM(CF41:CF45)</f>
        <v>0</v>
      </c>
      <c r="DG40" s="12">
        <f>+SUM(DG41:DG51)</f>
        <v>0</v>
      </c>
    </row>
  </sheetData>
  <mergeCells count="16">
    <mergeCell ref="DG2:DL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5:J9">
    <cfRule type="colorScale" priority="837">
      <colorScale>
        <cfvo type="percent" val="0"/>
        <cfvo type="percent" val="100"/>
        <color rgb="FFFF231B"/>
        <color rgb="FF10FF07"/>
      </colorScale>
    </cfRule>
  </conditionalFormatting>
  <conditionalFormatting sqref="J12 J15:J16">
    <cfRule type="colorScale" priority="841">
      <colorScale>
        <cfvo type="percent" val="0"/>
        <cfvo type="percent" val="100"/>
        <color rgb="FFFF231B"/>
        <color rgb="FF10FF07"/>
      </colorScale>
    </cfRule>
  </conditionalFormatting>
  <conditionalFormatting sqref="J13">
    <cfRule type="colorScale" priority="229">
      <colorScale>
        <cfvo type="percent" val="0"/>
        <cfvo type="percent" val="100"/>
        <color rgb="FFFF231B"/>
        <color rgb="FF10FF07"/>
      </colorScale>
    </cfRule>
  </conditionalFormatting>
  <conditionalFormatting sqref="J14">
    <cfRule type="colorScale" priority="210">
      <colorScale>
        <cfvo type="percent" val="0"/>
        <cfvo type="percent" val="100"/>
        <color rgb="FFFF231B"/>
        <color rgb="FF10FF07"/>
      </colorScale>
    </cfRule>
  </conditionalFormatting>
  <conditionalFormatting sqref="J19:J25">
    <cfRule type="colorScale" priority="845">
      <colorScale>
        <cfvo type="percent" val="0"/>
        <cfvo type="percent" val="100"/>
        <color rgb="FFFF231B"/>
        <color rgb="FF10FF07"/>
      </colorScale>
    </cfRule>
  </conditionalFormatting>
  <conditionalFormatting sqref="J28:J38">
    <cfRule type="colorScale" priority="78">
      <colorScale>
        <cfvo type="percent" val="0"/>
        <cfvo type="percent" val="100"/>
        <color rgb="FFFF231B"/>
        <color rgb="FF10FF07"/>
      </colorScale>
    </cfRule>
  </conditionalFormatting>
  <conditionalFormatting sqref="J6:K9">
    <cfRule type="colorScale" priority="839">
      <colorScale>
        <cfvo type="percent" val="0"/>
        <cfvo type="percent" val="100"/>
        <color rgb="FFFF231B"/>
        <color rgb="FF10FF07"/>
      </colorScale>
    </cfRule>
  </conditionalFormatting>
  <conditionalFormatting sqref="J13:K13">
    <cfRule type="colorScale" priority="230">
      <colorScale>
        <cfvo type="percent" val="0"/>
        <cfvo type="percent" val="100"/>
        <color rgb="FFFF231B"/>
        <color rgb="FF10FF07"/>
      </colorScale>
    </cfRule>
  </conditionalFormatting>
  <conditionalFormatting sqref="J14:K14">
    <cfRule type="colorScale" priority="211">
      <colorScale>
        <cfvo type="percent" val="0"/>
        <cfvo type="percent" val="100"/>
        <color rgb="FFFF231B"/>
        <color rgb="FF10FF07"/>
      </colorScale>
    </cfRule>
  </conditionalFormatting>
  <conditionalFormatting sqref="J15:K16">
    <cfRule type="colorScale" priority="843">
      <colorScale>
        <cfvo type="percent" val="0"/>
        <cfvo type="percent" val="100"/>
        <color rgb="FFFF231B"/>
        <color rgb="FF10FF07"/>
      </colorScale>
    </cfRule>
  </conditionalFormatting>
  <conditionalFormatting sqref="J20:K25">
    <cfRule type="colorScale" priority="846">
      <colorScale>
        <cfvo type="percent" val="0"/>
        <cfvo type="percent" val="100"/>
        <color rgb="FFFF231B"/>
        <color rgb="FF10FF07"/>
      </colorScale>
    </cfRule>
  </conditionalFormatting>
  <conditionalFormatting sqref="J29:K38">
    <cfRule type="colorScale" priority="77">
      <colorScale>
        <cfvo type="percent" val="0"/>
        <cfvo type="percent" val="100"/>
        <color rgb="FFFF231B"/>
        <color rgb="FF10FF07"/>
      </colorScale>
    </cfRule>
  </conditionalFormatting>
  <conditionalFormatting sqref="K5:K9">
    <cfRule type="colorScale" priority="840">
      <colorScale>
        <cfvo type="percent" val="0"/>
        <cfvo type="percent" val="100"/>
        <color rgb="FFFF231B"/>
        <color rgb="FF10FF07"/>
      </colorScale>
    </cfRule>
  </conditionalFormatting>
  <conditionalFormatting sqref="K12 K15:K16">
    <cfRule type="colorScale" priority="844">
      <colorScale>
        <cfvo type="percent" val="0"/>
        <cfvo type="percent" val="100"/>
        <color rgb="FFFF231B"/>
        <color rgb="FF10FF07"/>
      </colorScale>
    </cfRule>
  </conditionalFormatting>
  <conditionalFormatting sqref="K13">
    <cfRule type="colorScale" priority="228">
      <colorScale>
        <cfvo type="percent" val="0"/>
        <cfvo type="percent" val="100"/>
        <color rgb="FFFF231B"/>
        <color rgb="FF10FF07"/>
      </colorScale>
    </cfRule>
  </conditionalFormatting>
  <conditionalFormatting sqref="K14">
    <cfRule type="colorScale" priority="209">
      <colorScale>
        <cfvo type="percent" val="0"/>
        <cfvo type="percent" val="100"/>
        <color rgb="FFFF231B"/>
        <color rgb="FF10FF07"/>
      </colorScale>
    </cfRule>
  </conditionalFormatting>
  <conditionalFormatting sqref="K19:K25">
    <cfRule type="colorScale" priority="847">
      <colorScale>
        <cfvo type="percent" val="0"/>
        <cfvo type="percent" val="100"/>
        <color rgb="FFFF231B"/>
        <color rgb="FF10FF07"/>
      </colorScale>
    </cfRule>
  </conditionalFormatting>
  <conditionalFormatting sqref="K28:K38">
    <cfRule type="colorScale" priority="79">
      <colorScale>
        <cfvo type="percent" val="0"/>
        <cfvo type="percent" val="100"/>
        <color rgb="FFFF231B"/>
        <color rgb="FF10FF07"/>
      </colorScale>
    </cfRule>
  </conditionalFormatting>
  <conditionalFormatting sqref="O5:O9 O12:O16 O19:BJ25 Q5:Q9 Q12:Q16 V5:V9 V12:V16 X5:X9 X12:X16 AC5:AC9 AC12:AC16 AE5:AE9 AE12:AE16 AJ5:AJ9 AJ12:AJ16 AL5:AL9 AL12:AL16 AQ5:AQ9 AQ12:AQ16 AS5:AS9 AS12:AS16 AX5:AX9 AX12:AX16 AY26 AZ5:AZ9 AZ12:AZ16 BE5:BE9 BE12:BE16 BG5:BG9 BG12:BG16 BL5:BL9 BL19:BN25 BL12:BQ16 BN5:BN9 BS5:BS9 BS19:BS25 BS12:BX16 BU5:BU9 BU19:BU25 BZ5:BZ9 BZ19:BZ25 BZ12:DD16 CB19:CB25 CB30:CB38 CB5:DD9 DG28:DL38">
    <cfRule type="expression" dxfId="49" priority="650">
      <formula>IF(O5&gt;=P5,IF(O5="",FALSE,TRUE))</formula>
    </cfRule>
    <cfRule type="expression" dxfId="48" priority="649">
      <formula>OR(IF(O5&lt;P5,TRUE),IF(AND(P5="",O5&lt;&gt;""),TRUE))</formula>
    </cfRule>
  </conditionalFormatting>
  <conditionalFormatting sqref="O28:BJ38 BL28:BN38">
    <cfRule type="expression" dxfId="47" priority="75">
      <formula>OR(IF(O28&lt;P28,TRUE),IF(AND(P28="",O28&lt;&gt;""),TRUE))</formula>
    </cfRule>
    <cfRule type="expression" dxfId="46" priority="76">
      <formula>IF(O28&gt;=P28,IF(O28="",FALSE,TRUE))</formula>
    </cfRule>
  </conditionalFormatting>
  <conditionalFormatting sqref="P12:P17">
    <cfRule type="expression" dxfId="45" priority="39">
      <formula>OR(IF(P12&lt;Q12,TRUE),IF(AND(Q12="",P12&lt;&gt;""),TRUE))</formula>
    </cfRule>
    <cfRule type="expression" dxfId="44" priority="40">
      <formula>IF(P12&gt;=Q12,IF(P12="",FALSE,TRUE))</formula>
    </cfRule>
  </conditionalFormatting>
  <conditionalFormatting sqref="BS28:BS38">
    <cfRule type="expression" dxfId="43" priority="73">
      <formula>OR(IF(BS28&lt;BT28,TRUE),IF(AND(BT28="",BS28&lt;&gt;""),TRUE))</formula>
    </cfRule>
    <cfRule type="expression" dxfId="42" priority="74">
      <formula>IF(BS28&gt;=BT28,IF(BS28="",FALSE,TRUE))</formula>
    </cfRule>
  </conditionalFormatting>
  <conditionalFormatting sqref="BU28:BU38">
    <cfRule type="expression" dxfId="41" priority="72">
      <formula>IF(BU28&gt;=BV28,IF(BU28="",FALSE,TRUE))</formula>
    </cfRule>
    <cfRule type="expression" dxfId="40" priority="71">
      <formula>OR(IF(BU28&lt;BV28,TRUE),IF(AND(BV28="",BU28&lt;&gt;""),TRUE))</formula>
    </cfRule>
  </conditionalFormatting>
  <conditionalFormatting sqref="BZ28:BZ38">
    <cfRule type="expression" dxfId="39" priority="70">
      <formula>IF(BZ28&gt;=CA28,IF(BZ28="",FALSE,TRUE))</formula>
    </cfRule>
    <cfRule type="expression" dxfId="38" priority="69">
      <formula>OR(IF(BZ28&lt;CA28,TRUE),IF(AND(CA28="",BZ28&lt;&gt;""),TRUE))</formula>
    </cfRule>
  </conditionalFormatting>
  <conditionalFormatting sqref="CB28">
    <cfRule type="expression" dxfId="37" priority="2">
      <formula>IF(CB28&gt;=CC28,IF(CB28="",FALSE,TRUE))</formula>
    </cfRule>
    <cfRule type="expression" dxfId="36" priority="1">
      <formula>OR(IF(CB28&lt;CC28,TRUE),IF(AND(CC28="",CB28&lt;&gt;""),TRUE))</formula>
    </cfRule>
  </conditionalFormatting>
  <conditionalFormatting sqref="CB29">
    <cfRule type="expression" dxfId="35" priority="855">
      <formula>IF(CB29&gt;=CC28,IF(CB29="",FALSE,TRUE))</formula>
    </cfRule>
    <cfRule type="expression" dxfId="34" priority="854">
      <formula>OR(IF(CB29&lt;CC28,TRUE),IF(AND(CC28="",CB29&lt;&gt;""),TRUE))</formula>
    </cfRule>
  </conditionalFormatting>
  <conditionalFormatting sqref="CF28:CG38">
    <cfRule type="expression" dxfId="33" priority="3">
      <formula>OR(IF(CF28&lt;CG28,TRUE),IF(AND(CG28="",CF28&lt;&gt;""),TRUE))</formula>
    </cfRule>
    <cfRule type="expression" dxfId="32" priority="4">
      <formula>IF(CF28&gt;=CG28,IF(CF28="",FALSE,TRUE))</formula>
    </cfRule>
  </conditionalFormatting>
  <conditionalFormatting sqref="CF19:DL25">
    <cfRule type="expression" dxfId="31" priority="25">
      <formula>OR(IF(CF19&lt;CG19,TRUE),IF(AND(CG19="",CF19&lt;&gt;""),TRUE))</formula>
    </cfRule>
    <cfRule type="expression" dxfId="30" priority="26">
      <formula>IF(CF19&gt;=CG19,IF(CF19="",FALSE,TRUE))</formula>
    </cfRule>
  </conditionalFormatting>
  <conditionalFormatting sqref="CI28:CI38">
    <cfRule type="expression" dxfId="29" priority="63">
      <formula>OR(IF(CI28&lt;CJ28,TRUE),IF(AND(CJ28="",CI28&lt;&gt;""),TRUE))</formula>
    </cfRule>
    <cfRule type="expression" dxfId="28" priority="64">
      <formula>IF(CI28&gt;=CJ28,IF(CI28="",FALSE,TRUE))</formula>
    </cfRule>
  </conditionalFormatting>
  <conditionalFormatting sqref="CN28:CN38">
    <cfRule type="expression" dxfId="27" priority="62">
      <formula>IF(CN28&gt;=CO28,IF(CN28="",FALSE,TRUE))</formula>
    </cfRule>
    <cfRule type="expression" dxfId="26" priority="61">
      <formula>OR(IF(CN28&lt;CO28,TRUE),IF(AND(CO28="",CN28&lt;&gt;""),TRUE))</formula>
    </cfRule>
  </conditionalFormatting>
  <conditionalFormatting sqref="CP28:CP38">
    <cfRule type="expression" dxfId="25" priority="60">
      <formula>IF(CP28&gt;=CQ28,IF(CP28="",FALSE,TRUE))</formula>
    </cfRule>
    <cfRule type="expression" dxfId="24" priority="59">
      <formula>OR(IF(CP28&lt;CQ28,TRUE),IF(AND(CQ28="",CP28&lt;&gt;""),TRUE))</formula>
    </cfRule>
  </conditionalFormatting>
  <conditionalFormatting sqref="CU28:CU38">
    <cfRule type="expression" dxfId="23" priority="58">
      <formula>IF(CU28&gt;=CV28,IF(CU28="",FALSE,TRUE))</formula>
    </cfRule>
    <cfRule type="expression" dxfId="22" priority="57">
      <formula>OR(IF(CU28&lt;CV28,TRUE),IF(AND(CV28="",CU28&lt;&gt;""),TRUE))</formula>
    </cfRule>
  </conditionalFormatting>
  <conditionalFormatting sqref="CW28:CW38">
    <cfRule type="expression" dxfId="21" priority="56">
      <formula>IF(CW28&gt;=CX28,IF(CW28="",FALSE,TRUE))</formula>
    </cfRule>
    <cfRule type="expression" dxfId="20" priority="55">
      <formula>OR(IF(CW28&lt;CX28,TRUE),IF(AND(CX28="",CW28&lt;&gt;""),TRUE))</formula>
    </cfRule>
  </conditionalFormatting>
  <conditionalFormatting sqref="DB28:DB38">
    <cfRule type="expression" dxfId="19" priority="53">
      <formula>OR(IF(DB28&lt;DC28,TRUE),IF(AND(DC28="",DB28&lt;&gt;""),TRUE))</formula>
    </cfRule>
    <cfRule type="expression" dxfId="18" priority="54">
      <formula>IF(DB28&gt;=DC28,IF(DB28="",FALSE,TRUE))</formula>
    </cfRule>
  </conditionalFormatting>
  <conditionalFormatting sqref="DD28:DD38">
    <cfRule type="expression" dxfId="17" priority="51">
      <formula>OR(IF(DD28&lt;DE28,TRUE),IF(AND(DE28="",DD28&lt;&gt;""),TRUE))</formula>
    </cfRule>
    <cfRule type="expression" dxfId="16" priority="52">
      <formula>IF(DD28&gt;=DE28,IF(DD28="",FALSE,TRUE))</formula>
    </cfRule>
  </conditionalFormatting>
  <conditionalFormatting sqref="DH5:DH9 DH12:DH16 DJ5:DJ9 DJ12:DJ16">
    <cfRule type="expression" dxfId="15" priority="50">
      <formula>IF(DH5&gt;=DI5,IF(DH5="",FALSE,TRUE))</formula>
    </cfRule>
    <cfRule type="expression" dxfId="14" priority="49">
      <formula>OR(IF(DH5&lt;DI5,TRUE),IF(AND(DI5="",DH5&lt;&gt;""),TRUE))</formula>
    </cfRule>
  </conditionalFormatting>
  <conditionalFormatting sqref="DM19:DM25 DM28:DM38">
    <cfRule type="expression" dxfId="13" priority="850">
      <formula>OR(IF(DM19&lt;#REF!,TRUE),IF(AND(#REF!="",DM19&lt;&gt;""),TRUE))</formula>
    </cfRule>
    <cfRule type="expression" dxfId="12" priority="851">
      <formula>IF(DM19&gt;=#REF!,IF(DM19="",FALSE,TRUE))</formula>
    </cfRule>
  </conditionalFormatting>
  <dataValidations count="1">
    <dataValidation type="list" allowBlank="1" showInputMessage="1" showErrorMessage="1" sqref="V5:Y9 AC5:AF9 AJ5:AM9 AQ5:AT9 AX5:BA9 BE5:BH9 BL5:BO9 O5:R9 V12:Y16 AC12:AF16 AJ12:AM16 AQ12:AT16 AX12:BA16 BE12:BH16 BL12:BO16 BL19:BO25 O19:R25 AX19:BA25 AQ19:AT25 AJ19:AM25 AC19:AF25 V19:Y25 BZ5:CC9 BS5:BV9 BS19:BV25 BS12:BV16 BZ19:CC25 BE19:BH25 CG5:CJ9 CG19:CJ25 CG12:CJ16 CN5:CQ9 CN12:CQ16 CN19:CQ25 CU5:CX9 CU12:CX16 CU19:CX25 DH28:DK38 DB5:DE9 DB12:DE16 DB19:DE25 BZ12:CC16 BL28:BO38 O28:R38 AX28:BA38 AQ28:AT38 AJ28:AM38 AC28:AF38 V28:Y38 BS28:BV38 BE28:BH38 CG28:CJ38 CN28:CQ38 CU28:CX38 DB28:DE38 DH5:DK9 DH12:DK16 DH19:DK25 O12:O16 Q12:R16 P12:P17 BZ30:CC38 BZ28:CB29 CC2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39</v>
      </c>
    </row>
    <row r="12" spans="2:2">
      <c r="B12" s="2" t="s">
        <v>17</v>
      </c>
    </row>
    <row r="13" spans="2:2" ht="140.4">
      <c r="B13" s="1" t="s">
        <v>18</v>
      </c>
    </row>
    <row r="15" spans="2:2">
      <c r="B15" s="2" t="s">
        <v>19</v>
      </c>
    </row>
    <row r="16" spans="2:2" ht="109.2">
      <c r="B16" s="1" t="s">
        <v>20</v>
      </c>
    </row>
    <row r="17" spans="2:2">
      <c r="B17" s="1"/>
    </row>
    <row r="18" spans="2:2">
      <c r="B18" s="2" t="s">
        <v>38</v>
      </c>
    </row>
    <row r="19" spans="2:2" ht="140.4">
      <c r="B19" s="1" t="s">
        <v>40</v>
      </c>
    </row>
    <row r="21" spans="2:2">
      <c r="B21" s="2" t="s">
        <v>21</v>
      </c>
    </row>
    <row r="22" spans="2:2" ht="124.8">
      <c r="B22" s="1" t="s">
        <v>41</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zoomScale="80" zoomScaleNormal="80" workbookViewId="0">
      <selection activeCell="D4" sqref="D4"/>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48</v>
      </c>
      <c r="B1" s="15" t="s">
        <v>45</v>
      </c>
      <c r="C1" s="15" t="s">
        <v>46</v>
      </c>
      <c r="D1" s="15" t="s">
        <v>47</v>
      </c>
      <c r="E1" s="1" t="s">
        <v>49</v>
      </c>
      <c r="F1" s="1" t="s">
        <v>50</v>
      </c>
      <c r="G1" s="1" t="s">
        <v>51</v>
      </c>
      <c r="H1" s="1" t="s">
        <v>52</v>
      </c>
      <c r="I1" s="1" t="s">
        <v>53</v>
      </c>
      <c r="J1" s="1" t="s">
        <v>54</v>
      </c>
      <c r="K1" s="1" t="s">
        <v>55</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14</vt:lpstr>
      <vt:lpstr>Wochenplan KW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Nick Meyer</cp:lastModifiedBy>
  <dcterms:created xsi:type="dcterms:W3CDTF">2020-04-19T13:33:28Z</dcterms:created>
  <dcterms:modified xsi:type="dcterms:W3CDTF">2023-03-24T09:05:25Z</dcterms:modified>
</cp:coreProperties>
</file>