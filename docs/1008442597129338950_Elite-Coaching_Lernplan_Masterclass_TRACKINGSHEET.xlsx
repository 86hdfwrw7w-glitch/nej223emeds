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8CE2FC76-1CC9-4476-A6C8-764A60F75DC2}" xr6:coauthVersionLast="47" xr6:coauthVersionMax="47" xr10:uidLastSave="{00000000-0000-0000-0000-000000000000}"/>
  <bookViews>
    <workbookView xWindow="-108" yWindow="-108" windowWidth="23256" windowHeight="12576" firstSheet="1" activeTab="1" xr2:uid="{50F29292-BE80-0C47-A0D2-DD086CB3D310}"/>
  </bookViews>
  <sheets>
    <sheet name="Anleitung" sheetId="2" r:id="rId1"/>
    <sheet name="Semesterplan" sheetId="7" r:id="rId2"/>
    <sheet name="COMMITTMENT" sheetId="9" r:id="rId3"/>
    <sheet name="Wochenplan KW 33" sheetId="3" r:id="rId4"/>
    <sheet name="Wochenplan KW 34" sheetId="8" r:id="rId5"/>
    <sheet name="Wochenplan KW 35" sheetId="10" r:id="rId6"/>
    <sheet name="Wochenplan KW 36" sheetId="11" r:id="rId7"/>
    <sheet name="Wochenplan KW 37" sheetId="12" r:id="rId8"/>
    <sheet name="Wochenplan KW 38" sheetId="13" r:id="rId9"/>
    <sheet name="Wochenplan KW 39" sheetId="15" r:id="rId10"/>
    <sheet name="Wochenplan KW 40" sheetId="1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D19" i="7" l="1"/>
  <c r="AW19" i="7"/>
  <c r="K21" i="7" a="1"/>
  <c r="K21" i="7" s="1"/>
  <c r="J21" i="7" a="1"/>
  <c r="J21" i="7" s="1"/>
  <c r="I21" i="7"/>
  <c r="K22" i="7" a="1"/>
  <c r="K22" i="7" s="1"/>
  <c r="J22" i="7" a="1"/>
  <c r="J22" i="7" s="1"/>
  <c r="I22" i="7"/>
  <c r="K23" i="7" a="1"/>
  <c r="K23" i="7" s="1"/>
  <c r="J23" i="7" a="1"/>
  <c r="J23" i="7" s="1"/>
  <c r="I23" i="7"/>
  <c r="K25" i="7" a="1"/>
  <c r="K25" i="7" s="1"/>
  <c r="J25" i="7" a="1"/>
  <c r="J25" i="7" s="1"/>
  <c r="I25" i="7"/>
  <c r="K11" i="7" a="1"/>
  <c r="K11" i="7" s="1"/>
  <c r="J11" i="7" a="1"/>
  <c r="J11" i="7" s="1"/>
  <c r="I11" i="7"/>
  <c r="K10" i="7" a="1"/>
  <c r="K10" i="7" s="1"/>
  <c r="J10" i="7" a="1"/>
  <c r="J10" i="7" s="1"/>
  <c r="I10" i="7"/>
  <c r="K9" i="7" a="1"/>
  <c r="K9" i="7" s="1"/>
  <c r="J9" i="7" a="1"/>
  <c r="J9" i="7" s="1"/>
  <c r="I9" i="7"/>
  <c r="K12" i="7" a="1"/>
  <c r="K12" i="7" s="1"/>
  <c r="J12" i="7" a="1"/>
  <c r="J12" i="7" s="1"/>
  <c r="I12" i="7"/>
  <c r="BT4" i="7"/>
  <c r="BL4" i="7"/>
  <c r="I13" i="7"/>
  <c r="J13" i="7" a="1"/>
  <c r="J13" i="7" s="1"/>
  <c r="K13" i="7" a="1"/>
  <c r="K13" i="7" s="1"/>
  <c r="I14" i="7"/>
  <c r="J14" i="7" a="1"/>
  <c r="J14" i="7" s="1"/>
  <c r="K14" i="7" a="1"/>
  <c r="K14" i="7" s="1"/>
  <c r="I15" i="7"/>
  <c r="J15" i="7" a="1"/>
  <c r="J15" i="7" s="1"/>
  <c r="K15" i="7" a="1"/>
  <c r="K15" i="7" s="1"/>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AP43" i="7"/>
  <c r="AI43" i="7"/>
  <c r="AB43" i="7"/>
  <c r="U43" i="7"/>
  <c r="N43" i="7"/>
  <c r="G43" i="7"/>
  <c r="I30" i="7"/>
  <c r="J30" i="7" a="1"/>
  <c r="J30" i="7" s="1"/>
  <c r="K30" i="7" a="1"/>
  <c r="K30" i="7" s="1"/>
  <c r="I31" i="7"/>
  <c r="J31" i="7" a="1"/>
  <c r="J31" i="7" s="1"/>
  <c r="K31" i="7" a="1"/>
  <c r="K31" i="7" s="1"/>
  <c r="I32" i="7"/>
  <c r="J32" i="7" a="1"/>
  <c r="J32" i="7" s="1"/>
  <c r="K32" i="7" a="1"/>
  <c r="K32" i="7" s="1"/>
  <c r="I33" i="7"/>
  <c r="J33" i="7" a="1"/>
  <c r="J33" i="7" s="1"/>
  <c r="K33" i="7" a="1"/>
  <c r="K33" i="7" s="1"/>
  <c r="I34" i="7"/>
  <c r="J34" i="7" a="1"/>
  <c r="J34" i="7" s="1"/>
  <c r="K34" i="7" a="1"/>
  <c r="K34" i="7" s="1"/>
  <c r="I35" i="7"/>
  <c r="J35" i="7" a="1"/>
  <c r="J35" i="7" s="1"/>
  <c r="K35" i="7" a="1"/>
  <c r="K35" i="7" s="1"/>
  <c r="I36" i="7"/>
  <c r="J36" i="7" a="1"/>
  <c r="J36" i="7" s="1"/>
  <c r="K36" i="7" a="1"/>
  <c r="K36" i="7" s="1"/>
  <c r="I37" i="7"/>
  <c r="J37" i="7" a="1"/>
  <c r="J37" i="7" s="1"/>
  <c r="K37" i="7" a="1"/>
  <c r="K37" i="7" s="1"/>
  <c r="I38" i="7"/>
  <c r="J38" i="7" a="1"/>
  <c r="J38" i="7" s="1"/>
  <c r="K38" i="7" a="1"/>
  <c r="K38" i="7" s="1"/>
  <c r="I39" i="7"/>
  <c r="J39" i="7" a="1"/>
  <c r="J39" i="7" s="1"/>
  <c r="K39" i="7" a="1"/>
  <c r="K39" i="7" s="1"/>
  <c r="I40" i="7"/>
  <c r="J40" i="7" a="1"/>
  <c r="J40" i="7" s="1"/>
  <c r="K40" i="7" a="1"/>
  <c r="K40" i="7" s="1"/>
  <c r="I41" i="7"/>
  <c r="J41" i="7" a="1"/>
  <c r="J41" i="7" s="1"/>
  <c r="K41" i="7" a="1"/>
  <c r="K41" i="7" s="1"/>
  <c r="U29" i="7"/>
  <c r="N29" i="7"/>
  <c r="AP29" i="7"/>
  <c r="AB29" i="7"/>
  <c r="AI29" i="7"/>
  <c r="K27" i="7" a="1"/>
  <c r="K27" i="7" s="1"/>
  <c r="J27" i="7" a="1"/>
  <c r="J27" i="7" s="1"/>
  <c r="K26" i="7" a="1"/>
  <c r="K26" i="7" s="1"/>
  <c r="J26" i="7" a="1"/>
  <c r="J26" i="7" s="1"/>
  <c r="K24" i="7" a="1"/>
  <c r="K24" i="7" s="1"/>
  <c r="J24" i="7" a="1"/>
  <c r="J24" i="7" s="1"/>
  <c r="K20" i="7" a="1"/>
  <c r="K20" i="7" s="1"/>
  <c r="J20" i="7" a="1"/>
  <c r="J20" i="7" s="1"/>
  <c r="K17" i="7" a="1"/>
  <c r="K17" i="7" s="1"/>
  <c r="J17" i="7" a="1"/>
  <c r="J17" i="7" s="1"/>
  <c r="K16" i="7" a="1"/>
  <c r="K16" i="7" s="1"/>
  <c r="J16" i="7" a="1"/>
  <c r="J16" i="7" s="1"/>
  <c r="K8" i="7" a="1"/>
  <c r="K8" i="7" s="1"/>
  <c r="J8" i="7" a="1"/>
  <c r="J8" i="7" s="1"/>
  <c r="K7" i="7" a="1"/>
  <c r="K7" i="7" s="1"/>
  <c r="J7" i="7" a="1"/>
  <c r="J7" i="7" s="1"/>
  <c r="K6" i="7" a="1"/>
  <c r="K6" i="7" s="1"/>
  <c r="J6" i="7" a="1"/>
  <c r="J6" i="7" s="1"/>
  <c r="K5" i="7" a="1"/>
  <c r="K5" i="7" s="1"/>
  <c r="J5" i="7" a="1"/>
  <c r="J5" i="7" s="1"/>
  <c r="AP19" i="7"/>
  <c r="AI19" i="7"/>
  <c r="AB19" i="7"/>
  <c r="U19" i="7"/>
  <c r="BD4" i="7"/>
  <c r="AW4" i="7"/>
  <c r="AP4" i="7"/>
  <c r="AI4" i="7"/>
  <c r="AB4" i="7"/>
  <c r="U4" i="7"/>
  <c r="N4" i="7"/>
  <c r="N19" i="7"/>
  <c r="G4" i="7"/>
  <c r="I27" i="7"/>
  <c r="I26" i="7"/>
  <c r="I24" i="7"/>
  <c r="I20" i="7"/>
  <c r="I6" i="7"/>
  <c r="I7" i="7"/>
  <c r="I8" i="7"/>
  <c r="I16" i="7"/>
  <c r="I17" i="7"/>
  <c r="I5" i="7"/>
  <c r="G19" i="7"/>
  <c r="I43" i="7" l="1"/>
  <c r="K43" i="7"/>
  <c r="J43" i="7"/>
  <c r="I29" i="7"/>
  <c r="I19" i="7"/>
  <c r="J19" i="7"/>
  <c r="K19" i="7"/>
  <c r="K4" i="7"/>
  <c r="I4" i="7" l="1"/>
  <c r="J4" i="7"/>
  <c r="G29" i="7" l="1"/>
  <c r="J29" i="7"/>
  <c r="K2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<sst xmlns="http://schemas.openxmlformats.org/spreadsheetml/2006/main" count="292" uniqueCount="86">
  <si>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</si>
  <si>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</si>
  <si>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</si>
  <si>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</si>
  <si>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</si>
  <si>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</si>
  <si>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</si>
  <si>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</si>
  <si>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</si>
  <si>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</si>
  <si>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</si>
  <si>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</si>
  <si>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</si>
  <si>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</si>
  <si>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</si>
  <si>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</si>
  <si>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</si>
  <si>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</si>
  <si>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</si>
  <si>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</si>
  <si>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</si>
  <si>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</si>
  <si>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</si>
  <si>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</si>
  <si>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</si>
  <si>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</si>
  <si>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</si>
  <si>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</si>
  <si>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</si>
  <si>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</si>
  <si>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</si>
  <si>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</si>
  <si>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</si>
  <si>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</si>
  <si>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</si>
  <si>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</si>
  <si>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</si>
  <si>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</si>
  <si>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</si>
  <si>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</si>
  <si>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</si>
  <si>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</si>
  <si>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</si>
  <si>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</si>
  <si>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</si>
  <si>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</si>
  <si>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</si>
  <si>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</si>
  <si>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</si>
  <si>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</si>
  <si>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BWL</t>
  </si>
  <si>
    <t>KW 32</t>
  </si>
  <si>
    <t>KW 33</t>
  </si>
  <si>
    <t>KW 34</t>
  </si>
  <si>
    <t>KW 35</t>
  </si>
  <si>
    <t>KW 36</t>
  </si>
  <si>
    <t>KW 37</t>
  </si>
  <si>
    <t>KW 38</t>
  </si>
  <si>
    <t>Recht</t>
  </si>
  <si>
    <t>Mathe</t>
  </si>
  <si>
    <t>VWL</t>
  </si>
  <si>
    <t>3.-8.10.</t>
  </si>
  <si>
    <t>Ende November</t>
  </si>
  <si>
    <t>Ende Jänner</t>
  </si>
  <si>
    <t>KW 39</t>
  </si>
  <si>
    <t>KW 40</t>
  </si>
  <si>
    <t>9) Folien 1</t>
  </si>
  <si>
    <t>10) Folien 2</t>
  </si>
  <si>
    <t>11) Folien 3</t>
  </si>
  <si>
    <t>12) Folien 4</t>
  </si>
  <si>
    <t>13) Folien 5</t>
  </si>
  <si>
    <t>2) Unternehmerische Perspektive</t>
  </si>
  <si>
    <t>3) Finanzielle Perspektive</t>
  </si>
  <si>
    <t>4) Strategische Perspektive</t>
  </si>
  <si>
    <t>5) Kundenperspektive</t>
  </si>
  <si>
    <t>6) Produktions- und Prozessperspektive</t>
  </si>
  <si>
    <t>7) Mitarbeiterperspektive</t>
  </si>
  <si>
    <t>8) Normative Perspektive</t>
  </si>
  <si>
    <t>1) Modul 1</t>
  </si>
  <si>
    <t>2) Modul 2</t>
  </si>
  <si>
    <t>3) Modul 3</t>
  </si>
  <si>
    <t>4) Modul 4</t>
  </si>
  <si>
    <t>5) Modul 5</t>
  </si>
  <si>
    <t>6) Modul 6</t>
  </si>
  <si>
    <t>7) Modul 7</t>
  </si>
  <si>
    <t>8) Unionsrecht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</si>
</sst>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20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36</v>
      </c>
    </row>
    <row r="12" spans="2:2">
      <c r="B12" s="3" t="s">
        <v>17</v>
      </c>
    </row>
    <row r="13" spans="2:2" ht="140.4">
      <c r="B13" s="1" t="s">
        <v>18</v>
      </c>
    </row>
    <row r="15" spans="2:2">
      <c r="B15" s="3" t="s">
        <v>19</v>
      </c>
    </row>
    <row r="16" spans="2:2" ht="109.2">
      <c r="B16" s="1" t="s">
        <v>20</v>
      </c>
    </row>
    <row r="17" spans="2:2">
      <c r="B17" s="1"/>
    </row>
    <row r="18" spans="2:2">
      <c r="B18" s="3" t="s">
        <v>35</v>
      </c>
    </row>
    <row r="19" spans="2:2" ht="140.4">
      <c r="B19" s="1" t="s">
        <v>37</v>
      </c>
    </row>
    <row r="21" spans="2:2">
      <c r="B21" s="3" t="s">
        <v>21</v>
      </c>
    </row>
    <row r="22" spans="2:2" ht="124.8">
      <c r="B22" s="1" t="s">
        <v>38</v>
      </c>
    </row>
    <row r="24" spans="2:2">
      <c r="B24" s="3" t="s">
        <v>22</v>
      </c>
    </row>
    <row r="25" spans="2:2" ht="124.8">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Y55"/>
  <sheetViews>
    <sheetView showGridLines="0" tabSelected="1" zoomScale="76" zoomScaleNormal="76" workbookViewId="0">
      <pane xSplit="12" topLeftCell="BG1" activePane="topRight" state="frozen"/>
      <selection pane="topRight" activeCell="AI14" sqref="AI14"/>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3" width="2.5" customWidth="1"/>
    <col min="65" max="65" width="12.5" bestFit="1" customWidth="1"/>
    <col min="66" max="66" width="6.296875" customWidth="1"/>
    <col min="67" max="67" width="14.796875" bestFit="1" customWidth="1"/>
    <col min="68" max="68" width="6" customWidth="1"/>
    <col min="69" max="69" width="12.69921875" bestFit="1" customWidth="1"/>
    <col min="70" max="71" width="2.5" customWidth="1"/>
    <col min="73" max="73" width="12.5" bestFit="1" customWidth="1"/>
    <col min="74" max="74" width="6.296875" customWidth="1"/>
    <col min="75" max="75" width="14.796875" bestFit="1" customWidth="1"/>
    <col min="76" max="76" width="6" customWidth="1"/>
    <col min="77" max="77" width="12.69921875" bestFit="1" customWidth="1"/>
    <col min="78" max="78" width="2.5" customWidth="1"/>
  </cols>
  <sheetData>
    <row r="1" spans="2:77" ht="33.6">
      <c r="B1" s="5" t="s">
        <v>0</v>
      </c>
      <c r="D1" s="5"/>
      <c r="G1" s="15" t="s">
        <v>34</v>
      </c>
      <c r="I1" s="15" t="s">
        <v>34</v>
      </c>
      <c r="J1" s="15" t="s">
        <v>34</v>
      </c>
      <c r="K1" s="15" t="s">
        <v>34</v>
      </c>
    </row>
    <row r="2" spans="2:77">
      <c r="I2" s="19" t="s">
        <v>27</v>
      </c>
      <c r="J2" s="19"/>
      <c r="K2" s="19"/>
      <c r="L2" s="19"/>
      <c r="N2" s="19" t="s">
        <v>51</v>
      </c>
      <c r="O2" s="19"/>
      <c r="P2" s="19"/>
      <c r="Q2" s="19"/>
      <c r="R2" s="19"/>
      <c r="S2" s="19"/>
      <c r="U2" s="19" t="s">
        <v>52</v>
      </c>
      <c r="V2" s="19"/>
      <c r="W2" s="19"/>
      <c r="X2" s="19"/>
      <c r="Y2" s="19"/>
      <c r="Z2" s="19"/>
      <c r="AB2" s="19" t="s">
        <v>53</v>
      </c>
      <c r="AC2" s="19"/>
      <c r="AD2" s="19"/>
      <c r="AE2" s="19"/>
      <c r="AF2" s="19"/>
      <c r="AG2" s="19"/>
      <c r="AI2" s="19" t="s">
        <v>54</v>
      </c>
      <c r="AJ2" s="19"/>
      <c r="AK2" s="19"/>
      <c r="AL2" s="19"/>
      <c r="AM2" s="19"/>
      <c r="AN2" s="19"/>
      <c r="AP2" s="19" t="s">
        <v>55</v>
      </c>
      <c r="AQ2" s="19"/>
      <c r="AR2" s="19"/>
      <c r="AS2" s="19"/>
      <c r="AT2" s="19"/>
      <c r="AU2" s="19"/>
      <c r="AW2" s="19" t="s">
        <v>56</v>
      </c>
      <c r="AX2" s="19"/>
      <c r="AY2" s="19"/>
      <c r="AZ2" s="19"/>
      <c r="BA2" s="19"/>
      <c r="BB2" s="19"/>
      <c r="BD2" s="19" t="s">
        <v>57</v>
      </c>
      <c r="BE2" s="19"/>
      <c r="BF2" s="19"/>
      <c r="BG2" s="19"/>
      <c r="BH2" s="19"/>
      <c r="BI2" s="19"/>
      <c r="BL2" s="19" t="s">
        <v>64</v>
      </c>
      <c r="BM2" s="19"/>
      <c r="BN2" s="19"/>
      <c r="BO2" s="19"/>
      <c r="BP2" s="19"/>
      <c r="BQ2" s="19"/>
      <c r="BT2" s="19" t="s">
        <v>65</v>
      </c>
      <c r="BU2" s="19"/>
      <c r="BV2" s="19"/>
      <c r="BW2" s="19"/>
      <c r="BX2" s="19"/>
      <c r="BY2" s="19"/>
    </row>
    <row r="3" spans="2:77">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L3" s="6" t="s">
        <v>11</v>
      </c>
      <c r="BM3" s="6" t="s">
        <v>2</v>
      </c>
      <c r="BN3" s="6" t="s">
        <v>33</v>
      </c>
      <c r="BO3" s="6" t="s">
        <v>3</v>
      </c>
      <c r="BP3" s="6" t="s">
        <v>33</v>
      </c>
      <c r="BQ3" s="6" t="s">
        <v>12</v>
      </c>
      <c r="BT3" s="6" t="s">
        <v>11</v>
      </c>
      <c r="BU3" s="6" t="s">
        <v>2</v>
      </c>
      <c r="BV3" s="6" t="s">
        <v>33</v>
      </c>
      <c r="BW3" s="6" t="s">
        <v>3</v>
      </c>
      <c r="BX3" s="6" t="s">
        <v>33</v>
      </c>
      <c r="BY3" s="6" t="s">
        <v>12</v>
      </c>
    </row>
    <row r="4" spans="2:77">
      <c r="B4" t="s">
        <v>27</v>
      </c>
      <c r="C4" t="s">
        <v>50</v>
      </c>
      <c r="D4" t="s">
        <v>61</v>
      </c>
      <c r="E4" s="11">
        <v>4</v>
      </c>
      <c r="G4" s="12">
        <f>+SUM(G5:G17)</f>
        <v>0.995</v>
      </c>
      <c r="I4" s="14">
        <f>+SUM(I5:I17)</f>
        <v>75</v>
      </c>
      <c r="J4" s="13">
        <f>+SUMPRODUCT(G5:G17,J5:J17)</f>
        <v>0</v>
      </c>
      <c r="K4" s="13">
        <f>+SUMPRODUCT(G5:G17,K5:K17)</f>
        <v>0</v>
      </c>
      <c r="L4" s="11"/>
      <c r="N4" s="14">
        <f>+SUM(N5:N17)</f>
        <v>0</v>
      </c>
      <c r="U4" s="14">
        <f>+SUM(U5:U17)</f>
        <v>13</v>
      </c>
      <c r="AB4" s="14">
        <f>+SUM(AB5:AB17)</f>
        <v>12</v>
      </c>
      <c r="AI4" s="14">
        <f>+SUM(AI5:AI17)</f>
        <v>13</v>
      </c>
      <c r="AP4" s="14">
        <f>+SUM(AP5:AP17)</f>
        <v>12</v>
      </c>
      <c r="AW4" s="14">
        <f>+SUM(AW5:AW17)</f>
        <v>13</v>
      </c>
      <c r="BD4" s="14">
        <f>+SUM(BD5:BD17)</f>
        <v>12</v>
      </c>
      <c r="BL4" s="14">
        <f>+SUM(BL5:BL17)</f>
        <v>0</v>
      </c>
      <c r="BT4" s="14">
        <f>+SUM(BT5:BT17)</f>
        <v>0</v>
      </c>
    </row>
    <row r="5" spans="2:77" outlineLevel="1">
      <c r="B5" t="s">
        <v>28</v>
      </c>
      <c r="C5" t="s">
        <v>50</v>
      </c>
      <c r="E5" s="11"/>
      <c r="F5" t="s">
        <v>30</v>
      </c>
      <c r="G5" s="12">
        <v>0.04</v>
      </c>
      <c r="I5" s="11">
        <f>+SUMIF($N$3:$ZZ$3,I$3,$N5:$ZZ5)</f>
        <v>3</v>
      </c>
      <c r="J5" s="13" cm="1">
        <f t="array" ref="J5">MAX(IF($N$3:$EH$3=$J$3,N5:EH5))</f>
        <v>0</v>
      </c>
      <c r="K5" s="13" cm="1">
        <f t="array" ref="K5">MAX(IF($N$3:$EH$3=$J$3,N5:EH5))</f>
        <v>0</v>
      </c>
      <c r="L5" s="11"/>
      <c r="O5" s="12"/>
      <c r="P5" s="12"/>
      <c r="Q5" s="12"/>
      <c r="R5" s="12"/>
      <c r="U5">
        <v>1</v>
      </c>
      <c r="V5" s="12"/>
      <c r="W5" s="12">
        <v>0.5</v>
      </c>
      <c r="X5" s="12"/>
      <c r="Y5" s="12"/>
      <c r="AC5" s="12"/>
      <c r="AD5" s="12">
        <v>0.5</v>
      </c>
      <c r="AE5" s="12"/>
      <c r="AF5" s="12"/>
      <c r="AI5">
        <v>1</v>
      </c>
      <c r="AJ5" s="12"/>
      <c r="AK5" s="12">
        <v>0.8</v>
      </c>
      <c r="AL5" s="12"/>
      <c r="AM5" s="12"/>
      <c r="AQ5" s="12"/>
      <c r="AR5" s="12">
        <v>0.8</v>
      </c>
      <c r="AS5" s="12"/>
      <c r="AT5" s="12"/>
      <c r="AW5">
        <v>1</v>
      </c>
      <c r="AX5" s="12"/>
      <c r="AY5" s="12">
        <v>1</v>
      </c>
      <c r="AZ5" s="12"/>
      <c r="BA5" s="12"/>
      <c r="BE5" s="12"/>
      <c r="BF5" s="12">
        <v>1</v>
      </c>
      <c r="BG5" s="12"/>
      <c r="BH5" s="12"/>
      <c r="BM5" s="12"/>
      <c r="BN5" s="12"/>
      <c r="BO5" s="12"/>
      <c r="BP5" s="12"/>
      <c r="BU5" s="12"/>
      <c r="BV5" s="12"/>
      <c r="BW5" s="12"/>
      <c r="BX5" s="12"/>
    </row>
    <row r="6" spans="2:77" outlineLevel="1">
      <c r="B6" t="s">
        <v>28</v>
      </c>
      <c r="C6" t="s">
        <v>50</v>
      </c>
      <c r="E6" s="11"/>
      <c r="F6" t="s">
        <v>71</v>
      </c>
      <c r="G6" s="12">
        <v>6.5000000000000002E-2</v>
      </c>
      <c r="I6" s="11">
        <f t="shared" ref="I6:I17" si="0">+SUMIF($N$3:$ZZ$3,I$3,$N6:$ZZ6)</f>
        <v>6</v>
      </c>
      <c r="J6" s="13" cm="1">
        <f t="array" ref="J6">MAX(IF($N$3:$EH$3=$J$3,N6:EH6))</f>
        <v>0</v>
      </c>
      <c r="K6" s="13" cm="1">
        <f t="array" ref="K6">MAX(IF($N$3:$EH$3=$J$3,N6:EH6))</f>
        <v>0</v>
      </c>
      <c r="L6" s="11"/>
      <c r="O6" s="12"/>
      <c r="P6" s="12"/>
      <c r="Q6" s="12"/>
      <c r="R6" s="12"/>
      <c r="U6">
        <v>2</v>
      </c>
      <c r="V6" s="12"/>
      <c r="W6" s="12">
        <v>0.5</v>
      </c>
      <c r="X6" s="12"/>
      <c r="Y6" s="12"/>
      <c r="AC6" s="12"/>
      <c r="AD6" s="12">
        <v>0.5</v>
      </c>
      <c r="AE6" s="12"/>
      <c r="AF6" s="12"/>
      <c r="AI6">
        <v>2</v>
      </c>
      <c r="AJ6" s="12"/>
      <c r="AK6" s="12">
        <v>0.8</v>
      </c>
      <c r="AL6" s="12"/>
      <c r="AM6" s="12"/>
      <c r="AQ6" s="12"/>
      <c r="AR6" s="12">
        <v>0.8</v>
      </c>
      <c r="AS6" s="12"/>
      <c r="AT6" s="12"/>
      <c r="AW6">
        <v>2</v>
      </c>
      <c r="AX6" s="12"/>
      <c r="AY6" s="12">
        <v>1</v>
      </c>
      <c r="AZ6" s="12"/>
      <c r="BA6" s="12"/>
      <c r="BE6" s="12"/>
      <c r="BF6" s="12">
        <v>1</v>
      </c>
      <c r="BG6" s="12"/>
      <c r="BH6" s="12"/>
      <c r="BM6" s="12"/>
      <c r="BN6" s="12"/>
      <c r="BO6" s="12"/>
      <c r="BP6" s="12"/>
      <c r="BU6" s="12"/>
      <c r="BV6" s="12"/>
      <c r="BW6" s="12"/>
      <c r="BX6" s="12"/>
    </row>
    <row r="7" spans="2:77" outlineLevel="1">
      <c r="B7" t="s">
        <v>28</v>
      </c>
      <c r="C7" t="s">
        <v>50</v>
      </c>
      <c r="E7" s="11"/>
      <c r="F7" t="s">
        <v>72</v>
      </c>
      <c r="G7" s="12">
        <v>6.5000000000000002E-2</v>
      </c>
      <c r="I7" s="11">
        <f t="shared" si="0"/>
        <v>6</v>
      </c>
      <c r="J7" s="13" cm="1">
        <f t="array" ref="J7">MAX(IF($N$3:$EH$3=$J$3,N7:EH7))</f>
        <v>0</v>
      </c>
      <c r="K7" s="13" cm="1">
        <f t="array" ref="K7">MAX(IF($N$3:$EH$3=$J$3,N7:EH7))</f>
        <v>0</v>
      </c>
      <c r="L7" s="11"/>
      <c r="O7" s="12"/>
      <c r="P7" s="12"/>
      <c r="Q7" s="12"/>
      <c r="R7" s="12"/>
      <c r="U7">
        <v>2</v>
      </c>
      <c r="V7" s="12"/>
      <c r="W7" s="12">
        <v>0.5</v>
      </c>
      <c r="X7" s="12"/>
      <c r="Y7" s="12"/>
      <c r="AC7" s="12"/>
      <c r="AD7" s="12">
        <v>0.5</v>
      </c>
      <c r="AE7" s="12"/>
      <c r="AF7" s="12"/>
      <c r="AI7">
        <v>2</v>
      </c>
      <c r="AJ7" s="12"/>
      <c r="AK7" s="12">
        <v>0.8</v>
      </c>
      <c r="AL7" s="12"/>
      <c r="AM7" s="12"/>
      <c r="AQ7" s="12"/>
      <c r="AR7" s="12">
        <v>0.8</v>
      </c>
      <c r="AS7" s="12"/>
      <c r="AT7" s="12"/>
      <c r="AW7">
        <v>2</v>
      </c>
      <c r="AX7" s="12"/>
      <c r="AY7" s="12">
        <v>1</v>
      </c>
      <c r="AZ7" s="12"/>
      <c r="BA7" s="12"/>
      <c r="BE7" s="12"/>
      <c r="BF7" s="12">
        <v>1</v>
      </c>
      <c r="BG7" s="12"/>
      <c r="BH7" s="12"/>
      <c r="BM7" s="12"/>
      <c r="BN7" s="12"/>
      <c r="BO7" s="12"/>
      <c r="BP7" s="12"/>
      <c r="BU7" s="12"/>
      <c r="BV7" s="12"/>
      <c r="BW7" s="12"/>
      <c r="BX7" s="12"/>
    </row>
    <row r="8" spans="2:77" outlineLevel="1">
      <c r="B8" t="s">
        <v>28</v>
      </c>
      <c r="C8" t="s">
        <v>50</v>
      </c>
      <c r="E8" s="11"/>
      <c r="F8" t="s">
        <v>73</v>
      </c>
      <c r="G8" s="12">
        <v>6.5000000000000002E-2</v>
      </c>
      <c r="I8" s="11">
        <f t="shared" si="0"/>
        <v>6</v>
      </c>
      <c r="J8" s="13" cm="1">
        <f t="array" ref="J8">MAX(IF($N$3:$EH$3=$J$3,N8:EH8))</f>
        <v>0</v>
      </c>
      <c r="K8" s="13" cm="1">
        <f t="array" ref="K8">MAX(IF($N$3:$EH$3=$J$3,N8:EH8))</f>
        <v>0</v>
      </c>
      <c r="L8" s="11"/>
      <c r="O8" s="12"/>
      <c r="P8" s="12"/>
      <c r="Q8" s="12"/>
      <c r="R8" s="12"/>
      <c r="U8">
        <v>2</v>
      </c>
      <c r="V8" s="12"/>
      <c r="W8" s="12">
        <v>0.5</v>
      </c>
      <c r="X8" s="12"/>
      <c r="Y8" s="12"/>
      <c r="AC8" s="12"/>
      <c r="AD8" s="12">
        <v>0.5</v>
      </c>
      <c r="AE8" s="12"/>
      <c r="AF8" s="12"/>
      <c r="AI8">
        <v>2</v>
      </c>
      <c r="AJ8" s="12"/>
      <c r="AK8" s="12">
        <v>0.8</v>
      </c>
      <c r="AL8" s="12"/>
      <c r="AM8" s="12"/>
      <c r="AQ8" s="12"/>
      <c r="AR8" s="12">
        <v>0.8</v>
      </c>
      <c r="AS8" s="12"/>
      <c r="AT8" s="12"/>
      <c r="AW8">
        <v>2</v>
      </c>
      <c r="AX8" s="12"/>
      <c r="AY8" s="12">
        <v>1</v>
      </c>
      <c r="AZ8" s="12"/>
      <c r="BA8" s="12"/>
      <c r="BE8" s="12"/>
      <c r="BF8" s="12">
        <v>1</v>
      </c>
      <c r="BG8" s="12"/>
      <c r="BH8" s="12"/>
      <c r="BM8" s="12"/>
      <c r="BN8" s="12"/>
      <c r="BO8" s="12"/>
      <c r="BP8" s="12"/>
      <c r="BU8" s="12"/>
      <c r="BV8" s="12"/>
      <c r="BW8" s="12"/>
      <c r="BX8" s="12"/>
    </row>
    <row r="9" spans="2:77" outlineLevel="1">
      <c r="B9" t="s">
        <v>28</v>
      </c>
      <c r="C9" t="s">
        <v>50</v>
      </c>
      <c r="E9" s="11"/>
      <c r="F9" t="s">
        <v>74</v>
      </c>
      <c r="G9" s="12">
        <v>6.5000000000000002E-2</v>
      </c>
      <c r="I9" s="11">
        <f t="shared" si="0"/>
        <v>6</v>
      </c>
      <c r="J9" s="13" cm="1">
        <f t="array" ref="J9">MAX(IF($N$3:$EH$3=$J$3,N9:EH9))</f>
        <v>0</v>
      </c>
      <c r="K9" s="13" cm="1">
        <f t="array" ref="K9">MAX(IF($N$3:$EH$3=$J$3,N9:EH9))</f>
        <v>0</v>
      </c>
      <c r="L9" s="11"/>
      <c r="O9" s="12"/>
      <c r="P9" s="12"/>
      <c r="Q9" s="12"/>
      <c r="R9" s="12"/>
      <c r="U9">
        <v>2</v>
      </c>
      <c r="V9" s="12"/>
      <c r="W9" s="12">
        <v>0.5</v>
      </c>
      <c r="X9" s="12"/>
      <c r="Y9" s="12"/>
      <c r="AC9" s="12"/>
      <c r="AD9" s="12">
        <v>0.5</v>
      </c>
      <c r="AE9" s="12"/>
      <c r="AF9" s="12"/>
      <c r="AI9">
        <v>2</v>
      </c>
      <c r="AJ9" s="12"/>
      <c r="AK9" s="12">
        <v>0.8</v>
      </c>
      <c r="AL9" s="12"/>
      <c r="AM9" s="12"/>
      <c r="AQ9" s="12"/>
      <c r="AR9" s="12">
        <v>0.8</v>
      </c>
      <c r="AS9" s="12"/>
      <c r="AT9" s="12"/>
      <c r="AW9">
        <v>2</v>
      </c>
      <c r="AX9" s="12"/>
      <c r="AY9" s="12">
        <v>1</v>
      </c>
      <c r="AZ9" s="12"/>
      <c r="BA9" s="12"/>
      <c r="BE9" s="12"/>
      <c r="BF9" s="12">
        <v>1</v>
      </c>
      <c r="BG9" s="12"/>
      <c r="BH9" s="12"/>
      <c r="BM9" s="12"/>
      <c r="BN9" s="12"/>
      <c r="BO9" s="12"/>
      <c r="BP9" s="12"/>
      <c r="BU9" s="12"/>
      <c r="BV9" s="12"/>
      <c r="BW9" s="12"/>
      <c r="BX9" s="12"/>
    </row>
    <row r="10" spans="2:77" outlineLevel="1">
      <c r="B10" t="s">
        <v>28</v>
      </c>
      <c r="C10" t="s">
        <v>50</v>
      </c>
      <c r="E10" s="11"/>
      <c r="F10" t="s">
        <v>75</v>
      </c>
      <c r="G10" s="12">
        <v>6.5000000000000002E-2</v>
      </c>
      <c r="I10" s="11">
        <f t="shared" si="0"/>
        <v>6</v>
      </c>
      <c r="J10" s="13" cm="1">
        <f t="array" ref="J10">MAX(IF($N$3:$EH$3=$J$3,N10:EH10))</f>
        <v>0</v>
      </c>
      <c r="K10" s="13" cm="1">
        <f t="array" ref="K10">MAX(IF($N$3:$EH$3=$J$3,N10:EH10))</f>
        <v>0</v>
      </c>
      <c r="L10" s="11"/>
      <c r="O10" s="12"/>
      <c r="P10" s="12"/>
      <c r="Q10" s="12"/>
      <c r="R10" s="12"/>
      <c r="U10">
        <v>2</v>
      </c>
      <c r="V10" s="12"/>
      <c r="W10" s="12">
        <v>0.5</v>
      </c>
      <c r="X10" s="12"/>
      <c r="Y10" s="12"/>
      <c r="AC10" s="12"/>
      <c r="AD10" s="12">
        <v>0.5</v>
      </c>
      <c r="AE10" s="12"/>
      <c r="AF10" s="12"/>
      <c r="AI10">
        <v>2</v>
      </c>
      <c r="AJ10" s="12"/>
      <c r="AK10" s="12">
        <v>0.8</v>
      </c>
      <c r="AL10" s="12"/>
      <c r="AM10" s="12"/>
      <c r="AQ10" s="12"/>
      <c r="AR10" s="12">
        <v>0.8</v>
      </c>
      <c r="AS10" s="12"/>
      <c r="AT10" s="12"/>
      <c r="AW10">
        <v>2</v>
      </c>
      <c r="AX10" s="12"/>
      <c r="AY10" s="12">
        <v>1</v>
      </c>
      <c r="AZ10" s="12"/>
      <c r="BA10" s="12"/>
      <c r="BE10" s="12"/>
      <c r="BF10" s="12">
        <v>1</v>
      </c>
      <c r="BG10" s="12"/>
      <c r="BH10" s="12"/>
      <c r="BM10" s="12"/>
      <c r="BN10" s="12"/>
      <c r="BO10" s="12"/>
      <c r="BP10" s="12"/>
      <c r="BU10" s="12"/>
      <c r="BV10" s="12"/>
      <c r="BW10" s="12"/>
      <c r="BX10" s="12"/>
    </row>
    <row r="11" spans="2:77" outlineLevel="1">
      <c r="B11" t="s">
        <v>28</v>
      </c>
      <c r="C11" t="s">
        <v>50</v>
      </c>
      <c r="E11" s="11"/>
      <c r="F11" t="s">
        <v>76</v>
      </c>
      <c r="G11" s="12">
        <v>6.5000000000000002E-2</v>
      </c>
      <c r="I11" s="11">
        <f t="shared" si="0"/>
        <v>6</v>
      </c>
      <c r="J11" s="13" cm="1">
        <f t="array" ref="J11">MAX(IF($N$3:$EH$3=$J$3,N11:EH11))</f>
        <v>0</v>
      </c>
      <c r="K11" s="13" cm="1">
        <f t="array" ref="K11">MAX(IF($N$3:$EH$3=$J$3,N11:EH11))</f>
        <v>0</v>
      </c>
      <c r="L11" s="11"/>
      <c r="O11" s="12"/>
      <c r="P11" s="12"/>
      <c r="Q11" s="12"/>
      <c r="R11" s="12"/>
      <c r="U11">
        <v>2</v>
      </c>
      <c r="V11" s="12"/>
      <c r="W11" s="12">
        <v>0.5</v>
      </c>
      <c r="X11" s="12"/>
      <c r="Y11" s="12"/>
      <c r="AC11" s="12"/>
      <c r="AD11" s="12">
        <v>0.5</v>
      </c>
      <c r="AE11" s="12"/>
      <c r="AF11" s="12"/>
      <c r="AI11">
        <v>2</v>
      </c>
      <c r="AJ11" s="12"/>
      <c r="AK11" s="12">
        <v>0.8</v>
      </c>
      <c r="AL11" s="12"/>
      <c r="AM11" s="12"/>
      <c r="AQ11" s="12"/>
      <c r="AR11" s="12">
        <v>0.8</v>
      </c>
      <c r="AS11" s="12"/>
      <c r="AT11" s="12"/>
      <c r="AW11">
        <v>2</v>
      </c>
      <c r="AX11" s="12"/>
      <c r="AY11" s="12">
        <v>1</v>
      </c>
      <c r="AZ11" s="12"/>
      <c r="BA11" s="12"/>
      <c r="BE11" s="12"/>
      <c r="BF11" s="12">
        <v>1</v>
      </c>
      <c r="BG11" s="12"/>
      <c r="BH11" s="12"/>
      <c r="BM11" s="12"/>
      <c r="BN11" s="12"/>
      <c r="BO11" s="12"/>
      <c r="BP11" s="12"/>
      <c r="BU11" s="12"/>
      <c r="BV11" s="12"/>
      <c r="BW11" s="12"/>
      <c r="BX11" s="12"/>
    </row>
    <row r="12" spans="2:77" outlineLevel="1">
      <c r="B12" t="s">
        <v>28</v>
      </c>
      <c r="C12" t="s">
        <v>50</v>
      </c>
      <c r="E12" s="11"/>
      <c r="F12" t="s">
        <v>77</v>
      </c>
      <c r="G12" s="12">
        <v>6.5000000000000002E-2</v>
      </c>
      <c r="I12" s="11">
        <f t="shared" si="0"/>
        <v>6</v>
      </c>
      <c r="J12" s="13" cm="1">
        <f t="array" ref="J12">MAX(IF($N$3:$EH$3=$J$3,N12:EH12))</f>
        <v>0</v>
      </c>
      <c r="K12" s="13" cm="1">
        <f t="array" ref="K12">MAX(IF($N$3:$EH$3=$J$3,N12:EH12))</f>
        <v>0</v>
      </c>
      <c r="L12" s="11"/>
      <c r="O12" s="12"/>
      <c r="P12" s="12"/>
      <c r="Q12" s="12"/>
      <c r="R12" s="12"/>
      <c r="V12" s="12"/>
      <c r="W12" s="12"/>
      <c r="X12" s="12"/>
      <c r="Y12" s="12"/>
      <c r="AB12">
        <v>2</v>
      </c>
      <c r="AC12" s="12"/>
      <c r="AD12" s="12">
        <v>0.5</v>
      </c>
      <c r="AE12" s="12"/>
      <c r="AF12" s="12"/>
      <c r="AJ12" s="12"/>
      <c r="AK12" s="12">
        <v>0.5</v>
      </c>
      <c r="AL12" s="12"/>
      <c r="AM12" s="12"/>
      <c r="AP12">
        <v>2</v>
      </c>
      <c r="AQ12" s="12"/>
      <c r="AR12" s="12">
        <v>0.8</v>
      </c>
      <c r="AS12" s="12"/>
      <c r="AT12" s="12"/>
      <c r="AX12" s="12"/>
      <c r="AY12" s="12">
        <v>0.8</v>
      </c>
      <c r="AZ12" s="12"/>
      <c r="BA12" s="12"/>
      <c r="BD12">
        <v>2</v>
      </c>
      <c r="BE12" s="12"/>
      <c r="BF12" s="12">
        <v>1</v>
      </c>
      <c r="BG12" s="12"/>
      <c r="BH12" s="12"/>
      <c r="BM12" s="12"/>
      <c r="BN12" s="12"/>
      <c r="BO12" s="12"/>
      <c r="BP12" s="12"/>
      <c r="BU12" s="12"/>
      <c r="BV12" s="12"/>
      <c r="BW12" s="12"/>
      <c r="BX12" s="12"/>
    </row>
    <row r="13" spans="2:77" outlineLevel="1">
      <c r="B13" t="s">
        <v>28</v>
      </c>
      <c r="C13" t="s">
        <v>50</v>
      </c>
      <c r="E13" s="11"/>
      <c r="F13" t="s">
        <v>66</v>
      </c>
      <c r="G13" s="12">
        <v>0.1</v>
      </c>
      <c r="I13" s="11">
        <f t="shared" si="0"/>
        <v>6</v>
      </c>
      <c r="J13" s="13" cm="1">
        <f t="array" ref="J13">MAX(IF($N$3:$EH$3=$J$3,N13:EH13))</f>
        <v>0</v>
      </c>
      <c r="K13" s="13" cm="1">
        <f t="array" ref="K13">MAX(IF($N$3:$EH$3=$J$3,N13:EH13))</f>
        <v>0</v>
      </c>
      <c r="L13" s="11"/>
      <c r="O13" s="12"/>
      <c r="P13" s="12"/>
      <c r="Q13" s="12"/>
      <c r="R13" s="12"/>
      <c r="V13" s="12"/>
      <c r="W13" s="12"/>
      <c r="X13" s="12"/>
      <c r="Y13" s="12"/>
      <c r="AB13">
        <v>2</v>
      </c>
      <c r="AC13" s="12"/>
      <c r="AD13" s="12">
        <v>0.5</v>
      </c>
      <c r="AE13" s="12"/>
      <c r="AF13" s="12">
        <v>0.5</v>
      </c>
      <c r="AJ13" s="12"/>
      <c r="AK13" s="12">
        <v>0.5</v>
      </c>
      <c r="AL13" s="12"/>
      <c r="AM13" s="12">
        <v>0.5</v>
      </c>
      <c r="AP13">
        <v>2</v>
      </c>
      <c r="AQ13" s="12"/>
      <c r="AR13" s="12">
        <v>0.8</v>
      </c>
      <c r="AS13" s="12"/>
      <c r="AT13" s="12">
        <v>0.8</v>
      </c>
      <c r="AX13" s="12"/>
      <c r="AY13" s="12">
        <v>0.8</v>
      </c>
      <c r="AZ13" s="12"/>
      <c r="BA13" s="12">
        <v>0.8</v>
      </c>
      <c r="BD13">
        <v>2</v>
      </c>
      <c r="BE13" s="12"/>
      <c r="BF13" s="12">
        <v>1</v>
      </c>
      <c r="BG13" s="12"/>
      <c r="BH13" s="12">
        <v>1</v>
      </c>
      <c r="BM13" s="12"/>
      <c r="BN13" s="12"/>
      <c r="BO13" s="12"/>
      <c r="BP13" s="12"/>
      <c r="BU13" s="12"/>
      <c r="BV13" s="12"/>
      <c r="BW13" s="12"/>
      <c r="BX13" s="12"/>
    </row>
    <row r="14" spans="2:77" outlineLevel="1">
      <c r="B14" t="s">
        <v>28</v>
      </c>
      <c r="C14" t="s">
        <v>50</v>
      </c>
      <c r="E14" s="11"/>
      <c r="F14" t="s">
        <v>67</v>
      </c>
      <c r="G14" s="12">
        <v>0.1</v>
      </c>
      <c r="I14" s="11">
        <f t="shared" si="0"/>
        <v>6</v>
      </c>
      <c r="J14" s="13" cm="1">
        <f t="array" ref="J14">MAX(IF($N$3:$EH$3=$J$3,N14:EH14))</f>
        <v>0</v>
      </c>
      <c r="K14" s="13" cm="1">
        <f t="array" ref="K14">MAX(IF($N$3:$EH$3=$J$3,N14:EH14))</f>
        <v>0</v>
      </c>
      <c r="L14" s="11"/>
      <c r="O14" s="12"/>
      <c r="P14" s="12"/>
      <c r="Q14" s="12"/>
      <c r="R14" s="12"/>
      <c r="V14" s="12"/>
      <c r="W14" s="12"/>
      <c r="X14" s="12"/>
      <c r="Y14" s="12"/>
      <c r="AB14">
        <v>2</v>
      </c>
      <c r="AC14" s="12"/>
      <c r="AD14" s="12">
        <v>0.5</v>
      </c>
      <c r="AE14" s="12"/>
      <c r="AF14" s="12">
        <v>0.5</v>
      </c>
      <c r="AJ14" s="12"/>
      <c r="AK14" s="12">
        <v>0.5</v>
      </c>
      <c r="AL14" s="12"/>
      <c r="AM14" s="12">
        <v>0.5</v>
      </c>
      <c r="AP14">
        <v>2</v>
      </c>
      <c r="AQ14" s="12"/>
      <c r="AR14" s="12">
        <v>0.8</v>
      </c>
      <c r="AS14" s="12"/>
      <c r="AT14" s="12">
        <v>0.8</v>
      </c>
      <c r="AX14" s="12"/>
      <c r="AY14" s="12">
        <v>0.8</v>
      </c>
      <c r="AZ14" s="12"/>
      <c r="BA14" s="12">
        <v>0.8</v>
      </c>
      <c r="BD14">
        <v>2</v>
      </c>
      <c r="BE14" s="12"/>
      <c r="BF14" s="12">
        <v>1</v>
      </c>
      <c r="BG14" s="12"/>
      <c r="BH14" s="12">
        <v>1</v>
      </c>
      <c r="BM14" s="12"/>
      <c r="BN14" s="12"/>
      <c r="BO14" s="12"/>
      <c r="BP14" s="12"/>
      <c r="BU14" s="12"/>
      <c r="BV14" s="12"/>
      <c r="BW14" s="12"/>
      <c r="BX14" s="12"/>
    </row>
    <row r="15" spans="2:77" outlineLevel="1">
      <c r="B15" t="s">
        <v>28</v>
      </c>
      <c r="C15" t="s">
        <v>50</v>
      </c>
      <c r="E15" s="11"/>
      <c r="F15" t="s">
        <v>68</v>
      </c>
      <c r="G15" s="12">
        <v>0.1</v>
      </c>
      <c r="I15" s="11">
        <f t="shared" si="0"/>
        <v>6</v>
      </c>
      <c r="J15" s="13" cm="1">
        <f t="array" ref="J15">MAX(IF($N$3:$EH$3=$J$3,N15:EH15))</f>
        <v>0</v>
      </c>
      <c r="K15" s="13" cm="1">
        <f t="array" ref="K15">MAX(IF($N$3:$EH$3=$J$3,N15:EH15))</f>
        <v>0</v>
      </c>
      <c r="L15" s="11"/>
      <c r="O15" s="12"/>
      <c r="P15" s="12"/>
      <c r="Q15" s="12"/>
      <c r="R15" s="12"/>
      <c r="V15" s="12"/>
      <c r="W15" s="12"/>
      <c r="X15" s="12"/>
      <c r="Y15" s="12"/>
      <c r="AB15">
        <v>2</v>
      </c>
      <c r="AC15" s="12"/>
      <c r="AD15" s="12">
        <v>0.5</v>
      </c>
      <c r="AE15" s="12"/>
      <c r="AF15" s="12">
        <v>0.5</v>
      </c>
      <c r="AJ15" s="12"/>
      <c r="AK15" s="12">
        <v>0.5</v>
      </c>
      <c r="AL15" s="12"/>
      <c r="AM15" s="12">
        <v>0.5</v>
      </c>
      <c r="AP15">
        <v>2</v>
      </c>
      <c r="AQ15" s="12"/>
      <c r="AR15" s="12">
        <v>0.8</v>
      </c>
      <c r="AS15" s="12"/>
      <c r="AT15" s="12">
        <v>0.8</v>
      </c>
      <c r="AX15" s="12"/>
      <c r="AY15" s="12">
        <v>0.8</v>
      </c>
      <c r="AZ15" s="12"/>
      <c r="BA15" s="12">
        <v>0.8</v>
      </c>
      <c r="BD15">
        <v>2</v>
      </c>
      <c r="BE15" s="12"/>
      <c r="BF15" s="12">
        <v>1</v>
      </c>
      <c r="BG15" s="12"/>
      <c r="BH15" s="12">
        <v>1</v>
      </c>
      <c r="BM15" s="12"/>
      <c r="BN15" s="12"/>
      <c r="BO15" s="12"/>
      <c r="BP15" s="12"/>
      <c r="BU15" s="12"/>
      <c r="BV15" s="12"/>
      <c r="BW15" s="12"/>
      <c r="BX15" s="12"/>
    </row>
    <row r="16" spans="2:77" outlineLevel="1">
      <c r="B16" t="s">
        <v>28</v>
      </c>
      <c r="C16" t="s">
        <v>50</v>
      </c>
      <c r="E16" s="11"/>
      <c r="F16" t="s">
        <v>69</v>
      </c>
      <c r="G16" s="12">
        <v>0.1</v>
      </c>
      <c r="I16" s="11">
        <f t="shared" si="0"/>
        <v>6</v>
      </c>
      <c r="J16" s="13" cm="1">
        <f t="array" ref="J16">MAX(IF($N$3:$EH$3=$J$3,N16:EH16))</f>
        <v>0</v>
      </c>
      <c r="K16" s="13" cm="1">
        <f t="array" ref="K16">MAX(IF($N$3:$EH$3=$J$3,N16:EH16))</f>
        <v>0</v>
      </c>
      <c r="L16" s="11"/>
      <c r="O16" s="12"/>
      <c r="P16" s="12"/>
      <c r="Q16" s="12"/>
      <c r="R16" s="12"/>
      <c r="V16" s="12"/>
      <c r="W16" s="12"/>
      <c r="X16" s="12"/>
      <c r="Y16" s="12"/>
      <c r="AB16">
        <v>2</v>
      </c>
      <c r="AC16" s="12"/>
      <c r="AD16" s="12">
        <v>0.5</v>
      </c>
      <c r="AE16" s="12"/>
      <c r="AF16" s="12">
        <v>0.5</v>
      </c>
      <c r="AJ16" s="12"/>
      <c r="AK16" s="12">
        <v>0.5</v>
      </c>
      <c r="AL16" s="12"/>
      <c r="AM16" s="12">
        <v>0.5</v>
      </c>
      <c r="AP16">
        <v>2</v>
      </c>
      <c r="AQ16" s="12"/>
      <c r="AR16" s="12">
        <v>0.8</v>
      </c>
      <c r="AS16" s="12"/>
      <c r="AT16" s="12">
        <v>0.8</v>
      </c>
      <c r="AX16" s="12"/>
      <c r="AY16" s="12">
        <v>0.8</v>
      </c>
      <c r="AZ16" s="12"/>
      <c r="BA16" s="12">
        <v>0.8</v>
      </c>
      <c r="BD16">
        <v>2</v>
      </c>
      <c r="BE16" s="12"/>
      <c r="BF16" s="12">
        <v>1</v>
      </c>
      <c r="BG16" s="12"/>
      <c r="BH16" s="12">
        <v>1</v>
      </c>
      <c r="BM16" s="12"/>
      <c r="BN16" s="12"/>
      <c r="BO16" s="12"/>
      <c r="BP16" s="12"/>
      <c r="BU16" s="12"/>
      <c r="BV16" s="12"/>
      <c r="BW16" s="12"/>
      <c r="BX16" s="12"/>
    </row>
    <row r="17" spans="2:76" outlineLevel="1">
      <c r="B17" t="s">
        <v>28</v>
      </c>
      <c r="C17" t="s">
        <v>50</v>
      </c>
      <c r="E17" s="11"/>
      <c r="F17" t="s">
        <v>70</v>
      </c>
      <c r="G17" s="12">
        <v>0.1</v>
      </c>
      <c r="I17" s="11">
        <f t="shared" si="0"/>
        <v>6</v>
      </c>
      <c r="J17" s="13" cm="1">
        <f t="array" ref="J17">MAX(IF($N$3:$EH$3=$J$3,N17:EH17))</f>
        <v>0</v>
      </c>
      <c r="K17" s="13" cm="1">
        <f t="array" ref="K17">MAX(IF($N$3:$EH$3=$J$3,N17:EH17))</f>
        <v>0</v>
      </c>
      <c r="L17" s="11"/>
      <c r="O17" s="12"/>
      <c r="P17" s="12"/>
      <c r="Q17" s="12"/>
      <c r="R17" s="12"/>
      <c r="V17" s="12"/>
      <c r="W17" s="12"/>
      <c r="X17" s="12"/>
      <c r="Y17" s="12"/>
      <c r="AB17">
        <v>2</v>
      </c>
      <c r="AC17" s="12"/>
      <c r="AD17" s="12">
        <v>0.5</v>
      </c>
      <c r="AE17" s="12"/>
      <c r="AF17" s="12">
        <v>0.5</v>
      </c>
      <c r="AJ17" s="12"/>
      <c r="AK17" s="12">
        <v>0.5</v>
      </c>
      <c r="AL17" s="12"/>
      <c r="AM17" s="12">
        <v>0.5</v>
      </c>
      <c r="AP17">
        <v>2</v>
      </c>
      <c r="AQ17" s="12"/>
      <c r="AR17" s="12">
        <v>0.8</v>
      </c>
      <c r="AS17" s="12"/>
      <c r="AT17" s="12">
        <v>0.8</v>
      </c>
      <c r="AX17" s="12"/>
      <c r="AY17" s="12">
        <v>0.8</v>
      </c>
      <c r="AZ17" s="12"/>
      <c r="BA17" s="12">
        <v>0.8</v>
      </c>
      <c r="BD17">
        <v>2</v>
      </c>
      <c r="BE17" s="12"/>
      <c r="BF17" s="12">
        <v>1</v>
      </c>
      <c r="BG17" s="12"/>
      <c r="BH17" s="12">
        <v>1</v>
      </c>
      <c r="BM17" s="12"/>
      <c r="BN17" s="12"/>
      <c r="BO17" s="12"/>
      <c r="BP17" s="12"/>
      <c r="BU17" s="12"/>
      <c r="BV17" s="12"/>
      <c r="BW17" s="12"/>
      <c r="BX17" s="12"/>
    </row>
    <row r="18" spans="2:76">
      <c r="O18" s="9"/>
      <c r="V18" s="9"/>
      <c r="AC18" s="9"/>
      <c r="AJ18" s="9"/>
      <c r="AQ18" s="9"/>
      <c r="AX18" s="9"/>
      <c r="BE18" s="9"/>
      <c r="BM18" s="9"/>
      <c r="BU18" s="9"/>
    </row>
    <row r="19" spans="2:76">
      <c r="B19" t="s">
        <v>27</v>
      </c>
      <c r="C19" t="s">
        <v>58</v>
      </c>
      <c r="D19" t="s">
        <v>61</v>
      </c>
      <c r="E19" s="11">
        <v>4</v>
      </c>
      <c r="G19" s="12">
        <f>+SUM(G20:G27)</f>
        <v>1</v>
      </c>
      <c r="I19" s="14">
        <f>+SUM(I20:I27)</f>
        <v>72</v>
      </c>
      <c r="J19" s="13">
        <f>+SUMPRODUCT(G20:G27,J20:J27)</f>
        <v>0</v>
      </c>
      <c r="K19" s="13">
        <f>+SUMPRODUCT(G20:G27,K20:K27)</f>
        <v>0</v>
      </c>
      <c r="L19" s="11"/>
      <c r="N19" s="14">
        <f>+SUM(N20:N27)</f>
        <v>0</v>
      </c>
      <c r="U19" s="14">
        <f>+SUM(U20:U27)</f>
        <v>12</v>
      </c>
      <c r="AB19" s="14">
        <f>+SUM(AB20:AB27)</f>
        <v>12</v>
      </c>
      <c r="AI19" s="14">
        <f>+SUM(AI20:AI27)</f>
        <v>12</v>
      </c>
      <c r="AP19" s="14">
        <f>+SUM(AP20:AP27)</f>
        <v>12</v>
      </c>
      <c r="AW19">
        <f>+SUM(AW20:AW27)</f>
        <v>12</v>
      </c>
      <c r="BD19">
        <f>+SUM(BD20:BD27)</f>
        <v>12</v>
      </c>
    </row>
    <row r="20" spans="2:76" outlineLevel="1">
      <c r="B20" t="s">
        <v>28</v>
      </c>
      <c r="C20" t="s">
        <v>58</v>
      </c>
      <c r="E20" s="11"/>
      <c r="F20" t="s">
        <v>78</v>
      </c>
      <c r="G20" s="12">
        <v>0.13</v>
      </c>
      <c r="I20" s="11">
        <f t="shared" ref="I20:I27" si="1">+SUMIF($N$3:$ZZ$3,I$3,$N20:$ZZ20)</f>
        <v>9</v>
      </c>
      <c r="J20" s="13" cm="1">
        <f t="array" ref="J20">MAX(IF($N$3:$EH$3=$J$3,N20:EH20))</f>
        <v>0</v>
      </c>
      <c r="K20" s="13" cm="1">
        <f t="array" ref="K20">MAX(IF($N$3:$EH$3=$J$3,N20:EH20))</f>
        <v>0</v>
      </c>
      <c r="L20" s="11"/>
      <c r="O20" s="12"/>
      <c r="P20" s="12"/>
      <c r="Q20" s="12"/>
      <c r="R20" s="12"/>
      <c r="U20">
        <v>3</v>
      </c>
      <c r="V20" s="12"/>
      <c r="W20" s="12">
        <v>0.5</v>
      </c>
      <c r="X20" s="12"/>
      <c r="Y20" s="12"/>
      <c r="AC20" s="12"/>
      <c r="AD20" s="12">
        <v>0.5</v>
      </c>
      <c r="AE20" s="12"/>
      <c r="AF20" s="12"/>
      <c r="AI20">
        <v>3</v>
      </c>
      <c r="AJ20" s="12"/>
      <c r="AK20" s="12">
        <v>0.8</v>
      </c>
      <c r="AL20" s="12"/>
      <c r="AM20" s="12"/>
      <c r="AQ20" s="12"/>
      <c r="AR20" s="12">
        <v>0.8</v>
      </c>
      <c r="AS20" s="12"/>
      <c r="AT20" s="12"/>
      <c r="AW20">
        <v>3</v>
      </c>
      <c r="AX20" s="12"/>
      <c r="AY20" s="12">
        <v>1</v>
      </c>
      <c r="AZ20" s="12"/>
      <c r="BA20" s="12"/>
      <c r="BE20" s="12"/>
      <c r="BF20" s="12">
        <v>1</v>
      </c>
      <c r="BG20" s="12"/>
      <c r="BH20" s="12"/>
      <c r="BM20" s="12"/>
      <c r="BN20" s="12"/>
      <c r="BO20" s="12"/>
      <c r="BP20" s="12"/>
      <c r="BU20" s="12"/>
      <c r="BV20" s="12"/>
      <c r="BW20" s="12"/>
      <c r="BX20" s="12"/>
    </row>
    <row r="21" spans="2:76" outlineLevel="1">
      <c r="B21" t="s">
        <v>28</v>
      </c>
      <c r="C21" t="s">
        <v>58</v>
      </c>
      <c r="E21" s="11"/>
      <c r="F21" t="s">
        <v>79</v>
      </c>
      <c r="G21" s="12">
        <v>0.13</v>
      </c>
      <c r="I21" s="11">
        <f t="shared" si="1"/>
        <v>9</v>
      </c>
      <c r="J21" s="13" cm="1">
        <f t="array" ref="J21">MAX(IF($N$3:$EH$3=$J$3,N21:EH21))</f>
        <v>0</v>
      </c>
      <c r="K21" s="13" cm="1">
        <f t="array" ref="K21">MAX(IF($N$3:$EH$3=$J$3,N21:EH21))</f>
        <v>0</v>
      </c>
      <c r="L21" s="11"/>
      <c r="O21" s="12"/>
      <c r="P21" s="12"/>
      <c r="Q21" s="12"/>
      <c r="R21" s="12"/>
      <c r="U21">
        <v>3</v>
      </c>
      <c r="V21" s="12"/>
      <c r="W21" s="12">
        <v>0.5</v>
      </c>
      <c r="X21" s="12"/>
      <c r="Y21" s="12"/>
      <c r="AC21" s="12"/>
      <c r="AD21" s="12">
        <v>0.5</v>
      </c>
      <c r="AE21" s="12"/>
      <c r="AF21" s="12"/>
      <c r="AI21">
        <v>3</v>
      </c>
      <c r="AJ21" s="12"/>
      <c r="AK21" s="12">
        <v>0.8</v>
      </c>
      <c r="AL21" s="12"/>
      <c r="AM21" s="12"/>
      <c r="AQ21" s="12"/>
      <c r="AR21" s="12">
        <v>0.8</v>
      </c>
      <c r="AS21" s="12"/>
      <c r="AT21" s="12"/>
      <c r="AW21">
        <v>3</v>
      </c>
      <c r="AX21" s="12"/>
      <c r="AY21" s="12">
        <v>1</v>
      </c>
      <c r="AZ21" s="12"/>
      <c r="BA21" s="12"/>
      <c r="BE21" s="12"/>
      <c r="BF21" s="12">
        <v>1</v>
      </c>
      <c r="BG21" s="12"/>
      <c r="BH21" s="12"/>
      <c r="BM21" s="12"/>
      <c r="BN21" s="12"/>
      <c r="BO21" s="12"/>
      <c r="BP21" s="12"/>
      <c r="BU21" s="12"/>
      <c r="BV21" s="12"/>
      <c r="BW21" s="12"/>
      <c r="BX21" s="12"/>
    </row>
    <row r="22" spans="2:76" outlineLevel="1">
      <c r="B22" t="s">
        <v>28</v>
      </c>
      <c r="C22" t="s">
        <v>58</v>
      </c>
      <c r="E22" s="11"/>
      <c r="F22" t="s">
        <v>80</v>
      </c>
      <c r="G22" s="12">
        <v>0.13</v>
      </c>
      <c r="I22" s="11">
        <f t="shared" si="1"/>
        <v>9</v>
      </c>
      <c r="J22" s="13" cm="1">
        <f t="array" ref="J22">MAX(IF($N$3:$EH$3=$J$3,N22:EH22))</f>
        <v>0</v>
      </c>
      <c r="K22" s="13" cm="1">
        <f t="array" ref="K22">MAX(IF($N$3:$EH$3=$J$3,N22:EH22))</f>
        <v>0</v>
      </c>
      <c r="L22" s="11"/>
      <c r="O22" s="12"/>
      <c r="P22" s="12"/>
      <c r="Q22" s="12"/>
      <c r="R22" s="12"/>
      <c r="U22">
        <v>3</v>
      </c>
      <c r="V22" s="12"/>
      <c r="W22" s="12">
        <v>0.5</v>
      </c>
      <c r="X22" s="12"/>
      <c r="Y22" s="12"/>
      <c r="AC22" s="12"/>
      <c r="AD22" s="12">
        <v>0.5</v>
      </c>
      <c r="AE22" s="12"/>
      <c r="AF22" s="12"/>
      <c r="AI22">
        <v>3</v>
      </c>
      <c r="AJ22" s="12"/>
      <c r="AK22" s="12">
        <v>0.8</v>
      </c>
      <c r="AL22" s="12"/>
      <c r="AM22" s="12"/>
      <c r="AQ22" s="12"/>
      <c r="AR22" s="12">
        <v>0.8</v>
      </c>
      <c r="AS22" s="12"/>
      <c r="AT22" s="12"/>
      <c r="AW22">
        <v>3</v>
      </c>
      <c r="AX22" s="12"/>
      <c r="AY22" s="12">
        <v>1</v>
      </c>
      <c r="AZ22" s="12"/>
      <c r="BA22" s="12"/>
      <c r="BE22" s="12"/>
      <c r="BF22" s="12">
        <v>1</v>
      </c>
      <c r="BG22" s="12"/>
      <c r="BH22" s="12"/>
      <c r="BM22" s="12"/>
      <c r="BN22" s="12"/>
      <c r="BO22" s="12"/>
      <c r="BP22" s="12"/>
      <c r="BU22" s="12"/>
      <c r="BV22" s="12"/>
      <c r="BW22" s="12"/>
      <c r="BX22" s="12"/>
    </row>
    <row r="23" spans="2:76" outlineLevel="1">
      <c r="B23" t="s">
        <v>28</v>
      </c>
      <c r="C23" t="s">
        <v>58</v>
      </c>
      <c r="E23" s="11"/>
      <c r="F23" t="s">
        <v>81</v>
      </c>
      <c r="G23" s="12">
        <v>0.13</v>
      </c>
      <c r="I23" s="11">
        <f t="shared" si="1"/>
        <v>9</v>
      </c>
      <c r="J23" s="13" cm="1">
        <f t="array" ref="J23">MAX(IF($N$3:$EH$3=$J$3,N23:EH23))</f>
        <v>0</v>
      </c>
      <c r="K23" s="13" cm="1">
        <f t="array" ref="K23">MAX(IF($N$3:$EH$3=$J$3,N23:EH23))</f>
        <v>0</v>
      </c>
      <c r="L23" s="11"/>
      <c r="O23" s="12"/>
      <c r="P23" s="12"/>
      <c r="Q23" s="12"/>
      <c r="R23" s="12"/>
      <c r="U23">
        <v>3</v>
      </c>
      <c r="V23" s="12"/>
      <c r="W23" s="12">
        <v>0.5</v>
      </c>
      <c r="X23" s="12"/>
      <c r="Y23" s="12"/>
      <c r="AC23" s="12"/>
      <c r="AD23" s="12">
        <v>0.5</v>
      </c>
      <c r="AE23" s="12"/>
      <c r="AF23" s="12"/>
      <c r="AI23">
        <v>3</v>
      </c>
      <c r="AJ23" s="12"/>
      <c r="AK23" s="12">
        <v>0.8</v>
      </c>
      <c r="AL23" s="12"/>
      <c r="AM23" s="12"/>
      <c r="AQ23" s="12"/>
      <c r="AR23" s="12">
        <v>0.8</v>
      </c>
      <c r="AS23" s="12"/>
      <c r="AT23" s="12"/>
      <c r="AW23">
        <v>3</v>
      </c>
      <c r="AX23" s="12"/>
      <c r="AY23" s="12">
        <v>1</v>
      </c>
      <c r="AZ23" s="12"/>
      <c r="BA23" s="12"/>
      <c r="BE23" s="12"/>
      <c r="BF23" s="12">
        <v>1</v>
      </c>
      <c r="BG23" s="12"/>
      <c r="BH23" s="12"/>
      <c r="BM23" s="12"/>
      <c r="BN23" s="12"/>
      <c r="BO23" s="12"/>
      <c r="BP23" s="12"/>
      <c r="BU23" s="12"/>
      <c r="BV23" s="12"/>
      <c r="BW23" s="12"/>
      <c r="BX23" s="12"/>
    </row>
    <row r="24" spans="2:76" outlineLevel="1">
      <c r="B24" t="s">
        <v>28</v>
      </c>
      <c r="C24" t="s">
        <v>58</v>
      </c>
      <c r="E24" s="11"/>
      <c r="F24" t="s">
        <v>82</v>
      </c>
      <c r="G24" s="12">
        <v>0.13</v>
      </c>
      <c r="I24" s="11">
        <f t="shared" si="1"/>
        <v>9</v>
      </c>
      <c r="J24" s="13" cm="1">
        <f t="array" ref="J24">MAX(IF($N$3:$EH$3=$J$3,N24:EH24))</f>
        <v>0</v>
      </c>
      <c r="K24" s="13" cm="1">
        <f t="array" ref="K24">MAX(IF($N$3:$EH$3=$J$3,N24:EH24))</f>
        <v>0</v>
      </c>
      <c r="L24" s="11"/>
      <c r="O24" s="12"/>
      <c r="P24" s="12"/>
      <c r="Q24" s="12"/>
      <c r="R24" s="12"/>
      <c r="V24" s="12"/>
      <c r="W24" s="12"/>
      <c r="X24" s="12"/>
      <c r="Y24" s="12"/>
      <c r="AB24">
        <v>3</v>
      </c>
      <c r="AC24" s="12"/>
      <c r="AD24" s="12">
        <v>0.5</v>
      </c>
      <c r="AE24" s="12"/>
      <c r="AF24" s="12"/>
      <c r="AJ24" s="12"/>
      <c r="AK24" s="12">
        <v>0.5</v>
      </c>
      <c r="AL24" s="12"/>
      <c r="AM24" s="12"/>
      <c r="AP24">
        <v>3</v>
      </c>
      <c r="AQ24" s="12"/>
      <c r="AR24" s="12">
        <v>0.8</v>
      </c>
      <c r="AS24" s="12"/>
      <c r="AT24" s="12"/>
      <c r="AX24" s="12"/>
      <c r="AY24" s="12">
        <v>0.8</v>
      </c>
      <c r="AZ24" s="12"/>
      <c r="BA24" s="12"/>
      <c r="BD24">
        <v>3</v>
      </c>
      <c r="BE24" s="12"/>
      <c r="BF24" s="12">
        <v>1</v>
      </c>
      <c r="BG24" s="12"/>
      <c r="BH24" s="12"/>
      <c r="BM24" s="12"/>
      <c r="BN24" s="12"/>
      <c r="BO24" s="12"/>
      <c r="BP24" s="12"/>
      <c r="BU24" s="12"/>
      <c r="BV24" s="12"/>
      <c r="BW24" s="12"/>
      <c r="BX24" s="12"/>
    </row>
    <row r="25" spans="2:76" outlineLevel="1">
      <c r="B25" t="s">
        <v>28</v>
      </c>
      <c r="C25" t="s">
        <v>58</v>
      </c>
      <c r="E25" s="11"/>
      <c r="F25" t="s">
        <v>83</v>
      </c>
      <c r="G25" s="12">
        <v>0.13</v>
      </c>
      <c r="I25" s="11">
        <f t="shared" si="1"/>
        <v>9</v>
      </c>
      <c r="J25" s="13" cm="1">
        <f t="array" ref="J25">MAX(IF($N$3:$EH$3=$J$3,N25:EH25))</f>
        <v>0</v>
      </c>
      <c r="K25" s="13" cm="1">
        <f t="array" ref="K25">MAX(IF($N$3:$EH$3=$J$3,N25:EH25))</f>
        <v>0</v>
      </c>
      <c r="L25" s="11"/>
      <c r="O25" s="12"/>
      <c r="P25" s="12"/>
      <c r="Q25" s="12"/>
      <c r="R25" s="12"/>
      <c r="V25" s="12"/>
      <c r="W25" s="12"/>
      <c r="X25" s="12"/>
      <c r="Y25" s="12"/>
      <c r="AB25">
        <v>3</v>
      </c>
      <c r="AC25" s="12"/>
      <c r="AD25" s="12">
        <v>0.5</v>
      </c>
      <c r="AE25" s="12"/>
      <c r="AF25" s="12"/>
      <c r="AJ25" s="12"/>
      <c r="AK25" s="12">
        <v>0.5</v>
      </c>
      <c r="AL25" s="12"/>
      <c r="AM25" s="12"/>
      <c r="AP25">
        <v>3</v>
      </c>
      <c r="AQ25" s="12"/>
      <c r="AR25" s="12">
        <v>0.8</v>
      </c>
      <c r="AS25" s="12"/>
      <c r="AT25" s="12"/>
      <c r="AX25" s="12"/>
      <c r="AY25" s="12">
        <v>0.8</v>
      </c>
      <c r="AZ25" s="12"/>
      <c r="BA25" s="12"/>
      <c r="BD25">
        <v>3</v>
      </c>
      <c r="BE25" s="12"/>
      <c r="BF25" s="12">
        <v>1</v>
      </c>
      <c r="BG25" s="12"/>
      <c r="BH25" s="12"/>
      <c r="BM25" s="12"/>
      <c r="BN25" s="12"/>
      <c r="BO25" s="12"/>
      <c r="BP25" s="12"/>
      <c r="BU25" s="12"/>
      <c r="BV25" s="12"/>
      <c r="BW25" s="12"/>
      <c r="BX25" s="12"/>
    </row>
    <row r="26" spans="2:76" outlineLevel="1">
      <c r="B26" t="s">
        <v>28</v>
      </c>
      <c r="C26" t="s">
        <v>58</v>
      </c>
      <c r="E26" s="11"/>
      <c r="F26" t="s">
        <v>84</v>
      </c>
      <c r="G26" s="12">
        <v>0.13</v>
      </c>
      <c r="I26" s="11">
        <f t="shared" si="1"/>
        <v>9</v>
      </c>
      <c r="J26" s="13" cm="1">
        <f t="array" ref="J26">MAX(IF($N$3:$EH$3=$J$3,N26:EH26))</f>
        <v>0</v>
      </c>
      <c r="K26" s="13" cm="1">
        <f t="array" ref="K26">MAX(IF($N$3:$EH$3=$J$3,N26:EH26))</f>
        <v>0</v>
      </c>
      <c r="L26" s="11"/>
      <c r="O26" s="12"/>
      <c r="P26" s="12"/>
      <c r="Q26" s="12"/>
      <c r="R26" s="12"/>
      <c r="V26" s="12"/>
      <c r="W26" s="12"/>
      <c r="X26" s="12"/>
      <c r="Y26" s="12"/>
      <c r="AB26">
        <v>3</v>
      </c>
      <c r="AC26" s="12"/>
      <c r="AD26" s="12">
        <v>0.5</v>
      </c>
      <c r="AE26" s="12"/>
      <c r="AF26" s="12"/>
      <c r="AJ26" s="12"/>
      <c r="AK26" s="12">
        <v>0.5</v>
      </c>
      <c r="AL26" s="12"/>
      <c r="AM26" s="12"/>
      <c r="AP26">
        <v>3</v>
      </c>
      <c r="AQ26" s="12"/>
      <c r="AR26" s="12">
        <v>0.8</v>
      </c>
      <c r="AS26" s="12"/>
      <c r="AT26" s="12"/>
      <c r="AX26" s="12"/>
      <c r="AY26" s="12">
        <v>0.8</v>
      </c>
      <c r="AZ26" s="12"/>
      <c r="BA26" s="12"/>
      <c r="BD26">
        <v>3</v>
      </c>
      <c r="BE26" s="12"/>
      <c r="BF26" s="12">
        <v>1</v>
      </c>
      <c r="BG26" s="12"/>
      <c r="BH26" s="12"/>
      <c r="BM26" s="12"/>
      <c r="BN26" s="12"/>
      <c r="BO26" s="12"/>
      <c r="BP26" s="12"/>
      <c r="BU26" s="12"/>
      <c r="BV26" s="12"/>
      <c r="BW26" s="12"/>
      <c r="BX26" s="12"/>
    </row>
    <row r="27" spans="2:76" outlineLevel="1">
      <c r="B27" t="s">
        <v>28</v>
      </c>
      <c r="C27" t="s">
        <v>58</v>
      </c>
      <c r="E27" s="11"/>
      <c r="F27" t="s">
        <v>85</v>
      </c>
      <c r="G27" s="12">
        <v>0.09</v>
      </c>
      <c r="I27" s="11">
        <f t="shared" si="1"/>
        <v>9</v>
      </c>
      <c r="J27" s="13" cm="1">
        <f t="array" ref="J27">MAX(IF($N$3:$EH$3=$J$3,N27:EH27))</f>
        <v>0</v>
      </c>
      <c r="K27" s="13" cm="1">
        <f t="array" ref="K27">MAX(IF($N$3:$EH$3=$J$3,N27:EH27))</f>
        <v>0</v>
      </c>
      <c r="L27" s="11"/>
      <c r="O27" s="12"/>
      <c r="P27" s="12"/>
      <c r="Q27" s="12"/>
      <c r="R27" s="12"/>
      <c r="V27" s="12"/>
      <c r="W27" s="12"/>
      <c r="X27" s="12"/>
      <c r="Y27" s="12"/>
      <c r="AB27">
        <v>3</v>
      </c>
      <c r="AC27" s="12"/>
      <c r="AD27" s="12">
        <v>0.5</v>
      </c>
      <c r="AE27" s="12"/>
      <c r="AF27" s="12"/>
      <c r="AJ27" s="12"/>
      <c r="AK27" s="12">
        <v>0.5</v>
      </c>
      <c r="AL27" s="12"/>
      <c r="AM27" s="12"/>
      <c r="AP27">
        <v>3</v>
      </c>
      <c r="AQ27" s="12"/>
      <c r="AR27" s="12">
        <v>0.8</v>
      </c>
      <c r="AS27" s="12"/>
      <c r="AT27" s="12"/>
      <c r="AX27" s="12"/>
      <c r="AY27" s="12">
        <v>0.8</v>
      </c>
      <c r="AZ27" s="12"/>
      <c r="BA27" s="12"/>
      <c r="BD27">
        <v>3</v>
      </c>
      <c r="BE27" s="12"/>
      <c r="BF27" s="12">
        <v>1</v>
      </c>
      <c r="BG27" s="12"/>
      <c r="BH27" s="12"/>
      <c r="BM27" s="12"/>
      <c r="BN27" s="12"/>
      <c r="BO27" s="12"/>
      <c r="BP27" s="12"/>
      <c r="BU27" s="12"/>
      <c r="BV27" s="12"/>
      <c r="BW27" s="12"/>
      <c r="BX27" s="12"/>
    </row>
    <row r="29" spans="2:76">
      <c r="B29" t="s">
        <v>27</v>
      </c>
      <c r="C29" t="s">
        <v>59</v>
      </c>
      <c r="D29" t="s">
        <v>62</v>
      </c>
      <c r="E29" s="11">
        <v>4</v>
      </c>
      <c r="G29" s="12">
        <f>+SUM(G30:G41)</f>
        <v>0</v>
      </c>
      <c r="I29" s="14">
        <f>+SUM(I30:I41)</f>
        <v>46</v>
      </c>
      <c r="J29" s="13">
        <f>+SUMPRODUCT(G30:G41,J30:J41)</f>
        <v>0</v>
      </c>
      <c r="K29" s="13">
        <f>+SUMPRODUCT(G30:G41,K30:K41)</f>
        <v>0</v>
      </c>
      <c r="L29" s="11"/>
      <c r="N29" s="14">
        <f>+SUM(N30:N41)</f>
        <v>20</v>
      </c>
      <c r="U29" s="14">
        <f>+SUM(U30:U41)</f>
        <v>2</v>
      </c>
      <c r="AB29" s="14">
        <f>+SUM(AB30:AB41)</f>
        <v>4</v>
      </c>
      <c r="AI29" s="14">
        <f>+SUM(AI30:AI41)</f>
        <v>0</v>
      </c>
      <c r="AP29" s="14">
        <f>+SUM(AP30:AP41)</f>
        <v>20</v>
      </c>
    </row>
    <row r="30" spans="2:76" outlineLevel="1">
      <c r="B30" t="s">
        <v>28</v>
      </c>
      <c r="C30" t="s">
        <v>59</v>
      </c>
      <c r="E30" s="11"/>
      <c r="G30" s="12"/>
      <c r="I30" s="11">
        <f t="shared" ref="I30:I41" si="2">+SUMIF($N$3:$ZZ$3,I$3,$N30:$ZZ30)</f>
        <v>16</v>
      </c>
      <c r="J30" s="13" cm="1">
        <f t="array" ref="J30">MAX(IF($N$3:$EH$3=$J$3,N30:EH30))</f>
        <v>0.7</v>
      </c>
      <c r="K30" s="13" cm="1">
        <f t="array" ref="K30">MAX(IF($N$3:$EH$3=$J$3,N30:EH30))</f>
        <v>0.7</v>
      </c>
      <c r="L30" s="11"/>
      <c r="N30">
        <v>10</v>
      </c>
      <c r="O30" s="12">
        <v>0.7</v>
      </c>
      <c r="P30" s="12">
        <v>0.8</v>
      </c>
      <c r="Q30" s="12">
        <v>0.5</v>
      </c>
      <c r="R30" s="12">
        <v>0.8</v>
      </c>
      <c r="U30">
        <v>2</v>
      </c>
      <c r="V30" s="12"/>
      <c r="W30" s="12">
        <v>0.8</v>
      </c>
      <c r="X30" s="12"/>
      <c r="Y30" s="12">
        <v>0.8</v>
      </c>
      <c r="AB30">
        <v>4</v>
      </c>
      <c r="AC30" s="12"/>
      <c r="AD30" s="12">
        <v>1</v>
      </c>
      <c r="AE30" s="12"/>
      <c r="AF30" s="12">
        <v>1</v>
      </c>
      <c r="AJ30" s="12"/>
      <c r="AK30" s="12">
        <v>1</v>
      </c>
      <c r="AL30" s="12"/>
      <c r="AM30" s="12">
        <v>1</v>
      </c>
      <c r="AP30">
        <v>0</v>
      </c>
      <c r="AQ30" s="12"/>
      <c r="AR30" s="12">
        <v>1</v>
      </c>
      <c r="AS30" s="12"/>
      <c r="AT30" s="12">
        <v>1</v>
      </c>
      <c r="AX30" s="12"/>
      <c r="AY30" s="12"/>
      <c r="AZ30" s="12"/>
      <c r="BA30" s="12"/>
      <c r="BE30" s="12"/>
      <c r="BF30" s="12"/>
      <c r="BG30" s="12"/>
      <c r="BH30" s="12"/>
      <c r="BM30" s="12"/>
      <c r="BN30" s="12"/>
      <c r="BO30" s="12"/>
      <c r="BP30" s="12"/>
      <c r="BU30" s="12"/>
      <c r="BV30" s="12"/>
      <c r="BW30" s="12"/>
      <c r="BX30" s="12"/>
    </row>
    <row r="31" spans="2:76" outlineLevel="1">
      <c r="B31" t="s">
        <v>28</v>
      </c>
      <c r="C31" t="s">
        <v>59</v>
      </c>
      <c r="E31" s="11"/>
      <c r="G31" s="12"/>
      <c r="I31" s="11">
        <f t="shared" si="2"/>
        <v>3</v>
      </c>
      <c r="J31" s="13" cm="1">
        <f t="array" ref="J31">MAX(IF($N$3:$EH$3=$J$3,N31:EH31))</f>
        <v>0.5</v>
      </c>
      <c r="K31" s="13" cm="1">
        <f t="array" ref="K31">MAX(IF($N$3:$EH$3=$J$3,N31:EH31))</f>
        <v>0.5</v>
      </c>
      <c r="L31" s="11"/>
      <c r="N31">
        <v>3</v>
      </c>
      <c r="O31" s="12">
        <v>0.5</v>
      </c>
      <c r="P31" s="12">
        <v>0.5</v>
      </c>
      <c r="Q31" s="12">
        <v>0.5</v>
      </c>
      <c r="R31" s="12">
        <v>0.5</v>
      </c>
      <c r="V31" s="12"/>
      <c r="W31" s="12">
        <v>0.8</v>
      </c>
      <c r="X31" s="12"/>
      <c r="Y31" s="12">
        <v>0.8</v>
      </c>
      <c r="AC31" s="12"/>
      <c r="AD31" s="12">
        <v>1</v>
      </c>
      <c r="AE31" s="12"/>
      <c r="AF31" s="12">
        <v>1</v>
      </c>
      <c r="AJ31" s="12"/>
      <c r="AK31" s="12">
        <v>1</v>
      </c>
      <c r="AL31" s="12"/>
      <c r="AM31" s="12">
        <v>1</v>
      </c>
      <c r="AP31">
        <v>0</v>
      </c>
      <c r="AQ31" s="12"/>
      <c r="AR31" s="12">
        <v>1</v>
      </c>
      <c r="AS31" s="12"/>
      <c r="AT31" s="12">
        <v>1</v>
      </c>
      <c r="AX31" s="12"/>
      <c r="AY31" s="12"/>
      <c r="AZ31" s="12"/>
      <c r="BA31" s="12"/>
      <c r="BE31" s="12"/>
      <c r="BF31" s="12"/>
      <c r="BG31" s="12"/>
      <c r="BH31" s="12"/>
      <c r="BM31" s="12"/>
      <c r="BN31" s="12"/>
      <c r="BO31" s="12"/>
      <c r="BP31" s="12"/>
      <c r="BU31" s="12"/>
      <c r="BV31" s="12"/>
      <c r="BW31" s="12"/>
      <c r="BX31" s="12"/>
    </row>
    <row r="32" spans="2:76" outlineLevel="1">
      <c r="B32" t="s">
        <v>28</v>
      </c>
      <c r="C32" t="s">
        <v>59</v>
      </c>
      <c r="E32" s="11"/>
      <c r="G32" s="12"/>
      <c r="I32" s="11">
        <f t="shared" si="2"/>
        <v>2</v>
      </c>
      <c r="J32" s="13" cm="1">
        <f t="array" ref="J32">MAX(IF($N$3:$EH$3=$J$3,N32:EH32))</f>
        <v>0.3</v>
      </c>
      <c r="K32" s="13" cm="1">
        <f t="array" ref="K32">MAX(IF($N$3:$EH$3=$J$3,N32:EH32))</f>
        <v>0.3</v>
      </c>
      <c r="L32" s="11"/>
      <c r="N32">
        <v>2</v>
      </c>
      <c r="O32" s="12">
        <v>0.3</v>
      </c>
      <c r="P32" s="12">
        <v>0.3</v>
      </c>
      <c r="Q32" s="12">
        <v>0.3</v>
      </c>
      <c r="R32" s="12">
        <v>0.3</v>
      </c>
      <c r="V32" s="12"/>
      <c r="W32" s="12">
        <v>0.5</v>
      </c>
      <c r="X32" s="12"/>
      <c r="Y32" s="12">
        <v>0.5</v>
      </c>
      <c r="AC32" s="12"/>
      <c r="AD32" s="12">
        <v>0.8</v>
      </c>
      <c r="AE32" s="12"/>
      <c r="AF32" s="12">
        <v>0.8</v>
      </c>
      <c r="AJ32" s="12"/>
      <c r="AK32" s="12">
        <v>1</v>
      </c>
      <c r="AL32" s="12"/>
      <c r="AM32" s="12">
        <v>1</v>
      </c>
      <c r="AP32">
        <v>0</v>
      </c>
      <c r="AQ32" s="12"/>
      <c r="AR32" s="12">
        <v>1</v>
      </c>
      <c r="AS32" s="12"/>
      <c r="AT32" s="12">
        <v>1</v>
      </c>
      <c r="AX32" s="12"/>
      <c r="AY32" s="12"/>
      <c r="AZ32" s="12"/>
      <c r="BA32" s="12"/>
      <c r="BE32" s="12"/>
      <c r="BF32" s="12"/>
      <c r="BG32" s="12"/>
      <c r="BH32" s="12"/>
      <c r="BM32" s="12"/>
      <c r="BN32" s="12"/>
      <c r="BO32" s="12"/>
      <c r="BP32" s="12"/>
      <c r="BU32" s="12"/>
      <c r="BV32" s="12"/>
      <c r="BW32" s="12"/>
      <c r="BX32" s="12"/>
    </row>
    <row r="33" spans="2:76" outlineLevel="1">
      <c r="B33" t="s">
        <v>28</v>
      </c>
      <c r="C33" t="s">
        <v>59</v>
      </c>
      <c r="E33" s="11"/>
      <c r="G33" s="12"/>
      <c r="I33" s="11">
        <f t="shared" si="2"/>
        <v>2</v>
      </c>
      <c r="J33" s="13" cm="1">
        <f t="array" ref="J33">MAX(IF($N$3:$EH$3=$J$3,N33:EH33))</f>
        <v>0.3</v>
      </c>
      <c r="K33" s="13" cm="1">
        <f t="array" ref="K33">MAX(IF($N$3:$EH$3=$J$3,N33:EH33))</f>
        <v>0.3</v>
      </c>
      <c r="L33" s="11"/>
      <c r="N33">
        <v>2</v>
      </c>
      <c r="O33" s="12">
        <v>0.3</v>
      </c>
      <c r="P33" s="12">
        <v>0.3</v>
      </c>
      <c r="Q33" s="12">
        <v>0.2</v>
      </c>
      <c r="R33" s="12">
        <v>0.3</v>
      </c>
      <c r="V33" s="12"/>
      <c r="W33" s="12">
        <v>0.5</v>
      </c>
      <c r="X33" s="12"/>
      <c r="Y33" s="12">
        <v>0.5</v>
      </c>
      <c r="AC33" s="12"/>
      <c r="AD33" s="12">
        <v>0.8</v>
      </c>
      <c r="AE33" s="12"/>
      <c r="AF33" s="12">
        <v>0.8</v>
      </c>
      <c r="AJ33" s="12"/>
      <c r="AK33" s="12">
        <v>1</v>
      </c>
      <c r="AL33" s="12"/>
      <c r="AM33" s="12">
        <v>1</v>
      </c>
      <c r="AP33">
        <v>0</v>
      </c>
      <c r="AQ33" s="12"/>
      <c r="AR33" s="12">
        <v>1</v>
      </c>
      <c r="AS33" s="12"/>
      <c r="AT33" s="12">
        <v>1</v>
      </c>
      <c r="AX33" s="12"/>
      <c r="AY33" s="12"/>
      <c r="AZ33" s="12"/>
      <c r="BA33" s="12"/>
      <c r="BE33" s="12"/>
      <c r="BF33" s="12"/>
      <c r="BG33" s="12"/>
      <c r="BH33" s="12"/>
      <c r="BM33" s="12"/>
      <c r="BN33" s="12"/>
      <c r="BO33" s="12"/>
      <c r="BP33" s="12"/>
      <c r="BU33" s="12"/>
      <c r="BV33" s="12"/>
      <c r="BW33" s="12"/>
      <c r="BX33" s="12"/>
    </row>
    <row r="34" spans="2:76" outlineLevel="1">
      <c r="B34" t="s">
        <v>28</v>
      </c>
      <c r="C34" t="s">
        <v>59</v>
      </c>
      <c r="E34" s="11"/>
      <c r="G34" s="12"/>
      <c r="I34" s="11">
        <f t="shared" si="2"/>
        <v>3</v>
      </c>
      <c r="J34" s="13" cm="1">
        <f t="array" ref="J34">MAX(IF($N$3:$EH$3=$J$3,N34:EH34))</f>
        <v>0.3</v>
      </c>
      <c r="K34" s="13" cm="1">
        <f t="array" ref="K34">MAX(IF($N$3:$EH$3=$J$3,N34:EH34))</f>
        <v>0.3</v>
      </c>
      <c r="L34" s="11"/>
      <c r="N34">
        <v>3</v>
      </c>
      <c r="O34" s="12">
        <v>0.3</v>
      </c>
      <c r="P34" s="12">
        <v>0.3</v>
      </c>
      <c r="Q34" s="12"/>
      <c r="R34" s="12">
        <v>0.3</v>
      </c>
      <c r="V34" s="12"/>
      <c r="W34" s="12">
        <v>0.5</v>
      </c>
      <c r="X34" s="12"/>
      <c r="Y34" s="12">
        <v>0.5</v>
      </c>
      <c r="AC34" s="12"/>
      <c r="AD34" s="12">
        <v>0.8</v>
      </c>
      <c r="AE34" s="12"/>
      <c r="AF34" s="12">
        <v>0.8</v>
      </c>
      <c r="AJ34" s="12"/>
      <c r="AK34" s="12">
        <v>1</v>
      </c>
      <c r="AL34" s="12"/>
      <c r="AM34" s="12">
        <v>1</v>
      </c>
      <c r="AP34">
        <v>0</v>
      </c>
      <c r="AQ34" s="12"/>
      <c r="AR34" s="12">
        <v>1</v>
      </c>
      <c r="AS34" s="12"/>
      <c r="AT34" s="12">
        <v>1</v>
      </c>
      <c r="AX34" s="12"/>
      <c r="AY34" s="12"/>
      <c r="AZ34" s="12"/>
      <c r="BA34" s="12"/>
      <c r="BE34" s="12"/>
      <c r="BF34" s="12"/>
      <c r="BG34" s="12"/>
      <c r="BH34" s="12"/>
      <c r="BM34" s="12"/>
      <c r="BN34" s="12"/>
      <c r="BO34" s="12"/>
      <c r="BP34" s="12"/>
      <c r="BU34" s="12"/>
      <c r="BV34" s="12"/>
      <c r="BW34" s="12"/>
      <c r="BX34" s="12"/>
    </row>
    <row r="35" spans="2:76" outlineLevel="1">
      <c r="B35" t="s">
        <v>28</v>
      </c>
      <c r="C35" t="s">
        <v>59</v>
      </c>
      <c r="E35" s="11"/>
      <c r="G35" s="12"/>
      <c r="I35" s="11">
        <f t="shared" si="2"/>
        <v>2</v>
      </c>
      <c r="J35" s="13" cm="1">
        <f t="array" ref="J35">MAX(IF($N$3:$EH$3=$J$3,N35:EH35))</f>
        <v>0</v>
      </c>
      <c r="K35" s="13" cm="1">
        <f t="array" ref="K35">MAX(IF($N$3:$EH$3=$J$3,N35:EH35))</f>
        <v>0</v>
      </c>
      <c r="L35" s="11"/>
      <c r="O35" s="12"/>
      <c r="P35" s="12"/>
      <c r="Q35" s="12"/>
      <c r="R35" s="12"/>
      <c r="V35" s="12"/>
      <c r="W35" s="12">
        <v>0.3</v>
      </c>
      <c r="X35" s="12"/>
      <c r="Y35" s="12">
        <v>0.3</v>
      </c>
      <c r="AC35" s="12"/>
      <c r="AD35" s="12">
        <v>0.5</v>
      </c>
      <c r="AE35" s="12"/>
      <c r="AF35" s="12">
        <v>0.5</v>
      </c>
      <c r="AJ35" s="12"/>
      <c r="AK35" s="12">
        <v>0.8</v>
      </c>
      <c r="AL35" s="12"/>
      <c r="AM35" s="12">
        <v>0.8</v>
      </c>
      <c r="AP35">
        <v>2</v>
      </c>
      <c r="AQ35" s="12"/>
      <c r="AR35" s="12">
        <v>1</v>
      </c>
      <c r="AS35" s="12"/>
      <c r="AT35" s="12">
        <v>1</v>
      </c>
      <c r="AX35" s="12"/>
      <c r="AY35" s="12"/>
      <c r="AZ35" s="12"/>
      <c r="BA35" s="12"/>
      <c r="BE35" s="12"/>
      <c r="BF35" s="12"/>
      <c r="BG35" s="12"/>
      <c r="BH35" s="12"/>
      <c r="BM35" s="12"/>
      <c r="BN35" s="12"/>
      <c r="BO35" s="12"/>
      <c r="BP35" s="12"/>
      <c r="BU35" s="12"/>
      <c r="BV35" s="12"/>
      <c r="BW35" s="12"/>
      <c r="BX35" s="12"/>
    </row>
    <row r="36" spans="2:76" outlineLevel="1">
      <c r="B36" t="s">
        <v>28</v>
      </c>
      <c r="C36" t="s">
        <v>59</v>
      </c>
      <c r="E36" s="11"/>
      <c r="G36" s="12"/>
      <c r="I36" s="11">
        <f t="shared" si="2"/>
        <v>2</v>
      </c>
      <c r="J36" s="13" cm="1">
        <f t="array" ref="J36">MAX(IF($N$3:$EH$3=$J$3,N36:EH36))</f>
        <v>0</v>
      </c>
      <c r="K36" s="13" cm="1">
        <f t="array" ref="K36">MAX(IF($N$3:$EH$3=$J$3,N36:EH36))</f>
        <v>0</v>
      </c>
      <c r="L36" s="11"/>
      <c r="O36" s="12"/>
      <c r="P36" s="12"/>
      <c r="Q36" s="12"/>
      <c r="R36" s="12"/>
      <c r="V36" s="12"/>
      <c r="W36" s="12">
        <v>0.3</v>
      </c>
      <c r="X36" s="12"/>
      <c r="Y36" s="12">
        <v>0.3</v>
      </c>
      <c r="AC36" s="12"/>
      <c r="AD36" s="12">
        <v>0.5</v>
      </c>
      <c r="AE36" s="12"/>
      <c r="AF36" s="12">
        <v>0.5</v>
      </c>
      <c r="AJ36" s="12"/>
      <c r="AK36" s="12">
        <v>0.8</v>
      </c>
      <c r="AL36" s="12"/>
      <c r="AM36" s="12">
        <v>0.8</v>
      </c>
      <c r="AP36">
        <v>2</v>
      </c>
      <c r="AQ36" s="12"/>
      <c r="AR36" s="12">
        <v>1</v>
      </c>
      <c r="AS36" s="12"/>
      <c r="AT36" s="12">
        <v>1</v>
      </c>
      <c r="AX36" s="12"/>
      <c r="AY36" s="12"/>
      <c r="AZ36" s="12"/>
      <c r="BA36" s="12"/>
      <c r="BE36" s="12"/>
      <c r="BF36" s="12"/>
      <c r="BG36" s="12"/>
      <c r="BH36" s="12"/>
      <c r="BM36" s="12"/>
      <c r="BN36" s="12"/>
      <c r="BO36" s="12"/>
      <c r="BP36" s="12"/>
      <c r="BU36" s="12"/>
      <c r="BV36" s="12"/>
      <c r="BW36" s="12"/>
      <c r="BX36" s="12"/>
    </row>
    <row r="37" spans="2:76" outlineLevel="1">
      <c r="B37" t="s">
        <v>28</v>
      </c>
      <c r="C37" t="s">
        <v>59</v>
      </c>
      <c r="E37" s="11"/>
      <c r="G37" s="12"/>
      <c r="I37" s="11">
        <f t="shared" si="2"/>
        <v>2</v>
      </c>
      <c r="J37" s="13" cm="1">
        <f t="array" ref="J37">MAX(IF($N$3:$EH$3=$J$3,N37:EH37))</f>
        <v>0</v>
      </c>
      <c r="K37" s="13" cm="1">
        <f t="array" ref="K37">MAX(IF($N$3:$EH$3=$J$3,N37:EH37))</f>
        <v>0</v>
      </c>
      <c r="L37" s="11"/>
      <c r="O37" s="12"/>
      <c r="P37" s="12"/>
      <c r="Q37" s="12"/>
      <c r="R37" s="12"/>
      <c r="V37" s="12"/>
      <c r="W37" s="12"/>
      <c r="X37" s="12"/>
      <c r="Y37" s="12"/>
      <c r="AC37" s="12"/>
      <c r="AD37" s="12">
        <v>0.5</v>
      </c>
      <c r="AE37" s="12"/>
      <c r="AF37" s="12">
        <v>0.5</v>
      </c>
      <c r="AJ37" s="12"/>
      <c r="AK37" s="12">
        <v>0.8</v>
      </c>
      <c r="AL37" s="12"/>
      <c r="AM37" s="12">
        <v>0.8</v>
      </c>
      <c r="AP37">
        <v>2</v>
      </c>
      <c r="AQ37" s="12"/>
      <c r="AR37" s="12">
        <v>1</v>
      </c>
      <c r="AS37" s="12"/>
      <c r="AT37" s="12">
        <v>1</v>
      </c>
      <c r="AX37" s="12"/>
      <c r="AY37" s="12"/>
      <c r="AZ37" s="12"/>
      <c r="BA37" s="12"/>
      <c r="BE37" s="12"/>
      <c r="BF37" s="12"/>
      <c r="BG37" s="12"/>
      <c r="BH37" s="12"/>
      <c r="BM37" s="12"/>
      <c r="BN37" s="12"/>
      <c r="BO37" s="12"/>
      <c r="BP37" s="12"/>
      <c r="BU37" s="12"/>
      <c r="BV37" s="12"/>
      <c r="BW37" s="12"/>
      <c r="BX37" s="12"/>
    </row>
    <row r="38" spans="2:76" outlineLevel="1">
      <c r="B38" t="s">
        <v>28</v>
      </c>
      <c r="C38" t="s">
        <v>59</v>
      </c>
      <c r="E38" s="11"/>
      <c r="G38" s="12"/>
      <c r="I38" s="11">
        <f t="shared" si="2"/>
        <v>2</v>
      </c>
      <c r="J38" s="13" cm="1">
        <f t="array" ref="J38">MAX(IF($N$3:$EH$3=$J$3,N38:EH38))</f>
        <v>0</v>
      </c>
      <c r="K38" s="13" cm="1">
        <f t="array" ref="K38">MAX(IF($N$3:$EH$3=$J$3,N38:EH38))</f>
        <v>0</v>
      </c>
      <c r="L38" s="11"/>
      <c r="O38" s="12"/>
      <c r="P38" s="12"/>
      <c r="Q38" s="12"/>
      <c r="R38" s="12"/>
      <c r="V38" s="12"/>
      <c r="W38" s="12"/>
      <c r="X38" s="12"/>
      <c r="Y38" s="12"/>
      <c r="AC38" s="12"/>
      <c r="AD38" s="12">
        <v>0.5</v>
      </c>
      <c r="AE38" s="12"/>
      <c r="AF38" s="12">
        <v>0.5</v>
      </c>
      <c r="AJ38" s="12"/>
      <c r="AK38" s="12">
        <v>0.8</v>
      </c>
      <c r="AL38" s="12"/>
      <c r="AM38" s="12">
        <v>0.8</v>
      </c>
      <c r="AP38">
        <v>2</v>
      </c>
      <c r="AQ38" s="12"/>
      <c r="AR38" s="12">
        <v>1</v>
      </c>
      <c r="AS38" s="12"/>
      <c r="AT38" s="12">
        <v>1</v>
      </c>
      <c r="AX38" s="12"/>
      <c r="AY38" s="12"/>
      <c r="AZ38" s="12"/>
      <c r="BA38" s="12"/>
      <c r="BE38" s="12"/>
      <c r="BF38" s="12"/>
      <c r="BG38" s="12"/>
      <c r="BH38" s="12"/>
      <c r="BM38" s="12"/>
      <c r="BN38" s="12"/>
      <c r="BO38" s="12"/>
      <c r="BP38" s="12"/>
      <c r="BU38" s="12"/>
      <c r="BV38" s="12"/>
      <c r="BW38" s="12"/>
      <c r="BX38" s="12"/>
    </row>
    <row r="39" spans="2:76" outlineLevel="1">
      <c r="B39" t="s">
        <v>28</v>
      </c>
      <c r="C39" t="s">
        <v>59</v>
      </c>
      <c r="E39" s="11"/>
      <c r="G39" s="12"/>
      <c r="I39" s="11">
        <f t="shared" si="2"/>
        <v>4</v>
      </c>
      <c r="J39" s="13" cm="1">
        <f t="array" ref="J39">MAX(IF($N$3:$EH$3=$J$3,N39:EH39))</f>
        <v>0</v>
      </c>
      <c r="K39" s="13" cm="1">
        <f t="array" ref="K39">MAX(IF($N$3:$EH$3=$J$3,N39:EH39))</f>
        <v>0</v>
      </c>
      <c r="L39" s="11"/>
      <c r="O39" s="12"/>
      <c r="P39" s="12"/>
      <c r="Q39" s="12"/>
      <c r="R39" s="12"/>
      <c r="V39" s="12"/>
      <c r="W39" s="12"/>
      <c r="X39" s="12"/>
      <c r="Y39" s="12"/>
      <c r="AC39" s="12"/>
      <c r="AD39" s="12">
        <v>0.3</v>
      </c>
      <c r="AE39" s="12"/>
      <c r="AF39" s="12">
        <v>0.3</v>
      </c>
      <c r="AJ39" s="12"/>
      <c r="AK39" s="12">
        <v>0.5</v>
      </c>
      <c r="AL39" s="12"/>
      <c r="AM39" s="12">
        <v>0.5</v>
      </c>
      <c r="AP39">
        <v>4</v>
      </c>
      <c r="AQ39" s="12"/>
      <c r="AR39" s="12">
        <v>1</v>
      </c>
      <c r="AS39" s="12"/>
      <c r="AT39" s="12">
        <v>1</v>
      </c>
      <c r="AX39" s="12"/>
      <c r="AY39" s="12"/>
      <c r="AZ39" s="12"/>
      <c r="BA39" s="12"/>
      <c r="BE39" s="12"/>
      <c r="BF39" s="12"/>
      <c r="BG39" s="12"/>
      <c r="BH39" s="12"/>
      <c r="BM39" s="12"/>
      <c r="BN39" s="12"/>
      <c r="BO39" s="12"/>
      <c r="BP39" s="12"/>
      <c r="BU39" s="12"/>
      <c r="BV39" s="12"/>
      <c r="BW39" s="12"/>
      <c r="BX39" s="12"/>
    </row>
    <row r="40" spans="2:76" outlineLevel="1">
      <c r="B40" t="s">
        <v>28</v>
      </c>
      <c r="C40" t="s">
        <v>59</v>
      </c>
      <c r="E40" s="11"/>
      <c r="G40" s="12"/>
      <c r="I40" s="11">
        <f t="shared" si="2"/>
        <v>4</v>
      </c>
      <c r="J40" s="13" cm="1">
        <f t="array" ref="J40">MAX(IF($N$3:$EH$3=$J$3,N40:EH40))</f>
        <v>0</v>
      </c>
      <c r="K40" s="13" cm="1">
        <f t="array" ref="K40">MAX(IF($N$3:$EH$3=$J$3,N40:EH40))</f>
        <v>0</v>
      </c>
      <c r="L40" s="11"/>
      <c r="O40" s="12"/>
      <c r="P40" s="12"/>
      <c r="Q40" s="12"/>
      <c r="R40" s="12"/>
      <c r="V40" s="12"/>
      <c r="W40" s="12"/>
      <c r="X40" s="12"/>
      <c r="Y40" s="12"/>
      <c r="AC40" s="12"/>
      <c r="AD40" s="12"/>
      <c r="AE40" s="12"/>
      <c r="AF40" s="12"/>
      <c r="AJ40" s="12"/>
      <c r="AK40" s="12">
        <v>0.5</v>
      </c>
      <c r="AL40" s="12"/>
      <c r="AM40" s="12">
        <v>0.5</v>
      </c>
      <c r="AP40">
        <v>4</v>
      </c>
      <c r="AQ40" s="12"/>
      <c r="AR40" s="12">
        <v>1</v>
      </c>
      <c r="AS40" s="12"/>
      <c r="AT40" s="12">
        <v>1</v>
      </c>
      <c r="AX40" s="12"/>
      <c r="AY40" s="12"/>
      <c r="AZ40" s="12"/>
      <c r="BA40" s="12"/>
      <c r="BE40" s="12"/>
      <c r="BF40" s="12"/>
      <c r="BG40" s="12"/>
      <c r="BH40" s="12"/>
      <c r="BM40" s="12"/>
      <c r="BN40" s="12"/>
      <c r="BO40" s="12"/>
      <c r="BP40" s="12"/>
      <c r="BU40" s="12"/>
      <c r="BV40" s="12"/>
      <c r="BW40" s="12"/>
      <c r="BX40" s="12"/>
    </row>
    <row r="41" spans="2:76" outlineLevel="1">
      <c r="B41" t="s">
        <v>28</v>
      </c>
      <c r="C41" t="s">
        <v>59</v>
      </c>
      <c r="E41" s="11"/>
      <c r="G41" s="12"/>
      <c r="I41" s="11">
        <f t="shared" si="2"/>
        <v>4</v>
      </c>
      <c r="J41" s="13" cm="1">
        <f t="array" ref="J41">MAX(IF($N$3:$EH$3=$J$3,N41:EH41))</f>
        <v>0</v>
      </c>
      <c r="K41" s="13" cm="1">
        <f t="array" ref="K41">MAX(IF($N$3:$EH$3=$J$3,N41:EH41))</f>
        <v>0</v>
      </c>
      <c r="L41" s="11"/>
      <c r="O41" s="12"/>
      <c r="P41" s="12"/>
      <c r="Q41" s="12"/>
      <c r="R41" s="12"/>
      <c r="V41" s="12"/>
      <c r="W41" s="12"/>
      <c r="X41" s="12"/>
      <c r="Y41" s="12"/>
      <c r="AC41" s="12"/>
      <c r="AD41" s="12"/>
      <c r="AE41" s="12"/>
      <c r="AF41" s="12"/>
      <c r="AJ41" s="12"/>
      <c r="AK41" s="12">
        <v>0.5</v>
      </c>
      <c r="AL41" s="12"/>
      <c r="AM41" s="12">
        <v>0.5</v>
      </c>
      <c r="AP41">
        <v>4</v>
      </c>
      <c r="AQ41" s="12"/>
      <c r="AR41" s="12">
        <v>1</v>
      </c>
      <c r="AS41" s="12"/>
      <c r="AT41" s="12">
        <v>1</v>
      </c>
      <c r="AX41" s="12"/>
      <c r="AY41" s="12"/>
      <c r="AZ41" s="12"/>
      <c r="BA41" s="12"/>
      <c r="BE41" s="12"/>
      <c r="BF41" s="12"/>
      <c r="BG41" s="12"/>
      <c r="BH41" s="12"/>
      <c r="BM41" s="12"/>
      <c r="BN41" s="12"/>
      <c r="BO41" s="12"/>
      <c r="BP41" s="12"/>
      <c r="BU41" s="12"/>
      <c r="BV41" s="12"/>
      <c r="BW41" s="12"/>
      <c r="BX41" s="12"/>
    </row>
    <row r="43" spans="2:76">
      <c r="B43" t="s">
        <v>27</v>
      </c>
      <c r="C43" t="s">
        <v>60</v>
      </c>
      <c r="D43" t="s">
        <v>63</v>
      </c>
      <c r="E43" s="11">
        <v>4</v>
      </c>
      <c r="G43" s="12">
        <f>+SUM(G44:G55)</f>
        <v>0</v>
      </c>
      <c r="I43" s="14">
        <f>+SUM(I44:I55)</f>
        <v>46</v>
      </c>
      <c r="J43" s="13">
        <f>+SUMPRODUCT(G44:G55,J44:J55)</f>
        <v>0</v>
      </c>
      <c r="K43" s="13">
        <f>+SUMPRODUCT(G44:G55,K44:K55)</f>
        <v>0</v>
      </c>
      <c r="L43" s="11"/>
      <c r="N43" s="14">
        <f>+SUM(N44:N55)</f>
        <v>20</v>
      </c>
      <c r="U43" s="14">
        <f>+SUM(U44:U55)</f>
        <v>2</v>
      </c>
      <c r="AB43" s="14">
        <f>+SUM(AB44:AB55)</f>
        <v>4</v>
      </c>
      <c r="AI43" s="14">
        <f>+SUM(AI44:AI55)</f>
        <v>0</v>
      </c>
      <c r="AP43" s="14">
        <f>+SUM(AP44:AP55)</f>
        <v>20</v>
      </c>
    </row>
    <row r="44" spans="2:76" outlineLevel="1">
      <c r="B44" t="s">
        <v>28</v>
      </c>
      <c r="C44" t="s">
        <v>60</v>
      </c>
      <c r="E44" s="11"/>
      <c r="G44" s="12"/>
      <c r="I44" s="11">
        <f t="shared" ref="I44:I55" si="3">+SUMIF($N$3:$ZZ$3,I$3,$N44:$ZZ44)</f>
        <v>16</v>
      </c>
      <c r="J44" s="13" cm="1">
        <f t="array" ref="J44">MAX(IF($N$3:$EH$3=$J$3,N44:EH44))</f>
        <v>0.7</v>
      </c>
      <c r="K44" s="13" cm="1">
        <f t="array" ref="K44">MAX(IF($N$3:$EH$3=$J$3,N44:EH44))</f>
        <v>0.7</v>
      </c>
      <c r="L44" s="11"/>
      <c r="N44">
        <v>10</v>
      </c>
      <c r="O44" s="12">
        <v>0.7</v>
      </c>
      <c r="P44" s="12">
        <v>0.8</v>
      </c>
      <c r="Q44" s="12">
        <v>0.5</v>
      </c>
      <c r="R44" s="12">
        <v>0.8</v>
      </c>
      <c r="U44">
        <v>2</v>
      </c>
      <c r="V44" s="12"/>
      <c r="W44" s="12">
        <v>0.8</v>
      </c>
      <c r="X44" s="12"/>
      <c r="Y44" s="12">
        <v>0.8</v>
      </c>
      <c r="AB44">
        <v>4</v>
      </c>
      <c r="AC44" s="12"/>
      <c r="AD44" s="12">
        <v>1</v>
      </c>
      <c r="AE44" s="12"/>
      <c r="AF44" s="12">
        <v>1</v>
      </c>
      <c r="AJ44" s="12"/>
      <c r="AK44" s="12">
        <v>1</v>
      </c>
      <c r="AL44" s="12"/>
      <c r="AM44" s="12">
        <v>1</v>
      </c>
      <c r="AP44">
        <v>0</v>
      </c>
      <c r="AQ44" s="12"/>
      <c r="AR44" s="12">
        <v>1</v>
      </c>
      <c r="AS44" s="12"/>
      <c r="AT44" s="12">
        <v>1</v>
      </c>
      <c r="AX44" s="12"/>
      <c r="AY44" s="12"/>
      <c r="AZ44" s="12"/>
      <c r="BA44" s="12"/>
      <c r="BE44" s="12"/>
      <c r="BF44" s="12"/>
      <c r="BG44" s="12"/>
      <c r="BH44" s="12"/>
      <c r="BM44" s="12"/>
      <c r="BN44" s="12"/>
      <c r="BO44" s="12"/>
      <c r="BP44" s="12"/>
      <c r="BU44" s="12"/>
      <c r="BV44" s="12"/>
      <c r="BW44" s="12"/>
      <c r="BX44" s="12"/>
    </row>
    <row r="45" spans="2:76" outlineLevel="1">
      <c r="B45" t="s">
        <v>28</v>
      </c>
      <c r="C45" t="s">
        <v>60</v>
      </c>
      <c r="E45" s="11"/>
      <c r="G45" s="12"/>
      <c r="I45" s="11">
        <f t="shared" si="3"/>
        <v>3</v>
      </c>
      <c r="J45" s="13" cm="1">
        <f t="array" ref="J45">MAX(IF($N$3:$EH$3=$J$3,N45:EH45))</f>
        <v>0.5</v>
      </c>
      <c r="K45" s="13" cm="1">
        <f t="array" ref="K45">MAX(IF($N$3:$EH$3=$J$3,N45:EH45))</f>
        <v>0.5</v>
      </c>
      <c r="L45" s="11"/>
      <c r="N45">
        <v>3</v>
      </c>
      <c r="O45" s="12">
        <v>0.5</v>
      </c>
      <c r="P45" s="12">
        <v>0.5</v>
      </c>
      <c r="Q45" s="12">
        <v>0.5</v>
      </c>
      <c r="R45" s="12">
        <v>0.5</v>
      </c>
      <c r="V45" s="12"/>
      <c r="W45" s="12">
        <v>0.8</v>
      </c>
      <c r="X45" s="12"/>
      <c r="Y45" s="12">
        <v>0.8</v>
      </c>
      <c r="AC45" s="12"/>
      <c r="AD45" s="12">
        <v>1</v>
      </c>
      <c r="AE45" s="12"/>
      <c r="AF45" s="12">
        <v>1</v>
      </c>
      <c r="AJ45" s="12"/>
      <c r="AK45" s="12">
        <v>1</v>
      </c>
      <c r="AL45" s="12"/>
      <c r="AM45" s="12">
        <v>1</v>
      </c>
      <c r="AP45">
        <v>0</v>
      </c>
      <c r="AQ45" s="12"/>
      <c r="AR45" s="12">
        <v>1</v>
      </c>
      <c r="AS45" s="12"/>
      <c r="AT45" s="12">
        <v>1</v>
      </c>
      <c r="AX45" s="12"/>
      <c r="AY45" s="12"/>
      <c r="AZ45" s="12"/>
      <c r="BA45" s="12"/>
      <c r="BE45" s="12"/>
      <c r="BF45" s="12"/>
      <c r="BG45" s="12"/>
      <c r="BH45" s="12"/>
      <c r="BM45" s="12"/>
      <c r="BN45" s="12"/>
      <c r="BO45" s="12"/>
      <c r="BP45" s="12"/>
      <c r="BU45" s="12"/>
      <c r="BV45" s="12"/>
      <c r="BW45" s="12"/>
      <c r="BX45" s="12"/>
    </row>
    <row r="46" spans="2:76" outlineLevel="1">
      <c r="B46" t="s">
        <v>28</v>
      </c>
      <c r="C46" t="s">
        <v>60</v>
      </c>
      <c r="E46" s="11"/>
      <c r="G46" s="12"/>
      <c r="I46" s="11">
        <f t="shared" si="3"/>
        <v>2</v>
      </c>
      <c r="J46" s="13" cm="1">
        <f t="array" ref="J46">MAX(IF($N$3:$EH$3=$J$3,N46:EH46))</f>
        <v>0.3</v>
      </c>
      <c r="K46" s="13" cm="1">
        <f t="array" ref="K46">MAX(IF($N$3:$EH$3=$J$3,N46:EH46))</f>
        <v>0.3</v>
      </c>
      <c r="L46" s="11"/>
      <c r="N46">
        <v>2</v>
      </c>
      <c r="O46" s="12">
        <v>0.3</v>
      </c>
      <c r="P46" s="12">
        <v>0.3</v>
      </c>
      <c r="Q46" s="12">
        <v>0.3</v>
      </c>
      <c r="R46" s="12">
        <v>0.3</v>
      </c>
      <c r="V46" s="12"/>
      <c r="W46" s="12">
        <v>0.5</v>
      </c>
      <c r="X46" s="12"/>
      <c r="Y46" s="12">
        <v>0.5</v>
      </c>
      <c r="AC46" s="12"/>
      <c r="AD46" s="12">
        <v>0.8</v>
      </c>
      <c r="AE46" s="12"/>
      <c r="AF46" s="12">
        <v>0.8</v>
      </c>
      <c r="AJ46" s="12"/>
      <c r="AK46" s="12">
        <v>1</v>
      </c>
      <c r="AL46" s="12"/>
      <c r="AM46" s="12">
        <v>1</v>
      </c>
      <c r="AP46">
        <v>0</v>
      </c>
      <c r="AQ46" s="12"/>
      <c r="AR46" s="12">
        <v>1</v>
      </c>
      <c r="AS46" s="12"/>
      <c r="AT46" s="12">
        <v>1</v>
      </c>
      <c r="AX46" s="12"/>
      <c r="AY46" s="12"/>
      <c r="AZ46" s="12"/>
      <c r="BA46" s="12"/>
      <c r="BE46" s="12"/>
      <c r="BF46" s="12"/>
      <c r="BG46" s="12"/>
      <c r="BH46" s="12"/>
      <c r="BM46" s="12"/>
      <c r="BN46" s="12"/>
      <c r="BO46" s="12"/>
      <c r="BP46" s="12"/>
      <c r="BU46" s="12"/>
      <c r="BV46" s="12"/>
      <c r="BW46" s="12"/>
      <c r="BX46" s="12"/>
    </row>
    <row r="47" spans="2:76" outlineLevel="1">
      <c r="B47" t="s">
        <v>28</v>
      </c>
      <c r="C47" t="s">
        <v>60</v>
      </c>
      <c r="E47" s="11"/>
      <c r="G47" s="12"/>
      <c r="I47" s="11">
        <f t="shared" si="3"/>
        <v>2</v>
      </c>
      <c r="J47" s="13" cm="1">
        <f t="array" ref="J47">MAX(IF($N$3:$EH$3=$J$3,N47:EH47))</f>
        <v>0.3</v>
      </c>
      <c r="K47" s="13" cm="1">
        <f t="array" ref="K47">MAX(IF($N$3:$EH$3=$J$3,N47:EH47))</f>
        <v>0.3</v>
      </c>
      <c r="L47" s="11"/>
      <c r="N47">
        <v>2</v>
      </c>
      <c r="O47" s="12">
        <v>0.3</v>
      </c>
      <c r="P47" s="12">
        <v>0.3</v>
      </c>
      <c r="Q47" s="12">
        <v>0.2</v>
      </c>
      <c r="R47" s="12">
        <v>0.3</v>
      </c>
      <c r="V47" s="12"/>
      <c r="W47" s="12">
        <v>0.5</v>
      </c>
      <c r="X47" s="12"/>
      <c r="Y47" s="12">
        <v>0.5</v>
      </c>
      <c r="AC47" s="12"/>
      <c r="AD47" s="12">
        <v>0.8</v>
      </c>
      <c r="AE47" s="12"/>
      <c r="AF47" s="12">
        <v>0.8</v>
      </c>
      <c r="AJ47" s="12"/>
      <c r="AK47" s="12">
        <v>1</v>
      </c>
      <c r="AL47" s="12"/>
      <c r="AM47" s="12">
        <v>1</v>
      </c>
      <c r="AP47">
        <v>0</v>
      </c>
      <c r="AQ47" s="12"/>
      <c r="AR47" s="12">
        <v>1</v>
      </c>
      <c r="AS47" s="12"/>
      <c r="AT47" s="12">
        <v>1</v>
      </c>
      <c r="AX47" s="12"/>
      <c r="AY47" s="12"/>
      <c r="AZ47" s="12"/>
      <c r="BA47" s="12"/>
      <c r="BE47" s="12"/>
      <c r="BF47" s="12"/>
      <c r="BG47" s="12"/>
      <c r="BH47" s="12"/>
      <c r="BM47" s="12"/>
      <c r="BN47" s="12"/>
      <c r="BO47" s="12"/>
      <c r="BP47" s="12"/>
      <c r="BU47" s="12"/>
      <c r="BV47" s="12"/>
      <c r="BW47" s="12"/>
      <c r="BX47" s="12"/>
    </row>
    <row r="48" spans="2:76" outlineLevel="1">
      <c r="B48" t="s">
        <v>28</v>
      </c>
      <c r="C48" t="s">
        <v>60</v>
      </c>
      <c r="E48" s="11"/>
      <c r="G48" s="12"/>
      <c r="I48" s="11">
        <f t="shared" si="3"/>
        <v>3</v>
      </c>
      <c r="J48" s="13" cm="1">
        <f t="array" ref="J48">MAX(IF($N$3:$EH$3=$J$3,N48:EH48))</f>
        <v>0.3</v>
      </c>
      <c r="K48" s="13" cm="1">
        <f t="array" ref="K48">MAX(IF($N$3:$EH$3=$J$3,N48:EH48))</f>
        <v>0.3</v>
      </c>
      <c r="L48" s="11"/>
      <c r="N48">
        <v>3</v>
      </c>
      <c r="O48" s="12">
        <v>0.3</v>
      </c>
      <c r="P48" s="12">
        <v>0.3</v>
      </c>
      <c r="Q48" s="12"/>
      <c r="R48" s="12">
        <v>0.3</v>
      </c>
      <c r="V48" s="12"/>
      <c r="W48" s="12">
        <v>0.5</v>
      </c>
      <c r="X48" s="12"/>
      <c r="Y48" s="12">
        <v>0.5</v>
      </c>
      <c r="AC48" s="12"/>
      <c r="AD48" s="12">
        <v>0.8</v>
      </c>
      <c r="AE48" s="12"/>
      <c r="AF48" s="12">
        <v>0.8</v>
      </c>
      <c r="AJ48" s="12"/>
      <c r="AK48" s="12">
        <v>1</v>
      </c>
      <c r="AL48" s="12"/>
      <c r="AM48" s="12">
        <v>1</v>
      </c>
      <c r="AP48">
        <v>0</v>
      </c>
      <c r="AQ48" s="12"/>
      <c r="AR48" s="12">
        <v>1</v>
      </c>
      <c r="AS48" s="12"/>
      <c r="AT48" s="12">
        <v>1</v>
      </c>
      <c r="AX48" s="12"/>
      <c r="AY48" s="12"/>
      <c r="AZ48" s="12"/>
      <c r="BA48" s="12"/>
      <c r="BE48" s="12"/>
      <c r="BF48" s="12"/>
      <c r="BG48" s="12"/>
      <c r="BH48" s="12"/>
      <c r="BM48" s="12"/>
      <c r="BN48" s="12"/>
      <c r="BO48" s="12"/>
      <c r="BP48" s="12"/>
      <c r="BU48" s="12"/>
      <c r="BV48" s="12"/>
      <c r="BW48" s="12"/>
      <c r="BX48" s="12"/>
    </row>
    <row r="49" spans="2:76" outlineLevel="1">
      <c r="B49" t="s">
        <v>28</v>
      </c>
      <c r="C49" t="s">
        <v>60</v>
      </c>
      <c r="E49" s="11"/>
      <c r="G49" s="12"/>
      <c r="I49" s="11">
        <f t="shared" si="3"/>
        <v>2</v>
      </c>
      <c r="J49" s="13" cm="1">
        <f t="array" ref="J49">MAX(IF($N$3:$EH$3=$J$3,N49:EH49))</f>
        <v>0</v>
      </c>
      <c r="K49" s="13" cm="1">
        <f t="array" ref="K49">MAX(IF($N$3:$EH$3=$J$3,N49:EH49))</f>
        <v>0</v>
      </c>
      <c r="L49" s="11"/>
      <c r="O49" s="12"/>
      <c r="P49" s="12"/>
      <c r="Q49" s="12"/>
      <c r="R49" s="12"/>
      <c r="V49" s="12"/>
      <c r="W49" s="12">
        <v>0.3</v>
      </c>
      <c r="X49" s="12"/>
      <c r="Y49" s="12">
        <v>0.3</v>
      </c>
      <c r="AC49" s="12"/>
      <c r="AD49" s="12">
        <v>0.5</v>
      </c>
      <c r="AE49" s="12"/>
      <c r="AF49" s="12">
        <v>0.5</v>
      </c>
      <c r="AJ49" s="12"/>
      <c r="AK49" s="12">
        <v>0.8</v>
      </c>
      <c r="AL49" s="12"/>
      <c r="AM49" s="12">
        <v>0.8</v>
      </c>
      <c r="AP49">
        <v>2</v>
      </c>
      <c r="AQ49" s="12"/>
      <c r="AR49" s="12">
        <v>1</v>
      </c>
      <c r="AS49" s="12"/>
      <c r="AT49" s="12">
        <v>1</v>
      </c>
      <c r="AX49" s="12"/>
      <c r="AY49" s="12"/>
      <c r="AZ49" s="12"/>
      <c r="BA49" s="12"/>
      <c r="BE49" s="12"/>
      <c r="BF49" s="12"/>
      <c r="BG49" s="12"/>
      <c r="BH49" s="12"/>
      <c r="BM49" s="12"/>
      <c r="BN49" s="12"/>
      <c r="BO49" s="12"/>
      <c r="BP49" s="12"/>
      <c r="BU49" s="12"/>
      <c r="BV49" s="12"/>
      <c r="BW49" s="12"/>
      <c r="BX49" s="12"/>
    </row>
    <row r="50" spans="2:76" outlineLevel="1">
      <c r="B50" t="s">
        <v>28</v>
      </c>
      <c r="C50" t="s">
        <v>60</v>
      </c>
      <c r="E50" s="11"/>
      <c r="G50" s="12"/>
      <c r="I50" s="11">
        <f t="shared" si="3"/>
        <v>2</v>
      </c>
      <c r="J50" s="13" cm="1">
        <f t="array" ref="J50">MAX(IF($N$3:$EH$3=$J$3,N50:EH50))</f>
        <v>0</v>
      </c>
      <c r="K50" s="13" cm="1">
        <f t="array" ref="K50">MAX(IF($N$3:$EH$3=$J$3,N50:EH50))</f>
        <v>0</v>
      </c>
      <c r="L50" s="11"/>
      <c r="O50" s="12"/>
      <c r="P50" s="12"/>
      <c r="Q50" s="12"/>
      <c r="R50" s="12"/>
      <c r="V50" s="12"/>
      <c r="W50" s="12">
        <v>0.3</v>
      </c>
      <c r="X50" s="12"/>
      <c r="Y50" s="12">
        <v>0.3</v>
      </c>
      <c r="AC50" s="12"/>
      <c r="AD50" s="12">
        <v>0.5</v>
      </c>
      <c r="AE50" s="12"/>
      <c r="AF50" s="12">
        <v>0.5</v>
      </c>
      <c r="AJ50" s="12"/>
      <c r="AK50" s="12">
        <v>0.8</v>
      </c>
      <c r="AL50" s="12"/>
      <c r="AM50" s="12">
        <v>0.8</v>
      </c>
      <c r="AP50">
        <v>2</v>
      </c>
      <c r="AQ50" s="12"/>
      <c r="AR50" s="12">
        <v>1</v>
      </c>
      <c r="AS50" s="12"/>
      <c r="AT50" s="12">
        <v>1</v>
      </c>
      <c r="AX50" s="12"/>
      <c r="AY50" s="12"/>
      <c r="AZ50" s="12"/>
      <c r="BA50" s="12"/>
      <c r="BE50" s="12"/>
      <c r="BF50" s="12"/>
      <c r="BG50" s="12"/>
      <c r="BH50" s="12"/>
      <c r="BM50" s="12"/>
      <c r="BN50" s="12"/>
      <c r="BO50" s="12"/>
      <c r="BP50" s="12"/>
      <c r="BU50" s="12"/>
      <c r="BV50" s="12"/>
      <c r="BW50" s="12"/>
      <c r="BX50" s="12"/>
    </row>
    <row r="51" spans="2:76" outlineLevel="1">
      <c r="B51" t="s">
        <v>28</v>
      </c>
      <c r="C51" t="s">
        <v>60</v>
      </c>
      <c r="E51" s="11"/>
      <c r="G51" s="12"/>
      <c r="I51" s="11">
        <f t="shared" si="3"/>
        <v>2</v>
      </c>
      <c r="J51" s="13" cm="1">
        <f t="array" ref="J51">MAX(IF($N$3:$EH$3=$J$3,N51:EH51))</f>
        <v>0</v>
      </c>
      <c r="K51" s="13" cm="1">
        <f t="array" ref="K51">MAX(IF($N$3:$EH$3=$J$3,N51:EH51))</f>
        <v>0</v>
      </c>
      <c r="L51" s="11"/>
      <c r="O51" s="12"/>
      <c r="P51" s="12"/>
      <c r="Q51" s="12"/>
      <c r="R51" s="12"/>
      <c r="V51" s="12"/>
      <c r="W51" s="12"/>
      <c r="X51" s="12"/>
      <c r="Y51" s="12"/>
      <c r="AC51" s="12"/>
      <c r="AD51" s="12">
        <v>0.5</v>
      </c>
      <c r="AE51" s="12"/>
      <c r="AF51" s="12">
        <v>0.5</v>
      </c>
      <c r="AJ51" s="12"/>
      <c r="AK51" s="12">
        <v>0.8</v>
      </c>
      <c r="AL51" s="12"/>
      <c r="AM51" s="12">
        <v>0.8</v>
      </c>
      <c r="AP51">
        <v>2</v>
      </c>
      <c r="AQ51" s="12"/>
      <c r="AR51" s="12">
        <v>1</v>
      </c>
      <c r="AS51" s="12"/>
      <c r="AT51" s="12">
        <v>1</v>
      </c>
      <c r="AX51" s="12"/>
      <c r="AY51" s="12"/>
      <c r="AZ51" s="12"/>
      <c r="BA51" s="12"/>
      <c r="BE51" s="12"/>
      <c r="BF51" s="12"/>
      <c r="BG51" s="12"/>
      <c r="BH51" s="12"/>
      <c r="BM51" s="12"/>
      <c r="BN51" s="12"/>
      <c r="BO51" s="12"/>
      <c r="BP51" s="12"/>
      <c r="BU51" s="12"/>
      <c r="BV51" s="12"/>
      <c r="BW51" s="12"/>
      <c r="BX51" s="12"/>
    </row>
    <row r="52" spans="2:76" outlineLevel="1">
      <c r="B52" t="s">
        <v>28</v>
      </c>
      <c r="C52" t="s">
        <v>60</v>
      </c>
      <c r="E52" s="11"/>
      <c r="G52" s="12"/>
      <c r="I52" s="11">
        <f t="shared" si="3"/>
        <v>2</v>
      </c>
      <c r="J52" s="13" cm="1">
        <f t="array" ref="J52">MAX(IF($N$3:$EH$3=$J$3,N52:EH52))</f>
        <v>0</v>
      </c>
      <c r="K52" s="13" cm="1">
        <f t="array" ref="K52">MAX(IF($N$3:$EH$3=$J$3,N52:EH52))</f>
        <v>0</v>
      </c>
      <c r="L52" s="11"/>
      <c r="O52" s="12"/>
      <c r="P52" s="12"/>
      <c r="Q52" s="12"/>
      <c r="R52" s="12"/>
      <c r="V52" s="12"/>
      <c r="W52" s="12"/>
      <c r="X52" s="12"/>
      <c r="Y52" s="12"/>
      <c r="AC52" s="12"/>
      <c r="AD52" s="12">
        <v>0.5</v>
      </c>
      <c r="AE52" s="12"/>
      <c r="AF52" s="12">
        <v>0.5</v>
      </c>
      <c r="AJ52" s="12"/>
      <c r="AK52" s="12">
        <v>0.8</v>
      </c>
      <c r="AL52" s="12"/>
      <c r="AM52" s="12">
        <v>0.8</v>
      </c>
      <c r="AP52">
        <v>2</v>
      </c>
      <c r="AQ52" s="12"/>
      <c r="AR52" s="12">
        <v>1</v>
      </c>
      <c r="AS52" s="12"/>
      <c r="AT52" s="12">
        <v>1</v>
      </c>
      <c r="AX52" s="12"/>
      <c r="AY52" s="12"/>
      <c r="AZ52" s="12"/>
      <c r="BA52" s="12"/>
      <c r="BE52" s="12"/>
      <c r="BF52" s="12"/>
      <c r="BG52" s="12"/>
      <c r="BH52" s="12"/>
      <c r="BM52" s="12"/>
      <c r="BN52" s="12"/>
      <c r="BO52" s="12"/>
      <c r="BP52" s="12"/>
      <c r="BU52" s="12"/>
      <c r="BV52" s="12"/>
      <c r="BW52" s="12"/>
      <c r="BX52" s="12"/>
    </row>
    <row r="53" spans="2:76" outlineLevel="1">
      <c r="B53" t="s">
        <v>28</v>
      </c>
      <c r="C53" t="s">
        <v>60</v>
      </c>
      <c r="E53" s="11"/>
      <c r="G53" s="12"/>
      <c r="I53" s="11">
        <f t="shared" si="3"/>
        <v>4</v>
      </c>
      <c r="J53" s="13" cm="1">
        <f t="array" ref="J53">MAX(IF($N$3:$EH$3=$J$3,N53:EH53))</f>
        <v>0</v>
      </c>
      <c r="K53" s="13" cm="1">
        <f t="array" ref="K53">MAX(IF($N$3:$EH$3=$J$3,N53:EH53))</f>
        <v>0</v>
      </c>
      <c r="L53" s="11"/>
      <c r="O53" s="12"/>
      <c r="P53" s="12"/>
      <c r="Q53" s="12"/>
      <c r="R53" s="12"/>
      <c r="V53" s="12"/>
      <c r="W53" s="12"/>
      <c r="X53" s="12"/>
      <c r="Y53" s="12"/>
      <c r="AC53" s="12"/>
      <c r="AD53" s="12">
        <v>0.3</v>
      </c>
      <c r="AE53" s="12"/>
      <c r="AF53" s="12">
        <v>0.3</v>
      </c>
      <c r="AJ53" s="12"/>
      <c r="AK53" s="12">
        <v>0.5</v>
      </c>
      <c r="AL53" s="12"/>
      <c r="AM53" s="12">
        <v>0.5</v>
      </c>
      <c r="AP53">
        <v>4</v>
      </c>
      <c r="AQ53" s="12"/>
      <c r="AR53" s="12">
        <v>1</v>
      </c>
      <c r="AS53" s="12"/>
      <c r="AT53" s="12">
        <v>1</v>
      </c>
      <c r="AX53" s="12"/>
      <c r="AY53" s="12"/>
      <c r="AZ53" s="12"/>
      <c r="BA53" s="12"/>
      <c r="BE53" s="12"/>
      <c r="BF53" s="12"/>
      <c r="BG53" s="12"/>
      <c r="BH53" s="12"/>
      <c r="BM53" s="12"/>
      <c r="BN53" s="12"/>
      <c r="BO53" s="12"/>
      <c r="BP53" s="12"/>
      <c r="BU53" s="12"/>
      <c r="BV53" s="12"/>
      <c r="BW53" s="12"/>
      <c r="BX53" s="12"/>
    </row>
    <row r="54" spans="2:76" outlineLevel="1">
      <c r="B54" t="s">
        <v>28</v>
      </c>
      <c r="C54" t="s">
        <v>60</v>
      </c>
      <c r="E54" s="11"/>
      <c r="G54" s="12"/>
      <c r="I54" s="11">
        <f t="shared" si="3"/>
        <v>4</v>
      </c>
      <c r="J54" s="13" cm="1">
        <f t="array" ref="J54">MAX(IF($N$3:$EH$3=$J$3,N54:EH54))</f>
        <v>0</v>
      </c>
      <c r="K54" s="13" cm="1">
        <f t="array" ref="K54">MAX(IF($N$3:$EH$3=$J$3,N54:EH54))</f>
        <v>0</v>
      </c>
      <c r="L54" s="11"/>
      <c r="O54" s="12"/>
      <c r="P54" s="12"/>
      <c r="Q54" s="12"/>
      <c r="R54" s="12"/>
      <c r="V54" s="12"/>
      <c r="W54" s="12"/>
      <c r="X54" s="12"/>
      <c r="Y54" s="12"/>
      <c r="AC54" s="12"/>
      <c r="AD54" s="12"/>
      <c r="AE54" s="12"/>
      <c r="AF54" s="12"/>
      <c r="AJ54" s="12"/>
      <c r="AK54" s="12">
        <v>0.5</v>
      </c>
      <c r="AL54" s="12"/>
      <c r="AM54" s="12">
        <v>0.5</v>
      </c>
      <c r="AP54">
        <v>4</v>
      </c>
      <c r="AQ54" s="12"/>
      <c r="AR54" s="12">
        <v>1</v>
      </c>
      <c r="AS54" s="12"/>
      <c r="AT54" s="12">
        <v>1</v>
      </c>
      <c r="AX54" s="12"/>
      <c r="AY54" s="12"/>
      <c r="AZ54" s="12"/>
      <c r="BA54" s="12"/>
      <c r="BE54" s="12"/>
      <c r="BF54" s="12"/>
      <c r="BG54" s="12"/>
      <c r="BH54" s="12"/>
      <c r="BM54" s="12"/>
      <c r="BN54" s="12"/>
      <c r="BO54" s="12"/>
      <c r="BP54" s="12"/>
      <c r="BU54" s="12"/>
      <c r="BV54" s="12"/>
      <c r="BW54" s="12"/>
      <c r="BX54" s="12"/>
    </row>
    <row r="55" spans="2:76" outlineLevel="1">
      <c r="B55" t="s">
        <v>28</v>
      </c>
      <c r="C55" t="s">
        <v>60</v>
      </c>
      <c r="E55" s="11"/>
      <c r="G55" s="12"/>
      <c r="I55" s="11">
        <f t="shared" si="3"/>
        <v>4</v>
      </c>
      <c r="J55" s="13" cm="1">
        <f t="array" ref="J55">MAX(IF($N$3:$EH$3=$J$3,N55:EH55))</f>
        <v>0</v>
      </c>
      <c r="K55" s="13" cm="1">
        <f t="array" ref="K55">MAX(IF($N$3:$EH$3=$J$3,N55:EH55))</f>
        <v>0</v>
      </c>
      <c r="L55" s="11"/>
      <c r="O55" s="12"/>
      <c r="P55" s="12"/>
      <c r="Q55" s="12"/>
      <c r="R55" s="12"/>
      <c r="V55" s="12"/>
      <c r="W55" s="12"/>
      <c r="X55" s="12"/>
      <c r="Y55" s="12"/>
      <c r="AC55" s="12"/>
      <c r="AD55" s="12"/>
      <c r="AE55" s="12"/>
      <c r="AF55" s="12"/>
      <c r="AJ55" s="12"/>
      <c r="AK55" s="12">
        <v>0.5</v>
      </c>
      <c r="AL55" s="12"/>
      <c r="AM55" s="12">
        <v>0.5</v>
      </c>
      <c r="AP55">
        <v>4</v>
      </c>
      <c r="AQ55" s="12"/>
      <c r="AR55" s="12">
        <v>1</v>
      </c>
      <c r="AS55" s="12"/>
      <c r="AT55" s="12">
        <v>1</v>
      </c>
      <c r="AX55" s="12"/>
      <c r="AY55" s="12"/>
      <c r="AZ55" s="12"/>
      <c r="BA55" s="12"/>
      <c r="BE55" s="12"/>
      <c r="BF55" s="12"/>
      <c r="BG55" s="12"/>
      <c r="BH55" s="12"/>
      <c r="BM55" s="12"/>
      <c r="BN55" s="12"/>
      <c r="BO55" s="12"/>
      <c r="BP55" s="12"/>
      <c r="BU55" s="12"/>
      <c r="BV55" s="12"/>
      <c r="BW55" s="12"/>
      <c r="BX55" s="12"/>
    </row>
  </sheetData>
  <mergeCells count="10">
    <mergeCell ref="BL2:BQ2"/>
    <mergeCell ref="BT2:BY2"/>
    <mergeCell ref="I2:L2"/>
    <mergeCell ref="N2:S2"/>
    <mergeCell ref="BD2:BI2"/>
    <mergeCell ref="U2:Z2"/>
    <mergeCell ref="AB2:AG2"/>
    <mergeCell ref="AI2:AN2"/>
    <mergeCell ref="AP2:AU2"/>
    <mergeCell ref="AW2:BB2"/>
  </mergeCells>
  <conditionalFormatting sqref="O5:O17 Q5:Q17 AQ5:AQ17 AS5:AS17 BE5:BE17 BG5:BG17 V5:V17 X5:X17 AC5:AC17 AE5:AE17 AL5:AL17 AX5:AX17 AZ5:AZ17 BM5:BM17 BO5:BO17 BW5:BW17 BU8:BU17 BU5 O20:O26 Q20:Q26 AQ20:AQ26 AS20:AS26 BE20:BE26 BG20:BG26 V20:V26 X20:X26 AC20:AC26 AE20:AE26 AJ20:AJ26 AL20:AL26 AX20:AX26 AZ20:AZ27 BM20:BM26 BO20:BO26 BU20:BU26 BW20:BW27 AJ5:AJ17">
    <cfRule type="expression" dxfId="200" priority="295">
      <formula>OR(IF(O5&lt;P5,TRUE),IF(AND(P5="",O5&lt;&gt;""),TRUE))</formula>
    </cfRule>
    <cfRule type="expression" dxfId="199" priority="296">
      <formula>IF(O5&gt;=P5,IF(O5="",FALSE,TRUE))</formula>
    </cfRule>
  </conditionalFormatting>
  <conditionalFormatting sqref="AJ32:AJ41">
    <cfRule type="expression" dxfId="198" priority="166">
      <formula>OR(IF(AJ32&lt;AK32,TRUE),IF(AND(AK32="",AJ32&lt;&gt;""),TRUE))</formula>
    </cfRule>
    <cfRule type="expression" dxfId="197" priority="167">
      <formula>IF(AJ32&gt;=AK32,IF(AJ32="",FALSE,TRUE))</formula>
    </cfRule>
  </conditionalFormatting>
  <conditionalFormatting sqref="AL32:AL41">
    <cfRule type="expression" dxfId="196" priority="164">
      <formula>OR(IF(AL32&lt;AM32,TRUE),IF(AND(AM32="",AL32&lt;&gt;""),TRUE))</formula>
    </cfRule>
    <cfRule type="expression" dxfId="195" priority="165">
      <formula>IF(AL32&gt;=AM32,IF(AL32="",FALSE,TRUE))</formula>
    </cfRule>
  </conditionalFormatting>
  <conditionalFormatting sqref="O30:O31">
    <cfRule type="expression" dxfId="194" priority="236">
      <formula>OR(IF(O30&lt;P30,TRUE),IF(AND(P30="",O30&lt;&gt;""),TRUE))</formula>
    </cfRule>
    <cfRule type="expression" dxfId="193" priority="237">
      <formula>IF(O30&gt;=P30,IF(O30="",FALSE,TRUE))</formula>
    </cfRule>
  </conditionalFormatting>
  <conditionalFormatting sqref="Q30:Q31">
    <cfRule type="expression" dxfId="192" priority="234">
      <formula>OR(IF(Q30&lt;R30,TRUE),IF(AND(R30="",Q30&lt;&gt;""),TRUE))</formula>
    </cfRule>
    <cfRule type="expression" dxfId="191" priority="235">
      <formula>IF(Q30&gt;=R30,IF(Q30="",FALSE,TRUE))</formula>
    </cfRule>
  </conditionalFormatting>
  <conditionalFormatting sqref="AX32:AX41">
    <cfRule type="expression" dxfId="190" priority="134">
      <formula>OR(IF(AX32&lt;AY32,TRUE),IF(AND(AY32="",AX32&lt;&gt;""),TRUE))</formula>
    </cfRule>
    <cfRule type="expression" dxfId="189" priority="135">
      <formula>IF(AX32&gt;=AY32,IF(AX32="",FALSE,TRUE))</formula>
    </cfRule>
  </conditionalFormatting>
  <conditionalFormatting sqref="AZ32:AZ41">
    <cfRule type="expression" dxfId="188" priority="132">
      <formula>OR(IF(AZ32&lt;BA32,TRUE),IF(AND(BA32="",AZ32&lt;&gt;""),TRUE))</formula>
    </cfRule>
    <cfRule type="expression" dxfId="187" priority="133">
      <formula>IF(AZ32&gt;=BA32,IF(AZ32="",FALSE,TRUE))</formula>
    </cfRule>
  </conditionalFormatting>
  <conditionalFormatting sqref="BE30:BE31">
    <cfRule type="expression" dxfId="186" priority="126">
      <formula>OR(IF(BE30&lt;BF30,TRUE),IF(AND(BF30="",BE30&lt;&gt;""),TRUE))</formula>
    </cfRule>
    <cfRule type="expression" dxfId="185" priority="127">
      <formula>IF(BE30&gt;=BF30,IF(BE30="",FALSE,TRUE))</formula>
    </cfRule>
  </conditionalFormatting>
  <conditionalFormatting sqref="Q32:Q41">
    <cfRule type="expression" dxfId="184" priority="212">
      <formula>OR(IF(Q32&lt;R32,TRUE),IF(AND(R32="",Q32&lt;&gt;""),TRUE))</formula>
    </cfRule>
    <cfRule type="expression" dxfId="183" priority="213">
      <formula>IF(Q32&gt;=R32,IF(Q32="",FALSE,TRUE))</formula>
    </cfRule>
  </conditionalFormatting>
  <conditionalFormatting sqref="O27">
    <cfRule type="expression" dxfId="182" priority="218">
      <formula>OR(IF(O27&lt;P27,TRUE),IF(AND(P27="",O27&lt;&gt;""),TRUE))</formula>
    </cfRule>
    <cfRule type="expression" dxfId="181" priority="219">
      <formula>IF(O27&gt;=P27,IF(O27="",FALSE,TRUE))</formula>
    </cfRule>
  </conditionalFormatting>
  <conditionalFormatting sqref="Q27">
    <cfRule type="expression" dxfId="180" priority="216">
      <formula>OR(IF(Q27&lt;R27,TRUE),IF(AND(R27="",Q27&lt;&gt;""),TRUE))</formula>
    </cfRule>
    <cfRule type="expression" dxfId="179" priority="217">
      <formula>IF(Q27&gt;=R27,IF(Q27="",FALSE,TRUE))</formula>
    </cfRule>
  </conditionalFormatting>
  <conditionalFormatting sqref="O32:O41">
    <cfRule type="expression" dxfId="178" priority="214">
      <formula>OR(IF(O32&lt;P32,TRUE),IF(AND(P32="",O32&lt;&gt;""),TRUE))</formula>
    </cfRule>
    <cfRule type="expression" dxfId="177" priority="215">
      <formula>IF(O32&gt;=P32,IF(O32="",FALSE,TRUE))</formula>
    </cfRule>
  </conditionalFormatting>
  <conditionalFormatting sqref="BG32:BG41">
    <cfRule type="expression" dxfId="176" priority="116">
      <formula>OR(IF(BG32&lt;BH32,TRUE),IF(AND(BH32="",BG32&lt;&gt;""),TRUE))</formula>
    </cfRule>
    <cfRule type="expression" dxfId="175" priority="117">
      <formula>IF(BG32&gt;=BH32,IF(BG32="",FALSE,TRUE))</formula>
    </cfRule>
  </conditionalFormatting>
  <conditionalFormatting sqref="V30:V31">
    <cfRule type="expression" dxfId="174" priority="206">
      <formula>OR(IF(V30&lt;W30,TRUE),IF(AND(W30="",V30&lt;&gt;""),TRUE))</formula>
    </cfRule>
    <cfRule type="expression" dxfId="173" priority="207">
      <formula>IF(V30&gt;=W30,IF(V30="",FALSE,TRUE))</formula>
    </cfRule>
  </conditionalFormatting>
  <conditionalFormatting sqref="X30:X31">
    <cfRule type="expression" dxfId="172" priority="204">
      <formula>OR(IF(X30&lt;Y30,TRUE),IF(AND(Y30="",X30&lt;&gt;""),TRUE))</formula>
    </cfRule>
    <cfRule type="expression" dxfId="171" priority="205">
      <formula>IF(X30&gt;=Y30,IF(X30="",FALSE,TRUE))</formula>
    </cfRule>
  </conditionalFormatting>
  <conditionalFormatting sqref="X32:X41">
    <cfRule type="expression" dxfId="170" priority="196">
      <formula>OR(IF(X32&lt;Y32,TRUE),IF(AND(Y32="",X32&lt;&gt;""),TRUE))</formula>
    </cfRule>
    <cfRule type="expression" dxfId="169" priority="197">
      <formula>IF(X32&gt;=Y32,IF(X32="",FALSE,TRUE))</formula>
    </cfRule>
  </conditionalFormatting>
  <conditionalFormatting sqref="V27">
    <cfRule type="expression" dxfId="168" priority="202">
      <formula>OR(IF(V27&lt;W27,TRUE),IF(AND(W27="",V27&lt;&gt;""),TRUE))</formula>
    </cfRule>
    <cfRule type="expression" dxfId="167" priority="203">
      <formula>IF(V27&gt;=W27,IF(V27="",FALSE,TRUE))</formula>
    </cfRule>
  </conditionalFormatting>
  <conditionalFormatting sqref="X27">
    <cfRule type="expression" dxfId="166" priority="200">
      <formula>OR(IF(X27&lt;Y27,TRUE),IF(AND(Y27="",X27&lt;&gt;""),TRUE))</formula>
    </cfRule>
    <cfRule type="expression" dxfId="165" priority="201">
      <formula>IF(X27&gt;=Y27,IF(X27="",FALSE,TRUE))</formula>
    </cfRule>
  </conditionalFormatting>
  <conditionalFormatting sqref="V32:V41">
    <cfRule type="expression" dxfId="164" priority="198">
      <formula>OR(IF(V32&lt;W32,TRUE),IF(AND(W32="",V32&lt;&gt;""),TRUE))</formula>
    </cfRule>
    <cfRule type="expression" dxfId="163" priority="199">
      <formula>IF(V32&gt;=W32,IF(V32="",FALSE,TRUE))</formula>
    </cfRule>
  </conditionalFormatting>
  <conditionalFormatting sqref="AC30:AC31">
    <cfRule type="expression" dxfId="162" priority="190">
      <formula>OR(IF(AC30&lt;AD30,TRUE),IF(AND(AD30="",AC30&lt;&gt;""),TRUE))</formula>
    </cfRule>
    <cfRule type="expression" dxfId="161" priority="191">
      <formula>IF(AC30&gt;=AD30,IF(AC30="",FALSE,TRUE))</formula>
    </cfRule>
  </conditionalFormatting>
  <conditionalFormatting sqref="AE30:AE31">
    <cfRule type="expression" dxfId="160" priority="188">
      <formula>OR(IF(AE30&lt;AF30,TRUE),IF(AND(AF30="",AE30&lt;&gt;""),TRUE))</formula>
    </cfRule>
    <cfRule type="expression" dxfId="159" priority="189">
      <formula>IF(AE30&gt;=AF30,IF(AE30="",FALSE,TRUE))</formula>
    </cfRule>
  </conditionalFormatting>
  <conditionalFormatting sqref="AE32:AE41">
    <cfRule type="expression" dxfId="158" priority="180">
      <formula>OR(IF(AE32&lt;AF32,TRUE),IF(AND(AF32="",AE32&lt;&gt;""),TRUE))</formula>
    </cfRule>
    <cfRule type="expression" dxfId="157" priority="181">
      <formula>IF(AE32&gt;=AF32,IF(AE32="",FALSE,TRUE))</formula>
    </cfRule>
  </conditionalFormatting>
  <conditionalFormatting sqref="AC27">
    <cfRule type="expression" dxfId="156" priority="186">
      <formula>OR(IF(AC27&lt;AD27,TRUE),IF(AND(AD27="",AC27&lt;&gt;""),TRUE))</formula>
    </cfRule>
    <cfRule type="expression" dxfId="155" priority="187">
      <formula>IF(AC27&gt;=AD27,IF(AC27="",FALSE,TRUE))</formula>
    </cfRule>
  </conditionalFormatting>
  <conditionalFormatting sqref="AE27">
    <cfRule type="expression" dxfId="154" priority="184">
      <formula>OR(IF(AE27&lt;AF27,TRUE),IF(AND(AF27="",AE27&lt;&gt;""),TRUE))</formula>
    </cfRule>
    <cfRule type="expression" dxfId="153" priority="185">
      <formula>IF(AE27&gt;=AF27,IF(AE27="",FALSE,TRUE))</formula>
    </cfRule>
  </conditionalFormatting>
  <conditionalFormatting sqref="AC32:AC41">
    <cfRule type="expression" dxfId="152" priority="182">
      <formula>OR(IF(AC32&lt;AD32,TRUE),IF(AND(AD32="",AC32&lt;&gt;""),TRUE))</formula>
    </cfRule>
    <cfRule type="expression" dxfId="151" priority="183">
      <formula>IF(AC32&gt;=AD32,IF(AC32="",FALSE,TRUE))</formula>
    </cfRule>
  </conditionalFormatting>
  <conditionalFormatting sqref="AJ30:AJ31">
    <cfRule type="expression" dxfId="150" priority="174">
      <formula>OR(IF(AJ30&lt;AK30,TRUE),IF(AND(AK30="",AJ30&lt;&gt;""),TRUE))</formula>
    </cfRule>
    <cfRule type="expression" dxfId="149" priority="175">
      <formula>IF(AJ30&gt;=AK30,IF(AJ30="",FALSE,TRUE))</formula>
    </cfRule>
  </conditionalFormatting>
  <conditionalFormatting sqref="AL30:AL31">
    <cfRule type="expression" dxfId="148" priority="172">
      <formula>OR(IF(AL30&lt;AM30,TRUE),IF(AND(AM30="",AL30&lt;&gt;""),TRUE))</formula>
    </cfRule>
    <cfRule type="expression" dxfId="147" priority="173">
      <formula>IF(AL30&gt;=AM30,IF(AL30="",FALSE,TRUE))</formula>
    </cfRule>
  </conditionalFormatting>
  <conditionalFormatting sqref="AJ27">
    <cfRule type="expression" dxfId="146" priority="170">
      <formula>OR(IF(AJ27&lt;AK27,TRUE),IF(AND(AK27="",AJ27&lt;&gt;""),TRUE))</formula>
    </cfRule>
    <cfRule type="expression" dxfId="145" priority="171">
      <formula>IF(AJ27&gt;=AK27,IF(AJ27="",FALSE,TRUE))</formula>
    </cfRule>
  </conditionalFormatting>
  <conditionalFormatting sqref="AL27">
    <cfRule type="expression" dxfId="144" priority="168">
      <formula>OR(IF(AL27&lt;AM27,TRUE),IF(AND(AM27="",AL27&lt;&gt;""),TRUE))</formula>
    </cfRule>
    <cfRule type="expression" dxfId="143" priority="169">
      <formula>IF(AL27&gt;=AM27,IF(AL27="",FALSE,TRUE))</formula>
    </cfRule>
  </conditionalFormatting>
  <conditionalFormatting sqref="AQ30:AQ31">
    <cfRule type="expression" dxfId="142" priority="158">
      <formula>OR(IF(AQ30&lt;AR30,TRUE),IF(AND(AR30="",AQ30&lt;&gt;""),TRUE))</formula>
    </cfRule>
    <cfRule type="expression" dxfId="141" priority="159">
      <formula>IF(AQ30&gt;=AR30,IF(AQ30="",FALSE,TRUE))</formula>
    </cfRule>
  </conditionalFormatting>
  <conditionalFormatting sqref="AS30:AS31">
    <cfRule type="expression" dxfId="140" priority="156">
      <formula>OR(IF(AS30&lt;AT30,TRUE),IF(AND(AT30="",AS30&lt;&gt;""),TRUE))</formula>
    </cfRule>
    <cfRule type="expression" dxfId="139" priority="157">
      <formula>IF(AS30&gt;=AT30,IF(AS30="",FALSE,TRUE))</formula>
    </cfRule>
  </conditionalFormatting>
  <conditionalFormatting sqref="AS32:AS41">
    <cfRule type="expression" dxfId="138" priority="148">
      <formula>OR(IF(AS32&lt;AT32,TRUE),IF(AND(AT32="",AS32&lt;&gt;""),TRUE))</formula>
    </cfRule>
    <cfRule type="expression" dxfId="137" priority="149">
      <formula>IF(AS32&gt;=AT32,IF(AS32="",FALSE,TRUE))</formula>
    </cfRule>
  </conditionalFormatting>
  <conditionalFormatting sqref="AQ27">
    <cfRule type="expression" dxfId="136" priority="154">
      <formula>OR(IF(AQ27&lt;AR27,TRUE),IF(AND(AR27="",AQ27&lt;&gt;""),TRUE))</formula>
    </cfRule>
    <cfRule type="expression" dxfId="135" priority="155">
      <formula>IF(AQ27&gt;=AR27,IF(AQ27="",FALSE,TRUE))</formula>
    </cfRule>
  </conditionalFormatting>
  <conditionalFormatting sqref="AS27">
    <cfRule type="expression" dxfId="134" priority="152">
      <formula>OR(IF(AS27&lt;AT27,TRUE),IF(AND(AT27="",AS27&lt;&gt;""),TRUE))</formula>
    </cfRule>
    <cfRule type="expression" dxfId="133" priority="153">
      <formula>IF(AS27&gt;=AT27,IF(AS27="",FALSE,TRUE))</formula>
    </cfRule>
  </conditionalFormatting>
  <conditionalFormatting sqref="AQ32:AQ41">
    <cfRule type="expression" dxfId="132" priority="150">
      <formula>OR(IF(AQ32&lt;AR32,TRUE),IF(AND(AR32="",AQ32&lt;&gt;""),TRUE))</formula>
    </cfRule>
    <cfRule type="expression" dxfId="131" priority="151">
      <formula>IF(AQ32&gt;=AR32,IF(AQ32="",FALSE,TRUE))</formula>
    </cfRule>
  </conditionalFormatting>
  <conditionalFormatting sqref="AX30:AX31">
    <cfRule type="expression" dxfId="130" priority="142">
      <formula>OR(IF(AX30&lt;AY30,TRUE),IF(AND(AY30="",AX30&lt;&gt;""),TRUE))</formula>
    </cfRule>
    <cfRule type="expression" dxfId="129" priority="143">
      <formula>IF(AX30&gt;=AY30,IF(AX30="",FALSE,TRUE))</formula>
    </cfRule>
  </conditionalFormatting>
  <conditionalFormatting sqref="AZ30:AZ31">
    <cfRule type="expression" dxfId="128" priority="140">
      <formula>OR(IF(AZ30&lt;BA30,TRUE),IF(AND(BA30="",AZ30&lt;&gt;""),TRUE))</formula>
    </cfRule>
    <cfRule type="expression" dxfId="127" priority="141">
      <formula>IF(AZ30&gt;=BA30,IF(AZ30="",FALSE,TRUE))</formula>
    </cfRule>
  </conditionalFormatting>
  <conditionalFormatting sqref="AX27">
    <cfRule type="expression" dxfId="126" priority="138">
      <formula>OR(IF(AX27&lt;AY27,TRUE),IF(AND(AY27="",AX27&lt;&gt;""),TRUE))</formula>
    </cfRule>
    <cfRule type="expression" dxfId="125" priority="139">
      <formula>IF(AX27&gt;=AY27,IF(AX27="",FALSE,TRUE))</formula>
    </cfRule>
  </conditionalFormatting>
  <conditionalFormatting sqref="BG30:BG31">
    <cfRule type="expression" dxfId="124" priority="124">
      <formula>OR(IF(BG30&lt;BH30,TRUE),IF(AND(BH30="",BG30&lt;&gt;""),TRUE))</formula>
    </cfRule>
    <cfRule type="expression" dxfId="123" priority="125">
      <formula>IF(BG30&gt;=BH30,IF(BG30="",FALSE,TRUE))</formula>
    </cfRule>
  </conditionalFormatting>
  <conditionalFormatting sqref="BE27">
    <cfRule type="expression" dxfId="122" priority="122">
      <formula>OR(IF(BE27&lt;BF27,TRUE),IF(AND(BF27="",BE27&lt;&gt;""),TRUE))</formula>
    </cfRule>
    <cfRule type="expression" dxfId="121" priority="123">
      <formula>IF(BE27&gt;=BF27,IF(BE27="",FALSE,TRUE))</formula>
    </cfRule>
  </conditionalFormatting>
  <conditionalFormatting sqref="BG27">
    <cfRule type="expression" dxfId="120" priority="120">
      <formula>OR(IF(BG27&lt;BH27,TRUE),IF(AND(BH27="",BG27&lt;&gt;""),TRUE))</formula>
    </cfRule>
    <cfRule type="expression" dxfId="119" priority="121">
      <formula>IF(BG27&gt;=BH27,IF(BG27="",FALSE,TRUE))</formula>
    </cfRule>
  </conditionalFormatting>
  <conditionalFormatting sqref="BE32:BE41">
    <cfRule type="expression" dxfId="118" priority="118">
      <formula>OR(IF(BE32&lt;BF32,TRUE),IF(AND(BF32="",BE32&lt;&gt;""),TRUE))</formula>
    </cfRule>
    <cfRule type="expression" dxfId="117" priority="119">
      <formula>IF(BE32&gt;=BF32,IF(BE32="",FALSE,TRUE))</formula>
    </cfRule>
  </conditionalFormatting>
  <conditionalFormatting sqref="J31:K41">
    <cfRule type="colorScale" priority="113">
      <colorScale>
        <cfvo type="percent" val="0"/>
        <cfvo type="percent" val="100"/>
        <color rgb="FFFF231B"/>
        <color rgb="FF10FF07"/>
      </colorScale>
    </cfRule>
  </conditionalFormatting>
  <conditionalFormatting sqref="J30:J41">
    <cfRule type="colorScale" priority="112">
      <colorScale>
        <cfvo type="percent" val="0"/>
        <cfvo type="percent" val="100"/>
        <color rgb="FFFF231B"/>
        <color rgb="FF10FF07"/>
      </colorScale>
    </cfRule>
  </conditionalFormatting>
  <conditionalFormatting sqref="K30:K41">
    <cfRule type="colorScale" priority="111">
      <colorScale>
        <cfvo type="percent" val="0"/>
        <cfvo type="percent" val="100"/>
        <color rgb="FFFF231B"/>
        <color rgb="FF10FF07"/>
      </colorScale>
    </cfRule>
  </conditionalFormatting>
  <conditionalFormatting sqref="J20:K27">
    <cfRule type="colorScale" priority="110">
      <colorScale>
        <cfvo type="percent" val="0"/>
        <cfvo type="percent" val="100"/>
        <color rgb="FFFF231B"/>
        <color rgb="FF10FF07"/>
      </colorScale>
    </cfRule>
  </conditionalFormatting>
  <conditionalFormatting sqref="AJ46:AJ55">
    <cfRule type="expression" dxfId="116" priority="78">
      <formula>OR(IF(AJ46&lt;AK46,TRUE),IF(AND(AK46="",AJ46&lt;&gt;""),TRUE))</formula>
    </cfRule>
    <cfRule type="expression" dxfId="115" priority="79">
      <formula>IF(AJ46&gt;=AK46,IF(AJ46="",FALSE,TRUE))</formula>
    </cfRule>
  </conditionalFormatting>
  <conditionalFormatting sqref="AL46:AL55">
    <cfRule type="expression" dxfId="114" priority="76">
      <formula>OR(IF(AL46&lt;AM46,TRUE),IF(AND(AM46="",AL46&lt;&gt;""),TRUE))</formula>
    </cfRule>
    <cfRule type="expression" dxfId="113" priority="77">
      <formula>IF(AL46&gt;=AM46,IF(AL46="",FALSE,TRUE))</formula>
    </cfRule>
  </conditionalFormatting>
  <conditionalFormatting sqref="O44:O45">
    <cfRule type="expression" dxfId="112" priority="106">
      <formula>OR(IF(O44&lt;P44,TRUE),IF(AND(P44="",O44&lt;&gt;""),TRUE))</formula>
    </cfRule>
    <cfRule type="expression" dxfId="111" priority="107">
      <formula>IF(O44&gt;=P44,IF(O44="",FALSE,TRUE))</formula>
    </cfRule>
  </conditionalFormatting>
  <conditionalFormatting sqref="Q44:Q45">
    <cfRule type="expression" dxfId="110" priority="104">
      <formula>OR(IF(Q44&lt;R44,TRUE),IF(AND(R44="",Q44&lt;&gt;""),TRUE))</formula>
    </cfRule>
    <cfRule type="expression" dxfId="109" priority="105">
      <formula>IF(Q44&gt;=R44,IF(Q44="",FALSE,TRUE))</formula>
    </cfRule>
  </conditionalFormatting>
  <conditionalFormatting sqref="AX46:AX55">
    <cfRule type="expression" dxfId="108" priority="62">
      <formula>OR(IF(AX46&lt;AY46,TRUE),IF(AND(AY46="",AX46&lt;&gt;""),TRUE))</formula>
    </cfRule>
    <cfRule type="expression" dxfId="107" priority="63">
      <formula>IF(AX46&gt;=AY46,IF(AX46="",FALSE,TRUE))</formula>
    </cfRule>
  </conditionalFormatting>
  <conditionalFormatting sqref="AZ46:AZ55">
    <cfRule type="expression" dxfId="106" priority="60">
      <formula>OR(IF(AZ46&lt;BA46,TRUE),IF(AND(BA46="",AZ46&lt;&gt;""),TRUE))</formula>
    </cfRule>
    <cfRule type="expression" dxfId="105" priority="61">
      <formula>IF(AZ46&gt;=BA46,IF(AZ46="",FALSE,TRUE))</formula>
    </cfRule>
  </conditionalFormatting>
  <conditionalFormatting sqref="BE44:BE45">
    <cfRule type="expression" dxfId="104" priority="58">
      <formula>OR(IF(BE44&lt;BF44,TRUE),IF(AND(BF44="",BE44&lt;&gt;""),TRUE))</formula>
    </cfRule>
    <cfRule type="expression" dxfId="103" priority="59">
      <formula>IF(BE44&gt;=BF44,IF(BE44="",FALSE,TRUE))</formula>
    </cfRule>
  </conditionalFormatting>
  <conditionalFormatting sqref="Q46:Q55">
    <cfRule type="expression" dxfId="102" priority="100">
      <formula>OR(IF(Q46&lt;R46,TRUE),IF(AND(R46="",Q46&lt;&gt;""),TRUE))</formula>
    </cfRule>
    <cfRule type="expression" dxfId="101" priority="101">
      <formula>IF(Q46&gt;=R46,IF(Q46="",FALSE,TRUE))</formula>
    </cfRule>
  </conditionalFormatting>
  <conditionalFormatting sqref="O46:O55">
    <cfRule type="expression" dxfId="100" priority="102">
      <formula>OR(IF(O46&lt;P46,TRUE),IF(AND(P46="",O46&lt;&gt;""),TRUE))</formula>
    </cfRule>
    <cfRule type="expression" dxfId="99" priority="103">
      <formula>IF(O46&gt;=P46,IF(O46="",FALSE,TRUE))</formula>
    </cfRule>
  </conditionalFormatting>
  <conditionalFormatting sqref="BG46:BG55">
    <cfRule type="expression" dxfId="98" priority="52">
      <formula>OR(IF(BG46&lt;BH46,TRUE),IF(AND(BH46="",BG46&lt;&gt;""),TRUE))</formula>
    </cfRule>
    <cfRule type="expression" dxfId="97" priority="53">
      <formula>IF(BG46&gt;=BH46,IF(BG46="",FALSE,TRUE))</formula>
    </cfRule>
  </conditionalFormatting>
  <conditionalFormatting sqref="V44:V45">
    <cfRule type="expression" dxfId="96" priority="98">
      <formula>OR(IF(V44&lt;W44,TRUE),IF(AND(W44="",V44&lt;&gt;""),TRUE))</formula>
    </cfRule>
    <cfRule type="expression" dxfId="95" priority="99">
      <formula>IF(V44&gt;=W44,IF(V44="",FALSE,TRUE))</formula>
    </cfRule>
  </conditionalFormatting>
  <conditionalFormatting sqref="X44:X45">
    <cfRule type="expression" dxfId="94" priority="96">
      <formula>OR(IF(X44&lt;Y44,TRUE),IF(AND(Y44="",X44&lt;&gt;""),TRUE))</formula>
    </cfRule>
    <cfRule type="expression" dxfId="93" priority="97">
      <formula>IF(X44&gt;=Y44,IF(X44="",FALSE,TRUE))</formula>
    </cfRule>
  </conditionalFormatting>
  <conditionalFormatting sqref="X46:X55">
    <cfRule type="expression" dxfId="92" priority="92">
      <formula>OR(IF(X46&lt;Y46,TRUE),IF(AND(Y46="",X46&lt;&gt;""),TRUE))</formula>
    </cfRule>
    <cfRule type="expression" dxfId="91" priority="93">
      <formula>IF(X46&gt;=Y46,IF(X46="",FALSE,TRUE))</formula>
    </cfRule>
  </conditionalFormatting>
  <conditionalFormatting sqref="V46:V55">
    <cfRule type="expression" dxfId="90" priority="94">
      <formula>OR(IF(V46&lt;W46,TRUE),IF(AND(W46="",V46&lt;&gt;""),TRUE))</formula>
    </cfRule>
    <cfRule type="expression" dxfId="89" priority="95">
      <formula>IF(V46&gt;=W46,IF(V46="",FALSE,TRUE))</formula>
    </cfRule>
  </conditionalFormatting>
  <conditionalFormatting sqref="AC44:AC45">
    <cfRule type="expression" dxfId="88" priority="90">
      <formula>OR(IF(AC44&lt;AD44,TRUE),IF(AND(AD44="",AC44&lt;&gt;""),TRUE))</formula>
    </cfRule>
    <cfRule type="expression" dxfId="87" priority="91">
      <formula>IF(AC44&gt;=AD44,IF(AC44="",FALSE,TRUE))</formula>
    </cfRule>
  </conditionalFormatting>
  <conditionalFormatting sqref="AE44:AE45">
    <cfRule type="expression" dxfId="86" priority="88">
      <formula>OR(IF(AE44&lt;AF44,TRUE),IF(AND(AF44="",AE44&lt;&gt;""),TRUE))</formula>
    </cfRule>
    <cfRule type="expression" dxfId="85" priority="89">
      <formula>IF(AE44&gt;=AF44,IF(AE44="",FALSE,TRUE))</formula>
    </cfRule>
  </conditionalFormatting>
  <conditionalFormatting sqref="AE46:AE55">
    <cfRule type="expression" dxfId="84" priority="84">
      <formula>OR(IF(AE46&lt;AF46,TRUE),IF(AND(AF46="",AE46&lt;&gt;""),TRUE))</formula>
    </cfRule>
    <cfRule type="expression" dxfId="83" priority="85">
      <formula>IF(AE46&gt;=AF46,IF(AE46="",FALSE,TRUE))</formula>
    </cfRule>
  </conditionalFormatting>
  <conditionalFormatting sqref="AC46:AC55">
    <cfRule type="expression" dxfId="82" priority="86">
      <formula>OR(IF(AC46&lt;AD46,TRUE),IF(AND(AD46="",AC46&lt;&gt;""),TRUE))</formula>
    </cfRule>
    <cfRule type="expression" dxfId="81" priority="87">
      <formula>IF(AC46&gt;=AD46,IF(AC46="",FALSE,TRUE))</formula>
    </cfRule>
  </conditionalFormatting>
  <conditionalFormatting sqref="AJ44:AJ45">
    <cfRule type="expression" dxfId="80" priority="82">
      <formula>OR(IF(AJ44&lt;AK44,TRUE),IF(AND(AK44="",AJ44&lt;&gt;""),TRUE))</formula>
    </cfRule>
    <cfRule type="expression" dxfId="79" priority="83">
      <formula>IF(AJ44&gt;=AK44,IF(AJ44="",FALSE,TRUE))</formula>
    </cfRule>
  </conditionalFormatting>
  <conditionalFormatting sqref="AL44:AL45">
    <cfRule type="expression" dxfId="78" priority="80">
      <formula>OR(IF(AL44&lt;AM44,TRUE),IF(AND(AM44="",AL44&lt;&gt;""),TRUE))</formula>
    </cfRule>
    <cfRule type="expression" dxfId="77" priority="81">
      <formula>IF(AL44&gt;=AM44,IF(AL44="",FALSE,TRUE))</formula>
    </cfRule>
  </conditionalFormatting>
  <conditionalFormatting sqref="AQ44:AQ45">
    <cfRule type="expression" dxfId="76" priority="74">
      <formula>OR(IF(AQ44&lt;AR44,TRUE),IF(AND(AR44="",AQ44&lt;&gt;""),TRUE))</formula>
    </cfRule>
    <cfRule type="expression" dxfId="75" priority="75">
      <formula>IF(AQ44&gt;=AR44,IF(AQ44="",FALSE,TRUE))</formula>
    </cfRule>
  </conditionalFormatting>
  <conditionalFormatting sqref="AS44:AS45">
    <cfRule type="expression" dxfId="74" priority="72">
      <formula>OR(IF(AS44&lt;AT44,TRUE),IF(AND(AT44="",AS44&lt;&gt;""),TRUE))</formula>
    </cfRule>
    <cfRule type="expression" dxfId="73" priority="73">
      <formula>IF(AS44&gt;=AT44,IF(AS44="",FALSE,TRUE))</formula>
    </cfRule>
  </conditionalFormatting>
  <conditionalFormatting sqref="AS46:AS55">
    <cfRule type="expression" dxfId="72" priority="68">
      <formula>OR(IF(AS46&lt;AT46,TRUE),IF(AND(AT46="",AS46&lt;&gt;""),TRUE))</formula>
    </cfRule>
    <cfRule type="expression" dxfId="71" priority="69">
      <formula>IF(AS46&gt;=AT46,IF(AS46="",FALSE,TRUE))</formula>
    </cfRule>
  </conditionalFormatting>
  <conditionalFormatting sqref="AQ46:AQ55">
    <cfRule type="expression" dxfId="70" priority="70">
      <formula>OR(IF(AQ46&lt;AR46,TRUE),IF(AND(AR46="",AQ46&lt;&gt;""),TRUE))</formula>
    </cfRule>
    <cfRule type="expression" dxfId="69" priority="71">
      <formula>IF(AQ46&gt;=AR46,IF(AQ46="",FALSE,TRUE))</formula>
    </cfRule>
  </conditionalFormatting>
  <conditionalFormatting sqref="AX44:AX45">
    <cfRule type="expression" dxfId="68" priority="66">
      <formula>OR(IF(AX44&lt;AY44,TRUE),IF(AND(AY44="",AX44&lt;&gt;""),TRUE))</formula>
    </cfRule>
    <cfRule type="expression" dxfId="67" priority="67">
      <formula>IF(AX44&gt;=AY44,IF(AX44="",FALSE,TRUE))</formula>
    </cfRule>
  </conditionalFormatting>
  <conditionalFormatting sqref="AZ44:AZ45">
    <cfRule type="expression" dxfId="66" priority="64">
      <formula>OR(IF(AZ44&lt;BA44,TRUE),IF(AND(BA44="",AZ44&lt;&gt;""),TRUE))</formula>
    </cfRule>
    <cfRule type="expression" dxfId="65" priority="65">
      <formula>IF(AZ44&gt;=BA44,IF(AZ44="",FALSE,TRUE))</formula>
    </cfRule>
  </conditionalFormatting>
  <conditionalFormatting sqref="BG44:BG45">
    <cfRule type="expression" dxfId="64" priority="56">
      <formula>OR(IF(BG44&lt;BH44,TRUE),IF(AND(BH44="",BG44&lt;&gt;""),TRUE))</formula>
    </cfRule>
    <cfRule type="expression" dxfId="63" priority="57">
      <formula>IF(BG44&gt;=BH44,IF(BG44="",FALSE,TRUE))</formula>
    </cfRule>
  </conditionalFormatting>
  <conditionalFormatting sqref="BE46:BE55">
    <cfRule type="expression" dxfId="62" priority="54">
      <formula>OR(IF(BE46&lt;BF46,TRUE),IF(AND(BF46="",BE46&lt;&gt;""),TRUE))</formula>
    </cfRule>
    <cfRule type="expression" dxfId="61" priority="55">
      <formula>IF(BE46&gt;=BF46,IF(BE46="",FALSE,TRUE))</formula>
    </cfRule>
  </conditionalFormatting>
  <conditionalFormatting sqref="J45:K55">
    <cfRule type="colorScale" priority="51">
      <colorScale>
        <cfvo type="percent" val="0"/>
        <cfvo type="percent" val="100"/>
        <color rgb="FFFF231B"/>
        <color rgb="FF10FF07"/>
      </colorScale>
    </cfRule>
  </conditionalFormatting>
  <conditionalFormatting sqref="J44:J55">
    <cfRule type="colorScale" priority="50">
      <colorScale>
        <cfvo type="percent" val="0"/>
        <cfvo type="percent" val="100"/>
        <color rgb="FFFF231B"/>
        <color rgb="FF10FF07"/>
      </colorScale>
    </cfRule>
  </conditionalFormatting>
  <conditionalFormatting sqref="K44:K55">
    <cfRule type="colorScale" priority="49">
      <colorScale>
        <cfvo type="percent" val="0"/>
        <cfvo type="percent" val="100"/>
        <color rgb="FFFF231B"/>
        <color rgb="FF10FF07"/>
      </colorScale>
    </cfRule>
  </conditionalFormatting>
  <conditionalFormatting sqref="BM30:BM31">
    <cfRule type="expression" dxfId="60" priority="43">
      <formula>OR(IF(BM30&lt;BN30,TRUE),IF(AND(BN30="",BM30&lt;&gt;""),TRUE))</formula>
    </cfRule>
    <cfRule type="expression" dxfId="59" priority="44">
      <formula>IF(BM30&gt;=BN30,IF(BM30="",FALSE,TRUE))</formula>
    </cfRule>
  </conditionalFormatting>
  <conditionalFormatting sqref="BO32:BO41">
    <cfRule type="expression" dxfId="58" priority="33">
      <formula>OR(IF(BO32&lt;BP32,TRUE),IF(AND(BP32="",BO32&lt;&gt;""),TRUE))</formula>
    </cfRule>
    <cfRule type="expression" dxfId="57" priority="34">
      <formula>IF(BO32&gt;=BP32,IF(BO32="",FALSE,TRUE))</formula>
    </cfRule>
  </conditionalFormatting>
  <conditionalFormatting sqref="BO30:BO31">
    <cfRule type="expression" dxfId="56" priority="41">
      <formula>OR(IF(BO30&lt;BP30,TRUE),IF(AND(BP30="",BO30&lt;&gt;""),TRUE))</formula>
    </cfRule>
    <cfRule type="expression" dxfId="55" priority="42">
      <formula>IF(BO30&gt;=BP30,IF(BO30="",FALSE,TRUE))</formula>
    </cfRule>
  </conditionalFormatting>
  <conditionalFormatting sqref="BM27">
    <cfRule type="expression" dxfId="54" priority="39">
      <formula>OR(IF(BM27&lt;BN27,TRUE),IF(AND(BN27="",BM27&lt;&gt;""),TRUE))</formula>
    </cfRule>
    <cfRule type="expression" dxfId="53" priority="40">
      <formula>IF(BM27&gt;=BN27,IF(BM27="",FALSE,TRUE))</formula>
    </cfRule>
  </conditionalFormatting>
  <conditionalFormatting sqref="BO27">
    <cfRule type="expression" dxfId="52" priority="37">
      <formula>OR(IF(BO27&lt;BP27,TRUE),IF(AND(BP27="",BO27&lt;&gt;""),TRUE))</formula>
    </cfRule>
    <cfRule type="expression" dxfId="51" priority="38">
      <formula>IF(BO27&gt;=BP27,IF(BO27="",FALSE,TRUE))</formula>
    </cfRule>
  </conditionalFormatting>
  <conditionalFormatting sqref="BM32:BM41">
    <cfRule type="expression" dxfId="50" priority="35">
      <formula>OR(IF(BM32&lt;BN32,TRUE),IF(AND(BN32="",BM32&lt;&gt;""),TRUE))</formula>
    </cfRule>
    <cfRule type="expression" dxfId="49" priority="36">
      <formula>IF(BM32&gt;=BN32,IF(BM32="",FALSE,TRUE))</formula>
    </cfRule>
  </conditionalFormatting>
  <conditionalFormatting sqref="BM44:BM45">
    <cfRule type="expression" dxfId="48" priority="31">
      <formula>OR(IF(BM44&lt;BN44,TRUE),IF(AND(BN44="",BM44&lt;&gt;""),TRUE))</formula>
    </cfRule>
    <cfRule type="expression" dxfId="47" priority="32">
      <formula>IF(BM44&gt;=BN44,IF(BM44="",FALSE,TRUE))</formula>
    </cfRule>
  </conditionalFormatting>
  <conditionalFormatting sqref="BO46:BO55">
    <cfRule type="expression" dxfId="46" priority="25">
      <formula>OR(IF(BO46&lt;BP46,TRUE),IF(AND(BP46="",BO46&lt;&gt;""),TRUE))</formula>
    </cfRule>
    <cfRule type="expression" dxfId="45" priority="26">
      <formula>IF(BO46&gt;=BP46,IF(BO46="",FALSE,TRUE))</formula>
    </cfRule>
  </conditionalFormatting>
  <conditionalFormatting sqref="BO44:BO45">
    <cfRule type="expression" dxfId="44" priority="29">
      <formula>OR(IF(BO44&lt;BP44,TRUE),IF(AND(BP44="",BO44&lt;&gt;""),TRUE))</formula>
    </cfRule>
    <cfRule type="expression" dxfId="43" priority="30">
      <formula>IF(BO44&gt;=BP44,IF(BO44="",FALSE,TRUE))</formula>
    </cfRule>
  </conditionalFormatting>
  <conditionalFormatting sqref="BM46:BM55">
    <cfRule type="expression" dxfId="42" priority="27">
      <formula>OR(IF(BM46&lt;BN46,TRUE),IF(AND(BN46="",BM46&lt;&gt;""),TRUE))</formula>
    </cfRule>
    <cfRule type="expression" dxfId="41" priority="28">
      <formula>IF(BM46&gt;=BN46,IF(BM46="",FALSE,TRUE))</formula>
    </cfRule>
  </conditionalFormatting>
  <conditionalFormatting sqref="BU30:BU31">
    <cfRule type="expression" dxfId="40" priority="19">
      <formula>OR(IF(BU30&lt;BV30,TRUE),IF(AND(BV30="",BU30&lt;&gt;""),TRUE))</formula>
    </cfRule>
    <cfRule type="expression" dxfId="39" priority="20">
      <formula>IF(BU30&gt;=BV30,IF(BU30="",FALSE,TRUE))</formula>
    </cfRule>
  </conditionalFormatting>
  <conditionalFormatting sqref="BW32:BW41">
    <cfRule type="expression" dxfId="38" priority="9">
      <formula>OR(IF(BW32&lt;BX32,TRUE),IF(AND(BX32="",BW32&lt;&gt;""),TRUE))</formula>
    </cfRule>
    <cfRule type="expression" dxfId="37" priority="10">
      <formula>IF(BW32&gt;=BX32,IF(BW32="",FALSE,TRUE))</formula>
    </cfRule>
  </conditionalFormatting>
  <conditionalFormatting sqref="BW30:BW31">
    <cfRule type="expression" dxfId="36" priority="17">
      <formula>OR(IF(BW30&lt;BX30,TRUE),IF(AND(BX30="",BW30&lt;&gt;""),TRUE))</formula>
    </cfRule>
    <cfRule type="expression" dxfId="35" priority="18">
      <formula>IF(BW30&gt;=BX30,IF(BW30="",FALSE,TRUE))</formula>
    </cfRule>
  </conditionalFormatting>
  <conditionalFormatting sqref="BU27">
    <cfRule type="expression" dxfId="34" priority="15">
      <formula>OR(IF(BU27&lt;BV27,TRUE),IF(AND(BV27="",BU27&lt;&gt;""),TRUE))</formula>
    </cfRule>
    <cfRule type="expression" dxfId="33" priority="16">
      <formula>IF(BU27&gt;=BV27,IF(BU27="",FALSE,TRUE))</formula>
    </cfRule>
  </conditionalFormatting>
  <conditionalFormatting sqref="BU32:BU41">
    <cfRule type="expression" dxfId="32" priority="11">
      <formula>OR(IF(BU32&lt;BV32,TRUE),IF(AND(BV32="",BU32&lt;&gt;""),TRUE))</formula>
    </cfRule>
    <cfRule type="expression" dxfId="31" priority="12">
      <formula>IF(BU32&gt;=BV32,IF(BU32="",FALSE,TRUE))</formula>
    </cfRule>
  </conditionalFormatting>
  <conditionalFormatting sqref="BU44:BU45">
    <cfRule type="expression" dxfId="30" priority="7">
      <formula>OR(IF(BU44&lt;BV44,TRUE),IF(AND(BV44="",BU44&lt;&gt;""),TRUE))</formula>
    </cfRule>
    <cfRule type="expression" dxfId="29" priority="8">
      <formula>IF(BU44&gt;=BV44,IF(BU44="",FALSE,TRUE))</formula>
    </cfRule>
  </conditionalFormatting>
  <conditionalFormatting sqref="BW46:BW55">
    <cfRule type="expression" dxfId="28" priority="1">
      <formula>OR(IF(BW46&lt;BX46,TRUE),IF(AND(BX46="",BW46&lt;&gt;""),TRUE))</formula>
    </cfRule>
    <cfRule type="expression" dxfId="27" priority="2">
      <formula>IF(BW46&gt;=BX46,IF(BW46="",FALSE,TRUE))</formula>
    </cfRule>
  </conditionalFormatting>
  <conditionalFormatting sqref="BW44:BW45">
    <cfRule type="expression" dxfId="26" priority="5">
      <formula>OR(IF(BW44&lt;BX44,TRUE),IF(AND(BX44="",BW44&lt;&gt;""),TRUE))</formula>
    </cfRule>
    <cfRule type="expression" dxfId="25" priority="6">
      <formula>IF(BW44&gt;=BX44,IF(BW44="",FALSE,TRUE))</formula>
    </cfRule>
  </conditionalFormatting>
  <conditionalFormatting sqref="BU46:BU55">
    <cfRule type="expression" dxfId="24" priority="3">
      <formula>OR(IF(BU46&lt;BV46,TRUE),IF(AND(BV46="",BU46&lt;&gt;""),TRUE))</formula>
    </cfRule>
    <cfRule type="expression" dxfId="23" priority="4">
      <formula>IF(BU46&gt;=BV46,IF(BU46="",FALSE,TRUE))</formula>
    </cfRule>
  </conditionalFormatting>
  <conditionalFormatting sqref="J6:K17">
    <cfRule type="colorScale" priority="961">
      <colorScale>
        <cfvo type="percent" val="0"/>
        <cfvo type="percent" val="100"/>
        <color rgb="FFFF231B"/>
        <color rgb="FF10FF07"/>
      </colorScale>
    </cfRule>
  </conditionalFormatting>
  <conditionalFormatting sqref="J5:J17">
    <cfRule type="colorScale" priority="962">
      <colorScale>
        <cfvo type="percent" val="0"/>
        <cfvo type="percent" val="100"/>
        <color rgb="FFFF231B"/>
        <color rgb="FF10FF07"/>
      </colorScale>
    </cfRule>
  </conditionalFormatting>
  <conditionalFormatting sqref="K5:K17">
    <cfRule type="colorScale" priority="963">
      <colorScale>
        <cfvo type="percent" val="0"/>
        <cfvo type="percent" val="100"/>
        <color rgb="FFFF231B"/>
        <color rgb="FF10FF07"/>
      </colorScale>
    </cfRule>
  </conditionalFormatting>
  <conditionalFormatting sqref="BU7">
    <cfRule type="expression" dxfId="22" priority="966">
      <formula>OR(IF(BU7&lt;BV6,TRUE),IF(AND(BV6="",BU7&lt;&gt;""),TRUE))</formula>
    </cfRule>
    <cfRule type="expression" dxfId="21" priority="967">
      <formula>IF(BU7&gt;=BV6,IF(BU7="",FALSE,TRUE))</formula>
    </cfRule>
  </conditionalFormatting>
  <conditionalFormatting sqref="BU6">
    <cfRule type="expression" dxfId="20" priority="968">
      <formula>OR(IF(BU6&lt;#REF!,TRUE),IF(AND(#REF!="",BU6&lt;&gt;""),TRUE))</formula>
    </cfRule>
    <cfRule type="expression" dxfId="19" priority="969">
      <formula>IF(BU6&gt;=#REF!,IF(BU6="",FALSE,TRUE))</formula>
    </cfRule>
  </conditionalFormatting>
  <conditionalFormatting sqref="J20:J27">
    <cfRule type="colorScale" priority="998">
      <colorScale>
        <cfvo type="percent" val="0"/>
        <cfvo type="percent" val="100"/>
        <color rgb="FFFF231B"/>
        <color rgb="FF10FF07"/>
      </colorScale>
    </cfRule>
  </conditionalFormatting>
  <conditionalFormatting sqref="K20:K27">
    <cfRule type="colorScale" priority="999">
      <colorScale>
        <cfvo type="percent" val="0"/>
        <cfvo type="percent" val="100"/>
        <color rgb="FFFF231B"/>
        <color rgb="FF10FF07"/>
      </colorScale>
    </cfRule>
  </conditionalFormatting>
  <conditionalFormatting sqref="AJ12:AJ14">
    <cfRule type="expression" dxfId="18" priority="1004">
      <formula>OR(IF(AJ12&lt;#REF!,TRUE),IF(AND(#REF!="",AJ12&lt;&gt;""),TRUE))</formula>
    </cfRule>
    <cfRule type="expression" dxfId="17" priority="1005">
      <formula>IF(AJ12&gt;=#REF!,IF(AJ12="",FALSE,TRUE))</formula>
    </cfRule>
  </conditionalFormatting>
  <dataValidations count="1">
    <dataValidation type="list" allowBlank="1" showInputMessage="1" showErrorMessage="1" sqref="V30:Y41 AC30:AF41 AJ30:AM41 AQ30:AT41 BE30:BH41 AX30:BA41 O30:R41 V44:Y55 AC44:AF55 AJ44:AM55 AQ44:AT55 BE44:BH55 AX44:BA55 O44:R55 BM30:BP41 BM44:BP55 BU30:BX41 BU5:BX17 BU44:BX55 BM5:BP17 O5:R17 AX20:BA27 BE5:BH17 O20:R27 AQ5:AT17 V5:Y17 BU20:BX27 AC20:AF27 BE20:BH27 V20:Y27 AC5:AF17 BM20:BP27 AJ20:AM27 AQ20:AT27 AX5:BA17 AJ5:AM1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42</v>
      </c>
      <c r="B1" s="17" t="s">
        <v>39</v>
      </c>
      <c r="C1" s="17" t="s">
        <v>40</v>
      </c>
      <c r="D1" s="17" t="s">
        <v>41</v>
      </c>
      <c r="E1" s="1" t="s">
        <v>43</v>
      </c>
      <c r="F1" s="1" t="s">
        <v>44</v>
      </c>
      <c r="G1" s="1" t="s">
        <v>45</v>
      </c>
      <c r="H1" s="1" t="s">
        <v>46</v>
      </c>
      <c r="I1" s="1" t="s">
        <v>47</v>
      </c>
      <c r="J1" s="1" t="s">
        <v>48</v>
      </c>
      <c r="K1" s="1" t="s">
        <v>49</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6" zoomScale="117" workbookViewId="0">
      <selection activeCell="I41" sqref="I41"/>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D18" sqref="D18"/>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7578-D4A3-420C-A933-5B588B728766}">
  <dimension ref="A1:H47"/>
  <sheetViews>
    <sheetView workbookViewId="0">
      <selection activeCell="I22" sqref="I22"/>
    </sheetView>
  </sheetViews>
  <sheetFormatPr baseColWidth="10"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5697-0658-45C8-BA95-5DDDBA681C4B}">
  <dimension ref="A1:H47"/>
  <sheetViews>
    <sheetView workbookViewId="0">
      <selection activeCell="J19" sqref="J19"/>
    </sheetView>
  </sheetViews>
  <sheetFormatPr baseColWidth="10"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F6BEF-DB03-45BE-BA09-8B52646C08E2}">
  <dimension ref="A1:H47"/>
  <sheetViews>
    <sheetView workbookViewId="0">
      <selection activeCell="J17" sqref="J17"/>
    </sheetView>
  </sheetViews>
  <sheetFormatPr baseColWidth="10"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A05C-9612-4DD3-A614-28CBE6CDBCF8}">
  <dimension ref="A1:H47"/>
  <sheetViews>
    <sheetView workbookViewId="0">
      <selection activeCell="I16" sqref="I16"/>
    </sheetView>
  </sheetViews>
  <sheetFormatPr baseColWidth="10"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FAE8E-E444-4FD4-963D-C3567625B4AE}">
  <dimension ref="A1:H47"/>
  <sheetViews>
    <sheetView workbookViewId="0">
      <selection activeCell="I18" sqref="I18"/>
    </sheetView>
  </sheetViews>
  <sheetFormatPr baseColWidth="10"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347BD-E5C8-40C8-9EE0-CC6B2EA2B641}">
  <dimension ref="A1:H47"/>
  <sheetViews>
    <sheetView workbookViewId="0">
      <selection activeCell="I16" sqref="I16"/>
    </sheetView>
  </sheetViews>
  <sheetFormatPr baseColWidth="10"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Anleitung</vt:lpstr>
      <vt:lpstr>Semesterplan</vt:lpstr>
      <vt:lpstr>COMMITTMENT</vt:lpstr>
      <vt:lpstr>Wochenplan KW 33</vt:lpstr>
      <vt:lpstr>Wochenplan KW 34</vt:lpstr>
      <vt:lpstr>Wochenplan KW 35</vt:lpstr>
      <vt:lpstr>Wochenplan KW 36</vt:lpstr>
      <vt:lpstr>Wochenplan KW 37</vt:lpstr>
      <vt:lpstr>Wochenplan KW 38</vt:lpstr>
      <vt:lpstr>Wochenplan KW 39</vt:lpstr>
      <vt:lpstr>Wochenplan KW 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Admin</cp:lastModifiedBy>
  <dcterms:created xsi:type="dcterms:W3CDTF">2020-04-19T13:33:28Z</dcterms:created>
  <dcterms:modified xsi:type="dcterms:W3CDTF">2022-08-14T18:27:19Z</dcterms:modified>
</cp:coreProperties>
</file>