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5"/>
  <workbookPr defaultThemeVersion="166925"/>
  <mc:AlternateContent xmlns:mc="http://schemas.openxmlformats.org/markup-compatibility/2006">
    <mc:Choice Requires="x15">
      <x15ac:absPath xmlns:x15ac="http://schemas.microsoft.com/office/spreadsheetml/2010/11/ac" url="/Users/daviddobele/Downloads/"/>
    </mc:Choice>
  </mc:AlternateContent>
  <xr:revisionPtr revIDLastSave="0" documentId="8_{6C79FD1C-02BF-1B4E-8AD5-D9BBF52BD1B1}" xr6:coauthVersionLast="47" xr6:coauthVersionMax="47" xr10:uidLastSave="{00000000-0000-0000-0000-000000000000}"/>
  <bookViews>
    <workbookView xWindow="0" yWindow="500" windowWidth="35840" windowHeight="2190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7" l="1" a="1"/>
  <c r="K5" i="7"/>
  <c r="L5" i="7" a="1"/>
  <c r="L5" i="7"/>
  <c r="K6" i="7" a="1"/>
  <c r="K6" i="7"/>
  <c r="L6" i="7" a="1"/>
  <c r="L6" i="7"/>
  <c r="K7" i="7" a="1"/>
  <c r="K7" i="7"/>
  <c r="L7" i="7" a="1"/>
  <c r="L7" i="7"/>
  <c r="K8" i="7" a="1"/>
  <c r="K8" i="7"/>
  <c r="L8" i="7" a="1"/>
  <c r="L8" i="7"/>
  <c r="K9" i="7" a="1"/>
  <c r="K9" i="7"/>
  <c r="L9" i="7" a="1"/>
  <c r="L9" i="7"/>
  <c r="K10" i="7" a="1"/>
  <c r="K10" i="7"/>
  <c r="L10" i="7" a="1"/>
  <c r="L10" i="7"/>
  <c r="K19" i="7" a="1"/>
  <c r="K19" i="7"/>
  <c r="L19" i="7" a="1"/>
  <c r="L19" i="7"/>
  <c r="K20" i="7" a="1"/>
  <c r="K20" i="7"/>
  <c r="L20" i="7" a="1"/>
  <c r="L20" i="7"/>
  <c r="K21" i="7" a="1"/>
  <c r="K21" i="7"/>
  <c r="L21" i="7" a="1"/>
  <c r="L21" i="7"/>
  <c r="K22" i="7" a="1"/>
  <c r="K22" i="7"/>
  <c r="L22" i="7" a="1"/>
  <c r="L22" i="7"/>
  <c r="K25" i="7" a="1"/>
  <c r="K25" i="7"/>
  <c r="L25" i="7" a="1"/>
  <c r="L25" i="7"/>
  <c r="K26" i="7" a="1"/>
  <c r="K26" i="7"/>
  <c r="L26" i="7" a="1"/>
  <c r="L26" i="7"/>
  <c r="K27" i="7" a="1"/>
  <c r="K27" i="7"/>
  <c r="L27" i="7" a="1"/>
  <c r="L27" i="7"/>
  <c r="K28" i="7" a="1"/>
  <c r="K28" i="7"/>
  <c r="L28" i="7" a="1"/>
  <c r="L28" i="7"/>
  <c r="K29" i="7" a="1"/>
  <c r="K29" i="7"/>
  <c r="L29" i="7" a="1"/>
  <c r="L29" i="7"/>
  <c r="K30" i="7" a="1"/>
  <c r="K30" i="7"/>
  <c r="L30" i="7" a="1"/>
  <c r="L30" i="7"/>
  <c r="K31" i="7" a="1"/>
  <c r="K31" i="7"/>
  <c r="L31" i="7" a="1"/>
  <c r="L31" i="7"/>
  <c r="K32" i="7" a="1"/>
  <c r="K32" i="7"/>
  <c r="L32" i="7" a="1"/>
  <c r="L32" i="7"/>
  <c r="K33" i="7" a="1"/>
  <c r="K33" i="7"/>
  <c r="L33" i="7" a="1"/>
  <c r="L33" i="7"/>
  <c r="K34" i="7" a="1"/>
  <c r="K34" i="7"/>
  <c r="L34" i="7" a="1"/>
  <c r="L34" i="7"/>
  <c r="K35" i="7" a="1"/>
  <c r="K35" i="7"/>
  <c r="L35" i="7" a="1"/>
  <c r="L35" i="7"/>
  <c r="K36" i="7" a="1"/>
  <c r="K36" i="7"/>
  <c r="L36" i="7" a="1"/>
  <c r="L36" i="7"/>
  <c r="K37" i="7" a="1"/>
  <c r="K37" i="7"/>
  <c r="L37" i="7" a="1"/>
  <c r="L37" i="7"/>
  <c r="K38" i="7" a="1"/>
  <c r="K38" i="7"/>
  <c r="L38" i="7" a="1"/>
  <c r="L38" i="7"/>
  <c r="K39" i="7" a="1"/>
  <c r="K39" i="7"/>
  <c r="L39" i="7" a="1"/>
  <c r="L39" i="7"/>
  <c r="K40" i="7" a="1"/>
  <c r="K40" i="7"/>
  <c r="L40" i="7" a="1"/>
  <c r="L40" i="7"/>
  <c r="K41" i="7" a="1"/>
  <c r="K41" i="7"/>
  <c r="L41" i="7" a="1"/>
  <c r="L41" i="7"/>
  <c r="K44" i="7" a="1"/>
  <c r="K44" i="7"/>
  <c r="L44" i="7" a="1"/>
  <c r="L44" i="7"/>
  <c r="K45" i="7" a="1"/>
  <c r="K45" i="7"/>
  <c r="L45" i="7" a="1"/>
  <c r="L45" i="7"/>
  <c r="K46" i="7" a="1"/>
  <c r="K46" i="7"/>
  <c r="L46" i="7" a="1"/>
  <c r="L46" i="7"/>
  <c r="K47" i="7" a="1"/>
  <c r="K47" i="7"/>
  <c r="L47" i="7" a="1"/>
  <c r="L47" i="7"/>
  <c r="H49" i="7"/>
  <c r="H24" i="7"/>
  <c r="H16" i="7"/>
  <c r="H43" i="7"/>
  <c r="C11" i="10"/>
  <c r="DB4" i="7"/>
  <c r="CU4" i="7"/>
  <c r="CN4" i="7"/>
  <c r="CG4" i="7"/>
  <c r="BZ4" i="7"/>
  <c r="BS4" i="7"/>
  <c r="C7" i="10"/>
  <c r="J47" i="7"/>
  <c r="J46" i="7"/>
  <c r="J45" i="7"/>
  <c r="J44" i="7"/>
  <c r="AQ43" i="7"/>
  <c r="AJ43" i="7"/>
  <c r="AC43" i="7"/>
  <c r="V43" i="7"/>
  <c r="O43" i="7"/>
  <c r="J41" i="7"/>
  <c r="J40" i="7"/>
  <c r="J39" i="7"/>
  <c r="J38" i="7"/>
  <c r="J37" i="7"/>
  <c r="J36" i="7"/>
  <c r="BL4" i="7"/>
  <c r="C12" i="10"/>
  <c r="AQ16" i="7"/>
  <c r="AJ16" i="7"/>
  <c r="AC16" i="7"/>
  <c r="V16" i="7"/>
  <c r="BE4" i="7"/>
  <c r="AX4" i="7"/>
  <c r="AQ4" i="7"/>
  <c r="AJ4" i="7"/>
  <c r="AC4" i="7"/>
  <c r="V4" i="7"/>
  <c r="AQ24" i="7"/>
  <c r="AJ24" i="7"/>
  <c r="AC24" i="7"/>
  <c r="V24" i="7"/>
  <c r="J35" i="7"/>
  <c r="J34" i="7"/>
  <c r="J33" i="7"/>
  <c r="J32" i="7"/>
  <c r="J31" i="7"/>
  <c r="J30" i="7"/>
  <c r="J29" i="7"/>
  <c r="J28" i="7"/>
  <c r="J27" i="7"/>
  <c r="J26" i="7"/>
  <c r="J25" i="7"/>
  <c r="J22" i="7"/>
  <c r="J21" i="7"/>
  <c r="J20" i="7"/>
  <c r="J10" i="7"/>
  <c r="O24" i="7"/>
  <c r="J43" i="7"/>
  <c r="J24" i="7"/>
  <c r="J16" i="7"/>
  <c r="K4" i="7"/>
  <c r="L4" i="7"/>
  <c r="L43" i="7"/>
  <c r="K43" i="7"/>
  <c r="L24" i="7"/>
  <c r="K24" i="7"/>
  <c r="L16" i="7"/>
  <c r="K16"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<sst xmlns="http://schemas.openxmlformats.org/spreadsheetml/2006/main" count="327" uniqueCount="148">
  <si>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</si>
  <si>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</si>
  <si>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</si>
  <si>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</si>
  <si>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</si>
  <si>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</si>
  <si>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</si>
  <si>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</si>
  <si>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</si>
  <si>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</si>
  <si>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</si>
  <si>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</si>
  <si>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</si>
  <si>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</si>
  <si>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</si>
  <si>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</si>
  <si>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</si>
  <si>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</si>
  <si>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</si>
  <si>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</si>
  <si>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</si>
  <si>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</si>
  <si>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</si>
  <si>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</si>
  <si>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</si>
  <si>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</si>
  <si>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</si>
  <si>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</si>
  <si>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</si>
  <si>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</si>
  <si>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</si>
  <si>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</si>
  <si>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</si>
  <si>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</si>
  <si>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</si>
  <si>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</si>
  <si>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</si>
  <si>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</si>
  <si>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</si>
  <si>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</si>
  <si>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</si>
  <si>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</si>
  <si>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</si>
  <si>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</si>
  <si>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</si>
  <si>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</si>
  <si>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</si>
  <si>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</si>
  <si>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</si>
  <si>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</si>
  <si>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</si>
  <si>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</si>
  <si>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</si>
  <si>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</si>
  <si>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</si>
  <si>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</si>
  <si>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</si>
  <si>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</si>
  <si>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</si>
  <si>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</si>
  <si>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</si>
  <si>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</si>
  <si>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</si>
  <si>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</si>
  <si>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</si>
  <si>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</si>
  <si>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</si>
  <si>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</si>
  <si>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</si>
  <si>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</si>
  <si>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</si>
  <si>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</si>
  <si>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</si>
  <si>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</si>
  <si>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</si>
  <si>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</si>
  <si>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</si>
  <si>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</si>
  <si>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</si>
  <si>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</si>
  <si>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</si>
  <si>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</si>
  <si>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</si>
  <si>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</si>
  <si>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</si>
  <si>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</si>
  <si>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</si>
  <si>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Finance</t>
  </si>
  <si>
    <t>1) Unternehmensfinanzierung- was ist das?</t>
  </si>
  <si>
    <t>2) Geld und Zeit</t>
  </si>
  <si>
    <t>3) Bewertung von Anleihen</t>
  </si>
  <si>
    <t>3) Bewertung von Aktien</t>
  </si>
  <si>
    <t>5) Investitionsentscheidungsregeln</t>
  </si>
  <si>
    <t>6) Risiko und Rendite- Diversifikation in Portfolios</t>
  </si>
  <si>
    <t>7) Portfoliotheorie und Capital Asset Pricing Model</t>
  </si>
  <si>
    <t>8) Risiko und Kapitalkosten</t>
  </si>
  <si>
    <t>9) Markteffizienz</t>
  </si>
  <si>
    <t>10)Unternehmensfinanzierung</t>
  </si>
  <si>
    <t>1) Ereignisse und Wahrscheinlichkeiten</t>
  </si>
  <si>
    <t>2) Rechnen mit Wahrscheinlichkeiten</t>
  </si>
  <si>
    <t>3) Zufallsvariablen</t>
  </si>
  <si>
    <t>4) Kombinatorik</t>
  </si>
  <si>
    <t>5) Urnenmodellverteilung</t>
  </si>
  <si>
    <t>6) Normalverteilung</t>
  </si>
  <si>
    <t>S1b Wahrscheinlichkeitsrechnung</t>
  </si>
  <si>
    <t xml:space="preserve"> Mikroökonomie</t>
  </si>
  <si>
    <t xml:space="preserve">1) Grundlagen und Praxis der Volkswirtschaftslehre </t>
  </si>
  <si>
    <t>2) Ökonomische Methoden und ökonomische Fragen</t>
  </si>
  <si>
    <t>3) Optimierung</t>
  </si>
  <si>
    <t xml:space="preserve">5) Konsumenten und Anreize (Das Käuferproblem, Nutzenfunktion, Einkommens- und Substitutionseffekt, Konsumentenrente und Elastizitäten) </t>
  </si>
  <si>
    <t>4) Nachfrage, Angebot und Gleichgewicht</t>
  </si>
  <si>
    <t>6)Verkäufer und Anreize (Produktionsfunktion und Kosten, Gewinnmaximierung und Angebotsfunktion, Marktein- und -austritt sowie langfristige Industrieangebotsfunktion)</t>
  </si>
  <si>
    <t>7) Vollkommener Wettbewerb und die unsichtbare Hand</t>
  </si>
  <si>
    <t>8) Internationaler Handel</t>
  </si>
  <si>
    <t>9) Externalitäten und öffentliche Güter</t>
  </si>
  <si>
    <t>10) Staatseingriffe: Besteuerung und Regulierung</t>
  </si>
  <si>
    <t>11) Märkte für Produktionsfaktoren</t>
  </si>
  <si>
    <t>12) Monopol</t>
  </si>
  <si>
    <t>13) Spieltheorie und strategische Interaktionen</t>
  </si>
  <si>
    <t>14) Oligopol und monopolistischer Wettbewerb</t>
  </si>
  <si>
    <t>15) The Economics of Information</t>
  </si>
  <si>
    <t xml:space="preserve">16) Auktionen und bilaterale Verhandlungen   </t>
  </si>
  <si>
    <t xml:space="preserve">17) Sozialökonomie </t>
  </si>
  <si>
    <t>Statistik S1a</t>
  </si>
  <si>
    <t>Stichprobentheorie, Phasen einer statistischen Analyse</t>
  </si>
  <si>
    <t>Daten und Merkmale</t>
  </si>
  <si>
    <t xml:space="preserve">Häufigkeiten und Empirische Verteilungen </t>
  </si>
  <si>
    <t>Parameter von empirischen Verteilungen</t>
  </si>
  <si>
    <t>Innovation &amp; Marketing</t>
  </si>
  <si>
    <t>Grundlagen des Technologiemanagements</t>
  </si>
  <si>
    <t>Grundlagen des Innovationsmanagements</t>
  </si>
  <si>
    <t>Organisation des Innovationsmanagements</t>
  </si>
  <si>
    <t>Der Innovationsprozess</t>
  </si>
  <si>
    <t>Noch unklar</t>
  </si>
  <si>
    <t>KW 19</t>
  </si>
  <si>
    <t>KW 20</t>
  </si>
  <si>
    <t>KW 21</t>
  </si>
  <si>
    <t>KW 22</t>
  </si>
  <si>
    <t>KW 23</t>
  </si>
  <si>
    <t>KW 24</t>
  </si>
  <si>
    <t>KW 25</t>
  </si>
  <si>
    <t>KW 26</t>
  </si>
  <si>
    <t>KW 27</t>
  </si>
  <si>
    <t>KW 28</t>
  </si>
  <si>
    <t>KW 29</t>
  </si>
  <si>
    <t>KW 30</t>
  </si>
  <si>
    <t>KW 31 KLAUSUREN!!!!!!!</t>
  </si>
  <si>
    <t>KW 32 KLAUSUREN!!!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</si>
</sst>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6"/>
      <name val="Yu Gothic"/>
      <family val="2"/>
      <charset val="128"/>
    </font>
    <font>
      <sz val="10"/>
      <color theme="1"/>
      <name val="Calibri"/>
      <family val="2"/>
      <scheme val="minor"/>
    </font>
    <font>
      <sz val="9"/>
      <color theme="1"/>
      <name val="Calibri"/>
      <family val="2"/>
      <scheme val="minor"/>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3">
    <border>
      <left/>
      <right/>
      <top/>
      <bottom/>
      <diagonal/>
    </border>
    <border>
      <left style="thin">
        <color rgb="FF505050"/>
      </left>
      <right style="thin">
        <color rgb="FF505050"/>
      </right>
      <top style="thin">
        <color rgb="FF505050"/>
      </top>
      <bottom style="thin">
        <color rgb="FF505050"/>
      </bottom>
      <diagonal/>
    </border>
    <border>
      <left/>
      <right/>
      <top style="thin">
        <color rgb="FF505050"/>
      </top>
      <bottom style="double">
        <color rgb="FF505050"/>
      </bottom>
      <diagonal/>
    </border>
  </borders>
  <cellStyleXfs count="1">
    <xf numFmtId="0" fontId="0" fillId="0" borderId="0"/>
  </cellStyleXfs>
  <cellXfs count="33">
    <xf numFmtId="0" fontId="0" fillId="0" borderId="0" xfId="0"/>
    <xf numFmtId="0" fontId="0" fillId="0" borderId="0" xfId="0" applyAlignment="1">
      <alignment wrapText="1"/>
    </xf>
    <xf numFmtId="0" fontId="0" fillId="0" borderId="0" xfId="0" applyAlignment="1"/>
    <xf numFmtId="0" fontId="4" fillId="0" borderId="0" xfId="0" applyFont="1"/>
    <xf numFmtId="0" fontId="5" fillId="0" borderId="0" xfId="0" applyFont="1"/>
    <xf numFmtId="0" fontId="6" fillId="0" borderId="0" xfId="0" applyFont="1"/>
    <xf numFmtId="0" fontId="4" fillId="2" borderId="0" xfId="0" applyFont="1" applyFill="1"/>
    <xf numFmtId="0" fontId="4" fillId="2" borderId="0" xfId="0" applyFont="1" applyFill="1" applyAlignment="1">
      <alignment horizontal="center"/>
    </xf>
    <xf numFmtId="0" fontId="7"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0" fillId="5" borderId="0" xfId="0" applyFill="1"/>
    <xf numFmtId="0" fontId="0" fillId="6" borderId="0" xfId="0" applyFill="1"/>
    <xf numFmtId="14" fontId="0" fillId="0" borderId="0" xfId="0" applyNumberFormat="1"/>
    <xf numFmtId="0" fontId="9" fillId="0" borderId="0" xfId="0" applyFont="1"/>
    <xf numFmtId="0" fontId="0" fillId="0" borderId="0" xfId="0" applyFont="1"/>
    <xf numFmtId="0" fontId="10" fillId="0" borderId="0" xfId="0" applyFont="1"/>
    <xf numFmtId="0" fontId="3" fillId="0" borderId="0" xfId="0" applyFont="1"/>
    <xf numFmtId="0" fontId="2" fillId="0" borderId="0" xfId="0" applyFont="1"/>
    <xf numFmtId="0" fontId="1" fillId="0" borderId="0" xfId="0" applyFont="1"/>
    <xf numFmtId="0" fontId="0" fillId="0" borderId="1" xfId="0" applyNumberFormat="1" applyBorder="1"/>
    <xf numFmtId="0" fontId="0" fillId="0" borderId="2" xfId="0" applyBorder="1" applyAlignment="1">
      <alignment vertical="center"/>
    </xf>
    <xf numFmtId="9" fontId="0" fillId="0" borderId="0" xfId="0" applyNumberFormat="1" applyAlignment="1">
      <alignment horizontal="right" vertical="center"/>
    </xf>
    <xf numFmtId="0" fontId="4" fillId="2" borderId="0" xfId="0" applyFont="1" applyFill="1" applyAlignment="1">
      <alignment horizontal="center"/>
    </xf>
  </cellXfs>
  <cellStyles count="1">
    <cellStyle name="Standard" xfId="0" builtinId="0"/>
  </cellStyles>
  <dxfs count="91">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90">
  <autoFilter ref="A1:K46" xr:uid="{6E266E34-2786-2747-BCE7-51B74867A564}"/>
  <tableColumns count="11">
    <tableColumn id="1" xr3:uid="{95FD92F7-3DC8-704D-A103-A7EDDAB255AB}" name="Datum" dataDxfId="89"/>
    <tableColumn id="2" xr3:uid="{F464D510-8166-E740-A343-FB84BDEF877F}" name="Lerneinheiten durchgezogen" dataDxfId="88"/>
    <tableColumn id="3" xr3:uid="{75F52B08-1A00-0848-BBE6-1EDF7B31B1AD}" name="Tagesplan erstellt" dataDxfId="87"/>
    <tableColumn id="4" xr3:uid="{E6B18D89-E799-AD48-9DAA-37AEE1D29011}" name="Konzentrationslevel" dataDxfId="86"/>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topLeftCell="B5" workbookViewId="0">
      <selection activeCell="B17" sqref="B17"/>
    </sheetView>
  </sheetViews>
  <sheetFormatPr defaultColWidth="10.8515625" defaultRowHeight="15" x14ac:dyDescent="0.2"/>
  <cols>
    <col min="1" max="1" width="11.8359375" customWidth="1"/>
    <col min="2" max="2" width="62.640625" customWidth="1"/>
  </cols>
  <sheetData>
    <row r="2" spans="1:4" x14ac:dyDescent="0.2">
      <c r="C2" s="21" t="s">
        <v>71</v>
      </c>
    </row>
    <row r="3" spans="1:4" x14ac:dyDescent="0.2">
      <c r="C3" s="20" t="s">
        <v>56</v>
      </c>
    </row>
    <row r="4" spans="1:4" x14ac:dyDescent="0.2">
      <c r="C4" s="19" t="s">
        <v>70</v>
      </c>
    </row>
    <row r="5" spans="1:4" x14ac:dyDescent="0.2">
      <c r="A5" s="3" t="s">
        <v>53</v>
      </c>
      <c r="B5" s="3" t="s">
        <v>54</v>
      </c>
      <c r="C5" s="3" t="s">
        <v>55</v>
      </c>
      <c r="D5" s="3" t="s">
        <v>57</v>
      </c>
    </row>
    <row r="6" spans="1:4" x14ac:dyDescent="0.2">
      <c r="A6" t="s">
        <v>49</v>
      </c>
      <c r="B6" s="21" t="s">
        <v>52</v>
      </c>
      <c r="D6" t="s">
        <v>86</v>
      </c>
    </row>
    <row r="7" spans="1:4" x14ac:dyDescent="0.2">
      <c r="A7" t="s">
        <v>60</v>
      </c>
      <c r="B7" t="s">
        <v>61</v>
      </c>
      <c r="C7" s="19">
        <f>6+8+11+7+10</f>
        <v>42</v>
      </c>
    </row>
    <row r="8" spans="1:4" x14ac:dyDescent="0.2">
      <c r="A8" t="s">
        <v>51</v>
      </c>
      <c r="B8" s="21" t="s">
        <v>50</v>
      </c>
      <c r="C8" s="9"/>
      <c r="D8" t="s">
        <v>74</v>
      </c>
    </row>
    <row r="9" spans="1:4" x14ac:dyDescent="0.2">
      <c r="A9" t="s">
        <v>59</v>
      </c>
      <c r="B9" s="21" t="s">
        <v>72</v>
      </c>
      <c r="D9" t="s">
        <v>75</v>
      </c>
    </row>
    <row r="10" spans="1:4" x14ac:dyDescent="0.2">
      <c r="A10" t="s">
        <v>63</v>
      </c>
      <c r="B10" t="s">
        <v>62</v>
      </c>
      <c r="C10" s="19">
        <v>10.5</v>
      </c>
      <c r="D10" t="s">
        <v>58</v>
      </c>
    </row>
    <row r="11" spans="1:4" x14ac:dyDescent="0.2">
      <c r="A11" t="s">
        <v>64</v>
      </c>
      <c r="B11" t="s">
        <v>66</v>
      </c>
      <c r="C11" s="19">
        <f>42*3</f>
        <v>126</v>
      </c>
      <c r="D11" t="s">
        <v>65</v>
      </c>
    </row>
    <row r="12" spans="1:4" x14ac:dyDescent="0.2">
      <c r="A12" t="s">
        <v>68</v>
      </c>
      <c r="B12" t="s">
        <v>67</v>
      </c>
      <c r="C12" s="20">
        <f>C11/C10</f>
        <v>12</v>
      </c>
    </row>
    <row r="13" spans="1:4" x14ac:dyDescent="0.2">
      <c r="A13" t="s">
        <v>73</v>
      </c>
      <c r="B13" t="s">
        <v>69</v>
      </c>
      <c r="D13" t="s">
        <v>76</v>
      </c>
    </row>
    <row r="14" spans="1:4" x14ac:dyDescent="0.2">
      <c r="A14" t="s">
        <v>77</v>
      </c>
      <c r="B14" t="s">
        <v>78</v>
      </c>
      <c r="D14" t="s">
        <v>79</v>
      </c>
    </row>
    <row r="15" spans="1:4" x14ac:dyDescent="0.2">
      <c r="A15" t="s">
        <v>80</v>
      </c>
      <c r="B15" s="21" t="s">
        <v>81</v>
      </c>
    </row>
    <row r="16" spans="1:4" x14ac:dyDescent="0.2">
      <c r="A16" t="s">
        <v>84</v>
      </c>
      <c r="B16" s="21" t="s">
        <v>82</v>
      </c>
    </row>
    <row r="17" spans="1:2" x14ac:dyDescent="0.2">
      <c r="A17" t="s">
        <v>85</v>
      </c>
      <c r="B17" t="s">
        <v>83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G64"/>
  <sheetViews>
    <sheetView tabSelected="1" topLeftCell="D1" zoomScale="75" zoomScaleNormal="83" workbookViewId="0">
      <pane xSplit="9" topLeftCell="M1" activePane="topRight" state="frozen"/>
      <selection activeCell="K64" sqref="K64"/>
      <selection pane="topRight" activeCell="Y57" sqref="Y57"/>
    </sheetView>
  </sheetViews>
  <sheetFormatPr defaultColWidth="8.875" defaultRowHeight="15" outlineLevelRow="1" x14ac:dyDescent="0.2"/>
  <cols>
    <col min="4" max="4" width="9.4921875" bestFit="1" customWidth="1"/>
    <col min="5" max="5" width="12.9453125" bestFit="1" customWidth="1"/>
    <col min="6" max="6" width="4.80859375" bestFit="1" customWidth="1"/>
    <col min="7" max="7" width="41.18359375" bestFit="1" customWidth="1"/>
    <col min="8" max="8" width="15.53515625" bestFit="1" customWidth="1"/>
    <col min="9" max="9" width="2.46484375" customWidth="1"/>
    <col min="11" max="11" width="12.453125" bestFit="1" customWidth="1"/>
    <col min="12" max="12" width="14.796875" bestFit="1" customWidth="1"/>
    <col min="13" max="13" width="12.69921875" bestFit="1" customWidth="1"/>
    <col min="14" max="14" width="2.46484375" customWidth="1"/>
    <col min="16" max="16" width="12.453125" bestFit="1" customWidth="1"/>
    <col min="17" max="17" width="6.28515625" customWidth="1"/>
    <col min="18" max="18" width="14.796875" bestFit="1" customWidth="1"/>
    <col min="19" max="19" width="6.0390625" customWidth="1"/>
    <col min="20" max="20" width="12.69921875" bestFit="1" customWidth="1"/>
    <col min="21" max="21" width="2.46484375" customWidth="1"/>
    <col min="23" max="23" width="12.453125" bestFit="1" customWidth="1"/>
    <col min="24" max="24" width="6.28515625" customWidth="1"/>
    <col min="25" max="25" width="14.796875" bestFit="1" customWidth="1"/>
    <col min="26" max="26" width="6.0390625" customWidth="1"/>
    <col min="27" max="27" width="12.69921875" bestFit="1" customWidth="1"/>
    <col min="28" max="28" width="2.46484375" customWidth="1"/>
    <col min="30" max="30" width="12.453125" bestFit="1" customWidth="1"/>
    <col min="31" max="31" width="6.28515625" customWidth="1"/>
    <col min="32" max="32" width="14.796875" bestFit="1" customWidth="1"/>
    <col min="33" max="33" width="6.0390625" customWidth="1"/>
    <col min="34" max="34" width="12.69921875" bestFit="1" customWidth="1"/>
    <col min="35" max="35" width="2.46484375" customWidth="1"/>
    <col min="37" max="37" width="12.453125" bestFit="1" customWidth="1"/>
    <col min="38" max="38" width="6.28515625" customWidth="1"/>
    <col min="39" max="39" width="14.796875" bestFit="1" customWidth="1"/>
    <col min="40" max="40" width="6.0390625" customWidth="1"/>
    <col min="41" max="41" width="12.69921875" bestFit="1" customWidth="1"/>
    <col min="42" max="42" width="2.46484375" customWidth="1"/>
    <col min="44" max="44" width="12.453125" bestFit="1" customWidth="1"/>
    <col min="45" max="45" width="6.28515625" customWidth="1"/>
    <col min="46" max="46" width="14.796875" bestFit="1" customWidth="1"/>
    <col min="47" max="47" width="6.0390625" customWidth="1"/>
    <col min="48" max="48" width="12.69921875" bestFit="1" customWidth="1"/>
    <col min="49" max="49" width="2.46484375" customWidth="1"/>
    <col min="51" max="51" width="12.453125" bestFit="1" customWidth="1"/>
    <col min="52" max="52" width="6.28515625" customWidth="1"/>
    <col min="53" max="53" width="14.796875" bestFit="1" customWidth="1"/>
    <col min="54" max="54" width="6.0390625" customWidth="1"/>
    <col min="55" max="55" width="12.69921875" bestFit="1" customWidth="1"/>
    <col min="56" max="56" width="2.46484375" customWidth="1"/>
    <col min="58" max="58" width="12.453125" bestFit="1" customWidth="1"/>
    <col min="59" max="59" width="6.28515625" customWidth="1"/>
    <col min="60" max="60" width="14.796875" bestFit="1" customWidth="1"/>
    <col min="61" max="61" width="6.0390625" customWidth="1"/>
    <col min="62" max="62" width="12.69921875" bestFit="1" customWidth="1"/>
    <col min="63" max="63" width="2.46484375" customWidth="1"/>
    <col min="65" max="65" width="12.453125" bestFit="1" customWidth="1"/>
    <col min="66" max="66" width="6.28515625" customWidth="1"/>
    <col min="67" max="67" width="14.796875" bestFit="1" customWidth="1"/>
    <col min="68" max="68" width="6.0390625" customWidth="1"/>
    <col min="69" max="69" width="12.69921875" bestFit="1" customWidth="1"/>
    <col min="70" max="70" width="2.46484375" customWidth="1"/>
    <col min="72" max="72" width="12.453125" bestFit="1" customWidth="1"/>
    <col min="73" max="73" width="6.28515625" customWidth="1"/>
    <col min="74" max="74" width="14.796875" bestFit="1" customWidth="1"/>
    <col min="75" max="75" width="6.0390625" customWidth="1"/>
    <col min="76" max="76" width="12.69921875" bestFit="1" customWidth="1"/>
    <col min="77" max="77" width="2.46484375" customWidth="1"/>
    <col min="79" max="79" width="12.453125" bestFit="1" customWidth="1"/>
    <col min="80" max="80" width="6.28515625" customWidth="1"/>
    <col min="81" max="81" width="14.796875" bestFit="1" customWidth="1"/>
    <col min="82" max="82" width="6.0390625" customWidth="1"/>
    <col min="83" max="83" width="12.69921875" bestFit="1" customWidth="1"/>
    <col min="84" max="84" width="2.46484375" customWidth="1"/>
    <col min="86" max="86" width="12.453125" bestFit="1" customWidth="1"/>
    <col min="87" max="87" width="6.28515625" customWidth="1"/>
    <col min="88" max="88" width="14.796875" bestFit="1" customWidth="1"/>
    <col min="89" max="89" width="6.0390625" customWidth="1"/>
    <col min="90" max="90" width="12.69921875" bestFit="1" customWidth="1"/>
    <col min="91" max="91" width="2.46484375" customWidth="1"/>
    <col min="93" max="93" width="12.453125" bestFit="1" customWidth="1"/>
    <col min="94" max="94" width="6.28515625" customWidth="1"/>
    <col min="95" max="95" width="14.796875" bestFit="1" customWidth="1"/>
    <col min="96" max="96" width="6.0390625" customWidth="1"/>
    <col min="97" max="97" width="12.69921875" bestFit="1" customWidth="1"/>
    <col min="98" max="98" width="2.46484375" customWidth="1"/>
    <col min="100" max="100" width="12.453125" bestFit="1" customWidth="1"/>
    <col min="101" max="101" width="6.28515625" customWidth="1"/>
    <col min="102" max="102" width="14.796875" bestFit="1" customWidth="1"/>
    <col min="103" max="103" width="6.0390625" customWidth="1"/>
    <col min="104" max="104" width="12.69921875" bestFit="1" customWidth="1"/>
    <col min="105" max="105" width="2.46484375" customWidth="1"/>
    <col min="107" max="107" width="12.453125" bestFit="1" customWidth="1"/>
    <col min="108" max="108" width="6.28515625" customWidth="1"/>
    <col min="109" max="109" width="14.796875" bestFit="1" customWidth="1"/>
    <col min="110" max="110" width="6.0390625" customWidth="1"/>
    <col min="111" max="111" width="12.69921875" bestFit="1" customWidth="1"/>
  </cols>
  <sheetData>
    <row r="1" spans="2:111" ht="33" x14ac:dyDescent="0.45">
      <c r="B1" s="5" t="s">
        <v>0</v>
      </c>
      <c r="C1" s="5"/>
      <c r="E1" s="5"/>
      <c r="H1" s="15"/>
      <c r="J1" s="15" t="s">
        <v>33</v>
      </c>
      <c r="K1" s="15" t="s">
        <v>33</v>
      </c>
      <c r="L1" s="15" t="s">
        <v>33</v>
      </c>
    </row>
    <row r="2" spans="2:111" x14ac:dyDescent="0.2">
      <c r="J2" s="32" t="s">
        <v>27</v>
      </c>
      <c r="K2" s="32"/>
      <c r="L2" s="32"/>
      <c r="M2" s="32"/>
      <c r="O2" s="32" t="s">
        <v>134</v>
      </c>
      <c r="P2" s="32"/>
      <c r="Q2" s="32"/>
      <c r="R2" s="32"/>
      <c r="S2" s="32"/>
      <c r="T2" s="32"/>
      <c r="V2" s="32" t="s">
        <v>135</v>
      </c>
      <c r="W2" s="32"/>
      <c r="X2" s="32"/>
      <c r="Y2" s="32"/>
      <c r="Z2" s="32"/>
      <c r="AA2" s="32"/>
      <c r="AC2" s="32" t="s">
        <v>136</v>
      </c>
      <c r="AD2" s="32"/>
      <c r="AE2" s="32"/>
      <c r="AF2" s="32"/>
      <c r="AG2" s="32"/>
      <c r="AH2" s="32"/>
      <c r="AJ2" s="32" t="s">
        <v>137</v>
      </c>
      <c r="AK2" s="32"/>
      <c r="AL2" s="32"/>
      <c r="AM2" s="32"/>
      <c r="AN2" s="32"/>
      <c r="AO2" s="32"/>
      <c r="AQ2" s="32" t="s">
        <v>138</v>
      </c>
      <c r="AR2" s="32"/>
      <c r="AS2" s="32"/>
      <c r="AT2" s="32"/>
      <c r="AU2" s="32"/>
      <c r="AV2" s="32"/>
      <c r="AX2" s="32" t="s">
        <v>139</v>
      </c>
      <c r="AY2" s="32"/>
      <c r="AZ2" s="32"/>
      <c r="BA2" s="32"/>
      <c r="BB2" s="32"/>
      <c r="BC2" s="32"/>
      <c r="BE2" s="32" t="s">
        <v>140</v>
      </c>
      <c r="BF2" s="32"/>
      <c r="BG2" s="32"/>
      <c r="BH2" s="32"/>
      <c r="BI2" s="32"/>
      <c r="BJ2" s="32"/>
      <c r="BL2" s="32" t="s">
        <v>141</v>
      </c>
      <c r="BM2" s="32"/>
      <c r="BN2" s="32"/>
      <c r="BO2" s="32"/>
      <c r="BP2" s="32"/>
      <c r="BQ2" s="32"/>
      <c r="BS2" s="32" t="s">
        <v>142</v>
      </c>
      <c r="BT2" s="32"/>
      <c r="BU2" s="32"/>
      <c r="BV2" s="32"/>
      <c r="BW2" s="32"/>
      <c r="BX2" s="32"/>
      <c r="BZ2" s="32" t="s">
        <v>143</v>
      </c>
      <c r="CA2" s="32"/>
      <c r="CB2" s="32"/>
      <c r="CC2" s="32"/>
      <c r="CD2" s="32"/>
      <c r="CE2" s="32"/>
      <c r="CG2" s="32" t="s">
        <v>144</v>
      </c>
      <c r="CH2" s="32"/>
      <c r="CI2" s="32"/>
      <c r="CJ2" s="32"/>
      <c r="CK2" s="32"/>
      <c r="CL2" s="32"/>
      <c r="CN2" s="32" t="s">
        <v>145</v>
      </c>
      <c r="CO2" s="32"/>
      <c r="CP2" s="32"/>
      <c r="CQ2" s="32"/>
      <c r="CR2" s="32"/>
      <c r="CS2" s="32"/>
      <c r="CU2" s="32" t="s">
        <v>146</v>
      </c>
      <c r="CV2" s="32"/>
      <c r="CW2" s="32"/>
      <c r="CX2" s="32"/>
      <c r="CY2" s="32"/>
      <c r="CZ2" s="32"/>
      <c r="DB2" s="32" t="s">
        <v>147</v>
      </c>
      <c r="DC2" s="32"/>
      <c r="DD2" s="32"/>
      <c r="DE2" s="32"/>
      <c r="DF2" s="32"/>
      <c r="DG2" s="32"/>
    </row>
    <row r="3" spans="2:111" x14ac:dyDescent="0.2">
      <c r="B3" s="6" t="s">
        <v>26</v>
      </c>
      <c r="C3" s="6"/>
      <c r="D3" s="6" t="s">
        <v>1</v>
      </c>
      <c r="E3" s="6" t="s">
        <v>24</v>
      </c>
      <c r="F3" s="7" t="s">
        <v>30</v>
      </c>
      <c r="G3" s="6" t="s">
        <v>29</v>
      </c>
      <c r="H3" s="6" t="s">
        <v>31</v>
      </c>
      <c r="J3" s="7" t="s">
        <v>11</v>
      </c>
      <c r="K3" s="7" t="s">
        <v>2</v>
      </c>
      <c r="L3" s="7" t="s">
        <v>3</v>
      </c>
      <c r="M3" s="7" t="s">
        <v>12</v>
      </c>
      <c r="O3" s="6" t="s">
        <v>11</v>
      </c>
      <c r="P3" s="6" t="s">
        <v>2</v>
      </c>
      <c r="Q3" s="6" t="s">
        <v>32</v>
      </c>
      <c r="R3" s="6" t="s">
        <v>3</v>
      </c>
      <c r="S3" s="6" t="s">
        <v>32</v>
      </c>
      <c r="T3" s="6" t="s">
        <v>12</v>
      </c>
      <c r="V3" s="6" t="s">
        <v>11</v>
      </c>
      <c r="W3" s="6" t="s">
        <v>2</v>
      </c>
      <c r="X3" s="6" t="s">
        <v>32</v>
      </c>
      <c r="Y3" s="6" t="s">
        <v>3</v>
      </c>
      <c r="Z3" s="6" t="s">
        <v>32</v>
      </c>
      <c r="AA3" s="6" t="s">
        <v>12</v>
      </c>
      <c r="AC3" s="6" t="s">
        <v>11</v>
      </c>
      <c r="AD3" s="6" t="s">
        <v>2</v>
      </c>
      <c r="AE3" s="6" t="s">
        <v>32</v>
      </c>
      <c r="AF3" s="6" t="s">
        <v>3</v>
      </c>
      <c r="AG3" s="6" t="s">
        <v>32</v>
      </c>
      <c r="AH3" s="6" t="s">
        <v>12</v>
      </c>
      <c r="AJ3" s="6" t="s">
        <v>11</v>
      </c>
      <c r="AK3" s="6" t="s">
        <v>2</v>
      </c>
      <c r="AL3" s="6" t="s">
        <v>32</v>
      </c>
      <c r="AM3" s="6" t="s">
        <v>3</v>
      </c>
      <c r="AN3" s="6" t="s">
        <v>32</v>
      </c>
      <c r="AO3" s="6" t="s">
        <v>12</v>
      </c>
      <c r="AQ3" s="6" t="s">
        <v>11</v>
      </c>
      <c r="AR3" s="6" t="s">
        <v>2</v>
      </c>
      <c r="AS3" s="6" t="s">
        <v>32</v>
      </c>
      <c r="AT3" s="6" t="s">
        <v>3</v>
      </c>
      <c r="AU3" s="6" t="s">
        <v>32</v>
      </c>
      <c r="AV3" s="6" t="s">
        <v>12</v>
      </c>
      <c r="AX3" s="6" t="s">
        <v>11</v>
      </c>
      <c r="AY3" s="6" t="s">
        <v>2</v>
      </c>
      <c r="AZ3" s="6" t="s">
        <v>32</v>
      </c>
      <c r="BA3" s="6" t="s">
        <v>3</v>
      </c>
      <c r="BB3" s="6" t="s">
        <v>32</v>
      </c>
      <c r="BC3" s="6" t="s">
        <v>12</v>
      </c>
      <c r="BE3" s="6" t="s">
        <v>11</v>
      </c>
      <c r="BF3" s="6" t="s">
        <v>2</v>
      </c>
      <c r="BG3" s="6" t="s">
        <v>32</v>
      </c>
      <c r="BH3" s="6" t="s">
        <v>3</v>
      </c>
      <c r="BI3" s="6" t="s">
        <v>32</v>
      </c>
      <c r="BJ3" s="6" t="s">
        <v>12</v>
      </c>
      <c r="BL3" s="6" t="s">
        <v>11</v>
      </c>
      <c r="BM3" s="6" t="s">
        <v>2</v>
      </c>
      <c r="BN3" s="6" t="s">
        <v>32</v>
      </c>
      <c r="BO3" s="6" t="s">
        <v>3</v>
      </c>
      <c r="BP3" s="6" t="s">
        <v>32</v>
      </c>
      <c r="BQ3" s="6" t="s">
        <v>12</v>
      </c>
      <c r="BS3" s="6" t="s">
        <v>11</v>
      </c>
      <c r="BT3" s="6" t="s">
        <v>2</v>
      </c>
      <c r="BU3" s="6" t="s">
        <v>32</v>
      </c>
      <c r="BV3" s="6" t="s">
        <v>3</v>
      </c>
      <c r="BW3" s="6" t="s">
        <v>32</v>
      </c>
      <c r="BX3" s="6" t="s">
        <v>12</v>
      </c>
      <c r="BZ3" s="6" t="s">
        <v>11</v>
      </c>
      <c r="CA3" s="6" t="s">
        <v>2</v>
      </c>
      <c r="CB3" s="6" t="s">
        <v>32</v>
      </c>
      <c r="CC3" s="6" t="s">
        <v>3</v>
      </c>
      <c r="CD3" s="6" t="s">
        <v>32</v>
      </c>
      <c r="CE3" s="6" t="s">
        <v>12</v>
      </c>
      <c r="CG3" s="6" t="s">
        <v>11</v>
      </c>
      <c r="CH3" s="6" t="s">
        <v>2</v>
      </c>
      <c r="CI3" s="6" t="s">
        <v>32</v>
      </c>
      <c r="CJ3" s="6" t="s">
        <v>3</v>
      </c>
      <c r="CK3" s="6" t="s">
        <v>32</v>
      </c>
      <c r="CL3" s="6" t="s">
        <v>12</v>
      </c>
      <c r="CN3" s="6" t="s">
        <v>11</v>
      </c>
      <c r="CO3" s="6" t="s">
        <v>2</v>
      </c>
      <c r="CP3" s="6" t="s">
        <v>32</v>
      </c>
      <c r="CQ3" s="6" t="s">
        <v>3</v>
      </c>
      <c r="CR3" s="6" t="s">
        <v>32</v>
      </c>
      <c r="CS3" s="6" t="s">
        <v>12</v>
      </c>
      <c r="CU3" s="6" t="s">
        <v>11</v>
      </c>
      <c r="CV3" s="6" t="s">
        <v>2</v>
      </c>
      <c r="CW3" s="6" t="s">
        <v>32</v>
      </c>
      <c r="CX3" s="6" t="s">
        <v>3</v>
      </c>
      <c r="CY3" s="6" t="s">
        <v>32</v>
      </c>
      <c r="CZ3" s="6" t="s">
        <v>12</v>
      </c>
      <c r="DB3" s="6" t="s">
        <v>11</v>
      </c>
      <c r="DC3" s="6" t="s">
        <v>2</v>
      </c>
      <c r="DD3" s="6" t="s">
        <v>32</v>
      </c>
      <c r="DE3" s="6" t="s">
        <v>3</v>
      </c>
      <c r="DF3" s="6" t="s">
        <v>32</v>
      </c>
      <c r="DG3" s="6" t="s">
        <v>12</v>
      </c>
    </row>
    <row r="4" spans="2:111" x14ac:dyDescent="0.2">
      <c r="B4" t="s">
        <v>27</v>
      </c>
      <c r="D4" t="s">
        <v>87</v>
      </c>
      <c r="E4" s="22">
        <v>45873</v>
      </c>
      <c r="F4" s="11">
        <v>6</v>
      </c>
      <c r="H4" s="12">
        <v>1</v>
      </c>
      <c r="J4" s="14">
        <v>0</v>
      </c>
      <c r="K4" s="13">
        <f>+SUMPRODUCT(H5:H10,K5:K10)</f>
        <v>0</v>
      </c>
      <c r="L4" s="13">
        <f>+SUMPRODUCT(H5:H10,L5:L10)</f>
        <v>0</v>
      </c>
      <c r="M4" s="11"/>
      <c r="O4" s="14">
        <v>0</v>
      </c>
      <c r="V4" s="14">
        <f>+SUM(V5:V10)</f>
        <v>0</v>
      </c>
      <c r="AC4" s="14">
        <f>+SUM(AC5:AC10)</f>
        <v>0</v>
      </c>
      <c r="AJ4" s="14">
        <f>+SUM(AJ5:AJ10)</f>
        <v>0</v>
      </c>
      <c r="AQ4" s="14">
        <f>+SUM(AQ5:AQ10)</f>
        <v>0</v>
      </c>
      <c r="AX4" s="14">
        <f>+SUM(AX5:AX10)</f>
        <v>0</v>
      </c>
      <c r="BE4" s="14">
        <f>+SUM(BE5:BE10)</f>
        <v>0</v>
      </c>
      <c r="BL4" s="14">
        <f>+SUM(BL5:BL10)</f>
        <v>0</v>
      </c>
      <c r="BS4" s="14">
        <f>+SUM(BS5:BS10)</f>
        <v>0</v>
      </c>
      <c r="BZ4" s="14">
        <f>+SUM(BZ5:BZ10)</f>
        <v>0</v>
      </c>
      <c r="CG4" s="14">
        <f>+SUM(CG5:CG10)</f>
        <v>0</v>
      </c>
      <c r="CN4" s="14">
        <f>+SUM(CN5:CN10)</f>
        <v>0</v>
      </c>
      <c r="CU4" s="14">
        <f>+SUM(CU5:CU10)</f>
        <v>0</v>
      </c>
      <c r="DB4" s="14">
        <f>+SUM(DB5:DB10)</f>
        <v>0</v>
      </c>
    </row>
    <row r="5" spans="2:111" outlineLevel="1" x14ac:dyDescent="0.2">
      <c r="B5" t="s">
        <v>28</v>
      </c>
      <c r="D5" t="s">
        <v>87</v>
      </c>
      <c r="F5" s="11"/>
      <c r="G5" t="s">
        <v>88</v>
      </c>
      <c r="H5" s="12">
        <v>0.1</v>
      </c>
      <c r="J5" s="11">
        <v>0</v>
      </c>
      <c r="K5" s="13" cm="1">
        <f t="array" ref="K5">MAX(IF($O$3:$EI$3=$K$3,O5:EI5))</f>
        <v>0</v>
      </c>
      <c r="L5" s="13" cm="1">
        <f t="array" ref="L5">MAX(IF($O$3:$EI$3=$K$3,O5:EI5))</f>
        <v>0</v>
      </c>
      <c r="M5" s="11"/>
      <c r="O5">
        <v>0</v>
      </c>
      <c r="P5" s="12"/>
      <c r="Q5" s="12">
        <v>0.1</v>
      </c>
      <c r="R5" s="12"/>
      <c r="S5" s="12">
        <v>0.1</v>
      </c>
      <c r="W5" s="12"/>
      <c r="X5" s="12">
        <v>0.1</v>
      </c>
      <c r="Y5" s="12"/>
      <c r="Z5" s="12">
        <v>0.1</v>
      </c>
      <c r="AD5" s="12"/>
      <c r="AE5" s="12">
        <v>0.2</v>
      </c>
      <c r="AF5" s="12"/>
      <c r="AG5" s="12">
        <v>0.2</v>
      </c>
      <c r="AK5" s="12"/>
      <c r="AL5" s="12">
        <v>0.3</v>
      </c>
      <c r="AM5" s="12"/>
      <c r="AN5" s="12">
        <v>0.3</v>
      </c>
      <c r="AR5" s="12"/>
      <c r="AS5" s="12">
        <v>0.4</v>
      </c>
      <c r="AT5" s="12"/>
      <c r="AU5" s="12">
        <v>0.4</v>
      </c>
      <c r="AY5" s="12"/>
      <c r="AZ5" s="12">
        <v>0.5</v>
      </c>
      <c r="BA5" s="12"/>
      <c r="BB5" s="12">
        <v>0.5</v>
      </c>
      <c r="BF5" s="12"/>
      <c r="BG5" s="12">
        <v>0.6</v>
      </c>
      <c r="BH5" s="12"/>
      <c r="BI5" s="12">
        <v>0.6</v>
      </c>
      <c r="BM5" s="12"/>
      <c r="BN5" s="12">
        <v>0.7</v>
      </c>
      <c r="BO5" s="12"/>
      <c r="BP5" s="12">
        <v>0.7</v>
      </c>
      <c r="BT5" s="12"/>
      <c r="BU5" s="12">
        <v>0.8</v>
      </c>
      <c r="BV5" s="12"/>
      <c r="BW5" s="12">
        <v>0.8</v>
      </c>
      <c r="CA5" s="12"/>
      <c r="CB5" s="12">
        <v>0.9</v>
      </c>
      <c r="CC5" s="12"/>
      <c r="CD5" s="12">
        <v>0.9</v>
      </c>
      <c r="CH5" s="12"/>
      <c r="CI5" s="12">
        <v>1</v>
      </c>
      <c r="CJ5" s="12"/>
      <c r="CK5" s="12">
        <v>1</v>
      </c>
      <c r="CO5" s="12"/>
      <c r="CP5" s="12">
        <v>1</v>
      </c>
      <c r="CQ5" s="12"/>
      <c r="CR5" s="12">
        <v>1</v>
      </c>
      <c r="CV5" s="12"/>
      <c r="CW5" s="12"/>
      <c r="CX5" s="12"/>
      <c r="CY5" s="12"/>
      <c r="DC5" s="12"/>
      <c r="DD5" s="12"/>
      <c r="DE5" s="12"/>
      <c r="DF5" s="12"/>
    </row>
    <row r="6" spans="2:111" outlineLevel="1" x14ac:dyDescent="0.2">
      <c r="B6" t="s">
        <v>28</v>
      </c>
      <c r="D6" t="s">
        <v>87</v>
      </c>
      <c r="F6" s="11"/>
      <c r="G6" t="s">
        <v>89</v>
      </c>
      <c r="H6" s="12">
        <v>0.1</v>
      </c>
      <c r="J6" s="11">
        <v>0</v>
      </c>
      <c r="K6" s="13" cm="1">
        <f t="array" ref="K6">MAX(IF($O$3:$EI$3=$K$3,O6:EI6))</f>
        <v>0</v>
      </c>
      <c r="L6" s="13" cm="1">
        <f t="array" ref="L6">MAX(IF($O$3:$EI$3=$K$3,O6:EI6))</f>
        <v>0</v>
      </c>
      <c r="M6" s="11"/>
      <c r="O6">
        <v>0</v>
      </c>
      <c r="P6" s="12"/>
      <c r="Q6" s="12">
        <v>0.1</v>
      </c>
      <c r="R6" s="12"/>
      <c r="S6" s="12">
        <v>0.1</v>
      </c>
      <c r="W6" s="12"/>
      <c r="X6" s="12">
        <v>0.1</v>
      </c>
      <c r="Y6" s="12"/>
      <c r="Z6" s="12">
        <v>0.1</v>
      </c>
      <c r="AD6" s="12"/>
      <c r="AE6" s="12">
        <v>0.2</v>
      </c>
      <c r="AF6" s="12"/>
      <c r="AG6" s="12">
        <v>0.2</v>
      </c>
      <c r="AK6" s="12"/>
      <c r="AL6" s="12">
        <v>0.3</v>
      </c>
      <c r="AM6" s="12"/>
      <c r="AN6" s="12">
        <v>0.3</v>
      </c>
      <c r="AR6" s="12"/>
      <c r="AS6" s="12">
        <v>0.4</v>
      </c>
      <c r="AT6" s="12"/>
      <c r="AU6" s="12">
        <v>0.4</v>
      </c>
      <c r="AY6" s="12"/>
      <c r="AZ6" s="12">
        <v>0.5</v>
      </c>
      <c r="BA6" s="12"/>
      <c r="BB6" s="12">
        <v>0.5</v>
      </c>
      <c r="BF6" s="12"/>
      <c r="BG6" s="12">
        <v>0.6</v>
      </c>
      <c r="BH6" s="12"/>
      <c r="BI6" s="12">
        <v>0.6</v>
      </c>
      <c r="BM6" s="12"/>
      <c r="BN6" s="12">
        <v>0.7</v>
      </c>
      <c r="BO6" s="12"/>
      <c r="BP6" s="12">
        <v>0.7</v>
      </c>
      <c r="BT6" s="12"/>
      <c r="BU6" s="12">
        <v>0.8</v>
      </c>
      <c r="BV6" s="12"/>
      <c r="BW6" s="12">
        <v>0.8</v>
      </c>
      <c r="CA6" s="12"/>
      <c r="CB6" s="12">
        <v>0.9</v>
      </c>
      <c r="CC6" s="12"/>
      <c r="CD6" s="12">
        <v>0.9</v>
      </c>
      <c r="CH6" s="12"/>
      <c r="CI6" s="12">
        <v>1</v>
      </c>
      <c r="CJ6" s="12"/>
      <c r="CK6" s="12">
        <v>1</v>
      </c>
      <c r="CO6" s="12"/>
      <c r="CP6" s="12">
        <v>1</v>
      </c>
      <c r="CQ6" s="12"/>
      <c r="CR6" s="12">
        <v>1</v>
      </c>
      <c r="CV6" s="12"/>
      <c r="CW6" s="12"/>
      <c r="CX6" s="12"/>
      <c r="CY6" s="12"/>
      <c r="DC6" s="12"/>
      <c r="DD6" s="12"/>
      <c r="DE6" s="12"/>
      <c r="DF6" s="12"/>
    </row>
    <row r="7" spans="2:111" outlineLevel="1" x14ac:dyDescent="0.2">
      <c r="B7" t="s">
        <v>28</v>
      </c>
      <c r="D7" t="s">
        <v>87</v>
      </c>
      <c r="F7" s="11"/>
      <c r="G7" t="s">
        <v>90</v>
      </c>
      <c r="H7" s="12">
        <v>0.1</v>
      </c>
      <c r="J7" s="11">
        <v>0</v>
      </c>
      <c r="K7" s="13" cm="1">
        <f t="array" ref="K7">MAX(IF($O$3:$EI$3=$K$3,O7:EI7))</f>
        <v>0</v>
      </c>
      <c r="L7" s="13" cm="1">
        <f t="array" ref="L7">MAX(IF($O$3:$EI$3=$K$3,O7:EI7))</f>
        <v>0</v>
      </c>
      <c r="M7" s="11"/>
      <c r="O7">
        <v>0</v>
      </c>
      <c r="P7" s="12"/>
      <c r="Q7" s="12">
        <v>0.1</v>
      </c>
      <c r="R7" s="12"/>
      <c r="S7" s="12">
        <v>0.1</v>
      </c>
      <c r="W7" s="12"/>
      <c r="X7" s="12">
        <v>0.1</v>
      </c>
      <c r="Y7" s="31"/>
      <c r="Z7" s="12">
        <v>0.1</v>
      </c>
      <c r="AD7" s="12"/>
      <c r="AE7" s="12">
        <v>0.2</v>
      </c>
      <c r="AF7" s="12"/>
      <c r="AG7" s="12">
        <v>0.2</v>
      </c>
      <c r="AK7" s="12"/>
      <c r="AL7" s="12">
        <v>0.3</v>
      </c>
      <c r="AM7" s="12"/>
      <c r="AN7" s="12">
        <v>0.3</v>
      </c>
      <c r="AR7" s="12"/>
      <c r="AS7" s="12">
        <v>0.4</v>
      </c>
      <c r="AT7" s="12"/>
      <c r="AU7" s="12">
        <v>0.4</v>
      </c>
      <c r="AY7" s="12"/>
      <c r="AZ7" s="12">
        <v>0.5</v>
      </c>
      <c r="BA7" s="12"/>
      <c r="BB7" s="12">
        <v>0.5</v>
      </c>
      <c r="BF7" s="12"/>
      <c r="BG7" s="12">
        <v>0.6</v>
      </c>
      <c r="BH7" s="12"/>
      <c r="BI7" s="12">
        <v>0.6</v>
      </c>
      <c r="BM7" s="12"/>
      <c r="BN7" s="12">
        <v>0.7</v>
      </c>
      <c r="BO7" s="12"/>
      <c r="BP7" s="12">
        <v>0.7</v>
      </c>
      <c r="BT7" s="12"/>
      <c r="BU7" s="12">
        <v>0.8</v>
      </c>
      <c r="BV7" s="12"/>
      <c r="BW7" s="12">
        <v>0.8</v>
      </c>
      <c r="CA7" s="12"/>
      <c r="CB7" s="12">
        <v>0.9</v>
      </c>
      <c r="CC7" s="12"/>
      <c r="CD7" s="12">
        <v>0.9</v>
      </c>
      <c r="CH7" s="12"/>
      <c r="CI7" s="12">
        <v>1</v>
      </c>
      <c r="CJ7" s="12"/>
      <c r="CK7" s="12">
        <v>1</v>
      </c>
      <c r="CO7" s="12"/>
      <c r="CP7" s="12">
        <v>1</v>
      </c>
      <c r="CQ7" s="12"/>
      <c r="CR7" s="12">
        <v>1</v>
      </c>
      <c r="CV7" s="12"/>
      <c r="CW7" s="12"/>
      <c r="CX7" s="12"/>
      <c r="CY7" s="12"/>
      <c r="DC7" s="12"/>
      <c r="DD7" s="12"/>
      <c r="DE7" s="12"/>
      <c r="DF7" s="12"/>
    </row>
    <row r="8" spans="2:111" outlineLevel="1" x14ac:dyDescent="0.2">
      <c r="B8" t="s">
        <v>28</v>
      </c>
      <c r="D8" t="s">
        <v>87</v>
      </c>
      <c r="F8" s="11"/>
      <c r="G8" t="s">
        <v>91</v>
      </c>
      <c r="H8" s="12">
        <v>0.1</v>
      </c>
      <c r="J8" s="11">
        <v>0</v>
      </c>
      <c r="K8" s="13" cm="1">
        <f t="array" ref="K8">MAX(IF($O$3:$EI$3=$K$3,O8:EI8))</f>
        <v>0</v>
      </c>
      <c r="L8" s="13" cm="1">
        <f t="array" ref="L8">MAX(IF($O$3:$EI$3=$K$3,O8:EI8))</f>
        <v>0</v>
      </c>
      <c r="M8" s="11"/>
      <c r="O8">
        <v>0</v>
      </c>
      <c r="P8" s="12"/>
      <c r="Q8" s="12">
        <v>0.1</v>
      </c>
      <c r="R8" s="12"/>
      <c r="S8" s="12">
        <v>0.1</v>
      </c>
      <c r="W8" s="12"/>
      <c r="X8" s="12">
        <v>0.1</v>
      </c>
      <c r="Y8" s="12"/>
      <c r="Z8" s="12">
        <v>0.1</v>
      </c>
      <c r="AD8" s="12"/>
      <c r="AE8" s="12">
        <v>0.2</v>
      </c>
      <c r="AF8" s="12"/>
      <c r="AG8" s="12">
        <v>0.2</v>
      </c>
      <c r="AK8" s="12"/>
      <c r="AL8" s="12">
        <v>0.3</v>
      </c>
      <c r="AM8" s="12"/>
      <c r="AN8" s="12">
        <v>0.3</v>
      </c>
      <c r="AR8" s="12"/>
      <c r="AS8" s="12">
        <v>0.4</v>
      </c>
      <c r="AT8" s="12"/>
      <c r="AU8" s="12">
        <v>0.4</v>
      </c>
      <c r="AY8" s="12"/>
      <c r="AZ8" s="12">
        <v>0.5</v>
      </c>
      <c r="BA8" s="12"/>
      <c r="BB8" s="12">
        <v>0.5</v>
      </c>
      <c r="BF8" s="12"/>
      <c r="BG8" s="12">
        <v>0.6</v>
      </c>
      <c r="BH8" s="12"/>
      <c r="BI8" s="12">
        <v>0.6</v>
      </c>
      <c r="BM8" s="12"/>
      <c r="BN8" s="12">
        <v>0.7</v>
      </c>
      <c r="BO8" s="12"/>
      <c r="BP8" s="12">
        <v>0.7</v>
      </c>
      <c r="BT8" s="12"/>
      <c r="BU8" s="12">
        <v>0.8</v>
      </c>
      <c r="BV8" s="12"/>
      <c r="BW8" s="12">
        <v>0.8</v>
      </c>
      <c r="CA8" s="12"/>
      <c r="CB8" s="12">
        <v>0.9</v>
      </c>
      <c r="CC8" s="12"/>
      <c r="CD8" s="12">
        <v>0.9</v>
      </c>
      <c r="CH8" s="12"/>
      <c r="CI8" s="12">
        <v>1</v>
      </c>
      <c r="CJ8" s="12"/>
      <c r="CK8" s="12">
        <v>1</v>
      </c>
      <c r="CO8" s="12"/>
      <c r="CP8" s="12">
        <v>1</v>
      </c>
      <c r="CQ8" s="12"/>
      <c r="CR8" s="12">
        <v>1</v>
      </c>
      <c r="CV8" s="12"/>
      <c r="CW8" s="12"/>
      <c r="CX8" s="12"/>
      <c r="CY8" s="12"/>
      <c r="DC8" s="12"/>
      <c r="DD8" s="12"/>
      <c r="DE8" s="12"/>
      <c r="DF8" s="12"/>
    </row>
    <row r="9" spans="2:111" outlineLevel="1" x14ac:dyDescent="0.2">
      <c r="B9" t="s">
        <v>28</v>
      </c>
      <c r="D9" t="s">
        <v>87</v>
      </c>
      <c r="F9" s="11"/>
      <c r="G9" t="s">
        <v>92</v>
      </c>
      <c r="H9" s="12">
        <v>0.1</v>
      </c>
      <c r="J9" s="11">
        <v>0</v>
      </c>
      <c r="K9" s="13" cm="1">
        <f t="array" ref="K9">MAX(IF($O$3:$EI$3=$K$3,O9:EI9))</f>
        <v>0</v>
      </c>
      <c r="L9" s="13" cm="1">
        <f t="array" ref="L9">MAX(IF($O$3:$EI$3=$K$3,O9:EI9))</f>
        <v>0</v>
      </c>
      <c r="M9" s="11"/>
      <c r="O9">
        <v>0</v>
      </c>
      <c r="P9" s="12"/>
      <c r="Q9" s="12">
        <v>0.1</v>
      </c>
      <c r="R9" s="12"/>
      <c r="S9" s="12">
        <v>0.1</v>
      </c>
      <c r="W9" s="12"/>
      <c r="X9" s="12">
        <v>0.1</v>
      </c>
      <c r="Y9" s="12"/>
      <c r="Z9" s="12">
        <v>0.1</v>
      </c>
      <c r="AD9" s="12"/>
      <c r="AE9" s="12">
        <v>0.2</v>
      </c>
      <c r="AF9" s="12"/>
      <c r="AG9" s="12">
        <v>0.2</v>
      </c>
      <c r="AK9" s="12"/>
      <c r="AL9" s="12">
        <v>0.3</v>
      </c>
      <c r="AM9" s="12"/>
      <c r="AN9" s="12">
        <v>0.3</v>
      </c>
      <c r="AR9" s="12"/>
      <c r="AS9" s="12">
        <v>0.4</v>
      </c>
      <c r="AT9" s="12"/>
      <c r="AU9" s="12">
        <v>0.4</v>
      </c>
      <c r="AY9" s="12"/>
      <c r="AZ9" s="12">
        <v>0.5</v>
      </c>
      <c r="BA9" s="12"/>
      <c r="BB9" s="12">
        <v>0.5</v>
      </c>
      <c r="BF9" s="12"/>
      <c r="BG9" s="12">
        <v>0.6</v>
      </c>
      <c r="BH9" s="12"/>
      <c r="BI9" s="12">
        <v>0.6</v>
      </c>
      <c r="BM9" s="12"/>
      <c r="BN9" s="12">
        <v>0.7</v>
      </c>
      <c r="BO9" s="12"/>
      <c r="BP9" s="12">
        <v>0.7</v>
      </c>
      <c r="BT9" s="12"/>
      <c r="BU9" s="12">
        <v>0.8</v>
      </c>
      <c r="BV9" s="12"/>
      <c r="BW9" s="12">
        <v>0.8</v>
      </c>
      <c r="CA9" s="12"/>
      <c r="CB9" s="12">
        <v>0.9</v>
      </c>
      <c r="CC9" s="12"/>
      <c r="CD9" s="12">
        <v>0.9</v>
      </c>
      <c r="CH9" s="12"/>
      <c r="CI9" s="12">
        <v>1</v>
      </c>
      <c r="CJ9" s="12"/>
      <c r="CK9" s="12">
        <v>1</v>
      </c>
      <c r="CO9" s="12"/>
      <c r="CP9" s="12">
        <v>1</v>
      </c>
      <c r="CQ9" s="12"/>
      <c r="CR9" s="12">
        <v>1</v>
      </c>
      <c r="CV9" s="12"/>
      <c r="CW9" s="12"/>
      <c r="CX9" s="12"/>
      <c r="CY9" s="12"/>
      <c r="DC9" s="12"/>
      <c r="DD9" s="12"/>
      <c r="DE9" s="12"/>
      <c r="DF9" s="12"/>
    </row>
    <row r="10" spans="2:111" outlineLevel="1" x14ac:dyDescent="0.2">
      <c r="B10" t="s">
        <v>28</v>
      </c>
      <c r="D10" t="s">
        <v>87</v>
      </c>
      <c r="F10" s="11"/>
      <c r="G10" t="s">
        <v>93</v>
      </c>
      <c r="H10" s="12">
        <v>0.1</v>
      </c>
      <c r="J10" s="11">
        <f t="shared" ref="J6:J10" si="0">+SUMIF($O$3:$AAA$3,J$3,$O10:$AAA10)</f>
        <v>0</v>
      </c>
      <c r="K10" s="13" cm="1">
        <f t="array" ref="K10">MAX(IF($O$3:$EI$3=$K$3,O10:EI10))</f>
        <v>0</v>
      </c>
      <c r="L10" s="13" cm="1">
        <f t="array" ref="L10">MAX(IF($O$3:$EI$3=$K$3,O10:EI10))</f>
        <v>0</v>
      </c>
      <c r="M10" s="11"/>
      <c r="O10">
        <v>0</v>
      </c>
      <c r="P10" s="12"/>
      <c r="Q10" s="12">
        <v>0.1</v>
      </c>
      <c r="R10" s="12"/>
      <c r="S10" s="12">
        <v>0.1</v>
      </c>
      <c r="W10" s="12"/>
      <c r="X10" s="12">
        <v>0.1</v>
      </c>
      <c r="Y10" s="12"/>
      <c r="Z10" s="12">
        <v>0.1</v>
      </c>
      <c r="AD10" s="12"/>
      <c r="AE10" s="12">
        <v>0.2</v>
      </c>
      <c r="AF10" s="12"/>
      <c r="AG10" s="12">
        <v>0.2</v>
      </c>
      <c r="AK10" s="12"/>
      <c r="AL10" s="12">
        <v>0.3</v>
      </c>
      <c r="AM10" s="12"/>
      <c r="AN10" s="12">
        <v>0.3</v>
      </c>
      <c r="AR10" s="12"/>
      <c r="AS10" s="12">
        <v>0.4</v>
      </c>
      <c r="AT10" s="12"/>
      <c r="AU10" s="12">
        <v>0.4</v>
      </c>
      <c r="AY10" s="12"/>
      <c r="AZ10" s="12">
        <v>0.5</v>
      </c>
      <c r="BA10" s="12"/>
      <c r="BB10" s="12">
        <v>0.5</v>
      </c>
      <c r="BF10" s="12"/>
      <c r="BG10" s="12">
        <v>0.6</v>
      </c>
      <c r="BH10" s="12"/>
      <c r="BI10" s="12">
        <v>0.6</v>
      </c>
      <c r="BM10" s="12"/>
      <c r="BN10" s="12">
        <v>0.7</v>
      </c>
      <c r="BO10" s="12"/>
      <c r="BP10" s="12">
        <v>0.7</v>
      </c>
      <c r="BT10" s="12"/>
      <c r="BU10" s="12">
        <v>0.8</v>
      </c>
      <c r="BV10" s="12"/>
      <c r="BW10" s="12">
        <v>0.8</v>
      </c>
      <c r="CA10" s="12"/>
      <c r="CB10" s="12">
        <v>0.9</v>
      </c>
      <c r="CC10" s="12"/>
      <c r="CD10" s="12">
        <v>0.9</v>
      </c>
      <c r="CH10" s="12"/>
      <c r="CI10" s="12">
        <v>1</v>
      </c>
      <c r="CJ10" s="12"/>
      <c r="CK10" s="12">
        <v>1</v>
      </c>
      <c r="CO10" s="12"/>
      <c r="CP10" s="12">
        <v>1</v>
      </c>
      <c r="CQ10" s="12"/>
      <c r="CR10" s="12">
        <v>1</v>
      </c>
      <c r="CV10" s="12"/>
      <c r="CW10" s="12"/>
      <c r="CX10" s="12"/>
      <c r="CY10" s="12"/>
      <c r="DC10" s="12"/>
      <c r="DD10" s="12"/>
      <c r="DE10" s="12"/>
      <c r="DF10" s="12"/>
    </row>
    <row r="11" spans="2:111" outlineLevel="1" x14ac:dyDescent="0.2">
      <c r="B11" t="s">
        <v>28</v>
      </c>
      <c r="D11" s="24" t="s">
        <v>87</v>
      </c>
      <c r="E11" s="23"/>
      <c r="F11" s="11"/>
      <c r="G11" t="s">
        <v>94</v>
      </c>
      <c r="H11" s="12">
        <v>0.1</v>
      </c>
      <c r="J11" s="11">
        <v>0</v>
      </c>
      <c r="K11" s="13">
        <v>0</v>
      </c>
      <c r="L11" s="13">
        <v>0</v>
      </c>
      <c r="M11" s="11"/>
      <c r="O11">
        <v>0</v>
      </c>
      <c r="P11" s="12"/>
      <c r="Q11" s="12">
        <v>0.1</v>
      </c>
      <c r="R11" s="12"/>
      <c r="S11" s="12">
        <v>0.1</v>
      </c>
      <c r="W11" s="12"/>
      <c r="X11" s="12">
        <v>0.1</v>
      </c>
      <c r="Y11" s="12"/>
      <c r="Z11" s="12">
        <v>0.1</v>
      </c>
      <c r="AD11" s="12"/>
      <c r="AE11" s="12">
        <v>0.2</v>
      </c>
      <c r="AF11" s="12"/>
      <c r="AG11" s="12">
        <v>0.2</v>
      </c>
      <c r="AK11" s="12"/>
      <c r="AL11" s="12">
        <v>0.3</v>
      </c>
      <c r="AM11" s="12"/>
      <c r="AN11" s="12">
        <v>0.3</v>
      </c>
      <c r="AR11" s="12"/>
      <c r="AS11" s="12">
        <v>0.4</v>
      </c>
      <c r="AT11" s="12"/>
      <c r="AU11" s="12">
        <v>0.4</v>
      </c>
      <c r="AY11" s="12"/>
      <c r="AZ11" s="12">
        <v>0.5</v>
      </c>
      <c r="BA11" s="12"/>
      <c r="BB11" s="12">
        <v>0.5</v>
      </c>
      <c r="BF11" s="12"/>
      <c r="BG11" s="12">
        <v>0.6</v>
      </c>
      <c r="BH11" s="12"/>
      <c r="BI11" s="12">
        <v>0.6</v>
      </c>
      <c r="BM11" s="12"/>
      <c r="BN11" s="12">
        <v>0.7</v>
      </c>
      <c r="BO11" s="12"/>
      <c r="BP11" s="12">
        <v>0.7</v>
      </c>
      <c r="BT11" s="12"/>
      <c r="BU11" s="12">
        <v>0.8</v>
      </c>
      <c r="BV11" s="12"/>
      <c r="BW11" s="12">
        <v>0.8</v>
      </c>
      <c r="CA11" s="12"/>
      <c r="CB11" s="12">
        <v>0.9</v>
      </c>
      <c r="CC11" s="12"/>
      <c r="CD11" s="12">
        <v>0.9</v>
      </c>
      <c r="CH11" s="12"/>
      <c r="CI11" s="12">
        <v>1</v>
      </c>
      <c r="CJ11" s="12"/>
      <c r="CK11" s="12">
        <v>1</v>
      </c>
      <c r="CO11" s="12"/>
      <c r="CP11" s="12">
        <v>1</v>
      </c>
      <c r="CQ11" s="12"/>
      <c r="CR11" s="12">
        <v>1</v>
      </c>
      <c r="CV11" s="12"/>
      <c r="CW11" s="12"/>
      <c r="CX11" s="12"/>
      <c r="CY11" s="12"/>
      <c r="DC11" s="12"/>
      <c r="DD11" s="12"/>
      <c r="DE11" s="12"/>
      <c r="DF11" s="12"/>
    </row>
    <row r="12" spans="2:111" outlineLevel="1" x14ac:dyDescent="0.2">
      <c r="B12" t="s">
        <v>28</v>
      </c>
      <c r="D12" s="24" t="s">
        <v>87</v>
      </c>
      <c r="E12" s="23"/>
      <c r="F12" s="11"/>
      <c r="G12" t="s">
        <v>95</v>
      </c>
      <c r="H12" s="12">
        <v>0.1</v>
      </c>
      <c r="J12" s="11">
        <v>0</v>
      </c>
      <c r="K12" s="13">
        <v>0</v>
      </c>
      <c r="L12" s="13">
        <v>0</v>
      </c>
      <c r="M12" s="11"/>
      <c r="O12">
        <v>0</v>
      </c>
      <c r="P12" s="12"/>
      <c r="Q12" s="12">
        <v>0.1</v>
      </c>
      <c r="R12" s="12"/>
      <c r="S12" s="12">
        <v>0.1</v>
      </c>
      <c r="W12" s="12"/>
      <c r="X12" s="12">
        <v>0.1</v>
      </c>
      <c r="Y12" s="12"/>
      <c r="Z12" s="12">
        <v>0.1</v>
      </c>
      <c r="AD12" s="12"/>
      <c r="AE12" s="12">
        <v>0.2</v>
      </c>
      <c r="AF12" s="12"/>
      <c r="AG12" s="12">
        <v>0.2</v>
      </c>
      <c r="AK12" s="12"/>
      <c r="AL12" s="12">
        <v>0.3</v>
      </c>
      <c r="AM12" s="12"/>
      <c r="AN12" s="12">
        <v>0.3</v>
      </c>
      <c r="AR12" s="12"/>
      <c r="AS12" s="12">
        <v>0.4</v>
      </c>
      <c r="AT12" s="12"/>
      <c r="AU12" s="12">
        <v>0.4</v>
      </c>
      <c r="AY12" s="12"/>
      <c r="AZ12" s="12">
        <v>0.5</v>
      </c>
      <c r="BA12" s="12"/>
      <c r="BB12" s="12">
        <v>0.5</v>
      </c>
      <c r="BF12" s="12"/>
      <c r="BG12" s="12">
        <v>0.6</v>
      </c>
      <c r="BH12" s="12"/>
      <c r="BI12" s="12">
        <v>0.6</v>
      </c>
      <c r="BM12" s="12"/>
      <c r="BN12" s="12">
        <v>0.7</v>
      </c>
      <c r="BO12" s="12"/>
      <c r="BP12" s="12">
        <v>0.7</v>
      </c>
      <c r="BT12" s="12"/>
      <c r="BU12" s="12">
        <v>0.8</v>
      </c>
      <c r="BV12" s="12"/>
      <c r="BW12" s="12">
        <v>0.8</v>
      </c>
      <c r="CA12" s="12"/>
      <c r="CB12" s="12">
        <v>0.9</v>
      </c>
      <c r="CC12" s="12"/>
      <c r="CD12" s="12">
        <v>0.9</v>
      </c>
      <c r="CH12" s="12"/>
      <c r="CI12" s="12">
        <v>1</v>
      </c>
      <c r="CJ12" s="12"/>
      <c r="CK12" s="12">
        <v>1</v>
      </c>
      <c r="CO12" s="12"/>
      <c r="CP12" s="12">
        <v>1</v>
      </c>
      <c r="CQ12" s="12"/>
      <c r="CR12" s="12">
        <v>1</v>
      </c>
      <c r="CV12" s="12"/>
      <c r="CW12" s="12"/>
      <c r="CX12" s="12"/>
      <c r="CY12" s="12"/>
      <c r="DC12" s="12"/>
      <c r="DD12" s="12"/>
      <c r="DE12" s="12"/>
      <c r="DF12" s="12"/>
    </row>
    <row r="13" spans="2:111" outlineLevel="1" x14ac:dyDescent="0.2">
      <c r="B13" t="s">
        <v>28</v>
      </c>
      <c r="D13" s="24" t="s">
        <v>87</v>
      </c>
      <c r="E13" s="23"/>
      <c r="F13" s="11"/>
      <c r="G13" t="s">
        <v>96</v>
      </c>
      <c r="H13" s="12">
        <v>0.1</v>
      </c>
      <c r="J13" s="11">
        <v>0</v>
      </c>
      <c r="K13" s="13">
        <v>0</v>
      </c>
      <c r="L13" s="13">
        <v>0</v>
      </c>
      <c r="M13" s="11"/>
      <c r="O13">
        <v>0</v>
      </c>
      <c r="P13" s="12"/>
      <c r="Q13" s="12">
        <v>0.1</v>
      </c>
      <c r="R13" s="12"/>
      <c r="S13" s="12">
        <v>0.1</v>
      </c>
      <c r="W13" s="12"/>
      <c r="X13" s="12">
        <v>0.1</v>
      </c>
      <c r="Y13" s="12"/>
      <c r="Z13" s="12">
        <v>0.1</v>
      </c>
      <c r="AD13" s="12"/>
      <c r="AE13" s="12">
        <v>0.2</v>
      </c>
      <c r="AF13" s="12"/>
      <c r="AG13" s="12">
        <v>0.2</v>
      </c>
      <c r="AK13" s="12"/>
      <c r="AL13" s="12">
        <v>0.3</v>
      </c>
      <c r="AM13" s="12"/>
      <c r="AN13" s="12">
        <v>0.3</v>
      </c>
      <c r="AR13" s="12"/>
      <c r="AS13" s="12">
        <v>0.4</v>
      </c>
      <c r="AT13" s="12"/>
      <c r="AU13" s="12">
        <v>0.4</v>
      </c>
      <c r="AY13" s="12"/>
      <c r="AZ13" s="12">
        <v>0.5</v>
      </c>
      <c r="BA13" s="12"/>
      <c r="BB13" s="12">
        <v>0.5</v>
      </c>
      <c r="BF13" s="12"/>
      <c r="BG13" s="12">
        <v>0.6</v>
      </c>
      <c r="BH13" s="12"/>
      <c r="BI13" s="12">
        <v>0.6</v>
      </c>
      <c r="BM13" s="12"/>
      <c r="BN13" s="12">
        <v>0.7</v>
      </c>
      <c r="BO13" s="12"/>
      <c r="BP13" s="12">
        <v>0.7</v>
      </c>
      <c r="BT13" s="12"/>
      <c r="BU13" s="12">
        <v>0.8</v>
      </c>
      <c r="BV13" s="12"/>
      <c r="BW13" s="12">
        <v>0.8</v>
      </c>
      <c r="CA13" s="12"/>
      <c r="CB13" s="12">
        <v>0.9</v>
      </c>
      <c r="CC13" s="12"/>
      <c r="CD13" s="12">
        <v>0.9</v>
      </c>
      <c r="CH13" s="12"/>
      <c r="CI13" s="12">
        <v>1</v>
      </c>
      <c r="CJ13" s="12"/>
      <c r="CK13" s="12">
        <v>1</v>
      </c>
      <c r="CO13" s="12"/>
      <c r="CP13" s="12">
        <v>1</v>
      </c>
      <c r="CQ13" s="12"/>
      <c r="CR13" s="12">
        <v>1</v>
      </c>
      <c r="CV13" s="12"/>
      <c r="CW13" s="12"/>
      <c r="CX13" s="12"/>
      <c r="CY13" s="12"/>
      <c r="DC13" s="12"/>
      <c r="DD13" s="12"/>
      <c r="DE13" s="12"/>
      <c r="DF13" s="12"/>
    </row>
    <row r="14" spans="2:111" outlineLevel="1" x14ac:dyDescent="0.2">
      <c r="B14" t="s">
        <v>28</v>
      </c>
      <c r="D14" s="24" t="s">
        <v>87</v>
      </c>
      <c r="E14" s="23"/>
      <c r="F14" s="11"/>
      <c r="G14" t="s">
        <v>97</v>
      </c>
      <c r="H14" s="12">
        <v>0.1</v>
      </c>
      <c r="J14" s="11">
        <v>0</v>
      </c>
      <c r="K14" s="13">
        <v>0</v>
      </c>
      <c r="L14" s="13">
        <v>0</v>
      </c>
      <c r="M14" s="11"/>
      <c r="O14">
        <v>0</v>
      </c>
      <c r="P14" s="12"/>
      <c r="Q14" s="12">
        <v>0.1</v>
      </c>
      <c r="R14" s="12"/>
      <c r="S14" s="12">
        <v>0.1</v>
      </c>
      <c r="W14" s="12"/>
      <c r="X14" s="12">
        <v>0.1</v>
      </c>
      <c r="Y14" s="12"/>
      <c r="Z14" s="12">
        <v>0.1</v>
      </c>
      <c r="AD14" s="12"/>
      <c r="AE14" s="12">
        <v>0.2</v>
      </c>
      <c r="AF14" s="12"/>
      <c r="AG14" s="12">
        <v>0.2</v>
      </c>
      <c r="AK14" s="12"/>
      <c r="AL14" s="12">
        <v>0.3</v>
      </c>
      <c r="AM14" s="12"/>
      <c r="AN14" s="12">
        <v>0.3</v>
      </c>
      <c r="AR14" s="12"/>
      <c r="AS14" s="12">
        <v>0.4</v>
      </c>
      <c r="AT14" s="12"/>
      <c r="AU14" s="12">
        <v>0.4</v>
      </c>
      <c r="AY14" s="12"/>
      <c r="AZ14" s="12">
        <v>0.5</v>
      </c>
      <c r="BA14" s="12"/>
      <c r="BB14" s="12">
        <v>0.5</v>
      </c>
      <c r="BF14" s="12"/>
      <c r="BG14" s="12">
        <v>0.6</v>
      </c>
      <c r="BH14" s="12"/>
      <c r="BI14" s="12">
        <v>0.6</v>
      </c>
      <c r="BM14" s="12"/>
      <c r="BN14" s="12">
        <v>0.7</v>
      </c>
      <c r="BO14" s="12"/>
      <c r="BP14" s="12">
        <v>0.7</v>
      </c>
      <c r="BT14" s="12"/>
      <c r="BU14" s="12">
        <v>0.8</v>
      </c>
      <c r="BV14" s="12"/>
      <c r="BW14" s="12">
        <v>0.8</v>
      </c>
      <c r="CA14" s="12"/>
      <c r="CB14" s="12">
        <v>0.9</v>
      </c>
      <c r="CC14" s="12"/>
      <c r="CD14" s="12">
        <v>0.9</v>
      </c>
      <c r="CH14" s="12"/>
      <c r="CI14" s="12">
        <v>1</v>
      </c>
      <c r="CJ14" s="12"/>
      <c r="CK14" s="12">
        <v>1</v>
      </c>
      <c r="CO14" s="12"/>
      <c r="CP14" s="12">
        <v>1</v>
      </c>
      <c r="CQ14" s="12"/>
      <c r="CR14" s="12">
        <v>1</v>
      </c>
      <c r="CV14" s="12"/>
      <c r="CW14" s="12"/>
      <c r="CX14" s="12"/>
      <c r="CY14" s="12"/>
      <c r="DC14" s="12"/>
      <c r="DD14" s="12"/>
      <c r="DE14" s="12"/>
      <c r="DF14" s="12"/>
    </row>
    <row r="15" spans="2:111" x14ac:dyDescent="0.2">
      <c r="O15">
        <v>0</v>
      </c>
      <c r="P15" s="9"/>
      <c r="W15" s="9"/>
      <c r="AD15" s="9"/>
      <c r="AK15" s="9"/>
      <c r="AR15" s="9"/>
      <c r="AY15" s="9"/>
      <c r="BF15" s="9"/>
      <c r="BM15" s="9"/>
      <c r="BT15" s="9"/>
      <c r="CA15" s="9"/>
      <c r="CH15" s="9"/>
      <c r="CO15" s="9"/>
      <c r="CV15" s="9"/>
      <c r="DC15" s="9"/>
    </row>
    <row r="16" spans="2:111" x14ac:dyDescent="0.2">
      <c r="B16" t="s">
        <v>27</v>
      </c>
      <c r="D16" s="25" t="s">
        <v>104</v>
      </c>
      <c r="E16" s="22" t="s">
        <v>133</v>
      </c>
      <c r="F16" s="11">
        <v>3</v>
      </c>
      <c r="H16" s="12">
        <f>+SUM(H17:H22)</f>
        <v>0.99600000000000011</v>
      </c>
      <c r="J16" s="14">
        <f>+SUM(J17:J22)</f>
        <v>0</v>
      </c>
      <c r="K16" s="13">
        <f>+SUMPRODUCT(H17:H22,K17:K22)</f>
        <v>0</v>
      </c>
      <c r="L16" s="13">
        <f>+SUMPRODUCT(H17:H22,L17:L22)</f>
        <v>0</v>
      </c>
      <c r="M16" s="11"/>
      <c r="O16" s="14">
        <v>0</v>
      </c>
      <c r="V16" s="14">
        <f>+SUM(V17:V22)</f>
        <v>0</v>
      </c>
      <c r="AC16" s="14">
        <f>+SUM(AC17:AC22)</f>
        <v>0</v>
      </c>
      <c r="AJ16" s="14">
        <f>+SUM(AJ17:AJ22)</f>
        <v>0</v>
      </c>
      <c r="AQ16" s="14">
        <f>+SUM(AQ17:AQ22)</f>
        <v>0</v>
      </c>
    </row>
    <row r="17" spans="2:110" outlineLevel="1" x14ac:dyDescent="0.2">
      <c r="B17" t="s">
        <v>28</v>
      </c>
      <c r="D17" s="25" t="s">
        <v>104</v>
      </c>
      <c r="F17" s="11"/>
      <c r="G17" t="s">
        <v>98</v>
      </c>
      <c r="H17" s="12">
        <v>0.16600000000000001</v>
      </c>
      <c r="J17" s="11">
        <v>0</v>
      </c>
      <c r="K17" s="13">
        <v>0</v>
      </c>
      <c r="L17" s="13">
        <v>0</v>
      </c>
      <c r="M17" s="11"/>
      <c r="O17">
        <v>0</v>
      </c>
      <c r="P17" s="12"/>
      <c r="Q17" s="12">
        <v>0.1</v>
      </c>
      <c r="R17" s="12"/>
      <c r="S17" s="12">
        <v>0.1</v>
      </c>
      <c r="W17" s="12"/>
      <c r="X17" s="12">
        <v>0.1</v>
      </c>
      <c r="Y17" s="12"/>
      <c r="Z17" s="12">
        <v>0.1</v>
      </c>
      <c r="AD17" s="12"/>
      <c r="AE17" s="12">
        <v>0.2</v>
      </c>
      <c r="AF17" s="12"/>
      <c r="AG17" s="12">
        <v>0.2</v>
      </c>
      <c r="AK17" s="12"/>
      <c r="AL17" s="12">
        <v>0.3</v>
      </c>
      <c r="AM17" s="12"/>
      <c r="AN17" s="12">
        <v>0.3</v>
      </c>
      <c r="AR17" s="12"/>
      <c r="AS17" s="12">
        <v>0.4</v>
      </c>
      <c r="AT17" s="12"/>
      <c r="AU17" s="12">
        <v>0.4</v>
      </c>
      <c r="AY17" s="12"/>
      <c r="AZ17" s="12">
        <v>0.5</v>
      </c>
      <c r="BA17" s="12"/>
      <c r="BB17" s="12">
        <v>0.5</v>
      </c>
      <c r="BF17" s="12"/>
      <c r="BG17" s="12">
        <v>0.6</v>
      </c>
      <c r="BH17" s="12"/>
      <c r="BI17" s="12">
        <v>0.6</v>
      </c>
      <c r="BM17" s="12"/>
      <c r="BN17" s="12">
        <v>0.7</v>
      </c>
      <c r="BO17" s="12"/>
      <c r="BP17" s="12">
        <v>0.7</v>
      </c>
      <c r="BT17" s="12"/>
      <c r="BU17" s="12">
        <v>0.8</v>
      </c>
      <c r="BV17" s="12"/>
      <c r="BW17" s="12">
        <v>0.8</v>
      </c>
      <c r="CA17" s="12"/>
      <c r="CB17" s="12">
        <v>0.9</v>
      </c>
      <c r="CC17" s="12"/>
      <c r="CD17" s="12">
        <v>0.9</v>
      </c>
      <c r="CH17" s="12"/>
      <c r="CI17" s="12">
        <v>1</v>
      </c>
      <c r="CJ17" s="12"/>
      <c r="CK17" s="12">
        <v>1</v>
      </c>
      <c r="CO17" s="12"/>
      <c r="CP17" s="12">
        <v>1</v>
      </c>
      <c r="CQ17" s="12"/>
      <c r="CR17" s="12">
        <v>1</v>
      </c>
      <c r="CV17" s="12"/>
      <c r="CW17" s="12"/>
      <c r="CX17" s="12"/>
      <c r="CY17" s="12"/>
      <c r="DC17" s="12"/>
      <c r="DD17" s="12"/>
      <c r="DE17" s="12"/>
      <c r="DF17" s="12"/>
    </row>
    <row r="18" spans="2:110" outlineLevel="1" x14ac:dyDescent="0.2">
      <c r="B18" t="s">
        <v>28</v>
      </c>
      <c r="D18" s="25" t="s">
        <v>104</v>
      </c>
      <c r="F18" s="11"/>
      <c r="G18" t="s">
        <v>99</v>
      </c>
      <c r="H18" s="12">
        <v>0.16600000000000001</v>
      </c>
      <c r="J18" s="11">
        <v>0</v>
      </c>
      <c r="K18" s="13">
        <v>0</v>
      </c>
      <c r="L18" s="13">
        <v>0</v>
      </c>
      <c r="M18" s="11"/>
      <c r="O18">
        <v>0</v>
      </c>
      <c r="P18" s="12"/>
      <c r="Q18" s="12">
        <v>0.1</v>
      </c>
      <c r="R18" s="12"/>
      <c r="S18" s="12">
        <v>0.1</v>
      </c>
      <c r="W18" s="12"/>
      <c r="X18" s="12">
        <v>0.1</v>
      </c>
      <c r="Y18" s="12"/>
      <c r="Z18" s="12">
        <v>0.1</v>
      </c>
      <c r="AD18" s="12"/>
      <c r="AE18" s="12">
        <v>0.2</v>
      </c>
      <c r="AF18" s="12"/>
      <c r="AG18" s="12">
        <v>0.2</v>
      </c>
      <c r="AK18" s="12"/>
      <c r="AL18" s="12">
        <v>0.3</v>
      </c>
      <c r="AM18" s="12"/>
      <c r="AN18" s="12">
        <v>0.3</v>
      </c>
      <c r="AR18" s="12"/>
      <c r="AS18" s="12">
        <v>0.4</v>
      </c>
      <c r="AT18" s="12"/>
      <c r="AU18" s="12">
        <v>0.4</v>
      </c>
      <c r="AY18" s="12"/>
      <c r="AZ18" s="12">
        <v>0.5</v>
      </c>
      <c r="BA18" s="12"/>
      <c r="BB18" s="12">
        <v>0.5</v>
      </c>
      <c r="BF18" s="12"/>
      <c r="BG18" s="12">
        <v>0.6</v>
      </c>
      <c r="BH18" s="12"/>
      <c r="BI18" s="12">
        <v>0.6</v>
      </c>
      <c r="BM18" s="12"/>
      <c r="BN18" s="12">
        <v>0.7</v>
      </c>
      <c r="BO18" s="12"/>
      <c r="BP18" s="12">
        <v>0.7</v>
      </c>
      <c r="BT18" s="12"/>
      <c r="BU18" s="12">
        <v>0.8</v>
      </c>
      <c r="BV18" s="12"/>
      <c r="BW18" s="12">
        <v>0.8</v>
      </c>
      <c r="CA18" s="12"/>
      <c r="CB18" s="12">
        <v>0.9</v>
      </c>
      <c r="CC18" s="12"/>
      <c r="CD18" s="12">
        <v>0.9</v>
      </c>
      <c r="CH18" s="12"/>
      <c r="CI18" s="12">
        <v>1</v>
      </c>
      <c r="CJ18" s="12"/>
      <c r="CK18" s="12">
        <v>1</v>
      </c>
      <c r="CO18" s="12"/>
      <c r="CP18" s="12">
        <v>1</v>
      </c>
      <c r="CQ18" s="12"/>
      <c r="CR18" s="12">
        <v>1</v>
      </c>
      <c r="CV18" s="12"/>
      <c r="CW18" s="12"/>
      <c r="CX18" s="12"/>
      <c r="CY18" s="12"/>
      <c r="DC18" s="12"/>
      <c r="DD18" s="12"/>
      <c r="DE18" s="12"/>
      <c r="DF18" s="12"/>
    </row>
    <row r="19" spans="2:110" outlineLevel="1" x14ac:dyDescent="0.2">
      <c r="B19" t="s">
        <v>28</v>
      </c>
      <c r="D19" s="25" t="s">
        <v>104</v>
      </c>
      <c r="F19" s="11"/>
      <c r="G19" t="s">
        <v>100</v>
      </c>
      <c r="H19" s="12">
        <v>0.16600000000000001</v>
      </c>
      <c r="J19" s="11">
        <v>0</v>
      </c>
      <c r="K19" s="13" cm="1">
        <f t="array" ref="K19">MAX(IF($O$3:$EI$3=$K$3,O19:EI19))</f>
        <v>0</v>
      </c>
      <c r="L19" s="13" cm="1">
        <f t="array" ref="L19">MAX(IF($O$3:$EI$3=$K$3,O19:EI19))</f>
        <v>0</v>
      </c>
      <c r="M19" s="11"/>
      <c r="P19" s="12"/>
      <c r="Q19" s="12">
        <v>0.1</v>
      </c>
      <c r="R19" s="12"/>
      <c r="S19" s="12">
        <v>0.1</v>
      </c>
      <c r="W19" s="12"/>
      <c r="X19" s="12">
        <v>0.1</v>
      </c>
      <c r="Y19" s="12"/>
      <c r="Z19" s="12">
        <v>0.1</v>
      </c>
      <c r="AD19" s="12"/>
      <c r="AE19" s="12">
        <v>0.2</v>
      </c>
      <c r="AF19" s="12"/>
      <c r="AG19" s="12">
        <v>0.2</v>
      </c>
      <c r="AK19" s="12"/>
      <c r="AL19" s="12">
        <v>0.3</v>
      </c>
      <c r="AM19" s="12"/>
      <c r="AN19" s="12">
        <v>0.3</v>
      </c>
      <c r="AR19" s="12"/>
      <c r="AS19" s="12">
        <v>0.4</v>
      </c>
      <c r="AT19" s="12"/>
      <c r="AU19" s="12">
        <v>0.4</v>
      </c>
      <c r="AY19" s="12"/>
      <c r="AZ19" s="12">
        <v>0.5</v>
      </c>
      <c r="BA19" s="12"/>
      <c r="BB19" s="12">
        <v>0.5</v>
      </c>
      <c r="BF19" s="12"/>
      <c r="BG19" s="12">
        <v>0.6</v>
      </c>
      <c r="BH19" s="12"/>
      <c r="BI19" s="12">
        <v>0.6</v>
      </c>
      <c r="BM19" s="12"/>
      <c r="BN19" s="12">
        <v>0.7</v>
      </c>
      <c r="BO19" s="12"/>
      <c r="BP19" s="12">
        <v>0.7</v>
      </c>
      <c r="BT19" s="12"/>
      <c r="BU19" s="12">
        <v>0.8</v>
      </c>
      <c r="BV19" s="12"/>
      <c r="BW19" s="12">
        <v>0.8</v>
      </c>
      <c r="CA19" s="12"/>
      <c r="CB19" s="12">
        <v>0.9</v>
      </c>
      <c r="CC19" s="12"/>
      <c r="CD19" s="12">
        <v>0.9</v>
      </c>
      <c r="CH19" s="12"/>
      <c r="CI19" s="12">
        <v>1</v>
      </c>
      <c r="CJ19" s="12"/>
      <c r="CK19" s="12">
        <v>1</v>
      </c>
      <c r="CO19" s="12"/>
      <c r="CP19" s="12">
        <v>1</v>
      </c>
      <c r="CQ19" s="12"/>
      <c r="CR19" s="12">
        <v>1</v>
      </c>
      <c r="CV19" s="12"/>
      <c r="CW19" s="12"/>
      <c r="CX19" s="12"/>
      <c r="CY19" s="12"/>
      <c r="DC19" s="12"/>
      <c r="DD19" s="12"/>
      <c r="DE19" s="12"/>
      <c r="DF19" s="12"/>
    </row>
    <row r="20" spans="2:110" outlineLevel="1" x14ac:dyDescent="0.2">
      <c r="B20" t="s">
        <v>28</v>
      </c>
      <c r="D20" s="25" t="s">
        <v>104</v>
      </c>
      <c r="F20" s="11"/>
      <c r="G20" t="s">
        <v>101</v>
      </c>
      <c r="H20" s="12">
        <v>0.16600000000000001</v>
      </c>
      <c r="J20" s="11">
        <f t="shared" ref="J17:J22" si="1">+SUMIF($O$3:$AAA$3,J$3,$O20:$AAA20)</f>
        <v>0</v>
      </c>
      <c r="K20" s="13" cm="1">
        <f t="array" ref="K20">MAX(IF($O$3:$EI$3=$K$3,O20:EI20))</f>
        <v>0</v>
      </c>
      <c r="L20" s="13" cm="1">
        <f t="array" ref="L20">MAX(IF($O$3:$EI$3=$K$3,O20:EI20))</f>
        <v>0</v>
      </c>
      <c r="M20" s="11"/>
      <c r="P20" s="12"/>
      <c r="Q20" s="12">
        <v>0.1</v>
      </c>
      <c r="R20" s="12"/>
      <c r="S20" s="12">
        <v>0.1</v>
      </c>
      <c r="W20" s="12"/>
      <c r="X20" s="12">
        <v>0.1</v>
      </c>
      <c r="Y20" s="12"/>
      <c r="Z20" s="12">
        <v>0.1</v>
      </c>
      <c r="AD20" s="12"/>
      <c r="AE20" s="12">
        <v>0.2</v>
      </c>
      <c r="AF20" s="12"/>
      <c r="AG20" s="12">
        <v>0.2</v>
      </c>
      <c r="AK20" s="12"/>
      <c r="AL20" s="12">
        <v>0.3</v>
      </c>
      <c r="AM20" s="12"/>
      <c r="AN20" s="12">
        <v>0.3</v>
      </c>
      <c r="AR20" s="12"/>
      <c r="AS20" s="12">
        <v>0.4</v>
      </c>
      <c r="AT20" s="12"/>
      <c r="AU20" s="12">
        <v>0.4</v>
      </c>
      <c r="AY20" s="12"/>
      <c r="AZ20" s="12">
        <v>0.5</v>
      </c>
      <c r="BA20" s="12"/>
      <c r="BB20" s="12">
        <v>0.5</v>
      </c>
      <c r="BF20" s="12"/>
      <c r="BG20" s="12">
        <v>0.6</v>
      </c>
      <c r="BH20" s="12"/>
      <c r="BI20" s="12">
        <v>0.6</v>
      </c>
      <c r="BM20" s="12"/>
      <c r="BN20" s="12">
        <v>0.7</v>
      </c>
      <c r="BO20" s="12"/>
      <c r="BP20" s="12">
        <v>0.7</v>
      </c>
      <c r="BT20" s="12"/>
      <c r="BU20" s="12">
        <v>0.8</v>
      </c>
      <c r="BV20" s="12"/>
      <c r="BW20" s="12">
        <v>0.8</v>
      </c>
      <c r="CA20" s="12"/>
      <c r="CB20" s="12">
        <v>0.9</v>
      </c>
      <c r="CC20" s="12"/>
      <c r="CD20" s="12">
        <v>0.9</v>
      </c>
      <c r="CH20" s="12"/>
      <c r="CI20" s="12">
        <v>1</v>
      </c>
      <c r="CJ20" s="12"/>
      <c r="CK20" s="12">
        <v>1</v>
      </c>
      <c r="CO20" s="12"/>
      <c r="CP20" s="12">
        <v>1</v>
      </c>
      <c r="CQ20" s="12"/>
      <c r="CR20" s="12">
        <v>1</v>
      </c>
      <c r="CV20" s="12"/>
      <c r="CW20" s="12"/>
      <c r="CX20" s="12"/>
      <c r="CY20" s="12"/>
      <c r="DC20" s="12"/>
      <c r="DD20" s="12"/>
      <c r="DE20" s="12"/>
      <c r="DF20" s="12"/>
    </row>
    <row r="21" spans="2:110" outlineLevel="1" x14ac:dyDescent="0.2">
      <c r="B21" t="s">
        <v>28</v>
      </c>
      <c r="D21" s="25" t="s">
        <v>104</v>
      </c>
      <c r="F21" s="11"/>
      <c r="G21" t="s">
        <v>102</v>
      </c>
      <c r="H21" s="12">
        <v>0.16600000000000001</v>
      </c>
      <c r="J21" s="11">
        <f t="shared" si="1"/>
        <v>0</v>
      </c>
      <c r="K21" s="13" cm="1">
        <f t="array" ref="K21">MAX(IF($O$3:$EI$3=$K$3,O21:EI21))</f>
        <v>0</v>
      </c>
      <c r="L21" s="13" cm="1">
        <f t="array" ref="L21">MAX(IF($O$3:$EI$3=$K$3,O21:EI21))</f>
        <v>0</v>
      </c>
      <c r="M21" s="11"/>
      <c r="P21" s="12"/>
      <c r="Q21" s="12">
        <v>0.1</v>
      </c>
      <c r="R21" s="12"/>
      <c r="S21" s="12">
        <v>0.1</v>
      </c>
      <c r="W21" s="12"/>
      <c r="X21" s="12">
        <v>0.1</v>
      </c>
      <c r="Y21" s="12"/>
      <c r="Z21" s="12">
        <v>0.1</v>
      </c>
      <c r="AD21" s="12"/>
      <c r="AE21" s="12">
        <v>0.2</v>
      </c>
      <c r="AF21" s="12"/>
      <c r="AG21" s="12">
        <v>0.2</v>
      </c>
      <c r="AK21" s="12"/>
      <c r="AL21" s="12">
        <v>0.3</v>
      </c>
      <c r="AM21" s="12"/>
      <c r="AN21" s="12">
        <v>0.3</v>
      </c>
      <c r="AR21" s="12"/>
      <c r="AS21" s="12">
        <v>0.4</v>
      </c>
      <c r="AT21" s="12"/>
      <c r="AU21" s="12">
        <v>0.4</v>
      </c>
      <c r="AY21" s="12"/>
      <c r="AZ21" s="12">
        <v>0.5</v>
      </c>
      <c r="BA21" s="12"/>
      <c r="BB21" s="12">
        <v>0.5</v>
      </c>
      <c r="BF21" s="12"/>
      <c r="BG21" s="12">
        <v>0.6</v>
      </c>
      <c r="BH21" s="12"/>
      <c r="BI21" s="12">
        <v>0.6</v>
      </c>
      <c r="BM21" s="12"/>
      <c r="BN21" s="12">
        <v>0.7</v>
      </c>
      <c r="BO21" s="12"/>
      <c r="BP21" s="12">
        <v>0.7</v>
      </c>
      <c r="BT21" s="12"/>
      <c r="BU21" s="12">
        <v>0.8</v>
      </c>
      <c r="BV21" s="12"/>
      <c r="BW21" s="12">
        <v>0.8</v>
      </c>
      <c r="CA21" s="12"/>
      <c r="CB21" s="12">
        <v>0.9</v>
      </c>
      <c r="CC21" s="12"/>
      <c r="CD21" s="12">
        <v>0.9</v>
      </c>
      <c r="CH21" s="12"/>
      <c r="CI21" s="12">
        <v>1</v>
      </c>
      <c r="CJ21" s="12"/>
      <c r="CK21" s="12">
        <v>1</v>
      </c>
      <c r="CO21" s="12"/>
      <c r="CP21" s="12">
        <v>1</v>
      </c>
      <c r="CQ21" s="12"/>
      <c r="CR21" s="12">
        <v>1</v>
      </c>
      <c r="CV21" s="12"/>
      <c r="CW21" s="12"/>
      <c r="CX21" s="12"/>
      <c r="CY21" s="12"/>
      <c r="DC21" s="12"/>
      <c r="DD21" s="12"/>
      <c r="DE21" s="12"/>
      <c r="DF21" s="12"/>
    </row>
    <row r="22" spans="2:110" outlineLevel="1" x14ac:dyDescent="0.2">
      <c r="B22" t="s">
        <v>28</v>
      </c>
      <c r="D22" s="25" t="s">
        <v>104</v>
      </c>
      <c r="F22" s="11"/>
      <c r="G22" t="s">
        <v>103</v>
      </c>
      <c r="H22" s="12">
        <v>0.16600000000000001</v>
      </c>
      <c r="J22" s="11">
        <f t="shared" si="1"/>
        <v>0</v>
      </c>
      <c r="K22" s="13" cm="1">
        <f t="array" ref="K22">MAX(IF($O$3:$EI$3=$K$3,O22:EI22))</f>
        <v>0</v>
      </c>
      <c r="L22" s="13" cm="1">
        <f t="array" ref="L22">MAX(IF($O$3:$EI$3=$K$3,O22:EI22))</f>
        <v>0</v>
      </c>
      <c r="M22" s="11"/>
      <c r="P22" s="12"/>
      <c r="Q22" s="12">
        <v>0.1</v>
      </c>
      <c r="R22" s="12"/>
      <c r="S22" s="12">
        <v>0.1</v>
      </c>
      <c r="W22" s="12"/>
      <c r="X22" s="12">
        <v>0.1</v>
      </c>
      <c r="Y22" s="12"/>
      <c r="Z22" s="12">
        <v>0.1</v>
      </c>
      <c r="AD22" s="12"/>
      <c r="AE22" s="12">
        <v>0.2</v>
      </c>
      <c r="AF22" s="12"/>
      <c r="AG22" s="12">
        <v>0.2</v>
      </c>
      <c r="AK22" s="12"/>
      <c r="AL22" s="12">
        <v>0.3</v>
      </c>
      <c r="AM22" s="12"/>
      <c r="AN22" s="12">
        <v>0.3</v>
      </c>
      <c r="AR22" s="12"/>
      <c r="AS22" s="12">
        <v>0.4</v>
      </c>
      <c r="AT22" s="12"/>
      <c r="AU22" s="12">
        <v>0.4</v>
      </c>
      <c r="AY22" s="12"/>
      <c r="AZ22" s="12">
        <v>0.5</v>
      </c>
      <c r="BA22" s="12"/>
      <c r="BB22" s="12">
        <v>0.5</v>
      </c>
      <c r="BF22" s="12"/>
      <c r="BG22" s="12">
        <v>0.6</v>
      </c>
      <c r="BH22" s="12"/>
      <c r="BI22" s="12">
        <v>0.6</v>
      </c>
      <c r="BM22" s="12"/>
      <c r="BN22" s="12">
        <v>0.7</v>
      </c>
      <c r="BO22" s="12"/>
      <c r="BP22" s="12">
        <v>0.7</v>
      </c>
      <c r="BT22" s="12"/>
      <c r="BU22" s="12">
        <v>0.8</v>
      </c>
      <c r="BV22" s="12"/>
      <c r="BW22" s="12">
        <v>0.8</v>
      </c>
      <c r="CA22" s="12"/>
      <c r="CB22" s="12">
        <v>0.9</v>
      </c>
      <c r="CC22" s="12"/>
      <c r="CD22" s="12">
        <v>0.9</v>
      </c>
      <c r="CH22" s="12"/>
      <c r="CI22" s="12">
        <v>1</v>
      </c>
      <c r="CJ22" s="12"/>
      <c r="CK22" s="12">
        <v>1</v>
      </c>
      <c r="CO22" s="12"/>
      <c r="CP22" s="12">
        <v>1</v>
      </c>
      <c r="CQ22" s="12"/>
      <c r="CR22" s="12">
        <v>1</v>
      </c>
      <c r="CV22" s="12"/>
      <c r="CW22" s="12"/>
      <c r="CX22" s="12"/>
      <c r="CY22" s="12"/>
      <c r="DC22" s="12"/>
      <c r="DD22" s="12"/>
      <c r="DE22" s="12"/>
      <c r="DF22" s="12"/>
    </row>
    <row r="24" spans="2:110" x14ac:dyDescent="0.2">
      <c r="B24" t="s">
        <v>27</v>
      </c>
      <c r="D24" s="23" t="s">
        <v>105</v>
      </c>
      <c r="E24" s="22">
        <v>45868</v>
      </c>
      <c r="F24" s="11">
        <v>6</v>
      </c>
      <c r="H24" s="12">
        <f>+SUM(H25:H41)</f>
        <v>0.98600000000000043</v>
      </c>
      <c r="J24" s="14">
        <f>+SUM(J25:J35)</f>
        <v>0</v>
      </c>
      <c r="K24" s="13">
        <f>+SUMPRODUCT(H25:H35,K25:K35)</f>
        <v>0</v>
      </c>
      <c r="L24" s="13">
        <f>+SUMPRODUCT(H25:H35,L25:L35)</f>
        <v>0</v>
      </c>
      <c r="M24" s="11"/>
      <c r="O24" s="14">
        <f>+SUM(O25:O35)</f>
        <v>0</v>
      </c>
      <c r="V24" s="14">
        <f>+SUM(V25:V35)</f>
        <v>0</v>
      </c>
      <c r="AC24" s="14">
        <f>+SUM(AC25:AC35)</f>
        <v>0</v>
      </c>
      <c r="AJ24" s="14">
        <f>+SUM(AJ25:AJ35)</f>
        <v>0</v>
      </c>
      <c r="AQ24" s="14">
        <f>+SUM(AQ25:AQ35)</f>
        <v>0</v>
      </c>
    </row>
    <row r="25" spans="2:110" outlineLevel="1" x14ac:dyDescent="0.2">
      <c r="B25" t="s">
        <v>28</v>
      </c>
      <c r="D25" s="24" t="s">
        <v>105</v>
      </c>
      <c r="E25" s="24"/>
      <c r="F25" s="11"/>
      <c r="G25" s="26" t="s">
        <v>106</v>
      </c>
      <c r="H25" s="12">
        <v>5.8000000000000003E-2</v>
      </c>
      <c r="J25" s="11">
        <f t="shared" ref="J25:J35" si="2">+SUMIF($O$3:$AAA$3,J$3,$O25:$AAA25)</f>
        <v>0</v>
      </c>
      <c r="K25" s="13" cm="1">
        <f t="array" ref="K25">MAX(IF($O$3:$EI$3=$K$3,O25:EI25))</f>
        <v>0</v>
      </c>
      <c r="L25" s="13" cm="1">
        <f t="array" ref="L25">MAX(IF($O$3:$EI$3=$K$3,O25:EI25))</f>
        <v>0</v>
      </c>
      <c r="M25" s="11"/>
      <c r="P25" s="12"/>
      <c r="Q25" s="12">
        <v>0.1</v>
      </c>
      <c r="R25" s="12"/>
      <c r="S25" s="12">
        <v>0.1</v>
      </c>
      <c r="W25" s="12"/>
      <c r="X25" s="12">
        <v>0.1</v>
      </c>
      <c r="Y25" s="12"/>
      <c r="Z25" s="12">
        <v>0.1</v>
      </c>
      <c r="AD25" s="12"/>
      <c r="AE25" s="12">
        <v>0.2</v>
      </c>
      <c r="AF25" s="12"/>
      <c r="AG25" s="12">
        <v>0.2</v>
      </c>
      <c r="AK25" s="12"/>
      <c r="AL25" s="12">
        <v>0.3</v>
      </c>
      <c r="AM25" s="12"/>
      <c r="AN25" s="12">
        <v>0.3</v>
      </c>
      <c r="AR25" s="12"/>
      <c r="AS25" s="12">
        <v>0.4</v>
      </c>
      <c r="AT25" s="12"/>
      <c r="AU25" s="12">
        <v>0.4</v>
      </c>
      <c r="AY25" s="12"/>
      <c r="AZ25" s="12">
        <v>0.5</v>
      </c>
      <c r="BA25" s="12"/>
      <c r="BB25" s="12">
        <v>0.5</v>
      </c>
      <c r="BF25" s="12"/>
      <c r="BG25" s="12">
        <v>0.6</v>
      </c>
      <c r="BH25" s="12"/>
      <c r="BI25" s="12">
        <v>0.6</v>
      </c>
      <c r="BM25" s="12"/>
      <c r="BN25" s="12">
        <v>0.7</v>
      </c>
      <c r="BO25" s="12"/>
      <c r="BP25" s="12">
        <v>0.7</v>
      </c>
      <c r="BT25" s="12"/>
      <c r="BU25" s="12">
        <v>0.8</v>
      </c>
      <c r="BV25" s="12"/>
      <c r="BW25" s="12">
        <v>0.8</v>
      </c>
      <c r="CA25" s="12"/>
      <c r="CB25" s="12">
        <v>0.9</v>
      </c>
      <c r="CC25" s="12"/>
      <c r="CD25" s="12">
        <v>0.9</v>
      </c>
      <c r="CH25" s="12"/>
      <c r="CI25" s="12">
        <v>1</v>
      </c>
      <c r="CJ25" s="12"/>
      <c r="CK25" s="12">
        <v>1</v>
      </c>
      <c r="CO25" s="12"/>
      <c r="CP25" s="12">
        <v>1</v>
      </c>
      <c r="CQ25" s="12"/>
      <c r="CR25" s="12">
        <v>1</v>
      </c>
      <c r="CV25" s="12"/>
      <c r="CW25" s="12"/>
      <c r="CX25" s="12"/>
      <c r="CY25" s="12"/>
      <c r="DC25" s="12"/>
      <c r="DD25" s="12"/>
      <c r="DE25" s="12"/>
      <c r="DF25" s="12"/>
    </row>
    <row r="26" spans="2:110" outlineLevel="1" x14ac:dyDescent="0.2">
      <c r="B26" t="s">
        <v>28</v>
      </c>
      <c r="D26" s="24" t="s">
        <v>105</v>
      </c>
      <c r="E26" s="24"/>
      <c r="F26" s="11"/>
      <c r="G26" s="26" t="s">
        <v>107</v>
      </c>
      <c r="H26" s="12">
        <v>5.8000000000000003E-2</v>
      </c>
      <c r="J26" s="11">
        <f t="shared" si="2"/>
        <v>0</v>
      </c>
      <c r="K26" s="13" cm="1">
        <f t="array" ref="K26">MAX(IF($O$3:$EI$3=$K$3,O26:EI26))</f>
        <v>0</v>
      </c>
      <c r="L26" s="13" cm="1">
        <f t="array" ref="L26">MAX(IF($O$3:$EI$3=$K$3,O26:EI26))</f>
        <v>0</v>
      </c>
      <c r="M26" s="11"/>
      <c r="P26" s="12"/>
      <c r="Q26" s="12">
        <v>0.1</v>
      </c>
      <c r="R26" s="12"/>
      <c r="S26" s="12">
        <v>0.1</v>
      </c>
      <c r="W26" s="12"/>
      <c r="X26" s="12">
        <v>0.1</v>
      </c>
      <c r="Y26" s="12"/>
      <c r="Z26" s="12">
        <v>0.1</v>
      </c>
      <c r="AD26" s="12"/>
      <c r="AE26" s="12">
        <v>0.2</v>
      </c>
      <c r="AF26" s="12"/>
      <c r="AG26" s="12">
        <v>0.2</v>
      </c>
      <c r="AK26" s="12"/>
      <c r="AL26" s="12">
        <v>0.3</v>
      </c>
      <c r="AM26" s="12"/>
      <c r="AN26" s="12">
        <v>0.3</v>
      </c>
      <c r="AR26" s="12"/>
      <c r="AS26" s="12">
        <v>0.4</v>
      </c>
      <c r="AT26" s="12"/>
      <c r="AU26" s="12">
        <v>0.4</v>
      </c>
      <c r="AY26" s="12"/>
      <c r="AZ26" s="12">
        <v>0.5</v>
      </c>
      <c r="BA26" s="12"/>
      <c r="BB26" s="12">
        <v>0.5</v>
      </c>
      <c r="BF26" s="12"/>
      <c r="BG26" s="12">
        <v>0.6</v>
      </c>
      <c r="BH26" s="12"/>
      <c r="BI26" s="12">
        <v>0.6</v>
      </c>
      <c r="BM26" s="12"/>
      <c r="BN26" s="12">
        <v>0.7</v>
      </c>
      <c r="BO26" s="12"/>
      <c r="BP26" s="12">
        <v>0.7</v>
      </c>
      <c r="BT26" s="12"/>
      <c r="BU26" s="12">
        <v>0.8</v>
      </c>
      <c r="BV26" s="12"/>
      <c r="BW26" s="12">
        <v>0.8</v>
      </c>
      <c r="CA26" s="12"/>
      <c r="CB26" s="12">
        <v>0.9</v>
      </c>
      <c r="CC26" s="12"/>
      <c r="CD26" s="12">
        <v>0.9</v>
      </c>
      <c r="CH26" s="12"/>
      <c r="CI26" s="12">
        <v>1</v>
      </c>
      <c r="CJ26" s="12"/>
      <c r="CK26" s="12">
        <v>1</v>
      </c>
      <c r="CO26" s="12"/>
      <c r="CP26" s="12">
        <v>1</v>
      </c>
      <c r="CQ26" s="12"/>
      <c r="CR26" s="12">
        <v>1</v>
      </c>
      <c r="CV26" s="12"/>
      <c r="CW26" s="12"/>
      <c r="CX26" s="12"/>
      <c r="CY26" s="12"/>
      <c r="DC26" s="12"/>
      <c r="DD26" s="12"/>
      <c r="DE26" s="12"/>
      <c r="DF26" s="12"/>
    </row>
    <row r="27" spans="2:110" outlineLevel="1" x14ac:dyDescent="0.2">
      <c r="B27" t="s">
        <v>28</v>
      </c>
      <c r="D27" s="24" t="s">
        <v>105</v>
      </c>
      <c r="E27" s="24"/>
      <c r="F27" s="11"/>
      <c r="G27" s="26" t="s">
        <v>108</v>
      </c>
      <c r="H27" s="12">
        <v>5.8000000000000003E-2</v>
      </c>
      <c r="J27" s="11">
        <f t="shared" si="2"/>
        <v>0</v>
      </c>
      <c r="K27" s="13" cm="1">
        <f t="array" ref="K27">MAX(IF($O$3:$EI$3=$K$3,O27:EI27))</f>
        <v>0</v>
      </c>
      <c r="L27" s="13" cm="1">
        <f t="array" ref="L27">MAX(IF($O$3:$EI$3=$K$3,O27:EI27))</f>
        <v>0</v>
      </c>
      <c r="M27" s="11"/>
      <c r="P27" s="12"/>
      <c r="Q27" s="12">
        <v>0.1</v>
      </c>
      <c r="R27" s="12"/>
      <c r="S27" s="12">
        <v>0.1</v>
      </c>
      <c r="W27" s="12"/>
      <c r="X27" s="12">
        <v>0.1</v>
      </c>
      <c r="Y27" s="12"/>
      <c r="Z27" s="12">
        <v>0.1</v>
      </c>
      <c r="AD27" s="12"/>
      <c r="AE27" s="12">
        <v>0.2</v>
      </c>
      <c r="AF27" s="12"/>
      <c r="AG27" s="12">
        <v>0.2</v>
      </c>
      <c r="AK27" s="12"/>
      <c r="AL27" s="12">
        <v>0.3</v>
      </c>
      <c r="AM27" s="12"/>
      <c r="AN27" s="12">
        <v>0.3</v>
      </c>
      <c r="AR27" s="12"/>
      <c r="AS27" s="12">
        <v>0.4</v>
      </c>
      <c r="AT27" s="12"/>
      <c r="AU27" s="12">
        <v>0.4</v>
      </c>
      <c r="AY27" s="12"/>
      <c r="AZ27" s="12">
        <v>0.5</v>
      </c>
      <c r="BA27" s="12"/>
      <c r="BB27" s="12">
        <v>0.5</v>
      </c>
      <c r="BF27" s="12"/>
      <c r="BG27" s="12">
        <v>0.6</v>
      </c>
      <c r="BH27" s="12"/>
      <c r="BI27" s="12">
        <v>0.6</v>
      </c>
      <c r="BM27" s="12"/>
      <c r="BN27" s="12">
        <v>0.7</v>
      </c>
      <c r="BO27" s="12"/>
      <c r="BP27" s="12">
        <v>0.7</v>
      </c>
      <c r="BT27" s="12"/>
      <c r="BU27" s="12">
        <v>0.8</v>
      </c>
      <c r="BV27" s="12"/>
      <c r="BW27" s="12">
        <v>0.8</v>
      </c>
      <c r="CA27" s="12"/>
      <c r="CB27" s="12">
        <v>0.9</v>
      </c>
      <c r="CC27" s="12"/>
      <c r="CD27" s="12">
        <v>0.9</v>
      </c>
      <c r="CH27" s="12"/>
      <c r="CI27" s="12">
        <v>1</v>
      </c>
      <c r="CJ27" s="12"/>
      <c r="CK27" s="12">
        <v>1</v>
      </c>
      <c r="CO27" s="12"/>
      <c r="CP27" s="12">
        <v>1</v>
      </c>
      <c r="CQ27" s="12"/>
      <c r="CR27" s="12">
        <v>1</v>
      </c>
      <c r="CV27" s="12"/>
      <c r="CW27" s="12"/>
      <c r="CX27" s="12"/>
      <c r="CY27" s="12"/>
      <c r="DC27" s="12"/>
      <c r="DD27" s="12"/>
      <c r="DE27" s="12"/>
      <c r="DF27" s="12"/>
    </row>
    <row r="28" spans="2:110" outlineLevel="1" x14ac:dyDescent="0.2">
      <c r="B28" t="s">
        <v>28</v>
      </c>
      <c r="D28" s="24" t="s">
        <v>105</v>
      </c>
      <c r="E28" s="24"/>
      <c r="F28" s="11"/>
      <c r="G28" s="26" t="s">
        <v>110</v>
      </c>
      <c r="H28" s="12">
        <v>5.8000000000000003E-2</v>
      </c>
      <c r="J28" s="11">
        <f t="shared" si="2"/>
        <v>0</v>
      </c>
      <c r="K28" s="13" cm="1">
        <f t="array" ref="K28">MAX(IF($O$3:$EI$3=$K$3,O28:EI28))</f>
        <v>0</v>
      </c>
      <c r="L28" s="13" cm="1">
        <f t="array" ref="L28">MAX(IF($O$3:$EI$3=$K$3,O28:EI28))</f>
        <v>0</v>
      </c>
      <c r="M28" s="11"/>
      <c r="P28" s="12"/>
      <c r="Q28" s="12">
        <v>0.1</v>
      </c>
      <c r="R28" s="12"/>
      <c r="S28" s="12">
        <v>0.1</v>
      </c>
      <c r="W28" s="12"/>
      <c r="X28" s="12">
        <v>0.1</v>
      </c>
      <c r="Y28" s="12"/>
      <c r="Z28" s="12">
        <v>0.1</v>
      </c>
      <c r="AD28" s="12"/>
      <c r="AE28" s="12">
        <v>0.2</v>
      </c>
      <c r="AF28" s="12"/>
      <c r="AG28" s="12">
        <v>0.2</v>
      </c>
      <c r="AK28" s="12"/>
      <c r="AL28" s="12">
        <v>0.3</v>
      </c>
      <c r="AM28" s="12"/>
      <c r="AN28" s="12">
        <v>0.3</v>
      </c>
      <c r="AR28" s="12"/>
      <c r="AS28" s="12">
        <v>0.4</v>
      </c>
      <c r="AT28" s="12"/>
      <c r="AU28" s="12">
        <v>0.4</v>
      </c>
      <c r="AY28" s="12"/>
      <c r="AZ28" s="12">
        <v>0.5</v>
      </c>
      <c r="BA28" s="12"/>
      <c r="BB28" s="12">
        <v>0.5</v>
      </c>
      <c r="BF28" s="12"/>
      <c r="BG28" s="12">
        <v>0.6</v>
      </c>
      <c r="BH28" s="12"/>
      <c r="BI28" s="12">
        <v>0.6</v>
      </c>
      <c r="BM28" s="12"/>
      <c r="BN28" s="12">
        <v>0.7</v>
      </c>
      <c r="BO28" s="12"/>
      <c r="BP28" s="12">
        <v>0.7</v>
      </c>
      <c r="BT28" s="12"/>
      <c r="BU28" s="12">
        <v>0.8</v>
      </c>
      <c r="BV28" s="12"/>
      <c r="BW28" s="12">
        <v>0.8</v>
      </c>
      <c r="CA28" s="12"/>
      <c r="CB28" s="12">
        <v>0.9</v>
      </c>
      <c r="CC28" s="12"/>
      <c r="CD28" s="12">
        <v>0.9</v>
      </c>
      <c r="CH28" s="12"/>
      <c r="CI28" s="12">
        <v>1</v>
      </c>
      <c r="CJ28" s="12"/>
      <c r="CK28" s="12">
        <v>1</v>
      </c>
      <c r="CO28" s="12"/>
      <c r="CP28" s="12">
        <v>1</v>
      </c>
      <c r="CQ28" s="12"/>
      <c r="CR28" s="12">
        <v>1</v>
      </c>
      <c r="CV28" s="12"/>
      <c r="CW28" s="12"/>
      <c r="CX28" s="12"/>
      <c r="CY28" s="12"/>
      <c r="DC28" s="12"/>
      <c r="DD28" s="12"/>
      <c r="DE28" s="12"/>
      <c r="DF28" s="12"/>
    </row>
    <row r="29" spans="2:110" outlineLevel="1" x14ac:dyDescent="0.2">
      <c r="B29" t="s">
        <v>28</v>
      </c>
      <c r="D29" s="24" t="s">
        <v>105</v>
      </c>
      <c r="E29" s="24"/>
      <c r="F29" s="11"/>
      <c r="G29" s="26" t="s">
        <v>109</v>
      </c>
      <c r="H29" s="12">
        <v>5.8000000000000003E-2</v>
      </c>
      <c r="J29" s="11">
        <f t="shared" si="2"/>
        <v>0</v>
      </c>
      <c r="K29" s="13" cm="1">
        <f t="array" ref="K29">MAX(IF($O$3:$EI$3=$K$3,O29:EI29))</f>
        <v>0</v>
      </c>
      <c r="L29" s="13" cm="1">
        <f t="array" ref="L29">MAX(IF($O$3:$EI$3=$K$3,O29:EI29))</f>
        <v>0</v>
      </c>
      <c r="M29" s="11"/>
      <c r="P29" s="12"/>
      <c r="Q29" s="12">
        <v>0.1</v>
      </c>
      <c r="R29" s="12"/>
      <c r="S29" s="12">
        <v>0.1</v>
      </c>
      <c r="W29" s="12"/>
      <c r="X29" s="12">
        <v>0.1</v>
      </c>
      <c r="Y29" s="12"/>
      <c r="Z29" s="12">
        <v>0.1</v>
      </c>
      <c r="AD29" s="12"/>
      <c r="AE29" s="12">
        <v>0.2</v>
      </c>
      <c r="AF29" s="12"/>
      <c r="AG29" s="12">
        <v>0.2</v>
      </c>
      <c r="AK29" s="12"/>
      <c r="AL29" s="12">
        <v>0.3</v>
      </c>
      <c r="AM29" s="12"/>
      <c r="AN29" s="12">
        <v>0.3</v>
      </c>
      <c r="AR29" s="12"/>
      <c r="AS29" s="12">
        <v>0.4</v>
      </c>
      <c r="AT29" s="12"/>
      <c r="AU29" s="12">
        <v>0.4</v>
      </c>
      <c r="AY29" s="12"/>
      <c r="AZ29" s="12">
        <v>0.5</v>
      </c>
      <c r="BA29" s="12"/>
      <c r="BB29" s="12">
        <v>0.5</v>
      </c>
      <c r="BF29" s="12"/>
      <c r="BG29" s="12">
        <v>0.6</v>
      </c>
      <c r="BH29" s="12"/>
      <c r="BI29" s="12">
        <v>0.6</v>
      </c>
      <c r="BM29" s="12"/>
      <c r="BN29" s="12">
        <v>0.7</v>
      </c>
      <c r="BO29" s="12"/>
      <c r="BP29" s="12">
        <v>0.7</v>
      </c>
      <c r="BT29" s="12"/>
      <c r="BU29" s="12">
        <v>0.8</v>
      </c>
      <c r="BV29" s="12"/>
      <c r="BW29" s="12">
        <v>0.8</v>
      </c>
      <c r="CA29" s="12"/>
      <c r="CB29" s="12">
        <v>0.9</v>
      </c>
      <c r="CC29" s="12"/>
      <c r="CD29" s="12">
        <v>0.9</v>
      </c>
      <c r="CH29" s="12"/>
      <c r="CI29" s="12">
        <v>1</v>
      </c>
      <c r="CJ29" s="12"/>
      <c r="CK29" s="12">
        <v>1</v>
      </c>
      <c r="CO29" s="12"/>
      <c r="CP29" s="12">
        <v>1</v>
      </c>
      <c r="CQ29" s="12"/>
      <c r="CR29" s="12">
        <v>1</v>
      </c>
      <c r="CV29" s="12"/>
      <c r="CW29" s="12"/>
      <c r="CX29" s="12"/>
      <c r="CY29" s="12"/>
      <c r="DC29" s="12"/>
      <c r="DD29" s="12"/>
      <c r="DE29" s="12"/>
      <c r="DF29" s="12"/>
    </row>
    <row r="30" spans="2:110" outlineLevel="1" x14ac:dyDescent="0.2">
      <c r="B30" t="s">
        <v>28</v>
      </c>
      <c r="D30" s="24" t="s">
        <v>105</v>
      </c>
      <c r="E30" s="24"/>
      <c r="F30" s="11"/>
      <c r="G30" t="s">
        <v>111</v>
      </c>
      <c r="H30" s="12">
        <v>5.8000000000000003E-2</v>
      </c>
      <c r="J30" s="11">
        <f t="shared" si="2"/>
        <v>0</v>
      </c>
      <c r="K30" s="13" cm="1">
        <f t="array" ref="K30">MAX(IF($O$3:$EI$3=$K$3,O30:EI30))</f>
        <v>0</v>
      </c>
      <c r="L30" s="13" cm="1">
        <f t="array" ref="L30">MAX(IF($O$3:$EI$3=$K$3,O30:EI30))</f>
        <v>0</v>
      </c>
      <c r="M30" s="11"/>
      <c r="P30" s="12"/>
      <c r="Q30" s="12">
        <v>0.1</v>
      </c>
      <c r="R30" s="12"/>
      <c r="S30" s="12">
        <v>0.1</v>
      </c>
      <c r="W30" s="12"/>
      <c r="X30" s="12">
        <v>0.1</v>
      </c>
      <c r="Y30" s="12"/>
      <c r="Z30" s="12">
        <v>0.1</v>
      </c>
      <c r="AD30" s="12"/>
      <c r="AE30" s="12">
        <v>0.2</v>
      </c>
      <c r="AF30" s="12"/>
      <c r="AG30" s="12">
        <v>0.2</v>
      </c>
      <c r="AK30" s="12"/>
      <c r="AL30" s="12">
        <v>0.3</v>
      </c>
      <c r="AM30" s="12"/>
      <c r="AN30" s="12">
        <v>0.3</v>
      </c>
      <c r="AR30" s="12"/>
      <c r="AS30" s="12">
        <v>0.4</v>
      </c>
      <c r="AT30" s="12"/>
      <c r="AU30" s="12">
        <v>0.4</v>
      </c>
      <c r="AY30" s="12"/>
      <c r="AZ30" s="12">
        <v>0.5</v>
      </c>
      <c r="BA30" s="12"/>
      <c r="BB30" s="12">
        <v>0.5</v>
      </c>
      <c r="BF30" s="12"/>
      <c r="BG30" s="12">
        <v>0.6</v>
      </c>
      <c r="BH30" s="12"/>
      <c r="BI30" s="12">
        <v>0.6</v>
      </c>
      <c r="BM30" s="12"/>
      <c r="BN30" s="12">
        <v>0.7</v>
      </c>
      <c r="BO30" s="12"/>
      <c r="BP30" s="12">
        <v>0.7</v>
      </c>
      <c r="BT30" s="12"/>
      <c r="BU30" s="12">
        <v>0.8</v>
      </c>
      <c r="BV30" s="12"/>
      <c r="BW30" s="12">
        <v>0.8</v>
      </c>
      <c r="CA30" s="12"/>
      <c r="CB30" s="12">
        <v>0.9</v>
      </c>
      <c r="CC30" s="12"/>
      <c r="CD30" s="12">
        <v>0.9</v>
      </c>
      <c r="CH30" s="12"/>
      <c r="CI30" s="12">
        <v>1</v>
      </c>
      <c r="CJ30" s="12"/>
      <c r="CK30" s="12">
        <v>1</v>
      </c>
      <c r="CO30" s="12"/>
      <c r="CP30" s="12">
        <v>1</v>
      </c>
      <c r="CQ30" s="12"/>
      <c r="CR30" s="12">
        <v>1</v>
      </c>
      <c r="CV30" s="12"/>
      <c r="CW30" s="12"/>
      <c r="CX30" s="12"/>
      <c r="CY30" s="12"/>
      <c r="DC30" s="12"/>
      <c r="DD30" s="12"/>
      <c r="DE30" s="12"/>
      <c r="DF30" s="12"/>
    </row>
    <row r="31" spans="2:110" outlineLevel="1" x14ac:dyDescent="0.2">
      <c r="B31" t="s">
        <v>28</v>
      </c>
      <c r="D31" s="24" t="s">
        <v>105</v>
      </c>
      <c r="E31" s="24"/>
      <c r="F31" s="11"/>
      <c r="G31" s="26" t="s">
        <v>112</v>
      </c>
      <c r="H31" s="12">
        <v>5.8000000000000003E-2</v>
      </c>
      <c r="J31" s="11">
        <f t="shared" si="2"/>
        <v>0</v>
      </c>
      <c r="K31" s="13" cm="1">
        <f t="array" ref="K31">MAX(IF($O$3:$EI$3=$K$3,O31:EI31))</f>
        <v>0</v>
      </c>
      <c r="L31" s="13" cm="1">
        <f t="array" ref="L31">MAX(IF($O$3:$EI$3=$K$3,O31:EI31))</f>
        <v>0</v>
      </c>
      <c r="M31" s="11"/>
      <c r="P31" s="12"/>
      <c r="Q31" s="12">
        <v>0.1</v>
      </c>
      <c r="R31" s="12"/>
      <c r="S31" s="12">
        <v>0.1</v>
      </c>
      <c r="W31" s="12"/>
      <c r="X31" s="12">
        <v>0.1</v>
      </c>
      <c r="Y31" s="12"/>
      <c r="Z31" s="12">
        <v>0.1</v>
      </c>
      <c r="AD31" s="12"/>
      <c r="AE31" s="12">
        <v>0.2</v>
      </c>
      <c r="AF31" s="12"/>
      <c r="AG31" s="12">
        <v>0.2</v>
      </c>
      <c r="AK31" s="12"/>
      <c r="AL31" s="12">
        <v>0.3</v>
      </c>
      <c r="AM31" s="12"/>
      <c r="AN31" s="12">
        <v>0.3</v>
      </c>
      <c r="AR31" s="12"/>
      <c r="AS31" s="12">
        <v>0.4</v>
      </c>
      <c r="AT31" s="12"/>
      <c r="AU31" s="12">
        <v>0.4</v>
      </c>
      <c r="AY31" s="12"/>
      <c r="AZ31" s="12">
        <v>0.5</v>
      </c>
      <c r="BA31" s="12"/>
      <c r="BB31" s="12">
        <v>0.5</v>
      </c>
      <c r="BF31" s="12"/>
      <c r="BG31" s="12">
        <v>0.6</v>
      </c>
      <c r="BH31" s="12"/>
      <c r="BI31" s="12">
        <v>0.6</v>
      </c>
      <c r="BM31" s="12"/>
      <c r="BN31" s="12">
        <v>0.7</v>
      </c>
      <c r="BO31" s="12"/>
      <c r="BP31" s="12">
        <v>0.7</v>
      </c>
      <c r="BT31" s="12"/>
      <c r="BU31" s="12">
        <v>0.8</v>
      </c>
      <c r="BV31" s="12"/>
      <c r="BW31" s="12">
        <v>0.8</v>
      </c>
      <c r="CA31" s="12"/>
      <c r="CB31" s="12">
        <v>0.9</v>
      </c>
      <c r="CC31" s="12"/>
      <c r="CD31" s="12">
        <v>0.9</v>
      </c>
      <c r="CH31" s="12"/>
      <c r="CI31" s="12">
        <v>1</v>
      </c>
      <c r="CJ31" s="12"/>
      <c r="CK31" s="12">
        <v>1</v>
      </c>
      <c r="CO31" s="12"/>
      <c r="CP31" s="12">
        <v>1</v>
      </c>
      <c r="CQ31" s="12"/>
      <c r="CR31" s="12">
        <v>1</v>
      </c>
      <c r="CV31" s="12"/>
      <c r="CW31" s="12"/>
      <c r="CX31" s="12"/>
      <c r="CY31" s="12"/>
      <c r="DC31" s="12"/>
      <c r="DD31" s="12"/>
      <c r="DE31" s="12"/>
      <c r="DF31" s="12"/>
    </row>
    <row r="32" spans="2:110" outlineLevel="1" x14ac:dyDescent="0.2">
      <c r="B32" t="s">
        <v>28</v>
      </c>
      <c r="D32" s="24" t="s">
        <v>105</v>
      </c>
      <c r="E32" s="24"/>
      <c r="F32" s="11"/>
      <c r="G32" s="26" t="s">
        <v>113</v>
      </c>
      <c r="H32" s="12">
        <v>5.8000000000000003E-2</v>
      </c>
      <c r="J32" s="11">
        <f t="shared" si="2"/>
        <v>0</v>
      </c>
      <c r="K32" s="13" cm="1">
        <f t="array" ref="K32">MAX(IF($O$3:$EI$3=$K$3,O32:EI32))</f>
        <v>0</v>
      </c>
      <c r="L32" s="13" cm="1">
        <f t="array" ref="L32">MAX(IF($O$3:$EI$3=$K$3,O32:EI32))</f>
        <v>0</v>
      </c>
      <c r="M32" s="11"/>
      <c r="P32" s="12"/>
      <c r="Q32" s="12">
        <v>0.1</v>
      </c>
      <c r="R32" s="12"/>
      <c r="S32" s="12">
        <v>0.1</v>
      </c>
      <c r="W32" s="12"/>
      <c r="X32" s="12">
        <v>0.1</v>
      </c>
      <c r="Y32" s="12"/>
      <c r="Z32" s="12">
        <v>0.1</v>
      </c>
      <c r="AD32" s="12"/>
      <c r="AE32" s="12">
        <v>0.2</v>
      </c>
      <c r="AF32" s="12"/>
      <c r="AG32" s="12">
        <v>0.2</v>
      </c>
      <c r="AK32" s="12"/>
      <c r="AL32" s="12">
        <v>0.3</v>
      </c>
      <c r="AM32" s="12"/>
      <c r="AN32" s="12">
        <v>0.3</v>
      </c>
      <c r="AR32" s="12"/>
      <c r="AS32" s="12">
        <v>0.4</v>
      </c>
      <c r="AT32" s="12"/>
      <c r="AU32" s="12">
        <v>0.4</v>
      </c>
      <c r="AY32" s="12"/>
      <c r="AZ32" s="12">
        <v>0.5</v>
      </c>
      <c r="BA32" s="12"/>
      <c r="BB32" s="12">
        <v>0.5</v>
      </c>
      <c r="BF32" s="12"/>
      <c r="BG32" s="12">
        <v>0.6</v>
      </c>
      <c r="BH32" s="12"/>
      <c r="BI32" s="12">
        <v>0.6</v>
      </c>
      <c r="BM32" s="12"/>
      <c r="BN32" s="12">
        <v>0.7</v>
      </c>
      <c r="BO32" s="12"/>
      <c r="BP32" s="12">
        <v>0.7</v>
      </c>
      <c r="BT32" s="12"/>
      <c r="BU32" s="12">
        <v>0.8</v>
      </c>
      <c r="BV32" s="12"/>
      <c r="BW32" s="12">
        <v>0.8</v>
      </c>
      <c r="CA32" s="12"/>
      <c r="CB32" s="12">
        <v>0.9</v>
      </c>
      <c r="CC32" s="12"/>
      <c r="CD32" s="12">
        <v>0.9</v>
      </c>
      <c r="CH32" s="12"/>
      <c r="CI32" s="12">
        <v>1</v>
      </c>
      <c r="CJ32" s="12"/>
      <c r="CK32" s="12">
        <v>1</v>
      </c>
      <c r="CO32" s="12"/>
      <c r="CP32" s="12">
        <v>1</v>
      </c>
      <c r="CQ32" s="12"/>
      <c r="CR32" s="12">
        <v>1</v>
      </c>
      <c r="CV32" s="12"/>
      <c r="CW32" s="12"/>
      <c r="CX32" s="12"/>
      <c r="CY32" s="12"/>
      <c r="DC32" s="12"/>
      <c r="DD32" s="12"/>
      <c r="DE32" s="12"/>
      <c r="DF32" s="12"/>
    </row>
    <row r="33" spans="2:110" outlineLevel="1" x14ac:dyDescent="0.2">
      <c r="B33" t="s">
        <v>28</v>
      </c>
      <c r="D33" s="24" t="s">
        <v>105</v>
      </c>
      <c r="E33" s="24"/>
      <c r="F33" s="11"/>
      <c r="G33" s="26" t="s">
        <v>114</v>
      </c>
      <c r="H33" s="12">
        <v>5.8000000000000003E-2</v>
      </c>
      <c r="J33" s="11">
        <f t="shared" si="2"/>
        <v>0</v>
      </c>
      <c r="K33" s="13" cm="1">
        <f t="array" ref="K33">MAX(IF($O$3:$EI$3=$K$3,O33:EI33))</f>
        <v>0</v>
      </c>
      <c r="L33" s="13" cm="1">
        <f t="array" ref="L33">MAX(IF($O$3:$EI$3=$K$3,O33:EI33))</f>
        <v>0</v>
      </c>
      <c r="M33" s="11"/>
      <c r="P33" s="12"/>
      <c r="Q33" s="12">
        <v>0.1</v>
      </c>
      <c r="R33" s="12"/>
      <c r="S33" s="12">
        <v>0.1</v>
      </c>
      <c r="W33" s="12"/>
      <c r="X33" s="12">
        <v>0.1</v>
      </c>
      <c r="Y33" s="12"/>
      <c r="Z33" s="12">
        <v>0.1</v>
      </c>
      <c r="AD33" s="12"/>
      <c r="AE33" s="12">
        <v>0.2</v>
      </c>
      <c r="AF33" s="12"/>
      <c r="AG33" s="12">
        <v>0.2</v>
      </c>
      <c r="AK33" s="12"/>
      <c r="AL33" s="12">
        <v>0.3</v>
      </c>
      <c r="AM33" s="12"/>
      <c r="AN33" s="12">
        <v>0.3</v>
      </c>
      <c r="AR33" s="12"/>
      <c r="AS33" s="12">
        <v>0.4</v>
      </c>
      <c r="AT33" s="12"/>
      <c r="AU33" s="12">
        <v>0.4</v>
      </c>
      <c r="AY33" s="12"/>
      <c r="AZ33" s="12">
        <v>0.5</v>
      </c>
      <c r="BA33" s="12"/>
      <c r="BB33" s="12">
        <v>0.5</v>
      </c>
      <c r="BF33" s="12"/>
      <c r="BG33" s="12">
        <v>0.6</v>
      </c>
      <c r="BH33" s="12"/>
      <c r="BI33" s="12">
        <v>0.6</v>
      </c>
      <c r="BM33" s="12"/>
      <c r="BN33" s="12">
        <v>0.7</v>
      </c>
      <c r="BO33" s="12"/>
      <c r="BP33" s="12">
        <v>0.7</v>
      </c>
      <c r="BT33" s="12"/>
      <c r="BU33" s="12">
        <v>0.8</v>
      </c>
      <c r="BV33" s="12"/>
      <c r="BW33" s="12">
        <v>0.8</v>
      </c>
      <c r="CA33" s="12"/>
      <c r="CB33" s="12">
        <v>0.9</v>
      </c>
      <c r="CC33" s="12"/>
      <c r="CD33" s="12">
        <v>0.9</v>
      </c>
      <c r="CH33" s="12"/>
      <c r="CI33" s="12">
        <v>1</v>
      </c>
      <c r="CJ33" s="12"/>
      <c r="CK33" s="12">
        <v>1</v>
      </c>
      <c r="CO33" s="12"/>
      <c r="CP33" s="12">
        <v>1</v>
      </c>
      <c r="CQ33" s="12"/>
      <c r="CR33" s="12">
        <v>1</v>
      </c>
      <c r="CV33" s="12"/>
      <c r="CW33" s="12"/>
      <c r="CX33" s="12"/>
      <c r="CY33" s="12"/>
      <c r="DC33" s="12"/>
      <c r="DD33" s="12"/>
      <c r="DE33" s="12"/>
      <c r="DF33" s="12"/>
    </row>
    <row r="34" spans="2:110" outlineLevel="1" x14ac:dyDescent="0.2">
      <c r="B34" t="s">
        <v>28</v>
      </c>
      <c r="D34" s="24" t="s">
        <v>105</v>
      </c>
      <c r="E34" s="24"/>
      <c r="F34" s="11"/>
      <c r="G34" s="26" t="s">
        <v>115</v>
      </c>
      <c r="H34" s="12">
        <v>5.8000000000000003E-2</v>
      </c>
      <c r="J34" s="11">
        <f t="shared" si="2"/>
        <v>0</v>
      </c>
      <c r="K34" s="13" cm="1">
        <f t="array" ref="K34">MAX(IF($O$3:$EI$3=$K$3,O34:EI34))</f>
        <v>0</v>
      </c>
      <c r="L34" s="13" cm="1">
        <f t="array" ref="L34">MAX(IF($O$3:$EI$3=$K$3,O34:EI34))</f>
        <v>0</v>
      </c>
      <c r="M34" s="11"/>
      <c r="P34" s="12"/>
      <c r="Q34" s="12">
        <v>0.1</v>
      </c>
      <c r="R34" s="12"/>
      <c r="S34" s="12">
        <v>0.1</v>
      </c>
      <c r="W34" s="12"/>
      <c r="X34" s="12">
        <v>0.1</v>
      </c>
      <c r="Y34" s="12"/>
      <c r="Z34" s="12">
        <v>0.1</v>
      </c>
      <c r="AD34" s="12"/>
      <c r="AE34" s="12">
        <v>0.2</v>
      </c>
      <c r="AF34" s="12"/>
      <c r="AG34" s="12">
        <v>0.2</v>
      </c>
      <c r="AK34" s="12"/>
      <c r="AL34" s="12">
        <v>0.3</v>
      </c>
      <c r="AM34" s="12"/>
      <c r="AN34" s="12">
        <v>0.3</v>
      </c>
      <c r="AR34" s="12"/>
      <c r="AS34" s="12">
        <v>0.4</v>
      </c>
      <c r="AT34" s="12"/>
      <c r="AU34" s="12">
        <v>0.4</v>
      </c>
      <c r="AY34" s="12"/>
      <c r="AZ34" s="12">
        <v>0.5</v>
      </c>
      <c r="BA34" s="12"/>
      <c r="BB34" s="12">
        <v>0.5</v>
      </c>
      <c r="BF34" s="12"/>
      <c r="BG34" s="12">
        <v>0.6</v>
      </c>
      <c r="BH34" s="12"/>
      <c r="BI34" s="12">
        <v>0.6</v>
      </c>
      <c r="BM34" s="12"/>
      <c r="BN34" s="12">
        <v>0.7</v>
      </c>
      <c r="BO34" s="12"/>
      <c r="BP34" s="12">
        <v>0.7</v>
      </c>
      <c r="BT34" s="12"/>
      <c r="BU34" s="12">
        <v>0.8</v>
      </c>
      <c r="BV34" s="12"/>
      <c r="BW34" s="12">
        <v>0.8</v>
      </c>
      <c r="CA34" s="12"/>
      <c r="CB34" s="12">
        <v>0.9</v>
      </c>
      <c r="CC34" s="12"/>
      <c r="CD34" s="12">
        <v>0.9</v>
      </c>
      <c r="CH34" s="12"/>
      <c r="CI34" s="12">
        <v>1</v>
      </c>
      <c r="CJ34" s="12"/>
      <c r="CK34" s="12">
        <v>1</v>
      </c>
      <c r="CO34" s="12"/>
      <c r="CP34" s="12">
        <v>1</v>
      </c>
      <c r="CQ34" s="12"/>
      <c r="CR34" s="12">
        <v>1</v>
      </c>
      <c r="CV34" s="12"/>
      <c r="CW34" s="12"/>
      <c r="CX34" s="12"/>
      <c r="CY34" s="12"/>
      <c r="DC34" s="12"/>
      <c r="DD34" s="12"/>
      <c r="DE34" s="12"/>
      <c r="DF34" s="12"/>
    </row>
    <row r="35" spans="2:110" outlineLevel="1" x14ac:dyDescent="0.2">
      <c r="B35" t="s">
        <v>28</v>
      </c>
      <c r="D35" s="24" t="s">
        <v>105</v>
      </c>
      <c r="E35" s="24"/>
      <c r="F35" s="11"/>
      <c r="G35" s="26" t="s">
        <v>116</v>
      </c>
      <c r="H35" s="12">
        <v>5.8000000000000003E-2</v>
      </c>
      <c r="J35" s="11">
        <f t="shared" si="2"/>
        <v>0</v>
      </c>
      <c r="K35" s="13" cm="1">
        <f t="array" ref="K35">MAX(IF($O$3:$EI$3=$K$3,O35:EI35))</f>
        <v>0</v>
      </c>
      <c r="L35" s="13" cm="1">
        <f t="array" ref="L35">MAX(IF($O$3:$EI$3=$K$3,O35:EI35))</f>
        <v>0</v>
      </c>
      <c r="M35" s="11"/>
      <c r="P35" s="12"/>
      <c r="Q35" s="12">
        <v>0.1</v>
      </c>
      <c r="R35" s="12"/>
      <c r="S35" s="12">
        <v>0.1</v>
      </c>
      <c r="W35" s="12"/>
      <c r="X35" s="12">
        <v>0.1</v>
      </c>
      <c r="Y35" s="12"/>
      <c r="Z35" s="12">
        <v>0.1</v>
      </c>
      <c r="AD35" s="12"/>
      <c r="AE35" s="12">
        <v>0.2</v>
      </c>
      <c r="AF35" s="12"/>
      <c r="AG35" s="12">
        <v>0.2</v>
      </c>
      <c r="AK35" s="12"/>
      <c r="AL35" s="12">
        <v>0.3</v>
      </c>
      <c r="AM35" s="12"/>
      <c r="AN35" s="12">
        <v>0.3</v>
      </c>
      <c r="AR35" s="12"/>
      <c r="AS35" s="12">
        <v>0.4</v>
      </c>
      <c r="AT35" s="12"/>
      <c r="AU35" s="12">
        <v>0.4</v>
      </c>
      <c r="AY35" s="12"/>
      <c r="AZ35" s="12">
        <v>0.5</v>
      </c>
      <c r="BA35" s="12"/>
      <c r="BB35" s="12">
        <v>0.5</v>
      </c>
      <c r="BF35" s="12"/>
      <c r="BG35" s="12">
        <v>0.6</v>
      </c>
      <c r="BH35" s="12"/>
      <c r="BI35" s="12">
        <v>0.6</v>
      </c>
      <c r="BM35" s="12"/>
      <c r="BN35" s="12">
        <v>0.7</v>
      </c>
      <c r="BO35" s="12"/>
      <c r="BP35" s="12">
        <v>0.7</v>
      </c>
      <c r="BT35" s="12"/>
      <c r="BU35" s="12">
        <v>0.8</v>
      </c>
      <c r="BV35" s="12"/>
      <c r="BW35" s="12">
        <v>0.8</v>
      </c>
      <c r="CA35" s="12"/>
      <c r="CB35" s="12">
        <v>0.9</v>
      </c>
      <c r="CC35" s="12"/>
      <c r="CD35" s="12">
        <v>0.9</v>
      </c>
      <c r="CH35" s="12"/>
      <c r="CI35" s="12">
        <v>1</v>
      </c>
      <c r="CJ35" s="12"/>
      <c r="CK35" s="12">
        <v>1</v>
      </c>
      <c r="CO35" s="12"/>
      <c r="CP35" s="12">
        <v>1</v>
      </c>
      <c r="CQ35" s="12"/>
      <c r="CR35" s="12">
        <v>1</v>
      </c>
      <c r="CV35" s="12"/>
      <c r="CW35" s="12"/>
      <c r="CX35" s="12"/>
      <c r="CY35" s="12"/>
      <c r="DC35" s="12"/>
      <c r="DD35" s="12"/>
      <c r="DE35" s="12"/>
      <c r="DF35" s="12"/>
    </row>
    <row r="36" spans="2:110" outlineLevel="1" x14ac:dyDescent="0.2">
      <c r="B36" t="s">
        <v>28</v>
      </c>
      <c r="D36" s="24" t="s">
        <v>105</v>
      </c>
      <c r="E36" s="24"/>
      <c r="F36" s="11"/>
      <c r="G36" s="27" t="s">
        <v>117</v>
      </c>
      <c r="H36" s="12">
        <v>5.8000000000000003E-2</v>
      </c>
      <c r="J36" s="11">
        <f>+SUMIF($O$3:$AAA$3,J$3,$O36:$AAA36)</f>
        <v>0</v>
      </c>
      <c r="K36" s="13" cm="1">
        <f t="array" ref="K36">MAX(IF($O$3:$EI$3=$K$3,O36:EI36))</f>
        <v>0</v>
      </c>
      <c r="L36" s="13" cm="1">
        <f t="array" ref="L36">MAX(IF($O$3:$EI$3=$K$3,O36:EI36))</f>
        <v>0</v>
      </c>
      <c r="M36" s="11"/>
      <c r="P36" s="12"/>
      <c r="Q36" s="12">
        <v>0.1</v>
      </c>
      <c r="R36" s="12"/>
      <c r="S36" s="12">
        <v>0.1</v>
      </c>
      <c r="W36" s="12"/>
      <c r="X36" s="12">
        <v>0.1</v>
      </c>
      <c r="Y36" s="12"/>
      <c r="Z36" s="12">
        <v>0.1</v>
      </c>
      <c r="AD36" s="12"/>
      <c r="AE36" s="12">
        <v>0.2</v>
      </c>
      <c r="AF36" s="12"/>
      <c r="AG36" s="12">
        <v>0.2</v>
      </c>
      <c r="AK36" s="12"/>
      <c r="AL36" s="12">
        <v>0.3</v>
      </c>
      <c r="AM36" s="12"/>
      <c r="AN36" s="12">
        <v>0.3</v>
      </c>
      <c r="AR36" s="12"/>
      <c r="AS36" s="12">
        <v>0.4</v>
      </c>
      <c r="AT36" s="12"/>
      <c r="AU36" s="12">
        <v>0.4</v>
      </c>
      <c r="AY36" s="12"/>
      <c r="AZ36" s="12">
        <v>0.5</v>
      </c>
      <c r="BA36" s="12"/>
      <c r="BB36" s="12">
        <v>0.5</v>
      </c>
      <c r="BF36" s="12"/>
      <c r="BG36" s="12">
        <v>0.6</v>
      </c>
      <c r="BH36" s="12"/>
      <c r="BI36" s="12">
        <v>0.6</v>
      </c>
      <c r="BM36" s="12"/>
      <c r="BN36" s="12">
        <v>0.7</v>
      </c>
      <c r="BO36" s="12"/>
      <c r="BP36" s="12">
        <v>0.7</v>
      </c>
      <c r="BT36" s="12"/>
      <c r="BU36" s="12">
        <v>0.8</v>
      </c>
      <c r="BV36" s="12"/>
      <c r="BW36" s="12">
        <v>0.8</v>
      </c>
      <c r="CA36" s="12"/>
      <c r="CB36" s="12">
        <v>0.9</v>
      </c>
      <c r="CC36" s="12"/>
      <c r="CD36" s="12">
        <v>0.9</v>
      </c>
      <c r="CH36" s="12"/>
      <c r="CI36" s="12">
        <v>1</v>
      </c>
      <c r="CJ36" s="12"/>
      <c r="CK36" s="12">
        <v>1</v>
      </c>
      <c r="CO36" s="12"/>
      <c r="CP36" s="12">
        <v>1</v>
      </c>
      <c r="CQ36" s="12"/>
      <c r="CR36" s="12">
        <v>1</v>
      </c>
      <c r="CV36" s="12"/>
      <c r="CW36" s="12"/>
      <c r="CX36" s="12"/>
      <c r="CY36" s="12"/>
      <c r="DC36" s="12"/>
      <c r="DD36" s="12"/>
      <c r="DE36" s="12"/>
      <c r="DF36" s="12"/>
    </row>
    <row r="37" spans="2:110" outlineLevel="1" x14ac:dyDescent="0.2">
      <c r="B37" t="s">
        <v>28</v>
      </c>
      <c r="D37" s="24" t="s">
        <v>105</v>
      </c>
      <c r="E37" s="24"/>
      <c r="F37" s="11"/>
      <c r="G37" s="27" t="s">
        <v>118</v>
      </c>
      <c r="H37" s="12">
        <v>5.8000000000000003E-2</v>
      </c>
      <c r="J37" s="11">
        <f>+SUMIF($O$3:$AAA$3,J$3,$O37:$AAA37)</f>
        <v>0</v>
      </c>
      <c r="K37" s="13" cm="1">
        <f t="array" ref="K37">MAX(IF($O$3:$EI$3=$K$3,O37:EI37))</f>
        <v>0</v>
      </c>
      <c r="L37" s="13" cm="1">
        <f t="array" ref="L37">MAX(IF($O$3:$EI$3=$K$3,O37:EI37))</f>
        <v>0</v>
      </c>
      <c r="M37" s="11"/>
      <c r="P37" s="12"/>
      <c r="Q37" s="12">
        <v>0.1</v>
      </c>
      <c r="R37" s="12"/>
      <c r="S37" s="12">
        <v>0.1</v>
      </c>
      <c r="W37" s="12"/>
      <c r="X37" s="12">
        <v>0.1</v>
      </c>
      <c r="Y37" s="12"/>
      <c r="Z37" s="12">
        <v>0.1</v>
      </c>
      <c r="AD37" s="12"/>
      <c r="AE37" s="12">
        <v>0.2</v>
      </c>
      <c r="AF37" s="12"/>
      <c r="AG37" s="12">
        <v>0.2</v>
      </c>
      <c r="AK37" s="12"/>
      <c r="AL37" s="12">
        <v>0.3</v>
      </c>
      <c r="AM37" s="12"/>
      <c r="AN37" s="12">
        <v>0.3</v>
      </c>
      <c r="AR37" s="12"/>
      <c r="AS37" s="12">
        <v>0.4</v>
      </c>
      <c r="AT37" s="12"/>
      <c r="AU37" s="12">
        <v>0.4</v>
      </c>
      <c r="AY37" s="12"/>
      <c r="AZ37" s="12">
        <v>0.5</v>
      </c>
      <c r="BA37" s="12"/>
      <c r="BB37" s="12">
        <v>0.5</v>
      </c>
      <c r="BF37" s="12"/>
      <c r="BG37" s="12">
        <v>0.6</v>
      </c>
      <c r="BH37" s="12"/>
      <c r="BI37" s="12">
        <v>0.6</v>
      </c>
      <c r="BM37" s="12"/>
      <c r="BN37" s="12">
        <v>0.7</v>
      </c>
      <c r="BO37" s="12"/>
      <c r="BP37" s="12">
        <v>0.7</v>
      </c>
      <c r="BT37" s="12"/>
      <c r="BU37" s="12">
        <v>0.8</v>
      </c>
      <c r="BV37" s="12"/>
      <c r="BW37" s="12">
        <v>0.8</v>
      </c>
      <c r="CA37" s="12"/>
      <c r="CB37" s="12">
        <v>0.9</v>
      </c>
      <c r="CC37" s="12"/>
      <c r="CD37" s="12">
        <v>0.9</v>
      </c>
      <c r="CH37" s="12"/>
      <c r="CI37" s="12">
        <v>1</v>
      </c>
      <c r="CJ37" s="12"/>
      <c r="CK37" s="12">
        <v>1</v>
      </c>
      <c r="CO37" s="12"/>
      <c r="CP37" s="12">
        <v>1</v>
      </c>
      <c r="CQ37" s="12"/>
      <c r="CR37" s="12">
        <v>1</v>
      </c>
      <c r="CV37" s="12"/>
      <c r="CW37" s="12"/>
      <c r="CX37" s="12"/>
      <c r="CY37" s="12"/>
      <c r="DC37" s="12"/>
      <c r="DD37" s="12"/>
      <c r="DE37" s="12"/>
      <c r="DF37" s="12"/>
    </row>
    <row r="38" spans="2:110" outlineLevel="1" x14ac:dyDescent="0.2">
      <c r="B38" t="s">
        <v>28</v>
      </c>
      <c r="D38" s="24" t="s">
        <v>105</v>
      </c>
      <c r="E38" s="24"/>
      <c r="F38" s="11"/>
      <c r="G38" s="27" t="s">
        <v>119</v>
      </c>
      <c r="H38" s="12">
        <v>5.8000000000000003E-2</v>
      </c>
      <c r="J38" s="11">
        <f>+SUMIF($O$3:$AAA$3,J$3,$O38:$AAA38)</f>
        <v>0</v>
      </c>
      <c r="K38" s="13" cm="1">
        <f t="array" ref="K38">MAX(IF($O$3:$EI$3=$K$3,O38:EI38))</f>
        <v>0</v>
      </c>
      <c r="L38" s="13" cm="1">
        <f t="array" ref="L38">MAX(IF($O$3:$EI$3=$K$3,O38:EI38))</f>
        <v>0</v>
      </c>
      <c r="M38" s="11"/>
      <c r="P38" s="12"/>
      <c r="Q38" s="12">
        <v>0.1</v>
      </c>
      <c r="R38" s="12"/>
      <c r="S38" s="12">
        <v>0.1</v>
      </c>
      <c r="W38" s="12"/>
      <c r="X38" s="12">
        <v>0.1</v>
      </c>
      <c r="Y38" s="12"/>
      <c r="Z38" s="12">
        <v>0.1</v>
      </c>
      <c r="AD38" s="12"/>
      <c r="AE38" s="12">
        <v>0.2</v>
      </c>
      <c r="AF38" s="12"/>
      <c r="AG38" s="12">
        <v>0.2</v>
      </c>
      <c r="AK38" s="12"/>
      <c r="AL38" s="12">
        <v>0.3</v>
      </c>
      <c r="AM38" s="12"/>
      <c r="AN38" s="12">
        <v>0.3</v>
      </c>
      <c r="AR38" s="12"/>
      <c r="AS38" s="12">
        <v>0.4</v>
      </c>
      <c r="AT38" s="12"/>
      <c r="AU38" s="12">
        <v>0.4</v>
      </c>
      <c r="AY38" s="12"/>
      <c r="AZ38" s="12">
        <v>0.5</v>
      </c>
      <c r="BA38" s="12"/>
      <c r="BB38" s="12">
        <v>0.5</v>
      </c>
      <c r="BF38" s="12"/>
      <c r="BG38" s="12">
        <v>0.6</v>
      </c>
      <c r="BH38" s="12"/>
      <c r="BI38" s="12">
        <v>0.6</v>
      </c>
      <c r="BM38" s="12"/>
      <c r="BN38" s="12">
        <v>0.7</v>
      </c>
      <c r="BO38" s="12"/>
      <c r="BP38" s="12">
        <v>0.7</v>
      </c>
      <c r="BT38" s="12"/>
      <c r="BU38" s="12">
        <v>0.8</v>
      </c>
      <c r="BV38" s="12"/>
      <c r="BW38" s="12">
        <v>0.8</v>
      </c>
      <c r="CA38" s="12"/>
      <c r="CB38" s="12">
        <v>0.9</v>
      </c>
      <c r="CC38" s="12"/>
      <c r="CD38" s="12">
        <v>0.9</v>
      </c>
      <c r="CH38" s="12"/>
      <c r="CI38" s="12">
        <v>1</v>
      </c>
      <c r="CJ38" s="12"/>
      <c r="CK38" s="12">
        <v>1</v>
      </c>
      <c r="CO38" s="12"/>
      <c r="CP38" s="12">
        <v>1</v>
      </c>
      <c r="CQ38" s="12"/>
      <c r="CR38" s="12">
        <v>1</v>
      </c>
      <c r="CV38" s="12"/>
      <c r="CW38" s="12"/>
      <c r="CX38" s="12"/>
      <c r="CY38" s="12"/>
      <c r="DC38" s="12"/>
      <c r="DD38" s="12"/>
      <c r="DE38" s="12"/>
      <c r="DF38" s="12"/>
    </row>
    <row r="39" spans="2:110" outlineLevel="1" x14ac:dyDescent="0.2">
      <c r="B39" t="s">
        <v>28</v>
      </c>
      <c r="D39" s="24" t="s">
        <v>105</v>
      </c>
      <c r="E39" s="24"/>
      <c r="F39" s="11"/>
      <c r="G39" s="27" t="s">
        <v>120</v>
      </c>
      <c r="H39" s="12">
        <v>5.8000000000000003E-2</v>
      </c>
      <c r="J39" s="11">
        <f>+SUMIF($O$3:$AAA$3,J$3,$O39:$AAA39)</f>
        <v>0</v>
      </c>
      <c r="K39" s="13" cm="1">
        <f t="array" ref="K39">MAX(IF($O$3:$EI$3=$K$3,O39:EI39))</f>
        <v>0</v>
      </c>
      <c r="L39" s="13" cm="1">
        <f t="array" ref="L39">MAX(IF($O$3:$EI$3=$K$3,O39:EI39))</f>
        <v>0</v>
      </c>
      <c r="M39" s="11"/>
      <c r="P39" s="12"/>
      <c r="Q39" s="12">
        <v>0.1</v>
      </c>
      <c r="R39" s="12"/>
      <c r="S39" s="12">
        <v>0.1</v>
      </c>
      <c r="W39" s="12"/>
      <c r="X39" s="12">
        <v>0.1</v>
      </c>
      <c r="Y39" s="12"/>
      <c r="Z39" s="12">
        <v>0.1</v>
      </c>
      <c r="AD39" s="12"/>
      <c r="AE39" s="12">
        <v>0.2</v>
      </c>
      <c r="AF39" s="12"/>
      <c r="AG39" s="12">
        <v>0.2</v>
      </c>
      <c r="AK39" s="12"/>
      <c r="AL39" s="12">
        <v>0.3</v>
      </c>
      <c r="AM39" s="12"/>
      <c r="AN39" s="12">
        <v>0.3</v>
      </c>
      <c r="AR39" s="12"/>
      <c r="AS39" s="12">
        <v>0.4</v>
      </c>
      <c r="AT39" s="12"/>
      <c r="AU39" s="12">
        <v>0.4</v>
      </c>
      <c r="AY39" s="12"/>
      <c r="AZ39" s="12">
        <v>0.5</v>
      </c>
      <c r="BA39" s="12"/>
      <c r="BB39" s="12">
        <v>0.5</v>
      </c>
      <c r="BF39" s="12"/>
      <c r="BG39" s="12">
        <v>0.6</v>
      </c>
      <c r="BH39" s="12"/>
      <c r="BI39" s="12">
        <v>0.6</v>
      </c>
      <c r="BM39" s="12"/>
      <c r="BN39" s="12">
        <v>0.7</v>
      </c>
      <c r="BO39" s="12"/>
      <c r="BP39" s="12">
        <v>0.7</v>
      </c>
      <c r="BT39" s="12"/>
      <c r="BU39" s="12">
        <v>0.8</v>
      </c>
      <c r="BV39" s="12"/>
      <c r="BW39" s="12">
        <v>0.8</v>
      </c>
      <c r="CA39" s="12"/>
      <c r="CB39" s="12">
        <v>0.9</v>
      </c>
      <c r="CC39" s="12"/>
      <c r="CD39" s="12">
        <v>0.9</v>
      </c>
      <c r="CH39" s="12"/>
      <c r="CI39" s="12">
        <v>1</v>
      </c>
      <c r="CJ39" s="12"/>
      <c r="CK39" s="12">
        <v>1</v>
      </c>
      <c r="CO39" s="12"/>
      <c r="CP39" s="12">
        <v>1</v>
      </c>
      <c r="CQ39" s="12"/>
      <c r="CR39" s="12">
        <v>1</v>
      </c>
      <c r="CV39" s="12"/>
      <c r="CW39" s="12"/>
      <c r="CX39" s="12"/>
      <c r="CY39" s="12"/>
      <c r="DC39" s="12"/>
      <c r="DD39" s="12"/>
      <c r="DE39" s="12"/>
      <c r="DF39" s="12"/>
    </row>
    <row r="40" spans="2:110" outlineLevel="1" x14ac:dyDescent="0.2">
      <c r="B40" t="s">
        <v>28</v>
      </c>
      <c r="D40" s="24" t="s">
        <v>105</v>
      </c>
      <c r="E40" s="24"/>
      <c r="F40" s="11"/>
      <c r="G40" s="27" t="s">
        <v>121</v>
      </c>
      <c r="H40" s="12">
        <v>5.8000000000000003E-2</v>
      </c>
      <c r="J40" s="11">
        <f>+SUMIF($O$3:$AAA$3,J$3,$O40:$AAA40)</f>
        <v>0</v>
      </c>
      <c r="K40" s="13" cm="1">
        <f t="array" ref="K40">MAX(IF($O$3:$EI$3=$K$3,O40:EI40))</f>
        <v>0</v>
      </c>
      <c r="L40" s="13" cm="1">
        <f t="array" ref="L40">MAX(IF($O$3:$EI$3=$K$3,O40:EI40))</f>
        <v>0</v>
      </c>
      <c r="M40" s="11"/>
      <c r="P40" s="12"/>
      <c r="Q40" s="12">
        <v>0.1</v>
      </c>
      <c r="R40" s="12"/>
      <c r="S40" s="12">
        <v>0.1</v>
      </c>
      <c r="W40" s="12"/>
      <c r="X40" s="12">
        <v>0.1</v>
      </c>
      <c r="Y40" s="12"/>
      <c r="Z40" s="12">
        <v>0.1</v>
      </c>
      <c r="AD40" s="12"/>
      <c r="AE40" s="12">
        <v>0.2</v>
      </c>
      <c r="AF40" s="12"/>
      <c r="AG40" s="12">
        <v>0.2</v>
      </c>
      <c r="AK40" s="12"/>
      <c r="AL40" s="12">
        <v>0.3</v>
      </c>
      <c r="AM40" s="12"/>
      <c r="AN40" s="12">
        <v>0.3</v>
      </c>
      <c r="AR40" s="12"/>
      <c r="AS40" s="12">
        <v>0.4</v>
      </c>
      <c r="AT40" s="12"/>
      <c r="AU40" s="12">
        <v>0.4</v>
      </c>
      <c r="AY40" s="12"/>
      <c r="AZ40" s="12">
        <v>0.5</v>
      </c>
      <c r="BA40" s="12"/>
      <c r="BB40" s="12">
        <v>0.5</v>
      </c>
      <c r="BF40" s="12"/>
      <c r="BG40" s="12">
        <v>0.6</v>
      </c>
      <c r="BH40" s="12"/>
      <c r="BI40" s="12">
        <v>0.6</v>
      </c>
      <c r="BM40" s="12"/>
      <c r="BN40" s="12">
        <v>0.7</v>
      </c>
      <c r="BO40" s="12"/>
      <c r="BP40" s="12">
        <v>0.7</v>
      </c>
      <c r="BT40" s="12"/>
      <c r="BU40" s="12">
        <v>0.8</v>
      </c>
      <c r="BV40" s="12"/>
      <c r="BW40" s="12">
        <v>0.8</v>
      </c>
      <c r="CA40" s="12"/>
      <c r="CB40" s="12">
        <v>0.9</v>
      </c>
      <c r="CC40" s="12"/>
      <c r="CD40" s="12">
        <v>0.9</v>
      </c>
      <c r="CH40" s="12"/>
      <c r="CI40" s="12">
        <v>1</v>
      </c>
      <c r="CJ40" s="12"/>
      <c r="CK40" s="12">
        <v>1</v>
      </c>
      <c r="CO40" s="12"/>
      <c r="CP40" s="12">
        <v>1</v>
      </c>
      <c r="CQ40" s="12"/>
      <c r="CR40" s="12">
        <v>1</v>
      </c>
      <c r="CV40" s="12"/>
      <c r="CW40" s="12"/>
      <c r="CX40" s="12"/>
      <c r="CY40" s="12"/>
      <c r="DC40" s="12"/>
      <c r="DD40" s="12"/>
      <c r="DE40" s="12"/>
      <c r="DF40" s="12"/>
    </row>
    <row r="41" spans="2:110" outlineLevel="1" x14ac:dyDescent="0.2">
      <c r="B41" t="s">
        <v>28</v>
      </c>
      <c r="D41" s="24" t="s">
        <v>105</v>
      </c>
      <c r="E41" s="24"/>
      <c r="F41" s="11"/>
      <c r="G41" s="27" t="s">
        <v>122</v>
      </c>
      <c r="H41" s="12">
        <v>5.8000000000000003E-2</v>
      </c>
      <c r="J41" s="11">
        <f>+SUMIF($O$3:$AAA$3,J$3,$O41:$AAA41)</f>
        <v>0</v>
      </c>
      <c r="K41" s="13" cm="1">
        <f t="array" ref="K41">MAX(IF($O$3:$EI$3=$K$3,O41:EI41))</f>
        <v>0</v>
      </c>
      <c r="L41" s="13" cm="1">
        <f t="array" ref="L41">MAX(IF($O$3:$EI$3=$K$3,O41:EI41))</f>
        <v>0</v>
      </c>
      <c r="M41" s="11"/>
      <c r="P41" s="12"/>
      <c r="Q41" s="12">
        <v>0.1</v>
      </c>
      <c r="R41" s="12"/>
      <c r="S41" s="12">
        <v>0.1</v>
      </c>
      <c r="W41" s="12"/>
      <c r="X41" s="12">
        <v>0.1</v>
      </c>
      <c r="Y41" s="12"/>
      <c r="Z41" s="12">
        <v>0.1</v>
      </c>
      <c r="AD41" s="12"/>
      <c r="AE41" s="12">
        <v>0.2</v>
      </c>
      <c r="AF41" s="12"/>
      <c r="AG41" s="12">
        <v>0.2</v>
      </c>
      <c r="AK41" s="12"/>
      <c r="AL41" s="12">
        <v>0.3</v>
      </c>
      <c r="AM41" s="12"/>
      <c r="AN41" s="12">
        <v>0.3</v>
      </c>
      <c r="AR41" s="12"/>
      <c r="AS41" s="12">
        <v>0.4</v>
      </c>
      <c r="AT41" s="12"/>
      <c r="AU41" s="12">
        <v>0.4</v>
      </c>
      <c r="AY41" s="12"/>
      <c r="AZ41" s="12">
        <v>0.5</v>
      </c>
      <c r="BA41" s="12"/>
      <c r="BB41" s="12">
        <v>0.5</v>
      </c>
      <c r="BF41" s="12"/>
      <c r="BG41" s="12">
        <v>0.6</v>
      </c>
      <c r="BH41" s="12"/>
      <c r="BI41" s="12">
        <v>0.6</v>
      </c>
      <c r="BM41" s="12"/>
      <c r="BN41" s="12">
        <v>0.7</v>
      </c>
      <c r="BO41" s="12"/>
      <c r="BP41" s="12">
        <v>0.7</v>
      </c>
      <c r="BT41" s="12"/>
      <c r="BU41" s="12">
        <v>0.8</v>
      </c>
      <c r="BV41" s="12"/>
      <c r="BW41" s="12">
        <v>0.8</v>
      </c>
      <c r="CA41" s="12"/>
      <c r="CB41" s="12">
        <v>0.9</v>
      </c>
      <c r="CC41" s="12"/>
      <c r="CD41" s="12">
        <v>0.9</v>
      </c>
      <c r="CH41" s="12"/>
      <c r="CI41" s="12">
        <v>1</v>
      </c>
      <c r="CJ41" s="12"/>
      <c r="CK41" s="12">
        <v>1</v>
      </c>
      <c r="CO41" s="12"/>
      <c r="CP41" s="12">
        <v>1</v>
      </c>
      <c r="CQ41" s="12"/>
      <c r="CR41" s="12">
        <v>1</v>
      </c>
      <c r="CV41" s="12"/>
      <c r="CW41" s="12"/>
      <c r="CX41" s="12"/>
      <c r="CY41" s="12"/>
      <c r="DC41" s="12"/>
      <c r="DD41" s="12"/>
      <c r="DE41" s="12"/>
      <c r="DF41" s="12"/>
    </row>
    <row r="42" spans="2:110" ht="15.75" thickBot="1" x14ac:dyDescent="0.25">
      <c r="O42" s="30"/>
    </row>
    <row r="43" spans="2:110" ht="15.75" thickTop="1" x14ac:dyDescent="0.2">
      <c r="B43" t="s">
        <v>27</v>
      </c>
      <c r="D43" s="27" t="s">
        <v>123</v>
      </c>
      <c r="E43" s="22">
        <v>45874</v>
      </c>
      <c r="F43" s="11">
        <v>3</v>
      </c>
      <c r="H43" s="12">
        <f>+SUM(H44:H47)</f>
        <v>0.30000000000000004</v>
      </c>
      <c r="J43" s="14">
        <f>+SUM(J44:J47)</f>
        <v>0</v>
      </c>
      <c r="K43" s="13">
        <f>+SUMPRODUCT(H44:H47,K44:K47)</f>
        <v>0</v>
      </c>
      <c r="L43" s="13">
        <f>+SUMPRODUCT(H44:H47,L44:L47)</f>
        <v>0</v>
      </c>
      <c r="M43" s="11"/>
      <c r="O43" s="14">
        <f>+SUM(O44:O47)</f>
        <v>0</v>
      </c>
      <c r="V43" s="14">
        <f>+SUM(V44:V47)</f>
        <v>0</v>
      </c>
      <c r="AC43" s="14">
        <f>+SUM(AC44:AC47)</f>
        <v>0</v>
      </c>
      <c r="AJ43" s="14">
        <f>+SUM(AJ44:AJ47)</f>
        <v>0</v>
      </c>
      <c r="AQ43" s="14">
        <f>+SUM(AQ44:AQ47)</f>
        <v>0</v>
      </c>
    </row>
    <row r="44" spans="2:110" outlineLevel="1" x14ac:dyDescent="0.2">
      <c r="B44" t="s">
        <v>28</v>
      </c>
      <c r="D44" s="27" t="s">
        <v>123</v>
      </c>
      <c r="F44" s="11"/>
      <c r="G44" s="28" t="s">
        <v>124</v>
      </c>
      <c r="H44" s="12">
        <v>0.1</v>
      </c>
      <c r="J44" s="11">
        <f>+SUMIF($O$3:$AAA$3,J$3,$O44:$AAA44)</f>
        <v>0</v>
      </c>
      <c r="K44" s="13" cm="1">
        <f t="array" ref="K44">MAX(IF($O$3:$EI$3=$K$3,O44:EI44))</f>
        <v>0</v>
      </c>
      <c r="L44" s="13" cm="1">
        <f t="array" ref="L44">MAX(IF($O$3:$EI$3=$K$3,O44:EI44))</f>
        <v>0</v>
      </c>
      <c r="M44" s="11"/>
      <c r="P44" s="12"/>
      <c r="Q44" s="12">
        <v>0.1</v>
      </c>
      <c r="R44" s="12"/>
      <c r="S44" s="12">
        <v>0.1</v>
      </c>
      <c r="W44" s="12"/>
      <c r="X44" s="12">
        <v>0.1</v>
      </c>
      <c r="Y44" s="12"/>
      <c r="Z44" s="12">
        <v>0.1</v>
      </c>
      <c r="AD44" s="12"/>
      <c r="AE44" s="12">
        <v>0.2</v>
      </c>
      <c r="AF44" s="12"/>
      <c r="AG44" s="12">
        <v>0.2</v>
      </c>
      <c r="AK44" s="12"/>
      <c r="AL44" s="12">
        <v>0.3</v>
      </c>
      <c r="AM44" s="12"/>
      <c r="AN44" s="12">
        <v>0.3</v>
      </c>
      <c r="AR44" s="12"/>
      <c r="AS44" s="12">
        <v>0.4</v>
      </c>
      <c r="AT44" s="12"/>
      <c r="AU44" s="12">
        <v>0.4</v>
      </c>
      <c r="AY44" s="12"/>
      <c r="AZ44" s="12">
        <v>0.5</v>
      </c>
      <c r="BA44" s="12"/>
      <c r="BB44" s="12">
        <v>0.5</v>
      </c>
      <c r="BF44" s="12"/>
      <c r="BG44" s="12">
        <v>0.6</v>
      </c>
      <c r="BH44" s="12"/>
      <c r="BI44" s="12">
        <v>0.6</v>
      </c>
      <c r="BM44" s="12"/>
      <c r="BN44" s="12">
        <v>0.7</v>
      </c>
      <c r="BO44" s="12"/>
      <c r="BP44" s="12">
        <v>0.7</v>
      </c>
      <c r="BT44" s="12"/>
      <c r="BU44" s="12">
        <v>0.8</v>
      </c>
      <c r="BV44" s="12"/>
      <c r="BW44" s="12">
        <v>0.8</v>
      </c>
      <c r="CA44" s="12"/>
      <c r="CB44" s="12">
        <v>0.9</v>
      </c>
      <c r="CC44" s="12"/>
      <c r="CD44" s="12">
        <v>0.9</v>
      </c>
      <c r="CH44" s="12"/>
      <c r="CI44" s="12">
        <v>1</v>
      </c>
      <c r="CJ44" s="12"/>
      <c r="CK44" s="12">
        <v>1</v>
      </c>
      <c r="CO44" s="12"/>
      <c r="CP44" s="12">
        <v>1</v>
      </c>
      <c r="CQ44" s="12"/>
      <c r="CR44" s="12">
        <v>1</v>
      </c>
      <c r="CV44" s="12"/>
      <c r="CW44" s="12"/>
      <c r="CX44" s="12"/>
      <c r="CY44" s="12"/>
      <c r="DC44" s="12"/>
      <c r="DD44" s="12"/>
      <c r="DE44" s="12"/>
      <c r="DF44" s="12"/>
    </row>
    <row r="45" spans="2:110" outlineLevel="1" x14ac:dyDescent="0.2">
      <c r="B45" t="s">
        <v>28</v>
      </c>
      <c r="D45" s="27" t="s">
        <v>123</v>
      </c>
      <c r="F45" s="11"/>
      <c r="G45" t="s">
        <v>125</v>
      </c>
      <c r="H45" s="12">
        <v>0.05</v>
      </c>
      <c r="J45" s="11">
        <f>+SUMIF($O$3:$AAA$3,J$3,$O45:$AAA45)</f>
        <v>0</v>
      </c>
      <c r="K45" s="13" cm="1">
        <f t="array" ref="K45">MAX(IF($O$3:$EI$3=$K$3,O45:EI45))</f>
        <v>0</v>
      </c>
      <c r="L45" s="13" cm="1">
        <f t="array" ref="L45">MAX(IF($O$3:$EI$3=$K$3,O45:EI45))</f>
        <v>0</v>
      </c>
      <c r="M45" s="11"/>
      <c r="P45" s="12"/>
      <c r="Q45" s="12">
        <v>0.1</v>
      </c>
      <c r="R45" s="12"/>
      <c r="S45" s="12">
        <v>0.1</v>
      </c>
      <c r="W45" s="12"/>
      <c r="X45" s="12">
        <v>0.1</v>
      </c>
      <c r="Y45" s="12"/>
      <c r="Z45" s="12">
        <v>0.1</v>
      </c>
      <c r="AD45" s="12"/>
      <c r="AE45" s="12">
        <v>0.2</v>
      </c>
      <c r="AF45" s="12"/>
      <c r="AG45" s="12">
        <v>0.2</v>
      </c>
      <c r="AK45" s="12"/>
      <c r="AL45" s="12">
        <v>0.3</v>
      </c>
      <c r="AM45" s="12"/>
      <c r="AN45" s="12">
        <v>0.3</v>
      </c>
      <c r="AR45" s="12"/>
      <c r="AS45" s="12">
        <v>0.4</v>
      </c>
      <c r="AT45" s="12"/>
      <c r="AU45" s="12">
        <v>0.4</v>
      </c>
      <c r="AY45" s="12"/>
      <c r="AZ45" s="12">
        <v>0.5</v>
      </c>
      <c r="BA45" s="12"/>
      <c r="BB45" s="12">
        <v>0.5</v>
      </c>
      <c r="BF45" s="12"/>
      <c r="BG45" s="12">
        <v>0.6</v>
      </c>
      <c r="BH45" s="12"/>
      <c r="BI45" s="12">
        <v>0.6</v>
      </c>
      <c r="BM45" s="12"/>
      <c r="BN45" s="12">
        <v>0.7</v>
      </c>
      <c r="BO45" s="12"/>
      <c r="BP45" s="12">
        <v>0.7</v>
      </c>
      <c r="BT45" s="12"/>
      <c r="BU45" s="12">
        <v>0.8</v>
      </c>
      <c r="BV45" s="12"/>
      <c r="BW45" s="12">
        <v>0.8</v>
      </c>
      <c r="CA45" s="12"/>
      <c r="CB45" s="12">
        <v>0.9</v>
      </c>
      <c r="CC45" s="12"/>
      <c r="CD45" s="12">
        <v>0.9</v>
      </c>
      <c r="CH45" s="12"/>
      <c r="CI45" s="12">
        <v>1</v>
      </c>
      <c r="CJ45" s="12"/>
      <c r="CK45" s="12">
        <v>1</v>
      </c>
      <c r="CO45" s="12"/>
      <c r="CP45" s="12">
        <v>1</v>
      </c>
      <c r="CQ45" s="12"/>
      <c r="CR45" s="12">
        <v>1</v>
      </c>
      <c r="CV45" s="12"/>
      <c r="CW45" s="12"/>
      <c r="CX45" s="12"/>
      <c r="CY45" s="12"/>
      <c r="DC45" s="12"/>
      <c r="DD45" s="12"/>
      <c r="DE45" s="12"/>
      <c r="DF45" s="12"/>
    </row>
    <row r="46" spans="2:110" outlineLevel="1" x14ac:dyDescent="0.2">
      <c r="B46" t="s">
        <v>28</v>
      </c>
      <c r="D46" s="27" t="s">
        <v>123</v>
      </c>
      <c r="F46" s="11"/>
      <c r="G46" t="s">
        <v>126</v>
      </c>
      <c r="H46" s="12">
        <v>0.05</v>
      </c>
      <c r="J46" s="11">
        <f>+SUMIF($O$3:$AAA$3,J$3,$O46:$AAA46)</f>
        <v>0</v>
      </c>
      <c r="K46" s="13" cm="1">
        <f t="array" ref="K46">MAX(IF($O$3:$EI$3=$K$3,O46:EI46))</f>
        <v>0</v>
      </c>
      <c r="L46" s="13" cm="1">
        <f t="array" ref="L46">MAX(IF($O$3:$EI$3=$K$3,O46:EI46))</f>
        <v>0</v>
      </c>
      <c r="M46" s="11"/>
      <c r="P46" s="12"/>
      <c r="Q46" s="12">
        <v>0.1</v>
      </c>
      <c r="R46" s="12"/>
      <c r="S46" s="12">
        <v>0.1</v>
      </c>
      <c r="W46" s="12"/>
      <c r="X46" s="12">
        <v>0.1</v>
      </c>
      <c r="Y46" s="12"/>
      <c r="Z46" s="12">
        <v>0.1</v>
      </c>
      <c r="AD46" s="12"/>
      <c r="AE46" s="12">
        <v>0.2</v>
      </c>
      <c r="AF46" s="12"/>
      <c r="AG46" s="12">
        <v>0.2</v>
      </c>
      <c r="AK46" s="12"/>
      <c r="AL46" s="12">
        <v>0.3</v>
      </c>
      <c r="AM46" s="12"/>
      <c r="AN46" s="12">
        <v>0.3</v>
      </c>
      <c r="AR46" s="12"/>
      <c r="AS46" s="12">
        <v>0.4</v>
      </c>
      <c r="AT46" s="12"/>
      <c r="AU46" s="12">
        <v>0.4</v>
      </c>
      <c r="AY46" s="12"/>
      <c r="AZ46" s="12">
        <v>0.5</v>
      </c>
      <c r="BA46" s="12"/>
      <c r="BB46" s="12">
        <v>0.5</v>
      </c>
      <c r="BF46" s="12"/>
      <c r="BG46" s="12">
        <v>0.6</v>
      </c>
      <c r="BH46" s="12"/>
      <c r="BI46" s="12">
        <v>0.6</v>
      </c>
      <c r="BM46" s="12"/>
      <c r="BN46" s="12">
        <v>0.7</v>
      </c>
      <c r="BO46" s="12"/>
      <c r="BP46" s="12">
        <v>0.7</v>
      </c>
      <c r="BT46" s="12"/>
      <c r="BU46" s="12">
        <v>0.8</v>
      </c>
      <c r="BV46" s="12"/>
      <c r="BW46" s="12">
        <v>0.8</v>
      </c>
      <c r="CA46" s="12"/>
      <c r="CB46" s="12">
        <v>0.9</v>
      </c>
      <c r="CC46" s="12"/>
      <c r="CD46" s="12">
        <v>0.9</v>
      </c>
      <c r="CH46" s="12"/>
      <c r="CI46" s="12">
        <v>1</v>
      </c>
      <c r="CJ46" s="12"/>
      <c r="CK46" s="12">
        <v>1</v>
      </c>
      <c r="CO46" s="12"/>
      <c r="CP46" s="12">
        <v>1</v>
      </c>
      <c r="CQ46" s="12"/>
      <c r="CR46" s="12">
        <v>1</v>
      </c>
      <c r="CV46" s="12"/>
      <c r="CW46" s="12"/>
      <c r="CX46" s="12"/>
      <c r="CY46" s="12"/>
      <c r="DC46" s="12"/>
      <c r="DD46" s="12"/>
      <c r="DE46" s="12"/>
      <c r="DF46" s="12"/>
    </row>
    <row r="47" spans="2:110" outlineLevel="1" x14ac:dyDescent="0.2">
      <c r="B47" t="s">
        <v>28</v>
      </c>
      <c r="D47" s="27" t="s">
        <v>123</v>
      </c>
      <c r="F47" s="11"/>
      <c r="G47" t="s">
        <v>127</v>
      </c>
      <c r="H47" s="12">
        <v>0.1</v>
      </c>
      <c r="J47" s="11">
        <f>+SUMIF($O$3:$AAA$3,J$3,$O47:$AAA47)</f>
        <v>0</v>
      </c>
      <c r="K47" s="13" cm="1">
        <f t="array" ref="K47">MAX(IF($O$3:$EI$3=$K$3,O47:EI47))</f>
        <v>0</v>
      </c>
      <c r="L47" s="13" cm="1">
        <f t="array" ref="L47">MAX(IF($O$3:$EI$3=$K$3,O47:EI47))</f>
        <v>0</v>
      </c>
      <c r="M47" s="11"/>
      <c r="P47" s="12"/>
      <c r="Q47" s="12">
        <v>0.1</v>
      </c>
      <c r="R47" s="12"/>
      <c r="S47" s="12">
        <v>0.1</v>
      </c>
      <c r="W47" s="12"/>
      <c r="X47" s="12">
        <v>0.1</v>
      </c>
      <c r="Y47" s="12"/>
      <c r="Z47" s="12">
        <v>0.1</v>
      </c>
      <c r="AD47" s="12"/>
      <c r="AE47" s="12">
        <v>0.2</v>
      </c>
      <c r="AF47" s="12"/>
      <c r="AG47" s="12">
        <v>0.2</v>
      </c>
      <c r="AK47" s="12"/>
      <c r="AL47" s="12">
        <v>0.3</v>
      </c>
      <c r="AM47" s="12"/>
      <c r="AN47" s="12">
        <v>0.3</v>
      </c>
      <c r="AR47" s="12"/>
      <c r="AS47" s="12">
        <v>0.4</v>
      </c>
      <c r="AT47" s="12"/>
      <c r="AU47" s="12">
        <v>0.4</v>
      </c>
      <c r="AY47" s="12"/>
      <c r="AZ47" s="12">
        <v>0.5</v>
      </c>
      <c r="BA47" s="12"/>
      <c r="BB47" s="12">
        <v>0.5</v>
      </c>
      <c r="BF47" s="12"/>
      <c r="BG47" s="12">
        <v>0.6</v>
      </c>
      <c r="BH47" s="12"/>
      <c r="BI47" s="12">
        <v>0.6</v>
      </c>
      <c r="BM47" s="12"/>
      <c r="BN47" s="12">
        <v>0.7</v>
      </c>
      <c r="BO47" s="12"/>
      <c r="BP47" s="12">
        <v>0.7</v>
      </c>
      <c r="BT47" s="12"/>
      <c r="BU47" s="12">
        <v>0.8</v>
      </c>
      <c r="BV47" s="12"/>
      <c r="BW47" s="12">
        <v>0.8</v>
      </c>
      <c r="CA47" s="12"/>
      <c r="CB47" s="12">
        <v>0.9</v>
      </c>
      <c r="CC47" s="12"/>
      <c r="CD47" s="12">
        <v>0.9</v>
      </c>
      <c r="CH47" s="12"/>
      <c r="CI47" s="12">
        <v>1</v>
      </c>
      <c r="CJ47" s="12"/>
      <c r="CK47" s="12">
        <v>1</v>
      </c>
      <c r="CO47" s="12"/>
      <c r="CP47" s="12">
        <v>1</v>
      </c>
      <c r="CQ47" s="12"/>
      <c r="CR47" s="12">
        <v>1</v>
      </c>
      <c r="CV47" s="12"/>
      <c r="CW47" s="12"/>
      <c r="CX47" s="12"/>
      <c r="CY47" s="12"/>
      <c r="DC47" s="12"/>
      <c r="DD47" s="12"/>
      <c r="DE47" s="12"/>
      <c r="DF47" s="12"/>
    </row>
    <row r="48" spans="2:110" outlineLevel="1" x14ac:dyDescent="0.2">
      <c r="D48" s="27"/>
      <c r="F48" s="11"/>
      <c r="H48" s="12"/>
      <c r="J48" s="11"/>
      <c r="K48" s="13"/>
      <c r="L48" s="13"/>
      <c r="M48" s="11"/>
      <c r="P48" s="12"/>
      <c r="Q48" s="12"/>
      <c r="R48" s="12"/>
      <c r="S48" s="12"/>
      <c r="W48" s="12"/>
      <c r="X48" s="12"/>
      <c r="Y48" s="12"/>
      <c r="Z48" s="12"/>
      <c r="AD48" s="12"/>
      <c r="AE48" s="12"/>
      <c r="AF48" s="12"/>
      <c r="AG48" s="12"/>
      <c r="AK48" s="12"/>
      <c r="AL48" s="12"/>
      <c r="AM48" s="12"/>
      <c r="AN48" s="12"/>
      <c r="AR48" s="12"/>
      <c r="AS48" s="12"/>
      <c r="AT48" s="12"/>
      <c r="AU48" s="12"/>
      <c r="AY48" s="12"/>
      <c r="AZ48" s="12"/>
      <c r="BA48" s="12"/>
      <c r="BB48" s="12"/>
      <c r="BF48" s="12"/>
      <c r="BG48" s="12"/>
      <c r="BH48" s="12"/>
      <c r="BI48" s="12"/>
      <c r="BM48" s="12"/>
      <c r="BN48" s="12"/>
      <c r="BO48" s="12"/>
      <c r="BP48" s="12"/>
      <c r="BT48" s="12"/>
      <c r="BU48" s="12"/>
      <c r="BV48" s="12"/>
      <c r="BW48" s="12"/>
      <c r="CA48" s="12"/>
      <c r="CB48" s="12"/>
      <c r="CC48" s="12"/>
      <c r="CD48" s="12"/>
      <c r="CH48" s="12"/>
      <c r="CI48" s="12"/>
      <c r="CJ48" s="12"/>
      <c r="CK48" s="12"/>
      <c r="CO48" s="12"/>
      <c r="CP48" s="12"/>
      <c r="CQ48" s="12"/>
      <c r="CR48" s="12"/>
      <c r="CV48" s="12"/>
      <c r="CW48" s="12"/>
      <c r="CX48" s="12"/>
      <c r="CY48" s="12"/>
      <c r="DC48" s="12"/>
      <c r="DD48" s="12"/>
      <c r="DE48" s="12"/>
      <c r="DF48" s="12"/>
    </row>
    <row r="49" spans="2:96" x14ac:dyDescent="0.2">
      <c r="B49" t="s">
        <v>27</v>
      </c>
      <c r="D49" s="25" t="s">
        <v>128</v>
      </c>
      <c r="E49" s="22">
        <v>45877</v>
      </c>
      <c r="F49">
        <v>6</v>
      </c>
      <c r="H49" s="12">
        <f>+SUM(H50:H53)</f>
        <v>1</v>
      </c>
      <c r="P49" s="12"/>
      <c r="Q49" s="12"/>
    </row>
    <row r="50" spans="2:96" x14ac:dyDescent="0.2">
      <c r="B50" t="s">
        <v>28</v>
      </c>
      <c r="D50" s="25" t="s">
        <v>128</v>
      </c>
      <c r="G50" t="s">
        <v>129</v>
      </c>
      <c r="H50" s="12">
        <v>0.25</v>
      </c>
      <c r="P50" s="12"/>
      <c r="S50" s="12"/>
      <c r="CQ50" s="12">
        <v>1</v>
      </c>
      <c r="CR50" s="12">
        <v>1</v>
      </c>
    </row>
    <row r="51" spans="2:96" x14ac:dyDescent="0.2">
      <c r="B51" t="s">
        <v>28</v>
      </c>
      <c r="D51" s="25" t="s">
        <v>128</v>
      </c>
      <c r="G51" t="s">
        <v>130</v>
      </c>
      <c r="H51" s="12">
        <v>0.25</v>
      </c>
      <c r="P51" s="12"/>
    </row>
    <row r="52" spans="2:96" x14ac:dyDescent="0.2">
      <c r="B52" t="s">
        <v>28</v>
      </c>
      <c r="D52" s="25" t="s">
        <v>128</v>
      </c>
      <c r="G52" t="s">
        <v>131</v>
      </c>
      <c r="H52" s="12">
        <v>0.25</v>
      </c>
      <c r="P52" s="12"/>
    </row>
    <row r="53" spans="2:96" x14ac:dyDescent="0.2">
      <c r="B53" t="s">
        <v>28</v>
      </c>
      <c r="D53" s="25" t="s">
        <v>128</v>
      </c>
      <c r="G53" t="s">
        <v>132</v>
      </c>
      <c r="H53" s="12">
        <v>0.25</v>
      </c>
      <c r="P53" s="12"/>
    </row>
    <row r="64" spans="2:96" x14ac:dyDescent="0.2">
      <c r="K64" s="29"/>
    </row>
  </sheetData>
  <mergeCells count="15">
    <mergeCell ref="CU2:CZ2"/>
    <mergeCell ref="DB2:DG2"/>
    <mergeCell ref="BL2:BQ2"/>
    <mergeCell ref="BS2:BX2"/>
    <mergeCell ref="BZ2:CE2"/>
    <mergeCell ref="CG2:CL2"/>
    <mergeCell ref="CN2:CS2"/>
    <mergeCell ref="J2:M2"/>
    <mergeCell ref="O2:T2"/>
    <mergeCell ref="BE2:BJ2"/>
    <mergeCell ref="V2:AA2"/>
    <mergeCell ref="AC2:AH2"/>
    <mergeCell ref="AJ2:AO2"/>
    <mergeCell ref="AQ2:AV2"/>
    <mergeCell ref="AX2:BC2"/>
  </mergeCells>
  <phoneticPr fontId="8" alignment="center"/>
  <conditionalFormatting sqref="K5:K14">
    <cfRule type="colorScale" priority="597">
      <colorScale>
        <cfvo type="percent" val="0"/>
        <cfvo type="percent" val="100"/>
        <color rgb="FFFF231B"/>
        <color rgb="FF10FF07"/>
      </colorScale>
    </cfRule>
  </conditionalFormatting>
  <conditionalFormatting sqref="K18">
    <cfRule type="colorScale" priority="145">
      <colorScale>
        <cfvo type="percent" val="0"/>
        <cfvo type="percent" val="100"/>
        <color rgb="FFFF231B"/>
        <color rgb="FF10FF07"/>
      </colorScale>
    </cfRule>
  </conditionalFormatting>
  <conditionalFormatting sqref="K19">
    <cfRule type="colorScale" priority="126">
      <colorScale>
        <cfvo type="percent" val="0"/>
        <cfvo type="percent" val="100"/>
        <color rgb="FFFF231B"/>
        <color rgb="FF10FF07"/>
      </colorScale>
    </cfRule>
  </conditionalFormatting>
  <conditionalFormatting sqref="K20:K22 K17">
    <cfRule type="colorScale" priority="815">
      <colorScale>
        <cfvo type="percent" val="0"/>
        <cfvo type="percent" val="100"/>
        <color rgb="FFFF231B"/>
        <color rgb="FF10FF07"/>
      </colorScale>
    </cfRule>
  </conditionalFormatting>
  <conditionalFormatting sqref="K25:K35">
    <cfRule type="colorScale" priority="657">
      <colorScale>
        <cfvo type="percent" val="0"/>
        <cfvo type="percent" val="100"/>
        <color rgb="FFFF231B"/>
        <color rgb="FF10FF07"/>
      </colorScale>
    </cfRule>
  </conditionalFormatting>
  <conditionalFormatting sqref="K36:K41">
    <cfRule type="colorScale" priority="819">
      <colorScale>
        <cfvo type="percent" val="0"/>
        <cfvo type="percent" val="100"/>
        <color rgb="FFFF231B"/>
        <color rgb="FF10FF07"/>
      </colorScale>
    </cfRule>
  </conditionalFormatting>
  <conditionalFormatting sqref="K44:K48">
    <cfRule type="colorScale" priority="1351">
      <colorScale>
        <cfvo type="percent" val="0"/>
        <cfvo type="percent" val="100"/>
        <color rgb="FFFF231B"/>
        <color rgb="FF10FF07"/>
      </colorScale>
    </cfRule>
  </conditionalFormatting>
  <conditionalFormatting sqref="K6:L14">
    <cfRule type="colorScale" priority="568">
      <colorScale>
        <cfvo type="percent" val="0"/>
        <cfvo type="percent" val="100"/>
        <color rgb="FFFF231B"/>
        <color rgb="FF10FF07"/>
      </colorScale>
    </cfRule>
  </conditionalFormatting>
  <conditionalFormatting sqref="K18:L18">
    <cfRule type="colorScale" priority="146">
      <colorScale>
        <cfvo type="percent" val="0"/>
        <cfvo type="percent" val="100"/>
        <color rgb="FFFF231B"/>
        <color rgb="FF10FF07"/>
      </colorScale>
    </cfRule>
  </conditionalFormatting>
  <conditionalFormatting sqref="K19:L19">
    <cfRule type="colorScale" priority="127">
      <colorScale>
        <cfvo type="percent" val="0"/>
        <cfvo type="percent" val="100"/>
        <color rgb="FFFF231B"/>
        <color rgb="FF10FF07"/>
      </colorScale>
    </cfRule>
  </conditionalFormatting>
  <conditionalFormatting sqref="K20:L22">
    <cfRule type="colorScale" priority="817">
      <colorScale>
        <cfvo type="percent" val="0"/>
        <cfvo type="percent" val="100"/>
        <color rgb="FFFF231B"/>
        <color rgb="FF10FF07"/>
      </colorScale>
    </cfRule>
  </conditionalFormatting>
  <conditionalFormatting sqref="K26:L35">
    <cfRule type="colorScale" priority="655">
      <colorScale>
        <cfvo type="percent" val="0"/>
        <cfvo type="percent" val="100"/>
        <color rgb="FFFF231B"/>
        <color rgb="FF10FF07"/>
      </colorScale>
    </cfRule>
  </conditionalFormatting>
  <conditionalFormatting sqref="K37:L41">
    <cfRule type="colorScale" priority="820">
      <colorScale>
        <cfvo type="percent" val="0"/>
        <cfvo type="percent" val="100"/>
        <color rgb="FFFF231B"/>
        <color rgb="FF10FF07"/>
      </colorScale>
    </cfRule>
  </conditionalFormatting>
  <conditionalFormatting sqref="K45:L48">
    <cfRule type="colorScale" priority="1352">
      <colorScale>
        <cfvo type="percent" val="0"/>
        <cfvo type="percent" val="100"/>
        <color rgb="FFFF231B"/>
        <color rgb="FF10FF07"/>
      </colorScale>
    </cfRule>
  </conditionalFormatting>
  <conditionalFormatting sqref="L5:L14">
    <cfRule type="colorScale" priority="598">
      <colorScale>
        <cfvo type="percent" val="0"/>
        <cfvo type="percent" val="100"/>
        <color rgb="FFFF231B"/>
        <color rgb="FF10FF07"/>
      </colorScale>
    </cfRule>
  </conditionalFormatting>
  <conditionalFormatting sqref="L18">
    <cfRule type="colorScale" priority="144">
      <colorScale>
        <cfvo type="percent" val="0"/>
        <cfvo type="percent" val="100"/>
        <color rgb="FFFF231B"/>
        <color rgb="FF10FF07"/>
      </colorScale>
    </cfRule>
  </conditionalFormatting>
  <conditionalFormatting sqref="L19">
    <cfRule type="colorScale" priority="125">
      <colorScale>
        <cfvo type="percent" val="0"/>
        <cfvo type="percent" val="100"/>
        <color rgb="FFFF231B"/>
        <color rgb="FF10FF07"/>
      </colorScale>
    </cfRule>
  </conditionalFormatting>
  <conditionalFormatting sqref="L20:L22 L17">
    <cfRule type="colorScale" priority="818">
      <colorScale>
        <cfvo type="percent" val="0"/>
        <cfvo type="percent" val="100"/>
        <color rgb="FFFF231B"/>
        <color rgb="FF10FF07"/>
      </colorScale>
    </cfRule>
  </conditionalFormatting>
  <conditionalFormatting sqref="L25:L35">
    <cfRule type="colorScale" priority="659">
      <colorScale>
        <cfvo type="percent" val="0"/>
        <cfvo type="percent" val="100"/>
        <color rgb="FFFF231B"/>
        <color rgb="FF10FF07"/>
      </colorScale>
    </cfRule>
  </conditionalFormatting>
  <conditionalFormatting sqref="L36:L41">
    <cfRule type="colorScale" priority="821">
      <colorScale>
        <cfvo type="percent" val="0"/>
        <cfvo type="percent" val="100"/>
        <color rgb="FFFF231B"/>
        <color rgb="FF10FF07"/>
      </colorScale>
    </cfRule>
  </conditionalFormatting>
  <conditionalFormatting sqref="L44:L48">
    <cfRule type="colorScale" priority="1353">
      <colorScale>
        <cfvo type="percent" val="0"/>
        <cfvo type="percent" val="100"/>
        <color rgb="FFFF231B"/>
        <color rgb="FF10FF07"/>
      </colorScale>
    </cfRule>
  </conditionalFormatting>
  <conditionalFormatting sqref="R5:R14 W5:W14 Y5:Y14 AF5:AF14 AK5:AK14 AM5:AM14 AR5:AR14 AT5:AT14 AY5:AY14 BA5:BA14 BF5:BF14 BH5:BH14 BM5:BM14 BO5:BO14 P17:P22 R17:R22 W17:W22 Y17:Y22 AD17:AD22 AF17:AF22 AK17:AK22 AM17:AM22 AR17:AR22 AT17:AT22 AY17:AY22 BA17:BA22 BF17:BF22 BH17:BH22 BM17:BM22 BO17:BO22 BT17:BT22 BV17:BV22 CA17:CA22 CC17:CC22 CH17:CH22 CJ17:CJ22 CQ17:CQ22 CV17:CV22 CX17:CX22 DC17:DC22 DE17:DE22 R44:R48 W44:W48 Y44:Y48 AD44:AD48 AF44:AF48 AK44:AK48 AM44:AM48 AR44:AR48 AT44:AT48 AY44:AY48 BA44:BA48 BF44:BF48 BH44:BH48 BM44:BM48 BO44:BO48 BT44:BT48 BV44:BV48 CA44:CA48 CC44:CC48 CH44:CH48 CJ44:CJ48 CO44:CO48 CQ44:CQ48 CV44:CV48 CX44:CX48 DC44:DC48 DE44:DE48 P5:P14 AD5:AD14 CO18:CO22 P44:P53">
    <cfRule type="expression" dxfId="85" priority="565">
      <formula>OR(IF(P5&lt;Q5,TRUE),IF(AND(Q5="",P5&lt;&gt;""),TRUE))</formula>
    </cfRule>
    <cfRule type="expression" dxfId="84" priority="566">
      <formula>IF(P5&gt;=Q5,IF(P5="",FALSE,TRUE))</formula>
    </cfRule>
  </conditionalFormatting>
  <conditionalFormatting sqref="P25:P41">
    <cfRule type="expression" dxfId="83" priority="506">
      <formula>OR(IF(P25&lt;Q25,TRUE),IF(AND(Q25="",P25&lt;&gt;""),TRUE))</formula>
    </cfRule>
    <cfRule type="expression" dxfId="82" priority="507">
      <formula>IF(P25&gt;=Q25,IF(P25="",FALSE,TRUE))</formula>
    </cfRule>
  </conditionalFormatting>
  <conditionalFormatting sqref="R25:R41">
    <cfRule type="expression" dxfId="81" priority="504">
      <formula>OR(IF(R25&lt;S25,TRUE),IF(AND(S25="",R25&lt;&gt;""),TRUE))</formula>
    </cfRule>
    <cfRule type="expression" dxfId="80" priority="505">
      <formula>IF(R25&gt;=S25,IF(R25="",FALSE,TRUE))</formula>
    </cfRule>
  </conditionalFormatting>
  <conditionalFormatting sqref="W25:W41">
    <cfRule type="expression" dxfId="79" priority="476">
      <formula>OR(IF(W25&lt;X25,TRUE),IF(AND(X25="",W25&lt;&gt;""),TRUE))</formula>
    </cfRule>
    <cfRule type="expression" dxfId="78" priority="477">
      <formula>IF(W25&gt;=X25,IF(W25="",FALSE,TRUE))</formula>
    </cfRule>
  </conditionalFormatting>
  <conditionalFormatting sqref="Y25:Y41">
    <cfRule type="expression" dxfId="77" priority="474">
      <formula>OR(IF(Y25&lt;Z25,TRUE),IF(AND(Z25="",Y25&lt;&gt;""),TRUE))</formula>
    </cfRule>
    <cfRule type="expression" dxfId="76" priority="475">
      <formula>IF(Y25&gt;=Z25,IF(Y25="",FALSE,TRUE))</formula>
    </cfRule>
  </conditionalFormatting>
  <conditionalFormatting sqref="AD25:AD41">
    <cfRule type="expression" dxfId="75" priority="460">
      <formula>OR(IF(AD25&lt;AE25,TRUE),IF(AND(AE25="",AD25&lt;&gt;""),TRUE))</formula>
    </cfRule>
    <cfRule type="expression" dxfId="74" priority="461">
      <formula>IF(AD25&gt;=AE25,IF(AD25="",FALSE,TRUE))</formula>
    </cfRule>
  </conditionalFormatting>
  <conditionalFormatting sqref="AF25:AF41">
    <cfRule type="expression" dxfId="73" priority="458">
      <formula>OR(IF(AF25&lt;AG25,TRUE),IF(AND(AG25="",AF25&lt;&gt;""),TRUE))</formula>
    </cfRule>
    <cfRule type="expression" dxfId="72" priority="459">
      <formula>IF(AF25&gt;=AG25,IF(AF25="",FALSE,TRUE))</formula>
    </cfRule>
  </conditionalFormatting>
  <conditionalFormatting sqref="AK25:AK41">
    <cfRule type="expression" dxfId="71" priority="444">
      <formula>OR(IF(AK25&lt;AL25,TRUE),IF(AND(AL25="",AK25&lt;&gt;""),TRUE))</formula>
    </cfRule>
    <cfRule type="expression" dxfId="70" priority="445">
      <formula>IF(AK25&gt;=AL25,IF(AK25="",FALSE,TRUE))</formula>
    </cfRule>
  </conditionalFormatting>
  <conditionalFormatting sqref="AM25:AM41">
    <cfRule type="expression" dxfId="69" priority="442">
      <formula>OR(IF(AM25&lt;AN25,TRUE),IF(AND(AN25="",AM25&lt;&gt;""),TRUE))</formula>
    </cfRule>
    <cfRule type="expression" dxfId="68" priority="443">
      <formula>IF(AM25&gt;=AN25,IF(AM25="",FALSE,TRUE))</formula>
    </cfRule>
  </conditionalFormatting>
  <conditionalFormatting sqref="AR25:AR41">
    <cfRule type="expression" dxfId="67" priority="428">
      <formula>OR(IF(AR25&lt;AS25,TRUE),IF(AND(AS25="",AR25&lt;&gt;""),TRUE))</formula>
    </cfRule>
    <cfRule type="expression" dxfId="66" priority="429">
      <formula>IF(AR25&gt;=AS25,IF(AR25="",FALSE,TRUE))</formula>
    </cfRule>
  </conditionalFormatting>
  <conditionalFormatting sqref="AT25:AT41">
    <cfRule type="expression" dxfId="65" priority="426">
      <formula>OR(IF(AT25&lt;AU25,TRUE),IF(AND(AU25="",AT25&lt;&gt;""),TRUE))</formula>
    </cfRule>
    <cfRule type="expression" dxfId="64" priority="427">
      <formula>IF(AT25&gt;=AU25,IF(AT25="",FALSE,TRUE))</formula>
    </cfRule>
  </conditionalFormatting>
  <conditionalFormatting sqref="AY25:AY41">
    <cfRule type="expression" dxfId="63" priority="412">
      <formula>OR(IF(AY25&lt;AZ25,TRUE),IF(AND(AZ25="",AY25&lt;&gt;""),TRUE))</formula>
    </cfRule>
    <cfRule type="expression" dxfId="62" priority="413">
      <formula>IF(AY25&gt;=AZ25,IF(AY25="",FALSE,TRUE))</formula>
    </cfRule>
  </conditionalFormatting>
  <conditionalFormatting sqref="BA25:BA41">
    <cfRule type="expression" dxfId="61" priority="410">
      <formula>OR(IF(BA25&lt;BB25,TRUE),IF(AND(BB25="",BA25&lt;&gt;""),TRUE))</formula>
    </cfRule>
    <cfRule type="expression" dxfId="60" priority="411">
      <formula>IF(BA25&gt;=BB25,IF(BA25="",FALSE,TRUE))</formula>
    </cfRule>
  </conditionalFormatting>
  <conditionalFormatting sqref="BF25:BF41">
    <cfRule type="expression" dxfId="59" priority="396">
      <formula>OR(IF(BF25&lt;BG25,TRUE),IF(AND(BG25="",BF25&lt;&gt;""),TRUE))</formula>
    </cfRule>
    <cfRule type="expression" dxfId="58" priority="397">
      <formula>IF(BF25&gt;=BG25,IF(BF25="",FALSE,TRUE))</formula>
    </cfRule>
  </conditionalFormatting>
  <conditionalFormatting sqref="BH25:BH41">
    <cfRule type="expression" dxfId="57" priority="394">
      <formula>OR(IF(BH25&lt;BI25,TRUE),IF(AND(BI25="",BH25&lt;&gt;""),TRUE))</formula>
    </cfRule>
    <cfRule type="expression" dxfId="56" priority="395">
      <formula>IF(BH25&gt;=BI25,IF(BH25="",FALSE,TRUE))</formula>
    </cfRule>
  </conditionalFormatting>
  <conditionalFormatting sqref="BM25:BM41">
    <cfRule type="expression" dxfId="55" priority="372">
      <formula>OR(IF(BM25&lt;BN25,TRUE),IF(AND(BN25="",BM25&lt;&gt;""),TRUE))</formula>
    </cfRule>
    <cfRule type="expression" dxfId="54" priority="373">
      <formula>IF(BM25&gt;=BN25,IF(BM25="",FALSE,TRUE))</formula>
    </cfRule>
  </conditionalFormatting>
  <conditionalFormatting sqref="BO25:BO41">
    <cfRule type="expression" dxfId="53" priority="370">
      <formula>OR(IF(BO25&lt;BP25,TRUE),IF(AND(BP25="",BO25&lt;&gt;""),TRUE))</formula>
    </cfRule>
    <cfRule type="expression" dxfId="52" priority="371">
      <formula>IF(BO25&gt;=BP25,IF(BO25="",FALSE,TRUE))</formula>
    </cfRule>
  </conditionalFormatting>
  <conditionalFormatting sqref="BT5:BT14 BV5:BV14">
    <cfRule type="expression" dxfId="51" priority="121">
      <formula>OR(IF(BT5&lt;BU5,TRUE),IF(AND(BU5="",BT5&lt;&gt;""),TRUE))</formula>
    </cfRule>
    <cfRule type="expression" dxfId="50" priority="122">
      <formula>IF(BT5&gt;=BU5,IF(BT5="",FALSE,TRUE))</formula>
    </cfRule>
  </conditionalFormatting>
  <conditionalFormatting sqref="BT25:BT41">
    <cfRule type="expression" dxfId="49" priority="117">
      <formula>OR(IF(BT25&lt;BU25,TRUE),IF(AND(BU25="",BT25&lt;&gt;""),TRUE))</formula>
    </cfRule>
    <cfRule type="expression" dxfId="48" priority="118">
      <formula>IF(BT25&gt;=BU25,IF(BT25="",FALSE,TRUE))</formula>
    </cfRule>
  </conditionalFormatting>
  <conditionalFormatting sqref="BV25:BV41">
    <cfRule type="expression" dxfId="47" priority="115">
      <formula>OR(IF(BV25&lt;BW25,TRUE),IF(AND(BW25="",BV25&lt;&gt;""),TRUE))</formula>
    </cfRule>
    <cfRule type="expression" dxfId="46" priority="116">
      <formula>IF(BV25&gt;=BW25,IF(BV25="",FALSE,TRUE))</formula>
    </cfRule>
  </conditionalFormatting>
  <conditionalFormatting sqref="CA5:CA14">
    <cfRule type="expression" dxfId="45" priority="101">
      <formula>OR(IF(CA5&lt;CB5,TRUE),IF(AND(CB5="",CA5&lt;&gt;""),TRUE))</formula>
    </cfRule>
    <cfRule type="expression" dxfId="44" priority="102">
      <formula>IF(CA5&gt;=CB5,IF(CA5="",FALSE,TRUE))</formula>
    </cfRule>
  </conditionalFormatting>
  <conditionalFormatting sqref="CA25:CA41">
    <cfRule type="expression" dxfId="43" priority="97">
      <formula>OR(IF(CA25&lt;CB25,TRUE),IF(AND(CB25="",CA25&lt;&gt;""),TRUE))</formula>
    </cfRule>
    <cfRule type="expression" dxfId="42" priority="98">
      <formula>IF(CA25&gt;=CB25,IF(CA25="",FALSE,TRUE))</formula>
    </cfRule>
  </conditionalFormatting>
  <conditionalFormatting sqref="CC5:CC14">
    <cfRule type="expression" dxfId="41" priority="1">
      <formula>OR(IF(CC5&lt;CD5,TRUE),IF(AND(CD5="",CC5&lt;&gt;""),TRUE))</formula>
    </cfRule>
    <cfRule type="expression" dxfId="40" priority="2">
      <formula>IF(CC5&gt;=CD5,IF(CC5="",FALSE,TRUE))</formula>
    </cfRule>
  </conditionalFormatting>
  <conditionalFormatting sqref="CC25:CC41">
    <cfRule type="expression" dxfId="39" priority="95">
      <formula>OR(IF(CC25&lt;CD25,TRUE),IF(AND(CD25="",CC25&lt;&gt;""),TRUE))</formula>
    </cfRule>
    <cfRule type="expression" dxfId="38" priority="96">
      <formula>IF(CC25&gt;=CD25,IF(CC25="",FALSE,TRUE))</formula>
    </cfRule>
  </conditionalFormatting>
  <conditionalFormatting sqref="CH5:CH14 CJ5:CJ14">
    <cfRule type="expression" dxfId="37" priority="81">
      <formula>OR(IF(CH5&lt;CI5,TRUE),IF(AND(CI5="",CH5&lt;&gt;""),TRUE))</formula>
    </cfRule>
    <cfRule type="expression" dxfId="36" priority="82">
      <formula>IF(CH5&gt;=CI5,IF(CH5="",FALSE,TRUE))</formula>
    </cfRule>
  </conditionalFormatting>
  <conditionalFormatting sqref="CH25:CH41">
    <cfRule type="expression" dxfId="35" priority="77">
      <formula>OR(IF(CH25&lt;CI25,TRUE),IF(AND(CI25="",CH25&lt;&gt;""),TRUE))</formula>
    </cfRule>
    <cfRule type="expression" dxfId="34" priority="78">
      <formula>IF(CH25&gt;=CI25,IF(CH25="",FALSE,TRUE))</formula>
    </cfRule>
  </conditionalFormatting>
  <conditionalFormatting sqref="CJ25:CJ41">
    <cfRule type="expression" dxfId="33" priority="75">
      <formula>OR(IF(CJ25&lt;CK25,TRUE),IF(AND(CK25="",CJ25&lt;&gt;""),TRUE))</formula>
    </cfRule>
    <cfRule type="expression" dxfId="32" priority="76">
      <formula>IF(CJ25&gt;=CK25,IF(CJ25="",FALSE,TRUE))</formula>
    </cfRule>
  </conditionalFormatting>
  <conditionalFormatting sqref="CO5:CO14 CQ5:CQ14">
    <cfRule type="expression" dxfId="31" priority="61">
      <formula>OR(IF(CO5&lt;CP5,TRUE),IF(AND(CP5="",CO5&lt;&gt;""),TRUE))</formula>
    </cfRule>
    <cfRule type="expression" dxfId="30" priority="62">
      <formula>IF(CO5&gt;=CP5,IF(CO5="",FALSE,TRUE))</formula>
    </cfRule>
  </conditionalFormatting>
  <conditionalFormatting sqref="CO25:CO41">
    <cfRule type="expression" dxfId="29" priority="57">
      <formula>OR(IF(CO25&lt;CP25,TRUE),IF(AND(CP25="",CO25&lt;&gt;""),TRUE))</formula>
    </cfRule>
    <cfRule type="expression" dxfId="28" priority="58">
      <formula>IF(CO25&gt;=CP25,IF(CO25="",FALSE,TRUE))</formula>
    </cfRule>
  </conditionalFormatting>
  <conditionalFormatting sqref="CQ25:CQ41">
    <cfRule type="expression" dxfId="27" priority="55">
      <formula>OR(IF(CQ25&lt;CR25,TRUE),IF(AND(CR25="",CQ25&lt;&gt;""),TRUE))</formula>
    </cfRule>
    <cfRule type="expression" dxfId="26" priority="56">
      <formula>IF(CQ25&gt;=CR25,IF(CQ25="",FALSE,TRUE))</formula>
    </cfRule>
  </conditionalFormatting>
  <conditionalFormatting sqref="CV5:CV14 CX5:CX14">
    <cfRule type="expression" dxfId="25" priority="41">
      <formula>OR(IF(CV5&lt;CW5,TRUE),IF(AND(CW5="",CV5&lt;&gt;""),TRUE))</formula>
    </cfRule>
    <cfRule type="expression" dxfId="24" priority="42">
      <formula>IF(CV5&gt;=CW5,IF(CV5="",FALSE,TRUE))</formula>
    </cfRule>
  </conditionalFormatting>
  <conditionalFormatting sqref="CV25:CV41">
    <cfRule type="expression" dxfId="23" priority="37">
      <formula>OR(IF(CV25&lt;CW25,TRUE),IF(AND(CW25="",CV25&lt;&gt;""),TRUE))</formula>
    </cfRule>
    <cfRule type="expression" dxfId="22" priority="38">
      <formula>IF(CV25&gt;=CW25,IF(CV25="",FALSE,TRUE))</formula>
    </cfRule>
  </conditionalFormatting>
  <conditionalFormatting sqref="CX25:CX41">
    <cfRule type="expression" dxfId="21" priority="35">
      <formula>OR(IF(CX25&lt;CY25,TRUE),IF(AND(CY25="",CX25&lt;&gt;""),TRUE))</formula>
    </cfRule>
    <cfRule type="expression" dxfId="20" priority="36">
      <formula>IF(CX25&gt;=CY25,IF(CX25="",FALSE,TRUE))</formula>
    </cfRule>
  </conditionalFormatting>
  <conditionalFormatting sqref="DC5:DC14 DE5:DE14">
    <cfRule type="expression" dxfId="19" priority="21">
      <formula>OR(IF(DC5&lt;DD5,TRUE),IF(AND(DD5="",DC5&lt;&gt;""),TRUE))</formula>
    </cfRule>
    <cfRule type="expression" dxfId="18" priority="22">
      <formula>IF(DC5&gt;=DD5,IF(DC5="",FALSE,TRUE))</formula>
    </cfRule>
  </conditionalFormatting>
  <conditionalFormatting sqref="DC25:DC41">
    <cfRule type="expression" dxfId="17" priority="17">
      <formula>OR(IF(DC25&lt;DD25,TRUE),IF(AND(DD25="",DC25&lt;&gt;""),TRUE))</formula>
    </cfRule>
    <cfRule type="expression" dxfId="16" priority="18">
      <formula>IF(DC25&gt;=DD25,IF(DC25="",FALSE,TRUE))</formula>
    </cfRule>
  </conditionalFormatting>
  <conditionalFormatting sqref="DE25:DE41">
    <cfRule type="expression" dxfId="15" priority="15">
      <formula>OR(IF(DE25&lt;DF25,TRUE),IF(AND(DF25="",DE25&lt;&gt;""),TRUE))</formula>
    </cfRule>
    <cfRule type="expression" dxfId="14" priority="16">
      <formula>IF(DE25&gt;=DF25,IF(DE25="",FALSE,TRUE))</formula>
    </cfRule>
  </conditionalFormatting>
  <conditionalFormatting sqref="CO17">
    <cfRule type="expression" dxfId="13" priority="1356">
      <formula>OR(IF(CO17&lt;CP20,TRUE),IF(AND(CP20="",CO17&lt;&gt;""),TRUE))</formula>
    </cfRule>
    <cfRule type="expression" dxfId="12" priority="1357">
      <formula>IF(CO17&gt;=CP20,IF(CO17="",FALSE,TRUE))</formula>
    </cfRule>
  </conditionalFormatting>
  <dataValidations count="1">
    <dataValidation type="list" allowBlank="1" showInputMessage="1" showErrorMessage="1" sqref="W5:Z14 P5:S14 AK5:AN14 AK44:AN48 CO5:CR14 AY5:BB14 AR5:AU14 AD5:AG14 BF25:BI41 CO18:CR22 AR25:AU41 AD25:AG41 AK25:AN41 W25:Z41 BM17:BP22 BT5:BW14 CA5:CD14 BM25:BP41 BT25:BW41 AY25:BB41 BM5:BP14 CA25:CD41 CH5:CK14 CH25:CK41 CV5:CY14 CV25:CY41 DC5:DF14 DC25:DF41 P17:S22 CA17:CD22 DC17:DF22 CV17:CY22 CH17:CK22 BT17:BW22 P25:S41 BF17:BI22 AY17:BB22 AR17:AU22 AK17:AN22 AD17:AG22 W17:Z22 CV44:CY48 CO44:CR48 DC44:DF48 CA44:CD48 CO25:CR41 BT44:BW48 W44:Z48 AD44:AG48 AR44:AU48 BF44:BI48 AY44:BB48 BM44:BP48 CH44:CK48 BF5:BI14 CO17 CQ17:CR17 Q44:S48 P44:P53"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topLeftCell="B32" workbookViewId="0">
      <selection activeCell="B27" sqref="B27"/>
    </sheetView>
  </sheetViews>
  <sheetFormatPr defaultColWidth="10.6015625" defaultRowHeight="15" x14ac:dyDescent="0.2"/>
  <cols>
    <col min="2" max="2" width="161.046875" customWidth="1"/>
    <col min="3" max="3" width="10.8515625" style="2"/>
  </cols>
  <sheetData>
    <row r="4" spans="2:2" ht="21" x14ac:dyDescent="0.3">
      <c r="B4" s="4" t="s">
        <v>16</v>
      </c>
    </row>
    <row r="6" spans="2:2" x14ac:dyDescent="0.2">
      <c r="B6" s="3" t="s">
        <v>13</v>
      </c>
    </row>
    <row r="7" spans="2:2" ht="45" x14ac:dyDescent="0.2">
      <c r="B7" s="1" t="s">
        <v>14</v>
      </c>
    </row>
    <row r="9" spans="2:2" x14ac:dyDescent="0.2">
      <c r="B9" s="3" t="s">
        <v>15</v>
      </c>
    </row>
    <row r="10" spans="2:2" ht="59.25" x14ac:dyDescent="0.2">
      <c r="B10" s="1" t="s">
        <v>35</v>
      </c>
    </row>
    <row r="12" spans="2:2" x14ac:dyDescent="0.2">
      <c r="B12" s="3" t="s">
        <v>17</v>
      </c>
    </row>
    <row r="13" spans="2:2" ht="117.75" x14ac:dyDescent="0.2">
      <c r="B13" s="1" t="s">
        <v>18</v>
      </c>
    </row>
    <row r="15" spans="2:2" x14ac:dyDescent="0.2">
      <c r="B15" s="3" t="s">
        <v>19</v>
      </c>
    </row>
    <row r="16" spans="2:2" ht="103.5" x14ac:dyDescent="0.2">
      <c r="B16" s="1" t="s">
        <v>20</v>
      </c>
    </row>
    <row r="17" spans="2:2" x14ac:dyDescent="0.2">
      <c r="B17" s="1"/>
    </row>
    <row r="18" spans="2:2" x14ac:dyDescent="0.2">
      <c r="B18" s="3" t="s">
        <v>34</v>
      </c>
    </row>
    <row r="19" spans="2:2" ht="132.75" x14ac:dyDescent="0.2">
      <c r="B19" s="1" t="s">
        <v>36</v>
      </c>
    </row>
    <row r="21" spans="2:2" x14ac:dyDescent="0.2">
      <c r="B21" s="3" t="s">
        <v>21</v>
      </c>
    </row>
    <row r="22" spans="2:2" ht="103.5" x14ac:dyDescent="0.2">
      <c r="B22" s="1" t="s">
        <v>37</v>
      </c>
    </row>
    <row r="24" spans="2:2" x14ac:dyDescent="0.2">
      <c r="B24" s="3" t="s">
        <v>22</v>
      </c>
    </row>
    <row r="25" spans="2:2" ht="103.5"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defaultColWidth="10.6015625" defaultRowHeight="15" x14ac:dyDescent="0.2"/>
  <cols>
    <col min="1" max="1" width="16.76953125" style="11" customWidth="1"/>
    <col min="2" max="2" width="19.11328125" style="11" customWidth="1"/>
    <col min="3" max="3" width="18.125" style="11" customWidth="1"/>
    <col min="4" max="4" width="19.48046875" style="11" customWidth="1"/>
    <col min="8" max="8" width="15.1640625" customWidth="1"/>
    <col min="10" max="10" width="42.046875" customWidth="1"/>
    <col min="11" max="11" width="28.484375" customWidth="1"/>
  </cols>
  <sheetData>
    <row r="1" spans="1:11" ht="30" x14ac:dyDescent="0.2">
      <c r="A1" s="11" t="s">
        <v>41</v>
      </c>
      <c r="B1" s="17" t="s">
        <v>38</v>
      </c>
      <c r="C1" s="17" t="s">
        <v>39</v>
      </c>
      <c r="D1" s="17" t="s">
        <v>40</v>
      </c>
      <c r="E1" s="1" t="s">
        <v>42</v>
      </c>
      <c r="F1" s="1" t="s">
        <v>43</v>
      </c>
      <c r="G1" s="1" t="s">
        <v>44</v>
      </c>
      <c r="H1" s="1" t="s">
        <v>45</v>
      </c>
      <c r="I1" s="1" t="s">
        <v>46</v>
      </c>
      <c r="J1" s="1" t="s">
        <v>47</v>
      </c>
      <c r="K1" s="1" t="s">
        <v>48</v>
      </c>
    </row>
    <row r="2" spans="1:11" x14ac:dyDescent="0.2">
      <c r="A2" s="16">
        <v>44118</v>
      </c>
      <c r="D2" s="18">
        <v>1</v>
      </c>
    </row>
    <row r="3" spans="1:11" x14ac:dyDescent="0.2">
      <c r="A3" s="16">
        <v>44119</v>
      </c>
    </row>
    <row r="4" spans="1:11" x14ac:dyDescent="0.2">
      <c r="A4" s="16">
        <v>44120</v>
      </c>
    </row>
    <row r="5" spans="1:11" x14ac:dyDescent="0.2">
      <c r="A5" s="16">
        <v>44121</v>
      </c>
    </row>
    <row r="6" spans="1:11" x14ac:dyDescent="0.2">
      <c r="A6" s="16">
        <v>44122</v>
      </c>
    </row>
    <row r="7" spans="1:11" x14ac:dyDescent="0.2">
      <c r="A7" s="16">
        <v>44123</v>
      </c>
    </row>
    <row r="8" spans="1:11" x14ac:dyDescent="0.2">
      <c r="A8" s="16">
        <v>44124</v>
      </c>
    </row>
    <row r="9" spans="1:11" x14ac:dyDescent="0.2">
      <c r="A9" s="16">
        <v>44125</v>
      </c>
    </row>
    <row r="10" spans="1:11" x14ac:dyDescent="0.2">
      <c r="A10" s="16">
        <v>44126</v>
      </c>
    </row>
    <row r="11" spans="1:11" x14ac:dyDescent="0.2">
      <c r="A11" s="16">
        <v>44127</v>
      </c>
    </row>
    <row r="12" spans="1:11" x14ac:dyDescent="0.2">
      <c r="A12" s="16">
        <v>44128</v>
      </c>
    </row>
    <row r="13" spans="1:11" x14ac:dyDescent="0.2">
      <c r="A13" s="16">
        <v>44129</v>
      </c>
    </row>
    <row r="14" spans="1:11" x14ac:dyDescent="0.2">
      <c r="A14" s="16">
        <v>44130</v>
      </c>
    </row>
    <row r="15" spans="1:11" x14ac:dyDescent="0.2">
      <c r="A15" s="16">
        <v>44131</v>
      </c>
    </row>
    <row r="16" spans="1:11" x14ac:dyDescent="0.2">
      <c r="A16" s="16">
        <v>44132</v>
      </c>
    </row>
    <row r="17" spans="1:1" x14ac:dyDescent="0.2">
      <c r="A17" s="16">
        <v>44133</v>
      </c>
    </row>
    <row r="18" spans="1:1" x14ac:dyDescent="0.2">
      <c r="A18" s="16">
        <v>44134</v>
      </c>
    </row>
    <row r="19" spans="1:1" x14ac:dyDescent="0.2">
      <c r="A19" s="16">
        <v>44135</v>
      </c>
    </row>
    <row r="20" spans="1:1" x14ac:dyDescent="0.2">
      <c r="A20" s="16">
        <v>44136</v>
      </c>
    </row>
    <row r="21" spans="1:1" x14ac:dyDescent="0.2">
      <c r="A21" s="16">
        <v>44137</v>
      </c>
    </row>
    <row r="22" spans="1:1" x14ac:dyDescent="0.2">
      <c r="A22" s="16">
        <v>44138</v>
      </c>
    </row>
    <row r="23" spans="1:1" x14ac:dyDescent="0.2">
      <c r="A23" s="16">
        <v>44139</v>
      </c>
    </row>
    <row r="24" spans="1:1" x14ac:dyDescent="0.2">
      <c r="A24" s="16">
        <v>44140</v>
      </c>
    </row>
    <row r="25" spans="1:1" x14ac:dyDescent="0.2">
      <c r="A25" s="16">
        <v>44141</v>
      </c>
    </row>
    <row r="26" spans="1:1" x14ac:dyDescent="0.2">
      <c r="A26" s="16">
        <v>44142</v>
      </c>
    </row>
    <row r="27" spans="1:1" x14ac:dyDescent="0.2">
      <c r="A27" s="16">
        <v>44143</v>
      </c>
    </row>
    <row r="28" spans="1:1" x14ac:dyDescent="0.2">
      <c r="A28" s="16">
        <v>44144</v>
      </c>
    </row>
    <row r="29" spans="1:1" x14ac:dyDescent="0.2">
      <c r="A29" s="16">
        <v>44145</v>
      </c>
    </row>
    <row r="30" spans="1:1" x14ac:dyDescent="0.2">
      <c r="A30" s="16">
        <v>44146</v>
      </c>
    </row>
    <row r="31" spans="1:1" x14ac:dyDescent="0.2">
      <c r="A31" s="16">
        <v>44147</v>
      </c>
    </row>
    <row r="32" spans="1:1" x14ac:dyDescent="0.2">
      <c r="A32" s="16">
        <v>44148</v>
      </c>
    </row>
    <row r="33" spans="1:1" x14ac:dyDescent="0.2">
      <c r="A33" s="16">
        <v>44149</v>
      </c>
    </row>
    <row r="34" spans="1:1" x14ac:dyDescent="0.2">
      <c r="A34" s="16">
        <v>44150</v>
      </c>
    </row>
    <row r="35" spans="1:1" x14ac:dyDescent="0.2">
      <c r="A35" s="16">
        <v>44151</v>
      </c>
    </row>
    <row r="36" spans="1:1" x14ac:dyDescent="0.2">
      <c r="A36" s="16">
        <v>44152</v>
      </c>
    </row>
    <row r="37" spans="1:1" x14ac:dyDescent="0.2">
      <c r="A37" s="16">
        <v>44153</v>
      </c>
    </row>
    <row r="38" spans="1:1" x14ac:dyDescent="0.2">
      <c r="A38" s="16">
        <v>44154</v>
      </c>
    </row>
    <row r="39" spans="1:1" x14ac:dyDescent="0.2">
      <c r="A39" s="16">
        <v>44155</v>
      </c>
    </row>
    <row r="40" spans="1:1" x14ac:dyDescent="0.2">
      <c r="A40" s="16">
        <v>44156</v>
      </c>
    </row>
    <row r="41" spans="1:1" x14ac:dyDescent="0.2">
      <c r="A41" s="16">
        <v>44157</v>
      </c>
    </row>
    <row r="42" spans="1:1" x14ac:dyDescent="0.2">
      <c r="A42" s="16">
        <v>44158</v>
      </c>
    </row>
    <row r="43" spans="1:1" x14ac:dyDescent="0.2">
      <c r="A43" s="16">
        <v>44159</v>
      </c>
    </row>
    <row r="44" spans="1:1" x14ac:dyDescent="0.2">
      <c r="A44" s="16">
        <v>44160</v>
      </c>
    </row>
    <row r="45" spans="1:1" x14ac:dyDescent="0.2">
      <c r="A45" s="16">
        <v>44161</v>
      </c>
    </row>
    <row r="46" spans="1:1" x14ac:dyDescent="0.2">
      <c r="A46" s="16">
        <v>44162</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defaultColWidth="10.6015625" defaultRowHeight="15" x14ac:dyDescent="0.2"/>
  <sheetData>
    <row r="1" spans="1:8" ht="25.5" x14ac:dyDescent="0.35">
      <c r="B1" s="8" t="s">
        <v>25</v>
      </c>
    </row>
    <row r="4" spans="1:8" x14ac:dyDescent="0.2">
      <c r="B4" s="3" t="s">
        <v>4</v>
      </c>
      <c r="C4" s="3" t="s">
        <v>5</v>
      </c>
      <c r="D4" s="3" t="s">
        <v>6</v>
      </c>
      <c r="E4" s="3" t="s">
        <v>7</v>
      </c>
      <c r="F4" s="3" t="s">
        <v>10</v>
      </c>
      <c r="G4" s="3" t="s">
        <v>8</v>
      </c>
      <c r="H4" s="3" t="s">
        <v>9</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row>
    <row r="14" spans="1:8" x14ac:dyDescent="0.2">
      <c r="A14" s="10">
        <v>0.35416666666666702</v>
      </c>
    </row>
    <row r="15" spans="1:8" x14ac:dyDescent="0.2">
      <c r="A15" s="10">
        <v>0.375</v>
      </c>
    </row>
    <row r="16" spans="1:8" x14ac:dyDescent="0.2">
      <c r="A16" s="10">
        <v>0.39583333333333398</v>
      </c>
    </row>
    <row r="17" spans="1:1" x14ac:dyDescent="0.2">
      <c r="A17" s="10">
        <v>0.41666666666666702</v>
      </c>
    </row>
    <row r="18" spans="1:1" x14ac:dyDescent="0.2">
      <c r="A18" s="10">
        <v>0.4375</v>
      </c>
    </row>
    <row r="19" spans="1:1" x14ac:dyDescent="0.2">
      <c r="A19" s="10">
        <v>0.45833333333333398</v>
      </c>
    </row>
    <row r="20" spans="1:1" x14ac:dyDescent="0.2">
      <c r="A20" s="10">
        <v>0.47916666666666702</v>
      </c>
    </row>
    <row r="21" spans="1:1" x14ac:dyDescent="0.2">
      <c r="A21" s="10">
        <v>0.5</v>
      </c>
    </row>
    <row r="22" spans="1:1" x14ac:dyDescent="0.2">
      <c r="A22" s="10">
        <v>0.52083333333333404</v>
      </c>
    </row>
    <row r="23" spans="1:1" x14ac:dyDescent="0.2">
      <c r="A23" s="10">
        <v>0.54166666666666696</v>
      </c>
    </row>
    <row r="24" spans="1:1" x14ac:dyDescent="0.2">
      <c r="A24" s="10">
        <v>0.5625</v>
      </c>
    </row>
    <row r="25" spans="1:1" x14ac:dyDescent="0.2">
      <c r="A25" s="10">
        <v>0.58333333333333404</v>
      </c>
    </row>
    <row r="26" spans="1:1" x14ac:dyDescent="0.2">
      <c r="A26" s="10">
        <v>0.60416666666666696</v>
      </c>
    </row>
    <row r="27" spans="1:1" x14ac:dyDescent="0.2">
      <c r="A27" s="10">
        <v>0.625000000000001</v>
      </c>
    </row>
    <row r="28" spans="1:1" x14ac:dyDescent="0.2">
      <c r="A28" s="10">
        <v>0.64583333333333404</v>
      </c>
    </row>
    <row r="29" spans="1:1" x14ac:dyDescent="0.2">
      <c r="A29" s="10">
        <v>0.66666666666666696</v>
      </c>
    </row>
    <row r="30" spans="1:1" x14ac:dyDescent="0.2">
      <c r="A30" s="10">
        <v>0.687500000000001</v>
      </c>
    </row>
    <row r="31" spans="1:1" x14ac:dyDescent="0.2">
      <c r="A31" s="10">
        <v>0.70833333333333404</v>
      </c>
    </row>
    <row r="32" spans="1:1"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E18" sqref="E18"/>
    </sheetView>
  </sheetViews>
  <sheetFormatPr defaultColWidth="10.6015625" defaultRowHeight="15" x14ac:dyDescent="0.2"/>
  <sheetData>
    <row r="1" spans="1:8" ht="25.5" x14ac:dyDescent="0.35">
      <c r="B1" s="8" t="s">
        <v>25</v>
      </c>
    </row>
    <row r="4" spans="1:8" x14ac:dyDescent="0.2">
      <c r="B4" s="3" t="s">
        <v>4</v>
      </c>
      <c r="C4" s="3" t="s">
        <v>5</v>
      </c>
      <c r="D4" s="3" t="s">
        <v>6</v>
      </c>
      <c r="E4" s="3" t="s">
        <v>7</v>
      </c>
      <c r="F4" s="3" t="s">
        <v>10</v>
      </c>
      <c r="G4" s="3" t="s">
        <v>8</v>
      </c>
      <c r="H4" s="3" t="s">
        <v>9</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row>
    <row r="14" spans="1:8" x14ac:dyDescent="0.2">
      <c r="A14" s="10">
        <v>0.35416666666666702</v>
      </c>
    </row>
    <row r="15" spans="1:8" x14ac:dyDescent="0.2">
      <c r="A15" s="10">
        <v>0.375</v>
      </c>
    </row>
    <row r="16" spans="1:8" x14ac:dyDescent="0.2">
      <c r="A16" s="10">
        <v>0.39583333333333398</v>
      </c>
    </row>
    <row r="17" spans="1:1" x14ac:dyDescent="0.2">
      <c r="A17" s="10">
        <v>0.41666666666666702</v>
      </c>
    </row>
    <row r="18" spans="1:1" x14ac:dyDescent="0.2">
      <c r="A18" s="10">
        <v>0.4375</v>
      </c>
    </row>
    <row r="19" spans="1:1" x14ac:dyDescent="0.2">
      <c r="A19" s="10">
        <v>0.45833333333333398</v>
      </c>
    </row>
    <row r="20" spans="1:1" x14ac:dyDescent="0.2">
      <c r="A20" s="10">
        <v>0.47916666666666702</v>
      </c>
    </row>
    <row r="21" spans="1:1" x14ac:dyDescent="0.2">
      <c r="A21" s="10">
        <v>0.5</v>
      </c>
    </row>
    <row r="22" spans="1:1" x14ac:dyDescent="0.2">
      <c r="A22" s="10">
        <v>0.52083333333333404</v>
      </c>
    </row>
    <row r="23" spans="1:1" x14ac:dyDescent="0.2">
      <c r="A23" s="10">
        <v>0.54166666666666696</v>
      </c>
    </row>
    <row r="24" spans="1:1" x14ac:dyDescent="0.2">
      <c r="A24" s="10">
        <v>0.5625</v>
      </c>
    </row>
    <row r="25" spans="1:1" x14ac:dyDescent="0.2">
      <c r="A25" s="10">
        <v>0.58333333333333404</v>
      </c>
    </row>
    <row r="26" spans="1:1" x14ac:dyDescent="0.2">
      <c r="A26" s="10">
        <v>0.60416666666666696</v>
      </c>
    </row>
    <row r="27" spans="1:1" x14ac:dyDescent="0.2">
      <c r="A27" s="10">
        <v>0.625000000000001</v>
      </c>
    </row>
    <row r="28" spans="1:1" x14ac:dyDescent="0.2">
      <c r="A28" s="10">
        <v>0.64583333333333404</v>
      </c>
    </row>
    <row r="29" spans="1:1" x14ac:dyDescent="0.2">
      <c r="A29" s="10">
        <v>0.66666666666666696</v>
      </c>
    </row>
    <row r="30" spans="1:1" x14ac:dyDescent="0.2">
      <c r="A30" s="10">
        <v>0.687500000000001</v>
      </c>
    </row>
    <row r="31" spans="1:1" x14ac:dyDescent="0.2">
      <c r="A31" s="10">
        <v>0.70833333333333404</v>
      </c>
    </row>
    <row r="32" spans="1:1"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Excel iOS</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2022-02-10T19:26:35Z</dcterms:modified>
</cp:coreProperties>
</file>