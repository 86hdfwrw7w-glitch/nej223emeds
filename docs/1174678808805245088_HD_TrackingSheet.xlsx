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hduvan/Desktop/"/>
    </mc:Choice>
  </mc:AlternateContent>
  <xr:revisionPtr revIDLastSave="0" documentId="13_ncr:1_{CECD4DBE-CD55-E646-B183-37F406EA7DC6}" xr6:coauthVersionLast="47" xr6:coauthVersionMax="47" xr10:uidLastSave="{00000000-0000-0000-0000-000000000000}"/>
  <bookViews>
    <workbookView xWindow="0" yWindow="740" windowWidth="30240" windowHeight="18900" xr2:uid="{50F29292-BE80-0C47-A0D2-DD086CB3D310}"/>
  </bookViews>
  <sheets>
    <sheet name="ANLEITUNG" sheetId="10" r:id="rId1"/>
    <sheet name="Semesterplan" sheetId="7" r:id="rId2"/>
    <sheet name="Best-Practices" sheetId="2" r:id="rId3"/>
    <sheet name="COMMITTMENT" sheetId="9" r:id="rId4"/>
    <sheet name="Wochenplan KW 45"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0" l="1"/>
  <c r="C11" i="10"/>
  <c r="CN4" i="7"/>
  <c r="C7" i="10"/>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AP55" i="7"/>
  <c r="AI55" i="7"/>
  <c r="AB55" i="7"/>
  <c r="U55" i="7"/>
  <c r="N55" i="7"/>
  <c r="G55"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AP44" i="7"/>
  <c r="AI44" i="7"/>
  <c r="AB44" i="7"/>
  <c r="U44" i="7"/>
  <c r="N44" i="7"/>
  <c r="G4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J15" i="7" a="1"/>
  <c r="J15" i="7" s="1"/>
  <c r="K15" i="7" a="1"/>
  <c r="K15" i="7" s="1"/>
  <c r="J16" i="7" a="1"/>
  <c r="J16" i="7" s="1"/>
  <c r="K16" i="7" a="1"/>
  <c r="K16" i="7" s="1"/>
  <c r="J17" i="7" a="1"/>
  <c r="J17" i="7" s="1"/>
  <c r="K17" i="7" a="1"/>
  <c r="K17" i="7" s="1"/>
  <c r="K23" i="7" a="1"/>
  <c r="K23" i="7" s="1"/>
  <c r="J23" i="7" a="1"/>
  <c r="J23" i="7" s="1"/>
  <c r="I23" i="7"/>
  <c r="K22" i="7" a="1"/>
  <c r="K22" i="7" s="1"/>
  <c r="J22" i="7" a="1"/>
  <c r="J22" i="7" s="1"/>
  <c r="I22" i="7"/>
  <c r="K10" i="7" a="1"/>
  <c r="K10" i="7" s="1"/>
  <c r="J10" i="7" a="1"/>
  <c r="J10" i="7" s="1"/>
  <c r="I10" i="7"/>
  <c r="K9" i="7" a="1"/>
  <c r="K9" i="7" s="1"/>
  <c r="J9" i="7" a="1"/>
  <c r="J9" i="7" s="1"/>
  <c r="I9" i="7"/>
  <c r="DA4" i="7"/>
  <c r="CT4" i="7"/>
  <c r="CF4" i="7"/>
  <c r="BY4" i="7"/>
  <c r="BR4" i="7"/>
  <c r="I17" i="7"/>
  <c r="I16" i="7"/>
  <c r="BK4" i="7"/>
  <c r="K24" i="7" a="1"/>
  <c r="K24" i="7" s="1"/>
  <c r="J24" i="7" a="1"/>
  <c r="J24" i="7" s="1"/>
  <c r="K21" i="7" a="1"/>
  <c r="K21" i="7" s="1"/>
  <c r="J21" i="7" a="1"/>
  <c r="J21" i="7" s="1"/>
  <c r="K20" i="7" a="1"/>
  <c r="K20" i="7" s="1"/>
  <c r="J20" i="7" a="1"/>
  <c r="J20" i="7" s="1"/>
  <c r="K19" i="7" a="1"/>
  <c r="K19" i="7" s="1"/>
  <c r="J19" i="7" a="1"/>
  <c r="J19" i="7" s="1"/>
  <c r="K18" i="7" a="1"/>
  <c r="K18" i="7" s="1"/>
  <c r="J18" i="7" a="1"/>
  <c r="J1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2" i="7" a="1"/>
  <c r="K12" i="7" s="1"/>
  <c r="J12" i="7" a="1"/>
  <c r="J12" i="7" s="1"/>
  <c r="K11" i="7" a="1"/>
  <c r="K11" i="7" s="1"/>
  <c r="J11" i="7" a="1"/>
  <c r="J11" i="7" s="1"/>
  <c r="K8" i="7" a="1"/>
  <c r="K8" i="7" s="1"/>
  <c r="J8" i="7" a="1"/>
  <c r="J8" i="7" s="1"/>
  <c r="K7" i="7" a="1"/>
  <c r="K7" i="7" s="1"/>
  <c r="J7" i="7" a="1"/>
  <c r="J7" i="7" s="1"/>
  <c r="K6" i="7" a="1"/>
  <c r="K6" i="7" s="1"/>
  <c r="J6" i="7" a="1"/>
  <c r="J6" i="7" s="1"/>
  <c r="K5" i="7" a="1"/>
  <c r="K5" i="7" s="1"/>
  <c r="J5" i="7" a="1"/>
  <c r="J5" i="7" s="1"/>
  <c r="AP14" i="7"/>
  <c r="AI14" i="7"/>
  <c r="AB14" i="7"/>
  <c r="U14" i="7"/>
  <c r="BD4" i="7"/>
  <c r="AW4" i="7"/>
  <c r="AP4" i="7"/>
  <c r="AI4" i="7"/>
  <c r="AB4" i="7"/>
  <c r="U4" i="7"/>
  <c r="N4" i="7"/>
  <c r="G4" i="7"/>
  <c r="AP26" i="7"/>
  <c r="AI26" i="7"/>
  <c r="AB26" i="7"/>
  <c r="U26" i="7"/>
  <c r="I37" i="7"/>
  <c r="I36" i="7"/>
  <c r="I35" i="7"/>
  <c r="I34" i="7"/>
  <c r="I33" i="7"/>
  <c r="I32" i="7"/>
  <c r="I31" i="7"/>
  <c r="I30" i="7"/>
  <c r="I29" i="7"/>
  <c r="I28" i="7"/>
  <c r="I27" i="7"/>
  <c r="I24" i="7"/>
  <c r="I21" i="7"/>
  <c r="I20" i="7"/>
  <c r="I19" i="7"/>
  <c r="I18" i="7"/>
  <c r="I15" i="7"/>
  <c r="I6" i="7"/>
  <c r="I7" i="7"/>
  <c r="I8" i="7"/>
  <c r="I11" i="7"/>
  <c r="I12" i="7"/>
  <c r="I5" i="7"/>
  <c r="N26" i="7"/>
  <c r="G26" i="7"/>
  <c r="G14" i="7"/>
  <c r="I55" i="7" l="1"/>
  <c r="I44" i="7"/>
  <c r="K44" i="7"/>
  <c r="J55" i="7"/>
  <c r="J44" i="7"/>
  <c r="K55" i="7"/>
  <c r="I26" i="7"/>
  <c r="J26" i="7"/>
  <c r="K26" i="7"/>
  <c r="I14" i="7"/>
  <c r="J14" i="7"/>
  <c r="K1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<sst xmlns="http://schemas.openxmlformats.org/spreadsheetml/2006/main" count="380" uniqueCount="165">
  <si>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</si>
  <si>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</si>
  <si>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</si>
  <si>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</si>
  <si>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</si>
  <si>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</si>
  <si>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</si>
  <si>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</si>
  <si>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</si>
  <si>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</si>
  <si>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</si>
  <si>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</si>
  <si>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</si>
  <si>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</si>
  <si>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</si>
  <si>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</si>
  <si>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</si>
  <si>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</si>
  <si>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</si>
  <si>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</si>
  <si>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</si>
  <si>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</si>
  <si>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</si>
  <si>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</si>
  <si>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</si>
  <si>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</si>
  <si>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</si>
  <si>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</si>
  <si>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</si>
  <si>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</si>
  <si>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</si>
  <si>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</si>
  <si>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</si>
  <si>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</si>
  <si>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</si>
  <si>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</si>
  <si>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</si>
  <si>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</si>
  <si>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</si>
  <si>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</si>
  <si>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</si>
  <si>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</si>
  <si>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</si>
  <si>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</si>
  <si>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</si>
  <si>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</si>
  <si>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</si>
  <si>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</si>
  <si>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</si>
  <si>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</si>
  <si>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</si>
  <si>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</si>
  <si>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</si>
  <si>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</si>
  <si>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</si>
  <si>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</si>
  <si>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</si>
  <si>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</si>
  <si>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</si>
  <si>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</si>
  <si>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</si>
  <si>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</si>
  <si>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</si>
  <si>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</si>
  <si>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</si>
  <si>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</si>
  <si>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</si>
  <si>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</si>
  <si>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</si>
  <si>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</si>
  <si>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</si>
  <si>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</si>
  <si>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</si>
  <si>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</si>
  <si>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</si>
  <si>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</si>
  <si>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</si>
  <si>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</si>
  <si>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</si>
  <si>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</si>
  <si>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</si>
  <si>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</si>
  <si>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</si>
  <si>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</si>
  <si>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</si>
  <si>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</si>
  <si>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</si>
  <si>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</si>
  <si>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IuF</t>
  </si>
  <si>
    <t>Statistik 1</t>
  </si>
  <si>
    <t>Rechnung.</t>
  </si>
  <si>
    <t>Recht</t>
  </si>
  <si>
    <t>2) Zeitwert des Geldes und Zinssätze</t>
  </si>
  <si>
    <t>3) investitionsentscheidungen und Investitionsplanung</t>
  </si>
  <si>
    <t>4) Bewertung von Anleihen und Aktien</t>
  </si>
  <si>
    <t>5) Kapitalmärkte und die Bewertung des Risikos</t>
  </si>
  <si>
    <t>6) Optimale Portfolioallokation und das CAPM</t>
  </si>
  <si>
    <t>7) Schätzung der Kapitalkosten</t>
  </si>
  <si>
    <t>8) Anlegerverhalten und Kapitalmarkteffizienz</t>
  </si>
  <si>
    <t>1) Grundlagen</t>
  </si>
  <si>
    <t>2) Häufigkeitsverteilungen</t>
  </si>
  <si>
    <t>3) Lagemaße</t>
  </si>
  <si>
    <t>4) Streuungsmaße</t>
  </si>
  <si>
    <t>5) Konzentrationsmaße</t>
  </si>
  <si>
    <t>6) Zusammenhangsmaße</t>
  </si>
  <si>
    <t>7) Lineare Regression</t>
  </si>
  <si>
    <t>8) Indizes</t>
  </si>
  <si>
    <t>9) Zeitreihen</t>
  </si>
  <si>
    <t>10) Software</t>
  </si>
  <si>
    <t>1) Aufgaben und Grundbegriffe des Rechnungswesens</t>
  </si>
  <si>
    <t>2) Technik der doppelten Buchführung</t>
  </si>
  <si>
    <t>3) Besondere Geschäftsvorfälle</t>
  </si>
  <si>
    <t>4) Lohn und Gehalt</t>
  </si>
  <si>
    <t>5) Der Jahresabschluss nach HGB</t>
  </si>
  <si>
    <t>6) Anlagevermögen</t>
  </si>
  <si>
    <t>7) Umlaufvermögen</t>
  </si>
  <si>
    <t>8) Verbindlichkeiten</t>
  </si>
  <si>
    <t>9) Periodenabgrenzung</t>
  </si>
  <si>
    <t>10)Hauptabschlussübersicht</t>
  </si>
  <si>
    <t>11) Rechtsformen</t>
  </si>
  <si>
    <t>Einf. In die Mathe.</t>
  </si>
  <si>
    <t>1) Mengen- und Zahlenlehre</t>
  </si>
  <si>
    <t>2) Beweistechniken</t>
  </si>
  <si>
    <t>12) Einführung: Recht der digitalen Produkte</t>
  </si>
  <si>
    <t>2) Theorie zur Fallbearbeitung</t>
  </si>
  <si>
    <t>3) Der Vetragsabschluss</t>
  </si>
  <si>
    <t>4) Vetragsschluss</t>
  </si>
  <si>
    <t>5) Grundsätze bei Verbraucherveträgen und besondere Vetriebsformen</t>
  </si>
  <si>
    <t>6) Recht der Stellvertretung</t>
  </si>
  <si>
    <t>7) Das recht der leistungsstörungen</t>
  </si>
  <si>
    <t>8) Rücktrittsrecht</t>
  </si>
  <si>
    <t>9) Schuldnerverzug</t>
  </si>
  <si>
    <t>10) Kaufrecht (1)</t>
  </si>
  <si>
    <t>11) Kaufrecht (2)</t>
  </si>
  <si>
    <t>13) Recht der unerlaubten Handlungen</t>
  </si>
  <si>
    <t>14) Sachrecht (1)</t>
  </si>
  <si>
    <t>15) Sachrecht (2)</t>
  </si>
  <si>
    <t xml:space="preserve">            24.07.24</t>
  </si>
  <si>
    <t xml:space="preserve">             22.07.24</t>
  </si>
  <si>
    <t>KW 46</t>
  </si>
  <si>
    <t>KW 47</t>
  </si>
  <si>
    <t>KW 48</t>
  </si>
  <si>
    <t>KW 49</t>
  </si>
  <si>
    <t>KW 50</t>
  </si>
  <si>
    <t>KW 51</t>
  </si>
  <si>
    <t>KW 52</t>
  </si>
  <si>
    <t>KW 1</t>
  </si>
  <si>
    <t>KW 2</t>
  </si>
  <si>
    <t>KW 3</t>
  </si>
  <si>
    <t>KW 4</t>
  </si>
  <si>
    <t>KW 5</t>
  </si>
  <si>
    <t>KW 6</t>
  </si>
  <si>
    <t>3) Folgen und Reihen</t>
  </si>
  <si>
    <t>4) Reelle Funktionen</t>
  </si>
  <si>
    <t>5) Lineare Algebra (Vektoren und Matrizen)</t>
  </si>
  <si>
    <t>6) Lineare Gleichungssysteme und Gauß- Algorithmus</t>
  </si>
  <si>
    <t>7) Lineare Optimierung in R^n (Simplex-Algorithmus)</t>
  </si>
  <si>
    <t xml:space="preserve">8) Differentialrechnung in R^n </t>
  </si>
  <si>
    <t>9) Nicht-lineare Optimierung in R^n (mit und ohne Nebenbedingungen)</t>
  </si>
  <si>
    <t>12) Kosten- und Erlösrechnung als Teilbereich der Unternehmensrechnung</t>
  </si>
  <si>
    <t>13) Grundbegriffe der Kosten- und Erlösrechnung</t>
  </si>
  <si>
    <t>14) Kostenartenrechnung</t>
  </si>
  <si>
    <t>15) Kostenstellenrechnung</t>
  </si>
  <si>
    <t>16) Kalkulation</t>
  </si>
  <si>
    <t xml:space="preserve"> KW 7 Klausuren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</si>
</sst>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9" fontId="6" fillId="0" borderId="0" xfId="0" applyNumberFormat="1" applyFont="1"/>
  </cellXfs>
  <cellStyles count="1">
    <cellStyle name="Standard" xfId="0" builtinId="0"/>
  </cellStyles>
  <dxfs count="30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02">
  <autoFilter ref="A1:K46" xr:uid="{6E266E34-2786-2747-BCE7-51B74867A564}"/>
  <tableColumns count="11">
    <tableColumn id="1" xr3:uid="{95FD92F7-3DC8-704D-A103-A7EDDAB255AB}" name="Datum" dataDxfId="301"/>
    <tableColumn id="2" xr3:uid="{F464D510-8166-E740-A343-FB84BDEF877F}" name="Lerneinheiten durchgezogen" dataDxfId="300"/>
    <tableColumn id="3" xr3:uid="{75F52B08-1A00-0848-BBE6-1EDF7B31B1AD}" name="Tagesplan erstellt" dataDxfId="299"/>
    <tableColumn id="4" xr3:uid="{E6B18D89-E799-AD48-9DAA-37AEE1D29011}" name="Konzentrationslevel" dataDxfId="29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workbookViewId="0">
      <selection activeCell="C14" sqref="C1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8+10+16+15+9</f>
        <v>58</v>
      </c>
    </row>
    <row r="8" spans="1:4" x14ac:dyDescent="0.2">
      <c r="A8" t="s">
        <v>52</v>
      </c>
      <c r="B8" s="18" t="s">
        <v>51</v>
      </c>
      <c r="D8" t="s">
        <v>75</v>
      </c>
    </row>
    <row r="9" spans="1:4" x14ac:dyDescent="0.2">
      <c r="A9" t="s">
        <v>60</v>
      </c>
      <c r="B9" s="18" t="s">
        <v>73</v>
      </c>
      <c r="D9" t="s">
        <v>76</v>
      </c>
    </row>
    <row r="10" spans="1:4" x14ac:dyDescent="0.2">
      <c r="A10" t="s">
        <v>64</v>
      </c>
      <c r="B10" t="s">
        <v>63</v>
      </c>
      <c r="C10" s="16">
        <v>11</v>
      </c>
      <c r="D10" t="s">
        <v>59</v>
      </c>
    </row>
    <row r="11" spans="1:4" x14ac:dyDescent="0.2">
      <c r="A11" t="s">
        <v>65</v>
      </c>
      <c r="B11" t="s">
        <v>67</v>
      </c>
      <c r="C11" s="16">
        <f>58*3</f>
        <v>174</v>
      </c>
      <c r="D11" t="s">
        <v>66</v>
      </c>
    </row>
    <row r="12" spans="1:4" x14ac:dyDescent="0.2">
      <c r="A12" t="s">
        <v>69</v>
      </c>
      <c r="B12" t="s">
        <v>68</v>
      </c>
      <c r="C12" s="17">
        <f>C11/C10</f>
        <v>15.818181818181818</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123"/>
  <sheetViews>
    <sheetView showGridLines="0" zoomScale="75" zoomScaleNormal="75" workbookViewId="0">
      <pane xSplit="12" topLeftCell="M1" activePane="topRight" state="frozen"/>
      <selection pane="topRight" activeCell="O28" sqref="O2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1" max="91" width="2.33203125" customWidth="1"/>
    <col min="93" max="93" width="12.5" bestFit="1" customWidth="1"/>
    <col min="94" max="94" width="6.33203125" customWidth="1"/>
    <col min="95" max="95" width="14.83203125" bestFit="1" customWidth="1"/>
    <col min="96" max="96" width="6" customWidth="1"/>
    <col min="97" max="97" width="12.6640625" bestFit="1"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customWidth="1"/>
    <col min="111" max="111" width="2.5" customWidth="1"/>
  </cols>
  <sheetData>
    <row r="1" spans="2:110" ht="34" x14ac:dyDescent="0.4">
      <c r="B1" s="4" t="s">
        <v>0</v>
      </c>
      <c r="D1" s="4"/>
      <c r="G1" s="13" t="s">
        <v>34</v>
      </c>
      <c r="I1" s="13" t="s">
        <v>34</v>
      </c>
      <c r="J1" s="13" t="s">
        <v>34</v>
      </c>
      <c r="K1" s="13" t="s">
        <v>34</v>
      </c>
    </row>
    <row r="2" spans="2:110" x14ac:dyDescent="0.2">
      <c r="I2" s="20" t="s">
        <v>27</v>
      </c>
      <c r="J2" s="20"/>
      <c r="K2" s="20"/>
      <c r="L2" s="20"/>
      <c r="N2" s="20" t="s">
        <v>139</v>
      </c>
      <c r="O2" s="20"/>
      <c r="P2" s="20"/>
      <c r="Q2" s="20"/>
      <c r="R2" s="20"/>
      <c r="S2" s="20"/>
      <c r="U2" s="20" t="s">
        <v>140</v>
      </c>
      <c r="V2" s="20"/>
      <c r="W2" s="20"/>
      <c r="X2" s="20"/>
      <c r="Y2" s="20"/>
      <c r="Z2" s="20"/>
      <c r="AB2" s="20" t="s">
        <v>141</v>
      </c>
      <c r="AC2" s="20"/>
      <c r="AD2" s="20"/>
      <c r="AE2" s="20"/>
      <c r="AF2" s="20"/>
      <c r="AG2" s="20"/>
      <c r="AI2" s="20" t="s">
        <v>142</v>
      </c>
      <c r="AJ2" s="20"/>
      <c r="AK2" s="20"/>
      <c r="AL2" s="20"/>
      <c r="AM2" s="20"/>
      <c r="AN2" s="20"/>
      <c r="AP2" s="20" t="s">
        <v>143</v>
      </c>
      <c r="AQ2" s="20"/>
      <c r="AR2" s="20"/>
      <c r="AS2" s="20"/>
      <c r="AT2" s="20"/>
      <c r="AU2" s="20"/>
      <c r="AW2" s="20" t="s">
        <v>144</v>
      </c>
      <c r="AX2" s="20"/>
      <c r="AY2" s="20"/>
      <c r="AZ2" s="20"/>
      <c r="BA2" s="20"/>
      <c r="BB2" s="20"/>
      <c r="BD2" s="20" t="s">
        <v>145</v>
      </c>
      <c r="BE2" s="20"/>
      <c r="BF2" s="20"/>
      <c r="BG2" s="20"/>
      <c r="BH2" s="20"/>
      <c r="BI2" s="20"/>
      <c r="BK2" s="20" t="s">
        <v>146</v>
      </c>
      <c r="BL2" s="20"/>
      <c r="BM2" s="20"/>
      <c r="BN2" s="20"/>
      <c r="BO2" s="20"/>
      <c r="BP2" s="20"/>
      <c r="BR2" s="20" t="s">
        <v>147</v>
      </c>
      <c r="BS2" s="20"/>
      <c r="BT2" s="20"/>
      <c r="BU2" s="20"/>
      <c r="BV2" s="20"/>
      <c r="BW2" s="20"/>
      <c r="BY2" s="20" t="s">
        <v>148</v>
      </c>
      <c r="BZ2" s="20"/>
      <c r="CA2" s="20"/>
      <c r="CB2" s="20"/>
      <c r="CC2" s="20"/>
      <c r="CD2" s="20"/>
      <c r="CF2" s="20" t="s">
        <v>149</v>
      </c>
      <c r="CG2" s="20"/>
      <c r="CH2" s="20"/>
      <c r="CI2" s="20"/>
      <c r="CJ2" s="20"/>
      <c r="CK2" s="20"/>
      <c r="CN2" s="20" t="s">
        <v>150</v>
      </c>
      <c r="CO2" s="20"/>
      <c r="CP2" s="20"/>
      <c r="CQ2" s="20"/>
      <c r="CR2" s="20"/>
      <c r="CS2" s="20"/>
      <c r="CT2" s="20" t="s">
        <v>151</v>
      </c>
      <c r="CU2" s="20"/>
      <c r="CV2" s="20"/>
      <c r="CW2" s="20"/>
      <c r="CX2" s="20"/>
      <c r="CY2" s="20"/>
      <c r="DA2" s="20" t="s">
        <v>164</v>
      </c>
      <c r="DB2" s="20"/>
      <c r="DC2" s="20"/>
      <c r="DD2" s="20"/>
      <c r="DE2" s="20"/>
      <c r="DF2" s="20"/>
    </row>
    <row r="3" spans="2:110"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N3" s="5" t="s">
        <v>11</v>
      </c>
      <c r="CO3" s="5" t="s">
        <v>2</v>
      </c>
      <c r="CP3" s="5" t="s">
        <v>33</v>
      </c>
      <c r="CQ3" s="5" t="s">
        <v>3</v>
      </c>
      <c r="CR3" s="5" t="s">
        <v>33</v>
      </c>
      <c r="CS3" s="5" t="s">
        <v>12</v>
      </c>
      <c r="CT3" s="5" t="s">
        <v>11</v>
      </c>
      <c r="CU3" s="5" t="s">
        <v>2</v>
      </c>
      <c r="CV3" s="5" t="s">
        <v>33</v>
      </c>
      <c r="CW3" s="5" t="s">
        <v>3</v>
      </c>
      <c r="CX3" s="5" t="s">
        <v>33</v>
      </c>
      <c r="CY3" s="5" t="s">
        <v>12</v>
      </c>
      <c r="DA3" s="5" t="s">
        <v>11</v>
      </c>
      <c r="DB3" s="5" t="s">
        <v>2</v>
      </c>
      <c r="DC3" s="5" t="s">
        <v>33</v>
      </c>
      <c r="DD3" s="5" t="s">
        <v>3</v>
      </c>
      <c r="DE3" s="5" t="s">
        <v>33</v>
      </c>
      <c r="DF3" s="5" t="s">
        <v>12</v>
      </c>
    </row>
    <row r="4" spans="2:110" x14ac:dyDescent="0.2">
      <c r="B4" t="s">
        <v>27</v>
      </c>
      <c r="C4" t="s">
        <v>88</v>
      </c>
      <c r="D4" s="19">
        <v>45334</v>
      </c>
      <c r="E4" s="9">
        <v>6</v>
      </c>
      <c r="G4" s="10">
        <f>+SUM(G5:G12)</f>
        <v>0.5</v>
      </c>
      <c r="I4" s="12">
        <f>+SUM(I5:I12)</f>
        <v>3.25</v>
      </c>
      <c r="J4" s="11">
        <f>+SUMPRODUCT(G5:G12,J5:J12)</f>
        <v>0</v>
      </c>
      <c r="K4" s="11">
        <f>+SUMPRODUCT(G5:G12,K5:K12)</f>
        <v>0</v>
      </c>
      <c r="L4" s="9"/>
      <c r="N4" s="12">
        <f>+SUM(N5:N12)</f>
        <v>3.25</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N4" s="12">
        <f>+SUM(CN5:CN12)</f>
        <v>0</v>
      </c>
      <c r="CT4" s="12">
        <f>+SUM(CT5:CT12)</f>
        <v>0</v>
      </c>
      <c r="DA4" s="12">
        <f>+SUM(DA5:DA12)</f>
        <v>0</v>
      </c>
    </row>
    <row r="5" spans="2:110" outlineLevel="1" x14ac:dyDescent="0.2">
      <c r="B5" t="s">
        <v>28</v>
      </c>
      <c r="C5" t="s">
        <v>88</v>
      </c>
      <c r="E5" s="9"/>
      <c r="F5" t="s">
        <v>30</v>
      </c>
      <c r="G5" s="10">
        <v>0.1</v>
      </c>
      <c r="I5" s="9">
        <f>+SUMIF($N$3:$ZT$3,I$3,$N5:$ZT5)</f>
        <v>3.25</v>
      </c>
      <c r="J5" s="11" cm="1">
        <f t="array" ref="J5">MAX(IF($N$3:$EB$3=$J$3,N5:EB5))</f>
        <v>0</v>
      </c>
      <c r="K5" s="11" cm="1">
        <f t="array" ref="K5">MAX(IF($N$3:$EB$3=$J$3,N5:EB5))</f>
        <v>0</v>
      </c>
      <c r="L5" s="9"/>
      <c r="N5">
        <v>3.25</v>
      </c>
      <c r="O5" s="10"/>
      <c r="P5" s="10">
        <v>0.5</v>
      </c>
      <c r="Q5" s="10"/>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O5" s="10"/>
      <c r="CP5" s="10"/>
      <c r="CQ5" s="10"/>
      <c r="CR5" s="10"/>
      <c r="CU5" s="10"/>
      <c r="CV5" s="10"/>
      <c r="CW5" s="10"/>
      <c r="CX5" s="10"/>
      <c r="DB5" s="10"/>
      <c r="DC5" s="10"/>
      <c r="DD5" s="10"/>
      <c r="DE5" s="10"/>
    </row>
    <row r="6" spans="2:110" outlineLevel="1" x14ac:dyDescent="0.2">
      <c r="B6" t="s">
        <v>28</v>
      </c>
      <c r="C6" t="s">
        <v>88</v>
      </c>
      <c r="E6" s="9"/>
      <c r="F6" t="s">
        <v>92</v>
      </c>
      <c r="G6" s="10">
        <v>0.05</v>
      </c>
      <c r="I6" s="9">
        <f>+SUMIF($N$3:$ZT$3,I$3,$N6:$ZT6)</f>
        <v>0</v>
      </c>
      <c r="J6" s="11" cm="1">
        <f t="array" ref="J6">MAX(IF($N$3:$EB$3=$J$3,N6:EB6))</f>
        <v>0</v>
      </c>
      <c r="K6" s="11" cm="1">
        <f t="array" ref="K6">MAX(IF($N$3:$EB$3=$J$3,N6:EB6))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O6" s="10"/>
      <c r="CP6" s="10"/>
      <c r="CQ6" s="10"/>
      <c r="CR6" s="10"/>
      <c r="CU6" s="10"/>
      <c r="CV6" s="10"/>
      <c r="CW6" s="10"/>
      <c r="CX6" s="10"/>
      <c r="DB6" s="10"/>
      <c r="DC6" s="10"/>
      <c r="DD6" s="10"/>
      <c r="DE6" s="10"/>
    </row>
    <row r="7" spans="2:110" outlineLevel="1" x14ac:dyDescent="0.2">
      <c r="B7" t="s">
        <v>28</v>
      </c>
      <c r="C7" t="s">
        <v>88</v>
      </c>
      <c r="E7" s="9"/>
      <c r="F7" t="s">
        <v>93</v>
      </c>
      <c r="G7" s="10">
        <v>0.05</v>
      </c>
      <c r="I7" s="9">
        <f>+SUMIF($N$3:$ZT$3,I$3,$N7:$ZT7)</f>
        <v>0</v>
      </c>
      <c r="J7" s="11" cm="1">
        <f t="array" ref="J7">MAX(IF($N$3:$EB$3=$J$3,N7:EB7))</f>
        <v>0</v>
      </c>
      <c r="K7" s="11" cm="1">
        <f t="array" ref="K7">MAX(IF($N$3:$EB$3=$J$3,N7:EB7))</f>
        <v>0</v>
      </c>
      <c r="L7" s="9"/>
      <c r="O7" s="10"/>
      <c r="P7" s="10"/>
      <c r="Q7" s="10"/>
      <c r="R7" s="10"/>
      <c r="V7" s="10"/>
      <c r="W7" s="10">
        <v>0.5</v>
      </c>
      <c r="X7" s="10"/>
      <c r="Y7" s="10">
        <v>0.5</v>
      </c>
      <c r="AC7" s="10"/>
      <c r="AD7" s="10">
        <v>0.5</v>
      </c>
      <c r="AE7" s="10"/>
      <c r="AF7" s="10">
        <v>0.5</v>
      </c>
      <c r="AJ7" s="10"/>
      <c r="AK7" s="10">
        <v>0.5</v>
      </c>
      <c r="AL7" s="10"/>
      <c r="AM7" s="10">
        <v>0.5</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O7" s="10"/>
      <c r="CP7" s="10"/>
      <c r="CQ7" s="10"/>
      <c r="CR7" s="10"/>
      <c r="CU7" s="10"/>
      <c r="CV7" s="10"/>
      <c r="CW7" s="10"/>
      <c r="CX7" s="10"/>
      <c r="DB7" s="10"/>
      <c r="DC7" s="10"/>
      <c r="DD7" s="10"/>
      <c r="DE7" s="10"/>
    </row>
    <row r="8" spans="2:110" outlineLevel="1" x14ac:dyDescent="0.2">
      <c r="B8" t="s">
        <v>28</v>
      </c>
      <c r="C8" t="s">
        <v>88</v>
      </c>
      <c r="E8" s="9"/>
      <c r="F8" t="s">
        <v>94</v>
      </c>
      <c r="G8" s="10">
        <v>0.05</v>
      </c>
      <c r="I8" s="9">
        <f>+SUMIF($N$3:$ZT$3,I$3,$N8:$ZT8)</f>
        <v>0</v>
      </c>
      <c r="J8" s="11" cm="1">
        <f t="array" ref="J8">MAX(IF($N$3:$EB$3=$J$3,N8:EB8))</f>
        <v>0</v>
      </c>
      <c r="K8" s="11" cm="1">
        <f t="array" ref="K8">MAX(IF($N$3:$EB$3=$J$3,N8:EB8))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0.8</v>
      </c>
      <c r="BU8" s="10"/>
      <c r="BV8" s="10">
        <v>0.8</v>
      </c>
      <c r="BZ8" s="10"/>
      <c r="CA8" s="10">
        <v>1</v>
      </c>
      <c r="CB8" s="10"/>
      <c r="CC8" s="10">
        <v>1</v>
      </c>
      <c r="CG8" s="10"/>
      <c r="CH8" s="10">
        <v>1</v>
      </c>
      <c r="CI8" s="10"/>
      <c r="CJ8" s="10">
        <v>1</v>
      </c>
      <c r="CO8" s="10"/>
      <c r="CP8" s="10"/>
      <c r="CQ8" s="10"/>
      <c r="CR8" s="10"/>
      <c r="CU8" s="10"/>
      <c r="CV8" s="10"/>
      <c r="CW8" s="10"/>
      <c r="CX8" s="10"/>
      <c r="DB8" s="10"/>
      <c r="DC8" s="10"/>
      <c r="DD8" s="10"/>
      <c r="DE8" s="10"/>
    </row>
    <row r="9" spans="2:110" outlineLevel="1" x14ac:dyDescent="0.2">
      <c r="B9" t="s">
        <v>28</v>
      </c>
      <c r="C9" t="s">
        <v>88</v>
      </c>
      <c r="E9" s="9"/>
      <c r="F9" t="s">
        <v>95</v>
      </c>
      <c r="G9" s="10">
        <v>0.05</v>
      </c>
      <c r="I9" s="9">
        <f>+SUMIF($N$3:$ZT$3,I$3,$N9:$ZT9)</f>
        <v>0</v>
      </c>
      <c r="J9" s="11" cm="1">
        <f t="array" ref="J9">MAX(IF($N$3:$EB$3=$J$3,N9:EB9))</f>
        <v>0</v>
      </c>
      <c r="K9" s="11" cm="1">
        <f t="array" ref="K9">MAX(IF($N$3:$EB$3=$J$3,N9:EB9))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0.5</v>
      </c>
      <c r="AZ9" s="10"/>
      <c r="BA9" s="10">
        <v>0.5</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O9" s="10"/>
      <c r="CP9" s="10"/>
      <c r="CQ9" s="10"/>
      <c r="CR9" s="10"/>
      <c r="CU9" s="10"/>
      <c r="CV9" s="10"/>
      <c r="CW9" s="10"/>
      <c r="CX9" s="10"/>
      <c r="DB9" s="10"/>
      <c r="DC9" s="10"/>
      <c r="DD9" s="10"/>
      <c r="DE9" s="10"/>
    </row>
    <row r="10" spans="2:110" outlineLevel="1" x14ac:dyDescent="0.2">
      <c r="B10" t="s">
        <v>28</v>
      </c>
      <c r="C10" t="s">
        <v>88</v>
      </c>
      <c r="E10" s="9"/>
      <c r="F10" t="s">
        <v>96</v>
      </c>
      <c r="G10" s="10">
        <v>0.05</v>
      </c>
      <c r="I10" s="9">
        <f>+SUMIF($N$3:$ZT$3,I$3,$N10:$ZT10)</f>
        <v>0</v>
      </c>
      <c r="J10" s="11" cm="1">
        <f t="array" ref="J10">MAX(IF($N$3:$EB$3=$J$3,N10:EB10))</f>
        <v>0</v>
      </c>
      <c r="K10" s="11" cm="1">
        <f t="array" ref="K10">MAX(IF($N$3:$EB$3=$J$3,N10:EB10))</f>
        <v>0</v>
      </c>
      <c r="L10" s="9"/>
      <c r="O10" s="10"/>
      <c r="P10" s="10"/>
      <c r="Q10" s="10"/>
      <c r="R10" s="10"/>
      <c r="V10" s="10"/>
      <c r="W10" s="10"/>
      <c r="X10" s="10"/>
      <c r="Y10" s="10"/>
      <c r="AC10" s="10"/>
      <c r="AD10" s="10"/>
      <c r="AE10" s="10"/>
      <c r="AF10" s="10"/>
      <c r="AJ10" s="10"/>
      <c r="AK10" s="10">
        <v>0.5</v>
      </c>
      <c r="AL10" s="10"/>
      <c r="AM10" s="10">
        <v>0.5</v>
      </c>
      <c r="AQ10" s="10"/>
      <c r="AR10" s="10">
        <v>0.5</v>
      </c>
      <c r="AS10" s="10"/>
      <c r="AT10" s="10">
        <v>0.5</v>
      </c>
      <c r="AX10" s="10"/>
      <c r="AY10" s="10">
        <v>0.5</v>
      </c>
      <c r="AZ10" s="10"/>
      <c r="BA10" s="10">
        <v>0.5</v>
      </c>
      <c r="BE10" s="10"/>
      <c r="BF10" s="10">
        <v>0.5</v>
      </c>
      <c r="BG10" s="10"/>
      <c r="BH10" s="10">
        <v>0.5</v>
      </c>
      <c r="BL10" s="10"/>
      <c r="BM10" s="10">
        <v>0.8</v>
      </c>
      <c r="BN10" s="10"/>
      <c r="BO10" s="10">
        <v>0.8</v>
      </c>
      <c r="BS10" s="10"/>
      <c r="BT10" s="10">
        <v>0.8</v>
      </c>
      <c r="BU10" s="10"/>
      <c r="BV10" s="10">
        <v>0.8</v>
      </c>
      <c r="BZ10" s="10"/>
      <c r="CA10" s="10">
        <v>1</v>
      </c>
      <c r="CB10" s="10"/>
      <c r="CC10" s="10">
        <v>1</v>
      </c>
      <c r="CG10" s="10"/>
      <c r="CH10" s="10">
        <v>1</v>
      </c>
      <c r="CI10" s="10"/>
      <c r="CJ10" s="10">
        <v>1</v>
      </c>
      <c r="CO10" s="10"/>
      <c r="CP10" s="10"/>
      <c r="CQ10" s="10"/>
      <c r="CR10" s="10"/>
      <c r="CU10" s="10"/>
      <c r="CV10" s="10"/>
      <c r="CW10" s="10"/>
      <c r="CX10" s="10"/>
      <c r="DB10" s="10"/>
      <c r="DC10" s="10"/>
      <c r="DD10" s="10"/>
      <c r="DE10" s="10"/>
    </row>
    <row r="11" spans="2:110" outlineLevel="1" x14ac:dyDescent="0.2">
      <c r="B11" t="s">
        <v>28</v>
      </c>
      <c r="C11" t="s">
        <v>88</v>
      </c>
      <c r="E11" s="9"/>
      <c r="F11" t="s">
        <v>97</v>
      </c>
      <c r="G11" s="10">
        <v>0.05</v>
      </c>
      <c r="I11" s="9">
        <f>+SUMIF($N$3:$ZT$3,I$3,$N11:$ZT11)</f>
        <v>0</v>
      </c>
      <c r="J11" s="11" cm="1">
        <f t="array" ref="J11">MAX(IF($N$3:$EB$3=$J$3,N11:EB11))</f>
        <v>0</v>
      </c>
      <c r="K11" s="11" cm="1">
        <f t="array" ref="K11">MAX(IF($N$3:$EB$3=$J$3,N11:EB11))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0.5</v>
      </c>
      <c r="AZ11" s="10"/>
      <c r="BA11" s="10">
        <v>0.5</v>
      </c>
      <c r="BE11" s="10"/>
      <c r="BF11" s="10">
        <v>0.5</v>
      </c>
      <c r="BG11" s="10"/>
      <c r="BH11" s="10">
        <v>0.5</v>
      </c>
      <c r="BL11" s="10"/>
      <c r="BM11" s="10">
        <v>0.8</v>
      </c>
      <c r="BN11" s="10"/>
      <c r="BO11" s="10">
        <v>0.8</v>
      </c>
      <c r="BS11" s="10"/>
      <c r="BT11" s="10">
        <v>0.8</v>
      </c>
      <c r="BU11" s="10"/>
      <c r="BV11" s="10">
        <v>0.8</v>
      </c>
      <c r="BZ11" s="10"/>
      <c r="CA11" s="10">
        <v>0.8</v>
      </c>
      <c r="CB11" s="10"/>
      <c r="CC11" s="10">
        <v>0.8</v>
      </c>
      <c r="CG11" s="10"/>
      <c r="CH11" s="10">
        <v>1</v>
      </c>
      <c r="CI11" s="10"/>
      <c r="CJ11" s="10">
        <v>1</v>
      </c>
      <c r="CO11" s="10"/>
      <c r="CP11" s="10"/>
      <c r="CQ11" s="10"/>
      <c r="CR11" s="10"/>
      <c r="CU11" s="10"/>
      <c r="CV11" s="10"/>
      <c r="CW11" s="10"/>
      <c r="CX11" s="10"/>
      <c r="DB11" s="10"/>
      <c r="DC11" s="10"/>
      <c r="DD11" s="10"/>
      <c r="DE11" s="10"/>
    </row>
    <row r="12" spans="2:110" outlineLevel="1" x14ac:dyDescent="0.2">
      <c r="B12" t="s">
        <v>28</v>
      </c>
      <c r="C12" t="s">
        <v>88</v>
      </c>
      <c r="E12" s="9"/>
      <c r="F12" t="s">
        <v>98</v>
      </c>
      <c r="G12" s="10">
        <v>0.1</v>
      </c>
      <c r="I12" s="9">
        <f>+SUMIF($N$3:$ZT$3,I$3,$N12:$ZT12)</f>
        <v>0</v>
      </c>
      <c r="J12" s="11" cm="1">
        <f t="array" ref="J12">MAX(IF($N$3:$EB$3=$J$3,N12:EB12))</f>
        <v>0</v>
      </c>
      <c r="K12" s="11" cm="1">
        <f t="array" ref="K12">MAX(IF($N$3:$EB$3=$J$3,N12:EB12))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0.8</v>
      </c>
      <c r="BU12" s="10"/>
      <c r="BV12" s="10">
        <v>0.8</v>
      </c>
      <c r="BZ12" s="10"/>
      <c r="CA12" s="10">
        <v>0.8</v>
      </c>
      <c r="CB12" s="10"/>
      <c r="CC12" s="10">
        <v>0.8</v>
      </c>
      <c r="CG12" s="10"/>
      <c r="CH12" s="10">
        <v>1</v>
      </c>
      <c r="CI12" s="10"/>
      <c r="CJ12" s="10">
        <v>1</v>
      </c>
      <c r="CO12" s="10"/>
      <c r="CP12" s="10"/>
      <c r="CQ12" s="10"/>
      <c r="CR12" s="10"/>
      <c r="CU12" s="10"/>
      <c r="CV12" s="10"/>
      <c r="CW12" s="10"/>
      <c r="CX12" s="10"/>
      <c r="DB12" s="10"/>
      <c r="DC12" s="10"/>
      <c r="DD12" s="10"/>
      <c r="DE12" s="10"/>
    </row>
    <row r="14" spans="2:110" x14ac:dyDescent="0.2">
      <c r="B14" t="s">
        <v>27</v>
      </c>
      <c r="C14" t="s">
        <v>89</v>
      </c>
      <c r="D14" s="19">
        <v>45337</v>
      </c>
      <c r="E14" s="9">
        <v>6</v>
      </c>
      <c r="G14" s="10">
        <f>+SUM(G15:G24)</f>
        <v>1.7999999999999998</v>
      </c>
      <c r="I14" s="12">
        <f>+SUM(I15:I24)</f>
        <v>3</v>
      </c>
      <c r="J14" s="11">
        <f>+SUMPRODUCT(G15:G24,J15:J24)</f>
        <v>0</v>
      </c>
      <c r="K14" s="11">
        <f>+SUMPRODUCT(G15:G24,K15:K24)</f>
        <v>0</v>
      </c>
      <c r="L14" s="9"/>
      <c r="N14" s="12"/>
      <c r="U14" s="12">
        <f>+SUM(U15:U24)</f>
        <v>0</v>
      </c>
      <c r="V14" s="10"/>
      <c r="W14" s="10"/>
      <c r="X14" s="10"/>
      <c r="Y14" s="10"/>
      <c r="AB14" s="12">
        <f>+SUM(AB15:AB24)</f>
        <v>0</v>
      </c>
      <c r="AC14" s="10"/>
      <c r="AD14" s="10"/>
      <c r="AE14" s="10"/>
      <c r="AF14" s="10"/>
      <c r="AI14" s="12">
        <f>+SUM(AI15:AI24)</f>
        <v>0</v>
      </c>
      <c r="AJ14" s="10"/>
      <c r="AK14" s="10"/>
      <c r="AL14" s="10"/>
      <c r="AM14" s="10"/>
      <c r="AP14" s="12">
        <f>+SUM(AP15:AP24)</f>
        <v>0</v>
      </c>
    </row>
    <row r="15" spans="2:110" outlineLevel="1" x14ac:dyDescent="0.2">
      <c r="B15" t="s">
        <v>28</v>
      </c>
      <c r="C15" t="s">
        <v>89</v>
      </c>
      <c r="E15" s="9"/>
      <c r="F15" t="s">
        <v>99</v>
      </c>
      <c r="G15" s="10">
        <v>0.1</v>
      </c>
      <c r="I15" s="9">
        <f>+SUMIF($N$3:$ZT$3,I$3,$N15:$ZT15)</f>
        <v>3</v>
      </c>
      <c r="J15" s="11" cm="1">
        <f t="array" ref="J15">MAX(IF($N$3:$EB$3=$J$3,N15:EB15))</f>
        <v>0</v>
      </c>
      <c r="K15" s="11" cm="1">
        <f t="array" ref="K15">MAX(IF($N$3:$EB$3=$J$3,N15:EB15))</f>
        <v>0</v>
      </c>
      <c r="L15" s="9"/>
      <c r="N15">
        <v>3</v>
      </c>
      <c r="O15" s="10"/>
      <c r="P15" s="10">
        <v>0.5</v>
      </c>
      <c r="Q15" s="10"/>
      <c r="R15" s="10">
        <v>0.5</v>
      </c>
      <c r="V15" s="10"/>
      <c r="W15" s="10">
        <v>0.8</v>
      </c>
      <c r="X15" s="10"/>
      <c r="Y15" s="10">
        <v>0.8</v>
      </c>
      <c r="AC15" s="10"/>
      <c r="AD15" s="10">
        <v>0.8</v>
      </c>
      <c r="AE15" s="10"/>
      <c r="AF15" s="10">
        <v>0.8</v>
      </c>
      <c r="AJ15" s="10"/>
      <c r="AK15" s="10">
        <v>0.8</v>
      </c>
      <c r="AL15" s="10"/>
      <c r="AM15" s="10">
        <v>0.8</v>
      </c>
      <c r="AQ15" s="10"/>
      <c r="AR15" s="10">
        <v>0.8</v>
      </c>
      <c r="AS15" s="10"/>
      <c r="AT15" s="10">
        <v>0.8</v>
      </c>
      <c r="AX15" s="10"/>
      <c r="AY15" s="10">
        <v>0.8</v>
      </c>
      <c r="AZ15" s="10"/>
      <c r="BA15" s="10">
        <v>0.8</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O15" s="10"/>
      <c r="CP15" s="10"/>
      <c r="CQ15" s="10"/>
      <c r="CR15" s="10"/>
      <c r="CU15" s="10"/>
      <c r="CV15" s="10"/>
      <c r="CW15" s="10"/>
      <c r="CX15" s="10"/>
      <c r="DB15" s="10"/>
      <c r="DC15" s="10"/>
      <c r="DD15" s="10"/>
      <c r="DE15" s="10"/>
    </row>
    <row r="16" spans="2:110" outlineLevel="1" x14ac:dyDescent="0.2">
      <c r="B16" t="s">
        <v>28</v>
      </c>
      <c r="C16" t="s">
        <v>89</v>
      </c>
      <c r="E16" s="9"/>
      <c r="F16" t="s">
        <v>100</v>
      </c>
      <c r="G16" s="10">
        <v>0.2</v>
      </c>
      <c r="I16" s="9">
        <f>+SUMIF($N$3:$ZT$3,I$3,$N16:$ZT16)</f>
        <v>0</v>
      </c>
      <c r="J16" s="11" cm="1">
        <f t="array" ref="J16">MAX(IF($N$3:$EB$3=$J$3,N16:EB16))</f>
        <v>0</v>
      </c>
      <c r="K16" s="11" cm="1">
        <f t="array" ref="K16">MAX(IF($N$3:$EB$3=$J$3,N16:EB16))</f>
        <v>0</v>
      </c>
      <c r="L16" s="9"/>
      <c r="O16" s="10"/>
      <c r="P16" s="10">
        <v>0.5</v>
      </c>
      <c r="Q16" s="10"/>
      <c r="R16" s="10">
        <v>0.5</v>
      </c>
      <c r="V16" s="10"/>
      <c r="W16" s="10">
        <v>0.5</v>
      </c>
      <c r="X16" s="10"/>
      <c r="Y16" s="10">
        <v>0.5</v>
      </c>
      <c r="AC16" s="10"/>
      <c r="AD16" s="10">
        <v>0.8</v>
      </c>
      <c r="AE16" s="10"/>
      <c r="AF16" s="10">
        <v>0.8</v>
      </c>
      <c r="AJ16" s="10"/>
      <c r="AK16" s="10">
        <v>0.8</v>
      </c>
      <c r="AL16" s="10"/>
      <c r="AM16" s="10">
        <v>0.8</v>
      </c>
      <c r="AQ16" s="10"/>
      <c r="AR16" s="10">
        <v>0.8</v>
      </c>
      <c r="AS16" s="10"/>
      <c r="AT16" s="10">
        <v>0.8</v>
      </c>
      <c r="AX16" s="10"/>
      <c r="AY16" s="10">
        <v>0.8</v>
      </c>
      <c r="AZ16" s="10"/>
      <c r="BA16" s="10">
        <v>0.8</v>
      </c>
      <c r="BE16" s="10"/>
      <c r="BF16" s="10">
        <v>0.8</v>
      </c>
      <c r="BG16" s="10"/>
      <c r="BH16" s="10">
        <v>0.8</v>
      </c>
      <c r="BL16" s="10"/>
      <c r="BM16" s="10">
        <v>1</v>
      </c>
      <c r="BN16" s="10"/>
      <c r="BO16" s="10">
        <v>1</v>
      </c>
      <c r="BS16" s="10"/>
      <c r="BT16" s="10">
        <v>1</v>
      </c>
      <c r="BU16" s="10"/>
      <c r="BV16" s="10">
        <v>1</v>
      </c>
      <c r="BZ16" s="10"/>
      <c r="CA16" s="10">
        <v>1</v>
      </c>
      <c r="CB16" s="10"/>
      <c r="CC16" s="10">
        <v>1</v>
      </c>
      <c r="CG16" s="10"/>
      <c r="CH16" s="10">
        <v>1</v>
      </c>
      <c r="CI16" s="10"/>
      <c r="CJ16" s="10">
        <v>1</v>
      </c>
      <c r="CO16" s="10"/>
      <c r="CP16" s="10"/>
      <c r="CQ16" s="10"/>
      <c r="CR16" s="10"/>
      <c r="CU16" s="10"/>
      <c r="CV16" s="10"/>
      <c r="CW16" s="10"/>
      <c r="CX16" s="10"/>
      <c r="DB16" s="10"/>
      <c r="DC16" s="10"/>
      <c r="DD16" s="10"/>
      <c r="DE16" s="10"/>
    </row>
    <row r="17" spans="2:109" outlineLevel="1" x14ac:dyDescent="0.2">
      <c r="B17" t="s">
        <v>28</v>
      </c>
      <c r="C17" t="s">
        <v>89</v>
      </c>
      <c r="E17" s="9"/>
      <c r="F17" t="s">
        <v>101</v>
      </c>
      <c r="G17" s="10">
        <v>0.2</v>
      </c>
      <c r="I17" s="9">
        <f>+SUMIF($N$3:$ZT$3,I$3,$N17:$ZT17)</f>
        <v>0</v>
      </c>
      <c r="J17" s="11" cm="1">
        <f t="array" ref="J17">MAX(IF($N$3:$EB$3=$J$3,N17:EB17))</f>
        <v>0</v>
      </c>
      <c r="K17" s="11" cm="1">
        <f t="array" ref="K17">MAX(IF($N$3:$EB$3=$J$3,N17:EB17))</f>
        <v>0</v>
      </c>
      <c r="L17" s="9"/>
      <c r="O17" s="10"/>
      <c r="P17" s="10">
        <v>0.5</v>
      </c>
      <c r="Q17" s="10"/>
      <c r="R17" s="10">
        <v>0.5</v>
      </c>
      <c r="V17" s="10"/>
      <c r="W17" s="10">
        <v>0.5</v>
      </c>
      <c r="X17" s="10"/>
      <c r="Y17" s="10">
        <v>0.5</v>
      </c>
      <c r="AC17" s="10"/>
      <c r="AD17" s="10">
        <v>0.5</v>
      </c>
      <c r="AE17" s="10"/>
      <c r="AF17" s="10">
        <v>0.5</v>
      </c>
      <c r="AJ17" s="10"/>
      <c r="AK17" s="10">
        <v>0.8</v>
      </c>
      <c r="AL17" s="10"/>
      <c r="AM17" s="10">
        <v>0.8</v>
      </c>
      <c r="AQ17" s="10"/>
      <c r="AR17" s="10">
        <v>0.8</v>
      </c>
      <c r="AS17" s="10"/>
      <c r="AT17" s="10">
        <v>0.8</v>
      </c>
      <c r="AX17" s="10"/>
      <c r="AY17" s="10">
        <v>0.8</v>
      </c>
      <c r="AZ17" s="10"/>
      <c r="BA17" s="10">
        <v>0.8</v>
      </c>
      <c r="BE17" s="10"/>
      <c r="BF17" s="10">
        <v>0.8</v>
      </c>
      <c r="BG17" s="10"/>
      <c r="BH17" s="10">
        <v>0.8</v>
      </c>
      <c r="BL17" s="10"/>
      <c r="BM17" s="10">
        <v>0.8</v>
      </c>
      <c r="BN17" s="10"/>
      <c r="BO17" s="10">
        <v>0.8</v>
      </c>
      <c r="BS17" s="10"/>
      <c r="BT17" s="10">
        <v>1</v>
      </c>
      <c r="BU17" s="10"/>
      <c r="BV17" s="10">
        <v>1</v>
      </c>
      <c r="BZ17" s="10"/>
      <c r="CA17" s="10">
        <v>1</v>
      </c>
      <c r="CB17" s="10"/>
      <c r="CC17" s="10">
        <v>1</v>
      </c>
      <c r="CG17" s="10"/>
      <c r="CH17" s="10">
        <v>1</v>
      </c>
      <c r="CI17" s="10"/>
      <c r="CJ17" s="10">
        <v>1</v>
      </c>
      <c r="CO17" s="10"/>
      <c r="CP17" s="10"/>
      <c r="CQ17" s="10"/>
      <c r="CR17" s="10"/>
      <c r="CU17" s="10"/>
      <c r="CV17" s="10"/>
      <c r="CW17" s="10"/>
      <c r="CX17" s="10"/>
      <c r="DB17" s="10"/>
      <c r="DC17" s="10"/>
      <c r="DD17" s="10"/>
      <c r="DE17" s="10"/>
    </row>
    <row r="18" spans="2:109" outlineLevel="1" x14ac:dyDescent="0.2">
      <c r="B18" t="s">
        <v>28</v>
      </c>
      <c r="C18" t="s">
        <v>89</v>
      </c>
      <c r="E18" s="9"/>
      <c r="F18" t="s">
        <v>102</v>
      </c>
      <c r="G18" s="10">
        <v>0.2</v>
      </c>
      <c r="I18" s="9">
        <f>+SUMIF($N$3:$ZT$3,I$3,$N18:$ZT18)</f>
        <v>0</v>
      </c>
      <c r="J18" s="11" cm="1">
        <f t="array" ref="J18">MAX(IF($N$3:$EB$3=$J$3,N18:EB18))</f>
        <v>0</v>
      </c>
      <c r="K18" s="11" cm="1">
        <f t="array" ref="K18">MAX(IF($N$3:$EB$3=$J$3,N18:EB18))</f>
        <v>0</v>
      </c>
      <c r="L18" s="9"/>
      <c r="O18" s="10"/>
      <c r="P18" s="10"/>
      <c r="Q18" s="10"/>
      <c r="R18" s="10"/>
      <c r="V18" s="10"/>
      <c r="W18" s="10">
        <v>0.5</v>
      </c>
      <c r="X18" s="10"/>
      <c r="Y18" s="10">
        <v>0.5</v>
      </c>
      <c r="AC18" s="10"/>
      <c r="AD18" s="10">
        <v>0.5</v>
      </c>
      <c r="AE18" s="10"/>
      <c r="AF18" s="10">
        <v>0.5</v>
      </c>
      <c r="AJ18" s="10"/>
      <c r="AK18" s="10">
        <v>0.5</v>
      </c>
      <c r="AL18" s="10"/>
      <c r="AM18" s="10">
        <v>0.5</v>
      </c>
      <c r="AQ18" s="10"/>
      <c r="AR18" s="10">
        <v>0.8</v>
      </c>
      <c r="AS18" s="10"/>
      <c r="AT18" s="10">
        <v>0.8</v>
      </c>
      <c r="AX18" s="10"/>
      <c r="AY18" s="10">
        <v>0.8</v>
      </c>
      <c r="AZ18" s="10"/>
      <c r="BA18" s="10">
        <v>0.8</v>
      </c>
      <c r="BE18" s="10"/>
      <c r="BF18" s="10">
        <v>0.8</v>
      </c>
      <c r="BG18" s="10"/>
      <c r="BH18" s="10">
        <v>0.8</v>
      </c>
      <c r="BL18" s="10"/>
      <c r="BM18" s="10">
        <v>0.8</v>
      </c>
      <c r="BN18" s="10"/>
      <c r="BO18" s="10">
        <v>0.8</v>
      </c>
      <c r="BS18" s="10"/>
      <c r="BT18" s="10">
        <v>1</v>
      </c>
      <c r="BU18" s="10"/>
      <c r="BV18" s="10">
        <v>1</v>
      </c>
      <c r="BZ18" s="10"/>
      <c r="CA18" s="10">
        <v>1</v>
      </c>
      <c r="CB18" s="10"/>
      <c r="CC18" s="10">
        <v>1</v>
      </c>
      <c r="CG18" s="10"/>
      <c r="CH18" s="10">
        <v>1</v>
      </c>
      <c r="CI18" s="10"/>
      <c r="CJ18" s="10">
        <v>1</v>
      </c>
      <c r="CO18" s="10"/>
      <c r="CP18" s="10"/>
      <c r="CQ18" s="10"/>
      <c r="CR18" s="10"/>
      <c r="CU18" s="10"/>
      <c r="CV18" s="10"/>
      <c r="CW18" s="10"/>
      <c r="CX18" s="10"/>
      <c r="DB18" s="10"/>
      <c r="DC18" s="10"/>
      <c r="DD18" s="10"/>
      <c r="DE18" s="10"/>
    </row>
    <row r="19" spans="2:109" outlineLevel="1" x14ac:dyDescent="0.2">
      <c r="B19" t="s">
        <v>28</v>
      </c>
      <c r="C19" t="s">
        <v>89</v>
      </c>
      <c r="E19" s="9"/>
      <c r="F19" t="s">
        <v>103</v>
      </c>
      <c r="G19" s="10">
        <v>0.15</v>
      </c>
      <c r="I19" s="9">
        <f>+SUMIF($N$3:$ZT$3,I$3,$N19:$ZT19)</f>
        <v>0</v>
      </c>
      <c r="J19" s="11" cm="1">
        <f t="array" ref="J19">MAX(IF($N$3:$EB$3=$J$3,N19:EB19))</f>
        <v>0</v>
      </c>
      <c r="K19" s="11" cm="1">
        <f t="array" ref="K19">MAX(IF($N$3:$EB$3=$J$3,N19:EB19))</f>
        <v>0</v>
      </c>
      <c r="L19" s="9"/>
      <c r="O19" s="10"/>
      <c r="P19" s="10"/>
      <c r="Q19" s="10"/>
      <c r="R19" s="10"/>
      <c r="V19" s="10"/>
      <c r="W19" s="10">
        <v>0.5</v>
      </c>
      <c r="X19" s="10"/>
      <c r="Y19" s="10">
        <v>0.5</v>
      </c>
      <c r="AC19" s="10"/>
      <c r="AD19" s="10">
        <v>0.5</v>
      </c>
      <c r="AE19" s="10"/>
      <c r="AF19" s="10">
        <v>0.5</v>
      </c>
      <c r="AJ19" s="10"/>
      <c r="AK19" s="10">
        <v>0.5</v>
      </c>
      <c r="AL19" s="10"/>
      <c r="AM19" s="10">
        <v>0.5</v>
      </c>
      <c r="AQ19" s="10"/>
      <c r="AR19" s="10">
        <v>0.5</v>
      </c>
      <c r="AS19" s="10"/>
      <c r="AT19" s="10">
        <v>0.5</v>
      </c>
      <c r="AX19" s="10"/>
      <c r="AY19" s="10">
        <v>0.8</v>
      </c>
      <c r="AZ19" s="10"/>
      <c r="BA19" s="10">
        <v>0.8</v>
      </c>
      <c r="BE19" s="10"/>
      <c r="BF19" s="10">
        <v>0.8</v>
      </c>
      <c r="BG19" s="10"/>
      <c r="BH19" s="10">
        <v>0.8</v>
      </c>
      <c r="BL19" s="10"/>
      <c r="BM19" s="10">
        <v>0.8</v>
      </c>
      <c r="BN19" s="10"/>
      <c r="BO19" s="10">
        <v>0.8</v>
      </c>
      <c r="BS19" s="10"/>
      <c r="BT19" s="10">
        <v>0.8</v>
      </c>
      <c r="BU19" s="10"/>
      <c r="BV19" s="10">
        <v>0.8</v>
      </c>
      <c r="BZ19" s="10"/>
      <c r="CA19" s="10">
        <v>1</v>
      </c>
      <c r="CB19" s="10"/>
      <c r="CC19" s="10">
        <v>1</v>
      </c>
      <c r="CG19" s="10"/>
      <c r="CH19" s="10">
        <v>1</v>
      </c>
      <c r="CI19" s="10"/>
      <c r="CJ19" s="10">
        <v>1</v>
      </c>
      <c r="CO19" s="10"/>
      <c r="CP19" s="10"/>
      <c r="CQ19" s="10"/>
      <c r="CR19" s="10"/>
      <c r="CU19" s="10"/>
      <c r="CV19" s="10"/>
      <c r="CW19" s="10"/>
      <c r="CX19" s="10"/>
      <c r="DB19" s="10"/>
      <c r="DC19" s="10"/>
      <c r="DD19" s="10"/>
      <c r="DE19" s="10"/>
    </row>
    <row r="20" spans="2:109" outlineLevel="1" x14ac:dyDescent="0.2">
      <c r="B20" t="s">
        <v>28</v>
      </c>
      <c r="C20" t="s">
        <v>89</v>
      </c>
      <c r="E20" s="9"/>
      <c r="F20" t="s">
        <v>104</v>
      </c>
      <c r="G20" s="10">
        <v>0.15</v>
      </c>
      <c r="I20" s="9">
        <f>+SUMIF($N$3:$ZT$3,I$3,$N20:$ZT20)</f>
        <v>0</v>
      </c>
      <c r="J20" s="11" cm="1">
        <f t="array" ref="J20">MAX(IF($N$3:$EB$3=$J$3,N20:EB20))</f>
        <v>0</v>
      </c>
      <c r="K20" s="11" cm="1">
        <f t="array" ref="K20">MAX(IF($N$3:$EB$3=$J$3,N20:EB20))</f>
        <v>0</v>
      </c>
      <c r="L20" s="9"/>
      <c r="O20" s="10"/>
      <c r="P20" s="10"/>
      <c r="Q20" s="10"/>
      <c r="R20" s="10"/>
      <c r="V20" s="10"/>
      <c r="W20" s="10"/>
      <c r="X20" s="10"/>
      <c r="Y20" s="10"/>
      <c r="AC20" s="10"/>
      <c r="AD20" s="10">
        <v>0.5</v>
      </c>
      <c r="AE20" s="10"/>
      <c r="AF20" s="10">
        <v>0.5</v>
      </c>
      <c r="AJ20" s="10"/>
      <c r="AK20" s="10">
        <v>0.5</v>
      </c>
      <c r="AL20" s="10"/>
      <c r="AM20" s="10">
        <v>0.5</v>
      </c>
      <c r="AQ20" s="10"/>
      <c r="AR20" s="10">
        <v>0.5</v>
      </c>
      <c r="AS20" s="10"/>
      <c r="AT20" s="10">
        <v>0.5</v>
      </c>
      <c r="AX20" s="10"/>
      <c r="AY20" s="10">
        <v>0.5</v>
      </c>
      <c r="AZ20" s="10"/>
      <c r="BA20" s="10">
        <v>0.5</v>
      </c>
      <c r="BE20" s="10"/>
      <c r="BF20" s="10">
        <v>0.8</v>
      </c>
      <c r="BG20" s="10"/>
      <c r="BH20" s="10">
        <v>0.8</v>
      </c>
      <c r="BL20" s="10"/>
      <c r="BM20" s="10">
        <v>0.8</v>
      </c>
      <c r="BN20" s="10"/>
      <c r="BO20" s="10">
        <v>0.8</v>
      </c>
      <c r="BS20" s="10"/>
      <c r="BT20" s="10">
        <v>0.8</v>
      </c>
      <c r="BU20" s="10"/>
      <c r="BV20" s="10">
        <v>0.8</v>
      </c>
      <c r="BZ20" s="10"/>
      <c r="CA20" s="10">
        <v>1</v>
      </c>
      <c r="CB20" s="10"/>
      <c r="CC20" s="10">
        <v>1</v>
      </c>
      <c r="CG20" s="10"/>
      <c r="CH20" s="10">
        <v>1</v>
      </c>
      <c r="CI20" s="10"/>
      <c r="CJ20" s="10">
        <v>1</v>
      </c>
      <c r="CO20" s="10"/>
      <c r="CP20" s="10"/>
      <c r="CQ20" s="10"/>
      <c r="CR20" s="10"/>
      <c r="CU20" s="10"/>
      <c r="CV20" s="10"/>
      <c r="CW20" s="10"/>
      <c r="CX20" s="10"/>
      <c r="DB20" s="10"/>
      <c r="DC20" s="10"/>
      <c r="DD20" s="10"/>
      <c r="DE20" s="10"/>
    </row>
    <row r="21" spans="2:109" outlineLevel="1" x14ac:dyDescent="0.2">
      <c r="B21" t="s">
        <v>28</v>
      </c>
      <c r="C21" t="s">
        <v>89</v>
      </c>
      <c r="E21" s="9"/>
      <c r="F21" t="s">
        <v>105</v>
      </c>
      <c r="G21" s="10">
        <v>0.2</v>
      </c>
      <c r="I21" s="9">
        <f>+SUMIF($N$3:$ZT$3,I$3,$N21:$ZT21)</f>
        <v>0</v>
      </c>
      <c r="J21" s="11" cm="1">
        <f t="array" ref="J21">MAX(IF($N$3:$EB$3=$J$3,N21:EB21))</f>
        <v>0</v>
      </c>
      <c r="K21" s="11" cm="1">
        <f t="array" ref="K21">MAX(IF($N$3:$EB$3=$J$3,N21:EB21))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0.5</v>
      </c>
      <c r="AZ21" s="10"/>
      <c r="BA21" s="10">
        <v>0.5</v>
      </c>
      <c r="BE21" s="10"/>
      <c r="BF21" s="10">
        <v>0.8</v>
      </c>
      <c r="BG21" s="10"/>
      <c r="BH21" s="10">
        <v>0.8</v>
      </c>
      <c r="BL21" s="10"/>
      <c r="BM21" s="10">
        <v>0.8</v>
      </c>
      <c r="BN21" s="10"/>
      <c r="BO21" s="10">
        <v>0.8</v>
      </c>
      <c r="BS21" s="10"/>
      <c r="BT21" s="10">
        <v>0.8</v>
      </c>
      <c r="BU21" s="10"/>
      <c r="BV21" s="10">
        <v>0.8</v>
      </c>
      <c r="BZ21" s="10"/>
      <c r="CA21" s="10">
        <v>1</v>
      </c>
      <c r="CB21" s="10"/>
      <c r="CC21" s="10">
        <v>1</v>
      </c>
      <c r="CG21" s="10"/>
      <c r="CH21" s="10">
        <v>1</v>
      </c>
      <c r="CI21" s="10"/>
      <c r="CJ21" s="10">
        <v>1</v>
      </c>
      <c r="CO21" s="10"/>
      <c r="CP21" s="10"/>
      <c r="CQ21" s="10"/>
      <c r="CR21" s="10"/>
      <c r="CU21" s="10"/>
      <c r="CV21" s="10"/>
      <c r="CW21" s="10"/>
      <c r="CX21" s="10"/>
      <c r="DB21" s="10"/>
      <c r="DC21" s="10"/>
      <c r="DD21" s="10"/>
      <c r="DE21" s="10"/>
    </row>
    <row r="22" spans="2:109" outlineLevel="1" x14ac:dyDescent="0.2">
      <c r="B22" t="s">
        <v>28</v>
      </c>
      <c r="C22" t="s">
        <v>89</v>
      </c>
      <c r="E22" s="9"/>
      <c r="F22" t="s">
        <v>106</v>
      </c>
      <c r="G22" s="10">
        <v>0.2</v>
      </c>
      <c r="I22" s="9">
        <f>+SUMIF($N$3:$ZT$3,I$3,$N22:$ZT22)</f>
        <v>0</v>
      </c>
      <c r="J22" s="11" cm="1">
        <f t="array" ref="J22">MAX(IF($N$3:$EB$3=$J$3,N22:EB22))</f>
        <v>0</v>
      </c>
      <c r="K22" s="11" cm="1">
        <f t="array" ref="K22">MAX(IF($N$3:$EB$3=$J$3,N22:EB22))</f>
        <v>0</v>
      </c>
      <c r="L22" s="9"/>
      <c r="O22" s="10"/>
      <c r="P22" s="10"/>
      <c r="Q22" s="10"/>
      <c r="R22" s="10"/>
      <c r="V22" s="10"/>
      <c r="W22" s="10"/>
      <c r="X22" s="10"/>
      <c r="Y22" s="10"/>
      <c r="AC22" s="10"/>
      <c r="AD22" s="10"/>
      <c r="AE22" s="10"/>
      <c r="AF22" s="10"/>
      <c r="AJ22" s="10"/>
      <c r="AK22" s="10">
        <v>0.5</v>
      </c>
      <c r="AL22" s="10"/>
      <c r="AM22" s="10">
        <v>0.5</v>
      </c>
      <c r="AQ22" s="10"/>
      <c r="AR22" s="10">
        <v>0.5</v>
      </c>
      <c r="AS22" s="10"/>
      <c r="AT22" s="10">
        <v>0.5</v>
      </c>
      <c r="AX22" s="10"/>
      <c r="AY22" s="10">
        <v>0.5</v>
      </c>
      <c r="AZ22" s="10"/>
      <c r="BA22" s="10">
        <v>0.5</v>
      </c>
      <c r="BE22" s="10"/>
      <c r="BF22" s="10">
        <v>0.5</v>
      </c>
      <c r="BG22" s="10"/>
      <c r="BH22" s="10">
        <v>0.5</v>
      </c>
      <c r="BL22" s="10"/>
      <c r="BM22" s="10">
        <v>0.8</v>
      </c>
      <c r="BN22" s="10"/>
      <c r="BO22" s="10">
        <v>0.8</v>
      </c>
      <c r="BS22" s="10"/>
      <c r="BT22" s="10">
        <v>0.8</v>
      </c>
      <c r="BU22" s="10"/>
      <c r="BV22" s="10">
        <v>0.8</v>
      </c>
      <c r="BZ22" s="10"/>
      <c r="CA22" s="10">
        <v>0.8</v>
      </c>
      <c r="CB22" s="10"/>
      <c r="CC22" s="10">
        <v>0.8</v>
      </c>
      <c r="CG22" s="10"/>
      <c r="CH22" s="10">
        <v>1</v>
      </c>
      <c r="CI22" s="10"/>
      <c r="CJ22" s="10">
        <v>1</v>
      </c>
      <c r="CO22" s="10"/>
      <c r="CP22" s="10"/>
      <c r="CQ22" s="10"/>
      <c r="CR22" s="10"/>
      <c r="CU22" s="10"/>
      <c r="CV22" s="10"/>
      <c r="CW22" s="10"/>
      <c r="CX22" s="10"/>
      <c r="DB22" s="10"/>
      <c r="DC22" s="10"/>
      <c r="DD22" s="10"/>
      <c r="DE22" s="10"/>
    </row>
    <row r="23" spans="2:109" outlineLevel="1" x14ac:dyDescent="0.2">
      <c r="B23" t="s">
        <v>28</v>
      </c>
      <c r="C23" t="s">
        <v>89</v>
      </c>
      <c r="E23" s="9"/>
      <c r="F23" t="s">
        <v>107</v>
      </c>
      <c r="G23" s="10">
        <v>0.2</v>
      </c>
      <c r="I23" s="9">
        <f>+SUMIF($N$3:$ZT$3,I$3,$N23:$ZT23)</f>
        <v>0</v>
      </c>
      <c r="J23" s="11" cm="1">
        <f t="array" ref="J23">MAX(IF($N$3:$EB$3=$J$3,N23:EB23))</f>
        <v>0</v>
      </c>
      <c r="K23" s="11" cm="1">
        <f t="array" ref="K23">MAX(IF($N$3:$EB$3=$J$3,N23:EB23))</f>
        <v>0</v>
      </c>
      <c r="L23" s="9"/>
      <c r="O23" s="10"/>
      <c r="P23" s="10"/>
      <c r="Q23" s="10"/>
      <c r="R23" s="10"/>
      <c r="V23" s="10"/>
      <c r="W23" s="10"/>
      <c r="X23" s="10"/>
      <c r="Y23" s="10"/>
      <c r="AC23" s="10"/>
      <c r="AD23" s="10"/>
      <c r="AE23" s="10"/>
      <c r="AF23" s="10"/>
      <c r="AJ23" s="10"/>
      <c r="AK23" s="10"/>
      <c r="AL23" s="10"/>
      <c r="AM23" s="10"/>
      <c r="AQ23" s="10"/>
      <c r="AR23" s="10">
        <v>0.5</v>
      </c>
      <c r="AS23" s="10"/>
      <c r="AT23" s="10">
        <v>0.5</v>
      </c>
      <c r="AX23" s="10"/>
      <c r="AY23" s="10">
        <v>0.5</v>
      </c>
      <c r="AZ23" s="10"/>
      <c r="BA23" s="10">
        <v>0.5</v>
      </c>
      <c r="BE23" s="10"/>
      <c r="BF23" s="10">
        <v>0.5</v>
      </c>
      <c r="BG23" s="10"/>
      <c r="BH23" s="10">
        <v>0.5</v>
      </c>
      <c r="BL23" s="10"/>
      <c r="BM23" s="10">
        <v>0.8</v>
      </c>
      <c r="BN23" s="10"/>
      <c r="BO23" s="10">
        <v>0.8</v>
      </c>
      <c r="BS23" s="10"/>
      <c r="BT23" s="10">
        <v>0.8</v>
      </c>
      <c r="BU23" s="10"/>
      <c r="BV23" s="10">
        <v>0.8</v>
      </c>
      <c r="BZ23" s="10"/>
      <c r="CA23" s="10">
        <v>0.8</v>
      </c>
      <c r="CB23" s="10"/>
      <c r="CC23" s="10">
        <v>0.8</v>
      </c>
      <c r="CG23" s="10"/>
      <c r="CH23" s="10">
        <v>1</v>
      </c>
      <c r="CI23" s="10"/>
      <c r="CJ23" s="10">
        <v>1</v>
      </c>
      <c r="CO23" s="10"/>
      <c r="CP23" s="10"/>
      <c r="CQ23" s="10"/>
      <c r="CR23" s="10"/>
      <c r="CU23" s="10"/>
      <c r="CV23" s="10"/>
      <c r="CW23" s="10"/>
      <c r="CX23" s="10"/>
      <c r="DB23" s="10"/>
      <c r="DC23" s="10"/>
      <c r="DD23" s="10"/>
      <c r="DE23" s="10"/>
    </row>
    <row r="24" spans="2:109" outlineLevel="1" x14ac:dyDescent="0.2">
      <c r="B24" t="s">
        <v>28</v>
      </c>
      <c r="C24" t="s">
        <v>89</v>
      </c>
      <c r="E24" s="9"/>
      <c r="F24" t="s">
        <v>108</v>
      </c>
      <c r="G24" s="10">
        <v>0.2</v>
      </c>
      <c r="I24" s="9">
        <f>+SUMIF($N$3:$ZT$3,I$3,$N24:$ZT24)</f>
        <v>0</v>
      </c>
      <c r="J24" s="11" cm="1">
        <f t="array" ref="J24">MAX(IF($N$3:$EB$3=$J$3,N24:EB24))</f>
        <v>0</v>
      </c>
      <c r="K24" s="11" cm="1">
        <f t="array" ref="K24">MAX(IF($N$3:$EB$3=$J$3,N24:EB24))</f>
        <v>0</v>
      </c>
      <c r="L24" s="9"/>
      <c r="O24" s="10"/>
      <c r="P24" s="10"/>
      <c r="Q24" s="10"/>
      <c r="R24" s="10"/>
      <c r="V24" s="10"/>
      <c r="W24" s="10"/>
      <c r="X24" s="10"/>
      <c r="Y24" s="10"/>
      <c r="AC24" s="10"/>
      <c r="AD24" s="10"/>
      <c r="AE24" s="10"/>
      <c r="AF24" s="10"/>
      <c r="AJ24" s="10"/>
      <c r="AK24" s="10"/>
      <c r="AL24" s="10"/>
      <c r="AM24" s="10"/>
      <c r="AQ24" s="10"/>
      <c r="AR24" s="10"/>
      <c r="AS24" s="10"/>
      <c r="AT24" s="10"/>
      <c r="AX24" s="10"/>
      <c r="AY24" s="10">
        <v>0.5</v>
      </c>
      <c r="AZ24" s="10"/>
      <c r="BA24" s="10">
        <v>0.5</v>
      </c>
      <c r="BE24" s="10"/>
      <c r="BF24" s="10">
        <v>0.5</v>
      </c>
      <c r="BG24" s="10"/>
      <c r="BH24" s="10">
        <v>0.5</v>
      </c>
      <c r="BL24" s="10"/>
      <c r="BM24" s="10">
        <v>0.5</v>
      </c>
      <c r="BN24" s="10"/>
      <c r="BO24" s="10">
        <v>0.5</v>
      </c>
      <c r="BS24" s="10"/>
      <c r="BT24" s="10">
        <v>0.8</v>
      </c>
      <c r="BU24" s="10"/>
      <c r="BV24" s="10">
        <v>0.8</v>
      </c>
      <c r="BZ24" s="10"/>
      <c r="CA24" s="10">
        <v>0.8</v>
      </c>
      <c r="CB24" s="10"/>
      <c r="CC24" s="10">
        <v>0.8</v>
      </c>
      <c r="CG24" s="10"/>
      <c r="CH24" s="10">
        <v>1</v>
      </c>
      <c r="CI24" s="10"/>
      <c r="CJ24" s="10">
        <v>1</v>
      </c>
      <c r="CO24" s="10"/>
      <c r="CP24" s="10"/>
      <c r="CQ24" s="10"/>
      <c r="CR24" s="10"/>
      <c r="CU24" s="10"/>
      <c r="CV24" s="10"/>
      <c r="CW24" s="10"/>
      <c r="CX24" s="10"/>
      <c r="DB24" s="10"/>
      <c r="DC24" s="10"/>
      <c r="DD24" s="10"/>
      <c r="DE24" s="10"/>
    </row>
    <row r="26" spans="2:109" x14ac:dyDescent="0.2">
      <c r="B26" t="s">
        <v>27</v>
      </c>
      <c r="C26" t="s">
        <v>90</v>
      </c>
      <c r="D26" s="19">
        <v>45341</v>
      </c>
      <c r="E26" s="9">
        <v>9</v>
      </c>
      <c r="G26" s="10">
        <f>+SUM(G27:G37)</f>
        <v>0.94999999999999984</v>
      </c>
      <c r="I26" s="12">
        <f>+SUM(I27:I37)</f>
        <v>5.9</v>
      </c>
      <c r="J26" s="11">
        <f>+SUMPRODUCT(G27:G37,J27:J37)</f>
        <v>0</v>
      </c>
      <c r="K26" s="11">
        <f>+SUMPRODUCT(G27:G37,K27:K37)</f>
        <v>0</v>
      </c>
      <c r="L26" s="9"/>
      <c r="N26" s="12">
        <f>+SUM(N27:N37)</f>
        <v>5.9</v>
      </c>
      <c r="U26" s="12">
        <f>+SUM(U27:U37)</f>
        <v>0</v>
      </c>
      <c r="AB26" s="12">
        <f>+SUM(AB27:AB37)</f>
        <v>0</v>
      </c>
      <c r="AI26" s="12">
        <f>+SUM(AI27:AI37)</f>
        <v>0</v>
      </c>
      <c r="AP26" s="12">
        <f>+SUM(AP27:AP37)</f>
        <v>0</v>
      </c>
    </row>
    <row r="27" spans="2:109" outlineLevel="1" x14ac:dyDescent="0.2">
      <c r="B27" t="s">
        <v>28</v>
      </c>
      <c r="C27" t="s">
        <v>90</v>
      </c>
      <c r="E27" s="9"/>
      <c r="F27" t="s">
        <v>109</v>
      </c>
      <c r="G27" s="10">
        <v>0.1</v>
      </c>
      <c r="I27" s="9">
        <f>+SUMIF($N$3:$ZT$3,I$3,$N27:$ZT27)</f>
        <v>2.9</v>
      </c>
      <c r="J27" s="11" cm="1">
        <f t="array" ref="J27">MAX(IF($N$3:$EB$3=$J$3,N27:EB27))</f>
        <v>0</v>
      </c>
      <c r="K27" s="11" cm="1">
        <f t="array" ref="K27">MAX(IF($N$3:$EB$3=$J$3,N27:EB27))</f>
        <v>0</v>
      </c>
      <c r="L27" s="9"/>
      <c r="N27">
        <v>2.9</v>
      </c>
      <c r="O27" s="10"/>
      <c r="P27" s="10">
        <v>0.5</v>
      </c>
      <c r="Q27" s="10"/>
      <c r="R27" s="10">
        <v>0.5</v>
      </c>
      <c r="V27" s="10"/>
      <c r="W27" s="10">
        <v>0.8</v>
      </c>
      <c r="X27" s="10"/>
      <c r="Y27" s="10">
        <v>0.8</v>
      </c>
      <c r="AC27" s="10"/>
      <c r="AD27" s="10">
        <v>0.8</v>
      </c>
      <c r="AE27" s="10"/>
      <c r="AF27" s="10">
        <v>0.8</v>
      </c>
      <c r="AJ27" s="10"/>
      <c r="AK27" s="10">
        <v>0.8</v>
      </c>
      <c r="AL27" s="10"/>
      <c r="AM27" s="10">
        <v>0.8</v>
      </c>
      <c r="AQ27" s="10"/>
      <c r="AR27" s="10">
        <v>0.8</v>
      </c>
      <c r="AS27" s="10"/>
      <c r="AT27" s="10">
        <v>0.8</v>
      </c>
      <c r="AX27" s="10"/>
      <c r="AY27" s="10">
        <v>1</v>
      </c>
      <c r="AZ27" s="10"/>
      <c r="BA27" s="10">
        <v>1</v>
      </c>
      <c r="BE27" s="10"/>
      <c r="BF27" s="10">
        <v>1</v>
      </c>
      <c r="BG27" s="10"/>
      <c r="BH27" s="10">
        <v>1</v>
      </c>
      <c r="BL27" s="10"/>
      <c r="BM27" s="10">
        <v>1</v>
      </c>
      <c r="BN27" s="10"/>
      <c r="BO27" s="10">
        <v>1</v>
      </c>
      <c r="BS27" s="10"/>
      <c r="BT27" s="10">
        <v>1</v>
      </c>
      <c r="BU27" s="10"/>
      <c r="BV27" s="10">
        <v>1</v>
      </c>
      <c r="BZ27" s="10"/>
      <c r="CA27" s="10">
        <v>1</v>
      </c>
      <c r="CB27" s="10"/>
      <c r="CC27" s="10">
        <v>1</v>
      </c>
      <c r="CG27" s="10"/>
      <c r="CH27" s="10">
        <v>1</v>
      </c>
      <c r="CI27" s="10"/>
      <c r="CJ27" s="10">
        <v>1</v>
      </c>
      <c r="CO27" s="10"/>
      <c r="CP27" s="10"/>
      <c r="CQ27" s="10"/>
      <c r="CR27" s="10"/>
      <c r="CU27" s="10"/>
      <c r="CV27" s="10"/>
      <c r="CW27" s="10"/>
      <c r="CX27" s="10"/>
      <c r="DB27" s="10"/>
      <c r="DC27" s="10"/>
      <c r="DD27" s="10"/>
      <c r="DE27" s="10"/>
    </row>
    <row r="28" spans="2:109" outlineLevel="1" x14ac:dyDescent="0.2">
      <c r="B28" t="s">
        <v>28</v>
      </c>
      <c r="C28" t="s">
        <v>90</v>
      </c>
      <c r="E28" s="9"/>
      <c r="F28" t="s">
        <v>110</v>
      </c>
      <c r="G28" s="10">
        <v>0.05</v>
      </c>
      <c r="I28" s="9">
        <f>+SUMIF($N$3:$ZT$3,I$3,$N28:$ZT28)</f>
        <v>3</v>
      </c>
      <c r="J28" s="11" cm="1">
        <f t="array" ref="J28">MAX(IF($N$3:$EB$3=$J$3,N28:EB28))</f>
        <v>0</v>
      </c>
      <c r="K28" s="11" cm="1">
        <f t="array" ref="K28">MAX(IF($N$3:$EB$3=$J$3,N28:EB28))</f>
        <v>0</v>
      </c>
      <c r="L28" s="9"/>
      <c r="N28">
        <v>3</v>
      </c>
      <c r="O28" s="10"/>
      <c r="P28" s="10">
        <v>0.5</v>
      </c>
      <c r="Q28" s="10"/>
      <c r="R28" s="10">
        <v>0.5</v>
      </c>
      <c r="V28" s="10"/>
      <c r="W28" s="10">
        <v>0.5</v>
      </c>
      <c r="X28" s="10"/>
      <c r="Y28" s="10">
        <v>0.5</v>
      </c>
      <c r="AC28" s="10"/>
      <c r="AD28" s="10">
        <v>0.8</v>
      </c>
      <c r="AE28" s="10"/>
      <c r="AF28" s="10">
        <v>0.8</v>
      </c>
      <c r="AJ28" s="10"/>
      <c r="AK28" s="10">
        <v>0.8</v>
      </c>
      <c r="AL28" s="10"/>
      <c r="AM28" s="10">
        <v>0.8</v>
      </c>
      <c r="AQ28" s="10"/>
      <c r="AR28" s="10">
        <v>0.8</v>
      </c>
      <c r="AS28" s="10"/>
      <c r="AT28" s="10">
        <v>0.8</v>
      </c>
      <c r="AX28" s="10"/>
      <c r="AY28" s="10">
        <v>1</v>
      </c>
      <c r="AZ28" s="10"/>
      <c r="BA28" s="10">
        <v>1</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O28" s="10"/>
      <c r="CP28" s="10"/>
      <c r="CQ28" s="10"/>
      <c r="CR28" s="10"/>
      <c r="CU28" s="10"/>
      <c r="CV28" s="10"/>
      <c r="CW28" s="10"/>
      <c r="CX28" s="10"/>
      <c r="DB28" s="10"/>
      <c r="DC28" s="10"/>
      <c r="DD28" s="10"/>
      <c r="DE28" s="10"/>
    </row>
    <row r="29" spans="2:109" outlineLevel="1" x14ac:dyDescent="0.2">
      <c r="B29" t="s">
        <v>28</v>
      </c>
      <c r="C29" t="s">
        <v>90</v>
      </c>
      <c r="E29" s="9"/>
      <c r="F29" t="s">
        <v>111</v>
      </c>
      <c r="G29" s="10">
        <v>0.05</v>
      </c>
      <c r="I29" s="9">
        <f>+SUMIF($N$3:$ZT$3,I$3,$N29:$ZT29)</f>
        <v>0</v>
      </c>
      <c r="J29" s="11" cm="1">
        <f t="array" ref="J29">MAX(IF($N$3:$EB$3=$J$3,N29:EB29))</f>
        <v>0</v>
      </c>
      <c r="K29" s="11" cm="1">
        <f t="array" ref="K29">MAX(IF($N$3:$EB$3=$J$3,N29:EB29))</f>
        <v>0</v>
      </c>
      <c r="L29" s="9"/>
      <c r="O29" s="10"/>
      <c r="P29" s="10">
        <v>0.5</v>
      </c>
      <c r="Q29" s="10"/>
      <c r="R29" s="10">
        <v>0.5</v>
      </c>
      <c r="V29" s="10"/>
      <c r="W29" s="10">
        <v>0.5</v>
      </c>
      <c r="X29" s="10"/>
      <c r="Y29" s="10">
        <v>0.5</v>
      </c>
      <c r="AC29" s="10"/>
      <c r="AD29" s="10">
        <v>0.8</v>
      </c>
      <c r="AE29" s="10"/>
      <c r="AF29" s="10">
        <v>0.8</v>
      </c>
      <c r="AJ29" s="10"/>
      <c r="AK29" s="10">
        <v>0.8</v>
      </c>
      <c r="AL29" s="10"/>
      <c r="AM29" s="10">
        <v>0.8</v>
      </c>
      <c r="AQ29" s="10"/>
      <c r="AR29" s="10">
        <v>0.8</v>
      </c>
      <c r="AS29" s="10"/>
      <c r="AT29" s="10">
        <v>0.8</v>
      </c>
      <c r="AX29" s="10"/>
      <c r="AY29" s="10">
        <v>0.8</v>
      </c>
      <c r="AZ29" s="10"/>
      <c r="BA29" s="10">
        <v>0.8</v>
      </c>
      <c r="BE29" s="10"/>
      <c r="BF29" s="10">
        <v>1</v>
      </c>
      <c r="BG29" s="10"/>
      <c r="BH29" s="10">
        <v>1</v>
      </c>
      <c r="BL29" s="10"/>
      <c r="BM29" s="10">
        <v>1</v>
      </c>
      <c r="BN29" s="10"/>
      <c r="BO29" s="10">
        <v>1</v>
      </c>
      <c r="BS29" s="10"/>
      <c r="BT29" s="10">
        <v>1</v>
      </c>
      <c r="BU29" s="10"/>
      <c r="BV29" s="10">
        <v>1</v>
      </c>
      <c r="BZ29" s="10"/>
      <c r="CA29" s="10">
        <v>1</v>
      </c>
      <c r="CB29" s="10"/>
      <c r="CC29" s="10">
        <v>1</v>
      </c>
      <c r="CG29" s="10"/>
      <c r="CH29" s="10">
        <v>1</v>
      </c>
      <c r="CI29" s="10"/>
      <c r="CJ29" s="10">
        <v>1</v>
      </c>
      <c r="CO29" s="10"/>
      <c r="CP29" s="10"/>
      <c r="CQ29" s="10"/>
      <c r="CR29" s="10"/>
      <c r="CU29" s="10"/>
      <c r="CV29" s="10"/>
      <c r="CW29" s="10"/>
      <c r="CX29" s="10"/>
      <c r="DB29" s="10"/>
      <c r="DC29" s="10"/>
      <c r="DD29" s="10"/>
      <c r="DE29" s="10"/>
    </row>
    <row r="30" spans="2:109" outlineLevel="1" x14ac:dyDescent="0.2">
      <c r="B30" t="s">
        <v>28</v>
      </c>
      <c r="C30" t="s">
        <v>90</v>
      </c>
      <c r="E30" s="9"/>
      <c r="F30" t="s">
        <v>112</v>
      </c>
      <c r="G30" s="10">
        <v>0.05</v>
      </c>
      <c r="I30" s="9">
        <f>+SUMIF($N$3:$ZT$3,I$3,$N30:$ZT30)</f>
        <v>0</v>
      </c>
      <c r="J30" s="11" cm="1">
        <f t="array" ref="J30">MAX(IF($N$3:$EB$3=$J$3,N30:EB30))</f>
        <v>0</v>
      </c>
      <c r="K30" s="11" cm="1">
        <f t="array" ref="K30">MAX(IF($N$3:$EB$3=$J$3,N30:EB30))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0.8</v>
      </c>
      <c r="AZ30" s="10"/>
      <c r="BA30" s="10">
        <v>0.8</v>
      </c>
      <c r="BE30" s="10"/>
      <c r="BF30" s="10">
        <v>1</v>
      </c>
      <c r="BG30" s="10"/>
      <c r="BH30" s="10">
        <v>1</v>
      </c>
      <c r="BL30" s="10"/>
      <c r="BM30" s="10">
        <v>1</v>
      </c>
      <c r="BN30" s="10"/>
      <c r="BO30" s="10">
        <v>1</v>
      </c>
      <c r="BS30" s="10"/>
      <c r="BT30" s="10">
        <v>1</v>
      </c>
      <c r="BU30" s="10"/>
      <c r="BV30" s="10">
        <v>1</v>
      </c>
      <c r="BZ30" s="10"/>
      <c r="CA30" s="10">
        <v>1</v>
      </c>
      <c r="CB30" s="10"/>
      <c r="CC30" s="10">
        <v>1</v>
      </c>
      <c r="CG30" s="10"/>
      <c r="CH30" s="10">
        <v>1</v>
      </c>
      <c r="CI30" s="10"/>
      <c r="CJ30" s="10">
        <v>1</v>
      </c>
      <c r="CO30" s="10"/>
      <c r="CP30" s="10"/>
      <c r="CQ30" s="10"/>
      <c r="CR30" s="10"/>
      <c r="CU30" s="10"/>
      <c r="CV30" s="10"/>
      <c r="CW30" s="10"/>
      <c r="CX30" s="10"/>
      <c r="DB30" s="10"/>
      <c r="DC30" s="10"/>
      <c r="DD30" s="10"/>
      <c r="DE30" s="10"/>
    </row>
    <row r="31" spans="2:109" outlineLevel="1" x14ac:dyDescent="0.2">
      <c r="B31" t="s">
        <v>28</v>
      </c>
      <c r="C31" t="s">
        <v>90</v>
      </c>
      <c r="E31" s="9"/>
      <c r="F31" t="s">
        <v>113</v>
      </c>
      <c r="G31" s="10">
        <v>0.1</v>
      </c>
      <c r="I31" s="9">
        <f>+SUMIF($N$3:$ZT$3,I$3,$N31:$ZT31)</f>
        <v>0</v>
      </c>
      <c r="J31" s="11" cm="1">
        <f t="array" ref="J31">MAX(IF($N$3:$EB$3=$J$3,N31:EB31))</f>
        <v>0</v>
      </c>
      <c r="K31" s="11" cm="1">
        <f t="array" ref="K31">MAX(IF($N$3:$EB$3=$J$3,N31:EB31))</f>
        <v>0</v>
      </c>
      <c r="L31" s="9"/>
      <c r="O31" s="10"/>
      <c r="P31" s="10">
        <v>0.5</v>
      </c>
      <c r="Q31" s="10"/>
      <c r="R31" s="10">
        <v>0.5</v>
      </c>
      <c r="V31" s="10"/>
      <c r="W31" s="10">
        <v>0.5</v>
      </c>
      <c r="X31" s="10"/>
      <c r="Y31" s="10">
        <v>0.5</v>
      </c>
      <c r="AC31" s="10"/>
      <c r="AD31" s="10">
        <v>0.5</v>
      </c>
      <c r="AE31" s="10"/>
      <c r="AF31" s="10">
        <v>0.5</v>
      </c>
      <c r="AJ31" s="10"/>
      <c r="AK31" s="10">
        <v>0.8</v>
      </c>
      <c r="AL31" s="10"/>
      <c r="AM31" s="10">
        <v>0.8</v>
      </c>
      <c r="AQ31" s="10"/>
      <c r="AR31" s="10">
        <v>0.8</v>
      </c>
      <c r="AS31" s="10"/>
      <c r="AT31" s="10">
        <v>0.8</v>
      </c>
      <c r="AX31" s="10"/>
      <c r="AY31" s="10">
        <v>0.8</v>
      </c>
      <c r="AZ31" s="10"/>
      <c r="BA31" s="10">
        <v>0.8</v>
      </c>
      <c r="BE31" s="10"/>
      <c r="BF31" s="10">
        <v>0.8</v>
      </c>
      <c r="BG31" s="10"/>
      <c r="BH31" s="10">
        <v>0.8</v>
      </c>
      <c r="BL31" s="10"/>
      <c r="BM31" s="10">
        <v>1</v>
      </c>
      <c r="BN31" s="10"/>
      <c r="BO31" s="10">
        <v>1</v>
      </c>
      <c r="BS31" s="10"/>
      <c r="BT31" s="10">
        <v>1</v>
      </c>
      <c r="BU31" s="10"/>
      <c r="BV31" s="10">
        <v>1</v>
      </c>
      <c r="BZ31" s="10"/>
      <c r="CA31" s="10">
        <v>1</v>
      </c>
      <c r="CB31" s="10"/>
      <c r="CC31" s="10">
        <v>1</v>
      </c>
      <c r="CG31" s="10"/>
      <c r="CH31" s="10">
        <v>1</v>
      </c>
      <c r="CI31" s="10"/>
      <c r="CJ31" s="10">
        <v>1</v>
      </c>
      <c r="CO31" s="10"/>
      <c r="CP31" s="10"/>
      <c r="CQ31" s="10"/>
      <c r="CR31" s="10"/>
      <c r="CU31" s="10"/>
      <c r="CV31" s="10"/>
      <c r="CW31" s="10"/>
      <c r="CX31" s="10"/>
      <c r="DB31" s="10"/>
      <c r="DC31" s="10"/>
      <c r="DD31" s="10"/>
      <c r="DE31" s="10"/>
    </row>
    <row r="32" spans="2:109" outlineLevel="1" x14ac:dyDescent="0.2">
      <c r="B32" t="s">
        <v>28</v>
      </c>
      <c r="C32" t="s">
        <v>90</v>
      </c>
      <c r="E32" s="9"/>
      <c r="F32" t="s">
        <v>114</v>
      </c>
      <c r="G32" s="10">
        <v>0.1</v>
      </c>
      <c r="I32" s="9">
        <f>+SUMIF($N$3:$ZT$3,I$3,$N32:$ZT32)</f>
        <v>0</v>
      </c>
      <c r="J32" s="11" cm="1">
        <f t="array" ref="J32">MAX(IF($N$3:$EB$3=$J$3,N32:EB32))</f>
        <v>0</v>
      </c>
      <c r="K32" s="11" cm="1">
        <f t="array" ref="K32">MAX(IF($N$3:$EB$3=$J$3,N32:EB32))</f>
        <v>0</v>
      </c>
      <c r="L32" s="9"/>
      <c r="O32" s="10"/>
      <c r="P32" s="10"/>
      <c r="Q32" s="10"/>
      <c r="R32" s="10"/>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1</v>
      </c>
      <c r="BN32" s="10"/>
      <c r="BO32" s="10">
        <v>1</v>
      </c>
      <c r="BS32" s="10"/>
      <c r="BT32" s="10">
        <v>1</v>
      </c>
      <c r="BU32" s="10"/>
      <c r="BV32" s="10">
        <v>1</v>
      </c>
      <c r="BZ32" s="10"/>
      <c r="CA32" s="10">
        <v>1</v>
      </c>
      <c r="CB32" s="10"/>
      <c r="CC32" s="10">
        <v>1</v>
      </c>
      <c r="CG32" s="10"/>
      <c r="CH32" s="10">
        <v>1</v>
      </c>
      <c r="CI32" s="10"/>
      <c r="CJ32" s="10">
        <v>1</v>
      </c>
      <c r="CO32" s="10"/>
      <c r="CP32" s="10"/>
      <c r="CQ32" s="10"/>
      <c r="CR32" s="10"/>
      <c r="CU32" s="10"/>
      <c r="CV32" s="10"/>
      <c r="CW32" s="10"/>
      <c r="CX32" s="10"/>
      <c r="DB32" s="10"/>
      <c r="DC32" s="10"/>
      <c r="DD32" s="10"/>
      <c r="DE32" s="10"/>
    </row>
    <row r="33" spans="2:109" outlineLevel="1" x14ac:dyDescent="0.2">
      <c r="B33" t="s">
        <v>28</v>
      </c>
      <c r="C33" t="s">
        <v>90</v>
      </c>
      <c r="E33" s="9"/>
      <c r="F33" t="s">
        <v>115</v>
      </c>
      <c r="G33" s="10">
        <v>0.1</v>
      </c>
      <c r="I33" s="9">
        <f>+SUMIF($N$3:$ZT$3,I$3,$N33:$ZT33)</f>
        <v>0</v>
      </c>
      <c r="J33" s="11" cm="1">
        <f t="array" ref="J33">MAX(IF($N$3:$EB$3=$J$3,N33:EB33))</f>
        <v>0</v>
      </c>
      <c r="K33" s="11" cm="1">
        <f t="array" ref="K33">MAX(IF($N$3:$EB$3=$J$3,N33:EB33))</f>
        <v>0</v>
      </c>
      <c r="L33" s="9"/>
      <c r="O33" s="10"/>
      <c r="P33" s="10"/>
      <c r="Q33" s="10"/>
      <c r="R33" s="10"/>
      <c r="V33" s="10"/>
      <c r="W33" s="10">
        <v>0.5</v>
      </c>
      <c r="X33" s="10"/>
      <c r="Y33" s="10">
        <v>0.5</v>
      </c>
      <c r="AC33" s="10"/>
      <c r="AD33" s="10">
        <v>0.5</v>
      </c>
      <c r="AE33" s="10"/>
      <c r="AF33" s="10">
        <v>0.5</v>
      </c>
      <c r="AJ33" s="10"/>
      <c r="AK33" s="10">
        <v>0.5</v>
      </c>
      <c r="AL33" s="10"/>
      <c r="AM33" s="10">
        <v>0.5</v>
      </c>
      <c r="AQ33" s="10"/>
      <c r="AR33" s="10">
        <v>0.8</v>
      </c>
      <c r="AS33" s="10"/>
      <c r="AT33" s="10">
        <v>0.8</v>
      </c>
      <c r="AX33" s="10"/>
      <c r="AY33" s="10">
        <v>0.8</v>
      </c>
      <c r="AZ33" s="10"/>
      <c r="BA33" s="10">
        <v>0.8</v>
      </c>
      <c r="BE33" s="10"/>
      <c r="BF33" s="10">
        <v>0.8</v>
      </c>
      <c r="BG33" s="10"/>
      <c r="BH33" s="10">
        <v>0.8</v>
      </c>
      <c r="BL33" s="10"/>
      <c r="BM33" s="10">
        <v>0.8</v>
      </c>
      <c r="BN33" s="10"/>
      <c r="BO33" s="10">
        <v>0.8</v>
      </c>
      <c r="BS33" s="10"/>
      <c r="BT33" s="10">
        <v>1</v>
      </c>
      <c r="BU33" s="10"/>
      <c r="BV33" s="10">
        <v>1</v>
      </c>
      <c r="BZ33" s="10"/>
      <c r="CA33" s="10">
        <v>1</v>
      </c>
      <c r="CB33" s="10"/>
      <c r="CC33" s="10">
        <v>1</v>
      </c>
      <c r="CG33" s="10"/>
      <c r="CH33" s="10">
        <v>1</v>
      </c>
      <c r="CI33" s="10"/>
      <c r="CJ33" s="10">
        <v>1</v>
      </c>
      <c r="CO33" s="10"/>
      <c r="CP33" s="10"/>
      <c r="CQ33" s="10"/>
      <c r="CR33" s="10"/>
      <c r="CU33" s="10"/>
      <c r="CV33" s="10"/>
      <c r="CW33" s="10"/>
      <c r="CX33" s="10"/>
      <c r="DB33" s="10"/>
      <c r="DC33" s="10"/>
      <c r="DD33" s="10"/>
      <c r="DE33" s="10"/>
    </row>
    <row r="34" spans="2:109" outlineLevel="1" x14ac:dyDescent="0.2">
      <c r="B34" t="s">
        <v>28</v>
      </c>
      <c r="C34" t="s">
        <v>90</v>
      </c>
      <c r="E34" s="9"/>
      <c r="F34" t="s">
        <v>116</v>
      </c>
      <c r="G34" s="10">
        <v>0.1</v>
      </c>
      <c r="I34" s="9">
        <f>+SUMIF($N$3:$ZT$3,I$3,$N34:$ZT34)</f>
        <v>0</v>
      </c>
      <c r="J34" s="11" cm="1">
        <f t="array" ref="J34">MAX(IF($N$3:$EB$3=$J$3,N34:EB34))</f>
        <v>0</v>
      </c>
      <c r="K34" s="11" cm="1">
        <f t="array" ref="K34">MAX(IF($N$3:$EB$3=$J$3,N34:EB34))</f>
        <v>0</v>
      </c>
      <c r="L34" s="9"/>
      <c r="O34" s="10"/>
      <c r="P34" s="10"/>
      <c r="Q34" s="10"/>
      <c r="R34" s="10"/>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0.8</v>
      </c>
      <c r="BG34" s="10"/>
      <c r="BH34" s="10">
        <v>0.8</v>
      </c>
      <c r="BL34" s="10"/>
      <c r="BM34" s="10">
        <v>0.8</v>
      </c>
      <c r="BN34" s="10"/>
      <c r="BO34" s="10">
        <v>0.8</v>
      </c>
      <c r="BS34" s="10"/>
      <c r="BT34" s="10">
        <v>1</v>
      </c>
      <c r="BU34" s="10"/>
      <c r="BV34" s="10">
        <v>1</v>
      </c>
      <c r="BZ34" s="10"/>
      <c r="CA34" s="10">
        <v>1</v>
      </c>
      <c r="CB34" s="10"/>
      <c r="CC34" s="10">
        <v>1</v>
      </c>
      <c r="CG34" s="10"/>
      <c r="CH34" s="10">
        <v>1</v>
      </c>
      <c r="CI34" s="10"/>
      <c r="CJ34" s="10">
        <v>1</v>
      </c>
      <c r="CO34" s="10"/>
      <c r="CP34" s="10"/>
      <c r="CQ34" s="10"/>
      <c r="CR34" s="10"/>
      <c r="CU34" s="10"/>
      <c r="CV34" s="10"/>
      <c r="CW34" s="10"/>
      <c r="CX34" s="10"/>
      <c r="DB34" s="10"/>
      <c r="DC34" s="10"/>
      <c r="DD34" s="10"/>
      <c r="DE34" s="10"/>
    </row>
    <row r="35" spans="2:109" outlineLevel="1" x14ac:dyDescent="0.2">
      <c r="B35" t="s">
        <v>28</v>
      </c>
      <c r="C35" t="s">
        <v>90</v>
      </c>
      <c r="E35" s="9"/>
      <c r="F35" t="s">
        <v>117</v>
      </c>
      <c r="G35" s="10">
        <v>0.1</v>
      </c>
      <c r="I35" s="9">
        <f>+SUMIF($N$3:$ZT$3,I$3,$N35:$ZT35)</f>
        <v>0</v>
      </c>
      <c r="J35" s="11" cm="1">
        <f t="array" ref="J35">MAX(IF($N$3:$EB$3=$J$3,N35:EB35))</f>
        <v>0</v>
      </c>
      <c r="K35" s="11" cm="1">
        <f t="array" ref="K35">MAX(IF($N$3:$EB$3=$J$3,N35:EB35))</f>
        <v>0</v>
      </c>
      <c r="L35" s="9"/>
      <c r="O35" s="10"/>
      <c r="P35" s="10"/>
      <c r="Q35" s="10"/>
      <c r="R35" s="10"/>
      <c r="V35" s="10"/>
      <c r="W35" s="10">
        <v>0.5</v>
      </c>
      <c r="X35" s="10"/>
      <c r="Y35" s="10">
        <v>0.5</v>
      </c>
      <c r="AC35" s="10"/>
      <c r="AD35" s="10">
        <v>0.5</v>
      </c>
      <c r="AE35" s="10"/>
      <c r="AF35" s="10">
        <v>0.5</v>
      </c>
      <c r="AJ35" s="10"/>
      <c r="AK35" s="10">
        <v>0.5</v>
      </c>
      <c r="AL35" s="10"/>
      <c r="AM35" s="10">
        <v>0.5</v>
      </c>
      <c r="AQ35" s="10"/>
      <c r="AR35" s="10">
        <v>0.5</v>
      </c>
      <c r="AS35" s="10"/>
      <c r="AT35" s="10">
        <v>0.5</v>
      </c>
      <c r="AX35" s="10"/>
      <c r="AY35" s="10">
        <v>0.8</v>
      </c>
      <c r="AZ35" s="10"/>
      <c r="BA35" s="10">
        <v>0.8</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O35" s="10"/>
      <c r="CP35" s="10"/>
      <c r="CQ35" s="10"/>
      <c r="CR35" s="10"/>
      <c r="CU35" s="10"/>
      <c r="CV35" s="10"/>
      <c r="CW35" s="10"/>
      <c r="CX35" s="10"/>
      <c r="DB35" s="10"/>
      <c r="DC35" s="10"/>
      <c r="DD35" s="10"/>
      <c r="DE35" s="10"/>
    </row>
    <row r="36" spans="2:109" outlineLevel="1" x14ac:dyDescent="0.2">
      <c r="B36" t="s">
        <v>28</v>
      </c>
      <c r="C36" t="s">
        <v>90</v>
      </c>
      <c r="E36" s="9"/>
      <c r="F36" t="s">
        <v>118</v>
      </c>
      <c r="G36" s="10">
        <v>0.1</v>
      </c>
      <c r="I36" s="9">
        <f>+SUMIF($N$3:$ZT$3,I$3,$N36:$ZT36)</f>
        <v>0</v>
      </c>
      <c r="J36" s="11" cm="1">
        <f t="array" ref="J36">MAX(IF($N$3:$EB$3=$J$3,N36:EB36))</f>
        <v>0</v>
      </c>
      <c r="K36" s="11" cm="1">
        <f t="array" ref="K36">MAX(IF($N$3:$EB$3=$J$3,N36:EB36))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1</v>
      </c>
      <c r="CB36" s="10"/>
      <c r="CC36" s="10">
        <v>1</v>
      </c>
      <c r="CG36" s="10"/>
      <c r="CH36" s="10">
        <v>1</v>
      </c>
      <c r="CI36" s="10"/>
      <c r="CJ36" s="10">
        <v>1</v>
      </c>
      <c r="CO36" s="10"/>
      <c r="CP36" s="10"/>
      <c r="CQ36" s="10"/>
      <c r="CR36" s="10"/>
      <c r="CU36" s="10"/>
      <c r="CV36" s="10"/>
      <c r="CW36" s="10"/>
      <c r="CX36" s="10"/>
      <c r="DB36" s="10"/>
      <c r="DC36" s="10"/>
      <c r="DD36" s="10"/>
      <c r="DE36" s="10"/>
    </row>
    <row r="37" spans="2:109" outlineLevel="1" x14ac:dyDescent="0.2">
      <c r="B37" t="s">
        <v>28</v>
      </c>
      <c r="C37" t="s">
        <v>90</v>
      </c>
      <c r="E37" s="9"/>
      <c r="F37" t="s">
        <v>119</v>
      </c>
      <c r="G37" s="10">
        <v>0.1</v>
      </c>
      <c r="I37" s="9">
        <f>+SUMIF($N$3:$ZT$3,I$3,$N37:$ZT37)</f>
        <v>0</v>
      </c>
      <c r="J37" s="11" cm="1">
        <f t="array" ref="J37">MAX(IF($N$3:$EB$3=$J$3,N37:EB37))</f>
        <v>0</v>
      </c>
      <c r="K37" s="11" cm="1">
        <f t="array" ref="K37">MAX(IF($N$3:$EB$3=$J$3,N37:EB37))</f>
        <v>0</v>
      </c>
      <c r="L37" s="9"/>
      <c r="O37" s="10"/>
      <c r="P37" s="10"/>
      <c r="Q37" s="10"/>
      <c r="R37" s="10"/>
      <c r="V37" s="10"/>
      <c r="W37" s="10"/>
      <c r="Y37" s="10"/>
      <c r="AC37" s="10"/>
      <c r="AD37" s="10">
        <v>0.5</v>
      </c>
      <c r="AE37" s="10"/>
      <c r="AF37" s="10">
        <v>0.5</v>
      </c>
      <c r="AJ37" s="10"/>
      <c r="AK37" s="10">
        <v>0.5</v>
      </c>
      <c r="AL37" s="10"/>
      <c r="AM37" s="10">
        <v>0.5</v>
      </c>
      <c r="AQ37" s="10"/>
      <c r="AR37" s="10">
        <v>0.5</v>
      </c>
      <c r="AS37" s="10"/>
      <c r="AT37" s="10">
        <v>0.5</v>
      </c>
      <c r="AX37" s="10"/>
      <c r="AY37" s="10">
        <v>0.5</v>
      </c>
      <c r="AZ37" s="10"/>
      <c r="BA37" s="10">
        <v>0.5</v>
      </c>
      <c r="BE37" s="10"/>
      <c r="BF37" s="10">
        <v>0.8</v>
      </c>
      <c r="BG37" s="10"/>
      <c r="BH37" s="10">
        <v>0.8</v>
      </c>
      <c r="BL37" s="10"/>
      <c r="BM37" s="10">
        <v>0.8</v>
      </c>
      <c r="BN37" s="10"/>
      <c r="BO37" s="10">
        <v>0.8</v>
      </c>
      <c r="BS37" s="10"/>
      <c r="BT37" s="10">
        <v>0.8</v>
      </c>
      <c r="BU37" s="10"/>
      <c r="BV37" s="10">
        <v>0.8</v>
      </c>
      <c r="BZ37" s="10"/>
      <c r="CA37" s="10">
        <v>1</v>
      </c>
      <c r="CB37" s="10"/>
      <c r="CC37" s="10">
        <v>1</v>
      </c>
      <c r="CG37" s="10"/>
      <c r="CH37" s="10">
        <v>1</v>
      </c>
      <c r="CI37" s="10"/>
      <c r="CJ37" s="10">
        <v>1</v>
      </c>
      <c r="CO37" s="10"/>
      <c r="CP37" s="10"/>
      <c r="CQ37" s="10"/>
      <c r="CR37" s="10"/>
      <c r="CU37" s="10"/>
      <c r="CV37" s="10"/>
      <c r="CW37" s="10"/>
      <c r="CX37" s="10"/>
      <c r="DB37" s="10"/>
      <c r="DC37" s="10"/>
      <c r="DD37" s="10"/>
      <c r="DE37" s="10"/>
    </row>
    <row r="38" spans="2:109" outlineLevel="1" x14ac:dyDescent="0.2">
      <c r="B38" t="s">
        <v>28</v>
      </c>
      <c r="C38" t="s">
        <v>90</v>
      </c>
      <c r="E38" s="9"/>
      <c r="F38" t="s">
        <v>159</v>
      </c>
      <c r="G38" s="10">
        <v>0.1</v>
      </c>
      <c r="I38" s="9">
        <f>+SUMIF($N$3:$ZT$3,I$3,$N38:$ZT38)</f>
        <v>0</v>
      </c>
      <c r="J38" s="11" cm="1">
        <f t="array" ref="J38">MAX(IF($N$3:$EB$3=$J$3,N38:EB38))</f>
        <v>0</v>
      </c>
      <c r="K38" s="11" cm="1">
        <f t="array" ref="K38">MAX(IF($N$3:$EB$3=$J$3,N38:EB38))</f>
        <v>0</v>
      </c>
      <c r="L38" s="9"/>
      <c r="O38" s="10"/>
      <c r="P38" s="10"/>
      <c r="Q38" s="10"/>
      <c r="R38" s="10"/>
      <c r="V38" s="10"/>
      <c r="W38" s="10"/>
      <c r="X38" s="10"/>
      <c r="Y38" s="10"/>
      <c r="AC38" s="10"/>
      <c r="AD38" s="10"/>
      <c r="AE38" s="10"/>
      <c r="AF38" s="10"/>
      <c r="AJ38" s="10"/>
      <c r="AK38" s="10">
        <v>0.5</v>
      </c>
      <c r="AL38" s="10"/>
      <c r="AM38" s="10">
        <v>0.5</v>
      </c>
      <c r="AQ38" s="10"/>
      <c r="AR38" s="10">
        <v>0.5</v>
      </c>
      <c r="AS38" s="10"/>
      <c r="AT38" s="10">
        <v>0.5</v>
      </c>
      <c r="AX38" s="10"/>
      <c r="AY38" s="10">
        <v>0.5</v>
      </c>
      <c r="AZ38" s="10"/>
      <c r="BA38" s="10">
        <v>0.5</v>
      </c>
      <c r="BE38" s="10"/>
      <c r="BF38" s="10">
        <v>0.8</v>
      </c>
      <c r="BG38" s="10"/>
      <c r="BH38" s="10">
        <v>0.8</v>
      </c>
      <c r="BL38" s="10"/>
      <c r="BM38" s="10">
        <v>0.8</v>
      </c>
      <c r="BN38" s="10"/>
      <c r="BO38" s="10">
        <v>0.8</v>
      </c>
      <c r="BS38" s="10"/>
      <c r="BT38" s="10">
        <v>0.8</v>
      </c>
      <c r="BU38" s="10"/>
      <c r="BV38" s="10">
        <v>0.8</v>
      </c>
      <c r="BZ38" s="10"/>
      <c r="CA38" s="10">
        <v>1</v>
      </c>
      <c r="CB38" s="10"/>
      <c r="CC38" s="10">
        <v>1</v>
      </c>
      <c r="CG38" s="10"/>
      <c r="CH38" s="10">
        <v>1</v>
      </c>
      <c r="CI38" s="10"/>
      <c r="CJ38" s="10">
        <v>1</v>
      </c>
      <c r="CO38" s="10"/>
      <c r="CP38" s="10"/>
      <c r="CQ38" s="10"/>
      <c r="CR38" s="10"/>
      <c r="CU38" s="10"/>
      <c r="CV38" s="10"/>
      <c r="CW38" s="10"/>
      <c r="CX38" s="10"/>
      <c r="DB38" s="10"/>
      <c r="DC38" s="10"/>
      <c r="DD38" s="10"/>
      <c r="DE38" s="10"/>
    </row>
    <row r="39" spans="2:109" outlineLevel="1" x14ac:dyDescent="0.2">
      <c r="B39" t="s">
        <v>28</v>
      </c>
      <c r="C39" t="s">
        <v>90</v>
      </c>
      <c r="E39" s="9"/>
      <c r="F39" t="s">
        <v>160</v>
      </c>
      <c r="G39" s="10">
        <v>0.1</v>
      </c>
      <c r="I39" s="9">
        <f>+SUMIF($N$3:$ZT$3,I$3,$N39:$ZT39)</f>
        <v>0</v>
      </c>
      <c r="J39" s="11" cm="1">
        <f t="array" ref="J39">MAX(IF($N$3:$EB$3=$J$3,N39:EB39))</f>
        <v>0</v>
      </c>
      <c r="K39" s="11" cm="1">
        <f t="array" ref="K39">MAX(IF($N$3:$EB$3=$J$3,N39:EB39))</f>
        <v>0</v>
      </c>
      <c r="L39" s="9"/>
      <c r="O39" s="10"/>
      <c r="P39" s="10"/>
      <c r="Q39" s="10"/>
      <c r="R39" s="10"/>
      <c r="V39" s="10"/>
      <c r="W39" s="10"/>
      <c r="X39" s="10"/>
      <c r="Y39" s="10"/>
      <c r="AC39" s="10"/>
      <c r="AD39" s="10"/>
      <c r="AE39" s="10"/>
      <c r="AF39" s="10"/>
      <c r="AJ39" s="10"/>
      <c r="AK39" s="10">
        <v>0.5</v>
      </c>
      <c r="AL39" s="10"/>
      <c r="AM39" s="10">
        <v>0.5</v>
      </c>
      <c r="AQ39" s="10"/>
      <c r="AR39" s="10">
        <v>0.5</v>
      </c>
      <c r="AS39" s="10"/>
      <c r="AT39" s="10">
        <v>0.5</v>
      </c>
      <c r="AX39" s="10"/>
      <c r="AY39" s="10">
        <v>0.5</v>
      </c>
      <c r="AZ39" s="10"/>
      <c r="BA39" s="10">
        <v>0.5</v>
      </c>
      <c r="BE39" s="10"/>
      <c r="BF39" s="10">
        <v>0.5</v>
      </c>
      <c r="BG39" s="10"/>
      <c r="BH39" s="10">
        <v>0.5</v>
      </c>
      <c r="BL39" s="10"/>
      <c r="BM39" s="21">
        <v>0.8</v>
      </c>
      <c r="BN39" s="10"/>
      <c r="BO39" s="10">
        <v>0.8</v>
      </c>
      <c r="BS39" s="10"/>
      <c r="BT39" s="10">
        <v>0.8</v>
      </c>
      <c r="BU39" s="10"/>
      <c r="BV39" s="10">
        <v>0.8</v>
      </c>
      <c r="BZ39" s="10"/>
      <c r="CA39" s="10">
        <v>0.8</v>
      </c>
      <c r="CB39" s="10"/>
      <c r="CC39" s="10">
        <v>0.8</v>
      </c>
      <c r="CG39" s="10"/>
      <c r="CH39" s="10">
        <v>1</v>
      </c>
      <c r="CI39" s="10"/>
      <c r="CJ39" s="10">
        <v>1</v>
      </c>
      <c r="CO39" s="10"/>
      <c r="CP39" s="10"/>
      <c r="CQ39" s="10"/>
      <c r="CR39" s="10"/>
      <c r="CU39" s="10"/>
      <c r="CV39" s="10"/>
      <c r="CW39" s="10"/>
      <c r="CX39" s="10"/>
      <c r="DB39" s="10"/>
      <c r="DC39" s="10"/>
      <c r="DD39" s="10"/>
      <c r="DE39" s="10"/>
    </row>
    <row r="40" spans="2:109" outlineLevel="1" x14ac:dyDescent="0.2">
      <c r="B40" t="s">
        <v>28</v>
      </c>
      <c r="C40" t="s">
        <v>90</v>
      </c>
      <c r="E40" s="9"/>
      <c r="F40" t="s">
        <v>161</v>
      </c>
      <c r="G40" s="10">
        <v>0.1</v>
      </c>
      <c r="I40" s="9">
        <f>+SUMIF($N$3:$ZT$3,I$3,$N40:$ZT40)</f>
        <v>0</v>
      </c>
      <c r="J40" s="11" cm="1">
        <f t="array" ref="J40">MAX(IF($N$3:$EB$3=$J$3,N40:EB40))</f>
        <v>0</v>
      </c>
      <c r="K40" s="11" cm="1">
        <f t="array" ref="K40">MAX(IF($N$3:$EB$3=$J$3,N40:EB40))</f>
        <v>0</v>
      </c>
      <c r="L40" s="9"/>
      <c r="O40" s="10"/>
      <c r="P40" s="10"/>
      <c r="Q40" s="10"/>
      <c r="R40" s="10"/>
      <c r="V40" s="10"/>
      <c r="W40" s="10"/>
      <c r="X40" s="10"/>
      <c r="Y40" s="10"/>
      <c r="AC40" s="10"/>
      <c r="AD40" s="10"/>
      <c r="AE40" s="10"/>
      <c r="AF40" s="10"/>
      <c r="AJ40" s="10"/>
      <c r="AK40" s="10"/>
      <c r="AL40" s="10"/>
      <c r="AM40" s="10"/>
      <c r="AQ40" s="10"/>
      <c r="AR40" s="10">
        <v>0.5</v>
      </c>
      <c r="AS40" s="10"/>
      <c r="AT40" s="10">
        <v>0.5</v>
      </c>
      <c r="AX40" s="10"/>
      <c r="AY40" s="10">
        <v>0.5</v>
      </c>
      <c r="AZ40" s="10"/>
      <c r="BA40" s="10">
        <v>0.5</v>
      </c>
      <c r="BE40" s="10"/>
      <c r="BF40" s="10">
        <v>0.5</v>
      </c>
      <c r="BG40" s="10"/>
      <c r="BH40" s="10">
        <v>0.5</v>
      </c>
      <c r="BL40" s="10"/>
      <c r="BM40" s="21">
        <v>0.8</v>
      </c>
      <c r="BN40" s="10"/>
      <c r="BO40" s="10">
        <v>0.8</v>
      </c>
      <c r="BS40" s="10"/>
      <c r="BT40" s="10">
        <v>0.8</v>
      </c>
      <c r="BU40" s="10"/>
      <c r="BV40" s="10">
        <v>0.8</v>
      </c>
      <c r="BZ40" s="10"/>
      <c r="CA40" s="10">
        <v>0.8</v>
      </c>
      <c r="CB40" s="10"/>
      <c r="CC40" s="10">
        <v>0.8</v>
      </c>
      <c r="CG40" s="10"/>
      <c r="CH40" s="10">
        <v>1</v>
      </c>
      <c r="CI40" s="10"/>
      <c r="CJ40" s="10">
        <v>1</v>
      </c>
      <c r="CO40" s="10"/>
      <c r="CP40" s="10"/>
      <c r="CQ40" s="10"/>
      <c r="CR40" s="10"/>
      <c r="CU40" s="10"/>
      <c r="CV40" s="10"/>
      <c r="CW40" s="10"/>
      <c r="CX40" s="10"/>
      <c r="DB40" s="10"/>
      <c r="DC40" s="10"/>
      <c r="DD40" s="10"/>
      <c r="DE40" s="10"/>
    </row>
    <row r="41" spans="2:109" outlineLevel="1" x14ac:dyDescent="0.2">
      <c r="B41" t="s">
        <v>28</v>
      </c>
      <c r="C41" t="s">
        <v>90</v>
      </c>
      <c r="E41" s="9"/>
      <c r="F41" t="s">
        <v>162</v>
      </c>
      <c r="G41" s="10">
        <v>0.1</v>
      </c>
      <c r="I41" s="9">
        <f>+SUMIF($N$3:$ZT$3,I$3,$N41:$ZT41)</f>
        <v>0</v>
      </c>
      <c r="J41" s="11" cm="1">
        <f t="array" ref="J41">MAX(IF($N$3:$EB$3=$J$3,N41:EB41))</f>
        <v>0</v>
      </c>
      <c r="K41" s="11" cm="1">
        <f t="array" ref="K41">MAX(IF($N$3:$EB$3=$J$3,N41:EB41))</f>
        <v>0</v>
      </c>
      <c r="L41" s="9"/>
      <c r="O41" s="10"/>
      <c r="P41" s="10"/>
      <c r="Q41" s="10"/>
      <c r="R41" s="10"/>
      <c r="V41" s="10"/>
      <c r="W41" s="10"/>
      <c r="X41" s="10"/>
      <c r="Y41" s="10"/>
      <c r="AC41" s="10"/>
      <c r="AD41" s="10"/>
      <c r="AE41" s="10"/>
      <c r="AF41" s="10"/>
      <c r="AJ41" s="10"/>
      <c r="AK41" s="10"/>
      <c r="AL41" s="10"/>
      <c r="AM41" s="10"/>
      <c r="AQ41" s="10"/>
      <c r="AR41" s="10">
        <v>0.5</v>
      </c>
      <c r="AS41" s="10"/>
      <c r="AT41" s="10">
        <v>0.5</v>
      </c>
      <c r="AX41" s="10"/>
      <c r="AY41" s="10">
        <v>0.5</v>
      </c>
      <c r="AZ41" s="10"/>
      <c r="BA41" s="10">
        <v>0.5</v>
      </c>
      <c r="BE41" s="10"/>
      <c r="BF41" s="10">
        <v>0.5</v>
      </c>
      <c r="BG41" s="10"/>
      <c r="BH41" s="10">
        <v>0.5</v>
      </c>
      <c r="BL41" s="10"/>
      <c r="BM41" s="10">
        <v>0.5</v>
      </c>
      <c r="BN41" s="10"/>
      <c r="BO41" s="10">
        <v>0.5</v>
      </c>
      <c r="BS41" s="10"/>
      <c r="BT41" s="10">
        <v>0.8</v>
      </c>
      <c r="BU41" s="10"/>
      <c r="BV41" s="10">
        <v>0.8</v>
      </c>
      <c r="BZ41" s="10"/>
      <c r="CA41" s="10">
        <v>0.8</v>
      </c>
      <c r="CB41" s="10"/>
      <c r="CC41" s="10">
        <v>0.8</v>
      </c>
      <c r="CG41" s="10"/>
      <c r="CH41" s="10">
        <v>1</v>
      </c>
      <c r="CI41" s="10"/>
      <c r="CJ41" s="10">
        <v>1</v>
      </c>
      <c r="CO41" s="10"/>
      <c r="CP41" s="10"/>
      <c r="CQ41" s="10"/>
      <c r="CR41" s="10"/>
      <c r="CU41" s="10"/>
      <c r="CV41" s="10"/>
      <c r="CW41" s="10"/>
      <c r="CX41" s="10"/>
      <c r="DB41" s="10"/>
      <c r="DC41" s="10"/>
      <c r="DD41" s="10"/>
      <c r="DE41" s="10"/>
    </row>
    <row r="42" spans="2:109" outlineLevel="1" x14ac:dyDescent="0.2">
      <c r="B42" t="s">
        <v>28</v>
      </c>
      <c r="C42" t="s">
        <v>90</v>
      </c>
      <c r="E42" s="9"/>
      <c r="F42" t="s">
        <v>163</v>
      </c>
      <c r="G42" s="10">
        <v>0.1</v>
      </c>
      <c r="I42" s="9">
        <f>+SUMIF($N$3:$ZT$3,I$3,$N42:$ZT42)</f>
        <v>0</v>
      </c>
      <c r="J42" s="11" cm="1">
        <f t="array" ref="J42">MAX(IF($N$3:$EB$3=$J$3,N42:EB42))</f>
        <v>0</v>
      </c>
      <c r="K42" s="11" cm="1">
        <f t="array" ref="K42">MAX(IF($N$3:$EB$3=$J$3,N42:EB42))</f>
        <v>0</v>
      </c>
      <c r="L42" s="9"/>
      <c r="O42" s="10"/>
      <c r="P42" s="10"/>
      <c r="Q42" s="10"/>
      <c r="R42" s="10"/>
      <c r="V42" s="10"/>
      <c r="W42" s="10"/>
      <c r="X42" s="10"/>
      <c r="Y42" s="10"/>
      <c r="AC42" s="10"/>
      <c r="AD42" s="10"/>
      <c r="AE42" s="10"/>
      <c r="AF42" s="10"/>
      <c r="AJ42" s="10"/>
      <c r="AK42" s="10"/>
      <c r="AL42" s="10"/>
      <c r="AM42" s="10"/>
      <c r="AQ42" s="10"/>
      <c r="AR42" s="10"/>
      <c r="AS42" s="10"/>
      <c r="AT42" s="10"/>
      <c r="AX42" s="10"/>
      <c r="AY42" s="10">
        <v>0.5</v>
      </c>
      <c r="AZ42" s="10"/>
      <c r="BA42" s="10">
        <v>0.5</v>
      </c>
      <c r="BE42" s="10"/>
      <c r="BF42" s="10">
        <v>0.5</v>
      </c>
      <c r="BG42" s="10"/>
      <c r="BH42" s="10">
        <v>0.5</v>
      </c>
      <c r="BL42" s="10"/>
      <c r="BM42" s="10">
        <v>0.5</v>
      </c>
      <c r="BN42" s="10"/>
      <c r="BO42" s="10">
        <v>0.5</v>
      </c>
      <c r="BS42" s="10"/>
      <c r="BT42" s="10">
        <v>0.8</v>
      </c>
      <c r="BU42" s="10"/>
      <c r="BV42" s="10">
        <v>0.8</v>
      </c>
      <c r="BZ42" s="10"/>
      <c r="CA42" s="10">
        <v>0.8</v>
      </c>
      <c r="CB42" s="10"/>
      <c r="CC42" s="10">
        <v>0.8</v>
      </c>
      <c r="CG42" s="10"/>
      <c r="CH42" s="10">
        <v>1</v>
      </c>
      <c r="CI42" s="10"/>
      <c r="CJ42" s="10">
        <v>1</v>
      </c>
      <c r="CO42" s="10"/>
      <c r="CP42" s="10"/>
      <c r="CQ42" s="10"/>
      <c r="CR42" s="10"/>
      <c r="CU42" s="10"/>
      <c r="CV42" s="10"/>
      <c r="CW42" s="10"/>
      <c r="CX42" s="10"/>
      <c r="DB42" s="10"/>
      <c r="DC42" s="10"/>
      <c r="DD42" s="10"/>
      <c r="DE42" s="10"/>
    </row>
    <row r="43" spans="2:109" outlineLevel="1" x14ac:dyDescent="0.2">
      <c r="E43" s="9"/>
      <c r="G43" s="10"/>
      <c r="I43" s="9"/>
      <c r="J43" s="11"/>
      <c r="K43" s="11"/>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O43" s="10"/>
      <c r="CP43" s="10"/>
      <c r="CQ43" s="10"/>
      <c r="CR43" s="10"/>
      <c r="CU43" s="10"/>
      <c r="CV43" s="10"/>
      <c r="CW43" s="10"/>
      <c r="CX43" s="10"/>
      <c r="DB43" s="10"/>
      <c r="DC43" s="10"/>
      <c r="DD43" s="10"/>
      <c r="DE43" s="10"/>
    </row>
    <row r="44" spans="2:109" x14ac:dyDescent="0.2">
      <c r="B44" t="s">
        <v>27</v>
      </c>
      <c r="C44" t="s">
        <v>120</v>
      </c>
      <c r="D44" s="19" t="s">
        <v>138</v>
      </c>
      <c r="E44" s="9">
        <v>6</v>
      </c>
      <c r="G44" s="10">
        <f>+SUM(G45:G53)</f>
        <v>0.84999999999999987</v>
      </c>
      <c r="I44" s="12">
        <f>+SUM(I45:I53)</f>
        <v>0</v>
      </c>
      <c r="J44" s="11">
        <f>+SUMPRODUCT(G45:G53,J45:J53)</f>
        <v>0</v>
      </c>
      <c r="K44" s="11">
        <f>+SUMPRODUCT(G45:G53,K45:K53)</f>
        <v>0</v>
      </c>
      <c r="L44" s="9"/>
      <c r="N44" s="12">
        <f>+SUM(N45:N53)</f>
        <v>0</v>
      </c>
      <c r="U44" s="12">
        <f>+SUM(U45:U53)</f>
        <v>0</v>
      </c>
      <c r="AB44" s="12">
        <f>+SUM(AB45:AB53)</f>
        <v>0</v>
      </c>
      <c r="AI44" s="12">
        <f>+SUM(AI45:AI53)</f>
        <v>0</v>
      </c>
      <c r="AP44" s="12">
        <f>+SUM(AP45:AP53)</f>
        <v>0</v>
      </c>
    </row>
    <row r="45" spans="2:109" outlineLevel="1" x14ac:dyDescent="0.2">
      <c r="B45" t="s">
        <v>28</v>
      </c>
      <c r="C45" t="s">
        <v>120</v>
      </c>
      <c r="E45" s="9"/>
      <c r="F45" t="s">
        <v>121</v>
      </c>
      <c r="G45" s="10">
        <v>0.1</v>
      </c>
      <c r="I45" s="9">
        <f>+SUMIF($N$3:$ZT$3,I$3,$N45:$ZT45)</f>
        <v>0</v>
      </c>
      <c r="J45" s="11" cm="1">
        <f t="array" ref="J45">MAX(IF($N$3:$EB$3=$J$3,N45:EB45))</f>
        <v>0</v>
      </c>
      <c r="K45" s="11" cm="1">
        <f t="array" ref="K45">MAX(IF($N$3:$EB$3=$J$3,N45:EB45))</f>
        <v>0</v>
      </c>
      <c r="L45" s="9"/>
      <c r="O45" s="10"/>
      <c r="P45" s="10">
        <v>0.5</v>
      </c>
      <c r="Q45" s="10"/>
      <c r="R45" s="10">
        <v>0.5</v>
      </c>
      <c r="V45" s="10"/>
      <c r="W45" s="10">
        <v>0.5</v>
      </c>
      <c r="X45" s="10"/>
      <c r="Y45" s="10">
        <v>0.5</v>
      </c>
      <c r="AC45" s="10"/>
      <c r="AD45" s="10">
        <v>0.8</v>
      </c>
      <c r="AE45" s="10"/>
      <c r="AF45" s="10">
        <v>0.8</v>
      </c>
      <c r="AJ45" s="10"/>
      <c r="AK45" s="10">
        <v>0.8</v>
      </c>
      <c r="AL45" s="10"/>
      <c r="AM45" s="10">
        <v>0.8</v>
      </c>
      <c r="AQ45" s="10"/>
      <c r="AR45" s="10">
        <v>0.8</v>
      </c>
      <c r="AS45" s="10"/>
      <c r="AT45" s="10">
        <v>0.8</v>
      </c>
      <c r="AX45" s="10"/>
      <c r="AY45" s="10">
        <v>0.8</v>
      </c>
      <c r="AZ45" s="10"/>
      <c r="BA45" s="10">
        <v>0.8</v>
      </c>
      <c r="BE45" s="10"/>
      <c r="BF45" s="10">
        <v>0.8</v>
      </c>
      <c r="BG45" s="10"/>
      <c r="BH45" s="10">
        <v>0.8</v>
      </c>
      <c r="BL45" s="10"/>
      <c r="BM45" s="10">
        <v>1</v>
      </c>
      <c r="BN45" s="10"/>
      <c r="BO45" s="10">
        <v>1</v>
      </c>
      <c r="BS45" s="10"/>
      <c r="BT45" s="10">
        <v>1</v>
      </c>
      <c r="BU45" s="10"/>
      <c r="BV45" s="10">
        <v>1</v>
      </c>
      <c r="BZ45" s="10"/>
      <c r="CA45" s="10">
        <v>1</v>
      </c>
      <c r="CB45" s="10"/>
      <c r="CC45" s="10">
        <v>1</v>
      </c>
      <c r="CG45" s="10"/>
      <c r="CH45" s="10">
        <v>1</v>
      </c>
      <c r="CI45" s="10"/>
      <c r="CJ45" s="10">
        <v>1</v>
      </c>
      <c r="CO45" s="10"/>
      <c r="CP45" s="10"/>
      <c r="CQ45" s="10"/>
      <c r="CR45" s="10"/>
      <c r="CU45" s="10"/>
      <c r="CV45" s="10"/>
      <c r="CW45" s="10"/>
      <c r="CX45" s="10"/>
      <c r="DB45" s="10"/>
      <c r="DC45" s="10"/>
      <c r="DD45" s="10"/>
      <c r="DE45" s="10"/>
    </row>
    <row r="46" spans="2:109" outlineLevel="1" x14ac:dyDescent="0.2">
      <c r="B46" t="s">
        <v>28</v>
      </c>
      <c r="C46" t="s">
        <v>120</v>
      </c>
      <c r="E46" s="9"/>
      <c r="F46" t="s">
        <v>122</v>
      </c>
      <c r="G46" s="10">
        <v>0.05</v>
      </c>
      <c r="I46" s="9">
        <f>+SUMIF($N$3:$ZT$3,I$3,$N46:$ZT46)</f>
        <v>0</v>
      </c>
      <c r="J46" s="11" cm="1">
        <f t="array" ref="J46">MAX(IF($N$3:$EB$3=$J$3,N46:EB46))</f>
        <v>0</v>
      </c>
      <c r="K46" s="11" cm="1">
        <f t="array" ref="K46">MAX(IF($N$3:$EB$3=$J$3,N46:EB46))</f>
        <v>0</v>
      </c>
      <c r="L46" s="9"/>
      <c r="O46" s="10"/>
      <c r="P46" s="10">
        <v>0.5</v>
      </c>
      <c r="Q46" s="10"/>
      <c r="R46" s="10">
        <v>0.5</v>
      </c>
      <c r="V46" s="10"/>
      <c r="W46" s="10">
        <v>0.5</v>
      </c>
      <c r="X46" s="10"/>
      <c r="Y46" s="10">
        <v>0.5</v>
      </c>
      <c r="AC46" s="10"/>
      <c r="AD46" s="10">
        <v>0.5</v>
      </c>
      <c r="AE46" s="10"/>
      <c r="AF46" s="10">
        <v>0.5</v>
      </c>
      <c r="AJ46" s="10"/>
      <c r="AK46" s="10">
        <v>0.8</v>
      </c>
      <c r="AL46" s="10"/>
      <c r="AM46" s="10">
        <v>0.8</v>
      </c>
      <c r="AQ46" s="10"/>
      <c r="AR46" s="10">
        <v>0.8</v>
      </c>
      <c r="AS46" s="10"/>
      <c r="AT46" s="10">
        <v>0.8</v>
      </c>
      <c r="AX46" s="10"/>
      <c r="AY46" s="10">
        <v>0.8</v>
      </c>
      <c r="AZ46" s="10"/>
      <c r="BA46" s="10">
        <v>0.8</v>
      </c>
      <c r="BE46" s="10"/>
      <c r="BF46" s="10">
        <v>0.8</v>
      </c>
      <c r="BG46" s="10"/>
      <c r="BH46" s="10">
        <v>0.8</v>
      </c>
      <c r="BL46" s="10"/>
      <c r="BM46" s="10">
        <v>0.8</v>
      </c>
      <c r="BN46" s="10"/>
      <c r="BO46" s="10">
        <v>0.8</v>
      </c>
      <c r="BS46" s="10"/>
      <c r="BT46" s="10">
        <v>1</v>
      </c>
      <c r="BU46" s="10"/>
      <c r="BV46" s="10">
        <v>1</v>
      </c>
      <c r="BZ46" s="10"/>
      <c r="CA46" s="10">
        <v>1</v>
      </c>
      <c r="CB46" s="10"/>
      <c r="CC46" s="10">
        <v>1</v>
      </c>
      <c r="CG46" s="10"/>
      <c r="CH46" s="10">
        <v>1</v>
      </c>
      <c r="CI46" s="10"/>
      <c r="CJ46" s="10">
        <v>1</v>
      </c>
      <c r="CO46" s="10"/>
      <c r="CP46" s="10"/>
      <c r="CQ46" s="10"/>
      <c r="CR46" s="10"/>
      <c r="CU46" s="10"/>
      <c r="CV46" s="10"/>
      <c r="CW46" s="10"/>
      <c r="CX46" s="10"/>
      <c r="DB46" s="10"/>
      <c r="DC46" s="10"/>
      <c r="DD46" s="10"/>
      <c r="DE46" s="10"/>
    </row>
    <row r="47" spans="2:109" outlineLevel="1" x14ac:dyDescent="0.2">
      <c r="B47" t="s">
        <v>28</v>
      </c>
      <c r="C47" t="s">
        <v>120</v>
      </c>
      <c r="E47" s="9"/>
      <c r="F47" t="s">
        <v>152</v>
      </c>
      <c r="G47" s="10">
        <v>0.1</v>
      </c>
      <c r="I47" s="9">
        <f>+SUMIF($N$3:$ZT$3,I$3,$N47:$ZT47)</f>
        <v>0</v>
      </c>
      <c r="J47" s="11" cm="1">
        <f t="array" ref="J47">MAX(IF($N$3:$EB$3=$J$3,N47:EB47))</f>
        <v>0</v>
      </c>
      <c r="K47" s="11" cm="1">
        <f t="array" ref="K47">MAX(IF($N$3:$EB$3=$J$3,N47:EB47))</f>
        <v>0</v>
      </c>
      <c r="L47" s="9"/>
      <c r="O47" s="10"/>
      <c r="P47" s="10"/>
      <c r="Q47" s="10"/>
      <c r="R47" s="10"/>
      <c r="V47" s="10"/>
      <c r="W47" s="10">
        <v>0.5</v>
      </c>
      <c r="X47" s="10"/>
      <c r="Y47" s="10">
        <v>0.5</v>
      </c>
      <c r="AC47" s="10"/>
      <c r="AD47" s="10">
        <v>0.5</v>
      </c>
      <c r="AE47" s="10"/>
      <c r="AF47" s="10">
        <v>0.5</v>
      </c>
      <c r="AJ47" s="10"/>
      <c r="AK47" s="10">
        <v>0.5</v>
      </c>
      <c r="AL47" s="10"/>
      <c r="AM47" s="10">
        <v>0.5</v>
      </c>
      <c r="AQ47" s="10"/>
      <c r="AR47" s="10">
        <v>0.8</v>
      </c>
      <c r="AS47" s="10"/>
      <c r="AT47" s="10">
        <v>0.8</v>
      </c>
      <c r="AX47" s="10"/>
      <c r="AY47" s="10">
        <v>0.8</v>
      </c>
      <c r="AZ47" s="10"/>
      <c r="BA47" s="10">
        <v>0.8</v>
      </c>
      <c r="BE47" s="10"/>
      <c r="BF47" s="10">
        <v>0.8</v>
      </c>
      <c r="BG47" s="10"/>
      <c r="BH47" s="10">
        <v>0.8</v>
      </c>
      <c r="BL47" s="10"/>
      <c r="BM47" s="10">
        <v>0.8</v>
      </c>
      <c r="BN47" s="10"/>
      <c r="BO47" s="10">
        <v>0.8</v>
      </c>
      <c r="BS47" s="10"/>
      <c r="BT47" s="10">
        <v>1</v>
      </c>
      <c r="BU47" s="10"/>
      <c r="BV47" s="10">
        <v>1</v>
      </c>
      <c r="BZ47" s="10"/>
      <c r="CA47" s="10">
        <v>1</v>
      </c>
      <c r="CB47" s="10"/>
      <c r="CC47" s="10">
        <v>1</v>
      </c>
      <c r="CG47" s="10"/>
      <c r="CH47" s="10">
        <v>1</v>
      </c>
      <c r="CI47" s="10"/>
      <c r="CJ47" s="10">
        <v>1</v>
      </c>
      <c r="CO47" s="10"/>
      <c r="CP47" s="10"/>
      <c r="CQ47" s="10"/>
      <c r="CR47" s="10"/>
      <c r="CU47" s="10"/>
      <c r="CV47" s="10"/>
      <c r="CW47" s="10"/>
      <c r="CX47" s="10"/>
      <c r="DB47" s="10"/>
      <c r="DC47" s="10"/>
      <c r="DD47" s="10"/>
      <c r="DE47" s="10"/>
    </row>
    <row r="48" spans="2:109" outlineLevel="1" x14ac:dyDescent="0.2">
      <c r="B48" t="s">
        <v>28</v>
      </c>
      <c r="C48" t="s">
        <v>120</v>
      </c>
      <c r="E48" s="9"/>
      <c r="F48" t="s">
        <v>153</v>
      </c>
      <c r="G48" s="10">
        <v>0.1</v>
      </c>
      <c r="I48" s="9">
        <f>+SUMIF($N$3:$ZT$3,I$3,$N48:$ZT48)</f>
        <v>0</v>
      </c>
      <c r="J48" s="11" cm="1">
        <f t="array" ref="J48">MAX(IF($N$3:$EB$3=$J$3,N48:EB48))</f>
        <v>0</v>
      </c>
      <c r="K48" s="11" cm="1">
        <f t="array" ref="K48">MAX(IF($N$3:$EB$3=$J$3,N48:EB48))</f>
        <v>0</v>
      </c>
      <c r="L48" s="9"/>
      <c r="O48" s="10"/>
      <c r="P48" s="10"/>
      <c r="Q48" s="10"/>
      <c r="R48" s="10"/>
      <c r="V48" s="10"/>
      <c r="W48" s="10">
        <v>0.5</v>
      </c>
      <c r="X48" s="10"/>
      <c r="Y48" s="10">
        <v>0.5</v>
      </c>
      <c r="AC48" s="10"/>
      <c r="AD48" s="10">
        <v>0.5</v>
      </c>
      <c r="AE48" s="10"/>
      <c r="AF48" s="10">
        <v>0.5</v>
      </c>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0.8</v>
      </c>
      <c r="BU48" s="10"/>
      <c r="BV48" s="10">
        <v>0.8</v>
      </c>
      <c r="BZ48" s="10"/>
      <c r="CA48" s="10">
        <v>1</v>
      </c>
      <c r="CB48" s="10"/>
      <c r="CC48" s="10">
        <v>1</v>
      </c>
      <c r="CG48" s="10"/>
      <c r="CH48" s="10">
        <v>1</v>
      </c>
      <c r="CI48" s="10"/>
      <c r="CJ48" s="10">
        <v>1</v>
      </c>
      <c r="CO48" s="10"/>
      <c r="CP48" s="10"/>
      <c r="CQ48" s="10"/>
      <c r="CR48" s="10"/>
      <c r="CU48" s="10"/>
      <c r="CV48" s="10"/>
      <c r="CW48" s="10"/>
      <c r="CX48" s="10"/>
      <c r="DB48" s="10"/>
      <c r="DC48" s="10"/>
      <c r="DD48" s="10"/>
      <c r="DE48" s="10"/>
    </row>
    <row r="49" spans="2:109" outlineLevel="1" x14ac:dyDescent="0.2">
      <c r="B49" t="s">
        <v>28</v>
      </c>
      <c r="C49" t="s">
        <v>120</v>
      </c>
      <c r="E49" s="9"/>
      <c r="F49" t="s">
        <v>154</v>
      </c>
      <c r="G49" s="10">
        <v>0.1</v>
      </c>
      <c r="I49" s="9">
        <f>+SUMIF($N$3:$ZT$3,I$3,$N49:$ZT49)</f>
        <v>0</v>
      </c>
      <c r="J49" s="11" cm="1">
        <f t="array" ref="J49">MAX(IF($N$3:$EB$3=$J$3,N49:EB49))</f>
        <v>0</v>
      </c>
      <c r="K49" s="11" cm="1">
        <f t="array" ref="K49">MAX(IF($N$3:$EB$3=$J$3,N49:EB49))</f>
        <v>0</v>
      </c>
      <c r="L49" s="9"/>
      <c r="O49" s="10"/>
      <c r="P49" s="10"/>
      <c r="Q49" s="10"/>
      <c r="R49" s="10"/>
      <c r="V49" s="10"/>
      <c r="W49" s="10"/>
      <c r="X49" s="10"/>
      <c r="Y49" s="10"/>
      <c r="AC49" s="10"/>
      <c r="AD49" s="10">
        <v>0.5</v>
      </c>
      <c r="AE49" s="10"/>
      <c r="AF49" s="10">
        <v>0.5</v>
      </c>
      <c r="AJ49" s="10"/>
      <c r="AK49" s="10">
        <v>0.5</v>
      </c>
      <c r="AL49" s="10"/>
      <c r="AM49" s="10">
        <v>0.5</v>
      </c>
      <c r="AQ49" s="10"/>
      <c r="AR49" s="10">
        <v>0.5</v>
      </c>
      <c r="AS49" s="10"/>
      <c r="AT49" s="10">
        <v>0.5</v>
      </c>
      <c r="AX49" s="10"/>
      <c r="AY49" s="10">
        <v>0.5</v>
      </c>
      <c r="AZ49" s="10"/>
      <c r="BA49" s="10">
        <v>0.5</v>
      </c>
      <c r="BE49" s="10"/>
      <c r="BF49" s="10">
        <v>0.8</v>
      </c>
      <c r="BG49" s="10"/>
      <c r="BH49" s="10">
        <v>0.8</v>
      </c>
      <c r="BL49" s="10"/>
      <c r="BM49" s="10">
        <v>0.8</v>
      </c>
      <c r="BN49" s="10"/>
      <c r="BO49" s="10">
        <v>0.8</v>
      </c>
      <c r="BS49" s="10"/>
      <c r="BT49" s="10">
        <v>0.8</v>
      </c>
      <c r="BU49" s="10"/>
      <c r="BV49" s="10">
        <v>0.8</v>
      </c>
      <c r="BZ49" s="10"/>
      <c r="CA49" s="10">
        <v>1</v>
      </c>
      <c r="CB49" s="10"/>
      <c r="CC49" s="10">
        <v>1</v>
      </c>
      <c r="CG49" s="10"/>
      <c r="CH49" s="10">
        <v>1</v>
      </c>
      <c r="CI49" s="10"/>
      <c r="CJ49" s="10">
        <v>1</v>
      </c>
      <c r="CO49" s="10"/>
      <c r="CP49" s="10"/>
      <c r="CQ49" s="10"/>
      <c r="CR49" s="10"/>
      <c r="CU49" s="10"/>
      <c r="CV49" s="10"/>
      <c r="CW49" s="10"/>
      <c r="CX49" s="10"/>
      <c r="DB49" s="10"/>
      <c r="DC49" s="10"/>
      <c r="DD49" s="10"/>
      <c r="DE49" s="10"/>
    </row>
    <row r="50" spans="2:109" outlineLevel="1" x14ac:dyDescent="0.2">
      <c r="B50" t="s">
        <v>28</v>
      </c>
      <c r="C50" t="s">
        <v>120</v>
      </c>
      <c r="E50" s="9"/>
      <c r="F50" t="s">
        <v>155</v>
      </c>
      <c r="G50" s="10">
        <v>0.1</v>
      </c>
      <c r="I50" s="9">
        <f>+SUMIF($N$3:$ZT$3,I$3,$N50:$ZT50)</f>
        <v>0</v>
      </c>
      <c r="J50" s="11" cm="1">
        <f t="array" ref="J50">MAX(IF($N$3:$EB$3=$J$3,N50:EB50))</f>
        <v>0</v>
      </c>
      <c r="K50" s="11" cm="1">
        <f t="array" ref="K50">MAX(IF($N$3:$EB$3=$J$3,N50:EB50))</f>
        <v>0</v>
      </c>
      <c r="L50" s="9"/>
      <c r="O50" s="10"/>
      <c r="P50" s="10"/>
      <c r="Q50" s="10"/>
      <c r="R50" s="10"/>
      <c r="V50" s="10"/>
      <c r="W50" s="10"/>
      <c r="X50" s="10"/>
      <c r="Y50" s="10"/>
      <c r="AC50" s="10"/>
      <c r="AD50" s="10"/>
      <c r="AE50" s="10"/>
      <c r="AF50" s="10"/>
      <c r="AJ50" s="10"/>
      <c r="AK50" s="10">
        <v>0.5</v>
      </c>
      <c r="AL50" s="10"/>
      <c r="AM50" s="10">
        <v>0.5</v>
      </c>
      <c r="AQ50" s="10"/>
      <c r="AR50" s="10">
        <v>0.5</v>
      </c>
      <c r="AS50" s="10"/>
      <c r="AT50" s="10">
        <v>0.5</v>
      </c>
      <c r="AX50" s="10"/>
      <c r="AY50" s="10">
        <v>0.5</v>
      </c>
      <c r="AZ50" s="10"/>
      <c r="BA50" s="10">
        <v>0.5</v>
      </c>
      <c r="BE50" s="10"/>
      <c r="BF50" s="10">
        <v>0.8</v>
      </c>
      <c r="BG50" s="10"/>
      <c r="BH50" s="10">
        <v>0.8</v>
      </c>
      <c r="BL50" s="10"/>
      <c r="BM50" s="10">
        <v>0.8</v>
      </c>
      <c r="BN50" s="10"/>
      <c r="BO50" s="10">
        <v>0.8</v>
      </c>
      <c r="BS50" s="10"/>
      <c r="BT50" s="10">
        <v>0.8</v>
      </c>
      <c r="BU50" s="10"/>
      <c r="BV50" s="10">
        <v>0.8</v>
      </c>
      <c r="BZ50" s="10"/>
      <c r="CA50" s="10">
        <v>1</v>
      </c>
      <c r="CB50" s="10"/>
      <c r="CC50" s="10">
        <v>1</v>
      </c>
      <c r="CG50" s="10"/>
      <c r="CH50" s="10">
        <v>1</v>
      </c>
      <c r="CI50" s="10"/>
      <c r="CJ50" s="10">
        <v>1</v>
      </c>
      <c r="CO50" s="10"/>
      <c r="CP50" s="10"/>
      <c r="CQ50" s="10"/>
      <c r="CR50" s="10"/>
      <c r="CU50" s="10"/>
      <c r="CV50" s="10"/>
      <c r="CW50" s="10"/>
      <c r="CX50" s="10"/>
      <c r="DB50" s="10"/>
      <c r="DC50" s="10"/>
      <c r="DD50" s="10"/>
      <c r="DE50" s="10"/>
    </row>
    <row r="51" spans="2:109" outlineLevel="1" x14ac:dyDescent="0.2">
      <c r="B51" t="s">
        <v>28</v>
      </c>
      <c r="C51" t="s">
        <v>120</v>
      </c>
      <c r="E51" s="9"/>
      <c r="F51" t="s">
        <v>156</v>
      </c>
      <c r="G51" s="10">
        <v>0.1</v>
      </c>
      <c r="I51" s="9">
        <f>+SUMIF($N$3:$ZT$3,I$3,$N51:$ZT51)</f>
        <v>0</v>
      </c>
      <c r="J51" s="11" cm="1">
        <f t="array" ref="J51">MAX(IF($N$3:$EB$3=$J$3,N51:EB51))</f>
        <v>0</v>
      </c>
      <c r="K51" s="11" cm="1">
        <f t="array" ref="K51">MAX(IF($N$3:$EB$3=$J$3,N51:EB51))</f>
        <v>0</v>
      </c>
      <c r="L51" s="9"/>
      <c r="O51" s="10"/>
      <c r="P51" s="10"/>
      <c r="Q51" s="10"/>
      <c r="R51" s="10"/>
      <c r="V51" s="10"/>
      <c r="W51" s="10"/>
      <c r="X51" s="10"/>
      <c r="Y51" s="10"/>
      <c r="AC51" s="10"/>
      <c r="AD51" s="10"/>
      <c r="AE51" s="10"/>
      <c r="AF51" s="10"/>
      <c r="AJ51" s="10"/>
      <c r="AK51" s="10"/>
      <c r="AL51" s="10"/>
      <c r="AM51" s="10"/>
      <c r="AQ51" s="10"/>
      <c r="AR51" s="10">
        <v>0.5</v>
      </c>
      <c r="AS51" s="10"/>
      <c r="AT51" s="10">
        <v>0.5</v>
      </c>
      <c r="AX51" s="10"/>
      <c r="AY51" s="10">
        <v>0.5</v>
      </c>
      <c r="AZ51" s="10"/>
      <c r="BA51" s="10">
        <v>0.5</v>
      </c>
      <c r="BE51" s="10"/>
      <c r="BF51" s="10">
        <v>0.5</v>
      </c>
      <c r="BG51" s="10"/>
      <c r="BH51" s="10">
        <v>0.5</v>
      </c>
      <c r="BL51" s="10"/>
      <c r="BM51" s="10">
        <v>0.8</v>
      </c>
      <c r="BN51" s="10"/>
      <c r="BO51" s="10">
        <v>0.8</v>
      </c>
      <c r="BS51" s="10"/>
      <c r="BT51" s="10">
        <v>0.8</v>
      </c>
      <c r="BU51" s="10"/>
      <c r="BV51" s="10">
        <v>0.8</v>
      </c>
      <c r="BZ51" s="10"/>
      <c r="CA51" s="10">
        <v>0.8</v>
      </c>
      <c r="CB51" s="10"/>
      <c r="CC51" s="10">
        <v>0.8</v>
      </c>
      <c r="CG51" s="10"/>
      <c r="CH51" s="10">
        <v>1</v>
      </c>
      <c r="CI51" s="10"/>
      <c r="CJ51" s="10">
        <v>1</v>
      </c>
      <c r="CO51" s="10"/>
      <c r="CP51" s="10"/>
      <c r="CQ51" s="10"/>
      <c r="CR51" s="10"/>
      <c r="CU51" s="10"/>
      <c r="CV51" s="10"/>
      <c r="CW51" s="10"/>
      <c r="CX51" s="10"/>
      <c r="DB51" s="10"/>
      <c r="DC51" s="10"/>
      <c r="DD51" s="10"/>
      <c r="DE51" s="10"/>
    </row>
    <row r="52" spans="2:109" outlineLevel="1" x14ac:dyDescent="0.2">
      <c r="B52" t="s">
        <v>28</v>
      </c>
      <c r="C52" t="s">
        <v>120</v>
      </c>
      <c r="E52" s="9"/>
      <c r="F52" t="s">
        <v>157</v>
      </c>
      <c r="G52" s="10">
        <v>0.1</v>
      </c>
      <c r="I52" s="9">
        <f>+SUMIF($N$3:$ZT$3,I$3,$N52:$ZT52)</f>
        <v>0</v>
      </c>
      <c r="J52" s="11" cm="1">
        <f t="array" ref="J52">MAX(IF($N$3:$EB$3=$J$3,N52:EB52))</f>
        <v>0</v>
      </c>
      <c r="K52" s="11" cm="1">
        <f t="array" ref="K52">MAX(IF($N$3:$EB$3=$J$3,N52:EB52))</f>
        <v>0</v>
      </c>
      <c r="L52" s="9"/>
      <c r="O52" s="10"/>
      <c r="P52" s="10"/>
      <c r="Q52" s="10"/>
      <c r="R52" s="10"/>
      <c r="V52" s="10"/>
      <c r="W52" s="10"/>
      <c r="X52" s="10"/>
      <c r="Y52" s="10"/>
      <c r="AC52" s="10"/>
      <c r="AD52" s="10"/>
      <c r="AE52" s="10"/>
      <c r="AF52" s="10"/>
      <c r="AJ52" s="10"/>
      <c r="AK52" s="10"/>
      <c r="AL52" s="10"/>
      <c r="AM52" s="10"/>
      <c r="AQ52" s="10"/>
      <c r="AR52" s="10"/>
      <c r="AS52" s="10"/>
      <c r="AT52" s="10"/>
      <c r="AX52" s="10"/>
      <c r="AY52" s="10">
        <v>0.5</v>
      </c>
      <c r="AZ52" s="10"/>
      <c r="BA52" s="10">
        <v>0.5</v>
      </c>
      <c r="BE52" s="10"/>
      <c r="BF52" s="10">
        <v>0.5</v>
      </c>
      <c r="BG52" s="10"/>
      <c r="BH52" s="10">
        <v>0.5</v>
      </c>
      <c r="BL52" s="10"/>
      <c r="BM52" s="10">
        <v>0.8</v>
      </c>
      <c r="BN52" s="10"/>
      <c r="BO52" s="10">
        <v>0.8</v>
      </c>
      <c r="BS52" s="10"/>
      <c r="BT52" s="10">
        <v>0.8</v>
      </c>
      <c r="BU52" s="10"/>
      <c r="BV52" s="10">
        <v>0.8</v>
      </c>
      <c r="BZ52" s="10"/>
      <c r="CA52" s="10">
        <v>0.8</v>
      </c>
      <c r="CB52" s="10"/>
      <c r="CC52" s="10">
        <v>0.8</v>
      </c>
      <c r="CG52" s="10"/>
      <c r="CH52" s="10">
        <v>1</v>
      </c>
      <c r="CI52" s="10"/>
      <c r="CJ52" s="10">
        <v>1</v>
      </c>
      <c r="CO52" s="10"/>
      <c r="CP52" s="10"/>
      <c r="CQ52" s="10"/>
      <c r="CR52" s="10"/>
      <c r="CU52" s="10"/>
      <c r="CV52" s="10"/>
      <c r="CW52" s="10"/>
      <c r="CX52" s="10"/>
      <c r="DB52" s="10"/>
      <c r="DC52" s="10"/>
      <c r="DD52" s="10"/>
      <c r="DE52" s="10"/>
    </row>
    <row r="53" spans="2:109" outlineLevel="1" x14ac:dyDescent="0.2">
      <c r="B53" t="s">
        <v>28</v>
      </c>
      <c r="C53" t="s">
        <v>120</v>
      </c>
      <c r="E53" s="9"/>
      <c r="F53" t="s">
        <v>158</v>
      </c>
      <c r="G53" s="10">
        <v>0.1</v>
      </c>
      <c r="I53" s="9">
        <f>+SUMIF($N$3:$ZT$3,I$3,$N53:$ZT53)</f>
        <v>0</v>
      </c>
      <c r="J53" s="11" cm="1">
        <f t="array" ref="J53">MAX(IF($N$3:$EB$3=$J$3,N53:EB53))</f>
        <v>0</v>
      </c>
      <c r="K53" s="11" cm="1">
        <f t="array" ref="K53">MAX(IF($N$3:$EB$3=$J$3,N53:EB53))</f>
        <v>0</v>
      </c>
      <c r="L53" s="9"/>
      <c r="O53" s="10"/>
      <c r="P53" s="10"/>
      <c r="Q53" s="10"/>
      <c r="R53" s="10"/>
      <c r="V53" s="10"/>
      <c r="W53" s="10"/>
      <c r="X53" s="10"/>
      <c r="Y53" s="10"/>
      <c r="AC53" s="10"/>
      <c r="AD53" s="10"/>
      <c r="AE53" s="10"/>
      <c r="AF53" s="10"/>
      <c r="AJ53" s="10"/>
      <c r="AK53" s="10"/>
      <c r="AL53" s="10"/>
      <c r="AM53" s="10"/>
      <c r="AQ53" s="10"/>
      <c r="AR53" s="10"/>
      <c r="AS53" s="10"/>
      <c r="AT53" s="10"/>
      <c r="AX53" s="10"/>
      <c r="AY53" s="10">
        <v>0.5</v>
      </c>
      <c r="AZ53" s="10"/>
      <c r="BA53" s="10">
        <v>0.5</v>
      </c>
      <c r="BE53" s="10"/>
      <c r="BF53" s="10">
        <v>0.5</v>
      </c>
      <c r="BG53" s="10"/>
      <c r="BH53" s="10">
        <v>0.5</v>
      </c>
      <c r="BL53" s="10"/>
      <c r="BM53" s="10">
        <v>0.5</v>
      </c>
      <c r="BN53" s="10"/>
      <c r="BO53" s="10">
        <v>0.5</v>
      </c>
      <c r="BS53" s="10"/>
      <c r="BT53" s="10">
        <v>0.8</v>
      </c>
      <c r="BU53" s="10"/>
      <c r="BV53" s="10">
        <v>0.8</v>
      </c>
      <c r="BZ53" s="10"/>
      <c r="CA53" s="10">
        <v>0.8</v>
      </c>
      <c r="CB53" s="10"/>
      <c r="CC53" s="10">
        <v>0.8</v>
      </c>
      <c r="CG53" s="10"/>
      <c r="CH53" s="10">
        <v>1</v>
      </c>
      <c r="CI53" s="10"/>
      <c r="CJ53" s="10">
        <v>1</v>
      </c>
      <c r="CO53" s="10"/>
      <c r="CP53" s="10"/>
      <c r="CQ53" s="10"/>
      <c r="CR53" s="10"/>
      <c r="CU53" s="10"/>
      <c r="CV53" s="10"/>
      <c r="CW53" s="10"/>
      <c r="CX53" s="10"/>
      <c r="DB53" s="10"/>
      <c r="DC53" s="10"/>
      <c r="DD53" s="10"/>
      <c r="DE53" s="10"/>
    </row>
    <row r="55" spans="2:109" x14ac:dyDescent="0.2">
      <c r="B55" t="s">
        <v>27</v>
      </c>
      <c r="C55" t="s">
        <v>91</v>
      </c>
      <c r="D55" s="19" t="s">
        <v>137</v>
      </c>
      <c r="E55" s="9">
        <v>6</v>
      </c>
      <c r="G55" s="10">
        <f>+SUM(G56:G65)</f>
        <v>0.89999999999999991</v>
      </c>
      <c r="I55" s="12">
        <f>+SUM(I56:I65)</f>
        <v>0</v>
      </c>
      <c r="J55" s="11">
        <f>+SUMPRODUCT(G56:G65,J56:J65)</f>
        <v>0</v>
      </c>
      <c r="K55" s="11">
        <f>+SUMPRODUCT(G56:G65,K56:K65)</f>
        <v>0</v>
      </c>
      <c r="L55" s="9"/>
      <c r="N55" s="12">
        <f>+SUM(N56:N65)</f>
        <v>0</v>
      </c>
      <c r="U55" s="12">
        <f>+SUM(U56:U65)</f>
        <v>0</v>
      </c>
      <c r="AB55" s="12">
        <f>+SUM(AB56:AB65)</f>
        <v>0</v>
      </c>
      <c r="AI55" s="12">
        <f>+SUM(AI56:AI65)</f>
        <v>0</v>
      </c>
      <c r="AP55" s="12">
        <f>+SUM(AP56:AP65)</f>
        <v>0</v>
      </c>
    </row>
    <row r="56" spans="2:109" outlineLevel="1" x14ac:dyDescent="0.2">
      <c r="B56" t="s">
        <v>28</v>
      </c>
      <c r="C56" t="s">
        <v>91</v>
      </c>
      <c r="E56" s="9"/>
      <c r="F56" t="s">
        <v>30</v>
      </c>
      <c r="G56" s="10">
        <v>0.1</v>
      </c>
      <c r="I56" s="9">
        <f>+SUMIF($N$3:$ZT$3,I$3,$N56:$ZT56)</f>
        <v>0</v>
      </c>
      <c r="J56" s="11" cm="1">
        <f t="array" ref="J56">MAX(IF($N$3:$EB$3=$J$3,N56:EB56))</f>
        <v>0</v>
      </c>
      <c r="K56" s="11" cm="1">
        <f t="array" ref="K56">MAX(IF($N$3:$EB$3=$J$3,N56:EB56))</f>
        <v>0</v>
      </c>
      <c r="L56" s="9"/>
      <c r="O56" s="10"/>
      <c r="P56" s="10">
        <v>0.5</v>
      </c>
      <c r="Q56" s="10"/>
      <c r="R56" s="10">
        <v>0.5</v>
      </c>
      <c r="V56" s="10"/>
      <c r="W56" s="10">
        <v>0.5</v>
      </c>
      <c r="X56" s="10"/>
      <c r="Y56" s="10">
        <v>0.5</v>
      </c>
      <c r="AC56" s="10"/>
      <c r="AD56" s="10">
        <v>0.8</v>
      </c>
      <c r="AE56" s="10"/>
      <c r="AF56" s="10">
        <v>0.8</v>
      </c>
      <c r="AJ56" s="10"/>
      <c r="AK56" s="10">
        <v>0.8</v>
      </c>
      <c r="AL56" s="10"/>
      <c r="AM56" s="10">
        <v>0.8</v>
      </c>
      <c r="AQ56" s="10"/>
      <c r="AR56" s="10">
        <v>0.8</v>
      </c>
      <c r="AS56" s="10"/>
      <c r="AT56" s="10">
        <v>0.8</v>
      </c>
      <c r="AX56" s="10"/>
      <c r="AY56" s="10">
        <v>1</v>
      </c>
      <c r="AZ56" s="10"/>
      <c r="BA56" s="10">
        <v>1</v>
      </c>
      <c r="BE56" s="10"/>
      <c r="BF56" s="10">
        <v>1</v>
      </c>
      <c r="BG56" s="10"/>
      <c r="BH56" s="10">
        <v>1</v>
      </c>
      <c r="BL56" s="10"/>
      <c r="BM56" s="10">
        <v>1</v>
      </c>
      <c r="BN56" s="10"/>
      <c r="BO56" s="10">
        <v>1</v>
      </c>
      <c r="BS56" s="10"/>
      <c r="BT56" s="10">
        <v>1</v>
      </c>
      <c r="BU56" s="10"/>
      <c r="BV56" s="10">
        <v>1</v>
      </c>
      <c r="BZ56" s="10"/>
      <c r="CA56" s="10">
        <v>1</v>
      </c>
      <c r="CB56" s="10"/>
      <c r="CC56" s="10">
        <v>1</v>
      </c>
      <c r="CG56" s="10"/>
      <c r="CH56" s="10">
        <v>1</v>
      </c>
      <c r="CI56" s="10"/>
      <c r="CJ56" s="10">
        <v>1</v>
      </c>
      <c r="CO56" s="10"/>
      <c r="CP56" s="10"/>
      <c r="CQ56" s="10"/>
      <c r="CR56" s="10"/>
      <c r="CU56" s="10"/>
      <c r="CV56" s="10"/>
      <c r="CW56" s="10"/>
      <c r="CX56" s="10"/>
      <c r="DB56" s="10"/>
      <c r="DC56" s="10"/>
      <c r="DD56" s="10"/>
      <c r="DE56" s="10"/>
    </row>
    <row r="57" spans="2:109" outlineLevel="1" x14ac:dyDescent="0.2">
      <c r="B57" t="s">
        <v>28</v>
      </c>
      <c r="C57" t="s">
        <v>91</v>
      </c>
      <c r="E57" s="9"/>
      <c r="F57" t="s">
        <v>124</v>
      </c>
      <c r="G57" s="10">
        <v>0.05</v>
      </c>
      <c r="I57" s="9">
        <f>+SUMIF($N$3:$ZT$3,I$3,$N57:$ZT57)</f>
        <v>0</v>
      </c>
      <c r="J57" s="11" cm="1">
        <f t="array" ref="J57">MAX(IF($N$3:$EB$3=$J$3,N57:EB57))</f>
        <v>0</v>
      </c>
      <c r="K57" s="11" cm="1">
        <f t="array" ref="K57">MAX(IF($N$3:$EB$3=$J$3,N57:EB57))</f>
        <v>0</v>
      </c>
      <c r="L57" s="9"/>
      <c r="O57" s="10"/>
      <c r="P57" s="10">
        <v>0.5</v>
      </c>
      <c r="Q57" s="10"/>
      <c r="R57" s="10">
        <v>0.5</v>
      </c>
      <c r="V57" s="10"/>
      <c r="W57" s="10">
        <v>0.5</v>
      </c>
      <c r="X57" s="10"/>
      <c r="Y57" s="10">
        <v>0.5</v>
      </c>
      <c r="AC57" s="10"/>
      <c r="AD57" s="10">
        <v>0.8</v>
      </c>
      <c r="AE57" s="10"/>
      <c r="AF57" s="10">
        <v>0.8</v>
      </c>
      <c r="AJ57" s="10"/>
      <c r="AK57" s="10">
        <v>0.8</v>
      </c>
      <c r="AL57" s="10"/>
      <c r="AM57" s="10">
        <v>0.8</v>
      </c>
      <c r="AQ57" s="10"/>
      <c r="AR57" s="10">
        <v>0.8</v>
      </c>
      <c r="AS57" s="10"/>
      <c r="AT57" s="10">
        <v>0.8</v>
      </c>
      <c r="AX57" s="10"/>
      <c r="AY57" s="10">
        <v>0.8</v>
      </c>
      <c r="AZ57" s="10"/>
      <c r="BA57" s="10">
        <v>0.8</v>
      </c>
      <c r="BE57" s="10"/>
      <c r="BF57" s="10">
        <v>1</v>
      </c>
      <c r="BG57" s="10"/>
      <c r="BH57" s="10">
        <v>1</v>
      </c>
      <c r="BL57" s="10"/>
      <c r="BM57" s="10">
        <v>1</v>
      </c>
      <c r="BN57" s="10"/>
      <c r="BO57" s="10">
        <v>1</v>
      </c>
      <c r="BS57" s="10"/>
      <c r="BT57" s="10">
        <v>1</v>
      </c>
      <c r="BU57" s="10"/>
      <c r="BV57" s="10">
        <v>1</v>
      </c>
      <c r="BZ57" s="10"/>
      <c r="CA57" s="10">
        <v>1</v>
      </c>
      <c r="CB57" s="10"/>
      <c r="CC57" s="10">
        <v>1</v>
      </c>
      <c r="CG57" s="10"/>
      <c r="CH57" s="10">
        <v>1</v>
      </c>
      <c r="CI57" s="10"/>
      <c r="CJ57" s="10">
        <v>1</v>
      </c>
      <c r="CO57" s="10"/>
      <c r="CP57" s="10"/>
      <c r="CQ57" s="10"/>
      <c r="CR57" s="10"/>
      <c r="CU57" s="10"/>
      <c r="CV57" s="10"/>
      <c r="CW57" s="10"/>
      <c r="CX57" s="10"/>
      <c r="DB57" s="10"/>
      <c r="DC57" s="10"/>
      <c r="DD57" s="10"/>
      <c r="DE57" s="10"/>
    </row>
    <row r="58" spans="2:109" outlineLevel="1" x14ac:dyDescent="0.2">
      <c r="B58" t="s">
        <v>28</v>
      </c>
      <c r="C58" t="s">
        <v>91</v>
      </c>
      <c r="E58" s="9"/>
      <c r="F58" t="s">
        <v>125</v>
      </c>
      <c r="G58" s="10">
        <v>0.05</v>
      </c>
      <c r="I58" s="9">
        <f>+SUMIF($N$3:$ZT$3,I$3,$N58:$ZT58)</f>
        <v>0</v>
      </c>
      <c r="J58" s="11" cm="1">
        <f t="array" ref="J58">MAX(IF($N$3:$EB$3=$J$3,N58:EB58))</f>
        <v>0</v>
      </c>
      <c r="K58" s="11" cm="1">
        <f t="array" ref="K58">MAX(IF($N$3:$EB$3=$J$3,N58:EB58))</f>
        <v>0</v>
      </c>
      <c r="L58" s="9"/>
      <c r="O58" s="10"/>
      <c r="P58" s="10">
        <v>0.5</v>
      </c>
      <c r="Q58" s="10"/>
      <c r="R58" s="10">
        <v>0.5</v>
      </c>
      <c r="V58" s="10"/>
      <c r="W58" s="10">
        <v>0.5</v>
      </c>
      <c r="X58" s="10"/>
      <c r="Y58" s="10">
        <v>0.5</v>
      </c>
      <c r="AC58" s="10"/>
      <c r="AD58" s="10">
        <v>0.8</v>
      </c>
      <c r="AE58" s="10"/>
      <c r="AF58" s="10">
        <v>0.8</v>
      </c>
      <c r="AJ58" s="10"/>
      <c r="AK58" s="10">
        <v>0.8</v>
      </c>
      <c r="AL58" s="10"/>
      <c r="AM58" s="10">
        <v>0.8</v>
      </c>
      <c r="AQ58" s="10"/>
      <c r="AR58" s="10">
        <v>0.8</v>
      </c>
      <c r="AS58" s="10"/>
      <c r="AT58" s="10">
        <v>0.8</v>
      </c>
      <c r="AX58" s="10"/>
      <c r="AY58" s="10">
        <v>0.8</v>
      </c>
      <c r="AZ58" s="10"/>
      <c r="BA58" s="10">
        <v>0.8</v>
      </c>
      <c r="BE58" s="10"/>
      <c r="BF58" s="10">
        <v>1</v>
      </c>
      <c r="BG58" s="10"/>
      <c r="BH58" s="10">
        <v>1</v>
      </c>
      <c r="BL58" s="10"/>
      <c r="BM58" s="10">
        <v>1</v>
      </c>
      <c r="BN58" s="10"/>
      <c r="BO58" s="10">
        <v>1</v>
      </c>
      <c r="BS58" s="10"/>
      <c r="BT58" s="10">
        <v>1</v>
      </c>
      <c r="BU58" s="10"/>
      <c r="BV58" s="10">
        <v>1</v>
      </c>
      <c r="BZ58" s="10"/>
      <c r="CA58" s="10">
        <v>1</v>
      </c>
      <c r="CB58" s="10"/>
      <c r="CC58" s="10">
        <v>1</v>
      </c>
      <c r="CG58" s="10"/>
      <c r="CH58" s="10">
        <v>1</v>
      </c>
      <c r="CI58" s="10"/>
      <c r="CJ58" s="10">
        <v>1</v>
      </c>
      <c r="CO58" s="10"/>
      <c r="CP58" s="10"/>
      <c r="CQ58" s="10"/>
      <c r="CR58" s="10"/>
      <c r="CU58" s="10"/>
      <c r="CV58" s="10"/>
      <c r="CW58" s="10"/>
      <c r="CX58" s="10"/>
      <c r="DB58" s="10"/>
      <c r="DC58" s="10"/>
      <c r="DD58" s="10"/>
      <c r="DE58" s="10"/>
    </row>
    <row r="59" spans="2:109" outlineLevel="1" x14ac:dyDescent="0.2">
      <c r="B59" t="s">
        <v>28</v>
      </c>
      <c r="C59" t="s">
        <v>91</v>
      </c>
      <c r="E59" s="9"/>
      <c r="F59" t="s">
        <v>126</v>
      </c>
      <c r="G59" s="10">
        <v>0.1</v>
      </c>
      <c r="I59" s="9">
        <f>+SUMIF($N$3:$ZT$3,I$3,$N59:$ZT59)</f>
        <v>0</v>
      </c>
      <c r="J59" s="11" cm="1">
        <f t="array" ref="J59">MAX(IF($N$3:$EB$3=$J$3,N59:EB59))</f>
        <v>0</v>
      </c>
      <c r="K59" s="11" cm="1">
        <f t="array" ref="K59">MAX(IF($N$3:$EB$3=$J$3,N59:EB59))</f>
        <v>0</v>
      </c>
      <c r="L59" s="9"/>
      <c r="O59" s="10"/>
      <c r="P59" s="10">
        <v>0.5</v>
      </c>
      <c r="Q59" s="10"/>
      <c r="R59" s="10">
        <v>0.5</v>
      </c>
      <c r="V59" s="10"/>
      <c r="W59" s="10">
        <v>0.5</v>
      </c>
      <c r="X59" s="10"/>
      <c r="Y59" s="10">
        <v>0.5</v>
      </c>
      <c r="AC59" s="10"/>
      <c r="AD59" s="10">
        <v>0.5</v>
      </c>
      <c r="AE59" s="10"/>
      <c r="AF59" s="10">
        <v>0.5</v>
      </c>
      <c r="AJ59" s="10"/>
      <c r="AK59" s="10">
        <v>0.8</v>
      </c>
      <c r="AL59" s="10"/>
      <c r="AM59" s="10">
        <v>0.8</v>
      </c>
      <c r="AQ59" s="10"/>
      <c r="AR59" s="10">
        <v>0.8</v>
      </c>
      <c r="AS59" s="10"/>
      <c r="AT59" s="10">
        <v>0.8</v>
      </c>
      <c r="AX59" s="10"/>
      <c r="AY59" s="10">
        <v>0.8</v>
      </c>
      <c r="AZ59" s="10"/>
      <c r="BA59" s="10">
        <v>0.8</v>
      </c>
      <c r="BE59" s="10"/>
      <c r="BF59" s="10">
        <v>0.8</v>
      </c>
      <c r="BG59" s="10"/>
      <c r="BH59" s="10">
        <v>0.8</v>
      </c>
      <c r="BL59" s="10"/>
      <c r="BM59" s="10">
        <v>1</v>
      </c>
      <c r="BN59" s="10"/>
      <c r="BO59" s="10">
        <v>1</v>
      </c>
      <c r="BS59" s="10"/>
      <c r="BT59" s="10">
        <v>1</v>
      </c>
      <c r="BU59" s="10"/>
      <c r="BV59" s="10">
        <v>1</v>
      </c>
      <c r="BZ59" s="10"/>
      <c r="CA59" s="10">
        <v>1</v>
      </c>
      <c r="CB59" s="10"/>
      <c r="CC59" s="10">
        <v>1</v>
      </c>
      <c r="CG59" s="10"/>
      <c r="CH59" s="10">
        <v>1</v>
      </c>
      <c r="CI59" s="10"/>
      <c r="CJ59" s="10">
        <v>1</v>
      </c>
      <c r="CO59" s="10"/>
      <c r="CP59" s="10"/>
      <c r="CQ59" s="10"/>
      <c r="CR59" s="10"/>
      <c r="CU59" s="10"/>
      <c r="CV59" s="10"/>
      <c r="CW59" s="10"/>
      <c r="CX59" s="10"/>
      <c r="DB59" s="10"/>
      <c r="DC59" s="10"/>
      <c r="DD59" s="10"/>
      <c r="DE59" s="10"/>
    </row>
    <row r="60" spans="2:109" outlineLevel="1" x14ac:dyDescent="0.2">
      <c r="B60" t="s">
        <v>28</v>
      </c>
      <c r="C60" t="s">
        <v>91</v>
      </c>
      <c r="E60" s="9"/>
      <c r="F60" t="s">
        <v>127</v>
      </c>
      <c r="G60" s="10">
        <v>0.1</v>
      </c>
      <c r="I60" s="9">
        <f>+SUMIF($N$3:$ZT$3,I$3,$N60:$ZT60)</f>
        <v>0</v>
      </c>
      <c r="J60" s="11" cm="1">
        <f t="array" ref="J60">MAX(IF($N$3:$EB$3=$J$3,N60:EB60))</f>
        <v>0</v>
      </c>
      <c r="K60" s="11" cm="1">
        <f t="array" ref="K60">MAX(IF($N$3:$EB$3=$J$3,N60:EB60))</f>
        <v>0</v>
      </c>
      <c r="L60" s="9"/>
      <c r="O60" s="10"/>
      <c r="P60" s="10">
        <v>0.5</v>
      </c>
      <c r="Q60" s="10"/>
      <c r="R60" s="10">
        <v>0.5</v>
      </c>
      <c r="V60" s="10"/>
      <c r="W60" s="10">
        <v>0.5</v>
      </c>
      <c r="X60" s="10"/>
      <c r="Y60" s="10">
        <v>0.5</v>
      </c>
      <c r="AC60" s="10"/>
      <c r="AD60" s="10">
        <v>0.5</v>
      </c>
      <c r="AE60" s="10"/>
      <c r="AF60" s="10">
        <v>0.5</v>
      </c>
      <c r="AJ60" s="10"/>
      <c r="AK60" s="10">
        <v>0.8</v>
      </c>
      <c r="AL60" s="10"/>
      <c r="AM60" s="10">
        <v>0.8</v>
      </c>
      <c r="AQ60" s="10"/>
      <c r="AR60" s="10">
        <v>0.8</v>
      </c>
      <c r="AS60" s="10"/>
      <c r="AT60" s="10">
        <v>0.8</v>
      </c>
      <c r="AX60" s="10"/>
      <c r="AY60" s="10">
        <v>0.8</v>
      </c>
      <c r="AZ60" s="10"/>
      <c r="BA60" s="10">
        <v>0.8</v>
      </c>
      <c r="BE60" s="10"/>
      <c r="BF60" s="10">
        <v>0.8</v>
      </c>
      <c r="BG60" s="10"/>
      <c r="BH60" s="10">
        <v>0.8</v>
      </c>
      <c r="BL60" s="10"/>
      <c r="BM60" s="10">
        <v>1</v>
      </c>
      <c r="BN60" s="10"/>
      <c r="BO60" s="10">
        <v>1</v>
      </c>
      <c r="BS60" s="10"/>
      <c r="BT60" s="10">
        <v>1</v>
      </c>
      <c r="BU60" s="10"/>
      <c r="BV60" s="10">
        <v>1</v>
      </c>
      <c r="BZ60" s="10"/>
      <c r="CA60" s="10">
        <v>1</v>
      </c>
      <c r="CB60" s="10"/>
      <c r="CC60" s="10">
        <v>1</v>
      </c>
      <c r="CG60" s="10"/>
      <c r="CH60" s="10">
        <v>1</v>
      </c>
      <c r="CI60" s="10"/>
      <c r="CJ60" s="10">
        <v>1</v>
      </c>
      <c r="CO60" s="10"/>
      <c r="CP60" s="10"/>
      <c r="CQ60" s="10"/>
      <c r="CR60" s="10"/>
      <c r="CU60" s="10"/>
      <c r="CV60" s="10"/>
      <c r="CW60" s="10"/>
      <c r="CX60" s="10"/>
      <c r="DB60" s="10"/>
      <c r="DC60" s="10"/>
      <c r="DD60" s="10"/>
      <c r="DE60" s="10"/>
    </row>
    <row r="61" spans="2:109" outlineLevel="1" x14ac:dyDescent="0.2">
      <c r="B61" t="s">
        <v>28</v>
      </c>
      <c r="C61" t="s">
        <v>91</v>
      </c>
      <c r="E61" s="9"/>
      <c r="F61" t="s">
        <v>128</v>
      </c>
      <c r="G61" s="10">
        <v>0.1</v>
      </c>
      <c r="I61" s="9">
        <f>+SUMIF($N$3:$ZT$3,I$3,$N61:$ZT61)</f>
        <v>0</v>
      </c>
      <c r="J61" s="11" cm="1">
        <f t="array" ref="J61">MAX(IF($N$3:$EB$3=$J$3,N61:EB61))</f>
        <v>0</v>
      </c>
      <c r="K61" s="11" cm="1">
        <f t="array" ref="K61">MAX(IF($N$3:$EB$3=$J$3,N61:EB61))</f>
        <v>0</v>
      </c>
      <c r="L61" s="9"/>
      <c r="O61" s="10"/>
      <c r="P61" s="10"/>
      <c r="Q61" s="10"/>
      <c r="V61" s="10"/>
      <c r="W61" s="10">
        <v>0.5</v>
      </c>
      <c r="X61" s="10"/>
      <c r="Y61" s="10">
        <v>0.5</v>
      </c>
      <c r="AC61" s="10"/>
      <c r="AD61" s="10">
        <v>0.5</v>
      </c>
      <c r="AE61" s="10"/>
      <c r="AF61" s="10">
        <v>0.5</v>
      </c>
      <c r="AJ61" s="10"/>
      <c r="AK61" s="10">
        <v>0.5</v>
      </c>
      <c r="AL61" s="10"/>
      <c r="AM61" s="10">
        <v>0.5</v>
      </c>
      <c r="AQ61" s="10"/>
      <c r="AR61" s="10">
        <v>0.8</v>
      </c>
      <c r="AS61" s="10"/>
      <c r="AT61" s="10">
        <v>0.8</v>
      </c>
      <c r="AX61" s="10"/>
      <c r="AY61" s="10">
        <v>0.8</v>
      </c>
      <c r="AZ61" s="10"/>
      <c r="BA61" s="10">
        <v>0.8</v>
      </c>
      <c r="BE61" s="10"/>
      <c r="BF61" s="10">
        <v>0.8</v>
      </c>
      <c r="BG61" s="10"/>
      <c r="BH61" s="10">
        <v>0.8</v>
      </c>
      <c r="BL61" s="10"/>
      <c r="BM61" s="10">
        <v>0.8</v>
      </c>
      <c r="BN61" s="10"/>
      <c r="BO61" s="10">
        <v>0.8</v>
      </c>
      <c r="BS61" s="10"/>
      <c r="BT61" s="10">
        <v>1</v>
      </c>
      <c r="BU61" s="10"/>
      <c r="BV61" s="10">
        <v>1</v>
      </c>
      <c r="BZ61" s="10"/>
      <c r="CA61" s="10">
        <v>1</v>
      </c>
      <c r="CB61" s="10"/>
      <c r="CC61" s="10">
        <v>1</v>
      </c>
      <c r="CG61" s="10"/>
      <c r="CH61" s="10">
        <v>1</v>
      </c>
      <c r="CI61" s="10"/>
      <c r="CJ61" s="10">
        <v>1</v>
      </c>
      <c r="CO61" s="10"/>
      <c r="CP61" s="10"/>
      <c r="CQ61" s="10"/>
      <c r="CR61" s="10"/>
      <c r="CU61" s="10"/>
      <c r="CV61" s="10"/>
      <c r="CW61" s="10"/>
      <c r="CX61" s="10"/>
      <c r="DB61" s="10"/>
      <c r="DC61" s="10"/>
      <c r="DD61" s="10"/>
      <c r="DE61" s="10"/>
    </row>
    <row r="62" spans="2:109" outlineLevel="1" x14ac:dyDescent="0.2">
      <c r="B62" t="s">
        <v>28</v>
      </c>
      <c r="C62" t="s">
        <v>91</v>
      </c>
      <c r="E62" s="9"/>
      <c r="F62" t="s">
        <v>129</v>
      </c>
      <c r="G62" s="10">
        <v>0.1</v>
      </c>
      <c r="I62" s="9">
        <f>+SUMIF($N$3:$ZT$3,I$3,$N62:$ZT62)</f>
        <v>0</v>
      </c>
      <c r="J62" s="11" cm="1">
        <f t="array" ref="J62">MAX(IF($N$3:$EB$3=$J$3,N62:EB62))</f>
        <v>0</v>
      </c>
      <c r="K62" s="11" cm="1">
        <f t="array" ref="K62">MAX(IF($N$3:$EB$3=$J$3,N62:EB62))</f>
        <v>0</v>
      </c>
      <c r="L62" s="9"/>
      <c r="O62" s="10"/>
      <c r="P62" s="10"/>
      <c r="Q62" s="10"/>
      <c r="R62" s="10"/>
      <c r="V62" s="10"/>
      <c r="W62" s="10">
        <v>0.5</v>
      </c>
      <c r="X62" s="10"/>
      <c r="Y62" s="10">
        <v>0.5</v>
      </c>
      <c r="AC62" s="10"/>
      <c r="AD62" s="10">
        <v>0.5</v>
      </c>
      <c r="AE62" s="10"/>
      <c r="AF62" s="10">
        <v>0.5</v>
      </c>
      <c r="AJ62" s="10"/>
      <c r="AK62" s="10">
        <v>0.5</v>
      </c>
      <c r="AL62" s="10"/>
      <c r="AM62" s="10">
        <v>0.5</v>
      </c>
      <c r="AQ62" s="10"/>
      <c r="AR62" s="10">
        <v>0.8</v>
      </c>
      <c r="AS62" s="10"/>
      <c r="AT62" s="10">
        <v>0.8</v>
      </c>
      <c r="AX62" s="10"/>
      <c r="AY62" s="10">
        <v>0.8</v>
      </c>
      <c r="AZ62" s="10"/>
      <c r="BA62" s="10">
        <v>0.8</v>
      </c>
      <c r="BE62" s="10"/>
      <c r="BF62" s="10">
        <v>0.8</v>
      </c>
      <c r="BG62" s="10"/>
      <c r="BH62" s="10">
        <v>0.8</v>
      </c>
      <c r="BL62" s="10"/>
      <c r="BM62" s="10">
        <v>0.8</v>
      </c>
      <c r="BN62" s="10"/>
      <c r="BO62" s="10">
        <v>0.8</v>
      </c>
      <c r="BS62" s="10"/>
      <c r="BT62" s="10">
        <v>1</v>
      </c>
      <c r="BU62" s="10"/>
      <c r="BV62" s="10">
        <v>1</v>
      </c>
      <c r="BZ62" s="10"/>
      <c r="CA62" s="10">
        <v>1</v>
      </c>
      <c r="CB62" s="10"/>
      <c r="CC62" s="10">
        <v>1</v>
      </c>
      <c r="CG62" s="10"/>
      <c r="CH62" s="10">
        <v>1</v>
      </c>
      <c r="CI62" s="10"/>
      <c r="CJ62" s="10">
        <v>1</v>
      </c>
      <c r="CO62" s="10"/>
      <c r="CP62" s="10"/>
      <c r="CQ62" s="10"/>
      <c r="CR62" s="10"/>
      <c r="CU62" s="10"/>
      <c r="CV62" s="10"/>
      <c r="CW62" s="10"/>
      <c r="CX62" s="10"/>
      <c r="DB62" s="10"/>
      <c r="DC62" s="10"/>
      <c r="DD62" s="10"/>
      <c r="DE62" s="10"/>
    </row>
    <row r="63" spans="2:109" outlineLevel="1" x14ac:dyDescent="0.2">
      <c r="B63" t="s">
        <v>28</v>
      </c>
      <c r="C63" t="s">
        <v>91</v>
      </c>
      <c r="E63" s="9"/>
      <c r="F63" t="s">
        <v>130</v>
      </c>
      <c r="G63" s="10">
        <v>0.1</v>
      </c>
      <c r="I63" s="9">
        <f>+SUMIF($N$3:$ZT$3,I$3,$N63:$ZT63)</f>
        <v>0</v>
      </c>
      <c r="J63" s="11" cm="1">
        <f t="array" ref="J63">MAX(IF($N$3:$EB$3=$J$3,N63:EB63))</f>
        <v>0</v>
      </c>
      <c r="K63" s="11" cm="1">
        <f t="array" ref="K63">MAX(IF($N$3:$EB$3=$J$3,N63:EB63))</f>
        <v>0</v>
      </c>
      <c r="L63" s="9"/>
      <c r="O63" s="10"/>
      <c r="P63" s="10"/>
      <c r="Q63" s="10"/>
      <c r="R63" s="10"/>
      <c r="V63" s="10"/>
      <c r="W63" s="10">
        <v>0.5</v>
      </c>
      <c r="X63" s="10"/>
      <c r="Y63" s="10">
        <v>0.5</v>
      </c>
      <c r="AC63" s="10"/>
      <c r="AD63" s="10">
        <v>0.5</v>
      </c>
      <c r="AE63" s="10"/>
      <c r="AF63" s="10">
        <v>0.5</v>
      </c>
      <c r="AJ63" s="10"/>
      <c r="AK63" s="10">
        <v>0.5</v>
      </c>
      <c r="AL63" s="10"/>
      <c r="AM63" s="10">
        <v>0.5</v>
      </c>
      <c r="AQ63" s="10"/>
      <c r="AR63" s="10">
        <v>0.8</v>
      </c>
      <c r="AS63" s="10"/>
      <c r="AT63" s="10">
        <v>0.8</v>
      </c>
      <c r="AX63" s="10"/>
      <c r="AY63" s="10">
        <v>0.8</v>
      </c>
      <c r="AZ63" s="10"/>
      <c r="BA63" s="10">
        <v>0.8</v>
      </c>
      <c r="BE63" s="10"/>
      <c r="BF63" s="10">
        <v>0.8</v>
      </c>
      <c r="BG63" s="10"/>
      <c r="BH63" s="10">
        <v>0.8</v>
      </c>
      <c r="BL63" s="10"/>
      <c r="BM63" s="10">
        <v>0.8</v>
      </c>
      <c r="BN63" s="10"/>
      <c r="BO63" s="10">
        <v>0.8</v>
      </c>
      <c r="BS63" s="10"/>
      <c r="BT63" s="10">
        <v>1</v>
      </c>
      <c r="BU63" s="10"/>
      <c r="BV63" s="10">
        <v>1</v>
      </c>
      <c r="BZ63" s="10"/>
      <c r="CA63" s="10">
        <v>1</v>
      </c>
      <c r="CB63" s="10"/>
      <c r="CC63" s="10">
        <v>1</v>
      </c>
      <c r="CG63" s="10"/>
      <c r="CH63" s="10">
        <v>1</v>
      </c>
      <c r="CI63" s="10"/>
      <c r="CJ63" s="10">
        <v>1</v>
      </c>
      <c r="CO63" s="10"/>
      <c r="CP63" s="10"/>
      <c r="CQ63" s="10"/>
      <c r="CR63" s="10"/>
      <c r="CU63" s="10"/>
      <c r="CV63" s="10"/>
      <c r="CW63" s="10"/>
      <c r="CX63" s="10"/>
      <c r="DB63" s="10"/>
      <c r="DC63" s="10"/>
      <c r="DD63" s="10"/>
      <c r="DE63" s="10"/>
    </row>
    <row r="64" spans="2:109" outlineLevel="1" x14ac:dyDescent="0.2">
      <c r="B64" t="s">
        <v>28</v>
      </c>
      <c r="C64" t="s">
        <v>91</v>
      </c>
      <c r="E64" s="9"/>
      <c r="F64" t="s">
        <v>131</v>
      </c>
      <c r="G64" s="10">
        <v>0.1</v>
      </c>
      <c r="I64" s="9">
        <f>+SUMIF($N$3:$ZT$3,I$3,$N64:$ZT64)</f>
        <v>0</v>
      </c>
      <c r="J64" s="11" cm="1">
        <f t="array" ref="J64">MAX(IF($N$3:$EB$3=$J$3,N64:EB64))</f>
        <v>0</v>
      </c>
      <c r="K64" s="11" cm="1">
        <f t="array" ref="K64">MAX(IF($N$3:$EB$3=$J$3,N64:EB64))</f>
        <v>0</v>
      </c>
      <c r="L64" s="9"/>
      <c r="O64" s="10"/>
      <c r="P64" s="10"/>
      <c r="Q64" s="10"/>
      <c r="R64" s="10"/>
      <c r="V64" s="10"/>
      <c r="W64" s="10">
        <v>0.5</v>
      </c>
      <c r="X64" s="10"/>
      <c r="Y64" s="10">
        <v>0.5</v>
      </c>
      <c r="AC64" s="10"/>
      <c r="AD64" s="10">
        <v>0.5</v>
      </c>
      <c r="AE64" s="10"/>
      <c r="AF64" s="10">
        <v>0.5</v>
      </c>
      <c r="AJ64" s="10"/>
      <c r="AK64" s="10">
        <v>0.5</v>
      </c>
      <c r="AL64" s="10"/>
      <c r="AM64" s="10">
        <v>0.5</v>
      </c>
      <c r="AQ64" s="10"/>
      <c r="AR64" s="10">
        <v>0.5</v>
      </c>
      <c r="AS64" s="10"/>
      <c r="AT64" s="10">
        <v>0.5</v>
      </c>
      <c r="AX64" s="10"/>
      <c r="AY64" s="10">
        <v>0.8</v>
      </c>
      <c r="AZ64" s="10"/>
      <c r="BA64" s="10">
        <v>0.8</v>
      </c>
      <c r="BE64" s="10"/>
      <c r="BF64" s="10">
        <v>0.8</v>
      </c>
      <c r="BG64" s="10"/>
      <c r="BH64" s="10">
        <v>0.8</v>
      </c>
      <c r="BL64" s="10"/>
      <c r="BM64" s="10">
        <v>0.8</v>
      </c>
      <c r="BN64" s="10"/>
      <c r="BO64" s="10">
        <v>0.8</v>
      </c>
      <c r="BS64" s="10"/>
      <c r="BT64" s="10">
        <v>0.8</v>
      </c>
      <c r="BU64" s="10"/>
      <c r="BV64" s="10">
        <v>0.8</v>
      </c>
      <c r="BZ64" s="10"/>
      <c r="CA64" s="10">
        <v>1</v>
      </c>
      <c r="CB64" s="10"/>
      <c r="CC64" s="10">
        <v>1</v>
      </c>
      <c r="CG64" s="10"/>
      <c r="CH64" s="10">
        <v>1</v>
      </c>
      <c r="CI64" s="10"/>
      <c r="CJ64" s="10">
        <v>1</v>
      </c>
      <c r="CO64" s="10"/>
      <c r="CP64" s="10"/>
      <c r="CQ64" s="10"/>
      <c r="CR64" s="10"/>
      <c r="CU64" s="10"/>
      <c r="CV64" s="10"/>
      <c r="CW64" s="10"/>
      <c r="CX64" s="10"/>
      <c r="DB64" s="10"/>
      <c r="DC64" s="10"/>
      <c r="DD64" s="10"/>
      <c r="DE64" s="10"/>
    </row>
    <row r="65" spans="2:109" outlineLevel="1" x14ac:dyDescent="0.2">
      <c r="B65" t="s">
        <v>28</v>
      </c>
      <c r="C65" t="s">
        <v>91</v>
      </c>
      <c r="E65" s="9"/>
      <c r="F65" t="s">
        <v>132</v>
      </c>
      <c r="G65" s="10">
        <v>0.1</v>
      </c>
      <c r="I65" s="9">
        <f>+SUMIF($N$3:$ZT$3,I$3,$N65:$ZT65)</f>
        <v>0</v>
      </c>
      <c r="J65" s="11" cm="1">
        <f t="array" ref="J65">MAX(IF($N$3:$EB$3=$J$3,N65:EB65))</f>
        <v>0</v>
      </c>
      <c r="K65" s="11" cm="1">
        <f t="array" ref="K65">MAX(IF($N$3:$EB$3=$J$3,N65:EB65))</f>
        <v>0</v>
      </c>
      <c r="L65" s="9"/>
      <c r="O65" s="10"/>
      <c r="P65" s="10"/>
      <c r="Q65" s="10"/>
      <c r="R65" s="10"/>
      <c r="V65" s="10"/>
      <c r="W65" s="10"/>
      <c r="X65" s="10"/>
      <c r="Y65" s="10"/>
      <c r="AC65" s="10"/>
      <c r="AD65" s="10">
        <v>0.5</v>
      </c>
      <c r="AE65" s="10"/>
      <c r="AF65" s="10">
        <v>0.5</v>
      </c>
      <c r="AJ65" s="10"/>
      <c r="AK65" s="10">
        <v>0.5</v>
      </c>
      <c r="AL65" s="10"/>
      <c r="AM65" s="10">
        <v>0.5</v>
      </c>
      <c r="AQ65" s="10"/>
      <c r="AR65" s="10">
        <v>0.5</v>
      </c>
      <c r="AS65" s="10"/>
      <c r="AT65" s="10">
        <v>0.5</v>
      </c>
      <c r="AX65" s="10"/>
      <c r="AY65" s="10">
        <v>0.8</v>
      </c>
      <c r="AZ65" s="10"/>
      <c r="BA65" s="10">
        <v>0.8</v>
      </c>
      <c r="BE65" s="10"/>
      <c r="BF65" s="10">
        <v>0.8</v>
      </c>
      <c r="BG65" s="10"/>
      <c r="BH65" s="10">
        <v>0.8</v>
      </c>
      <c r="BL65" s="10"/>
      <c r="BM65" s="10">
        <v>0.8</v>
      </c>
      <c r="BN65" s="10"/>
      <c r="BO65" s="10">
        <v>0.8</v>
      </c>
      <c r="BS65" s="10"/>
      <c r="BT65" s="10">
        <v>0.8</v>
      </c>
      <c r="BU65" s="10"/>
      <c r="BV65" s="10">
        <v>0.8</v>
      </c>
      <c r="BZ65" s="10"/>
      <c r="CA65" s="10">
        <v>1</v>
      </c>
      <c r="CB65" s="10"/>
      <c r="CC65" s="10">
        <v>1</v>
      </c>
      <c r="CG65" s="10"/>
      <c r="CH65" s="10">
        <v>1</v>
      </c>
      <c r="CI65" s="10"/>
      <c r="CJ65" s="10">
        <v>1</v>
      </c>
      <c r="CO65" s="10"/>
      <c r="CP65" s="10"/>
      <c r="CQ65" s="10"/>
      <c r="CR65" s="10"/>
      <c r="CU65" s="10"/>
      <c r="CV65" s="10"/>
      <c r="CW65" s="10"/>
      <c r="CX65" s="10"/>
      <c r="DB65" s="10"/>
      <c r="DC65" s="10"/>
      <c r="DD65" s="10"/>
      <c r="DE65" s="10"/>
    </row>
    <row r="66" spans="2:109" outlineLevel="1" x14ac:dyDescent="0.2">
      <c r="B66" t="s">
        <v>28</v>
      </c>
      <c r="C66" t="s">
        <v>91</v>
      </c>
      <c r="E66" s="9"/>
      <c r="F66" t="s">
        <v>133</v>
      </c>
      <c r="G66" s="10">
        <v>0.1</v>
      </c>
      <c r="I66" s="9">
        <f>+SUMIF($N$3:$ZT$3,I$3,$N66:$ZT66)</f>
        <v>0</v>
      </c>
      <c r="J66" s="11" cm="1">
        <f t="array" ref="J66">MAX(IF($N$3:$EB$3=$J$3,N66:EB66))</f>
        <v>0</v>
      </c>
      <c r="K66" s="11" cm="1">
        <f t="array" ref="K66">MAX(IF($N$3:$EB$3=$J$3,N66:EB66))</f>
        <v>0</v>
      </c>
      <c r="L66" s="9"/>
      <c r="O66" s="10"/>
      <c r="P66" s="10"/>
      <c r="Q66" s="10"/>
      <c r="R66" s="10"/>
      <c r="V66" s="10"/>
      <c r="W66" s="10"/>
      <c r="X66" s="10"/>
      <c r="Y66" s="10"/>
      <c r="AC66" s="10"/>
      <c r="AD66" s="10">
        <v>0.5</v>
      </c>
      <c r="AE66" s="10"/>
      <c r="AF66" s="10">
        <v>0.5</v>
      </c>
      <c r="AJ66" s="10"/>
      <c r="AK66" s="10">
        <v>0.5</v>
      </c>
      <c r="AL66" s="10"/>
      <c r="AM66" s="10">
        <v>0.5</v>
      </c>
      <c r="AQ66" s="10"/>
      <c r="AR66" s="10">
        <v>0.5</v>
      </c>
      <c r="AS66" s="10"/>
      <c r="AT66" s="10">
        <v>0.5</v>
      </c>
      <c r="AX66" s="10"/>
      <c r="AY66" s="10">
        <v>0.8</v>
      </c>
      <c r="AZ66" s="10"/>
      <c r="BA66" s="10">
        <v>0.8</v>
      </c>
      <c r="BE66" s="10"/>
      <c r="BF66" s="10">
        <v>0.8</v>
      </c>
      <c r="BG66" s="10"/>
      <c r="BH66" s="10">
        <v>0.8</v>
      </c>
      <c r="BL66" s="10"/>
      <c r="BM66" s="10">
        <v>0.8</v>
      </c>
      <c r="BN66" s="10"/>
      <c r="BO66" s="10">
        <v>0.8</v>
      </c>
      <c r="BS66" s="10"/>
      <c r="BT66" s="10">
        <v>0.8</v>
      </c>
      <c r="BU66" s="10"/>
      <c r="BV66" s="10">
        <v>0.8</v>
      </c>
      <c r="BZ66" s="10"/>
      <c r="CA66" s="10">
        <v>1</v>
      </c>
      <c r="CB66" s="10"/>
      <c r="CC66" s="10">
        <v>1</v>
      </c>
      <c r="CG66" s="10"/>
      <c r="CH66" s="10">
        <v>1</v>
      </c>
      <c r="CI66" s="10"/>
      <c r="CJ66" s="10">
        <v>1</v>
      </c>
      <c r="CO66" s="10"/>
      <c r="CP66" s="10"/>
      <c r="CQ66" s="10"/>
      <c r="CR66" s="10"/>
      <c r="CU66" s="10"/>
      <c r="CV66" s="10"/>
      <c r="CW66" s="10"/>
      <c r="CX66" s="10"/>
      <c r="DB66" s="10"/>
      <c r="DC66" s="10"/>
      <c r="DD66" s="10"/>
      <c r="DE66" s="10"/>
    </row>
    <row r="67" spans="2:109" outlineLevel="1" x14ac:dyDescent="0.2">
      <c r="B67" t="s">
        <v>28</v>
      </c>
      <c r="C67" t="s">
        <v>91</v>
      </c>
      <c r="E67" s="9"/>
      <c r="F67" t="s">
        <v>123</v>
      </c>
      <c r="G67" s="10">
        <v>0.1</v>
      </c>
      <c r="I67" s="9">
        <f>+SUMIF($N$3:$ZT$3,I$3,$N67:$ZT67)</f>
        <v>0</v>
      </c>
      <c r="J67" s="11" cm="1">
        <f t="array" ref="J67">MAX(IF($N$3:$EB$3=$J$3,N67:EB67))</f>
        <v>0</v>
      </c>
      <c r="K67" s="11" cm="1">
        <f t="array" ref="K67">MAX(IF($N$3:$EB$3=$J$3,N67:EB67))</f>
        <v>0</v>
      </c>
      <c r="L67" s="9"/>
      <c r="O67" s="10"/>
      <c r="P67" s="10"/>
      <c r="Q67" s="10"/>
      <c r="R67" s="10"/>
      <c r="V67" s="10"/>
      <c r="W67" s="10"/>
      <c r="X67" s="10"/>
      <c r="Y67" s="10"/>
      <c r="AC67" s="10"/>
      <c r="AD67" s="10"/>
      <c r="AE67" s="10"/>
      <c r="AF67" s="10"/>
      <c r="AJ67" s="10"/>
      <c r="AK67" s="10">
        <v>0.5</v>
      </c>
      <c r="AL67" s="10"/>
      <c r="AM67" s="10">
        <v>0.5</v>
      </c>
      <c r="AQ67" s="10"/>
      <c r="AR67" s="10">
        <v>0.5</v>
      </c>
      <c r="AS67" s="10"/>
      <c r="AT67" s="10">
        <v>0.5</v>
      </c>
      <c r="AX67" s="10"/>
      <c r="AY67" s="10">
        <v>0.5</v>
      </c>
      <c r="AZ67" s="10"/>
      <c r="BA67" s="10">
        <v>0.5</v>
      </c>
      <c r="BE67" s="10"/>
      <c r="BF67" s="10">
        <v>0.8</v>
      </c>
      <c r="BG67" s="10"/>
      <c r="BH67" s="10">
        <v>0.8</v>
      </c>
      <c r="BL67" s="10"/>
      <c r="BM67" s="10">
        <v>0.8</v>
      </c>
      <c r="BN67" s="10"/>
      <c r="BO67" s="10">
        <v>0.8</v>
      </c>
      <c r="BS67" s="10"/>
      <c r="BT67" s="10">
        <v>0.8</v>
      </c>
      <c r="BU67" s="10"/>
      <c r="BV67" s="10">
        <v>0.8</v>
      </c>
      <c r="BZ67" s="10"/>
      <c r="CA67" s="10">
        <v>0.8</v>
      </c>
      <c r="CB67" s="10"/>
      <c r="CC67" s="10">
        <v>0.8</v>
      </c>
      <c r="CG67" s="10"/>
      <c r="CH67" s="10">
        <v>1</v>
      </c>
      <c r="CI67" s="10"/>
      <c r="CJ67" s="10">
        <v>1</v>
      </c>
      <c r="CO67" s="10"/>
      <c r="CP67" s="10"/>
      <c r="CQ67" s="10"/>
      <c r="CR67" s="10"/>
      <c r="CU67" s="10"/>
      <c r="CV67" s="10"/>
      <c r="CW67" s="10"/>
      <c r="CX67" s="10"/>
      <c r="DB67" s="10"/>
      <c r="DC67" s="10"/>
      <c r="DD67" s="10"/>
      <c r="DE67" s="10"/>
    </row>
    <row r="68" spans="2:109" outlineLevel="1" x14ac:dyDescent="0.2">
      <c r="B68" t="s">
        <v>28</v>
      </c>
      <c r="C68" t="s">
        <v>91</v>
      </c>
      <c r="E68" s="9"/>
      <c r="F68" t="s">
        <v>134</v>
      </c>
      <c r="G68" s="10">
        <v>0.1</v>
      </c>
      <c r="I68" s="9">
        <f>+SUMIF($N$3:$ZT$3,I$3,$N68:$ZT68)</f>
        <v>0</v>
      </c>
      <c r="J68" s="11" cm="1">
        <f t="array" ref="J68">MAX(IF($N$3:$EB$3=$J$3,N68:EB68))</f>
        <v>0</v>
      </c>
      <c r="K68" s="11" cm="1">
        <f t="array" ref="K68">MAX(IF($N$3:$EB$3=$J$3,N68:EB68))</f>
        <v>0</v>
      </c>
      <c r="L68" s="9"/>
      <c r="O68" s="10"/>
      <c r="P68" s="10"/>
      <c r="Q68" s="10"/>
      <c r="R68" s="10"/>
      <c r="V68" s="10"/>
      <c r="W68" s="10"/>
      <c r="X68" s="10"/>
      <c r="Y68" s="10"/>
      <c r="AC68" s="10"/>
      <c r="AD68" s="10"/>
      <c r="AE68" s="10"/>
      <c r="AF68" s="10"/>
      <c r="AJ68" s="10"/>
      <c r="AK68" s="10"/>
      <c r="AL68" s="10"/>
      <c r="AM68" s="10"/>
      <c r="AN68" s="10"/>
      <c r="AO68" s="10"/>
      <c r="AP68" s="10"/>
      <c r="AQ68" s="10"/>
      <c r="AR68" s="10">
        <v>0.5</v>
      </c>
      <c r="AS68" s="10"/>
      <c r="AT68" s="10">
        <v>0.5</v>
      </c>
      <c r="AX68" s="10"/>
      <c r="AY68" s="10">
        <v>0.5</v>
      </c>
      <c r="AZ68" s="10"/>
      <c r="BA68" s="10">
        <v>0.5</v>
      </c>
      <c r="BE68" s="10"/>
      <c r="BF68" s="10">
        <v>0.8</v>
      </c>
      <c r="BG68" s="10"/>
      <c r="BH68" s="10">
        <v>0.8</v>
      </c>
      <c r="BL68" s="10"/>
      <c r="BM68" s="10">
        <v>0.8</v>
      </c>
      <c r="BN68" s="10"/>
      <c r="BO68" s="10">
        <v>0.8</v>
      </c>
      <c r="BS68" s="10"/>
      <c r="BT68" s="10">
        <v>0.8</v>
      </c>
      <c r="BU68" s="10"/>
      <c r="BV68" s="10">
        <v>0.8</v>
      </c>
      <c r="BZ68" s="10"/>
      <c r="CA68" s="10">
        <v>0.8</v>
      </c>
      <c r="CB68" s="10"/>
      <c r="CC68" s="10">
        <v>0.8</v>
      </c>
      <c r="CG68" s="10"/>
      <c r="CH68" s="10">
        <v>1</v>
      </c>
      <c r="CI68" s="10"/>
      <c r="CJ68" s="10">
        <v>1</v>
      </c>
      <c r="CO68" s="10"/>
      <c r="CP68" s="10"/>
      <c r="CQ68" s="10"/>
      <c r="CR68" s="10"/>
      <c r="CU68" s="10"/>
      <c r="CV68" s="10"/>
      <c r="CW68" s="10"/>
      <c r="CX68" s="10"/>
      <c r="DB68" s="10"/>
      <c r="DC68" s="10"/>
      <c r="DD68" s="10"/>
      <c r="DE68" s="10"/>
    </row>
    <row r="69" spans="2:109" outlineLevel="1" x14ac:dyDescent="0.2">
      <c r="B69" t="s">
        <v>28</v>
      </c>
      <c r="C69" t="s">
        <v>91</v>
      </c>
      <c r="E69" s="9"/>
      <c r="F69" t="s">
        <v>135</v>
      </c>
      <c r="G69" s="10">
        <v>0.1</v>
      </c>
      <c r="I69" s="9">
        <f>+SUMIF($N$3:$ZT$3,I$3,$N69:$ZT69)</f>
        <v>0</v>
      </c>
      <c r="J69" s="11" cm="1">
        <f t="array" ref="J69">MAX(IF($N$3:$EB$3=$J$3,N69:EB69))</f>
        <v>0</v>
      </c>
      <c r="K69" s="11" cm="1">
        <f t="array" ref="K69">MAX(IF($N$3:$EB$3=$J$3,N69:EB69))</f>
        <v>0</v>
      </c>
      <c r="L69" s="9"/>
      <c r="O69" s="10"/>
      <c r="P69" s="10"/>
      <c r="Q69" s="10"/>
      <c r="R69" s="10"/>
      <c r="V69" s="10"/>
      <c r="W69" s="10"/>
      <c r="X69" s="10"/>
      <c r="Y69" s="10"/>
      <c r="AC69" s="10"/>
      <c r="AD69" s="10"/>
      <c r="AE69" s="10"/>
      <c r="AF69" s="10"/>
      <c r="AJ69" s="10"/>
      <c r="AK69" s="10"/>
      <c r="AL69" s="10"/>
      <c r="AM69" s="10"/>
      <c r="AQ69" s="10"/>
      <c r="AR69" s="10">
        <v>0.5</v>
      </c>
      <c r="AS69" s="10"/>
      <c r="AT69" s="10">
        <v>0.5</v>
      </c>
      <c r="AX69" s="10"/>
      <c r="AY69" s="10">
        <v>0.5</v>
      </c>
      <c r="AZ69" s="10"/>
      <c r="BA69" s="10">
        <v>0.5</v>
      </c>
      <c r="BE69" s="10"/>
      <c r="BF69" s="10">
        <v>0.5</v>
      </c>
      <c r="BG69" s="10"/>
      <c r="BH69" s="10">
        <v>0.5</v>
      </c>
      <c r="BL69" s="10"/>
      <c r="BM69" s="10">
        <v>0.8</v>
      </c>
      <c r="BN69" s="10"/>
      <c r="BO69" s="10">
        <v>0.8</v>
      </c>
      <c r="BS69" s="10"/>
      <c r="BT69" s="10">
        <v>0.8</v>
      </c>
      <c r="BU69" s="10"/>
      <c r="BV69" s="10">
        <v>0.8</v>
      </c>
      <c r="BZ69" s="10"/>
      <c r="CA69" s="10">
        <v>0.8</v>
      </c>
      <c r="CB69" s="10"/>
      <c r="CC69" s="10">
        <v>0.8</v>
      </c>
      <c r="CG69" s="10"/>
      <c r="CH69" s="10">
        <v>1</v>
      </c>
      <c r="CI69" s="10"/>
      <c r="CJ69" s="10">
        <v>1</v>
      </c>
      <c r="CO69" s="10"/>
      <c r="CP69" s="10"/>
      <c r="CQ69" s="10"/>
      <c r="CR69" s="10"/>
      <c r="CU69" s="10"/>
      <c r="CV69" s="10"/>
      <c r="CW69" s="10"/>
      <c r="CX69" s="10"/>
      <c r="DB69" s="10"/>
      <c r="DC69" s="10"/>
      <c r="DD69" s="10"/>
      <c r="DE69" s="10"/>
    </row>
    <row r="70" spans="2:109" outlineLevel="1" x14ac:dyDescent="0.2">
      <c r="B70" t="s">
        <v>28</v>
      </c>
      <c r="C70" t="s">
        <v>91</v>
      </c>
      <c r="E70" s="9"/>
      <c r="F70" t="s">
        <v>136</v>
      </c>
      <c r="G70" s="10">
        <v>0.1</v>
      </c>
      <c r="I70" s="9">
        <f>+SUMIF($N$3:$ZT$3,I$3,$N70:$ZT70)</f>
        <v>0</v>
      </c>
      <c r="J70" s="11" cm="1">
        <f t="array" ref="J70">MAX(IF($N$3:$EB$3=$J$3,N70:EB70))</f>
        <v>0</v>
      </c>
      <c r="K70" s="11" cm="1">
        <f t="array" ref="K70">MAX(IF($N$3:$EB$3=$J$3,N70:EB70))</f>
        <v>0</v>
      </c>
      <c r="L70" s="9"/>
      <c r="O70" s="10"/>
      <c r="P70" s="10"/>
      <c r="Q70" s="10"/>
      <c r="R70" s="10"/>
      <c r="V70" s="10"/>
      <c r="W70" s="10"/>
      <c r="X70" s="10"/>
      <c r="Y70" s="10"/>
      <c r="AC70" s="10"/>
      <c r="AD70" s="10"/>
      <c r="AE70" s="10"/>
      <c r="AF70" s="10"/>
      <c r="AJ70" s="10"/>
      <c r="AK70" s="10"/>
      <c r="AL70" s="10"/>
      <c r="AM70" s="10"/>
      <c r="AQ70" s="10"/>
      <c r="AR70" s="10"/>
      <c r="AS70" s="10"/>
      <c r="AT70" s="10"/>
      <c r="AX70" s="10"/>
      <c r="AY70" s="10">
        <v>0.5</v>
      </c>
      <c r="AZ70" s="10"/>
      <c r="BA70" s="10">
        <v>0.5</v>
      </c>
      <c r="BE70" s="10"/>
      <c r="BF70" s="10">
        <v>0.5</v>
      </c>
      <c r="BG70" s="10"/>
      <c r="BH70" s="10">
        <v>0.5</v>
      </c>
      <c r="BL70" s="10"/>
      <c r="BM70" s="10">
        <v>0.5</v>
      </c>
      <c r="BN70" s="10"/>
      <c r="BO70" s="10">
        <v>0.5</v>
      </c>
      <c r="BS70" s="10"/>
      <c r="BT70" s="10">
        <v>0.8</v>
      </c>
      <c r="BU70" s="10"/>
      <c r="BV70" s="10">
        <v>0.8</v>
      </c>
      <c r="BZ70" s="10"/>
      <c r="CA70" s="10">
        <v>0.8</v>
      </c>
      <c r="CB70" s="10"/>
      <c r="CC70" s="10">
        <v>0.8</v>
      </c>
      <c r="CG70" s="10"/>
      <c r="CH70" s="10">
        <v>1</v>
      </c>
      <c r="CI70" s="10"/>
      <c r="CJ70" s="10">
        <v>1</v>
      </c>
      <c r="CO70" s="10"/>
      <c r="CP70" s="10"/>
      <c r="CQ70" s="10"/>
      <c r="CR70" s="10"/>
      <c r="CU70" s="10"/>
      <c r="CV70" s="10"/>
      <c r="CW70" s="10"/>
      <c r="CX70" s="10"/>
      <c r="DB70" s="10"/>
      <c r="DC70" s="10"/>
      <c r="DD70" s="10"/>
      <c r="DE70" s="10"/>
    </row>
    <row r="71" spans="2:109" outlineLevel="1" x14ac:dyDescent="0.2">
      <c r="E71" s="9"/>
      <c r="G71" s="10"/>
      <c r="I71" s="9"/>
      <c r="J71" s="11"/>
      <c r="K71" s="11"/>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O71" s="10"/>
      <c r="CP71" s="10"/>
      <c r="CQ71" s="10"/>
      <c r="CR71" s="10"/>
      <c r="CU71" s="10"/>
      <c r="CV71" s="10"/>
      <c r="CW71" s="10"/>
      <c r="CX71" s="10"/>
      <c r="DB71" s="10"/>
      <c r="DC71" s="10"/>
      <c r="DD71" s="10"/>
      <c r="DE71" s="10"/>
    </row>
    <row r="72" spans="2:109" outlineLevel="1" x14ac:dyDescent="0.2">
      <c r="E72" s="9"/>
      <c r="G72" s="10"/>
      <c r="I72" s="9"/>
      <c r="J72" s="11"/>
      <c r="K72" s="11"/>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O72" s="10"/>
      <c r="CP72" s="10"/>
      <c r="CQ72" s="10"/>
      <c r="CR72" s="10"/>
      <c r="CU72" s="10"/>
      <c r="CV72" s="10"/>
      <c r="CW72" s="10"/>
      <c r="CX72" s="10"/>
      <c r="DB72" s="10"/>
      <c r="DC72" s="10"/>
      <c r="DD72" s="10"/>
      <c r="DE72" s="10"/>
    </row>
    <row r="73" spans="2:109" outlineLevel="1" x14ac:dyDescent="0.2">
      <c r="E73" s="9"/>
      <c r="G73" s="10"/>
      <c r="I73" s="9"/>
      <c r="J73" s="11"/>
      <c r="K73" s="11"/>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O73" s="10"/>
      <c r="CP73" s="10"/>
      <c r="CQ73" s="10"/>
      <c r="CR73" s="10"/>
      <c r="CU73" s="10"/>
      <c r="CV73" s="10"/>
      <c r="CW73" s="10"/>
      <c r="CX73" s="10"/>
      <c r="DB73" s="10"/>
      <c r="DC73" s="10"/>
      <c r="DD73" s="10"/>
      <c r="DE73" s="10"/>
    </row>
    <row r="74" spans="2:109" outlineLevel="1" x14ac:dyDescent="0.2">
      <c r="E74" s="9"/>
      <c r="G74" s="10"/>
      <c r="I74" s="9"/>
      <c r="J74" s="11"/>
      <c r="K74" s="11"/>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O74" s="10"/>
      <c r="CP74" s="10"/>
      <c r="CQ74" s="10"/>
      <c r="CR74" s="10"/>
      <c r="CU74" s="10"/>
      <c r="CV74" s="10"/>
      <c r="CW74" s="10"/>
      <c r="CX74" s="10"/>
      <c r="DB74" s="10"/>
      <c r="DC74" s="10"/>
      <c r="DD74" s="10"/>
      <c r="DE74" s="10"/>
    </row>
    <row r="75" spans="2:109" outlineLevel="1" x14ac:dyDescent="0.2">
      <c r="E75" s="9"/>
      <c r="G75" s="10"/>
      <c r="I75" s="9"/>
      <c r="J75" s="11"/>
      <c r="K75" s="11"/>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c r="BU75" s="10"/>
      <c r="BV75" s="10"/>
      <c r="BZ75" s="10"/>
      <c r="CA75" s="10"/>
      <c r="CB75" s="10"/>
      <c r="CC75" s="10"/>
      <c r="CG75" s="10"/>
      <c r="CH75" s="10"/>
      <c r="CI75" s="10"/>
      <c r="CJ75" s="10"/>
      <c r="CO75" s="10"/>
      <c r="CP75" s="10"/>
      <c r="CQ75" s="10"/>
      <c r="CR75" s="10"/>
      <c r="CU75" s="10"/>
      <c r="CV75" s="10"/>
      <c r="CW75" s="10"/>
      <c r="CX75" s="10"/>
      <c r="DB75" s="10"/>
      <c r="DC75" s="10"/>
      <c r="DD75" s="10"/>
      <c r="DE75" s="10"/>
    </row>
    <row r="76" spans="2:109" outlineLevel="1" x14ac:dyDescent="0.2">
      <c r="E76" s="9"/>
      <c r="G76" s="10"/>
      <c r="I76" s="9"/>
      <c r="J76" s="11"/>
      <c r="K76" s="11"/>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c r="BU76" s="10"/>
      <c r="BV76" s="10"/>
      <c r="BZ76" s="10"/>
      <c r="CA76" s="10"/>
      <c r="CB76" s="10"/>
      <c r="CC76" s="10"/>
      <c r="CG76" s="10"/>
      <c r="CH76" s="10"/>
      <c r="CI76" s="10"/>
      <c r="CJ76" s="10"/>
      <c r="CO76" s="10"/>
      <c r="CP76" s="10"/>
      <c r="CQ76" s="10"/>
      <c r="CR76" s="10"/>
      <c r="CU76" s="10"/>
      <c r="CV76" s="10"/>
      <c r="CW76" s="10"/>
      <c r="CX76" s="10"/>
      <c r="DB76" s="10"/>
      <c r="DC76" s="10"/>
      <c r="DD76" s="10"/>
      <c r="DE76" s="10"/>
    </row>
    <row r="78" spans="2:109" x14ac:dyDescent="0.2">
      <c r="D78" s="19"/>
      <c r="E78" s="9"/>
      <c r="G78" s="10"/>
      <c r="I78" s="12"/>
      <c r="J78" s="11"/>
      <c r="K78" s="11"/>
      <c r="L78" s="9"/>
      <c r="N78" s="12"/>
      <c r="U78" s="12"/>
      <c r="AB78" s="12"/>
      <c r="AI78" s="12"/>
      <c r="AP78" s="12"/>
    </row>
    <row r="79" spans="2:109" outlineLevel="1" x14ac:dyDescent="0.2">
      <c r="E79" s="9"/>
      <c r="G79" s="10"/>
      <c r="I79" s="9"/>
      <c r="J79" s="11"/>
      <c r="K79" s="11"/>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O79" s="10"/>
      <c r="CP79" s="10"/>
      <c r="CQ79" s="10"/>
      <c r="CR79" s="10"/>
      <c r="CU79" s="10"/>
      <c r="CV79" s="10"/>
      <c r="CW79" s="10"/>
      <c r="CX79" s="10"/>
      <c r="DB79" s="10"/>
      <c r="DC79" s="10"/>
      <c r="DD79" s="10"/>
      <c r="DE79" s="10"/>
    </row>
    <row r="80" spans="2:109" outlineLevel="1" x14ac:dyDescent="0.2">
      <c r="E80" s="9"/>
      <c r="G80" s="10"/>
      <c r="I80" s="9"/>
      <c r="J80" s="11"/>
      <c r="K80" s="11"/>
      <c r="L80" s="9"/>
      <c r="O80" s="10"/>
      <c r="P80" s="10"/>
      <c r="Q80" s="10"/>
      <c r="R80" s="10"/>
      <c r="V80" s="10"/>
      <c r="W80" s="10"/>
      <c r="X80" s="10"/>
      <c r="Y80" s="10"/>
      <c r="AC80" s="10"/>
      <c r="AD80" s="10"/>
      <c r="AE80" s="10"/>
      <c r="AF80" s="10"/>
      <c r="AJ80" s="10"/>
      <c r="AK80" s="10"/>
      <c r="AL80" s="10"/>
      <c r="AM80" s="10"/>
      <c r="AQ80" s="10"/>
      <c r="AR80" s="10"/>
      <c r="AS80" s="10"/>
      <c r="AT80" s="10"/>
      <c r="AX80" s="10"/>
      <c r="AY80" s="10"/>
      <c r="AZ80" s="10"/>
      <c r="BA80" s="10"/>
      <c r="BE80" s="10"/>
      <c r="BF80" s="10"/>
      <c r="BG80" s="10"/>
      <c r="BH80" s="10"/>
      <c r="BL80" s="10"/>
      <c r="BM80" s="10"/>
      <c r="BN80" s="10"/>
      <c r="BO80" s="10"/>
      <c r="BS80" s="10"/>
      <c r="BT80" s="10"/>
      <c r="BU80" s="10"/>
      <c r="BV80" s="10"/>
      <c r="BZ80" s="10"/>
      <c r="CA80" s="10"/>
      <c r="CB80" s="10"/>
      <c r="CC80" s="10"/>
      <c r="CG80" s="10"/>
      <c r="CH80" s="10"/>
      <c r="CI80" s="10"/>
      <c r="CJ80" s="10"/>
      <c r="CO80" s="10"/>
      <c r="CP80" s="10"/>
      <c r="CQ80" s="10"/>
      <c r="CR80" s="10"/>
      <c r="CU80" s="10"/>
      <c r="CV80" s="10"/>
      <c r="CW80" s="10"/>
      <c r="CX80" s="10"/>
      <c r="DB80" s="10"/>
      <c r="DC80" s="10"/>
      <c r="DD80" s="10"/>
      <c r="DE80" s="10"/>
    </row>
    <row r="81" spans="5:109" outlineLevel="1" x14ac:dyDescent="0.2">
      <c r="E81" s="9"/>
      <c r="G81" s="10"/>
      <c r="I81" s="9"/>
      <c r="J81" s="11"/>
      <c r="K81" s="11"/>
      <c r="L81" s="9"/>
      <c r="O81" s="10"/>
      <c r="P81" s="10"/>
      <c r="Q81" s="10"/>
      <c r="R81" s="10"/>
      <c r="V81" s="10"/>
      <c r="W81" s="10"/>
      <c r="X81" s="10"/>
      <c r="Y81" s="10"/>
      <c r="AC81" s="10"/>
      <c r="AD81" s="10"/>
      <c r="AE81" s="10"/>
      <c r="AF81" s="10"/>
      <c r="AJ81" s="10"/>
      <c r="AK81" s="10"/>
      <c r="AL81" s="10"/>
      <c r="AM81" s="10"/>
      <c r="AQ81" s="10"/>
      <c r="AR81" s="10"/>
      <c r="AS81" s="10"/>
      <c r="AT81" s="10"/>
      <c r="AX81" s="10"/>
      <c r="AY81" s="10"/>
      <c r="AZ81" s="10"/>
      <c r="BA81" s="10"/>
      <c r="BE81" s="10"/>
      <c r="BF81" s="10"/>
      <c r="BG81" s="10"/>
      <c r="BH81" s="10"/>
      <c r="BL81" s="10"/>
      <c r="BM81" s="10"/>
      <c r="BN81" s="10"/>
      <c r="BO81" s="10"/>
      <c r="BS81" s="10"/>
      <c r="BT81" s="10"/>
      <c r="BU81" s="10"/>
      <c r="BV81" s="10"/>
      <c r="BZ81" s="10"/>
      <c r="CA81" s="10"/>
      <c r="CB81" s="10"/>
      <c r="CC81" s="10"/>
      <c r="CG81" s="10"/>
      <c r="CH81" s="10"/>
      <c r="CI81" s="10"/>
      <c r="CJ81" s="10"/>
      <c r="CO81" s="10"/>
      <c r="CP81" s="10"/>
      <c r="CQ81" s="10"/>
      <c r="CR81" s="10"/>
      <c r="CU81" s="10"/>
      <c r="CV81" s="10"/>
      <c r="CW81" s="10"/>
      <c r="CX81" s="10"/>
      <c r="DB81" s="10"/>
      <c r="DC81" s="10"/>
      <c r="DD81" s="10"/>
      <c r="DE81" s="10"/>
    </row>
    <row r="82" spans="5:109" outlineLevel="1" x14ac:dyDescent="0.2">
      <c r="E82" s="9"/>
      <c r="G82" s="10"/>
      <c r="I82" s="9"/>
      <c r="J82" s="11"/>
      <c r="K82" s="11"/>
      <c r="L82" s="9"/>
      <c r="O82" s="10"/>
      <c r="P82" s="10"/>
      <c r="Q82" s="10"/>
      <c r="R82" s="10"/>
      <c r="V82" s="10"/>
      <c r="W82" s="10"/>
      <c r="X82" s="10"/>
      <c r="Y82" s="10"/>
      <c r="AC82" s="10"/>
      <c r="AD82" s="10"/>
      <c r="AE82" s="10"/>
      <c r="AF82" s="10"/>
      <c r="AJ82" s="10"/>
      <c r="AK82" s="10"/>
      <c r="AL82" s="10"/>
      <c r="AM82" s="10"/>
      <c r="AQ82" s="10"/>
      <c r="AR82" s="10"/>
      <c r="AS82" s="10"/>
      <c r="AT82" s="10"/>
      <c r="AX82" s="10"/>
      <c r="AY82" s="10"/>
      <c r="AZ82" s="10"/>
      <c r="BA82" s="10"/>
      <c r="BE82" s="10"/>
      <c r="BF82" s="10"/>
      <c r="BG82" s="10"/>
      <c r="BH82" s="10"/>
      <c r="BL82" s="10"/>
      <c r="BM82" s="10"/>
      <c r="BN82" s="10"/>
      <c r="BO82" s="10"/>
      <c r="BS82" s="10"/>
      <c r="BT82" s="10"/>
      <c r="BU82" s="10"/>
      <c r="BV82" s="10"/>
      <c r="BZ82" s="10"/>
      <c r="CA82" s="10"/>
      <c r="CB82" s="10"/>
      <c r="CC82" s="10"/>
      <c r="CG82" s="10"/>
      <c r="CH82" s="10"/>
      <c r="CI82" s="10"/>
      <c r="CJ82" s="10"/>
      <c r="CO82" s="10"/>
      <c r="CP82" s="10"/>
      <c r="CQ82" s="10"/>
      <c r="CR82" s="10"/>
      <c r="CU82" s="10"/>
      <c r="CV82" s="10"/>
      <c r="CW82" s="10"/>
      <c r="CX82" s="10"/>
      <c r="DB82" s="10"/>
      <c r="DC82" s="10"/>
      <c r="DD82" s="10"/>
      <c r="DE82" s="10"/>
    </row>
    <row r="83" spans="5:109" outlineLevel="1" x14ac:dyDescent="0.2">
      <c r="E83" s="9"/>
      <c r="G83" s="10"/>
      <c r="I83" s="9"/>
      <c r="J83" s="11"/>
      <c r="K83" s="11"/>
      <c r="L83" s="9"/>
      <c r="O83" s="10"/>
      <c r="P83" s="10"/>
      <c r="Q83" s="10"/>
      <c r="R83" s="10"/>
      <c r="V83" s="10"/>
      <c r="W83" s="10"/>
      <c r="X83" s="10"/>
      <c r="Y83" s="10"/>
      <c r="AC83" s="10"/>
      <c r="AD83" s="10"/>
      <c r="AE83" s="10"/>
      <c r="AF83" s="10"/>
      <c r="AJ83" s="10"/>
      <c r="AK83" s="10"/>
      <c r="AL83" s="10"/>
      <c r="AM83" s="10"/>
      <c r="AQ83" s="10"/>
      <c r="AR83" s="10"/>
      <c r="AS83" s="10"/>
      <c r="AT83" s="10"/>
      <c r="AX83" s="10"/>
      <c r="AY83" s="10"/>
      <c r="AZ83" s="10"/>
      <c r="BA83" s="10"/>
      <c r="BE83" s="10"/>
      <c r="BF83" s="10"/>
      <c r="BG83" s="10"/>
      <c r="BH83" s="10"/>
      <c r="BL83" s="10"/>
      <c r="BM83" s="10"/>
      <c r="BN83" s="10"/>
      <c r="BO83" s="10"/>
      <c r="BS83" s="10"/>
      <c r="BT83" s="10"/>
      <c r="BU83" s="10"/>
      <c r="BV83" s="10"/>
      <c r="BZ83" s="10"/>
      <c r="CA83" s="10"/>
      <c r="CB83" s="10"/>
      <c r="CC83" s="10"/>
      <c r="CG83" s="10"/>
      <c r="CH83" s="10"/>
      <c r="CI83" s="10"/>
      <c r="CJ83" s="10"/>
      <c r="CO83" s="10"/>
      <c r="CP83" s="10"/>
      <c r="CQ83" s="10"/>
      <c r="CR83" s="10"/>
      <c r="CU83" s="10"/>
      <c r="CV83" s="10"/>
      <c r="CW83" s="10"/>
      <c r="CX83" s="10"/>
      <c r="DB83" s="10"/>
      <c r="DC83" s="10"/>
      <c r="DD83" s="10"/>
      <c r="DE83" s="10"/>
    </row>
    <row r="84" spans="5:109" outlineLevel="1" x14ac:dyDescent="0.2">
      <c r="E84" s="9"/>
      <c r="G84" s="10"/>
      <c r="I84" s="9"/>
      <c r="J84" s="11"/>
      <c r="K84" s="11"/>
      <c r="L84" s="9"/>
      <c r="O84" s="10"/>
      <c r="P84" s="10"/>
      <c r="Q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O84" s="10"/>
      <c r="CP84" s="10"/>
      <c r="CQ84" s="10"/>
      <c r="CR84" s="10"/>
      <c r="CU84" s="10"/>
      <c r="CV84" s="10"/>
      <c r="CW84" s="10"/>
      <c r="CX84" s="10"/>
      <c r="DB84" s="10"/>
      <c r="DC84" s="10"/>
      <c r="DD84" s="10"/>
      <c r="DE84" s="10"/>
    </row>
    <row r="85" spans="5:109" outlineLevel="1" x14ac:dyDescent="0.2">
      <c r="E85" s="9"/>
      <c r="G85" s="10"/>
      <c r="I85" s="9"/>
      <c r="J85" s="11"/>
      <c r="K85" s="11"/>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O85" s="10"/>
      <c r="CP85" s="10"/>
      <c r="CQ85" s="10"/>
      <c r="CR85" s="10"/>
      <c r="CU85" s="10"/>
      <c r="CV85" s="10"/>
      <c r="CW85" s="10"/>
      <c r="CX85" s="10"/>
      <c r="DB85" s="10"/>
      <c r="DC85" s="10"/>
      <c r="DD85" s="10"/>
      <c r="DE85" s="10"/>
    </row>
    <row r="86" spans="5:109" outlineLevel="1" x14ac:dyDescent="0.2">
      <c r="E86" s="9"/>
      <c r="G86" s="10"/>
      <c r="I86" s="9"/>
      <c r="J86" s="11"/>
      <c r="K86" s="11"/>
      <c r="L86" s="9"/>
      <c r="O86" s="10"/>
      <c r="P86" s="10"/>
      <c r="Q86" s="10"/>
      <c r="R86" s="10"/>
      <c r="V86" s="10"/>
      <c r="W86" s="10"/>
      <c r="X86" s="10"/>
      <c r="Y86" s="10"/>
      <c r="AC86" s="10"/>
      <c r="AD86" s="10"/>
      <c r="AE86" s="10"/>
      <c r="AF86" s="10"/>
      <c r="AJ86" s="10"/>
      <c r="AK86" s="10"/>
      <c r="AL86" s="10"/>
      <c r="AM86" s="10"/>
      <c r="AQ86" s="10"/>
      <c r="AR86" s="10"/>
      <c r="AS86" s="10"/>
      <c r="AT86" s="10"/>
      <c r="AX86" s="10"/>
      <c r="AY86" s="10"/>
      <c r="AZ86" s="10"/>
      <c r="BA86" s="10"/>
      <c r="BE86" s="10"/>
      <c r="BF86" s="10"/>
      <c r="BG86" s="10"/>
      <c r="BH86" s="10"/>
      <c r="BL86" s="10"/>
      <c r="BM86" s="10"/>
      <c r="BN86" s="10"/>
      <c r="BO86" s="10"/>
      <c r="BS86" s="10"/>
      <c r="BT86" s="10"/>
      <c r="BU86" s="10"/>
      <c r="BV86" s="10"/>
      <c r="BZ86" s="10"/>
      <c r="CA86" s="10"/>
      <c r="CB86" s="10"/>
      <c r="CC86" s="10"/>
      <c r="CG86" s="10"/>
      <c r="CH86" s="10"/>
      <c r="CI86" s="10"/>
      <c r="CJ86" s="10"/>
      <c r="CO86" s="10"/>
      <c r="CP86" s="10"/>
      <c r="CQ86" s="10"/>
      <c r="CR86" s="10"/>
      <c r="CU86" s="10"/>
      <c r="CV86" s="10"/>
      <c r="CW86" s="10"/>
      <c r="CX86" s="10"/>
      <c r="DB86" s="10"/>
      <c r="DC86" s="10"/>
      <c r="DD86" s="10"/>
      <c r="DE86" s="10"/>
    </row>
    <row r="87" spans="5:109" outlineLevel="1" x14ac:dyDescent="0.2">
      <c r="E87" s="9"/>
      <c r="G87" s="10"/>
      <c r="I87" s="9"/>
      <c r="J87" s="11"/>
      <c r="K87" s="11"/>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c r="BG87" s="10"/>
      <c r="BH87" s="10"/>
      <c r="BL87" s="10"/>
      <c r="BM87" s="10"/>
      <c r="BN87" s="10"/>
      <c r="BO87" s="10"/>
      <c r="BS87" s="10"/>
      <c r="BT87" s="10"/>
      <c r="BU87" s="10"/>
      <c r="BV87" s="10"/>
      <c r="BZ87" s="10"/>
      <c r="CA87" s="10"/>
      <c r="CB87" s="10"/>
      <c r="CC87" s="10"/>
      <c r="CG87" s="10"/>
      <c r="CH87" s="10"/>
      <c r="CI87" s="10"/>
      <c r="CJ87" s="10"/>
      <c r="CO87" s="10"/>
      <c r="CP87" s="10"/>
      <c r="CQ87" s="10"/>
      <c r="CR87" s="10"/>
      <c r="CU87" s="10"/>
      <c r="CV87" s="10"/>
      <c r="CW87" s="10"/>
      <c r="CX87" s="10"/>
      <c r="DB87" s="10"/>
      <c r="DC87" s="10"/>
      <c r="DD87" s="10"/>
      <c r="DE87" s="10"/>
    </row>
    <row r="88" spans="5:109" outlineLevel="1" x14ac:dyDescent="0.2">
      <c r="E88" s="9"/>
      <c r="G88" s="10"/>
      <c r="I88" s="9"/>
      <c r="J88" s="11"/>
      <c r="K88" s="11"/>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O88" s="10"/>
      <c r="CP88" s="10"/>
      <c r="CQ88" s="10"/>
      <c r="CR88" s="10"/>
      <c r="CU88" s="10"/>
      <c r="CV88" s="10"/>
      <c r="CW88" s="10"/>
      <c r="CX88" s="10"/>
      <c r="DB88" s="10"/>
      <c r="DC88" s="10"/>
      <c r="DD88" s="10"/>
      <c r="DE88" s="10"/>
    </row>
    <row r="89" spans="5:109" outlineLevel="1" x14ac:dyDescent="0.2">
      <c r="E89" s="9"/>
      <c r="G89" s="10"/>
      <c r="I89" s="9"/>
      <c r="J89" s="11"/>
      <c r="K89" s="11"/>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O89" s="10"/>
      <c r="CP89" s="10"/>
      <c r="CQ89" s="10"/>
      <c r="CR89" s="10"/>
      <c r="CU89" s="10"/>
      <c r="CV89" s="10"/>
      <c r="CW89" s="10"/>
      <c r="CX89" s="10"/>
      <c r="DB89" s="10"/>
      <c r="DC89" s="10"/>
      <c r="DD89" s="10"/>
      <c r="DE89" s="10"/>
    </row>
    <row r="90" spans="5:109" outlineLevel="1" x14ac:dyDescent="0.2">
      <c r="E90" s="9"/>
      <c r="G90" s="10"/>
      <c r="I90" s="9"/>
      <c r="J90" s="11"/>
      <c r="K90" s="11"/>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O90" s="10"/>
      <c r="CP90" s="10"/>
      <c r="CQ90" s="10"/>
      <c r="CR90" s="10"/>
      <c r="CU90" s="10"/>
      <c r="CV90" s="10"/>
      <c r="CW90" s="10"/>
      <c r="CX90" s="10"/>
      <c r="DB90" s="10"/>
      <c r="DC90" s="10"/>
      <c r="DD90" s="10"/>
      <c r="DE90" s="10"/>
    </row>
    <row r="91" spans="5:109" outlineLevel="1" x14ac:dyDescent="0.2">
      <c r="E91" s="9"/>
      <c r="G91" s="10"/>
      <c r="I91" s="9"/>
      <c r="J91" s="11"/>
      <c r="K91" s="11"/>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O91" s="10"/>
      <c r="CP91" s="10"/>
      <c r="CQ91" s="10"/>
      <c r="CR91" s="10"/>
      <c r="CU91" s="10"/>
      <c r="CV91" s="10"/>
      <c r="CW91" s="10"/>
      <c r="CX91" s="10"/>
      <c r="DB91" s="10"/>
      <c r="DC91" s="10"/>
      <c r="DD91" s="10"/>
      <c r="DE91" s="10"/>
    </row>
    <row r="92" spans="5:109" outlineLevel="1" x14ac:dyDescent="0.2">
      <c r="E92" s="9"/>
      <c r="G92" s="10"/>
      <c r="I92" s="9"/>
      <c r="J92" s="11"/>
      <c r="K92" s="11"/>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O92" s="10"/>
      <c r="CP92" s="10"/>
      <c r="CQ92" s="10"/>
      <c r="CR92" s="10"/>
      <c r="CU92" s="10"/>
      <c r="CV92" s="10"/>
      <c r="CW92" s="10"/>
      <c r="CX92" s="10"/>
      <c r="DB92" s="10"/>
      <c r="DC92" s="10"/>
      <c r="DD92" s="10"/>
      <c r="DE92" s="10"/>
    </row>
    <row r="93" spans="5:109" outlineLevel="1" x14ac:dyDescent="0.2">
      <c r="E93" s="9"/>
      <c r="G93" s="10"/>
      <c r="I93" s="9"/>
      <c r="J93" s="11"/>
      <c r="K93" s="11"/>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O93" s="10"/>
      <c r="CP93" s="10"/>
      <c r="CQ93" s="10"/>
      <c r="CR93" s="10"/>
      <c r="CU93" s="10"/>
      <c r="CV93" s="10"/>
      <c r="CW93" s="10"/>
      <c r="CX93" s="10"/>
      <c r="DB93" s="10"/>
      <c r="DC93" s="10"/>
      <c r="DD93" s="10"/>
      <c r="DE93" s="10"/>
    </row>
    <row r="97" spans="4:109" x14ac:dyDescent="0.2">
      <c r="D97" s="19"/>
      <c r="E97" s="9"/>
      <c r="G97" s="10"/>
      <c r="I97" s="12"/>
      <c r="J97" s="11"/>
      <c r="K97" s="11"/>
      <c r="L97" s="9"/>
      <c r="N97" s="12"/>
      <c r="U97" s="12"/>
      <c r="AB97" s="12"/>
      <c r="AI97" s="12"/>
      <c r="AP97" s="12"/>
    </row>
    <row r="98" spans="4:109" outlineLevel="1" x14ac:dyDescent="0.2">
      <c r="E98" s="9"/>
      <c r="G98" s="10"/>
      <c r="I98" s="9"/>
      <c r="J98" s="11"/>
      <c r="K98" s="11"/>
      <c r="L98" s="9"/>
      <c r="O98" s="10"/>
      <c r="P98" s="10"/>
      <c r="Q98" s="10"/>
      <c r="R98" s="10"/>
      <c r="V98" s="10"/>
      <c r="W98" s="10"/>
      <c r="X98" s="10"/>
      <c r="Y98" s="10"/>
      <c r="AC98" s="10"/>
      <c r="AD98" s="10"/>
      <c r="AE98" s="10"/>
      <c r="AF98" s="10"/>
      <c r="AJ98" s="10"/>
      <c r="AK98" s="10"/>
      <c r="AL98" s="10"/>
      <c r="AM98" s="10"/>
      <c r="AQ98" s="10"/>
      <c r="AR98" s="10"/>
      <c r="AS98" s="10"/>
      <c r="AT98" s="10"/>
      <c r="AX98" s="10"/>
      <c r="AY98" s="10"/>
      <c r="AZ98" s="10"/>
      <c r="BA98" s="10"/>
      <c r="BE98" s="10"/>
      <c r="BF98" s="10"/>
      <c r="BG98" s="10"/>
      <c r="BH98" s="10"/>
      <c r="BL98" s="10"/>
      <c r="BM98" s="10"/>
      <c r="BN98" s="10"/>
      <c r="BO98" s="10"/>
      <c r="BS98" s="10"/>
      <c r="BT98" s="10"/>
      <c r="BU98" s="10"/>
      <c r="BV98" s="10"/>
      <c r="BZ98" s="10"/>
      <c r="CA98" s="10"/>
      <c r="CB98" s="10"/>
      <c r="CC98" s="10"/>
      <c r="CG98" s="10"/>
      <c r="CH98" s="10"/>
      <c r="CI98" s="10"/>
      <c r="CJ98" s="10"/>
      <c r="CO98" s="10"/>
      <c r="CP98" s="10"/>
      <c r="CQ98" s="10"/>
      <c r="CR98" s="10"/>
      <c r="CU98" s="10"/>
      <c r="CV98" s="10"/>
      <c r="CW98" s="10"/>
      <c r="CX98" s="10"/>
      <c r="DB98" s="10"/>
      <c r="DC98" s="10"/>
      <c r="DD98" s="10"/>
      <c r="DE98" s="10"/>
    </row>
    <row r="99" spans="4:109" outlineLevel="1" x14ac:dyDescent="0.2">
      <c r="E99" s="9"/>
      <c r="G99" s="10"/>
      <c r="I99" s="9"/>
      <c r="J99" s="11"/>
      <c r="K99" s="11"/>
      <c r="L99" s="9"/>
      <c r="O99" s="10"/>
      <c r="P99" s="10"/>
      <c r="Q99" s="10"/>
      <c r="R99" s="10"/>
      <c r="V99" s="10"/>
      <c r="W99" s="10"/>
      <c r="X99" s="10"/>
      <c r="Y99" s="10"/>
      <c r="AC99" s="10"/>
      <c r="AD99" s="10"/>
      <c r="AE99" s="10"/>
      <c r="AF99" s="10"/>
      <c r="AJ99" s="10"/>
      <c r="AK99" s="10"/>
      <c r="AL99" s="10"/>
      <c r="AM99" s="10"/>
      <c r="AQ99" s="10"/>
      <c r="AR99" s="10"/>
      <c r="AS99" s="10"/>
      <c r="AT99" s="10"/>
      <c r="AX99" s="10"/>
      <c r="AY99" s="10"/>
      <c r="AZ99" s="10"/>
      <c r="BA99" s="10"/>
      <c r="BE99" s="10"/>
      <c r="BF99" s="10"/>
      <c r="BG99" s="10"/>
      <c r="BH99" s="10"/>
      <c r="BL99" s="10"/>
      <c r="BM99" s="10"/>
      <c r="BN99" s="10"/>
      <c r="BO99" s="10"/>
      <c r="BS99" s="10"/>
      <c r="BT99" s="10"/>
      <c r="BU99" s="10"/>
      <c r="BV99" s="10"/>
      <c r="BZ99" s="10"/>
      <c r="CA99" s="10"/>
      <c r="CB99" s="10"/>
      <c r="CC99" s="10"/>
      <c r="CG99" s="10"/>
      <c r="CH99" s="10"/>
      <c r="CI99" s="10"/>
      <c r="CJ99" s="10"/>
      <c r="CO99" s="10"/>
      <c r="CP99" s="10"/>
      <c r="CQ99" s="10"/>
      <c r="CR99" s="10"/>
      <c r="CU99" s="10"/>
      <c r="CV99" s="10"/>
      <c r="CW99" s="10"/>
      <c r="CX99" s="10"/>
      <c r="DB99" s="10"/>
      <c r="DC99" s="10"/>
      <c r="DD99" s="10"/>
      <c r="DE99" s="10"/>
    </row>
    <row r="100" spans="4:109" outlineLevel="1" x14ac:dyDescent="0.2">
      <c r="E100" s="9"/>
      <c r="G100" s="10"/>
      <c r="I100" s="9"/>
      <c r="J100" s="11"/>
      <c r="K100" s="11"/>
      <c r="L100" s="9"/>
      <c r="O100" s="10"/>
      <c r="P100" s="10"/>
      <c r="Q100" s="10"/>
      <c r="R100" s="10"/>
      <c r="V100" s="10"/>
      <c r="W100" s="10"/>
      <c r="X100" s="10"/>
      <c r="Y100" s="10"/>
      <c r="AC100" s="10"/>
      <c r="AD100" s="10"/>
      <c r="AE100" s="10"/>
      <c r="AF100" s="10"/>
      <c r="AJ100" s="10"/>
      <c r="AK100" s="10"/>
      <c r="AL100" s="10"/>
      <c r="AM100" s="10"/>
      <c r="AQ100" s="10"/>
      <c r="AR100" s="10"/>
      <c r="AS100" s="10"/>
      <c r="AT100" s="10"/>
      <c r="AX100" s="10"/>
      <c r="AY100" s="10"/>
      <c r="AZ100" s="10"/>
      <c r="BA100" s="10"/>
      <c r="BE100" s="10"/>
      <c r="BF100" s="10"/>
      <c r="BG100" s="10"/>
      <c r="BH100" s="10"/>
      <c r="BL100" s="10"/>
      <c r="BM100" s="10"/>
      <c r="BN100" s="10"/>
      <c r="BO100" s="10"/>
      <c r="BS100" s="10"/>
      <c r="BT100" s="10"/>
      <c r="BU100" s="10"/>
      <c r="BV100" s="10"/>
      <c r="BZ100" s="10"/>
      <c r="CA100" s="10"/>
      <c r="CB100" s="10"/>
      <c r="CC100" s="10"/>
      <c r="CG100" s="10"/>
      <c r="CH100" s="10"/>
      <c r="CI100" s="10"/>
      <c r="CJ100" s="10"/>
      <c r="CO100" s="10"/>
      <c r="CP100" s="10"/>
      <c r="CQ100" s="10"/>
      <c r="CR100" s="10"/>
      <c r="CU100" s="10"/>
      <c r="CV100" s="10"/>
      <c r="CW100" s="10"/>
      <c r="CX100" s="10"/>
      <c r="DB100" s="10"/>
      <c r="DC100" s="10"/>
      <c r="DD100" s="10"/>
      <c r="DE100" s="10"/>
    </row>
    <row r="101" spans="4:109" outlineLevel="1" x14ac:dyDescent="0.2">
      <c r="E101" s="9"/>
      <c r="G101" s="10"/>
      <c r="I101" s="9"/>
      <c r="J101" s="11"/>
      <c r="K101" s="11"/>
      <c r="L101" s="9"/>
      <c r="O101" s="10"/>
      <c r="P101" s="10"/>
      <c r="Q101" s="10"/>
      <c r="R101" s="10"/>
      <c r="V101" s="10"/>
      <c r="W101" s="10"/>
      <c r="X101" s="10"/>
      <c r="Y101" s="10"/>
      <c r="AC101" s="10"/>
      <c r="AD101" s="10"/>
      <c r="AE101" s="10"/>
      <c r="AF101" s="10"/>
      <c r="AJ101" s="10"/>
      <c r="AK101" s="10"/>
      <c r="AL101" s="10"/>
      <c r="AM101" s="10"/>
      <c r="AQ101" s="10"/>
      <c r="AR101" s="10"/>
      <c r="AS101" s="10"/>
      <c r="AT101" s="10"/>
      <c r="AX101" s="10"/>
      <c r="AY101" s="10"/>
      <c r="AZ101" s="10"/>
      <c r="BA101" s="10"/>
      <c r="BE101" s="10"/>
      <c r="BF101" s="10"/>
      <c r="BG101" s="10"/>
      <c r="BH101" s="10"/>
      <c r="BL101" s="10"/>
      <c r="BM101" s="10"/>
      <c r="BN101" s="10"/>
      <c r="BO101" s="10"/>
      <c r="BS101" s="10"/>
      <c r="BT101" s="10"/>
      <c r="BU101" s="10"/>
      <c r="BV101" s="10"/>
      <c r="BZ101" s="10"/>
      <c r="CA101" s="10"/>
      <c r="CB101" s="10"/>
      <c r="CC101" s="10"/>
      <c r="CG101" s="10"/>
      <c r="CH101" s="10"/>
      <c r="CI101" s="10"/>
      <c r="CJ101" s="10"/>
      <c r="CO101" s="10"/>
      <c r="CP101" s="10"/>
      <c r="CQ101" s="10"/>
      <c r="CR101" s="10"/>
      <c r="CU101" s="10"/>
      <c r="CV101" s="10"/>
      <c r="CW101" s="10"/>
      <c r="CX101" s="10"/>
      <c r="DB101" s="10"/>
      <c r="DC101" s="10"/>
      <c r="DD101" s="10"/>
      <c r="DE101" s="10"/>
    </row>
    <row r="102" spans="4:109" outlineLevel="1" x14ac:dyDescent="0.2">
      <c r="E102" s="9"/>
      <c r="G102" s="10"/>
      <c r="I102" s="9"/>
      <c r="J102" s="11"/>
      <c r="K102" s="11"/>
      <c r="L102" s="9"/>
      <c r="O102" s="10"/>
      <c r="P102" s="10"/>
      <c r="Q102" s="10"/>
      <c r="R102" s="10"/>
      <c r="V102" s="10"/>
      <c r="W102" s="10"/>
      <c r="X102" s="10"/>
      <c r="Y102" s="10"/>
      <c r="AC102" s="10"/>
      <c r="AD102" s="10"/>
      <c r="AE102" s="10"/>
      <c r="AF102" s="10"/>
      <c r="AJ102" s="10"/>
      <c r="AK102" s="10"/>
      <c r="AL102" s="10"/>
      <c r="AM102" s="10"/>
      <c r="AQ102" s="10"/>
      <c r="AR102" s="10"/>
      <c r="AS102" s="10"/>
      <c r="AT102" s="10"/>
      <c r="AX102" s="10"/>
      <c r="AY102" s="10"/>
      <c r="AZ102" s="10"/>
      <c r="BA102" s="10"/>
      <c r="BE102" s="10"/>
      <c r="BF102" s="10"/>
      <c r="BG102" s="10"/>
      <c r="BH102" s="10"/>
      <c r="BL102" s="10"/>
      <c r="BM102" s="10"/>
      <c r="BN102" s="10"/>
      <c r="BO102" s="10"/>
      <c r="BS102" s="10"/>
      <c r="BT102" s="10"/>
      <c r="BU102" s="10"/>
      <c r="BV102" s="10"/>
      <c r="BZ102" s="10"/>
      <c r="CA102" s="10"/>
      <c r="CB102" s="10"/>
      <c r="CC102" s="10"/>
      <c r="CG102" s="10"/>
      <c r="CH102" s="10"/>
      <c r="CI102" s="10"/>
      <c r="CJ102" s="10"/>
      <c r="CO102" s="10"/>
      <c r="CP102" s="10"/>
      <c r="CQ102" s="10"/>
      <c r="CR102" s="10"/>
      <c r="CU102" s="10"/>
      <c r="CV102" s="10"/>
      <c r="CW102" s="10"/>
      <c r="CX102" s="10"/>
      <c r="DB102" s="10"/>
      <c r="DC102" s="10"/>
      <c r="DD102" s="10"/>
      <c r="DE102" s="10"/>
    </row>
    <row r="103" spans="4:109" outlineLevel="1" x14ac:dyDescent="0.2">
      <c r="E103" s="9"/>
      <c r="G103" s="10"/>
      <c r="I103" s="9"/>
      <c r="J103" s="11"/>
      <c r="K103" s="11"/>
      <c r="L103" s="9"/>
      <c r="O103" s="10"/>
      <c r="P103" s="10"/>
      <c r="Q103" s="10"/>
      <c r="R103" s="10"/>
      <c r="V103" s="10"/>
      <c r="W103" s="10"/>
      <c r="X103" s="10"/>
      <c r="Y103" s="10"/>
      <c r="AC103" s="10"/>
      <c r="AD103" s="10"/>
      <c r="AE103" s="10"/>
      <c r="AF103" s="10"/>
      <c r="AJ103" s="10"/>
      <c r="AK103" s="10"/>
      <c r="AL103" s="10"/>
      <c r="AM103" s="10"/>
      <c r="AQ103" s="10"/>
      <c r="AR103" s="10"/>
      <c r="AS103" s="10"/>
      <c r="AT103" s="10"/>
      <c r="AX103" s="10"/>
      <c r="AY103" s="10"/>
      <c r="AZ103" s="10"/>
      <c r="BA103" s="10"/>
      <c r="BE103" s="10"/>
      <c r="BF103" s="10"/>
      <c r="BG103" s="10"/>
      <c r="BH103" s="10"/>
      <c r="BL103" s="10"/>
      <c r="BM103" s="10"/>
      <c r="BN103" s="10"/>
      <c r="BO103" s="10"/>
      <c r="BS103" s="10"/>
      <c r="BT103" s="10"/>
      <c r="BU103" s="10"/>
      <c r="BV103" s="10"/>
      <c r="BZ103" s="10"/>
      <c r="CA103" s="10"/>
      <c r="CB103" s="10"/>
      <c r="CC103" s="10"/>
      <c r="CG103" s="10"/>
      <c r="CH103" s="10"/>
      <c r="CI103" s="10"/>
      <c r="CJ103" s="10"/>
      <c r="CO103" s="10"/>
      <c r="CP103" s="10"/>
      <c r="CQ103" s="10"/>
      <c r="CR103" s="10"/>
      <c r="CU103" s="10"/>
      <c r="CV103" s="10"/>
      <c r="CW103" s="10"/>
      <c r="CX103" s="10"/>
      <c r="DB103" s="10"/>
      <c r="DC103" s="10"/>
      <c r="DD103" s="10"/>
      <c r="DE103" s="10"/>
    </row>
    <row r="104" spans="4:109" outlineLevel="1" x14ac:dyDescent="0.2">
      <c r="E104" s="9"/>
      <c r="G104" s="10"/>
      <c r="I104" s="9"/>
      <c r="J104" s="11"/>
      <c r="K104" s="11"/>
      <c r="L104" s="9"/>
      <c r="O104" s="10"/>
      <c r="P104" s="10"/>
      <c r="Q104" s="10"/>
      <c r="R104" s="10"/>
      <c r="V104" s="10"/>
      <c r="W104" s="10"/>
      <c r="X104" s="10"/>
      <c r="Y104" s="10"/>
      <c r="AC104" s="10"/>
      <c r="AD104" s="10"/>
      <c r="AE104" s="10"/>
      <c r="AF104" s="10"/>
      <c r="AJ104" s="10"/>
      <c r="AK104" s="10"/>
      <c r="AL104" s="10"/>
      <c r="AM104" s="10"/>
      <c r="AQ104" s="10"/>
      <c r="AR104" s="10"/>
      <c r="AS104" s="10"/>
      <c r="AT104" s="10"/>
      <c r="AX104" s="10"/>
      <c r="AY104" s="10"/>
      <c r="AZ104" s="10"/>
      <c r="BA104" s="10"/>
      <c r="BE104" s="10"/>
      <c r="BF104" s="10"/>
      <c r="BG104" s="10"/>
      <c r="BH104" s="10"/>
      <c r="BL104" s="10"/>
      <c r="BM104" s="10"/>
      <c r="BN104" s="10"/>
      <c r="BO104" s="10"/>
      <c r="BS104" s="10"/>
      <c r="BT104" s="10"/>
      <c r="BU104" s="10"/>
      <c r="BV104" s="10"/>
      <c r="BZ104" s="10"/>
      <c r="CA104" s="10"/>
      <c r="CB104" s="10"/>
      <c r="CC104" s="10"/>
      <c r="CG104" s="10"/>
      <c r="CH104" s="10"/>
      <c r="CI104" s="10"/>
      <c r="CJ104" s="10"/>
      <c r="CO104" s="10"/>
      <c r="CP104" s="10"/>
      <c r="CQ104" s="10"/>
      <c r="CR104" s="10"/>
      <c r="CU104" s="10"/>
      <c r="CV104" s="10"/>
      <c r="CW104" s="10"/>
      <c r="CX104" s="10"/>
      <c r="DB104" s="10"/>
      <c r="DC104" s="10"/>
      <c r="DD104" s="10"/>
      <c r="DE104" s="10"/>
    </row>
    <row r="105" spans="4:109" outlineLevel="1" x14ac:dyDescent="0.2">
      <c r="E105" s="9"/>
      <c r="G105" s="10"/>
      <c r="I105" s="9"/>
      <c r="J105" s="11"/>
      <c r="K105" s="11"/>
      <c r="L105" s="9"/>
      <c r="O105" s="10"/>
      <c r="P105" s="10"/>
      <c r="Q105" s="10"/>
      <c r="R105" s="10"/>
      <c r="V105" s="10"/>
      <c r="W105" s="10"/>
      <c r="X105" s="10"/>
      <c r="Y105" s="10"/>
      <c r="AC105" s="10"/>
      <c r="AD105" s="10"/>
      <c r="AE105" s="10"/>
      <c r="AF105" s="10"/>
      <c r="AJ105" s="10"/>
      <c r="AK105" s="10"/>
      <c r="AL105" s="10"/>
      <c r="AM105" s="10"/>
      <c r="AQ105" s="10"/>
      <c r="AR105" s="10"/>
      <c r="AS105" s="10"/>
      <c r="AT105" s="10"/>
      <c r="AX105" s="10"/>
      <c r="AY105" s="10"/>
      <c r="AZ105" s="10"/>
      <c r="BA105" s="10"/>
      <c r="BE105" s="10"/>
      <c r="BF105" s="10"/>
      <c r="BG105" s="10"/>
      <c r="BH105" s="10"/>
      <c r="BL105" s="10"/>
      <c r="BM105" s="10"/>
      <c r="BN105" s="10"/>
      <c r="BO105" s="10"/>
      <c r="BS105" s="10"/>
      <c r="BT105" s="10"/>
      <c r="BU105" s="10"/>
      <c r="BV105" s="10"/>
      <c r="BZ105" s="10"/>
      <c r="CA105" s="10"/>
      <c r="CB105" s="10"/>
      <c r="CC105" s="10"/>
      <c r="CG105" s="10"/>
      <c r="CH105" s="10"/>
      <c r="CI105" s="10"/>
      <c r="CJ105" s="10"/>
      <c r="CO105" s="10"/>
      <c r="CP105" s="10"/>
      <c r="CQ105" s="10"/>
      <c r="CR105" s="10"/>
      <c r="CU105" s="10"/>
      <c r="CV105" s="10"/>
      <c r="CW105" s="10"/>
      <c r="CX105" s="10"/>
      <c r="DB105" s="10"/>
      <c r="DC105" s="10"/>
      <c r="DD105" s="10"/>
      <c r="DE105" s="10"/>
    </row>
    <row r="106" spans="4:109" outlineLevel="1" x14ac:dyDescent="0.2">
      <c r="E106" s="9"/>
      <c r="G106" s="10"/>
      <c r="I106" s="9"/>
      <c r="J106" s="11"/>
      <c r="K106" s="11"/>
      <c r="L106" s="9"/>
      <c r="O106" s="10"/>
      <c r="P106" s="10"/>
      <c r="Q106" s="10"/>
      <c r="R106" s="10"/>
      <c r="V106" s="10"/>
      <c r="W106" s="10"/>
      <c r="X106" s="10"/>
      <c r="Y106" s="10"/>
      <c r="AC106" s="10"/>
      <c r="AD106" s="10"/>
      <c r="AE106" s="10"/>
      <c r="AF106" s="10"/>
      <c r="AJ106" s="10"/>
      <c r="AK106" s="10"/>
      <c r="AL106" s="10"/>
      <c r="AM106" s="10"/>
      <c r="AQ106" s="10"/>
      <c r="AR106" s="10"/>
      <c r="AS106" s="10"/>
      <c r="AT106" s="10"/>
      <c r="AX106" s="10"/>
      <c r="AY106" s="10"/>
      <c r="AZ106" s="10"/>
      <c r="BA106" s="10"/>
      <c r="BE106" s="10"/>
      <c r="BF106" s="10"/>
      <c r="BG106" s="10"/>
      <c r="BH106" s="10"/>
      <c r="BL106" s="10"/>
      <c r="BM106" s="10"/>
      <c r="BN106" s="10"/>
      <c r="BO106" s="10"/>
      <c r="BS106" s="10"/>
      <c r="BT106" s="10"/>
      <c r="BU106" s="10"/>
      <c r="BV106" s="10"/>
      <c r="BZ106" s="10"/>
      <c r="CA106" s="10"/>
      <c r="CB106" s="10"/>
      <c r="CC106" s="10"/>
      <c r="CG106" s="10"/>
      <c r="CH106" s="10"/>
      <c r="CI106" s="10"/>
      <c r="CJ106" s="10"/>
      <c r="CO106" s="10"/>
      <c r="CP106" s="10"/>
      <c r="CQ106" s="10"/>
      <c r="CR106" s="10"/>
      <c r="CU106" s="10"/>
      <c r="CV106" s="10"/>
      <c r="CW106" s="10"/>
      <c r="CX106" s="10"/>
      <c r="DB106" s="10"/>
      <c r="DC106" s="10"/>
      <c r="DD106" s="10"/>
      <c r="DE106" s="10"/>
    </row>
    <row r="108" spans="4:109" x14ac:dyDescent="0.2">
      <c r="D108" s="19"/>
      <c r="E108" s="9"/>
      <c r="G108" s="10"/>
      <c r="I108" s="12"/>
      <c r="J108" s="11"/>
      <c r="K108" s="11"/>
      <c r="L108" s="9"/>
      <c r="N108" s="12"/>
      <c r="U108" s="12"/>
      <c r="AB108" s="12"/>
      <c r="AI108" s="12"/>
      <c r="AP108" s="12"/>
    </row>
    <row r="109" spans="4:109" outlineLevel="1" x14ac:dyDescent="0.2">
      <c r="E109" s="9"/>
      <c r="G109" s="10"/>
      <c r="I109" s="9"/>
      <c r="J109" s="11"/>
      <c r="K109" s="11"/>
      <c r="L109" s="9"/>
      <c r="O109" s="10"/>
      <c r="P109" s="10"/>
      <c r="Q109" s="10"/>
      <c r="R109" s="10"/>
      <c r="V109" s="10"/>
      <c r="W109" s="10"/>
      <c r="X109" s="10"/>
      <c r="Y109" s="10"/>
      <c r="AC109" s="10"/>
      <c r="AD109" s="10"/>
      <c r="AE109" s="10"/>
      <c r="AF109" s="10"/>
      <c r="AJ109" s="10"/>
      <c r="AK109" s="10"/>
      <c r="AL109" s="10"/>
      <c r="AM109" s="10"/>
      <c r="AQ109" s="10"/>
      <c r="AR109" s="10"/>
      <c r="AS109" s="10"/>
      <c r="AT109" s="10"/>
      <c r="AX109" s="10"/>
      <c r="AY109" s="10"/>
      <c r="AZ109" s="10"/>
      <c r="BA109" s="10"/>
      <c r="BE109" s="10"/>
      <c r="BF109" s="10"/>
      <c r="BG109" s="10"/>
      <c r="BH109" s="10"/>
      <c r="BL109" s="10"/>
      <c r="BM109" s="10"/>
      <c r="BN109" s="10"/>
      <c r="BO109" s="10"/>
      <c r="BS109" s="10"/>
      <c r="BT109" s="10"/>
      <c r="BU109" s="10"/>
      <c r="BV109" s="10"/>
      <c r="BZ109" s="10"/>
      <c r="CA109" s="10"/>
      <c r="CB109" s="10"/>
      <c r="CC109" s="10"/>
      <c r="CG109" s="10"/>
      <c r="CH109" s="10"/>
      <c r="CI109" s="10"/>
      <c r="CJ109" s="10"/>
      <c r="CO109" s="10"/>
      <c r="CP109" s="10"/>
      <c r="CQ109" s="10"/>
      <c r="CR109" s="10"/>
      <c r="CU109" s="10"/>
      <c r="CV109" s="10"/>
      <c r="CW109" s="10"/>
      <c r="CX109" s="10"/>
      <c r="DB109" s="10"/>
      <c r="DC109" s="10"/>
      <c r="DD109" s="10"/>
      <c r="DE109" s="10"/>
    </row>
    <row r="110" spans="4:109" outlineLevel="1" x14ac:dyDescent="0.2">
      <c r="E110" s="9"/>
      <c r="G110" s="10"/>
      <c r="I110" s="9"/>
      <c r="J110" s="11"/>
      <c r="K110" s="11"/>
      <c r="L110" s="9"/>
      <c r="O110" s="10"/>
      <c r="P110" s="10"/>
      <c r="Q110" s="10"/>
      <c r="R110" s="10"/>
      <c r="V110" s="10"/>
      <c r="W110" s="10"/>
      <c r="X110" s="10"/>
      <c r="Y110" s="10"/>
      <c r="AC110" s="10"/>
      <c r="AD110" s="10"/>
      <c r="AE110" s="10"/>
      <c r="AF110" s="10"/>
      <c r="AJ110" s="10"/>
      <c r="AK110" s="10"/>
      <c r="AL110" s="10"/>
      <c r="AM110" s="10"/>
      <c r="AQ110" s="10"/>
      <c r="AR110" s="10"/>
      <c r="AS110" s="10"/>
      <c r="AT110" s="10"/>
      <c r="AX110" s="10"/>
      <c r="AY110" s="10"/>
      <c r="AZ110" s="10"/>
      <c r="BA110" s="10"/>
      <c r="BE110" s="10"/>
      <c r="BF110" s="10"/>
      <c r="BG110" s="10"/>
      <c r="BH110" s="10"/>
      <c r="BL110" s="10"/>
      <c r="BM110" s="10"/>
      <c r="BN110" s="10"/>
      <c r="BO110" s="10"/>
      <c r="BS110" s="10"/>
      <c r="BT110" s="10"/>
      <c r="BU110" s="10"/>
      <c r="BV110" s="10"/>
      <c r="BZ110" s="10"/>
      <c r="CA110" s="10"/>
      <c r="CB110" s="10"/>
      <c r="CC110" s="10"/>
      <c r="CG110" s="10"/>
      <c r="CH110" s="10"/>
      <c r="CI110" s="10"/>
      <c r="CJ110" s="10"/>
      <c r="CO110" s="10"/>
      <c r="CP110" s="10"/>
      <c r="CQ110" s="10"/>
      <c r="CR110" s="10"/>
      <c r="CU110" s="10"/>
      <c r="CV110" s="10"/>
      <c r="CW110" s="10"/>
      <c r="CX110" s="10"/>
      <c r="DB110" s="10"/>
      <c r="DC110" s="10"/>
      <c r="DD110" s="10"/>
      <c r="DE110" s="10"/>
    </row>
    <row r="111" spans="4:109" outlineLevel="1" x14ac:dyDescent="0.2">
      <c r="E111" s="9"/>
      <c r="G111" s="10"/>
      <c r="I111" s="9"/>
      <c r="J111" s="11"/>
      <c r="K111" s="11"/>
      <c r="L111" s="9"/>
      <c r="O111" s="10"/>
      <c r="P111" s="10"/>
      <c r="Q111" s="10"/>
      <c r="R111" s="10"/>
      <c r="V111" s="10"/>
      <c r="W111" s="10"/>
      <c r="X111" s="10"/>
      <c r="Y111" s="10"/>
      <c r="AC111" s="10"/>
      <c r="AD111" s="10"/>
      <c r="AE111" s="10"/>
      <c r="AF111" s="10"/>
      <c r="AJ111" s="10"/>
      <c r="AK111" s="10"/>
      <c r="AL111" s="10"/>
      <c r="AM111" s="10"/>
      <c r="AQ111" s="10"/>
      <c r="AR111" s="10"/>
      <c r="AS111" s="10"/>
      <c r="AT111" s="10"/>
      <c r="AX111" s="10"/>
      <c r="AY111" s="10"/>
      <c r="AZ111" s="10"/>
      <c r="BA111" s="10"/>
      <c r="BE111" s="10"/>
      <c r="BF111" s="10"/>
      <c r="BG111" s="10"/>
      <c r="BH111" s="10"/>
      <c r="BL111" s="10"/>
      <c r="BM111" s="10"/>
      <c r="BN111" s="10"/>
      <c r="BO111" s="10"/>
      <c r="BS111" s="10"/>
      <c r="BT111" s="10"/>
      <c r="BU111" s="10"/>
      <c r="BV111" s="10"/>
      <c r="BZ111" s="10"/>
      <c r="CA111" s="10"/>
      <c r="CB111" s="10"/>
      <c r="CC111" s="10"/>
      <c r="CG111" s="10"/>
      <c r="CH111" s="10"/>
      <c r="CI111" s="10"/>
      <c r="CJ111" s="10"/>
      <c r="CO111" s="10"/>
      <c r="CP111" s="10"/>
      <c r="CQ111" s="10"/>
      <c r="CR111" s="10"/>
      <c r="CU111" s="10"/>
      <c r="CV111" s="10"/>
      <c r="CW111" s="10"/>
      <c r="CX111" s="10"/>
      <c r="DB111" s="10"/>
      <c r="DC111" s="10"/>
      <c r="DD111" s="10"/>
      <c r="DE111" s="10"/>
    </row>
    <row r="112" spans="4:109" outlineLevel="1" x14ac:dyDescent="0.2">
      <c r="E112" s="9"/>
      <c r="G112" s="10"/>
      <c r="I112" s="9"/>
      <c r="J112" s="11"/>
      <c r="K112" s="11"/>
      <c r="L112" s="9"/>
      <c r="O112" s="10"/>
      <c r="P112" s="10"/>
      <c r="Q112" s="10"/>
      <c r="R112" s="10"/>
      <c r="V112" s="10"/>
      <c r="W112" s="10"/>
      <c r="X112" s="10"/>
      <c r="Y112" s="10"/>
      <c r="AC112" s="10"/>
      <c r="AD112" s="10"/>
      <c r="AE112" s="10"/>
      <c r="AF112" s="10"/>
      <c r="AJ112" s="10"/>
      <c r="AK112" s="10"/>
      <c r="AL112" s="10"/>
      <c r="AM112" s="10"/>
      <c r="AQ112" s="10"/>
      <c r="AR112" s="10"/>
      <c r="AS112" s="10"/>
      <c r="AT112" s="10"/>
      <c r="AX112" s="10"/>
      <c r="AY112" s="10"/>
      <c r="AZ112" s="10"/>
      <c r="BA112" s="10"/>
      <c r="BE112" s="10"/>
      <c r="BF112" s="10"/>
      <c r="BG112" s="10"/>
      <c r="BH112" s="10"/>
      <c r="BL112" s="10"/>
      <c r="BM112" s="10"/>
      <c r="BN112" s="10"/>
      <c r="BO112" s="10"/>
      <c r="BS112" s="10"/>
      <c r="BT112" s="10"/>
      <c r="BU112" s="10"/>
      <c r="BV112" s="10"/>
      <c r="BZ112" s="10"/>
      <c r="CA112" s="10"/>
      <c r="CB112" s="10"/>
      <c r="CC112" s="10"/>
      <c r="CG112" s="10"/>
      <c r="CH112" s="10"/>
      <c r="CI112" s="10"/>
      <c r="CJ112" s="10"/>
      <c r="CO112" s="10"/>
      <c r="CP112" s="10"/>
      <c r="CQ112" s="10"/>
      <c r="CR112" s="10"/>
      <c r="CU112" s="10"/>
      <c r="CV112" s="10"/>
      <c r="CW112" s="10"/>
      <c r="CX112" s="10"/>
      <c r="DB112" s="10"/>
      <c r="DC112" s="10"/>
      <c r="DD112" s="10"/>
      <c r="DE112" s="10"/>
    </row>
    <row r="113" spans="5:109" outlineLevel="1" x14ac:dyDescent="0.2">
      <c r="E113" s="9"/>
      <c r="G113" s="10"/>
      <c r="I113" s="9"/>
      <c r="J113" s="11"/>
      <c r="K113" s="11"/>
      <c r="L113" s="9"/>
      <c r="O113" s="10"/>
      <c r="P113" s="10"/>
      <c r="Q113" s="10"/>
      <c r="R113" s="10"/>
      <c r="V113" s="10"/>
      <c r="W113" s="10"/>
      <c r="X113" s="10"/>
      <c r="Y113" s="10"/>
      <c r="AC113" s="10"/>
      <c r="AD113" s="10"/>
      <c r="AE113" s="10"/>
      <c r="AF113" s="10"/>
      <c r="AJ113" s="10"/>
      <c r="AK113" s="10"/>
      <c r="AL113" s="10"/>
      <c r="AM113" s="10"/>
      <c r="AQ113" s="10"/>
      <c r="AR113" s="10"/>
      <c r="AS113" s="10"/>
      <c r="AT113" s="10"/>
      <c r="AX113" s="10"/>
      <c r="AY113" s="10"/>
      <c r="AZ113" s="10"/>
      <c r="BA113" s="10"/>
      <c r="BE113" s="10"/>
      <c r="BF113" s="10"/>
      <c r="BG113" s="10"/>
      <c r="BH113" s="10"/>
      <c r="BL113" s="10"/>
      <c r="BM113" s="10"/>
      <c r="BN113" s="10"/>
      <c r="BO113" s="10"/>
      <c r="BS113" s="10"/>
      <c r="BT113" s="10"/>
      <c r="BU113" s="10"/>
      <c r="BV113" s="10"/>
      <c r="BZ113" s="10"/>
      <c r="CA113" s="10"/>
      <c r="CB113" s="10"/>
      <c r="CC113" s="10"/>
      <c r="CG113" s="10"/>
      <c r="CH113" s="10"/>
      <c r="CI113" s="10"/>
      <c r="CJ113" s="10"/>
      <c r="CO113" s="10"/>
      <c r="CP113" s="10"/>
      <c r="CQ113" s="10"/>
      <c r="CR113" s="10"/>
      <c r="CU113" s="10"/>
      <c r="CV113" s="10"/>
      <c r="CW113" s="10"/>
      <c r="CX113" s="10"/>
      <c r="DB113" s="10"/>
      <c r="DC113" s="10"/>
      <c r="DD113" s="10"/>
      <c r="DE113" s="10"/>
    </row>
    <row r="114" spans="5:109" outlineLevel="1" x14ac:dyDescent="0.2">
      <c r="E114" s="9"/>
      <c r="G114" s="10"/>
      <c r="I114" s="9"/>
      <c r="J114" s="11"/>
      <c r="K114" s="11"/>
      <c r="L114" s="9"/>
      <c r="O114" s="10"/>
      <c r="P114" s="10"/>
      <c r="Q114" s="10"/>
      <c r="V114" s="10"/>
      <c r="W114" s="10"/>
      <c r="X114" s="10"/>
      <c r="Y114" s="10"/>
      <c r="AC114" s="10"/>
      <c r="AD114" s="10"/>
      <c r="AE114" s="10"/>
      <c r="AF114" s="10"/>
      <c r="AJ114" s="10"/>
      <c r="AK114" s="10"/>
      <c r="AL114" s="10"/>
      <c r="AM114" s="10"/>
      <c r="AQ114" s="10"/>
      <c r="AR114" s="10"/>
      <c r="AS114" s="10"/>
      <c r="AT114" s="10"/>
      <c r="AX114" s="10"/>
      <c r="AY114" s="10"/>
      <c r="AZ114" s="10"/>
      <c r="BA114" s="10"/>
      <c r="BE114" s="10"/>
      <c r="BF114" s="10"/>
      <c r="BG114" s="10"/>
      <c r="BH114" s="10"/>
      <c r="BL114" s="10"/>
      <c r="BM114" s="10"/>
      <c r="BN114" s="10"/>
      <c r="BO114" s="10"/>
      <c r="BS114" s="10"/>
      <c r="BT114" s="10"/>
      <c r="BU114" s="10"/>
      <c r="BV114" s="10"/>
      <c r="BZ114" s="10"/>
      <c r="CA114" s="10"/>
      <c r="CB114" s="10"/>
      <c r="CC114" s="10"/>
      <c r="CG114" s="10"/>
      <c r="CH114" s="10"/>
      <c r="CI114" s="10"/>
      <c r="CJ114" s="10"/>
      <c r="CO114" s="10"/>
      <c r="CP114" s="10"/>
      <c r="CQ114" s="10"/>
      <c r="CR114" s="10"/>
      <c r="CU114" s="10"/>
      <c r="CV114" s="10"/>
      <c r="CW114" s="10"/>
      <c r="CX114" s="10"/>
      <c r="DB114" s="10"/>
      <c r="DC114" s="10"/>
      <c r="DD114" s="10"/>
      <c r="DE114" s="10"/>
    </row>
    <row r="115" spans="5:109" outlineLevel="1" x14ac:dyDescent="0.2">
      <c r="E115" s="9"/>
      <c r="G115" s="10"/>
      <c r="I115" s="9"/>
      <c r="J115" s="11"/>
      <c r="K115" s="11"/>
      <c r="L115" s="9"/>
      <c r="O115" s="10"/>
      <c r="P115" s="10"/>
      <c r="Q115" s="10"/>
      <c r="R115" s="10"/>
      <c r="V115" s="10"/>
      <c r="W115" s="10"/>
      <c r="X115" s="10"/>
      <c r="Y115" s="10"/>
      <c r="AC115" s="10"/>
      <c r="AD115" s="10"/>
      <c r="AE115" s="10"/>
      <c r="AF115" s="10"/>
      <c r="AJ115" s="10"/>
      <c r="AK115" s="10"/>
      <c r="AL115" s="10"/>
      <c r="AM115" s="10"/>
      <c r="AQ115" s="10"/>
      <c r="AR115" s="10"/>
      <c r="AS115" s="10"/>
      <c r="AT115" s="10"/>
      <c r="AX115" s="10"/>
      <c r="AY115" s="10"/>
      <c r="AZ115" s="10"/>
      <c r="BA115" s="10"/>
      <c r="BE115" s="10"/>
      <c r="BF115" s="10"/>
      <c r="BG115" s="10"/>
      <c r="BH115" s="10"/>
      <c r="BL115" s="10"/>
      <c r="BM115" s="10"/>
      <c r="BN115" s="10"/>
      <c r="BO115" s="10"/>
      <c r="BS115" s="10"/>
      <c r="BT115" s="10"/>
      <c r="BU115" s="10"/>
      <c r="BV115" s="10"/>
      <c r="BZ115" s="10"/>
      <c r="CA115" s="10"/>
      <c r="CB115" s="10"/>
      <c r="CC115" s="10"/>
      <c r="CG115" s="10"/>
      <c r="CH115" s="10"/>
      <c r="CI115" s="10"/>
      <c r="CJ115" s="10"/>
      <c r="CO115" s="10"/>
      <c r="CP115" s="10"/>
      <c r="CQ115" s="10"/>
      <c r="CR115" s="10"/>
      <c r="CU115" s="10"/>
      <c r="CV115" s="10"/>
      <c r="CW115" s="10"/>
      <c r="CX115" s="10"/>
      <c r="DB115" s="10"/>
      <c r="DC115" s="10"/>
      <c r="DD115" s="10"/>
      <c r="DE115" s="10"/>
    </row>
    <row r="116" spans="5:109" outlineLevel="1" x14ac:dyDescent="0.2">
      <c r="E116" s="9"/>
      <c r="G116" s="10"/>
      <c r="I116" s="9"/>
      <c r="J116" s="11"/>
      <c r="K116" s="11"/>
      <c r="L116" s="9"/>
      <c r="O116" s="10"/>
      <c r="P116" s="10"/>
      <c r="Q116" s="10"/>
      <c r="R116" s="10"/>
      <c r="V116" s="10"/>
      <c r="W116" s="10"/>
      <c r="X116" s="10"/>
      <c r="Y116" s="10"/>
      <c r="AC116" s="10"/>
      <c r="AD116" s="10"/>
      <c r="AE116" s="10"/>
      <c r="AF116" s="10"/>
      <c r="AJ116" s="10"/>
      <c r="AK116" s="10"/>
      <c r="AL116" s="10"/>
      <c r="AM116" s="10"/>
      <c r="AQ116" s="10"/>
      <c r="AR116" s="10"/>
      <c r="AS116" s="10"/>
      <c r="AT116" s="10"/>
      <c r="AX116" s="10"/>
      <c r="AY116" s="10"/>
      <c r="AZ116" s="10"/>
      <c r="BA116" s="10"/>
      <c r="BE116" s="10"/>
      <c r="BF116" s="10"/>
      <c r="BG116" s="10"/>
      <c r="BH116" s="10"/>
      <c r="BL116" s="10"/>
      <c r="BM116" s="10"/>
      <c r="BN116" s="10"/>
      <c r="BO116" s="10"/>
      <c r="BS116" s="10"/>
      <c r="BT116" s="10"/>
      <c r="BU116" s="10"/>
      <c r="BV116" s="10"/>
      <c r="BZ116" s="10"/>
      <c r="CA116" s="10"/>
      <c r="CB116" s="10"/>
      <c r="CC116" s="10"/>
      <c r="CG116" s="10"/>
      <c r="CH116" s="10"/>
      <c r="CI116" s="10"/>
      <c r="CJ116" s="10"/>
      <c r="CO116" s="10"/>
      <c r="CP116" s="10"/>
      <c r="CQ116" s="10"/>
      <c r="CR116" s="10"/>
      <c r="CU116" s="10"/>
      <c r="CV116" s="10"/>
      <c r="CW116" s="10"/>
      <c r="CX116" s="10"/>
      <c r="DB116" s="10"/>
      <c r="DC116" s="10"/>
      <c r="DD116" s="10"/>
      <c r="DE116" s="10"/>
    </row>
    <row r="117" spans="5:109" outlineLevel="1" x14ac:dyDescent="0.2">
      <c r="E117" s="9"/>
      <c r="G117" s="10"/>
      <c r="I117" s="9"/>
      <c r="J117" s="11"/>
      <c r="K117" s="11"/>
      <c r="L117" s="9"/>
      <c r="O117" s="10"/>
      <c r="P117" s="10"/>
      <c r="Q117" s="10"/>
      <c r="R117" s="10"/>
      <c r="V117" s="10"/>
      <c r="W117" s="10"/>
      <c r="X117" s="10"/>
      <c r="Y117" s="10"/>
      <c r="AC117" s="10"/>
      <c r="AD117" s="10"/>
      <c r="AE117" s="10"/>
      <c r="AF117" s="10"/>
      <c r="AJ117" s="10"/>
      <c r="AK117" s="10"/>
      <c r="AL117" s="10"/>
      <c r="AM117" s="10"/>
      <c r="AQ117" s="10"/>
      <c r="AR117" s="10"/>
      <c r="AS117" s="10"/>
      <c r="AT117" s="10"/>
      <c r="AX117" s="10"/>
      <c r="AY117" s="10"/>
      <c r="AZ117" s="10"/>
      <c r="BA117" s="10"/>
      <c r="BE117" s="10"/>
      <c r="BF117" s="10"/>
      <c r="BG117" s="10"/>
      <c r="BH117" s="10"/>
      <c r="BL117" s="10"/>
      <c r="BM117" s="10"/>
      <c r="BN117" s="10"/>
      <c r="BO117" s="10"/>
      <c r="BS117" s="10"/>
      <c r="BT117" s="10"/>
      <c r="BU117" s="10"/>
      <c r="BV117" s="10"/>
      <c r="BZ117" s="10"/>
      <c r="CA117" s="10"/>
      <c r="CB117" s="10"/>
      <c r="CC117" s="10"/>
      <c r="CG117" s="10"/>
      <c r="CH117" s="10"/>
      <c r="CI117" s="10"/>
      <c r="CJ117" s="10"/>
      <c r="CO117" s="10"/>
      <c r="CP117" s="10"/>
      <c r="CQ117" s="10"/>
      <c r="CR117" s="10"/>
      <c r="CU117" s="10"/>
      <c r="CV117" s="10"/>
      <c r="CW117" s="10"/>
      <c r="CX117" s="10"/>
      <c r="DB117" s="10"/>
      <c r="DC117" s="10"/>
      <c r="DD117" s="10"/>
      <c r="DE117" s="10"/>
    </row>
    <row r="118" spans="5:109" outlineLevel="1" x14ac:dyDescent="0.2">
      <c r="E118" s="9"/>
      <c r="G118" s="10"/>
      <c r="I118" s="9"/>
      <c r="J118" s="11"/>
      <c r="K118" s="11"/>
      <c r="L118" s="9"/>
      <c r="O118" s="10"/>
      <c r="P118" s="10"/>
      <c r="Q118" s="10"/>
      <c r="R118" s="10"/>
      <c r="V118" s="10"/>
      <c r="W118" s="10"/>
      <c r="X118" s="10"/>
      <c r="Y118" s="10"/>
      <c r="AC118" s="10"/>
      <c r="AD118" s="10"/>
      <c r="AE118" s="10"/>
      <c r="AF118" s="10"/>
      <c r="AJ118" s="10"/>
      <c r="AK118" s="10"/>
      <c r="AL118" s="10"/>
      <c r="AM118" s="10"/>
      <c r="AQ118" s="10"/>
      <c r="AR118" s="10"/>
      <c r="AS118" s="10"/>
      <c r="AT118" s="10"/>
      <c r="AX118" s="10"/>
      <c r="AY118" s="10"/>
      <c r="AZ118" s="10"/>
      <c r="BA118" s="10"/>
      <c r="BE118" s="10"/>
      <c r="BF118" s="10"/>
      <c r="BG118" s="10"/>
      <c r="BH118" s="10"/>
      <c r="BL118" s="10"/>
      <c r="BM118" s="10"/>
      <c r="BN118" s="10"/>
      <c r="BO118" s="10"/>
      <c r="BS118" s="10"/>
      <c r="BT118" s="10"/>
      <c r="BU118" s="10"/>
      <c r="BV118" s="10"/>
      <c r="BZ118" s="10"/>
      <c r="CA118" s="10"/>
      <c r="CB118" s="10"/>
      <c r="CC118" s="10"/>
      <c r="CG118" s="10"/>
      <c r="CH118" s="10"/>
      <c r="CI118" s="10"/>
      <c r="CJ118" s="10"/>
      <c r="CO118" s="10"/>
      <c r="CP118" s="10"/>
      <c r="CQ118" s="10"/>
      <c r="CR118" s="10"/>
      <c r="CU118" s="10"/>
      <c r="CV118" s="10"/>
      <c r="CW118" s="10"/>
      <c r="CX118" s="10"/>
      <c r="DB118" s="10"/>
      <c r="DC118" s="10"/>
      <c r="DD118" s="10"/>
      <c r="DE118" s="10"/>
    </row>
    <row r="119" spans="5:109" outlineLevel="1" x14ac:dyDescent="0.2">
      <c r="E119" s="9"/>
      <c r="G119" s="10"/>
      <c r="I119" s="9"/>
      <c r="J119" s="11"/>
      <c r="K119" s="11"/>
      <c r="L119" s="9"/>
      <c r="O119" s="10"/>
      <c r="P119" s="10"/>
      <c r="Q119" s="10"/>
      <c r="R119" s="10"/>
      <c r="V119" s="10"/>
      <c r="W119" s="10"/>
      <c r="X119" s="10"/>
      <c r="Y119" s="10"/>
      <c r="AC119" s="10"/>
      <c r="AD119" s="10"/>
      <c r="AE119" s="10"/>
      <c r="AF119" s="10"/>
      <c r="AJ119" s="10"/>
      <c r="AK119" s="10"/>
      <c r="AL119" s="10"/>
      <c r="AM119" s="10"/>
      <c r="AQ119" s="10"/>
      <c r="AR119" s="10"/>
      <c r="AS119" s="10"/>
      <c r="AT119" s="10"/>
      <c r="AX119" s="10"/>
      <c r="AY119" s="10"/>
      <c r="AZ119" s="10"/>
      <c r="BA119" s="10"/>
      <c r="BE119" s="10"/>
      <c r="BF119" s="10"/>
      <c r="BG119" s="10"/>
      <c r="BH119" s="10"/>
      <c r="BL119" s="10"/>
      <c r="BM119" s="10"/>
      <c r="BN119" s="10"/>
      <c r="BO119" s="10"/>
      <c r="BS119" s="10"/>
      <c r="BT119" s="10"/>
      <c r="BU119" s="10"/>
      <c r="BV119" s="10"/>
      <c r="BZ119" s="10"/>
      <c r="CA119" s="10"/>
      <c r="CB119" s="10"/>
      <c r="CC119" s="10"/>
      <c r="CG119" s="10"/>
      <c r="CH119" s="10"/>
      <c r="CI119" s="10"/>
      <c r="CJ119" s="10"/>
      <c r="CO119" s="10"/>
      <c r="CP119" s="10"/>
      <c r="CQ119" s="10"/>
      <c r="CR119" s="10"/>
      <c r="CU119" s="10"/>
      <c r="CV119" s="10"/>
      <c r="CW119" s="10"/>
      <c r="CX119" s="10"/>
      <c r="DB119" s="10"/>
      <c r="DC119" s="10"/>
      <c r="DD119" s="10"/>
      <c r="DE119" s="10"/>
    </row>
    <row r="120" spans="5:109" outlineLevel="1" x14ac:dyDescent="0.2">
      <c r="E120" s="9"/>
      <c r="G120" s="10"/>
      <c r="I120" s="9"/>
      <c r="J120" s="11"/>
      <c r="K120" s="11"/>
      <c r="L120" s="9"/>
      <c r="O120" s="10"/>
      <c r="P120" s="10"/>
      <c r="Q120" s="10"/>
      <c r="R120" s="10"/>
      <c r="V120" s="10"/>
      <c r="W120" s="10"/>
      <c r="X120" s="10"/>
      <c r="Y120" s="10"/>
      <c r="AC120" s="10"/>
      <c r="AD120" s="10"/>
      <c r="AE120" s="10"/>
      <c r="AF120" s="10"/>
      <c r="AJ120" s="10"/>
      <c r="AK120" s="10"/>
      <c r="AL120" s="10"/>
      <c r="AM120" s="10"/>
      <c r="AQ120" s="10"/>
      <c r="AR120" s="10"/>
      <c r="AS120" s="10"/>
      <c r="AT120" s="10"/>
      <c r="AX120" s="10"/>
      <c r="AY120" s="10"/>
      <c r="AZ120" s="10"/>
      <c r="BA120" s="10"/>
      <c r="BE120" s="10"/>
      <c r="BF120" s="10"/>
      <c r="BG120" s="10"/>
      <c r="BH120" s="10"/>
      <c r="BL120" s="10"/>
      <c r="BM120" s="10"/>
      <c r="BN120" s="10"/>
      <c r="BO120" s="10"/>
      <c r="BS120" s="10"/>
      <c r="BT120" s="10"/>
      <c r="BU120" s="10"/>
      <c r="BV120" s="10"/>
      <c r="BZ120" s="10"/>
      <c r="CA120" s="10"/>
      <c r="CB120" s="10"/>
      <c r="CC120" s="10"/>
      <c r="CG120" s="10"/>
      <c r="CH120" s="10"/>
      <c r="CI120" s="10"/>
      <c r="CJ120" s="10"/>
      <c r="CO120" s="10"/>
      <c r="CP120" s="10"/>
      <c r="CQ120" s="10"/>
      <c r="CR120" s="10"/>
      <c r="CU120" s="10"/>
      <c r="CV120" s="10"/>
      <c r="CW120" s="10"/>
      <c r="CX120" s="10"/>
      <c r="DB120" s="10"/>
      <c r="DC120" s="10"/>
      <c r="DD120" s="10"/>
      <c r="DE120" s="10"/>
    </row>
    <row r="121" spans="5:109" outlineLevel="1" x14ac:dyDescent="0.2">
      <c r="E121" s="9"/>
      <c r="G121" s="10"/>
      <c r="I121" s="9"/>
      <c r="J121" s="11"/>
      <c r="K121" s="11"/>
      <c r="L121" s="9"/>
      <c r="O121" s="10"/>
      <c r="P121" s="10"/>
      <c r="Q121" s="10"/>
      <c r="R121" s="10"/>
      <c r="V121" s="10"/>
      <c r="W121" s="10"/>
      <c r="X121" s="10"/>
      <c r="Y121" s="10"/>
      <c r="AC121" s="10"/>
      <c r="AD121" s="10"/>
      <c r="AE121" s="10"/>
      <c r="AF121" s="10"/>
      <c r="AJ121" s="10"/>
      <c r="AK121" s="10"/>
      <c r="AL121" s="10"/>
      <c r="AM121" s="10"/>
      <c r="AQ121" s="10"/>
      <c r="AR121" s="10"/>
      <c r="AS121" s="10"/>
      <c r="AT121" s="10"/>
      <c r="AX121" s="10"/>
      <c r="AY121" s="10"/>
      <c r="AZ121" s="10"/>
      <c r="BA121" s="10"/>
      <c r="BE121" s="10"/>
      <c r="BF121" s="10"/>
      <c r="BG121" s="10"/>
      <c r="BH121" s="10"/>
      <c r="BL121" s="10"/>
      <c r="BM121" s="10"/>
      <c r="BN121" s="10"/>
      <c r="BO121" s="10"/>
      <c r="BS121" s="10"/>
      <c r="BT121" s="10"/>
      <c r="BU121" s="10"/>
      <c r="BV121" s="10"/>
      <c r="BZ121" s="10"/>
      <c r="CA121" s="10"/>
      <c r="CB121" s="10"/>
      <c r="CC121" s="10"/>
      <c r="CG121" s="10"/>
      <c r="CH121" s="10"/>
      <c r="CI121" s="10"/>
      <c r="CJ121" s="10"/>
      <c r="CO121" s="10"/>
      <c r="CP121" s="10"/>
      <c r="CQ121" s="10"/>
      <c r="CR121" s="10"/>
      <c r="CU121" s="10"/>
      <c r="CV121" s="10"/>
      <c r="CW121" s="10"/>
      <c r="CX121" s="10"/>
      <c r="DB121" s="10"/>
      <c r="DC121" s="10"/>
      <c r="DD121" s="10"/>
      <c r="DE121" s="10"/>
    </row>
    <row r="122" spans="5:109" outlineLevel="1" x14ac:dyDescent="0.2">
      <c r="E122" s="9"/>
      <c r="G122" s="10"/>
      <c r="I122" s="9"/>
      <c r="J122" s="11"/>
      <c r="K122" s="11"/>
      <c r="L122" s="9"/>
      <c r="O122" s="10"/>
      <c r="P122" s="10"/>
      <c r="Q122" s="10"/>
      <c r="R122" s="10"/>
      <c r="V122" s="10"/>
      <c r="W122" s="10"/>
      <c r="X122" s="10"/>
      <c r="Y122" s="10"/>
      <c r="AC122" s="10"/>
      <c r="AD122" s="10"/>
      <c r="AE122" s="10"/>
      <c r="AF122" s="10"/>
      <c r="AJ122" s="10"/>
      <c r="AK122" s="10"/>
      <c r="AL122" s="10"/>
      <c r="AM122" s="10"/>
      <c r="AQ122" s="10"/>
      <c r="AR122" s="10"/>
      <c r="AS122" s="10"/>
      <c r="AT122" s="10"/>
      <c r="AX122" s="10"/>
      <c r="AY122" s="10"/>
      <c r="AZ122" s="10"/>
      <c r="BA122" s="10"/>
      <c r="BE122" s="10"/>
      <c r="BF122" s="10"/>
      <c r="BG122" s="10"/>
      <c r="BH122" s="10"/>
      <c r="BL122" s="10"/>
      <c r="BM122" s="10"/>
      <c r="BN122" s="10"/>
      <c r="BO122" s="10"/>
      <c r="BS122" s="10"/>
      <c r="BT122" s="10"/>
      <c r="BU122" s="10"/>
      <c r="BV122" s="10"/>
      <c r="BZ122" s="10"/>
      <c r="CA122" s="10"/>
      <c r="CB122" s="10"/>
      <c r="CC122" s="10"/>
      <c r="CG122" s="10"/>
      <c r="CH122" s="10"/>
      <c r="CI122" s="10"/>
      <c r="CJ122" s="10"/>
      <c r="CO122" s="10"/>
      <c r="CP122" s="10"/>
      <c r="CQ122" s="10"/>
      <c r="CR122" s="10"/>
      <c r="CU122" s="10"/>
      <c r="CV122" s="10"/>
      <c r="CW122" s="10"/>
      <c r="CX122" s="10"/>
      <c r="DB122" s="10"/>
      <c r="DC122" s="10"/>
      <c r="DD122" s="10"/>
      <c r="DE122" s="10"/>
    </row>
    <row r="123" spans="5:109" outlineLevel="1" x14ac:dyDescent="0.2">
      <c r="E123" s="9"/>
      <c r="G123" s="10"/>
      <c r="I123" s="9"/>
      <c r="J123" s="11"/>
      <c r="K123" s="11"/>
      <c r="L123" s="9"/>
      <c r="O123" s="10"/>
      <c r="P123" s="10"/>
      <c r="Q123" s="10"/>
      <c r="R123" s="10"/>
      <c r="V123" s="10"/>
      <c r="W123" s="10"/>
      <c r="X123" s="10"/>
      <c r="Y123" s="10"/>
      <c r="AC123" s="10"/>
      <c r="AD123" s="10"/>
      <c r="AE123" s="10"/>
      <c r="AF123" s="10"/>
      <c r="AJ123" s="10"/>
      <c r="AK123" s="10"/>
      <c r="AL123" s="10"/>
      <c r="AM123" s="10"/>
      <c r="AQ123" s="10"/>
      <c r="AR123" s="10"/>
      <c r="AS123" s="10"/>
      <c r="AT123" s="10"/>
      <c r="AX123" s="10"/>
      <c r="AY123" s="10"/>
      <c r="AZ123" s="10"/>
      <c r="BA123" s="10"/>
      <c r="BE123" s="10"/>
      <c r="BF123" s="10"/>
      <c r="BG123" s="10"/>
      <c r="BH123" s="10"/>
      <c r="BL123" s="10"/>
      <c r="BM123" s="10"/>
      <c r="BN123" s="10"/>
      <c r="BO123" s="10"/>
      <c r="BS123" s="10"/>
      <c r="BT123" s="10"/>
      <c r="BU123" s="10"/>
      <c r="BV123" s="10"/>
      <c r="BZ123" s="10"/>
      <c r="CA123" s="10"/>
      <c r="CB123" s="10"/>
      <c r="CC123" s="10"/>
      <c r="CG123" s="10"/>
      <c r="CH123" s="10"/>
      <c r="CI123" s="10"/>
      <c r="CJ123" s="10"/>
      <c r="CO123" s="10"/>
      <c r="CP123" s="10"/>
      <c r="CQ123" s="10"/>
      <c r="CR123" s="10"/>
      <c r="CU123" s="10"/>
      <c r="CV123" s="10"/>
      <c r="CW123" s="10"/>
      <c r="CX123" s="10"/>
      <c r="DB123" s="10"/>
      <c r="DC123" s="10"/>
      <c r="DD123" s="10"/>
      <c r="DE123" s="10"/>
    </row>
  </sheetData>
  <mergeCells count="15">
    <mergeCell ref="CN2:CS2"/>
    <mergeCell ref="CT2:CY2"/>
    <mergeCell ref="DA2:DF2"/>
    <mergeCell ref="BK2:BP2"/>
    <mergeCell ref="BR2:BW2"/>
    <mergeCell ref="BY2:CD2"/>
    <mergeCell ref="CF2:CK2"/>
    <mergeCell ref="I2:L2"/>
    <mergeCell ref="N2:S2"/>
    <mergeCell ref="BD2:BI2"/>
    <mergeCell ref="U2:Z2"/>
    <mergeCell ref="AB2:AG2"/>
    <mergeCell ref="AI2:AN2"/>
    <mergeCell ref="AP2:AU2"/>
    <mergeCell ref="AW2:BB2"/>
  </mergeCells>
  <phoneticPr fontId="5" type="noConversion"/>
  <conditionalFormatting sqref="J5:J12">
    <cfRule type="colorScale" priority="1397">
      <colorScale>
        <cfvo type="percent" val="0"/>
        <cfvo type="percent" val="100"/>
        <color rgb="FFFF231B"/>
        <color rgb="FF10FF07"/>
      </colorScale>
    </cfRule>
  </conditionalFormatting>
  <conditionalFormatting sqref="J16">
    <cfRule type="colorScale" priority="945">
      <colorScale>
        <cfvo type="percent" val="0"/>
        <cfvo type="percent" val="100"/>
        <color rgb="FFFF231B"/>
        <color rgb="FF10FF07"/>
      </colorScale>
    </cfRule>
  </conditionalFormatting>
  <conditionalFormatting sqref="J17">
    <cfRule type="colorScale" priority="926">
      <colorScale>
        <cfvo type="percent" val="0"/>
        <cfvo type="percent" val="100"/>
        <color rgb="FFFF231B"/>
        <color rgb="FF10FF07"/>
      </colorScale>
    </cfRule>
  </conditionalFormatting>
  <conditionalFormatting sqref="J18:J24 J15">
    <cfRule type="colorScale" priority="1179">
      <colorScale>
        <cfvo type="percent" val="0"/>
        <cfvo type="percent" val="100"/>
        <color rgb="FFFF231B"/>
        <color rgb="FF10FF07"/>
      </colorScale>
    </cfRule>
  </conditionalFormatting>
  <conditionalFormatting sqref="J27:J42">
    <cfRule type="colorScale" priority="1457">
      <colorScale>
        <cfvo type="percent" val="0"/>
        <cfvo type="percent" val="100"/>
        <color rgb="FFFF231B"/>
        <color rgb="FF10FF07"/>
      </colorScale>
    </cfRule>
  </conditionalFormatting>
  <conditionalFormatting sqref="J43">
    <cfRule type="colorScale" priority="1490">
      <colorScale>
        <cfvo type="percent" val="0"/>
        <cfvo type="percent" val="100"/>
        <color rgb="FFFF231B"/>
        <color rgb="FF10FF07"/>
      </colorScale>
    </cfRule>
  </conditionalFormatting>
  <conditionalFormatting sqref="J45:J53">
    <cfRule type="colorScale" priority="160">
      <colorScale>
        <cfvo type="percent" val="0"/>
        <cfvo type="percent" val="100"/>
        <color rgb="FFFF231B"/>
        <color rgb="FF10FF07"/>
      </colorScale>
    </cfRule>
  </conditionalFormatting>
  <conditionalFormatting sqref="J56:J70">
    <cfRule type="colorScale" priority="163">
      <colorScale>
        <cfvo type="percent" val="0"/>
        <cfvo type="percent" val="100"/>
        <color rgb="FFFF231B"/>
        <color rgb="FF10FF07"/>
      </colorScale>
    </cfRule>
  </conditionalFormatting>
  <conditionalFormatting sqref="J71:J76">
    <cfRule type="colorScale" priority="345">
      <colorScale>
        <cfvo type="percent" val="0"/>
        <cfvo type="percent" val="100"/>
        <color rgb="FFFF231B"/>
        <color rgb="FF10FF07"/>
      </colorScale>
    </cfRule>
  </conditionalFormatting>
  <conditionalFormatting sqref="J79:J93">
    <cfRule type="colorScale" priority="348">
      <colorScale>
        <cfvo type="percent" val="0"/>
        <cfvo type="percent" val="100"/>
        <color rgb="FFFF231B"/>
        <color rgb="FF10FF07"/>
      </colorScale>
    </cfRule>
  </conditionalFormatting>
  <conditionalFormatting sqref="J98:J106">
    <cfRule type="colorScale" priority="250">
      <colorScale>
        <cfvo type="percent" val="0"/>
        <cfvo type="percent" val="100"/>
        <color rgb="FFFF231B"/>
        <color rgb="FF10FF07"/>
      </colorScale>
    </cfRule>
  </conditionalFormatting>
  <conditionalFormatting sqref="J109:J123">
    <cfRule type="colorScale" priority="253">
      <colorScale>
        <cfvo type="percent" val="0"/>
        <cfvo type="percent" val="100"/>
        <color rgb="FFFF231B"/>
        <color rgb="FF10FF07"/>
      </colorScale>
    </cfRule>
  </conditionalFormatting>
  <conditionalFormatting sqref="J6:K12">
    <cfRule type="colorScale" priority="1368">
      <colorScale>
        <cfvo type="percent" val="0"/>
        <cfvo type="percent" val="100"/>
        <color rgb="FFFF231B"/>
        <color rgb="FF10FF07"/>
      </colorScale>
    </cfRule>
  </conditionalFormatting>
  <conditionalFormatting sqref="J16:K16">
    <cfRule type="colorScale" priority="946">
      <colorScale>
        <cfvo type="percent" val="0"/>
        <cfvo type="percent" val="100"/>
        <color rgb="FFFF231B"/>
        <color rgb="FF10FF07"/>
      </colorScale>
    </cfRule>
  </conditionalFormatting>
  <conditionalFormatting sqref="J17:K17">
    <cfRule type="colorScale" priority="927">
      <colorScale>
        <cfvo type="percent" val="0"/>
        <cfvo type="percent" val="100"/>
        <color rgb="FFFF231B"/>
        <color rgb="FF10FF07"/>
      </colorScale>
    </cfRule>
  </conditionalFormatting>
  <conditionalFormatting sqref="J18:K24">
    <cfRule type="colorScale" priority="1180">
      <colorScale>
        <cfvo type="percent" val="0"/>
        <cfvo type="percent" val="100"/>
        <color rgb="FFFF231B"/>
        <color rgb="FF10FF07"/>
      </colorScale>
    </cfRule>
  </conditionalFormatting>
  <conditionalFormatting sqref="J28:K37">
    <cfRule type="colorScale" priority="1455">
      <colorScale>
        <cfvo type="percent" val="0"/>
        <cfvo type="percent" val="100"/>
        <color rgb="FFFF231B"/>
        <color rgb="FF10FF07"/>
      </colorScale>
    </cfRule>
  </conditionalFormatting>
  <conditionalFormatting sqref="J38:K42">
    <cfRule type="colorScale" priority="259">
      <colorScale>
        <cfvo type="percent" val="0"/>
        <cfvo type="percent" val="100"/>
        <color rgb="FFFF231B"/>
        <color rgb="FF10FF07"/>
      </colorScale>
    </cfRule>
  </conditionalFormatting>
  <conditionalFormatting sqref="J43:K43">
    <cfRule type="colorScale" priority="1488">
      <colorScale>
        <cfvo type="percent" val="0"/>
        <cfvo type="percent" val="100"/>
        <color rgb="FFFF231B"/>
        <color rgb="FF10FF07"/>
      </colorScale>
    </cfRule>
  </conditionalFormatting>
  <conditionalFormatting sqref="J46:K53">
    <cfRule type="colorScale" priority="159">
      <colorScale>
        <cfvo type="percent" val="0"/>
        <cfvo type="percent" val="100"/>
        <color rgb="FFFF231B"/>
        <color rgb="FF10FF07"/>
      </colorScale>
    </cfRule>
  </conditionalFormatting>
  <conditionalFormatting sqref="J57:K65">
    <cfRule type="colorScale" priority="162">
      <colorScale>
        <cfvo type="percent" val="0"/>
        <cfvo type="percent" val="100"/>
        <color rgb="FFFF231B"/>
        <color rgb="FF10FF07"/>
      </colorScale>
    </cfRule>
  </conditionalFormatting>
  <conditionalFormatting sqref="J66:K66">
    <cfRule type="colorScale" priority="134">
      <colorScale>
        <cfvo type="percent" val="0"/>
        <cfvo type="percent" val="100"/>
        <color rgb="FFFF231B"/>
        <color rgb="FF10FF07"/>
      </colorScale>
    </cfRule>
  </conditionalFormatting>
  <conditionalFormatting sqref="J67:K67">
    <cfRule type="colorScale" priority="133">
      <colorScale>
        <cfvo type="percent" val="0"/>
        <cfvo type="percent" val="100"/>
        <color rgb="FFFF231B"/>
        <color rgb="FF10FF07"/>
      </colorScale>
    </cfRule>
  </conditionalFormatting>
  <conditionalFormatting sqref="J68:K68">
    <cfRule type="colorScale" priority="132">
      <colorScale>
        <cfvo type="percent" val="0"/>
        <cfvo type="percent" val="100"/>
        <color rgb="FFFF231B"/>
        <color rgb="FF10FF07"/>
      </colorScale>
    </cfRule>
  </conditionalFormatting>
  <conditionalFormatting sqref="J69:K70">
    <cfRule type="colorScale" priority="131">
      <colorScale>
        <cfvo type="percent" val="0"/>
        <cfvo type="percent" val="100"/>
        <color rgb="FFFF231B"/>
        <color rgb="FF10FF07"/>
      </colorScale>
    </cfRule>
  </conditionalFormatting>
  <conditionalFormatting sqref="J71:K76">
    <cfRule type="colorScale" priority="344">
      <colorScale>
        <cfvo type="percent" val="0"/>
        <cfvo type="percent" val="100"/>
        <color rgb="FFFF231B"/>
        <color rgb="FF10FF07"/>
      </colorScale>
    </cfRule>
  </conditionalFormatting>
  <conditionalFormatting sqref="J80:K88">
    <cfRule type="colorScale" priority="347">
      <colorScale>
        <cfvo type="percent" val="0"/>
        <cfvo type="percent" val="100"/>
        <color rgb="FFFF231B"/>
        <color rgb="FF10FF07"/>
      </colorScale>
    </cfRule>
  </conditionalFormatting>
  <conditionalFormatting sqref="J89:K89">
    <cfRule type="colorScale" priority="319">
      <colorScale>
        <cfvo type="percent" val="0"/>
        <cfvo type="percent" val="100"/>
        <color rgb="FFFF231B"/>
        <color rgb="FF10FF07"/>
      </colorScale>
    </cfRule>
  </conditionalFormatting>
  <conditionalFormatting sqref="J90:K90">
    <cfRule type="colorScale" priority="318">
      <colorScale>
        <cfvo type="percent" val="0"/>
        <cfvo type="percent" val="100"/>
        <color rgb="FFFF231B"/>
        <color rgb="FF10FF07"/>
      </colorScale>
    </cfRule>
  </conditionalFormatting>
  <conditionalFormatting sqref="J91:K91">
    <cfRule type="colorScale" priority="317">
      <colorScale>
        <cfvo type="percent" val="0"/>
        <cfvo type="percent" val="100"/>
        <color rgb="FFFF231B"/>
        <color rgb="FF10FF07"/>
      </colorScale>
    </cfRule>
  </conditionalFormatting>
  <conditionalFormatting sqref="J92:K93">
    <cfRule type="colorScale" priority="316">
      <colorScale>
        <cfvo type="percent" val="0"/>
        <cfvo type="percent" val="100"/>
        <color rgb="FFFF231B"/>
        <color rgb="FF10FF07"/>
      </colorScale>
    </cfRule>
  </conditionalFormatting>
  <conditionalFormatting sqref="J99:K106">
    <cfRule type="colorScale" priority="249">
      <colorScale>
        <cfvo type="percent" val="0"/>
        <cfvo type="percent" val="100"/>
        <color rgb="FFFF231B"/>
        <color rgb="FF10FF07"/>
      </colorScale>
    </cfRule>
  </conditionalFormatting>
  <conditionalFormatting sqref="J110:K118">
    <cfRule type="colorScale" priority="252">
      <colorScale>
        <cfvo type="percent" val="0"/>
        <cfvo type="percent" val="100"/>
        <color rgb="FFFF231B"/>
        <color rgb="FF10FF07"/>
      </colorScale>
    </cfRule>
  </conditionalFormatting>
  <conditionalFormatting sqref="J119:K119">
    <cfRule type="colorScale" priority="224">
      <colorScale>
        <cfvo type="percent" val="0"/>
        <cfvo type="percent" val="100"/>
        <color rgb="FFFF231B"/>
        <color rgb="FF10FF07"/>
      </colorScale>
    </cfRule>
  </conditionalFormatting>
  <conditionalFormatting sqref="J120:K120">
    <cfRule type="colorScale" priority="223">
      <colorScale>
        <cfvo type="percent" val="0"/>
        <cfvo type="percent" val="100"/>
        <color rgb="FFFF231B"/>
        <color rgb="FF10FF07"/>
      </colorScale>
    </cfRule>
  </conditionalFormatting>
  <conditionalFormatting sqref="J121:K121">
    <cfRule type="colorScale" priority="222">
      <colorScale>
        <cfvo type="percent" val="0"/>
        <cfvo type="percent" val="100"/>
        <color rgb="FFFF231B"/>
        <color rgb="FF10FF07"/>
      </colorScale>
    </cfRule>
  </conditionalFormatting>
  <conditionalFormatting sqref="J122:K123">
    <cfRule type="colorScale" priority="221">
      <colorScale>
        <cfvo type="percent" val="0"/>
        <cfvo type="percent" val="100"/>
        <color rgb="FFFF231B"/>
        <color rgb="FF10FF07"/>
      </colorScale>
    </cfRule>
  </conditionalFormatting>
  <conditionalFormatting sqref="K5:K12">
    <cfRule type="colorScale" priority="1398">
      <colorScale>
        <cfvo type="percent" val="0"/>
        <cfvo type="percent" val="100"/>
        <color rgb="FFFF231B"/>
        <color rgb="FF10FF07"/>
      </colorScale>
    </cfRule>
  </conditionalFormatting>
  <conditionalFormatting sqref="K16">
    <cfRule type="colorScale" priority="944">
      <colorScale>
        <cfvo type="percent" val="0"/>
        <cfvo type="percent" val="100"/>
        <color rgb="FFFF231B"/>
        <color rgb="FF10FF07"/>
      </colorScale>
    </cfRule>
  </conditionalFormatting>
  <conditionalFormatting sqref="K17">
    <cfRule type="colorScale" priority="925">
      <colorScale>
        <cfvo type="percent" val="0"/>
        <cfvo type="percent" val="100"/>
        <color rgb="FFFF231B"/>
        <color rgb="FF10FF07"/>
      </colorScale>
    </cfRule>
  </conditionalFormatting>
  <conditionalFormatting sqref="K18:K24 K15">
    <cfRule type="colorScale" priority="1178">
      <colorScale>
        <cfvo type="percent" val="0"/>
        <cfvo type="percent" val="100"/>
        <color rgb="FFFF231B"/>
        <color rgb="FF10FF07"/>
      </colorScale>
    </cfRule>
  </conditionalFormatting>
  <conditionalFormatting sqref="K27:K42">
    <cfRule type="colorScale" priority="1459">
      <colorScale>
        <cfvo type="percent" val="0"/>
        <cfvo type="percent" val="100"/>
        <color rgb="FFFF231B"/>
        <color rgb="FF10FF07"/>
      </colorScale>
    </cfRule>
  </conditionalFormatting>
  <conditionalFormatting sqref="K43">
    <cfRule type="colorScale" priority="1492">
      <colorScale>
        <cfvo type="percent" val="0"/>
        <cfvo type="percent" val="100"/>
        <color rgb="FFFF231B"/>
        <color rgb="FF10FF07"/>
      </colorScale>
    </cfRule>
  </conditionalFormatting>
  <conditionalFormatting sqref="K45:K53">
    <cfRule type="colorScale" priority="161">
      <colorScale>
        <cfvo type="percent" val="0"/>
        <cfvo type="percent" val="100"/>
        <color rgb="FFFF231B"/>
        <color rgb="FF10FF07"/>
      </colorScale>
    </cfRule>
  </conditionalFormatting>
  <conditionalFormatting sqref="K56:K70">
    <cfRule type="colorScale" priority="164">
      <colorScale>
        <cfvo type="percent" val="0"/>
        <cfvo type="percent" val="100"/>
        <color rgb="FFFF231B"/>
        <color rgb="FF10FF07"/>
      </colorScale>
    </cfRule>
  </conditionalFormatting>
  <conditionalFormatting sqref="K71:K76">
    <cfRule type="colorScale" priority="346">
      <colorScale>
        <cfvo type="percent" val="0"/>
        <cfvo type="percent" val="100"/>
        <color rgb="FFFF231B"/>
        <color rgb="FF10FF07"/>
      </colorScale>
    </cfRule>
  </conditionalFormatting>
  <conditionalFormatting sqref="K79:K93">
    <cfRule type="colorScale" priority="349">
      <colorScale>
        <cfvo type="percent" val="0"/>
        <cfvo type="percent" val="100"/>
        <color rgb="FFFF231B"/>
        <color rgb="FF10FF07"/>
      </colorScale>
    </cfRule>
  </conditionalFormatting>
  <conditionalFormatting sqref="K98:K106">
    <cfRule type="colorScale" priority="251">
      <colorScale>
        <cfvo type="percent" val="0"/>
        <cfvo type="percent" val="100"/>
        <color rgb="FFFF231B"/>
        <color rgb="FF10FF07"/>
      </colorScale>
    </cfRule>
  </conditionalFormatting>
  <conditionalFormatting sqref="K109:K123">
    <cfRule type="colorScale" priority="254">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X27:X35 X38:X43">
    <cfRule type="expression" dxfId="297" priority="1365">
      <formula>OR(IF(O5&lt;P5,TRUE),IF(AND(P5="",O5&lt;&gt;""),TRUE))</formula>
    </cfRule>
    <cfRule type="expression" dxfId="296" priority="1366">
      <formula>IF(O5&gt;=P5,IF(O5="",FALSE,TRUE))</formula>
    </cfRule>
  </conditionalFormatting>
  <conditionalFormatting sqref="O15:O24 Q15:Q24">
    <cfRule type="expression" dxfId="295" priority="940">
      <formula>OR(IF(O15&lt;P15,TRUE),IF(AND(P15="",O15&lt;&gt;""),TRUE))</formula>
    </cfRule>
    <cfRule type="expression" dxfId="294" priority="941">
      <formula>IF(O15&gt;=P15,IF(O15="",FALSE,TRUE))</formula>
    </cfRule>
  </conditionalFormatting>
  <conditionalFormatting sqref="O27:O43">
    <cfRule type="expression" dxfId="293" priority="1093">
      <formula>OR(IF(O27&lt;P27,TRUE),IF(AND(P27="",O27&lt;&gt;""),TRUE))</formula>
    </cfRule>
    <cfRule type="expression" dxfId="292" priority="1094">
      <formula>IF(O27&gt;=P27,IF(O27="",FALSE,TRUE))</formula>
    </cfRule>
  </conditionalFormatting>
  <conditionalFormatting sqref="O45:O53">
    <cfRule type="expression" dxfId="291" priority="155">
      <formula>OR(IF(O45&lt;P45,TRUE),IF(AND(P45="",O45&lt;&gt;""),TRUE))</formula>
    </cfRule>
    <cfRule type="expression" dxfId="290" priority="156">
      <formula>IF(O45&gt;=P45,IF(O45="",FALSE,TRUE))</formula>
    </cfRule>
  </conditionalFormatting>
  <conditionalFormatting sqref="O98:O106">
    <cfRule type="expression" dxfId="289" priority="245">
      <formula>OR(IF(O98&lt;P98,TRUE),IF(AND(P98="",O98&lt;&gt;""),TRUE))</formula>
    </cfRule>
    <cfRule type="expression" dxfId="288" priority="246">
      <formula>IF(O98&gt;=P98,IF(O98="",FALSE,TRUE))</formula>
    </cfRule>
  </conditionalFormatting>
  <conditionalFormatting sqref="Q27:Q43">
    <cfRule type="expression" dxfId="287" priority="1091">
      <formula>OR(IF(Q27&lt;R27,TRUE),IF(AND(R27="",Q27&lt;&gt;""),TRUE))</formula>
    </cfRule>
    <cfRule type="expression" dxfId="286" priority="1092">
      <formula>IF(Q27&gt;=R27,IF(Q27="",FALSE,TRUE))</formula>
    </cfRule>
  </conditionalFormatting>
  <conditionalFormatting sqref="Q45:Q53">
    <cfRule type="expression" dxfId="285" priority="153">
      <formula>OR(IF(Q45&lt;R45,TRUE),IF(AND(R45="",Q45&lt;&gt;""),TRUE))</formula>
    </cfRule>
    <cfRule type="expression" dxfId="284" priority="154">
      <formula>IF(Q45&gt;=R45,IF(Q45="",FALSE,TRUE))</formula>
    </cfRule>
  </conditionalFormatting>
  <conditionalFormatting sqref="Q56:Q60 O56:O76 V56:V76 X56:X76 AC56:AC76 AE56:AE76 AJ56:AJ76 AL56:AL76 AQ56:AQ76 AS56:AS76 AX56:AX76 AZ56:AZ76 BE56:BE76 BG56:BG76 BL56:BL76 BN56:BN76 Q63:Q76 AM68:AP68">
    <cfRule type="expression" dxfId="283" priority="157">
      <formula>OR(IF(O56&lt;P56,TRUE),IF(AND(P56="",O56&lt;&gt;""),TRUE))</formula>
    </cfRule>
    <cfRule type="expression" dxfId="282" priority="158">
      <formula>IF(O56&gt;=P56,IF(O56="",FALSE,TRUE))</formula>
    </cfRule>
  </conditionalFormatting>
  <conditionalFormatting sqref="Q61 X36">
    <cfRule type="expression" dxfId="281" priority="165">
      <formula>OR(IF(Q36&lt;R37,TRUE),IF(AND(R37="",Q36&lt;&gt;""),TRUE))</formula>
    </cfRule>
    <cfRule type="expression" dxfId="280" priority="166">
      <formula>IF(Q36&gt;=R37,IF(Q36="",FALSE,TRUE))</formula>
    </cfRule>
  </conditionalFormatting>
  <conditionalFormatting sqref="Q62">
    <cfRule type="expression" dxfId="279" priority="167">
      <formula>OR(IF(Q62&lt;#REF!,TRUE),IF(AND(#REF!="",Q62&lt;&gt;""),TRUE))</formula>
    </cfRule>
    <cfRule type="expression" dxfId="278" priority="168">
      <formula>IF(Q62&gt;=#REF!,IF(Q62="",FALSE,TRUE))</formula>
    </cfRule>
  </conditionalFormatting>
  <conditionalFormatting sqref="Q79:Q83 O79:O93 V79:V93 X79:X93 AC79:AC93 AE79:AE93 AJ79:AJ93 AL79:AL93 AQ79:AQ93 AS79:AS93 AX79:AX93 AZ79:AZ93 BE79:BE93 BG79:BG93 BL79:BL93 BN79:BN93 Q86:Q93">
    <cfRule type="expression" dxfId="277" priority="342">
      <formula>OR(IF(O79&lt;P79,TRUE),IF(AND(P79="",O79&lt;&gt;""),TRUE))</formula>
    </cfRule>
    <cfRule type="expression" dxfId="276" priority="343">
      <formula>IF(O79&gt;=P79,IF(O79="",FALSE,TRUE))</formula>
    </cfRule>
  </conditionalFormatting>
  <conditionalFormatting sqref="Q84">
    <cfRule type="expression" dxfId="275" priority="350">
      <formula>OR(IF(Q84&lt;R85,TRUE),IF(AND(R85="",Q84&lt;&gt;""),TRUE))</formula>
    </cfRule>
    <cfRule type="expression" dxfId="274" priority="351">
      <formula>IF(Q84&gt;=R85,IF(Q84="",FALSE,TRUE))</formula>
    </cfRule>
  </conditionalFormatting>
  <conditionalFormatting sqref="Q85">
    <cfRule type="expression" dxfId="273" priority="352">
      <formula>OR(IF(Q85&lt;#REF!,TRUE),IF(AND(#REF!="",Q85&lt;&gt;""),TRUE))</formula>
    </cfRule>
    <cfRule type="expression" dxfId="272" priority="353">
      <formula>IF(Q85&gt;=#REF!,IF(Q85="",FALSE,TRUE))</formula>
    </cfRule>
  </conditionalFormatting>
  <conditionalFormatting sqref="Q98:Q106">
    <cfRule type="expression" dxfId="271" priority="243">
      <formula>OR(IF(Q98&lt;R98,TRUE),IF(AND(R98="",Q98&lt;&gt;""),TRUE))</formula>
    </cfRule>
    <cfRule type="expression" dxfId="270" priority="244">
      <formula>IF(Q98&gt;=R98,IF(Q98="",FALSE,TRUE))</formula>
    </cfRule>
  </conditionalFormatting>
  <conditionalFormatting sqref="Q109:Q113 O109:O123 V109:V123 X109:X123 AC109:AC123 AE109:AE123 AJ109:AJ123 AL109:AL123 AQ109:AQ123 AS109:AS123 AX109:AX123 AZ109:AZ123 BE109:BE123 BG109:BG123 BL109:BL123 BN109:BN123 Q116:Q123">
    <cfRule type="expression" dxfId="269" priority="247">
      <formula>OR(IF(O109&lt;P109,TRUE),IF(AND(P109="",O109&lt;&gt;""),TRUE))</formula>
    </cfRule>
    <cfRule type="expression" dxfId="268" priority="248">
      <formula>IF(O109&gt;=P109,IF(O109="",FALSE,TRUE))</formula>
    </cfRule>
  </conditionalFormatting>
  <conditionalFormatting sqref="Q114">
    <cfRule type="expression" dxfId="267" priority="255">
      <formula>OR(IF(Q114&lt;R115,TRUE),IF(AND(R115="",Q114&lt;&gt;""),TRUE))</formula>
    </cfRule>
    <cfRule type="expression" dxfId="266" priority="256">
      <formula>IF(Q114&gt;=R115,IF(Q114="",FALSE,TRUE))</formula>
    </cfRule>
  </conditionalFormatting>
  <conditionalFormatting sqref="Q115">
    <cfRule type="expression" dxfId="265" priority="257">
      <formula>OR(IF(Q115&lt;#REF!,TRUE),IF(AND(#REF!="",Q115&lt;&gt;""),TRUE))</formula>
    </cfRule>
    <cfRule type="expression" dxfId="264" priority="258">
      <formula>IF(Q115&gt;=#REF!,IF(Q115="",FALSE,TRUE))</formula>
    </cfRule>
  </conditionalFormatting>
  <conditionalFormatting sqref="V14:V24 X14:X24">
    <cfRule type="expression" dxfId="263" priority="760">
      <formula>OR(IF(V14&lt;W14,TRUE),IF(AND(W14="",V14&lt;&gt;""),TRUE))</formula>
    </cfRule>
    <cfRule type="expression" dxfId="262" priority="761">
      <formula>IF(V14&gt;=W14,IF(V14="",FALSE,TRUE))</formula>
    </cfRule>
  </conditionalFormatting>
  <conditionalFormatting sqref="V27:V43">
    <cfRule type="expression" dxfId="261" priority="554">
      <formula>OR(IF(V27&lt;W27,TRUE),IF(AND(W27="",V27&lt;&gt;""),TRUE))</formula>
    </cfRule>
    <cfRule type="expression" dxfId="260" priority="555">
      <formula>IF(V27&gt;=W27,IF(V27="",FALSE,TRUE))</formula>
    </cfRule>
  </conditionalFormatting>
  <conditionalFormatting sqref="V45:V53">
    <cfRule type="expression" dxfId="259" priority="123">
      <formula>OR(IF(V45&lt;W45,TRUE),IF(AND(W45="",V45&lt;&gt;""),TRUE))</formula>
    </cfRule>
    <cfRule type="expression" dxfId="258" priority="124">
      <formula>IF(V45&gt;=W45,IF(V45="",FALSE,TRUE))</formula>
    </cfRule>
  </conditionalFormatting>
  <conditionalFormatting sqref="V98:V106">
    <cfRule type="expression" dxfId="257" priority="213">
      <formula>OR(IF(V98&lt;W98,TRUE),IF(AND(W98="",V98&lt;&gt;""),TRUE))</formula>
    </cfRule>
    <cfRule type="expression" dxfId="256" priority="214">
      <formula>IF(V98&gt;=W98,IF(V98="",FALSE,TRUE))</formula>
    </cfRule>
  </conditionalFormatting>
  <conditionalFormatting sqref="X45:X53">
    <cfRule type="expression" dxfId="255" priority="121">
      <formula>OR(IF(X45&lt;Y45,TRUE),IF(AND(Y45="",X45&lt;&gt;""),TRUE))</formula>
    </cfRule>
    <cfRule type="expression" dxfId="254" priority="122">
      <formula>IF(X45&gt;=Y45,IF(X45="",FALSE,TRUE))</formula>
    </cfRule>
  </conditionalFormatting>
  <conditionalFormatting sqref="X98:X106">
    <cfRule type="expression" dxfId="253" priority="211">
      <formula>OR(IF(X98&lt;Y98,TRUE),IF(AND(Y98="",X98&lt;&gt;""),TRUE))</formula>
    </cfRule>
    <cfRule type="expression" dxfId="252" priority="212">
      <formula>IF(X98&gt;=Y98,IF(X98="",FALSE,TRUE))</formula>
    </cfRule>
  </conditionalFormatting>
  <conditionalFormatting sqref="AC14:AC24 AE14:AE24">
    <cfRule type="expression" dxfId="251" priority="754">
      <formula>OR(IF(AC14&lt;AD14,TRUE),IF(AND(AD14="",AC14&lt;&gt;""),TRUE))</formula>
    </cfRule>
    <cfRule type="expression" dxfId="250" priority="755">
      <formula>IF(AC14&gt;=AD14,IF(AC14="",FALSE,TRUE))</formula>
    </cfRule>
  </conditionalFormatting>
  <conditionalFormatting sqref="AC27:AC43">
    <cfRule type="expression" dxfId="249" priority="546">
      <formula>OR(IF(AC27&lt;AD27,TRUE),IF(AND(AD27="",AC27&lt;&gt;""),TRUE))</formula>
    </cfRule>
    <cfRule type="expression" dxfId="248" priority="547">
      <formula>IF(AC27&gt;=AD27,IF(AC27="",FALSE,TRUE))</formula>
    </cfRule>
  </conditionalFormatting>
  <conditionalFormatting sqref="AC45:AC53">
    <cfRule type="expression" dxfId="247" priority="119">
      <formula>OR(IF(AC45&lt;AD45,TRUE),IF(AND(AD45="",AC45&lt;&gt;""),TRUE))</formula>
    </cfRule>
    <cfRule type="expression" dxfId="246" priority="120">
      <formula>IF(AC45&gt;=AD45,IF(AC45="",FALSE,TRUE))</formula>
    </cfRule>
  </conditionalFormatting>
  <conditionalFormatting sqref="AC98:AC106">
    <cfRule type="expression" dxfId="245" priority="209">
      <formula>OR(IF(AC98&lt;AD98,TRUE),IF(AND(AD98="",AC98&lt;&gt;""),TRUE))</formula>
    </cfRule>
    <cfRule type="expression" dxfId="244" priority="210">
      <formula>IF(AC98&gt;=AD98,IF(AC98="",FALSE,TRUE))</formula>
    </cfRule>
  </conditionalFormatting>
  <conditionalFormatting sqref="AE27:AE43">
    <cfRule type="expression" dxfId="243" priority="544">
      <formula>OR(IF(AE27&lt;AF27,TRUE),IF(AND(AF27="",AE27&lt;&gt;""),TRUE))</formula>
    </cfRule>
    <cfRule type="expression" dxfId="242" priority="545">
      <formula>IF(AE27&gt;=AF27,IF(AE27="",FALSE,TRUE))</formula>
    </cfRule>
  </conditionalFormatting>
  <conditionalFormatting sqref="AE45:AE53">
    <cfRule type="expression" dxfId="241" priority="117">
      <formula>OR(IF(AE45&lt;AF45,TRUE),IF(AND(AF45="",AE45&lt;&gt;""),TRUE))</formula>
    </cfRule>
    <cfRule type="expression" dxfId="240" priority="118">
      <formula>IF(AE45&gt;=AF45,IF(AE45="",FALSE,TRUE))</formula>
    </cfRule>
  </conditionalFormatting>
  <conditionalFormatting sqref="AE98:AE106">
    <cfRule type="expression" dxfId="239" priority="207">
      <formula>OR(IF(AE98&lt;AF98,TRUE),IF(AND(AF98="",AE98&lt;&gt;""),TRUE))</formula>
    </cfRule>
    <cfRule type="expression" dxfId="238" priority="208">
      <formula>IF(AE98&gt;=AF98,IF(AE98="",FALSE,TRUE))</formula>
    </cfRule>
  </conditionalFormatting>
  <conditionalFormatting sqref="AJ14:AJ24 AL14:AL24">
    <cfRule type="expression" dxfId="237" priority="738">
      <formula>OR(IF(AJ14&lt;AK14,TRUE),IF(AND(AK14="",AJ14&lt;&gt;""),TRUE))</formula>
    </cfRule>
    <cfRule type="expression" dxfId="236" priority="739">
      <formula>IF(AJ14&gt;=AK14,IF(AJ14="",FALSE,TRUE))</formula>
    </cfRule>
  </conditionalFormatting>
  <conditionalFormatting sqref="AJ27:AJ43">
    <cfRule type="expression" dxfId="235" priority="534">
      <formula>OR(IF(AJ27&lt;AK27,TRUE),IF(AND(AK27="",AJ27&lt;&gt;""),TRUE))</formula>
    </cfRule>
    <cfRule type="expression" dxfId="234" priority="535">
      <formula>IF(AJ27&gt;=AK27,IF(AJ27="",FALSE,TRUE))</formula>
    </cfRule>
  </conditionalFormatting>
  <conditionalFormatting sqref="AJ45:AJ53">
    <cfRule type="expression" dxfId="233" priority="115">
      <formula>OR(IF(AJ45&lt;AK45,TRUE),IF(AND(AK45="",AJ45&lt;&gt;""),TRUE))</formula>
    </cfRule>
    <cfRule type="expression" dxfId="232" priority="116">
      <formula>IF(AJ45&gt;=AK45,IF(AJ45="",FALSE,TRUE))</formula>
    </cfRule>
  </conditionalFormatting>
  <conditionalFormatting sqref="AJ98:AJ106">
    <cfRule type="expression" dxfId="231" priority="205">
      <formula>OR(IF(AJ98&lt;AK98,TRUE),IF(AND(AK98="",AJ98&lt;&gt;""),TRUE))</formula>
    </cfRule>
    <cfRule type="expression" dxfId="230" priority="206">
      <formula>IF(AJ98&gt;=AK98,IF(AJ98="",FALSE,TRUE))</formula>
    </cfRule>
  </conditionalFormatting>
  <conditionalFormatting sqref="AL27:AL43">
    <cfRule type="expression" dxfId="229" priority="532">
      <formula>OR(IF(AL27&lt;AM27,TRUE),IF(AND(AM27="",AL27&lt;&gt;""),TRUE))</formula>
    </cfRule>
    <cfRule type="expression" dxfId="228" priority="533">
      <formula>IF(AL27&gt;=AM27,IF(AL27="",FALSE,TRUE))</formula>
    </cfRule>
  </conditionalFormatting>
  <conditionalFormatting sqref="AL45:AL53">
    <cfRule type="expression" dxfId="227" priority="113">
      <formula>OR(IF(AL45&lt;AM45,TRUE),IF(AND(AM45="",AL45&lt;&gt;""),TRUE))</formula>
    </cfRule>
    <cfRule type="expression" dxfId="226" priority="114">
      <formula>IF(AL45&gt;=AM45,IF(AL45="",FALSE,TRUE))</formula>
    </cfRule>
  </conditionalFormatting>
  <conditionalFormatting sqref="AL98:AL106">
    <cfRule type="expression" dxfId="225" priority="203">
      <formula>OR(IF(AL98&lt;AM98,TRUE),IF(AND(AM98="",AL98&lt;&gt;""),TRUE))</formula>
    </cfRule>
    <cfRule type="expression" dxfId="224" priority="204">
      <formula>IF(AL98&gt;=AM98,IF(AL98="",FALSE,TRUE))</formula>
    </cfRule>
  </conditionalFormatting>
  <conditionalFormatting sqref="AQ15:AQ24 AS15:AS24">
    <cfRule type="expression" dxfId="223" priority="730">
      <formula>OR(IF(AQ15&lt;AR15,TRUE),IF(AND(AR15="",AQ15&lt;&gt;""),TRUE))</formula>
    </cfRule>
    <cfRule type="expression" dxfId="222" priority="731">
      <formula>IF(AQ15&gt;=AR15,IF(AQ15="",FALSE,TRUE))</formula>
    </cfRule>
  </conditionalFormatting>
  <conditionalFormatting sqref="AQ27:AQ43">
    <cfRule type="expression" dxfId="221" priority="518">
      <formula>OR(IF(AQ27&lt;AR27,TRUE),IF(AND(AR27="",AQ27&lt;&gt;""),TRUE))</formula>
    </cfRule>
    <cfRule type="expression" dxfId="220" priority="519">
      <formula>IF(AQ27&gt;=AR27,IF(AQ27="",FALSE,TRUE))</formula>
    </cfRule>
  </conditionalFormatting>
  <conditionalFormatting sqref="AQ45:AQ53">
    <cfRule type="expression" dxfId="219" priority="111">
      <formula>OR(IF(AQ45&lt;AR45,TRUE),IF(AND(AR45="",AQ45&lt;&gt;""),TRUE))</formula>
    </cfRule>
    <cfRule type="expression" dxfId="218" priority="112">
      <formula>IF(AQ45&gt;=AR45,IF(AQ45="",FALSE,TRUE))</formula>
    </cfRule>
  </conditionalFormatting>
  <conditionalFormatting sqref="AQ98:AQ106">
    <cfRule type="expression" dxfId="217" priority="201">
      <formula>OR(IF(AQ98&lt;AR98,TRUE),IF(AND(AR98="",AQ98&lt;&gt;""),TRUE))</formula>
    </cfRule>
    <cfRule type="expression" dxfId="216" priority="202">
      <formula>IF(AQ98&gt;=AR98,IF(AQ98="",FALSE,TRUE))</formula>
    </cfRule>
  </conditionalFormatting>
  <conditionalFormatting sqref="AS27:AS43">
    <cfRule type="expression" dxfId="215" priority="516">
      <formula>OR(IF(AS27&lt;AT27,TRUE),IF(AND(AT27="",AS27&lt;&gt;""),TRUE))</formula>
    </cfRule>
    <cfRule type="expression" dxfId="214" priority="517">
      <formula>IF(AS27&gt;=AT27,IF(AS27="",FALSE,TRUE))</formula>
    </cfRule>
  </conditionalFormatting>
  <conditionalFormatting sqref="AS45:AS53">
    <cfRule type="expression" dxfId="213" priority="109">
      <formula>OR(IF(AS45&lt;AT45,TRUE),IF(AND(AT45="",AS45&lt;&gt;""),TRUE))</formula>
    </cfRule>
    <cfRule type="expression" dxfId="212" priority="110">
      <formula>IF(AS45&gt;=AT45,IF(AS45="",FALSE,TRUE))</formula>
    </cfRule>
  </conditionalFormatting>
  <conditionalFormatting sqref="AS98:AS106">
    <cfRule type="expression" dxfId="211" priority="199">
      <formula>OR(IF(AS98&lt;AT98,TRUE),IF(AND(AT98="",AS98&lt;&gt;""),TRUE))</formula>
    </cfRule>
    <cfRule type="expression" dxfId="210" priority="200">
      <formula>IF(AS98&gt;=AT98,IF(AS98="",FALSE,TRUE))</formula>
    </cfRule>
  </conditionalFormatting>
  <conditionalFormatting sqref="AX15:AX24 AZ15:AZ24">
    <cfRule type="expression" dxfId="209" priority="720">
      <formula>OR(IF(AX15&lt;AY15,TRUE),IF(AND(AY15="",AX15&lt;&gt;""),TRUE))</formula>
    </cfRule>
    <cfRule type="expression" dxfId="208" priority="721">
      <formula>IF(AX15&gt;=AY15,IF(AX15="",FALSE,TRUE))</formula>
    </cfRule>
  </conditionalFormatting>
  <conditionalFormatting sqref="AX27:AX43">
    <cfRule type="expression" dxfId="207" priority="73">
      <formula>OR(IF(AX27&lt;AY27,TRUE),IF(AND(AY27="",AX27&lt;&gt;""),TRUE))</formula>
    </cfRule>
    <cfRule type="expression" dxfId="206" priority="74">
      <formula>IF(AX27&gt;=AY27,IF(AX27="",FALSE,TRUE))</formula>
    </cfRule>
  </conditionalFormatting>
  <conditionalFormatting sqref="AX45:AX53">
    <cfRule type="expression" dxfId="205" priority="107">
      <formula>OR(IF(AX45&lt;AY45,TRUE),IF(AND(AY45="",AX45&lt;&gt;""),TRUE))</formula>
    </cfRule>
    <cfRule type="expression" dxfId="204" priority="108">
      <formula>IF(AX45&gt;=AY45,IF(AX45="",FALSE,TRUE))</formula>
    </cfRule>
  </conditionalFormatting>
  <conditionalFormatting sqref="AX98:AX106">
    <cfRule type="expression" dxfId="203" priority="197">
      <formula>OR(IF(AX98&lt;AY98,TRUE),IF(AND(AY98="",AX98&lt;&gt;""),TRUE))</formula>
    </cfRule>
    <cfRule type="expression" dxfId="202" priority="198">
      <formula>IF(AX98&gt;=AY98,IF(AX98="",FALSE,TRUE))</formula>
    </cfRule>
  </conditionalFormatting>
  <conditionalFormatting sqref="AZ27:AZ43">
    <cfRule type="expression" dxfId="201" priority="71">
      <formula>OR(IF(AZ27&lt;BA27,TRUE),IF(AND(BA27="",AZ27&lt;&gt;""),TRUE))</formula>
    </cfRule>
    <cfRule type="expression" dxfId="200" priority="72">
      <formula>IF(AZ27&gt;=BA27,IF(AZ27="",FALSE,TRUE))</formula>
    </cfRule>
  </conditionalFormatting>
  <conditionalFormatting sqref="AZ45:AZ53">
    <cfRule type="expression" dxfId="199" priority="105">
      <formula>OR(IF(AZ45&lt;BA45,TRUE),IF(AND(BA45="",AZ45&lt;&gt;""),TRUE))</formula>
    </cfRule>
    <cfRule type="expression" dxfId="198" priority="106">
      <formula>IF(AZ45&gt;=BA45,IF(AZ45="",FALSE,TRUE))</formula>
    </cfRule>
  </conditionalFormatting>
  <conditionalFormatting sqref="AZ98:AZ106">
    <cfRule type="expression" dxfId="197" priority="195">
      <formula>OR(IF(AZ98&lt;BA98,TRUE),IF(AND(BA98="",AZ98&lt;&gt;""),TRUE))</formula>
    </cfRule>
    <cfRule type="expression" dxfId="196" priority="196">
      <formula>IF(AZ98&gt;=BA98,IF(AZ98="",FALSE,TRUE))</formula>
    </cfRule>
  </conditionalFormatting>
  <conditionalFormatting sqref="BE15:BE24 BG15:BG24">
    <cfRule type="expression" dxfId="195" priority="710">
      <formula>OR(IF(BE15&lt;BF15,TRUE),IF(AND(BF15="",BE15&lt;&gt;""),TRUE))</formula>
    </cfRule>
    <cfRule type="expression" dxfId="194" priority="711">
      <formula>IF(BE15&gt;=BF15,IF(BE15="",FALSE,TRUE))</formula>
    </cfRule>
  </conditionalFormatting>
  <conditionalFormatting sqref="BE27:BE43">
    <cfRule type="expression" dxfId="193" priority="61">
      <formula>OR(IF(BE27&lt;BF27,TRUE),IF(AND(BF27="",BE27&lt;&gt;""),TRUE))</formula>
    </cfRule>
    <cfRule type="expression" dxfId="192" priority="62">
      <formula>IF(BE27&gt;=BF27,IF(BE27="",FALSE,TRUE))</formula>
    </cfRule>
  </conditionalFormatting>
  <conditionalFormatting sqref="BE45:BE53">
    <cfRule type="expression" dxfId="191" priority="103">
      <formula>OR(IF(BE45&lt;BF45,TRUE),IF(AND(BF45="",BE45&lt;&gt;""),TRUE))</formula>
    </cfRule>
    <cfRule type="expression" dxfId="190" priority="104">
      <formula>IF(BE45&gt;=BF45,IF(BE45="",FALSE,TRUE))</formula>
    </cfRule>
  </conditionalFormatting>
  <conditionalFormatting sqref="BE98:BE106">
    <cfRule type="expression" dxfId="189" priority="193">
      <formula>OR(IF(BE98&lt;BF98,TRUE),IF(AND(BF98="",BE98&lt;&gt;""),TRUE))</formula>
    </cfRule>
    <cfRule type="expression" dxfId="188" priority="194">
      <formula>IF(BE98&gt;=BF98,IF(BE98="",FALSE,TRUE))</formula>
    </cfRule>
  </conditionalFormatting>
  <conditionalFormatting sqref="BG27:BG43">
    <cfRule type="expression" dxfId="187" priority="59">
      <formula>OR(IF(BG27&lt;BH27,TRUE),IF(AND(BH27="",BG27&lt;&gt;""),TRUE))</formula>
    </cfRule>
    <cfRule type="expression" dxfId="186" priority="60">
      <formula>IF(BG27&gt;=BH27,IF(BG27="",FALSE,TRUE))</formula>
    </cfRule>
  </conditionalFormatting>
  <conditionalFormatting sqref="BG45:BG53">
    <cfRule type="expression" dxfId="185" priority="101">
      <formula>OR(IF(BG45&lt;BH45,TRUE),IF(AND(BH45="",BG45&lt;&gt;""),TRUE))</formula>
    </cfRule>
    <cfRule type="expression" dxfId="184" priority="102">
      <formula>IF(BG45&gt;=BH45,IF(BG45="",FALSE,TRUE))</formula>
    </cfRule>
  </conditionalFormatting>
  <conditionalFormatting sqref="BG98:BG106">
    <cfRule type="expression" dxfId="183" priority="191">
      <formula>OR(IF(BG98&lt;BH98,TRUE),IF(AND(BH98="",BG98&lt;&gt;""),TRUE))</formula>
    </cfRule>
    <cfRule type="expression" dxfId="182" priority="192">
      <formula>IF(BG98&gt;=BH98,IF(BG98="",FALSE,TRUE))</formula>
    </cfRule>
  </conditionalFormatting>
  <conditionalFormatting sqref="BL15:BL24 BN15:BN24">
    <cfRule type="expression" dxfId="181" priority="700">
      <formula>OR(IF(BL15&lt;BM15,TRUE),IF(AND(BM15="",BL15&lt;&gt;""),TRUE))</formula>
    </cfRule>
    <cfRule type="expression" dxfId="180" priority="701">
      <formula>IF(BL15&gt;=BM15,IF(BL15="",FALSE,TRUE))</formula>
    </cfRule>
  </conditionalFormatting>
  <conditionalFormatting sqref="BL27:BL43">
    <cfRule type="expression" dxfId="179" priority="49">
      <formula>OR(IF(BL27&lt;BM27,TRUE),IF(AND(BM27="",BL27&lt;&gt;""),TRUE))</formula>
    </cfRule>
    <cfRule type="expression" dxfId="178" priority="50">
      <formula>IF(BL27&gt;=BM27,IF(BL27="",FALSE,TRUE))</formula>
    </cfRule>
  </conditionalFormatting>
  <conditionalFormatting sqref="BL45:BL53">
    <cfRule type="expression" dxfId="177" priority="99">
      <formula>OR(IF(BL45&lt;BM45,TRUE),IF(AND(BM45="",BL45&lt;&gt;""),TRUE))</formula>
    </cfRule>
    <cfRule type="expression" dxfId="176" priority="100">
      <formula>IF(BL45&gt;=BM45,IF(BL45="",FALSE,TRUE))</formula>
    </cfRule>
  </conditionalFormatting>
  <conditionalFormatting sqref="BL98:BL106">
    <cfRule type="expression" dxfId="175" priority="189">
      <formula>OR(IF(BL98&lt;BM98,TRUE),IF(AND(BM98="",BL98&lt;&gt;""),TRUE))</formula>
    </cfRule>
    <cfRule type="expression" dxfId="174" priority="190">
      <formula>IF(BL98&gt;=BM98,IF(BL98="",FALSE,TRUE))</formula>
    </cfRule>
  </conditionalFormatting>
  <conditionalFormatting sqref="BN27:BN43">
    <cfRule type="expression" dxfId="173" priority="47">
      <formula>OR(IF(BN27&lt;BO27,TRUE),IF(AND(BO27="",BN27&lt;&gt;""),TRUE))</formula>
    </cfRule>
    <cfRule type="expression" dxfId="172" priority="48">
      <formula>IF(BN27&gt;=BO27,IF(BN27="",FALSE,TRUE))</formula>
    </cfRule>
  </conditionalFormatting>
  <conditionalFormatting sqref="BN45:BN53">
    <cfRule type="expression" dxfId="171" priority="97">
      <formula>OR(IF(BN45&lt;BO45,TRUE),IF(AND(BO45="",BN45&lt;&gt;""),TRUE))</formula>
    </cfRule>
    <cfRule type="expression" dxfId="170" priority="98">
      <formula>IF(BN45&gt;=BO45,IF(BN45="",FALSE,TRUE))</formula>
    </cfRule>
  </conditionalFormatting>
  <conditionalFormatting sqref="BN98:BN106">
    <cfRule type="expression" dxfId="169" priority="187">
      <formula>OR(IF(BN98&lt;BO98,TRUE),IF(AND(BO98="",BN98&lt;&gt;""),TRUE))</formula>
    </cfRule>
    <cfRule type="expression" dxfId="168" priority="188">
      <formula>IF(BN98&gt;=BO98,IF(BN98="",FALSE,TRUE))</formula>
    </cfRule>
  </conditionalFormatting>
  <conditionalFormatting sqref="BS5:BS12 BU5:BU12">
    <cfRule type="expression" dxfId="167" priority="921">
      <formula>OR(IF(BS5&lt;BT5,TRUE),IF(AND(BT5="",BS5&lt;&gt;""),TRUE))</formula>
    </cfRule>
    <cfRule type="expression" dxfId="166" priority="922">
      <formula>IF(BS5&gt;=BT5,IF(BS5="",FALSE,TRUE))</formula>
    </cfRule>
  </conditionalFormatting>
  <conditionalFormatting sqref="BS15:BS24 BU15:BU24">
    <cfRule type="expression" dxfId="165" priority="903">
      <formula>OR(IF(BS15&lt;BT15,TRUE),IF(AND(BT15="",BS15&lt;&gt;""),TRUE))</formula>
    </cfRule>
    <cfRule type="expression" dxfId="164" priority="904">
      <formula>IF(BS15&gt;=BT15,IF(BS15="",FALSE,TRUE))</formula>
    </cfRule>
  </conditionalFormatting>
  <conditionalFormatting sqref="BS27:BS43">
    <cfRule type="expression" dxfId="163" priority="37">
      <formula>OR(IF(BS27&lt;BT27,TRUE),IF(AND(BT27="",BS27&lt;&gt;""),TRUE))</formula>
    </cfRule>
    <cfRule type="expression" dxfId="162" priority="38">
      <formula>IF(BS27&gt;=BT27,IF(BS27="",FALSE,TRUE))</formula>
    </cfRule>
  </conditionalFormatting>
  <conditionalFormatting sqref="BS45:BS53">
    <cfRule type="expression" dxfId="161" priority="95">
      <formula>OR(IF(BS45&lt;BT45,TRUE),IF(AND(BT45="",BS45&lt;&gt;""),TRUE))</formula>
    </cfRule>
    <cfRule type="expression" dxfId="160" priority="96">
      <formula>IF(BS45&gt;=BT45,IF(BS45="",FALSE,TRUE))</formula>
    </cfRule>
  </conditionalFormatting>
  <conditionalFormatting sqref="BS56:BS76 BU56:BU76">
    <cfRule type="expression" dxfId="159" priority="83">
      <formula>OR(IF(BS56&lt;BT56,TRUE),IF(AND(BT56="",BS56&lt;&gt;""),TRUE))</formula>
    </cfRule>
    <cfRule type="expression" dxfId="158" priority="84">
      <formula>IF(BS56&gt;=BT56,IF(BS56="",FALSE,TRUE))</formula>
    </cfRule>
  </conditionalFormatting>
  <conditionalFormatting sqref="BS79:BS93 BU79:BU93">
    <cfRule type="expression" dxfId="157" priority="268">
      <formula>OR(IF(BS79&lt;BT79,TRUE),IF(AND(BT79="",BS79&lt;&gt;""),TRUE))</formula>
    </cfRule>
    <cfRule type="expression" dxfId="156" priority="269">
      <formula>IF(BS79&gt;=BT79,IF(BS79="",FALSE,TRUE))</formula>
    </cfRule>
  </conditionalFormatting>
  <conditionalFormatting sqref="BS98:BS106">
    <cfRule type="expression" dxfId="155" priority="185">
      <formula>OR(IF(BS98&lt;BT98,TRUE),IF(AND(BT98="",BS98&lt;&gt;""),TRUE))</formula>
    </cfRule>
    <cfRule type="expression" dxfId="154" priority="186">
      <formula>IF(BS98&gt;=BT98,IF(BS98="",FALSE,TRUE))</formula>
    </cfRule>
  </conditionalFormatting>
  <conditionalFormatting sqref="BS109:BS123 BU109:BU123">
    <cfRule type="expression" dxfId="153" priority="173">
      <formula>OR(IF(BS109&lt;BT109,TRUE),IF(AND(BT109="",BS109&lt;&gt;""),TRUE))</formula>
    </cfRule>
    <cfRule type="expression" dxfId="152" priority="174">
      <formula>IF(BS109&gt;=BT109,IF(BS109="",FALSE,TRUE))</formula>
    </cfRule>
  </conditionalFormatting>
  <conditionalFormatting sqref="BU27:BU43">
    <cfRule type="expression" dxfId="151" priority="35">
      <formula>OR(IF(BU27&lt;BV27,TRUE),IF(AND(BV27="",BU27&lt;&gt;""),TRUE))</formula>
    </cfRule>
    <cfRule type="expression" dxfId="150" priority="36">
      <formula>IF(BU27&gt;=BV27,IF(BU27="",FALSE,TRUE))</formula>
    </cfRule>
  </conditionalFormatting>
  <conditionalFormatting sqref="BU45:BU53">
    <cfRule type="expression" dxfId="149" priority="93">
      <formula>OR(IF(BU45&lt;BV45,TRUE),IF(AND(BV45="",BU45&lt;&gt;""),TRUE))</formula>
    </cfRule>
    <cfRule type="expression" dxfId="148" priority="94">
      <formula>IF(BU45&gt;=BV45,IF(BU45="",FALSE,TRUE))</formula>
    </cfRule>
  </conditionalFormatting>
  <conditionalFormatting sqref="BU98:BU106">
    <cfRule type="expression" dxfId="147" priority="183">
      <formula>OR(IF(BU98&lt;BV98,TRUE),IF(AND(BV98="",BU98&lt;&gt;""),TRUE))</formula>
    </cfRule>
    <cfRule type="expression" dxfId="146" priority="184">
      <formula>IF(BU98&gt;=BV98,IF(BU98="",FALSE,TRUE))</formula>
    </cfRule>
  </conditionalFormatting>
  <conditionalFormatting sqref="BZ5:BZ12">
    <cfRule type="expression" dxfId="145" priority="901">
      <formula>OR(IF(BZ5&lt;CA5,TRUE),IF(AND(CA5="",BZ5&lt;&gt;""),TRUE))</formula>
    </cfRule>
    <cfRule type="expression" dxfId="144" priority="902">
      <formula>IF(BZ5&gt;=CA5,IF(BZ5="",FALSE,TRUE))</formula>
    </cfRule>
  </conditionalFormatting>
  <conditionalFormatting sqref="BZ15:BZ24 CB15:CB24">
    <cfRule type="expression" dxfId="143" priority="883">
      <formula>OR(IF(BZ15&lt;CA15,TRUE),IF(AND(CA15="",BZ15&lt;&gt;""),TRUE))</formula>
    </cfRule>
    <cfRule type="expression" dxfId="142" priority="884">
      <formula>IF(BZ15&gt;=CA15,IF(BZ15="",FALSE,TRUE))</formula>
    </cfRule>
  </conditionalFormatting>
  <conditionalFormatting sqref="BZ27:BZ43">
    <cfRule type="expression" dxfId="141" priority="25">
      <formula>OR(IF(BZ27&lt;CA27,TRUE),IF(AND(CA27="",BZ27&lt;&gt;""),TRUE))</formula>
    </cfRule>
    <cfRule type="expression" dxfId="140" priority="26">
      <formula>IF(BZ27&gt;=CA27,IF(BZ27="",FALSE,TRUE))</formula>
    </cfRule>
  </conditionalFormatting>
  <conditionalFormatting sqref="BZ45:BZ53">
    <cfRule type="expression" dxfId="139" priority="91">
      <formula>OR(IF(BZ45&lt;CA45,TRUE),IF(AND(CA45="",BZ45&lt;&gt;""),TRUE))</formula>
    </cfRule>
    <cfRule type="expression" dxfId="138" priority="92">
      <formula>IF(BZ45&gt;=CA45,IF(BZ45="",FALSE,TRUE))</formula>
    </cfRule>
  </conditionalFormatting>
  <conditionalFormatting sqref="BZ56:BZ76 CB56:CB76">
    <cfRule type="expression" dxfId="137" priority="81">
      <formula>OR(IF(BZ56&lt;CA56,TRUE),IF(AND(CA56="",BZ56&lt;&gt;""),TRUE))</formula>
    </cfRule>
    <cfRule type="expression" dxfId="136" priority="82">
      <formula>IF(BZ56&gt;=CA56,IF(BZ56="",FALSE,TRUE))</formula>
    </cfRule>
  </conditionalFormatting>
  <conditionalFormatting sqref="BZ79:BZ93 CB79:CB93">
    <cfRule type="expression" dxfId="135" priority="266">
      <formula>OR(IF(BZ79&lt;CA79,TRUE),IF(AND(CA79="",BZ79&lt;&gt;""),TRUE))</formula>
    </cfRule>
    <cfRule type="expression" dxfId="134" priority="267">
      <formula>IF(BZ79&gt;=CA79,IF(BZ79="",FALSE,TRUE))</formula>
    </cfRule>
  </conditionalFormatting>
  <conditionalFormatting sqref="BZ98:BZ106">
    <cfRule type="expression" dxfId="133" priority="181">
      <formula>OR(IF(BZ98&lt;CA98,TRUE),IF(AND(CA98="",BZ98&lt;&gt;""),TRUE))</formula>
    </cfRule>
    <cfRule type="expression" dxfId="132" priority="182">
      <formula>IF(BZ98&gt;=CA98,IF(BZ98="",FALSE,TRUE))</formula>
    </cfRule>
  </conditionalFormatting>
  <conditionalFormatting sqref="BZ109:BZ123 CB109:CB123">
    <cfRule type="expression" dxfId="131" priority="171">
      <formula>OR(IF(BZ109&lt;CA109,TRUE),IF(AND(CA109="",BZ109&lt;&gt;""),TRUE))</formula>
    </cfRule>
    <cfRule type="expression" dxfId="130" priority="172">
      <formula>IF(BZ109&gt;=CA109,IF(BZ109="",FALSE,TRUE))</formula>
    </cfRule>
  </conditionalFormatting>
  <conditionalFormatting sqref="CB5:CB12">
    <cfRule type="expression" dxfId="129" priority="801">
      <formula>OR(IF(CB5&lt;CC5,TRUE),IF(AND(CC5="",CB5&lt;&gt;""),TRUE))</formula>
    </cfRule>
    <cfRule type="expression" dxfId="128" priority="802">
      <formula>IF(CB5&gt;=CC5,IF(CB5="",FALSE,TRUE))</formula>
    </cfRule>
  </conditionalFormatting>
  <conditionalFormatting sqref="CB27:CB43">
    <cfRule type="expression" dxfId="127" priority="23">
      <formula>OR(IF(CB27&lt;CC27,TRUE),IF(AND(CC27="",CB27&lt;&gt;""),TRUE))</formula>
    </cfRule>
    <cfRule type="expression" dxfId="126" priority="24">
      <formula>IF(CB27&gt;=CC27,IF(CB27="",FALSE,TRUE))</formula>
    </cfRule>
  </conditionalFormatting>
  <conditionalFormatting sqref="CB45:CB53">
    <cfRule type="expression" dxfId="125" priority="89">
      <formula>OR(IF(CB45&lt;CC45,TRUE),IF(AND(CC45="",CB45&lt;&gt;""),TRUE))</formula>
    </cfRule>
    <cfRule type="expression" dxfId="124" priority="90">
      <formula>IF(CB45&gt;=CC45,IF(CB45="",FALSE,TRUE))</formula>
    </cfRule>
  </conditionalFormatting>
  <conditionalFormatting sqref="CB98:CB106">
    <cfRule type="expression" dxfId="123" priority="179">
      <formula>OR(IF(CB98&lt;CC98,TRUE),IF(AND(CC98="",CB98&lt;&gt;""),TRUE))</formula>
    </cfRule>
    <cfRule type="expression" dxfId="122" priority="180">
      <formula>IF(CB98&gt;=CC98,IF(CB98="",FALSE,TRUE))</formula>
    </cfRule>
  </conditionalFormatting>
  <conditionalFormatting sqref="CG5:CG12 CI5:CI12">
    <cfRule type="expression" dxfId="121" priority="881">
      <formula>OR(IF(CG5&lt;CH5,TRUE),IF(AND(CH5="",CG5&lt;&gt;""),TRUE))</formula>
    </cfRule>
    <cfRule type="expression" dxfId="120" priority="882">
      <formula>IF(CG5&gt;=CH5,IF(CG5="",FALSE,TRUE))</formula>
    </cfRule>
  </conditionalFormatting>
  <conditionalFormatting sqref="CG15:CG24 CI15:CI24">
    <cfRule type="expression" dxfId="119" priority="863">
      <formula>OR(IF(CG15&lt;CH15,TRUE),IF(AND(CH15="",CG15&lt;&gt;""),TRUE))</formula>
    </cfRule>
    <cfRule type="expression" dxfId="118" priority="864">
      <formula>IF(CG15&gt;=CH15,IF(CG15="",FALSE,TRUE))</formula>
    </cfRule>
  </conditionalFormatting>
  <conditionalFormatting sqref="CG27:CG43">
    <cfRule type="expression" dxfId="117" priority="362">
      <formula>OR(IF(CG27&lt;CH27,TRUE),IF(AND(CH27="",CG27&lt;&gt;""),TRUE))</formula>
    </cfRule>
    <cfRule type="expression" dxfId="116" priority="363">
      <formula>IF(CG27&gt;=CH27,IF(CG27="",FALSE,TRUE))</formula>
    </cfRule>
  </conditionalFormatting>
  <conditionalFormatting sqref="CG45:CG53">
    <cfRule type="expression" dxfId="115" priority="87">
      <formula>OR(IF(CG45&lt;CH45,TRUE),IF(AND(CH45="",CG45&lt;&gt;""),TRUE))</formula>
    </cfRule>
    <cfRule type="expression" dxfId="114" priority="88">
      <formula>IF(CG45&gt;=CH45,IF(CG45="",FALSE,TRUE))</formula>
    </cfRule>
  </conditionalFormatting>
  <conditionalFormatting sqref="CG56:CG76 CI56:CI76">
    <cfRule type="expression" dxfId="113" priority="79">
      <formula>OR(IF(CG56&lt;CH56,TRUE),IF(AND(CH56="",CG56&lt;&gt;""),TRUE))</formula>
    </cfRule>
    <cfRule type="expression" dxfId="112" priority="80">
      <formula>IF(CG56&gt;=CH56,IF(CG56="",FALSE,TRUE))</formula>
    </cfRule>
  </conditionalFormatting>
  <conditionalFormatting sqref="CG79:CG93 CI79:CI93">
    <cfRule type="expression" dxfId="111" priority="264">
      <formula>OR(IF(CG79&lt;CH79,TRUE),IF(AND(CH79="",CG79&lt;&gt;""),TRUE))</formula>
    </cfRule>
    <cfRule type="expression" dxfId="110" priority="265">
      <formula>IF(CG79&gt;=CH79,IF(CG79="",FALSE,TRUE))</formula>
    </cfRule>
  </conditionalFormatting>
  <conditionalFormatting sqref="CG98:CG106">
    <cfRule type="expression" dxfId="109" priority="177">
      <formula>OR(IF(CG98&lt;CH98,TRUE),IF(AND(CH98="",CG98&lt;&gt;""),TRUE))</formula>
    </cfRule>
    <cfRule type="expression" dxfId="108" priority="178">
      <formula>IF(CG98&gt;=CH98,IF(CG98="",FALSE,TRUE))</formula>
    </cfRule>
  </conditionalFormatting>
  <conditionalFormatting sqref="CG109:CG123 CI109:CI123">
    <cfRule type="expression" dxfId="107" priority="169">
      <formula>OR(IF(CG109&lt;CH109,TRUE),IF(AND(CH109="",CG109&lt;&gt;""),TRUE))</formula>
    </cfRule>
    <cfRule type="expression" dxfId="106" priority="170">
      <formula>IF(CG109&gt;=CH109,IF(CG109="",FALSE,TRUE))</formula>
    </cfRule>
  </conditionalFormatting>
  <conditionalFormatting sqref="CI27:CI43">
    <cfRule type="expression" dxfId="105" priority="360">
      <formula>OR(IF(CI27&lt;CJ27,TRUE),IF(AND(CJ27="",CI27&lt;&gt;""),TRUE))</formula>
    </cfRule>
    <cfRule type="expression" dxfId="104" priority="361">
      <formula>IF(CI27&gt;=CJ27,IF(CI27="",FALSE,TRUE))</formula>
    </cfRule>
  </conditionalFormatting>
  <conditionalFormatting sqref="CI45:CI53">
    <cfRule type="expression" dxfId="103" priority="85">
      <formula>OR(IF(CI45&lt;CJ45,TRUE),IF(AND(CJ45="",CI45&lt;&gt;""),TRUE))</formula>
    </cfRule>
    <cfRule type="expression" dxfId="102" priority="86">
      <formula>IF(CI45&gt;=CJ45,IF(CI45="",FALSE,TRUE))</formula>
    </cfRule>
  </conditionalFormatting>
  <conditionalFormatting sqref="CI98:CI106">
    <cfRule type="expression" dxfId="101" priority="175">
      <formula>OR(IF(CI98&lt;CJ98,TRUE),IF(AND(CJ98="",CI98&lt;&gt;""),TRUE))</formula>
    </cfRule>
    <cfRule type="expression" dxfId="100" priority="176">
      <formula>IF(CI98&gt;=CJ98,IF(CI98="",FALSE,TRUE))</formula>
    </cfRule>
  </conditionalFormatting>
  <conditionalFormatting sqref="CN5:CN12 CP5:CP12">
    <cfRule type="expression" dxfId="99" priority="861">
      <formula>OR(IF(CN5&lt;CO5,TRUE),IF(AND(CO5="",CN5&lt;&gt;""),TRUE))</formula>
    </cfRule>
    <cfRule type="expression" dxfId="98" priority="862">
      <formula>IF(CN5&gt;=CO5,IF(CN5="",FALSE,TRUE))</formula>
    </cfRule>
  </conditionalFormatting>
  <conditionalFormatting sqref="CN15:CN24 CP15:CP24">
    <cfRule type="expression" dxfId="97" priority="843">
      <formula>OR(IF(CN15&lt;CO15,TRUE),IF(AND(CO15="",CN15&lt;&gt;""),TRUE))</formula>
    </cfRule>
    <cfRule type="expression" dxfId="96" priority="844">
      <formula>IF(CN15&gt;=CO15,IF(CN15="",FALSE,TRUE))</formula>
    </cfRule>
  </conditionalFormatting>
  <conditionalFormatting sqref="CN27:CN43">
    <cfRule type="expression" dxfId="95" priority="849">
      <formula>OR(IF(CN27&lt;CO27,TRUE),IF(AND(CO27="",CN27&lt;&gt;""),TRUE))</formula>
    </cfRule>
    <cfRule type="expression" dxfId="94" priority="850">
      <formula>IF(CN27&gt;=CO27,IF(CN27="",FALSE,TRUE))</formula>
    </cfRule>
  </conditionalFormatting>
  <conditionalFormatting sqref="CN45:CN53">
    <cfRule type="expression" dxfId="93" priority="149">
      <formula>OR(IF(CN45&lt;CO45,TRUE),IF(AND(CO45="",CN45&lt;&gt;""),TRUE))</formula>
    </cfRule>
    <cfRule type="expression" dxfId="92" priority="150">
      <formula>IF(CN45&gt;=CO45,IF(CN45="",FALSE,TRUE))</formula>
    </cfRule>
  </conditionalFormatting>
  <conditionalFormatting sqref="CN56:CN76 CP56:CP76">
    <cfRule type="expression" dxfId="91" priority="151">
      <formula>OR(IF(CN56&lt;CO56,TRUE),IF(AND(CO56="",CN56&lt;&gt;""),TRUE))</formula>
    </cfRule>
    <cfRule type="expression" dxfId="90" priority="152">
      <formula>IF(CN56&gt;=CO56,IF(CN56="",FALSE,TRUE))</formula>
    </cfRule>
  </conditionalFormatting>
  <conditionalFormatting sqref="CN79:CN93 CP79:CP93">
    <cfRule type="expression" dxfId="89" priority="336">
      <formula>OR(IF(CN79&lt;CO79,TRUE),IF(AND(CO79="",CN79&lt;&gt;""),TRUE))</formula>
    </cfRule>
    <cfRule type="expression" dxfId="88" priority="337">
      <formula>IF(CN79&gt;=CO79,IF(CN79="",FALSE,TRUE))</formula>
    </cfRule>
  </conditionalFormatting>
  <conditionalFormatting sqref="CN98:CN106">
    <cfRule type="expression" dxfId="87" priority="239">
      <formula>OR(IF(CN98&lt;CO98,TRUE),IF(AND(CO98="",CN98&lt;&gt;""),TRUE))</formula>
    </cfRule>
    <cfRule type="expression" dxfId="86" priority="240">
      <formula>IF(CN98&gt;=CO98,IF(CN98="",FALSE,TRUE))</formula>
    </cfRule>
  </conditionalFormatting>
  <conditionalFormatting sqref="CN109:CN123 CP109:CP123">
    <cfRule type="expression" dxfId="85" priority="241">
      <formula>OR(IF(CN109&lt;CO109,TRUE),IF(AND(CO109="",CN109&lt;&gt;""),TRUE))</formula>
    </cfRule>
    <cfRule type="expression" dxfId="84" priority="242">
      <formula>IF(CN109&gt;=CO109,IF(CN109="",FALSE,TRUE))</formula>
    </cfRule>
  </conditionalFormatting>
  <conditionalFormatting sqref="CP27:CP43">
    <cfRule type="expression" dxfId="83" priority="847">
      <formula>OR(IF(CP27&lt;CQ27,TRUE),IF(AND(CQ27="",CP27&lt;&gt;""),TRUE))</formula>
    </cfRule>
    <cfRule type="expression" dxfId="82" priority="848">
      <formula>IF(CP27&gt;=CQ27,IF(CP27="",FALSE,TRUE))</formula>
    </cfRule>
  </conditionalFormatting>
  <conditionalFormatting sqref="CP45:CP53">
    <cfRule type="expression" dxfId="81" priority="147">
      <formula>OR(IF(CP45&lt;CQ45,TRUE),IF(AND(CQ45="",CP45&lt;&gt;""),TRUE))</formula>
    </cfRule>
    <cfRule type="expression" dxfId="80" priority="148">
      <formula>IF(CP45&gt;=CQ45,IF(CP45="",FALSE,TRUE))</formula>
    </cfRule>
  </conditionalFormatting>
  <conditionalFormatting sqref="CP98:CP106">
    <cfRule type="expression" dxfId="79" priority="237">
      <formula>OR(IF(CP98&lt;CQ98,TRUE),IF(AND(CQ98="",CP98&lt;&gt;""),TRUE))</formula>
    </cfRule>
    <cfRule type="expression" dxfId="78" priority="238">
      <formula>IF(CP98&gt;=CQ98,IF(CP98="",FALSE,TRUE))</formula>
    </cfRule>
  </conditionalFormatting>
  <conditionalFormatting sqref="CU5:CU12 CW5:CW12">
    <cfRule type="expression" dxfId="77" priority="841">
      <formula>OR(IF(CU5&lt;CV5,TRUE),IF(AND(CV5="",CU5&lt;&gt;""),TRUE))</formula>
    </cfRule>
    <cfRule type="expression" dxfId="76" priority="842">
      <formula>IF(CU5&gt;=CV5,IF(CU5="",FALSE,TRUE))</formula>
    </cfRule>
  </conditionalFormatting>
  <conditionalFormatting sqref="CU15:CU24 CW15:CW24">
    <cfRule type="expression" dxfId="75" priority="823">
      <formula>OR(IF(CU15&lt;CV15,TRUE),IF(AND(CV15="",CU15&lt;&gt;""),TRUE))</formula>
    </cfRule>
    <cfRule type="expression" dxfId="74" priority="824">
      <formula>IF(CU15&gt;=CV15,IF(CU15="",FALSE,TRUE))</formula>
    </cfRule>
  </conditionalFormatting>
  <conditionalFormatting sqref="CU27:CU43">
    <cfRule type="expression" dxfId="73" priority="829">
      <formula>OR(IF(CU27&lt;CV27,TRUE),IF(AND(CV27="",CU27&lt;&gt;""),TRUE))</formula>
    </cfRule>
    <cfRule type="expression" dxfId="72" priority="830">
      <formula>IF(CU27&gt;=CV27,IF(CU27="",FALSE,TRUE))</formula>
    </cfRule>
  </conditionalFormatting>
  <conditionalFormatting sqref="CU45:CU53">
    <cfRule type="expression" dxfId="71" priority="143">
      <formula>OR(IF(CU45&lt;CV45,TRUE),IF(AND(CV45="",CU45&lt;&gt;""),TRUE))</formula>
    </cfRule>
    <cfRule type="expression" dxfId="70" priority="144">
      <formula>IF(CU45&gt;=CV45,IF(CU45="",FALSE,TRUE))</formula>
    </cfRule>
  </conditionalFormatting>
  <conditionalFormatting sqref="CU56:CU76 CW56:CW76">
    <cfRule type="expression" dxfId="69" priority="145">
      <formula>OR(IF(CU56&lt;CV56,TRUE),IF(AND(CV56="",CU56&lt;&gt;""),TRUE))</formula>
    </cfRule>
    <cfRule type="expression" dxfId="68" priority="146">
      <formula>IF(CU56&gt;=CV56,IF(CU56="",FALSE,TRUE))</formula>
    </cfRule>
  </conditionalFormatting>
  <conditionalFormatting sqref="CU79:CU93 CW79:CW93">
    <cfRule type="expression" dxfId="67" priority="330">
      <formula>OR(IF(CU79&lt;CV79,TRUE),IF(AND(CV79="",CU79&lt;&gt;""),TRUE))</formula>
    </cfRule>
    <cfRule type="expression" dxfId="66" priority="331">
      <formula>IF(CU79&gt;=CV79,IF(CU79="",FALSE,TRUE))</formula>
    </cfRule>
  </conditionalFormatting>
  <conditionalFormatting sqref="CU98:CU106">
    <cfRule type="expression" dxfId="65" priority="233">
      <formula>OR(IF(CU98&lt;CV98,TRUE),IF(AND(CV98="",CU98&lt;&gt;""),TRUE))</formula>
    </cfRule>
    <cfRule type="expression" dxfId="64" priority="234">
      <formula>IF(CU98&gt;=CV98,IF(CU98="",FALSE,TRUE))</formula>
    </cfRule>
  </conditionalFormatting>
  <conditionalFormatting sqref="CU109:CU123 CW109:CW123">
    <cfRule type="expression" dxfId="63" priority="235">
      <formula>OR(IF(CU109&lt;CV109,TRUE),IF(AND(CV109="",CU109&lt;&gt;""),TRUE))</formula>
    </cfRule>
    <cfRule type="expression" dxfId="62" priority="236">
      <formula>IF(CU109&gt;=CV109,IF(CU109="",FALSE,TRUE))</formula>
    </cfRule>
  </conditionalFormatting>
  <conditionalFormatting sqref="CW27:CW43">
    <cfRule type="expression" dxfId="61" priority="827">
      <formula>OR(IF(CW27&lt;CX27,TRUE),IF(AND(CX27="",CW27&lt;&gt;""),TRUE))</formula>
    </cfRule>
    <cfRule type="expression" dxfId="60" priority="828">
      <formula>IF(CW27&gt;=CX27,IF(CW27="",FALSE,TRUE))</formula>
    </cfRule>
  </conditionalFormatting>
  <conditionalFormatting sqref="CW45:CW53">
    <cfRule type="expression" dxfId="59" priority="141">
      <formula>OR(IF(CW45&lt;CX45,TRUE),IF(AND(CX45="",CW45&lt;&gt;""),TRUE))</formula>
    </cfRule>
    <cfRule type="expression" dxfId="58" priority="142">
      <formula>IF(CW45&gt;=CX45,IF(CW45="",FALSE,TRUE))</formula>
    </cfRule>
  </conditionalFormatting>
  <conditionalFormatting sqref="CW98:CW106">
    <cfRule type="expression" dxfId="57" priority="231">
      <formula>OR(IF(CW98&lt;CX98,TRUE),IF(AND(CX98="",CW98&lt;&gt;""),TRUE))</formula>
    </cfRule>
    <cfRule type="expression" dxfId="56" priority="232">
      <formula>IF(CW98&gt;=CX98,IF(CW98="",FALSE,TRUE))</formula>
    </cfRule>
  </conditionalFormatting>
  <conditionalFormatting sqref="DB5:DB12 DD5:DD12">
    <cfRule type="expression" dxfId="55" priority="821">
      <formula>OR(IF(DB5&lt;DC5,TRUE),IF(AND(DC5="",DB5&lt;&gt;""),TRUE))</formula>
    </cfRule>
    <cfRule type="expression" dxfId="54" priority="822">
      <formula>IF(DB5&gt;=DC5,IF(DB5="",FALSE,TRUE))</formula>
    </cfRule>
  </conditionalFormatting>
  <conditionalFormatting sqref="DB15:DB24 DD15:DD24">
    <cfRule type="expression" dxfId="53" priority="803">
      <formula>OR(IF(DB15&lt;DC15,TRUE),IF(AND(DC15="",DB15&lt;&gt;""),TRUE))</formula>
    </cfRule>
    <cfRule type="expression" dxfId="52" priority="804">
      <formula>IF(DB15&gt;=DC15,IF(DB15="",FALSE,TRUE))</formula>
    </cfRule>
  </conditionalFormatting>
  <conditionalFormatting sqref="DB27:DB43">
    <cfRule type="expression" dxfId="51" priority="809">
      <formula>OR(IF(DB27&lt;DC27,TRUE),IF(AND(DC27="",DB27&lt;&gt;""),TRUE))</formula>
    </cfRule>
    <cfRule type="expression" dxfId="50" priority="810">
      <formula>IF(DB27&gt;=DC27,IF(DB27="",FALSE,TRUE))</formula>
    </cfRule>
  </conditionalFormatting>
  <conditionalFormatting sqref="DB45:DB53">
    <cfRule type="expression" dxfId="49" priority="137">
      <formula>OR(IF(DB45&lt;DC45,TRUE),IF(AND(DC45="",DB45&lt;&gt;""),TRUE))</formula>
    </cfRule>
    <cfRule type="expression" dxfId="48" priority="138">
      <formula>IF(DB45&gt;=DC45,IF(DB45="",FALSE,TRUE))</formula>
    </cfRule>
  </conditionalFormatting>
  <conditionalFormatting sqref="DB56:DB76 DD56:DD76">
    <cfRule type="expression" dxfId="47" priority="139">
      <formula>OR(IF(DB56&lt;DC56,TRUE),IF(AND(DC56="",DB56&lt;&gt;""),TRUE))</formula>
    </cfRule>
    <cfRule type="expression" dxfId="46" priority="140">
      <formula>IF(DB56&gt;=DC56,IF(DB56="",FALSE,TRUE))</formula>
    </cfRule>
  </conditionalFormatting>
  <conditionalFormatting sqref="DB79:DB93 DD79:DD93">
    <cfRule type="expression" dxfId="45" priority="324">
      <formula>OR(IF(DB79&lt;DC79,TRUE),IF(AND(DC79="",DB79&lt;&gt;""),TRUE))</formula>
    </cfRule>
    <cfRule type="expression" dxfId="44" priority="325">
      <formula>IF(DB79&gt;=DC79,IF(DB79="",FALSE,TRUE))</formula>
    </cfRule>
  </conditionalFormatting>
  <conditionalFormatting sqref="DB98:DB106">
    <cfRule type="expression" dxfId="43" priority="227">
      <formula>OR(IF(DB98&lt;DC98,TRUE),IF(AND(DC98="",DB98&lt;&gt;""),TRUE))</formula>
    </cfRule>
    <cfRule type="expression" dxfId="42" priority="228">
      <formula>IF(DB98&gt;=DC98,IF(DB98="",FALSE,TRUE))</formula>
    </cfRule>
  </conditionalFormatting>
  <conditionalFormatting sqref="DB109:DB123 DD109:DD123">
    <cfRule type="expression" dxfId="41" priority="229">
      <formula>OR(IF(DB109&lt;DC109,TRUE),IF(AND(DC109="",DB109&lt;&gt;""),TRUE))</formula>
    </cfRule>
    <cfRule type="expression" dxfId="40" priority="230">
      <formula>IF(DB109&gt;=DC109,IF(DB109="",FALSE,TRUE))</formula>
    </cfRule>
  </conditionalFormatting>
  <conditionalFormatting sqref="DD27:DD43">
    <cfRule type="expression" dxfId="39" priority="807">
      <formula>OR(IF(DD27&lt;DE27,TRUE),IF(AND(DE27="",DD27&lt;&gt;""),TRUE))</formula>
    </cfRule>
    <cfRule type="expression" dxfId="38" priority="808">
      <formula>IF(DD27&gt;=DE27,IF(DD27="",FALSE,TRUE))</formula>
    </cfRule>
  </conditionalFormatting>
  <conditionalFormatting sqref="DD45:DD53">
    <cfRule type="expression" dxfId="37" priority="135">
      <formula>OR(IF(DD45&lt;DE45,TRUE),IF(AND(DE45="",DD45&lt;&gt;""),TRUE))</formula>
    </cfRule>
    <cfRule type="expression" dxfId="36" priority="136">
      <formula>IF(DD45&gt;=DE45,IF(DD45="",FALSE,TRUE))</formula>
    </cfRule>
  </conditionalFormatting>
  <conditionalFormatting sqref="DD98:DD106">
    <cfRule type="expression" dxfId="35" priority="225">
      <formula>OR(IF(DD98&lt;DE98,TRUE),IF(AND(DE98="",DD98&lt;&gt;""),TRUE))</formula>
    </cfRule>
    <cfRule type="expression" dxfId="34" priority="226">
      <formula>IF(DD98&gt;=DE98,IF(DD98="",FALSE,TRUE))</formula>
    </cfRule>
  </conditionalFormatting>
  <conditionalFormatting sqref="CO5:CO12 CQ5:CQ12">
    <cfRule type="expression" dxfId="33" priority="21">
      <formula>OR(IF(CO5&lt;CP5,TRUE),IF(AND(CP5="",CO5&lt;&gt;""),TRUE))</formula>
    </cfRule>
    <cfRule type="expression" dxfId="32" priority="22">
      <formula>IF(CO5&gt;=CP5,IF(CO5="",FALSE,TRUE))</formula>
    </cfRule>
  </conditionalFormatting>
  <conditionalFormatting sqref="CO15:CO24 CQ15:CQ24">
    <cfRule type="expression" dxfId="31" priority="15">
      <formula>OR(IF(CO15&lt;CP15,TRUE),IF(AND(CP15="",CO15&lt;&gt;""),TRUE))</formula>
    </cfRule>
    <cfRule type="expression" dxfId="30" priority="16">
      <formula>IF(CO15&gt;=CP15,IF(CO15="",FALSE,TRUE))</formula>
    </cfRule>
  </conditionalFormatting>
  <conditionalFormatting sqref="CO27:CO43">
    <cfRule type="expression" dxfId="29" priority="19">
      <formula>OR(IF(CO27&lt;CP27,TRUE),IF(AND(CP27="",CO27&lt;&gt;""),TRUE))</formula>
    </cfRule>
    <cfRule type="expression" dxfId="28" priority="20">
      <formula>IF(CO27&gt;=CP27,IF(CO27="",FALSE,TRUE))</formula>
    </cfRule>
  </conditionalFormatting>
  <conditionalFormatting sqref="CO45:CO53">
    <cfRule type="expression" dxfId="27" priority="3">
      <formula>OR(IF(CO45&lt;CP45,TRUE),IF(AND(CP45="",CO45&lt;&gt;""),TRUE))</formula>
    </cfRule>
    <cfRule type="expression" dxfId="26" priority="4">
      <formula>IF(CO45&gt;=CP45,IF(CO45="",FALSE,TRUE))</formula>
    </cfRule>
  </conditionalFormatting>
  <conditionalFormatting sqref="CO56:CO76 CQ56:CQ76">
    <cfRule type="expression" dxfId="25" priority="5">
      <formula>OR(IF(CO56&lt;CP56,TRUE),IF(AND(CP56="",CO56&lt;&gt;""),TRUE))</formula>
    </cfRule>
    <cfRule type="expression" dxfId="24" priority="6">
      <formula>IF(CO56&gt;=CP56,IF(CO56="",FALSE,TRUE))</formula>
    </cfRule>
  </conditionalFormatting>
  <conditionalFormatting sqref="CO79:CO93 CQ79:CQ93">
    <cfRule type="expression" dxfId="23" priority="13">
      <formula>OR(IF(CO79&lt;CP79,TRUE),IF(AND(CP79="",CO79&lt;&gt;""),TRUE))</formula>
    </cfRule>
    <cfRule type="expression" dxfId="22" priority="14">
      <formula>IF(CO79&gt;=CP79,IF(CO79="",FALSE,TRUE))</formula>
    </cfRule>
  </conditionalFormatting>
  <conditionalFormatting sqref="CO98:CO106">
    <cfRule type="expression" dxfId="21" priority="9">
      <formula>OR(IF(CO98&lt;CP98,TRUE),IF(AND(CP98="",CO98&lt;&gt;""),TRUE))</formula>
    </cfRule>
    <cfRule type="expression" dxfId="20" priority="10">
      <formula>IF(CO98&gt;=CP98,IF(CO98="",FALSE,TRUE))</formula>
    </cfRule>
  </conditionalFormatting>
  <conditionalFormatting sqref="CO109:CO123 CQ109:CQ123">
    <cfRule type="expression" dxfId="19" priority="11">
      <formula>OR(IF(CO109&lt;CP109,TRUE),IF(AND(CP109="",CO109&lt;&gt;""),TRUE))</formula>
    </cfRule>
    <cfRule type="expression" dxfId="18" priority="12">
      <formula>IF(CO109&gt;=CP109,IF(CO109="",FALSE,TRUE))</formula>
    </cfRule>
  </conditionalFormatting>
  <conditionalFormatting sqref="CQ27:CQ43">
    <cfRule type="expression" dxfId="17" priority="17">
      <formula>OR(IF(CQ27&lt;CR27,TRUE),IF(AND(CR27="",CQ27&lt;&gt;""),TRUE))</formula>
    </cfRule>
    <cfRule type="expression" dxfId="16" priority="18">
      <formula>IF(CQ27&gt;=CR27,IF(CQ27="",FALSE,TRUE))</formula>
    </cfRule>
  </conditionalFormatting>
  <conditionalFormatting sqref="CQ45:CQ53">
    <cfRule type="expression" dxfId="15" priority="1">
      <formula>OR(IF(CQ45&lt;CR45,TRUE),IF(AND(CR45="",CQ45&lt;&gt;""),TRUE))</formula>
    </cfRule>
    <cfRule type="expression" dxfId="14" priority="2">
      <formula>IF(CQ45&gt;=CR45,IF(CQ45="",FALSE,TRUE))</formula>
    </cfRule>
  </conditionalFormatting>
  <conditionalFormatting sqref="CQ98:CQ106">
    <cfRule type="expression" dxfId="13" priority="7">
      <formula>OR(IF(CQ98&lt;CR98,TRUE),IF(AND(CR98="",CQ98&lt;&gt;""),TRUE))</formula>
    </cfRule>
    <cfRule type="expression" dxfId="12" priority="8">
      <formula>IF(CQ98&gt;=CR98,IF(CQ98="",FALSE,TRUE))</formula>
    </cfRule>
  </conditionalFormatting>
  <dataValidations count="1">
    <dataValidation type="list" allowBlank="1" showInputMessage="1" showErrorMessage="1" sqref="BL5:BO12 CO45:CR53 O98:R106 AX56:BA76 DB15:DE24 DB5:DE12 V5:Y12 AC5:AF12 AJ5:AM12 AQ5:AT12 AX5:BA12 BE5:BH12 O5:R12 BZ5:CC12 BS5:BV12 CU109:CX123 CU5:CX12 BZ15:CC24 O15:R24 O61:Q62 V14:Y24 AJ14:AM24 AQ15:AT24 AX15:BA24 BL56:BO76 BS15:BV24 R62 CU15:CX24 BS45:BV53 DB109:DE123 BS109:BV123 BL109:BO123 CG98:CJ106 V109:Y123 AC109:AF123 AQ109:AT123 AX109:BA123 BE109:BH123 BZ98:CC106 AJ109:AM123 O86:R93 O56:R60 CG15:CJ24 AC14:AF24 O114:Q115 R115 BE45:BH53 BE27:BH43 DB56:DE76 CG79:CJ93 CU56:CX76 BS27:BV43 BZ79:CC93 BL45:BO53 V56:Y76 AN68:AP68 AQ56:AT76 BE56:BH76 AX45:BA53 O63:R76 DB45:DE53 CU79:CX93 CG56:CJ76 DB79:DE93 BS79:BV93 BL79:BO93 BZ56:CC76 V79:Y93 AC79:AF93 AQ79:AT93 AX79:BA93 BE79:BH93 AJ79:AM93 DB27:DE43 CU45:CX53 BS56:BV76 O84:Q85 R85 O79:R83 CU27:CX43 BL15:BO24 BE15:BH24 O27:R43 CG5:CJ12 AJ27:AM43 AC27:AF43 O45:R53 BM41:BM43 CG27:CJ43 BZ45:CC53 AX27:BA43 O109:R113 O116:R123 V45:Y53 BE98:BH106 CG109:CJ123 DB98:DE106 CU98:CX106 BZ109:CC123 BS98:BV106 BL98:BO106 V98:Y106 AC98:AF106 AJ98:AM106 AX98:BA106 AQ98:AT106 AQ45:AT53 AC45:AF53 CG45:CJ53 BZ27:CC43 AJ45:AM53 CO109:CR123 CO5:CR12 CO15:CR24 CO56:CR76 CO79:CR93 CO27:CR43 CO98:CR106 BL27:BL43 BN27:BO43 BM27:BM38 AQ27:AT43 AJ56:AM76 AC56:AF76 Y37 V38:Y43 V37:W37 V27:Y3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22"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D13" sqref="D13"/>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45</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Duvan, Halil</cp:lastModifiedBy>
  <dcterms:created xsi:type="dcterms:W3CDTF">2020-04-19T13:33:28Z</dcterms:created>
  <dcterms:modified xsi:type="dcterms:W3CDTF">2023-11-16T11:46:51Z</dcterms:modified>
</cp:coreProperties>
</file>