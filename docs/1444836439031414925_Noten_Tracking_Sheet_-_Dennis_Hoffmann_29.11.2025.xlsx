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ennishoffmann/Downloads/"/>
    </mc:Choice>
  </mc:AlternateContent>
  <xr:revisionPtr revIDLastSave="0" documentId="13_ncr:1_{14F4D933-2108-744C-8266-0EAC6A6CE66C}" xr6:coauthVersionLast="47" xr6:coauthVersionMax="47" xr10:uidLastSave="{00000000-0000-0000-0000-000000000000}"/>
  <bookViews>
    <workbookView xWindow="0" yWindow="720" windowWidth="29400" windowHeight="18400" activeTab="1" xr2:uid="{00000000-000D-0000-FFFF-FFFF00000000}"/>
  </bookViews>
  <sheets>
    <sheet name="ANLEITUNG" sheetId="1" r:id="rId1"/>
    <sheet name="Semesterplan" sheetId="2" r:id="rId2"/>
    <sheet name="Best-Practices" sheetId="3" r:id="rId3"/>
    <sheet name="COMMITTMENT" sheetId="4" r:id="rId4"/>
    <sheet name="Wochenplan KW 492025"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2" i="2" l="1"/>
  <c r="BD2" i="2"/>
  <c r="AW2" i="2"/>
  <c r="AP2" i="2"/>
  <c r="AI2" i="2"/>
  <c r="AB2" i="2"/>
  <c r="U2" i="2"/>
  <c r="N2" i="2"/>
  <c r="M1" i="4"/>
  <c r="A66" i="4" s="1"/>
  <c r="K35" i="2" a="1"/>
  <c r="K35" i="2" s="1"/>
  <c r="J35" i="2" a="1"/>
  <c r="J35" i="2" s="1"/>
  <c r="I35" i="2"/>
  <c r="K34" i="2" a="1"/>
  <c r="K34" i="2" s="1"/>
  <c r="J34" i="2" a="1"/>
  <c r="J34" i="2" s="1"/>
  <c r="I34" i="2"/>
  <c r="K33" i="2" a="1"/>
  <c r="K33" i="2" s="1"/>
  <c r="J33" i="2" a="1"/>
  <c r="J33" i="2" s="1"/>
  <c r="I33" i="2"/>
  <c r="K32" i="2" a="1"/>
  <c r="K32" i="2" s="1"/>
  <c r="J32" i="2" a="1"/>
  <c r="J32" i="2" s="1"/>
  <c r="I32" i="2"/>
  <c r="G32" i="2"/>
  <c r="K31" i="2" a="1"/>
  <c r="K31" i="2" s="1"/>
  <c r="J31" i="2" a="1"/>
  <c r="J31" i="2" s="1"/>
  <c r="I31" i="2"/>
  <c r="G31" i="2"/>
  <c r="C31" i="2"/>
  <c r="C33" i="2" s="1"/>
  <c r="K30" i="2" a="1"/>
  <c r="K30" i="2" s="1"/>
  <c r="J30" i="2" a="1"/>
  <c r="J30" i="2" s="1"/>
  <c r="I30" i="2"/>
  <c r="G30" i="2"/>
  <c r="G35" i="2" s="1"/>
  <c r="C30" i="2"/>
  <c r="BR29" i="2"/>
  <c r="BK29" i="2"/>
  <c r="BD29" i="2"/>
  <c r="AW29" i="2"/>
  <c r="AP29" i="2"/>
  <c r="AI29" i="2"/>
  <c r="AB29" i="2"/>
  <c r="U29" i="2"/>
  <c r="N29" i="2"/>
  <c r="K27" i="2" a="1"/>
  <c r="K27" i="2" s="1"/>
  <c r="J27" i="2" a="1"/>
  <c r="J27" i="2" s="1"/>
  <c r="I27" i="2"/>
  <c r="K26" i="2" a="1"/>
  <c r="K26" i="2" s="1"/>
  <c r="J26" i="2" a="1"/>
  <c r="J26" i="2" s="1"/>
  <c r="I26" i="2"/>
  <c r="K25" i="2" a="1"/>
  <c r="K25" i="2" s="1"/>
  <c r="J25" i="2" a="1"/>
  <c r="J25" i="2" s="1"/>
  <c r="I25" i="2"/>
  <c r="C25" i="2"/>
  <c r="K24" i="2" a="1"/>
  <c r="K24" i="2" s="1"/>
  <c r="J24" i="2" a="1"/>
  <c r="J24" i="2" s="1"/>
  <c r="I24" i="2"/>
  <c r="C24" i="2"/>
  <c r="C26" i="2" s="1"/>
  <c r="C27" i="2" s="1"/>
  <c r="K23" i="2" a="1"/>
  <c r="K23" i="2" s="1"/>
  <c r="J23" i="2" a="1"/>
  <c r="J23" i="2" s="1"/>
  <c r="I23" i="2"/>
  <c r="G23" i="2"/>
  <c r="G27" i="2" s="1"/>
  <c r="C23" i="2"/>
  <c r="BR22" i="2"/>
  <c r="BK22" i="2"/>
  <c r="BD22" i="2"/>
  <c r="AW22" i="2"/>
  <c r="AP22" i="2"/>
  <c r="AI22" i="2"/>
  <c r="AB22" i="2"/>
  <c r="U22" i="2"/>
  <c r="N22" i="2"/>
  <c r="K20" i="2" a="1"/>
  <c r="K20" i="2" s="1"/>
  <c r="J20" i="2" a="1"/>
  <c r="J20" i="2" s="1"/>
  <c r="I20" i="2"/>
  <c r="G20" i="2"/>
  <c r="G11" i="2" s="1"/>
  <c r="K19" i="2" a="1"/>
  <c r="K19" i="2" s="1"/>
  <c r="J19" i="2" a="1"/>
  <c r="J19" i="2" s="1"/>
  <c r="I19" i="2"/>
  <c r="K18" i="2" a="1"/>
  <c r="K18" i="2" s="1"/>
  <c r="J18" i="2" a="1"/>
  <c r="J18" i="2" s="1"/>
  <c r="I18" i="2"/>
  <c r="K17" i="2" a="1"/>
  <c r="K17" i="2" s="1"/>
  <c r="J17" i="2" a="1"/>
  <c r="J17" i="2" s="1"/>
  <c r="I17" i="2"/>
  <c r="K16" i="2" a="1"/>
  <c r="K16" i="2" s="1"/>
  <c r="J16" i="2" a="1"/>
  <c r="J16" i="2" s="1"/>
  <c r="I16" i="2"/>
  <c r="K15" i="2" a="1"/>
  <c r="K15" i="2" s="1"/>
  <c r="J15" i="2" a="1"/>
  <c r="J15" i="2" s="1"/>
  <c r="I15" i="2"/>
  <c r="K14" i="2" a="1"/>
  <c r="K14" i="2" s="1"/>
  <c r="J14" i="2" a="1"/>
  <c r="J14" i="2" s="1"/>
  <c r="I14" i="2"/>
  <c r="K13" i="2" a="1"/>
  <c r="K13" i="2" s="1"/>
  <c r="J13" i="2" a="1"/>
  <c r="J13" i="2" s="1"/>
  <c r="I13" i="2"/>
  <c r="C13" i="2"/>
  <c r="C14" i="2" s="1"/>
  <c r="K12" i="2" a="1"/>
  <c r="K12" i="2" s="1"/>
  <c r="J12" i="2" a="1"/>
  <c r="J12" i="2" s="1"/>
  <c r="I12" i="2"/>
  <c r="C12" i="2"/>
  <c r="BR11" i="2"/>
  <c r="BK11" i="2"/>
  <c r="BD11" i="2"/>
  <c r="AW11" i="2"/>
  <c r="AP11" i="2"/>
  <c r="AI11" i="2"/>
  <c r="AB11" i="2"/>
  <c r="U11" i="2"/>
  <c r="N11" i="2"/>
  <c r="K9" i="2" a="1"/>
  <c r="K9" i="2" s="1"/>
  <c r="J9" i="2" a="1"/>
  <c r="J9" i="2" s="1"/>
  <c r="I9" i="2"/>
  <c r="K8" i="2" a="1"/>
  <c r="K8" i="2" s="1"/>
  <c r="J8" i="2" a="1"/>
  <c r="J8" i="2" s="1"/>
  <c r="I8" i="2"/>
  <c r="K7" i="2" a="1"/>
  <c r="K7" i="2" s="1"/>
  <c r="J7" i="2" a="1"/>
  <c r="J7" i="2" s="1"/>
  <c r="I7" i="2"/>
  <c r="K6" i="2" a="1"/>
  <c r="K6" i="2" s="1"/>
  <c r="J6" i="2" a="1"/>
  <c r="J6" i="2" s="1"/>
  <c r="I6" i="2"/>
  <c r="C6" i="2"/>
  <c r="C8" i="2" s="1"/>
  <c r="K5" i="2" a="1"/>
  <c r="K5" i="2" s="1"/>
  <c r="J5" i="2" a="1"/>
  <c r="J5" i="2" s="1"/>
  <c r="I5" i="2"/>
  <c r="G9" i="2"/>
  <c r="C5" i="2"/>
  <c r="BR4" i="2"/>
  <c r="BK4" i="2"/>
  <c r="BD4" i="2"/>
  <c r="AW4" i="2"/>
  <c r="AP4" i="2"/>
  <c r="AI4" i="2"/>
  <c r="AB4" i="2"/>
  <c r="U4" i="2"/>
  <c r="N4" i="2"/>
  <c r="C12" i="1"/>
  <c r="C32" i="2" l="1"/>
  <c r="G25" i="2"/>
  <c r="C7" i="2"/>
  <c r="C15" i="2"/>
  <c r="C17" i="2" s="1"/>
  <c r="C18" i="2" s="1"/>
  <c r="G24" i="2"/>
  <c r="K22" i="2" s="1"/>
  <c r="K11" i="2"/>
  <c r="G33" i="2"/>
  <c r="I29" i="2"/>
  <c r="I22" i="2"/>
  <c r="G26" i="2"/>
  <c r="J11" i="2"/>
  <c r="I11" i="2"/>
  <c r="I4" i="2"/>
  <c r="A62" i="4"/>
  <c r="A63" i="4"/>
  <c r="C9" i="2"/>
  <c r="C34" i="2"/>
  <c r="C35" i="2"/>
  <c r="G8" i="2"/>
  <c r="G7" i="2"/>
  <c r="G6" i="2"/>
  <c r="G34" i="2"/>
  <c r="A64" i="4"/>
  <c r="A65" i="4"/>
  <c r="G22" i="2" l="1"/>
  <c r="G29" i="2"/>
  <c r="C19" i="2"/>
  <c r="C20" i="2" s="1"/>
  <c r="J22" i="2"/>
  <c r="K29" i="2"/>
  <c r="C16" i="2"/>
  <c r="J29" i="2"/>
  <c r="K4" i="2"/>
  <c r="G4" i="2"/>
  <c r="J4" i="2"/>
</calcChain>
</file>

<file path=xl/sharedStrings.xml><?xml version="1.0" encoding="utf-8"?>
<sst xmlns="http://schemas.openxmlformats.org/spreadsheetml/2006/main" count="203" uniqueCount="122">
  <si>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</si>
  <si>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</si>
  <si>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</si>
  <si>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</si>
  <si>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</si>
  <si>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</si>
  <si>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</si>
  <si>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</si>
  <si>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</si>
  <si>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</si>
  <si>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</si>
  <si>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</si>
  <si>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</si>
  <si>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</si>
  <si>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</si>
  <si>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</si>
  <si>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</si>
  <si>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</si>
  <si>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</si>
  <si>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</si>
  <si>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</si>
  <si>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</si>
  <si>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</si>
  <si>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</si>
  <si>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</si>
  <si>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</si>
  <si>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</si>
  <si>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</si>
  <si>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</si>
  <si>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</si>
  <si>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</si>
  <si>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</si>
  <si>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</si>
  <si>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</si>
  <si>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</si>
  <si>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</si>
  <si>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</si>
  <si>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</si>
  <si>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Semesterplan</t>
  </si>
  <si>
    <t>Übersicht</t>
  </si>
  <si>
    <t>KLAUSURENPHASE!!!</t>
  </si>
  <si>
    <t>Typ</t>
  </si>
  <si>
    <t>Fach</t>
  </si>
  <si>
    <t>Klausurdatum</t>
  </si>
  <si>
    <t>ECTS</t>
  </si>
  <si>
    <t>Fachgebiet</t>
  </si>
  <si>
    <t>Anteil an Klausur</t>
  </si>
  <si>
    <t>Stunden</t>
  </si>
  <si>
    <t>Skript Niveau</t>
  </si>
  <si>
    <t>Rechnen Niveau</t>
  </si>
  <si>
    <t>Bemerkungen</t>
  </si>
  <si>
    <t>Ziel</t>
  </si>
  <si>
    <t>International Corporate Reporting</t>
  </si>
  <si>
    <t>10.11 + 23.01</t>
  </si>
  <si>
    <t>SBWL International Accounting &amp; Controlling</t>
  </si>
  <si>
    <t>Thema</t>
  </si>
  <si>
    <t>1)</t>
  </si>
  <si>
    <t>2)</t>
  </si>
  <si>
    <t>3)</t>
  </si>
  <si>
    <t>4)</t>
  </si>
  <si>
    <t>5)</t>
  </si>
  <si>
    <t>6)</t>
  </si>
  <si>
    <t>Makroökonomie</t>
  </si>
  <si>
    <t>CBK</t>
  </si>
  <si>
    <t>Financial Management and Valuation</t>
  </si>
  <si>
    <t>SBWL Finance</t>
  </si>
  <si>
    <t>Zukunftsfähiges Wirtschaften</t>
  </si>
  <si>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</si>
  <si>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</si>
  <si>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</si>
  <si>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</si>
  <si>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</si>
  <si>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</si>
  <si>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</si>
  <si>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</si>
  <si>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</si>
  <si>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</si>
  <si>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</si>
  <si>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</si>
  <si>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</si>
  <si>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</si>
  <si>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</si>
  <si>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</si>
  <si>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</si>
  <si>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</si>
  <si>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</si>
  <si>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</si>
  <si>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</si>
  <si>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</si>
  <si>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</si>
  <si>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</si>
  <si>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</si>
  <si>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</si>
  <si>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</si>
  <si>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</si>
  <si>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</si>
  <si>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</si>
  <si>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</si>
  <si>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</si>
  <si>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</si>
  <si>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</si>
  <si>
    <t>1) IAS 7</t>
  </si>
  <si>
    <t>2) IAS 37</t>
  </si>
  <si>
    <t>3) IAS 32 &amp; IFRS 9</t>
  </si>
  <si>
    <t>4) IFRS 13</t>
  </si>
  <si>
    <t>5) IFRS 15</t>
  </si>
  <si>
    <t>1) IS-LM-Modell</t>
  </si>
  <si>
    <t>2) Erweitertes IS-LM-Modell</t>
  </si>
  <si>
    <t>3) Arbeitsmarkt</t>
  </si>
  <si>
    <t>4) Phillipskurve</t>
  </si>
  <si>
    <t>5) IS-LM-PC-Modell</t>
  </si>
  <si>
    <t>6) Offene Güter- und Finanzmärkte</t>
  </si>
  <si>
    <t>7) Der Gütermarkt in der offenen VW</t>
  </si>
  <si>
    <t>8) Mundell-Fleming-Modell</t>
  </si>
  <si>
    <t>9) Wechselkursregime</t>
  </si>
  <si>
    <t>1) Valuation of risk-free cashflows</t>
  </si>
  <si>
    <t>2) Introduction to derivatives</t>
  </si>
  <si>
    <t>3) Options</t>
  </si>
  <si>
    <t>4) Valuation of risky projects</t>
  </si>
  <si>
    <t>5) Allocation of capital and corporate strategy</t>
  </si>
  <si>
    <t>End Exam IAMC</t>
  </si>
  <si>
    <t>Mid Term IAMC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</si>
</sst>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dd\.mm"/>
  </numFmts>
  <fonts count="12" x14ac:knownFonts="1">
    <font>
      <sz val="12"/>
      <color theme="1"/>
      <name val="Calibri"/>
      <scheme val="minor"/>
    </font>
    <font>
      <sz val="12"/>
      <color theme="1"/>
      <name val="Calibri"/>
      <family val="2"/>
      <scheme val="minor"/>
    </font>
    <font>
      <sz val="12"/>
      <color theme="1"/>
      <name val="Calibri"/>
      <family val="2"/>
    </font>
    <font>
      <b/>
      <sz val="12"/>
      <color theme="1"/>
      <name val="Calibri"/>
      <family val="2"/>
    </font>
    <font>
      <sz val="12"/>
      <color theme="1"/>
      <name val="Calibri"/>
      <family val="2"/>
      <scheme val="minor"/>
    </font>
    <font>
      <sz val="12"/>
      <color rgb="FFFFFFFF"/>
      <name val="Calibri"/>
      <family val="2"/>
      <scheme val="minor"/>
    </font>
    <font>
      <b/>
      <sz val="26"/>
      <color theme="1"/>
      <name val="Calibri"/>
      <family val="2"/>
    </font>
    <font>
      <sz val="12"/>
      <name val="Calibri"/>
      <family val="2"/>
    </font>
    <font>
      <b/>
      <i/>
      <u/>
      <sz val="16"/>
      <color theme="1"/>
      <name val="Calibri"/>
      <family val="2"/>
    </font>
    <font>
      <b/>
      <sz val="20"/>
      <color theme="1"/>
      <name val="Calibri"/>
      <family val="2"/>
    </font>
    <font>
      <sz val="12"/>
      <color theme="1"/>
      <name val="Calibri"/>
      <family val="2"/>
    </font>
    <font>
      <i/>
      <sz val="12"/>
      <color theme="1"/>
      <name val="Calibri"/>
      <family val="2"/>
      <scheme val="minor"/>
    </font>
  </fonts>
  <fills count="6">
    <fill>
      <patternFill patternType="none"/>
    </fill>
    <fill>
      <patternFill patternType="gray125"/>
    </fill>
    <fill>
      <patternFill patternType="solid">
        <fgColor rgb="FFD9E2F3"/>
        <bgColor rgb="FFD9E2F3"/>
      </patternFill>
    </fill>
    <fill>
      <patternFill patternType="solid">
        <fgColor rgb="FF00FF29"/>
        <bgColor rgb="FF00FF29"/>
      </patternFill>
    </fill>
    <fill>
      <patternFill patternType="solid">
        <fgColor rgb="FFFFFF00"/>
        <bgColor rgb="FFFFFF00"/>
      </patternFill>
    </fill>
    <fill>
      <patternFill patternType="solid">
        <fgColor rgb="FFE0E0E0"/>
        <bgColor rgb="FFE0E0E0"/>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0">
    <xf numFmtId="0" fontId="0" fillId="0" borderId="0" xfId="0"/>
    <xf numFmtId="0" fontId="2" fillId="2" borderId="1" xfId="0" applyFont="1" applyFill="1" applyBorder="1"/>
    <xf numFmtId="0" fontId="2" fillId="3" borderId="1" xfId="0" applyFont="1" applyFill="1" applyBorder="1"/>
    <xf numFmtId="0" fontId="2" fillId="4" borderId="1" xfId="0" applyFont="1" applyFill="1" applyBorder="1"/>
    <xf numFmtId="0" fontId="3" fillId="0" borderId="0" xfId="0" applyFont="1"/>
    <xf numFmtId="0" fontId="4" fillId="0" borderId="0" xfId="0" applyFont="1"/>
    <xf numFmtId="0" fontId="2" fillId="0" borderId="0" xfId="0" applyFont="1"/>
    <xf numFmtId="164" fontId="5" fillId="0" borderId="0" xfId="0" applyNumberFormat="1" applyFont="1"/>
    <xf numFmtId="0" fontId="6" fillId="0" borderId="0" xfId="0" applyFont="1"/>
    <xf numFmtId="0" fontId="2" fillId="0" borderId="1" xfId="0" applyFont="1" applyBorder="1"/>
    <xf numFmtId="164" fontId="4" fillId="0" borderId="0" xfId="0" applyNumberFormat="1" applyFont="1"/>
    <xf numFmtId="0" fontId="3" fillId="5" borderId="1" xfId="0" applyFont="1" applyFill="1" applyBorder="1"/>
    <xf numFmtId="0" fontId="3" fillId="5" borderId="1" xfId="0" applyFont="1" applyFill="1" applyBorder="1" applyAlignment="1">
      <alignment horizontal="center"/>
    </xf>
    <xf numFmtId="0" fontId="2" fillId="0" borderId="0" xfId="0" applyFont="1" applyAlignment="1">
      <alignment horizontal="center"/>
    </xf>
    <xf numFmtId="9" fontId="2" fillId="0" borderId="0" xfId="0" applyNumberFormat="1" applyFont="1"/>
    <xf numFmtId="1" fontId="2" fillId="0" borderId="0" xfId="0" applyNumberFormat="1" applyFont="1" applyAlignment="1">
      <alignment horizontal="center"/>
    </xf>
    <xf numFmtId="9" fontId="2" fillId="0" borderId="0" xfId="0" applyNumberFormat="1" applyFont="1" applyAlignment="1">
      <alignment horizontal="center"/>
    </xf>
    <xf numFmtId="165" fontId="2" fillId="0" borderId="0" xfId="0" applyNumberFormat="1" applyFont="1"/>
    <xf numFmtId="0" fontId="8" fillId="0" borderId="0" xfId="0" applyFont="1"/>
    <xf numFmtId="0" fontId="2" fillId="0" borderId="0" xfId="0" applyFont="1" applyAlignment="1">
      <alignment wrapText="1"/>
    </xf>
    <xf numFmtId="0" fontId="2" fillId="0" borderId="0" xfId="0" applyFont="1" applyAlignment="1">
      <alignment horizontal="center" wrapText="1"/>
    </xf>
    <xf numFmtId="14" fontId="2" fillId="0" borderId="0" xfId="0" applyNumberFormat="1" applyFont="1" applyAlignment="1">
      <alignment horizontal="center"/>
    </xf>
    <xf numFmtId="0" fontId="9" fillId="0" borderId="0" xfId="0" applyFont="1"/>
    <xf numFmtId="20" fontId="2" fillId="0" borderId="0" xfId="0" applyNumberFormat="1" applyFont="1"/>
    <xf numFmtId="14" fontId="10" fillId="0" borderId="0" xfId="0" applyNumberFormat="1" applyFont="1" applyAlignment="1">
      <alignment horizontal="center"/>
    </xf>
    <xf numFmtId="0" fontId="1" fillId="0" borderId="0" xfId="0" applyFont="1"/>
    <xf numFmtId="0" fontId="11" fillId="0" borderId="0" xfId="0" applyFont="1"/>
    <xf numFmtId="0" fontId="3" fillId="5" borderId="2" xfId="0" applyFont="1" applyFill="1" applyBorder="1" applyAlignment="1">
      <alignment horizontal="center"/>
    </xf>
    <xf numFmtId="0" fontId="7" fillId="0" borderId="3" xfId="0" applyFont="1" applyBorder="1"/>
    <xf numFmtId="0" fontId="7" fillId="0" borderId="4" xfId="0" applyFont="1" applyBorder="1"/>
  </cellXfs>
  <cellStyles count="1">
    <cellStyle name="Normal" xfId="0" builtinId="0"/>
  </cellStyles>
  <dxfs count="114">
    <dxf>
      <fill>
        <patternFill patternType="solid">
          <fgColor rgb="FFFF0000"/>
          <bgColor rgb="FFFF0000"/>
        </patternFill>
      </fill>
    </dxf>
    <dxf>
      <fill>
        <patternFill patternType="solid">
          <fgColor rgb="FFFF755A"/>
          <bgColor rgb="FFFF755A"/>
        </patternFill>
      </fill>
    </dxf>
    <dxf>
      <fill>
        <patternFill patternType="solid">
          <fgColor rgb="FFFFDE7F"/>
          <bgColor rgb="FFFFDE7F"/>
        </patternFill>
      </fill>
    </dxf>
    <dxf>
      <fill>
        <patternFill patternType="solid">
          <fgColor rgb="FFC4FF87"/>
          <bgColor rgb="FFC4FF87"/>
        </patternFill>
      </fill>
    </dxf>
    <dxf>
      <fill>
        <patternFill patternType="solid">
          <fgColor rgb="FF56FF5E"/>
          <bgColor rgb="FF56FF5E"/>
        </patternFill>
      </fill>
    </dxf>
    <dxf>
      <font>
        <b/>
        <u/>
      </font>
      <fill>
        <patternFill patternType="solid">
          <fgColor rgb="FF00FF29"/>
          <bgColor rgb="FF00FF29"/>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theme="5"/>
          <bgColor theme="5"/>
        </patternFill>
      </fill>
    </dxf>
  </dxfs>
  <tableStyles count="5">
    <tableStyle name="COMMITTMENT-style" pivot="0" count="3" xr9:uid="{00000000-0011-0000-FFFF-FFFF00000000}">
      <tableStyleElement type="headerRow" dxfId="113"/>
      <tableStyleElement type="firstRowStripe" dxfId="112"/>
      <tableStyleElement type="secondRowStripe" dxfId="111"/>
    </tableStyle>
    <tableStyle name="COMMITTMENT-style 2" pivot="0" count="2" xr9:uid="{00000000-0011-0000-FFFF-FFFF01000000}">
      <tableStyleElement type="firstRowStripe" dxfId="110"/>
      <tableStyleElement type="secondRowStripe" dxfId="109"/>
    </tableStyle>
    <tableStyle name="COMMITTMENT-style 3" pivot="0" count="2" xr9:uid="{00000000-0011-0000-FFFF-FFFF02000000}">
      <tableStyleElement type="firstRowStripe" dxfId="108"/>
      <tableStyleElement type="secondRowStripe" dxfId="107"/>
    </tableStyle>
    <tableStyle name="COMMITTMENT-style 4" pivot="0" count="2" xr9:uid="{00000000-0011-0000-FFFF-FFFF03000000}">
      <tableStyleElement type="firstRowStripe" dxfId="106"/>
      <tableStyleElement type="secondRowStripe" dxfId="105"/>
    </tableStyle>
    <tableStyle name="COMMITTMENT-style 5" pivot="0" count="2" xr9:uid="{00000000-0011-0000-FFFF-FFFF04000000}">
      <tableStyleElement type="firstRowStripe" dxfId="104"/>
      <tableStyleElement type="secondRowStripe" dxfId="10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61">
  <tableColumns count="11">
    <tableColumn id="1" xr3:uid="{00000000-0010-0000-0000-000001000000}" name="Datum"/>
    <tableColumn id="2" xr3:uid="{00000000-0010-0000-0000-000002000000}" name="Lerneinheiten durchgezogen"/>
    <tableColumn id="3" xr3:uid="{00000000-0010-0000-0000-000003000000}" name="Tagesplan erstellt"/>
    <tableColumn id="4" xr3:uid="{00000000-0010-0000-0000-000004000000}" name="Konzentrationslevel"/>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COMMITTMEN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62:K63" headerRowCount="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name="COMMITTMENT-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64:K64" headerRowCount="0">
  <tableColumns count="11">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s>
  <tableStyleInfo name="COMMITTMENT-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65:K65" headerRowCount="0">
  <tableColumns count="11">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s>
  <tableStyleInfo name="COMMITTMENT-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66:K66" headerRowCount="0">
  <tableColumns count="11">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s>
  <tableStyleInfo name="COMMITTMENT-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activeCell="E11" sqref="E11"/>
    </sheetView>
  </sheetViews>
  <sheetFormatPr baseColWidth="10" defaultColWidth="11.1640625" defaultRowHeight="15" customHeight="1" x14ac:dyDescent="0.2"/>
  <cols>
    <col min="1" max="1" width="9.1640625" customWidth="1"/>
    <col min="2" max="2" width="48.83203125" customWidth="1"/>
    <col min="3" max="26" width="8.33203125" customWidth="1"/>
  </cols>
  <sheetData>
    <row r="1" spans="1:4" ht="15.75" customHeight="1" x14ac:dyDescent="0.2"/>
    <row r="2" spans="1:4" ht="15.75" customHeight="1" x14ac:dyDescent="0.2">
      <c r="C2" s="1" t="s">
        <v>0</v>
      </c>
    </row>
    <row r="3" spans="1:4" ht="15.75" customHeight="1" x14ac:dyDescent="0.2">
      <c r="C3" s="2" t="s">
        <v>1</v>
      </c>
    </row>
    <row r="4" spans="1:4" ht="15.75" customHeight="1" x14ac:dyDescent="0.2">
      <c r="C4" s="3" t="s">
        <v>2</v>
      </c>
    </row>
    <row r="5" spans="1:4" ht="15.75" customHeight="1" x14ac:dyDescent="0.2">
      <c r="A5" s="4" t="s">
        <v>3</v>
      </c>
      <c r="B5" s="4" t="s">
        <v>4</v>
      </c>
      <c r="C5" s="4" t="s">
        <v>5</v>
      </c>
      <c r="D5" s="4" t="s">
        <v>6</v>
      </c>
    </row>
    <row r="6" spans="1:4" ht="15.75" customHeight="1" x14ac:dyDescent="0.2">
      <c r="A6" s="5" t="s">
        <v>7</v>
      </c>
      <c r="B6" s="1" t="s">
        <v>8</v>
      </c>
      <c r="D6" s="5" t="s">
        <v>9</v>
      </c>
    </row>
    <row r="7" spans="1:4" ht="15.75" customHeight="1" x14ac:dyDescent="0.2">
      <c r="A7" s="5" t="s">
        <v>10</v>
      </c>
      <c r="B7" s="5" t="s">
        <v>11</v>
      </c>
      <c r="C7" s="3">
        <v>26</v>
      </c>
    </row>
    <row r="8" spans="1:4" ht="15.75" customHeight="1" x14ac:dyDescent="0.2">
      <c r="A8" s="5" t="s">
        <v>12</v>
      </c>
      <c r="B8" s="1" t="s">
        <v>13</v>
      </c>
      <c r="C8" s="6"/>
      <c r="D8" s="5" t="s">
        <v>14</v>
      </c>
    </row>
    <row r="9" spans="1:4" ht="15.75" customHeight="1" x14ac:dyDescent="0.2">
      <c r="A9" s="5" t="s">
        <v>15</v>
      </c>
      <c r="B9" s="1" t="s">
        <v>16</v>
      </c>
      <c r="D9" s="5" t="s">
        <v>17</v>
      </c>
    </row>
    <row r="10" spans="1:4" ht="15.75" customHeight="1" x14ac:dyDescent="0.2">
      <c r="A10" s="5" t="s">
        <v>18</v>
      </c>
      <c r="B10" s="5" t="s">
        <v>19</v>
      </c>
      <c r="C10" s="3">
        <v>6</v>
      </c>
      <c r="D10" s="5" t="s">
        <v>20</v>
      </c>
    </row>
    <row r="11" spans="1:4" ht="15.75" customHeight="1" x14ac:dyDescent="0.2">
      <c r="A11" s="5" t="s">
        <v>21</v>
      </c>
      <c r="B11" s="5" t="s">
        <v>22</v>
      </c>
      <c r="C11" s="3">
        <v>78</v>
      </c>
      <c r="D11" s="5" t="s">
        <v>23</v>
      </c>
    </row>
    <row r="12" spans="1:4" ht="15.75" customHeight="1" x14ac:dyDescent="0.2">
      <c r="A12" s="5" t="s">
        <v>24</v>
      </c>
      <c r="B12" s="5" t="s">
        <v>25</v>
      </c>
      <c r="C12" s="2">
        <f>C11/C10</f>
        <v>13</v>
      </c>
    </row>
    <row r="13" spans="1:4" ht="15.75" customHeight="1" x14ac:dyDescent="0.2">
      <c r="A13" s="5" t="s">
        <v>26</v>
      </c>
      <c r="B13" s="5" t="s">
        <v>27</v>
      </c>
      <c r="D13" s="5" t="s">
        <v>28</v>
      </c>
    </row>
    <row r="14" spans="1:4" ht="15.75" customHeight="1" x14ac:dyDescent="0.2">
      <c r="A14" s="5" t="s">
        <v>29</v>
      </c>
      <c r="B14" s="5" t="s">
        <v>30</v>
      </c>
      <c r="D14" s="5" t="s">
        <v>31</v>
      </c>
    </row>
    <row r="15" spans="1:4" ht="15.75" customHeight="1" x14ac:dyDescent="0.2">
      <c r="A15" s="5" t="s">
        <v>32</v>
      </c>
      <c r="B15" s="1" t="s">
        <v>33</v>
      </c>
    </row>
    <row r="16" spans="1:4" ht="15.75" customHeight="1" x14ac:dyDescent="0.2">
      <c r="A16" s="5" t="s">
        <v>34</v>
      </c>
      <c r="B16" s="1" t="s">
        <v>35</v>
      </c>
    </row>
    <row r="17" spans="1:2" ht="15.75" customHeight="1" x14ac:dyDescent="0.2">
      <c r="A17" s="5" t="s">
        <v>36</v>
      </c>
      <c r="B17" s="5" t="s">
        <v>37</v>
      </c>
    </row>
    <row r="18" spans="1:2" ht="15.75" customHeight="1" x14ac:dyDescent="0.2"/>
    <row r="19" spans="1:2" ht="15.75" customHeight="1" x14ac:dyDescent="0.2"/>
    <row r="20" spans="1:2" ht="15.75" customHeight="1" x14ac:dyDescent="0.2"/>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W37"/>
  <sheetViews>
    <sheetView showGridLines="0" tabSelected="1" zoomScaleNormal="162" workbookViewId="0">
      <pane xSplit="12" ySplit="3" topLeftCell="M4" activePane="bottomRight" state="frozen"/>
      <selection pane="topRight" activeCell="M1" sqref="M1"/>
      <selection pane="bottomLeft" activeCell="A4" sqref="A4"/>
      <selection pane="bottomRight" activeCell="BI21" sqref="BI21"/>
    </sheetView>
  </sheetViews>
  <sheetFormatPr baseColWidth="10" defaultColWidth="11.1640625" defaultRowHeight="15" customHeight="1" outlineLevelRow="1" x14ac:dyDescent="0.2"/>
  <cols>
    <col min="1" max="1" width="6.83203125" customWidth="1"/>
    <col min="2" max="2" width="8.1640625" customWidth="1"/>
    <col min="3" max="3" width="27.6640625" customWidth="1"/>
    <col min="4" max="4" width="12.6640625" bestFit="1" customWidth="1"/>
    <col min="5" max="5" width="5.1640625" bestFit="1" customWidth="1"/>
    <col min="6" max="6" width="33.1640625" customWidth="1"/>
    <col min="7" max="7" width="16" bestFit="1" customWidth="1"/>
    <col min="8" max="8" width="1.83203125" customWidth="1"/>
    <col min="9" max="9" width="8.83203125" bestFit="1" customWidth="1"/>
    <col min="10" max="10" width="12.6640625" bestFit="1" customWidth="1"/>
    <col min="11" max="11" width="15.6640625" bestFit="1" customWidth="1"/>
    <col min="12" max="12" width="13.6640625" bestFit="1" customWidth="1"/>
    <col min="13" max="13" width="2.6640625" customWidth="1"/>
    <col min="14" max="14" width="7.83203125" bestFit="1" customWidth="1"/>
    <col min="15" max="15" width="12.33203125" bestFit="1" customWidth="1"/>
    <col min="16" max="16" width="5.6640625" bestFit="1" customWidth="1"/>
    <col min="17" max="17" width="14.5" bestFit="1" customWidth="1"/>
    <col min="18" max="18" width="5.6640625" bestFit="1" customWidth="1"/>
    <col min="19" max="19" width="12.6640625" bestFit="1" customWidth="1"/>
    <col min="20" max="20" width="1.83203125" customWidth="1"/>
    <col min="21" max="21" width="7.83203125" bestFit="1" customWidth="1"/>
    <col min="22" max="22" width="12.33203125" bestFit="1" customWidth="1"/>
    <col min="23" max="23" width="5.6640625" bestFit="1" customWidth="1"/>
    <col min="24" max="24" width="14.5" bestFit="1" customWidth="1"/>
    <col min="25" max="25" width="5.6640625" bestFit="1" customWidth="1"/>
    <col min="26" max="26" width="12.6640625" bestFit="1" customWidth="1"/>
    <col min="27" max="27" width="1.83203125" customWidth="1"/>
    <col min="28" max="28" width="7.83203125" bestFit="1" customWidth="1"/>
    <col min="29" max="29" width="12.33203125" bestFit="1" customWidth="1"/>
    <col min="30" max="30" width="5.6640625" bestFit="1" customWidth="1"/>
    <col min="31" max="31" width="14.5" bestFit="1" customWidth="1"/>
    <col min="32" max="32" width="5.6640625" bestFit="1" customWidth="1"/>
    <col min="33" max="33" width="12.6640625" bestFit="1" customWidth="1"/>
    <col min="34" max="34" width="1.83203125" customWidth="1"/>
    <col min="35" max="35" width="7.83203125" bestFit="1" customWidth="1"/>
    <col min="36" max="36" width="12.33203125" bestFit="1" customWidth="1"/>
    <col min="37" max="37" width="5.6640625" bestFit="1" customWidth="1"/>
    <col min="38" max="38" width="14.5" bestFit="1" customWidth="1"/>
    <col min="39" max="39" width="5.6640625" bestFit="1" customWidth="1"/>
    <col min="40" max="40" width="12.6640625" bestFit="1" customWidth="1"/>
    <col min="41" max="41" width="1.83203125" customWidth="1"/>
    <col min="42" max="42" width="7.83203125" bestFit="1" customWidth="1"/>
    <col min="43" max="43" width="12.33203125" bestFit="1" customWidth="1"/>
    <col min="44" max="44" width="5.6640625" bestFit="1" customWidth="1"/>
    <col min="45" max="45" width="14.5" bestFit="1" customWidth="1"/>
    <col min="46" max="46" width="5.6640625" bestFit="1" customWidth="1"/>
    <col min="47" max="47" width="12.6640625" bestFit="1" customWidth="1"/>
    <col min="48" max="48" width="1.83203125" customWidth="1"/>
    <col min="49" max="49" width="7.83203125" bestFit="1" customWidth="1"/>
    <col min="50" max="50" width="12.33203125" bestFit="1" customWidth="1"/>
    <col min="51" max="51" width="5.6640625" bestFit="1" customWidth="1"/>
    <col min="52" max="52" width="14.5" bestFit="1" customWidth="1"/>
    <col min="53" max="53" width="5.6640625" bestFit="1" customWidth="1"/>
    <col min="54" max="54" width="12.6640625" bestFit="1" customWidth="1"/>
    <col min="55" max="55" width="1.83203125" customWidth="1"/>
    <col min="56" max="56" width="7.83203125" bestFit="1" customWidth="1"/>
    <col min="57" max="57" width="12.33203125" bestFit="1" customWidth="1"/>
    <col min="58" max="58" width="5.6640625" bestFit="1" customWidth="1"/>
    <col min="59" max="59" width="14.5" bestFit="1" customWidth="1"/>
    <col min="60" max="60" width="5.6640625" bestFit="1" customWidth="1"/>
    <col min="61" max="61" width="12.6640625" bestFit="1" customWidth="1"/>
    <col min="62" max="62" width="1.83203125" customWidth="1"/>
    <col min="63" max="63" width="7.83203125" bestFit="1" customWidth="1"/>
    <col min="64" max="64" width="12.33203125" bestFit="1" customWidth="1"/>
    <col min="65" max="65" width="5.6640625" bestFit="1" customWidth="1"/>
    <col min="66" max="66" width="14.5" bestFit="1" customWidth="1"/>
    <col min="67" max="67" width="5.6640625" bestFit="1" customWidth="1"/>
    <col min="68" max="68" width="12.6640625" bestFit="1" customWidth="1"/>
    <col min="69" max="69" width="1.83203125" customWidth="1"/>
    <col min="70" max="70" width="7.83203125" bestFit="1" customWidth="1"/>
    <col min="71" max="71" width="12.33203125" bestFit="1" customWidth="1"/>
    <col min="72" max="72" width="4.1640625" bestFit="1" customWidth="1"/>
    <col min="73" max="73" width="14.5" bestFit="1" customWidth="1"/>
    <col min="74" max="74" width="4.1640625" bestFit="1" customWidth="1"/>
    <col min="75" max="75" width="12.6640625" bestFit="1" customWidth="1"/>
  </cols>
  <sheetData>
    <row r="1" spans="1:75" ht="34" x14ac:dyDescent="0.4">
      <c r="A1" s="7">
        <v>45990</v>
      </c>
      <c r="B1" s="8" t="s">
        <v>38</v>
      </c>
      <c r="D1" s="8"/>
      <c r="G1" s="9"/>
      <c r="M1" s="10"/>
      <c r="W1" s="26" t="s">
        <v>121</v>
      </c>
      <c r="BM1" s="26" t="s">
        <v>120</v>
      </c>
    </row>
    <row r="2" spans="1:75" ht="15.75" customHeight="1" x14ac:dyDescent="0.2">
      <c r="I2" s="27" t="s">
        <v>39</v>
      </c>
      <c r="J2" s="28"/>
      <c r="K2" s="28"/>
      <c r="L2" s="29"/>
      <c r="M2" s="10"/>
      <c r="N2" s="27" t="str">
        <f>"KW " &amp; TEXT(_xlfn.ISOWEEKNUM(A1+7),"00") &amp; "/" &amp;
YEAR((A1+7) + 4 - WEEKDAY((A1+7) + 6))</f>
        <v>KW 49/2025</v>
      </c>
      <c r="O2" s="28"/>
      <c r="P2" s="28"/>
      <c r="Q2" s="28"/>
      <c r="R2" s="28"/>
      <c r="S2" s="29"/>
      <c r="U2" s="27" t="str">
        <f>"KW " &amp; TEXT(_xlfn.ISOWEEKNUM(A1+14),"00") &amp; "/" &amp;
YEAR((A1+14) + 4 - WEEKDAY((A1+14) + 6))</f>
        <v>KW 50/2025</v>
      </c>
      <c r="V2" s="28"/>
      <c r="W2" s="28"/>
      <c r="X2" s="28"/>
      <c r="Y2" s="28"/>
      <c r="Z2" s="29"/>
      <c r="AB2" s="27" t="str">
        <f>"KW " &amp; TEXT(_xlfn.ISOWEEKNUM(A1+21),"00") &amp; "/" &amp;
YEAR((A1+21) + 4 - WEEKDAY((A1+21) + 6))</f>
        <v>KW 51/2025</v>
      </c>
      <c r="AC2" s="28"/>
      <c r="AD2" s="28"/>
      <c r="AE2" s="28"/>
      <c r="AF2" s="28"/>
      <c r="AG2" s="29"/>
      <c r="AI2" s="27" t="str">
        <f>"KW " &amp; TEXT(_xlfn.ISOWEEKNUM(A1+28),"00") &amp; "/" &amp;
YEAR((A1+28) + 4 - WEEKDAY((A1+28) + 6))</f>
        <v>KW 52/2025</v>
      </c>
      <c r="AJ2" s="28"/>
      <c r="AK2" s="28"/>
      <c r="AL2" s="28"/>
      <c r="AM2" s="28"/>
      <c r="AN2" s="29"/>
      <c r="AP2" s="27" t="str">
        <f>"KW " &amp; TEXT(_xlfn.ISOWEEKNUM(A1+35),"00") &amp; "/" &amp;
YEAR((A1+35) + 4 - WEEKDAY((A1+35) + 6))</f>
        <v>KW 01/2026</v>
      </c>
      <c r="AQ2" s="28"/>
      <c r="AR2" s="28"/>
      <c r="AS2" s="28"/>
      <c r="AT2" s="28"/>
      <c r="AU2" s="29"/>
      <c r="AW2" s="27" t="str">
        <f>"KW " &amp; TEXT(_xlfn.ISOWEEKNUM(A1+42),"00") &amp; "/" &amp;
YEAR((A1+42) + 4 - WEEKDAY((A1+42) + 6))</f>
        <v>KW 02/2026</v>
      </c>
      <c r="AX2" s="28"/>
      <c r="AY2" s="28"/>
      <c r="AZ2" s="28"/>
      <c r="BA2" s="28"/>
      <c r="BB2" s="29"/>
      <c r="BD2" s="27" t="str">
        <f>"KW " &amp; TEXT(_xlfn.ISOWEEKNUM(A1+49),"00") &amp; "/" &amp;
YEAR((A1+49) + 4 - WEEKDAY((A1+49) + 6))</f>
        <v>KW 03/2026</v>
      </c>
      <c r="BE2" s="28"/>
      <c r="BF2" s="28"/>
      <c r="BG2" s="28"/>
      <c r="BH2" s="28"/>
      <c r="BI2" s="29"/>
      <c r="BK2" s="27" t="str">
        <f>"KW " &amp; TEXT(_xlfn.ISOWEEKNUM(A1+56),"00") &amp; "/" &amp;
YEAR((A1+56) + 4 - WEEKDAY((A1+56) + 6))</f>
        <v>KW 04/2026</v>
      </c>
      <c r="BL2" s="28"/>
      <c r="BM2" s="28"/>
      <c r="BN2" s="28"/>
      <c r="BO2" s="28"/>
      <c r="BP2" s="29"/>
      <c r="BR2" s="27" t="s">
        <v>40</v>
      </c>
      <c r="BS2" s="28"/>
      <c r="BT2" s="28"/>
      <c r="BU2" s="28"/>
      <c r="BV2" s="28"/>
      <c r="BW2" s="29"/>
    </row>
    <row r="3" spans="1:75" ht="15.75" customHeight="1" x14ac:dyDescent="0.2">
      <c r="B3" s="11" t="s">
        <v>41</v>
      </c>
      <c r="C3" s="11" t="s">
        <v>42</v>
      </c>
      <c r="D3" s="11" t="s">
        <v>43</v>
      </c>
      <c r="E3" s="12" t="s">
        <v>44</v>
      </c>
      <c r="F3" s="11" t="s">
        <v>45</v>
      </c>
      <c r="G3" s="11" t="s">
        <v>46</v>
      </c>
      <c r="I3" s="12" t="s">
        <v>47</v>
      </c>
      <c r="J3" s="12" t="s">
        <v>48</v>
      </c>
      <c r="K3" s="12" t="s">
        <v>49</v>
      </c>
      <c r="L3" s="12" t="s">
        <v>50</v>
      </c>
      <c r="M3" s="10"/>
      <c r="N3" s="11" t="s">
        <v>47</v>
      </c>
      <c r="O3" s="11" t="s">
        <v>48</v>
      </c>
      <c r="P3" s="11" t="s">
        <v>51</v>
      </c>
      <c r="Q3" s="11" t="s">
        <v>49</v>
      </c>
      <c r="R3" s="11" t="s">
        <v>51</v>
      </c>
      <c r="S3" s="11" t="s">
        <v>50</v>
      </c>
      <c r="U3" s="11" t="s">
        <v>47</v>
      </c>
      <c r="V3" s="11" t="s">
        <v>48</v>
      </c>
      <c r="W3" s="11" t="s">
        <v>51</v>
      </c>
      <c r="X3" s="11" t="s">
        <v>49</v>
      </c>
      <c r="Y3" s="11" t="s">
        <v>51</v>
      </c>
      <c r="Z3" s="11" t="s">
        <v>50</v>
      </c>
      <c r="AB3" s="11" t="s">
        <v>47</v>
      </c>
      <c r="AC3" s="11" t="s">
        <v>48</v>
      </c>
      <c r="AD3" s="11" t="s">
        <v>51</v>
      </c>
      <c r="AE3" s="11" t="s">
        <v>49</v>
      </c>
      <c r="AF3" s="11" t="s">
        <v>51</v>
      </c>
      <c r="AG3" s="11" t="s">
        <v>50</v>
      </c>
      <c r="AI3" s="11" t="s">
        <v>47</v>
      </c>
      <c r="AJ3" s="11" t="s">
        <v>48</v>
      </c>
      <c r="AK3" s="11" t="s">
        <v>51</v>
      </c>
      <c r="AL3" s="11" t="s">
        <v>49</v>
      </c>
      <c r="AM3" s="11" t="s">
        <v>51</v>
      </c>
      <c r="AN3" s="11" t="s">
        <v>50</v>
      </c>
      <c r="AP3" s="11" t="s">
        <v>47</v>
      </c>
      <c r="AQ3" s="11" t="s">
        <v>48</v>
      </c>
      <c r="AR3" s="11" t="s">
        <v>51</v>
      </c>
      <c r="AS3" s="11" t="s">
        <v>49</v>
      </c>
      <c r="AT3" s="11" t="s">
        <v>51</v>
      </c>
      <c r="AU3" s="11" t="s">
        <v>50</v>
      </c>
      <c r="AW3" s="11" t="s">
        <v>47</v>
      </c>
      <c r="AX3" s="11" t="s">
        <v>48</v>
      </c>
      <c r="AY3" s="11" t="s">
        <v>51</v>
      </c>
      <c r="AZ3" s="11" t="s">
        <v>49</v>
      </c>
      <c r="BA3" s="11" t="s">
        <v>51</v>
      </c>
      <c r="BB3" s="11" t="s">
        <v>50</v>
      </c>
      <c r="BD3" s="11" t="s">
        <v>47</v>
      </c>
      <c r="BE3" s="11" t="s">
        <v>48</v>
      </c>
      <c r="BF3" s="11" t="s">
        <v>51</v>
      </c>
      <c r="BG3" s="11" t="s">
        <v>49</v>
      </c>
      <c r="BH3" s="11" t="s">
        <v>51</v>
      </c>
      <c r="BI3" s="11" t="s">
        <v>50</v>
      </c>
      <c r="BK3" s="11" t="s">
        <v>47</v>
      </c>
      <c r="BL3" s="11" t="s">
        <v>48</v>
      </c>
      <c r="BM3" s="11" t="s">
        <v>51</v>
      </c>
      <c r="BN3" s="11" t="s">
        <v>49</v>
      </c>
      <c r="BO3" s="11" t="s">
        <v>51</v>
      </c>
      <c r="BP3" s="11" t="s">
        <v>50</v>
      </c>
      <c r="BR3" s="11" t="s">
        <v>47</v>
      </c>
      <c r="BS3" s="11" t="s">
        <v>48</v>
      </c>
      <c r="BT3" s="11" t="s">
        <v>51</v>
      </c>
      <c r="BU3" s="11" t="s">
        <v>49</v>
      </c>
      <c r="BV3" s="11" t="s">
        <v>51</v>
      </c>
      <c r="BW3" s="11" t="s">
        <v>50</v>
      </c>
    </row>
    <row r="4" spans="1:75" ht="15.75" customHeight="1" x14ac:dyDescent="0.2">
      <c r="B4" s="5">
        <v>1</v>
      </c>
      <c r="C4" s="5" t="s">
        <v>52</v>
      </c>
      <c r="D4" s="6" t="s">
        <v>53</v>
      </c>
      <c r="E4" s="13">
        <v>4</v>
      </c>
      <c r="F4" s="5" t="s">
        <v>54</v>
      </c>
      <c r="G4" s="14">
        <f>+SUM(G5:G9)</f>
        <v>1</v>
      </c>
      <c r="I4" s="15">
        <f>+SUM(I5:I9)</f>
        <v>0</v>
      </c>
      <c r="J4" s="16">
        <f>+SUMPRODUCT(G5:G9,J5:J9)</f>
        <v>0</v>
      </c>
      <c r="K4" s="16">
        <f>+SUMPRODUCT(G5:G9,K5:K9)</f>
        <v>0</v>
      </c>
      <c r="L4" s="13"/>
      <c r="M4" s="10"/>
      <c r="N4" s="15">
        <f>+SUM(N5:N9)</f>
        <v>0</v>
      </c>
      <c r="U4" s="15">
        <f>+SUM(U5:U9)</f>
        <v>0</v>
      </c>
      <c r="AB4" s="15">
        <f>+SUM(AB5:AB9)</f>
        <v>0</v>
      </c>
      <c r="AI4" s="15">
        <f>+SUM(AI5:AI9)</f>
        <v>0</v>
      </c>
      <c r="AP4" s="15">
        <f>+SUM(AP5:AP9)</f>
        <v>0</v>
      </c>
      <c r="AW4" s="15">
        <f>+SUM(AW5:AW9)</f>
        <v>0</v>
      </c>
      <c r="AX4" s="15"/>
      <c r="BD4" s="15">
        <f>+SUM(BD5:BD9)</f>
        <v>0</v>
      </c>
      <c r="BK4" s="15">
        <f>+SUM(BK5:BK9)</f>
        <v>0</v>
      </c>
      <c r="BR4" s="15">
        <f>+SUM(BR5:BR9)</f>
        <v>0</v>
      </c>
    </row>
    <row r="5" spans="1:75" ht="15.75" customHeight="1" outlineLevel="1" x14ac:dyDescent="0.2">
      <c r="B5" s="5" t="s">
        <v>55</v>
      </c>
      <c r="C5" s="5" t="str">
        <f>C4</f>
        <v>International Corporate Reporting</v>
      </c>
      <c r="E5" s="13"/>
      <c r="F5" s="25" t="s">
        <v>101</v>
      </c>
      <c r="G5" s="14">
        <v>0.2</v>
      </c>
      <c r="I5" s="13">
        <f t="shared" ref="I5:I9" si="0">+SUMIF($N$3:$YQ$3,I$3,$N5:$YQ5)</f>
        <v>0</v>
      </c>
      <c r="J5" s="16">
        <f t="array" ref="J5">MAX(IF($N$3:$CY$3=$J$3,N5:CY5))</f>
        <v>0</v>
      </c>
      <c r="K5" s="16">
        <f t="array" ref="K5">MAX(IF($N$3:$CY$3=$K$3,N5:CY5))</f>
        <v>0</v>
      </c>
      <c r="L5" s="13"/>
      <c r="M5" s="10"/>
      <c r="O5" s="14"/>
      <c r="P5" s="14">
        <v>1</v>
      </c>
      <c r="Q5" s="14"/>
      <c r="R5" s="14">
        <v>1</v>
      </c>
      <c r="S5" s="5">
        <v>3</v>
      </c>
      <c r="V5" s="14"/>
      <c r="W5" s="14">
        <v>1</v>
      </c>
      <c r="X5" s="14"/>
      <c r="Y5" s="14">
        <v>1</v>
      </c>
      <c r="AC5" s="14"/>
      <c r="AD5" s="14">
        <v>1</v>
      </c>
      <c r="AE5" s="14"/>
      <c r="AF5" s="14">
        <v>1</v>
      </c>
      <c r="AJ5" s="14"/>
      <c r="AK5" s="14">
        <v>1</v>
      </c>
      <c r="AL5" s="14"/>
      <c r="AM5" s="14">
        <v>1</v>
      </c>
      <c r="AQ5" s="14"/>
      <c r="AR5" s="14">
        <v>1</v>
      </c>
      <c r="AS5" s="14"/>
      <c r="AT5" s="14">
        <v>1</v>
      </c>
      <c r="AX5" s="14"/>
      <c r="AY5" s="14">
        <v>1</v>
      </c>
      <c r="AZ5" s="14"/>
      <c r="BA5" s="14">
        <v>1</v>
      </c>
      <c r="BE5" s="14"/>
      <c r="BF5" s="14">
        <v>1</v>
      </c>
      <c r="BG5" s="14"/>
      <c r="BH5" s="14">
        <v>1</v>
      </c>
      <c r="BL5" s="14"/>
      <c r="BM5" s="14">
        <v>1</v>
      </c>
      <c r="BN5" s="14"/>
      <c r="BO5" s="14">
        <v>1</v>
      </c>
      <c r="BS5" s="14"/>
      <c r="BT5" s="14"/>
      <c r="BU5" s="14"/>
      <c r="BV5" s="14"/>
    </row>
    <row r="6" spans="1:75" ht="15.75" customHeight="1" outlineLevel="1" x14ac:dyDescent="0.2">
      <c r="B6" s="5" t="s">
        <v>55</v>
      </c>
      <c r="C6" s="5" t="str">
        <f>C4</f>
        <v>International Corporate Reporting</v>
      </c>
      <c r="E6" s="13"/>
      <c r="F6" s="25" t="s">
        <v>102</v>
      </c>
      <c r="G6" s="14">
        <f>G5</f>
        <v>0.2</v>
      </c>
      <c r="I6" s="13">
        <f t="shared" si="0"/>
        <v>0</v>
      </c>
      <c r="J6" s="16">
        <f t="array" ref="J6">MAX(IF($N$3:$CY$3=$J$3,N6:CY6))</f>
        <v>0</v>
      </c>
      <c r="K6" s="16">
        <f t="array" ref="K6">MAX(IF($N$3:$CY$3=$K$3,N6:CY6))</f>
        <v>0</v>
      </c>
      <c r="L6" s="13"/>
      <c r="M6" s="10"/>
      <c r="O6" s="14"/>
      <c r="P6" s="14">
        <v>1</v>
      </c>
      <c r="Q6" s="14"/>
      <c r="R6" s="14">
        <v>1</v>
      </c>
      <c r="S6">
        <v>3</v>
      </c>
      <c r="V6" s="14"/>
      <c r="W6" s="14">
        <v>1</v>
      </c>
      <c r="X6" s="14"/>
      <c r="Y6" s="14">
        <v>1</v>
      </c>
      <c r="AC6" s="14"/>
      <c r="AD6" s="14">
        <v>1</v>
      </c>
      <c r="AE6" s="14"/>
      <c r="AF6" s="14">
        <v>1</v>
      </c>
      <c r="AJ6" s="14"/>
      <c r="AK6" s="14">
        <v>1</v>
      </c>
      <c r="AL6" s="14"/>
      <c r="AM6" s="14">
        <v>1</v>
      </c>
      <c r="AQ6" s="14"/>
      <c r="AR6" s="14">
        <v>1</v>
      </c>
      <c r="AS6" s="14"/>
      <c r="AT6" s="14">
        <v>1</v>
      </c>
      <c r="AX6" s="14"/>
      <c r="AY6" s="14">
        <v>1</v>
      </c>
      <c r="AZ6" s="14"/>
      <c r="BA6" s="14">
        <v>1</v>
      </c>
      <c r="BE6" s="14"/>
      <c r="BF6" s="14">
        <v>1</v>
      </c>
      <c r="BG6" s="14"/>
      <c r="BH6" s="14">
        <v>1</v>
      </c>
      <c r="BL6" s="14"/>
      <c r="BM6" s="14">
        <v>1</v>
      </c>
      <c r="BN6" s="14"/>
      <c r="BO6" s="14">
        <v>1</v>
      </c>
      <c r="BS6" s="14"/>
      <c r="BT6" s="14"/>
      <c r="BU6" s="14"/>
      <c r="BV6" s="14"/>
    </row>
    <row r="7" spans="1:75" ht="15.75" customHeight="1" outlineLevel="1" x14ac:dyDescent="0.2">
      <c r="B7" s="5" t="s">
        <v>55</v>
      </c>
      <c r="C7" s="5" t="str">
        <f>C6</f>
        <v>International Corporate Reporting</v>
      </c>
      <c r="E7" s="13"/>
      <c r="F7" s="25" t="s">
        <v>103</v>
      </c>
      <c r="G7" s="14">
        <f>G5</f>
        <v>0.2</v>
      </c>
      <c r="I7" s="13">
        <f t="shared" si="0"/>
        <v>0</v>
      </c>
      <c r="J7" s="16">
        <f t="array" ref="J7">MAX(IF($N$3:$CY$3=$J$3,N7:CY7))</f>
        <v>0</v>
      </c>
      <c r="K7" s="16">
        <f t="array" ref="K7">MAX(IF($N$3:$CY$3=$K$3,N7:CY7))</f>
        <v>0</v>
      </c>
      <c r="L7" s="13"/>
      <c r="M7" s="10"/>
      <c r="O7" s="14"/>
      <c r="P7" s="14"/>
      <c r="Q7" s="14"/>
      <c r="R7" s="14"/>
      <c r="V7" s="14"/>
      <c r="W7" s="14">
        <v>0.8</v>
      </c>
      <c r="X7" s="14"/>
      <c r="Y7" s="14">
        <v>0.8</v>
      </c>
      <c r="Z7">
        <v>2</v>
      </c>
      <c r="AC7" s="14"/>
      <c r="AD7" s="14">
        <v>1</v>
      </c>
      <c r="AE7" s="14"/>
      <c r="AF7" s="14">
        <v>1</v>
      </c>
      <c r="AG7">
        <v>1</v>
      </c>
      <c r="AJ7" s="14"/>
      <c r="AK7" s="14">
        <v>1</v>
      </c>
      <c r="AL7" s="14"/>
      <c r="AM7" s="14">
        <v>1</v>
      </c>
      <c r="AQ7" s="14"/>
      <c r="AR7" s="14">
        <v>1</v>
      </c>
      <c r="AS7" s="14"/>
      <c r="AT7" s="14">
        <v>1</v>
      </c>
      <c r="AX7" s="14"/>
      <c r="AY7" s="14">
        <v>1</v>
      </c>
      <c r="AZ7" s="14"/>
      <c r="BA7" s="14">
        <v>1</v>
      </c>
      <c r="BE7" s="14"/>
      <c r="BF7" s="14">
        <v>1</v>
      </c>
      <c r="BG7" s="14"/>
      <c r="BH7" s="14">
        <v>1</v>
      </c>
      <c r="BL7" s="14"/>
      <c r="BM7" s="14">
        <v>1</v>
      </c>
      <c r="BN7" s="14"/>
      <c r="BO7" s="14">
        <v>1</v>
      </c>
      <c r="BS7" s="14"/>
      <c r="BT7" s="14"/>
      <c r="BU7" s="14"/>
      <c r="BV7" s="14"/>
    </row>
    <row r="8" spans="1:75" ht="15.75" customHeight="1" outlineLevel="1" x14ac:dyDescent="0.2">
      <c r="B8" s="5" t="s">
        <v>55</v>
      </c>
      <c r="C8" s="5" t="str">
        <f>C6</f>
        <v>International Corporate Reporting</v>
      </c>
      <c r="E8" s="13"/>
      <c r="F8" s="25" t="s">
        <v>104</v>
      </c>
      <c r="G8" s="14">
        <f>G5</f>
        <v>0.2</v>
      </c>
      <c r="I8" s="13">
        <f t="shared" si="0"/>
        <v>0</v>
      </c>
      <c r="J8" s="16">
        <f t="array" ref="J8">MAX(IF($N$3:$CY$3=$J$3,N8:CY8))</f>
        <v>0</v>
      </c>
      <c r="K8" s="16">
        <f t="array" ref="K8">MAX(IF($N$3:$CY$3=$K$3,N8:CY8))</f>
        <v>0</v>
      </c>
      <c r="L8" s="13"/>
      <c r="M8" s="10"/>
      <c r="O8" s="14"/>
      <c r="P8" s="14"/>
      <c r="Q8" s="14"/>
      <c r="R8" s="14"/>
      <c r="V8" s="14"/>
      <c r="W8" s="14">
        <v>0.5</v>
      </c>
      <c r="X8" s="14"/>
      <c r="Y8" s="14">
        <v>0.5</v>
      </c>
      <c r="Z8">
        <v>1</v>
      </c>
      <c r="AC8" s="14"/>
      <c r="AD8" s="14">
        <v>0.8</v>
      </c>
      <c r="AE8" s="14"/>
      <c r="AF8" s="14">
        <v>0.8</v>
      </c>
      <c r="AG8">
        <v>1</v>
      </c>
      <c r="AJ8" s="14"/>
      <c r="AK8" s="14">
        <v>1</v>
      </c>
      <c r="AL8" s="14"/>
      <c r="AM8" s="14">
        <v>1</v>
      </c>
      <c r="AN8">
        <v>1</v>
      </c>
      <c r="AQ8" s="14"/>
      <c r="AR8" s="14">
        <v>1</v>
      </c>
      <c r="AS8" s="14"/>
      <c r="AT8" s="14">
        <v>1</v>
      </c>
      <c r="AX8" s="14"/>
      <c r="AY8" s="14">
        <v>1</v>
      </c>
      <c r="AZ8" s="14"/>
      <c r="BA8" s="14">
        <v>1</v>
      </c>
      <c r="BE8" s="14"/>
      <c r="BF8" s="14">
        <v>1</v>
      </c>
      <c r="BG8" s="14"/>
      <c r="BH8" s="14">
        <v>1</v>
      </c>
      <c r="BL8" s="14"/>
      <c r="BM8" s="14">
        <v>1</v>
      </c>
      <c r="BN8" s="14"/>
      <c r="BO8" s="14">
        <v>1</v>
      </c>
      <c r="BS8" s="14"/>
      <c r="BT8" s="14"/>
      <c r="BU8" s="14"/>
      <c r="BV8" s="14"/>
    </row>
    <row r="9" spans="1:75" ht="15.75" customHeight="1" outlineLevel="1" x14ac:dyDescent="0.2">
      <c r="B9" s="5" t="s">
        <v>55</v>
      </c>
      <c r="C9" s="5" t="str">
        <f>C8</f>
        <v>International Corporate Reporting</v>
      </c>
      <c r="E9" s="13"/>
      <c r="F9" s="25" t="s">
        <v>105</v>
      </c>
      <c r="G9" s="14">
        <f>G5</f>
        <v>0.2</v>
      </c>
      <c r="I9" s="13">
        <f t="shared" si="0"/>
        <v>0</v>
      </c>
      <c r="J9" s="16">
        <f t="array" ref="J9">MAX(IF($N$3:$CY$3=$J$3,N9:CY9))</f>
        <v>0</v>
      </c>
      <c r="K9" s="16">
        <f t="array" ref="K9">MAX(IF($N$3:$CY$3=$K$3,N9:CY9))</f>
        <v>0</v>
      </c>
      <c r="L9" s="13"/>
      <c r="M9" s="10"/>
      <c r="O9" s="14"/>
      <c r="P9" s="14"/>
      <c r="Q9" s="14"/>
      <c r="R9" s="14"/>
      <c r="V9" s="14"/>
      <c r="W9" s="14"/>
      <c r="X9" s="14"/>
      <c r="Y9" s="14"/>
      <c r="AC9" s="14"/>
      <c r="AD9" s="14">
        <v>0.5</v>
      </c>
      <c r="AE9" s="14"/>
      <c r="AF9" s="14">
        <v>0.5</v>
      </c>
      <c r="AG9">
        <v>1</v>
      </c>
      <c r="AJ9" s="14"/>
      <c r="AK9" s="14">
        <v>0.8</v>
      </c>
      <c r="AL9" s="14"/>
      <c r="AM9" s="14">
        <v>0.8</v>
      </c>
      <c r="AN9">
        <v>1</v>
      </c>
      <c r="AQ9" s="14"/>
      <c r="AR9" s="14">
        <v>1</v>
      </c>
      <c r="AS9" s="14"/>
      <c r="AT9" s="14">
        <v>1</v>
      </c>
      <c r="AU9">
        <v>1</v>
      </c>
      <c r="AX9" s="14"/>
      <c r="AY9" s="14">
        <v>1</v>
      </c>
      <c r="AZ9" s="14"/>
      <c r="BA9" s="14">
        <v>1</v>
      </c>
      <c r="BE9" s="14"/>
      <c r="BF9" s="14">
        <v>1</v>
      </c>
      <c r="BG9" s="14"/>
      <c r="BH9" s="14">
        <v>1</v>
      </c>
      <c r="BL9" s="14"/>
      <c r="BM9" s="14">
        <v>1</v>
      </c>
      <c r="BN9" s="14"/>
      <c r="BO9" s="14">
        <v>1</v>
      </c>
      <c r="BS9" s="14"/>
      <c r="BT9" s="14"/>
      <c r="BU9" s="14"/>
      <c r="BV9" s="14"/>
    </row>
    <row r="10" spans="1:75" ht="15.75" customHeight="1" x14ac:dyDescent="0.2">
      <c r="M10" s="10"/>
      <c r="O10" s="6"/>
      <c r="V10" s="6"/>
      <c r="AC10" s="6"/>
      <c r="AJ10" s="6"/>
      <c r="AQ10" s="6"/>
      <c r="AX10" s="6"/>
      <c r="BE10" s="6"/>
      <c r="BL10" s="6"/>
      <c r="BS10" s="6"/>
    </row>
    <row r="11" spans="1:75" ht="15.75" customHeight="1" x14ac:dyDescent="0.2">
      <c r="B11" s="5" t="s">
        <v>39</v>
      </c>
      <c r="C11" s="5" t="s">
        <v>62</v>
      </c>
      <c r="D11" s="17">
        <v>46051</v>
      </c>
      <c r="E11" s="13">
        <v>4</v>
      </c>
      <c r="F11" s="5" t="s">
        <v>63</v>
      </c>
      <c r="G11" s="14">
        <f>+SUM(G12:G20)</f>
        <v>1</v>
      </c>
      <c r="I11" s="15">
        <f>+SUM(I12:I20)</f>
        <v>0</v>
      </c>
      <c r="J11" s="16">
        <f>+SUMPRODUCT(G12:G20,J12:J20)</f>
        <v>0</v>
      </c>
      <c r="K11" s="16">
        <f>+SUMPRODUCT(G12:G20,K12:K20)</f>
        <v>0</v>
      </c>
      <c r="L11" s="13"/>
      <c r="M11" s="10"/>
      <c r="N11" s="15">
        <f>+SUM(N12:N20)</f>
        <v>0</v>
      </c>
      <c r="U11" s="15">
        <f>+SUM(U12:U20)</f>
        <v>0</v>
      </c>
      <c r="AB11" s="15">
        <f>+SUM(AB12:AB20)</f>
        <v>0</v>
      </c>
      <c r="AI11" s="15">
        <f>+SUM(AI12:AI20)</f>
        <v>0</v>
      </c>
      <c r="AP11" s="15">
        <f>+SUM(AP12:AP20)</f>
        <v>0</v>
      </c>
      <c r="AW11" s="15">
        <f>+SUM(AW12:AW20)</f>
        <v>0</v>
      </c>
      <c r="AX11" s="15"/>
      <c r="BD11" s="15">
        <f>+SUM(BD12:BD20)</f>
        <v>0</v>
      </c>
      <c r="BK11" s="15">
        <f>+SUM(BK12:BK20)</f>
        <v>0</v>
      </c>
      <c r="BR11" s="15">
        <f>+SUM(BR12:BR20)</f>
        <v>0</v>
      </c>
    </row>
    <row r="12" spans="1:75" ht="15.75" customHeight="1" outlineLevel="1" x14ac:dyDescent="0.2">
      <c r="B12" s="5" t="s">
        <v>55</v>
      </c>
      <c r="C12" s="5" t="str">
        <f>C11</f>
        <v>Makroökonomie</v>
      </c>
      <c r="E12" s="13"/>
      <c r="F12" s="25" t="s">
        <v>106</v>
      </c>
      <c r="G12" s="14">
        <v>0.05</v>
      </c>
      <c r="I12" s="13">
        <f t="shared" ref="I12:I20" si="1">+SUMIF($N$3:$YQ$3,I$3,$N12:$YQ12)</f>
        <v>0</v>
      </c>
      <c r="J12" s="16">
        <f t="array" ref="J12">MAX(IF($N$3:$CY$3=$J$3,N12:CY12))</f>
        <v>0</v>
      </c>
      <c r="K12" s="16">
        <f t="array" ref="K12">MAX(IF($N$3:$CY$3=$K$3,N12:CY12))</f>
        <v>0</v>
      </c>
      <c r="L12" s="13"/>
      <c r="M12" s="10"/>
      <c r="O12" s="14"/>
      <c r="P12" s="14">
        <v>0.5</v>
      </c>
      <c r="Q12" s="14"/>
      <c r="R12" s="14">
        <v>0.5</v>
      </c>
      <c r="S12">
        <v>1</v>
      </c>
      <c r="V12" s="14"/>
      <c r="W12" s="14">
        <v>0.8</v>
      </c>
      <c r="X12" s="14"/>
      <c r="Y12" s="14">
        <v>0.8</v>
      </c>
      <c r="Z12">
        <v>1</v>
      </c>
      <c r="AC12" s="14"/>
      <c r="AD12" s="14">
        <v>1</v>
      </c>
      <c r="AE12" s="14"/>
      <c r="AF12" s="14">
        <v>1</v>
      </c>
      <c r="AG12">
        <v>1</v>
      </c>
      <c r="AJ12" s="14"/>
      <c r="AK12" s="14">
        <v>1</v>
      </c>
      <c r="AL12" s="14"/>
      <c r="AM12" s="14">
        <v>1</v>
      </c>
      <c r="AQ12" s="14"/>
      <c r="AR12" s="14">
        <v>1</v>
      </c>
      <c r="AS12" s="14"/>
      <c r="AT12" s="14">
        <v>1</v>
      </c>
      <c r="AX12" s="14"/>
      <c r="AY12" s="14">
        <v>1</v>
      </c>
      <c r="AZ12" s="14"/>
      <c r="BA12" s="14">
        <v>1</v>
      </c>
      <c r="BE12" s="14"/>
      <c r="BF12" s="14">
        <v>1</v>
      </c>
      <c r="BG12" s="14"/>
      <c r="BH12" s="14">
        <v>1</v>
      </c>
      <c r="BL12" s="14"/>
      <c r="BM12" s="14">
        <v>1</v>
      </c>
      <c r="BN12" s="14"/>
      <c r="BO12" s="14">
        <v>1</v>
      </c>
      <c r="BS12" s="14"/>
      <c r="BT12" s="14"/>
      <c r="BU12" s="14"/>
      <c r="BV12" s="14"/>
    </row>
    <row r="13" spans="1:75" ht="15.75" customHeight="1" outlineLevel="1" x14ac:dyDescent="0.2">
      <c r="B13" s="5" t="s">
        <v>55</v>
      </c>
      <c r="C13" s="5" t="str">
        <f>C11</f>
        <v>Makroökonomie</v>
      </c>
      <c r="E13" s="13"/>
      <c r="F13" s="25" t="s">
        <v>107</v>
      </c>
      <c r="G13" s="14">
        <v>0.1</v>
      </c>
      <c r="I13" s="13">
        <f t="shared" si="1"/>
        <v>0</v>
      </c>
      <c r="J13" s="16">
        <f t="array" ref="J13">MAX(IF($N$3:$CY$3=$J$3,N13:CY13))</f>
        <v>0</v>
      </c>
      <c r="K13" s="16">
        <f t="array" ref="K13">MAX(IF($N$3:$CY$3=$K$3,N13:CY13))</f>
        <v>0</v>
      </c>
      <c r="L13" s="13"/>
      <c r="M13" s="10"/>
      <c r="O13" s="14"/>
      <c r="P13" s="14">
        <v>0.5</v>
      </c>
      <c r="Q13" s="14"/>
      <c r="R13" s="14">
        <v>0.5</v>
      </c>
      <c r="S13">
        <v>1</v>
      </c>
      <c r="V13" s="14"/>
      <c r="W13" s="14">
        <v>0.8</v>
      </c>
      <c r="X13" s="14"/>
      <c r="Y13" s="14">
        <v>0.8</v>
      </c>
      <c r="Z13">
        <v>1</v>
      </c>
      <c r="AC13" s="14"/>
      <c r="AD13" s="14">
        <v>0.8</v>
      </c>
      <c r="AE13" s="14"/>
      <c r="AF13" s="14">
        <v>0.8</v>
      </c>
      <c r="AJ13" s="14"/>
      <c r="AK13" s="14">
        <v>1</v>
      </c>
      <c r="AL13" s="14"/>
      <c r="AM13" s="14">
        <v>1</v>
      </c>
      <c r="AN13">
        <v>1</v>
      </c>
      <c r="AQ13" s="14"/>
      <c r="AR13" s="14">
        <v>1</v>
      </c>
      <c r="AS13" s="14"/>
      <c r="AT13" s="14">
        <v>1</v>
      </c>
      <c r="AX13" s="14"/>
      <c r="AY13" s="14">
        <v>1</v>
      </c>
      <c r="AZ13" s="14"/>
      <c r="BA13" s="14">
        <v>1</v>
      </c>
      <c r="BE13" s="14"/>
      <c r="BF13" s="14">
        <v>1</v>
      </c>
      <c r="BG13" s="14"/>
      <c r="BH13" s="14">
        <v>1</v>
      </c>
      <c r="BL13" s="14"/>
      <c r="BM13" s="14">
        <v>1</v>
      </c>
      <c r="BN13" s="14"/>
      <c r="BO13" s="14">
        <v>1</v>
      </c>
      <c r="BS13" s="14"/>
      <c r="BT13" s="14"/>
      <c r="BU13" s="14"/>
      <c r="BV13" s="14"/>
    </row>
    <row r="14" spans="1:75" ht="15.75" customHeight="1" outlineLevel="1" x14ac:dyDescent="0.2">
      <c r="B14" s="5" t="s">
        <v>55</v>
      </c>
      <c r="C14" s="5" t="str">
        <f>C13</f>
        <v>Makroökonomie</v>
      </c>
      <c r="E14" s="13"/>
      <c r="F14" s="25" t="s">
        <v>108</v>
      </c>
      <c r="G14" s="14">
        <v>0.1</v>
      </c>
      <c r="I14" s="13">
        <f t="shared" si="1"/>
        <v>0</v>
      </c>
      <c r="J14" s="16">
        <f t="array" ref="J14">MAX(IF($N$3:$CY$3=$J$3,N14:CY14))</f>
        <v>0</v>
      </c>
      <c r="K14" s="16">
        <f t="array" ref="K14">MAX(IF($N$3:$CY$3=$K$3,N14:CY14))</f>
        <v>0</v>
      </c>
      <c r="L14" s="13"/>
      <c r="M14" s="10"/>
      <c r="O14" s="14"/>
      <c r="P14" s="14">
        <v>0.5</v>
      </c>
      <c r="Q14" s="14"/>
      <c r="R14" s="14">
        <v>0.5</v>
      </c>
      <c r="S14">
        <v>1</v>
      </c>
      <c r="V14" s="14"/>
      <c r="W14" s="14">
        <v>0.8</v>
      </c>
      <c r="X14" s="14"/>
      <c r="Y14" s="14">
        <v>0.8</v>
      </c>
      <c r="Z14">
        <v>1</v>
      </c>
      <c r="AC14" s="14"/>
      <c r="AD14" s="14">
        <v>0.8</v>
      </c>
      <c r="AE14" s="14"/>
      <c r="AF14" s="14">
        <v>0.8</v>
      </c>
      <c r="AJ14" s="14"/>
      <c r="AK14" s="14">
        <v>0.8</v>
      </c>
      <c r="AL14" s="14"/>
      <c r="AM14" s="14">
        <v>0.8</v>
      </c>
      <c r="AQ14" s="14"/>
      <c r="AR14" s="14">
        <v>1</v>
      </c>
      <c r="AS14" s="14"/>
      <c r="AT14" s="14">
        <v>1</v>
      </c>
      <c r="AU14">
        <v>1</v>
      </c>
      <c r="AX14" s="14"/>
      <c r="AY14" s="14">
        <v>1</v>
      </c>
      <c r="AZ14" s="14"/>
      <c r="BA14" s="14">
        <v>1</v>
      </c>
      <c r="BE14" s="14"/>
      <c r="BF14" s="14">
        <v>1</v>
      </c>
      <c r="BG14" s="14"/>
      <c r="BH14" s="14">
        <v>1</v>
      </c>
      <c r="BL14" s="14"/>
      <c r="BM14" s="14">
        <v>1</v>
      </c>
      <c r="BN14" s="14"/>
      <c r="BO14" s="14">
        <v>1</v>
      </c>
      <c r="BS14" s="14"/>
      <c r="BT14" s="14"/>
      <c r="BU14" s="14"/>
      <c r="BV14" s="14"/>
    </row>
    <row r="15" spans="1:75" ht="15.75" customHeight="1" outlineLevel="1" x14ac:dyDescent="0.2">
      <c r="B15" s="5" t="s">
        <v>55</v>
      </c>
      <c r="C15" s="5" t="str">
        <f>C13</f>
        <v>Makroökonomie</v>
      </c>
      <c r="E15" s="13"/>
      <c r="F15" s="25" t="s">
        <v>109</v>
      </c>
      <c r="G15" s="14">
        <v>0.15</v>
      </c>
      <c r="I15" s="13">
        <f t="shared" si="1"/>
        <v>0</v>
      </c>
      <c r="J15" s="16">
        <f t="array" ref="J15">MAX(IF($N$3:$CY$3=$J$3,N15:CY15))</f>
        <v>0</v>
      </c>
      <c r="K15" s="16">
        <f t="array" ref="K15">MAX(IF($N$3:$CY$3=$K$3,N15:CY15))</f>
        <v>0</v>
      </c>
      <c r="L15" s="13"/>
      <c r="M15" s="10"/>
      <c r="O15" s="14"/>
      <c r="P15" s="14"/>
      <c r="Q15" s="14"/>
      <c r="R15" s="14"/>
      <c r="V15" s="14"/>
      <c r="W15" s="14">
        <v>0.5</v>
      </c>
      <c r="X15" s="14"/>
      <c r="Y15" s="14">
        <v>0.5</v>
      </c>
      <c r="Z15">
        <v>1</v>
      </c>
      <c r="AC15" s="14"/>
      <c r="AD15" s="14">
        <v>0.5</v>
      </c>
      <c r="AE15" s="14"/>
      <c r="AF15" s="14">
        <v>0.5</v>
      </c>
      <c r="AJ15" s="14"/>
      <c r="AK15" s="14">
        <v>0.5</v>
      </c>
      <c r="AL15" s="14"/>
      <c r="AM15" s="14">
        <v>0.5</v>
      </c>
      <c r="AQ15" s="14"/>
      <c r="AR15" s="14">
        <v>0.8</v>
      </c>
      <c r="AS15" s="14"/>
      <c r="AT15" s="14">
        <v>0.8</v>
      </c>
      <c r="AU15">
        <v>1</v>
      </c>
      <c r="AX15" s="14"/>
      <c r="AY15" s="14">
        <v>1</v>
      </c>
      <c r="AZ15" s="14"/>
      <c r="BA15" s="14">
        <v>1</v>
      </c>
      <c r="BB15">
        <v>1</v>
      </c>
      <c r="BE15" s="14"/>
      <c r="BF15" s="14">
        <v>1</v>
      </c>
      <c r="BG15" s="14"/>
      <c r="BH15" s="14">
        <v>1</v>
      </c>
      <c r="BL15" s="14"/>
      <c r="BM15" s="14">
        <v>1</v>
      </c>
      <c r="BN15" s="14"/>
      <c r="BO15" s="14">
        <v>1</v>
      </c>
      <c r="BS15" s="14"/>
      <c r="BT15" s="14"/>
      <c r="BU15" s="14"/>
      <c r="BV15" s="14"/>
    </row>
    <row r="16" spans="1:75" ht="15.75" customHeight="1" outlineLevel="1" x14ac:dyDescent="0.2">
      <c r="B16" s="5" t="s">
        <v>55</v>
      </c>
      <c r="C16" s="5" t="str">
        <f>C15</f>
        <v>Makroökonomie</v>
      </c>
      <c r="E16" s="13"/>
      <c r="F16" s="25" t="s">
        <v>110</v>
      </c>
      <c r="G16" s="14">
        <v>0.15</v>
      </c>
      <c r="I16" s="13">
        <f t="shared" si="1"/>
        <v>0</v>
      </c>
      <c r="J16" s="16">
        <f t="array" ref="J16">MAX(IF($N$3:$CY$3=$J$3,N16:CY16))</f>
        <v>0</v>
      </c>
      <c r="K16" s="16">
        <f t="array" ref="K16">MAX(IF($N$3:$CY$3=$K$3,N16:CY16))</f>
        <v>0</v>
      </c>
      <c r="L16" s="13"/>
      <c r="M16" s="10"/>
      <c r="O16" s="14"/>
      <c r="P16" s="14"/>
      <c r="Q16" s="14"/>
      <c r="R16" s="14"/>
      <c r="V16" s="14"/>
      <c r="W16" s="14">
        <v>0.5</v>
      </c>
      <c r="X16" s="14"/>
      <c r="Y16" s="14">
        <v>0.5</v>
      </c>
      <c r="Z16">
        <v>1</v>
      </c>
      <c r="AC16" s="14"/>
      <c r="AD16" s="14">
        <v>0.5</v>
      </c>
      <c r="AE16" s="14"/>
      <c r="AF16" s="14">
        <v>0.5</v>
      </c>
      <c r="AJ16" s="14"/>
      <c r="AK16" s="14">
        <v>0.5</v>
      </c>
      <c r="AL16" s="14"/>
      <c r="AM16" s="14">
        <v>0.5</v>
      </c>
      <c r="AQ16" s="14"/>
      <c r="AR16" s="14">
        <v>0.8</v>
      </c>
      <c r="AS16" s="14"/>
      <c r="AT16" s="14">
        <v>0.8</v>
      </c>
      <c r="AU16">
        <v>1</v>
      </c>
      <c r="AX16" s="14"/>
      <c r="AY16" s="14">
        <v>1</v>
      </c>
      <c r="AZ16" s="14"/>
      <c r="BA16" s="14">
        <v>1</v>
      </c>
      <c r="BB16">
        <v>1</v>
      </c>
      <c r="BE16" s="14"/>
      <c r="BF16" s="14">
        <v>1</v>
      </c>
      <c r="BG16" s="14"/>
      <c r="BH16" s="14">
        <v>1</v>
      </c>
      <c r="BL16" s="14"/>
      <c r="BM16" s="14">
        <v>1</v>
      </c>
      <c r="BN16" s="14"/>
      <c r="BO16" s="14">
        <v>1</v>
      </c>
      <c r="BS16" s="14"/>
      <c r="BT16" s="14"/>
      <c r="BU16" s="14"/>
      <c r="BV16" s="14"/>
    </row>
    <row r="17" spans="2:74" ht="15.75" customHeight="1" outlineLevel="1" x14ac:dyDescent="0.2">
      <c r="B17" s="5" t="s">
        <v>55</v>
      </c>
      <c r="C17" s="5" t="str">
        <f>C15</f>
        <v>Makroökonomie</v>
      </c>
      <c r="E17" s="13"/>
      <c r="F17" s="25" t="s">
        <v>111</v>
      </c>
      <c r="G17" s="14">
        <v>0.15</v>
      </c>
      <c r="I17" s="13">
        <f t="shared" si="1"/>
        <v>0</v>
      </c>
      <c r="J17" s="16">
        <f t="array" ref="J17">MAX(IF($N$3:$CY$3=$J$3,N17:CY17))</f>
        <v>0</v>
      </c>
      <c r="K17" s="16">
        <f t="array" ref="K17">MAX(IF($N$3:$CY$3=$K$3,N17:CY17))</f>
        <v>0</v>
      </c>
      <c r="L17" s="13"/>
      <c r="M17" s="10"/>
      <c r="O17" s="14"/>
      <c r="P17" s="14"/>
      <c r="Q17" s="14"/>
      <c r="R17" s="14"/>
      <c r="V17" s="14"/>
      <c r="W17" s="14"/>
      <c r="X17" s="14"/>
      <c r="Y17" s="14"/>
      <c r="AC17" s="14"/>
      <c r="AD17" s="14">
        <v>0.5</v>
      </c>
      <c r="AE17" s="14"/>
      <c r="AF17" s="14">
        <v>0.5</v>
      </c>
      <c r="AG17">
        <v>1</v>
      </c>
      <c r="AJ17" s="14"/>
      <c r="AK17" s="14">
        <v>0.5</v>
      </c>
      <c r="AL17" s="14"/>
      <c r="AM17" s="14">
        <v>0.5</v>
      </c>
      <c r="AQ17" s="14"/>
      <c r="AR17" s="14">
        <v>0.8</v>
      </c>
      <c r="AS17" s="14"/>
      <c r="AT17" s="14">
        <v>0.8</v>
      </c>
      <c r="AU17">
        <v>1</v>
      </c>
      <c r="AX17" s="14"/>
      <c r="AY17" s="14">
        <v>1</v>
      </c>
      <c r="AZ17" s="14"/>
      <c r="BA17" s="14">
        <v>1</v>
      </c>
      <c r="BB17">
        <v>1</v>
      </c>
      <c r="BE17" s="14"/>
      <c r="BF17" s="14">
        <v>1</v>
      </c>
      <c r="BG17" s="14"/>
      <c r="BH17" s="14">
        <v>1</v>
      </c>
      <c r="BL17" s="14"/>
      <c r="BM17" s="14">
        <v>1</v>
      </c>
      <c r="BN17" s="14"/>
      <c r="BO17" s="14">
        <v>1</v>
      </c>
      <c r="BS17" s="14"/>
      <c r="BT17" s="14"/>
      <c r="BU17" s="14"/>
      <c r="BV17" s="14"/>
    </row>
    <row r="18" spans="2:74" ht="15.75" customHeight="1" outlineLevel="1" x14ac:dyDescent="0.2">
      <c r="B18" s="5" t="s">
        <v>55</v>
      </c>
      <c r="C18" s="5" t="str">
        <f>C17</f>
        <v>Makroökonomie</v>
      </c>
      <c r="E18" s="13"/>
      <c r="F18" s="25" t="s">
        <v>112</v>
      </c>
      <c r="G18" s="14">
        <v>0.15</v>
      </c>
      <c r="I18" s="13">
        <f t="shared" si="1"/>
        <v>0</v>
      </c>
      <c r="J18" s="16">
        <f t="array" ref="J18">MAX(IF($N$3:$CY$3=$J$3,N18:CY18))</f>
        <v>0</v>
      </c>
      <c r="K18" s="16">
        <f t="array" ref="K18">MAX(IF($N$3:$CY$3=$K$3,N18:CY18))</f>
        <v>0</v>
      </c>
      <c r="L18" s="13"/>
      <c r="M18" s="10"/>
      <c r="O18" s="14"/>
      <c r="P18" s="14"/>
      <c r="Q18" s="14"/>
      <c r="R18" s="14"/>
      <c r="V18" s="14"/>
      <c r="W18" s="14"/>
      <c r="X18" s="14"/>
      <c r="Y18" s="14"/>
      <c r="AC18" s="14"/>
      <c r="AD18" s="14">
        <v>0.5</v>
      </c>
      <c r="AE18" s="14"/>
      <c r="AF18" s="14">
        <v>0.5</v>
      </c>
      <c r="AG18">
        <v>1</v>
      </c>
      <c r="AJ18" s="14"/>
      <c r="AK18" s="14">
        <v>0.5</v>
      </c>
      <c r="AL18" s="14"/>
      <c r="AM18" s="14">
        <v>0.5</v>
      </c>
      <c r="AQ18" s="14"/>
      <c r="AR18" s="14">
        <v>0.5</v>
      </c>
      <c r="AS18" s="14"/>
      <c r="AT18" s="14">
        <v>0.5</v>
      </c>
      <c r="AX18" s="14"/>
      <c r="AY18" s="14">
        <v>0.8</v>
      </c>
      <c r="AZ18" s="14"/>
      <c r="BA18" s="14">
        <v>0.8</v>
      </c>
      <c r="BB18">
        <v>1</v>
      </c>
      <c r="BE18" s="14"/>
      <c r="BF18" s="14">
        <v>1</v>
      </c>
      <c r="BG18" s="14"/>
      <c r="BH18" s="14">
        <v>1</v>
      </c>
      <c r="BI18">
        <v>1</v>
      </c>
      <c r="BL18" s="14"/>
      <c r="BM18" s="14">
        <v>1</v>
      </c>
      <c r="BN18" s="14"/>
      <c r="BO18" s="14">
        <v>1</v>
      </c>
      <c r="BS18" s="14"/>
      <c r="BT18" s="14"/>
      <c r="BU18" s="14"/>
      <c r="BV18" s="14"/>
    </row>
    <row r="19" spans="2:74" ht="15.75" customHeight="1" outlineLevel="1" x14ac:dyDescent="0.2">
      <c r="B19" s="5" t="s">
        <v>55</v>
      </c>
      <c r="C19" s="5" t="str">
        <f>C17</f>
        <v>Makroökonomie</v>
      </c>
      <c r="E19" s="13"/>
      <c r="F19" s="25" t="s">
        <v>113</v>
      </c>
      <c r="G19" s="14">
        <v>0.1</v>
      </c>
      <c r="I19" s="13">
        <f t="shared" si="1"/>
        <v>0</v>
      </c>
      <c r="J19" s="16">
        <f t="array" ref="J19">MAX(IF($N$3:$CY$3=$J$3,N19:CY19))</f>
        <v>0</v>
      </c>
      <c r="K19" s="16">
        <f t="array" ref="K19">MAX(IF($N$3:$CY$3=$K$3,N19:CY19))</f>
        <v>0</v>
      </c>
      <c r="L19" s="13"/>
      <c r="M19" s="10"/>
      <c r="O19" s="14"/>
      <c r="P19" s="14"/>
      <c r="Q19" s="14"/>
      <c r="R19" s="14"/>
      <c r="V19" s="14"/>
      <c r="W19" s="14"/>
      <c r="X19" s="14"/>
      <c r="Y19" s="14"/>
      <c r="AC19" s="14"/>
      <c r="AD19" s="14"/>
      <c r="AE19" s="14"/>
      <c r="AF19" s="14"/>
      <c r="AJ19" s="14"/>
      <c r="AK19" s="14"/>
      <c r="AL19" s="14"/>
      <c r="AM19" s="14"/>
      <c r="AQ19" s="14"/>
      <c r="AR19" s="14">
        <v>0.5</v>
      </c>
      <c r="AS19" s="14"/>
      <c r="AT19" s="14">
        <v>0.5</v>
      </c>
      <c r="AU19">
        <v>1</v>
      </c>
      <c r="AX19" s="14"/>
      <c r="AY19" s="14">
        <v>0.8</v>
      </c>
      <c r="AZ19" s="14"/>
      <c r="BA19" s="14">
        <v>0.8</v>
      </c>
      <c r="BB19">
        <v>1</v>
      </c>
      <c r="BE19" s="14"/>
      <c r="BF19" s="14">
        <v>1</v>
      </c>
      <c r="BG19" s="14"/>
      <c r="BH19" s="14">
        <v>1</v>
      </c>
      <c r="BI19">
        <v>1</v>
      </c>
      <c r="BL19" s="14"/>
      <c r="BM19" s="14">
        <v>1</v>
      </c>
      <c r="BN19" s="14"/>
      <c r="BO19" s="14">
        <v>1</v>
      </c>
      <c r="BS19" s="14"/>
      <c r="BT19" s="14"/>
      <c r="BU19" s="14"/>
      <c r="BV19" s="14"/>
    </row>
    <row r="20" spans="2:74" ht="15.75" customHeight="1" outlineLevel="1" x14ac:dyDescent="0.2">
      <c r="B20" s="5" t="s">
        <v>55</v>
      </c>
      <c r="C20" s="5" t="str">
        <f>C19</f>
        <v>Makroökonomie</v>
      </c>
      <c r="E20" s="13"/>
      <c r="F20" s="25" t="s">
        <v>114</v>
      </c>
      <c r="G20" s="14">
        <f>G12</f>
        <v>0.05</v>
      </c>
      <c r="I20" s="13">
        <f t="shared" si="1"/>
        <v>0</v>
      </c>
      <c r="J20" s="16">
        <f t="array" ref="J20">MAX(IF($N$3:$CY$3=$J$3,N20:CY20))</f>
        <v>0</v>
      </c>
      <c r="K20" s="16">
        <f t="array" ref="K20">MAX(IF($N$3:$CY$3=$K$3,N20:CY20))</f>
        <v>0</v>
      </c>
      <c r="L20" s="13"/>
      <c r="M20" s="10"/>
      <c r="O20" s="14"/>
      <c r="P20" s="14"/>
      <c r="Q20" s="14"/>
      <c r="R20" s="14"/>
      <c r="V20" s="14"/>
      <c r="W20" s="14"/>
      <c r="X20" s="14"/>
      <c r="Y20" s="14"/>
      <c r="AC20" s="14"/>
      <c r="AD20" s="14"/>
      <c r="AE20" s="14"/>
      <c r="AF20" s="14"/>
      <c r="AJ20" s="14"/>
      <c r="AK20" s="14"/>
      <c r="AL20" s="14"/>
      <c r="AM20" s="14"/>
      <c r="AQ20" s="14"/>
      <c r="AR20" s="14">
        <v>0.5</v>
      </c>
      <c r="AS20" s="14"/>
      <c r="AT20" s="14">
        <v>0.5</v>
      </c>
      <c r="AU20">
        <v>1</v>
      </c>
      <c r="AX20" s="14"/>
      <c r="AY20" s="14">
        <v>0.5</v>
      </c>
      <c r="AZ20" s="14"/>
      <c r="BA20" s="14">
        <v>0.5</v>
      </c>
      <c r="BE20" s="14"/>
      <c r="BF20" s="14">
        <v>1</v>
      </c>
      <c r="BG20" s="14"/>
      <c r="BH20" s="14">
        <v>1</v>
      </c>
      <c r="BI20">
        <v>2</v>
      </c>
      <c r="BL20" s="14"/>
      <c r="BM20" s="14">
        <v>1</v>
      </c>
      <c r="BN20" s="14"/>
      <c r="BO20" s="14">
        <v>1</v>
      </c>
      <c r="BS20" s="14"/>
      <c r="BT20" s="14"/>
      <c r="BU20" s="14"/>
      <c r="BV20" s="14"/>
    </row>
    <row r="21" spans="2:74" ht="15.75" customHeight="1" x14ac:dyDescent="0.2">
      <c r="M21" s="10"/>
    </row>
    <row r="22" spans="2:74" ht="15.75" customHeight="1" x14ac:dyDescent="0.2">
      <c r="B22" s="5" t="s">
        <v>39</v>
      </c>
      <c r="C22" s="5" t="s">
        <v>64</v>
      </c>
      <c r="D22" s="17">
        <v>45683</v>
      </c>
      <c r="E22" s="13">
        <v>4</v>
      </c>
      <c r="F22" s="5" t="s">
        <v>65</v>
      </c>
      <c r="G22" s="14">
        <f>+SUM(G23:G27)</f>
        <v>1</v>
      </c>
      <c r="I22" s="15">
        <f>+SUM(I23:I27)</f>
        <v>0</v>
      </c>
      <c r="J22" s="16">
        <f>+SUMPRODUCT(G23:G27,J23:J27)</f>
        <v>0</v>
      </c>
      <c r="K22" s="16">
        <f>+SUMPRODUCT(G23:G27,K23:K27)</f>
        <v>0</v>
      </c>
      <c r="L22" s="13"/>
      <c r="M22" s="10"/>
      <c r="N22" s="15">
        <f>+SUM(N23:N27)</f>
        <v>0</v>
      </c>
      <c r="U22" s="15">
        <f>+SUM(U23:U27)</f>
        <v>0</v>
      </c>
      <c r="AB22" s="15">
        <f>+SUM(AB23:AB27)</f>
        <v>0</v>
      </c>
      <c r="AI22" s="15">
        <f>+SUM(AI23:AI27)</f>
        <v>0</v>
      </c>
      <c r="AP22" s="15">
        <f>+SUM(AP23:AP27)</f>
        <v>0</v>
      </c>
      <c r="AW22" s="15">
        <f>+SUM(AW23:AW27)</f>
        <v>0</v>
      </c>
      <c r="AX22" s="15"/>
      <c r="BD22" s="15">
        <f>+SUM(BD23:BD27)</f>
        <v>0</v>
      </c>
      <c r="BK22" s="15">
        <f>+SUM(BK23:BK27)</f>
        <v>0</v>
      </c>
      <c r="BR22" s="15">
        <f>+SUM(BR23:BR27)</f>
        <v>0</v>
      </c>
    </row>
    <row r="23" spans="2:74" ht="15.75" customHeight="1" outlineLevel="1" x14ac:dyDescent="0.2">
      <c r="B23" s="5" t="s">
        <v>55</v>
      </c>
      <c r="C23" s="5" t="str">
        <f>C22</f>
        <v>Financial Management and Valuation</v>
      </c>
      <c r="E23" s="13"/>
      <c r="F23" s="25" t="s">
        <v>115</v>
      </c>
      <c r="G23" s="14">
        <f>1/5</f>
        <v>0.2</v>
      </c>
      <c r="I23" s="13">
        <f t="shared" ref="I23:I27" si="2">+SUMIF($N$3:$YQ$3,I$3,$N23:$YQ23)</f>
        <v>0</v>
      </c>
      <c r="J23" s="16">
        <f t="array" ref="J23">MAX(IF($N$3:$CY$3=$J$3,N23:CY23))</f>
        <v>0</v>
      </c>
      <c r="K23" s="16">
        <f t="array" ref="K23">MAX(IF($N$3:$CY$3=$K$3,N23:CY23))</f>
        <v>0</v>
      </c>
      <c r="L23" s="13"/>
      <c r="M23" s="10"/>
      <c r="O23" s="14"/>
      <c r="P23" s="14">
        <v>0.5</v>
      </c>
      <c r="Q23" s="14"/>
      <c r="R23" s="14">
        <v>0.5</v>
      </c>
      <c r="S23">
        <v>1</v>
      </c>
      <c r="V23" s="14"/>
      <c r="W23" s="14">
        <v>0.8</v>
      </c>
      <c r="X23" s="14"/>
      <c r="Y23" s="14">
        <v>0.8</v>
      </c>
      <c r="Z23">
        <v>1</v>
      </c>
      <c r="AC23" s="14"/>
      <c r="AD23" s="14">
        <v>1</v>
      </c>
      <c r="AE23" s="14"/>
      <c r="AF23" s="14">
        <v>1</v>
      </c>
      <c r="AG23">
        <v>1</v>
      </c>
      <c r="AJ23" s="14"/>
      <c r="AK23" s="14">
        <v>1</v>
      </c>
      <c r="AL23" s="14"/>
      <c r="AM23" s="14">
        <v>1</v>
      </c>
      <c r="AQ23" s="14"/>
      <c r="AR23" s="14">
        <v>1</v>
      </c>
      <c r="AS23" s="14"/>
      <c r="AT23" s="14">
        <v>1</v>
      </c>
      <c r="AX23" s="14"/>
      <c r="AY23" s="14">
        <v>1</v>
      </c>
      <c r="AZ23" s="14"/>
      <c r="BA23" s="14">
        <v>1</v>
      </c>
      <c r="BE23" s="14"/>
      <c r="BF23" s="14">
        <v>1</v>
      </c>
      <c r="BG23" s="14"/>
      <c r="BH23" s="14">
        <v>1</v>
      </c>
      <c r="BL23" s="14"/>
      <c r="BM23" s="14">
        <v>1</v>
      </c>
      <c r="BN23" s="14"/>
      <c r="BO23" s="14">
        <v>1</v>
      </c>
      <c r="BS23" s="14"/>
      <c r="BT23" s="14"/>
      <c r="BU23" s="14"/>
      <c r="BV23" s="14"/>
    </row>
    <row r="24" spans="2:74" ht="15.75" customHeight="1" outlineLevel="1" x14ac:dyDescent="0.2">
      <c r="B24" s="5" t="s">
        <v>55</v>
      </c>
      <c r="C24" s="5" t="str">
        <f>C22</f>
        <v>Financial Management and Valuation</v>
      </c>
      <c r="E24" s="13"/>
      <c r="F24" s="25" t="s">
        <v>116</v>
      </c>
      <c r="G24" s="14">
        <f>G23</f>
        <v>0.2</v>
      </c>
      <c r="I24" s="13">
        <f t="shared" si="2"/>
        <v>0</v>
      </c>
      <c r="J24" s="16">
        <f t="array" ref="J24">MAX(IF($N$3:$CY$3=$J$3,N24:CY24))</f>
        <v>0</v>
      </c>
      <c r="K24" s="16">
        <f t="array" ref="K24">MAX(IF($N$3:$CY$3=$K$3,N24:CY24))</f>
        <v>0</v>
      </c>
      <c r="L24" s="13"/>
      <c r="M24" s="10"/>
      <c r="O24" s="14"/>
      <c r="P24" s="14">
        <v>0.5</v>
      </c>
      <c r="Q24" s="14"/>
      <c r="R24" s="14">
        <v>0.5</v>
      </c>
      <c r="S24">
        <v>1</v>
      </c>
      <c r="V24" s="14"/>
      <c r="W24" s="14">
        <v>0.8</v>
      </c>
      <c r="X24" s="14"/>
      <c r="Y24" s="14">
        <v>0.8</v>
      </c>
      <c r="Z24">
        <v>1</v>
      </c>
      <c r="AC24" s="14"/>
      <c r="AD24" s="14">
        <v>0.8</v>
      </c>
      <c r="AE24" s="14"/>
      <c r="AF24" s="14">
        <v>0.8</v>
      </c>
      <c r="AJ24" s="14"/>
      <c r="AK24" s="14">
        <v>1</v>
      </c>
      <c r="AL24" s="14"/>
      <c r="AM24" s="14">
        <v>1</v>
      </c>
      <c r="AN24">
        <v>1</v>
      </c>
      <c r="AQ24" s="14"/>
      <c r="AR24" s="14">
        <v>1</v>
      </c>
      <c r="AS24" s="14"/>
      <c r="AT24" s="14">
        <v>1</v>
      </c>
      <c r="AX24" s="14"/>
      <c r="AY24" s="14">
        <v>1</v>
      </c>
      <c r="AZ24" s="14"/>
      <c r="BA24" s="14">
        <v>1</v>
      </c>
      <c r="BE24" s="14"/>
      <c r="BF24" s="14">
        <v>1</v>
      </c>
      <c r="BG24" s="14"/>
      <c r="BH24" s="14">
        <v>1</v>
      </c>
      <c r="BL24" s="14"/>
      <c r="BM24" s="14">
        <v>1</v>
      </c>
      <c r="BN24" s="14"/>
      <c r="BO24" s="14">
        <v>1</v>
      </c>
      <c r="BS24" s="14"/>
      <c r="BT24" s="14"/>
      <c r="BU24" s="14"/>
      <c r="BV24" s="14"/>
    </row>
    <row r="25" spans="2:74" ht="15.75" customHeight="1" outlineLevel="1" x14ac:dyDescent="0.2">
      <c r="B25" s="5" t="s">
        <v>55</v>
      </c>
      <c r="C25" s="5" t="str">
        <f>C24</f>
        <v>Financial Management and Valuation</v>
      </c>
      <c r="E25" s="13"/>
      <c r="F25" s="25" t="s">
        <v>117</v>
      </c>
      <c r="G25" s="14">
        <f>G23</f>
        <v>0.2</v>
      </c>
      <c r="I25" s="13">
        <f t="shared" si="2"/>
        <v>0</v>
      </c>
      <c r="J25" s="16">
        <f t="array" ref="J25">MAX(IF($N$3:$CY$3=$J$3,N25:CY25))</f>
        <v>0</v>
      </c>
      <c r="K25" s="16">
        <f t="array" ref="K25">MAX(IF($N$3:$CY$3=$K$3,N25:CY25))</f>
        <v>0</v>
      </c>
      <c r="L25" s="13"/>
      <c r="M25" s="10"/>
      <c r="O25" s="14"/>
      <c r="P25" s="14">
        <v>0.5</v>
      </c>
      <c r="Q25" s="14"/>
      <c r="R25" s="14">
        <v>0.5</v>
      </c>
      <c r="S25">
        <v>1</v>
      </c>
      <c r="V25" s="14"/>
      <c r="W25" s="14">
        <v>0.5</v>
      </c>
      <c r="X25" s="14"/>
      <c r="Y25" s="14">
        <v>0.5</v>
      </c>
      <c r="AC25" s="14"/>
      <c r="AD25" s="14">
        <v>0.8</v>
      </c>
      <c r="AE25" s="14"/>
      <c r="AF25" s="14">
        <v>0.8</v>
      </c>
      <c r="AG25">
        <v>1</v>
      </c>
      <c r="AJ25" s="14"/>
      <c r="AK25" s="14">
        <v>0.8</v>
      </c>
      <c r="AL25" s="14"/>
      <c r="AM25" s="14">
        <v>0.8</v>
      </c>
      <c r="AQ25" s="14"/>
      <c r="AR25" s="14">
        <v>1</v>
      </c>
      <c r="AS25" s="14"/>
      <c r="AT25" s="14">
        <v>1</v>
      </c>
      <c r="AU25">
        <v>1</v>
      </c>
      <c r="AX25" s="14"/>
      <c r="AY25" s="14">
        <v>1</v>
      </c>
      <c r="AZ25" s="14"/>
      <c r="BA25" s="14">
        <v>1</v>
      </c>
      <c r="BE25" s="14"/>
      <c r="BF25" s="14">
        <v>1</v>
      </c>
      <c r="BG25" s="14"/>
      <c r="BH25" s="14">
        <v>1</v>
      </c>
      <c r="BL25" s="14"/>
      <c r="BM25" s="14">
        <v>1</v>
      </c>
      <c r="BN25" s="14"/>
      <c r="BO25" s="14">
        <v>1</v>
      </c>
      <c r="BS25" s="14"/>
      <c r="BT25" s="14"/>
      <c r="BU25" s="14"/>
      <c r="BV25" s="14"/>
    </row>
    <row r="26" spans="2:74" ht="15.75" customHeight="1" outlineLevel="1" x14ac:dyDescent="0.2">
      <c r="B26" s="5" t="s">
        <v>55</v>
      </c>
      <c r="C26" s="5" t="str">
        <f>C24</f>
        <v>Financial Management and Valuation</v>
      </c>
      <c r="E26" s="13"/>
      <c r="F26" s="25" t="s">
        <v>118</v>
      </c>
      <c r="G26" s="14">
        <f>G23</f>
        <v>0.2</v>
      </c>
      <c r="I26" s="13">
        <f t="shared" si="2"/>
        <v>0</v>
      </c>
      <c r="J26" s="16">
        <f t="array" ref="J26">MAX(IF($N$3:$CY$3=$J$3,N26:CY26))</f>
        <v>0</v>
      </c>
      <c r="K26" s="16">
        <f t="array" ref="K26">MAX(IF($N$3:$CY$3=$K$3,N26:CY26))</f>
        <v>0</v>
      </c>
      <c r="L26" s="13"/>
      <c r="M26" s="10"/>
      <c r="O26" s="14"/>
      <c r="P26" s="14"/>
      <c r="Q26" s="14"/>
      <c r="R26" s="14"/>
      <c r="V26" s="14"/>
      <c r="W26" s="14">
        <v>0.5</v>
      </c>
      <c r="X26" s="14"/>
      <c r="Y26" s="14">
        <v>0.5</v>
      </c>
      <c r="Z26">
        <v>1</v>
      </c>
      <c r="AC26" s="14"/>
      <c r="AD26" s="14">
        <v>0.5</v>
      </c>
      <c r="AE26" s="14"/>
      <c r="AF26" s="14">
        <v>0.5</v>
      </c>
      <c r="AG26">
        <v>1</v>
      </c>
      <c r="AJ26" s="14"/>
      <c r="AK26" s="14">
        <v>0.8</v>
      </c>
      <c r="AL26" s="14"/>
      <c r="AM26" s="14">
        <v>0.8</v>
      </c>
      <c r="AN26">
        <v>1</v>
      </c>
      <c r="AQ26" s="14"/>
      <c r="AR26" s="14">
        <v>0.8</v>
      </c>
      <c r="AS26" s="14"/>
      <c r="AT26" s="14">
        <v>1</v>
      </c>
      <c r="AU26">
        <v>1</v>
      </c>
      <c r="AX26" s="14"/>
      <c r="AY26" s="14">
        <v>1</v>
      </c>
      <c r="AZ26" s="14"/>
      <c r="BA26" s="14">
        <v>1</v>
      </c>
      <c r="BE26" s="14"/>
      <c r="BF26" s="14">
        <v>1</v>
      </c>
      <c r="BG26" s="14"/>
      <c r="BH26" s="14">
        <v>1</v>
      </c>
      <c r="BL26" s="14"/>
      <c r="BM26" s="14">
        <v>1</v>
      </c>
      <c r="BN26" s="14"/>
      <c r="BO26" s="14">
        <v>1</v>
      </c>
      <c r="BS26" s="14"/>
      <c r="BT26" s="14"/>
      <c r="BU26" s="14"/>
      <c r="BV26" s="14"/>
    </row>
    <row r="27" spans="2:74" ht="15.75" customHeight="1" outlineLevel="1" x14ac:dyDescent="0.2">
      <c r="B27" s="5" t="s">
        <v>55</v>
      </c>
      <c r="C27" s="5" t="str">
        <f>C26</f>
        <v>Financial Management and Valuation</v>
      </c>
      <c r="E27" s="13"/>
      <c r="F27" s="25" t="s">
        <v>119</v>
      </c>
      <c r="G27" s="14">
        <f>G23</f>
        <v>0.2</v>
      </c>
      <c r="I27" s="13">
        <f t="shared" si="2"/>
        <v>0</v>
      </c>
      <c r="J27" s="16">
        <f t="array" ref="J27">MAX(IF($N$3:$CY$3=$J$3,N27:CY27))</f>
        <v>0</v>
      </c>
      <c r="K27" s="16">
        <f t="array" ref="K27">MAX(IF($N$3:$CY$3=$K$3,N27:CY27))</f>
        <v>0</v>
      </c>
      <c r="L27" s="13"/>
      <c r="M27" s="10"/>
      <c r="O27" s="14"/>
      <c r="P27" s="14"/>
      <c r="Q27" s="14"/>
      <c r="R27" s="14"/>
      <c r="V27" s="14"/>
      <c r="W27" s="14"/>
      <c r="X27" s="14"/>
      <c r="Y27" s="14"/>
      <c r="AC27" s="14"/>
      <c r="AD27" s="14">
        <v>0.5</v>
      </c>
      <c r="AE27" s="14"/>
      <c r="AF27" s="14">
        <v>0.5</v>
      </c>
      <c r="AG27">
        <v>1</v>
      </c>
      <c r="AJ27" s="14"/>
      <c r="AK27" s="14">
        <v>0.5</v>
      </c>
      <c r="AL27" s="14"/>
      <c r="AM27" s="14">
        <v>0.5</v>
      </c>
      <c r="AQ27" s="14"/>
      <c r="AR27" s="14">
        <v>0.8</v>
      </c>
      <c r="AS27" s="14"/>
      <c r="AT27" s="14">
        <v>0.8</v>
      </c>
      <c r="AU27">
        <v>1</v>
      </c>
      <c r="AX27" s="14"/>
      <c r="AY27" s="14">
        <v>1</v>
      </c>
      <c r="AZ27" s="14"/>
      <c r="BA27" s="14">
        <v>1</v>
      </c>
      <c r="BB27">
        <v>1</v>
      </c>
      <c r="BE27" s="14"/>
      <c r="BF27" s="14">
        <v>1</v>
      </c>
      <c r="BG27" s="14"/>
      <c r="BH27" s="14">
        <v>1</v>
      </c>
      <c r="BL27" s="14"/>
      <c r="BM27" s="14">
        <v>1</v>
      </c>
      <c r="BN27" s="14"/>
      <c r="BO27" s="14">
        <v>1</v>
      </c>
      <c r="BS27" s="14"/>
      <c r="BT27" s="14"/>
      <c r="BU27" s="14"/>
      <c r="BV27" s="14"/>
    </row>
    <row r="28" spans="2:74" ht="15.75" customHeight="1" x14ac:dyDescent="0.2">
      <c r="M28" s="10"/>
    </row>
    <row r="29" spans="2:74" ht="15.75" customHeight="1" x14ac:dyDescent="0.2">
      <c r="B29" s="5" t="s">
        <v>39</v>
      </c>
      <c r="C29" s="5" t="s">
        <v>66</v>
      </c>
      <c r="D29" s="17">
        <v>45686</v>
      </c>
      <c r="E29" s="13">
        <v>4</v>
      </c>
      <c r="F29" s="5" t="s">
        <v>63</v>
      </c>
      <c r="G29" s="14">
        <f>+SUM(G30:G35)</f>
        <v>0.99999999999999989</v>
      </c>
      <c r="I29" s="15">
        <f>+SUM(I30:I35)</f>
        <v>0</v>
      </c>
      <c r="J29" s="16">
        <f>+SUMPRODUCT(G30:G35,J30:J35)</f>
        <v>0</v>
      </c>
      <c r="K29" s="16">
        <f>+SUMPRODUCT(G30:G35,K30:K35)</f>
        <v>0</v>
      </c>
      <c r="L29" s="13"/>
      <c r="M29" s="10"/>
      <c r="N29" s="15">
        <f>+SUM(N30:N35)</f>
        <v>0</v>
      </c>
      <c r="U29" s="15">
        <f>+SUM(U30:U35)</f>
        <v>0</v>
      </c>
      <c r="AB29" s="15">
        <f>+SUM(AB30:AB35)</f>
        <v>0</v>
      </c>
      <c r="AI29" s="15">
        <f>+SUM(AI30:AI35)</f>
        <v>0</v>
      </c>
      <c r="AP29" s="15">
        <f>+SUM(AP30:AP35)</f>
        <v>0</v>
      </c>
      <c r="AW29" s="15">
        <f>+SUM(AW30:AW35)</f>
        <v>0</v>
      </c>
      <c r="AX29" s="15"/>
      <c r="BD29" s="15">
        <f>+SUM(BD30:BD35)</f>
        <v>0</v>
      </c>
      <c r="BK29" s="15">
        <f>+SUM(BK30:BK35)</f>
        <v>0</v>
      </c>
      <c r="BR29" s="15">
        <f>+SUM(BR30:BR35)</f>
        <v>0</v>
      </c>
    </row>
    <row r="30" spans="2:74" ht="15.75" customHeight="1" outlineLevel="1" x14ac:dyDescent="0.2">
      <c r="B30" s="5" t="s">
        <v>55</v>
      </c>
      <c r="C30" s="5" t="str">
        <f>C29</f>
        <v>Zukunftsfähiges Wirtschaften</v>
      </c>
      <c r="E30" s="13"/>
      <c r="F30" s="25" t="s">
        <v>56</v>
      </c>
      <c r="G30" s="14">
        <f>1/6</f>
        <v>0.16666666666666666</v>
      </c>
      <c r="I30" s="13">
        <f t="shared" ref="I30:I35" si="3">+SUMIF($N$3:$YQ$3,I$3,$N30:$YQ30)</f>
        <v>0</v>
      </c>
      <c r="J30" s="16">
        <f t="array" ref="J30">MAX(IF($N$3:$CY$3=$J$3,N30:CY30))</f>
        <v>0</v>
      </c>
      <c r="K30" s="16">
        <f t="array" ref="K30">MAX(IF($N$3:$CY$3=$K$3,N30:CY30))</f>
        <v>0</v>
      </c>
      <c r="L30" s="13"/>
      <c r="M30" s="10"/>
      <c r="O30" s="14"/>
      <c r="P30" s="14">
        <v>0.5</v>
      </c>
      <c r="Q30" s="14"/>
      <c r="R30" s="14">
        <v>0.5</v>
      </c>
      <c r="S30">
        <v>1</v>
      </c>
      <c r="V30" s="14"/>
      <c r="W30" s="14">
        <v>0.8</v>
      </c>
      <c r="X30" s="14"/>
      <c r="Y30" s="14">
        <v>0.8</v>
      </c>
      <c r="Z30">
        <v>1</v>
      </c>
      <c r="AC30" s="14"/>
      <c r="AD30" s="14">
        <v>0.8</v>
      </c>
      <c r="AE30" s="14"/>
      <c r="AF30" s="14">
        <v>0.8</v>
      </c>
      <c r="AJ30" s="14"/>
      <c r="AK30" s="14">
        <v>1</v>
      </c>
      <c r="AL30" s="14"/>
      <c r="AM30" s="14">
        <v>1</v>
      </c>
      <c r="AN30">
        <v>1</v>
      </c>
      <c r="AQ30" s="14"/>
      <c r="AR30" s="14">
        <v>1</v>
      </c>
      <c r="AS30" s="14"/>
      <c r="AT30" s="14">
        <v>1</v>
      </c>
      <c r="AX30" s="14"/>
      <c r="AY30" s="14">
        <v>1</v>
      </c>
      <c r="AZ30" s="14"/>
      <c r="BA30" s="14">
        <v>1</v>
      </c>
      <c r="BE30" s="14"/>
      <c r="BF30" s="14">
        <v>1</v>
      </c>
      <c r="BG30" s="14"/>
      <c r="BH30" s="14">
        <v>1</v>
      </c>
      <c r="BL30" s="14"/>
      <c r="BM30" s="14">
        <v>1</v>
      </c>
      <c r="BN30" s="14"/>
      <c r="BO30" s="14">
        <v>1</v>
      </c>
      <c r="BS30" s="14"/>
      <c r="BT30" s="14"/>
      <c r="BU30" s="14"/>
      <c r="BV30" s="14"/>
    </row>
    <row r="31" spans="2:74" ht="15.75" customHeight="1" outlineLevel="1" x14ac:dyDescent="0.2">
      <c r="B31" s="5" t="s">
        <v>55</v>
      </c>
      <c r="C31" s="5" t="str">
        <f>C29</f>
        <v>Zukunftsfähiges Wirtschaften</v>
      </c>
      <c r="E31" s="13"/>
      <c r="F31" s="5" t="s">
        <v>57</v>
      </c>
      <c r="G31" s="14">
        <f>G30</f>
        <v>0.16666666666666666</v>
      </c>
      <c r="I31" s="13">
        <f t="shared" si="3"/>
        <v>0</v>
      </c>
      <c r="J31" s="16">
        <f t="array" ref="J31">MAX(IF($N$3:$CY$3=$J$3,N31:CY31))</f>
        <v>0</v>
      </c>
      <c r="K31" s="16">
        <f t="array" ref="K31">MAX(IF($N$3:$CY$3=$K$3,N31:CY31))</f>
        <v>0</v>
      </c>
      <c r="L31" s="13"/>
      <c r="M31" s="10"/>
      <c r="O31" s="14"/>
      <c r="P31" s="14">
        <v>0.5</v>
      </c>
      <c r="Q31" s="14"/>
      <c r="R31" s="14">
        <v>0.5</v>
      </c>
      <c r="S31">
        <v>1</v>
      </c>
      <c r="V31" s="14"/>
      <c r="W31" s="14">
        <v>0.8</v>
      </c>
      <c r="X31" s="14"/>
      <c r="Y31" s="14">
        <v>0.8</v>
      </c>
      <c r="Z31">
        <v>1</v>
      </c>
      <c r="AC31" s="14"/>
      <c r="AD31" s="14">
        <v>0.8</v>
      </c>
      <c r="AE31" s="14"/>
      <c r="AF31" s="14">
        <v>0.8</v>
      </c>
      <c r="AJ31" s="14"/>
      <c r="AK31" s="14">
        <v>0.8</v>
      </c>
      <c r="AL31" s="14"/>
      <c r="AM31" s="14">
        <v>0.8</v>
      </c>
      <c r="AQ31" s="14"/>
      <c r="AR31" s="14">
        <v>1</v>
      </c>
      <c r="AS31" s="14"/>
      <c r="AT31" s="14">
        <v>1</v>
      </c>
      <c r="AU31">
        <v>1</v>
      </c>
      <c r="AX31" s="14"/>
      <c r="AY31" s="14">
        <v>1</v>
      </c>
      <c r="AZ31" s="14"/>
      <c r="BA31" s="14">
        <v>1</v>
      </c>
      <c r="BE31" s="14"/>
      <c r="BF31" s="14">
        <v>1</v>
      </c>
      <c r="BG31" s="14"/>
      <c r="BH31" s="14">
        <v>1</v>
      </c>
      <c r="BL31" s="14"/>
      <c r="BM31" s="14">
        <v>1</v>
      </c>
      <c r="BN31" s="14"/>
      <c r="BO31" s="14">
        <v>1</v>
      </c>
      <c r="BS31" s="14"/>
      <c r="BT31" s="14"/>
      <c r="BU31" s="14"/>
      <c r="BV31" s="14"/>
    </row>
    <row r="32" spans="2:74" ht="15.75" customHeight="1" outlineLevel="1" x14ac:dyDescent="0.2">
      <c r="B32" s="5" t="s">
        <v>55</v>
      </c>
      <c r="C32" s="5" t="str">
        <f>C31</f>
        <v>Zukunftsfähiges Wirtschaften</v>
      </c>
      <c r="E32" s="13"/>
      <c r="F32" s="5" t="s">
        <v>58</v>
      </c>
      <c r="G32" s="14">
        <f>G30</f>
        <v>0.16666666666666666</v>
      </c>
      <c r="I32" s="13">
        <f t="shared" si="3"/>
        <v>0</v>
      </c>
      <c r="J32" s="16">
        <f t="array" ref="J32">MAX(IF($N$3:$CY$3=$J$3,N32:CY32))</f>
        <v>0</v>
      </c>
      <c r="K32" s="16">
        <f t="array" ref="K32">MAX(IF($N$3:$CY$3=$K$3,N32:CY32))</f>
        <v>0</v>
      </c>
      <c r="L32" s="13"/>
      <c r="M32" s="10"/>
      <c r="O32" s="14"/>
      <c r="P32" s="14">
        <v>0.5</v>
      </c>
      <c r="Q32" s="14"/>
      <c r="R32" s="14">
        <v>0.5</v>
      </c>
      <c r="S32">
        <v>1</v>
      </c>
      <c r="V32" s="14"/>
      <c r="W32" s="14">
        <v>0.5</v>
      </c>
      <c r="X32" s="14"/>
      <c r="Y32" s="14">
        <v>0.5</v>
      </c>
      <c r="AC32" s="14"/>
      <c r="AD32" s="14">
        <v>0.8</v>
      </c>
      <c r="AE32" s="14"/>
      <c r="AF32" s="14">
        <v>0.8</v>
      </c>
      <c r="AG32">
        <v>1</v>
      </c>
      <c r="AJ32" s="14"/>
      <c r="AK32" s="14">
        <v>0.8</v>
      </c>
      <c r="AL32" s="14"/>
      <c r="AM32" s="14">
        <v>0.8</v>
      </c>
      <c r="AQ32" s="14"/>
      <c r="AR32" s="14">
        <v>1</v>
      </c>
      <c r="AS32" s="14"/>
      <c r="AT32" s="14">
        <v>1</v>
      </c>
      <c r="AU32">
        <v>1</v>
      </c>
      <c r="AX32" s="14"/>
      <c r="AY32" s="14">
        <v>1</v>
      </c>
      <c r="AZ32" s="14"/>
      <c r="BA32" s="14">
        <v>1</v>
      </c>
      <c r="BE32" s="14"/>
      <c r="BF32" s="14">
        <v>1</v>
      </c>
      <c r="BG32" s="14"/>
      <c r="BH32" s="14">
        <v>1</v>
      </c>
      <c r="BL32" s="14"/>
      <c r="BM32" s="14">
        <v>1</v>
      </c>
      <c r="BN32" s="14"/>
      <c r="BO32" s="14">
        <v>1</v>
      </c>
      <c r="BS32" s="14"/>
      <c r="BT32" s="14"/>
      <c r="BU32" s="14"/>
      <c r="BV32" s="14"/>
    </row>
    <row r="33" spans="2:74" ht="15.75" customHeight="1" outlineLevel="1" x14ac:dyDescent="0.2">
      <c r="B33" s="5" t="s">
        <v>55</v>
      </c>
      <c r="C33" s="5" t="str">
        <f>C31</f>
        <v>Zukunftsfähiges Wirtschaften</v>
      </c>
      <c r="E33" s="13"/>
      <c r="F33" s="5" t="s">
        <v>59</v>
      </c>
      <c r="G33" s="14">
        <f>G30</f>
        <v>0.16666666666666666</v>
      </c>
      <c r="I33" s="13">
        <f t="shared" si="3"/>
        <v>0</v>
      </c>
      <c r="J33" s="16">
        <f t="array" ref="J33">MAX(IF($N$3:$CY$3=$J$3,N33:CY33))</f>
        <v>0</v>
      </c>
      <c r="K33" s="16">
        <f t="array" ref="K33">MAX(IF($N$3:$CY$3=$K$3,N33:CY33))</f>
        <v>0</v>
      </c>
      <c r="L33" s="13"/>
      <c r="M33" s="10"/>
      <c r="O33" s="14"/>
      <c r="P33" s="14"/>
      <c r="Q33" s="14"/>
      <c r="R33" s="14"/>
      <c r="V33" s="14"/>
      <c r="W33" s="14">
        <v>0.5</v>
      </c>
      <c r="X33" s="14"/>
      <c r="Y33" s="14">
        <v>0.5</v>
      </c>
      <c r="Z33">
        <v>1</v>
      </c>
      <c r="AC33" s="14"/>
      <c r="AD33" s="14">
        <v>0.5</v>
      </c>
      <c r="AE33" s="14"/>
      <c r="AF33" s="14">
        <v>0.5</v>
      </c>
      <c r="AG33">
        <v>1</v>
      </c>
      <c r="AJ33" s="14"/>
      <c r="AK33" s="14">
        <v>0.8</v>
      </c>
      <c r="AL33" s="14"/>
      <c r="AM33" s="14">
        <v>0.8</v>
      </c>
      <c r="AN33">
        <v>1</v>
      </c>
      <c r="AQ33" s="14"/>
      <c r="AR33" s="14">
        <v>0.8</v>
      </c>
      <c r="AS33" s="14"/>
      <c r="AT33" s="14">
        <v>1</v>
      </c>
      <c r="AU33">
        <v>1</v>
      </c>
      <c r="AX33" s="14"/>
      <c r="AY33" s="14">
        <v>1</v>
      </c>
      <c r="AZ33" s="14"/>
      <c r="BA33" s="14">
        <v>1</v>
      </c>
      <c r="BE33" s="14"/>
      <c r="BF33" s="14">
        <v>1</v>
      </c>
      <c r="BG33" s="14"/>
      <c r="BH33" s="14">
        <v>1</v>
      </c>
      <c r="BL33" s="14"/>
      <c r="BM33" s="14">
        <v>1</v>
      </c>
      <c r="BN33" s="14"/>
      <c r="BO33" s="14">
        <v>1</v>
      </c>
      <c r="BS33" s="14"/>
      <c r="BT33" s="14"/>
      <c r="BU33" s="14"/>
      <c r="BV33" s="14"/>
    </row>
    <row r="34" spans="2:74" ht="15.75" customHeight="1" outlineLevel="1" x14ac:dyDescent="0.2">
      <c r="B34" s="5" t="s">
        <v>55</v>
      </c>
      <c r="C34" s="5" t="str">
        <f>C33</f>
        <v>Zukunftsfähiges Wirtschaften</v>
      </c>
      <c r="E34" s="13"/>
      <c r="F34" s="5" t="s">
        <v>60</v>
      </c>
      <c r="G34" s="14">
        <f>G30</f>
        <v>0.16666666666666666</v>
      </c>
      <c r="I34" s="13">
        <f t="shared" si="3"/>
        <v>0</v>
      </c>
      <c r="J34" s="16">
        <f t="array" ref="J34">MAX(IF($N$3:$CY$3=$J$3,N34:CY34))</f>
        <v>0</v>
      </c>
      <c r="K34" s="16">
        <f t="array" ref="K34">MAX(IF($N$3:$CY$3=$K$3,N34:CY34))</f>
        <v>0</v>
      </c>
      <c r="L34" s="13"/>
      <c r="M34" s="10"/>
      <c r="O34" s="14"/>
      <c r="P34" s="14"/>
      <c r="Q34" s="14"/>
      <c r="R34" s="14"/>
      <c r="V34" s="14"/>
      <c r="W34" s="14"/>
      <c r="X34" s="14"/>
      <c r="Y34" s="14"/>
      <c r="AC34" s="14"/>
      <c r="AD34" s="14">
        <v>0.5</v>
      </c>
      <c r="AE34" s="14"/>
      <c r="AF34" s="14">
        <v>0.5</v>
      </c>
      <c r="AG34">
        <v>1</v>
      </c>
      <c r="AJ34" s="14"/>
      <c r="AK34" s="14">
        <v>0.5</v>
      </c>
      <c r="AL34" s="14"/>
      <c r="AM34" s="14">
        <v>0.5</v>
      </c>
      <c r="AQ34" s="14"/>
      <c r="AR34" s="14">
        <v>0.8</v>
      </c>
      <c r="AS34" s="14"/>
      <c r="AT34" s="14">
        <v>0.8</v>
      </c>
      <c r="AU34">
        <v>1</v>
      </c>
      <c r="AX34" s="14"/>
      <c r="AY34" s="14">
        <v>1</v>
      </c>
      <c r="AZ34" s="14"/>
      <c r="BA34" s="14">
        <v>1</v>
      </c>
      <c r="BB34">
        <v>1</v>
      </c>
      <c r="BE34" s="14"/>
      <c r="BF34" s="14">
        <v>1</v>
      </c>
      <c r="BG34" s="14"/>
      <c r="BH34" s="14">
        <v>1</v>
      </c>
      <c r="BL34" s="14"/>
      <c r="BM34" s="14">
        <v>1</v>
      </c>
      <c r="BN34" s="14"/>
      <c r="BO34" s="14">
        <v>1</v>
      </c>
      <c r="BS34" s="14"/>
      <c r="BT34" s="14"/>
      <c r="BU34" s="14"/>
      <c r="BV34" s="14"/>
    </row>
    <row r="35" spans="2:74" ht="15.75" customHeight="1" outlineLevel="1" x14ac:dyDescent="0.2">
      <c r="B35" s="5" t="s">
        <v>55</v>
      </c>
      <c r="C35" s="5" t="str">
        <f>C33</f>
        <v>Zukunftsfähiges Wirtschaften</v>
      </c>
      <c r="E35" s="13"/>
      <c r="F35" s="5" t="s">
        <v>61</v>
      </c>
      <c r="G35" s="14">
        <f>G30</f>
        <v>0.16666666666666666</v>
      </c>
      <c r="I35" s="13">
        <f t="shared" si="3"/>
        <v>0</v>
      </c>
      <c r="J35" s="16">
        <f t="array" ref="J35">MAX(IF($N$3:$CY$3=$J$3,N35:CY35))</f>
        <v>0</v>
      </c>
      <c r="K35" s="16">
        <f t="array" ref="K35">MAX(IF($N$3:$CY$3=$K$3,N35:CY35))</f>
        <v>0</v>
      </c>
      <c r="L35" s="13"/>
      <c r="M35" s="10"/>
      <c r="O35" s="14"/>
      <c r="P35" s="14"/>
      <c r="Q35" s="14"/>
      <c r="R35" s="14"/>
      <c r="V35" s="14"/>
      <c r="W35" s="14"/>
      <c r="X35" s="14"/>
      <c r="Y35" s="14"/>
      <c r="AC35" s="14"/>
      <c r="AD35" s="14">
        <v>0.5</v>
      </c>
      <c r="AE35" s="14"/>
      <c r="AF35" s="14">
        <v>0.5</v>
      </c>
      <c r="AG35">
        <v>1</v>
      </c>
      <c r="AJ35" s="14"/>
      <c r="AK35" s="14">
        <v>0.5</v>
      </c>
      <c r="AL35" s="14"/>
      <c r="AM35" s="14">
        <v>0.5</v>
      </c>
      <c r="AQ35" s="14"/>
      <c r="AR35" s="14">
        <v>0.5</v>
      </c>
      <c r="AS35" s="14"/>
      <c r="AT35" s="14">
        <v>0.5</v>
      </c>
      <c r="AX35" s="14"/>
      <c r="AY35" s="14">
        <v>1</v>
      </c>
      <c r="AZ35" s="14"/>
      <c r="BA35" s="14">
        <v>1</v>
      </c>
      <c r="BB35">
        <v>2</v>
      </c>
      <c r="BE35" s="14"/>
      <c r="BF35" s="14">
        <v>1</v>
      </c>
      <c r="BG35" s="14"/>
      <c r="BH35" s="14">
        <v>1</v>
      </c>
      <c r="BL35" s="14"/>
      <c r="BM35" s="14">
        <v>1</v>
      </c>
      <c r="BN35" s="14"/>
      <c r="BO35" s="14">
        <v>1</v>
      </c>
      <c r="BS35" s="14"/>
      <c r="BT35" s="14"/>
      <c r="BU35" s="14"/>
      <c r="BV35" s="14"/>
    </row>
    <row r="36" spans="2:74" ht="15.75" customHeight="1" x14ac:dyDescent="0.2">
      <c r="M36" s="10"/>
    </row>
    <row r="37" spans="2:74" ht="15.75" customHeight="1" x14ac:dyDescent="0.2">
      <c r="M37" s="10"/>
    </row>
  </sheetData>
  <mergeCells count="10">
    <mergeCell ref="BD2:BI2"/>
    <mergeCell ref="BK2:BP2"/>
    <mergeCell ref="BR2:BW2"/>
    <mergeCell ref="I2:L2"/>
    <mergeCell ref="N2:S2"/>
    <mergeCell ref="U2:Z2"/>
    <mergeCell ref="AB2:AG2"/>
    <mergeCell ref="AI2:AN2"/>
    <mergeCell ref="AP2:AU2"/>
    <mergeCell ref="AW2:BB2"/>
  </mergeCells>
  <conditionalFormatting sqref="J5:J9">
    <cfRule type="colorScale" priority="149">
      <colorScale>
        <cfvo type="percent" val="0"/>
        <cfvo type="percent" val="100"/>
        <color rgb="FFFF231B"/>
        <color rgb="FF10FF07"/>
      </colorScale>
    </cfRule>
  </conditionalFormatting>
  <conditionalFormatting sqref="J12:J20 J5:J9 J23:J27 J30:J35">
    <cfRule type="colorScale" priority="132">
      <colorScale>
        <cfvo type="percent" val="0"/>
        <cfvo type="percent" val="100"/>
        <color rgb="FFFF231B"/>
        <color rgb="FF10FF07"/>
      </colorScale>
    </cfRule>
  </conditionalFormatting>
  <conditionalFormatting sqref="J13">
    <cfRule type="colorScale" priority="102">
      <colorScale>
        <cfvo type="percent" val="0"/>
        <cfvo type="percent" val="100"/>
        <color rgb="FFFF231B"/>
        <color rgb="FF10FF07"/>
      </colorScale>
    </cfRule>
  </conditionalFormatting>
  <conditionalFormatting sqref="J14">
    <cfRule type="colorScale" priority="121">
      <colorScale>
        <cfvo type="percent" val="0"/>
        <cfvo type="percent" val="100"/>
        <color rgb="FFFF231B"/>
        <color rgb="FF10FF07"/>
      </colorScale>
    </cfRule>
  </conditionalFormatting>
  <conditionalFormatting sqref="J15:J20 J12">
    <cfRule type="colorScale" priority="44">
      <colorScale>
        <cfvo type="percent" val="0"/>
        <cfvo type="percent" val="100"/>
        <color rgb="FFFF231B"/>
        <color rgb="FF10FF07"/>
      </colorScale>
    </cfRule>
  </conditionalFormatting>
  <conditionalFormatting sqref="J23:J27">
    <cfRule type="colorScale" priority="126">
      <colorScale>
        <cfvo type="percent" val="0"/>
        <cfvo type="percent" val="100"/>
        <color rgb="FFFF231B"/>
        <color rgb="FF10FF07"/>
      </colorScale>
    </cfRule>
  </conditionalFormatting>
  <conditionalFormatting sqref="J30:J35">
    <cfRule type="colorScale" priority="129">
      <colorScale>
        <cfvo type="percent" val="0"/>
        <cfvo type="percent" val="100"/>
        <color rgb="FFFF231B"/>
        <color rgb="FF10FF07"/>
      </colorScale>
    </cfRule>
  </conditionalFormatting>
  <conditionalFormatting sqref="J6:K9">
    <cfRule type="colorScale" priority="154">
      <colorScale>
        <cfvo type="percent" val="0"/>
        <cfvo type="percent" val="100"/>
        <color rgb="FFFF231B"/>
        <color rgb="FF10FF07"/>
      </colorScale>
    </cfRule>
  </conditionalFormatting>
  <conditionalFormatting sqref="J13:K13">
    <cfRule type="colorScale" priority="101">
      <colorScale>
        <cfvo type="percent" val="0"/>
        <cfvo type="percent" val="100"/>
        <color rgb="FFFF231B"/>
        <color rgb="FF10FF07"/>
      </colorScale>
    </cfRule>
  </conditionalFormatting>
  <conditionalFormatting sqref="J13:K20 J6:K9 J24:K27 J31:K35">
    <cfRule type="colorScale" priority="131">
      <colorScale>
        <cfvo type="percent" val="0"/>
        <cfvo type="percent" val="100"/>
        <color rgb="FFFF231B"/>
        <color rgb="FF10FF07"/>
      </colorScale>
    </cfRule>
  </conditionalFormatting>
  <conditionalFormatting sqref="J14:K14">
    <cfRule type="colorScale" priority="120">
      <colorScale>
        <cfvo type="percent" val="0"/>
        <cfvo type="percent" val="100"/>
        <color rgb="FFFF231B"/>
        <color rgb="FF10FF07"/>
      </colorScale>
    </cfRule>
  </conditionalFormatting>
  <conditionalFormatting sqref="J15:K20">
    <cfRule type="colorScale" priority="43">
      <colorScale>
        <cfvo type="percent" val="0"/>
        <cfvo type="percent" val="100"/>
        <color rgb="FFFF231B"/>
        <color rgb="FF10FF07"/>
      </colorScale>
    </cfRule>
  </conditionalFormatting>
  <conditionalFormatting sqref="J24:K27">
    <cfRule type="colorScale" priority="125">
      <colorScale>
        <cfvo type="percent" val="0"/>
        <cfvo type="percent" val="100"/>
        <color rgb="FFFF231B"/>
        <color rgb="FF10FF07"/>
      </colorScale>
    </cfRule>
  </conditionalFormatting>
  <conditionalFormatting sqref="J31:K35">
    <cfRule type="colorScale" priority="128">
      <colorScale>
        <cfvo type="percent" val="0"/>
        <cfvo type="percent" val="100"/>
        <color rgb="FFFF231B"/>
        <color rgb="FF10FF07"/>
      </colorScale>
    </cfRule>
  </conditionalFormatting>
  <conditionalFormatting sqref="K5:K9">
    <cfRule type="colorScale" priority="158">
      <colorScale>
        <cfvo type="percent" val="0"/>
        <cfvo type="percent" val="100"/>
        <color rgb="FFFF231B"/>
        <color rgb="FF10FF07"/>
      </colorScale>
    </cfRule>
  </conditionalFormatting>
  <conditionalFormatting sqref="K12:K20 K5:K9 K23:K27 K30:K35">
    <cfRule type="colorScale" priority="133">
      <colorScale>
        <cfvo type="percent" val="0"/>
        <cfvo type="percent" val="100"/>
        <color rgb="FFFF231B"/>
        <color rgb="FF10FF07"/>
      </colorScale>
    </cfRule>
  </conditionalFormatting>
  <conditionalFormatting sqref="K12:K20">
    <cfRule type="colorScale" priority="45">
      <colorScale>
        <cfvo type="percent" val="0"/>
        <cfvo type="percent" val="100"/>
        <color rgb="FFFF231B"/>
        <color rgb="FF10FF07"/>
      </colorScale>
    </cfRule>
  </conditionalFormatting>
  <conditionalFormatting sqref="K13">
    <cfRule type="colorScale" priority="103">
      <colorScale>
        <cfvo type="percent" val="0"/>
        <cfvo type="percent" val="100"/>
        <color rgb="FFFF231B"/>
        <color rgb="FF10FF07"/>
      </colorScale>
    </cfRule>
  </conditionalFormatting>
  <conditionalFormatting sqref="K14">
    <cfRule type="colorScale" priority="122">
      <colorScale>
        <cfvo type="percent" val="0"/>
        <cfvo type="percent" val="100"/>
        <color rgb="FFFF231B"/>
        <color rgb="FF10FF07"/>
      </colorScale>
    </cfRule>
  </conditionalFormatting>
  <conditionalFormatting sqref="K23:K27">
    <cfRule type="colorScale" priority="127">
      <colorScale>
        <cfvo type="percent" val="0"/>
        <cfvo type="percent" val="100"/>
        <color rgb="FFFF231B"/>
        <color rgb="FF10FF07"/>
      </colorScale>
    </cfRule>
  </conditionalFormatting>
  <conditionalFormatting sqref="K30:K35">
    <cfRule type="colorScale" priority="130">
      <colorScale>
        <cfvo type="percent" val="0"/>
        <cfvo type="percent" val="100"/>
        <color rgb="FFFF231B"/>
        <color rgb="FF10FF07"/>
      </colorScale>
    </cfRule>
  </conditionalFormatting>
  <conditionalFormatting sqref="O5:O9 Q5:Q9 V5:V9 X5:X9 AC5:AC9 AE5:AE9 AJ5:AJ9 AL5:AL9 AQ5:AQ9 AS5:AS9 AX5:AX9 AZ5:AZ9 BE5:BE9 BG5:BG9 BL5:BL9 BN5:BN9 BS5:BS9 BU5:BU9 O12:O20 Q12:Q20 V12:V20 X12:X20 AC12:AC20 AE12:AE20 AJ12:AJ20 AL12:AL20 AQ12:AQ20 AS12:AS20 AX12:AX20 AZ12:AZ20 BE12:BE20 BG12:BG20 BL12:BL20 BN12:BN20 O23:O27 Q23:Q27 V23:V27 X23:X27 AC23:AC27 AE23:AE27 AJ23:AJ27 AL23:AL27 AQ23:AQ27 AS23:AS27 AX23:AX27 AZ23:AZ27 BE23:BE27 BG23:BG27 BL23:BL27 BN23:BN27 O30:O35 Q30:Q35 V30:V35 X30:X35 AC30:AC35 AE30:AE35 AJ30:AJ35 AL30:AL35 AQ30:AQ35 AS30:AS35 AX30:AX35 AZ30:AZ35 BE30:BE35 BG30:BG35 BL30:BL35 BN30:BN35">
    <cfRule type="expression" dxfId="102" priority="1">
      <formula>OR(IF(O5&lt;P5,TRUE),IF(AND(P5="",O5&lt;&gt;""),TRUE))</formula>
    </cfRule>
    <cfRule type="expression" dxfId="101" priority="2">
      <formula>IF(O5&gt;=P5,IF(O5="",FALSE,TRUE))</formula>
    </cfRule>
  </conditionalFormatting>
  <conditionalFormatting sqref="O13:O14 Q13:Q14">
    <cfRule type="expression" dxfId="100" priority="88">
      <formula>IF(O13&gt;=P13,IF(O13="",FALSE,TRUE))</formula>
    </cfRule>
    <cfRule type="expression" dxfId="99" priority="87">
      <formula>OR(IF(O13&lt;P13,TRUE),IF(AND(P13="",O13&lt;&gt;""),TRUE))</formula>
    </cfRule>
  </conditionalFormatting>
  <conditionalFormatting sqref="O23:O24">
    <cfRule type="expression" dxfId="98" priority="5">
      <formula>OR(IF(O23&lt;P23,TRUE),IF(AND(P23="",O23&lt;&gt;""),TRUE))</formula>
    </cfRule>
    <cfRule type="expression" dxfId="97" priority="6">
      <formula>IF(O23&gt;=P23,IF(O23="",FALSE,TRUE))</formula>
    </cfRule>
  </conditionalFormatting>
  <conditionalFormatting sqref="O30:O31">
    <cfRule type="expression" dxfId="96" priority="52">
      <formula>OR(IF(O30&lt;P30,TRUE),IF(AND(P30="",O30&lt;&gt;""),TRUE))</formula>
    </cfRule>
    <cfRule type="expression" dxfId="95" priority="53">
      <formula>IF(O30&gt;=P30,IF(O30="",FALSE,TRUE))</formula>
    </cfRule>
  </conditionalFormatting>
  <conditionalFormatting sqref="Q23:Q24">
    <cfRule type="expression" dxfId="94" priority="8">
      <formula>IF(Q23&gt;=R23,IF(Q23="",FALSE,TRUE))</formula>
    </cfRule>
    <cfRule type="expression" dxfId="93" priority="7">
      <formula>OR(IF(Q23&lt;R23,TRUE),IF(AND(R23="",Q23&lt;&gt;""),TRUE))</formula>
    </cfRule>
  </conditionalFormatting>
  <conditionalFormatting sqref="Q30:Q31">
    <cfRule type="expression" dxfId="92" priority="55">
      <formula>IF(Q30&gt;=R30,IF(Q30="",FALSE,TRUE))</formula>
    </cfRule>
    <cfRule type="expression" dxfId="91" priority="54">
      <formula>OR(IF(Q30&lt;R30,TRUE),IF(AND(R30="",Q30&lt;&gt;""),TRUE))</formula>
    </cfRule>
  </conditionalFormatting>
  <conditionalFormatting sqref="V12:V20 X12:X20">
    <cfRule type="expression" dxfId="90" priority="13">
      <formula>OR(IF(V12&lt;W12,TRUE),IF(AND(W12="",V12&lt;&gt;""),TRUE))</formula>
    </cfRule>
    <cfRule type="expression" dxfId="89" priority="14">
      <formula>IF(V12&gt;=W12,IF(V12="",FALSE,TRUE))</formula>
    </cfRule>
  </conditionalFormatting>
  <conditionalFormatting sqref="V23:V24">
    <cfRule type="expression" dxfId="88" priority="15">
      <formula>OR(IF(V23&lt;W23,TRUE),IF(AND(W23="",V23&lt;&gt;""),TRUE))</formula>
    </cfRule>
    <cfRule type="expression" dxfId="87" priority="16">
      <formula>IF(V23&gt;=W23,IF(V23="",FALSE,TRUE))</formula>
    </cfRule>
  </conditionalFormatting>
  <conditionalFormatting sqref="V30:V31">
    <cfRule type="expression" dxfId="86" priority="58">
      <formula>OR(IF(V30&lt;W30,TRUE),IF(AND(W30="",V30&lt;&gt;""),TRUE))</formula>
    </cfRule>
    <cfRule type="expression" dxfId="85" priority="59">
      <formula>IF(V30&gt;=W30,IF(V30="",FALSE,TRUE))</formula>
    </cfRule>
  </conditionalFormatting>
  <conditionalFormatting sqref="X23:X24">
    <cfRule type="expression" dxfId="84" priority="17">
      <formula>OR(IF(X23&lt;Y23,TRUE),IF(AND(Y23="",X23&lt;&gt;""),TRUE))</formula>
    </cfRule>
    <cfRule type="expression" dxfId="83" priority="18">
      <formula>IF(X23&gt;=Y23,IF(X23="",FALSE,TRUE))</formula>
    </cfRule>
  </conditionalFormatting>
  <conditionalFormatting sqref="X30:X31">
    <cfRule type="expression" dxfId="82" priority="61">
      <formula>IF(X30&gt;=Y30,IF(X30="",FALSE,TRUE))</formula>
    </cfRule>
    <cfRule type="expression" dxfId="81" priority="60">
      <formula>OR(IF(X30&lt;Y30,TRUE),IF(AND(Y30="",X30&lt;&gt;""),TRUE))</formula>
    </cfRule>
  </conditionalFormatting>
  <conditionalFormatting sqref="AC12:AC20 AE12:AE20">
    <cfRule type="expression" dxfId="80" priority="20">
      <formula>IF(AC12&gt;=AD12,IF(AC12="",FALSE,TRUE))</formula>
    </cfRule>
    <cfRule type="expression" dxfId="79" priority="19">
      <formula>OR(IF(AC12&lt;AD12,TRUE),IF(AND(AD12="",AC12&lt;&gt;""),TRUE))</formula>
    </cfRule>
  </conditionalFormatting>
  <conditionalFormatting sqref="AC23:AC24">
    <cfRule type="expression" dxfId="78" priority="22">
      <formula>IF(AC23&gt;=AD23,IF(AC23="",FALSE,TRUE))</formula>
    </cfRule>
    <cfRule type="expression" dxfId="77" priority="21">
      <formula>OR(IF(AC23&lt;AD23,TRUE),IF(AND(AD23="",AC23&lt;&gt;""),TRUE))</formula>
    </cfRule>
  </conditionalFormatting>
  <conditionalFormatting sqref="AC30:AC31">
    <cfRule type="expression" dxfId="76" priority="63">
      <formula>IF(AC30&gt;=AD30,IF(AC30="",FALSE,TRUE))</formula>
    </cfRule>
    <cfRule type="expression" dxfId="75" priority="62">
      <formula>OR(IF(AC30&lt;AD30,TRUE),IF(AND(AD30="",AC30&lt;&gt;""),TRUE))</formula>
    </cfRule>
  </conditionalFormatting>
  <conditionalFormatting sqref="AE23:AE24">
    <cfRule type="expression" dxfId="74" priority="23">
      <formula>OR(IF(AE23&lt;AF23,TRUE),IF(AND(AF23="",AE23&lt;&gt;""),TRUE))</formula>
    </cfRule>
    <cfRule type="expression" dxfId="73" priority="24">
      <formula>IF(AE23&gt;=AF23,IF(AE23="",FALSE,TRUE))</formula>
    </cfRule>
  </conditionalFormatting>
  <conditionalFormatting sqref="AE30:AE31">
    <cfRule type="expression" dxfId="72" priority="64">
      <formula>OR(IF(AE30&lt;AF30,TRUE),IF(AND(AF30="",AE30&lt;&gt;""),TRUE))</formula>
    </cfRule>
    <cfRule type="expression" dxfId="71" priority="65">
      <formula>IF(AE30&gt;=AF30,IF(AE30="",FALSE,TRUE))</formula>
    </cfRule>
  </conditionalFormatting>
  <conditionalFormatting sqref="AJ12:AJ20 AL12:AL20">
    <cfRule type="expression" dxfId="70" priority="26">
      <formula>IF(AJ12&gt;=AK12,IF(AJ12="",FALSE,TRUE))</formula>
    </cfRule>
    <cfRule type="expression" dxfId="69" priority="25">
      <formula>OR(IF(AJ12&lt;AK12,TRUE),IF(AND(AK12="",AJ12&lt;&gt;""),TRUE))</formula>
    </cfRule>
  </conditionalFormatting>
  <conditionalFormatting sqref="AJ23:AJ24">
    <cfRule type="expression" dxfId="68" priority="27">
      <formula>OR(IF(AJ23&lt;AK23,TRUE),IF(AND(AK23="",AJ23&lt;&gt;""),TRUE))</formula>
    </cfRule>
    <cfRule type="expression" dxfId="67" priority="28">
      <formula>IF(AJ23&gt;=AK23,IF(AJ23="",FALSE,TRUE))</formula>
    </cfRule>
  </conditionalFormatting>
  <conditionalFormatting sqref="AJ30:AJ31">
    <cfRule type="expression" dxfId="66" priority="67">
      <formula>IF(AJ30&gt;=AK30,IF(AJ30="",FALSE,TRUE))</formula>
    </cfRule>
    <cfRule type="expression" dxfId="65" priority="66">
      <formula>OR(IF(AJ30&lt;AK30,TRUE),IF(AND(AK30="",AJ30&lt;&gt;""),TRUE))</formula>
    </cfRule>
  </conditionalFormatting>
  <conditionalFormatting sqref="AL23:AL24">
    <cfRule type="expression" dxfId="64" priority="29">
      <formula>OR(IF(AL23&lt;AM23,TRUE),IF(AND(AM23="",AL23&lt;&gt;""),TRUE))</formula>
    </cfRule>
    <cfRule type="expression" dxfId="63" priority="30">
      <formula>IF(AL23&gt;=AM23,IF(AL23="",FALSE,TRUE))</formula>
    </cfRule>
  </conditionalFormatting>
  <conditionalFormatting sqref="AL30:AL31">
    <cfRule type="expression" dxfId="62" priority="69">
      <formula>IF(AL30&gt;=AM30,IF(AL30="",FALSE,TRUE))</formula>
    </cfRule>
    <cfRule type="expression" dxfId="61" priority="68">
      <formula>OR(IF(AL30&lt;AM30,TRUE),IF(AND(AM30="",AL30&lt;&gt;""),TRUE))</formula>
    </cfRule>
  </conditionalFormatting>
  <conditionalFormatting sqref="AQ12:AQ20 AS12:AS20">
    <cfRule type="expression" dxfId="60" priority="4">
      <formula>IF(AQ12&gt;=AR12,IF(AQ12="",FALSE,TRUE))</formula>
    </cfRule>
    <cfRule type="expression" dxfId="59" priority="3">
      <formula>OR(IF(AQ12&lt;AR12,TRUE),IF(AND(AR12="",AQ12&lt;&gt;""),TRUE))</formula>
    </cfRule>
  </conditionalFormatting>
  <conditionalFormatting sqref="AQ23:AQ24">
    <cfRule type="expression" dxfId="58" priority="31">
      <formula>OR(IF(AQ23&lt;AR23,TRUE),IF(AND(AR23="",AQ23&lt;&gt;""),TRUE))</formula>
    </cfRule>
    <cfRule type="expression" dxfId="57" priority="32">
      <formula>IF(AQ23&gt;=AR23,IF(AQ23="",FALSE,TRUE))</formula>
    </cfRule>
  </conditionalFormatting>
  <conditionalFormatting sqref="AQ30:AQ31">
    <cfRule type="expression" dxfId="56" priority="70">
      <formula>OR(IF(AQ30&lt;AR30,TRUE),IF(AND(AR30="",AQ30&lt;&gt;""),TRUE))</formula>
    </cfRule>
    <cfRule type="expression" dxfId="55" priority="71">
      <formula>IF(AQ30&gt;=AR30,IF(AQ30="",FALSE,TRUE))</formula>
    </cfRule>
  </conditionalFormatting>
  <conditionalFormatting sqref="AS23:AS24">
    <cfRule type="expression" dxfId="54" priority="33">
      <formula>OR(IF(AS23&lt;AT23,TRUE),IF(AND(AT23="",AS23&lt;&gt;""),TRUE))</formula>
    </cfRule>
    <cfRule type="expression" dxfId="53" priority="34">
      <formula>IF(AS23&gt;=AT23,IF(AS23="",FALSE,TRUE))</formula>
    </cfRule>
  </conditionalFormatting>
  <conditionalFormatting sqref="AS30:AS31">
    <cfRule type="expression" dxfId="52" priority="72">
      <formula>OR(IF(AS30&lt;AT30,TRUE),IF(AND(AT30="",AS30&lt;&gt;""),TRUE))</formula>
    </cfRule>
    <cfRule type="expression" dxfId="51" priority="73">
      <formula>IF(AS30&gt;=AT30,IF(AS30="",FALSE,TRUE))</formula>
    </cfRule>
  </conditionalFormatting>
  <conditionalFormatting sqref="AX12:AX20 AZ12:AZ20">
    <cfRule type="expression" dxfId="50" priority="35">
      <formula>OR(IF(AX12&lt;AY12,TRUE),IF(AND(AY12="",AX12&lt;&gt;""),TRUE))</formula>
    </cfRule>
    <cfRule type="expression" dxfId="49" priority="36">
      <formula>IF(AX12&gt;=AY12,IF(AX12="",FALSE,TRUE))</formula>
    </cfRule>
  </conditionalFormatting>
  <conditionalFormatting sqref="AX23:AX24">
    <cfRule type="expression" dxfId="48" priority="38">
      <formula>IF(AX23&gt;=AY23,IF(AX23="",FALSE,TRUE))</formula>
    </cfRule>
    <cfRule type="expression" dxfId="47" priority="37">
      <formula>OR(IF(AX23&lt;AY23,TRUE),IF(AND(AY23="",AX23&lt;&gt;""),TRUE))</formula>
    </cfRule>
  </conditionalFormatting>
  <conditionalFormatting sqref="AX30:AX31">
    <cfRule type="expression" dxfId="46" priority="74">
      <formula>OR(IF(AX30&lt;AY30,TRUE),IF(AND(AY30="",AX30&lt;&gt;""),TRUE))</formula>
    </cfRule>
    <cfRule type="expression" dxfId="45" priority="75">
      <formula>IF(AX30&gt;=AY30,IF(AX30="",FALSE,TRUE))</formula>
    </cfRule>
  </conditionalFormatting>
  <conditionalFormatting sqref="AZ23:AZ24">
    <cfRule type="expression" dxfId="44" priority="40">
      <formula>IF(AZ23&gt;=BA23,IF(AZ23="",FALSE,TRUE))</formula>
    </cfRule>
    <cfRule type="expression" dxfId="43" priority="39">
      <formula>OR(IF(AZ23&lt;BA23,TRUE),IF(AND(BA23="",AZ23&lt;&gt;""),TRUE))</formula>
    </cfRule>
  </conditionalFormatting>
  <conditionalFormatting sqref="AZ30:AZ31">
    <cfRule type="expression" dxfId="42" priority="77">
      <formula>IF(AZ30&gt;=BA30,IF(AZ30="",FALSE,TRUE))</formula>
    </cfRule>
    <cfRule type="expression" dxfId="41" priority="76">
      <formula>OR(IF(AZ30&lt;BA30,TRUE),IF(AND(BA30="",AZ30&lt;&gt;""),TRUE))</formula>
    </cfRule>
  </conditionalFormatting>
  <conditionalFormatting sqref="BE12:BE20 BG12:BG20">
    <cfRule type="expression" dxfId="40" priority="10">
      <formula>IF(BE12&gt;=BF12,IF(BE12="",FALSE,TRUE))</formula>
    </cfRule>
    <cfRule type="expression" dxfId="39" priority="9">
      <formula>OR(IF(BE12&lt;BF12,TRUE),IF(AND(BF12="",BE12&lt;&gt;""),TRUE))</formula>
    </cfRule>
  </conditionalFormatting>
  <conditionalFormatting sqref="BE23:BE24">
    <cfRule type="expression" dxfId="38" priority="12">
      <formula>IF(BE23&gt;=BF23,IF(BE23="",FALSE,TRUE))</formula>
    </cfRule>
    <cfRule type="expression" dxfId="37" priority="11">
      <formula>OR(IF(BE23&lt;BF23,TRUE),IF(AND(BF23="",BE23&lt;&gt;""),TRUE))</formula>
    </cfRule>
  </conditionalFormatting>
  <conditionalFormatting sqref="BE30:BE31">
    <cfRule type="expression" dxfId="36" priority="57">
      <formula>IF(BE30&gt;=BF30,IF(BE30="",FALSE,TRUE))</formula>
    </cfRule>
    <cfRule type="expression" dxfId="35" priority="56">
      <formula>OR(IF(BE30&lt;BF30,TRUE),IF(AND(BF30="",BE30&lt;&gt;""),TRUE))</formula>
    </cfRule>
  </conditionalFormatting>
  <conditionalFormatting sqref="BG23:BG24">
    <cfRule type="expression" dxfId="34" priority="42">
      <formula>IF(BG23&gt;=BH23,IF(BG23="",FALSE,TRUE))</formula>
    </cfRule>
    <cfRule type="expression" dxfId="33" priority="41">
      <formula>OR(IF(BG23&lt;BH23,TRUE),IF(AND(BH23="",BG23&lt;&gt;""),TRUE))</formula>
    </cfRule>
  </conditionalFormatting>
  <conditionalFormatting sqref="BG30:BG31">
    <cfRule type="expression" dxfId="32" priority="78">
      <formula>OR(IF(BG30&lt;BH30,TRUE),IF(AND(BH30="",BG30&lt;&gt;""),TRUE))</formula>
    </cfRule>
    <cfRule type="expression" dxfId="31" priority="79">
      <formula>IF(BG30&gt;=BH30,IF(BG30="",FALSE,TRUE))</formula>
    </cfRule>
  </conditionalFormatting>
  <conditionalFormatting sqref="BL12:BL20 BN12:BN20">
    <cfRule type="expression" dxfId="30" priority="46">
      <formula>OR(IF(BL12&lt;BM12,TRUE),IF(AND(BM12="",BL12&lt;&gt;""),TRUE))</formula>
    </cfRule>
    <cfRule type="expression" dxfId="29" priority="47">
      <formula>IF(BL12&gt;=BM12,IF(BL12="",FALSE,TRUE))</formula>
    </cfRule>
  </conditionalFormatting>
  <conditionalFormatting sqref="BL23:BL24">
    <cfRule type="expression" dxfId="28" priority="48">
      <formula>OR(IF(BL23&lt;BM23,TRUE),IF(AND(BM23="",BL23&lt;&gt;""),TRUE))</formula>
    </cfRule>
    <cfRule type="expression" dxfId="27" priority="49">
      <formula>IF(BL23&gt;=BM23,IF(BL23="",FALSE,TRUE))</formula>
    </cfRule>
  </conditionalFormatting>
  <conditionalFormatting sqref="BL30:BL31">
    <cfRule type="expression" dxfId="26" priority="80">
      <formula>OR(IF(BL30&lt;BM30,TRUE),IF(AND(BM30="",BL30&lt;&gt;""),TRUE))</formula>
    </cfRule>
    <cfRule type="expression" dxfId="25" priority="81">
      <formula>IF(BL30&gt;=BM30,IF(BL30="",FALSE,TRUE))</formula>
    </cfRule>
  </conditionalFormatting>
  <conditionalFormatting sqref="BN23:BN24">
    <cfRule type="expression" dxfId="24" priority="51">
      <formula>IF(BN23&gt;=BO23,IF(BN23="",FALSE,TRUE))</formula>
    </cfRule>
    <cfRule type="expression" dxfId="23" priority="50">
      <formula>OR(IF(BN23&lt;BO23,TRUE),IF(AND(BO23="",BN23&lt;&gt;""),TRUE))</formula>
    </cfRule>
  </conditionalFormatting>
  <conditionalFormatting sqref="BN30:BN31">
    <cfRule type="expression" dxfId="22" priority="82">
      <formula>OR(IF(BN30&lt;BO30,TRUE),IF(AND(BO30="",BN30&lt;&gt;""),TRUE))</formula>
    </cfRule>
    <cfRule type="expression" dxfId="21" priority="83">
      <formula>IF(BN30&gt;=BO30,IF(BN30="",FALSE,TRUE))</formula>
    </cfRule>
  </conditionalFormatting>
  <conditionalFormatting sqref="BS12:BS20 BU12:BU20 BS23:BS27 BU23:BU27 BS30:BS35 BU30:BU35">
    <cfRule type="expression" dxfId="20" priority="134">
      <formula>OR(IF(BS12&lt;BT12,TRUE),IF(AND(BT12="",BS12&lt;&gt;""),TRUE))</formula>
    </cfRule>
    <cfRule type="expression" dxfId="19" priority="135">
      <formula>IF(BS12&gt;=BT12,IF(BS12="",FALSE,TRUE))</formula>
    </cfRule>
  </conditionalFormatting>
  <conditionalFormatting sqref="BS12:BS20 BU12:BU20">
    <cfRule type="expression" dxfId="18" priority="136">
      <formula>OR(IF(BS12&lt;BT12,TRUE),IF(AND(BT12="",BS12&lt;&gt;""),TRUE))</formula>
    </cfRule>
    <cfRule type="expression" dxfId="17" priority="137">
      <formula>IF(BS12&gt;=BT12,IF(BS12="",FALSE,TRUE))</formula>
    </cfRule>
  </conditionalFormatting>
  <conditionalFormatting sqref="BS23:BS24">
    <cfRule type="expression" dxfId="16" priority="138">
      <formula>OR(IF(BS23&lt;BT23,TRUE),IF(AND(BT23="",BS23&lt;&gt;""),TRUE))</formula>
    </cfRule>
    <cfRule type="expression" dxfId="15" priority="139">
      <formula>IF(BS23&gt;=BT23,IF(BS23="",FALSE,TRUE))</formula>
    </cfRule>
  </conditionalFormatting>
  <conditionalFormatting sqref="BS30:BS31">
    <cfRule type="expression" dxfId="14" priority="142">
      <formula>OR(IF(BS30&lt;BT30,TRUE),IF(AND(BT30="",BS30&lt;&gt;""),TRUE))</formula>
    </cfRule>
    <cfRule type="expression" dxfId="13" priority="143">
      <formula>IF(BS30&gt;=BT30,IF(BS30="",FALSE,TRUE))</formula>
    </cfRule>
  </conditionalFormatting>
  <conditionalFormatting sqref="BU23:BU24">
    <cfRule type="expression" dxfId="12" priority="140">
      <formula>OR(IF(BU23&lt;BV23,TRUE),IF(AND(BV23="",BU23&lt;&gt;""),TRUE))</formula>
    </cfRule>
    <cfRule type="expression" dxfId="11" priority="141">
      <formula>IF(BU23&gt;=BV23,IF(BU23="",FALSE,TRUE))</formula>
    </cfRule>
  </conditionalFormatting>
  <conditionalFormatting sqref="BU30:BU31">
    <cfRule type="expression" dxfId="10" priority="144">
      <formula>OR(IF(BU30&lt;BV30,TRUE),IF(AND(BV30="",BU30&lt;&gt;""),TRUE))</formula>
    </cfRule>
    <cfRule type="expression" dxfId="9" priority="145">
      <formula>IF(BU30&gt;=BV30,IF(BU30="",FALSE,TRUE))</formula>
    </cfRule>
  </conditionalFormatting>
  <dataValidations count="1">
    <dataValidation type="list" allowBlank="1" showErrorMessage="1" sqref="O5:R9 V5:Y9 AC5:AF9 AJ5:AM9 AQ5:AT9 AX5:BA9 BE5:BH9 BL5:BO9 BS5:BV9 BS30:BV35 O12:R20 V12:Y20 AC12:AF20 AQ12:AT20 AX12:BA20 BE12:BH20 BL12:BO20 BS12:BV20 O23:R27 V23:Y27 AC23:AF27 AJ23:AM27 AQ23:AT27 AX23:BA27 BE23:BH27 BL23:BO27 BS23:BV27 O30:R35 V30:Y35 AC30:AF35 AJ30:AM35 AQ30:AT35 AX30:BA35 BE30:BH35 BL30:BO35 AJ12:AM20" xr:uid="{00000000-0002-0000-0100-000000000000}">
      <formula1>"10%,20%,30%,40%,50%,60%,70%,80%,90%,100%"</formula1>
    </dataValidation>
  </dataValidations>
  <pageMargins left="0.7" right="0.7" top="0.75" bottom="0.75" header="0" footer="0"/>
  <pageSetup orientation="landscape"/>
  <ignoredErrors>
    <ignoredError sqref="C8 C6 C13:C19 C24:C26 C31 C33 C32 C3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000"/>
  <sheetViews>
    <sheetView workbookViewId="0"/>
  </sheetViews>
  <sheetFormatPr baseColWidth="10" defaultColWidth="11.1640625" defaultRowHeight="15" customHeight="1" x14ac:dyDescent="0.2"/>
  <cols>
    <col min="1" max="1" width="8.33203125" customWidth="1"/>
    <col min="2" max="2" width="125.1640625" customWidth="1"/>
    <col min="3" max="3" width="8.5" customWidth="1"/>
    <col min="4" max="26" width="8.33203125" customWidth="1"/>
  </cols>
  <sheetData>
    <row r="1" spans="2:3" ht="15.75" customHeight="1" x14ac:dyDescent="0.2">
      <c r="C1" s="6"/>
    </row>
    <row r="2" spans="2:3" ht="15.75" customHeight="1" x14ac:dyDescent="0.2">
      <c r="C2" s="6"/>
    </row>
    <row r="3" spans="2:3" ht="15.75" customHeight="1" x14ac:dyDescent="0.2">
      <c r="C3" s="6"/>
    </row>
    <row r="4" spans="2:3" ht="15.75" customHeight="1" x14ac:dyDescent="0.25">
      <c r="B4" s="18" t="s">
        <v>67</v>
      </c>
      <c r="C4" s="6"/>
    </row>
    <row r="5" spans="2:3" ht="15.75" customHeight="1" x14ac:dyDescent="0.2">
      <c r="C5" s="6"/>
    </row>
    <row r="6" spans="2:3" ht="15.75" customHeight="1" x14ac:dyDescent="0.2">
      <c r="B6" s="4" t="s">
        <v>68</v>
      </c>
      <c r="C6" s="6"/>
    </row>
    <row r="7" spans="2:3" ht="15.75" customHeight="1" x14ac:dyDescent="0.2">
      <c r="B7" s="19" t="s">
        <v>69</v>
      </c>
      <c r="C7" s="6"/>
    </row>
    <row r="8" spans="2:3" ht="15.75" customHeight="1" x14ac:dyDescent="0.2">
      <c r="C8" s="6"/>
    </row>
    <row r="9" spans="2:3" ht="15.75" customHeight="1" x14ac:dyDescent="0.2">
      <c r="B9" s="4" t="s">
        <v>70</v>
      </c>
      <c r="C9" s="6"/>
    </row>
    <row r="10" spans="2:3" ht="15.75" customHeight="1" x14ac:dyDescent="0.2">
      <c r="B10" s="19" t="s">
        <v>71</v>
      </c>
      <c r="C10" s="6"/>
    </row>
    <row r="11" spans="2:3" ht="15.75" customHeight="1" x14ac:dyDescent="0.2">
      <c r="C11" s="6"/>
    </row>
    <row r="12" spans="2:3" ht="15.75" customHeight="1" x14ac:dyDescent="0.2">
      <c r="B12" s="4" t="s">
        <v>72</v>
      </c>
      <c r="C12" s="6"/>
    </row>
    <row r="13" spans="2:3" ht="15.75" customHeight="1" x14ac:dyDescent="0.2">
      <c r="B13" s="19" t="s">
        <v>73</v>
      </c>
      <c r="C13" s="6"/>
    </row>
    <row r="14" spans="2:3" ht="15.75" customHeight="1" x14ac:dyDescent="0.2">
      <c r="C14" s="6"/>
    </row>
    <row r="15" spans="2:3" ht="15.75" customHeight="1" x14ac:dyDescent="0.2">
      <c r="B15" s="4" t="s">
        <v>74</v>
      </c>
      <c r="C15" s="6"/>
    </row>
    <row r="16" spans="2:3" ht="15.75" customHeight="1" x14ac:dyDescent="0.2">
      <c r="B16" s="19" t="s">
        <v>75</v>
      </c>
      <c r="C16" s="6"/>
    </row>
    <row r="17" spans="2:3" ht="15.75" customHeight="1" x14ac:dyDescent="0.2">
      <c r="B17" s="19"/>
      <c r="C17" s="6"/>
    </row>
    <row r="18" spans="2:3" ht="15.75" customHeight="1" x14ac:dyDescent="0.2">
      <c r="B18" s="4" t="s">
        <v>76</v>
      </c>
      <c r="C18" s="6"/>
    </row>
    <row r="19" spans="2:3" ht="15.75" customHeight="1" x14ac:dyDescent="0.2">
      <c r="B19" s="19" t="s">
        <v>77</v>
      </c>
      <c r="C19" s="6"/>
    </row>
    <row r="20" spans="2:3" ht="15.75" customHeight="1" x14ac:dyDescent="0.2">
      <c r="C20" s="6"/>
    </row>
    <row r="21" spans="2:3" ht="15.75" customHeight="1" x14ac:dyDescent="0.2">
      <c r="B21" s="4" t="s">
        <v>78</v>
      </c>
      <c r="C21" s="6"/>
    </row>
    <row r="22" spans="2:3" ht="15.75" customHeight="1" x14ac:dyDescent="0.2">
      <c r="B22" s="19" t="s">
        <v>79</v>
      </c>
      <c r="C22" s="6"/>
    </row>
    <row r="23" spans="2:3" ht="15.75" customHeight="1" x14ac:dyDescent="0.2">
      <c r="C23" s="6"/>
    </row>
    <row r="24" spans="2:3" ht="15.75" customHeight="1" x14ac:dyDescent="0.2">
      <c r="B24" s="4" t="s">
        <v>80</v>
      </c>
      <c r="C24" s="6"/>
    </row>
    <row r="25" spans="2:3" ht="15.75" customHeight="1" x14ac:dyDescent="0.2">
      <c r="B25" s="19" t="s">
        <v>81</v>
      </c>
      <c r="C25" s="6"/>
    </row>
    <row r="26" spans="2:3" ht="15.75" customHeight="1" x14ac:dyDescent="0.2">
      <c r="C26" s="6"/>
    </row>
    <row r="27" spans="2:3" ht="15.75" customHeight="1" x14ac:dyDescent="0.2">
      <c r="C27" s="6"/>
    </row>
    <row r="28" spans="2:3" ht="15.75" customHeight="1" x14ac:dyDescent="0.2">
      <c r="C28" s="6"/>
    </row>
    <row r="29" spans="2:3" ht="15.75" customHeight="1" x14ac:dyDescent="0.2">
      <c r="C29" s="6"/>
    </row>
    <row r="30" spans="2:3" ht="15.75" customHeight="1" x14ac:dyDescent="0.2">
      <c r="C30" s="6"/>
    </row>
    <row r="31" spans="2:3" ht="15.75" customHeight="1" x14ac:dyDescent="0.2">
      <c r="C31" s="6"/>
    </row>
    <row r="32" spans="2:3" ht="15.75" customHeight="1" x14ac:dyDescent="0.2">
      <c r="C32" s="6"/>
    </row>
    <row r="33" spans="3:3" ht="15.75" customHeight="1" x14ac:dyDescent="0.2">
      <c r="C33" s="6"/>
    </row>
    <row r="34" spans="3:3" ht="15.75" customHeight="1" x14ac:dyDescent="0.2">
      <c r="C34" s="6"/>
    </row>
    <row r="35" spans="3:3" ht="15.75" customHeight="1" x14ac:dyDescent="0.2">
      <c r="C35" s="6"/>
    </row>
    <row r="36" spans="3:3" ht="15.75" customHeight="1" x14ac:dyDescent="0.2">
      <c r="C36" s="6"/>
    </row>
    <row r="37" spans="3:3" ht="15.75" customHeight="1" x14ac:dyDescent="0.2">
      <c r="C37" s="6"/>
    </row>
    <row r="38" spans="3:3" ht="15.75" customHeight="1" x14ac:dyDescent="0.2">
      <c r="C38" s="6"/>
    </row>
    <row r="39" spans="3:3" ht="15.75" customHeight="1" x14ac:dyDescent="0.2">
      <c r="C39" s="6"/>
    </row>
    <row r="40" spans="3:3" ht="15.75" customHeight="1" x14ac:dyDescent="0.2">
      <c r="C40" s="6"/>
    </row>
    <row r="41" spans="3:3" ht="15.75" customHeight="1" x14ac:dyDescent="0.2">
      <c r="C41" s="6"/>
    </row>
    <row r="42" spans="3:3" ht="15.75" customHeight="1" x14ac:dyDescent="0.2">
      <c r="C42" s="6"/>
    </row>
    <row r="43" spans="3:3" ht="15.75" customHeight="1" x14ac:dyDescent="0.2">
      <c r="C43" s="6"/>
    </row>
    <row r="44" spans="3:3" ht="15.75" customHeight="1" x14ac:dyDescent="0.2">
      <c r="C44" s="6"/>
    </row>
    <row r="45" spans="3:3" ht="15.75" customHeight="1" x14ac:dyDescent="0.2">
      <c r="C45" s="6"/>
    </row>
    <row r="46" spans="3:3" ht="15.75" customHeight="1" x14ac:dyDescent="0.2">
      <c r="C46" s="6"/>
    </row>
    <row r="47" spans="3:3" ht="15.75" customHeight="1" x14ac:dyDescent="0.2">
      <c r="C47" s="6"/>
    </row>
    <row r="48" spans="3:3" ht="15.75" customHeight="1" x14ac:dyDescent="0.2">
      <c r="C48" s="6"/>
    </row>
    <row r="49" spans="3:3" ht="15.75" customHeight="1" x14ac:dyDescent="0.2">
      <c r="C49" s="6"/>
    </row>
    <row r="50" spans="3:3" ht="15.75" customHeight="1" x14ac:dyDescent="0.2">
      <c r="C50" s="6"/>
    </row>
    <row r="51" spans="3:3" ht="15.75" customHeight="1" x14ac:dyDescent="0.2">
      <c r="C51" s="6"/>
    </row>
    <row r="52" spans="3:3" ht="15.75" customHeight="1" x14ac:dyDescent="0.2">
      <c r="C52" s="6"/>
    </row>
    <row r="53" spans="3:3" ht="15.75" customHeight="1" x14ac:dyDescent="0.2">
      <c r="C53" s="6"/>
    </row>
    <row r="54" spans="3:3" ht="15.75" customHeight="1" x14ac:dyDescent="0.2">
      <c r="C54" s="6"/>
    </row>
    <row r="55" spans="3:3" ht="15.75" customHeight="1" x14ac:dyDescent="0.2">
      <c r="C55" s="6"/>
    </row>
    <row r="56" spans="3:3" ht="15.75" customHeight="1" x14ac:dyDescent="0.2">
      <c r="C56" s="6"/>
    </row>
    <row r="57" spans="3:3" ht="15.75" customHeight="1" x14ac:dyDescent="0.2">
      <c r="C57" s="6"/>
    </row>
    <row r="58" spans="3:3" ht="15.75" customHeight="1" x14ac:dyDescent="0.2">
      <c r="C58" s="6"/>
    </row>
    <row r="59" spans="3:3" ht="15.75" customHeight="1" x14ac:dyDescent="0.2">
      <c r="C59" s="6"/>
    </row>
    <row r="60" spans="3:3" ht="15.75" customHeight="1" x14ac:dyDescent="0.2">
      <c r="C60" s="6"/>
    </row>
    <row r="61" spans="3:3" ht="15.75" customHeight="1" x14ac:dyDescent="0.2">
      <c r="C61" s="6"/>
    </row>
    <row r="62" spans="3:3" ht="15.75" customHeight="1" x14ac:dyDescent="0.2">
      <c r="C62" s="6"/>
    </row>
    <row r="63" spans="3:3" ht="15.75" customHeight="1" x14ac:dyDescent="0.2">
      <c r="C63" s="6"/>
    </row>
    <row r="64" spans="3:3" ht="15.75" customHeight="1" x14ac:dyDescent="0.2">
      <c r="C64" s="6"/>
    </row>
    <row r="65" spans="3:3" ht="15.75" customHeight="1" x14ac:dyDescent="0.2">
      <c r="C65" s="6"/>
    </row>
    <row r="66" spans="3:3" ht="15.75" customHeight="1" x14ac:dyDescent="0.2">
      <c r="C66" s="6"/>
    </row>
    <row r="67" spans="3:3" ht="15.75" customHeight="1" x14ac:dyDescent="0.2">
      <c r="C67" s="6"/>
    </row>
    <row r="68" spans="3:3" ht="15.75" customHeight="1" x14ac:dyDescent="0.2">
      <c r="C68" s="6"/>
    </row>
    <row r="69" spans="3:3" ht="15.75" customHeight="1" x14ac:dyDescent="0.2">
      <c r="C69" s="6"/>
    </row>
    <row r="70" spans="3:3" ht="15.75" customHeight="1" x14ac:dyDescent="0.2">
      <c r="C70" s="6"/>
    </row>
    <row r="71" spans="3:3" ht="15.75" customHeight="1" x14ac:dyDescent="0.2">
      <c r="C71" s="6"/>
    </row>
    <row r="72" spans="3:3" ht="15.75" customHeight="1" x14ac:dyDescent="0.2">
      <c r="C72" s="6"/>
    </row>
    <row r="73" spans="3:3" ht="15.75" customHeight="1" x14ac:dyDescent="0.2">
      <c r="C73" s="6"/>
    </row>
    <row r="74" spans="3:3" ht="15.75" customHeight="1" x14ac:dyDescent="0.2">
      <c r="C74" s="6"/>
    </row>
    <row r="75" spans="3:3" ht="15.75" customHeight="1" x14ac:dyDescent="0.2">
      <c r="C75" s="6"/>
    </row>
    <row r="76" spans="3:3" ht="15.75" customHeight="1" x14ac:dyDescent="0.2">
      <c r="C76" s="6"/>
    </row>
    <row r="77" spans="3:3" ht="15.75" customHeight="1" x14ac:dyDescent="0.2">
      <c r="C77" s="6"/>
    </row>
    <row r="78" spans="3:3" ht="15.75" customHeight="1" x14ac:dyDescent="0.2">
      <c r="C78" s="6"/>
    </row>
    <row r="79" spans="3:3" ht="15.75" customHeight="1" x14ac:dyDescent="0.2">
      <c r="C79" s="6"/>
    </row>
    <row r="80" spans="3:3" ht="15.75" customHeight="1" x14ac:dyDescent="0.2">
      <c r="C80" s="6"/>
    </row>
    <row r="81" spans="3:3" ht="15.75" customHeight="1" x14ac:dyDescent="0.2">
      <c r="C81" s="6"/>
    </row>
    <row r="82" spans="3:3" ht="15.75" customHeight="1" x14ac:dyDescent="0.2">
      <c r="C82" s="6"/>
    </row>
    <row r="83" spans="3:3" ht="15.75" customHeight="1" x14ac:dyDescent="0.2">
      <c r="C83" s="6"/>
    </row>
    <row r="84" spans="3:3" ht="15.75" customHeight="1" x14ac:dyDescent="0.2">
      <c r="C84" s="6"/>
    </row>
    <row r="85" spans="3:3" ht="15.75" customHeight="1" x14ac:dyDescent="0.2">
      <c r="C85" s="6"/>
    </row>
    <row r="86" spans="3:3" ht="15.75" customHeight="1" x14ac:dyDescent="0.2">
      <c r="C86" s="6"/>
    </row>
    <row r="87" spans="3:3" ht="15.75" customHeight="1" x14ac:dyDescent="0.2">
      <c r="C87" s="6"/>
    </row>
    <row r="88" spans="3:3" ht="15.75" customHeight="1" x14ac:dyDescent="0.2">
      <c r="C88" s="6"/>
    </row>
    <row r="89" spans="3:3" ht="15.75" customHeight="1" x14ac:dyDescent="0.2">
      <c r="C89" s="6"/>
    </row>
    <row r="90" spans="3:3" ht="15.75" customHeight="1" x14ac:dyDescent="0.2">
      <c r="C90" s="6"/>
    </row>
    <row r="91" spans="3:3" ht="15.75" customHeight="1" x14ac:dyDescent="0.2">
      <c r="C91" s="6"/>
    </row>
    <row r="92" spans="3:3" ht="15.75" customHeight="1" x14ac:dyDescent="0.2">
      <c r="C92" s="6"/>
    </row>
    <row r="93" spans="3:3" ht="15.75" customHeight="1" x14ac:dyDescent="0.2">
      <c r="C93" s="6"/>
    </row>
    <row r="94" spans="3:3" ht="15.75" customHeight="1" x14ac:dyDescent="0.2">
      <c r="C94" s="6"/>
    </row>
    <row r="95" spans="3:3" ht="15.75" customHeight="1" x14ac:dyDescent="0.2">
      <c r="C95" s="6"/>
    </row>
    <row r="96" spans="3:3" ht="15.75" customHeight="1" x14ac:dyDescent="0.2">
      <c r="C96" s="6"/>
    </row>
    <row r="97" spans="3:3" ht="15.75" customHeight="1" x14ac:dyDescent="0.2">
      <c r="C97" s="6"/>
    </row>
    <row r="98" spans="3:3" ht="15.75" customHeight="1" x14ac:dyDescent="0.2">
      <c r="C98" s="6"/>
    </row>
    <row r="99" spans="3:3" ht="15.75" customHeight="1" x14ac:dyDescent="0.2">
      <c r="C99" s="6"/>
    </row>
    <row r="100" spans="3:3" ht="15.75" customHeight="1" x14ac:dyDescent="0.2">
      <c r="C100" s="6"/>
    </row>
    <row r="101" spans="3:3" ht="15.75" customHeight="1" x14ac:dyDescent="0.2">
      <c r="C101" s="6"/>
    </row>
    <row r="102" spans="3:3" ht="15.75" customHeight="1" x14ac:dyDescent="0.2">
      <c r="C102" s="6"/>
    </row>
    <row r="103" spans="3:3" ht="15.75" customHeight="1" x14ac:dyDescent="0.2">
      <c r="C103" s="6"/>
    </row>
    <row r="104" spans="3:3" ht="15.75" customHeight="1" x14ac:dyDescent="0.2">
      <c r="C104" s="6"/>
    </row>
    <row r="105" spans="3:3" ht="15.75" customHeight="1" x14ac:dyDescent="0.2">
      <c r="C105" s="6"/>
    </row>
    <row r="106" spans="3:3" ht="15.75" customHeight="1" x14ac:dyDescent="0.2">
      <c r="C106" s="6"/>
    </row>
    <row r="107" spans="3:3" ht="15.75" customHeight="1" x14ac:dyDescent="0.2">
      <c r="C107" s="6"/>
    </row>
    <row r="108" spans="3:3" ht="15.75" customHeight="1" x14ac:dyDescent="0.2">
      <c r="C108" s="6"/>
    </row>
    <row r="109" spans="3:3" ht="15.75" customHeight="1" x14ac:dyDescent="0.2">
      <c r="C109" s="6"/>
    </row>
    <row r="110" spans="3:3" ht="15.75" customHeight="1" x14ac:dyDescent="0.2">
      <c r="C110" s="6"/>
    </row>
    <row r="111" spans="3:3" ht="15.75" customHeight="1" x14ac:dyDescent="0.2">
      <c r="C111" s="6"/>
    </row>
    <row r="112" spans="3:3" ht="15.75" customHeight="1" x14ac:dyDescent="0.2">
      <c r="C112" s="6"/>
    </row>
    <row r="113" spans="3:3" ht="15.75" customHeight="1" x14ac:dyDescent="0.2">
      <c r="C113" s="6"/>
    </row>
    <row r="114" spans="3:3" ht="15.75" customHeight="1" x14ac:dyDescent="0.2">
      <c r="C114" s="6"/>
    </row>
    <row r="115" spans="3:3" ht="15.75" customHeight="1" x14ac:dyDescent="0.2">
      <c r="C115" s="6"/>
    </row>
    <row r="116" spans="3:3" ht="15.75" customHeight="1" x14ac:dyDescent="0.2">
      <c r="C116" s="6"/>
    </row>
    <row r="117" spans="3:3" ht="15.75" customHeight="1" x14ac:dyDescent="0.2">
      <c r="C117" s="6"/>
    </row>
    <row r="118" spans="3:3" ht="15.75" customHeight="1" x14ac:dyDescent="0.2">
      <c r="C118" s="6"/>
    </row>
    <row r="119" spans="3:3" ht="15.75" customHeight="1" x14ac:dyDescent="0.2">
      <c r="C119" s="6"/>
    </row>
    <row r="120" spans="3:3" ht="15.75" customHeight="1" x14ac:dyDescent="0.2">
      <c r="C120" s="6"/>
    </row>
    <row r="121" spans="3:3" ht="15.75" customHeight="1" x14ac:dyDescent="0.2">
      <c r="C121" s="6"/>
    </row>
    <row r="122" spans="3:3" ht="15.75" customHeight="1" x14ac:dyDescent="0.2">
      <c r="C122" s="6"/>
    </row>
    <row r="123" spans="3:3" ht="15.75" customHeight="1" x14ac:dyDescent="0.2">
      <c r="C123" s="6"/>
    </row>
    <row r="124" spans="3:3" ht="15.75" customHeight="1" x14ac:dyDescent="0.2">
      <c r="C124" s="6"/>
    </row>
    <row r="125" spans="3:3" ht="15.75" customHeight="1" x14ac:dyDescent="0.2">
      <c r="C125" s="6"/>
    </row>
    <row r="126" spans="3:3" ht="15.75" customHeight="1" x14ac:dyDescent="0.2">
      <c r="C126" s="6"/>
    </row>
    <row r="127" spans="3:3" ht="15.75" customHeight="1" x14ac:dyDescent="0.2">
      <c r="C127" s="6"/>
    </row>
    <row r="128" spans="3:3" ht="15.75" customHeight="1" x14ac:dyDescent="0.2">
      <c r="C128" s="6"/>
    </row>
    <row r="129" spans="3:3" ht="15.75" customHeight="1" x14ac:dyDescent="0.2">
      <c r="C129" s="6"/>
    </row>
    <row r="130" spans="3:3" ht="15.75" customHeight="1" x14ac:dyDescent="0.2">
      <c r="C130" s="6"/>
    </row>
    <row r="131" spans="3:3" ht="15.75" customHeight="1" x14ac:dyDescent="0.2">
      <c r="C131" s="6"/>
    </row>
    <row r="132" spans="3:3" ht="15.75" customHeight="1" x14ac:dyDescent="0.2">
      <c r="C132" s="6"/>
    </row>
    <row r="133" spans="3:3" ht="15.75" customHeight="1" x14ac:dyDescent="0.2">
      <c r="C133" s="6"/>
    </row>
    <row r="134" spans="3:3" ht="15.75" customHeight="1" x14ac:dyDescent="0.2">
      <c r="C134" s="6"/>
    </row>
    <row r="135" spans="3:3" ht="15.75" customHeight="1" x14ac:dyDescent="0.2">
      <c r="C135" s="6"/>
    </row>
    <row r="136" spans="3:3" ht="15.75" customHeight="1" x14ac:dyDescent="0.2">
      <c r="C136" s="6"/>
    </row>
    <row r="137" spans="3:3" ht="15.75" customHeight="1" x14ac:dyDescent="0.2">
      <c r="C137" s="6"/>
    </row>
    <row r="138" spans="3:3" ht="15.75" customHeight="1" x14ac:dyDescent="0.2">
      <c r="C138" s="6"/>
    </row>
    <row r="139" spans="3:3" ht="15.75" customHeight="1" x14ac:dyDescent="0.2">
      <c r="C139" s="6"/>
    </row>
    <row r="140" spans="3:3" ht="15.75" customHeight="1" x14ac:dyDescent="0.2">
      <c r="C140" s="6"/>
    </row>
    <row r="141" spans="3:3" ht="15.75" customHeight="1" x14ac:dyDescent="0.2">
      <c r="C141" s="6"/>
    </row>
    <row r="142" spans="3:3" ht="15.75" customHeight="1" x14ac:dyDescent="0.2">
      <c r="C142" s="6"/>
    </row>
    <row r="143" spans="3:3" ht="15.75" customHeight="1" x14ac:dyDescent="0.2">
      <c r="C143" s="6"/>
    </row>
    <row r="144" spans="3:3" ht="15.75" customHeight="1" x14ac:dyDescent="0.2">
      <c r="C144" s="6"/>
    </row>
    <row r="145" spans="3:3" ht="15.75" customHeight="1" x14ac:dyDescent="0.2">
      <c r="C145" s="6"/>
    </row>
    <row r="146" spans="3:3" ht="15.75" customHeight="1" x14ac:dyDescent="0.2">
      <c r="C146" s="6"/>
    </row>
    <row r="147" spans="3:3" ht="15.75" customHeight="1" x14ac:dyDescent="0.2">
      <c r="C147" s="6"/>
    </row>
    <row r="148" spans="3:3" ht="15.75" customHeight="1" x14ac:dyDescent="0.2">
      <c r="C148" s="6"/>
    </row>
    <row r="149" spans="3:3" ht="15.75" customHeight="1" x14ac:dyDescent="0.2">
      <c r="C149" s="6"/>
    </row>
    <row r="150" spans="3:3" ht="15.75" customHeight="1" x14ac:dyDescent="0.2">
      <c r="C150" s="6"/>
    </row>
    <row r="151" spans="3:3" ht="15.75" customHeight="1" x14ac:dyDescent="0.2">
      <c r="C151" s="6"/>
    </row>
    <row r="152" spans="3:3" ht="15.75" customHeight="1" x14ac:dyDescent="0.2">
      <c r="C152" s="6"/>
    </row>
    <row r="153" spans="3:3" ht="15.75" customHeight="1" x14ac:dyDescent="0.2">
      <c r="C153" s="6"/>
    </row>
    <row r="154" spans="3:3" ht="15.75" customHeight="1" x14ac:dyDescent="0.2">
      <c r="C154" s="6"/>
    </row>
    <row r="155" spans="3:3" ht="15.75" customHeight="1" x14ac:dyDescent="0.2">
      <c r="C155" s="6"/>
    </row>
    <row r="156" spans="3:3" ht="15.75" customHeight="1" x14ac:dyDescent="0.2">
      <c r="C156" s="6"/>
    </row>
    <row r="157" spans="3:3" ht="15.75" customHeight="1" x14ac:dyDescent="0.2">
      <c r="C157" s="6"/>
    </row>
    <row r="158" spans="3:3" ht="15.75" customHeight="1" x14ac:dyDescent="0.2">
      <c r="C158" s="6"/>
    </row>
    <row r="159" spans="3:3" ht="15.75" customHeight="1" x14ac:dyDescent="0.2">
      <c r="C159" s="6"/>
    </row>
    <row r="160" spans="3:3" ht="15.75" customHeight="1" x14ac:dyDescent="0.2">
      <c r="C160" s="6"/>
    </row>
    <row r="161" spans="3:3" ht="15.75" customHeight="1" x14ac:dyDescent="0.2">
      <c r="C161" s="6"/>
    </row>
    <row r="162" spans="3:3" ht="15.75" customHeight="1" x14ac:dyDescent="0.2">
      <c r="C162" s="6"/>
    </row>
    <row r="163" spans="3:3" ht="15.75" customHeight="1" x14ac:dyDescent="0.2">
      <c r="C163" s="6"/>
    </row>
    <row r="164" spans="3:3" ht="15.75" customHeight="1" x14ac:dyDescent="0.2">
      <c r="C164" s="6"/>
    </row>
    <row r="165" spans="3:3" ht="15.75" customHeight="1" x14ac:dyDescent="0.2">
      <c r="C165" s="6"/>
    </row>
    <row r="166" spans="3:3" ht="15.75" customHeight="1" x14ac:dyDescent="0.2">
      <c r="C166" s="6"/>
    </row>
    <row r="167" spans="3:3" ht="15.75" customHeight="1" x14ac:dyDescent="0.2">
      <c r="C167" s="6"/>
    </row>
    <row r="168" spans="3:3" ht="15.75" customHeight="1" x14ac:dyDescent="0.2">
      <c r="C168" s="6"/>
    </row>
    <row r="169" spans="3:3" ht="15.75" customHeight="1" x14ac:dyDescent="0.2">
      <c r="C169" s="6"/>
    </row>
    <row r="170" spans="3:3" ht="15.75" customHeight="1" x14ac:dyDescent="0.2">
      <c r="C170" s="6"/>
    </row>
    <row r="171" spans="3:3" ht="15.75" customHeight="1" x14ac:dyDescent="0.2">
      <c r="C171" s="6"/>
    </row>
    <row r="172" spans="3:3" ht="15.75" customHeight="1" x14ac:dyDescent="0.2">
      <c r="C172" s="6"/>
    </row>
    <row r="173" spans="3:3" ht="15.75" customHeight="1" x14ac:dyDescent="0.2">
      <c r="C173" s="6"/>
    </row>
    <row r="174" spans="3:3" ht="15.75" customHeight="1" x14ac:dyDescent="0.2">
      <c r="C174" s="6"/>
    </row>
    <row r="175" spans="3:3" ht="15.75" customHeight="1" x14ac:dyDescent="0.2">
      <c r="C175" s="6"/>
    </row>
    <row r="176" spans="3:3" ht="15.75" customHeight="1" x14ac:dyDescent="0.2">
      <c r="C176" s="6"/>
    </row>
    <row r="177" spans="3:3" ht="15.75" customHeight="1" x14ac:dyDescent="0.2">
      <c r="C177" s="6"/>
    </row>
    <row r="178" spans="3:3" ht="15.75" customHeight="1" x14ac:dyDescent="0.2">
      <c r="C178" s="6"/>
    </row>
    <row r="179" spans="3:3" ht="15.75" customHeight="1" x14ac:dyDescent="0.2">
      <c r="C179" s="6"/>
    </row>
    <row r="180" spans="3:3" ht="15.75" customHeight="1" x14ac:dyDescent="0.2">
      <c r="C180" s="6"/>
    </row>
    <row r="181" spans="3:3" ht="15.75" customHeight="1" x14ac:dyDescent="0.2">
      <c r="C181" s="6"/>
    </row>
    <row r="182" spans="3:3" ht="15.75" customHeight="1" x14ac:dyDescent="0.2">
      <c r="C182" s="6"/>
    </row>
    <row r="183" spans="3:3" ht="15.75" customHeight="1" x14ac:dyDescent="0.2">
      <c r="C183" s="6"/>
    </row>
    <row r="184" spans="3:3" ht="15.75" customHeight="1" x14ac:dyDescent="0.2">
      <c r="C184" s="6"/>
    </row>
    <row r="185" spans="3:3" ht="15.75" customHeight="1" x14ac:dyDescent="0.2">
      <c r="C185" s="6"/>
    </row>
    <row r="186" spans="3:3" ht="15.75" customHeight="1" x14ac:dyDescent="0.2">
      <c r="C186" s="6"/>
    </row>
    <row r="187" spans="3:3" ht="15.75" customHeight="1" x14ac:dyDescent="0.2">
      <c r="C187" s="6"/>
    </row>
    <row r="188" spans="3:3" ht="15.75" customHeight="1" x14ac:dyDescent="0.2">
      <c r="C188" s="6"/>
    </row>
    <row r="189" spans="3:3" ht="15.75" customHeight="1" x14ac:dyDescent="0.2">
      <c r="C189" s="6"/>
    </row>
    <row r="190" spans="3:3" ht="15.75" customHeight="1" x14ac:dyDescent="0.2">
      <c r="C190" s="6"/>
    </row>
    <row r="191" spans="3:3" ht="15.75" customHeight="1" x14ac:dyDescent="0.2">
      <c r="C191" s="6"/>
    </row>
    <row r="192" spans="3:3" ht="15.75" customHeight="1" x14ac:dyDescent="0.2">
      <c r="C192" s="6"/>
    </row>
    <row r="193" spans="3:3" ht="15.75" customHeight="1" x14ac:dyDescent="0.2">
      <c r="C193" s="6"/>
    </row>
    <row r="194" spans="3:3" ht="15.75" customHeight="1" x14ac:dyDescent="0.2">
      <c r="C194" s="6"/>
    </row>
    <row r="195" spans="3:3" ht="15.75" customHeight="1" x14ac:dyDescent="0.2">
      <c r="C195" s="6"/>
    </row>
    <row r="196" spans="3:3" ht="15.75" customHeight="1" x14ac:dyDescent="0.2">
      <c r="C196" s="6"/>
    </row>
    <row r="197" spans="3:3" ht="15.75" customHeight="1" x14ac:dyDescent="0.2">
      <c r="C197" s="6"/>
    </row>
    <row r="198" spans="3:3" ht="15.75" customHeight="1" x14ac:dyDescent="0.2">
      <c r="C198" s="6"/>
    </row>
    <row r="199" spans="3:3" ht="15.75" customHeight="1" x14ac:dyDescent="0.2">
      <c r="C199" s="6"/>
    </row>
    <row r="200" spans="3:3" ht="15.75" customHeight="1" x14ac:dyDescent="0.2">
      <c r="C200" s="6"/>
    </row>
    <row r="201" spans="3:3" ht="15.75" customHeight="1" x14ac:dyDescent="0.2">
      <c r="C201" s="6"/>
    </row>
    <row r="202" spans="3:3" ht="15.75" customHeight="1" x14ac:dyDescent="0.2">
      <c r="C202" s="6"/>
    </row>
    <row r="203" spans="3:3" ht="15.75" customHeight="1" x14ac:dyDescent="0.2">
      <c r="C203" s="6"/>
    </row>
    <row r="204" spans="3:3" ht="15.75" customHeight="1" x14ac:dyDescent="0.2">
      <c r="C204" s="6"/>
    </row>
    <row r="205" spans="3:3" ht="15.75" customHeight="1" x14ac:dyDescent="0.2">
      <c r="C205" s="6"/>
    </row>
    <row r="206" spans="3:3" ht="15.75" customHeight="1" x14ac:dyDescent="0.2">
      <c r="C206" s="6"/>
    </row>
    <row r="207" spans="3:3" ht="15.75" customHeight="1" x14ac:dyDescent="0.2">
      <c r="C207" s="6"/>
    </row>
    <row r="208" spans="3:3" ht="15.75" customHeight="1" x14ac:dyDescent="0.2">
      <c r="C208" s="6"/>
    </row>
    <row r="209" spans="3:3" ht="15.75" customHeight="1" x14ac:dyDescent="0.2">
      <c r="C209" s="6"/>
    </row>
    <row r="210" spans="3:3" ht="15.75" customHeight="1" x14ac:dyDescent="0.2">
      <c r="C210" s="6"/>
    </row>
    <row r="211" spans="3:3" ht="15.75" customHeight="1" x14ac:dyDescent="0.2">
      <c r="C211" s="6"/>
    </row>
    <row r="212" spans="3:3" ht="15.75" customHeight="1" x14ac:dyDescent="0.2">
      <c r="C212" s="6"/>
    </row>
    <row r="213" spans="3:3" ht="15.75" customHeight="1" x14ac:dyDescent="0.2">
      <c r="C213" s="6"/>
    </row>
    <row r="214" spans="3:3" ht="15.75" customHeight="1" x14ac:dyDescent="0.2">
      <c r="C214" s="6"/>
    </row>
    <row r="215" spans="3:3" ht="15.75" customHeight="1" x14ac:dyDescent="0.2">
      <c r="C215" s="6"/>
    </row>
    <row r="216" spans="3:3" ht="15.75" customHeight="1" x14ac:dyDescent="0.2">
      <c r="C216" s="6"/>
    </row>
    <row r="217" spans="3:3" ht="15.75" customHeight="1" x14ac:dyDescent="0.2">
      <c r="C217" s="6"/>
    </row>
    <row r="218" spans="3:3" ht="15.75" customHeight="1" x14ac:dyDescent="0.2">
      <c r="C218" s="6"/>
    </row>
    <row r="219" spans="3:3" ht="15.75" customHeight="1" x14ac:dyDescent="0.2">
      <c r="C219" s="6"/>
    </row>
    <row r="220" spans="3:3" ht="15.75" customHeight="1" x14ac:dyDescent="0.2">
      <c r="C220" s="6"/>
    </row>
    <row r="221" spans="3:3" ht="15.75" customHeight="1" x14ac:dyDescent="0.2">
      <c r="C221" s="6"/>
    </row>
    <row r="222" spans="3:3" ht="15.75" customHeight="1" x14ac:dyDescent="0.2">
      <c r="C222" s="6"/>
    </row>
    <row r="223" spans="3:3" ht="15.75" customHeight="1" x14ac:dyDescent="0.2">
      <c r="C223" s="6"/>
    </row>
    <row r="224" spans="3:3" ht="15.75" customHeight="1" x14ac:dyDescent="0.2">
      <c r="C224" s="6"/>
    </row>
    <row r="225" spans="3:3" ht="15.75" customHeight="1" x14ac:dyDescent="0.2">
      <c r="C225" s="6"/>
    </row>
    <row r="226" spans="3:3" ht="15.75" customHeight="1" x14ac:dyDescent="0.2">
      <c r="C226" s="6"/>
    </row>
    <row r="227" spans="3:3" ht="15.75" customHeight="1" x14ac:dyDescent="0.2">
      <c r="C227" s="6"/>
    </row>
    <row r="228" spans="3:3" ht="15.75" customHeight="1" x14ac:dyDescent="0.2">
      <c r="C228" s="6"/>
    </row>
    <row r="229" spans="3:3" ht="15.75" customHeight="1" x14ac:dyDescent="0.2">
      <c r="C229" s="6"/>
    </row>
    <row r="230" spans="3:3" ht="15.75" customHeight="1" x14ac:dyDescent="0.2">
      <c r="C230" s="6"/>
    </row>
    <row r="231" spans="3:3" ht="15.75" customHeight="1" x14ac:dyDescent="0.2">
      <c r="C231" s="6"/>
    </row>
    <row r="232" spans="3:3" ht="15.75" customHeight="1" x14ac:dyDescent="0.2">
      <c r="C232" s="6"/>
    </row>
    <row r="233" spans="3:3" ht="15.75" customHeight="1" x14ac:dyDescent="0.2">
      <c r="C233" s="6"/>
    </row>
    <row r="234" spans="3:3" ht="15.75" customHeight="1" x14ac:dyDescent="0.2">
      <c r="C234" s="6"/>
    </row>
    <row r="235" spans="3:3" ht="15.75" customHeight="1" x14ac:dyDescent="0.2">
      <c r="C235" s="6"/>
    </row>
    <row r="236" spans="3:3" ht="15.75" customHeight="1" x14ac:dyDescent="0.2">
      <c r="C236" s="6"/>
    </row>
    <row r="237" spans="3:3" ht="15.75" customHeight="1" x14ac:dyDescent="0.2">
      <c r="C237" s="6"/>
    </row>
    <row r="238" spans="3:3" ht="15.75" customHeight="1" x14ac:dyDescent="0.2">
      <c r="C238" s="6"/>
    </row>
    <row r="239" spans="3:3" ht="15.75" customHeight="1" x14ac:dyDescent="0.2">
      <c r="C239" s="6"/>
    </row>
    <row r="240" spans="3:3" ht="15.75" customHeight="1" x14ac:dyDescent="0.2">
      <c r="C240" s="6"/>
    </row>
    <row r="241" spans="3:3" ht="15.75" customHeight="1" x14ac:dyDescent="0.2">
      <c r="C241" s="6"/>
    </row>
    <row r="242" spans="3:3" ht="15.75" customHeight="1" x14ac:dyDescent="0.2">
      <c r="C242" s="6"/>
    </row>
    <row r="243" spans="3:3" ht="15.75" customHeight="1" x14ac:dyDescent="0.2">
      <c r="C243" s="6"/>
    </row>
    <row r="244" spans="3:3" ht="15.75" customHeight="1" x14ac:dyDescent="0.2">
      <c r="C244" s="6"/>
    </row>
    <row r="245" spans="3:3" ht="15.75" customHeight="1" x14ac:dyDescent="0.2">
      <c r="C245" s="6"/>
    </row>
    <row r="246" spans="3:3" ht="15.75" customHeight="1" x14ac:dyDescent="0.2">
      <c r="C246" s="6"/>
    </row>
    <row r="247" spans="3:3" ht="15.75" customHeight="1" x14ac:dyDescent="0.2">
      <c r="C247" s="6"/>
    </row>
    <row r="248" spans="3:3" ht="15.75" customHeight="1" x14ac:dyDescent="0.2">
      <c r="C248" s="6"/>
    </row>
    <row r="249" spans="3:3" ht="15.75" customHeight="1" x14ac:dyDescent="0.2">
      <c r="C249" s="6"/>
    </row>
    <row r="250" spans="3:3" ht="15.75" customHeight="1" x14ac:dyDescent="0.2">
      <c r="C250" s="6"/>
    </row>
    <row r="251" spans="3:3" ht="15.75" customHeight="1" x14ac:dyDescent="0.2">
      <c r="C251" s="6"/>
    </row>
    <row r="252" spans="3:3" ht="15.75" customHeight="1" x14ac:dyDescent="0.2">
      <c r="C252" s="6"/>
    </row>
    <row r="253" spans="3:3" ht="15.75" customHeight="1" x14ac:dyDescent="0.2">
      <c r="C253" s="6"/>
    </row>
    <row r="254" spans="3:3" ht="15.75" customHeight="1" x14ac:dyDescent="0.2">
      <c r="C254" s="6"/>
    </row>
    <row r="255" spans="3:3" ht="15.75" customHeight="1" x14ac:dyDescent="0.2">
      <c r="C255" s="6"/>
    </row>
    <row r="256" spans="3:3" ht="15.75" customHeight="1" x14ac:dyDescent="0.2">
      <c r="C256" s="6"/>
    </row>
    <row r="257" spans="3:3" ht="15.75" customHeight="1" x14ac:dyDescent="0.2">
      <c r="C257" s="6"/>
    </row>
    <row r="258" spans="3:3" ht="15.75" customHeight="1" x14ac:dyDescent="0.2">
      <c r="C258" s="6"/>
    </row>
    <row r="259" spans="3:3" ht="15.75" customHeight="1" x14ac:dyDescent="0.2">
      <c r="C259" s="6"/>
    </row>
    <row r="260" spans="3:3" ht="15.75" customHeight="1" x14ac:dyDescent="0.2">
      <c r="C260" s="6"/>
    </row>
    <row r="261" spans="3:3" ht="15.75" customHeight="1" x14ac:dyDescent="0.2">
      <c r="C261" s="6"/>
    </row>
    <row r="262" spans="3:3" ht="15.75" customHeight="1" x14ac:dyDescent="0.2">
      <c r="C262" s="6"/>
    </row>
    <row r="263" spans="3:3" ht="15.75" customHeight="1" x14ac:dyDescent="0.2">
      <c r="C263" s="6"/>
    </row>
    <row r="264" spans="3:3" ht="15.75" customHeight="1" x14ac:dyDescent="0.2">
      <c r="C264" s="6"/>
    </row>
    <row r="265" spans="3:3" ht="15.75" customHeight="1" x14ac:dyDescent="0.2">
      <c r="C265" s="6"/>
    </row>
    <row r="266" spans="3:3" ht="15.75" customHeight="1" x14ac:dyDescent="0.2">
      <c r="C266" s="6"/>
    </row>
    <row r="267" spans="3:3" ht="15.75" customHeight="1" x14ac:dyDescent="0.2">
      <c r="C267" s="6"/>
    </row>
    <row r="268" spans="3:3" ht="15.75" customHeight="1" x14ac:dyDescent="0.2">
      <c r="C268" s="6"/>
    </row>
    <row r="269" spans="3:3" ht="15.75" customHeight="1" x14ac:dyDescent="0.2">
      <c r="C269" s="6"/>
    </row>
    <row r="270" spans="3:3" ht="15.75" customHeight="1" x14ac:dyDescent="0.2">
      <c r="C270" s="6"/>
    </row>
    <row r="271" spans="3:3" ht="15.75" customHeight="1" x14ac:dyDescent="0.2">
      <c r="C271" s="6"/>
    </row>
    <row r="272" spans="3:3" ht="15.75" customHeight="1" x14ac:dyDescent="0.2">
      <c r="C272" s="6"/>
    </row>
    <row r="273" spans="3:3" ht="15.75" customHeight="1" x14ac:dyDescent="0.2">
      <c r="C273" s="6"/>
    </row>
    <row r="274" spans="3:3" ht="15.75" customHeight="1" x14ac:dyDescent="0.2">
      <c r="C274" s="6"/>
    </row>
    <row r="275" spans="3:3" ht="15.75" customHeight="1" x14ac:dyDescent="0.2">
      <c r="C275" s="6"/>
    </row>
    <row r="276" spans="3:3" ht="15.75" customHeight="1" x14ac:dyDescent="0.2">
      <c r="C276" s="6"/>
    </row>
    <row r="277" spans="3:3" ht="15.75" customHeight="1" x14ac:dyDescent="0.2">
      <c r="C277" s="6"/>
    </row>
    <row r="278" spans="3:3" ht="15.75" customHeight="1" x14ac:dyDescent="0.2">
      <c r="C278" s="6"/>
    </row>
    <row r="279" spans="3:3" ht="15.75" customHeight="1" x14ac:dyDescent="0.2">
      <c r="C279" s="6"/>
    </row>
    <row r="280" spans="3:3" ht="15.75" customHeight="1" x14ac:dyDescent="0.2">
      <c r="C280" s="6"/>
    </row>
    <row r="281" spans="3:3" ht="15.75" customHeight="1" x14ac:dyDescent="0.2">
      <c r="C281" s="6"/>
    </row>
    <row r="282" spans="3:3" ht="15.75" customHeight="1" x14ac:dyDescent="0.2">
      <c r="C282" s="6"/>
    </row>
    <row r="283" spans="3:3" ht="15.75" customHeight="1" x14ac:dyDescent="0.2">
      <c r="C283" s="6"/>
    </row>
    <row r="284" spans="3:3" ht="15.75" customHeight="1" x14ac:dyDescent="0.2">
      <c r="C284" s="6"/>
    </row>
    <row r="285" spans="3:3" ht="15.75" customHeight="1" x14ac:dyDescent="0.2">
      <c r="C285" s="6"/>
    </row>
    <row r="286" spans="3:3" ht="15.75" customHeight="1" x14ac:dyDescent="0.2">
      <c r="C286" s="6"/>
    </row>
    <row r="287" spans="3:3" ht="15.75" customHeight="1" x14ac:dyDescent="0.2">
      <c r="C287" s="6"/>
    </row>
    <row r="288" spans="3:3" ht="15.75" customHeight="1" x14ac:dyDescent="0.2">
      <c r="C288" s="6"/>
    </row>
    <row r="289" spans="3:3" ht="15.75" customHeight="1" x14ac:dyDescent="0.2">
      <c r="C289" s="6"/>
    </row>
    <row r="290" spans="3:3" ht="15.75" customHeight="1" x14ac:dyDescent="0.2">
      <c r="C290" s="6"/>
    </row>
    <row r="291" spans="3:3" ht="15.75" customHeight="1" x14ac:dyDescent="0.2">
      <c r="C291" s="6"/>
    </row>
    <row r="292" spans="3:3" ht="15.75" customHeight="1" x14ac:dyDescent="0.2">
      <c r="C292" s="6"/>
    </row>
    <row r="293" spans="3:3" ht="15.75" customHeight="1" x14ac:dyDescent="0.2">
      <c r="C293" s="6"/>
    </row>
    <row r="294" spans="3:3" ht="15.75" customHeight="1" x14ac:dyDescent="0.2">
      <c r="C294" s="6"/>
    </row>
    <row r="295" spans="3:3" ht="15.75" customHeight="1" x14ac:dyDescent="0.2">
      <c r="C295" s="6"/>
    </row>
    <row r="296" spans="3:3" ht="15.75" customHeight="1" x14ac:dyDescent="0.2">
      <c r="C296" s="6"/>
    </row>
    <row r="297" spans="3:3" ht="15.75" customHeight="1" x14ac:dyDescent="0.2">
      <c r="C297" s="6"/>
    </row>
    <row r="298" spans="3:3" ht="15.75" customHeight="1" x14ac:dyDescent="0.2">
      <c r="C298" s="6"/>
    </row>
    <row r="299" spans="3:3" ht="15.75" customHeight="1" x14ac:dyDescent="0.2">
      <c r="C299" s="6"/>
    </row>
    <row r="300" spans="3:3" ht="15.75" customHeight="1" x14ac:dyDescent="0.2">
      <c r="C300" s="6"/>
    </row>
    <row r="301" spans="3:3" ht="15.75" customHeight="1" x14ac:dyDescent="0.2">
      <c r="C301" s="6"/>
    </row>
    <row r="302" spans="3:3" ht="15.75" customHeight="1" x14ac:dyDescent="0.2">
      <c r="C302" s="6"/>
    </row>
    <row r="303" spans="3:3" ht="15.75" customHeight="1" x14ac:dyDescent="0.2">
      <c r="C303" s="6"/>
    </row>
    <row r="304" spans="3:3" ht="15.75" customHeight="1" x14ac:dyDescent="0.2">
      <c r="C304" s="6"/>
    </row>
    <row r="305" spans="3:3" ht="15.75" customHeight="1" x14ac:dyDescent="0.2">
      <c r="C305" s="6"/>
    </row>
    <row r="306" spans="3:3" ht="15.75" customHeight="1" x14ac:dyDescent="0.2">
      <c r="C306" s="6"/>
    </row>
    <row r="307" spans="3:3" ht="15.75" customHeight="1" x14ac:dyDescent="0.2">
      <c r="C307" s="6"/>
    </row>
    <row r="308" spans="3:3" ht="15.75" customHeight="1" x14ac:dyDescent="0.2">
      <c r="C308" s="6"/>
    </row>
    <row r="309" spans="3:3" ht="15.75" customHeight="1" x14ac:dyDescent="0.2">
      <c r="C309" s="6"/>
    </row>
    <row r="310" spans="3:3" ht="15.75" customHeight="1" x14ac:dyDescent="0.2">
      <c r="C310" s="6"/>
    </row>
    <row r="311" spans="3:3" ht="15.75" customHeight="1" x14ac:dyDescent="0.2">
      <c r="C311" s="6"/>
    </row>
    <row r="312" spans="3:3" ht="15.75" customHeight="1" x14ac:dyDescent="0.2">
      <c r="C312" s="6"/>
    </row>
    <row r="313" spans="3:3" ht="15.75" customHeight="1" x14ac:dyDescent="0.2">
      <c r="C313" s="6"/>
    </row>
    <row r="314" spans="3:3" ht="15.75" customHeight="1" x14ac:dyDescent="0.2">
      <c r="C314" s="6"/>
    </row>
    <row r="315" spans="3:3" ht="15.75" customHeight="1" x14ac:dyDescent="0.2">
      <c r="C315" s="6"/>
    </row>
    <row r="316" spans="3:3" ht="15.75" customHeight="1" x14ac:dyDescent="0.2">
      <c r="C316" s="6"/>
    </row>
    <row r="317" spans="3:3" ht="15.75" customHeight="1" x14ac:dyDescent="0.2">
      <c r="C317" s="6"/>
    </row>
    <row r="318" spans="3:3" ht="15.75" customHeight="1" x14ac:dyDescent="0.2">
      <c r="C318" s="6"/>
    </row>
    <row r="319" spans="3:3" ht="15.75" customHeight="1" x14ac:dyDescent="0.2">
      <c r="C319" s="6"/>
    </row>
    <row r="320" spans="3:3" ht="15.75" customHeight="1" x14ac:dyDescent="0.2">
      <c r="C320" s="6"/>
    </row>
    <row r="321" spans="3:3" ht="15.75" customHeight="1" x14ac:dyDescent="0.2">
      <c r="C321" s="6"/>
    </row>
    <row r="322" spans="3:3" ht="15.75" customHeight="1" x14ac:dyDescent="0.2">
      <c r="C322" s="6"/>
    </row>
    <row r="323" spans="3:3" ht="15.75" customHeight="1" x14ac:dyDescent="0.2">
      <c r="C323" s="6"/>
    </row>
    <row r="324" spans="3:3" ht="15.75" customHeight="1" x14ac:dyDescent="0.2">
      <c r="C324" s="6"/>
    </row>
    <row r="325" spans="3:3" ht="15.75" customHeight="1" x14ac:dyDescent="0.2">
      <c r="C325" s="6"/>
    </row>
    <row r="326" spans="3:3" ht="15.75" customHeight="1" x14ac:dyDescent="0.2">
      <c r="C326" s="6"/>
    </row>
    <row r="327" spans="3:3" ht="15.75" customHeight="1" x14ac:dyDescent="0.2">
      <c r="C327" s="6"/>
    </row>
    <row r="328" spans="3:3" ht="15.75" customHeight="1" x14ac:dyDescent="0.2">
      <c r="C328" s="6"/>
    </row>
    <row r="329" spans="3:3" ht="15.75" customHeight="1" x14ac:dyDescent="0.2">
      <c r="C329" s="6"/>
    </row>
    <row r="330" spans="3:3" ht="15.75" customHeight="1" x14ac:dyDescent="0.2">
      <c r="C330" s="6"/>
    </row>
    <row r="331" spans="3:3" ht="15.75" customHeight="1" x14ac:dyDescent="0.2">
      <c r="C331" s="6"/>
    </row>
    <row r="332" spans="3:3" ht="15.75" customHeight="1" x14ac:dyDescent="0.2">
      <c r="C332" s="6"/>
    </row>
    <row r="333" spans="3:3" ht="15.75" customHeight="1" x14ac:dyDescent="0.2">
      <c r="C333" s="6"/>
    </row>
    <row r="334" spans="3:3" ht="15.75" customHeight="1" x14ac:dyDescent="0.2">
      <c r="C334" s="6"/>
    </row>
    <row r="335" spans="3:3" ht="15.75" customHeight="1" x14ac:dyDescent="0.2">
      <c r="C335" s="6"/>
    </row>
    <row r="336" spans="3:3" ht="15.75" customHeight="1" x14ac:dyDescent="0.2">
      <c r="C336" s="6"/>
    </row>
    <row r="337" spans="3:3" ht="15.75" customHeight="1" x14ac:dyDescent="0.2">
      <c r="C337" s="6"/>
    </row>
    <row r="338" spans="3:3" ht="15.75" customHeight="1" x14ac:dyDescent="0.2">
      <c r="C338" s="6"/>
    </row>
    <row r="339" spans="3:3" ht="15.75" customHeight="1" x14ac:dyDescent="0.2">
      <c r="C339" s="6"/>
    </row>
    <row r="340" spans="3:3" ht="15.75" customHeight="1" x14ac:dyDescent="0.2">
      <c r="C340" s="6"/>
    </row>
    <row r="341" spans="3:3" ht="15.75" customHeight="1" x14ac:dyDescent="0.2">
      <c r="C341" s="6"/>
    </row>
    <row r="342" spans="3:3" ht="15.75" customHeight="1" x14ac:dyDescent="0.2">
      <c r="C342" s="6"/>
    </row>
    <row r="343" spans="3:3" ht="15.75" customHeight="1" x14ac:dyDescent="0.2">
      <c r="C343" s="6"/>
    </row>
    <row r="344" spans="3:3" ht="15.75" customHeight="1" x14ac:dyDescent="0.2">
      <c r="C344" s="6"/>
    </row>
    <row r="345" spans="3:3" ht="15.75" customHeight="1" x14ac:dyDescent="0.2">
      <c r="C345" s="6"/>
    </row>
    <row r="346" spans="3:3" ht="15.75" customHeight="1" x14ac:dyDescent="0.2">
      <c r="C346" s="6"/>
    </row>
    <row r="347" spans="3:3" ht="15.75" customHeight="1" x14ac:dyDescent="0.2">
      <c r="C347" s="6"/>
    </row>
    <row r="348" spans="3:3" ht="15.75" customHeight="1" x14ac:dyDescent="0.2">
      <c r="C348" s="6"/>
    </row>
    <row r="349" spans="3:3" ht="15.75" customHeight="1" x14ac:dyDescent="0.2">
      <c r="C349" s="6"/>
    </row>
    <row r="350" spans="3:3" ht="15.75" customHeight="1" x14ac:dyDescent="0.2">
      <c r="C350" s="6"/>
    </row>
    <row r="351" spans="3:3" ht="15.75" customHeight="1" x14ac:dyDescent="0.2">
      <c r="C351" s="6"/>
    </row>
    <row r="352" spans="3:3" ht="15.75" customHeight="1" x14ac:dyDescent="0.2">
      <c r="C352" s="6"/>
    </row>
    <row r="353" spans="3:3" ht="15.75" customHeight="1" x14ac:dyDescent="0.2">
      <c r="C353" s="6"/>
    </row>
    <row r="354" spans="3:3" ht="15.75" customHeight="1" x14ac:dyDescent="0.2">
      <c r="C354" s="6"/>
    </row>
    <row r="355" spans="3:3" ht="15.75" customHeight="1" x14ac:dyDescent="0.2">
      <c r="C355" s="6"/>
    </row>
    <row r="356" spans="3:3" ht="15.75" customHeight="1" x14ac:dyDescent="0.2">
      <c r="C356" s="6"/>
    </row>
    <row r="357" spans="3:3" ht="15.75" customHeight="1" x14ac:dyDescent="0.2">
      <c r="C357" s="6"/>
    </row>
    <row r="358" spans="3:3" ht="15.75" customHeight="1" x14ac:dyDescent="0.2">
      <c r="C358" s="6"/>
    </row>
    <row r="359" spans="3:3" ht="15.75" customHeight="1" x14ac:dyDescent="0.2">
      <c r="C359" s="6"/>
    </row>
    <row r="360" spans="3:3" ht="15.75" customHeight="1" x14ac:dyDescent="0.2">
      <c r="C360" s="6"/>
    </row>
    <row r="361" spans="3:3" ht="15.75" customHeight="1" x14ac:dyDescent="0.2">
      <c r="C361" s="6"/>
    </row>
    <row r="362" spans="3:3" ht="15.75" customHeight="1" x14ac:dyDescent="0.2">
      <c r="C362" s="6"/>
    </row>
    <row r="363" spans="3:3" ht="15.75" customHeight="1" x14ac:dyDescent="0.2">
      <c r="C363" s="6"/>
    </row>
    <row r="364" spans="3:3" ht="15.75" customHeight="1" x14ac:dyDescent="0.2">
      <c r="C364" s="6"/>
    </row>
    <row r="365" spans="3:3" ht="15.75" customHeight="1" x14ac:dyDescent="0.2">
      <c r="C365" s="6"/>
    </row>
    <row r="366" spans="3:3" ht="15.75" customHeight="1" x14ac:dyDescent="0.2">
      <c r="C366" s="6"/>
    </row>
    <row r="367" spans="3:3" ht="15.75" customHeight="1" x14ac:dyDescent="0.2">
      <c r="C367" s="6"/>
    </row>
    <row r="368" spans="3:3" ht="15.75" customHeight="1" x14ac:dyDescent="0.2">
      <c r="C368" s="6"/>
    </row>
    <row r="369" spans="3:3" ht="15.75" customHeight="1" x14ac:dyDescent="0.2">
      <c r="C369" s="6"/>
    </row>
    <row r="370" spans="3:3" ht="15.75" customHeight="1" x14ac:dyDescent="0.2">
      <c r="C370" s="6"/>
    </row>
    <row r="371" spans="3:3" ht="15.75" customHeight="1" x14ac:dyDescent="0.2">
      <c r="C371" s="6"/>
    </row>
    <row r="372" spans="3:3" ht="15.75" customHeight="1" x14ac:dyDescent="0.2">
      <c r="C372" s="6"/>
    </row>
    <row r="373" spans="3:3" ht="15.75" customHeight="1" x14ac:dyDescent="0.2">
      <c r="C373" s="6"/>
    </row>
    <row r="374" spans="3:3" ht="15.75" customHeight="1" x14ac:dyDescent="0.2">
      <c r="C374" s="6"/>
    </row>
    <row r="375" spans="3:3" ht="15.75" customHeight="1" x14ac:dyDescent="0.2">
      <c r="C375" s="6"/>
    </row>
    <row r="376" spans="3:3" ht="15.75" customHeight="1" x14ac:dyDescent="0.2">
      <c r="C376" s="6"/>
    </row>
    <row r="377" spans="3:3" ht="15.75" customHeight="1" x14ac:dyDescent="0.2">
      <c r="C377" s="6"/>
    </row>
    <row r="378" spans="3:3" ht="15.75" customHeight="1" x14ac:dyDescent="0.2">
      <c r="C378" s="6"/>
    </row>
    <row r="379" spans="3:3" ht="15.75" customHeight="1" x14ac:dyDescent="0.2">
      <c r="C379" s="6"/>
    </row>
    <row r="380" spans="3:3" ht="15.75" customHeight="1" x14ac:dyDescent="0.2">
      <c r="C380" s="6"/>
    </row>
    <row r="381" spans="3:3" ht="15.75" customHeight="1" x14ac:dyDescent="0.2">
      <c r="C381" s="6"/>
    </row>
    <row r="382" spans="3:3" ht="15.75" customHeight="1" x14ac:dyDescent="0.2">
      <c r="C382" s="6"/>
    </row>
    <row r="383" spans="3:3" ht="15.75" customHeight="1" x14ac:dyDescent="0.2">
      <c r="C383" s="6"/>
    </row>
    <row r="384" spans="3:3" ht="15.75" customHeight="1" x14ac:dyDescent="0.2">
      <c r="C384" s="6"/>
    </row>
    <row r="385" spans="3:3" ht="15.75" customHeight="1" x14ac:dyDescent="0.2">
      <c r="C385" s="6"/>
    </row>
    <row r="386" spans="3:3" ht="15.75" customHeight="1" x14ac:dyDescent="0.2">
      <c r="C386" s="6"/>
    </row>
    <row r="387" spans="3:3" ht="15.75" customHeight="1" x14ac:dyDescent="0.2">
      <c r="C387" s="6"/>
    </row>
    <row r="388" spans="3:3" ht="15.75" customHeight="1" x14ac:dyDescent="0.2">
      <c r="C388" s="6"/>
    </row>
    <row r="389" spans="3:3" ht="15.75" customHeight="1" x14ac:dyDescent="0.2">
      <c r="C389" s="6"/>
    </row>
    <row r="390" spans="3:3" ht="15.75" customHeight="1" x14ac:dyDescent="0.2">
      <c r="C390" s="6"/>
    </row>
    <row r="391" spans="3:3" ht="15.75" customHeight="1" x14ac:dyDescent="0.2">
      <c r="C391" s="6"/>
    </row>
    <row r="392" spans="3:3" ht="15.75" customHeight="1" x14ac:dyDescent="0.2">
      <c r="C392" s="6"/>
    </row>
    <row r="393" spans="3:3" ht="15.75" customHeight="1" x14ac:dyDescent="0.2">
      <c r="C393" s="6"/>
    </row>
    <row r="394" spans="3:3" ht="15.75" customHeight="1" x14ac:dyDescent="0.2">
      <c r="C394" s="6"/>
    </row>
    <row r="395" spans="3:3" ht="15.75" customHeight="1" x14ac:dyDescent="0.2">
      <c r="C395" s="6"/>
    </row>
    <row r="396" spans="3:3" ht="15.75" customHeight="1" x14ac:dyDescent="0.2">
      <c r="C396" s="6"/>
    </row>
    <row r="397" spans="3:3" ht="15.75" customHeight="1" x14ac:dyDescent="0.2">
      <c r="C397" s="6"/>
    </row>
    <row r="398" spans="3:3" ht="15.75" customHeight="1" x14ac:dyDescent="0.2">
      <c r="C398" s="6"/>
    </row>
    <row r="399" spans="3:3" ht="15.75" customHeight="1" x14ac:dyDescent="0.2">
      <c r="C399" s="6"/>
    </row>
    <row r="400" spans="3:3" ht="15.75" customHeight="1" x14ac:dyDescent="0.2">
      <c r="C400" s="6"/>
    </row>
    <row r="401" spans="3:3" ht="15.75" customHeight="1" x14ac:dyDescent="0.2">
      <c r="C401" s="6"/>
    </row>
    <row r="402" spans="3:3" ht="15.75" customHeight="1" x14ac:dyDescent="0.2">
      <c r="C402" s="6"/>
    </row>
    <row r="403" spans="3:3" ht="15.75" customHeight="1" x14ac:dyDescent="0.2">
      <c r="C403" s="6"/>
    </row>
    <row r="404" spans="3:3" ht="15.75" customHeight="1" x14ac:dyDescent="0.2">
      <c r="C404" s="6"/>
    </row>
    <row r="405" spans="3:3" ht="15.75" customHeight="1" x14ac:dyDescent="0.2">
      <c r="C405" s="6"/>
    </row>
    <row r="406" spans="3:3" ht="15.75" customHeight="1" x14ac:dyDescent="0.2">
      <c r="C406" s="6"/>
    </row>
    <row r="407" spans="3:3" ht="15.75" customHeight="1" x14ac:dyDescent="0.2">
      <c r="C407" s="6"/>
    </row>
    <row r="408" spans="3:3" ht="15.75" customHeight="1" x14ac:dyDescent="0.2">
      <c r="C408" s="6"/>
    </row>
    <row r="409" spans="3:3" ht="15.75" customHeight="1" x14ac:dyDescent="0.2">
      <c r="C409" s="6"/>
    </row>
    <row r="410" spans="3:3" ht="15.75" customHeight="1" x14ac:dyDescent="0.2">
      <c r="C410" s="6"/>
    </row>
    <row r="411" spans="3:3" ht="15.75" customHeight="1" x14ac:dyDescent="0.2">
      <c r="C411" s="6"/>
    </row>
    <row r="412" spans="3:3" ht="15.75" customHeight="1" x14ac:dyDescent="0.2">
      <c r="C412" s="6"/>
    </row>
    <row r="413" spans="3:3" ht="15.75" customHeight="1" x14ac:dyDescent="0.2">
      <c r="C413" s="6"/>
    </row>
    <row r="414" spans="3:3" ht="15.75" customHeight="1" x14ac:dyDescent="0.2">
      <c r="C414" s="6"/>
    </row>
    <row r="415" spans="3:3" ht="15.75" customHeight="1" x14ac:dyDescent="0.2">
      <c r="C415" s="6"/>
    </row>
    <row r="416" spans="3:3" ht="15.75" customHeight="1" x14ac:dyDescent="0.2">
      <c r="C416" s="6"/>
    </row>
    <row r="417" spans="3:3" ht="15.75" customHeight="1" x14ac:dyDescent="0.2">
      <c r="C417" s="6"/>
    </row>
    <row r="418" spans="3:3" ht="15.75" customHeight="1" x14ac:dyDescent="0.2">
      <c r="C418" s="6"/>
    </row>
    <row r="419" spans="3:3" ht="15.75" customHeight="1" x14ac:dyDescent="0.2">
      <c r="C419" s="6"/>
    </row>
    <row r="420" spans="3:3" ht="15.75" customHeight="1" x14ac:dyDescent="0.2">
      <c r="C420" s="6"/>
    </row>
    <row r="421" spans="3:3" ht="15.75" customHeight="1" x14ac:dyDescent="0.2">
      <c r="C421" s="6"/>
    </row>
    <row r="422" spans="3:3" ht="15.75" customHeight="1" x14ac:dyDescent="0.2">
      <c r="C422" s="6"/>
    </row>
    <row r="423" spans="3:3" ht="15.75" customHeight="1" x14ac:dyDescent="0.2">
      <c r="C423" s="6"/>
    </row>
    <row r="424" spans="3:3" ht="15.75" customHeight="1" x14ac:dyDescent="0.2">
      <c r="C424" s="6"/>
    </row>
    <row r="425" spans="3:3" ht="15.75" customHeight="1" x14ac:dyDescent="0.2">
      <c r="C425" s="6"/>
    </row>
    <row r="426" spans="3:3" ht="15.75" customHeight="1" x14ac:dyDescent="0.2">
      <c r="C426" s="6"/>
    </row>
    <row r="427" spans="3:3" ht="15.75" customHeight="1" x14ac:dyDescent="0.2">
      <c r="C427" s="6"/>
    </row>
    <row r="428" spans="3:3" ht="15.75" customHeight="1" x14ac:dyDescent="0.2">
      <c r="C428" s="6"/>
    </row>
    <row r="429" spans="3:3" ht="15.75" customHeight="1" x14ac:dyDescent="0.2">
      <c r="C429" s="6"/>
    </row>
    <row r="430" spans="3:3" ht="15.75" customHeight="1" x14ac:dyDescent="0.2">
      <c r="C430" s="6"/>
    </row>
    <row r="431" spans="3:3" ht="15.75" customHeight="1" x14ac:dyDescent="0.2">
      <c r="C431" s="6"/>
    </row>
    <row r="432" spans="3:3" ht="15.75" customHeight="1" x14ac:dyDescent="0.2">
      <c r="C432" s="6"/>
    </row>
    <row r="433" spans="3:3" ht="15.75" customHeight="1" x14ac:dyDescent="0.2">
      <c r="C433" s="6"/>
    </row>
    <row r="434" spans="3:3" ht="15.75" customHeight="1" x14ac:dyDescent="0.2">
      <c r="C434" s="6"/>
    </row>
    <row r="435" spans="3:3" ht="15.75" customHeight="1" x14ac:dyDescent="0.2">
      <c r="C435" s="6"/>
    </row>
    <row r="436" spans="3:3" ht="15.75" customHeight="1" x14ac:dyDescent="0.2">
      <c r="C436" s="6"/>
    </row>
    <row r="437" spans="3:3" ht="15.75" customHeight="1" x14ac:dyDescent="0.2">
      <c r="C437" s="6"/>
    </row>
    <row r="438" spans="3:3" ht="15.75" customHeight="1" x14ac:dyDescent="0.2">
      <c r="C438" s="6"/>
    </row>
    <row r="439" spans="3:3" ht="15.75" customHeight="1" x14ac:dyDescent="0.2">
      <c r="C439" s="6"/>
    </row>
    <row r="440" spans="3:3" ht="15.75" customHeight="1" x14ac:dyDescent="0.2">
      <c r="C440" s="6"/>
    </row>
    <row r="441" spans="3:3" ht="15.75" customHeight="1" x14ac:dyDescent="0.2">
      <c r="C441" s="6"/>
    </row>
    <row r="442" spans="3:3" ht="15.75" customHeight="1" x14ac:dyDescent="0.2">
      <c r="C442" s="6"/>
    </row>
    <row r="443" spans="3:3" ht="15.75" customHeight="1" x14ac:dyDescent="0.2">
      <c r="C443" s="6"/>
    </row>
    <row r="444" spans="3:3" ht="15.75" customHeight="1" x14ac:dyDescent="0.2">
      <c r="C444" s="6"/>
    </row>
    <row r="445" spans="3:3" ht="15.75" customHeight="1" x14ac:dyDescent="0.2">
      <c r="C445" s="6"/>
    </row>
    <row r="446" spans="3:3" ht="15.75" customHeight="1" x14ac:dyDescent="0.2">
      <c r="C446" s="6"/>
    </row>
    <row r="447" spans="3:3" ht="15.75" customHeight="1" x14ac:dyDescent="0.2">
      <c r="C447" s="6"/>
    </row>
    <row r="448" spans="3:3" ht="15.75" customHeight="1" x14ac:dyDescent="0.2">
      <c r="C448" s="6"/>
    </row>
    <row r="449" spans="3:3" ht="15.75" customHeight="1" x14ac:dyDescent="0.2">
      <c r="C449" s="6"/>
    </row>
    <row r="450" spans="3:3" ht="15.75" customHeight="1" x14ac:dyDescent="0.2">
      <c r="C450" s="6"/>
    </row>
    <row r="451" spans="3:3" ht="15.75" customHeight="1" x14ac:dyDescent="0.2">
      <c r="C451" s="6"/>
    </row>
    <row r="452" spans="3:3" ht="15.75" customHeight="1" x14ac:dyDescent="0.2">
      <c r="C452" s="6"/>
    </row>
    <row r="453" spans="3:3" ht="15.75" customHeight="1" x14ac:dyDescent="0.2">
      <c r="C453" s="6"/>
    </row>
    <row r="454" spans="3:3" ht="15.75" customHeight="1" x14ac:dyDescent="0.2">
      <c r="C454" s="6"/>
    </row>
    <row r="455" spans="3:3" ht="15.75" customHeight="1" x14ac:dyDescent="0.2">
      <c r="C455" s="6"/>
    </row>
    <row r="456" spans="3:3" ht="15.75" customHeight="1" x14ac:dyDescent="0.2">
      <c r="C456" s="6"/>
    </row>
    <row r="457" spans="3:3" ht="15.75" customHeight="1" x14ac:dyDescent="0.2">
      <c r="C457" s="6"/>
    </row>
    <row r="458" spans="3:3" ht="15.75" customHeight="1" x14ac:dyDescent="0.2">
      <c r="C458" s="6"/>
    </row>
    <row r="459" spans="3:3" ht="15.75" customHeight="1" x14ac:dyDescent="0.2">
      <c r="C459" s="6"/>
    </row>
    <row r="460" spans="3:3" ht="15.75" customHeight="1" x14ac:dyDescent="0.2">
      <c r="C460" s="6"/>
    </row>
    <row r="461" spans="3:3" ht="15.75" customHeight="1" x14ac:dyDescent="0.2">
      <c r="C461" s="6"/>
    </row>
    <row r="462" spans="3:3" ht="15.75" customHeight="1" x14ac:dyDescent="0.2">
      <c r="C462" s="6"/>
    </row>
    <row r="463" spans="3:3" ht="15.75" customHeight="1" x14ac:dyDescent="0.2">
      <c r="C463" s="6"/>
    </row>
    <row r="464" spans="3:3" ht="15.75" customHeight="1" x14ac:dyDescent="0.2">
      <c r="C464" s="6"/>
    </row>
    <row r="465" spans="3:3" ht="15.75" customHeight="1" x14ac:dyDescent="0.2">
      <c r="C465" s="6"/>
    </row>
    <row r="466" spans="3:3" ht="15.75" customHeight="1" x14ac:dyDescent="0.2">
      <c r="C466" s="6"/>
    </row>
    <row r="467" spans="3:3" ht="15.75" customHeight="1" x14ac:dyDescent="0.2">
      <c r="C467" s="6"/>
    </row>
    <row r="468" spans="3:3" ht="15.75" customHeight="1" x14ac:dyDescent="0.2">
      <c r="C468" s="6"/>
    </row>
    <row r="469" spans="3:3" ht="15.75" customHeight="1" x14ac:dyDescent="0.2">
      <c r="C469" s="6"/>
    </row>
    <row r="470" spans="3:3" ht="15.75" customHeight="1" x14ac:dyDescent="0.2">
      <c r="C470" s="6"/>
    </row>
    <row r="471" spans="3:3" ht="15.75" customHeight="1" x14ac:dyDescent="0.2">
      <c r="C471" s="6"/>
    </row>
    <row r="472" spans="3:3" ht="15.75" customHeight="1" x14ac:dyDescent="0.2">
      <c r="C472" s="6"/>
    </row>
    <row r="473" spans="3:3" ht="15.75" customHeight="1" x14ac:dyDescent="0.2">
      <c r="C473" s="6"/>
    </row>
    <row r="474" spans="3:3" ht="15.75" customHeight="1" x14ac:dyDescent="0.2">
      <c r="C474" s="6"/>
    </row>
    <row r="475" spans="3:3" ht="15.75" customHeight="1" x14ac:dyDescent="0.2">
      <c r="C475" s="6"/>
    </row>
    <row r="476" spans="3:3" ht="15.75" customHeight="1" x14ac:dyDescent="0.2">
      <c r="C476" s="6"/>
    </row>
    <row r="477" spans="3:3" ht="15.75" customHeight="1" x14ac:dyDescent="0.2">
      <c r="C477" s="6"/>
    </row>
    <row r="478" spans="3:3" ht="15.75" customHeight="1" x14ac:dyDescent="0.2">
      <c r="C478" s="6"/>
    </row>
    <row r="479" spans="3:3" ht="15.75" customHeight="1" x14ac:dyDescent="0.2">
      <c r="C479" s="6"/>
    </row>
    <row r="480" spans="3:3" ht="15.75" customHeight="1" x14ac:dyDescent="0.2">
      <c r="C480" s="6"/>
    </row>
    <row r="481" spans="3:3" ht="15.75" customHeight="1" x14ac:dyDescent="0.2">
      <c r="C481" s="6"/>
    </row>
    <row r="482" spans="3:3" ht="15.75" customHeight="1" x14ac:dyDescent="0.2">
      <c r="C482" s="6"/>
    </row>
    <row r="483" spans="3:3" ht="15.75" customHeight="1" x14ac:dyDescent="0.2">
      <c r="C483" s="6"/>
    </row>
    <row r="484" spans="3:3" ht="15.75" customHeight="1" x14ac:dyDescent="0.2">
      <c r="C484" s="6"/>
    </row>
    <row r="485" spans="3:3" ht="15.75" customHeight="1" x14ac:dyDescent="0.2">
      <c r="C485" s="6"/>
    </row>
    <row r="486" spans="3:3" ht="15.75" customHeight="1" x14ac:dyDescent="0.2">
      <c r="C486" s="6"/>
    </row>
    <row r="487" spans="3:3" ht="15.75" customHeight="1" x14ac:dyDescent="0.2">
      <c r="C487" s="6"/>
    </row>
    <row r="488" spans="3:3" ht="15.75" customHeight="1" x14ac:dyDescent="0.2">
      <c r="C488" s="6"/>
    </row>
    <row r="489" spans="3:3" ht="15.75" customHeight="1" x14ac:dyDescent="0.2">
      <c r="C489" s="6"/>
    </row>
    <row r="490" spans="3:3" ht="15.75" customHeight="1" x14ac:dyDescent="0.2">
      <c r="C490" s="6"/>
    </row>
    <row r="491" spans="3:3" ht="15.75" customHeight="1" x14ac:dyDescent="0.2">
      <c r="C491" s="6"/>
    </row>
    <row r="492" spans="3:3" ht="15.75" customHeight="1" x14ac:dyDescent="0.2">
      <c r="C492" s="6"/>
    </row>
    <row r="493" spans="3:3" ht="15.75" customHeight="1" x14ac:dyDescent="0.2">
      <c r="C493" s="6"/>
    </row>
    <row r="494" spans="3:3" ht="15.75" customHeight="1" x14ac:dyDescent="0.2">
      <c r="C494" s="6"/>
    </row>
    <row r="495" spans="3:3" ht="15.75" customHeight="1" x14ac:dyDescent="0.2">
      <c r="C495" s="6"/>
    </row>
    <row r="496" spans="3:3" ht="15.75" customHeight="1" x14ac:dyDescent="0.2">
      <c r="C496" s="6"/>
    </row>
    <row r="497" spans="3:3" ht="15.75" customHeight="1" x14ac:dyDescent="0.2">
      <c r="C497" s="6"/>
    </row>
    <row r="498" spans="3:3" ht="15.75" customHeight="1" x14ac:dyDescent="0.2">
      <c r="C498" s="6"/>
    </row>
    <row r="499" spans="3:3" ht="15.75" customHeight="1" x14ac:dyDescent="0.2">
      <c r="C499" s="6"/>
    </row>
    <row r="500" spans="3:3" ht="15.75" customHeight="1" x14ac:dyDescent="0.2">
      <c r="C500" s="6"/>
    </row>
    <row r="501" spans="3:3" ht="15.75" customHeight="1" x14ac:dyDescent="0.2">
      <c r="C501" s="6"/>
    </row>
    <row r="502" spans="3:3" ht="15.75" customHeight="1" x14ac:dyDescent="0.2">
      <c r="C502" s="6"/>
    </row>
    <row r="503" spans="3:3" ht="15.75" customHeight="1" x14ac:dyDescent="0.2">
      <c r="C503" s="6"/>
    </row>
    <row r="504" spans="3:3" ht="15.75" customHeight="1" x14ac:dyDescent="0.2">
      <c r="C504" s="6"/>
    </row>
    <row r="505" spans="3:3" ht="15.75" customHeight="1" x14ac:dyDescent="0.2">
      <c r="C505" s="6"/>
    </row>
    <row r="506" spans="3:3" ht="15.75" customHeight="1" x14ac:dyDescent="0.2">
      <c r="C506" s="6"/>
    </row>
    <row r="507" spans="3:3" ht="15.75" customHeight="1" x14ac:dyDescent="0.2">
      <c r="C507" s="6"/>
    </row>
    <row r="508" spans="3:3" ht="15.75" customHeight="1" x14ac:dyDescent="0.2">
      <c r="C508" s="6"/>
    </row>
    <row r="509" spans="3:3" ht="15.75" customHeight="1" x14ac:dyDescent="0.2">
      <c r="C509" s="6"/>
    </row>
    <row r="510" spans="3:3" ht="15.75" customHeight="1" x14ac:dyDescent="0.2">
      <c r="C510" s="6"/>
    </row>
    <row r="511" spans="3:3" ht="15.75" customHeight="1" x14ac:dyDescent="0.2">
      <c r="C511" s="6"/>
    </row>
    <row r="512" spans="3:3" ht="15.75" customHeight="1" x14ac:dyDescent="0.2">
      <c r="C512" s="6"/>
    </row>
    <row r="513" spans="3:3" ht="15.75" customHeight="1" x14ac:dyDescent="0.2">
      <c r="C513" s="6"/>
    </row>
    <row r="514" spans="3:3" ht="15.75" customHeight="1" x14ac:dyDescent="0.2">
      <c r="C514" s="6"/>
    </row>
    <row r="515" spans="3:3" ht="15.75" customHeight="1" x14ac:dyDescent="0.2">
      <c r="C515" s="6"/>
    </row>
    <row r="516" spans="3:3" ht="15.75" customHeight="1" x14ac:dyDescent="0.2">
      <c r="C516" s="6"/>
    </row>
    <row r="517" spans="3:3" ht="15.75" customHeight="1" x14ac:dyDescent="0.2">
      <c r="C517" s="6"/>
    </row>
    <row r="518" spans="3:3" ht="15.75" customHeight="1" x14ac:dyDescent="0.2">
      <c r="C518" s="6"/>
    </row>
    <row r="519" spans="3:3" ht="15.75" customHeight="1" x14ac:dyDescent="0.2">
      <c r="C519" s="6"/>
    </row>
    <row r="520" spans="3:3" ht="15.75" customHeight="1" x14ac:dyDescent="0.2">
      <c r="C520" s="6"/>
    </row>
    <row r="521" spans="3:3" ht="15.75" customHeight="1" x14ac:dyDescent="0.2">
      <c r="C521" s="6"/>
    </row>
    <row r="522" spans="3:3" ht="15.75" customHeight="1" x14ac:dyDescent="0.2">
      <c r="C522" s="6"/>
    </row>
    <row r="523" spans="3:3" ht="15.75" customHeight="1" x14ac:dyDescent="0.2">
      <c r="C523" s="6"/>
    </row>
    <row r="524" spans="3:3" ht="15.75" customHeight="1" x14ac:dyDescent="0.2">
      <c r="C524" s="6"/>
    </row>
    <row r="525" spans="3:3" ht="15.75" customHeight="1" x14ac:dyDescent="0.2">
      <c r="C525" s="6"/>
    </row>
    <row r="526" spans="3:3" ht="15.75" customHeight="1" x14ac:dyDescent="0.2">
      <c r="C526" s="6"/>
    </row>
    <row r="527" spans="3:3" ht="15.75" customHeight="1" x14ac:dyDescent="0.2">
      <c r="C527" s="6"/>
    </row>
    <row r="528" spans="3:3" ht="15.75" customHeight="1" x14ac:dyDescent="0.2">
      <c r="C528" s="6"/>
    </row>
    <row r="529" spans="3:3" ht="15.75" customHeight="1" x14ac:dyDescent="0.2">
      <c r="C529" s="6"/>
    </row>
    <row r="530" spans="3:3" ht="15.75" customHeight="1" x14ac:dyDescent="0.2">
      <c r="C530" s="6"/>
    </row>
    <row r="531" spans="3:3" ht="15.75" customHeight="1" x14ac:dyDescent="0.2">
      <c r="C531" s="6"/>
    </row>
    <row r="532" spans="3:3" ht="15.75" customHeight="1" x14ac:dyDescent="0.2">
      <c r="C532" s="6"/>
    </row>
    <row r="533" spans="3:3" ht="15.75" customHeight="1" x14ac:dyDescent="0.2">
      <c r="C533" s="6"/>
    </row>
    <row r="534" spans="3:3" ht="15.75" customHeight="1" x14ac:dyDescent="0.2">
      <c r="C534" s="6"/>
    </row>
    <row r="535" spans="3:3" ht="15.75" customHeight="1" x14ac:dyDescent="0.2">
      <c r="C535" s="6"/>
    </row>
    <row r="536" spans="3:3" ht="15.75" customHeight="1" x14ac:dyDescent="0.2">
      <c r="C536" s="6"/>
    </row>
    <row r="537" spans="3:3" ht="15.75" customHeight="1" x14ac:dyDescent="0.2">
      <c r="C537" s="6"/>
    </row>
    <row r="538" spans="3:3" ht="15.75" customHeight="1" x14ac:dyDescent="0.2">
      <c r="C538" s="6"/>
    </row>
    <row r="539" spans="3:3" ht="15.75" customHeight="1" x14ac:dyDescent="0.2">
      <c r="C539" s="6"/>
    </row>
    <row r="540" spans="3:3" ht="15.75" customHeight="1" x14ac:dyDescent="0.2">
      <c r="C540" s="6"/>
    </row>
    <row r="541" spans="3:3" ht="15.75" customHeight="1" x14ac:dyDescent="0.2">
      <c r="C541" s="6"/>
    </row>
    <row r="542" spans="3:3" ht="15.75" customHeight="1" x14ac:dyDescent="0.2">
      <c r="C542" s="6"/>
    </row>
    <row r="543" spans="3:3" ht="15.75" customHeight="1" x14ac:dyDescent="0.2">
      <c r="C543" s="6"/>
    </row>
    <row r="544" spans="3:3" ht="15.75" customHeight="1" x14ac:dyDescent="0.2">
      <c r="C544" s="6"/>
    </row>
    <row r="545" spans="3:3" ht="15.75" customHeight="1" x14ac:dyDescent="0.2">
      <c r="C545" s="6"/>
    </row>
    <row r="546" spans="3:3" ht="15.75" customHeight="1" x14ac:dyDescent="0.2">
      <c r="C546" s="6"/>
    </row>
    <row r="547" spans="3:3" ht="15.75" customHeight="1" x14ac:dyDescent="0.2">
      <c r="C547" s="6"/>
    </row>
    <row r="548" spans="3:3" ht="15.75" customHeight="1" x14ac:dyDescent="0.2">
      <c r="C548" s="6"/>
    </row>
    <row r="549" spans="3:3" ht="15.75" customHeight="1" x14ac:dyDescent="0.2">
      <c r="C549" s="6"/>
    </row>
    <row r="550" spans="3:3" ht="15.75" customHeight="1" x14ac:dyDescent="0.2">
      <c r="C550" s="6"/>
    </row>
    <row r="551" spans="3:3" ht="15.75" customHeight="1" x14ac:dyDescent="0.2">
      <c r="C551" s="6"/>
    </row>
    <row r="552" spans="3:3" ht="15.75" customHeight="1" x14ac:dyDescent="0.2">
      <c r="C552" s="6"/>
    </row>
    <row r="553" spans="3:3" ht="15.75" customHeight="1" x14ac:dyDescent="0.2">
      <c r="C553" s="6"/>
    </row>
    <row r="554" spans="3:3" ht="15.75" customHeight="1" x14ac:dyDescent="0.2">
      <c r="C554" s="6"/>
    </row>
    <row r="555" spans="3:3" ht="15.75" customHeight="1" x14ac:dyDescent="0.2">
      <c r="C555" s="6"/>
    </row>
    <row r="556" spans="3:3" ht="15.75" customHeight="1" x14ac:dyDescent="0.2">
      <c r="C556" s="6"/>
    </row>
    <row r="557" spans="3:3" ht="15.75" customHeight="1" x14ac:dyDescent="0.2">
      <c r="C557" s="6"/>
    </row>
    <row r="558" spans="3:3" ht="15.75" customHeight="1" x14ac:dyDescent="0.2">
      <c r="C558" s="6"/>
    </row>
    <row r="559" spans="3:3" ht="15.75" customHeight="1" x14ac:dyDescent="0.2">
      <c r="C559" s="6"/>
    </row>
    <row r="560" spans="3:3" ht="15.75" customHeight="1" x14ac:dyDescent="0.2">
      <c r="C560" s="6"/>
    </row>
    <row r="561" spans="3:3" ht="15.75" customHeight="1" x14ac:dyDescent="0.2">
      <c r="C561" s="6"/>
    </row>
    <row r="562" spans="3:3" ht="15.75" customHeight="1" x14ac:dyDescent="0.2">
      <c r="C562" s="6"/>
    </row>
    <row r="563" spans="3:3" ht="15.75" customHeight="1" x14ac:dyDescent="0.2">
      <c r="C563" s="6"/>
    </row>
    <row r="564" spans="3:3" ht="15.75" customHeight="1" x14ac:dyDescent="0.2">
      <c r="C564" s="6"/>
    </row>
    <row r="565" spans="3:3" ht="15.75" customHeight="1" x14ac:dyDescent="0.2">
      <c r="C565" s="6"/>
    </row>
    <row r="566" spans="3:3" ht="15.75" customHeight="1" x14ac:dyDescent="0.2">
      <c r="C566" s="6"/>
    </row>
    <row r="567" spans="3:3" ht="15.75" customHeight="1" x14ac:dyDescent="0.2">
      <c r="C567" s="6"/>
    </row>
    <row r="568" spans="3:3" ht="15.75" customHeight="1" x14ac:dyDescent="0.2">
      <c r="C568" s="6"/>
    </row>
    <row r="569" spans="3:3" ht="15.75" customHeight="1" x14ac:dyDescent="0.2">
      <c r="C569" s="6"/>
    </row>
    <row r="570" spans="3:3" ht="15.75" customHeight="1" x14ac:dyDescent="0.2">
      <c r="C570" s="6"/>
    </row>
    <row r="571" spans="3:3" ht="15.75" customHeight="1" x14ac:dyDescent="0.2">
      <c r="C571" s="6"/>
    </row>
    <row r="572" spans="3:3" ht="15.75" customHeight="1" x14ac:dyDescent="0.2">
      <c r="C572" s="6"/>
    </row>
    <row r="573" spans="3:3" ht="15.75" customHeight="1" x14ac:dyDescent="0.2">
      <c r="C573" s="6"/>
    </row>
    <row r="574" spans="3:3" ht="15.75" customHeight="1" x14ac:dyDescent="0.2">
      <c r="C574" s="6"/>
    </row>
    <row r="575" spans="3:3" ht="15.75" customHeight="1" x14ac:dyDescent="0.2">
      <c r="C575" s="6"/>
    </row>
    <row r="576" spans="3:3" ht="15.75" customHeight="1" x14ac:dyDescent="0.2">
      <c r="C576" s="6"/>
    </row>
    <row r="577" spans="3:3" ht="15.75" customHeight="1" x14ac:dyDescent="0.2">
      <c r="C577" s="6"/>
    </row>
    <row r="578" spans="3:3" ht="15.75" customHeight="1" x14ac:dyDescent="0.2">
      <c r="C578" s="6"/>
    </row>
    <row r="579" spans="3:3" ht="15.75" customHeight="1" x14ac:dyDescent="0.2">
      <c r="C579" s="6"/>
    </row>
    <row r="580" spans="3:3" ht="15.75" customHeight="1" x14ac:dyDescent="0.2">
      <c r="C580" s="6"/>
    </row>
    <row r="581" spans="3:3" ht="15.75" customHeight="1" x14ac:dyDescent="0.2">
      <c r="C581" s="6"/>
    </row>
    <row r="582" spans="3:3" ht="15.75" customHeight="1" x14ac:dyDescent="0.2">
      <c r="C582" s="6"/>
    </row>
    <row r="583" spans="3:3" ht="15.75" customHeight="1" x14ac:dyDescent="0.2">
      <c r="C583" s="6"/>
    </row>
    <row r="584" spans="3:3" ht="15.75" customHeight="1" x14ac:dyDescent="0.2">
      <c r="C584" s="6"/>
    </row>
    <row r="585" spans="3:3" ht="15.75" customHeight="1" x14ac:dyDescent="0.2">
      <c r="C585" s="6"/>
    </row>
    <row r="586" spans="3:3" ht="15.75" customHeight="1" x14ac:dyDescent="0.2">
      <c r="C586" s="6"/>
    </row>
    <row r="587" spans="3:3" ht="15.75" customHeight="1" x14ac:dyDescent="0.2">
      <c r="C587" s="6"/>
    </row>
    <row r="588" spans="3:3" ht="15.75" customHeight="1" x14ac:dyDescent="0.2">
      <c r="C588" s="6"/>
    </row>
    <row r="589" spans="3:3" ht="15.75" customHeight="1" x14ac:dyDescent="0.2">
      <c r="C589" s="6"/>
    </row>
    <row r="590" spans="3:3" ht="15.75" customHeight="1" x14ac:dyDescent="0.2">
      <c r="C590" s="6"/>
    </row>
    <row r="591" spans="3:3" ht="15.75" customHeight="1" x14ac:dyDescent="0.2">
      <c r="C591" s="6"/>
    </row>
    <row r="592" spans="3:3" ht="15.75" customHeight="1" x14ac:dyDescent="0.2">
      <c r="C592" s="6"/>
    </row>
    <row r="593" spans="3:3" ht="15.75" customHeight="1" x14ac:dyDescent="0.2">
      <c r="C593" s="6"/>
    </row>
    <row r="594" spans="3:3" ht="15.75" customHeight="1" x14ac:dyDescent="0.2">
      <c r="C594" s="6"/>
    </row>
    <row r="595" spans="3:3" ht="15.75" customHeight="1" x14ac:dyDescent="0.2">
      <c r="C595" s="6"/>
    </row>
    <row r="596" spans="3:3" ht="15.75" customHeight="1" x14ac:dyDescent="0.2">
      <c r="C596" s="6"/>
    </row>
    <row r="597" spans="3:3" ht="15.75" customHeight="1" x14ac:dyDescent="0.2">
      <c r="C597" s="6"/>
    </row>
    <row r="598" spans="3:3" ht="15.75" customHeight="1" x14ac:dyDescent="0.2">
      <c r="C598" s="6"/>
    </row>
    <row r="599" spans="3:3" ht="15.75" customHeight="1" x14ac:dyDescent="0.2">
      <c r="C599" s="6"/>
    </row>
    <row r="600" spans="3:3" ht="15.75" customHeight="1" x14ac:dyDescent="0.2">
      <c r="C600" s="6"/>
    </row>
    <row r="601" spans="3:3" ht="15.75" customHeight="1" x14ac:dyDescent="0.2">
      <c r="C601" s="6"/>
    </row>
    <row r="602" spans="3:3" ht="15.75" customHeight="1" x14ac:dyDescent="0.2">
      <c r="C602" s="6"/>
    </row>
    <row r="603" spans="3:3" ht="15.75" customHeight="1" x14ac:dyDescent="0.2">
      <c r="C603" s="6"/>
    </row>
    <row r="604" spans="3:3" ht="15.75" customHeight="1" x14ac:dyDescent="0.2">
      <c r="C604" s="6"/>
    </row>
    <row r="605" spans="3:3" ht="15.75" customHeight="1" x14ac:dyDescent="0.2">
      <c r="C605" s="6"/>
    </row>
    <row r="606" spans="3:3" ht="15.75" customHeight="1" x14ac:dyDescent="0.2">
      <c r="C606" s="6"/>
    </row>
    <row r="607" spans="3:3" ht="15.75" customHeight="1" x14ac:dyDescent="0.2">
      <c r="C607" s="6"/>
    </row>
    <row r="608" spans="3:3" ht="15.75" customHeight="1" x14ac:dyDescent="0.2">
      <c r="C608" s="6"/>
    </row>
    <row r="609" spans="3:3" ht="15.75" customHeight="1" x14ac:dyDescent="0.2">
      <c r="C609" s="6"/>
    </row>
    <row r="610" spans="3:3" ht="15.75" customHeight="1" x14ac:dyDescent="0.2">
      <c r="C610" s="6"/>
    </row>
    <row r="611" spans="3:3" ht="15.75" customHeight="1" x14ac:dyDescent="0.2">
      <c r="C611" s="6"/>
    </row>
    <row r="612" spans="3:3" ht="15.75" customHeight="1" x14ac:dyDescent="0.2">
      <c r="C612" s="6"/>
    </row>
    <row r="613" spans="3:3" ht="15.75" customHeight="1" x14ac:dyDescent="0.2">
      <c r="C613" s="6"/>
    </row>
    <row r="614" spans="3:3" ht="15.75" customHeight="1" x14ac:dyDescent="0.2">
      <c r="C614" s="6"/>
    </row>
    <row r="615" spans="3:3" ht="15.75" customHeight="1" x14ac:dyDescent="0.2">
      <c r="C615" s="6"/>
    </row>
    <row r="616" spans="3:3" ht="15.75" customHeight="1" x14ac:dyDescent="0.2">
      <c r="C616" s="6"/>
    </row>
    <row r="617" spans="3:3" ht="15.75" customHeight="1" x14ac:dyDescent="0.2">
      <c r="C617" s="6"/>
    </row>
    <row r="618" spans="3:3" ht="15.75" customHeight="1" x14ac:dyDescent="0.2">
      <c r="C618" s="6"/>
    </row>
    <row r="619" spans="3:3" ht="15.75" customHeight="1" x14ac:dyDescent="0.2">
      <c r="C619" s="6"/>
    </row>
    <row r="620" spans="3:3" ht="15.75" customHeight="1" x14ac:dyDescent="0.2">
      <c r="C620" s="6"/>
    </row>
    <row r="621" spans="3:3" ht="15.75" customHeight="1" x14ac:dyDescent="0.2">
      <c r="C621" s="6"/>
    </row>
    <row r="622" spans="3:3" ht="15.75" customHeight="1" x14ac:dyDescent="0.2">
      <c r="C622" s="6"/>
    </row>
    <row r="623" spans="3:3" ht="15.75" customHeight="1" x14ac:dyDescent="0.2">
      <c r="C623" s="6"/>
    </row>
    <row r="624" spans="3:3" ht="15.75" customHeight="1" x14ac:dyDescent="0.2">
      <c r="C624" s="6"/>
    </row>
    <row r="625" spans="3:3" ht="15.75" customHeight="1" x14ac:dyDescent="0.2">
      <c r="C625" s="6"/>
    </row>
    <row r="626" spans="3:3" ht="15.75" customHeight="1" x14ac:dyDescent="0.2">
      <c r="C626" s="6"/>
    </row>
    <row r="627" spans="3:3" ht="15.75" customHeight="1" x14ac:dyDescent="0.2">
      <c r="C627" s="6"/>
    </row>
    <row r="628" spans="3:3" ht="15.75" customHeight="1" x14ac:dyDescent="0.2">
      <c r="C628" s="6"/>
    </row>
    <row r="629" spans="3:3" ht="15.75" customHeight="1" x14ac:dyDescent="0.2">
      <c r="C629" s="6"/>
    </row>
    <row r="630" spans="3:3" ht="15.75" customHeight="1" x14ac:dyDescent="0.2">
      <c r="C630" s="6"/>
    </row>
    <row r="631" spans="3:3" ht="15.75" customHeight="1" x14ac:dyDescent="0.2">
      <c r="C631" s="6"/>
    </row>
    <row r="632" spans="3:3" ht="15.75" customHeight="1" x14ac:dyDescent="0.2">
      <c r="C632" s="6"/>
    </row>
    <row r="633" spans="3:3" ht="15.75" customHeight="1" x14ac:dyDescent="0.2">
      <c r="C633" s="6"/>
    </row>
    <row r="634" spans="3:3" ht="15.75" customHeight="1" x14ac:dyDescent="0.2">
      <c r="C634" s="6"/>
    </row>
    <row r="635" spans="3:3" ht="15.75" customHeight="1" x14ac:dyDescent="0.2">
      <c r="C635" s="6"/>
    </row>
    <row r="636" spans="3:3" ht="15.75" customHeight="1" x14ac:dyDescent="0.2">
      <c r="C636" s="6"/>
    </row>
    <row r="637" spans="3:3" ht="15.75" customHeight="1" x14ac:dyDescent="0.2">
      <c r="C637" s="6"/>
    </row>
    <row r="638" spans="3:3" ht="15.75" customHeight="1" x14ac:dyDescent="0.2">
      <c r="C638" s="6"/>
    </row>
    <row r="639" spans="3:3" ht="15.75" customHeight="1" x14ac:dyDescent="0.2">
      <c r="C639" s="6"/>
    </row>
    <row r="640" spans="3:3" ht="15.75" customHeight="1" x14ac:dyDescent="0.2">
      <c r="C640" s="6"/>
    </row>
    <row r="641" spans="3:3" ht="15.75" customHeight="1" x14ac:dyDescent="0.2">
      <c r="C641" s="6"/>
    </row>
    <row r="642" spans="3:3" ht="15.75" customHeight="1" x14ac:dyDescent="0.2">
      <c r="C642" s="6"/>
    </row>
    <row r="643" spans="3:3" ht="15.75" customHeight="1" x14ac:dyDescent="0.2">
      <c r="C643" s="6"/>
    </row>
    <row r="644" spans="3:3" ht="15.75" customHeight="1" x14ac:dyDescent="0.2">
      <c r="C644" s="6"/>
    </row>
    <row r="645" spans="3:3" ht="15.75" customHeight="1" x14ac:dyDescent="0.2">
      <c r="C645" s="6"/>
    </row>
    <row r="646" spans="3:3" ht="15.75" customHeight="1" x14ac:dyDescent="0.2">
      <c r="C646" s="6"/>
    </row>
    <row r="647" spans="3:3" ht="15.75" customHeight="1" x14ac:dyDescent="0.2">
      <c r="C647" s="6"/>
    </row>
    <row r="648" spans="3:3" ht="15.75" customHeight="1" x14ac:dyDescent="0.2">
      <c r="C648" s="6"/>
    </row>
    <row r="649" spans="3:3" ht="15.75" customHeight="1" x14ac:dyDescent="0.2">
      <c r="C649" s="6"/>
    </row>
    <row r="650" spans="3:3" ht="15.75" customHeight="1" x14ac:dyDescent="0.2">
      <c r="C650" s="6"/>
    </row>
    <row r="651" spans="3:3" ht="15.75" customHeight="1" x14ac:dyDescent="0.2">
      <c r="C651" s="6"/>
    </row>
    <row r="652" spans="3:3" ht="15.75" customHeight="1" x14ac:dyDescent="0.2">
      <c r="C652" s="6"/>
    </row>
    <row r="653" spans="3:3" ht="15.75" customHeight="1" x14ac:dyDescent="0.2">
      <c r="C653" s="6"/>
    </row>
    <row r="654" spans="3:3" ht="15.75" customHeight="1" x14ac:dyDescent="0.2">
      <c r="C654" s="6"/>
    </row>
    <row r="655" spans="3:3" ht="15.75" customHeight="1" x14ac:dyDescent="0.2">
      <c r="C655" s="6"/>
    </row>
    <row r="656" spans="3:3" ht="15.75" customHeight="1" x14ac:dyDescent="0.2">
      <c r="C656" s="6"/>
    </row>
    <row r="657" spans="3:3" ht="15.75" customHeight="1" x14ac:dyDescent="0.2">
      <c r="C657" s="6"/>
    </row>
    <row r="658" spans="3:3" ht="15.75" customHeight="1" x14ac:dyDescent="0.2">
      <c r="C658" s="6"/>
    </row>
    <row r="659" spans="3:3" ht="15.75" customHeight="1" x14ac:dyDescent="0.2">
      <c r="C659" s="6"/>
    </row>
    <row r="660" spans="3:3" ht="15.75" customHeight="1" x14ac:dyDescent="0.2">
      <c r="C660" s="6"/>
    </row>
    <row r="661" spans="3:3" ht="15.75" customHeight="1" x14ac:dyDescent="0.2">
      <c r="C661" s="6"/>
    </row>
    <row r="662" spans="3:3" ht="15.75" customHeight="1" x14ac:dyDescent="0.2">
      <c r="C662" s="6"/>
    </row>
    <row r="663" spans="3:3" ht="15.75" customHeight="1" x14ac:dyDescent="0.2">
      <c r="C663" s="6"/>
    </row>
    <row r="664" spans="3:3" ht="15.75" customHeight="1" x14ac:dyDescent="0.2">
      <c r="C664" s="6"/>
    </row>
    <row r="665" spans="3:3" ht="15.75" customHeight="1" x14ac:dyDescent="0.2">
      <c r="C665" s="6"/>
    </row>
    <row r="666" spans="3:3" ht="15.75" customHeight="1" x14ac:dyDescent="0.2">
      <c r="C666" s="6"/>
    </row>
    <row r="667" spans="3:3" ht="15.75" customHeight="1" x14ac:dyDescent="0.2">
      <c r="C667" s="6"/>
    </row>
    <row r="668" spans="3:3" ht="15.75" customHeight="1" x14ac:dyDescent="0.2">
      <c r="C668" s="6"/>
    </row>
    <row r="669" spans="3:3" ht="15.75" customHeight="1" x14ac:dyDescent="0.2">
      <c r="C669" s="6"/>
    </row>
    <row r="670" spans="3:3" ht="15.75" customHeight="1" x14ac:dyDescent="0.2">
      <c r="C670" s="6"/>
    </row>
    <row r="671" spans="3:3" ht="15.75" customHeight="1" x14ac:dyDescent="0.2">
      <c r="C671" s="6"/>
    </row>
    <row r="672" spans="3:3" ht="15.75" customHeight="1" x14ac:dyDescent="0.2">
      <c r="C672" s="6"/>
    </row>
    <row r="673" spans="3:3" ht="15.75" customHeight="1" x14ac:dyDescent="0.2">
      <c r="C673" s="6"/>
    </row>
    <row r="674" spans="3:3" ht="15.75" customHeight="1" x14ac:dyDescent="0.2">
      <c r="C674" s="6"/>
    </row>
    <row r="675" spans="3:3" ht="15.75" customHeight="1" x14ac:dyDescent="0.2">
      <c r="C675" s="6"/>
    </row>
    <row r="676" spans="3:3" ht="15.75" customHeight="1" x14ac:dyDescent="0.2">
      <c r="C676" s="6"/>
    </row>
    <row r="677" spans="3:3" ht="15.75" customHeight="1" x14ac:dyDescent="0.2">
      <c r="C677" s="6"/>
    </row>
    <row r="678" spans="3:3" ht="15.75" customHeight="1" x14ac:dyDescent="0.2">
      <c r="C678" s="6"/>
    </row>
    <row r="679" spans="3:3" ht="15.75" customHeight="1" x14ac:dyDescent="0.2">
      <c r="C679" s="6"/>
    </row>
    <row r="680" spans="3:3" ht="15.75" customHeight="1" x14ac:dyDescent="0.2">
      <c r="C680" s="6"/>
    </row>
    <row r="681" spans="3:3" ht="15.75" customHeight="1" x14ac:dyDescent="0.2">
      <c r="C681" s="6"/>
    </row>
    <row r="682" spans="3:3" ht="15.75" customHeight="1" x14ac:dyDescent="0.2">
      <c r="C682" s="6"/>
    </row>
    <row r="683" spans="3:3" ht="15.75" customHeight="1" x14ac:dyDescent="0.2">
      <c r="C683" s="6"/>
    </row>
    <row r="684" spans="3:3" ht="15.75" customHeight="1" x14ac:dyDescent="0.2">
      <c r="C684" s="6"/>
    </row>
    <row r="685" spans="3:3" ht="15.75" customHeight="1" x14ac:dyDescent="0.2">
      <c r="C685" s="6"/>
    </row>
    <row r="686" spans="3:3" ht="15.75" customHeight="1" x14ac:dyDescent="0.2">
      <c r="C686" s="6"/>
    </row>
    <row r="687" spans="3:3" ht="15.75" customHeight="1" x14ac:dyDescent="0.2">
      <c r="C687" s="6"/>
    </row>
    <row r="688" spans="3:3" ht="15.75" customHeight="1" x14ac:dyDescent="0.2">
      <c r="C688" s="6"/>
    </row>
    <row r="689" spans="3:3" ht="15.75" customHeight="1" x14ac:dyDescent="0.2">
      <c r="C689" s="6"/>
    </row>
    <row r="690" spans="3:3" ht="15.75" customHeight="1" x14ac:dyDescent="0.2">
      <c r="C690" s="6"/>
    </row>
    <row r="691" spans="3:3" ht="15.75" customHeight="1" x14ac:dyDescent="0.2">
      <c r="C691" s="6"/>
    </row>
    <row r="692" spans="3:3" ht="15.75" customHeight="1" x14ac:dyDescent="0.2">
      <c r="C692" s="6"/>
    </row>
    <row r="693" spans="3:3" ht="15.75" customHeight="1" x14ac:dyDescent="0.2">
      <c r="C693" s="6"/>
    </row>
    <row r="694" spans="3:3" ht="15.75" customHeight="1" x14ac:dyDescent="0.2">
      <c r="C694" s="6"/>
    </row>
    <row r="695" spans="3:3" ht="15.75" customHeight="1" x14ac:dyDescent="0.2">
      <c r="C695" s="6"/>
    </row>
    <row r="696" spans="3:3" ht="15.75" customHeight="1" x14ac:dyDescent="0.2">
      <c r="C696" s="6"/>
    </row>
    <row r="697" spans="3:3" ht="15.75" customHeight="1" x14ac:dyDescent="0.2">
      <c r="C697" s="6"/>
    </row>
    <row r="698" spans="3:3" ht="15.75" customHeight="1" x14ac:dyDescent="0.2">
      <c r="C698" s="6"/>
    </row>
    <row r="699" spans="3:3" ht="15.75" customHeight="1" x14ac:dyDescent="0.2">
      <c r="C699" s="6"/>
    </row>
    <row r="700" spans="3:3" ht="15.75" customHeight="1" x14ac:dyDescent="0.2">
      <c r="C700" s="6"/>
    </row>
    <row r="701" spans="3:3" ht="15.75" customHeight="1" x14ac:dyDescent="0.2">
      <c r="C701" s="6"/>
    </row>
    <row r="702" spans="3:3" ht="15.75" customHeight="1" x14ac:dyDescent="0.2">
      <c r="C702" s="6"/>
    </row>
    <row r="703" spans="3:3" ht="15.75" customHeight="1" x14ac:dyDescent="0.2">
      <c r="C703" s="6"/>
    </row>
    <row r="704" spans="3:3" ht="15.75" customHeight="1" x14ac:dyDescent="0.2">
      <c r="C704" s="6"/>
    </row>
    <row r="705" spans="3:3" ht="15.75" customHeight="1" x14ac:dyDescent="0.2">
      <c r="C705" s="6"/>
    </row>
    <row r="706" spans="3:3" ht="15.75" customHeight="1" x14ac:dyDescent="0.2">
      <c r="C706" s="6"/>
    </row>
    <row r="707" spans="3:3" ht="15.75" customHeight="1" x14ac:dyDescent="0.2">
      <c r="C707" s="6"/>
    </row>
    <row r="708" spans="3:3" ht="15.75" customHeight="1" x14ac:dyDescent="0.2">
      <c r="C708" s="6"/>
    </row>
    <row r="709" spans="3:3" ht="15.75" customHeight="1" x14ac:dyDescent="0.2">
      <c r="C709" s="6"/>
    </row>
    <row r="710" spans="3:3" ht="15.75" customHeight="1" x14ac:dyDescent="0.2">
      <c r="C710" s="6"/>
    </row>
    <row r="711" spans="3:3" ht="15.75" customHeight="1" x14ac:dyDescent="0.2">
      <c r="C711" s="6"/>
    </row>
    <row r="712" spans="3:3" ht="15.75" customHeight="1" x14ac:dyDescent="0.2">
      <c r="C712" s="6"/>
    </row>
    <row r="713" spans="3:3" ht="15.75" customHeight="1" x14ac:dyDescent="0.2">
      <c r="C713" s="6"/>
    </row>
    <row r="714" spans="3:3" ht="15.75" customHeight="1" x14ac:dyDescent="0.2">
      <c r="C714" s="6"/>
    </row>
    <row r="715" spans="3:3" ht="15.75" customHeight="1" x14ac:dyDescent="0.2">
      <c r="C715" s="6"/>
    </row>
    <row r="716" spans="3:3" ht="15.75" customHeight="1" x14ac:dyDescent="0.2">
      <c r="C716" s="6"/>
    </row>
    <row r="717" spans="3:3" ht="15.75" customHeight="1" x14ac:dyDescent="0.2">
      <c r="C717" s="6"/>
    </row>
    <row r="718" spans="3:3" ht="15.75" customHeight="1" x14ac:dyDescent="0.2">
      <c r="C718" s="6"/>
    </row>
    <row r="719" spans="3:3" ht="15.75" customHeight="1" x14ac:dyDescent="0.2">
      <c r="C719" s="6"/>
    </row>
    <row r="720" spans="3:3" ht="15.75" customHeight="1" x14ac:dyDescent="0.2">
      <c r="C720" s="6"/>
    </row>
    <row r="721" spans="3:3" ht="15.75" customHeight="1" x14ac:dyDescent="0.2">
      <c r="C721" s="6"/>
    </row>
    <row r="722" spans="3:3" ht="15.75" customHeight="1" x14ac:dyDescent="0.2">
      <c r="C722" s="6"/>
    </row>
    <row r="723" spans="3:3" ht="15.75" customHeight="1" x14ac:dyDescent="0.2">
      <c r="C723" s="6"/>
    </row>
    <row r="724" spans="3:3" ht="15.75" customHeight="1" x14ac:dyDescent="0.2">
      <c r="C724" s="6"/>
    </row>
    <row r="725" spans="3:3" ht="15.75" customHeight="1" x14ac:dyDescent="0.2">
      <c r="C725" s="6"/>
    </row>
    <row r="726" spans="3:3" ht="15.75" customHeight="1" x14ac:dyDescent="0.2">
      <c r="C726" s="6"/>
    </row>
    <row r="727" spans="3:3" ht="15.75" customHeight="1" x14ac:dyDescent="0.2">
      <c r="C727" s="6"/>
    </row>
    <row r="728" spans="3:3" ht="15.75" customHeight="1" x14ac:dyDescent="0.2">
      <c r="C728" s="6"/>
    </row>
    <row r="729" spans="3:3" ht="15.75" customHeight="1" x14ac:dyDescent="0.2">
      <c r="C729" s="6"/>
    </row>
    <row r="730" spans="3:3" ht="15.75" customHeight="1" x14ac:dyDescent="0.2">
      <c r="C730" s="6"/>
    </row>
    <row r="731" spans="3:3" ht="15.75" customHeight="1" x14ac:dyDescent="0.2">
      <c r="C731" s="6"/>
    </row>
    <row r="732" spans="3:3" ht="15.75" customHeight="1" x14ac:dyDescent="0.2">
      <c r="C732" s="6"/>
    </row>
    <row r="733" spans="3:3" ht="15.75" customHeight="1" x14ac:dyDescent="0.2">
      <c r="C733" s="6"/>
    </row>
    <row r="734" spans="3:3" ht="15.75" customHeight="1" x14ac:dyDescent="0.2">
      <c r="C734" s="6"/>
    </row>
    <row r="735" spans="3:3" ht="15.75" customHeight="1" x14ac:dyDescent="0.2">
      <c r="C735" s="6"/>
    </row>
    <row r="736" spans="3:3" ht="15.75" customHeight="1" x14ac:dyDescent="0.2">
      <c r="C736" s="6"/>
    </row>
    <row r="737" spans="3:3" ht="15.75" customHeight="1" x14ac:dyDescent="0.2">
      <c r="C737" s="6"/>
    </row>
    <row r="738" spans="3:3" ht="15.75" customHeight="1" x14ac:dyDescent="0.2">
      <c r="C738" s="6"/>
    </row>
    <row r="739" spans="3:3" ht="15.75" customHeight="1" x14ac:dyDescent="0.2">
      <c r="C739" s="6"/>
    </row>
    <row r="740" spans="3:3" ht="15.75" customHeight="1" x14ac:dyDescent="0.2">
      <c r="C740" s="6"/>
    </row>
    <row r="741" spans="3:3" ht="15.75" customHeight="1" x14ac:dyDescent="0.2">
      <c r="C741" s="6"/>
    </row>
    <row r="742" spans="3:3" ht="15.75" customHeight="1" x14ac:dyDescent="0.2">
      <c r="C742" s="6"/>
    </row>
    <row r="743" spans="3:3" ht="15.75" customHeight="1" x14ac:dyDescent="0.2">
      <c r="C743" s="6"/>
    </row>
    <row r="744" spans="3:3" ht="15.75" customHeight="1" x14ac:dyDescent="0.2">
      <c r="C744" s="6"/>
    </row>
    <row r="745" spans="3:3" ht="15.75" customHeight="1" x14ac:dyDescent="0.2">
      <c r="C745" s="6"/>
    </row>
    <row r="746" spans="3:3" ht="15.75" customHeight="1" x14ac:dyDescent="0.2">
      <c r="C746" s="6"/>
    </row>
    <row r="747" spans="3:3" ht="15.75" customHeight="1" x14ac:dyDescent="0.2">
      <c r="C747" s="6"/>
    </row>
    <row r="748" spans="3:3" ht="15.75" customHeight="1" x14ac:dyDescent="0.2">
      <c r="C748" s="6"/>
    </row>
    <row r="749" spans="3:3" ht="15.75" customHeight="1" x14ac:dyDescent="0.2">
      <c r="C749" s="6"/>
    </row>
    <row r="750" spans="3:3" ht="15.75" customHeight="1" x14ac:dyDescent="0.2">
      <c r="C750" s="6"/>
    </row>
    <row r="751" spans="3:3" ht="15.75" customHeight="1" x14ac:dyDescent="0.2">
      <c r="C751" s="6"/>
    </row>
    <row r="752" spans="3:3" ht="15.75" customHeight="1" x14ac:dyDescent="0.2">
      <c r="C752" s="6"/>
    </row>
    <row r="753" spans="3:3" ht="15.75" customHeight="1" x14ac:dyDescent="0.2">
      <c r="C753" s="6"/>
    </row>
    <row r="754" spans="3:3" ht="15.75" customHeight="1" x14ac:dyDescent="0.2">
      <c r="C754" s="6"/>
    </row>
    <row r="755" spans="3:3" ht="15.75" customHeight="1" x14ac:dyDescent="0.2">
      <c r="C755" s="6"/>
    </row>
    <row r="756" spans="3:3" ht="15.75" customHeight="1" x14ac:dyDescent="0.2">
      <c r="C756" s="6"/>
    </row>
    <row r="757" spans="3:3" ht="15.75" customHeight="1" x14ac:dyDescent="0.2">
      <c r="C757" s="6"/>
    </row>
    <row r="758" spans="3:3" ht="15.75" customHeight="1" x14ac:dyDescent="0.2">
      <c r="C758" s="6"/>
    </row>
    <row r="759" spans="3:3" ht="15.75" customHeight="1" x14ac:dyDescent="0.2">
      <c r="C759" s="6"/>
    </row>
    <row r="760" spans="3:3" ht="15.75" customHeight="1" x14ac:dyDescent="0.2">
      <c r="C760" s="6"/>
    </row>
    <row r="761" spans="3:3" ht="15.75" customHeight="1" x14ac:dyDescent="0.2">
      <c r="C761" s="6"/>
    </row>
    <row r="762" spans="3:3" ht="15.75" customHeight="1" x14ac:dyDescent="0.2">
      <c r="C762" s="6"/>
    </row>
    <row r="763" spans="3:3" ht="15.75" customHeight="1" x14ac:dyDescent="0.2">
      <c r="C763" s="6"/>
    </row>
    <row r="764" spans="3:3" ht="15.75" customHeight="1" x14ac:dyDescent="0.2">
      <c r="C764" s="6"/>
    </row>
    <row r="765" spans="3:3" ht="15.75" customHeight="1" x14ac:dyDescent="0.2">
      <c r="C765" s="6"/>
    </row>
    <row r="766" spans="3:3" ht="15.75" customHeight="1" x14ac:dyDescent="0.2">
      <c r="C766" s="6"/>
    </row>
    <row r="767" spans="3:3" ht="15.75" customHeight="1" x14ac:dyDescent="0.2">
      <c r="C767" s="6"/>
    </row>
    <row r="768" spans="3:3" ht="15.75" customHeight="1" x14ac:dyDescent="0.2">
      <c r="C768" s="6"/>
    </row>
    <row r="769" spans="3:3" ht="15.75" customHeight="1" x14ac:dyDescent="0.2">
      <c r="C769" s="6"/>
    </row>
    <row r="770" spans="3:3" ht="15.75" customHeight="1" x14ac:dyDescent="0.2">
      <c r="C770" s="6"/>
    </row>
    <row r="771" spans="3:3" ht="15.75" customHeight="1" x14ac:dyDescent="0.2">
      <c r="C771" s="6"/>
    </row>
    <row r="772" spans="3:3" ht="15.75" customHeight="1" x14ac:dyDescent="0.2">
      <c r="C772" s="6"/>
    </row>
    <row r="773" spans="3:3" ht="15.75" customHeight="1" x14ac:dyDescent="0.2">
      <c r="C773" s="6"/>
    </row>
    <row r="774" spans="3:3" ht="15.75" customHeight="1" x14ac:dyDescent="0.2">
      <c r="C774" s="6"/>
    </row>
    <row r="775" spans="3:3" ht="15.75" customHeight="1" x14ac:dyDescent="0.2">
      <c r="C775" s="6"/>
    </row>
    <row r="776" spans="3:3" ht="15.75" customHeight="1" x14ac:dyDescent="0.2">
      <c r="C776" s="6"/>
    </row>
    <row r="777" spans="3:3" ht="15.75" customHeight="1" x14ac:dyDescent="0.2">
      <c r="C777" s="6"/>
    </row>
    <row r="778" spans="3:3" ht="15.75" customHeight="1" x14ac:dyDescent="0.2">
      <c r="C778" s="6"/>
    </row>
    <row r="779" spans="3:3" ht="15.75" customHeight="1" x14ac:dyDescent="0.2">
      <c r="C779" s="6"/>
    </row>
    <row r="780" spans="3:3" ht="15.75" customHeight="1" x14ac:dyDescent="0.2">
      <c r="C780" s="6"/>
    </row>
    <row r="781" spans="3:3" ht="15.75" customHeight="1" x14ac:dyDescent="0.2">
      <c r="C781" s="6"/>
    </row>
    <row r="782" spans="3:3" ht="15.75" customHeight="1" x14ac:dyDescent="0.2">
      <c r="C782" s="6"/>
    </row>
    <row r="783" spans="3:3" ht="15.75" customHeight="1" x14ac:dyDescent="0.2">
      <c r="C783" s="6"/>
    </row>
    <row r="784" spans="3:3" ht="15.75" customHeight="1" x14ac:dyDescent="0.2">
      <c r="C784" s="6"/>
    </row>
    <row r="785" spans="3:3" ht="15.75" customHeight="1" x14ac:dyDescent="0.2">
      <c r="C785" s="6"/>
    </row>
    <row r="786" spans="3:3" ht="15.75" customHeight="1" x14ac:dyDescent="0.2">
      <c r="C786" s="6"/>
    </row>
    <row r="787" spans="3:3" ht="15.75" customHeight="1" x14ac:dyDescent="0.2">
      <c r="C787" s="6"/>
    </row>
    <row r="788" spans="3:3" ht="15.75" customHeight="1" x14ac:dyDescent="0.2">
      <c r="C788" s="6"/>
    </row>
    <row r="789" spans="3:3" ht="15.75" customHeight="1" x14ac:dyDescent="0.2">
      <c r="C789" s="6"/>
    </row>
    <row r="790" spans="3:3" ht="15.75" customHeight="1" x14ac:dyDescent="0.2">
      <c r="C790" s="6"/>
    </row>
    <row r="791" spans="3:3" ht="15.75" customHeight="1" x14ac:dyDescent="0.2">
      <c r="C791" s="6"/>
    </row>
    <row r="792" spans="3:3" ht="15.75" customHeight="1" x14ac:dyDescent="0.2">
      <c r="C792" s="6"/>
    </row>
    <row r="793" spans="3:3" ht="15.75" customHeight="1" x14ac:dyDescent="0.2">
      <c r="C793" s="6"/>
    </row>
    <row r="794" spans="3:3" ht="15.75" customHeight="1" x14ac:dyDescent="0.2">
      <c r="C794" s="6"/>
    </row>
    <row r="795" spans="3:3" ht="15.75" customHeight="1" x14ac:dyDescent="0.2">
      <c r="C795" s="6"/>
    </row>
    <row r="796" spans="3:3" ht="15.75" customHeight="1" x14ac:dyDescent="0.2">
      <c r="C796" s="6"/>
    </row>
    <row r="797" spans="3:3" ht="15.75" customHeight="1" x14ac:dyDescent="0.2">
      <c r="C797" s="6"/>
    </row>
    <row r="798" spans="3:3" ht="15.75" customHeight="1" x14ac:dyDescent="0.2">
      <c r="C798" s="6"/>
    </row>
    <row r="799" spans="3:3" ht="15.75" customHeight="1" x14ac:dyDescent="0.2">
      <c r="C799" s="6"/>
    </row>
    <row r="800" spans="3:3" ht="15.75" customHeight="1" x14ac:dyDescent="0.2">
      <c r="C800" s="6"/>
    </row>
    <row r="801" spans="3:3" ht="15.75" customHeight="1" x14ac:dyDescent="0.2">
      <c r="C801" s="6"/>
    </row>
    <row r="802" spans="3:3" ht="15.75" customHeight="1" x14ac:dyDescent="0.2">
      <c r="C802" s="6"/>
    </row>
    <row r="803" spans="3:3" ht="15.75" customHeight="1" x14ac:dyDescent="0.2">
      <c r="C803" s="6"/>
    </row>
    <row r="804" spans="3:3" ht="15.75" customHeight="1" x14ac:dyDescent="0.2">
      <c r="C804" s="6"/>
    </row>
    <row r="805" spans="3:3" ht="15.75" customHeight="1" x14ac:dyDescent="0.2">
      <c r="C805" s="6"/>
    </row>
    <row r="806" spans="3:3" ht="15.75" customHeight="1" x14ac:dyDescent="0.2">
      <c r="C806" s="6"/>
    </row>
    <row r="807" spans="3:3" ht="15.75" customHeight="1" x14ac:dyDescent="0.2">
      <c r="C807" s="6"/>
    </row>
    <row r="808" spans="3:3" ht="15.75" customHeight="1" x14ac:dyDescent="0.2">
      <c r="C808" s="6"/>
    </row>
    <row r="809" spans="3:3" ht="15.75" customHeight="1" x14ac:dyDescent="0.2">
      <c r="C809" s="6"/>
    </row>
    <row r="810" spans="3:3" ht="15.75" customHeight="1" x14ac:dyDescent="0.2">
      <c r="C810" s="6"/>
    </row>
    <row r="811" spans="3:3" ht="15.75" customHeight="1" x14ac:dyDescent="0.2">
      <c r="C811" s="6"/>
    </row>
    <row r="812" spans="3:3" ht="15.75" customHeight="1" x14ac:dyDescent="0.2">
      <c r="C812" s="6"/>
    </row>
    <row r="813" spans="3:3" ht="15.75" customHeight="1" x14ac:dyDescent="0.2">
      <c r="C813" s="6"/>
    </row>
    <row r="814" spans="3:3" ht="15.75" customHeight="1" x14ac:dyDescent="0.2">
      <c r="C814" s="6"/>
    </row>
    <row r="815" spans="3:3" ht="15.75" customHeight="1" x14ac:dyDescent="0.2">
      <c r="C815" s="6"/>
    </row>
    <row r="816" spans="3:3" ht="15.75" customHeight="1" x14ac:dyDescent="0.2">
      <c r="C816" s="6"/>
    </row>
    <row r="817" spans="3:3" ht="15.75" customHeight="1" x14ac:dyDescent="0.2">
      <c r="C817" s="6"/>
    </row>
    <row r="818" spans="3:3" ht="15.75" customHeight="1" x14ac:dyDescent="0.2">
      <c r="C818" s="6"/>
    </row>
    <row r="819" spans="3:3" ht="15.75" customHeight="1" x14ac:dyDescent="0.2">
      <c r="C819" s="6"/>
    </row>
    <row r="820" spans="3:3" ht="15.75" customHeight="1" x14ac:dyDescent="0.2">
      <c r="C820" s="6"/>
    </row>
    <row r="821" spans="3:3" ht="15.75" customHeight="1" x14ac:dyDescent="0.2">
      <c r="C821" s="6"/>
    </row>
    <row r="822" spans="3:3" ht="15.75" customHeight="1" x14ac:dyDescent="0.2">
      <c r="C822" s="6"/>
    </row>
    <row r="823" spans="3:3" ht="15.75" customHeight="1" x14ac:dyDescent="0.2">
      <c r="C823" s="6"/>
    </row>
    <row r="824" spans="3:3" ht="15.75" customHeight="1" x14ac:dyDescent="0.2">
      <c r="C824" s="6"/>
    </row>
    <row r="825" spans="3:3" ht="15.75" customHeight="1" x14ac:dyDescent="0.2">
      <c r="C825" s="6"/>
    </row>
    <row r="826" spans="3:3" ht="15.75" customHeight="1" x14ac:dyDescent="0.2">
      <c r="C826" s="6"/>
    </row>
    <row r="827" spans="3:3" ht="15.75" customHeight="1" x14ac:dyDescent="0.2">
      <c r="C827" s="6"/>
    </row>
    <row r="828" spans="3:3" ht="15.75" customHeight="1" x14ac:dyDescent="0.2">
      <c r="C828" s="6"/>
    </row>
    <row r="829" spans="3:3" ht="15.75" customHeight="1" x14ac:dyDescent="0.2">
      <c r="C829" s="6"/>
    </row>
    <row r="830" spans="3:3" ht="15.75" customHeight="1" x14ac:dyDescent="0.2">
      <c r="C830" s="6"/>
    </row>
    <row r="831" spans="3:3" ht="15.75" customHeight="1" x14ac:dyDescent="0.2">
      <c r="C831" s="6"/>
    </row>
    <row r="832" spans="3:3" ht="15.75" customHeight="1" x14ac:dyDescent="0.2">
      <c r="C832" s="6"/>
    </row>
    <row r="833" spans="3:3" ht="15.75" customHeight="1" x14ac:dyDescent="0.2">
      <c r="C833" s="6"/>
    </row>
    <row r="834" spans="3:3" ht="15.75" customHeight="1" x14ac:dyDescent="0.2">
      <c r="C834" s="6"/>
    </row>
    <row r="835" spans="3:3" ht="15.75" customHeight="1" x14ac:dyDescent="0.2">
      <c r="C835" s="6"/>
    </row>
    <row r="836" spans="3:3" ht="15.75" customHeight="1" x14ac:dyDescent="0.2">
      <c r="C836" s="6"/>
    </row>
    <row r="837" spans="3:3" ht="15.75" customHeight="1" x14ac:dyDescent="0.2">
      <c r="C837" s="6"/>
    </row>
    <row r="838" spans="3:3" ht="15.75" customHeight="1" x14ac:dyDescent="0.2">
      <c r="C838" s="6"/>
    </row>
    <row r="839" spans="3:3" ht="15.75" customHeight="1" x14ac:dyDescent="0.2">
      <c r="C839" s="6"/>
    </row>
    <row r="840" spans="3:3" ht="15.75" customHeight="1" x14ac:dyDescent="0.2">
      <c r="C840" s="6"/>
    </row>
    <row r="841" spans="3:3" ht="15.75" customHeight="1" x14ac:dyDescent="0.2">
      <c r="C841" s="6"/>
    </row>
    <row r="842" spans="3:3" ht="15.75" customHeight="1" x14ac:dyDescent="0.2">
      <c r="C842" s="6"/>
    </row>
    <row r="843" spans="3:3" ht="15.75" customHeight="1" x14ac:dyDescent="0.2">
      <c r="C843" s="6"/>
    </row>
    <row r="844" spans="3:3" ht="15.75" customHeight="1" x14ac:dyDescent="0.2">
      <c r="C844" s="6"/>
    </row>
    <row r="845" spans="3:3" ht="15.75" customHeight="1" x14ac:dyDescent="0.2">
      <c r="C845" s="6"/>
    </row>
    <row r="846" spans="3:3" ht="15.75" customHeight="1" x14ac:dyDescent="0.2">
      <c r="C846" s="6"/>
    </row>
    <row r="847" spans="3:3" ht="15.75" customHeight="1" x14ac:dyDescent="0.2">
      <c r="C847" s="6"/>
    </row>
    <row r="848" spans="3:3" ht="15.75" customHeight="1" x14ac:dyDescent="0.2">
      <c r="C848" s="6"/>
    </row>
    <row r="849" spans="3:3" ht="15.75" customHeight="1" x14ac:dyDescent="0.2">
      <c r="C849" s="6"/>
    </row>
    <row r="850" spans="3:3" ht="15.75" customHeight="1" x14ac:dyDescent="0.2">
      <c r="C850" s="6"/>
    </row>
    <row r="851" spans="3:3" ht="15.75" customHeight="1" x14ac:dyDescent="0.2">
      <c r="C851" s="6"/>
    </row>
    <row r="852" spans="3:3" ht="15.75" customHeight="1" x14ac:dyDescent="0.2">
      <c r="C852" s="6"/>
    </row>
    <row r="853" spans="3:3" ht="15.75" customHeight="1" x14ac:dyDescent="0.2">
      <c r="C853" s="6"/>
    </row>
    <row r="854" spans="3:3" ht="15.75" customHeight="1" x14ac:dyDescent="0.2">
      <c r="C854" s="6"/>
    </row>
    <row r="855" spans="3:3" ht="15.75" customHeight="1" x14ac:dyDescent="0.2">
      <c r="C855" s="6"/>
    </row>
    <row r="856" spans="3:3" ht="15.75" customHeight="1" x14ac:dyDescent="0.2">
      <c r="C856" s="6"/>
    </row>
    <row r="857" spans="3:3" ht="15.75" customHeight="1" x14ac:dyDescent="0.2">
      <c r="C857" s="6"/>
    </row>
    <row r="858" spans="3:3" ht="15.75" customHeight="1" x14ac:dyDescent="0.2">
      <c r="C858" s="6"/>
    </row>
    <row r="859" spans="3:3" ht="15.75" customHeight="1" x14ac:dyDescent="0.2">
      <c r="C859" s="6"/>
    </row>
    <row r="860" spans="3:3" ht="15.75" customHeight="1" x14ac:dyDescent="0.2">
      <c r="C860" s="6"/>
    </row>
    <row r="861" spans="3:3" ht="15.75" customHeight="1" x14ac:dyDescent="0.2">
      <c r="C861" s="6"/>
    </row>
    <row r="862" spans="3:3" ht="15.75" customHeight="1" x14ac:dyDescent="0.2">
      <c r="C862" s="6"/>
    </row>
    <row r="863" spans="3:3" ht="15.75" customHeight="1" x14ac:dyDescent="0.2">
      <c r="C863" s="6"/>
    </row>
    <row r="864" spans="3:3" ht="15.75" customHeight="1" x14ac:dyDescent="0.2">
      <c r="C864" s="6"/>
    </row>
    <row r="865" spans="3:3" ht="15.75" customHeight="1" x14ac:dyDescent="0.2">
      <c r="C865" s="6"/>
    </row>
    <row r="866" spans="3:3" ht="15.75" customHeight="1" x14ac:dyDescent="0.2">
      <c r="C866" s="6"/>
    </row>
    <row r="867" spans="3:3" ht="15.75" customHeight="1" x14ac:dyDescent="0.2">
      <c r="C867" s="6"/>
    </row>
    <row r="868" spans="3:3" ht="15.75" customHeight="1" x14ac:dyDescent="0.2">
      <c r="C868" s="6"/>
    </row>
    <row r="869" spans="3:3" ht="15.75" customHeight="1" x14ac:dyDescent="0.2">
      <c r="C869" s="6"/>
    </row>
    <row r="870" spans="3:3" ht="15.75" customHeight="1" x14ac:dyDescent="0.2">
      <c r="C870" s="6"/>
    </row>
    <row r="871" spans="3:3" ht="15.75" customHeight="1" x14ac:dyDescent="0.2">
      <c r="C871" s="6"/>
    </row>
    <row r="872" spans="3:3" ht="15.75" customHeight="1" x14ac:dyDescent="0.2">
      <c r="C872" s="6"/>
    </row>
    <row r="873" spans="3:3" ht="15.75" customHeight="1" x14ac:dyDescent="0.2">
      <c r="C873" s="6"/>
    </row>
    <row r="874" spans="3:3" ht="15.75" customHeight="1" x14ac:dyDescent="0.2">
      <c r="C874" s="6"/>
    </row>
    <row r="875" spans="3:3" ht="15.75" customHeight="1" x14ac:dyDescent="0.2">
      <c r="C875" s="6"/>
    </row>
    <row r="876" spans="3:3" ht="15.75" customHeight="1" x14ac:dyDescent="0.2">
      <c r="C876" s="6"/>
    </row>
    <row r="877" spans="3:3" ht="15.75" customHeight="1" x14ac:dyDescent="0.2">
      <c r="C877" s="6"/>
    </row>
    <row r="878" spans="3:3" ht="15.75" customHeight="1" x14ac:dyDescent="0.2">
      <c r="C878" s="6"/>
    </row>
    <row r="879" spans="3:3" ht="15.75" customHeight="1" x14ac:dyDescent="0.2">
      <c r="C879" s="6"/>
    </row>
    <row r="880" spans="3:3" ht="15.75" customHeight="1" x14ac:dyDescent="0.2">
      <c r="C880" s="6"/>
    </row>
    <row r="881" spans="3:3" ht="15.75" customHeight="1" x14ac:dyDescent="0.2">
      <c r="C881" s="6"/>
    </row>
    <row r="882" spans="3:3" ht="15.75" customHeight="1" x14ac:dyDescent="0.2">
      <c r="C882" s="6"/>
    </row>
    <row r="883" spans="3:3" ht="15.75" customHeight="1" x14ac:dyDescent="0.2">
      <c r="C883" s="6"/>
    </row>
    <row r="884" spans="3:3" ht="15.75" customHeight="1" x14ac:dyDescent="0.2">
      <c r="C884" s="6"/>
    </row>
    <row r="885" spans="3:3" ht="15.75" customHeight="1" x14ac:dyDescent="0.2">
      <c r="C885" s="6"/>
    </row>
    <row r="886" spans="3:3" ht="15.75" customHeight="1" x14ac:dyDescent="0.2">
      <c r="C886" s="6"/>
    </row>
    <row r="887" spans="3:3" ht="15.75" customHeight="1" x14ac:dyDescent="0.2">
      <c r="C887" s="6"/>
    </row>
    <row r="888" spans="3:3" ht="15.75" customHeight="1" x14ac:dyDescent="0.2">
      <c r="C888" s="6"/>
    </row>
    <row r="889" spans="3:3" ht="15.75" customHeight="1" x14ac:dyDescent="0.2">
      <c r="C889" s="6"/>
    </row>
    <row r="890" spans="3:3" ht="15.75" customHeight="1" x14ac:dyDescent="0.2">
      <c r="C890" s="6"/>
    </row>
    <row r="891" spans="3:3" ht="15.75" customHeight="1" x14ac:dyDescent="0.2">
      <c r="C891" s="6"/>
    </row>
    <row r="892" spans="3:3" ht="15.75" customHeight="1" x14ac:dyDescent="0.2">
      <c r="C892" s="6"/>
    </row>
    <row r="893" spans="3:3" ht="15.75" customHeight="1" x14ac:dyDescent="0.2">
      <c r="C893" s="6"/>
    </row>
    <row r="894" spans="3:3" ht="15.75" customHeight="1" x14ac:dyDescent="0.2">
      <c r="C894" s="6"/>
    </row>
    <row r="895" spans="3:3" ht="15.75" customHeight="1" x14ac:dyDescent="0.2">
      <c r="C895" s="6"/>
    </row>
    <row r="896" spans="3:3" ht="15.75" customHeight="1" x14ac:dyDescent="0.2">
      <c r="C896" s="6"/>
    </row>
    <row r="897" spans="3:3" ht="15.75" customHeight="1" x14ac:dyDescent="0.2">
      <c r="C897" s="6"/>
    </row>
    <row r="898" spans="3:3" ht="15.75" customHeight="1" x14ac:dyDescent="0.2">
      <c r="C898" s="6"/>
    </row>
    <row r="899" spans="3:3" ht="15.75" customHeight="1" x14ac:dyDescent="0.2">
      <c r="C899" s="6"/>
    </row>
    <row r="900" spans="3:3" ht="15.75" customHeight="1" x14ac:dyDescent="0.2">
      <c r="C900" s="6"/>
    </row>
    <row r="901" spans="3:3" ht="15.75" customHeight="1" x14ac:dyDescent="0.2">
      <c r="C901" s="6"/>
    </row>
    <row r="902" spans="3:3" ht="15.75" customHeight="1" x14ac:dyDescent="0.2">
      <c r="C902" s="6"/>
    </row>
    <row r="903" spans="3:3" ht="15.75" customHeight="1" x14ac:dyDescent="0.2">
      <c r="C903" s="6"/>
    </row>
    <row r="904" spans="3:3" ht="15.75" customHeight="1" x14ac:dyDescent="0.2">
      <c r="C904" s="6"/>
    </row>
    <row r="905" spans="3:3" ht="15.75" customHeight="1" x14ac:dyDescent="0.2">
      <c r="C905" s="6"/>
    </row>
    <row r="906" spans="3:3" ht="15.75" customHeight="1" x14ac:dyDescent="0.2">
      <c r="C906" s="6"/>
    </row>
    <row r="907" spans="3:3" ht="15.75" customHeight="1" x14ac:dyDescent="0.2">
      <c r="C907" s="6"/>
    </row>
    <row r="908" spans="3:3" ht="15.75" customHeight="1" x14ac:dyDescent="0.2">
      <c r="C908" s="6"/>
    </row>
    <row r="909" spans="3:3" ht="15.75" customHeight="1" x14ac:dyDescent="0.2">
      <c r="C909" s="6"/>
    </row>
    <row r="910" spans="3:3" ht="15.75" customHeight="1" x14ac:dyDescent="0.2">
      <c r="C910" s="6"/>
    </row>
    <row r="911" spans="3:3" ht="15.75" customHeight="1" x14ac:dyDescent="0.2">
      <c r="C911" s="6"/>
    </row>
    <row r="912" spans="3:3" ht="15.75" customHeight="1" x14ac:dyDescent="0.2">
      <c r="C912" s="6"/>
    </row>
    <row r="913" spans="3:3" ht="15.75" customHeight="1" x14ac:dyDescent="0.2">
      <c r="C913" s="6"/>
    </row>
    <row r="914" spans="3:3" ht="15.75" customHeight="1" x14ac:dyDescent="0.2">
      <c r="C914" s="6"/>
    </row>
    <row r="915" spans="3:3" ht="15.75" customHeight="1" x14ac:dyDescent="0.2">
      <c r="C915" s="6"/>
    </row>
    <row r="916" spans="3:3" ht="15.75" customHeight="1" x14ac:dyDescent="0.2">
      <c r="C916" s="6"/>
    </row>
    <row r="917" spans="3:3" ht="15.75" customHeight="1" x14ac:dyDescent="0.2">
      <c r="C917" s="6"/>
    </row>
    <row r="918" spans="3:3" ht="15.75" customHeight="1" x14ac:dyDescent="0.2">
      <c r="C918" s="6"/>
    </row>
    <row r="919" spans="3:3" ht="15.75" customHeight="1" x14ac:dyDescent="0.2">
      <c r="C919" s="6"/>
    </row>
    <row r="920" spans="3:3" ht="15.75" customHeight="1" x14ac:dyDescent="0.2">
      <c r="C920" s="6"/>
    </row>
    <row r="921" spans="3:3" ht="15.75" customHeight="1" x14ac:dyDescent="0.2">
      <c r="C921" s="6"/>
    </row>
    <row r="922" spans="3:3" ht="15.75" customHeight="1" x14ac:dyDescent="0.2">
      <c r="C922" s="6"/>
    </row>
    <row r="923" spans="3:3" ht="15.75" customHeight="1" x14ac:dyDescent="0.2">
      <c r="C923" s="6"/>
    </row>
    <row r="924" spans="3:3" ht="15.75" customHeight="1" x14ac:dyDescent="0.2">
      <c r="C924" s="6"/>
    </row>
    <row r="925" spans="3:3" ht="15.75" customHeight="1" x14ac:dyDescent="0.2">
      <c r="C925" s="6"/>
    </row>
    <row r="926" spans="3:3" ht="15.75" customHeight="1" x14ac:dyDescent="0.2">
      <c r="C926" s="6"/>
    </row>
    <row r="927" spans="3:3" ht="15.75" customHeight="1" x14ac:dyDescent="0.2">
      <c r="C927" s="6"/>
    </row>
    <row r="928" spans="3:3" ht="15.75" customHeight="1" x14ac:dyDescent="0.2">
      <c r="C928" s="6"/>
    </row>
    <row r="929" spans="3:3" ht="15.75" customHeight="1" x14ac:dyDescent="0.2">
      <c r="C929" s="6"/>
    </row>
    <row r="930" spans="3:3" ht="15.75" customHeight="1" x14ac:dyDescent="0.2">
      <c r="C930" s="6"/>
    </row>
    <row r="931" spans="3:3" ht="15.75" customHeight="1" x14ac:dyDescent="0.2">
      <c r="C931" s="6"/>
    </row>
    <row r="932" spans="3:3" ht="15.75" customHeight="1" x14ac:dyDescent="0.2">
      <c r="C932" s="6"/>
    </row>
    <row r="933" spans="3:3" ht="15.75" customHeight="1" x14ac:dyDescent="0.2">
      <c r="C933" s="6"/>
    </row>
    <row r="934" spans="3:3" ht="15.75" customHeight="1" x14ac:dyDescent="0.2">
      <c r="C934" s="6"/>
    </row>
    <row r="935" spans="3:3" ht="15.75" customHeight="1" x14ac:dyDescent="0.2">
      <c r="C935" s="6"/>
    </row>
    <row r="936" spans="3:3" ht="15.75" customHeight="1" x14ac:dyDescent="0.2">
      <c r="C936" s="6"/>
    </row>
    <row r="937" spans="3:3" ht="15.75" customHeight="1" x14ac:dyDescent="0.2">
      <c r="C937" s="6"/>
    </row>
    <row r="938" spans="3:3" ht="15.75" customHeight="1" x14ac:dyDescent="0.2">
      <c r="C938" s="6"/>
    </row>
    <row r="939" spans="3:3" ht="15.75" customHeight="1" x14ac:dyDescent="0.2">
      <c r="C939" s="6"/>
    </row>
    <row r="940" spans="3:3" ht="15.75" customHeight="1" x14ac:dyDescent="0.2">
      <c r="C940" s="6"/>
    </row>
    <row r="941" spans="3:3" ht="15.75" customHeight="1" x14ac:dyDescent="0.2">
      <c r="C941" s="6"/>
    </row>
    <row r="942" spans="3:3" ht="15.75" customHeight="1" x14ac:dyDescent="0.2">
      <c r="C942" s="6"/>
    </row>
    <row r="943" spans="3:3" ht="15.75" customHeight="1" x14ac:dyDescent="0.2">
      <c r="C943" s="6"/>
    </row>
    <row r="944" spans="3:3" ht="15.75" customHeight="1" x14ac:dyDescent="0.2">
      <c r="C944" s="6"/>
    </row>
    <row r="945" spans="3:3" ht="15.75" customHeight="1" x14ac:dyDescent="0.2">
      <c r="C945" s="6"/>
    </row>
    <row r="946" spans="3:3" ht="15.75" customHeight="1" x14ac:dyDescent="0.2">
      <c r="C946" s="6"/>
    </row>
    <row r="947" spans="3:3" ht="15.75" customHeight="1" x14ac:dyDescent="0.2">
      <c r="C947" s="6"/>
    </row>
    <row r="948" spans="3:3" ht="15.75" customHeight="1" x14ac:dyDescent="0.2">
      <c r="C948" s="6"/>
    </row>
    <row r="949" spans="3:3" ht="15.75" customHeight="1" x14ac:dyDescent="0.2">
      <c r="C949" s="6"/>
    </row>
    <row r="950" spans="3:3" ht="15.75" customHeight="1" x14ac:dyDescent="0.2">
      <c r="C950" s="6"/>
    </row>
    <row r="951" spans="3:3" ht="15.75" customHeight="1" x14ac:dyDescent="0.2">
      <c r="C951" s="6"/>
    </row>
    <row r="952" spans="3:3" ht="15.75" customHeight="1" x14ac:dyDescent="0.2">
      <c r="C952" s="6"/>
    </row>
    <row r="953" spans="3:3" ht="15.75" customHeight="1" x14ac:dyDescent="0.2">
      <c r="C953" s="6"/>
    </row>
    <row r="954" spans="3:3" ht="15.75" customHeight="1" x14ac:dyDescent="0.2">
      <c r="C954" s="6"/>
    </row>
    <row r="955" spans="3:3" ht="15.75" customHeight="1" x14ac:dyDescent="0.2">
      <c r="C955" s="6"/>
    </row>
    <row r="956" spans="3:3" ht="15.75" customHeight="1" x14ac:dyDescent="0.2">
      <c r="C956" s="6"/>
    </row>
    <row r="957" spans="3:3" ht="15.75" customHeight="1" x14ac:dyDescent="0.2">
      <c r="C957" s="6"/>
    </row>
    <row r="958" spans="3:3" ht="15.75" customHeight="1" x14ac:dyDescent="0.2">
      <c r="C958" s="6"/>
    </row>
    <row r="959" spans="3:3" ht="15.75" customHeight="1" x14ac:dyDescent="0.2">
      <c r="C959" s="6"/>
    </row>
    <row r="960" spans="3:3" ht="15.75" customHeight="1" x14ac:dyDescent="0.2">
      <c r="C960" s="6"/>
    </row>
    <row r="961" spans="3:3" ht="15.75" customHeight="1" x14ac:dyDescent="0.2">
      <c r="C961" s="6"/>
    </row>
    <row r="962" spans="3:3" ht="15.75" customHeight="1" x14ac:dyDescent="0.2">
      <c r="C962" s="6"/>
    </row>
    <row r="963" spans="3:3" ht="15.75" customHeight="1" x14ac:dyDescent="0.2">
      <c r="C963" s="6"/>
    </row>
    <row r="964" spans="3:3" ht="15.75" customHeight="1" x14ac:dyDescent="0.2">
      <c r="C964" s="6"/>
    </row>
    <row r="965" spans="3:3" ht="15.75" customHeight="1" x14ac:dyDescent="0.2">
      <c r="C965" s="6"/>
    </row>
    <row r="966" spans="3:3" ht="15.75" customHeight="1" x14ac:dyDescent="0.2">
      <c r="C966" s="6"/>
    </row>
    <row r="967" spans="3:3" ht="15.75" customHeight="1" x14ac:dyDescent="0.2">
      <c r="C967" s="6"/>
    </row>
    <row r="968" spans="3:3" ht="15.75" customHeight="1" x14ac:dyDescent="0.2">
      <c r="C968" s="6"/>
    </row>
    <row r="969" spans="3:3" ht="15.75" customHeight="1" x14ac:dyDescent="0.2">
      <c r="C969" s="6"/>
    </row>
    <row r="970" spans="3:3" ht="15.75" customHeight="1" x14ac:dyDescent="0.2">
      <c r="C970" s="6"/>
    </row>
    <row r="971" spans="3:3" ht="15.75" customHeight="1" x14ac:dyDescent="0.2">
      <c r="C971" s="6"/>
    </row>
    <row r="972" spans="3:3" ht="15.75" customHeight="1" x14ac:dyDescent="0.2">
      <c r="C972" s="6"/>
    </row>
    <row r="973" spans="3:3" ht="15.75" customHeight="1" x14ac:dyDescent="0.2">
      <c r="C973" s="6"/>
    </row>
    <row r="974" spans="3:3" ht="15.75" customHeight="1" x14ac:dyDescent="0.2">
      <c r="C974" s="6"/>
    </row>
    <row r="975" spans="3:3" ht="15.75" customHeight="1" x14ac:dyDescent="0.2">
      <c r="C975" s="6"/>
    </row>
    <row r="976" spans="3:3" ht="15.75" customHeight="1" x14ac:dyDescent="0.2">
      <c r="C976" s="6"/>
    </row>
    <row r="977" spans="3:3" ht="15.75" customHeight="1" x14ac:dyDescent="0.2">
      <c r="C977" s="6"/>
    </row>
    <row r="978" spans="3:3" ht="15.75" customHeight="1" x14ac:dyDescent="0.2">
      <c r="C978" s="6"/>
    </row>
    <row r="979" spans="3:3" ht="15.75" customHeight="1" x14ac:dyDescent="0.2">
      <c r="C979" s="6"/>
    </row>
    <row r="980" spans="3:3" ht="15.75" customHeight="1" x14ac:dyDescent="0.2">
      <c r="C980" s="6"/>
    </row>
    <row r="981" spans="3:3" ht="15.75" customHeight="1" x14ac:dyDescent="0.2">
      <c r="C981" s="6"/>
    </row>
    <row r="982" spans="3:3" ht="15.75" customHeight="1" x14ac:dyDescent="0.2">
      <c r="C982" s="6"/>
    </row>
    <row r="983" spans="3:3" ht="15.75" customHeight="1" x14ac:dyDescent="0.2">
      <c r="C983" s="6"/>
    </row>
    <row r="984" spans="3:3" ht="15.75" customHeight="1" x14ac:dyDescent="0.2">
      <c r="C984" s="6"/>
    </row>
    <row r="985" spans="3:3" ht="15.75" customHeight="1" x14ac:dyDescent="0.2">
      <c r="C985" s="6"/>
    </row>
    <row r="986" spans="3:3" ht="15.75" customHeight="1" x14ac:dyDescent="0.2">
      <c r="C986" s="6"/>
    </row>
    <row r="987" spans="3:3" ht="15.75" customHeight="1" x14ac:dyDescent="0.2">
      <c r="C987" s="6"/>
    </row>
    <row r="988" spans="3:3" ht="15.75" customHeight="1" x14ac:dyDescent="0.2">
      <c r="C988" s="6"/>
    </row>
    <row r="989" spans="3:3" ht="15.75" customHeight="1" x14ac:dyDescent="0.2">
      <c r="C989" s="6"/>
    </row>
    <row r="990" spans="3:3" ht="15.75" customHeight="1" x14ac:dyDescent="0.2">
      <c r="C990" s="6"/>
    </row>
    <row r="991" spans="3:3" ht="15.75" customHeight="1" x14ac:dyDescent="0.2">
      <c r="C991" s="6"/>
    </row>
    <row r="992" spans="3:3" ht="15.75" customHeight="1" x14ac:dyDescent="0.2">
      <c r="C992" s="6"/>
    </row>
    <row r="993" spans="3:3" ht="15.75" customHeight="1" x14ac:dyDescent="0.2">
      <c r="C993" s="6"/>
    </row>
    <row r="994" spans="3:3" ht="15.75" customHeight="1" x14ac:dyDescent="0.2">
      <c r="C994" s="6"/>
    </row>
    <row r="995" spans="3:3" ht="15.75" customHeight="1" x14ac:dyDescent="0.2">
      <c r="C995" s="6"/>
    </row>
    <row r="996" spans="3:3" ht="15.75" customHeight="1" x14ac:dyDescent="0.2">
      <c r="C996" s="6"/>
    </row>
    <row r="997" spans="3:3" ht="15.75" customHeight="1" x14ac:dyDescent="0.2">
      <c r="C997" s="6"/>
    </row>
    <row r="998" spans="3:3" ht="15.75" customHeight="1" x14ac:dyDescent="0.2">
      <c r="C998" s="6"/>
    </row>
    <row r="999" spans="3:3" ht="15.75" customHeight="1" x14ac:dyDescent="0.2">
      <c r="C999" s="6"/>
    </row>
    <row r="1000" spans="3:3" ht="15.75" customHeight="1" x14ac:dyDescent="0.2">
      <c r="C1000" s="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84"/>
  <sheetViews>
    <sheetView workbookViewId="0">
      <selection activeCell="B63" sqref="B63"/>
    </sheetView>
  </sheetViews>
  <sheetFormatPr baseColWidth="10" defaultColWidth="11.1640625" defaultRowHeight="15" customHeight="1" x14ac:dyDescent="0.2"/>
  <cols>
    <col min="1" max="1" width="13.1640625" customWidth="1"/>
    <col min="2" max="2" width="14.83203125" customWidth="1"/>
    <col min="3" max="3" width="14.1640625" customWidth="1"/>
    <col min="4" max="4" width="15.1640625" customWidth="1"/>
    <col min="5" max="7" width="8.33203125" customWidth="1"/>
    <col min="8" max="8" width="11.83203125" customWidth="1"/>
    <col min="9" max="9" width="8.33203125" customWidth="1"/>
    <col min="10" max="10" width="32.6640625" customWidth="1"/>
    <col min="11" max="11" width="22.1640625" customWidth="1"/>
    <col min="12" max="26" width="8.33203125" customWidth="1"/>
  </cols>
  <sheetData>
    <row r="1" spans="1:13" ht="15.75" customHeight="1" x14ac:dyDescent="0.2">
      <c r="A1" s="13" t="s">
        <v>82</v>
      </c>
      <c r="B1" s="20" t="s">
        <v>83</v>
      </c>
      <c r="C1" s="20" t="s">
        <v>84</v>
      </c>
      <c r="D1" s="20" t="s">
        <v>85</v>
      </c>
      <c r="E1" s="19" t="s">
        <v>86</v>
      </c>
      <c r="F1" s="19" t="s">
        <v>87</v>
      </c>
      <c r="G1" s="19" t="s">
        <v>88</v>
      </c>
      <c r="H1" s="19" t="s">
        <v>89</v>
      </c>
      <c r="I1" s="19" t="s">
        <v>90</v>
      </c>
      <c r="J1" s="19" t="s">
        <v>91</v>
      </c>
      <c r="K1" s="19" t="s">
        <v>92</v>
      </c>
      <c r="M1" s="7">
        <f>Semesterplan!A1 + (8 - WEEKDAY(Semesterplan!A1, 2))</f>
        <v>45992</v>
      </c>
    </row>
    <row r="2" spans="1:13" ht="15.75" customHeight="1" x14ac:dyDescent="0.2">
      <c r="A2" s="24">
        <v>45992</v>
      </c>
      <c r="B2" s="13"/>
      <c r="C2" s="13"/>
      <c r="D2" s="16"/>
      <c r="E2" s="5"/>
      <c r="F2" s="5"/>
      <c r="G2" s="5"/>
      <c r="H2" s="5"/>
      <c r="I2" s="5"/>
      <c r="J2" s="5"/>
      <c r="K2" s="5"/>
      <c r="M2" s="10"/>
    </row>
    <row r="3" spans="1:13" ht="15.75" customHeight="1" x14ac:dyDescent="0.2">
      <c r="A3" s="24">
        <v>45993</v>
      </c>
      <c r="B3" s="13"/>
      <c r="C3" s="13"/>
      <c r="D3" s="13"/>
      <c r="E3" s="5"/>
      <c r="F3" s="5"/>
      <c r="G3" s="5"/>
      <c r="H3" s="5"/>
      <c r="I3" s="5"/>
      <c r="J3" s="5"/>
      <c r="K3" s="5"/>
      <c r="M3" s="10"/>
    </row>
    <row r="4" spans="1:13" ht="15.75" customHeight="1" x14ac:dyDescent="0.2">
      <c r="A4" s="24">
        <v>45994</v>
      </c>
      <c r="B4" s="13"/>
      <c r="C4" s="13"/>
      <c r="D4" s="13"/>
      <c r="E4" s="5"/>
      <c r="F4" s="5"/>
      <c r="G4" s="5"/>
      <c r="H4" s="5"/>
      <c r="I4" s="5"/>
      <c r="J4" s="5"/>
      <c r="K4" s="5"/>
      <c r="M4" s="10"/>
    </row>
    <row r="5" spans="1:13" ht="15.75" customHeight="1" x14ac:dyDescent="0.2">
      <c r="A5" s="24">
        <v>45995</v>
      </c>
      <c r="B5" s="13"/>
      <c r="C5" s="13"/>
      <c r="D5" s="13"/>
      <c r="E5" s="5"/>
      <c r="F5" s="5"/>
      <c r="G5" s="5"/>
      <c r="H5" s="5"/>
      <c r="I5" s="5"/>
      <c r="J5" s="5"/>
      <c r="K5" s="5"/>
      <c r="M5" s="10"/>
    </row>
    <row r="6" spans="1:13" ht="15.75" customHeight="1" x14ac:dyDescent="0.2">
      <c r="A6" s="24">
        <v>45996</v>
      </c>
      <c r="B6" s="13"/>
      <c r="C6" s="13"/>
      <c r="D6" s="13"/>
      <c r="E6" s="5"/>
      <c r="F6" s="5"/>
      <c r="G6" s="5"/>
      <c r="H6" s="5"/>
      <c r="I6" s="5"/>
      <c r="J6" s="5"/>
      <c r="K6" s="5"/>
      <c r="M6" s="10"/>
    </row>
    <row r="7" spans="1:13" ht="15.75" customHeight="1" x14ac:dyDescent="0.2">
      <c r="A7" s="24">
        <v>45997</v>
      </c>
      <c r="B7" s="13"/>
      <c r="C7" s="13"/>
      <c r="D7" s="13"/>
      <c r="E7" s="5"/>
      <c r="F7" s="5"/>
      <c r="G7" s="5"/>
      <c r="H7" s="5"/>
      <c r="I7" s="5"/>
      <c r="J7" s="5"/>
      <c r="K7" s="5"/>
      <c r="M7" s="10"/>
    </row>
    <row r="8" spans="1:13" ht="15.75" customHeight="1" x14ac:dyDescent="0.2">
      <c r="A8" s="24">
        <v>45998</v>
      </c>
      <c r="B8" s="13"/>
      <c r="C8" s="13"/>
      <c r="D8" s="13"/>
      <c r="E8" s="5"/>
      <c r="F8" s="5"/>
      <c r="G8" s="5"/>
      <c r="H8" s="5"/>
      <c r="I8" s="5"/>
      <c r="J8" s="5"/>
      <c r="K8" s="5"/>
      <c r="M8" s="10"/>
    </row>
    <row r="9" spans="1:13" ht="15.75" customHeight="1" x14ac:dyDescent="0.2">
      <c r="A9" s="24">
        <v>45999</v>
      </c>
      <c r="B9" s="13"/>
      <c r="C9" s="13"/>
      <c r="D9" s="13"/>
      <c r="E9" s="5"/>
      <c r="F9" s="5"/>
      <c r="G9" s="5"/>
      <c r="H9" s="5"/>
      <c r="I9" s="5"/>
      <c r="J9" s="5"/>
      <c r="K9" s="5"/>
      <c r="M9" s="10"/>
    </row>
    <row r="10" spans="1:13" ht="15.75" customHeight="1" x14ac:dyDescent="0.2">
      <c r="A10" s="24">
        <v>46000</v>
      </c>
      <c r="B10" s="13"/>
      <c r="C10" s="13"/>
      <c r="D10" s="13"/>
      <c r="E10" s="5"/>
      <c r="F10" s="5"/>
      <c r="G10" s="5"/>
      <c r="H10" s="5"/>
      <c r="I10" s="5"/>
      <c r="J10" s="5"/>
      <c r="K10" s="5"/>
      <c r="M10" s="10"/>
    </row>
    <row r="11" spans="1:13" ht="15.75" customHeight="1" x14ac:dyDescent="0.2">
      <c r="A11" s="24">
        <v>46001</v>
      </c>
      <c r="B11" s="13"/>
      <c r="C11" s="13"/>
      <c r="D11" s="13"/>
      <c r="E11" s="5"/>
      <c r="F11" s="5"/>
      <c r="G11" s="5"/>
      <c r="H11" s="5"/>
      <c r="I11" s="5"/>
      <c r="J11" s="5"/>
      <c r="K11" s="5"/>
      <c r="M11" s="10"/>
    </row>
    <row r="12" spans="1:13" ht="15.75" customHeight="1" x14ac:dyDescent="0.2">
      <c r="A12" s="24">
        <v>46002</v>
      </c>
      <c r="B12" s="13"/>
      <c r="C12" s="13"/>
      <c r="D12" s="13"/>
      <c r="E12" s="5"/>
      <c r="F12" s="5"/>
      <c r="G12" s="5"/>
      <c r="H12" s="5"/>
      <c r="I12" s="5"/>
      <c r="J12" s="5"/>
      <c r="K12" s="5"/>
      <c r="M12" s="10"/>
    </row>
    <row r="13" spans="1:13" ht="15.75" customHeight="1" x14ac:dyDescent="0.2">
      <c r="A13" s="24">
        <v>46003</v>
      </c>
      <c r="B13" s="13"/>
      <c r="C13" s="13"/>
      <c r="D13" s="13"/>
      <c r="E13" s="5"/>
      <c r="F13" s="5"/>
      <c r="G13" s="5"/>
      <c r="H13" s="5"/>
      <c r="I13" s="5"/>
      <c r="J13" s="5"/>
      <c r="K13" s="5"/>
      <c r="M13" s="10"/>
    </row>
    <row r="14" spans="1:13" ht="15.75" customHeight="1" x14ac:dyDescent="0.2">
      <c r="A14" s="24">
        <v>46004</v>
      </c>
      <c r="B14" s="13"/>
      <c r="C14" s="13"/>
      <c r="D14" s="13"/>
      <c r="E14" s="5"/>
      <c r="F14" s="5"/>
      <c r="G14" s="5"/>
      <c r="H14" s="5"/>
      <c r="I14" s="5"/>
      <c r="J14" s="5"/>
      <c r="K14" s="5"/>
      <c r="M14" s="10"/>
    </row>
    <row r="15" spans="1:13" ht="15.75" customHeight="1" x14ac:dyDescent="0.2">
      <c r="A15" s="24">
        <v>46005</v>
      </c>
      <c r="B15" s="13"/>
      <c r="C15" s="13"/>
      <c r="D15" s="13"/>
      <c r="E15" s="5"/>
      <c r="F15" s="5"/>
      <c r="G15" s="5"/>
      <c r="H15" s="5"/>
      <c r="I15" s="5"/>
      <c r="J15" s="5"/>
      <c r="K15" s="5"/>
      <c r="M15" s="10"/>
    </row>
    <row r="16" spans="1:13" ht="15.75" customHeight="1" x14ac:dyDescent="0.2">
      <c r="A16" s="24">
        <v>46006</v>
      </c>
      <c r="B16" s="13"/>
      <c r="C16" s="13"/>
      <c r="D16" s="13"/>
      <c r="E16" s="5"/>
      <c r="F16" s="5"/>
      <c r="G16" s="5"/>
      <c r="H16" s="5"/>
      <c r="I16" s="5"/>
      <c r="J16" s="5"/>
      <c r="K16" s="5"/>
      <c r="M16" s="10"/>
    </row>
    <row r="17" spans="1:13" ht="15.75" customHeight="1" x14ac:dyDescent="0.2">
      <c r="A17" s="24">
        <v>46007</v>
      </c>
      <c r="B17" s="13"/>
      <c r="C17" s="13"/>
      <c r="D17" s="13"/>
      <c r="E17" s="5"/>
      <c r="F17" s="5"/>
      <c r="G17" s="5"/>
      <c r="H17" s="5"/>
      <c r="I17" s="5"/>
      <c r="J17" s="5"/>
      <c r="K17" s="5"/>
      <c r="M17" s="10"/>
    </row>
    <row r="18" spans="1:13" ht="15.75" customHeight="1" x14ac:dyDescent="0.2">
      <c r="A18" s="24">
        <v>46008</v>
      </c>
      <c r="B18" s="13"/>
      <c r="C18" s="13"/>
      <c r="D18" s="13"/>
      <c r="E18" s="5"/>
      <c r="F18" s="5"/>
      <c r="G18" s="5"/>
      <c r="H18" s="5"/>
      <c r="I18" s="5"/>
      <c r="J18" s="5"/>
      <c r="K18" s="5"/>
      <c r="M18" s="10"/>
    </row>
    <row r="19" spans="1:13" ht="15.75" customHeight="1" x14ac:dyDescent="0.2">
      <c r="A19" s="24">
        <v>46009</v>
      </c>
      <c r="B19" s="13"/>
      <c r="C19" s="13"/>
      <c r="D19" s="13"/>
      <c r="E19" s="5"/>
      <c r="F19" s="5"/>
      <c r="G19" s="5"/>
      <c r="H19" s="5"/>
      <c r="I19" s="5"/>
      <c r="J19" s="5"/>
      <c r="K19" s="5"/>
      <c r="M19" s="10"/>
    </row>
    <row r="20" spans="1:13" ht="15.75" customHeight="1" x14ac:dyDescent="0.2">
      <c r="A20" s="24">
        <v>46010</v>
      </c>
      <c r="B20" s="13"/>
      <c r="C20" s="13"/>
      <c r="D20" s="13"/>
      <c r="E20" s="5"/>
      <c r="F20" s="5"/>
      <c r="G20" s="5"/>
      <c r="H20" s="5"/>
      <c r="I20" s="5"/>
      <c r="J20" s="5"/>
      <c r="K20" s="5"/>
      <c r="M20" s="10"/>
    </row>
    <row r="21" spans="1:13" ht="15.75" customHeight="1" x14ac:dyDescent="0.2">
      <c r="A21" s="24">
        <v>46011</v>
      </c>
      <c r="B21" s="13"/>
      <c r="C21" s="13"/>
      <c r="D21" s="13"/>
      <c r="E21" s="5"/>
      <c r="F21" s="5"/>
      <c r="G21" s="5"/>
      <c r="H21" s="5"/>
      <c r="I21" s="5"/>
      <c r="J21" s="5"/>
      <c r="K21" s="5"/>
      <c r="M21" s="10"/>
    </row>
    <row r="22" spans="1:13" ht="15.75" customHeight="1" x14ac:dyDescent="0.2">
      <c r="A22" s="24">
        <v>46012</v>
      </c>
      <c r="B22" s="13"/>
      <c r="C22" s="13"/>
      <c r="D22" s="13"/>
      <c r="E22" s="5"/>
      <c r="F22" s="5"/>
      <c r="G22" s="5"/>
      <c r="H22" s="5"/>
      <c r="I22" s="5"/>
      <c r="J22" s="5"/>
      <c r="K22" s="5"/>
      <c r="M22" s="10"/>
    </row>
    <row r="23" spans="1:13" ht="15.75" customHeight="1" x14ac:dyDescent="0.2">
      <c r="A23" s="24">
        <v>46013</v>
      </c>
      <c r="B23" s="13"/>
      <c r="C23" s="13"/>
      <c r="D23" s="13"/>
      <c r="E23" s="5"/>
      <c r="F23" s="5"/>
      <c r="G23" s="5"/>
      <c r="H23" s="5"/>
      <c r="I23" s="5"/>
      <c r="J23" s="5"/>
      <c r="K23" s="5"/>
      <c r="M23" s="10"/>
    </row>
    <row r="24" spans="1:13" ht="15.75" customHeight="1" x14ac:dyDescent="0.2">
      <c r="A24" s="24">
        <v>46014</v>
      </c>
      <c r="B24" s="13"/>
      <c r="C24" s="13"/>
      <c r="D24" s="13"/>
      <c r="E24" s="5"/>
      <c r="F24" s="5"/>
      <c r="G24" s="5"/>
      <c r="H24" s="5"/>
      <c r="I24" s="5"/>
      <c r="J24" s="5"/>
      <c r="K24" s="5"/>
      <c r="M24" s="10"/>
    </row>
    <row r="25" spans="1:13" ht="15.75" customHeight="1" x14ac:dyDescent="0.2">
      <c r="A25" s="24">
        <v>46015</v>
      </c>
      <c r="B25" s="13"/>
      <c r="C25" s="13"/>
      <c r="D25" s="13"/>
      <c r="E25" s="5"/>
      <c r="F25" s="5"/>
      <c r="G25" s="5"/>
      <c r="H25" s="5"/>
      <c r="I25" s="5"/>
      <c r="J25" s="5"/>
      <c r="K25" s="5"/>
      <c r="M25" s="10"/>
    </row>
    <row r="26" spans="1:13" ht="15.75" customHeight="1" x14ac:dyDescent="0.2">
      <c r="A26" s="24">
        <v>46016</v>
      </c>
      <c r="B26" s="13"/>
      <c r="C26" s="13"/>
      <c r="D26" s="13"/>
      <c r="E26" s="5"/>
      <c r="F26" s="5"/>
      <c r="G26" s="5"/>
      <c r="H26" s="5"/>
      <c r="I26" s="5"/>
      <c r="J26" s="5"/>
      <c r="K26" s="5"/>
      <c r="M26" s="10"/>
    </row>
    <row r="27" spans="1:13" ht="15.75" customHeight="1" x14ac:dyDescent="0.2">
      <c r="A27" s="24">
        <v>46017</v>
      </c>
      <c r="B27" s="13"/>
      <c r="C27" s="13"/>
      <c r="D27" s="13"/>
      <c r="E27" s="5"/>
      <c r="F27" s="5"/>
      <c r="G27" s="5"/>
      <c r="H27" s="5"/>
      <c r="I27" s="5"/>
      <c r="J27" s="5"/>
      <c r="K27" s="5"/>
      <c r="M27" s="10"/>
    </row>
    <row r="28" spans="1:13" ht="15.75" customHeight="1" x14ac:dyDescent="0.2">
      <c r="A28" s="24">
        <v>46018</v>
      </c>
      <c r="B28" s="13"/>
      <c r="C28" s="13"/>
      <c r="D28" s="13"/>
      <c r="E28" s="5"/>
      <c r="F28" s="5"/>
      <c r="G28" s="5"/>
      <c r="H28" s="5"/>
      <c r="I28" s="5"/>
      <c r="J28" s="5"/>
      <c r="K28" s="5"/>
      <c r="M28" s="10"/>
    </row>
    <row r="29" spans="1:13" ht="15.75" customHeight="1" x14ac:dyDescent="0.2">
      <c r="A29" s="24">
        <v>46019</v>
      </c>
      <c r="B29" s="13"/>
      <c r="C29" s="13"/>
      <c r="D29" s="13"/>
      <c r="E29" s="5"/>
      <c r="F29" s="5"/>
      <c r="G29" s="5"/>
      <c r="H29" s="5"/>
      <c r="I29" s="5"/>
      <c r="J29" s="5"/>
      <c r="K29" s="5"/>
      <c r="M29" s="10"/>
    </row>
    <row r="30" spans="1:13" ht="15.75" customHeight="1" x14ac:dyDescent="0.2">
      <c r="A30" s="24">
        <v>46020</v>
      </c>
      <c r="B30" s="13"/>
      <c r="C30" s="13"/>
      <c r="D30" s="13"/>
      <c r="E30" s="5"/>
      <c r="F30" s="5"/>
      <c r="G30" s="5"/>
      <c r="H30" s="5"/>
      <c r="I30" s="5"/>
      <c r="J30" s="5"/>
      <c r="K30" s="5"/>
      <c r="M30" s="10"/>
    </row>
    <row r="31" spans="1:13" ht="15.75" customHeight="1" x14ac:dyDescent="0.2">
      <c r="A31" s="24">
        <v>46021</v>
      </c>
      <c r="B31" s="13"/>
      <c r="C31" s="13"/>
      <c r="D31" s="13"/>
      <c r="E31" s="5"/>
      <c r="F31" s="5"/>
      <c r="G31" s="5"/>
      <c r="H31" s="5"/>
      <c r="I31" s="5"/>
      <c r="J31" s="5"/>
      <c r="K31" s="5"/>
      <c r="M31" s="10"/>
    </row>
    <row r="32" spans="1:13" ht="15.75" customHeight="1" x14ac:dyDescent="0.2">
      <c r="A32" s="24">
        <v>46022</v>
      </c>
      <c r="B32" s="13"/>
      <c r="C32" s="13"/>
      <c r="D32" s="13"/>
      <c r="E32" s="5"/>
      <c r="F32" s="5"/>
      <c r="G32" s="5"/>
      <c r="H32" s="5"/>
      <c r="I32" s="5"/>
      <c r="J32" s="5"/>
      <c r="K32" s="5"/>
      <c r="M32" s="10"/>
    </row>
    <row r="33" spans="1:13" ht="15.75" customHeight="1" x14ac:dyDescent="0.2">
      <c r="A33" s="24">
        <v>46023</v>
      </c>
      <c r="B33" s="13"/>
      <c r="C33" s="13"/>
      <c r="D33" s="13"/>
      <c r="E33" s="5"/>
      <c r="F33" s="5"/>
      <c r="G33" s="5"/>
      <c r="H33" s="5"/>
      <c r="I33" s="5"/>
      <c r="J33" s="5"/>
      <c r="K33" s="5"/>
      <c r="M33" s="10"/>
    </row>
    <row r="34" spans="1:13" ht="15.75" customHeight="1" x14ac:dyDescent="0.2">
      <c r="A34" s="24">
        <v>46024</v>
      </c>
      <c r="B34" s="13"/>
      <c r="C34" s="13"/>
      <c r="D34" s="13"/>
      <c r="E34" s="5"/>
      <c r="F34" s="5"/>
      <c r="G34" s="5"/>
      <c r="H34" s="5"/>
      <c r="I34" s="5"/>
      <c r="J34" s="5"/>
      <c r="K34" s="5"/>
      <c r="M34" s="10"/>
    </row>
    <row r="35" spans="1:13" ht="15.75" customHeight="1" x14ac:dyDescent="0.2">
      <c r="A35" s="24">
        <v>46025</v>
      </c>
      <c r="B35" s="13"/>
      <c r="C35" s="13"/>
      <c r="D35" s="13"/>
      <c r="E35" s="5"/>
      <c r="F35" s="5"/>
      <c r="G35" s="5"/>
      <c r="H35" s="5"/>
      <c r="I35" s="5"/>
      <c r="J35" s="5"/>
      <c r="K35" s="5"/>
      <c r="M35" s="10"/>
    </row>
    <row r="36" spans="1:13" ht="15.75" customHeight="1" x14ac:dyDescent="0.2">
      <c r="A36" s="24">
        <v>46026</v>
      </c>
      <c r="B36" s="13"/>
      <c r="C36" s="13"/>
      <c r="D36" s="13"/>
      <c r="E36" s="5"/>
      <c r="F36" s="5"/>
      <c r="G36" s="5"/>
      <c r="H36" s="5"/>
      <c r="I36" s="5"/>
      <c r="J36" s="5"/>
      <c r="K36" s="5"/>
      <c r="M36" s="10"/>
    </row>
    <row r="37" spans="1:13" ht="15.75" customHeight="1" x14ac:dyDescent="0.2">
      <c r="A37" s="24">
        <v>46027</v>
      </c>
      <c r="B37" s="13"/>
      <c r="C37" s="13"/>
      <c r="D37" s="13"/>
      <c r="E37" s="5"/>
      <c r="F37" s="5"/>
      <c r="G37" s="5"/>
      <c r="H37" s="5"/>
      <c r="I37" s="5"/>
      <c r="J37" s="5"/>
      <c r="K37" s="5"/>
      <c r="M37" s="10"/>
    </row>
    <row r="38" spans="1:13" ht="15.75" customHeight="1" x14ac:dyDescent="0.2">
      <c r="A38" s="24">
        <v>46028</v>
      </c>
      <c r="B38" s="13"/>
      <c r="C38" s="13"/>
      <c r="D38" s="13"/>
      <c r="E38" s="5"/>
      <c r="F38" s="5"/>
      <c r="G38" s="5"/>
      <c r="H38" s="5"/>
      <c r="I38" s="5"/>
      <c r="J38" s="5"/>
      <c r="K38" s="5"/>
      <c r="M38" s="10"/>
    </row>
    <row r="39" spans="1:13" ht="15.75" customHeight="1" x14ac:dyDescent="0.2">
      <c r="A39" s="24">
        <v>46029</v>
      </c>
      <c r="B39" s="13"/>
      <c r="C39" s="13"/>
      <c r="D39" s="13"/>
      <c r="E39" s="5"/>
      <c r="F39" s="5"/>
      <c r="G39" s="5"/>
      <c r="H39" s="5"/>
      <c r="I39" s="5"/>
      <c r="J39" s="5"/>
      <c r="K39" s="5"/>
      <c r="M39" s="10"/>
    </row>
    <row r="40" spans="1:13" ht="15.75" customHeight="1" x14ac:dyDescent="0.2">
      <c r="A40" s="24">
        <v>46030</v>
      </c>
      <c r="B40" s="13"/>
      <c r="C40" s="13"/>
      <c r="D40" s="13"/>
      <c r="E40" s="5"/>
      <c r="F40" s="5"/>
      <c r="G40" s="5"/>
      <c r="H40" s="5"/>
      <c r="I40" s="5"/>
      <c r="J40" s="5"/>
      <c r="K40" s="5"/>
      <c r="M40" s="10"/>
    </row>
    <row r="41" spans="1:13" ht="15.75" customHeight="1" x14ac:dyDescent="0.2">
      <c r="A41" s="24">
        <v>46031</v>
      </c>
      <c r="B41" s="13"/>
      <c r="C41" s="13"/>
      <c r="D41" s="13"/>
      <c r="E41" s="5"/>
      <c r="F41" s="5"/>
      <c r="G41" s="5"/>
      <c r="H41" s="5"/>
      <c r="I41" s="5"/>
      <c r="J41" s="5"/>
      <c r="K41" s="5"/>
      <c r="M41" s="10"/>
    </row>
    <row r="42" spans="1:13" ht="15.75" customHeight="1" x14ac:dyDescent="0.2">
      <c r="A42" s="24">
        <v>46032</v>
      </c>
      <c r="B42" s="13"/>
      <c r="C42" s="13"/>
      <c r="D42" s="13"/>
      <c r="E42" s="5"/>
      <c r="F42" s="5"/>
      <c r="G42" s="5"/>
      <c r="H42" s="5"/>
      <c r="I42" s="5"/>
      <c r="J42" s="5"/>
      <c r="K42" s="5"/>
      <c r="M42" s="10"/>
    </row>
    <row r="43" spans="1:13" ht="15.75" customHeight="1" x14ac:dyDescent="0.2">
      <c r="A43" s="24">
        <v>46033</v>
      </c>
      <c r="B43" s="13"/>
      <c r="C43" s="13"/>
      <c r="D43" s="13"/>
      <c r="E43" s="5"/>
      <c r="F43" s="5"/>
      <c r="G43" s="5"/>
      <c r="H43" s="5"/>
      <c r="I43" s="5"/>
      <c r="J43" s="5"/>
      <c r="K43" s="5"/>
      <c r="M43" s="10"/>
    </row>
    <row r="44" spans="1:13" ht="15.75" customHeight="1" x14ac:dyDescent="0.2">
      <c r="A44" s="24">
        <v>46034</v>
      </c>
      <c r="B44" s="13"/>
      <c r="C44" s="13"/>
      <c r="D44" s="13"/>
      <c r="E44" s="5"/>
      <c r="F44" s="5"/>
      <c r="G44" s="5"/>
      <c r="H44" s="5"/>
      <c r="I44" s="5"/>
      <c r="J44" s="5"/>
      <c r="K44" s="5"/>
      <c r="M44" s="10"/>
    </row>
    <row r="45" spans="1:13" ht="15.75" customHeight="1" x14ac:dyDescent="0.2">
      <c r="A45" s="24">
        <v>46035</v>
      </c>
      <c r="B45" s="13"/>
      <c r="C45" s="13"/>
      <c r="D45" s="13"/>
      <c r="E45" s="5"/>
      <c r="F45" s="5"/>
      <c r="G45" s="5"/>
      <c r="H45" s="5"/>
      <c r="I45" s="5"/>
      <c r="J45" s="5"/>
      <c r="K45" s="5"/>
      <c r="M45" s="10"/>
    </row>
    <row r="46" spans="1:13" ht="15.75" customHeight="1" x14ac:dyDescent="0.2">
      <c r="A46" s="24">
        <v>46036</v>
      </c>
      <c r="B46" s="13"/>
      <c r="C46" s="13"/>
      <c r="D46" s="13"/>
      <c r="E46" s="5"/>
      <c r="F46" s="5"/>
      <c r="G46" s="5"/>
      <c r="H46" s="5"/>
      <c r="I46" s="5"/>
      <c r="J46" s="5"/>
      <c r="K46" s="5"/>
      <c r="M46" s="10"/>
    </row>
    <row r="47" spans="1:13" ht="15.75" customHeight="1" x14ac:dyDescent="0.2">
      <c r="A47" s="24">
        <v>46037</v>
      </c>
      <c r="B47" s="13"/>
      <c r="C47" s="13"/>
      <c r="D47" s="13"/>
      <c r="E47" s="5"/>
      <c r="F47" s="5"/>
      <c r="G47" s="5"/>
      <c r="H47" s="5"/>
      <c r="I47" s="5"/>
      <c r="J47" s="5"/>
      <c r="K47" s="5"/>
      <c r="M47" s="10"/>
    </row>
    <row r="48" spans="1:13" ht="15.75" customHeight="1" x14ac:dyDescent="0.2">
      <c r="A48" s="24">
        <v>46038</v>
      </c>
      <c r="B48" s="13"/>
      <c r="C48" s="13"/>
      <c r="D48" s="13"/>
      <c r="E48" s="5"/>
      <c r="F48" s="5"/>
      <c r="G48" s="5"/>
      <c r="H48" s="5"/>
      <c r="I48" s="5"/>
      <c r="J48" s="5"/>
      <c r="K48" s="5"/>
      <c r="M48" s="10"/>
    </row>
    <row r="49" spans="1:13" ht="15.75" customHeight="1" x14ac:dyDescent="0.2">
      <c r="A49" s="24">
        <v>46039</v>
      </c>
      <c r="B49" s="13"/>
      <c r="C49" s="13"/>
      <c r="D49" s="13"/>
      <c r="E49" s="5"/>
      <c r="F49" s="5"/>
      <c r="G49" s="5"/>
      <c r="H49" s="5"/>
      <c r="I49" s="5"/>
      <c r="J49" s="5"/>
      <c r="K49" s="5"/>
      <c r="M49" s="10"/>
    </row>
    <row r="50" spans="1:13" ht="15.75" customHeight="1" x14ac:dyDescent="0.2">
      <c r="A50" s="24">
        <v>46040</v>
      </c>
      <c r="B50" s="13"/>
      <c r="C50" s="13"/>
      <c r="D50" s="13"/>
      <c r="E50" s="5"/>
      <c r="F50" s="5"/>
      <c r="G50" s="5"/>
      <c r="H50" s="5"/>
      <c r="I50" s="5"/>
      <c r="J50" s="5"/>
      <c r="K50" s="5"/>
      <c r="M50" s="10"/>
    </row>
    <row r="51" spans="1:13" ht="15.75" customHeight="1" x14ac:dyDescent="0.2">
      <c r="A51" s="24">
        <v>46041</v>
      </c>
      <c r="B51" s="13"/>
      <c r="C51" s="13"/>
      <c r="D51" s="13"/>
      <c r="E51" s="5"/>
      <c r="F51" s="5"/>
      <c r="G51" s="5"/>
      <c r="H51" s="5"/>
      <c r="I51" s="5"/>
      <c r="J51" s="5"/>
      <c r="K51" s="5"/>
      <c r="M51" s="10"/>
    </row>
    <row r="52" spans="1:13" ht="15.75" customHeight="1" x14ac:dyDescent="0.2">
      <c r="A52" s="24">
        <v>46042</v>
      </c>
      <c r="B52" s="13"/>
      <c r="C52" s="13"/>
      <c r="D52" s="13"/>
      <c r="E52" s="5"/>
      <c r="F52" s="5"/>
      <c r="G52" s="5"/>
      <c r="H52" s="5"/>
      <c r="I52" s="5"/>
      <c r="J52" s="5"/>
      <c r="K52" s="5"/>
      <c r="M52" s="10"/>
    </row>
    <row r="53" spans="1:13" ht="15.75" customHeight="1" x14ac:dyDescent="0.2">
      <c r="A53" s="24">
        <v>46043</v>
      </c>
      <c r="B53" s="13"/>
      <c r="C53" s="13"/>
      <c r="D53" s="13"/>
      <c r="E53" s="5"/>
      <c r="F53" s="5"/>
      <c r="G53" s="5"/>
      <c r="H53" s="5"/>
      <c r="I53" s="5"/>
      <c r="J53" s="5"/>
      <c r="K53" s="5"/>
      <c r="M53" s="10"/>
    </row>
    <row r="54" spans="1:13" ht="15.75" customHeight="1" x14ac:dyDescent="0.2">
      <c r="A54" s="24">
        <v>46044</v>
      </c>
      <c r="B54" s="13"/>
      <c r="C54" s="13"/>
      <c r="D54" s="13"/>
      <c r="E54" s="5"/>
      <c r="F54" s="5"/>
      <c r="G54" s="5"/>
      <c r="H54" s="5"/>
      <c r="I54" s="5"/>
      <c r="J54" s="5"/>
      <c r="K54" s="5"/>
      <c r="M54" s="10"/>
    </row>
    <row r="55" spans="1:13" ht="15.75" customHeight="1" x14ac:dyDescent="0.2">
      <c r="A55" s="24">
        <v>46045</v>
      </c>
      <c r="B55" s="13"/>
      <c r="C55" s="13"/>
      <c r="D55" s="13"/>
      <c r="E55" s="5"/>
      <c r="F55" s="5"/>
      <c r="G55" s="5"/>
      <c r="H55" s="5"/>
      <c r="I55" s="5"/>
      <c r="J55" s="5"/>
      <c r="K55" s="5"/>
      <c r="M55" s="10"/>
    </row>
    <row r="56" spans="1:13" ht="15.75" customHeight="1" x14ac:dyDescent="0.2">
      <c r="A56" s="24">
        <v>46046</v>
      </c>
      <c r="B56" s="13"/>
      <c r="C56" s="13"/>
      <c r="D56" s="13"/>
      <c r="E56" s="5"/>
      <c r="F56" s="5"/>
      <c r="G56" s="5"/>
      <c r="H56" s="5"/>
      <c r="I56" s="5"/>
      <c r="J56" s="5"/>
      <c r="K56" s="5"/>
      <c r="M56" s="10"/>
    </row>
    <row r="57" spans="1:13" ht="15.75" customHeight="1" x14ac:dyDescent="0.2">
      <c r="A57" s="24">
        <v>46047</v>
      </c>
      <c r="B57" s="13"/>
      <c r="C57" s="13"/>
      <c r="D57" s="13"/>
      <c r="E57" s="5"/>
      <c r="F57" s="5"/>
      <c r="G57" s="5"/>
      <c r="H57" s="5"/>
      <c r="I57" s="5"/>
      <c r="J57" s="5"/>
      <c r="K57" s="5"/>
      <c r="M57" s="10"/>
    </row>
    <row r="58" spans="1:13" ht="15.75" customHeight="1" x14ac:dyDescent="0.2">
      <c r="A58" s="24">
        <v>46048</v>
      </c>
      <c r="B58" s="13"/>
      <c r="C58" s="13"/>
      <c r="D58" s="13"/>
      <c r="E58" s="5"/>
      <c r="F58" s="5"/>
      <c r="G58" s="5"/>
      <c r="H58" s="5"/>
      <c r="I58" s="5"/>
      <c r="J58" s="5"/>
      <c r="K58" s="5"/>
      <c r="M58" s="10"/>
    </row>
    <row r="59" spans="1:13" ht="15.75" customHeight="1" x14ac:dyDescent="0.2">
      <c r="A59" s="24">
        <v>46049</v>
      </c>
      <c r="B59" s="13"/>
      <c r="C59" s="13"/>
      <c r="D59" s="13"/>
      <c r="E59" s="5"/>
      <c r="F59" s="5"/>
      <c r="G59" s="5"/>
      <c r="H59" s="5"/>
      <c r="I59" s="5"/>
      <c r="J59" s="5"/>
      <c r="K59" s="5"/>
      <c r="M59" s="10"/>
    </row>
    <row r="60" spans="1:13" ht="15.75" customHeight="1" x14ac:dyDescent="0.2">
      <c r="A60" s="24">
        <v>46050</v>
      </c>
      <c r="B60" s="13"/>
      <c r="C60" s="13"/>
      <c r="D60" s="13"/>
      <c r="E60" s="5"/>
      <c r="F60" s="5"/>
      <c r="G60" s="5"/>
      <c r="H60" s="5"/>
      <c r="I60" s="5"/>
      <c r="J60" s="5"/>
      <c r="K60" s="5"/>
      <c r="M60" s="10"/>
    </row>
    <row r="61" spans="1:13" ht="15.75" customHeight="1" x14ac:dyDescent="0.2">
      <c r="A61" s="24">
        <v>46051</v>
      </c>
      <c r="B61" s="13"/>
      <c r="C61" s="13"/>
      <c r="D61" s="13"/>
      <c r="E61" s="5"/>
      <c r="F61" s="5"/>
      <c r="G61" s="5"/>
      <c r="H61" s="5"/>
      <c r="I61" s="5"/>
      <c r="J61" s="5"/>
      <c r="K61" s="5"/>
      <c r="M61" s="10"/>
    </row>
    <row r="62" spans="1:13" ht="15.75" customHeight="1" x14ac:dyDescent="0.2">
      <c r="A62" s="21" t="str">
        <f>TEXT($M$1 + ROW(A44) + 1, "mm/dd/yyyy")</f>
        <v>00/dd/yyyy</v>
      </c>
      <c r="B62" s="13"/>
      <c r="C62" s="13"/>
      <c r="D62" s="13"/>
      <c r="E62" s="5"/>
      <c r="F62" s="5"/>
      <c r="G62" s="5"/>
      <c r="H62" s="5"/>
      <c r="I62" s="5"/>
      <c r="J62" s="5"/>
      <c r="K62" s="5"/>
      <c r="M62" s="10"/>
    </row>
    <row r="63" spans="1:13" ht="15.75" customHeight="1" x14ac:dyDescent="0.2">
      <c r="A63" s="21" t="str">
        <f>TEXT($M$1 + ROW(A45) + 1, "mm/dd/yyyy")</f>
        <v>00/dd/yyyy</v>
      </c>
      <c r="B63" s="13"/>
      <c r="C63" s="13"/>
      <c r="D63" s="13"/>
      <c r="E63" s="5"/>
      <c r="F63" s="5"/>
      <c r="G63" s="5"/>
      <c r="H63" s="5"/>
      <c r="I63" s="5"/>
      <c r="J63" s="5"/>
      <c r="K63" s="5"/>
      <c r="M63" s="10"/>
    </row>
    <row r="64" spans="1:13" ht="15.75" customHeight="1" x14ac:dyDescent="0.2">
      <c r="A64" s="21" t="str">
        <f>TEXT($M$1 + ROW(A46) + 1, "mm/dd/yyyy")</f>
        <v>00/dd/yyyy</v>
      </c>
      <c r="B64" s="13"/>
      <c r="C64" s="13"/>
      <c r="D64" s="13"/>
      <c r="E64" s="5"/>
      <c r="F64" s="5"/>
      <c r="G64" s="5"/>
      <c r="H64" s="5"/>
      <c r="I64" s="5"/>
      <c r="J64" s="5"/>
      <c r="K64" s="5"/>
      <c r="M64" s="10"/>
    </row>
    <row r="65" spans="1:13" ht="15.75" customHeight="1" x14ac:dyDescent="0.2">
      <c r="A65" s="21" t="str">
        <f t="shared" ref="A65:A66" si="0">TEXT($M$1 + ROW(A62) + 1, "mm/dd/yyyy")</f>
        <v>00/dd/yyyy</v>
      </c>
      <c r="B65" s="13"/>
      <c r="C65" s="13"/>
      <c r="D65" s="13"/>
      <c r="E65" s="5"/>
      <c r="F65" s="5"/>
      <c r="G65" s="5"/>
      <c r="H65" s="5"/>
      <c r="I65" s="5"/>
      <c r="J65" s="5"/>
      <c r="K65" s="5"/>
      <c r="M65" s="10"/>
    </row>
    <row r="66" spans="1:13" ht="15.75" customHeight="1" x14ac:dyDescent="0.2">
      <c r="A66" s="21" t="str">
        <f t="shared" si="0"/>
        <v>00/dd/yyyy</v>
      </c>
      <c r="B66" s="13"/>
      <c r="C66" s="13"/>
      <c r="D66" s="16"/>
      <c r="E66" s="5"/>
      <c r="F66" s="5"/>
      <c r="G66" s="5"/>
      <c r="H66" s="5"/>
      <c r="I66" s="5"/>
      <c r="J66" s="5"/>
      <c r="K66" s="5"/>
      <c r="M66" s="10"/>
    </row>
    <row r="67" spans="1:13" ht="15.75" customHeight="1" x14ac:dyDescent="0.2">
      <c r="A67" s="13"/>
      <c r="B67" s="13"/>
      <c r="C67" s="13"/>
      <c r="D67" s="13"/>
      <c r="M67" s="10"/>
    </row>
    <row r="68" spans="1:13" ht="15.75" customHeight="1" x14ac:dyDescent="0.2">
      <c r="A68" s="13"/>
      <c r="B68" s="13"/>
      <c r="C68" s="13"/>
      <c r="D68" s="13"/>
      <c r="M68" s="10"/>
    </row>
    <row r="69" spans="1:13" ht="15.75" customHeight="1" x14ac:dyDescent="0.2">
      <c r="A69" s="13"/>
      <c r="B69" s="13"/>
      <c r="C69" s="13"/>
      <c r="D69" s="13"/>
      <c r="M69" s="10"/>
    </row>
    <row r="70" spans="1:13" ht="15.75" customHeight="1" x14ac:dyDescent="0.2">
      <c r="A70" s="13"/>
      <c r="B70" s="13"/>
      <c r="C70" s="13"/>
      <c r="D70" s="13"/>
      <c r="M70" s="10"/>
    </row>
    <row r="71" spans="1:13" ht="15.75" customHeight="1" x14ac:dyDescent="0.2">
      <c r="A71" s="13"/>
      <c r="B71" s="13"/>
      <c r="C71" s="13"/>
      <c r="D71" s="13"/>
      <c r="M71" s="10"/>
    </row>
    <row r="72" spans="1:13" ht="15.75" customHeight="1" x14ac:dyDescent="0.2">
      <c r="A72" s="13"/>
      <c r="B72" s="13"/>
      <c r="C72" s="13"/>
      <c r="D72" s="13"/>
      <c r="M72" s="10"/>
    </row>
    <row r="73" spans="1:13" ht="15.75" customHeight="1" x14ac:dyDescent="0.2">
      <c r="A73" s="13"/>
      <c r="B73" s="13"/>
      <c r="C73" s="13"/>
      <c r="D73" s="13"/>
      <c r="M73" s="10"/>
    </row>
    <row r="74" spans="1:13" ht="15.75" customHeight="1" x14ac:dyDescent="0.2">
      <c r="A74" s="13"/>
      <c r="B74" s="13"/>
      <c r="C74" s="13"/>
      <c r="D74" s="13"/>
      <c r="M74" s="10"/>
    </row>
    <row r="75" spans="1:13" ht="15.75" customHeight="1" x14ac:dyDescent="0.2">
      <c r="A75" s="13"/>
      <c r="B75" s="13"/>
      <c r="C75" s="13"/>
      <c r="D75" s="13"/>
      <c r="M75" s="10"/>
    </row>
    <row r="76" spans="1:13" ht="15.75" customHeight="1" x14ac:dyDescent="0.2">
      <c r="A76" s="13"/>
      <c r="B76" s="13"/>
      <c r="C76" s="13"/>
      <c r="D76" s="13"/>
      <c r="M76" s="10"/>
    </row>
    <row r="77" spans="1:13" ht="15.75" customHeight="1" x14ac:dyDescent="0.2">
      <c r="A77" s="13"/>
      <c r="B77" s="13"/>
      <c r="C77" s="13"/>
      <c r="D77" s="13"/>
      <c r="M77" s="10"/>
    </row>
    <row r="78" spans="1:13" ht="15.75" customHeight="1" x14ac:dyDescent="0.2">
      <c r="A78" s="13"/>
      <c r="B78" s="13"/>
      <c r="C78" s="13"/>
      <c r="D78" s="13"/>
      <c r="M78" s="10"/>
    </row>
    <row r="79" spans="1:13" ht="15.75" customHeight="1" x14ac:dyDescent="0.2">
      <c r="A79" s="13"/>
      <c r="B79" s="13"/>
      <c r="C79" s="13"/>
      <c r="D79" s="13"/>
      <c r="M79" s="10"/>
    </row>
    <row r="80" spans="1:13" ht="15.75" customHeight="1" x14ac:dyDescent="0.2">
      <c r="A80" s="13"/>
      <c r="B80" s="13"/>
      <c r="C80" s="13"/>
      <c r="D80" s="13"/>
      <c r="M80" s="10"/>
    </row>
    <row r="81" spans="1:13" ht="15.75" customHeight="1" x14ac:dyDescent="0.2">
      <c r="A81" s="13"/>
      <c r="B81" s="13"/>
      <c r="C81" s="13"/>
      <c r="D81" s="13"/>
      <c r="M81" s="10"/>
    </row>
    <row r="82" spans="1:13" ht="15.75" customHeight="1" x14ac:dyDescent="0.2">
      <c r="A82" s="13"/>
      <c r="B82" s="13"/>
      <c r="C82" s="13"/>
      <c r="D82" s="13"/>
      <c r="M82" s="10"/>
    </row>
    <row r="83" spans="1:13" ht="15.75" customHeight="1" x14ac:dyDescent="0.2">
      <c r="A83" s="13"/>
      <c r="B83" s="13"/>
      <c r="C83" s="13"/>
      <c r="D83" s="13"/>
      <c r="M83" s="10"/>
    </row>
    <row r="84" spans="1:13" ht="15.75" customHeight="1" x14ac:dyDescent="0.2">
      <c r="A84" s="13"/>
      <c r="B84" s="13"/>
      <c r="C84" s="13"/>
      <c r="D84" s="13"/>
      <c r="M84" s="10"/>
    </row>
    <row r="85" spans="1:13" ht="15.75" customHeight="1" x14ac:dyDescent="0.2">
      <c r="A85" s="13"/>
      <c r="B85" s="13"/>
      <c r="C85" s="13"/>
      <c r="D85" s="13"/>
      <c r="M85" s="10"/>
    </row>
    <row r="86" spans="1:13" ht="15.75" customHeight="1" x14ac:dyDescent="0.2">
      <c r="A86" s="13"/>
      <c r="B86" s="13"/>
      <c r="C86" s="13"/>
      <c r="D86" s="13"/>
      <c r="M86" s="10"/>
    </row>
    <row r="87" spans="1:13" ht="15.75" customHeight="1" x14ac:dyDescent="0.2">
      <c r="A87" s="13"/>
      <c r="B87" s="13"/>
      <c r="C87" s="13"/>
      <c r="D87" s="13"/>
      <c r="M87" s="10"/>
    </row>
    <row r="88" spans="1:13" ht="15.75" customHeight="1" x14ac:dyDescent="0.2">
      <c r="A88" s="13"/>
      <c r="B88" s="13"/>
      <c r="C88" s="13"/>
      <c r="D88" s="13"/>
      <c r="M88" s="10"/>
    </row>
    <row r="89" spans="1:13" ht="15.75" customHeight="1" x14ac:dyDescent="0.2">
      <c r="A89" s="13"/>
      <c r="B89" s="13"/>
      <c r="C89" s="13"/>
      <c r="D89" s="13"/>
      <c r="M89" s="10"/>
    </row>
    <row r="90" spans="1:13" ht="15.75" customHeight="1" x14ac:dyDescent="0.2">
      <c r="A90" s="13"/>
      <c r="B90" s="13"/>
      <c r="C90" s="13"/>
      <c r="D90" s="13"/>
      <c r="M90" s="10"/>
    </row>
    <row r="91" spans="1:13" ht="15.75" customHeight="1" x14ac:dyDescent="0.2">
      <c r="A91" s="13"/>
      <c r="B91" s="13"/>
      <c r="C91" s="13"/>
      <c r="D91" s="13"/>
      <c r="M91" s="10"/>
    </row>
    <row r="92" spans="1:13" ht="15.75" customHeight="1" x14ac:dyDescent="0.2">
      <c r="A92" s="13"/>
      <c r="B92" s="13"/>
      <c r="C92" s="13"/>
      <c r="D92" s="13"/>
      <c r="M92" s="10"/>
    </row>
    <row r="93" spans="1:13" ht="15.75" customHeight="1" x14ac:dyDescent="0.2">
      <c r="A93" s="13"/>
      <c r="B93" s="13"/>
      <c r="C93" s="13"/>
      <c r="D93" s="13"/>
      <c r="M93" s="10"/>
    </row>
    <row r="94" spans="1:13" ht="15.75" customHeight="1" x14ac:dyDescent="0.2">
      <c r="A94" s="13"/>
      <c r="B94" s="13"/>
      <c r="C94" s="13"/>
      <c r="D94" s="13"/>
      <c r="M94" s="10"/>
    </row>
    <row r="95" spans="1:13" ht="15.75" customHeight="1" x14ac:dyDescent="0.2">
      <c r="A95" s="13"/>
      <c r="B95" s="13"/>
      <c r="C95" s="13"/>
      <c r="D95" s="13"/>
      <c r="M95" s="10"/>
    </row>
    <row r="96" spans="1:13" ht="15.75" customHeight="1" x14ac:dyDescent="0.2">
      <c r="A96" s="13"/>
      <c r="B96" s="13"/>
      <c r="C96" s="13"/>
      <c r="D96" s="13"/>
      <c r="M96" s="10"/>
    </row>
    <row r="97" spans="1:13" ht="15.75" customHeight="1" x14ac:dyDescent="0.2">
      <c r="A97" s="13"/>
      <c r="B97" s="13"/>
      <c r="C97" s="13"/>
      <c r="D97" s="13"/>
      <c r="M97" s="10"/>
    </row>
    <row r="98" spans="1:13" ht="15.75" customHeight="1" x14ac:dyDescent="0.2">
      <c r="A98" s="13"/>
      <c r="B98" s="13"/>
      <c r="C98" s="13"/>
      <c r="D98" s="13"/>
      <c r="M98" s="10"/>
    </row>
    <row r="99" spans="1:13" ht="15.75" customHeight="1" x14ac:dyDescent="0.2">
      <c r="A99" s="13"/>
      <c r="B99" s="13"/>
      <c r="C99" s="13"/>
      <c r="D99" s="13"/>
      <c r="M99" s="10"/>
    </row>
    <row r="100" spans="1:13" ht="15.75" customHeight="1" x14ac:dyDescent="0.2">
      <c r="A100" s="13"/>
      <c r="B100" s="13"/>
      <c r="C100" s="13"/>
      <c r="D100" s="13"/>
      <c r="M100" s="10"/>
    </row>
    <row r="101" spans="1:13" ht="15.75" customHeight="1" x14ac:dyDescent="0.2">
      <c r="A101" s="13"/>
      <c r="B101" s="13"/>
      <c r="C101" s="13"/>
      <c r="D101" s="13"/>
      <c r="M101" s="10"/>
    </row>
    <row r="102" spans="1:13" ht="15.75" customHeight="1" x14ac:dyDescent="0.2">
      <c r="A102" s="13"/>
      <c r="B102" s="13"/>
      <c r="C102" s="13"/>
      <c r="D102" s="13"/>
      <c r="M102" s="10"/>
    </row>
    <row r="103" spans="1:13" ht="15.75" customHeight="1" x14ac:dyDescent="0.2">
      <c r="A103" s="13"/>
      <c r="B103" s="13"/>
      <c r="C103" s="13"/>
      <c r="D103" s="13"/>
      <c r="M103" s="10"/>
    </row>
    <row r="104" spans="1:13" ht="15.75" customHeight="1" x14ac:dyDescent="0.2">
      <c r="A104" s="13"/>
      <c r="B104" s="13"/>
      <c r="C104" s="13"/>
      <c r="D104" s="13"/>
      <c r="M104" s="10"/>
    </row>
    <row r="105" spans="1:13" ht="15.75" customHeight="1" x14ac:dyDescent="0.2">
      <c r="A105" s="13"/>
      <c r="B105" s="13"/>
      <c r="C105" s="13"/>
      <c r="D105" s="13"/>
      <c r="M105" s="10"/>
    </row>
    <row r="106" spans="1:13" ht="15.75" customHeight="1" x14ac:dyDescent="0.2">
      <c r="A106" s="13"/>
      <c r="B106" s="13"/>
      <c r="C106" s="13"/>
      <c r="D106" s="13"/>
      <c r="M106" s="10"/>
    </row>
    <row r="107" spans="1:13" ht="15.75" customHeight="1" x14ac:dyDescent="0.2">
      <c r="A107" s="13"/>
      <c r="B107" s="13"/>
      <c r="C107" s="13"/>
      <c r="D107" s="13"/>
      <c r="M107" s="10"/>
    </row>
    <row r="108" spans="1:13" ht="15.75" customHeight="1" x14ac:dyDescent="0.2">
      <c r="A108" s="13"/>
      <c r="B108" s="13"/>
      <c r="C108" s="13"/>
      <c r="D108" s="13"/>
      <c r="M108" s="10"/>
    </row>
    <row r="109" spans="1:13" ht="15.75" customHeight="1" x14ac:dyDescent="0.2">
      <c r="A109" s="13"/>
      <c r="B109" s="13"/>
      <c r="C109" s="13"/>
      <c r="D109" s="13"/>
      <c r="M109" s="10"/>
    </row>
    <row r="110" spans="1:13" ht="15.75" customHeight="1" x14ac:dyDescent="0.2">
      <c r="A110" s="13"/>
      <c r="B110" s="13"/>
      <c r="C110" s="13"/>
      <c r="D110" s="13"/>
      <c r="M110" s="10"/>
    </row>
    <row r="111" spans="1:13" ht="15.75" customHeight="1" x14ac:dyDescent="0.2">
      <c r="A111" s="13"/>
      <c r="B111" s="13"/>
      <c r="C111" s="13"/>
      <c r="D111" s="13"/>
      <c r="M111" s="10"/>
    </row>
    <row r="112" spans="1:13" ht="15.75" customHeight="1" x14ac:dyDescent="0.2">
      <c r="A112" s="13"/>
      <c r="B112" s="13"/>
      <c r="C112" s="13"/>
      <c r="D112" s="13"/>
      <c r="M112" s="10"/>
    </row>
    <row r="113" spans="1:13" ht="15.75" customHeight="1" x14ac:dyDescent="0.2">
      <c r="A113" s="13"/>
      <c r="B113" s="13"/>
      <c r="C113" s="13"/>
      <c r="D113" s="13"/>
      <c r="M113" s="10"/>
    </row>
    <row r="114" spans="1:13" ht="15.75" customHeight="1" x14ac:dyDescent="0.2">
      <c r="A114" s="13"/>
      <c r="B114" s="13"/>
      <c r="C114" s="13"/>
      <c r="D114" s="13"/>
      <c r="M114" s="10"/>
    </row>
    <row r="115" spans="1:13" ht="15.75" customHeight="1" x14ac:dyDescent="0.2">
      <c r="A115" s="13"/>
      <c r="B115" s="13"/>
      <c r="C115" s="13"/>
      <c r="D115" s="13"/>
      <c r="M115" s="10"/>
    </row>
    <row r="116" spans="1:13" ht="15.75" customHeight="1" x14ac:dyDescent="0.2">
      <c r="A116" s="13"/>
      <c r="B116" s="13"/>
      <c r="C116" s="13"/>
      <c r="D116" s="13"/>
      <c r="M116" s="10"/>
    </row>
    <row r="117" spans="1:13" ht="15.75" customHeight="1" x14ac:dyDescent="0.2">
      <c r="A117" s="13"/>
      <c r="B117" s="13"/>
      <c r="C117" s="13"/>
      <c r="D117" s="13"/>
      <c r="M117" s="10"/>
    </row>
    <row r="118" spans="1:13" ht="15.75" customHeight="1" x14ac:dyDescent="0.2">
      <c r="A118" s="13"/>
      <c r="B118" s="13"/>
      <c r="C118" s="13"/>
      <c r="D118" s="13"/>
      <c r="M118" s="10"/>
    </row>
    <row r="119" spans="1:13" ht="15.75" customHeight="1" x14ac:dyDescent="0.2">
      <c r="A119" s="13"/>
      <c r="B119" s="13"/>
      <c r="C119" s="13"/>
      <c r="D119" s="13"/>
      <c r="M119" s="10"/>
    </row>
    <row r="120" spans="1:13" ht="15.75" customHeight="1" x14ac:dyDescent="0.2">
      <c r="A120" s="13"/>
      <c r="B120" s="13"/>
      <c r="C120" s="13"/>
      <c r="D120" s="13"/>
      <c r="M120" s="10"/>
    </row>
    <row r="121" spans="1:13" ht="15.75" customHeight="1" x14ac:dyDescent="0.2">
      <c r="A121" s="13"/>
      <c r="B121" s="13"/>
      <c r="C121" s="13"/>
      <c r="D121" s="13"/>
      <c r="M121" s="10"/>
    </row>
    <row r="122" spans="1:13" ht="15.75" customHeight="1" x14ac:dyDescent="0.2">
      <c r="A122" s="13"/>
      <c r="B122" s="13"/>
      <c r="C122" s="13"/>
      <c r="D122" s="13"/>
      <c r="M122" s="10"/>
    </row>
    <row r="123" spans="1:13" ht="15.75" customHeight="1" x14ac:dyDescent="0.2">
      <c r="A123" s="13"/>
      <c r="B123" s="13"/>
      <c r="C123" s="13"/>
      <c r="D123" s="13"/>
      <c r="M123" s="10"/>
    </row>
    <row r="124" spans="1:13" ht="15.75" customHeight="1" x14ac:dyDescent="0.2">
      <c r="A124" s="13"/>
      <c r="B124" s="13"/>
      <c r="C124" s="13"/>
      <c r="D124" s="13"/>
      <c r="M124" s="10"/>
    </row>
    <row r="125" spans="1:13" ht="15.75" customHeight="1" x14ac:dyDescent="0.2">
      <c r="A125" s="13"/>
      <c r="B125" s="13"/>
      <c r="C125" s="13"/>
      <c r="D125" s="13"/>
      <c r="M125" s="10"/>
    </row>
    <row r="126" spans="1:13" ht="15.75" customHeight="1" x14ac:dyDescent="0.2">
      <c r="A126" s="13"/>
      <c r="B126" s="13"/>
      <c r="C126" s="13"/>
      <c r="D126" s="13"/>
      <c r="M126" s="10"/>
    </row>
    <row r="127" spans="1:13" ht="15.75" customHeight="1" x14ac:dyDescent="0.2">
      <c r="A127" s="13"/>
      <c r="B127" s="13"/>
      <c r="C127" s="13"/>
      <c r="D127" s="13"/>
      <c r="M127" s="10"/>
    </row>
    <row r="128" spans="1:13" ht="15.75" customHeight="1" x14ac:dyDescent="0.2">
      <c r="A128" s="13"/>
      <c r="B128" s="13"/>
      <c r="C128" s="13"/>
      <c r="D128" s="13"/>
      <c r="M128" s="10"/>
    </row>
    <row r="129" spans="1:13" ht="15.75" customHeight="1" x14ac:dyDescent="0.2">
      <c r="A129" s="13"/>
      <c r="B129" s="13"/>
      <c r="C129" s="13"/>
      <c r="D129" s="13"/>
      <c r="M129" s="10"/>
    </row>
    <row r="130" spans="1:13" ht="15.75" customHeight="1" x14ac:dyDescent="0.2">
      <c r="A130" s="13"/>
      <c r="B130" s="13"/>
      <c r="C130" s="13"/>
      <c r="D130" s="13"/>
      <c r="M130" s="10"/>
    </row>
    <row r="131" spans="1:13" ht="15.75" customHeight="1" x14ac:dyDescent="0.2">
      <c r="A131" s="13"/>
      <c r="B131" s="13"/>
      <c r="C131" s="13"/>
      <c r="D131" s="13"/>
      <c r="M131" s="10"/>
    </row>
    <row r="132" spans="1:13" ht="15.75" customHeight="1" x14ac:dyDescent="0.2">
      <c r="A132" s="13"/>
      <c r="B132" s="13"/>
      <c r="C132" s="13"/>
      <c r="D132" s="13"/>
      <c r="M132" s="10"/>
    </row>
    <row r="133" spans="1:13" ht="15.75" customHeight="1" x14ac:dyDescent="0.2">
      <c r="A133" s="13"/>
      <c r="B133" s="13"/>
      <c r="C133" s="13"/>
      <c r="D133" s="13"/>
      <c r="M133" s="10"/>
    </row>
    <row r="134" spans="1:13" ht="15.75" customHeight="1" x14ac:dyDescent="0.2">
      <c r="A134" s="13"/>
      <c r="B134" s="13"/>
      <c r="C134" s="13"/>
      <c r="D134" s="13"/>
      <c r="M134" s="10"/>
    </row>
    <row r="135" spans="1:13" ht="15.75" customHeight="1" x14ac:dyDescent="0.2">
      <c r="A135" s="13"/>
      <c r="B135" s="13"/>
      <c r="C135" s="13"/>
      <c r="D135" s="13"/>
      <c r="M135" s="10"/>
    </row>
    <row r="136" spans="1:13" ht="15.75" customHeight="1" x14ac:dyDescent="0.2">
      <c r="A136" s="13"/>
      <c r="B136" s="13"/>
      <c r="C136" s="13"/>
      <c r="D136" s="13"/>
      <c r="M136" s="10"/>
    </row>
    <row r="137" spans="1:13" ht="15.75" customHeight="1" x14ac:dyDescent="0.2">
      <c r="A137" s="13"/>
      <c r="B137" s="13"/>
      <c r="C137" s="13"/>
      <c r="D137" s="13"/>
      <c r="M137" s="10"/>
    </row>
    <row r="138" spans="1:13" ht="15.75" customHeight="1" x14ac:dyDescent="0.2">
      <c r="A138" s="13"/>
      <c r="B138" s="13"/>
      <c r="C138" s="13"/>
      <c r="D138" s="13"/>
      <c r="M138" s="10"/>
    </row>
    <row r="139" spans="1:13" ht="15.75" customHeight="1" x14ac:dyDescent="0.2">
      <c r="A139" s="13"/>
      <c r="B139" s="13"/>
      <c r="C139" s="13"/>
      <c r="D139" s="13"/>
      <c r="M139" s="10"/>
    </row>
    <row r="140" spans="1:13" ht="15.75" customHeight="1" x14ac:dyDescent="0.2">
      <c r="A140" s="13"/>
      <c r="B140" s="13"/>
      <c r="C140" s="13"/>
      <c r="D140" s="13"/>
      <c r="M140" s="10"/>
    </row>
    <row r="141" spans="1:13" ht="15.75" customHeight="1" x14ac:dyDescent="0.2">
      <c r="A141" s="13"/>
      <c r="B141" s="13"/>
      <c r="C141" s="13"/>
      <c r="D141" s="13"/>
      <c r="M141" s="10"/>
    </row>
    <row r="142" spans="1:13" ht="15.75" customHeight="1" x14ac:dyDescent="0.2">
      <c r="A142" s="13"/>
      <c r="B142" s="13"/>
      <c r="C142" s="13"/>
      <c r="D142" s="13"/>
      <c r="M142" s="10"/>
    </row>
    <row r="143" spans="1:13" ht="15.75" customHeight="1" x14ac:dyDescent="0.2">
      <c r="A143" s="13"/>
      <c r="B143" s="13"/>
      <c r="C143" s="13"/>
      <c r="D143" s="13"/>
      <c r="M143" s="10"/>
    </row>
    <row r="144" spans="1:13" ht="15.75" customHeight="1" x14ac:dyDescent="0.2">
      <c r="A144" s="13"/>
      <c r="B144" s="13"/>
      <c r="C144" s="13"/>
      <c r="D144" s="13"/>
      <c r="M144" s="10"/>
    </row>
    <row r="145" spans="1:13" ht="15.75" customHeight="1" x14ac:dyDescent="0.2">
      <c r="A145" s="13"/>
      <c r="B145" s="13"/>
      <c r="C145" s="13"/>
      <c r="D145" s="13"/>
      <c r="M145" s="10"/>
    </row>
    <row r="146" spans="1:13" ht="15.75" customHeight="1" x14ac:dyDescent="0.2">
      <c r="A146" s="13"/>
      <c r="B146" s="13"/>
      <c r="C146" s="13"/>
      <c r="D146" s="13"/>
      <c r="M146" s="10"/>
    </row>
    <row r="147" spans="1:13" ht="15.75" customHeight="1" x14ac:dyDescent="0.2">
      <c r="A147" s="13"/>
      <c r="B147" s="13"/>
      <c r="C147" s="13"/>
      <c r="D147" s="13"/>
      <c r="M147" s="10"/>
    </row>
    <row r="148" spans="1:13" ht="15.75" customHeight="1" x14ac:dyDescent="0.2">
      <c r="A148" s="13"/>
      <c r="B148" s="13"/>
      <c r="C148" s="13"/>
      <c r="D148" s="13"/>
      <c r="M148" s="10"/>
    </row>
    <row r="149" spans="1:13" ht="15.75" customHeight="1" x14ac:dyDescent="0.2">
      <c r="A149" s="13"/>
      <c r="B149" s="13"/>
      <c r="C149" s="13"/>
      <c r="D149" s="13"/>
      <c r="M149" s="10"/>
    </row>
    <row r="150" spans="1:13" ht="15.75" customHeight="1" x14ac:dyDescent="0.2">
      <c r="A150" s="13"/>
      <c r="B150" s="13"/>
      <c r="C150" s="13"/>
      <c r="D150" s="13"/>
      <c r="M150" s="10"/>
    </row>
    <row r="151" spans="1:13" ht="15.75" customHeight="1" x14ac:dyDescent="0.2">
      <c r="A151" s="13"/>
      <c r="B151" s="13"/>
      <c r="C151" s="13"/>
      <c r="D151" s="13"/>
      <c r="M151" s="10"/>
    </row>
    <row r="152" spans="1:13" ht="15.75" customHeight="1" x14ac:dyDescent="0.2">
      <c r="A152" s="13"/>
      <c r="B152" s="13"/>
      <c r="C152" s="13"/>
      <c r="D152" s="13"/>
      <c r="M152" s="10"/>
    </row>
    <row r="153" spans="1:13" ht="15.75" customHeight="1" x14ac:dyDescent="0.2">
      <c r="A153" s="13"/>
      <c r="B153" s="13"/>
      <c r="C153" s="13"/>
      <c r="D153" s="13"/>
      <c r="M153" s="10"/>
    </row>
    <row r="154" spans="1:13" ht="15.75" customHeight="1" x14ac:dyDescent="0.2">
      <c r="A154" s="13"/>
      <c r="B154" s="13"/>
      <c r="C154" s="13"/>
      <c r="D154" s="13"/>
      <c r="M154" s="10"/>
    </row>
    <row r="155" spans="1:13" ht="15.75" customHeight="1" x14ac:dyDescent="0.2">
      <c r="A155" s="13"/>
      <c r="B155" s="13"/>
      <c r="C155" s="13"/>
      <c r="D155" s="13"/>
      <c r="M155" s="10"/>
    </row>
    <row r="156" spans="1:13" ht="15.75" customHeight="1" x14ac:dyDescent="0.2">
      <c r="A156" s="13"/>
      <c r="B156" s="13"/>
      <c r="C156" s="13"/>
      <c r="D156" s="13"/>
      <c r="M156" s="10"/>
    </row>
    <row r="157" spans="1:13" ht="15.75" customHeight="1" x14ac:dyDescent="0.2">
      <c r="A157" s="13"/>
      <c r="B157" s="13"/>
      <c r="C157" s="13"/>
      <c r="D157" s="13"/>
      <c r="M157" s="10"/>
    </row>
    <row r="158" spans="1:13" ht="15.75" customHeight="1" x14ac:dyDescent="0.2">
      <c r="A158" s="13"/>
      <c r="B158" s="13"/>
      <c r="C158" s="13"/>
      <c r="D158" s="13"/>
      <c r="M158" s="10"/>
    </row>
    <row r="159" spans="1:13" ht="15.75" customHeight="1" x14ac:dyDescent="0.2">
      <c r="A159" s="13"/>
      <c r="B159" s="13"/>
      <c r="C159" s="13"/>
      <c r="D159" s="13"/>
      <c r="M159" s="10"/>
    </row>
    <row r="160" spans="1:13" ht="15.75" customHeight="1" x14ac:dyDescent="0.2">
      <c r="A160" s="13"/>
      <c r="B160" s="13"/>
      <c r="C160" s="13"/>
      <c r="D160" s="13"/>
      <c r="M160" s="10"/>
    </row>
    <row r="161" spans="1:13" ht="15.75" customHeight="1" x14ac:dyDescent="0.2">
      <c r="A161" s="13"/>
      <c r="B161" s="13"/>
      <c r="C161" s="13"/>
      <c r="D161" s="13"/>
      <c r="M161" s="10"/>
    </row>
    <row r="162" spans="1:13" ht="15.75" customHeight="1" x14ac:dyDescent="0.2">
      <c r="A162" s="13"/>
      <c r="B162" s="13"/>
      <c r="C162" s="13"/>
      <c r="D162" s="13"/>
      <c r="M162" s="10"/>
    </row>
    <row r="163" spans="1:13" ht="15.75" customHeight="1" x14ac:dyDescent="0.2">
      <c r="A163" s="13"/>
      <c r="B163" s="13"/>
      <c r="C163" s="13"/>
      <c r="D163" s="13"/>
      <c r="M163" s="10"/>
    </row>
    <row r="164" spans="1:13" ht="15.75" customHeight="1" x14ac:dyDescent="0.2">
      <c r="A164" s="13"/>
      <c r="B164" s="13"/>
      <c r="C164" s="13"/>
      <c r="D164" s="13"/>
      <c r="M164" s="10"/>
    </row>
    <row r="165" spans="1:13" ht="15.75" customHeight="1" x14ac:dyDescent="0.2">
      <c r="A165" s="13"/>
      <c r="B165" s="13"/>
      <c r="C165" s="13"/>
      <c r="D165" s="13"/>
      <c r="M165" s="10"/>
    </row>
    <row r="166" spans="1:13" ht="15.75" customHeight="1" x14ac:dyDescent="0.2">
      <c r="A166" s="13"/>
      <c r="B166" s="13"/>
      <c r="C166" s="13"/>
      <c r="D166" s="13"/>
      <c r="M166" s="10"/>
    </row>
    <row r="167" spans="1:13" ht="15.75" customHeight="1" x14ac:dyDescent="0.2">
      <c r="A167" s="13"/>
      <c r="B167" s="13"/>
      <c r="C167" s="13"/>
      <c r="D167" s="13"/>
      <c r="M167" s="10"/>
    </row>
    <row r="168" spans="1:13" ht="15.75" customHeight="1" x14ac:dyDescent="0.2">
      <c r="A168" s="13"/>
      <c r="B168" s="13"/>
      <c r="C168" s="13"/>
      <c r="D168" s="13"/>
      <c r="M168" s="10"/>
    </row>
    <row r="169" spans="1:13" ht="15.75" customHeight="1" x14ac:dyDescent="0.2">
      <c r="A169" s="13"/>
      <c r="B169" s="13"/>
      <c r="C169" s="13"/>
      <c r="D169" s="13"/>
      <c r="M169" s="10"/>
    </row>
    <row r="170" spans="1:13" ht="15.75" customHeight="1" x14ac:dyDescent="0.2">
      <c r="A170" s="13"/>
      <c r="B170" s="13"/>
      <c r="C170" s="13"/>
      <c r="D170" s="13"/>
      <c r="M170" s="10"/>
    </row>
    <row r="171" spans="1:13" ht="15.75" customHeight="1" x14ac:dyDescent="0.2">
      <c r="A171" s="13"/>
      <c r="B171" s="13"/>
      <c r="C171" s="13"/>
      <c r="D171" s="13"/>
      <c r="M171" s="10"/>
    </row>
    <row r="172" spans="1:13" ht="15.75" customHeight="1" x14ac:dyDescent="0.2">
      <c r="A172" s="13"/>
      <c r="B172" s="13"/>
      <c r="C172" s="13"/>
      <c r="D172" s="13"/>
      <c r="M172" s="10"/>
    </row>
    <row r="173" spans="1:13" ht="15.75" customHeight="1" x14ac:dyDescent="0.2">
      <c r="A173" s="13"/>
      <c r="B173" s="13"/>
      <c r="C173" s="13"/>
      <c r="D173" s="13"/>
      <c r="M173" s="10"/>
    </row>
    <row r="174" spans="1:13" ht="15.75" customHeight="1" x14ac:dyDescent="0.2">
      <c r="A174" s="13"/>
      <c r="B174" s="13"/>
      <c r="C174" s="13"/>
      <c r="D174" s="13"/>
      <c r="M174" s="10"/>
    </row>
    <row r="175" spans="1:13" ht="15.75" customHeight="1" x14ac:dyDescent="0.2">
      <c r="A175" s="13"/>
      <c r="B175" s="13"/>
      <c r="C175" s="13"/>
      <c r="D175" s="13"/>
      <c r="M175" s="10"/>
    </row>
    <row r="176" spans="1:13" ht="15.75" customHeight="1" x14ac:dyDescent="0.2">
      <c r="A176" s="13"/>
      <c r="B176" s="13"/>
      <c r="C176" s="13"/>
      <c r="D176" s="13"/>
      <c r="M176" s="10"/>
    </row>
    <row r="177" spans="1:13" ht="15.75" customHeight="1" x14ac:dyDescent="0.2">
      <c r="A177" s="13"/>
      <c r="B177" s="13"/>
      <c r="C177" s="13"/>
      <c r="D177" s="13"/>
      <c r="M177" s="10"/>
    </row>
    <row r="178" spans="1:13" ht="15.75" customHeight="1" x14ac:dyDescent="0.2">
      <c r="A178" s="13"/>
      <c r="B178" s="13"/>
      <c r="C178" s="13"/>
      <c r="D178" s="13"/>
      <c r="M178" s="10"/>
    </row>
    <row r="179" spans="1:13" ht="15.75" customHeight="1" x14ac:dyDescent="0.2">
      <c r="A179" s="13"/>
      <c r="B179" s="13"/>
      <c r="C179" s="13"/>
      <c r="D179" s="13"/>
      <c r="M179" s="10"/>
    </row>
    <row r="180" spans="1:13" ht="15.75" customHeight="1" x14ac:dyDescent="0.2">
      <c r="A180" s="13"/>
      <c r="B180" s="13"/>
      <c r="C180" s="13"/>
      <c r="D180" s="13"/>
      <c r="M180" s="10"/>
    </row>
    <row r="181" spans="1:13" ht="15.75" customHeight="1" x14ac:dyDescent="0.2">
      <c r="A181" s="13"/>
      <c r="B181" s="13"/>
      <c r="C181" s="13"/>
      <c r="D181" s="13"/>
      <c r="M181" s="10"/>
    </row>
    <row r="182" spans="1:13" ht="15.75" customHeight="1" x14ac:dyDescent="0.2">
      <c r="A182" s="13"/>
      <c r="B182" s="13"/>
      <c r="C182" s="13"/>
      <c r="D182" s="13"/>
      <c r="M182" s="10"/>
    </row>
    <row r="183" spans="1:13" ht="15.75" customHeight="1" x14ac:dyDescent="0.2">
      <c r="A183" s="13"/>
      <c r="B183" s="13"/>
      <c r="C183" s="13"/>
      <c r="D183" s="13"/>
      <c r="M183" s="10"/>
    </row>
    <row r="184" spans="1:13" ht="15.75" customHeight="1" x14ac:dyDescent="0.2">
      <c r="A184" s="13"/>
      <c r="B184" s="13"/>
      <c r="C184" s="13"/>
      <c r="D184" s="13"/>
      <c r="M184" s="10"/>
    </row>
    <row r="185" spans="1:13" ht="15.75" customHeight="1" x14ac:dyDescent="0.2">
      <c r="A185" s="13"/>
      <c r="B185" s="13"/>
      <c r="C185" s="13"/>
      <c r="D185" s="13"/>
      <c r="M185" s="10"/>
    </row>
    <row r="186" spans="1:13" ht="15.75" customHeight="1" x14ac:dyDescent="0.2">
      <c r="A186" s="13"/>
      <c r="B186" s="13"/>
      <c r="C186" s="13"/>
      <c r="D186" s="13"/>
      <c r="M186" s="10"/>
    </row>
    <row r="187" spans="1:13" ht="15.75" customHeight="1" x14ac:dyDescent="0.2">
      <c r="A187" s="13"/>
      <c r="B187" s="13"/>
      <c r="C187" s="13"/>
      <c r="D187" s="13"/>
      <c r="M187" s="10"/>
    </row>
    <row r="188" spans="1:13" ht="15.75" customHeight="1" x14ac:dyDescent="0.2">
      <c r="A188" s="13"/>
      <c r="B188" s="13"/>
      <c r="C188" s="13"/>
      <c r="D188" s="13"/>
      <c r="M188" s="10"/>
    </row>
    <row r="189" spans="1:13" ht="15.75" customHeight="1" x14ac:dyDescent="0.2">
      <c r="A189" s="13"/>
      <c r="B189" s="13"/>
      <c r="C189" s="13"/>
      <c r="D189" s="13"/>
      <c r="M189" s="10"/>
    </row>
    <row r="190" spans="1:13" ht="15.75" customHeight="1" x14ac:dyDescent="0.2">
      <c r="A190" s="13"/>
      <c r="B190" s="13"/>
      <c r="C190" s="13"/>
      <c r="D190" s="13"/>
      <c r="M190" s="10"/>
    </row>
    <row r="191" spans="1:13" ht="15.75" customHeight="1" x14ac:dyDescent="0.2">
      <c r="A191" s="13"/>
      <c r="B191" s="13"/>
      <c r="C191" s="13"/>
      <c r="D191" s="13"/>
      <c r="M191" s="10"/>
    </row>
    <row r="192" spans="1:13" ht="15.75" customHeight="1" x14ac:dyDescent="0.2">
      <c r="A192" s="13"/>
      <c r="B192" s="13"/>
      <c r="C192" s="13"/>
      <c r="D192" s="13"/>
      <c r="M192" s="10"/>
    </row>
    <row r="193" spans="1:13" ht="15.75" customHeight="1" x14ac:dyDescent="0.2">
      <c r="A193" s="13"/>
      <c r="B193" s="13"/>
      <c r="C193" s="13"/>
      <c r="D193" s="13"/>
      <c r="M193" s="10"/>
    </row>
    <row r="194" spans="1:13" ht="15.75" customHeight="1" x14ac:dyDescent="0.2">
      <c r="A194" s="13"/>
      <c r="B194" s="13"/>
      <c r="C194" s="13"/>
      <c r="D194" s="13"/>
      <c r="M194" s="10"/>
    </row>
    <row r="195" spans="1:13" ht="15.75" customHeight="1" x14ac:dyDescent="0.2">
      <c r="A195" s="13"/>
      <c r="B195" s="13"/>
      <c r="C195" s="13"/>
      <c r="D195" s="13"/>
      <c r="M195" s="10"/>
    </row>
    <row r="196" spans="1:13" ht="15.75" customHeight="1" x14ac:dyDescent="0.2">
      <c r="A196" s="13"/>
      <c r="B196" s="13"/>
      <c r="C196" s="13"/>
      <c r="D196" s="13"/>
      <c r="M196" s="10"/>
    </row>
    <row r="197" spans="1:13" ht="15.75" customHeight="1" x14ac:dyDescent="0.2">
      <c r="A197" s="13"/>
      <c r="B197" s="13"/>
      <c r="C197" s="13"/>
      <c r="D197" s="13"/>
      <c r="M197" s="10"/>
    </row>
    <row r="198" spans="1:13" ht="15.75" customHeight="1" x14ac:dyDescent="0.2">
      <c r="A198" s="13"/>
      <c r="B198" s="13"/>
      <c r="C198" s="13"/>
      <c r="D198" s="13"/>
      <c r="M198" s="10"/>
    </row>
    <row r="199" spans="1:13" ht="15.75" customHeight="1" x14ac:dyDescent="0.2">
      <c r="A199" s="13"/>
      <c r="B199" s="13"/>
      <c r="C199" s="13"/>
      <c r="D199" s="13"/>
      <c r="M199" s="10"/>
    </row>
    <row r="200" spans="1:13" ht="15.75" customHeight="1" x14ac:dyDescent="0.2">
      <c r="A200" s="13"/>
      <c r="B200" s="13"/>
      <c r="C200" s="13"/>
      <c r="D200" s="13"/>
      <c r="M200" s="10"/>
    </row>
    <row r="201" spans="1:13" ht="15.75" customHeight="1" x14ac:dyDescent="0.2">
      <c r="A201" s="13"/>
      <c r="B201" s="13"/>
      <c r="C201" s="13"/>
      <c r="D201" s="13"/>
      <c r="M201" s="10"/>
    </row>
    <row r="202" spans="1:13" ht="15.75" customHeight="1" x14ac:dyDescent="0.2">
      <c r="A202" s="13"/>
      <c r="B202" s="13"/>
      <c r="C202" s="13"/>
      <c r="D202" s="13"/>
      <c r="M202" s="10"/>
    </row>
    <row r="203" spans="1:13" ht="15.75" customHeight="1" x14ac:dyDescent="0.2">
      <c r="A203" s="13"/>
      <c r="B203" s="13"/>
      <c r="C203" s="13"/>
      <c r="D203" s="13"/>
      <c r="M203" s="10"/>
    </row>
    <row r="204" spans="1:13" ht="15.75" customHeight="1" x14ac:dyDescent="0.2">
      <c r="A204" s="13"/>
      <c r="B204" s="13"/>
      <c r="C204" s="13"/>
      <c r="D204" s="13"/>
      <c r="M204" s="10"/>
    </row>
    <row r="205" spans="1:13" ht="15.75" customHeight="1" x14ac:dyDescent="0.2">
      <c r="A205" s="13"/>
      <c r="B205" s="13"/>
      <c r="C205" s="13"/>
      <c r="D205" s="13"/>
      <c r="M205" s="10"/>
    </row>
    <row r="206" spans="1:13" ht="15.75" customHeight="1" x14ac:dyDescent="0.2">
      <c r="A206" s="13"/>
      <c r="B206" s="13"/>
      <c r="C206" s="13"/>
      <c r="D206" s="13"/>
      <c r="M206" s="10"/>
    </row>
    <row r="207" spans="1:13" ht="15.75" customHeight="1" x14ac:dyDescent="0.2">
      <c r="A207" s="13"/>
      <c r="B207" s="13"/>
      <c r="C207" s="13"/>
      <c r="D207" s="13"/>
      <c r="M207" s="10"/>
    </row>
    <row r="208" spans="1:13" ht="15.75" customHeight="1" x14ac:dyDescent="0.2">
      <c r="A208" s="13"/>
      <c r="B208" s="13"/>
      <c r="C208" s="13"/>
      <c r="D208" s="13"/>
      <c r="M208" s="10"/>
    </row>
    <row r="209" spans="1:13" ht="15.75" customHeight="1" x14ac:dyDescent="0.2">
      <c r="A209" s="13"/>
      <c r="B209" s="13"/>
      <c r="C209" s="13"/>
      <c r="D209" s="13"/>
      <c r="M209" s="10"/>
    </row>
    <row r="210" spans="1:13" ht="15.75" customHeight="1" x14ac:dyDescent="0.2">
      <c r="A210" s="13"/>
      <c r="B210" s="13"/>
      <c r="C210" s="13"/>
      <c r="D210" s="13"/>
      <c r="M210" s="10"/>
    </row>
    <row r="211" spans="1:13" ht="15.75" customHeight="1" x14ac:dyDescent="0.2">
      <c r="A211" s="13"/>
      <c r="B211" s="13"/>
      <c r="C211" s="13"/>
      <c r="D211" s="13"/>
      <c r="M211" s="10"/>
    </row>
    <row r="212" spans="1:13" ht="15.75" customHeight="1" x14ac:dyDescent="0.2">
      <c r="A212" s="13"/>
      <c r="B212" s="13"/>
      <c r="C212" s="13"/>
      <c r="D212" s="13"/>
      <c r="M212" s="10"/>
    </row>
    <row r="213" spans="1:13" ht="15.75" customHeight="1" x14ac:dyDescent="0.2">
      <c r="A213" s="13"/>
      <c r="B213" s="13"/>
      <c r="C213" s="13"/>
      <c r="D213" s="13"/>
      <c r="M213" s="10"/>
    </row>
    <row r="214" spans="1:13" ht="15.75" customHeight="1" x14ac:dyDescent="0.2">
      <c r="A214" s="13"/>
      <c r="B214" s="13"/>
      <c r="C214" s="13"/>
      <c r="D214" s="13"/>
      <c r="M214" s="10"/>
    </row>
    <row r="215" spans="1:13" ht="15.75" customHeight="1" x14ac:dyDescent="0.2">
      <c r="A215" s="13"/>
      <c r="B215" s="13"/>
      <c r="C215" s="13"/>
      <c r="D215" s="13"/>
      <c r="M215" s="10"/>
    </row>
    <row r="216" spans="1:13" ht="15.75" customHeight="1" x14ac:dyDescent="0.2">
      <c r="A216" s="13"/>
      <c r="B216" s="13"/>
      <c r="C216" s="13"/>
      <c r="D216" s="13"/>
      <c r="M216" s="10"/>
    </row>
    <row r="217" spans="1:13" ht="15.75" customHeight="1" x14ac:dyDescent="0.2">
      <c r="A217" s="13"/>
      <c r="B217" s="13"/>
      <c r="C217" s="13"/>
      <c r="D217" s="13"/>
      <c r="M217" s="10"/>
    </row>
    <row r="218" spans="1:13" ht="15.75" customHeight="1" x14ac:dyDescent="0.2">
      <c r="A218" s="13"/>
      <c r="B218" s="13"/>
      <c r="C218" s="13"/>
      <c r="D218" s="13"/>
      <c r="M218" s="10"/>
    </row>
    <row r="219" spans="1:13" ht="15.75" customHeight="1" x14ac:dyDescent="0.2">
      <c r="A219" s="13"/>
      <c r="B219" s="13"/>
      <c r="C219" s="13"/>
      <c r="D219" s="13"/>
      <c r="M219" s="10"/>
    </row>
    <row r="220" spans="1:13" ht="15.75" customHeight="1" x14ac:dyDescent="0.2">
      <c r="A220" s="13"/>
      <c r="B220" s="13"/>
      <c r="C220" s="13"/>
      <c r="D220" s="13"/>
      <c r="M220" s="10"/>
    </row>
    <row r="221" spans="1:13" ht="15.75" customHeight="1" x14ac:dyDescent="0.2">
      <c r="A221" s="13"/>
      <c r="B221" s="13"/>
      <c r="C221" s="13"/>
      <c r="D221" s="13"/>
      <c r="M221" s="10"/>
    </row>
    <row r="222" spans="1:13" ht="15.75" customHeight="1" x14ac:dyDescent="0.2">
      <c r="A222" s="13"/>
      <c r="B222" s="13"/>
      <c r="C222" s="13"/>
      <c r="D222" s="13"/>
      <c r="M222" s="10"/>
    </row>
    <row r="223" spans="1:13" ht="15.75" customHeight="1" x14ac:dyDescent="0.2">
      <c r="A223" s="13"/>
      <c r="B223" s="13"/>
      <c r="C223" s="13"/>
      <c r="D223" s="13"/>
      <c r="M223" s="10"/>
    </row>
    <row r="224" spans="1:13" ht="15.75" customHeight="1" x14ac:dyDescent="0.2">
      <c r="A224" s="13"/>
      <c r="B224" s="13"/>
      <c r="C224" s="13"/>
      <c r="D224" s="13"/>
      <c r="M224" s="10"/>
    </row>
    <row r="225" spans="1:13" ht="15.75" customHeight="1" x14ac:dyDescent="0.2">
      <c r="A225" s="13"/>
      <c r="B225" s="13"/>
      <c r="C225" s="13"/>
      <c r="D225" s="13"/>
      <c r="M225" s="10"/>
    </row>
    <row r="226" spans="1:13" ht="15.75" customHeight="1" x14ac:dyDescent="0.2">
      <c r="A226" s="13"/>
      <c r="B226" s="13"/>
      <c r="C226" s="13"/>
      <c r="D226" s="13"/>
      <c r="M226" s="10"/>
    </row>
    <row r="227" spans="1:13" ht="15.75" customHeight="1" x14ac:dyDescent="0.2">
      <c r="A227" s="13"/>
      <c r="B227" s="13"/>
      <c r="C227" s="13"/>
      <c r="D227" s="13"/>
      <c r="M227" s="10"/>
    </row>
    <row r="228" spans="1:13" ht="15.75" customHeight="1" x14ac:dyDescent="0.2">
      <c r="A228" s="13"/>
      <c r="B228" s="13"/>
      <c r="C228" s="13"/>
      <c r="D228" s="13"/>
      <c r="M228" s="10"/>
    </row>
    <row r="229" spans="1:13" ht="15.75" customHeight="1" x14ac:dyDescent="0.2">
      <c r="A229" s="13"/>
      <c r="B229" s="13"/>
      <c r="C229" s="13"/>
      <c r="D229" s="13"/>
      <c r="M229" s="10"/>
    </row>
    <row r="230" spans="1:13" ht="15.75" customHeight="1" x14ac:dyDescent="0.2">
      <c r="A230" s="13"/>
      <c r="B230" s="13"/>
      <c r="C230" s="13"/>
      <c r="D230" s="13"/>
      <c r="M230" s="10"/>
    </row>
    <row r="231" spans="1:13" ht="15.75" customHeight="1" x14ac:dyDescent="0.2">
      <c r="A231" s="13"/>
      <c r="B231" s="13"/>
      <c r="C231" s="13"/>
      <c r="D231" s="13"/>
      <c r="M231" s="10"/>
    </row>
    <row r="232" spans="1:13" ht="15.75" customHeight="1" x14ac:dyDescent="0.2">
      <c r="A232" s="13"/>
      <c r="B232" s="13"/>
      <c r="C232" s="13"/>
      <c r="D232" s="13"/>
      <c r="M232" s="10"/>
    </row>
    <row r="233" spans="1:13" ht="15.75" customHeight="1" x14ac:dyDescent="0.2">
      <c r="A233" s="13"/>
      <c r="B233" s="13"/>
      <c r="C233" s="13"/>
      <c r="D233" s="13"/>
      <c r="M233" s="10"/>
    </row>
    <row r="234" spans="1:13" ht="15.75" customHeight="1" x14ac:dyDescent="0.2">
      <c r="A234" s="13"/>
      <c r="B234" s="13"/>
      <c r="C234" s="13"/>
      <c r="D234" s="13"/>
      <c r="M234" s="10"/>
    </row>
    <row r="235" spans="1:13" ht="15.75" customHeight="1" x14ac:dyDescent="0.2">
      <c r="A235" s="13"/>
      <c r="B235" s="13"/>
      <c r="C235" s="13"/>
      <c r="D235" s="13"/>
      <c r="M235" s="10"/>
    </row>
    <row r="236" spans="1:13" ht="15.75" customHeight="1" x14ac:dyDescent="0.2">
      <c r="A236" s="13"/>
      <c r="B236" s="13"/>
      <c r="C236" s="13"/>
      <c r="D236" s="13"/>
      <c r="M236" s="10"/>
    </row>
    <row r="237" spans="1:13" ht="15.75" customHeight="1" x14ac:dyDescent="0.2">
      <c r="A237" s="13"/>
      <c r="B237" s="13"/>
      <c r="C237" s="13"/>
      <c r="D237" s="13"/>
      <c r="M237" s="10"/>
    </row>
    <row r="238" spans="1:13" ht="15.75" customHeight="1" x14ac:dyDescent="0.2">
      <c r="A238" s="13"/>
      <c r="B238" s="13"/>
      <c r="C238" s="13"/>
      <c r="D238" s="13"/>
      <c r="M238" s="10"/>
    </row>
    <row r="239" spans="1:13" ht="15.75" customHeight="1" x14ac:dyDescent="0.2">
      <c r="A239" s="13"/>
      <c r="B239" s="13"/>
      <c r="C239" s="13"/>
      <c r="D239" s="13"/>
      <c r="M239" s="10"/>
    </row>
    <row r="240" spans="1:13" ht="15.75" customHeight="1" x14ac:dyDescent="0.2">
      <c r="A240" s="13"/>
      <c r="B240" s="13"/>
      <c r="C240" s="13"/>
      <c r="D240" s="13"/>
      <c r="M240" s="10"/>
    </row>
    <row r="241" spans="1:13" ht="15.75" customHeight="1" x14ac:dyDescent="0.2">
      <c r="A241" s="13"/>
      <c r="B241" s="13"/>
      <c r="C241" s="13"/>
      <c r="D241" s="13"/>
      <c r="M241" s="10"/>
    </row>
    <row r="242" spans="1:13" ht="15.75" customHeight="1" x14ac:dyDescent="0.2">
      <c r="A242" s="13"/>
      <c r="B242" s="13"/>
      <c r="C242" s="13"/>
      <c r="D242" s="13"/>
      <c r="M242" s="10"/>
    </row>
    <row r="243" spans="1:13" ht="15.75" customHeight="1" x14ac:dyDescent="0.2">
      <c r="A243" s="13"/>
      <c r="B243" s="13"/>
      <c r="C243" s="13"/>
      <c r="D243" s="13"/>
      <c r="M243" s="10"/>
    </row>
    <row r="244" spans="1:13" ht="15.75" customHeight="1" x14ac:dyDescent="0.2">
      <c r="A244" s="13"/>
      <c r="B244" s="13"/>
      <c r="C244" s="13"/>
      <c r="D244" s="13"/>
      <c r="M244" s="10"/>
    </row>
    <row r="245" spans="1:13" ht="15.75" customHeight="1" x14ac:dyDescent="0.2">
      <c r="A245" s="13"/>
      <c r="B245" s="13"/>
      <c r="C245" s="13"/>
      <c r="D245" s="13"/>
      <c r="M245" s="10"/>
    </row>
    <row r="246" spans="1:13" ht="15.75" customHeight="1" x14ac:dyDescent="0.2">
      <c r="A246" s="13"/>
      <c r="B246" s="13"/>
      <c r="C246" s="13"/>
      <c r="D246" s="13"/>
      <c r="M246" s="10"/>
    </row>
    <row r="247" spans="1:13" ht="15.75" customHeight="1" x14ac:dyDescent="0.2">
      <c r="A247" s="13"/>
      <c r="B247" s="13"/>
      <c r="C247" s="13"/>
      <c r="D247" s="13"/>
      <c r="M247" s="10"/>
    </row>
    <row r="248" spans="1:13" ht="15.75" customHeight="1" x14ac:dyDescent="0.2">
      <c r="A248" s="13"/>
      <c r="B248" s="13"/>
      <c r="C248" s="13"/>
      <c r="D248" s="13"/>
      <c r="M248" s="10"/>
    </row>
    <row r="249" spans="1:13" ht="15.75" customHeight="1" x14ac:dyDescent="0.2">
      <c r="A249" s="13"/>
      <c r="B249" s="13"/>
      <c r="C249" s="13"/>
      <c r="D249" s="13"/>
      <c r="M249" s="10"/>
    </row>
    <row r="250" spans="1:13" ht="15.75" customHeight="1" x14ac:dyDescent="0.2">
      <c r="A250" s="13"/>
      <c r="B250" s="13"/>
      <c r="C250" s="13"/>
      <c r="D250" s="13"/>
      <c r="M250" s="10"/>
    </row>
    <row r="251" spans="1:13" ht="15.75" customHeight="1" x14ac:dyDescent="0.2">
      <c r="A251" s="13"/>
      <c r="B251" s="13"/>
      <c r="C251" s="13"/>
      <c r="D251" s="13"/>
      <c r="M251" s="10"/>
    </row>
    <row r="252" spans="1:13" ht="15.75" customHeight="1" x14ac:dyDescent="0.2">
      <c r="A252" s="13"/>
      <c r="B252" s="13"/>
      <c r="C252" s="13"/>
      <c r="D252" s="13"/>
      <c r="M252" s="10"/>
    </row>
    <row r="253" spans="1:13" ht="15.75" customHeight="1" x14ac:dyDescent="0.2">
      <c r="A253" s="13"/>
      <c r="B253" s="13"/>
      <c r="C253" s="13"/>
      <c r="D253" s="13"/>
      <c r="M253" s="10"/>
    </row>
    <row r="254" spans="1:13" ht="15.75" customHeight="1" x14ac:dyDescent="0.2">
      <c r="A254" s="13"/>
      <c r="B254" s="13"/>
      <c r="C254" s="13"/>
      <c r="D254" s="13"/>
      <c r="M254" s="10"/>
    </row>
    <row r="255" spans="1:13" ht="15.75" customHeight="1" x14ac:dyDescent="0.2">
      <c r="A255" s="13"/>
      <c r="B255" s="13"/>
      <c r="C255" s="13"/>
      <c r="D255" s="13"/>
      <c r="M255" s="10"/>
    </row>
    <row r="256" spans="1:13" ht="15.75" customHeight="1" x14ac:dyDescent="0.2">
      <c r="A256" s="13"/>
      <c r="B256" s="13"/>
      <c r="C256" s="13"/>
      <c r="D256" s="13"/>
      <c r="M256" s="10"/>
    </row>
    <row r="257" spans="1:13" ht="15.75" customHeight="1" x14ac:dyDescent="0.2">
      <c r="A257" s="13"/>
      <c r="B257" s="13"/>
      <c r="C257" s="13"/>
      <c r="D257" s="13"/>
      <c r="M257" s="10"/>
    </row>
    <row r="258" spans="1:13" ht="15.75" customHeight="1" x14ac:dyDescent="0.2">
      <c r="A258" s="13"/>
      <c r="B258" s="13"/>
      <c r="C258" s="13"/>
      <c r="D258" s="13"/>
      <c r="M258" s="10"/>
    </row>
    <row r="259" spans="1:13" ht="15.75" customHeight="1" x14ac:dyDescent="0.2">
      <c r="A259" s="13"/>
      <c r="B259" s="13"/>
      <c r="C259" s="13"/>
      <c r="D259" s="13"/>
      <c r="M259" s="10"/>
    </row>
    <row r="260" spans="1:13" ht="15.75" customHeight="1" x14ac:dyDescent="0.2">
      <c r="A260" s="13"/>
      <c r="B260" s="13"/>
      <c r="C260" s="13"/>
      <c r="D260" s="13"/>
      <c r="M260" s="10"/>
    </row>
    <row r="261" spans="1:13" ht="15.75" customHeight="1" x14ac:dyDescent="0.2">
      <c r="A261" s="13"/>
      <c r="B261" s="13"/>
      <c r="C261" s="13"/>
      <c r="D261" s="13"/>
      <c r="M261" s="10"/>
    </row>
    <row r="262" spans="1:13" ht="15.75" customHeight="1" x14ac:dyDescent="0.2">
      <c r="A262" s="13"/>
      <c r="B262" s="13"/>
      <c r="C262" s="13"/>
      <c r="D262" s="13"/>
      <c r="M262" s="10"/>
    </row>
    <row r="263" spans="1:13" ht="15.75" customHeight="1" x14ac:dyDescent="0.2">
      <c r="A263" s="13"/>
      <c r="B263" s="13"/>
      <c r="C263" s="13"/>
      <c r="D263" s="13"/>
      <c r="M263" s="10"/>
    </row>
    <row r="264" spans="1:13" ht="15.75" customHeight="1" x14ac:dyDescent="0.2">
      <c r="A264" s="13"/>
      <c r="B264" s="13"/>
      <c r="C264" s="13"/>
      <c r="D264" s="13"/>
      <c r="M264" s="10"/>
    </row>
    <row r="265" spans="1:13" ht="15.75" customHeight="1" x14ac:dyDescent="0.2">
      <c r="A265" s="13"/>
      <c r="B265" s="13"/>
      <c r="C265" s="13"/>
      <c r="D265" s="13"/>
      <c r="M265" s="10"/>
    </row>
    <row r="266" spans="1:13" ht="15.75" customHeight="1" x14ac:dyDescent="0.2">
      <c r="A266" s="13"/>
      <c r="B266" s="13"/>
      <c r="C266" s="13"/>
      <c r="D266" s="13"/>
      <c r="M266" s="10"/>
    </row>
    <row r="267" spans="1:13" ht="15.75" customHeight="1" x14ac:dyDescent="0.2">
      <c r="A267" s="13"/>
      <c r="B267" s="13"/>
      <c r="C267" s="13"/>
      <c r="D267" s="13"/>
      <c r="M267" s="10"/>
    </row>
    <row r="268" spans="1:13" ht="15.75" customHeight="1" x14ac:dyDescent="0.2">
      <c r="A268" s="13"/>
      <c r="B268" s="13"/>
      <c r="C268" s="13"/>
      <c r="D268" s="13"/>
      <c r="M268" s="10"/>
    </row>
    <row r="269" spans="1:13" ht="15.75" customHeight="1" x14ac:dyDescent="0.2">
      <c r="A269" s="13"/>
      <c r="B269" s="13"/>
      <c r="C269" s="13"/>
      <c r="D269" s="13"/>
      <c r="M269" s="10"/>
    </row>
    <row r="270" spans="1:13" ht="15.75" customHeight="1" x14ac:dyDescent="0.2">
      <c r="A270" s="13"/>
      <c r="B270" s="13"/>
      <c r="C270" s="13"/>
      <c r="D270" s="13"/>
      <c r="M270" s="10"/>
    </row>
    <row r="271" spans="1:13" ht="15.75" customHeight="1" x14ac:dyDescent="0.2">
      <c r="A271" s="13"/>
      <c r="B271" s="13"/>
      <c r="C271" s="13"/>
      <c r="D271" s="13"/>
      <c r="M271" s="10"/>
    </row>
    <row r="272" spans="1:13" ht="15.75" customHeight="1" x14ac:dyDescent="0.2">
      <c r="A272" s="13"/>
      <c r="B272" s="13"/>
      <c r="C272" s="13"/>
      <c r="D272" s="13"/>
      <c r="M272" s="10"/>
    </row>
    <row r="273" spans="1:13" ht="15.75" customHeight="1" x14ac:dyDescent="0.2">
      <c r="A273" s="13"/>
      <c r="B273" s="13"/>
      <c r="C273" s="13"/>
      <c r="D273" s="13"/>
      <c r="M273" s="10"/>
    </row>
    <row r="274" spans="1:13" ht="15.75" customHeight="1" x14ac:dyDescent="0.2">
      <c r="A274" s="13"/>
      <c r="B274" s="13"/>
      <c r="C274" s="13"/>
      <c r="D274" s="13"/>
      <c r="M274" s="10"/>
    </row>
    <row r="275" spans="1:13" ht="15.75" customHeight="1" x14ac:dyDescent="0.2">
      <c r="A275" s="13"/>
      <c r="B275" s="13"/>
      <c r="C275" s="13"/>
      <c r="D275" s="13"/>
      <c r="M275" s="10"/>
    </row>
    <row r="276" spans="1:13" ht="15.75" customHeight="1" x14ac:dyDescent="0.2">
      <c r="A276" s="13"/>
      <c r="B276" s="13"/>
      <c r="C276" s="13"/>
      <c r="D276" s="13"/>
      <c r="M276" s="10"/>
    </row>
    <row r="277" spans="1:13" ht="15.75" customHeight="1" x14ac:dyDescent="0.2">
      <c r="A277" s="13"/>
      <c r="B277" s="13"/>
      <c r="C277" s="13"/>
      <c r="D277" s="13"/>
      <c r="M277" s="10"/>
    </row>
    <row r="278" spans="1:13" ht="15.75" customHeight="1" x14ac:dyDescent="0.2">
      <c r="A278" s="13"/>
      <c r="B278" s="13"/>
      <c r="C278" s="13"/>
      <c r="D278" s="13"/>
      <c r="M278" s="10"/>
    </row>
    <row r="279" spans="1:13" ht="15.75" customHeight="1" x14ac:dyDescent="0.2">
      <c r="A279" s="13"/>
      <c r="B279" s="13"/>
      <c r="C279" s="13"/>
      <c r="D279" s="13"/>
      <c r="M279" s="10"/>
    </row>
    <row r="280" spans="1:13" ht="15.75" customHeight="1" x14ac:dyDescent="0.2">
      <c r="A280" s="13"/>
      <c r="B280" s="13"/>
      <c r="C280" s="13"/>
      <c r="D280" s="13"/>
      <c r="M280" s="10"/>
    </row>
    <row r="281" spans="1:13" ht="15.75" customHeight="1" x14ac:dyDescent="0.2">
      <c r="A281" s="13"/>
      <c r="B281" s="13"/>
      <c r="C281" s="13"/>
      <c r="D281" s="13"/>
      <c r="M281" s="10"/>
    </row>
    <row r="282" spans="1:13" ht="15.75" customHeight="1" x14ac:dyDescent="0.2">
      <c r="A282" s="13"/>
      <c r="B282" s="13"/>
      <c r="C282" s="13"/>
      <c r="D282" s="13"/>
      <c r="M282" s="10"/>
    </row>
    <row r="283" spans="1:13" ht="15.75" customHeight="1" x14ac:dyDescent="0.2">
      <c r="A283" s="13"/>
      <c r="B283" s="13"/>
      <c r="C283" s="13"/>
      <c r="D283" s="13"/>
      <c r="M283" s="10"/>
    </row>
    <row r="284" spans="1:13" ht="15.75" customHeight="1" x14ac:dyDescent="0.2">
      <c r="A284" s="13"/>
      <c r="B284" s="13"/>
      <c r="C284" s="13"/>
      <c r="D284" s="13"/>
      <c r="M284" s="10"/>
    </row>
    <row r="285" spans="1:13" ht="15.75" customHeight="1" x14ac:dyDescent="0.2">
      <c r="A285" s="13"/>
      <c r="B285" s="13"/>
      <c r="C285" s="13"/>
      <c r="D285" s="13"/>
      <c r="M285" s="10"/>
    </row>
    <row r="286" spans="1:13" ht="15.75" customHeight="1" x14ac:dyDescent="0.2">
      <c r="A286" s="13"/>
      <c r="B286" s="13"/>
      <c r="C286" s="13"/>
      <c r="D286" s="13"/>
      <c r="M286" s="10"/>
    </row>
    <row r="287" spans="1:13" ht="15.75" customHeight="1" x14ac:dyDescent="0.2">
      <c r="A287" s="13"/>
      <c r="B287" s="13"/>
      <c r="C287" s="13"/>
      <c r="D287" s="13"/>
      <c r="M287" s="10"/>
    </row>
    <row r="288" spans="1:13" ht="15.75" customHeight="1" x14ac:dyDescent="0.2">
      <c r="A288" s="13"/>
      <c r="B288" s="13"/>
      <c r="C288" s="13"/>
      <c r="D288" s="13"/>
      <c r="M288" s="10"/>
    </row>
    <row r="289" spans="1:13" ht="15.75" customHeight="1" x14ac:dyDescent="0.2">
      <c r="A289" s="13"/>
      <c r="B289" s="13"/>
      <c r="C289" s="13"/>
      <c r="D289" s="13"/>
      <c r="M289" s="10"/>
    </row>
    <row r="290" spans="1:13" ht="15.75" customHeight="1" x14ac:dyDescent="0.2">
      <c r="A290" s="13"/>
      <c r="B290" s="13"/>
      <c r="C290" s="13"/>
      <c r="D290" s="13"/>
      <c r="M290" s="10"/>
    </row>
    <row r="291" spans="1:13" ht="15.75" customHeight="1" x14ac:dyDescent="0.2">
      <c r="A291" s="13"/>
      <c r="B291" s="13"/>
      <c r="C291" s="13"/>
      <c r="D291" s="13"/>
      <c r="M291" s="10"/>
    </row>
    <row r="292" spans="1:13" ht="15.75" customHeight="1" x14ac:dyDescent="0.2">
      <c r="A292" s="13"/>
      <c r="B292" s="13"/>
      <c r="C292" s="13"/>
      <c r="D292" s="13"/>
      <c r="M292" s="10"/>
    </row>
    <row r="293" spans="1:13" ht="15.75" customHeight="1" x14ac:dyDescent="0.2">
      <c r="A293" s="13"/>
      <c r="B293" s="13"/>
      <c r="C293" s="13"/>
      <c r="D293" s="13"/>
      <c r="M293" s="10"/>
    </row>
    <row r="294" spans="1:13" ht="15.75" customHeight="1" x14ac:dyDescent="0.2">
      <c r="A294" s="13"/>
      <c r="B294" s="13"/>
      <c r="C294" s="13"/>
      <c r="D294" s="13"/>
      <c r="M294" s="10"/>
    </row>
    <row r="295" spans="1:13" ht="15.75" customHeight="1" x14ac:dyDescent="0.2">
      <c r="A295" s="13"/>
      <c r="B295" s="13"/>
      <c r="C295" s="13"/>
      <c r="D295" s="13"/>
      <c r="M295" s="10"/>
    </row>
    <row r="296" spans="1:13" ht="15.75" customHeight="1" x14ac:dyDescent="0.2">
      <c r="A296" s="13"/>
      <c r="B296" s="13"/>
      <c r="C296" s="13"/>
      <c r="D296" s="13"/>
      <c r="M296" s="10"/>
    </row>
    <row r="297" spans="1:13" ht="15.75" customHeight="1" x14ac:dyDescent="0.2">
      <c r="A297" s="13"/>
      <c r="B297" s="13"/>
      <c r="C297" s="13"/>
      <c r="D297" s="13"/>
      <c r="M297" s="10"/>
    </row>
    <row r="298" spans="1:13" ht="15.75" customHeight="1" x14ac:dyDescent="0.2">
      <c r="A298" s="13"/>
      <c r="B298" s="13"/>
      <c r="C298" s="13"/>
      <c r="D298" s="13"/>
      <c r="M298" s="10"/>
    </row>
    <row r="299" spans="1:13" ht="15.75" customHeight="1" x14ac:dyDescent="0.2">
      <c r="A299" s="13"/>
      <c r="B299" s="13"/>
      <c r="C299" s="13"/>
      <c r="D299" s="13"/>
      <c r="M299" s="10"/>
    </row>
    <row r="300" spans="1:13" ht="15.75" customHeight="1" x14ac:dyDescent="0.2">
      <c r="A300" s="13"/>
      <c r="B300" s="13"/>
      <c r="C300" s="13"/>
      <c r="D300" s="13"/>
      <c r="M300" s="10"/>
    </row>
    <row r="301" spans="1:13" ht="15.75" customHeight="1" x14ac:dyDescent="0.2">
      <c r="A301" s="13"/>
      <c r="B301" s="13"/>
      <c r="C301" s="13"/>
      <c r="D301" s="13"/>
      <c r="M301" s="10"/>
    </row>
    <row r="302" spans="1:13" ht="15.75" customHeight="1" x14ac:dyDescent="0.2">
      <c r="A302" s="13"/>
      <c r="B302" s="13"/>
      <c r="C302" s="13"/>
      <c r="D302" s="13"/>
      <c r="M302" s="10"/>
    </row>
    <row r="303" spans="1:13" ht="15.75" customHeight="1" x14ac:dyDescent="0.2">
      <c r="A303" s="13"/>
      <c r="B303" s="13"/>
      <c r="C303" s="13"/>
      <c r="D303" s="13"/>
      <c r="M303" s="10"/>
    </row>
    <row r="304" spans="1:13" ht="15.75" customHeight="1" x14ac:dyDescent="0.2">
      <c r="A304" s="13"/>
      <c r="B304" s="13"/>
      <c r="C304" s="13"/>
      <c r="D304" s="13"/>
      <c r="M304" s="10"/>
    </row>
    <row r="305" spans="1:13" ht="15.75" customHeight="1" x14ac:dyDescent="0.2">
      <c r="A305" s="13"/>
      <c r="B305" s="13"/>
      <c r="C305" s="13"/>
      <c r="D305" s="13"/>
      <c r="M305" s="10"/>
    </row>
    <row r="306" spans="1:13" ht="15.75" customHeight="1" x14ac:dyDescent="0.2">
      <c r="A306" s="13"/>
      <c r="B306" s="13"/>
      <c r="C306" s="13"/>
      <c r="D306" s="13"/>
      <c r="M306" s="10"/>
    </row>
    <row r="307" spans="1:13" ht="15.75" customHeight="1" x14ac:dyDescent="0.2">
      <c r="A307" s="13"/>
      <c r="B307" s="13"/>
      <c r="C307" s="13"/>
      <c r="D307" s="13"/>
      <c r="M307" s="10"/>
    </row>
    <row r="308" spans="1:13" ht="15.75" customHeight="1" x14ac:dyDescent="0.2">
      <c r="A308" s="13"/>
      <c r="B308" s="13"/>
      <c r="C308" s="13"/>
      <c r="D308" s="13"/>
      <c r="M308" s="10"/>
    </row>
    <row r="309" spans="1:13" ht="15.75" customHeight="1" x14ac:dyDescent="0.2">
      <c r="A309" s="13"/>
      <c r="B309" s="13"/>
      <c r="C309" s="13"/>
      <c r="D309" s="13"/>
      <c r="M309" s="10"/>
    </row>
    <row r="310" spans="1:13" ht="15.75" customHeight="1" x14ac:dyDescent="0.2">
      <c r="A310" s="13"/>
      <c r="B310" s="13"/>
      <c r="C310" s="13"/>
      <c r="D310" s="13"/>
      <c r="M310" s="10"/>
    </row>
    <row r="311" spans="1:13" ht="15.75" customHeight="1" x14ac:dyDescent="0.2">
      <c r="A311" s="13"/>
      <c r="B311" s="13"/>
      <c r="C311" s="13"/>
      <c r="D311" s="13"/>
      <c r="M311" s="10"/>
    </row>
    <row r="312" spans="1:13" ht="15.75" customHeight="1" x14ac:dyDescent="0.2">
      <c r="A312" s="13"/>
      <c r="B312" s="13"/>
      <c r="C312" s="13"/>
      <c r="D312" s="13"/>
      <c r="M312" s="10"/>
    </row>
    <row r="313" spans="1:13" ht="15.75" customHeight="1" x14ac:dyDescent="0.2">
      <c r="A313" s="13"/>
      <c r="B313" s="13"/>
      <c r="C313" s="13"/>
      <c r="D313" s="13"/>
      <c r="M313" s="10"/>
    </row>
    <row r="314" spans="1:13" ht="15.75" customHeight="1" x14ac:dyDescent="0.2">
      <c r="A314" s="13"/>
      <c r="B314" s="13"/>
      <c r="C314" s="13"/>
      <c r="D314" s="13"/>
      <c r="M314" s="10"/>
    </row>
    <row r="315" spans="1:13" ht="15.75" customHeight="1" x14ac:dyDescent="0.2">
      <c r="A315" s="13"/>
      <c r="B315" s="13"/>
      <c r="C315" s="13"/>
      <c r="D315" s="13"/>
      <c r="M315" s="10"/>
    </row>
    <row r="316" spans="1:13" ht="15.75" customHeight="1" x14ac:dyDescent="0.2">
      <c r="A316" s="13"/>
      <c r="B316" s="13"/>
      <c r="C316" s="13"/>
      <c r="D316" s="13"/>
      <c r="M316" s="10"/>
    </row>
    <row r="317" spans="1:13" ht="15.75" customHeight="1" x14ac:dyDescent="0.2">
      <c r="A317" s="13"/>
      <c r="B317" s="13"/>
      <c r="C317" s="13"/>
      <c r="D317" s="13"/>
      <c r="M317" s="10"/>
    </row>
    <row r="318" spans="1:13" ht="15.75" customHeight="1" x14ac:dyDescent="0.2">
      <c r="A318" s="13"/>
      <c r="B318" s="13"/>
      <c r="C318" s="13"/>
      <c r="D318" s="13"/>
      <c r="M318" s="10"/>
    </row>
    <row r="319" spans="1:13" ht="15.75" customHeight="1" x14ac:dyDescent="0.2">
      <c r="A319" s="13"/>
      <c r="B319" s="13"/>
      <c r="C319" s="13"/>
      <c r="D319" s="13"/>
      <c r="M319" s="10"/>
    </row>
    <row r="320" spans="1:13" ht="15.75" customHeight="1" x14ac:dyDescent="0.2">
      <c r="A320" s="13"/>
      <c r="B320" s="13"/>
      <c r="C320" s="13"/>
      <c r="D320" s="13"/>
      <c r="M320" s="10"/>
    </row>
    <row r="321" spans="1:13" ht="15.75" customHeight="1" x14ac:dyDescent="0.2">
      <c r="A321" s="13"/>
      <c r="B321" s="13"/>
      <c r="C321" s="13"/>
      <c r="D321" s="13"/>
      <c r="M321" s="10"/>
    </row>
    <row r="322" spans="1:13" ht="15.75" customHeight="1" x14ac:dyDescent="0.2">
      <c r="A322" s="13"/>
      <c r="B322" s="13"/>
      <c r="C322" s="13"/>
      <c r="D322" s="13"/>
      <c r="M322" s="10"/>
    </row>
    <row r="323" spans="1:13" ht="15.75" customHeight="1" x14ac:dyDescent="0.2">
      <c r="A323" s="13"/>
      <c r="B323" s="13"/>
      <c r="C323" s="13"/>
      <c r="D323" s="13"/>
      <c r="M323" s="10"/>
    </row>
    <row r="324" spans="1:13" ht="15.75" customHeight="1" x14ac:dyDescent="0.2">
      <c r="A324" s="13"/>
      <c r="B324" s="13"/>
      <c r="C324" s="13"/>
      <c r="D324" s="13"/>
      <c r="M324" s="10"/>
    </row>
    <row r="325" spans="1:13" ht="15.75" customHeight="1" x14ac:dyDescent="0.2">
      <c r="A325" s="13"/>
      <c r="B325" s="13"/>
      <c r="C325" s="13"/>
      <c r="D325" s="13"/>
      <c r="M325" s="10"/>
    </row>
    <row r="326" spans="1:13" ht="15.75" customHeight="1" x14ac:dyDescent="0.2">
      <c r="A326" s="13"/>
      <c r="B326" s="13"/>
      <c r="C326" s="13"/>
      <c r="D326" s="13"/>
      <c r="M326" s="10"/>
    </row>
    <row r="327" spans="1:13" ht="15.75" customHeight="1" x14ac:dyDescent="0.2">
      <c r="A327" s="13"/>
      <c r="B327" s="13"/>
      <c r="C327" s="13"/>
      <c r="D327" s="13"/>
      <c r="M327" s="10"/>
    </row>
    <row r="328" spans="1:13" ht="15.75" customHeight="1" x14ac:dyDescent="0.2">
      <c r="A328" s="13"/>
      <c r="B328" s="13"/>
      <c r="C328" s="13"/>
      <c r="D328" s="13"/>
      <c r="M328" s="10"/>
    </row>
    <row r="329" spans="1:13" ht="15.75" customHeight="1" x14ac:dyDescent="0.2">
      <c r="A329" s="13"/>
      <c r="B329" s="13"/>
      <c r="C329" s="13"/>
      <c r="D329" s="13"/>
      <c r="M329" s="10"/>
    </row>
    <row r="330" spans="1:13" ht="15.75" customHeight="1" x14ac:dyDescent="0.2">
      <c r="A330" s="13"/>
      <c r="B330" s="13"/>
      <c r="C330" s="13"/>
      <c r="D330" s="13"/>
      <c r="M330" s="10"/>
    </row>
    <row r="331" spans="1:13" ht="15.75" customHeight="1" x14ac:dyDescent="0.2">
      <c r="A331" s="13"/>
      <c r="B331" s="13"/>
      <c r="C331" s="13"/>
      <c r="D331" s="13"/>
      <c r="M331" s="10"/>
    </row>
    <row r="332" spans="1:13" ht="15.75" customHeight="1" x14ac:dyDescent="0.2">
      <c r="A332" s="13"/>
      <c r="B332" s="13"/>
      <c r="C332" s="13"/>
      <c r="D332" s="13"/>
      <c r="M332" s="10"/>
    </row>
    <row r="333" spans="1:13" ht="15.75" customHeight="1" x14ac:dyDescent="0.2">
      <c r="A333" s="13"/>
      <c r="B333" s="13"/>
      <c r="C333" s="13"/>
      <c r="D333" s="13"/>
      <c r="M333" s="10"/>
    </row>
    <row r="334" spans="1:13" ht="15.75" customHeight="1" x14ac:dyDescent="0.2">
      <c r="A334" s="13"/>
      <c r="B334" s="13"/>
      <c r="C334" s="13"/>
      <c r="D334" s="13"/>
      <c r="M334" s="10"/>
    </row>
    <row r="335" spans="1:13" ht="15.75" customHeight="1" x14ac:dyDescent="0.2">
      <c r="A335" s="13"/>
      <c r="B335" s="13"/>
      <c r="C335" s="13"/>
      <c r="D335" s="13"/>
      <c r="M335" s="10"/>
    </row>
    <row r="336" spans="1:13" ht="15.75" customHeight="1" x14ac:dyDescent="0.2">
      <c r="A336" s="13"/>
      <c r="B336" s="13"/>
      <c r="C336" s="13"/>
      <c r="D336" s="13"/>
      <c r="M336" s="10"/>
    </row>
    <row r="337" spans="1:13" ht="15.75" customHeight="1" x14ac:dyDescent="0.2">
      <c r="A337" s="13"/>
      <c r="B337" s="13"/>
      <c r="C337" s="13"/>
      <c r="D337" s="13"/>
      <c r="M337" s="10"/>
    </row>
    <row r="338" spans="1:13" ht="15.75" customHeight="1" x14ac:dyDescent="0.2">
      <c r="A338" s="13"/>
      <c r="B338" s="13"/>
      <c r="C338" s="13"/>
      <c r="D338" s="13"/>
      <c r="M338" s="10"/>
    </row>
    <row r="339" spans="1:13" ht="15.75" customHeight="1" x14ac:dyDescent="0.2">
      <c r="A339" s="13"/>
      <c r="B339" s="13"/>
      <c r="C339" s="13"/>
      <c r="D339" s="13"/>
      <c r="M339" s="10"/>
    </row>
    <row r="340" spans="1:13" ht="15.75" customHeight="1" x14ac:dyDescent="0.2">
      <c r="A340" s="13"/>
      <c r="B340" s="13"/>
      <c r="C340" s="13"/>
      <c r="D340" s="13"/>
      <c r="M340" s="10"/>
    </row>
    <row r="341" spans="1:13" ht="15.75" customHeight="1" x14ac:dyDescent="0.2">
      <c r="A341" s="13"/>
      <c r="B341" s="13"/>
      <c r="C341" s="13"/>
      <c r="D341" s="13"/>
      <c r="M341" s="10"/>
    </row>
    <row r="342" spans="1:13" ht="15.75" customHeight="1" x14ac:dyDescent="0.2">
      <c r="A342" s="13"/>
      <c r="B342" s="13"/>
      <c r="C342" s="13"/>
      <c r="D342" s="13"/>
      <c r="M342" s="10"/>
    </row>
    <row r="343" spans="1:13" ht="15.75" customHeight="1" x14ac:dyDescent="0.2">
      <c r="A343" s="13"/>
      <c r="B343" s="13"/>
      <c r="C343" s="13"/>
      <c r="D343" s="13"/>
      <c r="M343" s="10"/>
    </row>
    <row r="344" spans="1:13" ht="15.75" customHeight="1" x14ac:dyDescent="0.2">
      <c r="A344" s="13"/>
      <c r="B344" s="13"/>
      <c r="C344" s="13"/>
      <c r="D344" s="13"/>
      <c r="M344" s="10"/>
    </row>
    <row r="345" spans="1:13" ht="15.75" customHeight="1" x14ac:dyDescent="0.2">
      <c r="A345" s="13"/>
      <c r="B345" s="13"/>
      <c r="C345" s="13"/>
      <c r="D345" s="13"/>
      <c r="M345" s="10"/>
    </row>
    <row r="346" spans="1:13" ht="15.75" customHeight="1" x14ac:dyDescent="0.2">
      <c r="A346" s="13"/>
      <c r="B346" s="13"/>
      <c r="C346" s="13"/>
      <c r="D346" s="13"/>
      <c r="M346" s="10"/>
    </row>
    <row r="347" spans="1:13" ht="15.75" customHeight="1" x14ac:dyDescent="0.2">
      <c r="A347" s="13"/>
      <c r="B347" s="13"/>
      <c r="C347" s="13"/>
      <c r="D347" s="13"/>
      <c r="M347" s="10"/>
    </row>
    <row r="348" spans="1:13" ht="15.75" customHeight="1" x14ac:dyDescent="0.2">
      <c r="A348" s="13"/>
      <c r="B348" s="13"/>
      <c r="C348" s="13"/>
      <c r="D348" s="13"/>
      <c r="M348" s="10"/>
    </row>
    <row r="349" spans="1:13" ht="15.75" customHeight="1" x14ac:dyDescent="0.2">
      <c r="A349" s="13"/>
      <c r="B349" s="13"/>
      <c r="C349" s="13"/>
      <c r="D349" s="13"/>
      <c r="M349" s="10"/>
    </row>
    <row r="350" spans="1:13" ht="15.75" customHeight="1" x14ac:dyDescent="0.2">
      <c r="A350" s="13"/>
      <c r="B350" s="13"/>
      <c r="C350" s="13"/>
      <c r="D350" s="13"/>
      <c r="M350" s="10"/>
    </row>
    <row r="351" spans="1:13" ht="15.75" customHeight="1" x14ac:dyDescent="0.2">
      <c r="A351" s="13"/>
      <c r="B351" s="13"/>
      <c r="C351" s="13"/>
      <c r="D351" s="13"/>
      <c r="M351" s="10"/>
    </row>
    <row r="352" spans="1:13" ht="15.75" customHeight="1" x14ac:dyDescent="0.2">
      <c r="A352" s="13"/>
      <c r="B352" s="13"/>
      <c r="C352" s="13"/>
      <c r="D352" s="13"/>
      <c r="M352" s="10"/>
    </row>
    <row r="353" spans="1:13" ht="15.75" customHeight="1" x14ac:dyDescent="0.2">
      <c r="A353" s="13"/>
      <c r="B353" s="13"/>
      <c r="C353" s="13"/>
      <c r="D353" s="13"/>
      <c r="M353" s="10"/>
    </row>
    <row r="354" spans="1:13" ht="15.75" customHeight="1" x14ac:dyDescent="0.2">
      <c r="A354" s="13"/>
      <c r="B354" s="13"/>
      <c r="C354" s="13"/>
      <c r="D354" s="13"/>
      <c r="M354" s="10"/>
    </row>
    <row r="355" spans="1:13" ht="15.75" customHeight="1" x14ac:dyDescent="0.2">
      <c r="A355" s="13"/>
      <c r="B355" s="13"/>
      <c r="C355" s="13"/>
      <c r="D355" s="13"/>
      <c r="M355" s="10"/>
    </row>
    <row r="356" spans="1:13" ht="15.75" customHeight="1" x14ac:dyDescent="0.2">
      <c r="A356" s="13"/>
      <c r="B356" s="13"/>
      <c r="C356" s="13"/>
      <c r="D356" s="13"/>
      <c r="M356" s="10"/>
    </row>
    <row r="357" spans="1:13" ht="15.75" customHeight="1" x14ac:dyDescent="0.2">
      <c r="A357" s="13"/>
      <c r="B357" s="13"/>
      <c r="C357" s="13"/>
      <c r="D357" s="13"/>
      <c r="M357" s="10"/>
    </row>
    <row r="358" spans="1:13" ht="15.75" customHeight="1" x14ac:dyDescent="0.2">
      <c r="A358" s="13"/>
      <c r="B358" s="13"/>
      <c r="C358" s="13"/>
      <c r="D358" s="13"/>
      <c r="M358" s="10"/>
    </row>
    <row r="359" spans="1:13" ht="15.75" customHeight="1" x14ac:dyDescent="0.2">
      <c r="A359" s="13"/>
      <c r="B359" s="13"/>
      <c r="C359" s="13"/>
      <c r="D359" s="13"/>
      <c r="M359" s="10"/>
    </row>
    <row r="360" spans="1:13" ht="15.75" customHeight="1" x14ac:dyDescent="0.2">
      <c r="A360" s="13"/>
      <c r="B360" s="13"/>
      <c r="C360" s="13"/>
      <c r="D360" s="13"/>
      <c r="M360" s="10"/>
    </row>
    <row r="361" spans="1:13" ht="15.75" customHeight="1" x14ac:dyDescent="0.2">
      <c r="A361" s="13"/>
      <c r="B361" s="13"/>
      <c r="C361" s="13"/>
      <c r="D361" s="13"/>
      <c r="M361" s="10"/>
    </row>
    <row r="362" spans="1:13" ht="15.75" customHeight="1" x14ac:dyDescent="0.2">
      <c r="A362" s="13"/>
      <c r="B362" s="13"/>
      <c r="C362" s="13"/>
      <c r="D362" s="13"/>
      <c r="M362" s="10"/>
    </row>
    <row r="363" spans="1:13" ht="15.75" customHeight="1" x14ac:dyDescent="0.2">
      <c r="A363" s="13"/>
      <c r="B363" s="13"/>
      <c r="C363" s="13"/>
      <c r="D363" s="13"/>
      <c r="M363" s="10"/>
    </row>
    <row r="364" spans="1:13" ht="15.75" customHeight="1" x14ac:dyDescent="0.2">
      <c r="A364" s="13"/>
      <c r="B364" s="13"/>
      <c r="C364" s="13"/>
      <c r="D364" s="13"/>
      <c r="M364" s="10"/>
    </row>
    <row r="365" spans="1:13" ht="15.75" customHeight="1" x14ac:dyDescent="0.2">
      <c r="A365" s="13"/>
      <c r="B365" s="13"/>
      <c r="C365" s="13"/>
      <c r="D365" s="13"/>
      <c r="M365" s="10"/>
    </row>
    <row r="366" spans="1:13" ht="15.75" customHeight="1" x14ac:dyDescent="0.2">
      <c r="A366" s="13"/>
      <c r="B366" s="13"/>
      <c r="C366" s="13"/>
      <c r="D366" s="13"/>
      <c r="M366" s="10"/>
    </row>
    <row r="367" spans="1:13" ht="15.75" customHeight="1" x14ac:dyDescent="0.2">
      <c r="A367" s="13"/>
      <c r="B367" s="13"/>
      <c r="C367" s="13"/>
      <c r="D367" s="13"/>
      <c r="M367" s="10"/>
    </row>
    <row r="368" spans="1:13" ht="15.75" customHeight="1" x14ac:dyDescent="0.2">
      <c r="A368" s="13"/>
      <c r="B368" s="13"/>
      <c r="C368" s="13"/>
      <c r="D368" s="13"/>
      <c r="M368" s="10"/>
    </row>
    <row r="369" spans="1:13" ht="15.75" customHeight="1" x14ac:dyDescent="0.2">
      <c r="A369" s="13"/>
      <c r="B369" s="13"/>
      <c r="C369" s="13"/>
      <c r="D369" s="13"/>
      <c r="M369" s="10"/>
    </row>
    <row r="370" spans="1:13" ht="15.75" customHeight="1" x14ac:dyDescent="0.2">
      <c r="A370" s="13"/>
      <c r="B370" s="13"/>
      <c r="C370" s="13"/>
      <c r="D370" s="13"/>
      <c r="M370" s="10"/>
    </row>
    <row r="371" spans="1:13" ht="15.75" customHeight="1" x14ac:dyDescent="0.2">
      <c r="A371" s="13"/>
      <c r="B371" s="13"/>
      <c r="C371" s="13"/>
      <c r="D371" s="13"/>
      <c r="M371" s="10"/>
    </row>
    <row r="372" spans="1:13" ht="15.75" customHeight="1" x14ac:dyDescent="0.2">
      <c r="A372" s="13"/>
      <c r="B372" s="13"/>
      <c r="C372" s="13"/>
      <c r="D372" s="13"/>
      <c r="M372" s="10"/>
    </row>
    <row r="373" spans="1:13" ht="15.75" customHeight="1" x14ac:dyDescent="0.2">
      <c r="A373" s="13"/>
      <c r="B373" s="13"/>
      <c r="C373" s="13"/>
      <c r="D373" s="13"/>
      <c r="M373" s="10"/>
    </row>
    <row r="374" spans="1:13" ht="15.75" customHeight="1" x14ac:dyDescent="0.2">
      <c r="A374" s="13"/>
      <c r="B374" s="13"/>
      <c r="C374" s="13"/>
      <c r="D374" s="13"/>
      <c r="M374" s="10"/>
    </row>
    <row r="375" spans="1:13" ht="15.75" customHeight="1" x14ac:dyDescent="0.2">
      <c r="A375" s="13"/>
      <c r="B375" s="13"/>
      <c r="C375" s="13"/>
      <c r="D375" s="13"/>
      <c r="M375" s="10"/>
    </row>
    <row r="376" spans="1:13" ht="15.75" customHeight="1" x14ac:dyDescent="0.2">
      <c r="A376" s="13"/>
      <c r="B376" s="13"/>
      <c r="C376" s="13"/>
      <c r="D376" s="13"/>
      <c r="M376" s="10"/>
    </row>
    <row r="377" spans="1:13" ht="15.75" customHeight="1" x14ac:dyDescent="0.2">
      <c r="A377" s="13"/>
      <c r="B377" s="13"/>
      <c r="C377" s="13"/>
      <c r="D377" s="13"/>
      <c r="M377" s="10"/>
    </row>
    <row r="378" spans="1:13" ht="15.75" customHeight="1" x14ac:dyDescent="0.2">
      <c r="A378" s="13"/>
      <c r="B378" s="13"/>
      <c r="C378" s="13"/>
      <c r="D378" s="13"/>
      <c r="M378" s="10"/>
    </row>
    <row r="379" spans="1:13" ht="15.75" customHeight="1" x14ac:dyDescent="0.2">
      <c r="A379" s="13"/>
      <c r="B379" s="13"/>
      <c r="C379" s="13"/>
      <c r="D379" s="13"/>
      <c r="M379" s="10"/>
    </row>
    <row r="380" spans="1:13" ht="15.75" customHeight="1" x14ac:dyDescent="0.2">
      <c r="A380" s="13"/>
      <c r="B380" s="13"/>
      <c r="C380" s="13"/>
      <c r="D380" s="13"/>
      <c r="M380" s="10"/>
    </row>
    <row r="381" spans="1:13" ht="15.75" customHeight="1" x14ac:dyDescent="0.2">
      <c r="A381" s="13"/>
      <c r="B381" s="13"/>
      <c r="C381" s="13"/>
      <c r="D381" s="13"/>
      <c r="M381" s="10"/>
    </row>
    <row r="382" spans="1:13" ht="15.75" customHeight="1" x14ac:dyDescent="0.2">
      <c r="A382" s="13"/>
      <c r="B382" s="13"/>
      <c r="C382" s="13"/>
      <c r="D382" s="13"/>
      <c r="M382" s="10"/>
    </row>
    <row r="383" spans="1:13" ht="15.75" customHeight="1" x14ac:dyDescent="0.2">
      <c r="A383" s="13"/>
      <c r="B383" s="13"/>
      <c r="C383" s="13"/>
      <c r="D383" s="13"/>
      <c r="M383" s="10"/>
    </row>
    <row r="384" spans="1:13" ht="15.75" customHeight="1" x14ac:dyDescent="0.2">
      <c r="A384" s="13"/>
      <c r="B384" s="13"/>
      <c r="C384" s="13"/>
      <c r="D384" s="13"/>
      <c r="M384" s="10"/>
    </row>
    <row r="385" spans="1:13" ht="15.75" customHeight="1" x14ac:dyDescent="0.2">
      <c r="A385" s="13"/>
      <c r="B385" s="13"/>
      <c r="C385" s="13"/>
      <c r="D385" s="13"/>
      <c r="M385" s="10"/>
    </row>
    <row r="386" spans="1:13" ht="15.75" customHeight="1" x14ac:dyDescent="0.2">
      <c r="A386" s="13"/>
      <c r="B386" s="13"/>
      <c r="C386" s="13"/>
      <c r="D386" s="13"/>
      <c r="M386" s="10"/>
    </row>
    <row r="387" spans="1:13" ht="15.75" customHeight="1" x14ac:dyDescent="0.2">
      <c r="A387" s="13"/>
      <c r="B387" s="13"/>
      <c r="C387" s="13"/>
      <c r="D387" s="13"/>
      <c r="M387" s="10"/>
    </row>
    <row r="388" spans="1:13" ht="15.75" customHeight="1" x14ac:dyDescent="0.2">
      <c r="A388" s="13"/>
      <c r="B388" s="13"/>
      <c r="C388" s="13"/>
      <c r="D388" s="13"/>
      <c r="M388" s="10"/>
    </row>
    <row r="389" spans="1:13" ht="15.75" customHeight="1" x14ac:dyDescent="0.2">
      <c r="A389" s="13"/>
      <c r="B389" s="13"/>
      <c r="C389" s="13"/>
      <c r="D389" s="13"/>
      <c r="M389" s="10"/>
    </row>
    <row r="390" spans="1:13" ht="15.75" customHeight="1" x14ac:dyDescent="0.2">
      <c r="A390" s="13"/>
      <c r="B390" s="13"/>
      <c r="C390" s="13"/>
      <c r="D390" s="13"/>
      <c r="M390" s="10"/>
    </row>
    <row r="391" spans="1:13" ht="15.75" customHeight="1" x14ac:dyDescent="0.2">
      <c r="A391" s="13"/>
      <c r="B391" s="13"/>
      <c r="C391" s="13"/>
      <c r="D391" s="13"/>
      <c r="M391" s="10"/>
    </row>
    <row r="392" spans="1:13" ht="15.75" customHeight="1" x14ac:dyDescent="0.2">
      <c r="A392" s="13"/>
      <c r="B392" s="13"/>
      <c r="C392" s="13"/>
      <c r="D392" s="13"/>
      <c r="M392" s="10"/>
    </row>
    <row r="393" spans="1:13" ht="15.75" customHeight="1" x14ac:dyDescent="0.2">
      <c r="A393" s="13"/>
      <c r="B393" s="13"/>
      <c r="C393" s="13"/>
      <c r="D393" s="13"/>
      <c r="M393" s="10"/>
    </row>
    <row r="394" spans="1:13" ht="15.75" customHeight="1" x14ac:dyDescent="0.2">
      <c r="A394" s="13"/>
      <c r="B394" s="13"/>
      <c r="C394" s="13"/>
      <c r="D394" s="13"/>
      <c r="M394" s="10"/>
    </row>
    <row r="395" spans="1:13" ht="15.75" customHeight="1" x14ac:dyDescent="0.2">
      <c r="A395" s="13"/>
      <c r="B395" s="13"/>
      <c r="C395" s="13"/>
      <c r="D395" s="13"/>
      <c r="M395" s="10"/>
    </row>
    <row r="396" spans="1:13" ht="15.75" customHeight="1" x14ac:dyDescent="0.2">
      <c r="A396" s="13"/>
      <c r="B396" s="13"/>
      <c r="C396" s="13"/>
      <c r="D396" s="13"/>
      <c r="M396" s="10"/>
    </row>
    <row r="397" spans="1:13" ht="15.75" customHeight="1" x14ac:dyDescent="0.2">
      <c r="A397" s="13"/>
      <c r="B397" s="13"/>
      <c r="C397" s="13"/>
      <c r="D397" s="13"/>
      <c r="M397" s="10"/>
    </row>
    <row r="398" spans="1:13" ht="15.75" customHeight="1" x14ac:dyDescent="0.2">
      <c r="A398" s="13"/>
      <c r="B398" s="13"/>
      <c r="C398" s="13"/>
      <c r="D398" s="13"/>
      <c r="M398" s="10"/>
    </row>
    <row r="399" spans="1:13" ht="15.75" customHeight="1" x14ac:dyDescent="0.2">
      <c r="A399" s="13"/>
      <c r="B399" s="13"/>
      <c r="C399" s="13"/>
      <c r="D399" s="13"/>
      <c r="M399" s="10"/>
    </row>
    <row r="400" spans="1:13" ht="15.75" customHeight="1" x14ac:dyDescent="0.2">
      <c r="A400" s="13"/>
      <c r="B400" s="13"/>
      <c r="C400" s="13"/>
      <c r="D400" s="13"/>
      <c r="M400" s="10"/>
    </row>
    <row r="401" spans="1:13" ht="15.75" customHeight="1" x14ac:dyDescent="0.2">
      <c r="A401" s="13"/>
      <c r="B401" s="13"/>
      <c r="C401" s="13"/>
      <c r="D401" s="13"/>
      <c r="M401" s="10"/>
    </row>
    <row r="402" spans="1:13" ht="15.75" customHeight="1" x14ac:dyDescent="0.2">
      <c r="A402" s="13"/>
      <c r="B402" s="13"/>
      <c r="C402" s="13"/>
      <c r="D402" s="13"/>
      <c r="M402" s="10"/>
    </row>
    <row r="403" spans="1:13" ht="15.75" customHeight="1" x14ac:dyDescent="0.2">
      <c r="A403" s="13"/>
      <c r="B403" s="13"/>
      <c r="C403" s="13"/>
      <c r="D403" s="13"/>
      <c r="M403" s="10"/>
    </row>
    <row r="404" spans="1:13" ht="15.75" customHeight="1" x14ac:dyDescent="0.2">
      <c r="A404" s="13"/>
      <c r="B404" s="13"/>
      <c r="C404" s="13"/>
      <c r="D404" s="13"/>
      <c r="M404" s="10"/>
    </row>
    <row r="405" spans="1:13" ht="15.75" customHeight="1" x14ac:dyDescent="0.2">
      <c r="A405" s="13"/>
      <c r="B405" s="13"/>
      <c r="C405" s="13"/>
      <c r="D405" s="13"/>
      <c r="M405" s="10"/>
    </row>
    <row r="406" spans="1:13" ht="15.75" customHeight="1" x14ac:dyDescent="0.2">
      <c r="A406" s="13"/>
      <c r="B406" s="13"/>
      <c r="C406" s="13"/>
      <c r="D406" s="13"/>
      <c r="M406" s="10"/>
    </row>
    <row r="407" spans="1:13" ht="15.75" customHeight="1" x14ac:dyDescent="0.2">
      <c r="A407" s="13"/>
      <c r="B407" s="13"/>
      <c r="C407" s="13"/>
      <c r="D407" s="13"/>
      <c r="M407" s="10"/>
    </row>
    <row r="408" spans="1:13" ht="15.75" customHeight="1" x14ac:dyDescent="0.2">
      <c r="A408" s="13"/>
      <c r="B408" s="13"/>
      <c r="C408" s="13"/>
      <c r="D408" s="13"/>
      <c r="M408" s="10"/>
    </row>
    <row r="409" spans="1:13" ht="15.75" customHeight="1" x14ac:dyDescent="0.2">
      <c r="A409" s="13"/>
      <c r="B409" s="13"/>
      <c r="C409" s="13"/>
      <c r="D409" s="13"/>
      <c r="M409" s="10"/>
    </row>
    <row r="410" spans="1:13" ht="15.75" customHeight="1" x14ac:dyDescent="0.2">
      <c r="A410" s="13"/>
      <c r="B410" s="13"/>
      <c r="C410" s="13"/>
      <c r="D410" s="13"/>
      <c r="M410" s="10"/>
    </row>
    <row r="411" spans="1:13" ht="15.75" customHeight="1" x14ac:dyDescent="0.2">
      <c r="A411" s="13"/>
      <c r="B411" s="13"/>
      <c r="C411" s="13"/>
      <c r="D411" s="13"/>
      <c r="M411" s="10"/>
    </row>
    <row r="412" spans="1:13" ht="15.75" customHeight="1" x14ac:dyDescent="0.2">
      <c r="A412" s="13"/>
      <c r="B412" s="13"/>
      <c r="C412" s="13"/>
      <c r="D412" s="13"/>
      <c r="M412" s="10"/>
    </row>
    <row r="413" spans="1:13" ht="15.75" customHeight="1" x14ac:dyDescent="0.2">
      <c r="A413" s="13"/>
      <c r="B413" s="13"/>
      <c r="C413" s="13"/>
      <c r="D413" s="13"/>
      <c r="M413" s="10"/>
    </row>
    <row r="414" spans="1:13" ht="15.75" customHeight="1" x14ac:dyDescent="0.2">
      <c r="A414" s="13"/>
      <c r="B414" s="13"/>
      <c r="C414" s="13"/>
      <c r="D414" s="13"/>
      <c r="M414" s="10"/>
    </row>
    <row r="415" spans="1:13" ht="15.75" customHeight="1" x14ac:dyDescent="0.2">
      <c r="A415" s="13"/>
      <c r="B415" s="13"/>
      <c r="C415" s="13"/>
      <c r="D415" s="13"/>
      <c r="M415" s="10"/>
    </row>
    <row r="416" spans="1:13" ht="15.75" customHeight="1" x14ac:dyDescent="0.2">
      <c r="A416" s="13"/>
      <c r="B416" s="13"/>
      <c r="C416" s="13"/>
      <c r="D416" s="13"/>
      <c r="M416" s="10"/>
    </row>
    <row r="417" spans="1:13" ht="15.75" customHeight="1" x14ac:dyDescent="0.2">
      <c r="A417" s="13"/>
      <c r="B417" s="13"/>
      <c r="C417" s="13"/>
      <c r="D417" s="13"/>
      <c r="M417" s="10"/>
    </row>
    <row r="418" spans="1:13" ht="15.75" customHeight="1" x14ac:dyDescent="0.2">
      <c r="A418" s="13"/>
      <c r="B418" s="13"/>
      <c r="C418" s="13"/>
      <c r="D418" s="13"/>
      <c r="M418" s="10"/>
    </row>
    <row r="419" spans="1:13" ht="15.75" customHeight="1" x14ac:dyDescent="0.2">
      <c r="A419" s="13"/>
      <c r="B419" s="13"/>
      <c r="C419" s="13"/>
      <c r="D419" s="13"/>
      <c r="M419" s="10"/>
    </row>
    <row r="420" spans="1:13" ht="15.75" customHeight="1" x14ac:dyDescent="0.2">
      <c r="A420" s="13"/>
      <c r="B420" s="13"/>
      <c r="C420" s="13"/>
      <c r="D420" s="13"/>
      <c r="M420" s="10"/>
    </row>
    <row r="421" spans="1:13" ht="15.75" customHeight="1" x14ac:dyDescent="0.2">
      <c r="A421" s="13"/>
      <c r="B421" s="13"/>
      <c r="C421" s="13"/>
      <c r="D421" s="13"/>
      <c r="M421" s="10"/>
    </row>
    <row r="422" spans="1:13" ht="15.75" customHeight="1" x14ac:dyDescent="0.2">
      <c r="A422" s="13"/>
      <c r="B422" s="13"/>
      <c r="C422" s="13"/>
      <c r="D422" s="13"/>
      <c r="M422" s="10"/>
    </row>
    <row r="423" spans="1:13" ht="15.75" customHeight="1" x14ac:dyDescent="0.2">
      <c r="A423" s="13"/>
      <c r="B423" s="13"/>
      <c r="C423" s="13"/>
      <c r="D423" s="13"/>
      <c r="M423" s="10"/>
    </row>
    <row r="424" spans="1:13" ht="15.75" customHeight="1" x14ac:dyDescent="0.2">
      <c r="A424" s="13"/>
      <c r="B424" s="13"/>
      <c r="C424" s="13"/>
      <c r="D424" s="13"/>
      <c r="M424" s="10"/>
    </row>
    <row r="425" spans="1:13" ht="15.75" customHeight="1" x14ac:dyDescent="0.2">
      <c r="A425" s="13"/>
      <c r="B425" s="13"/>
      <c r="C425" s="13"/>
      <c r="D425" s="13"/>
      <c r="M425" s="10"/>
    </row>
    <row r="426" spans="1:13" ht="15.75" customHeight="1" x14ac:dyDescent="0.2">
      <c r="A426" s="13"/>
      <c r="B426" s="13"/>
      <c r="C426" s="13"/>
      <c r="D426" s="13"/>
      <c r="M426" s="10"/>
    </row>
    <row r="427" spans="1:13" ht="15.75" customHeight="1" x14ac:dyDescent="0.2">
      <c r="A427" s="13"/>
      <c r="B427" s="13"/>
      <c r="C427" s="13"/>
      <c r="D427" s="13"/>
      <c r="M427" s="10"/>
    </row>
    <row r="428" spans="1:13" ht="15.75" customHeight="1" x14ac:dyDescent="0.2">
      <c r="A428" s="13"/>
      <c r="B428" s="13"/>
      <c r="C428" s="13"/>
      <c r="D428" s="13"/>
      <c r="M428" s="10"/>
    </row>
    <row r="429" spans="1:13" ht="15.75" customHeight="1" x14ac:dyDescent="0.2">
      <c r="A429" s="13"/>
      <c r="B429" s="13"/>
      <c r="C429" s="13"/>
      <c r="D429" s="13"/>
      <c r="M429" s="10"/>
    </row>
    <row r="430" spans="1:13" ht="15.75" customHeight="1" x14ac:dyDescent="0.2">
      <c r="A430" s="13"/>
      <c r="B430" s="13"/>
      <c r="C430" s="13"/>
      <c r="D430" s="13"/>
      <c r="M430" s="10"/>
    </row>
    <row r="431" spans="1:13" ht="15.75" customHeight="1" x14ac:dyDescent="0.2">
      <c r="A431" s="13"/>
      <c r="B431" s="13"/>
      <c r="C431" s="13"/>
      <c r="D431" s="13"/>
      <c r="M431" s="10"/>
    </row>
    <row r="432" spans="1:13" ht="15.75" customHeight="1" x14ac:dyDescent="0.2">
      <c r="A432" s="13"/>
      <c r="B432" s="13"/>
      <c r="C432" s="13"/>
      <c r="D432" s="13"/>
      <c r="M432" s="10"/>
    </row>
    <row r="433" spans="1:13" ht="15.75" customHeight="1" x14ac:dyDescent="0.2">
      <c r="A433" s="13"/>
      <c r="B433" s="13"/>
      <c r="C433" s="13"/>
      <c r="D433" s="13"/>
      <c r="M433" s="10"/>
    </row>
    <row r="434" spans="1:13" ht="15.75" customHeight="1" x14ac:dyDescent="0.2">
      <c r="A434" s="13"/>
      <c r="B434" s="13"/>
      <c r="C434" s="13"/>
      <c r="D434" s="13"/>
      <c r="M434" s="10"/>
    </row>
    <row r="435" spans="1:13" ht="15.75" customHeight="1" x14ac:dyDescent="0.2">
      <c r="A435" s="13"/>
      <c r="B435" s="13"/>
      <c r="C435" s="13"/>
      <c r="D435" s="13"/>
      <c r="M435" s="10"/>
    </row>
    <row r="436" spans="1:13" ht="15.75" customHeight="1" x14ac:dyDescent="0.2">
      <c r="A436" s="13"/>
      <c r="B436" s="13"/>
      <c r="C436" s="13"/>
      <c r="D436" s="13"/>
      <c r="M436" s="10"/>
    </row>
    <row r="437" spans="1:13" ht="15.75" customHeight="1" x14ac:dyDescent="0.2">
      <c r="A437" s="13"/>
      <c r="B437" s="13"/>
      <c r="C437" s="13"/>
      <c r="D437" s="13"/>
      <c r="M437" s="10"/>
    </row>
    <row r="438" spans="1:13" ht="15.75" customHeight="1" x14ac:dyDescent="0.2">
      <c r="A438" s="13"/>
      <c r="B438" s="13"/>
      <c r="C438" s="13"/>
      <c r="D438" s="13"/>
      <c r="M438" s="10"/>
    </row>
    <row r="439" spans="1:13" ht="15.75" customHeight="1" x14ac:dyDescent="0.2">
      <c r="A439" s="13"/>
      <c r="B439" s="13"/>
      <c r="C439" s="13"/>
      <c r="D439" s="13"/>
      <c r="M439" s="10"/>
    </row>
    <row r="440" spans="1:13" ht="15.75" customHeight="1" x14ac:dyDescent="0.2">
      <c r="A440" s="13"/>
      <c r="B440" s="13"/>
      <c r="C440" s="13"/>
      <c r="D440" s="13"/>
      <c r="M440" s="10"/>
    </row>
    <row r="441" spans="1:13" ht="15.75" customHeight="1" x14ac:dyDescent="0.2">
      <c r="A441" s="13"/>
      <c r="B441" s="13"/>
      <c r="C441" s="13"/>
      <c r="D441" s="13"/>
      <c r="M441" s="10"/>
    </row>
    <row r="442" spans="1:13" ht="15.75" customHeight="1" x14ac:dyDescent="0.2">
      <c r="A442" s="13"/>
      <c r="B442" s="13"/>
      <c r="C442" s="13"/>
      <c r="D442" s="13"/>
      <c r="M442" s="10"/>
    </row>
    <row r="443" spans="1:13" ht="15.75" customHeight="1" x14ac:dyDescent="0.2">
      <c r="A443" s="13"/>
      <c r="B443" s="13"/>
      <c r="C443" s="13"/>
      <c r="D443" s="13"/>
      <c r="M443" s="10"/>
    </row>
    <row r="444" spans="1:13" ht="15.75" customHeight="1" x14ac:dyDescent="0.2">
      <c r="A444" s="13"/>
      <c r="B444" s="13"/>
      <c r="C444" s="13"/>
      <c r="D444" s="13"/>
      <c r="M444" s="10"/>
    </row>
    <row r="445" spans="1:13" ht="15.75" customHeight="1" x14ac:dyDescent="0.2">
      <c r="A445" s="13"/>
      <c r="B445" s="13"/>
      <c r="C445" s="13"/>
      <c r="D445" s="13"/>
      <c r="M445" s="10"/>
    </row>
    <row r="446" spans="1:13" ht="15.75" customHeight="1" x14ac:dyDescent="0.2">
      <c r="A446" s="13"/>
      <c r="B446" s="13"/>
      <c r="C446" s="13"/>
      <c r="D446" s="13"/>
      <c r="M446" s="10"/>
    </row>
    <row r="447" spans="1:13" ht="15.75" customHeight="1" x14ac:dyDescent="0.2">
      <c r="A447" s="13"/>
      <c r="B447" s="13"/>
      <c r="C447" s="13"/>
      <c r="D447" s="13"/>
      <c r="M447" s="10"/>
    </row>
    <row r="448" spans="1:13" ht="15.75" customHeight="1" x14ac:dyDescent="0.2">
      <c r="A448" s="13"/>
      <c r="B448" s="13"/>
      <c r="C448" s="13"/>
      <c r="D448" s="13"/>
      <c r="M448" s="10"/>
    </row>
    <row r="449" spans="1:13" ht="15.75" customHeight="1" x14ac:dyDescent="0.2">
      <c r="A449" s="13"/>
      <c r="B449" s="13"/>
      <c r="C449" s="13"/>
      <c r="D449" s="13"/>
      <c r="M449" s="10"/>
    </row>
    <row r="450" spans="1:13" ht="15.75" customHeight="1" x14ac:dyDescent="0.2">
      <c r="A450" s="13"/>
      <c r="B450" s="13"/>
      <c r="C450" s="13"/>
      <c r="D450" s="13"/>
      <c r="M450" s="10"/>
    </row>
    <row r="451" spans="1:13" ht="15.75" customHeight="1" x14ac:dyDescent="0.2">
      <c r="A451" s="13"/>
      <c r="B451" s="13"/>
      <c r="C451" s="13"/>
      <c r="D451" s="13"/>
      <c r="M451" s="10"/>
    </row>
    <row r="452" spans="1:13" ht="15.75" customHeight="1" x14ac:dyDescent="0.2">
      <c r="A452" s="13"/>
      <c r="B452" s="13"/>
      <c r="C452" s="13"/>
      <c r="D452" s="13"/>
      <c r="M452" s="10"/>
    </row>
    <row r="453" spans="1:13" ht="15.75" customHeight="1" x14ac:dyDescent="0.2">
      <c r="A453" s="13"/>
      <c r="B453" s="13"/>
      <c r="C453" s="13"/>
      <c r="D453" s="13"/>
      <c r="M453" s="10"/>
    </row>
    <row r="454" spans="1:13" ht="15.75" customHeight="1" x14ac:dyDescent="0.2">
      <c r="A454" s="13"/>
      <c r="B454" s="13"/>
      <c r="C454" s="13"/>
      <c r="D454" s="13"/>
      <c r="M454" s="10"/>
    </row>
    <row r="455" spans="1:13" ht="15.75" customHeight="1" x14ac:dyDescent="0.2">
      <c r="A455" s="13"/>
      <c r="B455" s="13"/>
      <c r="C455" s="13"/>
      <c r="D455" s="13"/>
      <c r="M455" s="10"/>
    </row>
    <row r="456" spans="1:13" ht="15.75" customHeight="1" x14ac:dyDescent="0.2">
      <c r="A456" s="13"/>
      <c r="B456" s="13"/>
      <c r="C456" s="13"/>
      <c r="D456" s="13"/>
      <c r="M456" s="10"/>
    </row>
    <row r="457" spans="1:13" ht="15.75" customHeight="1" x14ac:dyDescent="0.2">
      <c r="A457" s="13"/>
      <c r="B457" s="13"/>
      <c r="C457" s="13"/>
      <c r="D457" s="13"/>
      <c r="M457" s="10"/>
    </row>
    <row r="458" spans="1:13" ht="15.75" customHeight="1" x14ac:dyDescent="0.2">
      <c r="A458" s="13"/>
      <c r="B458" s="13"/>
      <c r="C458" s="13"/>
      <c r="D458" s="13"/>
      <c r="M458" s="10"/>
    </row>
    <row r="459" spans="1:13" ht="15.75" customHeight="1" x14ac:dyDescent="0.2">
      <c r="A459" s="13"/>
      <c r="B459" s="13"/>
      <c r="C459" s="13"/>
      <c r="D459" s="13"/>
      <c r="M459" s="10"/>
    </row>
    <row r="460" spans="1:13" ht="15.75" customHeight="1" x14ac:dyDescent="0.2">
      <c r="A460" s="13"/>
      <c r="B460" s="13"/>
      <c r="C460" s="13"/>
      <c r="D460" s="13"/>
      <c r="M460" s="10"/>
    </row>
    <row r="461" spans="1:13" ht="15.75" customHeight="1" x14ac:dyDescent="0.2">
      <c r="A461" s="13"/>
      <c r="B461" s="13"/>
      <c r="C461" s="13"/>
      <c r="D461" s="13"/>
      <c r="M461" s="10"/>
    </row>
    <row r="462" spans="1:13" ht="15.75" customHeight="1" x14ac:dyDescent="0.2">
      <c r="A462" s="13"/>
      <c r="B462" s="13"/>
      <c r="C462" s="13"/>
      <c r="D462" s="13"/>
      <c r="M462" s="10"/>
    </row>
    <row r="463" spans="1:13" ht="15.75" customHeight="1" x14ac:dyDescent="0.2">
      <c r="A463" s="13"/>
      <c r="B463" s="13"/>
      <c r="C463" s="13"/>
      <c r="D463" s="13"/>
      <c r="M463" s="10"/>
    </row>
    <row r="464" spans="1:13" ht="15.75" customHeight="1" x14ac:dyDescent="0.2">
      <c r="A464" s="13"/>
      <c r="B464" s="13"/>
      <c r="C464" s="13"/>
      <c r="D464" s="13"/>
      <c r="M464" s="10"/>
    </row>
    <row r="465" spans="1:13" ht="15.75" customHeight="1" x14ac:dyDescent="0.2">
      <c r="A465" s="13"/>
      <c r="B465" s="13"/>
      <c r="C465" s="13"/>
      <c r="D465" s="13"/>
      <c r="M465" s="10"/>
    </row>
    <row r="466" spans="1:13" ht="15.75" customHeight="1" x14ac:dyDescent="0.2">
      <c r="A466" s="13"/>
      <c r="B466" s="13"/>
      <c r="C466" s="13"/>
      <c r="D466" s="13"/>
      <c r="M466" s="10"/>
    </row>
    <row r="467" spans="1:13" ht="15.75" customHeight="1" x14ac:dyDescent="0.2">
      <c r="A467" s="13"/>
      <c r="B467" s="13"/>
      <c r="C467" s="13"/>
      <c r="D467" s="13"/>
      <c r="M467" s="10"/>
    </row>
    <row r="468" spans="1:13" ht="15.75" customHeight="1" x14ac:dyDescent="0.2">
      <c r="A468" s="13"/>
      <c r="B468" s="13"/>
      <c r="C468" s="13"/>
      <c r="D468" s="13"/>
      <c r="M468" s="10"/>
    </row>
    <row r="469" spans="1:13" ht="15.75" customHeight="1" x14ac:dyDescent="0.2">
      <c r="A469" s="13"/>
      <c r="B469" s="13"/>
      <c r="C469" s="13"/>
      <c r="D469" s="13"/>
      <c r="M469" s="10"/>
    </row>
    <row r="470" spans="1:13" ht="15.75" customHeight="1" x14ac:dyDescent="0.2">
      <c r="A470" s="13"/>
      <c r="B470" s="13"/>
      <c r="C470" s="13"/>
      <c r="D470" s="13"/>
      <c r="M470" s="10"/>
    </row>
    <row r="471" spans="1:13" ht="15.75" customHeight="1" x14ac:dyDescent="0.2">
      <c r="A471" s="13"/>
      <c r="B471" s="13"/>
      <c r="C471" s="13"/>
      <c r="D471" s="13"/>
      <c r="M471" s="10"/>
    </row>
    <row r="472" spans="1:13" ht="15.75" customHeight="1" x14ac:dyDescent="0.2">
      <c r="A472" s="13"/>
      <c r="B472" s="13"/>
      <c r="C472" s="13"/>
      <c r="D472" s="13"/>
      <c r="M472" s="10"/>
    </row>
    <row r="473" spans="1:13" ht="15.75" customHeight="1" x14ac:dyDescent="0.2">
      <c r="A473" s="13"/>
      <c r="B473" s="13"/>
      <c r="C473" s="13"/>
      <c r="D473" s="13"/>
      <c r="M473" s="10"/>
    </row>
    <row r="474" spans="1:13" ht="15.75" customHeight="1" x14ac:dyDescent="0.2">
      <c r="A474" s="13"/>
      <c r="B474" s="13"/>
      <c r="C474" s="13"/>
      <c r="D474" s="13"/>
      <c r="M474" s="10"/>
    </row>
    <row r="475" spans="1:13" ht="15.75" customHeight="1" x14ac:dyDescent="0.2">
      <c r="A475" s="13"/>
      <c r="B475" s="13"/>
      <c r="C475" s="13"/>
      <c r="D475" s="13"/>
      <c r="M475" s="10"/>
    </row>
    <row r="476" spans="1:13" ht="15.75" customHeight="1" x14ac:dyDescent="0.2">
      <c r="A476" s="13"/>
      <c r="B476" s="13"/>
      <c r="C476" s="13"/>
      <c r="D476" s="13"/>
      <c r="M476" s="10"/>
    </row>
    <row r="477" spans="1:13" ht="15.75" customHeight="1" x14ac:dyDescent="0.2">
      <c r="A477" s="13"/>
      <c r="B477" s="13"/>
      <c r="C477" s="13"/>
      <c r="D477" s="13"/>
      <c r="M477" s="10"/>
    </row>
    <row r="478" spans="1:13" ht="15.75" customHeight="1" x14ac:dyDescent="0.2">
      <c r="A478" s="13"/>
      <c r="B478" s="13"/>
      <c r="C478" s="13"/>
      <c r="D478" s="13"/>
      <c r="M478" s="10"/>
    </row>
    <row r="479" spans="1:13" ht="15.75" customHeight="1" x14ac:dyDescent="0.2">
      <c r="A479" s="13"/>
      <c r="B479" s="13"/>
      <c r="C479" s="13"/>
      <c r="D479" s="13"/>
      <c r="M479" s="10"/>
    </row>
    <row r="480" spans="1:13" ht="15.75" customHeight="1" x14ac:dyDescent="0.2">
      <c r="A480" s="13"/>
      <c r="B480" s="13"/>
      <c r="C480" s="13"/>
      <c r="D480" s="13"/>
      <c r="M480" s="10"/>
    </row>
    <row r="481" spans="1:13" ht="15.75" customHeight="1" x14ac:dyDescent="0.2">
      <c r="A481" s="13"/>
      <c r="B481" s="13"/>
      <c r="C481" s="13"/>
      <c r="D481" s="13"/>
      <c r="M481" s="10"/>
    </row>
    <row r="482" spans="1:13" ht="15.75" customHeight="1" x14ac:dyDescent="0.2">
      <c r="A482" s="13"/>
      <c r="B482" s="13"/>
      <c r="C482" s="13"/>
      <c r="D482" s="13"/>
      <c r="M482" s="10"/>
    </row>
    <row r="483" spans="1:13" ht="15.75" customHeight="1" x14ac:dyDescent="0.2">
      <c r="A483" s="13"/>
      <c r="B483" s="13"/>
      <c r="C483" s="13"/>
      <c r="D483" s="13"/>
      <c r="M483" s="10"/>
    </row>
    <row r="484" spans="1:13" ht="15.75" customHeight="1" x14ac:dyDescent="0.2">
      <c r="A484" s="13"/>
      <c r="B484" s="13"/>
      <c r="C484" s="13"/>
      <c r="D484" s="13"/>
      <c r="M484" s="10"/>
    </row>
    <row r="485" spans="1:13" ht="15.75" customHeight="1" x14ac:dyDescent="0.2">
      <c r="A485" s="13"/>
      <c r="B485" s="13"/>
      <c r="C485" s="13"/>
      <c r="D485" s="13"/>
      <c r="M485" s="10"/>
    </row>
    <row r="486" spans="1:13" ht="15.75" customHeight="1" x14ac:dyDescent="0.2">
      <c r="A486" s="13"/>
      <c r="B486" s="13"/>
      <c r="C486" s="13"/>
      <c r="D486" s="13"/>
      <c r="M486" s="10"/>
    </row>
    <row r="487" spans="1:13" ht="15.75" customHeight="1" x14ac:dyDescent="0.2">
      <c r="A487" s="13"/>
      <c r="B487" s="13"/>
      <c r="C487" s="13"/>
      <c r="D487" s="13"/>
      <c r="M487" s="10"/>
    </row>
    <row r="488" spans="1:13" ht="15.75" customHeight="1" x14ac:dyDescent="0.2">
      <c r="A488" s="13"/>
      <c r="B488" s="13"/>
      <c r="C488" s="13"/>
      <c r="D488" s="13"/>
      <c r="M488" s="10"/>
    </row>
    <row r="489" spans="1:13" ht="15.75" customHeight="1" x14ac:dyDescent="0.2">
      <c r="A489" s="13"/>
      <c r="B489" s="13"/>
      <c r="C489" s="13"/>
      <c r="D489" s="13"/>
      <c r="M489" s="10"/>
    </row>
    <row r="490" spans="1:13" ht="15.75" customHeight="1" x14ac:dyDescent="0.2">
      <c r="A490" s="13"/>
      <c r="B490" s="13"/>
      <c r="C490" s="13"/>
      <c r="D490" s="13"/>
      <c r="M490" s="10"/>
    </row>
    <row r="491" spans="1:13" ht="15.75" customHeight="1" x14ac:dyDescent="0.2">
      <c r="A491" s="13"/>
      <c r="B491" s="13"/>
      <c r="C491" s="13"/>
      <c r="D491" s="13"/>
      <c r="M491" s="10"/>
    </row>
    <row r="492" spans="1:13" ht="15.75" customHeight="1" x14ac:dyDescent="0.2">
      <c r="A492" s="13"/>
      <c r="B492" s="13"/>
      <c r="C492" s="13"/>
      <c r="D492" s="13"/>
      <c r="M492" s="10"/>
    </row>
    <row r="493" spans="1:13" ht="15.75" customHeight="1" x14ac:dyDescent="0.2">
      <c r="A493" s="13"/>
      <c r="B493" s="13"/>
      <c r="C493" s="13"/>
      <c r="D493" s="13"/>
      <c r="M493" s="10"/>
    </row>
    <row r="494" spans="1:13" ht="15.75" customHeight="1" x14ac:dyDescent="0.2">
      <c r="A494" s="13"/>
      <c r="B494" s="13"/>
      <c r="C494" s="13"/>
      <c r="D494" s="13"/>
      <c r="M494" s="10"/>
    </row>
    <row r="495" spans="1:13" ht="15.75" customHeight="1" x14ac:dyDescent="0.2">
      <c r="A495" s="13"/>
      <c r="B495" s="13"/>
      <c r="C495" s="13"/>
      <c r="D495" s="13"/>
      <c r="M495" s="10"/>
    </row>
    <row r="496" spans="1:13" ht="15.75" customHeight="1" x14ac:dyDescent="0.2">
      <c r="A496" s="13"/>
      <c r="B496" s="13"/>
      <c r="C496" s="13"/>
      <c r="D496" s="13"/>
      <c r="M496" s="10"/>
    </row>
    <row r="497" spans="1:13" ht="15.75" customHeight="1" x14ac:dyDescent="0.2">
      <c r="A497" s="13"/>
      <c r="B497" s="13"/>
      <c r="C497" s="13"/>
      <c r="D497" s="13"/>
      <c r="M497" s="10"/>
    </row>
    <row r="498" spans="1:13" ht="15.75" customHeight="1" x14ac:dyDescent="0.2">
      <c r="A498" s="13"/>
      <c r="B498" s="13"/>
      <c r="C498" s="13"/>
      <c r="D498" s="13"/>
      <c r="M498" s="10"/>
    </row>
    <row r="499" spans="1:13" ht="15.75" customHeight="1" x14ac:dyDescent="0.2">
      <c r="A499" s="13"/>
      <c r="B499" s="13"/>
      <c r="C499" s="13"/>
      <c r="D499" s="13"/>
      <c r="M499" s="10"/>
    </row>
    <row r="500" spans="1:13" ht="15.75" customHeight="1" x14ac:dyDescent="0.2">
      <c r="A500" s="13"/>
      <c r="B500" s="13"/>
      <c r="C500" s="13"/>
      <c r="D500" s="13"/>
      <c r="M500" s="10"/>
    </row>
    <row r="501" spans="1:13" ht="15.75" customHeight="1" x14ac:dyDescent="0.2">
      <c r="A501" s="13"/>
      <c r="B501" s="13"/>
      <c r="C501" s="13"/>
      <c r="D501" s="13"/>
      <c r="M501" s="10"/>
    </row>
    <row r="502" spans="1:13" ht="15.75" customHeight="1" x14ac:dyDescent="0.2">
      <c r="A502" s="13"/>
      <c r="B502" s="13"/>
      <c r="C502" s="13"/>
      <c r="D502" s="13"/>
      <c r="M502" s="10"/>
    </row>
    <row r="503" spans="1:13" ht="15.75" customHeight="1" x14ac:dyDescent="0.2">
      <c r="A503" s="13"/>
      <c r="B503" s="13"/>
      <c r="C503" s="13"/>
      <c r="D503" s="13"/>
      <c r="M503" s="10"/>
    </row>
    <row r="504" spans="1:13" ht="15.75" customHeight="1" x14ac:dyDescent="0.2">
      <c r="A504" s="13"/>
      <c r="B504" s="13"/>
      <c r="C504" s="13"/>
      <c r="D504" s="13"/>
      <c r="M504" s="10"/>
    </row>
    <row r="505" spans="1:13" ht="15.75" customHeight="1" x14ac:dyDescent="0.2">
      <c r="A505" s="13"/>
      <c r="B505" s="13"/>
      <c r="C505" s="13"/>
      <c r="D505" s="13"/>
      <c r="M505" s="10"/>
    </row>
    <row r="506" spans="1:13" ht="15.75" customHeight="1" x14ac:dyDescent="0.2">
      <c r="A506" s="13"/>
      <c r="B506" s="13"/>
      <c r="C506" s="13"/>
      <c r="D506" s="13"/>
      <c r="M506" s="10"/>
    </row>
    <row r="507" spans="1:13" ht="15.75" customHeight="1" x14ac:dyDescent="0.2">
      <c r="A507" s="13"/>
      <c r="B507" s="13"/>
      <c r="C507" s="13"/>
      <c r="D507" s="13"/>
      <c r="M507" s="10"/>
    </row>
    <row r="508" spans="1:13" ht="15.75" customHeight="1" x14ac:dyDescent="0.2">
      <c r="A508" s="13"/>
      <c r="B508" s="13"/>
      <c r="C508" s="13"/>
      <c r="D508" s="13"/>
      <c r="M508" s="10"/>
    </row>
    <row r="509" spans="1:13" ht="15.75" customHeight="1" x14ac:dyDescent="0.2">
      <c r="A509" s="13"/>
      <c r="B509" s="13"/>
      <c r="C509" s="13"/>
      <c r="D509" s="13"/>
      <c r="M509" s="10"/>
    </row>
    <row r="510" spans="1:13" ht="15.75" customHeight="1" x14ac:dyDescent="0.2">
      <c r="A510" s="13"/>
      <c r="B510" s="13"/>
      <c r="C510" s="13"/>
      <c r="D510" s="13"/>
      <c r="M510" s="10"/>
    </row>
    <row r="511" spans="1:13" ht="15.75" customHeight="1" x14ac:dyDescent="0.2">
      <c r="A511" s="13"/>
      <c r="B511" s="13"/>
      <c r="C511" s="13"/>
      <c r="D511" s="13"/>
      <c r="M511" s="10"/>
    </row>
    <row r="512" spans="1:13" ht="15.75" customHeight="1" x14ac:dyDescent="0.2">
      <c r="A512" s="13"/>
      <c r="B512" s="13"/>
      <c r="C512" s="13"/>
      <c r="D512" s="13"/>
      <c r="M512" s="10"/>
    </row>
    <row r="513" spans="1:13" ht="15.75" customHeight="1" x14ac:dyDescent="0.2">
      <c r="A513" s="13"/>
      <c r="B513" s="13"/>
      <c r="C513" s="13"/>
      <c r="D513" s="13"/>
      <c r="M513" s="10"/>
    </row>
    <row r="514" spans="1:13" ht="15.75" customHeight="1" x14ac:dyDescent="0.2">
      <c r="A514" s="13"/>
      <c r="B514" s="13"/>
      <c r="C514" s="13"/>
      <c r="D514" s="13"/>
      <c r="M514" s="10"/>
    </row>
    <row r="515" spans="1:13" ht="15.75" customHeight="1" x14ac:dyDescent="0.2">
      <c r="A515" s="13"/>
      <c r="B515" s="13"/>
      <c r="C515" s="13"/>
      <c r="D515" s="13"/>
      <c r="M515" s="10"/>
    </row>
    <row r="516" spans="1:13" ht="15.75" customHeight="1" x14ac:dyDescent="0.2">
      <c r="A516" s="13"/>
      <c r="B516" s="13"/>
      <c r="C516" s="13"/>
      <c r="D516" s="13"/>
      <c r="M516" s="10"/>
    </row>
    <row r="517" spans="1:13" ht="15.75" customHeight="1" x14ac:dyDescent="0.2">
      <c r="A517" s="13"/>
      <c r="B517" s="13"/>
      <c r="C517" s="13"/>
      <c r="D517" s="13"/>
      <c r="M517" s="10"/>
    </row>
    <row r="518" spans="1:13" ht="15.75" customHeight="1" x14ac:dyDescent="0.2">
      <c r="A518" s="13"/>
      <c r="B518" s="13"/>
      <c r="C518" s="13"/>
      <c r="D518" s="13"/>
      <c r="M518" s="10"/>
    </row>
    <row r="519" spans="1:13" ht="15.75" customHeight="1" x14ac:dyDescent="0.2">
      <c r="A519" s="13"/>
      <c r="B519" s="13"/>
      <c r="C519" s="13"/>
      <c r="D519" s="13"/>
      <c r="M519" s="10"/>
    </row>
    <row r="520" spans="1:13" ht="15.75" customHeight="1" x14ac:dyDescent="0.2">
      <c r="A520" s="13"/>
      <c r="B520" s="13"/>
      <c r="C520" s="13"/>
      <c r="D520" s="13"/>
      <c r="M520" s="10"/>
    </row>
    <row r="521" spans="1:13" ht="15.75" customHeight="1" x14ac:dyDescent="0.2">
      <c r="A521" s="13"/>
      <c r="B521" s="13"/>
      <c r="C521" s="13"/>
      <c r="D521" s="13"/>
      <c r="M521" s="10"/>
    </row>
    <row r="522" spans="1:13" ht="15.75" customHeight="1" x14ac:dyDescent="0.2">
      <c r="A522" s="13"/>
      <c r="B522" s="13"/>
      <c r="C522" s="13"/>
      <c r="D522" s="13"/>
      <c r="M522" s="10"/>
    </row>
    <row r="523" spans="1:13" ht="15.75" customHeight="1" x14ac:dyDescent="0.2">
      <c r="A523" s="13"/>
      <c r="B523" s="13"/>
      <c r="C523" s="13"/>
      <c r="D523" s="13"/>
      <c r="M523" s="10"/>
    </row>
    <row r="524" spans="1:13" ht="15.75" customHeight="1" x14ac:dyDescent="0.2">
      <c r="A524" s="13"/>
      <c r="B524" s="13"/>
      <c r="C524" s="13"/>
      <c r="D524" s="13"/>
      <c r="M524" s="10"/>
    </row>
    <row r="525" spans="1:13" ht="15.75" customHeight="1" x14ac:dyDescent="0.2">
      <c r="A525" s="13"/>
      <c r="B525" s="13"/>
      <c r="C525" s="13"/>
      <c r="D525" s="13"/>
      <c r="M525" s="10"/>
    </row>
    <row r="526" spans="1:13" ht="15.75" customHeight="1" x14ac:dyDescent="0.2">
      <c r="A526" s="13"/>
      <c r="B526" s="13"/>
      <c r="C526" s="13"/>
      <c r="D526" s="13"/>
      <c r="M526" s="10"/>
    </row>
    <row r="527" spans="1:13" ht="15.75" customHeight="1" x14ac:dyDescent="0.2">
      <c r="A527" s="13"/>
      <c r="B527" s="13"/>
      <c r="C527" s="13"/>
      <c r="D527" s="13"/>
      <c r="M527" s="10"/>
    </row>
    <row r="528" spans="1:13" ht="15.75" customHeight="1" x14ac:dyDescent="0.2">
      <c r="A528" s="13"/>
      <c r="B528" s="13"/>
      <c r="C528" s="13"/>
      <c r="D528" s="13"/>
      <c r="M528" s="10"/>
    </row>
    <row r="529" spans="1:13" ht="15.75" customHeight="1" x14ac:dyDescent="0.2">
      <c r="A529" s="13"/>
      <c r="B529" s="13"/>
      <c r="C529" s="13"/>
      <c r="D529" s="13"/>
      <c r="M529" s="10"/>
    </row>
    <row r="530" spans="1:13" ht="15.75" customHeight="1" x14ac:dyDescent="0.2">
      <c r="A530" s="13"/>
      <c r="B530" s="13"/>
      <c r="C530" s="13"/>
      <c r="D530" s="13"/>
      <c r="M530" s="10"/>
    </row>
    <row r="531" spans="1:13" ht="15.75" customHeight="1" x14ac:dyDescent="0.2">
      <c r="A531" s="13"/>
      <c r="B531" s="13"/>
      <c r="C531" s="13"/>
      <c r="D531" s="13"/>
      <c r="M531" s="10"/>
    </row>
    <row r="532" spans="1:13" ht="15.75" customHeight="1" x14ac:dyDescent="0.2">
      <c r="A532" s="13"/>
      <c r="B532" s="13"/>
      <c r="C532" s="13"/>
      <c r="D532" s="13"/>
      <c r="M532" s="10"/>
    </row>
    <row r="533" spans="1:13" ht="15.75" customHeight="1" x14ac:dyDescent="0.2">
      <c r="A533" s="13"/>
      <c r="B533" s="13"/>
      <c r="C533" s="13"/>
      <c r="D533" s="13"/>
      <c r="M533" s="10"/>
    </row>
    <row r="534" spans="1:13" ht="15.75" customHeight="1" x14ac:dyDescent="0.2">
      <c r="A534" s="13"/>
      <c r="B534" s="13"/>
      <c r="C534" s="13"/>
      <c r="D534" s="13"/>
      <c r="M534" s="10"/>
    </row>
    <row r="535" spans="1:13" ht="15.75" customHeight="1" x14ac:dyDescent="0.2">
      <c r="A535" s="13"/>
      <c r="B535" s="13"/>
      <c r="C535" s="13"/>
      <c r="D535" s="13"/>
      <c r="M535" s="10"/>
    </row>
    <row r="536" spans="1:13" ht="15.75" customHeight="1" x14ac:dyDescent="0.2">
      <c r="A536" s="13"/>
      <c r="B536" s="13"/>
      <c r="C536" s="13"/>
      <c r="D536" s="13"/>
      <c r="M536" s="10"/>
    </row>
    <row r="537" spans="1:13" ht="15.75" customHeight="1" x14ac:dyDescent="0.2">
      <c r="A537" s="13"/>
      <c r="B537" s="13"/>
      <c r="C537" s="13"/>
      <c r="D537" s="13"/>
      <c r="M537" s="10"/>
    </row>
    <row r="538" spans="1:13" ht="15.75" customHeight="1" x14ac:dyDescent="0.2">
      <c r="A538" s="13"/>
      <c r="B538" s="13"/>
      <c r="C538" s="13"/>
      <c r="D538" s="13"/>
      <c r="M538" s="10"/>
    </row>
    <row r="539" spans="1:13" ht="15.75" customHeight="1" x14ac:dyDescent="0.2">
      <c r="A539" s="13"/>
      <c r="B539" s="13"/>
      <c r="C539" s="13"/>
      <c r="D539" s="13"/>
      <c r="M539" s="10"/>
    </row>
    <row r="540" spans="1:13" ht="15.75" customHeight="1" x14ac:dyDescent="0.2">
      <c r="A540" s="13"/>
      <c r="B540" s="13"/>
      <c r="C540" s="13"/>
      <c r="D540" s="13"/>
      <c r="M540" s="10"/>
    </row>
    <row r="541" spans="1:13" ht="15.75" customHeight="1" x14ac:dyDescent="0.2">
      <c r="A541" s="13"/>
      <c r="B541" s="13"/>
      <c r="C541" s="13"/>
      <c r="D541" s="13"/>
      <c r="M541" s="10"/>
    </row>
    <row r="542" spans="1:13" ht="15.75" customHeight="1" x14ac:dyDescent="0.2">
      <c r="A542" s="13"/>
      <c r="B542" s="13"/>
      <c r="C542" s="13"/>
      <c r="D542" s="13"/>
      <c r="M542" s="10"/>
    </row>
    <row r="543" spans="1:13" ht="15.75" customHeight="1" x14ac:dyDescent="0.2">
      <c r="A543" s="13"/>
      <c r="B543" s="13"/>
      <c r="C543" s="13"/>
      <c r="D543" s="13"/>
      <c r="M543" s="10"/>
    </row>
    <row r="544" spans="1:13" ht="15.75" customHeight="1" x14ac:dyDescent="0.2">
      <c r="A544" s="13"/>
      <c r="B544" s="13"/>
      <c r="C544" s="13"/>
      <c r="D544" s="13"/>
      <c r="M544" s="10"/>
    </row>
    <row r="545" spans="1:13" ht="15.75" customHeight="1" x14ac:dyDescent="0.2">
      <c r="A545" s="13"/>
      <c r="B545" s="13"/>
      <c r="C545" s="13"/>
      <c r="D545" s="13"/>
      <c r="M545" s="10"/>
    </row>
    <row r="546" spans="1:13" ht="15.75" customHeight="1" x14ac:dyDescent="0.2">
      <c r="A546" s="13"/>
      <c r="B546" s="13"/>
      <c r="C546" s="13"/>
      <c r="D546" s="13"/>
      <c r="M546" s="10"/>
    </row>
    <row r="547" spans="1:13" ht="15.75" customHeight="1" x14ac:dyDescent="0.2">
      <c r="A547" s="13"/>
      <c r="B547" s="13"/>
      <c r="C547" s="13"/>
      <c r="D547" s="13"/>
      <c r="M547" s="10"/>
    </row>
    <row r="548" spans="1:13" ht="15.75" customHeight="1" x14ac:dyDescent="0.2">
      <c r="A548" s="13"/>
      <c r="B548" s="13"/>
      <c r="C548" s="13"/>
      <c r="D548" s="13"/>
      <c r="M548" s="10"/>
    </row>
    <row r="549" spans="1:13" ht="15.75" customHeight="1" x14ac:dyDescent="0.2">
      <c r="A549" s="13"/>
      <c r="B549" s="13"/>
      <c r="C549" s="13"/>
      <c r="D549" s="13"/>
      <c r="M549" s="10"/>
    </row>
    <row r="550" spans="1:13" ht="15.75" customHeight="1" x14ac:dyDescent="0.2">
      <c r="A550" s="13"/>
      <c r="B550" s="13"/>
      <c r="C550" s="13"/>
      <c r="D550" s="13"/>
      <c r="M550" s="10"/>
    </row>
    <row r="551" spans="1:13" ht="15.75" customHeight="1" x14ac:dyDescent="0.2">
      <c r="A551" s="13"/>
      <c r="B551" s="13"/>
      <c r="C551" s="13"/>
      <c r="D551" s="13"/>
      <c r="M551" s="10"/>
    </row>
    <row r="552" spans="1:13" ht="15.75" customHeight="1" x14ac:dyDescent="0.2">
      <c r="A552" s="13"/>
      <c r="B552" s="13"/>
      <c r="C552" s="13"/>
      <c r="D552" s="13"/>
      <c r="M552" s="10"/>
    </row>
    <row r="553" spans="1:13" ht="15.75" customHeight="1" x14ac:dyDescent="0.2">
      <c r="A553" s="13"/>
      <c r="B553" s="13"/>
      <c r="C553" s="13"/>
      <c r="D553" s="13"/>
      <c r="M553" s="10"/>
    </row>
    <row r="554" spans="1:13" ht="15.75" customHeight="1" x14ac:dyDescent="0.2">
      <c r="A554" s="13"/>
      <c r="B554" s="13"/>
      <c r="C554" s="13"/>
      <c r="D554" s="13"/>
      <c r="M554" s="10"/>
    </row>
    <row r="555" spans="1:13" ht="15.75" customHeight="1" x14ac:dyDescent="0.2">
      <c r="A555" s="13"/>
      <c r="B555" s="13"/>
      <c r="C555" s="13"/>
      <c r="D555" s="13"/>
      <c r="M555" s="10"/>
    </row>
    <row r="556" spans="1:13" ht="15.75" customHeight="1" x14ac:dyDescent="0.2">
      <c r="A556" s="13"/>
      <c r="B556" s="13"/>
      <c r="C556" s="13"/>
      <c r="D556" s="13"/>
      <c r="M556" s="10"/>
    </row>
    <row r="557" spans="1:13" ht="15.75" customHeight="1" x14ac:dyDescent="0.2">
      <c r="A557" s="13"/>
      <c r="B557" s="13"/>
      <c r="C557" s="13"/>
      <c r="D557" s="13"/>
      <c r="M557" s="10"/>
    </row>
    <row r="558" spans="1:13" ht="15.75" customHeight="1" x14ac:dyDescent="0.2">
      <c r="A558" s="13"/>
      <c r="B558" s="13"/>
      <c r="C558" s="13"/>
      <c r="D558" s="13"/>
      <c r="M558" s="10"/>
    </row>
    <row r="559" spans="1:13" ht="15.75" customHeight="1" x14ac:dyDescent="0.2">
      <c r="A559" s="13"/>
      <c r="B559" s="13"/>
      <c r="C559" s="13"/>
      <c r="D559" s="13"/>
      <c r="M559" s="10"/>
    </row>
    <row r="560" spans="1:13" ht="15.75" customHeight="1" x14ac:dyDescent="0.2">
      <c r="A560" s="13"/>
      <c r="B560" s="13"/>
      <c r="C560" s="13"/>
      <c r="D560" s="13"/>
      <c r="M560" s="10"/>
    </row>
    <row r="561" spans="1:13" ht="15.75" customHeight="1" x14ac:dyDescent="0.2">
      <c r="A561" s="13"/>
      <c r="B561" s="13"/>
      <c r="C561" s="13"/>
      <c r="D561" s="13"/>
      <c r="M561" s="10"/>
    </row>
    <row r="562" spans="1:13" ht="15.75" customHeight="1" x14ac:dyDescent="0.2">
      <c r="A562" s="13"/>
      <c r="B562" s="13"/>
      <c r="C562" s="13"/>
      <c r="D562" s="13"/>
      <c r="M562" s="10"/>
    </row>
    <row r="563" spans="1:13" ht="15.75" customHeight="1" x14ac:dyDescent="0.2">
      <c r="A563" s="13"/>
      <c r="B563" s="13"/>
      <c r="C563" s="13"/>
      <c r="D563" s="13"/>
      <c r="M563" s="10"/>
    </row>
    <row r="564" spans="1:13" ht="15.75" customHeight="1" x14ac:dyDescent="0.2">
      <c r="A564" s="13"/>
      <c r="B564" s="13"/>
      <c r="C564" s="13"/>
      <c r="D564" s="13"/>
      <c r="M564" s="10"/>
    </row>
    <row r="565" spans="1:13" ht="15.75" customHeight="1" x14ac:dyDescent="0.2">
      <c r="A565" s="13"/>
      <c r="B565" s="13"/>
      <c r="C565" s="13"/>
      <c r="D565" s="13"/>
      <c r="M565" s="10"/>
    </row>
    <row r="566" spans="1:13" ht="15.75" customHeight="1" x14ac:dyDescent="0.2">
      <c r="A566" s="13"/>
      <c r="B566" s="13"/>
      <c r="C566" s="13"/>
      <c r="D566" s="13"/>
      <c r="M566" s="10"/>
    </row>
    <row r="567" spans="1:13" ht="15.75" customHeight="1" x14ac:dyDescent="0.2">
      <c r="A567" s="13"/>
      <c r="B567" s="13"/>
      <c r="C567" s="13"/>
      <c r="D567" s="13"/>
      <c r="M567" s="10"/>
    </row>
    <row r="568" spans="1:13" ht="15.75" customHeight="1" x14ac:dyDescent="0.2">
      <c r="A568" s="13"/>
      <c r="B568" s="13"/>
      <c r="C568" s="13"/>
      <c r="D568" s="13"/>
      <c r="M568" s="10"/>
    </row>
    <row r="569" spans="1:13" ht="15.75" customHeight="1" x14ac:dyDescent="0.2">
      <c r="A569" s="13"/>
      <c r="B569" s="13"/>
      <c r="C569" s="13"/>
      <c r="D569" s="13"/>
      <c r="M569" s="10"/>
    </row>
    <row r="570" spans="1:13" ht="15.75" customHeight="1" x14ac:dyDescent="0.2">
      <c r="A570" s="13"/>
      <c r="B570" s="13"/>
      <c r="C570" s="13"/>
      <c r="D570" s="13"/>
      <c r="M570" s="10"/>
    </row>
    <row r="571" spans="1:13" ht="15.75" customHeight="1" x14ac:dyDescent="0.2">
      <c r="A571" s="13"/>
      <c r="B571" s="13"/>
      <c r="C571" s="13"/>
      <c r="D571" s="13"/>
      <c r="M571" s="10"/>
    </row>
    <row r="572" spans="1:13" ht="15.75" customHeight="1" x14ac:dyDescent="0.2">
      <c r="A572" s="13"/>
      <c r="B572" s="13"/>
      <c r="C572" s="13"/>
      <c r="D572" s="13"/>
      <c r="M572" s="10"/>
    </row>
    <row r="573" spans="1:13" ht="15.75" customHeight="1" x14ac:dyDescent="0.2">
      <c r="A573" s="13"/>
      <c r="B573" s="13"/>
      <c r="C573" s="13"/>
      <c r="D573" s="13"/>
      <c r="M573" s="10"/>
    </row>
    <row r="574" spans="1:13" ht="15.75" customHeight="1" x14ac:dyDescent="0.2">
      <c r="A574" s="13"/>
      <c r="B574" s="13"/>
      <c r="C574" s="13"/>
      <c r="D574" s="13"/>
      <c r="M574" s="10"/>
    </row>
    <row r="575" spans="1:13" ht="15.75" customHeight="1" x14ac:dyDescent="0.2">
      <c r="A575" s="13"/>
      <c r="B575" s="13"/>
      <c r="C575" s="13"/>
      <c r="D575" s="13"/>
      <c r="M575" s="10"/>
    </row>
    <row r="576" spans="1:13" ht="15.75" customHeight="1" x14ac:dyDescent="0.2">
      <c r="A576" s="13"/>
      <c r="B576" s="13"/>
      <c r="C576" s="13"/>
      <c r="D576" s="13"/>
      <c r="M576" s="10"/>
    </row>
    <row r="577" spans="1:13" ht="15.75" customHeight="1" x14ac:dyDescent="0.2">
      <c r="A577" s="13"/>
      <c r="B577" s="13"/>
      <c r="C577" s="13"/>
      <c r="D577" s="13"/>
      <c r="M577" s="10"/>
    </row>
    <row r="578" spans="1:13" ht="15.75" customHeight="1" x14ac:dyDescent="0.2">
      <c r="A578" s="13"/>
      <c r="B578" s="13"/>
      <c r="C578" s="13"/>
      <c r="D578" s="13"/>
      <c r="M578" s="10"/>
    </row>
    <row r="579" spans="1:13" ht="15.75" customHeight="1" x14ac:dyDescent="0.2">
      <c r="A579" s="13"/>
      <c r="B579" s="13"/>
      <c r="C579" s="13"/>
      <c r="D579" s="13"/>
      <c r="M579" s="10"/>
    </row>
    <row r="580" spans="1:13" ht="15.75" customHeight="1" x14ac:dyDescent="0.2">
      <c r="A580" s="13"/>
      <c r="B580" s="13"/>
      <c r="C580" s="13"/>
      <c r="D580" s="13"/>
      <c r="M580" s="10"/>
    </row>
    <row r="581" spans="1:13" ht="15.75" customHeight="1" x14ac:dyDescent="0.2">
      <c r="A581" s="13"/>
      <c r="B581" s="13"/>
      <c r="C581" s="13"/>
      <c r="D581" s="13"/>
      <c r="M581" s="10"/>
    </row>
    <row r="582" spans="1:13" ht="15.75" customHeight="1" x14ac:dyDescent="0.2">
      <c r="A582" s="13"/>
      <c r="B582" s="13"/>
      <c r="C582" s="13"/>
      <c r="D582" s="13"/>
      <c r="M582" s="10"/>
    </row>
    <row r="583" spans="1:13" ht="15.75" customHeight="1" x14ac:dyDescent="0.2">
      <c r="A583" s="13"/>
      <c r="B583" s="13"/>
      <c r="C583" s="13"/>
      <c r="D583" s="13"/>
      <c r="M583" s="10"/>
    </row>
    <row r="584" spans="1:13" ht="15.75" customHeight="1" x14ac:dyDescent="0.2">
      <c r="A584" s="13"/>
      <c r="B584" s="13"/>
      <c r="C584" s="13"/>
      <c r="D584" s="13"/>
      <c r="M584" s="10"/>
    </row>
    <row r="585" spans="1:13" ht="15.75" customHeight="1" x14ac:dyDescent="0.2">
      <c r="A585" s="13"/>
      <c r="B585" s="13"/>
      <c r="C585" s="13"/>
      <c r="D585" s="13"/>
      <c r="M585" s="10"/>
    </row>
    <row r="586" spans="1:13" ht="15.75" customHeight="1" x14ac:dyDescent="0.2">
      <c r="A586" s="13"/>
      <c r="B586" s="13"/>
      <c r="C586" s="13"/>
      <c r="D586" s="13"/>
      <c r="M586" s="10"/>
    </row>
    <row r="587" spans="1:13" ht="15.75" customHeight="1" x14ac:dyDescent="0.2">
      <c r="A587" s="13"/>
      <c r="B587" s="13"/>
      <c r="C587" s="13"/>
      <c r="D587" s="13"/>
      <c r="M587" s="10"/>
    </row>
    <row r="588" spans="1:13" ht="15.75" customHeight="1" x14ac:dyDescent="0.2">
      <c r="A588" s="13"/>
      <c r="B588" s="13"/>
      <c r="C588" s="13"/>
      <c r="D588" s="13"/>
      <c r="M588" s="10"/>
    </row>
    <row r="589" spans="1:13" ht="15.75" customHeight="1" x14ac:dyDescent="0.2">
      <c r="A589" s="13"/>
      <c r="B589" s="13"/>
      <c r="C589" s="13"/>
      <c r="D589" s="13"/>
      <c r="M589" s="10"/>
    </row>
    <row r="590" spans="1:13" ht="15.75" customHeight="1" x14ac:dyDescent="0.2">
      <c r="A590" s="13"/>
      <c r="B590" s="13"/>
      <c r="C590" s="13"/>
      <c r="D590" s="13"/>
      <c r="M590" s="10"/>
    </row>
    <row r="591" spans="1:13" ht="15.75" customHeight="1" x14ac:dyDescent="0.2">
      <c r="A591" s="13"/>
      <c r="B591" s="13"/>
      <c r="C591" s="13"/>
      <c r="D591" s="13"/>
      <c r="M591" s="10"/>
    </row>
    <row r="592" spans="1:13" ht="15.75" customHeight="1" x14ac:dyDescent="0.2">
      <c r="A592" s="13"/>
      <c r="B592" s="13"/>
      <c r="C592" s="13"/>
      <c r="D592" s="13"/>
      <c r="M592" s="10"/>
    </row>
    <row r="593" spans="1:13" ht="15.75" customHeight="1" x14ac:dyDescent="0.2">
      <c r="A593" s="13"/>
      <c r="B593" s="13"/>
      <c r="C593" s="13"/>
      <c r="D593" s="13"/>
      <c r="M593" s="10"/>
    </row>
    <row r="594" spans="1:13" ht="15.75" customHeight="1" x14ac:dyDescent="0.2">
      <c r="A594" s="13"/>
      <c r="B594" s="13"/>
      <c r="C594" s="13"/>
      <c r="D594" s="13"/>
      <c r="M594" s="10"/>
    </row>
    <row r="595" spans="1:13" ht="15.75" customHeight="1" x14ac:dyDescent="0.2">
      <c r="A595" s="13"/>
      <c r="B595" s="13"/>
      <c r="C595" s="13"/>
      <c r="D595" s="13"/>
      <c r="M595" s="10"/>
    </row>
    <row r="596" spans="1:13" ht="15.75" customHeight="1" x14ac:dyDescent="0.2">
      <c r="A596" s="13"/>
      <c r="B596" s="13"/>
      <c r="C596" s="13"/>
      <c r="D596" s="13"/>
      <c r="M596" s="10"/>
    </row>
    <row r="597" spans="1:13" ht="15.75" customHeight="1" x14ac:dyDescent="0.2">
      <c r="A597" s="13"/>
      <c r="B597" s="13"/>
      <c r="C597" s="13"/>
      <c r="D597" s="13"/>
      <c r="M597" s="10"/>
    </row>
    <row r="598" spans="1:13" ht="15.75" customHeight="1" x14ac:dyDescent="0.2">
      <c r="A598" s="13"/>
      <c r="B598" s="13"/>
      <c r="C598" s="13"/>
      <c r="D598" s="13"/>
      <c r="M598" s="10"/>
    </row>
    <row r="599" spans="1:13" ht="15.75" customHeight="1" x14ac:dyDescent="0.2">
      <c r="A599" s="13"/>
      <c r="B599" s="13"/>
      <c r="C599" s="13"/>
      <c r="D599" s="13"/>
      <c r="M599" s="10"/>
    </row>
    <row r="600" spans="1:13" ht="15.75" customHeight="1" x14ac:dyDescent="0.2">
      <c r="A600" s="13"/>
      <c r="B600" s="13"/>
      <c r="C600" s="13"/>
      <c r="D600" s="13"/>
      <c r="M600" s="10"/>
    </row>
    <row r="601" spans="1:13" ht="15.75" customHeight="1" x14ac:dyDescent="0.2">
      <c r="A601" s="13"/>
      <c r="B601" s="13"/>
      <c r="C601" s="13"/>
      <c r="D601" s="13"/>
      <c r="M601" s="10"/>
    </row>
    <row r="602" spans="1:13" ht="15.75" customHeight="1" x14ac:dyDescent="0.2">
      <c r="A602" s="13"/>
      <c r="B602" s="13"/>
      <c r="C602" s="13"/>
      <c r="D602" s="13"/>
      <c r="M602" s="10"/>
    </row>
    <row r="603" spans="1:13" ht="15.75" customHeight="1" x14ac:dyDescent="0.2">
      <c r="A603" s="13"/>
      <c r="B603" s="13"/>
      <c r="C603" s="13"/>
      <c r="D603" s="13"/>
      <c r="M603" s="10"/>
    </row>
    <row r="604" spans="1:13" ht="15.75" customHeight="1" x14ac:dyDescent="0.2">
      <c r="A604" s="13"/>
      <c r="B604" s="13"/>
      <c r="C604" s="13"/>
      <c r="D604" s="13"/>
      <c r="M604" s="10"/>
    </row>
    <row r="605" spans="1:13" ht="15.75" customHeight="1" x14ac:dyDescent="0.2">
      <c r="A605" s="13"/>
      <c r="B605" s="13"/>
      <c r="C605" s="13"/>
      <c r="D605" s="13"/>
      <c r="M605" s="10"/>
    </row>
    <row r="606" spans="1:13" ht="15.75" customHeight="1" x14ac:dyDescent="0.2">
      <c r="A606" s="13"/>
      <c r="B606" s="13"/>
      <c r="C606" s="13"/>
      <c r="D606" s="13"/>
      <c r="M606" s="10"/>
    </row>
    <row r="607" spans="1:13" ht="15.75" customHeight="1" x14ac:dyDescent="0.2">
      <c r="A607" s="13"/>
      <c r="B607" s="13"/>
      <c r="C607" s="13"/>
      <c r="D607" s="13"/>
      <c r="M607" s="10"/>
    </row>
    <row r="608" spans="1:13" ht="15.75" customHeight="1" x14ac:dyDescent="0.2">
      <c r="A608" s="13"/>
      <c r="B608" s="13"/>
      <c r="C608" s="13"/>
      <c r="D608" s="13"/>
      <c r="M608" s="10"/>
    </row>
    <row r="609" spans="1:13" ht="15.75" customHeight="1" x14ac:dyDescent="0.2">
      <c r="A609" s="13"/>
      <c r="B609" s="13"/>
      <c r="C609" s="13"/>
      <c r="D609" s="13"/>
      <c r="M609" s="10"/>
    </row>
    <row r="610" spans="1:13" ht="15.75" customHeight="1" x14ac:dyDescent="0.2">
      <c r="A610" s="13"/>
      <c r="B610" s="13"/>
      <c r="C610" s="13"/>
      <c r="D610" s="13"/>
      <c r="M610" s="10"/>
    </row>
    <row r="611" spans="1:13" ht="15.75" customHeight="1" x14ac:dyDescent="0.2">
      <c r="A611" s="13"/>
      <c r="B611" s="13"/>
      <c r="C611" s="13"/>
      <c r="D611" s="13"/>
      <c r="M611" s="10"/>
    </row>
    <row r="612" spans="1:13" ht="15.75" customHeight="1" x14ac:dyDescent="0.2">
      <c r="A612" s="13"/>
      <c r="B612" s="13"/>
      <c r="C612" s="13"/>
      <c r="D612" s="13"/>
      <c r="M612" s="10"/>
    </row>
    <row r="613" spans="1:13" ht="15.75" customHeight="1" x14ac:dyDescent="0.2">
      <c r="A613" s="13"/>
      <c r="B613" s="13"/>
      <c r="C613" s="13"/>
      <c r="D613" s="13"/>
      <c r="M613" s="10"/>
    </row>
    <row r="614" spans="1:13" ht="15.75" customHeight="1" x14ac:dyDescent="0.2">
      <c r="A614" s="13"/>
      <c r="B614" s="13"/>
      <c r="C614" s="13"/>
      <c r="D614" s="13"/>
      <c r="M614" s="10"/>
    </row>
    <row r="615" spans="1:13" ht="15.75" customHeight="1" x14ac:dyDescent="0.2">
      <c r="A615" s="13"/>
      <c r="B615" s="13"/>
      <c r="C615" s="13"/>
      <c r="D615" s="13"/>
      <c r="M615" s="10"/>
    </row>
    <row r="616" spans="1:13" ht="15.75" customHeight="1" x14ac:dyDescent="0.2">
      <c r="A616" s="13"/>
      <c r="B616" s="13"/>
      <c r="C616" s="13"/>
      <c r="D616" s="13"/>
      <c r="M616" s="10"/>
    </row>
    <row r="617" spans="1:13" ht="15.75" customHeight="1" x14ac:dyDescent="0.2">
      <c r="A617" s="13"/>
      <c r="B617" s="13"/>
      <c r="C617" s="13"/>
      <c r="D617" s="13"/>
      <c r="M617" s="10"/>
    </row>
    <row r="618" spans="1:13" ht="15.75" customHeight="1" x14ac:dyDescent="0.2">
      <c r="A618" s="13"/>
      <c r="B618" s="13"/>
      <c r="C618" s="13"/>
      <c r="D618" s="13"/>
      <c r="M618" s="10"/>
    </row>
    <row r="619" spans="1:13" ht="15.75" customHeight="1" x14ac:dyDescent="0.2">
      <c r="A619" s="13"/>
      <c r="B619" s="13"/>
      <c r="C619" s="13"/>
      <c r="D619" s="13"/>
      <c r="M619" s="10"/>
    </row>
    <row r="620" spans="1:13" ht="15.75" customHeight="1" x14ac:dyDescent="0.2">
      <c r="A620" s="13"/>
      <c r="B620" s="13"/>
      <c r="C620" s="13"/>
      <c r="D620" s="13"/>
      <c r="M620" s="10"/>
    </row>
    <row r="621" spans="1:13" ht="15.75" customHeight="1" x14ac:dyDescent="0.2">
      <c r="A621" s="13"/>
      <c r="B621" s="13"/>
      <c r="C621" s="13"/>
      <c r="D621" s="13"/>
      <c r="M621" s="10"/>
    </row>
    <row r="622" spans="1:13" ht="15.75" customHeight="1" x14ac:dyDescent="0.2">
      <c r="A622" s="13"/>
      <c r="B622" s="13"/>
      <c r="C622" s="13"/>
      <c r="D622" s="13"/>
      <c r="M622" s="10"/>
    </row>
    <row r="623" spans="1:13" ht="15.75" customHeight="1" x14ac:dyDescent="0.2">
      <c r="A623" s="13"/>
      <c r="B623" s="13"/>
      <c r="C623" s="13"/>
      <c r="D623" s="13"/>
      <c r="M623" s="10"/>
    </row>
    <row r="624" spans="1:13" ht="15.75" customHeight="1" x14ac:dyDescent="0.2">
      <c r="A624" s="13"/>
      <c r="B624" s="13"/>
      <c r="C624" s="13"/>
      <c r="D624" s="13"/>
      <c r="M624" s="10"/>
    </row>
    <row r="625" spans="1:13" ht="15.75" customHeight="1" x14ac:dyDescent="0.2">
      <c r="A625" s="13"/>
      <c r="B625" s="13"/>
      <c r="C625" s="13"/>
      <c r="D625" s="13"/>
      <c r="M625" s="10"/>
    </row>
    <row r="626" spans="1:13" ht="15.75" customHeight="1" x14ac:dyDescent="0.2">
      <c r="A626" s="13"/>
      <c r="B626" s="13"/>
      <c r="C626" s="13"/>
      <c r="D626" s="13"/>
      <c r="M626" s="10"/>
    </row>
    <row r="627" spans="1:13" ht="15.75" customHeight="1" x14ac:dyDescent="0.2">
      <c r="A627" s="13"/>
      <c r="B627" s="13"/>
      <c r="C627" s="13"/>
      <c r="D627" s="13"/>
      <c r="M627" s="10"/>
    </row>
    <row r="628" spans="1:13" ht="15.75" customHeight="1" x14ac:dyDescent="0.2">
      <c r="A628" s="13"/>
      <c r="B628" s="13"/>
      <c r="C628" s="13"/>
      <c r="D628" s="13"/>
      <c r="M628" s="10"/>
    </row>
    <row r="629" spans="1:13" ht="15.75" customHeight="1" x14ac:dyDescent="0.2">
      <c r="A629" s="13"/>
      <c r="B629" s="13"/>
      <c r="C629" s="13"/>
      <c r="D629" s="13"/>
      <c r="M629" s="10"/>
    </row>
    <row r="630" spans="1:13" ht="15.75" customHeight="1" x14ac:dyDescent="0.2">
      <c r="A630" s="13"/>
      <c r="B630" s="13"/>
      <c r="C630" s="13"/>
      <c r="D630" s="13"/>
      <c r="M630" s="10"/>
    </row>
    <row r="631" spans="1:13" ht="15.75" customHeight="1" x14ac:dyDescent="0.2">
      <c r="A631" s="13"/>
      <c r="B631" s="13"/>
      <c r="C631" s="13"/>
      <c r="D631" s="13"/>
      <c r="M631" s="10"/>
    </row>
    <row r="632" spans="1:13" ht="15.75" customHeight="1" x14ac:dyDescent="0.2">
      <c r="A632" s="13"/>
      <c r="B632" s="13"/>
      <c r="C632" s="13"/>
      <c r="D632" s="13"/>
      <c r="M632" s="10"/>
    </row>
    <row r="633" spans="1:13" ht="15.75" customHeight="1" x14ac:dyDescent="0.2">
      <c r="A633" s="13"/>
      <c r="B633" s="13"/>
      <c r="C633" s="13"/>
      <c r="D633" s="13"/>
      <c r="M633" s="10"/>
    </row>
    <row r="634" spans="1:13" ht="15.75" customHeight="1" x14ac:dyDescent="0.2">
      <c r="A634" s="13"/>
      <c r="B634" s="13"/>
      <c r="C634" s="13"/>
      <c r="D634" s="13"/>
      <c r="M634" s="10"/>
    </row>
    <row r="635" spans="1:13" ht="15.75" customHeight="1" x14ac:dyDescent="0.2">
      <c r="A635" s="13"/>
      <c r="B635" s="13"/>
      <c r="C635" s="13"/>
      <c r="D635" s="13"/>
      <c r="M635" s="10"/>
    </row>
    <row r="636" spans="1:13" ht="15.75" customHeight="1" x14ac:dyDescent="0.2">
      <c r="A636" s="13"/>
      <c r="B636" s="13"/>
      <c r="C636" s="13"/>
      <c r="D636" s="13"/>
      <c r="M636" s="10"/>
    </row>
    <row r="637" spans="1:13" ht="15.75" customHeight="1" x14ac:dyDescent="0.2">
      <c r="A637" s="13"/>
      <c r="B637" s="13"/>
      <c r="C637" s="13"/>
      <c r="D637" s="13"/>
      <c r="M637" s="10"/>
    </row>
    <row r="638" spans="1:13" ht="15.75" customHeight="1" x14ac:dyDescent="0.2">
      <c r="A638" s="13"/>
      <c r="B638" s="13"/>
      <c r="C638" s="13"/>
      <c r="D638" s="13"/>
      <c r="M638" s="10"/>
    </row>
    <row r="639" spans="1:13" ht="15.75" customHeight="1" x14ac:dyDescent="0.2">
      <c r="A639" s="13"/>
      <c r="B639" s="13"/>
      <c r="C639" s="13"/>
      <c r="D639" s="13"/>
      <c r="M639" s="10"/>
    </row>
    <row r="640" spans="1:13" ht="15.75" customHeight="1" x14ac:dyDescent="0.2">
      <c r="A640" s="13"/>
      <c r="B640" s="13"/>
      <c r="C640" s="13"/>
      <c r="D640" s="13"/>
      <c r="M640" s="10"/>
    </row>
    <row r="641" spans="1:13" ht="15.75" customHeight="1" x14ac:dyDescent="0.2">
      <c r="A641" s="13"/>
      <c r="B641" s="13"/>
      <c r="C641" s="13"/>
      <c r="D641" s="13"/>
      <c r="M641" s="10"/>
    </row>
    <row r="642" spans="1:13" ht="15.75" customHeight="1" x14ac:dyDescent="0.2">
      <c r="A642" s="13"/>
      <c r="B642" s="13"/>
      <c r="C642" s="13"/>
      <c r="D642" s="13"/>
      <c r="M642" s="10"/>
    </row>
    <row r="643" spans="1:13" ht="15.75" customHeight="1" x14ac:dyDescent="0.2">
      <c r="A643" s="13"/>
      <c r="B643" s="13"/>
      <c r="C643" s="13"/>
      <c r="D643" s="13"/>
      <c r="M643" s="10"/>
    </row>
    <row r="644" spans="1:13" ht="15.75" customHeight="1" x14ac:dyDescent="0.2">
      <c r="A644" s="13"/>
      <c r="B644" s="13"/>
      <c r="C644" s="13"/>
      <c r="D644" s="13"/>
      <c r="M644" s="10"/>
    </row>
    <row r="645" spans="1:13" ht="15.75" customHeight="1" x14ac:dyDescent="0.2">
      <c r="A645" s="13"/>
      <c r="B645" s="13"/>
      <c r="C645" s="13"/>
      <c r="D645" s="13"/>
      <c r="M645" s="10"/>
    </row>
    <row r="646" spans="1:13" ht="15.75" customHeight="1" x14ac:dyDescent="0.2">
      <c r="A646" s="13"/>
      <c r="B646" s="13"/>
      <c r="C646" s="13"/>
      <c r="D646" s="13"/>
      <c r="M646" s="10"/>
    </row>
    <row r="647" spans="1:13" ht="15.75" customHeight="1" x14ac:dyDescent="0.2">
      <c r="A647" s="13"/>
      <c r="B647" s="13"/>
      <c r="C647" s="13"/>
      <c r="D647" s="13"/>
      <c r="M647" s="10"/>
    </row>
    <row r="648" spans="1:13" ht="15.75" customHeight="1" x14ac:dyDescent="0.2">
      <c r="A648" s="13"/>
      <c r="B648" s="13"/>
      <c r="C648" s="13"/>
      <c r="D648" s="13"/>
      <c r="M648" s="10"/>
    </row>
    <row r="649" spans="1:13" ht="15.75" customHeight="1" x14ac:dyDescent="0.2">
      <c r="A649" s="13"/>
      <c r="B649" s="13"/>
      <c r="C649" s="13"/>
      <c r="D649" s="13"/>
      <c r="M649" s="10"/>
    </row>
    <row r="650" spans="1:13" ht="15.75" customHeight="1" x14ac:dyDescent="0.2">
      <c r="A650" s="13"/>
      <c r="B650" s="13"/>
      <c r="C650" s="13"/>
      <c r="D650" s="13"/>
      <c r="M650" s="10"/>
    </row>
    <row r="651" spans="1:13" ht="15.75" customHeight="1" x14ac:dyDescent="0.2">
      <c r="A651" s="13"/>
      <c r="B651" s="13"/>
      <c r="C651" s="13"/>
      <c r="D651" s="13"/>
      <c r="M651" s="10"/>
    </row>
    <row r="652" spans="1:13" ht="15.75" customHeight="1" x14ac:dyDescent="0.2">
      <c r="A652" s="13"/>
      <c r="B652" s="13"/>
      <c r="C652" s="13"/>
      <c r="D652" s="13"/>
      <c r="M652" s="10"/>
    </row>
    <row r="653" spans="1:13" ht="15.75" customHeight="1" x14ac:dyDescent="0.2">
      <c r="A653" s="13"/>
      <c r="B653" s="13"/>
      <c r="C653" s="13"/>
      <c r="D653" s="13"/>
      <c r="M653" s="10"/>
    </row>
    <row r="654" spans="1:13" ht="15.75" customHeight="1" x14ac:dyDescent="0.2">
      <c r="A654" s="13"/>
      <c r="B654" s="13"/>
      <c r="C654" s="13"/>
      <c r="D654" s="13"/>
      <c r="M654" s="10"/>
    </row>
    <row r="655" spans="1:13" ht="15.75" customHeight="1" x14ac:dyDescent="0.2">
      <c r="A655" s="13"/>
      <c r="B655" s="13"/>
      <c r="C655" s="13"/>
      <c r="D655" s="13"/>
      <c r="M655" s="10"/>
    </row>
    <row r="656" spans="1:13" ht="15.75" customHeight="1" x14ac:dyDescent="0.2">
      <c r="A656" s="13"/>
      <c r="B656" s="13"/>
      <c r="C656" s="13"/>
      <c r="D656" s="13"/>
      <c r="M656" s="10"/>
    </row>
    <row r="657" spans="1:13" ht="15.75" customHeight="1" x14ac:dyDescent="0.2">
      <c r="A657" s="13"/>
      <c r="B657" s="13"/>
      <c r="C657" s="13"/>
      <c r="D657" s="13"/>
      <c r="M657" s="10"/>
    </row>
    <row r="658" spans="1:13" ht="15.75" customHeight="1" x14ac:dyDescent="0.2">
      <c r="A658" s="13"/>
      <c r="B658" s="13"/>
      <c r="C658" s="13"/>
      <c r="D658" s="13"/>
      <c r="M658" s="10"/>
    </row>
    <row r="659" spans="1:13" ht="15.75" customHeight="1" x14ac:dyDescent="0.2">
      <c r="A659" s="13"/>
      <c r="B659" s="13"/>
      <c r="C659" s="13"/>
      <c r="D659" s="13"/>
      <c r="M659" s="10"/>
    </row>
    <row r="660" spans="1:13" ht="15.75" customHeight="1" x14ac:dyDescent="0.2">
      <c r="A660" s="13"/>
      <c r="B660" s="13"/>
      <c r="C660" s="13"/>
      <c r="D660" s="13"/>
      <c r="M660" s="10"/>
    </row>
    <row r="661" spans="1:13" ht="15.75" customHeight="1" x14ac:dyDescent="0.2">
      <c r="A661" s="13"/>
      <c r="B661" s="13"/>
      <c r="C661" s="13"/>
      <c r="D661" s="13"/>
      <c r="M661" s="10"/>
    </row>
    <row r="662" spans="1:13" ht="15.75" customHeight="1" x14ac:dyDescent="0.2">
      <c r="A662" s="13"/>
      <c r="B662" s="13"/>
      <c r="C662" s="13"/>
      <c r="D662" s="13"/>
      <c r="M662" s="10"/>
    </row>
    <row r="663" spans="1:13" ht="15.75" customHeight="1" x14ac:dyDescent="0.2">
      <c r="A663" s="13"/>
      <c r="B663" s="13"/>
      <c r="C663" s="13"/>
      <c r="D663" s="13"/>
      <c r="M663" s="10"/>
    </row>
    <row r="664" spans="1:13" ht="15.75" customHeight="1" x14ac:dyDescent="0.2">
      <c r="A664" s="13"/>
      <c r="B664" s="13"/>
      <c r="C664" s="13"/>
      <c r="D664" s="13"/>
      <c r="M664" s="10"/>
    </row>
    <row r="665" spans="1:13" ht="15.75" customHeight="1" x14ac:dyDescent="0.2">
      <c r="A665" s="13"/>
      <c r="B665" s="13"/>
      <c r="C665" s="13"/>
      <c r="D665" s="13"/>
      <c r="M665" s="10"/>
    </row>
    <row r="666" spans="1:13" ht="15.75" customHeight="1" x14ac:dyDescent="0.2">
      <c r="A666" s="13"/>
      <c r="B666" s="13"/>
      <c r="C666" s="13"/>
      <c r="D666" s="13"/>
      <c r="M666" s="10"/>
    </row>
    <row r="667" spans="1:13" ht="15.75" customHeight="1" x14ac:dyDescent="0.2">
      <c r="A667" s="13"/>
      <c r="B667" s="13"/>
      <c r="C667" s="13"/>
      <c r="D667" s="13"/>
      <c r="M667" s="10"/>
    </row>
    <row r="668" spans="1:13" ht="15.75" customHeight="1" x14ac:dyDescent="0.2">
      <c r="A668" s="13"/>
      <c r="B668" s="13"/>
      <c r="C668" s="13"/>
      <c r="D668" s="13"/>
      <c r="M668" s="10"/>
    </row>
    <row r="669" spans="1:13" ht="15.75" customHeight="1" x14ac:dyDescent="0.2">
      <c r="A669" s="13"/>
      <c r="B669" s="13"/>
      <c r="C669" s="13"/>
      <c r="D669" s="13"/>
      <c r="M669" s="10"/>
    </row>
    <row r="670" spans="1:13" ht="15.75" customHeight="1" x14ac:dyDescent="0.2">
      <c r="A670" s="13"/>
      <c r="B670" s="13"/>
      <c r="C670" s="13"/>
      <c r="D670" s="13"/>
      <c r="M670" s="10"/>
    </row>
    <row r="671" spans="1:13" ht="15.75" customHeight="1" x14ac:dyDescent="0.2">
      <c r="A671" s="13"/>
      <c r="B671" s="13"/>
      <c r="C671" s="13"/>
      <c r="D671" s="13"/>
      <c r="M671" s="10"/>
    </row>
    <row r="672" spans="1:13" ht="15.75" customHeight="1" x14ac:dyDescent="0.2">
      <c r="A672" s="13"/>
      <c r="B672" s="13"/>
      <c r="C672" s="13"/>
      <c r="D672" s="13"/>
      <c r="M672" s="10"/>
    </row>
    <row r="673" spans="1:13" ht="15.75" customHeight="1" x14ac:dyDescent="0.2">
      <c r="A673" s="13"/>
      <c r="B673" s="13"/>
      <c r="C673" s="13"/>
      <c r="D673" s="13"/>
      <c r="M673" s="10"/>
    </row>
    <row r="674" spans="1:13" ht="15.75" customHeight="1" x14ac:dyDescent="0.2">
      <c r="A674" s="13"/>
      <c r="B674" s="13"/>
      <c r="C674" s="13"/>
      <c r="D674" s="13"/>
      <c r="M674" s="10"/>
    </row>
    <row r="675" spans="1:13" ht="15.75" customHeight="1" x14ac:dyDescent="0.2">
      <c r="A675" s="13"/>
      <c r="B675" s="13"/>
      <c r="C675" s="13"/>
      <c r="D675" s="13"/>
      <c r="M675" s="10"/>
    </row>
    <row r="676" spans="1:13" ht="15.75" customHeight="1" x14ac:dyDescent="0.2">
      <c r="A676" s="13"/>
      <c r="B676" s="13"/>
      <c r="C676" s="13"/>
      <c r="D676" s="13"/>
      <c r="M676" s="10"/>
    </row>
    <row r="677" spans="1:13" ht="15.75" customHeight="1" x14ac:dyDescent="0.2">
      <c r="A677" s="13"/>
      <c r="B677" s="13"/>
      <c r="C677" s="13"/>
      <c r="D677" s="13"/>
      <c r="M677" s="10"/>
    </row>
    <row r="678" spans="1:13" ht="15.75" customHeight="1" x14ac:dyDescent="0.2">
      <c r="A678" s="13"/>
      <c r="B678" s="13"/>
      <c r="C678" s="13"/>
      <c r="D678" s="13"/>
      <c r="M678" s="10"/>
    </row>
    <row r="679" spans="1:13" ht="15.75" customHeight="1" x14ac:dyDescent="0.2">
      <c r="A679" s="13"/>
      <c r="B679" s="13"/>
      <c r="C679" s="13"/>
      <c r="D679" s="13"/>
      <c r="M679" s="10"/>
    </row>
    <row r="680" spans="1:13" ht="15.75" customHeight="1" x14ac:dyDescent="0.2">
      <c r="A680" s="13"/>
      <c r="B680" s="13"/>
      <c r="C680" s="13"/>
      <c r="D680" s="13"/>
      <c r="M680" s="10"/>
    </row>
    <row r="681" spans="1:13" ht="15.75" customHeight="1" x14ac:dyDescent="0.2">
      <c r="A681" s="13"/>
      <c r="B681" s="13"/>
      <c r="C681" s="13"/>
      <c r="D681" s="13"/>
      <c r="M681" s="10"/>
    </row>
    <row r="682" spans="1:13" ht="15.75" customHeight="1" x14ac:dyDescent="0.2">
      <c r="A682" s="13"/>
      <c r="B682" s="13"/>
      <c r="C682" s="13"/>
      <c r="D682" s="13"/>
      <c r="M682" s="10"/>
    </row>
    <row r="683" spans="1:13" ht="15.75" customHeight="1" x14ac:dyDescent="0.2">
      <c r="A683" s="13"/>
      <c r="B683" s="13"/>
      <c r="C683" s="13"/>
      <c r="D683" s="13"/>
      <c r="M683" s="10"/>
    </row>
    <row r="684" spans="1:13" ht="15.75" customHeight="1" x14ac:dyDescent="0.2">
      <c r="A684" s="13"/>
      <c r="B684" s="13"/>
      <c r="C684" s="13"/>
      <c r="D684" s="13"/>
      <c r="M684" s="10"/>
    </row>
    <row r="685" spans="1:13" ht="15.75" customHeight="1" x14ac:dyDescent="0.2">
      <c r="A685" s="13"/>
      <c r="B685" s="13"/>
      <c r="C685" s="13"/>
      <c r="D685" s="13"/>
      <c r="M685" s="10"/>
    </row>
    <row r="686" spans="1:13" ht="15.75" customHeight="1" x14ac:dyDescent="0.2">
      <c r="A686" s="13"/>
      <c r="B686" s="13"/>
      <c r="C686" s="13"/>
      <c r="D686" s="13"/>
      <c r="M686" s="10"/>
    </row>
    <row r="687" spans="1:13" ht="15.75" customHeight="1" x14ac:dyDescent="0.2">
      <c r="A687" s="13"/>
      <c r="B687" s="13"/>
      <c r="C687" s="13"/>
      <c r="D687" s="13"/>
      <c r="M687" s="10"/>
    </row>
    <row r="688" spans="1:13" ht="15.75" customHeight="1" x14ac:dyDescent="0.2">
      <c r="A688" s="13"/>
      <c r="B688" s="13"/>
      <c r="C688" s="13"/>
      <c r="D688" s="13"/>
      <c r="M688" s="10"/>
    </row>
    <row r="689" spans="1:13" ht="15.75" customHeight="1" x14ac:dyDescent="0.2">
      <c r="A689" s="13"/>
      <c r="B689" s="13"/>
      <c r="C689" s="13"/>
      <c r="D689" s="13"/>
      <c r="M689" s="10"/>
    </row>
    <row r="690" spans="1:13" ht="15.75" customHeight="1" x14ac:dyDescent="0.2">
      <c r="A690" s="13"/>
      <c r="B690" s="13"/>
      <c r="C690" s="13"/>
      <c r="D690" s="13"/>
      <c r="M690" s="10"/>
    </row>
    <row r="691" spans="1:13" ht="15.75" customHeight="1" x14ac:dyDescent="0.2">
      <c r="A691" s="13"/>
      <c r="B691" s="13"/>
      <c r="C691" s="13"/>
      <c r="D691" s="13"/>
      <c r="M691" s="10"/>
    </row>
    <row r="692" spans="1:13" ht="15.75" customHeight="1" x14ac:dyDescent="0.2">
      <c r="A692" s="13"/>
      <c r="B692" s="13"/>
      <c r="C692" s="13"/>
      <c r="D692" s="13"/>
      <c r="M692" s="10"/>
    </row>
    <row r="693" spans="1:13" ht="15.75" customHeight="1" x14ac:dyDescent="0.2">
      <c r="A693" s="13"/>
      <c r="B693" s="13"/>
      <c r="C693" s="13"/>
      <c r="D693" s="13"/>
      <c r="M693" s="10"/>
    </row>
    <row r="694" spans="1:13" ht="15.75" customHeight="1" x14ac:dyDescent="0.2">
      <c r="A694" s="13"/>
      <c r="B694" s="13"/>
      <c r="C694" s="13"/>
      <c r="D694" s="13"/>
      <c r="M694" s="10"/>
    </row>
    <row r="695" spans="1:13" ht="15.75" customHeight="1" x14ac:dyDescent="0.2">
      <c r="A695" s="13"/>
      <c r="B695" s="13"/>
      <c r="C695" s="13"/>
      <c r="D695" s="13"/>
      <c r="M695" s="10"/>
    </row>
    <row r="696" spans="1:13" ht="15.75" customHeight="1" x14ac:dyDescent="0.2">
      <c r="A696" s="13"/>
      <c r="B696" s="13"/>
      <c r="C696" s="13"/>
      <c r="D696" s="13"/>
      <c r="M696" s="10"/>
    </row>
    <row r="697" spans="1:13" ht="15.75" customHeight="1" x14ac:dyDescent="0.2">
      <c r="A697" s="13"/>
      <c r="B697" s="13"/>
      <c r="C697" s="13"/>
      <c r="D697" s="13"/>
      <c r="M697" s="10"/>
    </row>
    <row r="698" spans="1:13" ht="15.75" customHeight="1" x14ac:dyDescent="0.2">
      <c r="A698" s="13"/>
      <c r="B698" s="13"/>
      <c r="C698" s="13"/>
      <c r="D698" s="13"/>
      <c r="M698" s="10"/>
    </row>
    <row r="699" spans="1:13" ht="15.75" customHeight="1" x14ac:dyDescent="0.2">
      <c r="A699" s="13"/>
      <c r="B699" s="13"/>
      <c r="C699" s="13"/>
      <c r="D699" s="13"/>
      <c r="M699" s="10"/>
    </row>
    <row r="700" spans="1:13" ht="15.75" customHeight="1" x14ac:dyDescent="0.2">
      <c r="A700" s="13"/>
      <c r="B700" s="13"/>
      <c r="C700" s="13"/>
      <c r="D700" s="13"/>
      <c r="M700" s="10"/>
    </row>
    <row r="701" spans="1:13" ht="15.75" customHeight="1" x14ac:dyDescent="0.2">
      <c r="A701" s="13"/>
      <c r="B701" s="13"/>
      <c r="C701" s="13"/>
      <c r="D701" s="13"/>
      <c r="M701" s="10"/>
    </row>
    <row r="702" spans="1:13" ht="15.75" customHeight="1" x14ac:dyDescent="0.2">
      <c r="A702" s="13"/>
      <c r="B702" s="13"/>
      <c r="C702" s="13"/>
      <c r="D702" s="13"/>
      <c r="M702" s="10"/>
    </row>
    <row r="703" spans="1:13" ht="15.75" customHeight="1" x14ac:dyDescent="0.2">
      <c r="A703" s="13"/>
      <c r="B703" s="13"/>
      <c r="C703" s="13"/>
      <c r="D703" s="13"/>
      <c r="M703" s="10"/>
    </row>
    <row r="704" spans="1:13" ht="15.75" customHeight="1" x14ac:dyDescent="0.2">
      <c r="A704" s="13"/>
      <c r="B704" s="13"/>
      <c r="C704" s="13"/>
      <c r="D704" s="13"/>
      <c r="M704" s="10"/>
    </row>
    <row r="705" spans="1:13" ht="15.75" customHeight="1" x14ac:dyDescent="0.2">
      <c r="A705" s="13"/>
      <c r="B705" s="13"/>
      <c r="C705" s="13"/>
      <c r="D705" s="13"/>
      <c r="M705" s="10"/>
    </row>
    <row r="706" spans="1:13" ht="15.75" customHeight="1" x14ac:dyDescent="0.2">
      <c r="A706" s="13"/>
      <c r="B706" s="13"/>
      <c r="C706" s="13"/>
      <c r="D706" s="13"/>
      <c r="M706" s="10"/>
    </row>
    <row r="707" spans="1:13" ht="15.75" customHeight="1" x14ac:dyDescent="0.2">
      <c r="A707" s="13"/>
      <c r="B707" s="13"/>
      <c r="C707" s="13"/>
      <c r="D707" s="13"/>
      <c r="M707" s="10"/>
    </row>
    <row r="708" spans="1:13" ht="15.75" customHeight="1" x14ac:dyDescent="0.2">
      <c r="A708" s="13"/>
      <c r="B708" s="13"/>
      <c r="C708" s="13"/>
      <c r="D708" s="13"/>
      <c r="M708" s="10"/>
    </row>
    <row r="709" spans="1:13" ht="15.75" customHeight="1" x14ac:dyDescent="0.2">
      <c r="A709" s="13"/>
      <c r="B709" s="13"/>
      <c r="C709" s="13"/>
      <c r="D709" s="13"/>
      <c r="M709" s="10"/>
    </row>
    <row r="710" spans="1:13" ht="15.75" customHeight="1" x14ac:dyDescent="0.2">
      <c r="A710" s="13"/>
      <c r="B710" s="13"/>
      <c r="C710" s="13"/>
      <c r="D710" s="13"/>
      <c r="M710" s="10"/>
    </row>
    <row r="711" spans="1:13" ht="15.75" customHeight="1" x14ac:dyDescent="0.2">
      <c r="A711" s="13"/>
      <c r="B711" s="13"/>
      <c r="C711" s="13"/>
      <c r="D711" s="13"/>
      <c r="M711" s="10"/>
    </row>
    <row r="712" spans="1:13" ht="15.75" customHeight="1" x14ac:dyDescent="0.2">
      <c r="A712" s="13"/>
      <c r="B712" s="13"/>
      <c r="C712" s="13"/>
      <c r="D712" s="13"/>
      <c r="M712" s="10"/>
    </row>
    <row r="713" spans="1:13" ht="15.75" customHeight="1" x14ac:dyDescent="0.2">
      <c r="A713" s="13"/>
      <c r="B713" s="13"/>
      <c r="C713" s="13"/>
      <c r="D713" s="13"/>
      <c r="M713" s="10"/>
    </row>
    <row r="714" spans="1:13" ht="15.75" customHeight="1" x14ac:dyDescent="0.2">
      <c r="A714" s="13"/>
      <c r="B714" s="13"/>
      <c r="C714" s="13"/>
      <c r="D714" s="13"/>
      <c r="M714" s="10"/>
    </row>
    <row r="715" spans="1:13" ht="15.75" customHeight="1" x14ac:dyDescent="0.2">
      <c r="A715" s="13"/>
      <c r="B715" s="13"/>
      <c r="C715" s="13"/>
      <c r="D715" s="13"/>
      <c r="M715" s="10"/>
    </row>
    <row r="716" spans="1:13" ht="15.75" customHeight="1" x14ac:dyDescent="0.2">
      <c r="A716" s="13"/>
      <c r="B716" s="13"/>
      <c r="C716" s="13"/>
      <c r="D716" s="13"/>
      <c r="M716" s="10"/>
    </row>
    <row r="717" spans="1:13" ht="15.75" customHeight="1" x14ac:dyDescent="0.2">
      <c r="A717" s="13"/>
      <c r="B717" s="13"/>
      <c r="C717" s="13"/>
      <c r="D717" s="13"/>
      <c r="M717" s="10"/>
    </row>
    <row r="718" spans="1:13" ht="15.75" customHeight="1" x14ac:dyDescent="0.2">
      <c r="A718" s="13"/>
      <c r="B718" s="13"/>
      <c r="C718" s="13"/>
      <c r="D718" s="13"/>
      <c r="M718" s="10"/>
    </row>
    <row r="719" spans="1:13" ht="15.75" customHeight="1" x14ac:dyDescent="0.2">
      <c r="A719" s="13"/>
      <c r="B719" s="13"/>
      <c r="C719" s="13"/>
      <c r="D719" s="13"/>
      <c r="M719" s="10"/>
    </row>
    <row r="720" spans="1:13" ht="15.75" customHeight="1" x14ac:dyDescent="0.2">
      <c r="A720" s="13"/>
      <c r="B720" s="13"/>
      <c r="C720" s="13"/>
      <c r="D720" s="13"/>
      <c r="M720" s="10"/>
    </row>
    <row r="721" spans="1:13" ht="15.75" customHeight="1" x14ac:dyDescent="0.2">
      <c r="A721" s="13"/>
      <c r="B721" s="13"/>
      <c r="C721" s="13"/>
      <c r="D721" s="13"/>
      <c r="M721" s="10"/>
    </row>
    <row r="722" spans="1:13" ht="15.75" customHeight="1" x14ac:dyDescent="0.2">
      <c r="A722" s="13"/>
      <c r="B722" s="13"/>
      <c r="C722" s="13"/>
      <c r="D722" s="13"/>
      <c r="M722" s="10"/>
    </row>
    <row r="723" spans="1:13" ht="15.75" customHeight="1" x14ac:dyDescent="0.2">
      <c r="A723" s="13"/>
      <c r="B723" s="13"/>
      <c r="C723" s="13"/>
      <c r="D723" s="13"/>
      <c r="M723" s="10"/>
    </row>
    <row r="724" spans="1:13" ht="15.75" customHeight="1" x14ac:dyDescent="0.2">
      <c r="A724" s="13"/>
      <c r="B724" s="13"/>
      <c r="C724" s="13"/>
      <c r="D724" s="13"/>
      <c r="M724" s="10"/>
    </row>
    <row r="725" spans="1:13" ht="15.75" customHeight="1" x14ac:dyDescent="0.2">
      <c r="A725" s="13"/>
      <c r="B725" s="13"/>
      <c r="C725" s="13"/>
      <c r="D725" s="13"/>
      <c r="M725" s="10"/>
    </row>
    <row r="726" spans="1:13" ht="15.75" customHeight="1" x14ac:dyDescent="0.2">
      <c r="A726" s="13"/>
      <c r="B726" s="13"/>
      <c r="C726" s="13"/>
      <c r="D726" s="13"/>
      <c r="M726" s="10"/>
    </row>
    <row r="727" spans="1:13" ht="15.75" customHeight="1" x14ac:dyDescent="0.2">
      <c r="A727" s="13"/>
      <c r="B727" s="13"/>
      <c r="C727" s="13"/>
      <c r="D727" s="13"/>
      <c r="M727" s="10"/>
    </row>
    <row r="728" spans="1:13" ht="15.75" customHeight="1" x14ac:dyDescent="0.2">
      <c r="A728" s="13"/>
      <c r="B728" s="13"/>
      <c r="C728" s="13"/>
      <c r="D728" s="13"/>
      <c r="M728" s="10"/>
    </row>
    <row r="729" spans="1:13" ht="15.75" customHeight="1" x14ac:dyDescent="0.2">
      <c r="A729" s="13"/>
      <c r="B729" s="13"/>
      <c r="C729" s="13"/>
      <c r="D729" s="13"/>
      <c r="M729" s="10"/>
    </row>
    <row r="730" spans="1:13" ht="15.75" customHeight="1" x14ac:dyDescent="0.2">
      <c r="A730" s="13"/>
      <c r="B730" s="13"/>
      <c r="C730" s="13"/>
      <c r="D730" s="13"/>
      <c r="M730" s="10"/>
    </row>
    <row r="731" spans="1:13" ht="15.75" customHeight="1" x14ac:dyDescent="0.2">
      <c r="A731" s="13"/>
      <c r="B731" s="13"/>
      <c r="C731" s="13"/>
      <c r="D731" s="13"/>
      <c r="M731" s="10"/>
    </row>
    <row r="732" spans="1:13" ht="15.75" customHeight="1" x14ac:dyDescent="0.2">
      <c r="A732" s="13"/>
      <c r="B732" s="13"/>
      <c r="C732" s="13"/>
      <c r="D732" s="13"/>
      <c r="M732" s="10"/>
    </row>
    <row r="733" spans="1:13" ht="15.75" customHeight="1" x14ac:dyDescent="0.2">
      <c r="A733" s="13"/>
      <c r="B733" s="13"/>
      <c r="C733" s="13"/>
      <c r="D733" s="13"/>
      <c r="M733" s="10"/>
    </row>
    <row r="734" spans="1:13" ht="15.75" customHeight="1" x14ac:dyDescent="0.2">
      <c r="A734" s="13"/>
      <c r="B734" s="13"/>
      <c r="C734" s="13"/>
      <c r="D734" s="13"/>
      <c r="M734" s="10"/>
    </row>
    <row r="735" spans="1:13" ht="15.75" customHeight="1" x14ac:dyDescent="0.2">
      <c r="A735" s="13"/>
      <c r="B735" s="13"/>
      <c r="C735" s="13"/>
      <c r="D735" s="13"/>
      <c r="M735" s="10"/>
    </row>
    <row r="736" spans="1:13" ht="15.75" customHeight="1" x14ac:dyDescent="0.2">
      <c r="A736" s="13"/>
      <c r="B736" s="13"/>
      <c r="C736" s="13"/>
      <c r="D736" s="13"/>
      <c r="M736" s="10"/>
    </row>
    <row r="737" spans="1:13" ht="15.75" customHeight="1" x14ac:dyDescent="0.2">
      <c r="A737" s="13"/>
      <c r="B737" s="13"/>
      <c r="C737" s="13"/>
      <c r="D737" s="13"/>
      <c r="M737" s="10"/>
    </row>
    <row r="738" spans="1:13" ht="15.75" customHeight="1" x14ac:dyDescent="0.2">
      <c r="A738" s="13"/>
      <c r="B738" s="13"/>
      <c r="C738" s="13"/>
      <c r="D738" s="13"/>
      <c r="M738" s="10"/>
    </row>
    <row r="739" spans="1:13" ht="15.75" customHeight="1" x14ac:dyDescent="0.2">
      <c r="A739" s="13"/>
      <c r="B739" s="13"/>
      <c r="C739" s="13"/>
      <c r="D739" s="13"/>
      <c r="M739" s="10"/>
    </row>
    <row r="740" spans="1:13" ht="15.75" customHeight="1" x14ac:dyDescent="0.2">
      <c r="A740" s="13"/>
      <c r="B740" s="13"/>
      <c r="C740" s="13"/>
      <c r="D740" s="13"/>
      <c r="M740" s="10"/>
    </row>
    <row r="741" spans="1:13" ht="15.75" customHeight="1" x14ac:dyDescent="0.2">
      <c r="A741" s="13"/>
      <c r="B741" s="13"/>
      <c r="C741" s="13"/>
      <c r="D741" s="13"/>
      <c r="M741" s="10"/>
    </row>
    <row r="742" spans="1:13" ht="15.75" customHeight="1" x14ac:dyDescent="0.2">
      <c r="A742" s="13"/>
      <c r="B742" s="13"/>
      <c r="C742" s="13"/>
      <c r="D742" s="13"/>
      <c r="M742" s="10"/>
    </row>
    <row r="743" spans="1:13" ht="15.75" customHeight="1" x14ac:dyDescent="0.2">
      <c r="A743" s="13"/>
      <c r="B743" s="13"/>
      <c r="C743" s="13"/>
      <c r="D743" s="13"/>
      <c r="M743" s="10"/>
    </row>
    <row r="744" spans="1:13" ht="15.75" customHeight="1" x14ac:dyDescent="0.2">
      <c r="A744" s="13"/>
      <c r="B744" s="13"/>
      <c r="C744" s="13"/>
      <c r="D744" s="13"/>
      <c r="M744" s="10"/>
    </row>
    <row r="745" spans="1:13" ht="15.75" customHeight="1" x14ac:dyDescent="0.2">
      <c r="A745" s="13"/>
      <c r="B745" s="13"/>
      <c r="C745" s="13"/>
      <c r="D745" s="13"/>
      <c r="M745" s="10"/>
    </row>
    <row r="746" spans="1:13" ht="15.75" customHeight="1" x14ac:dyDescent="0.2">
      <c r="A746" s="13"/>
      <c r="B746" s="13"/>
      <c r="C746" s="13"/>
      <c r="D746" s="13"/>
      <c r="M746" s="10"/>
    </row>
    <row r="747" spans="1:13" ht="15.75" customHeight="1" x14ac:dyDescent="0.2">
      <c r="A747" s="13"/>
      <c r="B747" s="13"/>
      <c r="C747" s="13"/>
      <c r="D747" s="13"/>
      <c r="M747" s="10"/>
    </row>
    <row r="748" spans="1:13" ht="15.75" customHeight="1" x14ac:dyDescent="0.2">
      <c r="A748" s="13"/>
      <c r="B748" s="13"/>
      <c r="C748" s="13"/>
      <c r="D748" s="13"/>
      <c r="M748" s="10"/>
    </row>
    <row r="749" spans="1:13" ht="15.75" customHeight="1" x14ac:dyDescent="0.2">
      <c r="A749" s="13"/>
      <c r="B749" s="13"/>
      <c r="C749" s="13"/>
      <c r="D749" s="13"/>
      <c r="M749" s="10"/>
    </row>
    <row r="750" spans="1:13" ht="15.75" customHeight="1" x14ac:dyDescent="0.2">
      <c r="A750" s="13"/>
      <c r="B750" s="13"/>
      <c r="C750" s="13"/>
      <c r="D750" s="13"/>
      <c r="M750" s="10"/>
    </row>
    <row r="751" spans="1:13" ht="15.75" customHeight="1" x14ac:dyDescent="0.2">
      <c r="A751" s="13"/>
      <c r="B751" s="13"/>
      <c r="C751" s="13"/>
      <c r="D751" s="13"/>
      <c r="M751" s="10"/>
    </row>
    <row r="752" spans="1:13" ht="15.75" customHeight="1" x14ac:dyDescent="0.2">
      <c r="A752" s="13"/>
      <c r="B752" s="13"/>
      <c r="C752" s="13"/>
      <c r="D752" s="13"/>
      <c r="M752" s="10"/>
    </row>
    <row r="753" spans="1:13" ht="15.75" customHeight="1" x14ac:dyDescent="0.2">
      <c r="A753" s="13"/>
      <c r="B753" s="13"/>
      <c r="C753" s="13"/>
      <c r="D753" s="13"/>
      <c r="M753" s="10"/>
    </row>
    <row r="754" spans="1:13" ht="15.75" customHeight="1" x14ac:dyDescent="0.2">
      <c r="A754" s="13"/>
      <c r="B754" s="13"/>
      <c r="C754" s="13"/>
      <c r="D754" s="13"/>
      <c r="M754" s="10"/>
    </row>
    <row r="755" spans="1:13" ht="15.75" customHeight="1" x14ac:dyDescent="0.2">
      <c r="A755" s="13"/>
      <c r="B755" s="13"/>
      <c r="C755" s="13"/>
      <c r="D755" s="13"/>
      <c r="M755" s="10"/>
    </row>
    <row r="756" spans="1:13" ht="15.75" customHeight="1" x14ac:dyDescent="0.2">
      <c r="A756" s="13"/>
      <c r="B756" s="13"/>
      <c r="C756" s="13"/>
      <c r="D756" s="13"/>
      <c r="M756" s="10"/>
    </row>
    <row r="757" spans="1:13" ht="15.75" customHeight="1" x14ac:dyDescent="0.2">
      <c r="A757" s="13"/>
      <c r="B757" s="13"/>
      <c r="C757" s="13"/>
      <c r="D757" s="13"/>
      <c r="M757" s="10"/>
    </row>
    <row r="758" spans="1:13" ht="15.75" customHeight="1" x14ac:dyDescent="0.2">
      <c r="A758" s="13"/>
      <c r="B758" s="13"/>
      <c r="C758" s="13"/>
      <c r="D758" s="13"/>
      <c r="M758" s="10"/>
    </row>
    <row r="759" spans="1:13" ht="15.75" customHeight="1" x14ac:dyDescent="0.2">
      <c r="A759" s="13"/>
      <c r="B759" s="13"/>
      <c r="C759" s="13"/>
      <c r="D759" s="13"/>
      <c r="M759" s="10"/>
    </row>
    <row r="760" spans="1:13" ht="15.75" customHeight="1" x14ac:dyDescent="0.2">
      <c r="A760" s="13"/>
      <c r="B760" s="13"/>
      <c r="C760" s="13"/>
      <c r="D760" s="13"/>
      <c r="M760" s="10"/>
    </row>
    <row r="761" spans="1:13" ht="15.75" customHeight="1" x14ac:dyDescent="0.2">
      <c r="A761" s="13"/>
      <c r="B761" s="13"/>
      <c r="C761" s="13"/>
      <c r="D761" s="13"/>
      <c r="M761" s="10"/>
    </row>
    <row r="762" spans="1:13" ht="15.75" customHeight="1" x14ac:dyDescent="0.2">
      <c r="A762" s="13"/>
      <c r="B762" s="13"/>
      <c r="C762" s="13"/>
      <c r="D762" s="13"/>
      <c r="M762" s="10"/>
    </row>
    <row r="763" spans="1:13" ht="15.75" customHeight="1" x14ac:dyDescent="0.2">
      <c r="A763" s="13"/>
      <c r="B763" s="13"/>
      <c r="C763" s="13"/>
      <c r="D763" s="13"/>
      <c r="M763" s="10"/>
    </row>
    <row r="764" spans="1:13" ht="15.75" customHeight="1" x14ac:dyDescent="0.2">
      <c r="A764" s="13"/>
      <c r="B764" s="13"/>
      <c r="C764" s="13"/>
      <c r="D764" s="13"/>
      <c r="M764" s="10"/>
    </row>
    <row r="765" spans="1:13" ht="15.75" customHeight="1" x14ac:dyDescent="0.2">
      <c r="A765" s="13"/>
      <c r="B765" s="13"/>
      <c r="C765" s="13"/>
      <c r="D765" s="13"/>
      <c r="M765" s="10"/>
    </row>
    <row r="766" spans="1:13" ht="15.75" customHeight="1" x14ac:dyDescent="0.2">
      <c r="A766" s="13"/>
      <c r="B766" s="13"/>
      <c r="C766" s="13"/>
      <c r="D766" s="13"/>
      <c r="M766" s="10"/>
    </row>
    <row r="767" spans="1:13" ht="15.75" customHeight="1" x14ac:dyDescent="0.2">
      <c r="A767" s="13"/>
      <c r="B767" s="13"/>
      <c r="C767" s="13"/>
      <c r="D767" s="13"/>
      <c r="M767" s="10"/>
    </row>
    <row r="768" spans="1:13" ht="15.75" customHeight="1" x14ac:dyDescent="0.2">
      <c r="A768" s="13"/>
      <c r="B768" s="13"/>
      <c r="C768" s="13"/>
      <c r="D768" s="13"/>
      <c r="M768" s="10"/>
    </row>
    <row r="769" spans="1:13" ht="15.75" customHeight="1" x14ac:dyDescent="0.2">
      <c r="A769" s="13"/>
      <c r="B769" s="13"/>
      <c r="C769" s="13"/>
      <c r="D769" s="13"/>
      <c r="M769" s="10"/>
    </row>
    <row r="770" spans="1:13" ht="15.75" customHeight="1" x14ac:dyDescent="0.2">
      <c r="A770" s="13"/>
      <c r="B770" s="13"/>
      <c r="C770" s="13"/>
      <c r="D770" s="13"/>
      <c r="M770" s="10"/>
    </row>
    <row r="771" spans="1:13" ht="15.75" customHeight="1" x14ac:dyDescent="0.2">
      <c r="A771" s="13"/>
      <c r="B771" s="13"/>
      <c r="C771" s="13"/>
      <c r="D771" s="13"/>
      <c r="M771" s="10"/>
    </row>
    <row r="772" spans="1:13" ht="15.75" customHeight="1" x14ac:dyDescent="0.2">
      <c r="A772" s="13"/>
      <c r="B772" s="13"/>
      <c r="C772" s="13"/>
      <c r="D772" s="13"/>
      <c r="M772" s="10"/>
    </row>
    <row r="773" spans="1:13" ht="15.75" customHeight="1" x14ac:dyDescent="0.2">
      <c r="A773" s="13"/>
      <c r="B773" s="13"/>
      <c r="C773" s="13"/>
      <c r="D773" s="13"/>
      <c r="M773" s="10"/>
    </row>
    <row r="774" spans="1:13" ht="15.75" customHeight="1" x14ac:dyDescent="0.2">
      <c r="A774" s="13"/>
      <c r="B774" s="13"/>
      <c r="C774" s="13"/>
      <c r="D774" s="13"/>
      <c r="M774" s="10"/>
    </row>
    <row r="775" spans="1:13" ht="15.75" customHeight="1" x14ac:dyDescent="0.2">
      <c r="A775" s="13"/>
      <c r="B775" s="13"/>
      <c r="C775" s="13"/>
      <c r="D775" s="13"/>
      <c r="M775" s="10"/>
    </row>
    <row r="776" spans="1:13" ht="15.75" customHeight="1" x14ac:dyDescent="0.2">
      <c r="A776" s="13"/>
      <c r="B776" s="13"/>
      <c r="C776" s="13"/>
      <c r="D776" s="13"/>
      <c r="M776" s="10"/>
    </row>
    <row r="777" spans="1:13" ht="15.75" customHeight="1" x14ac:dyDescent="0.2">
      <c r="A777" s="13"/>
      <c r="B777" s="13"/>
      <c r="C777" s="13"/>
      <c r="D777" s="13"/>
      <c r="M777" s="10"/>
    </row>
    <row r="778" spans="1:13" ht="15.75" customHeight="1" x14ac:dyDescent="0.2">
      <c r="A778" s="13"/>
      <c r="B778" s="13"/>
      <c r="C778" s="13"/>
      <c r="D778" s="13"/>
      <c r="M778" s="10"/>
    </row>
    <row r="779" spans="1:13" ht="15.75" customHeight="1" x14ac:dyDescent="0.2">
      <c r="A779" s="13"/>
      <c r="B779" s="13"/>
      <c r="C779" s="13"/>
      <c r="D779" s="13"/>
      <c r="M779" s="10"/>
    </row>
    <row r="780" spans="1:13" ht="15.75" customHeight="1" x14ac:dyDescent="0.2">
      <c r="A780" s="13"/>
      <c r="B780" s="13"/>
      <c r="C780" s="13"/>
      <c r="D780" s="13"/>
      <c r="M780" s="10"/>
    </row>
    <row r="781" spans="1:13" ht="15.75" customHeight="1" x14ac:dyDescent="0.2">
      <c r="A781" s="13"/>
      <c r="B781" s="13"/>
      <c r="C781" s="13"/>
      <c r="D781" s="13"/>
      <c r="M781" s="10"/>
    </row>
    <row r="782" spans="1:13" ht="15.75" customHeight="1" x14ac:dyDescent="0.2">
      <c r="A782" s="13"/>
      <c r="B782" s="13"/>
      <c r="C782" s="13"/>
      <c r="D782" s="13"/>
      <c r="M782" s="10"/>
    </row>
    <row r="783" spans="1:13" ht="15.75" customHeight="1" x14ac:dyDescent="0.2">
      <c r="A783" s="13"/>
      <c r="B783" s="13"/>
      <c r="C783" s="13"/>
      <c r="D783" s="13"/>
      <c r="M783" s="10"/>
    </row>
    <row r="784" spans="1:13" ht="15.75" customHeight="1" x14ac:dyDescent="0.2">
      <c r="A784" s="13"/>
      <c r="B784" s="13"/>
      <c r="C784" s="13"/>
      <c r="D784" s="13"/>
      <c r="M784" s="10"/>
    </row>
    <row r="785" spans="1:13" ht="15.75" customHeight="1" x14ac:dyDescent="0.2">
      <c r="A785" s="13"/>
      <c r="B785" s="13"/>
      <c r="C785" s="13"/>
      <c r="D785" s="13"/>
      <c r="M785" s="10"/>
    </row>
    <row r="786" spans="1:13" ht="15.75" customHeight="1" x14ac:dyDescent="0.2">
      <c r="A786" s="13"/>
      <c r="B786" s="13"/>
      <c r="C786" s="13"/>
      <c r="D786" s="13"/>
      <c r="M786" s="10"/>
    </row>
    <row r="787" spans="1:13" ht="15.75" customHeight="1" x14ac:dyDescent="0.2">
      <c r="A787" s="13"/>
      <c r="B787" s="13"/>
      <c r="C787" s="13"/>
      <c r="D787" s="13"/>
      <c r="M787" s="10"/>
    </row>
    <row r="788" spans="1:13" ht="15.75" customHeight="1" x14ac:dyDescent="0.2">
      <c r="A788" s="13"/>
      <c r="B788" s="13"/>
      <c r="C788" s="13"/>
      <c r="D788" s="13"/>
      <c r="M788" s="10"/>
    </row>
    <row r="789" spans="1:13" ht="15.75" customHeight="1" x14ac:dyDescent="0.2">
      <c r="A789" s="13"/>
      <c r="B789" s="13"/>
      <c r="C789" s="13"/>
      <c r="D789" s="13"/>
      <c r="M789" s="10"/>
    </row>
    <row r="790" spans="1:13" ht="15.75" customHeight="1" x14ac:dyDescent="0.2">
      <c r="A790" s="13"/>
      <c r="B790" s="13"/>
      <c r="C790" s="13"/>
      <c r="D790" s="13"/>
      <c r="M790" s="10"/>
    </row>
    <row r="791" spans="1:13" ht="15.75" customHeight="1" x14ac:dyDescent="0.2">
      <c r="A791" s="13"/>
      <c r="B791" s="13"/>
      <c r="C791" s="13"/>
      <c r="D791" s="13"/>
      <c r="M791" s="10"/>
    </row>
    <row r="792" spans="1:13" ht="15.75" customHeight="1" x14ac:dyDescent="0.2">
      <c r="A792" s="13"/>
      <c r="B792" s="13"/>
      <c r="C792" s="13"/>
      <c r="D792" s="13"/>
      <c r="M792" s="10"/>
    </row>
    <row r="793" spans="1:13" ht="15.75" customHeight="1" x14ac:dyDescent="0.2">
      <c r="A793" s="13"/>
      <c r="B793" s="13"/>
      <c r="C793" s="13"/>
      <c r="D793" s="13"/>
      <c r="M793" s="10"/>
    </row>
    <row r="794" spans="1:13" ht="15.75" customHeight="1" x14ac:dyDescent="0.2">
      <c r="A794" s="13"/>
      <c r="B794" s="13"/>
      <c r="C794" s="13"/>
      <c r="D794" s="13"/>
      <c r="M794" s="10"/>
    </row>
    <row r="795" spans="1:13" ht="15.75" customHeight="1" x14ac:dyDescent="0.2">
      <c r="A795" s="13"/>
      <c r="B795" s="13"/>
      <c r="C795" s="13"/>
      <c r="D795" s="13"/>
      <c r="M795" s="10"/>
    </row>
    <row r="796" spans="1:13" ht="15.75" customHeight="1" x14ac:dyDescent="0.2">
      <c r="A796" s="13"/>
      <c r="B796" s="13"/>
      <c r="C796" s="13"/>
      <c r="D796" s="13"/>
      <c r="M796" s="10"/>
    </row>
    <row r="797" spans="1:13" ht="15.75" customHeight="1" x14ac:dyDescent="0.2">
      <c r="A797" s="13"/>
      <c r="B797" s="13"/>
      <c r="C797" s="13"/>
      <c r="D797" s="13"/>
      <c r="M797" s="10"/>
    </row>
    <row r="798" spans="1:13" ht="15.75" customHeight="1" x14ac:dyDescent="0.2">
      <c r="A798" s="13"/>
      <c r="B798" s="13"/>
      <c r="C798" s="13"/>
      <c r="D798" s="13"/>
      <c r="M798" s="10"/>
    </row>
    <row r="799" spans="1:13" ht="15.75" customHeight="1" x14ac:dyDescent="0.2">
      <c r="A799" s="13"/>
      <c r="B799" s="13"/>
      <c r="C799" s="13"/>
      <c r="D799" s="13"/>
      <c r="M799" s="10"/>
    </row>
    <row r="800" spans="1:13" ht="15.75" customHeight="1" x14ac:dyDescent="0.2">
      <c r="A800" s="13"/>
      <c r="B800" s="13"/>
      <c r="C800" s="13"/>
      <c r="D800" s="13"/>
      <c r="M800" s="10"/>
    </row>
    <row r="801" spans="1:13" ht="15.75" customHeight="1" x14ac:dyDescent="0.2">
      <c r="A801" s="13"/>
      <c r="B801" s="13"/>
      <c r="C801" s="13"/>
      <c r="D801" s="13"/>
      <c r="M801" s="10"/>
    </row>
    <row r="802" spans="1:13" ht="15.75" customHeight="1" x14ac:dyDescent="0.2">
      <c r="A802" s="13"/>
      <c r="B802" s="13"/>
      <c r="C802" s="13"/>
      <c r="D802" s="13"/>
      <c r="M802" s="10"/>
    </row>
    <row r="803" spans="1:13" ht="15.75" customHeight="1" x14ac:dyDescent="0.2">
      <c r="A803" s="13"/>
      <c r="B803" s="13"/>
      <c r="C803" s="13"/>
      <c r="D803" s="13"/>
      <c r="M803" s="10"/>
    </row>
    <row r="804" spans="1:13" ht="15.75" customHeight="1" x14ac:dyDescent="0.2">
      <c r="A804" s="13"/>
      <c r="B804" s="13"/>
      <c r="C804" s="13"/>
      <c r="D804" s="13"/>
      <c r="M804" s="10"/>
    </row>
    <row r="805" spans="1:13" ht="15.75" customHeight="1" x14ac:dyDescent="0.2">
      <c r="A805" s="13"/>
      <c r="B805" s="13"/>
      <c r="C805" s="13"/>
      <c r="D805" s="13"/>
      <c r="M805" s="10"/>
    </row>
    <row r="806" spans="1:13" ht="15.75" customHeight="1" x14ac:dyDescent="0.2">
      <c r="A806" s="13"/>
      <c r="B806" s="13"/>
      <c r="C806" s="13"/>
      <c r="D806" s="13"/>
      <c r="M806" s="10"/>
    </row>
    <row r="807" spans="1:13" ht="15.75" customHeight="1" x14ac:dyDescent="0.2">
      <c r="A807" s="13"/>
      <c r="B807" s="13"/>
      <c r="C807" s="13"/>
      <c r="D807" s="13"/>
      <c r="M807" s="10"/>
    </row>
    <row r="808" spans="1:13" ht="15.75" customHeight="1" x14ac:dyDescent="0.2">
      <c r="A808" s="13"/>
      <c r="B808" s="13"/>
      <c r="C808" s="13"/>
      <c r="D808" s="13"/>
      <c r="M808" s="10"/>
    </row>
    <row r="809" spans="1:13" ht="15.75" customHeight="1" x14ac:dyDescent="0.2">
      <c r="A809" s="13"/>
      <c r="B809" s="13"/>
      <c r="C809" s="13"/>
      <c r="D809" s="13"/>
      <c r="M809" s="10"/>
    </row>
    <row r="810" spans="1:13" ht="15.75" customHeight="1" x14ac:dyDescent="0.2">
      <c r="A810" s="13"/>
      <c r="B810" s="13"/>
      <c r="C810" s="13"/>
      <c r="D810" s="13"/>
      <c r="M810" s="10"/>
    </row>
    <row r="811" spans="1:13" ht="15.75" customHeight="1" x14ac:dyDescent="0.2">
      <c r="A811" s="13"/>
      <c r="B811" s="13"/>
      <c r="C811" s="13"/>
      <c r="D811" s="13"/>
      <c r="M811" s="10"/>
    </row>
    <row r="812" spans="1:13" ht="15.75" customHeight="1" x14ac:dyDescent="0.2">
      <c r="A812" s="13"/>
      <c r="B812" s="13"/>
      <c r="C812" s="13"/>
      <c r="D812" s="13"/>
      <c r="M812" s="10"/>
    </row>
    <row r="813" spans="1:13" ht="15.75" customHeight="1" x14ac:dyDescent="0.2">
      <c r="A813" s="13"/>
      <c r="B813" s="13"/>
      <c r="C813" s="13"/>
      <c r="D813" s="13"/>
      <c r="M813" s="10"/>
    </row>
    <row r="814" spans="1:13" ht="15.75" customHeight="1" x14ac:dyDescent="0.2">
      <c r="A814" s="13"/>
      <c r="B814" s="13"/>
      <c r="C814" s="13"/>
      <c r="D814" s="13"/>
      <c r="M814" s="10"/>
    </row>
    <row r="815" spans="1:13" ht="15.75" customHeight="1" x14ac:dyDescent="0.2">
      <c r="A815" s="13"/>
      <c r="B815" s="13"/>
      <c r="C815" s="13"/>
      <c r="D815" s="13"/>
      <c r="M815" s="10"/>
    </row>
    <row r="816" spans="1:13" ht="15.75" customHeight="1" x14ac:dyDescent="0.2">
      <c r="A816" s="13"/>
      <c r="B816" s="13"/>
      <c r="C816" s="13"/>
      <c r="D816" s="13"/>
      <c r="M816" s="10"/>
    </row>
    <row r="817" spans="1:13" ht="15.75" customHeight="1" x14ac:dyDescent="0.2">
      <c r="A817" s="13"/>
      <c r="B817" s="13"/>
      <c r="C817" s="13"/>
      <c r="D817" s="13"/>
      <c r="M817" s="10"/>
    </row>
    <row r="818" spans="1:13" ht="15.75" customHeight="1" x14ac:dyDescent="0.2">
      <c r="A818" s="13"/>
      <c r="B818" s="13"/>
      <c r="C818" s="13"/>
      <c r="D818" s="13"/>
      <c r="M818" s="10"/>
    </row>
    <row r="819" spans="1:13" ht="15.75" customHeight="1" x14ac:dyDescent="0.2">
      <c r="A819" s="13"/>
      <c r="B819" s="13"/>
      <c r="C819" s="13"/>
      <c r="D819" s="13"/>
      <c r="M819" s="10"/>
    </row>
    <row r="820" spans="1:13" ht="15.75" customHeight="1" x14ac:dyDescent="0.2">
      <c r="A820" s="13"/>
      <c r="B820" s="13"/>
      <c r="C820" s="13"/>
      <c r="D820" s="13"/>
      <c r="M820" s="10"/>
    </row>
    <row r="821" spans="1:13" ht="15.75" customHeight="1" x14ac:dyDescent="0.2">
      <c r="A821" s="13"/>
      <c r="B821" s="13"/>
      <c r="C821" s="13"/>
      <c r="D821" s="13"/>
      <c r="M821" s="10"/>
    </row>
    <row r="822" spans="1:13" ht="15.75" customHeight="1" x14ac:dyDescent="0.2">
      <c r="A822" s="13"/>
      <c r="B822" s="13"/>
      <c r="C822" s="13"/>
      <c r="D822" s="13"/>
      <c r="M822" s="10"/>
    </row>
    <row r="823" spans="1:13" ht="15.75" customHeight="1" x14ac:dyDescent="0.2">
      <c r="A823" s="13"/>
      <c r="B823" s="13"/>
      <c r="C823" s="13"/>
      <c r="D823" s="13"/>
      <c r="M823" s="10"/>
    </row>
    <row r="824" spans="1:13" ht="15.75" customHeight="1" x14ac:dyDescent="0.2">
      <c r="A824" s="13"/>
      <c r="B824" s="13"/>
      <c r="C824" s="13"/>
      <c r="D824" s="13"/>
      <c r="M824" s="10"/>
    </row>
    <row r="825" spans="1:13" ht="15.75" customHeight="1" x14ac:dyDescent="0.2">
      <c r="A825" s="13"/>
      <c r="B825" s="13"/>
      <c r="C825" s="13"/>
      <c r="D825" s="13"/>
      <c r="M825" s="10"/>
    </row>
    <row r="826" spans="1:13" ht="15.75" customHeight="1" x14ac:dyDescent="0.2">
      <c r="A826" s="13"/>
      <c r="B826" s="13"/>
      <c r="C826" s="13"/>
      <c r="D826" s="13"/>
      <c r="M826" s="10"/>
    </row>
    <row r="827" spans="1:13" ht="15.75" customHeight="1" x14ac:dyDescent="0.2">
      <c r="A827" s="13"/>
      <c r="B827" s="13"/>
      <c r="C827" s="13"/>
      <c r="D827" s="13"/>
      <c r="M827" s="10"/>
    </row>
    <row r="828" spans="1:13" ht="15.75" customHeight="1" x14ac:dyDescent="0.2">
      <c r="A828" s="13"/>
      <c r="B828" s="13"/>
      <c r="C828" s="13"/>
      <c r="D828" s="13"/>
      <c r="M828" s="10"/>
    </row>
    <row r="829" spans="1:13" ht="15.75" customHeight="1" x14ac:dyDescent="0.2">
      <c r="A829" s="13"/>
      <c r="B829" s="13"/>
      <c r="C829" s="13"/>
      <c r="D829" s="13"/>
      <c r="M829" s="10"/>
    </row>
    <row r="830" spans="1:13" ht="15.75" customHeight="1" x14ac:dyDescent="0.2">
      <c r="A830" s="13"/>
      <c r="B830" s="13"/>
      <c r="C830" s="13"/>
      <c r="D830" s="13"/>
      <c r="M830" s="10"/>
    </row>
    <row r="831" spans="1:13" ht="15.75" customHeight="1" x14ac:dyDescent="0.2">
      <c r="A831" s="13"/>
      <c r="B831" s="13"/>
      <c r="C831" s="13"/>
      <c r="D831" s="13"/>
      <c r="M831" s="10"/>
    </row>
    <row r="832" spans="1:13" ht="15.75" customHeight="1" x14ac:dyDescent="0.2">
      <c r="A832" s="13"/>
      <c r="B832" s="13"/>
      <c r="C832" s="13"/>
      <c r="D832" s="13"/>
      <c r="M832" s="10"/>
    </row>
    <row r="833" spans="1:13" ht="15.75" customHeight="1" x14ac:dyDescent="0.2">
      <c r="A833" s="13"/>
      <c r="B833" s="13"/>
      <c r="C833" s="13"/>
      <c r="D833" s="13"/>
      <c r="M833" s="10"/>
    </row>
    <row r="834" spans="1:13" ht="15.75" customHeight="1" x14ac:dyDescent="0.2">
      <c r="A834" s="13"/>
      <c r="B834" s="13"/>
      <c r="C834" s="13"/>
      <c r="D834" s="13"/>
      <c r="M834" s="10"/>
    </row>
    <row r="835" spans="1:13" ht="15.75" customHeight="1" x14ac:dyDescent="0.2">
      <c r="A835" s="13"/>
      <c r="B835" s="13"/>
      <c r="C835" s="13"/>
      <c r="D835" s="13"/>
      <c r="M835" s="10"/>
    </row>
    <row r="836" spans="1:13" ht="15.75" customHeight="1" x14ac:dyDescent="0.2">
      <c r="A836" s="13"/>
      <c r="B836" s="13"/>
      <c r="C836" s="13"/>
      <c r="D836" s="13"/>
      <c r="M836" s="10"/>
    </row>
    <row r="837" spans="1:13" ht="15.75" customHeight="1" x14ac:dyDescent="0.2">
      <c r="A837" s="13"/>
      <c r="B837" s="13"/>
      <c r="C837" s="13"/>
      <c r="D837" s="13"/>
      <c r="M837" s="10"/>
    </row>
    <row r="838" spans="1:13" ht="15.75" customHeight="1" x14ac:dyDescent="0.2">
      <c r="A838" s="13"/>
      <c r="B838" s="13"/>
      <c r="C838" s="13"/>
      <c r="D838" s="13"/>
      <c r="M838" s="10"/>
    </row>
    <row r="839" spans="1:13" ht="15.75" customHeight="1" x14ac:dyDescent="0.2">
      <c r="A839" s="13"/>
      <c r="B839" s="13"/>
      <c r="C839" s="13"/>
      <c r="D839" s="13"/>
      <c r="M839" s="10"/>
    </row>
    <row r="840" spans="1:13" ht="15.75" customHeight="1" x14ac:dyDescent="0.2">
      <c r="A840" s="13"/>
      <c r="B840" s="13"/>
      <c r="C840" s="13"/>
      <c r="D840" s="13"/>
      <c r="M840" s="10"/>
    </row>
    <row r="841" spans="1:13" ht="15.75" customHeight="1" x14ac:dyDescent="0.2">
      <c r="A841" s="13"/>
      <c r="B841" s="13"/>
      <c r="C841" s="13"/>
      <c r="D841" s="13"/>
      <c r="M841" s="10"/>
    </row>
    <row r="842" spans="1:13" ht="15.75" customHeight="1" x14ac:dyDescent="0.2">
      <c r="A842" s="13"/>
      <c r="B842" s="13"/>
      <c r="C842" s="13"/>
      <c r="D842" s="13"/>
      <c r="M842" s="10"/>
    </row>
    <row r="843" spans="1:13" ht="15.75" customHeight="1" x14ac:dyDescent="0.2">
      <c r="A843" s="13"/>
      <c r="B843" s="13"/>
      <c r="C843" s="13"/>
      <c r="D843" s="13"/>
      <c r="M843" s="10"/>
    </row>
    <row r="844" spans="1:13" ht="15.75" customHeight="1" x14ac:dyDescent="0.2">
      <c r="A844" s="13"/>
      <c r="B844" s="13"/>
      <c r="C844" s="13"/>
      <c r="D844" s="13"/>
      <c r="M844" s="10"/>
    </row>
    <row r="845" spans="1:13" ht="15.75" customHeight="1" x14ac:dyDescent="0.2">
      <c r="A845" s="13"/>
      <c r="B845" s="13"/>
      <c r="C845" s="13"/>
      <c r="D845" s="13"/>
      <c r="M845" s="10"/>
    </row>
    <row r="846" spans="1:13" ht="15.75" customHeight="1" x14ac:dyDescent="0.2">
      <c r="A846" s="13"/>
      <c r="B846" s="13"/>
      <c r="C846" s="13"/>
      <c r="D846" s="13"/>
      <c r="M846" s="10"/>
    </row>
    <row r="847" spans="1:13" ht="15.75" customHeight="1" x14ac:dyDescent="0.2">
      <c r="A847" s="13"/>
      <c r="B847" s="13"/>
      <c r="C847" s="13"/>
      <c r="D847" s="13"/>
      <c r="M847" s="10"/>
    </row>
    <row r="848" spans="1:13" ht="15.75" customHeight="1" x14ac:dyDescent="0.2">
      <c r="A848" s="13"/>
      <c r="B848" s="13"/>
      <c r="C848" s="13"/>
      <c r="D848" s="13"/>
      <c r="M848" s="10"/>
    </row>
    <row r="849" spans="1:13" ht="15.75" customHeight="1" x14ac:dyDescent="0.2">
      <c r="A849" s="13"/>
      <c r="B849" s="13"/>
      <c r="C849" s="13"/>
      <c r="D849" s="13"/>
      <c r="M849" s="10"/>
    </row>
    <row r="850" spans="1:13" ht="15.75" customHeight="1" x14ac:dyDescent="0.2">
      <c r="A850" s="13"/>
      <c r="B850" s="13"/>
      <c r="C850" s="13"/>
      <c r="D850" s="13"/>
      <c r="M850" s="10"/>
    </row>
    <row r="851" spans="1:13" ht="15.75" customHeight="1" x14ac:dyDescent="0.2">
      <c r="A851" s="13"/>
      <c r="B851" s="13"/>
      <c r="C851" s="13"/>
      <c r="D851" s="13"/>
      <c r="M851" s="10"/>
    </row>
    <row r="852" spans="1:13" ht="15.75" customHeight="1" x14ac:dyDescent="0.2">
      <c r="A852" s="13"/>
      <c r="B852" s="13"/>
      <c r="C852" s="13"/>
      <c r="D852" s="13"/>
      <c r="M852" s="10"/>
    </row>
    <row r="853" spans="1:13" ht="15.75" customHeight="1" x14ac:dyDescent="0.2">
      <c r="A853" s="13"/>
      <c r="B853" s="13"/>
      <c r="C853" s="13"/>
      <c r="D853" s="13"/>
      <c r="M853" s="10"/>
    </row>
    <row r="854" spans="1:13" ht="15.75" customHeight="1" x14ac:dyDescent="0.2">
      <c r="A854" s="13"/>
      <c r="B854" s="13"/>
      <c r="C854" s="13"/>
      <c r="D854" s="13"/>
      <c r="M854" s="10"/>
    </row>
    <row r="855" spans="1:13" ht="15.75" customHeight="1" x14ac:dyDescent="0.2">
      <c r="A855" s="13"/>
      <c r="B855" s="13"/>
      <c r="C855" s="13"/>
      <c r="D855" s="13"/>
      <c r="M855" s="10"/>
    </row>
    <row r="856" spans="1:13" ht="15.75" customHeight="1" x14ac:dyDescent="0.2">
      <c r="A856" s="13"/>
      <c r="B856" s="13"/>
      <c r="C856" s="13"/>
      <c r="D856" s="13"/>
      <c r="M856" s="10"/>
    </row>
    <row r="857" spans="1:13" ht="15.75" customHeight="1" x14ac:dyDescent="0.2">
      <c r="A857" s="13"/>
      <c r="B857" s="13"/>
      <c r="C857" s="13"/>
      <c r="D857" s="13"/>
      <c r="M857" s="10"/>
    </row>
    <row r="858" spans="1:13" ht="15.75" customHeight="1" x14ac:dyDescent="0.2">
      <c r="A858" s="13"/>
      <c r="B858" s="13"/>
      <c r="C858" s="13"/>
      <c r="D858" s="13"/>
      <c r="M858" s="10"/>
    </row>
    <row r="859" spans="1:13" ht="15.75" customHeight="1" x14ac:dyDescent="0.2">
      <c r="A859" s="13"/>
      <c r="B859" s="13"/>
      <c r="C859" s="13"/>
      <c r="D859" s="13"/>
      <c r="M859" s="10"/>
    </row>
    <row r="860" spans="1:13" ht="15.75" customHeight="1" x14ac:dyDescent="0.2">
      <c r="A860" s="13"/>
      <c r="B860" s="13"/>
      <c r="C860" s="13"/>
      <c r="D860" s="13"/>
      <c r="M860" s="10"/>
    </row>
    <row r="861" spans="1:13" ht="15.75" customHeight="1" x14ac:dyDescent="0.2">
      <c r="A861" s="13"/>
      <c r="B861" s="13"/>
      <c r="C861" s="13"/>
      <c r="D861" s="13"/>
      <c r="M861" s="10"/>
    </row>
    <row r="862" spans="1:13" ht="15.75" customHeight="1" x14ac:dyDescent="0.2">
      <c r="A862" s="13"/>
      <c r="B862" s="13"/>
      <c r="C862" s="13"/>
      <c r="D862" s="13"/>
      <c r="M862" s="10"/>
    </row>
    <row r="863" spans="1:13" ht="15.75" customHeight="1" x14ac:dyDescent="0.2">
      <c r="A863" s="13"/>
      <c r="B863" s="13"/>
      <c r="C863" s="13"/>
      <c r="D863" s="13"/>
      <c r="M863" s="10"/>
    </row>
    <row r="864" spans="1:13" ht="15.75" customHeight="1" x14ac:dyDescent="0.2">
      <c r="A864" s="13"/>
      <c r="B864" s="13"/>
      <c r="C864" s="13"/>
      <c r="D864" s="13"/>
      <c r="M864" s="10"/>
    </row>
    <row r="865" spans="1:13" ht="15.75" customHeight="1" x14ac:dyDescent="0.2">
      <c r="A865" s="13"/>
      <c r="B865" s="13"/>
      <c r="C865" s="13"/>
      <c r="D865" s="13"/>
      <c r="M865" s="10"/>
    </row>
    <row r="866" spans="1:13" ht="15.75" customHeight="1" x14ac:dyDescent="0.2">
      <c r="A866" s="13"/>
      <c r="B866" s="13"/>
      <c r="C866" s="13"/>
      <c r="D866" s="13"/>
      <c r="M866" s="10"/>
    </row>
    <row r="867" spans="1:13" ht="15.75" customHeight="1" x14ac:dyDescent="0.2">
      <c r="A867" s="13"/>
      <c r="B867" s="13"/>
      <c r="C867" s="13"/>
      <c r="D867" s="13"/>
      <c r="M867" s="10"/>
    </row>
    <row r="868" spans="1:13" ht="15.75" customHeight="1" x14ac:dyDescent="0.2">
      <c r="A868" s="13"/>
      <c r="B868" s="13"/>
      <c r="C868" s="13"/>
      <c r="D868" s="13"/>
      <c r="M868" s="10"/>
    </row>
    <row r="869" spans="1:13" ht="15.75" customHeight="1" x14ac:dyDescent="0.2">
      <c r="A869" s="13"/>
      <c r="B869" s="13"/>
      <c r="C869" s="13"/>
      <c r="D869" s="13"/>
      <c r="M869" s="10"/>
    </row>
    <row r="870" spans="1:13" ht="15" customHeight="1" x14ac:dyDescent="0.2">
      <c r="A870" s="13"/>
      <c r="B870" s="13"/>
      <c r="C870" s="13"/>
      <c r="D870" s="13"/>
    </row>
    <row r="871" spans="1:13" ht="15" customHeight="1" x14ac:dyDescent="0.2">
      <c r="A871" s="13"/>
      <c r="B871" s="13"/>
      <c r="C871" s="13"/>
      <c r="D871" s="13"/>
    </row>
    <row r="872" spans="1:13" ht="15" customHeight="1" x14ac:dyDescent="0.2">
      <c r="A872" s="13"/>
      <c r="B872" s="13"/>
      <c r="C872" s="13"/>
      <c r="D872" s="13"/>
    </row>
    <row r="873" spans="1:13" ht="15" customHeight="1" x14ac:dyDescent="0.2">
      <c r="A873" s="13"/>
      <c r="B873" s="13"/>
      <c r="C873" s="13"/>
      <c r="D873" s="13"/>
    </row>
    <row r="874" spans="1:13" ht="15" customHeight="1" x14ac:dyDescent="0.2">
      <c r="A874" s="13"/>
      <c r="B874" s="13"/>
      <c r="C874" s="13"/>
      <c r="D874" s="13"/>
    </row>
    <row r="875" spans="1:13" ht="15" customHeight="1" x14ac:dyDescent="0.2">
      <c r="A875" s="13"/>
      <c r="B875" s="13"/>
      <c r="C875" s="13"/>
      <c r="D875" s="13"/>
    </row>
    <row r="876" spans="1:13" ht="15" customHeight="1" x14ac:dyDescent="0.2">
      <c r="A876" s="13"/>
      <c r="B876" s="13"/>
      <c r="C876" s="13"/>
      <c r="D876" s="13"/>
    </row>
    <row r="877" spans="1:13" ht="15" customHeight="1" x14ac:dyDescent="0.2">
      <c r="A877" s="13"/>
      <c r="B877" s="13"/>
      <c r="C877" s="13"/>
      <c r="D877" s="13"/>
    </row>
    <row r="878" spans="1:13" ht="15" customHeight="1" x14ac:dyDescent="0.2">
      <c r="A878" s="13"/>
      <c r="B878" s="13"/>
      <c r="C878" s="13"/>
      <c r="D878" s="13"/>
    </row>
    <row r="879" spans="1:13" ht="15" customHeight="1" x14ac:dyDescent="0.2">
      <c r="A879" s="13"/>
      <c r="B879" s="13"/>
      <c r="C879" s="13"/>
      <c r="D879" s="13"/>
    </row>
    <row r="880" spans="1:13" ht="15" customHeight="1" x14ac:dyDescent="0.2">
      <c r="A880" s="13"/>
      <c r="B880" s="13"/>
      <c r="C880" s="13"/>
      <c r="D880" s="13"/>
    </row>
    <row r="881" spans="1:4" ht="15" customHeight="1" x14ac:dyDescent="0.2">
      <c r="A881" s="13"/>
      <c r="B881" s="13"/>
      <c r="C881" s="13"/>
      <c r="D881" s="13"/>
    </row>
    <row r="882" spans="1:4" ht="15" customHeight="1" x14ac:dyDescent="0.2">
      <c r="A882" s="13"/>
      <c r="B882" s="13"/>
      <c r="C882" s="13"/>
      <c r="D882" s="13"/>
    </row>
    <row r="883" spans="1:4" ht="15" customHeight="1" x14ac:dyDescent="0.2">
      <c r="A883" s="13"/>
      <c r="B883" s="13"/>
      <c r="C883" s="13"/>
      <c r="D883" s="13"/>
    </row>
    <row r="884" spans="1:4" ht="15" customHeight="1" x14ac:dyDescent="0.2">
      <c r="A884" s="13"/>
      <c r="B884" s="13"/>
      <c r="C884" s="13"/>
      <c r="D884" s="13"/>
    </row>
  </sheetData>
  <conditionalFormatting sqref="B2:C66">
    <cfRule type="cellIs" dxfId="8" priority="1" operator="equal">
      <formula>"Ja"</formula>
    </cfRule>
    <cfRule type="cellIs" dxfId="7" priority="2" operator="equal">
      <formula>"Nein"</formula>
    </cfRule>
    <cfRule type="cellIs" dxfId="6" priority="9" operator="equal">
      <formula>"Ja"</formula>
    </cfRule>
  </conditionalFormatting>
  <conditionalFormatting sqref="D2 D66">
    <cfRule type="cellIs" dxfId="5" priority="3" operator="equal">
      <formula>1</formula>
    </cfRule>
    <cfRule type="cellIs" dxfId="4" priority="4" operator="equal">
      <formula>0.8</formula>
    </cfRule>
    <cfRule type="cellIs" dxfId="3" priority="5" operator="equal">
      <formula>0.6</formula>
    </cfRule>
    <cfRule type="cellIs" dxfId="2" priority="6" operator="equal">
      <formula>0.4</formula>
    </cfRule>
    <cfRule type="cellIs" dxfId="1" priority="7" operator="equal">
      <formula>0.2</formula>
    </cfRule>
    <cfRule type="cellIs" dxfId="0" priority="8" operator="equal">
      <formula>0</formula>
    </cfRule>
  </conditionalFormatting>
  <dataValidations count="2">
    <dataValidation type="list" allowBlank="1" showErrorMessage="1" sqref="D2" xr:uid="{00000000-0002-0000-0300-000001000000}">
      <formula1>"100%,80%,60%,40%,20%,0%"</formula1>
    </dataValidation>
    <dataValidation type="list" allowBlank="1" showErrorMessage="1" sqref="B2:C66" xr:uid="{00000000-0002-0000-0300-000000000000}">
      <formula1>"Ja,Nein"</formula1>
    </dataValidation>
  </dataValidations>
  <pageMargins left="0.7" right="0.7" top="0.75" bottom="0.75" header="0" footer="0"/>
  <pageSetup orientation="landscape"/>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94"/>
  <sheetViews>
    <sheetView workbookViewId="0">
      <selection activeCell="E4" sqref="E4"/>
    </sheetView>
  </sheetViews>
  <sheetFormatPr baseColWidth="10" defaultColWidth="11.1640625" defaultRowHeight="15" customHeight="1" x14ac:dyDescent="0.2"/>
  <cols>
    <col min="1" max="26" width="8.33203125" customWidth="1"/>
  </cols>
  <sheetData>
    <row r="1" spans="1:8" ht="26" x14ac:dyDescent="0.3">
      <c r="B1" s="22" t="s">
        <v>93</v>
      </c>
    </row>
    <row r="2" spans="1:8" ht="15.75" customHeight="1" x14ac:dyDescent="0.2"/>
    <row r="3" spans="1:8" ht="15.75" customHeight="1" x14ac:dyDescent="0.2"/>
    <row r="4" spans="1:8" ht="15.75" customHeight="1" x14ac:dyDescent="0.2">
      <c r="B4" s="4" t="s">
        <v>94</v>
      </c>
      <c r="C4" s="4" t="s">
        <v>95</v>
      </c>
      <c r="D4" s="4" t="s">
        <v>96</v>
      </c>
      <c r="E4" s="4" t="s">
        <v>97</v>
      </c>
      <c r="F4" s="4" t="s">
        <v>98</v>
      </c>
      <c r="G4" s="4" t="s">
        <v>99</v>
      </c>
      <c r="H4" s="4" t="s">
        <v>100</v>
      </c>
    </row>
    <row r="5" spans="1:8" ht="15.75" customHeight="1" x14ac:dyDescent="0.2">
      <c r="A5" s="23">
        <v>0.29166666666666702</v>
      </c>
    </row>
    <row r="6" spans="1:8" ht="15.75" customHeight="1" x14ac:dyDescent="0.2">
      <c r="A6" s="23">
        <v>0.3125</v>
      </c>
    </row>
    <row r="7" spans="1:8" ht="15.75" customHeight="1" x14ac:dyDescent="0.2">
      <c r="A7" s="23">
        <v>0.33333333333333398</v>
      </c>
    </row>
    <row r="8" spans="1:8" ht="15.75" customHeight="1" x14ac:dyDescent="0.2">
      <c r="A8" s="23">
        <v>0.35416666666666702</v>
      </c>
    </row>
    <row r="9" spans="1:8" ht="15.75" customHeight="1" x14ac:dyDescent="0.2">
      <c r="A9" s="23">
        <v>0.375</v>
      </c>
    </row>
    <row r="10" spans="1:8" ht="15.75" customHeight="1" x14ac:dyDescent="0.2">
      <c r="A10" s="23">
        <v>0.39583333333333398</v>
      </c>
    </row>
    <row r="11" spans="1:8" ht="15.75" customHeight="1" x14ac:dyDescent="0.2">
      <c r="A11" s="23">
        <v>0.41666666666666702</v>
      </c>
    </row>
    <row r="12" spans="1:8" ht="15.75" customHeight="1" x14ac:dyDescent="0.2">
      <c r="A12" s="23">
        <v>0.4375</v>
      </c>
    </row>
    <row r="13" spans="1:8" ht="15.75" customHeight="1" x14ac:dyDescent="0.2">
      <c r="A13" s="23">
        <v>0.45833333333333398</v>
      </c>
    </row>
    <row r="14" spans="1:8" ht="15.75" customHeight="1" x14ac:dyDescent="0.2">
      <c r="A14" s="23">
        <v>0.47916666666666702</v>
      </c>
    </row>
    <row r="15" spans="1:8" ht="15.75" customHeight="1" x14ac:dyDescent="0.2">
      <c r="A15" s="23">
        <v>0.5</v>
      </c>
    </row>
    <row r="16" spans="1:8" ht="15.75" customHeight="1" x14ac:dyDescent="0.2">
      <c r="A16" s="23">
        <v>0.52083333333333404</v>
      </c>
    </row>
    <row r="17" spans="1:1" ht="15.75" customHeight="1" x14ac:dyDescent="0.2">
      <c r="A17" s="23">
        <v>0.54166666666666696</v>
      </c>
    </row>
    <row r="18" spans="1:1" ht="15.75" customHeight="1" x14ac:dyDescent="0.2">
      <c r="A18" s="23">
        <v>0.5625</v>
      </c>
    </row>
    <row r="19" spans="1:1" ht="15.75" customHeight="1" x14ac:dyDescent="0.2">
      <c r="A19" s="23">
        <v>0.58333333333333404</v>
      </c>
    </row>
    <row r="20" spans="1:1" ht="15.75" customHeight="1" x14ac:dyDescent="0.2">
      <c r="A20" s="23">
        <v>0.60416666666666696</v>
      </c>
    </row>
    <row r="21" spans="1:1" ht="15.75" customHeight="1" x14ac:dyDescent="0.2">
      <c r="A21" s="23">
        <v>0.625000000000001</v>
      </c>
    </row>
    <row r="22" spans="1:1" ht="15.75" customHeight="1" x14ac:dyDescent="0.2">
      <c r="A22" s="23">
        <v>0.64583333333333404</v>
      </c>
    </row>
    <row r="23" spans="1:1" ht="15.75" customHeight="1" x14ac:dyDescent="0.2">
      <c r="A23" s="23">
        <v>0.66666666666666696</v>
      </c>
    </row>
    <row r="24" spans="1:1" ht="15.75" customHeight="1" x14ac:dyDescent="0.2">
      <c r="A24" s="23">
        <v>0.687500000000001</v>
      </c>
    </row>
    <row r="25" spans="1:1" ht="15.75" customHeight="1" x14ac:dyDescent="0.2">
      <c r="A25" s="23">
        <v>0.70833333333333404</v>
      </c>
    </row>
    <row r="26" spans="1:1" ht="15.75" customHeight="1" x14ac:dyDescent="0.2">
      <c r="A26" s="23">
        <v>0.72916666666666696</v>
      </c>
    </row>
    <row r="27" spans="1:1" ht="15.75" customHeight="1" x14ac:dyDescent="0.2">
      <c r="A27" s="23">
        <v>0.750000000000001</v>
      </c>
    </row>
    <row r="28" spans="1:1" ht="15.75" customHeight="1" x14ac:dyDescent="0.2">
      <c r="A28" s="23">
        <v>0.77083333333333404</v>
      </c>
    </row>
    <row r="29" spans="1:1" ht="15.75" customHeight="1" x14ac:dyDescent="0.2">
      <c r="A29" s="23">
        <v>0.79166666666666696</v>
      </c>
    </row>
    <row r="30" spans="1:1" ht="15.75" customHeight="1" x14ac:dyDescent="0.2">
      <c r="A30" s="23">
        <v>0.812500000000001</v>
      </c>
    </row>
    <row r="31" spans="1:1" ht="15.75" customHeight="1" x14ac:dyDescent="0.2">
      <c r="A31" s="23">
        <v>0.83333333333333404</v>
      </c>
    </row>
    <row r="32" spans="1:1" ht="15.75" customHeight="1" x14ac:dyDescent="0.2">
      <c r="A32" s="23">
        <v>0.85416666666666696</v>
      </c>
    </row>
    <row r="33" spans="1:1" ht="15.75" customHeight="1" x14ac:dyDescent="0.2">
      <c r="A33" s="23">
        <v>0.875000000000001</v>
      </c>
    </row>
    <row r="34" spans="1:1" ht="15.75" customHeight="1" x14ac:dyDescent="0.2">
      <c r="A34" s="23">
        <v>0.89583333333333404</v>
      </c>
    </row>
    <row r="35" spans="1:1" ht="15.75" customHeight="1" x14ac:dyDescent="0.2">
      <c r="A35" s="23">
        <v>0.91666666666666696</v>
      </c>
    </row>
    <row r="36" spans="1:1" ht="15.75" customHeight="1" x14ac:dyDescent="0.2">
      <c r="A36" s="23">
        <v>0.937500000000001</v>
      </c>
    </row>
    <row r="37" spans="1:1" ht="15.75" customHeight="1" x14ac:dyDescent="0.2">
      <c r="A37" s="23">
        <v>0.95833333333333404</v>
      </c>
    </row>
    <row r="38" spans="1:1" ht="15.75" customHeight="1" x14ac:dyDescent="0.2">
      <c r="A38" s="23">
        <v>0.97916666666666696</v>
      </c>
    </row>
    <row r="39" spans="1:1" ht="15.75" customHeight="1" x14ac:dyDescent="0.2">
      <c r="A39" s="23">
        <v>1</v>
      </c>
    </row>
    <row r="40" spans="1:1" ht="15.75" customHeight="1" x14ac:dyDescent="0.2">
      <c r="A40" s="23">
        <v>1.0208333333333299</v>
      </c>
    </row>
    <row r="41" spans="1:1" ht="15.75" customHeight="1" x14ac:dyDescent="0.2">
      <c r="A41" s="23">
        <v>1.0416666666666701</v>
      </c>
    </row>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ANLEITUNG</vt:lpstr>
      <vt:lpstr>Semesterplan</vt:lpstr>
      <vt:lpstr>Best-Practices</vt:lpstr>
      <vt:lpstr>COMMITTMENT</vt:lpstr>
      <vt:lpstr>Wochenplan KW 492025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Dennis Hoffmann</cp:lastModifiedBy>
  <dcterms:modified xsi:type="dcterms:W3CDTF">2025-11-30T23:37:17Z</dcterms:modified>
</cp:coreProperties>
</file>