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R:\Personal\"/>
    </mc:Choice>
  </mc:AlternateContent>
  <bookViews>
    <workbookView xWindow="0" yWindow="495" windowWidth="35835" windowHeight="21900" activeTab="1"/>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 i="10" l="1"/>
  <c r="K27" i="7" a="1"/>
  <c r="K27" i="7" s="1"/>
  <c r="J27" i="7" a="1"/>
  <c r="J27" i="7" s="1"/>
  <c r="I27" i="7"/>
  <c r="K26" i="7" a="1"/>
  <c r="K26" i="7" s="1"/>
  <c r="J26" i="7" a="1"/>
  <c r="J26" i="7" s="1"/>
  <c r="I26" i="7"/>
  <c r="K25" i="7" a="1"/>
  <c r="K25" i="7" s="1"/>
  <c r="J25" i="7" a="1"/>
  <c r="J25" i="7" s="1"/>
  <c r="I25" i="7"/>
  <c r="K24" i="7" a="1"/>
  <c r="K24" i="7" s="1"/>
  <c r="J24" i="7" a="1"/>
  <c r="J24" i="7" s="1"/>
  <c r="I24" i="7"/>
  <c r="K23" i="7" a="1"/>
  <c r="K23" i="7" s="1"/>
  <c r="J23" i="7" a="1"/>
  <c r="J23" i="7" s="1"/>
  <c r="I23" i="7"/>
  <c r="K22" i="7" a="1"/>
  <c r="K22" i="7" s="1"/>
  <c r="J22" i="7" a="1"/>
  <c r="J22" i="7" s="1"/>
  <c r="I22" i="7"/>
  <c r="K21" i="7" a="1"/>
  <c r="K21" i="7" s="1"/>
  <c r="J21" i="7" a="1"/>
  <c r="J21" i="7" s="1"/>
  <c r="I21" i="7"/>
  <c r="K20" i="7" a="1"/>
  <c r="K20" i="7" s="1"/>
  <c r="J20" i="7" a="1"/>
  <c r="J20" i="7" s="1"/>
  <c r="I20" i="7"/>
  <c r="C11" i="10" l="1"/>
  <c r="DV4" i="7"/>
  <c r="DH4" i="7"/>
  <c r="DO4" i="7"/>
  <c r="K46" i="7" a="1"/>
  <c r="K46" i="7" s="1"/>
  <c r="J46" i="7" a="1"/>
  <c r="J46" i="7" s="1"/>
  <c r="I46" i="7"/>
  <c r="K45" i="7" a="1"/>
  <c r="K45" i="7" s="1"/>
  <c r="J45" i="7" a="1"/>
  <c r="J45" i="7" s="1"/>
  <c r="I45" i="7"/>
  <c r="K44" i="7" a="1"/>
  <c r="K44" i="7" s="1"/>
  <c r="J44" i="7" a="1"/>
  <c r="J44" i="7" s="1"/>
  <c r="I44" i="7"/>
  <c r="K61" i="7" a="1"/>
  <c r="K61" i="7" s="1"/>
  <c r="J61" i="7" a="1"/>
  <c r="J61" i="7" s="1"/>
  <c r="I61" i="7"/>
  <c r="K59" i="7" a="1"/>
  <c r="K59" i="7" s="1"/>
  <c r="J59" i="7" a="1"/>
  <c r="J59" i="7" s="1"/>
  <c r="I59" i="7"/>
  <c r="K58" i="7" a="1"/>
  <c r="K58" i="7" s="1"/>
  <c r="J58" i="7" a="1"/>
  <c r="J58" i="7" s="1"/>
  <c r="I58" i="7"/>
  <c r="K12" i="7" a="1"/>
  <c r="K12" i="7" s="1"/>
  <c r="J12" i="7" a="1"/>
  <c r="J12" i="7" s="1"/>
  <c r="I12" i="7"/>
  <c r="K14" i="7" a="1"/>
  <c r="K14" i="7" s="1"/>
  <c r="J14" i="7" a="1"/>
  <c r="J14" i="7" s="1"/>
  <c r="I14" i="7"/>
  <c r="K13" i="7" a="1"/>
  <c r="K13" i="7" s="1"/>
  <c r="J13" i="7" a="1"/>
  <c r="J13" i="7" s="1"/>
  <c r="I13" i="7"/>
  <c r="K11" i="7" a="1"/>
  <c r="K11" i="7" s="1"/>
  <c r="J11" i="7" a="1"/>
  <c r="J11" i="7" s="1"/>
  <c r="I11" i="7"/>
  <c r="K10" i="7" a="1"/>
  <c r="K10" i="7" s="1"/>
  <c r="J10" i="7" a="1"/>
  <c r="J10" i="7" s="1"/>
  <c r="I10" i="7"/>
  <c r="K9" i="7" a="1"/>
  <c r="K9" i="7" s="1"/>
  <c r="J9" i="7" a="1"/>
  <c r="J9" i="7" s="1"/>
  <c r="I9" i="7"/>
  <c r="DA4" i="7" l="1"/>
  <c r="CT4" i="7"/>
  <c r="CM4" i="7"/>
  <c r="CF4" i="7"/>
  <c r="BY4" i="7"/>
  <c r="BR4" i="7"/>
  <c r="K28" i="7" a="1"/>
  <c r="K28" i="7" s="1"/>
  <c r="J28" i="7" a="1"/>
  <c r="J28" i="7" s="1"/>
  <c r="I28" i="7"/>
  <c r="K63" i="7" a="1"/>
  <c r="K63" i="7" s="1"/>
  <c r="J63" i="7" a="1"/>
  <c r="J63" i="7" s="1"/>
  <c r="I63" i="7"/>
  <c r="K62" i="7" a="1"/>
  <c r="K62" i="7" s="1"/>
  <c r="J62" i="7" a="1"/>
  <c r="J62" i="7" s="1"/>
  <c r="I62" i="7"/>
  <c r="K60" i="7" a="1"/>
  <c r="K60" i="7" s="1"/>
  <c r="J60" i="7" a="1"/>
  <c r="J60" i="7" s="1"/>
  <c r="I60"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AP50" i="7"/>
  <c r="AI50" i="7"/>
  <c r="AB50" i="7"/>
  <c r="U50" i="7"/>
  <c r="N50" i="7"/>
  <c r="G50" i="7"/>
  <c r="K48" i="7" a="1"/>
  <c r="K48" i="7" s="1"/>
  <c r="J48" i="7" a="1"/>
  <c r="J48" i="7" s="1"/>
  <c r="I48" i="7"/>
  <c r="K47" i="7" a="1"/>
  <c r="K47" i="7" s="1"/>
  <c r="J47" i="7" a="1"/>
  <c r="J47" i="7" s="1"/>
  <c r="I47"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AP38" i="7"/>
  <c r="AI38" i="7"/>
  <c r="AB38" i="7"/>
  <c r="U38" i="7"/>
  <c r="N38" i="7"/>
  <c r="G38" i="7"/>
  <c r="BK4" i="7"/>
  <c r="C12" i="10"/>
  <c r="K19" i="7" a="1"/>
  <c r="K19" i="7" s="1"/>
  <c r="J19" i="7" a="1"/>
  <c r="J19"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16" i="7" a="1"/>
  <c r="K16" i="7" s="1"/>
  <c r="J16" i="7" a="1"/>
  <c r="J16" i="7" s="1"/>
  <c r="K15" i="7" a="1"/>
  <c r="K15" i="7" s="1"/>
  <c r="J15" i="7" a="1"/>
  <c r="J15" i="7" s="1"/>
  <c r="K8" i="7" a="1"/>
  <c r="K8" i="7" s="1"/>
  <c r="J8" i="7" a="1"/>
  <c r="J8" i="7" s="1"/>
  <c r="K7" i="7" a="1"/>
  <c r="K7" i="7" s="1"/>
  <c r="J7" i="7" a="1"/>
  <c r="J7" i="7" s="1"/>
  <c r="K6" i="7" a="1"/>
  <c r="K6" i="7" s="1"/>
  <c r="J6" i="7" a="1"/>
  <c r="J6" i="7" s="1"/>
  <c r="K5" i="7" a="1"/>
  <c r="K5" i="7" s="1"/>
  <c r="J5" i="7" a="1"/>
  <c r="J5" i="7" s="1"/>
  <c r="AP18" i="7"/>
  <c r="AI18" i="7"/>
  <c r="AB18" i="7"/>
  <c r="U18" i="7"/>
  <c r="BD4" i="7"/>
  <c r="AW4" i="7"/>
  <c r="AP4" i="7"/>
  <c r="AI4" i="7"/>
  <c r="AB4" i="7"/>
  <c r="U4" i="7"/>
  <c r="N4" i="7"/>
  <c r="N18" i="7"/>
  <c r="G4" i="7"/>
  <c r="AP30" i="7"/>
  <c r="AI30" i="7"/>
  <c r="AB30" i="7"/>
  <c r="U30" i="7"/>
  <c r="I36" i="7"/>
  <c r="I35" i="7"/>
  <c r="I34" i="7"/>
  <c r="I33" i="7"/>
  <c r="I32" i="7"/>
  <c r="I31" i="7"/>
  <c r="I19" i="7"/>
  <c r="I6" i="7"/>
  <c r="I7" i="7"/>
  <c r="I8" i="7"/>
  <c r="I15" i="7"/>
  <c r="I16" i="7"/>
  <c r="I5" i="7"/>
  <c r="N30" i="7"/>
  <c r="G30" i="7"/>
  <c r="G18" i="7"/>
  <c r="I50" i="7" l="1"/>
  <c r="I38" i="7"/>
  <c r="J50" i="7"/>
  <c r="K50" i="7"/>
  <c r="K38" i="7"/>
  <c r="J38" i="7"/>
  <c r="I30" i="7"/>
  <c r="J30" i="7"/>
  <c r="K30" i="7"/>
  <c r="I18" i="7"/>
  <c r="J18" i="7"/>
  <c r="K18" i="7"/>
  <c r="K4" i="7"/>
  <c r="I4" i="7" l="1"/>
  <c r="J4" i="7"/>
</calcChain>
</file>

<file path=xl/sharedStrings.xml><?xml version="1.0" encoding="utf-8"?>
<sst xmlns="http://schemas.openxmlformats.org/spreadsheetml/2006/main" count="370" uniqueCount="150">
  <si>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</si>
  <si>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</si>
  <si>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</si>
  <si>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</si>
  <si>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</si>
  <si>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</si>
  <si>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</si>
  <si>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</si>
  <si>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</si>
  <si>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</si>
  <si>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</si>
  <si>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</si>
  <si>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</si>
  <si>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</si>
  <si>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</si>
  <si>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</si>
  <si>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</si>
  <si>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</si>
  <si>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</si>
  <si>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</si>
  <si>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</si>
  <si>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</si>
  <si>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</si>
  <si>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</si>
  <si>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</si>
  <si>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</si>
  <si>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</si>
  <si>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</si>
  <si>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</si>
  <si>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</si>
  <si>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</si>
  <si>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</si>
  <si>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</si>
  <si>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</si>
  <si>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</si>
  <si>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</si>
  <si>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</si>
  <si>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</si>
  <si>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</si>
  <si>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</si>
  <si>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</si>
  <si>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</si>
  <si>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</si>
  <si>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</si>
  <si>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</si>
  <si>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</si>
  <si>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</si>
  <si>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</si>
  <si>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</si>
  <si>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</si>
  <si>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</si>
  <si>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</si>
  <si>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</si>
  <si>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</si>
  <si>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</si>
  <si>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</si>
  <si>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</si>
  <si>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</si>
  <si>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</si>
  <si>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</si>
  <si>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</si>
  <si>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</si>
  <si>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</si>
  <si>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</si>
  <si>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</si>
  <si>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</si>
  <si>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</si>
  <si>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</si>
  <si>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</si>
  <si>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</si>
  <si>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</si>
  <si>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</si>
  <si>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</si>
  <si>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</si>
  <si>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</si>
  <si>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</si>
  <si>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</si>
  <si>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</si>
  <si>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</si>
  <si>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</si>
  <si>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</si>
  <si>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</si>
  <si>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</si>
  <si>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</si>
  <si>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</si>
  <si>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</si>
  <si>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</si>
  <si>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</si>
  <si>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</si>
  <si>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EBWL</t>
  </si>
  <si>
    <t>Mathe</t>
  </si>
  <si>
    <t>FiBu</t>
  </si>
  <si>
    <t>Wertschöpfungsmanagement</t>
  </si>
  <si>
    <t>WSM</t>
  </si>
  <si>
    <t>Grundzüge der modernen Ökonomie</t>
  </si>
  <si>
    <t>VWL</t>
  </si>
  <si>
    <t>1) Die BWL &amp; der Betrieb als Objekt der BWL</t>
  </si>
  <si>
    <t>2)Betriebl. Ziele &amp; Kennzahlen wirtschaftl. Handelns</t>
  </si>
  <si>
    <t xml:space="preserve">3) Produktionsplanung &amp; Produktionsprogrammplanung </t>
  </si>
  <si>
    <t>4)  Externes Rechnungswesen &amp; Kostenrechnung</t>
  </si>
  <si>
    <t xml:space="preserve">5) Finanzierung &amp; Investition &amp; statische Investitionsrechnung </t>
  </si>
  <si>
    <t xml:space="preserve">6) Dynamische Investitionsrechnung &amp; Unternehmensführung </t>
  </si>
  <si>
    <t xml:space="preserve">7) Märkte &amp; Umwelt der Unternehmung </t>
  </si>
  <si>
    <t>9) Produktpolitik</t>
  </si>
  <si>
    <t>10) Preispolitik</t>
  </si>
  <si>
    <t>8) Marketingziele &amp; -strategien und Käuferverhalten</t>
  </si>
  <si>
    <t xml:space="preserve">11) Distributions- &amp; Kommunikationspolitik </t>
  </si>
  <si>
    <t xml:space="preserve">12) Marketingkoordination &amp; Marketingcontrolling </t>
  </si>
  <si>
    <t xml:space="preserve">1) Grundlagen </t>
  </si>
  <si>
    <t xml:space="preserve">3) Lineare Algebra </t>
  </si>
  <si>
    <t>1) Finanzbuchhaltung als Teil des Rechnungswesens</t>
  </si>
  <si>
    <t>2) Grundlegende Elemente der Finanzbuchhaltung</t>
  </si>
  <si>
    <t>3) Grundlagen der Buchungstechnik</t>
  </si>
  <si>
    <t xml:space="preserve">4) Buchung wichtiger Geschäftsvorfälle </t>
  </si>
  <si>
    <t>5) Jahresabschluss</t>
  </si>
  <si>
    <t xml:space="preserve">6) Erfolgsverbuchung </t>
  </si>
  <si>
    <t>2) WSM in Unternehmen</t>
  </si>
  <si>
    <t>2) Wie denken Volkswirt:innen</t>
  </si>
  <si>
    <t xml:space="preserve">3) Vorteile durch Arbeitsteilung </t>
  </si>
  <si>
    <t>4) Angebot &amp; Nachfrage</t>
  </si>
  <si>
    <t xml:space="preserve">5) Marktgleichgewicht, Wohlfahrt &amp; Besteuerung </t>
  </si>
  <si>
    <t xml:space="preserve">6) Externe Effekte, öffentliche Güter, Allmende- &amp; Clubgüter </t>
  </si>
  <si>
    <t xml:space="preserve">7) Umweltprobleme &amp; ihre Lösung aus volkswirtschaftlicher Sicht </t>
  </si>
  <si>
    <t>8) Verhalten der Unternehmen</t>
  </si>
  <si>
    <t xml:space="preserve">9) Arbeitsmarkt &amp; Einkommensverteilung </t>
  </si>
  <si>
    <t>10) Makroökonomische Größen &amp; ihre Messung</t>
  </si>
  <si>
    <t>11) Wirtschaftliches Wachstum</t>
  </si>
  <si>
    <t>12) Geldmenge &amp; Inflation</t>
  </si>
  <si>
    <t xml:space="preserve">13) Die Wirtschafts- &amp; Sozialordnung der Bundesrepublik Deutschland </t>
  </si>
  <si>
    <t>KW 44</t>
  </si>
  <si>
    <t>KW 45</t>
  </si>
  <si>
    <t>KW 46</t>
  </si>
  <si>
    <t>KW 47</t>
  </si>
  <si>
    <t>KW 48</t>
  </si>
  <si>
    <t>KW 49</t>
  </si>
  <si>
    <t>KW 50</t>
  </si>
  <si>
    <t>KW 51</t>
  </si>
  <si>
    <t>KW 01</t>
  </si>
  <si>
    <t>KW 02</t>
  </si>
  <si>
    <t>KW 03</t>
  </si>
  <si>
    <t>KW 04</t>
  </si>
  <si>
    <t>2.2) Funktionen</t>
  </si>
  <si>
    <t>2.3) Differentialrechnung</t>
  </si>
  <si>
    <t>2.4) Extremwertbestimmung</t>
  </si>
  <si>
    <t>2.5) Nichtlineare Gleichungen</t>
  </si>
  <si>
    <t>2.6) Funktionen mehrerer Variabler</t>
  </si>
  <si>
    <t xml:space="preserve">2.7) Integralrechnung </t>
  </si>
  <si>
    <t>2.8) Differentialgleichungen</t>
  </si>
  <si>
    <t>2.1) Analysis - Reihen, Folgen, Zinsen</t>
  </si>
  <si>
    <t xml:space="preserve">3) Fallstudien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</si>
</sst>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773">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le1" displayName="Table1" ref="A1:K46" totalsRowShown="0" headerRowDxfId="4">
  <autoFilter ref="A1:K46"/>
  <tableColumns count="11">
    <tableColumn id="1" name="Datum" dataDxfId="3"/>
    <tableColumn id="2" name="Lerneinheiten durchgezogen" dataDxfId="2"/>
    <tableColumn id="3" name="Tagesplan erstellt" dataDxfId="1"/>
    <tableColumn id="4" name="Konzentrationslevel" dataDxfId="0"/>
    <tableColumn id="5" name="Kcal"/>
    <tableColumn id="6" name="Fette"/>
    <tableColumn id="7" name="Eiweiss"/>
    <tableColumn id="8" name="Kohlenhydrate"/>
    <tableColumn id="9" name="Gewicht"/>
    <tableColumn id="10" name="Sonstiges Gefühl"/>
    <tableColumn id="11"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7"/>
  <sheetViews>
    <sheetView workbookViewId="0">
      <selection activeCell="C11" sqref="C11"/>
    </sheetView>
  </sheetViews>
  <sheetFormatPr baseColWidth="10" defaultRowHeight="15.75"/>
  <cols>
    <col min="1" max="1" width="11.875" customWidth="1"/>
    <col min="2" max="2" width="62.625" customWidth="1"/>
  </cols>
  <sheetData>
    <row r="2" spans="1:4">
      <c r="C2" s="21" t="s">
        <v>72</v>
      </c>
    </row>
    <row r="3" spans="1:4">
      <c r="C3" s="20" t="s">
        <v>57</v>
      </c>
    </row>
    <row r="4" spans="1:4">
      <c r="C4" s="19" t="s">
        <v>71</v>
      </c>
    </row>
    <row r="5" spans="1:4">
      <c r="A5" s="3" t="s">
        <v>54</v>
      </c>
      <c r="B5" s="3" t="s">
        <v>55</v>
      </c>
      <c r="C5" s="3" t="s">
        <v>56</v>
      </c>
      <c r="D5" s="3" t="s">
        <v>58</v>
      </c>
    </row>
    <row r="6" spans="1:4">
      <c r="A6" t="s">
        <v>50</v>
      </c>
      <c r="B6" s="21" t="s">
        <v>53</v>
      </c>
      <c r="D6" t="s">
        <v>87</v>
      </c>
    </row>
    <row r="7" spans="1:4">
      <c r="A7" t="s">
        <v>61</v>
      </c>
      <c r="B7" t="s">
        <v>62</v>
      </c>
      <c r="C7" s="19">
        <f>12+10+6+10+13</f>
        <v>51</v>
      </c>
    </row>
    <row r="8" spans="1:4">
      <c r="A8" t="s">
        <v>52</v>
      </c>
      <c r="B8" s="21" t="s">
        <v>51</v>
      </c>
      <c r="C8" s="9"/>
      <c r="D8" t="s">
        <v>75</v>
      </c>
    </row>
    <row r="9" spans="1:4">
      <c r="A9" t="s">
        <v>60</v>
      </c>
      <c r="B9" s="21" t="s">
        <v>73</v>
      </c>
      <c r="D9" t="s">
        <v>76</v>
      </c>
    </row>
    <row r="10" spans="1:4">
      <c r="A10" t="s">
        <v>64</v>
      </c>
      <c r="B10" t="s">
        <v>63</v>
      </c>
      <c r="C10" s="19">
        <v>8</v>
      </c>
      <c r="D10" t="s">
        <v>59</v>
      </c>
    </row>
    <row r="11" spans="1:4">
      <c r="A11" t="s">
        <v>65</v>
      </c>
      <c r="B11" t="s">
        <v>67</v>
      </c>
      <c r="C11" s="19">
        <f>45*3</f>
        <v>135</v>
      </c>
      <c r="D11" t="s">
        <v>66</v>
      </c>
    </row>
    <row r="12" spans="1:4">
      <c r="A12" t="s">
        <v>69</v>
      </c>
      <c r="B12" t="s">
        <v>68</v>
      </c>
      <c r="C12" s="20">
        <f>C11/C10</f>
        <v>16.875</v>
      </c>
    </row>
    <row r="13" spans="1:4">
      <c r="A13" t="s">
        <v>74</v>
      </c>
      <c r="B13" t="s">
        <v>70</v>
      </c>
      <c r="D13" t="s">
        <v>77</v>
      </c>
    </row>
    <row r="14" spans="1:4">
      <c r="A14" t="s">
        <v>78</v>
      </c>
      <c r="B14" t="s">
        <v>79</v>
      </c>
      <c r="D14" t="s">
        <v>80</v>
      </c>
    </row>
    <row r="15" spans="1:4">
      <c r="A15" t="s">
        <v>81</v>
      </c>
      <c r="B15" s="21" t="s">
        <v>82</v>
      </c>
    </row>
    <row r="16" spans="1:4">
      <c r="A16" t="s">
        <v>85</v>
      </c>
      <c r="B16" s="21" t="s">
        <v>83</v>
      </c>
    </row>
    <row r="17" spans="1: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A63"/>
  <sheetViews>
    <sheetView showGridLines="0" tabSelected="1" zoomScale="75" zoomScaleNormal="83" workbookViewId="0">
      <selection activeCell="D39" sqref="D39"/>
    </sheetView>
  </sheetViews>
  <sheetFormatPr baseColWidth="10" defaultColWidth="8.875" defaultRowHeight="15.75" outlineLevelRow="1"/>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 min="127" max="127" width="12.5" bestFit="1" customWidth="1"/>
    <col min="128" max="128" width="6.375" customWidth="1"/>
    <col min="129" max="129" width="14.875" bestFit="1" customWidth="1"/>
    <col min="130" max="130" width="6" customWidth="1"/>
    <col min="131" max="131" width="12.625" bestFit="1" customWidth="1"/>
  </cols>
  <sheetData>
    <row r="1" spans="2:131" ht="33.75">
      <c r="B1" s="5" t="s">
        <v>0</v>
      </c>
      <c r="D1" s="5"/>
      <c r="G1" s="15" t="s">
        <v>34</v>
      </c>
      <c r="I1" s="15" t="s">
        <v>34</v>
      </c>
      <c r="J1" s="15" t="s">
        <v>34</v>
      </c>
      <c r="K1" s="15" t="s">
        <v>34</v>
      </c>
    </row>
    <row r="2" spans="2:131">
      <c r="I2" s="23" t="s">
        <v>27</v>
      </c>
      <c r="J2" s="23"/>
      <c r="K2" s="23"/>
      <c r="L2" s="23"/>
      <c r="N2" s="23" t="s">
        <v>129</v>
      </c>
      <c r="O2" s="23"/>
      <c r="P2" s="23"/>
      <c r="Q2" s="23"/>
      <c r="R2" s="23"/>
      <c r="S2" s="23"/>
      <c r="U2" s="23" t="s">
        <v>130</v>
      </c>
      <c r="V2" s="23"/>
      <c r="W2" s="23"/>
      <c r="X2" s="23"/>
      <c r="Y2" s="23"/>
      <c r="Z2" s="23"/>
      <c r="AB2" s="23" t="s">
        <v>131</v>
      </c>
      <c r="AC2" s="23"/>
      <c r="AD2" s="23"/>
      <c r="AE2" s="23"/>
      <c r="AF2" s="23"/>
      <c r="AG2" s="23"/>
      <c r="AI2" s="23" t="s">
        <v>132</v>
      </c>
      <c r="AJ2" s="23"/>
      <c r="AK2" s="23"/>
      <c r="AL2" s="23"/>
      <c r="AM2" s="23"/>
      <c r="AN2" s="23"/>
      <c r="AP2" s="23" t="s">
        <v>133</v>
      </c>
      <c r="AQ2" s="23"/>
      <c r="AR2" s="23"/>
      <c r="AS2" s="23"/>
      <c r="AT2" s="23"/>
      <c r="AU2" s="23"/>
      <c r="AW2" s="23" t="s">
        <v>134</v>
      </c>
      <c r="AX2" s="23"/>
      <c r="AY2" s="23"/>
      <c r="AZ2" s="23"/>
      <c r="BA2" s="23"/>
      <c r="BB2" s="23"/>
      <c r="BD2" s="23" t="s">
        <v>135</v>
      </c>
      <c r="BE2" s="23"/>
      <c r="BF2" s="23"/>
      <c r="BG2" s="23"/>
      <c r="BH2" s="23"/>
      <c r="BI2" s="23"/>
      <c r="BK2" s="23" t="s">
        <v>136</v>
      </c>
      <c r="BL2" s="23"/>
      <c r="BM2" s="23"/>
      <c r="BN2" s="23"/>
      <c r="BO2" s="23"/>
      <c r="BP2" s="23"/>
      <c r="BR2" s="23">
        <v>52</v>
      </c>
      <c r="BS2" s="23"/>
      <c r="BT2" s="23"/>
      <c r="BU2" s="23"/>
      <c r="BV2" s="23"/>
      <c r="BW2" s="23"/>
      <c r="BY2" s="23" t="s">
        <v>137</v>
      </c>
      <c r="BZ2" s="23"/>
      <c r="CA2" s="23"/>
      <c r="CB2" s="23"/>
      <c r="CC2" s="23"/>
      <c r="CD2" s="23"/>
      <c r="CF2" s="23" t="s">
        <v>138</v>
      </c>
      <c r="CG2" s="23"/>
      <c r="CH2" s="23"/>
      <c r="CI2" s="23"/>
      <c r="CJ2" s="23"/>
      <c r="CK2" s="23"/>
      <c r="CM2" s="23" t="s">
        <v>139</v>
      </c>
      <c r="CN2" s="23"/>
      <c r="CO2" s="23"/>
      <c r="CP2" s="23"/>
      <c r="CQ2" s="23"/>
      <c r="CR2" s="23"/>
      <c r="CT2" s="23" t="s">
        <v>140</v>
      </c>
      <c r="CU2" s="23"/>
      <c r="CV2" s="23"/>
      <c r="CW2" s="23"/>
      <c r="CX2" s="23"/>
      <c r="CY2" s="23"/>
      <c r="DA2" s="23" t="s">
        <v>88</v>
      </c>
      <c r="DB2" s="23"/>
      <c r="DC2" s="23"/>
      <c r="DD2" s="23"/>
      <c r="DE2" s="23"/>
      <c r="DF2" s="23"/>
      <c r="DH2" s="23" t="s">
        <v>88</v>
      </c>
      <c r="DI2" s="23"/>
      <c r="DJ2" s="23"/>
      <c r="DK2" s="23"/>
      <c r="DL2" s="23"/>
      <c r="DM2" s="23"/>
      <c r="DO2" s="23" t="s">
        <v>88</v>
      </c>
      <c r="DP2" s="23"/>
      <c r="DQ2" s="23"/>
      <c r="DR2" s="23"/>
      <c r="DS2" s="23"/>
      <c r="DT2" s="23"/>
      <c r="DV2" s="23" t="s">
        <v>88</v>
      </c>
      <c r="DW2" s="23"/>
      <c r="DX2" s="23"/>
      <c r="DY2" s="23"/>
      <c r="DZ2" s="23"/>
      <c r="EA2" s="23"/>
    </row>
    <row r="3" spans="2:131">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K3" s="6" t="s">
        <v>11</v>
      </c>
      <c r="BL3" s="6" t="s">
        <v>2</v>
      </c>
      <c r="BM3" s="6" t="s">
        <v>33</v>
      </c>
      <c r="BN3" s="6" t="s">
        <v>3</v>
      </c>
      <c r="BO3" s="6" t="s">
        <v>33</v>
      </c>
      <c r="BP3" s="6" t="s">
        <v>12</v>
      </c>
      <c r="BR3" s="6" t="s">
        <v>11</v>
      </c>
      <c r="BS3" s="6" t="s">
        <v>2</v>
      </c>
      <c r="BT3" s="6" t="s">
        <v>33</v>
      </c>
      <c r="BU3" s="6" t="s">
        <v>3</v>
      </c>
      <c r="BV3" s="6" t="s">
        <v>33</v>
      </c>
      <c r="BW3" s="6" t="s">
        <v>12</v>
      </c>
      <c r="BY3" s="6" t="s">
        <v>11</v>
      </c>
      <c r="BZ3" s="6" t="s">
        <v>2</v>
      </c>
      <c r="CA3" s="6" t="s">
        <v>33</v>
      </c>
      <c r="CB3" s="6" t="s">
        <v>3</v>
      </c>
      <c r="CC3" s="6" t="s">
        <v>33</v>
      </c>
      <c r="CD3" s="6" t="s">
        <v>12</v>
      </c>
      <c r="CF3" s="6" t="s">
        <v>11</v>
      </c>
      <c r="CG3" s="6" t="s">
        <v>2</v>
      </c>
      <c r="CH3" s="6" t="s">
        <v>33</v>
      </c>
      <c r="CI3" s="6" t="s">
        <v>3</v>
      </c>
      <c r="CJ3" s="6" t="s">
        <v>33</v>
      </c>
      <c r="CK3" s="6" t="s">
        <v>12</v>
      </c>
      <c r="CM3" s="6" t="s">
        <v>11</v>
      </c>
      <c r="CN3" s="6" t="s">
        <v>2</v>
      </c>
      <c r="CO3" s="6" t="s">
        <v>33</v>
      </c>
      <c r="CP3" s="6" t="s">
        <v>3</v>
      </c>
      <c r="CQ3" s="6" t="s">
        <v>33</v>
      </c>
      <c r="CR3" s="6" t="s">
        <v>12</v>
      </c>
      <c r="CT3" s="6" t="s">
        <v>11</v>
      </c>
      <c r="CU3" s="6" t="s">
        <v>2</v>
      </c>
      <c r="CV3" s="6" t="s">
        <v>33</v>
      </c>
      <c r="CW3" s="6" t="s">
        <v>3</v>
      </c>
      <c r="CX3" s="6" t="s">
        <v>33</v>
      </c>
      <c r="CY3" s="6" t="s">
        <v>12</v>
      </c>
      <c r="DA3" s="6" t="s">
        <v>11</v>
      </c>
      <c r="DB3" s="6" t="s">
        <v>2</v>
      </c>
      <c r="DC3" s="6" t="s">
        <v>33</v>
      </c>
      <c r="DD3" s="6" t="s">
        <v>3</v>
      </c>
      <c r="DE3" s="6" t="s">
        <v>33</v>
      </c>
      <c r="DF3" s="6" t="s">
        <v>12</v>
      </c>
      <c r="DH3" s="6" t="s">
        <v>11</v>
      </c>
      <c r="DI3" s="6" t="s">
        <v>2</v>
      </c>
      <c r="DJ3" s="6" t="s">
        <v>33</v>
      </c>
      <c r="DK3" s="6" t="s">
        <v>3</v>
      </c>
      <c r="DL3" s="6" t="s">
        <v>33</v>
      </c>
      <c r="DM3" s="6" t="s">
        <v>12</v>
      </c>
      <c r="DO3" s="6" t="s">
        <v>11</v>
      </c>
      <c r="DP3" s="6" t="s">
        <v>2</v>
      </c>
      <c r="DQ3" s="6" t="s">
        <v>33</v>
      </c>
      <c r="DR3" s="6" t="s">
        <v>3</v>
      </c>
      <c r="DS3" s="6" t="s">
        <v>33</v>
      </c>
      <c r="DT3" s="6" t="s">
        <v>12</v>
      </c>
      <c r="DV3" s="6" t="s">
        <v>11</v>
      </c>
      <c r="DW3" s="6" t="s">
        <v>2</v>
      </c>
      <c r="DX3" s="6" t="s">
        <v>33</v>
      </c>
      <c r="DY3" s="6" t="s">
        <v>3</v>
      </c>
      <c r="DZ3" s="6" t="s">
        <v>33</v>
      </c>
      <c r="EA3" s="6" t="s">
        <v>12</v>
      </c>
    </row>
    <row r="4" spans="2:131">
      <c r="B4" t="s">
        <v>27</v>
      </c>
      <c r="C4" t="s">
        <v>89</v>
      </c>
      <c r="D4" s="22">
        <v>44964</v>
      </c>
      <c r="E4" s="11">
        <v>6</v>
      </c>
      <c r="G4" s="12">
        <f>+SUM(G5:G16)</f>
        <v>0.7</v>
      </c>
      <c r="I4" s="14">
        <f>+SUM(I5:I16)</f>
        <v>0</v>
      </c>
      <c r="J4" s="13">
        <f>+SUMPRODUCT(G5:G16,J5:J16)</f>
        <v>0</v>
      </c>
      <c r="K4" s="13">
        <f>+SUMPRODUCT(G5:G16,K5:K16)</f>
        <v>0</v>
      </c>
      <c r="L4" s="11"/>
      <c r="N4" s="14">
        <f>+SUM(N5:N16)</f>
        <v>0</v>
      </c>
      <c r="U4" s="14">
        <f>+SUM(U5:U16)</f>
        <v>0</v>
      </c>
      <c r="AB4" s="14">
        <f>+SUM(AB5:AB16)</f>
        <v>0</v>
      </c>
      <c r="AI4" s="14">
        <f>+SUM(AI5:AI16)</f>
        <v>0</v>
      </c>
      <c r="AP4" s="14">
        <f>+SUM(AP5:AP16)</f>
        <v>0</v>
      </c>
      <c r="AW4" s="14">
        <f>+SUM(AW5:AW16)</f>
        <v>0</v>
      </c>
      <c r="BD4" s="14">
        <f>+SUM(BD5:BD16)</f>
        <v>0</v>
      </c>
      <c r="BK4" s="14">
        <f>+SUM(BK5:BK16)</f>
        <v>0</v>
      </c>
      <c r="BR4" s="14">
        <f>+SUM(BR5:BR16)</f>
        <v>0</v>
      </c>
      <c r="BY4" s="14">
        <f>+SUM(BY5:BY16)</f>
        <v>0</v>
      </c>
      <c r="CF4" s="14">
        <f>+SUM(CF5:CF16)</f>
        <v>0</v>
      </c>
      <c r="CM4" s="14">
        <f>+SUM(CM5:CM16)</f>
        <v>0</v>
      </c>
      <c r="CT4" s="14">
        <f>+SUM(CT5:CT16)</f>
        <v>0</v>
      </c>
      <c r="DA4" s="14">
        <f>+SUM(DA5:DA16)</f>
        <v>0</v>
      </c>
      <c r="DH4" s="14">
        <f>+SUM(DH5:DH16)</f>
        <v>0</v>
      </c>
      <c r="DO4" s="14">
        <f>+SUM(DO5:DO16)</f>
        <v>0</v>
      </c>
      <c r="DV4" s="14">
        <f>+SUM(DV5:DV16)</f>
        <v>0</v>
      </c>
    </row>
    <row r="5" spans="2:131" hidden="1" outlineLevel="1">
      <c r="B5" t="s">
        <v>28</v>
      </c>
      <c r="C5" t="s">
        <v>89</v>
      </c>
      <c r="E5" s="11"/>
      <c r="F5" t="s">
        <v>96</v>
      </c>
      <c r="G5" s="12">
        <v>0.1</v>
      </c>
      <c r="I5" s="11">
        <f>+SUMIF($N$3:$ZZ$3,I$3,$N5:$ZZ5)</f>
        <v>0</v>
      </c>
      <c r="J5" s="13">
        <f t="array" ref="J5">MAX(IF($N$3:$EH$3=$J$3,N5:EH5))</f>
        <v>0</v>
      </c>
      <c r="K5" s="13">
        <f t="array" ref="K5">MAX(IF($N$3:$EH$3=$J$3,N5:EH5))</f>
        <v>0</v>
      </c>
      <c r="L5" s="11"/>
      <c r="O5" s="12"/>
      <c r="P5" s="12">
        <v>0.8</v>
      </c>
      <c r="Q5" s="12"/>
      <c r="R5" s="12">
        <v>0.8</v>
      </c>
      <c r="V5" s="12"/>
      <c r="W5" s="12"/>
      <c r="X5" s="12"/>
      <c r="Y5" s="12"/>
      <c r="AC5" s="12"/>
      <c r="AD5" s="12"/>
      <c r="AE5" s="12"/>
      <c r="AF5" s="12"/>
      <c r="AJ5" s="12"/>
      <c r="AK5" s="12"/>
      <c r="AL5" s="12"/>
      <c r="AM5" s="12"/>
      <c r="AQ5" s="12"/>
      <c r="AR5" s="12">
        <v>1</v>
      </c>
      <c r="AS5" s="12"/>
      <c r="AT5" s="12">
        <v>1</v>
      </c>
      <c r="AX5" s="12"/>
      <c r="AY5" s="12"/>
      <c r="AZ5" s="12"/>
      <c r="BA5" s="12"/>
      <c r="BE5" s="12"/>
      <c r="BF5" s="12"/>
      <c r="BG5" s="12"/>
      <c r="BH5" s="12"/>
      <c r="BL5" s="12"/>
      <c r="BM5" s="12"/>
      <c r="BN5" s="12"/>
      <c r="BO5" s="12"/>
      <c r="BS5" s="12"/>
      <c r="BT5" s="12">
        <v>1</v>
      </c>
      <c r="BU5" s="12"/>
      <c r="BV5" s="12">
        <v>1</v>
      </c>
      <c r="BZ5" s="12"/>
      <c r="CA5" s="12">
        <v>1</v>
      </c>
      <c r="CB5" s="12"/>
      <c r="CC5" s="12">
        <v>1</v>
      </c>
      <c r="CG5" s="12"/>
      <c r="CH5" s="12">
        <v>1</v>
      </c>
      <c r="CI5" s="12"/>
      <c r="CJ5" s="12">
        <v>1</v>
      </c>
      <c r="CN5" s="12"/>
      <c r="CO5" s="12"/>
      <c r="CP5" s="12"/>
      <c r="CQ5" s="12"/>
      <c r="CU5" s="12"/>
      <c r="CV5" s="12"/>
      <c r="CW5" s="12"/>
      <c r="CX5" s="12"/>
      <c r="DB5" s="12"/>
      <c r="DC5" s="12"/>
      <c r="DD5" s="12"/>
      <c r="DE5" s="12"/>
      <c r="DI5" s="12"/>
      <c r="DJ5" s="12"/>
      <c r="DK5" s="12"/>
      <c r="DL5" s="12"/>
      <c r="DP5" s="12"/>
      <c r="DQ5" s="12"/>
      <c r="DR5" s="12"/>
      <c r="DS5" s="12"/>
      <c r="DW5" s="12"/>
      <c r="DX5" s="12"/>
      <c r="DY5" s="12"/>
      <c r="DZ5" s="12"/>
    </row>
    <row r="6" spans="2:131" hidden="1" outlineLevel="1">
      <c r="B6" t="s">
        <v>28</v>
      </c>
      <c r="C6" t="s">
        <v>89</v>
      </c>
      <c r="E6" s="11"/>
      <c r="F6" t="s">
        <v>97</v>
      </c>
      <c r="G6" s="12">
        <v>0.05</v>
      </c>
      <c r="I6" s="11">
        <f t="shared" ref="I6:I16" si="0">+SUMIF($N$3:$ZZ$3,I$3,$N6:$ZZ6)</f>
        <v>0</v>
      </c>
      <c r="J6" s="13">
        <f t="array" ref="J6">MAX(IF($N$3:$EH$3=$J$3,N6:EH6))</f>
        <v>0</v>
      </c>
      <c r="K6" s="13">
        <f t="array" ref="K6">MAX(IF($N$3:$EH$3=$J$3,N6:EH6))</f>
        <v>0</v>
      </c>
      <c r="L6" s="11"/>
      <c r="O6" s="12"/>
      <c r="P6" s="12">
        <v>0.5</v>
      </c>
      <c r="Q6" s="12"/>
      <c r="R6" s="12">
        <v>0.5</v>
      </c>
      <c r="V6" s="12"/>
      <c r="W6" s="12"/>
      <c r="X6" s="12"/>
      <c r="Y6" s="12"/>
      <c r="AC6" s="12"/>
      <c r="AD6" s="12"/>
      <c r="AE6" s="12"/>
      <c r="AF6" s="12"/>
      <c r="AJ6" s="12"/>
      <c r="AK6" s="12"/>
      <c r="AL6" s="12"/>
      <c r="AM6" s="12"/>
      <c r="AQ6" s="12"/>
      <c r="AR6" s="12">
        <v>1</v>
      </c>
      <c r="AS6" s="12"/>
      <c r="AT6" s="12">
        <v>1</v>
      </c>
      <c r="AX6" s="12"/>
      <c r="AY6" s="12"/>
      <c r="AZ6" s="12"/>
      <c r="BA6" s="12"/>
      <c r="BE6" s="12"/>
      <c r="BF6" s="12"/>
      <c r="BG6" s="12"/>
      <c r="BH6" s="12"/>
      <c r="BL6" s="12"/>
      <c r="BM6" s="12"/>
      <c r="BN6" s="12"/>
      <c r="BO6" s="12"/>
      <c r="BS6" s="12"/>
      <c r="BT6" s="12">
        <v>0.8</v>
      </c>
      <c r="BU6" s="12"/>
      <c r="BV6" s="12">
        <v>0.8</v>
      </c>
      <c r="BZ6" s="12"/>
      <c r="CA6" s="12">
        <v>1</v>
      </c>
      <c r="CB6" s="12"/>
      <c r="CC6" s="12">
        <v>1</v>
      </c>
      <c r="CG6" s="12"/>
      <c r="CH6" s="12">
        <v>1</v>
      </c>
      <c r="CI6" s="12"/>
      <c r="CJ6" s="12">
        <v>1</v>
      </c>
      <c r="CN6" s="12"/>
      <c r="CO6" s="12"/>
      <c r="CP6" s="12"/>
      <c r="CQ6" s="12"/>
      <c r="CU6" s="12"/>
      <c r="CV6" s="12"/>
      <c r="CW6" s="12"/>
      <c r="CX6" s="12"/>
      <c r="DB6" s="12"/>
      <c r="DC6" s="12"/>
      <c r="DD6" s="12"/>
      <c r="DE6" s="12"/>
      <c r="DI6" s="12"/>
      <c r="DJ6" s="12"/>
      <c r="DK6" s="12"/>
      <c r="DL6" s="12"/>
      <c r="DP6" s="12"/>
      <c r="DQ6" s="12"/>
      <c r="DR6" s="12"/>
      <c r="DS6" s="12"/>
      <c r="DW6" s="12"/>
      <c r="DX6" s="12"/>
      <c r="DY6" s="12"/>
      <c r="DZ6" s="12"/>
    </row>
    <row r="7" spans="2:131" hidden="1" outlineLevel="1">
      <c r="B7" t="s">
        <v>28</v>
      </c>
      <c r="C7" t="s">
        <v>89</v>
      </c>
      <c r="E7" s="11"/>
      <c r="F7" t="s">
        <v>98</v>
      </c>
      <c r="G7" s="12">
        <v>0.05</v>
      </c>
      <c r="I7" s="11">
        <f t="shared" si="0"/>
        <v>0</v>
      </c>
      <c r="J7" s="13">
        <f t="array" ref="J7">MAX(IF($N$3:$EH$3=$J$3,N7:EH7))</f>
        <v>0</v>
      </c>
      <c r="K7" s="13">
        <f t="array" ref="K7">MAX(IF($N$3:$EH$3=$J$3,N7:EH7))</f>
        <v>0</v>
      </c>
      <c r="L7" s="11"/>
      <c r="O7" s="12"/>
      <c r="P7" s="12">
        <v>0.3</v>
      </c>
      <c r="Q7" s="12"/>
      <c r="R7" s="12">
        <v>0.3</v>
      </c>
      <c r="V7" s="12"/>
      <c r="W7" s="12"/>
      <c r="X7" s="12"/>
      <c r="Y7" s="12"/>
      <c r="AC7" s="12"/>
      <c r="AD7" s="12"/>
      <c r="AE7" s="12"/>
      <c r="AF7" s="12"/>
      <c r="AJ7" s="12"/>
      <c r="AK7" s="12"/>
      <c r="AL7" s="12"/>
      <c r="AM7" s="12"/>
      <c r="AQ7" s="12"/>
      <c r="AR7" s="12">
        <v>1</v>
      </c>
      <c r="AS7" s="12"/>
      <c r="AT7" s="12">
        <v>1</v>
      </c>
      <c r="AX7" s="12"/>
      <c r="AY7" s="12"/>
      <c r="AZ7" s="12"/>
      <c r="BA7" s="12"/>
      <c r="BE7" s="12"/>
      <c r="BF7" s="12"/>
      <c r="BG7" s="12"/>
      <c r="BH7" s="12"/>
      <c r="BL7" s="12"/>
      <c r="BM7" s="12"/>
      <c r="BN7" s="12"/>
      <c r="BO7" s="12"/>
      <c r="BS7" s="12"/>
      <c r="BT7" s="12">
        <v>0.8</v>
      </c>
      <c r="BU7" s="12"/>
      <c r="BV7" s="12">
        <v>0.8</v>
      </c>
      <c r="BZ7" s="12"/>
      <c r="CA7" s="12">
        <v>1</v>
      </c>
      <c r="CB7" s="12"/>
      <c r="CC7" s="12">
        <v>1</v>
      </c>
      <c r="CG7" s="12"/>
      <c r="CH7" s="12">
        <v>1</v>
      </c>
      <c r="CI7" s="12"/>
      <c r="CJ7" s="12">
        <v>1</v>
      </c>
      <c r="CN7" s="12"/>
      <c r="CO7" s="12"/>
      <c r="CP7" s="12"/>
      <c r="CQ7" s="12"/>
      <c r="CU7" s="12"/>
      <c r="CV7" s="12"/>
      <c r="CW7" s="12"/>
      <c r="CX7" s="12"/>
      <c r="DB7" s="12"/>
      <c r="DC7" s="12"/>
      <c r="DD7" s="12"/>
      <c r="DE7" s="12"/>
      <c r="DI7" s="12"/>
      <c r="DJ7" s="12"/>
      <c r="DK7" s="12"/>
      <c r="DL7" s="12"/>
      <c r="DP7" s="12"/>
      <c r="DQ7" s="12"/>
      <c r="DR7" s="12"/>
      <c r="DS7" s="12"/>
      <c r="DW7" s="12"/>
      <c r="DX7" s="12"/>
      <c r="DY7" s="12"/>
      <c r="DZ7" s="12"/>
    </row>
    <row r="8" spans="2:131" hidden="1" outlineLevel="1">
      <c r="B8" t="s">
        <v>28</v>
      </c>
      <c r="C8" t="s">
        <v>89</v>
      </c>
      <c r="E8" s="11"/>
      <c r="F8" t="s">
        <v>99</v>
      </c>
      <c r="G8" s="12">
        <v>0.05</v>
      </c>
      <c r="I8" s="11">
        <f t="shared" si="0"/>
        <v>0</v>
      </c>
      <c r="J8" s="13">
        <f t="array" ref="J8">MAX(IF($N$3:$EH$3=$J$3,N8:EH8))</f>
        <v>0</v>
      </c>
      <c r="K8" s="13">
        <f t="array" ref="K8">MAX(IF($N$3:$EH$3=$J$3,N8:EH8))</f>
        <v>0</v>
      </c>
      <c r="L8" s="11"/>
      <c r="O8" s="12"/>
      <c r="P8" s="12">
        <v>0.3</v>
      </c>
      <c r="Q8" s="12"/>
      <c r="R8" s="12">
        <v>0.3</v>
      </c>
      <c r="V8" s="12"/>
      <c r="W8" s="12"/>
      <c r="X8" s="12"/>
      <c r="Y8" s="12"/>
      <c r="AC8" s="12"/>
      <c r="AD8" s="12"/>
      <c r="AE8" s="12"/>
      <c r="AF8" s="12"/>
      <c r="AJ8" s="12"/>
      <c r="AK8" s="12"/>
      <c r="AL8" s="12"/>
      <c r="AM8" s="12"/>
      <c r="AQ8" s="12"/>
      <c r="AR8" s="12">
        <v>1</v>
      </c>
      <c r="AS8" s="12"/>
      <c r="AT8" s="12">
        <v>1</v>
      </c>
      <c r="AX8" s="12"/>
      <c r="AY8" s="12"/>
      <c r="AZ8" s="12"/>
      <c r="BA8" s="12"/>
      <c r="BE8" s="12"/>
      <c r="BF8" s="12"/>
      <c r="BG8" s="12"/>
      <c r="BH8" s="12"/>
      <c r="BL8" s="12"/>
      <c r="BM8" s="12"/>
      <c r="BN8" s="12"/>
      <c r="BO8" s="12"/>
      <c r="BS8" s="12"/>
      <c r="BT8" s="12">
        <v>0.8</v>
      </c>
      <c r="BU8" s="12"/>
      <c r="BV8" s="12">
        <v>0.8</v>
      </c>
      <c r="BZ8" s="12"/>
      <c r="CA8" s="12">
        <v>1</v>
      </c>
      <c r="CB8" s="12"/>
      <c r="CC8" s="12">
        <v>1</v>
      </c>
      <c r="CG8" s="12"/>
      <c r="CH8" s="12">
        <v>1</v>
      </c>
      <c r="CI8" s="12"/>
      <c r="CJ8" s="12">
        <v>1</v>
      </c>
      <c r="CN8" s="12"/>
      <c r="CO8" s="12"/>
      <c r="CP8" s="12"/>
      <c r="CQ8" s="12"/>
      <c r="CU8" s="12"/>
      <c r="CV8" s="12"/>
      <c r="CW8" s="12"/>
      <c r="CX8" s="12"/>
      <c r="DB8" s="12"/>
      <c r="DC8" s="12"/>
      <c r="DD8" s="12"/>
      <c r="DE8" s="12"/>
      <c r="DI8" s="12"/>
      <c r="DJ8" s="12"/>
      <c r="DK8" s="12"/>
      <c r="DL8" s="12"/>
      <c r="DP8" s="12"/>
      <c r="DQ8" s="12"/>
      <c r="DR8" s="12"/>
      <c r="DS8" s="12"/>
      <c r="DW8" s="12"/>
      <c r="DX8" s="12"/>
      <c r="DY8" s="12"/>
      <c r="DZ8" s="12"/>
    </row>
    <row r="9" spans="2:131" hidden="1" outlineLevel="1">
      <c r="B9" t="s">
        <v>28</v>
      </c>
      <c r="C9" t="s">
        <v>89</v>
      </c>
      <c r="E9" s="11"/>
      <c r="F9" t="s">
        <v>100</v>
      </c>
      <c r="G9" s="12">
        <v>0.05</v>
      </c>
      <c r="I9" s="11">
        <f t="shared" si="0"/>
        <v>0</v>
      </c>
      <c r="J9" s="13">
        <f t="array" ref="J9">MAX(IF($N$3:$EH$3=$J$3,N9:EH9))</f>
        <v>0</v>
      </c>
      <c r="K9" s="13">
        <f t="array" ref="K9">MAX(IF($N$3:$EH$3=$J$3,N9:EH9))</f>
        <v>0</v>
      </c>
      <c r="L9" s="11"/>
      <c r="O9" s="12"/>
      <c r="P9" s="12"/>
      <c r="Q9" s="12"/>
      <c r="R9" s="12"/>
      <c r="V9" s="12"/>
      <c r="W9" s="12"/>
      <c r="X9" s="12"/>
      <c r="Y9" s="12"/>
      <c r="AC9" s="12"/>
      <c r="AD9" s="12"/>
      <c r="AE9" s="12"/>
      <c r="AF9" s="12"/>
      <c r="AJ9" s="12"/>
      <c r="AK9" s="12"/>
      <c r="AL9" s="12"/>
      <c r="AM9" s="12"/>
      <c r="AQ9" s="12"/>
      <c r="AR9" s="12">
        <v>1</v>
      </c>
      <c r="AS9" s="12"/>
      <c r="AT9" s="12">
        <v>1</v>
      </c>
      <c r="AX9" s="12"/>
      <c r="AY9" s="12"/>
      <c r="AZ9" s="12"/>
      <c r="BA9" s="12"/>
      <c r="BE9" s="12"/>
      <c r="BF9" s="12"/>
      <c r="BG9" s="12"/>
      <c r="BH9" s="12"/>
      <c r="BL9" s="12"/>
      <c r="BM9" s="12"/>
      <c r="BN9" s="12"/>
      <c r="BO9" s="12"/>
      <c r="BS9" s="12"/>
      <c r="BT9" s="12">
        <v>0.8</v>
      </c>
      <c r="BU9" s="12"/>
      <c r="BV9" s="12">
        <v>0.8</v>
      </c>
      <c r="BZ9" s="12"/>
      <c r="CA9" s="12">
        <v>0.8</v>
      </c>
      <c r="CB9" s="12"/>
      <c r="CC9" s="12">
        <v>0.8</v>
      </c>
      <c r="CG9" s="12"/>
      <c r="CH9" s="12">
        <v>1</v>
      </c>
      <c r="CI9" s="12"/>
      <c r="CJ9" s="12">
        <v>1</v>
      </c>
      <c r="CN9" s="12"/>
      <c r="CO9" s="12"/>
      <c r="CP9" s="12"/>
      <c r="CQ9" s="12"/>
      <c r="CU9" s="12"/>
      <c r="CV9" s="12"/>
      <c r="CW9" s="12"/>
      <c r="CX9" s="12"/>
      <c r="DB9" s="12"/>
      <c r="DC9" s="12"/>
      <c r="DD9" s="12"/>
      <c r="DE9" s="12"/>
      <c r="DI9" s="12"/>
      <c r="DJ9" s="12"/>
      <c r="DK9" s="12"/>
      <c r="DL9" s="12"/>
      <c r="DP9" s="12"/>
      <c r="DQ9" s="12"/>
      <c r="DR9" s="12"/>
      <c r="DS9" s="12"/>
      <c r="DW9" s="12"/>
      <c r="DX9" s="12"/>
      <c r="DY9" s="12"/>
      <c r="DZ9" s="12"/>
    </row>
    <row r="10" spans="2:131" hidden="1" outlineLevel="1">
      <c r="B10" t="s">
        <v>28</v>
      </c>
      <c r="C10" t="s">
        <v>89</v>
      </c>
      <c r="E10" s="11"/>
      <c r="F10" t="s">
        <v>101</v>
      </c>
      <c r="G10" s="12">
        <v>0.05</v>
      </c>
      <c r="I10" s="11">
        <f t="shared" si="0"/>
        <v>0</v>
      </c>
      <c r="J10" s="13">
        <f t="array" ref="J10">MAX(IF($N$3:$EH$3=$J$3,N10:EH10))</f>
        <v>0</v>
      </c>
      <c r="K10" s="13">
        <f t="array" ref="K10">MAX(IF($N$3:$EH$3=$J$3,N10:EH10))</f>
        <v>0</v>
      </c>
      <c r="L10" s="11"/>
      <c r="O10" s="12"/>
      <c r="P10" s="12"/>
      <c r="Q10" s="12"/>
      <c r="R10" s="12"/>
      <c r="V10" s="12"/>
      <c r="W10" s="12"/>
      <c r="X10" s="12"/>
      <c r="Y10" s="12"/>
      <c r="AC10" s="12"/>
      <c r="AD10" s="12"/>
      <c r="AE10" s="12"/>
      <c r="AF10" s="12"/>
      <c r="AJ10" s="12"/>
      <c r="AK10" s="12"/>
      <c r="AL10" s="12"/>
      <c r="AM10" s="12"/>
      <c r="AQ10" s="12"/>
      <c r="AR10" s="12">
        <v>1</v>
      </c>
      <c r="AS10" s="12"/>
      <c r="AT10" s="12">
        <v>1</v>
      </c>
      <c r="AX10" s="12"/>
      <c r="AY10" s="12"/>
      <c r="AZ10" s="12"/>
      <c r="BA10" s="12"/>
      <c r="BE10" s="12"/>
      <c r="BF10" s="12"/>
      <c r="BG10" s="12"/>
      <c r="BH10" s="12"/>
      <c r="BL10" s="12"/>
      <c r="BM10" s="12"/>
      <c r="BN10" s="12"/>
      <c r="BO10" s="12"/>
      <c r="BS10" s="12"/>
      <c r="BT10" s="12">
        <v>0.8</v>
      </c>
      <c r="BU10" s="12"/>
      <c r="BV10" s="12">
        <v>0.8</v>
      </c>
      <c r="BZ10" s="12"/>
      <c r="CA10" s="12">
        <v>0.8</v>
      </c>
      <c r="CB10" s="12"/>
      <c r="CC10" s="12">
        <v>0.8</v>
      </c>
      <c r="CG10" s="12"/>
      <c r="CH10" s="12">
        <v>1</v>
      </c>
      <c r="CI10" s="12"/>
      <c r="CJ10" s="12">
        <v>1</v>
      </c>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row>
    <row r="11" spans="2:131" hidden="1" outlineLevel="1">
      <c r="B11" t="s">
        <v>28</v>
      </c>
      <c r="C11" t="s">
        <v>89</v>
      </c>
      <c r="E11" s="11"/>
      <c r="F11" t="s">
        <v>102</v>
      </c>
      <c r="G11" s="12">
        <v>0.05</v>
      </c>
      <c r="I11" s="11">
        <f t="shared" si="0"/>
        <v>0</v>
      </c>
      <c r="J11" s="13">
        <f t="array" ref="J11">MAX(IF($N$3:$EH$3=$J$3,N11:EH11))</f>
        <v>0</v>
      </c>
      <c r="K11" s="13">
        <f t="array" ref="K11">MAX(IF($N$3:$EH$3=$J$3,N11:EH11))</f>
        <v>0</v>
      </c>
      <c r="L11" s="11"/>
      <c r="O11" s="12"/>
      <c r="P11" s="12"/>
      <c r="Q11" s="12"/>
      <c r="R11" s="12"/>
      <c r="V11" s="12"/>
      <c r="W11" s="12"/>
      <c r="X11" s="12"/>
      <c r="Y11" s="12"/>
      <c r="AC11" s="12"/>
      <c r="AD11" s="12"/>
      <c r="AE11" s="12"/>
      <c r="AF11" s="12"/>
      <c r="AJ11" s="12"/>
      <c r="AK11" s="12"/>
      <c r="AL11" s="12"/>
      <c r="AM11" s="12"/>
      <c r="AQ11" s="12"/>
      <c r="AR11" s="12">
        <v>1</v>
      </c>
      <c r="AS11" s="12"/>
      <c r="AT11" s="12">
        <v>1</v>
      </c>
      <c r="AX11" s="12"/>
      <c r="AY11" s="12"/>
      <c r="AZ11" s="12"/>
      <c r="BA11" s="12"/>
      <c r="BE11" s="12"/>
      <c r="BF11" s="12"/>
      <c r="BG11" s="12"/>
      <c r="BH11" s="12"/>
      <c r="BL11" s="12"/>
      <c r="BM11" s="12"/>
      <c r="BN11" s="12"/>
      <c r="BO11" s="12"/>
      <c r="BS11" s="12"/>
      <c r="BT11" s="12">
        <v>0.8</v>
      </c>
      <c r="BU11" s="12"/>
      <c r="BV11" s="12">
        <v>0.8</v>
      </c>
      <c r="BZ11" s="12"/>
      <c r="CA11" s="12">
        <v>0.8</v>
      </c>
      <c r="CB11" s="12"/>
      <c r="CC11" s="12">
        <v>0.8</v>
      </c>
      <c r="CG11" s="12"/>
      <c r="CH11" s="12">
        <v>1</v>
      </c>
      <c r="CI11" s="12"/>
      <c r="CJ11" s="12">
        <v>1</v>
      </c>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row>
    <row r="12" spans="2:131" hidden="1" outlineLevel="1">
      <c r="B12" t="s">
        <v>28</v>
      </c>
      <c r="C12" t="s">
        <v>89</v>
      </c>
      <c r="E12" s="11"/>
      <c r="F12" t="s">
        <v>105</v>
      </c>
      <c r="G12" s="12">
        <v>0.05</v>
      </c>
      <c r="I12" s="11">
        <f t="shared" si="0"/>
        <v>0</v>
      </c>
      <c r="J12" s="13">
        <f t="array" ref="J12">MAX(IF($N$3:$EH$3=$J$3,N12:EH12))</f>
        <v>0</v>
      </c>
      <c r="K12" s="13">
        <f t="array" ref="K12">MAX(IF($N$3:$EH$3=$J$3,N12:EH12))</f>
        <v>0</v>
      </c>
      <c r="L12" s="11"/>
      <c r="O12" s="12"/>
      <c r="P12" s="12"/>
      <c r="Q12" s="12"/>
      <c r="R12" s="12"/>
      <c r="V12" s="12"/>
      <c r="W12" s="12"/>
      <c r="X12" s="12"/>
      <c r="Y12" s="12"/>
      <c r="AC12" s="12"/>
      <c r="AD12" s="12"/>
      <c r="AE12" s="12"/>
      <c r="AF12" s="12"/>
      <c r="AJ12" s="12"/>
      <c r="AK12" s="12"/>
      <c r="AL12" s="12"/>
      <c r="AM12" s="12"/>
      <c r="AQ12" s="12"/>
      <c r="AR12" s="12">
        <v>1</v>
      </c>
      <c r="AS12" s="12"/>
      <c r="AT12" s="12">
        <v>1</v>
      </c>
      <c r="AX12" s="12"/>
      <c r="AY12" s="12"/>
      <c r="AZ12" s="12"/>
      <c r="BA12" s="12"/>
      <c r="BE12" s="12"/>
      <c r="BF12" s="12"/>
      <c r="BG12" s="12"/>
      <c r="BH12" s="12"/>
      <c r="BL12" s="12"/>
      <c r="BM12" s="12"/>
      <c r="BN12" s="12"/>
      <c r="BO12" s="12"/>
      <c r="BS12" s="12"/>
      <c r="BT12" s="12">
        <v>0.8</v>
      </c>
      <c r="BU12" s="12"/>
      <c r="BV12" s="12">
        <v>0.8</v>
      </c>
      <c r="BZ12" s="12"/>
      <c r="CA12" s="12">
        <v>0.8</v>
      </c>
      <c r="CB12" s="12"/>
      <c r="CC12" s="12">
        <v>0.8</v>
      </c>
      <c r="CG12" s="12"/>
      <c r="CH12" s="12">
        <v>1</v>
      </c>
      <c r="CI12" s="12"/>
      <c r="CJ12" s="12">
        <v>1</v>
      </c>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row>
    <row r="13" spans="2:131" hidden="1" outlineLevel="1">
      <c r="B13" t="s">
        <v>28</v>
      </c>
      <c r="C13" t="s">
        <v>89</v>
      </c>
      <c r="E13" s="11"/>
      <c r="F13" t="s">
        <v>103</v>
      </c>
      <c r="G13" s="12">
        <v>0.05</v>
      </c>
      <c r="I13" s="11">
        <f t="shared" si="0"/>
        <v>0</v>
      </c>
      <c r="J13" s="13">
        <f t="array" ref="J13">MAX(IF($N$3:$EH$3=$J$3,N13:EH13))</f>
        <v>0</v>
      </c>
      <c r="K13" s="13">
        <f t="array" ref="K13">MAX(IF($N$3:$EH$3=$J$3,N13:EH13))</f>
        <v>0</v>
      </c>
      <c r="L13" s="11"/>
      <c r="O13" s="12"/>
      <c r="P13" s="12"/>
      <c r="Q13" s="12"/>
      <c r="R13" s="12"/>
      <c r="V13" s="12"/>
      <c r="W13" s="12"/>
      <c r="X13" s="12"/>
      <c r="Y13" s="12"/>
      <c r="AC13" s="12"/>
      <c r="AD13" s="12"/>
      <c r="AE13" s="12"/>
      <c r="AF13" s="12"/>
      <c r="AJ13" s="12"/>
      <c r="AK13" s="12"/>
      <c r="AL13" s="12"/>
      <c r="AM13" s="12"/>
      <c r="AQ13" s="12"/>
      <c r="AR13" s="12">
        <v>1</v>
      </c>
      <c r="AS13" s="12"/>
      <c r="AT13" s="12">
        <v>1</v>
      </c>
      <c r="AX13" s="12"/>
      <c r="AY13" s="12"/>
      <c r="AZ13" s="12"/>
      <c r="BA13" s="12"/>
      <c r="BE13" s="12"/>
      <c r="BF13" s="12"/>
      <c r="BG13" s="12"/>
      <c r="BH13" s="12"/>
      <c r="BL13" s="12"/>
      <c r="BM13" s="12"/>
      <c r="BN13" s="12"/>
      <c r="BO13" s="12"/>
      <c r="BS13" s="12"/>
      <c r="BT13" s="12">
        <v>0.8</v>
      </c>
      <c r="BU13" s="12"/>
      <c r="BV13" s="12">
        <v>0.8</v>
      </c>
      <c r="BZ13" s="12"/>
      <c r="CA13" s="12">
        <v>0.8</v>
      </c>
      <c r="CB13" s="12"/>
      <c r="CC13" s="12">
        <v>0.8</v>
      </c>
      <c r="CG13" s="12"/>
      <c r="CH13" s="12">
        <v>1</v>
      </c>
      <c r="CI13" s="12"/>
      <c r="CJ13" s="12">
        <v>1</v>
      </c>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row>
    <row r="14" spans="2:131" hidden="1" outlineLevel="1">
      <c r="B14" t="s">
        <v>28</v>
      </c>
      <c r="C14" t="s">
        <v>89</v>
      </c>
      <c r="E14" s="11"/>
      <c r="F14" t="s">
        <v>104</v>
      </c>
      <c r="G14" s="12">
        <v>0.05</v>
      </c>
      <c r="I14" s="11">
        <f t="shared" si="0"/>
        <v>0</v>
      </c>
      <c r="J14" s="13">
        <f t="array" ref="J14">MAX(IF($N$3:$EH$3=$J$3,N14:EH14))</f>
        <v>0</v>
      </c>
      <c r="K14" s="13">
        <f t="array" ref="K14">MAX(IF($N$3:$EH$3=$J$3,N14:EH14))</f>
        <v>0</v>
      </c>
      <c r="L14" s="11"/>
      <c r="O14" s="12"/>
      <c r="P14" s="12"/>
      <c r="Q14" s="12"/>
      <c r="R14" s="12"/>
      <c r="V14" s="12"/>
      <c r="W14" s="12"/>
      <c r="X14" s="12"/>
      <c r="Y14" s="12"/>
      <c r="AC14" s="12"/>
      <c r="AD14" s="12"/>
      <c r="AE14" s="12"/>
      <c r="AF14" s="12"/>
      <c r="AJ14" s="12"/>
      <c r="AK14" s="12"/>
      <c r="AL14" s="12"/>
      <c r="AM14" s="12"/>
      <c r="AQ14" s="12"/>
      <c r="AR14" s="12">
        <v>1</v>
      </c>
      <c r="AS14" s="12"/>
      <c r="AT14" s="12">
        <v>1</v>
      </c>
      <c r="AX14" s="12"/>
      <c r="AY14" s="12"/>
      <c r="AZ14" s="12"/>
      <c r="BA14" s="12"/>
      <c r="BE14" s="12"/>
      <c r="BF14" s="12"/>
      <c r="BG14" s="12"/>
      <c r="BH14" s="12"/>
      <c r="BL14" s="12"/>
      <c r="BM14" s="12"/>
      <c r="BN14" s="12"/>
      <c r="BO14" s="12"/>
      <c r="BS14" s="12"/>
      <c r="BT14" s="12">
        <v>0.8</v>
      </c>
      <c r="BU14" s="12"/>
      <c r="BV14" s="12">
        <v>0.8</v>
      </c>
      <c r="BZ14" s="12"/>
      <c r="CA14" s="12">
        <v>0.8</v>
      </c>
      <c r="CB14" s="12"/>
      <c r="CC14" s="12">
        <v>0.8</v>
      </c>
      <c r="CG14" s="12"/>
      <c r="CH14" s="12">
        <v>1</v>
      </c>
      <c r="CI14" s="12"/>
      <c r="CJ14" s="12">
        <v>1</v>
      </c>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row>
    <row r="15" spans="2:131" hidden="1" outlineLevel="1">
      <c r="B15" t="s">
        <v>28</v>
      </c>
      <c r="C15" t="s">
        <v>89</v>
      </c>
      <c r="E15" s="11"/>
      <c r="F15" t="s">
        <v>106</v>
      </c>
      <c r="G15" s="12">
        <v>0.05</v>
      </c>
      <c r="I15" s="11">
        <f t="shared" si="0"/>
        <v>0</v>
      </c>
      <c r="J15" s="13">
        <f t="array" ref="J15">MAX(IF($N$3:$EH$3=$J$3,N15:EH15))</f>
        <v>0</v>
      </c>
      <c r="K15" s="13">
        <f t="array" ref="K15">MAX(IF($N$3:$EH$3=$J$3,N15:EH15))</f>
        <v>0</v>
      </c>
      <c r="L15" s="11"/>
      <c r="O15" s="12"/>
      <c r="P15" s="12"/>
      <c r="Q15" s="12"/>
      <c r="R15" s="12"/>
      <c r="V15" s="12"/>
      <c r="W15" s="12"/>
      <c r="X15" s="12"/>
      <c r="Y15" s="12"/>
      <c r="AC15" s="12"/>
      <c r="AD15" s="12"/>
      <c r="AE15" s="12"/>
      <c r="AF15" s="12"/>
      <c r="AJ15" s="12"/>
      <c r="AK15" s="12"/>
      <c r="AL15" s="12"/>
      <c r="AM15" s="12"/>
      <c r="AQ15" s="12"/>
      <c r="AR15" s="12">
        <v>1</v>
      </c>
      <c r="AS15" s="12"/>
      <c r="AT15" s="12">
        <v>1</v>
      </c>
      <c r="AX15" s="12"/>
      <c r="AY15" s="12"/>
      <c r="AZ15" s="12"/>
      <c r="BA15" s="12"/>
      <c r="BE15" s="12"/>
      <c r="BF15" s="12"/>
      <c r="BG15" s="12"/>
      <c r="BH15" s="12"/>
      <c r="BL15" s="12"/>
      <c r="BM15" s="12"/>
      <c r="BN15" s="12"/>
      <c r="BO15" s="12"/>
      <c r="BS15" s="12"/>
      <c r="BT15" s="12">
        <v>0.8</v>
      </c>
      <c r="BU15" s="12"/>
      <c r="BV15" s="12">
        <v>0.8</v>
      </c>
      <c r="BZ15" s="12"/>
      <c r="CA15" s="12">
        <v>0.8</v>
      </c>
      <c r="CB15" s="12"/>
      <c r="CC15" s="12">
        <v>0.8</v>
      </c>
      <c r="CG15" s="12"/>
      <c r="CH15" s="12">
        <v>1</v>
      </c>
      <c r="CI15" s="12"/>
      <c r="CJ15" s="12">
        <v>1</v>
      </c>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row>
    <row r="16" spans="2:131" hidden="1" outlineLevel="1">
      <c r="B16" t="s">
        <v>28</v>
      </c>
      <c r="C16" t="s">
        <v>89</v>
      </c>
      <c r="E16" s="11"/>
      <c r="F16" t="s">
        <v>107</v>
      </c>
      <c r="G16" s="12">
        <v>0.1</v>
      </c>
      <c r="I16" s="11">
        <f t="shared" si="0"/>
        <v>0</v>
      </c>
      <c r="J16" s="13">
        <f t="array" ref="J16">MAX(IF($N$3:$EH$3=$J$3,N16:EH16))</f>
        <v>0</v>
      </c>
      <c r="K16" s="13">
        <f t="array" ref="K16">MAX(IF($N$3:$EH$3=$J$3,N16:EH16))</f>
        <v>0</v>
      </c>
      <c r="L16" s="11"/>
      <c r="O16" s="12"/>
      <c r="P16" s="12"/>
      <c r="Q16" s="12"/>
      <c r="R16" s="12"/>
      <c r="V16" s="12"/>
      <c r="W16" s="12"/>
      <c r="X16" s="12"/>
      <c r="Y16" s="12"/>
      <c r="AC16" s="12"/>
      <c r="AD16" s="12"/>
      <c r="AE16" s="12"/>
      <c r="AF16" s="12"/>
      <c r="AJ16" s="12"/>
      <c r="AK16" s="12"/>
      <c r="AL16" s="12"/>
      <c r="AM16" s="12"/>
      <c r="AQ16" s="12"/>
      <c r="AR16" s="12">
        <v>1</v>
      </c>
      <c r="AS16" s="12"/>
      <c r="AT16" s="12">
        <v>1</v>
      </c>
      <c r="AX16" s="12"/>
      <c r="AY16" s="12"/>
      <c r="AZ16" s="12"/>
      <c r="BA16" s="12"/>
      <c r="BE16" s="12"/>
      <c r="BF16" s="12"/>
      <c r="BG16" s="12"/>
      <c r="BH16" s="12"/>
      <c r="BL16" s="12"/>
      <c r="BM16" s="12"/>
      <c r="BN16" s="12"/>
      <c r="BO16" s="12"/>
      <c r="BS16" s="12"/>
      <c r="BT16" s="12">
        <v>0.8</v>
      </c>
      <c r="BU16" s="12"/>
      <c r="BV16" s="12">
        <v>0.8</v>
      </c>
      <c r="BZ16" s="12"/>
      <c r="CA16" s="12">
        <v>0.8</v>
      </c>
      <c r="CB16" s="12"/>
      <c r="CC16" s="12">
        <v>0.8</v>
      </c>
      <c r="CG16" s="12"/>
      <c r="CH16" s="12">
        <v>1</v>
      </c>
      <c r="CI16" s="12"/>
      <c r="CJ16" s="12">
        <v>1</v>
      </c>
      <c r="CN16" s="12"/>
      <c r="CO16" s="12"/>
      <c r="CP16" s="12"/>
      <c r="CQ16" s="12"/>
      <c r="CU16" s="12"/>
      <c r="CV16" s="12"/>
      <c r="CW16" s="12"/>
      <c r="CX16" s="12"/>
      <c r="DB16" s="12"/>
      <c r="DC16" s="12"/>
      <c r="DD16" s="12"/>
      <c r="DE16" s="12"/>
      <c r="DI16" s="12"/>
      <c r="DJ16" s="12"/>
      <c r="DK16" s="12"/>
      <c r="DL16" s="12"/>
      <c r="DP16" s="12"/>
      <c r="DQ16" s="12"/>
      <c r="DR16" s="12"/>
      <c r="DS16" s="12"/>
      <c r="DW16" s="12"/>
      <c r="DX16" s="12"/>
      <c r="DY16" s="12"/>
      <c r="DZ16" s="12"/>
    </row>
    <row r="17" spans="2:130" collapsed="1">
      <c r="O17" s="9"/>
      <c r="V17" s="9"/>
      <c r="AC17" s="9"/>
      <c r="AJ17" s="9"/>
      <c r="AQ17" s="9"/>
      <c r="AX17" s="9"/>
      <c r="BE17" s="9"/>
      <c r="BL17" s="9"/>
      <c r="BS17" s="9"/>
      <c r="BZ17" s="9"/>
      <c r="CG17" s="9"/>
      <c r="CN17" s="9"/>
      <c r="CU17" s="9"/>
      <c r="DB17" s="9"/>
      <c r="DI17" s="9"/>
      <c r="DP17" s="9"/>
      <c r="DW17" s="9"/>
    </row>
    <row r="18" spans="2:130">
      <c r="B18" t="s">
        <v>27</v>
      </c>
      <c r="C18" t="s">
        <v>90</v>
      </c>
      <c r="D18" s="22">
        <v>44970</v>
      </c>
      <c r="E18" s="11">
        <v>6</v>
      </c>
      <c r="G18" s="12">
        <f>+SUM(G19:G28)</f>
        <v>1.8999999999999997</v>
      </c>
      <c r="I18" s="14">
        <f>+SUM(I19:I28)</f>
        <v>0</v>
      </c>
      <c r="J18" s="13">
        <f>+SUMPRODUCT(G19:G28,J19:J28)</f>
        <v>0</v>
      </c>
      <c r="K18" s="13">
        <f>+SUMPRODUCT(G19:G28,K19:K28)</f>
        <v>0</v>
      </c>
      <c r="L18" s="11"/>
      <c r="N18" s="14">
        <f>+SUM(N19:N28)</f>
        <v>0</v>
      </c>
      <c r="U18" s="14">
        <f>+SUM(U19:U28)</f>
        <v>0</v>
      </c>
      <c r="AB18" s="14">
        <f>+SUM(AB19:AB28)</f>
        <v>0</v>
      </c>
      <c r="AI18" s="14">
        <f>+SUM(AI19:AI28)</f>
        <v>0</v>
      </c>
      <c r="AP18" s="14">
        <f>+SUM(AP19:AP28)</f>
        <v>0</v>
      </c>
    </row>
    <row r="19" spans="2:130" hidden="1" outlineLevel="1">
      <c r="B19" t="s">
        <v>28</v>
      </c>
      <c r="C19" t="s">
        <v>90</v>
      </c>
      <c r="E19" s="11"/>
      <c r="F19" t="s">
        <v>108</v>
      </c>
      <c r="G19" s="12">
        <v>0.1</v>
      </c>
      <c r="I19" s="11">
        <f t="shared" ref="I19:I28" si="1">+SUMIF($N$3:$ZZ$3,I$3,$N19:$ZZ19)</f>
        <v>0</v>
      </c>
      <c r="J19" s="13">
        <f t="array" ref="J19">MAX(IF($N$3:$EH$3=$J$3,N19:EH19))</f>
        <v>0</v>
      </c>
      <c r="K19" s="13">
        <f t="array" ref="K19">MAX(IF($N$3:$EH$3=$J$3,N19:EH19))</f>
        <v>0</v>
      </c>
      <c r="L19" s="11"/>
      <c r="O19" s="12"/>
      <c r="P19" s="12">
        <v>0.8</v>
      </c>
      <c r="Q19" s="12"/>
      <c r="R19" s="12">
        <v>0.8</v>
      </c>
      <c r="V19" s="12"/>
      <c r="W19" s="12"/>
      <c r="X19" s="12"/>
      <c r="Y19" s="12"/>
      <c r="AC19" s="12"/>
      <c r="AD19" s="12"/>
      <c r="AE19" s="12"/>
      <c r="AF19" s="12"/>
      <c r="AJ19" s="12"/>
      <c r="AK19" s="12"/>
      <c r="AL19" s="12"/>
      <c r="AM19" s="12"/>
      <c r="AQ19" s="12"/>
      <c r="AR19" s="12">
        <v>1</v>
      </c>
      <c r="AS19" s="12"/>
      <c r="AT19" s="12">
        <v>1</v>
      </c>
      <c r="AX19" s="12"/>
      <c r="AY19" s="12"/>
      <c r="AZ19" s="12"/>
      <c r="BA19" s="12"/>
      <c r="BE19" s="12"/>
      <c r="BF19" s="12"/>
      <c r="BG19" s="12"/>
      <c r="BH19" s="12"/>
      <c r="BL19" s="12"/>
      <c r="BM19" s="12"/>
      <c r="BN19" s="12"/>
      <c r="BO19" s="12"/>
      <c r="BS19" s="12"/>
      <c r="BT19" s="12">
        <v>1</v>
      </c>
      <c r="BU19" s="12"/>
      <c r="BV19" s="12">
        <v>1</v>
      </c>
      <c r="BZ19" s="12"/>
      <c r="CA19" s="12">
        <v>1</v>
      </c>
      <c r="CB19" s="12"/>
      <c r="CC19" s="12">
        <v>1</v>
      </c>
      <c r="CG19" s="12"/>
      <c r="CH19" s="12">
        <v>1</v>
      </c>
      <c r="CI19" s="12"/>
      <c r="CJ19" s="12">
        <v>1</v>
      </c>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row>
    <row r="20" spans="2:130" hidden="1" outlineLevel="1">
      <c r="B20" t="s">
        <v>28</v>
      </c>
      <c r="C20" t="s">
        <v>90</v>
      </c>
      <c r="E20" s="11"/>
      <c r="F20" t="s">
        <v>148</v>
      </c>
      <c r="G20" s="12">
        <v>0.2</v>
      </c>
      <c r="I20" s="11">
        <f t="shared" si="1"/>
        <v>0</v>
      </c>
      <c r="J20" s="13">
        <f t="array" ref="J20">MAX(IF($N$3:$EH$3=$J$3,N20:EH20))</f>
        <v>0</v>
      </c>
      <c r="K20" s="13">
        <f t="array" ref="K20">MAX(IF($N$3:$EH$3=$J$3,N20:EH20))</f>
        <v>0</v>
      </c>
      <c r="L20" s="11"/>
      <c r="O20" s="12"/>
      <c r="P20" s="12">
        <v>0.5</v>
      </c>
      <c r="Q20" s="12"/>
      <c r="R20" s="12">
        <v>0.5</v>
      </c>
      <c r="V20" s="12"/>
      <c r="W20" s="12"/>
      <c r="X20" s="12"/>
      <c r="Y20" s="12"/>
      <c r="AC20" s="12"/>
      <c r="AD20" s="12"/>
      <c r="AE20" s="12"/>
      <c r="AF20" s="12"/>
      <c r="AJ20" s="12"/>
      <c r="AK20" s="12"/>
      <c r="AL20" s="12"/>
      <c r="AM20" s="12"/>
      <c r="AQ20" s="12"/>
      <c r="AR20" s="12">
        <v>1</v>
      </c>
      <c r="AS20" s="12"/>
      <c r="AT20" s="12">
        <v>1</v>
      </c>
      <c r="AX20" s="12"/>
      <c r="AY20" s="12"/>
      <c r="AZ20" s="12"/>
      <c r="BA20" s="12"/>
      <c r="BE20" s="12"/>
      <c r="BF20" s="12"/>
      <c r="BG20" s="12"/>
      <c r="BH20" s="12"/>
      <c r="BL20" s="12"/>
      <c r="BM20" s="12"/>
      <c r="BN20" s="12"/>
      <c r="BO20" s="12"/>
      <c r="BS20" s="12"/>
      <c r="BT20" s="12">
        <v>0.8</v>
      </c>
      <c r="BU20" s="12"/>
      <c r="BV20" s="12">
        <v>0.8</v>
      </c>
      <c r="BZ20" s="12"/>
      <c r="CA20" s="12">
        <v>1</v>
      </c>
      <c r="CB20" s="12"/>
      <c r="CC20" s="12">
        <v>1</v>
      </c>
      <c r="CG20" s="12"/>
      <c r="CH20" s="12">
        <v>1</v>
      </c>
      <c r="CI20" s="12"/>
      <c r="CJ20" s="12">
        <v>1</v>
      </c>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row>
    <row r="21" spans="2:130" hidden="1" outlineLevel="1">
      <c r="B21" t="s">
        <v>28</v>
      </c>
      <c r="C21" t="s">
        <v>90</v>
      </c>
      <c r="E21" s="11"/>
      <c r="F21" t="s">
        <v>141</v>
      </c>
      <c r="G21" s="12">
        <v>0.2</v>
      </c>
      <c r="I21" s="11">
        <f t="shared" si="1"/>
        <v>0</v>
      </c>
      <c r="J21" s="13">
        <f t="array" ref="J21">MAX(IF($N$3:$EH$3=$J$3,N21:EH21))</f>
        <v>0</v>
      </c>
      <c r="K21" s="13">
        <f t="array" ref="K21">MAX(IF($N$3:$EH$3=$J$3,N21:EH21))</f>
        <v>0</v>
      </c>
      <c r="L21" s="11"/>
      <c r="O21" s="12"/>
      <c r="P21" s="12">
        <v>0.5</v>
      </c>
      <c r="Q21" s="12"/>
      <c r="R21" s="12">
        <v>0.5</v>
      </c>
      <c r="V21" s="12"/>
      <c r="W21" s="12"/>
      <c r="X21" s="12"/>
      <c r="Y21" s="12"/>
      <c r="AC21" s="12"/>
      <c r="AD21" s="12"/>
      <c r="AE21" s="12"/>
      <c r="AF21" s="12"/>
      <c r="AJ21" s="12"/>
      <c r="AK21" s="12"/>
      <c r="AL21" s="12"/>
      <c r="AM21" s="12"/>
      <c r="AQ21" s="12"/>
      <c r="AR21" s="12">
        <v>1</v>
      </c>
      <c r="AS21" s="12"/>
      <c r="AT21" s="12">
        <v>1</v>
      </c>
      <c r="AX21" s="12"/>
      <c r="AY21" s="12"/>
      <c r="AZ21" s="12"/>
      <c r="BA21" s="12"/>
      <c r="BE21" s="12"/>
      <c r="BF21" s="12"/>
      <c r="BG21" s="12"/>
      <c r="BH21" s="12"/>
      <c r="BL21" s="12"/>
      <c r="BM21" s="12"/>
      <c r="BN21" s="12"/>
      <c r="BO21" s="12"/>
      <c r="BS21" s="12"/>
      <c r="BT21" s="12">
        <v>0.8</v>
      </c>
      <c r="BU21" s="12"/>
      <c r="BV21" s="12">
        <v>0.8</v>
      </c>
      <c r="BZ21" s="12"/>
      <c r="CA21" s="12">
        <v>1</v>
      </c>
      <c r="CB21" s="12"/>
      <c r="CC21" s="12">
        <v>1</v>
      </c>
      <c r="CG21" s="12"/>
      <c r="CH21" s="12">
        <v>1</v>
      </c>
      <c r="CI21" s="12"/>
      <c r="CJ21" s="12">
        <v>1</v>
      </c>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row>
    <row r="22" spans="2:130" hidden="1" outlineLevel="1">
      <c r="B22" t="s">
        <v>28</v>
      </c>
      <c r="C22" t="s">
        <v>90</v>
      </c>
      <c r="E22" s="11"/>
      <c r="F22" t="s">
        <v>142</v>
      </c>
      <c r="G22" s="12">
        <v>0.2</v>
      </c>
      <c r="I22" s="11">
        <f t="shared" si="1"/>
        <v>0</v>
      </c>
      <c r="J22" s="13">
        <f t="array" ref="J22">MAX(IF($N$3:$EH$3=$J$3,N22:EH22))</f>
        <v>0</v>
      </c>
      <c r="K22" s="13">
        <f t="array" ref="K22">MAX(IF($N$3:$EH$3=$J$3,N22:EH22))</f>
        <v>0</v>
      </c>
      <c r="L22" s="11"/>
      <c r="O22" s="12"/>
      <c r="P22" s="12">
        <v>0.5</v>
      </c>
      <c r="Q22" s="12"/>
      <c r="R22" s="12">
        <v>0.5</v>
      </c>
      <c r="V22" s="12"/>
      <c r="W22" s="12"/>
      <c r="X22" s="12"/>
      <c r="Y22" s="12"/>
      <c r="AC22" s="12"/>
      <c r="AD22" s="12"/>
      <c r="AE22" s="12"/>
      <c r="AF22" s="12"/>
      <c r="AJ22" s="12"/>
      <c r="AK22" s="12"/>
      <c r="AL22" s="12"/>
      <c r="AM22" s="12"/>
      <c r="AQ22" s="12"/>
      <c r="AR22" s="12">
        <v>1</v>
      </c>
      <c r="AS22" s="12"/>
      <c r="AT22" s="12">
        <v>1</v>
      </c>
      <c r="AX22" s="12"/>
      <c r="AY22" s="12"/>
      <c r="AZ22" s="12"/>
      <c r="BA22" s="12"/>
      <c r="BE22" s="12"/>
      <c r="BF22" s="12"/>
      <c r="BG22" s="12"/>
      <c r="BH22" s="12"/>
      <c r="BL22" s="12"/>
      <c r="BM22" s="12"/>
      <c r="BN22" s="12"/>
      <c r="BO22" s="12"/>
      <c r="BS22" s="12"/>
      <c r="BT22" s="12">
        <v>0.8</v>
      </c>
      <c r="BU22" s="12"/>
      <c r="BV22" s="12">
        <v>0.8</v>
      </c>
      <c r="BZ22" s="12"/>
      <c r="CA22" s="12">
        <v>1</v>
      </c>
      <c r="CB22" s="12"/>
      <c r="CC22" s="12">
        <v>1</v>
      </c>
      <c r="CG22" s="12"/>
      <c r="CH22" s="12">
        <v>1</v>
      </c>
      <c r="CI22" s="12"/>
      <c r="CJ22" s="12">
        <v>1</v>
      </c>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row>
    <row r="23" spans="2:130" hidden="1" outlineLevel="1">
      <c r="B23" t="s">
        <v>28</v>
      </c>
      <c r="C23" t="s">
        <v>90</v>
      </c>
      <c r="E23" s="11"/>
      <c r="F23" t="s">
        <v>143</v>
      </c>
      <c r="G23" s="12">
        <v>0.2</v>
      </c>
      <c r="I23" s="11">
        <f t="shared" si="1"/>
        <v>0</v>
      </c>
      <c r="J23" s="13">
        <f t="array" ref="J23">MAX(IF($N$3:$EH$3=$J$3,N23:EH23))</f>
        <v>0</v>
      </c>
      <c r="K23" s="13">
        <f t="array" ref="K23">MAX(IF($N$3:$EH$3=$J$3,N23:EH23))</f>
        <v>0</v>
      </c>
      <c r="L23" s="11"/>
      <c r="O23" s="12"/>
      <c r="P23" s="12">
        <v>0.5</v>
      </c>
      <c r="Q23" s="12"/>
      <c r="R23" s="12">
        <v>0.5</v>
      </c>
      <c r="V23" s="12"/>
      <c r="W23" s="12"/>
      <c r="X23" s="12"/>
      <c r="Y23" s="12"/>
      <c r="AC23" s="12"/>
      <c r="AD23" s="12"/>
      <c r="AE23" s="12"/>
      <c r="AF23" s="12"/>
      <c r="AJ23" s="12"/>
      <c r="AK23" s="12"/>
      <c r="AL23" s="12"/>
      <c r="AM23" s="12"/>
      <c r="AQ23" s="12"/>
      <c r="AR23" s="12">
        <v>1</v>
      </c>
      <c r="AS23" s="12"/>
      <c r="AT23" s="12">
        <v>1</v>
      </c>
      <c r="AX23" s="12"/>
      <c r="AY23" s="12"/>
      <c r="AZ23" s="12"/>
      <c r="BA23" s="12"/>
      <c r="BE23" s="12"/>
      <c r="BF23" s="12"/>
      <c r="BG23" s="12"/>
      <c r="BH23" s="12"/>
      <c r="BL23" s="12"/>
      <c r="BM23" s="12"/>
      <c r="BN23" s="12"/>
      <c r="BO23" s="12"/>
      <c r="BS23" s="12"/>
      <c r="BT23" s="12">
        <v>0.8</v>
      </c>
      <c r="BU23" s="12"/>
      <c r="BV23" s="12">
        <v>0.8</v>
      </c>
      <c r="BZ23" s="12"/>
      <c r="CA23" s="12">
        <v>1</v>
      </c>
      <c r="CB23" s="12"/>
      <c r="CC23" s="12">
        <v>1</v>
      </c>
      <c r="CG23" s="12"/>
      <c r="CH23" s="12">
        <v>1</v>
      </c>
      <c r="CI23" s="12"/>
      <c r="CJ23" s="12">
        <v>1</v>
      </c>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row>
    <row r="24" spans="2:130" hidden="1" outlineLevel="1">
      <c r="B24" t="s">
        <v>28</v>
      </c>
      <c r="C24" t="s">
        <v>90</v>
      </c>
      <c r="E24" s="11"/>
      <c r="F24" t="s">
        <v>144</v>
      </c>
      <c r="G24" s="12">
        <v>0.2</v>
      </c>
      <c r="I24" s="11">
        <f t="shared" si="1"/>
        <v>0</v>
      </c>
      <c r="J24" s="13">
        <f t="array" ref="J24">MAX(IF($N$3:$EH$3=$J$3,N24:EH24))</f>
        <v>0</v>
      </c>
      <c r="K24" s="13">
        <f t="array" ref="K24">MAX(IF($N$3:$EH$3=$J$3,N24:EH24))</f>
        <v>0</v>
      </c>
      <c r="L24" s="11"/>
      <c r="O24" s="12"/>
      <c r="P24" s="12">
        <v>0.5</v>
      </c>
      <c r="Q24" s="12"/>
      <c r="R24" s="12">
        <v>0.5</v>
      </c>
      <c r="V24" s="12"/>
      <c r="W24" s="12"/>
      <c r="X24" s="12"/>
      <c r="Y24" s="12"/>
      <c r="AC24" s="12"/>
      <c r="AD24" s="12"/>
      <c r="AE24" s="12"/>
      <c r="AF24" s="12"/>
      <c r="AJ24" s="12"/>
      <c r="AK24" s="12"/>
      <c r="AL24" s="12"/>
      <c r="AM24" s="12"/>
      <c r="AQ24" s="12"/>
      <c r="AR24" s="12">
        <v>1</v>
      </c>
      <c r="AS24" s="12"/>
      <c r="AT24" s="12">
        <v>1</v>
      </c>
      <c r="AX24" s="12"/>
      <c r="AY24" s="12"/>
      <c r="AZ24" s="12"/>
      <c r="BA24" s="12"/>
      <c r="BE24" s="12"/>
      <c r="BF24" s="12"/>
      <c r="BG24" s="12"/>
      <c r="BH24" s="12"/>
      <c r="BL24" s="12"/>
      <c r="BM24" s="12"/>
      <c r="BN24" s="12"/>
      <c r="BO24" s="12"/>
      <c r="BS24" s="12"/>
      <c r="BT24" s="12">
        <v>0.8</v>
      </c>
      <c r="BU24" s="12"/>
      <c r="BV24" s="12">
        <v>0.8</v>
      </c>
      <c r="BZ24" s="12"/>
      <c r="CA24" s="12">
        <v>1</v>
      </c>
      <c r="CB24" s="12"/>
      <c r="CC24" s="12">
        <v>1</v>
      </c>
      <c r="CG24" s="12"/>
      <c r="CH24" s="12">
        <v>1</v>
      </c>
      <c r="CI24" s="12"/>
      <c r="CJ24" s="12">
        <v>1</v>
      </c>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row>
    <row r="25" spans="2:130" hidden="1" outlineLevel="1">
      <c r="B25" t="s">
        <v>28</v>
      </c>
      <c r="C25" t="s">
        <v>90</v>
      </c>
      <c r="E25" s="11"/>
      <c r="F25" t="s">
        <v>145</v>
      </c>
      <c r="G25" s="12">
        <v>0.2</v>
      </c>
      <c r="I25" s="11">
        <f t="shared" si="1"/>
        <v>0</v>
      </c>
      <c r="J25" s="13">
        <f t="array" ref="J25">MAX(IF($N$3:$EH$3=$J$3,N25:EH25))</f>
        <v>0</v>
      </c>
      <c r="K25" s="13">
        <f t="array" ref="K25">MAX(IF($N$3:$EH$3=$J$3,N25:EH25))</f>
        <v>0</v>
      </c>
      <c r="L25" s="11"/>
      <c r="O25" s="12"/>
      <c r="P25" s="12">
        <v>0.5</v>
      </c>
      <c r="Q25" s="12"/>
      <c r="R25" s="12">
        <v>0.5</v>
      </c>
      <c r="V25" s="12"/>
      <c r="W25" s="12"/>
      <c r="X25" s="12"/>
      <c r="Y25" s="12"/>
      <c r="AC25" s="12"/>
      <c r="AD25" s="12"/>
      <c r="AE25" s="12"/>
      <c r="AF25" s="12"/>
      <c r="AJ25" s="12"/>
      <c r="AK25" s="12"/>
      <c r="AL25" s="12"/>
      <c r="AM25" s="12"/>
      <c r="AQ25" s="12"/>
      <c r="AR25" s="12">
        <v>1</v>
      </c>
      <c r="AS25" s="12"/>
      <c r="AT25" s="12">
        <v>1</v>
      </c>
      <c r="AX25" s="12"/>
      <c r="AY25" s="12"/>
      <c r="AZ25" s="12"/>
      <c r="BA25" s="12"/>
      <c r="BE25" s="12"/>
      <c r="BF25" s="12"/>
      <c r="BG25" s="12"/>
      <c r="BH25" s="12"/>
      <c r="BL25" s="12"/>
      <c r="BM25" s="12"/>
      <c r="BN25" s="12"/>
      <c r="BO25" s="12"/>
      <c r="BS25" s="12"/>
      <c r="BT25" s="12">
        <v>0.8</v>
      </c>
      <c r="BU25" s="12"/>
      <c r="BV25" s="12">
        <v>0.8</v>
      </c>
      <c r="BZ25" s="12"/>
      <c r="CA25" s="12">
        <v>1</v>
      </c>
      <c r="CB25" s="12"/>
      <c r="CC25" s="12">
        <v>1</v>
      </c>
      <c r="CG25" s="12"/>
      <c r="CH25" s="12">
        <v>1</v>
      </c>
      <c r="CI25" s="12"/>
      <c r="CJ25" s="12">
        <v>1</v>
      </c>
      <c r="CN25" s="12"/>
      <c r="CO25" s="12"/>
      <c r="CP25" s="12"/>
      <c r="CQ25" s="12"/>
      <c r="CU25" s="12"/>
      <c r="CV25" s="12"/>
      <c r="CW25" s="12"/>
      <c r="CX25" s="12"/>
      <c r="DB25" s="12"/>
      <c r="DC25" s="12"/>
      <c r="DD25" s="12"/>
      <c r="DE25" s="12"/>
      <c r="DI25" s="12"/>
      <c r="DJ25" s="12"/>
      <c r="DK25" s="12"/>
      <c r="DL25" s="12"/>
      <c r="DP25" s="12"/>
      <c r="DQ25" s="12"/>
      <c r="DR25" s="12"/>
      <c r="DS25" s="12"/>
      <c r="DW25" s="12"/>
      <c r="DX25" s="12"/>
      <c r="DY25" s="12"/>
      <c r="DZ25" s="12"/>
    </row>
    <row r="26" spans="2:130" hidden="1" outlineLevel="1">
      <c r="B26" t="s">
        <v>28</v>
      </c>
      <c r="C26" t="s">
        <v>90</v>
      </c>
      <c r="E26" s="11"/>
      <c r="F26" t="s">
        <v>146</v>
      </c>
      <c r="G26" s="12">
        <v>0.2</v>
      </c>
      <c r="I26" s="11">
        <f t="shared" si="1"/>
        <v>0</v>
      </c>
      <c r="J26" s="13">
        <f t="array" ref="J26">MAX(IF($N$3:$EH$3=$J$3,N26:EH26))</f>
        <v>0</v>
      </c>
      <c r="K26" s="13">
        <f t="array" ref="K26">MAX(IF($N$3:$EH$3=$J$3,N26:EH26))</f>
        <v>0</v>
      </c>
      <c r="L26" s="11"/>
      <c r="O26" s="12"/>
      <c r="P26" s="12">
        <v>0.5</v>
      </c>
      <c r="Q26" s="12"/>
      <c r="R26" s="12">
        <v>0.5</v>
      </c>
      <c r="V26" s="12"/>
      <c r="W26" s="12"/>
      <c r="X26" s="12"/>
      <c r="Y26" s="12"/>
      <c r="AC26" s="12"/>
      <c r="AD26" s="12"/>
      <c r="AE26" s="12"/>
      <c r="AF26" s="12"/>
      <c r="AJ26" s="12"/>
      <c r="AK26" s="12"/>
      <c r="AL26" s="12"/>
      <c r="AM26" s="12"/>
      <c r="AQ26" s="12"/>
      <c r="AR26" s="12">
        <v>1</v>
      </c>
      <c r="AS26" s="12"/>
      <c r="AT26" s="12">
        <v>1</v>
      </c>
      <c r="AX26" s="12"/>
      <c r="AY26" s="12"/>
      <c r="AZ26" s="12"/>
      <c r="BA26" s="12"/>
      <c r="BE26" s="12"/>
      <c r="BF26" s="12"/>
      <c r="BG26" s="12"/>
      <c r="BH26" s="12"/>
      <c r="BL26" s="12"/>
      <c r="BM26" s="12"/>
      <c r="BN26" s="12"/>
      <c r="BO26" s="12"/>
      <c r="BS26" s="12"/>
      <c r="BT26" s="12">
        <v>0.8</v>
      </c>
      <c r="BU26" s="12"/>
      <c r="BV26" s="12">
        <v>0.8</v>
      </c>
      <c r="BZ26" s="12"/>
      <c r="CA26" s="12">
        <v>1</v>
      </c>
      <c r="CB26" s="12"/>
      <c r="CC26" s="12">
        <v>1</v>
      </c>
      <c r="CG26" s="12"/>
      <c r="CH26" s="12">
        <v>1</v>
      </c>
      <c r="CI26" s="12"/>
      <c r="CJ26" s="12">
        <v>1</v>
      </c>
      <c r="CN26" s="12"/>
      <c r="CO26" s="12"/>
      <c r="CP26" s="12"/>
      <c r="CQ26" s="12"/>
      <c r="CU26" s="12"/>
      <c r="CV26" s="12"/>
      <c r="CW26" s="12"/>
      <c r="CX26" s="12"/>
      <c r="DB26" s="12"/>
      <c r="DC26" s="12"/>
      <c r="DD26" s="12"/>
      <c r="DE26" s="12"/>
      <c r="DI26" s="12"/>
      <c r="DJ26" s="12"/>
      <c r="DK26" s="12"/>
      <c r="DL26" s="12"/>
      <c r="DP26" s="12"/>
      <c r="DQ26" s="12"/>
      <c r="DR26" s="12"/>
      <c r="DS26" s="12"/>
      <c r="DW26" s="12"/>
      <c r="DX26" s="12"/>
      <c r="DY26" s="12"/>
      <c r="DZ26" s="12"/>
    </row>
    <row r="27" spans="2:130" hidden="1" outlineLevel="1">
      <c r="B27" t="s">
        <v>28</v>
      </c>
      <c r="C27" t="s">
        <v>90</v>
      </c>
      <c r="E27" s="11"/>
      <c r="F27" t="s">
        <v>147</v>
      </c>
      <c r="G27" s="12">
        <v>0.2</v>
      </c>
      <c r="I27" s="11">
        <f t="shared" si="1"/>
        <v>0</v>
      </c>
      <c r="J27" s="13">
        <f t="array" ref="J27">MAX(IF($N$3:$EH$3=$J$3,N27:EH27))</f>
        <v>0</v>
      </c>
      <c r="K27" s="13">
        <f t="array" ref="K27">MAX(IF($N$3:$EH$3=$J$3,N27:EH27))</f>
        <v>0</v>
      </c>
      <c r="L27" s="11"/>
      <c r="O27" s="12"/>
      <c r="P27" s="12">
        <v>0.5</v>
      </c>
      <c r="Q27" s="12"/>
      <c r="R27" s="12">
        <v>0.5</v>
      </c>
      <c r="V27" s="12"/>
      <c r="W27" s="12"/>
      <c r="X27" s="12"/>
      <c r="Y27" s="12"/>
      <c r="AC27" s="12"/>
      <c r="AD27" s="12"/>
      <c r="AE27" s="12"/>
      <c r="AF27" s="12"/>
      <c r="AJ27" s="12"/>
      <c r="AK27" s="12"/>
      <c r="AL27" s="12"/>
      <c r="AM27" s="12"/>
      <c r="AQ27" s="12"/>
      <c r="AR27" s="12">
        <v>1</v>
      </c>
      <c r="AS27" s="12"/>
      <c r="AT27" s="12">
        <v>1</v>
      </c>
      <c r="AX27" s="12"/>
      <c r="AY27" s="12"/>
      <c r="AZ27" s="12"/>
      <c r="BA27" s="12"/>
      <c r="BE27" s="12"/>
      <c r="BF27" s="12"/>
      <c r="BG27" s="12"/>
      <c r="BH27" s="12"/>
      <c r="BL27" s="12"/>
      <c r="BM27" s="12"/>
      <c r="BN27" s="12"/>
      <c r="BO27" s="12"/>
      <c r="BS27" s="12"/>
      <c r="BT27" s="12">
        <v>0.8</v>
      </c>
      <c r="BU27" s="12"/>
      <c r="BV27" s="12">
        <v>0.8</v>
      </c>
      <c r="BZ27" s="12"/>
      <c r="CA27" s="12">
        <v>1</v>
      </c>
      <c r="CB27" s="12"/>
      <c r="CC27" s="12">
        <v>1</v>
      </c>
      <c r="CG27" s="12"/>
      <c r="CH27" s="12">
        <v>1</v>
      </c>
      <c r="CI27" s="12"/>
      <c r="CJ27" s="12">
        <v>1</v>
      </c>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row>
    <row r="28" spans="2:130" hidden="1" outlineLevel="1">
      <c r="B28" t="s">
        <v>28</v>
      </c>
      <c r="C28" t="s">
        <v>90</v>
      </c>
      <c r="E28" s="11"/>
      <c r="F28" t="s">
        <v>109</v>
      </c>
      <c r="G28" s="12">
        <v>0.2</v>
      </c>
      <c r="I28" s="11">
        <f t="shared" si="1"/>
        <v>0</v>
      </c>
      <c r="J28" s="13">
        <f t="array" ref="J28">MAX(IF($N$3:$EH$3=$J$3,N28:EH28))</f>
        <v>0</v>
      </c>
      <c r="K28" s="13">
        <f t="array" ref="K28">MAX(IF($N$3:$EH$3=$J$3,N28:EH28))</f>
        <v>0</v>
      </c>
      <c r="L28" s="11"/>
      <c r="O28" s="12"/>
      <c r="P28" s="12">
        <v>0.3</v>
      </c>
      <c r="Q28" s="12"/>
      <c r="R28" s="12">
        <v>0.3</v>
      </c>
      <c r="V28" s="12"/>
      <c r="W28" s="12"/>
      <c r="X28" s="12"/>
      <c r="Y28" s="12"/>
      <c r="AC28" s="12"/>
      <c r="AD28" s="12"/>
      <c r="AE28" s="12"/>
      <c r="AF28" s="12"/>
      <c r="AJ28" s="12"/>
      <c r="AK28" s="12"/>
      <c r="AL28" s="12"/>
      <c r="AM28" s="12"/>
      <c r="AQ28" s="12"/>
      <c r="AR28" s="12">
        <v>1</v>
      </c>
      <c r="AS28" s="12"/>
      <c r="AT28" s="12">
        <v>1</v>
      </c>
      <c r="AX28" s="12"/>
      <c r="AY28" s="12"/>
      <c r="AZ28" s="12"/>
      <c r="BA28" s="12"/>
      <c r="BE28" s="12"/>
      <c r="BF28" s="12"/>
      <c r="BG28" s="12"/>
      <c r="BH28" s="12"/>
      <c r="BL28" s="12"/>
      <c r="BM28" s="12"/>
      <c r="BN28" s="12"/>
      <c r="BO28" s="12"/>
      <c r="BS28" s="12"/>
      <c r="BT28" s="12">
        <v>0.8</v>
      </c>
      <c r="BU28" s="12"/>
      <c r="BV28" s="12">
        <v>0.8</v>
      </c>
      <c r="BZ28" s="12"/>
      <c r="CA28" s="12">
        <v>1</v>
      </c>
      <c r="CB28" s="12"/>
      <c r="CC28" s="12">
        <v>1</v>
      </c>
      <c r="CG28" s="12"/>
      <c r="CH28" s="12">
        <v>1</v>
      </c>
      <c r="CI28" s="12"/>
      <c r="CJ28" s="12">
        <v>1</v>
      </c>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row>
    <row r="29" spans="2:130" collapsed="1"/>
    <row r="30" spans="2:130">
      <c r="B30" t="s">
        <v>27</v>
      </c>
      <c r="C30" t="s">
        <v>91</v>
      </c>
      <c r="D30" s="22">
        <v>44957</v>
      </c>
      <c r="E30" s="11">
        <v>6</v>
      </c>
      <c r="G30" s="12">
        <f>+SUM(G31:G36)</f>
        <v>0.44999999999999996</v>
      </c>
      <c r="I30" s="14">
        <f>+SUM(I31:I36)</f>
        <v>0</v>
      </c>
      <c r="J30" s="13">
        <f>+SUMPRODUCT(G31:G36,J31:J36)</f>
        <v>0</v>
      </c>
      <c r="K30" s="13">
        <f>+SUMPRODUCT(G31:G36,K31:K36)</f>
        <v>0</v>
      </c>
      <c r="L30" s="11"/>
      <c r="N30" s="14">
        <f>+SUM(N31:N36)</f>
        <v>0</v>
      </c>
      <c r="U30" s="14">
        <f>+SUM(U31:U36)</f>
        <v>0</v>
      </c>
      <c r="AB30" s="14">
        <f>+SUM(AB31:AB36)</f>
        <v>0</v>
      </c>
      <c r="AI30" s="14">
        <f>+SUM(AI31:AI36)</f>
        <v>0</v>
      </c>
      <c r="AP30" s="14">
        <f>+SUM(AP31:AP36)</f>
        <v>0</v>
      </c>
    </row>
    <row r="31" spans="2:130" hidden="1" outlineLevel="1">
      <c r="B31" t="s">
        <v>28</v>
      </c>
      <c r="C31" t="s">
        <v>91</v>
      </c>
      <c r="E31" s="11"/>
      <c r="F31" t="s">
        <v>110</v>
      </c>
      <c r="G31" s="12">
        <v>0.1</v>
      </c>
      <c r="I31" s="11">
        <f t="shared" ref="I31:I36" si="2">+SUMIF($N$3:$ZZ$3,I$3,$N31:$ZZ31)</f>
        <v>0</v>
      </c>
      <c r="J31" s="13">
        <f t="array" ref="J31">MAX(IF($N$3:$EH$3=$J$3,N31:EH31))</f>
        <v>0</v>
      </c>
      <c r="K31" s="13">
        <f t="array" ref="K31">MAX(IF($N$3:$EH$3=$J$3,N31:EH31))</f>
        <v>0</v>
      </c>
      <c r="L31" s="11"/>
      <c r="O31" s="12"/>
      <c r="P31" s="12">
        <v>0.8</v>
      </c>
      <c r="Q31" s="12"/>
      <c r="R31" s="12">
        <v>0.8</v>
      </c>
      <c r="V31" s="12"/>
      <c r="W31" s="12">
        <v>0.8</v>
      </c>
      <c r="X31" s="12"/>
      <c r="Y31" s="12">
        <v>0.8</v>
      </c>
      <c r="AC31" s="12"/>
      <c r="AD31" s="12">
        <v>1</v>
      </c>
      <c r="AE31" s="12"/>
      <c r="AF31" s="12">
        <v>1</v>
      </c>
      <c r="AJ31" s="12"/>
      <c r="AK31" s="12">
        <v>1</v>
      </c>
      <c r="AL31" s="12"/>
      <c r="AM31" s="12">
        <v>1</v>
      </c>
      <c r="AQ31" s="12"/>
      <c r="AR31" s="12">
        <v>1</v>
      </c>
      <c r="AS31" s="12"/>
      <c r="AT31" s="12">
        <v>1</v>
      </c>
      <c r="AX31" s="12"/>
      <c r="AY31" s="12"/>
      <c r="AZ31" s="12"/>
      <c r="BA31" s="12"/>
      <c r="BE31" s="12"/>
      <c r="BF31" s="12">
        <v>1</v>
      </c>
      <c r="BG31" s="12"/>
      <c r="BH31" s="12">
        <v>1</v>
      </c>
      <c r="BL31" s="12"/>
      <c r="BM31" s="12"/>
      <c r="BN31" s="12"/>
      <c r="BO31" s="12"/>
      <c r="BS31" s="12"/>
      <c r="BT31" s="12"/>
      <c r="BU31" s="12"/>
      <c r="BV31" s="12"/>
      <c r="BZ31" s="12"/>
      <c r="CA31" s="12"/>
      <c r="CB31" s="12"/>
      <c r="CC31" s="12"/>
      <c r="CG31" s="12"/>
      <c r="CH31" s="12">
        <v>1</v>
      </c>
      <c r="CI31" s="12"/>
      <c r="CJ31" s="12">
        <v>1</v>
      </c>
      <c r="CN31" s="12"/>
      <c r="CO31" s="12"/>
      <c r="CP31" s="12"/>
      <c r="CQ31" s="12"/>
      <c r="CU31" s="12"/>
      <c r="CV31" s="12"/>
      <c r="CW31" s="12"/>
      <c r="CX31" s="12"/>
      <c r="DB31" s="12"/>
      <c r="DC31" s="12"/>
      <c r="DD31" s="12"/>
      <c r="DE31" s="12"/>
      <c r="DI31" s="12"/>
      <c r="DJ31" s="12"/>
      <c r="DK31" s="12"/>
      <c r="DL31" s="12"/>
      <c r="DP31" s="12"/>
      <c r="DQ31" s="12"/>
      <c r="DR31" s="12"/>
      <c r="DS31" s="12"/>
      <c r="DW31" s="12"/>
      <c r="DX31" s="12"/>
      <c r="DY31" s="12"/>
      <c r="DZ31" s="12"/>
    </row>
    <row r="32" spans="2:130" hidden="1" outlineLevel="1">
      <c r="B32" t="s">
        <v>28</v>
      </c>
      <c r="C32" t="s">
        <v>91</v>
      </c>
      <c r="E32" s="11"/>
      <c r="F32" t="s">
        <v>111</v>
      </c>
      <c r="G32" s="12">
        <v>0.05</v>
      </c>
      <c r="I32" s="11">
        <f t="shared" si="2"/>
        <v>0</v>
      </c>
      <c r="J32" s="13">
        <f t="array" ref="J32">MAX(IF($N$3:$EH$3=$J$3,N32:EH32))</f>
        <v>0</v>
      </c>
      <c r="K32" s="13">
        <f t="array" ref="K32">MAX(IF($N$3:$EH$3=$J$3,N32:EH32))</f>
        <v>0</v>
      </c>
      <c r="L32" s="11"/>
      <c r="O32" s="12"/>
      <c r="P32" s="12">
        <v>0.5</v>
      </c>
      <c r="Q32" s="12"/>
      <c r="R32" s="12">
        <v>0.5</v>
      </c>
      <c r="V32" s="12"/>
      <c r="W32" s="12">
        <v>0.8</v>
      </c>
      <c r="X32" s="12"/>
      <c r="Y32" s="12">
        <v>0.8</v>
      </c>
      <c r="AC32" s="12"/>
      <c r="AD32" s="12">
        <v>1</v>
      </c>
      <c r="AE32" s="12"/>
      <c r="AF32" s="12">
        <v>1</v>
      </c>
      <c r="AJ32" s="12"/>
      <c r="AK32" s="12">
        <v>1</v>
      </c>
      <c r="AL32" s="12"/>
      <c r="AM32" s="12">
        <v>1</v>
      </c>
      <c r="AQ32" s="12"/>
      <c r="AR32" s="12">
        <v>1</v>
      </c>
      <c r="AS32" s="12"/>
      <c r="AT32" s="12">
        <v>1</v>
      </c>
      <c r="AX32" s="12"/>
      <c r="AY32" s="12"/>
      <c r="AZ32" s="12"/>
      <c r="BA32" s="12"/>
      <c r="BE32" s="12"/>
      <c r="BF32" s="12">
        <v>1</v>
      </c>
      <c r="BG32" s="12"/>
      <c r="BH32" s="12">
        <v>1</v>
      </c>
      <c r="BL32" s="12"/>
      <c r="BM32" s="12"/>
      <c r="BN32" s="12"/>
      <c r="BO32" s="12"/>
      <c r="BS32" s="12"/>
      <c r="BT32" s="12"/>
      <c r="BU32" s="12"/>
      <c r="BV32" s="12"/>
      <c r="BZ32" s="12"/>
      <c r="CA32" s="12"/>
      <c r="CB32" s="12"/>
      <c r="CC32" s="12"/>
      <c r="CG32" s="12"/>
      <c r="CH32" s="12">
        <v>1</v>
      </c>
      <c r="CI32" s="12"/>
      <c r="CJ32" s="12">
        <v>1</v>
      </c>
      <c r="CN32" s="12"/>
      <c r="CO32" s="12"/>
      <c r="CP32" s="12"/>
      <c r="CQ32" s="12"/>
      <c r="CU32" s="12"/>
      <c r="CV32" s="12"/>
      <c r="CW32" s="12"/>
      <c r="CX32" s="12"/>
      <c r="DB32" s="12"/>
      <c r="DC32" s="12"/>
      <c r="DD32" s="12"/>
      <c r="DE32" s="12"/>
      <c r="DI32" s="12"/>
      <c r="DJ32" s="12"/>
      <c r="DK32" s="12"/>
      <c r="DL32" s="12"/>
      <c r="DP32" s="12"/>
      <c r="DQ32" s="12"/>
      <c r="DR32" s="12"/>
      <c r="DS32" s="12"/>
      <c r="DW32" s="12"/>
      <c r="DX32" s="12"/>
      <c r="DY32" s="12"/>
      <c r="DZ32" s="12"/>
    </row>
    <row r="33" spans="2:130" hidden="1" outlineLevel="1">
      <c r="B33" t="s">
        <v>28</v>
      </c>
      <c r="C33" t="s">
        <v>91</v>
      </c>
      <c r="E33" s="11"/>
      <c r="F33" t="s">
        <v>112</v>
      </c>
      <c r="G33" s="12">
        <v>0.05</v>
      </c>
      <c r="I33" s="11">
        <f t="shared" si="2"/>
        <v>0</v>
      </c>
      <c r="J33" s="13">
        <f t="array" ref="J33">MAX(IF($N$3:$EH$3=$J$3,N33:EH33))</f>
        <v>0</v>
      </c>
      <c r="K33" s="13">
        <f t="array" ref="K33">MAX(IF($N$3:$EH$3=$J$3,N33:EH33))</f>
        <v>0</v>
      </c>
      <c r="L33" s="11"/>
      <c r="O33" s="12"/>
      <c r="P33" s="12">
        <v>0.3</v>
      </c>
      <c r="Q33" s="12"/>
      <c r="R33" s="12">
        <v>0.3</v>
      </c>
      <c r="V33" s="12"/>
      <c r="W33" s="12">
        <v>0.5</v>
      </c>
      <c r="X33" s="12"/>
      <c r="Y33" s="12">
        <v>0.5</v>
      </c>
      <c r="AC33" s="12"/>
      <c r="AD33" s="12">
        <v>0.8</v>
      </c>
      <c r="AE33" s="12"/>
      <c r="AF33" s="12">
        <v>0.8</v>
      </c>
      <c r="AJ33" s="12"/>
      <c r="AK33" s="12">
        <v>1</v>
      </c>
      <c r="AL33" s="12"/>
      <c r="AM33" s="12">
        <v>1</v>
      </c>
      <c r="AQ33" s="12"/>
      <c r="AR33" s="12">
        <v>1</v>
      </c>
      <c r="AS33" s="12"/>
      <c r="AT33" s="12">
        <v>1</v>
      </c>
      <c r="AX33" s="12"/>
      <c r="AY33" s="12"/>
      <c r="AZ33" s="12"/>
      <c r="BA33" s="12"/>
      <c r="BE33" s="12"/>
      <c r="BF33" s="12">
        <v>1</v>
      </c>
      <c r="BG33" s="12"/>
      <c r="BH33" s="12">
        <v>1</v>
      </c>
      <c r="BL33" s="12"/>
      <c r="BM33" s="12"/>
      <c r="BN33" s="12"/>
      <c r="BO33" s="12"/>
      <c r="BS33" s="12"/>
      <c r="BT33" s="12"/>
      <c r="BU33" s="12"/>
      <c r="BV33" s="12"/>
      <c r="BZ33" s="12"/>
      <c r="CA33" s="12"/>
      <c r="CB33" s="12"/>
      <c r="CC33" s="12"/>
      <c r="CG33" s="12"/>
      <c r="CH33" s="12">
        <v>1</v>
      </c>
      <c r="CI33" s="12"/>
      <c r="CJ33" s="12">
        <v>1</v>
      </c>
      <c r="CN33" s="12"/>
      <c r="CO33" s="12"/>
      <c r="CP33" s="12"/>
      <c r="CQ33" s="12"/>
      <c r="CU33" s="12"/>
      <c r="CV33" s="12"/>
      <c r="CW33" s="12"/>
      <c r="CX33" s="12"/>
      <c r="DB33" s="12"/>
      <c r="DC33" s="12"/>
      <c r="DD33" s="12"/>
      <c r="DE33" s="12"/>
      <c r="DI33" s="12"/>
      <c r="DJ33" s="12"/>
      <c r="DK33" s="12"/>
      <c r="DL33" s="12"/>
      <c r="DP33" s="12"/>
      <c r="DQ33" s="12"/>
      <c r="DR33" s="12"/>
      <c r="DS33" s="12"/>
      <c r="DW33" s="12"/>
      <c r="DX33" s="12"/>
      <c r="DY33" s="12"/>
      <c r="DZ33" s="12"/>
    </row>
    <row r="34" spans="2:130" hidden="1" outlineLevel="1">
      <c r="B34" t="s">
        <v>28</v>
      </c>
      <c r="C34" t="s">
        <v>91</v>
      </c>
      <c r="E34" s="11"/>
      <c r="F34" t="s">
        <v>113</v>
      </c>
      <c r="G34" s="12">
        <v>0.05</v>
      </c>
      <c r="I34" s="11">
        <f t="shared" si="2"/>
        <v>0</v>
      </c>
      <c r="J34" s="13">
        <f t="array" ref="J34">MAX(IF($N$3:$EH$3=$J$3,N34:EH34))</f>
        <v>0</v>
      </c>
      <c r="K34" s="13">
        <f t="array" ref="K34">MAX(IF($N$3:$EH$3=$J$3,N34:EH34))</f>
        <v>0</v>
      </c>
      <c r="L34" s="11"/>
      <c r="O34" s="12"/>
      <c r="P34" s="12">
        <v>0.3</v>
      </c>
      <c r="Q34" s="12"/>
      <c r="R34" s="12">
        <v>0.3</v>
      </c>
      <c r="V34" s="12"/>
      <c r="W34" s="12">
        <v>0.5</v>
      </c>
      <c r="X34" s="12"/>
      <c r="Y34" s="12">
        <v>0.5</v>
      </c>
      <c r="AC34" s="12"/>
      <c r="AD34" s="12">
        <v>0.8</v>
      </c>
      <c r="AE34" s="12"/>
      <c r="AF34" s="12">
        <v>0.8</v>
      </c>
      <c r="AJ34" s="12"/>
      <c r="AK34" s="12">
        <v>1</v>
      </c>
      <c r="AL34" s="12"/>
      <c r="AM34" s="12">
        <v>1</v>
      </c>
      <c r="AQ34" s="12"/>
      <c r="AR34" s="12">
        <v>1</v>
      </c>
      <c r="AS34" s="12"/>
      <c r="AT34" s="12">
        <v>1</v>
      </c>
      <c r="AX34" s="12"/>
      <c r="AY34" s="12"/>
      <c r="AZ34" s="12"/>
      <c r="BA34" s="12"/>
      <c r="BE34" s="12"/>
      <c r="BF34" s="12">
        <v>1</v>
      </c>
      <c r="BG34" s="12"/>
      <c r="BH34" s="12">
        <v>1</v>
      </c>
      <c r="BL34" s="12"/>
      <c r="BM34" s="12"/>
      <c r="BN34" s="12"/>
      <c r="BO34" s="12"/>
      <c r="BS34" s="12"/>
      <c r="BT34" s="12"/>
      <c r="BU34" s="12"/>
      <c r="BV34" s="12"/>
      <c r="BZ34" s="12"/>
      <c r="CA34" s="12"/>
      <c r="CB34" s="12"/>
      <c r="CC34" s="12"/>
      <c r="CG34" s="12"/>
      <c r="CH34" s="12">
        <v>1</v>
      </c>
      <c r="CI34" s="12"/>
      <c r="CJ34" s="12">
        <v>1</v>
      </c>
      <c r="CN34" s="12"/>
      <c r="CO34" s="12"/>
      <c r="CP34" s="12"/>
      <c r="CQ34" s="12"/>
      <c r="CU34" s="12"/>
      <c r="CV34" s="12"/>
      <c r="CW34" s="12"/>
      <c r="CX34" s="12"/>
      <c r="DB34" s="12"/>
      <c r="DC34" s="12"/>
      <c r="DD34" s="12"/>
      <c r="DE34" s="12"/>
      <c r="DI34" s="12"/>
      <c r="DJ34" s="12"/>
      <c r="DK34" s="12"/>
      <c r="DL34" s="12"/>
      <c r="DP34" s="12"/>
      <c r="DQ34" s="12"/>
      <c r="DR34" s="12"/>
      <c r="DS34" s="12"/>
      <c r="DW34" s="12"/>
      <c r="DX34" s="12"/>
      <c r="DY34" s="12"/>
      <c r="DZ34" s="12"/>
    </row>
    <row r="35" spans="2:130" hidden="1" outlineLevel="1">
      <c r="B35" t="s">
        <v>28</v>
      </c>
      <c r="C35" t="s">
        <v>91</v>
      </c>
      <c r="E35" s="11"/>
      <c r="F35" t="s">
        <v>114</v>
      </c>
      <c r="G35" s="12">
        <v>0.1</v>
      </c>
      <c r="I35" s="11">
        <f t="shared" si="2"/>
        <v>0</v>
      </c>
      <c r="J35" s="13">
        <f t="array" ref="J35">MAX(IF($N$3:$EH$3=$J$3,N35:EH35))</f>
        <v>0</v>
      </c>
      <c r="K35" s="13">
        <f t="array" ref="K35">MAX(IF($N$3:$EH$3=$J$3,N35:EH35))</f>
        <v>0</v>
      </c>
      <c r="L35" s="11"/>
      <c r="O35" s="12"/>
      <c r="P35" s="12"/>
      <c r="Q35" s="12"/>
      <c r="R35" s="12"/>
      <c r="V35" s="12"/>
      <c r="W35" s="12">
        <v>0.3</v>
      </c>
      <c r="X35" s="12"/>
      <c r="Y35" s="12">
        <v>0.3</v>
      </c>
      <c r="AC35" s="12"/>
      <c r="AD35" s="12">
        <v>0.5</v>
      </c>
      <c r="AE35" s="12"/>
      <c r="AF35" s="12">
        <v>0.5</v>
      </c>
      <c r="AJ35" s="12"/>
      <c r="AK35" s="12">
        <v>0.8</v>
      </c>
      <c r="AL35" s="12"/>
      <c r="AM35" s="12">
        <v>0.8</v>
      </c>
      <c r="AQ35" s="12"/>
      <c r="AR35" s="12">
        <v>1</v>
      </c>
      <c r="AS35" s="12"/>
      <c r="AT35" s="12">
        <v>1</v>
      </c>
      <c r="AX35" s="12"/>
      <c r="AY35" s="12"/>
      <c r="AZ35" s="12"/>
      <c r="BA35" s="12"/>
      <c r="BE35" s="12"/>
      <c r="BF35" s="12">
        <v>1</v>
      </c>
      <c r="BG35" s="12"/>
      <c r="BH35" s="12">
        <v>1</v>
      </c>
      <c r="BL35" s="12"/>
      <c r="BM35" s="12"/>
      <c r="BN35" s="12"/>
      <c r="BO35" s="12"/>
      <c r="BS35" s="12"/>
      <c r="BT35" s="12"/>
      <c r="BU35" s="12"/>
      <c r="BV35" s="12"/>
      <c r="BZ35" s="12"/>
      <c r="CA35" s="12"/>
      <c r="CB35" s="12"/>
      <c r="CC35" s="12"/>
      <c r="CG35" s="12"/>
      <c r="CH35" s="12">
        <v>1</v>
      </c>
      <c r="CI35" s="12"/>
      <c r="CJ35" s="12">
        <v>1</v>
      </c>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row>
    <row r="36" spans="2:130" hidden="1" outlineLevel="1">
      <c r="B36" t="s">
        <v>28</v>
      </c>
      <c r="C36" t="s">
        <v>91</v>
      </c>
      <c r="E36" s="11"/>
      <c r="F36" t="s">
        <v>115</v>
      </c>
      <c r="G36" s="12">
        <v>0.1</v>
      </c>
      <c r="I36" s="11">
        <f t="shared" si="2"/>
        <v>0</v>
      </c>
      <c r="J36" s="13">
        <f t="array" ref="J36">MAX(IF($N$3:$EH$3=$J$3,N36:EH36))</f>
        <v>0</v>
      </c>
      <c r="K36" s="13">
        <f t="array" ref="K36">MAX(IF($N$3:$EH$3=$J$3,N36:EH36))</f>
        <v>0</v>
      </c>
      <c r="L36" s="11"/>
      <c r="O36" s="12"/>
      <c r="P36" s="12"/>
      <c r="Q36" s="12"/>
      <c r="R36" s="12"/>
      <c r="V36" s="12"/>
      <c r="W36" s="12">
        <v>0.3</v>
      </c>
      <c r="X36" s="12"/>
      <c r="Y36" s="12">
        <v>0.3</v>
      </c>
      <c r="AC36" s="12"/>
      <c r="AD36" s="12">
        <v>0.5</v>
      </c>
      <c r="AE36" s="12"/>
      <c r="AF36" s="12">
        <v>0.5</v>
      </c>
      <c r="AJ36" s="12"/>
      <c r="AK36" s="12">
        <v>0.8</v>
      </c>
      <c r="AL36" s="12"/>
      <c r="AM36" s="12">
        <v>0.8</v>
      </c>
      <c r="AQ36" s="12"/>
      <c r="AR36" s="12">
        <v>1</v>
      </c>
      <c r="AS36" s="12"/>
      <c r="AT36" s="12">
        <v>1</v>
      </c>
      <c r="AX36" s="12"/>
      <c r="AY36" s="12"/>
      <c r="AZ36" s="12"/>
      <c r="BA36" s="12"/>
      <c r="BE36" s="12"/>
      <c r="BF36" s="12">
        <v>1</v>
      </c>
      <c r="BG36" s="12"/>
      <c r="BH36" s="12">
        <v>1</v>
      </c>
      <c r="BL36" s="12"/>
      <c r="BM36" s="12"/>
      <c r="BN36" s="12"/>
      <c r="BO36" s="12"/>
      <c r="BS36" s="12"/>
      <c r="BT36" s="12"/>
      <c r="BU36" s="12"/>
      <c r="BV36" s="12"/>
      <c r="BZ36" s="12"/>
      <c r="CA36" s="12"/>
      <c r="CB36" s="12"/>
      <c r="CC36" s="12"/>
      <c r="CG36" s="12"/>
      <c r="CH36" s="12">
        <v>1</v>
      </c>
      <c r="CI36" s="12"/>
      <c r="CJ36" s="12">
        <v>1</v>
      </c>
      <c r="CN36" s="12"/>
      <c r="CO36" s="12"/>
      <c r="CP36" s="12"/>
      <c r="CQ36" s="12"/>
      <c r="CU36" s="12"/>
      <c r="CV36" s="12"/>
      <c r="CW36" s="12"/>
      <c r="CX36" s="12"/>
      <c r="DB36" s="12"/>
      <c r="DC36" s="12"/>
      <c r="DD36" s="12"/>
      <c r="DE36" s="12"/>
      <c r="DI36" s="12"/>
      <c r="DJ36" s="12"/>
      <c r="DK36" s="12"/>
      <c r="DL36" s="12"/>
      <c r="DP36" s="12"/>
      <c r="DQ36" s="12"/>
      <c r="DR36" s="12"/>
      <c r="DS36" s="12"/>
      <c r="DW36" s="12"/>
      <c r="DX36" s="12"/>
      <c r="DY36" s="12"/>
      <c r="DZ36" s="12"/>
    </row>
    <row r="37" spans="2:130" collapsed="1"/>
    <row r="38" spans="2:130">
      <c r="B38" t="s">
        <v>27</v>
      </c>
      <c r="C38" t="s">
        <v>92</v>
      </c>
      <c r="D38" s="22">
        <v>44956</v>
      </c>
      <c r="E38" s="11">
        <v>6</v>
      </c>
      <c r="G38" s="12">
        <f>+SUM(G39:G48)</f>
        <v>0.94999999999999984</v>
      </c>
      <c r="I38" s="14">
        <f>+SUM(I39:I48)</f>
        <v>0</v>
      </c>
      <c r="J38" s="13">
        <f>+SUMPRODUCT(G39:G48,J39:J48)</f>
        <v>0</v>
      </c>
      <c r="K38" s="13">
        <f>+SUMPRODUCT(G39:G48,K39:K48)</f>
        <v>0</v>
      </c>
      <c r="L38" s="11"/>
      <c r="N38" s="14">
        <f>+SUM(N39:N48)</f>
        <v>0</v>
      </c>
      <c r="U38" s="14">
        <f>+SUM(U39:U48)</f>
        <v>0</v>
      </c>
      <c r="AB38" s="14">
        <f>+SUM(AB39:AB48)</f>
        <v>0</v>
      </c>
      <c r="AI38" s="14">
        <f>+SUM(AI39:AI48)</f>
        <v>0</v>
      </c>
      <c r="AP38" s="14">
        <f>+SUM(AP39:AP48)</f>
        <v>0</v>
      </c>
    </row>
    <row r="39" spans="2:130" outlineLevel="1">
      <c r="B39" t="s">
        <v>28</v>
      </c>
      <c r="C39" t="s">
        <v>93</v>
      </c>
      <c r="E39" s="11"/>
      <c r="F39" t="s">
        <v>30</v>
      </c>
      <c r="G39" s="12">
        <v>0.1</v>
      </c>
      <c r="I39" s="11">
        <f t="shared" ref="I39:I63" si="3">+SUMIF($N$3:$ZZ$3,I$3,$N39:$ZZ39)</f>
        <v>0</v>
      </c>
      <c r="J39" s="13">
        <f t="array" ref="J39">MAX(IF($N$3:$EH$3=$J$3,N39:EH39))</f>
        <v>0</v>
      </c>
      <c r="K39" s="13">
        <f t="array" ref="K39">MAX(IF($N$3:$EH$3=$J$3,N39:EH39))</f>
        <v>0</v>
      </c>
      <c r="L39" s="11"/>
      <c r="O39" s="12"/>
      <c r="P39" s="12">
        <v>0.8</v>
      </c>
      <c r="Q39" s="12"/>
      <c r="R39" s="12">
        <v>0.8</v>
      </c>
      <c r="V39" s="12"/>
      <c r="W39" s="12">
        <v>0.8</v>
      </c>
      <c r="X39" s="12"/>
      <c r="Y39" s="12">
        <v>0.8</v>
      </c>
      <c r="AC39" s="12"/>
      <c r="AD39" s="12">
        <v>1</v>
      </c>
      <c r="AE39" s="12"/>
      <c r="AF39" s="12">
        <v>1</v>
      </c>
      <c r="AJ39" s="12"/>
      <c r="AK39" s="12">
        <v>1</v>
      </c>
      <c r="AL39" s="12"/>
      <c r="AM39" s="12">
        <v>1</v>
      </c>
      <c r="AQ39" s="12"/>
      <c r="AR39" s="12">
        <v>1</v>
      </c>
      <c r="AS39" s="12"/>
      <c r="AT39" s="12">
        <v>1</v>
      </c>
      <c r="AX39" s="12"/>
      <c r="AY39" s="12"/>
      <c r="AZ39" s="12"/>
      <c r="BA39" s="12"/>
      <c r="BE39" s="12"/>
      <c r="BF39" s="12"/>
      <c r="BG39" s="12"/>
      <c r="BH39" s="12"/>
      <c r="BL39" s="12"/>
      <c r="BM39" s="12"/>
      <c r="BN39" s="12"/>
      <c r="BO39" s="12"/>
      <c r="BS39" s="12"/>
      <c r="BT39" s="12">
        <v>1</v>
      </c>
      <c r="BU39" s="12"/>
      <c r="BV39" s="12">
        <v>1</v>
      </c>
      <c r="BZ39" s="12"/>
      <c r="CA39" s="12">
        <v>1</v>
      </c>
      <c r="CB39" s="12"/>
      <c r="CC39" s="12">
        <v>1</v>
      </c>
      <c r="CG39" s="12"/>
      <c r="CH39" s="12">
        <v>1</v>
      </c>
      <c r="CI39" s="12"/>
      <c r="CJ39" s="12">
        <v>1</v>
      </c>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row>
    <row r="40" spans="2:130" outlineLevel="1">
      <c r="B40" t="s">
        <v>28</v>
      </c>
      <c r="C40" t="s">
        <v>93</v>
      </c>
      <c r="E40" s="11"/>
      <c r="F40" t="s">
        <v>116</v>
      </c>
      <c r="G40" s="12">
        <v>0.05</v>
      </c>
      <c r="I40" s="11">
        <f t="shared" si="3"/>
        <v>0</v>
      </c>
      <c r="J40" s="13">
        <f t="array" ref="J40">MAX(IF($N$3:$EH$3=$J$3,N40:EH40))</f>
        <v>0</v>
      </c>
      <c r="K40" s="13">
        <f t="array" ref="K40">MAX(IF($N$3:$EH$3=$J$3,N40:EH40))</f>
        <v>0</v>
      </c>
      <c r="L40" s="11"/>
      <c r="O40" s="12"/>
      <c r="P40" s="12">
        <v>0.5</v>
      </c>
      <c r="Q40" s="12"/>
      <c r="R40" s="12">
        <v>0.5</v>
      </c>
      <c r="V40" s="12"/>
      <c r="W40" s="12">
        <v>0.8</v>
      </c>
      <c r="X40" s="12"/>
      <c r="Y40" s="12">
        <v>0.8</v>
      </c>
      <c r="AC40" s="12"/>
      <c r="AD40" s="12">
        <v>1</v>
      </c>
      <c r="AE40" s="12"/>
      <c r="AF40" s="12">
        <v>1</v>
      </c>
      <c r="AJ40" s="12"/>
      <c r="AK40" s="12">
        <v>1</v>
      </c>
      <c r="AL40" s="12"/>
      <c r="AM40" s="12">
        <v>1</v>
      </c>
      <c r="AQ40" s="12"/>
      <c r="AR40" s="12">
        <v>1</v>
      </c>
      <c r="AS40" s="12"/>
      <c r="AT40" s="12">
        <v>1</v>
      </c>
      <c r="AX40" s="12"/>
      <c r="AY40" s="12"/>
      <c r="AZ40" s="12"/>
      <c r="BA40" s="12"/>
      <c r="BE40" s="12"/>
      <c r="BF40" s="12"/>
      <c r="BG40" s="12"/>
      <c r="BH40" s="12"/>
      <c r="BL40" s="12"/>
      <c r="BM40" s="12"/>
      <c r="BN40" s="12"/>
      <c r="BO40" s="12"/>
      <c r="BS40" s="12"/>
      <c r="BT40" s="12">
        <v>1</v>
      </c>
      <c r="BU40" s="12"/>
      <c r="BV40" s="12">
        <v>1</v>
      </c>
      <c r="BZ40" s="12"/>
      <c r="CA40" s="12">
        <v>1</v>
      </c>
      <c r="CB40" s="12"/>
      <c r="CC40" s="12">
        <v>1</v>
      </c>
      <c r="CG40" s="12"/>
      <c r="CH40" s="12">
        <v>1</v>
      </c>
      <c r="CI40" s="12"/>
      <c r="CJ40" s="12">
        <v>1</v>
      </c>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row>
    <row r="41" spans="2:130" outlineLevel="1">
      <c r="B41" t="s">
        <v>28</v>
      </c>
      <c r="C41" t="s">
        <v>93</v>
      </c>
      <c r="E41" s="11"/>
      <c r="F41" t="s">
        <v>149</v>
      </c>
      <c r="G41" s="12">
        <v>0.1</v>
      </c>
      <c r="I41" s="11">
        <f t="shared" si="3"/>
        <v>0</v>
      </c>
      <c r="J41" s="13">
        <f t="array" ref="J41">MAX(IF($N$3:$EH$3=$J$3,N41:EH41))</f>
        <v>0</v>
      </c>
      <c r="K41" s="13">
        <f t="array" ref="K41">MAX(IF($N$3:$EH$3=$J$3,N41:EH41))</f>
        <v>0</v>
      </c>
      <c r="L41" s="11"/>
      <c r="O41" s="12"/>
      <c r="P41" s="12"/>
      <c r="Q41" s="12"/>
      <c r="R41" s="12"/>
      <c r="V41" s="12"/>
      <c r="W41" s="12"/>
      <c r="X41" s="12"/>
      <c r="Y41" s="12"/>
      <c r="AC41" s="12"/>
      <c r="AD41" s="12">
        <v>0.5</v>
      </c>
      <c r="AE41" s="12"/>
      <c r="AF41" s="12">
        <v>0.5</v>
      </c>
      <c r="AJ41" s="12"/>
      <c r="AK41" s="12">
        <v>0.8</v>
      </c>
      <c r="AL41" s="12"/>
      <c r="AM41" s="12">
        <v>0.8</v>
      </c>
      <c r="AQ41" s="12"/>
      <c r="AR41" s="12">
        <v>1</v>
      </c>
      <c r="AS41" s="12"/>
      <c r="AT41" s="12">
        <v>1</v>
      </c>
      <c r="AX41" s="12"/>
      <c r="AY41" s="12"/>
      <c r="AZ41" s="12"/>
      <c r="BA41" s="12"/>
      <c r="BE41" s="12"/>
      <c r="BF41" s="12"/>
      <c r="BG41" s="12"/>
      <c r="BH41" s="12"/>
      <c r="BL41" s="12"/>
      <c r="BM41" s="12"/>
      <c r="BN41" s="12"/>
      <c r="BO41" s="12"/>
      <c r="BS41" s="12"/>
      <c r="BT41" s="12">
        <v>0.8</v>
      </c>
      <c r="BU41" s="12"/>
      <c r="BV41" s="12">
        <v>0.8</v>
      </c>
      <c r="BZ41" s="12"/>
      <c r="CA41" s="12">
        <v>1</v>
      </c>
      <c r="CB41" s="12"/>
      <c r="CC41" s="12">
        <v>1</v>
      </c>
      <c r="CG41" s="12"/>
      <c r="CH41" s="12">
        <v>1</v>
      </c>
      <c r="CI41" s="12"/>
      <c r="CJ41" s="12">
        <v>1</v>
      </c>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row>
    <row r="42" spans="2:130" outlineLevel="1">
      <c r="B42" t="s">
        <v>28</v>
      </c>
      <c r="C42" t="s">
        <v>93</v>
      </c>
      <c r="E42" s="11"/>
      <c r="G42" s="12">
        <v>0.1</v>
      </c>
      <c r="I42" s="11">
        <f t="shared" si="3"/>
        <v>0</v>
      </c>
      <c r="J42" s="13">
        <f t="array" ref="J42">MAX(IF($N$3:$EH$3=$J$3,N42:EH42))</f>
        <v>0</v>
      </c>
      <c r="K42" s="13">
        <f t="array" ref="K42">MAX(IF($N$3:$EH$3=$J$3,N42:EH42))</f>
        <v>0</v>
      </c>
      <c r="L42" s="11"/>
      <c r="O42" s="12"/>
      <c r="P42" s="12"/>
      <c r="Q42" s="12"/>
      <c r="R42" s="12"/>
      <c r="V42" s="12"/>
      <c r="W42" s="12"/>
      <c r="X42" s="12"/>
      <c r="Y42" s="12"/>
      <c r="AC42" s="12"/>
      <c r="AD42" s="12">
        <v>0.5</v>
      </c>
      <c r="AE42" s="12"/>
      <c r="AF42" s="12">
        <v>0.5</v>
      </c>
      <c r="AJ42" s="12"/>
      <c r="AK42" s="12">
        <v>0.8</v>
      </c>
      <c r="AL42" s="12"/>
      <c r="AM42" s="12">
        <v>0.8</v>
      </c>
      <c r="AQ42" s="12"/>
      <c r="AR42" s="12">
        <v>1</v>
      </c>
      <c r="AS42" s="12"/>
      <c r="AT42" s="12">
        <v>1</v>
      </c>
      <c r="AX42" s="12"/>
      <c r="AY42" s="12"/>
      <c r="AZ42" s="12"/>
      <c r="BA42" s="12"/>
      <c r="BE42" s="12"/>
      <c r="BF42" s="12"/>
      <c r="BG42" s="12"/>
      <c r="BH42" s="12"/>
      <c r="BL42" s="12"/>
      <c r="BM42" s="12"/>
      <c r="BN42" s="12"/>
      <c r="BO42" s="12"/>
      <c r="BS42" s="12"/>
      <c r="BT42" s="12">
        <v>0.8</v>
      </c>
      <c r="BU42" s="12"/>
      <c r="BV42" s="12">
        <v>0.8</v>
      </c>
      <c r="BZ42" s="12"/>
      <c r="CA42" s="12">
        <v>1</v>
      </c>
      <c r="CB42" s="12"/>
      <c r="CC42" s="12">
        <v>1</v>
      </c>
      <c r="CG42" s="12"/>
      <c r="CH42" s="12">
        <v>1</v>
      </c>
      <c r="CI42" s="12"/>
      <c r="CJ42" s="12">
        <v>1</v>
      </c>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row>
    <row r="43" spans="2:130" outlineLevel="1">
      <c r="B43" t="s">
        <v>28</v>
      </c>
      <c r="C43" t="s">
        <v>93</v>
      </c>
      <c r="E43" s="11"/>
      <c r="G43" s="12">
        <v>0.1</v>
      </c>
      <c r="I43" s="11">
        <f t="shared" si="3"/>
        <v>0</v>
      </c>
      <c r="J43" s="13">
        <f t="array" ref="J43">MAX(IF($N$3:$EH$3=$J$3,N43:EH43))</f>
        <v>0</v>
      </c>
      <c r="K43" s="13">
        <f t="array" ref="K43">MAX(IF($N$3:$EH$3=$J$3,N43:EH43))</f>
        <v>0</v>
      </c>
      <c r="L43" s="11"/>
      <c r="O43" s="12"/>
      <c r="P43" s="12"/>
      <c r="Q43" s="12"/>
      <c r="R43" s="12"/>
      <c r="V43" s="12"/>
      <c r="W43" s="12"/>
      <c r="X43" s="12"/>
      <c r="Y43" s="12"/>
      <c r="AC43" s="12"/>
      <c r="AD43" s="12">
        <v>0.3</v>
      </c>
      <c r="AE43" s="12"/>
      <c r="AF43" s="12">
        <v>0.3</v>
      </c>
      <c r="AJ43" s="12"/>
      <c r="AK43" s="12">
        <v>0.5</v>
      </c>
      <c r="AL43" s="12"/>
      <c r="AM43" s="12">
        <v>0.5</v>
      </c>
      <c r="AQ43" s="12"/>
      <c r="AR43" s="12">
        <v>1</v>
      </c>
      <c r="AS43" s="12"/>
      <c r="AT43" s="12">
        <v>1</v>
      </c>
      <c r="AX43" s="12"/>
      <c r="AY43" s="12"/>
      <c r="AZ43" s="12"/>
      <c r="BA43" s="12"/>
      <c r="BE43" s="12"/>
      <c r="BF43" s="12"/>
      <c r="BG43" s="12"/>
      <c r="BH43" s="12"/>
      <c r="BL43" s="12"/>
      <c r="BM43" s="12"/>
      <c r="BN43" s="12"/>
      <c r="BO43" s="12"/>
      <c r="BS43" s="12"/>
      <c r="BT43" s="12">
        <v>0.8</v>
      </c>
      <c r="BU43" s="12"/>
      <c r="BV43" s="12">
        <v>0.8</v>
      </c>
      <c r="BZ43" s="12"/>
      <c r="CA43" s="12">
        <v>1</v>
      </c>
      <c r="CB43" s="12"/>
      <c r="CC43" s="12">
        <v>1</v>
      </c>
      <c r="CG43" s="12"/>
      <c r="CH43" s="12">
        <v>1</v>
      </c>
      <c r="CI43" s="12"/>
      <c r="CJ43" s="12">
        <v>1</v>
      </c>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row>
    <row r="44" spans="2:130" outlineLevel="1">
      <c r="B44" t="s">
        <v>28</v>
      </c>
      <c r="C44" t="s">
        <v>93</v>
      </c>
      <c r="E44" s="11"/>
      <c r="G44" s="12">
        <v>0.1</v>
      </c>
      <c r="I44" s="11">
        <f t="shared" si="3"/>
        <v>0</v>
      </c>
      <c r="J44" s="13">
        <f t="array" ref="J44">MAX(IF($N$3:$EH$3=$J$3,N44:EH44))</f>
        <v>0</v>
      </c>
      <c r="K44" s="13">
        <f t="array" ref="K44">MAX(IF($N$3:$EH$3=$J$3,N44:EH44))</f>
        <v>0</v>
      </c>
      <c r="L44" s="11"/>
      <c r="O44" s="12"/>
      <c r="P44" s="12"/>
      <c r="Q44" s="12"/>
      <c r="R44" s="12"/>
      <c r="V44" s="12"/>
      <c r="W44" s="12"/>
      <c r="X44" s="12"/>
      <c r="Y44" s="12"/>
      <c r="AC44" s="12"/>
      <c r="AD44" s="12">
        <v>0.3</v>
      </c>
      <c r="AE44" s="12"/>
      <c r="AF44" s="12">
        <v>0.3</v>
      </c>
      <c r="AJ44" s="12"/>
      <c r="AK44" s="12">
        <v>0.5</v>
      </c>
      <c r="AL44" s="12"/>
      <c r="AM44" s="12">
        <v>0.5</v>
      </c>
      <c r="AQ44" s="12"/>
      <c r="AR44" s="12">
        <v>1</v>
      </c>
      <c r="AS44" s="12"/>
      <c r="AT44" s="12">
        <v>1</v>
      </c>
      <c r="AX44" s="12"/>
      <c r="AY44" s="12"/>
      <c r="AZ44" s="12"/>
      <c r="BA44" s="12"/>
      <c r="BE44" s="12"/>
      <c r="BF44" s="12"/>
      <c r="BG44" s="12"/>
      <c r="BH44" s="12"/>
      <c r="BL44" s="12"/>
      <c r="BM44" s="12"/>
      <c r="BN44" s="12"/>
      <c r="BO44" s="12"/>
      <c r="BS44" s="12"/>
      <c r="BT44" s="12">
        <v>0.8</v>
      </c>
      <c r="BU44" s="12"/>
      <c r="BV44" s="12">
        <v>0.8</v>
      </c>
      <c r="BZ44" s="12"/>
      <c r="CA44" s="12">
        <v>1</v>
      </c>
      <c r="CB44" s="12"/>
      <c r="CC44" s="12">
        <v>1</v>
      </c>
      <c r="CG44" s="12"/>
      <c r="CH44" s="12">
        <v>1</v>
      </c>
      <c r="CI44" s="12"/>
      <c r="CJ44" s="12">
        <v>1</v>
      </c>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row>
    <row r="45" spans="2:130" outlineLevel="1">
      <c r="B45" t="s">
        <v>28</v>
      </c>
      <c r="C45" t="s">
        <v>93</v>
      </c>
      <c r="E45" s="11"/>
      <c r="G45" s="12">
        <v>0.1</v>
      </c>
      <c r="I45" s="11">
        <f t="shared" si="3"/>
        <v>0</v>
      </c>
      <c r="J45" s="13">
        <f t="array" ref="J45">MAX(IF($N$3:$EH$3=$J$3,N45:EH45))</f>
        <v>0</v>
      </c>
      <c r="K45" s="13">
        <f t="array" ref="K45">MAX(IF($N$3:$EH$3=$J$3,N45:EH45))</f>
        <v>0</v>
      </c>
      <c r="L45" s="11"/>
      <c r="O45" s="12"/>
      <c r="P45" s="12"/>
      <c r="Q45" s="12"/>
      <c r="R45" s="12"/>
      <c r="V45" s="12"/>
      <c r="W45" s="12"/>
      <c r="X45" s="12"/>
      <c r="Y45" s="12"/>
      <c r="AC45" s="12"/>
      <c r="AD45" s="12">
        <v>0.3</v>
      </c>
      <c r="AE45" s="12"/>
      <c r="AF45" s="12">
        <v>0.3</v>
      </c>
      <c r="AJ45" s="12"/>
      <c r="AK45" s="12">
        <v>0.5</v>
      </c>
      <c r="AL45" s="12"/>
      <c r="AM45" s="12">
        <v>0.5</v>
      </c>
      <c r="AQ45" s="12"/>
      <c r="AR45" s="12">
        <v>1</v>
      </c>
      <c r="AS45" s="12"/>
      <c r="AT45" s="12">
        <v>1</v>
      </c>
      <c r="AX45" s="12"/>
      <c r="AY45" s="12"/>
      <c r="AZ45" s="12"/>
      <c r="BA45" s="12"/>
      <c r="BE45" s="12"/>
      <c r="BF45" s="12"/>
      <c r="BG45" s="12"/>
      <c r="BH45" s="12"/>
      <c r="BL45" s="12"/>
      <c r="BM45" s="12"/>
      <c r="BN45" s="12"/>
      <c r="BO45" s="12"/>
      <c r="BS45" s="12"/>
      <c r="BT45" s="12">
        <v>0.8</v>
      </c>
      <c r="BU45" s="12"/>
      <c r="BV45" s="12">
        <v>0.8</v>
      </c>
      <c r="BZ45" s="12"/>
      <c r="CA45" s="12">
        <v>1</v>
      </c>
      <c r="CB45" s="12"/>
      <c r="CC45" s="12">
        <v>1</v>
      </c>
      <c r="CG45" s="12"/>
      <c r="CH45" s="12">
        <v>1</v>
      </c>
      <c r="CI45" s="12"/>
      <c r="CJ45" s="12">
        <v>1</v>
      </c>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row>
    <row r="46" spans="2:130" outlineLevel="1">
      <c r="B46" t="s">
        <v>28</v>
      </c>
      <c r="C46" t="s">
        <v>93</v>
      </c>
      <c r="E46" s="11"/>
      <c r="G46" s="12">
        <v>0.1</v>
      </c>
      <c r="I46" s="11">
        <f t="shared" si="3"/>
        <v>0</v>
      </c>
      <c r="J46" s="13">
        <f t="array" ref="J46">MAX(IF($N$3:$EH$3=$J$3,N46:EH46))</f>
        <v>0</v>
      </c>
      <c r="K46" s="13">
        <f t="array" ref="K46">MAX(IF($N$3:$EH$3=$J$3,N46:EH46))</f>
        <v>0</v>
      </c>
      <c r="L46" s="11"/>
      <c r="O46" s="12"/>
      <c r="P46" s="12"/>
      <c r="Q46" s="12"/>
      <c r="R46" s="12"/>
      <c r="V46" s="12"/>
      <c r="W46" s="12"/>
      <c r="X46" s="12"/>
      <c r="Y46" s="12"/>
      <c r="AC46" s="12"/>
      <c r="AD46" s="12">
        <v>0.3</v>
      </c>
      <c r="AE46" s="12"/>
      <c r="AF46" s="12">
        <v>0.3</v>
      </c>
      <c r="AJ46" s="12"/>
      <c r="AK46" s="12">
        <v>0.5</v>
      </c>
      <c r="AL46" s="12"/>
      <c r="AM46" s="12">
        <v>0.5</v>
      </c>
      <c r="AQ46" s="12"/>
      <c r="AR46" s="12">
        <v>1</v>
      </c>
      <c r="AS46" s="12"/>
      <c r="AT46" s="12">
        <v>1</v>
      </c>
      <c r="AX46" s="12"/>
      <c r="AY46" s="12"/>
      <c r="AZ46" s="12"/>
      <c r="BA46" s="12"/>
      <c r="BE46" s="12"/>
      <c r="BF46" s="12"/>
      <c r="BG46" s="12"/>
      <c r="BH46" s="12"/>
      <c r="BL46" s="12"/>
      <c r="BM46" s="12"/>
      <c r="BN46" s="12"/>
      <c r="BO46" s="12"/>
      <c r="BS46" s="12"/>
      <c r="BT46" s="12">
        <v>0.8</v>
      </c>
      <c r="BU46" s="12"/>
      <c r="BV46" s="12">
        <v>0.8</v>
      </c>
      <c r="BZ46" s="12"/>
      <c r="CA46" s="12">
        <v>1</v>
      </c>
      <c r="CB46" s="12"/>
      <c r="CC46" s="12">
        <v>1</v>
      </c>
      <c r="CG46" s="12"/>
      <c r="CH46" s="12">
        <v>1</v>
      </c>
      <c r="CI46" s="12"/>
      <c r="CJ46" s="12">
        <v>1</v>
      </c>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row>
    <row r="47" spans="2:130" outlineLevel="1">
      <c r="B47" t="s">
        <v>28</v>
      </c>
      <c r="C47" t="s">
        <v>93</v>
      </c>
      <c r="E47" s="11"/>
      <c r="G47" s="12">
        <v>0.1</v>
      </c>
      <c r="I47" s="11">
        <f t="shared" si="3"/>
        <v>0</v>
      </c>
      <c r="J47" s="13">
        <f t="array" ref="J47">MAX(IF($N$3:$EH$3=$J$3,N47:EH47))</f>
        <v>0</v>
      </c>
      <c r="K47" s="13">
        <f t="array" ref="K47">MAX(IF($N$3:$EH$3=$J$3,N47:EH47))</f>
        <v>0</v>
      </c>
      <c r="L47" s="11"/>
      <c r="O47" s="12"/>
      <c r="P47" s="12"/>
      <c r="Q47" s="12"/>
      <c r="R47" s="12"/>
      <c r="V47" s="12"/>
      <c r="W47" s="12"/>
      <c r="X47" s="12"/>
      <c r="Y47" s="12"/>
      <c r="AC47" s="12"/>
      <c r="AD47" s="12"/>
      <c r="AE47" s="12"/>
      <c r="AF47" s="12"/>
      <c r="AJ47" s="12"/>
      <c r="AK47" s="12">
        <v>0.5</v>
      </c>
      <c r="AL47" s="12"/>
      <c r="AM47" s="12">
        <v>0.5</v>
      </c>
      <c r="AQ47" s="12"/>
      <c r="AR47" s="12">
        <v>1</v>
      </c>
      <c r="AS47" s="12"/>
      <c r="AT47" s="12">
        <v>1</v>
      </c>
      <c r="AX47" s="12"/>
      <c r="AY47" s="12"/>
      <c r="AZ47" s="12"/>
      <c r="BA47" s="12"/>
      <c r="BE47" s="12"/>
      <c r="BF47" s="12"/>
      <c r="BG47" s="12"/>
      <c r="BH47" s="12"/>
      <c r="BL47" s="12"/>
      <c r="BM47" s="12"/>
      <c r="BN47" s="12"/>
      <c r="BO47" s="12"/>
      <c r="BS47" s="12"/>
      <c r="BT47" s="12">
        <v>0.8</v>
      </c>
      <c r="BU47" s="12"/>
      <c r="BV47" s="12">
        <v>0.8</v>
      </c>
      <c r="BZ47" s="12"/>
      <c r="CA47" s="12">
        <v>0.8</v>
      </c>
      <c r="CB47" s="12"/>
      <c r="CC47" s="12">
        <v>0.8</v>
      </c>
      <c r="CG47" s="12"/>
      <c r="CH47" s="12">
        <v>1</v>
      </c>
      <c r="CI47" s="12"/>
      <c r="CJ47" s="12">
        <v>1</v>
      </c>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row>
    <row r="48" spans="2:130" outlineLevel="1">
      <c r="B48" t="s">
        <v>28</v>
      </c>
      <c r="C48" t="s">
        <v>93</v>
      </c>
      <c r="E48" s="11"/>
      <c r="G48" s="12">
        <v>0.1</v>
      </c>
      <c r="I48" s="11">
        <f t="shared" si="3"/>
        <v>0</v>
      </c>
      <c r="J48" s="13">
        <f t="array" ref="J48">MAX(IF($N$3:$EH$3=$J$3,N48:EH48))</f>
        <v>0</v>
      </c>
      <c r="K48" s="13">
        <f t="array" ref="K48">MAX(IF($N$3:$EH$3=$J$3,N48:EH48))</f>
        <v>0</v>
      </c>
      <c r="L48" s="11"/>
      <c r="O48" s="12"/>
      <c r="P48" s="12"/>
      <c r="Q48" s="12"/>
      <c r="R48" s="12"/>
      <c r="V48" s="12"/>
      <c r="W48" s="12"/>
      <c r="X48" s="12"/>
      <c r="Y48" s="12"/>
      <c r="AC48" s="12"/>
      <c r="AD48" s="12"/>
      <c r="AE48" s="12"/>
      <c r="AF48" s="12"/>
      <c r="AJ48" s="12"/>
      <c r="AK48" s="12">
        <v>0.5</v>
      </c>
      <c r="AL48" s="12"/>
      <c r="AM48" s="12">
        <v>0.5</v>
      </c>
      <c r="AQ48" s="12"/>
      <c r="AR48" s="12">
        <v>1</v>
      </c>
      <c r="AS48" s="12"/>
      <c r="AT48" s="12">
        <v>1</v>
      </c>
      <c r="AX48" s="12"/>
      <c r="AY48" s="12"/>
      <c r="AZ48" s="12"/>
      <c r="BA48" s="12"/>
      <c r="BE48" s="12"/>
      <c r="BF48" s="12"/>
      <c r="BG48" s="12"/>
      <c r="BH48" s="12"/>
      <c r="BL48" s="12"/>
      <c r="BM48" s="12"/>
      <c r="BN48" s="12"/>
      <c r="BO48" s="12"/>
      <c r="BS48" s="12"/>
      <c r="BT48" s="12">
        <v>0.8</v>
      </c>
      <c r="BU48" s="12"/>
      <c r="BV48" s="12">
        <v>0.8</v>
      </c>
      <c r="BZ48" s="12"/>
      <c r="CA48" s="12">
        <v>0.8</v>
      </c>
      <c r="CB48" s="12"/>
      <c r="CC48" s="12">
        <v>0.8</v>
      </c>
      <c r="CG48" s="12"/>
      <c r="CH48" s="12">
        <v>1</v>
      </c>
      <c r="CI48" s="12"/>
      <c r="CJ48" s="12">
        <v>1</v>
      </c>
      <c r="CN48" s="12"/>
      <c r="CO48" s="12"/>
      <c r="CP48" s="12"/>
      <c r="CQ48" s="12"/>
      <c r="CU48" s="12"/>
      <c r="CV48" s="12"/>
      <c r="CW48" s="12"/>
      <c r="CX48" s="12"/>
      <c r="DB48" s="12"/>
      <c r="DC48" s="12"/>
      <c r="DD48" s="12"/>
      <c r="DE48" s="12"/>
      <c r="DI48" s="12"/>
      <c r="DJ48" s="12"/>
      <c r="DK48" s="12"/>
      <c r="DL48" s="12"/>
      <c r="DP48" s="12"/>
      <c r="DQ48" s="12"/>
      <c r="DR48" s="12"/>
      <c r="DS48" s="12"/>
      <c r="DW48" s="12"/>
      <c r="DX48" s="12"/>
      <c r="DY48" s="12"/>
      <c r="DZ48" s="12"/>
    </row>
    <row r="50" spans="2:130">
      <c r="B50" t="s">
        <v>27</v>
      </c>
      <c r="C50" t="s">
        <v>94</v>
      </c>
      <c r="D50" s="22">
        <v>44977</v>
      </c>
      <c r="E50" s="11">
        <v>6</v>
      </c>
      <c r="G50" s="12">
        <f>+SUM(G51:G63)</f>
        <v>1.2</v>
      </c>
      <c r="I50" s="14">
        <f>+SUM(I51:I63)</f>
        <v>0</v>
      </c>
      <c r="J50" s="13">
        <f>+SUMPRODUCT(G51:G63,J51:J63)</f>
        <v>0</v>
      </c>
      <c r="K50" s="13">
        <f>+SUMPRODUCT(G51:G63,K51:K63)</f>
        <v>0</v>
      </c>
      <c r="L50" s="11"/>
      <c r="N50" s="14">
        <f>+SUM(N51:N63)</f>
        <v>0</v>
      </c>
      <c r="U50" s="14">
        <f>+SUM(U51:U63)</f>
        <v>0</v>
      </c>
      <c r="AB50" s="14">
        <f>+SUM(AB51:AB63)</f>
        <v>0</v>
      </c>
      <c r="AI50" s="14">
        <f>+SUM(AI51:AI63)</f>
        <v>0</v>
      </c>
      <c r="AP50" s="14">
        <f>+SUM(AP51:AP63)</f>
        <v>0</v>
      </c>
    </row>
    <row r="51" spans="2:130" outlineLevel="1">
      <c r="B51" t="s">
        <v>28</v>
      </c>
      <c r="C51" t="s">
        <v>95</v>
      </c>
      <c r="E51" s="11"/>
      <c r="F51" t="s">
        <v>30</v>
      </c>
      <c r="G51" s="12">
        <v>0.1</v>
      </c>
      <c r="I51" s="11">
        <f t="shared" si="3"/>
        <v>0</v>
      </c>
      <c r="J51" s="13">
        <f t="array" ref="J51">MAX(IF($N$3:$EH$3=$J$3,N51:EH51))</f>
        <v>0</v>
      </c>
      <c r="K51" s="13">
        <f t="array" ref="K51">MAX(IF($N$3:$EH$3=$J$3,N51:EH51))</f>
        <v>0</v>
      </c>
      <c r="L51" s="11"/>
      <c r="O51" s="12"/>
      <c r="P51" s="12">
        <v>0.5</v>
      </c>
      <c r="Q51" s="12"/>
      <c r="R51" s="12">
        <v>0.5</v>
      </c>
      <c r="V51" s="12"/>
      <c r="W51" s="12">
        <v>0.8</v>
      </c>
      <c r="X51" s="12"/>
      <c r="Y51" s="12">
        <v>0.8</v>
      </c>
      <c r="AC51" s="12"/>
      <c r="AD51" s="12">
        <v>0.8</v>
      </c>
      <c r="AE51" s="12"/>
      <c r="AF51" s="12">
        <v>0.8</v>
      </c>
      <c r="AJ51" s="12"/>
      <c r="AK51" s="12">
        <v>1</v>
      </c>
      <c r="AL51" s="12"/>
      <c r="AM51" s="12">
        <v>1</v>
      </c>
      <c r="AQ51" s="12"/>
      <c r="AR51" s="12">
        <v>1</v>
      </c>
      <c r="AS51" s="12"/>
      <c r="AT51" s="12">
        <v>1</v>
      </c>
      <c r="AX51" s="12"/>
      <c r="AY51" s="12"/>
      <c r="AZ51" s="12"/>
      <c r="BA51" s="12"/>
      <c r="BE51" s="12"/>
      <c r="BF51" s="12"/>
      <c r="BG51" s="12"/>
      <c r="BH51" s="12"/>
      <c r="BL51" s="12"/>
      <c r="BM51" s="12"/>
      <c r="BN51" s="12"/>
      <c r="BO51" s="12">
        <v>1</v>
      </c>
      <c r="BS51" s="12"/>
      <c r="BT51" s="12">
        <v>1</v>
      </c>
      <c r="BU51" s="12"/>
      <c r="BV51" s="12">
        <v>1</v>
      </c>
      <c r="BZ51" s="12"/>
      <c r="CA51" s="12">
        <v>1</v>
      </c>
      <c r="CB51" s="12"/>
      <c r="CC51" s="12">
        <v>1</v>
      </c>
      <c r="CG51" s="12"/>
      <c r="CH51" s="12">
        <v>1</v>
      </c>
      <c r="CI51" s="12"/>
      <c r="CJ51" s="12">
        <v>1</v>
      </c>
      <c r="CN51" s="12"/>
      <c r="CO51" s="12"/>
      <c r="CP51" s="12"/>
      <c r="CQ51" s="12"/>
      <c r="CU51" s="12"/>
      <c r="CV51" s="12"/>
      <c r="CW51" s="12"/>
      <c r="CX51" s="12"/>
      <c r="DB51" s="12"/>
      <c r="DC51" s="12"/>
      <c r="DD51" s="12"/>
      <c r="DE51" s="12"/>
      <c r="DI51" s="12"/>
      <c r="DJ51" s="12"/>
      <c r="DK51" s="12"/>
      <c r="DL51" s="12"/>
      <c r="DP51" s="12"/>
      <c r="DQ51" s="12"/>
      <c r="DR51" s="12"/>
      <c r="DS51" s="12"/>
      <c r="DW51" s="12"/>
      <c r="DX51" s="12"/>
      <c r="DY51" s="12"/>
      <c r="DZ51" s="12"/>
    </row>
    <row r="52" spans="2:130" outlineLevel="1">
      <c r="B52" t="s">
        <v>28</v>
      </c>
      <c r="C52" t="s">
        <v>95</v>
      </c>
      <c r="E52" s="11"/>
      <c r="F52" t="s">
        <v>117</v>
      </c>
      <c r="G52" s="12">
        <v>0.05</v>
      </c>
      <c r="I52" s="11">
        <f t="shared" si="3"/>
        <v>0</v>
      </c>
      <c r="J52" s="13">
        <f t="array" ref="J52">MAX(IF($N$3:$EH$3=$J$3,N52:EH52))</f>
        <v>0</v>
      </c>
      <c r="K52" s="13">
        <f t="array" ref="K52">MAX(IF($N$3:$EH$3=$J$3,N52:EH52))</f>
        <v>0</v>
      </c>
      <c r="L52" s="11"/>
      <c r="O52" s="12"/>
      <c r="P52" s="12">
        <v>0.5</v>
      </c>
      <c r="Q52" s="12"/>
      <c r="R52" s="12">
        <v>0.5</v>
      </c>
      <c r="V52" s="12"/>
      <c r="W52" s="12">
        <v>0.8</v>
      </c>
      <c r="X52" s="12"/>
      <c r="Y52" s="12">
        <v>0.8</v>
      </c>
      <c r="AC52" s="12"/>
      <c r="AD52" s="12">
        <v>0.8</v>
      </c>
      <c r="AE52" s="12"/>
      <c r="AF52" s="12">
        <v>0.8</v>
      </c>
      <c r="AJ52" s="12"/>
      <c r="AK52" s="12">
        <v>1</v>
      </c>
      <c r="AL52" s="12"/>
      <c r="AM52" s="12">
        <v>1</v>
      </c>
      <c r="AQ52" s="12"/>
      <c r="AR52" s="12">
        <v>1</v>
      </c>
      <c r="AS52" s="12"/>
      <c r="AT52" s="12">
        <v>1</v>
      </c>
      <c r="AX52" s="12"/>
      <c r="AY52" s="12"/>
      <c r="AZ52" s="12"/>
      <c r="BA52" s="12"/>
      <c r="BE52" s="12"/>
      <c r="BF52" s="12"/>
      <c r="BG52" s="12"/>
      <c r="BH52" s="12"/>
      <c r="BL52" s="12"/>
      <c r="BM52" s="12"/>
      <c r="BN52" s="12"/>
      <c r="BO52" s="12">
        <v>1</v>
      </c>
      <c r="BS52" s="12"/>
      <c r="BT52" s="12">
        <v>1</v>
      </c>
      <c r="BU52" s="12"/>
      <c r="BV52" s="12">
        <v>1</v>
      </c>
      <c r="BZ52" s="12"/>
      <c r="CA52" s="12">
        <v>1</v>
      </c>
      <c r="CB52" s="12"/>
      <c r="CC52" s="12">
        <v>1</v>
      </c>
      <c r="CG52" s="12"/>
      <c r="CH52" s="12">
        <v>1</v>
      </c>
      <c r="CI52" s="12"/>
      <c r="CJ52" s="12">
        <v>1</v>
      </c>
      <c r="CN52" s="12"/>
      <c r="CO52" s="12"/>
      <c r="CP52" s="12"/>
      <c r="CQ52" s="12"/>
      <c r="CU52" s="12"/>
      <c r="CV52" s="12"/>
      <c r="CW52" s="12"/>
      <c r="CX52" s="12"/>
      <c r="DB52" s="12"/>
      <c r="DC52" s="12"/>
      <c r="DD52" s="12"/>
      <c r="DE52" s="12"/>
      <c r="DI52" s="12"/>
      <c r="DJ52" s="12"/>
      <c r="DK52" s="12"/>
      <c r="DL52" s="12"/>
      <c r="DP52" s="12"/>
      <c r="DQ52" s="12"/>
      <c r="DR52" s="12"/>
      <c r="DS52" s="12"/>
      <c r="DW52" s="12"/>
      <c r="DX52" s="12"/>
      <c r="DY52" s="12"/>
      <c r="DZ52" s="12"/>
    </row>
    <row r="53" spans="2:130" outlineLevel="1">
      <c r="B53" t="s">
        <v>28</v>
      </c>
      <c r="C53" t="s">
        <v>95</v>
      </c>
      <c r="E53" s="11"/>
      <c r="F53" t="s">
        <v>118</v>
      </c>
      <c r="G53" s="12">
        <v>0.05</v>
      </c>
      <c r="I53" s="11">
        <f t="shared" si="3"/>
        <v>0</v>
      </c>
      <c r="J53" s="13">
        <f t="array" ref="J53">MAX(IF($N$3:$EH$3=$J$3,N53:EH53))</f>
        <v>0</v>
      </c>
      <c r="K53" s="13">
        <f t="array" ref="K53">MAX(IF($N$3:$EH$3=$J$3,N53:EH53))</f>
        <v>0</v>
      </c>
      <c r="L53" s="11"/>
      <c r="O53" s="12"/>
      <c r="P53" s="12">
        <v>0.5</v>
      </c>
      <c r="Q53" s="12"/>
      <c r="R53" s="12">
        <v>0.5</v>
      </c>
      <c r="V53" s="12"/>
      <c r="W53" s="12">
        <v>0.5</v>
      </c>
      <c r="X53" s="12"/>
      <c r="Y53" s="12">
        <v>0.5</v>
      </c>
      <c r="AC53" s="12"/>
      <c r="AD53" s="12">
        <v>0.8</v>
      </c>
      <c r="AE53" s="12"/>
      <c r="AF53" s="12">
        <v>0.8</v>
      </c>
      <c r="AJ53" s="12"/>
      <c r="AK53" s="12">
        <v>0.8</v>
      </c>
      <c r="AL53" s="12"/>
      <c r="AM53" s="12">
        <v>0.8</v>
      </c>
      <c r="AQ53" s="12"/>
      <c r="AR53" s="12">
        <v>1</v>
      </c>
      <c r="AS53" s="12"/>
      <c r="AT53" s="12">
        <v>1</v>
      </c>
      <c r="AX53" s="12"/>
      <c r="AY53" s="12"/>
      <c r="AZ53" s="12"/>
      <c r="BA53" s="12"/>
      <c r="BE53" s="12"/>
      <c r="BF53" s="12"/>
      <c r="BG53" s="12"/>
      <c r="BH53" s="12"/>
      <c r="BL53" s="12"/>
      <c r="BM53" s="12"/>
      <c r="BN53" s="12"/>
      <c r="BO53" s="12">
        <v>0.8</v>
      </c>
      <c r="BS53" s="12"/>
      <c r="BT53" s="12">
        <v>1</v>
      </c>
      <c r="BU53" s="12"/>
      <c r="BV53" s="12">
        <v>1</v>
      </c>
      <c r="BZ53" s="12"/>
      <c r="CA53" s="12">
        <v>1</v>
      </c>
      <c r="CB53" s="12"/>
      <c r="CC53" s="12">
        <v>1</v>
      </c>
      <c r="CG53" s="12"/>
      <c r="CH53" s="12">
        <v>1</v>
      </c>
      <c r="CI53" s="12"/>
      <c r="CJ53" s="12">
        <v>1</v>
      </c>
      <c r="CN53" s="12"/>
      <c r="CO53" s="12"/>
      <c r="CP53" s="12"/>
      <c r="CQ53" s="12"/>
      <c r="CU53" s="12"/>
      <c r="CV53" s="12"/>
      <c r="CW53" s="12"/>
      <c r="CX53" s="12"/>
      <c r="DB53" s="12"/>
      <c r="DC53" s="12"/>
      <c r="DD53" s="12"/>
      <c r="DE53" s="12"/>
      <c r="DI53" s="12"/>
      <c r="DJ53" s="12"/>
      <c r="DK53" s="12"/>
      <c r="DL53" s="12"/>
      <c r="DP53" s="12"/>
      <c r="DQ53" s="12"/>
      <c r="DR53" s="12"/>
      <c r="DS53" s="12"/>
      <c r="DW53" s="12"/>
      <c r="DX53" s="12"/>
      <c r="DY53" s="12"/>
      <c r="DZ53" s="12"/>
    </row>
    <row r="54" spans="2:130" outlineLevel="1">
      <c r="B54" t="s">
        <v>28</v>
      </c>
      <c r="C54" t="s">
        <v>95</v>
      </c>
      <c r="E54" s="11"/>
      <c r="F54" t="s">
        <v>119</v>
      </c>
      <c r="G54" s="12">
        <v>0.1</v>
      </c>
      <c r="I54" s="11">
        <f t="shared" si="3"/>
        <v>0</v>
      </c>
      <c r="J54" s="13">
        <f t="array" ref="J54">MAX(IF($N$3:$EH$3=$J$3,N54:EH54))</f>
        <v>0</v>
      </c>
      <c r="K54" s="13">
        <f t="array" ref="K54">MAX(IF($N$3:$EH$3=$J$3,N54:EH54))</f>
        <v>0</v>
      </c>
      <c r="L54" s="11"/>
      <c r="O54" s="12"/>
      <c r="P54" s="12">
        <v>0.5</v>
      </c>
      <c r="Q54" s="12"/>
      <c r="R54" s="12">
        <v>0.5</v>
      </c>
      <c r="V54" s="12"/>
      <c r="W54" s="12">
        <v>0.5</v>
      </c>
      <c r="X54" s="12"/>
      <c r="Y54" s="12">
        <v>0.5</v>
      </c>
      <c r="AC54" s="12"/>
      <c r="AD54" s="12">
        <v>0.8</v>
      </c>
      <c r="AE54" s="12"/>
      <c r="AF54" s="12">
        <v>0.8</v>
      </c>
      <c r="AJ54" s="12"/>
      <c r="AK54" s="12">
        <v>0.8</v>
      </c>
      <c r="AL54" s="12"/>
      <c r="AM54" s="12">
        <v>0.8</v>
      </c>
      <c r="AQ54" s="12"/>
      <c r="AR54" s="12">
        <v>1</v>
      </c>
      <c r="AS54" s="12"/>
      <c r="AT54" s="12">
        <v>1</v>
      </c>
      <c r="AX54" s="12"/>
      <c r="AY54" s="12"/>
      <c r="AZ54" s="12"/>
      <c r="BA54" s="12"/>
      <c r="BE54" s="12"/>
      <c r="BF54" s="12"/>
      <c r="BG54" s="12"/>
      <c r="BH54" s="12"/>
      <c r="BL54" s="12"/>
      <c r="BM54" s="12"/>
      <c r="BN54" s="12"/>
      <c r="BO54" s="12">
        <v>0.8</v>
      </c>
      <c r="BS54" s="12"/>
      <c r="BT54" s="12">
        <v>0.8</v>
      </c>
      <c r="BU54" s="12"/>
      <c r="BV54" s="12">
        <v>0.8</v>
      </c>
      <c r="BZ54" s="12"/>
      <c r="CA54" s="12">
        <v>1</v>
      </c>
      <c r="CB54" s="12"/>
      <c r="CC54" s="12">
        <v>1</v>
      </c>
      <c r="CG54" s="12"/>
      <c r="CH54" s="12">
        <v>1</v>
      </c>
      <c r="CI54" s="12"/>
      <c r="CJ54" s="12">
        <v>1</v>
      </c>
      <c r="CN54" s="12"/>
      <c r="CO54" s="12"/>
      <c r="CP54" s="12"/>
      <c r="CQ54" s="12"/>
      <c r="CU54" s="12"/>
      <c r="CV54" s="12"/>
      <c r="CW54" s="12"/>
      <c r="CX54" s="12"/>
      <c r="DB54" s="12"/>
      <c r="DC54" s="12"/>
      <c r="DD54" s="12"/>
      <c r="DE54" s="12"/>
      <c r="DI54" s="12"/>
      <c r="DJ54" s="12"/>
      <c r="DK54" s="12"/>
      <c r="DL54" s="12"/>
      <c r="DP54" s="12"/>
      <c r="DQ54" s="12"/>
      <c r="DR54" s="12"/>
      <c r="DS54" s="12"/>
      <c r="DW54" s="12"/>
      <c r="DX54" s="12"/>
      <c r="DY54" s="12"/>
      <c r="DZ54" s="12"/>
    </row>
    <row r="55" spans="2:130" outlineLevel="1">
      <c r="B55" t="s">
        <v>28</v>
      </c>
      <c r="C55" t="s">
        <v>95</v>
      </c>
      <c r="E55" s="11"/>
      <c r="F55" t="s">
        <v>120</v>
      </c>
      <c r="G55" s="12">
        <v>0.1</v>
      </c>
      <c r="I55" s="11">
        <f t="shared" si="3"/>
        <v>0</v>
      </c>
      <c r="J55" s="13">
        <f t="array" ref="J55">MAX(IF($N$3:$EH$3=$J$3,N55:EH55))</f>
        <v>0</v>
      </c>
      <c r="K55" s="13">
        <f t="array" ref="K55">MAX(IF($N$3:$EH$3=$J$3,N55:EH55))</f>
        <v>0</v>
      </c>
      <c r="L55" s="11"/>
      <c r="O55" s="12"/>
      <c r="P55" s="12"/>
      <c r="Q55" s="12"/>
      <c r="R55" s="12"/>
      <c r="V55" s="12"/>
      <c r="W55" s="12">
        <v>0.5</v>
      </c>
      <c r="X55" s="12"/>
      <c r="Y55" s="12">
        <v>0.5</v>
      </c>
      <c r="AC55" s="12"/>
      <c r="AD55" s="12">
        <v>0.5</v>
      </c>
      <c r="AE55" s="12"/>
      <c r="AF55" s="12">
        <v>0.5</v>
      </c>
      <c r="AJ55" s="12"/>
      <c r="AK55" s="12">
        <v>0.5</v>
      </c>
      <c r="AL55" s="12"/>
      <c r="AM55" s="12">
        <v>0.5</v>
      </c>
      <c r="AQ55" s="12"/>
      <c r="AR55" s="12">
        <v>1</v>
      </c>
      <c r="AS55" s="12"/>
      <c r="AT55" s="12">
        <v>1</v>
      </c>
      <c r="AX55" s="12"/>
      <c r="AY55" s="12"/>
      <c r="AZ55" s="12"/>
      <c r="BA55" s="12"/>
      <c r="BE55" s="12"/>
      <c r="BF55" s="12"/>
      <c r="BG55" s="12"/>
      <c r="BH55" s="12"/>
      <c r="BL55" s="12"/>
      <c r="BM55" s="12"/>
      <c r="BN55" s="12"/>
      <c r="BO55" s="12">
        <v>0.8</v>
      </c>
      <c r="BS55" s="12"/>
      <c r="BT55" s="12">
        <v>0.8</v>
      </c>
      <c r="BU55" s="12"/>
      <c r="BV55" s="12">
        <v>0.8</v>
      </c>
      <c r="BZ55" s="12"/>
      <c r="CA55" s="12">
        <v>1</v>
      </c>
      <c r="CB55" s="12"/>
      <c r="CC55" s="12">
        <v>1</v>
      </c>
      <c r="CG55" s="12"/>
      <c r="CH55" s="12">
        <v>1</v>
      </c>
      <c r="CI55" s="12"/>
      <c r="CJ55" s="12">
        <v>1</v>
      </c>
      <c r="CN55" s="12"/>
      <c r="CO55" s="12"/>
      <c r="CP55" s="12"/>
      <c r="CQ55" s="12"/>
      <c r="CU55" s="12"/>
      <c r="CV55" s="12"/>
      <c r="CW55" s="12"/>
      <c r="CX55" s="12"/>
      <c r="DB55" s="12"/>
      <c r="DC55" s="12"/>
      <c r="DD55" s="12"/>
      <c r="DE55" s="12"/>
      <c r="DI55" s="12"/>
      <c r="DJ55" s="12"/>
      <c r="DK55" s="12"/>
      <c r="DL55" s="12"/>
      <c r="DP55" s="12"/>
      <c r="DQ55" s="12"/>
      <c r="DR55" s="12"/>
      <c r="DS55" s="12"/>
      <c r="DW55" s="12"/>
      <c r="DX55" s="12"/>
      <c r="DY55" s="12"/>
      <c r="DZ55" s="12"/>
    </row>
    <row r="56" spans="2:130" outlineLevel="1">
      <c r="B56" t="s">
        <v>28</v>
      </c>
      <c r="C56" t="s">
        <v>95</v>
      </c>
      <c r="E56" s="11"/>
      <c r="F56" t="s">
        <v>121</v>
      </c>
      <c r="G56" s="12">
        <v>0.1</v>
      </c>
      <c r="I56" s="11">
        <f t="shared" si="3"/>
        <v>0</v>
      </c>
      <c r="J56" s="13">
        <f t="array" ref="J56">MAX(IF($N$3:$EH$3=$J$3,N56:EH56))</f>
        <v>0</v>
      </c>
      <c r="K56" s="13">
        <f t="array" ref="K56">MAX(IF($N$3:$EH$3=$J$3,N56:EH56))</f>
        <v>0</v>
      </c>
      <c r="L56" s="11"/>
      <c r="O56" s="12"/>
      <c r="P56" s="12"/>
      <c r="Q56" s="12"/>
      <c r="R56" s="12"/>
      <c r="V56" s="12"/>
      <c r="W56" s="12">
        <v>0.5</v>
      </c>
      <c r="X56" s="12"/>
      <c r="Y56" s="12">
        <v>0.5</v>
      </c>
      <c r="AC56" s="12"/>
      <c r="AD56" s="12">
        <v>0.5</v>
      </c>
      <c r="AE56" s="12"/>
      <c r="AF56" s="12">
        <v>0.5</v>
      </c>
      <c r="AJ56" s="12"/>
      <c r="AK56" s="12">
        <v>0.5</v>
      </c>
      <c r="AL56" s="12"/>
      <c r="AM56" s="12">
        <v>0.5</v>
      </c>
      <c r="AQ56" s="12"/>
      <c r="AR56" s="12">
        <v>1</v>
      </c>
      <c r="AS56" s="12"/>
      <c r="AT56" s="12">
        <v>1</v>
      </c>
      <c r="AX56" s="12"/>
      <c r="AY56" s="12"/>
      <c r="AZ56" s="12"/>
      <c r="BA56" s="12"/>
      <c r="BE56" s="12"/>
      <c r="BF56" s="12"/>
      <c r="BG56" s="12"/>
      <c r="BH56" s="12"/>
      <c r="BL56" s="12"/>
      <c r="BM56" s="12"/>
      <c r="BN56" s="12"/>
      <c r="BO56" s="12">
        <v>0.8</v>
      </c>
      <c r="BS56" s="12"/>
      <c r="BT56" s="12">
        <v>0.8</v>
      </c>
      <c r="BU56" s="12"/>
      <c r="BV56" s="12">
        <v>0.8</v>
      </c>
      <c r="BZ56" s="12"/>
      <c r="CA56" s="12">
        <v>1</v>
      </c>
      <c r="CB56" s="12"/>
      <c r="CC56" s="12">
        <v>1</v>
      </c>
      <c r="CG56" s="12"/>
      <c r="CH56" s="12">
        <v>1</v>
      </c>
      <c r="CI56" s="12"/>
      <c r="CJ56" s="12">
        <v>1</v>
      </c>
      <c r="CN56" s="12"/>
      <c r="CO56" s="12"/>
      <c r="CP56" s="12"/>
      <c r="CQ56" s="12"/>
      <c r="CU56" s="12"/>
      <c r="CV56" s="12"/>
      <c r="CW56" s="12"/>
      <c r="CX56" s="12"/>
      <c r="DB56" s="12"/>
      <c r="DC56" s="12"/>
      <c r="DD56" s="12"/>
      <c r="DE56" s="12"/>
      <c r="DI56" s="12"/>
      <c r="DJ56" s="12"/>
      <c r="DK56" s="12"/>
      <c r="DL56" s="12"/>
      <c r="DP56" s="12"/>
      <c r="DQ56" s="12"/>
      <c r="DR56" s="12"/>
      <c r="DS56" s="12"/>
      <c r="DW56" s="12"/>
      <c r="DX56" s="12"/>
      <c r="DY56" s="12"/>
      <c r="DZ56" s="12"/>
    </row>
    <row r="57" spans="2:130" outlineLevel="1">
      <c r="B57" t="s">
        <v>28</v>
      </c>
      <c r="C57" t="s">
        <v>95</v>
      </c>
      <c r="E57" s="11"/>
      <c r="F57" t="s">
        <v>122</v>
      </c>
      <c r="G57" s="12">
        <v>0.1</v>
      </c>
      <c r="I57" s="11">
        <f t="shared" si="3"/>
        <v>0</v>
      </c>
      <c r="J57" s="13">
        <f t="array" ref="J57">MAX(IF($N$3:$EH$3=$J$3,N57:EH57))</f>
        <v>0</v>
      </c>
      <c r="K57" s="13">
        <f t="array" ref="K57">MAX(IF($N$3:$EH$3=$J$3,N57:EH57))</f>
        <v>0</v>
      </c>
      <c r="L57" s="11"/>
      <c r="O57" s="12"/>
      <c r="P57" s="12"/>
      <c r="Q57" s="12"/>
      <c r="R57" s="12"/>
      <c r="V57" s="12"/>
      <c r="W57" s="12"/>
      <c r="X57" s="12"/>
      <c r="Y57" s="12"/>
      <c r="AC57" s="12"/>
      <c r="AD57" s="12">
        <v>0.5</v>
      </c>
      <c r="AE57" s="12"/>
      <c r="AF57" s="12">
        <v>0.5</v>
      </c>
      <c r="AJ57" s="12"/>
      <c r="AK57" s="12">
        <v>0.5</v>
      </c>
      <c r="AL57" s="12"/>
      <c r="AM57" s="12">
        <v>0.5</v>
      </c>
      <c r="AQ57" s="12"/>
      <c r="AR57" s="12">
        <v>1</v>
      </c>
      <c r="AS57" s="12"/>
      <c r="AT57" s="12">
        <v>1</v>
      </c>
      <c r="AX57" s="12"/>
      <c r="AY57" s="12"/>
      <c r="AZ57" s="12"/>
      <c r="BA57" s="12"/>
      <c r="BE57" s="12"/>
      <c r="BF57" s="12"/>
      <c r="BG57" s="12"/>
      <c r="BH57" s="12"/>
      <c r="BL57" s="12"/>
      <c r="BM57" s="12"/>
      <c r="BN57" s="12"/>
      <c r="BO57" s="12">
        <v>0.8</v>
      </c>
      <c r="BS57" s="12"/>
      <c r="BT57" s="12">
        <v>0.8</v>
      </c>
      <c r="BU57" s="12"/>
      <c r="BV57" s="12">
        <v>0.8</v>
      </c>
      <c r="BZ57" s="12"/>
      <c r="CA57" s="12">
        <v>0.8</v>
      </c>
      <c r="CB57" s="12"/>
      <c r="CC57" s="12">
        <v>0.8</v>
      </c>
      <c r="CG57" s="12"/>
      <c r="CH57" s="12">
        <v>1</v>
      </c>
      <c r="CI57" s="12"/>
      <c r="CJ57" s="12">
        <v>1</v>
      </c>
      <c r="CN57" s="12"/>
      <c r="CO57" s="12"/>
      <c r="CP57" s="12"/>
      <c r="CQ57" s="12"/>
      <c r="CU57" s="12"/>
      <c r="CV57" s="12"/>
      <c r="CW57" s="12"/>
      <c r="CX57" s="12"/>
      <c r="DB57" s="12"/>
      <c r="DC57" s="12"/>
      <c r="DD57" s="12"/>
      <c r="DE57" s="12"/>
      <c r="DI57" s="12"/>
      <c r="DJ57" s="12"/>
      <c r="DK57" s="12"/>
      <c r="DL57" s="12"/>
      <c r="DP57" s="12"/>
      <c r="DQ57" s="12"/>
      <c r="DR57" s="12"/>
      <c r="DS57" s="12"/>
      <c r="DW57" s="12"/>
      <c r="DX57" s="12"/>
      <c r="DY57" s="12"/>
      <c r="DZ57" s="12"/>
    </row>
    <row r="58" spans="2:130" outlineLevel="1">
      <c r="B58" t="s">
        <v>28</v>
      </c>
      <c r="C58" t="s">
        <v>95</v>
      </c>
      <c r="E58" s="11"/>
      <c r="F58" t="s">
        <v>123</v>
      </c>
      <c r="G58" s="12">
        <v>0.1</v>
      </c>
      <c r="I58" s="11">
        <f t="shared" si="3"/>
        <v>0</v>
      </c>
      <c r="J58" s="13">
        <f t="array" ref="J58">MAX(IF($N$3:$EH$3=$J$3,N58:EH58))</f>
        <v>0</v>
      </c>
      <c r="K58" s="13">
        <f t="array" ref="K58">MAX(IF($N$3:$EH$3=$J$3,N58:EH58))</f>
        <v>0</v>
      </c>
      <c r="L58" s="11"/>
      <c r="O58" s="12"/>
      <c r="P58" s="12"/>
      <c r="Q58" s="12"/>
      <c r="R58" s="12"/>
      <c r="V58" s="12"/>
      <c r="W58" s="12"/>
      <c r="X58" s="12"/>
      <c r="Y58" s="12"/>
      <c r="AC58" s="12"/>
      <c r="AD58" s="12">
        <v>0.5</v>
      </c>
      <c r="AE58" s="12"/>
      <c r="AF58" s="12">
        <v>0.5</v>
      </c>
      <c r="AJ58" s="12"/>
      <c r="AK58" s="12">
        <v>0.5</v>
      </c>
      <c r="AL58" s="12"/>
      <c r="AM58" s="12">
        <v>0.5</v>
      </c>
      <c r="AQ58" s="12"/>
      <c r="AR58" s="12">
        <v>1</v>
      </c>
      <c r="AS58" s="12"/>
      <c r="AT58" s="12">
        <v>1</v>
      </c>
      <c r="AX58" s="12"/>
      <c r="AY58" s="12"/>
      <c r="AZ58" s="12"/>
      <c r="BA58" s="12"/>
      <c r="BE58" s="12"/>
      <c r="BF58" s="12"/>
      <c r="BG58" s="12"/>
      <c r="BH58" s="12"/>
      <c r="BL58" s="12"/>
      <c r="BM58" s="12"/>
      <c r="BN58" s="12"/>
      <c r="BO58" s="12">
        <v>0.8</v>
      </c>
      <c r="BS58" s="12"/>
      <c r="BT58" s="12">
        <v>0.8</v>
      </c>
      <c r="BU58" s="12"/>
      <c r="BV58" s="12">
        <v>0.8</v>
      </c>
      <c r="BZ58" s="12"/>
      <c r="CA58" s="12">
        <v>0.8</v>
      </c>
      <c r="CB58" s="12"/>
      <c r="CC58" s="12">
        <v>0.8</v>
      </c>
      <c r="CG58" s="12"/>
      <c r="CH58" s="12">
        <v>1</v>
      </c>
      <c r="CI58" s="12"/>
      <c r="CJ58" s="12">
        <v>1</v>
      </c>
      <c r="CN58" s="12"/>
      <c r="CO58" s="12"/>
      <c r="CP58" s="12"/>
      <c r="CQ58" s="12"/>
      <c r="CU58" s="12"/>
      <c r="CV58" s="12"/>
      <c r="CW58" s="12"/>
      <c r="CX58" s="12"/>
      <c r="DB58" s="12"/>
      <c r="DC58" s="12"/>
      <c r="DD58" s="12"/>
      <c r="DE58" s="12"/>
      <c r="DI58" s="12"/>
      <c r="DJ58" s="12"/>
      <c r="DK58" s="12"/>
      <c r="DL58" s="12"/>
      <c r="DP58" s="12"/>
      <c r="DQ58" s="12"/>
      <c r="DR58" s="12"/>
      <c r="DS58" s="12"/>
      <c r="DW58" s="12"/>
      <c r="DX58" s="12"/>
      <c r="DY58" s="12"/>
      <c r="DZ58" s="12"/>
    </row>
    <row r="59" spans="2:130" outlineLevel="1">
      <c r="B59" t="s">
        <v>28</v>
      </c>
      <c r="C59" t="s">
        <v>95</v>
      </c>
      <c r="E59" s="11"/>
      <c r="F59" t="s">
        <v>124</v>
      </c>
      <c r="G59" s="12">
        <v>0.1</v>
      </c>
      <c r="I59" s="11">
        <f t="shared" si="3"/>
        <v>0</v>
      </c>
      <c r="J59" s="13">
        <f t="array" ref="J59">MAX(IF($N$3:$EH$3=$J$3,N59:EH59))</f>
        <v>0</v>
      </c>
      <c r="K59" s="13">
        <f t="array" ref="K59">MAX(IF($N$3:$EH$3=$J$3,N59:EH59))</f>
        <v>0</v>
      </c>
      <c r="L59" s="11"/>
      <c r="O59" s="12"/>
      <c r="P59" s="12"/>
      <c r="Q59" s="12"/>
      <c r="R59" s="12"/>
      <c r="V59" s="12"/>
      <c r="W59" s="12"/>
      <c r="X59" s="12"/>
      <c r="Y59" s="12"/>
      <c r="AC59" s="12"/>
      <c r="AD59" s="12">
        <v>0.5</v>
      </c>
      <c r="AE59" s="12"/>
      <c r="AF59" s="12">
        <v>0.5</v>
      </c>
      <c r="AJ59" s="12"/>
      <c r="AK59" s="12">
        <v>0.5</v>
      </c>
      <c r="AL59" s="12"/>
      <c r="AM59" s="12">
        <v>0.5</v>
      </c>
      <c r="AQ59" s="12"/>
      <c r="AR59" s="12">
        <v>1</v>
      </c>
      <c r="AS59" s="12"/>
      <c r="AT59" s="12">
        <v>1</v>
      </c>
      <c r="AX59" s="12"/>
      <c r="AY59" s="12"/>
      <c r="AZ59" s="12"/>
      <c r="BA59" s="12"/>
      <c r="BE59" s="12"/>
      <c r="BF59" s="12"/>
      <c r="BG59" s="12"/>
      <c r="BH59" s="12"/>
      <c r="BL59" s="12"/>
      <c r="BM59" s="12"/>
      <c r="BN59" s="12"/>
      <c r="BO59" s="12">
        <v>0.8</v>
      </c>
      <c r="BS59" s="12"/>
      <c r="BT59" s="12">
        <v>0.8</v>
      </c>
      <c r="BU59" s="12"/>
      <c r="BV59" s="12">
        <v>0.8</v>
      </c>
      <c r="BZ59" s="12"/>
      <c r="CA59" s="12">
        <v>0.8</v>
      </c>
      <c r="CB59" s="12"/>
      <c r="CC59" s="12">
        <v>0.8</v>
      </c>
      <c r="CG59" s="12"/>
      <c r="CH59" s="12">
        <v>1</v>
      </c>
      <c r="CI59" s="12"/>
      <c r="CJ59" s="12">
        <v>1</v>
      </c>
      <c r="CN59" s="12"/>
      <c r="CO59" s="12"/>
      <c r="CP59" s="12"/>
      <c r="CQ59" s="12"/>
      <c r="CU59" s="12"/>
      <c r="CV59" s="12"/>
      <c r="CW59" s="12"/>
      <c r="CX59" s="12"/>
      <c r="DB59" s="12"/>
      <c r="DC59" s="12"/>
      <c r="DD59" s="12"/>
      <c r="DE59" s="12"/>
      <c r="DI59" s="12"/>
      <c r="DJ59" s="12"/>
      <c r="DK59" s="12"/>
      <c r="DL59" s="12"/>
      <c r="DP59" s="12"/>
      <c r="DQ59" s="12"/>
      <c r="DR59" s="12"/>
      <c r="DS59" s="12"/>
      <c r="DW59" s="12"/>
      <c r="DX59" s="12"/>
      <c r="DY59" s="12"/>
      <c r="DZ59" s="12"/>
    </row>
    <row r="60" spans="2:130" outlineLevel="1">
      <c r="B60" t="s">
        <v>28</v>
      </c>
      <c r="C60" t="s">
        <v>95</v>
      </c>
      <c r="E60" s="11"/>
      <c r="F60" t="s">
        <v>125</v>
      </c>
      <c r="G60" s="12">
        <v>0.1</v>
      </c>
      <c r="I60" s="11">
        <f t="shared" si="3"/>
        <v>0</v>
      </c>
      <c r="J60" s="13">
        <f t="array" ref="J60">MAX(IF($N$3:$EH$3=$J$3,N60:EH60))</f>
        <v>0</v>
      </c>
      <c r="K60" s="13">
        <f t="array" ref="K60">MAX(IF($N$3:$EH$3=$J$3,N60:EH60))</f>
        <v>0</v>
      </c>
      <c r="L60" s="11"/>
      <c r="O60" s="12"/>
      <c r="P60" s="12"/>
      <c r="Q60" s="12"/>
      <c r="R60" s="12"/>
      <c r="V60" s="12"/>
      <c r="W60" s="12"/>
      <c r="X60" s="12"/>
      <c r="Y60" s="12"/>
      <c r="AC60" s="12"/>
      <c r="AD60" s="12">
        <v>0.5</v>
      </c>
      <c r="AE60" s="12"/>
      <c r="AF60" s="12">
        <v>0.5</v>
      </c>
      <c r="AJ60" s="12"/>
      <c r="AK60" s="12">
        <v>0.5</v>
      </c>
      <c r="AL60" s="12"/>
      <c r="AM60" s="12">
        <v>0.5</v>
      </c>
      <c r="AQ60" s="12"/>
      <c r="AR60" s="12">
        <v>1</v>
      </c>
      <c r="AS60" s="12"/>
      <c r="AT60" s="12">
        <v>1</v>
      </c>
      <c r="AX60" s="12"/>
      <c r="AY60" s="12"/>
      <c r="AZ60" s="12"/>
      <c r="BA60" s="12"/>
      <c r="BE60" s="12"/>
      <c r="BF60" s="12"/>
      <c r="BG60" s="12"/>
      <c r="BH60" s="12"/>
      <c r="BL60" s="12"/>
      <c r="BM60" s="12"/>
      <c r="BN60" s="12"/>
      <c r="BO60" s="12">
        <v>0.8</v>
      </c>
      <c r="BS60" s="12"/>
      <c r="BT60" s="12">
        <v>0.8</v>
      </c>
      <c r="BU60" s="12"/>
      <c r="BV60" s="12">
        <v>0.8</v>
      </c>
      <c r="BZ60" s="12"/>
      <c r="CA60" s="12">
        <v>0.8</v>
      </c>
      <c r="CB60" s="12"/>
      <c r="CC60" s="12">
        <v>0.8</v>
      </c>
      <c r="CG60" s="12"/>
      <c r="CH60" s="12">
        <v>1</v>
      </c>
      <c r="CI60" s="12"/>
      <c r="CJ60" s="12">
        <v>1</v>
      </c>
      <c r="CN60" s="12"/>
      <c r="CO60" s="12"/>
      <c r="CP60" s="12"/>
      <c r="CQ60" s="12"/>
      <c r="CU60" s="12"/>
      <c r="CV60" s="12"/>
      <c r="CW60" s="12"/>
      <c r="CX60" s="12"/>
      <c r="DB60" s="12"/>
      <c r="DC60" s="12"/>
      <c r="DD60" s="12"/>
      <c r="DE60" s="12"/>
      <c r="DI60" s="12"/>
      <c r="DJ60" s="12"/>
      <c r="DK60" s="12"/>
      <c r="DL60" s="12"/>
      <c r="DP60" s="12"/>
      <c r="DQ60" s="12"/>
      <c r="DR60" s="12"/>
      <c r="DS60" s="12"/>
      <c r="DW60" s="12"/>
      <c r="DX60" s="12"/>
      <c r="DY60" s="12"/>
      <c r="DZ60" s="12"/>
    </row>
    <row r="61" spans="2:130" outlineLevel="1">
      <c r="B61" t="s">
        <v>28</v>
      </c>
      <c r="C61" t="s">
        <v>95</v>
      </c>
      <c r="E61" s="11"/>
      <c r="F61" t="s">
        <v>126</v>
      </c>
      <c r="G61" s="12">
        <v>0.1</v>
      </c>
      <c r="I61" s="11">
        <f t="shared" si="3"/>
        <v>0</v>
      </c>
      <c r="J61" s="13">
        <f t="array" ref="J61">MAX(IF($N$3:$EH$3=$J$3,N61:EH61))</f>
        <v>0</v>
      </c>
      <c r="K61" s="13">
        <f t="array" ref="K61">MAX(IF($N$3:$EH$3=$J$3,N61:EH61))</f>
        <v>0</v>
      </c>
      <c r="L61" s="11"/>
      <c r="O61" s="12"/>
      <c r="P61" s="12"/>
      <c r="Q61" s="12"/>
      <c r="R61" s="12"/>
      <c r="V61" s="12"/>
      <c r="W61" s="12"/>
      <c r="X61" s="12"/>
      <c r="Y61" s="12"/>
      <c r="AC61" s="12"/>
      <c r="AD61" s="12"/>
      <c r="AE61" s="12"/>
      <c r="AF61" s="12"/>
      <c r="AJ61" s="12"/>
      <c r="AK61" s="12">
        <v>0.5</v>
      </c>
      <c r="AL61" s="12"/>
      <c r="AM61" s="12">
        <v>0.5</v>
      </c>
      <c r="AQ61" s="12"/>
      <c r="AR61" s="12">
        <v>1</v>
      </c>
      <c r="AS61" s="12"/>
      <c r="AT61" s="12">
        <v>1</v>
      </c>
      <c r="AX61" s="12"/>
      <c r="AY61" s="12"/>
      <c r="AZ61" s="12"/>
      <c r="BA61" s="12"/>
      <c r="BE61" s="12"/>
      <c r="BF61" s="12"/>
      <c r="BG61" s="12"/>
      <c r="BH61" s="12"/>
      <c r="BL61" s="12"/>
      <c r="BM61" s="12"/>
      <c r="BN61" s="12"/>
      <c r="BO61" s="12">
        <v>0.8</v>
      </c>
      <c r="BS61" s="12"/>
      <c r="BT61" s="12">
        <v>0.8</v>
      </c>
      <c r="BU61" s="12"/>
      <c r="BV61" s="12">
        <v>0.8</v>
      </c>
      <c r="BZ61" s="12"/>
      <c r="CA61" s="12">
        <v>0.8</v>
      </c>
      <c r="CB61" s="12"/>
      <c r="CC61" s="12">
        <v>0.8</v>
      </c>
      <c r="CG61" s="12"/>
      <c r="CH61" s="12">
        <v>1</v>
      </c>
      <c r="CI61" s="12"/>
      <c r="CJ61" s="12">
        <v>1</v>
      </c>
      <c r="CN61" s="12"/>
      <c r="CO61" s="12"/>
      <c r="CP61" s="12"/>
      <c r="CQ61" s="12"/>
      <c r="CU61" s="12"/>
      <c r="CV61" s="12"/>
      <c r="CW61" s="12"/>
      <c r="CX61" s="12"/>
      <c r="DB61" s="12"/>
      <c r="DC61" s="12"/>
      <c r="DD61" s="12"/>
      <c r="DE61" s="12"/>
      <c r="DI61" s="12"/>
      <c r="DJ61" s="12"/>
      <c r="DK61" s="12"/>
      <c r="DL61" s="12"/>
      <c r="DP61" s="12"/>
      <c r="DQ61" s="12"/>
      <c r="DR61" s="12"/>
      <c r="DS61" s="12"/>
      <c r="DW61" s="12"/>
      <c r="DX61" s="12"/>
      <c r="DY61" s="12"/>
      <c r="DZ61" s="12"/>
    </row>
    <row r="62" spans="2:130" outlineLevel="1">
      <c r="B62" t="s">
        <v>28</v>
      </c>
      <c r="C62" t="s">
        <v>95</v>
      </c>
      <c r="E62" s="11"/>
      <c r="F62" t="s">
        <v>127</v>
      </c>
      <c r="G62" s="12">
        <v>0.1</v>
      </c>
      <c r="I62" s="11">
        <f t="shared" si="3"/>
        <v>0</v>
      </c>
      <c r="J62" s="13">
        <f t="array" ref="J62">MAX(IF($N$3:$EH$3=$J$3,N62:EH62))</f>
        <v>0</v>
      </c>
      <c r="K62" s="13">
        <f t="array" ref="K62">MAX(IF($N$3:$EH$3=$J$3,N62:EH62))</f>
        <v>0</v>
      </c>
      <c r="L62" s="11"/>
      <c r="O62" s="12"/>
      <c r="P62" s="12"/>
      <c r="Q62" s="12"/>
      <c r="R62" s="12"/>
      <c r="V62" s="12"/>
      <c r="W62" s="12"/>
      <c r="X62" s="12"/>
      <c r="Y62" s="12"/>
      <c r="AC62" s="12"/>
      <c r="AD62" s="12"/>
      <c r="AE62" s="12"/>
      <c r="AF62" s="12"/>
      <c r="AJ62" s="12"/>
      <c r="AK62" s="12">
        <v>0.5</v>
      </c>
      <c r="AL62" s="12"/>
      <c r="AM62" s="12">
        <v>0.5</v>
      </c>
      <c r="AQ62" s="12"/>
      <c r="AR62" s="12">
        <v>1</v>
      </c>
      <c r="AS62" s="12"/>
      <c r="AT62" s="12">
        <v>1</v>
      </c>
      <c r="AX62" s="12"/>
      <c r="AY62" s="12"/>
      <c r="AZ62" s="12"/>
      <c r="BA62" s="12"/>
      <c r="BE62" s="12"/>
      <c r="BF62" s="12"/>
      <c r="BG62" s="12"/>
      <c r="BH62" s="12"/>
      <c r="BL62" s="12"/>
      <c r="BM62" s="12"/>
      <c r="BN62" s="12"/>
      <c r="BO62" s="12">
        <v>0.8</v>
      </c>
      <c r="BS62" s="12"/>
      <c r="BT62" s="12">
        <v>0.8</v>
      </c>
      <c r="BU62" s="12"/>
      <c r="BV62" s="12">
        <v>0.8</v>
      </c>
      <c r="BZ62" s="12"/>
      <c r="CA62" s="12">
        <v>0.8</v>
      </c>
      <c r="CB62" s="12"/>
      <c r="CC62" s="12">
        <v>0.8</v>
      </c>
      <c r="CG62" s="12"/>
      <c r="CH62" s="12">
        <v>1</v>
      </c>
      <c r="CI62" s="12"/>
      <c r="CJ62" s="12">
        <v>1</v>
      </c>
      <c r="CN62" s="12"/>
      <c r="CO62" s="12"/>
      <c r="CP62" s="12"/>
      <c r="CQ62" s="12"/>
      <c r="CU62" s="12"/>
      <c r="CV62" s="12"/>
      <c r="CW62" s="12"/>
      <c r="CX62" s="12"/>
      <c r="DB62" s="12"/>
      <c r="DC62" s="12"/>
      <c r="DD62" s="12"/>
      <c r="DE62" s="12"/>
      <c r="DI62" s="12"/>
      <c r="DJ62" s="12"/>
      <c r="DK62" s="12"/>
      <c r="DL62" s="12"/>
      <c r="DP62" s="12"/>
      <c r="DQ62" s="12"/>
      <c r="DR62" s="12"/>
      <c r="DS62" s="12"/>
      <c r="DW62" s="12"/>
      <c r="DX62" s="12"/>
      <c r="DY62" s="12"/>
      <c r="DZ62" s="12"/>
    </row>
    <row r="63" spans="2:130" outlineLevel="1">
      <c r="B63" t="s">
        <v>28</v>
      </c>
      <c r="C63" t="s">
        <v>95</v>
      </c>
      <c r="E63" s="11"/>
      <c r="F63" t="s">
        <v>128</v>
      </c>
      <c r="G63" s="12">
        <v>0.1</v>
      </c>
      <c r="I63" s="11">
        <f t="shared" si="3"/>
        <v>0</v>
      </c>
      <c r="J63" s="13">
        <f t="array" ref="J63">MAX(IF($N$3:$EH$3=$J$3,N63:EH63))</f>
        <v>0</v>
      </c>
      <c r="K63" s="13">
        <f t="array" ref="K63">MAX(IF($N$3:$EH$3=$J$3,N63:EH63))</f>
        <v>0</v>
      </c>
      <c r="L63" s="11"/>
      <c r="O63" s="12"/>
      <c r="P63" s="12"/>
      <c r="Q63" s="12"/>
      <c r="R63" s="12"/>
      <c r="V63" s="12"/>
      <c r="W63" s="12"/>
      <c r="X63" s="12"/>
      <c r="Y63" s="12"/>
      <c r="AC63" s="12"/>
      <c r="AD63" s="12"/>
      <c r="AE63" s="12"/>
      <c r="AF63" s="12"/>
      <c r="AJ63" s="12"/>
      <c r="AK63" s="12">
        <v>0.5</v>
      </c>
      <c r="AL63" s="12"/>
      <c r="AM63" s="12">
        <v>0.5</v>
      </c>
      <c r="AQ63" s="12"/>
      <c r="AR63" s="12">
        <v>1</v>
      </c>
      <c r="AS63" s="12"/>
      <c r="AT63" s="12">
        <v>1</v>
      </c>
      <c r="AX63" s="12"/>
      <c r="AY63" s="12"/>
      <c r="AZ63" s="12"/>
      <c r="BA63" s="12"/>
      <c r="BE63" s="12"/>
      <c r="BF63" s="12"/>
      <c r="BG63" s="12"/>
      <c r="BH63" s="12"/>
      <c r="BL63" s="12"/>
      <c r="BM63" s="12"/>
      <c r="BN63" s="12"/>
      <c r="BO63" s="12">
        <v>0.5</v>
      </c>
      <c r="BS63" s="12"/>
      <c r="BT63" s="12">
        <v>0.8</v>
      </c>
      <c r="BU63" s="12"/>
      <c r="BV63" s="12">
        <v>0.8</v>
      </c>
      <c r="BZ63" s="12"/>
      <c r="CA63" s="12">
        <v>0.8</v>
      </c>
      <c r="CB63" s="12"/>
      <c r="CC63" s="12">
        <v>0.8</v>
      </c>
      <c r="CG63" s="12"/>
      <c r="CH63" s="12">
        <v>1</v>
      </c>
      <c r="CI63" s="12"/>
      <c r="CJ63" s="12">
        <v>1</v>
      </c>
      <c r="CN63" s="12"/>
      <c r="CO63" s="12"/>
      <c r="CP63" s="12"/>
      <c r="CQ63" s="12"/>
      <c r="CU63" s="12"/>
      <c r="CV63" s="12"/>
      <c r="CW63" s="12"/>
      <c r="CX63" s="12"/>
      <c r="DB63" s="12"/>
      <c r="DC63" s="12"/>
      <c r="DD63" s="12"/>
      <c r="DE63" s="12"/>
      <c r="DI63" s="12"/>
      <c r="DJ63" s="12"/>
      <c r="DK63" s="12"/>
      <c r="DL63" s="12"/>
      <c r="DP63" s="12"/>
      <c r="DQ63" s="12"/>
      <c r="DR63" s="12"/>
      <c r="DS63" s="12"/>
      <c r="DW63" s="12"/>
      <c r="DX63" s="12"/>
      <c r="DY63" s="12"/>
      <c r="DZ63" s="12"/>
    </row>
  </sheetData>
  <mergeCells count="18">
    <mergeCell ref="BK2:BP2"/>
    <mergeCell ref="BR2:BW2"/>
    <mergeCell ref="BY2:CD2"/>
    <mergeCell ref="I2:L2"/>
    <mergeCell ref="N2:S2"/>
    <mergeCell ref="BD2:BI2"/>
    <mergeCell ref="U2:Z2"/>
    <mergeCell ref="AB2:AG2"/>
    <mergeCell ref="AI2:AN2"/>
    <mergeCell ref="AP2:AU2"/>
    <mergeCell ref="AW2:BB2"/>
    <mergeCell ref="CF2:CK2"/>
    <mergeCell ref="CM2:CR2"/>
    <mergeCell ref="DH2:DM2"/>
    <mergeCell ref="DO2:DT2"/>
    <mergeCell ref="DV2:EA2"/>
    <mergeCell ref="CT2:CY2"/>
    <mergeCell ref="DA2:DF2"/>
  </mergeCells>
  <conditionalFormatting sqref="O19 Q19 O5:O8 Q5:Q8 AQ5:AQ8 AS5:AS8 BE5:BE8 BG5:BG8 V5:V8 X5:X8 AC5:AC8 AE5:AE8 AJ5:AJ8 AL5:AL8 AX5:AX8 AZ5:AZ8 BL5:BL8 BN5:BN8 AJ41:AJ43 AL41:AL43 AX41:AX43 AZ41:AZ43 Q41:Q43 O41:O43 BG41:BG43 X41:X43 V41:V43 AE41:AE43 AC41:AC43 AS41:AS43 AQ41:AQ43 BE41:BE43 BN41:BN43 BL41:BL43 Q51:Q57 O51:O57 X51:X57 V51:V57 AE51:AE57 AC51:AC57 AJ51:AJ57 AL51:AL57 AS51:AS57 AQ51:AQ57 AX51:AX57 AZ51:AZ57 BG51:BG57 BE51:BE57 BN51:BN57 BL51:BL57 CB5:CB8 BN15:BN16 BL15:BL16 AZ15:AZ16 AX15:AX16 AL15:AL16 AJ15:AJ16 AE15:AE16 AC15:AC16 X15:X16 V15:V16 BG15:BG16 BE15:BE16 AS15:AS16 AQ15:AQ16 Q15:Q16 O15:O16 AJ33:AJ36 AL33:AL36 AX33:AX36 AZ33:AZ36 Q33:Q36 O33:O36 BG33:BG36 X33:X36 V33:V36 AE33:AE36 AC33:AC36 AS33:AS36 AQ33:AQ36 BE33:BE36 BN33:BN36 BL33:BL36 BU33:BU36 BS33:BS36 CB33:CB36 BZ33:BZ36 CP33:CP36 CN33:CN36 CW33:CW36 CU33:CU36 DD33:DD36 DB33:DB36 BL60 BN60 BE60 BG60 AZ60 AX60 AQ60 AS60 AL60 AJ60 AC60 AE60 V60 X60 O60 Q60 Q62:Q63 O62:O63 X62:X63 V62:V63 AE62:AE63 AC62:AC63 AJ62:AJ63 AL62:AL63 AS62:AS63 AQ62:AQ63 AX62:AX63 AZ62:AZ63 BG62:BG63 BE62:BE63 BN62:BN63 BL62:BL63 BL47:BL48 BN47:BN48 BE47:BE48 AQ47:AQ48 AS47:AS48 AC47:AC48 AE47:AE48 V47:V48 X47:X48 BG47:BG48 O47:O48 Q47:Q48 AZ47:AZ48 AX47:AX48 AL47:AL48 AJ47:AJ48">
    <cfRule type="expression" dxfId="772" priority="1203">
      <formula>OR(IF(O5&lt;P5,TRUE),IF(AND(P5="",O5&lt;&gt;""),TRUE))</formula>
    </cfRule>
    <cfRule type="expression" dxfId="771" priority="1204">
      <formula>IF(O5&gt;=P5,IF(O5="",FALSE,TRUE))</formula>
    </cfRule>
  </conditionalFormatting>
  <conditionalFormatting sqref="AQ19 AS19">
    <cfRule type="expression" dxfId="770" priority="1070">
      <formula>OR(IF(AQ19&lt;AR19,TRUE),IF(AND(AR19="",AQ19&lt;&gt;""),TRUE))</formula>
    </cfRule>
    <cfRule type="expression" dxfId="769" priority="1071">
      <formula>IF(AQ19&gt;=AR19,IF(AQ19="",FALSE,TRUE))</formula>
    </cfRule>
  </conditionalFormatting>
  <conditionalFormatting sqref="O31:O32">
    <cfRule type="expression" dxfId="768" priority="1144">
      <formula>OR(IF(O31&lt;P31,TRUE),IF(AND(P31="",O31&lt;&gt;""),TRUE))</formula>
    </cfRule>
    <cfRule type="expression" dxfId="767" priority="1145">
      <formula>IF(O31&gt;=P31,IF(O31="",FALSE,TRUE))</formula>
    </cfRule>
  </conditionalFormatting>
  <conditionalFormatting sqref="Q31:Q32">
    <cfRule type="expression" dxfId="766" priority="1142">
      <formula>OR(IF(Q31&lt;R31,TRUE),IF(AND(R31="",Q31&lt;&gt;""),TRUE))</formula>
    </cfRule>
    <cfRule type="expression" dxfId="765" priority="1143">
      <formula>IF(Q31&gt;=R31,IF(Q31="",FALSE,TRUE))</formula>
    </cfRule>
  </conditionalFormatting>
  <conditionalFormatting sqref="BE19 BG19">
    <cfRule type="expression" dxfId="764" priority="1038">
      <formula>OR(IF(BE19&lt;BF19,TRUE),IF(AND(BF19="",BE19&lt;&gt;""),TRUE))</formula>
    </cfRule>
    <cfRule type="expression" dxfId="763" priority="1039">
      <formula>IF(BE19&gt;=BF19,IF(BE19="",FALSE,TRUE))</formula>
    </cfRule>
  </conditionalFormatting>
  <conditionalFormatting sqref="BE31:BE32">
    <cfRule type="expression" dxfId="762" priority="1034">
      <formula>OR(IF(BE31&lt;BF31,TRUE),IF(AND(BF31="",BE31&lt;&gt;""),TRUE))</formula>
    </cfRule>
    <cfRule type="expression" dxfId="761" priority="1035">
      <formula>IF(BE31&gt;=BF31,IF(BE31="",FALSE,TRUE))</formula>
    </cfRule>
  </conditionalFormatting>
  <conditionalFormatting sqref="V19 X19">
    <cfRule type="expression" dxfId="760" priority="1118">
      <formula>OR(IF(V19&lt;W19,TRUE),IF(AND(W19="",V19&lt;&gt;""),TRUE))</formula>
    </cfRule>
    <cfRule type="expression" dxfId="759" priority="1119">
      <formula>IF(V19&gt;=W19,IF(V19="",FALSE,TRUE))</formula>
    </cfRule>
  </conditionalFormatting>
  <conditionalFormatting sqref="V31:V32">
    <cfRule type="expression" dxfId="758" priority="1114">
      <formula>OR(IF(V31&lt;W31,TRUE),IF(AND(W31="",V31&lt;&gt;""),TRUE))</formula>
    </cfRule>
    <cfRule type="expression" dxfId="757" priority="1115">
      <formula>IF(V31&gt;=W31,IF(V31="",FALSE,TRUE))</formula>
    </cfRule>
  </conditionalFormatting>
  <conditionalFormatting sqref="X31:X32">
    <cfRule type="expression" dxfId="756" priority="1112">
      <formula>OR(IF(X31&lt;Y31,TRUE),IF(AND(Y31="",X31&lt;&gt;""),TRUE))</formula>
    </cfRule>
    <cfRule type="expression" dxfId="755" priority="1113">
      <formula>IF(X31&gt;=Y31,IF(X31="",FALSE,TRUE))</formula>
    </cfRule>
  </conditionalFormatting>
  <conditionalFormatting sqref="AC19 AE19">
    <cfRule type="expression" dxfId="754" priority="1102">
      <formula>OR(IF(AC19&lt;AD19,TRUE),IF(AND(AD19="",AC19&lt;&gt;""),TRUE))</formula>
    </cfRule>
    <cfRule type="expression" dxfId="753" priority="1103">
      <formula>IF(AC19&gt;=AD19,IF(AC19="",FALSE,TRUE))</formula>
    </cfRule>
  </conditionalFormatting>
  <conditionalFormatting sqref="AC31:AC32">
    <cfRule type="expression" dxfId="752" priority="1098">
      <formula>OR(IF(AC31&lt;AD31,TRUE),IF(AND(AD31="",AC31&lt;&gt;""),TRUE))</formula>
    </cfRule>
    <cfRule type="expression" dxfId="751" priority="1099">
      <formula>IF(AC31&gt;=AD31,IF(AC31="",FALSE,TRUE))</formula>
    </cfRule>
  </conditionalFormatting>
  <conditionalFormatting sqref="AE31:AE32">
    <cfRule type="expression" dxfId="750" priority="1096">
      <formula>OR(IF(AE31&lt;AF31,TRUE),IF(AND(AF31="",AE31&lt;&gt;""),TRUE))</formula>
    </cfRule>
    <cfRule type="expression" dxfId="749" priority="1097">
      <formula>IF(AE31&gt;=AF31,IF(AE31="",FALSE,TRUE))</formula>
    </cfRule>
  </conditionalFormatting>
  <conditionalFormatting sqref="AJ19 AL19">
    <cfRule type="expression" dxfId="748" priority="1086">
      <formula>OR(IF(AJ19&lt;AK19,TRUE),IF(AND(AK19="",AJ19&lt;&gt;""),TRUE))</formula>
    </cfRule>
    <cfRule type="expression" dxfId="747" priority="1087">
      <formula>IF(AJ19&gt;=AK19,IF(AJ19="",FALSE,TRUE))</formula>
    </cfRule>
  </conditionalFormatting>
  <conditionalFormatting sqref="AJ31:AJ32">
    <cfRule type="expression" dxfId="746" priority="1082">
      <formula>OR(IF(AJ31&lt;AK31,TRUE),IF(AND(AK31="",AJ31&lt;&gt;""),TRUE))</formula>
    </cfRule>
    <cfRule type="expression" dxfId="745" priority="1083">
      <formula>IF(AJ31&gt;=AK31,IF(AJ31="",FALSE,TRUE))</formula>
    </cfRule>
  </conditionalFormatting>
  <conditionalFormatting sqref="AL31:AL32">
    <cfRule type="expression" dxfId="744" priority="1080">
      <formula>OR(IF(AL31&lt;AM31,TRUE),IF(AND(AM31="",AL31&lt;&gt;""),TRUE))</formula>
    </cfRule>
    <cfRule type="expression" dxfId="743" priority="1081">
      <formula>IF(AL31&gt;=AM31,IF(AL31="",FALSE,TRUE))</formula>
    </cfRule>
  </conditionalFormatting>
  <conditionalFormatting sqref="AQ31:AQ32">
    <cfRule type="expression" dxfId="742" priority="1066">
      <formula>OR(IF(AQ31&lt;AR31,TRUE),IF(AND(AR31="",AQ31&lt;&gt;""),TRUE))</formula>
    </cfRule>
    <cfRule type="expression" dxfId="741" priority="1067">
      <formula>IF(AQ31&gt;=AR31,IF(AQ31="",FALSE,TRUE))</formula>
    </cfRule>
  </conditionalFormatting>
  <conditionalFormatting sqref="AS31:AS32">
    <cfRule type="expression" dxfId="740" priority="1064">
      <formula>OR(IF(AS31&lt;AT31,TRUE),IF(AND(AT31="",AS31&lt;&gt;""),TRUE))</formula>
    </cfRule>
    <cfRule type="expression" dxfId="739" priority="1065">
      <formula>IF(AS31&gt;=AT31,IF(AS31="",FALSE,TRUE))</formula>
    </cfRule>
  </conditionalFormatting>
  <conditionalFormatting sqref="AX19 AZ19">
    <cfRule type="expression" dxfId="738" priority="1054">
      <formula>OR(IF(AX19&lt;AY19,TRUE),IF(AND(AY19="",AX19&lt;&gt;""),TRUE))</formula>
    </cfRule>
    <cfRule type="expression" dxfId="737" priority="1055">
      <formula>IF(AX19&gt;=AY19,IF(AX19="",FALSE,TRUE))</formula>
    </cfRule>
  </conditionalFormatting>
  <conditionalFormatting sqref="AX31:AX32">
    <cfRule type="expression" dxfId="736" priority="1050">
      <formula>OR(IF(AX31&lt;AY31,TRUE),IF(AND(AY31="",AX31&lt;&gt;""),TRUE))</formula>
    </cfRule>
    <cfRule type="expression" dxfId="735" priority="1051">
      <formula>IF(AX31&gt;=AY31,IF(AX31="",FALSE,TRUE))</formula>
    </cfRule>
  </conditionalFormatting>
  <conditionalFormatting sqref="AZ31:AZ32">
    <cfRule type="expression" dxfId="734" priority="1048">
      <formula>OR(IF(AZ31&lt;BA31,TRUE),IF(AND(BA31="",AZ31&lt;&gt;""),TRUE))</formula>
    </cfRule>
    <cfRule type="expression" dxfId="733" priority="1049">
      <formula>IF(AZ31&gt;=BA31,IF(AZ31="",FALSE,TRUE))</formula>
    </cfRule>
  </conditionalFormatting>
  <conditionalFormatting sqref="BG31:BG32">
    <cfRule type="expression" dxfId="732" priority="1032">
      <formula>OR(IF(BG31&lt;BH31,TRUE),IF(AND(BH31="",BG31&lt;&gt;""),TRUE))</formula>
    </cfRule>
    <cfRule type="expression" dxfId="731" priority="1033">
      <formula>IF(BG31&gt;=BH31,IF(BG31="",FALSE,TRUE))</formula>
    </cfRule>
  </conditionalFormatting>
  <conditionalFormatting sqref="BL19 BN19">
    <cfRule type="expression" dxfId="730" priority="1014">
      <formula>OR(IF(BL19&lt;BM19,TRUE),IF(AND(BM19="",BL19&lt;&gt;""),TRUE))</formula>
    </cfRule>
    <cfRule type="expression" dxfId="729" priority="1015">
      <formula>IF(BL19&gt;=BM19,IF(BL19="",FALSE,TRUE))</formula>
    </cfRule>
  </conditionalFormatting>
  <conditionalFormatting sqref="BL31:BL32">
    <cfRule type="expression" dxfId="728" priority="1010">
      <formula>OR(IF(BL31&lt;BM31,TRUE),IF(AND(BM31="",BL31&lt;&gt;""),TRUE))</formula>
    </cfRule>
    <cfRule type="expression" dxfId="727" priority="1011">
      <formula>IF(BL31&gt;=BM31,IF(BL31="",FALSE,TRUE))</formula>
    </cfRule>
  </conditionalFormatting>
  <conditionalFormatting sqref="BN31:BN32">
    <cfRule type="expression" dxfId="726" priority="1008">
      <formula>OR(IF(BN31&lt;BO31,TRUE),IF(AND(BO31="",BN31&lt;&gt;""),TRUE))</formula>
    </cfRule>
    <cfRule type="expression" dxfId="725" priority="1009">
      <formula>IF(BN31&gt;=BO31,IF(BN31="",FALSE,TRUE))</formula>
    </cfRule>
  </conditionalFormatting>
  <conditionalFormatting sqref="O39:O40">
    <cfRule type="expression" dxfId="724" priority="931">
      <formula>OR(IF(O39&lt;P39,TRUE),IF(AND(P39="",O39&lt;&gt;""),TRUE))</formula>
    </cfRule>
    <cfRule type="expression" dxfId="723" priority="932">
      <formula>IF(O39&gt;=P39,IF(O39="",FALSE,TRUE))</formula>
    </cfRule>
  </conditionalFormatting>
  <conditionalFormatting sqref="Q39:Q40">
    <cfRule type="expression" dxfId="722" priority="929">
      <formula>OR(IF(Q39&lt;R39,TRUE),IF(AND(R39="",Q39&lt;&gt;""),TRUE))</formula>
    </cfRule>
    <cfRule type="expression" dxfId="721" priority="930">
      <formula>IF(Q39&gt;=R39,IF(Q39="",FALSE,TRUE))</formula>
    </cfRule>
  </conditionalFormatting>
  <conditionalFormatting sqref="BE39:BE40">
    <cfRule type="expression" dxfId="720" priority="883">
      <formula>OR(IF(BE39&lt;BF39,TRUE),IF(AND(BF39="",BE39&lt;&gt;""),TRUE))</formula>
    </cfRule>
    <cfRule type="expression" dxfId="719" priority="884">
      <formula>IF(BE39&gt;=BF39,IF(BE39="",FALSE,TRUE))</formula>
    </cfRule>
  </conditionalFormatting>
  <conditionalFormatting sqref="V39:V40">
    <cfRule type="expression" dxfId="718" priority="923">
      <formula>OR(IF(V39&lt;W39,TRUE),IF(AND(W39="",V39&lt;&gt;""),TRUE))</formula>
    </cfRule>
    <cfRule type="expression" dxfId="717" priority="924">
      <formula>IF(V39&gt;=W39,IF(V39="",FALSE,TRUE))</formula>
    </cfRule>
  </conditionalFormatting>
  <conditionalFormatting sqref="X39:X40">
    <cfRule type="expression" dxfId="716" priority="921">
      <formula>OR(IF(X39&lt;Y39,TRUE),IF(AND(Y39="",X39&lt;&gt;""),TRUE))</formula>
    </cfRule>
    <cfRule type="expression" dxfId="715" priority="922">
      <formula>IF(X39&gt;=Y39,IF(X39="",FALSE,TRUE))</formula>
    </cfRule>
  </conditionalFormatting>
  <conditionalFormatting sqref="AC39:AC40">
    <cfRule type="expression" dxfId="714" priority="915">
      <formula>OR(IF(AC39&lt;AD39,TRUE),IF(AND(AD39="",AC39&lt;&gt;""),TRUE))</formula>
    </cfRule>
    <cfRule type="expression" dxfId="713" priority="916">
      <formula>IF(AC39&gt;=AD39,IF(AC39="",FALSE,TRUE))</formula>
    </cfRule>
  </conditionalFormatting>
  <conditionalFormatting sqref="AE39:AE40">
    <cfRule type="expression" dxfId="712" priority="913">
      <formula>OR(IF(AE39&lt;AF39,TRUE),IF(AND(AF39="",AE39&lt;&gt;""),TRUE))</formula>
    </cfRule>
    <cfRule type="expression" dxfId="711" priority="914">
      <formula>IF(AE39&gt;=AF39,IF(AE39="",FALSE,TRUE))</formula>
    </cfRule>
  </conditionalFormatting>
  <conditionalFormatting sqref="AJ39:AJ40">
    <cfRule type="expression" dxfId="710" priority="907">
      <formula>OR(IF(AJ39&lt;AK39,TRUE),IF(AND(AK39="",AJ39&lt;&gt;""),TRUE))</formula>
    </cfRule>
    <cfRule type="expression" dxfId="709" priority="908">
      <formula>IF(AJ39&gt;=AK39,IF(AJ39="",FALSE,TRUE))</formula>
    </cfRule>
  </conditionalFormatting>
  <conditionalFormatting sqref="AL39:AL40">
    <cfRule type="expression" dxfId="708" priority="905">
      <formula>OR(IF(AL39&lt;AM39,TRUE),IF(AND(AM39="",AL39&lt;&gt;""),TRUE))</formula>
    </cfRule>
    <cfRule type="expression" dxfId="707" priority="906">
      <formula>IF(AL39&gt;=AM39,IF(AL39="",FALSE,TRUE))</formula>
    </cfRule>
  </conditionalFormatting>
  <conditionalFormatting sqref="AQ39:AQ40">
    <cfRule type="expression" dxfId="706" priority="899">
      <formula>OR(IF(AQ39&lt;AR39,TRUE),IF(AND(AR39="",AQ39&lt;&gt;""),TRUE))</formula>
    </cfRule>
    <cfRule type="expression" dxfId="705" priority="900">
      <formula>IF(AQ39&gt;=AR39,IF(AQ39="",FALSE,TRUE))</formula>
    </cfRule>
  </conditionalFormatting>
  <conditionalFormatting sqref="AS39:AS40">
    <cfRule type="expression" dxfId="704" priority="897">
      <formula>OR(IF(AS39&lt;AT39,TRUE),IF(AND(AT39="",AS39&lt;&gt;""),TRUE))</formula>
    </cfRule>
    <cfRule type="expression" dxfId="703" priority="898">
      <formula>IF(AS39&gt;=AT39,IF(AS39="",FALSE,TRUE))</formula>
    </cfRule>
  </conditionalFormatting>
  <conditionalFormatting sqref="AX39:AX40">
    <cfRule type="expression" dxfId="702" priority="891">
      <formula>OR(IF(AX39&lt;AY39,TRUE),IF(AND(AY39="",AX39&lt;&gt;""),TRUE))</formula>
    </cfRule>
    <cfRule type="expression" dxfId="701" priority="892">
      <formula>IF(AX39&gt;=AY39,IF(AX39="",FALSE,TRUE))</formula>
    </cfRule>
  </conditionalFormatting>
  <conditionalFormatting sqref="AZ39:AZ40">
    <cfRule type="expression" dxfId="700" priority="889">
      <formula>OR(IF(AZ39&lt;BA39,TRUE),IF(AND(BA39="",AZ39&lt;&gt;""),TRUE))</formula>
    </cfRule>
    <cfRule type="expression" dxfId="699" priority="890">
      <formula>IF(AZ39&gt;=BA39,IF(AZ39="",FALSE,TRUE))</formula>
    </cfRule>
  </conditionalFormatting>
  <conditionalFormatting sqref="BG39:BG40">
    <cfRule type="expression" dxfId="698" priority="881">
      <formula>OR(IF(BG39&lt;BH39,TRUE),IF(AND(BH39="",BG39&lt;&gt;""),TRUE))</formula>
    </cfRule>
    <cfRule type="expression" dxfId="697" priority="882">
      <formula>IF(BG39&gt;=BH39,IF(BG39="",FALSE,TRUE))</formula>
    </cfRule>
  </conditionalFormatting>
  <conditionalFormatting sqref="BL39:BL40">
    <cfRule type="expression" dxfId="696" priority="872">
      <formula>OR(IF(BL39&lt;BM39,TRUE),IF(AND(BM39="",BL39&lt;&gt;""),TRUE))</formula>
    </cfRule>
    <cfRule type="expression" dxfId="695" priority="873">
      <formula>IF(BL39&gt;=BM39,IF(BL39="",FALSE,TRUE))</formula>
    </cfRule>
  </conditionalFormatting>
  <conditionalFormatting sqref="BN39:BN40">
    <cfRule type="expression" dxfId="694" priority="870">
      <formula>OR(IF(BN39&lt;BO39,TRUE),IF(AND(BO39="",BN39&lt;&gt;""),TRUE))</formula>
    </cfRule>
    <cfRule type="expression" dxfId="693" priority="871">
      <formula>IF(BN39&gt;=BO39,IF(BN39="",FALSE,TRUE))</formula>
    </cfRule>
  </conditionalFormatting>
  <conditionalFormatting sqref="J6:K8 J15:K16">
    <cfRule type="colorScale" priority="1206">
      <colorScale>
        <cfvo type="percent" val="0"/>
        <cfvo type="percent" val="100"/>
        <color rgb="FFFF231B"/>
        <color rgb="FF10FF07"/>
      </colorScale>
    </cfRule>
  </conditionalFormatting>
  <conditionalFormatting sqref="J5:J8 J15:J16">
    <cfRule type="colorScale" priority="1235">
      <colorScale>
        <cfvo type="percent" val="0"/>
        <cfvo type="percent" val="100"/>
        <color rgb="FFFF231B"/>
        <color rgb="FF10FF07"/>
      </colorScale>
    </cfRule>
  </conditionalFormatting>
  <conditionalFormatting sqref="K5:K8 K15:K16">
    <cfRule type="colorScale" priority="1236">
      <colorScale>
        <cfvo type="percent" val="0"/>
        <cfvo type="percent" val="100"/>
        <color rgb="FFFF231B"/>
        <color rgb="FF10FF07"/>
      </colorScale>
    </cfRule>
  </conditionalFormatting>
  <conditionalFormatting sqref="Q28 O28">
    <cfRule type="expression" dxfId="692" priority="778">
      <formula>OR(IF(O28&lt;P28,TRUE),IF(AND(P28="",O28&lt;&gt;""),TRUE))</formula>
    </cfRule>
    <cfRule type="expression" dxfId="691" priority="779">
      <formula>IF(O28&gt;=P28,IF(O28="",FALSE,TRUE))</formula>
    </cfRule>
  </conditionalFormatting>
  <conditionalFormatting sqref="AS28 AQ28">
    <cfRule type="expression" dxfId="690" priority="770">
      <formula>OR(IF(AQ28&lt;AR28,TRUE),IF(AND(AR28="",AQ28&lt;&gt;""),TRUE))</formula>
    </cfRule>
    <cfRule type="expression" dxfId="689" priority="771">
      <formula>IF(AQ28&gt;=AR28,IF(AQ28="",FALSE,TRUE))</formula>
    </cfRule>
  </conditionalFormatting>
  <conditionalFormatting sqref="BG28 BE28">
    <cfRule type="expression" dxfId="688" priority="766">
      <formula>OR(IF(BE28&lt;BF28,TRUE),IF(AND(BF28="",BE28&lt;&gt;""),TRUE))</formula>
    </cfRule>
    <cfRule type="expression" dxfId="687" priority="767">
      <formula>IF(BE28&gt;=BF28,IF(BE28="",FALSE,TRUE))</formula>
    </cfRule>
  </conditionalFormatting>
  <conditionalFormatting sqref="X28 V28">
    <cfRule type="expression" dxfId="686" priority="776">
      <formula>OR(IF(V28&lt;W28,TRUE),IF(AND(W28="",V28&lt;&gt;""),TRUE))</formula>
    </cfRule>
    <cfRule type="expression" dxfId="685" priority="777">
      <formula>IF(V28&gt;=W28,IF(V28="",FALSE,TRUE))</formula>
    </cfRule>
  </conditionalFormatting>
  <conditionalFormatting sqref="AE28 AC28">
    <cfRule type="expression" dxfId="684" priority="774">
      <formula>OR(IF(AC28&lt;AD28,TRUE),IF(AND(AD28="",AC28&lt;&gt;""),TRUE))</formula>
    </cfRule>
    <cfRule type="expression" dxfId="683" priority="775">
      <formula>IF(AC28&gt;=AD28,IF(AC28="",FALSE,TRUE))</formula>
    </cfRule>
  </conditionalFormatting>
  <conditionalFormatting sqref="AL28 AJ28">
    <cfRule type="expression" dxfId="682" priority="772">
      <formula>OR(IF(AJ28&lt;AK28,TRUE),IF(AND(AK28="",AJ28&lt;&gt;""),TRUE))</formula>
    </cfRule>
    <cfRule type="expression" dxfId="681" priority="773">
      <formula>IF(AJ28&gt;=AK28,IF(AJ28="",FALSE,TRUE))</formula>
    </cfRule>
  </conditionalFormatting>
  <conditionalFormatting sqref="AZ28 AX28">
    <cfRule type="expression" dxfId="680" priority="768">
      <formula>OR(IF(AX28&lt;AY28,TRUE),IF(AND(AY28="",AX28&lt;&gt;""),TRUE))</formula>
    </cfRule>
    <cfRule type="expression" dxfId="679" priority="769">
      <formula>IF(AX28&gt;=AY28,IF(AX28="",FALSE,TRUE))</formula>
    </cfRule>
  </conditionalFormatting>
  <conditionalFormatting sqref="J28:K28">
    <cfRule type="colorScale" priority="765">
      <colorScale>
        <cfvo type="percent" val="0"/>
        <cfvo type="percent" val="100"/>
        <color rgb="FFFF231B"/>
        <color rgb="FF10FF07"/>
      </colorScale>
    </cfRule>
  </conditionalFormatting>
  <conditionalFormatting sqref="J28">
    <cfRule type="colorScale" priority="764">
      <colorScale>
        <cfvo type="percent" val="0"/>
        <cfvo type="percent" val="100"/>
        <color rgb="FFFF231B"/>
        <color rgb="FF10FF07"/>
      </colorScale>
    </cfRule>
  </conditionalFormatting>
  <conditionalFormatting sqref="K28">
    <cfRule type="colorScale" priority="763">
      <colorScale>
        <cfvo type="percent" val="0"/>
        <cfvo type="percent" val="100"/>
        <color rgb="FFFF231B"/>
        <color rgb="FF10FF07"/>
      </colorScale>
    </cfRule>
  </conditionalFormatting>
  <conditionalFormatting sqref="BN28 BL28">
    <cfRule type="expression" dxfId="678" priority="761">
      <formula>OR(IF(BL28&lt;BM28,TRUE),IF(AND(BM28="",BL28&lt;&gt;""),TRUE))</formula>
    </cfRule>
    <cfRule type="expression" dxfId="677" priority="762">
      <formula>IF(BL28&gt;=BM28,IF(BL28="",FALSE,TRUE))</formula>
    </cfRule>
  </conditionalFormatting>
  <conditionalFormatting sqref="J40:K43 J47:K48">
    <cfRule type="colorScale" priority="1326">
      <colorScale>
        <cfvo type="percent" val="0"/>
        <cfvo type="percent" val="100"/>
        <color rgb="FFFF231B"/>
        <color rgb="FF10FF07"/>
      </colorScale>
    </cfRule>
  </conditionalFormatting>
  <conditionalFormatting sqref="J39:J43 J47:J48">
    <cfRule type="colorScale" priority="1328">
      <colorScale>
        <cfvo type="percent" val="0"/>
        <cfvo type="percent" val="100"/>
        <color rgb="FFFF231B"/>
        <color rgb="FF10FF07"/>
      </colorScale>
    </cfRule>
  </conditionalFormatting>
  <conditionalFormatting sqref="K39:K43 K47:K48">
    <cfRule type="colorScale" priority="1330">
      <colorScale>
        <cfvo type="percent" val="0"/>
        <cfvo type="percent" val="100"/>
        <color rgb="FFFF231B"/>
        <color rgb="FF10FF07"/>
      </colorScale>
    </cfRule>
  </conditionalFormatting>
  <conditionalFormatting sqref="J52:K57 J60:K60 J62:K63">
    <cfRule type="colorScale" priority="1387">
      <colorScale>
        <cfvo type="percent" val="0"/>
        <cfvo type="percent" val="100"/>
        <color rgb="FFFF231B"/>
        <color rgb="FF10FF07"/>
      </colorScale>
    </cfRule>
  </conditionalFormatting>
  <conditionalFormatting sqref="J51:J57 J60 J62:J63">
    <cfRule type="colorScale" priority="1388">
      <colorScale>
        <cfvo type="percent" val="0"/>
        <cfvo type="percent" val="100"/>
        <color rgb="FFFF231B"/>
        <color rgb="FF10FF07"/>
      </colorScale>
    </cfRule>
  </conditionalFormatting>
  <conditionalFormatting sqref="K51:K57 K60 K62:K63">
    <cfRule type="colorScale" priority="1390">
      <colorScale>
        <cfvo type="percent" val="0"/>
        <cfvo type="percent" val="100"/>
        <color rgb="FFFF231B"/>
        <color rgb="FF10FF07"/>
      </colorScale>
    </cfRule>
  </conditionalFormatting>
  <conditionalFormatting sqref="BS5:BS8 BU5:BU8 BU41:BU43 BS41:BS43 BU51:BU57 BS51:BS57 BU15:BU16 BS15:BS16 BS60 BU60 BU62:BU63 BS62:BS63 BS47:BS48 BU47:BU48">
    <cfRule type="expression" dxfId="676" priority="759">
      <formula>OR(IF(BS5&lt;BT5,TRUE),IF(AND(BT5="",BS5&lt;&gt;""),TRUE))</formula>
    </cfRule>
    <cfRule type="expression" dxfId="675" priority="760">
      <formula>IF(BS5&gt;=BT5,IF(BS5="",FALSE,TRUE))</formula>
    </cfRule>
  </conditionalFormatting>
  <conditionalFormatting sqref="BS19 BU19">
    <cfRule type="expression" dxfId="674" priority="757">
      <formula>OR(IF(BS19&lt;BT19,TRUE),IF(AND(BT19="",BS19&lt;&gt;""),TRUE))</formula>
    </cfRule>
    <cfRule type="expression" dxfId="673" priority="758">
      <formula>IF(BS19&gt;=BT19,IF(BS19="",FALSE,TRUE))</formula>
    </cfRule>
  </conditionalFormatting>
  <conditionalFormatting sqref="BS31:BS32">
    <cfRule type="expression" dxfId="672" priority="755">
      <formula>OR(IF(BS31&lt;BT31,TRUE),IF(AND(BT31="",BS31&lt;&gt;""),TRUE))</formula>
    </cfRule>
    <cfRule type="expression" dxfId="671" priority="756">
      <formula>IF(BS31&gt;=BT31,IF(BS31="",FALSE,TRUE))</formula>
    </cfRule>
  </conditionalFormatting>
  <conditionalFormatting sqref="BU31:BU32">
    <cfRule type="expression" dxfId="670" priority="753">
      <formula>OR(IF(BU31&lt;BV31,TRUE),IF(AND(BV31="",BU31&lt;&gt;""),TRUE))</formula>
    </cfRule>
    <cfRule type="expression" dxfId="669" priority="754">
      <formula>IF(BU31&gt;=BV31,IF(BU31="",FALSE,TRUE))</formula>
    </cfRule>
  </conditionalFormatting>
  <conditionalFormatting sqref="BS39:BS40">
    <cfRule type="expression" dxfId="668" priority="747">
      <formula>OR(IF(BS39&lt;BT39,TRUE),IF(AND(BT39="",BS39&lt;&gt;""),TRUE))</formula>
    </cfRule>
    <cfRule type="expression" dxfId="667" priority="748">
      <formula>IF(BS39&gt;=BT39,IF(BS39="",FALSE,TRUE))</formula>
    </cfRule>
  </conditionalFormatting>
  <conditionalFormatting sqref="BU39:BU40">
    <cfRule type="expression" dxfId="666" priority="745">
      <formula>OR(IF(BU39&lt;BV39,TRUE),IF(AND(BV39="",BU39&lt;&gt;""),TRUE))</formula>
    </cfRule>
    <cfRule type="expression" dxfId="665" priority="746">
      <formula>IF(BU39&gt;=BV39,IF(BU39="",FALSE,TRUE))</formula>
    </cfRule>
  </conditionalFormatting>
  <conditionalFormatting sqref="BU28 BS28">
    <cfRule type="expression" dxfId="664" priority="741">
      <formula>OR(IF(BS28&lt;BT28,TRUE),IF(AND(BT28="",BS28&lt;&gt;""),TRUE))</formula>
    </cfRule>
    <cfRule type="expression" dxfId="663" priority="742">
      <formula>IF(BS28&gt;=BT28,IF(BS28="",FALSE,TRUE))</formula>
    </cfRule>
  </conditionalFormatting>
  <conditionalFormatting sqref="BZ5:BZ8 CB41:CB43 BZ41:BZ43 CB51:CB57 BZ51:BZ57 BZ15:BZ16 BZ60 CB60 CB62:CB63 BZ62:BZ63 BZ47:BZ48 CB47:CB48">
    <cfRule type="expression" dxfId="662" priority="739">
      <formula>OR(IF(BZ5&lt;CA5,TRUE),IF(AND(CA5="",BZ5&lt;&gt;""),TRUE))</formula>
    </cfRule>
    <cfRule type="expression" dxfId="661" priority="740">
      <formula>IF(BZ5&gt;=CA5,IF(BZ5="",FALSE,TRUE))</formula>
    </cfRule>
  </conditionalFormatting>
  <conditionalFormatting sqref="BZ19 CB19">
    <cfRule type="expression" dxfId="660" priority="737">
      <formula>OR(IF(BZ19&lt;CA19,TRUE),IF(AND(CA19="",BZ19&lt;&gt;""),TRUE))</formula>
    </cfRule>
    <cfRule type="expression" dxfId="659" priority="738">
      <formula>IF(BZ19&gt;=CA19,IF(BZ19="",FALSE,TRUE))</formula>
    </cfRule>
  </conditionalFormatting>
  <conditionalFormatting sqref="BZ31:BZ32">
    <cfRule type="expression" dxfId="658" priority="735">
      <formula>OR(IF(BZ31&lt;CA31,TRUE),IF(AND(CA31="",BZ31&lt;&gt;""),TRUE))</formula>
    </cfRule>
    <cfRule type="expression" dxfId="657" priority="736">
      <formula>IF(BZ31&gt;=CA31,IF(BZ31="",FALSE,TRUE))</formula>
    </cfRule>
  </conditionalFormatting>
  <conditionalFormatting sqref="CB31:CB32">
    <cfRule type="expression" dxfId="656" priority="733">
      <formula>OR(IF(CB31&lt;CC31,TRUE),IF(AND(CC31="",CB31&lt;&gt;""),TRUE))</formula>
    </cfRule>
    <cfRule type="expression" dxfId="655" priority="734">
      <formula>IF(CB31&gt;=CC31,IF(CB31="",FALSE,TRUE))</formula>
    </cfRule>
  </conditionalFormatting>
  <conditionalFormatting sqref="BZ39:BZ40">
    <cfRule type="expression" dxfId="654" priority="727">
      <formula>OR(IF(BZ39&lt;CA39,TRUE),IF(AND(CA39="",BZ39&lt;&gt;""),TRUE))</formula>
    </cfRule>
    <cfRule type="expression" dxfId="653" priority="728">
      <formula>IF(BZ39&gt;=CA39,IF(BZ39="",FALSE,TRUE))</formula>
    </cfRule>
  </conditionalFormatting>
  <conditionalFormatting sqref="CB39:CB40">
    <cfRule type="expression" dxfId="652" priority="725">
      <formula>OR(IF(CB39&lt;CC39,TRUE),IF(AND(CC39="",CB39&lt;&gt;""),TRUE))</formula>
    </cfRule>
    <cfRule type="expression" dxfId="651" priority="726">
      <formula>IF(CB39&gt;=CC39,IF(CB39="",FALSE,TRUE))</formula>
    </cfRule>
  </conditionalFormatting>
  <conditionalFormatting sqref="CB28 BZ28">
    <cfRule type="expression" dxfId="650" priority="721">
      <formula>OR(IF(BZ28&lt;CA28,TRUE),IF(AND(CA28="",BZ28&lt;&gt;""),TRUE))</formula>
    </cfRule>
    <cfRule type="expression" dxfId="649" priority="722">
      <formula>IF(BZ28&gt;=CA28,IF(BZ28="",FALSE,TRUE))</formula>
    </cfRule>
  </conditionalFormatting>
  <conditionalFormatting sqref="CG5:CG8 CI5:CI8 CI41:CI43 CG41:CG43 CI51:CI57 CG51:CG57 CI15:CI16 CG15:CG16 CG60 CI60 CI62:CI63 CG62:CG63 CG47:CG48 CI47:CI48">
    <cfRule type="expression" dxfId="648" priority="719">
      <formula>OR(IF(CG5&lt;CH5,TRUE),IF(AND(CH5="",CG5&lt;&gt;""),TRUE))</formula>
    </cfRule>
    <cfRule type="expression" dxfId="647" priority="720">
      <formula>IF(CG5&gt;=CH5,IF(CG5="",FALSE,TRUE))</formula>
    </cfRule>
  </conditionalFormatting>
  <conditionalFormatting sqref="CG19 CI19">
    <cfRule type="expression" dxfId="646" priority="717">
      <formula>OR(IF(CG19&lt;CH19,TRUE),IF(AND(CH19="",CG19&lt;&gt;""),TRUE))</formula>
    </cfRule>
    <cfRule type="expression" dxfId="645" priority="718">
      <formula>IF(CG19&gt;=CH19,IF(CG19="",FALSE,TRUE))</formula>
    </cfRule>
  </conditionalFormatting>
  <conditionalFormatting sqref="CG31:CG36">
    <cfRule type="expression" dxfId="644" priority="715">
      <formula>OR(IF(CG31&lt;CH31,TRUE),IF(AND(CH31="",CG31&lt;&gt;""),TRUE))</formula>
    </cfRule>
    <cfRule type="expression" dxfId="643" priority="716">
      <formula>IF(CG31&gt;=CH31,IF(CG31="",FALSE,TRUE))</formula>
    </cfRule>
  </conditionalFormatting>
  <conditionalFormatting sqref="CI31:CI36">
    <cfRule type="expression" dxfId="642" priority="713">
      <formula>OR(IF(CI31&lt;CJ31,TRUE),IF(AND(CJ31="",CI31&lt;&gt;""),TRUE))</formula>
    </cfRule>
    <cfRule type="expression" dxfId="641" priority="714">
      <formula>IF(CI31&gt;=CJ31,IF(CI31="",FALSE,TRUE))</formula>
    </cfRule>
  </conditionalFormatting>
  <conditionalFormatting sqref="CG39:CG40">
    <cfRule type="expression" dxfId="640" priority="707">
      <formula>OR(IF(CG39&lt;CH39,TRUE),IF(AND(CH39="",CG39&lt;&gt;""),TRUE))</formula>
    </cfRule>
    <cfRule type="expression" dxfId="639" priority="708">
      <formula>IF(CG39&gt;=CH39,IF(CG39="",FALSE,TRUE))</formula>
    </cfRule>
  </conditionalFormatting>
  <conditionalFormatting sqref="CI39:CI40">
    <cfRule type="expression" dxfId="638" priority="705">
      <formula>OR(IF(CI39&lt;CJ39,TRUE),IF(AND(CJ39="",CI39&lt;&gt;""),TRUE))</formula>
    </cfRule>
    <cfRule type="expression" dxfId="637" priority="706">
      <formula>IF(CI39&gt;=CJ39,IF(CI39="",FALSE,TRUE))</formula>
    </cfRule>
  </conditionalFormatting>
  <conditionalFormatting sqref="CI28 CG28">
    <cfRule type="expression" dxfId="636" priority="701">
      <formula>OR(IF(CG28&lt;CH28,TRUE),IF(AND(CH28="",CG28&lt;&gt;""),TRUE))</formula>
    </cfRule>
    <cfRule type="expression" dxfId="635" priority="702">
      <formula>IF(CG28&gt;=CH28,IF(CG28="",FALSE,TRUE))</formula>
    </cfRule>
  </conditionalFormatting>
  <conditionalFormatting sqref="CN5:CN8 CP5:CP8 CP41:CP43 CN41:CN43 CP51:CP57 CN51:CN57 CP15:CP16 CN15:CN16 CN60 CP60 CP62:CP63 CN62:CN63 CN47:CN48 CP47:CP48">
    <cfRule type="expression" dxfId="634" priority="699">
      <formula>OR(IF(CN5&lt;CO5,TRUE),IF(AND(CO5="",CN5&lt;&gt;""),TRUE))</formula>
    </cfRule>
    <cfRule type="expression" dxfId="633" priority="700">
      <formula>IF(CN5&gt;=CO5,IF(CN5="",FALSE,TRUE))</formula>
    </cfRule>
  </conditionalFormatting>
  <conditionalFormatting sqref="CN19 CP19">
    <cfRule type="expression" dxfId="632" priority="697">
      <formula>OR(IF(CN19&lt;CO19,TRUE),IF(AND(CO19="",CN19&lt;&gt;""),TRUE))</formula>
    </cfRule>
    <cfRule type="expression" dxfId="631" priority="698">
      <formula>IF(CN19&gt;=CO19,IF(CN19="",FALSE,TRUE))</formula>
    </cfRule>
  </conditionalFormatting>
  <conditionalFormatting sqref="CN31:CN32">
    <cfRule type="expression" dxfId="630" priority="695">
      <formula>OR(IF(CN31&lt;CO31,TRUE),IF(AND(CO31="",CN31&lt;&gt;""),TRUE))</formula>
    </cfRule>
    <cfRule type="expression" dxfId="629" priority="696">
      <formula>IF(CN31&gt;=CO31,IF(CN31="",FALSE,TRUE))</formula>
    </cfRule>
  </conditionalFormatting>
  <conditionalFormatting sqref="CP31:CP32">
    <cfRule type="expression" dxfId="628" priority="693">
      <formula>OR(IF(CP31&lt;CQ31,TRUE),IF(AND(CQ31="",CP31&lt;&gt;""),TRUE))</formula>
    </cfRule>
    <cfRule type="expression" dxfId="627" priority="694">
      <formula>IF(CP31&gt;=CQ31,IF(CP31="",FALSE,TRUE))</formula>
    </cfRule>
  </conditionalFormatting>
  <conditionalFormatting sqref="CN39:CN40">
    <cfRule type="expression" dxfId="626" priority="687">
      <formula>OR(IF(CN39&lt;CO39,TRUE),IF(AND(CO39="",CN39&lt;&gt;""),TRUE))</formula>
    </cfRule>
    <cfRule type="expression" dxfId="625" priority="688">
      <formula>IF(CN39&gt;=CO39,IF(CN39="",FALSE,TRUE))</formula>
    </cfRule>
  </conditionalFormatting>
  <conditionalFormatting sqref="CP39:CP40">
    <cfRule type="expression" dxfId="624" priority="685">
      <formula>OR(IF(CP39&lt;CQ39,TRUE),IF(AND(CQ39="",CP39&lt;&gt;""),TRUE))</formula>
    </cfRule>
    <cfRule type="expression" dxfId="623" priority="686">
      <formula>IF(CP39&gt;=CQ39,IF(CP39="",FALSE,TRUE))</formula>
    </cfRule>
  </conditionalFormatting>
  <conditionalFormatting sqref="CP28 CN28">
    <cfRule type="expression" dxfId="622" priority="681">
      <formula>OR(IF(CN28&lt;CO28,TRUE),IF(AND(CO28="",CN28&lt;&gt;""),TRUE))</formula>
    </cfRule>
    <cfRule type="expression" dxfId="621" priority="682">
      <formula>IF(CN28&gt;=CO28,IF(CN28="",FALSE,TRUE))</formula>
    </cfRule>
  </conditionalFormatting>
  <conditionalFormatting sqref="CU5:CU8 CW5:CW8 CW41:CW43 CU41:CU43 CW51:CW57 CU51:CU57 CW15:CW16 CU15:CU16 CU60 CW60 CW62:CW63 CU62:CU63 CU47:CU48 CW47:CW48">
    <cfRule type="expression" dxfId="620" priority="679">
      <formula>OR(IF(CU5&lt;CV5,TRUE),IF(AND(CV5="",CU5&lt;&gt;""),TRUE))</formula>
    </cfRule>
    <cfRule type="expression" dxfId="619" priority="680">
      <formula>IF(CU5&gt;=CV5,IF(CU5="",FALSE,TRUE))</formula>
    </cfRule>
  </conditionalFormatting>
  <conditionalFormatting sqref="CU19 CW19">
    <cfRule type="expression" dxfId="618" priority="677">
      <formula>OR(IF(CU19&lt;CV19,TRUE),IF(AND(CV19="",CU19&lt;&gt;""),TRUE))</formula>
    </cfRule>
    <cfRule type="expression" dxfId="617" priority="678">
      <formula>IF(CU19&gt;=CV19,IF(CU19="",FALSE,TRUE))</formula>
    </cfRule>
  </conditionalFormatting>
  <conditionalFormatting sqref="CU31:CU32">
    <cfRule type="expression" dxfId="616" priority="675">
      <formula>OR(IF(CU31&lt;CV31,TRUE),IF(AND(CV31="",CU31&lt;&gt;""),TRUE))</formula>
    </cfRule>
    <cfRule type="expression" dxfId="615" priority="676">
      <formula>IF(CU31&gt;=CV31,IF(CU31="",FALSE,TRUE))</formula>
    </cfRule>
  </conditionalFormatting>
  <conditionalFormatting sqref="CW31:CW32">
    <cfRule type="expression" dxfId="614" priority="673">
      <formula>OR(IF(CW31&lt;CX31,TRUE),IF(AND(CX31="",CW31&lt;&gt;""),TRUE))</formula>
    </cfRule>
    <cfRule type="expression" dxfId="613" priority="674">
      <formula>IF(CW31&gt;=CX31,IF(CW31="",FALSE,TRUE))</formula>
    </cfRule>
  </conditionalFormatting>
  <conditionalFormatting sqref="CU39:CU40">
    <cfRule type="expression" dxfId="612" priority="667">
      <formula>OR(IF(CU39&lt;CV39,TRUE),IF(AND(CV39="",CU39&lt;&gt;""),TRUE))</formula>
    </cfRule>
    <cfRule type="expression" dxfId="611" priority="668">
      <formula>IF(CU39&gt;=CV39,IF(CU39="",FALSE,TRUE))</formula>
    </cfRule>
  </conditionalFormatting>
  <conditionalFormatting sqref="CW39:CW40">
    <cfRule type="expression" dxfId="610" priority="665">
      <formula>OR(IF(CW39&lt;CX39,TRUE),IF(AND(CX39="",CW39&lt;&gt;""),TRUE))</formula>
    </cfRule>
    <cfRule type="expression" dxfId="609" priority="666">
      <formula>IF(CW39&gt;=CX39,IF(CW39="",FALSE,TRUE))</formula>
    </cfRule>
  </conditionalFormatting>
  <conditionalFormatting sqref="CW28 CU28">
    <cfRule type="expression" dxfId="608" priority="661">
      <formula>OR(IF(CU28&lt;CV28,TRUE),IF(AND(CV28="",CU28&lt;&gt;""),TRUE))</formula>
    </cfRule>
    <cfRule type="expression" dxfId="607" priority="662">
      <formula>IF(CU28&gt;=CV28,IF(CU28="",FALSE,TRUE))</formula>
    </cfRule>
  </conditionalFormatting>
  <conditionalFormatting sqref="DB5:DB8 DD5:DD8 DD41:DD43 DB41:DB43 DD51:DD57 DB51:DB57 DD15:DD16 DB15:DB16 DB60 DD60 DD62:DD63 DB62:DB63 DB47:DB48 DD47:DD48">
    <cfRule type="expression" dxfId="606" priority="659">
      <formula>OR(IF(DB5&lt;DC5,TRUE),IF(AND(DC5="",DB5&lt;&gt;""),TRUE))</formula>
    </cfRule>
    <cfRule type="expression" dxfId="605" priority="660">
      <formula>IF(DB5&gt;=DC5,IF(DB5="",FALSE,TRUE))</formula>
    </cfRule>
  </conditionalFormatting>
  <conditionalFormatting sqref="DB19 DD19">
    <cfRule type="expression" dxfId="604" priority="657">
      <formula>OR(IF(DB19&lt;DC19,TRUE),IF(AND(DC19="",DB19&lt;&gt;""),TRUE))</formula>
    </cfRule>
    <cfRule type="expression" dxfId="603" priority="658">
      <formula>IF(DB19&gt;=DC19,IF(DB19="",FALSE,TRUE))</formula>
    </cfRule>
  </conditionalFormatting>
  <conditionalFormatting sqref="DB31:DB32">
    <cfRule type="expression" dxfId="602" priority="655">
      <formula>OR(IF(DB31&lt;DC31,TRUE),IF(AND(DC31="",DB31&lt;&gt;""),TRUE))</formula>
    </cfRule>
    <cfRule type="expression" dxfId="601" priority="656">
      <formula>IF(DB31&gt;=DC31,IF(DB31="",FALSE,TRUE))</formula>
    </cfRule>
  </conditionalFormatting>
  <conditionalFormatting sqref="DD31:DD32">
    <cfRule type="expression" dxfId="600" priority="653">
      <formula>OR(IF(DD31&lt;DE31,TRUE),IF(AND(DE31="",DD31&lt;&gt;""),TRUE))</formula>
    </cfRule>
    <cfRule type="expression" dxfId="599" priority="654">
      <formula>IF(DD31&gt;=DE31,IF(DD31="",FALSE,TRUE))</formula>
    </cfRule>
  </conditionalFormatting>
  <conditionalFormatting sqref="DB39:DB40">
    <cfRule type="expression" dxfId="598" priority="647">
      <formula>OR(IF(DB39&lt;DC39,TRUE),IF(AND(DC39="",DB39&lt;&gt;""),TRUE))</formula>
    </cfRule>
    <cfRule type="expression" dxfId="597" priority="648">
      <formula>IF(DB39&gt;=DC39,IF(DB39="",FALSE,TRUE))</formula>
    </cfRule>
  </conditionalFormatting>
  <conditionalFormatting sqref="DD39:DD40">
    <cfRule type="expression" dxfId="596" priority="645">
      <formula>OR(IF(DD39&lt;DE39,TRUE),IF(AND(DE39="",DD39&lt;&gt;""),TRUE))</formula>
    </cfRule>
    <cfRule type="expression" dxfId="595" priority="646">
      <formula>IF(DD39&gt;=DE39,IF(DD39="",FALSE,TRUE))</formula>
    </cfRule>
  </conditionalFormatting>
  <conditionalFormatting sqref="DD28 DB28">
    <cfRule type="expression" dxfId="594" priority="641">
      <formula>OR(IF(DB28&lt;DC28,TRUE),IF(AND(DC28="",DB28&lt;&gt;""),TRUE))</formula>
    </cfRule>
    <cfRule type="expression" dxfId="593" priority="642">
      <formula>IF(DB28&gt;=DC28,IF(DB28="",FALSE,TRUE))</formula>
    </cfRule>
  </conditionalFormatting>
  <conditionalFormatting sqref="CB16">
    <cfRule type="expression" dxfId="592" priority="1393">
      <formula>OR(IF(CB16&lt;CC16,TRUE),IF(AND(CC16="",CB16&lt;&gt;""),TRUE))</formula>
    </cfRule>
    <cfRule type="expression" dxfId="591" priority="1394">
      <formula>IF(CB16&gt;=CC16,IF(CB16="",FALSE,TRUE))</formula>
    </cfRule>
  </conditionalFormatting>
  <conditionalFormatting sqref="CB15">
    <cfRule type="expression" dxfId="590" priority="639">
      <formula>OR(IF(CB15&lt;CC15,TRUE),IF(AND(CC15="",CB15&lt;&gt;""),TRUE))</formula>
    </cfRule>
    <cfRule type="expression" dxfId="589" priority="640">
      <formula>IF(CB15&gt;=CC15,IF(CB15="",FALSE,TRUE))</formula>
    </cfRule>
  </conditionalFormatting>
  <conditionalFormatting sqref="BN9 BL9 AZ9 AX9 AL9 AJ9 AE9 AC9 X9 V9 BG9 BE9 AS9 AQ9 Q9 O9">
    <cfRule type="expression" dxfId="588" priority="634">
      <formula>OR(IF(O9&lt;P9,TRUE),IF(AND(P9="",O9&lt;&gt;""),TRUE))</formula>
    </cfRule>
    <cfRule type="expression" dxfId="587" priority="635">
      <formula>IF(O9&gt;=P9,IF(O9="",FALSE,TRUE))</formula>
    </cfRule>
  </conditionalFormatting>
  <conditionalFormatting sqref="J9:K9">
    <cfRule type="colorScale" priority="636">
      <colorScale>
        <cfvo type="percent" val="0"/>
        <cfvo type="percent" val="100"/>
        <color rgb="FFFF231B"/>
        <color rgb="FF10FF07"/>
      </colorScale>
    </cfRule>
  </conditionalFormatting>
  <conditionalFormatting sqref="J9">
    <cfRule type="colorScale" priority="637">
      <colorScale>
        <cfvo type="percent" val="0"/>
        <cfvo type="percent" val="100"/>
        <color rgb="FFFF231B"/>
        <color rgb="FF10FF07"/>
      </colorScale>
    </cfRule>
  </conditionalFormatting>
  <conditionalFormatting sqref="K9">
    <cfRule type="colorScale" priority="638">
      <colorScale>
        <cfvo type="percent" val="0"/>
        <cfvo type="percent" val="100"/>
        <color rgb="FFFF231B"/>
        <color rgb="FF10FF07"/>
      </colorScale>
    </cfRule>
  </conditionalFormatting>
  <conditionalFormatting sqref="BU9 BS9">
    <cfRule type="expression" dxfId="586" priority="632">
      <formula>OR(IF(BS9&lt;BT9,TRUE),IF(AND(BT9="",BS9&lt;&gt;""),TRUE))</formula>
    </cfRule>
    <cfRule type="expression" dxfId="585" priority="633">
      <formula>IF(BS9&gt;=BT9,IF(BS9="",FALSE,TRUE))</formula>
    </cfRule>
  </conditionalFormatting>
  <conditionalFormatting sqref="BZ9">
    <cfRule type="expression" dxfId="584" priority="630">
      <formula>OR(IF(BZ9&lt;CA9,TRUE),IF(AND(CA9="",BZ9&lt;&gt;""),TRUE))</formula>
    </cfRule>
    <cfRule type="expression" dxfId="583" priority="631">
      <formula>IF(BZ9&gt;=CA9,IF(BZ9="",FALSE,TRUE))</formula>
    </cfRule>
  </conditionalFormatting>
  <conditionalFormatting sqref="CI9 CG9">
    <cfRule type="expression" dxfId="582" priority="628">
      <formula>OR(IF(CG9&lt;CH9,TRUE),IF(AND(CH9="",CG9&lt;&gt;""),TRUE))</formula>
    </cfRule>
    <cfRule type="expression" dxfId="581" priority="629">
      <formula>IF(CG9&gt;=CH9,IF(CG9="",FALSE,TRUE))</formula>
    </cfRule>
  </conditionalFormatting>
  <conditionalFormatting sqref="CP9 CN9">
    <cfRule type="expression" dxfId="580" priority="626">
      <formula>OR(IF(CN9&lt;CO9,TRUE),IF(AND(CO9="",CN9&lt;&gt;""),TRUE))</formula>
    </cfRule>
    <cfRule type="expression" dxfId="579" priority="627">
      <formula>IF(CN9&gt;=CO9,IF(CN9="",FALSE,TRUE))</formula>
    </cfRule>
  </conditionalFormatting>
  <conditionalFormatting sqref="CW9 CU9">
    <cfRule type="expression" dxfId="578" priority="624">
      <formula>OR(IF(CU9&lt;CV9,TRUE),IF(AND(CV9="",CU9&lt;&gt;""),TRUE))</formula>
    </cfRule>
    <cfRule type="expression" dxfId="577" priority="625">
      <formula>IF(CU9&gt;=CV9,IF(CU9="",FALSE,TRUE))</formula>
    </cfRule>
  </conditionalFormatting>
  <conditionalFormatting sqref="DD9 DB9">
    <cfRule type="expression" dxfId="576" priority="622">
      <formula>OR(IF(DB9&lt;DC9,TRUE),IF(AND(DC9="",DB9&lt;&gt;""),TRUE))</formula>
    </cfRule>
    <cfRule type="expression" dxfId="575" priority="623">
      <formula>IF(DB9&gt;=DC9,IF(DB9="",FALSE,TRUE))</formula>
    </cfRule>
  </conditionalFormatting>
  <conditionalFormatting sqref="CB9">
    <cfRule type="expression" dxfId="574" priority="620">
      <formula>OR(IF(CB9&lt;CC9,TRUE),IF(AND(CC9="",CB9&lt;&gt;""),TRUE))</formula>
    </cfRule>
    <cfRule type="expression" dxfId="573" priority="621">
      <formula>IF(CB9&gt;=CC9,IF(CB9="",FALSE,TRUE))</formula>
    </cfRule>
  </conditionalFormatting>
  <conditionalFormatting sqref="BN10 BL10 AZ10 AX10 AL10 AJ10 AE10 AC10 X10 V10 BG10 BE10 AS10 AQ10 Q10 O10">
    <cfRule type="expression" dxfId="572" priority="615">
      <formula>OR(IF(O10&lt;P10,TRUE),IF(AND(P10="",O10&lt;&gt;""),TRUE))</formula>
    </cfRule>
    <cfRule type="expression" dxfId="571" priority="616">
      <formula>IF(O10&gt;=P10,IF(O10="",FALSE,TRUE))</formula>
    </cfRule>
  </conditionalFormatting>
  <conditionalFormatting sqref="J10:K10">
    <cfRule type="colorScale" priority="617">
      <colorScale>
        <cfvo type="percent" val="0"/>
        <cfvo type="percent" val="100"/>
        <color rgb="FFFF231B"/>
        <color rgb="FF10FF07"/>
      </colorScale>
    </cfRule>
  </conditionalFormatting>
  <conditionalFormatting sqref="J10">
    <cfRule type="colorScale" priority="618">
      <colorScale>
        <cfvo type="percent" val="0"/>
        <cfvo type="percent" val="100"/>
        <color rgb="FFFF231B"/>
        <color rgb="FF10FF07"/>
      </colorScale>
    </cfRule>
  </conditionalFormatting>
  <conditionalFormatting sqref="K10">
    <cfRule type="colorScale" priority="619">
      <colorScale>
        <cfvo type="percent" val="0"/>
        <cfvo type="percent" val="100"/>
        <color rgb="FFFF231B"/>
        <color rgb="FF10FF07"/>
      </colorScale>
    </cfRule>
  </conditionalFormatting>
  <conditionalFormatting sqref="BU10 BS10">
    <cfRule type="expression" dxfId="570" priority="613">
      <formula>OR(IF(BS10&lt;BT10,TRUE),IF(AND(BT10="",BS10&lt;&gt;""),TRUE))</formula>
    </cfRule>
    <cfRule type="expression" dxfId="569" priority="614">
      <formula>IF(BS10&gt;=BT10,IF(BS10="",FALSE,TRUE))</formula>
    </cfRule>
  </conditionalFormatting>
  <conditionalFormatting sqref="BZ10">
    <cfRule type="expression" dxfId="568" priority="611">
      <formula>OR(IF(BZ10&lt;CA10,TRUE),IF(AND(CA10="",BZ10&lt;&gt;""),TRUE))</formula>
    </cfRule>
    <cfRule type="expression" dxfId="567" priority="612">
      <formula>IF(BZ10&gt;=CA10,IF(BZ10="",FALSE,TRUE))</formula>
    </cfRule>
  </conditionalFormatting>
  <conditionalFormatting sqref="CI10 CG10">
    <cfRule type="expression" dxfId="566" priority="609">
      <formula>OR(IF(CG10&lt;CH10,TRUE),IF(AND(CH10="",CG10&lt;&gt;""),TRUE))</formula>
    </cfRule>
    <cfRule type="expression" dxfId="565" priority="610">
      <formula>IF(CG10&gt;=CH10,IF(CG10="",FALSE,TRUE))</formula>
    </cfRule>
  </conditionalFormatting>
  <conditionalFormatting sqref="CP10 CN10">
    <cfRule type="expression" dxfId="564" priority="607">
      <formula>OR(IF(CN10&lt;CO10,TRUE),IF(AND(CO10="",CN10&lt;&gt;""),TRUE))</formula>
    </cfRule>
    <cfRule type="expression" dxfId="563" priority="608">
      <formula>IF(CN10&gt;=CO10,IF(CN10="",FALSE,TRUE))</formula>
    </cfRule>
  </conditionalFormatting>
  <conditionalFormatting sqref="CW10 CU10">
    <cfRule type="expression" dxfId="562" priority="605">
      <formula>OR(IF(CU10&lt;CV10,TRUE),IF(AND(CV10="",CU10&lt;&gt;""),TRUE))</formula>
    </cfRule>
    <cfRule type="expression" dxfId="561" priority="606">
      <formula>IF(CU10&gt;=CV10,IF(CU10="",FALSE,TRUE))</formula>
    </cfRule>
  </conditionalFormatting>
  <conditionalFormatting sqref="DD10 DB10">
    <cfRule type="expression" dxfId="560" priority="603">
      <formula>OR(IF(DB10&lt;DC10,TRUE),IF(AND(DC10="",DB10&lt;&gt;""),TRUE))</formula>
    </cfRule>
    <cfRule type="expression" dxfId="559" priority="604">
      <formula>IF(DB10&gt;=DC10,IF(DB10="",FALSE,TRUE))</formula>
    </cfRule>
  </conditionalFormatting>
  <conditionalFormatting sqref="CB10">
    <cfRule type="expression" dxfId="558" priority="601">
      <formula>OR(IF(CB10&lt;CC10,TRUE),IF(AND(CC10="",CB10&lt;&gt;""),TRUE))</formula>
    </cfRule>
    <cfRule type="expression" dxfId="557" priority="602">
      <formula>IF(CB10&gt;=CC10,IF(CB10="",FALSE,TRUE))</formula>
    </cfRule>
  </conditionalFormatting>
  <conditionalFormatting sqref="BN11 BL11 AZ11 AX11 AL11 AJ11 AE11 AC11 X11 V11 BG11 BE11 AS11 AQ11 Q11 O11">
    <cfRule type="expression" dxfId="556" priority="596">
      <formula>OR(IF(O11&lt;P11,TRUE),IF(AND(P11="",O11&lt;&gt;""),TRUE))</formula>
    </cfRule>
    <cfRule type="expression" dxfId="555" priority="597">
      <formula>IF(O11&gt;=P11,IF(O11="",FALSE,TRUE))</formula>
    </cfRule>
  </conditionalFormatting>
  <conditionalFormatting sqref="J11:K11">
    <cfRule type="colorScale" priority="598">
      <colorScale>
        <cfvo type="percent" val="0"/>
        <cfvo type="percent" val="100"/>
        <color rgb="FFFF231B"/>
        <color rgb="FF10FF07"/>
      </colorScale>
    </cfRule>
  </conditionalFormatting>
  <conditionalFormatting sqref="J11">
    <cfRule type="colorScale" priority="599">
      <colorScale>
        <cfvo type="percent" val="0"/>
        <cfvo type="percent" val="100"/>
        <color rgb="FFFF231B"/>
        <color rgb="FF10FF07"/>
      </colorScale>
    </cfRule>
  </conditionalFormatting>
  <conditionalFormatting sqref="K11">
    <cfRule type="colorScale" priority="600">
      <colorScale>
        <cfvo type="percent" val="0"/>
        <cfvo type="percent" val="100"/>
        <color rgb="FFFF231B"/>
        <color rgb="FF10FF07"/>
      </colorScale>
    </cfRule>
  </conditionalFormatting>
  <conditionalFormatting sqref="BU11 BS11">
    <cfRule type="expression" dxfId="554" priority="594">
      <formula>OR(IF(BS11&lt;BT11,TRUE),IF(AND(BT11="",BS11&lt;&gt;""),TRUE))</formula>
    </cfRule>
    <cfRule type="expression" dxfId="553" priority="595">
      <formula>IF(BS11&gt;=BT11,IF(BS11="",FALSE,TRUE))</formula>
    </cfRule>
  </conditionalFormatting>
  <conditionalFormatting sqref="BZ11">
    <cfRule type="expression" dxfId="552" priority="592">
      <formula>OR(IF(BZ11&lt;CA11,TRUE),IF(AND(CA11="",BZ11&lt;&gt;""),TRUE))</formula>
    </cfRule>
    <cfRule type="expression" dxfId="551" priority="593">
      <formula>IF(BZ11&gt;=CA11,IF(BZ11="",FALSE,TRUE))</formula>
    </cfRule>
  </conditionalFormatting>
  <conditionalFormatting sqref="CI11 CG11">
    <cfRule type="expression" dxfId="550" priority="590">
      <formula>OR(IF(CG11&lt;CH11,TRUE),IF(AND(CH11="",CG11&lt;&gt;""),TRUE))</formula>
    </cfRule>
    <cfRule type="expression" dxfId="549" priority="591">
      <formula>IF(CG11&gt;=CH11,IF(CG11="",FALSE,TRUE))</formula>
    </cfRule>
  </conditionalFormatting>
  <conditionalFormatting sqref="CP11 CN11">
    <cfRule type="expression" dxfId="548" priority="588">
      <formula>OR(IF(CN11&lt;CO11,TRUE),IF(AND(CO11="",CN11&lt;&gt;""),TRUE))</formula>
    </cfRule>
    <cfRule type="expression" dxfId="547" priority="589">
      <formula>IF(CN11&gt;=CO11,IF(CN11="",FALSE,TRUE))</formula>
    </cfRule>
  </conditionalFormatting>
  <conditionalFormatting sqref="CW11 CU11">
    <cfRule type="expression" dxfId="546" priority="586">
      <formula>OR(IF(CU11&lt;CV11,TRUE),IF(AND(CV11="",CU11&lt;&gt;""),TRUE))</formula>
    </cfRule>
    <cfRule type="expression" dxfId="545" priority="587">
      <formula>IF(CU11&gt;=CV11,IF(CU11="",FALSE,TRUE))</formula>
    </cfRule>
  </conditionalFormatting>
  <conditionalFormatting sqref="DD11 DB11">
    <cfRule type="expression" dxfId="544" priority="584">
      <formula>OR(IF(DB11&lt;DC11,TRUE),IF(AND(DC11="",DB11&lt;&gt;""),TRUE))</formula>
    </cfRule>
    <cfRule type="expression" dxfId="543" priority="585">
      <formula>IF(DB11&gt;=DC11,IF(DB11="",FALSE,TRUE))</formula>
    </cfRule>
  </conditionalFormatting>
  <conditionalFormatting sqref="CB11">
    <cfRule type="expression" dxfId="542" priority="582">
      <formula>OR(IF(CB11&lt;CC11,TRUE),IF(AND(CC11="",CB11&lt;&gt;""),TRUE))</formula>
    </cfRule>
    <cfRule type="expression" dxfId="541" priority="583">
      <formula>IF(CB11&gt;=CC11,IF(CB11="",FALSE,TRUE))</formula>
    </cfRule>
  </conditionalFormatting>
  <conditionalFormatting sqref="BN13 BL13 AZ13 AX13 AL13 AJ13 AE13 AC13 X13 V13 BG13 BE13 AS13 AQ13 Q13 O13">
    <cfRule type="expression" dxfId="540" priority="577">
      <formula>OR(IF(O13&lt;P13,TRUE),IF(AND(P13="",O13&lt;&gt;""),TRUE))</formula>
    </cfRule>
    <cfRule type="expression" dxfId="539" priority="578">
      <formula>IF(O13&gt;=P13,IF(O13="",FALSE,TRUE))</formula>
    </cfRule>
  </conditionalFormatting>
  <conditionalFormatting sqref="J13:K13">
    <cfRule type="colorScale" priority="579">
      <colorScale>
        <cfvo type="percent" val="0"/>
        <cfvo type="percent" val="100"/>
        <color rgb="FFFF231B"/>
        <color rgb="FF10FF07"/>
      </colorScale>
    </cfRule>
  </conditionalFormatting>
  <conditionalFormatting sqref="J13">
    <cfRule type="colorScale" priority="580">
      <colorScale>
        <cfvo type="percent" val="0"/>
        <cfvo type="percent" val="100"/>
        <color rgb="FFFF231B"/>
        <color rgb="FF10FF07"/>
      </colorScale>
    </cfRule>
  </conditionalFormatting>
  <conditionalFormatting sqref="K13">
    <cfRule type="colorScale" priority="581">
      <colorScale>
        <cfvo type="percent" val="0"/>
        <cfvo type="percent" val="100"/>
        <color rgb="FFFF231B"/>
        <color rgb="FF10FF07"/>
      </colorScale>
    </cfRule>
  </conditionalFormatting>
  <conditionalFormatting sqref="BU13 BS13">
    <cfRule type="expression" dxfId="538" priority="575">
      <formula>OR(IF(BS13&lt;BT13,TRUE),IF(AND(BT13="",BS13&lt;&gt;""),TRUE))</formula>
    </cfRule>
    <cfRule type="expression" dxfId="537" priority="576">
      <formula>IF(BS13&gt;=BT13,IF(BS13="",FALSE,TRUE))</formula>
    </cfRule>
  </conditionalFormatting>
  <conditionalFormatting sqref="BZ13">
    <cfRule type="expression" dxfId="536" priority="573">
      <formula>OR(IF(BZ13&lt;CA13,TRUE),IF(AND(CA13="",BZ13&lt;&gt;""),TRUE))</formula>
    </cfRule>
    <cfRule type="expression" dxfId="535" priority="574">
      <formula>IF(BZ13&gt;=CA13,IF(BZ13="",FALSE,TRUE))</formula>
    </cfRule>
  </conditionalFormatting>
  <conditionalFormatting sqref="CI13 CG13">
    <cfRule type="expression" dxfId="534" priority="571">
      <formula>OR(IF(CG13&lt;CH13,TRUE),IF(AND(CH13="",CG13&lt;&gt;""),TRUE))</formula>
    </cfRule>
    <cfRule type="expression" dxfId="533" priority="572">
      <formula>IF(CG13&gt;=CH13,IF(CG13="",FALSE,TRUE))</formula>
    </cfRule>
  </conditionalFormatting>
  <conditionalFormatting sqref="CP13 CN13">
    <cfRule type="expression" dxfId="532" priority="569">
      <formula>OR(IF(CN13&lt;CO13,TRUE),IF(AND(CO13="",CN13&lt;&gt;""),TRUE))</formula>
    </cfRule>
    <cfRule type="expression" dxfId="531" priority="570">
      <formula>IF(CN13&gt;=CO13,IF(CN13="",FALSE,TRUE))</formula>
    </cfRule>
  </conditionalFormatting>
  <conditionalFormatting sqref="CW13 CU13">
    <cfRule type="expression" dxfId="530" priority="567">
      <formula>OR(IF(CU13&lt;CV13,TRUE),IF(AND(CV13="",CU13&lt;&gt;""),TRUE))</formula>
    </cfRule>
    <cfRule type="expression" dxfId="529" priority="568">
      <formula>IF(CU13&gt;=CV13,IF(CU13="",FALSE,TRUE))</formula>
    </cfRule>
  </conditionalFormatting>
  <conditionalFormatting sqref="DD13 DB13">
    <cfRule type="expression" dxfId="528" priority="565">
      <formula>OR(IF(DB13&lt;DC13,TRUE),IF(AND(DC13="",DB13&lt;&gt;""),TRUE))</formula>
    </cfRule>
    <cfRule type="expression" dxfId="527" priority="566">
      <formula>IF(DB13&gt;=DC13,IF(DB13="",FALSE,TRUE))</formula>
    </cfRule>
  </conditionalFormatting>
  <conditionalFormatting sqref="CB13">
    <cfRule type="expression" dxfId="526" priority="563">
      <formula>OR(IF(CB13&lt;CC13,TRUE),IF(AND(CC13="",CB13&lt;&gt;""),TRUE))</formula>
    </cfRule>
    <cfRule type="expression" dxfId="525" priority="564">
      <formula>IF(CB13&gt;=CC13,IF(CB13="",FALSE,TRUE))</formula>
    </cfRule>
  </conditionalFormatting>
  <conditionalFormatting sqref="BN14 BL14 AZ14 AX14 AL14 AJ14 AE14 AC14 X14 V14 BG14 BE14 AS14 AQ14 Q14 O14">
    <cfRule type="expression" dxfId="524" priority="558">
      <formula>OR(IF(O14&lt;P14,TRUE),IF(AND(P14="",O14&lt;&gt;""),TRUE))</formula>
    </cfRule>
    <cfRule type="expression" dxfId="523" priority="559">
      <formula>IF(O14&gt;=P14,IF(O14="",FALSE,TRUE))</formula>
    </cfRule>
  </conditionalFormatting>
  <conditionalFormatting sqref="J14:K14">
    <cfRule type="colorScale" priority="560">
      <colorScale>
        <cfvo type="percent" val="0"/>
        <cfvo type="percent" val="100"/>
        <color rgb="FFFF231B"/>
        <color rgb="FF10FF07"/>
      </colorScale>
    </cfRule>
  </conditionalFormatting>
  <conditionalFormatting sqref="J14">
    <cfRule type="colorScale" priority="561">
      <colorScale>
        <cfvo type="percent" val="0"/>
        <cfvo type="percent" val="100"/>
        <color rgb="FFFF231B"/>
        <color rgb="FF10FF07"/>
      </colorScale>
    </cfRule>
  </conditionalFormatting>
  <conditionalFormatting sqref="K14">
    <cfRule type="colorScale" priority="562">
      <colorScale>
        <cfvo type="percent" val="0"/>
        <cfvo type="percent" val="100"/>
        <color rgb="FFFF231B"/>
        <color rgb="FF10FF07"/>
      </colorScale>
    </cfRule>
  </conditionalFormatting>
  <conditionalFormatting sqref="BU14 BS14">
    <cfRule type="expression" dxfId="522" priority="556">
      <formula>OR(IF(BS14&lt;BT14,TRUE),IF(AND(BT14="",BS14&lt;&gt;""),TRUE))</formula>
    </cfRule>
    <cfRule type="expression" dxfId="521" priority="557">
      <formula>IF(BS14&gt;=BT14,IF(BS14="",FALSE,TRUE))</formula>
    </cfRule>
  </conditionalFormatting>
  <conditionalFormatting sqref="BZ14">
    <cfRule type="expression" dxfId="520" priority="554">
      <formula>OR(IF(BZ14&lt;CA14,TRUE),IF(AND(CA14="",BZ14&lt;&gt;""),TRUE))</formula>
    </cfRule>
    <cfRule type="expression" dxfId="519" priority="555">
      <formula>IF(BZ14&gt;=CA14,IF(BZ14="",FALSE,TRUE))</formula>
    </cfRule>
  </conditionalFormatting>
  <conditionalFormatting sqref="CI14 CG14">
    <cfRule type="expression" dxfId="518" priority="552">
      <formula>OR(IF(CG14&lt;CH14,TRUE),IF(AND(CH14="",CG14&lt;&gt;""),TRUE))</formula>
    </cfRule>
    <cfRule type="expression" dxfId="517" priority="553">
      <formula>IF(CG14&gt;=CH14,IF(CG14="",FALSE,TRUE))</formula>
    </cfRule>
  </conditionalFormatting>
  <conditionalFormatting sqref="CP14 CN14">
    <cfRule type="expression" dxfId="516" priority="550">
      <formula>OR(IF(CN14&lt;CO14,TRUE),IF(AND(CO14="",CN14&lt;&gt;""),TRUE))</formula>
    </cfRule>
    <cfRule type="expression" dxfId="515" priority="551">
      <formula>IF(CN14&gt;=CO14,IF(CN14="",FALSE,TRUE))</formula>
    </cfRule>
  </conditionalFormatting>
  <conditionalFormatting sqref="CW14 CU14">
    <cfRule type="expression" dxfId="514" priority="548">
      <formula>OR(IF(CU14&lt;CV14,TRUE),IF(AND(CV14="",CU14&lt;&gt;""),TRUE))</formula>
    </cfRule>
    <cfRule type="expression" dxfId="513" priority="549">
      <formula>IF(CU14&gt;=CV14,IF(CU14="",FALSE,TRUE))</formula>
    </cfRule>
  </conditionalFormatting>
  <conditionalFormatting sqref="DD14 DB14">
    <cfRule type="expression" dxfId="512" priority="546">
      <formula>OR(IF(DB14&lt;DC14,TRUE),IF(AND(DC14="",DB14&lt;&gt;""),TRUE))</formula>
    </cfRule>
    <cfRule type="expression" dxfId="511" priority="547">
      <formula>IF(DB14&gt;=DC14,IF(DB14="",FALSE,TRUE))</formula>
    </cfRule>
  </conditionalFormatting>
  <conditionalFormatting sqref="CB14">
    <cfRule type="expression" dxfId="510" priority="544">
      <formula>OR(IF(CB14&lt;CC14,TRUE),IF(AND(CC14="",CB14&lt;&gt;""),TRUE))</formula>
    </cfRule>
    <cfRule type="expression" dxfId="509" priority="545">
      <formula>IF(CB14&gt;=CC14,IF(CB14="",FALSE,TRUE))</formula>
    </cfRule>
  </conditionalFormatting>
  <conditionalFormatting sqref="BN12 BL12 AZ12 AX12 AL12 AJ12 AE12 AC12 X12 V12 BG12 BE12 AS12 AQ12 Q12 O12">
    <cfRule type="expression" dxfId="508" priority="539">
      <formula>OR(IF(O12&lt;P12,TRUE),IF(AND(P12="",O12&lt;&gt;""),TRUE))</formula>
    </cfRule>
    <cfRule type="expression" dxfId="507" priority="540">
      <formula>IF(O12&gt;=P12,IF(O12="",FALSE,TRUE))</formula>
    </cfRule>
  </conditionalFormatting>
  <conditionalFormatting sqref="J12:K12">
    <cfRule type="colorScale" priority="541">
      <colorScale>
        <cfvo type="percent" val="0"/>
        <cfvo type="percent" val="100"/>
        <color rgb="FFFF231B"/>
        <color rgb="FF10FF07"/>
      </colorScale>
    </cfRule>
  </conditionalFormatting>
  <conditionalFormatting sqref="J12">
    <cfRule type="colorScale" priority="542">
      <colorScale>
        <cfvo type="percent" val="0"/>
        <cfvo type="percent" val="100"/>
        <color rgb="FFFF231B"/>
        <color rgb="FF10FF07"/>
      </colorScale>
    </cfRule>
  </conditionalFormatting>
  <conditionalFormatting sqref="K12">
    <cfRule type="colorScale" priority="543">
      <colorScale>
        <cfvo type="percent" val="0"/>
        <cfvo type="percent" val="100"/>
        <color rgb="FFFF231B"/>
        <color rgb="FF10FF07"/>
      </colorScale>
    </cfRule>
  </conditionalFormatting>
  <conditionalFormatting sqref="BU12 BS12">
    <cfRule type="expression" dxfId="506" priority="537">
      <formula>OR(IF(BS12&lt;BT12,TRUE),IF(AND(BT12="",BS12&lt;&gt;""),TRUE))</formula>
    </cfRule>
    <cfRule type="expression" dxfId="505" priority="538">
      <formula>IF(BS12&gt;=BT12,IF(BS12="",FALSE,TRUE))</formula>
    </cfRule>
  </conditionalFormatting>
  <conditionalFormatting sqref="BZ12">
    <cfRule type="expression" dxfId="504" priority="535">
      <formula>OR(IF(BZ12&lt;CA12,TRUE),IF(AND(CA12="",BZ12&lt;&gt;""),TRUE))</formula>
    </cfRule>
    <cfRule type="expression" dxfId="503" priority="536">
      <formula>IF(BZ12&gt;=CA12,IF(BZ12="",FALSE,TRUE))</formula>
    </cfRule>
  </conditionalFormatting>
  <conditionalFormatting sqref="CI12 CG12">
    <cfRule type="expression" dxfId="502" priority="533">
      <formula>OR(IF(CG12&lt;CH12,TRUE),IF(AND(CH12="",CG12&lt;&gt;""),TRUE))</formula>
    </cfRule>
    <cfRule type="expression" dxfId="501" priority="534">
      <formula>IF(CG12&gt;=CH12,IF(CG12="",FALSE,TRUE))</formula>
    </cfRule>
  </conditionalFormatting>
  <conditionalFormatting sqref="CP12 CN12">
    <cfRule type="expression" dxfId="500" priority="531">
      <formula>OR(IF(CN12&lt;CO12,TRUE),IF(AND(CO12="",CN12&lt;&gt;""),TRUE))</formula>
    </cfRule>
    <cfRule type="expression" dxfId="499" priority="532">
      <formula>IF(CN12&gt;=CO12,IF(CN12="",FALSE,TRUE))</formula>
    </cfRule>
  </conditionalFormatting>
  <conditionalFormatting sqref="CW12 CU12">
    <cfRule type="expression" dxfId="498" priority="529">
      <formula>OR(IF(CU12&lt;CV12,TRUE),IF(AND(CV12="",CU12&lt;&gt;""),TRUE))</formula>
    </cfRule>
    <cfRule type="expression" dxfId="497" priority="530">
      <formula>IF(CU12&gt;=CV12,IF(CU12="",FALSE,TRUE))</formula>
    </cfRule>
  </conditionalFormatting>
  <conditionalFormatting sqref="DD12 DB12">
    <cfRule type="expression" dxfId="496" priority="527">
      <formula>OR(IF(DB12&lt;DC12,TRUE),IF(AND(DC12="",DB12&lt;&gt;""),TRUE))</formula>
    </cfRule>
    <cfRule type="expression" dxfId="495" priority="528">
      <formula>IF(DB12&gt;=DC12,IF(DB12="",FALSE,TRUE))</formula>
    </cfRule>
  </conditionalFormatting>
  <conditionalFormatting sqref="CB12">
    <cfRule type="expression" dxfId="494" priority="525">
      <formula>OR(IF(CB12&lt;CC12,TRUE),IF(AND(CC12="",CB12&lt;&gt;""),TRUE))</formula>
    </cfRule>
    <cfRule type="expression" dxfId="493" priority="526">
      <formula>IF(CB12&gt;=CC12,IF(CB12="",FALSE,TRUE))</formula>
    </cfRule>
  </conditionalFormatting>
  <conditionalFormatting sqref="J32:K36">
    <cfRule type="colorScale" priority="1459">
      <colorScale>
        <cfvo type="percent" val="0"/>
        <cfvo type="percent" val="100"/>
        <color rgb="FFFF231B"/>
        <color rgb="FF10FF07"/>
      </colorScale>
    </cfRule>
  </conditionalFormatting>
  <conditionalFormatting sqref="J31:J36">
    <cfRule type="colorScale" priority="1460">
      <colorScale>
        <cfvo type="percent" val="0"/>
        <cfvo type="percent" val="100"/>
        <color rgb="FFFF231B"/>
        <color rgb="FF10FF07"/>
      </colorScale>
    </cfRule>
  </conditionalFormatting>
  <conditionalFormatting sqref="K31:K36">
    <cfRule type="colorScale" priority="1461">
      <colorScale>
        <cfvo type="percent" val="0"/>
        <cfvo type="percent" val="100"/>
        <color rgb="FFFF231B"/>
        <color rgb="FF10FF07"/>
      </colorScale>
    </cfRule>
  </conditionalFormatting>
  <conditionalFormatting sqref="BL58 BN58 BE58 BG58 AZ58 AX58 AQ58 AS58 AL58 AJ58 AC58 AE58 V58 X58 O58 Q58">
    <cfRule type="expression" dxfId="492" priority="520">
      <formula>OR(IF(O58&lt;P58,TRUE),IF(AND(P58="",O58&lt;&gt;""),TRUE))</formula>
    </cfRule>
    <cfRule type="expression" dxfId="491" priority="521">
      <formula>IF(O58&gt;=P58,IF(O58="",FALSE,TRUE))</formula>
    </cfRule>
  </conditionalFormatting>
  <conditionalFormatting sqref="J58:K58">
    <cfRule type="colorScale" priority="522">
      <colorScale>
        <cfvo type="percent" val="0"/>
        <cfvo type="percent" val="100"/>
        <color rgb="FFFF231B"/>
        <color rgb="FF10FF07"/>
      </colorScale>
    </cfRule>
  </conditionalFormatting>
  <conditionalFormatting sqref="J58">
    <cfRule type="colorScale" priority="523">
      <colorScale>
        <cfvo type="percent" val="0"/>
        <cfvo type="percent" val="100"/>
        <color rgb="FFFF231B"/>
        <color rgb="FF10FF07"/>
      </colorScale>
    </cfRule>
  </conditionalFormatting>
  <conditionalFormatting sqref="K58">
    <cfRule type="colorScale" priority="524">
      <colorScale>
        <cfvo type="percent" val="0"/>
        <cfvo type="percent" val="100"/>
        <color rgb="FFFF231B"/>
        <color rgb="FF10FF07"/>
      </colorScale>
    </cfRule>
  </conditionalFormatting>
  <conditionalFormatting sqref="BS58 BU58">
    <cfRule type="expression" dxfId="490" priority="518">
      <formula>OR(IF(BS58&lt;BT58,TRUE),IF(AND(BT58="",BS58&lt;&gt;""),TRUE))</formula>
    </cfRule>
    <cfRule type="expression" dxfId="489" priority="519">
      <formula>IF(BS58&gt;=BT58,IF(BS58="",FALSE,TRUE))</formula>
    </cfRule>
  </conditionalFormatting>
  <conditionalFormatting sqref="BZ58 CB58">
    <cfRule type="expression" dxfId="488" priority="516">
      <formula>OR(IF(BZ58&lt;CA58,TRUE),IF(AND(CA58="",BZ58&lt;&gt;""),TRUE))</formula>
    </cfRule>
    <cfRule type="expression" dxfId="487" priority="517">
      <formula>IF(BZ58&gt;=CA58,IF(BZ58="",FALSE,TRUE))</formula>
    </cfRule>
  </conditionalFormatting>
  <conditionalFormatting sqref="CG58 CI58">
    <cfRule type="expression" dxfId="486" priority="514">
      <formula>OR(IF(CG58&lt;CH58,TRUE),IF(AND(CH58="",CG58&lt;&gt;""),TRUE))</formula>
    </cfRule>
    <cfRule type="expression" dxfId="485" priority="515">
      <formula>IF(CG58&gt;=CH58,IF(CG58="",FALSE,TRUE))</formula>
    </cfRule>
  </conditionalFormatting>
  <conditionalFormatting sqref="CN58 CP58">
    <cfRule type="expression" dxfId="484" priority="512">
      <formula>OR(IF(CN58&lt;CO58,TRUE),IF(AND(CO58="",CN58&lt;&gt;""),TRUE))</formula>
    </cfRule>
    <cfRule type="expression" dxfId="483" priority="513">
      <formula>IF(CN58&gt;=CO58,IF(CN58="",FALSE,TRUE))</formula>
    </cfRule>
  </conditionalFormatting>
  <conditionalFormatting sqref="CU58 CW58">
    <cfRule type="expression" dxfId="482" priority="510">
      <formula>OR(IF(CU58&lt;CV58,TRUE),IF(AND(CV58="",CU58&lt;&gt;""),TRUE))</formula>
    </cfRule>
    <cfRule type="expression" dxfId="481" priority="511">
      <formula>IF(CU58&gt;=CV58,IF(CU58="",FALSE,TRUE))</formula>
    </cfRule>
  </conditionalFormatting>
  <conditionalFormatting sqref="DB58 DD58">
    <cfRule type="expression" dxfId="480" priority="508">
      <formula>OR(IF(DB58&lt;DC58,TRUE),IF(AND(DC58="",DB58&lt;&gt;""),TRUE))</formula>
    </cfRule>
    <cfRule type="expression" dxfId="479" priority="509">
      <formula>IF(DB58&gt;=DC58,IF(DB58="",FALSE,TRUE))</formula>
    </cfRule>
  </conditionalFormatting>
  <conditionalFormatting sqref="BL59 BN59 BE59 BG59 AZ59 AX59 AQ59 AS59 AL59 AJ59 AC59 AE59 V59 X59 O59 Q59">
    <cfRule type="expression" dxfId="478" priority="503">
      <formula>OR(IF(O59&lt;P59,TRUE),IF(AND(P59="",O59&lt;&gt;""),TRUE))</formula>
    </cfRule>
    <cfRule type="expression" dxfId="477" priority="504">
      <formula>IF(O59&gt;=P59,IF(O59="",FALSE,TRUE))</formula>
    </cfRule>
  </conditionalFormatting>
  <conditionalFormatting sqref="J59:K59">
    <cfRule type="colorScale" priority="505">
      <colorScale>
        <cfvo type="percent" val="0"/>
        <cfvo type="percent" val="100"/>
        <color rgb="FFFF231B"/>
        <color rgb="FF10FF07"/>
      </colorScale>
    </cfRule>
  </conditionalFormatting>
  <conditionalFormatting sqref="J59">
    <cfRule type="colorScale" priority="506">
      <colorScale>
        <cfvo type="percent" val="0"/>
        <cfvo type="percent" val="100"/>
        <color rgb="FFFF231B"/>
        <color rgb="FF10FF07"/>
      </colorScale>
    </cfRule>
  </conditionalFormatting>
  <conditionalFormatting sqref="K59">
    <cfRule type="colorScale" priority="507">
      <colorScale>
        <cfvo type="percent" val="0"/>
        <cfvo type="percent" val="100"/>
        <color rgb="FFFF231B"/>
        <color rgb="FF10FF07"/>
      </colorScale>
    </cfRule>
  </conditionalFormatting>
  <conditionalFormatting sqref="BS59 BU59">
    <cfRule type="expression" dxfId="476" priority="501">
      <formula>OR(IF(BS59&lt;BT59,TRUE),IF(AND(BT59="",BS59&lt;&gt;""),TRUE))</formula>
    </cfRule>
    <cfRule type="expression" dxfId="475" priority="502">
      <formula>IF(BS59&gt;=BT59,IF(BS59="",FALSE,TRUE))</formula>
    </cfRule>
  </conditionalFormatting>
  <conditionalFormatting sqref="BZ59 CB59">
    <cfRule type="expression" dxfId="474" priority="499">
      <formula>OR(IF(BZ59&lt;CA59,TRUE),IF(AND(CA59="",BZ59&lt;&gt;""),TRUE))</formula>
    </cfRule>
    <cfRule type="expression" dxfId="473" priority="500">
      <formula>IF(BZ59&gt;=CA59,IF(BZ59="",FALSE,TRUE))</formula>
    </cfRule>
  </conditionalFormatting>
  <conditionalFormatting sqref="CG59 CI59">
    <cfRule type="expression" dxfId="472" priority="497">
      <formula>OR(IF(CG59&lt;CH59,TRUE),IF(AND(CH59="",CG59&lt;&gt;""),TRUE))</formula>
    </cfRule>
    <cfRule type="expression" dxfId="471" priority="498">
      <formula>IF(CG59&gt;=CH59,IF(CG59="",FALSE,TRUE))</formula>
    </cfRule>
  </conditionalFormatting>
  <conditionalFormatting sqref="CN59 CP59">
    <cfRule type="expression" dxfId="470" priority="495">
      <formula>OR(IF(CN59&lt;CO59,TRUE),IF(AND(CO59="",CN59&lt;&gt;""),TRUE))</formula>
    </cfRule>
    <cfRule type="expression" dxfId="469" priority="496">
      <formula>IF(CN59&gt;=CO59,IF(CN59="",FALSE,TRUE))</formula>
    </cfRule>
  </conditionalFormatting>
  <conditionalFormatting sqref="CU59 CW59">
    <cfRule type="expression" dxfId="468" priority="493">
      <formula>OR(IF(CU59&lt;CV59,TRUE),IF(AND(CV59="",CU59&lt;&gt;""),TRUE))</formula>
    </cfRule>
    <cfRule type="expression" dxfId="467" priority="494">
      <formula>IF(CU59&gt;=CV59,IF(CU59="",FALSE,TRUE))</formula>
    </cfRule>
  </conditionalFormatting>
  <conditionalFormatting sqref="DB59 DD59">
    <cfRule type="expression" dxfId="466" priority="491">
      <formula>OR(IF(DB59&lt;DC59,TRUE),IF(AND(DC59="",DB59&lt;&gt;""),TRUE))</formula>
    </cfRule>
    <cfRule type="expression" dxfId="465" priority="492">
      <formula>IF(DB59&gt;=DC59,IF(DB59="",FALSE,TRUE))</formula>
    </cfRule>
  </conditionalFormatting>
  <conditionalFormatting sqref="Q61 O61 X61 V61 AE61 AC61 AJ61 AL61 AS61 AQ61 AX61 AZ61 BG61 BE61 BN61 BL61">
    <cfRule type="expression" dxfId="464" priority="486">
      <formula>OR(IF(O61&lt;P61,TRUE),IF(AND(P61="",O61&lt;&gt;""),TRUE))</formula>
    </cfRule>
    <cfRule type="expression" dxfId="463" priority="487">
      <formula>IF(O61&gt;=P61,IF(O61="",FALSE,TRUE))</formula>
    </cfRule>
  </conditionalFormatting>
  <conditionalFormatting sqref="J61:K61">
    <cfRule type="colorScale" priority="488">
      <colorScale>
        <cfvo type="percent" val="0"/>
        <cfvo type="percent" val="100"/>
        <color rgb="FFFF231B"/>
        <color rgb="FF10FF07"/>
      </colorScale>
    </cfRule>
  </conditionalFormatting>
  <conditionalFormatting sqref="J61">
    <cfRule type="colorScale" priority="489">
      <colorScale>
        <cfvo type="percent" val="0"/>
        <cfvo type="percent" val="100"/>
        <color rgb="FFFF231B"/>
        <color rgb="FF10FF07"/>
      </colorScale>
    </cfRule>
  </conditionalFormatting>
  <conditionalFormatting sqref="K61">
    <cfRule type="colorScale" priority="490">
      <colorScale>
        <cfvo type="percent" val="0"/>
        <cfvo type="percent" val="100"/>
        <color rgb="FFFF231B"/>
        <color rgb="FF10FF07"/>
      </colorScale>
    </cfRule>
  </conditionalFormatting>
  <conditionalFormatting sqref="BU61 BS61">
    <cfRule type="expression" dxfId="462" priority="484">
      <formula>OR(IF(BS61&lt;BT61,TRUE),IF(AND(BT61="",BS61&lt;&gt;""),TRUE))</formula>
    </cfRule>
    <cfRule type="expression" dxfId="461" priority="485">
      <formula>IF(BS61&gt;=BT61,IF(BS61="",FALSE,TRUE))</formula>
    </cfRule>
  </conditionalFormatting>
  <conditionalFormatting sqref="CB61 BZ61">
    <cfRule type="expression" dxfId="460" priority="482">
      <formula>OR(IF(BZ61&lt;CA61,TRUE),IF(AND(CA61="",BZ61&lt;&gt;""),TRUE))</formula>
    </cfRule>
    <cfRule type="expression" dxfId="459" priority="483">
      <formula>IF(BZ61&gt;=CA61,IF(BZ61="",FALSE,TRUE))</formula>
    </cfRule>
  </conditionalFormatting>
  <conditionalFormatting sqref="CI61 CG61">
    <cfRule type="expression" dxfId="458" priority="480">
      <formula>OR(IF(CG61&lt;CH61,TRUE),IF(AND(CH61="",CG61&lt;&gt;""),TRUE))</formula>
    </cfRule>
    <cfRule type="expression" dxfId="457" priority="481">
      <formula>IF(CG61&gt;=CH61,IF(CG61="",FALSE,TRUE))</formula>
    </cfRule>
  </conditionalFormatting>
  <conditionalFormatting sqref="CP61 CN61">
    <cfRule type="expression" dxfId="456" priority="478">
      <formula>OR(IF(CN61&lt;CO61,TRUE),IF(AND(CO61="",CN61&lt;&gt;""),TRUE))</formula>
    </cfRule>
    <cfRule type="expression" dxfId="455" priority="479">
      <formula>IF(CN61&gt;=CO61,IF(CN61="",FALSE,TRUE))</formula>
    </cfRule>
  </conditionalFormatting>
  <conditionalFormatting sqref="CW61 CU61">
    <cfRule type="expression" dxfId="454" priority="476">
      <formula>OR(IF(CU61&lt;CV61,TRUE),IF(AND(CV61="",CU61&lt;&gt;""),TRUE))</formula>
    </cfRule>
    <cfRule type="expression" dxfId="453" priority="477">
      <formula>IF(CU61&gt;=CV61,IF(CU61="",FALSE,TRUE))</formula>
    </cfRule>
  </conditionalFormatting>
  <conditionalFormatting sqref="DD61 DB61">
    <cfRule type="expression" dxfId="452" priority="474">
      <formula>OR(IF(DB61&lt;DC61,TRUE),IF(AND(DC61="",DB61&lt;&gt;""),TRUE))</formula>
    </cfRule>
    <cfRule type="expression" dxfId="451" priority="475">
      <formula>IF(DB61&gt;=DC61,IF(DB61="",FALSE,TRUE))</formula>
    </cfRule>
  </conditionalFormatting>
  <conditionalFormatting sqref="AJ44 AL44 AX44 AZ44 Q44 O44 BG44 X44 V44 AE44 AC44 AS44 AQ44 BE44 BN44 BL44">
    <cfRule type="expression" dxfId="450" priority="469">
      <formula>OR(IF(O44&lt;P44,TRUE),IF(AND(P44="",O44&lt;&gt;""),TRUE))</formula>
    </cfRule>
    <cfRule type="expression" dxfId="449" priority="470">
      <formula>IF(O44&gt;=P44,IF(O44="",FALSE,TRUE))</formula>
    </cfRule>
  </conditionalFormatting>
  <conditionalFormatting sqref="J44:K44">
    <cfRule type="colorScale" priority="471">
      <colorScale>
        <cfvo type="percent" val="0"/>
        <cfvo type="percent" val="100"/>
        <color rgb="FFFF231B"/>
        <color rgb="FF10FF07"/>
      </colorScale>
    </cfRule>
  </conditionalFormatting>
  <conditionalFormatting sqref="J44">
    <cfRule type="colorScale" priority="472">
      <colorScale>
        <cfvo type="percent" val="0"/>
        <cfvo type="percent" val="100"/>
        <color rgb="FFFF231B"/>
        <color rgb="FF10FF07"/>
      </colorScale>
    </cfRule>
  </conditionalFormatting>
  <conditionalFormatting sqref="K44">
    <cfRule type="colorScale" priority="473">
      <colorScale>
        <cfvo type="percent" val="0"/>
        <cfvo type="percent" val="100"/>
        <color rgb="FFFF231B"/>
        <color rgb="FF10FF07"/>
      </colorScale>
    </cfRule>
  </conditionalFormatting>
  <conditionalFormatting sqref="BU44 BS44">
    <cfRule type="expression" dxfId="448" priority="467">
      <formula>OR(IF(BS44&lt;BT44,TRUE),IF(AND(BT44="",BS44&lt;&gt;""),TRUE))</formula>
    </cfRule>
    <cfRule type="expression" dxfId="447" priority="468">
      <formula>IF(BS44&gt;=BT44,IF(BS44="",FALSE,TRUE))</formula>
    </cfRule>
  </conditionalFormatting>
  <conditionalFormatting sqref="CB44 BZ44">
    <cfRule type="expression" dxfId="446" priority="465">
      <formula>OR(IF(BZ44&lt;CA44,TRUE),IF(AND(CA44="",BZ44&lt;&gt;""),TRUE))</formula>
    </cfRule>
    <cfRule type="expression" dxfId="445" priority="466">
      <formula>IF(BZ44&gt;=CA44,IF(BZ44="",FALSE,TRUE))</formula>
    </cfRule>
  </conditionalFormatting>
  <conditionalFormatting sqref="CI44 CG44">
    <cfRule type="expression" dxfId="444" priority="463">
      <formula>OR(IF(CG44&lt;CH44,TRUE),IF(AND(CH44="",CG44&lt;&gt;""),TRUE))</formula>
    </cfRule>
    <cfRule type="expression" dxfId="443" priority="464">
      <formula>IF(CG44&gt;=CH44,IF(CG44="",FALSE,TRUE))</formula>
    </cfRule>
  </conditionalFormatting>
  <conditionalFormatting sqref="CP44 CN44">
    <cfRule type="expression" dxfId="442" priority="461">
      <formula>OR(IF(CN44&lt;CO44,TRUE),IF(AND(CO44="",CN44&lt;&gt;""),TRUE))</formula>
    </cfRule>
    <cfRule type="expression" dxfId="441" priority="462">
      <formula>IF(CN44&gt;=CO44,IF(CN44="",FALSE,TRUE))</formula>
    </cfRule>
  </conditionalFormatting>
  <conditionalFormatting sqref="CW44 CU44">
    <cfRule type="expression" dxfId="440" priority="459">
      <formula>OR(IF(CU44&lt;CV44,TRUE),IF(AND(CV44="",CU44&lt;&gt;""),TRUE))</formula>
    </cfRule>
    <cfRule type="expression" dxfId="439" priority="460">
      <formula>IF(CU44&gt;=CV44,IF(CU44="",FALSE,TRUE))</formula>
    </cfRule>
  </conditionalFormatting>
  <conditionalFormatting sqref="DD44 DB44">
    <cfRule type="expression" dxfId="438" priority="457">
      <formula>OR(IF(DB44&lt;DC44,TRUE),IF(AND(DC44="",DB44&lt;&gt;""),TRUE))</formula>
    </cfRule>
    <cfRule type="expression" dxfId="437" priority="458">
      <formula>IF(DB44&gt;=DC44,IF(DB44="",FALSE,TRUE))</formula>
    </cfRule>
  </conditionalFormatting>
  <conditionalFormatting sqref="AJ45 AL45 AX45 AZ45 Q45 O45 BG45 X45 V45 AE45 AC45 AS45 AQ45 BE45 BN45 BL45">
    <cfRule type="expression" dxfId="436" priority="452">
      <formula>OR(IF(O45&lt;P45,TRUE),IF(AND(P45="",O45&lt;&gt;""),TRUE))</formula>
    </cfRule>
    <cfRule type="expression" dxfId="435" priority="453">
      <formula>IF(O45&gt;=P45,IF(O45="",FALSE,TRUE))</formula>
    </cfRule>
  </conditionalFormatting>
  <conditionalFormatting sqref="J45:K45">
    <cfRule type="colorScale" priority="454">
      <colorScale>
        <cfvo type="percent" val="0"/>
        <cfvo type="percent" val="100"/>
        <color rgb="FFFF231B"/>
        <color rgb="FF10FF07"/>
      </colorScale>
    </cfRule>
  </conditionalFormatting>
  <conditionalFormatting sqref="J45">
    <cfRule type="colorScale" priority="455">
      <colorScale>
        <cfvo type="percent" val="0"/>
        <cfvo type="percent" val="100"/>
        <color rgb="FFFF231B"/>
        <color rgb="FF10FF07"/>
      </colorScale>
    </cfRule>
  </conditionalFormatting>
  <conditionalFormatting sqref="K45">
    <cfRule type="colorScale" priority="456">
      <colorScale>
        <cfvo type="percent" val="0"/>
        <cfvo type="percent" val="100"/>
        <color rgb="FFFF231B"/>
        <color rgb="FF10FF07"/>
      </colorScale>
    </cfRule>
  </conditionalFormatting>
  <conditionalFormatting sqref="BU45 BS45">
    <cfRule type="expression" dxfId="434" priority="450">
      <formula>OR(IF(BS45&lt;BT45,TRUE),IF(AND(BT45="",BS45&lt;&gt;""),TRUE))</formula>
    </cfRule>
    <cfRule type="expression" dxfId="433" priority="451">
      <formula>IF(BS45&gt;=BT45,IF(BS45="",FALSE,TRUE))</formula>
    </cfRule>
  </conditionalFormatting>
  <conditionalFormatting sqref="CB45 BZ45">
    <cfRule type="expression" dxfId="432" priority="448">
      <formula>OR(IF(BZ45&lt;CA45,TRUE),IF(AND(CA45="",BZ45&lt;&gt;""),TRUE))</formula>
    </cfRule>
    <cfRule type="expression" dxfId="431" priority="449">
      <formula>IF(BZ45&gt;=CA45,IF(BZ45="",FALSE,TRUE))</formula>
    </cfRule>
  </conditionalFormatting>
  <conditionalFormatting sqref="CI45 CG45">
    <cfRule type="expression" dxfId="430" priority="446">
      <formula>OR(IF(CG45&lt;CH45,TRUE),IF(AND(CH45="",CG45&lt;&gt;""),TRUE))</formula>
    </cfRule>
    <cfRule type="expression" dxfId="429" priority="447">
      <formula>IF(CG45&gt;=CH45,IF(CG45="",FALSE,TRUE))</formula>
    </cfRule>
  </conditionalFormatting>
  <conditionalFormatting sqref="CP45 CN45">
    <cfRule type="expression" dxfId="428" priority="444">
      <formula>OR(IF(CN45&lt;CO45,TRUE),IF(AND(CO45="",CN45&lt;&gt;""),TRUE))</formula>
    </cfRule>
    <cfRule type="expression" dxfId="427" priority="445">
      <formula>IF(CN45&gt;=CO45,IF(CN45="",FALSE,TRUE))</formula>
    </cfRule>
  </conditionalFormatting>
  <conditionalFormatting sqref="CW45 CU45">
    <cfRule type="expression" dxfId="426" priority="442">
      <formula>OR(IF(CU45&lt;CV45,TRUE),IF(AND(CV45="",CU45&lt;&gt;""),TRUE))</formula>
    </cfRule>
    <cfRule type="expression" dxfId="425" priority="443">
      <formula>IF(CU45&gt;=CV45,IF(CU45="",FALSE,TRUE))</formula>
    </cfRule>
  </conditionalFormatting>
  <conditionalFormatting sqref="DD45 DB45">
    <cfRule type="expression" dxfId="424" priority="440">
      <formula>OR(IF(DB45&lt;DC45,TRUE),IF(AND(DC45="",DB45&lt;&gt;""),TRUE))</formula>
    </cfRule>
    <cfRule type="expression" dxfId="423" priority="441">
      <formula>IF(DB45&gt;=DC45,IF(DB45="",FALSE,TRUE))</formula>
    </cfRule>
  </conditionalFormatting>
  <conditionalFormatting sqref="AJ46 AL46 AX46 AZ46 Q46 O46 BG46 X46 V46 AE46 AC46 AS46 AQ46 BE46 BN46 BL46">
    <cfRule type="expression" dxfId="422" priority="435">
      <formula>OR(IF(O46&lt;P46,TRUE),IF(AND(P46="",O46&lt;&gt;""),TRUE))</formula>
    </cfRule>
    <cfRule type="expression" dxfId="421" priority="436">
      <formula>IF(O46&gt;=P46,IF(O46="",FALSE,TRUE))</formula>
    </cfRule>
  </conditionalFormatting>
  <conditionalFormatting sqref="J46:K46">
    <cfRule type="colorScale" priority="437">
      <colorScale>
        <cfvo type="percent" val="0"/>
        <cfvo type="percent" val="100"/>
        <color rgb="FFFF231B"/>
        <color rgb="FF10FF07"/>
      </colorScale>
    </cfRule>
  </conditionalFormatting>
  <conditionalFormatting sqref="J46">
    <cfRule type="colorScale" priority="438">
      <colorScale>
        <cfvo type="percent" val="0"/>
        <cfvo type="percent" val="100"/>
        <color rgb="FFFF231B"/>
        <color rgb="FF10FF07"/>
      </colorScale>
    </cfRule>
  </conditionalFormatting>
  <conditionalFormatting sqref="K46">
    <cfRule type="colorScale" priority="439">
      <colorScale>
        <cfvo type="percent" val="0"/>
        <cfvo type="percent" val="100"/>
        <color rgb="FFFF231B"/>
        <color rgb="FF10FF07"/>
      </colorScale>
    </cfRule>
  </conditionalFormatting>
  <conditionalFormatting sqref="BU46 BS46">
    <cfRule type="expression" dxfId="420" priority="433">
      <formula>OR(IF(BS46&lt;BT46,TRUE),IF(AND(BT46="",BS46&lt;&gt;""),TRUE))</formula>
    </cfRule>
    <cfRule type="expression" dxfId="419" priority="434">
      <formula>IF(BS46&gt;=BT46,IF(BS46="",FALSE,TRUE))</formula>
    </cfRule>
  </conditionalFormatting>
  <conditionalFormatting sqref="CB46 BZ46">
    <cfRule type="expression" dxfId="418" priority="431">
      <formula>OR(IF(BZ46&lt;CA46,TRUE),IF(AND(CA46="",BZ46&lt;&gt;""),TRUE))</formula>
    </cfRule>
    <cfRule type="expression" dxfId="417" priority="432">
      <formula>IF(BZ46&gt;=CA46,IF(BZ46="",FALSE,TRUE))</formula>
    </cfRule>
  </conditionalFormatting>
  <conditionalFormatting sqref="CI46 CG46">
    <cfRule type="expression" dxfId="416" priority="429">
      <formula>OR(IF(CG46&lt;CH46,TRUE),IF(AND(CH46="",CG46&lt;&gt;""),TRUE))</formula>
    </cfRule>
    <cfRule type="expression" dxfId="415" priority="430">
      <formula>IF(CG46&gt;=CH46,IF(CG46="",FALSE,TRUE))</formula>
    </cfRule>
  </conditionalFormatting>
  <conditionalFormatting sqref="CP46 CN46">
    <cfRule type="expression" dxfId="414" priority="427">
      <formula>OR(IF(CN46&lt;CO46,TRUE),IF(AND(CO46="",CN46&lt;&gt;""),TRUE))</formula>
    </cfRule>
    <cfRule type="expression" dxfId="413" priority="428">
      <formula>IF(CN46&gt;=CO46,IF(CN46="",FALSE,TRUE))</formula>
    </cfRule>
  </conditionalFormatting>
  <conditionalFormatting sqref="CW46 CU46">
    <cfRule type="expression" dxfId="412" priority="425">
      <formula>OR(IF(CU46&lt;CV46,TRUE),IF(AND(CV46="",CU46&lt;&gt;""),TRUE))</formula>
    </cfRule>
    <cfRule type="expression" dxfId="411" priority="426">
      <formula>IF(CU46&gt;=CV46,IF(CU46="",FALSE,TRUE))</formula>
    </cfRule>
  </conditionalFormatting>
  <conditionalFormatting sqref="DD46 DB46">
    <cfRule type="expression" dxfId="410" priority="423">
      <formula>OR(IF(DB46&lt;DC46,TRUE),IF(AND(DC46="",DB46&lt;&gt;""),TRUE))</formula>
    </cfRule>
    <cfRule type="expression" dxfId="409" priority="424">
      <formula>IF(DB46&gt;=DC46,IF(DB46="",FALSE,TRUE))</formula>
    </cfRule>
  </conditionalFormatting>
  <conditionalFormatting sqref="DR33:DR36 DP33:DP36">
    <cfRule type="expression" dxfId="408" priority="421">
      <formula>OR(IF(DP33&lt;DQ33,TRUE),IF(AND(DQ33="",DP33&lt;&gt;""),TRUE))</formula>
    </cfRule>
    <cfRule type="expression" dxfId="407" priority="422">
      <formula>IF(DP33&gt;=DQ33,IF(DP33="",FALSE,TRUE))</formula>
    </cfRule>
  </conditionalFormatting>
  <conditionalFormatting sqref="DP5:DP8 DR5:DR8 DR41:DR43 DP41:DP43 DR51:DR57 DP51:DP57 DR15:DR16 DP15:DP16 DP60 DR60 DR62:DR63 DP62:DP63 DP47:DP48 DR47:DR48">
    <cfRule type="expression" dxfId="406" priority="419">
      <formula>OR(IF(DP5&lt;DQ5,TRUE),IF(AND(DQ5="",DP5&lt;&gt;""),TRUE))</formula>
    </cfRule>
    <cfRule type="expression" dxfId="405" priority="420">
      <formula>IF(DP5&gt;=DQ5,IF(DP5="",FALSE,TRUE))</formula>
    </cfRule>
  </conditionalFormatting>
  <conditionalFormatting sqref="DP19 DR19">
    <cfRule type="expression" dxfId="404" priority="417">
      <formula>OR(IF(DP19&lt;DQ19,TRUE),IF(AND(DQ19="",DP19&lt;&gt;""),TRUE))</formula>
    </cfRule>
    <cfRule type="expression" dxfId="403" priority="418">
      <formula>IF(DP19&gt;=DQ19,IF(DP19="",FALSE,TRUE))</formula>
    </cfRule>
  </conditionalFormatting>
  <conditionalFormatting sqref="DP31:DP32">
    <cfRule type="expression" dxfId="402" priority="415">
      <formula>OR(IF(DP31&lt;DQ31,TRUE),IF(AND(DQ31="",DP31&lt;&gt;""),TRUE))</formula>
    </cfRule>
    <cfRule type="expression" dxfId="401" priority="416">
      <formula>IF(DP31&gt;=DQ31,IF(DP31="",FALSE,TRUE))</formula>
    </cfRule>
  </conditionalFormatting>
  <conditionalFormatting sqref="DR31:DR32">
    <cfRule type="expression" dxfId="400" priority="413">
      <formula>OR(IF(DR31&lt;DS31,TRUE),IF(AND(DS31="",DR31&lt;&gt;""),TRUE))</formula>
    </cfRule>
    <cfRule type="expression" dxfId="399" priority="414">
      <formula>IF(DR31&gt;=DS31,IF(DR31="",FALSE,TRUE))</formula>
    </cfRule>
  </conditionalFormatting>
  <conditionalFormatting sqref="DP39:DP40">
    <cfRule type="expression" dxfId="398" priority="411">
      <formula>OR(IF(DP39&lt;DQ39,TRUE),IF(AND(DQ39="",DP39&lt;&gt;""),TRUE))</formula>
    </cfRule>
    <cfRule type="expression" dxfId="397" priority="412">
      <formula>IF(DP39&gt;=DQ39,IF(DP39="",FALSE,TRUE))</formula>
    </cfRule>
  </conditionalFormatting>
  <conditionalFormatting sqref="DR39:DR40">
    <cfRule type="expression" dxfId="396" priority="409">
      <formula>OR(IF(DR39&lt;DS39,TRUE),IF(AND(DS39="",DR39&lt;&gt;""),TRUE))</formula>
    </cfRule>
    <cfRule type="expression" dxfId="395" priority="410">
      <formula>IF(DR39&gt;=DS39,IF(DR39="",FALSE,TRUE))</formula>
    </cfRule>
  </conditionalFormatting>
  <conditionalFormatting sqref="DR28 DP28">
    <cfRule type="expression" dxfId="394" priority="405">
      <formula>OR(IF(DP28&lt;DQ28,TRUE),IF(AND(DQ28="",DP28&lt;&gt;""),TRUE))</formula>
    </cfRule>
    <cfRule type="expression" dxfId="393" priority="406">
      <formula>IF(DP28&gt;=DQ28,IF(DP28="",FALSE,TRUE))</formula>
    </cfRule>
  </conditionalFormatting>
  <conditionalFormatting sqref="DR9 DP9">
    <cfRule type="expression" dxfId="392" priority="403">
      <formula>OR(IF(DP9&lt;DQ9,TRUE),IF(AND(DQ9="",DP9&lt;&gt;""),TRUE))</formula>
    </cfRule>
    <cfRule type="expression" dxfId="391" priority="404">
      <formula>IF(DP9&gt;=DQ9,IF(DP9="",FALSE,TRUE))</formula>
    </cfRule>
  </conditionalFormatting>
  <conditionalFormatting sqref="DR10 DP10">
    <cfRule type="expression" dxfId="390" priority="401">
      <formula>OR(IF(DP10&lt;DQ10,TRUE),IF(AND(DQ10="",DP10&lt;&gt;""),TRUE))</formula>
    </cfRule>
    <cfRule type="expression" dxfId="389" priority="402">
      <formula>IF(DP10&gt;=DQ10,IF(DP10="",FALSE,TRUE))</formula>
    </cfRule>
  </conditionalFormatting>
  <conditionalFormatting sqref="DR11 DP11">
    <cfRule type="expression" dxfId="388" priority="399">
      <formula>OR(IF(DP11&lt;DQ11,TRUE),IF(AND(DQ11="",DP11&lt;&gt;""),TRUE))</formula>
    </cfRule>
    <cfRule type="expression" dxfId="387" priority="400">
      <formula>IF(DP11&gt;=DQ11,IF(DP11="",FALSE,TRUE))</formula>
    </cfRule>
  </conditionalFormatting>
  <conditionalFormatting sqref="DR13 DP13">
    <cfRule type="expression" dxfId="386" priority="397">
      <formula>OR(IF(DP13&lt;DQ13,TRUE),IF(AND(DQ13="",DP13&lt;&gt;""),TRUE))</formula>
    </cfRule>
    <cfRule type="expression" dxfId="385" priority="398">
      <formula>IF(DP13&gt;=DQ13,IF(DP13="",FALSE,TRUE))</formula>
    </cfRule>
  </conditionalFormatting>
  <conditionalFormatting sqref="DR14 DP14">
    <cfRule type="expression" dxfId="384" priority="395">
      <formula>OR(IF(DP14&lt;DQ14,TRUE),IF(AND(DQ14="",DP14&lt;&gt;""),TRUE))</formula>
    </cfRule>
    <cfRule type="expression" dxfId="383" priority="396">
      <formula>IF(DP14&gt;=DQ14,IF(DP14="",FALSE,TRUE))</formula>
    </cfRule>
  </conditionalFormatting>
  <conditionalFormatting sqref="DR12 DP12">
    <cfRule type="expression" dxfId="382" priority="393">
      <formula>OR(IF(DP12&lt;DQ12,TRUE),IF(AND(DQ12="",DP12&lt;&gt;""),TRUE))</formula>
    </cfRule>
    <cfRule type="expression" dxfId="381" priority="394">
      <formula>IF(DP12&gt;=DQ12,IF(DP12="",FALSE,TRUE))</formula>
    </cfRule>
  </conditionalFormatting>
  <conditionalFormatting sqref="DP58 DR58">
    <cfRule type="expression" dxfId="380" priority="391">
      <formula>OR(IF(DP58&lt;DQ58,TRUE),IF(AND(DQ58="",DP58&lt;&gt;""),TRUE))</formula>
    </cfRule>
    <cfRule type="expression" dxfId="379" priority="392">
      <formula>IF(DP58&gt;=DQ58,IF(DP58="",FALSE,TRUE))</formula>
    </cfRule>
  </conditionalFormatting>
  <conditionalFormatting sqref="DP59 DR59">
    <cfRule type="expression" dxfId="378" priority="389">
      <formula>OR(IF(DP59&lt;DQ59,TRUE),IF(AND(DQ59="",DP59&lt;&gt;""),TRUE))</formula>
    </cfRule>
    <cfRule type="expression" dxfId="377" priority="390">
      <formula>IF(DP59&gt;=DQ59,IF(DP59="",FALSE,TRUE))</formula>
    </cfRule>
  </conditionalFormatting>
  <conditionalFormatting sqref="DR61 DP61">
    <cfRule type="expression" dxfId="376" priority="387">
      <formula>OR(IF(DP61&lt;DQ61,TRUE),IF(AND(DQ61="",DP61&lt;&gt;""),TRUE))</formula>
    </cfRule>
    <cfRule type="expression" dxfId="375" priority="388">
      <formula>IF(DP61&gt;=DQ61,IF(DP61="",FALSE,TRUE))</formula>
    </cfRule>
  </conditionalFormatting>
  <conditionalFormatting sqref="DR44 DP44">
    <cfRule type="expression" dxfId="374" priority="385">
      <formula>OR(IF(DP44&lt;DQ44,TRUE),IF(AND(DQ44="",DP44&lt;&gt;""),TRUE))</formula>
    </cfRule>
    <cfRule type="expression" dxfId="373" priority="386">
      <formula>IF(DP44&gt;=DQ44,IF(DP44="",FALSE,TRUE))</formula>
    </cfRule>
  </conditionalFormatting>
  <conditionalFormatting sqref="DR45 DP45">
    <cfRule type="expression" dxfId="372" priority="383">
      <formula>OR(IF(DP45&lt;DQ45,TRUE),IF(AND(DQ45="",DP45&lt;&gt;""),TRUE))</formula>
    </cfRule>
    <cfRule type="expression" dxfId="371" priority="384">
      <formula>IF(DP45&gt;=DQ45,IF(DP45="",FALSE,TRUE))</formula>
    </cfRule>
  </conditionalFormatting>
  <conditionalFormatting sqref="DR46 DP46">
    <cfRule type="expression" dxfId="370" priority="381">
      <formula>OR(IF(DP46&lt;DQ46,TRUE),IF(AND(DQ46="",DP46&lt;&gt;""),TRUE))</formula>
    </cfRule>
    <cfRule type="expression" dxfId="369" priority="382">
      <formula>IF(DP46&gt;=DQ46,IF(DP46="",FALSE,TRUE))</formula>
    </cfRule>
  </conditionalFormatting>
  <conditionalFormatting sqref="DK33:DK36 DI33:DI36">
    <cfRule type="expression" dxfId="368" priority="379">
      <formula>OR(IF(DI33&lt;DJ33,TRUE),IF(AND(DJ33="",DI33&lt;&gt;""),TRUE))</formula>
    </cfRule>
    <cfRule type="expression" dxfId="367" priority="380">
      <formula>IF(DI33&gt;=DJ33,IF(DI33="",FALSE,TRUE))</formula>
    </cfRule>
  </conditionalFormatting>
  <conditionalFormatting sqref="DI5:DI8 DK5:DK8 DK41:DK43 DI41:DI43 DK51:DK57 DI51:DI57 DK15:DK16 DI15:DI16 DI60 DK60 DK62:DK63 DI62:DI63 DI47:DI48 DK47:DK48">
    <cfRule type="expression" dxfId="366" priority="377">
      <formula>OR(IF(DI5&lt;DJ5,TRUE),IF(AND(DJ5="",DI5&lt;&gt;""),TRUE))</formula>
    </cfRule>
    <cfRule type="expression" dxfId="365" priority="378">
      <formula>IF(DI5&gt;=DJ5,IF(DI5="",FALSE,TRUE))</formula>
    </cfRule>
  </conditionalFormatting>
  <conditionalFormatting sqref="DI19 DK19">
    <cfRule type="expression" dxfId="364" priority="375">
      <formula>OR(IF(DI19&lt;DJ19,TRUE),IF(AND(DJ19="",DI19&lt;&gt;""),TRUE))</formula>
    </cfRule>
    <cfRule type="expression" dxfId="363" priority="376">
      <formula>IF(DI19&gt;=DJ19,IF(DI19="",FALSE,TRUE))</formula>
    </cfRule>
  </conditionalFormatting>
  <conditionalFormatting sqref="DI31:DI32">
    <cfRule type="expression" dxfId="362" priority="373">
      <formula>OR(IF(DI31&lt;DJ31,TRUE),IF(AND(DJ31="",DI31&lt;&gt;""),TRUE))</formula>
    </cfRule>
    <cfRule type="expression" dxfId="361" priority="374">
      <formula>IF(DI31&gt;=DJ31,IF(DI31="",FALSE,TRUE))</formula>
    </cfRule>
  </conditionalFormatting>
  <conditionalFormatting sqref="DK31:DK32">
    <cfRule type="expression" dxfId="360" priority="371">
      <formula>OR(IF(DK31&lt;DL31,TRUE),IF(AND(DL31="",DK31&lt;&gt;""),TRUE))</formula>
    </cfRule>
    <cfRule type="expression" dxfId="359" priority="372">
      <formula>IF(DK31&gt;=DL31,IF(DK31="",FALSE,TRUE))</formula>
    </cfRule>
  </conditionalFormatting>
  <conditionalFormatting sqref="DI39:DI40">
    <cfRule type="expression" dxfId="358" priority="369">
      <formula>OR(IF(DI39&lt;DJ39,TRUE),IF(AND(DJ39="",DI39&lt;&gt;""),TRUE))</formula>
    </cfRule>
    <cfRule type="expression" dxfId="357" priority="370">
      <formula>IF(DI39&gt;=DJ39,IF(DI39="",FALSE,TRUE))</formula>
    </cfRule>
  </conditionalFormatting>
  <conditionalFormatting sqref="DK39:DK40">
    <cfRule type="expression" dxfId="356" priority="367">
      <formula>OR(IF(DK39&lt;DL39,TRUE),IF(AND(DL39="",DK39&lt;&gt;""),TRUE))</formula>
    </cfRule>
    <cfRule type="expression" dxfId="355" priority="368">
      <formula>IF(DK39&gt;=DL39,IF(DK39="",FALSE,TRUE))</formula>
    </cfRule>
  </conditionalFormatting>
  <conditionalFormatting sqref="DK28 DI28">
    <cfRule type="expression" dxfId="354" priority="363">
      <formula>OR(IF(DI28&lt;DJ28,TRUE),IF(AND(DJ28="",DI28&lt;&gt;""),TRUE))</formula>
    </cfRule>
    <cfRule type="expression" dxfId="353" priority="364">
      <formula>IF(DI28&gt;=DJ28,IF(DI28="",FALSE,TRUE))</formula>
    </cfRule>
  </conditionalFormatting>
  <conditionalFormatting sqref="DK9 DI9">
    <cfRule type="expression" dxfId="352" priority="361">
      <formula>OR(IF(DI9&lt;DJ9,TRUE),IF(AND(DJ9="",DI9&lt;&gt;""),TRUE))</formula>
    </cfRule>
    <cfRule type="expression" dxfId="351" priority="362">
      <formula>IF(DI9&gt;=DJ9,IF(DI9="",FALSE,TRUE))</formula>
    </cfRule>
  </conditionalFormatting>
  <conditionalFormatting sqref="DK10 DI10">
    <cfRule type="expression" dxfId="350" priority="359">
      <formula>OR(IF(DI10&lt;DJ10,TRUE),IF(AND(DJ10="",DI10&lt;&gt;""),TRUE))</formula>
    </cfRule>
    <cfRule type="expression" dxfId="349" priority="360">
      <formula>IF(DI10&gt;=DJ10,IF(DI10="",FALSE,TRUE))</formula>
    </cfRule>
  </conditionalFormatting>
  <conditionalFormatting sqref="DK11 DI11">
    <cfRule type="expression" dxfId="348" priority="357">
      <formula>OR(IF(DI11&lt;DJ11,TRUE),IF(AND(DJ11="",DI11&lt;&gt;""),TRUE))</formula>
    </cfRule>
    <cfRule type="expression" dxfId="347" priority="358">
      <formula>IF(DI11&gt;=DJ11,IF(DI11="",FALSE,TRUE))</formula>
    </cfRule>
  </conditionalFormatting>
  <conditionalFormatting sqref="DK13 DI13">
    <cfRule type="expression" dxfId="346" priority="355">
      <formula>OR(IF(DI13&lt;DJ13,TRUE),IF(AND(DJ13="",DI13&lt;&gt;""),TRUE))</formula>
    </cfRule>
    <cfRule type="expression" dxfId="345" priority="356">
      <formula>IF(DI13&gt;=DJ13,IF(DI13="",FALSE,TRUE))</formula>
    </cfRule>
  </conditionalFormatting>
  <conditionalFormatting sqref="DK14 DI14">
    <cfRule type="expression" dxfId="344" priority="353">
      <formula>OR(IF(DI14&lt;DJ14,TRUE),IF(AND(DJ14="",DI14&lt;&gt;""),TRUE))</formula>
    </cfRule>
    <cfRule type="expression" dxfId="343" priority="354">
      <formula>IF(DI14&gt;=DJ14,IF(DI14="",FALSE,TRUE))</formula>
    </cfRule>
  </conditionalFormatting>
  <conditionalFormatting sqref="DK12 DI12">
    <cfRule type="expression" dxfId="342" priority="351">
      <formula>OR(IF(DI12&lt;DJ12,TRUE),IF(AND(DJ12="",DI12&lt;&gt;""),TRUE))</formula>
    </cfRule>
    <cfRule type="expression" dxfId="341" priority="352">
      <formula>IF(DI12&gt;=DJ12,IF(DI12="",FALSE,TRUE))</formula>
    </cfRule>
  </conditionalFormatting>
  <conditionalFormatting sqref="DI58 DK58">
    <cfRule type="expression" dxfId="340" priority="349">
      <formula>OR(IF(DI58&lt;DJ58,TRUE),IF(AND(DJ58="",DI58&lt;&gt;""),TRUE))</formula>
    </cfRule>
    <cfRule type="expression" dxfId="339" priority="350">
      <formula>IF(DI58&gt;=DJ58,IF(DI58="",FALSE,TRUE))</formula>
    </cfRule>
  </conditionalFormatting>
  <conditionalFormatting sqref="DI59 DK59">
    <cfRule type="expression" dxfId="338" priority="347">
      <formula>OR(IF(DI59&lt;DJ59,TRUE),IF(AND(DJ59="",DI59&lt;&gt;""),TRUE))</formula>
    </cfRule>
    <cfRule type="expression" dxfId="337" priority="348">
      <formula>IF(DI59&gt;=DJ59,IF(DI59="",FALSE,TRUE))</formula>
    </cfRule>
  </conditionalFormatting>
  <conditionalFormatting sqref="DK61 DI61">
    <cfRule type="expression" dxfId="336" priority="345">
      <formula>OR(IF(DI61&lt;DJ61,TRUE),IF(AND(DJ61="",DI61&lt;&gt;""),TRUE))</formula>
    </cfRule>
    <cfRule type="expression" dxfId="335" priority="346">
      <formula>IF(DI61&gt;=DJ61,IF(DI61="",FALSE,TRUE))</formula>
    </cfRule>
  </conditionalFormatting>
  <conditionalFormatting sqref="DK44 DI44">
    <cfRule type="expression" dxfId="334" priority="343">
      <formula>OR(IF(DI44&lt;DJ44,TRUE),IF(AND(DJ44="",DI44&lt;&gt;""),TRUE))</formula>
    </cfRule>
    <cfRule type="expression" dxfId="333" priority="344">
      <formula>IF(DI44&gt;=DJ44,IF(DI44="",FALSE,TRUE))</formula>
    </cfRule>
  </conditionalFormatting>
  <conditionalFormatting sqref="DK45 DI45">
    <cfRule type="expression" dxfId="332" priority="341">
      <formula>OR(IF(DI45&lt;DJ45,TRUE),IF(AND(DJ45="",DI45&lt;&gt;""),TRUE))</formula>
    </cfRule>
    <cfRule type="expression" dxfId="331" priority="342">
      <formula>IF(DI45&gt;=DJ45,IF(DI45="",FALSE,TRUE))</formula>
    </cfRule>
  </conditionalFormatting>
  <conditionalFormatting sqref="DK46 DI46">
    <cfRule type="expression" dxfId="330" priority="339">
      <formula>OR(IF(DI46&lt;DJ46,TRUE),IF(AND(DJ46="",DI46&lt;&gt;""),TRUE))</formula>
    </cfRule>
    <cfRule type="expression" dxfId="329" priority="340">
      <formula>IF(DI46&gt;=DJ46,IF(DI46="",FALSE,TRUE))</formula>
    </cfRule>
  </conditionalFormatting>
  <conditionalFormatting sqref="DY33:DY36 DW33:DW36">
    <cfRule type="expression" dxfId="328" priority="337">
      <formula>OR(IF(DW33&lt;DX33,TRUE),IF(AND(DX33="",DW33&lt;&gt;""),TRUE))</formula>
    </cfRule>
    <cfRule type="expression" dxfId="327" priority="338">
      <formula>IF(DW33&gt;=DX33,IF(DW33="",FALSE,TRUE))</formula>
    </cfRule>
  </conditionalFormatting>
  <conditionalFormatting sqref="DW5:DW8 DY5:DY8 DY41:DY43 DW41:DW43 DY51:DY57 DW51:DW57 DY15:DY16 DW15:DW16 DW60 DY60 DY62:DY63 DW62:DW63 DW47:DW48 DY47:DY48">
    <cfRule type="expression" dxfId="326" priority="335">
      <formula>OR(IF(DW5&lt;DX5,TRUE),IF(AND(DX5="",DW5&lt;&gt;""),TRUE))</formula>
    </cfRule>
    <cfRule type="expression" dxfId="325" priority="336">
      <formula>IF(DW5&gt;=DX5,IF(DW5="",FALSE,TRUE))</formula>
    </cfRule>
  </conditionalFormatting>
  <conditionalFormatting sqref="DW19 DY19">
    <cfRule type="expression" dxfId="324" priority="333">
      <formula>OR(IF(DW19&lt;DX19,TRUE),IF(AND(DX19="",DW19&lt;&gt;""),TRUE))</formula>
    </cfRule>
    <cfRule type="expression" dxfId="323" priority="334">
      <formula>IF(DW19&gt;=DX19,IF(DW19="",FALSE,TRUE))</formula>
    </cfRule>
  </conditionalFormatting>
  <conditionalFormatting sqref="DW31:DW32">
    <cfRule type="expression" dxfId="322" priority="331">
      <formula>OR(IF(DW31&lt;DX31,TRUE),IF(AND(DX31="",DW31&lt;&gt;""),TRUE))</formula>
    </cfRule>
    <cfRule type="expression" dxfId="321" priority="332">
      <formula>IF(DW31&gt;=DX31,IF(DW31="",FALSE,TRUE))</formula>
    </cfRule>
  </conditionalFormatting>
  <conditionalFormatting sqref="DY31:DY32">
    <cfRule type="expression" dxfId="320" priority="329">
      <formula>OR(IF(DY31&lt;DZ31,TRUE),IF(AND(DZ31="",DY31&lt;&gt;""),TRUE))</formula>
    </cfRule>
    <cfRule type="expression" dxfId="319" priority="330">
      <formula>IF(DY31&gt;=DZ31,IF(DY31="",FALSE,TRUE))</formula>
    </cfRule>
  </conditionalFormatting>
  <conditionalFormatting sqref="DW39:DW40">
    <cfRule type="expression" dxfId="318" priority="327">
      <formula>OR(IF(DW39&lt;DX39,TRUE),IF(AND(DX39="",DW39&lt;&gt;""),TRUE))</formula>
    </cfRule>
    <cfRule type="expression" dxfId="317" priority="328">
      <formula>IF(DW39&gt;=DX39,IF(DW39="",FALSE,TRUE))</formula>
    </cfRule>
  </conditionalFormatting>
  <conditionalFormatting sqref="DY39:DY40">
    <cfRule type="expression" dxfId="316" priority="325">
      <formula>OR(IF(DY39&lt;DZ39,TRUE),IF(AND(DZ39="",DY39&lt;&gt;""),TRUE))</formula>
    </cfRule>
    <cfRule type="expression" dxfId="315" priority="326">
      <formula>IF(DY39&gt;=DZ39,IF(DY39="",FALSE,TRUE))</formula>
    </cfRule>
  </conditionalFormatting>
  <conditionalFormatting sqref="DY28 DW28">
    <cfRule type="expression" dxfId="314" priority="321">
      <formula>OR(IF(DW28&lt;DX28,TRUE),IF(AND(DX28="",DW28&lt;&gt;""),TRUE))</formula>
    </cfRule>
    <cfRule type="expression" dxfId="313" priority="322">
      <formula>IF(DW28&gt;=DX28,IF(DW28="",FALSE,TRUE))</formula>
    </cfRule>
  </conditionalFormatting>
  <conditionalFormatting sqref="DY9 DW9">
    <cfRule type="expression" dxfId="312" priority="319">
      <formula>OR(IF(DW9&lt;DX9,TRUE),IF(AND(DX9="",DW9&lt;&gt;""),TRUE))</formula>
    </cfRule>
    <cfRule type="expression" dxfId="311" priority="320">
      <formula>IF(DW9&gt;=DX9,IF(DW9="",FALSE,TRUE))</formula>
    </cfRule>
  </conditionalFormatting>
  <conditionalFormatting sqref="DY10 DW10">
    <cfRule type="expression" dxfId="310" priority="317">
      <formula>OR(IF(DW10&lt;DX10,TRUE),IF(AND(DX10="",DW10&lt;&gt;""),TRUE))</formula>
    </cfRule>
    <cfRule type="expression" dxfId="309" priority="318">
      <formula>IF(DW10&gt;=DX10,IF(DW10="",FALSE,TRUE))</formula>
    </cfRule>
  </conditionalFormatting>
  <conditionalFormatting sqref="DY11 DW11">
    <cfRule type="expression" dxfId="308" priority="315">
      <formula>OR(IF(DW11&lt;DX11,TRUE),IF(AND(DX11="",DW11&lt;&gt;""),TRUE))</formula>
    </cfRule>
    <cfRule type="expression" dxfId="307" priority="316">
      <formula>IF(DW11&gt;=DX11,IF(DW11="",FALSE,TRUE))</formula>
    </cfRule>
  </conditionalFormatting>
  <conditionalFormatting sqref="DY13 DW13">
    <cfRule type="expression" dxfId="306" priority="313">
      <formula>OR(IF(DW13&lt;DX13,TRUE),IF(AND(DX13="",DW13&lt;&gt;""),TRUE))</formula>
    </cfRule>
    <cfRule type="expression" dxfId="305" priority="314">
      <formula>IF(DW13&gt;=DX13,IF(DW13="",FALSE,TRUE))</formula>
    </cfRule>
  </conditionalFormatting>
  <conditionalFormatting sqref="DY14 DW14">
    <cfRule type="expression" dxfId="304" priority="311">
      <formula>OR(IF(DW14&lt;DX14,TRUE),IF(AND(DX14="",DW14&lt;&gt;""),TRUE))</formula>
    </cfRule>
    <cfRule type="expression" dxfId="303" priority="312">
      <formula>IF(DW14&gt;=DX14,IF(DW14="",FALSE,TRUE))</formula>
    </cfRule>
  </conditionalFormatting>
  <conditionalFormatting sqref="DY12 DW12">
    <cfRule type="expression" dxfId="302" priority="309">
      <formula>OR(IF(DW12&lt;DX12,TRUE),IF(AND(DX12="",DW12&lt;&gt;""),TRUE))</formula>
    </cfRule>
    <cfRule type="expression" dxfId="301" priority="310">
      <formula>IF(DW12&gt;=DX12,IF(DW12="",FALSE,TRUE))</formula>
    </cfRule>
  </conditionalFormatting>
  <conditionalFormatting sqref="DW58 DY58">
    <cfRule type="expression" dxfId="300" priority="307">
      <formula>OR(IF(DW58&lt;DX58,TRUE),IF(AND(DX58="",DW58&lt;&gt;""),TRUE))</formula>
    </cfRule>
    <cfRule type="expression" dxfId="299" priority="308">
      <formula>IF(DW58&gt;=DX58,IF(DW58="",FALSE,TRUE))</formula>
    </cfRule>
  </conditionalFormatting>
  <conditionalFormatting sqref="DW59 DY59">
    <cfRule type="expression" dxfId="298" priority="305">
      <formula>OR(IF(DW59&lt;DX59,TRUE),IF(AND(DX59="",DW59&lt;&gt;""),TRUE))</formula>
    </cfRule>
    <cfRule type="expression" dxfId="297" priority="306">
      <formula>IF(DW59&gt;=DX59,IF(DW59="",FALSE,TRUE))</formula>
    </cfRule>
  </conditionalFormatting>
  <conditionalFormatting sqref="DY61 DW61">
    <cfRule type="expression" dxfId="296" priority="303">
      <formula>OR(IF(DW61&lt;DX61,TRUE),IF(AND(DX61="",DW61&lt;&gt;""),TRUE))</formula>
    </cfRule>
    <cfRule type="expression" dxfId="295" priority="304">
      <formula>IF(DW61&gt;=DX61,IF(DW61="",FALSE,TRUE))</formula>
    </cfRule>
  </conditionalFormatting>
  <conditionalFormatting sqref="DY44 DW44">
    <cfRule type="expression" dxfId="294" priority="301">
      <formula>OR(IF(DW44&lt;DX44,TRUE),IF(AND(DX44="",DW44&lt;&gt;""),TRUE))</formula>
    </cfRule>
    <cfRule type="expression" dxfId="293" priority="302">
      <formula>IF(DW44&gt;=DX44,IF(DW44="",FALSE,TRUE))</formula>
    </cfRule>
  </conditionalFormatting>
  <conditionalFormatting sqref="DY45 DW45">
    <cfRule type="expression" dxfId="292" priority="299">
      <formula>OR(IF(DW45&lt;DX45,TRUE),IF(AND(DX45="",DW45&lt;&gt;""),TRUE))</formula>
    </cfRule>
    <cfRule type="expression" dxfId="291" priority="300">
      <formula>IF(DW45&gt;=DX45,IF(DW45="",FALSE,TRUE))</formula>
    </cfRule>
  </conditionalFormatting>
  <conditionalFormatting sqref="DY46 DW46">
    <cfRule type="expression" dxfId="290" priority="297">
      <formula>OR(IF(DW46&lt;DX46,TRUE),IF(AND(DX46="",DW46&lt;&gt;""),TRUE))</formula>
    </cfRule>
    <cfRule type="expression" dxfId="289" priority="298">
      <formula>IF(DW46&gt;=DX46,IF(DW46="",FALSE,TRUE))</formula>
    </cfRule>
  </conditionalFormatting>
  <conditionalFormatting sqref="J19">
    <cfRule type="colorScale" priority="1471">
      <colorScale>
        <cfvo type="percent" val="0"/>
        <cfvo type="percent" val="100"/>
        <color rgb="FFFF231B"/>
        <color rgb="FF10FF07"/>
      </colorScale>
    </cfRule>
  </conditionalFormatting>
  <conditionalFormatting sqref="K19">
    <cfRule type="colorScale" priority="1472">
      <colorScale>
        <cfvo type="percent" val="0"/>
        <cfvo type="percent" val="100"/>
        <color rgb="FFFF231B"/>
        <color rgb="FF10FF07"/>
      </colorScale>
    </cfRule>
  </conditionalFormatting>
  <conditionalFormatting sqref="O20 Q20">
    <cfRule type="expression" dxfId="288" priority="295">
      <formula>OR(IF(O20&lt;P20,TRUE),IF(AND(P20="",O20&lt;&gt;""),TRUE))</formula>
    </cfRule>
    <cfRule type="expression" dxfId="287" priority="296">
      <formula>IF(O20&gt;=P20,IF(O20="",FALSE,TRUE))</formula>
    </cfRule>
  </conditionalFormatting>
  <conditionalFormatting sqref="AQ20 AS20">
    <cfRule type="expression" dxfId="286" priority="287">
      <formula>OR(IF(AQ20&lt;AR20,TRUE),IF(AND(AR20="",AQ20&lt;&gt;""),TRUE))</formula>
    </cfRule>
    <cfRule type="expression" dxfId="285" priority="288">
      <formula>IF(AQ20&gt;=AR20,IF(AQ20="",FALSE,TRUE))</formula>
    </cfRule>
  </conditionalFormatting>
  <conditionalFormatting sqref="BE20 BG20">
    <cfRule type="expression" dxfId="284" priority="283">
      <formula>OR(IF(BE20&lt;BF20,TRUE),IF(AND(BF20="",BE20&lt;&gt;""),TRUE))</formula>
    </cfRule>
    <cfRule type="expression" dxfId="283" priority="284">
      <formula>IF(BE20&gt;=BF20,IF(BE20="",FALSE,TRUE))</formula>
    </cfRule>
  </conditionalFormatting>
  <conditionalFormatting sqref="V20 X20">
    <cfRule type="expression" dxfId="282" priority="293">
      <formula>OR(IF(V20&lt;W20,TRUE),IF(AND(W20="",V20&lt;&gt;""),TRUE))</formula>
    </cfRule>
    <cfRule type="expression" dxfId="281" priority="294">
      <formula>IF(V20&gt;=W20,IF(V20="",FALSE,TRUE))</formula>
    </cfRule>
  </conditionalFormatting>
  <conditionalFormatting sqref="AC20 AE20">
    <cfRule type="expression" dxfId="280" priority="291">
      <formula>OR(IF(AC20&lt;AD20,TRUE),IF(AND(AD20="",AC20&lt;&gt;""),TRUE))</formula>
    </cfRule>
    <cfRule type="expression" dxfId="279" priority="292">
      <formula>IF(AC20&gt;=AD20,IF(AC20="",FALSE,TRUE))</formula>
    </cfRule>
  </conditionalFormatting>
  <conditionalFormatting sqref="AJ20 AL20">
    <cfRule type="expression" dxfId="278" priority="289">
      <formula>OR(IF(AJ20&lt;AK20,TRUE),IF(AND(AK20="",AJ20&lt;&gt;""),TRUE))</formula>
    </cfRule>
    <cfRule type="expression" dxfId="277" priority="290">
      <formula>IF(AJ20&gt;=AK20,IF(AJ20="",FALSE,TRUE))</formula>
    </cfRule>
  </conditionalFormatting>
  <conditionalFormatting sqref="AX20 AZ20">
    <cfRule type="expression" dxfId="276" priority="285">
      <formula>OR(IF(AX20&lt;AY20,TRUE),IF(AND(AY20="",AX20&lt;&gt;""),TRUE))</formula>
    </cfRule>
    <cfRule type="expression" dxfId="275" priority="286">
      <formula>IF(AX20&gt;=AY20,IF(AX20="",FALSE,TRUE))</formula>
    </cfRule>
  </conditionalFormatting>
  <conditionalFormatting sqref="J20:K20">
    <cfRule type="colorScale" priority="282">
      <colorScale>
        <cfvo type="percent" val="0"/>
        <cfvo type="percent" val="100"/>
        <color rgb="FFFF231B"/>
        <color rgb="FF10FF07"/>
      </colorScale>
    </cfRule>
  </conditionalFormatting>
  <conditionalFormatting sqref="J20">
    <cfRule type="colorScale" priority="281">
      <colorScale>
        <cfvo type="percent" val="0"/>
        <cfvo type="percent" val="100"/>
        <color rgb="FFFF231B"/>
        <color rgb="FF10FF07"/>
      </colorScale>
    </cfRule>
  </conditionalFormatting>
  <conditionalFormatting sqref="K20">
    <cfRule type="colorScale" priority="280">
      <colorScale>
        <cfvo type="percent" val="0"/>
        <cfvo type="percent" val="100"/>
        <color rgb="FFFF231B"/>
        <color rgb="FF10FF07"/>
      </colorScale>
    </cfRule>
  </conditionalFormatting>
  <conditionalFormatting sqref="BL20 BN20">
    <cfRule type="expression" dxfId="274" priority="278">
      <formula>OR(IF(BL20&lt;BM20,TRUE),IF(AND(BM20="",BL20&lt;&gt;""),TRUE))</formula>
    </cfRule>
    <cfRule type="expression" dxfId="273" priority="279">
      <formula>IF(BL20&gt;=BM20,IF(BL20="",FALSE,TRUE))</formula>
    </cfRule>
  </conditionalFormatting>
  <conditionalFormatting sqref="BS20 BU20">
    <cfRule type="expression" dxfId="272" priority="276">
      <formula>OR(IF(BS20&lt;BT20,TRUE),IF(AND(BT20="",BS20&lt;&gt;""),TRUE))</formula>
    </cfRule>
    <cfRule type="expression" dxfId="271" priority="277">
      <formula>IF(BS20&gt;=BT20,IF(BS20="",FALSE,TRUE))</formula>
    </cfRule>
  </conditionalFormatting>
  <conditionalFormatting sqref="BZ20 CB20">
    <cfRule type="expression" dxfId="270" priority="274">
      <formula>OR(IF(BZ20&lt;CA20,TRUE),IF(AND(CA20="",BZ20&lt;&gt;""),TRUE))</formula>
    </cfRule>
    <cfRule type="expression" dxfId="269" priority="275">
      <formula>IF(BZ20&gt;=CA20,IF(BZ20="",FALSE,TRUE))</formula>
    </cfRule>
  </conditionalFormatting>
  <conditionalFormatting sqref="CG20 CI20">
    <cfRule type="expression" dxfId="268" priority="272">
      <formula>OR(IF(CG20&lt;CH20,TRUE),IF(AND(CH20="",CG20&lt;&gt;""),TRUE))</formula>
    </cfRule>
    <cfRule type="expression" dxfId="267" priority="273">
      <formula>IF(CG20&gt;=CH20,IF(CG20="",FALSE,TRUE))</formula>
    </cfRule>
  </conditionalFormatting>
  <conditionalFormatting sqref="CN20 CP20">
    <cfRule type="expression" dxfId="266" priority="270">
      <formula>OR(IF(CN20&lt;CO20,TRUE),IF(AND(CO20="",CN20&lt;&gt;""),TRUE))</formula>
    </cfRule>
    <cfRule type="expression" dxfId="265" priority="271">
      <formula>IF(CN20&gt;=CO20,IF(CN20="",FALSE,TRUE))</formula>
    </cfRule>
  </conditionalFormatting>
  <conditionalFormatting sqref="CU20 CW20">
    <cfRule type="expression" dxfId="264" priority="268">
      <formula>OR(IF(CU20&lt;CV20,TRUE),IF(AND(CV20="",CU20&lt;&gt;""),TRUE))</formula>
    </cfRule>
    <cfRule type="expression" dxfId="263" priority="269">
      <formula>IF(CU20&gt;=CV20,IF(CU20="",FALSE,TRUE))</formula>
    </cfRule>
  </conditionalFormatting>
  <conditionalFormatting sqref="DB20 DD20">
    <cfRule type="expression" dxfId="262" priority="266">
      <formula>OR(IF(DB20&lt;DC20,TRUE),IF(AND(DC20="",DB20&lt;&gt;""),TRUE))</formula>
    </cfRule>
    <cfRule type="expression" dxfId="261" priority="267">
      <formula>IF(DB20&gt;=DC20,IF(DB20="",FALSE,TRUE))</formula>
    </cfRule>
  </conditionalFormatting>
  <conditionalFormatting sqref="DP20 DR20">
    <cfRule type="expression" dxfId="260" priority="264">
      <formula>OR(IF(DP20&lt;DQ20,TRUE),IF(AND(DQ20="",DP20&lt;&gt;""),TRUE))</formula>
    </cfRule>
    <cfRule type="expression" dxfId="259" priority="265">
      <formula>IF(DP20&gt;=DQ20,IF(DP20="",FALSE,TRUE))</formula>
    </cfRule>
  </conditionalFormatting>
  <conditionalFormatting sqref="DI20 DK20">
    <cfRule type="expression" dxfId="258" priority="262">
      <formula>OR(IF(DI20&lt;DJ20,TRUE),IF(AND(DJ20="",DI20&lt;&gt;""),TRUE))</formula>
    </cfRule>
    <cfRule type="expression" dxfId="257" priority="263">
      <formula>IF(DI20&gt;=DJ20,IF(DI20="",FALSE,TRUE))</formula>
    </cfRule>
  </conditionalFormatting>
  <conditionalFormatting sqref="DW20 DY20">
    <cfRule type="expression" dxfId="256" priority="260">
      <formula>OR(IF(DW20&lt;DX20,TRUE),IF(AND(DX20="",DW20&lt;&gt;""),TRUE))</formula>
    </cfRule>
    <cfRule type="expression" dxfId="255" priority="261">
      <formula>IF(DW20&gt;=DX20,IF(DW20="",FALSE,TRUE))</formula>
    </cfRule>
  </conditionalFormatting>
  <conditionalFormatting sqref="O21 Q21">
    <cfRule type="expression" dxfId="254" priority="258">
      <formula>OR(IF(O21&lt;P21,TRUE),IF(AND(P21="",O21&lt;&gt;""),TRUE))</formula>
    </cfRule>
    <cfRule type="expression" dxfId="253" priority="259">
      <formula>IF(O21&gt;=P21,IF(O21="",FALSE,TRUE))</formula>
    </cfRule>
  </conditionalFormatting>
  <conditionalFormatting sqref="AQ21 AS21">
    <cfRule type="expression" dxfId="252" priority="250">
      <formula>OR(IF(AQ21&lt;AR21,TRUE),IF(AND(AR21="",AQ21&lt;&gt;""),TRUE))</formula>
    </cfRule>
    <cfRule type="expression" dxfId="251" priority="251">
      <formula>IF(AQ21&gt;=AR21,IF(AQ21="",FALSE,TRUE))</formula>
    </cfRule>
  </conditionalFormatting>
  <conditionalFormatting sqref="BE21 BG21">
    <cfRule type="expression" dxfId="250" priority="246">
      <formula>OR(IF(BE21&lt;BF21,TRUE),IF(AND(BF21="",BE21&lt;&gt;""),TRUE))</formula>
    </cfRule>
    <cfRule type="expression" dxfId="249" priority="247">
      <formula>IF(BE21&gt;=BF21,IF(BE21="",FALSE,TRUE))</formula>
    </cfRule>
  </conditionalFormatting>
  <conditionalFormatting sqref="V21 X21">
    <cfRule type="expression" dxfId="248" priority="256">
      <formula>OR(IF(V21&lt;W21,TRUE),IF(AND(W21="",V21&lt;&gt;""),TRUE))</formula>
    </cfRule>
    <cfRule type="expression" dxfId="247" priority="257">
      <formula>IF(V21&gt;=W21,IF(V21="",FALSE,TRUE))</formula>
    </cfRule>
  </conditionalFormatting>
  <conditionalFormatting sqref="AC21 AE21">
    <cfRule type="expression" dxfId="246" priority="254">
      <formula>OR(IF(AC21&lt;AD21,TRUE),IF(AND(AD21="",AC21&lt;&gt;""),TRUE))</formula>
    </cfRule>
    <cfRule type="expression" dxfId="245" priority="255">
      <formula>IF(AC21&gt;=AD21,IF(AC21="",FALSE,TRUE))</formula>
    </cfRule>
  </conditionalFormatting>
  <conditionalFormatting sqref="AJ21 AL21">
    <cfRule type="expression" dxfId="244" priority="252">
      <formula>OR(IF(AJ21&lt;AK21,TRUE),IF(AND(AK21="",AJ21&lt;&gt;""),TRUE))</formula>
    </cfRule>
    <cfRule type="expression" dxfId="243" priority="253">
      <formula>IF(AJ21&gt;=AK21,IF(AJ21="",FALSE,TRUE))</formula>
    </cfRule>
  </conditionalFormatting>
  <conditionalFormatting sqref="AX21 AZ21">
    <cfRule type="expression" dxfId="242" priority="248">
      <formula>OR(IF(AX21&lt;AY21,TRUE),IF(AND(AY21="",AX21&lt;&gt;""),TRUE))</formula>
    </cfRule>
    <cfRule type="expression" dxfId="241" priority="249">
      <formula>IF(AX21&gt;=AY21,IF(AX21="",FALSE,TRUE))</formula>
    </cfRule>
  </conditionalFormatting>
  <conditionalFormatting sqref="J21:K21">
    <cfRule type="colorScale" priority="245">
      <colorScale>
        <cfvo type="percent" val="0"/>
        <cfvo type="percent" val="100"/>
        <color rgb="FFFF231B"/>
        <color rgb="FF10FF07"/>
      </colorScale>
    </cfRule>
  </conditionalFormatting>
  <conditionalFormatting sqref="J21">
    <cfRule type="colorScale" priority="244">
      <colorScale>
        <cfvo type="percent" val="0"/>
        <cfvo type="percent" val="100"/>
        <color rgb="FFFF231B"/>
        <color rgb="FF10FF07"/>
      </colorScale>
    </cfRule>
  </conditionalFormatting>
  <conditionalFormatting sqref="K21">
    <cfRule type="colorScale" priority="243">
      <colorScale>
        <cfvo type="percent" val="0"/>
        <cfvo type="percent" val="100"/>
        <color rgb="FFFF231B"/>
        <color rgb="FF10FF07"/>
      </colorScale>
    </cfRule>
  </conditionalFormatting>
  <conditionalFormatting sqref="BL21 BN21">
    <cfRule type="expression" dxfId="240" priority="241">
      <formula>OR(IF(BL21&lt;BM21,TRUE),IF(AND(BM21="",BL21&lt;&gt;""),TRUE))</formula>
    </cfRule>
    <cfRule type="expression" dxfId="239" priority="242">
      <formula>IF(BL21&gt;=BM21,IF(BL21="",FALSE,TRUE))</formula>
    </cfRule>
  </conditionalFormatting>
  <conditionalFormatting sqref="BS21 BU21">
    <cfRule type="expression" dxfId="238" priority="239">
      <formula>OR(IF(BS21&lt;BT21,TRUE),IF(AND(BT21="",BS21&lt;&gt;""),TRUE))</formula>
    </cfRule>
    <cfRule type="expression" dxfId="237" priority="240">
      <formula>IF(BS21&gt;=BT21,IF(BS21="",FALSE,TRUE))</formula>
    </cfRule>
  </conditionalFormatting>
  <conditionalFormatting sqref="BZ21 CB21">
    <cfRule type="expression" dxfId="236" priority="237">
      <formula>OR(IF(BZ21&lt;CA21,TRUE),IF(AND(CA21="",BZ21&lt;&gt;""),TRUE))</formula>
    </cfRule>
    <cfRule type="expression" dxfId="235" priority="238">
      <formula>IF(BZ21&gt;=CA21,IF(BZ21="",FALSE,TRUE))</formula>
    </cfRule>
  </conditionalFormatting>
  <conditionalFormatting sqref="CG21 CI21">
    <cfRule type="expression" dxfId="234" priority="235">
      <formula>OR(IF(CG21&lt;CH21,TRUE),IF(AND(CH21="",CG21&lt;&gt;""),TRUE))</formula>
    </cfRule>
    <cfRule type="expression" dxfId="233" priority="236">
      <formula>IF(CG21&gt;=CH21,IF(CG21="",FALSE,TRUE))</formula>
    </cfRule>
  </conditionalFormatting>
  <conditionalFormatting sqref="CN21 CP21">
    <cfRule type="expression" dxfId="232" priority="233">
      <formula>OR(IF(CN21&lt;CO21,TRUE),IF(AND(CO21="",CN21&lt;&gt;""),TRUE))</formula>
    </cfRule>
    <cfRule type="expression" dxfId="231" priority="234">
      <formula>IF(CN21&gt;=CO21,IF(CN21="",FALSE,TRUE))</formula>
    </cfRule>
  </conditionalFormatting>
  <conditionalFormatting sqref="CU21 CW21">
    <cfRule type="expression" dxfId="230" priority="231">
      <formula>OR(IF(CU21&lt;CV21,TRUE),IF(AND(CV21="",CU21&lt;&gt;""),TRUE))</formula>
    </cfRule>
    <cfRule type="expression" dxfId="229" priority="232">
      <formula>IF(CU21&gt;=CV21,IF(CU21="",FALSE,TRUE))</formula>
    </cfRule>
  </conditionalFormatting>
  <conditionalFormatting sqref="DB21 DD21">
    <cfRule type="expression" dxfId="228" priority="229">
      <formula>OR(IF(DB21&lt;DC21,TRUE),IF(AND(DC21="",DB21&lt;&gt;""),TRUE))</formula>
    </cfRule>
    <cfRule type="expression" dxfId="227" priority="230">
      <formula>IF(DB21&gt;=DC21,IF(DB21="",FALSE,TRUE))</formula>
    </cfRule>
  </conditionalFormatting>
  <conditionalFormatting sqref="DP21 DR21">
    <cfRule type="expression" dxfId="226" priority="227">
      <formula>OR(IF(DP21&lt;DQ21,TRUE),IF(AND(DQ21="",DP21&lt;&gt;""),TRUE))</formula>
    </cfRule>
    <cfRule type="expression" dxfId="225" priority="228">
      <formula>IF(DP21&gt;=DQ21,IF(DP21="",FALSE,TRUE))</formula>
    </cfRule>
  </conditionalFormatting>
  <conditionalFormatting sqref="DI21 DK21">
    <cfRule type="expression" dxfId="224" priority="225">
      <formula>OR(IF(DI21&lt;DJ21,TRUE),IF(AND(DJ21="",DI21&lt;&gt;""),TRUE))</formula>
    </cfRule>
    <cfRule type="expression" dxfId="223" priority="226">
      <formula>IF(DI21&gt;=DJ21,IF(DI21="",FALSE,TRUE))</formula>
    </cfRule>
  </conditionalFormatting>
  <conditionalFormatting sqref="DW21 DY21">
    <cfRule type="expression" dxfId="222" priority="223">
      <formula>OR(IF(DW21&lt;DX21,TRUE),IF(AND(DX21="",DW21&lt;&gt;""),TRUE))</formula>
    </cfRule>
    <cfRule type="expression" dxfId="221" priority="224">
      <formula>IF(DW21&gt;=DX21,IF(DW21="",FALSE,TRUE))</formula>
    </cfRule>
  </conditionalFormatting>
  <conditionalFormatting sqref="O22 Q22">
    <cfRule type="expression" dxfId="220" priority="221">
      <formula>OR(IF(O22&lt;P22,TRUE),IF(AND(P22="",O22&lt;&gt;""),TRUE))</formula>
    </cfRule>
    <cfRule type="expression" dxfId="219" priority="222">
      <formula>IF(O22&gt;=P22,IF(O22="",FALSE,TRUE))</formula>
    </cfRule>
  </conditionalFormatting>
  <conditionalFormatting sqref="AQ22 AS22">
    <cfRule type="expression" dxfId="218" priority="213">
      <formula>OR(IF(AQ22&lt;AR22,TRUE),IF(AND(AR22="",AQ22&lt;&gt;""),TRUE))</formula>
    </cfRule>
    <cfRule type="expression" dxfId="217" priority="214">
      <formula>IF(AQ22&gt;=AR22,IF(AQ22="",FALSE,TRUE))</formula>
    </cfRule>
  </conditionalFormatting>
  <conditionalFormatting sqref="BE22 BG22">
    <cfRule type="expression" dxfId="216" priority="209">
      <formula>OR(IF(BE22&lt;BF22,TRUE),IF(AND(BF22="",BE22&lt;&gt;""),TRUE))</formula>
    </cfRule>
    <cfRule type="expression" dxfId="215" priority="210">
      <formula>IF(BE22&gt;=BF22,IF(BE22="",FALSE,TRUE))</formula>
    </cfRule>
  </conditionalFormatting>
  <conditionalFormatting sqref="V22 X22">
    <cfRule type="expression" dxfId="214" priority="219">
      <formula>OR(IF(V22&lt;W22,TRUE),IF(AND(W22="",V22&lt;&gt;""),TRUE))</formula>
    </cfRule>
    <cfRule type="expression" dxfId="213" priority="220">
      <formula>IF(V22&gt;=W22,IF(V22="",FALSE,TRUE))</formula>
    </cfRule>
  </conditionalFormatting>
  <conditionalFormatting sqref="AC22 AE22">
    <cfRule type="expression" dxfId="212" priority="217">
      <formula>OR(IF(AC22&lt;AD22,TRUE),IF(AND(AD22="",AC22&lt;&gt;""),TRUE))</formula>
    </cfRule>
    <cfRule type="expression" dxfId="211" priority="218">
      <formula>IF(AC22&gt;=AD22,IF(AC22="",FALSE,TRUE))</formula>
    </cfRule>
  </conditionalFormatting>
  <conditionalFormatting sqref="AJ22 AL22">
    <cfRule type="expression" dxfId="210" priority="215">
      <formula>OR(IF(AJ22&lt;AK22,TRUE),IF(AND(AK22="",AJ22&lt;&gt;""),TRUE))</formula>
    </cfRule>
    <cfRule type="expression" dxfId="209" priority="216">
      <formula>IF(AJ22&gt;=AK22,IF(AJ22="",FALSE,TRUE))</formula>
    </cfRule>
  </conditionalFormatting>
  <conditionalFormatting sqref="AX22 AZ22">
    <cfRule type="expression" dxfId="208" priority="211">
      <formula>OR(IF(AX22&lt;AY22,TRUE),IF(AND(AY22="",AX22&lt;&gt;""),TRUE))</formula>
    </cfRule>
    <cfRule type="expression" dxfId="207" priority="212">
      <formula>IF(AX22&gt;=AY22,IF(AX22="",FALSE,TRUE))</formula>
    </cfRule>
  </conditionalFormatting>
  <conditionalFormatting sqref="J22:K22">
    <cfRule type="colorScale" priority="208">
      <colorScale>
        <cfvo type="percent" val="0"/>
        <cfvo type="percent" val="100"/>
        <color rgb="FFFF231B"/>
        <color rgb="FF10FF07"/>
      </colorScale>
    </cfRule>
  </conditionalFormatting>
  <conditionalFormatting sqref="J22">
    <cfRule type="colorScale" priority="207">
      <colorScale>
        <cfvo type="percent" val="0"/>
        <cfvo type="percent" val="100"/>
        <color rgb="FFFF231B"/>
        <color rgb="FF10FF07"/>
      </colorScale>
    </cfRule>
  </conditionalFormatting>
  <conditionalFormatting sqref="K22">
    <cfRule type="colorScale" priority="206">
      <colorScale>
        <cfvo type="percent" val="0"/>
        <cfvo type="percent" val="100"/>
        <color rgb="FFFF231B"/>
        <color rgb="FF10FF07"/>
      </colorScale>
    </cfRule>
  </conditionalFormatting>
  <conditionalFormatting sqref="BL22 BN22">
    <cfRule type="expression" dxfId="206" priority="204">
      <formula>OR(IF(BL22&lt;BM22,TRUE),IF(AND(BM22="",BL22&lt;&gt;""),TRUE))</formula>
    </cfRule>
    <cfRule type="expression" dxfId="205" priority="205">
      <formula>IF(BL22&gt;=BM22,IF(BL22="",FALSE,TRUE))</formula>
    </cfRule>
  </conditionalFormatting>
  <conditionalFormatting sqref="BS22 BU22">
    <cfRule type="expression" dxfId="204" priority="202">
      <formula>OR(IF(BS22&lt;BT22,TRUE),IF(AND(BT22="",BS22&lt;&gt;""),TRUE))</formula>
    </cfRule>
    <cfRule type="expression" dxfId="203" priority="203">
      <formula>IF(BS22&gt;=BT22,IF(BS22="",FALSE,TRUE))</formula>
    </cfRule>
  </conditionalFormatting>
  <conditionalFormatting sqref="BZ22 CB22">
    <cfRule type="expression" dxfId="202" priority="200">
      <formula>OR(IF(BZ22&lt;CA22,TRUE),IF(AND(CA22="",BZ22&lt;&gt;""),TRUE))</formula>
    </cfRule>
    <cfRule type="expression" dxfId="201" priority="201">
      <formula>IF(BZ22&gt;=CA22,IF(BZ22="",FALSE,TRUE))</formula>
    </cfRule>
  </conditionalFormatting>
  <conditionalFormatting sqref="CG22 CI22">
    <cfRule type="expression" dxfId="200" priority="198">
      <formula>OR(IF(CG22&lt;CH22,TRUE),IF(AND(CH22="",CG22&lt;&gt;""),TRUE))</formula>
    </cfRule>
    <cfRule type="expression" dxfId="199" priority="199">
      <formula>IF(CG22&gt;=CH22,IF(CG22="",FALSE,TRUE))</formula>
    </cfRule>
  </conditionalFormatting>
  <conditionalFormatting sqref="CN22 CP22">
    <cfRule type="expression" dxfId="198" priority="196">
      <formula>OR(IF(CN22&lt;CO22,TRUE),IF(AND(CO22="",CN22&lt;&gt;""),TRUE))</formula>
    </cfRule>
    <cfRule type="expression" dxfId="197" priority="197">
      <formula>IF(CN22&gt;=CO22,IF(CN22="",FALSE,TRUE))</formula>
    </cfRule>
  </conditionalFormatting>
  <conditionalFormatting sqref="CU22 CW22">
    <cfRule type="expression" dxfId="196" priority="194">
      <formula>OR(IF(CU22&lt;CV22,TRUE),IF(AND(CV22="",CU22&lt;&gt;""),TRUE))</formula>
    </cfRule>
    <cfRule type="expression" dxfId="195" priority="195">
      <formula>IF(CU22&gt;=CV22,IF(CU22="",FALSE,TRUE))</formula>
    </cfRule>
  </conditionalFormatting>
  <conditionalFormatting sqref="DB22 DD22">
    <cfRule type="expression" dxfId="194" priority="192">
      <formula>OR(IF(DB22&lt;DC22,TRUE),IF(AND(DC22="",DB22&lt;&gt;""),TRUE))</formula>
    </cfRule>
    <cfRule type="expression" dxfId="193" priority="193">
      <formula>IF(DB22&gt;=DC22,IF(DB22="",FALSE,TRUE))</formula>
    </cfRule>
  </conditionalFormatting>
  <conditionalFormatting sqref="DP22 DR22">
    <cfRule type="expression" dxfId="192" priority="190">
      <formula>OR(IF(DP22&lt;DQ22,TRUE),IF(AND(DQ22="",DP22&lt;&gt;""),TRUE))</formula>
    </cfRule>
    <cfRule type="expression" dxfId="191" priority="191">
      <formula>IF(DP22&gt;=DQ22,IF(DP22="",FALSE,TRUE))</formula>
    </cfRule>
  </conditionalFormatting>
  <conditionalFormatting sqref="DI22 DK22">
    <cfRule type="expression" dxfId="190" priority="188">
      <formula>OR(IF(DI22&lt;DJ22,TRUE),IF(AND(DJ22="",DI22&lt;&gt;""),TRUE))</formula>
    </cfRule>
    <cfRule type="expression" dxfId="189" priority="189">
      <formula>IF(DI22&gt;=DJ22,IF(DI22="",FALSE,TRUE))</formula>
    </cfRule>
  </conditionalFormatting>
  <conditionalFormatting sqref="DW22 DY22">
    <cfRule type="expression" dxfId="188" priority="186">
      <formula>OR(IF(DW22&lt;DX22,TRUE),IF(AND(DX22="",DW22&lt;&gt;""),TRUE))</formula>
    </cfRule>
    <cfRule type="expression" dxfId="187" priority="187">
      <formula>IF(DW22&gt;=DX22,IF(DW22="",FALSE,TRUE))</formula>
    </cfRule>
  </conditionalFormatting>
  <conditionalFormatting sqref="O23 Q23">
    <cfRule type="expression" dxfId="186" priority="184">
      <formula>OR(IF(O23&lt;P23,TRUE),IF(AND(P23="",O23&lt;&gt;""),TRUE))</formula>
    </cfRule>
    <cfRule type="expression" dxfId="185" priority="185">
      <formula>IF(O23&gt;=P23,IF(O23="",FALSE,TRUE))</formula>
    </cfRule>
  </conditionalFormatting>
  <conditionalFormatting sqref="AQ23 AS23">
    <cfRule type="expression" dxfId="184" priority="176">
      <formula>OR(IF(AQ23&lt;AR23,TRUE),IF(AND(AR23="",AQ23&lt;&gt;""),TRUE))</formula>
    </cfRule>
    <cfRule type="expression" dxfId="183" priority="177">
      <formula>IF(AQ23&gt;=AR23,IF(AQ23="",FALSE,TRUE))</formula>
    </cfRule>
  </conditionalFormatting>
  <conditionalFormatting sqref="BE23 BG23">
    <cfRule type="expression" dxfId="182" priority="172">
      <formula>OR(IF(BE23&lt;BF23,TRUE),IF(AND(BF23="",BE23&lt;&gt;""),TRUE))</formula>
    </cfRule>
    <cfRule type="expression" dxfId="181" priority="173">
      <formula>IF(BE23&gt;=BF23,IF(BE23="",FALSE,TRUE))</formula>
    </cfRule>
  </conditionalFormatting>
  <conditionalFormatting sqref="V23 X23">
    <cfRule type="expression" dxfId="180" priority="182">
      <formula>OR(IF(V23&lt;W23,TRUE),IF(AND(W23="",V23&lt;&gt;""),TRUE))</formula>
    </cfRule>
    <cfRule type="expression" dxfId="179" priority="183">
      <formula>IF(V23&gt;=W23,IF(V23="",FALSE,TRUE))</formula>
    </cfRule>
  </conditionalFormatting>
  <conditionalFormatting sqref="AC23 AE23">
    <cfRule type="expression" dxfId="178" priority="180">
      <formula>OR(IF(AC23&lt;AD23,TRUE),IF(AND(AD23="",AC23&lt;&gt;""),TRUE))</formula>
    </cfRule>
    <cfRule type="expression" dxfId="177" priority="181">
      <formula>IF(AC23&gt;=AD23,IF(AC23="",FALSE,TRUE))</formula>
    </cfRule>
  </conditionalFormatting>
  <conditionalFormatting sqref="AJ23 AL23">
    <cfRule type="expression" dxfId="176" priority="178">
      <formula>OR(IF(AJ23&lt;AK23,TRUE),IF(AND(AK23="",AJ23&lt;&gt;""),TRUE))</formula>
    </cfRule>
    <cfRule type="expression" dxfId="175" priority="179">
      <formula>IF(AJ23&gt;=AK23,IF(AJ23="",FALSE,TRUE))</formula>
    </cfRule>
  </conditionalFormatting>
  <conditionalFormatting sqref="AX23 AZ23">
    <cfRule type="expression" dxfId="174" priority="174">
      <formula>OR(IF(AX23&lt;AY23,TRUE),IF(AND(AY23="",AX23&lt;&gt;""),TRUE))</formula>
    </cfRule>
    <cfRule type="expression" dxfId="173" priority="175">
      <formula>IF(AX23&gt;=AY23,IF(AX23="",FALSE,TRUE))</formula>
    </cfRule>
  </conditionalFormatting>
  <conditionalFormatting sqref="J23:K23">
    <cfRule type="colorScale" priority="171">
      <colorScale>
        <cfvo type="percent" val="0"/>
        <cfvo type="percent" val="100"/>
        <color rgb="FFFF231B"/>
        <color rgb="FF10FF07"/>
      </colorScale>
    </cfRule>
  </conditionalFormatting>
  <conditionalFormatting sqref="J23">
    <cfRule type="colorScale" priority="170">
      <colorScale>
        <cfvo type="percent" val="0"/>
        <cfvo type="percent" val="100"/>
        <color rgb="FFFF231B"/>
        <color rgb="FF10FF07"/>
      </colorScale>
    </cfRule>
  </conditionalFormatting>
  <conditionalFormatting sqref="K23">
    <cfRule type="colorScale" priority="169">
      <colorScale>
        <cfvo type="percent" val="0"/>
        <cfvo type="percent" val="100"/>
        <color rgb="FFFF231B"/>
        <color rgb="FF10FF07"/>
      </colorScale>
    </cfRule>
  </conditionalFormatting>
  <conditionalFormatting sqref="BL23 BN23">
    <cfRule type="expression" dxfId="172" priority="167">
      <formula>OR(IF(BL23&lt;BM23,TRUE),IF(AND(BM23="",BL23&lt;&gt;""),TRUE))</formula>
    </cfRule>
    <cfRule type="expression" dxfId="171" priority="168">
      <formula>IF(BL23&gt;=BM23,IF(BL23="",FALSE,TRUE))</formula>
    </cfRule>
  </conditionalFormatting>
  <conditionalFormatting sqref="BS23 BU23">
    <cfRule type="expression" dxfId="170" priority="165">
      <formula>OR(IF(BS23&lt;BT23,TRUE),IF(AND(BT23="",BS23&lt;&gt;""),TRUE))</formula>
    </cfRule>
    <cfRule type="expression" dxfId="169" priority="166">
      <formula>IF(BS23&gt;=BT23,IF(BS23="",FALSE,TRUE))</formula>
    </cfRule>
  </conditionalFormatting>
  <conditionalFormatting sqref="BZ23 CB23">
    <cfRule type="expression" dxfId="168" priority="163">
      <formula>OR(IF(BZ23&lt;CA23,TRUE),IF(AND(CA23="",BZ23&lt;&gt;""),TRUE))</formula>
    </cfRule>
    <cfRule type="expression" dxfId="167" priority="164">
      <formula>IF(BZ23&gt;=CA23,IF(BZ23="",FALSE,TRUE))</formula>
    </cfRule>
  </conditionalFormatting>
  <conditionalFormatting sqref="CG23 CI23">
    <cfRule type="expression" dxfId="166" priority="161">
      <formula>OR(IF(CG23&lt;CH23,TRUE),IF(AND(CH23="",CG23&lt;&gt;""),TRUE))</formula>
    </cfRule>
    <cfRule type="expression" dxfId="165" priority="162">
      <formula>IF(CG23&gt;=CH23,IF(CG23="",FALSE,TRUE))</formula>
    </cfRule>
  </conditionalFormatting>
  <conditionalFormatting sqref="CN23 CP23">
    <cfRule type="expression" dxfId="164" priority="159">
      <formula>OR(IF(CN23&lt;CO23,TRUE),IF(AND(CO23="",CN23&lt;&gt;""),TRUE))</formula>
    </cfRule>
    <cfRule type="expression" dxfId="163" priority="160">
      <formula>IF(CN23&gt;=CO23,IF(CN23="",FALSE,TRUE))</formula>
    </cfRule>
  </conditionalFormatting>
  <conditionalFormatting sqref="CU23 CW23">
    <cfRule type="expression" dxfId="162" priority="157">
      <formula>OR(IF(CU23&lt;CV23,TRUE),IF(AND(CV23="",CU23&lt;&gt;""),TRUE))</formula>
    </cfRule>
    <cfRule type="expression" dxfId="161" priority="158">
      <formula>IF(CU23&gt;=CV23,IF(CU23="",FALSE,TRUE))</formula>
    </cfRule>
  </conditionalFormatting>
  <conditionalFormatting sqref="DB23 DD23">
    <cfRule type="expression" dxfId="160" priority="155">
      <formula>OR(IF(DB23&lt;DC23,TRUE),IF(AND(DC23="",DB23&lt;&gt;""),TRUE))</formula>
    </cfRule>
    <cfRule type="expression" dxfId="159" priority="156">
      <formula>IF(DB23&gt;=DC23,IF(DB23="",FALSE,TRUE))</formula>
    </cfRule>
  </conditionalFormatting>
  <conditionalFormatting sqref="DP23 DR23">
    <cfRule type="expression" dxfId="158" priority="153">
      <formula>OR(IF(DP23&lt;DQ23,TRUE),IF(AND(DQ23="",DP23&lt;&gt;""),TRUE))</formula>
    </cfRule>
    <cfRule type="expression" dxfId="157" priority="154">
      <formula>IF(DP23&gt;=DQ23,IF(DP23="",FALSE,TRUE))</formula>
    </cfRule>
  </conditionalFormatting>
  <conditionalFormatting sqref="DI23 DK23">
    <cfRule type="expression" dxfId="156" priority="151">
      <formula>OR(IF(DI23&lt;DJ23,TRUE),IF(AND(DJ23="",DI23&lt;&gt;""),TRUE))</formula>
    </cfRule>
    <cfRule type="expression" dxfId="155" priority="152">
      <formula>IF(DI23&gt;=DJ23,IF(DI23="",FALSE,TRUE))</formula>
    </cfRule>
  </conditionalFormatting>
  <conditionalFormatting sqref="DW23 DY23">
    <cfRule type="expression" dxfId="154" priority="149">
      <formula>OR(IF(DW23&lt;DX23,TRUE),IF(AND(DX23="",DW23&lt;&gt;""),TRUE))</formula>
    </cfRule>
    <cfRule type="expression" dxfId="153" priority="150">
      <formula>IF(DW23&gt;=DX23,IF(DW23="",FALSE,TRUE))</formula>
    </cfRule>
  </conditionalFormatting>
  <conditionalFormatting sqref="O24 Q24">
    <cfRule type="expression" dxfId="152" priority="147">
      <formula>OR(IF(O24&lt;P24,TRUE),IF(AND(P24="",O24&lt;&gt;""),TRUE))</formula>
    </cfRule>
    <cfRule type="expression" dxfId="151" priority="148">
      <formula>IF(O24&gt;=P24,IF(O24="",FALSE,TRUE))</formula>
    </cfRule>
  </conditionalFormatting>
  <conditionalFormatting sqref="AQ24 AS24">
    <cfRule type="expression" dxfId="150" priority="139">
      <formula>OR(IF(AQ24&lt;AR24,TRUE),IF(AND(AR24="",AQ24&lt;&gt;""),TRUE))</formula>
    </cfRule>
    <cfRule type="expression" dxfId="149" priority="140">
      <formula>IF(AQ24&gt;=AR24,IF(AQ24="",FALSE,TRUE))</formula>
    </cfRule>
  </conditionalFormatting>
  <conditionalFormatting sqref="BE24 BG24">
    <cfRule type="expression" dxfId="148" priority="135">
      <formula>OR(IF(BE24&lt;BF24,TRUE),IF(AND(BF24="",BE24&lt;&gt;""),TRUE))</formula>
    </cfRule>
    <cfRule type="expression" dxfId="147" priority="136">
      <formula>IF(BE24&gt;=BF24,IF(BE24="",FALSE,TRUE))</formula>
    </cfRule>
  </conditionalFormatting>
  <conditionalFormatting sqref="V24 X24">
    <cfRule type="expression" dxfId="146" priority="145">
      <formula>OR(IF(V24&lt;W24,TRUE),IF(AND(W24="",V24&lt;&gt;""),TRUE))</formula>
    </cfRule>
    <cfRule type="expression" dxfId="145" priority="146">
      <formula>IF(V24&gt;=W24,IF(V24="",FALSE,TRUE))</formula>
    </cfRule>
  </conditionalFormatting>
  <conditionalFormatting sqref="AC24 AE24">
    <cfRule type="expression" dxfId="144" priority="143">
      <formula>OR(IF(AC24&lt;AD24,TRUE),IF(AND(AD24="",AC24&lt;&gt;""),TRUE))</formula>
    </cfRule>
    <cfRule type="expression" dxfId="143" priority="144">
      <formula>IF(AC24&gt;=AD24,IF(AC24="",FALSE,TRUE))</formula>
    </cfRule>
  </conditionalFormatting>
  <conditionalFormatting sqref="AJ24 AL24">
    <cfRule type="expression" dxfId="142" priority="141">
      <formula>OR(IF(AJ24&lt;AK24,TRUE),IF(AND(AK24="",AJ24&lt;&gt;""),TRUE))</formula>
    </cfRule>
    <cfRule type="expression" dxfId="141" priority="142">
      <formula>IF(AJ24&gt;=AK24,IF(AJ24="",FALSE,TRUE))</formula>
    </cfRule>
  </conditionalFormatting>
  <conditionalFormatting sqref="AX24 AZ24">
    <cfRule type="expression" dxfId="140" priority="137">
      <formula>OR(IF(AX24&lt;AY24,TRUE),IF(AND(AY24="",AX24&lt;&gt;""),TRUE))</formula>
    </cfRule>
    <cfRule type="expression" dxfId="139" priority="138">
      <formula>IF(AX24&gt;=AY24,IF(AX24="",FALSE,TRUE))</formula>
    </cfRule>
  </conditionalFormatting>
  <conditionalFormatting sqref="J24:K24">
    <cfRule type="colorScale" priority="134">
      <colorScale>
        <cfvo type="percent" val="0"/>
        <cfvo type="percent" val="100"/>
        <color rgb="FFFF231B"/>
        <color rgb="FF10FF07"/>
      </colorScale>
    </cfRule>
  </conditionalFormatting>
  <conditionalFormatting sqref="J24">
    <cfRule type="colorScale" priority="133">
      <colorScale>
        <cfvo type="percent" val="0"/>
        <cfvo type="percent" val="100"/>
        <color rgb="FFFF231B"/>
        <color rgb="FF10FF07"/>
      </colorScale>
    </cfRule>
  </conditionalFormatting>
  <conditionalFormatting sqref="K24">
    <cfRule type="colorScale" priority="132">
      <colorScale>
        <cfvo type="percent" val="0"/>
        <cfvo type="percent" val="100"/>
        <color rgb="FFFF231B"/>
        <color rgb="FF10FF07"/>
      </colorScale>
    </cfRule>
  </conditionalFormatting>
  <conditionalFormatting sqref="BL24 BN24">
    <cfRule type="expression" dxfId="138" priority="130">
      <formula>OR(IF(BL24&lt;BM24,TRUE),IF(AND(BM24="",BL24&lt;&gt;""),TRUE))</formula>
    </cfRule>
    <cfRule type="expression" dxfId="137" priority="131">
      <formula>IF(BL24&gt;=BM24,IF(BL24="",FALSE,TRUE))</formula>
    </cfRule>
  </conditionalFormatting>
  <conditionalFormatting sqref="BS24 BU24">
    <cfRule type="expression" dxfId="136" priority="128">
      <formula>OR(IF(BS24&lt;BT24,TRUE),IF(AND(BT24="",BS24&lt;&gt;""),TRUE))</formula>
    </cfRule>
    <cfRule type="expression" dxfId="135" priority="129">
      <formula>IF(BS24&gt;=BT24,IF(BS24="",FALSE,TRUE))</formula>
    </cfRule>
  </conditionalFormatting>
  <conditionalFormatting sqref="BZ24 CB24">
    <cfRule type="expression" dxfId="134" priority="126">
      <formula>OR(IF(BZ24&lt;CA24,TRUE),IF(AND(CA24="",BZ24&lt;&gt;""),TRUE))</formula>
    </cfRule>
    <cfRule type="expression" dxfId="133" priority="127">
      <formula>IF(BZ24&gt;=CA24,IF(BZ24="",FALSE,TRUE))</formula>
    </cfRule>
  </conditionalFormatting>
  <conditionalFormatting sqref="CG24 CI24">
    <cfRule type="expression" dxfId="132" priority="124">
      <formula>OR(IF(CG24&lt;CH24,TRUE),IF(AND(CH24="",CG24&lt;&gt;""),TRUE))</formula>
    </cfRule>
    <cfRule type="expression" dxfId="131" priority="125">
      <formula>IF(CG24&gt;=CH24,IF(CG24="",FALSE,TRUE))</formula>
    </cfRule>
  </conditionalFormatting>
  <conditionalFormatting sqref="CN24 CP24">
    <cfRule type="expression" dxfId="130" priority="122">
      <formula>OR(IF(CN24&lt;CO24,TRUE),IF(AND(CO24="",CN24&lt;&gt;""),TRUE))</formula>
    </cfRule>
    <cfRule type="expression" dxfId="129" priority="123">
      <formula>IF(CN24&gt;=CO24,IF(CN24="",FALSE,TRUE))</formula>
    </cfRule>
  </conditionalFormatting>
  <conditionalFormatting sqref="CU24 CW24">
    <cfRule type="expression" dxfId="128" priority="120">
      <formula>OR(IF(CU24&lt;CV24,TRUE),IF(AND(CV24="",CU24&lt;&gt;""),TRUE))</formula>
    </cfRule>
    <cfRule type="expression" dxfId="127" priority="121">
      <formula>IF(CU24&gt;=CV24,IF(CU24="",FALSE,TRUE))</formula>
    </cfRule>
  </conditionalFormatting>
  <conditionalFormatting sqref="DB24 DD24">
    <cfRule type="expression" dxfId="126" priority="118">
      <formula>OR(IF(DB24&lt;DC24,TRUE),IF(AND(DC24="",DB24&lt;&gt;""),TRUE))</formula>
    </cfRule>
    <cfRule type="expression" dxfId="125" priority="119">
      <formula>IF(DB24&gt;=DC24,IF(DB24="",FALSE,TRUE))</formula>
    </cfRule>
  </conditionalFormatting>
  <conditionalFormatting sqref="DP24 DR24">
    <cfRule type="expression" dxfId="124" priority="116">
      <formula>OR(IF(DP24&lt;DQ24,TRUE),IF(AND(DQ24="",DP24&lt;&gt;""),TRUE))</formula>
    </cfRule>
    <cfRule type="expression" dxfId="123" priority="117">
      <formula>IF(DP24&gt;=DQ24,IF(DP24="",FALSE,TRUE))</formula>
    </cfRule>
  </conditionalFormatting>
  <conditionalFormatting sqref="DI24 DK24">
    <cfRule type="expression" dxfId="122" priority="114">
      <formula>OR(IF(DI24&lt;DJ24,TRUE),IF(AND(DJ24="",DI24&lt;&gt;""),TRUE))</formula>
    </cfRule>
    <cfRule type="expression" dxfId="121" priority="115">
      <formula>IF(DI24&gt;=DJ24,IF(DI24="",FALSE,TRUE))</formula>
    </cfRule>
  </conditionalFormatting>
  <conditionalFormatting sqref="DW24 DY24">
    <cfRule type="expression" dxfId="120" priority="112">
      <formula>OR(IF(DW24&lt;DX24,TRUE),IF(AND(DX24="",DW24&lt;&gt;""),TRUE))</formula>
    </cfRule>
    <cfRule type="expression" dxfId="119" priority="113">
      <formula>IF(DW24&gt;=DX24,IF(DW24="",FALSE,TRUE))</formula>
    </cfRule>
  </conditionalFormatting>
  <conditionalFormatting sqref="O25 Q25">
    <cfRule type="expression" dxfId="118" priority="110">
      <formula>OR(IF(O25&lt;P25,TRUE),IF(AND(P25="",O25&lt;&gt;""),TRUE))</formula>
    </cfRule>
    <cfRule type="expression" dxfId="117" priority="111">
      <formula>IF(O25&gt;=P25,IF(O25="",FALSE,TRUE))</formula>
    </cfRule>
  </conditionalFormatting>
  <conditionalFormatting sqref="AQ25 AS25">
    <cfRule type="expression" dxfId="116" priority="102">
      <formula>OR(IF(AQ25&lt;AR25,TRUE),IF(AND(AR25="",AQ25&lt;&gt;""),TRUE))</formula>
    </cfRule>
    <cfRule type="expression" dxfId="115" priority="103">
      <formula>IF(AQ25&gt;=AR25,IF(AQ25="",FALSE,TRUE))</formula>
    </cfRule>
  </conditionalFormatting>
  <conditionalFormatting sqref="BE25 BG25">
    <cfRule type="expression" dxfId="114" priority="98">
      <formula>OR(IF(BE25&lt;BF25,TRUE),IF(AND(BF25="",BE25&lt;&gt;""),TRUE))</formula>
    </cfRule>
    <cfRule type="expression" dxfId="113" priority="99">
      <formula>IF(BE25&gt;=BF25,IF(BE25="",FALSE,TRUE))</formula>
    </cfRule>
  </conditionalFormatting>
  <conditionalFormatting sqref="V25 X25">
    <cfRule type="expression" dxfId="112" priority="108">
      <formula>OR(IF(V25&lt;W25,TRUE),IF(AND(W25="",V25&lt;&gt;""),TRUE))</formula>
    </cfRule>
    <cfRule type="expression" dxfId="111" priority="109">
      <formula>IF(V25&gt;=W25,IF(V25="",FALSE,TRUE))</formula>
    </cfRule>
  </conditionalFormatting>
  <conditionalFormatting sqref="AC25 AE25">
    <cfRule type="expression" dxfId="110" priority="106">
      <formula>OR(IF(AC25&lt;AD25,TRUE),IF(AND(AD25="",AC25&lt;&gt;""),TRUE))</formula>
    </cfRule>
    <cfRule type="expression" dxfId="109" priority="107">
      <formula>IF(AC25&gt;=AD25,IF(AC25="",FALSE,TRUE))</formula>
    </cfRule>
  </conditionalFormatting>
  <conditionalFormatting sqref="AJ25 AL25">
    <cfRule type="expression" dxfId="108" priority="104">
      <formula>OR(IF(AJ25&lt;AK25,TRUE),IF(AND(AK25="",AJ25&lt;&gt;""),TRUE))</formula>
    </cfRule>
    <cfRule type="expression" dxfId="107" priority="105">
      <formula>IF(AJ25&gt;=AK25,IF(AJ25="",FALSE,TRUE))</formula>
    </cfRule>
  </conditionalFormatting>
  <conditionalFormatting sqref="AX25 AZ25">
    <cfRule type="expression" dxfId="106" priority="100">
      <formula>OR(IF(AX25&lt;AY25,TRUE),IF(AND(AY25="",AX25&lt;&gt;""),TRUE))</formula>
    </cfRule>
    <cfRule type="expression" dxfId="105" priority="101">
      <formula>IF(AX25&gt;=AY25,IF(AX25="",FALSE,TRUE))</formula>
    </cfRule>
  </conditionalFormatting>
  <conditionalFormatting sqref="J25:K25">
    <cfRule type="colorScale" priority="97">
      <colorScale>
        <cfvo type="percent" val="0"/>
        <cfvo type="percent" val="100"/>
        <color rgb="FFFF231B"/>
        <color rgb="FF10FF07"/>
      </colorScale>
    </cfRule>
  </conditionalFormatting>
  <conditionalFormatting sqref="J25">
    <cfRule type="colorScale" priority="96">
      <colorScale>
        <cfvo type="percent" val="0"/>
        <cfvo type="percent" val="100"/>
        <color rgb="FFFF231B"/>
        <color rgb="FF10FF07"/>
      </colorScale>
    </cfRule>
  </conditionalFormatting>
  <conditionalFormatting sqref="K25">
    <cfRule type="colorScale" priority="95">
      <colorScale>
        <cfvo type="percent" val="0"/>
        <cfvo type="percent" val="100"/>
        <color rgb="FFFF231B"/>
        <color rgb="FF10FF07"/>
      </colorScale>
    </cfRule>
  </conditionalFormatting>
  <conditionalFormatting sqref="BL25 BN25">
    <cfRule type="expression" dxfId="104" priority="93">
      <formula>OR(IF(BL25&lt;BM25,TRUE),IF(AND(BM25="",BL25&lt;&gt;""),TRUE))</formula>
    </cfRule>
    <cfRule type="expression" dxfId="103" priority="94">
      <formula>IF(BL25&gt;=BM25,IF(BL25="",FALSE,TRUE))</formula>
    </cfRule>
  </conditionalFormatting>
  <conditionalFormatting sqref="BS25 BU25">
    <cfRule type="expression" dxfId="102" priority="91">
      <formula>OR(IF(BS25&lt;BT25,TRUE),IF(AND(BT25="",BS25&lt;&gt;""),TRUE))</formula>
    </cfRule>
    <cfRule type="expression" dxfId="101" priority="92">
      <formula>IF(BS25&gt;=BT25,IF(BS25="",FALSE,TRUE))</formula>
    </cfRule>
  </conditionalFormatting>
  <conditionalFormatting sqref="BZ25 CB25">
    <cfRule type="expression" dxfId="100" priority="89">
      <formula>OR(IF(BZ25&lt;CA25,TRUE),IF(AND(CA25="",BZ25&lt;&gt;""),TRUE))</formula>
    </cfRule>
    <cfRule type="expression" dxfId="99" priority="90">
      <formula>IF(BZ25&gt;=CA25,IF(BZ25="",FALSE,TRUE))</formula>
    </cfRule>
  </conditionalFormatting>
  <conditionalFormatting sqref="CG25 CI25">
    <cfRule type="expression" dxfId="98" priority="87">
      <formula>OR(IF(CG25&lt;CH25,TRUE),IF(AND(CH25="",CG25&lt;&gt;""),TRUE))</formula>
    </cfRule>
    <cfRule type="expression" dxfId="97" priority="88">
      <formula>IF(CG25&gt;=CH25,IF(CG25="",FALSE,TRUE))</formula>
    </cfRule>
  </conditionalFormatting>
  <conditionalFormatting sqref="CN25 CP25">
    <cfRule type="expression" dxfId="96" priority="85">
      <formula>OR(IF(CN25&lt;CO25,TRUE),IF(AND(CO25="",CN25&lt;&gt;""),TRUE))</formula>
    </cfRule>
    <cfRule type="expression" dxfId="95" priority="86">
      <formula>IF(CN25&gt;=CO25,IF(CN25="",FALSE,TRUE))</formula>
    </cfRule>
  </conditionalFormatting>
  <conditionalFormatting sqref="CU25 CW25">
    <cfRule type="expression" dxfId="94" priority="83">
      <formula>OR(IF(CU25&lt;CV25,TRUE),IF(AND(CV25="",CU25&lt;&gt;""),TRUE))</formula>
    </cfRule>
    <cfRule type="expression" dxfId="93" priority="84">
      <formula>IF(CU25&gt;=CV25,IF(CU25="",FALSE,TRUE))</formula>
    </cfRule>
  </conditionalFormatting>
  <conditionalFormatting sqref="DB25 DD25">
    <cfRule type="expression" dxfId="92" priority="81">
      <formula>OR(IF(DB25&lt;DC25,TRUE),IF(AND(DC25="",DB25&lt;&gt;""),TRUE))</formula>
    </cfRule>
    <cfRule type="expression" dxfId="91" priority="82">
      <formula>IF(DB25&gt;=DC25,IF(DB25="",FALSE,TRUE))</formula>
    </cfRule>
  </conditionalFormatting>
  <conditionalFormatting sqref="DP25 DR25">
    <cfRule type="expression" dxfId="90" priority="79">
      <formula>OR(IF(DP25&lt;DQ25,TRUE),IF(AND(DQ25="",DP25&lt;&gt;""),TRUE))</formula>
    </cfRule>
    <cfRule type="expression" dxfId="89" priority="80">
      <formula>IF(DP25&gt;=DQ25,IF(DP25="",FALSE,TRUE))</formula>
    </cfRule>
  </conditionalFormatting>
  <conditionalFormatting sqref="DI25 DK25">
    <cfRule type="expression" dxfId="88" priority="77">
      <formula>OR(IF(DI25&lt;DJ25,TRUE),IF(AND(DJ25="",DI25&lt;&gt;""),TRUE))</formula>
    </cfRule>
    <cfRule type="expression" dxfId="87" priority="78">
      <formula>IF(DI25&gt;=DJ25,IF(DI25="",FALSE,TRUE))</formula>
    </cfRule>
  </conditionalFormatting>
  <conditionalFormatting sqref="DW25 DY25">
    <cfRule type="expression" dxfId="86" priority="75">
      <formula>OR(IF(DW25&lt;DX25,TRUE),IF(AND(DX25="",DW25&lt;&gt;""),TRUE))</formula>
    </cfRule>
    <cfRule type="expression" dxfId="85" priority="76">
      <formula>IF(DW25&gt;=DX25,IF(DW25="",FALSE,TRUE))</formula>
    </cfRule>
  </conditionalFormatting>
  <conditionalFormatting sqref="O26 Q26">
    <cfRule type="expression" dxfId="84" priority="73">
      <formula>OR(IF(O26&lt;P26,TRUE),IF(AND(P26="",O26&lt;&gt;""),TRUE))</formula>
    </cfRule>
    <cfRule type="expression" dxfId="83" priority="74">
      <formula>IF(O26&gt;=P26,IF(O26="",FALSE,TRUE))</formula>
    </cfRule>
  </conditionalFormatting>
  <conditionalFormatting sqref="AQ26 AS26">
    <cfRule type="expression" dxfId="82" priority="65">
      <formula>OR(IF(AQ26&lt;AR26,TRUE),IF(AND(AR26="",AQ26&lt;&gt;""),TRUE))</formula>
    </cfRule>
    <cfRule type="expression" dxfId="81" priority="66">
      <formula>IF(AQ26&gt;=AR26,IF(AQ26="",FALSE,TRUE))</formula>
    </cfRule>
  </conditionalFormatting>
  <conditionalFormatting sqref="BE26 BG26">
    <cfRule type="expression" dxfId="80" priority="61">
      <formula>OR(IF(BE26&lt;BF26,TRUE),IF(AND(BF26="",BE26&lt;&gt;""),TRUE))</formula>
    </cfRule>
    <cfRule type="expression" dxfId="79" priority="62">
      <formula>IF(BE26&gt;=BF26,IF(BE26="",FALSE,TRUE))</formula>
    </cfRule>
  </conditionalFormatting>
  <conditionalFormatting sqref="V26 X26">
    <cfRule type="expression" dxfId="78" priority="71">
      <formula>OR(IF(V26&lt;W26,TRUE),IF(AND(W26="",V26&lt;&gt;""),TRUE))</formula>
    </cfRule>
    <cfRule type="expression" dxfId="77" priority="72">
      <formula>IF(V26&gt;=W26,IF(V26="",FALSE,TRUE))</formula>
    </cfRule>
  </conditionalFormatting>
  <conditionalFormatting sqref="AC26 AE26">
    <cfRule type="expression" dxfId="76" priority="69">
      <formula>OR(IF(AC26&lt;AD26,TRUE),IF(AND(AD26="",AC26&lt;&gt;""),TRUE))</formula>
    </cfRule>
    <cfRule type="expression" dxfId="75" priority="70">
      <formula>IF(AC26&gt;=AD26,IF(AC26="",FALSE,TRUE))</formula>
    </cfRule>
  </conditionalFormatting>
  <conditionalFormatting sqref="AJ26 AL26">
    <cfRule type="expression" dxfId="74" priority="67">
      <formula>OR(IF(AJ26&lt;AK26,TRUE),IF(AND(AK26="",AJ26&lt;&gt;""),TRUE))</formula>
    </cfRule>
    <cfRule type="expression" dxfId="73" priority="68">
      <formula>IF(AJ26&gt;=AK26,IF(AJ26="",FALSE,TRUE))</formula>
    </cfRule>
  </conditionalFormatting>
  <conditionalFormatting sqref="AX26 AZ26">
    <cfRule type="expression" dxfId="72" priority="63">
      <formula>OR(IF(AX26&lt;AY26,TRUE),IF(AND(AY26="",AX26&lt;&gt;""),TRUE))</formula>
    </cfRule>
    <cfRule type="expression" dxfId="71" priority="64">
      <formula>IF(AX26&gt;=AY26,IF(AX26="",FALSE,TRUE))</formula>
    </cfRule>
  </conditionalFormatting>
  <conditionalFormatting sqref="J26:K26">
    <cfRule type="colorScale" priority="60">
      <colorScale>
        <cfvo type="percent" val="0"/>
        <cfvo type="percent" val="100"/>
        <color rgb="FFFF231B"/>
        <color rgb="FF10FF07"/>
      </colorScale>
    </cfRule>
  </conditionalFormatting>
  <conditionalFormatting sqref="J26">
    <cfRule type="colorScale" priority="59">
      <colorScale>
        <cfvo type="percent" val="0"/>
        <cfvo type="percent" val="100"/>
        <color rgb="FFFF231B"/>
        <color rgb="FF10FF07"/>
      </colorScale>
    </cfRule>
  </conditionalFormatting>
  <conditionalFormatting sqref="K26">
    <cfRule type="colorScale" priority="58">
      <colorScale>
        <cfvo type="percent" val="0"/>
        <cfvo type="percent" val="100"/>
        <color rgb="FFFF231B"/>
        <color rgb="FF10FF07"/>
      </colorScale>
    </cfRule>
  </conditionalFormatting>
  <conditionalFormatting sqref="BL26 BN26">
    <cfRule type="expression" dxfId="70" priority="56">
      <formula>OR(IF(BL26&lt;BM26,TRUE),IF(AND(BM26="",BL26&lt;&gt;""),TRUE))</formula>
    </cfRule>
    <cfRule type="expression" dxfId="69" priority="57">
      <formula>IF(BL26&gt;=BM26,IF(BL26="",FALSE,TRUE))</formula>
    </cfRule>
  </conditionalFormatting>
  <conditionalFormatting sqref="BS26 BU26">
    <cfRule type="expression" dxfId="68" priority="54">
      <formula>OR(IF(BS26&lt;BT26,TRUE),IF(AND(BT26="",BS26&lt;&gt;""),TRUE))</formula>
    </cfRule>
    <cfRule type="expression" dxfId="67" priority="55">
      <formula>IF(BS26&gt;=BT26,IF(BS26="",FALSE,TRUE))</formula>
    </cfRule>
  </conditionalFormatting>
  <conditionalFormatting sqref="BZ26 CB26">
    <cfRule type="expression" dxfId="66" priority="52">
      <formula>OR(IF(BZ26&lt;CA26,TRUE),IF(AND(CA26="",BZ26&lt;&gt;""),TRUE))</formula>
    </cfRule>
    <cfRule type="expression" dxfId="65" priority="53">
      <formula>IF(BZ26&gt;=CA26,IF(BZ26="",FALSE,TRUE))</formula>
    </cfRule>
  </conditionalFormatting>
  <conditionalFormatting sqref="CG26 CI26">
    <cfRule type="expression" dxfId="64" priority="50">
      <formula>OR(IF(CG26&lt;CH26,TRUE),IF(AND(CH26="",CG26&lt;&gt;""),TRUE))</formula>
    </cfRule>
    <cfRule type="expression" dxfId="63" priority="51">
      <formula>IF(CG26&gt;=CH26,IF(CG26="",FALSE,TRUE))</formula>
    </cfRule>
  </conditionalFormatting>
  <conditionalFormatting sqref="CN26 CP26">
    <cfRule type="expression" dxfId="62" priority="48">
      <formula>OR(IF(CN26&lt;CO26,TRUE),IF(AND(CO26="",CN26&lt;&gt;""),TRUE))</formula>
    </cfRule>
    <cfRule type="expression" dxfId="61" priority="49">
      <formula>IF(CN26&gt;=CO26,IF(CN26="",FALSE,TRUE))</formula>
    </cfRule>
  </conditionalFormatting>
  <conditionalFormatting sqref="CU26 CW26">
    <cfRule type="expression" dxfId="60" priority="46">
      <formula>OR(IF(CU26&lt;CV26,TRUE),IF(AND(CV26="",CU26&lt;&gt;""),TRUE))</formula>
    </cfRule>
    <cfRule type="expression" dxfId="59" priority="47">
      <formula>IF(CU26&gt;=CV26,IF(CU26="",FALSE,TRUE))</formula>
    </cfRule>
  </conditionalFormatting>
  <conditionalFormatting sqref="DB26 DD26">
    <cfRule type="expression" dxfId="58" priority="44">
      <formula>OR(IF(DB26&lt;DC26,TRUE),IF(AND(DC26="",DB26&lt;&gt;""),TRUE))</formula>
    </cfRule>
    <cfRule type="expression" dxfId="57" priority="45">
      <formula>IF(DB26&gt;=DC26,IF(DB26="",FALSE,TRUE))</formula>
    </cfRule>
  </conditionalFormatting>
  <conditionalFormatting sqref="DP26 DR26">
    <cfRule type="expression" dxfId="56" priority="42">
      <formula>OR(IF(DP26&lt;DQ26,TRUE),IF(AND(DQ26="",DP26&lt;&gt;""),TRUE))</formula>
    </cfRule>
    <cfRule type="expression" dxfId="55" priority="43">
      <formula>IF(DP26&gt;=DQ26,IF(DP26="",FALSE,TRUE))</formula>
    </cfRule>
  </conditionalFormatting>
  <conditionalFormatting sqref="DI26 DK26">
    <cfRule type="expression" dxfId="54" priority="40">
      <formula>OR(IF(DI26&lt;DJ26,TRUE),IF(AND(DJ26="",DI26&lt;&gt;""),TRUE))</formula>
    </cfRule>
    <cfRule type="expression" dxfId="53" priority="41">
      <formula>IF(DI26&gt;=DJ26,IF(DI26="",FALSE,TRUE))</formula>
    </cfRule>
  </conditionalFormatting>
  <conditionalFormatting sqref="DW26 DY26">
    <cfRule type="expression" dxfId="52" priority="38">
      <formula>OR(IF(DW26&lt;DX26,TRUE),IF(AND(DX26="",DW26&lt;&gt;""),TRUE))</formula>
    </cfRule>
    <cfRule type="expression" dxfId="51" priority="39">
      <formula>IF(DW26&gt;=DX26,IF(DW26="",FALSE,TRUE))</formula>
    </cfRule>
  </conditionalFormatting>
  <conditionalFormatting sqref="O27 Q27">
    <cfRule type="expression" dxfId="50" priority="36">
      <formula>OR(IF(O27&lt;P27,TRUE),IF(AND(P27="",O27&lt;&gt;""),TRUE))</formula>
    </cfRule>
    <cfRule type="expression" dxfId="49" priority="37">
      <formula>IF(O27&gt;=P27,IF(O27="",FALSE,TRUE))</formula>
    </cfRule>
  </conditionalFormatting>
  <conditionalFormatting sqref="AQ27 AS27">
    <cfRule type="expression" dxfId="48" priority="28">
      <formula>OR(IF(AQ27&lt;AR27,TRUE),IF(AND(AR27="",AQ27&lt;&gt;""),TRUE))</formula>
    </cfRule>
    <cfRule type="expression" dxfId="47" priority="29">
      <formula>IF(AQ27&gt;=AR27,IF(AQ27="",FALSE,TRUE))</formula>
    </cfRule>
  </conditionalFormatting>
  <conditionalFormatting sqref="BE27 BG27">
    <cfRule type="expression" dxfId="46" priority="24">
      <formula>OR(IF(BE27&lt;BF27,TRUE),IF(AND(BF27="",BE27&lt;&gt;""),TRUE))</formula>
    </cfRule>
    <cfRule type="expression" dxfId="45" priority="25">
      <formula>IF(BE27&gt;=BF27,IF(BE27="",FALSE,TRUE))</formula>
    </cfRule>
  </conditionalFormatting>
  <conditionalFormatting sqref="V27 X27">
    <cfRule type="expression" dxfId="44" priority="34">
      <formula>OR(IF(V27&lt;W27,TRUE),IF(AND(W27="",V27&lt;&gt;""),TRUE))</formula>
    </cfRule>
    <cfRule type="expression" dxfId="43" priority="35">
      <formula>IF(V27&gt;=W27,IF(V27="",FALSE,TRUE))</formula>
    </cfRule>
  </conditionalFormatting>
  <conditionalFormatting sqref="AC27 AE27">
    <cfRule type="expression" dxfId="42" priority="32">
      <formula>OR(IF(AC27&lt;AD27,TRUE),IF(AND(AD27="",AC27&lt;&gt;""),TRUE))</formula>
    </cfRule>
    <cfRule type="expression" dxfId="41" priority="33">
      <formula>IF(AC27&gt;=AD27,IF(AC27="",FALSE,TRUE))</formula>
    </cfRule>
  </conditionalFormatting>
  <conditionalFormatting sqref="AJ27 AL27">
    <cfRule type="expression" dxfId="40" priority="30">
      <formula>OR(IF(AJ27&lt;AK27,TRUE),IF(AND(AK27="",AJ27&lt;&gt;""),TRUE))</formula>
    </cfRule>
    <cfRule type="expression" dxfId="39" priority="31">
      <formula>IF(AJ27&gt;=AK27,IF(AJ27="",FALSE,TRUE))</formula>
    </cfRule>
  </conditionalFormatting>
  <conditionalFormatting sqref="AX27 AZ27">
    <cfRule type="expression" dxfId="38" priority="26">
      <formula>OR(IF(AX27&lt;AY27,TRUE),IF(AND(AY27="",AX27&lt;&gt;""),TRUE))</formula>
    </cfRule>
    <cfRule type="expression" dxfId="37" priority="27">
      <formula>IF(AX27&gt;=AY27,IF(AX27="",FALSE,TRUE))</formula>
    </cfRule>
  </conditionalFormatting>
  <conditionalFormatting sqref="J27:K27">
    <cfRule type="colorScale" priority="23">
      <colorScale>
        <cfvo type="percent" val="0"/>
        <cfvo type="percent" val="100"/>
        <color rgb="FFFF231B"/>
        <color rgb="FF10FF07"/>
      </colorScale>
    </cfRule>
  </conditionalFormatting>
  <conditionalFormatting sqref="J27">
    <cfRule type="colorScale" priority="22">
      <colorScale>
        <cfvo type="percent" val="0"/>
        <cfvo type="percent" val="100"/>
        <color rgb="FFFF231B"/>
        <color rgb="FF10FF07"/>
      </colorScale>
    </cfRule>
  </conditionalFormatting>
  <conditionalFormatting sqref="K27">
    <cfRule type="colorScale" priority="21">
      <colorScale>
        <cfvo type="percent" val="0"/>
        <cfvo type="percent" val="100"/>
        <color rgb="FFFF231B"/>
        <color rgb="FF10FF07"/>
      </colorScale>
    </cfRule>
  </conditionalFormatting>
  <conditionalFormatting sqref="BL27 BN27">
    <cfRule type="expression" dxfId="36" priority="19">
      <formula>OR(IF(BL27&lt;BM27,TRUE),IF(AND(BM27="",BL27&lt;&gt;""),TRUE))</formula>
    </cfRule>
    <cfRule type="expression" dxfId="35" priority="20">
      <formula>IF(BL27&gt;=BM27,IF(BL27="",FALSE,TRUE))</formula>
    </cfRule>
  </conditionalFormatting>
  <conditionalFormatting sqref="BS27 BU27">
    <cfRule type="expression" dxfId="34" priority="17">
      <formula>OR(IF(BS27&lt;BT27,TRUE),IF(AND(BT27="",BS27&lt;&gt;""),TRUE))</formula>
    </cfRule>
    <cfRule type="expression" dxfId="33" priority="18">
      <formula>IF(BS27&gt;=BT27,IF(BS27="",FALSE,TRUE))</formula>
    </cfRule>
  </conditionalFormatting>
  <conditionalFormatting sqref="BZ27 CB27">
    <cfRule type="expression" dxfId="32" priority="15">
      <formula>OR(IF(BZ27&lt;CA27,TRUE),IF(AND(CA27="",BZ27&lt;&gt;""),TRUE))</formula>
    </cfRule>
    <cfRule type="expression" dxfId="31" priority="16">
      <formula>IF(BZ27&gt;=CA27,IF(BZ27="",FALSE,TRUE))</formula>
    </cfRule>
  </conditionalFormatting>
  <conditionalFormatting sqref="CG27 CI27">
    <cfRule type="expression" dxfId="30" priority="13">
      <formula>OR(IF(CG27&lt;CH27,TRUE),IF(AND(CH27="",CG27&lt;&gt;""),TRUE))</formula>
    </cfRule>
    <cfRule type="expression" dxfId="29" priority="14">
      <formula>IF(CG27&gt;=CH27,IF(CG27="",FALSE,TRUE))</formula>
    </cfRule>
  </conditionalFormatting>
  <conditionalFormatting sqref="CN27 CP27">
    <cfRule type="expression" dxfId="28" priority="11">
      <formula>OR(IF(CN27&lt;CO27,TRUE),IF(AND(CO27="",CN27&lt;&gt;""),TRUE))</formula>
    </cfRule>
    <cfRule type="expression" dxfId="27" priority="12">
      <formula>IF(CN27&gt;=CO27,IF(CN27="",FALSE,TRUE))</formula>
    </cfRule>
  </conditionalFormatting>
  <conditionalFormatting sqref="CU27 CW27">
    <cfRule type="expression" dxfId="26" priority="9">
      <formula>OR(IF(CU27&lt;CV27,TRUE),IF(AND(CV27="",CU27&lt;&gt;""),TRUE))</formula>
    </cfRule>
    <cfRule type="expression" dxfId="25" priority="10">
      <formula>IF(CU27&gt;=CV27,IF(CU27="",FALSE,TRUE))</formula>
    </cfRule>
  </conditionalFormatting>
  <conditionalFormatting sqref="DB27 DD27">
    <cfRule type="expression" dxfId="24" priority="7">
      <formula>OR(IF(DB27&lt;DC27,TRUE),IF(AND(DC27="",DB27&lt;&gt;""),TRUE))</formula>
    </cfRule>
    <cfRule type="expression" dxfId="23" priority="8">
      <formula>IF(DB27&gt;=DC27,IF(DB27="",FALSE,TRUE))</formula>
    </cfRule>
  </conditionalFormatting>
  <conditionalFormatting sqref="DP27 DR27">
    <cfRule type="expression" dxfId="22" priority="5">
      <formula>OR(IF(DP27&lt;DQ27,TRUE),IF(AND(DQ27="",DP27&lt;&gt;""),TRUE))</formula>
    </cfRule>
    <cfRule type="expression" dxfId="21" priority="6">
      <formula>IF(DP27&gt;=DQ27,IF(DP27="",FALSE,TRUE))</formula>
    </cfRule>
  </conditionalFormatting>
  <conditionalFormatting sqref="DI27 DK27">
    <cfRule type="expression" dxfId="20" priority="3">
      <formula>OR(IF(DI27&lt;DJ27,TRUE),IF(AND(DJ27="",DI27&lt;&gt;""),TRUE))</formula>
    </cfRule>
    <cfRule type="expression" dxfId="19" priority="4">
      <formula>IF(DI27&gt;=DJ27,IF(DI27="",FALSE,TRUE))</formula>
    </cfRule>
  </conditionalFormatting>
  <conditionalFormatting sqref="DW27 DY27">
    <cfRule type="expression" dxfId="18" priority="1">
      <formula>OR(IF(DW27&lt;DX27,TRUE),IF(AND(DX27="",DW27&lt;&gt;""),TRUE))</formula>
    </cfRule>
    <cfRule type="expression" dxfId="17" priority="2">
      <formula>IF(DW27&gt;=DX27,IF(DW27="",FALSE,TRUE))</formula>
    </cfRule>
  </conditionalFormatting>
  <dataValidations count="1">
    <dataValidation type="list" allowBlank="1" showInputMessage="1" showErrorMessage="1" sqref="BL31:BO36 O31:R36 AX31:BA36 AQ31:AT36 AJ31:AM36 AC31:AF36 V31:Y36 BS31:BV36 BZ31:CC36 BE31:BH36 DW39:DZ48 CN31:CQ36 CU31:CX36 DB5:DE16 DB31:DE36 AJ51:AM63 V5:Y16 AC5:AF16 AJ5:AM16 AQ5:AT16 AX5:BA16 BE5:BH16 BL5:BO16 O5:R16 BZ5:CC16 BS5:BV16 CG5:CJ16 CN5:CQ16 CU5:CX16 CU51:CX63 CN51:CQ63 DB51:DE63 BZ51:CC63 BS51:BV63 O51:R63 V51:Y63 AC51:AF63 AQ51:AT63 BE51:BH63 AX51:BA63 BL51:BO63 CG51:CJ63 DB39:DE48 CU39:CX48 CN39:CQ48 CG39:CJ48 BZ39:CC48 BS39:BV48 V39:Y48 AC39:AF48 AJ39:AM48 AQ39:AT48 BE39:BH48 AX39:BA48 O39:R48 BL39:BO48 DP5:DS16 DP31:DS36 DP51:DS63 DP39:DS48 DI5:DL16 DI31:DL36 DI51:DL63 DI39:DL48 DW5:DZ16 V19:Y28 DW31:DZ36 DW51:DZ63 DW19:DZ28 DI19:DL28 DP19:DS28 BZ19:CC28 DB19:DE28 O19:R28 CU19:CX28 CN19:CQ28 CG19:CJ28 BS19:BV28 BL19:BO28 BE19:BH28 AX19:BA28 AQ19:AT28 AJ19:AM28 AC19:AF28 CG31:CJ36">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36</v>
      </c>
    </row>
    <row r="12" spans="2:2">
      <c r="B12" s="3" t="s">
        <v>17</v>
      </c>
    </row>
    <row r="13" spans="2:2" ht="126">
      <c r="B13" s="1" t="s">
        <v>18</v>
      </c>
    </row>
    <row r="15" spans="2:2">
      <c r="B15" s="3" t="s">
        <v>19</v>
      </c>
    </row>
    <row r="16" spans="2:2" ht="110.25">
      <c r="B16" s="1" t="s">
        <v>20</v>
      </c>
    </row>
    <row r="17" spans="2:2">
      <c r="B17" s="1"/>
    </row>
    <row r="18" spans="2:2">
      <c r="B18" s="3" t="s">
        <v>35</v>
      </c>
    </row>
    <row r="19" spans="2:2" ht="141.75">
      <c r="B19" s="1" t="s">
        <v>37</v>
      </c>
    </row>
    <row r="21" spans="2:2">
      <c r="B21" s="3" t="s">
        <v>21</v>
      </c>
    </row>
    <row r="22" spans="2:2" ht="110.25">
      <c r="B22" s="1" t="s">
        <v>38</v>
      </c>
    </row>
    <row r="24" spans="2:2">
      <c r="B24" s="3"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workbookViewId="0">
      <selection activeCell="J10" sqref="J10"/>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42</v>
      </c>
      <c r="B1" s="17" t="s">
        <v>39</v>
      </c>
      <c r="C1" s="17" t="s">
        <v>40</v>
      </c>
      <c r="D1" s="17" t="s">
        <v>41</v>
      </c>
      <c r="E1" s="1" t="s">
        <v>43</v>
      </c>
      <c r="F1" s="1" t="s">
        <v>44</v>
      </c>
      <c r="G1" s="1" t="s">
        <v>45</v>
      </c>
      <c r="H1" s="1" t="s">
        <v>46</v>
      </c>
      <c r="I1" s="1" t="s">
        <v>47</v>
      </c>
      <c r="J1" s="1" t="s">
        <v>48</v>
      </c>
      <c r="K1" s="1" t="s">
        <v>49</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formula1>"Ja,Nein"</formula1>
    </dataValidation>
    <dataValidation type="list" allowBlank="1" showInputMessage="1" showErrorMessage="1" sqref="D2">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zoomScale="117" workbookViewId="0">
      <selection activeCell="C8" sqref="C8"/>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July Mai Hien Nguyen</cp:lastModifiedBy>
  <dcterms:created xsi:type="dcterms:W3CDTF">2020-04-19T13:33:28Z</dcterms:created>
  <dcterms:modified xsi:type="dcterms:W3CDTF">2022-11-17T19:08:06Z</dcterms:modified>
</cp:coreProperties>
</file>