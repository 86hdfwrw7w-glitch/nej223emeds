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defaultThemeVersion="166925"/>
  <mc:AlternateContent xmlns:mc="http://schemas.openxmlformats.org/markup-compatibility/2006">
    <mc:Choice Requires="x15">
      <x15ac:absPath xmlns:x15ac="http://schemas.microsoft.com/office/spreadsheetml/2010/11/ac" url="C:\Users\Gregor\Documents\Pumpkin\"/>
    </mc:Choice>
  </mc:AlternateContent>
  <xr:revisionPtr revIDLastSave="0" documentId="13_ncr:1_{00F81DB8-1CD5-49DF-A222-6C4E78B95B2C}" xr6:coauthVersionLast="46" xr6:coauthVersionMax="46" xr10:uidLastSave="{00000000-0000-0000-0000-000000000000}"/>
  <bookViews>
    <workbookView xWindow="-110" yWindow="-110" windowWidth="19420" windowHeight="10420" activeTab="1" xr2:uid="{50F29292-BE80-0C47-A0D2-DD086CB3D310}"/>
  </bookViews>
  <sheets>
    <sheet name="Anleitung" sheetId="2" r:id="rId1"/>
    <sheet name="Semesterplan" sheetId="7" r:id="rId2"/>
    <sheet name="COMMITTMENT" sheetId="9" r:id="rId3"/>
    <sheet name="Wochenplan KW 16" sheetId="11" r:id="rId4"/>
    <sheet name="Wochenplan KW 17" sheetId="3" r:id="rId5"/>
    <sheet name="Wochenplan KW 18"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38" i="7" l="1"/>
  <c r="J38" i="7"/>
  <c r="I38" i="7"/>
  <c r="K76" i="7"/>
  <c r="J76" i="7"/>
  <c r="I76" i="7"/>
  <c r="K75" i="7"/>
  <c r="J75" i="7"/>
  <c r="I75" i="7"/>
  <c r="K74" i="7"/>
  <c r="J74" i="7"/>
  <c r="I74" i="7"/>
  <c r="K73" i="7"/>
  <c r="J73" i="7"/>
  <c r="I73" i="7"/>
  <c r="K72" i="7"/>
  <c r="J72" i="7"/>
  <c r="I72" i="7"/>
  <c r="K71" i="7"/>
  <c r="J71" i="7"/>
  <c r="I71" i="7"/>
  <c r="K70" i="7"/>
  <c r="J70" i="7"/>
  <c r="I70" i="7"/>
  <c r="K69" i="7"/>
  <c r="J69" i="7"/>
  <c r="I69" i="7"/>
  <c r="K68" i="7"/>
  <c r="J68" i="7"/>
  <c r="I68" i="7"/>
  <c r="K67" i="7"/>
  <c r="J67" i="7"/>
  <c r="I67" i="7"/>
  <c r="EQ66" i="7"/>
  <c r="EJ66" i="7"/>
  <c r="EC66" i="7"/>
  <c r="DV66" i="7"/>
  <c r="DO66" i="7"/>
  <c r="DH66" i="7"/>
  <c r="DA66" i="7"/>
  <c r="CT66" i="7"/>
  <c r="CM66" i="7"/>
  <c r="CF66" i="7"/>
  <c r="BY66" i="7"/>
  <c r="BR66" i="7"/>
  <c r="BK66" i="7"/>
  <c r="BD66" i="7"/>
  <c r="AW66" i="7"/>
  <c r="AP66" i="7"/>
  <c r="AI66" i="7"/>
  <c r="AB66" i="7"/>
  <c r="U66" i="7"/>
  <c r="N66" i="7"/>
  <c r="G66" i="7"/>
  <c r="K22" i="7"/>
  <c r="J22" i="7"/>
  <c r="I22" i="7"/>
  <c r="K64" i="7"/>
  <c r="J64" i="7"/>
  <c r="I64" i="7"/>
  <c r="K63" i="7"/>
  <c r="J63" i="7"/>
  <c r="I63" i="7"/>
  <c r="K62" i="7"/>
  <c r="J62" i="7"/>
  <c r="I62" i="7"/>
  <c r="K61" i="7"/>
  <c r="J61" i="7"/>
  <c r="I61" i="7"/>
  <c r="K60" i="7"/>
  <c r="J60" i="7"/>
  <c r="I60" i="7"/>
  <c r="K59" i="7"/>
  <c r="J59" i="7"/>
  <c r="I59" i="7"/>
  <c r="K58" i="7"/>
  <c r="J58" i="7"/>
  <c r="I58" i="7"/>
  <c r="K57" i="7"/>
  <c r="J57" i="7"/>
  <c r="I57" i="7"/>
  <c r="K56" i="7"/>
  <c r="J56" i="7"/>
  <c r="I56" i="7"/>
  <c r="K55" i="7"/>
  <c r="J55" i="7"/>
  <c r="I55" i="7"/>
  <c r="EQ54" i="7"/>
  <c r="EJ54" i="7"/>
  <c r="EC54" i="7"/>
  <c r="DV54" i="7"/>
  <c r="DO54" i="7"/>
  <c r="DH54" i="7"/>
  <c r="DA54" i="7"/>
  <c r="CT54" i="7"/>
  <c r="CM54" i="7"/>
  <c r="CF54" i="7"/>
  <c r="BY54" i="7"/>
  <c r="BR54" i="7"/>
  <c r="BK54" i="7"/>
  <c r="BD54" i="7"/>
  <c r="AW54" i="7"/>
  <c r="AP54" i="7"/>
  <c r="AI54" i="7"/>
  <c r="AB54" i="7"/>
  <c r="U54" i="7"/>
  <c r="N54" i="7"/>
  <c r="G54" i="7"/>
  <c r="EQ43" i="7"/>
  <c r="EQ28" i="7"/>
  <c r="EQ25" i="7"/>
  <c r="EQ4" i="7"/>
  <c r="EJ43" i="7"/>
  <c r="EJ28" i="7"/>
  <c r="EJ25" i="7"/>
  <c r="EJ4" i="7"/>
  <c r="EC43" i="7"/>
  <c r="EC28" i="7"/>
  <c r="EC25" i="7"/>
  <c r="EC4" i="7"/>
  <c r="DV43" i="7"/>
  <c r="DV28" i="7"/>
  <c r="DV25" i="7"/>
  <c r="DV4" i="7"/>
  <c r="DO43" i="7"/>
  <c r="DO28" i="7"/>
  <c r="DO25" i="7"/>
  <c r="DO4" i="7"/>
  <c r="DH43" i="7"/>
  <c r="DH28" i="7"/>
  <c r="DH25" i="7"/>
  <c r="DH4" i="7"/>
  <c r="DA43" i="7"/>
  <c r="DA28" i="7"/>
  <c r="DA25" i="7"/>
  <c r="DA4" i="7"/>
  <c r="CT43" i="7"/>
  <c r="CT28" i="7"/>
  <c r="CT25" i="7"/>
  <c r="CT4" i="7"/>
  <c r="CM43" i="7"/>
  <c r="CM28" i="7"/>
  <c r="CM25" i="7"/>
  <c r="CM4" i="7"/>
  <c r="CF43" i="7"/>
  <c r="CF28" i="7"/>
  <c r="CF25" i="7"/>
  <c r="CF4" i="7"/>
  <c r="BY43" i="7"/>
  <c r="BY28" i="7"/>
  <c r="BY25" i="7"/>
  <c r="BY4" i="7"/>
  <c r="BR43" i="7"/>
  <c r="BR28" i="7"/>
  <c r="BR25" i="7"/>
  <c r="BR4" i="7"/>
  <c r="BK43" i="7"/>
  <c r="BK28" i="7"/>
  <c r="BK25" i="7"/>
  <c r="BK4" i="7"/>
  <c r="K52" i="7"/>
  <c r="J52" i="7"/>
  <c r="I52" i="7"/>
  <c r="K51" i="7"/>
  <c r="J51" i="7"/>
  <c r="I51" i="7"/>
  <c r="K50" i="7"/>
  <c r="J50" i="7"/>
  <c r="I50" i="7"/>
  <c r="K49" i="7"/>
  <c r="J49" i="7"/>
  <c r="I49" i="7"/>
  <c r="K48" i="7"/>
  <c r="J48" i="7"/>
  <c r="I48" i="7"/>
  <c r="K47" i="7"/>
  <c r="J47" i="7"/>
  <c r="I47" i="7"/>
  <c r="K46" i="7"/>
  <c r="J46" i="7"/>
  <c r="I46" i="7"/>
  <c r="K45" i="7"/>
  <c r="J45" i="7"/>
  <c r="I45" i="7"/>
  <c r="K44" i="7"/>
  <c r="J44" i="7"/>
  <c r="I44" i="7"/>
  <c r="BD43" i="7"/>
  <c r="AW43" i="7"/>
  <c r="AP43" i="7"/>
  <c r="AI43" i="7"/>
  <c r="AB43" i="7"/>
  <c r="U43" i="7"/>
  <c r="N43" i="7"/>
  <c r="G43" i="7"/>
  <c r="K41" i="7"/>
  <c r="J41" i="7"/>
  <c r="I41" i="7"/>
  <c r="K40" i="7"/>
  <c r="J40" i="7"/>
  <c r="I40" i="7"/>
  <c r="K39" i="7"/>
  <c r="J39" i="7"/>
  <c r="I39" i="7"/>
  <c r="K37" i="7"/>
  <c r="J37" i="7"/>
  <c r="I37" i="7"/>
  <c r="K36" i="7"/>
  <c r="J36" i="7"/>
  <c r="I36" i="7"/>
  <c r="K35" i="7"/>
  <c r="J35" i="7"/>
  <c r="I35" i="7"/>
  <c r="K34" i="7"/>
  <c r="J34" i="7"/>
  <c r="I34" i="7"/>
  <c r="K33" i="7"/>
  <c r="J33" i="7"/>
  <c r="I33" i="7"/>
  <c r="K32" i="7"/>
  <c r="J32" i="7"/>
  <c r="I32" i="7"/>
  <c r="K31" i="7"/>
  <c r="J31" i="7"/>
  <c r="I31" i="7"/>
  <c r="K30" i="7"/>
  <c r="J30" i="7"/>
  <c r="I30" i="7"/>
  <c r="K29" i="7"/>
  <c r="J29" i="7"/>
  <c r="I29" i="7"/>
  <c r="BD28" i="7"/>
  <c r="AW28" i="7"/>
  <c r="AP28" i="7"/>
  <c r="AI28" i="7"/>
  <c r="AB28" i="7"/>
  <c r="U28" i="7"/>
  <c r="N28" i="7"/>
  <c r="G28" i="7"/>
  <c r="K26" i="7"/>
  <c r="J26" i="7"/>
  <c r="I26" i="7"/>
  <c r="BD25" i="7"/>
  <c r="AW25" i="7"/>
  <c r="AP25" i="7"/>
  <c r="AI25" i="7"/>
  <c r="AB25" i="7"/>
  <c r="U25" i="7"/>
  <c r="N25" i="7"/>
  <c r="G25" i="7"/>
  <c r="AP16" i="7"/>
  <c r="AI16" i="7"/>
  <c r="AB16" i="7"/>
  <c r="U16" i="7"/>
  <c r="BD4" i="7"/>
  <c r="AW4" i="7"/>
  <c r="AP4" i="7"/>
  <c r="AI4" i="7"/>
  <c r="AB4" i="7"/>
  <c r="U4" i="7"/>
  <c r="N4" i="7"/>
  <c r="N16" i="7"/>
  <c r="G4" i="7"/>
  <c r="I23" i="7"/>
  <c r="I21" i="7"/>
  <c r="I20" i="7"/>
  <c r="I19" i="7"/>
  <c r="I18" i="7"/>
  <c r="I17" i="7"/>
  <c r="I6" i="7"/>
  <c r="I7" i="7"/>
  <c r="I8" i="7"/>
  <c r="I9" i="7"/>
  <c r="I10" i="7"/>
  <c r="I11" i="7"/>
  <c r="I12" i="7"/>
  <c r="I13" i="7"/>
  <c r="I14" i="7"/>
  <c r="I5" i="7"/>
  <c r="J5" i="7"/>
  <c r="G16" i="7"/>
  <c r="K23" i="7"/>
  <c r="J23" i="7"/>
  <c r="K21" i="7"/>
  <c r="J21" i="7"/>
  <c r="K20" i="7"/>
  <c r="J20" i="7"/>
  <c r="K19" i="7"/>
  <c r="J19" i="7"/>
  <c r="K18" i="7"/>
  <c r="J18" i="7"/>
  <c r="K17" i="7"/>
  <c r="J17" i="7"/>
  <c r="K6" i="7"/>
  <c r="K7" i="7"/>
  <c r="K8" i="7"/>
  <c r="K9" i="7"/>
  <c r="K10" i="7"/>
  <c r="K11" i="7"/>
  <c r="K12" i="7"/>
  <c r="K13" i="7"/>
  <c r="K14" i="7"/>
  <c r="J6" i="7"/>
  <c r="J7" i="7"/>
  <c r="J8" i="7"/>
  <c r="J9" i="7"/>
  <c r="J10" i="7"/>
  <c r="J11" i="7"/>
  <c r="J12" i="7"/>
  <c r="J13" i="7"/>
  <c r="J14" i="7"/>
  <c r="K5" i="7"/>
  <c r="K66" i="7" l="1"/>
  <c r="J66" i="7"/>
  <c r="I66" i="7"/>
  <c r="K54" i="7"/>
  <c r="J54" i="7"/>
  <c r="I54" i="7"/>
  <c r="K43" i="7"/>
  <c r="I43" i="7"/>
  <c r="J43" i="7"/>
  <c r="I25" i="7"/>
  <c r="I28" i="7"/>
  <c r="J28" i="7"/>
  <c r="K28" i="7"/>
  <c r="J25" i="7"/>
  <c r="K25" i="7"/>
  <c r="I16" i="7"/>
  <c r="J16" i="7"/>
  <c r="K16" i="7"/>
  <c r="K4" i="7"/>
  <c r="I4" i="7" l="1"/>
  <c r="J4" i="7"/>
</calcChain>
</file>

<file path=xl/sharedStrings.xml><?xml version="1.0" encoding="utf-8"?>
<sst xmlns="http://schemas.openxmlformats.org/spreadsheetml/2006/main" count="701" uniqueCount="119">
  <si>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</si>
  <si>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</si>
  <si>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</si>
  <si>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</si>
  <si>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</si>
  <si>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</si>
  <si>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</si>
  <si>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</si>
  <si>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</si>
  <si>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</si>
  <si>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</si>
  <si>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</si>
  <si>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</si>
  <si>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</si>
  <si>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</si>
  <si>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</si>
  <si>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</si>
  <si>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</si>
  <si>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</si>
  <si>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</si>
  <si>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</si>
  <si>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</si>
  <si>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</si>
  <si>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</si>
  <si>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</si>
  <si>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</si>
  <si>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</si>
  <si>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</si>
  <si>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</si>
  <si>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</si>
  <si>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</si>
  <si>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</si>
  <si>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</si>
  <si>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(Übersicht-Zelle muss angepasst werden)</t>
  </si>
  <si>
    <t>KW 19</t>
  </si>
  <si>
    <t>KW 20</t>
  </si>
  <si>
    <t>KW 21</t>
  </si>
  <si>
    <t>KW 22</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</si>
  <si>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</si>
  <si>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</si>
  <si>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</si>
  <si>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</si>
  <si>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KW 23</t>
  </si>
  <si>
    <t>KW 24</t>
  </si>
  <si>
    <t>KW 25</t>
  </si>
  <si>
    <t>Lerneinheiten durchgezogen</t>
  </si>
  <si>
    <t>Tagesplan erstellt</t>
  </si>
  <si>
    <t>Konzentrationslevel</t>
  </si>
  <si>
    <t>Datum</t>
  </si>
  <si>
    <t>Kcal</t>
  </si>
  <si>
    <t>Fette</t>
  </si>
  <si>
    <t>Eiweiss</t>
  </si>
  <si>
    <t>Kohlenhydrate</t>
  </si>
  <si>
    <t>Gewicht</t>
  </si>
  <si>
    <t>Sonstiges Gefühl</t>
  </si>
  <si>
    <t>Optimierungen</t>
  </si>
  <si>
    <t>KW 16</t>
  </si>
  <si>
    <t>KW 17</t>
  </si>
  <si>
    <t>KW 18</t>
  </si>
  <si>
    <t>KW 26</t>
  </si>
  <si>
    <t>KW 27</t>
  </si>
  <si>
    <t>KW 28</t>
  </si>
  <si>
    <t>KW 29</t>
  </si>
  <si>
    <t>KW 30</t>
  </si>
  <si>
    <t>KW 31</t>
  </si>
  <si>
    <t>KW 32</t>
  </si>
  <si>
    <t>KW 33</t>
  </si>
  <si>
    <t>KW 34</t>
  </si>
  <si>
    <t>KW 35</t>
  </si>
  <si>
    <t>Privatrecht</t>
  </si>
  <si>
    <t>1) Kapitel 1 und 2</t>
  </si>
  <si>
    <t>8) Kapitel 15 und 16</t>
  </si>
  <si>
    <t>9) Kapitel 17 und 18</t>
  </si>
  <si>
    <t>10) Kapitel 19 und 20</t>
  </si>
  <si>
    <t>7) Kapitel 13 und 14</t>
  </si>
  <si>
    <t>6) Kapitel 11 und 12</t>
  </si>
  <si>
    <t>5) Kapitel 9 und 10</t>
  </si>
  <si>
    <t>4) Kapitel 7 und 8</t>
  </si>
  <si>
    <t>3) Kapitel 5 und 6</t>
  </si>
  <si>
    <t>2) Kapitel 3 und 4</t>
  </si>
  <si>
    <t>Entrepreneurship</t>
  </si>
  <si>
    <t>1) Grundlagen des Entrepreneurship</t>
  </si>
  <si>
    <t>2) Prozesse, unternehmerische Gelegenheiten, Innovation</t>
  </si>
  <si>
    <t>3) Businessplan und Konstituierung des Unternehmens</t>
  </si>
  <si>
    <t>4) Marketing</t>
  </si>
  <si>
    <t>5) Organisation und Personal</t>
  </si>
  <si>
    <t>6) Gründungs- und Wachstumsfinanzierung</t>
  </si>
  <si>
    <t>7) Methodik</t>
  </si>
  <si>
    <t>Seminar</t>
  </si>
  <si>
    <t>1) Seminararbeit</t>
  </si>
  <si>
    <t>Venture Capital</t>
  </si>
  <si>
    <t>WinFor</t>
  </si>
  <si>
    <t>1) Kapitel 1</t>
  </si>
  <si>
    <t>2) Kapitel 2</t>
  </si>
  <si>
    <t>3) Kapitel 3</t>
  </si>
  <si>
    <t>4) Kapitel 4</t>
  </si>
  <si>
    <t>5) Kapitel 5</t>
  </si>
  <si>
    <t>6) Kapitel 6</t>
  </si>
  <si>
    <t>7) Kapitel 7</t>
  </si>
  <si>
    <t>8) Kapitel 8</t>
  </si>
  <si>
    <t>9) Kapitel 9</t>
  </si>
  <si>
    <t>10) Kapitel 10</t>
  </si>
  <si>
    <t>11) Kapitel 11</t>
  </si>
  <si>
    <t>12) Kapitel 12</t>
  </si>
  <si>
    <t>13) Kapitel 13</t>
  </si>
  <si>
    <t>Produktion</t>
  </si>
  <si>
    <t>KER</t>
  </si>
  <si>
    <t>BuB</t>
  </si>
  <si>
    <t>Arbeit</t>
  </si>
  <si>
    <t>Einkaufen</t>
  </si>
  <si>
    <t>Rückweg</t>
  </si>
  <si>
    <t>Essen</t>
  </si>
  <si>
    <t>Pause</t>
  </si>
  <si>
    <t>Sport</t>
  </si>
  <si>
    <t>Entrepreneur</t>
  </si>
  <si>
    <t>Winfor</t>
  </si>
  <si>
    <t>Aufstehen</t>
  </si>
  <si>
    <t>Schlafen</t>
  </si>
  <si>
    <t>BUB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</si>
</sst>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s>
  <fills count="15">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0000"/>
        <bgColor indexed="64"/>
      </patternFill>
    </fill>
    <fill>
      <patternFill patternType="solid">
        <fgColor rgb="FF10FF07"/>
        <bgColor indexed="64"/>
      </patternFill>
    </fill>
    <fill>
      <patternFill patternType="solid">
        <fgColor theme="1" tint="0.34998626667073579"/>
        <bgColor indexed="64"/>
      </patternFill>
    </fill>
    <fill>
      <patternFill patternType="solid">
        <fgColor theme="1" tint="0.499984740745262"/>
        <bgColor indexed="64"/>
      </patternFill>
    </fill>
    <fill>
      <patternFill patternType="solid">
        <fgColor theme="9" tint="-0.249977111117893"/>
        <bgColor indexed="64"/>
      </patternFill>
    </fill>
    <fill>
      <patternFill patternType="solid">
        <fgColor rgb="FFFFFF00"/>
        <bgColor indexed="64"/>
      </patternFill>
    </fill>
    <fill>
      <patternFill patternType="solid">
        <fgColor rgb="FF7030A0"/>
        <bgColor indexed="64"/>
      </patternFill>
    </fill>
    <fill>
      <patternFill patternType="solid">
        <fgColor theme="7" tint="-0.249977111117893"/>
        <bgColor indexed="64"/>
      </patternFill>
    </fill>
    <fill>
      <patternFill patternType="solid">
        <fgColor theme="4" tint="-0.249977111117893"/>
        <bgColor indexed="64"/>
      </patternFill>
    </fill>
    <fill>
      <patternFill patternType="solid">
        <fgColor theme="7" tint="0.59999389629810485"/>
        <bgColor indexed="64"/>
      </patternFill>
    </fill>
    <fill>
      <patternFill patternType="solid">
        <fgColor rgb="FF00B0F0"/>
        <bgColor indexed="64"/>
      </patternFill>
    </fill>
  </fills>
  <borders count="1">
    <border>
      <left/>
      <right/>
      <top/>
      <bottom/>
      <diagonal/>
    </border>
  </borders>
  <cellStyleXfs count="1">
    <xf numFmtId="0" fontId="0" fillId="0" borderId="0"/>
  </cellStyleXfs>
  <cellXfs count="37">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1" fillId="0" borderId="0" xfId="0" applyFont="1" applyFill="1"/>
    <xf numFmtId="1" fontId="0" fillId="0" borderId="0" xfId="0" applyNumberFormat="1" applyFill="1" applyAlignment="1">
      <alignment horizontal="center"/>
    </xf>
    <xf numFmtId="9" fontId="0" fillId="0" borderId="0" xfId="0" applyNumberFormat="1" applyFill="1"/>
    <xf numFmtId="0" fontId="0" fillId="6" borderId="0" xfId="0" applyFill="1"/>
    <xf numFmtId="0" fontId="0" fillId="7" borderId="0" xfId="0" applyFill="1"/>
    <xf numFmtId="0" fontId="0" fillId="8" borderId="0" xfId="0" applyFill="1"/>
    <xf numFmtId="0" fontId="0" fillId="9" borderId="0" xfId="0" applyFill="1"/>
    <xf numFmtId="0" fontId="0" fillId="9" borderId="0" xfId="0" applyFont="1" applyFill="1"/>
    <xf numFmtId="0" fontId="0" fillId="10" borderId="0" xfId="0" applyFont="1" applyFill="1"/>
    <xf numFmtId="0" fontId="0" fillId="4" borderId="0" xfId="0" applyFont="1" applyFill="1"/>
    <xf numFmtId="0" fontId="0" fillId="11" borderId="0" xfId="0" applyFont="1" applyFill="1"/>
    <xf numFmtId="0" fontId="0" fillId="12" borderId="0" xfId="0" applyFill="1"/>
    <xf numFmtId="0" fontId="0" fillId="13" borderId="0" xfId="0" applyFill="1"/>
    <xf numFmtId="0" fontId="0" fillId="14" borderId="0" xfId="0" applyFill="1"/>
    <xf numFmtId="0" fontId="0" fillId="10" borderId="0" xfId="0" applyFill="1"/>
    <xf numFmtId="0" fontId="0" fillId="5" borderId="0" xfId="0" applyFont="1" applyFill="1"/>
    <xf numFmtId="0" fontId="1" fillId="2" borderId="0" xfId="0" applyFont="1" applyFill="1" applyAlignment="1">
      <alignment horizontal="center"/>
    </xf>
    <xf numFmtId="0" fontId="1" fillId="0" borderId="0" xfId="0" applyFont="1" applyFill="1" applyAlignment="1">
      <alignment horizontal="center"/>
    </xf>
  </cellXfs>
  <cellStyles count="1">
    <cellStyle name="Normal" xfId="0" builtinId="0"/>
  </cellStyles>
  <dxfs count="417">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10FF07"/>
      <color rgb="FF00FF29"/>
      <color rgb="FF56FF5E"/>
      <color rgb="FFC4FF87"/>
      <color rgb="FFFFDE7F"/>
      <color rgb="FFFF755A"/>
      <color rgb="FFFDFF05"/>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4">
  <autoFilter ref="A1:K46" xr:uid="{6E266E34-2786-2747-BCE7-51B74867A564}"/>
  <tableColumns count="11">
    <tableColumn id="1" xr3:uid="{95FD92F7-3DC8-704D-A103-A7EDDAB255AB}" name="Datum" dataDxfId="3"/>
    <tableColumn id="2" xr3:uid="{F464D510-8166-E740-A343-FB84BDEF877F}" name="Lerneinheiten durchgezogen" dataDxfId="2"/>
    <tableColumn id="3" xr3:uid="{75F52B08-1A00-0848-BBE6-1EDF7B31B1AD}" name="Tagesplan erstellt" dataDxfId="1"/>
    <tableColumn id="4" xr3:uid="{E6B18D89-E799-AD48-9DAA-37AEE1D29011}" name="Konzentrationslevel" dataDxfId="0"/>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workbookViewId="0">
      <selection activeCell="B2" sqref="B2"/>
    </sheetView>
  </sheetViews>
  <sheetFormatPr defaultColWidth="10.6640625" defaultRowHeight="15.5"/>
  <cols>
    <col min="2" max="2" width="161" customWidth="1"/>
    <col min="3" max="3" width="10.83203125" style="2"/>
  </cols>
  <sheetData>
    <row r="4" spans="2:2" ht="21">
      <c r="B4" s="4" t="s">
        <v>16</v>
      </c>
    </row>
    <row r="6" spans="2:2">
      <c r="B6" s="3" t="s">
        <v>13</v>
      </c>
    </row>
    <row r="7" spans="2:2" ht="46.5">
      <c r="B7" s="1" t="s">
        <v>14</v>
      </c>
    </row>
    <row r="9" spans="2:2">
      <c r="B9" s="3" t="s">
        <v>15</v>
      </c>
    </row>
    <row r="10" spans="2:2" ht="62">
      <c r="B10" s="1" t="s">
        <v>39</v>
      </c>
    </row>
    <row r="12" spans="2:2">
      <c r="B12" s="3" t="s">
        <v>17</v>
      </c>
    </row>
    <row r="13" spans="2:2" ht="124">
      <c r="B13" s="1" t="s">
        <v>18</v>
      </c>
    </row>
    <row r="15" spans="2:2">
      <c r="B15" s="3" t="s">
        <v>19</v>
      </c>
    </row>
    <row r="16" spans="2:2" ht="108.5">
      <c r="B16" s="1" t="s">
        <v>20</v>
      </c>
    </row>
    <row r="17" spans="2:2">
      <c r="B17" s="1"/>
    </row>
    <row r="18" spans="2:2">
      <c r="B18" s="3" t="s">
        <v>38</v>
      </c>
    </row>
    <row r="19" spans="2:2" ht="139.5">
      <c r="B19" s="1" t="s">
        <v>40</v>
      </c>
    </row>
    <row r="21" spans="2:2">
      <c r="B21" s="3" t="s">
        <v>21</v>
      </c>
    </row>
    <row r="22" spans="2:2" ht="124">
      <c r="B22" s="1" t="s">
        <v>41</v>
      </c>
    </row>
    <row r="24" spans="2:2">
      <c r="B24" s="3" t="s">
        <v>22</v>
      </c>
    </row>
    <row r="25" spans="2:2" ht="124">
      <c r="B25" s="1"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FJ77"/>
  <sheetViews>
    <sheetView showGridLines="0" tabSelected="1" zoomScale="69" zoomScaleNormal="69" workbookViewId="0">
      <pane xSplit="7" topLeftCell="H1" activePane="topRight" state="frozen"/>
      <selection pane="topRight" activeCell="CI5" sqref="CI5"/>
    </sheetView>
  </sheetViews>
  <sheetFormatPr defaultColWidth="8.83203125" defaultRowHeight="15.5" outlineLevelRow="1"/>
  <cols>
    <col min="3" max="3" width="9.5" bestFit="1" customWidth="1"/>
    <col min="4" max="4" width="13" bestFit="1" customWidth="1"/>
    <col min="5" max="5" width="4.83203125" bestFit="1" customWidth="1"/>
    <col min="6" max="6" width="41.1640625" bestFit="1" customWidth="1"/>
    <col min="7" max="7" width="15.5" bestFit="1" customWidth="1"/>
    <col min="8" max="8" width="2.5" customWidth="1"/>
    <col min="10" max="10" width="12.5" bestFit="1" customWidth="1"/>
    <col min="11" max="11" width="14.83203125" bestFit="1" customWidth="1"/>
    <col min="12" max="12" width="12.6640625" bestFit="1"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 min="78" max="78" width="12.5" bestFit="1" customWidth="1"/>
    <col min="79" max="79" width="6.33203125" customWidth="1"/>
    <col min="80" max="80" width="14.83203125" bestFit="1" customWidth="1"/>
    <col min="81" max="81" width="6" customWidth="1"/>
    <col min="82" max="82" width="12.6640625" bestFit="1" customWidth="1"/>
    <col min="83" max="83" width="2.5" customWidth="1"/>
    <col min="85" max="85" width="12.5" bestFit="1" customWidth="1"/>
    <col min="86" max="86" width="6.33203125" customWidth="1"/>
    <col min="87" max="87" width="14.83203125" bestFit="1" customWidth="1"/>
    <col min="88" max="88" width="6" customWidth="1"/>
    <col min="89" max="89" width="12.6640625" bestFit="1" customWidth="1"/>
    <col min="90" max="90" width="2.5" customWidth="1"/>
    <col min="92" max="92" width="12.5" bestFit="1" customWidth="1"/>
    <col min="93" max="93" width="6.33203125" customWidth="1"/>
    <col min="94" max="94" width="14.83203125" bestFit="1" customWidth="1"/>
    <col min="95" max="95" width="6" customWidth="1"/>
    <col min="96" max="96" width="12.6640625" bestFit="1" customWidth="1"/>
    <col min="97" max="97" width="2.5" customWidth="1"/>
    <col min="99" max="99" width="12.5" bestFit="1" customWidth="1"/>
    <col min="100" max="100" width="6.33203125" customWidth="1"/>
    <col min="101" max="101" width="14.83203125" bestFit="1" customWidth="1"/>
    <col min="102" max="102" width="6" customWidth="1"/>
    <col min="103" max="103" width="12.6640625" bestFit="1" customWidth="1"/>
    <col min="104" max="104" width="2.5" customWidth="1"/>
    <col min="106" max="106" width="12.5" bestFit="1" customWidth="1"/>
    <col min="107" max="107" width="6.33203125" customWidth="1"/>
    <col min="108" max="108" width="14.83203125" bestFit="1" customWidth="1"/>
    <col min="109" max="109" width="6" customWidth="1"/>
    <col min="110" max="110" width="12.6640625" bestFit="1" customWidth="1"/>
    <col min="111" max="111" width="2.5" customWidth="1"/>
    <col min="113" max="113" width="12.5" bestFit="1" customWidth="1"/>
    <col min="114" max="114" width="6.33203125" customWidth="1"/>
    <col min="115" max="115" width="14.83203125" bestFit="1" customWidth="1"/>
    <col min="116" max="116" width="6" customWidth="1"/>
    <col min="117" max="117" width="12.6640625" bestFit="1" customWidth="1"/>
    <col min="118" max="118" width="2.5" customWidth="1"/>
    <col min="120" max="120" width="12.5" bestFit="1" customWidth="1"/>
    <col min="121" max="121" width="6.33203125" customWidth="1"/>
    <col min="122" max="122" width="14.83203125" bestFit="1" customWidth="1"/>
    <col min="123" max="123" width="6" customWidth="1"/>
    <col min="124" max="124" width="12.6640625" bestFit="1" customWidth="1"/>
    <col min="125" max="125" width="2.5" customWidth="1"/>
    <col min="127" max="127" width="12.5" bestFit="1" customWidth="1"/>
    <col min="128" max="128" width="6.33203125" customWidth="1"/>
    <col min="129" max="129" width="14.83203125" bestFit="1" customWidth="1"/>
    <col min="130" max="130" width="6" customWidth="1"/>
    <col min="131" max="131" width="12.6640625" bestFit="1" customWidth="1"/>
    <col min="132" max="132" width="2.5" customWidth="1"/>
    <col min="134" max="134" width="12.5" bestFit="1" customWidth="1"/>
    <col min="135" max="135" width="6.33203125" customWidth="1"/>
    <col min="136" max="136" width="14.83203125" bestFit="1" customWidth="1"/>
    <col min="137" max="137" width="6" customWidth="1"/>
    <col min="138" max="138" width="12.6640625" bestFit="1" customWidth="1"/>
    <col min="139" max="139" width="2.5" customWidth="1"/>
    <col min="141" max="141" width="12.5" bestFit="1" customWidth="1"/>
    <col min="142" max="142" width="6.33203125" customWidth="1"/>
    <col min="143" max="143" width="14.83203125" bestFit="1" customWidth="1"/>
    <col min="144" max="144" width="6" customWidth="1"/>
    <col min="145" max="145" width="12.6640625" bestFit="1" customWidth="1"/>
    <col min="146" max="146" width="2.5" customWidth="1"/>
    <col min="148" max="148" width="12.5" bestFit="1" customWidth="1"/>
    <col min="149" max="149" width="6.33203125" customWidth="1"/>
    <col min="150" max="150" width="14.83203125" bestFit="1" customWidth="1"/>
    <col min="151" max="151" width="6" customWidth="1"/>
    <col min="152" max="152" width="12.6640625" bestFit="1" customWidth="1"/>
    <col min="153" max="153" width="2.5" customWidth="1"/>
    <col min="154" max="154" width="8.83203125" style="9"/>
    <col min="155" max="155" width="12.5" style="9" bestFit="1" customWidth="1"/>
    <col min="156" max="156" width="6.33203125" style="9" customWidth="1"/>
    <col min="157" max="157" width="14.83203125" style="9" bestFit="1" customWidth="1"/>
    <col min="158" max="158" width="6" style="9" customWidth="1"/>
    <col min="159" max="159" width="12.6640625" style="9" bestFit="1" customWidth="1"/>
    <col min="160" max="160" width="2.5" style="9" customWidth="1"/>
    <col min="161" max="161" width="8.83203125" style="9"/>
    <col min="162" max="162" width="12.5" style="9" bestFit="1" customWidth="1"/>
    <col min="163" max="163" width="6.33203125" style="9" customWidth="1"/>
    <col min="164" max="164" width="14.83203125" style="9" bestFit="1" customWidth="1"/>
    <col min="165" max="165" width="6" style="9" customWidth="1"/>
    <col min="166" max="166" width="12.6640625" style="9" bestFit="1" customWidth="1"/>
    <col min="167" max="167" width="2.5" customWidth="1"/>
  </cols>
  <sheetData>
    <row r="1" spans="2:166" ht="33.5">
      <c r="B1" s="5" t="s">
        <v>0</v>
      </c>
      <c r="D1" s="5"/>
      <c r="G1" s="15" t="s">
        <v>33</v>
      </c>
      <c r="I1" s="15" t="s">
        <v>33</v>
      </c>
      <c r="J1" s="15" t="s">
        <v>33</v>
      </c>
      <c r="K1" s="15" t="s">
        <v>33</v>
      </c>
    </row>
    <row r="2" spans="2:166">
      <c r="I2" s="35" t="s">
        <v>27</v>
      </c>
      <c r="J2" s="35"/>
      <c r="K2" s="35"/>
      <c r="L2" s="35"/>
      <c r="N2" s="35" t="s">
        <v>56</v>
      </c>
      <c r="O2" s="35"/>
      <c r="P2" s="35"/>
      <c r="Q2" s="35"/>
      <c r="R2" s="35"/>
      <c r="S2" s="35"/>
      <c r="U2" s="35" t="s">
        <v>57</v>
      </c>
      <c r="V2" s="35"/>
      <c r="W2" s="35"/>
      <c r="X2" s="35"/>
      <c r="Y2" s="35"/>
      <c r="Z2" s="35"/>
      <c r="AB2" s="35" t="s">
        <v>58</v>
      </c>
      <c r="AC2" s="35"/>
      <c r="AD2" s="35"/>
      <c r="AE2" s="35"/>
      <c r="AF2" s="35"/>
      <c r="AG2" s="35"/>
      <c r="AI2" s="35" t="s">
        <v>34</v>
      </c>
      <c r="AJ2" s="35"/>
      <c r="AK2" s="35"/>
      <c r="AL2" s="35"/>
      <c r="AM2" s="35"/>
      <c r="AN2" s="35"/>
      <c r="AP2" s="35" t="s">
        <v>35</v>
      </c>
      <c r="AQ2" s="35"/>
      <c r="AR2" s="35"/>
      <c r="AS2" s="35"/>
      <c r="AT2" s="35"/>
      <c r="AU2" s="35"/>
      <c r="AW2" s="35" t="s">
        <v>36</v>
      </c>
      <c r="AX2" s="35"/>
      <c r="AY2" s="35"/>
      <c r="AZ2" s="35"/>
      <c r="BA2" s="35"/>
      <c r="BB2" s="35"/>
      <c r="BD2" s="35" t="s">
        <v>37</v>
      </c>
      <c r="BE2" s="35"/>
      <c r="BF2" s="35"/>
      <c r="BG2" s="35"/>
      <c r="BH2" s="35"/>
      <c r="BI2" s="35"/>
      <c r="BK2" s="35" t="s">
        <v>42</v>
      </c>
      <c r="BL2" s="35"/>
      <c r="BM2" s="35"/>
      <c r="BN2" s="35"/>
      <c r="BO2" s="35"/>
      <c r="BP2" s="35"/>
      <c r="BR2" s="35" t="s">
        <v>43</v>
      </c>
      <c r="BS2" s="35"/>
      <c r="BT2" s="35"/>
      <c r="BU2" s="35"/>
      <c r="BV2" s="35"/>
      <c r="BW2" s="35"/>
      <c r="BY2" s="35" t="s">
        <v>44</v>
      </c>
      <c r="BZ2" s="35"/>
      <c r="CA2" s="35"/>
      <c r="CB2" s="35"/>
      <c r="CC2" s="35"/>
      <c r="CD2" s="35"/>
      <c r="CF2" s="35" t="s">
        <v>59</v>
      </c>
      <c r="CG2" s="35"/>
      <c r="CH2" s="35"/>
      <c r="CI2" s="35"/>
      <c r="CJ2" s="35"/>
      <c r="CK2" s="35"/>
      <c r="CM2" s="35" t="s">
        <v>60</v>
      </c>
      <c r="CN2" s="35"/>
      <c r="CO2" s="35"/>
      <c r="CP2" s="35"/>
      <c r="CQ2" s="35"/>
      <c r="CR2" s="35"/>
      <c r="CT2" s="35" t="s">
        <v>61</v>
      </c>
      <c r="CU2" s="35"/>
      <c r="CV2" s="35"/>
      <c r="CW2" s="35"/>
      <c r="CX2" s="35"/>
      <c r="CY2" s="35"/>
      <c r="DA2" s="35" t="s">
        <v>62</v>
      </c>
      <c r="DB2" s="35"/>
      <c r="DC2" s="35"/>
      <c r="DD2" s="35"/>
      <c r="DE2" s="35"/>
      <c r="DF2" s="35"/>
      <c r="DH2" s="35" t="s">
        <v>63</v>
      </c>
      <c r="DI2" s="35"/>
      <c r="DJ2" s="35"/>
      <c r="DK2" s="35"/>
      <c r="DL2" s="35"/>
      <c r="DM2" s="35"/>
      <c r="DO2" s="35" t="s">
        <v>64</v>
      </c>
      <c r="DP2" s="35"/>
      <c r="DQ2" s="35"/>
      <c r="DR2" s="35"/>
      <c r="DS2" s="35"/>
      <c r="DT2" s="35"/>
      <c r="DV2" s="35" t="s">
        <v>65</v>
      </c>
      <c r="DW2" s="35"/>
      <c r="DX2" s="35"/>
      <c r="DY2" s="35"/>
      <c r="DZ2" s="35"/>
      <c r="EA2" s="35"/>
      <c r="EC2" s="35" t="s">
        <v>66</v>
      </c>
      <c r="ED2" s="35"/>
      <c r="EE2" s="35"/>
      <c r="EF2" s="35"/>
      <c r="EG2" s="35"/>
      <c r="EH2" s="35"/>
      <c r="EJ2" s="35" t="s">
        <v>67</v>
      </c>
      <c r="EK2" s="35"/>
      <c r="EL2" s="35"/>
      <c r="EM2" s="35"/>
      <c r="EN2" s="35"/>
      <c r="EO2" s="35"/>
      <c r="EQ2" s="35" t="s">
        <v>68</v>
      </c>
      <c r="ER2" s="35"/>
      <c r="ES2" s="35"/>
      <c r="ET2" s="35"/>
      <c r="EU2" s="35"/>
      <c r="EV2" s="35"/>
      <c r="EX2" s="36"/>
      <c r="EY2" s="36"/>
      <c r="EZ2" s="36"/>
      <c r="FA2" s="36"/>
      <c r="FB2" s="36"/>
      <c r="FC2" s="36"/>
      <c r="FE2" s="36"/>
      <c r="FF2" s="36"/>
      <c r="FG2" s="36"/>
      <c r="FH2" s="36"/>
      <c r="FI2" s="36"/>
      <c r="FJ2" s="36"/>
    </row>
    <row r="3" spans="2:166">
      <c r="B3" s="6" t="s">
        <v>26</v>
      </c>
      <c r="C3" s="6" t="s">
        <v>1</v>
      </c>
      <c r="D3" s="6" t="s">
        <v>24</v>
      </c>
      <c r="E3" s="7" t="s">
        <v>30</v>
      </c>
      <c r="F3" s="6" t="s">
        <v>29</v>
      </c>
      <c r="G3" s="6" t="s">
        <v>31</v>
      </c>
      <c r="I3" s="7" t="s">
        <v>11</v>
      </c>
      <c r="J3" s="7" t="s">
        <v>2</v>
      </c>
      <c r="K3" s="7" t="s">
        <v>3</v>
      </c>
      <c r="L3" s="7" t="s">
        <v>12</v>
      </c>
      <c r="N3" s="6" t="s">
        <v>11</v>
      </c>
      <c r="O3" s="6" t="s">
        <v>2</v>
      </c>
      <c r="P3" s="6" t="s">
        <v>32</v>
      </c>
      <c r="Q3" s="6" t="s">
        <v>3</v>
      </c>
      <c r="R3" s="6" t="s">
        <v>32</v>
      </c>
      <c r="S3" s="6" t="s">
        <v>12</v>
      </c>
      <c r="U3" s="6" t="s">
        <v>11</v>
      </c>
      <c r="V3" s="6" t="s">
        <v>2</v>
      </c>
      <c r="W3" s="6" t="s">
        <v>32</v>
      </c>
      <c r="X3" s="6" t="s">
        <v>3</v>
      </c>
      <c r="Y3" s="6" t="s">
        <v>32</v>
      </c>
      <c r="Z3" s="6" t="s">
        <v>12</v>
      </c>
      <c r="AB3" s="6" t="s">
        <v>11</v>
      </c>
      <c r="AC3" s="6" t="s">
        <v>2</v>
      </c>
      <c r="AD3" s="6" t="s">
        <v>32</v>
      </c>
      <c r="AE3" s="6" t="s">
        <v>3</v>
      </c>
      <c r="AF3" s="6" t="s">
        <v>32</v>
      </c>
      <c r="AG3" s="6" t="s">
        <v>12</v>
      </c>
      <c r="AI3" s="6" t="s">
        <v>11</v>
      </c>
      <c r="AJ3" s="6" t="s">
        <v>2</v>
      </c>
      <c r="AK3" s="6" t="s">
        <v>32</v>
      </c>
      <c r="AL3" s="6" t="s">
        <v>3</v>
      </c>
      <c r="AM3" s="6" t="s">
        <v>32</v>
      </c>
      <c r="AN3" s="6" t="s">
        <v>12</v>
      </c>
      <c r="AP3" s="6" t="s">
        <v>11</v>
      </c>
      <c r="AQ3" s="6" t="s">
        <v>2</v>
      </c>
      <c r="AR3" s="6" t="s">
        <v>32</v>
      </c>
      <c r="AS3" s="6" t="s">
        <v>3</v>
      </c>
      <c r="AT3" s="6" t="s">
        <v>32</v>
      </c>
      <c r="AU3" s="6" t="s">
        <v>12</v>
      </c>
      <c r="AW3" s="6" t="s">
        <v>11</v>
      </c>
      <c r="AX3" s="6" t="s">
        <v>2</v>
      </c>
      <c r="AY3" s="6" t="s">
        <v>32</v>
      </c>
      <c r="AZ3" s="6" t="s">
        <v>3</v>
      </c>
      <c r="BA3" s="6" t="s">
        <v>32</v>
      </c>
      <c r="BB3" s="6" t="s">
        <v>12</v>
      </c>
      <c r="BD3" s="6" t="s">
        <v>11</v>
      </c>
      <c r="BE3" s="6" t="s">
        <v>2</v>
      </c>
      <c r="BF3" s="6" t="s">
        <v>32</v>
      </c>
      <c r="BG3" s="6" t="s">
        <v>3</v>
      </c>
      <c r="BH3" s="6" t="s">
        <v>32</v>
      </c>
      <c r="BI3" s="6" t="s">
        <v>12</v>
      </c>
      <c r="BK3" s="6" t="s">
        <v>11</v>
      </c>
      <c r="BL3" s="6" t="s">
        <v>2</v>
      </c>
      <c r="BM3" s="6" t="s">
        <v>32</v>
      </c>
      <c r="BN3" s="6" t="s">
        <v>3</v>
      </c>
      <c r="BO3" s="6" t="s">
        <v>32</v>
      </c>
      <c r="BP3" s="6" t="s">
        <v>12</v>
      </c>
      <c r="BR3" s="6" t="s">
        <v>11</v>
      </c>
      <c r="BS3" s="6" t="s">
        <v>2</v>
      </c>
      <c r="BT3" s="6" t="s">
        <v>32</v>
      </c>
      <c r="BU3" s="6" t="s">
        <v>3</v>
      </c>
      <c r="BV3" s="6" t="s">
        <v>32</v>
      </c>
      <c r="BW3" s="6" t="s">
        <v>12</v>
      </c>
      <c r="BY3" s="6" t="s">
        <v>11</v>
      </c>
      <c r="BZ3" s="6" t="s">
        <v>2</v>
      </c>
      <c r="CA3" s="6" t="s">
        <v>32</v>
      </c>
      <c r="CB3" s="6" t="s">
        <v>3</v>
      </c>
      <c r="CC3" s="6" t="s">
        <v>32</v>
      </c>
      <c r="CD3" s="6" t="s">
        <v>12</v>
      </c>
      <c r="CF3" s="6" t="s">
        <v>11</v>
      </c>
      <c r="CG3" s="6" t="s">
        <v>2</v>
      </c>
      <c r="CH3" s="6" t="s">
        <v>32</v>
      </c>
      <c r="CI3" s="6" t="s">
        <v>3</v>
      </c>
      <c r="CJ3" s="6" t="s">
        <v>32</v>
      </c>
      <c r="CK3" s="6" t="s">
        <v>12</v>
      </c>
      <c r="CM3" s="6" t="s">
        <v>11</v>
      </c>
      <c r="CN3" s="6" t="s">
        <v>2</v>
      </c>
      <c r="CO3" s="6" t="s">
        <v>32</v>
      </c>
      <c r="CP3" s="6" t="s">
        <v>3</v>
      </c>
      <c r="CQ3" s="6" t="s">
        <v>32</v>
      </c>
      <c r="CR3" s="6" t="s">
        <v>12</v>
      </c>
      <c r="CT3" s="6" t="s">
        <v>11</v>
      </c>
      <c r="CU3" s="6" t="s">
        <v>2</v>
      </c>
      <c r="CV3" s="6" t="s">
        <v>32</v>
      </c>
      <c r="CW3" s="6" t="s">
        <v>3</v>
      </c>
      <c r="CX3" s="6" t="s">
        <v>32</v>
      </c>
      <c r="CY3" s="6" t="s">
        <v>12</v>
      </c>
      <c r="DA3" s="6" t="s">
        <v>11</v>
      </c>
      <c r="DB3" s="6" t="s">
        <v>2</v>
      </c>
      <c r="DC3" s="6" t="s">
        <v>32</v>
      </c>
      <c r="DD3" s="6" t="s">
        <v>3</v>
      </c>
      <c r="DE3" s="6" t="s">
        <v>32</v>
      </c>
      <c r="DF3" s="6" t="s">
        <v>12</v>
      </c>
      <c r="DH3" s="6" t="s">
        <v>11</v>
      </c>
      <c r="DI3" s="6" t="s">
        <v>2</v>
      </c>
      <c r="DJ3" s="6" t="s">
        <v>32</v>
      </c>
      <c r="DK3" s="6" t="s">
        <v>3</v>
      </c>
      <c r="DL3" s="6" t="s">
        <v>32</v>
      </c>
      <c r="DM3" s="6" t="s">
        <v>12</v>
      </c>
      <c r="DO3" s="6" t="s">
        <v>11</v>
      </c>
      <c r="DP3" s="6" t="s">
        <v>2</v>
      </c>
      <c r="DQ3" s="6" t="s">
        <v>32</v>
      </c>
      <c r="DR3" s="6" t="s">
        <v>3</v>
      </c>
      <c r="DS3" s="6" t="s">
        <v>32</v>
      </c>
      <c r="DT3" s="6" t="s">
        <v>12</v>
      </c>
      <c r="DV3" s="6" t="s">
        <v>11</v>
      </c>
      <c r="DW3" s="6" t="s">
        <v>2</v>
      </c>
      <c r="DX3" s="6" t="s">
        <v>32</v>
      </c>
      <c r="DY3" s="6" t="s">
        <v>3</v>
      </c>
      <c r="DZ3" s="6" t="s">
        <v>32</v>
      </c>
      <c r="EA3" s="6" t="s">
        <v>12</v>
      </c>
      <c r="EC3" s="6" t="s">
        <v>11</v>
      </c>
      <c r="ED3" s="6" t="s">
        <v>2</v>
      </c>
      <c r="EE3" s="6" t="s">
        <v>32</v>
      </c>
      <c r="EF3" s="6" t="s">
        <v>3</v>
      </c>
      <c r="EG3" s="6" t="s">
        <v>32</v>
      </c>
      <c r="EH3" s="6" t="s">
        <v>12</v>
      </c>
      <c r="EJ3" s="6" t="s">
        <v>11</v>
      </c>
      <c r="EK3" s="6" t="s">
        <v>2</v>
      </c>
      <c r="EL3" s="6" t="s">
        <v>32</v>
      </c>
      <c r="EM3" s="6" t="s">
        <v>3</v>
      </c>
      <c r="EN3" s="6" t="s">
        <v>32</v>
      </c>
      <c r="EO3" s="6" t="s">
        <v>12</v>
      </c>
      <c r="EQ3" s="6" t="s">
        <v>11</v>
      </c>
      <c r="ER3" s="6" t="s">
        <v>2</v>
      </c>
      <c r="ES3" s="6" t="s">
        <v>32</v>
      </c>
      <c r="ET3" s="6" t="s">
        <v>3</v>
      </c>
      <c r="EU3" s="6" t="s">
        <v>32</v>
      </c>
      <c r="EV3" s="6" t="s">
        <v>12</v>
      </c>
      <c r="EX3" s="19"/>
      <c r="EY3" s="19"/>
      <c r="EZ3" s="19"/>
      <c r="FA3" s="19"/>
      <c r="FB3" s="19"/>
      <c r="FC3" s="19"/>
      <c r="FE3" s="19"/>
      <c r="FF3" s="19"/>
      <c r="FG3" s="19"/>
      <c r="FH3" s="19"/>
      <c r="FI3" s="19"/>
      <c r="FJ3" s="19"/>
    </row>
    <row r="4" spans="2:166">
      <c r="B4" t="s">
        <v>27</v>
      </c>
      <c r="C4" t="s">
        <v>69</v>
      </c>
      <c r="E4" s="11">
        <v>9</v>
      </c>
      <c r="G4" s="12">
        <f>+SUM(G5:G14)</f>
        <v>0.99999999999999989</v>
      </c>
      <c r="I4" s="14">
        <f>+SUM(I5:I14)</f>
        <v>0</v>
      </c>
      <c r="J4" s="13">
        <f>+SUMPRODUCT(G5:G14,J5:J14)</f>
        <v>0</v>
      </c>
      <c r="K4" s="13">
        <f>+SUMPRODUCT(G5:G14,K5:K14)</f>
        <v>0</v>
      </c>
      <c r="L4" s="11"/>
      <c r="N4" s="14">
        <f>+SUM(N5:N14)</f>
        <v>0</v>
      </c>
      <c r="U4" s="14">
        <f>+SUM(U5:U14)</f>
        <v>0</v>
      </c>
      <c r="AB4" s="14">
        <f>+SUM(AB5:AB14)</f>
        <v>0</v>
      </c>
      <c r="AI4" s="14">
        <f>+SUM(AI5:AI14)</f>
        <v>0</v>
      </c>
      <c r="AP4" s="14">
        <f>+SUM(AP5:AP14)</f>
        <v>0</v>
      </c>
      <c r="AW4" s="14">
        <f>+SUM(AW5:AW14)</f>
        <v>0</v>
      </c>
      <c r="BD4" s="14">
        <f>+SUM(BD5:BD14)</f>
        <v>0</v>
      </c>
      <c r="BK4" s="14">
        <f>+SUM(BK5:BK14)</f>
        <v>0</v>
      </c>
      <c r="BR4" s="14">
        <f>+SUM(BR5:BR14)</f>
        <v>0</v>
      </c>
      <c r="BY4" s="14">
        <f>+SUM(BY5:BY14)</f>
        <v>0</v>
      </c>
      <c r="CF4" s="14">
        <f>+SUM(CF5:CF14)</f>
        <v>0</v>
      </c>
      <c r="CM4" s="14">
        <f>+SUM(CM5:CM14)</f>
        <v>0</v>
      </c>
      <c r="CT4" s="14">
        <f>+SUM(CT5:CT14)</f>
        <v>0</v>
      </c>
      <c r="DA4" s="14">
        <f>+SUM(DA5:DA14)</f>
        <v>0</v>
      </c>
      <c r="DH4" s="14">
        <f>+SUM(DH5:DH14)</f>
        <v>0</v>
      </c>
      <c r="DO4" s="14">
        <f>+SUM(DO5:DO14)</f>
        <v>0</v>
      </c>
      <c r="DV4" s="14">
        <f>+SUM(DV5:DV14)</f>
        <v>0</v>
      </c>
      <c r="EC4" s="14">
        <f>+SUM(EC5:EC14)</f>
        <v>0</v>
      </c>
      <c r="EJ4" s="14">
        <f>+SUM(EJ5:EJ14)</f>
        <v>0</v>
      </c>
      <c r="EQ4" s="14">
        <f>+SUM(EQ5:EQ14)</f>
        <v>0</v>
      </c>
      <c r="EX4" s="20"/>
      <c r="FE4" s="20"/>
    </row>
    <row r="5" spans="2:166" outlineLevel="1">
      <c r="B5" t="s">
        <v>28</v>
      </c>
      <c r="C5" t="s">
        <v>69</v>
      </c>
      <c r="E5" s="11"/>
      <c r="F5" t="s">
        <v>70</v>
      </c>
      <c r="G5" s="12">
        <v>0.1</v>
      </c>
      <c r="I5" s="11">
        <f>+SUMIF($N$3:$ZZ$3,I$3,$N5:$ZZ5)</f>
        <v>0</v>
      </c>
      <c r="J5" s="13">
        <f t="shared" ref="J5:K14" si="0">+_xlfn.MAXIFS($N5:$ZF5,$N$3:$ZF$3,J$3)</f>
        <v>0</v>
      </c>
      <c r="K5" s="13">
        <f t="shared" si="0"/>
        <v>0</v>
      </c>
      <c r="L5" s="11"/>
      <c r="O5" s="12"/>
      <c r="P5" s="12"/>
      <c r="Q5" s="12"/>
      <c r="R5" s="12"/>
      <c r="V5" s="12"/>
      <c r="W5" s="12"/>
      <c r="X5" s="12"/>
      <c r="Y5" s="12"/>
      <c r="AC5" s="12"/>
      <c r="AD5" s="12"/>
      <c r="AE5" s="12"/>
      <c r="AF5" s="12"/>
      <c r="AJ5" s="12"/>
      <c r="AK5" s="12"/>
      <c r="AL5" s="12"/>
      <c r="AM5" s="12"/>
      <c r="AQ5" s="12"/>
      <c r="AR5" s="12">
        <v>0.5</v>
      </c>
      <c r="AS5" s="12"/>
      <c r="AT5" s="12">
        <v>0.5</v>
      </c>
      <c r="AX5" s="12"/>
      <c r="AY5" s="12"/>
      <c r="AZ5" s="12"/>
      <c r="BA5" s="12"/>
      <c r="BE5" s="12"/>
      <c r="BF5" s="12"/>
      <c r="BG5" s="12"/>
      <c r="BH5" s="12"/>
      <c r="BL5" s="12"/>
      <c r="BM5" s="12"/>
      <c r="BN5" s="12"/>
      <c r="BO5" s="12"/>
      <c r="BS5" s="12"/>
      <c r="BT5" s="12">
        <v>0.8</v>
      </c>
      <c r="BU5" s="12"/>
      <c r="BV5" s="12">
        <v>0.8</v>
      </c>
      <c r="BZ5" s="12"/>
      <c r="CA5" s="12"/>
      <c r="CB5" s="12"/>
      <c r="CC5" s="12"/>
      <c r="CG5" s="12"/>
      <c r="CH5" s="12"/>
      <c r="CI5" s="12"/>
      <c r="CJ5" s="12"/>
      <c r="CN5" s="12"/>
      <c r="CO5" s="12"/>
      <c r="CP5" s="12"/>
      <c r="CQ5" s="12"/>
      <c r="CU5" s="12"/>
      <c r="CV5" s="12"/>
      <c r="CW5" s="12"/>
      <c r="CX5" s="12"/>
      <c r="DB5" s="12"/>
      <c r="DC5" s="12">
        <v>1</v>
      </c>
      <c r="DD5" s="12"/>
      <c r="DE5" s="12">
        <v>1</v>
      </c>
      <c r="DI5" s="12"/>
      <c r="DJ5" s="12"/>
      <c r="DK5" s="12"/>
      <c r="DL5" s="12"/>
      <c r="DP5" s="12"/>
      <c r="DQ5" s="12"/>
      <c r="DR5" s="12"/>
      <c r="DS5" s="12"/>
      <c r="DW5" s="12"/>
      <c r="DX5" s="12"/>
      <c r="DY5" s="12"/>
      <c r="DZ5" s="12"/>
      <c r="ED5" s="12"/>
      <c r="EE5" s="12"/>
      <c r="EF5" s="12"/>
      <c r="EG5" s="12"/>
      <c r="EK5" s="12"/>
      <c r="EL5" s="12"/>
      <c r="EM5" s="12"/>
      <c r="EN5" s="12"/>
      <c r="ER5" s="12"/>
      <c r="ES5" s="12"/>
      <c r="ET5" s="12"/>
      <c r="EU5" s="12"/>
      <c r="EY5" s="21"/>
      <c r="EZ5" s="21"/>
      <c r="FA5" s="21"/>
      <c r="FB5" s="21"/>
      <c r="FF5" s="21"/>
      <c r="FG5" s="21"/>
      <c r="FH5" s="21"/>
      <c r="FI5" s="21"/>
    </row>
    <row r="6" spans="2:166" outlineLevel="1">
      <c r="B6" t="s">
        <v>28</v>
      </c>
      <c r="C6" t="s">
        <v>69</v>
      </c>
      <c r="E6" s="11"/>
      <c r="F6" t="s">
        <v>79</v>
      </c>
      <c r="G6" s="12">
        <v>0.1</v>
      </c>
      <c r="I6" s="11">
        <f t="shared" ref="I6:I14" si="1">+SUMIF($N$3:$ZZ$3,I$3,$N6:$ZZ6)</f>
        <v>0</v>
      </c>
      <c r="J6" s="13">
        <f t="shared" si="0"/>
        <v>0</v>
      </c>
      <c r="K6" s="13">
        <f t="shared" si="0"/>
        <v>0</v>
      </c>
      <c r="L6" s="11"/>
      <c r="O6" s="12"/>
      <c r="P6" s="12"/>
      <c r="Q6" s="12"/>
      <c r="R6" s="12"/>
      <c r="V6" s="12"/>
      <c r="W6" s="12"/>
      <c r="X6" s="12"/>
      <c r="Y6" s="12"/>
      <c r="AC6" s="12"/>
      <c r="AD6" s="12"/>
      <c r="AE6" s="12"/>
      <c r="AF6" s="12"/>
      <c r="AJ6" s="12"/>
      <c r="AK6" s="12"/>
      <c r="AL6" s="12"/>
      <c r="AM6" s="12"/>
      <c r="AQ6" s="12"/>
      <c r="AR6" s="12">
        <v>0.5</v>
      </c>
      <c r="AS6" s="12"/>
      <c r="AT6" s="12">
        <v>0.5</v>
      </c>
      <c r="AX6" s="12"/>
      <c r="AY6" s="12"/>
      <c r="AZ6" s="12"/>
      <c r="BA6" s="12"/>
      <c r="BE6" s="12"/>
      <c r="BF6" s="12"/>
      <c r="BG6" s="12"/>
      <c r="BH6" s="12"/>
      <c r="BL6" s="12"/>
      <c r="BM6" s="12"/>
      <c r="BN6" s="12"/>
      <c r="BO6" s="12"/>
      <c r="BS6" s="12"/>
      <c r="BT6" s="12">
        <v>0.8</v>
      </c>
      <c r="BU6" s="12"/>
      <c r="BV6" s="12">
        <v>0.8</v>
      </c>
      <c r="BZ6" s="12"/>
      <c r="CA6" s="12"/>
      <c r="CB6" s="12"/>
      <c r="CC6" s="12"/>
      <c r="CG6" s="12"/>
      <c r="CH6" s="12"/>
      <c r="CI6" s="12"/>
      <c r="CJ6" s="12"/>
      <c r="CN6" s="12"/>
      <c r="CO6" s="12"/>
      <c r="CP6" s="12"/>
      <c r="CQ6" s="12"/>
      <c r="CU6" s="12"/>
      <c r="CV6" s="12"/>
      <c r="CW6" s="12"/>
      <c r="CX6" s="12"/>
      <c r="DB6" s="12"/>
      <c r="DC6" s="12">
        <v>1</v>
      </c>
      <c r="DD6" s="12"/>
      <c r="DE6" s="12">
        <v>1</v>
      </c>
      <c r="DI6" s="12"/>
      <c r="DJ6" s="12"/>
      <c r="DK6" s="12"/>
      <c r="DL6" s="12"/>
      <c r="DP6" s="12"/>
      <c r="DQ6" s="12"/>
      <c r="DR6" s="12"/>
      <c r="DS6" s="12"/>
      <c r="DW6" s="12"/>
      <c r="DX6" s="12"/>
      <c r="DY6" s="12"/>
      <c r="DZ6" s="12"/>
      <c r="ED6" s="12"/>
      <c r="EE6" s="12"/>
      <c r="EF6" s="12"/>
      <c r="EG6" s="12"/>
      <c r="EK6" s="12"/>
      <c r="EL6" s="12"/>
      <c r="EM6" s="12"/>
      <c r="EN6" s="12"/>
      <c r="ER6" s="12"/>
      <c r="ES6" s="12"/>
      <c r="ET6" s="12"/>
      <c r="EU6" s="12"/>
      <c r="EY6" s="21"/>
      <c r="EZ6" s="21"/>
      <c r="FA6" s="21"/>
      <c r="FB6" s="21"/>
      <c r="FF6" s="21"/>
      <c r="FG6" s="21"/>
      <c r="FH6" s="21"/>
      <c r="FI6" s="21"/>
    </row>
    <row r="7" spans="2:166" outlineLevel="1">
      <c r="B7" t="s">
        <v>28</v>
      </c>
      <c r="C7" t="s">
        <v>69</v>
      </c>
      <c r="E7" s="11"/>
      <c r="F7" t="s">
        <v>78</v>
      </c>
      <c r="G7" s="12">
        <v>0.1</v>
      </c>
      <c r="I7" s="11">
        <f t="shared" si="1"/>
        <v>0</v>
      </c>
      <c r="J7" s="13">
        <f t="shared" si="0"/>
        <v>0</v>
      </c>
      <c r="K7" s="13">
        <f t="shared" si="0"/>
        <v>0</v>
      </c>
      <c r="L7" s="11"/>
      <c r="O7" s="12"/>
      <c r="P7" s="12"/>
      <c r="Q7" s="12"/>
      <c r="R7" s="12"/>
      <c r="V7" s="12"/>
      <c r="W7" s="12"/>
      <c r="X7" s="12"/>
      <c r="Y7" s="12"/>
      <c r="AC7" s="12"/>
      <c r="AD7" s="12"/>
      <c r="AE7" s="12"/>
      <c r="AF7" s="12"/>
      <c r="AJ7" s="12"/>
      <c r="AK7" s="12"/>
      <c r="AL7" s="12"/>
      <c r="AM7" s="12"/>
      <c r="AQ7" s="12"/>
      <c r="AR7" s="12">
        <v>0.5</v>
      </c>
      <c r="AS7" s="12"/>
      <c r="AT7" s="12">
        <v>0.5</v>
      </c>
      <c r="AX7" s="12"/>
      <c r="AY7" s="12"/>
      <c r="AZ7" s="12"/>
      <c r="BA7" s="12"/>
      <c r="BE7" s="12"/>
      <c r="BF7" s="12"/>
      <c r="BG7" s="12"/>
      <c r="BH7" s="12"/>
      <c r="BL7" s="12"/>
      <c r="BM7" s="12"/>
      <c r="BN7" s="12"/>
      <c r="BO7" s="12"/>
      <c r="BS7" s="12"/>
      <c r="BT7" s="12">
        <v>0.8</v>
      </c>
      <c r="BU7" s="12"/>
      <c r="BV7" s="12">
        <v>0.8</v>
      </c>
      <c r="BZ7" s="12"/>
      <c r="CA7" s="12"/>
      <c r="CB7" s="12"/>
      <c r="CC7" s="12"/>
      <c r="CG7" s="12"/>
      <c r="CH7" s="12"/>
      <c r="CI7" s="12"/>
      <c r="CJ7" s="12"/>
      <c r="CN7" s="12"/>
      <c r="CO7" s="12"/>
      <c r="CP7" s="12"/>
      <c r="CQ7" s="12"/>
      <c r="CU7" s="12"/>
      <c r="CV7" s="12"/>
      <c r="CW7" s="12"/>
      <c r="CX7" s="12"/>
      <c r="DB7" s="12"/>
      <c r="DC7" s="12">
        <v>1</v>
      </c>
      <c r="DD7" s="12"/>
      <c r="DE7" s="12">
        <v>1</v>
      </c>
      <c r="DI7" s="12"/>
      <c r="DJ7" s="12"/>
      <c r="DK7" s="12"/>
      <c r="DL7" s="12"/>
      <c r="DP7" s="12"/>
      <c r="DQ7" s="12"/>
      <c r="DR7" s="12"/>
      <c r="DS7" s="12"/>
      <c r="DW7" s="12"/>
      <c r="DX7" s="12"/>
      <c r="DY7" s="12"/>
      <c r="DZ7" s="12"/>
      <c r="ED7" s="12"/>
      <c r="EE7" s="12"/>
      <c r="EF7" s="12"/>
      <c r="EG7" s="12"/>
      <c r="EK7" s="12"/>
      <c r="EL7" s="12"/>
      <c r="EM7" s="12"/>
      <c r="EN7" s="12"/>
      <c r="ER7" s="12"/>
      <c r="ES7" s="12"/>
      <c r="ET7" s="12"/>
      <c r="EU7" s="12"/>
      <c r="EY7" s="21"/>
      <c r="EZ7" s="21"/>
      <c r="FA7" s="21"/>
      <c r="FB7" s="21"/>
      <c r="FF7" s="21"/>
      <c r="FG7" s="21"/>
      <c r="FH7" s="21"/>
      <c r="FI7" s="21"/>
    </row>
    <row r="8" spans="2:166" outlineLevel="1">
      <c r="B8" t="s">
        <v>28</v>
      </c>
      <c r="C8" t="s">
        <v>69</v>
      </c>
      <c r="E8" s="11"/>
      <c r="F8" t="s">
        <v>77</v>
      </c>
      <c r="G8" s="12">
        <v>0.1</v>
      </c>
      <c r="I8" s="11">
        <f t="shared" si="1"/>
        <v>0</v>
      </c>
      <c r="J8" s="13">
        <f t="shared" si="0"/>
        <v>0</v>
      </c>
      <c r="K8" s="13">
        <f t="shared" si="0"/>
        <v>0</v>
      </c>
      <c r="L8" s="11"/>
      <c r="O8" s="12"/>
      <c r="P8" s="12"/>
      <c r="Q8" s="12"/>
      <c r="R8" s="12"/>
      <c r="V8" s="12"/>
      <c r="W8" s="12"/>
      <c r="X8" s="12"/>
      <c r="Y8" s="12"/>
      <c r="AC8" s="12"/>
      <c r="AD8" s="12"/>
      <c r="AE8" s="12"/>
      <c r="AF8" s="12"/>
      <c r="AJ8" s="12"/>
      <c r="AK8" s="12"/>
      <c r="AL8" s="12"/>
      <c r="AM8" s="12"/>
      <c r="AQ8" s="12"/>
      <c r="AR8" s="12">
        <v>0.5</v>
      </c>
      <c r="AS8" s="12"/>
      <c r="AT8" s="12">
        <v>0.5</v>
      </c>
      <c r="AX8" s="12"/>
      <c r="AY8" s="12"/>
      <c r="AZ8" s="12"/>
      <c r="BA8" s="12"/>
      <c r="BE8" s="12"/>
      <c r="BF8" s="12"/>
      <c r="BG8" s="12"/>
      <c r="BH8" s="12"/>
      <c r="BL8" s="12"/>
      <c r="BM8" s="12"/>
      <c r="BN8" s="12"/>
      <c r="BO8" s="12"/>
      <c r="BS8" s="12"/>
      <c r="BT8" s="12">
        <v>0.8</v>
      </c>
      <c r="BU8" s="12"/>
      <c r="BV8" s="12">
        <v>0.8</v>
      </c>
      <c r="BZ8" s="12"/>
      <c r="CA8" s="12"/>
      <c r="CB8" s="12"/>
      <c r="CC8" s="12"/>
      <c r="CG8" s="12"/>
      <c r="CH8" s="12"/>
      <c r="CI8" s="12"/>
      <c r="CJ8" s="12"/>
      <c r="CN8" s="12"/>
      <c r="CO8" s="12"/>
      <c r="CP8" s="12"/>
      <c r="CQ8" s="12"/>
      <c r="CU8" s="12"/>
      <c r="CV8" s="12"/>
      <c r="CW8" s="12"/>
      <c r="CX8" s="12"/>
      <c r="DB8" s="12"/>
      <c r="DC8" s="12">
        <v>1</v>
      </c>
      <c r="DD8" s="12"/>
      <c r="DE8" s="12">
        <v>1</v>
      </c>
      <c r="DI8" s="12"/>
      <c r="DJ8" s="12"/>
      <c r="DK8" s="12"/>
      <c r="DL8" s="12"/>
      <c r="DP8" s="12"/>
      <c r="DQ8" s="12"/>
      <c r="DR8" s="12"/>
      <c r="DS8" s="12"/>
      <c r="DW8" s="12"/>
      <c r="DX8" s="12"/>
      <c r="DY8" s="12"/>
      <c r="DZ8" s="12"/>
      <c r="ED8" s="12"/>
      <c r="EE8" s="12"/>
      <c r="EF8" s="12"/>
      <c r="EG8" s="12"/>
      <c r="EK8" s="12"/>
      <c r="EL8" s="12"/>
      <c r="EM8" s="12"/>
      <c r="EN8" s="12"/>
      <c r="ER8" s="12"/>
      <c r="ES8" s="12"/>
      <c r="ET8" s="12"/>
      <c r="EU8" s="12"/>
      <c r="EY8" s="21"/>
      <c r="EZ8" s="21"/>
      <c r="FA8" s="21"/>
      <c r="FB8" s="21"/>
      <c r="FF8" s="21"/>
      <c r="FG8" s="21"/>
      <c r="FH8" s="21"/>
      <c r="FI8" s="21"/>
    </row>
    <row r="9" spans="2:166" outlineLevel="1">
      <c r="B9" t="s">
        <v>28</v>
      </c>
      <c r="C9" t="s">
        <v>69</v>
      </c>
      <c r="E9" s="11"/>
      <c r="F9" t="s">
        <v>76</v>
      </c>
      <c r="G9" s="12">
        <v>0.1</v>
      </c>
      <c r="I9" s="11">
        <f t="shared" si="1"/>
        <v>0</v>
      </c>
      <c r="J9" s="13">
        <f t="shared" si="0"/>
        <v>0</v>
      </c>
      <c r="K9" s="13">
        <f t="shared" si="0"/>
        <v>0</v>
      </c>
      <c r="L9" s="11"/>
      <c r="O9" s="12"/>
      <c r="P9" s="12"/>
      <c r="Q9" s="12"/>
      <c r="R9" s="12"/>
      <c r="V9" s="12"/>
      <c r="W9" s="12"/>
      <c r="X9" s="12"/>
      <c r="Y9" s="12"/>
      <c r="AC9" s="12"/>
      <c r="AD9" s="12"/>
      <c r="AE9" s="12"/>
      <c r="AF9" s="12"/>
      <c r="AJ9" s="12"/>
      <c r="AK9" s="12"/>
      <c r="AL9" s="12"/>
      <c r="AM9" s="12"/>
      <c r="AQ9" s="12"/>
      <c r="AR9" s="12">
        <v>0.5</v>
      </c>
      <c r="AS9" s="12"/>
      <c r="AT9" s="12">
        <v>0.5</v>
      </c>
      <c r="AX9" s="12"/>
      <c r="AY9" s="12"/>
      <c r="AZ9" s="12"/>
      <c r="BA9" s="12"/>
      <c r="BE9" s="12"/>
      <c r="BF9" s="12"/>
      <c r="BG9" s="12"/>
      <c r="BH9" s="12"/>
      <c r="BL9" s="12"/>
      <c r="BM9" s="12"/>
      <c r="BN9" s="12"/>
      <c r="BO9" s="12"/>
      <c r="BS9" s="12"/>
      <c r="BT9" s="12">
        <v>0.8</v>
      </c>
      <c r="BU9" s="12"/>
      <c r="BV9" s="12">
        <v>0.8</v>
      </c>
      <c r="BZ9" s="12"/>
      <c r="CA9" s="12"/>
      <c r="CB9" s="12"/>
      <c r="CC9" s="12"/>
      <c r="CG9" s="12"/>
      <c r="CH9" s="12"/>
      <c r="CI9" s="12"/>
      <c r="CJ9" s="12"/>
      <c r="CN9" s="12"/>
      <c r="CO9" s="12"/>
      <c r="CP9" s="12"/>
      <c r="CQ9" s="12"/>
      <c r="CU9" s="12"/>
      <c r="CV9" s="12"/>
      <c r="CW9" s="12"/>
      <c r="CX9" s="12"/>
      <c r="DB9" s="12"/>
      <c r="DC9" s="12">
        <v>1</v>
      </c>
      <c r="DD9" s="12"/>
      <c r="DE9" s="12">
        <v>1</v>
      </c>
      <c r="DI9" s="12"/>
      <c r="DJ9" s="12"/>
      <c r="DK9" s="12"/>
      <c r="DL9" s="12"/>
      <c r="DP9" s="12"/>
      <c r="DQ9" s="12"/>
      <c r="DR9" s="12"/>
      <c r="DS9" s="12"/>
      <c r="DW9" s="12"/>
      <c r="DX9" s="12"/>
      <c r="DY9" s="12"/>
      <c r="DZ9" s="12"/>
      <c r="ED9" s="12"/>
      <c r="EE9" s="12"/>
      <c r="EF9" s="12"/>
      <c r="EG9" s="12"/>
      <c r="EK9" s="12"/>
      <c r="EL9" s="12"/>
      <c r="EM9" s="12"/>
      <c r="EN9" s="12"/>
      <c r="ER9" s="12"/>
      <c r="ES9" s="12"/>
      <c r="ET9" s="12"/>
      <c r="EU9" s="12"/>
      <c r="EY9" s="21"/>
      <c r="EZ9" s="21"/>
      <c r="FA9" s="21"/>
      <c r="FB9" s="21"/>
      <c r="FF9" s="21"/>
      <c r="FG9" s="21"/>
      <c r="FH9" s="21"/>
      <c r="FI9" s="21"/>
    </row>
    <row r="10" spans="2:166" outlineLevel="1">
      <c r="B10" t="s">
        <v>28</v>
      </c>
      <c r="C10" t="s">
        <v>69</v>
      </c>
      <c r="E10" s="11"/>
      <c r="F10" t="s">
        <v>75</v>
      </c>
      <c r="G10" s="12">
        <v>0.1</v>
      </c>
      <c r="I10" s="11">
        <f t="shared" si="1"/>
        <v>0</v>
      </c>
      <c r="J10" s="13">
        <f t="shared" si="0"/>
        <v>0</v>
      </c>
      <c r="K10" s="13">
        <f t="shared" si="0"/>
        <v>0</v>
      </c>
      <c r="L10" s="11"/>
      <c r="O10" s="12"/>
      <c r="P10" s="12"/>
      <c r="Q10" s="12"/>
      <c r="R10" s="12"/>
      <c r="V10" s="12"/>
      <c r="W10" s="12"/>
      <c r="X10" s="12"/>
      <c r="Y10" s="12"/>
      <c r="AC10" s="12"/>
      <c r="AD10" s="12"/>
      <c r="AE10" s="12"/>
      <c r="AF10" s="12"/>
      <c r="AJ10" s="12"/>
      <c r="AK10" s="12"/>
      <c r="AL10" s="12"/>
      <c r="AM10" s="12"/>
      <c r="AQ10" s="12"/>
      <c r="AR10" s="12">
        <v>0.5</v>
      </c>
      <c r="AS10" s="12"/>
      <c r="AT10" s="12">
        <v>0.5</v>
      </c>
      <c r="AX10" s="12"/>
      <c r="AY10" s="12"/>
      <c r="AZ10" s="12"/>
      <c r="BA10" s="12"/>
      <c r="BE10" s="12"/>
      <c r="BF10" s="12"/>
      <c r="BG10" s="12"/>
      <c r="BH10" s="12"/>
      <c r="BL10" s="12"/>
      <c r="BM10" s="12"/>
      <c r="BN10" s="12"/>
      <c r="BO10" s="12"/>
      <c r="BS10" s="12"/>
      <c r="BT10" s="12">
        <v>0.8</v>
      </c>
      <c r="BU10" s="12"/>
      <c r="BV10" s="12">
        <v>0.8</v>
      </c>
      <c r="BZ10" s="12"/>
      <c r="CA10" s="12"/>
      <c r="CB10" s="12"/>
      <c r="CC10" s="12"/>
      <c r="CG10" s="12"/>
      <c r="CH10" s="12"/>
      <c r="CI10" s="12"/>
      <c r="CJ10" s="12"/>
      <c r="CN10" s="12"/>
      <c r="CO10" s="12"/>
      <c r="CP10" s="12"/>
      <c r="CQ10" s="12"/>
      <c r="CU10" s="12"/>
      <c r="CV10" s="12"/>
      <c r="CW10" s="12"/>
      <c r="CX10" s="12"/>
      <c r="DB10" s="12"/>
      <c r="DC10" s="12">
        <v>1</v>
      </c>
      <c r="DD10" s="12"/>
      <c r="DE10" s="12">
        <v>1</v>
      </c>
      <c r="DI10" s="12"/>
      <c r="DJ10" s="12"/>
      <c r="DK10" s="12"/>
      <c r="DL10" s="12"/>
      <c r="DP10" s="12"/>
      <c r="DQ10" s="12"/>
      <c r="DR10" s="12"/>
      <c r="DS10" s="12"/>
      <c r="DW10" s="12"/>
      <c r="DX10" s="12"/>
      <c r="DY10" s="12"/>
      <c r="DZ10" s="12"/>
      <c r="ED10" s="12"/>
      <c r="EE10" s="12"/>
      <c r="EF10" s="12"/>
      <c r="EG10" s="12"/>
      <c r="EK10" s="12"/>
      <c r="EL10" s="12"/>
      <c r="EM10" s="12"/>
      <c r="EN10" s="12"/>
      <c r="ER10" s="12"/>
      <c r="ES10" s="12"/>
      <c r="ET10" s="12"/>
      <c r="EU10" s="12"/>
      <c r="EY10" s="21"/>
      <c r="EZ10" s="21"/>
      <c r="FA10" s="21"/>
      <c r="FB10" s="21"/>
      <c r="FF10" s="21"/>
      <c r="FG10" s="21"/>
      <c r="FH10" s="21"/>
      <c r="FI10" s="21"/>
    </row>
    <row r="11" spans="2:166" outlineLevel="1">
      <c r="B11" t="s">
        <v>28</v>
      </c>
      <c r="C11" t="s">
        <v>69</v>
      </c>
      <c r="E11" s="11"/>
      <c r="F11" t="s">
        <v>74</v>
      </c>
      <c r="G11" s="12">
        <v>0.1</v>
      </c>
      <c r="I11" s="11">
        <f t="shared" si="1"/>
        <v>0</v>
      </c>
      <c r="J11" s="13">
        <f t="shared" si="0"/>
        <v>0</v>
      </c>
      <c r="K11" s="13">
        <f t="shared" si="0"/>
        <v>0</v>
      </c>
      <c r="L11" s="11"/>
      <c r="O11" s="12"/>
      <c r="P11" s="12"/>
      <c r="Q11" s="12"/>
      <c r="R11" s="12"/>
      <c r="V11" s="12"/>
      <c r="W11" s="12"/>
      <c r="X11" s="12"/>
      <c r="Y11" s="12"/>
      <c r="AC11" s="12"/>
      <c r="AD11" s="12"/>
      <c r="AE11" s="12"/>
      <c r="AF11" s="12"/>
      <c r="AJ11" s="12"/>
      <c r="AK11" s="12"/>
      <c r="AL11" s="12"/>
      <c r="AM11" s="12"/>
      <c r="AQ11" s="12"/>
      <c r="AR11" s="12">
        <v>0.5</v>
      </c>
      <c r="AS11" s="12"/>
      <c r="AT11" s="12">
        <v>0.5</v>
      </c>
      <c r="AX11" s="12"/>
      <c r="AY11" s="12"/>
      <c r="AZ11" s="12"/>
      <c r="BA11" s="12"/>
      <c r="BE11" s="12"/>
      <c r="BF11" s="12"/>
      <c r="BG11" s="12"/>
      <c r="BH11" s="12"/>
      <c r="BL11" s="12"/>
      <c r="BM11" s="12"/>
      <c r="BN11" s="12"/>
      <c r="BO11" s="12"/>
      <c r="BS11" s="12"/>
      <c r="BT11" s="12">
        <v>0.8</v>
      </c>
      <c r="BU11" s="12"/>
      <c r="BV11" s="12">
        <v>0.8</v>
      </c>
      <c r="BZ11" s="12"/>
      <c r="CA11" s="12"/>
      <c r="CB11" s="12"/>
      <c r="CC11" s="12"/>
      <c r="CG11" s="12"/>
      <c r="CH11" s="12"/>
      <c r="CI11" s="12"/>
      <c r="CJ11" s="12"/>
      <c r="CN11" s="12"/>
      <c r="CO11" s="12"/>
      <c r="CP11" s="12"/>
      <c r="CQ11" s="12"/>
      <c r="CU11" s="12"/>
      <c r="CV11" s="12"/>
      <c r="CW11" s="12"/>
      <c r="CX11" s="12"/>
      <c r="DB11" s="12"/>
      <c r="DC11" s="12">
        <v>1</v>
      </c>
      <c r="DD11" s="12"/>
      <c r="DE11" s="12">
        <v>1</v>
      </c>
      <c r="DI11" s="12"/>
      <c r="DJ11" s="12"/>
      <c r="DK11" s="12"/>
      <c r="DL11" s="12"/>
      <c r="DP11" s="12"/>
      <c r="DQ11" s="12"/>
      <c r="DR11" s="12"/>
      <c r="DS11" s="12"/>
      <c r="DW11" s="12"/>
      <c r="DX11" s="12"/>
      <c r="DY11" s="12"/>
      <c r="DZ11" s="12"/>
      <c r="ED11" s="12"/>
      <c r="EE11" s="12"/>
      <c r="EF11" s="12"/>
      <c r="EG11" s="12"/>
      <c r="EK11" s="12"/>
      <c r="EL11" s="12"/>
      <c r="EM11" s="12"/>
      <c r="EN11" s="12"/>
      <c r="ER11" s="12"/>
      <c r="ES11" s="12"/>
      <c r="ET11" s="12"/>
      <c r="EU11" s="12"/>
      <c r="EY11" s="21"/>
      <c r="EZ11" s="21"/>
      <c r="FA11" s="21"/>
      <c r="FB11" s="21"/>
      <c r="FF11" s="21"/>
      <c r="FG11" s="21"/>
      <c r="FH11" s="21"/>
      <c r="FI11" s="21"/>
    </row>
    <row r="12" spans="2:166" outlineLevel="1">
      <c r="B12" t="s">
        <v>28</v>
      </c>
      <c r="C12" t="s">
        <v>69</v>
      </c>
      <c r="E12" s="11"/>
      <c r="F12" t="s">
        <v>71</v>
      </c>
      <c r="G12" s="12">
        <v>0.1</v>
      </c>
      <c r="I12" s="11">
        <f t="shared" si="1"/>
        <v>0</v>
      </c>
      <c r="J12" s="13">
        <f t="shared" si="0"/>
        <v>0</v>
      </c>
      <c r="K12" s="13">
        <f t="shared" si="0"/>
        <v>0</v>
      </c>
      <c r="L12" s="11"/>
      <c r="O12" s="12"/>
      <c r="P12" s="12"/>
      <c r="Q12" s="12"/>
      <c r="R12" s="12"/>
      <c r="V12" s="12"/>
      <c r="W12" s="12"/>
      <c r="X12" s="12"/>
      <c r="Y12" s="12"/>
      <c r="AC12" s="12"/>
      <c r="AD12" s="12"/>
      <c r="AE12" s="12"/>
      <c r="AF12" s="12"/>
      <c r="AJ12" s="12"/>
      <c r="AK12" s="12"/>
      <c r="AL12" s="12"/>
      <c r="AM12" s="12"/>
      <c r="AQ12" s="12"/>
      <c r="AR12" s="12">
        <v>0.5</v>
      </c>
      <c r="AS12" s="12"/>
      <c r="AT12" s="12">
        <v>0.5</v>
      </c>
      <c r="AX12" s="12"/>
      <c r="AY12" s="12"/>
      <c r="AZ12" s="12"/>
      <c r="BA12" s="12"/>
      <c r="BE12" s="12"/>
      <c r="BF12" s="12"/>
      <c r="BG12" s="12"/>
      <c r="BH12" s="12"/>
      <c r="BL12" s="12"/>
      <c r="BM12" s="12"/>
      <c r="BN12" s="12"/>
      <c r="BO12" s="12"/>
      <c r="BS12" s="12"/>
      <c r="BT12" s="12">
        <v>0.8</v>
      </c>
      <c r="BU12" s="12"/>
      <c r="BV12" s="12">
        <v>0.8</v>
      </c>
      <c r="BZ12" s="12"/>
      <c r="CA12" s="12"/>
      <c r="CB12" s="12"/>
      <c r="CC12" s="12"/>
      <c r="CG12" s="12"/>
      <c r="CH12" s="12"/>
      <c r="CI12" s="12"/>
      <c r="CJ12" s="12"/>
      <c r="CN12" s="12"/>
      <c r="CO12" s="12"/>
      <c r="CP12" s="12"/>
      <c r="CQ12" s="12"/>
      <c r="CU12" s="12"/>
      <c r="CV12" s="12"/>
      <c r="CW12" s="12"/>
      <c r="CX12" s="12"/>
      <c r="DB12" s="12"/>
      <c r="DC12" s="12">
        <v>1</v>
      </c>
      <c r="DD12" s="12"/>
      <c r="DE12" s="12">
        <v>1</v>
      </c>
      <c r="DI12" s="12"/>
      <c r="DJ12" s="12"/>
      <c r="DK12" s="12"/>
      <c r="DL12" s="12"/>
      <c r="DP12" s="12"/>
      <c r="DQ12" s="12"/>
      <c r="DR12" s="12"/>
      <c r="DS12" s="12"/>
      <c r="DW12" s="12"/>
      <c r="DX12" s="12"/>
      <c r="DY12" s="12"/>
      <c r="DZ12" s="12"/>
      <c r="ED12" s="12"/>
      <c r="EE12" s="12"/>
      <c r="EF12" s="12"/>
      <c r="EG12" s="12"/>
      <c r="EK12" s="12"/>
      <c r="EL12" s="12"/>
      <c r="EM12" s="12"/>
      <c r="EN12" s="12"/>
      <c r="ER12" s="12"/>
      <c r="ES12" s="12"/>
      <c r="ET12" s="12"/>
      <c r="EU12" s="12"/>
      <c r="EY12" s="21"/>
      <c r="EZ12" s="21"/>
      <c r="FA12" s="21"/>
      <c r="FB12" s="21"/>
      <c r="FF12" s="21"/>
      <c r="FG12" s="21"/>
      <c r="FH12" s="21"/>
      <c r="FI12" s="21"/>
    </row>
    <row r="13" spans="2:166" outlineLevel="1">
      <c r="B13" t="s">
        <v>28</v>
      </c>
      <c r="C13" t="s">
        <v>69</v>
      </c>
      <c r="E13" s="11"/>
      <c r="F13" t="s">
        <v>72</v>
      </c>
      <c r="G13" s="12">
        <v>0.1</v>
      </c>
      <c r="I13" s="11">
        <f t="shared" si="1"/>
        <v>0</v>
      </c>
      <c r="J13" s="13">
        <f t="shared" si="0"/>
        <v>0</v>
      </c>
      <c r="K13" s="13">
        <f t="shared" si="0"/>
        <v>0</v>
      </c>
      <c r="L13" s="11"/>
      <c r="O13" s="12"/>
      <c r="P13" s="12"/>
      <c r="Q13" s="12"/>
      <c r="R13" s="12"/>
      <c r="V13" s="12"/>
      <c r="W13" s="12"/>
      <c r="X13" s="12"/>
      <c r="Y13" s="12"/>
      <c r="AC13" s="12"/>
      <c r="AD13" s="12"/>
      <c r="AE13" s="12"/>
      <c r="AF13" s="12"/>
      <c r="AJ13" s="12"/>
      <c r="AK13" s="12"/>
      <c r="AL13" s="12"/>
      <c r="AM13" s="12"/>
      <c r="AQ13" s="12"/>
      <c r="AR13" s="12">
        <v>0.5</v>
      </c>
      <c r="AS13" s="12"/>
      <c r="AT13" s="12">
        <v>0.5</v>
      </c>
      <c r="AX13" s="12"/>
      <c r="AY13" s="12"/>
      <c r="AZ13" s="12"/>
      <c r="BA13" s="12"/>
      <c r="BE13" s="12"/>
      <c r="BF13" s="12"/>
      <c r="BG13" s="12"/>
      <c r="BH13" s="12"/>
      <c r="BL13" s="12"/>
      <c r="BM13" s="12"/>
      <c r="BN13" s="12"/>
      <c r="BO13" s="12"/>
      <c r="BS13" s="12"/>
      <c r="BT13" s="12">
        <v>0.8</v>
      </c>
      <c r="BU13" s="12"/>
      <c r="BV13" s="12">
        <v>0.8</v>
      </c>
      <c r="BZ13" s="12"/>
      <c r="CA13" s="12"/>
      <c r="CB13" s="12"/>
      <c r="CC13" s="12"/>
      <c r="CG13" s="12"/>
      <c r="CH13" s="12"/>
      <c r="CI13" s="12"/>
      <c r="CJ13" s="12"/>
      <c r="CN13" s="12"/>
      <c r="CO13" s="12"/>
      <c r="CP13" s="12"/>
      <c r="CQ13" s="12"/>
      <c r="CU13" s="12"/>
      <c r="CV13" s="12"/>
      <c r="CW13" s="12"/>
      <c r="CX13" s="12"/>
      <c r="DB13" s="12"/>
      <c r="DC13" s="12">
        <v>1</v>
      </c>
      <c r="DD13" s="12"/>
      <c r="DE13" s="12">
        <v>1</v>
      </c>
      <c r="DI13" s="12"/>
      <c r="DJ13" s="12"/>
      <c r="DK13" s="12"/>
      <c r="DL13" s="12"/>
      <c r="DP13" s="12"/>
      <c r="DQ13" s="12"/>
      <c r="DR13" s="12"/>
      <c r="DS13" s="12"/>
      <c r="DW13" s="12"/>
      <c r="DX13" s="12"/>
      <c r="DY13" s="12"/>
      <c r="DZ13" s="12"/>
      <c r="ED13" s="12"/>
      <c r="EE13" s="12"/>
      <c r="EF13" s="12"/>
      <c r="EG13" s="12"/>
      <c r="EK13" s="12"/>
      <c r="EL13" s="12"/>
      <c r="EM13" s="12"/>
      <c r="EN13" s="12"/>
      <c r="ER13" s="12"/>
      <c r="ES13" s="12"/>
      <c r="ET13" s="12"/>
      <c r="EU13" s="12"/>
      <c r="EY13" s="21"/>
      <c r="EZ13" s="21"/>
      <c r="FA13" s="21"/>
      <c r="FB13" s="21"/>
      <c r="FF13" s="21"/>
      <c r="FG13" s="21"/>
      <c r="FH13" s="21"/>
      <c r="FI13" s="21"/>
    </row>
    <row r="14" spans="2:166" outlineLevel="1">
      <c r="B14" t="s">
        <v>28</v>
      </c>
      <c r="C14" t="s">
        <v>69</v>
      </c>
      <c r="E14" s="11"/>
      <c r="F14" t="s">
        <v>73</v>
      </c>
      <c r="G14" s="12">
        <v>0.1</v>
      </c>
      <c r="I14" s="11">
        <f t="shared" si="1"/>
        <v>0</v>
      </c>
      <c r="J14" s="13">
        <f t="shared" si="0"/>
        <v>0</v>
      </c>
      <c r="K14" s="13">
        <f t="shared" si="0"/>
        <v>0</v>
      </c>
      <c r="L14" s="11"/>
      <c r="O14" s="12"/>
      <c r="P14" s="12"/>
      <c r="Q14" s="12"/>
      <c r="R14" s="12"/>
      <c r="V14" s="12"/>
      <c r="W14" s="12"/>
      <c r="X14" s="12"/>
      <c r="Y14" s="12"/>
      <c r="AC14" s="12"/>
      <c r="AD14" s="12"/>
      <c r="AE14" s="12"/>
      <c r="AF14" s="12"/>
      <c r="AJ14" s="12"/>
      <c r="AK14" s="12"/>
      <c r="AL14" s="12"/>
      <c r="AM14" s="12"/>
      <c r="AQ14" s="12"/>
      <c r="AR14" s="12">
        <v>0.5</v>
      </c>
      <c r="AS14" s="12"/>
      <c r="AT14" s="12">
        <v>0.5</v>
      </c>
      <c r="AX14" s="12"/>
      <c r="AY14" s="12"/>
      <c r="AZ14" s="12"/>
      <c r="BA14" s="12"/>
      <c r="BE14" s="12"/>
      <c r="BF14" s="12"/>
      <c r="BG14" s="12"/>
      <c r="BH14" s="12"/>
      <c r="BL14" s="12"/>
      <c r="BM14" s="12"/>
      <c r="BN14" s="12"/>
      <c r="BO14" s="12"/>
      <c r="BS14" s="12"/>
      <c r="BT14" s="12">
        <v>0.8</v>
      </c>
      <c r="BU14" s="12"/>
      <c r="BV14" s="12">
        <v>0.8</v>
      </c>
      <c r="BZ14" s="12"/>
      <c r="CA14" s="12"/>
      <c r="CB14" s="12"/>
      <c r="CC14" s="12"/>
      <c r="CG14" s="12"/>
      <c r="CH14" s="12"/>
      <c r="CI14" s="12"/>
      <c r="CJ14" s="12"/>
      <c r="CN14" s="12"/>
      <c r="CO14" s="12"/>
      <c r="CP14" s="12"/>
      <c r="CQ14" s="12"/>
      <c r="CU14" s="12"/>
      <c r="CV14" s="12"/>
      <c r="CW14" s="12"/>
      <c r="CX14" s="12"/>
      <c r="DB14" s="12"/>
      <c r="DC14" s="12">
        <v>1</v>
      </c>
      <c r="DD14" s="12"/>
      <c r="DE14" s="12">
        <v>1</v>
      </c>
      <c r="DI14" s="12"/>
      <c r="DJ14" s="12"/>
      <c r="DK14" s="12"/>
      <c r="DL14" s="12"/>
      <c r="DP14" s="12"/>
      <c r="DQ14" s="12"/>
      <c r="DR14" s="12"/>
      <c r="DS14" s="12"/>
      <c r="DW14" s="12"/>
      <c r="DX14" s="12"/>
      <c r="DY14" s="12"/>
      <c r="DZ14" s="12"/>
      <c r="ED14" s="12"/>
      <c r="EE14" s="12"/>
      <c r="EF14" s="12"/>
      <c r="EG14" s="12"/>
      <c r="EK14" s="12"/>
      <c r="EL14" s="12"/>
      <c r="EM14" s="12"/>
      <c r="EN14" s="12"/>
      <c r="ER14" s="12"/>
      <c r="ES14" s="12"/>
      <c r="ET14" s="12"/>
      <c r="EU14" s="12"/>
      <c r="EY14" s="21"/>
      <c r="EZ14" s="21"/>
      <c r="FA14" s="21"/>
      <c r="FB14" s="21"/>
      <c r="FF14" s="21"/>
      <c r="FG14" s="21"/>
      <c r="FH14" s="21"/>
      <c r="FI14" s="21"/>
    </row>
    <row r="15" spans="2:166">
      <c r="O15" s="9"/>
      <c r="V15" s="9"/>
      <c r="AC15" s="9"/>
      <c r="AJ15" s="9"/>
      <c r="AQ15" s="9"/>
      <c r="AX15" s="9"/>
      <c r="BE15" s="9"/>
      <c r="BL15" s="9"/>
      <c r="BS15" s="9"/>
      <c r="BZ15" s="9"/>
      <c r="CG15" s="9"/>
      <c r="CN15" s="9"/>
      <c r="CU15" s="9"/>
      <c r="DB15" s="9"/>
      <c r="DI15" s="9"/>
      <c r="DP15" s="9"/>
      <c r="DW15" s="9"/>
      <c r="ED15" s="9"/>
      <c r="EK15" s="9"/>
      <c r="ER15" s="9"/>
    </row>
    <row r="16" spans="2:166">
      <c r="B16" t="s">
        <v>27</v>
      </c>
      <c r="C16" t="s">
        <v>80</v>
      </c>
      <c r="E16" s="11">
        <v>9</v>
      </c>
      <c r="G16" s="12">
        <f>+SUM(G17:G23)</f>
        <v>1</v>
      </c>
      <c r="I16" s="14">
        <f>+SUM(I17:I23)</f>
        <v>0</v>
      </c>
      <c r="J16" s="13">
        <f>+SUMPRODUCT(G17:G23,J17:J23)</f>
        <v>0</v>
      </c>
      <c r="K16" s="13">
        <f>+SUMPRODUCT(G17:G23,K17:K23)</f>
        <v>0</v>
      </c>
      <c r="L16" s="11"/>
      <c r="N16" s="14">
        <f>+SUM(N17:N23)</f>
        <v>0</v>
      </c>
      <c r="U16" s="14">
        <f>+SUM(U17:U23)</f>
        <v>0</v>
      </c>
      <c r="AB16" s="14">
        <f>+SUM(AB17:AB23)</f>
        <v>0</v>
      </c>
      <c r="AI16" s="14">
        <f>+SUM(AI17:AI23)</f>
        <v>0</v>
      </c>
      <c r="AP16" s="14">
        <f>+SUM(AP17:AP23)</f>
        <v>0</v>
      </c>
    </row>
    <row r="17" spans="2:165" hidden="1" outlineLevel="1">
      <c r="B17" t="s">
        <v>28</v>
      </c>
      <c r="C17" t="s">
        <v>80</v>
      </c>
      <c r="E17" s="11"/>
      <c r="F17" t="s">
        <v>81</v>
      </c>
      <c r="G17" s="12">
        <v>0.15</v>
      </c>
      <c r="I17" s="11">
        <f t="shared" ref="I17:I23" si="2">+SUMIF($N$3:$ZZ$3,I$3,$N17:$ZZ17)</f>
        <v>0</v>
      </c>
      <c r="J17" s="13">
        <f t="shared" ref="J17:K23" si="3">+_xlfn.MAXIFS($N17:$ZF17,$N$3:$ZF$3,J$3)</f>
        <v>0</v>
      </c>
      <c r="K17" s="13">
        <f t="shared" si="3"/>
        <v>0</v>
      </c>
      <c r="L17" s="11"/>
      <c r="O17" s="12"/>
      <c r="P17" s="12"/>
      <c r="Q17" s="12"/>
      <c r="R17" s="12"/>
      <c r="V17" s="12"/>
      <c r="W17" s="12"/>
      <c r="X17" s="12"/>
      <c r="Y17" s="12"/>
      <c r="AC17" s="12"/>
      <c r="AD17" s="12"/>
      <c r="AE17" s="12"/>
      <c r="AF17" s="12"/>
      <c r="AJ17" s="12"/>
      <c r="AK17" s="12"/>
      <c r="AL17" s="12"/>
      <c r="AM17" s="12"/>
      <c r="AQ17" s="12"/>
      <c r="AR17" s="12"/>
      <c r="AS17" s="12"/>
      <c r="AT17" s="12"/>
      <c r="AX17" s="12"/>
      <c r="AY17" s="12"/>
      <c r="AZ17" s="12"/>
      <c r="BA17" s="12"/>
      <c r="BE17" s="12"/>
      <c r="BF17" s="12"/>
      <c r="BG17" s="12"/>
      <c r="BH17" s="12"/>
      <c r="BL17" s="12"/>
      <c r="BM17" s="12"/>
      <c r="BN17" s="12"/>
      <c r="BO17" s="12"/>
      <c r="BS17" s="12"/>
      <c r="BT17" s="12"/>
      <c r="BU17" s="12"/>
      <c r="BV17" s="12"/>
      <c r="BZ17" s="12"/>
      <c r="CA17" s="12"/>
      <c r="CB17" s="12"/>
      <c r="CC17" s="12"/>
      <c r="CG17" s="12"/>
      <c r="CH17" s="12"/>
      <c r="CI17" s="12"/>
      <c r="CJ17" s="12"/>
      <c r="CN17" s="12"/>
      <c r="CO17" s="12"/>
      <c r="CP17" s="12"/>
      <c r="CQ17" s="12"/>
      <c r="CU17" s="12"/>
      <c r="CV17" s="12"/>
      <c r="CW17" s="12"/>
      <c r="CX17" s="12"/>
      <c r="DB17" s="12"/>
      <c r="DC17" s="12">
        <v>1</v>
      </c>
      <c r="DD17" s="12"/>
      <c r="DE17" s="12">
        <v>1</v>
      </c>
      <c r="DI17" s="12"/>
      <c r="DJ17" s="12"/>
      <c r="DK17" s="12"/>
      <c r="DL17" s="12"/>
      <c r="DP17" s="12"/>
      <c r="DQ17" s="12"/>
      <c r="DR17" s="12"/>
      <c r="DS17" s="12"/>
      <c r="DW17" s="12"/>
      <c r="DX17" s="12"/>
      <c r="DY17" s="12"/>
      <c r="DZ17" s="12"/>
      <c r="ED17" s="12"/>
      <c r="EE17" s="12"/>
      <c r="EF17" s="12"/>
      <c r="EG17" s="12"/>
      <c r="EK17" s="12"/>
      <c r="EL17" s="12"/>
      <c r="EM17" s="12"/>
      <c r="EN17" s="12"/>
      <c r="ER17" s="12"/>
      <c r="ES17" s="12"/>
      <c r="ET17" s="12"/>
      <c r="EU17" s="12"/>
      <c r="EY17" s="21"/>
      <c r="EZ17" s="21"/>
      <c r="FA17" s="21"/>
      <c r="FB17" s="21"/>
      <c r="FF17" s="21"/>
      <c r="FG17" s="21"/>
      <c r="FH17" s="21"/>
      <c r="FI17" s="21"/>
    </row>
    <row r="18" spans="2:165" hidden="1" outlineLevel="1">
      <c r="B18" t="s">
        <v>28</v>
      </c>
      <c r="C18" t="s">
        <v>80</v>
      </c>
      <c r="E18" s="11"/>
      <c r="F18" t="s">
        <v>82</v>
      </c>
      <c r="G18" s="12">
        <v>0.15</v>
      </c>
      <c r="I18" s="11">
        <f t="shared" si="2"/>
        <v>0</v>
      </c>
      <c r="J18" s="13">
        <f t="shared" si="3"/>
        <v>0</v>
      </c>
      <c r="K18" s="13">
        <f t="shared" si="3"/>
        <v>0</v>
      </c>
      <c r="L18" s="11"/>
      <c r="O18" s="12"/>
      <c r="P18" s="12"/>
      <c r="Q18" s="12"/>
      <c r="R18" s="12"/>
      <c r="V18" s="12"/>
      <c r="W18" s="12"/>
      <c r="X18" s="12"/>
      <c r="Y18" s="12"/>
      <c r="AC18" s="12"/>
      <c r="AD18" s="12"/>
      <c r="AE18" s="12"/>
      <c r="AF18" s="12"/>
      <c r="AJ18" s="12"/>
      <c r="AK18" s="12"/>
      <c r="AL18" s="12"/>
      <c r="AM18" s="12"/>
      <c r="AQ18" s="12"/>
      <c r="AR18" s="12"/>
      <c r="AS18" s="12"/>
      <c r="AT18" s="12"/>
      <c r="AX18" s="12"/>
      <c r="AY18" s="12"/>
      <c r="AZ18" s="12"/>
      <c r="BA18" s="12"/>
      <c r="BE18" s="12"/>
      <c r="BF18" s="12"/>
      <c r="BG18" s="12"/>
      <c r="BH18" s="12"/>
      <c r="BL18" s="12"/>
      <c r="BM18" s="12"/>
      <c r="BN18" s="12"/>
      <c r="BO18" s="12"/>
      <c r="BS18" s="12"/>
      <c r="BT18" s="12"/>
      <c r="BU18" s="12"/>
      <c r="BV18" s="12"/>
      <c r="BZ18" s="12"/>
      <c r="CA18" s="12"/>
      <c r="CB18" s="12"/>
      <c r="CC18" s="12"/>
      <c r="CG18" s="12"/>
      <c r="CH18" s="12"/>
      <c r="CI18" s="12"/>
      <c r="CJ18" s="12"/>
      <c r="CN18" s="12"/>
      <c r="CO18" s="12"/>
      <c r="CP18" s="12"/>
      <c r="CQ18" s="12"/>
      <c r="CU18" s="12"/>
      <c r="CV18" s="12"/>
      <c r="CW18" s="12"/>
      <c r="CX18" s="12"/>
      <c r="DB18" s="12"/>
      <c r="DC18" s="12">
        <v>1</v>
      </c>
      <c r="DD18" s="12"/>
      <c r="DE18" s="12">
        <v>1</v>
      </c>
      <c r="DI18" s="12"/>
      <c r="DJ18" s="12"/>
      <c r="DK18" s="12"/>
      <c r="DL18" s="12"/>
      <c r="DP18" s="12"/>
      <c r="DQ18" s="12"/>
      <c r="DR18" s="12"/>
      <c r="DS18" s="12"/>
      <c r="DW18" s="12"/>
      <c r="DX18" s="12"/>
      <c r="DY18" s="12"/>
      <c r="DZ18" s="12"/>
      <c r="ED18" s="12"/>
      <c r="EE18" s="12"/>
      <c r="EF18" s="12"/>
      <c r="EG18" s="12"/>
      <c r="EK18" s="12"/>
      <c r="EL18" s="12"/>
      <c r="EM18" s="12"/>
      <c r="EN18" s="12"/>
      <c r="ER18" s="12"/>
      <c r="ES18" s="12"/>
      <c r="ET18" s="12"/>
      <c r="EU18" s="12"/>
      <c r="EY18" s="21"/>
      <c r="EZ18" s="21"/>
      <c r="FA18" s="21"/>
      <c r="FB18" s="21"/>
      <c r="FF18" s="21"/>
      <c r="FG18" s="21"/>
      <c r="FH18" s="21"/>
      <c r="FI18" s="21"/>
    </row>
    <row r="19" spans="2:165" hidden="1" outlineLevel="1">
      <c r="B19" t="s">
        <v>28</v>
      </c>
      <c r="C19" t="s">
        <v>80</v>
      </c>
      <c r="E19" s="11"/>
      <c r="F19" t="s">
        <v>83</v>
      </c>
      <c r="G19" s="12">
        <v>0.14000000000000001</v>
      </c>
      <c r="I19" s="11">
        <f t="shared" si="2"/>
        <v>0</v>
      </c>
      <c r="J19" s="13">
        <f t="shared" si="3"/>
        <v>0</v>
      </c>
      <c r="K19" s="13">
        <f t="shared" si="3"/>
        <v>0</v>
      </c>
      <c r="L19" s="11"/>
      <c r="O19" s="12"/>
      <c r="P19" s="12"/>
      <c r="Q19" s="12"/>
      <c r="R19" s="12"/>
      <c r="V19" s="12"/>
      <c r="W19" s="12"/>
      <c r="X19" s="12"/>
      <c r="Y19" s="12"/>
      <c r="AC19" s="12"/>
      <c r="AD19" s="12"/>
      <c r="AE19" s="12"/>
      <c r="AF19" s="12"/>
      <c r="AJ19" s="12"/>
      <c r="AK19" s="12"/>
      <c r="AL19" s="12"/>
      <c r="AM19" s="12"/>
      <c r="AQ19" s="12"/>
      <c r="AR19" s="12"/>
      <c r="AS19" s="12"/>
      <c r="AT19" s="12"/>
      <c r="AX19" s="12"/>
      <c r="AY19" s="12"/>
      <c r="AZ19" s="12"/>
      <c r="BA19" s="12"/>
      <c r="BE19" s="12"/>
      <c r="BF19" s="12"/>
      <c r="BG19" s="12"/>
      <c r="BH19" s="12"/>
      <c r="BL19" s="12"/>
      <c r="BM19" s="12"/>
      <c r="BN19" s="12"/>
      <c r="BO19" s="12"/>
      <c r="BS19" s="12"/>
      <c r="BT19" s="12"/>
      <c r="BU19" s="12"/>
      <c r="BV19" s="12"/>
      <c r="BZ19" s="12"/>
      <c r="CA19" s="12"/>
      <c r="CB19" s="12"/>
      <c r="CC19" s="12"/>
      <c r="CG19" s="12"/>
      <c r="CH19" s="12"/>
      <c r="CI19" s="12"/>
      <c r="CJ19" s="12"/>
      <c r="CN19" s="12"/>
      <c r="CO19" s="12"/>
      <c r="CP19" s="12"/>
      <c r="CQ19" s="12"/>
      <c r="CU19" s="12"/>
      <c r="CV19" s="12"/>
      <c r="CW19" s="12"/>
      <c r="CX19" s="12"/>
      <c r="DB19" s="12"/>
      <c r="DC19" s="12">
        <v>1</v>
      </c>
      <c r="DD19" s="12"/>
      <c r="DE19" s="12">
        <v>1</v>
      </c>
      <c r="DI19" s="12"/>
      <c r="DJ19" s="12"/>
      <c r="DK19" s="12"/>
      <c r="DL19" s="12"/>
      <c r="DP19" s="12"/>
      <c r="DQ19" s="12"/>
      <c r="DR19" s="12"/>
      <c r="DS19" s="12"/>
      <c r="DW19" s="12"/>
      <c r="DX19" s="12"/>
      <c r="DY19" s="12"/>
      <c r="DZ19" s="12"/>
      <c r="ED19" s="12"/>
      <c r="EE19" s="12"/>
      <c r="EF19" s="12"/>
      <c r="EG19" s="12"/>
      <c r="EK19" s="12"/>
      <c r="EL19" s="12"/>
      <c r="EM19" s="12"/>
      <c r="EN19" s="12"/>
      <c r="ER19" s="12"/>
      <c r="ES19" s="12"/>
      <c r="ET19" s="12"/>
      <c r="EU19" s="12"/>
      <c r="EY19" s="21"/>
      <c r="EZ19" s="21"/>
      <c r="FA19" s="21"/>
      <c r="FB19" s="21"/>
      <c r="FF19" s="21"/>
      <c r="FG19" s="21"/>
      <c r="FH19" s="21"/>
      <c r="FI19" s="21"/>
    </row>
    <row r="20" spans="2:165" hidden="1" outlineLevel="1">
      <c r="B20" t="s">
        <v>28</v>
      </c>
      <c r="C20" t="s">
        <v>80</v>
      </c>
      <c r="E20" s="11"/>
      <c r="F20" t="s">
        <v>84</v>
      </c>
      <c r="G20" s="12">
        <v>0.14000000000000001</v>
      </c>
      <c r="I20" s="11">
        <f t="shared" si="2"/>
        <v>0</v>
      </c>
      <c r="J20" s="13">
        <f t="shared" si="3"/>
        <v>0</v>
      </c>
      <c r="K20" s="13">
        <f t="shared" si="3"/>
        <v>0</v>
      </c>
      <c r="L20" s="11"/>
      <c r="O20" s="12"/>
      <c r="P20" s="12"/>
      <c r="Q20" s="12"/>
      <c r="R20" s="12"/>
      <c r="V20" s="12"/>
      <c r="W20" s="12"/>
      <c r="X20" s="12"/>
      <c r="Y20" s="12"/>
      <c r="AC20" s="12"/>
      <c r="AD20" s="12"/>
      <c r="AE20" s="12"/>
      <c r="AF20" s="12"/>
      <c r="AJ20" s="12"/>
      <c r="AK20" s="12"/>
      <c r="AL20" s="12"/>
      <c r="AM20" s="12"/>
      <c r="AQ20" s="12"/>
      <c r="AR20" s="12"/>
      <c r="AS20" s="12"/>
      <c r="AT20" s="12"/>
      <c r="AX20" s="12"/>
      <c r="AY20" s="12"/>
      <c r="AZ20" s="12"/>
      <c r="BA20" s="12"/>
      <c r="BE20" s="12"/>
      <c r="BF20" s="12"/>
      <c r="BG20" s="12"/>
      <c r="BH20" s="12"/>
      <c r="BL20" s="12"/>
      <c r="BM20" s="12"/>
      <c r="BN20" s="12"/>
      <c r="BO20" s="12"/>
      <c r="BS20" s="12"/>
      <c r="BT20" s="12"/>
      <c r="BU20" s="12"/>
      <c r="BV20" s="12"/>
      <c r="BZ20" s="12"/>
      <c r="CA20" s="12"/>
      <c r="CB20" s="12"/>
      <c r="CC20" s="12"/>
      <c r="CG20" s="12"/>
      <c r="CH20" s="12"/>
      <c r="CI20" s="12"/>
      <c r="CJ20" s="12"/>
      <c r="CN20" s="12"/>
      <c r="CO20" s="12"/>
      <c r="CP20" s="12"/>
      <c r="CQ20" s="12"/>
      <c r="CU20" s="12"/>
      <c r="CV20" s="12"/>
      <c r="CW20" s="12"/>
      <c r="CX20" s="12"/>
      <c r="DB20" s="12"/>
      <c r="DC20" s="12">
        <v>1</v>
      </c>
      <c r="DD20" s="12"/>
      <c r="DE20" s="12">
        <v>1</v>
      </c>
      <c r="DI20" s="12"/>
      <c r="DJ20" s="12"/>
      <c r="DK20" s="12"/>
      <c r="DL20" s="12"/>
      <c r="DP20" s="12"/>
      <c r="DQ20" s="12"/>
      <c r="DR20" s="12"/>
      <c r="DS20" s="12"/>
      <c r="DW20" s="12"/>
      <c r="DX20" s="12"/>
      <c r="DY20" s="12"/>
      <c r="DZ20" s="12"/>
      <c r="ED20" s="12"/>
      <c r="EE20" s="12"/>
      <c r="EF20" s="12"/>
      <c r="EG20" s="12"/>
      <c r="EK20" s="12"/>
      <c r="EL20" s="12"/>
      <c r="EM20" s="12"/>
      <c r="EN20" s="12"/>
      <c r="ER20" s="12"/>
      <c r="ES20" s="12"/>
      <c r="ET20" s="12"/>
      <c r="EU20" s="12"/>
      <c r="EY20" s="21"/>
      <c r="EZ20" s="21"/>
      <c r="FA20" s="21"/>
      <c r="FB20" s="21"/>
      <c r="FF20" s="21"/>
      <c r="FG20" s="21"/>
      <c r="FH20" s="21"/>
      <c r="FI20" s="21"/>
    </row>
    <row r="21" spans="2:165" hidden="1" outlineLevel="1">
      <c r="B21" t="s">
        <v>28</v>
      </c>
      <c r="C21" t="s">
        <v>80</v>
      </c>
      <c r="E21" s="11"/>
      <c r="F21" t="s">
        <v>85</v>
      </c>
      <c r="G21" s="12">
        <v>0.14000000000000001</v>
      </c>
      <c r="I21" s="11">
        <f t="shared" si="2"/>
        <v>0</v>
      </c>
      <c r="J21" s="13">
        <f t="shared" si="3"/>
        <v>0</v>
      </c>
      <c r="K21" s="13">
        <f t="shared" si="3"/>
        <v>0</v>
      </c>
      <c r="L21" s="11"/>
      <c r="O21" s="12"/>
      <c r="P21" s="12"/>
      <c r="Q21" s="12"/>
      <c r="R21" s="12"/>
      <c r="V21" s="12"/>
      <c r="W21" s="12"/>
      <c r="X21" s="12"/>
      <c r="Y21" s="12"/>
      <c r="AC21" s="12"/>
      <c r="AD21" s="12"/>
      <c r="AE21" s="12"/>
      <c r="AF21" s="12"/>
      <c r="AJ21" s="12"/>
      <c r="AK21" s="12"/>
      <c r="AL21" s="12"/>
      <c r="AM21" s="12"/>
      <c r="AQ21" s="12"/>
      <c r="AR21" s="12"/>
      <c r="AS21" s="12"/>
      <c r="AT21" s="12"/>
      <c r="AX21" s="12"/>
      <c r="AY21" s="12"/>
      <c r="AZ21" s="12"/>
      <c r="BA21" s="12"/>
      <c r="BE21" s="12"/>
      <c r="BF21" s="12"/>
      <c r="BG21" s="12"/>
      <c r="BH21" s="12"/>
      <c r="BL21" s="12"/>
      <c r="BM21" s="12"/>
      <c r="BN21" s="12"/>
      <c r="BO21" s="12"/>
      <c r="BS21" s="12"/>
      <c r="BT21" s="12"/>
      <c r="BU21" s="12"/>
      <c r="BV21" s="12"/>
      <c r="BZ21" s="12"/>
      <c r="CA21" s="12"/>
      <c r="CB21" s="12"/>
      <c r="CC21" s="12"/>
      <c r="CG21" s="12"/>
      <c r="CH21" s="12"/>
      <c r="CI21" s="12"/>
      <c r="CJ21" s="12"/>
      <c r="CN21" s="12"/>
      <c r="CO21" s="12"/>
      <c r="CP21" s="12"/>
      <c r="CQ21" s="12"/>
      <c r="CU21" s="12"/>
      <c r="CV21" s="12"/>
      <c r="CW21" s="12"/>
      <c r="CX21" s="12"/>
      <c r="DB21" s="12"/>
      <c r="DC21" s="12">
        <v>1</v>
      </c>
      <c r="DD21" s="12"/>
      <c r="DE21" s="12">
        <v>1</v>
      </c>
      <c r="DI21" s="12"/>
      <c r="DJ21" s="12"/>
      <c r="DK21" s="12"/>
      <c r="DL21" s="12"/>
      <c r="DP21" s="12"/>
      <c r="DQ21" s="12"/>
      <c r="DR21" s="12"/>
      <c r="DS21" s="12"/>
      <c r="DW21" s="12"/>
      <c r="DX21" s="12"/>
      <c r="DY21" s="12"/>
      <c r="DZ21" s="12"/>
      <c r="ED21" s="12"/>
      <c r="EE21" s="12"/>
      <c r="EF21" s="12"/>
      <c r="EG21" s="12"/>
      <c r="EK21" s="12"/>
      <c r="EL21" s="12"/>
      <c r="EM21" s="12"/>
      <c r="EN21" s="12"/>
      <c r="ER21" s="12"/>
      <c r="ES21" s="12"/>
      <c r="ET21" s="12"/>
      <c r="EU21" s="12"/>
      <c r="EY21" s="21"/>
      <c r="EZ21" s="21"/>
      <c r="FA21" s="21"/>
      <c r="FB21" s="21"/>
      <c r="FF21" s="21"/>
      <c r="FG21" s="21"/>
      <c r="FH21" s="21"/>
      <c r="FI21" s="21"/>
    </row>
    <row r="22" spans="2:165" hidden="1" outlineLevel="1">
      <c r="B22" t="s">
        <v>28</v>
      </c>
      <c r="C22" t="s">
        <v>80</v>
      </c>
      <c r="E22" s="11"/>
      <c r="F22" t="s">
        <v>86</v>
      </c>
      <c r="G22" s="12">
        <v>0.14000000000000001</v>
      </c>
      <c r="I22" s="11">
        <f t="shared" si="2"/>
        <v>0</v>
      </c>
      <c r="J22" s="13">
        <f t="shared" si="3"/>
        <v>0</v>
      </c>
      <c r="K22" s="13">
        <f t="shared" si="3"/>
        <v>0</v>
      </c>
      <c r="L22" s="11"/>
      <c r="O22" s="12"/>
      <c r="P22" s="12"/>
      <c r="Q22" s="12"/>
      <c r="R22" s="12"/>
      <c r="V22" s="12"/>
      <c r="W22" s="12"/>
      <c r="X22" s="12"/>
      <c r="Y22" s="12"/>
      <c r="AC22" s="12"/>
      <c r="AD22" s="12"/>
      <c r="AE22" s="12"/>
      <c r="AF22" s="12"/>
      <c r="AJ22" s="12"/>
      <c r="AK22" s="12"/>
      <c r="AL22" s="12"/>
      <c r="AM22" s="12"/>
      <c r="AQ22" s="12"/>
      <c r="AR22" s="12"/>
      <c r="AS22" s="12"/>
      <c r="AT22" s="12"/>
      <c r="AX22" s="12"/>
      <c r="AY22" s="12"/>
      <c r="AZ22" s="12"/>
      <c r="BA22" s="12"/>
      <c r="BE22" s="12"/>
      <c r="BF22" s="12"/>
      <c r="BG22" s="12"/>
      <c r="BH22" s="12"/>
      <c r="BL22" s="12"/>
      <c r="BM22" s="12"/>
      <c r="BN22" s="12"/>
      <c r="BO22" s="12"/>
      <c r="BS22" s="12"/>
      <c r="BT22" s="12"/>
      <c r="BU22" s="12"/>
      <c r="BV22" s="12"/>
      <c r="BZ22" s="12"/>
      <c r="CA22" s="12"/>
      <c r="CB22" s="12"/>
      <c r="CC22" s="12"/>
      <c r="CG22" s="12"/>
      <c r="CH22" s="12"/>
      <c r="CI22" s="12"/>
      <c r="CJ22" s="12"/>
      <c r="CN22" s="12"/>
      <c r="CO22" s="12"/>
      <c r="CP22" s="12"/>
      <c r="CQ22" s="12"/>
      <c r="CU22" s="12"/>
      <c r="CV22" s="12"/>
      <c r="CW22" s="12"/>
      <c r="CX22" s="12"/>
      <c r="DB22" s="12"/>
      <c r="DC22" s="12">
        <v>1</v>
      </c>
      <c r="DD22" s="12"/>
      <c r="DE22" s="12">
        <v>1</v>
      </c>
      <c r="DI22" s="12"/>
      <c r="DJ22" s="12"/>
      <c r="DK22" s="12"/>
      <c r="DL22" s="12"/>
      <c r="DP22" s="12"/>
      <c r="DQ22" s="12"/>
      <c r="DR22" s="12"/>
      <c r="DS22" s="12"/>
      <c r="DW22" s="12"/>
      <c r="DX22" s="12"/>
      <c r="DY22" s="12"/>
      <c r="DZ22" s="12"/>
      <c r="ED22" s="12"/>
      <c r="EE22" s="12"/>
      <c r="EF22" s="12"/>
      <c r="EG22" s="12"/>
      <c r="EK22" s="12"/>
      <c r="EL22" s="12"/>
      <c r="EM22" s="12"/>
      <c r="EN22" s="12"/>
      <c r="ER22" s="12"/>
      <c r="ES22" s="12"/>
      <c r="ET22" s="12"/>
      <c r="EU22" s="12"/>
      <c r="EY22" s="21"/>
      <c r="EZ22" s="21"/>
      <c r="FA22" s="21"/>
      <c r="FB22" s="21"/>
      <c r="FF22" s="21"/>
      <c r="FG22" s="21"/>
      <c r="FH22" s="21"/>
      <c r="FI22" s="21"/>
    </row>
    <row r="23" spans="2:165" hidden="1" outlineLevel="1">
      <c r="B23" t="s">
        <v>28</v>
      </c>
      <c r="C23" t="s">
        <v>80</v>
      </c>
      <c r="E23" s="11"/>
      <c r="F23" t="s">
        <v>87</v>
      </c>
      <c r="G23" s="12">
        <v>0.14000000000000001</v>
      </c>
      <c r="I23" s="11">
        <f t="shared" si="2"/>
        <v>0</v>
      </c>
      <c r="J23" s="13">
        <f t="shared" si="3"/>
        <v>0</v>
      </c>
      <c r="K23" s="13">
        <f t="shared" si="3"/>
        <v>0</v>
      </c>
      <c r="L23" s="11"/>
      <c r="O23" s="12"/>
      <c r="P23" s="12"/>
      <c r="Q23" s="12"/>
      <c r="R23" s="12"/>
      <c r="V23" s="12"/>
      <c r="W23" s="12"/>
      <c r="X23" s="12"/>
      <c r="Y23" s="12"/>
      <c r="AC23" s="12"/>
      <c r="AD23" s="12"/>
      <c r="AE23" s="12"/>
      <c r="AF23" s="12"/>
      <c r="AJ23" s="12"/>
      <c r="AK23" s="12"/>
      <c r="AL23" s="12"/>
      <c r="AM23" s="12"/>
      <c r="AQ23" s="12"/>
      <c r="AR23" s="12"/>
      <c r="AS23" s="12"/>
      <c r="AT23" s="12"/>
      <c r="AX23" s="12"/>
      <c r="AY23" s="12"/>
      <c r="AZ23" s="12"/>
      <c r="BA23" s="12"/>
      <c r="BE23" s="12"/>
      <c r="BF23" s="12"/>
      <c r="BG23" s="12"/>
      <c r="BH23" s="12"/>
      <c r="BL23" s="12"/>
      <c r="BM23" s="12"/>
      <c r="BN23" s="12"/>
      <c r="BO23" s="12"/>
      <c r="BS23" s="12"/>
      <c r="BT23" s="12"/>
      <c r="BU23" s="12"/>
      <c r="BV23" s="12"/>
      <c r="BZ23" s="12"/>
      <c r="CA23" s="12"/>
      <c r="CB23" s="12"/>
      <c r="CC23" s="12"/>
      <c r="CG23" s="12"/>
      <c r="CH23" s="12"/>
      <c r="CI23" s="12"/>
      <c r="CJ23" s="12"/>
      <c r="CN23" s="12"/>
      <c r="CO23" s="12"/>
      <c r="CP23" s="12"/>
      <c r="CQ23" s="12"/>
      <c r="CU23" s="12"/>
      <c r="CV23" s="12"/>
      <c r="CW23" s="12"/>
      <c r="CX23" s="12"/>
      <c r="DB23" s="12"/>
      <c r="DC23" s="12">
        <v>1</v>
      </c>
      <c r="DD23" s="12"/>
      <c r="DE23" s="12">
        <v>1</v>
      </c>
      <c r="DI23" s="12"/>
      <c r="DJ23" s="12"/>
      <c r="DK23" s="12"/>
      <c r="DL23" s="12"/>
      <c r="DP23" s="12"/>
      <c r="DQ23" s="12"/>
      <c r="DR23" s="12"/>
      <c r="DS23" s="12"/>
      <c r="DW23" s="12"/>
      <c r="DX23" s="12"/>
      <c r="DY23" s="12"/>
      <c r="DZ23" s="12"/>
      <c r="ED23" s="12"/>
      <c r="EE23" s="12"/>
      <c r="EF23" s="12"/>
      <c r="EG23" s="12"/>
      <c r="EK23" s="12"/>
      <c r="EL23" s="12"/>
      <c r="EM23" s="12"/>
      <c r="EN23" s="12"/>
      <c r="ER23" s="12"/>
      <c r="ES23" s="12"/>
      <c r="ET23" s="12"/>
      <c r="EU23" s="12"/>
      <c r="EY23" s="21"/>
      <c r="EZ23" s="21"/>
      <c r="FA23" s="21"/>
      <c r="FB23" s="21"/>
      <c r="FF23" s="21"/>
      <c r="FG23" s="21"/>
      <c r="FH23" s="21"/>
      <c r="FI23" s="21"/>
    </row>
    <row r="24" spans="2:165" collapsed="1"/>
    <row r="25" spans="2:165">
      <c r="B25" t="s">
        <v>27</v>
      </c>
      <c r="C25" t="s">
        <v>88</v>
      </c>
      <c r="E25" s="11">
        <v>6</v>
      </c>
      <c r="G25" s="12">
        <f>+SUM(G26:G26)</f>
        <v>1</v>
      </c>
      <c r="I25" s="14">
        <f>+SUM(I26:I26)</f>
        <v>0</v>
      </c>
      <c r="J25" s="13">
        <f>+SUMPRODUCT(G26:G26,J26:J26)</f>
        <v>0</v>
      </c>
      <c r="K25" s="13">
        <f>+SUMPRODUCT(G26:G26,K26:K26)</f>
        <v>0</v>
      </c>
      <c r="L25" s="11"/>
      <c r="N25" s="14">
        <f>+SUM(N26:N26)</f>
        <v>0</v>
      </c>
      <c r="U25" s="14">
        <f>+SUM(U26:U26)</f>
        <v>0</v>
      </c>
      <c r="AB25" s="14">
        <f>+SUM(AB26:AB26)</f>
        <v>0</v>
      </c>
      <c r="AI25" s="14">
        <f>+SUM(AI26:AI26)</f>
        <v>0</v>
      </c>
      <c r="AP25" s="14">
        <f>+SUM(AP26:AP26)</f>
        <v>0</v>
      </c>
      <c r="AW25" s="14">
        <f>+SUM(AW26:AW26)</f>
        <v>0</v>
      </c>
      <c r="BD25" s="14">
        <f>+SUM(BD26:BD26)</f>
        <v>0</v>
      </c>
      <c r="BK25" s="14">
        <f>+SUM(BK26:BK26)</f>
        <v>0</v>
      </c>
      <c r="BR25" s="14">
        <f>+SUM(BR26:BR26)</f>
        <v>0</v>
      </c>
      <c r="BY25" s="14">
        <f>+SUM(BY26:BY26)</f>
        <v>0</v>
      </c>
      <c r="CF25" s="14">
        <f>+SUM(CF26:CF26)</f>
        <v>0</v>
      </c>
      <c r="CM25" s="14">
        <f>+SUM(CM26:CM26)</f>
        <v>0</v>
      </c>
      <c r="CT25" s="14">
        <f>+SUM(CT26:CT26)</f>
        <v>0</v>
      </c>
      <c r="DA25" s="14">
        <f>+SUM(DA26:DA26)</f>
        <v>0</v>
      </c>
      <c r="DH25" s="14">
        <f>+SUM(DH26:DH26)</f>
        <v>0</v>
      </c>
      <c r="DO25" s="14">
        <f>+SUM(DO26:DO26)</f>
        <v>0</v>
      </c>
      <c r="DV25" s="14">
        <f>+SUM(DV26:DV26)</f>
        <v>0</v>
      </c>
      <c r="EC25" s="14">
        <f>+SUM(EC26:EC26)</f>
        <v>0</v>
      </c>
      <c r="EJ25" s="14">
        <f>+SUM(EJ26:EJ26)</f>
        <v>0</v>
      </c>
      <c r="EQ25" s="14">
        <f>+SUM(EQ26:EQ26)</f>
        <v>0</v>
      </c>
      <c r="EX25" s="20"/>
      <c r="FE25" s="20"/>
    </row>
    <row r="26" spans="2:165" hidden="1" outlineLevel="1">
      <c r="B26" t="s">
        <v>28</v>
      </c>
      <c r="C26" t="s">
        <v>90</v>
      </c>
      <c r="E26" s="11"/>
      <c r="F26" t="s">
        <v>89</v>
      </c>
      <c r="G26" s="12">
        <v>1</v>
      </c>
      <c r="I26" s="11">
        <f>+SUMIF($N$3:$ZZ$3,I$3,$N26:$ZZ26)</f>
        <v>0</v>
      </c>
      <c r="J26" s="13">
        <f t="shared" ref="J26:K26" si="4">+_xlfn.MAXIFS($N26:$ZF26,$N$3:$ZF$3,J$3)</f>
        <v>0</v>
      </c>
      <c r="K26" s="13">
        <f t="shared" si="4"/>
        <v>0</v>
      </c>
      <c r="L26" s="11"/>
      <c r="O26" s="12"/>
      <c r="P26" s="12"/>
      <c r="Q26" s="12"/>
      <c r="R26" s="12"/>
      <c r="V26" s="12"/>
      <c r="W26" s="12"/>
      <c r="X26" s="12"/>
      <c r="Y26" s="12"/>
      <c r="AC26" s="12"/>
      <c r="AD26" s="12"/>
      <c r="AE26" s="12"/>
      <c r="AF26" s="12"/>
      <c r="AJ26" s="12"/>
      <c r="AK26" s="12">
        <v>1</v>
      </c>
      <c r="AL26" s="12"/>
      <c r="AM26" s="12">
        <v>1</v>
      </c>
      <c r="AQ26" s="12"/>
      <c r="AR26" s="12"/>
      <c r="AS26" s="12"/>
      <c r="AT26" s="12"/>
      <c r="AX26" s="12"/>
      <c r="AY26" s="12"/>
      <c r="AZ26" s="12"/>
      <c r="BA26" s="12"/>
      <c r="BE26" s="12"/>
      <c r="BF26" s="12"/>
      <c r="BG26" s="12"/>
      <c r="BH26" s="12"/>
      <c r="BL26" s="12"/>
      <c r="BM26" s="12"/>
      <c r="BN26" s="12"/>
      <c r="BO26" s="12"/>
      <c r="BS26" s="12"/>
      <c r="BT26" s="12"/>
      <c r="BU26" s="12"/>
      <c r="BV26" s="12"/>
      <c r="BZ26" s="12"/>
      <c r="CA26" s="12"/>
      <c r="CB26" s="12"/>
      <c r="CC26" s="12"/>
      <c r="CG26" s="12"/>
      <c r="CH26" s="12"/>
      <c r="CI26" s="12"/>
      <c r="CJ26" s="12"/>
      <c r="CN26" s="12"/>
      <c r="CO26" s="12"/>
      <c r="CP26" s="12"/>
      <c r="CQ26" s="12"/>
      <c r="CU26" s="12"/>
      <c r="CV26" s="12"/>
      <c r="CW26" s="12"/>
      <c r="CX26" s="12"/>
      <c r="DB26" s="12"/>
      <c r="DC26" s="12"/>
      <c r="DD26" s="12"/>
      <c r="DE26" s="12"/>
      <c r="DI26" s="12"/>
      <c r="DJ26" s="12"/>
      <c r="DK26" s="12"/>
      <c r="DL26" s="12"/>
      <c r="DP26" s="12"/>
      <c r="DQ26" s="12"/>
      <c r="DR26" s="12"/>
      <c r="DS26" s="12"/>
      <c r="DW26" s="12"/>
      <c r="DX26" s="12"/>
      <c r="DY26" s="12"/>
      <c r="DZ26" s="12"/>
      <c r="ED26" s="12"/>
      <c r="EE26" s="12"/>
      <c r="EF26" s="12"/>
      <c r="EG26" s="12"/>
      <c r="EK26" s="12"/>
      <c r="EL26" s="12"/>
      <c r="EM26" s="12"/>
      <c r="EN26" s="12"/>
      <c r="ER26" s="12"/>
      <c r="ES26" s="12"/>
      <c r="ET26" s="12"/>
      <c r="EU26" s="12"/>
      <c r="EY26" s="21"/>
      <c r="EZ26" s="21"/>
      <c r="FA26" s="21"/>
      <c r="FB26" s="21"/>
      <c r="FF26" s="21"/>
      <c r="FG26" s="21"/>
      <c r="FH26" s="21"/>
      <c r="FI26" s="21"/>
    </row>
    <row r="27" spans="2:165" collapsed="1">
      <c r="O27" s="9"/>
      <c r="V27" s="9"/>
      <c r="AC27" s="9"/>
      <c r="AJ27" s="9"/>
      <c r="AQ27" s="9"/>
      <c r="AX27" s="9"/>
      <c r="BE27" s="9"/>
      <c r="BL27" s="9"/>
      <c r="BS27" s="9"/>
      <c r="BZ27" s="9"/>
      <c r="CG27" s="9"/>
      <c r="CN27" s="9"/>
      <c r="CU27" s="9"/>
      <c r="DB27" s="9"/>
      <c r="DI27" s="9"/>
      <c r="DP27" s="9"/>
      <c r="DW27" s="9"/>
      <c r="ED27" s="9"/>
      <c r="EK27" s="9"/>
      <c r="ER27" s="9"/>
    </row>
    <row r="28" spans="2:165">
      <c r="B28" t="s">
        <v>27</v>
      </c>
      <c r="C28" t="s">
        <v>91</v>
      </c>
      <c r="E28" s="11">
        <v>6</v>
      </c>
      <c r="G28" s="12">
        <f>+SUM(G29:G41)</f>
        <v>1.0000000000000002</v>
      </c>
      <c r="I28" s="14">
        <f>+SUM(I29:I41)</f>
        <v>0</v>
      </c>
      <c r="J28" s="13">
        <f>+SUMPRODUCT(G29:G41,J29:J41)</f>
        <v>0</v>
      </c>
      <c r="K28" s="13">
        <f>+SUMPRODUCT(G29:G41,K29:K41)</f>
        <v>0</v>
      </c>
      <c r="L28" s="11"/>
      <c r="N28" s="14">
        <f>+SUM(N29:N41)</f>
        <v>0</v>
      </c>
      <c r="U28" s="14">
        <f>+SUM(U29:U41)</f>
        <v>0</v>
      </c>
      <c r="AB28" s="14">
        <f>+SUM(AB29:AB41)</f>
        <v>0</v>
      </c>
      <c r="AI28" s="14">
        <f>+SUM(AI29:AI41)</f>
        <v>0</v>
      </c>
      <c r="AP28" s="14">
        <f>+SUM(AP29:AP41)</f>
        <v>0</v>
      </c>
      <c r="AW28" s="14">
        <f>+SUM(AW29:AW41)</f>
        <v>0</v>
      </c>
      <c r="BD28" s="14">
        <f>+SUM(BD29:BD41)</f>
        <v>0</v>
      </c>
      <c r="BK28" s="14">
        <f>+SUM(BK29:BK41)</f>
        <v>0</v>
      </c>
      <c r="BR28" s="14">
        <f>+SUM(BR29:BR41)</f>
        <v>0</v>
      </c>
      <c r="BY28" s="14">
        <f>+SUM(BY29:BY41)</f>
        <v>0</v>
      </c>
      <c r="CF28" s="14">
        <f>+SUM(CF29:CF41)</f>
        <v>0</v>
      </c>
      <c r="CM28" s="14">
        <f>+SUM(CM29:CM41)</f>
        <v>0</v>
      </c>
      <c r="CT28" s="14">
        <f>+SUM(CT29:CT41)</f>
        <v>0</v>
      </c>
      <c r="DA28" s="14">
        <f>+SUM(DA29:DA41)</f>
        <v>0</v>
      </c>
      <c r="DH28" s="14">
        <f>+SUM(DH29:DH41)</f>
        <v>0</v>
      </c>
      <c r="DO28" s="14">
        <f>+SUM(DO29:DO41)</f>
        <v>0</v>
      </c>
      <c r="DV28" s="14">
        <f>+SUM(DV29:DV41)</f>
        <v>0</v>
      </c>
      <c r="EC28" s="14">
        <f>+SUM(EC29:EC41)</f>
        <v>0</v>
      </c>
      <c r="EJ28" s="14">
        <f>+SUM(EJ29:EJ41)</f>
        <v>0</v>
      </c>
      <c r="EQ28" s="14">
        <f>+SUM(EQ29:EQ41)</f>
        <v>0</v>
      </c>
      <c r="EX28" s="20"/>
      <c r="FE28" s="20"/>
    </row>
    <row r="29" spans="2:165" hidden="1" outlineLevel="1">
      <c r="B29" t="s">
        <v>28</v>
      </c>
      <c r="C29" t="s">
        <v>91</v>
      </c>
      <c r="E29" s="11"/>
      <c r="F29" t="s">
        <v>92</v>
      </c>
      <c r="G29" s="12">
        <v>0.08</v>
      </c>
      <c r="I29" s="11">
        <f>+SUMIF($N$3:$ZZ$3,I$3,$N29:$ZZ29)</f>
        <v>0</v>
      </c>
      <c r="J29" s="13">
        <f t="shared" ref="J29:K41" si="5">+_xlfn.MAXIFS($N29:$ZF29,$N$3:$ZF$3,J$3)</f>
        <v>0</v>
      </c>
      <c r="K29" s="13">
        <f t="shared" si="5"/>
        <v>0</v>
      </c>
      <c r="L29" s="11"/>
      <c r="O29" s="12"/>
      <c r="P29" s="12"/>
      <c r="Q29" s="12"/>
      <c r="R29" s="12"/>
      <c r="V29" s="12"/>
      <c r="W29" s="12"/>
      <c r="X29" s="12"/>
      <c r="Y29" s="12"/>
      <c r="AC29" s="12"/>
      <c r="AD29" s="12"/>
      <c r="AE29" s="12"/>
      <c r="AF29" s="12"/>
      <c r="AJ29" s="12"/>
      <c r="AK29" s="12"/>
      <c r="AL29" s="12"/>
      <c r="AM29" s="12"/>
      <c r="AQ29" s="12"/>
      <c r="AR29" s="12"/>
      <c r="AS29" s="12"/>
      <c r="AT29" s="12"/>
      <c r="AX29" s="12"/>
      <c r="AY29" s="12"/>
      <c r="AZ29" s="12"/>
      <c r="BA29" s="12"/>
      <c r="BE29" s="12"/>
      <c r="BF29" s="12"/>
      <c r="BG29" s="12"/>
      <c r="BH29" s="12"/>
      <c r="BL29" s="12"/>
      <c r="BM29" s="12"/>
      <c r="BN29" s="12"/>
      <c r="BO29" s="12"/>
      <c r="BS29" s="12"/>
      <c r="BT29" s="12"/>
      <c r="BU29" s="12"/>
      <c r="BV29" s="12"/>
      <c r="BZ29" s="12"/>
      <c r="CA29" s="12"/>
      <c r="CB29" s="12"/>
      <c r="CC29" s="12"/>
      <c r="CG29" s="12"/>
      <c r="CH29" s="12"/>
      <c r="CI29" s="12"/>
      <c r="CJ29" s="12"/>
      <c r="CN29" s="12"/>
      <c r="CO29" s="12"/>
      <c r="CP29" s="12"/>
      <c r="CQ29" s="12"/>
      <c r="CU29" s="12"/>
      <c r="CV29" s="12"/>
      <c r="CW29" s="12"/>
      <c r="CX29" s="12"/>
      <c r="DB29" s="12"/>
      <c r="DC29" s="12">
        <v>1</v>
      </c>
      <c r="DD29" s="12"/>
      <c r="DE29" s="12">
        <v>1</v>
      </c>
      <c r="DI29" s="12"/>
      <c r="DJ29" s="12"/>
      <c r="DK29" s="12"/>
      <c r="DL29" s="12"/>
      <c r="DP29" s="12"/>
      <c r="DQ29" s="12"/>
      <c r="DR29" s="12"/>
      <c r="DS29" s="12"/>
      <c r="DW29" s="12"/>
      <c r="DX29" s="12"/>
      <c r="DY29" s="12"/>
      <c r="DZ29" s="12"/>
      <c r="ED29" s="12"/>
      <c r="EE29" s="12"/>
      <c r="EF29" s="12"/>
      <c r="EG29" s="12"/>
      <c r="EK29" s="12"/>
      <c r="EL29" s="12"/>
      <c r="EM29" s="12"/>
      <c r="EN29" s="12"/>
      <c r="ER29" s="12"/>
      <c r="ES29" s="12"/>
      <c r="ET29" s="12"/>
      <c r="EU29" s="12"/>
      <c r="EY29" s="21"/>
      <c r="EZ29" s="21"/>
      <c r="FA29" s="21"/>
      <c r="FB29" s="21"/>
      <c r="FF29" s="21"/>
      <c r="FG29" s="21"/>
      <c r="FH29" s="21"/>
      <c r="FI29" s="21"/>
    </row>
    <row r="30" spans="2:165" hidden="1" outlineLevel="1">
      <c r="B30" t="s">
        <v>28</v>
      </c>
      <c r="C30" t="s">
        <v>91</v>
      </c>
      <c r="E30" s="11"/>
      <c r="F30" t="s">
        <v>93</v>
      </c>
      <c r="G30" s="12">
        <v>0.08</v>
      </c>
      <c r="I30" s="11">
        <f t="shared" ref="I30:I40" si="6">+SUMIF($N$3:$ZZ$3,I$3,$N30:$ZZ30)</f>
        <v>0</v>
      </c>
      <c r="J30" s="13">
        <f t="shared" si="5"/>
        <v>0</v>
      </c>
      <c r="K30" s="13">
        <f t="shared" si="5"/>
        <v>0</v>
      </c>
      <c r="L30" s="11"/>
      <c r="O30" s="12"/>
      <c r="P30" s="12"/>
      <c r="Q30" s="12"/>
      <c r="R30" s="12"/>
      <c r="V30" s="12"/>
      <c r="W30" s="12"/>
      <c r="X30" s="12"/>
      <c r="Y30" s="12"/>
      <c r="AC30" s="12"/>
      <c r="AD30" s="12"/>
      <c r="AE30" s="12"/>
      <c r="AF30" s="12"/>
      <c r="AJ30" s="12"/>
      <c r="AK30" s="12"/>
      <c r="AL30" s="12"/>
      <c r="AM30" s="12"/>
      <c r="AQ30" s="12"/>
      <c r="AR30" s="12"/>
      <c r="AS30" s="12"/>
      <c r="AT30" s="12"/>
      <c r="AX30" s="12"/>
      <c r="AY30" s="12"/>
      <c r="AZ30" s="12"/>
      <c r="BA30" s="12"/>
      <c r="BE30" s="12"/>
      <c r="BF30" s="12"/>
      <c r="BG30" s="12"/>
      <c r="BH30" s="12"/>
      <c r="BL30" s="12"/>
      <c r="BM30" s="12"/>
      <c r="BN30" s="12"/>
      <c r="BO30" s="12"/>
      <c r="BS30" s="12"/>
      <c r="BT30" s="12"/>
      <c r="BU30" s="12"/>
      <c r="BV30" s="12"/>
      <c r="BZ30" s="12"/>
      <c r="CA30" s="12"/>
      <c r="CB30" s="12"/>
      <c r="CC30" s="12"/>
      <c r="CG30" s="12"/>
      <c r="CH30" s="12"/>
      <c r="CI30" s="12"/>
      <c r="CJ30" s="12"/>
      <c r="CN30" s="12"/>
      <c r="CO30" s="12"/>
      <c r="CP30" s="12"/>
      <c r="CQ30" s="12"/>
      <c r="CU30" s="12"/>
      <c r="CV30" s="12"/>
      <c r="CW30" s="12"/>
      <c r="CX30" s="12"/>
      <c r="DB30" s="12"/>
      <c r="DC30" s="12">
        <v>1</v>
      </c>
      <c r="DD30" s="12"/>
      <c r="DE30" s="12">
        <v>1</v>
      </c>
      <c r="DI30" s="12"/>
      <c r="DJ30" s="12"/>
      <c r="DK30" s="12"/>
      <c r="DL30" s="12"/>
      <c r="DP30" s="12"/>
      <c r="DQ30" s="12"/>
      <c r="DR30" s="12"/>
      <c r="DS30" s="12"/>
      <c r="DW30" s="12"/>
      <c r="DX30" s="12"/>
      <c r="DY30" s="12"/>
      <c r="DZ30" s="12"/>
      <c r="ED30" s="12"/>
      <c r="EE30" s="12"/>
      <c r="EF30" s="12"/>
      <c r="EG30" s="12"/>
      <c r="EK30" s="12"/>
      <c r="EL30" s="12"/>
      <c r="EM30" s="12"/>
      <c r="EN30" s="12"/>
      <c r="ER30" s="12"/>
      <c r="ES30" s="12"/>
      <c r="ET30" s="12"/>
      <c r="EU30" s="12"/>
      <c r="EY30" s="21"/>
      <c r="EZ30" s="21"/>
      <c r="FA30" s="21"/>
      <c r="FB30" s="21"/>
      <c r="FF30" s="21"/>
      <c r="FG30" s="21"/>
      <c r="FH30" s="21"/>
      <c r="FI30" s="21"/>
    </row>
    <row r="31" spans="2:165" hidden="1" outlineLevel="1">
      <c r="B31" t="s">
        <v>28</v>
      </c>
      <c r="C31" t="s">
        <v>91</v>
      </c>
      <c r="E31" s="11"/>
      <c r="F31" t="s">
        <v>94</v>
      </c>
      <c r="G31" s="12">
        <v>0.08</v>
      </c>
      <c r="I31" s="11">
        <f t="shared" si="6"/>
        <v>0</v>
      </c>
      <c r="J31" s="13">
        <f t="shared" si="5"/>
        <v>0</v>
      </c>
      <c r="K31" s="13">
        <f t="shared" si="5"/>
        <v>0</v>
      </c>
      <c r="L31" s="11"/>
      <c r="O31" s="12"/>
      <c r="P31" s="12"/>
      <c r="Q31" s="12"/>
      <c r="R31" s="12"/>
      <c r="V31" s="12"/>
      <c r="W31" s="12"/>
      <c r="X31" s="12"/>
      <c r="Y31" s="12"/>
      <c r="AC31" s="12"/>
      <c r="AD31" s="12"/>
      <c r="AE31" s="12"/>
      <c r="AF31" s="12"/>
      <c r="AJ31" s="12"/>
      <c r="AK31" s="12"/>
      <c r="AL31" s="12"/>
      <c r="AM31" s="12"/>
      <c r="AQ31" s="12"/>
      <c r="AR31" s="12"/>
      <c r="AS31" s="12"/>
      <c r="AT31" s="12"/>
      <c r="AX31" s="12"/>
      <c r="AY31" s="12"/>
      <c r="AZ31" s="12"/>
      <c r="BA31" s="12"/>
      <c r="BE31" s="12"/>
      <c r="BF31" s="12"/>
      <c r="BG31" s="12"/>
      <c r="BH31" s="12"/>
      <c r="BL31" s="12"/>
      <c r="BM31" s="12"/>
      <c r="BN31" s="12"/>
      <c r="BO31" s="12"/>
      <c r="BS31" s="12"/>
      <c r="BT31" s="12"/>
      <c r="BU31" s="12"/>
      <c r="BV31" s="12"/>
      <c r="BZ31" s="12"/>
      <c r="CA31" s="12"/>
      <c r="CB31" s="12"/>
      <c r="CC31" s="12"/>
      <c r="CG31" s="12"/>
      <c r="CH31" s="12"/>
      <c r="CI31" s="12"/>
      <c r="CJ31" s="12"/>
      <c r="CN31" s="12"/>
      <c r="CO31" s="12"/>
      <c r="CP31" s="12"/>
      <c r="CQ31" s="12"/>
      <c r="CU31" s="12"/>
      <c r="CV31" s="12"/>
      <c r="CW31" s="12"/>
      <c r="CX31" s="12"/>
      <c r="DB31" s="12"/>
      <c r="DC31" s="12">
        <v>1</v>
      </c>
      <c r="DD31" s="12"/>
      <c r="DE31" s="12">
        <v>1</v>
      </c>
      <c r="DI31" s="12"/>
      <c r="DJ31" s="12"/>
      <c r="DK31" s="12"/>
      <c r="DL31" s="12"/>
      <c r="DP31" s="12"/>
      <c r="DQ31" s="12"/>
      <c r="DR31" s="12"/>
      <c r="DS31" s="12"/>
      <c r="DW31" s="12"/>
      <c r="DX31" s="12"/>
      <c r="DY31" s="12"/>
      <c r="DZ31" s="12"/>
      <c r="ED31" s="12"/>
      <c r="EE31" s="12"/>
      <c r="EF31" s="12"/>
      <c r="EG31" s="12"/>
      <c r="EK31" s="12"/>
      <c r="EL31" s="12"/>
      <c r="EM31" s="12"/>
      <c r="EN31" s="12"/>
      <c r="ER31" s="12"/>
      <c r="ES31" s="12"/>
      <c r="ET31" s="12"/>
      <c r="EU31" s="12"/>
      <c r="EY31" s="21"/>
      <c r="EZ31" s="21"/>
      <c r="FA31" s="21"/>
      <c r="FB31" s="21"/>
      <c r="FF31" s="21"/>
      <c r="FG31" s="21"/>
      <c r="FH31" s="21"/>
      <c r="FI31" s="21"/>
    </row>
    <row r="32" spans="2:165" hidden="1" outlineLevel="1">
      <c r="B32" t="s">
        <v>28</v>
      </c>
      <c r="C32" t="s">
        <v>91</v>
      </c>
      <c r="E32" s="11"/>
      <c r="F32" t="s">
        <v>95</v>
      </c>
      <c r="G32" s="12">
        <v>0.08</v>
      </c>
      <c r="I32" s="11">
        <f t="shared" si="6"/>
        <v>0</v>
      </c>
      <c r="J32" s="13">
        <f t="shared" si="5"/>
        <v>0</v>
      </c>
      <c r="K32" s="13">
        <f t="shared" si="5"/>
        <v>0</v>
      </c>
      <c r="L32" s="11"/>
      <c r="O32" s="12"/>
      <c r="P32" s="12"/>
      <c r="Q32" s="12"/>
      <c r="R32" s="12"/>
      <c r="V32" s="12"/>
      <c r="W32" s="12"/>
      <c r="X32" s="12"/>
      <c r="Y32" s="12"/>
      <c r="AC32" s="12"/>
      <c r="AD32" s="12"/>
      <c r="AE32" s="12"/>
      <c r="AF32" s="12"/>
      <c r="AJ32" s="12"/>
      <c r="AK32" s="12"/>
      <c r="AL32" s="12"/>
      <c r="AM32" s="12"/>
      <c r="AQ32" s="12"/>
      <c r="AR32" s="12"/>
      <c r="AS32" s="12"/>
      <c r="AT32" s="12"/>
      <c r="AX32" s="12"/>
      <c r="AY32" s="12"/>
      <c r="AZ32" s="12"/>
      <c r="BA32" s="12"/>
      <c r="BE32" s="12"/>
      <c r="BF32" s="12"/>
      <c r="BG32" s="12"/>
      <c r="BH32" s="12"/>
      <c r="BL32" s="12"/>
      <c r="BM32" s="12"/>
      <c r="BN32" s="12"/>
      <c r="BO32" s="12"/>
      <c r="BS32" s="12"/>
      <c r="BT32" s="12"/>
      <c r="BU32" s="12"/>
      <c r="BV32" s="12"/>
      <c r="BZ32" s="12"/>
      <c r="CA32" s="12"/>
      <c r="CB32" s="12"/>
      <c r="CC32" s="12"/>
      <c r="CG32" s="12"/>
      <c r="CH32" s="12"/>
      <c r="CI32" s="12"/>
      <c r="CJ32" s="12"/>
      <c r="CN32" s="12"/>
      <c r="CO32" s="12"/>
      <c r="CP32" s="12"/>
      <c r="CQ32" s="12"/>
      <c r="CU32" s="12"/>
      <c r="CV32" s="12"/>
      <c r="CW32" s="12"/>
      <c r="CX32" s="12"/>
      <c r="DB32" s="12"/>
      <c r="DC32" s="12">
        <v>1</v>
      </c>
      <c r="DD32" s="12"/>
      <c r="DE32" s="12">
        <v>1</v>
      </c>
      <c r="DI32" s="12"/>
      <c r="DJ32" s="12"/>
      <c r="DK32" s="12"/>
      <c r="DL32" s="12"/>
      <c r="DP32" s="12"/>
      <c r="DQ32" s="12"/>
      <c r="DR32" s="12"/>
      <c r="DS32" s="12"/>
      <c r="DW32" s="12"/>
      <c r="DX32" s="12"/>
      <c r="DY32" s="12"/>
      <c r="DZ32" s="12"/>
      <c r="ED32" s="12"/>
      <c r="EE32" s="12"/>
      <c r="EF32" s="12"/>
      <c r="EG32" s="12"/>
      <c r="EK32" s="12"/>
      <c r="EL32" s="12"/>
      <c r="EM32" s="12"/>
      <c r="EN32" s="12"/>
      <c r="ER32" s="12"/>
      <c r="ES32" s="12"/>
      <c r="ET32" s="12"/>
      <c r="EU32" s="12"/>
      <c r="EY32" s="21"/>
      <c r="EZ32" s="21"/>
      <c r="FA32" s="21"/>
      <c r="FB32" s="21"/>
      <c r="FF32" s="21"/>
      <c r="FG32" s="21"/>
      <c r="FH32" s="21"/>
      <c r="FI32" s="21"/>
    </row>
    <row r="33" spans="2:165" hidden="1" outlineLevel="1">
      <c r="B33" t="s">
        <v>28</v>
      </c>
      <c r="C33" t="s">
        <v>91</v>
      </c>
      <c r="E33" s="11"/>
      <c r="F33" t="s">
        <v>96</v>
      </c>
      <c r="G33" s="12">
        <v>0.08</v>
      </c>
      <c r="I33" s="11">
        <f t="shared" si="6"/>
        <v>0</v>
      </c>
      <c r="J33" s="13">
        <f t="shared" si="5"/>
        <v>0</v>
      </c>
      <c r="K33" s="13">
        <f t="shared" si="5"/>
        <v>0</v>
      </c>
      <c r="L33" s="11"/>
      <c r="O33" s="12"/>
      <c r="P33" s="12"/>
      <c r="Q33" s="12"/>
      <c r="R33" s="12"/>
      <c r="V33" s="12"/>
      <c r="W33" s="12"/>
      <c r="X33" s="12"/>
      <c r="Y33" s="12"/>
      <c r="AC33" s="12"/>
      <c r="AD33" s="12"/>
      <c r="AE33" s="12"/>
      <c r="AF33" s="12"/>
      <c r="AJ33" s="12"/>
      <c r="AK33" s="12"/>
      <c r="AL33" s="12"/>
      <c r="AM33" s="12"/>
      <c r="AQ33" s="12"/>
      <c r="AR33" s="12"/>
      <c r="AS33" s="12"/>
      <c r="AT33" s="12"/>
      <c r="AX33" s="12"/>
      <c r="AY33" s="12"/>
      <c r="AZ33" s="12"/>
      <c r="BA33" s="12"/>
      <c r="BE33" s="12"/>
      <c r="BF33" s="12"/>
      <c r="BG33" s="12"/>
      <c r="BH33" s="12"/>
      <c r="BL33" s="12"/>
      <c r="BM33" s="12"/>
      <c r="BN33" s="12"/>
      <c r="BO33" s="12"/>
      <c r="BS33" s="12"/>
      <c r="BT33" s="12"/>
      <c r="BU33" s="12"/>
      <c r="BV33" s="12"/>
      <c r="BZ33" s="12"/>
      <c r="CA33" s="12"/>
      <c r="CB33" s="12"/>
      <c r="CC33" s="12"/>
      <c r="CG33" s="12"/>
      <c r="CH33" s="12"/>
      <c r="CI33" s="12"/>
      <c r="CJ33" s="12"/>
      <c r="CN33" s="12"/>
      <c r="CO33" s="12"/>
      <c r="CP33" s="12"/>
      <c r="CQ33" s="12"/>
      <c r="CU33" s="12"/>
      <c r="CV33" s="12"/>
      <c r="CW33" s="12"/>
      <c r="CX33" s="12"/>
      <c r="DB33" s="12"/>
      <c r="DC33" s="12">
        <v>1</v>
      </c>
      <c r="DD33" s="12"/>
      <c r="DE33" s="12">
        <v>1</v>
      </c>
      <c r="DI33" s="12"/>
      <c r="DJ33" s="12"/>
      <c r="DK33" s="12"/>
      <c r="DL33" s="12"/>
      <c r="DP33" s="12"/>
      <c r="DQ33" s="12"/>
      <c r="DR33" s="12"/>
      <c r="DS33" s="12"/>
      <c r="DW33" s="12"/>
      <c r="DX33" s="12"/>
      <c r="DY33" s="12"/>
      <c r="DZ33" s="12"/>
      <c r="ED33" s="12"/>
      <c r="EE33" s="12"/>
      <c r="EF33" s="12"/>
      <c r="EG33" s="12"/>
      <c r="EK33" s="12"/>
      <c r="EL33" s="12"/>
      <c r="EM33" s="12"/>
      <c r="EN33" s="12"/>
      <c r="ER33" s="12"/>
      <c r="ES33" s="12"/>
      <c r="ET33" s="12"/>
      <c r="EU33" s="12"/>
      <c r="EY33" s="21"/>
      <c r="EZ33" s="21"/>
      <c r="FA33" s="21"/>
      <c r="FB33" s="21"/>
      <c r="FF33" s="21"/>
      <c r="FG33" s="21"/>
      <c r="FH33" s="21"/>
      <c r="FI33" s="21"/>
    </row>
    <row r="34" spans="2:165" hidden="1" outlineLevel="1">
      <c r="B34" t="s">
        <v>28</v>
      </c>
      <c r="C34" t="s">
        <v>91</v>
      </c>
      <c r="E34" s="11"/>
      <c r="F34" t="s">
        <v>97</v>
      </c>
      <c r="G34" s="12">
        <v>0.08</v>
      </c>
      <c r="I34" s="11">
        <f t="shared" si="6"/>
        <v>0</v>
      </c>
      <c r="J34" s="13">
        <f t="shared" si="5"/>
        <v>0</v>
      </c>
      <c r="K34" s="13">
        <f t="shared" si="5"/>
        <v>0</v>
      </c>
      <c r="L34" s="11"/>
      <c r="O34" s="12"/>
      <c r="P34" s="12"/>
      <c r="Q34" s="12"/>
      <c r="R34" s="12"/>
      <c r="V34" s="12"/>
      <c r="W34" s="12"/>
      <c r="X34" s="12"/>
      <c r="Y34" s="12"/>
      <c r="AC34" s="12"/>
      <c r="AD34" s="12"/>
      <c r="AE34" s="12"/>
      <c r="AF34" s="12"/>
      <c r="AJ34" s="12"/>
      <c r="AK34" s="12"/>
      <c r="AL34" s="12"/>
      <c r="AM34" s="12"/>
      <c r="AQ34" s="12"/>
      <c r="AR34" s="12"/>
      <c r="AS34" s="12"/>
      <c r="AT34" s="12"/>
      <c r="AX34" s="12"/>
      <c r="AY34" s="12"/>
      <c r="AZ34" s="12"/>
      <c r="BA34" s="12"/>
      <c r="BE34" s="12"/>
      <c r="BF34" s="12"/>
      <c r="BG34" s="12"/>
      <c r="BH34" s="12"/>
      <c r="BL34" s="12"/>
      <c r="BM34" s="12"/>
      <c r="BN34" s="12"/>
      <c r="BO34" s="12"/>
      <c r="BS34" s="12"/>
      <c r="BT34" s="12"/>
      <c r="BU34" s="12"/>
      <c r="BV34" s="12"/>
      <c r="BZ34" s="12"/>
      <c r="CA34" s="12"/>
      <c r="CB34" s="12"/>
      <c r="CC34" s="12"/>
      <c r="CG34" s="12"/>
      <c r="CH34" s="12"/>
      <c r="CI34" s="12"/>
      <c r="CJ34" s="12"/>
      <c r="CN34" s="12"/>
      <c r="CO34" s="12"/>
      <c r="CP34" s="12"/>
      <c r="CQ34" s="12"/>
      <c r="CU34" s="12"/>
      <c r="CV34" s="12"/>
      <c r="CW34" s="12"/>
      <c r="CX34" s="12"/>
      <c r="DB34" s="12"/>
      <c r="DC34" s="12">
        <v>1</v>
      </c>
      <c r="DD34" s="12"/>
      <c r="DE34" s="12">
        <v>1</v>
      </c>
      <c r="DI34" s="12"/>
      <c r="DJ34" s="12"/>
      <c r="DK34" s="12"/>
      <c r="DL34" s="12"/>
      <c r="DP34" s="12"/>
      <c r="DQ34" s="12"/>
      <c r="DR34" s="12"/>
      <c r="DS34" s="12"/>
      <c r="DW34" s="12"/>
      <c r="DX34" s="12"/>
      <c r="DY34" s="12"/>
      <c r="DZ34" s="12"/>
      <c r="ED34" s="12"/>
      <c r="EE34" s="12"/>
      <c r="EF34" s="12"/>
      <c r="EG34" s="12"/>
      <c r="EK34" s="12"/>
      <c r="EL34" s="12"/>
      <c r="EM34" s="12"/>
      <c r="EN34" s="12"/>
      <c r="ER34" s="12"/>
      <c r="ES34" s="12"/>
      <c r="ET34" s="12"/>
      <c r="EU34" s="12"/>
      <c r="EY34" s="21"/>
      <c r="EZ34" s="21"/>
      <c r="FA34" s="21"/>
      <c r="FB34" s="21"/>
      <c r="FF34" s="21"/>
      <c r="FG34" s="21"/>
      <c r="FH34" s="21"/>
      <c r="FI34" s="21"/>
    </row>
    <row r="35" spans="2:165" hidden="1" outlineLevel="1">
      <c r="B35" t="s">
        <v>28</v>
      </c>
      <c r="C35" t="s">
        <v>91</v>
      </c>
      <c r="E35" s="11"/>
      <c r="F35" t="s">
        <v>98</v>
      </c>
      <c r="G35" s="12">
        <v>0.08</v>
      </c>
      <c r="I35" s="11">
        <f t="shared" si="6"/>
        <v>0</v>
      </c>
      <c r="J35" s="13">
        <f t="shared" si="5"/>
        <v>0</v>
      </c>
      <c r="K35" s="13">
        <f t="shared" si="5"/>
        <v>0</v>
      </c>
      <c r="L35" s="11"/>
      <c r="O35" s="12"/>
      <c r="P35" s="12"/>
      <c r="Q35" s="12"/>
      <c r="R35" s="12"/>
      <c r="V35" s="12"/>
      <c r="W35" s="12"/>
      <c r="X35" s="12"/>
      <c r="Y35" s="12"/>
      <c r="AC35" s="12"/>
      <c r="AD35" s="12"/>
      <c r="AE35" s="12"/>
      <c r="AF35" s="12"/>
      <c r="AJ35" s="12"/>
      <c r="AK35" s="12"/>
      <c r="AL35" s="12"/>
      <c r="AM35" s="12"/>
      <c r="AQ35" s="12"/>
      <c r="AR35" s="12"/>
      <c r="AS35" s="12"/>
      <c r="AT35" s="12"/>
      <c r="AX35" s="12"/>
      <c r="AY35" s="12"/>
      <c r="AZ35" s="12"/>
      <c r="BA35" s="12"/>
      <c r="BE35" s="12"/>
      <c r="BF35" s="12"/>
      <c r="BG35" s="12"/>
      <c r="BH35" s="12"/>
      <c r="BL35" s="12"/>
      <c r="BM35" s="12"/>
      <c r="BN35" s="12"/>
      <c r="BO35" s="12"/>
      <c r="BS35" s="12"/>
      <c r="BT35" s="12"/>
      <c r="BU35" s="12"/>
      <c r="BV35" s="12"/>
      <c r="BZ35" s="12"/>
      <c r="CA35" s="12"/>
      <c r="CB35" s="12"/>
      <c r="CC35" s="12"/>
      <c r="CG35" s="12"/>
      <c r="CH35" s="12"/>
      <c r="CI35" s="12"/>
      <c r="CJ35" s="12"/>
      <c r="CN35" s="12"/>
      <c r="CO35" s="12"/>
      <c r="CP35" s="12"/>
      <c r="CQ35" s="12"/>
      <c r="CU35" s="12"/>
      <c r="CV35" s="12"/>
      <c r="CW35" s="12"/>
      <c r="CX35" s="12"/>
      <c r="DB35" s="12"/>
      <c r="DC35" s="12">
        <v>1</v>
      </c>
      <c r="DD35" s="12"/>
      <c r="DE35" s="12">
        <v>1</v>
      </c>
      <c r="DI35" s="12"/>
      <c r="DJ35" s="12"/>
      <c r="DK35" s="12"/>
      <c r="DL35" s="12"/>
      <c r="DP35" s="12"/>
      <c r="DQ35" s="12"/>
      <c r="DR35" s="12"/>
      <c r="DS35" s="12"/>
      <c r="DW35" s="12"/>
      <c r="DX35" s="12"/>
      <c r="DY35" s="12"/>
      <c r="DZ35" s="12"/>
      <c r="ED35" s="12"/>
      <c r="EE35" s="12"/>
      <c r="EF35" s="12"/>
      <c r="EG35" s="12"/>
      <c r="EK35" s="12"/>
      <c r="EL35" s="12"/>
      <c r="EM35" s="12"/>
      <c r="EN35" s="12"/>
      <c r="ER35" s="12"/>
      <c r="ES35" s="12"/>
      <c r="ET35" s="12"/>
      <c r="EU35" s="12"/>
      <c r="EY35" s="21"/>
      <c r="EZ35" s="21"/>
      <c r="FA35" s="21"/>
      <c r="FB35" s="21"/>
      <c r="FF35" s="21"/>
      <c r="FG35" s="21"/>
      <c r="FH35" s="21"/>
      <c r="FI35" s="21"/>
    </row>
    <row r="36" spans="2:165" hidden="1" outlineLevel="1">
      <c r="B36" t="s">
        <v>28</v>
      </c>
      <c r="C36" t="s">
        <v>91</v>
      </c>
      <c r="E36" s="11"/>
      <c r="F36" t="s">
        <v>99</v>
      </c>
      <c r="G36" s="12">
        <v>0.08</v>
      </c>
      <c r="I36" s="11">
        <f t="shared" si="6"/>
        <v>0</v>
      </c>
      <c r="J36" s="13">
        <f t="shared" si="5"/>
        <v>0</v>
      </c>
      <c r="K36" s="13">
        <f t="shared" si="5"/>
        <v>0</v>
      </c>
      <c r="L36" s="11"/>
      <c r="O36" s="12"/>
      <c r="P36" s="12"/>
      <c r="Q36" s="12"/>
      <c r="R36" s="12"/>
      <c r="V36" s="12"/>
      <c r="W36" s="12"/>
      <c r="X36" s="12"/>
      <c r="Y36" s="12"/>
      <c r="AC36" s="12"/>
      <c r="AD36" s="12"/>
      <c r="AE36" s="12"/>
      <c r="AF36" s="12"/>
      <c r="AJ36" s="12"/>
      <c r="AK36" s="12"/>
      <c r="AL36" s="12"/>
      <c r="AM36" s="12"/>
      <c r="AQ36" s="12"/>
      <c r="AR36" s="12"/>
      <c r="AS36" s="12"/>
      <c r="AT36" s="12"/>
      <c r="AX36" s="12"/>
      <c r="AY36" s="12"/>
      <c r="AZ36" s="12"/>
      <c r="BA36" s="12"/>
      <c r="BE36" s="12"/>
      <c r="BF36" s="12"/>
      <c r="BG36" s="12"/>
      <c r="BH36" s="12"/>
      <c r="BL36" s="12"/>
      <c r="BM36" s="12"/>
      <c r="BN36" s="12"/>
      <c r="BO36" s="12"/>
      <c r="BS36" s="12"/>
      <c r="BT36" s="12"/>
      <c r="BU36" s="12"/>
      <c r="BV36" s="12"/>
      <c r="BZ36" s="12"/>
      <c r="CA36" s="12"/>
      <c r="CB36" s="12"/>
      <c r="CC36" s="12"/>
      <c r="CG36" s="12"/>
      <c r="CH36" s="12"/>
      <c r="CI36" s="12"/>
      <c r="CJ36" s="12"/>
      <c r="CN36" s="12"/>
      <c r="CO36" s="12"/>
      <c r="CP36" s="12"/>
      <c r="CQ36" s="12"/>
      <c r="CU36" s="12"/>
      <c r="CV36" s="12"/>
      <c r="CW36" s="12"/>
      <c r="CX36" s="12"/>
      <c r="DB36" s="12"/>
      <c r="DC36" s="12">
        <v>1</v>
      </c>
      <c r="DD36" s="12"/>
      <c r="DE36" s="12">
        <v>1</v>
      </c>
      <c r="DI36" s="12"/>
      <c r="DJ36" s="12"/>
      <c r="DK36" s="12"/>
      <c r="DL36" s="12"/>
      <c r="DP36" s="12"/>
      <c r="DQ36" s="12"/>
      <c r="DR36" s="12"/>
      <c r="DS36" s="12"/>
      <c r="DW36" s="12"/>
      <c r="DX36" s="12"/>
      <c r="DY36" s="12"/>
      <c r="DZ36" s="12"/>
      <c r="ED36" s="12"/>
      <c r="EE36" s="12"/>
      <c r="EF36" s="12"/>
      <c r="EG36" s="12"/>
      <c r="EK36" s="12"/>
      <c r="EL36" s="12"/>
      <c r="EM36" s="12"/>
      <c r="EN36" s="12"/>
      <c r="ER36" s="12"/>
      <c r="ES36" s="12"/>
      <c r="ET36" s="12"/>
      <c r="EU36" s="12"/>
      <c r="EY36" s="21"/>
      <c r="EZ36" s="21"/>
      <c r="FA36" s="21"/>
      <c r="FB36" s="21"/>
      <c r="FF36" s="21"/>
      <c r="FG36" s="21"/>
      <c r="FH36" s="21"/>
      <c r="FI36" s="21"/>
    </row>
    <row r="37" spans="2:165" hidden="1" outlineLevel="1">
      <c r="B37" t="s">
        <v>28</v>
      </c>
      <c r="C37" t="s">
        <v>91</v>
      </c>
      <c r="E37" s="11"/>
      <c r="F37" t="s">
        <v>100</v>
      </c>
      <c r="G37" s="12">
        <v>0.08</v>
      </c>
      <c r="I37" s="11">
        <f t="shared" si="6"/>
        <v>0</v>
      </c>
      <c r="J37" s="13">
        <f t="shared" si="5"/>
        <v>0</v>
      </c>
      <c r="K37" s="13">
        <f t="shared" si="5"/>
        <v>0</v>
      </c>
      <c r="L37" s="11"/>
      <c r="O37" s="12"/>
      <c r="P37" s="12"/>
      <c r="Q37" s="12"/>
      <c r="R37" s="12"/>
      <c r="V37" s="12"/>
      <c r="W37" s="12"/>
      <c r="X37" s="12"/>
      <c r="Y37" s="12"/>
      <c r="AC37" s="12"/>
      <c r="AD37" s="12"/>
      <c r="AE37" s="12"/>
      <c r="AF37" s="12"/>
      <c r="AJ37" s="12"/>
      <c r="AK37" s="12"/>
      <c r="AL37" s="12"/>
      <c r="AM37" s="12"/>
      <c r="AQ37" s="12"/>
      <c r="AR37" s="12"/>
      <c r="AS37" s="12"/>
      <c r="AT37" s="12"/>
      <c r="AX37" s="12"/>
      <c r="AY37" s="12"/>
      <c r="AZ37" s="12"/>
      <c r="BA37" s="12"/>
      <c r="BE37" s="12"/>
      <c r="BF37" s="12"/>
      <c r="BG37" s="12"/>
      <c r="BH37" s="12"/>
      <c r="BL37" s="12"/>
      <c r="BM37" s="12"/>
      <c r="BN37" s="12"/>
      <c r="BO37" s="12"/>
      <c r="BS37" s="12"/>
      <c r="BT37" s="12"/>
      <c r="BU37" s="12"/>
      <c r="BV37" s="12"/>
      <c r="BZ37" s="12"/>
      <c r="CA37" s="12"/>
      <c r="CB37" s="12"/>
      <c r="CC37" s="12"/>
      <c r="CG37" s="12"/>
      <c r="CH37" s="12"/>
      <c r="CI37" s="12"/>
      <c r="CJ37" s="12"/>
      <c r="CN37" s="12"/>
      <c r="CO37" s="12"/>
      <c r="CP37" s="12"/>
      <c r="CQ37" s="12"/>
      <c r="CU37" s="12"/>
      <c r="CV37" s="12"/>
      <c r="CW37" s="12"/>
      <c r="CX37" s="12"/>
      <c r="DB37" s="12"/>
      <c r="DC37" s="12">
        <v>1</v>
      </c>
      <c r="DD37" s="12"/>
      <c r="DE37" s="12">
        <v>1</v>
      </c>
      <c r="DI37" s="12"/>
      <c r="DJ37" s="12"/>
      <c r="DK37" s="12"/>
      <c r="DL37" s="12"/>
      <c r="DP37" s="12"/>
      <c r="DQ37" s="12"/>
      <c r="DR37" s="12"/>
      <c r="DS37" s="12"/>
      <c r="DW37" s="12"/>
      <c r="DX37" s="12"/>
      <c r="DY37" s="12"/>
      <c r="DZ37" s="12"/>
      <c r="ED37" s="12"/>
      <c r="EE37" s="12"/>
      <c r="EF37" s="12"/>
      <c r="EG37" s="12"/>
      <c r="EK37" s="12"/>
      <c r="EL37" s="12"/>
      <c r="EM37" s="12"/>
      <c r="EN37" s="12"/>
      <c r="ER37" s="12"/>
      <c r="ES37" s="12"/>
      <c r="ET37" s="12"/>
      <c r="EU37" s="12"/>
      <c r="EY37" s="21"/>
      <c r="EZ37" s="21"/>
      <c r="FA37" s="21"/>
      <c r="FB37" s="21"/>
      <c r="FF37" s="21"/>
      <c r="FG37" s="21"/>
      <c r="FH37" s="21"/>
      <c r="FI37" s="21"/>
    </row>
    <row r="38" spans="2:165" hidden="1" outlineLevel="1">
      <c r="B38" t="s">
        <v>28</v>
      </c>
      <c r="C38" t="s">
        <v>91</v>
      </c>
      <c r="E38" s="11"/>
      <c r="F38" t="s">
        <v>101</v>
      </c>
      <c r="G38" s="12">
        <v>7.0000000000000007E-2</v>
      </c>
      <c r="I38" s="11">
        <f t="shared" si="6"/>
        <v>0</v>
      </c>
      <c r="J38" s="13">
        <f t="shared" si="5"/>
        <v>0</v>
      </c>
      <c r="K38" s="13">
        <f t="shared" si="5"/>
        <v>0</v>
      </c>
      <c r="L38" s="11"/>
      <c r="O38" s="12"/>
      <c r="P38" s="12"/>
      <c r="Q38" s="12"/>
      <c r="R38" s="12"/>
      <c r="V38" s="12"/>
      <c r="W38" s="12"/>
      <c r="X38" s="12"/>
      <c r="Y38" s="12"/>
      <c r="AC38" s="12"/>
      <c r="AD38" s="12"/>
      <c r="AE38" s="12"/>
      <c r="AF38" s="12"/>
      <c r="AJ38" s="12"/>
      <c r="AK38" s="12"/>
      <c r="AL38" s="12"/>
      <c r="AM38" s="12"/>
      <c r="AQ38" s="12"/>
      <c r="AR38" s="12"/>
      <c r="AS38" s="12"/>
      <c r="AT38" s="12"/>
      <c r="AX38" s="12"/>
      <c r="AY38" s="12"/>
      <c r="AZ38" s="12"/>
      <c r="BA38" s="12"/>
      <c r="BE38" s="12"/>
      <c r="BF38" s="12"/>
      <c r="BG38" s="12"/>
      <c r="BH38" s="12"/>
      <c r="BL38" s="12"/>
      <c r="BM38" s="12"/>
      <c r="BN38" s="12"/>
      <c r="BO38" s="12"/>
      <c r="BS38" s="12"/>
      <c r="BT38" s="12"/>
      <c r="BU38" s="12"/>
      <c r="BV38" s="12"/>
      <c r="BZ38" s="12"/>
      <c r="CA38" s="12"/>
      <c r="CB38" s="12"/>
      <c r="CC38" s="12"/>
      <c r="CG38" s="12"/>
      <c r="CH38" s="12"/>
      <c r="CI38" s="12"/>
      <c r="CJ38" s="12"/>
      <c r="CN38" s="12"/>
      <c r="CO38" s="12"/>
      <c r="CP38" s="12"/>
      <c r="CQ38" s="12"/>
      <c r="CU38" s="12"/>
      <c r="CV38" s="12"/>
      <c r="CW38" s="12"/>
      <c r="CX38" s="12"/>
      <c r="DB38" s="12"/>
      <c r="DC38" s="12">
        <v>1</v>
      </c>
      <c r="DD38" s="12"/>
      <c r="DE38" s="12">
        <v>1</v>
      </c>
      <c r="DI38" s="12"/>
      <c r="DJ38" s="12"/>
      <c r="DK38" s="12"/>
      <c r="DL38" s="12"/>
      <c r="DP38" s="12"/>
      <c r="DQ38" s="12"/>
      <c r="DR38" s="12"/>
      <c r="DS38" s="12"/>
      <c r="DW38" s="12"/>
      <c r="DX38" s="12"/>
      <c r="DY38" s="12"/>
      <c r="DZ38" s="12"/>
      <c r="ED38" s="12"/>
      <c r="EE38" s="12"/>
      <c r="EF38" s="12"/>
      <c r="EG38" s="12"/>
      <c r="EK38" s="12"/>
      <c r="EL38" s="12"/>
      <c r="EM38" s="12"/>
      <c r="EN38" s="12"/>
      <c r="ER38" s="12"/>
      <c r="ES38" s="12"/>
      <c r="ET38" s="12"/>
      <c r="EU38" s="12"/>
      <c r="EY38" s="21"/>
      <c r="EZ38" s="21"/>
      <c r="FA38" s="21"/>
      <c r="FB38" s="21"/>
      <c r="FF38" s="21"/>
      <c r="FG38" s="21"/>
      <c r="FH38" s="21"/>
      <c r="FI38" s="21"/>
    </row>
    <row r="39" spans="2:165" hidden="1" outlineLevel="1">
      <c r="B39" t="s">
        <v>28</v>
      </c>
      <c r="C39" t="s">
        <v>91</v>
      </c>
      <c r="E39" s="11"/>
      <c r="F39" t="s">
        <v>102</v>
      </c>
      <c r="G39" s="12">
        <v>7.0000000000000007E-2</v>
      </c>
      <c r="I39" s="11">
        <f t="shared" si="6"/>
        <v>0</v>
      </c>
      <c r="J39" s="13">
        <f t="shared" si="5"/>
        <v>0</v>
      </c>
      <c r="K39" s="13">
        <f t="shared" si="5"/>
        <v>0</v>
      </c>
      <c r="L39" s="11"/>
      <c r="O39" s="12"/>
      <c r="P39" s="12"/>
      <c r="Q39" s="12"/>
      <c r="R39" s="12"/>
      <c r="V39" s="12"/>
      <c r="W39" s="12"/>
      <c r="X39" s="12"/>
      <c r="Y39" s="12"/>
      <c r="AC39" s="12"/>
      <c r="AD39" s="12"/>
      <c r="AE39" s="12"/>
      <c r="AF39" s="12"/>
      <c r="AJ39" s="12"/>
      <c r="AK39" s="12"/>
      <c r="AL39" s="12"/>
      <c r="AM39" s="12"/>
      <c r="AQ39" s="12"/>
      <c r="AR39" s="12"/>
      <c r="AS39" s="12"/>
      <c r="AT39" s="12"/>
      <c r="AX39" s="12"/>
      <c r="AY39" s="12"/>
      <c r="AZ39" s="12"/>
      <c r="BA39" s="12"/>
      <c r="BE39" s="12"/>
      <c r="BF39" s="12"/>
      <c r="BG39" s="12"/>
      <c r="BH39" s="12"/>
      <c r="BL39" s="12"/>
      <c r="BM39" s="12"/>
      <c r="BN39" s="12"/>
      <c r="BO39" s="12"/>
      <c r="BS39" s="12"/>
      <c r="BT39" s="12"/>
      <c r="BU39" s="12"/>
      <c r="BV39" s="12"/>
      <c r="BZ39" s="12"/>
      <c r="CA39" s="12"/>
      <c r="CB39" s="12"/>
      <c r="CC39" s="12"/>
      <c r="CG39" s="12"/>
      <c r="CH39" s="12"/>
      <c r="CI39" s="12"/>
      <c r="CJ39" s="12"/>
      <c r="CN39" s="12"/>
      <c r="CO39" s="12"/>
      <c r="CP39" s="12"/>
      <c r="CQ39" s="12"/>
      <c r="CU39" s="12"/>
      <c r="CV39" s="12"/>
      <c r="CW39" s="12"/>
      <c r="CX39" s="12"/>
      <c r="DB39" s="12"/>
      <c r="DC39" s="12">
        <v>1</v>
      </c>
      <c r="DD39" s="12"/>
      <c r="DE39" s="12">
        <v>1</v>
      </c>
      <c r="DI39" s="12"/>
      <c r="DJ39" s="12"/>
      <c r="DK39" s="12"/>
      <c r="DL39" s="12"/>
      <c r="DP39" s="12"/>
      <c r="DQ39" s="12"/>
      <c r="DR39" s="12"/>
      <c r="DS39" s="12"/>
      <c r="DW39" s="12"/>
      <c r="DX39" s="12"/>
      <c r="DY39" s="12"/>
      <c r="DZ39" s="12"/>
      <c r="ED39" s="12"/>
      <c r="EE39" s="12"/>
      <c r="EF39" s="12"/>
      <c r="EG39" s="12"/>
      <c r="EK39" s="12"/>
      <c r="EL39" s="12"/>
      <c r="EM39" s="12"/>
      <c r="EN39" s="12"/>
      <c r="ER39" s="12"/>
      <c r="ES39" s="12"/>
      <c r="ET39" s="12"/>
      <c r="EU39" s="12"/>
      <c r="EY39" s="21"/>
      <c r="EZ39" s="21"/>
      <c r="FA39" s="21"/>
      <c r="FB39" s="21"/>
      <c r="FF39" s="21"/>
      <c r="FG39" s="21"/>
      <c r="FH39" s="21"/>
      <c r="FI39" s="21"/>
    </row>
    <row r="40" spans="2:165" hidden="1" outlineLevel="1">
      <c r="B40" t="s">
        <v>28</v>
      </c>
      <c r="C40" t="s">
        <v>91</v>
      </c>
      <c r="E40" s="11"/>
      <c r="F40" t="s">
        <v>103</v>
      </c>
      <c r="G40" s="12">
        <v>7.0000000000000007E-2</v>
      </c>
      <c r="I40" s="11">
        <f t="shared" si="6"/>
        <v>0</v>
      </c>
      <c r="J40" s="13">
        <f t="shared" si="5"/>
        <v>0</v>
      </c>
      <c r="K40" s="13">
        <f t="shared" si="5"/>
        <v>0</v>
      </c>
      <c r="L40" s="11"/>
      <c r="O40" s="12"/>
      <c r="P40" s="12"/>
      <c r="Q40" s="12"/>
      <c r="R40" s="12"/>
      <c r="V40" s="12"/>
      <c r="W40" s="12"/>
      <c r="X40" s="12"/>
      <c r="Y40" s="12"/>
      <c r="AC40" s="12"/>
      <c r="AD40" s="12"/>
      <c r="AE40" s="12"/>
      <c r="AF40" s="12"/>
      <c r="AJ40" s="12"/>
      <c r="AK40" s="12"/>
      <c r="AL40" s="12"/>
      <c r="AM40" s="12"/>
      <c r="AQ40" s="12"/>
      <c r="AR40" s="12"/>
      <c r="AS40" s="12"/>
      <c r="AT40" s="12"/>
      <c r="AX40" s="12"/>
      <c r="AY40" s="12"/>
      <c r="AZ40" s="12"/>
      <c r="BA40" s="12"/>
      <c r="BE40" s="12"/>
      <c r="BF40" s="12"/>
      <c r="BG40" s="12"/>
      <c r="BH40" s="12"/>
      <c r="BL40" s="12"/>
      <c r="BM40" s="12"/>
      <c r="BN40" s="12"/>
      <c r="BO40" s="12"/>
      <c r="BS40" s="12"/>
      <c r="BT40" s="12"/>
      <c r="BU40" s="12"/>
      <c r="BV40" s="12"/>
      <c r="BZ40" s="12"/>
      <c r="CA40" s="12"/>
      <c r="CB40" s="12"/>
      <c r="CC40" s="12"/>
      <c r="CG40" s="12"/>
      <c r="CH40" s="12"/>
      <c r="CI40" s="12"/>
      <c r="CJ40" s="12"/>
      <c r="CN40" s="12"/>
      <c r="CO40" s="12"/>
      <c r="CP40" s="12"/>
      <c r="CQ40" s="12"/>
      <c r="CU40" s="12"/>
      <c r="CV40" s="12"/>
      <c r="CW40" s="12"/>
      <c r="CX40" s="12"/>
      <c r="DB40" s="12"/>
      <c r="DC40" s="12">
        <v>1</v>
      </c>
      <c r="DD40" s="12"/>
      <c r="DE40" s="12">
        <v>1</v>
      </c>
      <c r="DI40" s="12"/>
      <c r="DJ40" s="12"/>
      <c r="DK40" s="12"/>
      <c r="DL40" s="12"/>
      <c r="DP40" s="12"/>
      <c r="DQ40" s="12"/>
      <c r="DR40" s="12"/>
      <c r="DS40" s="12"/>
      <c r="DW40" s="12"/>
      <c r="DX40" s="12"/>
      <c r="DY40" s="12"/>
      <c r="DZ40" s="12"/>
      <c r="ED40" s="12"/>
      <c r="EE40" s="12"/>
      <c r="EF40" s="12"/>
      <c r="EG40" s="12"/>
      <c r="EK40" s="12"/>
      <c r="EL40" s="12"/>
      <c r="EM40" s="12"/>
      <c r="EN40" s="12"/>
      <c r="ER40" s="12"/>
      <c r="ES40" s="12"/>
      <c r="ET40" s="12"/>
      <c r="EU40" s="12"/>
      <c r="EY40" s="21"/>
      <c r="EZ40" s="21"/>
      <c r="FA40" s="21"/>
      <c r="FB40" s="21"/>
      <c r="FF40" s="21"/>
      <c r="FG40" s="21"/>
      <c r="FH40" s="21"/>
      <c r="FI40" s="21"/>
    </row>
    <row r="41" spans="2:165" hidden="1" outlineLevel="1">
      <c r="B41" t="s">
        <v>28</v>
      </c>
      <c r="C41" t="s">
        <v>91</v>
      </c>
      <c r="E41" s="11"/>
      <c r="F41" t="s">
        <v>104</v>
      </c>
      <c r="G41" s="12">
        <v>7.0000000000000007E-2</v>
      </c>
      <c r="I41" s="11">
        <f>+SUMIF($N$3:$ZZ$3,I$3,$N41:$ZZ41)</f>
        <v>0</v>
      </c>
      <c r="J41" s="13">
        <f t="shared" si="5"/>
        <v>0</v>
      </c>
      <c r="K41" s="13">
        <f t="shared" si="5"/>
        <v>0</v>
      </c>
      <c r="L41" s="11"/>
      <c r="O41" s="12"/>
      <c r="P41" s="12"/>
      <c r="Q41" s="12"/>
      <c r="R41" s="12"/>
      <c r="V41" s="12"/>
      <c r="W41" s="12"/>
      <c r="X41" s="12"/>
      <c r="Y41" s="12"/>
      <c r="AC41" s="12"/>
      <c r="AD41" s="12"/>
      <c r="AE41" s="12"/>
      <c r="AF41" s="12"/>
      <c r="AJ41" s="12"/>
      <c r="AK41" s="12"/>
      <c r="AL41" s="12"/>
      <c r="AM41" s="12"/>
      <c r="AQ41" s="12"/>
      <c r="AR41" s="12"/>
      <c r="AS41" s="12"/>
      <c r="AT41" s="12"/>
      <c r="AX41" s="12"/>
      <c r="AY41" s="12"/>
      <c r="AZ41" s="12"/>
      <c r="BA41" s="12"/>
      <c r="BE41" s="12"/>
      <c r="BF41" s="12"/>
      <c r="BG41" s="12"/>
      <c r="BH41" s="12"/>
      <c r="BL41" s="12"/>
      <c r="BM41" s="12"/>
      <c r="BN41" s="12"/>
      <c r="BO41" s="12"/>
      <c r="BS41" s="12"/>
      <c r="BT41" s="12"/>
      <c r="BU41" s="12"/>
      <c r="BV41" s="12"/>
      <c r="BZ41" s="12"/>
      <c r="CA41" s="12"/>
      <c r="CB41" s="12"/>
      <c r="CC41" s="12"/>
      <c r="CG41" s="12"/>
      <c r="CH41" s="12"/>
      <c r="CI41" s="12"/>
      <c r="CJ41" s="12"/>
      <c r="CN41" s="12"/>
      <c r="CO41" s="12"/>
      <c r="CP41" s="12"/>
      <c r="CQ41" s="12"/>
      <c r="CU41" s="12"/>
      <c r="CV41" s="12"/>
      <c r="CW41" s="12"/>
      <c r="CX41" s="12"/>
      <c r="DB41" s="12"/>
      <c r="DC41" s="12">
        <v>1</v>
      </c>
      <c r="DD41" s="12"/>
      <c r="DE41" s="12">
        <v>1</v>
      </c>
      <c r="DI41" s="12"/>
      <c r="DJ41" s="12"/>
      <c r="DK41" s="12"/>
      <c r="DL41" s="12"/>
      <c r="DP41" s="12"/>
      <c r="DQ41" s="12"/>
      <c r="DR41" s="12"/>
      <c r="DS41" s="12"/>
      <c r="DW41" s="12"/>
      <c r="DX41" s="12"/>
      <c r="DY41" s="12"/>
      <c r="DZ41" s="12"/>
      <c r="ED41" s="12"/>
      <c r="EE41" s="12"/>
      <c r="EF41" s="12"/>
      <c r="EG41" s="12"/>
      <c r="EK41" s="12"/>
      <c r="EL41" s="12"/>
      <c r="EM41" s="12"/>
      <c r="EN41" s="12"/>
      <c r="ER41" s="12"/>
      <c r="ES41" s="12"/>
      <c r="ET41" s="12"/>
      <c r="EU41" s="12"/>
      <c r="EY41" s="21"/>
      <c r="EZ41" s="21"/>
      <c r="FA41" s="21"/>
      <c r="FB41" s="21"/>
      <c r="FF41" s="21"/>
      <c r="FG41" s="21"/>
      <c r="FH41" s="21"/>
      <c r="FI41" s="21"/>
    </row>
    <row r="42" spans="2:165" collapsed="1">
      <c r="O42" s="9"/>
      <c r="V42" s="9"/>
      <c r="AC42" s="9"/>
      <c r="AJ42" s="9"/>
      <c r="AQ42" s="9"/>
      <c r="AX42" s="9"/>
      <c r="BE42" s="9"/>
      <c r="BL42" s="9"/>
      <c r="BS42" s="9"/>
      <c r="BZ42" s="9"/>
      <c r="CG42" s="9"/>
      <c r="CN42" s="9"/>
      <c r="CU42" s="9"/>
      <c r="DB42" s="9"/>
      <c r="DI42" s="9"/>
      <c r="DP42" s="9"/>
      <c r="DW42" s="9"/>
      <c r="ED42" s="9"/>
      <c r="EK42" s="9"/>
      <c r="ER42" s="9"/>
    </row>
    <row r="43" spans="2:165">
      <c r="B43" t="s">
        <v>27</v>
      </c>
      <c r="C43" t="s">
        <v>105</v>
      </c>
      <c r="E43" s="11">
        <v>9</v>
      </c>
      <c r="G43" s="12">
        <f>+SUM(G44:G52)</f>
        <v>0.99999999999999989</v>
      </c>
      <c r="I43" s="14">
        <f>+SUM(I44:I52)</f>
        <v>0</v>
      </c>
      <c r="J43" s="13">
        <f>+SUMPRODUCT(G44:G52,J44:J52)</f>
        <v>0</v>
      </c>
      <c r="K43" s="13">
        <f>+SUMPRODUCT(G44:G52,K44:K52)</f>
        <v>0</v>
      </c>
      <c r="L43" s="11"/>
      <c r="N43" s="14">
        <f>+SUM(N44:N52)</f>
        <v>0</v>
      </c>
      <c r="U43" s="14">
        <f>+SUM(U44:U52)</f>
        <v>0</v>
      </c>
      <c r="AB43" s="14">
        <f>+SUM(AB44:AB52)</f>
        <v>0</v>
      </c>
      <c r="AI43" s="14">
        <f>+SUM(AI44:AI52)</f>
        <v>0</v>
      </c>
      <c r="AP43" s="14">
        <f>+SUM(AP44:AP52)</f>
        <v>0</v>
      </c>
      <c r="AW43" s="14">
        <f>+SUM(AW44:AW52)</f>
        <v>0</v>
      </c>
      <c r="BD43" s="14">
        <f>+SUM(BD44:BD52)</f>
        <v>0</v>
      </c>
      <c r="BK43" s="14">
        <f>+SUM(BK44:BK52)</f>
        <v>0</v>
      </c>
      <c r="BR43" s="14">
        <f>+SUM(BR44:BR52)</f>
        <v>0</v>
      </c>
      <c r="BY43" s="14">
        <f>+SUM(BY44:BY52)</f>
        <v>0</v>
      </c>
      <c r="CF43" s="14">
        <f>+SUM(CF44:CF52)</f>
        <v>0</v>
      </c>
      <c r="CM43" s="14">
        <f>+SUM(CM44:CM52)</f>
        <v>0</v>
      </c>
      <c r="CT43" s="14">
        <f>+SUM(CT44:CT52)</f>
        <v>0</v>
      </c>
      <c r="DA43" s="14">
        <f>+SUM(DA44:DA52)</f>
        <v>0</v>
      </c>
      <c r="DH43" s="14">
        <f>+SUM(DH44:DH52)</f>
        <v>0</v>
      </c>
      <c r="DO43" s="14">
        <f>+SUM(DO44:DO52)</f>
        <v>0</v>
      </c>
      <c r="DV43" s="14">
        <f>+SUM(DV44:DV52)</f>
        <v>0</v>
      </c>
      <c r="EC43" s="14">
        <f>+SUM(EC44:EC52)</f>
        <v>0</v>
      </c>
      <c r="EJ43" s="14">
        <f>+SUM(EJ44:EJ52)</f>
        <v>0</v>
      </c>
      <c r="EQ43" s="14">
        <f>+SUM(EQ44:EQ52)</f>
        <v>0</v>
      </c>
      <c r="EX43" s="20"/>
      <c r="FE43" s="20"/>
    </row>
    <row r="44" spans="2:165" hidden="1" outlineLevel="1">
      <c r="B44" t="s">
        <v>28</v>
      </c>
      <c r="C44" t="s">
        <v>105</v>
      </c>
      <c r="E44" s="11"/>
      <c r="F44" t="s">
        <v>92</v>
      </c>
      <c r="G44" s="12">
        <v>0.12</v>
      </c>
      <c r="I44" s="11">
        <f>+SUMIF($N$3:$ZZ$3,I$3,$N44:$ZZ44)</f>
        <v>0</v>
      </c>
      <c r="J44" s="13">
        <f t="shared" ref="J44:K52" si="7">+_xlfn.MAXIFS($N44:$ZF44,$N$3:$ZF$3,J$3)</f>
        <v>0</v>
      </c>
      <c r="K44" s="13">
        <f t="shared" si="7"/>
        <v>0</v>
      </c>
      <c r="L44" s="11"/>
      <c r="O44" s="12"/>
      <c r="P44" s="12"/>
      <c r="Q44" s="12"/>
      <c r="R44" s="12"/>
      <c r="V44" s="12"/>
      <c r="W44" s="12"/>
      <c r="X44" s="12"/>
      <c r="Y44" s="12"/>
      <c r="AC44" s="12"/>
      <c r="AD44" s="12"/>
      <c r="AE44" s="12"/>
      <c r="AF44" s="12"/>
      <c r="AJ44" s="12"/>
      <c r="AK44" s="12"/>
      <c r="AL44" s="12"/>
      <c r="AM44" s="12"/>
      <c r="AQ44" s="12"/>
      <c r="AR44" s="12"/>
      <c r="AS44" s="12"/>
      <c r="AT44" s="12"/>
      <c r="AX44" s="12"/>
      <c r="AY44" s="12"/>
      <c r="AZ44" s="12"/>
      <c r="BA44" s="12"/>
      <c r="BE44" s="12"/>
      <c r="BF44" s="12"/>
      <c r="BG44" s="12"/>
      <c r="BH44" s="12"/>
      <c r="BL44" s="12"/>
      <c r="BM44" s="12"/>
      <c r="BN44" s="12"/>
      <c r="BO44" s="12"/>
      <c r="BS44" s="12"/>
      <c r="BT44" s="12"/>
      <c r="BU44" s="12"/>
      <c r="BV44" s="12"/>
      <c r="BZ44" s="12"/>
      <c r="CA44" s="12"/>
      <c r="CB44" s="12"/>
      <c r="CC44" s="12"/>
      <c r="CG44" s="12"/>
      <c r="CH44" s="12"/>
      <c r="CI44" s="12"/>
      <c r="CJ44" s="12"/>
      <c r="CN44" s="12"/>
      <c r="CO44" s="12"/>
      <c r="CP44" s="12"/>
      <c r="CQ44" s="12"/>
      <c r="CU44" s="12"/>
      <c r="CV44" s="12"/>
      <c r="CW44" s="12"/>
      <c r="CX44" s="12"/>
      <c r="DB44" s="12"/>
      <c r="DC44" s="12">
        <v>1</v>
      </c>
      <c r="DD44" s="12"/>
      <c r="DE44" s="12">
        <v>1</v>
      </c>
      <c r="DI44" s="12"/>
      <c r="DJ44" s="12"/>
      <c r="DK44" s="12"/>
      <c r="DL44" s="12"/>
      <c r="DP44" s="12"/>
      <c r="DQ44" s="12"/>
      <c r="DR44" s="12"/>
      <c r="DS44" s="12"/>
      <c r="DW44" s="12"/>
      <c r="DX44" s="12"/>
      <c r="DY44" s="12"/>
      <c r="DZ44" s="12"/>
      <c r="ED44" s="12"/>
      <c r="EE44" s="12"/>
      <c r="EF44" s="12"/>
      <c r="EG44" s="12"/>
      <c r="EK44" s="12"/>
      <c r="EL44" s="12"/>
      <c r="EM44" s="12"/>
      <c r="EN44" s="12"/>
      <c r="ER44" s="12"/>
      <c r="ES44" s="12"/>
      <c r="ET44" s="12"/>
      <c r="EU44" s="12"/>
      <c r="EY44" s="21"/>
      <c r="EZ44" s="21"/>
      <c r="FA44" s="21"/>
      <c r="FB44" s="21"/>
      <c r="FF44" s="21"/>
      <c r="FG44" s="21"/>
      <c r="FH44" s="21"/>
      <c r="FI44" s="21"/>
    </row>
    <row r="45" spans="2:165" hidden="1" outlineLevel="1">
      <c r="B45" t="s">
        <v>28</v>
      </c>
      <c r="C45" t="s">
        <v>105</v>
      </c>
      <c r="E45" s="11"/>
      <c r="F45" t="s">
        <v>93</v>
      </c>
      <c r="G45" s="12">
        <v>0.11</v>
      </c>
      <c r="I45" s="11">
        <f t="shared" ref="I45:I52" si="8">+SUMIF($N$3:$ZZ$3,I$3,$N45:$ZZ45)</f>
        <v>0</v>
      </c>
      <c r="J45" s="13">
        <f t="shared" si="7"/>
        <v>0</v>
      </c>
      <c r="K45" s="13">
        <f t="shared" si="7"/>
        <v>0</v>
      </c>
      <c r="L45" s="11"/>
      <c r="O45" s="12"/>
      <c r="P45" s="12"/>
      <c r="Q45" s="12"/>
      <c r="R45" s="12"/>
      <c r="V45" s="12"/>
      <c r="W45" s="12"/>
      <c r="X45" s="12"/>
      <c r="Y45" s="12"/>
      <c r="AC45" s="12"/>
      <c r="AD45" s="12"/>
      <c r="AE45" s="12"/>
      <c r="AF45" s="12"/>
      <c r="AJ45" s="12"/>
      <c r="AK45" s="12"/>
      <c r="AL45" s="12"/>
      <c r="AM45" s="12"/>
      <c r="AQ45" s="12"/>
      <c r="AR45" s="12"/>
      <c r="AS45" s="12"/>
      <c r="AT45" s="12"/>
      <c r="AX45" s="12"/>
      <c r="AY45" s="12"/>
      <c r="AZ45" s="12"/>
      <c r="BA45" s="12"/>
      <c r="BE45" s="12"/>
      <c r="BF45" s="12"/>
      <c r="BG45" s="12"/>
      <c r="BH45" s="12"/>
      <c r="BL45" s="12"/>
      <c r="BM45" s="12"/>
      <c r="BN45" s="12"/>
      <c r="BO45" s="12"/>
      <c r="BS45" s="12"/>
      <c r="BT45" s="12"/>
      <c r="BU45" s="12"/>
      <c r="BV45" s="12"/>
      <c r="BZ45" s="12"/>
      <c r="CA45" s="12"/>
      <c r="CB45" s="12"/>
      <c r="CC45" s="12"/>
      <c r="CG45" s="12"/>
      <c r="CH45" s="12"/>
      <c r="CI45" s="12"/>
      <c r="CJ45" s="12"/>
      <c r="CN45" s="12"/>
      <c r="CO45" s="12"/>
      <c r="CP45" s="12"/>
      <c r="CQ45" s="12"/>
      <c r="CU45" s="12"/>
      <c r="CV45" s="12"/>
      <c r="CW45" s="12"/>
      <c r="CX45" s="12"/>
      <c r="DB45" s="12"/>
      <c r="DC45" s="12">
        <v>1</v>
      </c>
      <c r="DD45" s="12"/>
      <c r="DE45" s="12">
        <v>1</v>
      </c>
      <c r="DI45" s="12"/>
      <c r="DJ45" s="12"/>
      <c r="DK45" s="12"/>
      <c r="DL45" s="12"/>
      <c r="DP45" s="12"/>
      <c r="DQ45" s="12"/>
      <c r="DR45" s="12"/>
      <c r="DS45" s="12"/>
      <c r="DW45" s="12"/>
      <c r="DX45" s="12"/>
      <c r="DY45" s="12"/>
      <c r="DZ45" s="12"/>
      <c r="ED45" s="12"/>
      <c r="EE45" s="12"/>
      <c r="EF45" s="12"/>
      <c r="EG45" s="12"/>
      <c r="EK45" s="12"/>
      <c r="EL45" s="12"/>
      <c r="EM45" s="12"/>
      <c r="EN45" s="12"/>
      <c r="ER45" s="12"/>
      <c r="ES45" s="12"/>
      <c r="ET45" s="12"/>
      <c r="EU45" s="12"/>
      <c r="EY45" s="21"/>
      <c r="EZ45" s="21"/>
      <c r="FA45" s="21"/>
      <c r="FB45" s="21"/>
      <c r="FF45" s="21"/>
      <c r="FG45" s="21"/>
      <c r="FH45" s="21"/>
      <c r="FI45" s="21"/>
    </row>
    <row r="46" spans="2:165" hidden="1" outlineLevel="1">
      <c r="B46" t="s">
        <v>28</v>
      </c>
      <c r="C46" t="s">
        <v>105</v>
      </c>
      <c r="E46" s="11"/>
      <c r="F46" t="s">
        <v>94</v>
      </c>
      <c r="G46" s="12">
        <v>0.11</v>
      </c>
      <c r="I46" s="11">
        <f t="shared" si="8"/>
        <v>0</v>
      </c>
      <c r="J46" s="13">
        <f t="shared" si="7"/>
        <v>0</v>
      </c>
      <c r="K46" s="13">
        <f t="shared" si="7"/>
        <v>0</v>
      </c>
      <c r="L46" s="11"/>
      <c r="O46" s="12"/>
      <c r="P46" s="12"/>
      <c r="Q46" s="12"/>
      <c r="R46" s="12"/>
      <c r="V46" s="12"/>
      <c r="W46" s="12"/>
      <c r="X46" s="12"/>
      <c r="Y46" s="12"/>
      <c r="AC46" s="12"/>
      <c r="AD46" s="12"/>
      <c r="AE46" s="12"/>
      <c r="AF46" s="12"/>
      <c r="AJ46" s="12"/>
      <c r="AK46" s="12"/>
      <c r="AL46" s="12"/>
      <c r="AM46" s="12"/>
      <c r="AQ46" s="12"/>
      <c r="AR46" s="12"/>
      <c r="AS46" s="12"/>
      <c r="AT46" s="12"/>
      <c r="AX46" s="12"/>
      <c r="AY46" s="12"/>
      <c r="AZ46" s="12"/>
      <c r="BA46" s="12"/>
      <c r="BE46" s="12"/>
      <c r="BF46" s="12"/>
      <c r="BG46" s="12"/>
      <c r="BH46" s="12"/>
      <c r="BL46" s="12"/>
      <c r="BM46" s="12"/>
      <c r="BN46" s="12"/>
      <c r="BO46" s="12"/>
      <c r="BS46" s="12"/>
      <c r="BT46" s="12"/>
      <c r="BU46" s="12"/>
      <c r="BV46" s="12"/>
      <c r="BZ46" s="12"/>
      <c r="CA46" s="12"/>
      <c r="CB46" s="12"/>
      <c r="CC46" s="12"/>
      <c r="CG46" s="12"/>
      <c r="CH46" s="12"/>
      <c r="CI46" s="12"/>
      <c r="CJ46" s="12"/>
      <c r="CN46" s="12"/>
      <c r="CO46" s="12"/>
      <c r="CP46" s="12"/>
      <c r="CQ46" s="12"/>
      <c r="CU46" s="12"/>
      <c r="CV46" s="12"/>
      <c r="CW46" s="12"/>
      <c r="CX46" s="12"/>
      <c r="DB46" s="12"/>
      <c r="DC46" s="12">
        <v>1</v>
      </c>
      <c r="DD46" s="12"/>
      <c r="DE46" s="12">
        <v>1</v>
      </c>
      <c r="DI46" s="12"/>
      <c r="DJ46" s="12"/>
      <c r="DK46" s="12"/>
      <c r="DL46" s="12"/>
      <c r="DP46" s="12"/>
      <c r="DQ46" s="12"/>
      <c r="DR46" s="12"/>
      <c r="DS46" s="12"/>
      <c r="DW46" s="12"/>
      <c r="DX46" s="12"/>
      <c r="DY46" s="12"/>
      <c r="DZ46" s="12"/>
      <c r="ED46" s="12"/>
      <c r="EE46" s="12"/>
      <c r="EF46" s="12"/>
      <c r="EG46" s="12"/>
      <c r="EK46" s="12"/>
      <c r="EL46" s="12"/>
      <c r="EM46" s="12"/>
      <c r="EN46" s="12"/>
      <c r="ER46" s="12"/>
      <c r="ES46" s="12"/>
      <c r="ET46" s="12"/>
      <c r="EU46" s="12"/>
      <c r="EY46" s="21"/>
      <c r="EZ46" s="21"/>
      <c r="FA46" s="21"/>
      <c r="FB46" s="21"/>
      <c r="FF46" s="21"/>
      <c r="FG46" s="21"/>
      <c r="FH46" s="21"/>
      <c r="FI46" s="21"/>
    </row>
    <row r="47" spans="2:165" hidden="1" outlineLevel="1">
      <c r="B47" t="s">
        <v>28</v>
      </c>
      <c r="C47" t="s">
        <v>105</v>
      </c>
      <c r="E47" s="11"/>
      <c r="F47" t="s">
        <v>95</v>
      </c>
      <c r="G47" s="12">
        <v>0.11</v>
      </c>
      <c r="I47" s="11">
        <f t="shared" si="8"/>
        <v>0</v>
      </c>
      <c r="J47" s="13">
        <f t="shared" si="7"/>
        <v>0</v>
      </c>
      <c r="K47" s="13">
        <f t="shared" si="7"/>
        <v>0</v>
      </c>
      <c r="L47" s="11"/>
      <c r="O47" s="12"/>
      <c r="P47" s="12"/>
      <c r="Q47" s="12"/>
      <c r="R47" s="12"/>
      <c r="V47" s="12"/>
      <c r="W47" s="12"/>
      <c r="X47" s="12"/>
      <c r="Y47" s="12"/>
      <c r="AC47" s="12"/>
      <c r="AD47" s="12"/>
      <c r="AE47" s="12"/>
      <c r="AF47" s="12"/>
      <c r="AJ47" s="12"/>
      <c r="AK47" s="12"/>
      <c r="AL47" s="12"/>
      <c r="AM47" s="12"/>
      <c r="AQ47" s="12"/>
      <c r="AR47" s="12"/>
      <c r="AS47" s="12"/>
      <c r="AT47" s="12"/>
      <c r="AX47" s="12"/>
      <c r="AY47" s="12"/>
      <c r="AZ47" s="12"/>
      <c r="BA47" s="12"/>
      <c r="BE47" s="12"/>
      <c r="BF47" s="12"/>
      <c r="BG47" s="12"/>
      <c r="BH47" s="12"/>
      <c r="BL47" s="12"/>
      <c r="BM47" s="12"/>
      <c r="BN47" s="12"/>
      <c r="BO47" s="12"/>
      <c r="BS47" s="12"/>
      <c r="BT47" s="12"/>
      <c r="BU47" s="12"/>
      <c r="BV47" s="12"/>
      <c r="BZ47" s="12"/>
      <c r="CA47" s="12"/>
      <c r="CB47" s="12"/>
      <c r="CC47" s="12"/>
      <c r="CG47" s="12"/>
      <c r="CH47" s="12"/>
      <c r="CI47" s="12"/>
      <c r="CJ47" s="12"/>
      <c r="CN47" s="12"/>
      <c r="CO47" s="12"/>
      <c r="CP47" s="12"/>
      <c r="CQ47" s="12"/>
      <c r="CU47" s="12"/>
      <c r="CV47" s="12"/>
      <c r="CW47" s="12"/>
      <c r="CX47" s="12"/>
      <c r="DB47" s="12"/>
      <c r="DC47" s="12">
        <v>1</v>
      </c>
      <c r="DD47" s="12"/>
      <c r="DE47" s="12">
        <v>1</v>
      </c>
      <c r="DI47" s="12"/>
      <c r="DJ47" s="12"/>
      <c r="DK47" s="12"/>
      <c r="DL47" s="12"/>
      <c r="DP47" s="12"/>
      <c r="DQ47" s="12"/>
      <c r="DR47" s="12"/>
      <c r="DS47" s="12"/>
      <c r="DW47" s="12"/>
      <c r="DX47" s="12"/>
      <c r="DY47" s="12"/>
      <c r="DZ47" s="12"/>
      <c r="ED47" s="12"/>
      <c r="EE47" s="12"/>
      <c r="EF47" s="12"/>
      <c r="EG47" s="12"/>
      <c r="EK47" s="12"/>
      <c r="EL47" s="12"/>
      <c r="EM47" s="12"/>
      <c r="EN47" s="12"/>
      <c r="ER47" s="12"/>
      <c r="ES47" s="12"/>
      <c r="ET47" s="12"/>
      <c r="EU47" s="12"/>
      <c r="EY47" s="21"/>
      <c r="EZ47" s="21"/>
      <c r="FA47" s="21"/>
      <c r="FB47" s="21"/>
      <c r="FF47" s="21"/>
      <c r="FG47" s="21"/>
      <c r="FH47" s="21"/>
      <c r="FI47" s="21"/>
    </row>
    <row r="48" spans="2:165" hidden="1" outlineLevel="1">
      <c r="B48" t="s">
        <v>28</v>
      </c>
      <c r="C48" t="s">
        <v>105</v>
      </c>
      <c r="E48" s="11"/>
      <c r="F48" t="s">
        <v>96</v>
      </c>
      <c r="G48" s="12">
        <v>0.11</v>
      </c>
      <c r="I48" s="11">
        <f t="shared" si="8"/>
        <v>0</v>
      </c>
      <c r="J48" s="13">
        <f t="shared" si="7"/>
        <v>0</v>
      </c>
      <c r="K48" s="13">
        <f t="shared" si="7"/>
        <v>0</v>
      </c>
      <c r="L48" s="11"/>
      <c r="O48" s="12"/>
      <c r="P48" s="12"/>
      <c r="Q48" s="12"/>
      <c r="R48" s="12"/>
      <c r="V48" s="12"/>
      <c r="W48" s="12"/>
      <c r="X48" s="12"/>
      <c r="Y48" s="12"/>
      <c r="AC48" s="12"/>
      <c r="AD48" s="12"/>
      <c r="AE48" s="12"/>
      <c r="AF48" s="12"/>
      <c r="AJ48" s="12"/>
      <c r="AK48" s="12"/>
      <c r="AL48" s="12"/>
      <c r="AM48" s="12"/>
      <c r="AQ48" s="12"/>
      <c r="AR48" s="12"/>
      <c r="AS48" s="12"/>
      <c r="AT48" s="12"/>
      <c r="AX48" s="12"/>
      <c r="AY48" s="12"/>
      <c r="AZ48" s="12"/>
      <c r="BA48" s="12"/>
      <c r="BE48" s="12"/>
      <c r="BF48" s="12"/>
      <c r="BG48" s="12"/>
      <c r="BH48" s="12"/>
      <c r="BL48" s="12"/>
      <c r="BM48" s="12"/>
      <c r="BN48" s="12"/>
      <c r="BO48" s="12"/>
      <c r="BS48" s="12"/>
      <c r="BT48" s="12"/>
      <c r="BU48" s="12"/>
      <c r="BV48" s="12"/>
      <c r="BZ48" s="12"/>
      <c r="CA48" s="12"/>
      <c r="CB48" s="12"/>
      <c r="CC48" s="12"/>
      <c r="CG48" s="12"/>
      <c r="CH48" s="12"/>
      <c r="CI48" s="12"/>
      <c r="CJ48" s="12"/>
      <c r="CN48" s="12"/>
      <c r="CO48" s="12"/>
      <c r="CP48" s="12"/>
      <c r="CQ48" s="12"/>
      <c r="CU48" s="12"/>
      <c r="CV48" s="12"/>
      <c r="CW48" s="12"/>
      <c r="CX48" s="12"/>
      <c r="DB48" s="12"/>
      <c r="DC48" s="12">
        <v>1</v>
      </c>
      <c r="DD48" s="12"/>
      <c r="DE48" s="12">
        <v>1</v>
      </c>
      <c r="DI48" s="12"/>
      <c r="DJ48" s="12"/>
      <c r="DK48" s="12"/>
      <c r="DL48" s="12"/>
      <c r="DP48" s="12"/>
      <c r="DQ48" s="12"/>
      <c r="DR48" s="12"/>
      <c r="DS48" s="12"/>
      <c r="DW48" s="12"/>
      <c r="DX48" s="12"/>
      <c r="DY48" s="12"/>
      <c r="DZ48" s="12"/>
      <c r="ED48" s="12"/>
      <c r="EE48" s="12"/>
      <c r="EF48" s="12"/>
      <c r="EG48" s="12"/>
      <c r="EK48" s="12"/>
      <c r="EL48" s="12"/>
      <c r="EM48" s="12"/>
      <c r="EN48" s="12"/>
      <c r="ER48" s="12"/>
      <c r="ES48" s="12"/>
      <c r="ET48" s="12"/>
      <c r="EU48" s="12"/>
      <c r="EY48" s="21"/>
      <c r="EZ48" s="21"/>
      <c r="FA48" s="21"/>
      <c r="FB48" s="21"/>
      <c r="FF48" s="21"/>
      <c r="FG48" s="21"/>
      <c r="FH48" s="21"/>
      <c r="FI48" s="21"/>
    </row>
    <row r="49" spans="2:165" hidden="1" outlineLevel="1">
      <c r="B49" t="s">
        <v>28</v>
      </c>
      <c r="C49" t="s">
        <v>105</v>
      </c>
      <c r="E49" s="11"/>
      <c r="F49" t="s">
        <v>97</v>
      </c>
      <c r="G49" s="12">
        <v>0.11</v>
      </c>
      <c r="I49" s="11">
        <f t="shared" si="8"/>
        <v>0</v>
      </c>
      <c r="J49" s="13">
        <f t="shared" si="7"/>
        <v>0</v>
      </c>
      <c r="K49" s="13">
        <f t="shared" si="7"/>
        <v>0</v>
      </c>
      <c r="L49" s="11"/>
      <c r="O49" s="12"/>
      <c r="P49" s="12"/>
      <c r="Q49" s="12"/>
      <c r="R49" s="12"/>
      <c r="V49" s="12"/>
      <c r="W49" s="12"/>
      <c r="X49" s="12"/>
      <c r="Y49" s="12"/>
      <c r="AC49" s="12"/>
      <c r="AD49" s="12"/>
      <c r="AE49" s="12"/>
      <c r="AF49" s="12"/>
      <c r="AJ49" s="12"/>
      <c r="AK49" s="12"/>
      <c r="AL49" s="12"/>
      <c r="AM49" s="12"/>
      <c r="AQ49" s="12"/>
      <c r="AR49" s="12"/>
      <c r="AS49" s="12"/>
      <c r="AT49" s="12"/>
      <c r="AX49" s="12"/>
      <c r="AY49" s="12"/>
      <c r="AZ49" s="12"/>
      <c r="BA49" s="12"/>
      <c r="BE49" s="12"/>
      <c r="BF49" s="12"/>
      <c r="BG49" s="12"/>
      <c r="BH49" s="12"/>
      <c r="BL49" s="12"/>
      <c r="BM49" s="12"/>
      <c r="BN49" s="12"/>
      <c r="BO49" s="12"/>
      <c r="BS49" s="12"/>
      <c r="BT49" s="12"/>
      <c r="BU49" s="12"/>
      <c r="BV49" s="12"/>
      <c r="BZ49" s="12"/>
      <c r="CA49" s="12"/>
      <c r="CB49" s="12"/>
      <c r="CC49" s="12"/>
      <c r="CG49" s="12"/>
      <c r="CH49" s="12"/>
      <c r="CI49" s="12"/>
      <c r="CJ49" s="12"/>
      <c r="CN49" s="12"/>
      <c r="CO49" s="12"/>
      <c r="CP49" s="12"/>
      <c r="CQ49" s="12"/>
      <c r="CU49" s="12"/>
      <c r="CV49" s="12"/>
      <c r="CW49" s="12"/>
      <c r="CX49" s="12"/>
      <c r="DB49" s="12"/>
      <c r="DC49" s="12">
        <v>1</v>
      </c>
      <c r="DD49" s="12"/>
      <c r="DE49" s="12">
        <v>1</v>
      </c>
      <c r="DI49" s="12"/>
      <c r="DJ49" s="12"/>
      <c r="DK49" s="12"/>
      <c r="DL49" s="12"/>
      <c r="DP49" s="12"/>
      <c r="DQ49" s="12"/>
      <c r="DR49" s="12"/>
      <c r="DS49" s="12"/>
      <c r="DW49" s="12"/>
      <c r="DX49" s="12"/>
      <c r="DY49" s="12"/>
      <c r="DZ49" s="12"/>
      <c r="ED49" s="12"/>
      <c r="EE49" s="12"/>
      <c r="EF49" s="12"/>
      <c r="EG49" s="12"/>
      <c r="EK49" s="12"/>
      <c r="EL49" s="12"/>
      <c r="EM49" s="12"/>
      <c r="EN49" s="12"/>
      <c r="ER49" s="12"/>
      <c r="ES49" s="12"/>
      <c r="ET49" s="12"/>
      <c r="EU49" s="12"/>
      <c r="EY49" s="21"/>
      <c r="EZ49" s="21"/>
      <c r="FA49" s="21"/>
      <c r="FB49" s="21"/>
      <c r="FF49" s="21"/>
      <c r="FG49" s="21"/>
      <c r="FH49" s="21"/>
      <c r="FI49" s="21"/>
    </row>
    <row r="50" spans="2:165" hidden="1" outlineLevel="1">
      <c r="B50" t="s">
        <v>28</v>
      </c>
      <c r="C50" t="s">
        <v>105</v>
      </c>
      <c r="E50" s="11"/>
      <c r="F50" t="s">
        <v>98</v>
      </c>
      <c r="G50" s="12">
        <v>0.11</v>
      </c>
      <c r="I50" s="11">
        <f t="shared" si="8"/>
        <v>0</v>
      </c>
      <c r="J50" s="13">
        <f t="shared" si="7"/>
        <v>0</v>
      </c>
      <c r="K50" s="13">
        <f t="shared" si="7"/>
        <v>0</v>
      </c>
      <c r="L50" s="11"/>
      <c r="O50" s="12"/>
      <c r="P50" s="12"/>
      <c r="Q50" s="12"/>
      <c r="R50" s="12"/>
      <c r="V50" s="12"/>
      <c r="W50" s="12"/>
      <c r="X50" s="12"/>
      <c r="Y50" s="12"/>
      <c r="AC50" s="12"/>
      <c r="AD50" s="12"/>
      <c r="AE50" s="12"/>
      <c r="AF50" s="12"/>
      <c r="AJ50" s="12"/>
      <c r="AK50" s="12"/>
      <c r="AL50" s="12"/>
      <c r="AM50" s="12"/>
      <c r="AQ50" s="12"/>
      <c r="AR50" s="12"/>
      <c r="AS50" s="12"/>
      <c r="AT50" s="12"/>
      <c r="AX50" s="12"/>
      <c r="AY50" s="12"/>
      <c r="AZ50" s="12"/>
      <c r="BA50" s="12"/>
      <c r="BE50" s="12"/>
      <c r="BF50" s="12"/>
      <c r="BG50" s="12"/>
      <c r="BH50" s="12"/>
      <c r="BL50" s="12"/>
      <c r="BM50" s="12"/>
      <c r="BN50" s="12"/>
      <c r="BO50" s="12"/>
      <c r="BS50" s="12"/>
      <c r="BT50" s="12"/>
      <c r="BU50" s="12"/>
      <c r="BV50" s="12"/>
      <c r="BZ50" s="12"/>
      <c r="CA50" s="12"/>
      <c r="CB50" s="12"/>
      <c r="CC50" s="12"/>
      <c r="CG50" s="12"/>
      <c r="CH50" s="12"/>
      <c r="CI50" s="12"/>
      <c r="CJ50" s="12"/>
      <c r="CN50" s="12"/>
      <c r="CO50" s="12"/>
      <c r="CP50" s="12"/>
      <c r="CQ50" s="12"/>
      <c r="CU50" s="12"/>
      <c r="CV50" s="12"/>
      <c r="CW50" s="12"/>
      <c r="CX50" s="12"/>
      <c r="DB50" s="12"/>
      <c r="DC50" s="12">
        <v>1</v>
      </c>
      <c r="DD50" s="12"/>
      <c r="DE50" s="12">
        <v>1</v>
      </c>
      <c r="DI50" s="12"/>
      <c r="DJ50" s="12"/>
      <c r="DK50" s="12"/>
      <c r="DL50" s="12"/>
      <c r="DP50" s="12"/>
      <c r="DQ50" s="12"/>
      <c r="DR50" s="12"/>
      <c r="DS50" s="12"/>
      <c r="DW50" s="12"/>
      <c r="DX50" s="12"/>
      <c r="DY50" s="12"/>
      <c r="DZ50" s="12"/>
      <c r="ED50" s="12"/>
      <c r="EE50" s="12"/>
      <c r="EF50" s="12"/>
      <c r="EG50" s="12"/>
      <c r="EK50" s="12"/>
      <c r="EL50" s="12"/>
      <c r="EM50" s="12"/>
      <c r="EN50" s="12"/>
      <c r="ER50" s="12"/>
      <c r="ES50" s="12"/>
      <c r="ET50" s="12"/>
      <c r="EU50" s="12"/>
      <c r="EY50" s="21"/>
      <c r="EZ50" s="21"/>
      <c r="FA50" s="21"/>
      <c r="FB50" s="21"/>
      <c r="FF50" s="21"/>
      <c r="FG50" s="21"/>
      <c r="FH50" s="21"/>
      <c r="FI50" s="21"/>
    </row>
    <row r="51" spans="2:165" hidden="1" outlineLevel="1">
      <c r="B51" t="s">
        <v>28</v>
      </c>
      <c r="C51" t="s">
        <v>105</v>
      </c>
      <c r="E51" s="11"/>
      <c r="F51" t="s">
        <v>99</v>
      </c>
      <c r="G51" s="12">
        <v>0.11</v>
      </c>
      <c r="I51" s="11">
        <f t="shared" si="8"/>
        <v>0</v>
      </c>
      <c r="J51" s="13">
        <f t="shared" si="7"/>
        <v>0</v>
      </c>
      <c r="K51" s="13">
        <f t="shared" si="7"/>
        <v>0</v>
      </c>
      <c r="L51" s="11"/>
      <c r="O51" s="12"/>
      <c r="P51" s="12"/>
      <c r="Q51" s="12"/>
      <c r="R51" s="12"/>
      <c r="V51" s="12"/>
      <c r="W51" s="12"/>
      <c r="X51" s="12"/>
      <c r="Y51" s="12"/>
      <c r="AC51" s="12"/>
      <c r="AD51" s="12"/>
      <c r="AE51" s="12"/>
      <c r="AF51" s="12"/>
      <c r="AJ51" s="12"/>
      <c r="AK51" s="12"/>
      <c r="AL51" s="12"/>
      <c r="AM51" s="12"/>
      <c r="AQ51" s="12"/>
      <c r="AR51" s="12"/>
      <c r="AS51" s="12"/>
      <c r="AT51" s="12"/>
      <c r="AX51" s="12"/>
      <c r="AY51" s="12"/>
      <c r="AZ51" s="12"/>
      <c r="BA51" s="12"/>
      <c r="BE51" s="12"/>
      <c r="BF51" s="12"/>
      <c r="BG51" s="12"/>
      <c r="BH51" s="12"/>
      <c r="BL51" s="12"/>
      <c r="BM51" s="12"/>
      <c r="BN51" s="12"/>
      <c r="BO51" s="12"/>
      <c r="BS51" s="12"/>
      <c r="BT51" s="12"/>
      <c r="BU51" s="12"/>
      <c r="BV51" s="12"/>
      <c r="BZ51" s="12"/>
      <c r="CA51" s="12"/>
      <c r="CB51" s="12"/>
      <c r="CC51" s="12"/>
      <c r="CG51" s="12"/>
      <c r="CH51" s="12"/>
      <c r="CI51" s="12"/>
      <c r="CJ51" s="12"/>
      <c r="CN51" s="12"/>
      <c r="CO51" s="12"/>
      <c r="CP51" s="12"/>
      <c r="CQ51" s="12"/>
      <c r="CU51" s="12"/>
      <c r="CV51" s="12"/>
      <c r="CW51" s="12"/>
      <c r="CX51" s="12"/>
      <c r="DB51" s="12"/>
      <c r="DC51" s="12">
        <v>1</v>
      </c>
      <c r="DD51" s="12"/>
      <c r="DE51" s="12">
        <v>1</v>
      </c>
      <c r="DI51" s="12"/>
      <c r="DJ51" s="12"/>
      <c r="DK51" s="12"/>
      <c r="DL51" s="12"/>
      <c r="DP51" s="12"/>
      <c r="DQ51" s="12"/>
      <c r="DR51" s="12"/>
      <c r="DS51" s="12"/>
      <c r="DW51" s="12"/>
      <c r="DX51" s="12"/>
      <c r="DY51" s="12"/>
      <c r="DZ51" s="12"/>
      <c r="ED51" s="12"/>
      <c r="EE51" s="12"/>
      <c r="EF51" s="12"/>
      <c r="EG51" s="12"/>
      <c r="EK51" s="12"/>
      <c r="EL51" s="12"/>
      <c r="EM51" s="12"/>
      <c r="EN51" s="12"/>
      <c r="ER51" s="12"/>
      <c r="ES51" s="12"/>
      <c r="ET51" s="12"/>
      <c r="EU51" s="12"/>
      <c r="EY51" s="21"/>
      <c r="EZ51" s="21"/>
      <c r="FA51" s="21"/>
      <c r="FB51" s="21"/>
      <c r="FF51" s="21"/>
      <c r="FG51" s="21"/>
      <c r="FH51" s="21"/>
      <c r="FI51" s="21"/>
    </row>
    <row r="52" spans="2:165" hidden="1" outlineLevel="1">
      <c r="B52" t="s">
        <v>28</v>
      </c>
      <c r="C52" t="s">
        <v>105</v>
      </c>
      <c r="E52" s="11"/>
      <c r="F52" t="s">
        <v>100</v>
      </c>
      <c r="G52" s="12">
        <v>0.11</v>
      </c>
      <c r="I52" s="11">
        <f t="shared" si="8"/>
        <v>0</v>
      </c>
      <c r="J52" s="13">
        <f t="shared" si="7"/>
        <v>0</v>
      </c>
      <c r="K52" s="13">
        <f t="shared" si="7"/>
        <v>0</v>
      </c>
      <c r="L52" s="11"/>
      <c r="O52" s="12"/>
      <c r="P52" s="12"/>
      <c r="Q52" s="12"/>
      <c r="R52" s="12"/>
      <c r="V52" s="12"/>
      <c r="W52" s="12"/>
      <c r="X52" s="12"/>
      <c r="Y52" s="12"/>
      <c r="AC52" s="12"/>
      <c r="AD52" s="12"/>
      <c r="AE52" s="12"/>
      <c r="AF52" s="12"/>
      <c r="AJ52" s="12"/>
      <c r="AK52" s="12"/>
      <c r="AL52" s="12"/>
      <c r="AM52" s="12"/>
      <c r="AQ52" s="12"/>
      <c r="AR52" s="12"/>
      <c r="AS52" s="12"/>
      <c r="AT52" s="12"/>
      <c r="AX52" s="12"/>
      <c r="AY52" s="12"/>
      <c r="AZ52" s="12"/>
      <c r="BA52" s="12"/>
      <c r="BE52" s="12"/>
      <c r="BF52" s="12"/>
      <c r="BG52" s="12"/>
      <c r="BH52" s="12"/>
      <c r="BL52" s="12"/>
      <c r="BM52" s="12"/>
      <c r="BN52" s="12"/>
      <c r="BO52" s="12"/>
      <c r="BS52" s="12"/>
      <c r="BT52" s="12"/>
      <c r="BU52" s="12"/>
      <c r="BV52" s="12"/>
      <c r="BZ52" s="12"/>
      <c r="CA52" s="12"/>
      <c r="CB52" s="12"/>
      <c r="CC52" s="12"/>
      <c r="CG52" s="12"/>
      <c r="CH52" s="12"/>
      <c r="CI52" s="12"/>
      <c r="CJ52" s="12"/>
      <c r="CN52" s="12"/>
      <c r="CO52" s="12"/>
      <c r="CP52" s="12"/>
      <c r="CQ52" s="12"/>
      <c r="CU52" s="12"/>
      <c r="CV52" s="12"/>
      <c r="CW52" s="12"/>
      <c r="CX52" s="12"/>
      <c r="DB52" s="12"/>
      <c r="DC52" s="12">
        <v>1</v>
      </c>
      <c r="DD52" s="12"/>
      <c r="DE52" s="12">
        <v>1</v>
      </c>
      <c r="DI52" s="12"/>
      <c r="DJ52" s="12"/>
      <c r="DK52" s="12"/>
      <c r="DL52" s="12"/>
      <c r="DP52" s="12"/>
      <c r="DQ52" s="12"/>
      <c r="DR52" s="12"/>
      <c r="DS52" s="12"/>
      <c r="DW52" s="12"/>
      <c r="DX52" s="12"/>
      <c r="DY52" s="12"/>
      <c r="DZ52" s="12"/>
      <c r="ED52" s="12"/>
      <c r="EE52" s="12"/>
      <c r="EF52" s="12"/>
      <c r="EG52" s="12"/>
      <c r="EK52" s="12"/>
      <c r="EL52" s="12"/>
      <c r="EM52" s="12"/>
      <c r="EN52" s="12"/>
      <c r="ER52" s="12"/>
      <c r="ES52" s="12"/>
      <c r="ET52" s="12"/>
      <c r="EU52" s="12"/>
      <c r="EY52" s="21"/>
      <c r="EZ52" s="21"/>
      <c r="FA52" s="21"/>
      <c r="FB52" s="21"/>
      <c r="FF52" s="21"/>
      <c r="FG52" s="21"/>
      <c r="FH52" s="21"/>
      <c r="FI52" s="21"/>
    </row>
    <row r="53" spans="2:165" collapsed="1">
      <c r="O53" s="9"/>
      <c r="V53" s="9"/>
      <c r="AC53" s="9"/>
      <c r="AJ53" s="9"/>
      <c r="AQ53" s="9"/>
      <c r="AX53" s="9"/>
      <c r="BE53" s="9"/>
      <c r="BL53" s="9"/>
      <c r="BS53" s="9"/>
      <c r="BZ53" s="9"/>
      <c r="CG53" s="9"/>
      <c r="CN53" s="9"/>
      <c r="CU53" s="9"/>
      <c r="DB53" s="9"/>
      <c r="DI53" s="9"/>
      <c r="DP53" s="9"/>
      <c r="DW53" s="9"/>
      <c r="ED53" s="9"/>
      <c r="EK53" s="9"/>
      <c r="ER53" s="9"/>
    </row>
    <row r="54" spans="2:165">
      <c r="B54" t="s">
        <v>27</v>
      </c>
      <c r="C54" t="s">
        <v>106</v>
      </c>
      <c r="E54" s="11">
        <v>4.5</v>
      </c>
      <c r="G54" s="12">
        <f>+SUM(G55:G64)</f>
        <v>0.99999999999999989</v>
      </c>
      <c r="I54" s="14">
        <f>+SUM(I55:I64)</f>
        <v>0</v>
      </c>
      <c r="J54" s="13">
        <f>+SUMPRODUCT(G55:G64,J55:J64)</f>
        <v>0</v>
      </c>
      <c r="K54" s="13">
        <f>+SUMPRODUCT(G55:G64,K55:K64)</f>
        <v>0</v>
      </c>
      <c r="L54" s="11"/>
      <c r="N54" s="14">
        <f>+SUM(N55:N64)</f>
        <v>0</v>
      </c>
      <c r="U54" s="14">
        <f>+SUM(U55:U64)</f>
        <v>0</v>
      </c>
      <c r="AB54" s="14">
        <f>+SUM(AB55:AB64)</f>
        <v>0</v>
      </c>
      <c r="AI54" s="14">
        <f>+SUM(AI55:AI64)</f>
        <v>0</v>
      </c>
      <c r="AP54" s="14">
        <f>+SUM(AP55:AP64)</f>
        <v>0</v>
      </c>
      <c r="AW54" s="14">
        <f>+SUM(AW55:AW64)</f>
        <v>0</v>
      </c>
      <c r="BD54" s="14">
        <f>+SUM(BD55:BD64)</f>
        <v>0</v>
      </c>
      <c r="BK54" s="14">
        <f>+SUM(BK55:BK64)</f>
        <v>0</v>
      </c>
      <c r="BR54" s="14">
        <f>+SUM(BR55:BR64)</f>
        <v>0</v>
      </c>
      <c r="BY54" s="14">
        <f>+SUM(BY55:BY64)</f>
        <v>0</v>
      </c>
      <c r="CF54" s="14">
        <f>+SUM(CF55:CF64)</f>
        <v>0</v>
      </c>
      <c r="CM54" s="14">
        <f>+SUM(CM55:CM64)</f>
        <v>0</v>
      </c>
      <c r="CT54" s="14">
        <f>+SUM(CT55:CT64)</f>
        <v>0</v>
      </c>
      <c r="DA54" s="14">
        <f>+SUM(DA55:DA64)</f>
        <v>0</v>
      </c>
      <c r="DH54" s="14">
        <f>+SUM(DH55:DH64)</f>
        <v>0</v>
      </c>
      <c r="DO54" s="14">
        <f>+SUM(DO55:DO64)</f>
        <v>0</v>
      </c>
      <c r="DV54" s="14">
        <f>+SUM(DV55:DV64)</f>
        <v>0</v>
      </c>
      <c r="EC54" s="14">
        <f>+SUM(EC55:EC64)</f>
        <v>0</v>
      </c>
      <c r="EJ54" s="14">
        <f>+SUM(EJ55:EJ64)</f>
        <v>0</v>
      </c>
      <c r="EQ54" s="14">
        <f>+SUM(EQ55:EQ64)</f>
        <v>0</v>
      </c>
      <c r="EX54" s="20"/>
      <c r="FE54" s="20"/>
    </row>
    <row r="55" spans="2:165" hidden="1" outlineLevel="1">
      <c r="B55" t="s">
        <v>28</v>
      </c>
      <c r="C55" t="s">
        <v>106</v>
      </c>
      <c r="E55" s="11"/>
      <c r="F55" t="s">
        <v>92</v>
      </c>
      <c r="G55" s="12">
        <v>0.1</v>
      </c>
      <c r="I55" s="11">
        <f>+SUMIF($N$3:$ZZ$3,I$3,$N55:$ZZ55)</f>
        <v>0</v>
      </c>
      <c r="J55" s="13">
        <f t="shared" ref="J55:K64" si="9">+_xlfn.MAXIFS($N55:$ZF55,$N$3:$ZF$3,J$3)</f>
        <v>0</v>
      </c>
      <c r="K55" s="13">
        <f t="shared" si="9"/>
        <v>0</v>
      </c>
      <c r="L55" s="11"/>
      <c r="O55" s="12"/>
      <c r="P55" s="12"/>
      <c r="Q55" s="12"/>
      <c r="R55" s="12"/>
      <c r="V55" s="12"/>
      <c r="W55" s="12"/>
      <c r="X55" s="12"/>
      <c r="Y55" s="12"/>
      <c r="AC55" s="12"/>
      <c r="AD55" s="12"/>
      <c r="AE55" s="12"/>
      <c r="AF55" s="12"/>
      <c r="AJ55" s="12"/>
      <c r="AK55" s="12"/>
      <c r="AL55" s="12"/>
      <c r="AM55" s="12"/>
      <c r="AQ55" s="12"/>
      <c r="AR55" s="12"/>
      <c r="AS55" s="12"/>
      <c r="AT55" s="12"/>
      <c r="AX55" s="12"/>
      <c r="AY55" s="12"/>
      <c r="AZ55" s="12"/>
      <c r="BA55" s="12"/>
      <c r="BE55" s="12"/>
      <c r="BF55" s="12"/>
      <c r="BG55" s="12"/>
      <c r="BH55" s="12"/>
      <c r="BL55" s="12"/>
      <c r="BM55" s="12"/>
      <c r="BN55" s="12"/>
      <c r="BO55" s="12"/>
      <c r="BS55" s="12"/>
      <c r="BT55" s="12"/>
      <c r="BU55" s="12"/>
      <c r="BV55" s="12"/>
      <c r="BZ55" s="12"/>
      <c r="CA55" s="12"/>
      <c r="CB55" s="12"/>
      <c r="CC55" s="12"/>
      <c r="CG55" s="12"/>
      <c r="CH55" s="12"/>
      <c r="CI55" s="12"/>
      <c r="CJ55" s="12"/>
      <c r="CN55" s="12"/>
      <c r="CO55" s="12"/>
      <c r="CP55" s="12"/>
      <c r="CQ55" s="12"/>
      <c r="CU55" s="12"/>
      <c r="CV55" s="12"/>
      <c r="CW55" s="12"/>
      <c r="CX55" s="12"/>
      <c r="DB55" s="12"/>
      <c r="DC55" s="12">
        <v>1</v>
      </c>
      <c r="DD55" s="12"/>
      <c r="DE55" s="12">
        <v>1</v>
      </c>
      <c r="DI55" s="12"/>
      <c r="DJ55" s="12"/>
      <c r="DK55" s="12"/>
      <c r="DL55" s="12"/>
      <c r="DP55" s="12"/>
      <c r="DQ55" s="12"/>
      <c r="DR55" s="12"/>
      <c r="DS55" s="12"/>
      <c r="DW55" s="12"/>
      <c r="DX55" s="12"/>
      <c r="DY55" s="12"/>
      <c r="DZ55" s="12"/>
      <c r="ED55" s="12"/>
      <c r="EE55" s="12"/>
      <c r="EF55" s="12"/>
      <c r="EG55" s="12"/>
      <c r="EK55" s="12"/>
      <c r="EL55" s="12"/>
      <c r="EM55" s="12"/>
      <c r="EN55" s="12"/>
      <c r="ER55" s="12"/>
      <c r="ES55" s="12">
        <v>1</v>
      </c>
      <c r="ET55" s="12"/>
      <c r="EU55" s="12"/>
      <c r="EY55" s="21"/>
      <c r="EZ55" s="21"/>
      <c r="FA55" s="21"/>
      <c r="FB55" s="21"/>
      <c r="FF55" s="21"/>
      <c r="FG55" s="21"/>
      <c r="FH55" s="21"/>
      <c r="FI55" s="21"/>
    </row>
    <row r="56" spans="2:165" hidden="1" outlineLevel="1">
      <c r="B56" t="s">
        <v>28</v>
      </c>
      <c r="C56" t="s">
        <v>106</v>
      </c>
      <c r="E56" s="11"/>
      <c r="F56" t="s">
        <v>93</v>
      </c>
      <c r="G56" s="12">
        <v>0.1</v>
      </c>
      <c r="I56" s="11">
        <f t="shared" ref="I56:I64" si="10">+SUMIF($N$3:$ZZ$3,I$3,$N56:$ZZ56)</f>
        <v>0</v>
      </c>
      <c r="J56" s="13">
        <f t="shared" si="9"/>
        <v>0</v>
      </c>
      <c r="K56" s="13">
        <f t="shared" si="9"/>
        <v>0</v>
      </c>
      <c r="L56" s="11"/>
      <c r="O56" s="12"/>
      <c r="P56" s="12"/>
      <c r="Q56" s="12"/>
      <c r="R56" s="12"/>
      <c r="V56" s="12"/>
      <c r="W56" s="12"/>
      <c r="X56" s="12"/>
      <c r="Y56" s="12"/>
      <c r="AC56" s="12"/>
      <c r="AD56" s="12"/>
      <c r="AE56" s="12"/>
      <c r="AF56" s="12"/>
      <c r="AJ56" s="12"/>
      <c r="AK56" s="12"/>
      <c r="AL56" s="12"/>
      <c r="AM56" s="12"/>
      <c r="AQ56" s="12"/>
      <c r="AR56" s="12"/>
      <c r="AS56" s="12"/>
      <c r="AT56" s="12"/>
      <c r="AX56" s="12"/>
      <c r="AY56" s="12"/>
      <c r="AZ56" s="12"/>
      <c r="BA56" s="12"/>
      <c r="BE56" s="12"/>
      <c r="BF56" s="12"/>
      <c r="BG56" s="12"/>
      <c r="BH56" s="12"/>
      <c r="BL56" s="12"/>
      <c r="BM56" s="12"/>
      <c r="BN56" s="12"/>
      <c r="BO56" s="12"/>
      <c r="BS56" s="12"/>
      <c r="BT56" s="12"/>
      <c r="BU56" s="12"/>
      <c r="BV56" s="12"/>
      <c r="BZ56" s="12"/>
      <c r="CA56" s="12"/>
      <c r="CB56" s="12"/>
      <c r="CC56" s="12"/>
      <c r="CG56" s="12"/>
      <c r="CH56" s="12"/>
      <c r="CI56" s="12"/>
      <c r="CJ56" s="12"/>
      <c r="CN56" s="12"/>
      <c r="CO56" s="12"/>
      <c r="CP56" s="12"/>
      <c r="CQ56" s="12"/>
      <c r="CU56" s="12"/>
      <c r="CV56" s="12"/>
      <c r="CW56" s="12"/>
      <c r="CX56" s="12"/>
      <c r="DB56" s="12"/>
      <c r="DC56" s="12">
        <v>1</v>
      </c>
      <c r="DD56" s="12"/>
      <c r="DE56" s="12">
        <v>1</v>
      </c>
      <c r="DI56" s="12"/>
      <c r="DJ56" s="12"/>
      <c r="DK56" s="12"/>
      <c r="DL56" s="12"/>
      <c r="DP56" s="12"/>
      <c r="DQ56" s="12"/>
      <c r="DR56" s="12"/>
      <c r="DS56" s="12"/>
      <c r="DW56" s="12"/>
      <c r="DX56" s="12"/>
      <c r="DY56" s="12"/>
      <c r="DZ56" s="12"/>
      <c r="ED56" s="12"/>
      <c r="EE56" s="12"/>
      <c r="EF56" s="12"/>
      <c r="EG56" s="12"/>
      <c r="EK56" s="12"/>
      <c r="EL56" s="12"/>
      <c r="EM56" s="12"/>
      <c r="EN56" s="12"/>
      <c r="ER56" s="12"/>
      <c r="ES56" s="12">
        <v>1</v>
      </c>
      <c r="ET56" s="12"/>
      <c r="EU56" s="12"/>
      <c r="EY56" s="21"/>
      <c r="EZ56" s="21"/>
      <c r="FA56" s="21"/>
      <c r="FB56" s="21"/>
      <c r="FF56" s="21"/>
      <c r="FG56" s="21"/>
      <c r="FH56" s="21"/>
      <c r="FI56" s="21"/>
    </row>
    <row r="57" spans="2:165" hidden="1" outlineLevel="1">
      <c r="B57" t="s">
        <v>28</v>
      </c>
      <c r="C57" t="s">
        <v>106</v>
      </c>
      <c r="E57" s="11"/>
      <c r="F57" t="s">
        <v>94</v>
      </c>
      <c r="G57" s="12">
        <v>0.1</v>
      </c>
      <c r="I57" s="11">
        <f t="shared" si="10"/>
        <v>0</v>
      </c>
      <c r="J57" s="13">
        <f t="shared" si="9"/>
        <v>0</v>
      </c>
      <c r="K57" s="13">
        <f t="shared" si="9"/>
        <v>0</v>
      </c>
      <c r="L57" s="11"/>
      <c r="O57" s="12"/>
      <c r="P57" s="12"/>
      <c r="Q57" s="12"/>
      <c r="R57" s="12"/>
      <c r="V57" s="12"/>
      <c r="W57" s="12"/>
      <c r="X57" s="12"/>
      <c r="Y57" s="12"/>
      <c r="AC57" s="12"/>
      <c r="AD57" s="12"/>
      <c r="AE57" s="12"/>
      <c r="AF57" s="12"/>
      <c r="AJ57" s="12"/>
      <c r="AK57" s="12"/>
      <c r="AL57" s="12"/>
      <c r="AM57" s="12"/>
      <c r="AQ57" s="12"/>
      <c r="AR57" s="12"/>
      <c r="AS57" s="12"/>
      <c r="AT57" s="12"/>
      <c r="AX57" s="12"/>
      <c r="AY57" s="12"/>
      <c r="AZ57" s="12"/>
      <c r="BA57" s="12"/>
      <c r="BE57" s="12"/>
      <c r="BF57" s="12"/>
      <c r="BG57" s="12"/>
      <c r="BH57" s="12"/>
      <c r="BL57" s="12"/>
      <c r="BM57" s="12"/>
      <c r="BN57" s="12"/>
      <c r="BO57" s="12"/>
      <c r="BS57" s="12"/>
      <c r="BT57" s="12"/>
      <c r="BU57" s="12"/>
      <c r="BV57" s="12"/>
      <c r="BZ57" s="12"/>
      <c r="CA57" s="12"/>
      <c r="CB57" s="12"/>
      <c r="CC57" s="12"/>
      <c r="CG57" s="12"/>
      <c r="CH57" s="12"/>
      <c r="CI57" s="12"/>
      <c r="CJ57" s="12"/>
      <c r="CN57" s="12"/>
      <c r="CO57" s="12"/>
      <c r="CP57" s="12"/>
      <c r="CQ57" s="12"/>
      <c r="CU57" s="12"/>
      <c r="CV57" s="12"/>
      <c r="CW57" s="12"/>
      <c r="CX57" s="12"/>
      <c r="DB57" s="12"/>
      <c r="DC57" s="12">
        <v>1</v>
      </c>
      <c r="DD57" s="12"/>
      <c r="DE57" s="12">
        <v>1</v>
      </c>
      <c r="DI57" s="12"/>
      <c r="DJ57" s="12"/>
      <c r="DK57" s="12"/>
      <c r="DL57" s="12"/>
      <c r="DP57" s="12"/>
      <c r="DQ57" s="12"/>
      <c r="DR57" s="12"/>
      <c r="DS57" s="12"/>
      <c r="DW57" s="12"/>
      <c r="DX57" s="12"/>
      <c r="DY57" s="12"/>
      <c r="DZ57" s="12"/>
      <c r="ED57" s="12"/>
      <c r="EE57" s="12"/>
      <c r="EF57" s="12"/>
      <c r="EG57" s="12"/>
      <c r="EK57" s="12"/>
      <c r="EL57" s="12"/>
      <c r="EM57" s="12"/>
      <c r="EN57" s="12"/>
      <c r="ER57" s="12"/>
      <c r="ES57" s="12">
        <v>1</v>
      </c>
      <c r="ET57" s="12"/>
      <c r="EU57" s="12"/>
      <c r="EY57" s="21"/>
      <c r="EZ57" s="21"/>
      <c r="FA57" s="21"/>
      <c r="FB57" s="21"/>
      <c r="FF57" s="21"/>
      <c r="FG57" s="21"/>
      <c r="FH57" s="21"/>
      <c r="FI57" s="21"/>
    </row>
    <row r="58" spans="2:165" hidden="1" outlineLevel="1">
      <c r="B58" t="s">
        <v>28</v>
      </c>
      <c r="C58" t="s">
        <v>106</v>
      </c>
      <c r="E58" s="11"/>
      <c r="F58" t="s">
        <v>95</v>
      </c>
      <c r="G58" s="12">
        <v>0.1</v>
      </c>
      <c r="I58" s="11">
        <f t="shared" si="10"/>
        <v>0</v>
      </c>
      <c r="J58" s="13">
        <f t="shared" si="9"/>
        <v>0</v>
      </c>
      <c r="K58" s="13">
        <f t="shared" si="9"/>
        <v>0</v>
      </c>
      <c r="L58" s="11"/>
      <c r="O58" s="12"/>
      <c r="P58" s="12"/>
      <c r="Q58" s="12"/>
      <c r="R58" s="12"/>
      <c r="V58" s="12"/>
      <c r="W58" s="12"/>
      <c r="X58" s="12"/>
      <c r="Y58" s="12"/>
      <c r="AC58" s="12"/>
      <c r="AD58" s="12"/>
      <c r="AE58" s="12"/>
      <c r="AF58" s="12"/>
      <c r="AJ58" s="12"/>
      <c r="AK58" s="12"/>
      <c r="AL58" s="12"/>
      <c r="AM58" s="12"/>
      <c r="AQ58" s="12"/>
      <c r="AR58" s="12"/>
      <c r="AS58" s="12"/>
      <c r="AT58" s="12"/>
      <c r="AX58" s="12"/>
      <c r="AY58" s="12"/>
      <c r="AZ58" s="12"/>
      <c r="BA58" s="12"/>
      <c r="BE58" s="12"/>
      <c r="BF58" s="12"/>
      <c r="BG58" s="12"/>
      <c r="BH58" s="12"/>
      <c r="BL58" s="12"/>
      <c r="BM58" s="12"/>
      <c r="BN58" s="12"/>
      <c r="BO58" s="12"/>
      <c r="BS58" s="12"/>
      <c r="BT58" s="12"/>
      <c r="BU58" s="12"/>
      <c r="BV58" s="12"/>
      <c r="BZ58" s="12"/>
      <c r="CA58" s="12"/>
      <c r="CB58" s="12"/>
      <c r="CC58" s="12"/>
      <c r="CG58" s="12"/>
      <c r="CH58" s="12"/>
      <c r="CI58" s="12"/>
      <c r="CJ58" s="12"/>
      <c r="CN58" s="12"/>
      <c r="CO58" s="12"/>
      <c r="CP58" s="12"/>
      <c r="CQ58" s="12"/>
      <c r="CU58" s="12"/>
      <c r="CV58" s="12"/>
      <c r="CW58" s="12"/>
      <c r="CX58" s="12"/>
      <c r="DB58" s="12"/>
      <c r="DC58" s="12">
        <v>1</v>
      </c>
      <c r="DD58" s="12"/>
      <c r="DE58" s="12">
        <v>1</v>
      </c>
      <c r="DI58" s="12"/>
      <c r="DJ58" s="12"/>
      <c r="DK58" s="12"/>
      <c r="DL58" s="12"/>
      <c r="DP58" s="12"/>
      <c r="DQ58" s="12"/>
      <c r="DR58" s="12"/>
      <c r="DS58" s="12"/>
      <c r="DW58" s="12"/>
      <c r="DX58" s="12"/>
      <c r="DY58" s="12"/>
      <c r="DZ58" s="12"/>
      <c r="ED58" s="12"/>
      <c r="EE58" s="12"/>
      <c r="EF58" s="12"/>
      <c r="EG58" s="12"/>
      <c r="EK58" s="12"/>
      <c r="EL58" s="12"/>
      <c r="EM58" s="12"/>
      <c r="EN58" s="12"/>
      <c r="ER58" s="12"/>
      <c r="ES58" s="12">
        <v>1</v>
      </c>
      <c r="ET58" s="12"/>
      <c r="EU58" s="12"/>
      <c r="EY58" s="21"/>
      <c r="EZ58" s="21"/>
      <c r="FA58" s="21"/>
      <c r="FB58" s="21"/>
      <c r="FF58" s="21"/>
      <c r="FG58" s="21"/>
      <c r="FH58" s="21"/>
      <c r="FI58" s="21"/>
    </row>
    <row r="59" spans="2:165" hidden="1" outlineLevel="1">
      <c r="B59" t="s">
        <v>28</v>
      </c>
      <c r="C59" t="s">
        <v>106</v>
      </c>
      <c r="E59" s="11"/>
      <c r="F59" t="s">
        <v>96</v>
      </c>
      <c r="G59" s="12">
        <v>0.1</v>
      </c>
      <c r="I59" s="11">
        <f t="shared" si="10"/>
        <v>0</v>
      </c>
      <c r="J59" s="13">
        <f t="shared" si="9"/>
        <v>0</v>
      </c>
      <c r="K59" s="13">
        <f t="shared" si="9"/>
        <v>0</v>
      </c>
      <c r="L59" s="11"/>
      <c r="O59" s="12"/>
      <c r="P59" s="12"/>
      <c r="Q59" s="12"/>
      <c r="R59" s="12"/>
      <c r="V59" s="12"/>
      <c r="W59" s="12"/>
      <c r="X59" s="12"/>
      <c r="Y59" s="12"/>
      <c r="AC59" s="12"/>
      <c r="AD59" s="12"/>
      <c r="AE59" s="12"/>
      <c r="AF59" s="12"/>
      <c r="AJ59" s="12"/>
      <c r="AK59" s="12"/>
      <c r="AL59" s="12"/>
      <c r="AM59" s="12"/>
      <c r="AQ59" s="12"/>
      <c r="AR59" s="12"/>
      <c r="AS59" s="12"/>
      <c r="AT59" s="12"/>
      <c r="AX59" s="12"/>
      <c r="AY59" s="12"/>
      <c r="AZ59" s="12"/>
      <c r="BA59" s="12"/>
      <c r="BE59" s="12"/>
      <c r="BF59" s="12"/>
      <c r="BG59" s="12"/>
      <c r="BH59" s="12"/>
      <c r="BL59" s="12"/>
      <c r="BM59" s="12"/>
      <c r="BN59" s="12"/>
      <c r="BO59" s="12"/>
      <c r="BS59" s="12"/>
      <c r="BT59" s="12"/>
      <c r="BU59" s="12"/>
      <c r="BV59" s="12"/>
      <c r="BZ59" s="12"/>
      <c r="CA59" s="12"/>
      <c r="CB59" s="12"/>
      <c r="CC59" s="12"/>
      <c r="CG59" s="12"/>
      <c r="CH59" s="12"/>
      <c r="CI59" s="12"/>
      <c r="CJ59" s="12"/>
      <c r="CN59" s="12"/>
      <c r="CO59" s="12"/>
      <c r="CP59" s="12"/>
      <c r="CQ59" s="12"/>
      <c r="CU59" s="12"/>
      <c r="CV59" s="12"/>
      <c r="CW59" s="12"/>
      <c r="CX59" s="12"/>
      <c r="DB59" s="12"/>
      <c r="DC59" s="12">
        <v>1</v>
      </c>
      <c r="DD59" s="12"/>
      <c r="DE59" s="12">
        <v>1</v>
      </c>
      <c r="DI59" s="12"/>
      <c r="DJ59" s="12"/>
      <c r="DK59" s="12"/>
      <c r="DL59" s="12"/>
      <c r="DP59" s="12"/>
      <c r="DQ59" s="12"/>
      <c r="DR59" s="12"/>
      <c r="DS59" s="12"/>
      <c r="DW59" s="12"/>
      <c r="DX59" s="12"/>
      <c r="DY59" s="12"/>
      <c r="DZ59" s="12"/>
      <c r="ED59" s="12"/>
      <c r="EE59" s="12"/>
      <c r="EF59" s="12"/>
      <c r="EG59" s="12"/>
      <c r="EK59" s="12"/>
      <c r="EL59" s="12"/>
      <c r="EM59" s="12"/>
      <c r="EN59" s="12"/>
      <c r="ER59" s="12"/>
      <c r="ES59" s="12">
        <v>1</v>
      </c>
      <c r="ET59" s="12"/>
      <c r="EU59" s="12"/>
      <c r="EY59" s="21"/>
      <c r="EZ59" s="21"/>
      <c r="FA59" s="21"/>
      <c r="FB59" s="21"/>
      <c r="FF59" s="21"/>
      <c r="FG59" s="21"/>
      <c r="FH59" s="21"/>
      <c r="FI59" s="21"/>
    </row>
    <row r="60" spans="2:165" hidden="1" outlineLevel="1">
      <c r="B60" t="s">
        <v>28</v>
      </c>
      <c r="C60" t="s">
        <v>106</v>
      </c>
      <c r="E60" s="11"/>
      <c r="F60" t="s">
        <v>97</v>
      </c>
      <c r="G60" s="12">
        <v>0.1</v>
      </c>
      <c r="I60" s="11">
        <f t="shared" si="10"/>
        <v>0</v>
      </c>
      <c r="J60" s="13">
        <f t="shared" si="9"/>
        <v>0</v>
      </c>
      <c r="K60" s="13">
        <f t="shared" si="9"/>
        <v>0</v>
      </c>
      <c r="L60" s="11"/>
      <c r="O60" s="12"/>
      <c r="P60" s="12"/>
      <c r="Q60" s="12"/>
      <c r="R60" s="12"/>
      <c r="V60" s="12"/>
      <c r="W60" s="12"/>
      <c r="X60" s="12"/>
      <c r="Y60" s="12"/>
      <c r="AC60" s="12"/>
      <c r="AD60" s="12"/>
      <c r="AE60" s="12"/>
      <c r="AF60" s="12"/>
      <c r="AJ60" s="12"/>
      <c r="AK60" s="12"/>
      <c r="AL60" s="12"/>
      <c r="AM60" s="12"/>
      <c r="AQ60" s="12"/>
      <c r="AR60" s="12"/>
      <c r="AS60" s="12"/>
      <c r="AT60" s="12"/>
      <c r="AX60" s="12"/>
      <c r="AY60" s="12"/>
      <c r="AZ60" s="12"/>
      <c r="BA60" s="12"/>
      <c r="BE60" s="12"/>
      <c r="BF60" s="12"/>
      <c r="BG60" s="12"/>
      <c r="BH60" s="12"/>
      <c r="BL60" s="12"/>
      <c r="BM60" s="12"/>
      <c r="BN60" s="12"/>
      <c r="BO60" s="12"/>
      <c r="BS60" s="12"/>
      <c r="BT60" s="12"/>
      <c r="BU60" s="12"/>
      <c r="BV60" s="12"/>
      <c r="BZ60" s="12"/>
      <c r="CA60" s="12"/>
      <c r="CB60" s="12"/>
      <c r="CC60" s="12"/>
      <c r="CG60" s="12"/>
      <c r="CH60" s="12"/>
      <c r="CI60" s="12"/>
      <c r="CJ60" s="12"/>
      <c r="CN60" s="12"/>
      <c r="CO60" s="12"/>
      <c r="CP60" s="12"/>
      <c r="CQ60" s="12"/>
      <c r="CU60" s="12"/>
      <c r="CV60" s="12"/>
      <c r="CW60" s="12"/>
      <c r="CX60" s="12"/>
      <c r="DB60" s="12"/>
      <c r="DC60" s="12">
        <v>1</v>
      </c>
      <c r="DD60" s="12"/>
      <c r="DE60" s="12">
        <v>1</v>
      </c>
      <c r="DI60" s="12"/>
      <c r="DJ60" s="12"/>
      <c r="DK60" s="12"/>
      <c r="DL60" s="12"/>
      <c r="DP60" s="12"/>
      <c r="DQ60" s="12"/>
      <c r="DR60" s="12"/>
      <c r="DS60" s="12"/>
      <c r="DW60" s="12"/>
      <c r="DX60" s="12"/>
      <c r="DY60" s="12"/>
      <c r="DZ60" s="12"/>
      <c r="ED60" s="12"/>
      <c r="EE60" s="12"/>
      <c r="EF60" s="12"/>
      <c r="EG60" s="12"/>
      <c r="EK60" s="12"/>
      <c r="EL60" s="12"/>
      <c r="EM60" s="12"/>
      <c r="EN60" s="12"/>
      <c r="ER60" s="12"/>
      <c r="ES60" s="12">
        <v>1</v>
      </c>
      <c r="ET60" s="12"/>
      <c r="EU60" s="12"/>
      <c r="EY60" s="21"/>
      <c r="EZ60" s="21"/>
      <c r="FA60" s="21"/>
      <c r="FB60" s="21"/>
      <c r="FF60" s="21"/>
      <c r="FG60" s="21"/>
      <c r="FH60" s="21"/>
      <c r="FI60" s="21"/>
    </row>
    <row r="61" spans="2:165" hidden="1" outlineLevel="1">
      <c r="B61" t="s">
        <v>28</v>
      </c>
      <c r="C61" t="s">
        <v>106</v>
      </c>
      <c r="E61" s="11"/>
      <c r="F61" t="s">
        <v>98</v>
      </c>
      <c r="G61" s="12">
        <v>0.1</v>
      </c>
      <c r="I61" s="11">
        <f t="shared" si="10"/>
        <v>0</v>
      </c>
      <c r="J61" s="13">
        <f t="shared" si="9"/>
        <v>0</v>
      </c>
      <c r="K61" s="13">
        <f t="shared" si="9"/>
        <v>0</v>
      </c>
      <c r="L61" s="11"/>
      <c r="O61" s="12"/>
      <c r="P61" s="12"/>
      <c r="Q61" s="12"/>
      <c r="R61" s="12"/>
      <c r="V61" s="12"/>
      <c r="W61" s="12"/>
      <c r="X61" s="12"/>
      <c r="Y61" s="12"/>
      <c r="AC61" s="12"/>
      <c r="AD61" s="12"/>
      <c r="AE61" s="12"/>
      <c r="AF61" s="12"/>
      <c r="AJ61" s="12"/>
      <c r="AK61" s="12"/>
      <c r="AL61" s="12"/>
      <c r="AM61" s="12"/>
      <c r="AQ61" s="12"/>
      <c r="AR61" s="12"/>
      <c r="AS61" s="12"/>
      <c r="AT61" s="12"/>
      <c r="AX61" s="12"/>
      <c r="AY61" s="12"/>
      <c r="AZ61" s="12"/>
      <c r="BA61" s="12"/>
      <c r="BE61" s="12"/>
      <c r="BF61" s="12"/>
      <c r="BG61" s="12"/>
      <c r="BH61" s="12"/>
      <c r="BL61" s="12"/>
      <c r="BM61" s="12"/>
      <c r="BN61" s="12"/>
      <c r="BO61" s="12"/>
      <c r="BS61" s="12"/>
      <c r="BT61" s="12"/>
      <c r="BU61" s="12"/>
      <c r="BV61" s="12"/>
      <c r="BZ61" s="12"/>
      <c r="CA61" s="12"/>
      <c r="CB61" s="12"/>
      <c r="CC61" s="12"/>
      <c r="CG61" s="12"/>
      <c r="CH61" s="12"/>
      <c r="CI61" s="12"/>
      <c r="CJ61" s="12"/>
      <c r="CN61" s="12"/>
      <c r="CO61" s="12"/>
      <c r="CP61" s="12"/>
      <c r="CQ61" s="12"/>
      <c r="CU61" s="12"/>
      <c r="CV61" s="12"/>
      <c r="CW61" s="12"/>
      <c r="CX61" s="12"/>
      <c r="DB61" s="12"/>
      <c r="DC61" s="12">
        <v>1</v>
      </c>
      <c r="DD61" s="12"/>
      <c r="DE61" s="12">
        <v>1</v>
      </c>
      <c r="DI61" s="12"/>
      <c r="DJ61" s="12"/>
      <c r="DK61" s="12"/>
      <c r="DL61" s="12"/>
      <c r="DP61" s="12"/>
      <c r="DQ61" s="12"/>
      <c r="DR61" s="12"/>
      <c r="DS61" s="12"/>
      <c r="DW61" s="12"/>
      <c r="DX61" s="12"/>
      <c r="DY61" s="12"/>
      <c r="DZ61" s="12"/>
      <c r="ED61" s="12"/>
      <c r="EE61" s="12"/>
      <c r="EF61" s="12"/>
      <c r="EG61" s="12"/>
      <c r="EK61" s="12"/>
      <c r="EL61" s="12"/>
      <c r="EM61" s="12"/>
      <c r="EN61" s="12"/>
      <c r="ER61" s="12"/>
      <c r="ES61" s="12">
        <v>1</v>
      </c>
      <c r="ET61" s="12"/>
      <c r="EU61" s="12"/>
      <c r="EY61" s="21"/>
      <c r="EZ61" s="21"/>
      <c r="FA61" s="21"/>
      <c r="FB61" s="21"/>
      <c r="FF61" s="21"/>
      <c r="FG61" s="21"/>
      <c r="FH61" s="21"/>
      <c r="FI61" s="21"/>
    </row>
    <row r="62" spans="2:165" hidden="1" outlineLevel="1">
      <c r="B62" t="s">
        <v>28</v>
      </c>
      <c r="C62" t="s">
        <v>106</v>
      </c>
      <c r="E62" s="11"/>
      <c r="F62" t="s">
        <v>99</v>
      </c>
      <c r="G62" s="12">
        <v>0.1</v>
      </c>
      <c r="I62" s="11">
        <f t="shared" si="10"/>
        <v>0</v>
      </c>
      <c r="J62" s="13">
        <f t="shared" si="9"/>
        <v>0</v>
      </c>
      <c r="K62" s="13">
        <f t="shared" si="9"/>
        <v>0</v>
      </c>
      <c r="L62" s="11"/>
      <c r="O62" s="12"/>
      <c r="P62" s="12"/>
      <c r="Q62" s="12"/>
      <c r="R62" s="12"/>
      <c r="V62" s="12"/>
      <c r="W62" s="12"/>
      <c r="X62" s="12"/>
      <c r="Y62" s="12"/>
      <c r="AC62" s="12"/>
      <c r="AD62" s="12"/>
      <c r="AE62" s="12"/>
      <c r="AF62" s="12"/>
      <c r="AJ62" s="12"/>
      <c r="AK62" s="12"/>
      <c r="AL62" s="12"/>
      <c r="AM62" s="12"/>
      <c r="AQ62" s="12"/>
      <c r="AR62" s="12"/>
      <c r="AS62" s="12"/>
      <c r="AT62" s="12"/>
      <c r="AX62" s="12"/>
      <c r="AY62" s="12"/>
      <c r="AZ62" s="12"/>
      <c r="BA62" s="12"/>
      <c r="BE62" s="12"/>
      <c r="BF62" s="12"/>
      <c r="BG62" s="12"/>
      <c r="BH62" s="12"/>
      <c r="BL62" s="12"/>
      <c r="BM62" s="12"/>
      <c r="BN62" s="12"/>
      <c r="BO62" s="12"/>
      <c r="BS62" s="12"/>
      <c r="BT62" s="12"/>
      <c r="BU62" s="12"/>
      <c r="BV62" s="12"/>
      <c r="BZ62" s="12"/>
      <c r="CA62" s="12"/>
      <c r="CB62" s="12"/>
      <c r="CC62" s="12"/>
      <c r="CG62" s="12"/>
      <c r="CH62" s="12"/>
      <c r="CI62" s="12"/>
      <c r="CJ62" s="12"/>
      <c r="CN62" s="12"/>
      <c r="CO62" s="12"/>
      <c r="CP62" s="12"/>
      <c r="CQ62" s="12"/>
      <c r="CU62" s="12"/>
      <c r="CV62" s="12"/>
      <c r="CW62" s="12"/>
      <c r="CX62" s="12"/>
      <c r="DB62" s="12"/>
      <c r="DC62" s="12">
        <v>1</v>
      </c>
      <c r="DD62" s="12"/>
      <c r="DE62" s="12">
        <v>1</v>
      </c>
      <c r="DI62" s="12"/>
      <c r="DJ62" s="12"/>
      <c r="DK62" s="12"/>
      <c r="DL62" s="12"/>
      <c r="DP62" s="12"/>
      <c r="DQ62" s="12"/>
      <c r="DR62" s="12"/>
      <c r="DS62" s="12"/>
      <c r="DW62" s="12"/>
      <c r="DX62" s="12"/>
      <c r="DY62" s="12"/>
      <c r="DZ62" s="12"/>
      <c r="ED62" s="12"/>
      <c r="EE62" s="12"/>
      <c r="EF62" s="12"/>
      <c r="EG62" s="12"/>
      <c r="EK62" s="12"/>
      <c r="EL62" s="12"/>
      <c r="EM62" s="12"/>
      <c r="EN62" s="12"/>
      <c r="ER62" s="12"/>
      <c r="ES62" s="12">
        <v>1</v>
      </c>
      <c r="ET62" s="12"/>
      <c r="EU62" s="12"/>
      <c r="EY62" s="21"/>
      <c r="EZ62" s="21"/>
      <c r="FA62" s="21"/>
      <c r="FB62" s="21"/>
      <c r="FF62" s="21"/>
      <c r="FG62" s="21"/>
      <c r="FH62" s="21"/>
      <c r="FI62" s="21"/>
    </row>
    <row r="63" spans="2:165" hidden="1" outlineLevel="1">
      <c r="B63" t="s">
        <v>28</v>
      </c>
      <c r="C63" t="s">
        <v>106</v>
      </c>
      <c r="E63" s="11"/>
      <c r="F63" t="s">
        <v>100</v>
      </c>
      <c r="G63" s="12">
        <v>0.1</v>
      </c>
      <c r="I63" s="11">
        <f t="shared" si="10"/>
        <v>0</v>
      </c>
      <c r="J63" s="13">
        <f t="shared" si="9"/>
        <v>0</v>
      </c>
      <c r="K63" s="13">
        <f t="shared" si="9"/>
        <v>0</v>
      </c>
      <c r="L63" s="11"/>
      <c r="O63" s="12"/>
      <c r="P63" s="12"/>
      <c r="Q63" s="12"/>
      <c r="R63" s="12"/>
      <c r="V63" s="12"/>
      <c r="W63" s="12"/>
      <c r="X63" s="12"/>
      <c r="Y63" s="12"/>
      <c r="AC63" s="12"/>
      <c r="AD63" s="12"/>
      <c r="AE63" s="12"/>
      <c r="AF63" s="12"/>
      <c r="AJ63" s="12"/>
      <c r="AK63" s="12"/>
      <c r="AL63" s="12"/>
      <c r="AM63" s="12"/>
      <c r="AQ63" s="12"/>
      <c r="AR63" s="12"/>
      <c r="AS63" s="12"/>
      <c r="AT63" s="12"/>
      <c r="AX63" s="12"/>
      <c r="AY63" s="12"/>
      <c r="AZ63" s="12"/>
      <c r="BA63" s="12"/>
      <c r="BE63" s="12"/>
      <c r="BF63" s="12"/>
      <c r="BG63" s="12"/>
      <c r="BH63" s="12"/>
      <c r="BL63" s="12"/>
      <c r="BM63" s="12"/>
      <c r="BN63" s="12"/>
      <c r="BO63" s="12"/>
      <c r="BS63" s="12"/>
      <c r="BT63" s="12"/>
      <c r="BU63" s="12"/>
      <c r="BV63" s="12"/>
      <c r="BZ63" s="12"/>
      <c r="CA63" s="12"/>
      <c r="CB63" s="12"/>
      <c r="CC63" s="12"/>
      <c r="CG63" s="12"/>
      <c r="CH63" s="12"/>
      <c r="CI63" s="12"/>
      <c r="CJ63" s="12"/>
      <c r="CN63" s="12"/>
      <c r="CO63" s="12"/>
      <c r="CP63" s="12"/>
      <c r="CQ63" s="12"/>
      <c r="CU63" s="12"/>
      <c r="CV63" s="12"/>
      <c r="CW63" s="12"/>
      <c r="CX63" s="12"/>
      <c r="DB63" s="12"/>
      <c r="DC63" s="12">
        <v>1</v>
      </c>
      <c r="DD63" s="12"/>
      <c r="DE63" s="12">
        <v>1</v>
      </c>
      <c r="DI63" s="12"/>
      <c r="DJ63" s="12"/>
      <c r="DK63" s="12"/>
      <c r="DL63" s="12"/>
      <c r="DP63" s="12"/>
      <c r="DQ63" s="12"/>
      <c r="DR63" s="12"/>
      <c r="DS63" s="12"/>
      <c r="DW63" s="12"/>
      <c r="DX63" s="12"/>
      <c r="DY63" s="12"/>
      <c r="DZ63" s="12"/>
      <c r="ED63" s="12"/>
      <c r="EE63" s="12"/>
      <c r="EF63" s="12"/>
      <c r="EG63" s="12"/>
      <c r="EK63" s="12"/>
      <c r="EL63" s="12"/>
      <c r="EM63" s="12"/>
      <c r="EN63" s="12"/>
      <c r="ER63" s="12"/>
      <c r="ES63" s="12">
        <v>1</v>
      </c>
      <c r="ET63" s="12"/>
      <c r="EU63" s="12"/>
      <c r="EY63" s="21"/>
      <c r="EZ63" s="21"/>
      <c r="FA63" s="21"/>
      <c r="FB63" s="21"/>
      <c r="FF63" s="21"/>
      <c r="FG63" s="21"/>
      <c r="FH63" s="21"/>
      <c r="FI63" s="21"/>
    </row>
    <row r="64" spans="2:165" hidden="1" outlineLevel="1">
      <c r="B64" t="s">
        <v>28</v>
      </c>
      <c r="C64" t="s">
        <v>106</v>
      </c>
      <c r="E64" s="11"/>
      <c r="F64" t="s">
        <v>101</v>
      </c>
      <c r="G64" s="12">
        <v>0.1</v>
      </c>
      <c r="I64" s="11">
        <f t="shared" si="10"/>
        <v>0</v>
      </c>
      <c r="J64" s="13">
        <f t="shared" si="9"/>
        <v>0</v>
      </c>
      <c r="K64" s="13">
        <f t="shared" si="9"/>
        <v>0</v>
      </c>
      <c r="L64" s="11"/>
      <c r="O64" s="12"/>
      <c r="P64" s="12"/>
      <c r="Q64" s="12"/>
      <c r="R64" s="12"/>
      <c r="V64" s="12"/>
      <c r="W64" s="12"/>
      <c r="X64" s="12"/>
      <c r="Y64" s="12"/>
      <c r="AC64" s="12"/>
      <c r="AD64" s="12"/>
      <c r="AE64" s="12"/>
      <c r="AF64" s="12"/>
      <c r="AJ64" s="12"/>
      <c r="AK64" s="12"/>
      <c r="AL64" s="12"/>
      <c r="AM64" s="12"/>
      <c r="AQ64" s="12"/>
      <c r="AR64" s="12"/>
      <c r="AS64" s="12"/>
      <c r="AT64" s="12"/>
      <c r="AX64" s="12"/>
      <c r="AY64" s="12"/>
      <c r="AZ64" s="12"/>
      <c r="BA64" s="12"/>
      <c r="BE64" s="12"/>
      <c r="BF64" s="12"/>
      <c r="BG64" s="12"/>
      <c r="BH64" s="12"/>
      <c r="BL64" s="12"/>
      <c r="BM64" s="12"/>
      <c r="BN64" s="12"/>
      <c r="BO64" s="12"/>
      <c r="BS64" s="12"/>
      <c r="BT64" s="12"/>
      <c r="BU64" s="12"/>
      <c r="BV64" s="12"/>
      <c r="BZ64" s="12"/>
      <c r="CA64" s="12"/>
      <c r="CB64" s="12"/>
      <c r="CC64" s="12"/>
      <c r="CG64" s="12"/>
      <c r="CH64" s="12"/>
      <c r="CI64" s="12"/>
      <c r="CJ64" s="12"/>
      <c r="CN64" s="12"/>
      <c r="CO64" s="12"/>
      <c r="CP64" s="12"/>
      <c r="CQ64" s="12"/>
      <c r="CU64" s="12"/>
      <c r="CV64" s="12"/>
      <c r="CW64" s="12"/>
      <c r="CX64" s="12"/>
      <c r="DB64" s="12"/>
      <c r="DC64" s="12">
        <v>1</v>
      </c>
      <c r="DD64" s="12"/>
      <c r="DE64" s="12">
        <v>1</v>
      </c>
      <c r="DI64" s="12"/>
      <c r="DJ64" s="12"/>
      <c r="DK64" s="12"/>
      <c r="DL64" s="12"/>
      <c r="DP64" s="12"/>
      <c r="DQ64" s="12"/>
      <c r="DR64" s="12"/>
      <c r="DS64" s="12"/>
      <c r="DW64" s="12"/>
      <c r="DX64" s="12"/>
      <c r="DY64" s="12"/>
      <c r="DZ64" s="12"/>
      <c r="ED64" s="12"/>
      <c r="EE64" s="12"/>
      <c r="EF64" s="12"/>
      <c r="EG64" s="12"/>
      <c r="EK64" s="12"/>
      <c r="EL64" s="12"/>
      <c r="EM64" s="12"/>
      <c r="EN64" s="12"/>
      <c r="ER64" s="12"/>
      <c r="ES64" s="12">
        <v>1</v>
      </c>
      <c r="ET64" s="12"/>
      <c r="EU64" s="12"/>
      <c r="EY64" s="21"/>
      <c r="EZ64" s="21"/>
      <c r="FA64" s="21"/>
      <c r="FB64" s="21"/>
      <c r="FF64" s="21"/>
      <c r="FG64" s="21"/>
      <c r="FH64" s="21"/>
      <c r="FI64" s="21"/>
    </row>
    <row r="65" spans="2:165" collapsed="1">
      <c r="O65" s="9"/>
      <c r="V65" s="9"/>
      <c r="AC65" s="9"/>
      <c r="AJ65" s="9"/>
      <c r="AQ65" s="9"/>
      <c r="AX65" s="9"/>
      <c r="BE65" s="9"/>
      <c r="BL65" s="9"/>
      <c r="BS65" s="9"/>
      <c r="BZ65" s="9"/>
      <c r="CG65" s="9"/>
      <c r="CN65" s="9"/>
      <c r="CU65" s="9"/>
      <c r="DB65" s="9"/>
      <c r="DI65" s="9"/>
      <c r="DP65" s="9"/>
      <c r="DW65" s="9"/>
      <c r="ED65" s="9"/>
      <c r="EK65" s="9"/>
      <c r="ER65" s="9"/>
    </row>
    <row r="66" spans="2:165">
      <c r="B66" t="s">
        <v>27</v>
      </c>
      <c r="C66" t="s">
        <v>107</v>
      </c>
      <c r="E66" s="11">
        <v>4.5</v>
      </c>
      <c r="G66" s="12">
        <f>+SUM(G67:G76)</f>
        <v>0.99999999999999989</v>
      </c>
      <c r="I66" s="14">
        <f>+SUM(I67:I76)</f>
        <v>0</v>
      </c>
      <c r="J66" s="13">
        <f>+SUMPRODUCT(G67:G76,J67:J76)</f>
        <v>0</v>
      </c>
      <c r="K66" s="13">
        <f>+SUMPRODUCT(G67:G76,K67:K76)</f>
        <v>0</v>
      </c>
      <c r="L66" s="11"/>
      <c r="N66" s="14">
        <f>+SUM(N67:N76)</f>
        <v>0</v>
      </c>
      <c r="U66" s="14">
        <f>+SUM(U67:U76)</f>
        <v>0</v>
      </c>
      <c r="AB66" s="14">
        <f>+SUM(AB67:AB76)</f>
        <v>0</v>
      </c>
      <c r="AI66" s="14">
        <f>+SUM(AI67:AI76)</f>
        <v>0</v>
      </c>
      <c r="AP66" s="14">
        <f>+SUM(AP67:AP76)</f>
        <v>0</v>
      </c>
      <c r="AW66" s="14">
        <f>+SUM(AW67:AW76)</f>
        <v>0</v>
      </c>
      <c r="BD66" s="14">
        <f>+SUM(BD67:BD76)</f>
        <v>0</v>
      </c>
      <c r="BK66" s="14">
        <f>+SUM(BK67:BK76)</f>
        <v>0</v>
      </c>
      <c r="BR66" s="14">
        <f>+SUM(BR67:BR76)</f>
        <v>0</v>
      </c>
      <c r="BY66" s="14">
        <f>+SUM(BY67:BY76)</f>
        <v>0</v>
      </c>
      <c r="CF66" s="14">
        <f>+SUM(CF67:CF76)</f>
        <v>0</v>
      </c>
      <c r="CM66" s="14">
        <f>+SUM(CM67:CM76)</f>
        <v>0</v>
      </c>
      <c r="CT66" s="14">
        <f>+SUM(CT67:CT76)</f>
        <v>0</v>
      </c>
      <c r="DA66" s="14">
        <f>+SUM(DA67:DA76)</f>
        <v>0</v>
      </c>
      <c r="DH66" s="14">
        <f>+SUM(DH67:DH76)</f>
        <v>0</v>
      </c>
      <c r="DO66" s="14">
        <f>+SUM(DO67:DO76)</f>
        <v>0</v>
      </c>
      <c r="DV66" s="14">
        <f>+SUM(DV67:DV76)</f>
        <v>0</v>
      </c>
      <c r="EC66" s="14">
        <f>+SUM(EC67:EC76)</f>
        <v>0</v>
      </c>
      <c r="EJ66" s="14">
        <f>+SUM(EJ67:EJ76)</f>
        <v>0</v>
      </c>
      <c r="EQ66" s="14">
        <f>+SUM(EQ67:EQ76)</f>
        <v>0</v>
      </c>
      <c r="EX66" s="20"/>
      <c r="FE66" s="20"/>
    </row>
    <row r="67" spans="2:165" hidden="1" outlineLevel="1">
      <c r="B67" t="s">
        <v>28</v>
      </c>
      <c r="C67" t="s">
        <v>107</v>
      </c>
      <c r="E67" s="11"/>
      <c r="F67" t="s">
        <v>92</v>
      </c>
      <c r="G67" s="12">
        <v>0.1</v>
      </c>
      <c r="I67" s="11">
        <f>+SUMIF($N$3:$ZZ$3,I$3,$N67:$ZZ67)</f>
        <v>0</v>
      </c>
      <c r="J67" s="13">
        <f t="shared" ref="J67:K76" si="11">+_xlfn.MAXIFS($N67:$ZF67,$N$3:$ZF$3,J$3)</f>
        <v>0</v>
      </c>
      <c r="K67" s="13">
        <f t="shared" si="11"/>
        <v>0</v>
      </c>
      <c r="L67" s="11"/>
      <c r="O67" s="12"/>
      <c r="P67" s="12"/>
      <c r="Q67" s="12"/>
      <c r="R67" s="12"/>
      <c r="V67" s="12"/>
      <c r="W67" s="12"/>
      <c r="X67" s="12"/>
      <c r="Y67" s="12"/>
      <c r="AC67" s="12"/>
      <c r="AD67" s="12"/>
      <c r="AE67" s="12"/>
      <c r="AF67" s="12"/>
      <c r="AJ67" s="12"/>
      <c r="AK67" s="12"/>
      <c r="AL67" s="12"/>
      <c r="AM67" s="12"/>
      <c r="AQ67" s="12"/>
      <c r="AR67" s="12"/>
      <c r="AS67" s="12"/>
      <c r="AT67" s="12"/>
      <c r="AX67" s="12"/>
      <c r="AY67" s="12"/>
      <c r="AZ67" s="12"/>
      <c r="BA67" s="12"/>
      <c r="BE67" s="12"/>
      <c r="BF67" s="12"/>
      <c r="BG67" s="12"/>
      <c r="BH67" s="12"/>
      <c r="BL67" s="12"/>
      <c r="BM67" s="12"/>
      <c r="BN67" s="12"/>
      <c r="BO67" s="12"/>
      <c r="BS67" s="12"/>
      <c r="BT67" s="12"/>
      <c r="BU67" s="12"/>
      <c r="BV67" s="12"/>
      <c r="BZ67" s="12"/>
      <c r="CA67" s="12"/>
      <c r="CB67" s="12"/>
      <c r="CC67" s="12"/>
      <c r="CG67" s="12"/>
      <c r="CH67" s="12"/>
      <c r="CI67" s="12"/>
      <c r="CJ67" s="12"/>
      <c r="CN67" s="12"/>
      <c r="CO67" s="12"/>
      <c r="CP67" s="12"/>
      <c r="CQ67" s="12"/>
      <c r="CU67" s="12"/>
      <c r="CV67" s="12"/>
      <c r="CW67" s="12"/>
      <c r="CX67" s="12"/>
      <c r="DB67" s="12"/>
      <c r="DC67" s="12">
        <v>1</v>
      </c>
      <c r="DD67" s="12"/>
      <c r="DE67" s="12">
        <v>1</v>
      </c>
      <c r="DI67" s="12"/>
      <c r="DJ67" s="12"/>
      <c r="DK67" s="12"/>
      <c r="DL67" s="12"/>
      <c r="DP67" s="12"/>
      <c r="DQ67" s="12"/>
      <c r="DR67" s="12"/>
      <c r="DS67" s="12"/>
      <c r="DW67" s="12"/>
      <c r="DX67" s="12"/>
      <c r="DY67" s="12"/>
      <c r="DZ67" s="12"/>
      <c r="ED67" s="12"/>
      <c r="EE67" s="12"/>
      <c r="EF67" s="12"/>
      <c r="EG67" s="12"/>
      <c r="EK67" s="12"/>
      <c r="EL67" s="12"/>
      <c r="EM67" s="12"/>
      <c r="EN67" s="12"/>
      <c r="ER67" s="12"/>
      <c r="ES67" s="12">
        <v>1</v>
      </c>
      <c r="ET67" s="12"/>
      <c r="EU67" s="12">
        <v>1</v>
      </c>
      <c r="EY67" s="21"/>
      <c r="EZ67" s="21"/>
      <c r="FA67" s="21"/>
      <c r="FB67" s="21"/>
      <c r="FF67" s="21"/>
      <c r="FG67" s="21"/>
      <c r="FH67" s="21"/>
      <c r="FI67" s="21"/>
    </row>
    <row r="68" spans="2:165" hidden="1" outlineLevel="1">
      <c r="B68" t="s">
        <v>28</v>
      </c>
      <c r="C68" t="s">
        <v>107</v>
      </c>
      <c r="E68" s="11"/>
      <c r="F68" t="s">
        <v>93</v>
      </c>
      <c r="G68" s="12">
        <v>0.1</v>
      </c>
      <c r="I68" s="11">
        <f t="shared" ref="I68:I76" si="12">+SUMIF($N$3:$ZZ$3,I$3,$N68:$ZZ68)</f>
        <v>0</v>
      </c>
      <c r="J68" s="13">
        <f t="shared" si="11"/>
        <v>0</v>
      </c>
      <c r="K68" s="13">
        <f t="shared" si="11"/>
        <v>0</v>
      </c>
      <c r="L68" s="11"/>
      <c r="O68" s="12"/>
      <c r="P68" s="12"/>
      <c r="Q68" s="12"/>
      <c r="R68" s="12"/>
      <c r="V68" s="12"/>
      <c r="W68" s="12"/>
      <c r="X68" s="12"/>
      <c r="Y68" s="12"/>
      <c r="AC68" s="12"/>
      <c r="AD68" s="12"/>
      <c r="AE68" s="12"/>
      <c r="AF68" s="12"/>
      <c r="AJ68" s="12"/>
      <c r="AK68" s="12"/>
      <c r="AL68" s="12"/>
      <c r="AM68" s="12"/>
      <c r="AQ68" s="12"/>
      <c r="AR68" s="12"/>
      <c r="AS68" s="12"/>
      <c r="AT68" s="12"/>
      <c r="AX68" s="12"/>
      <c r="AY68" s="12"/>
      <c r="AZ68" s="12"/>
      <c r="BA68" s="12"/>
      <c r="BE68" s="12"/>
      <c r="BF68" s="12"/>
      <c r="BG68" s="12"/>
      <c r="BH68" s="12"/>
      <c r="BL68" s="12"/>
      <c r="BM68" s="12"/>
      <c r="BN68" s="12"/>
      <c r="BO68" s="12"/>
      <c r="BS68" s="12"/>
      <c r="BT68" s="12"/>
      <c r="BU68" s="12"/>
      <c r="BV68" s="12"/>
      <c r="BZ68" s="12"/>
      <c r="CA68" s="12"/>
      <c r="CB68" s="12"/>
      <c r="CC68" s="12"/>
      <c r="CG68" s="12"/>
      <c r="CH68" s="12"/>
      <c r="CI68" s="12"/>
      <c r="CJ68" s="12"/>
      <c r="CN68" s="12"/>
      <c r="CO68" s="12"/>
      <c r="CP68" s="12"/>
      <c r="CQ68" s="12"/>
      <c r="CU68" s="12"/>
      <c r="CV68" s="12"/>
      <c r="CW68" s="12"/>
      <c r="CX68" s="12"/>
      <c r="DB68" s="12"/>
      <c r="DC68" s="12">
        <v>1</v>
      </c>
      <c r="DD68" s="12"/>
      <c r="DE68" s="12">
        <v>1</v>
      </c>
      <c r="DI68" s="12"/>
      <c r="DJ68" s="12"/>
      <c r="DK68" s="12"/>
      <c r="DL68" s="12"/>
      <c r="DP68" s="12"/>
      <c r="DQ68" s="12"/>
      <c r="DR68" s="12"/>
      <c r="DS68" s="12"/>
      <c r="DW68" s="12"/>
      <c r="DX68" s="12"/>
      <c r="DY68" s="12"/>
      <c r="DZ68" s="12"/>
      <c r="ED68" s="12"/>
      <c r="EE68" s="12"/>
      <c r="EF68" s="12"/>
      <c r="EG68" s="12"/>
      <c r="EK68" s="12"/>
      <c r="EL68" s="12"/>
      <c r="EM68" s="12"/>
      <c r="EN68" s="12"/>
      <c r="ER68" s="12"/>
      <c r="ES68" s="12">
        <v>1</v>
      </c>
      <c r="ET68" s="12"/>
      <c r="EU68" s="12">
        <v>1</v>
      </c>
      <c r="EY68" s="21"/>
      <c r="EZ68" s="21"/>
      <c r="FA68" s="21"/>
      <c r="FB68" s="21"/>
      <c r="FF68" s="21"/>
      <c r="FG68" s="21"/>
      <c r="FH68" s="21"/>
      <c r="FI68" s="21"/>
    </row>
    <row r="69" spans="2:165" hidden="1" outlineLevel="1">
      <c r="B69" t="s">
        <v>28</v>
      </c>
      <c r="C69" t="s">
        <v>107</v>
      </c>
      <c r="E69" s="11"/>
      <c r="F69" t="s">
        <v>94</v>
      </c>
      <c r="G69" s="12">
        <v>0.1</v>
      </c>
      <c r="I69" s="11">
        <f t="shared" si="12"/>
        <v>0</v>
      </c>
      <c r="J69" s="13">
        <f t="shared" si="11"/>
        <v>0</v>
      </c>
      <c r="K69" s="13">
        <f t="shared" si="11"/>
        <v>0</v>
      </c>
      <c r="L69" s="11"/>
      <c r="O69" s="12"/>
      <c r="P69" s="12"/>
      <c r="Q69" s="12"/>
      <c r="R69" s="12"/>
      <c r="V69" s="12"/>
      <c r="W69" s="12"/>
      <c r="X69" s="12"/>
      <c r="Y69" s="12"/>
      <c r="AC69" s="12"/>
      <c r="AD69" s="12"/>
      <c r="AE69" s="12"/>
      <c r="AF69" s="12"/>
      <c r="AJ69" s="12"/>
      <c r="AK69" s="12"/>
      <c r="AL69" s="12"/>
      <c r="AM69" s="12"/>
      <c r="AQ69" s="12"/>
      <c r="AR69" s="12"/>
      <c r="AS69" s="12"/>
      <c r="AT69" s="12"/>
      <c r="AX69" s="12"/>
      <c r="AY69" s="12"/>
      <c r="AZ69" s="12"/>
      <c r="BA69" s="12"/>
      <c r="BE69" s="12"/>
      <c r="BF69" s="12"/>
      <c r="BG69" s="12"/>
      <c r="BH69" s="12"/>
      <c r="BL69" s="12"/>
      <c r="BM69" s="12"/>
      <c r="BN69" s="12"/>
      <c r="BO69" s="12"/>
      <c r="BS69" s="12"/>
      <c r="BT69" s="12"/>
      <c r="BU69" s="12"/>
      <c r="BV69" s="12"/>
      <c r="BZ69" s="12"/>
      <c r="CA69" s="12"/>
      <c r="CB69" s="12"/>
      <c r="CC69" s="12"/>
      <c r="CG69" s="12"/>
      <c r="CH69" s="12"/>
      <c r="CI69" s="12"/>
      <c r="CJ69" s="12"/>
      <c r="CN69" s="12"/>
      <c r="CO69" s="12"/>
      <c r="CP69" s="12"/>
      <c r="CQ69" s="12"/>
      <c r="CU69" s="12"/>
      <c r="CV69" s="12"/>
      <c r="CW69" s="12"/>
      <c r="CX69" s="12"/>
      <c r="DB69" s="12"/>
      <c r="DC69" s="12">
        <v>1</v>
      </c>
      <c r="DD69" s="12"/>
      <c r="DE69" s="12">
        <v>1</v>
      </c>
      <c r="DI69" s="12"/>
      <c r="DJ69" s="12"/>
      <c r="DK69" s="12"/>
      <c r="DL69" s="12"/>
      <c r="DP69" s="12"/>
      <c r="DQ69" s="12"/>
      <c r="DR69" s="12"/>
      <c r="DS69" s="12"/>
      <c r="DW69" s="12"/>
      <c r="DX69" s="12"/>
      <c r="DY69" s="12"/>
      <c r="DZ69" s="12"/>
      <c r="ED69" s="12"/>
      <c r="EE69" s="12"/>
      <c r="EF69" s="12"/>
      <c r="EG69" s="12"/>
      <c r="EK69" s="12"/>
      <c r="EL69" s="12"/>
      <c r="EM69" s="12"/>
      <c r="EN69" s="12"/>
      <c r="ER69" s="12"/>
      <c r="ES69" s="12">
        <v>1</v>
      </c>
      <c r="ET69" s="12"/>
      <c r="EU69" s="12">
        <v>1</v>
      </c>
      <c r="EY69" s="21"/>
      <c r="EZ69" s="21"/>
      <c r="FA69" s="21"/>
      <c r="FB69" s="21"/>
      <c r="FF69" s="21"/>
      <c r="FG69" s="21"/>
      <c r="FH69" s="21"/>
      <c r="FI69" s="21"/>
    </row>
    <row r="70" spans="2:165" hidden="1" outlineLevel="1">
      <c r="B70" t="s">
        <v>28</v>
      </c>
      <c r="C70" t="s">
        <v>107</v>
      </c>
      <c r="E70" s="11"/>
      <c r="F70" t="s">
        <v>95</v>
      </c>
      <c r="G70" s="12">
        <v>0.1</v>
      </c>
      <c r="I70" s="11">
        <f t="shared" si="12"/>
        <v>0</v>
      </c>
      <c r="J70" s="13">
        <f t="shared" si="11"/>
        <v>0</v>
      </c>
      <c r="K70" s="13">
        <f t="shared" si="11"/>
        <v>0</v>
      </c>
      <c r="L70" s="11"/>
      <c r="O70" s="12"/>
      <c r="P70" s="12"/>
      <c r="Q70" s="12"/>
      <c r="R70" s="12"/>
      <c r="V70" s="12"/>
      <c r="W70" s="12"/>
      <c r="X70" s="12"/>
      <c r="Y70" s="12"/>
      <c r="AC70" s="12"/>
      <c r="AD70" s="12"/>
      <c r="AE70" s="12"/>
      <c r="AF70" s="12"/>
      <c r="AJ70" s="12"/>
      <c r="AK70" s="12"/>
      <c r="AL70" s="12"/>
      <c r="AM70" s="12"/>
      <c r="AQ70" s="12"/>
      <c r="AR70" s="12"/>
      <c r="AS70" s="12"/>
      <c r="AT70" s="12"/>
      <c r="AX70" s="12"/>
      <c r="AY70" s="12"/>
      <c r="AZ70" s="12"/>
      <c r="BA70" s="12"/>
      <c r="BE70" s="12"/>
      <c r="BF70" s="12"/>
      <c r="BG70" s="12"/>
      <c r="BH70" s="12"/>
      <c r="BL70" s="12"/>
      <c r="BM70" s="12"/>
      <c r="BN70" s="12"/>
      <c r="BO70" s="12"/>
      <c r="BS70" s="12"/>
      <c r="BT70" s="12"/>
      <c r="BU70" s="12"/>
      <c r="BV70" s="12"/>
      <c r="BZ70" s="12"/>
      <c r="CA70" s="12"/>
      <c r="CB70" s="12"/>
      <c r="CC70" s="12"/>
      <c r="CG70" s="12"/>
      <c r="CH70" s="12"/>
      <c r="CI70" s="12"/>
      <c r="CJ70" s="12"/>
      <c r="CN70" s="12"/>
      <c r="CO70" s="12"/>
      <c r="CP70" s="12"/>
      <c r="CQ70" s="12"/>
      <c r="CU70" s="12"/>
      <c r="CV70" s="12"/>
      <c r="CW70" s="12"/>
      <c r="CX70" s="12"/>
      <c r="DB70" s="12"/>
      <c r="DC70" s="12">
        <v>1</v>
      </c>
      <c r="DD70" s="12"/>
      <c r="DE70" s="12">
        <v>1</v>
      </c>
      <c r="DI70" s="12"/>
      <c r="DJ70" s="12"/>
      <c r="DK70" s="12"/>
      <c r="DL70" s="12"/>
      <c r="DP70" s="12"/>
      <c r="DQ70" s="12"/>
      <c r="DR70" s="12"/>
      <c r="DS70" s="12"/>
      <c r="DW70" s="12"/>
      <c r="DX70" s="12"/>
      <c r="DY70" s="12"/>
      <c r="DZ70" s="12"/>
      <c r="ED70" s="12"/>
      <c r="EE70" s="12"/>
      <c r="EF70" s="12"/>
      <c r="EG70" s="12"/>
      <c r="EK70" s="12"/>
      <c r="EL70" s="12"/>
      <c r="EM70" s="12"/>
      <c r="EN70" s="12"/>
      <c r="ER70" s="12"/>
      <c r="ES70" s="12">
        <v>1</v>
      </c>
      <c r="ET70" s="12"/>
      <c r="EU70" s="12">
        <v>1</v>
      </c>
      <c r="EY70" s="21"/>
      <c r="EZ70" s="21"/>
      <c r="FA70" s="21"/>
      <c r="FB70" s="21"/>
      <c r="FF70" s="21"/>
      <c r="FG70" s="21"/>
      <c r="FH70" s="21"/>
      <c r="FI70" s="21"/>
    </row>
    <row r="71" spans="2:165" hidden="1" outlineLevel="1">
      <c r="B71" t="s">
        <v>28</v>
      </c>
      <c r="C71" t="s">
        <v>107</v>
      </c>
      <c r="E71" s="11"/>
      <c r="F71" t="s">
        <v>96</v>
      </c>
      <c r="G71" s="12">
        <v>0.1</v>
      </c>
      <c r="I71" s="11">
        <f t="shared" si="12"/>
        <v>0</v>
      </c>
      <c r="J71" s="13">
        <f t="shared" si="11"/>
        <v>0</v>
      </c>
      <c r="K71" s="13">
        <f t="shared" si="11"/>
        <v>0</v>
      </c>
      <c r="L71" s="11"/>
      <c r="O71" s="12"/>
      <c r="P71" s="12"/>
      <c r="Q71" s="12"/>
      <c r="R71" s="12"/>
      <c r="V71" s="12"/>
      <c r="W71" s="12"/>
      <c r="X71" s="12"/>
      <c r="Y71" s="12"/>
      <c r="AC71" s="12"/>
      <c r="AD71" s="12"/>
      <c r="AE71" s="12"/>
      <c r="AF71" s="12"/>
      <c r="AJ71" s="12"/>
      <c r="AK71" s="12"/>
      <c r="AL71" s="12"/>
      <c r="AM71" s="12"/>
      <c r="AQ71" s="12"/>
      <c r="AR71" s="12"/>
      <c r="AS71" s="12"/>
      <c r="AT71" s="12"/>
      <c r="AX71" s="12"/>
      <c r="AY71" s="12"/>
      <c r="AZ71" s="12"/>
      <c r="BA71" s="12"/>
      <c r="BE71" s="12"/>
      <c r="BF71" s="12"/>
      <c r="BG71" s="12"/>
      <c r="BH71" s="12"/>
      <c r="BL71" s="12"/>
      <c r="BM71" s="12"/>
      <c r="BN71" s="12"/>
      <c r="BO71" s="12"/>
      <c r="BS71" s="12"/>
      <c r="BT71" s="12"/>
      <c r="BU71" s="12"/>
      <c r="BV71" s="12"/>
      <c r="BZ71" s="12"/>
      <c r="CA71" s="12"/>
      <c r="CB71" s="12"/>
      <c r="CC71" s="12"/>
      <c r="CG71" s="12"/>
      <c r="CH71" s="12"/>
      <c r="CI71" s="12"/>
      <c r="CJ71" s="12"/>
      <c r="CN71" s="12"/>
      <c r="CO71" s="12"/>
      <c r="CP71" s="12"/>
      <c r="CQ71" s="12"/>
      <c r="CU71" s="12"/>
      <c r="CV71" s="12"/>
      <c r="CW71" s="12"/>
      <c r="CX71" s="12"/>
      <c r="DB71" s="12"/>
      <c r="DC71" s="12">
        <v>1</v>
      </c>
      <c r="DD71" s="12"/>
      <c r="DE71" s="12">
        <v>1</v>
      </c>
      <c r="DI71" s="12"/>
      <c r="DJ71" s="12"/>
      <c r="DK71" s="12"/>
      <c r="DL71" s="12"/>
      <c r="DP71" s="12"/>
      <c r="DQ71" s="12"/>
      <c r="DR71" s="12"/>
      <c r="DS71" s="12"/>
      <c r="DW71" s="12"/>
      <c r="DX71" s="12"/>
      <c r="DY71" s="12"/>
      <c r="DZ71" s="12"/>
      <c r="ED71" s="12"/>
      <c r="EE71" s="12"/>
      <c r="EF71" s="12"/>
      <c r="EG71" s="12"/>
      <c r="EK71" s="12"/>
      <c r="EL71" s="12"/>
      <c r="EM71" s="12"/>
      <c r="EN71" s="12"/>
      <c r="ER71" s="12"/>
      <c r="ES71" s="12">
        <v>1</v>
      </c>
      <c r="ET71" s="12"/>
      <c r="EU71" s="12">
        <v>1</v>
      </c>
      <c r="EY71" s="21"/>
      <c r="EZ71" s="21"/>
      <c r="FA71" s="21"/>
      <c r="FB71" s="21"/>
      <c r="FF71" s="21"/>
      <c r="FG71" s="21"/>
      <c r="FH71" s="21"/>
      <c r="FI71" s="21"/>
    </row>
    <row r="72" spans="2:165" hidden="1" outlineLevel="1">
      <c r="B72" t="s">
        <v>28</v>
      </c>
      <c r="C72" t="s">
        <v>107</v>
      </c>
      <c r="E72" s="11"/>
      <c r="F72" t="s">
        <v>97</v>
      </c>
      <c r="G72" s="12">
        <v>0.1</v>
      </c>
      <c r="I72" s="11">
        <f t="shared" si="12"/>
        <v>0</v>
      </c>
      <c r="J72" s="13">
        <f t="shared" si="11"/>
        <v>0</v>
      </c>
      <c r="K72" s="13">
        <f t="shared" si="11"/>
        <v>0</v>
      </c>
      <c r="L72" s="11"/>
      <c r="O72" s="12"/>
      <c r="P72" s="12"/>
      <c r="Q72" s="12"/>
      <c r="R72" s="12"/>
      <c r="V72" s="12"/>
      <c r="W72" s="12"/>
      <c r="X72" s="12"/>
      <c r="Y72" s="12"/>
      <c r="AC72" s="12"/>
      <c r="AD72" s="12"/>
      <c r="AE72" s="12"/>
      <c r="AF72" s="12"/>
      <c r="AJ72" s="12"/>
      <c r="AK72" s="12"/>
      <c r="AL72" s="12"/>
      <c r="AM72" s="12"/>
      <c r="AQ72" s="12"/>
      <c r="AR72" s="12"/>
      <c r="AS72" s="12"/>
      <c r="AT72" s="12"/>
      <c r="AX72" s="12"/>
      <c r="AY72" s="12"/>
      <c r="AZ72" s="12"/>
      <c r="BA72" s="12"/>
      <c r="BE72" s="12"/>
      <c r="BF72" s="12"/>
      <c r="BG72" s="12"/>
      <c r="BH72" s="12"/>
      <c r="BL72" s="12"/>
      <c r="BM72" s="12"/>
      <c r="BN72" s="12"/>
      <c r="BO72" s="12"/>
      <c r="BS72" s="12"/>
      <c r="BT72" s="12"/>
      <c r="BU72" s="12"/>
      <c r="BV72" s="12"/>
      <c r="BZ72" s="12"/>
      <c r="CA72" s="12"/>
      <c r="CB72" s="12"/>
      <c r="CC72" s="12"/>
      <c r="CG72" s="12"/>
      <c r="CH72" s="12"/>
      <c r="CI72" s="12"/>
      <c r="CJ72" s="12"/>
      <c r="CN72" s="12"/>
      <c r="CO72" s="12"/>
      <c r="CP72" s="12"/>
      <c r="CQ72" s="12"/>
      <c r="CU72" s="12"/>
      <c r="CV72" s="12"/>
      <c r="CW72" s="12"/>
      <c r="CX72" s="12"/>
      <c r="DB72" s="12"/>
      <c r="DC72" s="12">
        <v>1</v>
      </c>
      <c r="DD72" s="12"/>
      <c r="DE72" s="12">
        <v>1</v>
      </c>
      <c r="DI72" s="12"/>
      <c r="DJ72" s="12"/>
      <c r="DK72" s="12"/>
      <c r="DL72" s="12"/>
      <c r="DP72" s="12"/>
      <c r="DQ72" s="12"/>
      <c r="DR72" s="12"/>
      <c r="DS72" s="12"/>
      <c r="DW72" s="12"/>
      <c r="DX72" s="12"/>
      <c r="DY72" s="12"/>
      <c r="DZ72" s="12"/>
      <c r="ED72" s="12"/>
      <c r="EE72" s="12"/>
      <c r="EF72" s="12"/>
      <c r="EG72" s="12"/>
      <c r="EK72" s="12"/>
      <c r="EL72" s="12"/>
      <c r="EM72" s="12"/>
      <c r="EN72" s="12"/>
      <c r="ER72" s="12"/>
      <c r="ES72" s="12">
        <v>1</v>
      </c>
      <c r="ET72" s="12"/>
      <c r="EU72" s="12">
        <v>1</v>
      </c>
      <c r="EY72" s="21"/>
      <c r="EZ72" s="21"/>
      <c r="FA72" s="21"/>
      <c r="FB72" s="21"/>
      <c r="FF72" s="21"/>
      <c r="FG72" s="21"/>
      <c r="FH72" s="21"/>
      <c r="FI72" s="21"/>
    </row>
    <row r="73" spans="2:165" hidden="1" outlineLevel="1">
      <c r="B73" t="s">
        <v>28</v>
      </c>
      <c r="C73" t="s">
        <v>107</v>
      </c>
      <c r="E73" s="11"/>
      <c r="F73" t="s">
        <v>98</v>
      </c>
      <c r="G73" s="12">
        <v>0.1</v>
      </c>
      <c r="I73" s="11">
        <f t="shared" si="12"/>
        <v>0</v>
      </c>
      <c r="J73" s="13">
        <f t="shared" si="11"/>
        <v>0</v>
      </c>
      <c r="K73" s="13">
        <f t="shared" si="11"/>
        <v>0</v>
      </c>
      <c r="L73" s="11"/>
      <c r="O73" s="12"/>
      <c r="P73" s="12"/>
      <c r="Q73" s="12"/>
      <c r="R73" s="12"/>
      <c r="V73" s="12"/>
      <c r="W73" s="12"/>
      <c r="X73" s="12"/>
      <c r="Y73" s="12"/>
      <c r="AC73" s="12"/>
      <c r="AD73" s="12"/>
      <c r="AE73" s="12"/>
      <c r="AF73" s="12"/>
      <c r="AJ73" s="12"/>
      <c r="AK73" s="12"/>
      <c r="AL73" s="12"/>
      <c r="AM73" s="12"/>
      <c r="AQ73" s="12"/>
      <c r="AR73" s="12"/>
      <c r="AS73" s="12"/>
      <c r="AT73" s="12"/>
      <c r="AX73" s="12"/>
      <c r="AY73" s="12"/>
      <c r="AZ73" s="12"/>
      <c r="BA73" s="12"/>
      <c r="BE73" s="12"/>
      <c r="BF73" s="12"/>
      <c r="BG73" s="12"/>
      <c r="BH73" s="12"/>
      <c r="BL73" s="12"/>
      <c r="BM73" s="12"/>
      <c r="BN73" s="12"/>
      <c r="BO73" s="12"/>
      <c r="BS73" s="12"/>
      <c r="BT73" s="12"/>
      <c r="BU73" s="12"/>
      <c r="BV73" s="12"/>
      <c r="BZ73" s="12"/>
      <c r="CA73" s="12"/>
      <c r="CB73" s="12"/>
      <c r="CC73" s="12"/>
      <c r="CG73" s="12"/>
      <c r="CH73" s="12"/>
      <c r="CI73" s="12"/>
      <c r="CJ73" s="12"/>
      <c r="CN73" s="12"/>
      <c r="CO73" s="12"/>
      <c r="CP73" s="12"/>
      <c r="CQ73" s="12"/>
      <c r="CU73" s="12"/>
      <c r="CV73" s="12"/>
      <c r="CW73" s="12"/>
      <c r="CX73" s="12"/>
      <c r="DB73" s="12"/>
      <c r="DC73" s="12">
        <v>1</v>
      </c>
      <c r="DD73" s="12"/>
      <c r="DE73" s="12">
        <v>1</v>
      </c>
      <c r="DI73" s="12"/>
      <c r="DJ73" s="12"/>
      <c r="DK73" s="12"/>
      <c r="DL73" s="12"/>
      <c r="DP73" s="12"/>
      <c r="DQ73" s="12"/>
      <c r="DR73" s="12"/>
      <c r="DS73" s="12"/>
      <c r="DW73" s="12"/>
      <c r="DX73" s="12"/>
      <c r="DY73" s="12"/>
      <c r="DZ73" s="12"/>
      <c r="ED73" s="12"/>
      <c r="EE73" s="12"/>
      <c r="EF73" s="12"/>
      <c r="EG73" s="12"/>
      <c r="EK73" s="12"/>
      <c r="EL73" s="12"/>
      <c r="EM73" s="12"/>
      <c r="EN73" s="12"/>
      <c r="ER73" s="12"/>
      <c r="ES73" s="12">
        <v>1</v>
      </c>
      <c r="ET73" s="12"/>
      <c r="EU73" s="12">
        <v>1</v>
      </c>
      <c r="EY73" s="21"/>
      <c r="EZ73" s="21"/>
      <c r="FA73" s="21"/>
      <c r="FB73" s="21"/>
      <c r="FF73" s="21"/>
      <c r="FG73" s="21"/>
      <c r="FH73" s="21"/>
      <c r="FI73" s="21"/>
    </row>
    <row r="74" spans="2:165" hidden="1" outlineLevel="1">
      <c r="B74" t="s">
        <v>28</v>
      </c>
      <c r="C74" t="s">
        <v>107</v>
      </c>
      <c r="E74" s="11"/>
      <c r="F74" t="s">
        <v>99</v>
      </c>
      <c r="G74" s="12">
        <v>0.1</v>
      </c>
      <c r="I74" s="11">
        <f t="shared" si="12"/>
        <v>0</v>
      </c>
      <c r="J74" s="13">
        <f t="shared" si="11"/>
        <v>0</v>
      </c>
      <c r="K74" s="13">
        <f t="shared" si="11"/>
        <v>0</v>
      </c>
      <c r="L74" s="11"/>
      <c r="O74" s="12"/>
      <c r="P74" s="12"/>
      <c r="Q74" s="12"/>
      <c r="R74" s="12"/>
      <c r="V74" s="12"/>
      <c r="W74" s="12"/>
      <c r="X74" s="12"/>
      <c r="Y74" s="12"/>
      <c r="AC74" s="12"/>
      <c r="AD74" s="12"/>
      <c r="AE74" s="12"/>
      <c r="AF74" s="12"/>
      <c r="AJ74" s="12"/>
      <c r="AK74" s="12"/>
      <c r="AL74" s="12"/>
      <c r="AM74" s="12"/>
      <c r="AQ74" s="12"/>
      <c r="AR74" s="12"/>
      <c r="AS74" s="12"/>
      <c r="AT74" s="12"/>
      <c r="AX74" s="12"/>
      <c r="AY74" s="12"/>
      <c r="AZ74" s="12"/>
      <c r="BA74" s="12"/>
      <c r="BE74" s="12"/>
      <c r="BF74" s="12"/>
      <c r="BG74" s="12"/>
      <c r="BH74" s="12"/>
      <c r="BL74" s="12"/>
      <c r="BM74" s="12"/>
      <c r="BN74" s="12"/>
      <c r="BO74" s="12"/>
      <c r="BS74" s="12"/>
      <c r="BT74" s="12"/>
      <c r="BU74" s="12"/>
      <c r="BV74" s="12"/>
      <c r="BZ74" s="12"/>
      <c r="CA74" s="12"/>
      <c r="CB74" s="12"/>
      <c r="CC74" s="12"/>
      <c r="CG74" s="12"/>
      <c r="CH74" s="12"/>
      <c r="CI74" s="12"/>
      <c r="CJ74" s="12"/>
      <c r="CN74" s="12"/>
      <c r="CO74" s="12"/>
      <c r="CP74" s="12"/>
      <c r="CQ74" s="12"/>
      <c r="CU74" s="12"/>
      <c r="CV74" s="12"/>
      <c r="CW74" s="12"/>
      <c r="CX74" s="12"/>
      <c r="DB74" s="12"/>
      <c r="DC74" s="12">
        <v>1</v>
      </c>
      <c r="DD74" s="12"/>
      <c r="DE74" s="12">
        <v>1</v>
      </c>
      <c r="DI74" s="12"/>
      <c r="DJ74" s="12"/>
      <c r="DK74" s="12"/>
      <c r="DL74" s="12"/>
      <c r="DP74" s="12"/>
      <c r="DQ74" s="12"/>
      <c r="DR74" s="12"/>
      <c r="DS74" s="12"/>
      <c r="DW74" s="12"/>
      <c r="DX74" s="12"/>
      <c r="DY74" s="12"/>
      <c r="DZ74" s="12"/>
      <c r="ED74" s="12"/>
      <c r="EE74" s="12"/>
      <c r="EF74" s="12"/>
      <c r="EG74" s="12"/>
      <c r="EK74" s="12"/>
      <c r="EL74" s="12"/>
      <c r="EM74" s="12"/>
      <c r="EN74" s="12"/>
      <c r="ER74" s="12"/>
      <c r="ES74" s="12">
        <v>1</v>
      </c>
      <c r="ET74" s="12"/>
      <c r="EU74" s="12">
        <v>1</v>
      </c>
      <c r="EY74" s="21"/>
      <c r="EZ74" s="21"/>
      <c r="FA74" s="21"/>
      <c r="FB74" s="21"/>
      <c r="FF74" s="21"/>
      <c r="FG74" s="21"/>
      <c r="FH74" s="21"/>
      <c r="FI74" s="21"/>
    </row>
    <row r="75" spans="2:165" hidden="1" outlineLevel="1">
      <c r="B75" t="s">
        <v>28</v>
      </c>
      <c r="C75" t="s">
        <v>107</v>
      </c>
      <c r="E75" s="11"/>
      <c r="F75" t="s">
        <v>100</v>
      </c>
      <c r="G75" s="12">
        <v>0.1</v>
      </c>
      <c r="I75" s="11">
        <f t="shared" si="12"/>
        <v>0</v>
      </c>
      <c r="J75" s="13">
        <f t="shared" si="11"/>
        <v>0</v>
      </c>
      <c r="K75" s="13">
        <f t="shared" si="11"/>
        <v>0</v>
      </c>
      <c r="L75" s="11"/>
      <c r="O75" s="12"/>
      <c r="P75" s="12"/>
      <c r="Q75" s="12"/>
      <c r="R75" s="12"/>
      <c r="V75" s="12"/>
      <c r="W75" s="12"/>
      <c r="X75" s="12"/>
      <c r="Y75" s="12"/>
      <c r="AC75" s="12"/>
      <c r="AD75" s="12"/>
      <c r="AE75" s="12"/>
      <c r="AF75" s="12"/>
      <c r="AJ75" s="12"/>
      <c r="AK75" s="12"/>
      <c r="AL75" s="12"/>
      <c r="AM75" s="12"/>
      <c r="AQ75" s="12"/>
      <c r="AR75" s="12"/>
      <c r="AS75" s="12"/>
      <c r="AT75" s="12"/>
      <c r="AX75" s="12"/>
      <c r="AY75" s="12"/>
      <c r="AZ75" s="12"/>
      <c r="BA75" s="12"/>
      <c r="BE75" s="12"/>
      <c r="BF75" s="12"/>
      <c r="BG75" s="12"/>
      <c r="BH75" s="12"/>
      <c r="BL75" s="12"/>
      <c r="BM75" s="12"/>
      <c r="BN75" s="12"/>
      <c r="BO75" s="12"/>
      <c r="BS75" s="12"/>
      <c r="BT75" s="12"/>
      <c r="BU75" s="12"/>
      <c r="BV75" s="12"/>
      <c r="BZ75" s="12"/>
      <c r="CA75" s="12"/>
      <c r="CB75" s="12"/>
      <c r="CC75" s="12"/>
      <c r="CG75" s="12"/>
      <c r="CH75" s="12"/>
      <c r="CI75" s="12"/>
      <c r="CJ75" s="12"/>
      <c r="CN75" s="12"/>
      <c r="CO75" s="12"/>
      <c r="CP75" s="12"/>
      <c r="CQ75" s="12"/>
      <c r="CU75" s="12"/>
      <c r="CV75" s="12"/>
      <c r="CW75" s="12"/>
      <c r="CX75" s="12"/>
      <c r="DB75" s="12"/>
      <c r="DC75" s="12">
        <v>1</v>
      </c>
      <c r="DD75" s="12"/>
      <c r="DE75" s="12">
        <v>1</v>
      </c>
      <c r="DI75" s="12"/>
      <c r="DJ75" s="12"/>
      <c r="DK75" s="12"/>
      <c r="DL75" s="12"/>
      <c r="DP75" s="12"/>
      <c r="DQ75" s="12"/>
      <c r="DR75" s="12"/>
      <c r="DS75" s="12"/>
      <c r="DW75" s="12"/>
      <c r="DX75" s="12"/>
      <c r="DY75" s="12"/>
      <c r="DZ75" s="12"/>
      <c r="ED75" s="12"/>
      <c r="EE75" s="12"/>
      <c r="EF75" s="12"/>
      <c r="EG75" s="12"/>
      <c r="EK75" s="12"/>
      <c r="EL75" s="12"/>
      <c r="EM75" s="12"/>
      <c r="EN75" s="12"/>
      <c r="ER75" s="12"/>
      <c r="ES75" s="12">
        <v>1</v>
      </c>
      <c r="ET75" s="12"/>
      <c r="EU75" s="12">
        <v>1</v>
      </c>
      <c r="EY75" s="21"/>
      <c r="EZ75" s="21"/>
      <c r="FA75" s="21"/>
      <c r="FB75" s="21"/>
      <c r="FF75" s="21"/>
      <c r="FG75" s="21"/>
      <c r="FH75" s="21"/>
      <c r="FI75" s="21"/>
    </row>
    <row r="76" spans="2:165" hidden="1" outlineLevel="1">
      <c r="B76" t="s">
        <v>28</v>
      </c>
      <c r="C76" t="s">
        <v>107</v>
      </c>
      <c r="E76" s="11"/>
      <c r="F76" t="s">
        <v>101</v>
      </c>
      <c r="G76" s="12">
        <v>0.1</v>
      </c>
      <c r="I76" s="11">
        <f t="shared" si="12"/>
        <v>0</v>
      </c>
      <c r="J76" s="13">
        <f t="shared" si="11"/>
        <v>0</v>
      </c>
      <c r="K76" s="13">
        <f t="shared" si="11"/>
        <v>0</v>
      </c>
      <c r="L76" s="11"/>
      <c r="O76" s="12"/>
      <c r="P76" s="12"/>
      <c r="Q76" s="12"/>
      <c r="R76" s="12"/>
      <c r="V76" s="12"/>
      <c r="W76" s="12"/>
      <c r="X76" s="12"/>
      <c r="Y76" s="12"/>
      <c r="AC76" s="12"/>
      <c r="AD76" s="12"/>
      <c r="AE76" s="12"/>
      <c r="AF76" s="12"/>
      <c r="AJ76" s="12"/>
      <c r="AK76" s="12"/>
      <c r="AL76" s="12"/>
      <c r="AM76" s="12"/>
      <c r="AQ76" s="12"/>
      <c r="AR76" s="12"/>
      <c r="AS76" s="12"/>
      <c r="AT76" s="12"/>
      <c r="AX76" s="12"/>
      <c r="AY76" s="12"/>
      <c r="AZ76" s="12"/>
      <c r="BA76" s="12"/>
      <c r="BE76" s="12"/>
      <c r="BF76" s="12"/>
      <c r="BG76" s="12"/>
      <c r="BH76" s="12"/>
      <c r="BL76" s="12"/>
      <c r="BM76" s="12"/>
      <c r="BN76" s="12"/>
      <c r="BO76" s="12"/>
      <c r="BS76" s="12"/>
      <c r="BT76" s="12"/>
      <c r="BU76" s="12"/>
      <c r="BV76" s="12"/>
      <c r="BZ76" s="12"/>
      <c r="CA76" s="12"/>
      <c r="CB76" s="12"/>
      <c r="CC76" s="12"/>
      <c r="CG76" s="12"/>
      <c r="CH76" s="12"/>
      <c r="CI76" s="12"/>
      <c r="CJ76" s="12"/>
      <c r="CN76" s="12"/>
      <c r="CO76" s="12"/>
      <c r="CP76" s="12"/>
      <c r="CQ76" s="12"/>
      <c r="CU76" s="12"/>
      <c r="CV76" s="12"/>
      <c r="CW76" s="12"/>
      <c r="CX76" s="12"/>
      <c r="DB76" s="12"/>
      <c r="DC76" s="12">
        <v>1</v>
      </c>
      <c r="DD76" s="12"/>
      <c r="DE76" s="12">
        <v>1</v>
      </c>
      <c r="DI76" s="12"/>
      <c r="DJ76" s="12"/>
      <c r="DK76" s="12"/>
      <c r="DL76" s="12"/>
      <c r="DP76" s="12"/>
      <c r="DQ76" s="12"/>
      <c r="DR76" s="12"/>
      <c r="DS76" s="12"/>
      <c r="DW76" s="12"/>
      <c r="DX76" s="12"/>
      <c r="DY76" s="12"/>
      <c r="DZ76" s="12"/>
      <c r="ED76" s="12"/>
      <c r="EE76" s="12"/>
      <c r="EF76" s="12"/>
      <c r="EG76" s="12"/>
      <c r="EK76" s="12"/>
      <c r="EL76" s="12"/>
      <c r="EM76" s="12"/>
      <c r="EN76" s="12"/>
      <c r="ER76" s="12"/>
      <c r="ES76" s="12">
        <v>1</v>
      </c>
      <c r="ET76" s="12"/>
      <c r="EU76" s="12">
        <v>1</v>
      </c>
      <c r="EY76" s="21"/>
      <c r="EZ76" s="21"/>
      <c r="FA76" s="21"/>
      <c r="FB76" s="21"/>
      <c r="FF76" s="21"/>
      <c r="FG76" s="21"/>
      <c r="FH76" s="21"/>
      <c r="FI76" s="21"/>
    </row>
    <row r="77" spans="2:165" collapsed="1">
      <c r="O77" s="9"/>
      <c r="V77" s="9"/>
      <c r="AC77" s="9"/>
      <c r="AJ77" s="9"/>
      <c r="AQ77" s="9"/>
      <c r="AX77" s="9"/>
      <c r="BE77" s="9"/>
      <c r="BL77" s="9"/>
      <c r="BS77" s="9"/>
      <c r="BZ77" s="9"/>
      <c r="CG77" s="9"/>
      <c r="CN77" s="9"/>
      <c r="CU77" s="9"/>
      <c r="DB77" s="9"/>
      <c r="DI77" s="9"/>
      <c r="DP77" s="9"/>
      <c r="DW77" s="9"/>
      <c r="ED77" s="9"/>
      <c r="EK77" s="9"/>
      <c r="ER77" s="9"/>
    </row>
  </sheetData>
  <mergeCells count="23">
    <mergeCell ref="I2:L2"/>
    <mergeCell ref="N2:S2"/>
    <mergeCell ref="BD2:BI2"/>
    <mergeCell ref="U2:Z2"/>
    <mergeCell ref="AB2:AG2"/>
    <mergeCell ref="AI2:AN2"/>
    <mergeCell ref="AP2:AU2"/>
    <mergeCell ref="AW2:BB2"/>
    <mergeCell ref="BK2:BP2"/>
    <mergeCell ref="BR2:BW2"/>
    <mergeCell ref="BY2:CD2"/>
    <mergeCell ref="CF2:CK2"/>
    <mergeCell ref="CM2:CR2"/>
    <mergeCell ref="CT2:CY2"/>
    <mergeCell ref="DA2:DF2"/>
    <mergeCell ref="DH2:DM2"/>
    <mergeCell ref="DO2:DT2"/>
    <mergeCell ref="DV2:EA2"/>
    <mergeCell ref="EC2:EH2"/>
    <mergeCell ref="EJ2:EO2"/>
    <mergeCell ref="EQ2:EV2"/>
    <mergeCell ref="EX2:FC2"/>
    <mergeCell ref="FE2:FJ2"/>
  </mergeCells>
  <conditionalFormatting sqref="O17:O21 Q17:Q21 O5:O14 Q5:Q14 AQ5:AQ14 AS5:AS14 BE5:BE14 BG5:BG14 V5:V14 X5:X14 AC5:AC14 AE5:AE14 AJ5:AJ14 AL5:AL14 AX5:AX14 AZ5:AZ14 BL5:BL14 BN5:BN14 BS5:BS14 BU5:BU14 BZ5:BZ14 CB5:CB14 CG5:CG14 CI5:CI14 CN5:CN14 CP5:CP14 CU5:CU14 CW5:CW14 DB5:DB14 DD5:DD14 DI5:DI14 DK5:DK14 DP5:DP14 DR5:DR14 DW5:DW14 DY5:DY14 ED5:ED14 EF5:EF14 EK5:EK14 EM5:EM14 ER5:ER14 ET5:ET14 EY5:EY14 FA5:FA14 FF5:FF14 FH5:FH14 O26 Q26 AQ26 AS26 BE26 BG26 V26 X26 AC26 AE26 AJ26 AL26 AX26 AZ26 BL26 BN26 BS26 BU26 BZ26 CB26 CG26 CI26 CN26 CP26 CU26 CW26 DB26 DD26 DI26 DK26 DP26 DR26 DW26 DY26 ED26 EF26 EK26 EM26 ER26 ET26 EY26 FA26 FF26 FH26 O39:O41 Q39:Q41 AQ39:AQ41 AS39:AS41 BE39:BE41 BG39:BG41 V39:V41 X39:X41 AC39:AC41 AE39:AE41 AJ39:AJ41 AL39:AL41 AX39:AX41 AZ39:AZ41 BL39:BL41 BN39:BN41 BS39:BS41 BU39:BU41 BZ39:BZ41 CB39:CB41 CG39:CG41 CI39:CI41 CN39:CN41 CP39:CP41 CU39:CU41 CW39:CW41 DB39:DB41 DD39:DD41 DI39:DI41 DK39:DK41 DP39:DP41 DR39:DR41 DW39:DW41 DY39:DY41 ED39:ED41 EF39:EF41 EK39:EK41 EM39:EM41 ER39:ER41 ET39:ET41 EY39:EY41 FA39:FA41 FF39:FF41 FH39:FH41 O44:O52 Q44:Q52 AQ44:AQ52 AS44:AS52 BE44:BE52 BG44:BG52 V44:V52 X44:X52 AC44:AC52 AE44:AE52 AJ44:AJ52 AL44:AL52 AX44:AX52 AZ44:AZ52 BL44:BL52 BN44:BN52 BS44:BS52 BU44:BU52 BZ44:BZ52 CB44:CB52 CG44:CG52 CI44:CI52 CN44:CN52 CP44:CP52 CU44:CU52 CW44:CW52 DB44:DB52 DD44:DD52 DI44:DI52 DK44:DK52 DP44:DP52 DR44:DR52 DW44:DW52 DY44:DY52 ED44:ED52 EF44:EF52 EK44:EK52 EM44:EM52 ER44:ER52 ET44:ET52 EY44:EY52 FA44:FA52 FF44:FF52 FH44:FH52">
    <cfRule type="expression" dxfId="416" priority="871">
      <formula>OR(IF(O5&lt;P5,TRUE),IF(AND(P5="",O5&lt;&gt;""),TRUE))</formula>
    </cfRule>
    <cfRule type="expression" dxfId="415" priority="872">
      <formula>IF(O5&gt;=P5,IF(O5="",FALSE,TRUE))</formula>
    </cfRule>
  </conditionalFormatting>
  <conditionalFormatting sqref="AQ17:AQ21 AS17:AS21">
    <cfRule type="expression" dxfId="414" priority="738">
      <formula>OR(IF(AQ17&lt;AR17,TRUE),IF(AND(AR17="",AQ17&lt;&gt;""),TRUE))</formula>
    </cfRule>
    <cfRule type="expression" dxfId="413" priority="739">
      <formula>IF(AQ17&gt;=AR17,IF(AQ17="",FALSE,TRUE))</formula>
    </cfRule>
  </conditionalFormatting>
  <conditionalFormatting sqref="J17:K21 J23:K23">
    <cfRule type="colorScale" priority="874">
      <colorScale>
        <cfvo type="percent" val="0"/>
        <cfvo type="percent" val="100"/>
        <color rgb="FFFF231B"/>
        <color rgb="FF10FF07"/>
      </colorScale>
    </cfRule>
  </conditionalFormatting>
  <conditionalFormatting sqref="AZ23">
    <cfRule type="expression" dxfId="412" priority="712">
      <formula>OR(IF(AZ23&lt;BA23,TRUE),IF(AND(BA23="",AZ23&lt;&gt;""),TRUE))</formula>
    </cfRule>
    <cfRule type="expression" dxfId="411" priority="713">
      <formula>IF(AZ23&gt;=BA23,IF(AZ23="",FALSE,TRUE))</formula>
    </cfRule>
  </conditionalFormatting>
  <conditionalFormatting sqref="BE17:BE21 BG17:BG21">
    <cfRule type="expression" dxfId="410" priority="706">
      <formula>OR(IF(BE17&lt;BF17,TRUE),IF(AND(BF17="",BE17&lt;&gt;""),TRUE))</formula>
    </cfRule>
    <cfRule type="expression" dxfId="409" priority="707">
      <formula>IF(BE17&gt;=BF17,IF(BE17="",FALSE,TRUE))</formula>
    </cfRule>
  </conditionalFormatting>
  <conditionalFormatting sqref="O23">
    <cfRule type="expression" dxfId="408" priority="794">
      <formula>OR(IF(O23&lt;P23,TRUE),IF(AND(P23="",O23&lt;&gt;""),TRUE))</formula>
    </cfRule>
    <cfRule type="expression" dxfId="407" priority="795">
      <formula>IF(O23&gt;=P23,IF(O23="",FALSE,TRUE))</formula>
    </cfRule>
  </conditionalFormatting>
  <conditionalFormatting sqref="Q23">
    <cfRule type="expression" dxfId="406" priority="792">
      <formula>OR(IF(Q23&lt;R23,TRUE),IF(AND(R23="",Q23&lt;&gt;""),TRUE))</formula>
    </cfRule>
    <cfRule type="expression" dxfId="405" priority="793">
      <formula>IF(Q23&gt;=R23,IF(Q23="",FALSE,TRUE))</formula>
    </cfRule>
  </conditionalFormatting>
  <conditionalFormatting sqref="V17:V21 X17:X21">
    <cfRule type="expression" dxfId="404" priority="786">
      <formula>OR(IF(V17&lt;W17,TRUE),IF(AND(W17="",V17&lt;&gt;""),TRUE))</formula>
    </cfRule>
    <cfRule type="expression" dxfId="403" priority="787">
      <formula>IF(V17&gt;=W17,IF(V17="",FALSE,TRUE))</formula>
    </cfRule>
  </conditionalFormatting>
  <conditionalFormatting sqref="V23">
    <cfRule type="expression" dxfId="402" priority="778">
      <formula>OR(IF(V23&lt;W23,TRUE),IF(AND(W23="",V23&lt;&gt;""),TRUE))</formula>
    </cfRule>
    <cfRule type="expression" dxfId="401" priority="779">
      <formula>IF(V23&gt;=W23,IF(V23="",FALSE,TRUE))</formula>
    </cfRule>
  </conditionalFormatting>
  <conditionalFormatting sqref="X23">
    <cfRule type="expression" dxfId="400" priority="776">
      <formula>OR(IF(X23&lt;Y23,TRUE),IF(AND(Y23="",X23&lt;&gt;""),TRUE))</formula>
    </cfRule>
    <cfRule type="expression" dxfId="399" priority="777">
      <formula>IF(X23&gt;=Y23,IF(X23="",FALSE,TRUE))</formula>
    </cfRule>
  </conditionalFormatting>
  <conditionalFormatting sqref="AC17:AC21 AE17:AE21">
    <cfRule type="expression" dxfId="398" priority="770">
      <formula>OR(IF(AC17&lt;AD17,TRUE),IF(AND(AD17="",AC17&lt;&gt;""),TRUE))</formula>
    </cfRule>
    <cfRule type="expression" dxfId="397" priority="771">
      <formula>IF(AC17&gt;=AD17,IF(AC17="",FALSE,TRUE))</formula>
    </cfRule>
  </conditionalFormatting>
  <conditionalFormatting sqref="AC23">
    <cfRule type="expression" dxfId="396" priority="762">
      <formula>OR(IF(AC23&lt;AD23,TRUE),IF(AND(AD23="",AC23&lt;&gt;""),TRUE))</formula>
    </cfRule>
    <cfRule type="expression" dxfId="395" priority="763">
      <formula>IF(AC23&gt;=AD23,IF(AC23="",FALSE,TRUE))</formula>
    </cfRule>
  </conditionalFormatting>
  <conditionalFormatting sqref="AE23">
    <cfRule type="expression" dxfId="394" priority="760">
      <formula>OR(IF(AE23&lt;AF23,TRUE),IF(AND(AF23="",AE23&lt;&gt;""),TRUE))</formula>
    </cfRule>
    <cfRule type="expression" dxfId="393" priority="761">
      <formula>IF(AE23&gt;=AF23,IF(AE23="",FALSE,TRUE))</formula>
    </cfRule>
  </conditionalFormatting>
  <conditionalFormatting sqref="AJ17:AJ21 AL17:AL21">
    <cfRule type="expression" dxfId="392" priority="754">
      <formula>OR(IF(AJ17&lt;AK17,TRUE),IF(AND(AK17="",AJ17&lt;&gt;""),TRUE))</formula>
    </cfRule>
    <cfRule type="expression" dxfId="391" priority="755">
      <formula>IF(AJ17&gt;=AK17,IF(AJ17="",FALSE,TRUE))</formula>
    </cfRule>
  </conditionalFormatting>
  <conditionalFormatting sqref="AJ23">
    <cfRule type="expression" dxfId="390" priority="746">
      <formula>OR(IF(AJ23&lt;AK23,TRUE),IF(AND(AK23="",AJ23&lt;&gt;""),TRUE))</formula>
    </cfRule>
    <cfRule type="expression" dxfId="389" priority="747">
      <formula>IF(AJ23&gt;=AK23,IF(AJ23="",FALSE,TRUE))</formula>
    </cfRule>
  </conditionalFormatting>
  <conditionalFormatting sqref="AL23">
    <cfRule type="expression" dxfId="388" priority="744">
      <formula>OR(IF(AL23&lt;AM23,TRUE),IF(AND(AM23="",AL23&lt;&gt;""),TRUE))</formula>
    </cfRule>
    <cfRule type="expression" dxfId="387" priority="745">
      <formula>IF(AL23&gt;=AM23,IF(AL23="",FALSE,TRUE))</formula>
    </cfRule>
  </conditionalFormatting>
  <conditionalFormatting sqref="AQ23">
    <cfRule type="expression" dxfId="386" priority="730">
      <formula>OR(IF(AQ23&lt;AR23,TRUE),IF(AND(AR23="",AQ23&lt;&gt;""),TRUE))</formula>
    </cfRule>
    <cfRule type="expression" dxfId="385" priority="731">
      <formula>IF(AQ23&gt;=AR23,IF(AQ23="",FALSE,TRUE))</formula>
    </cfRule>
  </conditionalFormatting>
  <conditionalFormatting sqref="AS23">
    <cfRule type="expression" dxfId="384" priority="728">
      <formula>OR(IF(AS23&lt;AT23,TRUE),IF(AND(AT23="",AS23&lt;&gt;""),TRUE))</formula>
    </cfRule>
    <cfRule type="expression" dxfId="383" priority="729">
      <formula>IF(AS23&gt;=AT23,IF(AS23="",FALSE,TRUE))</formula>
    </cfRule>
  </conditionalFormatting>
  <conditionalFormatting sqref="AX17:AX21 AZ17:AZ21">
    <cfRule type="expression" dxfId="382" priority="722">
      <formula>OR(IF(AX17&lt;AY17,TRUE),IF(AND(AY17="",AX17&lt;&gt;""),TRUE))</formula>
    </cfRule>
    <cfRule type="expression" dxfId="381" priority="723">
      <formula>IF(AX17&gt;=AY17,IF(AX17="",FALSE,TRUE))</formula>
    </cfRule>
  </conditionalFormatting>
  <conditionalFormatting sqref="AX23">
    <cfRule type="expression" dxfId="380" priority="714">
      <formula>OR(IF(AX23&lt;AY23,TRUE),IF(AND(AY23="",AX23&lt;&gt;""),TRUE))</formula>
    </cfRule>
    <cfRule type="expression" dxfId="379" priority="715">
      <formula>IF(AX23&gt;=AY23,IF(AX23="",FALSE,TRUE))</formula>
    </cfRule>
  </conditionalFormatting>
  <conditionalFormatting sqref="BE23">
    <cfRule type="expression" dxfId="378" priority="698">
      <formula>OR(IF(BE23&lt;BF23,TRUE),IF(AND(BF23="",BE23&lt;&gt;""),TRUE))</formula>
    </cfRule>
    <cfRule type="expression" dxfId="377" priority="699">
      <formula>IF(BE23&gt;=BF23,IF(BE23="",FALSE,TRUE))</formula>
    </cfRule>
  </conditionalFormatting>
  <conditionalFormatting sqref="BG23">
    <cfRule type="expression" dxfId="376" priority="696">
      <formula>OR(IF(BG23&lt;BH23,TRUE),IF(AND(BH23="",BG23&lt;&gt;""),TRUE))</formula>
    </cfRule>
    <cfRule type="expression" dxfId="375" priority="697">
      <formula>IF(BG23&gt;=BH23,IF(BG23="",FALSE,TRUE))</formula>
    </cfRule>
  </conditionalFormatting>
  <conditionalFormatting sqref="O29:O37">
    <cfRule type="expression" dxfId="374" priority="660">
      <formula>OR(IF(O29&lt;P29,TRUE),IF(AND(P29="",O29&lt;&gt;""),TRUE))</formula>
    </cfRule>
    <cfRule type="expression" dxfId="373" priority="661">
      <formula>IF(O29&gt;=P29,IF(O29="",FALSE,TRUE))</formula>
    </cfRule>
  </conditionalFormatting>
  <conditionalFormatting sqref="Q29:Q37">
    <cfRule type="expression" dxfId="372" priority="658">
      <formula>OR(IF(Q29&lt;R29,TRUE),IF(AND(R29="",Q29&lt;&gt;""),TRUE))</formula>
    </cfRule>
    <cfRule type="expression" dxfId="371" priority="659">
      <formula>IF(Q29&gt;=R29,IF(Q29="",FALSE,TRUE))</formula>
    </cfRule>
  </conditionalFormatting>
  <conditionalFormatting sqref="AQ29:AQ37">
    <cfRule type="expression" dxfId="370" priority="644">
      <formula>OR(IF(AQ29&lt;AR29,TRUE),IF(AND(AR29="",AQ29&lt;&gt;""),TRUE))</formula>
    </cfRule>
    <cfRule type="expression" dxfId="369" priority="645">
      <formula>IF(AQ29&gt;=AR29,IF(AQ29="",FALSE,TRUE))</formula>
    </cfRule>
  </conditionalFormatting>
  <conditionalFormatting sqref="AS29:AS37">
    <cfRule type="expression" dxfId="368" priority="642">
      <formula>OR(IF(AS29&lt;AT29,TRUE),IF(AND(AT29="",AS29&lt;&gt;""),TRUE))</formula>
    </cfRule>
    <cfRule type="expression" dxfId="367" priority="643">
      <formula>IF(AS29&gt;=AT29,IF(AS29="",FALSE,TRUE))</formula>
    </cfRule>
  </conditionalFormatting>
  <conditionalFormatting sqref="BE29:BE37">
    <cfRule type="expression" dxfId="366" priority="636">
      <formula>OR(IF(BE29&lt;BF29,TRUE),IF(AND(BF29="",BE29&lt;&gt;""),TRUE))</formula>
    </cfRule>
    <cfRule type="expression" dxfId="365" priority="637">
      <formula>IF(BE29&gt;=BF29,IF(BE29="",FALSE,TRUE))</formula>
    </cfRule>
  </conditionalFormatting>
  <conditionalFormatting sqref="BG29:BG37">
    <cfRule type="expression" dxfId="364" priority="634">
      <formula>OR(IF(BG29&lt;BH29,TRUE),IF(AND(BH29="",BG29&lt;&gt;""),TRUE))</formula>
    </cfRule>
    <cfRule type="expression" dxfId="363" priority="635">
      <formula>IF(BG29&gt;=BH29,IF(BG29="",FALSE,TRUE))</formula>
    </cfRule>
  </conditionalFormatting>
  <conditionalFormatting sqref="V29:V37">
    <cfRule type="expression" dxfId="362" priority="656">
      <formula>OR(IF(V29&lt;W29,TRUE),IF(AND(W29="",V29&lt;&gt;""),TRUE))</formula>
    </cfRule>
    <cfRule type="expression" dxfId="361" priority="657">
      <formula>IF(V29&gt;=W29,IF(V29="",FALSE,TRUE))</formula>
    </cfRule>
  </conditionalFormatting>
  <conditionalFormatting sqref="X29:X37">
    <cfRule type="expression" dxfId="360" priority="654">
      <formula>OR(IF(X29&lt;Y29,TRUE),IF(AND(Y29="",X29&lt;&gt;""),TRUE))</formula>
    </cfRule>
    <cfRule type="expression" dxfId="359" priority="655">
      <formula>IF(X29&gt;=Y29,IF(X29="",FALSE,TRUE))</formula>
    </cfRule>
  </conditionalFormatting>
  <conditionalFormatting sqref="AC29:AC37">
    <cfRule type="expression" dxfId="358" priority="652">
      <formula>OR(IF(AC29&lt;AD29,TRUE),IF(AND(AD29="",AC29&lt;&gt;""),TRUE))</formula>
    </cfRule>
    <cfRule type="expression" dxfId="357" priority="653">
      <formula>IF(AC29&gt;=AD29,IF(AC29="",FALSE,TRUE))</formula>
    </cfRule>
  </conditionalFormatting>
  <conditionalFormatting sqref="AE29:AE37">
    <cfRule type="expression" dxfId="356" priority="650">
      <formula>OR(IF(AE29&lt;AF29,TRUE),IF(AND(AF29="",AE29&lt;&gt;""),TRUE))</formula>
    </cfRule>
    <cfRule type="expression" dxfId="355" priority="651">
      <formula>IF(AE29&gt;=AF29,IF(AE29="",FALSE,TRUE))</formula>
    </cfRule>
  </conditionalFormatting>
  <conditionalFormatting sqref="AJ29:AJ37">
    <cfRule type="expression" dxfId="354" priority="648">
      <formula>OR(IF(AJ29&lt;AK29,TRUE),IF(AND(AK29="",AJ29&lt;&gt;""),TRUE))</formula>
    </cfRule>
    <cfRule type="expression" dxfId="353" priority="649">
      <formula>IF(AJ29&gt;=AK29,IF(AJ29="",FALSE,TRUE))</formula>
    </cfRule>
  </conditionalFormatting>
  <conditionalFormatting sqref="AL29:AL37">
    <cfRule type="expression" dxfId="352" priority="646">
      <formula>OR(IF(AL29&lt;AM29,TRUE),IF(AND(AM29="",AL29&lt;&gt;""),TRUE))</formula>
    </cfRule>
    <cfRule type="expression" dxfId="351" priority="647">
      <formula>IF(AL29&gt;=AM29,IF(AL29="",FALSE,TRUE))</formula>
    </cfRule>
  </conditionalFormatting>
  <conditionalFormatting sqref="AX29:AX37">
    <cfRule type="expression" dxfId="350" priority="640">
      <formula>OR(IF(AX29&lt;AY29,TRUE),IF(AND(AY29="",AX29&lt;&gt;""),TRUE))</formula>
    </cfRule>
    <cfRule type="expression" dxfId="349" priority="641">
      <formula>IF(AX29&gt;=AY29,IF(AX29="",FALSE,TRUE))</formula>
    </cfRule>
  </conditionalFormatting>
  <conditionalFormatting sqref="AZ29:AZ37">
    <cfRule type="expression" dxfId="348" priority="638">
      <formula>OR(IF(AZ29&lt;BA29,TRUE),IF(AND(BA29="",AZ29&lt;&gt;""),TRUE))</formula>
    </cfRule>
    <cfRule type="expression" dxfId="347" priority="639">
      <formula>IF(AZ29&gt;=BA29,IF(AZ29="",FALSE,TRUE))</formula>
    </cfRule>
  </conditionalFormatting>
  <conditionalFormatting sqref="BL17:BL21 BN17:BN21">
    <cfRule type="expression" dxfId="346" priority="603">
      <formula>OR(IF(BL17&lt;BM17,TRUE),IF(AND(BM17="",BL17&lt;&gt;""),TRUE))</formula>
    </cfRule>
    <cfRule type="expression" dxfId="345" priority="604">
      <formula>IF(BL17&gt;=BM17,IF(BL17="",FALSE,TRUE))</formula>
    </cfRule>
  </conditionalFormatting>
  <conditionalFormatting sqref="BL23">
    <cfRule type="expression" dxfId="344" priority="595">
      <formula>OR(IF(BL23&lt;BM23,TRUE),IF(AND(BM23="",BL23&lt;&gt;""),TRUE))</formula>
    </cfRule>
    <cfRule type="expression" dxfId="343" priority="596">
      <formula>IF(BL23&gt;=BM23,IF(BL23="",FALSE,TRUE))</formula>
    </cfRule>
  </conditionalFormatting>
  <conditionalFormatting sqref="BN23">
    <cfRule type="expression" dxfId="342" priority="593">
      <formula>OR(IF(BN23&lt;BO23,TRUE),IF(AND(BO23="",BN23&lt;&gt;""),TRUE))</formula>
    </cfRule>
    <cfRule type="expression" dxfId="341" priority="594">
      <formula>IF(BN23&gt;=BO23,IF(BN23="",FALSE,TRUE))</formula>
    </cfRule>
  </conditionalFormatting>
  <conditionalFormatting sqref="BL29:BL37">
    <cfRule type="expression" dxfId="340" priority="583">
      <formula>OR(IF(BL29&lt;BM29,TRUE),IF(AND(BM29="",BL29&lt;&gt;""),TRUE))</formula>
    </cfRule>
    <cfRule type="expression" dxfId="339" priority="584">
      <formula>IF(BL29&gt;=BM29,IF(BL29="",FALSE,TRUE))</formula>
    </cfRule>
  </conditionalFormatting>
  <conditionalFormatting sqref="BN29:BN37">
    <cfRule type="expression" dxfId="338" priority="581">
      <formula>OR(IF(BN29&lt;BO29,TRUE),IF(AND(BO29="",BN29&lt;&gt;""),TRUE))</formula>
    </cfRule>
    <cfRule type="expression" dxfId="337" priority="582">
      <formula>IF(BN29&gt;=BO29,IF(BN29="",FALSE,TRUE))</formula>
    </cfRule>
  </conditionalFormatting>
  <conditionalFormatting sqref="BS17:BS21 BU17:BU21">
    <cfRule type="expression" dxfId="336" priority="575">
      <formula>OR(IF(BS17&lt;BT17,TRUE),IF(AND(BT17="",BS17&lt;&gt;""),TRUE))</formula>
    </cfRule>
    <cfRule type="expression" dxfId="335" priority="576">
      <formula>IF(BS17&gt;=BT17,IF(BS17="",FALSE,TRUE))</formula>
    </cfRule>
  </conditionalFormatting>
  <conditionalFormatting sqref="BS23">
    <cfRule type="expression" dxfId="334" priority="567">
      <formula>OR(IF(BS23&lt;BT23,TRUE),IF(AND(BT23="",BS23&lt;&gt;""),TRUE))</formula>
    </cfRule>
    <cfRule type="expression" dxfId="333" priority="568">
      <formula>IF(BS23&gt;=BT23,IF(BS23="",FALSE,TRUE))</formula>
    </cfRule>
  </conditionalFormatting>
  <conditionalFormatting sqref="BU23">
    <cfRule type="expression" dxfId="332" priority="565">
      <formula>OR(IF(BU23&lt;BV23,TRUE),IF(AND(BV23="",BU23&lt;&gt;""),TRUE))</formula>
    </cfRule>
    <cfRule type="expression" dxfId="331" priority="566">
      <formula>IF(BU23&gt;=BV23,IF(BU23="",FALSE,TRUE))</formula>
    </cfRule>
  </conditionalFormatting>
  <conditionalFormatting sqref="BS29:BS37">
    <cfRule type="expression" dxfId="330" priority="555">
      <formula>OR(IF(BS29&lt;BT29,TRUE),IF(AND(BT29="",BS29&lt;&gt;""),TRUE))</formula>
    </cfRule>
    <cfRule type="expression" dxfId="329" priority="556">
      <formula>IF(BS29&gt;=BT29,IF(BS29="",FALSE,TRUE))</formula>
    </cfRule>
  </conditionalFormatting>
  <conditionalFormatting sqref="BU29:BU37">
    <cfRule type="expression" dxfId="328" priority="553">
      <formula>OR(IF(BU29&lt;BV29,TRUE),IF(AND(BV29="",BU29&lt;&gt;""),TRUE))</formula>
    </cfRule>
    <cfRule type="expression" dxfId="327" priority="554">
      <formula>IF(BU29&gt;=BV29,IF(BU29="",FALSE,TRUE))</formula>
    </cfRule>
  </conditionalFormatting>
  <conditionalFormatting sqref="BZ17:BZ21 CB17:CB21">
    <cfRule type="expression" dxfId="326" priority="547">
      <formula>OR(IF(BZ17&lt;CA17,TRUE),IF(AND(CA17="",BZ17&lt;&gt;""),TRUE))</formula>
    </cfRule>
    <cfRule type="expression" dxfId="325" priority="548">
      <formula>IF(BZ17&gt;=CA17,IF(BZ17="",FALSE,TRUE))</formula>
    </cfRule>
  </conditionalFormatting>
  <conditionalFormatting sqref="BZ23">
    <cfRule type="expression" dxfId="324" priority="539">
      <formula>OR(IF(BZ23&lt;CA23,TRUE),IF(AND(CA23="",BZ23&lt;&gt;""),TRUE))</formula>
    </cfRule>
    <cfRule type="expression" dxfId="323" priority="540">
      <formula>IF(BZ23&gt;=CA23,IF(BZ23="",FALSE,TRUE))</formula>
    </cfRule>
  </conditionalFormatting>
  <conditionalFormatting sqref="CB23">
    <cfRule type="expression" dxfId="322" priority="537">
      <formula>OR(IF(CB23&lt;CC23,TRUE),IF(AND(CC23="",CB23&lt;&gt;""),TRUE))</formula>
    </cfRule>
    <cfRule type="expression" dxfId="321" priority="538">
      <formula>IF(CB23&gt;=CC23,IF(CB23="",FALSE,TRUE))</formula>
    </cfRule>
  </conditionalFormatting>
  <conditionalFormatting sqref="BZ29:BZ37">
    <cfRule type="expression" dxfId="320" priority="527">
      <formula>OR(IF(BZ29&lt;CA29,TRUE),IF(AND(CA29="",BZ29&lt;&gt;""),TRUE))</formula>
    </cfRule>
    <cfRule type="expression" dxfId="319" priority="528">
      <formula>IF(BZ29&gt;=CA29,IF(BZ29="",FALSE,TRUE))</formula>
    </cfRule>
  </conditionalFormatting>
  <conditionalFormatting sqref="CB29:CB37">
    <cfRule type="expression" dxfId="318" priority="525">
      <formula>OR(IF(CB29&lt;CC29,TRUE),IF(AND(CC29="",CB29&lt;&gt;""),TRUE))</formula>
    </cfRule>
    <cfRule type="expression" dxfId="317" priority="526">
      <formula>IF(CB29&gt;=CC29,IF(CB29="",FALSE,TRUE))</formula>
    </cfRule>
  </conditionalFormatting>
  <conditionalFormatting sqref="CG17:CG21 CI17:CI21">
    <cfRule type="expression" dxfId="316" priority="519">
      <formula>OR(IF(CG17&lt;CH17,TRUE),IF(AND(CH17="",CG17&lt;&gt;""),TRUE))</formula>
    </cfRule>
    <cfRule type="expression" dxfId="315" priority="520">
      <formula>IF(CG17&gt;=CH17,IF(CG17="",FALSE,TRUE))</formula>
    </cfRule>
  </conditionalFormatting>
  <conditionalFormatting sqref="CG23">
    <cfRule type="expression" dxfId="314" priority="511">
      <formula>OR(IF(CG23&lt;CH23,TRUE),IF(AND(CH23="",CG23&lt;&gt;""),TRUE))</formula>
    </cfRule>
    <cfRule type="expression" dxfId="313" priority="512">
      <formula>IF(CG23&gt;=CH23,IF(CG23="",FALSE,TRUE))</formula>
    </cfRule>
  </conditionalFormatting>
  <conditionalFormatting sqref="CI23">
    <cfRule type="expression" dxfId="312" priority="509">
      <formula>OR(IF(CI23&lt;CJ23,TRUE),IF(AND(CJ23="",CI23&lt;&gt;""),TRUE))</formula>
    </cfRule>
    <cfRule type="expression" dxfId="311" priority="510">
      <formula>IF(CI23&gt;=CJ23,IF(CI23="",FALSE,TRUE))</formula>
    </cfRule>
  </conditionalFormatting>
  <conditionalFormatting sqref="CG29:CG37">
    <cfRule type="expression" dxfId="310" priority="499">
      <formula>OR(IF(CG29&lt;CH29,TRUE),IF(AND(CH29="",CG29&lt;&gt;""),TRUE))</formula>
    </cfRule>
    <cfRule type="expression" dxfId="309" priority="500">
      <formula>IF(CG29&gt;=CH29,IF(CG29="",FALSE,TRUE))</formula>
    </cfRule>
  </conditionalFormatting>
  <conditionalFormatting sqref="CI29:CI37">
    <cfRule type="expression" dxfId="308" priority="497">
      <formula>OR(IF(CI29&lt;CJ29,TRUE),IF(AND(CJ29="",CI29&lt;&gt;""),TRUE))</formula>
    </cfRule>
    <cfRule type="expression" dxfId="307" priority="498">
      <formula>IF(CI29&gt;=CJ29,IF(CI29="",FALSE,TRUE))</formula>
    </cfRule>
  </conditionalFormatting>
  <conditionalFormatting sqref="CN17:CN21 CP17:CP21">
    <cfRule type="expression" dxfId="306" priority="491">
      <formula>OR(IF(CN17&lt;CO17,TRUE),IF(AND(CO17="",CN17&lt;&gt;""),TRUE))</formula>
    </cfRule>
    <cfRule type="expression" dxfId="305" priority="492">
      <formula>IF(CN17&gt;=CO17,IF(CN17="",FALSE,TRUE))</formula>
    </cfRule>
  </conditionalFormatting>
  <conditionalFormatting sqref="CN23">
    <cfRule type="expression" dxfId="304" priority="483">
      <formula>OR(IF(CN23&lt;CO23,TRUE),IF(AND(CO23="",CN23&lt;&gt;""),TRUE))</formula>
    </cfRule>
    <cfRule type="expression" dxfId="303" priority="484">
      <formula>IF(CN23&gt;=CO23,IF(CN23="",FALSE,TRUE))</formula>
    </cfRule>
  </conditionalFormatting>
  <conditionalFormatting sqref="CP23">
    <cfRule type="expression" dxfId="302" priority="481">
      <formula>OR(IF(CP23&lt;CQ23,TRUE),IF(AND(CQ23="",CP23&lt;&gt;""),TRUE))</formula>
    </cfRule>
    <cfRule type="expression" dxfId="301" priority="482">
      <formula>IF(CP23&gt;=CQ23,IF(CP23="",FALSE,TRUE))</formula>
    </cfRule>
  </conditionalFormatting>
  <conditionalFormatting sqref="CN29:CN37">
    <cfRule type="expression" dxfId="300" priority="471">
      <formula>OR(IF(CN29&lt;CO29,TRUE),IF(AND(CO29="",CN29&lt;&gt;""),TRUE))</formula>
    </cfRule>
    <cfRule type="expression" dxfId="299" priority="472">
      <formula>IF(CN29&gt;=CO29,IF(CN29="",FALSE,TRUE))</formula>
    </cfRule>
  </conditionalFormatting>
  <conditionalFormatting sqref="CP29:CP37">
    <cfRule type="expression" dxfId="298" priority="469">
      <formula>OR(IF(CP29&lt;CQ29,TRUE),IF(AND(CQ29="",CP29&lt;&gt;""),TRUE))</formula>
    </cfRule>
    <cfRule type="expression" dxfId="297" priority="470">
      <formula>IF(CP29&gt;=CQ29,IF(CP29="",FALSE,TRUE))</formula>
    </cfRule>
  </conditionalFormatting>
  <conditionalFormatting sqref="CU17:CU21 CW17:CW21">
    <cfRule type="expression" dxfId="296" priority="463">
      <formula>OR(IF(CU17&lt;CV17,TRUE),IF(AND(CV17="",CU17&lt;&gt;""),TRUE))</formula>
    </cfRule>
    <cfRule type="expression" dxfId="295" priority="464">
      <formula>IF(CU17&gt;=CV17,IF(CU17="",FALSE,TRUE))</formula>
    </cfRule>
  </conditionalFormatting>
  <conditionalFormatting sqref="CU23">
    <cfRule type="expression" dxfId="294" priority="455">
      <formula>OR(IF(CU23&lt;CV23,TRUE),IF(AND(CV23="",CU23&lt;&gt;""),TRUE))</formula>
    </cfRule>
    <cfRule type="expression" dxfId="293" priority="456">
      <formula>IF(CU23&gt;=CV23,IF(CU23="",FALSE,TRUE))</formula>
    </cfRule>
  </conditionalFormatting>
  <conditionalFormatting sqref="CW23">
    <cfRule type="expression" dxfId="292" priority="453">
      <formula>OR(IF(CW23&lt;CX23,TRUE),IF(AND(CX23="",CW23&lt;&gt;""),TRUE))</formula>
    </cfRule>
    <cfRule type="expression" dxfId="291" priority="454">
      <formula>IF(CW23&gt;=CX23,IF(CW23="",FALSE,TRUE))</formula>
    </cfRule>
  </conditionalFormatting>
  <conditionalFormatting sqref="CU29:CU37">
    <cfRule type="expression" dxfId="290" priority="443">
      <formula>OR(IF(CU29&lt;CV29,TRUE),IF(AND(CV29="",CU29&lt;&gt;""),TRUE))</formula>
    </cfRule>
    <cfRule type="expression" dxfId="289" priority="444">
      <formula>IF(CU29&gt;=CV29,IF(CU29="",FALSE,TRUE))</formula>
    </cfRule>
  </conditionalFormatting>
  <conditionalFormatting sqref="CW29:CW37">
    <cfRule type="expression" dxfId="288" priority="441">
      <formula>OR(IF(CW29&lt;CX29,TRUE),IF(AND(CX29="",CW29&lt;&gt;""),TRUE))</formula>
    </cfRule>
    <cfRule type="expression" dxfId="287" priority="442">
      <formula>IF(CW29&gt;=CX29,IF(CW29="",FALSE,TRUE))</formula>
    </cfRule>
  </conditionalFormatting>
  <conditionalFormatting sqref="DB17:DB21 DD17:DD21">
    <cfRule type="expression" dxfId="286" priority="435">
      <formula>OR(IF(DB17&lt;DC17,TRUE),IF(AND(DC17="",DB17&lt;&gt;""),TRUE))</formula>
    </cfRule>
    <cfRule type="expression" dxfId="285" priority="436">
      <formula>IF(DB17&gt;=DC17,IF(DB17="",FALSE,TRUE))</formula>
    </cfRule>
  </conditionalFormatting>
  <conditionalFormatting sqref="DB23">
    <cfRule type="expression" dxfId="284" priority="427">
      <formula>OR(IF(DB23&lt;DC23,TRUE),IF(AND(DC23="",DB23&lt;&gt;""),TRUE))</formula>
    </cfRule>
    <cfRule type="expression" dxfId="283" priority="428">
      <formula>IF(DB23&gt;=DC23,IF(DB23="",FALSE,TRUE))</formula>
    </cfRule>
  </conditionalFormatting>
  <conditionalFormatting sqref="DD23">
    <cfRule type="expression" dxfId="282" priority="425">
      <formula>OR(IF(DD23&lt;DE23,TRUE),IF(AND(DE23="",DD23&lt;&gt;""),TRUE))</formula>
    </cfRule>
    <cfRule type="expression" dxfId="281" priority="426">
      <formula>IF(DD23&gt;=DE23,IF(DD23="",FALSE,TRUE))</formula>
    </cfRule>
  </conditionalFormatting>
  <conditionalFormatting sqref="DB29:DB37">
    <cfRule type="expression" dxfId="280" priority="415">
      <formula>OR(IF(DB29&lt;DC29,TRUE),IF(AND(DC29="",DB29&lt;&gt;""),TRUE))</formula>
    </cfRule>
    <cfRule type="expression" dxfId="279" priority="416">
      <formula>IF(DB29&gt;=DC29,IF(DB29="",FALSE,TRUE))</formula>
    </cfRule>
  </conditionalFormatting>
  <conditionalFormatting sqref="DD29:DD37">
    <cfRule type="expression" dxfId="278" priority="413">
      <formula>OR(IF(DD29&lt;DE29,TRUE),IF(AND(DE29="",DD29&lt;&gt;""),TRUE))</formula>
    </cfRule>
    <cfRule type="expression" dxfId="277" priority="414">
      <formula>IF(DD29&gt;=DE29,IF(DD29="",FALSE,TRUE))</formula>
    </cfRule>
  </conditionalFormatting>
  <conditionalFormatting sqref="DI17:DI21 DK17:DK21">
    <cfRule type="expression" dxfId="276" priority="407">
      <formula>OR(IF(DI17&lt;DJ17,TRUE),IF(AND(DJ17="",DI17&lt;&gt;""),TRUE))</formula>
    </cfRule>
    <cfRule type="expression" dxfId="275" priority="408">
      <formula>IF(DI17&gt;=DJ17,IF(DI17="",FALSE,TRUE))</formula>
    </cfRule>
  </conditionalFormatting>
  <conditionalFormatting sqref="DI23">
    <cfRule type="expression" dxfId="274" priority="399">
      <formula>OR(IF(DI23&lt;DJ23,TRUE),IF(AND(DJ23="",DI23&lt;&gt;""),TRUE))</formula>
    </cfRule>
    <cfRule type="expression" dxfId="273" priority="400">
      <formula>IF(DI23&gt;=DJ23,IF(DI23="",FALSE,TRUE))</formula>
    </cfRule>
  </conditionalFormatting>
  <conditionalFormatting sqref="DK23">
    <cfRule type="expression" dxfId="272" priority="397">
      <formula>OR(IF(DK23&lt;DL23,TRUE),IF(AND(DL23="",DK23&lt;&gt;""),TRUE))</formula>
    </cfRule>
    <cfRule type="expression" dxfId="271" priority="398">
      <formula>IF(DK23&gt;=DL23,IF(DK23="",FALSE,TRUE))</formula>
    </cfRule>
  </conditionalFormatting>
  <conditionalFormatting sqref="DI29:DI37">
    <cfRule type="expression" dxfId="270" priority="387">
      <formula>OR(IF(DI29&lt;DJ29,TRUE),IF(AND(DJ29="",DI29&lt;&gt;""),TRUE))</formula>
    </cfRule>
    <cfRule type="expression" dxfId="269" priority="388">
      <formula>IF(DI29&gt;=DJ29,IF(DI29="",FALSE,TRUE))</formula>
    </cfRule>
  </conditionalFormatting>
  <conditionalFormatting sqref="DK29:DK37">
    <cfRule type="expression" dxfId="268" priority="385">
      <formula>OR(IF(DK29&lt;DL29,TRUE),IF(AND(DL29="",DK29&lt;&gt;""),TRUE))</formula>
    </cfRule>
    <cfRule type="expression" dxfId="267" priority="386">
      <formula>IF(DK29&gt;=DL29,IF(DK29="",FALSE,TRUE))</formula>
    </cfRule>
  </conditionalFormatting>
  <conditionalFormatting sqref="DP17:DP21 DR17:DR21">
    <cfRule type="expression" dxfId="266" priority="379">
      <formula>OR(IF(DP17&lt;DQ17,TRUE),IF(AND(DQ17="",DP17&lt;&gt;""),TRUE))</formula>
    </cfRule>
    <cfRule type="expression" dxfId="265" priority="380">
      <formula>IF(DP17&gt;=DQ17,IF(DP17="",FALSE,TRUE))</formula>
    </cfRule>
  </conditionalFormatting>
  <conditionalFormatting sqref="DP23">
    <cfRule type="expression" dxfId="264" priority="371">
      <formula>OR(IF(DP23&lt;DQ23,TRUE),IF(AND(DQ23="",DP23&lt;&gt;""),TRUE))</formula>
    </cfRule>
    <cfRule type="expression" dxfId="263" priority="372">
      <formula>IF(DP23&gt;=DQ23,IF(DP23="",FALSE,TRUE))</formula>
    </cfRule>
  </conditionalFormatting>
  <conditionalFormatting sqref="DR23">
    <cfRule type="expression" dxfId="262" priority="369">
      <formula>OR(IF(DR23&lt;DS23,TRUE),IF(AND(DS23="",DR23&lt;&gt;""),TRUE))</formula>
    </cfRule>
    <cfRule type="expression" dxfId="261" priority="370">
      <formula>IF(DR23&gt;=DS23,IF(DR23="",FALSE,TRUE))</formula>
    </cfRule>
  </conditionalFormatting>
  <conditionalFormatting sqref="DP29:DP37">
    <cfRule type="expression" dxfId="260" priority="359">
      <formula>OR(IF(DP29&lt;DQ29,TRUE),IF(AND(DQ29="",DP29&lt;&gt;""),TRUE))</formula>
    </cfRule>
    <cfRule type="expression" dxfId="259" priority="360">
      <formula>IF(DP29&gt;=DQ29,IF(DP29="",FALSE,TRUE))</formula>
    </cfRule>
  </conditionalFormatting>
  <conditionalFormatting sqref="DR29:DR37">
    <cfRule type="expression" dxfId="258" priority="357">
      <formula>OR(IF(DR29&lt;DS29,TRUE),IF(AND(DS29="",DR29&lt;&gt;""),TRUE))</formula>
    </cfRule>
    <cfRule type="expression" dxfId="257" priority="358">
      <formula>IF(DR29&gt;=DS29,IF(DR29="",FALSE,TRUE))</formula>
    </cfRule>
  </conditionalFormatting>
  <conditionalFormatting sqref="DW17:DW21 DY17:DY21">
    <cfRule type="expression" dxfId="256" priority="351">
      <formula>OR(IF(DW17&lt;DX17,TRUE),IF(AND(DX17="",DW17&lt;&gt;""),TRUE))</formula>
    </cfRule>
    <cfRule type="expression" dxfId="255" priority="352">
      <formula>IF(DW17&gt;=DX17,IF(DW17="",FALSE,TRUE))</formula>
    </cfRule>
  </conditionalFormatting>
  <conditionalFormatting sqref="DW23">
    <cfRule type="expression" dxfId="254" priority="343">
      <formula>OR(IF(DW23&lt;DX23,TRUE),IF(AND(DX23="",DW23&lt;&gt;""),TRUE))</formula>
    </cfRule>
    <cfRule type="expression" dxfId="253" priority="344">
      <formula>IF(DW23&gt;=DX23,IF(DW23="",FALSE,TRUE))</formula>
    </cfRule>
  </conditionalFormatting>
  <conditionalFormatting sqref="DY23">
    <cfRule type="expression" dxfId="252" priority="341">
      <formula>OR(IF(DY23&lt;DZ23,TRUE),IF(AND(DZ23="",DY23&lt;&gt;""),TRUE))</formula>
    </cfRule>
    <cfRule type="expression" dxfId="251" priority="342">
      <formula>IF(DY23&gt;=DZ23,IF(DY23="",FALSE,TRUE))</formula>
    </cfRule>
  </conditionalFormatting>
  <conditionalFormatting sqref="DW29:DW37">
    <cfRule type="expression" dxfId="250" priority="331">
      <formula>OR(IF(DW29&lt;DX29,TRUE),IF(AND(DX29="",DW29&lt;&gt;""),TRUE))</formula>
    </cfRule>
    <cfRule type="expression" dxfId="249" priority="332">
      <formula>IF(DW29&gt;=DX29,IF(DW29="",FALSE,TRUE))</formula>
    </cfRule>
  </conditionalFormatting>
  <conditionalFormatting sqref="DY29:DY37">
    <cfRule type="expression" dxfId="248" priority="329">
      <formula>OR(IF(DY29&lt;DZ29,TRUE),IF(AND(DZ29="",DY29&lt;&gt;""),TRUE))</formula>
    </cfRule>
    <cfRule type="expression" dxfId="247" priority="330">
      <formula>IF(DY29&gt;=DZ29,IF(DY29="",FALSE,TRUE))</formula>
    </cfRule>
  </conditionalFormatting>
  <conditionalFormatting sqref="ED17:ED21 EF17:EF21">
    <cfRule type="expression" dxfId="246" priority="323">
      <formula>OR(IF(ED17&lt;EE17,TRUE),IF(AND(EE17="",ED17&lt;&gt;""),TRUE))</formula>
    </cfRule>
    <cfRule type="expression" dxfId="245" priority="324">
      <formula>IF(ED17&gt;=EE17,IF(ED17="",FALSE,TRUE))</formula>
    </cfRule>
  </conditionalFormatting>
  <conditionalFormatting sqref="ED23">
    <cfRule type="expression" dxfId="244" priority="315">
      <formula>OR(IF(ED23&lt;EE23,TRUE),IF(AND(EE23="",ED23&lt;&gt;""),TRUE))</formula>
    </cfRule>
    <cfRule type="expression" dxfId="243" priority="316">
      <formula>IF(ED23&gt;=EE23,IF(ED23="",FALSE,TRUE))</formula>
    </cfRule>
  </conditionalFormatting>
  <conditionalFormatting sqref="EF23">
    <cfRule type="expression" dxfId="242" priority="313">
      <formula>OR(IF(EF23&lt;EG23,TRUE),IF(AND(EG23="",EF23&lt;&gt;""),TRUE))</formula>
    </cfRule>
    <cfRule type="expression" dxfId="241" priority="314">
      <formula>IF(EF23&gt;=EG23,IF(EF23="",FALSE,TRUE))</formula>
    </cfRule>
  </conditionalFormatting>
  <conditionalFormatting sqref="ED29:ED37">
    <cfRule type="expression" dxfId="240" priority="303">
      <formula>OR(IF(ED29&lt;EE29,TRUE),IF(AND(EE29="",ED29&lt;&gt;""),TRUE))</formula>
    </cfRule>
    <cfRule type="expression" dxfId="239" priority="304">
      <formula>IF(ED29&gt;=EE29,IF(ED29="",FALSE,TRUE))</formula>
    </cfRule>
  </conditionalFormatting>
  <conditionalFormatting sqref="EF29:EF37">
    <cfRule type="expression" dxfId="238" priority="301">
      <formula>OR(IF(EF29&lt;EG29,TRUE),IF(AND(EG29="",EF29&lt;&gt;""),TRUE))</formula>
    </cfRule>
    <cfRule type="expression" dxfId="237" priority="302">
      <formula>IF(EF29&gt;=EG29,IF(EF29="",FALSE,TRUE))</formula>
    </cfRule>
  </conditionalFormatting>
  <conditionalFormatting sqref="EK17:EK21 EM17:EM21">
    <cfRule type="expression" dxfId="236" priority="295">
      <formula>OR(IF(EK17&lt;EL17,TRUE),IF(AND(EL17="",EK17&lt;&gt;""),TRUE))</formula>
    </cfRule>
    <cfRule type="expression" dxfId="235" priority="296">
      <formula>IF(EK17&gt;=EL17,IF(EK17="",FALSE,TRUE))</formula>
    </cfRule>
  </conditionalFormatting>
  <conditionalFormatting sqref="EK23">
    <cfRule type="expression" dxfId="234" priority="287">
      <formula>OR(IF(EK23&lt;EL23,TRUE),IF(AND(EL23="",EK23&lt;&gt;""),TRUE))</formula>
    </cfRule>
    <cfRule type="expression" dxfId="233" priority="288">
      <formula>IF(EK23&gt;=EL23,IF(EK23="",FALSE,TRUE))</formula>
    </cfRule>
  </conditionalFormatting>
  <conditionalFormatting sqref="EM23">
    <cfRule type="expression" dxfId="232" priority="285">
      <formula>OR(IF(EM23&lt;EN23,TRUE),IF(AND(EN23="",EM23&lt;&gt;""),TRUE))</formula>
    </cfRule>
    <cfRule type="expression" dxfId="231" priority="286">
      <formula>IF(EM23&gt;=EN23,IF(EM23="",FALSE,TRUE))</formula>
    </cfRule>
  </conditionalFormatting>
  <conditionalFormatting sqref="EK29:EK37">
    <cfRule type="expression" dxfId="230" priority="275">
      <formula>OR(IF(EK29&lt;EL29,TRUE),IF(AND(EL29="",EK29&lt;&gt;""),TRUE))</formula>
    </cfRule>
    <cfRule type="expression" dxfId="229" priority="276">
      <formula>IF(EK29&gt;=EL29,IF(EK29="",FALSE,TRUE))</formula>
    </cfRule>
  </conditionalFormatting>
  <conditionalFormatting sqref="EM29:EM37">
    <cfRule type="expression" dxfId="228" priority="273">
      <formula>OR(IF(EM29&lt;EN29,TRUE),IF(AND(EN29="",EM29&lt;&gt;""),TRUE))</formula>
    </cfRule>
    <cfRule type="expression" dxfId="227" priority="274">
      <formula>IF(EM29&gt;=EN29,IF(EM29="",FALSE,TRUE))</formula>
    </cfRule>
  </conditionalFormatting>
  <conditionalFormatting sqref="ER17:ER21 ET17:ET21">
    <cfRule type="expression" dxfId="226" priority="267">
      <formula>OR(IF(ER17&lt;ES17,TRUE),IF(AND(ES17="",ER17&lt;&gt;""),TRUE))</formula>
    </cfRule>
    <cfRule type="expression" dxfId="225" priority="268">
      <formula>IF(ER17&gt;=ES17,IF(ER17="",FALSE,TRUE))</formula>
    </cfRule>
  </conditionalFormatting>
  <conditionalFormatting sqref="ER23">
    <cfRule type="expression" dxfId="224" priority="259">
      <formula>OR(IF(ER23&lt;ES23,TRUE),IF(AND(ES23="",ER23&lt;&gt;""),TRUE))</formula>
    </cfRule>
    <cfRule type="expression" dxfId="223" priority="260">
      <formula>IF(ER23&gt;=ES23,IF(ER23="",FALSE,TRUE))</formula>
    </cfRule>
  </conditionalFormatting>
  <conditionalFormatting sqref="ET23">
    <cfRule type="expression" dxfId="222" priority="257">
      <formula>OR(IF(ET23&lt;EU23,TRUE),IF(AND(EU23="",ET23&lt;&gt;""),TRUE))</formula>
    </cfRule>
    <cfRule type="expression" dxfId="221" priority="258">
      <formula>IF(ET23&gt;=EU23,IF(ET23="",FALSE,TRUE))</formula>
    </cfRule>
  </conditionalFormatting>
  <conditionalFormatting sqref="ER29:ER37">
    <cfRule type="expression" dxfId="220" priority="247">
      <formula>OR(IF(ER29&lt;ES29,TRUE),IF(AND(ES29="",ER29&lt;&gt;""),TRUE))</formula>
    </cfRule>
    <cfRule type="expression" dxfId="219" priority="248">
      <formula>IF(ER29&gt;=ES29,IF(ER29="",FALSE,TRUE))</formula>
    </cfRule>
  </conditionalFormatting>
  <conditionalFormatting sqref="ET29:ET37">
    <cfRule type="expression" dxfId="218" priority="245">
      <formula>OR(IF(ET29&lt;EU29,TRUE),IF(AND(EU29="",ET29&lt;&gt;""),TRUE))</formula>
    </cfRule>
    <cfRule type="expression" dxfId="217" priority="246">
      <formula>IF(ET29&gt;=EU29,IF(ET29="",FALSE,TRUE))</formula>
    </cfRule>
  </conditionalFormatting>
  <conditionalFormatting sqref="EY17:EY21 FA17:FA21">
    <cfRule type="expression" dxfId="216" priority="239">
      <formula>OR(IF(EY17&lt;EZ17,TRUE),IF(AND(EZ17="",EY17&lt;&gt;""),TRUE))</formula>
    </cfRule>
    <cfRule type="expression" dxfId="215" priority="240">
      <formula>IF(EY17&gt;=EZ17,IF(EY17="",FALSE,TRUE))</formula>
    </cfRule>
  </conditionalFormatting>
  <conditionalFormatting sqref="EY23">
    <cfRule type="expression" dxfId="214" priority="231">
      <formula>OR(IF(EY23&lt;EZ23,TRUE),IF(AND(EZ23="",EY23&lt;&gt;""),TRUE))</formula>
    </cfRule>
    <cfRule type="expression" dxfId="213" priority="232">
      <formula>IF(EY23&gt;=EZ23,IF(EY23="",FALSE,TRUE))</formula>
    </cfRule>
  </conditionalFormatting>
  <conditionalFormatting sqref="FA23">
    <cfRule type="expression" dxfId="212" priority="229">
      <formula>OR(IF(FA23&lt;FB23,TRUE),IF(AND(FB23="",FA23&lt;&gt;""),TRUE))</formula>
    </cfRule>
    <cfRule type="expression" dxfId="211" priority="230">
      <formula>IF(FA23&gt;=FB23,IF(FA23="",FALSE,TRUE))</formula>
    </cfRule>
  </conditionalFormatting>
  <conditionalFormatting sqref="EY29:EY37">
    <cfRule type="expression" dxfId="210" priority="219">
      <formula>OR(IF(EY29&lt;EZ29,TRUE),IF(AND(EZ29="",EY29&lt;&gt;""),TRUE))</formula>
    </cfRule>
    <cfRule type="expression" dxfId="209" priority="220">
      <formula>IF(EY29&gt;=EZ29,IF(EY29="",FALSE,TRUE))</formula>
    </cfRule>
  </conditionalFormatting>
  <conditionalFormatting sqref="FA29:FA37">
    <cfRule type="expression" dxfId="208" priority="217">
      <formula>OR(IF(FA29&lt;FB29,TRUE),IF(AND(FB29="",FA29&lt;&gt;""),TRUE))</formula>
    </cfRule>
    <cfRule type="expression" dxfId="207" priority="218">
      <formula>IF(FA29&gt;=FB29,IF(FA29="",FALSE,TRUE))</formula>
    </cfRule>
  </conditionalFormatting>
  <conditionalFormatting sqref="FF17:FF21 FH17:FH21">
    <cfRule type="expression" dxfId="206" priority="211">
      <formula>OR(IF(FF17&lt;FG17,TRUE),IF(AND(FG17="",FF17&lt;&gt;""),TRUE))</formula>
    </cfRule>
    <cfRule type="expression" dxfId="205" priority="212">
      <formula>IF(FF17&gt;=FG17,IF(FF17="",FALSE,TRUE))</formula>
    </cfRule>
  </conditionalFormatting>
  <conditionalFormatting sqref="FF23">
    <cfRule type="expression" dxfId="204" priority="203">
      <formula>OR(IF(FF23&lt;FG23,TRUE),IF(AND(FG23="",FF23&lt;&gt;""),TRUE))</formula>
    </cfRule>
    <cfRule type="expression" dxfId="203" priority="204">
      <formula>IF(FF23&gt;=FG23,IF(FF23="",FALSE,TRUE))</formula>
    </cfRule>
  </conditionalFormatting>
  <conditionalFormatting sqref="FH23">
    <cfRule type="expression" dxfId="202" priority="201">
      <formula>OR(IF(FH23&lt;FI23,TRUE),IF(AND(FI23="",FH23&lt;&gt;""),TRUE))</formula>
    </cfRule>
    <cfRule type="expression" dxfId="201" priority="202">
      <formula>IF(FH23&gt;=FI23,IF(FH23="",FALSE,TRUE))</formula>
    </cfRule>
  </conditionalFormatting>
  <conditionalFormatting sqref="FF29:FF37">
    <cfRule type="expression" dxfId="200" priority="191">
      <formula>OR(IF(FF29&lt;FG29,TRUE),IF(AND(FG29="",FF29&lt;&gt;""),TRUE))</formula>
    </cfRule>
    <cfRule type="expression" dxfId="199" priority="192">
      <formula>IF(FF29&gt;=FG29,IF(FF29="",FALSE,TRUE))</formula>
    </cfRule>
  </conditionalFormatting>
  <conditionalFormatting sqref="FH29:FH37">
    <cfRule type="expression" dxfId="198" priority="189">
      <formula>OR(IF(FH29&lt;FI29,TRUE),IF(AND(FI29="",FH29&lt;&gt;""),TRUE))</formula>
    </cfRule>
    <cfRule type="expression" dxfId="197" priority="190">
      <formula>IF(FH29&gt;=FI29,IF(FH29="",FALSE,TRUE))</formula>
    </cfRule>
  </conditionalFormatting>
  <conditionalFormatting sqref="J5:K14">
    <cfRule type="colorScale" priority="875">
      <colorScale>
        <cfvo type="percent" val="0"/>
        <cfvo type="percent" val="100"/>
        <color rgb="FFFF231B"/>
        <color rgb="FF10FF07"/>
      </colorScale>
    </cfRule>
  </conditionalFormatting>
  <conditionalFormatting sqref="O55:O64 Q55:Q64 AQ55:AQ64 AS55:AS64 BE55:BE64 BG55:BG64 V55:V64 X55:X64 AC55:AC64 AE55:AE64 AJ55:AJ64 AL55:AL64 AX55:AX64 AZ55:AZ64 BL55:BL64 BN55:BN64 BS55:BS64 BU55:BU64 BZ55:BZ64 CB55:CB64 CG55:CG64 CI55:CI64 CN55:CN64 CP55:CP64 CU55:CU64 CW55:CW64 DB55:DB64 DD55:DD64 DI55:DI64 DK55:DK64 DP55:DP64 DR55:DR64 DW55:DW64 DY55:DY64 ED55:ED64 EF55:EF64 EK55:EK64 EM55:EM64 ER55:ER64 ET55:ET64 EY55:EY64 FA55:FA64 FF55:FF64 FH55:FH64">
    <cfRule type="expression" dxfId="196" priority="182">
      <formula>OR(IF(O55&lt;P55,TRUE),IF(AND(P55="",O55&lt;&gt;""),TRUE))</formula>
    </cfRule>
    <cfRule type="expression" dxfId="195" priority="183">
      <formula>IF(O55&gt;=P55,IF(O55="",FALSE,TRUE))</formula>
    </cfRule>
  </conditionalFormatting>
  <conditionalFormatting sqref="J55:K64">
    <cfRule type="colorScale" priority="184">
      <colorScale>
        <cfvo type="percent" val="0"/>
        <cfvo type="percent" val="100"/>
        <color rgb="FFFF231B"/>
        <color rgb="FF10FF07"/>
      </colorScale>
    </cfRule>
  </conditionalFormatting>
  <conditionalFormatting sqref="J22:K22">
    <cfRule type="colorScale" priority="181">
      <colorScale>
        <cfvo type="percent" val="0"/>
        <cfvo type="percent" val="100"/>
        <color rgb="FFFF231B"/>
        <color rgb="FF10FF07"/>
      </colorScale>
    </cfRule>
  </conditionalFormatting>
  <conditionalFormatting sqref="AZ22">
    <cfRule type="expression" dxfId="194" priority="157">
      <formula>OR(IF(AZ22&lt;BA22,TRUE),IF(AND(BA22="",AZ22&lt;&gt;""),TRUE))</formula>
    </cfRule>
    <cfRule type="expression" dxfId="193" priority="158">
      <formula>IF(AZ22&gt;=BA22,IF(AZ22="",FALSE,TRUE))</formula>
    </cfRule>
  </conditionalFormatting>
  <conditionalFormatting sqref="O22">
    <cfRule type="expression" dxfId="192" priority="179">
      <formula>OR(IF(O22&lt;P22,TRUE),IF(AND(P22="",O22&lt;&gt;""),TRUE))</formula>
    </cfRule>
    <cfRule type="expression" dxfId="191" priority="180">
      <formula>IF(O22&gt;=P22,IF(O22="",FALSE,TRUE))</formula>
    </cfRule>
  </conditionalFormatting>
  <conditionalFormatting sqref="Q22">
    <cfRule type="expression" dxfId="190" priority="177">
      <formula>OR(IF(Q22&lt;R22,TRUE),IF(AND(R22="",Q22&lt;&gt;""),TRUE))</formula>
    </cfRule>
    <cfRule type="expression" dxfId="189" priority="178">
      <formula>IF(Q22&gt;=R22,IF(Q22="",FALSE,TRUE))</formula>
    </cfRule>
  </conditionalFormatting>
  <conditionalFormatting sqref="V22">
    <cfRule type="expression" dxfId="188" priority="175">
      <formula>OR(IF(V22&lt;W22,TRUE),IF(AND(W22="",V22&lt;&gt;""),TRUE))</formula>
    </cfRule>
    <cfRule type="expression" dxfId="187" priority="176">
      <formula>IF(V22&gt;=W22,IF(V22="",FALSE,TRUE))</formula>
    </cfRule>
  </conditionalFormatting>
  <conditionalFormatting sqref="X22">
    <cfRule type="expression" dxfId="186" priority="173">
      <formula>OR(IF(X22&lt;Y22,TRUE),IF(AND(Y22="",X22&lt;&gt;""),TRUE))</formula>
    </cfRule>
    <cfRule type="expression" dxfId="185" priority="174">
      <formula>IF(X22&gt;=Y22,IF(X22="",FALSE,TRUE))</formula>
    </cfRule>
  </conditionalFormatting>
  <conditionalFormatting sqref="AC22">
    <cfRule type="expression" dxfId="184" priority="171">
      <formula>OR(IF(AC22&lt;AD22,TRUE),IF(AND(AD22="",AC22&lt;&gt;""),TRUE))</formula>
    </cfRule>
    <cfRule type="expression" dxfId="183" priority="172">
      <formula>IF(AC22&gt;=AD22,IF(AC22="",FALSE,TRUE))</formula>
    </cfRule>
  </conditionalFormatting>
  <conditionalFormatting sqref="AE22">
    <cfRule type="expression" dxfId="182" priority="169">
      <formula>OR(IF(AE22&lt;AF22,TRUE),IF(AND(AF22="",AE22&lt;&gt;""),TRUE))</formula>
    </cfRule>
    <cfRule type="expression" dxfId="181" priority="170">
      <formula>IF(AE22&gt;=AF22,IF(AE22="",FALSE,TRUE))</formula>
    </cfRule>
  </conditionalFormatting>
  <conditionalFormatting sqref="AJ22">
    <cfRule type="expression" dxfId="180" priority="167">
      <formula>OR(IF(AJ22&lt;AK22,TRUE),IF(AND(AK22="",AJ22&lt;&gt;""),TRUE))</formula>
    </cfRule>
    <cfRule type="expression" dxfId="179" priority="168">
      <formula>IF(AJ22&gt;=AK22,IF(AJ22="",FALSE,TRUE))</formula>
    </cfRule>
  </conditionalFormatting>
  <conditionalFormatting sqref="AL22">
    <cfRule type="expression" dxfId="178" priority="165">
      <formula>OR(IF(AL22&lt;AM22,TRUE),IF(AND(AM22="",AL22&lt;&gt;""),TRUE))</formula>
    </cfRule>
    <cfRule type="expression" dxfId="177" priority="166">
      <formula>IF(AL22&gt;=AM22,IF(AL22="",FALSE,TRUE))</formula>
    </cfRule>
  </conditionalFormatting>
  <conditionalFormatting sqref="AQ22">
    <cfRule type="expression" dxfId="176" priority="163">
      <formula>OR(IF(AQ22&lt;AR22,TRUE),IF(AND(AR22="",AQ22&lt;&gt;""),TRUE))</formula>
    </cfRule>
    <cfRule type="expression" dxfId="175" priority="164">
      <formula>IF(AQ22&gt;=AR22,IF(AQ22="",FALSE,TRUE))</formula>
    </cfRule>
  </conditionalFormatting>
  <conditionalFormatting sqref="AS22">
    <cfRule type="expression" dxfId="174" priority="161">
      <formula>OR(IF(AS22&lt;AT22,TRUE),IF(AND(AT22="",AS22&lt;&gt;""),TRUE))</formula>
    </cfRule>
    <cfRule type="expression" dxfId="173" priority="162">
      <formula>IF(AS22&gt;=AT22,IF(AS22="",FALSE,TRUE))</formula>
    </cfRule>
  </conditionalFormatting>
  <conditionalFormatting sqref="AX22">
    <cfRule type="expression" dxfId="172" priority="159">
      <formula>OR(IF(AX22&lt;AY22,TRUE),IF(AND(AY22="",AX22&lt;&gt;""),TRUE))</formula>
    </cfRule>
    <cfRule type="expression" dxfId="171" priority="160">
      <formula>IF(AX22&gt;=AY22,IF(AX22="",FALSE,TRUE))</formula>
    </cfRule>
  </conditionalFormatting>
  <conditionalFormatting sqref="BE22">
    <cfRule type="expression" dxfId="170" priority="155">
      <formula>OR(IF(BE22&lt;BF22,TRUE),IF(AND(BF22="",BE22&lt;&gt;""),TRUE))</formula>
    </cfRule>
    <cfRule type="expression" dxfId="169" priority="156">
      <formula>IF(BE22&gt;=BF22,IF(BE22="",FALSE,TRUE))</formula>
    </cfRule>
  </conditionalFormatting>
  <conditionalFormatting sqref="BG22">
    <cfRule type="expression" dxfId="168" priority="153">
      <formula>OR(IF(BG22&lt;BH22,TRUE),IF(AND(BH22="",BG22&lt;&gt;""),TRUE))</formula>
    </cfRule>
    <cfRule type="expression" dxfId="167" priority="154">
      <formula>IF(BG22&gt;=BH22,IF(BG22="",FALSE,TRUE))</formula>
    </cfRule>
  </conditionalFormatting>
  <conditionalFormatting sqref="BL22">
    <cfRule type="expression" dxfId="166" priority="151">
      <formula>OR(IF(BL22&lt;BM22,TRUE),IF(AND(BM22="",BL22&lt;&gt;""),TRUE))</formula>
    </cfRule>
    <cfRule type="expression" dxfId="165" priority="152">
      <formula>IF(BL22&gt;=BM22,IF(BL22="",FALSE,TRUE))</formula>
    </cfRule>
  </conditionalFormatting>
  <conditionalFormatting sqref="BN22">
    <cfRule type="expression" dxfId="164" priority="149">
      <formula>OR(IF(BN22&lt;BO22,TRUE),IF(AND(BO22="",BN22&lt;&gt;""),TRUE))</formula>
    </cfRule>
    <cfRule type="expression" dxfId="163" priority="150">
      <formula>IF(BN22&gt;=BO22,IF(BN22="",FALSE,TRUE))</formula>
    </cfRule>
  </conditionalFormatting>
  <conditionalFormatting sqref="BS22">
    <cfRule type="expression" dxfId="162" priority="147">
      <formula>OR(IF(BS22&lt;BT22,TRUE),IF(AND(BT22="",BS22&lt;&gt;""),TRUE))</formula>
    </cfRule>
    <cfRule type="expression" dxfId="161" priority="148">
      <formula>IF(BS22&gt;=BT22,IF(BS22="",FALSE,TRUE))</formula>
    </cfRule>
  </conditionalFormatting>
  <conditionalFormatting sqref="BU22">
    <cfRule type="expression" dxfId="160" priority="145">
      <formula>OR(IF(BU22&lt;BV22,TRUE),IF(AND(BV22="",BU22&lt;&gt;""),TRUE))</formula>
    </cfRule>
    <cfRule type="expression" dxfId="159" priority="146">
      <formula>IF(BU22&gt;=BV22,IF(BU22="",FALSE,TRUE))</formula>
    </cfRule>
  </conditionalFormatting>
  <conditionalFormatting sqref="BZ22">
    <cfRule type="expression" dxfId="158" priority="143">
      <formula>OR(IF(BZ22&lt;CA22,TRUE),IF(AND(CA22="",BZ22&lt;&gt;""),TRUE))</formula>
    </cfRule>
    <cfRule type="expression" dxfId="157" priority="144">
      <formula>IF(BZ22&gt;=CA22,IF(BZ22="",FALSE,TRUE))</formula>
    </cfRule>
  </conditionalFormatting>
  <conditionalFormatting sqref="CB22">
    <cfRule type="expression" dxfId="156" priority="141">
      <formula>OR(IF(CB22&lt;CC22,TRUE),IF(AND(CC22="",CB22&lt;&gt;""),TRUE))</formula>
    </cfRule>
    <cfRule type="expression" dxfId="155" priority="142">
      <formula>IF(CB22&gt;=CC22,IF(CB22="",FALSE,TRUE))</formula>
    </cfRule>
  </conditionalFormatting>
  <conditionalFormatting sqref="CG22">
    <cfRule type="expression" dxfId="154" priority="139">
      <formula>OR(IF(CG22&lt;CH22,TRUE),IF(AND(CH22="",CG22&lt;&gt;""),TRUE))</formula>
    </cfRule>
    <cfRule type="expression" dxfId="153" priority="140">
      <formula>IF(CG22&gt;=CH22,IF(CG22="",FALSE,TRUE))</formula>
    </cfRule>
  </conditionalFormatting>
  <conditionalFormatting sqref="CI22">
    <cfRule type="expression" dxfId="152" priority="137">
      <formula>OR(IF(CI22&lt;CJ22,TRUE),IF(AND(CJ22="",CI22&lt;&gt;""),TRUE))</formula>
    </cfRule>
    <cfRule type="expression" dxfId="151" priority="138">
      <formula>IF(CI22&gt;=CJ22,IF(CI22="",FALSE,TRUE))</formula>
    </cfRule>
  </conditionalFormatting>
  <conditionalFormatting sqref="CN22">
    <cfRule type="expression" dxfId="150" priority="135">
      <formula>OR(IF(CN22&lt;CO22,TRUE),IF(AND(CO22="",CN22&lt;&gt;""),TRUE))</formula>
    </cfRule>
    <cfRule type="expression" dxfId="149" priority="136">
      <formula>IF(CN22&gt;=CO22,IF(CN22="",FALSE,TRUE))</formula>
    </cfRule>
  </conditionalFormatting>
  <conditionalFormatting sqref="CP22">
    <cfRule type="expression" dxfId="148" priority="133">
      <formula>OR(IF(CP22&lt;CQ22,TRUE),IF(AND(CQ22="",CP22&lt;&gt;""),TRUE))</formula>
    </cfRule>
    <cfRule type="expression" dxfId="147" priority="134">
      <formula>IF(CP22&gt;=CQ22,IF(CP22="",FALSE,TRUE))</formula>
    </cfRule>
  </conditionalFormatting>
  <conditionalFormatting sqref="CU22">
    <cfRule type="expression" dxfId="146" priority="131">
      <formula>OR(IF(CU22&lt;CV22,TRUE),IF(AND(CV22="",CU22&lt;&gt;""),TRUE))</formula>
    </cfRule>
    <cfRule type="expression" dxfId="145" priority="132">
      <formula>IF(CU22&gt;=CV22,IF(CU22="",FALSE,TRUE))</formula>
    </cfRule>
  </conditionalFormatting>
  <conditionalFormatting sqref="CW22">
    <cfRule type="expression" dxfId="144" priority="129">
      <formula>OR(IF(CW22&lt;CX22,TRUE),IF(AND(CX22="",CW22&lt;&gt;""),TRUE))</formula>
    </cfRule>
    <cfRule type="expression" dxfId="143" priority="130">
      <formula>IF(CW22&gt;=CX22,IF(CW22="",FALSE,TRUE))</formula>
    </cfRule>
  </conditionalFormatting>
  <conditionalFormatting sqref="DB22">
    <cfRule type="expression" dxfId="142" priority="127">
      <formula>OR(IF(DB22&lt;DC22,TRUE),IF(AND(DC22="",DB22&lt;&gt;""),TRUE))</formula>
    </cfRule>
    <cfRule type="expression" dxfId="141" priority="128">
      <formula>IF(DB22&gt;=DC22,IF(DB22="",FALSE,TRUE))</formula>
    </cfRule>
  </conditionalFormatting>
  <conditionalFormatting sqref="DD22">
    <cfRule type="expression" dxfId="140" priority="125">
      <formula>OR(IF(DD22&lt;DE22,TRUE),IF(AND(DE22="",DD22&lt;&gt;""),TRUE))</formula>
    </cfRule>
    <cfRule type="expression" dxfId="139" priority="126">
      <formula>IF(DD22&gt;=DE22,IF(DD22="",FALSE,TRUE))</formula>
    </cfRule>
  </conditionalFormatting>
  <conditionalFormatting sqref="DI22">
    <cfRule type="expression" dxfId="138" priority="123">
      <formula>OR(IF(DI22&lt;DJ22,TRUE),IF(AND(DJ22="",DI22&lt;&gt;""),TRUE))</formula>
    </cfRule>
    <cfRule type="expression" dxfId="137" priority="124">
      <formula>IF(DI22&gt;=DJ22,IF(DI22="",FALSE,TRUE))</formula>
    </cfRule>
  </conditionalFormatting>
  <conditionalFormatting sqref="DK22">
    <cfRule type="expression" dxfId="136" priority="121">
      <formula>OR(IF(DK22&lt;DL22,TRUE),IF(AND(DL22="",DK22&lt;&gt;""),TRUE))</formula>
    </cfRule>
    <cfRule type="expression" dxfId="135" priority="122">
      <formula>IF(DK22&gt;=DL22,IF(DK22="",FALSE,TRUE))</formula>
    </cfRule>
  </conditionalFormatting>
  <conditionalFormatting sqref="DP22">
    <cfRule type="expression" dxfId="134" priority="119">
      <formula>OR(IF(DP22&lt;DQ22,TRUE),IF(AND(DQ22="",DP22&lt;&gt;""),TRUE))</formula>
    </cfRule>
    <cfRule type="expression" dxfId="133" priority="120">
      <formula>IF(DP22&gt;=DQ22,IF(DP22="",FALSE,TRUE))</formula>
    </cfRule>
  </conditionalFormatting>
  <conditionalFormatting sqref="DR22">
    <cfRule type="expression" dxfId="132" priority="117">
      <formula>OR(IF(DR22&lt;DS22,TRUE),IF(AND(DS22="",DR22&lt;&gt;""),TRUE))</formula>
    </cfRule>
    <cfRule type="expression" dxfId="131" priority="118">
      <formula>IF(DR22&gt;=DS22,IF(DR22="",FALSE,TRUE))</formula>
    </cfRule>
  </conditionalFormatting>
  <conditionalFormatting sqref="DW22">
    <cfRule type="expression" dxfId="130" priority="115">
      <formula>OR(IF(DW22&lt;DX22,TRUE),IF(AND(DX22="",DW22&lt;&gt;""),TRUE))</formula>
    </cfRule>
    <cfRule type="expression" dxfId="129" priority="116">
      <formula>IF(DW22&gt;=DX22,IF(DW22="",FALSE,TRUE))</formula>
    </cfRule>
  </conditionalFormatting>
  <conditionalFormatting sqref="DY22">
    <cfRule type="expression" dxfId="128" priority="113">
      <formula>OR(IF(DY22&lt;DZ22,TRUE),IF(AND(DZ22="",DY22&lt;&gt;""),TRUE))</formula>
    </cfRule>
    <cfRule type="expression" dxfId="127" priority="114">
      <formula>IF(DY22&gt;=DZ22,IF(DY22="",FALSE,TRUE))</formula>
    </cfRule>
  </conditionalFormatting>
  <conditionalFormatting sqref="ED22">
    <cfRule type="expression" dxfId="126" priority="111">
      <formula>OR(IF(ED22&lt;EE22,TRUE),IF(AND(EE22="",ED22&lt;&gt;""),TRUE))</formula>
    </cfRule>
    <cfRule type="expression" dxfId="125" priority="112">
      <formula>IF(ED22&gt;=EE22,IF(ED22="",FALSE,TRUE))</formula>
    </cfRule>
  </conditionalFormatting>
  <conditionalFormatting sqref="EF22">
    <cfRule type="expression" dxfId="124" priority="109">
      <formula>OR(IF(EF22&lt;EG22,TRUE),IF(AND(EG22="",EF22&lt;&gt;""),TRUE))</formula>
    </cfRule>
    <cfRule type="expression" dxfId="123" priority="110">
      <formula>IF(EF22&gt;=EG22,IF(EF22="",FALSE,TRUE))</formula>
    </cfRule>
  </conditionalFormatting>
  <conditionalFormatting sqref="EK22">
    <cfRule type="expression" dxfId="122" priority="107">
      <formula>OR(IF(EK22&lt;EL22,TRUE),IF(AND(EL22="",EK22&lt;&gt;""),TRUE))</formula>
    </cfRule>
    <cfRule type="expression" dxfId="121" priority="108">
      <formula>IF(EK22&gt;=EL22,IF(EK22="",FALSE,TRUE))</formula>
    </cfRule>
  </conditionalFormatting>
  <conditionalFormatting sqref="EM22">
    <cfRule type="expression" dxfId="120" priority="105">
      <formula>OR(IF(EM22&lt;EN22,TRUE),IF(AND(EN22="",EM22&lt;&gt;""),TRUE))</formula>
    </cfRule>
    <cfRule type="expression" dxfId="119" priority="106">
      <formula>IF(EM22&gt;=EN22,IF(EM22="",FALSE,TRUE))</formula>
    </cfRule>
  </conditionalFormatting>
  <conditionalFormatting sqref="ER22">
    <cfRule type="expression" dxfId="118" priority="103">
      <formula>OR(IF(ER22&lt;ES22,TRUE),IF(AND(ES22="",ER22&lt;&gt;""),TRUE))</formula>
    </cfRule>
    <cfRule type="expression" dxfId="117" priority="104">
      <formula>IF(ER22&gt;=ES22,IF(ER22="",FALSE,TRUE))</formula>
    </cfRule>
  </conditionalFormatting>
  <conditionalFormatting sqref="ET22">
    <cfRule type="expression" dxfId="116" priority="101">
      <formula>OR(IF(ET22&lt;EU22,TRUE),IF(AND(EU22="",ET22&lt;&gt;""),TRUE))</formula>
    </cfRule>
    <cfRule type="expression" dxfId="115" priority="102">
      <formula>IF(ET22&gt;=EU22,IF(ET22="",FALSE,TRUE))</formula>
    </cfRule>
  </conditionalFormatting>
  <conditionalFormatting sqref="EY22">
    <cfRule type="expression" dxfId="114" priority="99">
      <formula>OR(IF(EY22&lt;EZ22,TRUE),IF(AND(EZ22="",EY22&lt;&gt;""),TRUE))</formula>
    </cfRule>
    <cfRule type="expression" dxfId="113" priority="100">
      <formula>IF(EY22&gt;=EZ22,IF(EY22="",FALSE,TRUE))</formula>
    </cfRule>
  </conditionalFormatting>
  <conditionalFormatting sqref="FA22">
    <cfRule type="expression" dxfId="112" priority="97">
      <formula>OR(IF(FA22&lt;FB22,TRUE),IF(AND(FB22="",FA22&lt;&gt;""),TRUE))</formula>
    </cfRule>
    <cfRule type="expression" dxfId="111" priority="98">
      <formula>IF(FA22&gt;=FB22,IF(FA22="",FALSE,TRUE))</formula>
    </cfRule>
  </conditionalFormatting>
  <conditionalFormatting sqref="FF22">
    <cfRule type="expression" dxfId="110" priority="95">
      <formula>OR(IF(FF22&lt;FG22,TRUE),IF(AND(FG22="",FF22&lt;&gt;""),TRUE))</formula>
    </cfRule>
    <cfRule type="expression" dxfId="109" priority="96">
      <formula>IF(FF22&gt;=FG22,IF(FF22="",FALSE,TRUE))</formula>
    </cfRule>
  </conditionalFormatting>
  <conditionalFormatting sqref="FH22">
    <cfRule type="expression" dxfId="108" priority="93">
      <formula>OR(IF(FH22&lt;FI22,TRUE),IF(AND(FI22="",FH22&lt;&gt;""),TRUE))</formula>
    </cfRule>
    <cfRule type="expression" dxfId="107" priority="94">
      <formula>IF(FH22&gt;=FI22,IF(FH22="",FALSE,TRUE))</formula>
    </cfRule>
  </conditionalFormatting>
  <conditionalFormatting sqref="O67:O76 Q67:Q76 AQ67:AQ76 AS67:AS76 BE67:BE76 BG67:BG76 V67:V76 X67:X76 AC67:AC76 AE67:AE76 AJ67:AJ76 AL67:AL76 AX67:AX76 AZ67:AZ76 BL67:BL76 BN67:BN76 BS67:BS76 BU67:BU76 BZ67:BZ76 CB67:CB76 CG67:CG76 CI67:CI76 CN67:CN76 CP67:CP76 CU67:CU76 CW67:CW76 DB67:DB76 DD67:DD76 DI67:DI76 DK67:DK76 DP67:DP76 DR67:DR76 DW67:DW76 DY67:DY76 ED67:ED76 EF67:EF76 EK67:EK76 EM67:EM76 ER67:ER76 ET67:ET76 EY67:EY76 FA67:FA76 FF67:FF76 FH67:FH76">
    <cfRule type="expression" dxfId="106" priority="90">
      <formula>OR(IF(O67&lt;P67,TRUE),IF(AND(P67="",O67&lt;&gt;""),TRUE))</formula>
    </cfRule>
    <cfRule type="expression" dxfId="105" priority="91">
      <formula>IF(O67&gt;=P67,IF(O67="",FALSE,TRUE))</formula>
    </cfRule>
  </conditionalFormatting>
  <conditionalFormatting sqref="J67:K76">
    <cfRule type="colorScale" priority="92">
      <colorScale>
        <cfvo type="percent" val="0"/>
        <cfvo type="percent" val="100"/>
        <color rgb="FFFF231B"/>
        <color rgb="FF10FF07"/>
      </colorScale>
    </cfRule>
  </conditionalFormatting>
  <conditionalFormatting sqref="J26:K26">
    <cfRule type="colorScale" priority="965">
      <colorScale>
        <cfvo type="percent" val="0"/>
        <cfvo type="percent" val="100"/>
        <color rgb="FFFF231B"/>
        <color rgb="FF10FF07"/>
      </colorScale>
    </cfRule>
  </conditionalFormatting>
  <conditionalFormatting sqref="J38:K38">
    <cfRule type="colorScale" priority="89">
      <colorScale>
        <cfvo type="percent" val="0"/>
        <cfvo type="percent" val="100"/>
        <color rgb="FFFF231B"/>
        <color rgb="FF10FF07"/>
      </colorScale>
    </cfRule>
  </conditionalFormatting>
  <conditionalFormatting sqref="O38">
    <cfRule type="expression" dxfId="104" priority="87">
      <formula>OR(IF(O38&lt;P38,TRUE),IF(AND(P38="",O38&lt;&gt;""),TRUE))</formula>
    </cfRule>
    <cfRule type="expression" dxfId="103" priority="88">
      <formula>IF(O38&gt;=P38,IF(O38="",FALSE,TRUE))</formula>
    </cfRule>
  </conditionalFormatting>
  <conditionalFormatting sqref="Q38">
    <cfRule type="expression" dxfId="102" priority="85">
      <formula>OR(IF(Q38&lt;R38,TRUE),IF(AND(R38="",Q38&lt;&gt;""),TRUE))</formula>
    </cfRule>
    <cfRule type="expression" dxfId="101" priority="86">
      <formula>IF(Q38&gt;=R38,IF(Q38="",FALSE,TRUE))</formula>
    </cfRule>
  </conditionalFormatting>
  <conditionalFormatting sqref="AQ38">
    <cfRule type="expression" dxfId="100" priority="71">
      <formula>OR(IF(AQ38&lt;AR38,TRUE),IF(AND(AR38="",AQ38&lt;&gt;""),TRUE))</formula>
    </cfRule>
    <cfRule type="expression" dxfId="99" priority="72">
      <formula>IF(AQ38&gt;=AR38,IF(AQ38="",FALSE,TRUE))</formula>
    </cfRule>
  </conditionalFormatting>
  <conditionalFormatting sqref="AS38">
    <cfRule type="expression" dxfId="98" priority="69">
      <formula>OR(IF(AS38&lt;AT38,TRUE),IF(AND(AT38="",AS38&lt;&gt;""),TRUE))</formula>
    </cfRule>
    <cfRule type="expression" dxfId="97" priority="70">
      <formula>IF(AS38&gt;=AT38,IF(AS38="",FALSE,TRUE))</formula>
    </cfRule>
  </conditionalFormatting>
  <conditionalFormatting sqref="BE38">
    <cfRule type="expression" dxfId="96" priority="63">
      <formula>OR(IF(BE38&lt;BF38,TRUE),IF(AND(BF38="",BE38&lt;&gt;""),TRUE))</formula>
    </cfRule>
    <cfRule type="expression" dxfId="95" priority="64">
      <formula>IF(BE38&gt;=BF38,IF(BE38="",FALSE,TRUE))</formula>
    </cfRule>
  </conditionalFormatting>
  <conditionalFormatting sqref="BG38">
    <cfRule type="expression" dxfId="94" priority="61">
      <formula>OR(IF(BG38&lt;BH38,TRUE),IF(AND(BH38="",BG38&lt;&gt;""),TRUE))</formula>
    </cfRule>
    <cfRule type="expression" dxfId="93" priority="62">
      <formula>IF(BG38&gt;=BH38,IF(BG38="",FALSE,TRUE))</formula>
    </cfRule>
  </conditionalFormatting>
  <conditionalFormatting sqref="V38">
    <cfRule type="expression" dxfId="92" priority="83">
      <formula>OR(IF(V38&lt;W38,TRUE),IF(AND(W38="",V38&lt;&gt;""),TRUE))</formula>
    </cfRule>
    <cfRule type="expression" dxfId="91" priority="84">
      <formula>IF(V38&gt;=W38,IF(V38="",FALSE,TRUE))</formula>
    </cfRule>
  </conditionalFormatting>
  <conditionalFormatting sqref="X38">
    <cfRule type="expression" dxfId="90" priority="81">
      <formula>OR(IF(X38&lt;Y38,TRUE),IF(AND(Y38="",X38&lt;&gt;""),TRUE))</formula>
    </cfRule>
    <cfRule type="expression" dxfId="89" priority="82">
      <formula>IF(X38&gt;=Y38,IF(X38="",FALSE,TRUE))</formula>
    </cfRule>
  </conditionalFormatting>
  <conditionalFormatting sqref="AC38">
    <cfRule type="expression" dxfId="88" priority="79">
      <formula>OR(IF(AC38&lt;AD38,TRUE),IF(AND(AD38="",AC38&lt;&gt;""),TRUE))</formula>
    </cfRule>
    <cfRule type="expression" dxfId="87" priority="80">
      <formula>IF(AC38&gt;=AD38,IF(AC38="",FALSE,TRUE))</formula>
    </cfRule>
  </conditionalFormatting>
  <conditionalFormatting sqref="AE38">
    <cfRule type="expression" dxfId="86" priority="77">
      <formula>OR(IF(AE38&lt;AF38,TRUE),IF(AND(AF38="",AE38&lt;&gt;""),TRUE))</formula>
    </cfRule>
    <cfRule type="expression" dxfId="85" priority="78">
      <formula>IF(AE38&gt;=AF38,IF(AE38="",FALSE,TRUE))</formula>
    </cfRule>
  </conditionalFormatting>
  <conditionalFormatting sqref="AJ38">
    <cfRule type="expression" dxfId="84" priority="75">
      <formula>OR(IF(AJ38&lt;AK38,TRUE),IF(AND(AK38="",AJ38&lt;&gt;""),TRUE))</formula>
    </cfRule>
    <cfRule type="expression" dxfId="83" priority="76">
      <formula>IF(AJ38&gt;=AK38,IF(AJ38="",FALSE,TRUE))</formula>
    </cfRule>
  </conditionalFormatting>
  <conditionalFormatting sqref="AL38">
    <cfRule type="expression" dxfId="82" priority="73">
      <formula>OR(IF(AL38&lt;AM38,TRUE),IF(AND(AM38="",AL38&lt;&gt;""),TRUE))</formula>
    </cfRule>
    <cfRule type="expression" dxfId="81" priority="74">
      <formula>IF(AL38&gt;=AM38,IF(AL38="",FALSE,TRUE))</formula>
    </cfRule>
  </conditionalFormatting>
  <conditionalFormatting sqref="AX38">
    <cfRule type="expression" dxfId="80" priority="67">
      <formula>OR(IF(AX38&lt;AY38,TRUE),IF(AND(AY38="",AX38&lt;&gt;""),TRUE))</formula>
    </cfRule>
    <cfRule type="expression" dxfId="79" priority="68">
      <formula>IF(AX38&gt;=AY38,IF(AX38="",FALSE,TRUE))</formula>
    </cfRule>
  </conditionalFormatting>
  <conditionalFormatting sqref="AZ38">
    <cfRule type="expression" dxfId="78" priority="65">
      <formula>OR(IF(AZ38&lt;BA38,TRUE),IF(AND(BA38="",AZ38&lt;&gt;""),TRUE))</formula>
    </cfRule>
    <cfRule type="expression" dxfId="77" priority="66">
      <formula>IF(AZ38&gt;=BA38,IF(AZ38="",FALSE,TRUE))</formula>
    </cfRule>
  </conditionalFormatting>
  <conditionalFormatting sqref="BL38">
    <cfRule type="expression" dxfId="76" priority="59">
      <formula>OR(IF(BL38&lt;BM38,TRUE),IF(AND(BM38="",BL38&lt;&gt;""),TRUE))</formula>
    </cfRule>
    <cfRule type="expression" dxfId="75" priority="60">
      <formula>IF(BL38&gt;=BM38,IF(BL38="",FALSE,TRUE))</formula>
    </cfRule>
  </conditionalFormatting>
  <conditionalFormatting sqref="BN38">
    <cfRule type="expression" dxfId="74" priority="57">
      <formula>OR(IF(BN38&lt;BO38,TRUE),IF(AND(BO38="",BN38&lt;&gt;""),TRUE))</formula>
    </cfRule>
    <cfRule type="expression" dxfId="73" priority="58">
      <formula>IF(BN38&gt;=BO38,IF(BN38="",FALSE,TRUE))</formula>
    </cfRule>
  </conditionalFormatting>
  <conditionalFormatting sqref="BS38">
    <cfRule type="expression" dxfId="72" priority="55">
      <formula>OR(IF(BS38&lt;BT38,TRUE),IF(AND(BT38="",BS38&lt;&gt;""),TRUE))</formula>
    </cfRule>
    <cfRule type="expression" dxfId="71" priority="56">
      <formula>IF(BS38&gt;=BT38,IF(BS38="",FALSE,TRUE))</formula>
    </cfRule>
  </conditionalFormatting>
  <conditionalFormatting sqref="BU38">
    <cfRule type="expression" dxfId="70" priority="53">
      <formula>OR(IF(BU38&lt;BV38,TRUE),IF(AND(BV38="",BU38&lt;&gt;""),TRUE))</formula>
    </cfRule>
    <cfRule type="expression" dxfId="69" priority="54">
      <formula>IF(BU38&gt;=BV38,IF(BU38="",FALSE,TRUE))</formula>
    </cfRule>
  </conditionalFormatting>
  <conditionalFormatting sqref="BZ38">
    <cfRule type="expression" dxfId="68" priority="51">
      <formula>OR(IF(BZ38&lt;CA38,TRUE),IF(AND(CA38="",BZ38&lt;&gt;""),TRUE))</formula>
    </cfRule>
    <cfRule type="expression" dxfId="67" priority="52">
      <formula>IF(BZ38&gt;=CA38,IF(BZ38="",FALSE,TRUE))</formula>
    </cfRule>
  </conditionalFormatting>
  <conditionalFormatting sqref="CB38">
    <cfRule type="expression" dxfId="66" priority="49">
      <formula>OR(IF(CB38&lt;CC38,TRUE),IF(AND(CC38="",CB38&lt;&gt;""),TRUE))</formula>
    </cfRule>
    <cfRule type="expression" dxfId="65" priority="50">
      <formula>IF(CB38&gt;=CC38,IF(CB38="",FALSE,TRUE))</formula>
    </cfRule>
  </conditionalFormatting>
  <conditionalFormatting sqref="CG38">
    <cfRule type="expression" dxfId="64" priority="47">
      <formula>OR(IF(CG38&lt;CH38,TRUE),IF(AND(CH38="",CG38&lt;&gt;""),TRUE))</formula>
    </cfRule>
    <cfRule type="expression" dxfId="63" priority="48">
      <formula>IF(CG38&gt;=CH38,IF(CG38="",FALSE,TRUE))</formula>
    </cfRule>
  </conditionalFormatting>
  <conditionalFormatting sqref="CI38">
    <cfRule type="expression" dxfId="62" priority="45">
      <formula>OR(IF(CI38&lt;CJ38,TRUE),IF(AND(CJ38="",CI38&lt;&gt;""),TRUE))</formula>
    </cfRule>
    <cfRule type="expression" dxfId="61" priority="46">
      <formula>IF(CI38&gt;=CJ38,IF(CI38="",FALSE,TRUE))</formula>
    </cfRule>
  </conditionalFormatting>
  <conditionalFormatting sqref="CN38">
    <cfRule type="expression" dxfId="60" priority="43">
      <formula>OR(IF(CN38&lt;CO38,TRUE),IF(AND(CO38="",CN38&lt;&gt;""),TRUE))</formula>
    </cfRule>
    <cfRule type="expression" dxfId="59" priority="44">
      <formula>IF(CN38&gt;=CO38,IF(CN38="",FALSE,TRUE))</formula>
    </cfRule>
  </conditionalFormatting>
  <conditionalFormatting sqref="CP38">
    <cfRule type="expression" dxfId="58" priority="41">
      <formula>OR(IF(CP38&lt;CQ38,TRUE),IF(AND(CQ38="",CP38&lt;&gt;""),TRUE))</formula>
    </cfRule>
    <cfRule type="expression" dxfId="57" priority="42">
      <formula>IF(CP38&gt;=CQ38,IF(CP38="",FALSE,TRUE))</formula>
    </cfRule>
  </conditionalFormatting>
  <conditionalFormatting sqref="CU38">
    <cfRule type="expression" dxfId="56" priority="39">
      <formula>OR(IF(CU38&lt;CV38,TRUE),IF(AND(CV38="",CU38&lt;&gt;""),TRUE))</formula>
    </cfRule>
    <cfRule type="expression" dxfId="55" priority="40">
      <formula>IF(CU38&gt;=CV38,IF(CU38="",FALSE,TRUE))</formula>
    </cfRule>
  </conditionalFormatting>
  <conditionalFormatting sqref="CW38">
    <cfRule type="expression" dxfId="54" priority="37">
      <formula>OR(IF(CW38&lt;CX38,TRUE),IF(AND(CX38="",CW38&lt;&gt;""),TRUE))</formula>
    </cfRule>
    <cfRule type="expression" dxfId="53" priority="38">
      <formula>IF(CW38&gt;=CX38,IF(CW38="",FALSE,TRUE))</formula>
    </cfRule>
  </conditionalFormatting>
  <conditionalFormatting sqref="DB38">
    <cfRule type="expression" dxfId="52" priority="35">
      <formula>OR(IF(DB38&lt;DC38,TRUE),IF(AND(DC38="",DB38&lt;&gt;""),TRUE))</formula>
    </cfRule>
    <cfRule type="expression" dxfId="51" priority="36">
      <formula>IF(DB38&gt;=DC38,IF(DB38="",FALSE,TRUE))</formula>
    </cfRule>
  </conditionalFormatting>
  <conditionalFormatting sqref="DD38">
    <cfRule type="expression" dxfId="50" priority="33">
      <formula>OR(IF(DD38&lt;DE38,TRUE),IF(AND(DE38="",DD38&lt;&gt;""),TRUE))</formula>
    </cfRule>
    <cfRule type="expression" dxfId="49" priority="34">
      <formula>IF(DD38&gt;=DE38,IF(DD38="",FALSE,TRUE))</formula>
    </cfRule>
  </conditionalFormatting>
  <conditionalFormatting sqref="DI38">
    <cfRule type="expression" dxfId="48" priority="31">
      <formula>OR(IF(DI38&lt;DJ38,TRUE),IF(AND(DJ38="",DI38&lt;&gt;""),TRUE))</formula>
    </cfRule>
    <cfRule type="expression" dxfId="47" priority="32">
      <formula>IF(DI38&gt;=DJ38,IF(DI38="",FALSE,TRUE))</formula>
    </cfRule>
  </conditionalFormatting>
  <conditionalFormatting sqref="DK38">
    <cfRule type="expression" dxfId="46" priority="29">
      <formula>OR(IF(DK38&lt;DL38,TRUE),IF(AND(DL38="",DK38&lt;&gt;""),TRUE))</formula>
    </cfRule>
    <cfRule type="expression" dxfId="45" priority="30">
      <formula>IF(DK38&gt;=DL38,IF(DK38="",FALSE,TRUE))</formula>
    </cfRule>
  </conditionalFormatting>
  <conditionalFormatting sqref="DP38">
    <cfRule type="expression" dxfId="44" priority="27">
      <formula>OR(IF(DP38&lt;DQ38,TRUE),IF(AND(DQ38="",DP38&lt;&gt;""),TRUE))</formula>
    </cfRule>
    <cfRule type="expression" dxfId="43" priority="28">
      <formula>IF(DP38&gt;=DQ38,IF(DP38="",FALSE,TRUE))</formula>
    </cfRule>
  </conditionalFormatting>
  <conditionalFormatting sqref="DR38">
    <cfRule type="expression" dxfId="42" priority="25">
      <formula>OR(IF(DR38&lt;DS38,TRUE),IF(AND(DS38="",DR38&lt;&gt;""),TRUE))</formula>
    </cfRule>
    <cfRule type="expression" dxfId="41" priority="26">
      <formula>IF(DR38&gt;=DS38,IF(DR38="",FALSE,TRUE))</formula>
    </cfRule>
  </conditionalFormatting>
  <conditionalFormatting sqref="DW38">
    <cfRule type="expression" dxfId="40" priority="23">
      <formula>OR(IF(DW38&lt;DX38,TRUE),IF(AND(DX38="",DW38&lt;&gt;""),TRUE))</formula>
    </cfRule>
    <cfRule type="expression" dxfId="39" priority="24">
      <formula>IF(DW38&gt;=DX38,IF(DW38="",FALSE,TRUE))</formula>
    </cfRule>
  </conditionalFormatting>
  <conditionalFormatting sqref="DY38">
    <cfRule type="expression" dxfId="38" priority="21">
      <formula>OR(IF(DY38&lt;DZ38,TRUE),IF(AND(DZ38="",DY38&lt;&gt;""),TRUE))</formula>
    </cfRule>
    <cfRule type="expression" dxfId="37" priority="22">
      <formula>IF(DY38&gt;=DZ38,IF(DY38="",FALSE,TRUE))</formula>
    </cfRule>
  </conditionalFormatting>
  <conditionalFormatting sqref="ED38">
    <cfRule type="expression" dxfId="36" priority="19">
      <formula>OR(IF(ED38&lt;EE38,TRUE),IF(AND(EE38="",ED38&lt;&gt;""),TRUE))</formula>
    </cfRule>
    <cfRule type="expression" dxfId="35" priority="20">
      <formula>IF(ED38&gt;=EE38,IF(ED38="",FALSE,TRUE))</formula>
    </cfRule>
  </conditionalFormatting>
  <conditionalFormatting sqref="EF38">
    <cfRule type="expression" dxfId="34" priority="17">
      <formula>OR(IF(EF38&lt;EG38,TRUE),IF(AND(EG38="",EF38&lt;&gt;""),TRUE))</formula>
    </cfRule>
    <cfRule type="expression" dxfId="33" priority="18">
      <formula>IF(EF38&gt;=EG38,IF(EF38="",FALSE,TRUE))</formula>
    </cfRule>
  </conditionalFormatting>
  <conditionalFormatting sqref="EK38">
    <cfRule type="expression" dxfId="32" priority="15">
      <formula>OR(IF(EK38&lt;EL38,TRUE),IF(AND(EL38="",EK38&lt;&gt;""),TRUE))</formula>
    </cfRule>
    <cfRule type="expression" dxfId="31" priority="16">
      <formula>IF(EK38&gt;=EL38,IF(EK38="",FALSE,TRUE))</formula>
    </cfRule>
  </conditionalFormatting>
  <conditionalFormatting sqref="EM38">
    <cfRule type="expression" dxfId="30" priority="13">
      <formula>OR(IF(EM38&lt;EN38,TRUE),IF(AND(EN38="",EM38&lt;&gt;""),TRUE))</formula>
    </cfRule>
    <cfRule type="expression" dxfId="29" priority="14">
      <formula>IF(EM38&gt;=EN38,IF(EM38="",FALSE,TRUE))</formula>
    </cfRule>
  </conditionalFormatting>
  <conditionalFormatting sqref="ER38">
    <cfRule type="expression" dxfId="28" priority="11">
      <formula>OR(IF(ER38&lt;ES38,TRUE),IF(AND(ES38="",ER38&lt;&gt;""),TRUE))</formula>
    </cfRule>
    <cfRule type="expression" dxfId="27" priority="12">
      <formula>IF(ER38&gt;=ES38,IF(ER38="",FALSE,TRUE))</formula>
    </cfRule>
  </conditionalFormatting>
  <conditionalFormatting sqref="ET38">
    <cfRule type="expression" dxfId="26" priority="9">
      <formula>OR(IF(ET38&lt;EU38,TRUE),IF(AND(EU38="",ET38&lt;&gt;""),TRUE))</formula>
    </cfRule>
    <cfRule type="expression" dxfId="25" priority="10">
      <formula>IF(ET38&gt;=EU38,IF(ET38="",FALSE,TRUE))</formula>
    </cfRule>
  </conditionalFormatting>
  <conditionalFormatting sqref="EY38">
    <cfRule type="expression" dxfId="24" priority="7">
      <formula>OR(IF(EY38&lt;EZ38,TRUE),IF(AND(EZ38="",EY38&lt;&gt;""),TRUE))</formula>
    </cfRule>
    <cfRule type="expression" dxfId="23" priority="8">
      <formula>IF(EY38&gt;=EZ38,IF(EY38="",FALSE,TRUE))</formula>
    </cfRule>
  </conditionalFormatting>
  <conditionalFormatting sqref="FA38">
    <cfRule type="expression" dxfId="22" priority="5">
      <formula>OR(IF(FA38&lt;FB38,TRUE),IF(AND(FB38="",FA38&lt;&gt;""),TRUE))</formula>
    </cfRule>
    <cfRule type="expression" dxfId="21" priority="6">
      <formula>IF(FA38&gt;=FB38,IF(FA38="",FALSE,TRUE))</formula>
    </cfRule>
  </conditionalFormatting>
  <conditionalFormatting sqref="FF38">
    <cfRule type="expression" dxfId="20" priority="3">
      <formula>OR(IF(FF38&lt;FG38,TRUE),IF(AND(FG38="",FF38&lt;&gt;""),TRUE))</formula>
    </cfRule>
    <cfRule type="expression" dxfId="19" priority="4">
      <formula>IF(FF38&gt;=FG38,IF(FF38="",FALSE,TRUE))</formula>
    </cfRule>
  </conditionalFormatting>
  <conditionalFormatting sqref="FH38">
    <cfRule type="expression" dxfId="18" priority="1">
      <formula>OR(IF(FH38&lt;FI38,TRUE),IF(AND(FI38="",FH38&lt;&gt;""),TRUE))</formula>
    </cfRule>
    <cfRule type="expression" dxfId="17" priority="2">
      <formula>IF(FH38&gt;=FI38,IF(FH38="",FALSE,TRUE))</formula>
    </cfRule>
  </conditionalFormatting>
  <conditionalFormatting sqref="J29:K37 J39:K41">
    <cfRule type="colorScale" priority="966">
      <colorScale>
        <cfvo type="percent" val="0"/>
        <cfvo type="percent" val="100"/>
        <color rgb="FFFF231B"/>
        <color rgb="FF10FF07"/>
      </colorScale>
    </cfRule>
  </conditionalFormatting>
  <conditionalFormatting sqref="J44:K52">
    <cfRule type="colorScale" priority="967">
      <colorScale>
        <cfvo type="percent" val="0"/>
        <cfvo type="percent" val="100"/>
        <color rgb="FFFF231B"/>
        <color rgb="FF10FF07"/>
      </colorScale>
    </cfRule>
  </conditionalFormatting>
  <dataValidations count="1">
    <dataValidation type="list" allowBlank="1" showInputMessage="1" showErrorMessage="1" sqref="O5:R14 V5:Y14 AC5:AF14 AJ5:AM14 DB67:DE76 AX5:BA14 BE5:BH14 O26:R26 V26:Y26 AC26:AF26 AJ26:AM26 AQ26:AT26 AX26:BA26 BE26:BH26 O44:R52 V44:Y52 AC44:AF52 AJ44:AM52 AQ44:AT52 AX44:BA52 BE44:BH52 BL5:BO14 BL26:BO26 BL44:BO52 AQ5:AT14 BS26:BV26 BS44:BV52 BZ5:CC14 BZ26:CC26 BZ44:CC52 CG5:CJ14 CG26:CJ26 CG44:CJ52 CN5:CQ14 CN26:CQ26 CN44:CQ52 CU5:CX14 CU26:CX26 CU44:CX52 DB17:DE23 DB26:DE26 AJ29:AM41 DI5:DL14 DI26:DL26 DI44:DL52 DP5:DS14 DP26:DS26 DP44:DS52 DW5:DZ14 DW26:DZ26 DW44:DZ52 ED5:EG14 ED26:EG26 ED44:EG52 EK5:EN14 EK26:EN26 EK44:EN52 FF44:FI52 ER26:EU26 ER67:EU76 ER44:EU52 EY5:FB14 EY26:FB26 EY44:FB52 ER55:EU64 FF5:FI14 FF26:FI26 ER5:EU14 O55:R64 V55:Y64 AC55:AF64 AJ55:AM64 AQ55:AT64 AX55:BA64 BE55:BH64 BL55:BO64 BS55:BV64 BZ55:CC64 CG55:CJ64 CN55:CQ64 CU55:CX64 DB44:DE52 DI55:DL64 DP55:DS64 DW55:DZ64 ED55:EG64 EK55:EN64 EY55:FB64 FF55:FI64 FF17:FI23 EY17:FB23 O17:R23 EK17:EN23 ED17:EG23 DW17:DZ23 DP17:DS23 DI17:DL23 DB5:DE14 CU17:CX23 CN17:CQ23 CG17:CJ23 BZ17:CC23 BS17:BV23 BL17:BO23 BE17:BH23 AX17:BA23 AQ17:AT23 AJ17:AM23 AC17:AF23 V17:Y23 ER17:EU23 O67:R76 V67:Y76 AC67:AF76 AJ67:AM76 AQ67:AT76 AX67:BA76 BE67:BH76 BL67:BO76 BS67:BV76 BZ67:CC76 CG67:CJ76 CN67:CQ76 CU67:CX76 DB55:DE64 DI67:DL76 DP67:DS76 DW67:DZ76 ED67:EG76 EK67:EN76 EY67:FB76 FF67:FI76 DB29:DE41 FF29:FI41 EY29:FB41 EK29:EN41 ED29:EG41 DW29:DZ41 DP29:DS41 DI29:DL41 ER29:EU41 CU29:CX41 CN29:CQ41 CG29:CJ41 BZ29:CC41 BS29:BV41 BL29:BO41 BE29:BH41 AX29:BA41 AQ29:AT41 O29:R41 AC29:AF41 V29:Y41 BS5:BV14"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B2" sqref="B2"/>
    </sheetView>
  </sheetViews>
  <sheetFormatPr defaultColWidth="10.6640625" defaultRowHeight="15.5"/>
  <cols>
    <col min="1" max="1" width="16.83203125" style="11" customWidth="1"/>
    <col min="2" max="2" width="19.1640625" style="11" customWidth="1"/>
    <col min="3" max="3" width="18.1640625" style="11" customWidth="1"/>
    <col min="4" max="4" width="19.5" style="11" customWidth="1"/>
    <col min="8" max="8" width="15.1640625" customWidth="1"/>
    <col min="10" max="10" width="42" customWidth="1"/>
    <col min="11" max="11" width="28.5" customWidth="1"/>
  </cols>
  <sheetData>
    <row r="1" spans="1:11" ht="31">
      <c r="A1" s="11" t="s">
        <v>48</v>
      </c>
      <c r="B1" s="17" t="s">
        <v>45</v>
      </c>
      <c r="C1" s="17" t="s">
        <v>46</v>
      </c>
      <c r="D1" s="17" t="s">
        <v>47</v>
      </c>
      <c r="E1" s="1" t="s">
        <v>49</v>
      </c>
      <c r="F1" s="1" t="s">
        <v>50</v>
      </c>
      <c r="G1" s="1" t="s">
        <v>51</v>
      </c>
      <c r="H1" s="1" t="s">
        <v>52</v>
      </c>
      <c r="I1" s="1" t="s">
        <v>53</v>
      </c>
      <c r="J1" s="1" t="s">
        <v>54</v>
      </c>
      <c r="K1" s="1" t="s">
        <v>55</v>
      </c>
    </row>
    <row r="2" spans="1:11">
      <c r="A2" s="16">
        <v>44305</v>
      </c>
      <c r="D2" s="18">
        <v>1</v>
      </c>
    </row>
    <row r="3" spans="1:11">
      <c r="A3" s="16">
        <v>44306</v>
      </c>
    </row>
    <row r="4" spans="1:11">
      <c r="A4" s="16">
        <v>44307</v>
      </c>
    </row>
    <row r="5" spans="1:11">
      <c r="A5" s="16">
        <v>44308</v>
      </c>
    </row>
    <row r="6" spans="1:11">
      <c r="A6" s="16">
        <v>44309</v>
      </c>
    </row>
    <row r="7" spans="1:11">
      <c r="A7" s="16">
        <v>44310</v>
      </c>
    </row>
    <row r="8" spans="1:11">
      <c r="A8" s="16">
        <v>44311</v>
      </c>
    </row>
    <row r="9" spans="1:11">
      <c r="A9" s="16">
        <v>44312</v>
      </c>
    </row>
    <row r="10" spans="1:11">
      <c r="A10" s="16">
        <v>44313</v>
      </c>
    </row>
    <row r="11" spans="1:11">
      <c r="A11" s="16">
        <v>44314</v>
      </c>
    </row>
    <row r="12" spans="1:11">
      <c r="A12" s="16">
        <v>44315</v>
      </c>
    </row>
    <row r="13" spans="1:11">
      <c r="A13" s="16">
        <v>44316</v>
      </c>
    </row>
    <row r="14" spans="1:11">
      <c r="A14" s="16">
        <v>44317</v>
      </c>
    </row>
    <row r="15" spans="1:11">
      <c r="A15" s="16">
        <v>44318</v>
      </c>
    </row>
    <row r="16" spans="1:11">
      <c r="A16" s="16">
        <v>44319</v>
      </c>
    </row>
    <row r="17" spans="1:1">
      <c r="A17" s="16">
        <v>44320</v>
      </c>
    </row>
    <row r="18" spans="1:1">
      <c r="A18" s="16">
        <v>44321</v>
      </c>
    </row>
    <row r="19" spans="1:1">
      <c r="A19" s="16">
        <v>44322</v>
      </c>
    </row>
    <row r="20" spans="1:1">
      <c r="A20" s="16">
        <v>44323</v>
      </c>
    </row>
    <row r="21" spans="1:1">
      <c r="A21" s="16">
        <v>44324</v>
      </c>
    </row>
    <row r="22" spans="1:1">
      <c r="A22" s="16">
        <v>44325</v>
      </c>
    </row>
    <row r="23" spans="1:1">
      <c r="A23" s="16">
        <v>44326</v>
      </c>
    </row>
    <row r="24" spans="1:1">
      <c r="A24" s="16">
        <v>44327</v>
      </c>
    </row>
    <row r="25" spans="1:1">
      <c r="A25" s="16">
        <v>44328</v>
      </c>
    </row>
    <row r="26" spans="1:1">
      <c r="A26" s="16">
        <v>44329</v>
      </c>
    </row>
    <row r="27" spans="1:1">
      <c r="A27" s="16">
        <v>44330</v>
      </c>
    </row>
    <row r="28" spans="1:1">
      <c r="A28" s="16">
        <v>44331</v>
      </c>
    </row>
    <row r="29" spans="1:1">
      <c r="A29" s="16">
        <v>44332</v>
      </c>
    </row>
    <row r="30" spans="1:1">
      <c r="A30" s="16">
        <v>44333</v>
      </c>
    </row>
    <row r="31" spans="1:1">
      <c r="A31" s="16">
        <v>44334</v>
      </c>
    </row>
    <row r="32" spans="1:1">
      <c r="A32" s="16">
        <v>44335</v>
      </c>
    </row>
    <row r="33" spans="1:1">
      <c r="A33" s="16">
        <v>44336</v>
      </c>
    </row>
    <row r="34" spans="1:1">
      <c r="A34" s="16">
        <v>44337</v>
      </c>
    </row>
    <row r="35" spans="1:1">
      <c r="A35" s="16">
        <v>44338</v>
      </c>
    </row>
    <row r="36" spans="1:1">
      <c r="A36" s="16">
        <v>44339</v>
      </c>
    </row>
    <row r="37" spans="1:1">
      <c r="A37" s="16">
        <v>44340</v>
      </c>
    </row>
    <row r="38" spans="1:1">
      <c r="A38" s="16">
        <v>44341</v>
      </c>
    </row>
    <row r="39" spans="1:1">
      <c r="A39" s="16">
        <v>44342</v>
      </c>
    </row>
    <row r="40" spans="1:1">
      <c r="A40" s="16">
        <v>44343</v>
      </c>
    </row>
    <row r="41" spans="1:1">
      <c r="A41" s="16">
        <v>44344</v>
      </c>
    </row>
    <row r="42" spans="1:1">
      <c r="A42" s="16">
        <v>44345</v>
      </c>
    </row>
    <row r="43" spans="1:1">
      <c r="A43" s="16">
        <v>44346</v>
      </c>
    </row>
    <row r="44" spans="1:1">
      <c r="A44" s="16">
        <v>44347</v>
      </c>
    </row>
    <row r="45" spans="1:1">
      <c r="A45" s="16">
        <v>44348</v>
      </c>
    </row>
    <row r="46" spans="1:1">
      <c r="A46" s="16">
        <v>44349</v>
      </c>
    </row>
  </sheetData>
  <conditionalFormatting sqref="B2:B46">
    <cfRule type="cellIs" dxfId="16" priority="14" operator="equal">
      <formula>"Ja"</formula>
    </cfRule>
    <cfRule type="cellIs" dxfId="15" priority="15" operator="equal">
      <formula>"Nein"</formula>
    </cfRule>
  </conditionalFormatting>
  <conditionalFormatting sqref="D2">
    <cfRule type="cellIs" dxfId="14" priority="6" operator="equal">
      <formula>1</formula>
    </cfRule>
    <cfRule type="cellIs" dxfId="13" priority="7" operator="equal">
      <formula>0.8</formula>
    </cfRule>
    <cfRule type="cellIs" dxfId="12" priority="8" operator="equal">
      <formula>0.6</formula>
    </cfRule>
    <cfRule type="cellIs" dxfId="11" priority="9" operator="equal">
      <formula>0.4</formula>
    </cfRule>
    <cfRule type="cellIs" dxfId="10" priority="10" operator="equal">
      <formula>0.2</formula>
    </cfRule>
    <cfRule type="cellIs" dxfId="9" priority="11" operator="equal">
      <formula>0</formula>
    </cfRule>
  </conditionalFormatting>
  <conditionalFormatting sqref="B2:B46">
    <cfRule type="cellIs" dxfId="8" priority="4" operator="equal">
      <formula>"Ja"</formula>
    </cfRule>
  </conditionalFormatting>
  <conditionalFormatting sqref="C2:C46">
    <cfRule type="cellIs" dxfId="7" priority="2" operator="equal">
      <formula>"Ja"</formula>
    </cfRule>
    <cfRule type="cellIs" dxfId="6" priority="3" operator="equal">
      <formula>"Nein"</formula>
    </cfRule>
  </conditionalFormatting>
  <conditionalFormatting sqref="C2:C46">
    <cfRule type="cellIs" dxfId="5"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05E59-76E2-4CDD-8AE0-7FEA60DFF063}">
  <dimension ref="A1:XFD47"/>
  <sheetViews>
    <sheetView topLeftCell="A34" zoomScale="99" workbookViewId="0">
      <selection activeCell="E31" sqref="E31"/>
    </sheetView>
  </sheetViews>
  <sheetFormatPr defaultColWidth="10.6640625" defaultRowHeight="15.5"/>
  <sheetData>
    <row r="1" spans="1:8" ht="25">
      <c r="B1" s="8" t="s">
        <v>25</v>
      </c>
    </row>
    <row r="4" spans="1:8">
      <c r="B4" s="3" t="s">
        <v>4</v>
      </c>
      <c r="C4" s="3" t="s">
        <v>5</v>
      </c>
      <c r="D4" s="3" t="s">
        <v>6</v>
      </c>
      <c r="E4" s="3" t="s">
        <v>7</v>
      </c>
      <c r="F4" s="3" t="s">
        <v>10</v>
      </c>
      <c r="G4" s="3" t="s">
        <v>8</v>
      </c>
      <c r="H4" s="3" t="s">
        <v>9</v>
      </c>
    </row>
    <row r="5" spans="1:8">
      <c r="A5" s="10">
        <v>0.16666666666666666</v>
      </c>
      <c r="B5" s="22" t="s">
        <v>117</v>
      </c>
      <c r="C5" s="22" t="s">
        <v>117</v>
      </c>
      <c r="D5" s="22" t="s">
        <v>117</v>
      </c>
      <c r="E5" s="22" t="s">
        <v>117</v>
      </c>
      <c r="F5" s="22" t="s">
        <v>117</v>
      </c>
      <c r="G5" s="22" t="s">
        <v>117</v>
      </c>
      <c r="H5" s="22" t="s">
        <v>117</v>
      </c>
    </row>
    <row r="6" spans="1:8">
      <c r="A6" s="10">
        <v>0.1875</v>
      </c>
      <c r="B6" s="22" t="s">
        <v>117</v>
      </c>
      <c r="C6" s="22" t="s">
        <v>117</v>
      </c>
      <c r="D6" s="22" t="s">
        <v>117</v>
      </c>
      <c r="E6" s="22" t="s">
        <v>117</v>
      </c>
      <c r="F6" s="22" t="s">
        <v>117</v>
      </c>
      <c r="G6" s="22" t="s">
        <v>117</v>
      </c>
      <c r="H6" s="22" t="s">
        <v>117</v>
      </c>
    </row>
    <row r="7" spans="1:8">
      <c r="A7" s="10">
        <v>0.20833333333333301</v>
      </c>
      <c r="B7" s="22" t="s">
        <v>117</v>
      </c>
      <c r="C7" s="22" t="s">
        <v>117</v>
      </c>
      <c r="D7" s="22" t="s">
        <v>117</v>
      </c>
      <c r="E7" s="22" t="s">
        <v>117</v>
      </c>
      <c r="F7" s="22" t="s">
        <v>117</v>
      </c>
      <c r="G7" s="22" t="s">
        <v>117</v>
      </c>
      <c r="H7" s="22" t="s">
        <v>117</v>
      </c>
    </row>
    <row r="8" spans="1:8">
      <c r="A8" s="10">
        <v>0.22916666666666699</v>
      </c>
      <c r="B8" s="22" t="s">
        <v>117</v>
      </c>
      <c r="C8" s="22" t="s">
        <v>117</v>
      </c>
      <c r="D8" s="22" t="s">
        <v>117</v>
      </c>
      <c r="E8" s="22" t="s">
        <v>117</v>
      </c>
      <c r="F8" s="22" t="s">
        <v>117</v>
      </c>
      <c r="G8" s="22" t="s">
        <v>117</v>
      </c>
      <c r="H8" s="22" t="s">
        <v>117</v>
      </c>
    </row>
    <row r="9" spans="1:8">
      <c r="A9" s="10">
        <v>0.25</v>
      </c>
      <c r="B9" s="22" t="s">
        <v>117</v>
      </c>
      <c r="C9" s="22" t="s">
        <v>117</v>
      </c>
      <c r="D9" s="22" t="s">
        <v>117</v>
      </c>
      <c r="E9" s="22" t="s">
        <v>117</v>
      </c>
      <c r="F9" s="22" t="s">
        <v>117</v>
      </c>
      <c r="G9" s="22" t="s">
        <v>117</v>
      </c>
      <c r="H9" s="22" t="s">
        <v>117</v>
      </c>
    </row>
    <row r="10" spans="1:8">
      <c r="A10" s="10">
        <v>0.27083333333333398</v>
      </c>
      <c r="B10" s="22" t="s">
        <v>117</v>
      </c>
      <c r="C10" s="22" t="s">
        <v>117</v>
      </c>
      <c r="D10" s="22" t="s">
        <v>117</v>
      </c>
      <c r="E10" s="22" t="s">
        <v>117</v>
      </c>
      <c r="F10" s="22" t="s">
        <v>117</v>
      </c>
      <c r="G10" s="22" t="s">
        <v>117</v>
      </c>
      <c r="H10" s="22" t="s">
        <v>117</v>
      </c>
    </row>
    <row r="11" spans="1:8">
      <c r="A11" s="10">
        <v>0.29166666666666702</v>
      </c>
      <c r="B11" s="22" t="s">
        <v>116</v>
      </c>
      <c r="C11" s="22" t="s">
        <v>116</v>
      </c>
      <c r="D11" s="22" t="s">
        <v>116</v>
      </c>
      <c r="E11" s="22" t="s">
        <v>116</v>
      </c>
      <c r="F11" s="22" t="s">
        <v>116</v>
      </c>
      <c r="G11" s="22" t="s">
        <v>117</v>
      </c>
      <c r="H11" s="22" t="s">
        <v>117</v>
      </c>
    </row>
    <row r="12" spans="1:8">
      <c r="A12" s="10">
        <v>0.3125</v>
      </c>
      <c r="B12" s="26" t="s">
        <v>111</v>
      </c>
      <c r="C12" s="26" t="s">
        <v>111</v>
      </c>
      <c r="D12" s="26" t="s">
        <v>111</v>
      </c>
      <c r="E12" s="26" t="s">
        <v>111</v>
      </c>
      <c r="F12" s="26" t="s">
        <v>111</v>
      </c>
      <c r="G12" s="22" t="s">
        <v>117</v>
      </c>
      <c r="H12" s="22" t="s">
        <v>117</v>
      </c>
    </row>
    <row r="13" spans="1:8">
      <c r="A13" s="10">
        <v>0.33333333333333398</v>
      </c>
      <c r="B13" s="23" t="s">
        <v>108</v>
      </c>
      <c r="C13" s="23" t="s">
        <v>108</v>
      </c>
      <c r="D13" s="23" t="s">
        <v>108</v>
      </c>
      <c r="E13" s="23" t="s">
        <v>108</v>
      </c>
      <c r="F13" s="24" t="s">
        <v>88</v>
      </c>
      <c r="G13" s="22" t="s">
        <v>117</v>
      </c>
      <c r="H13" s="22" t="s">
        <v>117</v>
      </c>
    </row>
    <row r="14" spans="1:8">
      <c r="A14" s="10">
        <v>0.35416666666666702</v>
      </c>
      <c r="B14" s="23" t="s">
        <v>108</v>
      </c>
      <c r="C14" s="23" t="s">
        <v>108</v>
      </c>
      <c r="D14" s="23" t="s">
        <v>108</v>
      </c>
      <c r="E14" s="23" t="s">
        <v>108</v>
      </c>
      <c r="F14" s="24" t="s">
        <v>88</v>
      </c>
      <c r="G14" s="22" t="s">
        <v>117</v>
      </c>
      <c r="H14" s="22" t="s">
        <v>117</v>
      </c>
    </row>
    <row r="15" spans="1:8">
      <c r="A15" s="10">
        <v>0.375</v>
      </c>
      <c r="B15" s="23" t="s">
        <v>108</v>
      </c>
      <c r="C15" s="23" t="s">
        <v>108</v>
      </c>
      <c r="D15" s="23" t="s">
        <v>108</v>
      </c>
      <c r="E15" s="23" t="s">
        <v>108</v>
      </c>
      <c r="F15" s="24" t="s">
        <v>88</v>
      </c>
      <c r="G15" s="22" t="s">
        <v>117</v>
      </c>
      <c r="H15" s="22" t="s">
        <v>117</v>
      </c>
    </row>
    <row r="16" spans="1:8">
      <c r="A16" s="10">
        <v>0.39583333333333398</v>
      </c>
      <c r="B16" s="23" t="s">
        <v>108</v>
      </c>
      <c r="C16" s="23" t="s">
        <v>108</v>
      </c>
      <c r="D16" s="23" t="s">
        <v>108</v>
      </c>
      <c r="E16" s="23" t="s">
        <v>108</v>
      </c>
      <c r="F16" s="24" t="s">
        <v>88</v>
      </c>
      <c r="G16" s="22" t="s">
        <v>116</v>
      </c>
      <c r="H16" s="22" t="s">
        <v>116</v>
      </c>
    </row>
    <row r="17" spans="1:8 16384:16384">
      <c r="A17" s="10">
        <v>0.41666666666666702</v>
      </c>
      <c r="B17" s="23" t="s">
        <v>108</v>
      </c>
      <c r="C17" s="23" t="s">
        <v>108</v>
      </c>
      <c r="D17" s="23" t="s">
        <v>108</v>
      </c>
      <c r="E17" s="23" t="s">
        <v>108</v>
      </c>
      <c r="F17" s="24" t="s">
        <v>88</v>
      </c>
      <c r="G17" s="26" t="s">
        <v>111</v>
      </c>
      <c r="H17" s="26" t="s">
        <v>111</v>
      </c>
    </row>
    <row r="18" spans="1:8 16384:16384">
      <c r="A18" s="10">
        <v>0.4375</v>
      </c>
      <c r="B18" s="23" t="s">
        <v>108</v>
      </c>
      <c r="C18" s="23" t="s">
        <v>108</v>
      </c>
      <c r="D18" s="23" t="s">
        <v>108</v>
      </c>
      <c r="E18" s="23" t="s">
        <v>108</v>
      </c>
      <c r="F18" s="24" t="s">
        <v>88</v>
      </c>
      <c r="G18" s="28" t="s">
        <v>112</v>
      </c>
      <c r="H18" s="28" t="s">
        <v>112</v>
      </c>
    </row>
    <row r="19" spans="1:8 16384:16384">
      <c r="A19" s="10">
        <v>0.45833333333333398</v>
      </c>
      <c r="B19" s="23" t="s">
        <v>108</v>
      </c>
      <c r="C19" s="23" t="s">
        <v>108</v>
      </c>
      <c r="D19" s="23" t="s">
        <v>108</v>
      </c>
      <c r="E19" s="23" t="s">
        <v>108</v>
      </c>
      <c r="F19" s="24" t="s">
        <v>88</v>
      </c>
      <c r="G19" s="28" t="s">
        <v>112</v>
      </c>
      <c r="H19" s="28" t="s">
        <v>112</v>
      </c>
    </row>
    <row r="20" spans="1:8 16384:16384">
      <c r="A20" s="10">
        <v>0.47916666666666702</v>
      </c>
      <c r="B20" s="23" t="s">
        <v>108</v>
      </c>
      <c r="C20" s="23" t="s">
        <v>108</v>
      </c>
      <c r="D20" s="23" t="s">
        <v>108</v>
      </c>
      <c r="E20" s="23" t="s">
        <v>108</v>
      </c>
      <c r="F20" s="24" t="s">
        <v>88</v>
      </c>
      <c r="G20" s="28" t="s">
        <v>112</v>
      </c>
      <c r="H20" s="28" t="s">
        <v>112</v>
      </c>
    </row>
    <row r="21" spans="1:8 16384:16384">
      <c r="A21" s="10">
        <v>0.5</v>
      </c>
      <c r="B21" s="23" t="s">
        <v>108</v>
      </c>
      <c r="C21" s="23" t="s">
        <v>108</v>
      </c>
      <c r="D21" s="23" t="s">
        <v>108</v>
      </c>
      <c r="E21" s="23" t="s">
        <v>108</v>
      </c>
      <c r="F21" s="25" t="s">
        <v>109</v>
      </c>
      <c r="G21" s="32" t="s">
        <v>115</v>
      </c>
      <c r="H21" s="34" t="s">
        <v>105</v>
      </c>
    </row>
    <row r="22" spans="1:8 16384:16384">
      <c r="A22" s="10">
        <v>0.52083333333333404</v>
      </c>
      <c r="B22" s="23" t="s">
        <v>108</v>
      </c>
      <c r="C22" s="23" t="s">
        <v>108</v>
      </c>
      <c r="D22" s="23" t="s">
        <v>108</v>
      </c>
      <c r="E22" s="23" t="s">
        <v>108</v>
      </c>
      <c r="F22" s="26" t="s">
        <v>111</v>
      </c>
      <c r="G22" s="32" t="s">
        <v>115</v>
      </c>
      <c r="H22" s="34" t="s">
        <v>105</v>
      </c>
    </row>
    <row r="23" spans="1:8 16384:16384">
      <c r="A23" s="10">
        <v>0.54166666666666696</v>
      </c>
      <c r="B23" s="23" t="s">
        <v>110</v>
      </c>
      <c r="C23" s="23" t="s">
        <v>110</v>
      </c>
      <c r="D23" s="23" t="s">
        <v>110</v>
      </c>
      <c r="E23" s="23" t="s">
        <v>110</v>
      </c>
      <c r="F23" s="26" t="s">
        <v>111</v>
      </c>
      <c r="G23" s="32" t="s">
        <v>115</v>
      </c>
      <c r="H23" s="34" t="s">
        <v>105</v>
      </c>
      <c r="XFD23" s="9"/>
    </row>
    <row r="24" spans="1:8 16384:16384">
      <c r="A24" s="10">
        <v>0.5625</v>
      </c>
      <c r="B24" s="25" t="s">
        <v>109</v>
      </c>
      <c r="C24" s="25" t="s">
        <v>109</v>
      </c>
      <c r="D24" s="25" t="s">
        <v>109</v>
      </c>
      <c r="E24" s="25" t="s">
        <v>109</v>
      </c>
      <c r="F24" s="33" t="s">
        <v>118</v>
      </c>
      <c r="G24" s="32" t="s">
        <v>115</v>
      </c>
      <c r="H24" s="34" t="s">
        <v>105</v>
      </c>
    </row>
    <row r="25" spans="1:8 16384:16384">
      <c r="A25" s="10">
        <v>0.58333333333333404</v>
      </c>
      <c r="B25" s="26" t="s">
        <v>111</v>
      </c>
      <c r="C25" s="26" t="s">
        <v>111</v>
      </c>
      <c r="D25" s="26" t="s">
        <v>111</v>
      </c>
      <c r="E25" s="26" t="s">
        <v>111</v>
      </c>
      <c r="F25" s="33" t="s">
        <v>118</v>
      </c>
      <c r="G25" s="32" t="s">
        <v>115</v>
      </c>
      <c r="H25" s="34" t="s">
        <v>105</v>
      </c>
    </row>
    <row r="26" spans="1:8 16384:16384">
      <c r="A26" s="10">
        <v>0.60416666666666696</v>
      </c>
      <c r="B26" s="28" t="s">
        <v>112</v>
      </c>
      <c r="C26" s="28" t="s">
        <v>112</v>
      </c>
      <c r="D26" s="28" t="s">
        <v>112</v>
      </c>
      <c r="E26" s="28" t="s">
        <v>112</v>
      </c>
      <c r="F26" s="33" t="s">
        <v>118</v>
      </c>
      <c r="G26" s="32" t="s">
        <v>115</v>
      </c>
      <c r="H26" s="28" t="s">
        <v>112</v>
      </c>
    </row>
    <row r="27" spans="1:8 16384:16384">
      <c r="A27" s="10">
        <v>0.625000000000001</v>
      </c>
      <c r="B27" s="28" t="s">
        <v>112</v>
      </c>
      <c r="C27" s="33" t="s">
        <v>118</v>
      </c>
      <c r="D27" s="27" t="s">
        <v>106</v>
      </c>
      <c r="E27" s="28" t="s">
        <v>112</v>
      </c>
      <c r="F27" s="28" t="s">
        <v>112</v>
      </c>
      <c r="G27" s="28" t="s">
        <v>112</v>
      </c>
      <c r="H27" s="28" t="s">
        <v>112</v>
      </c>
    </row>
    <row r="28" spans="1:8 16384:16384">
      <c r="A28" s="10">
        <v>0.64583333333333404</v>
      </c>
      <c r="B28" s="32" t="s">
        <v>115</v>
      </c>
      <c r="C28" s="33" t="s">
        <v>118</v>
      </c>
      <c r="D28" s="27" t="s">
        <v>106</v>
      </c>
      <c r="E28" s="32" t="s">
        <v>115</v>
      </c>
      <c r="F28" s="28" t="s">
        <v>112</v>
      </c>
      <c r="G28" s="28" t="s">
        <v>112</v>
      </c>
      <c r="H28" s="28" t="s">
        <v>112</v>
      </c>
    </row>
    <row r="29" spans="1:8 16384:16384">
      <c r="A29" s="10">
        <v>0.66666666666666696</v>
      </c>
      <c r="B29" s="32" t="s">
        <v>115</v>
      </c>
      <c r="C29" s="33" t="s">
        <v>118</v>
      </c>
      <c r="D29" s="33" t="s">
        <v>118</v>
      </c>
      <c r="E29" s="32" t="s">
        <v>115</v>
      </c>
      <c r="F29" s="27" t="s">
        <v>106</v>
      </c>
      <c r="G29" s="28" t="s">
        <v>112</v>
      </c>
      <c r="H29" s="28" t="s">
        <v>112</v>
      </c>
    </row>
    <row r="30" spans="1:8 16384:16384">
      <c r="A30" s="10">
        <v>0.687500000000001</v>
      </c>
      <c r="B30" s="32" t="s">
        <v>115</v>
      </c>
      <c r="C30" s="27" t="s">
        <v>118</v>
      </c>
      <c r="D30" s="33" t="s">
        <v>118</v>
      </c>
      <c r="E30" s="32" t="s">
        <v>115</v>
      </c>
      <c r="F30" s="27" t="s">
        <v>106</v>
      </c>
      <c r="G30" s="28" t="s">
        <v>112</v>
      </c>
      <c r="H30" s="28" t="s">
        <v>112</v>
      </c>
    </row>
    <row r="31" spans="1:8 16384:16384">
      <c r="A31" s="10">
        <v>0.70833333333333404</v>
      </c>
      <c r="B31" s="32" t="s">
        <v>115</v>
      </c>
      <c r="C31" s="27" t="s">
        <v>106</v>
      </c>
      <c r="D31" s="34" t="s">
        <v>105</v>
      </c>
      <c r="E31" s="32" t="s">
        <v>115</v>
      </c>
      <c r="F31" s="27" t="s">
        <v>106</v>
      </c>
      <c r="G31" s="24" t="s">
        <v>88</v>
      </c>
      <c r="H31" s="28" t="s">
        <v>112</v>
      </c>
    </row>
    <row r="32" spans="1:8 16384:16384">
      <c r="A32" s="10">
        <v>0.72916666666666696</v>
      </c>
      <c r="B32" s="32" t="s">
        <v>115</v>
      </c>
      <c r="C32" s="27" t="s">
        <v>106</v>
      </c>
      <c r="D32" s="34" t="s">
        <v>105</v>
      </c>
      <c r="E32" s="32" t="s">
        <v>115</v>
      </c>
      <c r="F32" s="27" t="s">
        <v>106</v>
      </c>
      <c r="G32" s="24" t="s">
        <v>88</v>
      </c>
      <c r="H32" s="28" t="s">
        <v>112</v>
      </c>
    </row>
    <row r="33" spans="1:8">
      <c r="A33" s="10">
        <v>0.750000000000001</v>
      </c>
      <c r="B33" s="29" t="s">
        <v>113</v>
      </c>
      <c r="C33" s="29" t="s">
        <v>113</v>
      </c>
      <c r="D33" s="34" t="s">
        <v>105</v>
      </c>
      <c r="E33" s="29" t="s">
        <v>113</v>
      </c>
      <c r="F33" s="29" t="s">
        <v>113</v>
      </c>
      <c r="G33" s="24" t="s">
        <v>88</v>
      </c>
      <c r="H33" s="28" t="s">
        <v>112</v>
      </c>
    </row>
    <row r="34" spans="1:8">
      <c r="A34" s="10">
        <v>0.77083333333333404</v>
      </c>
      <c r="B34" s="29" t="s">
        <v>113</v>
      </c>
      <c r="C34" s="29" t="s">
        <v>113</v>
      </c>
      <c r="D34" s="34" t="s">
        <v>105</v>
      </c>
      <c r="E34" s="29" t="s">
        <v>113</v>
      </c>
      <c r="F34" s="29" t="s">
        <v>113</v>
      </c>
      <c r="G34" s="24" t="s">
        <v>88</v>
      </c>
      <c r="H34" s="28" t="s">
        <v>112</v>
      </c>
    </row>
    <row r="35" spans="1:8">
      <c r="A35" s="10">
        <v>0.79166666666666696</v>
      </c>
      <c r="B35" s="26" t="s">
        <v>111</v>
      </c>
      <c r="C35" s="26" t="s">
        <v>111</v>
      </c>
      <c r="D35" s="26" t="s">
        <v>111</v>
      </c>
      <c r="E35" s="26" t="s">
        <v>111</v>
      </c>
      <c r="F35" s="26" t="s">
        <v>111</v>
      </c>
      <c r="G35" s="26" t="s">
        <v>111</v>
      </c>
      <c r="H35" s="26" t="s">
        <v>111</v>
      </c>
    </row>
    <row r="36" spans="1:8">
      <c r="A36" s="10">
        <v>0.812500000000001</v>
      </c>
      <c r="B36" s="26" t="s">
        <v>111</v>
      </c>
      <c r="C36" s="26" t="s">
        <v>111</v>
      </c>
      <c r="D36" s="26" t="s">
        <v>111</v>
      </c>
      <c r="E36" s="26" t="s">
        <v>111</v>
      </c>
      <c r="F36" s="26" t="s">
        <v>111</v>
      </c>
      <c r="G36" s="26" t="s">
        <v>111</v>
      </c>
      <c r="H36" s="26" t="s">
        <v>111</v>
      </c>
    </row>
    <row r="37" spans="1:8">
      <c r="A37" s="10">
        <v>0.83333333333333404</v>
      </c>
      <c r="B37" s="31" t="s">
        <v>114</v>
      </c>
      <c r="C37" s="33" t="s">
        <v>118</v>
      </c>
      <c r="D37" s="34" t="s">
        <v>105</v>
      </c>
      <c r="E37" s="33" t="s">
        <v>118</v>
      </c>
      <c r="F37" s="31" t="s">
        <v>114</v>
      </c>
      <c r="G37" s="28" t="s">
        <v>112</v>
      </c>
      <c r="H37" s="28" t="s">
        <v>112</v>
      </c>
    </row>
    <row r="38" spans="1:8">
      <c r="A38" s="10">
        <v>0.85416666666666696</v>
      </c>
      <c r="B38" s="31" t="s">
        <v>114</v>
      </c>
      <c r="C38" s="33" t="s">
        <v>118</v>
      </c>
      <c r="D38" s="34" t="s">
        <v>105</v>
      </c>
      <c r="E38" s="33" t="s">
        <v>118</v>
      </c>
      <c r="F38" s="31" t="s">
        <v>114</v>
      </c>
      <c r="G38" s="28" t="s">
        <v>112</v>
      </c>
      <c r="H38" s="28" t="s">
        <v>112</v>
      </c>
    </row>
    <row r="39" spans="1:8">
      <c r="A39" s="10">
        <v>0.875000000000001</v>
      </c>
      <c r="B39" s="31" t="s">
        <v>114</v>
      </c>
      <c r="C39" s="33" t="s">
        <v>118</v>
      </c>
      <c r="D39" s="34" t="s">
        <v>105</v>
      </c>
      <c r="E39" s="33" t="s">
        <v>118</v>
      </c>
      <c r="F39" s="31" t="s">
        <v>114</v>
      </c>
      <c r="G39" s="28" t="s">
        <v>112</v>
      </c>
      <c r="H39" s="28" t="s">
        <v>112</v>
      </c>
    </row>
    <row r="40" spans="1:8">
      <c r="A40" s="10">
        <v>0.89583333333333404</v>
      </c>
      <c r="B40" s="28" t="s">
        <v>112</v>
      </c>
      <c r="C40" s="28" t="s">
        <v>112</v>
      </c>
      <c r="D40" s="28" t="s">
        <v>112</v>
      </c>
      <c r="E40" s="28" t="s">
        <v>112</v>
      </c>
      <c r="F40" s="28" t="s">
        <v>112</v>
      </c>
      <c r="G40" s="28" t="s">
        <v>112</v>
      </c>
      <c r="H40" s="28" t="s">
        <v>112</v>
      </c>
    </row>
    <row r="41" spans="1:8">
      <c r="A41" s="10">
        <v>0.91666666666666696</v>
      </c>
      <c r="B41" s="28" t="s">
        <v>112</v>
      </c>
      <c r="C41" s="28" t="s">
        <v>112</v>
      </c>
      <c r="D41" s="28" t="s">
        <v>112</v>
      </c>
      <c r="E41" s="28" t="s">
        <v>112</v>
      </c>
      <c r="F41" s="28" t="s">
        <v>112</v>
      </c>
      <c r="G41" s="28" t="s">
        <v>112</v>
      </c>
      <c r="H41" s="28" t="s">
        <v>112</v>
      </c>
    </row>
    <row r="42" spans="1:8">
      <c r="A42" s="10">
        <v>0.937500000000001</v>
      </c>
      <c r="B42" s="28" t="s">
        <v>112</v>
      </c>
      <c r="C42" s="28" t="s">
        <v>112</v>
      </c>
      <c r="D42" s="28" t="s">
        <v>112</v>
      </c>
      <c r="E42" s="28" t="s">
        <v>112</v>
      </c>
      <c r="F42" s="28" t="s">
        <v>112</v>
      </c>
      <c r="G42" s="28" t="s">
        <v>112</v>
      </c>
      <c r="H42" s="28" t="s">
        <v>112</v>
      </c>
    </row>
    <row r="43" spans="1:8">
      <c r="A43" s="10">
        <v>0.95833333333333404</v>
      </c>
      <c r="B43" s="30" t="s">
        <v>69</v>
      </c>
      <c r="C43" s="31" t="s">
        <v>114</v>
      </c>
      <c r="D43" s="30" t="s">
        <v>69</v>
      </c>
      <c r="E43" s="31" t="s">
        <v>114</v>
      </c>
      <c r="F43" s="30" t="s">
        <v>69</v>
      </c>
      <c r="G43" s="31" t="s">
        <v>114</v>
      </c>
      <c r="H43" s="30" t="s">
        <v>69</v>
      </c>
    </row>
    <row r="44" spans="1:8">
      <c r="A44" s="10">
        <v>0.97916666666666696</v>
      </c>
      <c r="B44" s="30" t="s">
        <v>69</v>
      </c>
      <c r="C44" s="31" t="s">
        <v>114</v>
      </c>
      <c r="D44" s="30" t="s">
        <v>69</v>
      </c>
      <c r="E44" s="31" t="s">
        <v>114</v>
      </c>
      <c r="F44" s="30" t="s">
        <v>69</v>
      </c>
      <c r="G44" s="31" t="s">
        <v>114</v>
      </c>
      <c r="H44" s="30" t="s">
        <v>69</v>
      </c>
    </row>
    <row r="45" spans="1:8">
      <c r="A45" s="10">
        <v>1</v>
      </c>
      <c r="B45" s="22" t="s">
        <v>117</v>
      </c>
      <c r="C45" s="22" t="s">
        <v>117</v>
      </c>
      <c r="D45" s="22" t="s">
        <v>117</v>
      </c>
      <c r="E45" s="22" t="s">
        <v>117</v>
      </c>
      <c r="F45" s="22" t="s">
        <v>117</v>
      </c>
      <c r="G45" s="22" t="s">
        <v>117</v>
      </c>
      <c r="H45" s="22" t="s">
        <v>117</v>
      </c>
    </row>
    <row r="46" spans="1:8">
      <c r="A46" s="10">
        <v>1.0208333333333299</v>
      </c>
      <c r="B46" s="22" t="s">
        <v>117</v>
      </c>
      <c r="C46" s="22" t="s">
        <v>117</v>
      </c>
      <c r="D46" s="22" t="s">
        <v>117</v>
      </c>
      <c r="E46" s="22" t="s">
        <v>117</v>
      </c>
      <c r="F46" s="22" t="s">
        <v>117</v>
      </c>
      <c r="G46" s="22" t="s">
        <v>117</v>
      </c>
      <c r="H46" s="22" t="s">
        <v>117</v>
      </c>
    </row>
    <row r="47" spans="1:8">
      <c r="A47" s="10">
        <v>1.0416666666666701</v>
      </c>
      <c r="B47" s="22" t="s">
        <v>117</v>
      </c>
      <c r="C47" s="22" t="s">
        <v>117</v>
      </c>
      <c r="D47" s="22" t="s">
        <v>117</v>
      </c>
      <c r="E47" s="22" t="s">
        <v>117</v>
      </c>
      <c r="F47" s="22" t="s">
        <v>117</v>
      </c>
      <c r="G47" s="22" t="s">
        <v>117</v>
      </c>
      <c r="H47" s="22" t="s">
        <v>117</v>
      </c>
    </row>
  </sheetData>
  <pageMargins left="0.7" right="0.7" top="0.75" bottom="0.75" header="0.3" footer="0.3"/>
  <pageSetup paperSize="9"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defaultColWidth="10.6640625" defaultRowHeight="15.5"/>
  <sheetData>
    <row r="1" spans="1:8" ht="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defaultColWidth="10.6640625" defaultRowHeight="15.5"/>
  <sheetData>
    <row r="1" spans="1:8" ht="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Anleitung</vt:lpstr>
      <vt:lpstr>Semesterplan</vt:lpstr>
      <vt:lpstr>COMMITTMENT</vt:lpstr>
      <vt:lpstr>Wochenplan KW 16</vt:lpstr>
      <vt:lpstr>Wochenplan KW 17</vt:lpstr>
      <vt:lpstr>Wochenplan KW 18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Gregor</cp:lastModifiedBy>
  <dcterms:created xsi:type="dcterms:W3CDTF">2020-04-19T13:33:28Z</dcterms:created>
  <dcterms:modified xsi:type="dcterms:W3CDTF">2021-04-18T14:03:11Z</dcterms:modified>
</cp:coreProperties>
</file>