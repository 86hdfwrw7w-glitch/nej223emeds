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1.xml" ContentType="application/vnd.ms-excel.person+xml"/>
  <Override PartName="/xl/persons/person0.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https://d.docs.live.net/7064e32a1030011c/Desktop/pumpkin/"/>
    </mc:Choice>
  </mc:AlternateContent>
  <xr:revisionPtr revIDLastSave="24" documentId="8_{8EC4F669-AA6D-3E45-9230-6300E9192A2D}" xr6:coauthVersionLast="47" xr6:coauthVersionMax="47" xr10:uidLastSave="{2B550D4D-2209-4878-A39A-B2DAEF0C878B}"/>
  <bookViews>
    <workbookView xWindow="-28920" yWindow="-120" windowWidth="29040" windowHeight="1584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 name="Wochenplan" sheetId="11"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1" i="10" l="1"/>
  <c r="J17" i="7" a="1"/>
  <c r="J17" i="7" s="1"/>
  <c r="J41" i="7" a="1"/>
  <c r="J41" i="7" s="1"/>
  <c r="K41" i="7" a="1"/>
  <c r="K41" i="7" s="1"/>
  <c r="J31" i="7" a="1"/>
  <c r="J31" i="7" s="1"/>
  <c r="K31" i="7" a="1"/>
  <c r="K31" i="7" s="1"/>
  <c r="J15" i="7" a="1"/>
  <c r="J15" i="7" s="1"/>
  <c r="K15" i="7" a="1"/>
  <c r="K15" i="7" s="1"/>
  <c r="I5" i="7"/>
  <c r="I6" i="7"/>
  <c r="I7" i="7"/>
  <c r="I8" i="7"/>
  <c r="I9" i="7"/>
  <c r="I10" i="7"/>
  <c r="I11" i="7"/>
  <c r="G41" i="7"/>
  <c r="G17" i="7"/>
  <c r="I20" i="7"/>
  <c r="I21" i="7"/>
  <c r="I22" i="7"/>
  <c r="I23" i="7"/>
  <c r="I24" i="7"/>
  <c r="I25" i="7"/>
  <c r="I26" i="7"/>
  <c r="I27" i="7"/>
  <c r="I28" i="7"/>
  <c r="J27" i="7" a="1"/>
  <c r="J27" i="7" s="1"/>
  <c r="J26" i="7" a="1"/>
  <c r="J26" i="7" s="1"/>
  <c r="K26" i="7" a="1"/>
  <c r="K26" i="7" s="1"/>
  <c r="K27" i="7" a="1"/>
  <c r="K27" i="7" s="1"/>
  <c r="J28" i="7" a="1"/>
  <c r="J28" i="7" s="1"/>
  <c r="K28" i="7" a="1"/>
  <c r="K28" i="7" s="1"/>
  <c r="J22" i="7" a="1"/>
  <c r="J22" i="7" s="1"/>
  <c r="K22" i="7" a="1"/>
  <c r="K22" i="7" s="1"/>
  <c r="J21" i="7" a="1"/>
  <c r="J21" i="7" s="1"/>
  <c r="K21" i="7" a="1"/>
  <c r="K21" i="7" s="1"/>
  <c r="K5" i="7" a="1"/>
  <c r="K5" i="7" s="1"/>
  <c r="K6" i="7" a="1"/>
  <c r="K6" i="7" s="1"/>
  <c r="K7" i="7" a="1"/>
  <c r="K7" i="7" s="1"/>
  <c r="K8" i="7" a="1"/>
  <c r="K8" i="7" s="1"/>
  <c r="K9" i="7" a="1"/>
  <c r="K9" i="7" s="1"/>
  <c r="K10" i="7" a="1"/>
  <c r="K10" i="7" s="1"/>
  <c r="K11" i="7" a="1"/>
  <c r="K11" i="7" s="1"/>
  <c r="K12" i="7" a="1"/>
  <c r="K12" i="7" s="1"/>
  <c r="K13" i="7" a="1"/>
  <c r="K13" i="7" s="1"/>
  <c r="K14" i="7" a="1"/>
  <c r="K14" i="7" s="1"/>
  <c r="K17" i="7" a="1"/>
  <c r="K17" i="7" s="1"/>
  <c r="J5" i="7" a="1"/>
  <c r="J5" i="7" s="1"/>
  <c r="J6" i="7" a="1"/>
  <c r="J6" i="7" s="1"/>
  <c r="J7" i="7" a="1"/>
  <c r="J7" i="7" s="1"/>
  <c r="J8" i="7" a="1"/>
  <c r="J8" i="7" s="1"/>
  <c r="J9" i="7" a="1"/>
  <c r="J9" i="7" s="1"/>
  <c r="J10" i="7" a="1"/>
  <c r="J10" i="7" s="1"/>
  <c r="G4" i="7"/>
  <c r="K20" i="7" a="1"/>
  <c r="K20" i="7" s="1"/>
  <c r="J20" i="7" a="1"/>
  <c r="J20" i="7" s="1"/>
  <c r="K19" i="7" a="1"/>
  <c r="K19" i="7" s="1"/>
  <c r="J19" i="7" a="1"/>
  <c r="J19" i="7" s="1"/>
  <c r="I19" i="7"/>
  <c r="K49" i="7" a="1"/>
  <c r="K49" i="7" s="1"/>
  <c r="J49" i="7" a="1"/>
  <c r="J49" i="7" s="1"/>
  <c r="I49" i="7"/>
  <c r="K48" i="7" a="1"/>
  <c r="K48" i="7" s="1"/>
  <c r="J48" i="7" a="1"/>
  <c r="J48" i="7" s="1"/>
  <c r="I48" i="7"/>
  <c r="K47" i="7" a="1"/>
  <c r="K47" i="7" s="1"/>
  <c r="J47" i="7" a="1"/>
  <c r="J47" i="7" s="1"/>
  <c r="I47" i="7"/>
  <c r="K46" i="7" a="1"/>
  <c r="K46" i="7" s="1"/>
  <c r="J46" i="7" a="1"/>
  <c r="J46" i="7" s="1"/>
  <c r="I46" i="7"/>
  <c r="K45" i="7" a="1"/>
  <c r="K45" i="7" s="1"/>
  <c r="J45" i="7" a="1"/>
  <c r="J45" i="7" s="1"/>
  <c r="I45" i="7"/>
  <c r="K44" i="7" a="1"/>
  <c r="K44" i="7" s="1"/>
  <c r="J44" i="7" a="1"/>
  <c r="J44" i="7" s="1"/>
  <c r="I44" i="7"/>
  <c r="K43" i="7" a="1"/>
  <c r="K43" i="7" s="1"/>
  <c r="J43" i="7" a="1"/>
  <c r="J43" i="7" s="1"/>
  <c r="I43" i="7"/>
  <c r="K42" i="7" a="1"/>
  <c r="K42" i="7" s="1"/>
  <c r="J42" i="7" a="1"/>
  <c r="J42" i="7" s="1"/>
  <c r="I42" i="7"/>
  <c r="C12" i="10"/>
  <c r="K29" i="7" a="1"/>
  <c r="K29" i="7" s="1"/>
  <c r="J29" i="7" a="1"/>
  <c r="J29" i="7" s="1"/>
  <c r="K25" i="7" a="1"/>
  <c r="K25" i="7" s="1"/>
  <c r="J25" i="7" a="1"/>
  <c r="J25" i="7" s="1"/>
  <c r="K24" i="7" a="1"/>
  <c r="K24" i="7" s="1"/>
  <c r="J24" i="7" a="1"/>
  <c r="J24" i="7" s="1"/>
  <c r="K23" i="7" a="1"/>
  <c r="K23" i="7" s="1"/>
  <c r="J23" i="7" a="1"/>
  <c r="J23" i="7" s="1"/>
  <c r="K18" i="7" a="1"/>
  <c r="K18" i="7" s="1"/>
  <c r="J18" i="7" a="1"/>
  <c r="J18" i="7" s="1"/>
  <c r="K39" i="7" a="1"/>
  <c r="K39" i="7" s="1"/>
  <c r="J39" i="7" a="1"/>
  <c r="J39" i="7" s="1"/>
  <c r="K38" i="7" a="1"/>
  <c r="K38" i="7" s="1"/>
  <c r="J38" i="7" a="1"/>
  <c r="J38" i="7" s="1"/>
  <c r="K37" i="7" a="1"/>
  <c r="K37" i="7" s="1"/>
  <c r="J37" i="7" a="1"/>
  <c r="J37" i="7" s="1"/>
  <c r="K36" i="7" a="1"/>
  <c r="K36" i="7" s="1"/>
  <c r="J36" i="7" a="1"/>
  <c r="J36" i="7" s="1"/>
  <c r="K35" i="7" a="1"/>
  <c r="K35" i="7" s="1"/>
  <c r="J35" i="7" a="1"/>
  <c r="J35" i="7" s="1"/>
  <c r="K34" i="7" a="1"/>
  <c r="K34" i="7" s="1"/>
  <c r="J34" i="7" a="1"/>
  <c r="J34" i="7" s="1"/>
  <c r="K33" i="7" a="1"/>
  <c r="K33" i="7" s="1"/>
  <c r="J33" i="7" a="1"/>
  <c r="J33" i="7" s="1"/>
  <c r="K32" i="7" a="1"/>
  <c r="K32" i="7" s="1"/>
  <c r="J32" i="7" a="1"/>
  <c r="J32" i="7" s="1"/>
  <c r="J14" i="7" a="1"/>
  <c r="J14" i="7" s="1"/>
  <c r="J13" i="7" a="1"/>
  <c r="J13" i="7" s="1"/>
  <c r="J12" i="7" a="1"/>
  <c r="J12" i="7" s="1"/>
  <c r="J11" i="7" a="1"/>
  <c r="J11" i="7" s="1"/>
  <c r="I39" i="7"/>
  <c r="I38" i="7"/>
  <c r="I37" i="7"/>
  <c r="I36" i="7"/>
  <c r="I35" i="7"/>
  <c r="I34" i="7"/>
  <c r="I33" i="7"/>
  <c r="I32" i="7"/>
  <c r="I29" i="7"/>
  <c r="I18" i="7"/>
  <c r="I12" i="7"/>
  <c r="I13" i="7"/>
  <c r="I14" i="7"/>
  <c r="I41" i="7" l="1"/>
  <c r="I31" i="7"/>
  <c r="I17"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<sst xmlns="http://schemas.openxmlformats.org/spreadsheetml/2006/main" count="340" uniqueCount="154">
  <si>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</si>
  <si>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</si>
  <si>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</si>
  <si>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</si>
  <si>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</si>
  <si>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</si>
  <si>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</si>
  <si>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</si>
  <si>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</si>
  <si>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</si>
  <si>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</si>
  <si>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</si>
  <si>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</si>
  <si>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</si>
  <si>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</si>
  <si>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</si>
  <si>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</si>
  <si>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</si>
  <si>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</si>
  <si>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</si>
  <si>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</si>
  <si>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</si>
  <si>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</si>
  <si>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</si>
  <si>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</si>
  <si>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</si>
  <si>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</si>
  <si>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</si>
  <si>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</si>
  <si>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</si>
  <si>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</si>
  <si>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</si>
  <si>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</si>
  <si>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</si>
  <si>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</si>
  <si>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</si>
  <si>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</si>
  <si>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</si>
  <si>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</si>
  <si>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</si>
  <si>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</si>
  <si>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</si>
  <si>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</si>
  <si>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</si>
  <si>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</si>
  <si>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</si>
  <si>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</si>
  <si>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</si>
  <si>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</si>
  <si>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</si>
  <si>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</si>
  <si>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</si>
  <si>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</si>
  <si>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</si>
  <si>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</si>
  <si>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</si>
  <si>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</si>
  <si>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</si>
  <si>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</si>
  <si>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</si>
  <si>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</si>
  <si>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</si>
  <si>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</si>
  <si>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</si>
  <si>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</si>
  <si>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</si>
  <si>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</si>
  <si>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</si>
  <si>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</si>
  <si>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</si>
  <si>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</si>
  <si>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</si>
  <si>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</si>
  <si>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</si>
  <si>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</si>
  <si>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</si>
  <si>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</si>
  <si>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</si>
  <si>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</si>
  <si>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</si>
  <si>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</si>
  <si>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</si>
  <si>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</si>
  <si>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</si>
  <si>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</si>
  <si>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</si>
  <si>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</si>
  <si>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KLAUSUREN!!!</t>
  </si>
  <si>
    <t>KW 43</t>
  </si>
  <si>
    <t>KW 44</t>
  </si>
  <si>
    <t>KW 45</t>
  </si>
  <si>
    <t>KW 46</t>
  </si>
  <si>
    <t>KW 47</t>
  </si>
  <si>
    <t>KW 48</t>
  </si>
  <si>
    <t>KW 49</t>
  </si>
  <si>
    <t>KW 50</t>
  </si>
  <si>
    <t>KW 51</t>
  </si>
  <si>
    <t>KW 52</t>
  </si>
  <si>
    <t>KW 3 (2024)</t>
  </si>
  <si>
    <t>KW 5 (2024)</t>
  </si>
  <si>
    <t>KW 6 (2024)</t>
  </si>
  <si>
    <t>KW 7 (2024)</t>
  </si>
  <si>
    <t>KW 8 (2024)</t>
  </si>
  <si>
    <t>KW 9 (2024)</t>
  </si>
  <si>
    <t>Mathe</t>
  </si>
  <si>
    <t>Statistik</t>
  </si>
  <si>
    <t>Accounting</t>
  </si>
  <si>
    <t xml:space="preserve">Einführung in die VWL </t>
  </si>
  <si>
    <t xml:space="preserve"> </t>
  </si>
  <si>
    <t>Beschreibung univariater Datensätze</t>
  </si>
  <si>
    <t>Beschreibung bivariater Datensätze</t>
  </si>
  <si>
    <t xml:space="preserve">Zufallsvariablen und Verteilung </t>
  </si>
  <si>
    <t>Verteilungsmodelle</t>
  </si>
  <si>
    <t>Bivariate Zufallsvariablen</t>
  </si>
  <si>
    <t>Mittelung bei Zufallsstrichproben</t>
  </si>
  <si>
    <t>Parameterschätzung</t>
  </si>
  <si>
    <t>Konfidenzintervalle</t>
  </si>
  <si>
    <t>Statistische Tests</t>
  </si>
  <si>
    <t>Tests bei (un)verbunden Stichproben</t>
  </si>
  <si>
    <t xml:space="preserve">Das lineare Regressionsmodell </t>
  </si>
  <si>
    <t>Matrizen</t>
  </si>
  <si>
    <t>Lineare Gleichungssysteme</t>
  </si>
  <si>
    <t>Vektoren</t>
  </si>
  <si>
    <t>Determinanten</t>
  </si>
  <si>
    <t>Inversen</t>
  </si>
  <si>
    <t>Folgen</t>
  </si>
  <si>
    <t>Reihen</t>
  </si>
  <si>
    <t>Approximation</t>
  </si>
  <si>
    <t>Vollständige Induktion</t>
  </si>
  <si>
    <t>Reele Funktionen</t>
  </si>
  <si>
    <t>Univariate und multivariate Funktionen</t>
  </si>
  <si>
    <t xml:space="preserve">Optimieriung </t>
  </si>
  <si>
    <t>Umsatzsteuer-Vorsteuer</t>
  </si>
  <si>
    <t>Aufspaltung Eigenkapital, Betrieblicher Erfolg</t>
  </si>
  <si>
    <t xml:space="preserve">Wareneinkauf,Warenverkauf,Eigenverbrauch, sonstige Erträge </t>
  </si>
  <si>
    <t>Anschaffungskosten, Herstellungskosten</t>
  </si>
  <si>
    <t>Von der Inventur zur Bilanz,Buchungsregeln,Buchführung</t>
  </si>
  <si>
    <t>int. Produktive Leistungen, Abschreibungen</t>
  </si>
  <si>
    <t>immat. Vermögenswerte, Rechnungsabgrenzung</t>
  </si>
  <si>
    <t xml:space="preserve">Rückstellungen und Verbinndlichkeiten </t>
  </si>
  <si>
    <t xml:space="preserve">Adam Smith nicht Klausurrelevant </t>
  </si>
  <si>
    <t xml:space="preserve">Einführung </t>
  </si>
  <si>
    <t>Modelle, Theorienbildung</t>
  </si>
  <si>
    <t>KW1 (2024)</t>
  </si>
  <si>
    <t>KW2(2024)</t>
  </si>
  <si>
    <t>KW 4 (2024)</t>
  </si>
  <si>
    <t>KW 10 (2024)</t>
  </si>
  <si>
    <t>KW 11 (2024)</t>
  </si>
  <si>
    <t>Klausur 13.02</t>
  </si>
  <si>
    <t>Klausur 16.02</t>
  </si>
  <si>
    <t xml:space="preserve">Klausur 22.02 </t>
  </si>
  <si>
    <t>Klausur 20.02</t>
  </si>
  <si>
    <t>8 Std</t>
  </si>
  <si>
    <t>12 Std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</si>
</sst>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10">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FF0000"/>
        <bgColor indexed="64"/>
      </patternFill>
    </fill>
    <fill>
      <patternFill patternType="solid">
        <fgColor rgb="FFFF231B"/>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8">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0" fillId="7" borderId="0" xfId="0" applyFill="1"/>
    <xf numFmtId="9" fontId="0" fillId="8" borderId="0" xfId="0" applyNumberFormat="1" applyFill="1"/>
    <xf numFmtId="0" fontId="0" fillId="8" borderId="0" xfId="0" applyFill="1"/>
    <xf numFmtId="9" fontId="0" fillId="9" borderId="0" xfId="0" applyNumberFormat="1" applyFill="1"/>
    <xf numFmtId="0" fontId="0" fillId="9" borderId="0" xfId="0" applyFill="1"/>
    <xf numFmtId="9" fontId="0" fillId="7" borderId="0" xfId="0" applyNumberFormat="1" applyFill="1"/>
    <xf numFmtId="16" fontId="0" fillId="4" borderId="0" xfId="0" applyNumberFormat="1" applyFill="1"/>
    <xf numFmtId="0" fontId="1" fillId="2" borderId="0" xfId="0" applyFont="1" applyFill="1" applyAlignment="1">
      <alignment horizontal="center"/>
    </xf>
  </cellXfs>
  <cellStyles count="1">
    <cellStyle name="Standard" xfId="0" builtinId="0"/>
  </cellStyles>
  <dxfs count="23">
    <dxf>
      <fill>
        <patternFill>
          <bgColor rgb="FF10FF07"/>
        </patternFill>
      </fill>
    </dxf>
    <dxf>
      <fill>
        <patternFill>
          <bgColor rgb="FFFF0000"/>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FF231B"/>
      <color rgb="FF00FF29"/>
      <color rgb="FF56FF5E"/>
      <color rgb="FFC4FF87"/>
      <color rgb="FFFFDE7F"/>
      <color rgb="FFFF755A"/>
      <color rgb="FFFDFF05"/>
      <color rgb="FF10FF07"/>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10/relationships/person" Target="persons/person0.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10/relationships/person" Target="persons/person1.xml"/></Relationships>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22">
  <autoFilter ref="A1:K46" xr:uid="{6E266E34-2786-2747-BCE7-51B74867A564}"/>
  <tableColumns count="11">
    <tableColumn id="1" xr3:uid="{95FD92F7-3DC8-704D-A103-A7EDDAB255AB}" name="Datum" dataDxfId="21"/>
    <tableColumn id="2" xr3:uid="{F464D510-8166-E740-A343-FB84BDEF877F}" name="Lerneinheiten durchgezogen" dataDxfId="20"/>
    <tableColumn id="3" xr3:uid="{75F52B08-1A00-0848-BBE6-1EDF7B31B1AD}" name="Tagesplan erstellt" dataDxfId="19"/>
    <tableColumn id="4" xr3:uid="{E6B18D89-E799-AD48-9DAA-37AEE1D29011}" name="Konzentrationslevel" dataDxfId="18"/>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C13" sqref="C13"/>
    </sheetView>
  </sheetViews>
  <sheetFormatPr baseColWidth="10" defaultRowHeight="15.6"/>
  <cols>
    <col min="1" max="1" width="11.796875" customWidth="1"/>
    <col min="2" max="2" width="62.69921875" customWidth="1"/>
  </cols>
  <sheetData>
    <row r="2" spans="1:4">
      <c r="C2" s="18" t="s">
        <v>71</v>
      </c>
    </row>
    <row r="3" spans="1:4">
      <c r="C3" s="17" t="s">
        <v>56</v>
      </c>
    </row>
    <row r="4" spans="1:4">
      <c r="C4" s="16" t="s">
        <v>70</v>
      </c>
    </row>
    <row r="5" spans="1:4">
      <c r="A5" s="2" t="s">
        <v>53</v>
      </c>
      <c r="B5" s="2" t="s">
        <v>54</v>
      </c>
      <c r="C5" s="2" t="s">
        <v>55</v>
      </c>
      <c r="D5" s="2" t="s">
        <v>57</v>
      </c>
    </row>
    <row r="6" spans="1:4">
      <c r="A6" t="s">
        <v>49</v>
      </c>
      <c r="B6" s="18" t="s">
        <v>52</v>
      </c>
      <c r="D6" t="s">
        <v>86</v>
      </c>
    </row>
    <row r="7" spans="1:4">
      <c r="A7" t="s">
        <v>60</v>
      </c>
      <c r="B7" t="s">
        <v>61</v>
      </c>
      <c r="C7" s="16">
        <v>39</v>
      </c>
    </row>
    <row r="8" spans="1:4">
      <c r="A8" t="s">
        <v>51</v>
      </c>
      <c r="B8" s="18" t="s">
        <v>50</v>
      </c>
      <c r="D8" t="s">
        <v>74</v>
      </c>
    </row>
    <row r="9" spans="1:4">
      <c r="A9" t="s">
        <v>59</v>
      </c>
      <c r="B9" s="18" t="s">
        <v>72</v>
      </c>
      <c r="D9" t="s">
        <v>75</v>
      </c>
    </row>
    <row r="10" spans="1:4">
      <c r="A10" t="s">
        <v>63</v>
      </c>
      <c r="B10" t="s">
        <v>62</v>
      </c>
      <c r="C10" s="16">
        <v>12</v>
      </c>
      <c r="D10" t="s">
        <v>58</v>
      </c>
    </row>
    <row r="11" spans="1:4">
      <c r="A11" t="s">
        <v>64</v>
      </c>
      <c r="B11" t="s">
        <v>66</v>
      </c>
      <c r="C11" s="16">
        <f>39*3</f>
        <v>117</v>
      </c>
      <c r="D11" t="s">
        <v>65</v>
      </c>
    </row>
    <row r="12" spans="1:4">
      <c r="A12" t="s">
        <v>68</v>
      </c>
      <c r="B12" t="s">
        <v>67</v>
      </c>
      <c r="C12" s="17">
        <f>C11/C10</f>
        <v>9.75</v>
      </c>
    </row>
    <row r="13" spans="1:4">
      <c r="A13" t="s">
        <v>73</v>
      </c>
      <c r="B13" t="s">
        <v>69</v>
      </c>
      <c r="D13" t="s">
        <v>76</v>
      </c>
    </row>
    <row r="14" spans="1:4">
      <c r="A14" t="s">
        <v>77</v>
      </c>
      <c r="B14" t="s">
        <v>78</v>
      </c>
      <c r="D14" t="s">
        <v>79</v>
      </c>
    </row>
    <row r="15" spans="1:4">
      <c r="A15" t="s">
        <v>80</v>
      </c>
      <c r="B15" s="18" t="s">
        <v>81</v>
      </c>
    </row>
    <row r="16" spans="1:4">
      <c r="A16" t="s">
        <v>84</v>
      </c>
      <c r="B16" s="18" t="s">
        <v>82</v>
      </c>
    </row>
    <row r="17" spans="1:2">
      <c r="A17" t="s">
        <v>85</v>
      </c>
      <c r="B17" t="s">
        <v>83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FJ53"/>
  <sheetViews>
    <sheetView showGridLines="0" tabSelected="1" topLeftCell="A4" zoomScale="75" zoomScaleNormal="83" workbookViewId="0">
      <pane xSplit="12" topLeftCell="M1" activePane="topRight" state="frozen"/>
      <selection pane="topRight" activeCell="Y9" sqref="Y9:AE10"/>
    </sheetView>
  </sheetViews>
  <sheetFormatPr baseColWidth="10" defaultColWidth="8.796875" defaultRowHeight="15.6" outlineLevelRow="1"/>
  <cols>
    <col min="2" max="2" width="10.8984375" customWidth="1"/>
    <col min="3" max="3" width="22.09765625" customWidth="1"/>
    <col min="4" max="4" width="15.59765625" customWidth="1"/>
    <col min="5" max="5" width="4.796875" bestFit="1" customWidth="1"/>
    <col min="6" max="6" width="41.19921875" bestFit="1" customWidth="1"/>
    <col min="7" max="7" width="15.5" bestFit="1" customWidth="1"/>
    <col min="8" max="8" width="2.5" customWidth="1"/>
    <col min="10" max="10" width="12.5" bestFit="1" customWidth="1"/>
    <col min="11" max="11" width="14.796875" bestFit="1" customWidth="1"/>
    <col min="12" max="12" width="12.69921875" bestFit="1" customWidth="1"/>
    <col min="13" max="13" width="2.5" customWidth="1"/>
    <col min="15" max="15" width="12.5" bestFit="1" customWidth="1"/>
    <col min="16" max="16" width="6.296875" customWidth="1"/>
    <col min="17" max="17" width="14.796875" bestFit="1" customWidth="1"/>
    <col min="18" max="18" width="6" customWidth="1"/>
    <col min="19" max="19" width="12.69921875" bestFit="1" customWidth="1"/>
    <col min="20" max="20" width="2.5" customWidth="1"/>
    <col min="22" max="22" width="12.5" bestFit="1" customWidth="1"/>
    <col min="23" max="23" width="6.296875" customWidth="1"/>
    <col min="24" max="24" width="14.796875" bestFit="1" customWidth="1"/>
    <col min="25" max="25" width="6" customWidth="1"/>
    <col min="26" max="26" width="12.69921875" bestFit="1" customWidth="1"/>
    <col min="27" max="27" width="2.5" customWidth="1"/>
    <col min="29" max="29" width="12.5" bestFit="1" customWidth="1"/>
    <col min="30" max="30" width="6.296875" customWidth="1"/>
    <col min="31" max="31" width="14.796875" bestFit="1" customWidth="1"/>
    <col min="32" max="32" width="6" customWidth="1"/>
    <col min="33" max="33" width="12.69921875" bestFit="1" customWidth="1"/>
    <col min="34" max="34" width="2.5" customWidth="1"/>
    <col min="36" max="36" width="12.5" bestFit="1" customWidth="1"/>
    <col min="37" max="37" width="6.296875" customWidth="1"/>
    <col min="38" max="38" width="14.796875" bestFit="1" customWidth="1"/>
    <col min="39" max="39" width="6" customWidth="1"/>
    <col min="40" max="40" width="12.69921875" bestFit="1" customWidth="1"/>
    <col min="41" max="41" width="2.5" customWidth="1"/>
    <col min="43" max="43" width="12.5" bestFit="1" customWidth="1"/>
    <col min="44" max="44" width="6.296875" customWidth="1"/>
    <col min="45" max="45" width="14.796875" bestFit="1" customWidth="1"/>
    <col min="46" max="46" width="6" customWidth="1"/>
    <col min="47" max="47" width="12.69921875" bestFit="1" customWidth="1"/>
    <col min="48" max="48" width="2.5" customWidth="1"/>
    <col min="50" max="50" width="12.5" bestFit="1" customWidth="1"/>
    <col min="51" max="51" width="6.296875" customWidth="1"/>
    <col min="52" max="52" width="14.796875" bestFit="1" customWidth="1"/>
    <col min="53" max="53" width="6" customWidth="1"/>
    <col min="54" max="54" width="12.69921875" bestFit="1" customWidth="1"/>
    <col min="55" max="55" width="2.5" customWidth="1"/>
    <col min="57" max="57" width="12.5" bestFit="1" customWidth="1"/>
    <col min="58" max="58" width="6.296875" customWidth="1"/>
    <col min="59" max="59" width="14.796875" bestFit="1" customWidth="1"/>
    <col min="60" max="60" width="6" customWidth="1"/>
    <col min="61" max="61" width="12.69921875" bestFit="1" customWidth="1"/>
    <col min="62" max="62" width="2.5" customWidth="1"/>
    <col min="64" max="64" width="12.5" bestFit="1" customWidth="1"/>
    <col min="65" max="65" width="6.296875" customWidth="1"/>
    <col min="66" max="66" width="14.796875" bestFit="1" customWidth="1"/>
    <col min="67" max="67" width="6" customWidth="1"/>
    <col min="68" max="68" width="12.69921875" bestFit="1" customWidth="1"/>
    <col min="69" max="69" width="2.5" customWidth="1"/>
    <col min="71" max="71" width="12.5" bestFit="1" customWidth="1"/>
    <col min="72" max="72" width="6.296875" customWidth="1"/>
    <col min="73" max="73" width="14.796875" bestFit="1" customWidth="1"/>
    <col min="74" max="74" width="6" customWidth="1"/>
    <col min="75" max="75" width="12.69921875" bestFit="1" customWidth="1"/>
    <col min="76" max="76" width="2.5" customWidth="1"/>
    <col min="78" max="78" width="12.5" bestFit="1" customWidth="1"/>
    <col min="79" max="79" width="6.296875" customWidth="1"/>
    <col min="80" max="80" width="14.796875" bestFit="1" customWidth="1"/>
    <col min="81" max="81" width="6" customWidth="1"/>
    <col min="82" max="82" width="12.69921875" bestFit="1" customWidth="1"/>
    <col min="83" max="83" width="2.5" customWidth="1"/>
    <col min="85" max="85" width="12.5" bestFit="1" customWidth="1"/>
    <col min="86" max="86" width="6.296875" customWidth="1"/>
    <col min="87" max="87" width="14.796875" bestFit="1" customWidth="1"/>
    <col min="88" max="88" width="6" customWidth="1"/>
    <col min="89" max="89" width="12.69921875" bestFit="1" customWidth="1"/>
    <col min="90" max="90" width="2.5" customWidth="1"/>
    <col min="92" max="92" width="12.5" bestFit="1" customWidth="1"/>
    <col min="93" max="93" width="6.296875" customWidth="1"/>
    <col min="94" max="94" width="14.796875" bestFit="1" customWidth="1"/>
    <col min="95" max="95" width="6" customWidth="1"/>
    <col min="96" max="96" width="12.69921875" bestFit="1" customWidth="1"/>
    <col min="97" max="97" width="2.5" customWidth="1"/>
    <col min="99" max="99" width="12.5" bestFit="1" customWidth="1"/>
    <col min="100" max="100" width="6.296875" customWidth="1"/>
    <col min="101" max="101" width="14.796875" bestFit="1" customWidth="1"/>
    <col min="102" max="102" width="6" customWidth="1"/>
    <col min="103" max="103" width="12.69921875" bestFit="1" customWidth="1"/>
    <col min="104" max="104" width="2.5" customWidth="1"/>
    <col min="106" max="106" width="12.5" bestFit="1" customWidth="1"/>
    <col min="107" max="107" width="6.296875" customWidth="1"/>
    <col min="108" max="108" width="14.796875" bestFit="1" customWidth="1"/>
    <col min="109" max="109" width="6" customWidth="1"/>
    <col min="110" max="110" width="12.69921875" customWidth="1"/>
    <col min="111" max="111" width="2.5" customWidth="1"/>
    <col min="113" max="113" width="12.5" bestFit="1" customWidth="1"/>
    <col min="114" max="114" width="6.296875" customWidth="1"/>
    <col min="115" max="115" width="14.796875" bestFit="1" customWidth="1"/>
    <col min="116" max="116" width="6" customWidth="1"/>
    <col min="117" max="117" width="12.69921875" bestFit="1" customWidth="1"/>
    <col min="118" max="118" width="2.5" customWidth="1"/>
    <col min="120" max="120" width="12.5" bestFit="1" customWidth="1"/>
    <col min="121" max="121" width="6.296875" customWidth="1"/>
    <col min="122" max="122" width="14.796875" bestFit="1" customWidth="1"/>
    <col min="123" max="123" width="6" customWidth="1"/>
    <col min="124" max="124" width="12.69921875" customWidth="1"/>
    <col min="125" max="125" width="2.5" customWidth="1"/>
    <col min="127" max="127" width="12.5" bestFit="1" customWidth="1"/>
    <col min="128" max="128" width="6.296875" customWidth="1"/>
    <col min="129" max="129" width="14.796875" bestFit="1" customWidth="1"/>
    <col min="130" max="130" width="6" customWidth="1"/>
    <col min="131" max="131" width="12.69921875" bestFit="1" customWidth="1"/>
    <col min="132" max="132" width="2.5" customWidth="1"/>
    <col min="134" max="134" width="12.5" bestFit="1" customWidth="1"/>
    <col min="135" max="135" width="6.296875" customWidth="1"/>
    <col min="136" max="136" width="14.796875" bestFit="1" customWidth="1"/>
    <col min="137" max="137" width="6" customWidth="1"/>
    <col min="138" max="138" width="12.69921875" customWidth="1"/>
    <col min="139" max="139" width="2.5" customWidth="1"/>
    <col min="141" max="141" width="12.5" bestFit="1" customWidth="1"/>
    <col min="142" max="142" width="6.296875" customWidth="1"/>
    <col min="143" max="143" width="14.796875" bestFit="1" customWidth="1"/>
    <col min="144" max="144" width="6" customWidth="1"/>
    <col min="145" max="145" width="12.69921875" bestFit="1" customWidth="1"/>
    <col min="146" max="146" width="2.5" customWidth="1"/>
    <col min="148" max="148" width="12.5" bestFit="1" customWidth="1"/>
    <col min="149" max="149" width="6.296875" customWidth="1"/>
    <col min="150" max="150" width="14.796875" bestFit="1" customWidth="1"/>
    <col min="151" max="151" width="6" customWidth="1"/>
    <col min="152" max="152" width="12.69921875" customWidth="1"/>
    <col min="153" max="153" width="2.5" customWidth="1"/>
    <col min="155" max="155" width="12.5" bestFit="1" customWidth="1"/>
    <col min="156" max="156" width="6.296875" customWidth="1"/>
    <col min="157" max="157" width="14.796875" bestFit="1" customWidth="1"/>
    <col min="158" max="158" width="6" customWidth="1"/>
    <col min="159" max="159" width="12.69921875" bestFit="1" customWidth="1"/>
    <col min="160" max="160" width="2.5" customWidth="1"/>
    <col min="162" max="162" width="12.5" bestFit="1" customWidth="1"/>
    <col min="163" max="163" width="6.296875" customWidth="1"/>
    <col min="164" max="164" width="14.796875" bestFit="1" customWidth="1"/>
    <col min="165" max="165" width="6" customWidth="1"/>
    <col min="166" max="166" width="12.69921875" customWidth="1"/>
  </cols>
  <sheetData>
    <row r="1" spans="2:166" ht="33.6">
      <c r="B1" s="4" t="s">
        <v>0</v>
      </c>
      <c r="D1" s="4"/>
      <c r="G1" s="13" t="s">
        <v>33</v>
      </c>
      <c r="I1" s="13" t="s">
        <v>33</v>
      </c>
      <c r="J1" s="13" t="s">
        <v>33</v>
      </c>
      <c r="K1" s="13" t="s">
        <v>33</v>
      </c>
      <c r="S1">
        <v>9</v>
      </c>
      <c r="Z1">
        <v>10</v>
      </c>
      <c r="AG1">
        <v>10</v>
      </c>
      <c r="AN1">
        <v>10</v>
      </c>
      <c r="AU1">
        <v>10</v>
      </c>
      <c r="BB1">
        <v>10</v>
      </c>
      <c r="BI1">
        <v>10</v>
      </c>
      <c r="BP1">
        <v>9</v>
      </c>
      <c r="BW1">
        <v>10</v>
      </c>
      <c r="CD1">
        <v>10</v>
      </c>
      <c r="CK1">
        <v>10</v>
      </c>
      <c r="CR1">
        <v>10</v>
      </c>
    </row>
    <row r="2" spans="2:166">
      <c r="I2" s="27" t="s">
        <v>27</v>
      </c>
      <c r="J2" s="27"/>
      <c r="K2" s="27"/>
      <c r="L2" s="27"/>
      <c r="N2" s="27" t="s">
        <v>88</v>
      </c>
      <c r="O2" s="27"/>
      <c r="P2" s="27"/>
      <c r="Q2" s="27"/>
      <c r="R2" s="27"/>
      <c r="S2" s="27"/>
      <c r="U2" s="27" t="s">
        <v>89</v>
      </c>
      <c r="V2" s="27"/>
      <c r="W2" s="27"/>
      <c r="X2" s="27"/>
      <c r="Y2" s="27"/>
      <c r="Z2" s="27"/>
      <c r="AB2" s="27" t="s">
        <v>90</v>
      </c>
      <c r="AC2" s="27"/>
      <c r="AD2" s="27"/>
      <c r="AE2" s="27"/>
      <c r="AF2" s="27"/>
      <c r="AG2" s="27"/>
      <c r="AI2" s="27" t="s">
        <v>91</v>
      </c>
      <c r="AJ2" s="27"/>
      <c r="AK2" s="27"/>
      <c r="AL2" s="27"/>
      <c r="AM2" s="27"/>
      <c r="AN2" s="27"/>
      <c r="AP2" s="27" t="s">
        <v>92</v>
      </c>
      <c r="AQ2" s="27"/>
      <c r="AR2" s="27"/>
      <c r="AS2" s="27"/>
      <c r="AT2" s="27"/>
      <c r="AU2" s="27"/>
      <c r="AW2" s="27" t="s">
        <v>93</v>
      </c>
      <c r="AX2" s="27"/>
      <c r="AY2" s="27"/>
      <c r="AZ2" s="27"/>
      <c r="BA2" s="27"/>
      <c r="BB2" s="27"/>
      <c r="BD2" s="27" t="s">
        <v>94</v>
      </c>
      <c r="BE2" s="27"/>
      <c r="BF2" s="27"/>
      <c r="BG2" s="27"/>
      <c r="BH2" s="27"/>
      <c r="BI2" s="27"/>
      <c r="BK2" s="27" t="s">
        <v>95</v>
      </c>
      <c r="BL2" s="27"/>
      <c r="BM2" s="27"/>
      <c r="BN2" s="27"/>
      <c r="BO2" s="27"/>
      <c r="BP2" s="27"/>
      <c r="BR2" s="27" t="s">
        <v>96</v>
      </c>
      <c r="BS2" s="27"/>
      <c r="BT2" s="27"/>
      <c r="BU2" s="27"/>
      <c r="BV2" s="27"/>
      <c r="BW2" s="27"/>
      <c r="BY2" s="27" t="s">
        <v>97</v>
      </c>
      <c r="BZ2" s="27"/>
      <c r="CA2" s="27"/>
      <c r="CB2" s="27"/>
      <c r="CC2" s="27"/>
      <c r="CD2" s="27"/>
      <c r="CF2" s="27" t="s">
        <v>143</v>
      </c>
      <c r="CG2" s="27"/>
      <c r="CH2" s="27"/>
      <c r="CI2" s="27"/>
      <c r="CJ2" s="27"/>
      <c r="CK2" s="27"/>
      <c r="CM2" s="27" t="s">
        <v>144</v>
      </c>
      <c r="CN2" s="27"/>
      <c r="CO2" s="27"/>
      <c r="CP2" s="27"/>
      <c r="CQ2" s="27"/>
      <c r="CR2" s="27"/>
      <c r="CT2" s="27" t="s">
        <v>98</v>
      </c>
      <c r="CU2" s="27"/>
      <c r="CV2" s="27"/>
      <c r="CW2" s="27"/>
      <c r="CX2" s="27"/>
      <c r="CY2" s="27"/>
      <c r="DA2" s="27" t="s">
        <v>145</v>
      </c>
      <c r="DB2" s="27"/>
      <c r="DC2" s="27"/>
      <c r="DD2" s="27"/>
      <c r="DE2" s="27"/>
      <c r="DF2" s="27"/>
      <c r="DH2" s="27" t="s">
        <v>99</v>
      </c>
      <c r="DI2" s="27"/>
      <c r="DJ2" s="27"/>
      <c r="DK2" s="27"/>
      <c r="DL2" s="27"/>
      <c r="DM2" s="27"/>
      <c r="DO2" s="27" t="s">
        <v>100</v>
      </c>
      <c r="DP2" s="27"/>
      <c r="DQ2" s="27"/>
      <c r="DR2" s="27"/>
      <c r="DS2" s="27"/>
      <c r="DT2" s="27"/>
      <c r="DV2" s="27" t="s">
        <v>101</v>
      </c>
      <c r="DW2" s="27"/>
      <c r="DX2" s="27"/>
      <c r="DY2" s="27"/>
      <c r="DZ2" s="27"/>
      <c r="EA2" s="27"/>
      <c r="EC2" s="27" t="s">
        <v>102</v>
      </c>
      <c r="ED2" s="27"/>
      <c r="EE2" s="27"/>
      <c r="EF2" s="27"/>
      <c r="EG2" s="27"/>
      <c r="EH2" s="27"/>
      <c r="EJ2" s="27" t="s">
        <v>103</v>
      </c>
      <c r="EK2" s="27"/>
      <c r="EL2" s="27"/>
      <c r="EM2" s="27"/>
      <c r="EN2" s="27"/>
      <c r="EO2" s="27"/>
      <c r="EQ2" s="27" t="s">
        <v>146</v>
      </c>
      <c r="ER2" s="27"/>
      <c r="ES2" s="27"/>
      <c r="ET2" s="27"/>
      <c r="EU2" s="27"/>
      <c r="EV2" s="27"/>
      <c r="EX2" s="27" t="s">
        <v>147</v>
      </c>
      <c r="EY2" s="27"/>
      <c r="EZ2" s="27"/>
      <c r="FA2" s="27"/>
      <c r="FB2" s="27"/>
      <c r="FC2" s="27"/>
      <c r="FE2" s="27" t="s">
        <v>87</v>
      </c>
      <c r="FF2" s="27"/>
      <c r="FG2" s="27"/>
      <c r="FH2" s="27"/>
      <c r="FI2" s="27"/>
      <c r="FJ2" s="27"/>
    </row>
    <row r="3" spans="2:166">
      <c r="B3" s="5" t="s">
        <v>26</v>
      </c>
      <c r="C3" s="5" t="s">
        <v>1</v>
      </c>
      <c r="D3" s="5" t="s">
        <v>24</v>
      </c>
      <c r="E3" s="6" t="s">
        <v>30</v>
      </c>
      <c r="F3" s="5" t="s">
        <v>29</v>
      </c>
      <c r="G3" s="5" t="s">
        <v>31</v>
      </c>
      <c r="I3" s="6" t="s">
        <v>11</v>
      </c>
      <c r="J3" s="6" t="s">
        <v>2</v>
      </c>
      <c r="K3" s="6" t="s">
        <v>3</v>
      </c>
      <c r="L3" s="6" t="s">
        <v>12</v>
      </c>
      <c r="N3" s="5" t="s">
        <v>11</v>
      </c>
      <c r="O3" s="5" t="s">
        <v>2</v>
      </c>
      <c r="P3" s="5" t="s">
        <v>32</v>
      </c>
      <c r="Q3" s="5" t="s">
        <v>3</v>
      </c>
      <c r="R3" s="5" t="s">
        <v>32</v>
      </c>
      <c r="S3" s="5" t="s">
        <v>12</v>
      </c>
      <c r="U3" s="5" t="s">
        <v>11</v>
      </c>
      <c r="V3" s="5" t="s">
        <v>2</v>
      </c>
      <c r="W3" s="5" t="s">
        <v>32</v>
      </c>
      <c r="X3" s="5" t="s">
        <v>3</v>
      </c>
      <c r="Y3" s="5" t="s">
        <v>32</v>
      </c>
      <c r="Z3" s="5" t="s">
        <v>12</v>
      </c>
      <c r="AB3" s="5" t="s">
        <v>11</v>
      </c>
      <c r="AC3" s="5" t="s">
        <v>2</v>
      </c>
      <c r="AD3" s="5" t="s">
        <v>32</v>
      </c>
      <c r="AE3" s="5" t="s">
        <v>3</v>
      </c>
      <c r="AF3" s="5" t="s">
        <v>32</v>
      </c>
      <c r="AG3" s="5" t="s">
        <v>12</v>
      </c>
      <c r="AI3" s="5" t="s">
        <v>11</v>
      </c>
      <c r="AJ3" s="5" t="s">
        <v>2</v>
      </c>
      <c r="AK3" s="5" t="s">
        <v>32</v>
      </c>
      <c r="AL3" s="5" t="s">
        <v>3</v>
      </c>
      <c r="AM3" s="5" t="s">
        <v>32</v>
      </c>
      <c r="AN3" s="5" t="s">
        <v>12</v>
      </c>
      <c r="AP3" s="5" t="s">
        <v>11</v>
      </c>
      <c r="AQ3" s="5" t="s">
        <v>2</v>
      </c>
      <c r="AR3" s="5" t="s">
        <v>32</v>
      </c>
      <c r="AS3" s="5" t="s">
        <v>3</v>
      </c>
      <c r="AT3" s="5" t="s">
        <v>32</v>
      </c>
      <c r="AU3" s="5" t="s">
        <v>12</v>
      </c>
      <c r="AW3" s="5" t="s">
        <v>11</v>
      </c>
      <c r="AX3" s="5" t="s">
        <v>2</v>
      </c>
      <c r="AY3" s="5" t="s">
        <v>32</v>
      </c>
      <c r="AZ3" s="5" t="s">
        <v>3</v>
      </c>
      <c r="BA3" s="5" t="s">
        <v>32</v>
      </c>
      <c r="BB3" s="5" t="s">
        <v>12</v>
      </c>
      <c r="BD3" s="5" t="s">
        <v>11</v>
      </c>
      <c r="BE3" s="5" t="s">
        <v>2</v>
      </c>
      <c r="BF3" s="5" t="s">
        <v>32</v>
      </c>
      <c r="BG3" s="5" t="s">
        <v>3</v>
      </c>
      <c r="BH3" s="5" t="s">
        <v>32</v>
      </c>
      <c r="BI3" s="5" t="s">
        <v>12</v>
      </c>
      <c r="BK3" s="5" t="s">
        <v>11</v>
      </c>
      <c r="BL3" s="5" t="s">
        <v>2</v>
      </c>
      <c r="BM3" s="5" t="s">
        <v>32</v>
      </c>
      <c r="BN3" s="5" t="s">
        <v>3</v>
      </c>
      <c r="BO3" s="5" t="s">
        <v>32</v>
      </c>
      <c r="BP3" s="5" t="s">
        <v>12</v>
      </c>
      <c r="BR3" s="5" t="s">
        <v>11</v>
      </c>
      <c r="BS3" s="5" t="s">
        <v>2</v>
      </c>
      <c r="BT3" s="5" t="s">
        <v>32</v>
      </c>
      <c r="BU3" s="5" t="s">
        <v>3</v>
      </c>
      <c r="BV3" s="5" t="s">
        <v>32</v>
      </c>
      <c r="BW3" s="5" t="s">
        <v>12</v>
      </c>
      <c r="BY3" s="5" t="s">
        <v>11</v>
      </c>
      <c r="BZ3" s="5" t="s">
        <v>2</v>
      </c>
      <c r="CA3" s="5" t="s">
        <v>32</v>
      </c>
      <c r="CB3" s="5" t="s">
        <v>3</v>
      </c>
      <c r="CC3" s="5" t="s">
        <v>32</v>
      </c>
      <c r="CD3" s="5" t="s">
        <v>12</v>
      </c>
      <c r="CF3" s="5" t="s">
        <v>11</v>
      </c>
      <c r="CG3" s="5" t="s">
        <v>2</v>
      </c>
      <c r="CH3" s="5" t="s">
        <v>32</v>
      </c>
      <c r="CI3" s="5" t="s">
        <v>3</v>
      </c>
      <c r="CJ3" s="5" t="s">
        <v>32</v>
      </c>
      <c r="CK3" s="5" t="s">
        <v>12</v>
      </c>
      <c r="CM3" s="5" t="s">
        <v>11</v>
      </c>
      <c r="CN3" s="5" t="s">
        <v>2</v>
      </c>
      <c r="CO3" s="5" t="s">
        <v>32</v>
      </c>
      <c r="CP3" s="5" t="s">
        <v>3</v>
      </c>
      <c r="CQ3" s="5" t="s">
        <v>32</v>
      </c>
      <c r="CR3" s="5" t="s">
        <v>12</v>
      </c>
      <c r="CT3" s="5" t="s">
        <v>11</v>
      </c>
      <c r="CU3" s="5" t="s">
        <v>2</v>
      </c>
      <c r="CV3" s="5" t="s">
        <v>32</v>
      </c>
      <c r="CW3" s="5" t="s">
        <v>3</v>
      </c>
      <c r="CX3" s="5" t="s">
        <v>32</v>
      </c>
      <c r="CY3" s="5" t="s">
        <v>12</v>
      </c>
      <c r="DA3" s="5" t="s">
        <v>11</v>
      </c>
      <c r="DB3" s="5" t="s">
        <v>2</v>
      </c>
      <c r="DC3" s="5" t="s">
        <v>32</v>
      </c>
      <c r="DD3" s="5" t="s">
        <v>3</v>
      </c>
      <c r="DE3" s="5" t="s">
        <v>32</v>
      </c>
      <c r="DF3" s="5" t="s">
        <v>12</v>
      </c>
      <c r="DH3" s="5" t="s">
        <v>11</v>
      </c>
      <c r="DI3" s="5" t="s">
        <v>2</v>
      </c>
      <c r="DJ3" s="5" t="s">
        <v>32</v>
      </c>
      <c r="DK3" s="5" t="s">
        <v>3</v>
      </c>
      <c r="DL3" s="5" t="s">
        <v>32</v>
      </c>
      <c r="DM3" s="5" t="s">
        <v>12</v>
      </c>
      <c r="DO3" s="5" t="s">
        <v>11</v>
      </c>
      <c r="DP3" s="5" t="s">
        <v>2</v>
      </c>
      <c r="DQ3" s="5" t="s">
        <v>32</v>
      </c>
      <c r="DR3" s="5" t="s">
        <v>3</v>
      </c>
      <c r="DS3" s="5" t="s">
        <v>32</v>
      </c>
      <c r="DT3" s="5" t="s">
        <v>12</v>
      </c>
      <c r="DV3" s="5" t="s">
        <v>11</v>
      </c>
      <c r="DW3" s="5" t="s">
        <v>2</v>
      </c>
      <c r="DX3" s="5" t="s">
        <v>32</v>
      </c>
      <c r="DY3" s="5" t="s">
        <v>3</v>
      </c>
      <c r="DZ3" s="5" t="s">
        <v>32</v>
      </c>
      <c r="EA3" s="5" t="s">
        <v>12</v>
      </c>
      <c r="EC3" s="5" t="s">
        <v>11</v>
      </c>
      <c r="ED3" s="5" t="s">
        <v>2</v>
      </c>
      <c r="EE3" s="5" t="s">
        <v>32</v>
      </c>
      <c r="EF3" s="5" t="s">
        <v>3</v>
      </c>
      <c r="EG3" s="5" t="s">
        <v>32</v>
      </c>
      <c r="EH3" s="5" t="s">
        <v>12</v>
      </c>
      <c r="EJ3" s="5" t="s">
        <v>11</v>
      </c>
      <c r="EK3" s="5" t="s">
        <v>2</v>
      </c>
      <c r="EL3" s="5" t="s">
        <v>32</v>
      </c>
      <c r="EM3" s="5" t="s">
        <v>3</v>
      </c>
      <c r="EN3" s="5" t="s">
        <v>32</v>
      </c>
      <c r="EO3" s="5" t="s">
        <v>12</v>
      </c>
      <c r="EQ3" s="5" t="s">
        <v>11</v>
      </c>
      <c r="ER3" s="5" t="s">
        <v>2</v>
      </c>
      <c r="ES3" s="5" t="s">
        <v>32</v>
      </c>
      <c r="ET3" s="5" t="s">
        <v>3</v>
      </c>
      <c r="EU3" s="5" t="s">
        <v>32</v>
      </c>
      <c r="EV3" s="5" t="s">
        <v>12</v>
      </c>
      <c r="EX3" s="5" t="s">
        <v>11</v>
      </c>
      <c r="EY3" s="5" t="s">
        <v>2</v>
      </c>
      <c r="EZ3" s="5" t="s">
        <v>32</v>
      </c>
      <c r="FA3" s="5" t="s">
        <v>3</v>
      </c>
      <c r="FB3" s="5" t="s">
        <v>32</v>
      </c>
      <c r="FC3" s="5" t="s">
        <v>12</v>
      </c>
      <c r="FE3" s="5" t="s">
        <v>11</v>
      </c>
      <c r="FF3" s="5" t="s">
        <v>2</v>
      </c>
      <c r="FG3" s="5" t="s">
        <v>32</v>
      </c>
      <c r="FH3" s="5" t="s">
        <v>3</v>
      </c>
      <c r="FI3" s="5" t="s">
        <v>32</v>
      </c>
      <c r="FJ3" s="5" t="s">
        <v>12</v>
      </c>
    </row>
    <row r="4" spans="2:166">
      <c r="B4" t="s">
        <v>27</v>
      </c>
      <c r="C4" t="s">
        <v>105</v>
      </c>
      <c r="D4" s="19">
        <v>45342</v>
      </c>
      <c r="E4" s="9">
        <v>10</v>
      </c>
      <c r="G4" s="10">
        <f>+SUM(G5:G15)</f>
        <v>0</v>
      </c>
      <c r="I4" s="12">
        <f>+SUM(I5:I15)</f>
        <v>0</v>
      </c>
      <c r="J4" s="11">
        <f>+SUMPRODUCT(G5:G15,J5:J15)</f>
        <v>0</v>
      </c>
      <c r="K4" s="11">
        <f>+SUMPRODUCT(G5:G15,K5:K15)</f>
        <v>0</v>
      </c>
      <c r="L4" s="9" t="s">
        <v>153</v>
      </c>
      <c r="N4" s="12"/>
      <c r="U4" s="12"/>
      <c r="AB4" s="12"/>
      <c r="AI4" s="12"/>
      <c r="AP4" s="12"/>
      <c r="AW4" s="12"/>
      <c r="BD4" s="12"/>
      <c r="BK4" s="12"/>
      <c r="BR4" s="12"/>
      <c r="BY4" s="12"/>
      <c r="CF4" s="12"/>
      <c r="CM4" s="12"/>
      <c r="CT4" s="12"/>
      <c r="DA4" s="12"/>
      <c r="DH4" s="12"/>
      <c r="DO4" s="12"/>
      <c r="DV4" s="12"/>
      <c r="DW4" s="20"/>
      <c r="DX4" s="20"/>
      <c r="DY4" s="20"/>
      <c r="DZ4" s="20"/>
      <c r="EA4" s="26" t="s">
        <v>151</v>
      </c>
      <c r="EC4" s="12"/>
      <c r="EJ4" s="12"/>
      <c r="EQ4" s="12"/>
      <c r="EX4" s="12"/>
      <c r="FE4" s="12"/>
    </row>
    <row r="5" spans="2:166" outlineLevel="1">
      <c r="B5" t="s">
        <v>28</v>
      </c>
      <c r="E5" s="9"/>
      <c r="F5" t="s">
        <v>109</v>
      </c>
      <c r="G5" s="10"/>
      <c r="I5" s="9">
        <f t="shared" ref="I5:I14" si="0">+SUMIF($N$3:$ZZ$3,I$3,$N5:$ZZ5)</f>
        <v>0</v>
      </c>
      <c r="J5" s="11" cm="1">
        <f t="array" ref="J5">MAX(IF($N$3:$EH$3=$J$3,N5:EH5))</f>
        <v>0</v>
      </c>
      <c r="K5" s="11" cm="1">
        <f t="array" ref="K5">MAX(IF($N$3:$EH$3=$J$3,N5:EH5))</f>
        <v>0</v>
      </c>
      <c r="L5" s="9"/>
      <c r="O5" s="10"/>
      <c r="P5" s="10">
        <v>0.5</v>
      </c>
      <c r="Q5" s="10"/>
      <c r="R5" s="10">
        <v>0.5</v>
      </c>
      <c r="V5" s="10"/>
      <c r="W5" s="10">
        <v>0.5</v>
      </c>
      <c r="X5" s="10"/>
      <c r="Y5" s="10">
        <v>0.5</v>
      </c>
      <c r="AC5" s="10"/>
      <c r="AD5" s="10">
        <v>0.8</v>
      </c>
      <c r="AE5" s="10"/>
      <c r="AF5" s="10">
        <v>0.8</v>
      </c>
      <c r="AJ5" s="10"/>
      <c r="AK5" s="10">
        <v>0.8</v>
      </c>
      <c r="AL5" s="10"/>
      <c r="AM5" s="10">
        <v>0.8</v>
      </c>
      <c r="AQ5" s="10"/>
      <c r="AR5" s="10">
        <v>0.8</v>
      </c>
      <c r="AS5" s="10"/>
      <c r="AT5" s="10">
        <v>0.8</v>
      </c>
      <c r="AX5" s="10"/>
      <c r="AY5" s="10">
        <v>0.8</v>
      </c>
      <c r="AZ5" s="10"/>
      <c r="BA5" s="10">
        <v>0.8</v>
      </c>
      <c r="BE5" s="10"/>
      <c r="BF5" s="10">
        <v>1</v>
      </c>
      <c r="BG5" s="10"/>
      <c r="BH5" s="10">
        <v>1</v>
      </c>
      <c r="BL5" s="10"/>
      <c r="BM5" s="10">
        <v>1</v>
      </c>
      <c r="BN5" s="10"/>
      <c r="BO5" s="10">
        <v>1</v>
      </c>
      <c r="BS5" s="10"/>
      <c r="BT5" s="10">
        <v>1</v>
      </c>
      <c r="BU5" s="10"/>
      <c r="BV5" s="10">
        <v>1</v>
      </c>
      <c r="BZ5" s="10"/>
      <c r="CA5" s="10">
        <v>1</v>
      </c>
      <c r="CB5" s="10"/>
      <c r="CC5" s="10">
        <v>1</v>
      </c>
      <c r="CG5" s="10"/>
      <c r="CH5" s="10">
        <v>1</v>
      </c>
      <c r="CI5" s="10"/>
      <c r="CJ5" s="10">
        <v>1</v>
      </c>
      <c r="CN5" s="10"/>
      <c r="CO5" s="10">
        <v>1</v>
      </c>
      <c r="CP5" s="10"/>
      <c r="CQ5" s="10">
        <v>1</v>
      </c>
      <c r="CU5" s="10"/>
      <c r="CV5" s="10"/>
      <c r="CW5" s="10"/>
      <c r="CX5" s="10"/>
      <c r="DB5" s="10"/>
      <c r="DC5" s="10"/>
      <c r="DD5" s="10"/>
      <c r="DE5" s="10"/>
      <c r="DI5" s="10"/>
      <c r="DJ5" s="10"/>
      <c r="DK5" s="10"/>
      <c r="DL5" s="10"/>
      <c r="DP5" s="10"/>
      <c r="DQ5" s="10"/>
      <c r="DR5" s="10"/>
      <c r="DS5" s="10"/>
      <c r="DW5" s="25"/>
      <c r="DX5" s="25"/>
      <c r="DY5" s="25"/>
      <c r="DZ5" s="25"/>
      <c r="EA5" s="16"/>
      <c r="ED5" s="10"/>
      <c r="EE5" s="10"/>
      <c r="EF5" s="10"/>
      <c r="EG5" s="10"/>
      <c r="EK5" s="10"/>
      <c r="EL5" s="10"/>
      <c r="EM5" s="10"/>
      <c r="EN5" s="10"/>
      <c r="ER5" s="10"/>
      <c r="ES5" s="10"/>
      <c r="ET5" s="10"/>
      <c r="EU5" s="10"/>
      <c r="EY5" s="10"/>
      <c r="EZ5" s="10"/>
      <c r="FA5" s="10"/>
      <c r="FB5" s="10"/>
      <c r="FF5" s="10"/>
      <c r="FG5" s="10"/>
      <c r="FH5" s="10"/>
      <c r="FI5" s="10"/>
    </row>
    <row r="6" spans="2:166" outlineLevel="1">
      <c r="B6" t="s">
        <v>28</v>
      </c>
      <c r="E6" s="9"/>
      <c r="F6" t="s">
        <v>110</v>
      </c>
      <c r="G6" s="10"/>
      <c r="I6" s="9">
        <f t="shared" si="0"/>
        <v>0</v>
      </c>
      <c r="J6" s="11" cm="1">
        <f t="array" ref="J6">MAX(IF($N$3:$EH$3=$J$3,N6:EH6))</f>
        <v>0</v>
      </c>
      <c r="K6" s="11" cm="1">
        <f t="array" ref="K6">MAX(IF($N$3:$EH$3=$J$3,N6:EH6))</f>
        <v>0</v>
      </c>
      <c r="L6" s="9"/>
      <c r="O6" s="10"/>
      <c r="P6" s="10">
        <v>0.5</v>
      </c>
      <c r="Q6" s="10"/>
      <c r="R6" s="10">
        <v>0.5</v>
      </c>
      <c r="V6" s="10"/>
      <c r="W6" s="10">
        <v>0.5</v>
      </c>
      <c r="X6" s="10"/>
      <c r="Y6" s="10">
        <v>0.5</v>
      </c>
      <c r="AC6" s="10"/>
      <c r="AD6" s="10">
        <v>0.5</v>
      </c>
      <c r="AE6" s="10"/>
      <c r="AF6" s="10">
        <v>0.5</v>
      </c>
      <c r="AJ6" s="10"/>
      <c r="AK6" s="10">
        <v>0.8</v>
      </c>
      <c r="AL6" s="10"/>
      <c r="AM6" s="10">
        <v>0.8</v>
      </c>
      <c r="AQ6" s="10"/>
      <c r="AR6" s="10">
        <v>0.8</v>
      </c>
      <c r="AS6" s="10"/>
      <c r="AT6" s="10">
        <v>0.8</v>
      </c>
      <c r="AX6" s="10"/>
      <c r="AY6" s="10">
        <v>0.8</v>
      </c>
      <c r="AZ6" s="10"/>
      <c r="BA6" s="10">
        <v>0.8</v>
      </c>
      <c r="BE6" s="10"/>
      <c r="BF6" s="10">
        <v>0.8</v>
      </c>
      <c r="BG6" s="10"/>
      <c r="BH6" s="10">
        <v>0.8</v>
      </c>
      <c r="BL6" s="10"/>
      <c r="BM6" s="10">
        <v>1</v>
      </c>
      <c r="BN6" s="10"/>
      <c r="BO6" s="10">
        <v>1</v>
      </c>
      <c r="BS6" s="10"/>
      <c r="BT6" s="10">
        <v>1</v>
      </c>
      <c r="BU6" s="10"/>
      <c r="BV6" s="10">
        <v>1</v>
      </c>
      <c r="BZ6" s="10"/>
      <c r="CA6" s="10">
        <v>1</v>
      </c>
      <c r="CB6" s="10"/>
      <c r="CC6" s="10">
        <v>1</v>
      </c>
      <c r="CG6" s="10"/>
      <c r="CH6" s="10">
        <v>1</v>
      </c>
      <c r="CI6" s="10"/>
      <c r="CJ6" s="10">
        <v>1</v>
      </c>
      <c r="CN6" s="10"/>
      <c r="CO6" s="10">
        <v>1</v>
      </c>
      <c r="CP6" s="10"/>
      <c r="CQ6" s="10">
        <v>1</v>
      </c>
      <c r="CU6" s="10"/>
      <c r="CV6" s="10"/>
      <c r="CW6" s="10"/>
      <c r="CX6" s="10"/>
      <c r="DB6" s="10"/>
      <c r="DC6" s="10"/>
      <c r="DD6" s="10"/>
      <c r="DE6" s="10"/>
      <c r="DI6" s="10"/>
      <c r="DJ6" s="10"/>
      <c r="DK6" s="10"/>
      <c r="DL6" s="10"/>
      <c r="DP6" s="10"/>
      <c r="DQ6" s="10"/>
      <c r="DR6" s="10"/>
      <c r="DS6" s="10"/>
      <c r="DW6" s="25"/>
      <c r="DX6" s="25"/>
      <c r="DY6" s="25"/>
      <c r="DZ6" s="25"/>
      <c r="EA6" s="16"/>
      <c r="ED6" s="10"/>
      <c r="EE6" s="10"/>
      <c r="EF6" s="10"/>
      <c r="EG6" s="10"/>
      <c r="EK6" s="10"/>
      <c r="EL6" s="10"/>
      <c r="EM6" s="10"/>
      <c r="EN6" s="10"/>
      <c r="ER6" s="10"/>
      <c r="ES6" s="10"/>
      <c r="ET6" s="10"/>
      <c r="EU6" s="10"/>
      <c r="EY6" s="10"/>
      <c r="EZ6" s="10"/>
      <c r="FA6" s="10"/>
      <c r="FB6" s="10"/>
      <c r="FF6" s="10"/>
      <c r="FG6" s="10"/>
      <c r="FH6" s="10"/>
      <c r="FI6" s="10"/>
    </row>
    <row r="7" spans="2:166" outlineLevel="1">
      <c r="B7" t="s">
        <v>28</v>
      </c>
      <c r="E7" s="9"/>
      <c r="F7" t="s">
        <v>111</v>
      </c>
      <c r="G7" s="10"/>
      <c r="I7" s="9">
        <f t="shared" si="0"/>
        <v>0</v>
      </c>
      <c r="J7" s="11" cm="1">
        <f t="array" ref="J7">MAX(IF($N$3:$EH$3=$J$3,N7:EH7))</f>
        <v>0</v>
      </c>
      <c r="K7" s="11" cm="1">
        <f t="array" ref="K7">MAX(IF($N$3:$EH$3=$J$3,N7:EH7))</f>
        <v>0</v>
      </c>
      <c r="L7" s="9"/>
      <c r="O7" s="10"/>
      <c r="P7" s="10"/>
      <c r="Q7" s="10"/>
      <c r="R7" s="10"/>
      <c r="V7" s="10"/>
      <c r="W7" s="10">
        <v>0.5</v>
      </c>
      <c r="X7" s="10"/>
      <c r="Y7" s="10">
        <v>0.5</v>
      </c>
      <c r="AC7" s="10"/>
      <c r="AD7" s="10">
        <v>0.5</v>
      </c>
      <c r="AE7" s="10"/>
      <c r="AF7" s="10">
        <v>0.5</v>
      </c>
      <c r="AJ7" s="10"/>
      <c r="AK7" s="10">
        <v>0.8</v>
      </c>
      <c r="AL7" s="10"/>
      <c r="AM7" s="10">
        <v>0.8</v>
      </c>
      <c r="AQ7" s="10"/>
      <c r="AR7" s="10">
        <v>0.8</v>
      </c>
      <c r="AS7" s="10"/>
      <c r="AT7" s="10">
        <v>0.8</v>
      </c>
      <c r="AX7" s="10"/>
      <c r="AY7" s="10">
        <v>0.8</v>
      </c>
      <c r="AZ7" s="10"/>
      <c r="BA7" s="10">
        <v>0.8</v>
      </c>
      <c r="BE7" s="10"/>
      <c r="BF7" s="10">
        <v>0.8</v>
      </c>
      <c r="BG7" s="10"/>
      <c r="BH7" s="10">
        <v>0.8</v>
      </c>
      <c r="BL7" s="10"/>
      <c r="BM7" s="10">
        <v>0.8</v>
      </c>
      <c r="BN7" s="10"/>
      <c r="BO7" s="10">
        <v>0.8</v>
      </c>
      <c r="BS7" s="10"/>
      <c r="BT7" s="10">
        <v>1</v>
      </c>
      <c r="BU7" s="10"/>
      <c r="BV7" s="10">
        <v>1</v>
      </c>
      <c r="BZ7" s="10"/>
      <c r="CA7" s="10">
        <v>1</v>
      </c>
      <c r="CB7" s="10"/>
      <c r="CC7" s="10">
        <v>1</v>
      </c>
      <c r="CG7" s="10"/>
      <c r="CH7" s="10">
        <v>1</v>
      </c>
      <c r="CI7" s="10"/>
      <c r="CJ7" s="10">
        <v>1</v>
      </c>
      <c r="CN7" s="10"/>
      <c r="CO7" s="10">
        <v>1</v>
      </c>
      <c r="CP7" s="10"/>
      <c r="CQ7" s="10">
        <v>1</v>
      </c>
      <c r="CU7" s="10"/>
      <c r="CV7" s="10"/>
      <c r="CW7" s="10"/>
      <c r="CX7" s="10"/>
      <c r="DB7" s="10"/>
      <c r="DC7" s="10"/>
      <c r="DD7" s="10"/>
      <c r="DE7" s="10"/>
      <c r="DI7" s="10"/>
      <c r="DJ7" s="10"/>
      <c r="DK7" s="10"/>
      <c r="DL7" s="10"/>
      <c r="DP7" s="10"/>
      <c r="DQ7" s="10"/>
      <c r="DR7" s="10"/>
      <c r="DS7" s="10"/>
      <c r="DW7" s="25"/>
      <c r="DX7" s="25"/>
      <c r="DY7" s="25"/>
      <c r="DZ7" s="25"/>
      <c r="EA7" s="16"/>
      <c r="ED7" s="10"/>
      <c r="EE7" s="10"/>
      <c r="EF7" s="10"/>
      <c r="EG7" s="10"/>
      <c r="EK7" s="10"/>
      <c r="EL7" s="10"/>
      <c r="EM7" s="10"/>
      <c r="EN7" s="10"/>
      <c r="ER7" s="10"/>
      <c r="ES7" s="10"/>
      <c r="ET7" s="10"/>
      <c r="EU7" s="10"/>
      <c r="EY7" s="10"/>
      <c r="EZ7" s="10"/>
      <c r="FA7" s="10"/>
      <c r="FB7" s="10"/>
      <c r="FF7" s="10"/>
      <c r="FG7" s="10"/>
      <c r="FH7" s="10"/>
      <c r="FI7" s="10"/>
    </row>
    <row r="8" spans="2:166" outlineLevel="1">
      <c r="B8" t="s">
        <v>28</v>
      </c>
      <c r="E8" s="9"/>
      <c r="F8" t="s">
        <v>112</v>
      </c>
      <c r="G8" s="10"/>
      <c r="I8" s="9">
        <f t="shared" si="0"/>
        <v>0</v>
      </c>
      <c r="J8" s="11" cm="1">
        <f t="array" ref="J8">MAX(IF($N$3:$EH$3=$J$3,N8:EH8))</f>
        <v>0</v>
      </c>
      <c r="K8" s="11" cm="1">
        <f t="array" ref="K8">MAX(IF($N$3:$EH$3=$J$3,N8:EH8))</f>
        <v>0</v>
      </c>
      <c r="L8" s="9"/>
      <c r="O8" s="10"/>
      <c r="P8" s="10"/>
      <c r="Q8" s="10"/>
      <c r="R8" s="10"/>
      <c r="V8" s="10"/>
      <c r="W8" s="10">
        <v>0.5</v>
      </c>
      <c r="X8" s="10"/>
      <c r="Y8" s="10">
        <v>0.5</v>
      </c>
      <c r="AC8" s="10"/>
      <c r="AD8" s="10">
        <v>0.5</v>
      </c>
      <c r="AE8" s="10"/>
      <c r="AF8" s="10">
        <v>0.5</v>
      </c>
      <c r="AJ8" s="10"/>
      <c r="AK8" s="10">
        <v>0.5</v>
      </c>
      <c r="AL8" s="10"/>
      <c r="AM8" s="10">
        <v>0.5</v>
      </c>
      <c r="AQ8" s="10"/>
      <c r="AR8" s="10">
        <v>0.8</v>
      </c>
      <c r="AS8" s="10"/>
      <c r="AT8" s="10">
        <v>0.8</v>
      </c>
      <c r="AX8" s="10"/>
      <c r="AY8" s="10">
        <v>0.8</v>
      </c>
      <c r="AZ8" s="10"/>
      <c r="BA8" s="10">
        <v>0.8</v>
      </c>
      <c r="BE8" s="10"/>
      <c r="BF8" s="10">
        <v>0.8</v>
      </c>
      <c r="BG8" s="10"/>
      <c r="BH8" s="10">
        <v>0.8</v>
      </c>
      <c r="BL8" s="10"/>
      <c r="BM8" s="10">
        <v>0.8</v>
      </c>
      <c r="BN8" s="10"/>
      <c r="BO8" s="10">
        <v>0.8</v>
      </c>
      <c r="BS8" s="10"/>
      <c r="BT8" s="10">
        <v>1</v>
      </c>
      <c r="BU8" s="10"/>
      <c r="BV8" s="10">
        <v>1</v>
      </c>
      <c r="BZ8" s="10"/>
      <c r="CA8" s="10">
        <v>1</v>
      </c>
      <c r="CB8" s="10"/>
      <c r="CC8" s="10">
        <v>1</v>
      </c>
      <c r="CG8" s="10"/>
      <c r="CH8" s="10">
        <v>1</v>
      </c>
      <c r="CI8" s="10"/>
      <c r="CJ8" s="10">
        <v>1</v>
      </c>
      <c r="CN8" s="10"/>
      <c r="CO8" s="10">
        <v>1</v>
      </c>
      <c r="CP8" s="10"/>
      <c r="CQ8" s="10">
        <v>1</v>
      </c>
      <c r="CU8" s="10"/>
      <c r="CV8" s="10"/>
      <c r="CW8" s="10"/>
      <c r="CX8" s="10"/>
      <c r="DB8" s="10"/>
      <c r="DC8" s="10"/>
      <c r="DD8" s="10"/>
      <c r="DE8" s="10"/>
      <c r="DI8" s="10"/>
      <c r="DJ8" s="10"/>
      <c r="DK8" s="10"/>
      <c r="DL8" s="10"/>
      <c r="DP8" s="10"/>
      <c r="DQ8" s="10"/>
      <c r="DR8" s="10"/>
      <c r="DS8" s="10"/>
      <c r="DW8" s="25"/>
      <c r="DX8" s="25"/>
      <c r="DY8" s="25"/>
      <c r="DZ8" s="25"/>
      <c r="EA8" s="16"/>
      <c r="ED8" s="10"/>
      <c r="EE8" s="10"/>
      <c r="EF8" s="10"/>
      <c r="EG8" s="10"/>
      <c r="EK8" s="10"/>
      <c r="EL8" s="10"/>
      <c r="EM8" s="10"/>
      <c r="EN8" s="10"/>
      <c r="ER8" s="10"/>
      <c r="ES8" s="10"/>
      <c r="ET8" s="10"/>
      <c r="EU8" s="10"/>
      <c r="EY8" s="10"/>
      <c r="EZ8" s="10"/>
      <c r="FA8" s="10"/>
      <c r="FB8" s="10"/>
      <c r="FF8" s="10"/>
      <c r="FG8" s="10"/>
      <c r="FH8" s="10"/>
      <c r="FI8" s="10"/>
    </row>
    <row r="9" spans="2:166" outlineLevel="1">
      <c r="B9" t="s">
        <v>28</v>
      </c>
      <c r="E9" s="9"/>
      <c r="F9" t="s">
        <v>113</v>
      </c>
      <c r="G9" s="10"/>
      <c r="I9" s="9">
        <f t="shared" si="0"/>
        <v>0</v>
      </c>
      <c r="J9" s="11" cm="1">
        <f t="array" ref="J9">MAX(IF($N$3:$EH$3=$J$3,N9:EH9))</f>
        <v>0</v>
      </c>
      <c r="K9" s="11" cm="1">
        <f t="array" ref="K9">MAX(IF($N$3:$EH$3=$J$3,N9:EH9))</f>
        <v>0</v>
      </c>
      <c r="L9" s="9"/>
      <c r="O9" s="10"/>
      <c r="P9" s="10"/>
      <c r="Q9" s="10"/>
      <c r="R9" s="10"/>
      <c r="V9" s="10"/>
      <c r="W9" s="10"/>
      <c r="X9" s="10"/>
      <c r="Y9" s="10"/>
      <c r="AC9" s="10"/>
      <c r="AD9" s="10">
        <v>0.5</v>
      </c>
      <c r="AE9" s="10"/>
      <c r="AF9" s="10">
        <v>0.5</v>
      </c>
      <c r="AJ9" s="10"/>
      <c r="AK9" s="10">
        <v>0.5</v>
      </c>
      <c r="AL9" s="10"/>
      <c r="AM9" s="10">
        <v>0.5</v>
      </c>
      <c r="AQ9" s="10"/>
      <c r="AR9" s="10">
        <v>0.5</v>
      </c>
      <c r="AS9" s="10"/>
      <c r="AT9" s="10">
        <v>0.5</v>
      </c>
      <c r="AX9" s="10"/>
      <c r="AY9" s="10">
        <v>0.8</v>
      </c>
      <c r="AZ9" s="10"/>
      <c r="BA9" s="10">
        <v>0.8</v>
      </c>
      <c r="BE9" s="10"/>
      <c r="BF9" s="10">
        <v>0.8</v>
      </c>
      <c r="BG9" s="10"/>
      <c r="BH9" s="10">
        <v>0.8</v>
      </c>
      <c r="BL9" s="10"/>
      <c r="BM9" s="10">
        <v>0.8</v>
      </c>
      <c r="BN9" s="10"/>
      <c r="BO9" s="10">
        <v>0.8</v>
      </c>
      <c r="BS9" s="10"/>
      <c r="BT9" s="10">
        <v>0.8</v>
      </c>
      <c r="BU9" s="10"/>
      <c r="BV9" s="10">
        <v>0.8</v>
      </c>
      <c r="BZ9" s="10"/>
      <c r="CA9" s="10">
        <v>1</v>
      </c>
      <c r="CB9" s="10"/>
      <c r="CC9" s="10">
        <v>1</v>
      </c>
      <c r="CG9" s="10"/>
      <c r="CH9" s="10">
        <v>1</v>
      </c>
      <c r="CI9" s="10"/>
      <c r="CJ9" s="10">
        <v>1</v>
      </c>
      <c r="CN9" s="10"/>
      <c r="CO9" s="10">
        <v>1</v>
      </c>
      <c r="CP9" s="10"/>
      <c r="CQ9" s="10">
        <v>1</v>
      </c>
      <c r="CU9" s="10"/>
      <c r="CV9" s="10"/>
      <c r="CW9" s="10"/>
      <c r="CX9" s="10"/>
      <c r="DB9" s="10"/>
      <c r="DC9" s="10"/>
      <c r="DD9" s="10"/>
      <c r="DE9" s="10"/>
      <c r="DI9" s="10"/>
      <c r="DJ9" s="10"/>
      <c r="DK9" s="10"/>
      <c r="DL9" s="10"/>
      <c r="DP9" s="10"/>
      <c r="DQ9" s="23"/>
      <c r="DR9" s="10"/>
      <c r="DS9" s="10"/>
      <c r="DW9" s="25"/>
      <c r="DX9" s="25"/>
      <c r="DY9" s="25"/>
      <c r="DZ9" s="25"/>
      <c r="EA9" s="16"/>
      <c r="ED9" s="10"/>
      <c r="EE9" s="10"/>
      <c r="EF9" s="10"/>
      <c r="EG9" s="10"/>
      <c r="EK9" s="10"/>
      <c r="EL9" s="10"/>
      <c r="EM9" s="10"/>
      <c r="EN9" s="10"/>
      <c r="ER9" s="10"/>
      <c r="ES9" s="10"/>
      <c r="ET9" s="10"/>
      <c r="EU9" s="10"/>
      <c r="EY9" s="10"/>
      <c r="EZ9" s="10"/>
      <c r="FA9" s="10"/>
      <c r="FB9" s="10"/>
      <c r="FF9" s="10"/>
      <c r="FG9" s="10"/>
      <c r="FH9" s="10"/>
      <c r="FI9" s="10"/>
    </row>
    <row r="10" spans="2:166" outlineLevel="1">
      <c r="B10" t="s">
        <v>28</v>
      </c>
      <c r="E10" s="9"/>
      <c r="F10" t="s">
        <v>114</v>
      </c>
      <c r="G10" s="10"/>
      <c r="I10" s="9">
        <f t="shared" si="0"/>
        <v>0</v>
      </c>
      <c r="J10" s="11" cm="1">
        <f t="array" ref="J10">MAX(IF($N$3:$EH$3=$J$3,N10:EH10))</f>
        <v>0</v>
      </c>
      <c r="K10" s="11" cm="1">
        <f t="array" ref="K10">MAX(IF($N$3:$EH$3=$J$3,N10:EH10))</f>
        <v>0</v>
      </c>
      <c r="L10" s="9"/>
      <c r="O10" s="10"/>
      <c r="P10" s="10"/>
      <c r="Q10" s="10"/>
      <c r="R10" s="10"/>
      <c r="V10" s="10"/>
      <c r="W10" s="10"/>
      <c r="X10" s="10"/>
      <c r="Y10" s="10"/>
      <c r="AC10" s="10"/>
      <c r="AD10" s="10">
        <v>0.5</v>
      </c>
      <c r="AE10" s="10"/>
      <c r="AF10" s="10">
        <v>0.5</v>
      </c>
      <c r="AJ10" s="10"/>
      <c r="AK10" s="10">
        <v>0.5</v>
      </c>
      <c r="AL10" s="10"/>
      <c r="AM10" s="10">
        <v>0.5</v>
      </c>
      <c r="AQ10" s="10"/>
      <c r="AR10" s="10">
        <v>0.5</v>
      </c>
      <c r="AS10" s="10"/>
      <c r="AT10" s="10">
        <v>0.5</v>
      </c>
      <c r="AX10" s="10"/>
      <c r="AY10" s="10">
        <v>0.8</v>
      </c>
      <c r="AZ10" s="10"/>
      <c r="BA10" s="10">
        <v>0.8</v>
      </c>
      <c r="BE10" s="10"/>
      <c r="BF10" s="10">
        <v>0.8</v>
      </c>
      <c r="BG10" s="10"/>
      <c r="BH10" s="10">
        <v>0.8</v>
      </c>
      <c r="BL10" s="10"/>
      <c r="BM10" s="10">
        <v>0.8</v>
      </c>
      <c r="BN10" s="10"/>
      <c r="BO10" s="10">
        <v>0.8</v>
      </c>
      <c r="BS10" s="10"/>
      <c r="BT10" s="10">
        <v>0.8</v>
      </c>
      <c r="BU10" s="10"/>
      <c r="BV10" s="10">
        <v>0.8</v>
      </c>
      <c r="BZ10" s="10"/>
      <c r="CA10" s="10">
        <v>0.8</v>
      </c>
      <c r="CB10" s="10"/>
      <c r="CC10" s="10">
        <v>0.8</v>
      </c>
      <c r="CG10" s="10"/>
      <c r="CH10" s="10">
        <v>1</v>
      </c>
      <c r="CI10" s="10"/>
      <c r="CJ10" s="10">
        <v>1</v>
      </c>
      <c r="CN10" s="10"/>
      <c r="CO10" s="10">
        <v>1</v>
      </c>
      <c r="CP10" s="10"/>
      <c r="CQ10" s="10">
        <v>1</v>
      </c>
      <c r="CU10" s="10"/>
      <c r="CV10" s="10"/>
      <c r="CW10" s="10"/>
      <c r="CX10" s="10"/>
      <c r="DB10" s="10"/>
      <c r="DC10" s="10"/>
      <c r="DD10" s="10"/>
      <c r="DE10" s="10"/>
      <c r="DI10" s="10"/>
      <c r="DJ10" s="10"/>
      <c r="DK10" s="10"/>
      <c r="DL10" s="10"/>
      <c r="DP10" s="10"/>
      <c r="DQ10" s="23"/>
      <c r="DR10" s="10"/>
      <c r="DS10" s="10"/>
      <c r="DW10" s="25"/>
      <c r="DX10" s="25"/>
      <c r="DY10" s="25"/>
      <c r="DZ10" s="25"/>
      <c r="EA10" s="16"/>
      <c r="ED10" s="10"/>
      <c r="EE10" s="10"/>
      <c r="EF10" s="10"/>
      <c r="EG10" s="10"/>
      <c r="EK10" s="10"/>
      <c r="EL10" s="10"/>
      <c r="EM10" s="10"/>
      <c r="EN10" s="10"/>
      <c r="ER10" s="10"/>
      <c r="ES10" s="10"/>
      <c r="ET10" s="10"/>
      <c r="EU10" s="10"/>
      <c r="EY10" s="10"/>
      <c r="EZ10" s="10"/>
      <c r="FA10" s="10"/>
      <c r="FB10" s="10"/>
      <c r="FF10" s="10"/>
      <c r="FG10" s="10"/>
      <c r="FH10" s="10"/>
      <c r="FI10" s="10"/>
    </row>
    <row r="11" spans="2:166" outlineLevel="1">
      <c r="B11" t="s">
        <v>28</v>
      </c>
      <c r="E11" s="9"/>
      <c r="F11" t="s">
        <v>115</v>
      </c>
      <c r="G11" s="10"/>
      <c r="I11" s="9">
        <f t="shared" si="0"/>
        <v>0</v>
      </c>
      <c r="J11" s="11" cm="1">
        <f t="array" ref="J11">MAX(IF($N$3:$EH$3=$J$3,N11:EH11))</f>
        <v>0</v>
      </c>
      <c r="K11" s="11" cm="1">
        <f t="array" ref="K11">MAX(IF($N$3:$EH$3=$J$3,N11:EH11))</f>
        <v>0</v>
      </c>
      <c r="L11" s="9"/>
      <c r="O11" s="10"/>
      <c r="P11" s="10"/>
      <c r="Q11" s="10"/>
      <c r="R11" s="10"/>
      <c r="V11" s="10"/>
      <c r="W11" s="10"/>
      <c r="X11" s="10"/>
      <c r="Y11" s="10"/>
      <c r="AC11" s="10"/>
      <c r="AD11" s="10"/>
      <c r="AE11" s="10"/>
      <c r="AF11" s="10"/>
      <c r="AJ11" s="10"/>
      <c r="AK11" s="10">
        <v>0.5</v>
      </c>
      <c r="AL11" s="10"/>
      <c r="AM11" s="10">
        <v>0.5</v>
      </c>
      <c r="AQ11" s="10"/>
      <c r="AR11" s="10">
        <v>0.5</v>
      </c>
      <c r="AS11" s="10"/>
      <c r="AT11" s="10">
        <v>0.5</v>
      </c>
      <c r="AX11" s="10"/>
      <c r="AY11" s="10">
        <v>0.5</v>
      </c>
      <c r="AZ11" s="10"/>
      <c r="BA11" s="10">
        <v>0.5</v>
      </c>
      <c r="BE11" s="10"/>
      <c r="BF11" s="10">
        <v>0.8</v>
      </c>
      <c r="BG11" s="10"/>
      <c r="BH11" s="10">
        <v>0.8</v>
      </c>
      <c r="BL11" s="10"/>
      <c r="BM11" s="10">
        <v>0.8</v>
      </c>
      <c r="BN11" s="10"/>
      <c r="BO11" s="10">
        <v>0.8</v>
      </c>
      <c r="BS11" s="10"/>
      <c r="BT11" s="10">
        <v>0.8</v>
      </c>
      <c r="BU11" s="10"/>
      <c r="BV11" s="10">
        <v>0.8</v>
      </c>
      <c r="BZ11" s="10"/>
      <c r="CA11" s="10">
        <v>0.8</v>
      </c>
      <c r="CB11" s="10"/>
      <c r="CC11" s="10">
        <v>0.8</v>
      </c>
      <c r="CG11" s="10"/>
      <c r="CH11" s="10">
        <v>1</v>
      </c>
      <c r="CI11" s="10"/>
      <c r="CJ11" s="10">
        <v>1</v>
      </c>
      <c r="CN11" s="10"/>
      <c r="CO11" s="10">
        <v>1</v>
      </c>
      <c r="CP11" s="10"/>
      <c r="CQ11" s="10">
        <v>1</v>
      </c>
      <c r="CU11" s="10"/>
      <c r="CV11" s="10"/>
      <c r="CW11" s="10"/>
      <c r="CX11" s="10"/>
      <c r="DB11" s="10"/>
      <c r="DC11" s="10"/>
      <c r="DD11" s="10"/>
      <c r="DE11" s="10"/>
      <c r="DI11" s="10"/>
      <c r="DJ11" s="10"/>
      <c r="DK11" s="10"/>
      <c r="DL11" s="10"/>
      <c r="DP11" s="10"/>
      <c r="DQ11" s="10"/>
      <c r="DS11" s="10"/>
      <c r="DW11" s="25"/>
      <c r="DX11" s="25"/>
      <c r="DY11" s="25"/>
      <c r="DZ11" s="25"/>
      <c r="EA11" s="16"/>
      <c r="ED11" s="10"/>
      <c r="EE11" s="10"/>
      <c r="EF11" s="10"/>
      <c r="EG11" s="10"/>
      <c r="EK11" s="10"/>
      <c r="EL11" s="10"/>
      <c r="EM11" s="10"/>
      <c r="EN11" s="10"/>
      <c r="ER11" s="10"/>
      <c r="ES11" s="10"/>
      <c r="ET11" s="10"/>
      <c r="EU11" s="10"/>
      <c r="EY11" s="10"/>
      <c r="EZ11" s="10"/>
      <c r="FA11" s="10"/>
      <c r="FB11" s="10"/>
      <c r="FF11" s="10"/>
      <c r="FG11" s="10"/>
      <c r="FH11" s="10"/>
      <c r="FI11" s="10"/>
    </row>
    <row r="12" spans="2:166" outlineLevel="1">
      <c r="B12" t="s">
        <v>28</v>
      </c>
      <c r="E12" s="9"/>
      <c r="F12" t="s">
        <v>116</v>
      </c>
      <c r="G12" s="10"/>
      <c r="I12" s="9">
        <f t="shared" si="0"/>
        <v>0</v>
      </c>
      <c r="J12" s="11" cm="1">
        <f t="array" ref="J12">MAX(IF($N$3:$EH$3=$J$3,N12:EH12))</f>
        <v>0</v>
      </c>
      <c r="K12" s="11" cm="1">
        <f t="array" ref="K12">MAX(IF($N$3:$EH$3=$J$3,N12:EH12))</f>
        <v>0</v>
      </c>
      <c r="L12" s="9"/>
      <c r="O12" s="10"/>
      <c r="P12" s="10"/>
      <c r="Q12" s="10"/>
      <c r="R12" s="10"/>
      <c r="V12" s="10"/>
      <c r="W12" s="10"/>
      <c r="X12" s="10"/>
      <c r="Y12" s="10"/>
      <c r="AC12" s="10"/>
      <c r="AD12" s="10"/>
      <c r="AE12" s="10"/>
      <c r="AF12" s="10"/>
      <c r="AJ12" s="10"/>
      <c r="AK12" s="10"/>
      <c r="AL12" s="10"/>
      <c r="AM12" s="10"/>
      <c r="AQ12" s="10"/>
      <c r="AR12" s="10">
        <v>0.5</v>
      </c>
      <c r="AS12" s="10"/>
      <c r="AT12" s="10">
        <v>0.5</v>
      </c>
      <c r="AX12" s="10"/>
      <c r="AY12" s="10">
        <v>0.5</v>
      </c>
      <c r="AZ12" s="10"/>
      <c r="BA12" s="10">
        <v>0.5</v>
      </c>
      <c r="BE12" s="10"/>
      <c r="BF12" s="10">
        <v>0.5</v>
      </c>
      <c r="BG12" s="10"/>
      <c r="BH12" s="10">
        <v>0.5</v>
      </c>
      <c r="BL12" s="10"/>
      <c r="BM12" s="10">
        <v>0.8</v>
      </c>
      <c r="BN12" s="10"/>
      <c r="BO12" s="10">
        <v>0.8</v>
      </c>
      <c r="BS12" s="10"/>
      <c r="BT12" s="10">
        <v>0.8</v>
      </c>
      <c r="BU12" s="10"/>
      <c r="BV12" s="10">
        <v>0.8</v>
      </c>
      <c r="BZ12" s="10"/>
      <c r="CA12" s="10">
        <v>0.8</v>
      </c>
      <c r="CB12" s="10"/>
      <c r="CC12" s="10">
        <v>0.8</v>
      </c>
      <c r="CG12" s="10"/>
      <c r="CH12" s="10">
        <v>1</v>
      </c>
      <c r="CI12" s="10"/>
      <c r="CJ12" s="10">
        <v>1</v>
      </c>
      <c r="CN12" s="10"/>
      <c r="CO12" s="10">
        <v>1</v>
      </c>
      <c r="CP12" s="10"/>
      <c r="CQ12" s="10">
        <v>1</v>
      </c>
      <c r="CU12" s="10"/>
      <c r="CV12" s="10"/>
      <c r="CW12" s="10"/>
      <c r="CX12" s="10"/>
      <c r="DB12" s="10"/>
      <c r="DC12" s="10"/>
      <c r="DD12" s="10"/>
      <c r="DE12" s="10"/>
      <c r="DI12" s="10"/>
      <c r="DJ12" s="10"/>
      <c r="DK12" s="10"/>
      <c r="DL12" s="10"/>
      <c r="DP12" s="10"/>
      <c r="DQ12" s="10"/>
      <c r="DR12" s="10"/>
      <c r="DS12" s="10"/>
      <c r="DW12" s="25"/>
      <c r="DX12" s="25"/>
      <c r="DY12" s="25"/>
      <c r="DZ12" s="25"/>
      <c r="EA12" s="16"/>
      <c r="ED12" s="10"/>
      <c r="EE12" s="10"/>
      <c r="EF12" s="10"/>
      <c r="EG12" s="10"/>
      <c r="EK12" s="10"/>
      <c r="EL12" s="10"/>
      <c r="EM12" s="10"/>
      <c r="EN12" s="10"/>
      <c r="ER12" s="10"/>
      <c r="ES12" s="10"/>
      <c r="ET12" s="10"/>
      <c r="EU12" s="10"/>
      <c r="EY12" s="10"/>
      <c r="EZ12" s="10"/>
      <c r="FA12" s="10"/>
      <c r="FB12" s="10"/>
      <c r="FF12" s="10"/>
      <c r="FG12" s="10"/>
      <c r="FH12" s="10"/>
      <c r="FI12" s="10"/>
    </row>
    <row r="13" spans="2:166" outlineLevel="1">
      <c r="B13" t="s">
        <v>28</v>
      </c>
      <c r="E13" s="9"/>
      <c r="F13" t="s">
        <v>117</v>
      </c>
      <c r="G13" s="10"/>
      <c r="I13" s="9">
        <f t="shared" si="0"/>
        <v>0</v>
      </c>
      <c r="J13" s="11" cm="1">
        <f t="array" ref="J13">MAX(IF($N$3:$EH$3=$J$3,N13:EH13))</f>
        <v>0</v>
      </c>
      <c r="K13" s="11" cm="1">
        <f t="array" ref="K13">MAX(IF($N$3:$EH$3=$J$3,N13:EH13))</f>
        <v>0</v>
      </c>
      <c r="L13" s="9"/>
      <c r="O13" s="10"/>
      <c r="P13" s="10"/>
      <c r="Q13" s="10"/>
      <c r="R13" s="10"/>
      <c r="V13" s="10"/>
      <c r="W13" s="10"/>
      <c r="X13" s="10"/>
      <c r="Y13" s="10"/>
      <c r="AC13" s="10"/>
      <c r="AD13" s="10"/>
      <c r="AE13" s="10"/>
      <c r="AF13" s="10"/>
      <c r="AJ13" s="10"/>
      <c r="AK13" s="10"/>
      <c r="AL13" s="10"/>
      <c r="AM13" s="10"/>
      <c r="AQ13" s="10"/>
      <c r="AR13" s="10">
        <v>0.5</v>
      </c>
      <c r="AS13" s="10"/>
      <c r="AT13" s="10">
        <v>0.5</v>
      </c>
      <c r="AX13" s="10"/>
      <c r="AY13" s="10">
        <v>0.5</v>
      </c>
      <c r="AZ13" s="10"/>
      <c r="BA13" s="10">
        <v>0.5</v>
      </c>
      <c r="BE13" s="10"/>
      <c r="BF13" s="10">
        <v>0.5</v>
      </c>
      <c r="BG13" s="10"/>
      <c r="BH13" s="10">
        <v>0.5</v>
      </c>
      <c r="BL13" s="10"/>
      <c r="BM13" s="10">
        <v>0.5</v>
      </c>
      <c r="BN13" s="10"/>
      <c r="BO13" s="10">
        <v>0.5</v>
      </c>
      <c r="BS13" s="10"/>
      <c r="BT13" s="10">
        <v>0.8</v>
      </c>
      <c r="BU13" s="10"/>
      <c r="BV13" s="10">
        <v>0.8</v>
      </c>
      <c r="BZ13" s="10"/>
      <c r="CA13" s="10">
        <v>0.8</v>
      </c>
      <c r="CB13" s="10"/>
      <c r="CC13" s="10">
        <v>0.8</v>
      </c>
      <c r="CG13" s="10"/>
      <c r="CH13" s="10">
        <v>0.8</v>
      </c>
      <c r="CI13" s="10"/>
      <c r="CJ13" s="10">
        <v>0.8</v>
      </c>
      <c r="CN13" s="10"/>
      <c r="CO13" s="10">
        <v>1</v>
      </c>
      <c r="CP13" s="10"/>
      <c r="CQ13" s="10">
        <v>1</v>
      </c>
      <c r="CU13" s="10"/>
      <c r="CV13" s="10"/>
      <c r="CW13" s="10"/>
      <c r="CX13" s="10"/>
      <c r="DB13" s="10"/>
      <c r="DC13" s="10"/>
      <c r="DD13" s="10"/>
      <c r="DE13" s="10"/>
      <c r="DI13" s="10"/>
      <c r="DJ13" s="10"/>
      <c r="DK13" s="10"/>
      <c r="DL13" s="10"/>
      <c r="DP13" s="10"/>
      <c r="DQ13" s="10"/>
      <c r="DR13" s="10"/>
      <c r="DS13" s="10"/>
      <c r="DW13" s="25"/>
      <c r="DX13" s="25"/>
      <c r="DY13" s="25"/>
      <c r="DZ13" s="25"/>
      <c r="EA13" s="16"/>
      <c r="ED13" s="10"/>
      <c r="EE13" s="10"/>
      <c r="EF13" s="10"/>
      <c r="EG13" s="10"/>
      <c r="EK13" s="10"/>
      <c r="EL13" s="10"/>
      <c r="EM13" s="10"/>
      <c r="EN13" s="10"/>
      <c r="ER13" s="10"/>
      <c r="ES13" s="10"/>
      <c r="ET13" s="10"/>
      <c r="EU13" s="10"/>
      <c r="EY13" s="10"/>
      <c r="EZ13" s="10"/>
      <c r="FA13" s="10"/>
      <c r="FB13" s="10"/>
      <c r="FF13" s="10"/>
      <c r="FG13" s="10"/>
      <c r="FH13" s="10"/>
      <c r="FI13" s="10"/>
    </row>
    <row r="14" spans="2:166" outlineLevel="1">
      <c r="B14" t="s">
        <v>28</v>
      </c>
      <c r="E14" s="9"/>
      <c r="F14" t="s">
        <v>118</v>
      </c>
      <c r="G14" s="10"/>
      <c r="I14" s="9">
        <f t="shared" si="0"/>
        <v>0</v>
      </c>
      <c r="J14" s="11" cm="1">
        <f t="array" ref="J14">MAX(IF($N$3:$EH$3=$J$3,N14:EH14))</f>
        <v>0</v>
      </c>
      <c r="K14" s="11" cm="1">
        <f t="array" ref="K14">MAX(IF($N$3:$EH$3=$J$3,N14:EH14))</f>
        <v>0</v>
      </c>
      <c r="L14" s="9"/>
      <c r="O14" s="10"/>
      <c r="P14" s="10"/>
      <c r="Q14" s="10"/>
      <c r="R14" s="10"/>
      <c r="V14" s="10"/>
      <c r="W14" s="10"/>
      <c r="X14" s="10"/>
      <c r="Y14" s="10"/>
      <c r="AC14" s="10"/>
      <c r="AD14" s="10"/>
      <c r="AE14" s="10"/>
      <c r="AF14" s="10"/>
      <c r="AJ14" s="10"/>
      <c r="AK14" s="10"/>
      <c r="AL14" s="10"/>
      <c r="AM14" s="10"/>
      <c r="AQ14" s="10"/>
      <c r="AR14" s="10"/>
      <c r="AS14" s="10"/>
      <c r="AT14" s="10"/>
      <c r="AX14" s="10"/>
      <c r="AY14" s="10">
        <v>0.5</v>
      </c>
      <c r="AZ14" s="10"/>
      <c r="BA14" s="10">
        <v>0.5</v>
      </c>
      <c r="BE14" s="10"/>
      <c r="BF14" s="10">
        <v>0.5</v>
      </c>
      <c r="BG14" s="10"/>
      <c r="BH14" s="10">
        <v>0.5</v>
      </c>
      <c r="BL14" s="10"/>
      <c r="BM14" s="10">
        <v>0.5</v>
      </c>
      <c r="BN14" s="10"/>
      <c r="BO14" s="10">
        <v>0.5</v>
      </c>
      <c r="BS14" s="10"/>
      <c r="BT14" s="10">
        <v>0.5</v>
      </c>
      <c r="BU14" s="10"/>
      <c r="BV14" s="10">
        <v>0.5</v>
      </c>
      <c r="BZ14" s="10"/>
      <c r="CA14" s="10">
        <v>0.8</v>
      </c>
      <c r="CB14" s="10"/>
      <c r="CC14" s="10">
        <v>0.8</v>
      </c>
      <c r="CG14" s="10"/>
      <c r="CH14" s="10">
        <v>0.8</v>
      </c>
      <c r="CI14" s="10"/>
      <c r="CJ14" s="10">
        <v>0.8</v>
      </c>
      <c r="CN14" s="10"/>
      <c r="CO14" s="10">
        <v>1</v>
      </c>
      <c r="CP14" s="10"/>
      <c r="CQ14" s="10">
        <v>1</v>
      </c>
      <c r="CU14" s="10"/>
      <c r="CV14" s="10"/>
      <c r="CW14" s="10"/>
      <c r="CX14" s="10"/>
      <c r="DB14" s="10"/>
      <c r="DC14" s="10"/>
      <c r="DD14" s="10"/>
      <c r="DE14" s="10"/>
      <c r="DI14" s="10"/>
      <c r="DJ14" s="10"/>
      <c r="DK14" s="10"/>
      <c r="DL14" s="10"/>
      <c r="DP14" s="10"/>
      <c r="DQ14" s="10"/>
      <c r="DR14" s="10"/>
      <c r="DS14" s="10"/>
      <c r="DW14" s="25"/>
      <c r="DX14" s="25"/>
      <c r="DY14" s="25"/>
      <c r="DZ14" s="25"/>
      <c r="EA14" s="16"/>
      <c r="ED14" s="10"/>
      <c r="EE14" s="10"/>
      <c r="EF14" s="10"/>
      <c r="EG14" s="10"/>
      <c r="EK14" s="10"/>
      <c r="EL14" s="10"/>
      <c r="EM14" s="10"/>
      <c r="EN14" s="10"/>
      <c r="ER14" s="10"/>
      <c r="ES14" s="10"/>
      <c r="ET14" s="10"/>
      <c r="EU14" s="10"/>
      <c r="EY14" s="10"/>
      <c r="EZ14" s="10"/>
      <c r="FA14" s="10"/>
      <c r="FB14" s="10"/>
      <c r="FF14" s="10"/>
      <c r="FG14" s="10"/>
      <c r="FH14" s="10"/>
      <c r="FI14" s="10"/>
    </row>
    <row r="15" spans="2:166" outlineLevel="1">
      <c r="B15" t="s">
        <v>28</v>
      </c>
      <c r="E15" s="9"/>
      <c r="F15" t="s">
        <v>119</v>
      </c>
      <c r="G15" s="10"/>
      <c r="I15" s="9"/>
      <c r="J15" s="11" cm="1">
        <f t="array" ref="J15">MAX(IF($N$3:$EH$3=$J$3,N15:EH15))</f>
        <v>0</v>
      </c>
      <c r="K15" s="11" cm="1">
        <f t="array" ref="K15">MAX(IF($N$3:$EH$3=$J$3,N15:EH15))</f>
        <v>0</v>
      </c>
      <c r="L15" s="9"/>
      <c r="O15" s="10"/>
      <c r="P15" s="10"/>
      <c r="Q15" s="10"/>
      <c r="R15" s="10"/>
      <c r="V15" s="10"/>
      <c r="W15" s="10"/>
      <c r="X15" s="10"/>
      <c r="Y15" s="10"/>
      <c r="AC15" s="10"/>
      <c r="AD15" s="10"/>
      <c r="AE15" s="10"/>
      <c r="AF15" s="10"/>
      <c r="AJ15" s="10"/>
      <c r="AK15" s="10"/>
      <c r="AL15" s="10"/>
      <c r="AM15" s="10"/>
      <c r="AQ15" s="10"/>
      <c r="AR15" s="10"/>
      <c r="AS15" s="10"/>
      <c r="AT15" s="10"/>
      <c r="AX15" s="10"/>
      <c r="AY15" s="10"/>
      <c r="AZ15" s="10"/>
      <c r="BA15" s="10"/>
      <c r="BE15" s="10"/>
      <c r="BF15" s="10">
        <v>0.5</v>
      </c>
      <c r="BG15" s="10"/>
      <c r="BH15" s="10">
        <v>0.5</v>
      </c>
      <c r="BL15" s="10"/>
      <c r="BM15" s="10">
        <v>0.5</v>
      </c>
      <c r="BN15" s="10"/>
      <c r="BO15" s="10">
        <v>0.5</v>
      </c>
      <c r="BS15" s="10"/>
      <c r="BT15" s="10">
        <v>0.5</v>
      </c>
      <c r="BU15" s="10"/>
      <c r="BV15" s="10">
        <v>0.5</v>
      </c>
      <c r="BZ15" s="10"/>
      <c r="CA15" s="10">
        <v>0.8</v>
      </c>
      <c r="CB15" s="10"/>
      <c r="CC15" s="10">
        <v>0.8</v>
      </c>
      <c r="CG15" s="10"/>
      <c r="CH15" s="10">
        <v>0.8</v>
      </c>
      <c r="CI15" s="10"/>
      <c r="CJ15" s="10">
        <v>0.8</v>
      </c>
      <c r="CN15" s="10"/>
      <c r="CO15" s="10">
        <v>1</v>
      </c>
      <c r="CP15" s="10"/>
      <c r="CQ15" s="10">
        <v>1</v>
      </c>
      <c r="CU15" s="10"/>
      <c r="CV15" s="10"/>
      <c r="CW15" s="10"/>
      <c r="CX15" s="10"/>
      <c r="DB15" s="10"/>
      <c r="DC15" s="10"/>
      <c r="DD15" s="10"/>
      <c r="DE15" s="10"/>
      <c r="DI15" s="10"/>
      <c r="DJ15" s="10"/>
      <c r="DK15" s="10"/>
      <c r="DL15" s="10"/>
      <c r="DP15" s="23"/>
      <c r="DQ15" s="23"/>
      <c r="DR15" s="23"/>
      <c r="DS15" s="23"/>
      <c r="DT15" s="24"/>
      <c r="DW15" s="25"/>
      <c r="DX15" s="25"/>
      <c r="DY15" s="25"/>
      <c r="DZ15" s="25"/>
      <c r="EA15" s="16"/>
      <c r="ED15" s="10"/>
      <c r="EE15" s="10"/>
      <c r="EF15" s="10"/>
      <c r="EG15" s="10"/>
      <c r="EK15" s="10"/>
      <c r="EL15" s="10"/>
      <c r="EM15" s="10"/>
      <c r="EN15" s="10"/>
      <c r="ER15" s="10"/>
      <c r="ES15" s="10"/>
      <c r="ET15" s="10"/>
      <c r="EU15" s="10"/>
      <c r="EY15" s="10"/>
      <c r="EZ15" s="10"/>
      <c r="FA15" s="10"/>
      <c r="FB15" s="10"/>
      <c r="FF15" s="10"/>
      <c r="FG15" s="10"/>
      <c r="FH15" s="10"/>
      <c r="FI15" s="10"/>
    </row>
    <row r="16" spans="2:166">
      <c r="K16" s="11"/>
      <c r="L16" s="9" t="s">
        <v>153</v>
      </c>
      <c r="CA16" s="10"/>
      <c r="CC16" s="10"/>
      <c r="DP16" s="24"/>
      <c r="DQ16" s="24"/>
      <c r="DR16" s="24"/>
      <c r="DS16" s="24"/>
      <c r="DT16" s="24"/>
    </row>
    <row r="17" spans="2:165">
      <c r="B17" t="s">
        <v>27</v>
      </c>
      <c r="C17" t="s">
        <v>104</v>
      </c>
      <c r="D17" s="19">
        <v>45338</v>
      </c>
      <c r="E17" s="9">
        <v>10</v>
      </c>
      <c r="G17" s="10">
        <f>+SUM(G18:G29)</f>
        <v>0</v>
      </c>
      <c r="I17" s="12">
        <f>+SUM(I18:I29)</f>
        <v>0</v>
      </c>
      <c r="J17" s="11" cm="1">
        <f t="array" ref="J17">MAX(IF($N$3:$EH$3=$J$3,N17:EH17))</f>
        <v>0</v>
      </c>
      <c r="K17" s="11" cm="1">
        <f t="array" ref="K17">MAX(IF($N$3:$EH$3=$J$3,N17:EH17))</f>
        <v>0</v>
      </c>
      <c r="L17" s="9"/>
      <c r="N17" s="12"/>
      <c r="U17" s="12"/>
      <c r="AB17" s="12"/>
      <c r="AI17" s="12"/>
      <c r="AP17" s="12"/>
      <c r="DP17" s="21"/>
      <c r="DQ17" s="21"/>
      <c r="DR17" s="21"/>
      <c r="DS17" s="21"/>
      <c r="DT17" s="16" t="s">
        <v>149</v>
      </c>
    </row>
    <row r="18" spans="2:165" outlineLevel="1">
      <c r="B18" t="s">
        <v>28</v>
      </c>
      <c r="E18" s="9"/>
      <c r="F18" t="s">
        <v>120</v>
      </c>
      <c r="G18" s="10"/>
      <c r="I18" s="9">
        <f t="shared" ref="I18:I29" si="1">+SUMIF($N$3:$ZZ$3,I$3,$N18:$ZZ18)</f>
        <v>0</v>
      </c>
      <c r="J18" s="11" cm="1">
        <f t="array" ref="J18">MAX(IF($N$3:$EH$3=$J$3,N18:EH18))</f>
        <v>0</v>
      </c>
      <c r="K18" s="11" cm="1">
        <f t="array" ref="K18">MAX(IF($N$3:$EH$3=$J$3,N18:EH18))</f>
        <v>0</v>
      </c>
      <c r="L18" s="9"/>
      <c r="O18" s="10"/>
      <c r="P18" s="10">
        <v>0.5</v>
      </c>
      <c r="Q18" s="10"/>
      <c r="R18" s="10">
        <v>0.5</v>
      </c>
      <c r="V18" s="10"/>
      <c r="W18" s="10">
        <v>0.5</v>
      </c>
      <c r="X18" s="10"/>
      <c r="Y18" s="10">
        <v>0.5</v>
      </c>
      <c r="AC18" s="10"/>
      <c r="AD18" s="10">
        <v>0.8</v>
      </c>
      <c r="AE18" s="10"/>
      <c r="AF18" s="10">
        <v>0.8</v>
      </c>
      <c r="AJ18" s="10"/>
      <c r="AK18" s="10">
        <v>0.8</v>
      </c>
      <c r="AL18" s="10"/>
      <c r="AM18" s="10">
        <v>0.8</v>
      </c>
      <c r="AQ18" s="10"/>
      <c r="AR18" s="10">
        <v>0.8</v>
      </c>
      <c r="AS18" s="10"/>
      <c r="AT18" s="10">
        <v>0.8</v>
      </c>
      <c r="AX18" s="10"/>
      <c r="AY18" s="10">
        <v>0.8</v>
      </c>
      <c r="AZ18" s="10"/>
      <c r="BA18" s="10">
        <v>0.8</v>
      </c>
      <c r="BE18" s="10"/>
      <c r="BF18" s="10">
        <v>1</v>
      </c>
      <c r="BG18" s="10"/>
      <c r="BH18" s="10">
        <v>1</v>
      </c>
      <c r="BL18" s="10"/>
      <c r="BM18" s="10">
        <v>1</v>
      </c>
      <c r="BN18" s="10"/>
      <c r="BO18" s="10">
        <v>1</v>
      </c>
      <c r="BS18" s="10"/>
      <c r="BT18" s="10">
        <v>1</v>
      </c>
      <c r="BU18" s="10"/>
      <c r="BV18" s="10">
        <v>1</v>
      </c>
      <c r="BZ18" s="10"/>
      <c r="CA18" s="10">
        <v>1</v>
      </c>
      <c r="CB18" s="10"/>
      <c r="CC18" s="10">
        <v>1</v>
      </c>
      <c r="CG18" s="10"/>
      <c r="CH18" s="10">
        <v>1</v>
      </c>
      <c r="CI18" s="10"/>
      <c r="CJ18" s="10">
        <v>1</v>
      </c>
      <c r="CN18" s="10"/>
      <c r="CO18" s="10">
        <v>1</v>
      </c>
      <c r="CP18" s="10"/>
      <c r="CQ18" s="10">
        <v>1</v>
      </c>
      <c r="CU18" s="10"/>
      <c r="CV18" s="10"/>
      <c r="CW18" s="10"/>
      <c r="CX18" s="10"/>
      <c r="DB18" s="10"/>
      <c r="DC18" s="10"/>
      <c r="DD18" s="10"/>
      <c r="DE18" s="10"/>
      <c r="DI18" s="10"/>
      <c r="DJ18" s="10"/>
      <c r="DK18" s="10"/>
      <c r="DL18" s="10"/>
      <c r="DP18" s="21"/>
      <c r="DQ18" s="21"/>
      <c r="DR18" s="21"/>
      <c r="DS18" s="21"/>
      <c r="DT18" s="16"/>
      <c r="DW18" s="10"/>
      <c r="DX18" s="10"/>
      <c r="DY18" s="10"/>
      <c r="DZ18" s="10"/>
      <c r="ED18" s="10"/>
      <c r="EE18" s="10"/>
      <c r="EF18" s="10"/>
      <c r="EG18" s="10"/>
      <c r="EK18" s="10"/>
      <c r="EL18" s="10"/>
      <c r="EM18" s="10"/>
      <c r="EN18" s="10"/>
      <c r="ER18" s="10"/>
      <c r="ES18" s="10"/>
      <c r="ET18" s="10"/>
      <c r="EU18" s="10"/>
      <c r="EY18" s="10"/>
      <c r="EZ18" s="10"/>
      <c r="FA18" s="10"/>
      <c r="FB18" s="10"/>
      <c r="FF18" s="10"/>
      <c r="FG18" s="10"/>
      <c r="FH18" s="10"/>
      <c r="FI18" s="10"/>
    </row>
    <row r="19" spans="2:165" outlineLevel="1">
      <c r="B19" t="s">
        <v>28</v>
      </c>
      <c r="E19" s="9"/>
      <c r="F19" t="s">
        <v>121</v>
      </c>
      <c r="G19" s="10"/>
      <c r="I19" s="9">
        <f t="shared" si="1"/>
        <v>0</v>
      </c>
      <c r="J19" s="11" cm="1">
        <f t="array" ref="J19">MAX(IF($N$3:$EH$3=$J$3,N19:EH19))</f>
        <v>0</v>
      </c>
      <c r="K19" s="11" cm="1">
        <f t="array" ref="K19">MAX(IF($N$3:$EH$3=$J$3,N19:EH19))</f>
        <v>0</v>
      </c>
      <c r="L19" s="9"/>
      <c r="O19" s="10"/>
      <c r="P19" s="10">
        <v>0.5</v>
      </c>
      <c r="Q19" s="10"/>
      <c r="R19" s="10">
        <v>0.5</v>
      </c>
      <c r="V19" s="10"/>
      <c r="W19" s="10">
        <v>0.5</v>
      </c>
      <c r="X19" s="10"/>
      <c r="Y19" s="10">
        <v>0.5</v>
      </c>
      <c r="AC19" s="10"/>
      <c r="AD19" s="10">
        <v>0.5</v>
      </c>
      <c r="AE19" s="10"/>
      <c r="AF19" s="10">
        <v>0.5</v>
      </c>
      <c r="AJ19" s="10"/>
      <c r="AK19" s="10">
        <v>0.8</v>
      </c>
      <c r="AL19" s="10"/>
      <c r="AM19" s="10">
        <v>0.8</v>
      </c>
      <c r="AQ19" s="10"/>
      <c r="AR19" s="10">
        <v>0.8</v>
      </c>
      <c r="AS19" s="10"/>
      <c r="AT19" s="10">
        <v>0.8</v>
      </c>
      <c r="AX19" s="10"/>
      <c r="AY19" s="10">
        <v>0.8</v>
      </c>
      <c r="AZ19" s="10"/>
      <c r="BA19" s="10">
        <v>0.8</v>
      </c>
      <c r="BE19" s="10"/>
      <c r="BF19" s="10">
        <v>1</v>
      </c>
      <c r="BG19" s="10"/>
      <c r="BH19" s="10">
        <v>1</v>
      </c>
      <c r="BL19" s="10"/>
      <c r="BM19" s="10">
        <v>1</v>
      </c>
      <c r="BN19" s="10"/>
      <c r="BO19" s="10">
        <v>1</v>
      </c>
      <c r="BS19" s="10"/>
      <c r="BT19" s="10">
        <v>1</v>
      </c>
      <c r="BU19" s="10"/>
      <c r="BV19" s="10">
        <v>1</v>
      </c>
      <c r="BZ19" s="10"/>
      <c r="CA19" s="10">
        <v>1</v>
      </c>
      <c r="CB19" s="10"/>
      <c r="CC19" s="10">
        <v>1</v>
      </c>
      <c r="CG19" s="10"/>
      <c r="CH19" s="10">
        <v>1</v>
      </c>
      <c r="CI19" s="10"/>
      <c r="CJ19" s="10">
        <v>1</v>
      </c>
      <c r="CN19" s="10"/>
      <c r="CO19" s="10">
        <v>1</v>
      </c>
      <c r="CP19" s="10"/>
      <c r="CQ19" s="10">
        <v>1</v>
      </c>
      <c r="CU19" s="10"/>
      <c r="CV19" s="10"/>
      <c r="CW19" s="10"/>
      <c r="CX19" s="10"/>
      <c r="DB19" s="10"/>
      <c r="DC19" s="10"/>
      <c r="DD19" s="10"/>
      <c r="DE19" s="10"/>
      <c r="DI19" s="10"/>
      <c r="DJ19" s="10"/>
      <c r="DK19" s="10"/>
      <c r="DL19" s="10"/>
      <c r="DP19" s="21"/>
      <c r="DQ19" s="21"/>
      <c r="DR19" s="21"/>
      <c r="DS19" s="21"/>
      <c r="DT19" s="16"/>
      <c r="DW19" s="10"/>
      <c r="DX19" s="10"/>
      <c r="DY19" s="10"/>
      <c r="DZ19" s="10"/>
      <c r="ED19" s="10"/>
      <c r="EE19" s="10"/>
      <c r="EF19" s="10"/>
      <c r="EG19" s="10"/>
      <c r="EK19" s="10"/>
      <c r="EL19" s="10"/>
      <c r="EM19" s="10"/>
      <c r="EN19" s="10"/>
      <c r="ER19" s="10"/>
      <c r="ES19" s="10"/>
      <c r="ET19" s="10"/>
      <c r="EU19" s="10"/>
      <c r="EY19" s="10"/>
      <c r="EZ19" s="10"/>
      <c r="FA19" s="10"/>
      <c r="FB19" s="10"/>
      <c r="FF19" s="10"/>
      <c r="FG19" s="10"/>
      <c r="FH19" s="10"/>
      <c r="FI19" s="10"/>
    </row>
    <row r="20" spans="2:165" outlineLevel="1">
      <c r="B20" t="s">
        <v>28</v>
      </c>
      <c r="E20" s="9"/>
      <c r="F20" t="s">
        <v>122</v>
      </c>
      <c r="G20" s="10"/>
      <c r="I20" s="9">
        <f t="shared" si="1"/>
        <v>0</v>
      </c>
      <c r="J20" s="11" cm="1">
        <f t="array" ref="J20">MAX(IF($N$3:$EH$3=$J$3,N20:EH20))</f>
        <v>0</v>
      </c>
      <c r="K20" s="11" cm="1">
        <f t="array" ref="K20">MAX(IF($N$3:$EH$3=$J$3,N20:EH20))</f>
        <v>0</v>
      </c>
      <c r="L20" s="9"/>
      <c r="O20" s="10"/>
      <c r="P20" s="10">
        <v>0.5</v>
      </c>
      <c r="Q20" s="10"/>
      <c r="R20" s="10">
        <v>0.5</v>
      </c>
      <c r="V20" s="10"/>
      <c r="W20" s="10">
        <v>0.5</v>
      </c>
      <c r="X20" s="10"/>
      <c r="Y20" s="10">
        <v>0.5</v>
      </c>
      <c r="AC20" s="10"/>
      <c r="AD20" s="10">
        <v>0.5</v>
      </c>
      <c r="AE20" s="10"/>
      <c r="AF20" s="10">
        <v>0.5</v>
      </c>
      <c r="AJ20" s="10"/>
      <c r="AK20" s="10">
        <v>0.8</v>
      </c>
      <c r="AL20" s="10"/>
      <c r="AM20" s="10">
        <v>0.8</v>
      </c>
      <c r="AQ20" s="10"/>
      <c r="AR20" s="10">
        <v>0.8</v>
      </c>
      <c r="AS20" s="10"/>
      <c r="AT20" s="10">
        <v>0.8</v>
      </c>
      <c r="AX20" s="10"/>
      <c r="AY20" s="10">
        <v>0.8</v>
      </c>
      <c r="AZ20" s="10"/>
      <c r="BA20" s="10">
        <v>0.8</v>
      </c>
      <c r="BE20" s="10"/>
      <c r="BF20" s="10">
        <v>0.8</v>
      </c>
      <c r="BG20" s="10"/>
      <c r="BH20" s="10">
        <v>0.8</v>
      </c>
      <c r="BL20" s="10"/>
      <c r="BM20" s="10">
        <v>1</v>
      </c>
      <c r="BN20" s="10"/>
      <c r="BO20" s="10">
        <v>1</v>
      </c>
      <c r="BS20" s="10"/>
      <c r="BT20" s="10">
        <v>1</v>
      </c>
      <c r="BU20" s="10"/>
      <c r="BV20" s="10">
        <v>1</v>
      </c>
      <c r="BZ20" s="10"/>
      <c r="CA20" s="10">
        <v>1</v>
      </c>
      <c r="CB20" s="10"/>
      <c r="CC20" s="10">
        <v>1</v>
      </c>
      <c r="CG20" s="10"/>
      <c r="CH20" s="10">
        <v>1</v>
      </c>
      <c r="CI20" s="10"/>
      <c r="CJ20" s="10">
        <v>1</v>
      </c>
      <c r="CN20" s="10"/>
      <c r="CO20" s="10">
        <v>1</v>
      </c>
      <c r="CP20" s="10"/>
      <c r="CQ20" s="10">
        <v>1</v>
      </c>
      <c r="CU20" s="10"/>
      <c r="CV20" s="10"/>
      <c r="CW20" s="10"/>
      <c r="CX20" s="10"/>
      <c r="DB20" s="10"/>
      <c r="DC20" s="10"/>
      <c r="DD20" s="10"/>
      <c r="DE20" s="10"/>
      <c r="DI20" s="10"/>
      <c r="DJ20" s="10"/>
      <c r="DK20" s="10"/>
      <c r="DL20" s="10"/>
      <c r="DP20" s="21"/>
      <c r="DQ20" s="21"/>
      <c r="DR20" s="21"/>
      <c r="DS20" s="21"/>
      <c r="DT20" s="16"/>
      <c r="DW20" s="10"/>
      <c r="DX20" s="10"/>
      <c r="DY20" s="10"/>
      <c r="DZ20" s="10"/>
      <c r="ED20" s="10"/>
      <c r="EE20" s="10"/>
      <c r="EF20" s="10"/>
      <c r="EG20" s="10"/>
      <c r="EK20" s="10"/>
      <c r="EL20" s="10"/>
      <c r="EM20" s="10"/>
      <c r="EN20" s="10"/>
      <c r="ER20" s="10"/>
      <c r="ES20" s="10"/>
      <c r="ET20" s="10"/>
      <c r="EU20" s="10"/>
      <c r="EY20" s="10"/>
      <c r="EZ20" s="10"/>
      <c r="FA20" s="10"/>
      <c r="FB20" s="10"/>
      <c r="FF20" s="10"/>
      <c r="FG20" s="10"/>
      <c r="FH20" s="10"/>
      <c r="FI20" s="10"/>
    </row>
    <row r="21" spans="2:165" outlineLevel="1">
      <c r="B21" t="s">
        <v>28</v>
      </c>
      <c r="E21" s="9"/>
      <c r="F21" t="s">
        <v>123</v>
      </c>
      <c r="G21" s="10"/>
      <c r="I21" s="9">
        <f t="shared" si="1"/>
        <v>0</v>
      </c>
      <c r="J21" s="11" cm="1">
        <f t="array" ref="J21">MAX(IF($N$3:$EH$3=$J$3,N21:EH21))</f>
        <v>0</v>
      </c>
      <c r="K21" s="11" cm="1">
        <f t="array" ref="K21">MAX(IF($N$3:$EH$3=$J$3,N21:EH21))</f>
        <v>0</v>
      </c>
      <c r="L21" s="9"/>
      <c r="O21" s="10"/>
      <c r="P21" s="10"/>
      <c r="Q21" s="10"/>
      <c r="R21" s="10"/>
      <c r="V21" s="10"/>
      <c r="W21" s="10">
        <v>0.5</v>
      </c>
      <c r="X21" s="10"/>
      <c r="Y21" s="10">
        <v>0.5</v>
      </c>
      <c r="AC21" s="10"/>
      <c r="AD21" s="10">
        <v>0.5</v>
      </c>
      <c r="AE21" s="10"/>
      <c r="AF21" s="10">
        <v>0.5</v>
      </c>
      <c r="AJ21" s="10"/>
      <c r="AK21" s="10">
        <v>0.5</v>
      </c>
      <c r="AL21" s="10"/>
      <c r="AM21" s="10">
        <v>0.5</v>
      </c>
      <c r="AQ21" s="10"/>
      <c r="AR21" s="10">
        <v>0.8</v>
      </c>
      <c r="AS21" s="10"/>
      <c r="AT21" s="10">
        <v>0.8</v>
      </c>
      <c r="AX21" s="10"/>
      <c r="AY21" s="10">
        <v>0.8</v>
      </c>
      <c r="AZ21" s="10"/>
      <c r="BA21" s="10">
        <v>0.8</v>
      </c>
      <c r="BE21" s="10"/>
      <c r="BF21" s="10">
        <v>0.8</v>
      </c>
      <c r="BG21" s="10"/>
      <c r="BH21" s="10">
        <v>0.8</v>
      </c>
      <c r="BL21" s="10"/>
      <c r="BM21" s="10">
        <v>0.8</v>
      </c>
      <c r="BN21" s="10"/>
      <c r="BO21" s="10">
        <v>0.8</v>
      </c>
      <c r="BS21" s="10"/>
      <c r="BT21" s="10">
        <v>1</v>
      </c>
      <c r="BU21" s="10"/>
      <c r="BV21" s="10">
        <v>1</v>
      </c>
      <c r="BZ21" s="10"/>
      <c r="CA21" s="10">
        <v>1</v>
      </c>
      <c r="CB21" s="10"/>
      <c r="CC21" s="10">
        <v>1</v>
      </c>
      <c r="CG21" s="10"/>
      <c r="CH21" s="10">
        <v>1</v>
      </c>
      <c r="CI21" s="10"/>
      <c r="CJ21" s="10">
        <v>1</v>
      </c>
      <c r="CN21" s="10"/>
      <c r="CO21" s="10">
        <v>1</v>
      </c>
      <c r="CP21" s="10"/>
      <c r="CQ21" s="10">
        <v>1</v>
      </c>
      <c r="CU21" s="10"/>
      <c r="CV21" s="10"/>
      <c r="CW21" s="10"/>
      <c r="CX21" s="10"/>
      <c r="DB21" s="10"/>
      <c r="DC21" s="10"/>
      <c r="DD21" s="10"/>
      <c r="DE21" s="10"/>
      <c r="DI21" s="10"/>
      <c r="DJ21" s="10"/>
      <c r="DK21" s="10"/>
      <c r="DL21" s="10"/>
      <c r="DP21" s="21"/>
      <c r="DQ21" s="21"/>
      <c r="DR21" s="21"/>
      <c r="DS21" s="21"/>
      <c r="DT21" s="16"/>
      <c r="DW21" s="10"/>
      <c r="DX21" s="10"/>
      <c r="DY21" s="10"/>
      <c r="DZ21" s="10"/>
      <c r="ED21" s="10"/>
      <c r="EE21" s="10"/>
      <c r="EF21" s="10"/>
      <c r="EG21" s="10"/>
      <c r="EK21" s="10"/>
      <c r="EL21" s="10"/>
      <c r="EM21" s="10"/>
      <c r="EN21" s="10"/>
      <c r="ER21" s="10"/>
      <c r="ES21" s="10"/>
      <c r="ET21" s="10"/>
      <c r="EU21" s="10"/>
      <c r="EY21" s="10"/>
      <c r="EZ21" s="10"/>
      <c r="FA21" s="10"/>
      <c r="FB21" s="10"/>
      <c r="FF21" s="10"/>
      <c r="FG21" s="10"/>
      <c r="FH21" s="10"/>
      <c r="FI21" s="10"/>
    </row>
    <row r="22" spans="2:165" outlineLevel="1">
      <c r="B22" t="s">
        <v>28</v>
      </c>
      <c r="E22" s="9"/>
      <c r="F22" t="s">
        <v>124</v>
      </c>
      <c r="G22" s="10"/>
      <c r="I22" s="9">
        <f t="shared" si="1"/>
        <v>0</v>
      </c>
      <c r="J22" s="11" cm="1">
        <f t="array" ref="J22">MAX(IF($N$3:$EH$3=$J$3,N22:EH22))</f>
        <v>0</v>
      </c>
      <c r="K22" s="11" cm="1">
        <f t="array" ref="K22">MAX(IF($N$3:$EH$3=$J$3,N22:EH22))</f>
        <v>0</v>
      </c>
      <c r="L22" s="9"/>
      <c r="O22" s="10"/>
      <c r="P22" s="10"/>
      <c r="Q22" s="10"/>
      <c r="R22" s="10"/>
      <c r="V22" s="10"/>
      <c r="W22" s="10">
        <v>0.5</v>
      </c>
      <c r="X22" s="10"/>
      <c r="Y22" s="10">
        <v>0.5</v>
      </c>
      <c r="AC22" s="10"/>
      <c r="AD22" s="10">
        <v>0.5</v>
      </c>
      <c r="AE22" s="10"/>
      <c r="AF22" s="10">
        <v>0.5</v>
      </c>
      <c r="AJ22" s="10"/>
      <c r="AK22" s="10">
        <v>0.5</v>
      </c>
      <c r="AL22" s="10"/>
      <c r="AM22" s="10">
        <v>0.5</v>
      </c>
      <c r="AQ22" s="10"/>
      <c r="AR22" s="10">
        <v>0.5</v>
      </c>
      <c r="AS22" s="10"/>
      <c r="AT22" s="10">
        <v>0.5</v>
      </c>
      <c r="AX22" s="10"/>
      <c r="AY22" s="10">
        <v>0.8</v>
      </c>
      <c r="AZ22" s="10"/>
      <c r="BA22" s="10">
        <v>0.8</v>
      </c>
      <c r="BE22" s="10"/>
      <c r="BF22" s="10">
        <v>0.8</v>
      </c>
      <c r="BG22" s="10"/>
      <c r="BH22" s="10">
        <v>0.8</v>
      </c>
      <c r="BL22" s="10"/>
      <c r="BM22" s="10">
        <v>0.8</v>
      </c>
      <c r="BN22" s="10"/>
      <c r="BO22" s="10">
        <v>0.8</v>
      </c>
      <c r="BS22" s="10"/>
      <c r="BT22" s="10">
        <v>1</v>
      </c>
      <c r="BU22" s="10"/>
      <c r="BV22" s="10">
        <v>1</v>
      </c>
      <c r="BZ22" s="10"/>
      <c r="CA22" s="10">
        <v>1</v>
      </c>
      <c r="CB22" s="10"/>
      <c r="CC22" s="10">
        <v>1</v>
      </c>
      <c r="CG22" s="10"/>
      <c r="CH22" s="10">
        <v>1</v>
      </c>
      <c r="CI22" s="10"/>
      <c r="CJ22" s="10">
        <v>1</v>
      </c>
      <c r="CN22" s="10"/>
      <c r="CO22" s="10">
        <v>1</v>
      </c>
      <c r="CP22" s="10"/>
      <c r="CQ22" s="10">
        <v>1</v>
      </c>
      <c r="CU22" s="10"/>
      <c r="CV22" s="10"/>
      <c r="CW22" s="10"/>
      <c r="CX22" s="10"/>
      <c r="DB22" s="10"/>
      <c r="DC22" s="10"/>
      <c r="DD22" s="10"/>
      <c r="DE22" s="10"/>
      <c r="DI22" s="10"/>
      <c r="DJ22" s="10"/>
      <c r="DK22" s="10"/>
      <c r="DL22" s="10"/>
      <c r="DP22" s="21"/>
      <c r="DQ22" s="21"/>
      <c r="DR22" s="21"/>
      <c r="DS22" s="21"/>
      <c r="DT22" s="16"/>
      <c r="DW22" s="10"/>
      <c r="DX22" s="10"/>
      <c r="DY22" s="10"/>
      <c r="DZ22" s="10"/>
      <c r="ED22" s="10"/>
      <c r="EE22" s="10"/>
      <c r="EF22" s="10"/>
      <c r="EG22" s="10"/>
      <c r="EK22" s="10"/>
      <c r="EL22" s="10"/>
      <c r="EM22" s="10"/>
      <c r="EN22" s="10"/>
      <c r="ER22" s="10"/>
      <c r="ES22" s="10"/>
      <c r="ET22" s="10"/>
      <c r="EU22" s="10"/>
      <c r="EY22" s="10"/>
      <c r="EZ22" s="10"/>
      <c r="FA22" s="10"/>
      <c r="FB22" s="10"/>
      <c r="FF22" s="10"/>
      <c r="FG22" s="10"/>
      <c r="FH22" s="10"/>
      <c r="FI22" s="10"/>
    </row>
    <row r="23" spans="2:165" outlineLevel="1">
      <c r="B23" t="s">
        <v>28</v>
      </c>
      <c r="E23" s="9"/>
      <c r="F23" t="s">
        <v>128</v>
      </c>
      <c r="G23" s="10"/>
      <c r="I23" s="9">
        <f t="shared" si="1"/>
        <v>0</v>
      </c>
      <c r="J23" s="11" cm="1">
        <f t="array" ref="J23">MAX(IF($N$3:$EH$3=$J$3,N23:EH23))</f>
        <v>0</v>
      </c>
      <c r="K23" s="11" cm="1">
        <f t="array" ref="K23">MAX(IF($N$3:$EH$3=$J$3,N23:EH23))</f>
        <v>0</v>
      </c>
      <c r="L23" s="9"/>
      <c r="O23" s="10"/>
      <c r="P23" s="10"/>
      <c r="Q23" s="10"/>
      <c r="R23" s="10"/>
      <c r="V23" s="10"/>
      <c r="W23" s="10">
        <v>0.5</v>
      </c>
      <c r="X23" s="10"/>
      <c r="Y23" s="10">
        <v>0.5</v>
      </c>
      <c r="AC23" s="10"/>
      <c r="AD23" s="10">
        <v>0.5</v>
      </c>
      <c r="AE23" s="10"/>
      <c r="AF23" s="10">
        <v>0.5</v>
      </c>
      <c r="AJ23" s="10"/>
      <c r="AK23" s="10">
        <v>0.5</v>
      </c>
      <c r="AL23" s="10"/>
      <c r="AM23" s="10">
        <v>0.5</v>
      </c>
      <c r="AQ23" s="10"/>
      <c r="AR23" s="10">
        <v>0.5</v>
      </c>
      <c r="AS23" s="10"/>
      <c r="AT23" s="10">
        <v>0.5</v>
      </c>
      <c r="AX23" s="10"/>
      <c r="AY23" s="10">
        <v>0.8</v>
      </c>
      <c r="AZ23" s="10"/>
      <c r="BA23" s="10">
        <v>0.8</v>
      </c>
      <c r="BE23" s="10"/>
      <c r="BF23" s="10">
        <v>0.8</v>
      </c>
      <c r="BG23" s="10"/>
      <c r="BH23" s="10">
        <v>0.8</v>
      </c>
      <c r="BL23" s="10"/>
      <c r="BM23" s="10">
        <v>0.8</v>
      </c>
      <c r="BN23" s="10"/>
      <c r="BO23" s="10">
        <v>0.8</v>
      </c>
      <c r="BS23" s="10"/>
      <c r="BT23" s="10">
        <v>0.8</v>
      </c>
      <c r="BU23" s="10"/>
      <c r="BV23" s="10">
        <v>0.8</v>
      </c>
      <c r="BZ23" s="10"/>
      <c r="CA23" s="10">
        <v>1</v>
      </c>
      <c r="CB23" s="10"/>
      <c r="CC23" s="10">
        <v>1</v>
      </c>
      <c r="CG23" s="10"/>
      <c r="CH23" s="10">
        <v>1</v>
      </c>
      <c r="CI23" s="10"/>
      <c r="CJ23" s="10">
        <v>1</v>
      </c>
      <c r="CN23" s="10"/>
      <c r="CO23" s="10">
        <v>1</v>
      </c>
      <c r="CP23" s="10"/>
      <c r="CQ23" s="10">
        <v>1</v>
      </c>
      <c r="CU23" s="10"/>
      <c r="CV23" s="10"/>
      <c r="CW23" s="10"/>
      <c r="CX23" s="10"/>
      <c r="DB23" s="10"/>
      <c r="DC23" s="10"/>
      <c r="DD23" s="10"/>
      <c r="DE23" s="10"/>
      <c r="DI23" s="10"/>
      <c r="DJ23" s="10"/>
      <c r="DK23" s="10"/>
      <c r="DL23" s="10"/>
      <c r="DP23" s="21"/>
      <c r="DQ23" s="21"/>
      <c r="DR23" s="21"/>
      <c r="DS23" s="21"/>
      <c r="DT23" s="16"/>
      <c r="DW23" s="10"/>
      <c r="DX23" s="10"/>
      <c r="DY23" s="10"/>
      <c r="DZ23" s="10"/>
      <c r="ED23" s="10"/>
      <c r="EE23" s="10"/>
      <c r="EF23" s="10"/>
      <c r="EG23" s="10"/>
      <c r="EK23" s="10"/>
      <c r="EL23" s="10"/>
      <c r="EM23" s="10"/>
      <c r="EN23" s="10"/>
      <c r="ER23" s="10"/>
      <c r="ES23" s="10"/>
      <c r="ET23" s="10"/>
      <c r="EU23" s="10"/>
      <c r="EY23" s="10"/>
      <c r="EZ23" s="10"/>
      <c r="FA23" s="10"/>
      <c r="FB23" s="10"/>
      <c r="FF23" s="10"/>
      <c r="FG23" s="10"/>
      <c r="FH23" s="10"/>
      <c r="FI23" s="10"/>
    </row>
    <row r="24" spans="2:165" outlineLevel="1">
      <c r="B24" t="s">
        <v>28</v>
      </c>
      <c r="E24" s="9"/>
      <c r="F24" t="s">
        <v>125</v>
      </c>
      <c r="G24" s="10"/>
      <c r="I24" s="9">
        <f t="shared" si="1"/>
        <v>0</v>
      </c>
      <c r="J24" s="11" cm="1">
        <f t="array" ref="J24">MAX(IF($N$3:$EH$3=$J$3,N24:EH24))</f>
        <v>0</v>
      </c>
      <c r="K24" s="11" cm="1">
        <f t="array" ref="K24">MAX(IF($N$3:$EH$3=$J$3,N24:EH24))</f>
        <v>0</v>
      </c>
      <c r="L24" s="9"/>
      <c r="O24" s="10"/>
      <c r="P24" s="10"/>
      <c r="Q24" s="10"/>
      <c r="R24" s="10"/>
      <c r="V24" s="10"/>
      <c r="W24" s="10"/>
      <c r="X24" s="10"/>
      <c r="Y24" s="10"/>
      <c r="AC24" s="10"/>
      <c r="AD24" s="10">
        <v>0.5</v>
      </c>
      <c r="AE24" s="10"/>
      <c r="AF24" s="10">
        <v>0.5</v>
      </c>
      <c r="AJ24" s="10"/>
      <c r="AK24" s="10">
        <v>0.5</v>
      </c>
      <c r="AL24" s="10"/>
      <c r="AM24" s="10">
        <v>0.5</v>
      </c>
      <c r="AQ24" s="10"/>
      <c r="AR24" s="10">
        <v>0.5</v>
      </c>
      <c r="AS24" s="10"/>
      <c r="AT24" s="10">
        <v>0.5</v>
      </c>
      <c r="AX24" s="10"/>
      <c r="AY24" s="10">
        <v>0.5</v>
      </c>
      <c r="AZ24" s="10"/>
      <c r="BA24" s="10">
        <v>0.5</v>
      </c>
      <c r="BE24" s="10"/>
      <c r="BF24" s="10">
        <v>0.5</v>
      </c>
      <c r="BG24" s="10"/>
      <c r="BH24" s="10">
        <v>0.5</v>
      </c>
      <c r="BL24" s="10"/>
      <c r="BM24" s="10">
        <v>0.8</v>
      </c>
      <c r="BN24" s="10"/>
      <c r="BO24" s="10">
        <v>0.8</v>
      </c>
      <c r="BS24" s="10"/>
      <c r="BT24" s="10">
        <v>0.8</v>
      </c>
      <c r="BU24" s="10"/>
      <c r="BV24" s="10">
        <v>0.8</v>
      </c>
      <c r="BZ24" s="10"/>
      <c r="CA24" s="10">
        <v>0.8</v>
      </c>
      <c r="CB24" s="10"/>
      <c r="CC24" s="10">
        <v>0.8</v>
      </c>
      <c r="CG24" s="10"/>
      <c r="CH24" s="10">
        <v>1</v>
      </c>
      <c r="CI24" s="10"/>
      <c r="CJ24" s="10">
        <v>1</v>
      </c>
      <c r="CN24" s="10"/>
      <c r="CO24" s="10">
        <v>1</v>
      </c>
      <c r="CP24" s="10"/>
      <c r="CQ24" s="10">
        <v>1</v>
      </c>
      <c r="CU24" s="10"/>
      <c r="CV24" s="10"/>
      <c r="CW24" s="10"/>
      <c r="CX24" s="10"/>
      <c r="DB24" s="10"/>
      <c r="DC24" s="10"/>
      <c r="DD24" s="10"/>
      <c r="DE24" s="10"/>
      <c r="DI24" s="10"/>
      <c r="DJ24" s="10"/>
      <c r="DK24" s="10"/>
      <c r="DL24" s="10"/>
      <c r="DP24" s="21"/>
      <c r="DQ24" s="21"/>
      <c r="DR24" s="21"/>
      <c r="DS24" s="21"/>
      <c r="DT24" s="16"/>
      <c r="DW24" s="10"/>
      <c r="DX24" s="10"/>
      <c r="DY24" s="10"/>
      <c r="DZ24" s="10"/>
      <c r="ED24" s="10"/>
      <c r="EE24" s="10"/>
      <c r="EF24" s="10"/>
      <c r="EG24" s="10"/>
      <c r="EK24" s="10"/>
      <c r="EL24" s="10"/>
      <c r="EM24" s="10"/>
      <c r="EN24" s="10"/>
      <c r="ER24" s="10"/>
      <c r="ES24" s="10"/>
      <c r="ET24" s="10"/>
      <c r="EU24" s="10"/>
      <c r="EY24" s="10"/>
      <c r="EZ24" s="10"/>
      <c r="FA24" s="10"/>
      <c r="FB24" s="10"/>
      <c r="FF24" s="10"/>
      <c r="FG24" s="10"/>
      <c r="FH24" s="10"/>
      <c r="FI24" s="10"/>
    </row>
    <row r="25" spans="2:165" outlineLevel="1">
      <c r="B25" t="s">
        <v>28</v>
      </c>
      <c r="E25" s="9"/>
      <c r="F25" t="s">
        <v>126</v>
      </c>
      <c r="G25" s="10"/>
      <c r="I25" s="9">
        <f t="shared" si="1"/>
        <v>0</v>
      </c>
      <c r="J25" s="11" cm="1">
        <f t="array" ref="J25">MAX(IF($N$3:$EH$3=$J$3,N25:EH25))</f>
        <v>0</v>
      </c>
      <c r="K25" s="11" cm="1">
        <f t="array" ref="K25">MAX(IF($N$3:$EH$3=$J$3,N25:EH25))</f>
        <v>0</v>
      </c>
      <c r="L25" s="9"/>
      <c r="O25" s="10"/>
      <c r="P25" s="10"/>
      <c r="Q25" s="10"/>
      <c r="R25" s="10"/>
      <c r="V25" s="10"/>
      <c r="W25" s="10"/>
      <c r="X25" s="10"/>
      <c r="Y25" s="10"/>
      <c r="AC25" s="10"/>
      <c r="AD25" s="10"/>
      <c r="AE25" s="10"/>
      <c r="AF25" s="10"/>
      <c r="AJ25" s="10"/>
      <c r="AK25" s="10">
        <v>0.5</v>
      </c>
      <c r="AL25" s="10"/>
      <c r="AM25" s="10">
        <v>0.5</v>
      </c>
      <c r="AQ25" s="10"/>
      <c r="AR25" s="10">
        <v>0.5</v>
      </c>
      <c r="AS25" s="10"/>
      <c r="AT25" s="10">
        <v>0.5</v>
      </c>
      <c r="AX25" s="10"/>
      <c r="AY25" s="10">
        <v>0.5</v>
      </c>
      <c r="AZ25" s="10"/>
      <c r="BA25" s="10">
        <v>0.5</v>
      </c>
      <c r="BE25" s="10"/>
      <c r="BF25" s="10">
        <v>0.5</v>
      </c>
      <c r="BG25" s="10"/>
      <c r="BH25" s="10">
        <v>0.5</v>
      </c>
      <c r="BL25" s="10"/>
      <c r="BM25" s="10">
        <v>0.8</v>
      </c>
      <c r="BN25" s="10"/>
      <c r="BO25" s="10">
        <v>0.8</v>
      </c>
      <c r="BS25" s="10"/>
      <c r="BT25" s="10">
        <v>0.8</v>
      </c>
      <c r="BU25" s="10"/>
      <c r="BV25" s="10">
        <v>0.8</v>
      </c>
      <c r="BZ25" s="10"/>
      <c r="CA25" s="10">
        <v>0.8</v>
      </c>
      <c r="CB25" s="10"/>
      <c r="CC25" s="10">
        <v>0.8</v>
      </c>
      <c r="CG25" s="10"/>
      <c r="CH25" s="10">
        <v>1</v>
      </c>
      <c r="CI25" s="10"/>
      <c r="CJ25" s="10">
        <v>1</v>
      </c>
      <c r="CN25" s="10"/>
      <c r="CO25" s="10">
        <v>1</v>
      </c>
      <c r="CP25" s="10"/>
      <c r="CQ25" s="10">
        <v>1</v>
      </c>
      <c r="CU25" s="10"/>
      <c r="CV25" s="10"/>
      <c r="CW25" s="10"/>
      <c r="CX25" s="10"/>
      <c r="DB25" s="10"/>
      <c r="DC25" s="10"/>
      <c r="DD25" s="10"/>
      <c r="DE25" s="10"/>
      <c r="DI25" s="10"/>
      <c r="DJ25" s="10"/>
      <c r="DK25" s="10"/>
      <c r="DL25" s="10"/>
      <c r="DP25" s="21"/>
      <c r="DQ25" s="21"/>
      <c r="DR25" s="21"/>
      <c r="DS25" s="21"/>
      <c r="DT25" s="16"/>
      <c r="DW25" s="10"/>
      <c r="DX25" s="10"/>
      <c r="DY25" s="10"/>
      <c r="DZ25" s="10"/>
      <c r="ED25" s="10"/>
      <c r="EE25" s="10"/>
      <c r="EF25" s="10"/>
      <c r="EG25" s="10"/>
      <c r="EK25" s="10"/>
      <c r="EL25" s="10"/>
      <c r="EM25" s="10"/>
      <c r="EN25" s="10"/>
      <c r="ER25" s="10"/>
      <c r="ES25" s="10"/>
      <c r="ET25" s="10"/>
      <c r="EU25" s="10"/>
      <c r="EY25" s="10"/>
      <c r="EZ25" s="10"/>
      <c r="FA25" s="10"/>
      <c r="FB25" s="10"/>
      <c r="FF25" s="10"/>
      <c r="FG25" s="10"/>
      <c r="FH25" s="10"/>
      <c r="FI25" s="10"/>
    </row>
    <row r="26" spans="2:165" outlineLevel="1">
      <c r="B26" t="s">
        <v>28</v>
      </c>
      <c r="E26" s="9"/>
      <c r="F26" t="s">
        <v>129</v>
      </c>
      <c r="G26" s="10"/>
      <c r="I26" s="9">
        <f t="shared" si="1"/>
        <v>0</v>
      </c>
      <c r="J26" s="11" cm="1">
        <f t="array" ref="J26">MAX(IF($N$3:$EH$3=$J$3,N26:EH26))</f>
        <v>0</v>
      </c>
      <c r="K26" s="11" cm="1">
        <f t="array" ref="K26">MAX(IF($N$3:$EH$3=$J$3,N26:EH26))</f>
        <v>0</v>
      </c>
      <c r="L26" s="9"/>
      <c r="O26" s="10"/>
      <c r="P26" s="10"/>
      <c r="Q26" s="10"/>
      <c r="R26" s="10"/>
      <c r="V26" s="10"/>
      <c r="W26" s="10"/>
      <c r="X26" s="10"/>
      <c r="Y26" s="10"/>
      <c r="AC26" s="10"/>
      <c r="AD26" s="10"/>
      <c r="AE26" s="10"/>
      <c r="AF26" s="10"/>
      <c r="AJ26" s="10"/>
      <c r="AK26" s="10"/>
      <c r="AL26" s="10"/>
      <c r="AM26" s="10"/>
      <c r="AQ26" s="10"/>
      <c r="AR26" s="10">
        <v>0.5</v>
      </c>
      <c r="AS26" s="10"/>
      <c r="AT26" s="10">
        <v>0.5</v>
      </c>
      <c r="AX26" s="10"/>
      <c r="AY26" s="10">
        <v>0.5</v>
      </c>
      <c r="AZ26" s="10"/>
      <c r="BA26" s="10">
        <v>0.5</v>
      </c>
      <c r="BE26" s="10"/>
      <c r="BF26" s="10">
        <v>0.5</v>
      </c>
      <c r="BG26" s="10"/>
      <c r="BH26" s="10">
        <v>0.5</v>
      </c>
      <c r="BL26" s="10"/>
      <c r="BM26" s="10">
        <v>0.5</v>
      </c>
      <c r="BN26" s="10"/>
      <c r="BO26" s="10">
        <v>0.5</v>
      </c>
      <c r="BS26" s="10"/>
      <c r="BT26" s="10">
        <v>0.8</v>
      </c>
      <c r="BU26" s="10"/>
      <c r="BV26" s="10">
        <v>0.8</v>
      </c>
      <c r="BZ26" s="10"/>
      <c r="CA26" s="10">
        <v>0.8</v>
      </c>
      <c r="CB26" s="10"/>
      <c r="CC26" s="10">
        <v>0.8</v>
      </c>
      <c r="CG26" s="10"/>
      <c r="CH26" s="10">
        <v>1</v>
      </c>
      <c r="CI26" s="10"/>
      <c r="CJ26" s="10">
        <v>1</v>
      </c>
      <c r="CN26" s="10"/>
      <c r="CO26" s="10">
        <v>1</v>
      </c>
      <c r="CP26" s="10"/>
      <c r="CQ26" s="10">
        <v>1</v>
      </c>
      <c r="CU26" s="10"/>
      <c r="CV26" s="10"/>
      <c r="CW26" s="10"/>
      <c r="CX26" s="10"/>
      <c r="DB26" s="10"/>
      <c r="DC26" s="10"/>
      <c r="DD26" s="10"/>
      <c r="DE26" s="10"/>
      <c r="DI26" s="10"/>
      <c r="DJ26" s="10"/>
      <c r="DK26" s="10"/>
      <c r="DL26" s="10"/>
      <c r="DP26" s="21"/>
      <c r="DQ26" s="21"/>
      <c r="DR26" s="21"/>
      <c r="DS26" s="21"/>
      <c r="DT26" s="16"/>
      <c r="DW26" s="10"/>
      <c r="DX26" s="10"/>
      <c r="DY26" s="10"/>
      <c r="DZ26" s="10"/>
      <c r="ED26" s="10"/>
      <c r="EE26" s="10"/>
      <c r="EF26" s="10"/>
      <c r="EG26" s="10"/>
      <c r="EK26" s="10"/>
      <c r="EL26" s="10"/>
      <c r="EM26" s="10"/>
      <c r="EN26" s="10"/>
      <c r="ER26" s="10"/>
      <c r="ES26" s="10"/>
      <c r="ET26" s="10"/>
      <c r="EU26" s="10"/>
      <c r="EY26" s="10"/>
      <c r="EZ26" s="10"/>
      <c r="FA26" s="10"/>
      <c r="FB26" s="10"/>
      <c r="FF26" s="10"/>
      <c r="FG26" s="10"/>
      <c r="FH26" s="10"/>
      <c r="FI26" s="10"/>
    </row>
    <row r="27" spans="2:165" outlineLevel="1">
      <c r="B27" t="s">
        <v>28</v>
      </c>
      <c r="E27" s="9"/>
      <c r="F27" t="s">
        <v>127</v>
      </c>
      <c r="G27" s="10"/>
      <c r="I27" s="9">
        <f t="shared" si="1"/>
        <v>0</v>
      </c>
      <c r="J27" s="11" cm="1">
        <f t="array" ref="J27">MAX(IF($N$3:$EH$3=$J$3,N27:EH27))</f>
        <v>0</v>
      </c>
      <c r="K27" s="11" cm="1">
        <f t="array" ref="K27">MAX(IF($N$3:$EH$3=$J$3,N27:EH27))</f>
        <v>0</v>
      </c>
      <c r="L27" s="9"/>
      <c r="O27" s="10"/>
      <c r="P27" s="10"/>
      <c r="Q27" s="10"/>
      <c r="R27" s="10"/>
      <c r="V27" s="10"/>
      <c r="W27" s="10"/>
      <c r="X27" s="10"/>
      <c r="Y27" s="10"/>
      <c r="AC27" s="10"/>
      <c r="AD27" s="10"/>
      <c r="AE27" s="10"/>
      <c r="AF27" s="10"/>
      <c r="AJ27" s="10"/>
      <c r="AK27" s="10"/>
      <c r="AL27" s="10"/>
      <c r="AM27" s="10"/>
      <c r="AQ27" s="10"/>
      <c r="AR27" s="10">
        <v>0.5</v>
      </c>
      <c r="AS27" s="10"/>
      <c r="AT27" s="10">
        <v>0.5</v>
      </c>
      <c r="AX27" s="10"/>
      <c r="AY27" s="10">
        <v>0.5</v>
      </c>
      <c r="AZ27" s="10"/>
      <c r="BA27" s="10">
        <v>0.5</v>
      </c>
      <c r="BE27" s="10"/>
      <c r="BF27" s="10">
        <v>0.5</v>
      </c>
      <c r="BG27" s="10"/>
      <c r="BH27" s="10">
        <v>0.5</v>
      </c>
      <c r="BL27" s="10"/>
      <c r="BM27" s="10">
        <v>0.5</v>
      </c>
      <c r="BN27" s="10"/>
      <c r="BO27" s="10">
        <v>0.5</v>
      </c>
      <c r="BS27" s="10"/>
      <c r="BT27" s="10">
        <v>0.8</v>
      </c>
      <c r="BU27" s="10"/>
      <c r="BV27" s="10">
        <v>0.8</v>
      </c>
      <c r="BZ27" s="10"/>
      <c r="CA27" s="10">
        <v>0.8</v>
      </c>
      <c r="CB27" s="10"/>
      <c r="CC27" s="10">
        <v>0.8</v>
      </c>
      <c r="CG27" s="10"/>
      <c r="CH27" s="10">
        <v>0.8</v>
      </c>
      <c r="CI27" s="10"/>
      <c r="CJ27" s="10">
        <v>0.8</v>
      </c>
      <c r="CN27" s="10"/>
      <c r="CO27" s="10">
        <v>1</v>
      </c>
      <c r="CP27" s="10"/>
      <c r="CQ27" s="10">
        <v>1</v>
      </c>
      <c r="CU27" s="10"/>
      <c r="CV27" s="10"/>
      <c r="CW27" s="10"/>
      <c r="CX27" s="10"/>
      <c r="DB27" s="10"/>
      <c r="DC27" s="10"/>
      <c r="DD27" s="10"/>
      <c r="DE27" s="10"/>
      <c r="DI27" s="10"/>
      <c r="DJ27" s="10"/>
      <c r="DK27" s="10"/>
      <c r="DL27" s="10"/>
      <c r="DP27" s="21"/>
      <c r="DQ27" s="21"/>
      <c r="DR27" s="21"/>
      <c r="DS27" s="21"/>
      <c r="DT27" s="16"/>
      <c r="DW27" s="10"/>
      <c r="DX27" s="10"/>
      <c r="DY27" s="10"/>
      <c r="DZ27" s="10"/>
      <c r="ED27" s="10"/>
      <c r="EE27" s="10"/>
      <c r="EF27" s="10"/>
      <c r="EG27" s="10"/>
      <c r="EK27" s="10"/>
      <c r="EL27" s="10"/>
      <c r="EM27" s="10"/>
      <c r="EN27" s="10"/>
      <c r="ER27" s="10"/>
      <c r="ES27" s="10"/>
      <c r="ET27" s="10"/>
      <c r="EU27" s="10"/>
      <c r="EY27" s="10"/>
      <c r="EZ27" s="10"/>
      <c r="FA27" s="10"/>
      <c r="FB27" s="10"/>
      <c r="FF27" s="10"/>
      <c r="FG27" s="10"/>
      <c r="FH27" s="10"/>
      <c r="FI27" s="10"/>
    </row>
    <row r="28" spans="2:165" outlineLevel="1">
      <c r="B28" t="s">
        <v>28</v>
      </c>
      <c r="E28" s="9"/>
      <c r="F28" t="s">
        <v>130</v>
      </c>
      <c r="G28" s="10"/>
      <c r="I28" s="9">
        <f t="shared" si="1"/>
        <v>0</v>
      </c>
      <c r="J28" s="11" cm="1">
        <f t="array" ref="J28">MAX(IF($N$3:$EH$3=$J$3,N28:EH28))</f>
        <v>0</v>
      </c>
      <c r="K28" s="11" cm="1">
        <f t="array" ref="K28">MAX(IF($N$3:$EH$3=$J$3,N28:EH28))</f>
        <v>0</v>
      </c>
      <c r="L28" s="9"/>
      <c r="O28" s="10"/>
      <c r="P28" s="10"/>
      <c r="Q28" s="10"/>
      <c r="R28" s="10"/>
      <c r="V28" s="10"/>
      <c r="W28" s="10"/>
      <c r="X28" s="10"/>
      <c r="Y28" s="10"/>
      <c r="AC28" s="10"/>
      <c r="AD28" s="10"/>
      <c r="AE28" s="10"/>
      <c r="AF28" s="10"/>
      <c r="AJ28" s="10"/>
      <c r="AK28" s="10"/>
      <c r="AL28" s="10"/>
      <c r="AM28" s="10"/>
      <c r="AQ28" s="10"/>
      <c r="AR28" s="10"/>
      <c r="AS28" s="10"/>
      <c r="AT28" s="10"/>
      <c r="AX28" s="10"/>
      <c r="AY28" s="10">
        <v>0.5</v>
      </c>
      <c r="AZ28" s="10"/>
      <c r="BA28" s="10">
        <v>0.5</v>
      </c>
      <c r="BE28" s="10"/>
      <c r="BF28" s="10">
        <v>0.5</v>
      </c>
      <c r="BG28" s="10"/>
      <c r="BH28" s="10">
        <v>0.5</v>
      </c>
      <c r="BL28" s="10"/>
      <c r="BM28" s="10">
        <v>0.5</v>
      </c>
      <c r="BN28" s="10"/>
      <c r="BO28" s="10">
        <v>0.5</v>
      </c>
      <c r="BS28" s="10"/>
      <c r="BT28" s="10">
        <v>0.5</v>
      </c>
      <c r="BU28" s="10"/>
      <c r="BV28" s="10">
        <v>0.5</v>
      </c>
      <c r="BZ28" s="10"/>
      <c r="CA28" s="10">
        <v>0.8</v>
      </c>
      <c r="CB28" s="10"/>
      <c r="CC28" s="10">
        <v>0.8</v>
      </c>
      <c r="CG28" s="10"/>
      <c r="CH28" s="10">
        <v>0.8</v>
      </c>
      <c r="CI28" s="10"/>
      <c r="CJ28" s="10">
        <v>0.8</v>
      </c>
      <c r="CN28" s="10"/>
      <c r="CO28" s="10">
        <v>1</v>
      </c>
      <c r="CP28" s="10"/>
      <c r="CQ28" s="10">
        <v>1</v>
      </c>
      <c r="CU28" s="10"/>
      <c r="CV28" s="10"/>
      <c r="CW28" s="10"/>
      <c r="CX28" s="10"/>
      <c r="DB28" s="10"/>
      <c r="DC28" s="10"/>
      <c r="DD28" s="10"/>
      <c r="DE28" s="10"/>
      <c r="DI28" s="10"/>
      <c r="DJ28" s="10"/>
      <c r="DK28" s="10"/>
      <c r="DL28" s="10"/>
      <c r="DP28" s="21"/>
      <c r="DQ28" s="21"/>
      <c r="DR28" s="21"/>
      <c r="DS28" s="21"/>
      <c r="DT28" s="16"/>
      <c r="DW28" s="10"/>
      <c r="DX28" s="10"/>
      <c r="DY28" s="10"/>
      <c r="DZ28" s="10"/>
      <c r="ED28" s="10"/>
      <c r="EE28" s="10"/>
      <c r="EF28" s="10"/>
      <c r="EG28" s="10"/>
      <c r="EK28" s="10"/>
      <c r="EL28" s="10"/>
      <c r="EM28" s="10"/>
      <c r="EN28" s="10"/>
      <c r="ER28" s="10"/>
      <c r="ES28" s="10"/>
      <c r="ET28" s="10"/>
      <c r="EU28" s="10"/>
      <c r="EY28" s="10"/>
      <c r="EZ28" s="10"/>
      <c r="FA28" s="10"/>
      <c r="FB28" s="10"/>
      <c r="FF28" s="10"/>
      <c r="FG28" s="10"/>
      <c r="FH28" s="10"/>
      <c r="FI28" s="10"/>
    </row>
    <row r="29" spans="2:165" outlineLevel="1">
      <c r="B29" t="s">
        <v>28</v>
      </c>
      <c r="E29" s="9"/>
      <c r="F29" t="s">
        <v>131</v>
      </c>
      <c r="G29" s="10"/>
      <c r="I29" s="9">
        <f t="shared" si="1"/>
        <v>0</v>
      </c>
      <c r="J29" s="11" cm="1">
        <f t="array" ref="J29">MAX(IF($N$3:$EH$3=$J$3,N29:EH29))</f>
        <v>0</v>
      </c>
      <c r="K29" s="11" cm="1">
        <f t="array" ref="K29">MAX(IF($N$3:$EH$3=$J$3,N29:EH29))</f>
        <v>0</v>
      </c>
      <c r="L29" s="9"/>
      <c r="O29" s="10"/>
      <c r="P29" s="10"/>
      <c r="Q29" s="10"/>
      <c r="R29" s="10"/>
      <c r="V29" s="10"/>
      <c r="W29" s="10"/>
      <c r="X29" s="10"/>
      <c r="Y29" s="10"/>
      <c r="AC29" s="10"/>
      <c r="AD29" s="10"/>
      <c r="AE29" s="10"/>
      <c r="AF29" s="10"/>
      <c r="AJ29" s="10"/>
      <c r="AK29" s="10"/>
      <c r="AL29" s="10"/>
      <c r="AM29" s="10"/>
      <c r="AQ29" s="10"/>
      <c r="AR29" s="10"/>
      <c r="AS29" s="10"/>
      <c r="AT29" s="10"/>
      <c r="AX29" s="10"/>
      <c r="AY29" s="10"/>
      <c r="AZ29" s="10"/>
      <c r="BA29" s="10"/>
      <c r="BE29" s="10"/>
      <c r="BF29" s="10">
        <v>0.5</v>
      </c>
      <c r="BG29" s="10"/>
      <c r="BH29" s="10">
        <v>0.5</v>
      </c>
      <c r="BL29" s="10"/>
      <c r="BM29" s="10">
        <v>0.5</v>
      </c>
      <c r="BN29" s="10"/>
      <c r="BO29" s="10">
        <v>0.5</v>
      </c>
      <c r="BS29" s="10"/>
      <c r="BT29" s="10">
        <v>0.5</v>
      </c>
      <c r="BU29" s="10"/>
      <c r="BV29" s="10">
        <v>0.5</v>
      </c>
      <c r="BZ29" s="10"/>
      <c r="CA29" s="10">
        <v>0.8</v>
      </c>
      <c r="CB29" s="10"/>
      <c r="CC29" s="10">
        <v>0.8</v>
      </c>
      <c r="CG29" s="10"/>
      <c r="CH29" s="10">
        <v>0.8</v>
      </c>
      <c r="CI29" s="10"/>
      <c r="CJ29" s="10">
        <v>0.8</v>
      </c>
      <c r="CN29" s="10"/>
      <c r="CO29" s="10">
        <v>1</v>
      </c>
      <c r="CP29" s="10"/>
      <c r="CQ29" s="10">
        <v>1</v>
      </c>
      <c r="CU29" s="10"/>
      <c r="CV29" s="10"/>
      <c r="CW29" s="10"/>
      <c r="CX29" s="10"/>
      <c r="DB29" s="10"/>
      <c r="DC29" s="10"/>
      <c r="DD29" s="10"/>
      <c r="DE29" s="10"/>
      <c r="DI29" s="10"/>
      <c r="DJ29" s="10"/>
      <c r="DK29" s="10"/>
      <c r="DL29" s="10"/>
      <c r="DP29" s="21"/>
      <c r="DQ29" s="21"/>
      <c r="DR29" s="21"/>
      <c r="DS29" s="21"/>
      <c r="DT29" s="16"/>
      <c r="DW29" s="10"/>
      <c r="DX29" s="10"/>
      <c r="DY29" s="10"/>
      <c r="DZ29" s="10"/>
      <c r="ED29" s="10"/>
      <c r="EE29" s="10"/>
      <c r="EF29" s="10"/>
      <c r="EG29" s="10"/>
      <c r="EK29" s="10"/>
      <c r="EL29" s="10"/>
      <c r="EM29" s="10"/>
      <c r="EN29" s="10"/>
      <c r="ER29" s="10"/>
      <c r="ES29" s="10"/>
      <c r="ET29" s="10"/>
      <c r="EU29" s="10"/>
      <c r="EY29" s="10"/>
      <c r="EZ29" s="10"/>
      <c r="FA29" s="10"/>
      <c r="FB29" s="10"/>
      <c r="FF29" s="10"/>
      <c r="FG29" s="10"/>
      <c r="FH29" s="10"/>
      <c r="FI29" s="10"/>
    </row>
    <row r="30" spans="2:165">
      <c r="L30" s="9" t="s">
        <v>152</v>
      </c>
    </row>
    <row r="31" spans="2:165">
      <c r="B31" t="s">
        <v>27</v>
      </c>
      <c r="C31" t="s">
        <v>106</v>
      </c>
      <c r="D31" s="19">
        <v>45335</v>
      </c>
      <c r="E31" s="9">
        <v>5</v>
      </c>
      <c r="G31" s="10"/>
      <c r="I31" s="12">
        <f>+SUM(I32:I39)</f>
        <v>0</v>
      </c>
      <c r="J31" s="11" cm="1">
        <f t="array" ref="J31">MAX(IF($N$3:$EH$3=$J$3,N31:EH31))</f>
        <v>0</v>
      </c>
      <c r="K31" s="11" cm="1">
        <f t="array" ref="K31">MAX(IF($N$3:$EH$3=$J$3,N31:EH31))</f>
        <v>0</v>
      </c>
      <c r="L31" s="9"/>
      <c r="N31" s="12"/>
      <c r="U31" s="12"/>
      <c r="AB31" s="12"/>
      <c r="AI31" s="12"/>
      <c r="AP31" s="12"/>
      <c r="DP31" s="22"/>
      <c r="DQ31" s="22"/>
      <c r="DR31" s="22"/>
      <c r="DS31" s="22"/>
      <c r="DT31" s="16" t="s">
        <v>148</v>
      </c>
    </row>
    <row r="32" spans="2:165" outlineLevel="1">
      <c r="B32" t="s">
        <v>28</v>
      </c>
      <c r="E32" s="9"/>
      <c r="F32" t="s">
        <v>136</v>
      </c>
      <c r="G32" s="10"/>
      <c r="I32" s="9">
        <f t="shared" ref="I32:I39" si="2">+SUMIF($N$3:$ZZ$3,I$3,$N32:$ZZ32)</f>
        <v>0</v>
      </c>
      <c r="J32" s="11" cm="1">
        <f t="array" ref="J32">MAX(IF($N$3:$EH$3=$J$3,N32:EH32))</f>
        <v>0</v>
      </c>
      <c r="K32" s="11" cm="1">
        <f t="array" ref="K32">MAX(IF($N$3:$EH$3=$J$3,N32:EH32))</f>
        <v>0</v>
      </c>
      <c r="L32" s="9"/>
      <c r="O32" s="10"/>
      <c r="P32" s="10">
        <v>0.5</v>
      </c>
      <c r="Q32" s="10"/>
      <c r="R32" s="10">
        <v>0.5</v>
      </c>
      <c r="V32" s="10"/>
      <c r="W32" s="10">
        <v>0.5</v>
      </c>
      <c r="X32" s="10"/>
      <c r="Y32" s="10">
        <v>0.5</v>
      </c>
      <c r="AC32" s="10"/>
      <c r="AD32" s="10">
        <v>0.8</v>
      </c>
      <c r="AE32" s="10"/>
      <c r="AF32" s="10">
        <v>0.8</v>
      </c>
      <c r="AJ32" s="10"/>
      <c r="AK32" s="10">
        <v>0.8</v>
      </c>
      <c r="AL32" s="10"/>
      <c r="AM32" s="10">
        <v>0.8</v>
      </c>
      <c r="AQ32" s="10"/>
      <c r="AR32" s="10">
        <v>0.8</v>
      </c>
      <c r="AS32" s="10"/>
      <c r="AT32" s="10">
        <v>0.8</v>
      </c>
      <c r="AX32" s="10"/>
      <c r="AY32" s="10">
        <v>0.8</v>
      </c>
      <c r="AZ32" s="10"/>
      <c r="BA32" s="10">
        <v>0.8</v>
      </c>
      <c r="BE32" s="10"/>
      <c r="BF32" s="10">
        <v>1</v>
      </c>
      <c r="BG32" s="10"/>
      <c r="BH32" s="10">
        <v>1</v>
      </c>
      <c r="BL32" s="10"/>
      <c r="BM32" s="10">
        <v>1</v>
      </c>
      <c r="BN32" s="10"/>
      <c r="BO32" s="10">
        <v>1</v>
      </c>
      <c r="BS32" s="10"/>
      <c r="BT32" s="10">
        <v>1</v>
      </c>
      <c r="BU32" s="10"/>
      <c r="BV32" s="10">
        <v>1</v>
      </c>
      <c r="BZ32" s="10"/>
      <c r="CA32" s="10">
        <v>1</v>
      </c>
      <c r="CB32" s="10"/>
      <c r="CC32" s="10">
        <v>1</v>
      </c>
      <c r="CG32" s="10"/>
      <c r="CH32" s="10">
        <v>1</v>
      </c>
      <c r="CI32" s="10"/>
      <c r="CJ32" s="10">
        <v>1</v>
      </c>
      <c r="CN32" s="10"/>
      <c r="CO32" s="10">
        <v>1</v>
      </c>
      <c r="CP32" s="10"/>
      <c r="CQ32" s="10">
        <v>1</v>
      </c>
      <c r="CU32" s="10"/>
      <c r="CV32" s="10"/>
      <c r="CW32" s="10"/>
      <c r="CX32" s="10"/>
      <c r="DB32" s="10"/>
      <c r="DC32" s="10"/>
      <c r="DD32" s="10"/>
      <c r="DE32" s="10"/>
      <c r="DI32" s="10"/>
      <c r="DJ32" s="10"/>
      <c r="DK32" s="10"/>
      <c r="DL32" s="10"/>
      <c r="DP32" s="21"/>
      <c r="DQ32" s="21"/>
      <c r="DR32" s="21"/>
      <c r="DS32" s="21"/>
      <c r="DT32" s="16"/>
      <c r="DW32" s="10"/>
      <c r="DX32" s="10"/>
      <c r="DY32" s="10"/>
      <c r="DZ32" s="10"/>
      <c r="ED32" s="10"/>
      <c r="EE32" s="10"/>
      <c r="EF32" s="10"/>
      <c r="EG32" s="10"/>
      <c r="EK32" s="10"/>
      <c r="EL32" s="10"/>
      <c r="EM32" s="10"/>
      <c r="EN32" s="10"/>
      <c r="ER32" s="10"/>
      <c r="ES32" s="10"/>
      <c r="ET32" s="10"/>
      <c r="EU32" s="10"/>
      <c r="EY32" s="10"/>
      <c r="EZ32" s="10"/>
      <c r="FA32" s="10"/>
      <c r="FB32" s="10"/>
      <c r="FF32" s="10"/>
      <c r="FG32" s="10"/>
      <c r="FH32" s="10"/>
      <c r="FI32" s="10"/>
    </row>
    <row r="33" spans="2:165" outlineLevel="1">
      <c r="B33" t="s">
        <v>28</v>
      </c>
      <c r="E33" s="9"/>
      <c r="F33" t="s">
        <v>133</v>
      </c>
      <c r="G33" s="10"/>
      <c r="I33" s="9">
        <f t="shared" si="2"/>
        <v>0</v>
      </c>
      <c r="J33" s="11" cm="1">
        <f t="array" ref="J33">MAX(IF($N$3:$EH$3=$J$3,N33:EH33))</f>
        <v>0</v>
      </c>
      <c r="K33" s="11" cm="1">
        <f t="array" ref="K33">MAX(IF($N$3:$EH$3=$J$3,N33:EH33))</f>
        <v>0</v>
      </c>
      <c r="L33" s="9"/>
      <c r="O33" s="10"/>
      <c r="P33" s="10">
        <v>0.5</v>
      </c>
      <c r="Q33" s="10"/>
      <c r="R33" s="10">
        <v>0.5</v>
      </c>
      <c r="V33" s="10"/>
      <c r="W33" s="10">
        <v>0.5</v>
      </c>
      <c r="X33" s="10"/>
      <c r="Y33" s="10">
        <v>0.5</v>
      </c>
      <c r="AC33" s="10"/>
      <c r="AD33" s="10">
        <v>0.5</v>
      </c>
      <c r="AE33" s="10"/>
      <c r="AF33" s="10">
        <v>0.5</v>
      </c>
      <c r="AJ33" s="10"/>
      <c r="AK33" s="10">
        <v>0.8</v>
      </c>
      <c r="AL33" s="10"/>
      <c r="AM33" s="10">
        <v>0.8</v>
      </c>
      <c r="AQ33" s="10"/>
      <c r="AR33" s="10">
        <v>0.8</v>
      </c>
      <c r="AS33" s="10"/>
      <c r="AT33" s="10">
        <v>0.8</v>
      </c>
      <c r="AX33" s="10"/>
      <c r="AY33" s="10">
        <v>0.8</v>
      </c>
      <c r="AZ33" s="10"/>
      <c r="BA33" s="10">
        <v>0.8</v>
      </c>
      <c r="BE33" s="10"/>
      <c r="BF33" s="10">
        <v>0.8</v>
      </c>
      <c r="BG33" s="10"/>
      <c r="BH33" s="10">
        <v>0.8</v>
      </c>
      <c r="BL33" s="10"/>
      <c r="BM33" s="10">
        <v>0.8</v>
      </c>
      <c r="BN33" s="10"/>
      <c r="BO33" s="10">
        <v>0.8</v>
      </c>
      <c r="BS33" s="10"/>
      <c r="BT33" s="10">
        <v>1</v>
      </c>
      <c r="BU33" s="10"/>
      <c r="BV33" s="10">
        <v>1</v>
      </c>
      <c r="BZ33" s="10"/>
      <c r="CA33" s="10">
        <v>1</v>
      </c>
      <c r="CB33" s="10"/>
      <c r="CC33" s="10">
        <v>1</v>
      </c>
      <c r="CG33" s="10"/>
      <c r="CH33" s="10">
        <v>1</v>
      </c>
      <c r="CI33" s="10"/>
      <c r="CJ33" s="10">
        <v>1</v>
      </c>
      <c r="CN33" s="10"/>
      <c r="CO33" s="10">
        <v>1</v>
      </c>
      <c r="CP33" s="10"/>
      <c r="CQ33" s="10">
        <v>1</v>
      </c>
      <c r="CU33" s="10"/>
      <c r="CV33" s="10"/>
      <c r="CW33" s="10"/>
      <c r="CX33" s="10"/>
      <c r="DB33" s="10"/>
      <c r="DC33" s="10"/>
      <c r="DD33" s="10"/>
      <c r="DE33" s="10"/>
      <c r="DI33" s="10"/>
      <c r="DJ33" s="10"/>
      <c r="DK33" s="10"/>
      <c r="DL33" s="10"/>
      <c r="DP33" s="21"/>
      <c r="DQ33" s="21"/>
      <c r="DR33" s="21"/>
      <c r="DS33" s="21"/>
      <c r="DT33" s="16"/>
      <c r="DW33" s="10"/>
      <c r="DX33" s="10"/>
      <c r="DY33" s="10"/>
      <c r="DZ33" s="10"/>
      <c r="ED33" s="10"/>
      <c r="EE33" s="10"/>
      <c r="EF33" s="10"/>
      <c r="EG33" s="10"/>
      <c r="EK33" s="10"/>
      <c r="EL33" s="10"/>
      <c r="EM33" s="10"/>
      <c r="EN33" s="10"/>
      <c r="ER33" s="10"/>
      <c r="ES33" s="10"/>
      <c r="ET33" s="10"/>
      <c r="EU33" s="10"/>
      <c r="EY33" s="10"/>
      <c r="EZ33" s="10"/>
      <c r="FA33" s="10"/>
      <c r="FB33" s="10"/>
      <c r="FF33" s="10"/>
      <c r="FG33" s="10"/>
      <c r="FH33" s="10"/>
      <c r="FI33" s="10"/>
    </row>
    <row r="34" spans="2:165" outlineLevel="1">
      <c r="B34" t="s">
        <v>28</v>
      </c>
      <c r="E34" s="9"/>
      <c r="F34" t="s">
        <v>132</v>
      </c>
      <c r="G34" s="10"/>
      <c r="I34" s="9">
        <f t="shared" si="2"/>
        <v>0</v>
      </c>
      <c r="J34" s="11" cm="1">
        <f t="array" ref="J34">MAX(IF($N$3:$EH$3=$J$3,N34:EH34))</f>
        <v>0</v>
      </c>
      <c r="K34" s="11" cm="1">
        <f t="array" ref="K34">MAX(IF($N$3:$EH$3=$J$3,N34:EH34))</f>
        <v>0</v>
      </c>
      <c r="L34" s="9"/>
      <c r="O34" s="10"/>
      <c r="P34" s="10"/>
      <c r="Q34" s="10"/>
      <c r="R34" s="10"/>
      <c r="V34" s="10"/>
      <c r="W34" s="10">
        <v>0.5</v>
      </c>
      <c r="X34" s="10"/>
      <c r="Y34" s="10">
        <v>0.5</v>
      </c>
      <c r="AC34" s="10"/>
      <c r="AD34" s="10">
        <v>0.5</v>
      </c>
      <c r="AE34" s="10"/>
      <c r="AF34" s="10">
        <v>0.5</v>
      </c>
      <c r="AJ34" s="10"/>
      <c r="AK34" s="10">
        <v>0.5</v>
      </c>
      <c r="AL34" s="10"/>
      <c r="AM34" s="10">
        <v>0.5</v>
      </c>
      <c r="AQ34" s="10"/>
      <c r="AR34" s="10">
        <v>0.8</v>
      </c>
      <c r="AS34" s="10"/>
      <c r="AT34" s="10">
        <v>0.8</v>
      </c>
      <c r="AX34" s="10"/>
      <c r="AY34" s="10">
        <v>0.8</v>
      </c>
      <c r="AZ34" s="10"/>
      <c r="BA34" s="10">
        <v>0.8</v>
      </c>
      <c r="BE34" s="10"/>
      <c r="BF34" s="10">
        <v>0.8</v>
      </c>
      <c r="BG34" s="10"/>
      <c r="BH34" s="10">
        <v>0.8</v>
      </c>
      <c r="BL34" s="10"/>
      <c r="BM34" s="10">
        <v>0.8</v>
      </c>
      <c r="BN34" s="10"/>
      <c r="BO34" s="10">
        <v>0.8</v>
      </c>
      <c r="BS34" s="10"/>
      <c r="BT34" s="10">
        <v>0.8</v>
      </c>
      <c r="BU34" s="10"/>
      <c r="BV34" s="10">
        <v>0.8</v>
      </c>
      <c r="BZ34" s="10"/>
      <c r="CA34" s="10">
        <v>1</v>
      </c>
      <c r="CB34" s="10"/>
      <c r="CC34" s="10">
        <v>1</v>
      </c>
      <c r="CG34" s="10"/>
      <c r="CH34" s="10">
        <v>1</v>
      </c>
      <c r="CI34" s="10"/>
      <c r="CJ34" s="10">
        <v>1</v>
      </c>
      <c r="CN34" s="10"/>
      <c r="CO34" s="10">
        <v>1</v>
      </c>
      <c r="CP34" s="10"/>
      <c r="CQ34" s="10">
        <v>1</v>
      </c>
      <c r="CU34" s="10"/>
      <c r="CV34" s="10"/>
      <c r="CW34" s="10"/>
      <c r="CX34" s="10"/>
      <c r="DB34" s="10"/>
      <c r="DC34" s="10"/>
      <c r="DD34" s="10"/>
      <c r="DE34" s="10"/>
      <c r="DI34" s="10"/>
      <c r="DJ34" s="10"/>
      <c r="DK34" s="10"/>
      <c r="DL34" s="10"/>
      <c r="DP34" s="21"/>
      <c r="DQ34" s="21"/>
      <c r="DR34" s="21"/>
      <c r="DS34" s="21"/>
      <c r="DT34" s="16"/>
      <c r="DW34" s="10"/>
      <c r="DX34" s="10"/>
      <c r="DY34" s="10"/>
      <c r="DZ34" s="10"/>
      <c r="ED34" s="10"/>
      <c r="EE34" s="10"/>
      <c r="EF34" s="10"/>
      <c r="EG34" s="10"/>
      <c r="EK34" s="10"/>
      <c r="EL34" s="10"/>
      <c r="EM34" s="10"/>
      <c r="EN34" s="10"/>
      <c r="ER34" s="10"/>
      <c r="ES34" s="10"/>
      <c r="ET34" s="10"/>
      <c r="EU34" s="10"/>
      <c r="EY34" s="10"/>
      <c r="EZ34" s="10"/>
      <c r="FA34" s="10"/>
      <c r="FB34" s="10"/>
      <c r="FF34" s="10"/>
      <c r="FG34" s="10"/>
      <c r="FH34" s="10"/>
      <c r="FI34" s="10"/>
    </row>
    <row r="35" spans="2:165" outlineLevel="1">
      <c r="B35" t="s">
        <v>28</v>
      </c>
      <c r="E35" s="9"/>
      <c r="F35" t="s">
        <v>134</v>
      </c>
      <c r="G35" s="10"/>
      <c r="I35" s="9">
        <f t="shared" si="2"/>
        <v>0</v>
      </c>
      <c r="J35" s="11" cm="1">
        <f t="array" ref="J35">MAX(IF($N$3:$EH$3=$J$3,N35:EH35))</f>
        <v>0</v>
      </c>
      <c r="K35" s="11" cm="1">
        <f t="array" ref="K35">MAX(IF($N$3:$EH$3=$J$3,N35:EH35))</f>
        <v>0</v>
      </c>
      <c r="L35" s="9"/>
      <c r="O35" s="10"/>
      <c r="P35" s="10"/>
      <c r="Q35" s="10"/>
      <c r="R35" s="10"/>
      <c r="V35" s="10"/>
      <c r="W35" s="10">
        <v>0.5</v>
      </c>
      <c r="X35" s="10"/>
      <c r="Y35" s="10">
        <v>0.5</v>
      </c>
      <c r="AC35" s="10"/>
      <c r="AD35" s="10">
        <v>0.5</v>
      </c>
      <c r="AE35" s="10"/>
      <c r="AF35" s="10">
        <v>0.5</v>
      </c>
      <c r="AJ35" s="10"/>
      <c r="AK35" s="10">
        <v>0.5</v>
      </c>
      <c r="AL35" s="10"/>
      <c r="AM35" s="10">
        <v>0.5</v>
      </c>
      <c r="AQ35" s="10"/>
      <c r="AR35" s="10">
        <v>0.5</v>
      </c>
      <c r="AS35" s="10"/>
      <c r="AT35" s="10">
        <v>0.5</v>
      </c>
      <c r="AX35" s="10"/>
      <c r="AY35" s="10">
        <v>0.8</v>
      </c>
      <c r="AZ35" s="10"/>
      <c r="BA35" s="10">
        <v>0.8</v>
      </c>
      <c r="BE35" s="10"/>
      <c r="BF35" s="10">
        <v>0.8</v>
      </c>
      <c r="BG35" s="10"/>
      <c r="BH35" s="10">
        <v>0.8</v>
      </c>
      <c r="BL35" s="10"/>
      <c r="BM35" s="10">
        <v>0.8</v>
      </c>
      <c r="BN35" s="10"/>
      <c r="BO35" s="10">
        <v>0.8</v>
      </c>
      <c r="BS35" s="10"/>
      <c r="BT35" s="10">
        <v>0.8</v>
      </c>
      <c r="BU35" s="10"/>
      <c r="BV35" s="10">
        <v>0.8</v>
      </c>
      <c r="BZ35" s="10"/>
      <c r="CA35" s="10">
        <v>1</v>
      </c>
      <c r="CB35" s="10"/>
      <c r="CC35" s="10">
        <v>1</v>
      </c>
      <c r="CG35" s="10"/>
      <c r="CH35" s="10">
        <v>1</v>
      </c>
      <c r="CI35" s="10"/>
      <c r="CJ35" s="10">
        <v>1</v>
      </c>
      <c r="CN35" s="10"/>
      <c r="CO35" s="10">
        <v>1</v>
      </c>
      <c r="CP35" s="10"/>
      <c r="CQ35" s="10">
        <v>1</v>
      </c>
      <c r="CU35" s="10"/>
      <c r="CV35" s="10"/>
      <c r="CW35" s="10"/>
      <c r="CX35" s="10"/>
      <c r="DB35" s="10"/>
      <c r="DC35" s="10"/>
      <c r="DD35" s="10"/>
      <c r="DE35" s="10"/>
      <c r="DI35" s="10"/>
      <c r="DJ35" s="10"/>
      <c r="DK35" s="10"/>
      <c r="DL35" s="10"/>
      <c r="DP35" s="21"/>
      <c r="DQ35" s="21"/>
      <c r="DR35" s="21"/>
      <c r="DS35" s="21"/>
      <c r="DT35" s="16"/>
      <c r="DW35" s="10"/>
      <c r="DX35" s="10"/>
      <c r="DY35" s="10"/>
      <c r="DZ35" s="10"/>
      <c r="ED35" s="10"/>
      <c r="EE35" s="10"/>
      <c r="EF35" s="10"/>
      <c r="EG35" s="10"/>
      <c r="EK35" s="10"/>
      <c r="EL35" s="10"/>
      <c r="EM35" s="10"/>
      <c r="EN35" s="10"/>
      <c r="ER35" s="10"/>
      <c r="ES35" s="10"/>
      <c r="ET35" s="10"/>
      <c r="EU35" s="10"/>
      <c r="EY35" s="10"/>
      <c r="EZ35" s="10"/>
      <c r="FA35" s="10"/>
      <c r="FB35" s="10"/>
      <c r="FF35" s="10"/>
      <c r="FG35" s="10"/>
      <c r="FH35" s="10"/>
      <c r="FI35" s="10"/>
    </row>
    <row r="36" spans="2:165" outlineLevel="1">
      <c r="B36" t="s">
        <v>28</v>
      </c>
      <c r="E36" s="9"/>
      <c r="F36" t="s">
        <v>135</v>
      </c>
      <c r="G36" s="10"/>
      <c r="I36" s="9">
        <f t="shared" si="2"/>
        <v>0</v>
      </c>
      <c r="J36" s="11" cm="1">
        <f t="array" ref="J36">MAX(IF($N$3:$EH$3=$J$3,N36:EH36))</f>
        <v>0</v>
      </c>
      <c r="K36" s="11" cm="1">
        <f t="array" ref="K36">MAX(IF($N$3:$EH$3=$J$3,N36:EH36))</f>
        <v>0</v>
      </c>
      <c r="L36" s="9"/>
      <c r="O36" s="10"/>
      <c r="P36" s="10"/>
      <c r="Q36" s="10"/>
      <c r="R36" s="10"/>
      <c r="V36" s="10"/>
      <c r="W36" s="10"/>
      <c r="X36" s="10"/>
      <c r="Y36" s="10"/>
      <c r="AC36" s="10"/>
      <c r="AD36" s="10"/>
      <c r="AE36" s="10"/>
      <c r="AF36" s="10"/>
      <c r="AJ36" s="10"/>
      <c r="AK36" s="10">
        <v>0.5</v>
      </c>
      <c r="AL36" s="10"/>
      <c r="AM36" s="10">
        <v>0.5</v>
      </c>
      <c r="AQ36" s="10"/>
      <c r="AR36" s="10">
        <v>0.5</v>
      </c>
      <c r="AS36" s="10"/>
      <c r="AT36" s="10">
        <v>0.5</v>
      </c>
      <c r="AX36" s="10"/>
      <c r="AY36" s="10">
        <v>0.5</v>
      </c>
      <c r="AZ36" s="10"/>
      <c r="BA36" s="10">
        <v>0.5</v>
      </c>
      <c r="BE36" s="10"/>
      <c r="BF36" s="10">
        <v>0.5</v>
      </c>
      <c r="BG36" s="10"/>
      <c r="BH36" s="10">
        <v>0.5</v>
      </c>
      <c r="BL36" s="10"/>
      <c r="BM36" s="10">
        <v>0.8</v>
      </c>
      <c r="BN36" s="10"/>
      <c r="BO36" s="10">
        <v>0.8</v>
      </c>
      <c r="BS36" s="10"/>
      <c r="BT36" s="10">
        <v>0.8</v>
      </c>
      <c r="BU36" s="10"/>
      <c r="BV36" s="10">
        <v>0.8</v>
      </c>
      <c r="BZ36" s="10"/>
      <c r="CA36" s="10">
        <v>0.8</v>
      </c>
      <c r="CB36" s="10"/>
      <c r="CC36" s="10">
        <v>0.8</v>
      </c>
      <c r="CG36" s="10"/>
      <c r="CH36" s="10">
        <v>1</v>
      </c>
      <c r="CI36" s="10"/>
      <c r="CJ36" s="10">
        <v>1</v>
      </c>
      <c r="CN36" s="10"/>
      <c r="CO36" s="10">
        <v>1</v>
      </c>
      <c r="CP36" s="10"/>
      <c r="CQ36" s="10">
        <v>1</v>
      </c>
      <c r="CU36" s="10"/>
      <c r="CV36" s="10"/>
      <c r="CW36" s="10"/>
      <c r="CX36" s="10"/>
      <c r="DB36" s="10"/>
      <c r="DC36" s="10"/>
      <c r="DD36" s="10"/>
      <c r="DE36" s="10"/>
      <c r="DI36" s="10"/>
      <c r="DJ36" s="10"/>
      <c r="DK36" s="10"/>
      <c r="DL36" s="10"/>
      <c r="DP36" s="21"/>
      <c r="DQ36" s="21"/>
      <c r="DR36" s="21"/>
      <c r="DS36" s="21"/>
      <c r="DT36" s="16"/>
      <c r="DW36" s="10"/>
      <c r="DX36" s="10"/>
      <c r="DY36" s="10"/>
      <c r="DZ36" s="10"/>
      <c r="ED36" s="10"/>
      <c r="EE36" s="10"/>
      <c r="EF36" s="10"/>
      <c r="EG36" s="10"/>
      <c r="EK36" s="10"/>
      <c r="EL36" s="10"/>
      <c r="EM36" s="10"/>
      <c r="EN36" s="10"/>
      <c r="ER36" s="10"/>
      <c r="ES36" s="10"/>
      <c r="ET36" s="10"/>
      <c r="EU36" s="10"/>
      <c r="EY36" s="10"/>
      <c r="EZ36" s="10"/>
      <c r="FA36" s="10"/>
      <c r="FB36" s="10"/>
      <c r="FF36" s="10"/>
      <c r="FG36" s="10"/>
      <c r="FH36" s="10"/>
      <c r="FI36" s="10"/>
    </row>
    <row r="37" spans="2:165" outlineLevel="1">
      <c r="B37" t="s">
        <v>28</v>
      </c>
      <c r="E37" s="9"/>
      <c r="F37" t="s">
        <v>137</v>
      </c>
      <c r="G37" s="10"/>
      <c r="I37" s="9">
        <f t="shared" si="2"/>
        <v>0</v>
      </c>
      <c r="J37" s="11" cm="1">
        <f t="array" ref="J37">MAX(IF($N$3:$EH$3=$J$3,N37:EH37))</f>
        <v>0</v>
      </c>
      <c r="K37" s="11" cm="1">
        <f t="array" ref="K37">MAX(IF($N$3:$EH$3=$J$3,N37:EH37))</f>
        <v>0</v>
      </c>
      <c r="L37" s="9"/>
      <c r="O37" s="10"/>
      <c r="P37" s="10"/>
      <c r="Q37" s="10"/>
      <c r="R37" s="10"/>
      <c r="V37" s="10"/>
      <c r="W37" s="10"/>
      <c r="X37" s="10"/>
      <c r="Y37" s="10"/>
      <c r="AC37" s="10"/>
      <c r="AD37" s="10"/>
      <c r="AE37" s="10"/>
      <c r="AF37" s="10"/>
      <c r="AJ37" s="10"/>
      <c r="AK37" s="10"/>
      <c r="AL37" s="10"/>
      <c r="AM37" s="10"/>
      <c r="AQ37" s="10"/>
      <c r="AR37" s="10">
        <v>0.5</v>
      </c>
      <c r="AS37" s="10"/>
      <c r="AT37" s="10">
        <v>0.5</v>
      </c>
      <c r="AX37" s="10"/>
      <c r="AY37" s="10">
        <v>0.5</v>
      </c>
      <c r="AZ37" s="10"/>
      <c r="BA37" s="10">
        <v>0.5</v>
      </c>
      <c r="BE37" s="10"/>
      <c r="BF37" s="10">
        <v>0.5</v>
      </c>
      <c r="BG37" s="10"/>
      <c r="BH37" s="10">
        <v>0.5</v>
      </c>
      <c r="BL37" s="10"/>
      <c r="BM37" s="10">
        <v>0.8</v>
      </c>
      <c r="BN37" s="10"/>
      <c r="BO37" s="10">
        <v>0.8</v>
      </c>
      <c r="BS37" s="10"/>
      <c r="BT37" s="10">
        <v>0.8</v>
      </c>
      <c r="BU37" s="10"/>
      <c r="BV37" s="10">
        <v>0.8</v>
      </c>
      <c r="BZ37" s="10"/>
      <c r="CA37" s="10">
        <v>0.8</v>
      </c>
      <c r="CB37" s="10"/>
      <c r="CC37" s="10">
        <v>0.8</v>
      </c>
      <c r="CG37" s="10"/>
      <c r="CH37" s="10">
        <v>1</v>
      </c>
      <c r="CI37" s="10"/>
      <c r="CJ37" s="10">
        <v>1</v>
      </c>
      <c r="CN37" s="10"/>
      <c r="CO37" s="10">
        <v>1</v>
      </c>
      <c r="CP37" s="10"/>
      <c r="CQ37" s="10">
        <v>1</v>
      </c>
      <c r="CU37" s="10"/>
      <c r="CV37" s="10"/>
      <c r="CW37" s="10"/>
      <c r="CX37" s="10"/>
      <c r="DB37" s="10"/>
      <c r="DC37" s="10"/>
      <c r="DD37" s="10"/>
      <c r="DE37" s="10"/>
      <c r="DI37" s="10"/>
      <c r="DJ37" s="10"/>
      <c r="DK37" s="10"/>
      <c r="DL37" s="10"/>
      <c r="DP37" s="21"/>
      <c r="DQ37" s="21"/>
      <c r="DR37" s="21"/>
      <c r="DS37" s="21"/>
      <c r="DT37" s="16"/>
      <c r="DW37" s="10"/>
      <c r="DX37" s="10"/>
      <c r="DY37" s="10"/>
      <c r="DZ37" s="10"/>
      <c r="ED37" s="10"/>
      <c r="EE37" s="10"/>
      <c r="EF37" s="10"/>
      <c r="EG37" s="10"/>
      <c r="EK37" s="10"/>
      <c r="EL37" s="10"/>
      <c r="EM37" s="10"/>
      <c r="EN37" s="10"/>
      <c r="ER37" s="10"/>
      <c r="ES37" s="10"/>
      <c r="ET37" s="10"/>
      <c r="EU37" s="10"/>
      <c r="EY37" s="10"/>
      <c r="EZ37" s="10"/>
      <c r="FA37" s="10"/>
      <c r="FB37" s="10"/>
      <c r="FF37" s="10"/>
      <c r="FG37" s="10"/>
      <c r="FH37" s="10"/>
      <c r="FI37" s="10"/>
    </row>
    <row r="38" spans="2:165" outlineLevel="1">
      <c r="B38" t="s">
        <v>28</v>
      </c>
      <c r="E38" s="9"/>
      <c r="F38" t="s">
        <v>138</v>
      </c>
      <c r="G38" s="10"/>
      <c r="I38" s="9">
        <f t="shared" si="2"/>
        <v>0</v>
      </c>
      <c r="J38" s="11" cm="1">
        <f t="array" ref="J38">MAX(IF($N$3:$EH$3=$J$3,N38:EH38))</f>
        <v>0</v>
      </c>
      <c r="K38" s="11" cm="1">
        <f t="array" ref="K38">MAX(IF($N$3:$EH$3=$J$3,N38:EH38))</f>
        <v>0</v>
      </c>
      <c r="L38" s="9"/>
      <c r="O38" s="10"/>
      <c r="P38" s="10"/>
      <c r="Q38" s="10"/>
      <c r="R38" s="10"/>
      <c r="V38" s="10"/>
      <c r="W38" s="10"/>
      <c r="X38" s="10"/>
      <c r="Y38" s="10"/>
      <c r="AC38" s="10"/>
      <c r="AD38" s="10"/>
      <c r="AE38" s="10"/>
      <c r="AF38" s="10"/>
      <c r="AJ38" s="10"/>
      <c r="AK38" s="10"/>
      <c r="AL38" s="10"/>
      <c r="AM38" s="10"/>
      <c r="AQ38" s="10"/>
      <c r="AR38" s="10"/>
      <c r="AS38" s="10"/>
      <c r="AT38" s="10"/>
      <c r="AX38" s="10"/>
      <c r="AY38" s="10">
        <v>0.5</v>
      </c>
      <c r="AZ38" s="10"/>
      <c r="BA38" s="10">
        <v>0.5</v>
      </c>
      <c r="BE38" s="10"/>
      <c r="BF38" s="10">
        <v>0.5</v>
      </c>
      <c r="BG38" s="10"/>
      <c r="BH38" s="10">
        <v>0.5</v>
      </c>
      <c r="BL38" s="10"/>
      <c r="BM38" s="10">
        <v>0.5</v>
      </c>
      <c r="BN38" s="10"/>
      <c r="BO38" s="10">
        <v>0.5</v>
      </c>
      <c r="BS38" s="10"/>
      <c r="BT38" s="10">
        <v>0.8</v>
      </c>
      <c r="BU38" s="10"/>
      <c r="BV38" s="10">
        <v>0.8</v>
      </c>
      <c r="BZ38" s="10"/>
      <c r="CA38" s="10">
        <v>0.8</v>
      </c>
      <c r="CB38" s="10"/>
      <c r="CC38" s="10">
        <v>0.8</v>
      </c>
      <c r="CG38" s="10"/>
      <c r="CH38" s="10">
        <v>0.8</v>
      </c>
      <c r="CI38" s="10"/>
      <c r="CJ38" s="10">
        <v>0.8</v>
      </c>
      <c r="CN38" s="10"/>
      <c r="CO38" s="10">
        <v>1</v>
      </c>
      <c r="CP38" s="10"/>
      <c r="CQ38" s="10">
        <v>1</v>
      </c>
      <c r="CU38" s="10"/>
      <c r="CV38" s="10"/>
      <c r="CW38" s="10"/>
      <c r="CX38" s="10"/>
      <c r="DB38" s="10"/>
      <c r="DC38" s="10"/>
      <c r="DD38" s="10"/>
      <c r="DE38" s="10"/>
      <c r="DI38" s="10"/>
      <c r="DJ38" s="10"/>
      <c r="DK38" s="10"/>
      <c r="DL38" s="10"/>
      <c r="DP38" s="21"/>
      <c r="DQ38" s="21"/>
      <c r="DR38" s="21"/>
      <c r="DS38" s="21"/>
      <c r="DT38" s="16"/>
      <c r="DW38" s="10"/>
      <c r="DX38" s="10"/>
      <c r="DY38" s="10"/>
      <c r="DZ38" s="10"/>
      <c r="ED38" s="10"/>
      <c r="EE38" s="10"/>
      <c r="EF38" s="10"/>
      <c r="EG38" s="10"/>
      <c r="EK38" s="10"/>
      <c r="EL38" s="10"/>
      <c r="EM38" s="10"/>
      <c r="EN38" s="10"/>
      <c r="ER38" s="10"/>
      <c r="ES38" s="10"/>
      <c r="ET38" s="10"/>
      <c r="EU38" s="10"/>
      <c r="EY38" s="10"/>
      <c r="EZ38" s="10"/>
      <c r="FA38" s="10"/>
      <c r="FB38" s="10"/>
      <c r="FF38" s="10"/>
      <c r="FG38" s="10"/>
      <c r="FH38" s="10"/>
      <c r="FI38" s="10"/>
    </row>
    <row r="39" spans="2:165" outlineLevel="1">
      <c r="B39" t="s">
        <v>28</v>
      </c>
      <c r="E39" s="9"/>
      <c r="F39" t="s">
        <v>139</v>
      </c>
      <c r="G39" s="10"/>
      <c r="I39" s="9">
        <f t="shared" si="2"/>
        <v>0</v>
      </c>
      <c r="J39" s="11" cm="1">
        <f t="array" ref="J39">MAX(IF($N$3:$EH$3=$J$3,N39:EH39))</f>
        <v>0</v>
      </c>
      <c r="K39" s="11" cm="1">
        <f t="array" ref="K39">MAX(IF($N$3:$EH$3=$J$3,N39:EH39))</f>
        <v>0</v>
      </c>
      <c r="L39" s="9"/>
      <c r="O39" s="10"/>
      <c r="P39" s="10"/>
      <c r="Q39" s="10"/>
      <c r="R39" s="10"/>
      <c r="V39" s="10"/>
      <c r="W39" s="10"/>
      <c r="X39" s="10"/>
      <c r="Y39" s="10"/>
      <c r="AC39" s="10"/>
      <c r="AD39" s="10"/>
      <c r="AE39" s="10"/>
      <c r="AF39" s="10"/>
      <c r="AJ39" s="10"/>
      <c r="AK39" s="10"/>
      <c r="AL39" s="10"/>
      <c r="AM39" s="10"/>
      <c r="AQ39" s="10"/>
      <c r="AR39" s="10"/>
      <c r="AS39" s="10"/>
      <c r="AT39" s="10"/>
      <c r="AX39" s="10"/>
      <c r="AY39" s="10"/>
      <c r="AZ39" s="10"/>
      <c r="BA39" s="10"/>
      <c r="BE39" s="10"/>
      <c r="BF39" s="10">
        <v>0.5</v>
      </c>
      <c r="BG39" s="10"/>
      <c r="BH39" s="10">
        <v>0.5</v>
      </c>
      <c r="BL39" s="10"/>
      <c r="BM39" s="10">
        <v>0.5</v>
      </c>
      <c r="BN39" s="10"/>
      <c r="BO39" s="10">
        <v>0.5</v>
      </c>
      <c r="BS39" s="10"/>
      <c r="BT39" s="10">
        <v>0.5</v>
      </c>
      <c r="BU39" s="10"/>
      <c r="BV39" s="10">
        <v>0.5</v>
      </c>
      <c r="BZ39" s="10"/>
      <c r="CA39" s="10">
        <v>0.8</v>
      </c>
      <c r="CB39" s="10"/>
      <c r="CC39" s="10">
        <v>0.8</v>
      </c>
      <c r="CG39" s="10"/>
      <c r="CH39" s="10">
        <v>0.8</v>
      </c>
      <c r="CI39" s="10"/>
      <c r="CJ39" s="10">
        <v>0.8</v>
      </c>
      <c r="CN39" s="10"/>
      <c r="CO39" s="10">
        <v>1</v>
      </c>
      <c r="CP39" s="10"/>
      <c r="CQ39" s="10">
        <v>1</v>
      </c>
      <c r="CU39" s="10"/>
      <c r="CV39" s="10"/>
      <c r="CW39" s="10"/>
      <c r="CX39" s="10"/>
      <c r="DB39" s="10"/>
      <c r="DC39" s="10"/>
      <c r="DD39" s="10"/>
      <c r="DE39" s="10"/>
      <c r="DI39" s="10"/>
      <c r="DJ39" s="10"/>
      <c r="DK39" s="10"/>
      <c r="DL39" s="10"/>
      <c r="DP39" s="21"/>
      <c r="DQ39" s="21"/>
      <c r="DR39" s="21"/>
      <c r="DS39" s="21"/>
      <c r="DT39" s="16"/>
      <c r="DW39" s="10"/>
      <c r="DX39" s="10"/>
      <c r="DY39" s="10"/>
      <c r="DZ39" s="10"/>
      <c r="ED39" s="10"/>
      <c r="EE39" s="10"/>
      <c r="EF39" s="10"/>
      <c r="EG39" s="10"/>
      <c r="EK39" s="10"/>
      <c r="EL39" s="10"/>
      <c r="EM39" s="10"/>
      <c r="EN39" s="10"/>
      <c r="ER39" s="10"/>
      <c r="ES39" s="10"/>
      <c r="ET39" s="10"/>
      <c r="EU39" s="10"/>
      <c r="EY39" s="10"/>
      <c r="EZ39" s="10"/>
      <c r="FA39" s="10"/>
      <c r="FB39" s="10"/>
      <c r="FF39" s="10"/>
      <c r="FG39" s="10"/>
      <c r="FH39" s="10"/>
      <c r="FI39" s="10"/>
    </row>
    <row r="40" spans="2:165">
      <c r="L40" s="9" t="s">
        <v>152</v>
      </c>
      <c r="CJ40" s="10"/>
      <c r="DP40" s="22"/>
      <c r="DQ40" s="22"/>
      <c r="DR40" s="22"/>
      <c r="DS40" s="22"/>
      <c r="DT40" s="16"/>
    </row>
    <row r="41" spans="2:165">
      <c r="B41" t="s">
        <v>27</v>
      </c>
      <c r="C41" t="s">
        <v>107</v>
      </c>
      <c r="D41" s="19">
        <v>45344</v>
      </c>
      <c r="E41" s="9">
        <v>5</v>
      </c>
      <c r="G41" s="10">
        <f>+SUM(G42:G49)</f>
        <v>0</v>
      </c>
      <c r="I41" s="12">
        <f>+SUM(I42:I49)</f>
        <v>0</v>
      </c>
      <c r="J41" s="11" cm="1">
        <f t="array" ref="J41">MAX(IF($N$3:$EH$3=$J$3,N41:EH41))</f>
        <v>0</v>
      </c>
      <c r="K41" s="11" cm="1">
        <f t="array" ref="K41">MAX(IF($N$3:$EH$3=$J$3,N41:EH41))</f>
        <v>0</v>
      </c>
      <c r="L41" s="9"/>
      <c r="N41" s="12"/>
      <c r="U41" s="12"/>
      <c r="AB41" s="12"/>
      <c r="AI41" s="12"/>
      <c r="AP41" s="12"/>
    </row>
    <row r="42" spans="2:165" outlineLevel="1">
      <c r="B42" t="s">
        <v>28</v>
      </c>
      <c r="E42" s="9"/>
      <c r="F42" t="s">
        <v>141</v>
      </c>
      <c r="G42" s="10"/>
      <c r="I42" s="9">
        <f t="shared" ref="I42:I49" si="3">+SUMIF($N$3:$ZZ$3,I$3,$N42:$ZZ42)</f>
        <v>0</v>
      </c>
      <c r="J42" s="11" cm="1">
        <f t="array" ref="J42">MAX(IF($N$3:$EH$3=$J$3,N42:EH42))</f>
        <v>0</v>
      </c>
      <c r="K42" s="11" cm="1">
        <f t="array" ref="K42">MAX(IF($N$3:$EH$3=$J$3,N42:EH42))</f>
        <v>0</v>
      </c>
      <c r="L42" s="9"/>
      <c r="O42" s="10"/>
      <c r="P42" s="10">
        <v>0.5</v>
      </c>
      <c r="Q42" s="10"/>
      <c r="R42" s="10">
        <v>0.5</v>
      </c>
      <c r="V42" s="10"/>
      <c r="W42" s="10">
        <v>0.5</v>
      </c>
      <c r="X42" s="10"/>
      <c r="Y42" s="10">
        <v>0.5</v>
      </c>
      <c r="AC42" s="10"/>
      <c r="AD42" s="10">
        <v>0.8</v>
      </c>
      <c r="AE42" s="10"/>
      <c r="AF42" s="10">
        <v>0.8</v>
      </c>
      <c r="AJ42" s="10"/>
      <c r="AK42" s="10">
        <v>0.8</v>
      </c>
      <c r="AL42" s="10"/>
      <c r="AM42" s="10">
        <v>0.8</v>
      </c>
      <c r="AQ42" s="10"/>
      <c r="AR42" s="10">
        <v>0.8</v>
      </c>
      <c r="AS42" s="10"/>
      <c r="AT42" s="10">
        <v>0.8</v>
      </c>
      <c r="AX42" s="10"/>
      <c r="AY42" s="10">
        <v>0.8</v>
      </c>
      <c r="AZ42" s="10"/>
      <c r="BA42" s="10">
        <v>0.8</v>
      </c>
      <c r="BE42" s="10"/>
      <c r="BF42" s="10">
        <v>1</v>
      </c>
      <c r="BG42" s="10"/>
      <c r="BH42" s="10">
        <v>1</v>
      </c>
      <c r="BL42" s="10"/>
      <c r="BM42" s="10">
        <v>1</v>
      </c>
      <c r="BN42" s="10"/>
      <c r="BO42" s="10">
        <v>1</v>
      </c>
      <c r="BS42" s="10"/>
      <c r="BT42" s="10">
        <v>1</v>
      </c>
      <c r="BU42" s="10"/>
      <c r="BV42" s="10">
        <v>1</v>
      </c>
      <c r="BZ42" s="10"/>
      <c r="CA42" s="10">
        <v>1</v>
      </c>
      <c r="CB42" s="10"/>
      <c r="CC42" s="10">
        <v>1</v>
      </c>
      <c r="CG42" s="10"/>
      <c r="CH42" s="10">
        <v>1</v>
      </c>
      <c r="CI42" s="10"/>
      <c r="CJ42" s="10">
        <v>1</v>
      </c>
      <c r="CN42" s="10"/>
      <c r="CO42" s="10">
        <v>1</v>
      </c>
      <c r="CP42" s="10"/>
      <c r="CQ42" s="10">
        <v>1</v>
      </c>
      <c r="CU42" s="10"/>
      <c r="CV42" s="10"/>
      <c r="CW42" s="10"/>
      <c r="CX42" s="10"/>
      <c r="DB42" s="10"/>
      <c r="DC42" s="10"/>
      <c r="DD42" s="10"/>
      <c r="DE42" s="10"/>
      <c r="DI42" s="10"/>
      <c r="DJ42" s="10"/>
      <c r="DK42" s="10"/>
      <c r="DL42" s="10"/>
      <c r="DP42" s="10"/>
      <c r="DQ42" s="10"/>
      <c r="DR42" s="10"/>
      <c r="DS42" s="10"/>
      <c r="DW42" s="21"/>
      <c r="DX42" s="21"/>
      <c r="DY42" s="21"/>
      <c r="DZ42" s="21"/>
      <c r="EA42" s="16" t="s">
        <v>150</v>
      </c>
      <c r="ED42" s="10"/>
      <c r="EE42" s="10"/>
      <c r="EF42" s="10"/>
      <c r="EG42" s="10"/>
      <c r="EK42" s="10"/>
      <c r="EL42" s="10"/>
      <c r="EM42" s="10"/>
      <c r="EN42" s="10"/>
      <c r="ER42" s="10"/>
      <c r="ES42" s="10"/>
      <c r="ET42" s="10"/>
      <c r="EU42" s="10"/>
      <c r="EY42" s="10"/>
      <c r="EZ42" s="10"/>
      <c r="FA42" s="10"/>
      <c r="FB42" s="10"/>
      <c r="FF42" s="10"/>
      <c r="FG42" s="10"/>
      <c r="FH42" s="10"/>
      <c r="FI42" s="10"/>
    </row>
    <row r="43" spans="2:165" outlineLevel="1">
      <c r="B43" t="s">
        <v>28</v>
      </c>
      <c r="E43" s="9"/>
      <c r="F43" t="s">
        <v>142</v>
      </c>
      <c r="G43" s="10"/>
      <c r="I43" s="9">
        <f t="shared" si="3"/>
        <v>0</v>
      </c>
      <c r="J43" s="11" cm="1">
        <f t="array" ref="J43">MAX(IF($N$3:$EH$3=$J$3,N43:EH43))</f>
        <v>0</v>
      </c>
      <c r="K43" s="11" cm="1">
        <f t="array" ref="K43">MAX(IF($N$3:$EH$3=$J$3,N43:EH43))</f>
        <v>0</v>
      </c>
      <c r="L43" s="9"/>
      <c r="O43" s="10"/>
      <c r="P43" s="10">
        <v>0.5</v>
      </c>
      <c r="Q43" s="10"/>
      <c r="R43" s="10">
        <v>0.5</v>
      </c>
      <c r="V43" s="10"/>
      <c r="W43" s="10">
        <v>0.5</v>
      </c>
      <c r="X43" s="10"/>
      <c r="Y43" s="10">
        <v>0.5</v>
      </c>
      <c r="AC43" s="10"/>
      <c r="AD43" s="10">
        <v>0.5</v>
      </c>
      <c r="AE43" s="10"/>
      <c r="AF43" s="10">
        <v>0.5</v>
      </c>
      <c r="AJ43" s="10"/>
      <c r="AK43" s="10">
        <v>0.8</v>
      </c>
      <c r="AL43" s="10"/>
      <c r="AM43" s="10">
        <v>0.8</v>
      </c>
      <c r="AQ43" s="10"/>
      <c r="AR43" s="10">
        <v>0.8</v>
      </c>
      <c r="AS43" s="10"/>
      <c r="AT43" s="10">
        <v>0.8</v>
      </c>
      <c r="AX43" s="10"/>
      <c r="AY43" s="10">
        <v>0.8</v>
      </c>
      <c r="AZ43" s="10"/>
      <c r="BA43" s="10">
        <v>0.8</v>
      </c>
      <c r="BE43" s="10"/>
      <c r="BF43" s="10">
        <v>0.8</v>
      </c>
      <c r="BG43" s="10"/>
      <c r="BH43" s="10">
        <v>0.8</v>
      </c>
      <c r="BL43" s="10"/>
      <c r="BM43" s="10">
        <v>0.8</v>
      </c>
      <c r="BN43" s="10"/>
      <c r="BO43" s="10">
        <v>0.8</v>
      </c>
      <c r="BS43" s="10"/>
      <c r="BT43" s="10">
        <v>1</v>
      </c>
      <c r="BU43" s="10"/>
      <c r="BV43" s="10">
        <v>1</v>
      </c>
      <c r="BZ43" s="10"/>
      <c r="CA43" s="10">
        <v>1</v>
      </c>
      <c r="CB43" s="10"/>
      <c r="CC43" s="10">
        <v>1</v>
      </c>
      <c r="CG43" s="10"/>
      <c r="CH43" s="10">
        <v>1</v>
      </c>
      <c r="CI43" s="10"/>
      <c r="CJ43" s="10">
        <v>1</v>
      </c>
      <c r="CN43" s="10"/>
      <c r="CO43" s="10">
        <v>1</v>
      </c>
      <c r="CP43" s="10"/>
      <c r="CQ43" s="10">
        <v>1</v>
      </c>
      <c r="CU43" s="10"/>
      <c r="CV43" s="10"/>
      <c r="CW43" s="10"/>
      <c r="CX43" s="10"/>
      <c r="DB43" s="10"/>
      <c r="DC43" s="10"/>
      <c r="DD43" s="10"/>
      <c r="DE43" s="10"/>
      <c r="DI43" s="10"/>
      <c r="DJ43" s="10"/>
      <c r="DK43" s="10"/>
      <c r="DL43" s="10"/>
      <c r="DP43" s="10"/>
      <c r="DQ43" s="10"/>
      <c r="DR43" s="10"/>
      <c r="DS43" s="10"/>
      <c r="DW43" s="21"/>
      <c r="DX43" s="21"/>
      <c r="DY43" s="21"/>
      <c r="DZ43" s="21"/>
      <c r="EA43" s="16"/>
      <c r="ED43" s="10"/>
      <c r="EE43" s="10"/>
      <c r="EF43" s="10"/>
      <c r="EG43" s="10"/>
      <c r="EK43" s="10"/>
      <c r="EL43" s="10"/>
      <c r="EM43" s="10"/>
      <c r="EN43" s="10"/>
      <c r="ER43" s="10"/>
      <c r="ES43" s="10"/>
      <c r="ET43" s="10"/>
      <c r="EU43" s="10"/>
      <c r="EY43" s="10"/>
      <c r="EZ43" s="10"/>
      <c r="FA43" s="10"/>
      <c r="FB43" s="10"/>
      <c r="FF43" s="10"/>
      <c r="FG43" s="10"/>
      <c r="FH43" s="10"/>
      <c r="FI43" s="10"/>
    </row>
    <row r="44" spans="2:165" outlineLevel="1">
      <c r="B44" t="s">
        <v>28</v>
      </c>
      <c r="E44" s="9"/>
      <c r="G44" s="10"/>
      <c r="I44" s="9">
        <f t="shared" si="3"/>
        <v>0</v>
      </c>
      <c r="J44" s="11" cm="1">
        <f t="array" ref="J44">MAX(IF($N$3:$EH$3=$J$3,N44:EH44))</f>
        <v>0</v>
      </c>
      <c r="K44" s="11" cm="1">
        <f t="array" ref="K44">MAX(IF($N$3:$EH$3=$J$3,N44:EH44))</f>
        <v>0</v>
      </c>
      <c r="L44" s="9"/>
      <c r="O44" s="10"/>
      <c r="P44" s="10"/>
      <c r="Q44" s="10"/>
      <c r="R44" s="10"/>
      <c r="V44" s="10"/>
      <c r="W44" s="10">
        <v>0.5</v>
      </c>
      <c r="X44" s="10"/>
      <c r="Y44" s="10">
        <v>0.5</v>
      </c>
      <c r="AC44" s="10"/>
      <c r="AD44" s="10">
        <v>0.5</v>
      </c>
      <c r="AE44" s="10"/>
      <c r="AF44" s="10">
        <v>0.5</v>
      </c>
      <c r="AJ44" s="10"/>
      <c r="AK44" s="10">
        <v>0.5</v>
      </c>
      <c r="AL44" s="10"/>
      <c r="AM44" s="10">
        <v>0.5</v>
      </c>
      <c r="AQ44" s="10"/>
      <c r="AR44" s="10">
        <v>0.8</v>
      </c>
      <c r="AS44" s="10"/>
      <c r="AT44" s="10">
        <v>0.8</v>
      </c>
      <c r="AX44" s="10"/>
      <c r="AY44" s="10">
        <v>0.8</v>
      </c>
      <c r="AZ44" s="10"/>
      <c r="BA44" s="10">
        <v>0.8</v>
      </c>
      <c r="BE44" s="10"/>
      <c r="BF44" s="10">
        <v>0.8</v>
      </c>
      <c r="BG44" s="10"/>
      <c r="BH44" s="10">
        <v>0.8</v>
      </c>
      <c r="BL44" s="10"/>
      <c r="BM44" s="10">
        <v>0.8</v>
      </c>
      <c r="BN44" s="10"/>
      <c r="BO44" s="10">
        <v>0.8</v>
      </c>
      <c r="BS44" s="10"/>
      <c r="BT44" s="10">
        <v>0.8</v>
      </c>
      <c r="BU44" s="10"/>
      <c r="BV44" s="10">
        <v>0.8</v>
      </c>
      <c r="BZ44" s="10"/>
      <c r="CA44" s="10">
        <v>1</v>
      </c>
      <c r="CB44" s="10"/>
      <c r="CC44" s="10">
        <v>1</v>
      </c>
      <c r="CG44" s="10"/>
      <c r="CH44" s="10">
        <v>1</v>
      </c>
      <c r="CI44" s="10"/>
      <c r="CJ44" s="10">
        <v>1</v>
      </c>
      <c r="CN44" s="10"/>
      <c r="CO44" s="10">
        <v>1</v>
      </c>
      <c r="CP44" s="10"/>
      <c r="CQ44" s="10">
        <v>1</v>
      </c>
      <c r="CU44" s="10"/>
      <c r="CV44" s="10"/>
      <c r="CW44" s="10"/>
      <c r="CX44" s="10"/>
      <c r="DB44" s="10"/>
      <c r="DC44" s="10"/>
      <c r="DD44" s="10"/>
      <c r="DE44" s="10"/>
      <c r="DI44" s="10"/>
      <c r="DJ44" s="10"/>
      <c r="DK44" s="10"/>
      <c r="DL44" s="10"/>
      <c r="DP44" s="10"/>
      <c r="DQ44" s="10"/>
      <c r="DR44" s="10"/>
      <c r="DS44" s="10"/>
      <c r="DW44" s="21"/>
      <c r="DX44" s="21"/>
      <c r="DY44" s="21"/>
      <c r="DZ44" s="21"/>
      <c r="EA44" s="16"/>
      <c r="ED44" s="10"/>
      <c r="EE44" s="10"/>
      <c r="EF44" s="10"/>
      <c r="EG44" s="10"/>
      <c r="EK44" s="10"/>
      <c r="EL44" s="10"/>
      <c r="EM44" s="10"/>
      <c r="EN44" s="10"/>
      <c r="ER44" s="10"/>
      <c r="ES44" s="10"/>
      <c r="ET44" s="10"/>
      <c r="EU44" s="10"/>
      <c r="EY44" s="10"/>
      <c r="EZ44" s="10"/>
      <c r="FA44" s="10"/>
      <c r="FB44" s="10"/>
      <c r="FF44" s="10"/>
      <c r="FG44" s="10"/>
      <c r="FH44" s="10"/>
      <c r="FI44" s="10"/>
    </row>
    <row r="45" spans="2:165" outlineLevel="1">
      <c r="B45" t="s">
        <v>28</v>
      </c>
      <c r="E45" s="9"/>
      <c r="G45" s="10"/>
      <c r="I45" s="9">
        <f t="shared" si="3"/>
        <v>0</v>
      </c>
      <c r="J45" s="11" cm="1">
        <f t="array" ref="J45">MAX(IF($N$3:$EH$3=$J$3,N45:EH45))</f>
        <v>0</v>
      </c>
      <c r="K45" s="11" cm="1">
        <f t="array" ref="K45">MAX(IF($N$3:$EH$3=$J$3,N45:EH45))</f>
        <v>0</v>
      </c>
      <c r="L45" s="9"/>
      <c r="O45" s="10"/>
      <c r="P45" s="10"/>
      <c r="Q45" s="10"/>
      <c r="R45" s="10"/>
      <c r="V45" s="10"/>
      <c r="W45" s="10">
        <v>0.5</v>
      </c>
      <c r="X45" s="10"/>
      <c r="Y45" s="10">
        <v>0.5</v>
      </c>
      <c r="AC45" s="10"/>
      <c r="AD45" s="10">
        <v>0.5</v>
      </c>
      <c r="AE45" s="10"/>
      <c r="AF45" s="10">
        <v>0.5</v>
      </c>
      <c r="AJ45" s="10"/>
      <c r="AK45" s="10">
        <v>0.5</v>
      </c>
      <c r="AL45" s="10"/>
      <c r="AM45" s="10">
        <v>0.5</v>
      </c>
      <c r="AQ45" s="10"/>
      <c r="AR45" s="10">
        <v>0.5</v>
      </c>
      <c r="AS45" s="10"/>
      <c r="AT45" s="10">
        <v>0.5</v>
      </c>
      <c r="AX45" s="10"/>
      <c r="AY45" s="10">
        <v>0.8</v>
      </c>
      <c r="AZ45" s="10"/>
      <c r="BA45" s="10">
        <v>0.8</v>
      </c>
      <c r="BE45" s="10"/>
      <c r="BF45" s="10">
        <v>0.8</v>
      </c>
      <c r="BG45" s="10"/>
      <c r="BH45" s="10">
        <v>0.8</v>
      </c>
      <c r="BL45" s="10"/>
      <c r="BM45" s="10">
        <v>0.8</v>
      </c>
      <c r="BN45" s="10"/>
      <c r="BO45" s="10">
        <v>0.8</v>
      </c>
      <c r="BS45" s="10"/>
      <c r="BT45" s="10">
        <v>0.8</v>
      </c>
      <c r="BU45" s="10"/>
      <c r="BV45" s="10">
        <v>0.8</v>
      </c>
      <c r="BZ45" s="10"/>
      <c r="CA45" s="10">
        <v>1</v>
      </c>
      <c r="CB45" s="10"/>
      <c r="CC45" s="10">
        <v>1</v>
      </c>
      <c r="CG45" s="10"/>
      <c r="CH45" s="10">
        <v>1</v>
      </c>
      <c r="CI45" s="10"/>
      <c r="CJ45" s="10">
        <v>1</v>
      </c>
      <c r="CN45" s="10"/>
      <c r="CO45" s="10">
        <v>1</v>
      </c>
      <c r="CP45" s="10"/>
      <c r="CQ45" s="10">
        <v>1</v>
      </c>
      <c r="CU45" s="10"/>
      <c r="CV45" s="10"/>
      <c r="CW45" s="10"/>
      <c r="CX45" s="10"/>
      <c r="DB45" s="10"/>
      <c r="DC45" s="10"/>
      <c r="DD45" s="10"/>
      <c r="DE45" s="10"/>
      <c r="DI45" s="10"/>
      <c r="DJ45" s="10"/>
      <c r="DK45" s="10"/>
      <c r="DL45" s="10"/>
      <c r="DP45" s="10"/>
      <c r="DQ45" s="10"/>
      <c r="DR45" s="10"/>
      <c r="DS45" s="10"/>
      <c r="DW45" s="21"/>
      <c r="DX45" s="21"/>
      <c r="DY45" s="21"/>
      <c r="DZ45" s="21"/>
      <c r="EA45" s="16"/>
      <c r="ED45" s="10"/>
      <c r="EE45" s="10"/>
      <c r="EF45" s="10"/>
      <c r="EG45" s="10"/>
      <c r="EK45" s="10"/>
      <c r="EL45" s="10"/>
      <c r="EM45" s="10"/>
      <c r="EN45" s="10"/>
      <c r="ER45" s="10"/>
      <c r="ES45" s="10"/>
      <c r="ET45" s="10"/>
      <c r="EU45" s="10"/>
      <c r="EY45" s="10"/>
      <c r="EZ45" s="10"/>
      <c r="FA45" s="10"/>
      <c r="FB45" s="10"/>
      <c r="FF45" s="10"/>
      <c r="FG45" s="10"/>
      <c r="FH45" s="10"/>
      <c r="FI45" s="10"/>
    </row>
    <row r="46" spans="2:165" outlineLevel="1">
      <c r="B46" t="s">
        <v>28</v>
      </c>
      <c r="E46" s="9"/>
      <c r="G46" s="10"/>
      <c r="I46" s="9">
        <f t="shared" si="3"/>
        <v>0</v>
      </c>
      <c r="J46" s="11" cm="1">
        <f t="array" ref="J46">MAX(IF($N$3:$EH$3=$J$3,N46:EH46))</f>
        <v>0</v>
      </c>
      <c r="K46" s="11" cm="1">
        <f t="array" ref="K46">MAX(IF($N$3:$EH$3=$J$3,N46:EH46))</f>
        <v>0</v>
      </c>
      <c r="L46" s="9"/>
      <c r="O46" s="10"/>
      <c r="P46" s="10"/>
      <c r="Q46" s="10"/>
      <c r="R46" s="10"/>
      <c r="V46" s="10"/>
      <c r="W46" s="10"/>
      <c r="X46" s="10"/>
      <c r="Y46" s="10"/>
      <c r="AC46" s="10"/>
      <c r="AD46" s="10"/>
      <c r="AE46" s="10"/>
      <c r="AF46" s="10"/>
      <c r="AJ46" s="10"/>
      <c r="AK46" s="10">
        <v>0.5</v>
      </c>
      <c r="AL46" s="10"/>
      <c r="AM46" s="10">
        <v>0.5</v>
      </c>
      <c r="AQ46" s="10"/>
      <c r="AR46" s="10">
        <v>0.5</v>
      </c>
      <c r="AS46" s="10"/>
      <c r="AT46" s="10">
        <v>0.5</v>
      </c>
      <c r="AX46" s="10"/>
      <c r="AY46" s="10">
        <v>0.5</v>
      </c>
      <c r="AZ46" s="10"/>
      <c r="BA46" s="10">
        <v>0.5</v>
      </c>
      <c r="BE46" s="10"/>
      <c r="BF46" s="10">
        <v>0.5</v>
      </c>
      <c r="BG46" s="10"/>
      <c r="BH46" s="10">
        <v>0.5</v>
      </c>
      <c r="BL46" s="10"/>
      <c r="BM46" s="10">
        <v>0.8</v>
      </c>
      <c r="BN46" s="10"/>
      <c r="BO46" s="10">
        <v>0.8</v>
      </c>
      <c r="BS46" s="10"/>
      <c r="BT46" s="10">
        <v>0.8</v>
      </c>
      <c r="BU46" s="10"/>
      <c r="BV46" s="10">
        <v>0.8</v>
      </c>
      <c r="BZ46" s="10"/>
      <c r="CA46" s="10">
        <v>0.8</v>
      </c>
      <c r="CB46" s="10"/>
      <c r="CC46" s="10">
        <v>0.8</v>
      </c>
      <c r="CG46" s="10"/>
      <c r="CH46" s="10">
        <v>1</v>
      </c>
      <c r="CI46" s="10"/>
      <c r="CJ46" s="10">
        <v>1</v>
      </c>
      <c r="CN46" s="10"/>
      <c r="CO46" s="10">
        <v>1</v>
      </c>
      <c r="CP46" s="10"/>
      <c r="CQ46" s="10">
        <v>1</v>
      </c>
      <c r="CU46" s="10"/>
      <c r="CV46" s="10"/>
      <c r="CW46" s="10"/>
      <c r="CX46" s="10"/>
      <c r="DB46" s="10"/>
      <c r="DC46" s="10"/>
      <c r="DD46" s="10"/>
      <c r="DE46" s="10"/>
      <c r="DI46" s="10"/>
      <c r="DJ46" s="10"/>
      <c r="DK46" s="10"/>
      <c r="DL46" s="10"/>
      <c r="DP46" s="10"/>
      <c r="DQ46" s="10"/>
      <c r="DR46" s="10"/>
      <c r="DS46" s="10"/>
      <c r="DW46" s="21"/>
      <c r="DX46" s="21"/>
      <c r="DY46" s="21"/>
      <c r="DZ46" s="21"/>
      <c r="EA46" s="16"/>
      <c r="ED46" s="10"/>
      <c r="EE46" s="10"/>
      <c r="EF46" s="10"/>
      <c r="EG46" s="10"/>
      <c r="EK46" s="10"/>
      <c r="EL46" s="10"/>
      <c r="EM46" s="10"/>
      <c r="EN46" s="10"/>
      <c r="ER46" s="10"/>
      <c r="ES46" s="10"/>
      <c r="ET46" s="10"/>
      <c r="EU46" s="10"/>
      <c r="EY46" s="10"/>
      <c r="EZ46" s="10"/>
      <c r="FA46" s="10"/>
      <c r="FB46" s="10"/>
      <c r="FF46" s="10"/>
      <c r="FG46" s="10"/>
      <c r="FH46" s="10"/>
      <c r="FI46" s="10"/>
    </row>
    <row r="47" spans="2:165" outlineLevel="1">
      <c r="B47" t="s">
        <v>28</v>
      </c>
      <c r="E47" s="9"/>
      <c r="G47" s="10"/>
      <c r="I47" s="9">
        <f t="shared" si="3"/>
        <v>0</v>
      </c>
      <c r="J47" s="11" cm="1">
        <f t="array" ref="J47">MAX(IF($N$3:$EH$3=$J$3,N47:EH47))</f>
        <v>0</v>
      </c>
      <c r="K47" s="11" cm="1">
        <f t="array" ref="K47">MAX(IF($N$3:$EH$3=$J$3,N47:EH47))</f>
        <v>0</v>
      </c>
      <c r="L47" s="9"/>
      <c r="O47" s="10"/>
      <c r="P47" s="10"/>
      <c r="Q47" s="10"/>
      <c r="R47" s="10"/>
      <c r="V47" s="10"/>
      <c r="W47" s="10"/>
      <c r="X47" s="10"/>
      <c r="Y47" s="10"/>
      <c r="AC47" s="10"/>
      <c r="AD47" s="10"/>
      <c r="AE47" s="10"/>
      <c r="AF47" s="10"/>
      <c r="AJ47" s="10"/>
      <c r="AK47" s="10"/>
      <c r="AL47" s="10"/>
      <c r="AM47" s="10"/>
      <c r="AQ47" s="10"/>
      <c r="AR47" s="10">
        <v>0.5</v>
      </c>
      <c r="AS47" s="10"/>
      <c r="AT47" s="10">
        <v>0.5</v>
      </c>
      <c r="AX47" s="10"/>
      <c r="AY47" s="10">
        <v>0.5</v>
      </c>
      <c r="AZ47" s="10"/>
      <c r="BA47" s="10">
        <v>0.5</v>
      </c>
      <c r="BE47" s="10"/>
      <c r="BF47" s="10">
        <v>0.5</v>
      </c>
      <c r="BG47" s="10"/>
      <c r="BH47" s="10">
        <v>0.5</v>
      </c>
      <c r="BL47" s="10"/>
      <c r="BM47" s="10">
        <v>0.8</v>
      </c>
      <c r="BN47" s="10"/>
      <c r="BO47" s="10">
        <v>0.8</v>
      </c>
      <c r="BS47" s="10"/>
      <c r="BT47" s="10">
        <v>0.8</v>
      </c>
      <c r="BU47" s="10"/>
      <c r="BV47" s="10">
        <v>0.8</v>
      </c>
      <c r="BZ47" s="10"/>
      <c r="CA47" s="10">
        <v>0.8</v>
      </c>
      <c r="CB47" s="10"/>
      <c r="CC47" s="10">
        <v>0.8</v>
      </c>
      <c r="CG47" s="10"/>
      <c r="CH47" s="10">
        <v>1</v>
      </c>
      <c r="CI47" s="10"/>
      <c r="CJ47" s="10">
        <v>1</v>
      </c>
      <c r="CN47" s="10"/>
      <c r="CO47" s="10">
        <v>1</v>
      </c>
      <c r="CP47" s="10"/>
      <c r="CQ47" s="10">
        <v>1</v>
      </c>
      <c r="CU47" s="10"/>
      <c r="CV47" s="10"/>
      <c r="CW47" s="10"/>
      <c r="CX47" s="10"/>
      <c r="DB47" s="10"/>
      <c r="DC47" s="10"/>
      <c r="DD47" s="10"/>
      <c r="DE47" s="10"/>
      <c r="DI47" s="10"/>
      <c r="DJ47" s="10"/>
      <c r="DK47" s="10"/>
      <c r="DL47" s="10"/>
      <c r="DP47" s="10"/>
      <c r="DQ47" s="10"/>
      <c r="DR47" s="10"/>
      <c r="DS47" s="10"/>
      <c r="DW47" s="21"/>
      <c r="DX47" s="21"/>
      <c r="DY47" s="21"/>
      <c r="DZ47" s="21"/>
      <c r="EA47" s="16"/>
      <c r="ED47" s="10"/>
      <c r="EE47" s="10"/>
      <c r="EF47" s="10"/>
      <c r="EG47" s="10"/>
      <c r="EK47" s="10"/>
      <c r="EL47" s="10"/>
      <c r="EM47" s="10"/>
      <c r="EN47" s="10"/>
      <c r="ER47" s="10"/>
      <c r="ES47" s="10"/>
      <c r="ET47" s="10"/>
      <c r="EU47" s="10"/>
      <c r="EY47" s="10"/>
      <c r="EZ47" s="10"/>
      <c r="FA47" s="10"/>
      <c r="FB47" s="10"/>
      <c r="FF47" s="10"/>
      <c r="FG47" s="10"/>
      <c r="FH47" s="10"/>
      <c r="FI47" s="10"/>
    </row>
    <row r="48" spans="2:165" outlineLevel="1">
      <c r="B48" t="s">
        <v>28</v>
      </c>
      <c r="E48" s="9"/>
      <c r="G48" s="10"/>
      <c r="I48" s="9">
        <f t="shared" si="3"/>
        <v>0</v>
      </c>
      <c r="J48" s="11" cm="1">
        <f t="array" ref="J48">MAX(IF($N$3:$EH$3=$J$3,N48:EH48))</f>
        <v>0</v>
      </c>
      <c r="K48" s="11" cm="1">
        <f t="array" ref="K48">MAX(IF($N$3:$EH$3=$J$3,N48:EH48))</f>
        <v>0</v>
      </c>
      <c r="L48" s="9"/>
      <c r="O48" s="10"/>
      <c r="P48" s="10"/>
      <c r="Q48" s="10"/>
      <c r="R48" s="10"/>
      <c r="V48" s="10"/>
      <c r="W48" s="10"/>
      <c r="X48" s="10"/>
      <c r="Y48" s="10"/>
      <c r="AC48" s="10"/>
      <c r="AD48" s="10"/>
      <c r="AE48" s="10"/>
      <c r="AF48" s="10"/>
      <c r="AJ48" s="10"/>
      <c r="AK48" s="10"/>
      <c r="AL48" s="10"/>
      <c r="AM48" s="10"/>
      <c r="AQ48" s="10"/>
      <c r="AR48" s="10"/>
      <c r="AS48" s="10"/>
      <c r="AT48" s="10"/>
      <c r="AX48" s="10"/>
      <c r="AY48" s="10">
        <v>0.5</v>
      </c>
      <c r="AZ48" s="10"/>
      <c r="BA48" s="10">
        <v>0.5</v>
      </c>
      <c r="BE48" s="10"/>
      <c r="BF48" s="10">
        <v>0.5</v>
      </c>
      <c r="BG48" s="10"/>
      <c r="BH48" s="10">
        <v>0.5</v>
      </c>
      <c r="BL48" s="10"/>
      <c r="BM48" s="10">
        <v>0.5</v>
      </c>
      <c r="BN48" s="10"/>
      <c r="BO48" s="10">
        <v>0.5</v>
      </c>
      <c r="BS48" s="10"/>
      <c r="BT48" s="10">
        <v>0.8</v>
      </c>
      <c r="BU48" s="10"/>
      <c r="BV48" s="10">
        <v>0.8</v>
      </c>
      <c r="BZ48" s="10"/>
      <c r="CA48" s="10">
        <v>0.8</v>
      </c>
      <c r="CB48" s="10"/>
      <c r="CC48" s="10">
        <v>0.8</v>
      </c>
      <c r="CG48" s="10"/>
      <c r="CH48" s="10">
        <v>0.8</v>
      </c>
      <c r="CI48" s="10"/>
      <c r="CJ48" s="10">
        <v>0.8</v>
      </c>
      <c r="CN48" s="10"/>
      <c r="CO48" s="10">
        <v>1</v>
      </c>
      <c r="CP48" s="10"/>
      <c r="CQ48" s="10">
        <v>1</v>
      </c>
      <c r="CU48" s="10"/>
      <c r="CV48" s="10"/>
      <c r="CW48" s="10"/>
      <c r="CX48" s="10"/>
      <c r="DB48" s="10"/>
      <c r="DC48" s="10"/>
      <c r="DD48" s="10"/>
      <c r="DE48" s="10"/>
      <c r="DI48" s="10"/>
      <c r="DJ48" s="10"/>
      <c r="DK48" s="10"/>
      <c r="DL48" s="10"/>
      <c r="DP48" s="10"/>
      <c r="DQ48" s="10"/>
      <c r="DR48" s="10"/>
      <c r="DS48" s="10"/>
      <c r="DW48" s="21"/>
      <c r="DX48" s="21"/>
      <c r="DY48" s="21"/>
      <c r="DZ48" s="21"/>
      <c r="EA48" s="16"/>
      <c r="ED48" s="10"/>
      <c r="EE48" s="10"/>
      <c r="EF48" s="10"/>
      <c r="EG48" s="10"/>
      <c r="EK48" s="10"/>
      <c r="EL48" s="10"/>
      <c r="EM48" s="10"/>
      <c r="EN48" s="10"/>
      <c r="ER48" s="10"/>
      <c r="ES48" s="10"/>
      <c r="ET48" s="10"/>
      <c r="EU48" s="10"/>
      <c r="EY48" s="10"/>
      <c r="EZ48" s="10"/>
      <c r="FA48" s="10"/>
      <c r="FB48" s="10"/>
      <c r="FF48" s="10"/>
      <c r="FG48" s="10"/>
      <c r="FH48" s="10"/>
      <c r="FI48" s="10"/>
    </row>
    <row r="49" spans="2:165" outlineLevel="1">
      <c r="B49" t="s">
        <v>28</v>
      </c>
      <c r="E49" s="9"/>
      <c r="G49" s="10"/>
      <c r="I49" s="9">
        <f t="shared" si="3"/>
        <v>0</v>
      </c>
      <c r="J49" s="11" cm="1">
        <f t="array" ref="J49">MAX(IF($N$3:$EH$3=$J$3,N49:EH49))</f>
        <v>0</v>
      </c>
      <c r="K49" s="11" cm="1">
        <f t="array" ref="K49">MAX(IF($N$3:$EH$3=$J$3,N49:EH49))</f>
        <v>0</v>
      </c>
      <c r="L49" s="9"/>
      <c r="O49" s="10"/>
      <c r="P49" s="10"/>
      <c r="Q49" s="10"/>
      <c r="R49" s="10"/>
      <c r="V49" s="10"/>
      <c r="W49" s="10"/>
      <c r="X49" s="10"/>
      <c r="Y49" s="10"/>
      <c r="AC49" s="10"/>
      <c r="AD49" s="10"/>
      <c r="AE49" s="10"/>
      <c r="AF49" s="10"/>
      <c r="AJ49" s="10"/>
      <c r="AK49" s="10"/>
      <c r="AL49" s="10"/>
      <c r="AM49" s="10"/>
      <c r="AQ49" s="10"/>
      <c r="AR49" s="10"/>
      <c r="AS49" s="10"/>
      <c r="AT49" s="10"/>
      <c r="AX49" s="10"/>
      <c r="AY49" s="10"/>
      <c r="AZ49" s="10"/>
      <c r="BA49" s="10"/>
      <c r="BE49" s="10"/>
      <c r="BF49" s="10">
        <v>0.5</v>
      </c>
      <c r="BG49" s="10"/>
      <c r="BH49" s="10">
        <v>0.5</v>
      </c>
      <c r="BL49" s="10"/>
      <c r="BM49" s="10">
        <v>0.5</v>
      </c>
      <c r="BN49" s="10"/>
      <c r="BO49" s="10">
        <v>0.5</v>
      </c>
      <c r="BS49" s="10"/>
      <c r="BT49" s="10">
        <v>0.5</v>
      </c>
      <c r="BU49" s="10"/>
      <c r="BV49" s="10">
        <v>0.5</v>
      </c>
      <c r="BZ49" s="10"/>
      <c r="CA49" s="10">
        <v>0.8</v>
      </c>
      <c r="CB49" s="10"/>
      <c r="CC49" s="10">
        <v>0.8</v>
      </c>
      <c r="CG49" s="10"/>
      <c r="CH49" s="10">
        <v>0.8</v>
      </c>
      <c r="CI49" s="10"/>
      <c r="CJ49" s="10">
        <v>0.8</v>
      </c>
      <c r="CN49" s="10"/>
      <c r="CO49" s="10">
        <v>1</v>
      </c>
      <c r="CP49" s="10"/>
      <c r="CQ49" s="10">
        <v>1</v>
      </c>
      <c r="CU49" s="10"/>
      <c r="CV49" s="10"/>
      <c r="CW49" s="10"/>
      <c r="CX49" s="10"/>
      <c r="DB49" s="10"/>
      <c r="DC49" s="10"/>
      <c r="DD49" s="10"/>
      <c r="DE49" s="10"/>
      <c r="DI49" s="10"/>
      <c r="DJ49" s="10"/>
      <c r="DK49" s="10"/>
      <c r="DL49" s="10"/>
      <c r="DP49" s="10"/>
      <c r="DQ49" s="10"/>
      <c r="DR49" s="10"/>
      <c r="DS49" s="10"/>
      <c r="DW49" s="21"/>
      <c r="DX49" s="21"/>
      <c r="DY49" s="21"/>
      <c r="DZ49" s="21"/>
      <c r="EA49" s="16"/>
      <c r="ED49" s="10"/>
      <c r="EE49" s="10"/>
      <c r="EF49" s="10"/>
      <c r="EG49" s="10"/>
      <c r="EK49" s="10"/>
      <c r="EL49" s="10"/>
      <c r="EM49" s="10"/>
      <c r="EN49" s="10"/>
      <c r="ER49" s="10"/>
      <c r="ES49" s="10"/>
      <c r="ET49" s="10"/>
      <c r="EU49" s="10"/>
      <c r="EY49" s="10"/>
      <c r="EZ49" s="10"/>
      <c r="FA49" s="10"/>
      <c r="FB49" s="10"/>
      <c r="FF49" s="10"/>
      <c r="FG49" s="10"/>
      <c r="FH49" s="10"/>
      <c r="FI49" s="10"/>
    </row>
    <row r="50" spans="2:165">
      <c r="DW50" s="22"/>
      <c r="DX50" s="22"/>
      <c r="DY50" s="22"/>
      <c r="DZ50" s="22"/>
      <c r="EA50" s="16"/>
    </row>
    <row r="53" spans="2:165">
      <c r="F53" t="s">
        <v>140</v>
      </c>
    </row>
  </sheetData>
  <mergeCells count="23">
    <mergeCell ref="CT2:CY2"/>
    <mergeCell ref="DA2:DF2"/>
    <mergeCell ref="BK2:BP2"/>
    <mergeCell ref="BR2:BW2"/>
    <mergeCell ref="BY2:CD2"/>
    <mergeCell ref="CF2:CK2"/>
    <mergeCell ref="CM2:CR2"/>
    <mergeCell ref="I2:L2"/>
    <mergeCell ref="N2:S2"/>
    <mergeCell ref="BD2:BI2"/>
    <mergeCell ref="U2:Z2"/>
    <mergeCell ref="AB2:AG2"/>
    <mergeCell ref="AI2:AN2"/>
    <mergeCell ref="AP2:AU2"/>
    <mergeCell ref="AW2:BB2"/>
    <mergeCell ref="EJ2:EO2"/>
    <mergeCell ref="EQ2:EV2"/>
    <mergeCell ref="EX2:FC2"/>
    <mergeCell ref="FE2:FJ2"/>
    <mergeCell ref="DH2:DM2"/>
    <mergeCell ref="DO2:DT2"/>
    <mergeCell ref="DV2:EA2"/>
    <mergeCell ref="EC2:EH2"/>
  </mergeCells>
  <phoneticPr fontId="5" type="noConversion"/>
  <conditionalFormatting sqref="J5:J15">
    <cfRule type="colorScale" priority="947">
      <colorScale>
        <cfvo type="percent" val="0"/>
        <cfvo type="percent" val="100"/>
        <color rgb="FFFF231B"/>
        <color rgb="FF10FF07"/>
      </colorScale>
    </cfRule>
  </conditionalFormatting>
  <conditionalFormatting sqref="J11:J15">
    <cfRule type="colorScale" priority="856">
      <colorScale>
        <cfvo type="percent" val="0"/>
        <cfvo type="percent" val="100"/>
        <color rgb="FFFF231B"/>
        <color rgb="FF10FF07"/>
      </colorScale>
    </cfRule>
  </conditionalFormatting>
  <conditionalFormatting sqref="J19">
    <cfRule type="colorScale" priority="242">
      <colorScale>
        <cfvo type="percent" val="0"/>
        <cfvo type="percent" val="100"/>
        <color rgb="FFFF231B"/>
        <color rgb="FF10FF07"/>
      </colorScale>
    </cfRule>
  </conditionalFormatting>
  <conditionalFormatting sqref="J20:J22">
    <cfRule type="colorScale" priority="223">
      <colorScale>
        <cfvo type="percent" val="0"/>
        <cfvo type="percent" val="100"/>
        <color rgb="FFFF231B"/>
        <color rgb="FF10FF07"/>
      </colorScale>
    </cfRule>
  </conditionalFormatting>
  <conditionalFormatting sqref="J23:J29 J17:J18">
    <cfRule type="colorScale" priority="850">
      <colorScale>
        <cfvo type="percent" val="0"/>
        <cfvo type="percent" val="100"/>
        <color rgb="FFFF231B"/>
        <color rgb="FF10FF07"/>
      </colorScale>
    </cfRule>
  </conditionalFormatting>
  <conditionalFormatting sqref="J31:J39">
    <cfRule type="colorScale" priority="949">
      <colorScale>
        <cfvo type="percent" val="0"/>
        <cfvo type="percent" val="100"/>
        <color rgb="FFFF231B"/>
        <color rgb="FF10FF07"/>
      </colorScale>
    </cfRule>
  </conditionalFormatting>
  <conditionalFormatting sqref="J41:J49">
    <cfRule type="colorScale" priority="956">
      <colorScale>
        <cfvo type="percent" val="0"/>
        <cfvo type="percent" val="100"/>
        <color rgb="FFFF231B"/>
        <color rgb="FF10FF07"/>
      </colorScale>
    </cfRule>
  </conditionalFormatting>
  <conditionalFormatting sqref="J19:K19">
    <cfRule type="colorScale" priority="243">
      <colorScale>
        <cfvo type="percent" val="0"/>
        <cfvo type="percent" val="100"/>
        <color rgb="FFFF231B"/>
        <color rgb="FF10FF07"/>
      </colorScale>
    </cfRule>
  </conditionalFormatting>
  <conditionalFormatting sqref="J20:K22">
    <cfRule type="colorScale" priority="224">
      <colorScale>
        <cfvo type="percent" val="0"/>
        <cfvo type="percent" val="100"/>
        <color rgb="FFFF231B"/>
        <color rgb="FF10FF07"/>
      </colorScale>
    </cfRule>
  </conditionalFormatting>
  <conditionalFormatting sqref="J23:K29">
    <cfRule type="colorScale" priority="852">
      <colorScale>
        <cfvo type="percent" val="0"/>
        <cfvo type="percent" val="100"/>
        <color rgb="FFFF231B"/>
        <color rgb="FF10FF07"/>
      </colorScale>
    </cfRule>
  </conditionalFormatting>
  <conditionalFormatting sqref="J33:K39">
    <cfRule type="colorScale" priority="950">
      <colorScale>
        <cfvo type="percent" val="0"/>
        <cfvo type="percent" val="100"/>
        <color rgb="FFFF231B"/>
        <color rgb="FF10FF07"/>
      </colorScale>
    </cfRule>
  </conditionalFormatting>
  <conditionalFormatting sqref="J43:K49">
    <cfRule type="colorScale" priority="957">
      <colorScale>
        <cfvo type="percent" val="0"/>
        <cfvo type="percent" val="100"/>
        <color rgb="FFFF231B"/>
        <color rgb="FF10FF07"/>
      </colorScale>
    </cfRule>
  </conditionalFormatting>
  <conditionalFormatting sqref="K5:K17">
    <cfRule type="colorScale" priority="948">
      <colorScale>
        <cfvo type="percent" val="0"/>
        <cfvo type="percent" val="100"/>
        <color rgb="FFFF231B"/>
        <color rgb="FF10FF07"/>
      </colorScale>
    </cfRule>
  </conditionalFormatting>
  <conditionalFormatting sqref="K19">
    <cfRule type="colorScale" priority="241">
      <colorScale>
        <cfvo type="percent" val="0"/>
        <cfvo type="percent" val="100"/>
        <color rgb="FFFF231B"/>
        <color rgb="FF10FF07"/>
      </colorScale>
    </cfRule>
  </conditionalFormatting>
  <conditionalFormatting sqref="K20:K22">
    <cfRule type="colorScale" priority="222">
      <colorScale>
        <cfvo type="percent" val="0"/>
        <cfvo type="percent" val="100"/>
        <color rgb="FFFF231B"/>
        <color rgb="FF10FF07"/>
      </colorScale>
    </cfRule>
  </conditionalFormatting>
  <conditionalFormatting sqref="K23:K29 K18">
    <cfRule type="colorScale" priority="853">
      <colorScale>
        <cfvo type="percent" val="0"/>
        <cfvo type="percent" val="100"/>
        <color rgb="FFFF231B"/>
        <color rgb="FF10FF07"/>
      </colorScale>
    </cfRule>
  </conditionalFormatting>
  <conditionalFormatting sqref="K31:K39">
    <cfRule type="colorScale" priority="951">
      <colorScale>
        <cfvo type="percent" val="0"/>
        <cfvo type="percent" val="100"/>
        <color rgb="FFFF231B"/>
        <color rgb="FF10FF07"/>
      </colorScale>
    </cfRule>
  </conditionalFormatting>
  <conditionalFormatting sqref="K41:K49">
    <cfRule type="colorScale" priority="958">
      <colorScale>
        <cfvo type="percent" val="0"/>
        <cfvo type="percent" val="100"/>
        <color rgb="FFFF231B"/>
        <color rgb="FF10FF07"/>
      </colorScale>
    </cfRule>
  </conditionalFormatting>
  <conditionalFormatting sqref="DR5:DR8 O5:O15 Q5:Q15 V5:V15 X5:X15 AC5:AC15 AE5:AE15 AJ5:AJ15 AL5:AL15 AQ5:AQ15 AS5:AS15 AZ5:AZ15 BE5:BE15 BG5:BG15 BL5:BL15 BN5:BN15 BS5:BS15 BU5:BU15 BZ5:BZ15 CB5:CB15 CG5:CG15 CI5:CI15 CN5:CN15 CP5:CP15 CU5:CU15 CW5:CW15 DB5:DB15 DD5:DD15 DI5:DI15 DK5:DK15 DP5:DP15 DW5:DW15 DY5:DY15 ED5:ED15 EF5:EF15 EK5:EK15 EM5:EM15 ER5:ER15 ET5:ET15 EY5:EY15 FA5:FA15 FF5:FF15 FH5:FH15 DR10 DR12:DR15 DP17:DP29 DR17:DR29 O18:O29 Q18:Q29 V18:V29 X18:X29 AC18:AC29 AE18:AE29 AJ18:AJ29 AL18:AL29 AQ18:AQ29 AS18:AS29 AX18:AX29 AZ18:AZ29 BE18:BE29 BG18:BG29 BL18:BL29 BN18:BN29 BS18:BS29 BU18:BU29 BZ18:BZ29 CB18:CB29 CG18:CG29 CI18:CI29 CN18:CN29 CP18:CP29 CU18:CU29 CW18:CW29 DB18:DB29 DD18:DD29 DI18:DI29 DK18:DK29 DW18:DW29 DY18:DY29 ED18:ED29 EF18:EF29 EK18:EK29 EM18:EM29 ER18:ER29 ET18:ET29 EY18:EY29 FA18:FA29 FF18:FF29 FH18:FH29 O32:O39 Q32:Q39 V32:V39 X32:X39 AC32:AC39 AE32:AE39 AJ32:AJ39 AL32:AL39 AQ32:AQ39 AS32:AS39 AX32:AX39 AZ32:AZ39 BE32:BE39 BG32:BG39 BL32:BL39 BN32:BN39 BS32:BS39 BU32:BU39 BZ32:BZ39 CB32:CB39 CG32:CG39 CI32:CI39 CN32:CN39 CP32:CP39 CU32:CU39 CW32:CW39 DB32:DB39 DD32:DD39 DI32:DI39 DK32:DK39 DP32:DP39 DR32:DR39 DW32:DW39 DY32:DY39 ED32:ED39 EF32:EF39 EK32:EK39 EM32:EM39 ER32:ER39 ET32:ET39 EY32:EY39 FA32:FA39 FF32:FF39 FH32:FH39 O42:O49 Q42:Q49 V42:V49 X42:X49 AC42:AC49 AE42:AE49 AJ42:AJ49 AL42:AL49 AQ42:AQ49 AS42:AS49 AX42:AX49 AZ42:AZ49 BE42:BE49 BG42:BG49 BL42:BL49 BN42:BN49 BS42:BS49 BU42:BU49 BZ42:BZ49 CB42:CB49 CG42:CG49 CI42:CI49 CN42:CN49 CP42:CP49 CU42:CU49 CW42:CW49 DB42:DB49 DD42:DD49 DI42:DI49 DK42:DK49 DP42:DP49 DR42:DR49 DW42:DW49 DY42:DY49 ED42:ED49 EF42:EF49 EK42:EK49 EM42:EM49 ER42:ER49 ET42:ET49 EY42:EY49 FA42:FA49 FF42:FF49 FH42:FH49 AX5:AX15">
    <cfRule type="expression" dxfId="17" priority="662">
      <formula>OR(IF(O5&lt;P5,TRUE),IF(AND(P5="",O5&lt;&gt;""),TRUE))</formula>
    </cfRule>
    <cfRule type="expression" dxfId="16" priority="663">
      <formula>IF(O5&gt;=P5,IF(O5="",FALSE,TRUE))</formula>
    </cfRule>
  </conditionalFormatting>
  <conditionalFormatting sqref="DR9">
    <cfRule type="expression" dxfId="15" priority="954">
      <formula>OR(IF(DR9&lt;DS11,TRUE),IF(AND(DS11="",DR9&lt;&gt;""),TRUE))</formula>
    </cfRule>
    <cfRule type="expression" dxfId="14" priority="955">
      <formula>IF(DR9&gt;=DS11,IF(DR9="",FALSE,TRUE))</formula>
    </cfRule>
  </conditionalFormatting>
  <dataValidations count="1">
    <dataValidation type="list" allowBlank="1" showInputMessage="1" showErrorMessage="1" sqref="AJ32:AM39 AC32:AF39 AX32:BA39 BE32:BH39 AQ32:AT39 BL32:BO39 BS32:BV39 AC18:AF29 BL42:BO49 O18:R29 BE42:BH49 CA5:CA16 AQ42:AT49 AJ42:AM49 O42:R49 V18:Y29 BL5:BO15 AX5:BA15 BE5:BH15 AQ5:AT15 AJ5:AM15 V32:Y39 O32:R39 BS42:BV49 BZ42:CC49 BZ32:CC39 BS5:BV15 CG42:CJ49 AX42:BA49 DB42:DE49 O5:R15 CN5:CQ15 CN18:CQ29 CN32:CQ39 CU18:CX29 CU32:CX39 CU42:CX49 DB18:DE29 DB32:DE39 CG32:CI39 V42:Y49 DP42:DS49 DI18:DL29 DI32:DL39 DI42:DL49 DP17:DS29 DP32:DS39 ED42:EG49 DW18:DZ29 DW32:DZ39 DW42:DZ49 ED18:EG29 ED32:EG39 ER42:EU49 EK18:EN29 EK32:EN39 EK42:EN49 ER18:EU29 ER32:EU39 FF42:FI49 EY18:FB29 EY32:FB39 EY42:FB49 FF18:FI29 FF32:FI39 FF5:FI15 EY5:FB15 ER5:EU15 EK5:EN15 ED5:EG15 DW5:DZ15 DI5:DL15 DB5:DE15 CU5:CX15 DP5:DS10 CN42:CQ49 BZ18:CC29 CG18:CJ29 V5:Y15 BS18:BV29 BL18:BO29 BE18:BH29 AX18:BA29 AQ18:AT29 AJ18:AM29 AC5:AF15 DS11 DP12:DS15 DP11:DQ11 CJ32:CJ40 CG5:CJ15 CC5:CC16 BZ5:BZ15 CB5:CB15 AC42:AF49"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9921875" defaultRowHeight="15.6"/>
  <cols>
    <col min="2" max="2" width="161" customWidth="1"/>
    <col min="3" max="3" width="10.796875"/>
  </cols>
  <sheetData>
    <row r="4" spans="2:2" ht="21">
      <c r="B4" s="3" t="s">
        <v>16</v>
      </c>
    </row>
    <row r="6" spans="2:2">
      <c r="B6" s="2" t="s">
        <v>13</v>
      </c>
    </row>
    <row r="7" spans="2:2" ht="46.8">
      <c r="B7" s="1" t="s">
        <v>14</v>
      </c>
    </row>
    <row r="9" spans="2:2">
      <c r="B9" s="2" t="s">
        <v>15</v>
      </c>
    </row>
    <row r="10" spans="2:2" ht="62.4">
      <c r="B10" s="1" t="s">
        <v>35</v>
      </c>
    </row>
    <row r="12" spans="2:2">
      <c r="B12" s="2" t="s">
        <v>17</v>
      </c>
    </row>
    <row r="13" spans="2:2" ht="140.4">
      <c r="B13" s="1" t="s">
        <v>18</v>
      </c>
    </row>
    <row r="15" spans="2:2">
      <c r="B15" s="2" t="s">
        <v>19</v>
      </c>
    </row>
    <row r="16" spans="2:2" ht="109.2">
      <c r="B16" s="1" t="s">
        <v>20</v>
      </c>
    </row>
    <row r="17" spans="2:2">
      <c r="B17" s="1"/>
    </row>
    <row r="18" spans="2:2">
      <c r="B18" s="2" t="s">
        <v>34</v>
      </c>
    </row>
    <row r="19" spans="2:2" ht="140.4">
      <c r="B19" s="1" t="s">
        <v>36</v>
      </c>
    </row>
    <row r="21" spans="2:2">
      <c r="B21" s="2" t="s">
        <v>21</v>
      </c>
    </row>
    <row r="22" spans="2:2" ht="124.8">
      <c r="B22" s="1" t="s">
        <v>37</v>
      </c>
    </row>
    <row r="24" spans="2:2">
      <c r="B24" s="2" t="s">
        <v>22</v>
      </c>
    </row>
    <row r="25" spans="2:2" ht="124.8">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C7" sqref="C7"/>
    </sheetView>
  </sheetViews>
  <sheetFormatPr baseColWidth="10" defaultColWidth="10.69921875" defaultRowHeight="15.6"/>
  <cols>
    <col min="1" max="1" width="16.796875" style="9" customWidth="1"/>
    <col min="2" max="2" width="19.19921875" style="9" customWidth="1"/>
    <col min="3" max="3" width="18.19921875" style="9" customWidth="1"/>
    <col min="4" max="4" width="19.5" style="9" customWidth="1"/>
    <col min="8" max="8" width="15.19921875" customWidth="1"/>
    <col min="10" max="10" width="42" customWidth="1"/>
    <col min="11" max="11" width="28.5" customWidth="1"/>
  </cols>
  <sheetData>
    <row r="1" spans="1:11" ht="31.2">
      <c r="A1" s="9" t="s">
        <v>41</v>
      </c>
      <c r="B1" s="15" t="s">
        <v>38</v>
      </c>
      <c r="C1" s="15" t="s">
        <v>39</v>
      </c>
      <c r="D1" s="15" t="s">
        <v>40</v>
      </c>
      <c r="E1" s="1" t="s">
        <v>42</v>
      </c>
      <c r="F1" s="1" t="s">
        <v>43</v>
      </c>
      <c r="G1" s="1" t="s">
        <v>44</v>
      </c>
      <c r="H1" s="1" t="s">
        <v>45</v>
      </c>
      <c r="I1" s="1" t="s">
        <v>46</v>
      </c>
      <c r="J1" s="1" t="s">
        <v>47</v>
      </c>
      <c r="K1" s="1" t="s">
        <v>48</v>
      </c>
    </row>
    <row r="2" spans="1:11">
      <c r="A2" s="14">
        <v>44118</v>
      </c>
      <c r="D2" s="11">
        <v>1</v>
      </c>
    </row>
    <row r="3" spans="1:11">
      <c r="A3" s="14">
        <v>44119</v>
      </c>
    </row>
    <row r="4" spans="1:11">
      <c r="A4" s="14">
        <v>44120</v>
      </c>
    </row>
    <row r="5" spans="1:11">
      <c r="A5" s="14">
        <v>44121</v>
      </c>
    </row>
    <row r="6" spans="1:11">
      <c r="A6" s="14">
        <v>44122</v>
      </c>
    </row>
    <row r="7" spans="1:11">
      <c r="A7" s="14">
        <v>44123</v>
      </c>
    </row>
    <row r="8" spans="1:11">
      <c r="A8" s="14">
        <v>44124</v>
      </c>
    </row>
    <row r="9" spans="1:11">
      <c r="A9" s="14">
        <v>44125</v>
      </c>
    </row>
    <row r="10" spans="1:11">
      <c r="A10" s="14">
        <v>44126</v>
      </c>
    </row>
    <row r="11" spans="1:11">
      <c r="A11" s="14">
        <v>44127</v>
      </c>
    </row>
    <row r="12" spans="1:11">
      <c r="A12" s="14">
        <v>44128</v>
      </c>
    </row>
    <row r="13" spans="1:11">
      <c r="A13" s="14">
        <v>44129</v>
      </c>
    </row>
    <row r="14" spans="1:11">
      <c r="A14" s="14">
        <v>44130</v>
      </c>
    </row>
    <row r="15" spans="1:11">
      <c r="A15" s="14">
        <v>44131</v>
      </c>
    </row>
    <row r="16" spans="1:11">
      <c r="A16" s="14">
        <v>44132</v>
      </c>
    </row>
    <row r="17" spans="1:1">
      <c r="A17" s="14">
        <v>44133</v>
      </c>
    </row>
    <row r="18" spans="1:1">
      <c r="A18" s="14">
        <v>44134</v>
      </c>
    </row>
    <row r="19" spans="1:1">
      <c r="A19" s="14">
        <v>44135</v>
      </c>
    </row>
    <row r="20" spans="1:1">
      <c r="A20" s="14">
        <v>44136</v>
      </c>
    </row>
    <row r="21" spans="1:1">
      <c r="A21" s="14">
        <v>44137</v>
      </c>
    </row>
    <row r="22" spans="1:1">
      <c r="A22" s="14">
        <v>44138</v>
      </c>
    </row>
    <row r="23" spans="1:1">
      <c r="A23" s="14">
        <v>44139</v>
      </c>
    </row>
    <row r="24" spans="1:1">
      <c r="A24" s="14">
        <v>44140</v>
      </c>
    </row>
    <row r="25" spans="1:1">
      <c r="A25" s="14">
        <v>44141</v>
      </c>
    </row>
    <row r="26" spans="1:1">
      <c r="A26" s="14">
        <v>44142</v>
      </c>
    </row>
    <row r="27" spans="1:1">
      <c r="A27" s="14">
        <v>44143</v>
      </c>
    </row>
    <row r="28" spans="1:1">
      <c r="A28" s="14">
        <v>44144</v>
      </c>
    </row>
    <row r="29" spans="1:1">
      <c r="A29" s="14">
        <v>44145</v>
      </c>
    </row>
    <row r="30" spans="1:1">
      <c r="A30" s="14">
        <v>44146</v>
      </c>
    </row>
    <row r="31" spans="1:1">
      <c r="A31" s="14">
        <v>44147</v>
      </c>
    </row>
    <row r="32" spans="1:1">
      <c r="A32" s="14">
        <v>44148</v>
      </c>
    </row>
    <row r="33" spans="1:1">
      <c r="A33" s="14">
        <v>44149</v>
      </c>
    </row>
    <row r="34" spans="1:1">
      <c r="A34" s="14">
        <v>44150</v>
      </c>
    </row>
    <row r="35" spans="1:1">
      <c r="A35" s="14">
        <v>44151</v>
      </c>
    </row>
    <row r="36" spans="1:1">
      <c r="A36" s="14">
        <v>44152</v>
      </c>
    </row>
    <row r="37" spans="1:1">
      <c r="A37" s="14">
        <v>44153</v>
      </c>
    </row>
    <row r="38" spans="1:1">
      <c r="A38" s="14">
        <v>44154</v>
      </c>
    </row>
    <row r="39" spans="1:1">
      <c r="A39" s="14">
        <v>44155</v>
      </c>
    </row>
    <row r="40" spans="1:1">
      <c r="A40" s="14">
        <v>44156</v>
      </c>
    </row>
    <row r="41" spans="1:1">
      <c r="A41" s="14">
        <v>44157</v>
      </c>
    </row>
    <row r="42" spans="1:1">
      <c r="A42" s="14">
        <v>44158</v>
      </c>
    </row>
    <row r="43" spans="1:1">
      <c r="A43" s="14">
        <v>44159</v>
      </c>
    </row>
    <row r="44" spans="1:1">
      <c r="A44" s="14">
        <v>44160</v>
      </c>
    </row>
    <row r="45" spans="1:1">
      <c r="A45" s="14">
        <v>44161</v>
      </c>
    </row>
    <row r="46" spans="1:1">
      <c r="A46" s="14">
        <v>44162</v>
      </c>
    </row>
  </sheetData>
  <conditionalFormatting sqref="B2:B46">
    <cfRule type="cellIs" dxfId="13" priority="4" operator="equal">
      <formula>"Ja"</formula>
    </cfRule>
    <cfRule type="cellIs" dxfId="12" priority="14" operator="equal">
      <formula>"Ja"</formula>
    </cfRule>
    <cfRule type="cellIs" dxfId="11" priority="15" operator="equal">
      <formula>"Nein"</formula>
    </cfRule>
  </conditionalFormatting>
  <conditionalFormatting sqref="C2:C46">
    <cfRule type="cellIs" dxfId="10" priority="1" operator="equal">
      <formula>"Ja"</formula>
    </cfRule>
    <cfRule type="cellIs" dxfId="9" priority="2" operator="equal">
      <formula>"Ja"</formula>
    </cfRule>
    <cfRule type="cellIs" dxfId="8" priority="3" operator="equal">
      <formula>"Nein"</formula>
    </cfRule>
  </conditionalFormatting>
  <conditionalFormatting sqref="D2">
    <cfRule type="cellIs" dxfId="7" priority="6" operator="equal">
      <formula>1</formula>
    </cfRule>
    <cfRule type="cellIs" dxfId="6" priority="7" operator="equal">
      <formula>0.8</formula>
    </cfRule>
    <cfRule type="cellIs" dxfId="5" priority="8" operator="equal">
      <formula>0.6</formula>
    </cfRule>
    <cfRule type="cellIs" dxfId="4" priority="9" operator="equal">
      <formula>0.4</formula>
    </cfRule>
    <cfRule type="cellIs" dxfId="3" priority="10" operator="equal">
      <formula>0.2</formula>
    </cfRule>
    <cfRule type="cellIs" dxfId="2"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9921875" defaultRowHeight="15.6"/>
  <sheetData>
    <row r="1" spans="1:8" ht="24.6">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sqref="A1:H47"/>
    </sheetView>
  </sheetViews>
  <sheetFormatPr baseColWidth="10" defaultColWidth="10.69921875" defaultRowHeight="15.6"/>
  <sheetData>
    <row r="1" spans="1:8" ht="24.6">
      <c r="A1" t="s">
        <v>108</v>
      </c>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11A04-C13C-436C-92C1-66303036EF4E}">
  <dimension ref="A1"/>
  <sheetViews>
    <sheetView workbookViewId="0"/>
  </sheetViews>
  <sheetFormatPr baseColWidth="10" defaultRowHeight="15.6"/>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ANLEITUNG</vt:lpstr>
      <vt:lpstr>Semesterplan</vt:lpstr>
      <vt:lpstr>Best-Practices</vt:lpstr>
      <vt:lpstr>COMMITTMENT</vt:lpstr>
      <vt:lpstr>Wochenplan KW 19</vt:lpstr>
      <vt:lpstr>Wochenplan KW 20</vt:lpstr>
      <vt:lpstr>Wochenplan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Timo Preissl</cp:lastModifiedBy>
  <dcterms:created xsi:type="dcterms:W3CDTF">2020-04-19T13:33:28Z</dcterms:created>
  <dcterms:modified xsi:type="dcterms:W3CDTF">2023-10-19T19:35:13Z</dcterms:modified>
</cp:coreProperties>
</file>