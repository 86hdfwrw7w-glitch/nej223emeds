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4485" yWindow="-21600" windowWidth="24240" windowHeight="13740" activeTab="1"/>
  </bookViews>
  <sheets>
    <sheet name="Anleitung" sheetId="2" r:id="rId1"/>
    <sheet name="Semesterplan" sheetId="7" r:id="rId2"/>
    <sheet name="COMMITTMENT" sheetId="9" r:id="rId3"/>
    <sheet name="Wochenplan 01.11 - 05.11" sheetId="3" r:id="rId4"/>
    <sheet name="Wochenplan KW 20" sheetId="8" r:id="rId5"/>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8" i="7" l="1"/>
  <c r="I47" i="7"/>
  <c r="I45" i="7"/>
  <c r="I43" i="7" l="1"/>
  <c r="I42" i="7"/>
  <c r="N28" i="7"/>
  <c r="DA88" i="7" l="1"/>
  <c r="DA72" i="7"/>
  <c r="DA59" i="7"/>
  <c r="DA37" i="7"/>
  <c r="DA28" i="7"/>
  <c r="DA21" i="7"/>
  <c r="DA4" i="7"/>
  <c r="CT88" i="7"/>
  <c r="CT72" i="7"/>
  <c r="CT59" i="7"/>
  <c r="CT37" i="7"/>
  <c r="CT28" i="7"/>
  <c r="CT21" i="7"/>
  <c r="CT4" i="7"/>
  <c r="CM88" i="7"/>
  <c r="CM72" i="7"/>
  <c r="CM59" i="7"/>
  <c r="CM37" i="7"/>
  <c r="CM28" i="7"/>
  <c r="CM21" i="7"/>
  <c r="CM4" i="7"/>
  <c r="CF88" i="7"/>
  <c r="CF72" i="7"/>
  <c r="CF59" i="7"/>
  <c r="CF37" i="7"/>
  <c r="CF28" i="7"/>
  <c r="CF21" i="7"/>
  <c r="CF4" i="7"/>
  <c r="BY88" i="7"/>
  <c r="BY72" i="7"/>
  <c r="BY59" i="7"/>
  <c r="BY37" i="7"/>
  <c r="BY28" i="7"/>
  <c r="BY21" i="7"/>
  <c r="BY4" i="7"/>
  <c r="BR88" i="7"/>
  <c r="BR72" i="7"/>
  <c r="BR59" i="7"/>
  <c r="BR37" i="7"/>
  <c r="BR28" i="7"/>
  <c r="BR21" i="7"/>
  <c r="BR4" i="7"/>
  <c r="BK88" i="7"/>
  <c r="BK72" i="7"/>
  <c r="BK59" i="7"/>
  <c r="BK37" i="7"/>
  <c r="BK28" i="7"/>
  <c r="BK21" i="7"/>
  <c r="BK4" i="7"/>
  <c r="J52" i="7"/>
  <c r="J48" i="7"/>
  <c r="J87" i="7"/>
  <c r="J50" i="7"/>
  <c r="J44" i="7"/>
  <c r="J68" i="7"/>
  <c r="J8" i="7"/>
  <c r="J70" i="7"/>
  <c r="J17" i="7"/>
  <c r="J53" i="7"/>
  <c r="J15" i="7"/>
  <c r="J66" i="7"/>
  <c r="J58" i="7"/>
  <c r="J61" i="7"/>
  <c r="J28" i="7"/>
  <c r="J64" i="7"/>
  <c r="J75" i="7"/>
  <c r="J38" i="7"/>
  <c r="J85" i="7"/>
  <c r="J79" i="7"/>
  <c r="J33" i="7"/>
  <c r="J51" i="7"/>
  <c r="J74" i="7"/>
  <c r="J10" i="7"/>
  <c r="J54" i="7"/>
  <c r="J26" i="7"/>
  <c r="J24" i="7"/>
  <c r="J80" i="7"/>
  <c r="J7" i="7"/>
  <c r="J39" i="7"/>
  <c r="J63" i="7"/>
  <c r="J41" i="7"/>
  <c r="J82" i="7"/>
  <c r="J86" i="7"/>
  <c r="J5" i="7"/>
  <c r="J9" i="7"/>
  <c r="J76" i="7"/>
  <c r="J27" i="7"/>
  <c r="J42" i="7"/>
  <c r="J40" i="7"/>
  <c r="J4" i="7"/>
  <c r="J73" i="7"/>
  <c r="J22" i="7"/>
  <c r="J23" i="7"/>
  <c r="J18" i="7"/>
  <c r="J36" i="7"/>
  <c r="J31" i="7"/>
  <c r="J60" i="7"/>
  <c r="J57" i="7"/>
  <c r="J6" i="7"/>
  <c r="J37" i="7"/>
  <c r="J78" i="7"/>
  <c r="J43" i="7"/>
  <c r="J71" i="7"/>
  <c r="J77" i="7"/>
  <c r="J55" i="7"/>
  <c r="J35" i="7"/>
  <c r="J45" i="7"/>
  <c r="J16" i="7"/>
  <c r="J69" i="7"/>
  <c r="J30" i="7"/>
  <c r="J65" i="7"/>
  <c r="J21" i="7"/>
  <c r="J32" i="7"/>
  <c r="J25" i="7"/>
  <c r="J34" i="7"/>
  <c r="J20" i="7"/>
  <c r="J46" i="7"/>
  <c r="J14" i="7"/>
  <c r="J19" i="7"/>
  <c r="J56" i="7"/>
  <c r="J88" i="7"/>
  <c r="J81" i="7"/>
  <c r="J67" i="7"/>
  <c r="J49" i="7"/>
  <c r="J47" i="7"/>
  <c r="J59" i="7"/>
  <c r="J62" i="7"/>
  <c r="J72" i="7"/>
  <c r="G37" i="7" l="1"/>
  <c r="N37" i="7"/>
  <c r="U37" i="7"/>
  <c r="AB37" i="7"/>
  <c r="AI37" i="7"/>
  <c r="AP37" i="7"/>
  <c r="AW37" i="7"/>
  <c r="BD37" i="7"/>
  <c r="G28" i="7"/>
  <c r="I95" i="7" l="1"/>
  <c r="I94" i="7"/>
  <c r="I93" i="7"/>
  <c r="I92" i="7"/>
  <c r="I91" i="7"/>
  <c r="I90" i="7"/>
  <c r="I89" i="7"/>
  <c r="BD88" i="7"/>
  <c r="AW88" i="7"/>
  <c r="AP88" i="7"/>
  <c r="AI88" i="7"/>
  <c r="AB88" i="7"/>
  <c r="U88" i="7"/>
  <c r="N88" i="7"/>
  <c r="G88" i="7"/>
  <c r="I86" i="7"/>
  <c r="I85" i="7"/>
  <c r="I82" i="7"/>
  <c r="I81" i="7"/>
  <c r="I80" i="7"/>
  <c r="I79" i="7"/>
  <c r="I78" i="7"/>
  <c r="I77" i="7"/>
  <c r="I76" i="7"/>
  <c r="I75" i="7"/>
  <c r="I74" i="7"/>
  <c r="I73" i="7"/>
  <c r="BD72" i="7"/>
  <c r="AW72" i="7"/>
  <c r="AP72" i="7"/>
  <c r="AI72" i="7"/>
  <c r="AB72" i="7"/>
  <c r="U72" i="7"/>
  <c r="N72" i="7"/>
  <c r="G72" i="7"/>
  <c r="BD59" i="7"/>
  <c r="AW59" i="7"/>
  <c r="AP59" i="7"/>
  <c r="AI59" i="7"/>
  <c r="AB59" i="7"/>
  <c r="U59" i="7"/>
  <c r="N59" i="7"/>
  <c r="G59" i="7"/>
  <c r="I57" i="7"/>
  <c r="I56" i="7"/>
  <c r="I55" i="7"/>
  <c r="I54" i="7"/>
  <c r="I53" i="7"/>
  <c r="I52" i="7"/>
  <c r="I46" i="7"/>
  <c r="I44" i="7"/>
  <c r="I41" i="7"/>
  <c r="I40" i="7"/>
  <c r="I39" i="7"/>
  <c r="I38" i="7"/>
  <c r="BD28" i="7"/>
  <c r="AW28" i="7"/>
  <c r="AP28" i="7"/>
  <c r="AI28" i="7"/>
  <c r="AB28" i="7"/>
  <c r="U28" i="7"/>
  <c r="I26" i="7"/>
  <c r="I25" i="7"/>
  <c r="I24" i="7"/>
  <c r="I23" i="7"/>
  <c r="I22" i="7"/>
  <c r="BD21" i="7"/>
  <c r="AW21" i="7"/>
  <c r="AP21" i="7"/>
  <c r="AI21" i="7"/>
  <c r="AB21" i="7"/>
  <c r="U21" i="7"/>
  <c r="N21" i="7"/>
  <c r="G21" i="7"/>
  <c r="K67" i="7"/>
  <c r="K31" i="7"/>
  <c r="K29" i="7"/>
  <c r="K80" i="7"/>
  <c r="K35" i="7"/>
  <c r="K24" i="7"/>
  <c r="K32" i="7"/>
  <c r="K75" i="7"/>
  <c r="K95" i="7"/>
  <c r="K26" i="7"/>
  <c r="K53" i="7"/>
  <c r="K93" i="7"/>
  <c r="K25" i="7"/>
  <c r="K60" i="7"/>
  <c r="K94" i="7"/>
  <c r="K57" i="7"/>
  <c r="J93" i="7"/>
  <c r="K79" i="7"/>
  <c r="K78" i="7"/>
  <c r="K65" i="7"/>
  <c r="K76" i="7"/>
  <c r="K66" i="7"/>
  <c r="K56" i="7"/>
  <c r="K86" i="7"/>
  <c r="K41" i="7"/>
  <c r="J29" i="7"/>
  <c r="K38" i="7"/>
  <c r="K73" i="7"/>
  <c r="K85" i="7"/>
  <c r="K81" i="7"/>
  <c r="K30" i="7"/>
  <c r="K34" i="7"/>
  <c r="K74" i="7"/>
  <c r="J91" i="7"/>
  <c r="J95" i="7"/>
  <c r="K33" i="7"/>
  <c r="K92" i="7"/>
  <c r="K44" i="7"/>
  <c r="K89" i="7"/>
  <c r="K68" i="7"/>
  <c r="K69" i="7"/>
  <c r="K40" i="7"/>
  <c r="J94" i="7"/>
  <c r="J90" i="7"/>
  <c r="K64" i="7"/>
  <c r="J89" i="7"/>
  <c r="K23" i="7"/>
  <c r="K90" i="7"/>
  <c r="K77" i="7"/>
  <c r="K39" i="7"/>
  <c r="K52" i="7"/>
  <c r="K62" i="7"/>
  <c r="J92" i="7"/>
  <c r="K82" i="7"/>
  <c r="K55" i="7"/>
  <c r="K91" i="7"/>
  <c r="K54" i="7"/>
  <c r="K61" i="7"/>
  <c r="K70" i="7"/>
  <c r="K22" i="7"/>
  <c r="K63" i="7"/>
  <c r="K46" i="7"/>
  <c r="I37" i="7" l="1"/>
  <c r="I21" i="7"/>
  <c r="I88" i="7"/>
  <c r="I72" i="7"/>
  <c r="I59" i="7"/>
  <c r="BD4" i="7"/>
  <c r="AW4" i="7"/>
  <c r="AP4" i="7"/>
  <c r="AI4" i="7"/>
  <c r="AB4" i="7"/>
  <c r="U4" i="7"/>
  <c r="N4" i="7"/>
  <c r="G4" i="7"/>
  <c r="I19" i="7"/>
  <c r="I6" i="7"/>
  <c r="I7" i="7"/>
  <c r="I8" i="7"/>
  <c r="I9" i="7"/>
  <c r="I10" i="7"/>
  <c r="I14" i="7"/>
  <c r="I15" i="7"/>
  <c r="I16" i="7"/>
  <c r="I17" i="7"/>
  <c r="I18" i="7"/>
  <c r="I5" i="7"/>
  <c r="K5" i="7"/>
  <c r="K8" i="7"/>
  <c r="K7" i="7"/>
  <c r="K19" i="7"/>
  <c r="K14" i="7"/>
  <c r="K9" i="7"/>
  <c r="K15" i="7"/>
  <c r="K16" i="7"/>
  <c r="K18" i="7"/>
  <c r="K6" i="7"/>
  <c r="K10" i="7"/>
  <c r="K17" i="7"/>
  <c r="I4" i="7" l="1"/>
</calcChain>
</file>

<file path=xl/sharedStrings.xml><?xml version="1.0" encoding="utf-8"?>
<sst xmlns="http://schemas.openxmlformats.org/spreadsheetml/2006/main" count="484" uniqueCount="158">
  <si>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</si>
  <si>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</si>
  <si>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</si>
  <si>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</si>
  <si>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</si>
  <si>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</si>
  <si>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</si>
  <si>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</si>
  <si>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</si>
  <si>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</si>
  <si>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</si>
  <si>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</si>
  <si>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</si>
  <si>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</si>
  <si>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</si>
  <si>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</si>
  <si>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</si>
  <si>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</si>
  <si>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</si>
  <si>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</si>
  <si>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</si>
  <si>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</si>
  <si>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</si>
  <si>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</si>
  <si>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</si>
  <si>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</si>
  <si>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</si>
  <si>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</si>
  <si>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</si>
  <si>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</si>
  <si>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</si>
  <si>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</si>
  <si>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</si>
  <si>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</si>
  <si>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</si>
  <si>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</si>
  <si>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</si>
  <si>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</si>
  <si>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</si>
  <si>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</si>
  <si>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Mikroökonomie</t>
  </si>
  <si>
    <t>Lerneinheiten durchgezogen</t>
  </si>
  <si>
    <t>Tagesplan erstellt</t>
  </si>
  <si>
    <t>Konzentrationslevel</t>
  </si>
  <si>
    <t>Datum</t>
  </si>
  <si>
    <t>Kcal</t>
  </si>
  <si>
    <t>Fette</t>
  </si>
  <si>
    <t>Eiweiss</t>
  </si>
  <si>
    <t>Kohlenhydrate</t>
  </si>
  <si>
    <t>Gewicht</t>
  </si>
  <si>
    <t>Sonstiges Gefühl</t>
  </si>
  <si>
    <t>Optimierungen</t>
  </si>
  <si>
    <t>BWL1</t>
  </si>
  <si>
    <t>Ingenieurmathematik 1</t>
  </si>
  <si>
    <t>Technische Mechanik 1</t>
  </si>
  <si>
    <t>Baukonstruktion 1</t>
  </si>
  <si>
    <t>1) Einleitung</t>
  </si>
  <si>
    <t>2) Grundlagen des Marketings</t>
  </si>
  <si>
    <t>3) Marketing-Analyse</t>
  </si>
  <si>
    <t>4) Ziele, Basisstrategien und Instrumente des Marketings</t>
  </si>
  <si>
    <t>5) Marketing-Implementierung</t>
  </si>
  <si>
    <t>6) Marketing-Kontrolle</t>
  </si>
  <si>
    <t>7) Ausblick</t>
  </si>
  <si>
    <t>11) Handelsvorteile</t>
  </si>
  <si>
    <t>10) Monopol</t>
  </si>
  <si>
    <t>9) Kosten der Besteuerung</t>
  </si>
  <si>
    <t>8) Wirtschaftspolitik</t>
  </si>
  <si>
    <t>7) Effizients von Märkten</t>
  </si>
  <si>
    <t>6) Produktionskosten- und entscheidungen</t>
  </si>
  <si>
    <t>5) Mikroökonomische Fundierung der Nachfragekurve</t>
  </si>
  <si>
    <t>4) Elastizität</t>
  </si>
  <si>
    <t>3) Angebot - Nachfrage</t>
  </si>
  <si>
    <t>2)  Volkswirtschaftliches Denken</t>
  </si>
  <si>
    <t>1) Sieben volksw. Regel</t>
  </si>
  <si>
    <t>1) Management als akademische Disziplin</t>
  </si>
  <si>
    <t>2) Die Betriebswirtschaftslehre und ihre Grundprinzipien</t>
  </si>
  <si>
    <t>3) Das Selbstverständnis der BWL</t>
  </si>
  <si>
    <t>4) Managerkompetenzen und Managerhandeln</t>
  </si>
  <si>
    <t>5) Planung – Funktionen und Horizonte</t>
  </si>
  <si>
    <t>6) Strategische Analyse</t>
  </si>
  <si>
    <t>7) Planungsinstrumente I</t>
  </si>
  <si>
    <t>8)  Planungsinstrumente II</t>
  </si>
  <si>
    <t>9) Probleme und Grenzen der Planung</t>
  </si>
  <si>
    <t>10) Entscheidung: Formale vs. deskriptive Ansätze</t>
  </si>
  <si>
    <t>11) Entscheidung: Prospect Theory &amp; Nudging</t>
  </si>
  <si>
    <t>12) Entscheidung: Der Untergang des Tanalands</t>
  </si>
  <si>
    <t>13) Personalführung – Menschen anleiten und motivieren</t>
  </si>
  <si>
    <t>14) Immaterielle Personalbeteiligung I (Mitbestimmung)</t>
  </si>
  <si>
    <t>15) Immaterielle Personalbeteiligung II (Betriebliche MBst)</t>
  </si>
  <si>
    <t xml:space="preserve">16) Materielle Personalbeteiligung (Erfolg &amp; Kapital)
</t>
  </si>
  <si>
    <t xml:space="preserve">17) Kontrolle – Aufgaben und Formen
</t>
  </si>
  <si>
    <t xml:space="preserve">18) Strategische Kontrolle
</t>
  </si>
  <si>
    <t xml:space="preserve">19) Corporate Governance
</t>
  </si>
  <si>
    <t>20) Fazit und Ausblick</t>
  </si>
  <si>
    <t>1) Folgen und Grenzwerte</t>
  </si>
  <si>
    <t>2) Reihen</t>
  </si>
  <si>
    <t>3) Funktionen</t>
  </si>
  <si>
    <t>4) Grenzwerte von Funktionen und Stetigkeiten</t>
  </si>
  <si>
    <t>5) Differentation</t>
  </si>
  <si>
    <t>6) Integration</t>
  </si>
  <si>
    <t>Analysis 1</t>
  </si>
  <si>
    <t>Lineare Algebra 1</t>
  </si>
  <si>
    <t>1) Mengen, Relationen und Abbildungen</t>
  </si>
  <si>
    <t>2) Körper, Vektorräume, Unterräume und Faktorräume</t>
  </si>
  <si>
    <t>3) Lineare Unabhängigkeit, Basis und Dimension</t>
  </si>
  <si>
    <t>4) Matrizen, Kern, Bild, Rang</t>
  </si>
  <si>
    <t>5) Gauss-Algorithmus, Lösen von Gleichungssystemen</t>
  </si>
  <si>
    <t>6) Lineare Abbildungen, Isomorphie- und Homomorphiesatz, Dualraum</t>
  </si>
  <si>
    <t>7) Determinaten, Permutationsgruppen, Leibnitzsche Formel, Rechenregeln für Determinanten</t>
  </si>
  <si>
    <t>8) Eigenwerte, Eigenvektoren, Eigenräume, charakteristisches Polynom, Satz von Cayley Hamilton</t>
  </si>
  <si>
    <t>9) Bilinearformen, Skalarprodukt, euklidische, Orthonormalbasen, Hauptachsentransformation</t>
  </si>
  <si>
    <t>Baustoffkunde 1</t>
  </si>
  <si>
    <t>2) Grundlagen Technisches Zeichnen</t>
  </si>
  <si>
    <t>3) Gesetzliche Grundlagen Teil 1</t>
  </si>
  <si>
    <t>4) Gesetzliche Grundlagen Teil 2</t>
  </si>
  <si>
    <t>5) Aufgaben und Funktionen</t>
  </si>
  <si>
    <t>6) Bauweisen und Konstruktionsprinzipien Teil 1</t>
  </si>
  <si>
    <t>7) Bauweisen und Konstruktionsprinzipien Teil 2</t>
  </si>
  <si>
    <t>8) Baugrund und Gründung</t>
  </si>
  <si>
    <t>9) Bauteile im Erdreich</t>
  </si>
  <si>
    <t>10) Bauteile über Erdreich</t>
  </si>
  <si>
    <t>11) Geschossdächer und Flachdächer</t>
  </si>
  <si>
    <t>12) Geneigte Dächer</t>
  </si>
  <si>
    <t>13) Treppen, Türen und Fenster</t>
  </si>
  <si>
    <t>14) Nachhaltiges Bauen mit nachwachsenden Rohstoffen</t>
  </si>
  <si>
    <t>1) Kraft und Moment</t>
  </si>
  <si>
    <t>2) Statisches Gleichgewicht und statische Bestimmtheit</t>
  </si>
  <si>
    <t>3) Schwerpunkt</t>
  </si>
  <si>
    <t>4) Auflager und Gelenke</t>
  </si>
  <si>
    <t>5) Fachwerke / Kräfte in Stäben</t>
  </si>
  <si>
    <t>6) Schnitttgrößen in Balken und Rahmen</t>
  </si>
  <si>
    <t>7) Haftung und Reibung</t>
  </si>
  <si>
    <t>KW 43 - 25.10.21 - 29.10.2021</t>
  </si>
  <si>
    <t>KW 44 - 01.11.21 - 05.11.21</t>
  </si>
  <si>
    <t>KW 45 - 08.11 - 12.11.2021</t>
  </si>
  <si>
    <t>KW 46 - 15.11 - 19.11.2021</t>
  </si>
  <si>
    <t>KW 47 - 22.11 - 26.11.21</t>
  </si>
  <si>
    <t>KW 48 - 29.11 - 03.12.21</t>
  </si>
  <si>
    <t>KW 49 - 06.12 - 10.12.21</t>
  </si>
  <si>
    <t>KW 50 - 13.12.21 - 17.12.21</t>
  </si>
  <si>
    <t>#</t>
  </si>
  <si>
    <t>KW 51 - 20.12 - 24.12.21</t>
  </si>
  <si>
    <t>KW 52 - 27.12 - 31.12.21</t>
  </si>
  <si>
    <t>KW 1 - 03.01 - 07.01.21</t>
  </si>
  <si>
    <t>KW 2 - 10.01 - 14.01.2022</t>
  </si>
  <si>
    <t>KW 3 - 17.01.22 - 21.01.2021</t>
  </si>
  <si>
    <t>KW 4 - 24.01.2022 - 28.01.2022</t>
  </si>
  <si>
    <t>1) Grundlagen des Baustoffverhaltens</t>
  </si>
  <si>
    <t>2) Brandverhalten</t>
  </si>
  <si>
    <t>3) Metalische Werkstoffe</t>
  </si>
  <si>
    <t>4) Holz und Holzwerkstsoffe</t>
  </si>
  <si>
    <t>5) Kunstoffkunde</t>
  </si>
  <si>
    <t>Baukonstruktion Bib</t>
  </si>
  <si>
    <t>Mikroökonomie (Übung alle 14 Tage)</t>
  </si>
  <si>
    <t>Baukonstruktion Vorlesung/Übung</t>
  </si>
  <si>
    <t>TM1</t>
  </si>
  <si>
    <t>IM1</t>
  </si>
  <si>
    <t>Baukonstruktion</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</si>
</sst>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FF0000"/>
      <name val="Calibri"/>
      <family val="2"/>
      <scheme val="minor"/>
    </font>
    <font>
      <sz val="12"/>
      <name val="Calibri"/>
      <family val="2"/>
      <scheme val="minor"/>
    </font>
    <font>
      <sz val="12"/>
      <color rgb="FFFF231B"/>
      <name val="Calibri"/>
      <family val="2"/>
      <scheme val="minor"/>
    </font>
    <font>
      <sz val="11"/>
      <color rgb="FF000000"/>
      <name val="Arial"/>
      <family val="2"/>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0" borderId="0" xfId="0" applyAlignment="1">
      <alignment horizontal="left"/>
    </xf>
    <xf numFmtId="0" fontId="0" fillId="0" borderId="0" xfId="0" applyAlignment="1">
      <alignment horizontal="left" wrapText="1"/>
    </xf>
    <xf numFmtId="14" fontId="0" fillId="0" borderId="0" xfId="0" applyNumberFormat="1"/>
    <xf numFmtId="9" fontId="5" fillId="0" borderId="0" xfId="0" applyNumberFormat="1" applyFont="1"/>
    <xf numFmtId="0" fontId="6" fillId="0" borderId="0" xfId="0" applyFont="1"/>
    <xf numFmtId="9" fontId="7" fillId="0" borderId="0" xfId="0" applyNumberFormat="1" applyFont="1"/>
    <xf numFmtId="0" fontId="8" fillId="0" borderId="0" xfId="0" applyFont="1"/>
    <xf numFmtId="0" fontId="1" fillId="2" borderId="0" xfId="0" applyFont="1" applyFill="1" applyAlignment="1">
      <alignment horizontal="center"/>
    </xf>
  </cellXfs>
  <cellStyles count="1">
    <cellStyle name="Standard" xfId="0" builtinId="0"/>
  </cellStyles>
  <dxfs count="19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231B"/>
      <color rgb="FF00FF29"/>
      <color rgb="FF56FF5E"/>
      <color rgb="FFC4FF87"/>
      <color rgb="FFFFDE7F"/>
      <color rgb="FFFF755A"/>
      <color rgb="FFFDFF05"/>
      <color rgb="FF10FF07"/>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Table1" displayName="Table1" ref="A1:K46" totalsRowShown="0" headerRowDxfId="4">
  <autoFilter ref="A1:K46"/>
  <tableColumns count="11">
    <tableColumn id="1" name="Datum" dataDxfId="3"/>
    <tableColumn id="2" name="Lerneinheiten durchgezogen" dataDxfId="2"/>
    <tableColumn id="3" name="Tagesplan erstellt" dataDxfId="1"/>
    <tableColumn id="4" name="Konzentrationslevel" dataDxfId="0"/>
    <tableColumn id="5" name="Kcal"/>
    <tableColumn id="6" name="Fette"/>
    <tableColumn id="7" name="Eiweiss"/>
    <tableColumn id="8" name="Kohlenhydrate"/>
    <tableColumn id="9" name="Gewicht"/>
    <tableColumn id="10" name="Sonstiges Gefühl"/>
    <tableColumn id="11"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25"/>
  <sheetViews>
    <sheetView workbookViewId="0">
      <selection activeCell="B16" sqref="B16"/>
    </sheetView>
  </sheetViews>
  <sheetFormatPr baseColWidth="10" defaultColWidth="10.625" defaultRowHeight="15.75"/>
  <cols>
    <col min="2" max="2" width="161" customWidth="1"/>
    <col min="3" max="3" width="10.875" style="2"/>
  </cols>
  <sheetData>
    <row r="4" spans="2:2" ht="21">
      <c r="B4" s="4" t="s">
        <v>17</v>
      </c>
    </row>
    <row r="6" spans="2:2">
      <c r="B6" s="3" t="s">
        <v>14</v>
      </c>
    </row>
    <row r="7" spans="2:2" ht="47.25">
      <c r="B7" s="1" t="s">
        <v>15</v>
      </c>
    </row>
    <row r="9" spans="2:2">
      <c r="B9" s="3" t="s">
        <v>16</v>
      </c>
    </row>
    <row r="10" spans="2:2" ht="63">
      <c r="B10" s="1" t="s">
        <v>37</v>
      </c>
    </row>
    <row r="12" spans="2:2">
      <c r="B12" s="3" t="s">
        <v>18</v>
      </c>
    </row>
    <row r="13" spans="2:2" ht="126">
      <c r="B13" s="1" t="s">
        <v>19</v>
      </c>
    </row>
    <row r="15" spans="2:2">
      <c r="B15" s="3" t="s">
        <v>20</v>
      </c>
    </row>
    <row r="16" spans="2:2" ht="110.25">
      <c r="B16" s="1" t="s">
        <v>21</v>
      </c>
    </row>
    <row r="17" spans="2:2">
      <c r="B17" s="1"/>
    </row>
    <row r="18" spans="2:2">
      <c r="B18" s="3" t="s">
        <v>36</v>
      </c>
    </row>
    <row r="19" spans="2:2" ht="141.75">
      <c r="B19" s="1" t="s">
        <v>38</v>
      </c>
    </row>
    <row r="21" spans="2:2">
      <c r="B21" s="3" t="s">
        <v>22</v>
      </c>
    </row>
    <row r="22" spans="2:2" ht="110.25">
      <c r="B22" s="1" t="s">
        <v>39</v>
      </c>
    </row>
    <row r="24" spans="2:2">
      <c r="B24" s="3" t="s">
        <v>23</v>
      </c>
    </row>
    <row r="25" spans="2:2" ht="126">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F96"/>
  <sheetViews>
    <sheetView showGridLines="0" tabSelected="1" topLeftCell="A3" zoomScaleNormal="100" workbookViewId="0">
      <selection activeCell="C96" sqref="C96"/>
    </sheetView>
  </sheetViews>
  <sheetFormatPr baseColWidth="10" defaultColWidth="8.875" defaultRowHeight="15.75" outlineLevelRow="1"/>
  <cols>
    <col min="3" max="3" width="20.375" bestFit="1" customWidth="1"/>
    <col min="4" max="4" width="13" bestFit="1" customWidth="1"/>
    <col min="5" max="5" width="4.875" bestFit="1" customWidth="1"/>
    <col min="6" max="6" width="82.6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s>
  <sheetData>
    <row r="1" spans="2:110" ht="33.75">
      <c r="B1" s="5" t="s">
        <v>0</v>
      </c>
      <c r="D1" s="5"/>
      <c r="G1" s="14" t="s">
        <v>35</v>
      </c>
      <c r="I1" s="14" t="s">
        <v>35</v>
      </c>
      <c r="J1" s="14" t="s">
        <v>35</v>
      </c>
      <c r="K1" s="14" t="s">
        <v>35</v>
      </c>
    </row>
    <row r="2" spans="2:110">
      <c r="I2" s="25" t="s">
        <v>28</v>
      </c>
      <c r="J2" s="25"/>
      <c r="K2" s="25"/>
      <c r="L2" s="25"/>
      <c r="N2" s="25" t="s">
        <v>132</v>
      </c>
      <c r="O2" s="25"/>
      <c r="P2" s="25"/>
      <c r="Q2" s="25"/>
      <c r="R2" s="25"/>
      <c r="S2" s="25"/>
      <c r="U2" s="25" t="s">
        <v>133</v>
      </c>
      <c r="V2" s="25"/>
      <c r="W2" s="25"/>
      <c r="X2" s="25"/>
      <c r="Y2" s="25"/>
      <c r="Z2" s="25"/>
      <c r="AB2" s="25" t="s">
        <v>134</v>
      </c>
      <c r="AC2" s="25"/>
      <c r="AD2" s="25"/>
      <c r="AE2" s="25"/>
      <c r="AF2" s="25"/>
      <c r="AG2" s="25"/>
      <c r="AI2" s="25" t="s">
        <v>135</v>
      </c>
      <c r="AJ2" s="25"/>
      <c r="AK2" s="25"/>
      <c r="AL2" s="25"/>
      <c r="AM2" s="25"/>
      <c r="AN2" s="25"/>
      <c r="AP2" s="25" t="s">
        <v>136</v>
      </c>
      <c r="AQ2" s="25"/>
      <c r="AR2" s="25"/>
      <c r="AS2" s="25"/>
      <c r="AT2" s="25"/>
      <c r="AU2" s="25"/>
      <c r="AW2" s="25" t="s">
        <v>137</v>
      </c>
      <c r="AX2" s="25"/>
      <c r="AY2" s="25"/>
      <c r="AZ2" s="25"/>
      <c r="BA2" s="25"/>
      <c r="BB2" s="25"/>
      <c r="BD2" s="25" t="s">
        <v>138</v>
      </c>
      <c r="BE2" s="25"/>
      <c r="BF2" s="25"/>
      <c r="BG2" s="25"/>
      <c r="BH2" s="25"/>
      <c r="BI2" s="25"/>
      <c r="BK2" s="25" t="s">
        <v>139</v>
      </c>
      <c r="BL2" s="25"/>
      <c r="BM2" s="25"/>
      <c r="BN2" s="25"/>
      <c r="BO2" s="25"/>
      <c r="BP2" s="25"/>
      <c r="BR2" s="25" t="s">
        <v>141</v>
      </c>
      <c r="BS2" s="25"/>
      <c r="BT2" s="25"/>
      <c r="BU2" s="25"/>
      <c r="BV2" s="25"/>
      <c r="BW2" s="25"/>
      <c r="BY2" s="25" t="s">
        <v>142</v>
      </c>
      <c r="BZ2" s="25"/>
      <c r="CA2" s="25"/>
      <c r="CB2" s="25"/>
      <c r="CC2" s="25"/>
      <c r="CD2" s="25"/>
      <c r="CF2" s="25" t="s">
        <v>143</v>
      </c>
      <c r="CG2" s="25"/>
      <c r="CH2" s="25"/>
      <c r="CI2" s="25"/>
      <c r="CJ2" s="25"/>
      <c r="CK2" s="25"/>
      <c r="CM2" s="25" t="s">
        <v>144</v>
      </c>
      <c r="CN2" s="25"/>
      <c r="CO2" s="25"/>
      <c r="CP2" s="25"/>
      <c r="CQ2" s="25"/>
      <c r="CR2" s="25"/>
      <c r="CT2" s="25" t="s">
        <v>145</v>
      </c>
      <c r="CU2" s="25"/>
      <c r="CV2" s="25"/>
      <c r="CW2" s="25"/>
      <c r="CX2" s="25"/>
      <c r="CY2" s="25"/>
      <c r="DA2" s="25" t="s">
        <v>146</v>
      </c>
      <c r="DB2" s="25"/>
      <c r="DC2" s="25"/>
      <c r="DD2" s="25"/>
      <c r="DE2" s="25"/>
      <c r="DF2" s="25"/>
    </row>
    <row r="3" spans="2:110">
      <c r="B3" s="6" t="s">
        <v>27</v>
      </c>
      <c r="C3" s="6" t="s">
        <v>1</v>
      </c>
      <c r="D3" s="6" t="s">
        <v>25</v>
      </c>
      <c r="E3" s="7" t="s">
        <v>32</v>
      </c>
      <c r="F3" s="6" t="s">
        <v>30</v>
      </c>
      <c r="G3" s="6" t="s">
        <v>33</v>
      </c>
      <c r="I3" s="7" t="s">
        <v>12</v>
      </c>
      <c r="J3" s="7" t="s">
        <v>3</v>
      </c>
      <c r="K3" s="7" t="s">
        <v>4</v>
      </c>
      <c r="L3" s="7" t="s">
        <v>13</v>
      </c>
      <c r="N3" s="6" t="s">
        <v>12</v>
      </c>
      <c r="O3" s="6" t="s">
        <v>3</v>
      </c>
      <c r="P3" s="6" t="s">
        <v>34</v>
      </c>
      <c r="Q3" s="6" t="s">
        <v>4</v>
      </c>
      <c r="R3" s="6" t="s">
        <v>34</v>
      </c>
      <c r="S3" s="6" t="s">
        <v>13</v>
      </c>
      <c r="U3" s="6" t="s">
        <v>12</v>
      </c>
      <c r="V3" s="6" t="s">
        <v>3</v>
      </c>
      <c r="W3" s="6" t="s">
        <v>34</v>
      </c>
      <c r="X3" s="6" t="s">
        <v>4</v>
      </c>
      <c r="Y3" s="6" t="s">
        <v>34</v>
      </c>
      <c r="Z3" s="6" t="s">
        <v>13</v>
      </c>
      <c r="AB3" s="6" t="s">
        <v>12</v>
      </c>
      <c r="AC3" s="6" t="s">
        <v>3</v>
      </c>
      <c r="AD3" s="6" t="s">
        <v>34</v>
      </c>
      <c r="AE3" s="6" t="s">
        <v>4</v>
      </c>
      <c r="AF3" s="6" t="s">
        <v>34</v>
      </c>
      <c r="AG3" s="6" t="s">
        <v>13</v>
      </c>
      <c r="AI3" s="6" t="s">
        <v>12</v>
      </c>
      <c r="AJ3" s="6" t="s">
        <v>3</v>
      </c>
      <c r="AK3" s="6" t="s">
        <v>34</v>
      </c>
      <c r="AL3" s="6" t="s">
        <v>4</v>
      </c>
      <c r="AM3" s="6" t="s">
        <v>34</v>
      </c>
      <c r="AN3" s="6" t="s">
        <v>13</v>
      </c>
      <c r="AP3" s="6" t="s">
        <v>12</v>
      </c>
      <c r="AQ3" s="6" t="s">
        <v>3</v>
      </c>
      <c r="AR3" s="6" t="s">
        <v>34</v>
      </c>
      <c r="AS3" s="6" t="s">
        <v>4</v>
      </c>
      <c r="AT3" s="6" t="s">
        <v>34</v>
      </c>
      <c r="AU3" s="6" t="s">
        <v>13</v>
      </c>
      <c r="AW3" s="6" t="s">
        <v>12</v>
      </c>
      <c r="AX3" s="6" t="s">
        <v>3</v>
      </c>
      <c r="AY3" s="6" t="s">
        <v>34</v>
      </c>
      <c r="AZ3" s="6" t="s">
        <v>4</v>
      </c>
      <c r="BA3" s="6" t="s">
        <v>34</v>
      </c>
      <c r="BB3" s="6" t="s">
        <v>13</v>
      </c>
      <c r="BD3" s="6" t="s">
        <v>12</v>
      </c>
      <c r="BE3" s="6" t="s">
        <v>3</v>
      </c>
      <c r="BF3" s="6" t="s">
        <v>34</v>
      </c>
      <c r="BG3" s="6" t="s">
        <v>4</v>
      </c>
      <c r="BH3" s="6" t="s">
        <v>34</v>
      </c>
      <c r="BI3" s="6" t="s">
        <v>13</v>
      </c>
      <c r="BK3" s="6" t="s">
        <v>140</v>
      </c>
      <c r="BL3" s="6" t="s">
        <v>3</v>
      </c>
      <c r="BM3" s="6" t="s">
        <v>34</v>
      </c>
      <c r="BN3" s="6" t="s">
        <v>4</v>
      </c>
      <c r="BO3" s="6" t="s">
        <v>34</v>
      </c>
      <c r="BP3" s="6" t="s">
        <v>13</v>
      </c>
      <c r="BR3" s="6" t="s">
        <v>12</v>
      </c>
      <c r="BS3" s="6" t="s">
        <v>3</v>
      </c>
      <c r="BT3" s="6" t="s">
        <v>34</v>
      </c>
      <c r="BU3" s="6" t="s">
        <v>4</v>
      </c>
      <c r="BV3" s="6" t="s">
        <v>34</v>
      </c>
      <c r="BW3" s="6" t="s">
        <v>13</v>
      </c>
      <c r="BY3" s="6" t="s">
        <v>12</v>
      </c>
      <c r="BZ3" s="6" t="s">
        <v>3</v>
      </c>
      <c r="CA3" s="6" t="s">
        <v>34</v>
      </c>
      <c r="CB3" s="6" t="s">
        <v>4</v>
      </c>
      <c r="CC3" s="6" t="s">
        <v>34</v>
      </c>
      <c r="CD3" s="6" t="s">
        <v>13</v>
      </c>
      <c r="CF3" s="6" t="s">
        <v>12</v>
      </c>
      <c r="CG3" s="6" t="s">
        <v>3</v>
      </c>
      <c r="CH3" s="6" t="s">
        <v>34</v>
      </c>
      <c r="CI3" s="6" t="s">
        <v>4</v>
      </c>
      <c r="CJ3" s="6" t="s">
        <v>34</v>
      </c>
      <c r="CK3" s="6" t="s">
        <v>13</v>
      </c>
      <c r="CM3" s="6" t="s">
        <v>12</v>
      </c>
      <c r="CN3" s="6" t="s">
        <v>3</v>
      </c>
      <c r="CO3" s="6" t="s">
        <v>34</v>
      </c>
      <c r="CP3" s="6" t="s">
        <v>4</v>
      </c>
      <c r="CQ3" s="6" t="s">
        <v>34</v>
      </c>
      <c r="CR3" s="6" t="s">
        <v>13</v>
      </c>
      <c r="CT3" s="6" t="s">
        <v>12</v>
      </c>
      <c r="CU3" s="6" t="s">
        <v>3</v>
      </c>
      <c r="CV3" s="6" t="s">
        <v>34</v>
      </c>
      <c r="CW3" s="6" t="s">
        <v>4</v>
      </c>
      <c r="CX3" s="6" t="s">
        <v>34</v>
      </c>
      <c r="CY3" s="6" t="s">
        <v>13</v>
      </c>
      <c r="DA3" s="6" t="s">
        <v>12</v>
      </c>
      <c r="DB3" s="6" t="s">
        <v>3</v>
      </c>
      <c r="DC3" s="6" t="s">
        <v>34</v>
      </c>
      <c r="DD3" s="6" t="s">
        <v>4</v>
      </c>
      <c r="DE3" s="6" t="s">
        <v>34</v>
      </c>
      <c r="DF3" s="6" t="s">
        <v>13</v>
      </c>
    </row>
    <row r="4" spans="2:110">
      <c r="B4" t="s">
        <v>28</v>
      </c>
      <c r="C4" t="s">
        <v>53</v>
      </c>
      <c r="D4" s="20">
        <v>44627</v>
      </c>
      <c r="E4" s="10">
        <v>8</v>
      </c>
      <c r="G4" s="11">
        <f>+SUM(G5:G19)</f>
        <v>1.0500000000000005</v>
      </c>
      <c r="I4" s="13">
        <f>+SUM(I5:I19)</f>
        <v>0</v>
      </c>
      <c r="J4" s="12" t="e">
        <f t="shared" ref="J4:J28" ca="1" si="0">+_xlfn.MAXIFS($N4:$YZ4,$N$3:$YZ$3,J$3)</f>
        <v>#NAME?</v>
      </c>
      <c r="K4" s="12">
        <v>0</v>
      </c>
      <c r="L4" s="10"/>
      <c r="N4" s="13">
        <f>+SUM(N5:N19)</f>
        <v>0</v>
      </c>
      <c r="U4" s="13">
        <f>+SUM(U5:U19)</f>
        <v>0</v>
      </c>
      <c r="AB4" s="13">
        <f>+SUM(AB5:AB19)</f>
        <v>0</v>
      </c>
      <c r="AI4" s="13">
        <f>+SUM(AI5:AI19)</f>
        <v>0</v>
      </c>
      <c r="AP4" s="13">
        <f>+SUM(AP5:AP19)</f>
        <v>0</v>
      </c>
      <c r="AW4" s="13">
        <f>+SUM(AW5:AW19)</f>
        <v>0</v>
      </c>
      <c r="BD4" s="13">
        <f>+SUM(BD5:BD19)</f>
        <v>0</v>
      </c>
      <c r="BK4" s="13">
        <f>+SUM(BK5:BK19)</f>
        <v>0</v>
      </c>
      <c r="BR4" s="13">
        <f>+SUM(BR5:BR19)</f>
        <v>0</v>
      </c>
      <c r="BY4" s="13">
        <f>+SUM(BY5:BY19)</f>
        <v>0</v>
      </c>
      <c r="CF4" s="13">
        <f>+SUM(CF5:CF19)</f>
        <v>0</v>
      </c>
      <c r="CM4" s="13">
        <f>+SUM(CM5:CM19)</f>
        <v>0</v>
      </c>
      <c r="CT4" s="13">
        <f>+SUM(CT5:CT19)</f>
        <v>0</v>
      </c>
      <c r="DA4" s="13">
        <f>+SUM(DA5:DA19)</f>
        <v>0</v>
      </c>
    </row>
    <row r="5" spans="2:110" ht="15.75" hidden="1" customHeight="1" outlineLevel="1">
      <c r="B5" t="s">
        <v>29</v>
      </c>
      <c r="C5" t="s">
        <v>100</v>
      </c>
      <c r="E5" s="10"/>
      <c r="F5" t="s">
        <v>94</v>
      </c>
      <c r="G5" s="21">
        <v>7.0000000000000007E-2</v>
      </c>
      <c r="I5" s="10">
        <f t="shared" ref="I5:I19" si="1">+SUMIF($N$3:$ZT$3,I$3,$N5:$ZT5)</f>
        <v>0</v>
      </c>
      <c r="J5" s="12" t="e">
        <f t="shared" ca="1" si="0"/>
        <v>#NAME?</v>
      </c>
      <c r="K5" s="12" t="e">
        <f t="shared" ref="K5:K19" ca="1" si="2">+_xlfn.MAXIFS($N5:$YZ5,$N$3:$YZ$3,K$3)</f>
        <v>#NAME?</v>
      </c>
      <c r="L5" s="10"/>
      <c r="O5" s="11">
        <v>0.5</v>
      </c>
      <c r="P5" s="11">
        <v>0.5</v>
      </c>
      <c r="Q5" s="11">
        <v>0.5</v>
      </c>
      <c r="R5" s="11">
        <v>0.5</v>
      </c>
      <c r="V5" s="11"/>
      <c r="W5" s="11">
        <v>0.5</v>
      </c>
      <c r="X5" s="11"/>
      <c r="Y5" s="11">
        <v>0.5</v>
      </c>
      <c r="AC5" s="11"/>
      <c r="AD5" s="11">
        <v>0.8</v>
      </c>
      <c r="AE5" s="11"/>
      <c r="AF5" s="11">
        <v>0.8</v>
      </c>
      <c r="AJ5" s="11"/>
      <c r="AK5" s="11">
        <v>0.8</v>
      </c>
      <c r="AL5" s="11"/>
      <c r="AM5" s="11">
        <v>0.8</v>
      </c>
      <c r="AQ5" s="11"/>
      <c r="AR5" s="11">
        <v>0.8</v>
      </c>
      <c r="AS5" s="11"/>
      <c r="AT5" s="11">
        <v>0.8</v>
      </c>
      <c r="AX5" s="11"/>
      <c r="AY5" s="11">
        <v>0.8</v>
      </c>
      <c r="AZ5" s="11"/>
      <c r="BA5" s="11">
        <v>0.8</v>
      </c>
      <c r="BE5" s="11"/>
      <c r="BF5" s="11">
        <v>0.8</v>
      </c>
      <c r="BG5" s="11"/>
      <c r="BH5" s="11">
        <v>0.8</v>
      </c>
      <c r="BL5" s="11"/>
      <c r="BM5" s="11">
        <v>0.8</v>
      </c>
      <c r="BN5" s="11"/>
      <c r="BO5" s="11">
        <v>0.8</v>
      </c>
      <c r="BS5" s="11"/>
      <c r="BT5" s="11">
        <v>0.8</v>
      </c>
      <c r="BU5" s="11"/>
      <c r="BV5" s="11">
        <v>0.8</v>
      </c>
      <c r="BZ5" s="11"/>
      <c r="CA5" s="11">
        <v>1</v>
      </c>
      <c r="CB5" s="11"/>
      <c r="CC5" s="11">
        <v>1</v>
      </c>
      <c r="CG5" s="11"/>
      <c r="CH5" s="11">
        <v>1</v>
      </c>
      <c r="CI5" s="11"/>
      <c r="CJ5" s="11">
        <v>1</v>
      </c>
      <c r="CN5" s="11"/>
      <c r="CO5" s="11">
        <v>1</v>
      </c>
      <c r="CP5" s="11"/>
      <c r="CQ5" s="11">
        <v>1</v>
      </c>
      <c r="CU5" s="11"/>
      <c r="CV5" s="11">
        <v>1</v>
      </c>
      <c r="CW5" s="11"/>
      <c r="CX5" s="11">
        <v>1</v>
      </c>
      <c r="DB5" s="11"/>
      <c r="DC5" s="11"/>
      <c r="DD5" s="11"/>
      <c r="DE5" s="11"/>
    </row>
    <row r="6" spans="2:110" ht="15.75" hidden="1" customHeight="1" outlineLevel="1">
      <c r="B6" t="s">
        <v>29</v>
      </c>
      <c r="C6" t="s">
        <v>100</v>
      </c>
      <c r="E6" s="10"/>
      <c r="F6" t="s">
        <v>95</v>
      </c>
      <c r="G6" s="21">
        <v>7.0000000000000007E-2</v>
      </c>
      <c r="I6" s="10">
        <f t="shared" si="1"/>
        <v>0</v>
      </c>
      <c r="J6" s="12" t="e">
        <f t="shared" ca="1" si="0"/>
        <v>#NAME?</v>
      </c>
      <c r="K6" s="12" t="e">
        <f t="shared" ca="1" si="2"/>
        <v>#NAME?</v>
      </c>
      <c r="L6" s="10"/>
      <c r="O6" s="11"/>
      <c r="P6" s="11">
        <v>0.5</v>
      </c>
      <c r="Q6" s="11"/>
      <c r="R6" s="11">
        <v>0.5</v>
      </c>
      <c r="V6" s="11"/>
      <c r="W6" s="11">
        <v>0.5</v>
      </c>
      <c r="X6" s="11"/>
      <c r="Y6" s="11">
        <v>0.5</v>
      </c>
      <c r="AC6" s="11"/>
      <c r="AD6" s="11">
        <v>0.5</v>
      </c>
      <c r="AE6" s="11"/>
      <c r="AF6" s="11">
        <v>0.5</v>
      </c>
      <c r="AJ6" s="11"/>
      <c r="AK6" s="11">
        <v>0.8</v>
      </c>
      <c r="AL6" s="11"/>
      <c r="AM6" s="11">
        <v>0.8</v>
      </c>
      <c r="AQ6" s="11"/>
      <c r="AR6" s="11">
        <v>0.8</v>
      </c>
      <c r="AS6" s="11"/>
      <c r="AT6" s="11">
        <v>0.8</v>
      </c>
      <c r="AX6" s="11"/>
      <c r="AY6" s="11">
        <v>0.8</v>
      </c>
      <c r="AZ6" s="11"/>
      <c r="BA6" s="11">
        <v>0.8</v>
      </c>
      <c r="BE6" s="11"/>
      <c r="BF6" s="11">
        <v>0.8</v>
      </c>
      <c r="BG6" s="11"/>
      <c r="BH6" s="11">
        <v>0.8</v>
      </c>
      <c r="BL6" s="11"/>
      <c r="BM6" s="11">
        <v>0.8</v>
      </c>
      <c r="BN6" s="11"/>
      <c r="BO6" s="11">
        <v>0.8</v>
      </c>
      <c r="BS6" s="11"/>
      <c r="BT6" s="11">
        <v>0.8</v>
      </c>
      <c r="BU6" s="11"/>
      <c r="BV6" s="11">
        <v>0.8</v>
      </c>
      <c r="BZ6" s="11"/>
      <c r="CA6" s="11">
        <v>0.8</v>
      </c>
      <c r="CB6" s="11"/>
      <c r="CC6" s="11">
        <v>0.8</v>
      </c>
      <c r="CG6" s="11"/>
      <c r="CH6" s="11">
        <v>1</v>
      </c>
      <c r="CI6" s="11"/>
      <c r="CJ6" s="11">
        <v>1</v>
      </c>
      <c r="CN6" s="11"/>
      <c r="CO6" s="11">
        <v>1</v>
      </c>
      <c r="CP6" s="11"/>
      <c r="CQ6" s="11">
        <v>1</v>
      </c>
      <c r="CU6" s="11"/>
      <c r="CV6" s="11">
        <v>1</v>
      </c>
      <c r="CW6" s="11"/>
      <c r="CX6" s="11">
        <v>1</v>
      </c>
      <c r="DB6" s="11"/>
      <c r="DC6" s="11"/>
      <c r="DD6" s="11"/>
      <c r="DE6" s="11"/>
    </row>
    <row r="7" spans="2:110" ht="15.75" hidden="1" customHeight="1" outlineLevel="1">
      <c r="B7" t="s">
        <v>29</v>
      </c>
      <c r="C7" t="s">
        <v>100</v>
      </c>
      <c r="E7" s="10"/>
      <c r="F7" t="s">
        <v>96</v>
      </c>
      <c r="G7" s="21">
        <v>7.0000000000000007E-2</v>
      </c>
      <c r="I7" s="10">
        <f t="shared" si="1"/>
        <v>0</v>
      </c>
      <c r="J7" s="12" t="e">
        <f t="shared" ca="1" si="0"/>
        <v>#NAME?</v>
      </c>
      <c r="K7" s="12" t="e">
        <f t="shared" ca="1" si="2"/>
        <v>#NAME?</v>
      </c>
      <c r="L7" s="10"/>
      <c r="O7" s="11"/>
      <c r="P7" s="11"/>
      <c r="Q7" s="11"/>
      <c r="R7" s="11"/>
      <c r="V7" s="11"/>
      <c r="W7" s="11">
        <v>0.5</v>
      </c>
      <c r="X7" s="11"/>
      <c r="Y7" s="11">
        <v>0.5</v>
      </c>
      <c r="AC7" s="11"/>
      <c r="AD7" s="11">
        <v>0.5</v>
      </c>
      <c r="AE7" s="11"/>
      <c r="AF7" s="11">
        <v>0.5</v>
      </c>
      <c r="AJ7" s="11"/>
      <c r="AK7" s="11">
        <v>0.5</v>
      </c>
      <c r="AL7" s="11"/>
      <c r="AM7" s="11">
        <v>0.5</v>
      </c>
      <c r="AQ7" s="11"/>
      <c r="AR7" s="11">
        <v>0.8</v>
      </c>
      <c r="AS7" s="11"/>
      <c r="AT7" s="11">
        <v>0.8</v>
      </c>
      <c r="AX7" s="11"/>
      <c r="AY7" s="11">
        <v>0.8</v>
      </c>
      <c r="AZ7" s="11"/>
      <c r="BA7" s="11">
        <v>0.8</v>
      </c>
      <c r="BE7" s="11"/>
      <c r="BF7" s="11">
        <v>0.8</v>
      </c>
      <c r="BG7" s="11"/>
      <c r="BH7" s="11">
        <v>0.8</v>
      </c>
      <c r="BL7" s="11"/>
      <c r="BM7" s="11">
        <v>0.8</v>
      </c>
      <c r="BN7" s="11"/>
      <c r="BO7" s="11">
        <v>0.8</v>
      </c>
      <c r="BS7" s="11"/>
      <c r="BT7" s="11">
        <v>0.8</v>
      </c>
      <c r="BU7" s="11"/>
      <c r="BV7" s="11">
        <v>0.8</v>
      </c>
      <c r="BZ7" s="11"/>
      <c r="CA7" s="11">
        <v>0.8</v>
      </c>
      <c r="CB7" s="11"/>
      <c r="CC7" s="11">
        <v>0.8</v>
      </c>
      <c r="CG7" s="11"/>
      <c r="CH7" s="11">
        <v>1</v>
      </c>
      <c r="CI7" s="11"/>
      <c r="CJ7" s="11">
        <v>1</v>
      </c>
      <c r="CN7" s="11"/>
      <c r="CO7" s="11">
        <v>1</v>
      </c>
      <c r="CP7" s="11"/>
      <c r="CQ7" s="11">
        <v>1</v>
      </c>
      <c r="CU7" s="11"/>
      <c r="CV7" s="11">
        <v>1</v>
      </c>
      <c r="CW7" s="11"/>
      <c r="CX7" s="11">
        <v>1</v>
      </c>
      <c r="DB7" s="11"/>
      <c r="DC7" s="11"/>
      <c r="DD7" s="11"/>
      <c r="DE7" s="11"/>
    </row>
    <row r="8" spans="2:110" ht="15.75" hidden="1" customHeight="1" outlineLevel="1">
      <c r="B8" t="s">
        <v>29</v>
      </c>
      <c r="C8" t="s">
        <v>100</v>
      </c>
      <c r="E8" s="10"/>
      <c r="F8" t="s">
        <v>97</v>
      </c>
      <c r="G8" s="21">
        <v>7.0000000000000007E-2</v>
      </c>
      <c r="I8" s="10">
        <f t="shared" si="1"/>
        <v>0</v>
      </c>
      <c r="J8" s="12" t="e">
        <f t="shared" ca="1" si="0"/>
        <v>#NAME?</v>
      </c>
      <c r="K8" s="12" t="e">
        <f t="shared" ca="1" si="2"/>
        <v>#NAME?</v>
      </c>
      <c r="L8" s="10"/>
      <c r="O8" s="11"/>
      <c r="P8" s="11"/>
      <c r="Q8" s="11"/>
      <c r="R8" s="11"/>
      <c r="V8" s="11"/>
      <c r="W8" s="11"/>
      <c r="X8" s="11"/>
      <c r="Y8" s="11"/>
      <c r="AC8" s="11"/>
      <c r="AD8" s="11">
        <v>0.5</v>
      </c>
      <c r="AE8" s="11"/>
      <c r="AF8" s="11">
        <v>0.5</v>
      </c>
      <c r="AJ8" s="11"/>
      <c r="AK8" s="11">
        <v>0.5</v>
      </c>
      <c r="AL8" s="11"/>
      <c r="AM8" s="11">
        <v>0.5</v>
      </c>
      <c r="AQ8" s="11"/>
      <c r="AR8" s="11">
        <v>0.5</v>
      </c>
      <c r="AS8" s="11"/>
      <c r="AT8" s="11">
        <v>0.5</v>
      </c>
      <c r="AX8" s="11"/>
      <c r="AY8" s="11">
        <v>0.8</v>
      </c>
      <c r="AZ8" s="11"/>
      <c r="BA8" s="11">
        <v>0.8</v>
      </c>
      <c r="BE8" s="11"/>
      <c r="BF8" s="11">
        <v>0.8</v>
      </c>
      <c r="BG8" s="11"/>
      <c r="BH8" s="11">
        <v>0.8</v>
      </c>
      <c r="BL8" s="11"/>
      <c r="BM8" s="11">
        <v>0.8</v>
      </c>
      <c r="BN8" s="11"/>
      <c r="BO8" s="11">
        <v>0.8</v>
      </c>
      <c r="BS8" s="11"/>
      <c r="BT8" s="11">
        <v>0.8</v>
      </c>
      <c r="BU8" s="11"/>
      <c r="BV8" s="11">
        <v>0.8</v>
      </c>
      <c r="BZ8" s="11"/>
      <c r="CA8" s="11">
        <v>0.8</v>
      </c>
      <c r="CB8" s="11"/>
      <c r="CC8" s="11">
        <v>0.8</v>
      </c>
      <c r="CG8" s="11"/>
      <c r="CH8" s="11">
        <v>1</v>
      </c>
      <c r="CI8" s="11"/>
      <c r="CJ8" s="11">
        <v>1</v>
      </c>
      <c r="CN8" s="11"/>
      <c r="CO8" s="11">
        <v>1</v>
      </c>
      <c r="CP8" s="11"/>
      <c r="CQ8" s="11">
        <v>1</v>
      </c>
      <c r="CU8" s="11"/>
      <c r="CV8" s="11">
        <v>1</v>
      </c>
      <c r="CW8" s="11"/>
      <c r="CX8" s="11">
        <v>1</v>
      </c>
      <c r="DB8" s="11"/>
      <c r="DC8" s="11"/>
      <c r="DD8" s="11"/>
      <c r="DE8" s="11"/>
    </row>
    <row r="9" spans="2:110" ht="15.75" hidden="1" customHeight="1" outlineLevel="1">
      <c r="B9" t="s">
        <v>29</v>
      </c>
      <c r="C9" t="s">
        <v>100</v>
      </c>
      <c r="E9" s="10"/>
      <c r="F9" t="s">
        <v>98</v>
      </c>
      <c r="G9" s="21">
        <v>7.0000000000000007E-2</v>
      </c>
      <c r="I9" s="10">
        <f t="shared" si="1"/>
        <v>0</v>
      </c>
      <c r="J9" s="12" t="e">
        <f t="shared" ca="1" si="0"/>
        <v>#NAME?</v>
      </c>
      <c r="K9" s="12" t="e">
        <f t="shared" ca="1" si="2"/>
        <v>#NAME?</v>
      </c>
      <c r="L9" s="10"/>
      <c r="O9" s="11"/>
      <c r="P9" s="11"/>
      <c r="Q9" s="11"/>
      <c r="R9" s="11"/>
      <c r="V9" s="11"/>
      <c r="W9" s="11"/>
      <c r="X9" s="11"/>
      <c r="Y9" s="11"/>
      <c r="AC9" s="11"/>
      <c r="AD9" s="11"/>
      <c r="AE9" s="11"/>
      <c r="AF9" s="11"/>
      <c r="AJ9" s="11"/>
      <c r="AK9" s="11">
        <v>0.5</v>
      </c>
      <c r="AL9" s="11"/>
      <c r="AM9" s="11">
        <v>0.5</v>
      </c>
      <c r="AQ9" s="11"/>
      <c r="AR9" s="11">
        <v>0.5</v>
      </c>
      <c r="AS9" s="11"/>
      <c r="AT9" s="11">
        <v>0.5</v>
      </c>
      <c r="AX9" s="11"/>
      <c r="AY9" s="11">
        <v>0.8</v>
      </c>
      <c r="AZ9" s="11"/>
      <c r="BA9" s="11">
        <v>0.8</v>
      </c>
      <c r="BE9" s="11"/>
      <c r="BF9" s="11">
        <v>0.8</v>
      </c>
      <c r="BG9" s="11"/>
      <c r="BH9" s="11">
        <v>0.8</v>
      </c>
      <c r="BL9" s="11"/>
      <c r="BM9" s="11">
        <v>0.8</v>
      </c>
      <c r="BN9" s="11"/>
      <c r="BO9" s="11">
        <v>0.8</v>
      </c>
      <c r="BS9" s="11"/>
      <c r="BT9" s="11">
        <v>0.8</v>
      </c>
      <c r="BU9" s="11"/>
      <c r="BV9" s="11">
        <v>0.8</v>
      </c>
      <c r="BZ9" s="11"/>
      <c r="CA9" s="11">
        <v>0.8</v>
      </c>
      <c r="CB9" s="11"/>
      <c r="CC9" s="11">
        <v>0.8</v>
      </c>
      <c r="CG9" s="11"/>
      <c r="CH9" s="11">
        <v>1</v>
      </c>
      <c r="CI9" s="11"/>
      <c r="CJ9" s="11">
        <v>1</v>
      </c>
      <c r="CN9" s="11"/>
      <c r="CO9" s="11">
        <v>1</v>
      </c>
      <c r="CP9" s="11"/>
      <c r="CQ9" s="11">
        <v>1</v>
      </c>
      <c r="CU9" s="11"/>
      <c r="CV9" s="11">
        <v>1</v>
      </c>
      <c r="CW9" s="11"/>
      <c r="CX9" s="11">
        <v>1</v>
      </c>
      <c r="DB9" s="11"/>
      <c r="DC9" s="11"/>
      <c r="DD9" s="11"/>
      <c r="DE9" s="11"/>
    </row>
    <row r="10" spans="2:110" ht="15.75" hidden="1" customHeight="1" outlineLevel="1">
      <c r="B10" t="s">
        <v>29</v>
      </c>
      <c r="C10" t="s">
        <v>100</v>
      </c>
      <c r="E10" s="10"/>
      <c r="F10" t="s">
        <v>99</v>
      </c>
      <c r="G10" s="21">
        <v>7.0000000000000007E-2</v>
      </c>
      <c r="I10" s="10">
        <f t="shared" si="1"/>
        <v>0</v>
      </c>
      <c r="J10" s="12" t="e">
        <f t="shared" ca="1" si="0"/>
        <v>#NAME?</v>
      </c>
      <c r="K10" s="12" t="e">
        <f t="shared" ca="1" si="2"/>
        <v>#NAME?</v>
      </c>
      <c r="L10" s="10"/>
      <c r="O10" s="11"/>
      <c r="P10" s="11"/>
      <c r="Q10" s="11"/>
      <c r="R10" s="11"/>
      <c r="V10" s="11"/>
      <c r="W10" s="11"/>
      <c r="X10" s="11"/>
      <c r="Y10" s="11"/>
      <c r="AC10" s="11"/>
      <c r="AD10" s="11"/>
      <c r="AE10" s="11"/>
      <c r="AF10" s="11"/>
      <c r="AJ10" s="11"/>
      <c r="AK10" s="11"/>
      <c r="AL10" s="11"/>
      <c r="AM10" s="11"/>
      <c r="AQ10" s="11"/>
      <c r="AR10" s="11">
        <v>0.5</v>
      </c>
      <c r="AS10" s="11"/>
      <c r="AT10" s="11">
        <v>0.5</v>
      </c>
      <c r="AX10" s="11"/>
      <c r="AY10" s="11">
        <v>0.5</v>
      </c>
      <c r="AZ10" s="11"/>
      <c r="BA10" s="11">
        <v>0.5</v>
      </c>
      <c r="BE10" s="11"/>
      <c r="BF10" s="11">
        <v>0.5</v>
      </c>
      <c r="BG10" s="11"/>
      <c r="BH10" s="11">
        <v>0.5</v>
      </c>
      <c r="BL10" s="11"/>
      <c r="BM10" s="11">
        <v>0.8</v>
      </c>
      <c r="BN10" s="11"/>
      <c r="BO10" s="11">
        <v>0.8</v>
      </c>
      <c r="BS10" s="11"/>
      <c r="BT10" s="11">
        <v>0.8</v>
      </c>
      <c r="BU10" s="11"/>
      <c r="BV10" s="11">
        <v>0.8</v>
      </c>
      <c r="BZ10" s="11"/>
      <c r="CA10" s="11">
        <v>0.8</v>
      </c>
      <c r="CB10" s="11"/>
      <c r="CC10" s="11">
        <v>0.8</v>
      </c>
      <c r="CG10" s="11"/>
      <c r="CH10" s="11">
        <v>0.8</v>
      </c>
      <c r="CI10" s="11"/>
      <c r="CJ10" s="11">
        <v>0.8</v>
      </c>
      <c r="CN10" s="11"/>
      <c r="CO10" s="11">
        <v>1</v>
      </c>
      <c r="CP10" s="11"/>
      <c r="CQ10" s="11">
        <v>1</v>
      </c>
      <c r="CU10" s="11"/>
      <c r="CV10" s="11">
        <v>1</v>
      </c>
      <c r="CW10" s="11"/>
      <c r="CX10" s="11">
        <v>1</v>
      </c>
      <c r="DB10" s="11"/>
      <c r="DC10" s="11"/>
      <c r="DD10" s="11"/>
      <c r="DE10" s="11"/>
    </row>
    <row r="11" spans="2:110" ht="15.75" hidden="1" customHeight="1" outlineLevel="1">
      <c r="B11" t="s">
        <v>29</v>
      </c>
      <c r="C11" t="s">
        <v>101</v>
      </c>
      <c r="E11" s="10"/>
      <c r="F11" t="s">
        <v>102</v>
      </c>
      <c r="G11" s="21">
        <v>7.0000000000000007E-2</v>
      </c>
      <c r="I11" s="10"/>
      <c r="J11" s="12"/>
      <c r="K11" s="12"/>
      <c r="L11" s="10"/>
      <c r="O11" s="11"/>
      <c r="P11" s="11">
        <v>0.5</v>
      </c>
      <c r="Q11" s="11"/>
      <c r="R11" s="11">
        <v>0.5</v>
      </c>
      <c r="V11" s="11"/>
      <c r="W11" s="11">
        <v>0.5</v>
      </c>
      <c r="X11" s="11"/>
      <c r="Y11" s="11">
        <v>0.5</v>
      </c>
      <c r="AC11" s="11"/>
      <c r="AD11" s="11">
        <v>0.5</v>
      </c>
      <c r="AE11" s="11"/>
      <c r="AF11" s="11">
        <v>0.5</v>
      </c>
      <c r="AJ11" s="11"/>
      <c r="AK11" s="11">
        <v>0.8</v>
      </c>
      <c r="AL11" s="11"/>
      <c r="AM11" s="11">
        <v>0.8</v>
      </c>
      <c r="AQ11" s="11"/>
      <c r="AR11" s="11">
        <v>0.8</v>
      </c>
      <c r="AS11" s="11"/>
      <c r="AT11" s="11">
        <v>0.8</v>
      </c>
      <c r="AX11" s="11"/>
      <c r="AY11" s="11">
        <v>0.8</v>
      </c>
      <c r="AZ11" s="11"/>
      <c r="BA11" s="11">
        <v>0.8</v>
      </c>
      <c r="BE11" s="11"/>
      <c r="BF11" s="11">
        <v>0.8</v>
      </c>
      <c r="BG11" s="11"/>
      <c r="BH11" s="11">
        <v>0.8</v>
      </c>
      <c r="BL11" s="11"/>
      <c r="BM11" s="11">
        <v>0.8</v>
      </c>
      <c r="BN11" s="11"/>
      <c r="BO11" s="11">
        <v>0.8</v>
      </c>
      <c r="BS11" s="11"/>
      <c r="BT11" s="11">
        <v>0.8</v>
      </c>
      <c r="BU11" s="11"/>
      <c r="BV11" s="11">
        <v>0.8</v>
      </c>
      <c r="BZ11" s="11"/>
      <c r="CA11" s="11">
        <v>0.8</v>
      </c>
      <c r="CB11" s="11"/>
      <c r="CC11" s="11">
        <v>0.8</v>
      </c>
      <c r="CG11" s="11"/>
      <c r="CH11" s="11">
        <v>0.8</v>
      </c>
      <c r="CI11" s="11"/>
      <c r="CJ11" s="11">
        <v>0.8</v>
      </c>
      <c r="CN11" s="11"/>
      <c r="CO11" s="11">
        <v>1</v>
      </c>
      <c r="CP11" s="11"/>
      <c r="CQ11" s="11">
        <v>1</v>
      </c>
      <c r="CU11" s="11"/>
      <c r="CV11" s="11">
        <v>1</v>
      </c>
      <c r="CW11" s="11"/>
      <c r="CX11" s="11">
        <v>1</v>
      </c>
      <c r="DB11" s="11"/>
      <c r="DC11" s="11"/>
      <c r="DD11" s="11"/>
      <c r="DE11" s="11"/>
    </row>
    <row r="12" spans="2:110" ht="15.75" hidden="1" customHeight="1" outlineLevel="1">
      <c r="B12" t="s">
        <v>29</v>
      </c>
      <c r="C12" t="s">
        <v>101</v>
      </c>
      <c r="E12" s="10"/>
      <c r="F12" t="s">
        <v>103</v>
      </c>
      <c r="G12" s="21">
        <v>7.0000000000000007E-2</v>
      </c>
      <c r="I12" s="10"/>
      <c r="J12" s="12"/>
      <c r="K12" s="12"/>
      <c r="L12" s="10"/>
      <c r="O12" s="11"/>
      <c r="P12" s="11"/>
      <c r="Q12" s="11"/>
      <c r="R12" s="11"/>
      <c r="V12" s="11"/>
      <c r="W12" s="11">
        <v>0.5</v>
      </c>
      <c r="X12" s="11"/>
      <c r="Y12" s="11">
        <v>0.5</v>
      </c>
      <c r="AC12" s="11"/>
      <c r="AD12" s="11">
        <v>0.5</v>
      </c>
      <c r="AE12" s="11"/>
      <c r="AF12" s="11">
        <v>0.5</v>
      </c>
      <c r="AJ12" s="11"/>
      <c r="AK12" s="11">
        <v>0.5</v>
      </c>
      <c r="AL12" s="11"/>
      <c r="AM12" s="11">
        <v>0.5</v>
      </c>
      <c r="AQ12" s="11"/>
      <c r="AR12" s="11">
        <v>0.8</v>
      </c>
      <c r="AS12" s="11"/>
      <c r="AT12" s="11">
        <v>0.8</v>
      </c>
      <c r="AX12" s="11"/>
      <c r="AY12" s="11">
        <v>0.8</v>
      </c>
      <c r="AZ12" s="11"/>
      <c r="BA12" s="11">
        <v>0.8</v>
      </c>
      <c r="BE12" s="11"/>
      <c r="BF12" s="11">
        <v>0.8</v>
      </c>
      <c r="BG12" s="11"/>
      <c r="BH12" s="11">
        <v>0.8</v>
      </c>
      <c r="BL12" s="11"/>
      <c r="BM12" s="11">
        <v>0.8</v>
      </c>
      <c r="BN12" s="11"/>
      <c r="BO12" s="11">
        <v>0.8</v>
      </c>
      <c r="BS12" s="11"/>
      <c r="BT12" s="11">
        <v>0.8</v>
      </c>
      <c r="BU12" s="11"/>
      <c r="BV12" s="11">
        <v>0.8</v>
      </c>
      <c r="BZ12" s="11"/>
      <c r="CA12" s="11">
        <v>0.8</v>
      </c>
      <c r="CB12" s="11"/>
      <c r="CC12" s="11">
        <v>0.8</v>
      </c>
      <c r="CG12" s="11"/>
      <c r="CH12" s="11">
        <v>0.8</v>
      </c>
      <c r="CI12" s="11"/>
      <c r="CJ12" s="11">
        <v>0.8</v>
      </c>
      <c r="CN12" s="11"/>
      <c r="CO12" s="11">
        <v>1</v>
      </c>
      <c r="CP12" s="11"/>
      <c r="CQ12" s="11">
        <v>1</v>
      </c>
      <c r="CU12" s="11"/>
      <c r="CV12" s="11">
        <v>1</v>
      </c>
      <c r="CW12" s="11"/>
      <c r="CX12" s="11">
        <v>1</v>
      </c>
      <c r="DB12" s="11"/>
      <c r="DC12" s="11"/>
      <c r="DD12" s="11"/>
      <c r="DE12" s="11"/>
    </row>
    <row r="13" spans="2:110" ht="15.75" hidden="1" customHeight="1" outlineLevel="1">
      <c r="B13" t="s">
        <v>29</v>
      </c>
      <c r="C13" t="s">
        <v>101</v>
      </c>
      <c r="E13" s="10"/>
      <c r="F13" t="s">
        <v>104</v>
      </c>
      <c r="G13" s="21">
        <v>7.0000000000000007E-2</v>
      </c>
      <c r="I13" s="10"/>
      <c r="J13" s="12"/>
      <c r="K13" s="12"/>
      <c r="L13" s="10"/>
      <c r="O13" s="11"/>
      <c r="P13" s="11"/>
      <c r="Q13" s="11"/>
      <c r="R13" s="11"/>
      <c r="V13" s="11"/>
      <c r="W13" s="11"/>
      <c r="X13" s="11"/>
      <c r="Y13" s="11"/>
      <c r="AC13" s="11"/>
      <c r="AD13" s="11">
        <v>0.5</v>
      </c>
      <c r="AE13" s="11"/>
      <c r="AF13" s="11">
        <v>0.5</v>
      </c>
      <c r="AJ13" s="11"/>
      <c r="AK13" s="11">
        <v>0.5</v>
      </c>
      <c r="AL13" s="11"/>
      <c r="AM13" s="11">
        <v>0.5</v>
      </c>
      <c r="AQ13" s="11"/>
      <c r="AR13" s="11">
        <v>0.5</v>
      </c>
      <c r="AS13" s="11"/>
      <c r="AT13" s="11">
        <v>0.5</v>
      </c>
      <c r="AX13" s="11"/>
      <c r="AY13" s="11">
        <v>0.5</v>
      </c>
      <c r="AZ13" s="11"/>
      <c r="BA13" s="11">
        <v>0.5</v>
      </c>
      <c r="BE13" s="11"/>
      <c r="BF13" s="11">
        <v>0.8</v>
      </c>
      <c r="BG13" s="11"/>
      <c r="BH13" s="11">
        <v>0.5</v>
      </c>
      <c r="BL13" s="11"/>
      <c r="BM13" s="11">
        <v>0.8</v>
      </c>
      <c r="BN13" s="11"/>
      <c r="BO13" s="11">
        <v>0.8</v>
      </c>
      <c r="BS13" s="11"/>
      <c r="BT13" s="11">
        <v>0.8</v>
      </c>
      <c r="BU13" s="11"/>
      <c r="BV13" s="11">
        <v>0.8</v>
      </c>
      <c r="BZ13" s="11"/>
      <c r="CA13" s="11">
        <v>0.8</v>
      </c>
      <c r="CB13" s="11"/>
      <c r="CC13" s="11">
        <v>0.8</v>
      </c>
      <c r="CG13" s="11"/>
      <c r="CH13" s="11">
        <v>0.8</v>
      </c>
      <c r="CI13" s="11"/>
      <c r="CJ13" s="11">
        <v>0.8</v>
      </c>
      <c r="CN13" s="11"/>
      <c r="CO13" s="11">
        <v>0.8</v>
      </c>
      <c r="CP13" s="11"/>
      <c r="CQ13" s="11">
        <v>0.8</v>
      </c>
      <c r="CU13" s="11"/>
      <c r="CV13" s="11">
        <v>1</v>
      </c>
      <c r="CW13" s="11"/>
      <c r="CX13" s="11">
        <v>1</v>
      </c>
      <c r="DB13" s="11"/>
      <c r="DC13" s="11"/>
      <c r="DD13" s="11"/>
      <c r="DE13" s="11"/>
    </row>
    <row r="14" spans="2:110" ht="15.75" hidden="1" customHeight="1" outlineLevel="1">
      <c r="B14" t="s">
        <v>29</v>
      </c>
      <c r="C14" t="s">
        <v>101</v>
      </c>
      <c r="E14" s="10"/>
      <c r="F14" s="22" t="s">
        <v>105</v>
      </c>
      <c r="G14" s="21">
        <v>7.0000000000000007E-2</v>
      </c>
      <c r="I14" s="10">
        <f t="shared" si="1"/>
        <v>0</v>
      </c>
      <c r="J14" s="12" t="e">
        <f t="shared" ca="1" si="0"/>
        <v>#NAME?</v>
      </c>
      <c r="K14" s="12" t="e">
        <f t="shared" ca="1" si="2"/>
        <v>#NAME?</v>
      </c>
      <c r="L14" s="10"/>
      <c r="O14" s="11"/>
      <c r="P14" s="11"/>
      <c r="Q14" s="11"/>
      <c r="R14" s="11"/>
      <c r="V14" s="11"/>
      <c r="W14" s="11"/>
      <c r="X14" s="11"/>
      <c r="Y14" s="11"/>
      <c r="AC14" s="11"/>
      <c r="AD14" s="11">
        <v>0.5</v>
      </c>
      <c r="AE14" s="11"/>
      <c r="AF14" s="11">
        <v>0.5</v>
      </c>
      <c r="AJ14" s="11"/>
      <c r="AK14" s="11">
        <v>0.5</v>
      </c>
      <c r="AL14" s="11"/>
      <c r="AM14" s="11">
        <v>0.5</v>
      </c>
      <c r="AQ14" s="11"/>
      <c r="AR14" s="11">
        <v>0.5</v>
      </c>
      <c r="AS14" s="11"/>
      <c r="AT14" s="11">
        <v>0.5</v>
      </c>
      <c r="AX14" s="11"/>
      <c r="AY14" s="11">
        <v>0.5</v>
      </c>
      <c r="AZ14" s="11"/>
      <c r="BA14" s="11">
        <v>0.5</v>
      </c>
      <c r="BE14" s="11"/>
      <c r="BF14" s="11">
        <v>0.5</v>
      </c>
      <c r="BG14" s="11"/>
      <c r="BH14" s="11">
        <v>0.5</v>
      </c>
      <c r="BL14" s="11"/>
      <c r="BM14" s="11">
        <v>0.8</v>
      </c>
      <c r="BN14" s="11"/>
      <c r="BO14" s="11">
        <v>0.8</v>
      </c>
      <c r="BS14" s="11"/>
      <c r="BT14" s="11">
        <v>0.8</v>
      </c>
      <c r="BU14" s="11"/>
      <c r="BV14" s="11">
        <v>0.8</v>
      </c>
      <c r="BZ14" s="11"/>
      <c r="CA14" s="11">
        <v>0.8</v>
      </c>
      <c r="CB14" s="11"/>
      <c r="CC14" s="11">
        <v>0.8</v>
      </c>
      <c r="CG14" s="11"/>
      <c r="CH14" s="11">
        <v>0.8</v>
      </c>
      <c r="CI14" s="11"/>
      <c r="CJ14" s="11">
        <v>0.8</v>
      </c>
      <c r="CN14" s="11"/>
      <c r="CO14" s="11">
        <v>0.8</v>
      </c>
      <c r="CP14" s="11"/>
      <c r="CQ14" s="11">
        <v>0.8</v>
      </c>
      <c r="CU14" s="11"/>
      <c r="CV14" s="11">
        <v>1</v>
      </c>
      <c r="CW14" s="11"/>
      <c r="CX14" s="11">
        <v>1</v>
      </c>
      <c r="DB14" s="11"/>
      <c r="DC14" s="11"/>
      <c r="DD14" s="11"/>
      <c r="DE14" s="11"/>
    </row>
    <row r="15" spans="2:110" ht="15.75" hidden="1" customHeight="1" outlineLevel="1">
      <c r="B15" t="s">
        <v>29</v>
      </c>
      <c r="C15" t="s">
        <v>101</v>
      </c>
      <c r="E15" s="10"/>
      <c r="F15" s="22" t="s">
        <v>106</v>
      </c>
      <c r="G15" s="21">
        <v>7.0000000000000007E-2</v>
      </c>
      <c r="I15" s="10">
        <f t="shared" si="1"/>
        <v>0</v>
      </c>
      <c r="J15" s="12" t="e">
        <f t="shared" ca="1" si="0"/>
        <v>#NAME?</v>
      </c>
      <c r="K15" s="12" t="e">
        <f t="shared" ca="1" si="2"/>
        <v>#NAME?</v>
      </c>
      <c r="L15" s="10"/>
      <c r="O15" s="11"/>
      <c r="P15" s="11"/>
      <c r="Q15" s="11"/>
      <c r="R15" s="11"/>
      <c r="V15" s="11"/>
      <c r="W15" s="11"/>
      <c r="X15" s="11"/>
      <c r="Y15" s="11"/>
      <c r="AC15" s="11"/>
      <c r="AD15" s="11"/>
      <c r="AE15" s="11"/>
      <c r="AF15" s="11"/>
      <c r="AJ15" s="11"/>
      <c r="AK15" s="11"/>
      <c r="AL15" s="11"/>
      <c r="AM15" s="11"/>
      <c r="AQ15" s="11"/>
      <c r="AR15" s="11"/>
      <c r="AS15" s="11"/>
      <c r="AT15" s="11"/>
      <c r="AX15" s="11"/>
      <c r="AY15" s="11">
        <v>0.5</v>
      </c>
      <c r="AZ15" s="11"/>
      <c r="BA15" s="11">
        <v>0.5</v>
      </c>
      <c r="BE15" s="11"/>
      <c r="BF15" s="11">
        <v>0.5</v>
      </c>
      <c r="BG15" s="11"/>
      <c r="BH15" s="11">
        <v>0.5</v>
      </c>
      <c r="BL15" s="11"/>
      <c r="BM15" s="11">
        <v>0.5</v>
      </c>
      <c r="BN15" s="11"/>
      <c r="BO15" s="11">
        <v>0.8</v>
      </c>
      <c r="BS15" s="11"/>
      <c r="BT15" s="11">
        <v>0.8</v>
      </c>
      <c r="BU15" s="11"/>
      <c r="BV15" s="11">
        <v>0.8</v>
      </c>
      <c r="BZ15" s="11"/>
      <c r="CA15" s="11">
        <v>0.8</v>
      </c>
      <c r="CB15" s="11"/>
      <c r="CC15" s="11">
        <v>0.8</v>
      </c>
      <c r="CG15" s="11"/>
      <c r="CH15" s="11">
        <v>0.8</v>
      </c>
      <c r="CI15" s="11"/>
      <c r="CJ15" s="11">
        <v>0.8</v>
      </c>
      <c r="CN15" s="11"/>
      <c r="CO15" s="11">
        <v>0.8</v>
      </c>
      <c r="CP15" s="11"/>
      <c r="CQ15" s="11">
        <v>0.8</v>
      </c>
      <c r="CU15" s="11"/>
      <c r="CV15" s="11">
        <v>1</v>
      </c>
      <c r="CW15" s="11"/>
      <c r="CX15" s="11">
        <v>1</v>
      </c>
      <c r="DB15" s="11"/>
      <c r="DC15" s="11"/>
      <c r="DD15" s="11"/>
      <c r="DE15" s="11"/>
    </row>
    <row r="16" spans="2:110" ht="15.75" hidden="1" customHeight="1" outlineLevel="1">
      <c r="B16" t="s">
        <v>29</v>
      </c>
      <c r="C16" t="s">
        <v>101</v>
      </c>
      <c r="E16" s="10"/>
      <c r="F16" s="22" t="s">
        <v>107</v>
      </c>
      <c r="G16" s="21">
        <v>7.0000000000000007E-2</v>
      </c>
      <c r="I16" s="10">
        <f t="shared" si="1"/>
        <v>0</v>
      </c>
      <c r="J16" s="12" t="e">
        <f t="shared" ca="1" si="0"/>
        <v>#NAME?</v>
      </c>
      <c r="K16" s="12" t="e">
        <f t="shared" ca="1" si="2"/>
        <v>#NAME?</v>
      </c>
      <c r="L16" s="10"/>
      <c r="O16" s="11"/>
      <c r="P16" s="11"/>
      <c r="Q16" s="11"/>
      <c r="R16" s="11"/>
      <c r="V16" s="11"/>
      <c r="W16" s="11"/>
      <c r="X16" s="11"/>
      <c r="Y16" s="11"/>
      <c r="AC16" s="11"/>
      <c r="AD16" s="11"/>
      <c r="AE16" s="11"/>
      <c r="AF16" s="11"/>
      <c r="AJ16" s="11"/>
      <c r="AK16" s="11"/>
      <c r="AL16" s="11"/>
      <c r="AM16" s="11"/>
      <c r="AQ16" s="11"/>
      <c r="AR16" s="11"/>
      <c r="AS16" s="11"/>
      <c r="AT16" s="11"/>
      <c r="AX16" s="11"/>
      <c r="AY16" s="11">
        <v>0.5</v>
      </c>
      <c r="AZ16" s="11"/>
      <c r="BA16" s="11">
        <v>0.5</v>
      </c>
      <c r="BE16" s="11"/>
      <c r="BF16" s="11">
        <v>0.5</v>
      </c>
      <c r="BG16" s="11"/>
      <c r="BH16" s="11">
        <v>0.5</v>
      </c>
      <c r="BL16" s="11"/>
      <c r="BM16" s="11">
        <v>0.5</v>
      </c>
      <c r="BN16" s="11"/>
      <c r="BO16" s="11">
        <v>0.5</v>
      </c>
      <c r="BS16" s="11"/>
      <c r="BT16" s="11">
        <v>0.8</v>
      </c>
      <c r="BU16" s="11"/>
      <c r="BV16" s="11">
        <v>0.8</v>
      </c>
      <c r="BZ16" s="11"/>
      <c r="CA16" s="11">
        <v>0.8</v>
      </c>
      <c r="CB16" s="11"/>
      <c r="CC16" s="11">
        <v>0.8</v>
      </c>
      <c r="CG16" s="11"/>
      <c r="CH16" s="11">
        <v>0.8</v>
      </c>
      <c r="CI16" s="11"/>
      <c r="CJ16" s="11">
        <v>0.8</v>
      </c>
      <c r="CN16" s="11"/>
      <c r="CO16" s="11">
        <v>0.8</v>
      </c>
      <c r="CP16" s="11"/>
      <c r="CQ16" s="11">
        <v>0.8</v>
      </c>
      <c r="CU16" s="11"/>
      <c r="CV16" s="11">
        <v>1</v>
      </c>
      <c r="CW16" s="11"/>
      <c r="CX16" s="11">
        <v>1</v>
      </c>
      <c r="DB16" s="11"/>
      <c r="DC16" s="11"/>
      <c r="DD16" s="11"/>
      <c r="DE16" s="11"/>
    </row>
    <row r="17" spans="2:109" ht="15.75" hidden="1" customHeight="1" outlineLevel="1">
      <c r="B17" t="s">
        <v>29</v>
      </c>
      <c r="C17" t="s">
        <v>101</v>
      </c>
      <c r="E17" s="10"/>
      <c r="F17" s="22" t="s">
        <v>108</v>
      </c>
      <c r="G17" s="21">
        <v>7.0000000000000007E-2</v>
      </c>
      <c r="I17" s="10">
        <f t="shared" si="1"/>
        <v>0</v>
      </c>
      <c r="J17" s="12" t="e">
        <f t="shared" ca="1" si="0"/>
        <v>#NAME?</v>
      </c>
      <c r="K17" s="12" t="e">
        <f t="shared" ca="1" si="2"/>
        <v>#NAME?</v>
      </c>
      <c r="L17" s="10"/>
      <c r="O17" s="11"/>
      <c r="P17" s="11"/>
      <c r="Q17" s="11"/>
      <c r="R17" s="11"/>
      <c r="V17" s="11"/>
      <c r="W17" s="11"/>
      <c r="X17" s="11"/>
      <c r="Y17" s="11"/>
      <c r="AC17" s="11"/>
      <c r="AD17" s="11"/>
      <c r="AE17" s="11"/>
      <c r="AF17" s="11"/>
      <c r="AJ17" s="11"/>
      <c r="AK17" s="11"/>
      <c r="AL17" s="11"/>
      <c r="AM17" s="11"/>
      <c r="AQ17" s="11"/>
      <c r="AR17" s="11"/>
      <c r="AS17" s="11"/>
      <c r="AT17" s="11"/>
      <c r="AX17" s="11"/>
      <c r="AY17" s="11"/>
      <c r="AZ17" s="11"/>
      <c r="BA17" s="11"/>
      <c r="BE17" s="11"/>
      <c r="BF17" s="11">
        <v>0.5</v>
      </c>
      <c r="BG17" s="11"/>
      <c r="BH17" s="11">
        <v>0.5</v>
      </c>
      <c r="BL17" s="11"/>
      <c r="BM17" s="11">
        <v>0.5</v>
      </c>
      <c r="BN17" s="11"/>
      <c r="BO17" s="11">
        <v>0.5</v>
      </c>
      <c r="BS17" s="11"/>
      <c r="BT17" s="11">
        <v>0.8</v>
      </c>
      <c r="BU17" s="11"/>
      <c r="BV17" s="11">
        <v>0.8</v>
      </c>
      <c r="BZ17" s="11"/>
      <c r="CA17" s="11">
        <v>0.8</v>
      </c>
      <c r="CB17" s="11"/>
      <c r="CC17" s="11">
        <v>0.8</v>
      </c>
      <c r="CG17" s="11"/>
      <c r="CH17" s="11">
        <v>0.8</v>
      </c>
      <c r="CI17" s="11"/>
      <c r="CJ17" s="11">
        <v>0.8</v>
      </c>
      <c r="CN17" s="11"/>
      <c r="CO17" s="11">
        <v>0.8</v>
      </c>
      <c r="CP17" s="11"/>
      <c r="CQ17" s="11">
        <v>0.8</v>
      </c>
      <c r="CU17" s="11"/>
      <c r="CV17" s="11">
        <v>1</v>
      </c>
      <c r="CW17" s="11"/>
      <c r="CX17" s="11">
        <v>1</v>
      </c>
      <c r="DB17" s="11"/>
      <c r="DC17" s="11"/>
      <c r="DD17" s="11"/>
      <c r="DE17" s="11"/>
    </row>
    <row r="18" spans="2:109" ht="15.75" hidden="1" customHeight="1" outlineLevel="1">
      <c r="B18" t="s">
        <v>29</v>
      </c>
      <c r="C18" t="s">
        <v>101</v>
      </c>
      <c r="E18" s="10"/>
      <c r="F18" s="22" t="s">
        <v>109</v>
      </c>
      <c r="G18" s="21">
        <v>7.0000000000000007E-2</v>
      </c>
      <c r="I18" s="10">
        <f t="shared" si="1"/>
        <v>0</v>
      </c>
      <c r="J18" s="12" t="e">
        <f t="shared" ca="1" si="0"/>
        <v>#NAME?</v>
      </c>
      <c r="K18" s="12" t="e">
        <f t="shared" ca="1" si="2"/>
        <v>#NAME?</v>
      </c>
      <c r="L18" s="10"/>
      <c r="O18" s="11"/>
      <c r="P18" s="11"/>
      <c r="Q18" s="11"/>
      <c r="R18" s="11"/>
      <c r="V18" s="11"/>
      <c r="W18" s="11"/>
      <c r="X18" s="11"/>
      <c r="Y18" s="11"/>
      <c r="AC18" s="11"/>
      <c r="AD18" s="11"/>
      <c r="AE18" s="11"/>
      <c r="AF18" s="11"/>
      <c r="AJ18" s="11"/>
      <c r="AK18" s="11"/>
      <c r="AL18" s="11"/>
      <c r="AM18" s="11"/>
      <c r="AQ18" s="11"/>
      <c r="AR18" s="11"/>
      <c r="AS18" s="11"/>
      <c r="AT18" s="11"/>
      <c r="AX18" s="11"/>
      <c r="AY18" s="11"/>
      <c r="AZ18" s="11"/>
      <c r="BA18" s="11"/>
      <c r="BE18" s="11"/>
      <c r="BF18" s="11">
        <v>0.5</v>
      </c>
      <c r="BG18" s="11"/>
      <c r="BH18" s="11">
        <v>0.5</v>
      </c>
      <c r="BL18" s="11"/>
      <c r="BM18" s="11">
        <v>0.5</v>
      </c>
      <c r="BN18" s="11"/>
      <c r="BO18" s="11">
        <v>0.5</v>
      </c>
      <c r="BS18" s="11"/>
      <c r="BT18" s="11">
        <v>0.5</v>
      </c>
      <c r="BU18" s="11"/>
      <c r="BV18" s="11">
        <v>0.5</v>
      </c>
      <c r="BZ18" s="11"/>
      <c r="CA18" s="11">
        <v>0.8</v>
      </c>
      <c r="CB18" s="11"/>
      <c r="CC18" s="11">
        <v>0.8</v>
      </c>
      <c r="CG18" s="11"/>
      <c r="CH18" s="11">
        <v>0.8</v>
      </c>
      <c r="CI18" s="11"/>
      <c r="CJ18" s="11">
        <v>0.8</v>
      </c>
      <c r="CN18" s="11"/>
      <c r="CO18" s="11">
        <v>0.8</v>
      </c>
      <c r="CP18" s="11"/>
      <c r="CQ18" s="11">
        <v>0.8</v>
      </c>
      <c r="CU18" s="11"/>
      <c r="CV18" s="11">
        <v>1</v>
      </c>
      <c r="CW18" s="11"/>
      <c r="CX18" s="11">
        <v>1</v>
      </c>
      <c r="DB18" s="11"/>
      <c r="DC18" s="11"/>
      <c r="DD18" s="11"/>
      <c r="DE18" s="11"/>
    </row>
    <row r="19" spans="2:109" ht="15.75" hidden="1" customHeight="1" outlineLevel="1">
      <c r="B19" t="s">
        <v>29</v>
      </c>
      <c r="C19" t="s">
        <v>101</v>
      </c>
      <c r="E19" s="10"/>
      <c r="F19" s="22" t="s">
        <v>110</v>
      </c>
      <c r="G19" s="21">
        <v>7.0000000000000007E-2</v>
      </c>
      <c r="I19" s="10">
        <f t="shared" si="1"/>
        <v>0</v>
      </c>
      <c r="J19" s="12" t="e">
        <f t="shared" ca="1" si="0"/>
        <v>#NAME?</v>
      </c>
      <c r="K19" s="12" t="e">
        <f t="shared" ca="1" si="2"/>
        <v>#NAME?</v>
      </c>
      <c r="L19" s="10"/>
      <c r="O19" s="11"/>
      <c r="P19" s="11"/>
      <c r="Q19" s="11"/>
      <c r="R19" s="11"/>
      <c r="V19" s="11"/>
      <c r="W19" s="11"/>
      <c r="X19" s="11"/>
      <c r="Y19" s="11"/>
      <c r="AC19" s="11"/>
      <c r="AD19" s="11"/>
      <c r="AE19" s="11"/>
      <c r="AF19" s="11"/>
      <c r="AJ19" s="11"/>
      <c r="AK19" s="11"/>
      <c r="AL19" s="11"/>
      <c r="AM19" s="11"/>
      <c r="AQ19" s="11"/>
      <c r="AR19" s="11"/>
      <c r="AS19" s="11"/>
      <c r="AT19" s="11"/>
      <c r="AX19" s="11"/>
      <c r="AY19" s="11"/>
      <c r="AZ19" s="11"/>
      <c r="BA19" s="11"/>
      <c r="BE19" s="11"/>
      <c r="BF19" s="11"/>
      <c r="BG19" s="11"/>
      <c r="BH19" s="11"/>
      <c r="BL19" s="11"/>
      <c r="BM19" s="11">
        <v>0.5</v>
      </c>
      <c r="BN19" s="11"/>
      <c r="BO19" s="11">
        <v>0.5</v>
      </c>
      <c r="BS19" s="11"/>
      <c r="BT19" s="11">
        <v>0.5</v>
      </c>
      <c r="BU19" s="11"/>
      <c r="BV19" s="11">
        <v>0.5</v>
      </c>
      <c r="BZ19" s="11"/>
      <c r="CA19" s="11">
        <v>0.8</v>
      </c>
      <c r="CB19" s="11"/>
      <c r="CC19" s="11">
        <v>0.8</v>
      </c>
      <c r="CG19" s="11"/>
      <c r="CH19" s="11">
        <v>0.8</v>
      </c>
      <c r="CI19" s="11"/>
      <c r="CJ19" s="11">
        <v>0.8</v>
      </c>
      <c r="CN19" s="11"/>
      <c r="CO19" s="11">
        <v>0.8</v>
      </c>
      <c r="CP19" s="11"/>
      <c r="CQ19" s="11">
        <v>0.8</v>
      </c>
      <c r="CU19" s="11"/>
      <c r="CV19" s="11">
        <v>1</v>
      </c>
      <c r="CW19" s="11"/>
      <c r="CX19" s="11">
        <v>1</v>
      </c>
      <c r="DB19" s="11"/>
      <c r="DC19" s="11"/>
      <c r="DD19" s="11"/>
      <c r="DE19" s="11"/>
    </row>
    <row r="20" spans="2:109" collapsed="1">
      <c r="J20" s="12" t="e">
        <f t="shared" ca="1" si="0"/>
        <v>#NAME?</v>
      </c>
      <c r="CV20" s="11"/>
    </row>
    <row r="21" spans="2:109">
      <c r="B21" t="s">
        <v>28</v>
      </c>
      <c r="C21" t="s">
        <v>111</v>
      </c>
      <c r="D21" s="20">
        <v>44622</v>
      </c>
      <c r="E21" s="10">
        <v>4</v>
      </c>
      <c r="G21" s="11">
        <f>+SUM(G22:G26)</f>
        <v>0.82500000000000007</v>
      </c>
      <c r="I21" s="13">
        <f>+SUM(I22:I26)</f>
        <v>0</v>
      </c>
      <c r="J21" s="12" t="e">
        <f t="shared" ca="1" si="0"/>
        <v>#NAME?</v>
      </c>
      <c r="K21" s="12">
        <v>0</v>
      </c>
      <c r="L21" s="10"/>
      <c r="N21" s="13">
        <f>+SUM(N22:N26)</f>
        <v>0</v>
      </c>
      <c r="U21" s="13">
        <f>+SUM(U22:U26)</f>
        <v>0</v>
      </c>
      <c r="AB21" s="13">
        <f>+SUM(AB22:AB26)</f>
        <v>0</v>
      </c>
      <c r="AI21" s="13">
        <f>+SUM(AI22:AI26)</f>
        <v>0</v>
      </c>
      <c r="AP21" s="13">
        <f>+SUM(AP22:AP26)</f>
        <v>0</v>
      </c>
      <c r="AW21" s="13">
        <f>+SUM(AW22:AW26)</f>
        <v>0</v>
      </c>
      <c r="BD21" s="13">
        <f>+SUM(BD22:BD26)</f>
        <v>0</v>
      </c>
      <c r="BK21" s="13">
        <f>+SUM(BK22:BK26)</f>
        <v>0</v>
      </c>
      <c r="BR21" s="13">
        <f>+SUM(BR22:BR26)</f>
        <v>0</v>
      </c>
      <c r="BY21" s="13">
        <f>+SUM(BY22:BY26)</f>
        <v>0</v>
      </c>
      <c r="CF21" s="13">
        <f>+SUM(CF22:CF26)</f>
        <v>0</v>
      </c>
      <c r="CM21" s="13">
        <f>+SUM(CM22:CM26)</f>
        <v>0</v>
      </c>
      <c r="CT21" s="13">
        <f>+SUM(CT22:CT26)</f>
        <v>0</v>
      </c>
      <c r="CV21" s="11"/>
      <c r="DA21" s="13">
        <f>+SUM(DA22:DA26)</f>
        <v>0</v>
      </c>
    </row>
    <row r="22" spans="2:109" ht="15.75" hidden="1" customHeight="1" outlineLevel="1">
      <c r="B22" t="s">
        <v>29</v>
      </c>
      <c r="C22" t="s">
        <v>111</v>
      </c>
      <c r="E22" s="10"/>
      <c r="F22" t="s">
        <v>147</v>
      </c>
      <c r="G22" s="11">
        <v>0.16500000000000001</v>
      </c>
      <c r="I22" s="10">
        <f t="shared" ref="I22:I26" si="3">+SUMIF($N$3:$ZT$3,I$3,$N22:$ZT22)</f>
        <v>0</v>
      </c>
      <c r="J22" s="12" t="e">
        <f t="shared" ca="1" si="0"/>
        <v>#NAME?</v>
      </c>
      <c r="K22" s="12" t="e">
        <f t="shared" ref="K22:K26" ca="1" si="4">+_xlfn.MAXIFS($N22:$YZ22,$N$3:$YZ$3,K$3)</f>
        <v>#NAME?</v>
      </c>
      <c r="L22" s="10"/>
      <c r="O22" s="11"/>
      <c r="P22" s="11">
        <v>0.5</v>
      </c>
      <c r="Q22" s="11"/>
      <c r="R22" s="11">
        <v>0.5</v>
      </c>
      <c r="V22" s="11"/>
      <c r="W22" s="11">
        <v>0.5</v>
      </c>
      <c r="X22" s="11"/>
      <c r="Y22" s="11">
        <v>0.5</v>
      </c>
      <c r="AC22" s="11"/>
      <c r="AD22" s="11">
        <v>0.8</v>
      </c>
      <c r="AE22" s="11"/>
      <c r="AF22" s="11">
        <v>0.8</v>
      </c>
      <c r="AJ22" s="11"/>
      <c r="AK22" s="11">
        <v>0.8</v>
      </c>
      <c r="AL22" s="11"/>
      <c r="AM22" s="11">
        <v>0.8</v>
      </c>
      <c r="AQ22" s="11"/>
      <c r="AR22" s="11">
        <v>0.8</v>
      </c>
      <c r="AS22" s="11"/>
      <c r="AT22" s="11">
        <v>0.8</v>
      </c>
      <c r="AX22" s="11"/>
      <c r="AY22" s="11">
        <v>0.8</v>
      </c>
      <c r="AZ22" s="11"/>
      <c r="BA22" s="11">
        <v>0.8</v>
      </c>
      <c r="BE22" s="11"/>
      <c r="BF22" s="11">
        <v>0.8</v>
      </c>
      <c r="BG22" s="11"/>
      <c r="BH22" s="11">
        <v>0.8</v>
      </c>
      <c r="BL22" s="11"/>
      <c r="BM22" s="11">
        <v>0.8</v>
      </c>
      <c r="BN22" s="11"/>
      <c r="BO22" s="11">
        <v>0.8</v>
      </c>
      <c r="BS22" s="11"/>
      <c r="BT22" s="11">
        <v>0.8</v>
      </c>
      <c r="BU22" s="11"/>
      <c r="BV22" s="11">
        <v>0.8</v>
      </c>
      <c r="BZ22" s="11"/>
      <c r="CA22" s="11">
        <v>1</v>
      </c>
      <c r="CB22" s="11"/>
      <c r="CC22" s="11">
        <v>1</v>
      </c>
      <c r="CG22" s="11"/>
      <c r="CH22" s="11">
        <v>1</v>
      </c>
      <c r="CI22" s="11"/>
      <c r="CJ22" s="11">
        <v>1</v>
      </c>
      <c r="CN22" s="11"/>
      <c r="CO22" s="11">
        <v>1</v>
      </c>
      <c r="CP22" s="11"/>
      <c r="CQ22" s="11">
        <v>1</v>
      </c>
      <c r="CU22" s="11"/>
      <c r="CV22" s="11">
        <v>1</v>
      </c>
      <c r="CW22" s="11"/>
      <c r="CX22" s="11">
        <v>1</v>
      </c>
      <c r="DB22" s="11"/>
      <c r="DC22" s="11"/>
      <c r="DD22" s="11"/>
      <c r="DE22" s="11"/>
    </row>
    <row r="23" spans="2:109" ht="15.75" hidden="1" customHeight="1" outlineLevel="1">
      <c r="B23" t="s">
        <v>29</v>
      </c>
      <c r="C23" t="s">
        <v>111</v>
      </c>
      <c r="E23" s="10"/>
      <c r="F23" t="s">
        <v>148</v>
      </c>
      <c r="G23" s="11">
        <v>0.16500000000000001</v>
      </c>
      <c r="I23" s="10">
        <f t="shared" si="3"/>
        <v>0</v>
      </c>
      <c r="J23" s="12" t="e">
        <f t="shared" ca="1" si="0"/>
        <v>#NAME?</v>
      </c>
      <c r="K23" s="12" t="e">
        <f t="shared" ca="1" si="4"/>
        <v>#NAME?</v>
      </c>
      <c r="L23" s="10"/>
      <c r="O23" s="11"/>
      <c r="P23" s="11"/>
      <c r="Q23" s="11"/>
      <c r="R23" s="11"/>
      <c r="V23" s="11"/>
      <c r="W23" s="11">
        <v>0.5</v>
      </c>
      <c r="X23" s="11"/>
      <c r="Y23" s="11">
        <v>0.5</v>
      </c>
      <c r="AC23" s="11"/>
      <c r="AD23" s="11">
        <v>0.5</v>
      </c>
      <c r="AE23" s="11"/>
      <c r="AF23" s="11">
        <v>0.5</v>
      </c>
      <c r="AJ23" s="11"/>
      <c r="AK23" s="11">
        <v>0.5</v>
      </c>
      <c r="AL23" s="11"/>
      <c r="AM23" s="11">
        <v>0.5</v>
      </c>
      <c r="AQ23" s="11"/>
      <c r="AR23" s="11">
        <v>0.5</v>
      </c>
      <c r="AS23" s="11"/>
      <c r="AT23" s="11">
        <v>0.5</v>
      </c>
      <c r="AX23" s="11"/>
      <c r="AY23" s="11">
        <v>0.8</v>
      </c>
      <c r="AZ23" s="11"/>
      <c r="BA23" s="11">
        <v>0.8</v>
      </c>
      <c r="BE23" s="11"/>
      <c r="BF23" s="11">
        <v>0.8</v>
      </c>
      <c r="BG23" s="11"/>
      <c r="BH23" s="11">
        <v>0.8</v>
      </c>
      <c r="BL23" s="11"/>
      <c r="BM23" s="11">
        <v>0.8</v>
      </c>
      <c r="BN23" s="11"/>
      <c r="BO23" s="11">
        <v>0.8</v>
      </c>
      <c r="BS23" s="11"/>
      <c r="BT23" s="11">
        <v>0.8</v>
      </c>
      <c r="BU23" s="11"/>
      <c r="BV23" s="11">
        <v>0.8</v>
      </c>
      <c r="BZ23" s="11"/>
      <c r="CA23" s="11">
        <v>0.8</v>
      </c>
      <c r="CB23" s="11"/>
      <c r="CC23" s="11">
        <v>0.8</v>
      </c>
      <c r="CG23" s="11"/>
      <c r="CH23" s="11">
        <v>1</v>
      </c>
      <c r="CI23" s="11"/>
      <c r="CJ23" s="11">
        <v>1</v>
      </c>
      <c r="CN23" s="11"/>
      <c r="CO23" s="11">
        <v>1</v>
      </c>
      <c r="CP23" s="11"/>
      <c r="CQ23" s="11">
        <v>1</v>
      </c>
      <c r="CU23" s="11"/>
      <c r="CV23" s="11">
        <v>1</v>
      </c>
      <c r="CW23" s="11"/>
      <c r="CX23" s="11">
        <v>1</v>
      </c>
      <c r="DB23" s="11"/>
      <c r="DC23" s="11"/>
      <c r="DD23" s="11"/>
      <c r="DE23" s="11"/>
    </row>
    <row r="24" spans="2:109" ht="15.75" hidden="1" customHeight="1" outlineLevel="1">
      <c r="B24" t="s">
        <v>29</v>
      </c>
      <c r="C24" t="s">
        <v>111</v>
      </c>
      <c r="E24" s="10"/>
      <c r="F24" t="s">
        <v>149</v>
      </c>
      <c r="G24" s="11">
        <v>0.16500000000000001</v>
      </c>
      <c r="I24" s="10">
        <f t="shared" si="3"/>
        <v>0</v>
      </c>
      <c r="J24" s="12" t="e">
        <f t="shared" ca="1" si="0"/>
        <v>#NAME?</v>
      </c>
      <c r="K24" s="12" t="e">
        <f t="shared" ca="1" si="4"/>
        <v>#NAME?</v>
      </c>
      <c r="L24" s="10"/>
      <c r="O24" s="11"/>
      <c r="P24" s="11"/>
      <c r="Q24" s="11"/>
      <c r="R24" s="11"/>
      <c r="V24" s="11"/>
      <c r="W24" s="11"/>
      <c r="X24" s="11"/>
      <c r="Y24" s="11"/>
      <c r="AC24" s="11"/>
      <c r="AD24" s="11">
        <v>0.5</v>
      </c>
      <c r="AE24" s="11"/>
      <c r="AF24" s="11">
        <v>0.5</v>
      </c>
      <c r="AJ24" s="11"/>
      <c r="AK24" s="11">
        <v>0.5</v>
      </c>
      <c r="AL24" s="11"/>
      <c r="AM24" s="11">
        <v>0.5</v>
      </c>
      <c r="AQ24" s="11"/>
      <c r="AR24" s="11">
        <v>0.5</v>
      </c>
      <c r="AS24" s="11"/>
      <c r="AT24" s="11">
        <v>0.5</v>
      </c>
      <c r="AX24" s="11"/>
      <c r="AY24" s="11">
        <v>0.5</v>
      </c>
      <c r="AZ24" s="11"/>
      <c r="BA24" s="11">
        <v>0.5</v>
      </c>
      <c r="BE24" s="11"/>
      <c r="BF24" s="11">
        <v>0.8</v>
      </c>
      <c r="BG24" s="11"/>
      <c r="BH24" s="11">
        <v>0.8</v>
      </c>
      <c r="BL24" s="11"/>
      <c r="BM24" s="11">
        <v>0.8</v>
      </c>
      <c r="BN24" s="11"/>
      <c r="BO24" s="11">
        <v>0.8</v>
      </c>
      <c r="BS24" s="11"/>
      <c r="BT24" s="11">
        <v>0.8</v>
      </c>
      <c r="BU24" s="11"/>
      <c r="BV24" s="11">
        <v>0.8</v>
      </c>
      <c r="BZ24" s="11"/>
      <c r="CA24" s="11">
        <v>0.8</v>
      </c>
      <c r="CB24" s="11"/>
      <c r="CC24" s="11">
        <v>0.8</v>
      </c>
      <c r="CG24" s="11"/>
      <c r="CH24" s="11">
        <v>0.8</v>
      </c>
      <c r="CI24" s="11"/>
      <c r="CJ24" s="11">
        <v>0.8</v>
      </c>
      <c r="CN24" s="11"/>
      <c r="CO24" s="11">
        <v>1</v>
      </c>
      <c r="CP24" s="11"/>
      <c r="CQ24" s="11">
        <v>1</v>
      </c>
      <c r="CU24" s="11"/>
      <c r="CV24" s="11">
        <v>1</v>
      </c>
      <c r="CW24" s="11"/>
      <c r="CX24" s="11">
        <v>1</v>
      </c>
      <c r="DB24" s="11"/>
      <c r="DC24" s="11"/>
      <c r="DD24" s="11"/>
      <c r="DE24" s="11"/>
    </row>
    <row r="25" spans="2:109" ht="15.75" hidden="1" customHeight="1" outlineLevel="1">
      <c r="B25" t="s">
        <v>29</v>
      </c>
      <c r="C25" t="s">
        <v>111</v>
      </c>
      <c r="E25" s="10"/>
      <c r="F25" t="s">
        <v>150</v>
      </c>
      <c r="G25" s="11">
        <v>0.16500000000000001</v>
      </c>
      <c r="I25" s="10">
        <f t="shared" si="3"/>
        <v>0</v>
      </c>
      <c r="J25" s="12" t="e">
        <f t="shared" ca="1" si="0"/>
        <v>#NAME?</v>
      </c>
      <c r="K25" s="12" t="e">
        <f t="shared" ca="1" si="4"/>
        <v>#NAME?</v>
      </c>
      <c r="L25" s="10"/>
      <c r="O25" s="11"/>
      <c r="P25" s="11"/>
      <c r="Q25" s="11"/>
      <c r="R25" s="11"/>
      <c r="V25" s="11"/>
      <c r="W25" s="11"/>
      <c r="X25" s="11"/>
      <c r="Y25" s="11"/>
      <c r="AC25" s="11"/>
      <c r="AD25" s="11"/>
      <c r="AE25" s="11"/>
      <c r="AF25" s="11"/>
      <c r="AJ25" s="11"/>
      <c r="AK25" s="11">
        <v>0.5</v>
      </c>
      <c r="AL25" s="11"/>
      <c r="AM25" s="11">
        <v>0.5</v>
      </c>
      <c r="AQ25" s="11"/>
      <c r="AR25" s="11">
        <v>0.5</v>
      </c>
      <c r="AS25" s="11"/>
      <c r="AT25" s="11">
        <v>0.5</v>
      </c>
      <c r="AX25" s="11"/>
      <c r="AY25" s="11">
        <v>0.5</v>
      </c>
      <c r="AZ25" s="11"/>
      <c r="BA25" s="11">
        <v>0.5</v>
      </c>
      <c r="BE25" s="11"/>
      <c r="BF25" s="11">
        <v>0.5</v>
      </c>
      <c r="BG25" s="11"/>
      <c r="BH25" s="11">
        <v>0.5</v>
      </c>
      <c r="BL25" s="11"/>
      <c r="BM25" s="11">
        <v>0.8</v>
      </c>
      <c r="BN25" s="11"/>
      <c r="BO25" s="11">
        <v>0.8</v>
      </c>
      <c r="BS25" s="11"/>
      <c r="BT25" s="11">
        <v>0.8</v>
      </c>
      <c r="BU25" s="11"/>
      <c r="BV25" s="11">
        <v>0.8</v>
      </c>
      <c r="BZ25" s="11"/>
      <c r="CA25" s="11">
        <v>0.8</v>
      </c>
      <c r="CB25" s="11"/>
      <c r="CC25" s="11">
        <v>0.8</v>
      </c>
      <c r="CG25" s="11"/>
      <c r="CH25" s="11">
        <v>0.8</v>
      </c>
      <c r="CI25" s="11"/>
      <c r="CJ25" s="11">
        <v>0.8</v>
      </c>
      <c r="CN25" s="11"/>
      <c r="CO25" s="11">
        <v>1</v>
      </c>
      <c r="CP25" s="11"/>
      <c r="CQ25" s="11">
        <v>1</v>
      </c>
      <c r="CU25" s="11"/>
      <c r="CV25" s="11">
        <v>1</v>
      </c>
      <c r="CW25" s="11"/>
      <c r="CX25" s="11">
        <v>1</v>
      </c>
      <c r="DB25" s="11"/>
      <c r="DC25" s="11"/>
      <c r="DD25" s="11"/>
      <c r="DE25" s="11"/>
    </row>
    <row r="26" spans="2:109" ht="15.75" hidden="1" customHeight="1" outlineLevel="1">
      <c r="B26" t="s">
        <v>29</v>
      </c>
      <c r="C26" t="s">
        <v>111</v>
      </c>
      <c r="E26" s="10"/>
      <c r="F26" t="s">
        <v>151</v>
      </c>
      <c r="G26" s="11">
        <v>0.16500000000000001</v>
      </c>
      <c r="I26" s="10">
        <f t="shared" si="3"/>
        <v>0</v>
      </c>
      <c r="J26" s="12" t="e">
        <f t="shared" ca="1" si="0"/>
        <v>#NAME?</v>
      </c>
      <c r="K26" s="12" t="e">
        <f t="shared" ca="1" si="4"/>
        <v>#NAME?</v>
      </c>
      <c r="L26" s="10"/>
      <c r="O26" s="11"/>
      <c r="P26" s="11"/>
      <c r="Q26" s="11"/>
      <c r="R26" s="11"/>
      <c r="V26" s="11"/>
      <c r="W26" s="11"/>
      <c r="X26" s="11"/>
      <c r="Y26" s="11"/>
      <c r="AC26" s="11"/>
      <c r="AD26" s="11"/>
      <c r="AE26" s="11"/>
      <c r="AF26" s="11"/>
      <c r="AJ26" s="11"/>
      <c r="AK26" s="11"/>
      <c r="AL26" s="11"/>
      <c r="AM26" s="11"/>
      <c r="AQ26" s="11"/>
      <c r="AR26" s="11">
        <v>0.5</v>
      </c>
      <c r="AS26" s="11"/>
      <c r="AT26" s="11">
        <v>0.5</v>
      </c>
      <c r="AX26" s="11"/>
      <c r="AY26" s="11">
        <v>0.5</v>
      </c>
      <c r="AZ26" s="11"/>
      <c r="BA26" s="11">
        <v>0.5</v>
      </c>
      <c r="BE26" s="11"/>
      <c r="BF26" s="11">
        <v>0.5</v>
      </c>
      <c r="BG26" s="11"/>
      <c r="BH26" s="11">
        <v>0.5</v>
      </c>
      <c r="BL26" s="11"/>
      <c r="BM26" s="11">
        <v>0.5</v>
      </c>
      <c r="BN26" s="11"/>
      <c r="BO26" s="11">
        <v>0.5</v>
      </c>
      <c r="BS26" s="11"/>
      <c r="BT26" s="11">
        <v>0.8</v>
      </c>
      <c r="BU26" s="11"/>
      <c r="BV26" s="11">
        <v>0.8</v>
      </c>
      <c r="BZ26" s="11"/>
      <c r="CA26" s="11">
        <v>0.8</v>
      </c>
      <c r="CB26" s="11"/>
      <c r="CC26" s="11">
        <v>0.8</v>
      </c>
      <c r="CG26" s="11"/>
      <c r="CH26" s="11">
        <v>0.8</v>
      </c>
      <c r="CI26" s="11"/>
      <c r="CJ26" s="11">
        <v>0.8</v>
      </c>
      <c r="CN26" s="11"/>
      <c r="CO26" s="11">
        <v>0.8</v>
      </c>
      <c r="CP26" s="11"/>
      <c r="CQ26" s="11">
        <v>0.8</v>
      </c>
      <c r="CU26" s="11"/>
      <c r="CV26" s="11">
        <v>1</v>
      </c>
      <c r="CW26" s="11"/>
      <c r="CX26" s="11">
        <v>1</v>
      </c>
      <c r="DB26" s="11"/>
      <c r="DC26" s="11"/>
      <c r="DD26" s="11"/>
      <c r="DE26" s="11"/>
    </row>
    <row r="27" spans="2:109" collapsed="1">
      <c r="J27" s="12" t="e">
        <f t="shared" ca="1" si="0"/>
        <v>#NAME?</v>
      </c>
      <c r="CV27" s="11"/>
    </row>
    <row r="28" spans="2:109">
      <c r="B28" t="s">
        <v>28</v>
      </c>
      <c r="C28" t="s">
        <v>2</v>
      </c>
      <c r="D28" s="20">
        <v>44613</v>
      </c>
      <c r="E28" s="10">
        <v>3</v>
      </c>
      <c r="G28" s="11">
        <f>+SUM(G29:G35)</f>
        <v>1</v>
      </c>
      <c r="J28" s="12" t="e">
        <f t="shared" ca="1" si="0"/>
        <v>#NAME?</v>
      </c>
      <c r="K28" s="12">
        <v>0</v>
      </c>
      <c r="L28" s="10"/>
      <c r="N28" s="13">
        <f>+SUM(N29:N35)</f>
        <v>0</v>
      </c>
      <c r="U28" s="13">
        <f>+SUM(U29:U35)</f>
        <v>0</v>
      </c>
      <c r="AB28" s="13">
        <f>+SUM(AB29:AB35)</f>
        <v>0</v>
      </c>
      <c r="AI28" s="13">
        <f>+SUM(AI29:AI35)</f>
        <v>0</v>
      </c>
      <c r="AP28" s="13">
        <f>+SUM(AP29:AP35)</f>
        <v>0</v>
      </c>
      <c r="AW28" s="13">
        <f>+SUM(AW29:AW35)</f>
        <v>0</v>
      </c>
      <c r="BD28" s="13">
        <f>+SUM(BD29:BD35)</f>
        <v>0</v>
      </c>
      <c r="BK28" s="13">
        <f>+SUM(BK29:BK35)</f>
        <v>0</v>
      </c>
      <c r="BR28" s="13">
        <f>+SUM(BR29:BR35)</f>
        <v>0</v>
      </c>
      <c r="BY28" s="13">
        <f>+SUM(BY29:BY35)</f>
        <v>0</v>
      </c>
      <c r="CF28" s="13">
        <f>+SUM(CF29:CF35)</f>
        <v>0</v>
      </c>
      <c r="CM28" s="13">
        <f>+SUM(CM29:CM35)</f>
        <v>0</v>
      </c>
      <c r="CT28" s="13">
        <f>+SUM(CT29:CT35)</f>
        <v>0</v>
      </c>
      <c r="CV28" s="11"/>
      <c r="DA28" s="13">
        <f>+SUM(DA29:DA35)</f>
        <v>0</v>
      </c>
    </row>
    <row r="29" spans="2:109" ht="15.75" hidden="1" customHeight="1" outlineLevel="1">
      <c r="B29" t="s">
        <v>29</v>
      </c>
      <c r="C29" t="s">
        <v>2</v>
      </c>
      <c r="E29" s="10"/>
      <c r="F29" t="s">
        <v>56</v>
      </c>
      <c r="G29" s="11">
        <v>0.05</v>
      </c>
      <c r="J29" s="12" t="e">
        <f t="shared" ref="J29:K44" ca="1" si="5">+_xlfn.MAXIFS($N29:$YZ29,$N$3:$YZ$3,J$3)</f>
        <v>#NAME?</v>
      </c>
      <c r="K29" s="12" t="e">
        <f t="shared" ca="1" si="5"/>
        <v>#NAME?</v>
      </c>
      <c r="L29" s="10"/>
      <c r="N29" s="10"/>
      <c r="O29" s="11">
        <v>0.5</v>
      </c>
      <c r="P29" s="11">
        <v>0.5</v>
      </c>
      <c r="Q29" s="11">
        <v>0.5</v>
      </c>
      <c r="R29" s="11">
        <v>0.5</v>
      </c>
      <c r="U29" s="10"/>
      <c r="V29" s="11"/>
      <c r="W29" s="11">
        <v>0.5</v>
      </c>
      <c r="X29" s="11"/>
      <c r="Y29" s="11">
        <v>0.5</v>
      </c>
      <c r="AB29" s="10"/>
      <c r="AC29" s="11"/>
      <c r="AD29" s="11">
        <v>0.5</v>
      </c>
      <c r="AE29" s="11"/>
      <c r="AF29" s="11">
        <v>0.5</v>
      </c>
      <c r="AI29" s="10"/>
      <c r="AJ29" s="11"/>
      <c r="AK29" s="11">
        <v>0.8</v>
      </c>
      <c r="AL29" s="11"/>
      <c r="AM29" s="11">
        <v>0.8</v>
      </c>
      <c r="AQ29" s="11"/>
      <c r="AR29" s="11">
        <v>0.8</v>
      </c>
      <c r="AS29" s="11"/>
      <c r="AT29" s="11">
        <v>0.8</v>
      </c>
      <c r="AX29" s="11"/>
      <c r="AY29" s="11">
        <v>0.8</v>
      </c>
      <c r="AZ29" s="11"/>
      <c r="BA29" s="11">
        <v>0.8</v>
      </c>
      <c r="BE29" s="11"/>
      <c r="BF29" s="11">
        <v>0.8</v>
      </c>
      <c r="BG29" s="11"/>
      <c r="BH29" s="11">
        <v>0.8</v>
      </c>
      <c r="BL29" s="11"/>
      <c r="BM29" s="11">
        <v>0.8</v>
      </c>
      <c r="BN29" s="11"/>
      <c r="BO29" s="11">
        <v>0.8</v>
      </c>
      <c r="BS29" s="11"/>
      <c r="BT29" s="11">
        <v>0.8</v>
      </c>
      <c r="BU29" s="11"/>
      <c r="BV29" s="11">
        <v>0.8</v>
      </c>
      <c r="BZ29" s="11"/>
      <c r="CA29" s="11">
        <v>0.8</v>
      </c>
      <c r="CB29" s="11"/>
      <c r="CC29" s="11">
        <v>0.8</v>
      </c>
      <c r="CG29" s="11"/>
      <c r="CH29" s="11">
        <v>1</v>
      </c>
      <c r="CI29" s="11"/>
      <c r="CJ29" s="11">
        <v>1</v>
      </c>
      <c r="CN29" s="11"/>
      <c r="CO29" s="11">
        <v>1</v>
      </c>
      <c r="CP29" s="11"/>
      <c r="CQ29" s="11">
        <v>1</v>
      </c>
      <c r="CU29" s="11"/>
      <c r="CV29" s="11"/>
      <c r="CW29" s="11"/>
      <c r="CX29" s="11"/>
      <c r="DB29" s="11"/>
      <c r="DC29" s="11"/>
      <c r="DD29" s="11"/>
      <c r="DE29" s="11"/>
    </row>
    <row r="30" spans="2:109" ht="15.75" hidden="1" customHeight="1" outlineLevel="1">
      <c r="B30" t="s">
        <v>29</v>
      </c>
      <c r="C30" t="s">
        <v>2</v>
      </c>
      <c r="E30" s="10"/>
      <c r="F30" t="s">
        <v>57</v>
      </c>
      <c r="G30" s="11">
        <v>0.2</v>
      </c>
      <c r="J30" s="12" t="e">
        <f t="shared" ca="1" si="5"/>
        <v>#NAME?</v>
      </c>
      <c r="K30" s="12" t="e">
        <f t="shared" ca="1" si="5"/>
        <v>#NAME?</v>
      </c>
      <c r="L30" s="10"/>
      <c r="N30" s="10"/>
      <c r="O30" s="11">
        <v>0.3</v>
      </c>
      <c r="P30" s="11">
        <v>0.3</v>
      </c>
      <c r="Q30" s="11">
        <v>0.3</v>
      </c>
      <c r="R30" s="11">
        <v>0.3</v>
      </c>
      <c r="U30" s="10"/>
      <c r="V30" s="11"/>
      <c r="W30" s="11">
        <v>0.5</v>
      </c>
      <c r="X30" s="11"/>
      <c r="Y30" s="11">
        <v>0.5</v>
      </c>
      <c r="AB30" s="10"/>
      <c r="AC30" s="11"/>
      <c r="AD30" s="11">
        <v>0.5</v>
      </c>
      <c r="AE30" s="11"/>
      <c r="AF30" s="11">
        <v>0.5</v>
      </c>
      <c r="AI30" s="10"/>
      <c r="AJ30" s="11"/>
      <c r="AK30" s="11">
        <v>0.5</v>
      </c>
      <c r="AL30" s="11"/>
      <c r="AM30" s="11">
        <v>0.5</v>
      </c>
      <c r="AQ30" s="11"/>
      <c r="AR30" s="11">
        <v>0.8</v>
      </c>
      <c r="AS30" s="11"/>
      <c r="AT30" s="11">
        <v>0.8</v>
      </c>
      <c r="AX30" s="11"/>
      <c r="AY30" s="11">
        <v>0.8</v>
      </c>
      <c r="AZ30" s="11"/>
      <c r="BA30" s="11">
        <v>0.8</v>
      </c>
      <c r="BE30" s="11"/>
      <c r="BF30" s="11">
        <v>0.8</v>
      </c>
      <c r="BG30" s="11"/>
      <c r="BH30" s="11">
        <v>0.8</v>
      </c>
      <c r="BL30" s="11"/>
      <c r="BM30" s="11">
        <v>0.8</v>
      </c>
      <c r="BN30" s="11"/>
      <c r="BO30" s="11">
        <v>0.8</v>
      </c>
      <c r="BS30" s="11"/>
      <c r="BT30" s="11">
        <v>0.8</v>
      </c>
      <c r="BU30" s="11"/>
      <c r="BV30" s="11">
        <v>0.8</v>
      </c>
      <c r="BZ30" s="11"/>
      <c r="CA30" s="11">
        <v>0.8</v>
      </c>
      <c r="CB30" s="11"/>
      <c r="CC30" s="11">
        <v>0.8</v>
      </c>
      <c r="CG30" s="11"/>
      <c r="CH30" s="11">
        <v>1</v>
      </c>
      <c r="CI30" s="11"/>
      <c r="CJ30" s="11">
        <v>1</v>
      </c>
      <c r="CN30" s="11"/>
      <c r="CO30" s="11">
        <v>1</v>
      </c>
      <c r="CP30" s="11"/>
      <c r="CQ30" s="11">
        <v>1</v>
      </c>
      <c r="CU30" s="11"/>
      <c r="CV30" s="11"/>
      <c r="CW30" s="11"/>
      <c r="CX30" s="11"/>
      <c r="DB30" s="11"/>
      <c r="DC30" s="11"/>
      <c r="DD30" s="11"/>
      <c r="DE30" s="11"/>
    </row>
    <row r="31" spans="2:109" ht="15.75" hidden="1" customHeight="1" outlineLevel="1">
      <c r="B31" t="s">
        <v>29</v>
      </c>
      <c r="C31" t="s">
        <v>2</v>
      </c>
      <c r="E31" s="10"/>
      <c r="F31" t="s">
        <v>58</v>
      </c>
      <c r="G31" s="11">
        <v>0.2</v>
      </c>
      <c r="J31" s="12" t="e">
        <f t="shared" ca="1" si="5"/>
        <v>#NAME?</v>
      </c>
      <c r="K31" s="12" t="e">
        <f t="shared" ca="1" si="5"/>
        <v>#NAME?</v>
      </c>
      <c r="L31" s="10"/>
      <c r="N31" s="10"/>
      <c r="O31" s="11"/>
      <c r="P31" s="11"/>
      <c r="Q31" s="11"/>
      <c r="R31" s="11"/>
      <c r="U31" s="10"/>
      <c r="V31" s="11"/>
      <c r="W31" s="11">
        <v>0.5</v>
      </c>
      <c r="X31" s="11"/>
      <c r="Y31" s="11">
        <v>0.5</v>
      </c>
      <c r="AB31" s="10"/>
      <c r="AC31" s="11"/>
      <c r="AD31" s="11">
        <v>0.5</v>
      </c>
      <c r="AE31" s="11"/>
      <c r="AF31" s="11">
        <v>0.5</v>
      </c>
      <c r="AI31" s="10"/>
      <c r="AJ31" s="11"/>
      <c r="AK31" s="11">
        <v>0.5</v>
      </c>
      <c r="AL31" s="11"/>
      <c r="AM31" s="11">
        <v>0.5</v>
      </c>
      <c r="AQ31" s="11"/>
      <c r="AR31" s="11">
        <v>0.5</v>
      </c>
      <c r="AS31" s="11"/>
      <c r="AT31" s="11">
        <v>0.5</v>
      </c>
      <c r="AX31" s="11"/>
      <c r="AY31" s="11">
        <v>0.8</v>
      </c>
      <c r="AZ31" s="11"/>
      <c r="BA31" s="11">
        <v>0.8</v>
      </c>
      <c r="BE31" s="11"/>
      <c r="BF31" s="11">
        <v>0.8</v>
      </c>
      <c r="BG31" s="11"/>
      <c r="BH31" s="11">
        <v>0.8</v>
      </c>
      <c r="BL31" s="11"/>
      <c r="BM31" s="11">
        <v>0.8</v>
      </c>
      <c r="BN31" s="11"/>
      <c r="BO31" s="11">
        <v>0.8</v>
      </c>
      <c r="BS31" s="11"/>
      <c r="BT31" s="11">
        <v>0.8</v>
      </c>
      <c r="BU31" s="11"/>
      <c r="BV31" s="11">
        <v>0.8</v>
      </c>
      <c r="BZ31" s="11"/>
      <c r="CA31" s="11">
        <v>0.8</v>
      </c>
      <c r="CB31" s="11"/>
      <c r="CC31" s="11">
        <v>0.8</v>
      </c>
      <c r="CG31" s="11"/>
      <c r="CH31" s="11">
        <v>0.8</v>
      </c>
      <c r="CI31" s="11"/>
      <c r="CJ31" s="11">
        <v>0.8</v>
      </c>
      <c r="CN31" s="11"/>
      <c r="CO31" s="11">
        <v>1</v>
      </c>
      <c r="CP31" s="11"/>
      <c r="CQ31" s="11">
        <v>1</v>
      </c>
      <c r="CU31" s="11"/>
      <c r="CV31" s="11"/>
      <c r="CW31" s="11"/>
      <c r="CX31" s="11"/>
      <c r="DB31" s="11"/>
      <c r="DC31" s="11"/>
      <c r="DD31" s="11"/>
      <c r="DE31" s="11"/>
    </row>
    <row r="32" spans="2:109" ht="15.75" hidden="1" customHeight="1" outlineLevel="1">
      <c r="B32" t="s">
        <v>29</v>
      </c>
      <c r="C32" t="s">
        <v>2</v>
      </c>
      <c r="E32" s="10"/>
      <c r="F32" t="s">
        <v>59</v>
      </c>
      <c r="G32" s="11">
        <v>0.2</v>
      </c>
      <c r="J32" s="12" t="e">
        <f t="shared" ca="1" si="5"/>
        <v>#NAME?</v>
      </c>
      <c r="K32" s="12" t="e">
        <f t="shared" ca="1" si="5"/>
        <v>#NAME?</v>
      </c>
      <c r="L32" s="10"/>
      <c r="N32" s="10"/>
      <c r="O32" s="11"/>
      <c r="P32" s="11"/>
      <c r="Q32" s="11"/>
      <c r="R32" s="11"/>
      <c r="U32" s="10"/>
      <c r="V32" s="11"/>
      <c r="W32" s="11"/>
      <c r="X32" s="11"/>
      <c r="Y32" s="11"/>
      <c r="AB32" s="10"/>
      <c r="AC32" s="11"/>
      <c r="AD32" s="11">
        <v>0.5</v>
      </c>
      <c r="AE32" s="11"/>
      <c r="AF32" s="11">
        <v>0.5</v>
      </c>
      <c r="AI32" s="10"/>
      <c r="AJ32" s="11"/>
      <c r="AK32" s="11">
        <v>0.5</v>
      </c>
      <c r="AL32" s="11"/>
      <c r="AM32" s="11">
        <v>0.5</v>
      </c>
      <c r="AQ32" s="11"/>
      <c r="AR32" s="11">
        <v>0.5</v>
      </c>
      <c r="AS32" s="11"/>
      <c r="AT32" s="11">
        <v>0.5</v>
      </c>
      <c r="AX32" s="11"/>
      <c r="AY32" s="11">
        <v>0.5</v>
      </c>
      <c r="AZ32" s="11"/>
      <c r="BA32" s="11">
        <v>0.5</v>
      </c>
      <c r="BE32" s="11"/>
      <c r="BF32" s="11">
        <v>0.8</v>
      </c>
      <c r="BG32" s="11"/>
      <c r="BH32" s="11">
        <v>0.8</v>
      </c>
      <c r="BL32" s="11"/>
      <c r="BM32" s="11">
        <v>0.8</v>
      </c>
      <c r="BN32" s="11"/>
      <c r="BO32" s="11">
        <v>0.8</v>
      </c>
      <c r="BS32" s="11"/>
      <c r="BT32" s="11">
        <v>0.8</v>
      </c>
      <c r="BU32" s="11"/>
      <c r="BV32" s="11">
        <v>0.8</v>
      </c>
      <c r="BZ32" s="11"/>
      <c r="CA32" s="11">
        <v>0.8</v>
      </c>
      <c r="CB32" s="11"/>
      <c r="CC32" s="11">
        <v>0.8</v>
      </c>
      <c r="CG32" s="11"/>
      <c r="CH32" s="11">
        <v>0.8</v>
      </c>
      <c r="CI32" s="11"/>
      <c r="CJ32" s="11">
        <v>0.8</v>
      </c>
      <c r="CN32" s="11"/>
      <c r="CO32" s="11">
        <v>1</v>
      </c>
      <c r="CP32" s="11"/>
      <c r="CQ32" s="11">
        <v>1</v>
      </c>
      <c r="CU32" s="11"/>
      <c r="CV32" s="11"/>
      <c r="CW32" s="11"/>
      <c r="CX32" s="11"/>
      <c r="DB32" s="11"/>
      <c r="DC32" s="11"/>
      <c r="DD32" s="11"/>
      <c r="DE32" s="11"/>
    </row>
    <row r="33" spans="2:109" ht="15.75" hidden="1" customHeight="1" outlineLevel="1">
      <c r="B33" t="s">
        <v>29</v>
      </c>
      <c r="C33" t="s">
        <v>2</v>
      </c>
      <c r="E33" s="10"/>
      <c r="F33" t="s">
        <v>60</v>
      </c>
      <c r="G33" s="11">
        <v>0.15</v>
      </c>
      <c r="J33" s="12" t="e">
        <f t="shared" ca="1" si="5"/>
        <v>#NAME?</v>
      </c>
      <c r="K33" s="12" t="e">
        <f t="shared" ca="1" si="5"/>
        <v>#NAME?</v>
      </c>
      <c r="L33" s="10"/>
      <c r="N33" s="10"/>
      <c r="O33" s="11"/>
      <c r="P33" s="11"/>
      <c r="Q33" s="11"/>
      <c r="R33" s="11"/>
      <c r="U33" s="10"/>
      <c r="V33" s="11"/>
      <c r="W33" s="11"/>
      <c r="X33" s="11"/>
      <c r="Y33" s="11"/>
      <c r="AB33" s="10"/>
      <c r="AC33" s="11"/>
      <c r="AD33" s="11">
        <v>0.3</v>
      </c>
      <c r="AE33" s="11"/>
      <c r="AF33" s="11">
        <v>0.3</v>
      </c>
      <c r="AI33" s="10"/>
      <c r="AJ33" s="11"/>
      <c r="AK33" s="11">
        <v>0.5</v>
      </c>
      <c r="AL33" s="11"/>
      <c r="AM33" s="11">
        <v>0.5</v>
      </c>
      <c r="AQ33" s="11"/>
      <c r="AR33" s="11">
        <v>0.5</v>
      </c>
      <c r="AS33" s="11"/>
      <c r="AT33" s="11">
        <v>0.5</v>
      </c>
      <c r="AX33" s="11"/>
      <c r="AY33" s="11">
        <v>0.5</v>
      </c>
      <c r="AZ33" s="11"/>
      <c r="BA33" s="11">
        <v>0.5</v>
      </c>
      <c r="BE33" s="11"/>
      <c r="BF33" s="11">
        <v>0.5</v>
      </c>
      <c r="BG33" s="11"/>
      <c r="BH33" s="11">
        <v>0.5</v>
      </c>
      <c r="BL33" s="11"/>
      <c r="BM33" s="11">
        <v>0.5</v>
      </c>
      <c r="BN33" s="11"/>
      <c r="BO33" s="11">
        <v>0.5</v>
      </c>
      <c r="BS33" s="11"/>
      <c r="BT33" s="11">
        <v>0.8</v>
      </c>
      <c r="BU33" s="11"/>
      <c r="BV33" s="11">
        <v>0.8</v>
      </c>
      <c r="BZ33" s="11"/>
      <c r="CA33" s="11">
        <v>0.8</v>
      </c>
      <c r="CB33" s="11"/>
      <c r="CC33" s="11">
        <v>0.8</v>
      </c>
      <c r="CG33" s="11"/>
      <c r="CH33" s="11">
        <v>0.8</v>
      </c>
      <c r="CI33" s="11"/>
      <c r="CJ33" s="11">
        <v>0.8</v>
      </c>
      <c r="CN33" s="11"/>
      <c r="CO33" s="11">
        <v>1</v>
      </c>
      <c r="CP33" s="11"/>
      <c r="CQ33" s="11">
        <v>1</v>
      </c>
      <c r="CU33" s="11"/>
      <c r="CV33" s="11"/>
      <c r="CW33" s="11"/>
      <c r="CX33" s="11"/>
      <c r="DB33" s="11"/>
      <c r="DC33" s="11"/>
      <c r="DD33" s="11"/>
      <c r="DE33" s="11"/>
    </row>
    <row r="34" spans="2:109" ht="15.75" hidden="1" customHeight="1" outlineLevel="1">
      <c r="B34" t="s">
        <v>29</v>
      </c>
      <c r="C34" t="s">
        <v>2</v>
      </c>
      <c r="E34" s="10"/>
      <c r="F34" t="s">
        <v>61</v>
      </c>
      <c r="G34" s="11">
        <v>0.15</v>
      </c>
      <c r="J34" s="12" t="e">
        <f t="shared" ca="1" si="5"/>
        <v>#NAME?</v>
      </c>
      <c r="K34" s="12" t="e">
        <f t="shared" ca="1" si="5"/>
        <v>#NAME?</v>
      </c>
      <c r="L34" s="10"/>
      <c r="N34" s="10"/>
      <c r="O34" s="11"/>
      <c r="P34" s="11"/>
      <c r="Q34" s="11"/>
      <c r="R34" s="11"/>
      <c r="U34" s="10"/>
      <c r="V34" s="11"/>
      <c r="W34" s="11"/>
      <c r="X34" s="11"/>
      <c r="Y34" s="11"/>
      <c r="AB34" s="10"/>
      <c r="AC34" s="11"/>
      <c r="AD34" s="11"/>
      <c r="AE34" s="11"/>
      <c r="AF34" s="11"/>
      <c r="AI34" s="10"/>
      <c r="AJ34" s="11"/>
      <c r="AK34" s="11"/>
      <c r="AL34" s="11"/>
      <c r="AM34" s="11"/>
      <c r="AQ34" s="11"/>
      <c r="AR34" s="11">
        <v>0.3</v>
      </c>
      <c r="AS34" s="11"/>
      <c r="AT34" s="11">
        <v>0.3</v>
      </c>
      <c r="AX34" s="11"/>
      <c r="AY34" s="11">
        <v>0.5</v>
      </c>
      <c r="AZ34" s="11"/>
      <c r="BA34" s="11">
        <v>0.5</v>
      </c>
      <c r="BE34" s="11"/>
      <c r="BF34" s="11">
        <v>0.5</v>
      </c>
      <c r="BG34" s="11"/>
      <c r="BH34" s="11">
        <v>0.5</v>
      </c>
      <c r="BL34" s="11"/>
      <c r="BM34" s="11">
        <v>0.5</v>
      </c>
      <c r="BN34" s="11"/>
      <c r="BO34" s="11">
        <v>0.5</v>
      </c>
      <c r="BS34" s="11"/>
      <c r="BT34" s="11">
        <v>0.5</v>
      </c>
      <c r="BU34" s="11"/>
      <c r="BV34" s="11">
        <v>0.5</v>
      </c>
      <c r="BZ34" s="11"/>
      <c r="CA34" s="11">
        <v>0.8</v>
      </c>
      <c r="CB34" s="11"/>
      <c r="CC34" s="11">
        <v>0.8</v>
      </c>
      <c r="CG34" s="11"/>
      <c r="CH34" s="11">
        <v>0.8</v>
      </c>
      <c r="CI34" s="11"/>
      <c r="CJ34" s="11">
        <v>0.8</v>
      </c>
      <c r="CN34" s="11"/>
      <c r="CO34" s="11">
        <v>1</v>
      </c>
      <c r="CP34" s="11"/>
      <c r="CQ34" s="11">
        <v>1</v>
      </c>
      <c r="CU34" s="11"/>
      <c r="CV34" s="11"/>
      <c r="CW34" s="11"/>
      <c r="CX34" s="11"/>
      <c r="DB34" s="11"/>
      <c r="DC34" s="11"/>
      <c r="DD34" s="11"/>
      <c r="DE34" s="11"/>
    </row>
    <row r="35" spans="2:109" ht="15.75" hidden="1" customHeight="1" outlineLevel="1">
      <c r="B35" t="s">
        <v>29</v>
      </c>
      <c r="C35" t="s">
        <v>2</v>
      </c>
      <c r="E35" s="10"/>
      <c r="F35" t="s">
        <v>62</v>
      </c>
      <c r="G35" s="11">
        <v>0.05</v>
      </c>
      <c r="J35" s="12" t="e">
        <f t="shared" ca="1" si="5"/>
        <v>#NAME?</v>
      </c>
      <c r="K35" s="12" t="e">
        <f t="shared" ca="1" si="5"/>
        <v>#NAME?</v>
      </c>
      <c r="L35" s="10"/>
      <c r="N35" s="10"/>
      <c r="O35" s="11"/>
      <c r="P35" s="11"/>
      <c r="Q35" s="11"/>
      <c r="R35" s="11"/>
      <c r="U35" s="10"/>
      <c r="V35" s="11"/>
      <c r="W35" s="11"/>
      <c r="X35" s="11"/>
      <c r="Y35" s="11"/>
      <c r="AB35" s="10"/>
      <c r="AC35" s="11"/>
      <c r="AD35" s="11"/>
      <c r="AE35" s="11"/>
      <c r="AF35" s="11"/>
      <c r="AI35" s="10"/>
      <c r="AJ35" s="11"/>
      <c r="AK35" s="11"/>
      <c r="AL35" s="11"/>
      <c r="AM35" s="11"/>
      <c r="AQ35" s="11"/>
      <c r="AR35" s="11"/>
      <c r="AS35" s="11"/>
      <c r="AT35" s="11"/>
      <c r="AX35" s="11"/>
      <c r="AY35" s="11"/>
      <c r="AZ35" s="11"/>
      <c r="BA35" s="11"/>
      <c r="BE35" s="11"/>
      <c r="BF35" s="11">
        <v>0.3</v>
      </c>
      <c r="BG35" s="11"/>
      <c r="BH35" s="11">
        <v>0.3</v>
      </c>
      <c r="BL35" s="11"/>
      <c r="BM35" s="11">
        <v>0.3</v>
      </c>
      <c r="BN35" s="11"/>
      <c r="BO35" s="11">
        <v>0.3</v>
      </c>
      <c r="BS35" s="11"/>
      <c r="BT35" s="11">
        <v>0.5</v>
      </c>
      <c r="BU35" s="11"/>
      <c r="BV35" s="11">
        <v>0.5</v>
      </c>
      <c r="BZ35" s="11"/>
      <c r="CA35" s="11">
        <v>0.8</v>
      </c>
      <c r="CB35" s="11"/>
      <c r="CC35" s="11">
        <v>0.8</v>
      </c>
      <c r="CG35" s="11"/>
      <c r="CH35" s="11">
        <v>0.8</v>
      </c>
      <c r="CI35" s="11"/>
      <c r="CJ35" s="11">
        <v>0.8</v>
      </c>
      <c r="CN35" s="11"/>
      <c r="CO35" s="11">
        <v>1</v>
      </c>
      <c r="CP35" s="11"/>
      <c r="CQ35" s="11">
        <v>1</v>
      </c>
      <c r="CU35" s="11"/>
      <c r="CV35" s="11"/>
      <c r="CW35" s="11"/>
      <c r="CX35" s="11"/>
      <c r="DB35" s="11"/>
      <c r="DC35" s="11"/>
      <c r="DD35" s="11"/>
      <c r="DE35" s="11"/>
    </row>
    <row r="36" spans="2:109" collapsed="1">
      <c r="J36" s="12" t="e">
        <f t="shared" ca="1" si="5"/>
        <v>#NAME?</v>
      </c>
    </row>
    <row r="37" spans="2:109">
      <c r="B37" t="s">
        <v>28</v>
      </c>
      <c r="C37" t="s">
        <v>52</v>
      </c>
      <c r="D37" s="20">
        <v>44613</v>
      </c>
      <c r="E37" s="10">
        <v>3</v>
      </c>
      <c r="G37" s="11">
        <f>+SUM(G38:G57)</f>
        <v>1.0000000000000002</v>
      </c>
      <c r="I37" s="13">
        <f>+SUM(I38:I57)</f>
        <v>0</v>
      </c>
      <c r="J37" s="12" t="e">
        <f t="shared" ca="1" si="5"/>
        <v>#NAME?</v>
      </c>
      <c r="K37" s="12">
        <v>0</v>
      </c>
      <c r="L37" s="10"/>
      <c r="N37" s="13">
        <f>+SUM(N38:N57)</f>
        <v>0</v>
      </c>
      <c r="U37" s="13">
        <f>+SUM(U38:U57)</f>
        <v>0</v>
      </c>
      <c r="AB37" s="13">
        <f>+SUM(AB38:AB57)</f>
        <v>0</v>
      </c>
      <c r="AI37" s="13">
        <f>+SUM(AI38:AI57)</f>
        <v>0</v>
      </c>
      <c r="AP37" s="13">
        <f>+SUM(AP38:AP57)</f>
        <v>0</v>
      </c>
      <c r="AW37" s="13">
        <f>+SUM(AW38:AW57)</f>
        <v>0</v>
      </c>
      <c r="BD37" s="13">
        <f>+SUM(BD38:BD57)</f>
        <v>0</v>
      </c>
      <c r="BK37" s="13">
        <f>+SUM(BK38:BK57)</f>
        <v>0</v>
      </c>
      <c r="BR37" s="13">
        <f>+SUM(BR38:BR57)</f>
        <v>0</v>
      </c>
      <c r="BY37" s="13">
        <f>+SUM(BY38:BY57)</f>
        <v>0</v>
      </c>
      <c r="CF37" s="13">
        <f>+SUM(CF38:CF57)</f>
        <v>0</v>
      </c>
      <c r="CM37" s="13">
        <f>+SUM(CM38:CM57)</f>
        <v>0</v>
      </c>
      <c r="CT37" s="13">
        <f>+SUM(CT38:CT57)</f>
        <v>0</v>
      </c>
      <c r="DA37" s="13">
        <f>+SUM(DA38:DA57)</f>
        <v>0</v>
      </c>
    </row>
    <row r="38" spans="2:109" ht="15.75" hidden="1" customHeight="1" outlineLevel="1">
      <c r="B38" t="s">
        <v>29</v>
      </c>
      <c r="C38" t="s">
        <v>52</v>
      </c>
      <c r="E38" s="10"/>
      <c r="F38" s="18" t="s">
        <v>74</v>
      </c>
      <c r="G38" s="11">
        <v>0.05</v>
      </c>
      <c r="I38" s="10">
        <f t="shared" ref="I38:I45" si="6">+SUMIF($N$3:$ZT$3,I$3,$N38:$ZT38)</f>
        <v>0</v>
      </c>
      <c r="J38" s="12" t="e">
        <f t="shared" ca="1" si="5"/>
        <v>#NAME?</v>
      </c>
      <c r="K38" s="12" t="e">
        <f t="shared" ref="K38:K41" ca="1" si="7">+_xlfn.MAXIFS($N38:$YZ38,$N$3:$YZ$3,K$3)</f>
        <v>#NAME?</v>
      </c>
      <c r="L38" s="10"/>
      <c r="O38" s="11"/>
      <c r="P38" s="11">
        <v>0.5</v>
      </c>
      <c r="Q38" s="11"/>
      <c r="R38" s="11">
        <v>0.5</v>
      </c>
      <c r="V38" s="11"/>
      <c r="W38" s="11">
        <v>0.5</v>
      </c>
      <c r="X38" s="11"/>
      <c r="Y38" s="11">
        <v>0.5</v>
      </c>
      <c r="AC38" s="11"/>
      <c r="AD38" s="11">
        <v>0.8</v>
      </c>
      <c r="AE38" s="11"/>
      <c r="AF38" s="11">
        <v>0.8</v>
      </c>
      <c r="AJ38" s="11"/>
      <c r="AK38" s="11">
        <v>0.8</v>
      </c>
      <c r="AL38" s="11"/>
      <c r="AM38" s="11">
        <v>0.8</v>
      </c>
      <c r="AQ38" s="11"/>
      <c r="AR38" s="11">
        <v>0.8</v>
      </c>
      <c r="AS38" s="11"/>
      <c r="AT38" s="11">
        <v>0.8</v>
      </c>
      <c r="AX38" s="11"/>
      <c r="AY38" s="11">
        <v>0.8</v>
      </c>
      <c r="AZ38" s="11"/>
      <c r="BA38" s="11">
        <v>0.8</v>
      </c>
      <c r="BE38" s="11"/>
      <c r="BF38" s="11">
        <v>0.8</v>
      </c>
      <c r="BG38" s="11"/>
      <c r="BH38" s="11">
        <v>0.8</v>
      </c>
      <c r="BL38" s="11"/>
      <c r="BM38" s="11">
        <v>1</v>
      </c>
      <c r="BN38" s="11"/>
      <c r="BO38" s="11">
        <v>1</v>
      </c>
      <c r="BS38" s="11"/>
      <c r="BT38" s="11">
        <v>1</v>
      </c>
      <c r="BU38" s="11"/>
      <c r="BV38" s="11">
        <v>1</v>
      </c>
      <c r="BZ38" s="11"/>
      <c r="CA38" s="11">
        <v>1</v>
      </c>
      <c r="CB38" s="11"/>
      <c r="CC38" s="11">
        <v>1</v>
      </c>
      <c r="CG38" s="11"/>
      <c r="CH38" s="11">
        <v>1</v>
      </c>
      <c r="CI38" s="11"/>
      <c r="CJ38" s="11">
        <v>1</v>
      </c>
      <c r="CN38" s="11"/>
      <c r="CO38" s="11">
        <v>1</v>
      </c>
      <c r="CP38" s="11"/>
      <c r="CQ38" s="11">
        <v>1</v>
      </c>
      <c r="CU38" s="11"/>
      <c r="CV38" s="11"/>
      <c r="CW38" s="11"/>
      <c r="CX38" s="11"/>
      <c r="DB38" s="11"/>
      <c r="DC38" s="11"/>
      <c r="DD38" s="11"/>
      <c r="DE38" s="11"/>
    </row>
    <row r="39" spans="2:109" ht="15.75" hidden="1" customHeight="1" outlineLevel="1">
      <c r="B39" t="s">
        <v>29</v>
      </c>
      <c r="C39" t="s">
        <v>52</v>
      </c>
      <c r="E39" s="10"/>
      <c r="F39" s="18" t="s">
        <v>75</v>
      </c>
      <c r="G39" s="11">
        <v>0.05</v>
      </c>
      <c r="I39" s="10">
        <f t="shared" si="6"/>
        <v>0</v>
      </c>
      <c r="J39" s="12" t="e">
        <f t="shared" ca="1" si="5"/>
        <v>#NAME?</v>
      </c>
      <c r="K39" s="12" t="e">
        <f t="shared" ca="1" si="7"/>
        <v>#NAME?</v>
      </c>
      <c r="L39" s="10"/>
      <c r="O39" s="11"/>
      <c r="P39" s="11">
        <v>0.5</v>
      </c>
      <c r="Q39" s="11"/>
      <c r="R39" s="11">
        <v>0.5</v>
      </c>
      <c r="V39" s="11"/>
      <c r="W39" s="11">
        <v>0.5</v>
      </c>
      <c r="X39" s="11"/>
      <c r="Y39" s="11">
        <v>0.5</v>
      </c>
      <c r="AC39" s="11"/>
      <c r="AD39" s="11">
        <v>0.8</v>
      </c>
      <c r="AE39" s="11"/>
      <c r="AF39" s="11">
        <v>0.8</v>
      </c>
      <c r="AJ39" s="11"/>
      <c r="AK39" s="11">
        <v>0.8</v>
      </c>
      <c r="AL39" s="11"/>
      <c r="AM39" s="11">
        <v>0.8</v>
      </c>
      <c r="AQ39" s="11"/>
      <c r="AR39" s="11">
        <v>0.8</v>
      </c>
      <c r="AS39" s="11"/>
      <c r="AT39" s="11">
        <v>0.8</v>
      </c>
      <c r="AX39" s="11"/>
      <c r="AY39" s="11">
        <v>0.8</v>
      </c>
      <c r="AZ39" s="11"/>
      <c r="BA39" s="11">
        <v>0.8</v>
      </c>
      <c r="BE39" s="11"/>
      <c r="BF39" s="11">
        <v>0.8</v>
      </c>
      <c r="BG39" s="11"/>
      <c r="BH39" s="11">
        <v>0.8</v>
      </c>
      <c r="BL39" s="11"/>
      <c r="BM39" s="11">
        <v>1</v>
      </c>
      <c r="BN39" s="11"/>
      <c r="BO39" s="11">
        <v>1</v>
      </c>
      <c r="BS39" s="11"/>
      <c r="BT39" s="11">
        <v>1</v>
      </c>
      <c r="BU39" s="11"/>
      <c r="BV39" s="11">
        <v>1</v>
      </c>
      <c r="BZ39" s="11"/>
      <c r="CA39" s="11">
        <v>1</v>
      </c>
      <c r="CB39" s="11"/>
      <c r="CC39" s="11">
        <v>1</v>
      </c>
      <c r="CG39" s="11"/>
      <c r="CH39" s="11">
        <v>1</v>
      </c>
      <c r="CI39" s="11"/>
      <c r="CJ39" s="11">
        <v>1</v>
      </c>
      <c r="CN39" s="11"/>
      <c r="CO39" s="11">
        <v>1</v>
      </c>
      <c r="CP39" s="11"/>
      <c r="CQ39" s="11">
        <v>1</v>
      </c>
      <c r="CU39" s="11"/>
      <c r="CV39" s="11"/>
      <c r="CW39" s="11"/>
      <c r="CX39" s="11"/>
      <c r="DB39" s="11"/>
      <c r="DC39" s="11"/>
      <c r="DD39" s="11"/>
      <c r="DE39" s="11"/>
    </row>
    <row r="40" spans="2:109" ht="15.75" hidden="1" customHeight="1" outlineLevel="1">
      <c r="B40" t="s">
        <v>29</v>
      </c>
      <c r="C40" t="s">
        <v>52</v>
      </c>
      <c r="E40" s="10"/>
      <c r="F40" s="18" t="s">
        <v>76</v>
      </c>
      <c r="G40" s="11">
        <v>0.05</v>
      </c>
      <c r="I40" s="10">
        <f t="shared" si="6"/>
        <v>0</v>
      </c>
      <c r="J40" s="12" t="e">
        <f t="shared" ca="1" si="5"/>
        <v>#NAME?</v>
      </c>
      <c r="K40" s="12" t="e">
        <f t="shared" ca="1" si="7"/>
        <v>#NAME?</v>
      </c>
      <c r="L40" s="10"/>
      <c r="O40" s="11"/>
      <c r="P40" s="11">
        <v>0.5</v>
      </c>
      <c r="Q40" s="11"/>
      <c r="R40" s="11">
        <v>0.5</v>
      </c>
      <c r="V40" s="11"/>
      <c r="W40" s="11">
        <v>0.5</v>
      </c>
      <c r="X40" s="11"/>
      <c r="Y40" s="11">
        <v>0.5</v>
      </c>
      <c r="AC40" s="11"/>
      <c r="AD40" s="11">
        <v>0.5</v>
      </c>
      <c r="AE40" s="11"/>
      <c r="AF40" s="11">
        <v>0.5</v>
      </c>
      <c r="AJ40" s="11"/>
      <c r="AK40" s="11">
        <v>0.8</v>
      </c>
      <c r="AL40" s="11"/>
      <c r="AM40" s="11">
        <v>0.8</v>
      </c>
      <c r="AQ40" s="11"/>
      <c r="AR40" s="11">
        <v>0.8</v>
      </c>
      <c r="AS40" s="11"/>
      <c r="AT40" s="11">
        <v>0.8</v>
      </c>
      <c r="AX40" s="11"/>
      <c r="AY40" s="11">
        <v>0.8</v>
      </c>
      <c r="AZ40" s="11"/>
      <c r="BA40" s="11">
        <v>0.8</v>
      </c>
      <c r="BE40" s="11"/>
      <c r="BF40" s="11">
        <v>0.8</v>
      </c>
      <c r="BG40" s="11"/>
      <c r="BH40" s="11">
        <v>0.8</v>
      </c>
      <c r="BL40" s="11"/>
      <c r="BM40" s="11">
        <v>0.8</v>
      </c>
      <c r="BN40" s="11"/>
      <c r="BO40" s="11">
        <v>0.8</v>
      </c>
      <c r="BS40" s="11"/>
      <c r="BT40" s="11">
        <v>1</v>
      </c>
      <c r="BU40" s="11"/>
      <c r="BV40" s="11">
        <v>1</v>
      </c>
      <c r="BZ40" s="11"/>
      <c r="CA40" s="11">
        <v>1</v>
      </c>
      <c r="CB40" s="11"/>
      <c r="CC40" s="11">
        <v>1</v>
      </c>
      <c r="CG40" s="11"/>
      <c r="CH40" s="11">
        <v>1</v>
      </c>
      <c r="CI40" s="11"/>
      <c r="CJ40" s="11">
        <v>1</v>
      </c>
      <c r="CN40" s="11"/>
      <c r="CO40" s="11">
        <v>1</v>
      </c>
      <c r="CP40" s="11"/>
      <c r="CQ40" s="11">
        <v>1</v>
      </c>
      <c r="CU40" s="11"/>
      <c r="CV40" s="11"/>
      <c r="CW40" s="11"/>
      <c r="CX40" s="11"/>
      <c r="DB40" s="11"/>
      <c r="DC40" s="11"/>
      <c r="DD40" s="11"/>
      <c r="DE40" s="11"/>
    </row>
    <row r="41" spans="2:109" ht="15.75" hidden="1" customHeight="1" outlineLevel="1">
      <c r="B41" t="s">
        <v>29</v>
      </c>
      <c r="C41" t="s">
        <v>52</v>
      </c>
      <c r="E41" s="10"/>
      <c r="F41" s="19" t="s">
        <v>77</v>
      </c>
      <c r="G41" s="11">
        <v>0.05</v>
      </c>
      <c r="I41" s="10">
        <f t="shared" si="6"/>
        <v>0</v>
      </c>
      <c r="J41" s="12" t="e">
        <f t="shared" ca="1" si="5"/>
        <v>#NAME?</v>
      </c>
      <c r="K41" s="12" t="e">
        <f t="shared" ca="1" si="7"/>
        <v>#NAME?</v>
      </c>
      <c r="L41" s="10"/>
      <c r="O41" s="11"/>
      <c r="P41" s="11">
        <v>0.5</v>
      </c>
      <c r="Q41" s="11"/>
      <c r="R41" s="11">
        <v>0.5</v>
      </c>
      <c r="V41" s="11"/>
      <c r="W41" s="11">
        <v>0.5</v>
      </c>
      <c r="X41" s="11"/>
      <c r="Y41" s="11">
        <v>0.5</v>
      </c>
      <c r="AC41" s="11"/>
      <c r="AD41" s="11">
        <v>0.5</v>
      </c>
      <c r="AE41" s="11"/>
      <c r="AF41" s="11">
        <v>0.5</v>
      </c>
      <c r="AJ41" s="11"/>
      <c r="AK41" s="11">
        <v>0.8</v>
      </c>
      <c r="AL41" s="11"/>
      <c r="AM41" s="11">
        <v>0.8</v>
      </c>
      <c r="AQ41" s="11"/>
      <c r="AR41" s="11">
        <v>0.8</v>
      </c>
      <c r="AS41" s="11"/>
      <c r="AT41" s="11">
        <v>0.8</v>
      </c>
      <c r="AX41" s="11"/>
      <c r="AY41" s="11">
        <v>0.8</v>
      </c>
      <c r="AZ41" s="11"/>
      <c r="BA41" s="11">
        <v>0.8</v>
      </c>
      <c r="BE41" s="11"/>
      <c r="BF41" s="11">
        <v>0.8</v>
      </c>
      <c r="BG41" s="11"/>
      <c r="BH41" s="11">
        <v>0.8</v>
      </c>
      <c r="BL41" s="11"/>
      <c r="BM41" s="11">
        <v>0.8</v>
      </c>
      <c r="BN41" s="11"/>
      <c r="BO41" s="11">
        <v>0.8</v>
      </c>
      <c r="BS41" s="11"/>
      <c r="BT41" s="11">
        <v>1</v>
      </c>
      <c r="BU41" s="11"/>
      <c r="BV41" s="11">
        <v>1</v>
      </c>
      <c r="BZ41" s="11"/>
      <c r="CA41" s="11">
        <v>1</v>
      </c>
      <c r="CB41" s="11"/>
      <c r="CC41" s="11">
        <v>1</v>
      </c>
      <c r="CG41" s="11"/>
      <c r="CH41" s="11">
        <v>1</v>
      </c>
      <c r="CI41" s="11"/>
      <c r="CJ41" s="11">
        <v>1</v>
      </c>
      <c r="CN41" s="11"/>
      <c r="CO41" s="11">
        <v>1</v>
      </c>
      <c r="CP41" s="11"/>
      <c r="CQ41" s="11">
        <v>1</v>
      </c>
      <c r="CU41" s="11"/>
      <c r="CV41" s="11"/>
      <c r="CW41" s="11"/>
      <c r="CX41" s="11"/>
      <c r="DB41" s="11"/>
      <c r="DC41" s="11"/>
      <c r="DD41" s="11"/>
      <c r="DE41" s="11"/>
    </row>
    <row r="42" spans="2:109" ht="15.75" hidden="1" customHeight="1" outlineLevel="1">
      <c r="B42" t="s">
        <v>29</v>
      </c>
      <c r="C42" t="s">
        <v>52</v>
      </c>
      <c r="E42" s="10"/>
      <c r="F42" s="18" t="s">
        <v>78</v>
      </c>
      <c r="G42" s="11">
        <v>0.05</v>
      </c>
      <c r="I42" s="10">
        <f t="shared" si="6"/>
        <v>0</v>
      </c>
      <c r="J42" s="12" t="e">
        <f t="shared" ca="1" si="5"/>
        <v>#NAME?</v>
      </c>
      <c r="K42" s="12"/>
      <c r="L42" s="10"/>
      <c r="O42" s="11"/>
      <c r="P42" s="11"/>
      <c r="Q42" s="11"/>
      <c r="R42" s="11"/>
      <c r="V42" s="11"/>
      <c r="W42" s="11">
        <v>0.5</v>
      </c>
      <c r="X42" s="11"/>
      <c r="Y42" s="11">
        <v>0.5</v>
      </c>
      <c r="AC42" s="11"/>
      <c r="AD42" s="11">
        <v>0.5</v>
      </c>
      <c r="AE42" s="11"/>
      <c r="AF42" s="11">
        <v>0.5</v>
      </c>
      <c r="AJ42" s="11"/>
      <c r="AK42" s="11">
        <v>0.8</v>
      </c>
      <c r="AL42" s="11"/>
      <c r="AM42" s="11">
        <v>0.8</v>
      </c>
      <c r="AQ42" s="11"/>
      <c r="AR42" s="11">
        <v>0.8</v>
      </c>
      <c r="AS42" s="11"/>
      <c r="AT42" s="11">
        <v>0.8</v>
      </c>
      <c r="AX42" s="11"/>
      <c r="AY42" s="11">
        <v>0.8</v>
      </c>
      <c r="AZ42" s="11"/>
      <c r="BA42" s="11">
        <v>0.8</v>
      </c>
      <c r="BE42" s="11"/>
      <c r="BF42" s="11">
        <v>0.8</v>
      </c>
      <c r="BG42" s="11"/>
      <c r="BH42" s="11">
        <v>0.8</v>
      </c>
      <c r="BL42" s="11"/>
      <c r="BM42" s="11">
        <v>0.8</v>
      </c>
      <c r="BN42" s="11"/>
      <c r="BO42" s="11">
        <v>0.8</v>
      </c>
      <c r="BS42" s="11"/>
      <c r="BT42" s="11">
        <v>0.8</v>
      </c>
      <c r="BU42" s="11"/>
      <c r="BV42" s="11">
        <v>0.8</v>
      </c>
      <c r="BZ42" s="11"/>
      <c r="CA42" s="11">
        <v>1</v>
      </c>
      <c r="CB42" s="11"/>
      <c r="CC42" s="11">
        <v>1</v>
      </c>
      <c r="CG42" s="11"/>
      <c r="CH42" s="11">
        <v>1</v>
      </c>
      <c r="CI42" s="11"/>
      <c r="CJ42" s="11">
        <v>1</v>
      </c>
      <c r="CN42" s="11"/>
      <c r="CO42" s="11">
        <v>1</v>
      </c>
      <c r="CP42" s="11"/>
      <c r="CQ42" s="11">
        <v>1</v>
      </c>
      <c r="CU42" s="11"/>
      <c r="CV42" s="11"/>
      <c r="CW42" s="11"/>
      <c r="CX42" s="11"/>
      <c r="DB42" s="11"/>
      <c r="DC42" s="11"/>
      <c r="DD42" s="11"/>
      <c r="DE42" s="11"/>
    </row>
    <row r="43" spans="2:109" ht="15.75" hidden="1" customHeight="1" outlineLevel="1">
      <c r="B43" t="s">
        <v>29</v>
      </c>
      <c r="C43" t="s">
        <v>52</v>
      </c>
      <c r="E43" s="10"/>
      <c r="F43" s="18" t="s">
        <v>79</v>
      </c>
      <c r="G43" s="11">
        <v>0.05</v>
      </c>
      <c r="I43" s="10">
        <f t="shared" si="6"/>
        <v>0</v>
      </c>
      <c r="J43" s="12" t="e">
        <f t="shared" ca="1" si="5"/>
        <v>#NAME?</v>
      </c>
      <c r="K43" s="12"/>
      <c r="L43" s="10"/>
      <c r="O43" s="11"/>
      <c r="P43" s="11"/>
      <c r="Q43" s="11"/>
      <c r="R43" s="11"/>
      <c r="V43" s="11"/>
      <c r="W43" s="11">
        <v>0.5</v>
      </c>
      <c r="X43" s="11"/>
      <c r="Y43" s="11">
        <v>0.5</v>
      </c>
      <c r="AC43" s="11"/>
      <c r="AD43" s="11">
        <v>0.5</v>
      </c>
      <c r="AE43" s="11"/>
      <c r="AF43" s="11">
        <v>0.5</v>
      </c>
      <c r="AJ43" s="11"/>
      <c r="AK43" s="11">
        <v>0.5</v>
      </c>
      <c r="AL43" s="11"/>
      <c r="AM43" s="11">
        <v>0.5</v>
      </c>
      <c r="AQ43" s="11"/>
      <c r="AR43" s="11">
        <v>0.8</v>
      </c>
      <c r="AS43" s="11"/>
      <c r="AT43" s="11">
        <v>0.8</v>
      </c>
      <c r="AX43" s="11"/>
      <c r="AY43" s="11">
        <v>0.8</v>
      </c>
      <c r="AZ43" s="11"/>
      <c r="BA43" s="11">
        <v>0.8</v>
      </c>
      <c r="BE43" s="11"/>
      <c r="BF43" s="11">
        <v>0.8</v>
      </c>
      <c r="BG43" s="11"/>
      <c r="BH43" s="11">
        <v>0.8</v>
      </c>
      <c r="BL43" s="11"/>
      <c r="BM43" s="11">
        <v>0.8</v>
      </c>
      <c r="BN43" s="11"/>
      <c r="BO43" s="11">
        <v>0.8</v>
      </c>
      <c r="BS43" s="11"/>
      <c r="BT43" s="11">
        <v>0.8</v>
      </c>
      <c r="BU43" s="11"/>
      <c r="BV43" s="11">
        <v>0.8</v>
      </c>
      <c r="BZ43" s="11"/>
      <c r="CA43" s="11">
        <v>1</v>
      </c>
      <c r="CB43" s="11"/>
      <c r="CC43" s="11">
        <v>1</v>
      </c>
      <c r="CG43" s="11"/>
      <c r="CH43" s="11">
        <v>1</v>
      </c>
      <c r="CI43" s="11"/>
      <c r="CJ43" s="11">
        <v>1</v>
      </c>
      <c r="CN43" s="11"/>
      <c r="CO43" s="11">
        <v>1</v>
      </c>
      <c r="CP43" s="11"/>
      <c r="CQ43" s="11">
        <v>1</v>
      </c>
      <c r="CU43" s="11"/>
      <c r="CV43" s="11"/>
      <c r="CW43" s="11"/>
      <c r="CX43" s="11"/>
      <c r="DB43" s="11"/>
      <c r="DC43" s="11"/>
      <c r="DD43" s="11"/>
      <c r="DE43" s="11"/>
    </row>
    <row r="44" spans="2:109" ht="15.75" hidden="1" customHeight="1" outlineLevel="1">
      <c r="B44" t="s">
        <v>29</v>
      </c>
      <c r="C44" t="s">
        <v>52</v>
      </c>
      <c r="E44" s="10"/>
      <c r="F44" s="18" t="s">
        <v>80</v>
      </c>
      <c r="G44" s="11">
        <v>0.05</v>
      </c>
      <c r="I44" s="10">
        <f t="shared" si="6"/>
        <v>0</v>
      </c>
      <c r="J44" s="12" t="e">
        <f t="shared" ca="1" si="5"/>
        <v>#NAME?</v>
      </c>
      <c r="K44" s="12" t="e">
        <f ca="1">+_xlfn.MAXIFS($N44:$YZ44,$N$3:$YZ$3,K$3)</f>
        <v>#NAME?</v>
      </c>
      <c r="L44" s="10"/>
      <c r="O44" s="11"/>
      <c r="P44" s="11"/>
      <c r="Q44" s="11"/>
      <c r="R44" s="11"/>
      <c r="V44" s="11"/>
      <c r="W44" s="11">
        <v>0.5</v>
      </c>
      <c r="X44" s="11"/>
      <c r="Y44" s="11">
        <v>0.5</v>
      </c>
      <c r="AC44" s="11"/>
      <c r="AD44" s="11">
        <v>0.5</v>
      </c>
      <c r="AE44" s="11"/>
      <c r="AF44" s="11">
        <v>0.5</v>
      </c>
      <c r="AJ44" s="11"/>
      <c r="AK44" s="11">
        <v>0.5</v>
      </c>
      <c r="AL44" s="11"/>
      <c r="AM44" s="11">
        <v>0.5</v>
      </c>
      <c r="AQ44" s="11"/>
      <c r="AR44" s="11">
        <v>0.8</v>
      </c>
      <c r="AS44" s="11"/>
      <c r="AT44" s="11">
        <v>0.8</v>
      </c>
      <c r="AX44" s="11"/>
      <c r="AY44" s="11">
        <v>0.8</v>
      </c>
      <c r="AZ44" s="11"/>
      <c r="BA44" s="11">
        <v>0.8</v>
      </c>
      <c r="BE44" s="11"/>
      <c r="BF44" s="11">
        <v>0.8</v>
      </c>
      <c r="BG44" s="11"/>
      <c r="BH44" s="11">
        <v>0.8</v>
      </c>
      <c r="BL44" s="11"/>
      <c r="BM44" s="11">
        <v>0.8</v>
      </c>
      <c r="BN44" s="11"/>
      <c r="BO44" s="11">
        <v>0.8</v>
      </c>
      <c r="BS44" s="11"/>
      <c r="BT44" s="11">
        <v>0.8</v>
      </c>
      <c r="BU44" s="11"/>
      <c r="BV44" s="11">
        <v>0.8</v>
      </c>
      <c r="BZ44" s="11"/>
      <c r="CA44" s="11">
        <v>1</v>
      </c>
      <c r="CB44" s="11"/>
      <c r="CC44" s="11">
        <v>1</v>
      </c>
      <c r="CG44" s="11"/>
      <c r="CH44" s="11">
        <v>1</v>
      </c>
      <c r="CI44" s="11"/>
      <c r="CJ44" s="11">
        <v>1</v>
      </c>
      <c r="CN44" s="11"/>
      <c r="CO44" s="11">
        <v>1</v>
      </c>
      <c r="CP44" s="11"/>
      <c r="CQ44" s="11">
        <v>1</v>
      </c>
      <c r="CU44" s="11"/>
      <c r="CV44" s="11"/>
      <c r="CW44" s="11"/>
      <c r="CX44" s="11"/>
      <c r="DB44" s="11"/>
      <c r="DC44" s="11"/>
      <c r="DD44" s="11"/>
      <c r="DE44" s="11"/>
    </row>
    <row r="45" spans="2:109" ht="15.75" hidden="1" customHeight="1" outlineLevel="1">
      <c r="B45" t="s">
        <v>29</v>
      </c>
      <c r="C45" t="s">
        <v>52</v>
      </c>
      <c r="E45" s="10"/>
      <c r="F45" s="18" t="s">
        <v>81</v>
      </c>
      <c r="G45" s="11">
        <v>0.05</v>
      </c>
      <c r="I45" s="10">
        <f t="shared" si="6"/>
        <v>0</v>
      </c>
      <c r="J45" s="12" t="e">
        <f t="shared" ref="J45:J88" ca="1" si="8">+_xlfn.MAXIFS($N45:$YZ45,$N$3:$YZ$3,J$3)</f>
        <v>#NAME?</v>
      </c>
      <c r="K45" s="12"/>
      <c r="L45" s="10"/>
      <c r="O45" s="11"/>
      <c r="P45" s="11"/>
      <c r="Q45" s="11"/>
      <c r="R45" s="11"/>
      <c r="V45" s="11"/>
      <c r="W45" s="11">
        <v>0.5</v>
      </c>
      <c r="X45" s="11"/>
      <c r="Y45" s="11">
        <v>0.5</v>
      </c>
      <c r="AC45" s="11"/>
      <c r="AD45" s="11">
        <v>0.5</v>
      </c>
      <c r="AE45" s="11"/>
      <c r="AF45" s="11">
        <v>0.5</v>
      </c>
      <c r="AJ45" s="11"/>
      <c r="AK45" s="11">
        <v>0.5</v>
      </c>
      <c r="AL45" s="11"/>
      <c r="AM45" s="11">
        <v>0.5</v>
      </c>
      <c r="AQ45" s="11"/>
      <c r="AR45" s="11">
        <v>0.5</v>
      </c>
      <c r="AS45" s="11"/>
      <c r="AT45" s="11">
        <v>0.5</v>
      </c>
      <c r="AX45" s="11"/>
      <c r="AY45" s="11">
        <v>0.8</v>
      </c>
      <c r="AZ45" s="11"/>
      <c r="BA45" s="11">
        <v>0.8</v>
      </c>
      <c r="BE45" s="11"/>
      <c r="BF45" s="11">
        <v>0.8</v>
      </c>
      <c r="BG45" s="11"/>
      <c r="BH45" s="11">
        <v>0.8</v>
      </c>
      <c r="BL45" s="11"/>
      <c r="BM45" s="11">
        <v>0.8</v>
      </c>
      <c r="BN45" s="11"/>
      <c r="BO45" s="11">
        <v>0.8</v>
      </c>
      <c r="BS45" s="11"/>
      <c r="BT45" s="11">
        <v>0.8</v>
      </c>
      <c r="BU45" s="11"/>
      <c r="BV45" s="11">
        <v>0.8</v>
      </c>
      <c r="BZ45" s="11"/>
      <c r="CA45" s="11">
        <v>0.8</v>
      </c>
      <c r="CB45" s="11"/>
      <c r="CC45" s="11">
        <v>0.8</v>
      </c>
      <c r="CG45" s="11"/>
      <c r="CH45" s="11">
        <v>1</v>
      </c>
      <c r="CI45" s="11"/>
      <c r="CJ45" s="11">
        <v>1</v>
      </c>
      <c r="CN45" s="11"/>
      <c r="CO45" s="11">
        <v>1</v>
      </c>
      <c r="CP45" s="11"/>
      <c r="CQ45" s="11">
        <v>1</v>
      </c>
      <c r="CU45" s="11"/>
      <c r="CV45" s="11"/>
      <c r="CW45" s="11"/>
      <c r="CX45" s="11"/>
      <c r="DB45" s="11"/>
      <c r="DC45" s="11"/>
      <c r="DD45" s="11"/>
      <c r="DE45" s="11"/>
    </row>
    <row r="46" spans="2:109" ht="15.75" hidden="1" customHeight="1" outlineLevel="1">
      <c r="B46" t="s">
        <v>29</v>
      </c>
      <c r="C46" t="s">
        <v>52</v>
      </c>
      <c r="E46" s="10"/>
      <c r="F46" s="18" t="s">
        <v>82</v>
      </c>
      <c r="G46" s="11">
        <v>0.05</v>
      </c>
      <c r="I46" s="10">
        <f>+SUMIF($N$3:$ZT$3,I$3,$N46:$ZT46)</f>
        <v>0</v>
      </c>
      <c r="J46" s="12" t="e">
        <f t="shared" ca="1" si="8"/>
        <v>#NAME?</v>
      </c>
      <c r="K46" s="12" t="e">
        <f ca="1">+_xlfn.MAXIFS($N46:$YZ46,$N$3:$YZ$3,K$3)</f>
        <v>#NAME?</v>
      </c>
      <c r="L46" s="10"/>
      <c r="O46" s="11"/>
      <c r="P46" s="11"/>
      <c r="Q46" s="11"/>
      <c r="R46" s="11"/>
      <c r="V46" s="11"/>
      <c r="W46" s="11">
        <v>0.5</v>
      </c>
      <c r="X46" s="11"/>
      <c r="Y46" s="11">
        <v>0.5</v>
      </c>
      <c r="AC46" s="11"/>
      <c r="AD46" s="11">
        <v>0.5</v>
      </c>
      <c r="AE46" s="11"/>
      <c r="AF46" s="11">
        <v>0.5</v>
      </c>
      <c r="AJ46" s="11"/>
      <c r="AK46" s="11">
        <v>0.5</v>
      </c>
      <c r="AL46" s="11"/>
      <c r="AM46" s="11">
        <v>0.5</v>
      </c>
      <c r="AQ46" s="11"/>
      <c r="AR46" s="11">
        <v>0.5</v>
      </c>
      <c r="AS46" s="11"/>
      <c r="AT46" s="11">
        <v>0.5</v>
      </c>
      <c r="AX46" s="11"/>
      <c r="AY46" s="11">
        <v>0.8</v>
      </c>
      <c r="AZ46" s="11"/>
      <c r="BA46" s="11">
        <v>0.8</v>
      </c>
      <c r="BE46" s="11"/>
      <c r="BF46" s="11">
        <v>0.8</v>
      </c>
      <c r="BG46" s="11"/>
      <c r="BH46" s="11">
        <v>0.8</v>
      </c>
      <c r="BL46" s="11"/>
      <c r="BM46" s="11">
        <v>0.8</v>
      </c>
      <c r="BN46" s="11"/>
      <c r="BO46" s="11">
        <v>0.8</v>
      </c>
      <c r="BS46" s="11"/>
      <c r="BT46" s="11">
        <v>0.8</v>
      </c>
      <c r="BU46" s="11"/>
      <c r="BV46" s="11">
        <v>0.8</v>
      </c>
      <c r="BZ46" s="11"/>
      <c r="CA46" s="11">
        <v>0.8</v>
      </c>
      <c r="CB46" s="11"/>
      <c r="CC46" s="11">
        <v>0.8</v>
      </c>
      <c r="CG46" s="11"/>
      <c r="CH46" s="11">
        <v>1</v>
      </c>
      <c r="CI46" s="11"/>
      <c r="CJ46" s="11">
        <v>1</v>
      </c>
      <c r="CN46" s="11"/>
      <c r="CO46" s="11">
        <v>1</v>
      </c>
      <c r="CP46" s="11"/>
      <c r="CQ46" s="11">
        <v>1</v>
      </c>
      <c r="CU46" s="11"/>
      <c r="CV46" s="11"/>
      <c r="CW46" s="11"/>
      <c r="CX46" s="11"/>
      <c r="DB46" s="11"/>
      <c r="DC46" s="11"/>
      <c r="DD46" s="11"/>
      <c r="DE46" s="11"/>
    </row>
    <row r="47" spans="2:109" ht="15.75" hidden="1" customHeight="1" outlineLevel="1">
      <c r="B47" t="s">
        <v>29</v>
      </c>
      <c r="C47" t="s">
        <v>52</v>
      </c>
      <c r="E47" s="10"/>
      <c r="F47" s="19" t="s">
        <v>83</v>
      </c>
      <c r="G47" s="11">
        <v>0.05</v>
      </c>
      <c r="I47" s="10">
        <f>+SUMIF($N$3:$ZT$3,I$3,$N47:$ZT47)</f>
        <v>0</v>
      </c>
      <c r="J47" s="12" t="e">
        <f t="shared" ca="1" si="8"/>
        <v>#NAME?</v>
      </c>
      <c r="K47" s="12"/>
      <c r="L47" s="10"/>
      <c r="O47" s="11"/>
      <c r="P47" s="11"/>
      <c r="Q47" s="11"/>
      <c r="R47" s="11"/>
      <c r="V47" s="11"/>
      <c r="W47" s="11"/>
      <c r="X47" s="11"/>
      <c r="Y47" s="11"/>
      <c r="AC47" s="11"/>
      <c r="AD47" s="11">
        <v>0.5</v>
      </c>
      <c r="AE47" s="11"/>
      <c r="AF47" s="11">
        <v>0.5</v>
      </c>
      <c r="AJ47" s="11"/>
      <c r="AK47" s="11">
        <v>0.5</v>
      </c>
      <c r="AL47" s="11"/>
      <c r="AM47" s="11">
        <v>0.5</v>
      </c>
      <c r="AQ47" s="11"/>
      <c r="AR47" s="11">
        <v>0.5</v>
      </c>
      <c r="AS47" s="11"/>
      <c r="AT47" s="11">
        <v>0.5</v>
      </c>
      <c r="AX47" s="11"/>
      <c r="AY47" s="11">
        <v>0.8</v>
      </c>
      <c r="AZ47" s="11"/>
      <c r="BA47" s="11">
        <v>0.8</v>
      </c>
      <c r="BE47" s="11"/>
      <c r="BF47" s="11">
        <v>0.8</v>
      </c>
      <c r="BG47" s="11"/>
      <c r="BH47" s="11">
        <v>0.8</v>
      </c>
      <c r="BL47" s="11"/>
      <c r="BM47" s="11">
        <v>0.8</v>
      </c>
      <c r="BN47" s="11"/>
      <c r="BO47" s="11">
        <v>0.8</v>
      </c>
      <c r="BS47" s="11"/>
      <c r="BT47" s="11">
        <v>0.8</v>
      </c>
      <c r="BU47" s="11"/>
      <c r="BV47" s="11">
        <v>0.8</v>
      </c>
      <c r="BZ47" s="11"/>
      <c r="CA47" s="11">
        <v>0.8</v>
      </c>
      <c r="CB47" s="11"/>
      <c r="CC47" s="11">
        <v>0.8</v>
      </c>
      <c r="CG47" s="11"/>
      <c r="CH47" s="11">
        <v>1</v>
      </c>
      <c r="CI47" s="11"/>
      <c r="CJ47" s="11">
        <v>1</v>
      </c>
      <c r="CN47" s="11"/>
      <c r="CO47" s="11">
        <v>1</v>
      </c>
      <c r="CP47" s="11"/>
      <c r="CQ47" s="11">
        <v>1</v>
      </c>
      <c r="CU47" s="11"/>
      <c r="CV47" s="11"/>
      <c r="CW47" s="11"/>
      <c r="CX47" s="11"/>
      <c r="DB47" s="11"/>
      <c r="DC47" s="11"/>
      <c r="DD47" s="11"/>
      <c r="DE47" s="11"/>
    </row>
    <row r="48" spans="2:109" ht="15.75" hidden="1" customHeight="1" outlineLevel="1">
      <c r="B48" t="s">
        <v>29</v>
      </c>
      <c r="C48" t="s">
        <v>52</v>
      </c>
      <c r="E48" s="10"/>
      <c r="F48" s="18" t="s">
        <v>84</v>
      </c>
      <c r="G48" s="11">
        <v>0.05</v>
      </c>
      <c r="I48" s="10">
        <f>+SUMIF($N$3:$ZT$3,I$3,$N48:$ZT48)</f>
        <v>0</v>
      </c>
      <c r="J48" s="12" t="e">
        <f t="shared" ca="1" si="8"/>
        <v>#NAME?</v>
      </c>
      <c r="K48" s="12"/>
      <c r="L48" s="10"/>
      <c r="O48" s="11"/>
      <c r="P48" s="11"/>
      <c r="Q48" s="11"/>
      <c r="R48" s="11"/>
      <c r="V48" s="11"/>
      <c r="W48" s="11"/>
      <c r="X48" s="11"/>
      <c r="Y48" s="11"/>
      <c r="AC48" s="11"/>
      <c r="AD48" s="11">
        <v>0.5</v>
      </c>
      <c r="AE48" s="11"/>
      <c r="AF48" s="11">
        <v>0.5</v>
      </c>
      <c r="AJ48" s="11"/>
      <c r="AK48" s="11">
        <v>0.5</v>
      </c>
      <c r="AL48" s="11"/>
      <c r="AM48" s="11">
        <v>0.5</v>
      </c>
      <c r="AQ48" s="11"/>
      <c r="AR48" s="11">
        <v>0.5</v>
      </c>
      <c r="AS48" s="11"/>
      <c r="AT48" s="11">
        <v>0.5</v>
      </c>
      <c r="AX48" s="11"/>
      <c r="AY48" s="11">
        <v>0.5</v>
      </c>
      <c r="AZ48" s="11"/>
      <c r="BA48" s="11">
        <v>0.5</v>
      </c>
      <c r="BE48" s="11"/>
      <c r="BF48" s="11">
        <v>0.8</v>
      </c>
      <c r="BG48" s="11"/>
      <c r="BH48" s="11">
        <v>0.8</v>
      </c>
      <c r="BL48" s="11"/>
      <c r="BM48" s="11">
        <v>0.8</v>
      </c>
      <c r="BN48" s="11"/>
      <c r="BO48" s="11">
        <v>0.8</v>
      </c>
      <c r="BS48" s="11"/>
      <c r="BT48" s="11">
        <v>0.8</v>
      </c>
      <c r="BU48" s="11"/>
      <c r="BV48" s="11">
        <v>0.8</v>
      </c>
      <c r="BZ48" s="11"/>
      <c r="CA48" s="11">
        <v>0.8</v>
      </c>
      <c r="CB48" s="11"/>
      <c r="CC48" s="11">
        <v>0.8</v>
      </c>
      <c r="CG48" s="11"/>
      <c r="CH48" s="11">
        <v>1</v>
      </c>
      <c r="CI48" s="11"/>
      <c r="CJ48" s="11">
        <v>1</v>
      </c>
      <c r="CN48" s="11"/>
      <c r="CO48" s="11">
        <v>1</v>
      </c>
      <c r="CP48" s="11"/>
      <c r="CQ48" s="11">
        <v>1</v>
      </c>
      <c r="CU48" s="11"/>
      <c r="CV48" s="11"/>
      <c r="CW48" s="11"/>
      <c r="CX48" s="11"/>
      <c r="DB48" s="11"/>
      <c r="DC48" s="11"/>
      <c r="DD48" s="11"/>
      <c r="DE48" s="11"/>
    </row>
    <row r="49" spans="2:109" ht="15.75" hidden="1" customHeight="1" outlineLevel="1">
      <c r="B49" t="s">
        <v>29</v>
      </c>
      <c r="C49" t="s">
        <v>52</v>
      </c>
      <c r="E49" s="10"/>
      <c r="F49" s="18" t="s">
        <v>85</v>
      </c>
      <c r="G49" s="11">
        <v>0.05</v>
      </c>
      <c r="I49" s="10"/>
      <c r="J49" s="12" t="e">
        <f t="shared" ca="1" si="8"/>
        <v>#NAME?</v>
      </c>
      <c r="K49" s="12"/>
      <c r="L49" s="10"/>
      <c r="O49" s="11"/>
      <c r="P49" s="11"/>
      <c r="Q49" s="11"/>
      <c r="R49" s="11"/>
      <c r="V49" s="11"/>
      <c r="W49" s="11"/>
      <c r="X49" s="11"/>
      <c r="Y49" s="11"/>
      <c r="AC49" s="11"/>
      <c r="AD49" s="11"/>
      <c r="AE49" s="11"/>
      <c r="AF49" s="11"/>
      <c r="AJ49" s="11"/>
      <c r="AK49" s="11">
        <v>0.5</v>
      </c>
      <c r="AL49" s="11"/>
      <c r="AM49" s="11">
        <v>0.5</v>
      </c>
      <c r="AQ49" s="11"/>
      <c r="AR49" s="11">
        <v>0.5</v>
      </c>
      <c r="AS49" s="11"/>
      <c r="AT49" s="11">
        <v>0.5</v>
      </c>
      <c r="AX49" s="11"/>
      <c r="AY49" s="11">
        <v>0.5</v>
      </c>
      <c r="AZ49" s="11"/>
      <c r="BA49" s="11">
        <v>0.5</v>
      </c>
      <c r="BE49" s="11"/>
      <c r="BF49" s="11">
        <v>0.8</v>
      </c>
      <c r="BG49" s="11"/>
      <c r="BH49" s="11">
        <v>0.8</v>
      </c>
      <c r="BL49" s="11"/>
      <c r="BM49" s="11">
        <v>0.8</v>
      </c>
      <c r="BN49" s="11"/>
      <c r="BO49" s="11">
        <v>0.8</v>
      </c>
      <c r="BS49" s="11"/>
      <c r="BT49" s="11">
        <v>0.8</v>
      </c>
      <c r="BU49" s="11"/>
      <c r="BV49" s="11">
        <v>0.8</v>
      </c>
      <c r="BZ49" s="11"/>
      <c r="CA49" s="11">
        <v>0.8</v>
      </c>
      <c r="CB49" s="11"/>
      <c r="CC49" s="11">
        <v>0.8</v>
      </c>
      <c r="CG49" s="11"/>
      <c r="CH49" s="11">
        <v>0.8</v>
      </c>
      <c r="CI49" s="11"/>
      <c r="CJ49" s="11">
        <v>0.8</v>
      </c>
      <c r="CN49" s="11"/>
      <c r="CO49" s="11">
        <v>1</v>
      </c>
      <c r="CP49" s="11"/>
      <c r="CQ49" s="11">
        <v>1</v>
      </c>
      <c r="CU49" s="11"/>
      <c r="CV49" s="11"/>
      <c r="CW49" s="11"/>
      <c r="CX49" s="11"/>
      <c r="DB49" s="11"/>
      <c r="DC49" s="11"/>
      <c r="DD49" s="11"/>
      <c r="DE49" s="11"/>
    </row>
    <row r="50" spans="2:109" ht="15.75" hidden="1" customHeight="1" outlineLevel="1">
      <c r="B50" t="s">
        <v>29</v>
      </c>
      <c r="C50" t="s">
        <v>52</v>
      </c>
      <c r="E50" s="10"/>
      <c r="F50" s="19" t="s">
        <v>86</v>
      </c>
      <c r="G50" s="11">
        <v>0.05</v>
      </c>
      <c r="I50" s="10"/>
      <c r="J50" s="12" t="e">
        <f t="shared" ca="1" si="8"/>
        <v>#NAME?</v>
      </c>
      <c r="K50" s="12"/>
      <c r="L50" s="10"/>
      <c r="O50" s="11"/>
      <c r="P50" s="11"/>
      <c r="Q50" s="11"/>
      <c r="R50" s="11"/>
      <c r="V50" s="11"/>
      <c r="W50" s="11"/>
      <c r="X50" s="11"/>
      <c r="Y50" s="11"/>
      <c r="AC50" s="11"/>
      <c r="AD50" s="11"/>
      <c r="AE50" s="11"/>
      <c r="AF50" s="11"/>
      <c r="AJ50" s="11"/>
      <c r="AK50" s="11">
        <v>0.5</v>
      </c>
      <c r="AL50" s="11"/>
      <c r="AM50" s="11">
        <v>0.5</v>
      </c>
      <c r="AQ50" s="11"/>
      <c r="AR50" s="11">
        <v>0.5</v>
      </c>
      <c r="AS50" s="11"/>
      <c r="AT50" s="11">
        <v>0.5</v>
      </c>
      <c r="AX50" s="11"/>
      <c r="AY50" s="11">
        <v>0.5</v>
      </c>
      <c r="AZ50" s="11"/>
      <c r="BA50" s="11">
        <v>0.5</v>
      </c>
      <c r="BE50" s="11"/>
      <c r="BF50" s="11">
        <v>0.5</v>
      </c>
      <c r="BG50" s="11"/>
      <c r="BH50" s="11">
        <v>0.5</v>
      </c>
      <c r="BL50" s="11"/>
      <c r="BM50" s="11">
        <v>0.8</v>
      </c>
      <c r="BN50" s="11"/>
      <c r="BO50" s="11">
        <v>0.8</v>
      </c>
      <c r="BS50" s="11"/>
      <c r="BT50" s="11">
        <v>0.8</v>
      </c>
      <c r="BU50" s="11"/>
      <c r="BV50" s="11">
        <v>0.8</v>
      </c>
      <c r="BZ50" s="11"/>
      <c r="CA50" s="11">
        <v>0.8</v>
      </c>
      <c r="CB50" s="11"/>
      <c r="CC50" s="11">
        <v>0.8</v>
      </c>
      <c r="CG50" s="11"/>
      <c r="CH50" s="11">
        <v>0.8</v>
      </c>
      <c r="CI50" s="11"/>
      <c r="CJ50" s="11">
        <v>0.8</v>
      </c>
      <c r="CN50" s="11"/>
      <c r="CO50" s="11">
        <v>1</v>
      </c>
      <c r="CP50" s="11"/>
      <c r="CQ50" s="11">
        <v>1</v>
      </c>
      <c r="CU50" s="11"/>
      <c r="CV50" s="11"/>
      <c r="CW50" s="11"/>
      <c r="CX50" s="11"/>
      <c r="DB50" s="11"/>
      <c r="DC50" s="11"/>
      <c r="DD50" s="11"/>
      <c r="DE50" s="11"/>
    </row>
    <row r="51" spans="2:109" ht="15.75" hidden="1" customHeight="1" outlineLevel="1">
      <c r="B51" t="s">
        <v>29</v>
      </c>
      <c r="C51" t="s">
        <v>52</v>
      </c>
      <c r="E51" s="10"/>
      <c r="F51" s="19" t="s">
        <v>87</v>
      </c>
      <c r="G51" s="11">
        <v>0.05</v>
      </c>
      <c r="I51" s="10"/>
      <c r="J51" s="12" t="e">
        <f t="shared" ca="1" si="8"/>
        <v>#NAME?</v>
      </c>
      <c r="K51" s="12"/>
      <c r="L51" s="10"/>
      <c r="O51" s="11"/>
      <c r="P51" s="11"/>
      <c r="Q51" s="11"/>
      <c r="R51" s="11"/>
      <c r="V51" s="11"/>
      <c r="W51" s="11"/>
      <c r="X51" s="11"/>
      <c r="Y51" s="11"/>
      <c r="AC51" s="11"/>
      <c r="AD51" s="11"/>
      <c r="AE51" s="11"/>
      <c r="AF51" s="11"/>
      <c r="AJ51" s="11"/>
      <c r="AK51" s="11"/>
      <c r="AL51" s="11"/>
      <c r="AM51" s="11"/>
      <c r="AQ51" s="11"/>
      <c r="AR51" s="11">
        <v>0.5</v>
      </c>
      <c r="AS51" s="11"/>
      <c r="AT51" s="11">
        <v>0.5</v>
      </c>
      <c r="AX51" s="11"/>
      <c r="AY51" s="11">
        <v>0.5</v>
      </c>
      <c r="AZ51" s="11"/>
      <c r="BA51" s="11">
        <v>0.5</v>
      </c>
      <c r="BE51" s="11"/>
      <c r="BF51" s="11">
        <v>0.5</v>
      </c>
      <c r="BG51" s="11"/>
      <c r="BH51" s="11">
        <v>0.5</v>
      </c>
      <c r="BL51" s="11"/>
      <c r="BM51" s="11">
        <v>0.8</v>
      </c>
      <c r="BN51" s="11"/>
      <c r="BO51" s="11">
        <v>0.8</v>
      </c>
      <c r="BS51" s="11"/>
      <c r="BT51" s="11">
        <v>0.8</v>
      </c>
      <c r="BU51" s="11"/>
      <c r="BV51" s="11">
        <v>0.8</v>
      </c>
      <c r="BZ51" s="11"/>
      <c r="CA51" s="11">
        <v>0.8</v>
      </c>
      <c r="CB51" s="11"/>
      <c r="CC51" s="11">
        <v>0.8</v>
      </c>
      <c r="CG51" s="11"/>
      <c r="CH51" s="11">
        <v>0.8</v>
      </c>
      <c r="CI51" s="11"/>
      <c r="CJ51" s="11">
        <v>0.8</v>
      </c>
      <c r="CN51" s="11"/>
      <c r="CO51" s="11">
        <v>1</v>
      </c>
      <c r="CP51" s="11"/>
      <c r="CQ51" s="11">
        <v>1</v>
      </c>
      <c r="CU51" s="11"/>
      <c r="CV51" s="11"/>
      <c r="CW51" s="11"/>
      <c r="CX51" s="11"/>
      <c r="DB51" s="11"/>
      <c r="DC51" s="11"/>
      <c r="DD51" s="11"/>
      <c r="DE51" s="11"/>
    </row>
    <row r="52" spans="2:109" ht="15.75" hidden="1" customHeight="1" outlineLevel="1">
      <c r="B52" t="s">
        <v>29</v>
      </c>
      <c r="C52" t="s">
        <v>52</v>
      </c>
      <c r="E52" s="10"/>
      <c r="F52" s="18" t="s">
        <v>88</v>
      </c>
      <c r="G52" s="11">
        <v>0.05</v>
      </c>
      <c r="I52" s="10">
        <f t="shared" ref="I52:I57" si="9">+SUMIF($N$3:$ZT$3,I$3,$N52:$ZT52)</f>
        <v>0</v>
      </c>
      <c r="J52" s="12" t="e">
        <f t="shared" ca="1" si="8"/>
        <v>#NAME?</v>
      </c>
      <c r="K52" s="12" t="e">
        <f t="shared" ref="K52:K57" ca="1" si="10">+_xlfn.MAXIFS($N52:$YZ52,$N$3:$YZ$3,K$3)</f>
        <v>#NAME?</v>
      </c>
      <c r="L52" s="10"/>
      <c r="O52" s="11"/>
      <c r="P52" s="11"/>
      <c r="Q52" s="11"/>
      <c r="R52" s="11"/>
      <c r="V52" s="11"/>
      <c r="W52" s="11"/>
      <c r="X52" s="11"/>
      <c r="Y52" s="11"/>
      <c r="AC52" s="11"/>
      <c r="AD52" s="11"/>
      <c r="AE52" s="11"/>
      <c r="AF52" s="11"/>
      <c r="AJ52" s="11"/>
      <c r="AK52" s="11"/>
      <c r="AL52" s="11"/>
      <c r="AM52" s="11"/>
      <c r="AQ52" s="11"/>
      <c r="AR52" s="11">
        <v>0.5</v>
      </c>
      <c r="AS52" s="11"/>
      <c r="AT52" s="11">
        <v>0.5</v>
      </c>
      <c r="AX52" s="11"/>
      <c r="AY52" s="11">
        <v>0.5</v>
      </c>
      <c r="AZ52" s="11"/>
      <c r="BA52" s="11">
        <v>0.5</v>
      </c>
      <c r="BE52" s="11"/>
      <c r="BF52" s="11">
        <v>0.5</v>
      </c>
      <c r="BG52" s="11"/>
      <c r="BH52" s="11">
        <v>0.5</v>
      </c>
      <c r="BL52" s="11"/>
      <c r="BM52" s="11">
        <v>0.8</v>
      </c>
      <c r="BN52" s="11"/>
      <c r="BO52" s="11">
        <v>0.8</v>
      </c>
      <c r="BS52" s="11"/>
      <c r="BT52" s="11">
        <v>0.8</v>
      </c>
      <c r="BU52" s="11"/>
      <c r="BV52" s="11">
        <v>0.8</v>
      </c>
      <c r="BZ52" s="11"/>
      <c r="CA52" s="11">
        <v>0.8</v>
      </c>
      <c r="CB52" s="11"/>
      <c r="CC52" s="11">
        <v>0.8</v>
      </c>
      <c r="CG52" s="11"/>
      <c r="CH52" s="11">
        <v>0.8</v>
      </c>
      <c r="CI52" s="11"/>
      <c r="CJ52" s="11">
        <v>0.8</v>
      </c>
      <c r="CN52" s="11"/>
      <c r="CO52" s="11">
        <v>1</v>
      </c>
      <c r="CP52" s="11"/>
      <c r="CQ52" s="11">
        <v>1</v>
      </c>
      <c r="CU52" s="11"/>
      <c r="CV52" s="11"/>
      <c r="CW52" s="11"/>
      <c r="CX52" s="11"/>
      <c r="DB52" s="11"/>
      <c r="DC52" s="11"/>
      <c r="DD52" s="11"/>
      <c r="DE52" s="11"/>
    </row>
    <row r="53" spans="2:109" ht="15.75" hidden="1" customHeight="1" outlineLevel="1">
      <c r="B53" t="s">
        <v>29</v>
      </c>
      <c r="C53" t="s">
        <v>52</v>
      </c>
      <c r="E53" s="10"/>
      <c r="F53" s="18" t="s">
        <v>89</v>
      </c>
      <c r="G53" s="11">
        <v>0.05</v>
      </c>
      <c r="I53" s="10">
        <f t="shared" si="9"/>
        <v>0</v>
      </c>
      <c r="J53" s="12" t="e">
        <f t="shared" ca="1" si="8"/>
        <v>#NAME?</v>
      </c>
      <c r="K53" s="12" t="e">
        <f t="shared" ca="1" si="10"/>
        <v>#NAME?</v>
      </c>
      <c r="L53" s="10"/>
      <c r="O53" s="11"/>
      <c r="P53" s="11"/>
      <c r="Q53" s="11"/>
      <c r="R53" s="11"/>
      <c r="V53" s="11"/>
      <c r="W53" s="11"/>
      <c r="X53" s="11"/>
      <c r="Y53" s="11"/>
      <c r="AC53" s="11"/>
      <c r="AD53" s="11"/>
      <c r="AE53" s="11"/>
      <c r="AF53" s="11"/>
      <c r="AJ53" s="11"/>
      <c r="AK53" s="11"/>
      <c r="AL53" s="11"/>
      <c r="AM53" s="11"/>
      <c r="AQ53" s="11"/>
      <c r="AR53" s="11"/>
      <c r="AS53" s="11"/>
      <c r="AT53" s="11"/>
      <c r="AX53" s="11"/>
      <c r="AY53" s="11">
        <v>0.5</v>
      </c>
      <c r="AZ53" s="11"/>
      <c r="BA53" s="11">
        <v>0.5</v>
      </c>
      <c r="BE53" s="11"/>
      <c r="BF53" s="11">
        <v>0.5</v>
      </c>
      <c r="BG53" s="11"/>
      <c r="BH53" s="11">
        <v>0.5</v>
      </c>
      <c r="BL53" s="11"/>
      <c r="BM53" s="11">
        <v>0.5</v>
      </c>
      <c r="BN53" s="11"/>
      <c r="BO53" s="11">
        <v>0.5</v>
      </c>
      <c r="BS53" s="11"/>
      <c r="BT53" s="11">
        <v>0.8</v>
      </c>
      <c r="BU53" s="11"/>
      <c r="BV53" s="11">
        <v>0.8</v>
      </c>
      <c r="BZ53" s="11"/>
      <c r="CA53" s="11">
        <v>0.8</v>
      </c>
      <c r="CB53" s="11"/>
      <c r="CC53" s="11">
        <v>0.8</v>
      </c>
      <c r="CG53" s="11"/>
      <c r="CH53" s="11">
        <v>0.8</v>
      </c>
      <c r="CI53" s="11"/>
      <c r="CJ53" s="11">
        <v>0.8</v>
      </c>
      <c r="CN53" s="11"/>
      <c r="CO53" s="11">
        <v>1</v>
      </c>
      <c r="CP53" s="11"/>
      <c r="CQ53" s="11">
        <v>1</v>
      </c>
      <c r="CU53" s="11"/>
      <c r="CV53" s="11"/>
      <c r="CW53" s="11"/>
      <c r="CX53" s="11"/>
      <c r="DB53" s="11"/>
      <c r="DC53" s="11"/>
      <c r="DD53" s="11"/>
      <c r="DE53" s="11"/>
    </row>
    <row r="54" spans="2:109" ht="15.75" hidden="1" customHeight="1" outlineLevel="1">
      <c r="B54" t="s">
        <v>29</v>
      </c>
      <c r="C54" t="s">
        <v>52</v>
      </c>
      <c r="E54" s="10"/>
      <c r="F54" s="18" t="s">
        <v>90</v>
      </c>
      <c r="G54" s="11">
        <v>0.05</v>
      </c>
      <c r="I54" s="10">
        <f t="shared" si="9"/>
        <v>0</v>
      </c>
      <c r="J54" s="12" t="e">
        <f t="shared" ca="1" si="8"/>
        <v>#NAME?</v>
      </c>
      <c r="K54" s="12" t="e">
        <f t="shared" ca="1" si="10"/>
        <v>#NAME?</v>
      </c>
      <c r="L54" s="10"/>
      <c r="O54" s="11"/>
      <c r="P54" s="11"/>
      <c r="Q54" s="11"/>
      <c r="R54" s="11"/>
      <c r="V54" s="11"/>
      <c r="W54" s="11"/>
      <c r="X54" s="11"/>
      <c r="Y54" s="11"/>
      <c r="AC54" s="11"/>
      <c r="AD54" s="11"/>
      <c r="AE54" s="11"/>
      <c r="AF54" s="11"/>
      <c r="AJ54" s="11"/>
      <c r="AK54" s="11"/>
      <c r="AL54" s="11"/>
      <c r="AM54" s="11"/>
      <c r="AQ54" s="11"/>
      <c r="AR54" s="11"/>
      <c r="AS54" s="11"/>
      <c r="AT54" s="11"/>
      <c r="AX54" s="11"/>
      <c r="AY54" s="11">
        <v>0.5</v>
      </c>
      <c r="AZ54" s="11"/>
      <c r="BA54" s="11">
        <v>0.5</v>
      </c>
      <c r="BE54" s="11"/>
      <c r="BF54" s="11">
        <v>0.5</v>
      </c>
      <c r="BG54" s="11"/>
      <c r="BH54" s="11">
        <v>0.5</v>
      </c>
      <c r="BL54" s="11"/>
      <c r="BM54" s="11">
        <v>0.5</v>
      </c>
      <c r="BN54" s="11"/>
      <c r="BO54" s="11">
        <v>0.5</v>
      </c>
      <c r="BS54" s="11"/>
      <c r="BT54" s="11">
        <v>0.8</v>
      </c>
      <c r="BU54" s="11"/>
      <c r="BV54" s="11">
        <v>0.8</v>
      </c>
      <c r="BZ54" s="11"/>
      <c r="CA54" s="11">
        <v>0.8</v>
      </c>
      <c r="CB54" s="11"/>
      <c r="CC54" s="11">
        <v>0.8</v>
      </c>
      <c r="CG54" s="11"/>
      <c r="CH54" s="11">
        <v>0.8</v>
      </c>
      <c r="CI54" s="11"/>
      <c r="CJ54" s="11">
        <v>0.8</v>
      </c>
      <c r="CN54" s="11"/>
      <c r="CO54" s="11">
        <v>1</v>
      </c>
      <c r="CP54" s="11"/>
      <c r="CQ54" s="11">
        <v>1</v>
      </c>
      <c r="CU54" s="11"/>
      <c r="CV54" s="11"/>
      <c r="CW54" s="11"/>
      <c r="CX54" s="11"/>
      <c r="DB54" s="11"/>
      <c r="DC54" s="11"/>
      <c r="DD54" s="11"/>
      <c r="DE54" s="11"/>
    </row>
    <row r="55" spans="2:109" ht="15.75" hidden="1" customHeight="1" outlineLevel="1">
      <c r="B55" t="s">
        <v>29</v>
      </c>
      <c r="C55" t="s">
        <v>52</v>
      </c>
      <c r="E55" s="10"/>
      <c r="F55" s="18" t="s">
        <v>91</v>
      </c>
      <c r="G55" s="11">
        <v>0.05</v>
      </c>
      <c r="I55" s="10">
        <f t="shared" si="9"/>
        <v>0</v>
      </c>
      <c r="J55" s="12" t="e">
        <f t="shared" ca="1" si="8"/>
        <v>#NAME?</v>
      </c>
      <c r="K55" s="12" t="e">
        <f t="shared" ca="1" si="10"/>
        <v>#NAME?</v>
      </c>
      <c r="L55" s="10"/>
      <c r="O55" s="11"/>
      <c r="P55" s="11"/>
      <c r="Q55" s="11"/>
      <c r="R55" s="11"/>
      <c r="V55" s="11"/>
      <c r="W55" s="11"/>
      <c r="X55" s="11"/>
      <c r="Y55" s="11"/>
      <c r="AC55" s="11"/>
      <c r="AD55" s="11"/>
      <c r="AE55" s="11"/>
      <c r="AF55" s="11"/>
      <c r="AJ55" s="11"/>
      <c r="AK55" s="11"/>
      <c r="AL55" s="11"/>
      <c r="AM55" s="11"/>
      <c r="AQ55" s="11"/>
      <c r="AR55" s="11"/>
      <c r="AS55" s="11"/>
      <c r="AT55" s="11"/>
      <c r="AX55" s="11"/>
      <c r="AY55" s="11"/>
      <c r="AZ55" s="11"/>
      <c r="BA55" s="11"/>
      <c r="BE55" s="11"/>
      <c r="BF55" s="11">
        <v>0.5</v>
      </c>
      <c r="BG55" s="11"/>
      <c r="BH55" s="11">
        <v>0.5</v>
      </c>
      <c r="BL55" s="11"/>
      <c r="BM55" s="11">
        <v>0.5</v>
      </c>
      <c r="BN55" s="11"/>
      <c r="BO55" s="11">
        <v>0.5</v>
      </c>
      <c r="BS55" s="11"/>
      <c r="BT55" s="11">
        <v>0.5</v>
      </c>
      <c r="BU55" s="11"/>
      <c r="BV55" s="11">
        <v>0.5</v>
      </c>
      <c r="BZ55" s="11"/>
      <c r="CA55" s="11">
        <v>0.8</v>
      </c>
      <c r="CB55" s="11"/>
      <c r="CC55" s="11">
        <v>0.8</v>
      </c>
      <c r="CG55" s="11"/>
      <c r="CH55" s="11">
        <v>0.8</v>
      </c>
      <c r="CI55" s="11"/>
      <c r="CJ55" s="11">
        <v>0.8</v>
      </c>
      <c r="CN55" s="11"/>
      <c r="CO55" s="11">
        <v>1</v>
      </c>
      <c r="CP55" s="11"/>
      <c r="CQ55" s="11">
        <v>1</v>
      </c>
      <c r="CU55" s="11"/>
      <c r="CV55" s="11"/>
      <c r="CW55" s="11"/>
      <c r="CX55" s="11"/>
      <c r="DB55" s="11"/>
      <c r="DC55" s="11"/>
      <c r="DD55" s="11"/>
      <c r="DE55" s="11"/>
    </row>
    <row r="56" spans="2:109" ht="15.75" hidden="1" customHeight="1" outlineLevel="1">
      <c r="B56" t="s">
        <v>29</v>
      </c>
      <c r="C56" t="s">
        <v>52</v>
      </c>
      <c r="E56" s="10"/>
      <c r="F56" s="18" t="s">
        <v>92</v>
      </c>
      <c r="G56" s="11">
        <v>0.05</v>
      </c>
      <c r="I56" s="10">
        <f t="shared" si="9"/>
        <v>0</v>
      </c>
      <c r="J56" s="12" t="e">
        <f t="shared" ca="1" si="8"/>
        <v>#NAME?</v>
      </c>
      <c r="K56" s="12" t="e">
        <f t="shared" ca="1" si="10"/>
        <v>#NAME?</v>
      </c>
      <c r="L56" s="10"/>
      <c r="O56" s="11"/>
      <c r="P56" s="11"/>
      <c r="Q56" s="11"/>
      <c r="R56" s="11"/>
      <c r="V56" s="11"/>
      <c r="W56" s="11"/>
      <c r="X56" s="11"/>
      <c r="Y56" s="11"/>
      <c r="AC56" s="11"/>
      <c r="AD56" s="11"/>
      <c r="AE56" s="11"/>
      <c r="AF56" s="11"/>
      <c r="AJ56" s="11"/>
      <c r="AK56" s="11"/>
      <c r="AL56" s="11"/>
      <c r="AM56" s="11"/>
      <c r="AQ56" s="11"/>
      <c r="AR56" s="11"/>
      <c r="AS56" s="11"/>
      <c r="AT56" s="11"/>
      <c r="AX56" s="11"/>
      <c r="AY56" s="11"/>
      <c r="AZ56" s="11"/>
      <c r="BA56" s="11"/>
      <c r="BE56" s="11"/>
      <c r="BF56" s="11">
        <v>0.5</v>
      </c>
      <c r="BG56" s="11"/>
      <c r="BH56" s="11">
        <v>0.5</v>
      </c>
      <c r="BL56" s="11"/>
      <c r="BM56" s="11">
        <v>0.5</v>
      </c>
      <c r="BN56" s="11"/>
      <c r="BO56" s="11">
        <v>0.5</v>
      </c>
      <c r="BS56" s="11"/>
      <c r="BT56" s="11">
        <v>0.5</v>
      </c>
      <c r="BU56" s="11"/>
      <c r="BV56" s="11">
        <v>0.5</v>
      </c>
      <c r="BZ56" s="11"/>
      <c r="CA56" s="11">
        <v>0.8</v>
      </c>
      <c r="CB56" s="11"/>
      <c r="CC56" s="11">
        <v>0.8</v>
      </c>
      <c r="CG56" s="11"/>
      <c r="CH56" s="11">
        <v>0.8</v>
      </c>
      <c r="CI56" s="11"/>
      <c r="CJ56" s="11">
        <v>0.8</v>
      </c>
      <c r="CN56" s="11"/>
      <c r="CO56" s="11">
        <v>1</v>
      </c>
      <c r="CP56" s="11"/>
      <c r="CQ56" s="11">
        <v>1</v>
      </c>
      <c r="CU56" s="11"/>
      <c r="CV56" s="11"/>
      <c r="CW56" s="11"/>
      <c r="CX56" s="11"/>
      <c r="DB56" s="11"/>
      <c r="DC56" s="11"/>
      <c r="DD56" s="11"/>
      <c r="DE56" s="11"/>
    </row>
    <row r="57" spans="2:109" ht="15.75" hidden="1" customHeight="1" outlineLevel="1">
      <c r="B57" t="s">
        <v>29</v>
      </c>
      <c r="C57" t="s">
        <v>52</v>
      </c>
      <c r="E57" s="10"/>
      <c r="F57" s="18" t="s">
        <v>93</v>
      </c>
      <c r="G57" s="11">
        <v>0.05</v>
      </c>
      <c r="I57" s="10">
        <f t="shared" si="9"/>
        <v>0</v>
      </c>
      <c r="J57" s="12" t="e">
        <f t="shared" ca="1" si="8"/>
        <v>#NAME?</v>
      </c>
      <c r="K57" s="12" t="e">
        <f t="shared" ca="1" si="10"/>
        <v>#NAME?</v>
      </c>
      <c r="L57" s="10"/>
      <c r="O57" s="11"/>
      <c r="P57" s="11"/>
      <c r="Q57" s="11"/>
      <c r="R57" s="11"/>
      <c r="V57" s="11"/>
      <c r="W57" s="11"/>
      <c r="X57" s="11"/>
      <c r="Y57" s="11"/>
      <c r="AC57" s="11"/>
      <c r="AD57" s="11"/>
      <c r="AE57" s="11"/>
      <c r="AF57" s="11"/>
      <c r="AJ57" s="11"/>
      <c r="AK57" s="11"/>
      <c r="AL57" s="11"/>
      <c r="AM57" s="11"/>
      <c r="AQ57" s="11"/>
      <c r="AR57" s="11"/>
      <c r="AS57" s="11"/>
      <c r="AT57" s="11"/>
      <c r="AX57" s="11"/>
      <c r="AY57" s="11"/>
      <c r="AZ57" s="11"/>
      <c r="BA57" s="11"/>
      <c r="BE57" s="11"/>
      <c r="BF57" s="11"/>
      <c r="BG57" s="11"/>
      <c r="BH57" s="11"/>
      <c r="BL57" s="11"/>
      <c r="BM57" s="11"/>
      <c r="BN57" s="11"/>
      <c r="BO57" s="11"/>
      <c r="BS57" s="11"/>
      <c r="BT57" s="11"/>
      <c r="BU57" s="11"/>
      <c r="BV57" s="11"/>
      <c r="BZ57" s="11"/>
      <c r="CA57" s="11"/>
      <c r="CB57" s="11"/>
      <c r="CC57" s="11"/>
      <c r="CG57" s="11"/>
      <c r="CH57" s="11"/>
      <c r="CI57" s="11"/>
      <c r="CJ57" s="11"/>
      <c r="CN57" s="11"/>
      <c r="CO57" s="11">
        <v>1</v>
      </c>
      <c r="CP57" s="11"/>
      <c r="CQ57" s="11">
        <v>1</v>
      </c>
      <c r="CU57" s="11"/>
      <c r="CV57" s="11"/>
      <c r="CW57" s="11"/>
      <c r="CX57" s="11"/>
      <c r="DB57" s="11"/>
      <c r="DC57" s="11"/>
      <c r="DD57" s="11"/>
      <c r="DE57" s="11"/>
    </row>
    <row r="58" spans="2:109" collapsed="1">
      <c r="J58" s="12" t="e">
        <f t="shared" ca="1" si="8"/>
        <v>#NAME?</v>
      </c>
    </row>
    <row r="59" spans="2:109">
      <c r="B59" t="s">
        <v>28</v>
      </c>
      <c r="C59" t="s">
        <v>40</v>
      </c>
      <c r="D59" s="20">
        <v>44636</v>
      </c>
      <c r="E59" s="10">
        <v>3</v>
      </c>
      <c r="F59" s="18"/>
      <c r="G59" s="11">
        <f>+SUM(G60:G70)</f>
        <v>1.0000000000000002</v>
      </c>
      <c r="I59" s="13">
        <f>+SUM(I60:I70)</f>
        <v>0</v>
      </c>
      <c r="J59" s="12" t="e">
        <f t="shared" ca="1" si="8"/>
        <v>#NAME?</v>
      </c>
      <c r="K59" s="12">
        <v>0</v>
      </c>
      <c r="L59" s="10"/>
      <c r="N59" s="13">
        <f>+SUM(N60:N70)</f>
        <v>0</v>
      </c>
      <c r="U59" s="13">
        <f>+SUM(U60:U70)</f>
        <v>0</v>
      </c>
      <c r="AB59" s="13">
        <f>+SUM(AB60:AB70)</f>
        <v>0</v>
      </c>
      <c r="AI59" s="13">
        <f>+SUM(AI60:AI70)</f>
        <v>0</v>
      </c>
      <c r="AP59" s="13">
        <f>+SUM(AP60:AP70)</f>
        <v>0</v>
      </c>
      <c r="AW59" s="13">
        <f>+SUM(AW60:AW70)</f>
        <v>0</v>
      </c>
      <c r="BD59" s="13">
        <f>+SUM(BD60:BD70)</f>
        <v>0</v>
      </c>
      <c r="BK59" s="13">
        <f>+SUM(BK60:BK70)</f>
        <v>0</v>
      </c>
      <c r="BR59" s="13">
        <f>+SUM(BR60:BR70)</f>
        <v>0</v>
      </c>
      <c r="BY59" s="13">
        <f>+SUM(BY60:BY70)</f>
        <v>0</v>
      </c>
      <c r="CF59" s="13">
        <f>+SUM(CF60:CF70)</f>
        <v>0</v>
      </c>
      <c r="CM59" s="13">
        <f>+SUM(CM60:CM70)</f>
        <v>0</v>
      </c>
      <c r="CT59" s="13">
        <f>+SUM(CT60:CT70)</f>
        <v>0</v>
      </c>
      <c r="DA59" s="13">
        <f>+SUM(DA60:DA70)</f>
        <v>0</v>
      </c>
    </row>
    <row r="60" spans="2:109" ht="15.75" hidden="1" customHeight="1" outlineLevel="1">
      <c r="B60" t="s">
        <v>29</v>
      </c>
      <c r="C60" t="s">
        <v>40</v>
      </c>
      <c r="E60" s="10"/>
      <c r="F60" t="s">
        <v>73</v>
      </c>
      <c r="G60" s="11">
        <v>0.02</v>
      </c>
      <c r="I60" s="10"/>
      <c r="J60" s="12" t="e">
        <f t="shared" ca="1" si="8"/>
        <v>#NAME?</v>
      </c>
      <c r="K60" s="12" t="e">
        <f t="shared" ref="K60:K70" ca="1" si="11">+_xlfn.MAXIFS($N60:$YZ60,$N$3:$YZ$3,K$3)</f>
        <v>#NAME?</v>
      </c>
      <c r="L60" s="10"/>
      <c r="O60" s="11">
        <v>0.5</v>
      </c>
      <c r="P60" s="11">
        <v>0.5</v>
      </c>
      <c r="Q60" s="11">
        <v>0.5</v>
      </c>
      <c r="R60" s="11">
        <v>0.5</v>
      </c>
      <c r="V60" s="11"/>
      <c r="W60" s="11">
        <v>0.5</v>
      </c>
      <c r="X60" s="11"/>
      <c r="Y60" s="11">
        <v>0.5</v>
      </c>
      <c r="AC60" s="11"/>
      <c r="AD60" s="11">
        <v>0.8</v>
      </c>
      <c r="AE60" s="11"/>
      <c r="AF60" s="11">
        <v>0.8</v>
      </c>
      <c r="AJ60" s="11"/>
      <c r="AK60" s="11">
        <v>0.8</v>
      </c>
      <c r="AL60" s="11"/>
      <c r="AM60" s="11">
        <v>0.8</v>
      </c>
      <c r="AQ60" s="11"/>
      <c r="AR60" s="11">
        <v>0.8</v>
      </c>
      <c r="AS60" s="11"/>
      <c r="AT60" s="11">
        <v>0.8</v>
      </c>
      <c r="AX60" s="11"/>
      <c r="AY60" s="11">
        <v>0.8</v>
      </c>
      <c r="AZ60" s="11"/>
      <c r="BA60" s="11">
        <v>0.8</v>
      </c>
      <c r="BE60" s="11"/>
      <c r="BF60" s="11">
        <v>0.8</v>
      </c>
      <c r="BG60" s="11"/>
      <c r="BH60" s="11">
        <v>0.8</v>
      </c>
      <c r="BL60" s="11"/>
      <c r="BM60" s="11">
        <v>0.8</v>
      </c>
      <c r="BN60" s="11"/>
      <c r="BO60" s="11">
        <v>0.8</v>
      </c>
      <c r="BS60" s="11"/>
      <c r="BT60" s="11">
        <v>1</v>
      </c>
      <c r="BU60" s="11"/>
      <c r="BV60" s="11">
        <v>1</v>
      </c>
      <c r="BZ60" s="11"/>
      <c r="CA60" s="11">
        <v>1</v>
      </c>
      <c r="CB60" s="11"/>
      <c r="CC60" s="11">
        <v>1</v>
      </c>
      <c r="CG60" s="11"/>
      <c r="CH60" s="11">
        <v>1</v>
      </c>
      <c r="CI60" s="11"/>
      <c r="CJ60" s="11">
        <v>1</v>
      </c>
      <c r="CN60" s="11"/>
      <c r="CO60" s="11">
        <v>1</v>
      </c>
      <c r="CP60" s="11"/>
      <c r="CQ60" s="11">
        <v>1</v>
      </c>
      <c r="CU60" s="11"/>
      <c r="CV60" s="11">
        <v>1</v>
      </c>
      <c r="CW60" s="11"/>
      <c r="CX60" s="11">
        <v>1</v>
      </c>
      <c r="DB60" s="11"/>
      <c r="DC60" s="11">
        <v>1</v>
      </c>
      <c r="DD60" s="11"/>
      <c r="DE60" s="11">
        <v>1</v>
      </c>
    </row>
    <row r="61" spans="2:109" ht="15.75" hidden="1" customHeight="1" outlineLevel="1">
      <c r="B61" t="s">
        <v>29</v>
      </c>
      <c r="C61" t="s">
        <v>40</v>
      </c>
      <c r="E61" s="10"/>
      <c r="F61" t="s">
        <v>72</v>
      </c>
      <c r="G61" s="11">
        <v>0.05</v>
      </c>
      <c r="I61" s="10"/>
      <c r="J61" s="12" t="e">
        <f t="shared" ca="1" si="8"/>
        <v>#NAME?</v>
      </c>
      <c r="K61" s="12" t="e">
        <f t="shared" ca="1" si="11"/>
        <v>#NAME?</v>
      </c>
      <c r="L61" s="10"/>
      <c r="O61" s="11">
        <v>0.5</v>
      </c>
      <c r="P61" s="11">
        <v>0.5</v>
      </c>
      <c r="Q61" s="11">
        <v>0.5</v>
      </c>
      <c r="R61" s="11">
        <v>0.5</v>
      </c>
      <c r="V61" s="11"/>
      <c r="W61" s="11">
        <v>0.5</v>
      </c>
      <c r="X61" s="11"/>
      <c r="Y61" s="11">
        <v>0.5</v>
      </c>
      <c r="AC61" s="11"/>
      <c r="AD61" s="11">
        <v>0.5</v>
      </c>
      <c r="AE61" s="11"/>
      <c r="AF61" s="11">
        <v>0.5</v>
      </c>
      <c r="AJ61" s="11"/>
      <c r="AK61" s="11">
        <v>0.8</v>
      </c>
      <c r="AL61" s="11"/>
      <c r="AM61" s="11">
        <v>0.8</v>
      </c>
      <c r="AQ61" s="11"/>
      <c r="AR61" s="11">
        <v>0.8</v>
      </c>
      <c r="AS61" s="11"/>
      <c r="AT61" s="11">
        <v>0.8</v>
      </c>
      <c r="AX61" s="11"/>
      <c r="AY61" s="11">
        <v>0.8</v>
      </c>
      <c r="AZ61" s="11"/>
      <c r="BA61" s="11">
        <v>0.8</v>
      </c>
      <c r="BE61" s="11"/>
      <c r="BF61" s="11">
        <v>0.8</v>
      </c>
      <c r="BG61" s="11"/>
      <c r="BH61" s="11">
        <v>0.8</v>
      </c>
      <c r="BL61" s="11"/>
      <c r="BM61" s="11">
        <v>0.8</v>
      </c>
      <c r="BN61" s="11"/>
      <c r="BO61" s="11">
        <v>0.8</v>
      </c>
      <c r="BS61" s="11"/>
      <c r="BT61" s="11">
        <v>0.8</v>
      </c>
      <c r="BU61" s="11"/>
      <c r="BV61" s="11">
        <v>0.8</v>
      </c>
      <c r="BZ61" s="11"/>
      <c r="CA61" s="11">
        <v>1</v>
      </c>
      <c r="CB61" s="11"/>
      <c r="CC61" s="11">
        <v>1</v>
      </c>
      <c r="CG61" s="11"/>
      <c r="CH61" s="11">
        <v>1</v>
      </c>
      <c r="CI61" s="11"/>
      <c r="CJ61" s="11">
        <v>1</v>
      </c>
      <c r="CN61" s="11"/>
      <c r="CO61" s="11">
        <v>1</v>
      </c>
      <c r="CP61" s="11"/>
      <c r="CQ61" s="11">
        <v>1</v>
      </c>
      <c r="CU61" s="11"/>
      <c r="CV61" s="11">
        <v>1</v>
      </c>
      <c r="CW61" s="11"/>
      <c r="CX61" s="11">
        <v>1</v>
      </c>
      <c r="DB61" s="11"/>
      <c r="DC61" s="11">
        <v>1</v>
      </c>
      <c r="DD61" s="11"/>
      <c r="DE61" s="11">
        <v>1</v>
      </c>
    </row>
    <row r="62" spans="2:109" ht="15.75" hidden="1" customHeight="1" outlineLevel="1">
      <c r="B62" t="s">
        <v>29</v>
      </c>
      <c r="C62" t="s">
        <v>40</v>
      </c>
      <c r="E62" s="10"/>
      <c r="F62" t="s">
        <v>71</v>
      </c>
      <c r="G62" s="11">
        <v>7.0000000000000007E-2</v>
      </c>
      <c r="I62" s="10"/>
      <c r="J62" s="12" t="e">
        <f t="shared" ca="1" si="8"/>
        <v>#NAME?</v>
      </c>
      <c r="K62" s="12" t="e">
        <f t="shared" ca="1" si="11"/>
        <v>#NAME?</v>
      </c>
      <c r="L62" s="10"/>
      <c r="O62" s="11"/>
      <c r="P62" s="11"/>
      <c r="Q62" s="11"/>
      <c r="R62" s="11"/>
      <c r="V62" s="11"/>
      <c r="W62" s="11">
        <v>0.5</v>
      </c>
      <c r="X62" s="11"/>
      <c r="Y62" s="11">
        <v>0.5</v>
      </c>
      <c r="AC62" s="11"/>
      <c r="AD62" s="11">
        <v>0.5</v>
      </c>
      <c r="AE62" s="11"/>
      <c r="AF62" s="11">
        <v>0.5</v>
      </c>
      <c r="AJ62" s="11"/>
      <c r="AK62" s="11">
        <v>0.5</v>
      </c>
      <c r="AL62" s="11"/>
      <c r="AM62" s="11">
        <v>0.5</v>
      </c>
      <c r="AQ62" s="11"/>
      <c r="AR62" s="11">
        <v>0.8</v>
      </c>
      <c r="AS62" s="11"/>
      <c r="AT62" s="11">
        <v>0.8</v>
      </c>
      <c r="AX62" s="11"/>
      <c r="AY62" s="11">
        <v>0.8</v>
      </c>
      <c r="AZ62" s="11"/>
      <c r="BA62" s="11">
        <v>0.8</v>
      </c>
      <c r="BE62" s="11"/>
      <c r="BF62" s="11">
        <v>0.8</v>
      </c>
      <c r="BG62" s="11"/>
      <c r="BH62" s="11">
        <v>0.8</v>
      </c>
      <c r="BL62" s="11"/>
      <c r="BM62" s="11">
        <v>0.8</v>
      </c>
      <c r="BN62" s="11"/>
      <c r="BO62" s="11">
        <v>0.8</v>
      </c>
      <c r="BS62" s="11"/>
      <c r="BT62" s="11">
        <v>0.8</v>
      </c>
      <c r="BU62" s="11"/>
      <c r="BV62" s="11">
        <v>0.8</v>
      </c>
      <c r="BZ62" s="11"/>
      <c r="CA62" s="11">
        <v>0.8</v>
      </c>
      <c r="CB62" s="11"/>
      <c r="CC62" s="11">
        <v>0.8</v>
      </c>
      <c r="CG62" s="11"/>
      <c r="CH62" s="11">
        <v>1</v>
      </c>
      <c r="CI62" s="11"/>
      <c r="CJ62" s="11">
        <v>1</v>
      </c>
      <c r="CN62" s="11"/>
      <c r="CO62" s="11">
        <v>1</v>
      </c>
      <c r="CP62" s="11"/>
      <c r="CQ62" s="11">
        <v>1</v>
      </c>
      <c r="CU62" s="11"/>
      <c r="CV62" s="11">
        <v>1</v>
      </c>
      <c r="CW62" s="11"/>
      <c r="CX62" s="11">
        <v>1</v>
      </c>
      <c r="DB62" s="11"/>
      <c r="DC62" s="11">
        <v>1</v>
      </c>
      <c r="DD62" s="11"/>
      <c r="DE62" s="11">
        <v>1</v>
      </c>
    </row>
    <row r="63" spans="2:109" ht="15.75" hidden="1" customHeight="1" outlineLevel="1">
      <c r="B63" t="s">
        <v>29</v>
      </c>
      <c r="C63" t="s">
        <v>40</v>
      </c>
      <c r="E63" s="10"/>
      <c r="F63" t="s">
        <v>70</v>
      </c>
      <c r="G63" s="11">
        <v>7.0000000000000007E-2</v>
      </c>
      <c r="I63" s="10"/>
      <c r="J63" s="12" t="e">
        <f t="shared" ca="1" si="8"/>
        <v>#NAME?</v>
      </c>
      <c r="K63" s="12" t="e">
        <f t="shared" ca="1" si="11"/>
        <v>#NAME?</v>
      </c>
      <c r="L63" s="10"/>
      <c r="O63" s="11"/>
      <c r="P63" s="11"/>
      <c r="Q63" s="11"/>
      <c r="R63" s="11"/>
      <c r="V63" s="11"/>
      <c r="W63" s="11">
        <v>0.5</v>
      </c>
      <c r="X63" s="11"/>
      <c r="Y63" s="11">
        <v>0.5</v>
      </c>
      <c r="AC63" s="11"/>
      <c r="AD63" s="11">
        <v>0.5</v>
      </c>
      <c r="AE63" s="11"/>
      <c r="AF63" s="11">
        <v>0.5</v>
      </c>
      <c r="AJ63" s="11"/>
      <c r="AK63" s="11">
        <v>0.5</v>
      </c>
      <c r="AL63" s="11"/>
      <c r="AM63" s="11">
        <v>0.5</v>
      </c>
      <c r="AQ63" s="11"/>
      <c r="AR63" s="11">
        <v>0.5</v>
      </c>
      <c r="AS63" s="11"/>
      <c r="AT63" s="11">
        <v>0.5</v>
      </c>
      <c r="AX63" s="11"/>
      <c r="AY63" s="11">
        <v>0.8</v>
      </c>
      <c r="AZ63" s="11"/>
      <c r="BA63" s="11">
        <v>0.8</v>
      </c>
      <c r="BE63" s="11"/>
      <c r="BF63" s="11">
        <v>0.8</v>
      </c>
      <c r="BG63" s="11"/>
      <c r="BH63" s="11">
        <v>0.8</v>
      </c>
      <c r="BL63" s="11"/>
      <c r="BM63" s="11">
        <v>0.8</v>
      </c>
      <c r="BN63" s="11"/>
      <c r="BO63" s="11">
        <v>0.8</v>
      </c>
      <c r="BS63" s="11"/>
      <c r="BT63" s="11">
        <v>0.8</v>
      </c>
      <c r="BU63" s="11"/>
      <c r="BV63" s="11">
        <v>0.8</v>
      </c>
      <c r="BZ63" s="11"/>
      <c r="CA63" s="11">
        <v>0.8</v>
      </c>
      <c r="CB63" s="11"/>
      <c r="CC63" s="11">
        <v>0.8</v>
      </c>
      <c r="CG63" s="11"/>
      <c r="CH63" s="11">
        <v>0.8</v>
      </c>
      <c r="CI63" s="11"/>
      <c r="CJ63" s="11">
        <v>0.8</v>
      </c>
      <c r="CN63" s="11"/>
      <c r="CO63" s="11">
        <v>1</v>
      </c>
      <c r="CP63" s="11"/>
      <c r="CQ63" s="11">
        <v>1</v>
      </c>
      <c r="CU63" s="11"/>
      <c r="CV63" s="11">
        <v>1</v>
      </c>
      <c r="CW63" s="11"/>
      <c r="CX63" s="11">
        <v>1</v>
      </c>
      <c r="DB63" s="11"/>
      <c r="DC63" s="11">
        <v>1</v>
      </c>
      <c r="DD63" s="11"/>
      <c r="DE63" s="11">
        <v>1</v>
      </c>
    </row>
    <row r="64" spans="2:109" ht="15.75" hidden="1" customHeight="1" outlineLevel="1">
      <c r="B64" t="s">
        <v>29</v>
      </c>
      <c r="C64" t="s">
        <v>40</v>
      </c>
      <c r="E64" s="10"/>
      <c r="F64" t="s">
        <v>69</v>
      </c>
      <c r="G64" s="11">
        <v>0.1</v>
      </c>
      <c r="I64" s="10"/>
      <c r="J64" s="12" t="e">
        <f t="shared" ca="1" si="8"/>
        <v>#NAME?</v>
      </c>
      <c r="K64" s="12" t="e">
        <f t="shared" ca="1" si="11"/>
        <v>#NAME?</v>
      </c>
      <c r="L64" s="10"/>
      <c r="O64" s="11"/>
      <c r="P64" s="11"/>
      <c r="Q64" s="11"/>
      <c r="R64" s="11"/>
      <c r="V64" s="11"/>
      <c r="W64" s="11"/>
      <c r="X64" s="11"/>
      <c r="Y64" s="11"/>
      <c r="AC64" s="11"/>
      <c r="AD64" s="11">
        <v>0.5</v>
      </c>
      <c r="AE64" s="11"/>
      <c r="AF64" s="11">
        <v>0.5</v>
      </c>
      <c r="AJ64" s="11"/>
      <c r="AK64" s="11">
        <v>0.5</v>
      </c>
      <c r="AL64" s="11"/>
      <c r="AM64" s="11">
        <v>0.5</v>
      </c>
      <c r="AQ64" s="11"/>
      <c r="AR64" s="11">
        <v>0.5</v>
      </c>
      <c r="AS64" s="11"/>
      <c r="AT64" s="11">
        <v>0.5</v>
      </c>
      <c r="AX64" s="11"/>
      <c r="AY64" s="11">
        <v>0.8</v>
      </c>
      <c r="AZ64" s="11"/>
      <c r="BA64" s="11">
        <v>0.8</v>
      </c>
      <c r="BE64" s="11"/>
      <c r="BF64" s="11">
        <v>0.8</v>
      </c>
      <c r="BG64" s="11"/>
      <c r="BH64" s="11">
        <v>0.8</v>
      </c>
      <c r="BL64" s="11"/>
      <c r="BM64" s="11">
        <v>0.8</v>
      </c>
      <c r="BN64" s="11"/>
      <c r="BO64" s="11">
        <v>0.8</v>
      </c>
      <c r="BS64" s="11"/>
      <c r="BT64" s="11">
        <v>0.8</v>
      </c>
      <c r="BU64" s="11"/>
      <c r="BV64" s="11">
        <v>0.8</v>
      </c>
      <c r="BZ64" s="11"/>
      <c r="CA64" s="11">
        <v>0.8</v>
      </c>
      <c r="CB64" s="11"/>
      <c r="CC64" s="11">
        <v>0.8</v>
      </c>
      <c r="CG64" s="11"/>
      <c r="CH64" s="11">
        <v>0.8</v>
      </c>
      <c r="CI64" s="11"/>
      <c r="CJ64" s="11">
        <v>0.8</v>
      </c>
      <c r="CN64" s="11"/>
      <c r="CO64" s="11">
        <v>1</v>
      </c>
      <c r="CP64" s="11"/>
      <c r="CQ64" s="11">
        <v>1</v>
      </c>
      <c r="CU64" s="11"/>
      <c r="CV64" s="11">
        <v>1</v>
      </c>
      <c r="CW64" s="11"/>
      <c r="CX64" s="11">
        <v>1</v>
      </c>
      <c r="DB64" s="11"/>
      <c r="DC64" s="11">
        <v>1</v>
      </c>
      <c r="DD64" s="11"/>
      <c r="DE64" s="11">
        <v>1</v>
      </c>
    </row>
    <row r="65" spans="2:109" ht="15.75" hidden="1" customHeight="1" outlineLevel="1">
      <c r="B65" t="s">
        <v>29</v>
      </c>
      <c r="C65" t="s">
        <v>40</v>
      </c>
      <c r="E65" s="10"/>
      <c r="F65" t="s">
        <v>68</v>
      </c>
      <c r="G65" s="11">
        <v>7.0000000000000007E-2</v>
      </c>
      <c r="I65" s="10"/>
      <c r="J65" s="12" t="e">
        <f t="shared" ca="1" si="8"/>
        <v>#NAME?</v>
      </c>
      <c r="K65" s="12" t="e">
        <f t="shared" ca="1" si="11"/>
        <v>#NAME?</v>
      </c>
      <c r="L65" s="10"/>
      <c r="O65" s="11"/>
      <c r="P65" s="11"/>
      <c r="Q65" s="11"/>
      <c r="R65" s="11"/>
      <c r="V65" s="11"/>
      <c r="W65" s="11"/>
      <c r="X65" s="11"/>
      <c r="Y65" s="11"/>
      <c r="AC65" s="11"/>
      <c r="AD65" s="11">
        <v>0.5</v>
      </c>
      <c r="AE65" s="11"/>
      <c r="AF65" s="11">
        <v>0.5</v>
      </c>
      <c r="AJ65" s="11"/>
      <c r="AK65" s="11">
        <v>0.5</v>
      </c>
      <c r="AL65" s="11"/>
      <c r="AM65" s="11">
        <v>0.5</v>
      </c>
      <c r="AQ65" s="11"/>
      <c r="AR65" s="11">
        <v>0.5</v>
      </c>
      <c r="AS65" s="11"/>
      <c r="AT65" s="11">
        <v>0.5</v>
      </c>
      <c r="AX65" s="11"/>
      <c r="AY65" s="11">
        <v>0.5</v>
      </c>
      <c r="AZ65" s="11"/>
      <c r="BA65" s="11">
        <v>0.5</v>
      </c>
      <c r="BE65" s="11"/>
      <c r="BF65" s="11">
        <v>0.8</v>
      </c>
      <c r="BG65" s="11"/>
      <c r="BH65" s="11">
        <v>0.8</v>
      </c>
      <c r="BL65" s="11"/>
      <c r="BM65" s="11">
        <v>0.8</v>
      </c>
      <c r="BN65" s="11"/>
      <c r="BO65" s="11">
        <v>0.8</v>
      </c>
      <c r="BS65" s="11"/>
      <c r="BT65" s="11">
        <v>0.8</v>
      </c>
      <c r="BU65" s="11"/>
      <c r="BV65" s="11">
        <v>0.8</v>
      </c>
      <c r="BZ65" s="11"/>
      <c r="CA65" s="11">
        <v>0.8</v>
      </c>
      <c r="CB65" s="11"/>
      <c r="CC65" s="11">
        <v>0.8</v>
      </c>
      <c r="CG65" s="11"/>
      <c r="CH65" s="11">
        <v>0.8</v>
      </c>
      <c r="CI65" s="11"/>
      <c r="CJ65" s="11">
        <v>0.8</v>
      </c>
      <c r="CN65" s="11"/>
      <c r="CO65" s="11">
        <v>1</v>
      </c>
      <c r="CP65" s="11"/>
      <c r="CQ65" s="11">
        <v>1</v>
      </c>
      <c r="CU65" s="11"/>
      <c r="CV65" s="11">
        <v>1</v>
      </c>
      <c r="CW65" s="11"/>
      <c r="CX65" s="11">
        <v>1</v>
      </c>
      <c r="DB65" s="11"/>
      <c r="DC65" s="11">
        <v>1</v>
      </c>
      <c r="DD65" s="11"/>
      <c r="DE65" s="11">
        <v>1</v>
      </c>
    </row>
    <row r="66" spans="2:109" ht="15.75" hidden="1" customHeight="1" outlineLevel="1">
      <c r="B66" t="s">
        <v>29</v>
      </c>
      <c r="C66" t="s">
        <v>40</v>
      </c>
      <c r="E66" s="10"/>
      <c r="F66" t="s">
        <v>67</v>
      </c>
      <c r="G66" s="11">
        <v>0.1</v>
      </c>
      <c r="I66" s="10"/>
      <c r="J66" s="12" t="e">
        <f t="shared" ca="1" si="8"/>
        <v>#NAME?</v>
      </c>
      <c r="K66" s="12" t="e">
        <f t="shared" ca="1" si="11"/>
        <v>#NAME?</v>
      </c>
      <c r="L66" s="10"/>
      <c r="O66" s="11"/>
      <c r="P66" s="11"/>
      <c r="Q66" s="11"/>
      <c r="R66" s="11"/>
      <c r="V66" s="11"/>
      <c r="W66" s="11"/>
      <c r="X66" s="11"/>
      <c r="Y66" s="11"/>
      <c r="AC66" s="11"/>
      <c r="AD66" s="11"/>
      <c r="AE66" s="11"/>
      <c r="AF66" s="11"/>
      <c r="AJ66" s="11"/>
      <c r="AK66" s="11">
        <v>0.5</v>
      </c>
      <c r="AL66" s="11"/>
      <c r="AM66" s="11">
        <v>0.5</v>
      </c>
      <c r="AQ66" s="11"/>
      <c r="AR66" s="11">
        <v>0.5</v>
      </c>
      <c r="AS66" s="11"/>
      <c r="AT66" s="11">
        <v>0.5</v>
      </c>
      <c r="AX66" s="11"/>
      <c r="AY66" s="11">
        <v>0.5</v>
      </c>
      <c r="AZ66" s="11"/>
      <c r="BA66" s="11">
        <v>0.5</v>
      </c>
      <c r="BE66" s="11"/>
      <c r="BF66" s="11">
        <v>0.5</v>
      </c>
      <c r="BG66" s="11"/>
      <c r="BH66" s="11">
        <v>0.5</v>
      </c>
      <c r="BL66" s="11"/>
      <c r="BM66" s="11">
        <v>0.8</v>
      </c>
      <c r="BN66" s="11"/>
      <c r="BO66" s="11">
        <v>0.8</v>
      </c>
      <c r="BS66" s="11"/>
      <c r="BT66" s="11">
        <v>0.8</v>
      </c>
      <c r="BU66" s="11"/>
      <c r="BV66" s="11">
        <v>0.8</v>
      </c>
      <c r="BZ66" s="11"/>
      <c r="CA66" s="11">
        <v>0.8</v>
      </c>
      <c r="CB66" s="11"/>
      <c r="CC66" s="11">
        <v>0.8</v>
      </c>
      <c r="CG66" s="11"/>
      <c r="CH66" s="11">
        <v>0.8</v>
      </c>
      <c r="CI66" s="11"/>
      <c r="CJ66" s="11">
        <v>0.8</v>
      </c>
      <c r="CN66" s="11"/>
      <c r="CO66" s="11">
        <v>0.8</v>
      </c>
      <c r="CP66" s="11"/>
      <c r="CQ66" s="11">
        <v>0.8</v>
      </c>
      <c r="CU66" s="11"/>
      <c r="CV66" s="11">
        <v>1</v>
      </c>
      <c r="CW66" s="11"/>
      <c r="CX66" s="11">
        <v>1</v>
      </c>
      <c r="DB66" s="11"/>
      <c r="DC66" s="11">
        <v>1</v>
      </c>
      <c r="DD66" s="11"/>
      <c r="DE66" s="11">
        <v>1</v>
      </c>
    </row>
    <row r="67" spans="2:109" ht="15.75" hidden="1" customHeight="1" outlineLevel="1">
      <c r="B67" t="s">
        <v>29</v>
      </c>
      <c r="C67" t="s">
        <v>40</v>
      </c>
      <c r="E67" s="10"/>
      <c r="F67" t="s">
        <v>66</v>
      </c>
      <c r="G67" s="11">
        <v>0.15</v>
      </c>
      <c r="I67" s="10"/>
      <c r="J67" s="12" t="e">
        <f t="shared" ca="1" si="8"/>
        <v>#NAME?</v>
      </c>
      <c r="K67" s="12" t="e">
        <f t="shared" ca="1" si="11"/>
        <v>#NAME?</v>
      </c>
      <c r="L67" s="10"/>
      <c r="O67" s="11"/>
      <c r="P67" s="11"/>
      <c r="Q67" s="11"/>
      <c r="R67" s="11"/>
      <c r="V67" s="11"/>
      <c r="W67" s="11"/>
      <c r="X67" s="11"/>
      <c r="Y67" s="11"/>
      <c r="AC67" s="11"/>
      <c r="AD67" s="11"/>
      <c r="AE67" s="11"/>
      <c r="AF67" s="11"/>
      <c r="AJ67" s="11"/>
      <c r="AK67" s="11"/>
      <c r="AL67" s="11"/>
      <c r="AM67" s="11"/>
      <c r="AQ67" s="11"/>
      <c r="AR67" s="11">
        <v>0.5</v>
      </c>
      <c r="AS67" s="11"/>
      <c r="AT67" s="11">
        <v>0.5</v>
      </c>
      <c r="AX67" s="11"/>
      <c r="AY67" s="11">
        <v>0.5</v>
      </c>
      <c r="AZ67" s="11"/>
      <c r="BA67" s="11">
        <v>0.5</v>
      </c>
      <c r="BE67" s="11"/>
      <c r="BF67" s="11">
        <v>0.5</v>
      </c>
      <c r="BG67" s="11"/>
      <c r="BH67" s="11">
        <v>0.5</v>
      </c>
      <c r="BL67" s="11"/>
      <c r="BM67" s="11">
        <v>0.8</v>
      </c>
      <c r="BN67" s="11"/>
      <c r="BO67" s="11">
        <v>0.8</v>
      </c>
      <c r="BS67" s="11"/>
      <c r="BT67" s="11">
        <v>0.8</v>
      </c>
      <c r="BU67" s="11"/>
      <c r="BV67" s="11">
        <v>0.8</v>
      </c>
      <c r="BZ67" s="11"/>
      <c r="CA67" s="11">
        <v>0.8</v>
      </c>
      <c r="CB67" s="11"/>
      <c r="CC67" s="11">
        <v>0.8</v>
      </c>
      <c r="CG67" s="11"/>
      <c r="CH67" s="11">
        <v>0.8</v>
      </c>
      <c r="CI67" s="11"/>
      <c r="CJ67" s="11">
        <v>0.8</v>
      </c>
      <c r="CN67" s="11"/>
      <c r="CO67" s="11">
        <v>0.8</v>
      </c>
      <c r="CP67" s="11"/>
      <c r="CQ67" s="11">
        <v>0.8</v>
      </c>
      <c r="CU67" s="11"/>
      <c r="CV67" s="11">
        <v>1</v>
      </c>
      <c r="CW67" s="11"/>
      <c r="CX67" s="11">
        <v>1</v>
      </c>
      <c r="DB67" s="11"/>
      <c r="DC67" s="11">
        <v>1</v>
      </c>
      <c r="DD67" s="11"/>
      <c r="DE67" s="11">
        <v>1</v>
      </c>
    </row>
    <row r="68" spans="2:109" ht="15.75" hidden="1" customHeight="1" outlineLevel="1">
      <c r="B68" t="s">
        <v>29</v>
      </c>
      <c r="C68" t="s">
        <v>40</v>
      </c>
      <c r="E68" s="10"/>
      <c r="F68" t="s">
        <v>65</v>
      </c>
      <c r="G68" s="11">
        <v>0.15</v>
      </c>
      <c r="I68" s="10"/>
      <c r="J68" s="12" t="e">
        <f t="shared" ca="1" si="8"/>
        <v>#NAME?</v>
      </c>
      <c r="K68" s="12" t="e">
        <f t="shared" ca="1" si="11"/>
        <v>#NAME?</v>
      </c>
      <c r="L68" s="10"/>
      <c r="O68" s="11"/>
      <c r="P68" s="11"/>
      <c r="Q68" s="11"/>
      <c r="R68" s="11"/>
      <c r="V68" s="11"/>
      <c r="W68" s="11"/>
      <c r="X68" s="11"/>
      <c r="Y68" s="11"/>
      <c r="AC68" s="11"/>
      <c r="AD68" s="11"/>
      <c r="AE68" s="11"/>
      <c r="AF68" s="11"/>
      <c r="AJ68" s="11"/>
      <c r="AK68" s="11"/>
      <c r="AL68" s="11"/>
      <c r="AM68" s="11"/>
      <c r="AQ68" s="11"/>
      <c r="AR68" s="11"/>
      <c r="AS68" s="11"/>
      <c r="AT68" s="11"/>
      <c r="AX68" s="11"/>
      <c r="AY68" s="11">
        <v>0.5</v>
      </c>
      <c r="AZ68" s="11"/>
      <c r="BA68" s="11">
        <v>0.5</v>
      </c>
      <c r="BE68" s="11"/>
      <c r="BF68" s="11">
        <v>0.5</v>
      </c>
      <c r="BG68" s="11"/>
      <c r="BH68" s="11">
        <v>0.5</v>
      </c>
      <c r="BL68" s="11"/>
      <c r="BM68" s="11">
        <v>0.5</v>
      </c>
      <c r="BN68" s="11"/>
      <c r="BO68" s="11">
        <v>0.5</v>
      </c>
      <c r="BS68" s="11"/>
      <c r="BT68" s="11">
        <v>0.8</v>
      </c>
      <c r="BU68" s="11"/>
      <c r="BV68" s="11">
        <v>0.8</v>
      </c>
      <c r="BZ68" s="11"/>
      <c r="CA68" s="11">
        <v>0.8</v>
      </c>
      <c r="CB68" s="11"/>
      <c r="CC68" s="11">
        <v>0.8</v>
      </c>
      <c r="CG68" s="11"/>
      <c r="CH68" s="11">
        <v>0.8</v>
      </c>
      <c r="CI68" s="11"/>
      <c r="CJ68" s="11">
        <v>0.8</v>
      </c>
      <c r="CN68" s="11"/>
      <c r="CO68" s="11">
        <v>0.8</v>
      </c>
      <c r="CP68" s="11"/>
      <c r="CQ68" s="11">
        <v>0.8</v>
      </c>
      <c r="CU68" s="11"/>
      <c r="CV68" s="11">
        <v>0.8</v>
      </c>
      <c r="CW68" s="11"/>
      <c r="CX68" s="11">
        <v>0.8</v>
      </c>
      <c r="DB68" s="11"/>
      <c r="DC68" s="11">
        <v>1</v>
      </c>
      <c r="DD68" s="11"/>
      <c r="DE68" s="11">
        <v>1</v>
      </c>
    </row>
    <row r="69" spans="2:109" ht="15.75" hidden="1" customHeight="1" outlineLevel="1">
      <c r="B69" t="s">
        <v>29</v>
      </c>
      <c r="C69" t="s">
        <v>40</v>
      </c>
      <c r="E69" s="10"/>
      <c r="F69" t="s">
        <v>64</v>
      </c>
      <c r="G69" s="11">
        <v>0.15</v>
      </c>
      <c r="I69" s="10"/>
      <c r="J69" s="12" t="e">
        <f t="shared" ca="1" si="8"/>
        <v>#NAME?</v>
      </c>
      <c r="K69" s="12" t="e">
        <f t="shared" ca="1" si="11"/>
        <v>#NAME?</v>
      </c>
      <c r="L69" s="10"/>
      <c r="O69" s="11"/>
      <c r="P69" s="11"/>
      <c r="Q69" s="11"/>
      <c r="R69" s="11"/>
      <c r="V69" s="11"/>
      <c r="W69" s="11"/>
      <c r="X69" s="11"/>
      <c r="Y69" s="11"/>
      <c r="AC69" s="11"/>
      <c r="AD69" s="11"/>
      <c r="AE69" s="11"/>
      <c r="AF69" s="11"/>
      <c r="AJ69" s="11"/>
      <c r="AK69" s="11"/>
      <c r="AL69" s="11"/>
      <c r="AM69" s="11"/>
      <c r="AQ69" s="11"/>
      <c r="AR69" s="11"/>
      <c r="AS69" s="11"/>
      <c r="AT69" s="11"/>
      <c r="AX69" s="11"/>
      <c r="AY69" s="11"/>
      <c r="AZ69" s="11"/>
      <c r="BA69" s="11"/>
      <c r="BE69" s="11"/>
      <c r="BF69" s="11">
        <v>0.5</v>
      </c>
      <c r="BG69" s="11"/>
      <c r="BH69" s="11">
        <v>0.5</v>
      </c>
      <c r="BL69" s="11"/>
      <c r="BM69" s="11">
        <v>0.5</v>
      </c>
      <c r="BN69" s="11"/>
      <c r="BO69" s="11">
        <v>0.5</v>
      </c>
      <c r="BS69" s="11"/>
      <c r="BT69" s="11">
        <v>0.8</v>
      </c>
      <c r="BU69" s="11"/>
      <c r="BV69" s="11">
        <v>0.8</v>
      </c>
      <c r="BZ69" s="11"/>
      <c r="CA69" s="11">
        <v>0.8</v>
      </c>
      <c r="CB69" s="11"/>
      <c r="CC69" s="11">
        <v>0.8</v>
      </c>
      <c r="CG69" s="11"/>
      <c r="CH69" s="11">
        <v>0.8</v>
      </c>
      <c r="CI69" s="11"/>
      <c r="CJ69" s="11">
        <v>0.8</v>
      </c>
      <c r="CN69" s="11"/>
      <c r="CO69" s="11">
        <v>0.8</v>
      </c>
      <c r="CP69" s="11"/>
      <c r="CQ69" s="11">
        <v>0.8</v>
      </c>
      <c r="CU69" s="11"/>
      <c r="CV69" s="11">
        <v>0.8</v>
      </c>
      <c r="CW69" s="11"/>
      <c r="CX69" s="11">
        <v>0.8</v>
      </c>
      <c r="DB69" s="11"/>
      <c r="DC69" s="11">
        <v>1</v>
      </c>
      <c r="DD69" s="11"/>
      <c r="DE69" s="11">
        <v>1</v>
      </c>
    </row>
    <row r="70" spans="2:109" ht="15.75" hidden="1" customHeight="1" outlineLevel="1">
      <c r="B70" t="s">
        <v>29</v>
      </c>
      <c r="C70" t="s">
        <v>40</v>
      </c>
      <c r="E70" s="10"/>
      <c r="F70" t="s">
        <v>63</v>
      </c>
      <c r="G70" s="11">
        <v>7.0000000000000007E-2</v>
      </c>
      <c r="I70" s="10"/>
      <c r="J70" s="12" t="e">
        <f t="shared" ca="1" si="8"/>
        <v>#NAME?</v>
      </c>
      <c r="K70" s="12" t="e">
        <f t="shared" ca="1" si="11"/>
        <v>#NAME?</v>
      </c>
      <c r="L70" s="10"/>
      <c r="O70" s="11"/>
      <c r="P70" s="11"/>
      <c r="Q70" s="11"/>
      <c r="R70" s="11"/>
      <c r="V70" s="11"/>
      <c r="W70" s="11"/>
      <c r="X70" s="11"/>
      <c r="Y70" s="11"/>
      <c r="AC70" s="11"/>
      <c r="AD70" s="11"/>
      <c r="AE70" s="11"/>
      <c r="AF70" s="11"/>
      <c r="AJ70" s="11"/>
      <c r="AK70" s="11"/>
      <c r="AL70" s="11"/>
      <c r="AM70" s="11"/>
      <c r="AQ70" s="11"/>
      <c r="AR70" s="11"/>
      <c r="AS70" s="11"/>
      <c r="AT70" s="11"/>
      <c r="AX70" s="11"/>
      <c r="AY70" s="11"/>
      <c r="AZ70" s="11"/>
      <c r="BA70" s="11"/>
      <c r="BE70" s="11"/>
      <c r="BF70" s="11"/>
      <c r="BG70" s="11"/>
      <c r="BH70" s="11"/>
      <c r="BL70" s="11"/>
      <c r="BM70" s="11"/>
      <c r="BN70" s="11"/>
      <c r="BO70" s="11"/>
      <c r="BS70" s="11"/>
      <c r="BT70" s="11"/>
      <c r="BU70" s="11"/>
      <c r="BV70" s="11"/>
      <c r="BZ70" s="11"/>
      <c r="CA70" s="11">
        <v>0.5</v>
      </c>
      <c r="CB70" s="11"/>
      <c r="CC70" s="11">
        <v>0.5</v>
      </c>
      <c r="CG70" s="11"/>
      <c r="CH70" s="11">
        <v>0.8</v>
      </c>
      <c r="CI70" s="11"/>
      <c r="CJ70" s="11">
        <v>0.8</v>
      </c>
      <c r="CN70" s="11"/>
      <c r="CO70" s="11">
        <v>0.8</v>
      </c>
      <c r="CP70" s="11"/>
      <c r="CQ70" s="11">
        <v>0.8</v>
      </c>
      <c r="CU70" s="11"/>
      <c r="CV70" s="11">
        <v>0.8</v>
      </c>
      <c r="CW70" s="11"/>
      <c r="CX70" s="11">
        <v>0.8</v>
      </c>
      <c r="DB70" s="11"/>
      <c r="DC70" s="11">
        <v>1</v>
      </c>
      <c r="DD70" s="11"/>
      <c r="DE70" s="11">
        <v>1</v>
      </c>
    </row>
    <row r="71" spans="2:109" collapsed="1">
      <c r="J71" s="12" t="e">
        <f t="shared" ca="1" si="8"/>
        <v>#NAME?</v>
      </c>
    </row>
    <row r="72" spans="2:109">
      <c r="B72" t="s">
        <v>28</v>
      </c>
      <c r="C72" t="s">
        <v>55</v>
      </c>
      <c r="D72" s="20">
        <v>44617</v>
      </c>
      <c r="E72" s="10">
        <v>6</v>
      </c>
      <c r="G72" s="11">
        <f>+SUM(G73:G86)</f>
        <v>1.2</v>
      </c>
      <c r="I72" s="13">
        <f>+SUM(I73:I86)</f>
        <v>0</v>
      </c>
      <c r="J72" s="12" t="e">
        <f t="shared" ca="1" si="8"/>
        <v>#NAME?</v>
      </c>
      <c r="K72" s="12">
        <v>0</v>
      </c>
      <c r="L72" s="10"/>
      <c r="N72" s="13">
        <f>+SUM(N73:N86)</f>
        <v>0</v>
      </c>
      <c r="U72" s="13">
        <f>+SUM(U73:U86)</f>
        <v>0</v>
      </c>
      <c r="AB72" s="13">
        <f>+SUM(AB73:AB86)</f>
        <v>0</v>
      </c>
      <c r="AI72" s="13">
        <f>+SUM(AI73:AI86)</f>
        <v>0</v>
      </c>
      <c r="AP72" s="13">
        <f>+SUM(AP73:AP86)</f>
        <v>0</v>
      </c>
      <c r="AW72" s="13">
        <f>+SUM(AW73:AW86)</f>
        <v>0</v>
      </c>
      <c r="BD72" s="13">
        <f>+SUM(BD73:BD86)</f>
        <v>0</v>
      </c>
      <c r="BK72" s="13">
        <f>+SUM(BK73:BK86)</f>
        <v>0</v>
      </c>
      <c r="BR72" s="13">
        <f>+SUM(BR73:BR86)</f>
        <v>0</v>
      </c>
      <c r="BY72" s="13">
        <f>+SUM(BY73:BY86)</f>
        <v>0</v>
      </c>
      <c r="CF72" s="13">
        <f>+SUM(CF73:CF86)</f>
        <v>0</v>
      </c>
      <c r="CM72" s="13">
        <f>+SUM(CM73:CM86)</f>
        <v>0</v>
      </c>
      <c r="CT72" s="13">
        <f>+SUM(CT73:CT86)</f>
        <v>0</v>
      </c>
      <c r="DA72" s="13">
        <f>+SUM(DA73:DA86)</f>
        <v>0</v>
      </c>
    </row>
    <row r="73" spans="2:109" ht="15.75" hidden="1" customHeight="1" outlineLevel="1">
      <c r="B73" t="s">
        <v>29</v>
      </c>
      <c r="C73" t="s">
        <v>55</v>
      </c>
      <c r="E73" s="10"/>
      <c r="F73" t="s">
        <v>31</v>
      </c>
      <c r="G73" s="23">
        <v>0.1</v>
      </c>
      <c r="I73" s="10">
        <f t="shared" ref="I73:I86" si="12">+SUMIF($N$3:$ZT$3,I$3,$N73:$ZT73)</f>
        <v>0</v>
      </c>
      <c r="J73" s="12" t="e">
        <f t="shared" ca="1" si="8"/>
        <v>#NAME?</v>
      </c>
      <c r="K73" s="12" t="e">
        <f t="shared" ref="K73:K86" ca="1" si="13">+_xlfn.MAXIFS($N73:$YZ73,$N$3:$YZ$3,K$3)</f>
        <v>#NAME?</v>
      </c>
      <c r="L73" s="10"/>
      <c r="O73" s="11"/>
      <c r="P73" s="11">
        <v>0.5</v>
      </c>
      <c r="Q73" s="11"/>
      <c r="R73" s="11">
        <v>0.5</v>
      </c>
      <c r="V73" s="11"/>
      <c r="W73" s="11">
        <v>0.5</v>
      </c>
      <c r="X73" s="11"/>
      <c r="Y73" s="11">
        <v>0.5</v>
      </c>
      <c r="AC73" s="11"/>
      <c r="AD73" s="11">
        <v>0.8</v>
      </c>
      <c r="AE73" s="11"/>
      <c r="AF73" s="11">
        <v>0.8</v>
      </c>
      <c r="AJ73" s="11"/>
      <c r="AK73" s="11">
        <v>0.8</v>
      </c>
      <c r="AL73" s="11"/>
      <c r="AM73" s="11">
        <v>0.8</v>
      </c>
      <c r="AQ73" s="11"/>
      <c r="AR73" s="11">
        <v>0.8</v>
      </c>
      <c r="AS73" s="11"/>
      <c r="AT73" s="11">
        <v>0.8</v>
      </c>
      <c r="AX73" s="11"/>
      <c r="AY73" s="11">
        <v>0.8</v>
      </c>
      <c r="AZ73" s="11"/>
      <c r="BA73" s="11">
        <v>0.8</v>
      </c>
      <c r="BE73" s="11"/>
      <c r="BF73" s="11">
        <v>0.8</v>
      </c>
      <c r="BG73" s="11"/>
      <c r="BH73" s="11">
        <v>0.8</v>
      </c>
      <c r="BL73" s="11"/>
      <c r="BM73" s="11">
        <v>0.8</v>
      </c>
      <c r="BN73" s="11"/>
      <c r="BO73" s="11">
        <v>0.8</v>
      </c>
      <c r="BS73" s="11"/>
      <c r="BT73" s="11">
        <v>0.8</v>
      </c>
      <c r="BU73" s="11"/>
      <c r="BV73" s="11">
        <v>0.8</v>
      </c>
      <c r="BZ73" s="11"/>
      <c r="CA73" s="11">
        <v>1</v>
      </c>
      <c r="CB73" s="11"/>
      <c r="CC73" s="11">
        <v>1</v>
      </c>
      <c r="CG73" s="11"/>
      <c r="CH73" s="11">
        <v>1</v>
      </c>
      <c r="CI73" s="11"/>
      <c r="CJ73" s="11">
        <v>1</v>
      </c>
      <c r="CN73" s="11"/>
      <c r="CO73" s="11">
        <v>1</v>
      </c>
      <c r="CP73" s="11"/>
      <c r="CQ73" s="11">
        <v>1</v>
      </c>
      <c r="CU73" s="11"/>
      <c r="CV73" s="11"/>
      <c r="CW73" s="11"/>
      <c r="CX73" s="11"/>
      <c r="DB73" s="11"/>
      <c r="DC73" s="11"/>
      <c r="DD73" s="11"/>
      <c r="DE73" s="11"/>
    </row>
    <row r="74" spans="2:109" ht="15.75" hidden="1" customHeight="1" outlineLevel="1">
      <c r="B74" t="s">
        <v>29</v>
      </c>
      <c r="C74" t="s">
        <v>55</v>
      </c>
      <c r="E74" s="10"/>
      <c r="F74" t="s">
        <v>112</v>
      </c>
      <c r="G74" s="23">
        <v>0.05</v>
      </c>
      <c r="I74" s="10">
        <f t="shared" si="12"/>
        <v>0</v>
      </c>
      <c r="J74" s="12" t="e">
        <f t="shared" ca="1" si="8"/>
        <v>#NAME?</v>
      </c>
      <c r="K74" s="12" t="e">
        <f t="shared" ca="1" si="13"/>
        <v>#NAME?</v>
      </c>
      <c r="L74" s="10"/>
      <c r="O74" s="11"/>
      <c r="P74" s="11">
        <v>0.5</v>
      </c>
      <c r="Q74" s="11"/>
      <c r="R74" s="11">
        <v>0.5</v>
      </c>
      <c r="V74" s="11"/>
      <c r="W74" s="11">
        <v>0.5</v>
      </c>
      <c r="X74" s="11"/>
      <c r="Y74" s="11">
        <v>0.5</v>
      </c>
      <c r="AC74" s="11"/>
      <c r="AD74" s="11">
        <v>0.5</v>
      </c>
      <c r="AE74" s="11"/>
      <c r="AF74" s="11">
        <v>0.5</v>
      </c>
      <c r="AJ74" s="11"/>
      <c r="AK74" s="11">
        <v>0.8</v>
      </c>
      <c r="AL74" s="11"/>
      <c r="AM74" s="11">
        <v>0.8</v>
      </c>
      <c r="AQ74" s="11"/>
      <c r="AR74" s="11">
        <v>0.8</v>
      </c>
      <c r="AS74" s="11"/>
      <c r="AT74" s="11">
        <v>0.8</v>
      </c>
      <c r="AX74" s="11"/>
      <c r="AY74" s="11">
        <v>0.8</v>
      </c>
      <c r="AZ74" s="11"/>
      <c r="BA74" s="11">
        <v>0.8</v>
      </c>
      <c r="BE74" s="11"/>
      <c r="BF74" s="11">
        <v>0.8</v>
      </c>
      <c r="BG74" s="11"/>
      <c r="BH74" s="11">
        <v>0.8</v>
      </c>
      <c r="BL74" s="11"/>
      <c r="BM74" s="11">
        <v>0.8</v>
      </c>
      <c r="BN74" s="11"/>
      <c r="BO74" s="11">
        <v>0.8</v>
      </c>
      <c r="BS74" s="11"/>
      <c r="BT74" s="11">
        <v>0.8</v>
      </c>
      <c r="BU74" s="11"/>
      <c r="BV74" s="11">
        <v>0.8</v>
      </c>
      <c r="BZ74" s="11"/>
      <c r="CA74" s="11">
        <v>1</v>
      </c>
      <c r="CB74" s="11"/>
      <c r="CC74" s="11">
        <v>1</v>
      </c>
      <c r="CG74" s="11"/>
      <c r="CH74" s="11">
        <v>1</v>
      </c>
      <c r="CI74" s="11"/>
      <c r="CJ74" s="11">
        <v>1</v>
      </c>
      <c r="CN74" s="11"/>
      <c r="CO74" s="11">
        <v>1</v>
      </c>
      <c r="CP74" s="11"/>
      <c r="CQ74" s="11">
        <v>1</v>
      </c>
      <c r="CU74" s="11"/>
      <c r="CV74" s="11"/>
      <c r="CW74" s="11"/>
      <c r="CX74" s="11"/>
      <c r="DB74" s="11"/>
      <c r="DC74" s="11"/>
      <c r="DD74" s="11"/>
      <c r="DE74" s="11"/>
    </row>
    <row r="75" spans="2:109" ht="15.75" hidden="1" customHeight="1" outlineLevel="1">
      <c r="B75" t="s">
        <v>29</v>
      </c>
      <c r="C75" t="s">
        <v>55</v>
      </c>
      <c r="E75" s="10"/>
      <c r="F75" t="s">
        <v>113</v>
      </c>
      <c r="G75" s="23">
        <v>0.05</v>
      </c>
      <c r="I75" s="10">
        <f t="shared" si="12"/>
        <v>0</v>
      </c>
      <c r="J75" s="12" t="e">
        <f t="shared" ca="1" si="8"/>
        <v>#NAME?</v>
      </c>
      <c r="K75" s="12" t="e">
        <f t="shared" ca="1" si="13"/>
        <v>#NAME?</v>
      </c>
      <c r="L75" s="10"/>
      <c r="O75" s="11"/>
      <c r="P75" s="11">
        <v>0.5</v>
      </c>
      <c r="Q75" s="11"/>
      <c r="R75" s="11">
        <v>0.5</v>
      </c>
      <c r="V75" s="11"/>
      <c r="W75" s="11">
        <v>0.5</v>
      </c>
      <c r="X75" s="11"/>
      <c r="Y75" s="11">
        <v>0.5</v>
      </c>
      <c r="AC75" s="11"/>
      <c r="AD75" s="11">
        <v>0.5</v>
      </c>
      <c r="AE75" s="11"/>
      <c r="AF75" s="11">
        <v>0.5</v>
      </c>
      <c r="AJ75" s="11"/>
      <c r="AK75" s="11">
        <v>0.5</v>
      </c>
      <c r="AL75" s="11"/>
      <c r="AM75" s="11">
        <v>0.5</v>
      </c>
      <c r="AQ75" s="11"/>
      <c r="AR75" s="11">
        <v>0.8</v>
      </c>
      <c r="AS75" s="11"/>
      <c r="AT75" s="11">
        <v>0.8</v>
      </c>
      <c r="AX75" s="11"/>
      <c r="AY75" s="11">
        <v>0.8</v>
      </c>
      <c r="AZ75" s="11"/>
      <c r="BA75" s="11">
        <v>0.8</v>
      </c>
      <c r="BE75" s="11"/>
      <c r="BF75" s="11">
        <v>0.8</v>
      </c>
      <c r="BG75" s="11"/>
      <c r="BH75" s="11">
        <v>0.8</v>
      </c>
      <c r="BL75" s="11"/>
      <c r="BM75" s="11">
        <v>0.8</v>
      </c>
      <c r="BN75" s="11"/>
      <c r="BO75" s="11">
        <v>0.8</v>
      </c>
      <c r="BS75" s="11"/>
      <c r="BT75" s="11">
        <v>0.8</v>
      </c>
      <c r="BU75" s="11"/>
      <c r="BV75" s="11">
        <v>0.8</v>
      </c>
      <c r="BZ75" s="11"/>
      <c r="CA75" s="11">
        <v>1</v>
      </c>
      <c r="CB75" s="11"/>
      <c r="CC75" s="11">
        <v>1</v>
      </c>
      <c r="CG75" s="11"/>
      <c r="CH75" s="11">
        <v>1</v>
      </c>
      <c r="CI75" s="11"/>
      <c r="CJ75" s="11">
        <v>1</v>
      </c>
      <c r="CN75" s="11"/>
      <c r="CO75" s="11">
        <v>1</v>
      </c>
      <c r="CP75" s="11"/>
      <c r="CQ75" s="11">
        <v>1</v>
      </c>
      <c r="CU75" s="11"/>
      <c r="CV75" s="11"/>
      <c r="CW75" s="11"/>
      <c r="CX75" s="11"/>
      <c r="DB75" s="11"/>
      <c r="DC75" s="11"/>
      <c r="DD75" s="11"/>
      <c r="DE75" s="11"/>
    </row>
    <row r="76" spans="2:109" ht="15.75" hidden="1" customHeight="1" outlineLevel="1">
      <c r="B76" t="s">
        <v>29</v>
      </c>
      <c r="C76" t="s">
        <v>55</v>
      </c>
      <c r="E76" s="10"/>
      <c r="F76" t="s">
        <v>114</v>
      </c>
      <c r="G76" s="23">
        <v>0.05</v>
      </c>
      <c r="I76" s="10">
        <f t="shared" si="12"/>
        <v>0</v>
      </c>
      <c r="J76" s="12" t="e">
        <f t="shared" ca="1" si="8"/>
        <v>#NAME?</v>
      </c>
      <c r="K76" s="12" t="e">
        <f t="shared" ca="1" si="13"/>
        <v>#NAME?</v>
      </c>
      <c r="L76" s="10"/>
      <c r="O76" s="11"/>
      <c r="P76" s="11"/>
      <c r="Q76" s="11"/>
      <c r="R76" s="11"/>
      <c r="V76" s="11"/>
      <c r="W76" s="11">
        <v>0.5</v>
      </c>
      <c r="X76" s="11"/>
      <c r="Y76" s="11">
        <v>0.5</v>
      </c>
      <c r="AC76" s="11"/>
      <c r="AD76" s="11">
        <v>0.5</v>
      </c>
      <c r="AE76" s="11"/>
      <c r="AF76" s="11">
        <v>0.5</v>
      </c>
      <c r="AJ76" s="11"/>
      <c r="AK76" s="11">
        <v>0.5</v>
      </c>
      <c r="AL76" s="11"/>
      <c r="AM76" s="11">
        <v>0.5</v>
      </c>
      <c r="AQ76" s="11"/>
      <c r="AR76" s="11">
        <v>0.5</v>
      </c>
      <c r="AS76" s="11"/>
      <c r="AT76" s="11">
        <v>0.5</v>
      </c>
      <c r="AX76" s="11"/>
      <c r="AY76" s="11">
        <v>0.8</v>
      </c>
      <c r="AZ76" s="11"/>
      <c r="BA76" s="11">
        <v>0.8</v>
      </c>
      <c r="BE76" s="11"/>
      <c r="BF76" s="11">
        <v>0.8</v>
      </c>
      <c r="BG76" s="11"/>
      <c r="BH76" s="11">
        <v>0.8</v>
      </c>
      <c r="BL76" s="11"/>
      <c r="BM76" s="11">
        <v>0.8</v>
      </c>
      <c r="BN76" s="11"/>
      <c r="BO76" s="11">
        <v>0.8</v>
      </c>
      <c r="BS76" s="11"/>
      <c r="BT76" s="11">
        <v>0.8</v>
      </c>
      <c r="BU76" s="11"/>
      <c r="BV76" s="11">
        <v>0.8</v>
      </c>
      <c r="BZ76" s="11"/>
      <c r="CA76" s="11">
        <v>1</v>
      </c>
      <c r="CB76" s="11"/>
      <c r="CC76" s="11">
        <v>1</v>
      </c>
      <c r="CG76" s="11"/>
      <c r="CH76" s="11">
        <v>1</v>
      </c>
      <c r="CI76" s="11"/>
      <c r="CJ76" s="11">
        <v>1</v>
      </c>
      <c r="CN76" s="11"/>
      <c r="CO76" s="11">
        <v>1</v>
      </c>
      <c r="CP76" s="11"/>
      <c r="CQ76" s="11">
        <v>1</v>
      </c>
      <c r="CU76" s="11"/>
      <c r="CV76" s="11"/>
      <c r="CW76" s="11"/>
      <c r="CX76" s="11"/>
      <c r="DB76" s="11"/>
      <c r="DC76" s="11"/>
      <c r="DD76" s="11"/>
      <c r="DE76" s="11"/>
    </row>
    <row r="77" spans="2:109" ht="15.75" hidden="1" customHeight="1" outlineLevel="1">
      <c r="B77" t="s">
        <v>29</v>
      </c>
      <c r="C77" t="s">
        <v>55</v>
      </c>
      <c r="E77" s="10"/>
      <c r="F77" t="s">
        <v>115</v>
      </c>
      <c r="G77" s="23">
        <v>0.05</v>
      </c>
      <c r="I77" s="10">
        <f t="shared" si="12"/>
        <v>0</v>
      </c>
      <c r="J77" s="12" t="e">
        <f t="shared" ca="1" si="8"/>
        <v>#NAME?</v>
      </c>
      <c r="K77" s="12" t="e">
        <f t="shared" ca="1" si="13"/>
        <v>#NAME?</v>
      </c>
      <c r="L77" s="10"/>
      <c r="O77" s="11"/>
      <c r="P77" s="11"/>
      <c r="Q77" s="11"/>
      <c r="R77" s="11"/>
      <c r="V77" s="11"/>
      <c r="W77" s="11">
        <v>0.5</v>
      </c>
      <c r="X77" s="11"/>
      <c r="Y77" s="11">
        <v>0.5</v>
      </c>
      <c r="AC77" s="11"/>
      <c r="AD77" s="11">
        <v>0.5</v>
      </c>
      <c r="AE77" s="11"/>
      <c r="AF77" s="11">
        <v>0.5</v>
      </c>
      <c r="AJ77" s="11"/>
      <c r="AK77" s="11">
        <v>0.5</v>
      </c>
      <c r="AL77" s="11"/>
      <c r="AM77" s="11">
        <v>0.5</v>
      </c>
      <c r="AQ77" s="11"/>
      <c r="AR77" s="11">
        <v>0.5</v>
      </c>
      <c r="AS77" s="11"/>
      <c r="AT77" s="11">
        <v>0.5</v>
      </c>
      <c r="AX77" s="11"/>
      <c r="AY77" s="11">
        <v>0.5</v>
      </c>
      <c r="AZ77" s="11"/>
      <c r="BA77" s="11">
        <v>0.5</v>
      </c>
      <c r="BE77" s="11"/>
      <c r="BF77" s="11">
        <v>0.8</v>
      </c>
      <c r="BG77" s="11"/>
      <c r="BH77" s="11">
        <v>0.8</v>
      </c>
      <c r="BL77" s="11"/>
      <c r="BM77" s="11">
        <v>0.8</v>
      </c>
      <c r="BN77" s="11"/>
      <c r="BO77" s="11">
        <v>0.8</v>
      </c>
      <c r="BS77" s="11"/>
      <c r="BT77" s="11">
        <v>0.8</v>
      </c>
      <c r="BU77" s="11"/>
      <c r="BV77" s="11">
        <v>0.8</v>
      </c>
      <c r="BZ77" s="11"/>
      <c r="CA77" s="11">
        <v>0.8</v>
      </c>
      <c r="CB77" s="11"/>
      <c r="CC77" s="11">
        <v>0.8</v>
      </c>
      <c r="CG77" s="11"/>
      <c r="CH77" s="11">
        <v>1</v>
      </c>
      <c r="CI77" s="11"/>
      <c r="CJ77" s="11">
        <v>1</v>
      </c>
      <c r="CN77" s="11"/>
      <c r="CO77" s="11">
        <v>1</v>
      </c>
      <c r="CP77" s="11"/>
      <c r="CQ77" s="11">
        <v>1</v>
      </c>
      <c r="CU77" s="11"/>
      <c r="CV77" s="11"/>
      <c r="CW77" s="11"/>
      <c r="CX77" s="11"/>
      <c r="DB77" s="11"/>
      <c r="DC77" s="11"/>
      <c r="DD77" s="11"/>
      <c r="DE77" s="11"/>
    </row>
    <row r="78" spans="2:109" ht="15.75" hidden="1" customHeight="1" outlineLevel="1">
      <c r="B78" t="s">
        <v>29</v>
      </c>
      <c r="C78" t="s">
        <v>55</v>
      </c>
      <c r="E78" s="10"/>
      <c r="F78" t="s">
        <v>116</v>
      </c>
      <c r="G78" s="23">
        <v>0.1</v>
      </c>
      <c r="I78" s="10">
        <f t="shared" si="12"/>
        <v>0</v>
      </c>
      <c r="J78" s="12" t="e">
        <f t="shared" ca="1" si="8"/>
        <v>#NAME?</v>
      </c>
      <c r="K78" s="12" t="e">
        <f t="shared" ca="1" si="13"/>
        <v>#NAME?</v>
      </c>
      <c r="L78" s="10"/>
      <c r="O78" s="11"/>
      <c r="P78" s="11"/>
      <c r="Q78" s="11"/>
      <c r="R78" s="11"/>
      <c r="V78" s="11"/>
      <c r="W78" s="11">
        <v>0.5</v>
      </c>
      <c r="X78" s="11"/>
      <c r="Y78" s="11">
        <v>0.5</v>
      </c>
      <c r="AC78" s="11"/>
      <c r="AD78" s="11">
        <v>0.5</v>
      </c>
      <c r="AE78" s="11"/>
      <c r="AF78" s="11">
        <v>0.5</v>
      </c>
      <c r="AJ78" s="11"/>
      <c r="AK78" s="11">
        <v>0.5</v>
      </c>
      <c r="AL78" s="11"/>
      <c r="AM78" s="11">
        <v>0.5</v>
      </c>
      <c r="AQ78" s="11"/>
      <c r="AR78" s="11">
        <v>0.5</v>
      </c>
      <c r="AS78" s="11"/>
      <c r="AT78" s="11">
        <v>0.5</v>
      </c>
      <c r="AX78" s="11"/>
      <c r="AY78" s="11">
        <v>0.5</v>
      </c>
      <c r="AZ78" s="11"/>
      <c r="BA78" s="11">
        <v>0.5</v>
      </c>
      <c r="BE78" s="11"/>
      <c r="BF78" s="11">
        <v>0.8</v>
      </c>
      <c r="BG78" s="11"/>
      <c r="BH78" s="11">
        <v>0.8</v>
      </c>
      <c r="BL78" s="11"/>
      <c r="BM78" s="11">
        <v>0.8</v>
      </c>
      <c r="BN78" s="11"/>
      <c r="BO78" s="11">
        <v>0.8</v>
      </c>
      <c r="BS78" s="11"/>
      <c r="BT78" s="11">
        <v>0.8</v>
      </c>
      <c r="BU78" s="11"/>
      <c r="BV78" s="11">
        <v>0.8</v>
      </c>
      <c r="BZ78" s="11"/>
      <c r="CA78" s="11">
        <v>0.8</v>
      </c>
      <c r="CB78" s="11"/>
      <c r="CC78" s="11">
        <v>0.8</v>
      </c>
      <c r="CG78" s="11"/>
      <c r="CH78" s="11">
        <v>1</v>
      </c>
      <c r="CI78" s="11"/>
      <c r="CJ78" s="11">
        <v>1</v>
      </c>
      <c r="CN78" s="11"/>
      <c r="CO78" s="11">
        <v>1</v>
      </c>
      <c r="CP78" s="11"/>
      <c r="CQ78" s="11">
        <v>1</v>
      </c>
      <c r="CU78" s="11"/>
      <c r="CV78" s="11"/>
      <c r="CW78" s="11"/>
      <c r="CX78" s="11"/>
      <c r="DB78" s="11"/>
      <c r="DC78" s="11"/>
      <c r="DD78" s="11"/>
      <c r="DE78" s="11"/>
    </row>
    <row r="79" spans="2:109" ht="15.75" hidden="1" customHeight="1" outlineLevel="1">
      <c r="B79" t="s">
        <v>29</v>
      </c>
      <c r="C79" t="s">
        <v>55</v>
      </c>
      <c r="E79" s="10"/>
      <c r="F79" t="s">
        <v>117</v>
      </c>
      <c r="G79" s="23">
        <v>0.1</v>
      </c>
      <c r="I79" s="10">
        <f t="shared" si="12"/>
        <v>0</v>
      </c>
      <c r="J79" s="12" t="e">
        <f t="shared" ca="1" si="8"/>
        <v>#NAME?</v>
      </c>
      <c r="K79" s="12" t="e">
        <f t="shared" ca="1" si="13"/>
        <v>#NAME?</v>
      </c>
      <c r="L79" s="10"/>
      <c r="O79" s="11"/>
      <c r="P79" s="11"/>
      <c r="Q79" s="11"/>
      <c r="R79" s="11"/>
      <c r="V79" s="11"/>
      <c r="W79" s="11"/>
      <c r="X79" s="11"/>
      <c r="Y79" s="11"/>
      <c r="AC79" s="11"/>
      <c r="AD79" s="11">
        <v>0.5</v>
      </c>
      <c r="AE79" s="11"/>
      <c r="AF79" s="11">
        <v>0.5</v>
      </c>
      <c r="AJ79" s="11"/>
      <c r="AK79" s="11">
        <v>0.5</v>
      </c>
      <c r="AL79" s="11"/>
      <c r="AM79" s="11">
        <v>0.5</v>
      </c>
      <c r="AQ79" s="11"/>
      <c r="AR79" s="11">
        <v>0.5</v>
      </c>
      <c r="AS79" s="11"/>
      <c r="AT79" s="11">
        <v>0.5</v>
      </c>
      <c r="AX79" s="11"/>
      <c r="AY79" s="11">
        <v>0.5</v>
      </c>
      <c r="AZ79" s="11"/>
      <c r="BA79" s="11">
        <v>0.5</v>
      </c>
      <c r="BE79" s="11"/>
      <c r="BF79" s="11">
        <v>0.8</v>
      </c>
      <c r="BG79" s="11"/>
      <c r="BH79" s="11">
        <v>0.8</v>
      </c>
      <c r="BL79" s="11"/>
      <c r="BM79" s="11">
        <v>0.8</v>
      </c>
      <c r="BN79" s="11"/>
      <c r="BO79" s="11">
        <v>0.8</v>
      </c>
      <c r="BS79" s="11"/>
      <c r="BT79" s="11">
        <v>0.8</v>
      </c>
      <c r="BU79" s="11"/>
      <c r="BV79" s="11">
        <v>0.8</v>
      </c>
      <c r="BZ79" s="11"/>
      <c r="CA79" s="11">
        <v>0.8</v>
      </c>
      <c r="CB79" s="11"/>
      <c r="CC79" s="11">
        <v>0.8</v>
      </c>
      <c r="CG79" s="11"/>
      <c r="CH79" s="11">
        <v>1</v>
      </c>
      <c r="CI79" s="11"/>
      <c r="CJ79" s="11">
        <v>1</v>
      </c>
      <c r="CN79" s="11"/>
      <c r="CO79" s="11">
        <v>1</v>
      </c>
      <c r="CP79" s="11"/>
      <c r="CQ79" s="11">
        <v>1</v>
      </c>
      <c r="CU79" s="11"/>
      <c r="CV79" s="11"/>
      <c r="CW79" s="11"/>
      <c r="CX79" s="11"/>
      <c r="DB79" s="11"/>
      <c r="DC79" s="11"/>
      <c r="DD79" s="11"/>
      <c r="DE79" s="11"/>
    </row>
    <row r="80" spans="2:109" ht="15.75" hidden="1" customHeight="1" outlineLevel="1">
      <c r="B80" t="s">
        <v>29</v>
      </c>
      <c r="C80" t="s">
        <v>55</v>
      </c>
      <c r="E80" s="10"/>
      <c r="F80" t="s">
        <v>118</v>
      </c>
      <c r="G80" s="23">
        <v>0.1</v>
      </c>
      <c r="I80" s="10">
        <f t="shared" si="12"/>
        <v>0</v>
      </c>
      <c r="J80" s="12" t="e">
        <f t="shared" ca="1" si="8"/>
        <v>#NAME?</v>
      </c>
      <c r="K80" s="12" t="e">
        <f t="shared" ca="1" si="13"/>
        <v>#NAME?</v>
      </c>
      <c r="L80" s="10"/>
      <c r="O80" s="11"/>
      <c r="P80" s="11"/>
      <c r="Q80" s="11"/>
      <c r="R80" s="11"/>
      <c r="V80" s="11"/>
      <c r="W80" s="11"/>
      <c r="X80" s="11"/>
      <c r="Y80" s="11"/>
      <c r="AC80" s="11"/>
      <c r="AD80" s="11">
        <v>0.5</v>
      </c>
      <c r="AE80" s="11"/>
      <c r="AF80" s="11">
        <v>0.5</v>
      </c>
      <c r="AJ80" s="11"/>
      <c r="AK80" s="11">
        <v>0.5</v>
      </c>
      <c r="AL80" s="11"/>
      <c r="AM80" s="11">
        <v>0.5</v>
      </c>
      <c r="AQ80" s="11"/>
      <c r="AR80" s="11">
        <v>0.5</v>
      </c>
      <c r="AS80" s="11"/>
      <c r="AT80" s="11">
        <v>0.5</v>
      </c>
      <c r="AX80" s="11"/>
      <c r="AY80" s="11">
        <v>0.5</v>
      </c>
      <c r="AZ80" s="11"/>
      <c r="BA80" s="11">
        <v>0.5</v>
      </c>
      <c r="BE80" s="11"/>
      <c r="BF80" s="11">
        <v>0.5</v>
      </c>
      <c r="BG80" s="11"/>
      <c r="BH80" s="11">
        <v>0.5</v>
      </c>
      <c r="BL80" s="11"/>
      <c r="BM80" s="11">
        <v>0.8</v>
      </c>
      <c r="BN80" s="11"/>
      <c r="BO80" s="11">
        <v>0.8</v>
      </c>
      <c r="BS80" s="11"/>
      <c r="BT80" s="11">
        <v>0.8</v>
      </c>
      <c r="BU80" s="11"/>
      <c r="BV80" s="11">
        <v>0.8</v>
      </c>
      <c r="BZ80" s="11"/>
      <c r="CA80" s="11">
        <v>0.8</v>
      </c>
      <c r="CB80" s="11"/>
      <c r="CC80" s="11">
        <v>0.8</v>
      </c>
      <c r="CG80" s="11"/>
      <c r="CH80" s="11">
        <v>1</v>
      </c>
      <c r="CI80" s="11"/>
      <c r="CJ80" s="11">
        <v>1</v>
      </c>
      <c r="CN80" s="11"/>
      <c r="CO80" s="11">
        <v>1</v>
      </c>
      <c r="CP80" s="11"/>
      <c r="CQ80" s="11">
        <v>1</v>
      </c>
      <c r="CU80" s="11"/>
      <c r="CV80" s="11"/>
      <c r="CW80" s="11"/>
      <c r="CX80" s="11"/>
      <c r="DB80" s="11"/>
      <c r="DC80" s="11"/>
      <c r="DD80" s="11"/>
      <c r="DE80" s="11"/>
    </row>
    <row r="81" spans="2:109" ht="15.75" hidden="1" customHeight="1" outlineLevel="1">
      <c r="B81" t="s">
        <v>29</v>
      </c>
      <c r="C81" t="s">
        <v>55</v>
      </c>
      <c r="E81" s="10"/>
      <c r="F81" t="s">
        <v>119</v>
      </c>
      <c r="G81" s="23">
        <v>0.1</v>
      </c>
      <c r="I81" s="10">
        <f t="shared" si="12"/>
        <v>0</v>
      </c>
      <c r="J81" s="12" t="e">
        <f t="shared" ca="1" si="8"/>
        <v>#NAME?</v>
      </c>
      <c r="K81" s="12" t="e">
        <f t="shared" ca="1" si="13"/>
        <v>#NAME?</v>
      </c>
      <c r="L81" s="10"/>
      <c r="O81" s="11"/>
      <c r="P81" s="11"/>
      <c r="Q81" s="11"/>
      <c r="R81" s="11"/>
      <c r="V81" s="11"/>
      <c r="W81" s="11"/>
      <c r="X81" s="11"/>
      <c r="Y81" s="11"/>
      <c r="AC81" s="11"/>
      <c r="AD81" s="11"/>
      <c r="AE81" s="11"/>
      <c r="AF81" s="11"/>
      <c r="AJ81" s="11"/>
      <c r="AK81" s="11">
        <v>0.5</v>
      </c>
      <c r="AL81" s="11"/>
      <c r="AM81" s="11">
        <v>0.5</v>
      </c>
      <c r="AQ81" s="11"/>
      <c r="AR81" s="11">
        <v>0.5</v>
      </c>
      <c r="AS81" s="11"/>
      <c r="AT81" s="11">
        <v>0.5</v>
      </c>
      <c r="AX81" s="11"/>
      <c r="AY81" s="11">
        <v>0.5</v>
      </c>
      <c r="AZ81" s="11"/>
      <c r="BA81" s="11">
        <v>0.5</v>
      </c>
      <c r="BE81" s="11"/>
      <c r="BF81" s="11">
        <v>0.5</v>
      </c>
      <c r="BG81" s="11"/>
      <c r="BH81" s="11">
        <v>0.5</v>
      </c>
      <c r="BL81" s="11"/>
      <c r="BM81" s="11">
        <v>0.8</v>
      </c>
      <c r="BN81" s="11"/>
      <c r="BO81" s="11">
        <v>0.8</v>
      </c>
      <c r="BS81" s="11"/>
      <c r="BT81" s="11">
        <v>0.8</v>
      </c>
      <c r="BU81" s="11"/>
      <c r="BV81" s="11">
        <v>0.8</v>
      </c>
      <c r="BZ81" s="11"/>
      <c r="CA81" s="11">
        <v>0.8</v>
      </c>
      <c r="CB81" s="11"/>
      <c r="CC81" s="11">
        <v>0.8</v>
      </c>
      <c r="CG81" s="11"/>
      <c r="CH81" s="11">
        <v>0.8</v>
      </c>
      <c r="CI81" s="11"/>
      <c r="CJ81" s="11">
        <v>0.8</v>
      </c>
      <c r="CN81" s="11"/>
      <c r="CO81" s="11">
        <v>1</v>
      </c>
      <c r="CP81" s="11"/>
      <c r="CQ81" s="11">
        <v>1</v>
      </c>
      <c r="CU81" s="11"/>
      <c r="CV81" s="11"/>
      <c r="CW81" s="11"/>
      <c r="CX81" s="11"/>
      <c r="DB81" s="11"/>
      <c r="DC81" s="11"/>
      <c r="DD81" s="11"/>
      <c r="DE81" s="11"/>
    </row>
    <row r="82" spans="2:109" ht="15.75" hidden="1" customHeight="1" outlineLevel="1">
      <c r="B82" t="s">
        <v>29</v>
      </c>
      <c r="C82" t="s">
        <v>55</v>
      </c>
      <c r="E82" s="10"/>
      <c r="F82" t="s">
        <v>120</v>
      </c>
      <c r="G82" s="23">
        <v>0.1</v>
      </c>
      <c r="I82" s="10">
        <f t="shared" si="12"/>
        <v>0</v>
      </c>
      <c r="J82" s="12" t="e">
        <f t="shared" ca="1" si="8"/>
        <v>#NAME?</v>
      </c>
      <c r="K82" s="12" t="e">
        <f t="shared" ca="1" si="13"/>
        <v>#NAME?</v>
      </c>
      <c r="L82" s="10"/>
      <c r="O82" s="11"/>
      <c r="P82" s="11"/>
      <c r="Q82" s="11"/>
      <c r="R82" s="11"/>
      <c r="V82" s="11"/>
      <c r="W82" s="11"/>
      <c r="X82" s="11"/>
      <c r="Y82" s="11"/>
      <c r="AC82" s="11"/>
      <c r="AD82" s="11"/>
      <c r="AE82" s="11"/>
      <c r="AF82" s="11"/>
      <c r="AJ82" s="11"/>
      <c r="AK82" s="11">
        <v>0.5</v>
      </c>
      <c r="AL82" s="11"/>
      <c r="AM82" s="11">
        <v>0.5</v>
      </c>
      <c r="AQ82" s="11"/>
      <c r="AR82" s="11">
        <v>0.5</v>
      </c>
      <c r="AS82" s="11"/>
      <c r="AT82" s="11">
        <v>0.5</v>
      </c>
      <c r="AX82" s="11"/>
      <c r="AY82" s="11">
        <v>0.5</v>
      </c>
      <c r="AZ82" s="11"/>
      <c r="BA82" s="11">
        <v>0.5</v>
      </c>
      <c r="BE82" s="11"/>
      <c r="BF82" s="11">
        <v>0.5</v>
      </c>
      <c r="BG82" s="11"/>
      <c r="BH82" s="11">
        <v>0.5</v>
      </c>
      <c r="BL82" s="11"/>
      <c r="BM82" s="11">
        <v>0.8</v>
      </c>
      <c r="BN82" s="11"/>
      <c r="BO82" s="11">
        <v>0.8</v>
      </c>
      <c r="BS82" s="11"/>
      <c r="BT82" s="11">
        <v>0.8</v>
      </c>
      <c r="BU82" s="11"/>
      <c r="BV82" s="11">
        <v>0.8</v>
      </c>
      <c r="BZ82" s="11"/>
      <c r="CA82" s="11">
        <v>0.8</v>
      </c>
      <c r="CB82" s="11"/>
      <c r="CC82" s="11">
        <v>0.8</v>
      </c>
      <c r="CG82" s="11"/>
      <c r="CH82" s="11">
        <v>0.8</v>
      </c>
      <c r="CI82" s="11"/>
      <c r="CJ82" s="11">
        <v>0.8</v>
      </c>
      <c r="CN82" s="11"/>
      <c r="CO82" s="11">
        <v>1</v>
      </c>
      <c r="CP82" s="11"/>
      <c r="CQ82" s="11">
        <v>1</v>
      </c>
      <c r="CU82" s="11"/>
      <c r="CV82" s="11"/>
      <c r="CW82" s="11"/>
      <c r="CX82" s="11"/>
      <c r="DB82" s="11"/>
      <c r="DC82" s="11"/>
      <c r="DD82" s="11"/>
      <c r="DE82" s="11"/>
    </row>
    <row r="83" spans="2:109" ht="15.75" hidden="1" customHeight="1" outlineLevel="1">
      <c r="B83" t="s">
        <v>29</v>
      </c>
      <c r="C83" t="s">
        <v>55</v>
      </c>
      <c r="E83" s="10"/>
      <c r="F83" t="s">
        <v>121</v>
      </c>
      <c r="G83" s="23">
        <v>0.1</v>
      </c>
      <c r="I83" s="10"/>
      <c r="J83" s="12"/>
      <c r="K83" s="12"/>
      <c r="L83" s="10"/>
      <c r="O83" s="11"/>
      <c r="P83" s="11"/>
      <c r="Q83" s="11"/>
      <c r="R83" s="11"/>
      <c r="V83" s="11"/>
      <c r="W83" s="11"/>
      <c r="X83" s="11"/>
      <c r="Y83" s="11"/>
      <c r="AC83" s="11"/>
      <c r="AD83" s="11"/>
      <c r="AE83" s="11"/>
      <c r="AF83" s="11"/>
      <c r="AJ83" s="11"/>
      <c r="AK83" s="11"/>
      <c r="AL83" s="11"/>
      <c r="AM83" s="11"/>
      <c r="AQ83" s="11"/>
      <c r="AR83" s="11">
        <v>0.5</v>
      </c>
      <c r="AS83" s="11"/>
      <c r="AT83" s="11">
        <v>0.5</v>
      </c>
      <c r="AX83" s="11"/>
      <c r="AY83" s="11">
        <v>0.5</v>
      </c>
      <c r="AZ83" s="11"/>
      <c r="BA83" s="11">
        <v>0.5</v>
      </c>
      <c r="BE83" s="11"/>
      <c r="BF83" s="11">
        <v>0.5</v>
      </c>
      <c r="BG83" s="11"/>
      <c r="BH83" s="11">
        <v>0.5</v>
      </c>
      <c r="BL83" s="11"/>
      <c r="BM83" s="11">
        <v>0.8</v>
      </c>
      <c r="BN83" s="11"/>
      <c r="BO83" s="11">
        <v>0.8</v>
      </c>
      <c r="BS83" s="11"/>
      <c r="BT83" s="11">
        <v>0.8</v>
      </c>
      <c r="BU83" s="11"/>
      <c r="BV83" s="11">
        <v>0.8</v>
      </c>
      <c r="BZ83" s="11"/>
      <c r="CA83" s="11">
        <v>0.8</v>
      </c>
      <c r="CB83" s="11"/>
      <c r="CC83" s="11">
        <v>0.8</v>
      </c>
      <c r="CG83" s="11"/>
      <c r="CH83" s="11">
        <v>0.8</v>
      </c>
      <c r="CI83" s="11"/>
      <c r="CJ83" s="11">
        <v>0.8</v>
      </c>
      <c r="CN83" s="11"/>
      <c r="CO83" s="11">
        <v>1</v>
      </c>
      <c r="CP83" s="11"/>
      <c r="CQ83" s="11">
        <v>1</v>
      </c>
      <c r="CU83" s="11"/>
      <c r="CV83" s="11"/>
      <c r="CW83" s="11"/>
      <c r="CX83" s="11"/>
      <c r="DB83" s="11"/>
      <c r="DC83" s="11"/>
      <c r="DD83" s="11"/>
      <c r="DE83" s="11"/>
    </row>
    <row r="84" spans="2:109" ht="15.75" hidden="1" customHeight="1" outlineLevel="1">
      <c r="B84" t="s">
        <v>29</v>
      </c>
      <c r="C84" t="s">
        <v>55</v>
      </c>
      <c r="E84" s="10"/>
      <c r="F84" t="s">
        <v>122</v>
      </c>
      <c r="G84" s="23">
        <v>0.1</v>
      </c>
      <c r="I84" s="10"/>
      <c r="J84" s="12"/>
      <c r="K84" s="12"/>
      <c r="L84" s="10"/>
      <c r="O84" s="11"/>
      <c r="P84" s="11"/>
      <c r="Q84" s="11"/>
      <c r="R84" s="11"/>
      <c r="V84" s="11"/>
      <c r="W84" s="11"/>
      <c r="X84" s="11"/>
      <c r="Y84" s="11"/>
      <c r="AC84" s="11"/>
      <c r="AD84" s="11"/>
      <c r="AE84" s="11"/>
      <c r="AF84" s="11"/>
      <c r="AJ84" s="11"/>
      <c r="AK84" s="11"/>
      <c r="AL84" s="11"/>
      <c r="AM84" s="11"/>
      <c r="AQ84" s="11"/>
      <c r="AR84" s="11">
        <v>0.5</v>
      </c>
      <c r="AS84" s="11"/>
      <c r="AT84" s="11">
        <v>0.5</v>
      </c>
      <c r="AX84" s="11"/>
      <c r="AY84" s="11">
        <v>0.5</v>
      </c>
      <c r="AZ84" s="11"/>
      <c r="BA84" s="11">
        <v>0.5</v>
      </c>
      <c r="BE84" s="11"/>
      <c r="BF84" s="11">
        <v>0.5</v>
      </c>
      <c r="BG84" s="11"/>
      <c r="BH84" s="11">
        <v>0.5</v>
      </c>
      <c r="BL84" s="11"/>
      <c r="BM84" s="11">
        <v>0.5</v>
      </c>
      <c r="BN84" s="11"/>
      <c r="BO84" s="11">
        <v>0.5</v>
      </c>
      <c r="BS84" s="11"/>
      <c r="BT84" s="11">
        <v>0.8</v>
      </c>
      <c r="BU84" s="11"/>
      <c r="BV84" s="11">
        <v>0.8</v>
      </c>
      <c r="BZ84" s="11"/>
      <c r="CA84" s="11">
        <v>0.8</v>
      </c>
      <c r="CB84" s="11"/>
      <c r="CC84" s="11">
        <v>0.8</v>
      </c>
      <c r="CG84" s="11"/>
      <c r="CH84" s="11">
        <v>0.8</v>
      </c>
      <c r="CI84" s="11"/>
      <c r="CJ84" s="11">
        <v>0.8</v>
      </c>
      <c r="CN84" s="11"/>
      <c r="CO84" s="11">
        <v>1</v>
      </c>
      <c r="CP84" s="11"/>
      <c r="CQ84" s="11">
        <v>1</v>
      </c>
      <c r="CU84" s="11"/>
      <c r="CV84" s="11"/>
      <c r="CW84" s="11"/>
      <c r="CX84" s="11"/>
      <c r="DB84" s="11"/>
      <c r="DC84" s="11"/>
      <c r="DD84" s="11"/>
      <c r="DE84" s="11"/>
    </row>
    <row r="85" spans="2:109" ht="15.75" hidden="1" customHeight="1" outlineLevel="1">
      <c r="B85" t="s">
        <v>29</v>
      </c>
      <c r="C85" t="s">
        <v>55</v>
      </c>
      <c r="E85" s="10"/>
      <c r="F85" t="s">
        <v>123</v>
      </c>
      <c r="G85" s="23">
        <v>0.1</v>
      </c>
      <c r="I85" s="10">
        <f t="shared" si="12"/>
        <v>0</v>
      </c>
      <c r="J85" s="12" t="e">
        <f t="shared" ca="1" si="8"/>
        <v>#NAME?</v>
      </c>
      <c r="K85" s="12" t="e">
        <f t="shared" ca="1" si="13"/>
        <v>#NAME?</v>
      </c>
      <c r="L85" s="10"/>
      <c r="O85" s="11"/>
      <c r="P85" s="11"/>
      <c r="Q85" s="11"/>
      <c r="R85" s="11"/>
      <c r="V85" s="11"/>
      <c r="W85" s="11"/>
      <c r="X85" s="11"/>
      <c r="Y85" s="11"/>
      <c r="AC85" s="11"/>
      <c r="AD85" s="11"/>
      <c r="AE85" s="11"/>
      <c r="AF85" s="11"/>
      <c r="AJ85" s="11"/>
      <c r="AK85" s="11"/>
      <c r="AL85" s="11"/>
      <c r="AM85" s="11"/>
      <c r="AQ85" s="11"/>
      <c r="AR85" s="11"/>
      <c r="AS85" s="11"/>
      <c r="AT85" s="11"/>
      <c r="AX85" s="11"/>
      <c r="AY85" s="11">
        <v>0.5</v>
      </c>
      <c r="AZ85" s="11"/>
      <c r="BA85" s="11">
        <v>0.5</v>
      </c>
      <c r="BE85" s="11"/>
      <c r="BF85" s="11">
        <v>0.5</v>
      </c>
      <c r="BG85" s="11"/>
      <c r="BH85" s="11">
        <v>0.5</v>
      </c>
      <c r="BL85" s="11"/>
      <c r="BM85" s="11">
        <v>0.5</v>
      </c>
      <c r="BN85" s="11"/>
      <c r="BO85" s="11">
        <v>0.5</v>
      </c>
      <c r="BS85" s="11"/>
      <c r="BT85" s="11">
        <v>0.8</v>
      </c>
      <c r="BU85" s="11"/>
      <c r="BV85" s="11">
        <v>0.8</v>
      </c>
      <c r="BZ85" s="11"/>
      <c r="CA85" s="11">
        <v>0.8</v>
      </c>
      <c r="CB85" s="11"/>
      <c r="CC85" s="11">
        <v>0.8</v>
      </c>
      <c r="CG85" s="11"/>
      <c r="CH85" s="11">
        <v>0.8</v>
      </c>
      <c r="CI85" s="11"/>
      <c r="CJ85" s="11">
        <v>0.8</v>
      </c>
      <c r="CN85" s="11"/>
      <c r="CO85" s="11">
        <v>1</v>
      </c>
      <c r="CP85" s="11"/>
      <c r="CQ85" s="11">
        <v>1</v>
      </c>
      <c r="CU85" s="11"/>
      <c r="CV85" s="11"/>
      <c r="CW85" s="11"/>
      <c r="CX85" s="11"/>
      <c r="DB85" s="11"/>
      <c r="DC85" s="11"/>
      <c r="DD85" s="11"/>
      <c r="DE85" s="11"/>
    </row>
    <row r="86" spans="2:109" ht="15.75" hidden="1" customHeight="1" outlineLevel="1">
      <c r="B86" t="s">
        <v>29</v>
      </c>
      <c r="C86" t="s">
        <v>55</v>
      </c>
      <c r="E86" s="10"/>
      <c r="F86" t="s">
        <v>124</v>
      </c>
      <c r="G86" s="23">
        <v>0.1</v>
      </c>
      <c r="I86" s="10">
        <f t="shared" si="12"/>
        <v>0</v>
      </c>
      <c r="J86" s="12" t="e">
        <f t="shared" ca="1" si="8"/>
        <v>#NAME?</v>
      </c>
      <c r="K86" s="12" t="e">
        <f t="shared" ca="1" si="13"/>
        <v>#NAME?</v>
      </c>
      <c r="L86" s="10"/>
      <c r="O86" s="11"/>
      <c r="P86" s="11"/>
      <c r="Q86" s="11"/>
      <c r="R86" s="11"/>
      <c r="V86" s="11"/>
      <c r="W86" s="11"/>
      <c r="X86" s="11"/>
      <c r="Y86" s="11"/>
      <c r="AC86" s="11"/>
      <c r="AD86" s="11"/>
      <c r="AE86" s="11"/>
      <c r="AF86" s="11"/>
      <c r="AJ86" s="11"/>
      <c r="AK86" s="11"/>
      <c r="AL86" s="11"/>
      <c r="AM86" s="11"/>
      <c r="AQ86" s="11"/>
      <c r="AR86" s="11"/>
      <c r="AS86" s="11"/>
      <c r="AT86" s="11"/>
      <c r="AX86" s="11"/>
      <c r="AY86" s="11">
        <v>0.5</v>
      </c>
      <c r="AZ86" s="11"/>
      <c r="BA86" s="11">
        <v>0.5</v>
      </c>
      <c r="BE86" s="11"/>
      <c r="BF86" s="11">
        <v>0.5</v>
      </c>
      <c r="BG86" s="11"/>
      <c r="BH86" s="11">
        <v>0.5</v>
      </c>
      <c r="BL86" s="11"/>
      <c r="BM86" s="11">
        <v>0.5</v>
      </c>
      <c r="BN86" s="11"/>
      <c r="BO86" s="11">
        <v>0.5</v>
      </c>
      <c r="BS86" s="11"/>
      <c r="BT86" s="11">
        <v>0.8</v>
      </c>
      <c r="BU86" s="11"/>
      <c r="BV86" s="11">
        <v>0.8</v>
      </c>
      <c r="BZ86" s="11"/>
      <c r="CA86" s="11">
        <v>0.8</v>
      </c>
      <c r="CB86" s="11"/>
      <c r="CC86" s="11">
        <v>0.8</v>
      </c>
      <c r="CG86" s="11"/>
      <c r="CH86" s="11">
        <v>0.8</v>
      </c>
      <c r="CI86" s="11"/>
      <c r="CJ86" s="11">
        <v>0.8</v>
      </c>
      <c r="CN86" s="11"/>
      <c r="CO86" s="11">
        <v>1</v>
      </c>
      <c r="CP86" s="11"/>
      <c r="CQ86" s="11">
        <v>1</v>
      </c>
      <c r="CU86" s="11"/>
      <c r="CV86" s="11"/>
      <c r="CW86" s="11"/>
      <c r="CX86" s="11"/>
      <c r="DB86" s="11"/>
      <c r="DC86" s="11"/>
      <c r="DD86" s="11"/>
      <c r="DE86" s="11"/>
    </row>
    <row r="87" spans="2:109" collapsed="1">
      <c r="J87" s="12" t="e">
        <f t="shared" ca="1" si="8"/>
        <v>#NAME?</v>
      </c>
    </row>
    <row r="88" spans="2:109">
      <c r="B88" t="s">
        <v>28</v>
      </c>
      <c r="C88" t="s">
        <v>54</v>
      </c>
      <c r="D88" s="20">
        <v>44635</v>
      </c>
      <c r="E88" s="10">
        <v>5</v>
      </c>
      <c r="G88" s="11">
        <f>+SUM(G89:G95)</f>
        <v>0.98000000000000009</v>
      </c>
      <c r="I88" s="13">
        <f>+SUM(I89:I95)</f>
        <v>0</v>
      </c>
      <c r="J88" s="12" t="e">
        <f t="shared" ca="1" si="8"/>
        <v>#NAME?</v>
      </c>
      <c r="K88" s="12">
        <v>0</v>
      </c>
      <c r="L88" s="10"/>
      <c r="N88" s="13">
        <f>+SUM(N89:N95)</f>
        <v>0</v>
      </c>
      <c r="U88" s="13">
        <f>+SUM(U89:U95)</f>
        <v>0</v>
      </c>
      <c r="AB88" s="13">
        <f>+SUM(AB89:AB95)</f>
        <v>0</v>
      </c>
      <c r="AI88" s="13">
        <f>+SUM(AI89:AI95)</f>
        <v>0</v>
      </c>
      <c r="AP88" s="13">
        <f>+SUM(AP89:AP95)</f>
        <v>0</v>
      </c>
      <c r="AW88" s="13">
        <f>+SUM(AW89:AW95)</f>
        <v>0</v>
      </c>
      <c r="BD88" s="13">
        <f>+SUM(BD89:BD95)</f>
        <v>0</v>
      </c>
      <c r="BK88" s="13">
        <f>+SUM(BK89:BK95)</f>
        <v>0</v>
      </c>
      <c r="BR88" s="13">
        <f>+SUM(BR89:BR95)</f>
        <v>0</v>
      </c>
      <c r="BY88" s="13">
        <f>+SUM(BY89:BY95)</f>
        <v>0</v>
      </c>
      <c r="CF88" s="13">
        <f>+SUM(CF89:CF95)</f>
        <v>0</v>
      </c>
      <c r="CM88" s="13">
        <f>+SUM(CM89:CM95)</f>
        <v>0</v>
      </c>
      <c r="CT88" s="13">
        <f>+SUM(CT89:CT95)</f>
        <v>0</v>
      </c>
      <c r="DA88" s="13">
        <f>+SUM(DA89:DA95)</f>
        <v>0</v>
      </c>
    </row>
    <row r="89" spans="2:109" ht="15.75" hidden="1" customHeight="1" outlineLevel="1">
      <c r="B89" t="s">
        <v>29</v>
      </c>
      <c r="C89" t="s">
        <v>54</v>
      </c>
      <c r="E89" s="10"/>
      <c r="F89" s="24" t="s">
        <v>125</v>
      </c>
      <c r="G89" s="11">
        <v>0.14000000000000001</v>
      </c>
      <c r="I89" s="10">
        <f t="shared" ref="I89:I95" si="14">+SUMIF($N$3:$ZT$3,I$3,$N89:$ZT89)</f>
        <v>0</v>
      </c>
      <c r="J89" s="12" t="e">
        <f t="shared" ref="J89:K95" ca="1" si="15">+_xlfn.MAXIFS($N89:$YZ89,$N$3:$YZ$3,J$3)</f>
        <v>#NAME?</v>
      </c>
      <c r="K89" s="12" t="e">
        <f t="shared" ca="1" si="15"/>
        <v>#NAME?</v>
      </c>
      <c r="L89" s="10"/>
      <c r="O89" s="11">
        <v>0.5</v>
      </c>
      <c r="P89" s="11">
        <v>0.5</v>
      </c>
      <c r="Q89" s="11">
        <v>0.5</v>
      </c>
      <c r="R89" s="11">
        <v>0.5</v>
      </c>
      <c r="V89" s="11"/>
      <c r="W89" s="11">
        <v>0.5</v>
      </c>
      <c r="X89" s="11"/>
      <c r="Y89" s="11">
        <v>0.5</v>
      </c>
      <c r="AC89" s="11"/>
      <c r="AD89" s="11">
        <v>0.6</v>
      </c>
      <c r="AE89" s="11"/>
      <c r="AF89" s="11">
        <v>0.6</v>
      </c>
      <c r="AJ89" s="11"/>
      <c r="AK89" s="11">
        <v>0.8</v>
      </c>
      <c r="AL89" s="11"/>
      <c r="AM89" s="11">
        <v>0.8</v>
      </c>
      <c r="AQ89" s="11"/>
      <c r="AR89" s="11">
        <v>0.8</v>
      </c>
      <c r="AS89" s="11"/>
      <c r="AT89" s="11">
        <v>0.8</v>
      </c>
      <c r="AX89" s="11"/>
      <c r="AY89" s="11">
        <v>0.8</v>
      </c>
      <c r="AZ89" s="11"/>
      <c r="BA89" s="11">
        <v>0.8</v>
      </c>
      <c r="BE89" s="11"/>
      <c r="BF89" s="11">
        <v>1</v>
      </c>
      <c r="BG89" s="11"/>
      <c r="BH89" s="11">
        <v>1</v>
      </c>
      <c r="BL89" s="11"/>
      <c r="BM89" s="11">
        <v>1</v>
      </c>
      <c r="BN89" s="11"/>
      <c r="BO89" s="11">
        <v>1</v>
      </c>
      <c r="BS89" s="11"/>
      <c r="BT89" s="11">
        <v>1</v>
      </c>
      <c r="BU89" s="11"/>
      <c r="BV89" s="11">
        <v>1</v>
      </c>
      <c r="BZ89" s="11"/>
      <c r="CA89" s="11">
        <v>1</v>
      </c>
      <c r="CB89" s="11"/>
      <c r="CC89" s="11">
        <v>1</v>
      </c>
      <c r="CG89" s="11"/>
      <c r="CH89" s="11">
        <v>1</v>
      </c>
      <c r="CI89" s="11"/>
      <c r="CJ89" s="11">
        <v>1</v>
      </c>
      <c r="CN89" s="11"/>
      <c r="CO89" s="11">
        <v>1</v>
      </c>
      <c r="CP89" s="11"/>
      <c r="CQ89" s="11">
        <v>1</v>
      </c>
      <c r="CU89" s="11"/>
      <c r="CV89" s="11">
        <v>1</v>
      </c>
      <c r="CW89" s="11"/>
      <c r="CX89" s="11">
        <v>1</v>
      </c>
      <c r="DB89" s="11"/>
      <c r="DC89" s="11">
        <v>1</v>
      </c>
      <c r="DD89" s="11"/>
      <c r="DE89" s="11">
        <v>1</v>
      </c>
    </row>
    <row r="90" spans="2:109" ht="15.75" hidden="1" customHeight="1" outlineLevel="1">
      <c r="B90" t="s">
        <v>29</v>
      </c>
      <c r="C90" t="s">
        <v>54</v>
      </c>
      <c r="E90" s="10"/>
      <c r="F90" s="24" t="s">
        <v>126</v>
      </c>
      <c r="G90" s="11">
        <v>0.14000000000000001</v>
      </c>
      <c r="I90" s="10">
        <f t="shared" si="14"/>
        <v>0</v>
      </c>
      <c r="J90" s="12" t="e">
        <f t="shared" ca="1" si="15"/>
        <v>#NAME?</v>
      </c>
      <c r="K90" s="12" t="e">
        <f t="shared" ca="1" si="15"/>
        <v>#NAME?</v>
      </c>
      <c r="L90" s="10"/>
      <c r="O90" s="11">
        <v>0.3</v>
      </c>
      <c r="P90" s="11">
        <v>0.3</v>
      </c>
      <c r="Q90" s="11">
        <v>0.3</v>
      </c>
      <c r="R90" s="11">
        <v>0.3</v>
      </c>
      <c r="V90" s="11"/>
      <c r="W90" s="11">
        <v>0.5</v>
      </c>
      <c r="X90" s="11"/>
      <c r="Y90" s="11">
        <v>0.5</v>
      </c>
      <c r="AC90" s="11"/>
      <c r="AD90" s="11">
        <v>0.5</v>
      </c>
      <c r="AE90" s="11"/>
      <c r="AF90" s="11">
        <v>0.5</v>
      </c>
      <c r="AJ90" s="11"/>
      <c r="AK90" s="11">
        <v>0.5</v>
      </c>
      <c r="AL90" s="11"/>
      <c r="AM90" s="11">
        <v>0.5</v>
      </c>
      <c r="AQ90" s="11"/>
      <c r="AR90" s="11">
        <v>0.8</v>
      </c>
      <c r="AS90" s="11"/>
      <c r="AT90" s="11">
        <v>0.8</v>
      </c>
      <c r="AX90" s="11"/>
      <c r="AY90" s="11">
        <v>0.8</v>
      </c>
      <c r="AZ90" s="11"/>
      <c r="BA90" s="11">
        <v>0.8</v>
      </c>
      <c r="BE90" s="11"/>
      <c r="BF90" s="11">
        <v>0.8</v>
      </c>
      <c r="BG90" s="11"/>
      <c r="BH90" s="11">
        <v>0.8</v>
      </c>
      <c r="BL90" s="11"/>
      <c r="BM90" s="11">
        <v>1</v>
      </c>
      <c r="BN90" s="11"/>
      <c r="BO90" s="11">
        <v>1</v>
      </c>
      <c r="BS90" s="11"/>
      <c r="BT90" s="11">
        <v>1</v>
      </c>
      <c r="BU90" s="11"/>
      <c r="BV90" s="11">
        <v>1</v>
      </c>
      <c r="BZ90" s="11"/>
      <c r="CA90" s="11">
        <v>1</v>
      </c>
      <c r="CB90" s="11"/>
      <c r="CC90" s="11">
        <v>1</v>
      </c>
      <c r="CG90" s="11"/>
      <c r="CH90" s="11">
        <v>1</v>
      </c>
      <c r="CI90" s="11"/>
      <c r="CJ90" s="11">
        <v>1</v>
      </c>
      <c r="CN90" s="11"/>
      <c r="CO90" s="11">
        <v>1</v>
      </c>
      <c r="CP90" s="11"/>
      <c r="CQ90" s="11">
        <v>1</v>
      </c>
      <c r="CU90" s="11"/>
      <c r="CV90" s="11">
        <v>1</v>
      </c>
      <c r="CW90" s="11"/>
      <c r="CX90" s="11">
        <v>1</v>
      </c>
      <c r="DB90" s="11"/>
      <c r="DC90" s="11">
        <v>1</v>
      </c>
      <c r="DD90" s="11"/>
      <c r="DE90" s="11">
        <v>1</v>
      </c>
    </row>
    <row r="91" spans="2:109" ht="15.75" hidden="1" customHeight="1" outlineLevel="1">
      <c r="B91" t="s">
        <v>29</v>
      </c>
      <c r="C91" t="s">
        <v>54</v>
      </c>
      <c r="E91" s="10"/>
      <c r="F91" s="24" t="s">
        <v>127</v>
      </c>
      <c r="G91" s="11">
        <v>0.14000000000000001</v>
      </c>
      <c r="I91" s="10">
        <f t="shared" si="14"/>
        <v>0</v>
      </c>
      <c r="J91" s="12" t="e">
        <f t="shared" ca="1" si="15"/>
        <v>#NAME?</v>
      </c>
      <c r="K91" s="12" t="e">
        <f t="shared" ca="1" si="15"/>
        <v>#NAME?</v>
      </c>
      <c r="L91" s="10"/>
      <c r="O91" s="11"/>
      <c r="P91" s="11"/>
      <c r="Q91" s="11"/>
      <c r="R91" s="11"/>
      <c r="V91" s="11"/>
      <c r="W91" s="11">
        <v>0.5</v>
      </c>
      <c r="X91" s="11"/>
      <c r="Y91" s="11">
        <v>0.5</v>
      </c>
      <c r="AC91" s="11"/>
      <c r="AD91" s="11">
        <v>0.5</v>
      </c>
      <c r="AE91" s="11"/>
      <c r="AF91" s="11">
        <v>0.5</v>
      </c>
      <c r="AJ91" s="11"/>
      <c r="AK91" s="11">
        <v>0.5</v>
      </c>
      <c r="AL91" s="11"/>
      <c r="AM91" s="11">
        <v>0.5</v>
      </c>
      <c r="AQ91" s="11"/>
      <c r="AR91" s="11">
        <v>0.5</v>
      </c>
      <c r="AS91" s="11"/>
      <c r="AT91" s="11">
        <v>0.5</v>
      </c>
      <c r="AX91" s="11"/>
      <c r="AY91" s="11">
        <v>0.8</v>
      </c>
      <c r="AZ91" s="11"/>
      <c r="BA91" s="11">
        <v>0.8</v>
      </c>
      <c r="BE91" s="11"/>
      <c r="BF91" s="11">
        <v>0.8</v>
      </c>
      <c r="BG91" s="11"/>
      <c r="BH91" s="11">
        <v>0.8</v>
      </c>
      <c r="BL91" s="11"/>
      <c r="BM91" s="11">
        <v>0.8</v>
      </c>
      <c r="BN91" s="11"/>
      <c r="BO91" s="11">
        <v>0.8</v>
      </c>
      <c r="BS91" s="11"/>
      <c r="BT91" s="11">
        <v>1</v>
      </c>
      <c r="BU91" s="11"/>
      <c r="BV91" s="11">
        <v>1</v>
      </c>
      <c r="BZ91" s="11"/>
      <c r="CA91" s="11">
        <v>1</v>
      </c>
      <c r="CB91" s="11"/>
      <c r="CC91" s="11">
        <v>1</v>
      </c>
      <c r="CG91" s="11"/>
      <c r="CH91" s="11">
        <v>1</v>
      </c>
      <c r="CI91" s="11"/>
      <c r="CJ91" s="11">
        <v>1</v>
      </c>
      <c r="CN91" s="11"/>
      <c r="CO91" s="11">
        <v>1</v>
      </c>
      <c r="CP91" s="11"/>
      <c r="CQ91" s="11">
        <v>1</v>
      </c>
      <c r="CU91" s="11"/>
      <c r="CV91" s="11">
        <v>1</v>
      </c>
      <c r="CW91" s="11"/>
      <c r="CX91" s="11">
        <v>1</v>
      </c>
      <c r="DB91" s="11"/>
      <c r="DC91" s="11">
        <v>1</v>
      </c>
      <c r="DD91" s="11"/>
      <c r="DE91" s="11">
        <v>1</v>
      </c>
    </row>
    <row r="92" spans="2:109" ht="15.75" hidden="1" customHeight="1" outlineLevel="1">
      <c r="B92" t="s">
        <v>29</v>
      </c>
      <c r="C92" t="s">
        <v>54</v>
      </c>
      <c r="E92" s="10"/>
      <c r="F92" s="24" t="s">
        <v>128</v>
      </c>
      <c r="G92" s="11">
        <v>0.14000000000000001</v>
      </c>
      <c r="I92" s="10">
        <f t="shared" si="14"/>
        <v>0</v>
      </c>
      <c r="J92" s="12" t="e">
        <f t="shared" ca="1" si="15"/>
        <v>#NAME?</v>
      </c>
      <c r="K92" s="12" t="e">
        <f t="shared" ca="1" si="15"/>
        <v>#NAME?</v>
      </c>
      <c r="L92" s="10"/>
      <c r="O92" s="11"/>
      <c r="P92" s="11"/>
      <c r="Q92" s="11"/>
      <c r="R92" s="11"/>
      <c r="V92" s="11"/>
      <c r="W92" s="11"/>
      <c r="X92" s="11"/>
      <c r="Y92" s="11"/>
      <c r="AC92" s="11"/>
      <c r="AD92" s="11">
        <v>0.5</v>
      </c>
      <c r="AE92" s="11"/>
      <c r="AF92" s="11">
        <v>0.5</v>
      </c>
      <c r="AJ92" s="11"/>
      <c r="AK92" s="11">
        <v>0.5</v>
      </c>
      <c r="AL92" s="11"/>
      <c r="AM92" s="11">
        <v>0.5</v>
      </c>
      <c r="AQ92" s="11"/>
      <c r="AR92" s="11">
        <v>0.5</v>
      </c>
      <c r="AS92" s="11"/>
      <c r="AT92" s="11">
        <v>0.5</v>
      </c>
      <c r="AX92" s="11"/>
      <c r="AY92" s="11">
        <v>0.5</v>
      </c>
      <c r="AZ92" s="11"/>
      <c r="BA92" s="11">
        <v>0.5</v>
      </c>
      <c r="BE92" s="11"/>
      <c r="BF92" s="11">
        <v>0.5</v>
      </c>
      <c r="BG92" s="11"/>
      <c r="BH92" s="11">
        <v>0.5</v>
      </c>
      <c r="BL92" s="11"/>
      <c r="BM92" s="11">
        <v>0.5</v>
      </c>
      <c r="BN92" s="11"/>
      <c r="BO92" s="11">
        <v>0.5</v>
      </c>
      <c r="BS92" s="11"/>
      <c r="BT92" s="11">
        <v>0.6</v>
      </c>
      <c r="BU92" s="11"/>
      <c r="BV92" s="11">
        <v>0.6</v>
      </c>
      <c r="BZ92" s="11"/>
      <c r="CA92" s="11">
        <v>1</v>
      </c>
      <c r="CB92" s="11"/>
      <c r="CC92" s="11">
        <v>1</v>
      </c>
      <c r="CG92" s="11"/>
      <c r="CH92" s="11">
        <v>1</v>
      </c>
      <c r="CI92" s="11"/>
      <c r="CJ92" s="11">
        <v>1</v>
      </c>
      <c r="CN92" s="11"/>
      <c r="CO92" s="11">
        <v>1</v>
      </c>
      <c r="CP92" s="11"/>
      <c r="CQ92" s="11">
        <v>1</v>
      </c>
      <c r="CU92" s="11"/>
      <c r="CV92" s="11">
        <v>1</v>
      </c>
      <c r="CW92" s="11"/>
      <c r="CX92" s="11">
        <v>1</v>
      </c>
      <c r="DB92" s="11"/>
      <c r="DC92" s="11">
        <v>1</v>
      </c>
      <c r="DD92" s="11"/>
      <c r="DE92" s="11">
        <v>1</v>
      </c>
    </row>
    <row r="93" spans="2:109" ht="15.75" hidden="1" customHeight="1" outlineLevel="1">
      <c r="B93" t="s">
        <v>29</v>
      </c>
      <c r="C93" t="s">
        <v>54</v>
      </c>
      <c r="E93" s="10"/>
      <c r="F93" s="24" t="s">
        <v>129</v>
      </c>
      <c r="G93" s="11">
        <v>0.14000000000000001</v>
      </c>
      <c r="I93" s="10">
        <f t="shared" si="14"/>
        <v>0</v>
      </c>
      <c r="J93" s="12" t="e">
        <f t="shared" ca="1" si="15"/>
        <v>#NAME?</v>
      </c>
      <c r="K93" s="12" t="e">
        <f t="shared" ca="1" si="15"/>
        <v>#NAME?</v>
      </c>
      <c r="L93" s="10"/>
      <c r="O93" s="11"/>
      <c r="P93" s="11"/>
      <c r="Q93" s="11"/>
      <c r="R93" s="11"/>
      <c r="V93" s="11"/>
      <c r="W93" s="11"/>
      <c r="X93" s="11"/>
      <c r="Y93" s="11"/>
      <c r="AC93" s="11"/>
      <c r="AD93" s="11"/>
      <c r="AE93" s="11"/>
      <c r="AF93" s="11"/>
      <c r="AJ93" s="11"/>
      <c r="AK93" s="11">
        <v>0.5</v>
      </c>
      <c r="AL93" s="11"/>
      <c r="AM93" s="11">
        <v>0.5</v>
      </c>
      <c r="AQ93" s="11"/>
      <c r="AR93" s="11">
        <v>0.5</v>
      </c>
      <c r="AS93" s="11"/>
      <c r="AT93" s="11">
        <v>0.5</v>
      </c>
      <c r="AX93" s="11"/>
      <c r="AY93" s="11">
        <v>0.5</v>
      </c>
      <c r="AZ93" s="11"/>
      <c r="BA93" s="11">
        <v>0.5</v>
      </c>
      <c r="BE93" s="11"/>
      <c r="BF93" s="11">
        <v>0.5</v>
      </c>
      <c r="BG93" s="11"/>
      <c r="BH93" s="11">
        <v>0.5</v>
      </c>
      <c r="BL93" s="11"/>
      <c r="BM93" s="11">
        <v>0.5</v>
      </c>
      <c r="BN93" s="11"/>
      <c r="BO93" s="11">
        <v>0.5</v>
      </c>
      <c r="BS93" s="11"/>
      <c r="BT93" s="11">
        <v>0.5</v>
      </c>
      <c r="BU93" s="11"/>
      <c r="BV93" s="11">
        <v>0.5</v>
      </c>
      <c r="BZ93" s="11"/>
      <c r="CA93" s="11">
        <v>0.6</v>
      </c>
      <c r="CB93" s="11"/>
      <c r="CC93" s="11">
        <v>0.6</v>
      </c>
      <c r="CG93" s="11"/>
      <c r="CH93" s="11">
        <v>1</v>
      </c>
      <c r="CI93" s="11"/>
      <c r="CJ93" s="11">
        <v>1</v>
      </c>
      <c r="CN93" s="11"/>
      <c r="CO93" s="11">
        <v>1</v>
      </c>
      <c r="CP93" s="11"/>
      <c r="CQ93" s="11">
        <v>1</v>
      </c>
      <c r="CU93" s="11"/>
      <c r="CV93" s="11">
        <v>1</v>
      </c>
      <c r="CW93" s="11"/>
      <c r="CX93" s="11">
        <v>1</v>
      </c>
      <c r="DB93" s="11"/>
      <c r="DC93" s="11">
        <v>1</v>
      </c>
      <c r="DD93" s="11"/>
      <c r="DE93" s="11">
        <v>1</v>
      </c>
    </row>
    <row r="94" spans="2:109" ht="15.75" hidden="1" customHeight="1" outlineLevel="1">
      <c r="B94" t="s">
        <v>29</v>
      </c>
      <c r="C94" t="s">
        <v>54</v>
      </c>
      <c r="E94" s="10"/>
      <c r="F94" s="24" t="s">
        <v>130</v>
      </c>
      <c r="G94" s="11">
        <v>0.14000000000000001</v>
      </c>
      <c r="I94" s="10">
        <f t="shared" si="14"/>
        <v>0</v>
      </c>
      <c r="J94" s="12" t="e">
        <f t="shared" ca="1" si="15"/>
        <v>#NAME?</v>
      </c>
      <c r="K94" s="12" t="e">
        <f t="shared" ca="1" si="15"/>
        <v>#NAME?</v>
      </c>
      <c r="L94" s="10"/>
      <c r="O94" s="11"/>
      <c r="P94" s="11"/>
      <c r="Q94" s="11"/>
      <c r="R94" s="11"/>
      <c r="V94" s="11"/>
      <c r="W94" s="11"/>
      <c r="X94" s="11"/>
      <c r="Y94" s="11"/>
      <c r="AC94" s="11"/>
      <c r="AD94" s="11"/>
      <c r="AE94" s="11"/>
      <c r="AF94" s="11"/>
      <c r="AJ94" s="11"/>
      <c r="AK94" s="11"/>
      <c r="AL94" s="11"/>
      <c r="AM94" s="11"/>
      <c r="AQ94" s="11"/>
      <c r="AR94" s="11">
        <v>0.3</v>
      </c>
      <c r="AS94" s="11"/>
      <c r="AT94" s="11">
        <v>0.3</v>
      </c>
      <c r="AX94" s="11"/>
      <c r="AY94" s="11">
        <v>0.3</v>
      </c>
      <c r="AZ94" s="11"/>
      <c r="BA94" s="11">
        <v>0.3</v>
      </c>
      <c r="BE94" s="11"/>
      <c r="BF94" s="11">
        <v>0.5</v>
      </c>
      <c r="BG94" s="11"/>
      <c r="BH94" s="11">
        <v>0.5</v>
      </c>
      <c r="BL94" s="11"/>
      <c r="BM94" s="11">
        <v>0.5</v>
      </c>
      <c r="BN94" s="11"/>
      <c r="BO94" s="11">
        <v>0.5</v>
      </c>
      <c r="BS94" s="11"/>
      <c r="BT94" s="11">
        <v>0.5</v>
      </c>
      <c r="BU94" s="11"/>
      <c r="BV94" s="11">
        <v>0.5</v>
      </c>
      <c r="BZ94" s="11"/>
      <c r="CA94" s="11">
        <v>0.5</v>
      </c>
      <c r="CB94" s="11"/>
      <c r="CC94" s="11">
        <v>0.5</v>
      </c>
      <c r="CG94" s="11"/>
      <c r="CH94" s="11">
        <v>0.6</v>
      </c>
      <c r="CI94" s="11"/>
      <c r="CJ94" s="11">
        <v>0.6</v>
      </c>
      <c r="CN94" s="11"/>
      <c r="CO94" s="11">
        <v>0.8</v>
      </c>
      <c r="CP94" s="11"/>
      <c r="CQ94" s="11">
        <v>0.8</v>
      </c>
      <c r="CU94" s="11"/>
      <c r="CV94" s="11">
        <v>1</v>
      </c>
      <c r="CW94" s="11"/>
      <c r="CX94" s="11">
        <v>1</v>
      </c>
      <c r="DB94" s="11"/>
      <c r="DC94" s="11">
        <v>1</v>
      </c>
      <c r="DD94" s="11"/>
      <c r="DE94" s="11">
        <v>1</v>
      </c>
    </row>
    <row r="95" spans="2:109" ht="15.75" hidden="1" customHeight="1" outlineLevel="1">
      <c r="B95" t="s">
        <v>29</v>
      </c>
      <c r="C95" t="s">
        <v>54</v>
      </c>
      <c r="E95" s="10"/>
      <c r="F95" s="24" t="s">
        <v>131</v>
      </c>
      <c r="G95" s="11">
        <v>0.14000000000000001</v>
      </c>
      <c r="I95" s="10">
        <f t="shared" si="14"/>
        <v>0</v>
      </c>
      <c r="J95" s="12" t="e">
        <f t="shared" ca="1" si="15"/>
        <v>#NAME?</v>
      </c>
      <c r="K95" s="12" t="e">
        <f t="shared" ca="1" si="15"/>
        <v>#NAME?</v>
      </c>
      <c r="L95" s="10"/>
      <c r="O95" s="11"/>
      <c r="P95" s="11"/>
      <c r="Q95" s="11"/>
      <c r="R95" s="11"/>
      <c r="V95" s="11"/>
      <c r="W95" s="11"/>
      <c r="X95" s="11"/>
      <c r="Y95" s="11"/>
      <c r="AC95" s="11"/>
      <c r="AD95" s="11"/>
      <c r="AE95" s="11"/>
      <c r="AF95" s="11"/>
      <c r="AJ95" s="11"/>
      <c r="AK95" s="11"/>
      <c r="AL95" s="11"/>
      <c r="AM95" s="11"/>
      <c r="AQ95" s="11"/>
      <c r="AR95" s="11"/>
      <c r="AS95" s="11"/>
      <c r="AT95" s="11"/>
      <c r="AX95" s="11"/>
      <c r="AY95" s="11">
        <v>0.3</v>
      </c>
      <c r="AZ95" s="11"/>
      <c r="BA95" s="11">
        <v>0.3</v>
      </c>
      <c r="BE95" s="11"/>
      <c r="BF95" s="11">
        <v>0.3</v>
      </c>
      <c r="BG95" s="11"/>
      <c r="BH95" s="11">
        <v>0.3</v>
      </c>
      <c r="BL95" s="11"/>
      <c r="BM95" s="11">
        <v>0.5</v>
      </c>
      <c r="BN95" s="11"/>
      <c r="BO95" s="11">
        <v>0.5</v>
      </c>
      <c r="BS95" s="11"/>
      <c r="BT95" s="11">
        <v>0.5</v>
      </c>
      <c r="BU95" s="11"/>
      <c r="BV95" s="11">
        <v>0.5</v>
      </c>
      <c r="BZ95" s="11"/>
      <c r="CA95" s="11">
        <v>0.5</v>
      </c>
      <c r="CB95" s="11"/>
      <c r="CC95" s="11">
        <v>0.5</v>
      </c>
      <c r="CG95" s="11"/>
      <c r="CH95" s="11">
        <v>0.5</v>
      </c>
      <c r="CI95" s="11"/>
      <c r="CJ95" s="11">
        <v>0.5</v>
      </c>
      <c r="CN95" s="11"/>
      <c r="CO95" s="11">
        <v>0.8</v>
      </c>
      <c r="CP95" s="11"/>
      <c r="CQ95" s="11">
        <v>0.8</v>
      </c>
      <c r="CU95" s="11"/>
      <c r="CV95" s="11">
        <v>0.9</v>
      </c>
      <c r="CW95" s="11"/>
      <c r="CX95" s="11">
        <v>0.9</v>
      </c>
      <c r="DB95" s="11"/>
      <c r="DC95" s="11">
        <v>1</v>
      </c>
      <c r="DD95" s="11"/>
      <c r="DE95" s="11">
        <v>1</v>
      </c>
    </row>
    <row r="96" spans="2:109" collapsed="1">
      <c r="DE96" s="11"/>
    </row>
  </sheetData>
  <mergeCells count="15">
    <mergeCell ref="CM2:CR2"/>
    <mergeCell ref="CT2:CY2"/>
    <mergeCell ref="DA2:DF2"/>
    <mergeCell ref="BK2:BP2"/>
    <mergeCell ref="BR2:BW2"/>
    <mergeCell ref="BY2:CD2"/>
    <mergeCell ref="CF2:CK2"/>
    <mergeCell ref="I2:L2"/>
    <mergeCell ref="N2:S2"/>
    <mergeCell ref="BD2:BI2"/>
    <mergeCell ref="U2:Z2"/>
    <mergeCell ref="AB2:AG2"/>
    <mergeCell ref="AI2:AN2"/>
    <mergeCell ref="AP2:AU2"/>
    <mergeCell ref="AW2:BB2"/>
  </mergeCells>
  <conditionalFormatting sqref="K5:K19">
    <cfRule type="colorScale" priority="554">
      <colorScale>
        <cfvo type="percent" val="0"/>
        <cfvo type="percent" val="100"/>
        <color rgb="FFFF231B"/>
        <color rgb="FF10FF07"/>
      </colorScale>
    </cfRule>
  </conditionalFormatting>
  <conditionalFormatting sqref="O5:O19 O29:O35 Q29:Q35 AQ29:AQ35 AS29:AS35 BE29:BE35 BG29:BG35 V29:V35 X29:X35 AC29:AC35 AE29:AE35 AJ29:AJ35 AL29:AL35 AX29:AX35 AZ29:AZ35 O60:O70 Q60:Q70 AQ60:AQ70 AS60:AS70 BE60:BE70 BG60:BG70 V60:V70 X60:X70 AC60:AC70 AE60:AE70 AJ60:AJ70 AL60:AL70 AX60:AX70 AZ60:AZ70 BG89:BG95 O89:O95 Q89:Q95 AQ89:AQ95 AS89:AS95 BE89:BE95 V89:V95 X89:X95 AC89:AC95 AE89:AE95 AJ89:AJ95 AL89:AL95 AX89:AX95 AZ89:AZ95 BN89:BN95 BL89:BL95 BU89:BU95 BS89:BS95 CB89:CB95 BZ89:BZ95 CI89:CI95 CG89:CG95 CP89:CP95 CN89:CN95 CW89:CW95 CU89:CU95 DD89:DD95 DB89:DB95 O22:O26 Q22:Q26 AQ22:AQ26 AS22:AS26 BE22:BE26 BG22:BG26 V22:V26 X22:X26 AC22:AC26 AE22:AE26 AJ22:AJ26 AL22:AL26 AX22:AX26 AZ22:AZ26 BL22:BL26 BN22:BN26 BS22:BS26 BU22:BU26 BZ22:BZ26 CB22:CB26 CG22:CG26 CI22:CI26 CN22:CN26 CP22:CP26 CU22:CU26 CW22:CW26 DB22:DB26 DD22:DD26">
    <cfRule type="expression" dxfId="198" priority="552">
      <formula>OR(IF(O5&lt;P5,TRUE),IF(AND(P5="",O5&lt;&gt;""),TRUE))</formula>
    </cfRule>
    <cfRule type="expression" dxfId="197" priority="553">
      <formula>IF(O5&gt;=P5,IF(O5="",FALSE,TRUE))</formula>
    </cfRule>
  </conditionalFormatting>
  <conditionalFormatting sqref="Q5:Q19">
    <cfRule type="expression" dxfId="196" priority="550">
      <formula>OR(IF(Q5&lt;R5,TRUE),IF(AND(R5="",Q5&lt;&gt;""),TRUE))</formula>
    </cfRule>
    <cfRule type="expression" dxfId="195" priority="551">
      <formula>IF(Q5&gt;=R5,IF(Q5="",FALSE,TRUE))</formula>
    </cfRule>
  </conditionalFormatting>
  <conditionalFormatting sqref="AQ5:AQ19">
    <cfRule type="expression" dxfId="194" priority="419">
      <formula>OR(IF(AQ5&lt;AR5,TRUE),IF(AND(AR5="",AQ5&lt;&gt;""),TRUE))</formula>
    </cfRule>
    <cfRule type="expression" dxfId="193" priority="420">
      <formula>IF(AQ5&gt;=AR5,IF(AQ5="",FALSE,TRUE))</formula>
    </cfRule>
  </conditionalFormatting>
  <conditionalFormatting sqref="AS5:AS19">
    <cfRule type="expression" dxfId="192" priority="417">
      <formula>OR(IF(AS5&lt;AT5,TRUE),IF(AND(AT5="",AS5&lt;&gt;""),TRUE))</formula>
    </cfRule>
    <cfRule type="expression" dxfId="191" priority="418">
      <formula>IF(AS5&gt;=AT5,IF(AS5="",FALSE,TRUE))</formula>
    </cfRule>
  </conditionalFormatting>
  <conditionalFormatting sqref="BE5:BE19">
    <cfRule type="expression" dxfId="190" priority="387">
      <formula>OR(IF(BE5&lt;BF5,TRUE),IF(AND(BF5="",BE5&lt;&gt;""),TRUE))</formula>
    </cfRule>
    <cfRule type="expression" dxfId="189" priority="388">
      <formula>IF(BE5&gt;=BF5,IF(BE5="",FALSE,TRUE))</formula>
    </cfRule>
  </conditionalFormatting>
  <conditionalFormatting sqref="BG5:BG19">
    <cfRule type="expression" dxfId="188" priority="385">
      <formula>OR(IF(BG5&lt;BH5,TRUE),IF(AND(BH5="",BG5&lt;&gt;""),TRUE))</formula>
    </cfRule>
    <cfRule type="expression" dxfId="187" priority="386">
      <formula>IF(BG5&gt;=BH5,IF(BG5="",FALSE,TRUE))</formula>
    </cfRule>
  </conditionalFormatting>
  <conditionalFormatting sqref="V5:V19">
    <cfRule type="expression" dxfId="186" priority="467">
      <formula>OR(IF(V5&lt;W5,TRUE),IF(AND(W5="",V5&lt;&gt;""),TRUE))</formula>
    </cfRule>
    <cfRule type="expression" dxfId="185" priority="468">
      <formula>IF(V5&gt;=W5,IF(V5="",FALSE,TRUE))</formula>
    </cfRule>
  </conditionalFormatting>
  <conditionalFormatting sqref="X5:X19">
    <cfRule type="expression" dxfId="184" priority="465">
      <formula>OR(IF(X5&lt;Y5,TRUE),IF(AND(Y5="",X5&lt;&gt;""),TRUE))</formula>
    </cfRule>
    <cfRule type="expression" dxfId="183" priority="466">
      <formula>IF(X5&gt;=Y5,IF(X5="",FALSE,TRUE))</formula>
    </cfRule>
  </conditionalFormatting>
  <conditionalFormatting sqref="AC5:AC19">
    <cfRule type="expression" dxfId="182" priority="451">
      <formula>OR(IF(AC5&lt;AD5,TRUE),IF(AND(AD5="",AC5&lt;&gt;""),TRUE))</formula>
    </cfRule>
    <cfRule type="expression" dxfId="181" priority="452">
      <formula>IF(AC5&gt;=AD5,IF(AC5="",FALSE,TRUE))</formula>
    </cfRule>
  </conditionalFormatting>
  <conditionalFormatting sqref="AE5:AE19">
    <cfRule type="expression" dxfId="180" priority="449">
      <formula>OR(IF(AE5&lt;AF5,TRUE),IF(AND(AF5="",AE5&lt;&gt;""),TRUE))</formula>
    </cfRule>
    <cfRule type="expression" dxfId="179" priority="450">
      <formula>IF(AE5&gt;=AF5,IF(AE5="",FALSE,TRUE))</formula>
    </cfRule>
  </conditionalFormatting>
  <conditionalFormatting sqref="AJ5:AJ19">
    <cfRule type="expression" dxfId="178" priority="435">
      <formula>OR(IF(AJ5&lt;AK5,TRUE),IF(AND(AK5="",AJ5&lt;&gt;""),TRUE))</formula>
    </cfRule>
    <cfRule type="expression" dxfId="177" priority="436">
      <formula>IF(AJ5&gt;=AK5,IF(AJ5="",FALSE,TRUE))</formula>
    </cfRule>
  </conditionalFormatting>
  <conditionalFormatting sqref="AL5:AL19">
    <cfRule type="expression" dxfId="176" priority="433">
      <formula>OR(IF(AL5&lt;AM5,TRUE),IF(AND(AM5="",AL5&lt;&gt;""),TRUE))</formula>
    </cfRule>
    <cfRule type="expression" dxfId="175" priority="434">
      <formula>IF(AL5&gt;=AM5,IF(AL5="",FALSE,TRUE))</formula>
    </cfRule>
  </conditionalFormatting>
  <conditionalFormatting sqref="AX5:AX19">
    <cfRule type="expression" dxfId="174" priority="403">
      <formula>OR(IF(AX5&lt;AY5,TRUE),IF(AND(AY5="",AX5&lt;&gt;""),TRUE))</formula>
    </cfRule>
    <cfRule type="expression" dxfId="173" priority="404">
      <formula>IF(AX5&gt;=AY5,IF(AX5="",FALSE,TRUE))</formula>
    </cfRule>
  </conditionalFormatting>
  <conditionalFormatting sqref="AZ5:AZ19">
    <cfRule type="expression" dxfId="172" priority="401">
      <formula>OR(IF(AZ5&lt;BA5,TRUE),IF(AND(BA5="",AZ5&lt;&gt;""),TRUE))</formula>
    </cfRule>
    <cfRule type="expression" dxfId="171" priority="402">
      <formula>IF(AZ5&gt;=BA5,IF(AZ5="",FALSE,TRUE))</formula>
    </cfRule>
  </conditionalFormatting>
  <conditionalFormatting sqref="K38:K57">
    <cfRule type="colorScale" priority="314">
      <colorScale>
        <cfvo type="percent" val="0"/>
        <cfvo type="percent" val="100"/>
        <color rgb="FFFF231B"/>
        <color rgb="FF10FF07"/>
      </colorScale>
    </cfRule>
  </conditionalFormatting>
  <conditionalFormatting sqref="O38:O57">
    <cfRule type="expression" dxfId="170" priority="312">
      <formula>OR(IF(O38&lt;P38,TRUE),IF(AND(P38="",O38&lt;&gt;""),TRUE))</formula>
    </cfRule>
    <cfRule type="expression" dxfId="169" priority="313">
      <formula>IF(O38&gt;=P38,IF(O38="",FALSE,TRUE))</formula>
    </cfRule>
  </conditionalFormatting>
  <conditionalFormatting sqref="Q38:Q57">
    <cfRule type="expression" dxfId="168" priority="310">
      <formula>OR(IF(Q38&lt;R38,TRUE),IF(AND(R38="",Q38&lt;&gt;""),TRUE))</formula>
    </cfRule>
    <cfRule type="expression" dxfId="167" priority="311">
      <formula>IF(Q38&gt;=R38,IF(Q38="",FALSE,TRUE))</formula>
    </cfRule>
  </conditionalFormatting>
  <conditionalFormatting sqref="AQ38:AQ57">
    <cfRule type="expression" dxfId="166" priority="296">
      <formula>OR(IF(AQ38&lt;AR38,TRUE),IF(AND(AR38="",AQ38&lt;&gt;""),TRUE))</formula>
    </cfRule>
    <cfRule type="expression" dxfId="165" priority="297">
      <formula>IF(AQ38&gt;=AR38,IF(AQ38="",FALSE,TRUE))</formula>
    </cfRule>
  </conditionalFormatting>
  <conditionalFormatting sqref="AS38:AS57">
    <cfRule type="expression" dxfId="164" priority="294">
      <formula>OR(IF(AS38&lt;AT38,TRUE),IF(AND(AT38="",AS38&lt;&gt;""),TRUE))</formula>
    </cfRule>
    <cfRule type="expression" dxfId="163" priority="295">
      <formula>IF(AS38&gt;=AT38,IF(AS38="",FALSE,TRUE))</formula>
    </cfRule>
  </conditionalFormatting>
  <conditionalFormatting sqref="BE38:BE57">
    <cfRule type="expression" dxfId="162" priority="288">
      <formula>OR(IF(BE38&lt;BF38,TRUE),IF(AND(BF38="",BE38&lt;&gt;""),TRUE))</formula>
    </cfRule>
    <cfRule type="expression" dxfId="161" priority="289">
      <formula>IF(BE38&gt;=BF38,IF(BE38="",FALSE,TRUE))</formula>
    </cfRule>
  </conditionalFormatting>
  <conditionalFormatting sqref="BG38:BG57">
    <cfRule type="expression" dxfId="160" priority="286">
      <formula>OR(IF(BG38&lt;BH38,TRUE),IF(AND(BH38="",BG38&lt;&gt;""),TRUE))</formula>
    </cfRule>
    <cfRule type="expression" dxfId="159" priority="287">
      <formula>IF(BG38&gt;=BH38,IF(BG38="",FALSE,TRUE))</formula>
    </cfRule>
  </conditionalFormatting>
  <conditionalFormatting sqref="V38:V57">
    <cfRule type="expression" dxfId="158" priority="308">
      <formula>OR(IF(V38&lt;W38,TRUE),IF(AND(W38="",V38&lt;&gt;""),TRUE))</formula>
    </cfRule>
    <cfRule type="expression" dxfId="157" priority="309">
      <formula>IF(V38&gt;=W38,IF(V38="",FALSE,TRUE))</formula>
    </cfRule>
  </conditionalFormatting>
  <conditionalFormatting sqref="X38:X57">
    <cfRule type="expression" dxfId="156" priority="306">
      <formula>OR(IF(X38&lt;Y38,TRUE),IF(AND(Y38="",X38&lt;&gt;""),TRUE))</formula>
    </cfRule>
    <cfRule type="expression" dxfId="155" priority="307">
      <formula>IF(X38&gt;=Y38,IF(X38="",FALSE,TRUE))</formula>
    </cfRule>
  </conditionalFormatting>
  <conditionalFormatting sqref="AC38:AC57">
    <cfRule type="expression" dxfId="154" priority="304">
      <formula>OR(IF(AC38&lt;AD38,TRUE),IF(AND(AD38="",AC38&lt;&gt;""),TRUE))</formula>
    </cfRule>
    <cfRule type="expression" dxfId="153" priority="305">
      <formula>IF(AC38&gt;=AD38,IF(AC38="",FALSE,TRUE))</formula>
    </cfRule>
  </conditionalFormatting>
  <conditionalFormatting sqref="AE38:AE57">
    <cfRule type="expression" dxfId="152" priority="302">
      <formula>OR(IF(AE38&lt;AF38,TRUE),IF(AND(AF38="",AE38&lt;&gt;""),TRUE))</formula>
    </cfRule>
    <cfRule type="expression" dxfId="151" priority="303">
      <formula>IF(AE38&gt;=AF38,IF(AE38="",FALSE,TRUE))</formula>
    </cfRule>
  </conditionalFormatting>
  <conditionalFormatting sqref="AJ38:AJ57">
    <cfRule type="expression" dxfId="150" priority="300">
      <formula>OR(IF(AJ38&lt;AK38,TRUE),IF(AND(AK38="",AJ38&lt;&gt;""),TRUE))</formula>
    </cfRule>
    <cfRule type="expression" dxfId="149" priority="301">
      <formula>IF(AJ38&gt;=AK38,IF(AJ38="",FALSE,TRUE))</formula>
    </cfRule>
  </conditionalFormatting>
  <conditionalFormatting sqref="AL38:AL57">
    <cfRule type="expression" dxfId="148" priority="298">
      <formula>OR(IF(AL38&lt;AM38,TRUE),IF(AND(AM38="",AL38&lt;&gt;""),TRUE))</formula>
    </cfRule>
    <cfRule type="expression" dxfId="147" priority="299">
      <formula>IF(AL38&gt;=AM38,IF(AL38="",FALSE,TRUE))</formula>
    </cfRule>
  </conditionalFormatting>
  <conditionalFormatting sqref="AX38:AX57">
    <cfRule type="expression" dxfId="146" priority="292">
      <formula>OR(IF(AX38&lt;AY38,TRUE),IF(AND(AY38="",AX38&lt;&gt;""),TRUE))</formula>
    </cfRule>
    <cfRule type="expression" dxfId="145" priority="293">
      <formula>IF(AX38&gt;=AY38,IF(AX38="",FALSE,TRUE))</formula>
    </cfRule>
  </conditionalFormatting>
  <conditionalFormatting sqref="AZ38:AZ57">
    <cfRule type="expression" dxfId="144" priority="290">
      <formula>OR(IF(AZ38&lt;BA38,TRUE),IF(AND(BA38="",AZ38&lt;&gt;""),TRUE))</formula>
    </cfRule>
    <cfRule type="expression" dxfId="143" priority="291">
      <formula>IF(AZ38&gt;=BA38,IF(AZ38="",FALSE,TRUE))</formula>
    </cfRule>
  </conditionalFormatting>
  <conditionalFormatting sqref="K73:K86">
    <cfRule type="colorScale" priority="256">
      <colorScale>
        <cfvo type="percent" val="0"/>
        <cfvo type="percent" val="100"/>
        <color rgb="FFFF231B"/>
        <color rgb="FF10FF07"/>
      </colorScale>
    </cfRule>
  </conditionalFormatting>
  <conditionalFormatting sqref="O73:O86">
    <cfRule type="expression" dxfId="142" priority="254">
      <formula>OR(IF(O73&lt;P73,TRUE),IF(AND(P73="",O73&lt;&gt;""),TRUE))</formula>
    </cfRule>
    <cfRule type="expression" dxfId="141" priority="255">
      <formula>IF(O73&gt;=P73,IF(O73="",FALSE,TRUE))</formula>
    </cfRule>
  </conditionalFormatting>
  <conditionalFormatting sqref="Q73:Q86">
    <cfRule type="expression" dxfId="140" priority="252">
      <formula>OR(IF(Q73&lt;R73,TRUE),IF(AND(R73="",Q73&lt;&gt;""),TRUE))</formula>
    </cfRule>
    <cfRule type="expression" dxfId="139" priority="253">
      <formula>IF(Q73&gt;=R73,IF(Q73="",FALSE,TRUE))</formula>
    </cfRule>
  </conditionalFormatting>
  <conditionalFormatting sqref="AQ73:AQ86">
    <cfRule type="expression" dxfId="138" priority="238">
      <formula>OR(IF(AQ73&lt;AR73,TRUE),IF(AND(AR73="",AQ73&lt;&gt;""),TRUE))</formula>
    </cfRule>
    <cfRule type="expression" dxfId="137" priority="239">
      <formula>IF(AQ73&gt;=AR73,IF(AQ73="",FALSE,TRUE))</formula>
    </cfRule>
  </conditionalFormatting>
  <conditionalFormatting sqref="AS73:AS86">
    <cfRule type="expression" dxfId="136" priority="236">
      <formula>OR(IF(AS73&lt;AT73,TRUE),IF(AND(AT73="",AS73&lt;&gt;""),TRUE))</formula>
    </cfRule>
    <cfRule type="expression" dxfId="135" priority="237">
      <formula>IF(AS73&gt;=AT73,IF(AS73="",FALSE,TRUE))</formula>
    </cfRule>
  </conditionalFormatting>
  <conditionalFormatting sqref="BE73:BE86">
    <cfRule type="expression" dxfId="134" priority="230">
      <formula>OR(IF(BE73&lt;BF73,TRUE),IF(AND(BF73="",BE73&lt;&gt;""),TRUE))</formula>
    </cfRule>
    <cfRule type="expression" dxfId="133" priority="231">
      <formula>IF(BE73&gt;=BF73,IF(BE73="",FALSE,TRUE))</formula>
    </cfRule>
  </conditionalFormatting>
  <conditionalFormatting sqref="BG73:BG86">
    <cfRule type="expression" dxfId="132" priority="228">
      <formula>OR(IF(BG73&lt;BH73,TRUE),IF(AND(BH73="",BG73&lt;&gt;""),TRUE))</formula>
    </cfRule>
    <cfRule type="expression" dxfId="131" priority="229">
      <formula>IF(BG73&gt;=BH73,IF(BG73="",FALSE,TRUE))</formula>
    </cfRule>
  </conditionalFormatting>
  <conditionalFormatting sqref="V73:V86">
    <cfRule type="expression" dxfId="130" priority="250">
      <formula>OR(IF(V73&lt;W73,TRUE),IF(AND(W73="",V73&lt;&gt;""),TRUE))</formula>
    </cfRule>
    <cfRule type="expression" dxfId="129" priority="251">
      <formula>IF(V73&gt;=W73,IF(V73="",FALSE,TRUE))</formula>
    </cfRule>
  </conditionalFormatting>
  <conditionalFormatting sqref="X73:X86">
    <cfRule type="expression" dxfId="128" priority="248">
      <formula>OR(IF(X73&lt;Y73,TRUE),IF(AND(Y73="",X73&lt;&gt;""),TRUE))</formula>
    </cfRule>
    <cfRule type="expression" dxfId="127" priority="249">
      <formula>IF(X73&gt;=Y73,IF(X73="",FALSE,TRUE))</formula>
    </cfRule>
  </conditionalFormatting>
  <conditionalFormatting sqref="AC73:AC86">
    <cfRule type="expression" dxfId="126" priority="246">
      <formula>OR(IF(AC73&lt;AD73,TRUE),IF(AND(AD73="",AC73&lt;&gt;""),TRUE))</formula>
    </cfRule>
    <cfRule type="expression" dxfId="125" priority="247">
      <formula>IF(AC73&gt;=AD73,IF(AC73="",FALSE,TRUE))</formula>
    </cfRule>
  </conditionalFormatting>
  <conditionalFormatting sqref="AE73:AE86">
    <cfRule type="expression" dxfId="124" priority="244">
      <formula>OR(IF(AE73&lt;AF73,TRUE),IF(AND(AF73="",AE73&lt;&gt;""),TRUE))</formula>
    </cfRule>
    <cfRule type="expression" dxfId="123" priority="245">
      <formula>IF(AE73&gt;=AF73,IF(AE73="",FALSE,TRUE))</formula>
    </cfRule>
  </conditionalFormatting>
  <conditionalFormatting sqref="AJ73:AJ86">
    <cfRule type="expression" dxfId="122" priority="242">
      <formula>OR(IF(AJ73&lt;AK73,TRUE),IF(AND(AK73="",AJ73&lt;&gt;""),TRUE))</formula>
    </cfRule>
    <cfRule type="expression" dxfId="121" priority="243">
      <formula>IF(AJ73&gt;=AK73,IF(AJ73="",FALSE,TRUE))</formula>
    </cfRule>
  </conditionalFormatting>
  <conditionalFormatting sqref="AL73:AL86">
    <cfRule type="expression" dxfId="120" priority="240">
      <formula>OR(IF(AL73&lt;AM73,TRUE),IF(AND(AM73="",AL73&lt;&gt;""),TRUE))</formula>
    </cfRule>
    <cfRule type="expression" dxfId="119" priority="241">
      <formula>IF(AL73&gt;=AM73,IF(AL73="",FALSE,TRUE))</formula>
    </cfRule>
  </conditionalFormatting>
  <conditionalFormatting sqref="AX73:AX86">
    <cfRule type="expression" dxfId="118" priority="234">
      <formula>OR(IF(AX73&lt;AY73,TRUE),IF(AND(AY73="",AX73&lt;&gt;""),TRUE))</formula>
    </cfRule>
    <cfRule type="expression" dxfId="117" priority="235">
      <formula>IF(AX73&gt;=AY73,IF(AX73="",FALSE,TRUE))</formula>
    </cfRule>
  </conditionalFormatting>
  <conditionalFormatting sqref="AZ73:AZ86">
    <cfRule type="expression" dxfId="116" priority="232">
      <formula>OR(IF(AZ73&lt;BA73,TRUE),IF(AND(BA73="",AZ73&lt;&gt;""),TRUE))</formula>
    </cfRule>
    <cfRule type="expression" dxfId="115" priority="233">
      <formula>IF(AZ73&gt;=BA73,IF(AZ73="",FALSE,TRUE))</formula>
    </cfRule>
  </conditionalFormatting>
  <conditionalFormatting sqref="J29:K29 K30:K35 J30:J88 J4:J28">
    <cfRule type="colorScale" priority="555">
      <colorScale>
        <cfvo type="percent" val="0"/>
        <cfvo type="percent" val="100"/>
        <color rgb="FFFF231B"/>
        <color rgb="FF10FF07"/>
      </colorScale>
    </cfRule>
  </conditionalFormatting>
  <conditionalFormatting sqref="K60:K70">
    <cfRule type="colorScale" priority="556">
      <colorScale>
        <cfvo type="percent" val="0"/>
        <cfvo type="percent" val="100"/>
        <color rgb="FFFF231B"/>
        <color rgb="FF10FF07"/>
      </colorScale>
    </cfRule>
  </conditionalFormatting>
  <conditionalFormatting sqref="BL29:BL35 BN29:BN35 BL60:BL70 BN60:BN70">
    <cfRule type="expression" dxfId="114" priority="197">
      <formula>OR(IF(BL29&lt;BM29,TRUE),IF(AND(BM29="",BL29&lt;&gt;""),TRUE))</formula>
    </cfRule>
    <cfRule type="expression" dxfId="113" priority="198">
      <formula>IF(BL29&gt;=BM29,IF(BL29="",FALSE,TRUE))</formula>
    </cfRule>
  </conditionalFormatting>
  <conditionalFormatting sqref="BL5:BL19">
    <cfRule type="expression" dxfId="112" priority="195">
      <formula>OR(IF(BL5&lt;BM5,TRUE),IF(AND(BM5="",BL5&lt;&gt;""),TRUE))</formula>
    </cfRule>
    <cfRule type="expression" dxfId="111" priority="196">
      <formula>IF(BL5&gt;=BM5,IF(BL5="",FALSE,TRUE))</formula>
    </cfRule>
  </conditionalFormatting>
  <conditionalFormatting sqref="BN5:BN19">
    <cfRule type="expression" dxfId="110" priority="193">
      <formula>OR(IF(BN5&lt;BO5,TRUE),IF(AND(BO5="",BN5&lt;&gt;""),TRUE))</formula>
    </cfRule>
    <cfRule type="expression" dxfId="109" priority="194">
      <formula>IF(BN5&gt;=BO5,IF(BN5="",FALSE,TRUE))</formula>
    </cfRule>
  </conditionalFormatting>
  <conditionalFormatting sqref="BL38:BL57">
    <cfRule type="expression" dxfId="108" priority="187">
      <formula>OR(IF(BL38&lt;BM38,TRUE),IF(AND(BM38="",BL38&lt;&gt;""),TRUE))</formula>
    </cfRule>
    <cfRule type="expression" dxfId="107" priority="188">
      <formula>IF(BL38&gt;=BM38,IF(BL38="",FALSE,TRUE))</formula>
    </cfRule>
  </conditionalFormatting>
  <conditionalFormatting sqref="BN38:BN57">
    <cfRule type="expression" dxfId="106" priority="185">
      <formula>OR(IF(BN38&lt;BO38,TRUE),IF(AND(BO38="",BN38&lt;&gt;""),TRUE))</formula>
    </cfRule>
    <cfRule type="expression" dxfId="105" priority="186">
      <formula>IF(BN38&gt;=BO38,IF(BN38="",FALSE,TRUE))</formula>
    </cfRule>
  </conditionalFormatting>
  <conditionalFormatting sqref="BL73:BL86">
    <cfRule type="expression" dxfId="104" priority="183">
      <formula>OR(IF(BL73&lt;BM73,TRUE),IF(AND(BM73="",BL73&lt;&gt;""),TRUE))</formula>
    </cfRule>
    <cfRule type="expression" dxfId="103" priority="184">
      <formula>IF(BL73&gt;=BM73,IF(BL73="",FALSE,TRUE))</formula>
    </cfRule>
  </conditionalFormatting>
  <conditionalFormatting sqref="BN73:BN86">
    <cfRule type="expression" dxfId="102" priority="181">
      <formula>OR(IF(BN73&lt;BO73,TRUE),IF(AND(BO73="",BN73&lt;&gt;""),TRUE))</formula>
    </cfRule>
    <cfRule type="expression" dxfId="101" priority="182">
      <formula>IF(BN73&gt;=BO73,IF(BN73="",FALSE,TRUE))</formula>
    </cfRule>
  </conditionalFormatting>
  <conditionalFormatting sqref="BS29:BS35 BU29:BU35 BS60:BS70 BU60:BU70">
    <cfRule type="expression" dxfId="100" priority="175">
      <formula>OR(IF(BS29&lt;BT29,TRUE),IF(AND(BT29="",BS29&lt;&gt;""),TRUE))</formula>
    </cfRule>
    <cfRule type="expression" dxfId="99" priority="176">
      <formula>IF(BS29&gt;=BT29,IF(BS29="",FALSE,TRUE))</formula>
    </cfRule>
  </conditionalFormatting>
  <conditionalFormatting sqref="BS5:BS19">
    <cfRule type="expression" dxfId="98" priority="173">
      <formula>OR(IF(BS5&lt;BT5,TRUE),IF(AND(BT5="",BS5&lt;&gt;""),TRUE))</formula>
    </cfRule>
    <cfRule type="expression" dxfId="97" priority="174">
      <formula>IF(BS5&gt;=BT5,IF(BS5="",FALSE,TRUE))</formula>
    </cfRule>
  </conditionalFormatting>
  <conditionalFormatting sqref="BU5:BU19">
    <cfRule type="expression" dxfId="96" priority="171">
      <formula>OR(IF(BU5&lt;BV5,TRUE),IF(AND(BV5="",BU5&lt;&gt;""),TRUE))</formula>
    </cfRule>
    <cfRule type="expression" dxfId="95" priority="172">
      <formula>IF(BU5&gt;=BV5,IF(BU5="",FALSE,TRUE))</formula>
    </cfRule>
  </conditionalFormatting>
  <conditionalFormatting sqref="BS38:BS57">
    <cfRule type="expression" dxfId="94" priority="165">
      <formula>OR(IF(BS38&lt;BT38,TRUE),IF(AND(BT38="",BS38&lt;&gt;""),TRUE))</formula>
    </cfRule>
    <cfRule type="expression" dxfId="93" priority="166">
      <formula>IF(BS38&gt;=BT38,IF(BS38="",FALSE,TRUE))</formula>
    </cfRule>
  </conditionalFormatting>
  <conditionalFormatting sqref="BU38:BU57">
    <cfRule type="expression" dxfId="92" priority="163">
      <formula>OR(IF(BU38&lt;BV38,TRUE),IF(AND(BV38="",BU38&lt;&gt;""),TRUE))</formula>
    </cfRule>
    <cfRule type="expression" dxfId="91" priority="164">
      <formula>IF(BU38&gt;=BV38,IF(BU38="",FALSE,TRUE))</formula>
    </cfRule>
  </conditionalFormatting>
  <conditionalFormatting sqref="BS73:BS86">
    <cfRule type="expression" dxfId="90" priority="161">
      <formula>OR(IF(BS73&lt;BT73,TRUE),IF(AND(BT73="",BS73&lt;&gt;""),TRUE))</formula>
    </cfRule>
    <cfRule type="expression" dxfId="89" priority="162">
      <formula>IF(BS73&gt;=BT73,IF(BS73="",FALSE,TRUE))</formula>
    </cfRule>
  </conditionalFormatting>
  <conditionalFormatting sqref="BU73:BU86">
    <cfRule type="expression" dxfId="88" priority="159">
      <formula>OR(IF(BU73&lt;BV73,TRUE),IF(AND(BV73="",BU73&lt;&gt;""),TRUE))</formula>
    </cfRule>
    <cfRule type="expression" dxfId="87" priority="160">
      <formula>IF(BU73&gt;=BV73,IF(BU73="",FALSE,TRUE))</formula>
    </cfRule>
  </conditionalFormatting>
  <conditionalFormatting sqref="BZ29:BZ35 CB29:CB35 BZ60:BZ70 CB60:CB70">
    <cfRule type="expression" dxfId="86" priority="153">
      <formula>OR(IF(BZ29&lt;CA29,TRUE),IF(AND(CA29="",BZ29&lt;&gt;""),TRUE))</formula>
    </cfRule>
    <cfRule type="expression" dxfId="85" priority="154">
      <formula>IF(BZ29&gt;=CA29,IF(BZ29="",FALSE,TRUE))</formula>
    </cfRule>
  </conditionalFormatting>
  <conditionalFormatting sqref="BZ5:BZ19">
    <cfRule type="expression" dxfId="84" priority="151">
      <formula>OR(IF(BZ5&lt;CA5,TRUE),IF(AND(CA5="",BZ5&lt;&gt;""),TRUE))</formula>
    </cfRule>
    <cfRule type="expression" dxfId="83" priority="152">
      <formula>IF(BZ5&gt;=CA5,IF(BZ5="",FALSE,TRUE))</formula>
    </cfRule>
  </conditionalFormatting>
  <conditionalFormatting sqref="CB5:CB19">
    <cfRule type="expression" dxfId="82" priority="149">
      <formula>OR(IF(CB5&lt;CC5,TRUE),IF(AND(CC5="",CB5&lt;&gt;""),TRUE))</formula>
    </cfRule>
    <cfRule type="expression" dxfId="81" priority="150">
      <formula>IF(CB5&gt;=CC5,IF(CB5="",FALSE,TRUE))</formula>
    </cfRule>
  </conditionalFormatting>
  <conditionalFormatting sqref="BZ38:BZ57">
    <cfRule type="expression" dxfId="80" priority="143">
      <formula>OR(IF(BZ38&lt;CA38,TRUE),IF(AND(CA38="",BZ38&lt;&gt;""),TRUE))</formula>
    </cfRule>
    <cfRule type="expression" dxfId="79" priority="144">
      <formula>IF(BZ38&gt;=CA38,IF(BZ38="",FALSE,TRUE))</formula>
    </cfRule>
  </conditionalFormatting>
  <conditionalFormatting sqref="CB38:CB57">
    <cfRule type="expression" dxfId="78" priority="141">
      <formula>OR(IF(CB38&lt;CC38,TRUE),IF(AND(CC38="",CB38&lt;&gt;""),TRUE))</formula>
    </cfRule>
    <cfRule type="expression" dxfId="77" priority="142">
      <formula>IF(CB38&gt;=CC38,IF(CB38="",FALSE,TRUE))</formula>
    </cfRule>
  </conditionalFormatting>
  <conditionalFormatting sqref="BZ73:BZ86">
    <cfRule type="expression" dxfId="76" priority="139">
      <formula>OR(IF(BZ73&lt;CA73,TRUE),IF(AND(CA73="",BZ73&lt;&gt;""),TRUE))</formula>
    </cfRule>
    <cfRule type="expression" dxfId="75" priority="140">
      <formula>IF(BZ73&gt;=CA73,IF(BZ73="",FALSE,TRUE))</formula>
    </cfRule>
  </conditionalFormatting>
  <conditionalFormatting sqref="CB73:CB86">
    <cfRule type="expression" dxfId="74" priority="137">
      <formula>OR(IF(CB73&lt;CC73,TRUE),IF(AND(CC73="",CB73&lt;&gt;""),TRUE))</formula>
    </cfRule>
    <cfRule type="expression" dxfId="73" priority="138">
      <formula>IF(CB73&gt;=CC73,IF(CB73="",FALSE,TRUE))</formula>
    </cfRule>
  </conditionalFormatting>
  <conditionalFormatting sqref="CG29:CG35 CI29:CI35 CG60:CG70 CI60:CI70">
    <cfRule type="expression" dxfId="72" priority="87">
      <formula>OR(IF(CG29&lt;CH29,TRUE),IF(AND(CH29="",CG29&lt;&gt;""),TRUE))</formula>
    </cfRule>
    <cfRule type="expression" dxfId="71" priority="88">
      <formula>IF(CG29&gt;=CH29,IF(CG29="",FALSE,TRUE))</formula>
    </cfRule>
  </conditionalFormatting>
  <conditionalFormatting sqref="CG5:CG19">
    <cfRule type="expression" dxfId="70" priority="85">
      <formula>OR(IF(CG5&lt;CH5,TRUE),IF(AND(CH5="",CG5&lt;&gt;""),TRUE))</formula>
    </cfRule>
    <cfRule type="expression" dxfId="69" priority="86">
      <formula>IF(CG5&gt;=CH5,IF(CG5="",FALSE,TRUE))</formula>
    </cfRule>
  </conditionalFormatting>
  <conditionalFormatting sqref="CI5:CI19">
    <cfRule type="expression" dxfId="68" priority="83">
      <formula>OR(IF(CI5&lt;CJ5,TRUE),IF(AND(CJ5="",CI5&lt;&gt;""),TRUE))</formula>
    </cfRule>
    <cfRule type="expression" dxfId="67" priority="84">
      <formula>IF(CI5&gt;=CJ5,IF(CI5="",FALSE,TRUE))</formula>
    </cfRule>
  </conditionalFormatting>
  <conditionalFormatting sqref="CG38:CG57">
    <cfRule type="expression" dxfId="66" priority="77">
      <formula>OR(IF(CG38&lt;CH38,TRUE),IF(AND(CH38="",CG38&lt;&gt;""),TRUE))</formula>
    </cfRule>
    <cfRule type="expression" dxfId="65" priority="78">
      <formula>IF(CG38&gt;=CH38,IF(CG38="",FALSE,TRUE))</formula>
    </cfRule>
  </conditionalFormatting>
  <conditionalFormatting sqref="CI38:CI57">
    <cfRule type="expression" dxfId="64" priority="75">
      <formula>OR(IF(CI38&lt;CJ38,TRUE),IF(AND(CJ38="",CI38&lt;&gt;""),TRUE))</formula>
    </cfRule>
    <cfRule type="expression" dxfId="63" priority="76">
      <formula>IF(CI38&gt;=CJ38,IF(CI38="",FALSE,TRUE))</formula>
    </cfRule>
  </conditionalFormatting>
  <conditionalFormatting sqref="CG73:CG86">
    <cfRule type="expression" dxfId="62" priority="73">
      <formula>OR(IF(CG73&lt;CH73,TRUE),IF(AND(CH73="",CG73&lt;&gt;""),TRUE))</formula>
    </cfRule>
    <cfRule type="expression" dxfId="61" priority="74">
      <formula>IF(CG73&gt;=CH73,IF(CG73="",FALSE,TRUE))</formula>
    </cfRule>
  </conditionalFormatting>
  <conditionalFormatting sqref="CI73:CI86">
    <cfRule type="expression" dxfId="60" priority="71">
      <formula>OR(IF(CI73&lt;CJ73,TRUE),IF(AND(CJ73="",CI73&lt;&gt;""),TRUE))</formula>
    </cfRule>
    <cfRule type="expression" dxfId="59" priority="72">
      <formula>IF(CI73&gt;=CJ73,IF(CI73="",FALSE,TRUE))</formula>
    </cfRule>
  </conditionalFormatting>
  <conditionalFormatting sqref="CN29:CN35 CP29:CP35 CN60:CN70 CP60:CP70">
    <cfRule type="expression" dxfId="58" priority="65">
      <formula>OR(IF(CN29&lt;CO29,TRUE),IF(AND(CO29="",CN29&lt;&gt;""),TRUE))</formula>
    </cfRule>
    <cfRule type="expression" dxfId="57" priority="66">
      <formula>IF(CN29&gt;=CO29,IF(CN29="",FALSE,TRUE))</formula>
    </cfRule>
  </conditionalFormatting>
  <conditionalFormatting sqref="CN5:CN19">
    <cfRule type="expression" dxfId="56" priority="63">
      <formula>OR(IF(CN5&lt;CO5,TRUE),IF(AND(CO5="",CN5&lt;&gt;""),TRUE))</formula>
    </cfRule>
    <cfRule type="expression" dxfId="55" priority="64">
      <formula>IF(CN5&gt;=CO5,IF(CN5="",FALSE,TRUE))</formula>
    </cfRule>
  </conditionalFormatting>
  <conditionalFormatting sqref="CP5:CP19">
    <cfRule type="expression" dxfId="54" priority="61">
      <formula>OR(IF(CP5&lt;CQ5,TRUE),IF(AND(CQ5="",CP5&lt;&gt;""),TRUE))</formula>
    </cfRule>
    <cfRule type="expression" dxfId="53" priority="62">
      <formula>IF(CP5&gt;=CQ5,IF(CP5="",FALSE,TRUE))</formula>
    </cfRule>
  </conditionalFormatting>
  <conditionalFormatting sqref="CN38:CN57">
    <cfRule type="expression" dxfId="52" priority="55">
      <formula>OR(IF(CN38&lt;CO38,TRUE),IF(AND(CO38="",CN38&lt;&gt;""),TRUE))</formula>
    </cfRule>
    <cfRule type="expression" dxfId="51" priority="56">
      <formula>IF(CN38&gt;=CO38,IF(CN38="",FALSE,TRUE))</formula>
    </cfRule>
  </conditionalFormatting>
  <conditionalFormatting sqref="CP38:CP57">
    <cfRule type="expression" dxfId="50" priority="53">
      <formula>OR(IF(CP38&lt;CQ38,TRUE),IF(AND(CQ38="",CP38&lt;&gt;""),TRUE))</formula>
    </cfRule>
    <cfRule type="expression" dxfId="49" priority="54">
      <formula>IF(CP38&gt;=CQ38,IF(CP38="",FALSE,TRUE))</formula>
    </cfRule>
  </conditionalFormatting>
  <conditionalFormatting sqref="CN73:CN86">
    <cfRule type="expression" dxfId="48" priority="51">
      <formula>OR(IF(CN73&lt;CO73,TRUE),IF(AND(CO73="",CN73&lt;&gt;""),TRUE))</formula>
    </cfRule>
    <cfRule type="expression" dxfId="47" priority="52">
      <formula>IF(CN73&gt;=CO73,IF(CN73="",FALSE,TRUE))</formula>
    </cfRule>
  </conditionalFormatting>
  <conditionalFormatting sqref="CP73:CP86">
    <cfRule type="expression" dxfId="46" priority="49">
      <formula>OR(IF(CP73&lt;CQ73,TRUE),IF(AND(CQ73="",CP73&lt;&gt;""),TRUE))</formula>
    </cfRule>
    <cfRule type="expression" dxfId="45" priority="50">
      <formula>IF(CP73&gt;=CQ73,IF(CP73="",FALSE,TRUE))</formula>
    </cfRule>
  </conditionalFormatting>
  <conditionalFormatting sqref="CU29:CU35 CW29:CW35 CU60:CU70 CW60:CW70">
    <cfRule type="expression" dxfId="44" priority="43">
      <formula>OR(IF(CU29&lt;CV29,TRUE),IF(AND(CV29="",CU29&lt;&gt;""),TRUE))</formula>
    </cfRule>
    <cfRule type="expression" dxfId="43" priority="44">
      <formula>IF(CU29&gt;=CV29,IF(CU29="",FALSE,TRUE))</formula>
    </cfRule>
  </conditionalFormatting>
  <conditionalFormatting sqref="CU5:CU19">
    <cfRule type="expression" dxfId="42" priority="41">
      <formula>OR(IF(CU5&lt;CV5,TRUE),IF(AND(CV5="",CU5&lt;&gt;""),TRUE))</formula>
    </cfRule>
    <cfRule type="expression" dxfId="41" priority="42">
      <formula>IF(CU5&gt;=CV5,IF(CU5="",FALSE,TRUE))</formula>
    </cfRule>
  </conditionalFormatting>
  <conditionalFormatting sqref="CW5:CW19">
    <cfRule type="expression" dxfId="40" priority="39">
      <formula>OR(IF(CW5&lt;CX5,TRUE),IF(AND(CX5="",CW5&lt;&gt;""),TRUE))</formula>
    </cfRule>
    <cfRule type="expression" dxfId="39" priority="40">
      <formula>IF(CW5&gt;=CX5,IF(CW5="",FALSE,TRUE))</formula>
    </cfRule>
  </conditionalFormatting>
  <conditionalFormatting sqref="CU38:CU57">
    <cfRule type="expression" dxfId="38" priority="33">
      <formula>OR(IF(CU38&lt;CV38,TRUE),IF(AND(CV38="",CU38&lt;&gt;""),TRUE))</formula>
    </cfRule>
    <cfRule type="expression" dxfId="37" priority="34">
      <formula>IF(CU38&gt;=CV38,IF(CU38="",FALSE,TRUE))</formula>
    </cfRule>
  </conditionalFormatting>
  <conditionalFormatting sqref="CW38:CW57">
    <cfRule type="expression" dxfId="36" priority="31">
      <formula>OR(IF(CW38&lt;CX38,TRUE),IF(AND(CX38="",CW38&lt;&gt;""),TRUE))</formula>
    </cfRule>
    <cfRule type="expression" dxfId="35" priority="32">
      <formula>IF(CW38&gt;=CX38,IF(CW38="",FALSE,TRUE))</formula>
    </cfRule>
  </conditionalFormatting>
  <conditionalFormatting sqref="CU73:CU86">
    <cfRule type="expression" dxfId="34" priority="29">
      <formula>OR(IF(CU73&lt;CV73,TRUE),IF(AND(CV73="",CU73&lt;&gt;""),TRUE))</formula>
    </cfRule>
    <cfRule type="expression" dxfId="33" priority="30">
      <formula>IF(CU73&gt;=CV73,IF(CU73="",FALSE,TRUE))</formula>
    </cfRule>
  </conditionalFormatting>
  <conditionalFormatting sqref="CW73:CW86">
    <cfRule type="expression" dxfId="32" priority="27">
      <formula>OR(IF(CW73&lt;CX73,TRUE),IF(AND(CX73="",CW73&lt;&gt;""),TRUE))</formula>
    </cfRule>
    <cfRule type="expression" dxfId="31" priority="28">
      <formula>IF(CW73&gt;=CX73,IF(CW73="",FALSE,TRUE))</formula>
    </cfRule>
  </conditionalFormatting>
  <conditionalFormatting sqref="DB29:DB35 DD29:DD35 DB60:DB70 DD60:DD70">
    <cfRule type="expression" dxfId="30" priority="21">
      <formula>OR(IF(DB29&lt;DC29,TRUE),IF(AND(DC29="",DB29&lt;&gt;""),TRUE))</formula>
    </cfRule>
    <cfRule type="expression" dxfId="29" priority="22">
      <formula>IF(DB29&gt;=DC29,IF(DB29="",FALSE,TRUE))</formula>
    </cfRule>
  </conditionalFormatting>
  <conditionalFormatting sqref="DB5:DB19">
    <cfRule type="expression" dxfId="28" priority="19">
      <formula>OR(IF(DB5&lt;DC5,TRUE),IF(AND(DC5="",DB5&lt;&gt;""),TRUE))</formula>
    </cfRule>
    <cfRule type="expression" dxfId="27" priority="20">
      <formula>IF(DB5&gt;=DC5,IF(DB5="",FALSE,TRUE))</formula>
    </cfRule>
  </conditionalFormatting>
  <conditionalFormatting sqref="DD5:DD19">
    <cfRule type="expression" dxfId="26" priority="17">
      <formula>OR(IF(DD5&lt;DE5,TRUE),IF(AND(DE5="",DD5&lt;&gt;""),TRUE))</formula>
    </cfRule>
    <cfRule type="expression" dxfId="25" priority="18">
      <formula>IF(DD5&gt;=DE5,IF(DD5="",FALSE,TRUE))</formula>
    </cfRule>
  </conditionalFormatting>
  <conditionalFormatting sqref="DB38:DB57">
    <cfRule type="expression" dxfId="24" priority="11">
      <formula>OR(IF(DB38&lt;DC38,TRUE),IF(AND(DC38="",DB38&lt;&gt;""),TRUE))</formula>
    </cfRule>
    <cfRule type="expression" dxfId="23" priority="12">
      <formula>IF(DB38&gt;=DC38,IF(DB38="",FALSE,TRUE))</formula>
    </cfRule>
  </conditionalFormatting>
  <conditionalFormatting sqref="DD38:DD57">
    <cfRule type="expression" dxfId="22" priority="9">
      <formula>OR(IF(DD38&lt;DE38,TRUE),IF(AND(DE38="",DD38&lt;&gt;""),TRUE))</formula>
    </cfRule>
    <cfRule type="expression" dxfId="21" priority="10">
      <formula>IF(DD38&gt;=DE38,IF(DD38="",FALSE,TRUE))</formula>
    </cfRule>
  </conditionalFormatting>
  <conditionalFormatting sqref="DB73:DB86">
    <cfRule type="expression" dxfId="20" priority="7">
      <formula>OR(IF(DB73&lt;DC73,TRUE),IF(AND(DC73="",DB73&lt;&gt;""),TRUE))</formula>
    </cfRule>
    <cfRule type="expression" dxfId="19" priority="8">
      <formula>IF(DB73&gt;=DC73,IF(DB73="",FALSE,TRUE))</formula>
    </cfRule>
  </conditionalFormatting>
  <conditionalFormatting sqref="DD73:DD86">
    <cfRule type="expression" dxfId="18" priority="5">
      <formula>OR(IF(DD73&lt;DE73,TRUE),IF(AND(DE73="",DD73&lt;&gt;""),TRUE))</formula>
    </cfRule>
    <cfRule type="expression" dxfId="17" priority="6">
      <formula>IF(DD73&gt;=DE73,IF(DD73="",FALSE,TRUE))</formula>
    </cfRule>
  </conditionalFormatting>
  <conditionalFormatting sqref="J89:K95">
    <cfRule type="colorScale" priority="559">
      <colorScale>
        <cfvo type="percent" val="0"/>
        <cfvo type="percent" val="100"/>
        <color rgb="FFFF231B"/>
        <color rgb="FF10FF07"/>
      </colorScale>
    </cfRule>
  </conditionalFormatting>
  <conditionalFormatting sqref="K22:K26">
    <cfRule type="colorScale" priority="621">
      <colorScale>
        <cfvo type="percent" val="0"/>
        <cfvo type="percent" val="100"/>
        <color rgb="FFFF231B"/>
        <color rgb="FF10FF07"/>
      </colorScale>
    </cfRule>
  </conditionalFormatting>
  <dataValidations count="1">
    <dataValidation type="list" allowBlank="1" showInputMessage="1" showErrorMessage="1" sqref="O5:R19 CW22:CX26 V5:Y19 AC5:AF19 AJ5:AM19 AQ5:AT19 AX5:BA19 O22:R26 V22:Y26 AC22:AF26 AJ22:AM26 CN89:CQ95 AQ22:AT26 AX22:BA26 O29:R35 V29:Y35 AC29:AF35 AQ29:AT35 BL29:BO35 CG38:CJ57 AX29:BA35 O38:R57 CU89:CX95 V38:Y57 AJ29:AM35 AC38:AF57 AQ38:AT57 AX38:BA57 O60:R70 V60:Y70 CG60:CJ70 AC60:AF70 AJ60:AM70 AQ60:AT70 AX60:BA70 O73:R86 CN73:CQ86 V73:Y86 AC73:AF86 AJ73:AM86 AQ73:AT86 AX73:BA86 O89:R95 V89:Y95 AC89:AF95 CU60:CX70 AJ89:AM95 AQ89:AT95 AX89:BA95 BE5:BH19 BE22:BH26 AJ38:AM57 BE38:BH57 BE60:BH70 BE73:BH86 BE89:BH95 BL5:BO19 BL22:BO26 BE29:BH35 BL38:BO57 BL60:BO70 BL73:BO86 BL89:BO95 BS5:BV19 BS22:BV26 BS29:BV35 BS38:BV57 BS60:BV70 BS73:BV86 BS89:BV95 BZ5:CC19 BZ22:CC26 BZ29:CC35 BZ38:CC57 BZ60:CC70 BZ73:CC86 BZ89:CC95 CG5:CJ19 CN22:CQ26 CN29:CQ35 CN38:CQ57 CN60:CQ70 CG22:CJ26 CG89:CJ95 CG73:CJ86 CU38:CX57 DB60:DE70 CU73:CX86 DE89:DE96 DB5:DE19 DB22:DE26 DB29:DE35 DB38:DE57 CG29:CJ35 DB73:DE86 DB89:DD95 CU5:CU19 CW5:CX19 CU29:CU35 CW29:CX35 CU22:CU26 CN5:CQ19 CV5:CV35">
      <formula1>"10%,20%,30%,40%,50%,60%,70%,80%,90%,100%"</formula1>
    </dataValidation>
  </dataValidations>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workbookViewId="0">
      <selection activeCell="J10" sqref="J10"/>
    </sheetView>
  </sheetViews>
  <sheetFormatPr baseColWidth="10" defaultRowHeight="15.75"/>
  <cols>
    <col min="1" max="1" width="16.875" style="10" customWidth="1"/>
    <col min="2" max="2" width="19.125" style="10" customWidth="1"/>
    <col min="3" max="3" width="18.125" style="10" customWidth="1"/>
    <col min="4" max="4" width="19.5" style="10" customWidth="1"/>
    <col min="8" max="8" width="15.125" customWidth="1"/>
    <col min="10" max="10" width="42" customWidth="1"/>
    <col min="11" max="11" width="28.5" customWidth="1"/>
  </cols>
  <sheetData>
    <row r="1" spans="1:11" ht="31.5">
      <c r="A1" s="10" t="s">
        <v>44</v>
      </c>
      <c r="B1" s="16" t="s">
        <v>41</v>
      </c>
      <c r="C1" s="16" t="s">
        <v>42</v>
      </c>
      <c r="D1" s="16" t="s">
        <v>43</v>
      </c>
      <c r="E1" s="1" t="s">
        <v>45</v>
      </c>
      <c r="F1" s="1" t="s">
        <v>46</v>
      </c>
      <c r="G1" s="1" t="s">
        <v>47</v>
      </c>
      <c r="H1" s="1" t="s">
        <v>48</v>
      </c>
      <c r="I1" s="1" t="s">
        <v>49</v>
      </c>
      <c r="J1" s="1" t="s">
        <v>50</v>
      </c>
      <c r="K1" s="1" t="s">
        <v>51</v>
      </c>
    </row>
    <row r="2" spans="1:11">
      <c r="A2" s="15">
        <v>44118</v>
      </c>
      <c r="D2" s="17">
        <v>1</v>
      </c>
    </row>
    <row r="3" spans="1:11">
      <c r="A3" s="15">
        <v>44119</v>
      </c>
    </row>
    <row r="4" spans="1:11">
      <c r="A4" s="15">
        <v>44120</v>
      </c>
    </row>
    <row r="5" spans="1:11">
      <c r="A5" s="15">
        <v>44121</v>
      </c>
    </row>
    <row r="6" spans="1:11">
      <c r="A6" s="15">
        <v>44122</v>
      </c>
    </row>
    <row r="7" spans="1:11">
      <c r="A7" s="15">
        <v>44123</v>
      </c>
    </row>
    <row r="8" spans="1:11">
      <c r="A8" s="15">
        <v>44124</v>
      </c>
    </row>
    <row r="9" spans="1:11">
      <c r="A9" s="15">
        <v>44125</v>
      </c>
    </row>
    <row r="10" spans="1:11">
      <c r="A10" s="15">
        <v>44126</v>
      </c>
    </row>
    <row r="11" spans="1:11">
      <c r="A11" s="15">
        <v>44127</v>
      </c>
    </row>
    <row r="12" spans="1:11">
      <c r="A12" s="15">
        <v>44128</v>
      </c>
    </row>
    <row r="13" spans="1:11">
      <c r="A13" s="15">
        <v>44129</v>
      </c>
    </row>
    <row r="14" spans="1:11">
      <c r="A14" s="15">
        <v>44130</v>
      </c>
    </row>
    <row r="15" spans="1:11">
      <c r="A15" s="15">
        <v>44131</v>
      </c>
    </row>
    <row r="16" spans="1:11">
      <c r="A16" s="15">
        <v>44132</v>
      </c>
    </row>
    <row r="17" spans="1:1">
      <c r="A17" s="15">
        <v>44133</v>
      </c>
    </row>
    <row r="18" spans="1:1">
      <c r="A18" s="15">
        <v>44134</v>
      </c>
    </row>
    <row r="19" spans="1:1">
      <c r="A19" s="15">
        <v>44135</v>
      </c>
    </row>
    <row r="20" spans="1:1">
      <c r="A20" s="15">
        <v>44136</v>
      </c>
    </row>
    <row r="21" spans="1:1">
      <c r="A21" s="15">
        <v>44137</v>
      </c>
    </row>
    <row r="22" spans="1:1">
      <c r="A22" s="15">
        <v>44138</v>
      </c>
    </row>
    <row r="23" spans="1:1">
      <c r="A23" s="15">
        <v>44139</v>
      </c>
    </row>
    <row r="24" spans="1:1">
      <c r="A24" s="15">
        <v>44140</v>
      </c>
    </row>
    <row r="25" spans="1:1">
      <c r="A25" s="15">
        <v>44141</v>
      </c>
    </row>
    <row r="26" spans="1:1">
      <c r="A26" s="15">
        <v>44142</v>
      </c>
    </row>
    <row r="27" spans="1:1">
      <c r="A27" s="15">
        <v>44143</v>
      </c>
    </row>
    <row r="28" spans="1:1">
      <c r="A28" s="15">
        <v>44144</v>
      </c>
    </row>
    <row r="29" spans="1:1">
      <c r="A29" s="15">
        <v>44145</v>
      </c>
    </row>
    <row r="30" spans="1:1">
      <c r="A30" s="15">
        <v>44146</v>
      </c>
    </row>
    <row r="31" spans="1:1">
      <c r="A31" s="15">
        <v>44147</v>
      </c>
    </row>
    <row r="32" spans="1:1">
      <c r="A32" s="15">
        <v>44148</v>
      </c>
    </row>
    <row r="33" spans="1:1">
      <c r="A33" s="15">
        <v>44149</v>
      </c>
    </row>
    <row r="34" spans="1:1">
      <c r="A34" s="15">
        <v>44150</v>
      </c>
    </row>
    <row r="35" spans="1:1">
      <c r="A35" s="15">
        <v>44151</v>
      </c>
    </row>
    <row r="36" spans="1:1">
      <c r="A36" s="15">
        <v>44152</v>
      </c>
    </row>
    <row r="37" spans="1:1">
      <c r="A37" s="15">
        <v>44153</v>
      </c>
    </row>
    <row r="38" spans="1:1">
      <c r="A38" s="15">
        <v>44154</v>
      </c>
    </row>
    <row r="39" spans="1:1">
      <c r="A39" s="15">
        <v>44155</v>
      </c>
    </row>
    <row r="40" spans="1:1">
      <c r="A40" s="15">
        <v>44156</v>
      </c>
    </row>
    <row r="41" spans="1:1">
      <c r="A41" s="15">
        <v>44157</v>
      </c>
    </row>
    <row r="42" spans="1:1">
      <c r="A42" s="15">
        <v>44158</v>
      </c>
    </row>
    <row r="43" spans="1:1">
      <c r="A43" s="15">
        <v>44159</v>
      </c>
    </row>
    <row r="44" spans="1:1">
      <c r="A44" s="15">
        <v>44160</v>
      </c>
    </row>
    <row r="45" spans="1:1">
      <c r="A45" s="15">
        <v>44161</v>
      </c>
    </row>
    <row r="46" spans="1:1">
      <c r="A46" s="15">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formula1>"Ja,Nein"</formula1>
    </dataValidation>
    <dataValidation type="list" allowBlank="1" showInputMessage="1" showErrorMessage="1" sqref="D2">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opLeftCell="A11" zoomScale="117" workbookViewId="0">
      <selection activeCell="H20" sqref="H20"/>
    </sheetView>
  </sheetViews>
  <sheetFormatPr baseColWidth="10" defaultColWidth="10.625" defaultRowHeight="15.75"/>
  <cols>
    <col min="2" max="2" width="29.875" bestFit="1" customWidth="1"/>
    <col min="3" max="3" width="31.625" bestFit="1" customWidth="1"/>
    <col min="4" max="5" width="14.5" bestFit="1" customWidth="1"/>
  </cols>
  <sheetData>
    <row r="1" spans="1:8" ht="26.25">
      <c r="B1" s="8" t="s">
        <v>26</v>
      </c>
    </row>
    <row r="4" spans="1:8">
      <c r="B4" s="3" t="s">
        <v>5</v>
      </c>
      <c r="C4" s="3" t="s">
        <v>6</v>
      </c>
      <c r="D4" s="3" t="s">
        <v>7</v>
      </c>
      <c r="E4" s="3" t="s">
        <v>8</v>
      </c>
      <c r="F4" s="3" t="s">
        <v>11</v>
      </c>
      <c r="G4" s="3" t="s">
        <v>9</v>
      </c>
      <c r="H4" s="3" t="s">
        <v>10</v>
      </c>
    </row>
    <row r="5" spans="1:8">
      <c r="A5" s="9">
        <v>0.16666666666666666</v>
      </c>
    </row>
    <row r="6" spans="1:8">
      <c r="A6" s="9">
        <v>0.1875</v>
      </c>
    </row>
    <row r="7" spans="1:8">
      <c r="A7" s="9">
        <v>0.20833333333333301</v>
      </c>
    </row>
    <row r="8" spans="1:8">
      <c r="A8" s="9">
        <v>0.22916666666666699</v>
      </c>
    </row>
    <row r="9" spans="1:8">
      <c r="A9" s="9">
        <v>0.25</v>
      </c>
    </row>
    <row r="10" spans="1:8">
      <c r="A10" s="9">
        <v>0.27083333333333398</v>
      </c>
    </row>
    <row r="11" spans="1:8">
      <c r="A11" s="9">
        <v>0.29166666666666702</v>
      </c>
    </row>
    <row r="12" spans="1:8">
      <c r="A12" s="9">
        <v>0.3125</v>
      </c>
    </row>
    <row r="13" spans="1:8">
      <c r="A13" s="9">
        <v>0.33333333333333398</v>
      </c>
      <c r="B13" t="s">
        <v>154</v>
      </c>
      <c r="C13" t="s">
        <v>155</v>
      </c>
      <c r="D13" t="s">
        <v>156</v>
      </c>
      <c r="E13" t="s">
        <v>156</v>
      </c>
      <c r="F13" t="s">
        <v>156</v>
      </c>
    </row>
    <row r="14" spans="1:8">
      <c r="A14" s="9">
        <v>0.35416666666666702</v>
      </c>
      <c r="B14" t="s">
        <v>154</v>
      </c>
      <c r="C14" t="s">
        <v>155</v>
      </c>
      <c r="D14" t="s">
        <v>156</v>
      </c>
      <c r="E14" t="s">
        <v>156</v>
      </c>
      <c r="F14" t="s">
        <v>156</v>
      </c>
    </row>
    <row r="15" spans="1:8">
      <c r="A15" s="9">
        <v>0.375</v>
      </c>
      <c r="B15" t="s">
        <v>154</v>
      </c>
      <c r="C15" t="s">
        <v>155</v>
      </c>
      <c r="D15" t="s">
        <v>156</v>
      </c>
      <c r="E15" t="s">
        <v>156</v>
      </c>
      <c r="F15" t="s">
        <v>156</v>
      </c>
    </row>
    <row r="16" spans="1:8">
      <c r="A16" s="9">
        <v>0.39583333333333398</v>
      </c>
      <c r="B16" t="s">
        <v>154</v>
      </c>
      <c r="C16" t="s">
        <v>155</v>
      </c>
      <c r="D16" t="s">
        <v>156</v>
      </c>
      <c r="E16" t="s">
        <v>156</v>
      </c>
      <c r="F16" t="s">
        <v>156</v>
      </c>
    </row>
    <row r="17" spans="1:6">
      <c r="A17" s="9">
        <v>0.41666666666666702</v>
      </c>
      <c r="C17" t="s">
        <v>155</v>
      </c>
    </row>
    <row r="18" spans="1:6">
      <c r="A18" s="9">
        <v>0.4375</v>
      </c>
      <c r="B18" t="s">
        <v>152</v>
      </c>
      <c r="D18" t="s">
        <v>156</v>
      </c>
      <c r="E18" t="s">
        <v>156</v>
      </c>
      <c r="F18" t="s">
        <v>157</v>
      </c>
    </row>
    <row r="19" spans="1:6">
      <c r="A19" s="9">
        <v>0.45833333333333398</v>
      </c>
      <c r="B19" t="s">
        <v>152</v>
      </c>
      <c r="C19" t="s">
        <v>155</v>
      </c>
      <c r="D19" t="s">
        <v>156</v>
      </c>
      <c r="E19" t="s">
        <v>156</v>
      </c>
      <c r="F19" t="s">
        <v>157</v>
      </c>
    </row>
    <row r="20" spans="1:6">
      <c r="A20" s="9">
        <v>0.47916666666666702</v>
      </c>
      <c r="B20" t="s">
        <v>152</v>
      </c>
      <c r="C20" t="s">
        <v>155</v>
      </c>
      <c r="D20" t="s">
        <v>156</v>
      </c>
      <c r="E20" t="s">
        <v>156</v>
      </c>
      <c r="F20" t="s">
        <v>157</v>
      </c>
    </row>
    <row r="21" spans="1:6">
      <c r="A21" s="9">
        <v>0.5</v>
      </c>
      <c r="B21" t="s">
        <v>152</v>
      </c>
      <c r="C21" t="s">
        <v>155</v>
      </c>
      <c r="D21" t="s">
        <v>156</v>
      </c>
      <c r="E21" t="s">
        <v>156</v>
      </c>
      <c r="F21" t="s">
        <v>157</v>
      </c>
    </row>
    <row r="22" spans="1:6">
      <c r="A22" s="9">
        <v>0.52083333333333404</v>
      </c>
      <c r="C22" t="s">
        <v>155</v>
      </c>
    </row>
    <row r="23" spans="1:6">
      <c r="A23" s="9">
        <v>0.54166666666666696</v>
      </c>
      <c r="B23" t="s">
        <v>52</v>
      </c>
      <c r="D23" t="s">
        <v>2</v>
      </c>
      <c r="E23" t="s">
        <v>111</v>
      </c>
      <c r="F23" t="s">
        <v>157</v>
      </c>
    </row>
    <row r="24" spans="1:6">
      <c r="A24" s="9">
        <v>0.5625</v>
      </c>
      <c r="B24" t="s">
        <v>52</v>
      </c>
      <c r="C24" t="s">
        <v>40</v>
      </c>
      <c r="D24" t="s">
        <v>2</v>
      </c>
      <c r="E24" t="s">
        <v>111</v>
      </c>
      <c r="F24" t="s">
        <v>157</v>
      </c>
    </row>
    <row r="25" spans="1:6">
      <c r="A25" s="9">
        <v>0.58333333333333404</v>
      </c>
      <c r="B25" t="s">
        <v>52</v>
      </c>
      <c r="C25" t="s">
        <v>40</v>
      </c>
      <c r="D25" t="s">
        <v>2</v>
      </c>
      <c r="E25" t="s">
        <v>111</v>
      </c>
      <c r="F25" t="s">
        <v>157</v>
      </c>
    </row>
    <row r="26" spans="1:6">
      <c r="A26" s="9">
        <v>0.60416666666666696</v>
      </c>
      <c r="B26" t="s">
        <v>52</v>
      </c>
      <c r="C26" t="s">
        <v>40</v>
      </c>
      <c r="D26" t="s">
        <v>2</v>
      </c>
      <c r="E26" t="s">
        <v>111</v>
      </c>
      <c r="F26" t="s">
        <v>157</v>
      </c>
    </row>
    <row r="27" spans="1:6">
      <c r="A27" s="9">
        <v>0.625000000000001</v>
      </c>
      <c r="C27" t="s">
        <v>40</v>
      </c>
    </row>
    <row r="28" spans="1:6">
      <c r="A28" s="9">
        <v>0.64583333333333404</v>
      </c>
      <c r="B28" t="s">
        <v>52</v>
      </c>
    </row>
    <row r="29" spans="1:6">
      <c r="A29" s="9">
        <v>0.66666666666666696</v>
      </c>
      <c r="B29" t="s">
        <v>52</v>
      </c>
      <c r="D29" t="s">
        <v>2</v>
      </c>
      <c r="E29" t="s">
        <v>111</v>
      </c>
    </row>
    <row r="30" spans="1:6">
      <c r="A30" s="9">
        <v>0.687500000000001</v>
      </c>
      <c r="B30" t="s">
        <v>52</v>
      </c>
      <c r="C30" t="s">
        <v>153</v>
      </c>
      <c r="D30" t="s">
        <v>2</v>
      </c>
      <c r="E30" t="s">
        <v>111</v>
      </c>
    </row>
    <row r="31" spans="1:6">
      <c r="A31" s="9">
        <v>0.70833333333333404</v>
      </c>
      <c r="B31" t="s">
        <v>52</v>
      </c>
      <c r="C31" t="s">
        <v>153</v>
      </c>
      <c r="D31" t="s">
        <v>2</v>
      </c>
      <c r="E31" t="s">
        <v>111</v>
      </c>
    </row>
    <row r="32" spans="1:6">
      <c r="A32" s="9">
        <v>0.72916666666666696</v>
      </c>
      <c r="C32" t="s">
        <v>153</v>
      </c>
      <c r="D32" t="s">
        <v>2</v>
      </c>
      <c r="E32" t="s">
        <v>111</v>
      </c>
    </row>
    <row r="33" spans="1:3">
      <c r="A33" s="9">
        <v>0.750000000000001</v>
      </c>
      <c r="C33" t="s">
        <v>153</v>
      </c>
    </row>
    <row r="34" spans="1:3">
      <c r="A34" s="9">
        <v>0.77083333333333404</v>
      </c>
    </row>
    <row r="35" spans="1:3">
      <c r="A35" s="9">
        <v>0.79166666666666696</v>
      </c>
    </row>
    <row r="36" spans="1:3">
      <c r="A36" s="9">
        <v>0.812500000000001</v>
      </c>
    </row>
    <row r="37" spans="1:3">
      <c r="A37" s="9">
        <v>0.83333333333333404</v>
      </c>
    </row>
    <row r="38" spans="1:3">
      <c r="A38" s="9">
        <v>0.85416666666666696</v>
      </c>
    </row>
    <row r="39" spans="1:3">
      <c r="A39" s="9">
        <v>0.875000000000001</v>
      </c>
    </row>
    <row r="40" spans="1:3">
      <c r="A40" s="9">
        <v>0.89583333333333404</v>
      </c>
    </row>
    <row r="41" spans="1:3">
      <c r="A41" s="9">
        <v>0.91666666666666696</v>
      </c>
    </row>
    <row r="42" spans="1:3">
      <c r="A42" s="9">
        <v>0.937500000000001</v>
      </c>
    </row>
    <row r="43" spans="1:3">
      <c r="A43" s="9">
        <v>0.95833333333333404</v>
      </c>
    </row>
    <row r="44" spans="1:3">
      <c r="A44" s="9">
        <v>0.97916666666666696</v>
      </c>
    </row>
    <row r="45" spans="1:3">
      <c r="A45" s="9">
        <v>1</v>
      </c>
    </row>
    <row r="46" spans="1:3">
      <c r="A46" s="9">
        <v>1.0208333333333299</v>
      </c>
    </row>
    <row r="47" spans="1:3">
      <c r="A47" s="9">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zoomScale="117" workbookViewId="0">
      <selection activeCell="C9" sqref="C9:C16"/>
    </sheetView>
  </sheetViews>
  <sheetFormatPr baseColWidth="10" defaultColWidth="10.625" defaultRowHeight="15.75"/>
  <sheetData>
    <row r="1" spans="1:8" ht="26.25">
      <c r="B1" s="8" t="s">
        <v>26</v>
      </c>
    </row>
    <row r="4" spans="1:8">
      <c r="B4" s="3" t="s">
        <v>5</v>
      </c>
      <c r="C4" s="3" t="s">
        <v>6</v>
      </c>
      <c r="D4" s="3" t="s">
        <v>7</v>
      </c>
      <c r="E4" s="3" t="s">
        <v>8</v>
      </c>
      <c r="F4" s="3" t="s">
        <v>11</v>
      </c>
      <c r="G4" s="3" t="s">
        <v>9</v>
      </c>
      <c r="H4" s="3" t="s">
        <v>10</v>
      </c>
    </row>
    <row r="5" spans="1:8">
      <c r="A5" s="9">
        <v>0.16666666666666666</v>
      </c>
    </row>
    <row r="6" spans="1:8">
      <c r="A6" s="9">
        <v>0.1875</v>
      </c>
    </row>
    <row r="7" spans="1:8">
      <c r="A7" s="9">
        <v>0.20833333333333301</v>
      </c>
    </row>
    <row r="8" spans="1:8">
      <c r="A8" s="9">
        <v>0.22916666666666699</v>
      </c>
    </row>
    <row r="9" spans="1:8">
      <c r="A9" s="9">
        <v>0.25</v>
      </c>
    </row>
    <row r="10" spans="1:8">
      <c r="A10" s="9">
        <v>0.27083333333333398</v>
      </c>
    </row>
    <row r="11" spans="1:8">
      <c r="A11" s="9">
        <v>0.29166666666666702</v>
      </c>
    </row>
    <row r="12" spans="1:8">
      <c r="A12" s="9">
        <v>0.3125</v>
      </c>
    </row>
    <row r="13" spans="1:8">
      <c r="A13" s="9">
        <v>0.33333333333333398</v>
      </c>
    </row>
    <row r="14" spans="1:8">
      <c r="A14" s="9">
        <v>0.35416666666666702</v>
      </c>
    </row>
    <row r="15" spans="1:8">
      <c r="A15" s="9">
        <v>0.375</v>
      </c>
    </row>
    <row r="16" spans="1:8">
      <c r="A16" s="9">
        <v>0.39583333333333398</v>
      </c>
    </row>
    <row r="17" spans="1:1">
      <c r="A17" s="9">
        <v>0.41666666666666702</v>
      </c>
    </row>
    <row r="18" spans="1:1">
      <c r="A18" s="9">
        <v>0.4375</v>
      </c>
    </row>
    <row r="19" spans="1:1">
      <c r="A19" s="9">
        <v>0.45833333333333398</v>
      </c>
    </row>
    <row r="20" spans="1:1">
      <c r="A20" s="9">
        <v>0.47916666666666702</v>
      </c>
    </row>
    <row r="21" spans="1:1">
      <c r="A21" s="9">
        <v>0.5</v>
      </c>
    </row>
    <row r="22" spans="1:1">
      <c r="A22" s="9">
        <v>0.52083333333333404</v>
      </c>
    </row>
    <row r="23" spans="1:1">
      <c r="A23" s="9">
        <v>0.54166666666666696</v>
      </c>
    </row>
    <row r="24" spans="1:1">
      <c r="A24" s="9">
        <v>0.5625</v>
      </c>
    </row>
    <row r="25" spans="1:1">
      <c r="A25" s="9">
        <v>0.58333333333333404</v>
      </c>
    </row>
    <row r="26" spans="1:1">
      <c r="A26" s="9">
        <v>0.60416666666666696</v>
      </c>
    </row>
    <row r="27" spans="1:1">
      <c r="A27" s="9">
        <v>0.625000000000001</v>
      </c>
    </row>
    <row r="28" spans="1:1">
      <c r="A28" s="9">
        <v>0.64583333333333404</v>
      </c>
    </row>
    <row r="29" spans="1:1">
      <c r="A29" s="9">
        <v>0.66666666666666696</v>
      </c>
    </row>
    <row r="30" spans="1:1">
      <c r="A30" s="9">
        <v>0.687500000000001</v>
      </c>
    </row>
    <row r="31" spans="1:1">
      <c r="A31" s="9">
        <v>0.70833333333333404</v>
      </c>
    </row>
    <row r="32" spans="1:1">
      <c r="A32" s="9">
        <v>0.72916666666666696</v>
      </c>
    </row>
    <row r="33" spans="1:1">
      <c r="A33" s="9">
        <v>0.750000000000001</v>
      </c>
    </row>
    <row r="34" spans="1:1">
      <c r="A34" s="9">
        <v>0.77083333333333404</v>
      </c>
    </row>
    <row r="35" spans="1:1">
      <c r="A35" s="9">
        <v>0.79166666666666696</v>
      </c>
    </row>
    <row r="36" spans="1:1">
      <c r="A36" s="9">
        <v>0.812500000000001</v>
      </c>
    </row>
    <row r="37" spans="1:1">
      <c r="A37" s="9">
        <v>0.83333333333333404</v>
      </c>
    </row>
    <row r="38" spans="1:1">
      <c r="A38" s="9">
        <v>0.85416666666666696</v>
      </c>
    </row>
    <row r="39" spans="1:1">
      <c r="A39" s="9">
        <v>0.875000000000001</v>
      </c>
    </row>
    <row r="40" spans="1:1">
      <c r="A40" s="9">
        <v>0.89583333333333404</v>
      </c>
    </row>
    <row r="41" spans="1:1">
      <c r="A41" s="9">
        <v>0.91666666666666696</v>
      </c>
    </row>
    <row r="42" spans="1:1">
      <c r="A42" s="9">
        <v>0.937500000000001</v>
      </c>
    </row>
    <row r="43" spans="1:1">
      <c r="A43" s="9">
        <v>0.95833333333333404</v>
      </c>
    </row>
    <row r="44" spans="1:1">
      <c r="A44" s="9">
        <v>0.97916666666666696</v>
      </c>
    </row>
    <row r="45" spans="1:1">
      <c r="A45" s="9">
        <v>1</v>
      </c>
    </row>
    <row r="46" spans="1:1">
      <c r="A46" s="9">
        <v>1.0208333333333299</v>
      </c>
    </row>
    <row r="47" spans="1:1">
      <c r="A47" s="9">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01.11 - 05.11</vt:lpstr>
      <vt:lpstr>Wochenplan KW 20</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Simon Klink</cp:lastModifiedBy>
  <dcterms:created xsi:type="dcterms:W3CDTF">2020-04-19T13:33:28Z</dcterms:created>
  <dcterms:modified xsi:type="dcterms:W3CDTF">2021-11-01T13:29:05Z</dcterms:modified>
</cp:coreProperties>
</file>