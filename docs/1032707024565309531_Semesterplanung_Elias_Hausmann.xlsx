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7CCAB286-A546-4BEA-A514-17B3858EB14B}" xr6:coauthVersionLast="47" xr6:coauthVersionMax="47" xr10:uidLastSave="{00000000-0000-0000-0000-000000000000}"/>
  <bookViews>
    <workbookView xWindow="-120" yWindow="-120" windowWidth="15600" windowHeight="11160" activeTab="1" xr2:uid="{50F29292-BE80-0C47-A0D2-DD086CB3D310}"/>
  </bookViews>
  <sheets>
    <sheet name="Anleitung" sheetId="2" r:id="rId1"/>
    <sheet name="Semesterplan" sheetId="7" r:id="rId2"/>
    <sheet name="COMMITTMENT" sheetId="9" r:id="rId3"/>
    <sheet name="Wochenplan KW 41" sheetId="3" r:id="rId4"/>
    <sheet name="Wochenplan KW 42" sheetId="1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8" i="7" l="1"/>
  <c r="G26" i="7"/>
  <c r="G4" i="7"/>
  <c r="K36" i="7" a="1"/>
  <c r="K36" i="7" s="1"/>
  <c r="J36" i="7" a="1"/>
  <c r="J36" i="7" s="1"/>
  <c r="I36" i="7"/>
  <c r="K35" i="7" a="1"/>
  <c r="K35" i="7" s="1"/>
  <c r="J35" i="7" a="1"/>
  <c r="J35" i="7" s="1"/>
  <c r="I35" i="7"/>
  <c r="K34" i="7" a="1"/>
  <c r="K34" i="7" s="1"/>
  <c r="J34" i="7" a="1"/>
  <c r="J34" i="7" s="1"/>
  <c r="I34" i="7"/>
  <c r="K50" i="7" a="1"/>
  <c r="K50" i="7" s="1"/>
  <c r="J50" i="7" a="1"/>
  <c r="J50" i="7" s="1"/>
  <c r="I50" i="7"/>
  <c r="K49" i="7" a="1"/>
  <c r="K49" i="7" s="1"/>
  <c r="J49" i="7" a="1"/>
  <c r="J49" i="7" s="1"/>
  <c r="I49" i="7"/>
  <c r="JT4" i="7"/>
  <c r="JM4" i="7"/>
  <c r="JF4" i="7"/>
  <c r="IY4" i="7"/>
  <c r="IR4" i="7"/>
  <c r="IK4" i="7"/>
  <c r="ID4" i="7"/>
  <c r="HW4" i="7"/>
  <c r="HP4" i="7"/>
  <c r="HI4" i="7"/>
  <c r="HB4" i="7"/>
  <c r="GU4" i="7"/>
  <c r="GN4" i="7"/>
  <c r="GG4" i="7"/>
  <c r="FZ4" i="7"/>
  <c r="FS4" i="7"/>
  <c r="FL4" i="7"/>
  <c r="FE4" i="7"/>
  <c r="EX4" i="7"/>
  <c r="EQ4" i="7"/>
  <c r="EJ4" i="7"/>
  <c r="EC4" i="7"/>
  <c r="BY4" i="7"/>
  <c r="K15" i="7" a="1"/>
  <c r="K15" i="7" s="1"/>
  <c r="J15" i="7" a="1"/>
  <c r="J15" i="7" s="1"/>
  <c r="I15" i="7"/>
  <c r="K14" i="7" a="1"/>
  <c r="K14" i="7" s="1"/>
  <c r="J14" i="7" a="1"/>
  <c r="J14" i="7" s="1"/>
  <c r="I14" i="7"/>
  <c r="K18" i="7" a="1"/>
  <c r="K18" i="7" s="1"/>
  <c r="J18" i="7" a="1"/>
  <c r="J18" i="7" s="1"/>
  <c r="I18" i="7"/>
  <c r="U17" i="7"/>
  <c r="N17" i="7"/>
  <c r="G17" i="7"/>
  <c r="DV4" i="7"/>
  <c r="DO4" i="7"/>
  <c r="DH4" i="7"/>
  <c r="DA4" i="7"/>
  <c r="CT4" i="7"/>
  <c r="CM4" i="7"/>
  <c r="CF4" i="7"/>
  <c r="BR4" i="7"/>
  <c r="BK4" i="7"/>
  <c r="BD4" i="7"/>
  <c r="AW4"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K20" i="7" a="1"/>
  <c r="K20" i="7" s="1"/>
  <c r="J20" i="7" a="1"/>
  <c r="J20" i="7" s="1"/>
  <c r="I20" i="7"/>
  <c r="K19" i="7" a="1"/>
  <c r="K19" i="7" s="1"/>
  <c r="J19" i="7" a="1"/>
  <c r="J19" i="7" s="1"/>
  <c r="I19" i="7"/>
  <c r="J38" i="7" l="1"/>
  <c r="K38" i="7"/>
  <c r="I38" i="7"/>
  <c r="K33" i="7" a="1"/>
  <c r="K33" i="7" s="1"/>
  <c r="J33" i="7" a="1"/>
  <c r="J33" i="7" s="1"/>
  <c r="I33" i="7"/>
  <c r="K32" i="7" a="1"/>
  <c r="K32" i="7" s="1"/>
  <c r="J32" i="7" a="1"/>
  <c r="J32" i="7" s="1"/>
  <c r="I32" i="7"/>
  <c r="K31" i="7" a="1"/>
  <c r="K31" i="7" s="1"/>
  <c r="J31" i="7" a="1"/>
  <c r="J31" i="7" s="1"/>
  <c r="I31" i="7"/>
  <c r="K30" i="7" a="1"/>
  <c r="K30" i="7" s="1"/>
  <c r="J30" i="7" a="1"/>
  <c r="J30" i="7" s="1"/>
  <c r="I30" i="7"/>
  <c r="K29" i="7" a="1"/>
  <c r="K29" i="7" s="1"/>
  <c r="J29" i="7" a="1"/>
  <c r="J29" i="7" s="1"/>
  <c r="I29" i="7"/>
  <c r="K28" i="7" a="1"/>
  <c r="K28" i="7" s="1"/>
  <c r="J28" i="7" a="1"/>
  <c r="J28" i="7" s="1"/>
  <c r="I28" i="7"/>
  <c r="K27" i="7" a="1"/>
  <c r="K27" i="7" s="1"/>
  <c r="J27" i="7" a="1"/>
  <c r="J27" i="7" s="1"/>
  <c r="I27" i="7"/>
  <c r="U26" i="7"/>
  <c r="N26" i="7"/>
  <c r="K24" i="7" a="1"/>
  <c r="K24" i="7" s="1"/>
  <c r="J24" i="7" a="1"/>
  <c r="J24" i="7" s="1"/>
  <c r="K23" i="7" a="1"/>
  <c r="K23" i="7" s="1"/>
  <c r="J23" i="7" a="1"/>
  <c r="J23" i="7" s="1"/>
  <c r="K22" i="7" a="1"/>
  <c r="K22" i="7" s="1"/>
  <c r="J22" i="7" a="1"/>
  <c r="J22" i="7" s="1"/>
  <c r="K21" i="7" a="1"/>
  <c r="K21" i="7" s="1"/>
  <c r="J21" i="7" a="1"/>
  <c r="J21"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4" i="7"/>
  <c r="AI4" i="7"/>
  <c r="AB4" i="7"/>
  <c r="U4" i="7"/>
  <c r="N4" i="7"/>
  <c r="I24" i="7"/>
  <c r="I23" i="7"/>
  <c r="I22" i="7"/>
  <c r="I21" i="7"/>
  <c r="I6" i="7"/>
  <c r="I7" i="7"/>
  <c r="I8" i="7"/>
  <c r="I9" i="7"/>
  <c r="I10" i="7"/>
  <c r="I11" i="7"/>
  <c r="I12" i="7"/>
  <c r="I13" i="7"/>
  <c r="I5" i="7"/>
  <c r="K26" i="7" l="1"/>
  <c r="J4" i="7"/>
  <c r="K4" i="7"/>
  <c r="J26" i="7"/>
  <c r="I17" i="7"/>
  <c r="J17" i="7"/>
  <c r="K17" i="7"/>
  <c r="I26"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<sst xmlns="http://schemas.openxmlformats.org/spreadsheetml/2006/main" count="626" uniqueCount="201">
  <si>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</si>
  <si>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</si>
  <si>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</si>
  <si>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</si>
  <si>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</si>
  <si>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</si>
  <si>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</si>
  <si>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</si>
  <si>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</si>
  <si>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</si>
  <si>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</si>
  <si>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</si>
  <si>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</si>
  <si>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</si>
  <si>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</si>
  <si>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</si>
  <si>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</si>
  <si>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</si>
  <si>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</si>
  <si>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</si>
  <si>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</si>
  <si>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</si>
  <si>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</si>
  <si>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</si>
  <si>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</si>
  <si>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</si>
  <si>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</si>
  <si>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</si>
  <si>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</si>
  <si>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</si>
  <si>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</si>
  <si>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</si>
  <si>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</si>
  <si>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</si>
  <si>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</si>
  <si>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</si>
  <si>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</si>
  <si>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</si>
  <si>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</si>
  <si>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</si>
  <si>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</si>
  <si>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</si>
  <si>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</si>
  <si>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</si>
  <si>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</si>
  <si>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</si>
  <si>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</si>
  <si>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</si>
  <si>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</si>
  <si>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BWL I</t>
  </si>
  <si>
    <t>Ma/Sta I</t>
  </si>
  <si>
    <t>Zivilrecht</t>
  </si>
  <si>
    <t>KW 41</t>
  </si>
  <si>
    <t>KW 47</t>
  </si>
  <si>
    <t>KW 52</t>
  </si>
  <si>
    <t>KW 1</t>
  </si>
  <si>
    <t>KW 3</t>
  </si>
  <si>
    <t>KW 4</t>
  </si>
  <si>
    <t>KW 5</t>
  </si>
  <si>
    <t>1) Grundlagen wirtschaftl. Handelns</t>
  </si>
  <si>
    <t>2) Systematik der BWL</t>
  </si>
  <si>
    <t>3) Wirtschaftlichkeitsprinzip</t>
  </si>
  <si>
    <t>4) Perspektiven Unternehmensführung</t>
  </si>
  <si>
    <t>3.1.</t>
  </si>
  <si>
    <t>3.2.</t>
  </si>
  <si>
    <t>3.3.</t>
  </si>
  <si>
    <t>3.4.</t>
  </si>
  <si>
    <t>5) Managementprozesse</t>
  </si>
  <si>
    <t>6) Strategische Managementebene</t>
  </si>
  <si>
    <t>7) Grundlagen der Personalführung (reines Literaturstudium)</t>
  </si>
  <si>
    <t>4.1.</t>
  </si>
  <si>
    <t>4.2.</t>
  </si>
  <si>
    <t>4.3.</t>
  </si>
  <si>
    <t>4.4.</t>
  </si>
  <si>
    <t>8) Umfeld von Betrieben</t>
  </si>
  <si>
    <t>10) Grundentscheidung über die Rechtsform von Betrieben</t>
  </si>
  <si>
    <t>9) Grundentscheidung über den Standort von Betrieben</t>
  </si>
  <si>
    <t>11) Grundentscheidung über Selbstständigkeit/Zusammenschluss</t>
  </si>
  <si>
    <t>3) Regressionsanalyse</t>
  </si>
  <si>
    <t>4) Bivariate + Statistik</t>
  </si>
  <si>
    <t>5) Zahlen/Rechenregeln</t>
  </si>
  <si>
    <t>Ma (PDF 1,2)</t>
  </si>
  <si>
    <t>6) Gleichungen und Gleichungssysteme</t>
  </si>
  <si>
    <t>Ma (PDF 3)</t>
  </si>
  <si>
    <t>Ma (PDF 5,6,7,8)</t>
  </si>
  <si>
    <t>7) Funktionen und Ableitungen</t>
  </si>
  <si>
    <t>HR</t>
  </si>
  <si>
    <t>KW 2 (ab hier Klausuren!)</t>
  </si>
  <si>
    <t>2) Deskriptive Statistik Teil 2</t>
  </si>
  <si>
    <t>Sta I (S1 [62-126])</t>
  </si>
  <si>
    <t>Sta I (S2 [1-59])</t>
  </si>
  <si>
    <t>Sta I (S0 [1-14], S1 [1-61])</t>
  </si>
  <si>
    <t>Sta I (S3 [1-42])</t>
  </si>
  <si>
    <t>1) Formelzeichen, Deskriptive Statistik Teil 1</t>
  </si>
  <si>
    <t>KW 6</t>
  </si>
  <si>
    <t>KW 7</t>
  </si>
  <si>
    <t>KW 8</t>
  </si>
  <si>
    <t>KW 9</t>
  </si>
  <si>
    <t>KW 10</t>
  </si>
  <si>
    <t>KW 11</t>
  </si>
  <si>
    <t>KW 12</t>
  </si>
  <si>
    <t>KW 13</t>
  </si>
  <si>
    <t>KW 14</t>
  </si>
  <si>
    <t>KW 15</t>
  </si>
  <si>
    <t>KW 16</t>
  </si>
  <si>
    <t>KW 17</t>
  </si>
  <si>
    <t>KW 18</t>
  </si>
  <si>
    <t>KW 19</t>
  </si>
  <si>
    <t>KW 20</t>
  </si>
  <si>
    <t>KW 21</t>
  </si>
  <si>
    <t>KW 23</t>
  </si>
  <si>
    <t>KW 24</t>
  </si>
  <si>
    <t>KW 26</t>
  </si>
  <si>
    <t>KW 27</t>
  </si>
  <si>
    <t>KW 25 (ab hier Klausuren)</t>
  </si>
  <si>
    <t>KW 22 (ab hier alles können!)</t>
  </si>
  <si>
    <t>Labour Market</t>
  </si>
  <si>
    <t>Company Response</t>
  </si>
  <si>
    <t>1) Why has the world more grandchildren than grandparents?</t>
  </si>
  <si>
    <t>2) Why is it so hard to buy a refrigerator these days?</t>
  </si>
  <si>
    <t>3) Workforce Crisis</t>
  </si>
  <si>
    <t>4) Gig Economy</t>
  </si>
  <si>
    <t>5) Shortage of Labour (readings)</t>
  </si>
  <si>
    <t>6) Talent Wars (Update)</t>
  </si>
  <si>
    <t>7) Employer Branding</t>
  </si>
  <si>
    <t>8) Attracting the right talent</t>
  </si>
  <si>
    <t>9) How to fix the hiring process</t>
  </si>
  <si>
    <t>10) Unconscious bias</t>
  </si>
  <si>
    <t>11) Blind Hiring</t>
  </si>
  <si>
    <t>12) Older Workers</t>
  </si>
  <si>
    <t>1) Allgemeines und Aufbau BGB</t>
  </si>
  <si>
    <t>1. (10-23)</t>
  </si>
  <si>
    <t>2.1. (24-46)</t>
  </si>
  <si>
    <t>2.2. (47-61?)</t>
  </si>
  <si>
    <t>Zivilrecht (48 Slides)</t>
  </si>
  <si>
    <t>Zivilrecht (59 Slides)</t>
  </si>
  <si>
    <t>Zivilrecht (54 Slides + 49)</t>
  </si>
  <si>
    <t xml:space="preserve">KW 45 </t>
  </si>
  <si>
    <t>KW 43 (nur halbe Woche Zeit)</t>
  </si>
  <si>
    <t>KW 44 (auf DKF)</t>
  </si>
  <si>
    <t>KW 48 (Hausarbeit schreiben)</t>
  </si>
  <si>
    <t xml:space="preserve">KW 50 </t>
  </si>
  <si>
    <t>KW 51 (hier alles können!)</t>
  </si>
  <si>
    <t>Zivilrecht (53 Slides)</t>
  </si>
  <si>
    <t>Zivilrecht (67 Slides)</t>
  </si>
  <si>
    <t>2) Rechtsfähigkeit,-geschäftslehre, Willenserklärung, Vertragsschluss</t>
  </si>
  <si>
    <t>3) Anfechtung</t>
  </si>
  <si>
    <t>4) Stellvertretung, Vertretungsmacht</t>
  </si>
  <si>
    <t>Zivilrecht (24+34 +28 Slides)</t>
  </si>
  <si>
    <t>5) Recht der Schuldverhältnisse + Leistungsstörung</t>
  </si>
  <si>
    <t>6) Unmöglichkeit</t>
  </si>
  <si>
    <t>7) Rücktritt</t>
  </si>
  <si>
    <t>8) Verzug</t>
  </si>
  <si>
    <t>9) Kaufrecht</t>
  </si>
  <si>
    <t>10) Gesetzl. SV ,Sachen-, Unternehmens-/Handelsrecht</t>
  </si>
  <si>
    <t xml:space="preserve">KW 46 </t>
  </si>
  <si>
    <t>KW 42 (hier Vortrag fertig machen)</t>
  </si>
  <si>
    <t>KW 49 (hier mit Ma/Sta fertig)</t>
  </si>
  <si>
    <t>2 LVL Ups</t>
  </si>
  <si>
    <t>1 LVL Up</t>
  </si>
  <si>
    <t>Yoga</t>
  </si>
  <si>
    <t>Lesen</t>
  </si>
  <si>
    <t>Tag durchgehen</t>
  </si>
  <si>
    <t>Frühstück</t>
  </si>
  <si>
    <t>Meditation</t>
  </si>
  <si>
    <t>Bad</t>
  </si>
  <si>
    <t>Loslaufen</t>
  </si>
  <si>
    <t>Text lernen</t>
  </si>
  <si>
    <t>Start Unterricht</t>
  </si>
  <si>
    <t>Heimlaufen</t>
  </si>
  <si>
    <t>Mittagspause</t>
  </si>
  <si>
    <t>Unterricht</t>
  </si>
  <si>
    <t>BWL auf 80%</t>
  </si>
  <si>
    <t>Pause</t>
  </si>
  <si>
    <t>Konzept Video</t>
  </si>
  <si>
    <t>Abendbrot</t>
  </si>
  <si>
    <t>Sport</t>
  </si>
  <si>
    <t>Planung</t>
  </si>
  <si>
    <t>Koreanisch</t>
  </si>
  <si>
    <t>Chinesisch</t>
  </si>
  <si>
    <t>Bettfertig machen</t>
  </si>
  <si>
    <t>Frei</t>
  </si>
  <si>
    <t>Beginn Vorlesung</t>
  </si>
  <si>
    <t>Beginn Mittag</t>
  </si>
  <si>
    <t>Vorlesung</t>
  </si>
  <si>
    <t>Wiederholung BWL</t>
  </si>
  <si>
    <t>Citavi HA</t>
  </si>
  <si>
    <t>Mittag</t>
  </si>
  <si>
    <t>BWL nachbereiten</t>
  </si>
  <si>
    <t xml:space="preserve">Text </t>
  </si>
  <si>
    <t>Dialog üben</t>
  </si>
  <si>
    <t>2 LVL ups</t>
  </si>
  <si>
    <t>O LVL Ups</t>
  </si>
  <si>
    <t>0 LVL Ups</t>
  </si>
  <si>
    <t>1 LVL Up, Übersicht!</t>
  </si>
  <si>
    <t>1 LVl Up</t>
  </si>
  <si>
    <t>3 LVL Ups</t>
  </si>
  <si>
    <t>2 LVl Ups</t>
  </si>
  <si>
    <t>4 LVL Ups</t>
  </si>
  <si>
    <t>5 LVl Ups</t>
  </si>
  <si>
    <t>5 LVL 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</si>
</sst>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13">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00B0F0"/>
        <bgColor indexed="64"/>
      </patternFill>
    </fill>
    <fill>
      <patternFill patternType="solid">
        <fgColor rgb="FF7030A0"/>
        <bgColor indexed="64"/>
      </patternFill>
    </fill>
    <fill>
      <patternFill patternType="solid">
        <fgColor rgb="FFFFC00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
      <patternFill patternType="solid">
        <fgColor rgb="FFFF755A"/>
        <bgColor indexed="64"/>
      </patternFill>
    </fill>
    <fill>
      <patternFill patternType="solid">
        <fgColor rgb="FFFFDE7F"/>
        <bgColor indexed="64"/>
      </patternFill>
    </fill>
    <fill>
      <patternFill patternType="solid">
        <fgColor rgb="FFC4FF87"/>
        <bgColor indexed="64"/>
      </patternFill>
    </fill>
  </fills>
  <borders count="1">
    <border>
      <left/>
      <right/>
      <top/>
      <bottom/>
      <diagonal/>
    </border>
  </borders>
  <cellStyleXfs count="1">
    <xf numFmtId="0" fontId="0" fillId="0" borderId="0"/>
  </cellStyleXfs>
  <cellXfs count="3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14" fontId="0" fillId="0" borderId="0" xfId="0" applyNumberFormat="1"/>
    <xf numFmtId="16" fontId="0" fillId="0" borderId="0" xfId="0" applyNumberFormat="1"/>
    <xf numFmtId="0" fontId="0" fillId="0" borderId="0" xfId="0" applyFont="1"/>
    <xf numFmtId="0" fontId="0" fillId="0" borderId="0" xfId="0" applyAlignment="1">
      <alignment horizontal="left"/>
    </xf>
    <xf numFmtId="0" fontId="0" fillId="4" borderId="0" xfId="0" applyFill="1"/>
    <xf numFmtId="0" fontId="0" fillId="5" borderId="0" xfId="0" applyFill="1"/>
    <xf numFmtId="0" fontId="0" fillId="6" borderId="0" xfId="0" applyFont="1" applyFill="1"/>
    <xf numFmtId="0" fontId="0" fillId="7" borderId="0" xfId="0" applyFill="1"/>
    <xf numFmtId="0" fontId="0" fillId="8" borderId="0" xfId="0" applyFill="1"/>
    <xf numFmtId="0" fontId="0" fillId="9" borderId="0" xfId="0" applyFill="1"/>
    <xf numFmtId="0" fontId="0" fillId="7" borderId="0" xfId="0" applyFont="1" applyFill="1"/>
    <xf numFmtId="0" fontId="0" fillId="10" borderId="0" xfId="0" applyFill="1"/>
    <xf numFmtId="0" fontId="0" fillId="11" borderId="0" xfId="0" applyFill="1"/>
    <xf numFmtId="0" fontId="0" fillId="12" borderId="0" xfId="0" applyFill="1"/>
    <xf numFmtId="0" fontId="1" fillId="2" borderId="0" xfId="0" applyFont="1" applyFill="1" applyAlignment="1">
      <alignment horizontal="center"/>
    </xf>
  </cellXfs>
  <cellStyles count="1">
    <cellStyle name="Standard" xfId="0" builtinId="0"/>
  </cellStyles>
  <dxfs count="445">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FFDE7F"/>
      <color rgb="FFC4FF87"/>
      <color rgb="FFFDFF05"/>
      <color rgb="FFFF755A"/>
      <color rgb="FF00FF29"/>
      <color rgb="FF56FF5E"/>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6">
  <autoFilter ref="A1:K46" xr:uid="{6E266E34-2786-2747-BCE7-51B74867A564}"/>
  <tableColumns count="11">
    <tableColumn id="1" xr3:uid="{95FD92F7-3DC8-704D-A103-A7EDDAB255AB}" name="Datum" dataDxfId="5"/>
    <tableColumn id="2" xr3:uid="{F464D510-8166-E740-A343-FB84BDEF877F}" name="Lerneinheiten durchgezogen" dataDxfId="4"/>
    <tableColumn id="3" xr3:uid="{75F52B08-1A00-0848-BBE6-1EDF7B31B1AD}" name="Tagesplan erstellt" dataDxfId="3"/>
    <tableColumn id="4" xr3:uid="{E6B18D89-E799-AD48-9DAA-37AEE1D29011}" name="Konzentrationslevel" dataDxfId="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35</v>
      </c>
    </row>
    <row r="12" spans="2:2">
      <c r="B12" s="3" t="s">
        <v>17</v>
      </c>
    </row>
    <row r="13" spans="2:2" ht="126">
      <c r="B13" s="1" t="s">
        <v>18</v>
      </c>
    </row>
    <row r="15" spans="2:2">
      <c r="B15" s="3" t="s">
        <v>19</v>
      </c>
    </row>
    <row r="16" spans="2:2" ht="110.25">
      <c r="B16" s="1" t="s">
        <v>20</v>
      </c>
    </row>
    <row r="17" spans="2:2">
      <c r="B17" s="1"/>
    </row>
    <row r="18" spans="2:2">
      <c r="B18" s="3" t="s">
        <v>34</v>
      </c>
    </row>
    <row r="19" spans="2:2" ht="141.75">
      <c r="B19" s="1" t="s">
        <v>36</v>
      </c>
    </row>
    <row r="21" spans="2:2">
      <c r="B21" s="3" t="s">
        <v>21</v>
      </c>
    </row>
    <row r="22" spans="2:2" ht="110.25">
      <c r="B22" s="1" t="s">
        <v>37</v>
      </c>
    </row>
    <row r="24" spans="2:2">
      <c r="B24" s="3" t="s">
        <v>22</v>
      </c>
    </row>
    <row r="25" spans="2:2" ht="126">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JY50"/>
  <sheetViews>
    <sheetView showGridLines="0" tabSelected="1" topLeftCell="E11" zoomScaleNormal="100" workbookViewId="0">
      <pane xSplit="3" topLeftCell="AC1" activePane="topRight" state="frozen"/>
      <selection activeCell="E1" sqref="E1"/>
      <selection pane="topRight" activeCell="AC10" sqref="AC10"/>
    </sheetView>
  </sheetViews>
  <sheetFormatPr baseColWidth="10" defaultColWidth="8.875" defaultRowHeight="15.75" outlineLevelRow="1"/>
  <cols>
    <col min="3" max="3" width="11.125"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 min="125" max="125" width="2.5" customWidth="1"/>
    <col min="127" max="127" width="12.5" bestFit="1" customWidth="1"/>
    <col min="128" max="128" width="6.375" customWidth="1"/>
    <col min="129" max="129" width="14.875" bestFit="1" customWidth="1"/>
    <col min="130" max="130" width="6" customWidth="1"/>
    <col min="131" max="131" width="12.625" bestFit="1" customWidth="1"/>
    <col min="132" max="132" width="2.5" customWidth="1"/>
    <col min="134" max="134" width="12.5" bestFit="1" customWidth="1"/>
    <col min="135" max="135" width="6.375" customWidth="1"/>
    <col min="136" max="136" width="14.875" bestFit="1" customWidth="1"/>
    <col min="137" max="137" width="6" customWidth="1"/>
    <col min="138" max="138" width="12.625" bestFit="1" customWidth="1"/>
    <col min="139" max="139" width="2.5" customWidth="1"/>
    <col min="141" max="141" width="12.5" bestFit="1" customWidth="1"/>
    <col min="142" max="142" width="6.375" customWidth="1"/>
    <col min="143" max="143" width="14.875" bestFit="1" customWidth="1"/>
    <col min="144" max="144" width="6" customWidth="1"/>
    <col min="145" max="145" width="12.625" bestFit="1" customWidth="1"/>
    <col min="146" max="146" width="2.5" customWidth="1"/>
    <col min="148" max="148" width="12.5" bestFit="1" customWidth="1"/>
    <col min="149" max="149" width="6.375" customWidth="1"/>
    <col min="150" max="150" width="14.875" bestFit="1" customWidth="1"/>
    <col min="151" max="151" width="6" customWidth="1"/>
    <col min="152" max="152" width="12.625" bestFit="1" customWidth="1"/>
    <col min="153" max="153" width="2.5" customWidth="1"/>
    <col min="155" max="155" width="12.5" bestFit="1" customWidth="1"/>
    <col min="156" max="156" width="6.375" customWidth="1"/>
    <col min="157" max="157" width="14.875" bestFit="1" customWidth="1"/>
    <col min="158" max="158" width="6" customWidth="1"/>
    <col min="159" max="159" width="12.625" bestFit="1" customWidth="1"/>
    <col min="160" max="160" width="2.5" customWidth="1"/>
    <col min="162" max="162" width="12.5" bestFit="1" customWidth="1"/>
    <col min="163" max="163" width="6.375" customWidth="1"/>
    <col min="164" max="164" width="14.875" bestFit="1" customWidth="1"/>
    <col min="165" max="165" width="6" customWidth="1"/>
    <col min="166" max="166" width="12.625" bestFit="1" customWidth="1"/>
    <col min="167" max="167" width="2.5" customWidth="1"/>
    <col min="169" max="169" width="12.5" bestFit="1" customWidth="1"/>
    <col min="170" max="170" width="6.375" customWidth="1"/>
    <col min="171" max="171" width="14.875" bestFit="1" customWidth="1"/>
    <col min="172" max="172" width="6" customWidth="1"/>
    <col min="173" max="173" width="12.625" bestFit="1" customWidth="1"/>
    <col min="174" max="174" width="2.5" customWidth="1"/>
    <col min="176" max="176" width="12.5" bestFit="1" customWidth="1"/>
    <col min="177" max="177" width="6.375" customWidth="1"/>
    <col min="178" max="178" width="14.875" bestFit="1" customWidth="1"/>
    <col min="179" max="179" width="6" customWidth="1"/>
    <col min="180" max="180" width="12.625" bestFit="1" customWidth="1"/>
    <col min="181" max="181" width="2.5" customWidth="1"/>
    <col min="183" max="183" width="12.5" bestFit="1" customWidth="1"/>
    <col min="184" max="184" width="6.375" customWidth="1"/>
    <col min="185" max="185" width="14.875" bestFit="1" customWidth="1"/>
    <col min="186" max="186" width="6" customWidth="1"/>
    <col min="187" max="187" width="12.625" bestFit="1" customWidth="1"/>
    <col min="188" max="188" width="2.5" customWidth="1"/>
    <col min="190" max="190" width="12.5" bestFit="1" customWidth="1"/>
    <col min="191" max="191" width="6.375" customWidth="1"/>
    <col min="192" max="192" width="14.875" bestFit="1" customWidth="1"/>
    <col min="193" max="193" width="6" customWidth="1"/>
    <col min="194" max="194" width="12.625" bestFit="1" customWidth="1"/>
    <col min="195" max="195" width="2.5" customWidth="1"/>
    <col min="197" max="197" width="12.5" bestFit="1" customWidth="1"/>
    <col min="198" max="198" width="6.375" customWidth="1"/>
    <col min="199" max="199" width="14.875" bestFit="1" customWidth="1"/>
    <col min="200" max="200" width="6" customWidth="1"/>
    <col min="201" max="201" width="12.625" bestFit="1" customWidth="1"/>
    <col min="202" max="202" width="2.5" customWidth="1"/>
    <col min="204" max="204" width="12.5" bestFit="1" customWidth="1"/>
    <col min="205" max="205" width="6.375" customWidth="1"/>
    <col min="206" max="206" width="14.875" bestFit="1" customWidth="1"/>
    <col min="207" max="207" width="6" customWidth="1"/>
    <col min="208" max="208" width="12.625" bestFit="1" customWidth="1"/>
    <col min="209" max="209" width="2.5" customWidth="1"/>
    <col min="211" max="211" width="12.5" bestFit="1" customWidth="1"/>
    <col min="212" max="212" width="6.375" customWidth="1"/>
    <col min="213" max="213" width="14.875" bestFit="1" customWidth="1"/>
    <col min="214" max="214" width="6" customWidth="1"/>
    <col min="215" max="215" width="12.625" bestFit="1" customWidth="1"/>
    <col min="216" max="216" width="2.5" customWidth="1"/>
    <col min="218" max="218" width="12.5" bestFit="1" customWidth="1"/>
    <col min="219" max="219" width="6.375" customWidth="1"/>
    <col min="220" max="220" width="14.875" bestFit="1" customWidth="1"/>
    <col min="221" max="221" width="6" customWidth="1"/>
    <col min="222" max="222" width="12.625" bestFit="1" customWidth="1"/>
    <col min="223" max="223" width="2.5" customWidth="1"/>
    <col min="225" max="225" width="12.5" bestFit="1" customWidth="1"/>
    <col min="226" max="226" width="6.375" customWidth="1"/>
    <col min="227" max="227" width="14.875" bestFit="1" customWidth="1"/>
    <col min="228" max="228" width="6" customWidth="1"/>
    <col min="229" max="229" width="12.625" bestFit="1" customWidth="1"/>
    <col min="230" max="230" width="2.5" customWidth="1"/>
    <col min="232" max="232" width="12.5" bestFit="1" customWidth="1"/>
    <col min="233" max="233" width="6.375" customWidth="1"/>
    <col min="234" max="234" width="14.875" bestFit="1" customWidth="1"/>
    <col min="235" max="235" width="6" customWidth="1"/>
    <col min="236" max="236" width="12.625" bestFit="1" customWidth="1"/>
    <col min="237" max="237" width="2.5" customWidth="1"/>
    <col min="239" max="239" width="12.5" bestFit="1" customWidth="1"/>
    <col min="240" max="240" width="6.375" customWidth="1"/>
    <col min="241" max="241" width="14.875" bestFit="1" customWidth="1"/>
    <col min="242" max="242" width="6" customWidth="1"/>
    <col min="243" max="243" width="12.625" bestFit="1" customWidth="1"/>
    <col min="244" max="244" width="2.5" customWidth="1"/>
    <col min="246" max="246" width="12.5" bestFit="1" customWidth="1"/>
    <col min="247" max="247" width="6.375" customWidth="1"/>
    <col min="248" max="248" width="14.875" bestFit="1" customWidth="1"/>
    <col min="249" max="249" width="6" customWidth="1"/>
    <col min="250" max="250" width="12.625" bestFit="1" customWidth="1"/>
    <col min="251" max="251" width="2.5" customWidth="1"/>
    <col min="253" max="253" width="12.5" bestFit="1" customWidth="1"/>
    <col min="254" max="254" width="6.375" customWidth="1"/>
    <col min="255" max="255" width="14.875" bestFit="1" customWidth="1"/>
    <col min="256" max="256" width="6" customWidth="1"/>
    <col min="257" max="257" width="12.625" bestFit="1" customWidth="1"/>
    <col min="258" max="258" width="2.5" customWidth="1"/>
    <col min="260" max="260" width="12.5" bestFit="1" customWidth="1"/>
    <col min="261" max="261" width="6.375" customWidth="1"/>
    <col min="262" max="262" width="14.875" bestFit="1" customWidth="1"/>
    <col min="263" max="263" width="6" customWidth="1"/>
    <col min="264" max="264" width="12.625" bestFit="1" customWidth="1"/>
    <col min="265" max="265" width="2.5" customWidth="1"/>
    <col min="267" max="267" width="12.5" bestFit="1" customWidth="1"/>
    <col min="268" max="268" width="6.375" customWidth="1"/>
    <col min="269" max="269" width="14.875" bestFit="1" customWidth="1"/>
    <col min="270" max="270" width="6" customWidth="1"/>
    <col min="271" max="271" width="12.625" bestFit="1" customWidth="1"/>
    <col min="272" max="272" width="2.5" customWidth="1"/>
    <col min="274" max="274" width="12.5" bestFit="1" customWidth="1"/>
    <col min="275" max="275" width="6.375" customWidth="1"/>
    <col min="276" max="276" width="14.875" bestFit="1" customWidth="1"/>
    <col min="277" max="277" width="6" customWidth="1"/>
    <col min="278" max="278" width="12.625" bestFit="1" customWidth="1"/>
    <col min="279" max="279" width="2.5" customWidth="1"/>
    <col min="281" max="281" width="12.5" bestFit="1" customWidth="1"/>
    <col min="282" max="282" width="6.375" customWidth="1"/>
    <col min="283" max="283" width="14.875" bestFit="1" customWidth="1"/>
    <col min="284" max="284" width="6" customWidth="1"/>
    <col min="285" max="285" width="12.625" bestFit="1" customWidth="1"/>
  </cols>
  <sheetData>
    <row r="1" spans="2:285" ht="33.75">
      <c r="B1" s="5" t="s">
        <v>0</v>
      </c>
      <c r="D1" s="5"/>
      <c r="G1" s="15" t="s">
        <v>33</v>
      </c>
      <c r="I1" s="15" t="s">
        <v>33</v>
      </c>
      <c r="J1" s="15" t="s">
        <v>33</v>
      </c>
      <c r="K1" s="15" t="s">
        <v>33</v>
      </c>
    </row>
    <row r="2" spans="2:285">
      <c r="I2" s="33" t="s">
        <v>27</v>
      </c>
      <c r="J2" s="33"/>
      <c r="K2" s="33"/>
      <c r="L2" s="33"/>
      <c r="N2" s="33" t="s">
        <v>52</v>
      </c>
      <c r="O2" s="33"/>
      <c r="P2" s="33"/>
      <c r="Q2" s="33"/>
      <c r="R2" s="33"/>
      <c r="S2" s="33"/>
      <c r="U2" s="33" t="s">
        <v>156</v>
      </c>
      <c r="V2" s="33"/>
      <c r="W2" s="33"/>
      <c r="X2" s="33"/>
      <c r="Y2" s="33"/>
      <c r="Z2" s="33"/>
      <c r="AB2" s="33" t="s">
        <v>138</v>
      </c>
      <c r="AC2" s="33"/>
      <c r="AD2" s="33"/>
      <c r="AE2" s="33"/>
      <c r="AF2" s="33"/>
      <c r="AG2" s="33"/>
      <c r="AI2" s="33" t="s">
        <v>139</v>
      </c>
      <c r="AJ2" s="33"/>
      <c r="AK2" s="33"/>
      <c r="AL2" s="33"/>
      <c r="AM2" s="33"/>
      <c r="AN2" s="33"/>
      <c r="AP2" s="33" t="s">
        <v>137</v>
      </c>
      <c r="AQ2" s="33"/>
      <c r="AR2" s="33"/>
      <c r="AS2" s="33"/>
      <c r="AT2" s="33"/>
      <c r="AU2" s="33"/>
      <c r="AW2" s="33" t="s">
        <v>155</v>
      </c>
      <c r="AX2" s="33"/>
      <c r="AY2" s="33"/>
      <c r="AZ2" s="33"/>
      <c r="BA2" s="33"/>
      <c r="BB2" s="33"/>
      <c r="BD2" s="33" t="s">
        <v>53</v>
      </c>
      <c r="BE2" s="33"/>
      <c r="BF2" s="33"/>
      <c r="BG2" s="33"/>
      <c r="BH2" s="33"/>
      <c r="BI2" s="33"/>
      <c r="BK2" s="33" t="s">
        <v>140</v>
      </c>
      <c r="BL2" s="33"/>
      <c r="BM2" s="33"/>
      <c r="BN2" s="33"/>
      <c r="BO2" s="33"/>
      <c r="BP2" s="33"/>
      <c r="BR2" s="33" t="s">
        <v>157</v>
      </c>
      <c r="BS2" s="33"/>
      <c r="BT2" s="33"/>
      <c r="BU2" s="33"/>
      <c r="BV2" s="33"/>
      <c r="BW2" s="33"/>
      <c r="BY2" s="33" t="s">
        <v>141</v>
      </c>
      <c r="BZ2" s="33"/>
      <c r="CA2" s="33"/>
      <c r="CB2" s="33"/>
      <c r="CC2" s="33"/>
      <c r="CD2" s="33"/>
      <c r="CF2" s="33" t="s">
        <v>142</v>
      </c>
      <c r="CG2" s="33"/>
      <c r="CH2" s="33"/>
      <c r="CI2" s="33"/>
      <c r="CJ2" s="33"/>
      <c r="CK2" s="33"/>
      <c r="CM2" s="33" t="s">
        <v>54</v>
      </c>
      <c r="CN2" s="33"/>
      <c r="CO2" s="33"/>
      <c r="CP2" s="33"/>
      <c r="CQ2" s="33"/>
      <c r="CR2" s="33"/>
      <c r="CT2" s="33" t="s">
        <v>55</v>
      </c>
      <c r="CU2" s="33"/>
      <c r="CV2" s="33"/>
      <c r="CW2" s="33"/>
      <c r="CX2" s="33"/>
      <c r="CY2" s="33"/>
      <c r="DA2" s="33" t="s">
        <v>87</v>
      </c>
      <c r="DB2" s="33"/>
      <c r="DC2" s="33"/>
      <c r="DD2" s="33"/>
      <c r="DE2" s="33"/>
      <c r="DF2" s="33"/>
      <c r="DH2" s="33" t="s">
        <v>56</v>
      </c>
      <c r="DI2" s="33"/>
      <c r="DJ2" s="33"/>
      <c r="DK2" s="33"/>
      <c r="DL2" s="33"/>
      <c r="DM2" s="33"/>
      <c r="DO2" s="33" t="s">
        <v>57</v>
      </c>
      <c r="DP2" s="33"/>
      <c r="DQ2" s="33"/>
      <c r="DR2" s="33"/>
      <c r="DS2" s="33"/>
      <c r="DT2" s="33"/>
      <c r="DV2" s="33" t="s">
        <v>58</v>
      </c>
      <c r="DW2" s="33"/>
      <c r="DX2" s="33"/>
      <c r="DY2" s="33"/>
      <c r="DZ2" s="33"/>
      <c r="EA2" s="33"/>
      <c r="EC2" s="33" t="s">
        <v>94</v>
      </c>
      <c r="ED2" s="33"/>
      <c r="EE2" s="33"/>
      <c r="EF2" s="33"/>
      <c r="EG2" s="33"/>
      <c r="EH2" s="33"/>
      <c r="EJ2" s="33" t="s">
        <v>95</v>
      </c>
      <c r="EK2" s="33"/>
      <c r="EL2" s="33"/>
      <c r="EM2" s="33"/>
      <c r="EN2" s="33"/>
      <c r="EO2" s="33"/>
      <c r="EQ2" s="33" t="s">
        <v>96</v>
      </c>
      <c r="ER2" s="33"/>
      <c r="ES2" s="33"/>
      <c r="ET2" s="33"/>
      <c r="EU2" s="33"/>
      <c r="EV2" s="33"/>
      <c r="EX2" s="33" t="s">
        <v>97</v>
      </c>
      <c r="EY2" s="33"/>
      <c r="EZ2" s="33"/>
      <c r="FA2" s="33"/>
      <c r="FB2" s="33"/>
      <c r="FC2" s="33"/>
      <c r="FE2" s="33" t="s">
        <v>98</v>
      </c>
      <c r="FF2" s="33"/>
      <c r="FG2" s="33"/>
      <c r="FH2" s="33"/>
      <c r="FI2" s="33"/>
      <c r="FJ2" s="33"/>
      <c r="FL2" s="33" t="s">
        <v>99</v>
      </c>
      <c r="FM2" s="33"/>
      <c r="FN2" s="33"/>
      <c r="FO2" s="33"/>
      <c r="FP2" s="33"/>
      <c r="FQ2" s="33"/>
      <c r="FS2" s="33" t="s">
        <v>100</v>
      </c>
      <c r="FT2" s="33"/>
      <c r="FU2" s="33"/>
      <c r="FV2" s="33"/>
      <c r="FW2" s="33"/>
      <c r="FX2" s="33"/>
      <c r="FZ2" s="33" t="s">
        <v>101</v>
      </c>
      <c r="GA2" s="33"/>
      <c r="GB2" s="33"/>
      <c r="GC2" s="33"/>
      <c r="GD2" s="33"/>
      <c r="GE2" s="33"/>
      <c r="GG2" s="33" t="s">
        <v>102</v>
      </c>
      <c r="GH2" s="33"/>
      <c r="GI2" s="33"/>
      <c r="GJ2" s="33"/>
      <c r="GK2" s="33"/>
      <c r="GL2" s="33"/>
      <c r="GN2" s="33" t="s">
        <v>103</v>
      </c>
      <c r="GO2" s="33"/>
      <c r="GP2" s="33"/>
      <c r="GQ2" s="33"/>
      <c r="GR2" s="33"/>
      <c r="GS2" s="33"/>
      <c r="GU2" s="33" t="s">
        <v>104</v>
      </c>
      <c r="GV2" s="33"/>
      <c r="GW2" s="33"/>
      <c r="GX2" s="33"/>
      <c r="GY2" s="33"/>
      <c r="GZ2" s="33"/>
      <c r="HB2" s="33" t="s">
        <v>105</v>
      </c>
      <c r="HC2" s="33"/>
      <c r="HD2" s="33"/>
      <c r="HE2" s="33"/>
      <c r="HF2" s="33"/>
      <c r="HG2" s="33"/>
      <c r="HI2" s="33" t="s">
        <v>106</v>
      </c>
      <c r="HJ2" s="33"/>
      <c r="HK2" s="33"/>
      <c r="HL2" s="33"/>
      <c r="HM2" s="33"/>
      <c r="HN2" s="33"/>
      <c r="HP2" s="33" t="s">
        <v>107</v>
      </c>
      <c r="HQ2" s="33"/>
      <c r="HR2" s="33"/>
      <c r="HS2" s="33"/>
      <c r="HT2" s="33"/>
      <c r="HU2" s="33"/>
      <c r="HW2" s="33" t="s">
        <v>108</v>
      </c>
      <c r="HX2" s="33"/>
      <c r="HY2" s="33"/>
      <c r="HZ2" s="33"/>
      <c r="IA2" s="33"/>
      <c r="IB2" s="33"/>
      <c r="ID2" s="33" t="s">
        <v>109</v>
      </c>
      <c r="IE2" s="33"/>
      <c r="IF2" s="33"/>
      <c r="IG2" s="33"/>
      <c r="IH2" s="33"/>
      <c r="II2" s="33"/>
      <c r="IK2" s="33" t="s">
        <v>115</v>
      </c>
      <c r="IL2" s="33"/>
      <c r="IM2" s="33"/>
      <c r="IN2" s="33"/>
      <c r="IO2" s="33"/>
      <c r="IP2" s="33"/>
      <c r="IR2" s="33" t="s">
        <v>110</v>
      </c>
      <c r="IS2" s="33"/>
      <c r="IT2" s="33"/>
      <c r="IU2" s="33"/>
      <c r="IV2" s="33"/>
      <c r="IW2" s="33"/>
      <c r="IY2" s="33" t="s">
        <v>111</v>
      </c>
      <c r="IZ2" s="33"/>
      <c r="JA2" s="33"/>
      <c r="JB2" s="33"/>
      <c r="JC2" s="33"/>
      <c r="JD2" s="33"/>
      <c r="JF2" s="33" t="s">
        <v>114</v>
      </c>
      <c r="JG2" s="33"/>
      <c r="JH2" s="33"/>
      <c r="JI2" s="33"/>
      <c r="JJ2" s="33"/>
      <c r="JK2" s="33"/>
      <c r="JM2" s="33" t="s">
        <v>112</v>
      </c>
      <c r="JN2" s="33"/>
      <c r="JO2" s="33"/>
      <c r="JP2" s="33"/>
      <c r="JQ2" s="33"/>
      <c r="JR2" s="33"/>
      <c r="JT2" s="33" t="s">
        <v>113</v>
      </c>
      <c r="JU2" s="33"/>
      <c r="JV2" s="33"/>
      <c r="JW2" s="33"/>
      <c r="JX2" s="33"/>
      <c r="JY2" s="33"/>
    </row>
    <row r="3" spans="2:285">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c r="EJ3" s="6" t="s">
        <v>11</v>
      </c>
      <c r="EK3" s="6" t="s">
        <v>2</v>
      </c>
      <c r="EL3" s="6" t="s">
        <v>32</v>
      </c>
      <c r="EM3" s="6" t="s">
        <v>3</v>
      </c>
      <c r="EN3" s="6" t="s">
        <v>32</v>
      </c>
      <c r="EO3" s="6" t="s">
        <v>12</v>
      </c>
      <c r="EQ3" s="6" t="s">
        <v>11</v>
      </c>
      <c r="ER3" s="6" t="s">
        <v>2</v>
      </c>
      <c r="ES3" s="6" t="s">
        <v>32</v>
      </c>
      <c r="ET3" s="6" t="s">
        <v>3</v>
      </c>
      <c r="EU3" s="6" t="s">
        <v>32</v>
      </c>
      <c r="EV3" s="6" t="s">
        <v>12</v>
      </c>
      <c r="EX3" s="6" t="s">
        <v>11</v>
      </c>
      <c r="EY3" s="6" t="s">
        <v>2</v>
      </c>
      <c r="EZ3" s="6" t="s">
        <v>32</v>
      </c>
      <c r="FA3" s="6" t="s">
        <v>3</v>
      </c>
      <c r="FB3" s="6" t="s">
        <v>32</v>
      </c>
      <c r="FC3" s="6" t="s">
        <v>12</v>
      </c>
      <c r="FE3" s="6" t="s">
        <v>11</v>
      </c>
      <c r="FF3" s="6" t="s">
        <v>2</v>
      </c>
      <c r="FG3" s="6" t="s">
        <v>32</v>
      </c>
      <c r="FH3" s="6" t="s">
        <v>3</v>
      </c>
      <c r="FI3" s="6" t="s">
        <v>32</v>
      </c>
      <c r="FJ3" s="6" t="s">
        <v>12</v>
      </c>
      <c r="FL3" s="6" t="s">
        <v>11</v>
      </c>
      <c r="FM3" s="6" t="s">
        <v>2</v>
      </c>
      <c r="FN3" s="6" t="s">
        <v>32</v>
      </c>
      <c r="FO3" s="6" t="s">
        <v>3</v>
      </c>
      <c r="FP3" s="6" t="s">
        <v>32</v>
      </c>
      <c r="FQ3" s="6" t="s">
        <v>12</v>
      </c>
      <c r="FS3" s="6" t="s">
        <v>11</v>
      </c>
      <c r="FT3" s="6" t="s">
        <v>2</v>
      </c>
      <c r="FU3" s="6" t="s">
        <v>32</v>
      </c>
      <c r="FV3" s="6" t="s">
        <v>3</v>
      </c>
      <c r="FW3" s="6" t="s">
        <v>32</v>
      </c>
      <c r="FX3" s="6" t="s">
        <v>12</v>
      </c>
      <c r="FZ3" s="6" t="s">
        <v>11</v>
      </c>
      <c r="GA3" s="6" t="s">
        <v>2</v>
      </c>
      <c r="GB3" s="6" t="s">
        <v>32</v>
      </c>
      <c r="GC3" s="6" t="s">
        <v>3</v>
      </c>
      <c r="GD3" s="6" t="s">
        <v>32</v>
      </c>
      <c r="GE3" s="6" t="s">
        <v>12</v>
      </c>
      <c r="GG3" s="6" t="s">
        <v>11</v>
      </c>
      <c r="GH3" s="6" t="s">
        <v>2</v>
      </c>
      <c r="GI3" s="6" t="s">
        <v>32</v>
      </c>
      <c r="GJ3" s="6" t="s">
        <v>3</v>
      </c>
      <c r="GK3" s="6" t="s">
        <v>32</v>
      </c>
      <c r="GL3" s="6" t="s">
        <v>12</v>
      </c>
      <c r="GN3" s="6" t="s">
        <v>11</v>
      </c>
      <c r="GO3" s="6" t="s">
        <v>2</v>
      </c>
      <c r="GP3" s="6" t="s">
        <v>32</v>
      </c>
      <c r="GQ3" s="6" t="s">
        <v>3</v>
      </c>
      <c r="GR3" s="6" t="s">
        <v>32</v>
      </c>
      <c r="GS3" s="6" t="s">
        <v>12</v>
      </c>
      <c r="GU3" s="6" t="s">
        <v>11</v>
      </c>
      <c r="GV3" s="6" t="s">
        <v>2</v>
      </c>
      <c r="GW3" s="6" t="s">
        <v>32</v>
      </c>
      <c r="GX3" s="6" t="s">
        <v>3</v>
      </c>
      <c r="GY3" s="6" t="s">
        <v>32</v>
      </c>
      <c r="GZ3" s="6" t="s">
        <v>12</v>
      </c>
      <c r="HB3" s="6" t="s">
        <v>11</v>
      </c>
      <c r="HC3" s="6" t="s">
        <v>2</v>
      </c>
      <c r="HD3" s="6" t="s">
        <v>32</v>
      </c>
      <c r="HE3" s="6" t="s">
        <v>3</v>
      </c>
      <c r="HF3" s="6" t="s">
        <v>32</v>
      </c>
      <c r="HG3" s="6" t="s">
        <v>12</v>
      </c>
      <c r="HI3" s="6" t="s">
        <v>11</v>
      </c>
      <c r="HJ3" s="6" t="s">
        <v>2</v>
      </c>
      <c r="HK3" s="6" t="s">
        <v>32</v>
      </c>
      <c r="HL3" s="6" t="s">
        <v>3</v>
      </c>
      <c r="HM3" s="6" t="s">
        <v>32</v>
      </c>
      <c r="HN3" s="6" t="s">
        <v>12</v>
      </c>
      <c r="HP3" s="6" t="s">
        <v>11</v>
      </c>
      <c r="HQ3" s="6" t="s">
        <v>2</v>
      </c>
      <c r="HR3" s="6" t="s">
        <v>32</v>
      </c>
      <c r="HS3" s="6" t="s">
        <v>3</v>
      </c>
      <c r="HT3" s="6" t="s">
        <v>32</v>
      </c>
      <c r="HU3" s="6" t="s">
        <v>12</v>
      </c>
      <c r="HW3" s="6" t="s">
        <v>11</v>
      </c>
      <c r="HX3" s="6" t="s">
        <v>2</v>
      </c>
      <c r="HY3" s="6" t="s">
        <v>32</v>
      </c>
      <c r="HZ3" s="6" t="s">
        <v>3</v>
      </c>
      <c r="IA3" s="6" t="s">
        <v>32</v>
      </c>
      <c r="IB3" s="6" t="s">
        <v>12</v>
      </c>
      <c r="ID3" s="6" t="s">
        <v>11</v>
      </c>
      <c r="IE3" s="6" t="s">
        <v>2</v>
      </c>
      <c r="IF3" s="6" t="s">
        <v>32</v>
      </c>
      <c r="IG3" s="6" t="s">
        <v>3</v>
      </c>
      <c r="IH3" s="6" t="s">
        <v>32</v>
      </c>
      <c r="II3" s="6" t="s">
        <v>12</v>
      </c>
      <c r="IK3" s="6" t="s">
        <v>11</v>
      </c>
      <c r="IL3" s="6" t="s">
        <v>2</v>
      </c>
      <c r="IM3" s="6" t="s">
        <v>32</v>
      </c>
      <c r="IN3" s="6" t="s">
        <v>3</v>
      </c>
      <c r="IO3" s="6" t="s">
        <v>32</v>
      </c>
      <c r="IP3" s="6" t="s">
        <v>12</v>
      </c>
      <c r="IR3" s="6" t="s">
        <v>11</v>
      </c>
      <c r="IS3" s="6" t="s">
        <v>2</v>
      </c>
      <c r="IT3" s="6" t="s">
        <v>32</v>
      </c>
      <c r="IU3" s="6" t="s">
        <v>3</v>
      </c>
      <c r="IV3" s="6" t="s">
        <v>32</v>
      </c>
      <c r="IW3" s="6" t="s">
        <v>12</v>
      </c>
      <c r="IY3" s="6" t="s">
        <v>11</v>
      </c>
      <c r="IZ3" s="6" t="s">
        <v>2</v>
      </c>
      <c r="JA3" s="6" t="s">
        <v>32</v>
      </c>
      <c r="JB3" s="6" t="s">
        <v>3</v>
      </c>
      <c r="JC3" s="6" t="s">
        <v>32</v>
      </c>
      <c r="JD3" s="6" t="s">
        <v>12</v>
      </c>
      <c r="JF3" s="6" t="s">
        <v>11</v>
      </c>
      <c r="JG3" s="6" t="s">
        <v>2</v>
      </c>
      <c r="JH3" s="6" t="s">
        <v>32</v>
      </c>
      <c r="JI3" s="6" t="s">
        <v>3</v>
      </c>
      <c r="JJ3" s="6" t="s">
        <v>32</v>
      </c>
      <c r="JK3" s="6" t="s">
        <v>12</v>
      </c>
      <c r="JM3" s="6" t="s">
        <v>11</v>
      </c>
      <c r="JN3" s="6" t="s">
        <v>2</v>
      </c>
      <c r="JO3" s="6" t="s">
        <v>32</v>
      </c>
      <c r="JP3" s="6" t="s">
        <v>3</v>
      </c>
      <c r="JQ3" s="6" t="s">
        <v>32</v>
      </c>
      <c r="JR3" s="6" t="s">
        <v>12</v>
      </c>
      <c r="JT3" s="6" t="s">
        <v>11</v>
      </c>
      <c r="JU3" s="6" t="s">
        <v>2</v>
      </c>
      <c r="JV3" s="6" t="s">
        <v>32</v>
      </c>
      <c r="JW3" s="6" t="s">
        <v>3</v>
      </c>
      <c r="JX3" s="6" t="s">
        <v>32</v>
      </c>
      <c r="JY3" s="6" t="s">
        <v>12</v>
      </c>
    </row>
    <row r="4" spans="2:285">
      <c r="B4" t="s">
        <v>27</v>
      </c>
      <c r="C4" t="s">
        <v>49</v>
      </c>
      <c r="D4" s="19">
        <v>44570</v>
      </c>
      <c r="E4" s="11">
        <v>6</v>
      </c>
      <c r="G4" s="12">
        <f>+SUM(G5:G15)</f>
        <v>1</v>
      </c>
      <c r="I4" s="14">
        <f>+SUM(I5:I13)</f>
        <v>0</v>
      </c>
      <c r="J4" s="13">
        <f>+SUMPRODUCT(G5:G15,J5:J15)</f>
        <v>0.1333333333333</v>
      </c>
      <c r="K4" s="13">
        <f>+SUMPRODUCT(G5:G15,K5:K15)</f>
        <v>0.1333333333333</v>
      </c>
      <c r="L4" s="11"/>
      <c r="N4" s="14">
        <f>+SUM(N5:N13)</f>
        <v>0</v>
      </c>
      <c r="U4" s="14">
        <f>+SUM(U5:U13)</f>
        <v>0</v>
      </c>
      <c r="AB4" s="14">
        <f>+SUM(AB5:AB13)</f>
        <v>0</v>
      </c>
      <c r="AG4" t="s">
        <v>191</v>
      </c>
      <c r="AI4" s="14">
        <f>+SUM(AI5:AI13)</f>
        <v>0</v>
      </c>
      <c r="AP4" s="14">
        <f>+SUM(AP5:AP13)</f>
        <v>0</v>
      </c>
      <c r="AW4" s="14">
        <f>+SUM(AW5:AW13)</f>
        <v>0</v>
      </c>
      <c r="BD4" s="14">
        <f>+SUM(BD5:BD13)</f>
        <v>0</v>
      </c>
      <c r="BK4" s="14">
        <f>+SUM(BK5:BK13)</f>
        <v>0</v>
      </c>
      <c r="BR4" s="14">
        <f>+SUM(BR5:BR13)</f>
        <v>0</v>
      </c>
      <c r="BV4" s="12"/>
      <c r="BY4" s="14">
        <f>+SUM(BY5:BY13)</f>
        <v>0</v>
      </c>
      <c r="CB4" s="12"/>
      <c r="CC4" s="12"/>
      <c r="CF4" s="14">
        <f>+SUM(CF5:CF13)</f>
        <v>0</v>
      </c>
      <c r="CM4" s="14">
        <f>+SUM(CM5:CM13)</f>
        <v>0</v>
      </c>
      <c r="CT4" s="14">
        <f>+SUM(CT5:CT13)</f>
        <v>0</v>
      </c>
      <c r="DA4" s="14">
        <f>+SUM(DA5:DA13)</f>
        <v>0</v>
      </c>
      <c r="DH4" s="14">
        <f>+SUM(DH5:DH13)</f>
        <v>0</v>
      </c>
      <c r="DO4" s="14">
        <f>+SUM(DO5:DO13)</f>
        <v>0</v>
      </c>
      <c r="DV4" s="14">
        <f>+SUM(DV5:DV13)</f>
        <v>0</v>
      </c>
      <c r="EC4" s="14">
        <f>+SUM(EC5:EC13)</f>
        <v>0</v>
      </c>
      <c r="EJ4" s="14">
        <f>+SUM(EJ5:EJ13)</f>
        <v>0</v>
      </c>
      <c r="EQ4" s="14">
        <f>+SUM(EQ5:EQ13)</f>
        <v>0</v>
      </c>
      <c r="EX4" s="14">
        <f>+SUM(EX5:EX13)</f>
        <v>0</v>
      </c>
      <c r="FE4" s="14">
        <f>+SUM(FE5:FE13)</f>
        <v>0</v>
      </c>
      <c r="FL4" s="14">
        <f>+SUM(FL5:FL13)</f>
        <v>0</v>
      </c>
      <c r="FS4" s="14">
        <f>+SUM(FS5:FS13)</f>
        <v>0</v>
      </c>
      <c r="FZ4" s="14">
        <f>+SUM(FZ5:FZ13)</f>
        <v>0</v>
      </c>
      <c r="GG4" s="14">
        <f>+SUM(GG5:GG13)</f>
        <v>0</v>
      </c>
      <c r="GN4" s="14">
        <f>+SUM(GN5:GN13)</f>
        <v>0</v>
      </c>
      <c r="GU4" s="14">
        <f>+SUM(GU5:GU13)</f>
        <v>0</v>
      </c>
      <c r="HB4" s="14">
        <f>+SUM(HB5:HB13)</f>
        <v>0</v>
      </c>
      <c r="HI4" s="14">
        <f>+SUM(HI5:HI13)</f>
        <v>0</v>
      </c>
      <c r="HP4" s="14">
        <f>+SUM(HP5:HP13)</f>
        <v>0</v>
      </c>
      <c r="HW4" s="14">
        <f>+SUM(HW5:HW13)</f>
        <v>0</v>
      </c>
      <c r="ID4" s="14">
        <f>+SUM(ID5:ID13)</f>
        <v>0</v>
      </c>
      <c r="IK4" s="14">
        <f>+SUM(IK5:IK13)</f>
        <v>0</v>
      </c>
      <c r="IR4" s="14">
        <f>+SUM(IR5:IR13)</f>
        <v>0</v>
      </c>
      <c r="IY4" s="14">
        <f>+SUM(IY5:IY13)</f>
        <v>0</v>
      </c>
      <c r="JF4" s="14">
        <f>+SUM(JF5:JF13)</f>
        <v>0</v>
      </c>
      <c r="JM4" s="14">
        <f>+SUM(JM5:JM13)</f>
        <v>0</v>
      </c>
      <c r="JT4" s="14">
        <f>+SUM(JT5:JT13)</f>
        <v>0</v>
      </c>
    </row>
    <row r="5" spans="2:285" outlineLevel="1">
      <c r="B5" t="s">
        <v>28</v>
      </c>
      <c r="C5" t="s">
        <v>131</v>
      </c>
      <c r="E5" s="11"/>
      <c r="F5" t="s">
        <v>59</v>
      </c>
      <c r="G5" s="12">
        <v>4.7619047619000002E-2</v>
      </c>
      <c r="I5" s="11">
        <f t="shared" ref="I5:I15" si="0">+SUMIF($M$3:$ZL$3,I$3,$M5:$ZL5)</f>
        <v>0</v>
      </c>
      <c r="J5" s="13" cm="1">
        <f t="array" ref="J5">MAX(IF($M$3:$DT$3=$J$3,M5:DT5))</f>
        <v>0.8</v>
      </c>
      <c r="K5" s="13" cm="1">
        <f t="array" ref="K5">MAX(IF($M$3:$DT$3=$J$3,M5:DT5))</f>
        <v>0.8</v>
      </c>
      <c r="L5" s="11"/>
      <c r="O5" s="12">
        <v>0.8</v>
      </c>
      <c r="P5" s="12">
        <v>0.8</v>
      </c>
      <c r="Q5" s="12">
        <v>0.8</v>
      </c>
      <c r="R5" s="12">
        <v>0.8</v>
      </c>
      <c r="V5" s="12">
        <v>0.8</v>
      </c>
      <c r="W5" s="12">
        <v>0.8</v>
      </c>
      <c r="X5" s="12">
        <v>0.8</v>
      </c>
      <c r="Y5" s="12">
        <v>0.8</v>
      </c>
      <c r="Z5" t="s">
        <v>158</v>
      </c>
      <c r="AC5" s="12">
        <v>0.5</v>
      </c>
      <c r="AD5" s="12">
        <v>0.8</v>
      </c>
      <c r="AE5" s="12">
        <v>0.5</v>
      </c>
      <c r="AF5" s="12">
        <v>0.8</v>
      </c>
      <c r="AJ5" s="12"/>
      <c r="AK5" s="12">
        <v>0.8</v>
      </c>
      <c r="AL5" s="12"/>
      <c r="AM5" s="12">
        <v>0.8</v>
      </c>
      <c r="AN5" t="s">
        <v>193</v>
      </c>
      <c r="AQ5" s="12"/>
      <c r="AR5" s="12">
        <v>0.8</v>
      </c>
      <c r="AS5" s="12"/>
      <c r="AT5" s="12">
        <v>0.8</v>
      </c>
      <c r="AU5" t="s">
        <v>198</v>
      </c>
      <c r="AX5" s="12"/>
      <c r="AY5" s="12">
        <v>0.8</v>
      </c>
      <c r="AZ5" s="12"/>
      <c r="BA5" s="12">
        <v>0.8</v>
      </c>
      <c r="BB5" t="s">
        <v>199</v>
      </c>
      <c r="BE5" s="12"/>
      <c r="BF5" s="12">
        <v>1</v>
      </c>
      <c r="BG5" s="12"/>
      <c r="BH5" s="12">
        <v>1</v>
      </c>
      <c r="BI5" t="s">
        <v>200</v>
      </c>
      <c r="BL5" s="12"/>
      <c r="BM5" s="12">
        <v>1</v>
      </c>
      <c r="BN5" s="12"/>
      <c r="BO5" s="12">
        <v>1</v>
      </c>
      <c r="BP5" t="s">
        <v>158</v>
      </c>
      <c r="BS5" s="12"/>
      <c r="BT5" s="12">
        <v>1</v>
      </c>
      <c r="BU5" s="12"/>
      <c r="BV5" s="12">
        <v>1</v>
      </c>
      <c r="BW5" t="s">
        <v>200</v>
      </c>
      <c r="BZ5" s="12"/>
      <c r="CA5" s="12">
        <v>1</v>
      </c>
      <c r="CB5" s="12"/>
      <c r="CC5" s="12">
        <v>1</v>
      </c>
      <c r="CD5" t="s">
        <v>200</v>
      </c>
      <c r="CG5" s="12"/>
      <c r="CH5" s="12">
        <v>1</v>
      </c>
      <c r="CI5" s="12"/>
      <c r="CJ5" s="12">
        <v>1</v>
      </c>
      <c r="CN5" s="12"/>
      <c r="CO5" s="12"/>
      <c r="CP5" s="12"/>
      <c r="CQ5" s="12"/>
      <c r="CU5" s="12"/>
      <c r="CV5" s="12"/>
      <c r="CW5" s="12"/>
      <c r="CX5" s="12"/>
      <c r="DB5" s="12"/>
      <c r="DC5" s="12"/>
      <c r="DD5" s="12"/>
      <c r="DE5" s="12"/>
      <c r="DI5" s="12"/>
      <c r="DJ5" s="12"/>
      <c r="DK5" s="12"/>
      <c r="DL5" s="12"/>
      <c r="DP5" s="12"/>
      <c r="DQ5" s="12"/>
      <c r="DR5" s="12"/>
      <c r="DS5" s="12"/>
      <c r="DW5" s="12"/>
      <c r="DX5" s="12"/>
      <c r="DY5" s="12"/>
      <c r="DZ5" s="12"/>
      <c r="ED5" s="12"/>
      <c r="EE5" s="12"/>
      <c r="EF5" s="12"/>
      <c r="EG5" s="12"/>
      <c r="EK5" s="12"/>
      <c r="EL5" s="12"/>
      <c r="EM5" s="12"/>
      <c r="EN5" s="12"/>
      <c r="ER5" s="12"/>
      <c r="ES5" s="12"/>
      <c r="ET5" s="12"/>
      <c r="EU5" s="12"/>
      <c r="EY5" s="12"/>
      <c r="EZ5" s="12"/>
      <c r="FA5" s="12"/>
      <c r="FB5" s="12"/>
      <c r="FF5" s="12"/>
      <c r="FG5" s="12"/>
      <c r="FH5" s="12"/>
      <c r="FI5" s="12"/>
      <c r="FM5" s="12"/>
      <c r="FN5" s="12"/>
      <c r="FO5" s="12"/>
      <c r="FP5" s="12"/>
      <c r="FT5" s="12"/>
      <c r="FU5" s="12"/>
      <c r="FV5" s="12"/>
      <c r="FW5" s="12"/>
      <c r="GA5" s="12"/>
      <c r="GB5" s="12"/>
      <c r="GC5" s="12"/>
      <c r="GD5" s="12"/>
      <c r="GH5" s="12"/>
      <c r="GI5" s="12"/>
      <c r="GJ5" s="12"/>
      <c r="GK5" s="12"/>
      <c r="GO5" s="12"/>
      <c r="GP5" s="12"/>
      <c r="GQ5" s="12"/>
      <c r="GR5" s="12"/>
      <c r="GV5" s="12"/>
      <c r="GW5" s="12"/>
      <c r="GX5" s="12"/>
      <c r="GY5" s="12"/>
      <c r="HC5" s="12"/>
      <c r="HD5" s="12"/>
      <c r="HE5" s="12"/>
      <c r="HF5" s="12"/>
      <c r="HJ5" s="12"/>
      <c r="HK5" s="12"/>
      <c r="HL5" s="12"/>
      <c r="HM5" s="12"/>
      <c r="HQ5" s="12"/>
      <c r="HR5" s="12"/>
      <c r="HS5" s="12"/>
      <c r="HT5" s="12"/>
      <c r="HX5" s="12"/>
      <c r="HY5" s="12"/>
      <c r="HZ5" s="12"/>
      <c r="IA5" s="12"/>
      <c r="IE5" s="12"/>
      <c r="IF5" s="12"/>
      <c r="IG5" s="12"/>
      <c r="IH5" s="12"/>
      <c r="IL5" s="12"/>
      <c r="IM5" s="12"/>
      <c r="IN5" s="12"/>
      <c r="IO5" s="12"/>
      <c r="IS5" s="12"/>
      <c r="IT5" s="12"/>
      <c r="IU5" s="12"/>
      <c r="IV5" s="12"/>
      <c r="IZ5" s="12"/>
      <c r="JA5" s="12"/>
      <c r="JB5" s="12"/>
      <c r="JC5" s="12"/>
      <c r="JG5" s="12"/>
      <c r="JH5" s="12"/>
      <c r="JI5" s="12"/>
      <c r="JJ5" s="12"/>
      <c r="JN5" s="12"/>
      <c r="JO5" s="12"/>
      <c r="JP5" s="12"/>
      <c r="JQ5" s="12"/>
      <c r="JU5" s="12"/>
      <c r="JV5" s="12"/>
      <c r="JW5" s="12"/>
      <c r="JX5" s="12"/>
    </row>
    <row r="6" spans="2:285" outlineLevel="1">
      <c r="B6" t="s">
        <v>28</v>
      </c>
      <c r="C6" t="s">
        <v>132</v>
      </c>
      <c r="E6" s="11"/>
      <c r="F6" t="s">
        <v>60</v>
      </c>
      <c r="G6" s="12">
        <v>9.5238095238100007E-2</v>
      </c>
      <c r="I6" s="11">
        <f t="shared" si="0"/>
        <v>0</v>
      </c>
      <c r="J6" s="13" cm="1">
        <f t="array" ref="J6">MAX(IF($M$3:$DT$3=$J$3,M6:DT6))</f>
        <v>0.5</v>
      </c>
      <c r="K6" s="13" cm="1">
        <f t="array" ref="K6">MAX(IF($M$3:$DT$3=$J$3,M6:DT6))</f>
        <v>0.5</v>
      </c>
      <c r="L6" s="11"/>
      <c r="O6" s="12">
        <v>0.5</v>
      </c>
      <c r="P6" s="12">
        <v>0.5</v>
      </c>
      <c r="Q6" s="12">
        <v>0.5</v>
      </c>
      <c r="R6" s="12">
        <v>0.5</v>
      </c>
      <c r="V6" s="12">
        <v>0.5</v>
      </c>
      <c r="W6" s="12">
        <v>0.5</v>
      </c>
      <c r="X6" s="12">
        <v>0.5</v>
      </c>
      <c r="Y6" s="12">
        <v>0.5</v>
      </c>
      <c r="AC6" s="12">
        <v>0.5</v>
      </c>
      <c r="AD6" s="12">
        <v>0.8</v>
      </c>
      <c r="AE6" s="12">
        <v>0.5</v>
      </c>
      <c r="AF6" s="12">
        <v>0.8</v>
      </c>
      <c r="AJ6" s="12"/>
      <c r="AK6" s="12">
        <v>0.8</v>
      </c>
      <c r="AL6" s="12"/>
      <c r="AM6" s="12">
        <v>0.8</v>
      </c>
      <c r="AQ6" s="12"/>
      <c r="AR6" s="12">
        <v>0.8</v>
      </c>
      <c r="AS6" s="12"/>
      <c r="AT6" s="12">
        <v>0.8</v>
      </c>
      <c r="AX6" s="12"/>
      <c r="AY6" s="12">
        <v>0.8</v>
      </c>
      <c r="AZ6" s="12"/>
      <c r="BA6" s="12">
        <v>0.8</v>
      </c>
      <c r="BE6" s="12"/>
      <c r="BF6" s="12">
        <v>1</v>
      </c>
      <c r="BG6" s="12"/>
      <c r="BH6" s="12">
        <v>1</v>
      </c>
      <c r="BL6" s="12"/>
      <c r="BM6" s="12">
        <v>1</v>
      </c>
      <c r="BN6" s="12"/>
      <c r="BO6" s="12">
        <v>1</v>
      </c>
      <c r="BS6" s="12"/>
      <c r="BT6" s="12">
        <v>1</v>
      </c>
      <c r="BU6" s="12"/>
      <c r="BV6" s="12">
        <v>1</v>
      </c>
      <c r="BZ6" s="12"/>
      <c r="CA6" s="12">
        <v>1</v>
      </c>
      <c r="CB6" s="12"/>
      <c r="CC6" s="12">
        <v>1</v>
      </c>
      <c r="CG6" s="12"/>
      <c r="CH6" s="12">
        <v>1</v>
      </c>
      <c r="CI6" s="12"/>
      <c r="CJ6" s="12">
        <v>1</v>
      </c>
      <c r="CN6" s="12"/>
      <c r="CO6" s="12"/>
      <c r="CP6" s="12"/>
      <c r="CQ6" s="12"/>
      <c r="CU6" s="12"/>
      <c r="CV6" s="12"/>
      <c r="CW6" s="12"/>
      <c r="CX6" s="12"/>
      <c r="DB6" s="12"/>
      <c r="DC6" s="12"/>
      <c r="DD6" s="12"/>
      <c r="DE6" s="12"/>
      <c r="DI6" s="12"/>
      <c r="DJ6" s="12"/>
      <c r="DK6" s="12"/>
      <c r="DL6" s="12"/>
      <c r="DP6" s="12"/>
      <c r="DQ6" s="12"/>
      <c r="DR6" s="12"/>
      <c r="DS6" s="12"/>
      <c r="DW6" s="12"/>
      <c r="DX6" s="12"/>
      <c r="DY6" s="12"/>
      <c r="DZ6" s="12"/>
      <c r="ED6" s="12"/>
      <c r="EE6" s="12"/>
      <c r="EF6" s="12"/>
      <c r="EG6" s="12"/>
      <c r="EK6" s="12"/>
      <c r="EL6" s="12"/>
      <c r="EM6" s="12"/>
      <c r="EN6" s="12"/>
      <c r="ER6" s="12"/>
      <c r="ES6" s="12"/>
      <c r="ET6" s="12"/>
      <c r="EU6" s="12"/>
      <c r="EY6" s="12"/>
      <c r="EZ6" s="12"/>
      <c r="FA6" s="12"/>
      <c r="FB6" s="12"/>
      <c r="FF6" s="12"/>
      <c r="FG6" s="12"/>
      <c r="FH6" s="12"/>
      <c r="FI6" s="12"/>
      <c r="FM6" s="12"/>
      <c r="FN6" s="12"/>
      <c r="FO6" s="12"/>
      <c r="FP6" s="12"/>
      <c r="FT6" s="12"/>
      <c r="FU6" s="12"/>
      <c r="FV6" s="12"/>
      <c r="FW6" s="12"/>
      <c r="GA6" s="12"/>
      <c r="GB6" s="12"/>
      <c r="GC6" s="12"/>
      <c r="GD6" s="12"/>
      <c r="GH6" s="12"/>
      <c r="GI6" s="12"/>
      <c r="GJ6" s="12"/>
      <c r="GK6" s="12"/>
      <c r="GO6" s="12"/>
      <c r="GP6" s="12"/>
      <c r="GQ6" s="12"/>
      <c r="GR6" s="12"/>
      <c r="GV6" s="12"/>
      <c r="GW6" s="12"/>
      <c r="GX6" s="12"/>
      <c r="GY6" s="12"/>
      <c r="HC6" s="12"/>
      <c r="HD6" s="12"/>
      <c r="HE6" s="12"/>
      <c r="HF6" s="12"/>
      <c r="HJ6" s="12"/>
      <c r="HK6" s="12"/>
      <c r="HL6" s="12"/>
      <c r="HM6" s="12"/>
      <c r="HQ6" s="12"/>
      <c r="HR6" s="12"/>
      <c r="HS6" s="12"/>
      <c r="HT6" s="12"/>
      <c r="HX6" s="12"/>
      <c r="HY6" s="12"/>
      <c r="HZ6" s="12"/>
      <c r="IA6" s="12"/>
      <c r="IE6" s="12"/>
      <c r="IF6" s="12"/>
      <c r="IG6" s="12"/>
      <c r="IH6" s="12"/>
      <c r="IL6" s="12"/>
      <c r="IM6" s="12"/>
      <c r="IN6" s="12"/>
      <c r="IO6" s="12"/>
      <c r="IS6" s="12"/>
      <c r="IT6" s="12"/>
      <c r="IU6" s="12"/>
      <c r="IV6" s="12"/>
      <c r="IZ6" s="12"/>
      <c r="JA6" s="12"/>
      <c r="JB6" s="12"/>
      <c r="JC6" s="12"/>
      <c r="JG6" s="12"/>
      <c r="JH6" s="12"/>
      <c r="JI6" s="12"/>
      <c r="JJ6" s="12"/>
      <c r="JN6" s="12"/>
      <c r="JO6" s="12"/>
      <c r="JP6" s="12"/>
      <c r="JQ6" s="12"/>
      <c r="JU6" s="12"/>
      <c r="JV6" s="12"/>
      <c r="JW6" s="12"/>
      <c r="JX6" s="12"/>
    </row>
    <row r="7" spans="2:285" outlineLevel="1">
      <c r="B7" t="s">
        <v>28</v>
      </c>
      <c r="C7" t="s">
        <v>133</v>
      </c>
      <c r="E7" s="11"/>
      <c r="F7" t="s">
        <v>61</v>
      </c>
      <c r="G7" s="12">
        <v>9.5238095238100007E-2</v>
      </c>
      <c r="I7" s="11">
        <f t="shared" si="0"/>
        <v>0</v>
      </c>
      <c r="J7" s="13" cm="1">
        <f t="array" ref="J7">MAX(IF($M$3:$DT$3=$J$3,M7:DT7))</f>
        <v>0.5</v>
      </c>
      <c r="K7" s="13" cm="1">
        <f t="array" ref="K7">MAX(IF($M$3:$DT$3=$J$3,M7:DT7))</f>
        <v>0.5</v>
      </c>
      <c r="L7" s="11"/>
      <c r="O7" s="12"/>
      <c r="P7" s="12"/>
      <c r="Q7" s="12"/>
      <c r="R7" s="12"/>
      <c r="V7" s="12"/>
      <c r="W7" s="12">
        <v>0.5</v>
      </c>
      <c r="X7" s="12"/>
      <c r="Y7" s="12">
        <v>0.5</v>
      </c>
      <c r="AC7" s="12">
        <v>0.5</v>
      </c>
      <c r="AD7" s="12">
        <v>0.5</v>
      </c>
      <c r="AE7" s="12">
        <v>0.5</v>
      </c>
      <c r="AF7" s="12">
        <v>0.5</v>
      </c>
      <c r="AJ7" s="12"/>
      <c r="AK7" s="12">
        <v>0.5</v>
      </c>
      <c r="AL7" s="12"/>
      <c r="AM7" s="12">
        <v>0.5</v>
      </c>
      <c r="AQ7" s="12"/>
      <c r="AR7" s="12">
        <v>0.8</v>
      </c>
      <c r="AS7" s="12"/>
      <c r="AT7" s="12">
        <v>0.8</v>
      </c>
      <c r="AX7" s="12"/>
      <c r="AY7" s="12">
        <v>0.8</v>
      </c>
      <c r="AZ7" s="12"/>
      <c r="BA7" s="12">
        <v>0.8</v>
      </c>
      <c r="BE7" s="12"/>
      <c r="BF7" s="12">
        <v>1</v>
      </c>
      <c r="BG7" s="12"/>
      <c r="BH7" s="12">
        <v>1</v>
      </c>
      <c r="BL7" s="12"/>
      <c r="BM7" s="12">
        <v>1</v>
      </c>
      <c r="BN7" s="12"/>
      <c r="BO7" s="12">
        <v>1</v>
      </c>
      <c r="BS7" s="12"/>
      <c r="BT7" s="12">
        <v>1</v>
      </c>
      <c r="BU7" s="12"/>
      <c r="BV7" s="12">
        <v>1</v>
      </c>
      <c r="BZ7" s="12"/>
      <c r="CA7" s="12">
        <v>1</v>
      </c>
      <c r="CB7" s="12"/>
      <c r="CC7" s="12">
        <v>1</v>
      </c>
      <c r="CG7" s="12"/>
      <c r="CH7" s="12">
        <v>1</v>
      </c>
      <c r="CI7" s="12"/>
      <c r="CJ7" s="12">
        <v>1</v>
      </c>
      <c r="CN7" s="12"/>
      <c r="CO7" s="12"/>
      <c r="CP7" s="12"/>
      <c r="CQ7" s="12"/>
      <c r="CU7" s="12"/>
      <c r="CV7" s="12"/>
      <c r="CW7" s="12"/>
      <c r="CX7" s="12"/>
      <c r="DB7" s="12"/>
      <c r="DC7" s="12"/>
      <c r="DD7" s="12"/>
      <c r="DE7" s="12"/>
      <c r="DI7" s="12"/>
      <c r="DJ7" s="12"/>
      <c r="DK7" s="12"/>
      <c r="DL7" s="12"/>
      <c r="DP7" s="12"/>
      <c r="DQ7" s="12"/>
      <c r="DR7" s="12"/>
      <c r="DS7" s="12"/>
      <c r="DW7" s="12"/>
      <c r="DX7" s="12"/>
      <c r="DY7" s="12"/>
      <c r="DZ7" s="12"/>
      <c r="ED7" s="12"/>
      <c r="EE7" s="12"/>
      <c r="EF7" s="12"/>
      <c r="EG7" s="12"/>
      <c r="EK7" s="12"/>
      <c r="EL7" s="12"/>
      <c r="EM7" s="12"/>
      <c r="EN7" s="12"/>
      <c r="ER7" s="12"/>
      <c r="ES7" s="12"/>
      <c r="ET7" s="12"/>
      <c r="EU7" s="12"/>
      <c r="EY7" s="12"/>
      <c r="EZ7" s="12"/>
      <c r="FA7" s="12"/>
      <c r="FB7" s="12"/>
      <c r="FF7" s="12"/>
      <c r="FG7" s="12"/>
      <c r="FH7" s="12"/>
      <c r="FI7" s="12"/>
      <c r="FM7" s="12"/>
      <c r="FN7" s="12"/>
      <c r="FO7" s="12"/>
      <c r="FP7" s="12"/>
      <c r="FT7" s="12"/>
      <c r="FU7" s="12"/>
      <c r="FV7" s="12"/>
      <c r="FW7" s="12"/>
      <c r="GA7" s="12"/>
      <c r="GB7" s="12"/>
      <c r="GC7" s="12"/>
      <c r="GD7" s="12"/>
      <c r="GH7" s="12"/>
      <c r="GI7" s="12"/>
      <c r="GJ7" s="12"/>
      <c r="GK7" s="12"/>
      <c r="GO7" s="12"/>
      <c r="GP7" s="12"/>
      <c r="GQ7" s="12"/>
      <c r="GR7" s="12"/>
      <c r="GV7" s="12"/>
      <c r="GW7" s="12"/>
      <c r="GX7" s="12"/>
      <c r="GY7" s="12"/>
      <c r="HC7" s="12"/>
      <c r="HD7" s="12"/>
      <c r="HE7" s="12"/>
      <c r="HF7" s="12"/>
      <c r="HJ7" s="12"/>
      <c r="HK7" s="12"/>
      <c r="HL7" s="12"/>
      <c r="HM7" s="12"/>
      <c r="HQ7" s="12"/>
      <c r="HR7" s="12"/>
      <c r="HS7" s="12"/>
      <c r="HT7" s="12"/>
      <c r="HX7" s="12"/>
      <c r="HY7" s="12"/>
      <c r="HZ7" s="12"/>
      <c r="IA7" s="12"/>
      <c r="IE7" s="12"/>
      <c r="IF7" s="12"/>
      <c r="IG7" s="12"/>
      <c r="IH7" s="12"/>
      <c r="IL7" s="12"/>
      <c r="IM7" s="12"/>
      <c r="IN7" s="12"/>
      <c r="IO7" s="12"/>
      <c r="IS7" s="12"/>
      <c r="IT7" s="12"/>
      <c r="IU7" s="12"/>
      <c r="IV7" s="12"/>
      <c r="IZ7" s="12"/>
      <c r="JA7" s="12"/>
      <c r="JB7" s="12"/>
      <c r="JC7" s="12"/>
      <c r="JG7" s="12"/>
      <c r="JH7" s="12"/>
      <c r="JI7" s="12"/>
      <c r="JJ7" s="12"/>
      <c r="JN7" s="12"/>
      <c r="JO7" s="12"/>
      <c r="JP7" s="12"/>
      <c r="JQ7" s="12"/>
      <c r="JU7" s="12"/>
      <c r="JV7" s="12"/>
      <c r="JW7" s="12"/>
      <c r="JX7" s="12"/>
    </row>
    <row r="8" spans="2:285" outlineLevel="1">
      <c r="B8" t="s">
        <v>28</v>
      </c>
      <c r="C8" s="20" t="s">
        <v>63</v>
      </c>
      <c r="E8" s="11"/>
      <c r="F8" t="s">
        <v>62</v>
      </c>
      <c r="G8" s="12">
        <v>9.5238095238100007E-2</v>
      </c>
      <c r="I8" s="11">
        <f t="shared" si="0"/>
        <v>0</v>
      </c>
      <c r="J8" s="13" cm="1">
        <f t="array" ref="J8">MAX(IF($M$3:$DT$3=$J$3,M8:DT8))</f>
        <v>0</v>
      </c>
      <c r="K8" s="13" cm="1">
        <f t="array" ref="K8">MAX(IF($M$3:$DT$3=$J$3,M8:DT8))</f>
        <v>0</v>
      </c>
      <c r="L8" s="11"/>
      <c r="O8" s="12"/>
      <c r="P8" s="12"/>
      <c r="Q8" s="12"/>
      <c r="R8" s="12"/>
      <c r="V8" s="12"/>
      <c r="W8" s="12">
        <v>0.5</v>
      </c>
      <c r="X8" s="12"/>
      <c r="Y8" s="12">
        <v>0.5</v>
      </c>
      <c r="AC8" s="12"/>
      <c r="AD8" s="12">
        <v>0.5</v>
      </c>
      <c r="AE8" s="12"/>
      <c r="AF8" s="12">
        <v>0.5</v>
      </c>
      <c r="AJ8" s="12"/>
      <c r="AK8" s="12">
        <v>0.5</v>
      </c>
      <c r="AL8" s="12"/>
      <c r="AM8" s="12">
        <v>0.5</v>
      </c>
      <c r="AQ8" s="12"/>
      <c r="AR8" s="12">
        <v>0.8</v>
      </c>
      <c r="AS8" s="12"/>
      <c r="AT8" s="12">
        <v>0.8</v>
      </c>
      <c r="AX8" s="12"/>
      <c r="AY8" s="12">
        <v>0.8</v>
      </c>
      <c r="AZ8" s="12"/>
      <c r="BA8" s="12">
        <v>0.8</v>
      </c>
      <c r="BE8" s="12"/>
      <c r="BF8" s="12">
        <v>0.8</v>
      </c>
      <c r="BG8" s="12"/>
      <c r="BH8" s="12">
        <v>0.8</v>
      </c>
      <c r="BL8" s="12"/>
      <c r="BM8" s="12">
        <v>1</v>
      </c>
      <c r="BN8" s="12"/>
      <c r="BO8" s="12">
        <v>1</v>
      </c>
      <c r="BS8" s="12"/>
      <c r="BT8" s="12">
        <v>1</v>
      </c>
      <c r="BU8" s="12"/>
      <c r="BV8" s="12">
        <v>1</v>
      </c>
      <c r="BZ8" s="12"/>
      <c r="CA8" s="12">
        <v>1</v>
      </c>
      <c r="CB8" s="12"/>
      <c r="CC8" s="12">
        <v>1</v>
      </c>
      <c r="CG8" s="12"/>
      <c r="CH8" s="12">
        <v>1</v>
      </c>
      <c r="CI8" s="12"/>
      <c r="CJ8" s="12">
        <v>1</v>
      </c>
      <c r="CN8" s="12"/>
      <c r="CO8" s="12"/>
      <c r="CP8" s="12"/>
      <c r="CQ8" s="12"/>
      <c r="CU8" s="12"/>
      <c r="CV8" s="12"/>
      <c r="CW8" s="12"/>
      <c r="CX8" s="12"/>
      <c r="DB8" s="12"/>
      <c r="DC8" s="12"/>
      <c r="DD8" s="12"/>
      <c r="DE8" s="12"/>
      <c r="DI8" s="12"/>
      <c r="DJ8" s="12"/>
      <c r="DK8" s="12"/>
      <c r="DL8" s="12"/>
      <c r="DP8" s="12"/>
      <c r="DQ8" s="12"/>
      <c r="DR8" s="12"/>
      <c r="DS8" s="12"/>
      <c r="DW8" s="12"/>
      <c r="DX8" s="12"/>
      <c r="DY8" s="12"/>
      <c r="DZ8" s="12"/>
      <c r="ED8" s="12"/>
      <c r="EE8" s="12"/>
      <c r="EF8" s="12"/>
      <c r="EG8" s="12"/>
      <c r="EK8" s="12"/>
      <c r="EL8" s="12"/>
      <c r="EM8" s="12"/>
      <c r="EN8" s="12"/>
      <c r="ER8" s="12"/>
      <c r="ES8" s="12"/>
      <c r="ET8" s="12"/>
      <c r="EU8" s="12"/>
      <c r="EY8" s="12"/>
      <c r="EZ8" s="12"/>
      <c r="FA8" s="12"/>
      <c r="FB8" s="12"/>
      <c r="FF8" s="12"/>
      <c r="FG8" s="12"/>
      <c r="FH8" s="12"/>
      <c r="FI8" s="12"/>
      <c r="FM8" s="12"/>
      <c r="FN8" s="12"/>
      <c r="FO8" s="12"/>
      <c r="FP8" s="12"/>
      <c r="FT8" s="12"/>
      <c r="FU8" s="12"/>
      <c r="FV8" s="12"/>
      <c r="FW8" s="12"/>
      <c r="GA8" s="12"/>
      <c r="GB8" s="12"/>
      <c r="GC8" s="12"/>
      <c r="GD8" s="12"/>
      <c r="GH8" s="12"/>
      <c r="GI8" s="12"/>
      <c r="GJ8" s="12"/>
      <c r="GK8" s="12"/>
      <c r="GO8" s="12"/>
      <c r="GP8" s="12"/>
      <c r="GQ8" s="12"/>
      <c r="GR8" s="12"/>
      <c r="GV8" s="12"/>
      <c r="GW8" s="12"/>
      <c r="GX8" s="12"/>
      <c r="GY8" s="12"/>
      <c r="HC8" s="12"/>
      <c r="HD8" s="12"/>
      <c r="HE8" s="12"/>
      <c r="HF8" s="12"/>
      <c r="HJ8" s="12"/>
      <c r="HK8" s="12"/>
      <c r="HL8" s="12"/>
      <c r="HM8" s="12"/>
      <c r="HQ8" s="12"/>
      <c r="HR8" s="12"/>
      <c r="HS8" s="12"/>
      <c r="HT8" s="12"/>
      <c r="HX8" s="12"/>
      <c r="HY8" s="12"/>
      <c r="HZ8" s="12"/>
      <c r="IA8" s="12"/>
      <c r="IE8" s="12"/>
      <c r="IF8" s="12"/>
      <c r="IG8" s="12"/>
      <c r="IH8" s="12"/>
      <c r="IL8" s="12"/>
      <c r="IM8" s="12"/>
      <c r="IN8" s="12"/>
      <c r="IO8" s="12"/>
      <c r="IS8" s="12"/>
      <c r="IT8" s="12"/>
      <c r="IU8" s="12"/>
      <c r="IV8" s="12"/>
      <c r="IZ8" s="12"/>
      <c r="JA8" s="12"/>
      <c r="JB8" s="12"/>
      <c r="JC8" s="12"/>
      <c r="JG8" s="12"/>
      <c r="JH8" s="12"/>
      <c r="JI8" s="12"/>
      <c r="JJ8" s="12"/>
      <c r="JN8" s="12"/>
      <c r="JO8" s="12"/>
      <c r="JP8" s="12"/>
      <c r="JQ8" s="12"/>
      <c r="JU8" s="12"/>
      <c r="JV8" s="12"/>
      <c r="JW8" s="12"/>
      <c r="JX8" s="12"/>
    </row>
    <row r="9" spans="2:285" outlineLevel="1">
      <c r="B9" t="s">
        <v>28</v>
      </c>
      <c r="C9" t="s">
        <v>64</v>
      </c>
      <c r="E9" s="11"/>
      <c r="F9" t="s">
        <v>67</v>
      </c>
      <c r="G9" s="12">
        <v>9.5238095238100007E-2</v>
      </c>
      <c r="I9" s="11">
        <f t="shared" si="0"/>
        <v>0</v>
      </c>
      <c r="J9" s="13" cm="1">
        <f t="array" ref="J9">MAX(IF($M$3:$DT$3=$J$3,M9:DT9))</f>
        <v>0</v>
      </c>
      <c r="K9" s="13" cm="1">
        <f t="array" ref="K9">MAX(IF($M$3:$DT$3=$J$3,M9:DT9))</f>
        <v>0</v>
      </c>
      <c r="L9" s="11"/>
      <c r="O9" s="12"/>
      <c r="P9" s="12"/>
      <c r="Q9" s="12"/>
      <c r="R9" s="12"/>
      <c r="V9" s="12"/>
      <c r="W9" s="12"/>
      <c r="X9" s="12"/>
      <c r="Y9" s="12"/>
      <c r="AC9" s="12"/>
      <c r="AD9" s="12">
        <v>0.5</v>
      </c>
      <c r="AE9" s="12"/>
      <c r="AF9" s="12">
        <v>0.5</v>
      </c>
      <c r="AJ9" s="12"/>
      <c r="AK9" s="12">
        <v>0.5</v>
      </c>
      <c r="AL9" s="12"/>
      <c r="AM9" s="12">
        <v>0.5</v>
      </c>
      <c r="AQ9" s="12"/>
      <c r="AR9" s="12">
        <v>0.5</v>
      </c>
      <c r="AS9" s="12"/>
      <c r="AT9" s="12">
        <v>0.5</v>
      </c>
      <c r="AX9" s="12"/>
      <c r="AY9" s="12">
        <v>0.8</v>
      </c>
      <c r="AZ9" s="12"/>
      <c r="BA9" s="12">
        <v>0.8</v>
      </c>
      <c r="BE9" s="12"/>
      <c r="BF9" s="12">
        <v>0.8</v>
      </c>
      <c r="BG9" s="12"/>
      <c r="BH9" s="12">
        <v>0.8</v>
      </c>
      <c r="BL9" s="12"/>
      <c r="BM9" s="12">
        <v>0.8</v>
      </c>
      <c r="BN9" s="12"/>
      <c r="BO9" s="12">
        <v>0.8</v>
      </c>
      <c r="BS9" s="12"/>
      <c r="BT9" s="12">
        <v>1</v>
      </c>
      <c r="BU9" s="12"/>
      <c r="BV9" s="12">
        <v>1</v>
      </c>
      <c r="BZ9" s="12"/>
      <c r="CA9" s="12">
        <v>1</v>
      </c>
      <c r="CB9" s="12"/>
      <c r="CC9" s="12">
        <v>1</v>
      </c>
      <c r="CG9" s="12"/>
      <c r="CH9" s="12">
        <v>1</v>
      </c>
      <c r="CI9" s="12"/>
      <c r="CJ9" s="12">
        <v>1</v>
      </c>
      <c r="CN9" s="12"/>
      <c r="CO9" s="12"/>
      <c r="CP9" s="12"/>
      <c r="CQ9" s="12"/>
      <c r="CU9" s="12"/>
      <c r="CV9" s="12"/>
      <c r="CW9" s="12"/>
      <c r="CX9" s="12"/>
      <c r="DB9" s="12"/>
      <c r="DC9" s="12"/>
      <c r="DD9" s="12"/>
      <c r="DE9" s="12"/>
      <c r="DI9" s="12"/>
      <c r="DJ9" s="12"/>
      <c r="DK9" s="12"/>
      <c r="DL9" s="12"/>
      <c r="DP9" s="12"/>
      <c r="DQ9" s="12"/>
      <c r="DR9" s="12"/>
      <c r="DS9" s="12"/>
      <c r="DW9" s="12"/>
      <c r="DX9" s="12"/>
      <c r="DY9" s="12"/>
      <c r="DZ9" s="12"/>
      <c r="ED9" s="12"/>
      <c r="EE9" s="12"/>
      <c r="EF9" s="12"/>
      <c r="EG9" s="12"/>
      <c r="EK9" s="12"/>
      <c r="EL9" s="12"/>
      <c r="EM9" s="12"/>
      <c r="EN9" s="12"/>
      <c r="ER9" s="12"/>
      <c r="ES9" s="12"/>
      <c r="ET9" s="12"/>
      <c r="EU9" s="12"/>
      <c r="EY9" s="12"/>
      <c r="EZ9" s="12"/>
      <c r="FA9" s="12"/>
      <c r="FB9" s="12"/>
      <c r="FF9" s="12"/>
      <c r="FG9" s="12"/>
      <c r="FH9" s="12"/>
      <c r="FI9" s="12"/>
      <c r="FM9" s="12"/>
      <c r="FN9" s="12"/>
      <c r="FO9" s="12"/>
      <c r="FP9" s="12"/>
      <c r="FT9" s="12"/>
      <c r="FU9" s="12"/>
      <c r="FV9" s="12"/>
      <c r="FW9" s="12"/>
      <c r="GA9" s="12"/>
      <c r="GB9" s="12"/>
      <c r="GC9" s="12"/>
      <c r="GD9" s="12"/>
      <c r="GH9" s="12"/>
      <c r="GI9" s="12"/>
      <c r="GJ9" s="12"/>
      <c r="GK9" s="12"/>
      <c r="GO9" s="12"/>
      <c r="GP9" s="12"/>
      <c r="GQ9" s="12"/>
      <c r="GR9" s="12"/>
      <c r="GV9" s="12"/>
      <c r="GW9" s="12"/>
      <c r="GX9" s="12"/>
      <c r="GY9" s="12"/>
      <c r="HC9" s="12"/>
      <c r="HD9" s="12"/>
      <c r="HE9" s="12"/>
      <c r="HF9" s="12"/>
      <c r="HJ9" s="12"/>
      <c r="HK9" s="12"/>
      <c r="HL9" s="12"/>
      <c r="HM9" s="12"/>
      <c r="HQ9" s="12"/>
      <c r="HR9" s="12"/>
      <c r="HS9" s="12"/>
      <c r="HT9" s="12"/>
      <c r="HX9" s="12"/>
      <c r="HY9" s="12"/>
      <c r="HZ9" s="12"/>
      <c r="IA9" s="12"/>
      <c r="IE9" s="12"/>
      <c r="IF9" s="12"/>
      <c r="IG9" s="12"/>
      <c r="IH9" s="12"/>
      <c r="IL9" s="12"/>
      <c r="IM9" s="12"/>
      <c r="IN9" s="12"/>
      <c r="IO9" s="12"/>
      <c r="IS9" s="12"/>
      <c r="IT9" s="12"/>
      <c r="IU9" s="12"/>
      <c r="IV9" s="12"/>
      <c r="IZ9" s="12"/>
      <c r="JA9" s="12"/>
      <c r="JB9" s="12"/>
      <c r="JC9" s="12"/>
      <c r="JG9" s="12"/>
      <c r="JH9" s="12"/>
      <c r="JI9" s="12"/>
      <c r="JJ9" s="12"/>
      <c r="JN9" s="12"/>
      <c r="JO9" s="12"/>
      <c r="JP9" s="12"/>
      <c r="JQ9" s="12"/>
      <c r="JU9" s="12"/>
      <c r="JV9" s="12"/>
      <c r="JW9" s="12"/>
      <c r="JX9" s="12"/>
    </row>
    <row r="10" spans="2:285" outlineLevel="1">
      <c r="B10" t="s">
        <v>28</v>
      </c>
      <c r="C10" t="s">
        <v>65</v>
      </c>
      <c r="E10" s="11"/>
      <c r="F10" t="s">
        <v>68</v>
      </c>
      <c r="G10" s="12">
        <v>9.5238095238100007E-2</v>
      </c>
      <c r="I10" s="11">
        <f t="shared" si="0"/>
        <v>0</v>
      </c>
      <c r="J10" s="13" cm="1">
        <f t="array" ref="J10">MAX(IF($M$3:$DT$3=$J$3,M10:DT10))</f>
        <v>0</v>
      </c>
      <c r="K10" s="13" cm="1">
        <f t="array" ref="K10">MAX(IF($M$3:$DT$3=$J$3,M10:DT10))</f>
        <v>0</v>
      </c>
      <c r="L10" s="11"/>
      <c r="O10" s="12"/>
      <c r="P10" s="12"/>
      <c r="Q10" s="12"/>
      <c r="R10" s="12"/>
      <c r="V10" s="12"/>
      <c r="W10" s="12"/>
      <c r="X10" s="12"/>
      <c r="Y10" s="12"/>
      <c r="AC10" s="12"/>
      <c r="AD10" s="12"/>
      <c r="AE10" s="12"/>
      <c r="AF10" s="12"/>
      <c r="AJ10" s="12"/>
      <c r="AK10" s="12"/>
      <c r="AL10" s="12"/>
      <c r="AM10" s="12"/>
      <c r="AQ10" s="12"/>
      <c r="AR10" s="12">
        <v>0.5</v>
      </c>
      <c r="AS10" s="12"/>
      <c r="AT10" s="12">
        <v>0.5</v>
      </c>
      <c r="AX10" s="12"/>
      <c r="AY10" s="12">
        <v>0.8</v>
      </c>
      <c r="AZ10" s="12"/>
      <c r="BA10" s="12">
        <v>0.8</v>
      </c>
      <c r="BE10" s="12"/>
      <c r="BF10" s="12">
        <v>0.8</v>
      </c>
      <c r="BG10" s="12"/>
      <c r="BH10" s="12">
        <v>0.8</v>
      </c>
      <c r="BL10" s="12"/>
      <c r="BM10" s="12">
        <v>0.8</v>
      </c>
      <c r="BN10" s="12"/>
      <c r="BO10" s="12">
        <v>0.8</v>
      </c>
      <c r="BS10" s="12"/>
      <c r="BT10" s="12">
        <v>1</v>
      </c>
      <c r="BU10" s="12"/>
      <c r="BV10" s="12">
        <v>1</v>
      </c>
      <c r="BZ10" s="12"/>
      <c r="CA10" s="12">
        <v>1</v>
      </c>
      <c r="CB10" s="12"/>
      <c r="CC10" s="12">
        <v>1</v>
      </c>
      <c r="CG10" s="12"/>
      <c r="CH10" s="12">
        <v>1</v>
      </c>
      <c r="CI10" s="12"/>
      <c r="CJ10" s="12">
        <v>1</v>
      </c>
      <c r="CN10" s="12"/>
      <c r="CO10" s="12"/>
      <c r="CP10" s="12"/>
      <c r="CQ10" s="12"/>
      <c r="CU10" s="12"/>
      <c r="CV10" s="12"/>
      <c r="CW10" s="12"/>
      <c r="CX10" s="12"/>
      <c r="DB10" s="12"/>
      <c r="DC10" s="12"/>
      <c r="DD10" s="12"/>
      <c r="DE10" s="12"/>
      <c r="DI10" s="12"/>
      <c r="DJ10" s="12"/>
      <c r="DK10" s="12"/>
      <c r="DL10" s="12"/>
      <c r="DP10" s="12"/>
      <c r="DQ10" s="12"/>
      <c r="DR10" s="12"/>
      <c r="DS10" s="12"/>
      <c r="DW10" s="12"/>
      <c r="DX10" s="12"/>
      <c r="DY10" s="12"/>
      <c r="DZ10" s="12"/>
      <c r="ED10" s="12"/>
      <c r="EE10" s="12"/>
      <c r="EF10" s="12"/>
      <c r="EG10" s="12"/>
      <c r="EK10" s="12"/>
      <c r="EL10" s="12"/>
      <c r="EM10" s="12"/>
      <c r="EN10" s="12"/>
      <c r="ER10" s="12"/>
      <c r="ES10" s="12"/>
      <c r="ET10" s="12"/>
      <c r="EU10" s="12"/>
      <c r="EY10" s="12"/>
      <c r="EZ10" s="12"/>
      <c r="FA10" s="12"/>
      <c r="FB10" s="12"/>
      <c r="FF10" s="12"/>
      <c r="FG10" s="12"/>
      <c r="FH10" s="12"/>
      <c r="FI10" s="12"/>
      <c r="FM10" s="12"/>
      <c r="FN10" s="12"/>
      <c r="FO10" s="12"/>
      <c r="FP10" s="12"/>
      <c r="FT10" s="12"/>
      <c r="FU10" s="12"/>
      <c r="FV10" s="12"/>
      <c r="FW10" s="12"/>
      <c r="GA10" s="12"/>
      <c r="GB10" s="12"/>
      <c r="GC10" s="12"/>
      <c r="GD10" s="12"/>
      <c r="GH10" s="12"/>
      <c r="GI10" s="12"/>
      <c r="GJ10" s="12"/>
      <c r="GK10" s="12"/>
      <c r="GO10" s="12"/>
      <c r="GP10" s="12"/>
      <c r="GQ10" s="12"/>
      <c r="GR10" s="12"/>
      <c r="GV10" s="12"/>
      <c r="GW10" s="12"/>
      <c r="GX10" s="12"/>
      <c r="GY10" s="12"/>
      <c r="HC10" s="12"/>
      <c r="HD10" s="12"/>
      <c r="HE10" s="12"/>
      <c r="HF10" s="12"/>
      <c r="HJ10" s="12"/>
      <c r="HK10" s="12"/>
      <c r="HL10" s="12"/>
      <c r="HM10" s="12"/>
      <c r="HQ10" s="12"/>
      <c r="HR10" s="12"/>
      <c r="HS10" s="12"/>
      <c r="HT10" s="12"/>
      <c r="HX10" s="12"/>
      <c r="HY10" s="12"/>
      <c r="HZ10" s="12"/>
      <c r="IA10" s="12"/>
      <c r="IE10" s="12"/>
      <c r="IF10" s="12"/>
      <c r="IG10" s="12"/>
      <c r="IH10" s="12"/>
      <c r="IL10" s="12"/>
      <c r="IM10" s="12"/>
      <c r="IN10" s="12"/>
      <c r="IO10" s="12"/>
      <c r="IS10" s="12"/>
      <c r="IT10" s="12"/>
      <c r="IU10" s="12"/>
      <c r="IV10" s="12"/>
      <c r="IZ10" s="12"/>
      <c r="JA10" s="12"/>
      <c r="JB10" s="12"/>
      <c r="JC10" s="12"/>
      <c r="JG10" s="12"/>
      <c r="JH10" s="12"/>
      <c r="JI10" s="12"/>
      <c r="JJ10" s="12"/>
      <c r="JN10" s="12"/>
      <c r="JO10" s="12"/>
      <c r="JP10" s="12"/>
      <c r="JQ10" s="12"/>
      <c r="JU10" s="12"/>
      <c r="JV10" s="12"/>
      <c r="JW10" s="12"/>
      <c r="JX10" s="12"/>
    </row>
    <row r="11" spans="2:285" outlineLevel="1">
      <c r="B11" t="s">
        <v>28</v>
      </c>
      <c r="C11" t="s">
        <v>66</v>
      </c>
      <c r="E11" s="11"/>
      <c r="F11" t="s">
        <v>69</v>
      </c>
      <c r="G11" s="12">
        <v>9.5238095238100007E-2</v>
      </c>
      <c r="I11" s="11">
        <f t="shared" si="0"/>
        <v>0</v>
      </c>
      <c r="J11" s="13" cm="1">
        <f t="array" ref="J11">MAX(IF($M$3:$DT$3=$J$3,M11:DT11))</f>
        <v>0</v>
      </c>
      <c r="K11" s="13" cm="1">
        <f t="array" ref="K11">MAX(IF($M$3:$DT$3=$J$3,M11:DT11))</f>
        <v>0</v>
      </c>
      <c r="L11" s="11"/>
      <c r="O11" s="12"/>
      <c r="P11" s="12"/>
      <c r="Q11" s="12"/>
      <c r="R11" s="12"/>
      <c r="V11" s="12"/>
      <c r="W11" s="12"/>
      <c r="X11" s="12"/>
      <c r="Y11" s="12"/>
      <c r="AC11" s="12"/>
      <c r="AD11" s="12"/>
      <c r="AE11" s="12"/>
      <c r="AF11" s="12"/>
      <c r="AJ11" s="12"/>
      <c r="AK11" s="12"/>
      <c r="AL11" s="12"/>
      <c r="AM11" s="12"/>
      <c r="AQ11" s="12"/>
      <c r="AR11" s="12">
        <v>0.5</v>
      </c>
      <c r="AS11" s="12"/>
      <c r="AT11" s="12">
        <v>0.5</v>
      </c>
      <c r="AX11" s="12"/>
      <c r="AY11" s="12">
        <v>0.5</v>
      </c>
      <c r="AZ11" s="12"/>
      <c r="BA11" s="12">
        <v>0.5</v>
      </c>
      <c r="BE11" s="12"/>
      <c r="BF11" s="12">
        <v>0.8</v>
      </c>
      <c r="BG11" s="12"/>
      <c r="BH11" s="12">
        <v>0.8</v>
      </c>
      <c r="BL11" s="12"/>
      <c r="BM11" s="12">
        <v>0.8</v>
      </c>
      <c r="BN11" s="12"/>
      <c r="BO11" s="12">
        <v>0.8</v>
      </c>
      <c r="BS11" s="12"/>
      <c r="BT11" s="12">
        <v>1</v>
      </c>
      <c r="BU11" s="12"/>
      <c r="BV11" s="12">
        <v>1</v>
      </c>
      <c r="BZ11" s="12"/>
      <c r="CA11" s="12">
        <v>1</v>
      </c>
      <c r="CB11" s="12"/>
      <c r="CC11" s="12">
        <v>1</v>
      </c>
      <c r="CG11" s="12"/>
      <c r="CH11" s="12">
        <v>1</v>
      </c>
      <c r="CI11" s="12"/>
      <c r="CJ11" s="12">
        <v>1</v>
      </c>
      <c r="CN11" s="12"/>
      <c r="CO11" s="12"/>
      <c r="CP11" s="12"/>
      <c r="CQ11" s="12"/>
      <c r="CU11" s="12"/>
      <c r="CV11" s="12"/>
      <c r="CW11" s="12"/>
      <c r="CX11" s="12"/>
      <c r="DB11" s="12"/>
      <c r="DC11" s="12"/>
      <c r="DD11" s="12"/>
      <c r="DE11" s="12"/>
      <c r="DI11" s="12"/>
      <c r="DJ11" s="12"/>
      <c r="DK11" s="12"/>
      <c r="DL11" s="12"/>
      <c r="DP11" s="12"/>
      <c r="DQ11" s="12"/>
      <c r="DR11" s="12"/>
      <c r="DS11" s="12"/>
      <c r="DW11" s="12"/>
      <c r="DX11" s="12"/>
      <c r="DY11" s="12"/>
      <c r="DZ11" s="12"/>
      <c r="ED11" s="12"/>
      <c r="EE11" s="12"/>
      <c r="EF11" s="12"/>
      <c r="EG11" s="12"/>
      <c r="EK11" s="12"/>
      <c r="EL11" s="12"/>
      <c r="EM11" s="12"/>
      <c r="EN11" s="12"/>
      <c r="ER11" s="12"/>
      <c r="ES11" s="12"/>
      <c r="ET11" s="12"/>
      <c r="EU11" s="12"/>
      <c r="EY11" s="12"/>
      <c r="EZ11" s="12"/>
      <c r="FA11" s="12"/>
      <c r="FB11" s="12"/>
      <c r="FF11" s="12"/>
      <c r="FG11" s="12"/>
      <c r="FH11" s="12"/>
      <c r="FI11" s="12"/>
      <c r="FM11" s="12"/>
      <c r="FN11" s="12"/>
      <c r="FO11" s="12"/>
      <c r="FP11" s="12"/>
      <c r="FT11" s="12"/>
      <c r="FU11" s="12"/>
      <c r="FV11" s="12"/>
      <c r="FW11" s="12"/>
      <c r="GA11" s="12"/>
      <c r="GB11" s="12"/>
      <c r="GC11" s="12"/>
      <c r="GD11" s="12"/>
      <c r="GH11" s="12"/>
      <c r="GI11" s="12"/>
      <c r="GJ11" s="12"/>
      <c r="GK11" s="12"/>
      <c r="GO11" s="12"/>
      <c r="GP11" s="12"/>
      <c r="GQ11" s="12"/>
      <c r="GR11" s="12"/>
      <c r="GV11" s="12"/>
      <c r="GW11" s="12"/>
      <c r="GX11" s="12"/>
      <c r="GY11" s="12"/>
      <c r="HC11" s="12"/>
      <c r="HD11" s="12"/>
      <c r="HE11" s="12"/>
      <c r="HF11" s="12"/>
      <c r="HJ11" s="12"/>
      <c r="HK11" s="12"/>
      <c r="HL11" s="12"/>
      <c r="HM11" s="12"/>
      <c r="HQ11" s="12"/>
      <c r="HR11" s="12"/>
      <c r="HS11" s="12"/>
      <c r="HT11" s="12"/>
      <c r="HX11" s="12"/>
      <c r="HY11" s="12"/>
      <c r="HZ11" s="12"/>
      <c r="IA11" s="12"/>
      <c r="IE11" s="12"/>
      <c r="IF11" s="12"/>
      <c r="IG11" s="12"/>
      <c r="IH11" s="12"/>
      <c r="IL11" s="12"/>
      <c r="IM11" s="12"/>
      <c r="IN11" s="12"/>
      <c r="IO11" s="12"/>
      <c r="IS11" s="12"/>
      <c r="IT11" s="12"/>
      <c r="IU11" s="12"/>
      <c r="IV11" s="12"/>
      <c r="IZ11" s="12"/>
      <c r="JA11" s="12"/>
      <c r="JB11" s="12"/>
      <c r="JC11" s="12"/>
      <c r="JG11" s="12"/>
      <c r="JH11" s="12"/>
      <c r="JI11" s="12"/>
      <c r="JJ11" s="12"/>
      <c r="JN11" s="12"/>
      <c r="JO11" s="12"/>
      <c r="JP11" s="12"/>
      <c r="JQ11" s="12"/>
      <c r="JU11" s="12"/>
      <c r="JV11" s="12"/>
      <c r="JW11" s="12"/>
      <c r="JX11" s="12"/>
    </row>
    <row r="12" spans="2:285" outlineLevel="1">
      <c r="B12" t="s">
        <v>28</v>
      </c>
      <c r="C12" t="s">
        <v>70</v>
      </c>
      <c r="E12" s="11"/>
      <c r="F12" t="s">
        <v>74</v>
      </c>
      <c r="G12" s="12">
        <v>9.5238095238100007E-2</v>
      </c>
      <c r="I12" s="11">
        <f t="shared" si="0"/>
        <v>0</v>
      </c>
      <c r="J12" s="13" cm="1">
        <f t="array" ref="J12">MAX(IF($M$3:$DT$3=$J$3,M12:DT12))</f>
        <v>0</v>
      </c>
      <c r="K12" s="13" cm="1">
        <f t="array" ref="K12">MAX(IF($M$3:$DT$3=$J$3,M12:DT12))</f>
        <v>0</v>
      </c>
      <c r="L12" s="11"/>
      <c r="O12" s="12"/>
      <c r="P12" s="12"/>
      <c r="Q12" s="12"/>
      <c r="R12" s="12"/>
      <c r="V12" s="12"/>
      <c r="W12" s="12"/>
      <c r="X12" s="12"/>
      <c r="Y12" s="12"/>
      <c r="AC12" s="12"/>
      <c r="AD12" s="12"/>
      <c r="AE12" s="12"/>
      <c r="AF12" s="12"/>
      <c r="AJ12" s="12"/>
      <c r="AK12" s="12"/>
      <c r="AL12" s="12"/>
      <c r="AM12" s="12"/>
      <c r="AQ12" s="12"/>
      <c r="AR12" s="12"/>
      <c r="AS12" s="12"/>
      <c r="AT12" s="12"/>
      <c r="AX12" s="12"/>
      <c r="AY12" s="12">
        <v>0.5</v>
      </c>
      <c r="AZ12" s="12"/>
      <c r="BA12" s="12">
        <v>0.5</v>
      </c>
      <c r="BE12" s="12"/>
      <c r="BF12" s="12">
        <v>0.5</v>
      </c>
      <c r="BG12" s="12"/>
      <c r="BH12" s="12">
        <v>0.5</v>
      </c>
      <c r="BL12" s="12"/>
      <c r="BM12" s="12">
        <v>0.8</v>
      </c>
      <c r="BN12" s="12"/>
      <c r="BO12" s="12">
        <v>0.8</v>
      </c>
      <c r="BS12" s="12"/>
      <c r="BT12" s="12">
        <v>0.8</v>
      </c>
      <c r="BU12" s="12"/>
      <c r="BV12" s="12">
        <v>0.8</v>
      </c>
      <c r="BZ12" s="12"/>
      <c r="CA12" s="12">
        <v>1</v>
      </c>
      <c r="CB12" s="12"/>
      <c r="CC12" s="12">
        <v>1</v>
      </c>
      <c r="CG12" s="12"/>
      <c r="CH12" s="12">
        <v>1</v>
      </c>
      <c r="CI12" s="12"/>
      <c r="CJ12" s="12">
        <v>1</v>
      </c>
      <c r="CN12" s="12"/>
      <c r="CO12" s="12"/>
      <c r="CP12" s="12"/>
      <c r="CQ12" s="12"/>
      <c r="CU12" s="12"/>
      <c r="CV12" s="12"/>
      <c r="CW12" s="12"/>
      <c r="CX12" s="12"/>
      <c r="DB12" s="12"/>
      <c r="DC12" s="12"/>
      <c r="DD12" s="12"/>
      <c r="DE12" s="12"/>
      <c r="DI12" s="12"/>
      <c r="DJ12" s="12"/>
      <c r="DK12" s="12"/>
      <c r="DL12" s="12"/>
      <c r="DP12" s="12"/>
      <c r="DQ12" s="12"/>
      <c r="DR12" s="12"/>
      <c r="DS12" s="12"/>
      <c r="DW12" s="12"/>
      <c r="DX12" s="12"/>
      <c r="DY12" s="12"/>
      <c r="DZ12" s="12"/>
      <c r="ED12" s="12"/>
      <c r="EE12" s="12"/>
      <c r="EF12" s="12"/>
      <c r="EG12" s="12"/>
      <c r="EK12" s="12"/>
      <c r="EL12" s="12"/>
      <c r="EM12" s="12"/>
      <c r="EN12" s="12"/>
      <c r="ER12" s="12"/>
      <c r="ES12" s="12"/>
      <c r="ET12" s="12"/>
      <c r="EU12" s="12"/>
      <c r="EY12" s="12"/>
      <c r="EZ12" s="12"/>
      <c r="FA12" s="12"/>
      <c r="FB12" s="12"/>
      <c r="FF12" s="12"/>
      <c r="FG12" s="12"/>
      <c r="FH12" s="12"/>
      <c r="FI12" s="12"/>
      <c r="FM12" s="12"/>
      <c r="FN12" s="12"/>
      <c r="FO12" s="12"/>
      <c r="FP12" s="12"/>
      <c r="FT12" s="12"/>
      <c r="FU12" s="12"/>
      <c r="FV12" s="12"/>
      <c r="FW12" s="12"/>
      <c r="GA12" s="12"/>
      <c r="GB12" s="12"/>
      <c r="GC12" s="12"/>
      <c r="GD12" s="12"/>
      <c r="GH12" s="12"/>
      <c r="GI12" s="12"/>
      <c r="GJ12" s="12"/>
      <c r="GK12" s="12"/>
      <c r="GO12" s="12"/>
      <c r="GP12" s="12"/>
      <c r="GQ12" s="12"/>
      <c r="GR12" s="12"/>
      <c r="GV12" s="12"/>
      <c r="GW12" s="12"/>
      <c r="GX12" s="12"/>
      <c r="GY12" s="12"/>
      <c r="HC12" s="12"/>
      <c r="HD12" s="12"/>
      <c r="HE12" s="12"/>
      <c r="HF12" s="12"/>
      <c r="HJ12" s="12"/>
      <c r="HK12" s="12"/>
      <c r="HL12" s="12"/>
      <c r="HM12" s="12"/>
      <c r="HQ12" s="12"/>
      <c r="HR12" s="12"/>
      <c r="HS12" s="12"/>
      <c r="HT12" s="12"/>
      <c r="HX12" s="12"/>
      <c r="HY12" s="12"/>
      <c r="HZ12" s="12"/>
      <c r="IA12" s="12"/>
      <c r="IE12" s="12"/>
      <c r="IF12" s="12"/>
      <c r="IG12" s="12"/>
      <c r="IH12" s="12"/>
      <c r="IL12" s="12"/>
      <c r="IM12" s="12"/>
      <c r="IN12" s="12"/>
      <c r="IO12" s="12"/>
      <c r="IS12" s="12"/>
      <c r="IT12" s="12"/>
      <c r="IU12" s="12"/>
      <c r="IV12" s="12"/>
      <c r="IZ12" s="12"/>
      <c r="JA12" s="12"/>
      <c r="JB12" s="12"/>
      <c r="JC12" s="12"/>
      <c r="JG12" s="12"/>
      <c r="JH12" s="12"/>
      <c r="JI12" s="12"/>
      <c r="JJ12" s="12"/>
      <c r="JN12" s="12"/>
      <c r="JO12" s="12"/>
      <c r="JP12" s="12"/>
      <c r="JQ12" s="12"/>
      <c r="JU12" s="12"/>
      <c r="JV12" s="12"/>
      <c r="JW12" s="12"/>
      <c r="JX12" s="12"/>
    </row>
    <row r="13" spans="2:285" outlineLevel="1">
      <c r="B13" t="s">
        <v>28</v>
      </c>
      <c r="C13" t="s">
        <v>71</v>
      </c>
      <c r="E13" s="11"/>
      <c r="F13" t="s">
        <v>76</v>
      </c>
      <c r="G13" s="12">
        <v>9.5238095238100007E-2</v>
      </c>
      <c r="I13" s="11">
        <f t="shared" si="0"/>
        <v>0</v>
      </c>
      <c r="J13" s="13" cm="1">
        <f t="array" ref="J13">MAX(IF($M$3:$DT$3=$J$3,M13:DT13))</f>
        <v>0</v>
      </c>
      <c r="K13" s="13" cm="1">
        <f t="array" ref="K13">MAX(IF($M$3:$DT$3=$J$3,M13:DT13))</f>
        <v>0</v>
      </c>
      <c r="L13" s="11"/>
      <c r="O13" s="12"/>
      <c r="P13" s="12"/>
      <c r="Q13" s="12"/>
      <c r="R13" s="12"/>
      <c r="V13" s="12"/>
      <c r="W13" s="12"/>
      <c r="X13" s="12"/>
      <c r="Y13" s="12"/>
      <c r="AC13" s="12"/>
      <c r="AD13" s="12"/>
      <c r="AE13" s="12"/>
      <c r="AF13" s="12"/>
      <c r="AJ13" s="12"/>
      <c r="AK13" s="12"/>
      <c r="AL13" s="12"/>
      <c r="AM13" s="12"/>
      <c r="AQ13" s="12"/>
      <c r="AR13" s="12"/>
      <c r="AS13" s="12"/>
      <c r="AT13" s="12"/>
      <c r="AX13" s="12"/>
      <c r="AY13" s="12">
        <v>0.5</v>
      </c>
      <c r="AZ13" s="12"/>
      <c r="BA13" s="12">
        <v>0.5</v>
      </c>
      <c r="BE13" s="12"/>
      <c r="BF13" s="12">
        <v>0.5</v>
      </c>
      <c r="BG13" s="12"/>
      <c r="BH13" s="12">
        <v>0.5</v>
      </c>
      <c r="BL13" s="12"/>
      <c r="BM13" s="12">
        <v>0.5</v>
      </c>
      <c r="BN13" s="12"/>
      <c r="BO13" s="12">
        <v>0.5</v>
      </c>
      <c r="BS13" s="12"/>
      <c r="BT13" s="12">
        <v>0.8</v>
      </c>
      <c r="BU13" s="12"/>
      <c r="BV13" s="12">
        <v>0.8</v>
      </c>
      <c r="BZ13" s="12"/>
      <c r="CA13" s="12">
        <v>1</v>
      </c>
      <c r="CB13" s="12"/>
      <c r="CC13" s="12">
        <v>1</v>
      </c>
      <c r="CG13" s="12"/>
      <c r="CH13" s="12">
        <v>1</v>
      </c>
      <c r="CI13" s="12"/>
      <c r="CJ13" s="12">
        <v>1</v>
      </c>
      <c r="CN13" s="12"/>
      <c r="CO13" s="12"/>
      <c r="CP13" s="12"/>
      <c r="CQ13" s="12"/>
      <c r="CU13" s="12"/>
      <c r="CV13" s="12"/>
      <c r="CW13" s="12"/>
      <c r="CX13" s="12"/>
      <c r="DB13" s="12"/>
      <c r="DC13" s="12"/>
      <c r="DD13" s="12"/>
      <c r="DE13" s="12"/>
      <c r="DI13" s="12"/>
      <c r="DJ13" s="12"/>
      <c r="DK13" s="12"/>
      <c r="DL13" s="12"/>
      <c r="DP13" s="12"/>
      <c r="DQ13" s="12"/>
      <c r="DR13" s="12"/>
      <c r="DS13" s="12"/>
      <c r="DW13" s="12"/>
      <c r="DX13" s="12"/>
      <c r="DY13" s="12"/>
      <c r="DZ13" s="12"/>
      <c r="ED13" s="12"/>
      <c r="EE13" s="12"/>
      <c r="EF13" s="12"/>
      <c r="EG13" s="12"/>
      <c r="EK13" s="12"/>
      <c r="EL13" s="12"/>
      <c r="EM13" s="12"/>
      <c r="EN13" s="12"/>
      <c r="ER13" s="12"/>
      <c r="ES13" s="12"/>
      <c r="ET13" s="12"/>
      <c r="EU13" s="12"/>
      <c r="EY13" s="12"/>
      <c r="EZ13" s="12"/>
      <c r="FA13" s="12"/>
      <c r="FB13" s="12"/>
      <c r="FF13" s="12"/>
      <c r="FG13" s="12"/>
      <c r="FH13" s="12"/>
      <c r="FI13" s="12"/>
      <c r="FM13" s="12"/>
      <c r="FN13" s="12"/>
      <c r="FO13" s="12"/>
      <c r="FP13" s="12"/>
      <c r="FT13" s="12"/>
      <c r="FU13" s="12"/>
      <c r="FV13" s="12"/>
      <c r="FW13" s="12"/>
      <c r="GA13" s="12"/>
      <c r="GB13" s="12"/>
      <c r="GC13" s="12"/>
      <c r="GD13" s="12"/>
      <c r="GH13" s="12"/>
      <c r="GI13" s="12"/>
      <c r="GJ13" s="12"/>
      <c r="GK13" s="12"/>
      <c r="GO13" s="12"/>
      <c r="GP13" s="12"/>
      <c r="GQ13" s="12"/>
      <c r="GR13" s="12"/>
      <c r="GV13" s="12"/>
      <c r="GW13" s="12"/>
      <c r="GX13" s="12"/>
      <c r="GY13" s="12"/>
      <c r="HC13" s="12"/>
      <c r="HD13" s="12"/>
      <c r="HE13" s="12"/>
      <c r="HF13" s="12"/>
      <c r="HJ13" s="12"/>
      <c r="HK13" s="12"/>
      <c r="HL13" s="12"/>
      <c r="HM13" s="12"/>
      <c r="HQ13" s="12"/>
      <c r="HR13" s="12"/>
      <c r="HS13" s="12"/>
      <c r="HT13" s="12"/>
      <c r="HX13" s="12"/>
      <c r="HY13" s="12"/>
      <c r="HZ13" s="12"/>
      <c r="IA13" s="12"/>
      <c r="IE13" s="12"/>
      <c r="IF13" s="12"/>
      <c r="IG13" s="12"/>
      <c r="IH13" s="12"/>
      <c r="IL13" s="12"/>
      <c r="IM13" s="12"/>
      <c r="IN13" s="12"/>
      <c r="IO13" s="12"/>
      <c r="IS13" s="12"/>
      <c r="IT13" s="12"/>
      <c r="IU13" s="12"/>
      <c r="IV13" s="12"/>
      <c r="IZ13" s="12"/>
      <c r="JA13" s="12"/>
      <c r="JB13" s="12"/>
      <c r="JC13" s="12"/>
      <c r="JG13" s="12"/>
      <c r="JH13" s="12"/>
      <c r="JI13" s="12"/>
      <c r="JJ13" s="12"/>
      <c r="JN13" s="12"/>
      <c r="JO13" s="12"/>
      <c r="JP13" s="12"/>
      <c r="JQ13" s="12"/>
      <c r="JU13" s="12"/>
      <c r="JV13" s="12"/>
      <c r="JW13" s="12"/>
      <c r="JX13" s="12"/>
    </row>
    <row r="14" spans="2:285" outlineLevel="1">
      <c r="B14" t="s">
        <v>28</v>
      </c>
      <c r="C14" t="s">
        <v>72</v>
      </c>
      <c r="E14" s="11"/>
      <c r="F14" t="s">
        <v>75</v>
      </c>
      <c r="G14" s="12">
        <v>9.5238095238100007E-2</v>
      </c>
      <c r="I14" s="11">
        <f t="shared" si="0"/>
        <v>0</v>
      </c>
      <c r="J14" s="13" cm="1">
        <f t="array" ref="J14">MAX(IF($M$3:$DT$3=$J$3,M14:DT14))</f>
        <v>0</v>
      </c>
      <c r="K14" s="13" cm="1">
        <f t="array" ref="K14">MAX(IF($M$3:$DT$3=$J$3,M14:DT14))</f>
        <v>0</v>
      </c>
      <c r="L14" s="11"/>
      <c r="O14" s="12"/>
      <c r="P14" s="12"/>
      <c r="Q14" s="12"/>
      <c r="R14" s="12"/>
      <c r="V14" s="12"/>
      <c r="W14" s="12"/>
      <c r="X14" s="12"/>
      <c r="Y14" s="12"/>
      <c r="AC14" s="12"/>
      <c r="AD14" s="12"/>
      <c r="AE14" s="12"/>
      <c r="AF14" s="12"/>
      <c r="AJ14" s="12"/>
      <c r="AK14" s="12"/>
      <c r="AL14" s="12"/>
      <c r="AM14" s="12"/>
      <c r="AQ14" s="12"/>
      <c r="AR14" s="12"/>
      <c r="AS14" s="12"/>
      <c r="AT14" s="12"/>
      <c r="AX14" s="12"/>
      <c r="AY14" s="12">
        <v>0.5</v>
      </c>
      <c r="AZ14" s="12"/>
      <c r="BA14" s="12">
        <v>0.5</v>
      </c>
      <c r="BE14" s="12"/>
      <c r="BF14" s="12">
        <v>0.5</v>
      </c>
      <c r="BG14" s="12"/>
      <c r="BH14" s="12">
        <v>0.5</v>
      </c>
      <c r="BL14" s="12"/>
      <c r="BM14" s="12">
        <v>0.5</v>
      </c>
      <c r="BN14" s="12"/>
      <c r="BO14" s="12">
        <v>0.5</v>
      </c>
      <c r="BS14" s="12"/>
      <c r="BT14" s="12">
        <v>0.8</v>
      </c>
      <c r="BU14" s="12"/>
      <c r="BV14" s="12">
        <v>0.8</v>
      </c>
      <c r="BZ14" s="12"/>
      <c r="CA14" s="12">
        <v>1</v>
      </c>
      <c r="CB14" s="12"/>
      <c r="CC14" s="12">
        <v>1</v>
      </c>
      <c r="CG14" s="12"/>
      <c r="CH14" s="12">
        <v>1</v>
      </c>
      <c r="CI14" s="12"/>
      <c r="CJ14" s="12">
        <v>1</v>
      </c>
      <c r="CN14" s="12"/>
      <c r="CO14" s="12"/>
      <c r="CP14" s="12"/>
      <c r="CQ14" s="12"/>
      <c r="CU14" s="12"/>
      <c r="CV14" s="12"/>
      <c r="CW14" s="12"/>
      <c r="CX14" s="12"/>
      <c r="DB14" s="12"/>
      <c r="DC14" s="12"/>
      <c r="DD14" s="12"/>
      <c r="DE14" s="12"/>
      <c r="DI14" s="12"/>
      <c r="DJ14" s="12"/>
      <c r="DK14" s="12"/>
      <c r="DL14" s="12"/>
      <c r="DP14" s="12"/>
      <c r="DQ14" s="12"/>
      <c r="DR14" s="12"/>
      <c r="DS14" s="12"/>
      <c r="DW14" s="12"/>
      <c r="DX14" s="12"/>
      <c r="DY14" s="12"/>
      <c r="DZ14" s="12"/>
      <c r="ED14" s="12"/>
      <c r="EE14" s="12"/>
      <c r="EF14" s="12"/>
      <c r="EG14" s="12"/>
      <c r="EK14" s="12"/>
      <c r="EL14" s="12"/>
      <c r="EM14" s="12"/>
      <c r="EN14" s="12"/>
      <c r="ER14" s="12"/>
      <c r="ES14" s="12"/>
      <c r="ET14" s="12"/>
      <c r="EU14" s="12"/>
      <c r="EY14" s="12"/>
      <c r="EZ14" s="12"/>
      <c r="FA14" s="12"/>
      <c r="FB14" s="12"/>
      <c r="FF14" s="12"/>
      <c r="FG14" s="12"/>
      <c r="FH14" s="12"/>
      <c r="FI14" s="12"/>
      <c r="FM14" s="12"/>
      <c r="FN14" s="12"/>
      <c r="FO14" s="12"/>
      <c r="FP14" s="12"/>
      <c r="FT14" s="12"/>
      <c r="FU14" s="12"/>
      <c r="FV14" s="12"/>
      <c r="FW14" s="12"/>
      <c r="GA14" s="12"/>
      <c r="GB14" s="12"/>
      <c r="GC14" s="12"/>
      <c r="GD14" s="12"/>
      <c r="GH14" s="12"/>
      <c r="GI14" s="12"/>
      <c r="GJ14" s="12"/>
      <c r="GK14" s="12"/>
      <c r="GO14" s="12"/>
      <c r="GP14" s="12"/>
      <c r="GQ14" s="12"/>
      <c r="GR14" s="12"/>
      <c r="GV14" s="12"/>
      <c r="GW14" s="12"/>
      <c r="GX14" s="12"/>
      <c r="GY14" s="12"/>
      <c r="HC14" s="12"/>
      <c r="HD14" s="12"/>
      <c r="HE14" s="12"/>
      <c r="HF14" s="12"/>
      <c r="HJ14" s="12"/>
      <c r="HK14" s="12"/>
      <c r="HL14" s="12"/>
      <c r="HM14" s="12"/>
      <c r="HQ14" s="12"/>
      <c r="HR14" s="12"/>
      <c r="HS14" s="12"/>
      <c r="HT14" s="12"/>
      <c r="HX14" s="12"/>
      <c r="HY14" s="12"/>
      <c r="HZ14" s="12"/>
      <c r="IA14" s="12"/>
      <c r="IE14" s="12"/>
      <c r="IF14" s="12"/>
      <c r="IG14" s="12"/>
      <c r="IH14" s="12"/>
      <c r="IL14" s="12"/>
      <c r="IM14" s="12"/>
      <c r="IN14" s="12"/>
      <c r="IO14" s="12"/>
      <c r="IS14" s="12"/>
      <c r="IT14" s="12"/>
      <c r="IU14" s="12"/>
      <c r="IV14" s="12"/>
      <c r="IZ14" s="12"/>
      <c r="JA14" s="12"/>
      <c r="JB14" s="12"/>
      <c r="JC14" s="12"/>
      <c r="JG14" s="12"/>
      <c r="JH14" s="12"/>
      <c r="JI14" s="12"/>
      <c r="JJ14" s="12"/>
      <c r="JN14" s="12"/>
      <c r="JO14" s="12"/>
      <c r="JP14" s="12"/>
      <c r="JQ14" s="12"/>
      <c r="JU14" s="12"/>
      <c r="JV14" s="12"/>
      <c r="JW14" s="12"/>
      <c r="JX14" s="12"/>
    </row>
    <row r="15" spans="2:285" outlineLevel="1">
      <c r="B15" t="s">
        <v>28</v>
      </c>
      <c r="C15" t="s">
        <v>73</v>
      </c>
      <c r="E15" s="11"/>
      <c r="F15" t="s">
        <v>77</v>
      </c>
      <c r="G15" s="12">
        <v>9.5238095238100007E-2</v>
      </c>
      <c r="I15" s="11">
        <f t="shared" si="0"/>
        <v>0</v>
      </c>
      <c r="J15" s="13" cm="1">
        <f t="array" ref="J15">MAX(IF($M$3:$DT$3=$J$3,M15:DT15))</f>
        <v>0</v>
      </c>
      <c r="K15" s="13" cm="1">
        <f t="array" ref="K15">MAX(IF($M$3:$DT$3=$J$3,M15:DT15))</f>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v>0.5</v>
      </c>
      <c r="BG15" s="12"/>
      <c r="BH15" s="12">
        <v>0.5</v>
      </c>
      <c r="BL15" s="12"/>
      <c r="BM15" s="12">
        <v>0.5</v>
      </c>
      <c r="BN15" s="12"/>
      <c r="BO15" s="12">
        <v>0.5</v>
      </c>
      <c r="BS15" s="12"/>
      <c r="BT15" s="12">
        <v>0.5</v>
      </c>
      <c r="BU15" s="12"/>
      <c r="BV15" s="12">
        <v>0.5</v>
      </c>
      <c r="BZ15" s="12"/>
      <c r="CA15" s="12">
        <v>1</v>
      </c>
      <c r="CB15" s="12"/>
      <c r="CC15" s="12">
        <v>1</v>
      </c>
      <c r="CG15" s="12"/>
      <c r="CH15" s="12">
        <v>1</v>
      </c>
      <c r="CI15" s="12"/>
      <c r="CJ15" s="12">
        <v>1</v>
      </c>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c r="ED15" s="12"/>
      <c r="EE15" s="12"/>
      <c r="EF15" s="12"/>
      <c r="EG15" s="12"/>
      <c r="EK15" s="12"/>
      <c r="EL15" s="12"/>
      <c r="EM15" s="12"/>
      <c r="EN15" s="12"/>
      <c r="ER15" s="12"/>
      <c r="ES15" s="12"/>
      <c r="ET15" s="12"/>
      <c r="EU15" s="12"/>
      <c r="EY15" s="12"/>
      <c r="EZ15" s="12"/>
      <c r="FA15" s="12"/>
      <c r="FB15" s="12"/>
      <c r="FF15" s="12"/>
      <c r="FG15" s="12"/>
      <c r="FH15" s="12"/>
      <c r="FI15" s="12"/>
      <c r="FM15" s="12"/>
      <c r="FN15" s="12"/>
      <c r="FO15" s="12"/>
      <c r="FP15" s="12"/>
      <c r="FT15" s="12"/>
      <c r="FU15" s="12"/>
      <c r="FV15" s="12"/>
      <c r="FW15" s="12"/>
      <c r="GA15" s="12"/>
      <c r="GB15" s="12"/>
      <c r="GC15" s="12"/>
      <c r="GD15" s="12"/>
      <c r="GH15" s="12"/>
      <c r="GI15" s="12"/>
      <c r="GJ15" s="12"/>
      <c r="GK15" s="12"/>
      <c r="GO15" s="12"/>
      <c r="GP15" s="12"/>
      <c r="GQ15" s="12"/>
      <c r="GR15" s="12"/>
      <c r="GV15" s="12"/>
      <c r="GW15" s="12"/>
      <c r="GX15" s="12"/>
      <c r="GY15" s="12"/>
      <c r="HC15" s="12"/>
      <c r="HD15" s="12"/>
      <c r="HE15" s="12"/>
      <c r="HF15" s="12"/>
      <c r="HJ15" s="12"/>
      <c r="HK15" s="12"/>
      <c r="HL15" s="12"/>
      <c r="HM15" s="12"/>
      <c r="HQ15" s="12"/>
      <c r="HR15" s="12"/>
      <c r="HS15" s="12"/>
      <c r="HT15" s="12"/>
      <c r="HX15" s="12"/>
      <c r="HY15" s="12"/>
      <c r="HZ15" s="12"/>
      <c r="IA15" s="12"/>
      <c r="IE15" s="12"/>
      <c r="IF15" s="12"/>
      <c r="IG15" s="12"/>
      <c r="IH15" s="12"/>
      <c r="IL15" s="12"/>
      <c r="IM15" s="12"/>
      <c r="IN15" s="12"/>
      <c r="IO15" s="12"/>
      <c r="IS15" s="12"/>
      <c r="IT15" s="12"/>
      <c r="IU15" s="12"/>
      <c r="IV15" s="12"/>
      <c r="IZ15" s="12"/>
      <c r="JA15" s="12"/>
      <c r="JB15" s="12"/>
      <c r="JC15" s="12"/>
      <c r="JG15" s="12"/>
      <c r="JH15" s="12"/>
      <c r="JI15" s="12"/>
      <c r="JJ15" s="12"/>
      <c r="JN15" s="12"/>
      <c r="JO15" s="12"/>
      <c r="JP15" s="12"/>
      <c r="JQ15" s="12"/>
      <c r="JU15" s="12"/>
      <c r="JV15" s="12"/>
      <c r="JW15" s="12"/>
      <c r="JX15" s="12"/>
    </row>
    <row r="16" spans="2:285">
      <c r="O16" s="9"/>
      <c r="V16" s="9"/>
      <c r="AC16" s="9"/>
      <c r="AJ16" s="9"/>
      <c r="AQ16" s="9"/>
      <c r="AX16" s="9"/>
      <c r="BE16" s="9"/>
      <c r="BL16" s="9"/>
      <c r="BS16" s="9"/>
      <c r="BZ16" s="9"/>
      <c r="CG16" s="9"/>
      <c r="CN16" s="9"/>
      <c r="CU16" s="9"/>
      <c r="DB16" s="9"/>
      <c r="DI16" s="9"/>
      <c r="DP16" s="9"/>
      <c r="DW16" s="9"/>
      <c r="ED16" s="9"/>
      <c r="EK16" s="9"/>
      <c r="ER16" s="9"/>
      <c r="EY16" s="9"/>
      <c r="FF16" s="9"/>
      <c r="FM16" s="9"/>
      <c r="FT16" s="9"/>
      <c r="GA16" s="9"/>
      <c r="GH16" s="9"/>
      <c r="GO16" s="9"/>
      <c r="GV16" s="9"/>
      <c r="HC16" s="9"/>
      <c r="HJ16" s="9"/>
      <c r="HQ16" s="9"/>
      <c r="HX16" s="9"/>
      <c r="IE16" s="9"/>
      <c r="IL16" s="9"/>
      <c r="IS16" s="9"/>
      <c r="IZ16" s="9"/>
      <c r="JG16" s="9"/>
      <c r="JN16" s="9"/>
      <c r="JU16" s="9"/>
    </row>
    <row r="17" spans="2:284">
      <c r="B17" t="s">
        <v>27</v>
      </c>
      <c r="C17" t="s">
        <v>50</v>
      </c>
      <c r="D17" s="19">
        <v>44570</v>
      </c>
      <c r="E17" s="11">
        <v>5</v>
      </c>
      <c r="G17" s="12">
        <f>+SUM(G18:G24)</f>
        <v>1.0000000000010001</v>
      </c>
      <c r="I17" s="14">
        <f>+SUM(I18:I24)</f>
        <v>0</v>
      </c>
      <c r="J17" s="13">
        <f>+SUMPRODUCT(G18:G24,J18:J24)</f>
        <v>0.46250000000080005</v>
      </c>
      <c r="K17" s="13">
        <f>+SUMPRODUCT(G18:G24,K18:K24)</f>
        <v>0.46250000000080005</v>
      </c>
      <c r="L17" s="11"/>
      <c r="N17" s="14">
        <f>+SUM(N18:N24)</f>
        <v>0</v>
      </c>
      <c r="U17" s="14">
        <f>+SUM(U18:U24)</f>
        <v>0</v>
      </c>
      <c r="AB17" s="14"/>
    </row>
    <row r="18" spans="2:284" ht="15.75" customHeight="1" outlineLevel="1">
      <c r="B18" t="s">
        <v>28</v>
      </c>
      <c r="C18" t="s">
        <v>91</v>
      </c>
      <c r="E18" s="11"/>
      <c r="F18" t="s">
        <v>93</v>
      </c>
      <c r="G18" s="12">
        <v>0.125</v>
      </c>
      <c r="I18" s="11">
        <f t="shared" ref="I18:I24" si="1">+SUMIF($M$3:$ZL$3,I$3,$M18:$ZL18)</f>
        <v>0</v>
      </c>
      <c r="J18" s="13" cm="1">
        <f t="array" ref="J18">MAX(IF($M$3:$DT$3=$J$3,M18:DT18))</f>
        <v>0.5</v>
      </c>
      <c r="K18" s="13" cm="1">
        <f t="array" ref="K18">MAX(IF($M$3:$DT$3=$J$3,M18:DT18))</f>
        <v>0.5</v>
      </c>
      <c r="L18" s="22"/>
      <c r="O18" s="12">
        <v>0.5</v>
      </c>
      <c r="P18" s="12">
        <v>0.5</v>
      </c>
      <c r="Q18" s="12">
        <v>0.5</v>
      </c>
      <c r="R18" s="12">
        <v>0.5</v>
      </c>
      <c r="V18" s="12">
        <v>0.5</v>
      </c>
      <c r="W18" s="12">
        <v>0.5</v>
      </c>
      <c r="X18" s="12">
        <v>0.5</v>
      </c>
      <c r="Y18" s="12">
        <v>0.5</v>
      </c>
      <c r="Z18" t="s">
        <v>159</v>
      </c>
      <c r="AC18" s="12">
        <v>0.5</v>
      </c>
      <c r="AD18" s="12">
        <v>0.5</v>
      </c>
      <c r="AE18" s="12">
        <v>0.5</v>
      </c>
      <c r="AF18" s="12">
        <v>0.5</v>
      </c>
      <c r="AG18" t="s">
        <v>192</v>
      </c>
      <c r="AJ18" s="12"/>
      <c r="AK18" s="12">
        <v>0.5</v>
      </c>
      <c r="AL18" s="12"/>
      <c r="AM18" s="12">
        <v>0.5</v>
      </c>
      <c r="AN18" t="s">
        <v>193</v>
      </c>
      <c r="AQ18" s="12"/>
      <c r="AR18" s="12">
        <v>0.5</v>
      </c>
      <c r="AS18" s="12"/>
      <c r="AT18" s="12">
        <v>0.5</v>
      </c>
      <c r="AU18" t="s">
        <v>159</v>
      </c>
      <c r="AX18" s="12"/>
      <c r="AY18" s="12">
        <v>0.8</v>
      </c>
      <c r="AZ18" s="12"/>
      <c r="BA18" s="12">
        <v>0.8</v>
      </c>
      <c r="BB18" t="s">
        <v>158</v>
      </c>
      <c r="BE18" s="12"/>
      <c r="BF18" s="12">
        <v>0.8</v>
      </c>
      <c r="BG18" s="12"/>
      <c r="BH18" s="12">
        <v>0.8</v>
      </c>
      <c r="BI18" t="s">
        <v>158</v>
      </c>
      <c r="BL18" s="12"/>
      <c r="BM18" s="12">
        <v>1</v>
      </c>
      <c r="BN18" s="12"/>
      <c r="BO18" s="12">
        <v>1</v>
      </c>
      <c r="BP18" t="s">
        <v>195</v>
      </c>
      <c r="BS18" s="12"/>
      <c r="BT18" s="12">
        <v>1</v>
      </c>
      <c r="BU18" s="12"/>
      <c r="BV18" s="12">
        <v>1</v>
      </c>
      <c r="BW18" t="s">
        <v>196</v>
      </c>
      <c r="BZ18" s="12"/>
      <c r="CA18" s="12">
        <v>1</v>
      </c>
      <c r="CB18" s="12"/>
      <c r="CC18" s="12">
        <v>1</v>
      </c>
      <c r="CG18" s="12"/>
      <c r="CH18" s="12">
        <v>1</v>
      </c>
      <c r="CI18" s="12"/>
      <c r="CJ18" s="12">
        <v>1</v>
      </c>
      <c r="CN18" s="12"/>
      <c r="CO18" s="12"/>
      <c r="CP18" s="12"/>
      <c r="CQ18" s="12"/>
      <c r="CU18" s="12"/>
      <c r="CV18" s="12"/>
      <c r="CW18" s="12"/>
      <c r="CX18" s="12"/>
      <c r="DB18" s="12"/>
      <c r="DC18" s="12"/>
      <c r="DD18" s="12"/>
      <c r="DE18" s="12"/>
      <c r="DI18" s="12"/>
      <c r="DJ18" s="12"/>
      <c r="DK18" s="12"/>
      <c r="DL18" s="12"/>
      <c r="DP18" s="12"/>
      <c r="DQ18" s="12"/>
      <c r="DR18" s="12"/>
      <c r="DS18" s="12"/>
      <c r="DW18" s="12"/>
      <c r="DX18" s="12"/>
      <c r="DY18" s="12"/>
      <c r="DZ18" s="12"/>
      <c r="ED18" s="12"/>
      <c r="EE18" s="12"/>
      <c r="EF18" s="12"/>
      <c r="EG18" s="12"/>
      <c r="EK18" s="12"/>
      <c r="EL18" s="12"/>
      <c r="EM18" s="12"/>
      <c r="EN18" s="12"/>
      <c r="ER18" s="12"/>
      <c r="ES18" s="12"/>
      <c r="ET18" s="12"/>
      <c r="EU18" s="12"/>
      <c r="EY18" s="12"/>
      <c r="EZ18" s="12"/>
      <c r="FA18" s="12"/>
      <c r="FB18" s="12"/>
      <c r="FF18" s="12"/>
      <c r="FG18" s="12"/>
      <c r="FH18" s="12"/>
      <c r="FI18" s="12"/>
      <c r="FM18" s="12"/>
      <c r="FN18" s="12"/>
      <c r="FO18" s="12"/>
      <c r="FP18" s="12"/>
      <c r="FT18" s="12"/>
      <c r="FU18" s="12"/>
      <c r="FV18" s="12"/>
      <c r="FW18" s="12"/>
      <c r="GA18" s="12"/>
      <c r="GB18" s="12"/>
      <c r="GC18" s="12"/>
      <c r="GD18" s="12"/>
      <c r="GH18" s="12"/>
      <c r="GI18" s="12"/>
      <c r="GJ18" s="12"/>
      <c r="GK18" s="12"/>
      <c r="GO18" s="12"/>
      <c r="GP18" s="12"/>
      <c r="GQ18" s="12"/>
      <c r="GR18" s="12"/>
      <c r="GV18" s="12"/>
      <c r="GW18" s="12"/>
      <c r="GX18" s="12"/>
      <c r="GY18" s="12"/>
      <c r="HC18" s="12"/>
      <c r="HD18" s="12"/>
      <c r="HE18" s="12"/>
      <c r="HF18" s="12"/>
      <c r="HJ18" s="12"/>
      <c r="HK18" s="12"/>
      <c r="HL18" s="12"/>
      <c r="HM18" s="12"/>
      <c r="HQ18" s="12"/>
      <c r="HR18" s="12"/>
      <c r="HS18" s="12"/>
      <c r="HT18" s="12"/>
      <c r="HX18" s="12"/>
      <c r="HY18" s="12"/>
      <c r="HZ18" s="12"/>
      <c r="IA18" s="12"/>
      <c r="IE18" s="12"/>
      <c r="IF18" s="12"/>
      <c r="IG18" s="12"/>
      <c r="IH18" s="12"/>
      <c r="IL18" s="12"/>
      <c r="IM18" s="12"/>
      <c r="IN18" s="12"/>
      <c r="IO18" s="12"/>
      <c r="IS18" s="12"/>
      <c r="IT18" s="12"/>
      <c r="IU18" s="12"/>
      <c r="IV18" s="12"/>
      <c r="IZ18" s="12"/>
      <c r="JA18" s="12"/>
      <c r="JB18" s="12"/>
      <c r="JC18" s="12"/>
      <c r="JG18" s="12"/>
      <c r="JH18" s="12"/>
      <c r="JI18" s="12"/>
      <c r="JJ18" s="12"/>
      <c r="JN18" s="12"/>
      <c r="JO18" s="12"/>
      <c r="JP18" s="12"/>
      <c r="JQ18" s="12"/>
      <c r="JU18" s="12"/>
      <c r="JV18" s="12"/>
      <c r="JW18" s="12"/>
      <c r="JX18" s="12"/>
    </row>
    <row r="19" spans="2:284" ht="15.75" customHeight="1" outlineLevel="1">
      <c r="B19" t="s">
        <v>28</v>
      </c>
      <c r="C19" t="s">
        <v>89</v>
      </c>
      <c r="E19" s="11"/>
      <c r="F19" t="s">
        <v>88</v>
      </c>
      <c r="G19" s="12">
        <v>0.125</v>
      </c>
      <c r="I19" s="11">
        <f t="shared" si="1"/>
        <v>0</v>
      </c>
      <c r="J19" s="13" cm="1">
        <f t="array" ref="J19">MAX(IF($M$3:$DT$3=$J$3,M19:DT19))</f>
        <v>0</v>
      </c>
      <c r="K19" s="13" cm="1">
        <f t="array" ref="K19">MAX(IF($M$3:$DT$3=$J$3,M19:DT19))</f>
        <v>0</v>
      </c>
      <c r="L19" s="11"/>
      <c r="O19" s="12"/>
      <c r="P19" s="12"/>
      <c r="Q19" s="12"/>
      <c r="R19" s="12"/>
      <c r="V19" s="12"/>
      <c r="W19" s="12">
        <v>0.5</v>
      </c>
      <c r="X19" s="12"/>
      <c r="Y19" s="12">
        <v>0.5</v>
      </c>
      <c r="AC19" s="12"/>
      <c r="AD19" s="12">
        <v>0.5</v>
      </c>
      <c r="AE19" s="12"/>
      <c r="AF19" s="12">
        <v>0.5</v>
      </c>
      <c r="AJ19" s="12"/>
      <c r="AK19" s="12">
        <v>0.5</v>
      </c>
      <c r="AL19" s="12"/>
      <c r="AM19" s="12">
        <v>0.5</v>
      </c>
      <c r="AQ19" s="12"/>
      <c r="AR19" s="12">
        <v>0.5</v>
      </c>
      <c r="AS19" s="12"/>
      <c r="AT19" s="12">
        <v>0.5</v>
      </c>
      <c r="AX19" s="12"/>
      <c r="AY19" s="12">
        <v>0.8</v>
      </c>
      <c r="AZ19" s="12"/>
      <c r="BA19" s="12">
        <v>0.8</v>
      </c>
      <c r="BE19" s="12"/>
      <c r="BF19" s="12">
        <v>0.8</v>
      </c>
      <c r="BG19" s="12"/>
      <c r="BH19" s="12">
        <v>0.8</v>
      </c>
      <c r="BL19" s="12"/>
      <c r="BM19" s="12">
        <v>0.8</v>
      </c>
      <c r="BN19" s="12"/>
      <c r="BO19" s="12">
        <v>0.8</v>
      </c>
      <c r="BS19" s="12"/>
      <c r="BT19" s="12">
        <v>1</v>
      </c>
      <c r="BU19" s="12"/>
      <c r="BV19" s="12">
        <v>1</v>
      </c>
      <c r="BZ19" s="12"/>
      <c r="CA19" s="12">
        <v>1</v>
      </c>
      <c r="CB19" s="12"/>
      <c r="CC19" s="12">
        <v>1</v>
      </c>
      <c r="CG19" s="12"/>
      <c r="CH19" s="12">
        <v>1</v>
      </c>
      <c r="CI19" s="12"/>
      <c r="CJ19" s="12">
        <v>1</v>
      </c>
      <c r="CN19" s="12"/>
      <c r="CO19" s="12"/>
      <c r="CP19" s="12"/>
      <c r="CQ19" s="12"/>
      <c r="CU19" s="12"/>
      <c r="CV19" s="12"/>
      <c r="CW19" s="12"/>
      <c r="CX19" s="12"/>
      <c r="DB19" s="12"/>
      <c r="DC19" s="12"/>
      <c r="DD19" s="12"/>
      <c r="DE19" s="12"/>
      <c r="DI19" s="12"/>
      <c r="DJ19" s="12"/>
      <c r="DK19" s="12"/>
      <c r="DL19" s="12"/>
      <c r="DP19" s="12"/>
      <c r="DQ19" s="12"/>
      <c r="DR19" s="12"/>
      <c r="DS19" s="12"/>
      <c r="DW19" s="12"/>
      <c r="DX19" s="12"/>
      <c r="DY19" s="12"/>
      <c r="DZ19" s="12"/>
      <c r="ED19" s="12"/>
      <c r="EE19" s="12"/>
      <c r="EF19" s="12"/>
      <c r="EG19" s="12"/>
      <c r="EK19" s="12"/>
      <c r="EL19" s="12"/>
      <c r="EM19" s="12"/>
      <c r="EN19" s="12"/>
      <c r="ER19" s="12"/>
      <c r="ES19" s="12"/>
      <c r="ET19" s="12"/>
      <c r="EU19" s="12"/>
      <c r="EY19" s="12"/>
      <c r="EZ19" s="12"/>
      <c r="FA19" s="12"/>
      <c r="FB19" s="12"/>
      <c r="FF19" s="12"/>
      <c r="FG19" s="12"/>
      <c r="FH19" s="12"/>
      <c r="FI19" s="12"/>
      <c r="FM19" s="12"/>
      <c r="FN19" s="12"/>
      <c r="FO19" s="12"/>
      <c r="FP19" s="12"/>
      <c r="FT19" s="12"/>
      <c r="FU19" s="12"/>
      <c r="FV19" s="12"/>
      <c r="FW19" s="12"/>
      <c r="GA19" s="12"/>
      <c r="GB19" s="12"/>
      <c r="GC19" s="12"/>
      <c r="GD19" s="12"/>
      <c r="GH19" s="12"/>
      <c r="GI19" s="12"/>
      <c r="GJ19" s="12"/>
      <c r="GK19" s="12"/>
      <c r="GO19" s="12"/>
      <c r="GP19" s="12"/>
      <c r="GQ19" s="12"/>
      <c r="GR19" s="12"/>
      <c r="GV19" s="12"/>
      <c r="GW19" s="12"/>
      <c r="GX19" s="12"/>
      <c r="GY19" s="12"/>
      <c r="HC19" s="12"/>
      <c r="HD19" s="12"/>
      <c r="HE19" s="12"/>
      <c r="HF19" s="12"/>
      <c r="HJ19" s="12"/>
      <c r="HK19" s="12"/>
      <c r="HL19" s="12"/>
      <c r="HM19" s="12"/>
      <c r="HQ19" s="12"/>
      <c r="HR19" s="12"/>
      <c r="HS19" s="12"/>
      <c r="HT19" s="12"/>
      <c r="HX19" s="12"/>
      <c r="HY19" s="12"/>
      <c r="HZ19" s="12"/>
      <c r="IA19" s="12"/>
      <c r="IE19" s="12"/>
      <c r="IF19" s="12"/>
      <c r="IG19" s="12"/>
      <c r="IH19" s="12"/>
      <c r="IL19" s="12"/>
      <c r="IM19" s="12"/>
      <c r="IN19" s="12"/>
      <c r="IO19" s="12"/>
      <c r="IS19" s="12"/>
      <c r="IT19" s="12"/>
      <c r="IU19" s="12"/>
      <c r="IV19" s="12"/>
      <c r="IZ19" s="12"/>
      <c r="JA19" s="12"/>
      <c r="JB19" s="12"/>
      <c r="JC19" s="12"/>
      <c r="JG19" s="12"/>
      <c r="JH19" s="12"/>
      <c r="JI19" s="12"/>
      <c r="JJ19" s="12"/>
      <c r="JN19" s="12"/>
      <c r="JO19" s="12"/>
      <c r="JP19" s="12"/>
      <c r="JQ19" s="12"/>
      <c r="JU19" s="12"/>
      <c r="JV19" s="12"/>
      <c r="JW19" s="12"/>
      <c r="JX19" s="12"/>
    </row>
    <row r="20" spans="2:284" ht="15.75" customHeight="1" outlineLevel="1">
      <c r="B20" t="s">
        <v>28</v>
      </c>
      <c r="C20" t="s">
        <v>90</v>
      </c>
      <c r="E20" s="11"/>
      <c r="F20" t="s">
        <v>78</v>
      </c>
      <c r="G20" s="12">
        <v>0.125</v>
      </c>
      <c r="I20" s="11">
        <f t="shared" si="1"/>
        <v>0</v>
      </c>
      <c r="J20" s="13" cm="1">
        <f t="array" ref="J20">MAX(IF($M$3:$DT$3=$J$3,M20:DT20))</f>
        <v>0</v>
      </c>
      <c r="K20" s="13" cm="1">
        <f t="array" ref="K20">MAX(IF($M$3:$DT$3=$J$3,M20:DT20))</f>
        <v>0</v>
      </c>
      <c r="L20" s="11"/>
      <c r="O20" s="12"/>
      <c r="P20" s="12"/>
      <c r="Q20" s="12"/>
      <c r="R20" s="12"/>
      <c r="V20" s="12"/>
      <c r="W20" s="12"/>
      <c r="X20" s="12"/>
      <c r="Y20" s="12"/>
      <c r="AC20" s="12"/>
      <c r="AD20" s="12"/>
      <c r="AE20" s="12"/>
      <c r="AF20" s="12"/>
      <c r="AJ20" s="12"/>
      <c r="AK20" s="12"/>
      <c r="AL20" s="12"/>
      <c r="AM20" s="12"/>
      <c r="AQ20" s="12"/>
      <c r="AR20" s="12">
        <v>0.5</v>
      </c>
      <c r="AS20" s="12"/>
      <c r="AT20" s="12">
        <v>0.5</v>
      </c>
      <c r="AX20" s="12"/>
      <c r="AY20" s="12">
        <v>0.5</v>
      </c>
      <c r="AZ20" s="12"/>
      <c r="BA20" s="12">
        <v>0.5</v>
      </c>
      <c r="BE20" s="12"/>
      <c r="BF20" s="12">
        <v>0.8</v>
      </c>
      <c r="BG20" s="12"/>
      <c r="BH20" s="12">
        <v>0.8</v>
      </c>
      <c r="BL20" s="12"/>
      <c r="BM20" s="12">
        <v>0.8</v>
      </c>
      <c r="BN20" s="12"/>
      <c r="BO20" s="12">
        <v>0.8</v>
      </c>
      <c r="BS20" s="12"/>
      <c r="BT20" s="12">
        <v>1</v>
      </c>
      <c r="BU20" s="12"/>
      <c r="BV20" s="12">
        <v>1</v>
      </c>
      <c r="BZ20" s="12"/>
      <c r="CA20" s="12">
        <v>1</v>
      </c>
      <c r="CB20" s="12"/>
      <c r="CC20" s="12">
        <v>1</v>
      </c>
      <c r="CG20" s="12"/>
      <c r="CH20" s="12">
        <v>1</v>
      </c>
      <c r="CI20" s="12"/>
      <c r="CJ20" s="12">
        <v>1</v>
      </c>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c r="ED20" s="12"/>
      <c r="EE20" s="12"/>
      <c r="EF20" s="12"/>
      <c r="EG20" s="12"/>
      <c r="EK20" s="12"/>
      <c r="EL20" s="12"/>
      <c r="EM20" s="12"/>
      <c r="EN20" s="12"/>
      <c r="ER20" s="12"/>
      <c r="ES20" s="12"/>
      <c r="ET20" s="12"/>
      <c r="EU20" s="12"/>
      <c r="EY20" s="12"/>
      <c r="EZ20" s="12"/>
      <c r="FA20" s="12"/>
      <c r="FB20" s="12"/>
      <c r="FF20" s="12"/>
      <c r="FG20" s="12"/>
      <c r="FH20" s="12"/>
      <c r="FI20" s="12"/>
      <c r="FM20" s="12"/>
      <c r="FN20" s="12"/>
      <c r="FO20" s="12"/>
      <c r="FP20" s="12"/>
      <c r="FT20" s="12"/>
      <c r="FU20" s="12"/>
      <c r="FV20" s="12"/>
      <c r="FW20" s="12"/>
      <c r="GA20" s="12"/>
      <c r="GB20" s="12"/>
      <c r="GC20" s="12"/>
      <c r="GD20" s="12"/>
      <c r="GH20" s="12"/>
      <c r="GI20" s="12"/>
      <c r="GJ20" s="12"/>
      <c r="GK20" s="12"/>
      <c r="GO20" s="12"/>
      <c r="GP20" s="12"/>
      <c r="GQ20" s="12"/>
      <c r="GR20" s="12"/>
      <c r="GV20" s="12"/>
      <c r="GW20" s="12"/>
      <c r="GX20" s="12"/>
      <c r="GY20" s="12"/>
      <c r="HC20" s="12"/>
      <c r="HD20" s="12"/>
      <c r="HE20" s="12"/>
      <c r="HF20" s="12"/>
      <c r="HJ20" s="12"/>
      <c r="HK20" s="12"/>
      <c r="HL20" s="12"/>
      <c r="HM20" s="12"/>
      <c r="HQ20" s="12"/>
      <c r="HR20" s="12"/>
      <c r="HS20" s="12"/>
      <c r="HT20" s="12"/>
      <c r="HX20" s="12"/>
      <c r="HY20" s="12"/>
      <c r="HZ20" s="12"/>
      <c r="IA20" s="12"/>
      <c r="IE20" s="12"/>
      <c r="IF20" s="12"/>
      <c r="IG20" s="12"/>
      <c r="IH20" s="12"/>
      <c r="IL20" s="12"/>
      <c r="IM20" s="12"/>
      <c r="IN20" s="12"/>
      <c r="IO20" s="12"/>
      <c r="IS20" s="12"/>
      <c r="IT20" s="12"/>
      <c r="IU20" s="12"/>
      <c r="IV20" s="12"/>
      <c r="IZ20" s="12"/>
      <c r="JA20" s="12"/>
      <c r="JB20" s="12"/>
      <c r="JC20" s="12"/>
      <c r="JG20" s="12"/>
      <c r="JH20" s="12"/>
      <c r="JI20" s="12"/>
      <c r="JJ20" s="12"/>
      <c r="JN20" s="12"/>
      <c r="JO20" s="12"/>
      <c r="JP20" s="12"/>
      <c r="JQ20" s="12"/>
      <c r="JU20" s="12"/>
      <c r="JV20" s="12"/>
      <c r="JW20" s="12"/>
      <c r="JX20" s="12"/>
    </row>
    <row r="21" spans="2:284" ht="15.75" customHeight="1" outlineLevel="1">
      <c r="B21" t="s">
        <v>28</v>
      </c>
      <c r="C21" t="s">
        <v>92</v>
      </c>
      <c r="E21" s="11"/>
      <c r="F21" t="s">
        <v>79</v>
      </c>
      <c r="G21" s="12">
        <v>0.125</v>
      </c>
      <c r="I21" s="11">
        <f t="shared" si="1"/>
        <v>0</v>
      </c>
      <c r="J21" s="13" cm="1">
        <f t="array" ref="J21">MAX(IF($M$3:$DT$3=$J$3,M21:DT21))</f>
        <v>0</v>
      </c>
      <c r="K21" s="13" cm="1">
        <f t="array" ref="K21">MAX(IF($M$3:$DT$3=$J$3,M21:DT21))</f>
        <v>0</v>
      </c>
      <c r="L21" s="11"/>
      <c r="O21" s="12"/>
      <c r="P21" s="12"/>
      <c r="Q21" s="12"/>
      <c r="R21" s="12"/>
      <c r="V21" s="12"/>
      <c r="W21" s="12"/>
      <c r="X21" s="12"/>
      <c r="Y21" s="12"/>
      <c r="AC21" s="12"/>
      <c r="AD21" s="12"/>
      <c r="AE21" s="12"/>
      <c r="AF21" s="12"/>
      <c r="AJ21" s="12"/>
      <c r="AK21" s="12"/>
      <c r="AL21" s="12"/>
      <c r="AM21" s="12"/>
      <c r="AQ21" s="12"/>
      <c r="AR21" s="12"/>
      <c r="AS21" s="12"/>
      <c r="AT21" s="12"/>
      <c r="AX21" s="12"/>
      <c r="AY21" s="12"/>
      <c r="AZ21" s="12"/>
      <c r="BA21" s="12"/>
      <c r="BE21" s="12"/>
      <c r="BF21" s="12">
        <v>0.8</v>
      </c>
      <c r="BG21" s="12"/>
      <c r="BH21" s="12">
        <v>0.8</v>
      </c>
      <c r="BL21" s="12"/>
      <c r="BM21" s="12">
        <v>0.8</v>
      </c>
      <c r="BN21" s="12"/>
      <c r="BO21" s="12">
        <v>0.8</v>
      </c>
      <c r="BS21" s="12"/>
      <c r="BT21" s="12">
        <v>1</v>
      </c>
      <c r="BU21" s="12"/>
      <c r="BV21" s="12">
        <v>1</v>
      </c>
      <c r="BZ21" s="12"/>
      <c r="CA21" s="12">
        <v>1</v>
      </c>
      <c r="CB21" s="12"/>
      <c r="CC21" s="12">
        <v>1</v>
      </c>
      <c r="CG21" s="12"/>
      <c r="CH21" s="12">
        <v>1</v>
      </c>
      <c r="CI21" s="12"/>
      <c r="CJ21" s="12">
        <v>1</v>
      </c>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c r="ED21" s="12"/>
      <c r="EE21" s="12"/>
      <c r="EF21" s="12"/>
      <c r="EG21" s="12"/>
      <c r="EK21" s="12"/>
      <c r="EL21" s="12"/>
      <c r="EM21" s="12"/>
      <c r="EN21" s="12"/>
      <c r="ER21" s="12"/>
      <c r="ES21" s="12"/>
      <c r="ET21" s="12"/>
      <c r="EU21" s="12"/>
      <c r="EY21" s="12"/>
      <c r="EZ21" s="12"/>
      <c r="FA21" s="12"/>
      <c r="FB21" s="12"/>
      <c r="FF21" s="12"/>
      <c r="FG21" s="12"/>
      <c r="FH21" s="12"/>
      <c r="FI21" s="12"/>
      <c r="FM21" s="12"/>
      <c r="FN21" s="12"/>
      <c r="FO21" s="12"/>
      <c r="FP21" s="12"/>
      <c r="FT21" s="12"/>
      <c r="FU21" s="12"/>
      <c r="FV21" s="12"/>
      <c r="FW21" s="12"/>
      <c r="GA21" s="12"/>
      <c r="GB21" s="12"/>
      <c r="GC21" s="12"/>
      <c r="GD21" s="12"/>
      <c r="GH21" s="12"/>
      <c r="GI21" s="12"/>
      <c r="GJ21" s="12"/>
      <c r="GK21" s="12"/>
      <c r="GO21" s="12"/>
      <c r="GP21" s="12"/>
      <c r="GQ21" s="12"/>
      <c r="GR21" s="12"/>
      <c r="GV21" s="12"/>
      <c r="GW21" s="12"/>
      <c r="GX21" s="12"/>
      <c r="GY21" s="12"/>
      <c r="HC21" s="12"/>
      <c r="HD21" s="12"/>
      <c r="HE21" s="12"/>
      <c r="HF21" s="12"/>
      <c r="HJ21" s="12"/>
      <c r="HK21" s="12"/>
      <c r="HL21" s="12"/>
      <c r="HM21" s="12"/>
      <c r="HQ21" s="12"/>
      <c r="HR21" s="12"/>
      <c r="HS21" s="12"/>
      <c r="HT21" s="12"/>
      <c r="HX21" s="12"/>
      <c r="HY21" s="12"/>
      <c r="HZ21" s="12"/>
      <c r="IA21" s="12"/>
      <c r="IE21" s="12"/>
      <c r="IF21" s="12"/>
      <c r="IG21" s="12"/>
      <c r="IH21" s="12"/>
      <c r="IL21" s="12"/>
      <c r="IM21" s="12"/>
      <c r="IN21" s="12"/>
      <c r="IO21" s="12"/>
      <c r="IS21" s="12"/>
      <c r="IT21" s="12"/>
      <c r="IU21" s="12"/>
      <c r="IV21" s="12"/>
      <c r="IZ21" s="12"/>
      <c r="JA21" s="12"/>
      <c r="JB21" s="12"/>
      <c r="JC21" s="12"/>
      <c r="JG21" s="12"/>
      <c r="JH21" s="12"/>
      <c r="JI21" s="12"/>
      <c r="JJ21" s="12"/>
      <c r="JN21" s="12"/>
      <c r="JO21" s="12"/>
      <c r="JP21" s="12"/>
      <c r="JQ21" s="12"/>
      <c r="JU21" s="12"/>
      <c r="JV21" s="12"/>
      <c r="JW21" s="12"/>
      <c r="JX21" s="12"/>
    </row>
    <row r="22" spans="2:284" ht="15.75" customHeight="1" outlineLevel="1">
      <c r="B22" t="s">
        <v>28</v>
      </c>
      <c r="C22" t="s">
        <v>81</v>
      </c>
      <c r="E22" s="11"/>
      <c r="F22" t="s">
        <v>80</v>
      </c>
      <c r="G22" s="12">
        <v>0.166666666667</v>
      </c>
      <c r="I22" s="11">
        <f t="shared" si="1"/>
        <v>0</v>
      </c>
      <c r="J22" s="13" cm="1">
        <f t="array" ref="J22">MAX(IF($M$3:$DT$3=$J$3,M22:DT22))</f>
        <v>0.8</v>
      </c>
      <c r="K22" s="13" cm="1">
        <f t="array" ref="K22">MAX(IF($M$3:$DT$3=$J$3,M22:DT22))</f>
        <v>0.8</v>
      </c>
      <c r="O22" s="12">
        <v>0.8</v>
      </c>
      <c r="P22" s="12">
        <v>0.8</v>
      </c>
      <c r="Q22" s="12">
        <v>0.8</v>
      </c>
      <c r="R22" s="12">
        <v>0.8</v>
      </c>
      <c r="V22" s="12">
        <v>0.8</v>
      </c>
      <c r="W22" s="12">
        <v>0.8</v>
      </c>
      <c r="X22" s="12">
        <v>0.8</v>
      </c>
      <c r="Y22" s="12">
        <v>0.8</v>
      </c>
      <c r="AC22" s="12">
        <v>0.8</v>
      </c>
      <c r="AD22" s="12">
        <v>1</v>
      </c>
      <c r="AE22" s="12">
        <v>0.8</v>
      </c>
      <c r="AF22" s="12">
        <v>1</v>
      </c>
      <c r="AG22" t="s">
        <v>158</v>
      </c>
      <c r="AJ22" s="12"/>
      <c r="AK22" s="12">
        <v>1</v>
      </c>
      <c r="AL22" s="12"/>
      <c r="AM22" s="12">
        <v>1</v>
      </c>
      <c r="AN22" t="s">
        <v>193</v>
      </c>
      <c r="AQ22" s="12"/>
      <c r="AR22" s="12">
        <v>1</v>
      </c>
      <c r="AS22" s="12"/>
      <c r="AT22" s="12">
        <v>1</v>
      </c>
      <c r="AU22" t="s">
        <v>159</v>
      </c>
      <c r="AX22" s="12"/>
      <c r="AY22" s="12">
        <v>1</v>
      </c>
      <c r="AZ22" s="12"/>
      <c r="BA22" s="12">
        <v>1</v>
      </c>
      <c r="BB22" t="s">
        <v>193</v>
      </c>
      <c r="BE22" s="12"/>
      <c r="BF22" s="12">
        <v>1</v>
      </c>
      <c r="BG22" s="12"/>
      <c r="BH22" s="12">
        <v>1</v>
      </c>
      <c r="BI22" t="s">
        <v>193</v>
      </c>
      <c r="BL22" s="12"/>
      <c r="BM22" s="12">
        <v>1</v>
      </c>
      <c r="BN22" s="12"/>
      <c r="BO22" s="12">
        <v>1</v>
      </c>
      <c r="BP22" t="s">
        <v>193</v>
      </c>
      <c r="BS22" s="12"/>
      <c r="BT22" s="12">
        <v>1</v>
      </c>
      <c r="BU22" s="12"/>
      <c r="BV22" s="12">
        <v>1</v>
      </c>
      <c r="BW22" t="s">
        <v>193</v>
      </c>
      <c r="BZ22" s="12"/>
      <c r="CA22" s="12">
        <v>1</v>
      </c>
      <c r="CB22" s="12"/>
      <c r="CC22" s="12">
        <v>1</v>
      </c>
      <c r="CG22" s="12"/>
      <c r="CH22" s="12">
        <v>1</v>
      </c>
      <c r="CI22" s="12"/>
      <c r="CJ22" s="12">
        <v>1</v>
      </c>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c r="EK22" s="12"/>
      <c r="EL22" s="12"/>
      <c r="EM22" s="12"/>
      <c r="EN22" s="12"/>
      <c r="ER22" s="12"/>
      <c r="ES22" s="12"/>
      <c r="ET22" s="12"/>
      <c r="EU22" s="12"/>
      <c r="EY22" s="12"/>
      <c r="EZ22" s="12"/>
      <c r="FA22" s="12"/>
      <c r="FB22" s="12"/>
      <c r="FF22" s="12"/>
      <c r="FG22" s="12"/>
      <c r="FH22" s="12"/>
      <c r="FI22" s="12"/>
      <c r="FM22" s="12"/>
      <c r="FN22" s="12"/>
      <c r="FO22" s="12"/>
      <c r="FP22" s="12"/>
      <c r="FT22" s="12"/>
      <c r="FU22" s="12"/>
      <c r="FV22" s="12"/>
      <c r="FW22" s="12"/>
      <c r="GA22" s="12"/>
      <c r="GB22" s="12"/>
      <c r="GC22" s="12"/>
      <c r="GD22" s="12"/>
      <c r="GH22" s="12"/>
      <c r="GI22" s="12"/>
      <c r="GJ22" s="12"/>
      <c r="GK22" s="12"/>
      <c r="GO22" s="12"/>
      <c r="GP22" s="12"/>
      <c r="GQ22" s="12"/>
      <c r="GR22" s="12"/>
      <c r="GV22" s="12"/>
      <c r="GW22" s="12"/>
      <c r="GX22" s="12"/>
      <c r="GY22" s="12"/>
      <c r="HC22" s="12"/>
      <c r="HD22" s="12"/>
      <c r="HE22" s="12"/>
      <c r="HF22" s="12"/>
      <c r="HJ22" s="12"/>
      <c r="HK22" s="12"/>
      <c r="HL22" s="12"/>
      <c r="HM22" s="12"/>
      <c r="HQ22" s="12"/>
      <c r="HR22" s="12"/>
      <c r="HS22" s="12"/>
      <c r="HT22" s="12"/>
      <c r="HX22" s="12"/>
      <c r="HY22" s="12"/>
      <c r="HZ22" s="12"/>
      <c r="IA22" s="12"/>
      <c r="IE22" s="12"/>
      <c r="IF22" s="12"/>
      <c r="IG22" s="12"/>
      <c r="IH22" s="12"/>
      <c r="IL22" s="12"/>
      <c r="IM22" s="12"/>
      <c r="IN22" s="12"/>
      <c r="IO22" s="12"/>
      <c r="IS22" s="12"/>
      <c r="IT22" s="12"/>
      <c r="IU22" s="12"/>
      <c r="IV22" s="12"/>
      <c r="IZ22" s="12"/>
      <c r="JA22" s="12"/>
      <c r="JB22" s="12"/>
      <c r="JC22" s="12"/>
      <c r="JG22" s="12"/>
      <c r="JH22" s="12"/>
      <c r="JI22" s="12"/>
      <c r="JJ22" s="12"/>
      <c r="JN22" s="12"/>
      <c r="JO22" s="12"/>
      <c r="JP22" s="12"/>
      <c r="JQ22" s="12"/>
      <c r="JU22" s="12"/>
      <c r="JV22" s="12"/>
      <c r="JW22" s="12"/>
      <c r="JX22" s="12"/>
    </row>
    <row r="23" spans="2:284" ht="15.75" customHeight="1" outlineLevel="1">
      <c r="B23" t="s">
        <v>28</v>
      </c>
      <c r="C23" t="s">
        <v>83</v>
      </c>
      <c r="E23" s="11"/>
      <c r="F23" t="s">
        <v>82</v>
      </c>
      <c r="G23" s="12">
        <v>0.166666666667</v>
      </c>
      <c r="I23" s="11">
        <f t="shared" si="1"/>
        <v>0</v>
      </c>
      <c r="J23" s="13" cm="1">
        <f t="array" ref="J23">MAX(IF($M$3:$DT$3=$J$3,M23:DT23))</f>
        <v>0.8</v>
      </c>
      <c r="K23" s="13" cm="1">
        <f t="array" ref="K23">MAX(IF($M$3:$DT$3=$J$3,M23:DT23))</f>
        <v>0.8</v>
      </c>
      <c r="L23" s="11"/>
      <c r="O23" s="12">
        <v>0.8</v>
      </c>
      <c r="P23" s="12">
        <v>0.8</v>
      </c>
      <c r="Q23" s="12">
        <v>0.8</v>
      </c>
      <c r="R23" s="12">
        <v>0.8</v>
      </c>
      <c r="V23" s="12">
        <v>0.8</v>
      </c>
      <c r="W23" s="12">
        <v>0.8</v>
      </c>
      <c r="X23" s="12">
        <v>0.8</v>
      </c>
      <c r="Y23" s="12">
        <v>0.8</v>
      </c>
      <c r="AC23" s="12">
        <v>0.8</v>
      </c>
      <c r="AD23" s="12">
        <v>1</v>
      </c>
      <c r="AE23" s="12">
        <v>0.8</v>
      </c>
      <c r="AF23" s="12">
        <v>1</v>
      </c>
      <c r="AJ23" s="12"/>
      <c r="AK23" s="12">
        <v>1</v>
      </c>
      <c r="AL23" s="12"/>
      <c r="AM23" s="12">
        <v>1</v>
      </c>
      <c r="AQ23" s="12"/>
      <c r="AR23" s="12">
        <v>1</v>
      </c>
      <c r="AS23" s="12"/>
      <c r="AT23" s="12">
        <v>1</v>
      </c>
      <c r="AX23" s="12"/>
      <c r="AY23" s="12">
        <v>1</v>
      </c>
      <c r="AZ23" s="12"/>
      <c r="BA23" s="12">
        <v>1</v>
      </c>
      <c r="BE23" s="12"/>
      <c r="BF23" s="12">
        <v>1</v>
      </c>
      <c r="BG23" s="12"/>
      <c r="BH23" s="12">
        <v>1</v>
      </c>
      <c r="BL23" s="12"/>
      <c r="BM23" s="12">
        <v>1</v>
      </c>
      <c r="BN23" s="12"/>
      <c r="BO23" s="12">
        <v>1</v>
      </c>
      <c r="BS23" s="12"/>
      <c r="BT23" s="12">
        <v>1</v>
      </c>
      <c r="BU23" s="12"/>
      <c r="BV23" s="12">
        <v>1</v>
      </c>
      <c r="BZ23" s="12"/>
      <c r="CA23" s="12">
        <v>1</v>
      </c>
      <c r="CB23" s="12"/>
      <c r="CC23" s="12">
        <v>1</v>
      </c>
      <c r="CG23" s="12"/>
      <c r="CH23" s="12">
        <v>1</v>
      </c>
      <c r="CI23" s="12"/>
      <c r="CJ23" s="12">
        <v>1</v>
      </c>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c r="EK23" s="12"/>
      <c r="EL23" s="12"/>
      <c r="EM23" s="12"/>
      <c r="EN23" s="12"/>
      <c r="ER23" s="12"/>
      <c r="ES23" s="12"/>
      <c r="ET23" s="12"/>
      <c r="EU23" s="12"/>
      <c r="EY23" s="12"/>
      <c r="EZ23" s="12"/>
      <c r="FA23" s="12"/>
      <c r="FB23" s="12"/>
      <c r="FF23" s="12"/>
      <c r="FG23" s="12"/>
      <c r="FH23" s="12"/>
      <c r="FI23" s="12"/>
      <c r="FM23" s="12"/>
      <c r="FN23" s="12"/>
      <c r="FO23" s="12"/>
      <c r="FP23" s="12"/>
      <c r="FT23" s="12"/>
      <c r="FU23" s="12"/>
      <c r="FV23" s="12"/>
      <c r="FW23" s="12"/>
      <c r="GA23" s="12"/>
      <c r="GB23" s="12"/>
      <c r="GC23" s="12"/>
      <c r="GD23" s="12"/>
      <c r="GH23" s="12"/>
      <c r="GI23" s="12"/>
      <c r="GJ23" s="12"/>
      <c r="GK23" s="12"/>
      <c r="GO23" s="12"/>
      <c r="GP23" s="12"/>
      <c r="GQ23" s="12"/>
      <c r="GR23" s="12"/>
      <c r="GV23" s="12"/>
      <c r="GW23" s="12"/>
      <c r="GX23" s="12"/>
      <c r="GY23" s="12"/>
      <c r="HC23" s="12"/>
      <c r="HD23" s="12"/>
      <c r="HE23" s="12"/>
      <c r="HF23" s="12"/>
      <c r="HJ23" s="12"/>
      <c r="HK23" s="12"/>
      <c r="HL23" s="12"/>
      <c r="HM23" s="12"/>
      <c r="HQ23" s="12"/>
      <c r="HR23" s="12"/>
      <c r="HS23" s="12"/>
      <c r="HT23" s="12"/>
      <c r="HX23" s="12"/>
      <c r="HY23" s="12"/>
      <c r="HZ23" s="12"/>
      <c r="IA23" s="12"/>
      <c r="IE23" s="12"/>
      <c r="IF23" s="12"/>
      <c r="IG23" s="12"/>
      <c r="IH23" s="12"/>
      <c r="IL23" s="12"/>
      <c r="IM23" s="12"/>
      <c r="IN23" s="12"/>
      <c r="IO23" s="12"/>
      <c r="IS23" s="12"/>
      <c r="IT23" s="12"/>
      <c r="IU23" s="12"/>
      <c r="IV23" s="12"/>
      <c r="IZ23" s="12"/>
      <c r="JA23" s="12"/>
      <c r="JB23" s="12"/>
      <c r="JC23" s="12"/>
      <c r="JG23" s="12"/>
      <c r="JH23" s="12"/>
      <c r="JI23" s="12"/>
      <c r="JJ23" s="12"/>
      <c r="JN23" s="12"/>
      <c r="JO23" s="12"/>
      <c r="JP23" s="12"/>
      <c r="JQ23" s="12"/>
      <c r="JU23" s="12"/>
      <c r="JV23" s="12"/>
      <c r="JW23" s="12"/>
      <c r="JX23" s="12"/>
    </row>
    <row r="24" spans="2:284" ht="15.75" customHeight="1" outlineLevel="1">
      <c r="B24" t="s">
        <v>28</v>
      </c>
      <c r="C24" t="s">
        <v>84</v>
      </c>
      <c r="E24" s="11"/>
      <c r="F24" t="s">
        <v>85</v>
      </c>
      <c r="G24" s="12">
        <v>0.166666666667</v>
      </c>
      <c r="I24" s="11">
        <f t="shared" si="1"/>
        <v>0</v>
      </c>
      <c r="J24" s="13" cm="1">
        <f t="array" ref="J24">MAX(IF($M$3:$DT$3=$J$3,M24:DT24))</f>
        <v>0.8</v>
      </c>
      <c r="K24" s="13" cm="1">
        <f t="array" ref="K24">MAX(IF($M$3:$DT$3=$J$3,M24:DT24))</f>
        <v>0.8</v>
      </c>
      <c r="L24" s="11"/>
      <c r="O24" s="12">
        <v>0.8</v>
      </c>
      <c r="P24" s="12">
        <v>0.8</v>
      </c>
      <c r="Q24" s="12">
        <v>0.8</v>
      </c>
      <c r="R24" s="12">
        <v>0.8</v>
      </c>
      <c r="V24" s="12">
        <v>0.8</v>
      </c>
      <c r="W24" s="12">
        <v>0.8</v>
      </c>
      <c r="X24" s="12">
        <v>0.8</v>
      </c>
      <c r="Y24" s="12">
        <v>0.8</v>
      </c>
      <c r="AC24" s="12">
        <v>0.8</v>
      </c>
      <c r="AD24" s="12"/>
      <c r="AE24" s="12">
        <v>0.8</v>
      </c>
      <c r="AF24" s="12"/>
      <c r="AJ24" s="12"/>
      <c r="AK24" s="12">
        <v>0.8</v>
      </c>
      <c r="AL24" s="12"/>
      <c r="AM24" s="12">
        <v>0.8</v>
      </c>
      <c r="AQ24" s="12"/>
      <c r="AR24" s="12">
        <v>1</v>
      </c>
      <c r="AS24" s="12"/>
      <c r="AT24" s="12">
        <v>1</v>
      </c>
      <c r="AX24" s="12"/>
      <c r="AY24" s="12">
        <v>1</v>
      </c>
      <c r="AZ24" s="12"/>
      <c r="BA24" s="12">
        <v>1</v>
      </c>
      <c r="BE24" s="12"/>
      <c r="BF24" s="12">
        <v>1</v>
      </c>
      <c r="BG24" s="12"/>
      <c r="BH24" s="12">
        <v>1</v>
      </c>
      <c r="BL24" s="12"/>
      <c r="BM24" s="12">
        <v>1</v>
      </c>
      <c r="BN24" s="12"/>
      <c r="BO24" s="12">
        <v>1</v>
      </c>
      <c r="BS24" s="12"/>
      <c r="BT24" s="12">
        <v>1</v>
      </c>
      <c r="BU24" s="12"/>
      <c r="BV24" s="12">
        <v>1</v>
      </c>
      <c r="BZ24" s="12"/>
      <c r="CA24" s="12">
        <v>1</v>
      </c>
      <c r="CB24" s="12"/>
      <c r="CC24" s="12">
        <v>1</v>
      </c>
      <c r="CG24" s="12"/>
      <c r="CH24" s="12">
        <v>1</v>
      </c>
      <c r="CI24" s="12"/>
      <c r="CJ24" s="12">
        <v>1</v>
      </c>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c r="ED24" s="12"/>
      <c r="EE24" s="12"/>
      <c r="EF24" s="12"/>
      <c r="EG24" s="12"/>
      <c r="EK24" s="12"/>
      <c r="EL24" s="12"/>
      <c r="EM24" s="12"/>
      <c r="EN24" s="12"/>
      <c r="ER24" s="12"/>
      <c r="ES24" s="12"/>
      <c r="ET24" s="12"/>
      <c r="EU24" s="12"/>
      <c r="EY24" s="12"/>
      <c r="EZ24" s="12"/>
      <c r="FA24" s="12"/>
      <c r="FB24" s="12"/>
      <c r="FF24" s="12"/>
      <c r="FG24" s="12"/>
      <c r="FH24" s="12"/>
      <c r="FI24" s="12"/>
      <c r="FM24" s="12"/>
      <c r="FN24" s="12"/>
      <c r="FO24" s="12"/>
      <c r="FP24" s="12"/>
      <c r="FT24" s="12"/>
      <c r="FU24" s="12"/>
      <c r="FV24" s="12"/>
      <c r="FW24" s="12"/>
      <c r="GA24" s="12"/>
      <c r="GB24" s="12"/>
      <c r="GC24" s="12"/>
      <c r="GD24" s="12"/>
      <c r="GH24" s="12"/>
      <c r="GI24" s="12"/>
      <c r="GJ24" s="12"/>
      <c r="GK24" s="12"/>
      <c r="GO24" s="12"/>
      <c r="GP24" s="12"/>
      <c r="GQ24" s="12"/>
      <c r="GR24" s="12"/>
      <c r="GV24" s="12"/>
      <c r="GW24" s="12"/>
      <c r="GX24" s="12"/>
      <c r="GY24" s="12"/>
      <c r="HC24" s="12"/>
      <c r="HD24" s="12"/>
      <c r="HE24" s="12"/>
      <c r="HF24" s="12"/>
      <c r="HJ24" s="12"/>
      <c r="HK24" s="12"/>
      <c r="HL24" s="12"/>
      <c r="HM24" s="12"/>
      <c r="HQ24" s="12"/>
      <c r="HR24" s="12"/>
      <c r="HS24" s="12"/>
      <c r="HT24" s="12"/>
      <c r="HX24" s="12"/>
      <c r="HY24" s="12"/>
      <c r="HZ24" s="12"/>
      <c r="IA24" s="12"/>
      <c r="IE24" s="12"/>
      <c r="IF24" s="12"/>
      <c r="IG24" s="12"/>
      <c r="IH24" s="12"/>
      <c r="IL24" s="12"/>
      <c r="IM24" s="12"/>
      <c r="IN24" s="12"/>
      <c r="IO24" s="12"/>
      <c r="IS24" s="12"/>
      <c r="IT24" s="12"/>
      <c r="IU24" s="12"/>
      <c r="IV24" s="12"/>
      <c r="IZ24" s="12"/>
      <c r="JA24" s="12"/>
      <c r="JB24" s="12"/>
      <c r="JC24" s="12"/>
      <c r="JG24" s="12"/>
      <c r="JH24" s="12"/>
      <c r="JI24" s="12"/>
      <c r="JJ24" s="12"/>
      <c r="JN24" s="12"/>
      <c r="JO24" s="12"/>
      <c r="JP24" s="12"/>
      <c r="JQ24" s="12"/>
      <c r="JU24" s="12"/>
      <c r="JV24" s="12"/>
      <c r="JW24" s="12"/>
      <c r="JX24" s="12"/>
    </row>
    <row r="26" spans="2:284">
      <c r="B26" t="s">
        <v>27</v>
      </c>
      <c r="C26" s="21" t="s">
        <v>51</v>
      </c>
      <c r="D26" s="19">
        <v>45096</v>
      </c>
      <c r="E26" s="11">
        <v>5</v>
      </c>
      <c r="G26" s="12">
        <f>SUM(G27:G36)</f>
        <v>0.99999999999990596</v>
      </c>
      <c r="I26" s="14">
        <f>+SUM(I27:I33)</f>
        <v>0</v>
      </c>
      <c r="J26" s="13">
        <f>+SUMPRODUCT(G27:G36,J27:J36)</f>
        <v>0.149999999999994</v>
      </c>
      <c r="K26" s="13">
        <f>+SUMPRODUCT(G27:G36,K27:K36)</f>
        <v>0.149999999999994</v>
      </c>
      <c r="L26" s="11"/>
      <c r="N26" s="14">
        <f>+SUM(N27:N33)</f>
        <v>0</v>
      </c>
      <c r="U26" s="14">
        <f>+SUM(U27:U33)</f>
        <v>0</v>
      </c>
      <c r="AB26" s="14"/>
    </row>
    <row r="27" spans="2:284" outlineLevel="1">
      <c r="B27" t="s">
        <v>28</v>
      </c>
      <c r="C27" t="s">
        <v>134</v>
      </c>
      <c r="E27" s="11"/>
      <c r="F27" t="s">
        <v>130</v>
      </c>
      <c r="G27" s="12">
        <v>8.3333333333329998E-2</v>
      </c>
      <c r="I27" s="11">
        <f t="shared" ref="I27:I36" si="2">+SUMIF($M$3:$ZL$3,I$3,$M27:$ZL27)</f>
        <v>0</v>
      </c>
      <c r="J27" s="13" cm="1">
        <f t="array" ref="J27">MAX(IF($M$3:$DT$3=$J$3,M27:DT27))</f>
        <v>0.5</v>
      </c>
      <c r="K27" s="13" cm="1">
        <f t="array" ref="K27">MAX(IF($M$3:$DT$3=$J$3,M27:DT27))</f>
        <v>0.5</v>
      </c>
      <c r="L27" s="11"/>
      <c r="O27" s="12">
        <v>0.5</v>
      </c>
      <c r="P27" s="12">
        <v>0.5</v>
      </c>
      <c r="Q27" s="12">
        <v>0.5</v>
      </c>
      <c r="R27" s="12">
        <v>0.5</v>
      </c>
      <c r="V27" s="12">
        <v>0.5</v>
      </c>
      <c r="W27" s="12">
        <v>0.8</v>
      </c>
      <c r="X27" s="12">
        <v>0.5</v>
      </c>
      <c r="Y27" s="12">
        <v>0.8</v>
      </c>
      <c r="Z27" t="s">
        <v>158</v>
      </c>
      <c r="AC27" s="12">
        <v>0.5</v>
      </c>
      <c r="AD27" s="12">
        <v>0.8</v>
      </c>
      <c r="AE27" s="12">
        <v>0.5</v>
      </c>
      <c r="AF27" s="12">
        <v>0.8</v>
      </c>
      <c r="AG27" t="s">
        <v>194</v>
      </c>
      <c r="AJ27" s="12"/>
      <c r="AK27" s="12">
        <v>0.8</v>
      </c>
      <c r="AL27" s="12"/>
      <c r="AM27" s="12">
        <v>0.8</v>
      </c>
      <c r="AN27" t="s">
        <v>193</v>
      </c>
      <c r="AQ27" s="12"/>
      <c r="AR27" s="12">
        <v>0.8</v>
      </c>
      <c r="AS27" s="12"/>
      <c r="AT27" s="12">
        <v>0.8</v>
      </c>
      <c r="AU27" t="s">
        <v>197</v>
      </c>
      <c r="AX27" s="12"/>
      <c r="AY27" s="12">
        <v>0.8</v>
      </c>
      <c r="AZ27" s="12"/>
      <c r="BA27" s="12">
        <v>0.8</v>
      </c>
      <c r="BB27" t="s">
        <v>196</v>
      </c>
      <c r="BE27" s="12"/>
      <c r="BF27" s="12"/>
      <c r="BG27" s="12"/>
      <c r="BH27" s="12"/>
      <c r="BL27" s="12"/>
      <c r="BM27" s="12"/>
      <c r="BN27" s="12"/>
      <c r="BO27" s="12"/>
      <c r="BS27" s="12"/>
      <c r="BT27" s="12"/>
      <c r="BU27" s="12"/>
      <c r="BV27" s="12"/>
      <c r="BZ27" s="12"/>
      <c r="CA27" s="12">
        <v>1</v>
      </c>
      <c r="CB27" s="12"/>
      <c r="CC27" s="12">
        <v>1</v>
      </c>
      <c r="CG27" s="12"/>
      <c r="CH27" s="12">
        <v>1</v>
      </c>
      <c r="CI27" s="12"/>
      <c r="CJ27" s="12">
        <v>1</v>
      </c>
      <c r="CN27" s="12"/>
      <c r="CO27" s="12"/>
      <c r="CP27" s="12"/>
      <c r="CQ27" s="12"/>
      <c r="CU27" s="12"/>
      <c r="CV27" s="12"/>
      <c r="CW27" s="12"/>
      <c r="CX27" s="12"/>
      <c r="DB27" s="12"/>
      <c r="DC27" s="12"/>
      <c r="DD27" s="12"/>
      <c r="DE27" s="12"/>
      <c r="DI27" s="12"/>
      <c r="DJ27" s="12"/>
      <c r="DK27" s="12"/>
      <c r="DL27" s="12"/>
      <c r="DP27" s="12"/>
      <c r="DQ27" s="12"/>
      <c r="DR27" s="12"/>
      <c r="DS27" s="12"/>
      <c r="DW27" s="12"/>
      <c r="DX27" s="12"/>
      <c r="DY27" s="12"/>
      <c r="DZ27" s="12"/>
      <c r="ED27" s="12"/>
      <c r="EE27" s="12"/>
      <c r="EF27" s="12"/>
      <c r="EG27" s="12"/>
      <c r="EK27" s="12"/>
      <c r="EL27" s="12"/>
      <c r="EM27" s="12"/>
      <c r="EN27" s="12"/>
      <c r="ER27" s="12"/>
      <c r="ES27" s="12"/>
      <c r="ET27" s="12"/>
      <c r="EU27" s="12"/>
      <c r="EY27" s="12"/>
      <c r="EZ27" s="12"/>
      <c r="FA27" s="12"/>
      <c r="FB27" s="12"/>
      <c r="FF27" s="12"/>
      <c r="FG27" s="12"/>
      <c r="FH27" s="12"/>
      <c r="FI27" s="12"/>
      <c r="FM27" s="12"/>
      <c r="FN27" s="12"/>
      <c r="FO27" s="12"/>
      <c r="FP27" s="12"/>
      <c r="FT27" s="12"/>
      <c r="FU27" s="12"/>
      <c r="FV27" s="12"/>
      <c r="FW27" s="12"/>
      <c r="GA27" s="12"/>
      <c r="GB27" s="12"/>
      <c r="GC27" s="12"/>
      <c r="GD27" s="12"/>
      <c r="GH27" s="12"/>
      <c r="GI27" s="12"/>
      <c r="GJ27" s="12"/>
      <c r="GK27" s="12"/>
      <c r="GO27" s="12"/>
      <c r="GP27" s="12"/>
      <c r="GQ27" s="12"/>
      <c r="GR27" s="12"/>
      <c r="GV27" s="12"/>
      <c r="GW27" s="12"/>
      <c r="GX27" s="12"/>
      <c r="GY27" s="12"/>
      <c r="HC27" s="12"/>
      <c r="HD27" s="12"/>
      <c r="HE27" s="12"/>
      <c r="HF27" s="12"/>
      <c r="HJ27" s="12"/>
      <c r="HK27" s="12"/>
      <c r="HL27" s="12"/>
      <c r="HM27" s="12"/>
      <c r="HQ27" s="12"/>
      <c r="HR27" s="12"/>
      <c r="HS27" s="12"/>
      <c r="HT27" s="12"/>
      <c r="HX27" s="12"/>
      <c r="HY27" s="12"/>
      <c r="HZ27" s="12"/>
      <c r="IA27" s="12"/>
      <c r="IE27" s="12"/>
      <c r="IF27" s="12"/>
      <c r="IG27" s="12"/>
      <c r="IH27" s="12"/>
      <c r="IL27" s="12"/>
      <c r="IM27" s="12"/>
      <c r="IN27" s="12"/>
      <c r="IO27" s="12"/>
      <c r="IS27" s="12"/>
      <c r="IT27" s="12"/>
      <c r="IU27" s="12"/>
      <c r="IV27" s="12"/>
      <c r="IZ27" s="12"/>
      <c r="JA27" s="12"/>
      <c r="JB27" s="12"/>
      <c r="JC27" s="12"/>
      <c r="JG27" s="12"/>
      <c r="JH27" s="12"/>
      <c r="JI27" s="12"/>
      <c r="JJ27" s="12"/>
      <c r="JN27" s="12"/>
      <c r="JO27" s="12"/>
      <c r="JP27" s="12"/>
      <c r="JQ27" s="12"/>
      <c r="JU27" s="12"/>
      <c r="JV27" s="12"/>
      <c r="JW27" s="12"/>
      <c r="JX27" s="12"/>
    </row>
    <row r="28" spans="2:284" outlineLevel="1">
      <c r="B28" t="s">
        <v>28</v>
      </c>
      <c r="C28" t="s">
        <v>135</v>
      </c>
      <c r="E28" s="11"/>
      <c r="F28" t="s">
        <v>145</v>
      </c>
      <c r="G28" s="12">
        <v>8.3333333333329998E-2</v>
      </c>
      <c r="I28" s="11">
        <f t="shared" si="2"/>
        <v>0</v>
      </c>
      <c r="J28" s="13" cm="1">
        <f t="array" ref="J28">MAX(IF($M$3:$DT$3=$J$3,M28:DT28))</f>
        <v>0.5</v>
      </c>
      <c r="K28" s="13" cm="1">
        <f t="array" ref="K28">MAX(IF($M$3:$DT$3=$J$3,M28:DT28))</f>
        <v>0.5</v>
      </c>
      <c r="L28" s="11"/>
      <c r="O28" s="12">
        <v>0.5</v>
      </c>
      <c r="P28" s="12">
        <v>0.5</v>
      </c>
      <c r="Q28" s="12">
        <v>0.5</v>
      </c>
      <c r="R28" s="12">
        <v>0.5</v>
      </c>
      <c r="V28" s="12">
        <v>0.5</v>
      </c>
      <c r="W28" s="12">
        <v>0.5</v>
      </c>
      <c r="X28" s="12">
        <v>0.5</v>
      </c>
      <c r="Y28" s="12">
        <v>0.5</v>
      </c>
      <c r="AC28" s="12">
        <v>0.5</v>
      </c>
      <c r="AD28" s="12">
        <v>0.5</v>
      </c>
      <c r="AE28" s="12">
        <v>0.5</v>
      </c>
      <c r="AF28" s="12">
        <v>0.5</v>
      </c>
      <c r="AJ28" s="12"/>
      <c r="AK28" s="12">
        <v>0.5</v>
      </c>
      <c r="AL28" s="12"/>
      <c r="AM28" s="12">
        <v>0.5</v>
      </c>
      <c r="AQ28" s="12"/>
      <c r="AR28" s="12">
        <v>0.5</v>
      </c>
      <c r="AS28" s="12"/>
      <c r="AT28" s="12">
        <v>0.5</v>
      </c>
      <c r="AX28" s="12"/>
      <c r="AY28" s="12">
        <v>0.8</v>
      </c>
      <c r="AZ28" s="12"/>
      <c r="BA28" s="12">
        <v>0.8</v>
      </c>
      <c r="BE28" s="12"/>
      <c r="BF28" s="12"/>
      <c r="BG28" s="12"/>
      <c r="BH28" s="12"/>
      <c r="BL28" s="12"/>
      <c r="BM28" s="12"/>
      <c r="BN28" s="12"/>
      <c r="BO28" s="12"/>
      <c r="BS28" s="12"/>
      <c r="BT28" s="12"/>
      <c r="BU28" s="12"/>
      <c r="BV28" s="12"/>
      <c r="BZ28" s="12"/>
      <c r="CA28" s="12">
        <v>1</v>
      </c>
      <c r="CB28" s="12"/>
      <c r="CC28" s="12">
        <v>1</v>
      </c>
      <c r="CG28" s="12"/>
      <c r="CH28" s="12">
        <v>1</v>
      </c>
      <c r="CI28" s="12"/>
      <c r="CJ28" s="12">
        <v>1</v>
      </c>
      <c r="CN28" s="12"/>
      <c r="CO28" s="12"/>
      <c r="CP28" s="12"/>
      <c r="CQ28" s="12"/>
      <c r="CU28" s="12"/>
      <c r="CV28" s="12"/>
      <c r="CW28" s="12"/>
      <c r="CX28" s="12"/>
      <c r="DB28" s="12"/>
      <c r="DC28" s="12"/>
      <c r="DD28" s="12"/>
      <c r="DE28" s="12"/>
      <c r="DI28" s="12"/>
      <c r="DJ28" s="12"/>
      <c r="DK28" s="12"/>
      <c r="DL28" s="12"/>
      <c r="DP28" s="12"/>
      <c r="DQ28" s="12"/>
      <c r="DR28" s="12"/>
      <c r="DS28" s="12"/>
      <c r="DW28" s="12"/>
      <c r="DX28" s="12"/>
      <c r="DY28" s="12"/>
      <c r="DZ28" s="12"/>
      <c r="ED28" s="12"/>
      <c r="EE28" s="12"/>
      <c r="EF28" s="12"/>
      <c r="EG28" s="12"/>
      <c r="EK28" s="12"/>
      <c r="EL28" s="12"/>
      <c r="EM28" s="12"/>
      <c r="EN28" s="12"/>
      <c r="ER28" s="12"/>
      <c r="ES28" s="12"/>
      <c r="ET28" s="12"/>
      <c r="EU28" s="12"/>
      <c r="EY28" s="12"/>
      <c r="EZ28" s="12"/>
      <c r="FA28" s="12"/>
      <c r="FB28" s="12"/>
      <c r="FF28" s="12"/>
      <c r="FG28" s="12"/>
      <c r="FH28" s="12"/>
      <c r="FI28" s="12"/>
      <c r="FM28" s="12"/>
      <c r="FN28" s="12"/>
      <c r="FO28" s="12"/>
      <c r="FP28" s="12"/>
      <c r="FT28" s="12"/>
      <c r="FU28" s="12"/>
      <c r="FV28" s="12"/>
      <c r="FW28" s="12"/>
      <c r="GA28" s="12"/>
      <c r="GB28" s="12"/>
      <c r="GC28" s="12"/>
      <c r="GD28" s="12"/>
      <c r="GH28" s="12"/>
      <c r="GI28" s="12"/>
      <c r="GJ28" s="12"/>
      <c r="GK28" s="12"/>
      <c r="GO28" s="12"/>
      <c r="GP28" s="12"/>
      <c r="GQ28" s="12"/>
      <c r="GR28" s="12"/>
      <c r="GV28" s="12"/>
      <c r="GW28" s="12"/>
      <c r="GX28" s="12"/>
      <c r="GY28" s="12"/>
      <c r="HC28" s="12"/>
      <c r="HD28" s="12"/>
      <c r="HE28" s="12"/>
      <c r="HF28" s="12"/>
      <c r="HJ28" s="12"/>
      <c r="HK28" s="12"/>
      <c r="HL28" s="12"/>
      <c r="HM28" s="12"/>
      <c r="HQ28" s="12"/>
      <c r="HR28" s="12"/>
      <c r="HS28" s="12"/>
      <c r="HT28" s="12"/>
      <c r="HX28" s="12"/>
      <c r="HY28" s="12"/>
      <c r="HZ28" s="12"/>
      <c r="IA28" s="12"/>
      <c r="IE28" s="12"/>
      <c r="IF28" s="12"/>
      <c r="IG28" s="12"/>
      <c r="IH28" s="12"/>
      <c r="IL28" s="12"/>
      <c r="IM28" s="12"/>
      <c r="IN28" s="12"/>
      <c r="IO28" s="12"/>
      <c r="IS28" s="12"/>
      <c r="IT28" s="12"/>
      <c r="IU28" s="12"/>
      <c r="IV28" s="12"/>
      <c r="IZ28" s="12"/>
      <c r="JA28" s="12"/>
      <c r="JB28" s="12"/>
      <c r="JC28" s="12"/>
      <c r="JG28" s="12"/>
      <c r="JH28" s="12"/>
      <c r="JI28" s="12"/>
      <c r="JJ28" s="12"/>
      <c r="JN28" s="12"/>
      <c r="JO28" s="12"/>
      <c r="JP28" s="12"/>
      <c r="JQ28" s="12"/>
      <c r="JU28" s="12"/>
      <c r="JV28" s="12"/>
      <c r="JW28" s="12"/>
      <c r="JX28" s="12"/>
    </row>
    <row r="29" spans="2:284" outlineLevel="1">
      <c r="B29" t="s">
        <v>28</v>
      </c>
      <c r="C29" t="s">
        <v>143</v>
      </c>
      <c r="E29" s="11"/>
      <c r="F29" t="s">
        <v>146</v>
      </c>
      <c r="G29" s="12">
        <v>8.3333333333329998E-2</v>
      </c>
      <c r="I29" s="11">
        <f t="shared" si="2"/>
        <v>0</v>
      </c>
      <c r="J29" s="13" cm="1">
        <f t="array" ref="J29">MAX(IF($M$3:$DT$3=$J$3,M29:DT29))</f>
        <v>0.5</v>
      </c>
      <c r="K29" s="13" cm="1">
        <f t="array" ref="K29">MAX(IF($M$3:$DT$3=$J$3,M29:DT29))</f>
        <v>0.5</v>
      </c>
      <c r="L29" s="11"/>
      <c r="O29" s="12">
        <v>0.5</v>
      </c>
      <c r="P29" s="12">
        <v>0.5</v>
      </c>
      <c r="Q29" s="12">
        <v>0.5</v>
      </c>
      <c r="R29" s="12">
        <v>0.5</v>
      </c>
      <c r="V29" s="12">
        <v>0.5</v>
      </c>
      <c r="W29" s="12">
        <v>0.5</v>
      </c>
      <c r="X29" s="12">
        <v>0.5</v>
      </c>
      <c r="Y29" s="12">
        <v>0.5</v>
      </c>
      <c r="AC29" s="12">
        <v>0.5</v>
      </c>
      <c r="AD29" s="12">
        <v>0.5</v>
      </c>
      <c r="AE29" s="12">
        <v>0.5</v>
      </c>
      <c r="AF29" s="12">
        <v>0.5</v>
      </c>
      <c r="AJ29" s="12"/>
      <c r="AK29" s="12">
        <v>0.5</v>
      </c>
      <c r="AL29" s="12"/>
      <c r="AM29" s="12">
        <v>0.5</v>
      </c>
      <c r="AQ29" s="12"/>
      <c r="AR29" s="12">
        <v>0.5</v>
      </c>
      <c r="AS29" s="12"/>
      <c r="AT29" s="12">
        <v>0.5</v>
      </c>
      <c r="AX29" s="12"/>
      <c r="AY29" s="12">
        <v>0.8</v>
      </c>
      <c r="AZ29" s="12"/>
      <c r="BA29" s="12">
        <v>0.8</v>
      </c>
      <c r="BE29" s="12"/>
      <c r="BF29" s="12"/>
      <c r="BG29" s="12"/>
      <c r="BH29" s="12"/>
      <c r="BL29" s="12"/>
      <c r="BM29" s="12"/>
      <c r="BN29" s="12"/>
      <c r="BO29" s="12"/>
      <c r="BS29" s="12"/>
      <c r="BT29" s="12"/>
      <c r="BU29" s="12"/>
      <c r="BV29" s="12"/>
      <c r="BZ29" s="12"/>
      <c r="CA29" s="12">
        <v>1</v>
      </c>
      <c r="CB29" s="12"/>
      <c r="CC29" s="12">
        <v>1</v>
      </c>
      <c r="CG29" s="12"/>
      <c r="CH29" s="12">
        <v>1</v>
      </c>
      <c r="CI29" s="12"/>
      <c r="CJ29" s="12">
        <v>1</v>
      </c>
      <c r="CN29" s="12"/>
      <c r="CO29" s="12"/>
      <c r="CP29" s="12"/>
      <c r="CQ29" s="12"/>
      <c r="CU29" s="12"/>
      <c r="CV29" s="12"/>
      <c r="CW29" s="12"/>
      <c r="CX29" s="12"/>
      <c r="DB29" s="12"/>
      <c r="DC29" s="12"/>
      <c r="DD29" s="12"/>
      <c r="DE29" s="12"/>
      <c r="DI29" s="12"/>
      <c r="DJ29" s="12"/>
      <c r="DK29" s="12"/>
      <c r="DL29" s="12"/>
      <c r="DP29" s="12"/>
      <c r="DQ29" s="12"/>
      <c r="DR29" s="12"/>
      <c r="DS29" s="12"/>
      <c r="DW29" s="12"/>
      <c r="DX29" s="12"/>
      <c r="DY29" s="12"/>
      <c r="DZ29" s="12"/>
      <c r="ED29" s="12"/>
      <c r="EE29" s="12"/>
      <c r="EF29" s="12"/>
      <c r="EG29" s="12"/>
      <c r="EK29" s="12"/>
      <c r="EL29" s="12"/>
      <c r="EM29" s="12"/>
      <c r="EN29" s="12"/>
      <c r="ER29" s="12"/>
      <c r="ES29" s="12"/>
      <c r="ET29" s="12"/>
      <c r="EU29" s="12"/>
      <c r="EY29" s="12"/>
      <c r="EZ29" s="12"/>
      <c r="FA29" s="12"/>
      <c r="FB29" s="12"/>
      <c r="FF29" s="12"/>
      <c r="FG29" s="12"/>
      <c r="FH29" s="12"/>
      <c r="FI29" s="12"/>
      <c r="FM29" s="12"/>
      <c r="FN29" s="12"/>
      <c r="FO29" s="12"/>
      <c r="FP29" s="12"/>
      <c r="FT29" s="12"/>
      <c r="FU29" s="12"/>
      <c r="FV29" s="12"/>
      <c r="FW29" s="12"/>
      <c r="GA29" s="12"/>
      <c r="GB29" s="12"/>
      <c r="GC29" s="12"/>
      <c r="GD29" s="12"/>
      <c r="GH29" s="12"/>
      <c r="GI29" s="12"/>
      <c r="GJ29" s="12"/>
      <c r="GK29" s="12"/>
      <c r="GO29" s="12"/>
      <c r="GP29" s="12"/>
      <c r="GQ29" s="12"/>
      <c r="GR29" s="12"/>
      <c r="GV29" s="12"/>
      <c r="GW29" s="12"/>
      <c r="GX29" s="12"/>
      <c r="GY29" s="12"/>
      <c r="HC29" s="12"/>
      <c r="HD29" s="12"/>
      <c r="HE29" s="12"/>
      <c r="HF29" s="12"/>
      <c r="HJ29" s="12"/>
      <c r="HK29" s="12"/>
      <c r="HL29" s="12"/>
      <c r="HM29" s="12"/>
      <c r="HQ29" s="12"/>
      <c r="HR29" s="12"/>
      <c r="HS29" s="12"/>
      <c r="HT29" s="12"/>
      <c r="HX29" s="12"/>
      <c r="HY29" s="12"/>
      <c r="HZ29" s="12"/>
      <c r="IA29" s="12"/>
      <c r="IE29" s="12"/>
      <c r="IF29" s="12"/>
      <c r="IG29" s="12"/>
      <c r="IH29" s="12"/>
      <c r="IL29" s="12"/>
      <c r="IM29" s="12"/>
      <c r="IN29" s="12"/>
      <c r="IO29" s="12"/>
      <c r="IS29" s="12"/>
      <c r="IT29" s="12"/>
      <c r="IU29" s="12"/>
      <c r="IV29" s="12"/>
      <c r="IZ29" s="12"/>
      <c r="JA29" s="12"/>
      <c r="JB29" s="12"/>
      <c r="JC29" s="12"/>
      <c r="JG29" s="12"/>
      <c r="JH29" s="12"/>
      <c r="JI29" s="12"/>
      <c r="JJ29" s="12"/>
      <c r="JN29" s="12"/>
      <c r="JO29" s="12"/>
      <c r="JP29" s="12"/>
      <c r="JQ29" s="12"/>
      <c r="JU29" s="12"/>
      <c r="JV29" s="12"/>
      <c r="JW29" s="12"/>
      <c r="JX29" s="12"/>
    </row>
    <row r="30" spans="2:284" outlineLevel="1">
      <c r="B30" t="s">
        <v>28</v>
      </c>
      <c r="C30" t="s">
        <v>144</v>
      </c>
      <c r="E30" s="11"/>
      <c r="F30" t="s">
        <v>147</v>
      </c>
      <c r="G30" s="12">
        <v>8.3333333333329998E-2</v>
      </c>
      <c r="I30" s="11">
        <f t="shared" si="2"/>
        <v>0</v>
      </c>
      <c r="J30" s="13" cm="1">
        <f t="array" ref="J30">MAX(IF($M$3:$DT$3=$J$3,M30:DT30))</f>
        <v>0.3</v>
      </c>
      <c r="K30" s="13" cm="1">
        <f t="array" ref="K30">MAX(IF($M$3:$DT$3=$J$3,M30:DT30))</f>
        <v>0.3</v>
      </c>
      <c r="L30" s="11"/>
      <c r="O30" s="12"/>
      <c r="P30" s="12"/>
      <c r="Q30" s="12"/>
      <c r="R30" s="12"/>
      <c r="V30" s="12">
        <v>0.3</v>
      </c>
      <c r="W30" s="12">
        <v>0.5</v>
      </c>
      <c r="X30" s="12">
        <v>0.3</v>
      </c>
      <c r="Y30" s="12">
        <v>0.5</v>
      </c>
      <c r="AC30" s="12">
        <v>0.3</v>
      </c>
      <c r="AD30" s="12">
        <v>0.5</v>
      </c>
      <c r="AE30" s="12">
        <v>0.3</v>
      </c>
      <c r="AF30" s="12">
        <v>0.5</v>
      </c>
      <c r="AJ30" s="12"/>
      <c r="AK30" s="12">
        <v>0.5</v>
      </c>
      <c r="AL30" s="12"/>
      <c r="AM30" s="12">
        <v>0.5</v>
      </c>
      <c r="AQ30" s="12"/>
      <c r="AR30" s="12">
        <v>0.5</v>
      </c>
      <c r="AS30" s="12"/>
      <c r="AT30" s="12">
        <v>0.5</v>
      </c>
      <c r="AX30" s="12"/>
      <c r="AY30" s="12">
        <v>0.8</v>
      </c>
      <c r="AZ30" s="12"/>
      <c r="BA30" s="12">
        <v>0.8</v>
      </c>
      <c r="BE30" s="12"/>
      <c r="BF30" s="12"/>
      <c r="BG30" s="12"/>
      <c r="BH30" s="12"/>
      <c r="BL30" s="12"/>
      <c r="BM30" s="12"/>
      <c r="BN30" s="12"/>
      <c r="BO30" s="12"/>
      <c r="BS30" s="12"/>
      <c r="BT30" s="12"/>
      <c r="BU30" s="12"/>
      <c r="BV30" s="12"/>
      <c r="BZ30" s="12"/>
      <c r="CA30" s="12">
        <v>1</v>
      </c>
      <c r="CB30" s="12"/>
      <c r="CC30" s="12">
        <v>1</v>
      </c>
      <c r="CG30" s="12"/>
      <c r="CH30" s="12">
        <v>1</v>
      </c>
      <c r="CI30" s="12"/>
      <c r="CJ30" s="12">
        <v>1</v>
      </c>
      <c r="CN30" s="12"/>
      <c r="CO30" s="12"/>
      <c r="CP30" s="12"/>
      <c r="CQ30" s="12"/>
      <c r="CU30" s="12"/>
      <c r="CV30" s="12"/>
      <c r="CW30" s="12"/>
      <c r="CX30" s="12"/>
      <c r="DB30" s="12"/>
      <c r="DC30" s="12"/>
      <c r="DD30" s="12"/>
      <c r="DE30" s="12"/>
      <c r="DI30" s="12"/>
      <c r="DJ30" s="12"/>
      <c r="DK30" s="12"/>
      <c r="DL30" s="12"/>
      <c r="DP30" s="12"/>
      <c r="DQ30" s="12"/>
      <c r="DR30" s="12"/>
      <c r="DS30" s="12"/>
      <c r="DW30" s="12"/>
      <c r="DX30" s="12"/>
      <c r="DY30" s="12"/>
      <c r="DZ30" s="12"/>
      <c r="ED30" s="12"/>
      <c r="EE30" s="12"/>
      <c r="EF30" s="12"/>
      <c r="EG30" s="12"/>
      <c r="EK30" s="12"/>
      <c r="EL30" s="12"/>
      <c r="EM30" s="12"/>
      <c r="EN30" s="12"/>
      <c r="ER30" s="12"/>
      <c r="ES30" s="12"/>
      <c r="ET30" s="12"/>
      <c r="EU30" s="12"/>
      <c r="EY30" s="12"/>
      <c r="EZ30" s="12"/>
      <c r="FA30" s="12"/>
      <c r="FB30" s="12"/>
      <c r="FF30" s="12"/>
      <c r="FG30" s="12"/>
      <c r="FH30" s="12"/>
      <c r="FI30" s="12"/>
      <c r="FM30" s="12"/>
      <c r="FN30" s="12"/>
      <c r="FO30" s="12"/>
      <c r="FP30" s="12"/>
      <c r="FT30" s="12"/>
      <c r="FU30" s="12"/>
      <c r="FV30" s="12"/>
      <c r="FW30" s="12"/>
      <c r="GA30" s="12"/>
      <c r="GB30" s="12"/>
      <c r="GC30" s="12"/>
      <c r="GD30" s="12"/>
      <c r="GH30" s="12"/>
      <c r="GI30" s="12"/>
      <c r="GJ30" s="12"/>
      <c r="GK30" s="12"/>
      <c r="GO30" s="12"/>
      <c r="GP30" s="12"/>
      <c r="GQ30" s="12"/>
      <c r="GR30" s="12"/>
      <c r="GV30" s="12"/>
      <c r="GW30" s="12"/>
      <c r="GX30" s="12"/>
      <c r="GY30" s="12"/>
      <c r="HC30" s="12"/>
      <c r="HD30" s="12"/>
      <c r="HE30" s="12"/>
      <c r="HF30" s="12"/>
      <c r="HJ30" s="12"/>
      <c r="HK30" s="12"/>
      <c r="HL30" s="12"/>
      <c r="HM30" s="12"/>
      <c r="HQ30" s="12"/>
      <c r="HR30" s="12"/>
      <c r="HS30" s="12"/>
      <c r="HT30" s="12"/>
      <c r="HX30" s="12"/>
      <c r="HY30" s="12"/>
      <c r="HZ30" s="12"/>
      <c r="IA30" s="12"/>
      <c r="IE30" s="12"/>
      <c r="IF30" s="12"/>
      <c r="IG30" s="12"/>
      <c r="IH30" s="12"/>
      <c r="IL30" s="12"/>
      <c r="IM30" s="12"/>
      <c r="IN30" s="12"/>
      <c r="IO30" s="12"/>
      <c r="IS30" s="12"/>
      <c r="IT30" s="12"/>
      <c r="IU30" s="12"/>
      <c r="IV30" s="12"/>
      <c r="IZ30" s="12"/>
      <c r="JA30" s="12"/>
      <c r="JB30" s="12"/>
      <c r="JC30" s="12"/>
      <c r="JG30" s="12"/>
      <c r="JH30" s="12"/>
      <c r="JI30" s="12"/>
      <c r="JJ30" s="12"/>
      <c r="JN30" s="12"/>
      <c r="JO30" s="12"/>
      <c r="JP30" s="12"/>
      <c r="JQ30" s="12"/>
      <c r="JU30" s="12"/>
      <c r="JV30" s="12"/>
      <c r="JW30" s="12"/>
      <c r="JX30" s="12"/>
    </row>
    <row r="31" spans="2:284" outlineLevel="1">
      <c r="B31" t="s">
        <v>28</v>
      </c>
      <c r="C31" t="s">
        <v>51</v>
      </c>
      <c r="E31" s="11"/>
      <c r="F31" t="s">
        <v>149</v>
      </c>
      <c r="G31" s="12">
        <v>8.3333333333329998E-2</v>
      </c>
      <c r="I31" s="11">
        <f t="shared" si="2"/>
        <v>0</v>
      </c>
      <c r="J31" s="13" cm="1">
        <f t="array" ref="J31">MAX(IF($M$3:$DT$3=$J$3,M31:DT31))</f>
        <v>0</v>
      </c>
      <c r="K31" s="13" cm="1">
        <f t="array" ref="K31">MAX(IF($M$3:$DT$3=$J$3,M31:DT31))</f>
        <v>0</v>
      </c>
      <c r="L31" s="11"/>
      <c r="O31" s="12"/>
      <c r="P31" s="12"/>
      <c r="Q31" s="12"/>
      <c r="R31" s="12"/>
      <c r="V31" s="12"/>
      <c r="W31" s="12"/>
      <c r="X31" s="12"/>
      <c r="Y31" s="12"/>
      <c r="AC31" s="12"/>
      <c r="AD31" s="12"/>
      <c r="AE31" s="12"/>
      <c r="AF31" s="12"/>
      <c r="AJ31" s="12"/>
      <c r="AK31" s="12"/>
      <c r="AL31" s="12"/>
      <c r="AM31" s="12"/>
      <c r="AQ31" s="12"/>
      <c r="AR31" s="12">
        <v>0.5</v>
      </c>
      <c r="AS31" s="12"/>
      <c r="AT31" s="12">
        <v>0.5</v>
      </c>
      <c r="AX31" s="12"/>
      <c r="AY31" s="12">
        <v>0.5</v>
      </c>
      <c r="AZ31" s="12"/>
      <c r="BA31" s="12">
        <v>0.5</v>
      </c>
      <c r="BE31" s="12"/>
      <c r="BF31" s="12"/>
      <c r="BG31" s="12"/>
      <c r="BH31" s="12"/>
      <c r="BL31" s="12"/>
      <c r="BM31" s="12"/>
      <c r="BN31" s="12"/>
      <c r="BO31" s="12"/>
      <c r="BS31" s="12"/>
      <c r="BT31" s="12"/>
      <c r="BU31" s="12"/>
      <c r="BV31" s="12"/>
      <c r="BZ31" s="12"/>
      <c r="CA31" s="12">
        <v>1</v>
      </c>
      <c r="CB31" s="12"/>
      <c r="CC31" s="12">
        <v>1</v>
      </c>
      <c r="CG31" s="12"/>
      <c r="CH31" s="12">
        <v>1</v>
      </c>
      <c r="CI31" s="12"/>
      <c r="CJ31" s="12">
        <v>1</v>
      </c>
      <c r="CN31" s="12"/>
      <c r="CO31" s="12"/>
      <c r="CP31" s="12"/>
      <c r="CQ31" s="12"/>
      <c r="CU31" s="12"/>
      <c r="CV31" s="12"/>
      <c r="CW31" s="12"/>
      <c r="CX31" s="12"/>
      <c r="DB31" s="12"/>
      <c r="DC31" s="12"/>
      <c r="DD31" s="12"/>
      <c r="DE31" s="12"/>
      <c r="DI31" s="12"/>
      <c r="DJ31" s="12"/>
      <c r="DK31" s="12"/>
      <c r="DL31" s="12"/>
      <c r="DP31" s="12"/>
      <c r="DQ31" s="12"/>
      <c r="DR31" s="12"/>
      <c r="DS31" s="12"/>
      <c r="DW31" s="12"/>
      <c r="DX31" s="12"/>
      <c r="DY31" s="12"/>
      <c r="DZ31" s="12"/>
      <c r="ED31" s="12"/>
      <c r="EE31" s="12"/>
      <c r="EF31" s="12"/>
      <c r="EG31" s="12"/>
      <c r="EK31" s="12"/>
      <c r="EL31" s="12"/>
      <c r="EM31" s="12"/>
      <c r="EN31" s="12"/>
      <c r="ER31" s="12"/>
      <c r="ES31" s="12"/>
      <c r="ET31" s="12"/>
      <c r="EU31" s="12"/>
      <c r="EY31" s="12"/>
      <c r="EZ31" s="12"/>
      <c r="FA31" s="12"/>
      <c r="FB31" s="12"/>
      <c r="FF31" s="12"/>
      <c r="FG31" s="12"/>
      <c r="FH31" s="12"/>
      <c r="FI31" s="12"/>
      <c r="FM31" s="12"/>
      <c r="FN31" s="12"/>
      <c r="FO31" s="12"/>
      <c r="FP31" s="12"/>
      <c r="FT31" s="12"/>
      <c r="FU31" s="12"/>
      <c r="FV31" s="12"/>
      <c r="FW31" s="12"/>
      <c r="GA31" s="12"/>
      <c r="GB31" s="12"/>
      <c r="GC31" s="12"/>
      <c r="GD31" s="12"/>
      <c r="GH31" s="12"/>
      <c r="GI31" s="12"/>
      <c r="GJ31" s="12"/>
      <c r="GK31" s="12"/>
      <c r="GO31" s="12"/>
      <c r="GP31" s="12"/>
      <c r="GQ31" s="12"/>
      <c r="GR31" s="12"/>
      <c r="GV31" s="12"/>
      <c r="GW31" s="12"/>
      <c r="GX31" s="12"/>
      <c r="GY31" s="12"/>
      <c r="HC31" s="12"/>
      <c r="HD31" s="12"/>
      <c r="HE31" s="12"/>
      <c r="HF31" s="12"/>
      <c r="HJ31" s="12"/>
      <c r="HK31" s="12"/>
      <c r="HL31" s="12"/>
      <c r="HM31" s="12"/>
      <c r="HQ31" s="12"/>
      <c r="HR31" s="12"/>
      <c r="HS31" s="12"/>
      <c r="HT31" s="12"/>
      <c r="HX31" s="12"/>
      <c r="HY31" s="12"/>
      <c r="HZ31" s="12"/>
      <c r="IA31" s="12"/>
      <c r="IE31" s="12"/>
      <c r="IF31" s="12"/>
      <c r="IG31" s="12"/>
      <c r="IH31" s="12"/>
      <c r="IL31" s="12"/>
      <c r="IM31" s="12"/>
      <c r="IN31" s="12"/>
      <c r="IO31" s="12"/>
      <c r="IS31" s="12"/>
      <c r="IT31" s="12"/>
      <c r="IU31" s="12"/>
      <c r="IV31" s="12"/>
      <c r="IZ31" s="12"/>
      <c r="JA31" s="12"/>
      <c r="JB31" s="12"/>
      <c r="JC31" s="12"/>
      <c r="JG31" s="12"/>
      <c r="JH31" s="12"/>
      <c r="JI31" s="12"/>
      <c r="JJ31" s="12"/>
      <c r="JN31" s="12"/>
      <c r="JO31" s="12"/>
      <c r="JP31" s="12"/>
      <c r="JQ31" s="12"/>
      <c r="JU31" s="12"/>
      <c r="JV31" s="12"/>
      <c r="JW31" s="12"/>
      <c r="JX31" s="12"/>
    </row>
    <row r="32" spans="2:284" outlineLevel="1">
      <c r="B32" t="s">
        <v>28</v>
      </c>
      <c r="C32" t="s">
        <v>51</v>
      </c>
      <c r="E32" s="11"/>
      <c r="F32" t="s">
        <v>150</v>
      </c>
      <c r="G32" s="12">
        <v>8.3333333333329998E-2</v>
      </c>
      <c r="I32" s="11">
        <f t="shared" si="2"/>
        <v>0</v>
      </c>
      <c r="J32" s="13" cm="1">
        <f t="array" ref="J32">MAX(IF($M$3:$DT$3=$J$3,M32:DT32))</f>
        <v>0</v>
      </c>
      <c r="K32" s="13" cm="1">
        <f t="array" ref="K32">MAX(IF($M$3:$DT$3=$J$3,M32:DT32))</f>
        <v>0</v>
      </c>
      <c r="L32" s="11"/>
      <c r="O32" s="12"/>
      <c r="P32" s="12"/>
      <c r="Q32" s="12"/>
      <c r="R32" s="12"/>
      <c r="V32" s="12"/>
      <c r="W32" s="12"/>
      <c r="X32" s="12"/>
      <c r="Y32" s="12"/>
      <c r="AC32" s="12"/>
      <c r="AD32" s="12"/>
      <c r="AE32" s="12"/>
      <c r="AF32" s="12"/>
      <c r="AJ32" s="12"/>
      <c r="AK32" s="12"/>
      <c r="AL32" s="12"/>
      <c r="AM32" s="12"/>
      <c r="AQ32" s="12"/>
      <c r="AR32" s="12">
        <v>0.5</v>
      </c>
      <c r="AS32" s="12"/>
      <c r="AT32" s="12">
        <v>0.5</v>
      </c>
      <c r="AX32" s="12"/>
      <c r="AY32" s="12">
        <v>0.5</v>
      </c>
      <c r="AZ32" s="12"/>
      <c r="BA32" s="12">
        <v>0.5</v>
      </c>
      <c r="BE32" s="12"/>
      <c r="BF32" s="12"/>
      <c r="BG32" s="12"/>
      <c r="BH32" s="12"/>
      <c r="BL32" s="12"/>
      <c r="BM32" s="12"/>
      <c r="BN32" s="12"/>
      <c r="BO32" s="12"/>
      <c r="BS32" s="12"/>
      <c r="BT32" s="12"/>
      <c r="BU32" s="12"/>
      <c r="BV32" s="12"/>
      <c r="BZ32" s="12"/>
      <c r="CA32" s="12">
        <v>0.8</v>
      </c>
      <c r="CB32" s="12"/>
      <c r="CC32" s="12">
        <v>0.8</v>
      </c>
      <c r="CG32" s="12"/>
      <c r="CH32" s="12">
        <v>0.8</v>
      </c>
      <c r="CI32" s="12"/>
      <c r="CJ32" s="12">
        <v>0.8</v>
      </c>
      <c r="CN32" s="12"/>
      <c r="CO32" s="12"/>
      <c r="CP32" s="12"/>
      <c r="CQ32" s="12"/>
      <c r="CU32" s="12"/>
      <c r="CV32" s="12"/>
      <c r="CW32" s="12"/>
      <c r="CX32" s="12"/>
      <c r="DB32" s="12"/>
      <c r="DC32" s="12"/>
      <c r="DD32" s="12"/>
      <c r="DE32" s="12"/>
      <c r="DI32" s="12"/>
      <c r="DJ32" s="12"/>
      <c r="DK32" s="12"/>
      <c r="DL32" s="12"/>
      <c r="DP32" s="12"/>
      <c r="DQ32" s="12"/>
      <c r="DR32" s="12"/>
      <c r="DS32" s="12"/>
      <c r="DW32" s="12"/>
      <c r="DX32" s="12"/>
      <c r="DY32" s="12"/>
      <c r="DZ32" s="12"/>
      <c r="ED32" s="12"/>
      <c r="EE32" s="12"/>
      <c r="EF32" s="12"/>
      <c r="EG32" s="12"/>
      <c r="EK32" s="12"/>
      <c r="EL32" s="12"/>
      <c r="EM32" s="12"/>
      <c r="EN32" s="12"/>
      <c r="ER32" s="12"/>
      <c r="ES32" s="12"/>
      <c r="ET32" s="12"/>
      <c r="EU32" s="12"/>
      <c r="EY32" s="12"/>
      <c r="EZ32" s="12"/>
      <c r="FA32" s="12"/>
      <c r="FB32" s="12"/>
      <c r="FF32" s="12"/>
      <c r="FG32" s="12"/>
      <c r="FH32" s="12"/>
      <c r="FI32" s="12"/>
      <c r="FM32" s="12"/>
      <c r="FN32" s="12"/>
      <c r="FO32" s="12"/>
      <c r="FP32" s="12"/>
      <c r="FT32" s="12"/>
      <c r="FU32" s="12"/>
      <c r="FV32" s="12"/>
      <c r="FW32" s="12"/>
      <c r="GA32" s="12"/>
      <c r="GB32" s="12"/>
      <c r="GC32" s="12"/>
      <c r="GD32" s="12"/>
      <c r="GH32" s="12"/>
      <c r="GI32" s="12"/>
      <c r="GJ32" s="12"/>
      <c r="GK32" s="12"/>
      <c r="GO32" s="12"/>
      <c r="GP32" s="12"/>
      <c r="GQ32" s="12"/>
      <c r="GR32" s="12"/>
      <c r="GV32" s="12"/>
      <c r="GW32" s="12"/>
      <c r="GX32" s="12"/>
      <c r="GY32" s="12"/>
      <c r="HC32" s="12"/>
      <c r="HD32" s="12"/>
      <c r="HE32" s="12"/>
      <c r="HF32" s="12"/>
      <c r="HJ32" s="12"/>
      <c r="HK32" s="12"/>
      <c r="HL32" s="12"/>
      <c r="HM32" s="12"/>
      <c r="HQ32" s="12"/>
      <c r="HR32" s="12"/>
      <c r="HS32" s="12"/>
      <c r="HT32" s="12"/>
      <c r="HX32" s="12"/>
      <c r="HY32" s="12"/>
      <c r="HZ32" s="12"/>
      <c r="IA32" s="12"/>
      <c r="IE32" s="12"/>
      <c r="IF32" s="12"/>
      <c r="IG32" s="12"/>
      <c r="IH32" s="12"/>
      <c r="IL32" s="12"/>
      <c r="IM32" s="12"/>
      <c r="IN32" s="12"/>
      <c r="IO32" s="12"/>
      <c r="IS32" s="12"/>
      <c r="IT32" s="12"/>
      <c r="IU32" s="12"/>
      <c r="IV32" s="12"/>
      <c r="IZ32" s="12"/>
      <c r="JA32" s="12"/>
      <c r="JB32" s="12"/>
      <c r="JC32" s="12"/>
      <c r="JG32" s="12"/>
      <c r="JH32" s="12"/>
      <c r="JI32" s="12"/>
      <c r="JJ32" s="12"/>
      <c r="JN32" s="12"/>
      <c r="JO32" s="12"/>
      <c r="JP32" s="12"/>
      <c r="JQ32" s="12"/>
      <c r="JU32" s="12"/>
      <c r="JV32" s="12"/>
      <c r="JW32" s="12"/>
      <c r="JX32" s="12"/>
    </row>
    <row r="33" spans="2:284" outlineLevel="1">
      <c r="B33" t="s">
        <v>28</v>
      </c>
      <c r="C33" t="s">
        <v>51</v>
      </c>
      <c r="E33" s="11"/>
      <c r="F33" t="s">
        <v>151</v>
      </c>
      <c r="G33" s="12">
        <v>8.3333333333329998E-2</v>
      </c>
      <c r="I33" s="11">
        <f t="shared" si="2"/>
        <v>0</v>
      </c>
      <c r="J33" s="13" cm="1">
        <f t="array" ref="J33">MAX(IF($M$3:$DT$3=$J$3,M33:DT33))</f>
        <v>0</v>
      </c>
      <c r="K33" s="13" cm="1">
        <f t="array" ref="K33">MAX(IF($M$3:$DT$3=$J$3,M33:DT33))</f>
        <v>0</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c r="BL33" s="12"/>
      <c r="BM33" s="12"/>
      <c r="BN33" s="12"/>
      <c r="BO33" s="12"/>
      <c r="BS33" s="12"/>
      <c r="BT33" s="12"/>
      <c r="BU33" s="12"/>
      <c r="BV33" s="12"/>
      <c r="BZ33" s="12"/>
      <c r="CA33" s="12">
        <v>0.8</v>
      </c>
      <c r="CB33" s="12"/>
      <c r="CC33" s="12">
        <v>0.8</v>
      </c>
      <c r="CG33" s="12"/>
      <c r="CH33" s="12">
        <v>0.8</v>
      </c>
      <c r="CI33" s="12"/>
      <c r="CJ33" s="12">
        <v>0.8</v>
      </c>
      <c r="CN33" s="12"/>
      <c r="CO33" s="12"/>
      <c r="CP33" s="12"/>
      <c r="CQ33" s="12"/>
      <c r="CU33" s="12"/>
      <c r="CV33" s="12"/>
      <c r="CW33" s="12"/>
      <c r="CX33" s="12"/>
      <c r="DB33" s="12"/>
      <c r="DC33" s="12"/>
      <c r="DD33" s="12"/>
      <c r="DE33" s="12"/>
      <c r="DI33" s="12"/>
      <c r="DJ33" s="12"/>
      <c r="DK33" s="12"/>
      <c r="DL33" s="12"/>
      <c r="DP33" s="12"/>
      <c r="DQ33" s="12"/>
      <c r="DR33" s="12"/>
      <c r="DS33" s="12"/>
      <c r="DW33" s="12"/>
      <c r="DX33" s="12"/>
      <c r="DY33" s="12"/>
      <c r="DZ33" s="12"/>
      <c r="ED33" s="12"/>
      <c r="EE33" s="12"/>
      <c r="EF33" s="12"/>
      <c r="EG33" s="12"/>
      <c r="EK33" s="12"/>
      <c r="EL33" s="12"/>
      <c r="EM33" s="12"/>
      <c r="EN33" s="12"/>
      <c r="ER33" s="12"/>
      <c r="ES33" s="12"/>
      <c r="ET33" s="12"/>
      <c r="EU33" s="12"/>
      <c r="EY33" s="12"/>
      <c r="EZ33" s="12"/>
      <c r="FA33" s="12"/>
      <c r="FB33" s="12"/>
      <c r="FF33" s="12"/>
      <c r="FG33" s="12"/>
      <c r="FH33" s="12"/>
      <c r="FI33" s="12"/>
      <c r="FM33" s="12"/>
      <c r="FN33" s="12"/>
      <c r="FO33" s="12"/>
      <c r="FP33" s="12"/>
      <c r="FT33" s="12"/>
      <c r="FU33" s="12"/>
      <c r="FV33" s="12"/>
      <c r="FW33" s="12"/>
      <c r="GA33" s="12"/>
      <c r="GB33" s="12"/>
      <c r="GC33" s="12"/>
      <c r="GD33" s="12"/>
      <c r="GH33" s="12"/>
      <c r="GI33" s="12"/>
      <c r="GJ33" s="12"/>
      <c r="GK33" s="12"/>
      <c r="GO33" s="12"/>
      <c r="GP33" s="12"/>
      <c r="GQ33" s="12"/>
      <c r="GR33" s="12"/>
      <c r="GV33" s="12"/>
      <c r="GW33" s="12"/>
      <c r="GX33" s="12"/>
      <c r="GY33" s="12"/>
      <c r="HC33" s="12"/>
      <c r="HD33" s="12"/>
      <c r="HE33" s="12"/>
      <c r="HF33" s="12"/>
      <c r="HJ33" s="12"/>
      <c r="HK33" s="12"/>
      <c r="HL33" s="12"/>
      <c r="HM33" s="12"/>
      <c r="HQ33" s="12"/>
      <c r="HR33" s="12"/>
      <c r="HS33" s="12"/>
      <c r="HT33" s="12"/>
      <c r="HX33" s="12"/>
      <c r="HY33" s="12"/>
      <c r="HZ33" s="12"/>
      <c r="IA33" s="12"/>
      <c r="IE33" s="12"/>
      <c r="IF33" s="12"/>
      <c r="IG33" s="12"/>
      <c r="IH33" s="12"/>
      <c r="IL33" s="12"/>
      <c r="IM33" s="12"/>
      <c r="IN33" s="12"/>
      <c r="IO33" s="12"/>
      <c r="IS33" s="12"/>
      <c r="IT33" s="12"/>
      <c r="IU33" s="12"/>
      <c r="IV33" s="12"/>
      <c r="IZ33" s="12"/>
      <c r="JA33" s="12"/>
      <c r="JB33" s="12"/>
      <c r="JC33" s="12"/>
      <c r="JG33" s="12"/>
      <c r="JH33" s="12"/>
      <c r="JI33" s="12"/>
      <c r="JJ33" s="12"/>
      <c r="JN33" s="12"/>
      <c r="JO33" s="12"/>
      <c r="JP33" s="12"/>
      <c r="JQ33" s="12"/>
      <c r="JU33" s="12"/>
      <c r="JV33" s="12"/>
      <c r="JW33" s="12"/>
      <c r="JX33" s="12"/>
    </row>
    <row r="34" spans="2:284" outlineLevel="1">
      <c r="B34" t="s">
        <v>28</v>
      </c>
      <c r="C34" t="s">
        <v>51</v>
      </c>
      <c r="E34" s="11"/>
      <c r="F34" t="s">
        <v>152</v>
      </c>
      <c r="G34" s="12">
        <v>8.3333333333329998E-2</v>
      </c>
      <c r="I34" s="11">
        <f t="shared" si="2"/>
        <v>0</v>
      </c>
      <c r="J34" s="13" cm="1">
        <f t="array" ref="J34">MAX(IF($M$3:$DT$3=$J$3,M34:DT34))</f>
        <v>0</v>
      </c>
      <c r="K34" s="13" cm="1">
        <f t="array" ref="K34">MAX(IF($M$3:$DT$3=$J$3,M34:DT34))</f>
        <v>0</v>
      </c>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c r="BG34" s="12"/>
      <c r="BH34" s="12"/>
      <c r="BL34" s="12"/>
      <c r="BM34" s="12"/>
      <c r="BN34" s="12"/>
      <c r="BO34" s="12"/>
      <c r="BS34" s="12"/>
      <c r="BT34" s="12"/>
      <c r="BU34" s="12"/>
      <c r="BV34" s="12"/>
      <c r="BZ34" s="12"/>
      <c r="CA34" s="12">
        <v>0.8</v>
      </c>
      <c r="CB34" s="12"/>
      <c r="CC34" s="12">
        <v>0.8</v>
      </c>
      <c r="CG34" s="12"/>
      <c r="CH34" s="12">
        <v>0.8</v>
      </c>
      <c r="CI34" s="12"/>
      <c r="CJ34" s="12">
        <v>0.8</v>
      </c>
      <c r="CN34" s="12"/>
      <c r="CO34" s="12"/>
      <c r="CP34" s="12"/>
      <c r="CQ34" s="12"/>
      <c r="CU34" s="12"/>
      <c r="CV34" s="12"/>
      <c r="CW34" s="12"/>
      <c r="CX34" s="12"/>
      <c r="DB34" s="12"/>
      <c r="DC34" s="12"/>
      <c r="DD34" s="12"/>
      <c r="DE34" s="12"/>
      <c r="DI34" s="12"/>
      <c r="DJ34" s="12"/>
      <c r="DK34" s="12"/>
      <c r="DL34" s="12"/>
      <c r="DP34" s="12"/>
      <c r="DQ34" s="12"/>
      <c r="DR34" s="12"/>
      <c r="DS34" s="12"/>
      <c r="DW34" s="12"/>
      <c r="DX34" s="12"/>
      <c r="DY34" s="12"/>
      <c r="DZ34" s="12"/>
      <c r="ED34" s="12"/>
      <c r="EE34" s="12"/>
      <c r="EF34" s="12"/>
      <c r="EG34" s="12"/>
      <c r="EK34" s="12"/>
      <c r="EL34" s="12"/>
      <c r="EM34" s="12"/>
      <c r="EN34" s="12"/>
      <c r="ER34" s="12"/>
      <c r="ES34" s="12"/>
      <c r="ET34" s="12"/>
      <c r="EU34" s="12"/>
      <c r="EY34" s="12"/>
      <c r="EZ34" s="12"/>
      <c r="FA34" s="12"/>
      <c r="FB34" s="12"/>
      <c r="FF34" s="12"/>
      <c r="FG34" s="12"/>
      <c r="FH34" s="12"/>
      <c r="FI34" s="12"/>
      <c r="FM34" s="12"/>
      <c r="FN34" s="12"/>
      <c r="FO34" s="12"/>
      <c r="FP34" s="12"/>
      <c r="FT34" s="12"/>
      <c r="FU34" s="12"/>
      <c r="FV34" s="12"/>
      <c r="FW34" s="12"/>
      <c r="GA34" s="12"/>
      <c r="GB34" s="12"/>
      <c r="GC34" s="12"/>
      <c r="GD34" s="12"/>
      <c r="GH34" s="12"/>
      <c r="GI34" s="12"/>
      <c r="GJ34" s="12"/>
      <c r="GK34" s="12"/>
      <c r="GO34" s="12"/>
      <c r="GP34" s="12"/>
      <c r="GQ34" s="12"/>
      <c r="GR34" s="12"/>
      <c r="GV34" s="12"/>
      <c r="GW34" s="12"/>
      <c r="GX34" s="12"/>
      <c r="GY34" s="12"/>
      <c r="HC34" s="12"/>
      <c r="HD34" s="12"/>
      <c r="HE34" s="12"/>
      <c r="HF34" s="12"/>
      <c r="HJ34" s="12"/>
      <c r="HK34" s="12"/>
      <c r="HL34" s="12"/>
      <c r="HM34" s="12"/>
      <c r="HQ34" s="12"/>
      <c r="HR34" s="12"/>
      <c r="HS34" s="12"/>
      <c r="HT34" s="12"/>
      <c r="HX34" s="12"/>
      <c r="HY34" s="12"/>
      <c r="HZ34" s="12"/>
      <c r="IA34" s="12"/>
      <c r="IE34" s="12"/>
      <c r="IF34" s="12"/>
      <c r="IG34" s="12"/>
      <c r="IH34" s="12"/>
      <c r="IL34" s="12"/>
      <c r="IM34" s="12"/>
      <c r="IN34" s="12"/>
      <c r="IO34" s="12"/>
      <c r="IS34" s="12"/>
      <c r="IT34" s="12"/>
      <c r="IU34" s="12"/>
      <c r="IV34" s="12"/>
      <c r="IZ34" s="12"/>
      <c r="JA34" s="12"/>
      <c r="JB34" s="12"/>
      <c r="JC34" s="12"/>
      <c r="JG34" s="12"/>
      <c r="JH34" s="12"/>
      <c r="JI34" s="12"/>
      <c r="JJ34" s="12"/>
      <c r="JN34" s="12"/>
      <c r="JO34" s="12"/>
      <c r="JP34" s="12"/>
      <c r="JQ34" s="12"/>
      <c r="JU34" s="12"/>
      <c r="JV34" s="12"/>
      <c r="JW34" s="12"/>
      <c r="JX34" s="12"/>
    </row>
    <row r="35" spans="2:284" outlineLevel="1">
      <c r="B35" t="s">
        <v>28</v>
      </c>
      <c r="C35" t="s">
        <v>136</v>
      </c>
      <c r="E35" s="11"/>
      <c r="F35" t="s">
        <v>153</v>
      </c>
      <c r="G35" s="12">
        <v>0.16666666666666599</v>
      </c>
      <c r="I35" s="11">
        <f t="shared" si="2"/>
        <v>0</v>
      </c>
      <c r="J35" s="13" cm="1">
        <f t="array" ref="J35">MAX(IF($M$3:$DT$3=$J$3,M35:DT35))</f>
        <v>0</v>
      </c>
      <c r="K35" s="13" cm="1">
        <f t="array" ref="K35">MAX(IF($M$3:$DT$3=$J$3,M35:DT35))</f>
        <v>0</v>
      </c>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c r="BL35" s="12"/>
      <c r="BM35" s="12"/>
      <c r="BN35" s="12"/>
      <c r="BO35" s="12"/>
      <c r="BS35" s="12"/>
      <c r="BT35" s="12"/>
      <c r="BU35" s="12"/>
      <c r="BV35" s="12"/>
      <c r="BZ35" s="12"/>
      <c r="CA35" s="12"/>
      <c r="CB35" s="12"/>
      <c r="CC35" s="12"/>
      <c r="CG35" s="12"/>
      <c r="CH35" s="12"/>
      <c r="CI35" s="12"/>
      <c r="CJ35" s="12"/>
      <c r="CN35" s="12"/>
      <c r="CO35" s="12"/>
      <c r="CP35" s="12"/>
      <c r="CQ35" s="12"/>
      <c r="CU35" s="12"/>
      <c r="CV35" s="12"/>
      <c r="CW35" s="12"/>
      <c r="CX35" s="12"/>
      <c r="DB35" s="12"/>
      <c r="DC35" s="12"/>
      <c r="DD35" s="12"/>
      <c r="DE35" s="12"/>
      <c r="DI35" s="12"/>
      <c r="DJ35" s="12"/>
      <c r="DK35" s="12"/>
      <c r="DL35" s="12"/>
      <c r="DP35" s="12"/>
      <c r="DQ35" s="12"/>
      <c r="DR35" s="12"/>
      <c r="DS35" s="12"/>
      <c r="DW35" s="12"/>
      <c r="DX35" s="12"/>
      <c r="DY35" s="12"/>
      <c r="DZ35" s="12"/>
      <c r="ED35" s="12"/>
      <c r="EE35" s="12"/>
      <c r="EF35" s="12"/>
      <c r="EG35" s="12"/>
      <c r="EK35" s="12"/>
      <c r="EL35" s="12"/>
      <c r="EM35" s="12"/>
      <c r="EN35" s="12"/>
      <c r="ER35" s="12"/>
      <c r="ES35" s="12"/>
      <c r="ET35" s="12"/>
      <c r="EU35" s="12"/>
      <c r="EY35" s="12"/>
      <c r="EZ35" s="12"/>
      <c r="FA35" s="12"/>
      <c r="FB35" s="12"/>
      <c r="FF35" s="12"/>
      <c r="FG35" s="12"/>
      <c r="FH35" s="12"/>
      <c r="FI35" s="12"/>
      <c r="FM35" s="12"/>
      <c r="FN35" s="12"/>
      <c r="FO35" s="12"/>
      <c r="FP35" s="12"/>
      <c r="FT35" s="12"/>
      <c r="FU35" s="12"/>
      <c r="FV35" s="12"/>
      <c r="FW35" s="12"/>
      <c r="GA35" s="12"/>
      <c r="GB35" s="12"/>
      <c r="GC35" s="12"/>
      <c r="GD35" s="12"/>
      <c r="GH35" s="12"/>
      <c r="GI35" s="12"/>
      <c r="GJ35" s="12"/>
      <c r="GK35" s="12"/>
      <c r="GO35" s="12"/>
      <c r="GP35" s="12"/>
      <c r="GQ35" s="12"/>
      <c r="GR35" s="12"/>
      <c r="GV35" s="12"/>
      <c r="GW35" s="12"/>
      <c r="GX35" s="12"/>
      <c r="GY35" s="12"/>
      <c r="HC35" s="12"/>
      <c r="HD35" s="12"/>
      <c r="HE35" s="12"/>
      <c r="HF35" s="12"/>
      <c r="HJ35" s="12"/>
      <c r="HK35" s="12"/>
      <c r="HL35" s="12"/>
      <c r="HM35" s="12"/>
      <c r="HQ35" s="12"/>
      <c r="HR35" s="12"/>
      <c r="HS35" s="12"/>
      <c r="HT35" s="12"/>
      <c r="HX35" s="12"/>
      <c r="HY35" s="12"/>
      <c r="HZ35" s="12"/>
      <c r="IA35" s="12"/>
      <c r="IE35" s="12"/>
      <c r="IF35" s="12"/>
      <c r="IG35" s="12"/>
      <c r="IH35" s="12"/>
      <c r="IL35" s="12"/>
      <c r="IM35" s="12"/>
      <c r="IN35" s="12"/>
      <c r="IO35" s="12"/>
      <c r="IS35" s="12"/>
      <c r="IT35" s="12"/>
      <c r="IU35" s="12"/>
      <c r="IV35" s="12"/>
      <c r="IZ35" s="12"/>
      <c r="JA35" s="12"/>
      <c r="JB35" s="12"/>
      <c r="JC35" s="12"/>
      <c r="JG35" s="12"/>
      <c r="JH35" s="12"/>
      <c r="JI35" s="12"/>
      <c r="JJ35" s="12"/>
      <c r="JN35" s="12"/>
      <c r="JO35" s="12"/>
      <c r="JP35" s="12"/>
      <c r="JQ35" s="12"/>
      <c r="JU35" s="12"/>
      <c r="JV35" s="12"/>
      <c r="JW35" s="12"/>
      <c r="JX35" s="12"/>
    </row>
    <row r="36" spans="2:284" outlineLevel="1">
      <c r="B36" t="s">
        <v>28</v>
      </c>
      <c r="C36" t="s">
        <v>148</v>
      </c>
      <c r="E36" s="11"/>
      <c r="F36" t="s">
        <v>154</v>
      </c>
      <c r="G36" s="12">
        <v>0.16666666666659999</v>
      </c>
      <c r="I36" s="11">
        <f t="shared" si="2"/>
        <v>0</v>
      </c>
      <c r="J36" s="13" cm="1">
        <f t="array" ref="J36">MAX(IF($M$3:$DT$3=$J$3,M36:DT36))</f>
        <v>0</v>
      </c>
      <c r="K36" s="13" cm="1">
        <f t="array" ref="K36">MAX(IF($M$3:$DT$3=$J$3,M36:DT36))</f>
        <v>0</v>
      </c>
      <c r="L36" s="11"/>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E36" s="12"/>
      <c r="BF36" s="12"/>
      <c r="BG36" s="12"/>
      <c r="BH36" s="12"/>
      <c r="BL36" s="12"/>
      <c r="BM36" s="12"/>
      <c r="BN36" s="12"/>
      <c r="BO36" s="12"/>
      <c r="BS36" s="12"/>
      <c r="BT36" s="12"/>
      <c r="BU36" s="12"/>
      <c r="BV36" s="12"/>
      <c r="BZ36" s="12"/>
      <c r="CA36" s="12"/>
      <c r="CB36" s="12"/>
      <c r="CC36" s="12"/>
      <c r="CG36" s="12"/>
      <c r="CH36" s="12"/>
      <c r="CI36" s="12"/>
      <c r="CJ36" s="12"/>
      <c r="CN36" s="12"/>
      <c r="CO36" s="12"/>
      <c r="CP36" s="12"/>
      <c r="CQ36" s="12"/>
      <c r="CU36" s="12"/>
      <c r="CV36" s="12"/>
      <c r="CW36" s="12"/>
      <c r="CX36" s="12"/>
      <c r="DB36" s="12"/>
      <c r="DC36" s="12"/>
      <c r="DD36" s="12"/>
      <c r="DE36" s="12"/>
      <c r="DI36" s="12"/>
      <c r="DJ36" s="12"/>
      <c r="DK36" s="12"/>
      <c r="DL36" s="12"/>
      <c r="DP36" s="12"/>
      <c r="DQ36" s="12"/>
      <c r="DR36" s="12"/>
      <c r="DS36" s="12"/>
      <c r="DW36" s="12"/>
      <c r="DX36" s="12"/>
      <c r="DY36" s="12"/>
      <c r="DZ36" s="12"/>
      <c r="ED36" s="12"/>
      <c r="EE36" s="12"/>
      <c r="EF36" s="12"/>
      <c r="EG36" s="12"/>
      <c r="EK36" s="12"/>
      <c r="EL36" s="12"/>
      <c r="EM36" s="12"/>
      <c r="EN36" s="12"/>
      <c r="ER36" s="12"/>
      <c r="ES36" s="12"/>
      <c r="ET36" s="12"/>
      <c r="EU36" s="12"/>
      <c r="EY36" s="12"/>
      <c r="EZ36" s="12"/>
      <c r="FA36" s="12"/>
      <c r="FB36" s="12"/>
      <c r="FF36" s="12"/>
      <c r="FG36" s="12"/>
      <c r="FH36" s="12"/>
      <c r="FI36" s="12"/>
      <c r="FM36" s="12"/>
      <c r="FN36" s="12"/>
      <c r="FO36" s="12"/>
      <c r="FP36" s="12"/>
      <c r="FT36" s="12"/>
      <c r="FU36" s="12"/>
      <c r="FV36" s="12"/>
      <c r="FW36" s="12"/>
      <c r="GA36" s="12"/>
      <c r="GB36" s="12"/>
      <c r="GC36" s="12"/>
      <c r="GD36" s="12"/>
      <c r="GH36" s="12"/>
      <c r="GI36" s="12"/>
      <c r="GJ36" s="12"/>
      <c r="GK36" s="12"/>
      <c r="GO36" s="12"/>
      <c r="GP36" s="12"/>
      <c r="GQ36" s="12"/>
      <c r="GR36" s="12"/>
      <c r="GV36" s="12"/>
      <c r="GW36" s="12"/>
      <c r="GX36" s="12"/>
      <c r="GY36" s="12"/>
      <c r="HC36" s="12"/>
      <c r="HD36" s="12"/>
      <c r="HE36" s="12"/>
      <c r="HF36" s="12"/>
      <c r="HJ36" s="12"/>
      <c r="HK36" s="12"/>
      <c r="HL36" s="12"/>
      <c r="HM36" s="12"/>
      <c r="HQ36" s="12"/>
      <c r="HR36" s="12"/>
      <c r="HS36" s="12"/>
      <c r="HT36" s="12"/>
      <c r="HX36" s="12"/>
      <c r="HY36" s="12"/>
      <c r="HZ36" s="12"/>
      <c r="IA36" s="12"/>
      <c r="IE36" s="12"/>
      <c r="IF36" s="12"/>
      <c r="IG36" s="12"/>
      <c r="IH36" s="12"/>
      <c r="IL36" s="12"/>
      <c r="IM36" s="12"/>
      <c r="IN36" s="12"/>
      <c r="IO36" s="12"/>
      <c r="IS36" s="12"/>
      <c r="IT36" s="12"/>
      <c r="IU36" s="12"/>
      <c r="IV36" s="12"/>
      <c r="IZ36" s="12"/>
      <c r="JA36" s="12"/>
      <c r="JB36" s="12"/>
      <c r="JC36" s="12"/>
      <c r="JG36" s="12"/>
      <c r="JH36" s="12"/>
      <c r="JI36" s="12"/>
      <c r="JJ36" s="12"/>
      <c r="JN36" s="12"/>
      <c r="JO36" s="12"/>
      <c r="JP36" s="12"/>
      <c r="JQ36" s="12"/>
      <c r="JU36" s="12"/>
      <c r="JV36" s="12"/>
      <c r="JW36" s="12"/>
      <c r="JX36" s="12"/>
    </row>
    <row r="38" spans="2:284">
      <c r="B38" t="s">
        <v>27</v>
      </c>
      <c r="C38" s="21" t="s">
        <v>86</v>
      </c>
      <c r="D38" s="19">
        <v>45096</v>
      </c>
      <c r="E38" s="11">
        <v>5</v>
      </c>
      <c r="G38" s="12">
        <f>+SUM(G39:G50)</f>
        <v>0.99999999999959976</v>
      </c>
      <c r="I38" s="14">
        <f>+SUM(I39:I48)</f>
        <v>0</v>
      </c>
      <c r="J38" s="13">
        <f>+SUMPRODUCT(G39:G50,J39:J50)</f>
        <v>0</v>
      </c>
      <c r="K38" s="13">
        <f>+SUMPRODUCT(G39:G50,K39:K50)</f>
        <v>0</v>
      </c>
      <c r="L38" s="11"/>
      <c r="N38" s="14"/>
      <c r="U38" s="14"/>
      <c r="AB38" s="14"/>
    </row>
    <row r="39" spans="2:284" outlineLevel="1">
      <c r="B39" t="s">
        <v>28</v>
      </c>
      <c r="C39" t="s">
        <v>116</v>
      </c>
      <c r="E39" s="11"/>
      <c r="F39" t="s">
        <v>118</v>
      </c>
      <c r="G39" s="12">
        <v>8.3333333333299994E-2</v>
      </c>
      <c r="I39" s="11">
        <f t="shared" ref="I39:I50" si="3">+SUMIF($M$3:$ZL$3,I$3,$M39:$ZL39)</f>
        <v>0</v>
      </c>
      <c r="J39" s="13" cm="1">
        <f t="array" ref="J39">MAX(IF($M$3:$DT$3=$J$3,M39:DT39))</f>
        <v>0</v>
      </c>
      <c r="K39" s="13" cm="1">
        <f t="array" ref="K39">MAX(IF($M$3:$DT$3=$J$3,M39:DT39))</f>
        <v>0</v>
      </c>
      <c r="L39" s="11"/>
      <c r="O39" s="12"/>
      <c r="P39" s="12"/>
      <c r="Q39" s="12"/>
      <c r="R39" s="12"/>
      <c r="V39" s="12"/>
      <c r="W39" s="12">
        <v>0.5</v>
      </c>
      <c r="X39" s="12"/>
      <c r="Y39" s="12">
        <v>0.5</v>
      </c>
      <c r="AC39" s="12"/>
      <c r="AD39" s="12"/>
      <c r="AE39" s="12"/>
      <c r="AF39" s="12"/>
      <c r="AG39" t="s">
        <v>193</v>
      </c>
      <c r="AJ39" s="12"/>
      <c r="AK39" s="12"/>
      <c r="AL39" s="12"/>
      <c r="AM39" s="12"/>
      <c r="AN39" t="s">
        <v>193</v>
      </c>
      <c r="AQ39" s="12"/>
      <c r="AR39" s="12">
        <v>0.8</v>
      </c>
      <c r="AS39" s="12"/>
      <c r="AT39" s="12">
        <v>0.8</v>
      </c>
      <c r="AU39" t="s">
        <v>158</v>
      </c>
      <c r="AX39" s="12"/>
      <c r="AY39" s="12">
        <v>0.8</v>
      </c>
      <c r="AZ39" s="12"/>
      <c r="BA39" s="12">
        <v>0.8</v>
      </c>
      <c r="BE39" s="12"/>
      <c r="BF39" s="12"/>
      <c r="BG39" s="12"/>
      <c r="BH39" s="12"/>
      <c r="BL39" s="12"/>
      <c r="BM39" s="12"/>
      <c r="BN39" s="12"/>
      <c r="BO39" s="12"/>
      <c r="BS39" s="12"/>
      <c r="BT39" s="12"/>
      <c r="BU39" s="12"/>
      <c r="BV39" s="12"/>
      <c r="BZ39" s="12"/>
      <c r="CA39" s="12">
        <v>1</v>
      </c>
      <c r="CB39" s="12"/>
      <c r="CC39" s="12"/>
      <c r="CG39" s="12"/>
      <c r="CH39" s="12">
        <v>1</v>
      </c>
      <c r="CI39" s="12"/>
      <c r="CJ39" s="12"/>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c r="ED39" s="12"/>
      <c r="EE39" s="12"/>
      <c r="EF39" s="12"/>
      <c r="EG39" s="12"/>
      <c r="EK39" s="12"/>
      <c r="EL39" s="12"/>
      <c r="EM39" s="12"/>
      <c r="EN39" s="12"/>
      <c r="ER39" s="12"/>
      <c r="ES39" s="12"/>
      <c r="ET39" s="12"/>
      <c r="EU39" s="12"/>
      <c r="EY39" s="12"/>
      <c r="EZ39" s="12"/>
      <c r="FA39" s="12"/>
      <c r="FB39" s="12"/>
      <c r="FF39" s="12"/>
      <c r="FG39" s="12"/>
      <c r="FH39" s="12"/>
      <c r="FI39" s="12"/>
      <c r="FM39" s="12"/>
      <c r="FN39" s="12"/>
      <c r="FO39" s="12"/>
      <c r="FP39" s="12"/>
      <c r="FT39" s="12"/>
      <c r="FU39" s="12"/>
      <c r="FV39" s="12"/>
      <c r="FW39" s="12"/>
      <c r="GA39" s="12"/>
      <c r="GB39" s="12"/>
      <c r="GC39" s="12"/>
      <c r="GD39" s="12"/>
      <c r="GH39" s="12"/>
      <c r="GI39" s="12"/>
      <c r="GJ39" s="12"/>
      <c r="GK39" s="12"/>
      <c r="GO39" s="12"/>
      <c r="GP39" s="12"/>
      <c r="GQ39" s="12"/>
      <c r="GR39" s="12"/>
      <c r="GV39" s="12"/>
      <c r="GW39" s="12"/>
      <c r="GX39" s="12"/>
      <c r="GY39" s="12"/>
      <c r="HC39" s="12"/>
      <c r="HD39" s="12"/>
      <c r="HE39" s="12"/>
      <c r="HF39" s="12"/>
      <c r="HJ39" s="12"/>
      <c r="HK39" s="12"/>
      <c r="HL39" s="12"/>
      <c r="HM39" s="12"/>
      <c r="HQ39" s="12"/>
      <c r="HR39" s="12"/>
      <c r="HS39" s="12"/>
      <c r="HT39" s="12"/>
      <c r="HX39" s="12"/>
      <c r="HY39" s="12"/>
      <c r="HZ39" s="12"/>
      <c r="IA39" s="12"/>
      <c r="IE39" s="12"/>
      <c r="IF39" s="12"/>
      <c r="IG39" s="12"/>
      <c r="IH39" s="12"/>
      <c r="IL39" s="12"/>
      <c r="IM39" s="12"/>
      <c r="IN39" s="12"/>
      <c r="IO39" s="12"/>
      <c r="IS39" s="12"/>
      <c r="IT39" s="12"/>
      <c r="IU39" s="12"/>
      <c r="IV39" s="12"/>
      <c r="IZ39" s="12"/>
      <c r="JA39" s="12"/>
      <c r="JB39" s="12"/>
      <c r="JC39" s="12"/>
      <c r="JG39" s="12"/>
      <c r="JH39" s="12"/>
      <c r="JI39" s="12"/>
      <c r="JJ39" s="12"/>
      <c r="JN39" s="12"/>
      <c r="JO39" s="12"/>
      <c r="JP39" s="12"/>
      <c r="JQ39" s="12"/>
      <c r="JU39" s="12"/>
      <c r="JV39" s="12"/>
      <c r="JW39" s="12"/>
      <c r="JX39" s="12"/>
    </row>
    <row r="40" spans="2:284" outlineLevel="1">
      <c r="B40" t="s">
        <v>28</v>
      </c>
      <c r="C40" t="s">
        <v>116</v>
      </c>
      <c r="E40" s="11"/>
      <c r="F40" t="s">
        <v>119</v>
      </c>
      <c r="G40" s="12">
        <v>8.3333333333299994E-2</v>
      </c>
      <c r="I40" s="11">
        <f t="shared" si="3"/>
        <v>0</v>
      </c>
      <c r="J40" s="13" cm="1">
        <f t="array" ref="J40">MAX(IF($M$3:$DT$3=$J$3,M40:DT40))</f>
        <v>0</v>
      </c>
      <c r="K40" s="13" cm="1">
        <f t="array" ref="K40">MAX(IF($M$3:$DT$3=$J$3,M40:DT40))</f>
        <v>0</v>
      </c>
      <c r="L40" s="11"/>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c r="BG40" s="12"/>
      <c r="BH40" s="12"/>
      <c r="BL40" s="12"/>
      <c r="BM40" s="12"/>
      <c r="BN40" s="12"/>
      <c r="BO40" s="12"/>
      <c r="BS40" s="12"/>
      <c r="BT40" s="12"/>
      <c r="BU40" s="12"/>
      <c r="BV40" s="12"/>
      <c r="BZ40" s="12"/>
      <c r="CA40" s="12">
        <v>1</v>
      </c>
      <c r="CB40" s="12"/>
      <c r="CC40" s="12"/>
      <c r="CG40" s="12"/>
      <c r="CH40" s="12">
        <v>1</v>
      </c>
      <c r="CI40" s="12"/>
      <c r="CJ40" s="12"/>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c r="ED40" s="12"/>
      <c r="EE40" s="12"/>
      <c r="EF40" s="12"/>
      <c r="EG40" s="12"/>
      <c r="EK40" s="12"/>
      <c r="EL40" s="12"/>
      <c r="EM40" s="12"/>
      <c r="EN40" s="12"/>
      <c r="ER40" s="12"/>
      <c r="ES40" s="12"/>
      <c r="ET40" s="12"/>
      <c r="EU40" s="12"/>
      <c r="EY40" s="12"/>
      <c r="EZ40" s="12"/>
      <c r="FA40" s="12"/>
      <c r="FB40" s="12"/>
      <c r="FF40" s="12"/>
      <c r="FG40" s="12"/>
      <c r="FH40" s="12"/>
      <c r="FI40" s="12"/>
      <c r="FM40" s="12"/>
      <c r="FN40" s="12"/>
      <c r="FO40" s="12"/>
      <c r="FP40" s="12"/>
      <c r="FT40" s="12"/>
      <c r="FU40" s="12"/>
      <c r="FV40" s="12"/>
      <c r="FW40" s="12"/>
      <c r="GA40" s="12"/>
      <c r="GB40" s="12"/>
      <c r="GC40" s="12"/>
      <c r="GD40" s="12"/>
      <c r="GH40" s="12"/>
      <c r="GI40" s="12"/>
      <c r="GJ40" s="12"/>
      <c r="GK40" s="12"/>
      <c r="GO40" s="12"/>
      <c r="GP40" s="12"/>
      <c r="GQ40" s="12"/>
      <c r="GR40" s="12"/>
      <c r="GV40" s="12"/>
      <c r="GW40" s="12"/>
      <c r="GX40" s="12"/>
      <c r="GY40" s="12"/>
      <c r="HC40" s="12"/>
      <c r="HD40" s="12"/>
      <c r="HE40" s="12"/>
      <c r="HF40" s="12"/>
      <c r="HJ40" s="12"/>
      <c r="HK40" s="12"/>
      <c r="HL40" s="12"/>
      <c r="HM40" s="12"/>
      <c r="HQ40" s="12"/>
      <c r="HR40" s="12"/>
      <c r="HS40" s="12"/>
      <c r="HT40" s="12"/>
      <c r="HX40" s="12"/>
      <c r="HY40" s="12"/>
      <c r="HZ40" s="12"/>
      <c r="IA40" s="12"/>
      <c r="IE40" s="12"/>
      <c r="IF40" s="12"/>
      <c r="IG40" s="12"/>
      <c r="IH40" s="12"/>
      <c r="IL40" s="12"/>
      <c r="IM40" s="12"/>
      <c r="IN40" s="12"/>
      <c r="IO40" s="12"/>
      <c r="IS40" s="12"/>
      <c r="IT40" s="12"/>
      <c r="IU40" s="12"/>
      <c r="IV40" s="12"/>
      <c r="IZ40" s="12"/>
      <c r="JA40" s="12"/>
      <c r="JB40" s="12"/>
      <c r="JC40" s="12"/>
      <c r="JG40" s="12"/>
      <c r="JH40" s="12"/>
      <c r="JI40" s="12"/>
      <c r="JJ40" s="12"/>
      <c r="JN40" s="12"/>
      <c r="JO40" s="12"/>
      <c r="JP40" s="12"/>
      <c r="JQ40" s="12"/>
      <c r="JU40" s="12"/>
      <c r="JV40" s="12"/>
      <c r="JW40" s="12"/>
      <c r="JX40" s="12"/>
    </row>
    <row r="41" spans="2:284" outlineLevel="1">
      <c r="B41" t="s">
        <v>28</v>
      </c>
      <c r="C41" t="s">
        <v>116</v>
      </c>
      <c r="E41" s="11"/>
      <c r="F41" t="s">
        <v>120</v>
      </c>
      <c r="G41" s="12">
        <v>8.3333333333299994E-2</v>
      </c>
      <c r="I41" s="11">
        <f t="shared" si="3"/>
        <v>0</v>
      </c>
      <c r="J41" s="13" cm="1">
        <f t="array" ref="J41">MAX(IF($M$3:$DT$3=$J$3,M41:DT41))</f>
        <v>0</v>
      </c>
      <c r="K41" s="13" cm="1">
        <f t="array" ref="K41">MAX(IF($M$3:$DT$3=$J$3,M41:DT41))</f>
        <v>0</v>
      </c>
      <c r="L41" s="11"/>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c r="BG41" s="12"/>
      <c r="BH41" s="12"/>
      <c r="BL41" s="12"/>
      <c r="BM41" s="12"/>
      <c r="BN41" s="12"/>
      <c r="BO41" s="12"/>
      <c r="BS41" s="12"/>
      <c r="BT41" s="12"/>
      <c r="BU41" s="12"/>
      <c r="BV41" s="12"/>
      <c r="BZ41" s="12"/>
      <c r="CA41" s="12">
        <v>1</v>
      </c>
      <c r="CB41" s="12"/>
      <c r="CC41" s="12"/>
      <c r="CG41" s="12"/>
      <c r="CH41" s="12">
        <v>1</v>
      </c>
      <c r="CI41" s="12"/>
      <c r="CJ41" s="12"/>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c r="ED41" s="12"/>
      <c r="EE41" s="12"/>
      <c r="EF41" s="12"/>
      <c r="EG41" s="12"/>
      <c r="EK41" s="12"/>
      <c r="EL41" s="12"/>
      <c r="EM41" s="12"/>
      <c r="EN41" s="12"/>
      <c r="ER41" s="12"/>
      <c r="ES41" s="12"/>
      <c r="ET41" s="12"/>
      <c r="EU41" s="12"/>
      <c r="EY41" s="12"/>
      <c r="EZ41" s="12"/>
      <c r="FA41" s="12"/>
      <c r="FB41" s="12"/>
      <c r="FF41" s="12"/>
      <c r="FG41" s="12"/>
      <c r="FH41" s="12"/>
      <c r="FI41" s="12"/>
      <c r="FM41" s="12"/>
      <c r="FN41" s="12"/>
      <c r="FO41" s="12"/>
      <c r="FP41" s="12"/>
      <c r="FT41" s="12"/>
      <c r="FU41" s="12"/>
      <c r="FV41" s="12"/>
      <c r="FW41" s="12"/>
      <c r="GA41" s="12"/>
      <c r="GB41" s="12"/>
      <c r="GC41" s="12"/>
      <c r="GD41" s="12"/>
      <c r="GH41" s="12"/>
      <c r="GI41" s="12"/>
      <c r="GJ41" s="12"/>
      <c r="GK41" s="12"/>
      <c r="GO41" s="12"/>
      <c r="GP41" s="12"/>
      <c r="GQ41" s="12"/>
      <c r="GR41" s="12"/>
      <c r="GV41" s="12"/>
      <c r="GW41" s="12"/>
      <c r="GX41" s="12"/>
      <c r="GY41" s="12"/>
      <c r="HC41" s="12"/>
      <c r="HD41" s="12"/>
      <c r="HE41" s="12"/>
      <c r="HF41" s="12"/>
      <c r="HJ41" s="12"/>
      <c r="HK41" s="12"/>
      <c r="HL41" s="12"/>
      <c r="HM41" s="12"/>
      <c r="HQ41" s="12"/>
      <c r="HR41" s="12"/>
      <c r="HS41" s="12"/>
      <c r="HT41" s="12"/>
      <c r="HX41" s="12"/>
      <c r="HY41" s="12"/>
      <c r="HZ41" s="12"/>
      <c r="IA41" s="12"/>
      <c r="IE41" s="12"/>
      <c r="IF41" s="12"/>
      <c r="IG41" s="12"/>
      <c r="IH41" s="12"/>
      <c r="IL41" s="12"/>
      <c r="IM41" s="12"/>
      <c r="IN41" s="12"/>
      <c r="IO41" s="12"/>
      <c r="IS41" s="12"/>
      <c r="IT41" s="12"/>
      <c r="IU41" s="12"/>
      <c r="IV41" s="12"/>
      <c r="IZ41" s="12"/>
      <c r="JA41" s="12"/>
      <c r="JB41" s="12"/>
      <c r="JC41" s="12"/>
      <c r="JG41" s="12"/>
      <c r="JH41" s="12"/>
      <c r="JI41" s="12"/>
      <c r="JJ41" s="12"/>
      <c r="JN41" s="12"/>
      <c r="JO41" s="12"/>
      <c r="JP41" s="12"/>
      <c r="JQ41" s="12"/>
      <c r="JU41" s="12"/>
      <c r="JV41" s="12"/>
      <c r="JW41" s="12"/>
      <c r="JX41" s="12"/>
    </row>
    <row r="42" spans="2:284" outlineLevel="1">
      <c r="B42" t="s">
        <v>28</v>
      </c>
      <c r="C42" t="s">
        <v>116</v>
      </c>
      <c r="E42" s="11"/>
      <c r="F42" t="s">
        <v>121</v>
      </c>
      <c r="G42" s="12">
        <v>8.3333333333299994E-2</v>
      </c>
      <c r="I42" s="11">
        <f t="shared" si="3"/>
        <v>0</v>
      </c>
      <c r="J42" s="13" cm="1">
        <f t="array" ref="J42">MAX(IF($M$3:$DT$3=$J$3,M42:DT42))</f>
        <v>0</v>
      </c>
      <c r="K42" s="13" cm="1">
        <f t="array" ref="K42">MAX(IF($M$3:$DT$3=$J$3,M42:DT42))</f>
        <v>0</v>
      </c>
      <c r="L42" s="11"/>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c r="BN42" s="12"/>
      <c r="BO42" s="12"/>
      <c r="BS42" s="12"/>
      <c r="BT42" s="12"/>
      <c r="BU42" s="12"/>
      <c r="BV42" s="12"/>
      <c r="BZ42" s="12"/>
      <c r="CA42" s="12">
        <v>1</v>
      </c>
      <c r="CB42" s="12"/>
      <c r="CC42" s="12"/>
      <c r="CG42" s="12"/>
      <c r="CH42" s="12">
        <v>1</v>
      </c>
      <c r="CI42" s="12"/>
      <c r="CJ42" s="12"/>
      <c r="CN42" s="12"/>
      <c r="CO42" s="12"/>
      <c r="CP42" s="12"/>
      <c r="CQ42" s="12"/>
      <c r="CU42" s="12"/>
      <c r="CV42" s="12"/>
      <c r="CW42" s="12"/>
      <c r="CX42" s="12"/>
      <c r="DB42" s="12"/>
      <c r="DC42" s="12"/>
      <c r="DD42" s="12"/>
      <c r="DE42" s="12"/>
      <c r="DI42" s="12"/>
      <c r="DJ42" s="12"/>
      <c r="DK42" s="12"/>
      <c r="DL42" s="12"/>
      <c r="DP42" s="12"/>
      <c r="DQ42" s="12"/>
      <c r="DR42" s="12"/>
      <c r="DS42" s="12"/>
      <c r="DW42" s="12"/>
      <c r="DX42" s="12"/>
      <c r="DY42" s="12"/>
      <c r="DZ42" s="12"/>
      <c r="ED42" s="12"/>
      <c r="EE42" s="12"/>
      <c r="EF42" s="12"/>
      <c r="EG42" s="12"/>
      <c r="EK42" s="12"/>
      <c r="EL42" s="12"/>
      <c r="EM42" s="12"/>
      <c r="EN42" s="12"/>
      <c r="ER42" s="12"/>
      <c r="ES42" s="12"/>
      <c r="ET42" s="12"/>
      <c r="EU42" s="12"/>
      <c r="EY42" s="12"/>
      <c r="EZ42" s="12"/>
      <c r="FA42" s="12"/>
      <c r="FB42" s="12"/>
      <c r="FF42" s="12"/>
      <c r="FG42" s="12"/>
      <c r="FH42" s="12"/>
      <c r="FI42" s="12"/>
      <c r="FM42" s="12"/>
      <c r="FN42" s="12"/>
      <c r="FO42" s="12"/>
      <c r="FP42" s="12"/>
      <c r="FT42" s="12"/>
      <c r="FU42" s="12"/>
      <c r="FV42" s="12"/>
      <c r="FW42" s="12"/>
      <c r="GA42" s="12"/>
      <c r="GB42" s="12"/>
      <c r="GC42" s="12"/>
      <c r="GD42" s="12"/>
      <c r="GH42" s="12"/>
      <c r="GI42" s="12"/>
      <c r="GJ42" s="12"/>
      <c r="GK42" s="12"/>
      <c r="GO42" s="12"/>
      <c r="GP42" s="12"/>
      <c r="GQ42" s="12"/>
      <c r="GR42" s="12"/>
      <c r="GV42" s="12"/>
      <c r="GW42" s="12"/>
      <c r="GX42" s="12"/>
      <c r="GY42" s="12"/>
      <c r="HC42" s="12"/>
      <c r="HD42" s="12"/>
      <c r="HE42" s="12"/>
      <c r="HF42" s="12"/>
      <c r="HJ42" s="12"/>
      <c r="HK42" s="12"/>
      <c r="HL42" s="12"/>
      <c r="HM42" s="12"/>
      <c r="HQ42" s="12"/>
      <c r="HR42" s="12"/>
      <c r="HS42" s="12"/>
      <c r="HT42" s="12"/>
      <c r="HX42" s="12"/>
      <c r="HY42" s="12"/>
      <c r="HZ42" s="12"/>
      <c r="IA42" s="12"/>
      <c r="IE42" s="12"/>
      <c r="IF42" s="12"/>
      <c r="IG42" s="12"/>
      <c r="IH42" s="12"/>
      <c r="IL42" s="12"/>
      <c r="IM42" s="12"/>
      <c r="IN42" s="12"/>
      <c r="IO42" s="12"/>
      <c r="IS42" s="12"/>
      <c r="IT42" s="12"/>
      <c r="IU42" s="12"/>
      <c r="IV42" s="12"/>
      <c r="IZ42" s="12"/>
      <c r="JA42" s="12"/>
      <c r="JB42" s="12"/>
      <c r="JC42" s="12"/>
      <c r="JG42" s="12"/>
      <c r="JH42" s="12"/>
      <c r="JI42" s="12"/>
      <c r="JJ42" s="12"/>
      <c r="JN42" s="12"/>
      <c r="JO42" s="12"/>
      <c r="JP42" s="12"/>
      <c r="JQ42" s="12"/>
      <c r="JU42" s="12"/>
      <c r="JV42" s="12"/>
      <c r="JW42" s="12"/>
      <c r="JX42" s="12"/>
    </row>
    <row r="43" spans="2:284" outlineLevel="1">
      <c r="B43" t="s">
        <v>28</v>
      </c>
      <c r="C43" t="s">
        <v>116</v>
      </c>
      <c r="E43" s="11"/>
      <c r="F43" t="s">
        <v>122</v>
      </c>
      <c r="G43" s="12">
        <v>8.3333333333299994E-2</v>
      </c>
      <c r="I43" s="11">
        <f t="shared" si="3"/>
        <v>0</v>
      </c>
      <c r="J43" s="13" cm="1">
        <f t="array" ref="J43">MAX(IF($M$3:$DT$3=$J$3,M43:DT43))</f>
        <v>0</v>
      </c>
      <c r="K43" s="13" cm="1">
        <f t="array" ref="K43">MAX(IF($M$3:$DT$3=$J$3,M43:DT43))</f>
        <v>0</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c r="BG43" s="12"/>
      <c r="BH43" s="12"/>
      <c r="BL43" s="12"/>
      <c r="BM43" s="12"/>
      <c r="BN43" s="12"/>
      <c r="BO43" s="12"/>
      <c r="BS43" s="12"/>
      <c r="BT43" s="12"/>
      <c r="BU43" s="12"/>
      <c r="BV43" s="12"/>
      <c r="BZ43" s="12"/>
      <c r="CA43" s="12">
        <v>1</v>
      </c>
      <c r="CB43" s="12"/>
      <c r="CC43" s="12"/>
      <c r="CG43" s="12"/>
      <c r="CH43" s="12">
        <v>1</v>
      </c>
      <c r="CI43" s="12"/>
      <c r="CJ43" s="12"/>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c r="ED43" s="12"/>
      <c r="EE43" s="12"/>
      <c r="EF43" s="12"/>
      <c r="EG43" s="12"/>
      <c r="EK43" s="12"/>
      <c r="EL43" s="12"/>
      <c r="EM43" s="12"/>
      <c r="EN43" s="12"/>
      <c r="ER43" s="12"/>
      <c r="ES43" s="12"/>
      <c r="ET43" s="12"/>
      <c r="EU43" s="12"/>
      <c r="EY43" s="12"/>
      <c r="EZ43" s="12"/>
      <c r="FA43" s="12"/>
      <c r="FB43" s="12"/>
      <c r="FF43" s="12"/>
      <c r="FG43" s="12"/>
      <c r="FH43" s="12"/>
      <c r="FI43" s="12"/>
      <c r="FM43" s="12"/>
      <c r="FN43" s="12"/>
      <c r="FO43" s="12"/>
      <c r="FP43" s="12"/>
      <c r="FT43" s="12"/>
      <c r="FU43" s="12"/>
      <c r="FV43" s="12"/>
      <c r="FW43" s="12"/>
      <c r="GA43" s="12"/>
      <c r="GB43" s="12"/>
      <c r="GC43" s="12"/>
      <c r="GD43" s="12"/>
      <c r="GH43" s="12"/>
      <c r="GI43" s="12"/>
      <c r="GJ43" s="12"/>
      <c r="GK43" s="12"/>
      <c r="GO43" s="12"/>
      <c r="GP43" s="12"/>
      <c r="GQ43" s="12"/>
      <c r="GR43" s="12"/>
      <c r="GV43" s="12"/>
      <c r="GW43" s="12"/>
      <c r="GX43" s="12"/>
      <c r="GY43" s="12"/>
      <c r="HC43" s="12"/>
      <c r="HD43" s="12"/>
      <c r="HE43" s="12"/>
      <c r="HF43" s="12"/>
      <c r="HJ43" s="12"/>
      <c r="HK43" s="12"/>
      <c r="HL43" s="12"/>
      <c r="HM43" s="12"/>
      <c r="HQ43" s="12"/>
      <c r="HR43" s="12"/>
      <c r="HS43" s="12"/>
      <c r="HT43" s="12"/>
      <c r="HX43" s="12"/>
      <c r="HY43" s="12"/>
      <c r="HZ43" s="12"/>
      <c r="IA43" s="12"/>
      <c r="IE43" s="12"/>
      <c r="IF43" s="12"/>
      <c r="IG43" s="12"/>
      <c r="IH43" s="12"/>
      <c r="IL43" s="12"/>
      <c r="IM43" s="12"/>
      <c r="IN43" s="12"/>
      <c r="IO43" s="12"/>
      <c r="IS43" s="12"/>
      <c r="IT43" s="12"/>
      <c r="IU43" s="12"/>
      <c r="IV43" s="12"/>
      <c r="IZ43" s="12"/>
      <c r="JA43" s="12"/>
      <c r="JB43" s="12"/>
      <c r="JC43" s="12"/>
      <c r="JG43" s="12"/>
      <c r="JH43" s="12"/>
      <c r="JI43" s="12"/>
      <c r="JJ43" s="12"/>
      <c r="JN43" s="12"/>
      <c r="JO43" s="12"/>
      <c r="JP43" s="12"/>
      <c r="JQ43" s="12"/>
      <c r="JU43" s="12"/>
      <c r="JV43" s="12"/>
      <c r="JW43" s="12"/>
      <c r="JX43" s="12"/>
    </row>
    <row r="44" spans="2:284" outlineLevel="1">
      <c r="B44" t="s">
        <v>28</v>
      </c>
      <c r="C44" t="s">
        <v>116</v>
      </c>
      <c r="E44" s="11"/>
      <c r="F44" t="s">
        <v>123</v>
      </c>
      <c r="G44" s="12">
        <v>8.3333333333299994E-2</v>
      </c>
      <c r="I44" s="11">
        <f t="shared" si="3"/>
        <v>0</v>
      </c>
      <c r="J44" s="13" cm="1">
        <f t="array" ref="J44">MAX(IF($M$3:$DT$3=$J$3,M44:DT44))</f>
        <v>0</v>
      </c>
      <c r="K44" s="13" cm="1">
        <f t="array" ref="K44">MAX(IF($M$3:$DT$3=$J$3,M44:DT44))</f>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c r="BU44" s="12"/>
      <c r="BV44" s="12"/>
      <c r="BZ44" s="12"/>
      <c r="CA44" s="12">
        <v>1</v>
      </c>
      <c r="CB44" s="12"/>
      <c r="CC44" s="12"/>
      <c r="CG44" s="12"/>
      <c r="CH44" s="12">
        <v>1</v>
      </c>
      <c r="CI44" s="12"/>
      <c r="CJ44" s="12"/>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c r="ED44" s="12"/>
      <c r="EE44" s="12"/>
      <c r="EF44" s="12"/>
      <c r="EG44" s="12"/>
      <c r="EK44" s="12"/>
      <c r="EL44" s="12"/>
      <c r="EM44" s="12"/>
      <c r="EN44" s="12"/>
      <c r="ER44" s="12"/>
      <c r="ES44" s="12"/>
      <c r="ET44" s="12"/>
      <c r="EU44" s="12"/>
      <c r="EY44" s="12"/>
      <c r="EZ44" s="12"/>
      <c r="FA44" s="12"/>
      <c r="FB44" s="12"/>
      <c r="FF44" s="12"/>
      <c r="FG44" s="12"/>
      <c r="FH44" s="12"/>
      <c r="FI44" s="12"/>
      <c r="FM44" s="12"/>
      <c r="FN44" s="12"/>
      <c r="FO44" s="12"/>
      <c r="FP44" s="12"/>
      <c r="FT44" s="12"/>
      <c r="FU44" s="12"/>
      <c r="FV44" s="12"/>
      <c r="FW44" s="12"/>
      <c r="GA44" s="12"/>
      <c r="GB44" s="12"/>
      <c r="GC44" s="12"/>
      <c r="GD44" s="12"/>
      <c r="GH44" s="12"/>
      <c r="GI44" s="12"/>
      <c r="GJ44" s="12"/>
      <c r="GK44" s="12"/>
      <c r="GO44" s="12"/>
      <c r="GP44" s="12"/>
      <c r="GQ44" s="12"/>
      <c r="GR44" s="12"/>
      <c r="GV44" s="12"/>
      <c r="GW44" s="12"/>
      <c r="GX44" s="12"/>
      <c r="GY44" s="12"/>
      <c r="HC44" s="12"/>
      <c r="HD44" s="12"/>
      <c r="HE44" s="12"/>
      <c r="HF44" s="12"/>
      <c r="HJ44" s="12"/>
      <c r="HK44" s="12"/>
      <c r="HL44" s="12"/>
      <c r="HM44" s="12"/>
      <c r="HQ44" s="12"/>
      <c r="HR44" s="12"/>
      <c r="HS44" s="12"/>
      <c r="HT44" s="12"/>
      <c r="HX44" s="12"/>
      <c r="HY44" s="12"/>
      <c r="HZ44" s="12"/>
      <c r="IA44" s="12"/>
      <c r="IE44" s="12"/>
      <c r="IF44" s="12"/>
      <c r="IG44" s="12"/>
      <c r="IH44" s="12"/>
      <c r="IL44" s="12"/>
      <c r="IM44" s="12"/>
      <c r="IN44" s="12"/>
      <c r="IO44" s="12"/>
      <c r="IS44" s="12"/>
      <c r="IT44" s="12"/>
      <c r="IU44" s="12"/>
      <c r="IV44" s="12"/>
      <c r="IZ44" s="12"/>
      <c r="JA44" s="12"/>
      <c r="JB44" s="12"/>
      <c r="JC44" s="12"/>
      <c r="JG44" s="12"/>
      <c r="JH44" s="12"/>
      <c r="JI44" s="12"/>
      <c r="JJ44" s="12"/>
      <c r="JN44" s="12"/>
      <c r="JO44" s="12"/>
      <c r="JP44" s="12"/>
      <c r="JQ44" s="12"/>
      <c r="JU44" s="12"/>
      <c r="JV44" s="12"/>
      <c r="JW44" s="12"/>
      <c r="JX44" s="12"/>
    </row>
    <row r="45" spans="2:284" outlineLevel="1">
      <c r="B45" t="s">
        <v>28</v>
      </c>
      <c r="C45" t="s">
        <v>117</v>
      </c>
      <c r="E45" s="11"/>
      <c r="F45" t="s">
        <v>124</v>
      </c>
      <c r="G45" s="12">
        <v>8.3333333333299994E-2</v>
      </c>
      <c r="I45" s="11">
        <f t="shared" si="3"/>
        <v>0</v>
      </c>
      <c r="J45" s="13" cm="1">
        <f t="array" ref="J45">MAX(IF($M$3:$DT$3=$J$3,M45:DT45))</f>
        <v>0</v>
      </c>
      <c r="K45" s="13" cm="1">
        <f t="array" ref="K45">MAX(IF($M$3:$DT$3=$J$3,M45:DT45))</f>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S45" s="12"/>
      <c r="BT45" s="12"/>
      <c r="BU45" s="12"/>
      <c r="BV45" s="12"/>
      <c r="BZ45" s="12"/>
      <c r="CA45" s="12"/>
      <c r="CB45" s="12"/>
      <c r="CC45" s="12"/>
      <c r="CG45" s="12"/>
      <c r="CH45" s="12"/>
      <c r="CI45" s="12"/>
      <c r="CJ45" s="12"/>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c r="ED45" s="12"/>
      <c r="EE45" s="12"/>
      <c r="EF45" s="12"/>
      <c r="EG45" s="12"/>
      <c r="EK45" s="12"/>
      <c r="EL45" s="12"/>
      <c r="EM45" s="12"/>
      <c r="EN45" s="12"/>
      <c r="ER45" s="12"/>
      <c r="ES45" s="12"/>
      <c r="ET45" s="12"/>
      <c r="EU45" s="12"/>
      <c r="EY45" s="12"/>
      <c r="EZ45" s="12"/>
      <c r="FA45" s="12"/>
      <c r="FB45" s="12"/>
      <c r="FF45" s="12"/>
      <c r="FG45" s="12"/>
      <c r="FH45" s="12"/>
      <c r="FI45" s="12"/>
      <c r="FM45" s="12"/>
      <c r="FN45" s="12"/>
      <c r="FO45" s="12"/>
      <c r="FP45" s="12"/>
      <c r="FT45" s="12"/>
      <c r="FU45" s="12"/>
      <c r="FV45" s="12"/>
      <c r="FW45" s="12"/>
      <c r="GA45" s="12"/>
      <c r="GB45" s="12"/>
      <c r="GC45" s="12"/>
      <c r="GD45" s="12"/>
      <c r="GH45" s="12"/>
      <c r="GI45" s="12"/>
      <c r="GJ45" s="12"/>
      <c r="GK45" s="12"/>
      <c r="GO45" s="12"/>
      <c r="GP45" s="12"/>
      <c r="GQ45" s="12"/>
      <c r="GR45" s="12"/>
      <c r="GV45" s="12"/>
      <c r="GW45" s="12"/>
      <c r="GX45" s="12"/>
      <c r="GY45" s="12"/>
      <c r="HC45" s="12"/>
      <c r="HD45" s="12"/>
      <c r="HE45" s="12"/>
      <c r="HF45" s="12"/>
      <c r="HJ45" s="12"/>
      <c r="HK45" s="12"/>
      <c r="HL45" s="12"/>
      <c r="HM45" s="12"/>
      <c r="HQ45" s="12"/>
      <c r="HR45" s="12"/>
      <c r="HS45" s="12"/>
      <c r="HT45" s="12"/>
      <c r="HX45" s="12"/>
      <c r="HY45" s="12"/>
      <c r="HZ45" s="12"/>
      <c r="IA45" s="12"/>
      <c r="IE45" s="12"/>
      <c r="IF45" s="12"/>
      <c r="IG45" s="12"/>
      <c r="IH45" s="12"/>
      <c r="IL45" s="12"/>
      <c r="IM45" s="12"/>
      <c r="IN45" s="12"/>
      <c r="IO45" s="12"/>
      <c r="IS45" s="12"/>
      <c r="IT45" s="12"/>
      <c r="IU45" s="12"/>
      <c r="IV45" s="12"/>
      <c r="IZ45" s="12"/>
      <c r="JA45" s="12"/>
      <c r="JB45" s="12"/>
      <c r="JC45" s="12"/>
      <c r="JG45" s="12"/>
      <c r="JH45" s="12"/>
      <c r="JI45" s="12"/>
      <c r="JJ45" s="12"/>
      <c r="JN45" s="12"/>
      <c r="JO45" s="12"/>
      <c r="JP45" s="12"/>
      <c r="JQ45" s="12"/>
      <c r="JU45" s="12"/>
      <c r="JV45" s="12"/>
      <c r="JW45" s="12"/>
      <c r="JX45" s="12"/>
    </row>
    <row r="46" spans="2:284" outlineLevel="1">
      <c r="B46" t="s">
        <v>28</v>
      </c>
      <c r="C46" t="s">
        <v>117</v>
      </c>
      <c r="E46" s="11"/>
      <c r="F46" t="s">
        <v>125</v>
      </c>
      <c r="G46" s="12">
        <v>8.3333333333299994E-2</v>
      </c>
      <c r="I46" s="11">
        <f t="shared" si="3"/>
        <v>0</v>
      </c>
      <c r="J46" s="13" cm="1">
        <f t="array" ref="J46">MAX(IF($M$3:$DT$3=$J$3,M46:DT46))</f>
        <v>0</v>
      </c>
      <c r="K46" s="13" cm="1">
        <f t="array" ref="K46">MAX(IF($M$3:$DT$3=$J$3,M46:DT46))</f>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c r="BU46" s="12"/>
      <c r="BV46" s="12"/>
      <c r="BZ46" s="12"/>
      <c r="CA46" s="12"/>
      <c r="CB46" s="12"/>
      <c r="CC46" s="12"/>
      <c r="CG46" s="12"/>
      <c r="CH46" s="12"/>
      <c r="CI46" s="12"/>
      <c r="CJ46" s="12"/>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c r="ED46" s="12"/>
      <c r="EE46" s="12"/>
      <c r="EF46" s="12"/>
      <c r="EG46" s="12"/>
      <c r="EK46" s="12"/>
      <c r="EL46" s="12"/>
      <c r="EM46" s="12"/>
      <c r="EN46" s="12"/>
      <c r="ER46" s="12"/>
      <c r="ES46" s="12"/>
      <c r="ET46" s="12"/>
      <c r="EU46" s="12"/>
      <c r="EY46" s="12"/>
      <c r="EZ46" s="12"/>
      <c r="FA46" s="12"/>
      <c r="FB46" s="12"/>
      <c r="FF46" s="12"/>
      <c r="FG46" s="12"/>
      <c r="FH46" s="12"/>
      <c r="FI46" s="12"/>
      <c r="FM46" s="12"/>
      <c r="FN46" s="12"/>
      <c r="FO46" s="12"/>
      <c r="FP46" s="12"/>
      <c r="FT46" s="12"/>
      <c r="FU46" s="12"/>
      <c r="FV46" s="12"/>
      <c r="FW46" s="12"/>
      <c r="GA46" s="12"/>
      <c r="GB46" s="12"/>
      <c r="GC46" s="12"/>
      <c r="GD46" s="12"/>
      <c r="GH46" s="12"/>
      <c r="GI46" s="12"/>
      <c r="GJ46" s="12"/>
      <c r="GK46" s="12"/>
      <c r="GO46" s="12"/>
      <c r="GP46" s="12"/>
      <c r="GQ46" s="12"/>
      <c r="GR46" s="12"/>
      <c r="GV46" s="12"/>
      <c r="GW46" s="12"/>
      <c r="GX46" s="12"/>
      <c r="GY46" s="12"/>
      <c r="HC46" s="12"/>
      <c r="HD46" s="12"/>
      <c r="HE46" s="12"/>
      <c r="HF46" s="12"/>
      <c r="HJ46" s="12"/>
      <c r="HK46" s="12"/>
      <c r="HL46" s="12"/>
      <c r="HM46" s="12"/>
      <c r="HQ46" s="12"/>
      <c r="HR46" s="12"/>
      <c r="HS46" s="12"/>
      <c r="HT46" s="12"/>
      <c r="HX46" s="12"/>
      <c r="HY46" s="12"/>
      <c r="HZ46" s="12"/>
      <c r="IA46" s="12"/>
      <c r="IE46" s="12"/>
      <c r="IF46" s="12"/>
      <c r="IG46" s="12"/>
      <c r="IH46" s="12"/>
      <c r="IL46" s="12"/>
      <c r="IM46" s="12"/>
      <c r="IN46" s="12"/>
      <c r="IO46" s="12"/>
      <c r="IS46" s="12"/>
      <c r="IT46" s="12"/>
      <c r="IU46" s="12"/>
      <c r="IV46" s="12"/>
      <c r="IZ46" s="12"/>
      <c r="JA46" s="12"/>
      <c r="JB46" s="12"/>
      <c r="JC46" s="12"/>
      <c r="JG46" s="12"/>
      <c r="JH46" s="12"/>
      <c r="JI46" s="12"/>
      <c r="JJ46" s="12"/>
      <c r="JN46" s="12"/>
      <c r="JO46" s="12"/>
      <c r="JP46" s="12"/>
      <c r="JQ46" s="12"/>
      <c r="JU46" s="12"/>
      <c r="JV46" s="12"/>
      <c r="JW46" s="12"/>
      <c r="JX46" s="12"/>
    </row>
    <row r="47" spans="2:284" outlineLevel="1">
      <c r="B47" t="s">
        <v>28</v>
      </c>
      <c r="C47" t="s">
        <v>117</v>
      </c>
      <c r="E47" s="11"/>
      <c r="F47" t="s">
        <v>126</v>
      </c>
      <c r="G47" s="12">
        <v>8.3333333333299994E-2</v>
      </c>
      <c r="I47" s="11">
        <f t="shared" si="3"/>
        <v>0</v>
      </c>
      <c r="J47" s="13" cm="1">
        <f t="array" ref="J47">MAX(IF($M$3:$DT$3=$J$3,M47:DT47))</f>
        <v>0</v>
      </c>
      <c r="K47" s="13" cm="1">
        <f t="array" ref="K47">MAX(IF($M$3:$DT$3=$J$3,M47:DT47))</f>
        <v>0</v>
      </c>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c r="BN47" s="12"/>
      <c r="BO47" s="12"/>
      <c r="BS47" s="12"/>
      <c r="BT47" s="12"/>
      <c r="BU47" s="12"/>
      <c r="BV47" s="12"/>
      <c r="BZ47" s="12"/>
      <c r="CA47" s="12"/>
      <c r="CB47" s="12"/>
      <c r="CC47" s="12"/>
      <c r="CG47" s="12"/>
      <c r="CH47" s="12"/>
      <c r="CI47" s="12"/>
      <c r="CJ47" s="12"/>
      <c r="CN47" s="12"/>
      <c r="CO47" s="12"/>
      <c r="CP47" s="12"/>
      <c r="CQ47" s="12"/>
      <c r="CU47" s="12"/>
      <c r="CV47" s="12"/>
      <c r="CW47" s="12"/>
      <c r="CX47" s="12"/>
      <c r="DB47" s="12"/>
      <c r="DC47" s="12"/>
      <c r="DD47" s="12"/>
      <c r="DE47" s="12"/>
      <c r="DI47" s="12"/>
      <c r="DJ47" s="12"/>
      <c r="DK47" s="12"/>
      <c r="DL47" s="12"/>
      <c r="DP47" s="12"/>
      <c r="DQ47" s="12"/>
      <c r="DR47" s="12"/>
      <c r="DS47" s="12"/>
      <c r="DW47" s="12"/>
      <c r="DX47" s="12"/>
      <c r="DY47" s="12"/>
      <c r="DZ47" s="12"/>
      <c r="ED47" s="12"/>
      <c r="EE47" s="12"/>
      <c r="EF47" s="12"/>
      <c r="EG47" s="12"/>
      <c r="EK47" s="12"/>
      <c r="EL47" s="12"/>
      <c r="EM47" s="12"/>
      <c r="EN47" s="12"/>
      <c r="ER47" s="12"/>
      <c r="ES47" s="12"/>
      <c r="ET47" s="12"/>
      <c r="EU47" s="12"/>
      <c r="EY47" s="12"/>
      <c r="EZ47" s="12"/>
      <c r="FA47" s="12"/>
      <c r="FB47" s="12"/>
      <c r="FF47" s="12"/>
      <c r="FG47" s="12"/>
      <c r="FH47" s="12"/>
      <c r="FI47" s="12"/>
      <c r="FM47" s="12"/>
      <c r="FN47" s="12"/>
      <c r="FO47" s="12"/>
      <c r="FP47" s="12"/>
      <c r="FT47" s="12"/>
      <c r="FU47" s="12"/>
      <c r="FV47" s="12"/>
      <c r="FW47" s="12"/>
      <c r="GA47" s="12"/>
      <c r="GB47" s="12"/>
      <c r="GC47" s="12"/>
      <c r="GD47" s="12"/>
      <c r="GH47" s="12"/>
      <c r="GI47" s="12"/>
      <c r="GJ47" s="12"/>
      <c r="GK47" s="12"/>
      <c r="GO47" s="12"/>
      <c r="GP47" s="12"/>
      <c r="GQ47" s="12"/>
      <c r="GR47" s="12"/>
      <c r="GV47" s="12"/>
      <c r="GW47" s="12"/>
      <c r="GX47" s="12"/>
      <c r="GY47" s="12"/>
      <c r="HC47" s="12"/>
      <c r="HD47" s="12"/>
      <c r="HE47" s="12"/>
      <c r="HF47" s="12"/>
      <c r="HJ47" s="12"/>
      <c r="HK47" s="12"/>
      <c r="HL47" s="12"/>
      <c r="HM47" s="12"/>
      <c r="HQ47" s="12"/>
      <c r="HR47" s="12"/>
      <c r="HS47" s="12"/>
      <c r="HT47" s="12"/>
      <c r="HX47" s="12"/>
      <c r="HY47" s="12"/>
      <c r="HZ47" s="12"/>
      <c r="IA47" s="12"/>
      <c r="IE47" s="12"/>
      <c r="IF47" s="12"/>
      <c r="IG47" s="12"/>
      <c r="IH47" s="12"/>
      <c r="IL47" s="12"/>
      <c r="IM47" s="12"/>
      <c r="IN47" s="12"/>
      <c r="IO47" s="12"/>
      <c r="IS47" s="12"/>
      <c r="IT47" s="12"/>
      <c r="IU47" s="12"/>
      <c r="IV47" s="12"/>
      <c r="IZ47" s="12"/>
      <c r="JA47" s="12"/>
      <c r="JB47" s="12"/>
      <c r="JC47" s="12"/>
      <c r="JG47" s="12"/>
      <c r="JH47" s="12"/>
      <c r="JI47" s="12"/>
      <c r="JJ47" s="12"/>
      <c r="JN47" s="12"/>
      <c r="JO47" s="12"/>
      <c r="JP47" s="12"/>
      <c r="JQ47" s="12"/>
      <c r="JU47" s="12"/>
      <c r="JV47" s="12"/>
      <c r="JW47" s="12"/>
      <c r="JX47" s="12"/>
    </row>
    <row r="48" spans="2:284" outlineLevel="1">
      <c r="B48" t="s">
        <v>28</v>
      </c>
      <c r="C48" t="s">
        <v>117</v>
      </c>
      <c r="E48" s="11"/>
      <c r="F48" t="s">
        <v>127</v>
      </c>
      <c r="G48" s="12">
        <v>8.3333333333299994E-2</v>
      </c>
      <c r="I48" s="11">
        <f t="shared" si="3"/>
        <v>0</v>
      </c>
      <c r="J48" s="13" cm="1">
        <f t="array" ref="J48">MAX(IF($M$3:$DT$3=$J$3,M48:DT48))</f>
        <v>0</v>
      </c>
      <c r="K48" s="13" cm="1">
        <f t="array" ref="K48">MAX(IF($M$3:$DT$3=$J$3,M48:DT48))</f>
        <v>0</v>
      </c>
      <c r="L48" s="11"/>
      <c r="O48" s="12"/>
      <c r="P48" s="12"/>
      <c r="Q48" s="12"/>
      <c r="R48" s="12"/>
      <c r="V48" s="12"/>
      <c r="W48" s="12"/>
      <c r="X48" s="12"/>
      <c r="Y48" s="12"/>
      <c r="AC48" s="12"/>
      <c r="AD48" s="12"/>
      <c r="AE48" s="12"/>
      <c r="AF48" s="12"/>
      <c r="AJ48" s="12"/>
      <c r="AK48" s="12"/>
      <c r="AL48" s="12"/>
      <c r="AM48" s="12"/>
      <c r="AQ48" s="12"/>
      <c r="AR48" s="12"/>
      <c r="AS48" s="12"/>
      <c r="AT48" s="12"/>
      <c r="AX48" s="12"/>
      <c r="AY48" s="12"/>
      <c r="AZ48" s="12"/>
      <c r="BA48" s="12"/>
      <c r="BE48" s="12"/>
      <c r="BF48" s="12"/>
      <c r="BG48" s="12"/>
      <c r="BH48" s="12"/>
      <c r="BL48" s="12"/>
      <c r="BM48" s="12"/>
      <c r="BN48" s="12"/>
      <c r="BO48" s="12"/>
      <c r="BS48" s="12"/>
      <c r="BT48" s="12"/>
      <c r="BU48" s="12"/>
      <c r="BV48" s="12"/>
      <c r="BZ48" s="12"/>
      <c r="CA48" s="12"/>
      <c r="CB48" s="12"/>
      <c r="CC48" s="12"/>
      <c r="CG48" s="12"/>
      <c r="CH48" s="12"/>
      <c r="CI48" s="12"/>
      <c r="CJ48" s="12"/>
      <c r="CN48" s="12"/>
      <c r="CO48" s="12"/>
      <c r="CP48" s="12"/>
      <c r="CQ48" s="12"/>
      <c r="CU48" s="12"/>
      <c r="CV48" s="12"/>
      <c r="CW48" s="12"/>
      <c r="CX48" s="12"/>
      <c r="DB48" s="12"/>
      <c r="DC48" s="12"/>
      <c r="DD48" s="12"/>
      <c r="DE48" s="12"/>
      <c r="DI48" s="12"/>
      <c r="DJ48" s="12"/>
      <c r="DK48" s="12"/>
      <c r="DL48" s="12"/>
      <c r="DP48" s="12"/>
      <c r="DQ48" s="12"/>
      <c r="DR48" s="12"/>
      <c r="DS48" s="12"/>
      <c r="DW48" s="12"/>
      <c r="DX48" s="12"/>
      <c r="DY48" s="12"/>
      <c r="DZ48" s="12"/>
      <c r="ED48" s="12"/>
      <c r="EE48" s="12"/>
      <c r="EF48" s="12"/>
      <c r="EG48" s="12"/>
      <c r="EK48" s="12"/>
      <c r="EL48" s="12"/>
      <c r="EM48" s="12"/>
      <c r="EN48" s="12"/>
      <c r="ER48" s="12"/>
      <c r="ES48" s="12"/>
      <c r="ET48" s="12"/>
      <c r="EU48" s="12"/>
      <c r="EY48" s="12"/>
      <c r="EZ48" s="12"/>
      <c r="FA48" s="12"/>
      <c r="FB48" s="12"/>
      <c r="FF48" s="12"/>
      <c r="FG48" s="12"/>
      <c r="FH48" s="12"/>
      <c r="FI48" s="12"/>
      <c r="FM48" s="12"/>
      <c r="FN48" s="12"/>
      <c r="FO48" s="12"/>
      <c r="FP48" s="12"/>
      <c r="FT48" s="12"/>
      <c r="FU48" s="12"/>
      <c r="FV48" s="12"/>
      <c r="FW48" s="12"/>
      <c r="GA48" s="12"/>
      <c r="GB48" s="12"/>
      <c r="GC48" s="12"/>
      <c r="GD48" s="12"/>
      <c r="GH48" s="12"/>
      <c r="GI48" s="12"/>
      <c r="GJ48" s="12"/>
      <c r="GK48" s="12"/>
      <c r="GO48" s="12"/>
      <c r="GP48" s="12"/>
      <c r="GQ48" s="12"/>
      <c r="GR48" s="12"/>
      <c r="GV48" s="12"/>
      <c r="GW48" s="12"/>
      <c r="GX48" s="12"/>
      <c r="GY48" s="12"/>
      <c r="HC48" s="12"/>
      <c r="HD48" s="12"/>
      <c r="HE48" s="12"/>
      <c r="HF48" s="12"/>
      <c r="HJ48" s="12"/>
      <c r="HK48" s="12"/>
      <c r="HL48" s="12"/>
      <c r="HM48" s="12"/>
      <c r="HQ48" s="12"/>
      <c r="HR48" s="12"/>
      <c r="HS48" s="12"/>
      <c r="HT48" s="12"/>
      <c r="HX48" s="12"/>
      <c r="HY48" s="12"/>
      <c r="HZ48" s="12"/>
      <c r="IA48" s="12"/>
      <c r="IE48" s="12"/>
      <c r="IF48" s="12"/>
      <c r="IG48" s="12"/>
      <c r="IH48" s="12"/>
      <c r="IL48" s="12"/>
      <c r="IM48" s="12"/>
      <c r="IN48" s="12"/>
      <c r="IO48" s="12"/>
      <c r="IS48" s="12"/>
      <c r="IT48" s="12"/>
      <c r="IU48" s="12"/>
      <c r="IV48" s="12"/>
      <c r="IZ48" s="12"/>
      <c r="JA48" s="12"/>
      <c r="JB48" s="12"/>
      <c r="JC48" s="12"/>
      <c r="JG48" s="12"/>
      <c r="JH48" s="12"/>
      <c r="JI48" s="12"/>
      <c r="JJ48" s="12"/>
      <c r="JN48" s="12"/>
      <c r="JO48" s="12"/>
      <c r="JP48" s="12"/>
      <c r="JQ48" s="12"/>
      <c r="JU48" s="12"/>
      <c r="JV48" s="12"/>
      <c r="JW48" s="12"/>
      <c r="JX48" s="12"/>
    </row>
    <row r="49" spans="2:284" outlineLevel="1">
      <c r="B49" t="s">
        <v>28</v>
      </c>
      <c r="C49" t="s">
        <v>117</v>
      </c>
      <c r="E49" s="11"/>
      <c r="F49" t="s">
        <v>128</v>
      </c>
      <c r="G49" s="12">
        <v>8.3333333333299994E-2</v>
      </c>
      <c r="I49" s="11">
        <f t="shared" si="3"/>
        <v>0</v>
      </c>
      <c r="J49" s="13" cm="1">
        <f t="array" ref="J49">MAX(IF($M$3:$DT$3=$J$3,M49:DT49))</f>
        <v>0</v>
      </c>
      <c r="K49" s="13" cm="1">
        <f t="array" ref="K49">MAX(IF($M$3:$DT$3=$J$3,M49:DT49))</f>
        <v>0</v>
      </c>
      <c r="L49" s="11"/>
      <c r="O49" s="12"/>
      <c r="P49" s="12"/>
      <c r="Q49" s="12"/>
      <c r="R49" s="12"/>
      <c r="V49" s="12"/>
      <c r="W49" s="12"/>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c r="BN49" s="12"/>
      <c r="BO49" s="12"/>
      <c r="BS49" s="12"/>
      <c r="BT49" s="12"/>
      <c r="BU49" s="12"/>
      <c r="BV49" s="12"/>
      <c r="BZ49" s="12"/>
      <c r="CA49" s="12"/>
      <c r="CB49" s="12"/>
      <c r="CC49" s="12"/>
      <c r="CG49" s="12"/>
      <c r="CH49" s="12"/>
      <c r="CI49" s="12"/>
      <c r="CJ49" s="12"/>
      <c r="CN49" s="12"/>
      <c r="CO49" s="12"/>
      <c r="CP49" s="12"/>
      <c r="CQ49" s="12"/>
      <c r="CU49" s="12"/>
      <c r="CV49" s="12"/>
      <c r="CW49" s="12"/>
      <c r="CX49" s="12"/>
      <c r="DB49" s="12"/>
      <c r="DC49" s="12"/>
      <c r="DD49" s="12"/>
      <c r="DE49" s="12"/>
      <c r="DI49" s="12"/>
      <c r="DJ49" s="12"/>
      <c r="DK49" s="12"/>
      <c r="DL49" s="12"/>
      <c r="DP49" s="12"/>
      <c r="DQ49" s="12"/>
      <c r="DR49" s="12"/>
      <c r="DS49" s="12"/>
      <c r="DW49" s="12"/>
      <c r="DX49" s="12"/>
      <c r="DY49" s="12"/>
      <c r="DZ49" s="12"/>
      <c r="ED49" s="12"/>
      <c r="EE49" s="12"/>
      <c r="EF49" s="12"/>
      <c r="EG49" s="12"/>
      <c r="EK49" s="12"/>
      <c r="EL49" s="12"/>
      <c r="EM49" s="12"/>
      <c r="EN49" s="12"/>
      <c r="ER49" s="12"/>
      <c r="ES49" s="12"/>
      <c r="ET49" s="12"/>
      <c r="EU49" s="12"/>
      <c r="EY49" s="12"/>
      <c r="EZ49" s="12"/>
      <c r="FA49" s="12"/>
      <c r="FB49" s="12"/>
      <c r="FF49" s="12"/>
      <c r="FG49" s="12"/>
      <c r="FH49" s="12"/>
      <c r="FI49" s="12"/>
      <c r="FM49" s="12"/>
      <c r="FN49" s="12"/>
      <c r="FO49" s="12"/>
      <c r="FP49" s="12"/>
      <c r="FT49" s="12"/>
      <c r="FU49" s="12"/>
      <c r="FV49" s="12"/>
      <c r="FW49" s="12"/>
      <c r="GA49" s="12"/>
      <c r="GB49" s="12"/>
      <c r="GC49" s="12"/>
      <c r="GD49" s="12"/>
      <c r="GH49" s="12"/>
      <c r="GI49" s="12"/>
      <c r="GJ49" s="12"/>
      <c r="GK49" s="12"/>
      <c r="GO49" s="12"/>
      <c r="GP49" s="12"/>
      <c r="GQ49" s="12"/>
      <c r="GR49" s="12"/>
      <c r="GV49" s="12"/>
      <c r="GW49" s="12"/>
      <c r="GX49" s="12"/>
      <c r="GY49" s="12"/>
      <c r="HC49" s="12"/>
      <c r="HD49" s="12"/>
      <c r="HE49" s="12"/>
      <c r="HF49" s="12"/>
      <c r="HJ49" s="12"/>
      <c r="HK49" s="12"/>
      <c r="HL49" s="12"/>
      <c r="HM49" s="12"/>
      <c r="HQ49" s="12"/>
      <c r="HR49" s="12"/>
      <c r="HS49" s="12"/>
      <c r="HT49" s="12"/>
      <c r="HX49" s="12"/>
      <c r="HY49" s="12"/>
      <c r="HZ49" s="12"/>
      <c r="IA49" s="12"/>
      <c r="IE49" s="12"/>
      <c r="IF49" s="12"/>
      <c r="IG49" s="12"/>
      <c r="IH49" s="12"/>
      <c r="IL49" s="12"/>
      <c r="IM49" s="12"/>
      <c r="IN49" s="12"/>
      <c r="IO49" s="12"/>
      <c r="IS49" s="12"/>
      <c r="IT49" s="12"/>
      <c r="IU49" s="12"/>
      <c r="IV49" s="12"/>
      <c r="IZ49" s="12"/>
      <c r="JA49" s="12"/>
      <c r="JB49" s="12"/>
      <c r="JC49" s="12"/>
      <c r="JG49" s="12"/>
      <c r="JH49" s="12"/>
      <c r="JI49" s="12"/>
      <c r="JJ49" s="12"/>
      <c r="JN49" s="12"/>
      <c r="JO49" s="12"/>
      <c r="JP49" s="12"/>
      <c r="JQ49" s="12"/>
      <c r="JU49" s="12"/>
      <c r="JV49" s="12"/>
      <c r="JW49" s="12"/>
      <c r="JX49" s="12"/>
    </row>
    <row r="50" spans="2:284" outlineLevel="1">
      <c r="B50" t="s">
        <v>28</v>
      </c>
      <c r="C50" t="s">
        <v>117</v>
      </c>
      <c r="E50" s="11"/>
      <c r="F50" t="s">
        <v>129</v>
      </c>
      <c r="G50" s="12">
        <v>8.3333333333299994E-2</v>
      </c>
      <c r="I50" s="11">
        <f t="shared" si="3"/>
        <v>0</v>
      </c>
      <c r="J50" s="13" cm="1">
        <f t="array" ref="J50">MAX(IF($M$3:$DT$3=$J$3,M50:DT50))</f>
        <v>0</v>
      </c>
      <c r="K50" s="13" cm="1">
        <f t="array" ref="K50">MAX(IF($M$3:$DT$3=$J$3,M50:DT50))</f>
        <v>0</v>
      </c>
      <c r="L50" s="11"/>
      <c r="O50" s="12"/>
      <c r="P50" s="12"/>
      <c r="Q50" s="12"/>
      <c r="R50" s="12"/>
      <c r="V50" s="12"/>
      <c r="W50" s="12"/>
      <c r="X50" s="12"/>
      <c r="Y50" s="12"/>
      <c r="AC50" s="12"/>
      <c r="AD50" s="12"/>
      <c r="AE50" s="12"/>
      <c r="AF50" s="12"/>
      <c r="AJ50" s="12"/>
      <c r="AK50" s="12"/>
      <c r="AL50" s="12"/>
      <c r="AM50" s="12"/>
      <c r="AQ50" s="12"/>
      <c r="AR50" s="12"/>
      <c r="AS50" s="12"/>
      <c r="AT50" s="12"/>
      <c r="AX50" s="12"/>
      <c r="AY50" s="12"/>
      <c r="AZ50" s="12"/>
      <c r="BA50" s="12"/>
      <c r="BE50" s="12"/>
      <c r="BF50" s="12"/>
      <c r="BG50" s="12"/>
      <c r="BH50" s="12"/>
      <c r="BL50" s="12"/>
      <c r="BM50" s="12"/>
      <c r="BN50" s="12"/>
      <c r="BO50" s="12"/>
      <c r="BS50" s="12"/>
      <c r="BT50" s="12"/>
      <c r="BU50" s="12"/>
      <c r="BV50" s="12"/>
      <c r="BZ50" s="12"/>
      <c r="CA50" s="12"/>
      <c r="CB50" s="12"/>
      <c r="CC50" s="12"/>
      <c r="CG50" s="12"/>
      <c r="CH50" s="12"/>
      <c r="CI50" s="12"/>
      <c r="CJ50" s="12"/>
      <c r="CN50" s="12"/>
      <c r="CO50" s="12"/>
      <c r="CP50" s="12"/>
      <c r="CQ50" s="12"/>
      <c r="CU50" s="12"/>
      <c r="CV50" s="12"/>
      <c r="CW50" s="12"/>
      <c r="CX50" s="12"/>
      <c r="DB50" s="12"/>
      <c r="DC50" s="12"/>
      <c r="DD50" s="12"/>
      <c r="DE50" s="12"/>
      <c r="DI50" s="12"/>
      <c r="DJ50" s="12"/>
      <c r="DK50" s="12"/>
      <c r="DL50" s="12"/>
      <c r="DP50" s="12"/>
      <c r="DQ50" s="12"/>
      <c r="DR50" s="12"/>
      <c r="DS50" s="12"/>
      <c r="DW50" s="12"/>
      <c r="DX50" s="12"/>
      <c r="DY50" s="12"/>
      <c r="DZ50" s="12"/>
      <c r="ED50" s="12"/>
      <c r="EE50" s="12"/>
      <c r="EF50" s="12"/>
      <c r="EG50" s="12"/>
      <c r="EK50" s="12"/>
      <c r="EL50" s="12"/>
      <c r="EM50" s="12"/>
      <c r="EN50" s="12"/>
      <c r="ER50" s="12"/>
      <c r="ES50" s="12"/>
      <c r="ET50" s="12"/>
      <c r="EU50" s="12"/>
      <c r="EY50" s="12"/>
      <c r="EZ50" s="12"/>
      <c r="FA50" s="12"/>
      <c r="FB50" s="12"/>
      <c r="FF50" s="12"/>
      <c r="FG50" s="12"/>
      <c r="FH50" s="12"/>
      <c r="FI50" s="12"/>
      <c r="FM50" s="12"/>
      <c r="FN50" s="12"/>
      <c r="FO50" s="12"/>
      <c r="FP50" s="12"/>
      <c r="FT50" s="12"/>
      <c r="FU50" s="12"/>
      <c r="FV50" s="12"/>
      <c r="FW50" s="12"/>
      <c r="GA50" s="12"/>
      <c r="GB50" s="12"/>
      <c r="GC50" s="12"/>
      <c r="GD50" s="12"/>
      <c r="GH50" s="12"/>
      <c r="GI50" s="12"/>
      <c r="GJ50" s="12"/>
      <c r="GK50" s="12"/>
      <c r="GO50" s="12"/>
      <c r="GP50" s="12"/>
      <c r="GQ50" s="12"/>
      <c r="GR50" s="12"/>
      <c r="GV50" s="12"/>
      <c r="GW50" s="12"/>
      <c r="GX50" s="12"/>
      <c r="GY50" s="12"/>
      <c r="HC50" s="12"/>
      <c r="HD50" s="12"/>
      <c r="HE50" s="12"/>
      <c r="HF50" s="12"/>
      <c r="HJ50" s="12"/>
      <c r="HK50" s="12"/>
      <c r="HL50" s="12"/>
      <c r="HM50" s="12"/>
      <c r="HQ50" s="12"/>
      <c r="HR50" s="12"/>
      <c r="HS50" s="12"/>
      <c r="HT50" s="12"/>
      <c r="HX50" s="12"/>
      <c r="HY50" s="12"/>
      <c r="HZ50" s="12"/>
      <c r="IA50" s="12"/>
      <c r="IE50" s="12"/>
      <c r="IF50" s="12"/>
      <c r="IG50" s="12"/>
      <c r="IH50" s="12"/>
      <c r="IL50" s="12"/>
      <c r="IM50" s="12"/>
      <c r="IN50" s="12"/>
      <c r="IO50" s="12"/>
      <c r="IS50" s="12"/>
      <c r="IT50" s="12"/>
      <c r="IU50" s="12"/>
      <c r="IV50" s="12"/>
      <c r="IZ50" s="12"/>
      <c r="JA50" s="12"/>
      <c r="JB50" s="12"/>
      <c r="JC50" s="12"/>
      <c r="JG50" s="12"/>
      <c r="JH50" s="12"/>
      <c r="JI50" s="12"/>
      <c r="JJ50" s="12"/>
      <c r="JN50" s="12"/>
      <c r="JO50" s="12"/>
      <c r="JP50" s="12"/>
      <c r="JQ50" s="12"/>
      <c r="JU50" s="12"/>
      <c r="JV50" s="12"/>
      <c r="JW50" s="12"/>
      <c r="JX50" s="12"/>
    </row>
  </sheetData>
  <mergeCells count="40">
    <mergeCell ref="JM2:JR2"/>
    <mergeCell ref="JT2:JY2"/>
    <mergeCell ref="ID2:II2"/>
    <mergeCell ref="IK2:IP2"/>
    <mergeCell ref="IR2:IW2"/>
    <mergeCell ref="IY2:JD2"/>
    <mergeCell ref="JF2:JK2"/>
    <mergeCell ref="GU2:GZ2"/>
    <mergeCell ref="HB2:HG2"/>
    <mergeCell ref="HI2:HN2"/>
    <mergeCell ref="HP2:HU2"/>
    <mergeCell ref="HW2:IB2"/>
    <mergeCell ref="FL2:FQ2"/>
    <mergeCell ref="FS2:FX2"/>
    <mergeCell ref="FZ2:GE2"/>
    <mergeCell ref="GG2:GL2"/>
    <mergeCell ref="GN2:GS2"/>
    <mergeCell ref="EC2:EH2"/>
    <mergeCell ref="EJ2:EO2"/>
    <mergeCell ref="EQ2:EV2"/>
    <mergeCell ref="EX2:FC2"/>
    <mergeCell ref="FE2:FJ2"/>
    <mergeCell ref="DO2:DT2"/>
    <mergeCell ref="DV2:EA2"/>
    <mergeCell ref="CF2:CK2"/>
    <mergeCell ref="CM2:CR2"/>
    <mergeCell ref="CT2:CY2"/>
    <mergeCell ref="DA2:DF2"/>
    <mergeCell ref="DH2:DM2"/>
    <mergeCell ref="AW2:BB2"/>
    <mergeCell ref="BD2:BI2"/>
    <mergeCell ref="BK2:BP2"/>
    <mergeCell ref="BR2:BW2"/>
    <mergeCell ref="BY2:CD2"/>
    <mergeCell ref="I2:L2"/>
    <mergeCell ref="AP2:AU2"/>
    <mergeCell ref="N2:S2"/>
    <mergeCell ref="U2:Z2"/>
    <mergeCell ref="AB2:AG2"/>
    <mergeCell ref="AI2:AN2"/>
  </mergeCells>
  <phoneticPr fontId="5" type="noConversion"/>
  <conditionalFormatting sqref="AC5:AC15 AE5:AE15 AQ5:AQ15 AS5:AS15 O5:O15 Q5:Q15 V5:V15 X5:X15 AJ5:AJ15 AL5:AL15 BU6:BU15 CB5:CB15 AQ18:AQ24 O18:O24 Q18:Q24 V18:V24 X18:X24 AJ18:AJ24 AL18:AL24 AS18:AS24 AX18:AX24 AZ18:AZ24 BE18:BE24 BG18:BG24 BL18:BL24 BN18:BN24 BS18:BS24 BU18:BU24 CG18:CG24 CI18:CI24 CN18:CN24 CP18:CP24 CU18:CU24 CW18:CW24 DB18:DB24 DD18:DD24 DI18:DI24 DK18:DK24 DP18:DP24 DR18:DR24 DW18:DW24 DY18:DY24 BZ18:BZ24 CB18:CB24 V41:V50 X41:X50 AJ41:AJ50 AL41:AL50 AS41:AS50 Q41:Q50 O41:O50 AE41:AE50 AC41:AC50 AQ41:AQ50 X30:X36 AJ29:AJ36 AL29:AL36 AS29:AS36 Q29:Q36 O29:O36 AQ29:AQ36 AZ29:AZ36 AX29:AX36 BG29:BG36 BE29:BE36 BN29:BN36 BL29:BL36 BU29:BU36 BS29:BS36 CI29:CI36 CG29:CG36 CP29:CP36 CN29:CN36 CW29:CW36 CU29:CU36 DD29:DD36 DB29:DB36 DK29:DK36 DI29:DI36 DR29:DR36 DP29:DP36 DY29:DY36 DW29:DW36 CB29:CB36 BZ29:BZ36 EF29:EF36 ED29:ED36 EM29:EM36 EK29:EK36 ET29:ET36 ER29:ER36 FA29:FA36 EY29:EY36 FH29:FH36 FF29:FF36 FO29:FO36 FM29:FM36 FV29:FV36 FT29:FT36 GC29:GC36 GA29:GA36 GJ29:GJ36 GH29:GH36 GQ29:GQ36 GO29:GO36 GX29:GX36 GV29:GV36 HE29:HE36 HC29:HC36 HL29:HL36 HJ29:HJ36 HS29:HS36 HQ29:HQ36 HZ29:HZ36 HX29:HX36 IG29:IG36 IE29:IE36 IN29:IN36 IL29:IL36 IU29:IU36 IS29:IS36 JB29:JB36 IZ29:IZ36 JI29:JI36 JG29:JG36 JP29:JP36 JN29:JN36 JW29:JW36 JU29:JU36 V27:V36 AC18:AC24 AE18:AE24 AE30:AE36 AC27:AC36">
    <cfRule type="expression" dxfId="444" priority="978">
      <formula>OR(IF(O5&lt;P5,TRUE),IF(AND(P5="",O5&lt;&gt;""),TRUE))</formula>
    </cfRule>
    <cfRule type="expression" dxfId="443" priority="979">
      <formula>IF(O5&gt;=P5,IF(O5="",FALSE,TRUE))</formula>
    </cfRule>
  </conditionalFormatting>
  <conditionalFormatting sqref="AQ27:AQ28">
    <cfRule type="expression" dxfId="442" priority="682">
      <formula>OR(IF(AQ27&lt;AR27,TRUE),IF(AND(AR27="",AQ27&lt;&gt;""),TRUE))</formula>
    </cfRule>
    <cfRule type="expression" dxfId="441" priority="683">
      <formula>IF(AQ27&gt;=AR27,IF(AQ27="",FALSE,TRUE))</formula>
    </cfRule>
  </conditionalFormatting>
  <conditionalFormatting sqref="O27:O28">
    <cfRule type="expression" dxfId="440" priority="714">
      <formula>OR(IF(O27&lt;P27,TRUE),IF(AND(P27="",O27&lt;&gt;""),TRUE))</formula>
    </cfRule>
    <cfRule type="expression" dxfId="439" priority="715">
      <formula>IF(O27&gt;=P27,IF(O27="",FALSE,TRUE))</formula>
    </cfRule>
  </conditionalFormatting>
  <conditionalFormatting sqref="Q27:Q28">
    <cfRule type="expression" dxfId="438" priority="712">
      <formula>OR(IF(Q27&lt;R27,TRUE),IF(AND(R27="",Q27&lt;&gt;""),TRUE))</formula>
    </cfRule>
    <cfRule type="expression" dxfId="437" priority="713">
      <formula>IF(Q27&gt;=R27,IF(Q27="",FALSE,TRUE))</formula>
    </cfRule>
  </conditionalFormatting>
  <conditionalFormatting sqref="X27:X29">
    <cfRule type="expression" dxfId="436" priority="704">
      <formula>OR(IF(X27&lt;Y27,TRUE),IF(AND(Y27="",X27&lt;&gt;""),TRUE))</formula>
    </cfRule>
    <cfRule type="expression" dxfId="435" priority="705">
      <formula>IF(X27&gt;=Y27,IF(X27="",FALSE,TRUE))</formula>
    </cfRule>
  </conditionalFormatting>
  <conditionalFormatting sqref="AJ27:AJ28">
    <cfRule type="expression" dxfId="434" priority="690">
      <formula>OR(IF(AJ27&lt;AK27,TRUE),IF(AND(AK27="",AJ27&lt;&gt;""),TRUE))</formula>
    </cfRule>
    <cfRule type="expression" dxfId="433" priority="691">
      <formula>IF(AJ27&gt;=AK27,IF(AJ27="",FALSE,TRUE))</formula>
    </cfRule>
  </conditionalFormatting>
  <conditionalFormatting sqref="AL27:AL28">
    <cfRule type="expression" dxfId="432" priority="688">
      <formula>OR(IF(AL27&lt;AM27,TRUE),IF(AND(AM27="",AL27&lt;&gt;""),TRUE))</formula>
    </cfRule>
    <cfRule type="expression" dxfId="431" priority="689">
      <formula>IF(AL27&gt;=AM27,IF(AL27="",FALSE,TRUE))</formula>
    </cfRule>
  </conditionalFormatting>
  <conditionalFormatting sqref="AS27:AS28">
    <cfRule type="expression" dxfId="430" priority="680">
      <formula>OR(IF(AS27&lt;AT27,TRUE),IF(AND(AT27="",AS27&lt;&gt;""),TRUE))</formula>
    </cfRule>
    <cfRule type="expression" dxfId="429" priority="681">
      <formula>IF(AS27&gt;=AT27,IF(AS27="",FALSE,TRUE))</formula>
    </cfRule>
  </conditionalFormatting>
  <conditionalFormatting sqref="J6:K15">
    <cfRule type="colorScale" priority="981">
      <colorScale>
        <cfvo type="percent" val="0"/>
        <cfvo type="percent" val="100"/>
        <color rgb="FFFF231B"/>
        <color rgb="FF10FF07"/>
      </colorScale>
    </cfRule>
  </conditionalFormatting>
  <conditionalFormatting sqref="J5:J15">
    <cfRule type="colorScale" priority="1010">
      <colorScale>
        <cfvo type="percent" val="0"/>
        <cfvo type="percent" val="100"/>
        <color rgb="FFFF231B"/>
        <color rgb="FF10FF07"/>
      </colorScale>
    </cfRule>
  </conditionalFormatting>
  <conditionalFormatting sqref="K5:K15">
    <cfRule type="colorScale" priority="1011">
      <colorScale>
        <cfvo type="percent" val="0"/>
        <cfvo type="percent" val="100"/>
        <color rgb="FFFF231B"/>
        <color rgb="FF10FF07"/>
      </colorScale>
    </cfRule>
  </conditionalFormatting>
  <conditionalFormatting sqref="AQ39:AQ40">
    <cfRule type="expression" dxfId="428" priority="623">
      <formula>OR(IF(AQ39&lt;AR39,TRUE),IF(AND(AR39="",AQ39&lt;&gt;""),TRUE))</formula>
    </cfRule>
    <cfRule type="expression" dxfId="427" priority="624">
      <formula>IF(AQ39&gt;=AR39,IF(AQ39="",FALSE,TRUE))</formula>
    </cfRule>
  </conditionalFormatting>
  <conditionalFormatting sqref="O39:O40">
    <cfRule type="expression" dxfId="426" priority="655">
      <formula>OR(IF(O39&lt;P39,TRUE),IF(AND(P39="",O39&lt;&gt;""),TRUE))</formula>
    </cfRule>
    <cfRule type="expression" dxfId="425" priority="656">
      <formula>IF(O39&gt;=P39,IF(O39="",FALSE,TRUE))</formula>
    </cfRule>
  </conditionalFormatting>
  <conditionalFormatting sqref="Q39:Q40">
    <cfRule type="expression" dxfId="424" priority="653">
      <formula>OR(IF(Q39&lt;R39,TRUE),IF(AND(R39="",Q39&lt;&gt;""),TRUE))</formula>
    </cfRule>
    <cfRule type="expression" dxfId="423" priority="654">
      <formula>IF(Q39&gt;=R39,IF(Q39="",FALSE,TRUE))</formula>
    </cfRule>
  </conditionalFormatting>
  <conditionalFormatting sqref="V39:V40">
    <cfRule type="expression" dxfId="422" priority="647">
      <formula>OR(IF(V39&lt;W39,TRUE),IF(AND(W39="",V39&lt;&gt;""),TRUE))</formula>
    </cfRule>
    <cfRule type="expression" dxfId="421" priority="648">
      <formula>IF(V39&gt;=W39,IF(V39="",FALSE,TRUE))</formula>
    </cfRule>
  </conditionalFormatting>
  <conditionalFormatting sqref="X39:X40">
    <cfRule type="expression" dxfId="420" priority="645">
      <formula>OR(IF(X39&lt;Y39,TRUE),IF(AND(Y39="",X39&lt;&gt;""),TRUE))</formula>
    </cfRule>
    <cfRule type="expression" dxfId="419" priority="646">
      <formula>IF(X39&gt;=Y39,IF(X39="",FALSE,TRUE))</formula>
    </cfRule>
  </conditionalFormatting>
  <conditionalFormatting sqref="AC39:AC40">
    <cfRule type="expression" dxfId="418" priority="639">
      <formula>OR(IF(AC39&lt;AD39,TRUE),IF(AND(AD39="",AC39&lt;&gt;""),TRUE))</formula>
    </cfRule>
    <cfRule type="expression" dxfId="417" priority="640">
      <formula>IF(AC39&gt;=AD39,IF(AC39="",FALSE,TRUE))</formula>
    </cfRule>
  </conditionalFormatting>
  <conditionalFormatting sqref="AE39:AE40">
    <cfRule type="expression" dxfId="416" priority="637">
      <formula>OR(IF(AE39&lt;AF39,TRUE),IF(AND(AF39="",AE39&lt;&gt;""),TRUE))</formula>
    </cfRule>
    <cfRule type="expression" dxfId="415" priority="638">
      <formula>IF(AE39&gt;=AF39,IF(AE39="",FALSE,TRUE))</formula>
    </cfRule>
  </conditionalFormatting>
  <conditionalFormatting sqref="AJ39:AJ40">
    <cfRule type="expression" dxfId="414" priority="631">
      <formula>OR(IF(AJ39&lt;AK39,TRUE),IF(AND(AK39="",AJ39&lt;&gt;""),TRUE))</formula>
    </cfRule>
    <cfRule type="expression" dxfId="413" priority="632">
      <formula>IF(AJ39&gt;=AK39,IF(AJ39="",FALSE,TRUE))</formula>
    </cfRule>
  </conditionalFormatting>
  <conditionalFormatting sqref="AL39:AL40">
    <cfRule type="expression" dxfId="412" priority="629">
      <formula>OR(IF(AL39&lt;AM39,TRUE),IF(AND(AM39="",AL39&lt;&gt;""),TRUE))</formula>
    </cfRule>
    <cfRule type="expression" dxfId="411" priority="630">
      <formula>IF(AL39&gt;=AM39,IF(AL39="",FALSE,TRUE))</formula>
    </cfRule>
  </conditionalFormatting>
  <conditionalFormatting sqref="AS39:AS40">
    <cfRule type="expression" dxfId="410" priority="621">
      <formula>OR(IF(AS39&lt;AT39,TRUE),IF(AND(AT39="",AS39&lt;&gt;""),TRUE))</formula>
    </cfRule>
    <cfRule type="expression" dxfId="409" priority="622">
      <formula>IF(AS39&gt;=AT39,IF(AS39="",FALSE,TRUE))</formula>
    </cfRule>
  </conditionalFormatting>
  <conditionalFormatting sqref="J40:K48">
    <cfRule type="colorScale" priority="1133">
      <colorScale>
        <cfvo type="percent" val="0"/>
        <cfvo type="percent" val="100"/>
        <color rgb="FFFF231B"/>
        <color rgb="FF10FF07"/>
      </colorScale>
    </cfRule>
  </conditionalFormatting>
  <conditionalFormatting sqref="J39:J50">
    <cfRule type="colorScale" priority="1134">
      <colorScale>
        <cfvo type="percent" val="0"/>
        <cfvo type="percent" val="100"/>
        <color rgb="FFFF231B"/>
        <color rgb="FF10FF07"/>
      </colorScale>
    </cfRule>
  </conditionalFormatting>
  <conditionalFormatting sqref="K39:K50">
    <cfRule type="colorScale" priority="1135">
      <colorScale>
        <cfvo type="percent" val="0"/>
        <cfvo type="percent" val="100"/>
        <color rgb="FFFF231B"/>
        <color rgb="FF10FF07"/>
      </colorScale>
    </cfRule>
  </conditionalFormatting>
  <conditionalFormatting sqref="AX5:AX15 AZ5:AZ15 AZ41:AZ50 AX41:AX50">
    <cfRule type="expression" dxfId="408" priority="553">
      <formula>OR(IF(AX5&lt;AY5,TRUE),IF(AND(AY5="",AX5&lt;&gt;""),TRUE))</formula>
    </cfRule>
    <cfRule type="expression" dxfId="407" priority="554">
      <formula>IF(AX5&gt;=AY5,IF(AX5="",FALSE,TRUE))</formula>
    </cfRule>
  </conditionalFormatting>
  <conditionalFormatting sqref="AX27:AX28">
    <cfRule type="expression" dxfId="406" priority="543">
      <formula>OR(IF(AX27&lt;AY27,TRUE),IF(AND(AY27="",AX27&lt;&gt;""),TRUE))</formula>
    </cfRule>
    <cfRule type="expression" dxfId="405" priority="544">
      <formula>IF(AX27&gt;=AY27,IF(AX27="",FALSE,TRUE))</formula>
    </cfRule>
  </conditionalFormatting>
  <conditionalFormatting sqref="AZ27:AZ28">
    <cfRule type="expression" dxfId="404" priority="541">
      <formula>OR(IF(AZ27&lt;BA27,TRUE),IF(AND(BA27="",AZ27&lt;&gt;""),TRUE))</formula>
    </cfRule>
    <cfRule type="expression" dxfId="403" priority="542">
      <formula>IF(AZ27&gt;=BA27,IF(AZ27="",FALSE,TRUE))</formula>
    </cfRule>
  </conditionalFormatting>
  <conditionalFormatting sqref="AX39:AX40">
    <cfRule type="expression" dxfId="402" priority="539">
      <formula>OR(IF(AX39&lt;AY39,TRUE),IF(AND(AY39="",AX39&lt;&gt;""),TRUE))</formula>
    </cfRule>
    <cfRule type="expression" dxfId="401" priority="540">
      <formula>IF(AX39&gt;=AY39,IF(AX39="",FALSE,TRUE))</formula>
    </cfRule>
  </conditionalFormatting>
  <conditionalFormatting sqref="AZ39:AZ40">
    <cfRule type="expression" dxfId="400" priority="537">
      <formula>OR(IF(AZ39&lt;BA39,TRUE),IF(AND(BA39="",AZ39&lt;&gt;""),TRUE))</formula>
    </cfRule>
    <cfRule type="expression" dxfId="399" priority="538">
      <formula>IF(AZ39&gt;=BA39,IF(AZ39="",FALSE,TRUE))</formula>
    </cfRule>
  </conditionalFormatting>
  <conditionalFormatting sqref="BE5:BE15 BG5:BG15 BG41:BG50 BE41:BE50">
    <cfRule type="expression" dxfId="398" priority="531">
      <formula>OR(IF(BE5&lt;BF5,TRUE),IF(AND(BF5="",BE5&lt;&gt;""),TRUE))</formula>
    </cfRule>
    <cfRule type="expression" dxfId="397" priority="532">
      <formula>IF(BE5&gt;=BF5,IF(BE5="",FALSE,TRUE))</formula>
    </cfRule>
  </conditionalFormatting>
  <conditionalFormatting sqref="BE27:BE28">
    <cfRule type="expression" dxfId="396" priority="521">
      <formula>OR(IF(BE27&lt;BF27,TRUE),IF(AND(BF27="",BE27&lt;&gt;""),TRUE))</formula>
    </cfRule>
    <cfRule type="expression" dxfId="395" priority="522">
      <formula>IF(BE27&gt;=BF27,IF(BE27="",FALSE,TRUE))</formula>
    </cfRule>
  </conditionalFormatting>
  <conditionalFormatting sqref="BG27:BG28">
    <cfRule type="expression" dxfId="394" priority="519">
      <formula>OR(IF(BG27&lt;BH27,TRUE),IF(AND(BH27="",BG27&lt;&gt;""),TRUE))</formula>
    </cfRule>
    <cfRule type="expression" dxfId="393" priority="520">
      <formula>IF(BG27&gt;=BH27,IF(BG27="",FALSE,TRUE))</formula>
    </cfRule>
  </conditionalFormatting>
  <conditionalFormatting sqref="BE39:BE40">
    <cfRule type="expression" dxfId="392" priority="517">
      <formula>OR(IF(BE39&lt;BF39,TRUE),IF(AND(BF39="",BE39&lt;&gt;""),TRUE))</formula>
    </cfRule>
    <cfRule type="expression" dxfId="391" priority="518">
      <formula>IF(BE39&gt;=BF39,IF(BE39="",FALSE,TRUE))</formula>
    </cfRule>
  </conditionalFormatting>
  <conditionalFormatting sqref="BG39:BG40">
    <cfRule type="expression" dxfId="390" priority="515">
      <formula>OR(IF(BG39&lt;BH39,TRUE),IF(AND(BH39="",BG39&lt;&gt;""),TRUE))</formula>
    </cfRule>
    <cfRule type="expression" dxfId="389" priority="516">
      <formula>IF(BG39&gt;=BH39,IF(BG39="",FALSE,TRUE))</formula>
    </cfRule>
  </conditionalFormatting>
  <conditionalFormatting sqref="BL5:BL15 BN5:BN15 BN41:BN50 BL41:BL50">
    <cfRule type="expression" dxfId="388" priority="509">
      <formula>OR(IF(BL5&lt;BM5,TRUE),IF(AND(BM5="",BL5&lt;&gt;""),TRUE))</formula>
    </cfRule>
    <cfRule type="expression" dxfId="387" priority="510">
      <formula>IF(BL5&gt;=BM5,IF(BL5="",FALSE,TRUE))</formula>
    </cfRule>
  </conditionalFormatting>
  <conditionalFormatting sqref="BL27:BL28">
    <cfRule type="expression" dxfId="386" priority="499">
      <formula>OR(IF(BL27&lt;BM27,TRUE),IF(AND(BM27="",BL27&lt;&gt;""),TRUE))</formula>
    </cfRule>
    <cfRule type="expression" dxfId="385" priority="500">
      <formula>IF(BL27&gt;=BM27,IF(BL27="",FALSE,TRUE))</formula>
    </cfRule>
  </conditionalFormatting>
  <conditionalFormatting sqref="BN27:BN28">
    <cfRule type="expression" dxfId="384" priority="497">
      <formula>OR(IF(BN27&lt;BO27,TRUE),IF(AND(BO27="",BN27&lt;&gt;""),TRUE))</formula>
    </cfRule>
    <cfRule type="expression" dxfId="383" priority="498">
      <formula>IF(BN27&gt;=BO27,IF(BN27="",FALSE,TRUE))</formula>
    </cfRule>
  </conditionalFormatting>
  <conditionalFormatting sqref="BL39:BL40">
    <cfRule type="expression" dxfId="382" priority="495">
      <formula>OR(IF(BL39&lt;BM39,TRUE),IF(AND(BM39="",BL39&lt;&gt;""),TRUE))</formula>
    </cfRule>
    <cfRule type="expression" dxfId="381" priority="496">
      <formula>IF(BL39&gt;=BM39,IF(BL39="",FALSE,TRUE))</formula>
    </cfRule>
  </conditionalFormatting>
  <conditionalFormatting sqref="BN39:BN40">
    <cfRule type="expression" dxfId="380" priority="493">
      <formula>OR(IF(BN39&lt;BO39,TRUE),IF(AND(BO39="",BN39&lt;&gt;""),TRUE))</formula>
    </cfRule>
    <cfRule type="expression" dxfId="379" priority="494">
      <formula>IF(BN39&gt;=BO39,IF(BN39="",FALSE,TRUE))</formula>
    </cfRule>
  </conditionalFormatting>
  <conditionalFormatting sqref="BS5:BS15 BU41:BU50 BS41:BS50">
    <cfRule type="expression" dxfId="378" priority="487">
      <formula>OR(IF(BS5&lt;BT5,TRUE),IF(AND(BT5="",BS5&lt;&gt;""),TRUE))</formula>
    </cfRule>
    <cfRule type="expression" dxfId="377" priority="488">
      <formula>IF(BS5&gt;=BT5,IF(BS5="",FALSE,TRUE))</formula>
    </cfRule>
  </conditionalFormatting>
  <conditionalFormatting sqref="BS27:BS28">
    <cfRule type="expression" dxfId="376" priority="477">
      <formula>OR(IF(BS27&lt;BT27,TRUE),IF(AND(BT27="",BS27&lt;&gt;""),TRUE))</formula>
    </cfRule>
    <cfRule type="expression" dxfId="375" priority="478">
      <formula>IF(BS27&gt;=BT27,IF(BS27="",FALSE,TRUE))</formula>
    </cfRule>
  </conditionalFormatting>
  <conditionalFormatting sqref="BU27:BU28">
    <cfRule type="expression" dxfId="374" priority="475">
      <formula>OR(IF(BU27&lt;BV27,TRUE),IF(AND(BV27="",BU27&lt;&gt;""),TRUE))</formula>
    </cfRule>
    <cfRule type="expression" dxfId="373" priority="476">
      <formula>IF(BU27&gt;=BV27,IF(BU27="",FALSE,TRUE))</formula>
    </cfRule>
  </conditionalFormatting>
  <conditionalFormatting sqref="BS39:BS40">
    <cfRule type="expression" dxfId="372" priority="473">
      <formula>OR(IF(BS39&lt;BT39,TRUE),IF(AND(BT39="",BS39&lt;&gt;""),TRUE))</formula>
    </cfRule>
    <cfRule type="expression" dxfId="371" priority="474">
      <formula>IF(BS39&gt;=BT39,IF(BS39="",FALSE,TRUE))</formula>
    </cfRule>
  </conditionalFormatting>
  <conditionalFormatting sqref="BU39:BU40">
    <cfRule type="expression" dxfId="370" priority="471">
      <formula>OR(IF(BU39&lt;BV39,TRUE),IF(AND(BV39="",BU39&lt;&gt;""),TRUE))</formula>
    </cfRule>
    <cfRule type="expression" dxfId="369" priority="472">
      <formula>IF(BU39&gt;=BV39,IF(BU39="",FALSE,TRUE))</formula>
    </cfRule>
  </conditionalFormatting>
  <conditionalFormatting sqref="CG5:CG15 CI5:CI15 CI41:CI50 CG41:CG50">
    <cfRule type="expression" dxfId="368" priority="443">
      <formula>OR(IF(CG5&lt;CH5,TRUE),IF(AND(CH5="",CG5&lt;&gt;""),TRUE))</formula>
    </cfRule>
    <cfRule type="expression" dxfId="367" priority="444">
      <formula>IF(CG5&gt;=CH5,IF(CG5="",FALSE,TRUE))</formula>
    </cfRule>
  </conditionalFormatting>
  <conditionalFormatting sqref="CG27:CG28">
    <cfRule type="expression" dxfId="366" priority="433">
      <formula>OR(IF(CG27&lt;CH27,TRUE),IF(AND(CH27="",CG27&lt;&gt;""),TRUE))</formula>
    </cfRule>
    <cfRule type="expression" dxfId="365" priority="434">
      <formula>IF(CG27&gt;=CH27,IF(CG27="",FALSE,TRUE))</formula>
    </cfRule>
  </conditionalFormatting>
  <conditionalFormatting sqref="CI27:CI28">
    <cfRule type="expression" dxfId="364" priority="431">
      <formula>OR(IF(CI27&lt;CJ27,TRUE),IF(AND(CJ27="",CI27&lt;&gt;""),TRUE))</formula>
    </cfRule>
    <cfRule type="expression" dxfId="363" priority="432">
      <formula>IF(CI27&gt;=CJ27,IF(CI27="",FALSE,TRUE))</formula>
    </cfRule>
  </conditionalFormatting>
  <conditionalFormatting sqref="CG39:CG40">
    <cfRule type="expression" dxfId="362" priority="429">
      <formula>OR(IF(CG39&lt;CH39,TRUE),IF(AND(CH39="",CG39&lt;&gt;""),TRUE))</formula>
    </cfRule>
    <cfRule type="expression" dxfId="361" priority="430">
      <formula>IF(CG39&gt;=CH39,IF(CG39="",FALSE,TRUE))</formula>
    </cfRule>
  </conditionalFormatting>
  <conditionalFormatting sqref="CI39:CI40">
    <cfRule type="expression" dxfId="360" priority="427">
      <formula>OR(IF(CI39&lt;CJ39,TRUE),IF(AND(CJ39="",CI39&lt;&gt;""),TRUE))</formula>
    </cfRule>
    <cfRule type="expression" dxfId="359" priority="428">
      <formula>IF(CI39&gt;=CJ39,IF(CI39="",FALSE,TRUE))</formula>
    </cfRule>
  </conditionalFormatting>
  <conditionalFormatting sqref="CN5:CN15 CP5:CP15 CP41:CP50 CN41:CN50">
    <cfRule type="expression" dxfId="358" priority="421">
      <formula>OR(IF(CN5&lt;CO5,TRUE),IF(AND(CO5="",CN5&lt;&gt;""),TRUE))</formula>
    </cfRule>
    <cfRule type="expression" dxfId="357" priority="422">
      <formula>IF(CN5&gt;=CO5,IF(CN5="",FALSE,TRUE))</formula>
    </cfRule>
  </conditionalFormatting>
  <conditionalFormatting sqref="CN27:CN28">
    <cfRule type="expression" dxfId="356" priority="411">
      <formula>OR(IF(CN27&lt;CO27,TRUE),IF(AND(CO27="",CN27&lt;&gt;""),TRUE))</formula>
    </cfRule>
    <cfRule type="expression" dxfId="355" priority="412">
      <formula>IF(CN27&gt;=CO27,IF(CN27="",FALSE,TRUE))</formula>
    </cfRule>
  </conditionalFormatting>
  <conditionalFormatting sqref="CP27:CP28">
    <cfRule type="expression" dxfId="354" priority="409">
      <formula>OR(IF(CP27&lt;CQ27,TRUE),IF(AND(CQ27="",CP27&lt;&gt;""),TRUE))</formula>
    </cfRule>
    <cfRule type="expression" dxfId="353" priority="410">
      <formula>IF(CP27&gt;=CQ27,IF(CP27="",FALSE,TRUE))</formula>
    </cfRule>
  </conditionalFormatting>
  <conditionalFormatting sqref="CN39:CN40">
    <cfRule type="expression" dxfId="352" priority="407">
      <formula>OR(IF(CN39&lt;CO39,TRUE),IF(AND(CO39="",CN39&lt;&gt;""),TRUE))</formula>
    </cfRule>
    <cfRule type="expression" dxfId="351" priority="408">
      <formula>IF(CN39&gt;=CO39,IF(CN39="",FALSE,TRUE))</formula>
    </cfRule>
  </conditionalFormatting>
  <conditionalFormatting sqref="CP39:CP40">
    <cfRule type="expression" dxfId="350" priority="405">
      <formula>OR(IF(CP39&lt;CQ39,TRUE),IF(AND(CQ39="",CP39&lt;&gt;""),TRUE))</formula>
    </cfRule>
    <cfRule type="expression" dxfId="349" priority="406">
      <formula>IF(CP39&gt;=CQ39,IF(CP39="",FALSE,TRUE))</formula>
    </cfRule>
  </conditionalFormatting>
  <conditionalFormatting sqref="CU5:CU15 CW5:CW15 CW41:CW50 CU41:CU50">
    <cfRule type="expression" dxfId="348" priority="399">
      <formula>OR(IF(CU5&lt;CV5,TRUE),IF(AND(CV5="",CU5&lt;&gt;""),TRUE))</formula>
    </cfRule>
    <cfRule type="expression" dxfId="347" priority="400">
      <formula>IF(CU5&gt;=CV5,IF(CU5="",FALSE,TRUE))</formula>
    </cfRule>
  </conditionalFormatting>
  <conditionalFormatting sqref="CU27:CU28">
    <cfRule type="expression" dxfId="346" priority="389">
      <formula>OR(IF(CU27&lt;CV27,TRUE),IF(AND(CV27="",CU27&lt;&gt;""),TRUE))</formula>
    </cfRule>
    <cfRule type="expression" dxfId="345" priority="390">
      <formula>IF(CU27&gt;=CV27,IF(CU27="",FALSE,TRUE))</formula>
    </cfRule>
  </conditionalFormatting>
  <conditionalFormatting sqref="CW27:CW28">
    <cfRule type="expression" dxfId="344" priority="387">
      <formula>OR(IF(CW27&lt;CX27,TRUE),IF(AND(CX27="",CW27&lt;&gt;""),TRUE))</formula>
    </cfRule>
    <cfRule type="expression" dxfId="343" priority="388">
      <formula>IF(CW27&gt;=CX27,IF(CW27="",FALSE,TRUE))</formula>
    </cfRule>
  </conditionalFormatting>
  <conditionalFormatting sqref="CU39:CU40">
    <cfRule type="expression" dxfId="342" priority="385">
      <formula>OR(IF(CU39&lt;CV39,TRUE),IF(AND(CV39="",CU39&lt;&gt;""),TRUE))</formula>
    </cfRule>
    <cfRule type="expression" dxfId="341" priority="386">
      <formula>IF(CU39&gt;=CV39,IF(CU39="",FALSE,TRUE))</formula>
    </cfRule>
  </conditionalFormatting>
  <conditionalFormatting sqref="CW39:CW40">
    <cfRule type="expression" dxfId="340" priority="383">
      <formula>OR(IF(CW39&lt;CX39,TRUE),IF(AND(CX39="",CW39&lt;&gt;""),TRUE))</formula>
    </cfRule>
    <cfRule type="expression" dxfId="339" priority="384">
      <formula>IF(CW39&gt;=CX39,IF(CW39="",FALSE,TRUE))</formula>
    </cfRule>
  </conditionalFormatting>
  <conditionalFormatting sqref="DB5:DB15 DD5:DD15 DD41:DD50 DB41:DB50">
    <cfRule type="expression" dxfId="338" priority="377">
      <formula>OR(IF(DB5&lt;DC5,TRUE),IF(AND(DC5="",DB5&lt;&gt;""),TRUE))</formula>
    </cfRule>
    <cfRule type="expression" dxfId="337" priority="378">
      <formula>IF(DB5&gt;=DC5,IF(DB5="",FALSE,TRUE))</formula>
    </cfRule>
  </conditionalFormatting>
  <conditionalFormatting sqref="DB27:DB28">
    <cfRule type="expression" dxfId="336" priority="367">
      <formula>OR(IF(DB27&lt;DC27,TRUE),IF(AND(DC27="",DB27&lt;&gt;""),TRUE))</formula>
    </cfRule>
    <cfRule type="expression" dxfId="335" priority="368">
      <formula>IF(DB27&gt;=DC27,IF(DB27="",FALSE,TRUE))</formula>
    </cfRule>
  </conditionalFormatting>
  <conditionalFormatting sqref="DD27:DD28">
    <cfRule type="expression" dxfId="334" priority="365">
      <formula>OR(IF(DD27&lt;DE27,TRUE),IF(AND(DE27="",DD27&lt;&gt;""),TRUE))</formula>
    </cfRule>
    <cfRule type="expression" dxfId="333" priority="366">
      <formula>IF(DD27&gt;=DE27,IF(DD27="",FALSE,TRUE))</formula>
    </cfRule>
  </conditionalFormatting>
  <conditionalFormatting sqref="DB39:DB40">
    <cfRule type="expression" dxfId="332" priority="363">
      <formula>OR(IF(DB39&lt;DC39,TRUE),IF(AND(DC39="",DB39&lt;&gt;""),TRUE))</formula>
    </cfRule>
    <cfRule type="expression" dxfId="331" priority="364">
      <formula>IF(DB39&gt;=DC39,IF(DB39="",FALSE,TRUE))</formula>
    </cfRule>
  </conditionalFormatting>
  <conditionalFormatting sqref="DD39:DD40">
    <cfRule type="expression" dxfId="330" priority="361">
      <formula>OR(IF(DD39&lt;DE39,TRUE),IF(AND(DE39="",DD39&lt;&gt;""),TRUE))</formula>
    </cfRule>
    <cfRule type="expression" dxfId="329" priority="362">
      <formula>IF(DD39&gt;=DE39,IF(DD39="",FALSE,TRUE))</formula>
    </cfRule>
  </conditionalFormatting>
  <conditionalFormatting sqref="DI5:DI15 DK5:DK15 DK41:DK50 DI41:DI50">
    <cfRule type="expression" dxfId="328" priority="355">
      <formula>OR(IF(DI5&lt;DJ5,TRUE),IF(AND(DJ5="",DI5&lt;&gt;""),TRUE))</formula>
    </cfRule>
    <cfRule type="expression" dxfId="327" priority="356">
      <formula>IF(DI5&gt;=DJ5,IF(DI5="",FALSE,TRUE))</formula>
    </cfRule>
  </conditionalFormatting>
  <conditionalFormatting sqref="DI27:DI28">
    <cfRule type="expression" dxfId="326" priority="345">
      <formula>OR(IF(DI27&lt;DJ27,TRUE),IF(AND(DJ27="",DI27&lt;&gt;""),TRUE))</formula>
    </cfRule>
    <cfRule type="expression" dxfId="325" priority="346">
      <formula>IF(DI27&gt;=DJ27,IF(DI27="",FALSE,TRUE))</formula>
    </cfRule>
  </conditionalFormatting>
  <conditionalFormatting sqref="DK27:DK28">
    <cfRule type="expression" dxfId="324" priority="343">
      <formula>OR(IF(DK27&lt;DL27,TRUE),IF(AND(DL27="",DK27&lt;&gt;""),TRUE))</formula>
    </cfRule>
    <cfRule type="expression" dxfId="323" priority="344">
      <formula>IF(DK27&gt;=DL27,IF(DK27="",FALSE,TRUE))</formula>
    </cfRule>
  </conditionalFormatting>
  <conditionalFormatting sqref="DI39:DI40">
    <cfRule type="expression" dxfId="322" priority="341">
      <formula>OR(IF(DI39&lt;DJ39,TRUE),IF(AND(DJ39="",DI39&lt;&gt;""),TRUE))</formula>
    </cfRule>
    <cfRule type="expression" dxfId="321" priority="342">
      <formula>IF(DI39&gt;=DJ39,IF(DI39="",FALSE,TRUE))</formula>
    </cfRule>
  </conditionalFormatting>
  <conditionalFormatting sqref="DK39:DK40">
    <cfRule type="expression" dxfId="320" priority="339">
      <formula>OR(IF(DK39&lt;DL39,TRUE),IF(AND(DL39="",DK39&lt;&gt;""),TRUE))</formula>
    </cfRule>
    <cfRule type="expression" dxfId="319" priority="340">
      <formula>IF(DK39&gt;=DL39,IF(DK39="",FALSE,TRUE))</formula>
    </cfRule>
  </conditionalFormatting>
  <conditionalFormatting sqref="DP5:DP15 DR5:DR15 DR41:DR50 DP41:DP50">
    <cfRule type="expression" dxfId="318" priority="333">
      <formula>OR(IF(DP5&lt;DQ5,TRUE),IF(AND(DQ5="",DP5&lt;&gt;""),TRUE))</formula>
    </cfRule>
    <cfRule type="expression" dxfId="317" priority="334">
      <formula>IF(DP5&gt;=DQ5,IF(DP5="",FALSE,TRUE))</formula>
    </cfRule>
  </conditionalFormatting>
  <conditionalFormatting sqref="DP27:DP28">
    <cfRule type="expression" dxfId="316" priority="323">
      <formula>OR(IF(DP27&lt;DQ27,TRUE),IF(AND(DQ27="",DP27&lt;&gt;""),TRUE))</formula>
    </cfRule>
    <cfRule type="expression" dxfId="315" priority="324">
      <formula>IF(DP27&gt;=DQ27,IF(DP27="",FALSE,TRUE))</formula>
    </cfRule>
  </conditionalFormatting>
  <conditionalFormatting sqref="DR27:DR28">
    <cfRule type="expression" dxfId="314" priority="321">
      <formula>OR(IF(DR27&lt;DS27,TRUE),IF(AND(DS27="",DR27&lt;&gt;""),TRUE))</formula>
    </cfRule>
    <cfRule type="expression" dxfId="313" priority="322">
      <formula>IF(DR27&gt;=DS27,IF(DR27="",FALSE,TRUE))</formula>
    </cfRule>
  </conditionalFormatting>
  <conditionalFormatting sqref="DP39:DP40">
    <cfRule type="expression" dxfId="312" priority="319">
      <formula>OR(IF(DP39&lt;DQ39,TRUE),IF(AND(DQ39="",DP39&lt;&gt;""),TRUE))</formula>
    </cfRule>
    <cfRule type="expression" dxfId="311" priority="320">
      <formula>IF(DP39&gt;=DQ39,IF(DP39="",FALSE,TRUE))</formula>
    </cfRule>
  </conditionalFormatting>
  <conditionalFormatting sqref="DR39:DR40">
    <cfRule type="expression" dxfId="310" priority="317">
      <formula>OR(IF(DR39&lt;DS39,TRUE),IF(AND(DS39="",DR39&lt;&gt;""),TRUE))</formula>
    </cfRule>
    <cfRule type="expression" dxfId="309" priority="318">
      <formula>IF(DR39&gt;=DS39,IF(DR39="",FALSE,TRUE))</formula>
    </cfRule>
  </conditionalFormatting>
  <conditionalFormatting sqref="DW5:DW15 DY5:DY15 DY41:DY50 DW41:DW50">
    <cfRule type="expression" dxfId="308" priority="311">
      <formula>OR(IF(DW5&lt;DX5,TRUE),IF(AND(DX5="",DW5&lt;&gt;""),TRUE))</formula>
    </cfRule>
    <cfRule type="expression" dxfId="307" priority="312">
      <formula>IF(DW5&gt;=DX5,IF(DW5="",FALSE,TRUE))</formula>
    </cfRule>
  </conditionalFormatting>
  <conditionalFormatting sqref="DW27:DW28">
    <cfRule type="expression" dxfId="306" priority="301">
      <formula>OR(IF(DW27&lt;DX27,TRUE),IF(AND(DX27="",DW27&lt;&gt;""),TRUE))</formula>
    </cfRule>
    <cfRule type="expression" dxfId="305" priority="302">
      <formula>IF(DW27&gt;=DX27,IF(DW27="",FALSE,TRUE))</formula>
    </cfRule>
  </conditionalFormatting>
  <conditionalFormatting sqref="DY27:DY28">
    <cfRule type="expression" dxfId="304" priority="299">
      <formula>OR(IF(DY27&lt;DZ27,TRUE),IF(AND(DZ27="",DY27&lt;&gt;""),TRUE))</formula>
    </cfRule>
    <cfRule type="expression" dxfId="303" priority="300">
      <formula>IF(DY27&gt;=DZ27,IF(DY27="",FALSE,TRUE))</formula>
    </cfRule>
  </conditionalFormatting>
  <conditionalFormatting sqref="DW39:DW40">
    <cfRule type="expression" dxfId="302" priority="297">
      <formula>OR(IF(DW39&lt;DX39,TRUE),IF(AND(DX39="",DW39&lt;&gt;""),TRUE))</formula>
    </cfRule>
    <cfRule type="expression" dxfId="301" priority="298">
      <formula>IF(DW39&gt;=DX39,IF(DW39="",FALSE,TRUE))</formula>
    </cfRule>
  </conditionalFormatting>
  <conditionalFormatting sqref="DY39:DY40">
    <cfRule type="expression" dxfId="300" priority="295">
      <formula>OR(IF(DY39&lt;DZ39,TRUE),IF(AND(DZ39="",DY39&lt;&gt;""),TRUE))</formula>
    </cfRule>
    <cfRule type="expression" dxfId="299" priority="296">
      <formula>IF(DY39&gt;=DZ39,IF(DY39="",FALSE,TRUE))</formula>
    </cfRule>
  </conditionalFormatting>
  <conditionalFormatting sqref="J19:K24">
    <cfRule type="colorScale" priority="1195">
      <colorScale>
        <cfvo type="percent" val="0"/>
        <cfvo type="percent" val="100"/>
        <color rgb="FFFF231B"/>
        <color rgb="FF10FF07"/>
      </colorScale>
    </cfRule>
  </conditionalFormatting>
  <conditionalFormatting sqref="BZ5:BZ15 CB41:CB50 BZ41:BZ50">
    <cfRule type="expression" dxfId="296" priority="287">
      <formula>OR(IF(BZ5&lt;CA5,TRUE),IF(AND(CA5="",BZ5&lt;&gt;""),TRUE))</formula>
    </cfRule>
    <cfRule type="expression" dxfId="295" priority="288">
      <formula>IF(BZ5&gt;=CA5,IF(BZ5="",FALSE,TRUE))</formula>
    </cfRule>
  </conditionalFormatting>
  <conditionalFormatting sqref="BZ27:BZ28">
    <cfRule type="expression" dxfId="294" priority="277">
      <formula>OR(IF(BZ27&lt;CA27,TRUE),IF(AND(CA27="",BZ27&lt;&gt;""),TRUE))</formula>
    </cfRule>
    <cfRule type="expression" dxfId="293" priority="278">
      <formula>IF(BZ27&gt;=CA27,IF(BZ27="",FALSE,TRUE))</formula>
    </cfRule>
  </conditionalFormatting>
  <conditionalFormatting sqref="CB27:CB28">
    <cfRule type="expression" dxfId="292" priority="275">
      <formula>OR(IF(CB27&lt;CC27,TRUE),IF(AND(CC27="",CB27&lt;&gt;""),TRUE))</formula>
    </cfRule>
    <cfRule type="expression" dxfId="291" priority="276">
      <formula>IF(CB27&gt;=CC27,IF(CB27="",FALSE,TRUE))</formula>
    </cfRule>
  </conditionalFormatting>
  <conditionalFormatting sqref="BZ39:BZ40">
    <cfRule type="expression" dxfId="290" priority="273">
      <formula>OR(IF(BZ39&lt;CA39,TRUE),IF(AND(CA39="",BZ39&lt;&gt;""),TRUE))</formula>
    </cfRule>
    <cfRule type="expression" dxfId="289" priority="274">
      <formula>IF(BZ39&gt;=CA39,IF(BZ39="",FALSE,TRUE))</formula>
    </cfRule>
  </conditionalFormatting>
  <conditionalFormatting sqref="CB39:CB40">
    <cfRule type="expression" dxfId="288" priority="271">
      <formula>OR(IF(CB39&lt;CC39,TRUE),IF(AND(CC39="",CB39&lt;&gt;""),TRUE))</formula>
    </cfRule>
    <cfRule type="expression" dxfId="287" priority="272">
      <formula>IF(CB39&gt;=CC39,IF(CB39="",FALSE,TRUE))</formula>
    </cfRule>
  </conditionalFormatting>
  <conditionalFormatting sqref="CB4">
    <cfRule type="expression" dxfId="286" priority="289">
      <formula>OR(IF(CB4&lt;CC4,TRUE),IF(AND(CC4="",CB4&lt;&gt;""),TRUE))</formula>
    </cfRule>
    <cfRule type="expression" dxfId="285" priority="290">
      <formula>IF(CB4&gt;=CC4,IF(CB4="",FALSE,TRUE))</formula>
    </cfRule>
  </conditionalFormatting>
  <conditionalFormatting sqref="J18:J24">
    <cfRule type="colorScale" priority="1346">
      <colorScale>
        <cfvo type="percent" val="0"/>
        <cfvo type="percent" val="100"/>
        <color rgb="FFFF231B"/>
        <color rgb="FF10FF07"/>
      </colorScale>
    </cfRule>
  </conditionalFormatting>
  <conditionalFormatting sqref="K18:K24">
    <cfRule type="colorScale" priority="1348">
      <colorScale>
        <cfvo type="percent" val="0"/>
        <cfvo type="percent" val="100"/>
        <color rgb="FFFF231B"/>
        <color rgb="FF10FF07"/>
      </colorScale>
    </cfRule>
  </conditionalFormatting>
  <conditionalFormatting sqref="ED18:ED24 EF18:EF24">
    <cfRule type="expression" dxfId="284" priority="269">
      <formula>OR(IF(ED18&lt;EE18,TRUE),IF(AND(EE18="",ED18&lt;&gt;""),TRUE))</formula>
    </cfRule>
    <cfRule type="expression" dxfId="283" priority="270">
      <formula>IF(ED18&gt;=EE18,IF(ED18="",FALSE,TRUE))</formula>
    </cfRule>
  </conditionalFormatting>
  <conditionalFormatting sqref="ED5:ED15 EF5:EF15 EF41:EF50 ED41:ED50">
    <cfRule type="expression" dxfId="282" priority="267">
      <formula>OR(IF(ED5&lt;EE5,TRUE),IF(AND(EE5="",ED5&lt;&gt;""),TRUE))</formula>
    </cfRule>
    <cfRule type="expression" dxfId="281" priority="268">
      <formula>IF(ED5&gt;=EE5,IF(ED5="",FALSE,TRUE))</formula>
    </cfRule>
  </conditionalFormatting>
  <conditionalFormatting sqref="ED27:ED28">
    <cfRule type="expression" dxfId="280" priority="265">
      <formula>OR(IF(ED27&lt;EE27,TRUE),IF(AND(EE27="",ED27&lt;&gt;""),TRUE))</formula>
    </cfRule>
    <cfRule type="expression" dxfId="279" priority="266">
      <formula>IF(ED27&gt;=EE27,IF(ED27="",FALSE,TRUE))</formula>
    </cfRule>
  </conditionalFormatting>
  <conditionalFormatting sqref="EF27:EF28">
    <cfRule type="expression" dxfId="278" priority="263">
      <formula>OR(IF(EF27&lt;EG27,TRUE),IF(AND(EG27="",EF27&lt;&gt;""),TRUE))</formula>
    </cfRule>
    <cfRule type="expression" dxfId="277" priority="264">
      <formula>IF(EF27&gt;=EG27,IF(EF27="",FALSE,TRUE))</formula>
    </cfRule>
  </conditionalFormatting>
  <conditionalFormatting sqref="ED39:ED40">
    <cfRule type="expression" dxfId="276" priority="261">
      <formula>OR(IF(ED39&lt;EE39,TRUE),IF(AND(EE39="",ED39&lt;&gt;""),TRUE))</formula>
    </cfRule>
    <cfRule type="expression" dxfId="275" priority="262">
      <formula>IF(ED39&gt;=EE39,IF(ED39="",FALSE,TRUE))</formula>
    </cfRule>
  </conditionalFormatting>
  <conditionalFormatting sqref="EF39:EF40">
    <cfRule type="expression" dxfId="274" priority="259">
      <formula>OR(IF(EF39&lt;EG39,TRUE),IF(AND(EG39="",EF39&lt;&gt;""),TRUE))</formula>
    </cfRule>
    <cfRule type="expression" dxfId="273" priority="260">
      <formula>IF(EF39&gt;=EG39,IF(EF39="",FALSE,TRUE))</formula>
    </cfRule>
  </conditionalFormatting>
  <conditionalFormatting sqref="EK18:EK24 EM18:EM24">
    <cfRule type="expression" dxfId="272" priority="257">
      <formula>OR(IF(EK18&lt;EL18,TRUE),IF(AND(EL18="",EK18&lt;&gt;""),TRUE))</formula>
    </cfRule>
    <cfRule type="expression" dxfId="271" priority="258">
      <formula>IF(EK18&gt;=EL18,IF(EK18="",FALSE,TRUE))</formula>
    </cfRule>
  </conditionalFormatting>
  <conditionalFormatting sqref="EK5:EK15 EM5:EM15 EM41:EM50 EK41:EK50">
    <cfRule type="expression" dxfId="270" priority="255">
      <formula>OR(IF(EK5&lt;EL5,TRUE),IF(AND(EL5="",EK5&lt;&gt;""),TRUE))</formula>
    </cfRule>
    <cfRule type="expression" dxfId="269" priority="256">
      <formula>IF(EK5&gt;=EL5,IF(EK5="",FALSE,TRUE))</formula>
    </cfRule>
  </conditionalFormatting>
  <conditionalFormatting sqref="EK27:EK28">
    <cfRule type="expression" dxfId="268" priority="253">
      <formula>OR(IF(EK27&lt;EL27,TRUE),IF(AND(EL27="",EK27&lt;&gt;""),TRUE))</formula>
    </cfRule>
    <cfRule type="expression" dxfId="267" priority="254">
      <formula>IF(EK27&gt;=EL27,IF(EK27="",FALSE,TRUE))</formula>
    </cfRule>
  </conditionalFormatting>
  <conditionalFormatting sqref="EM27:EM28">
    <cfRule type="expression" dxfId="266" priority="251">
      <formula>OR(IF(EM27&lt;EN27,TRUE),IF(AND(EN27="",EM27&lt;&gt;""),TRUE))</formula>
    </cfRule>
    <cfRule type="expression" dxfId="265" priority="252">
      <formula>IF(EM27&gt;=EN27,IF(EM27="",FALSE,TRUE))</formula>
    </cfRule>
  </conditionalFormatting>
  <conditionalFormatting sqref="EK39:EK40">
    <cfRule type="expression" dxfId="264" priority="249">
      <formula>OR(IF(EK39&lt;EL39,TRUE),IF(AND(EL39="",EK39&lt;&gt;""),TRUE))</formula>
    </cfRule>
    <cfRule type="expression" dxfId="263" priority="250">
      <formula>IF(EK39&gt;=EL39,IF(EK39="",FALSE,TRUE))</formula>
    </cfRule>
  </conditionalFormatting>
  <conditionalFormatting sqref="EM39:EM40">
    <cfRule type="expression" dxfId="262" priority="247">
      <formula>OR(IF(EM39&lt;EN39,TRUE),IF(AND(EN39="",EM39&lt;&gt;""),TRUE))</formula>
    </cfRule>
    <cfRule type="expression" dxfId="261" priority="248">
      <formula>IF(EM39&gt;=EN39,IF(EM39="",FALSE,TRUE))</formula>
    </cfRule>
  </conditionalFormatting>
  <conditionalFormatting sqref="ER18:ER24 ET18:ET24">
    <cfRule type="expression" dxfId="260" priority="245">
      <formula>OR(IF(ER18&lt;ES18,TRUE),IF(AND(ES18="",ER18&lt;&gt;""),TRUE))</formula>
    </cfRule>
    <cfRule type="expression" dxfId="259" priority="246">
      <formula>IF(ER18&gt;=ES18,IF(ER18="",FALSE,TRUE))</formula>
    </cfRule>
  </conditionalFormatting>
  <conditionalFormatting sqref="ER5:ER15 ET5:ET15 ET41:ET50 ER41:ER50">
    <cfRule type="expression" dxfId="258" priority="243">
      <formula>OR(IF(ER5&lt;ES5,TRUE),IF(AND(ES5="",ER5&lt;&gt;""),TRUE))</formula>
    </cfRule>
    <cfRule type="expression" dxfId="257" priority="244">
      <formula>IF(ER5&gt;=ES5,IF(ER5="",FALSE,TRUE))</formula>
    </cfRule>
  </conditionalFormatting>
  <conditionalFormatting sqref="ER27:ER28">
    <cfRule type="expression" dxfId="256" priority="241">
      <formula>OR(IF(ER27&lt;ES27,TRUE),IF(AND(ES27="",ER27&lt;&gt;""),TRUE))</formula>
    </cfRule>
    <cfRule type="expression" dxfId="255" priority="242">
      <formula>IF(ER27&gt;=ES27,IF(ER27="",FALSE,TRUE))</formula>
    </cfRule>
  </conditionalFormatting>
  <conditionalFormatting sqref="ET27:ET28">
    <cfRule type="expression" dxfId="254" priority="239">
      <formula>OR(IF(ET27&lt;EU27,TRUE),IF(AND(EU27="",ET27&lt;&gt;""),TRUE))</formula>
    </cfRule>
    <cfRule type="expression" dxfId="253" priority="240">
      <formula>IF(ET27&gt;=EU27,IF(ET27="",FALSE,TRUE))</formula>
    </cfRule>
  </conditionalFormatting>
  <conditionalFormatting sqref="ER39:ER40">
    <cfRule type="expression" dxfId="252" priority="237">
      <formula>OR(IF(ER39&lt;ES39,TRUE),IF(AND(ES39="",ER39&lt;&gt;""),TRUE))</formula>
    </cfRule>
    <cfRule type="expression" dxfId="251" priority="238">
      <formula>IF(ER39&gt;=ES39,IF(ER39="",FALSE,TRUE))</formula>
    </cfRule>
  </conditionalFormatting>
  <conditionalFormatting sqref="ET39:ET40">
    <cfRule type="expression" dxfId="250" priority="235">
      <formula>OR(IF(ET39&lt;EU39,TRUE),IF(AND(EU39="",ET39&lt;&gt;""),TRUE))</formula>
    </cfRule>
    <cfRule type="expression" dxfId="249" priority="236">
      <formula>IF(ET39&gt;=EU39,IF(ET39="",FALSE,TRUE))</formula>
    </cfRule>
  </conditionalFormatting>
  <conditionalFormatting sqref="EY18:EY24 FA18:FA24">
    <cfRule type="expression" dxfId="248" priority="233">
      <formula>OR(IF(EY18&lt;EZ18,TRUE),IF(AND(EZ18="",EY18&lt;&gt;""),TRUE))</formula>
    </cfRule>
    <cfRule type="expression" dxfId="247" priority="234">
      <formula>IF(EY18&gt;=EZ18,IF(EY18="",FALSE,TRUE))</formula>
    </cfRule>
  </conditionalFormatting>
  <conditionalFormatting sqref="EY5:EY15 FA5:FA15 FA41:FA50 EY41:EY50">
    <cfRule type="expression" dxfId="246" priority="231">
      <formula>OR(IF(EY5&lt;EZ5,TRUE),IF(AND(EZ5="",EY5&lt;&gt;""),TRUE))</formula>
    </cfRule>
    <cfRule type="expression" dxfId="245" priority="232">
      <formula>IF(EY5&gt;=EZ5,IF(EY5="",FALSE,TRUE))</formula>
    </cfRule>
  </conditionalFormatting>
  <conditionalFormatting sqref="EY27:EY28">
    <cfRule type="expression" dxfId="244" priority="229">
      <formula>OR(IF(EY27&lt;EZ27,TRUE),IF(AND(EZ27="",EY27&lt;&gt;""),TRUE))</formula>
    </cfRule>
    <cfRule type="expression" dxfId="243" priority="230">
      <formula>IF(EY27&gt;=EZ27,IF(EY27="",FALSE,TRUE))</formula>
    </cfRule>
  </conditionalFormatting>
  <conditionalFormatting sqref="FA27:FA28">
    <cfRule type="expression" dxfId="242" priority="227">
      <formula>OR(IF(FA27&lt;FB27,TRUE),IF(AND(FB27="",FA27&lt;&gt;""),TRUE))</formula>
    </cfRule>
    <cfRule type="expression" dxfId="241" priority="228">
      <formula>IF(FA27&gt;=FB27,IF(FA27="",FALSE,TRUE))</formula>
    </cfRule>
  </conditionalFormatting>
  <conditionalFormatting sqref="EY39:EY40">
    <cfRule type="expression" dxfId="240" priority="225">
      <formula>OR(IF(EY39&lt;EZ39,TRUE),IF(AND(EZ39="",EY39&lt;&gt;""),TRUE))</formula>
    </cfRule>
    <cfRule type="expression" dxfId="239" priority="226">
      <formula>IF(EY39&gt;=EZ39,IF(EY39="",FALSE,TRUE))</formula>
    </cfRule>
  </conditionalFormatting>
  <conditionalFormatting sqref="FA39:FA40">
    <cfRule type="expression" dxfId="238" priority="223">
      <formula>OR(IF(FA39&lt;FB39,TRUE),IF(AND(FB39="",FA39&lt;&gt;""),TRUE))</formula>
    </cfRule>
    <cfRule type="expression" dxfId="237" priority="224">
      <formula>IF(FA39&gt;=FB39,IF(FA39="",FALSE,TRUE))</formula>
    </cfRule>
  </conditionalFormatting>
  <conditionalFormatting sqref="FF18:FF24 FH18:FH24">
    <cfRule type="expression" dxfId="236" priority="221">
      <formula>OR(IF(FF18&lt;FG18,TRUE),IF(AND(FG18="",FF18&lt;&gt;""),TRUE))</formula>
    </cfRule>
    <cfRule type="expression" dxfId="235" priority="222">
      <formula>IF(FF18&gt;=FG18,IF(FF18="",FALSE,TRUE))</formula>
    </cfRule>
  </conditionalFormatting>
  <conditionalFormatting sqref="FF5:FF15 FH5:FH15 FH41:FH50 FF41:FF50">
    <cfRule type="expression" dxfId="234" priority="219">
      <formula>OR(IF(FF5&lt;FG5,TRUE),IF(AND(FG5="",FF5&lt;&gt;""),TRUE))</formula>
    </cfRule>
    <cfRule type="expression" dxfId="233" priority="220">
      <formula>IF(FF5&gt;=FG5,IF(FF5="",FALSE,TRUE))</formula>
    </cfRule>
  </conditionalFormatting>
  <conditionalFormatting sqref="FF27:FF28">
    <cfRule type="expression" dxfId="232" priority="217">
      <formula>OR(IF(FF27&lt;FG27,TRUE),IF(AND(FG27="",FF27&lt;&gt;""),TRUE))</formula>
    </cfRule>
    <cfRule type="expression" dxfId="231" priority="218">
      <formula>IF(FF27&gt;=FG27,IF(FF27="",FALSE,TRUE))</formula>
    </cfRule>
  </conditionalFormatting>
  <conditionalFormatting sqref="FH27:FH28">
    <cfRule type="expression" dxfId="230" priority="215">
      <formula>OR(IF(FH27&lt;FI27,TRUE),IF(AND(FI27="",FH27&lt;&gt;""),TRUE))</formula>
    </cfRule>
    <cfRule type="expression" dxfId="229" priority="216">
      <formula>IF(FH27&gt;=FI27,IF(FH27="",FALSE,TRUE))</formula>
    </cfRule>
  </conditionalFormatting>
  <conditionalFormatting sqref="FF39:FF40">
    <cfRule type="expression" dxfId="228" priority="213">
      <formula>OR(IF(FF39&lt;FG39,TRUE),IF(AND(FG39="",FF39&lt;&gt;""),TRUE))</formula>
    </cfRule>
    <cfRule type="expression" dxfId="227" priority="214">
      <formula>IF(FF39&gt;=FG39,IF(FF39="",FALSE,TRUE))</formula>
    </cfRule>
  </conditionalFormatting>
  <conditionalFormatting sqref="FH39:FH40">
    <cfRule type="expression" dxfId="226" priority="211">
      <formula>OR(IF(FH39&lt;FI39,TRUE),IF(AND(FI39="",FH39&lt;&gt;""),TRUE))</formula>
    </cfRule>
    <cfRule type="expression" dxfId="225" priority="212">
      <formula>IF(FH39&gt;=FI39,IF(FH39="",FALSE,TRUE))</formula>
    </cfRule>
  </conditionalFormatting>
  <conditionalFormatting sqref="FM18:FM24 FO18:FO24">
    <cfRule type="expression" dxfId="224" priority="209">
      <formula>OR(IF(FM18&lt;FN18,TRUE),IF(AND(FN18="",FM18&lt;&gt;""),TRUE))</formula>
    </cfRule>
    <cfRule type="expression" dxfId="223" priority="210">
      <formula>IF(FM18&gt;=FN18,IF(FM18="",FALSE,TRUE))</formula>
    </cfRule>
  </conditionalFormatting>
  <conditionalFormatting sqref="FM5:FM15 FO5:FO15 FO41:FO50 FM41:FM50">
    <cfRule type="expression" dxfId="222" priority="207">
      <formula>OR(IF(FM5&lt;FN5,TRUE),IF(AND(FN5="",FM5&lt;&gt;""),TRUE))</formula>
    </cfRule>
    <cfRule type="expression" dxfId="221" priority="208">
      <formula>IF(FM5&gt;=FN5,IF(FM5="",FALSE,TRUE))</formula>
    </cfRule>
  </conditionalFormatting>
  <conditionalFormatting sqref="FM27:FM28">
    <cfRule type="expression" dxfId="220" priority="205">
      <formula>OR(IF(FM27&lt;FN27,TRUE),IF(AND(FN27="",FM27&lt;&gt;""),TRUE))</formula>
    </cfRule>
    <cfRule type="expression" dxfId="219" priority="206">
      <formula>IF(FM27&gt;=FN27,IF(FM27="",FALSE,TRUE))</formula>
    </cfRule>
  </conditionalFormatting>
  <conditionalFormatting sqref="FO27:FO28">
    <cfRule type="expression" dxfId="218" priority="203">
      <formula>OR(IF(FO27&lt;FP27,TRUE),IF(AND(FP27="",FO27&lt;&gt;""),TRUE))</formula>
    </cfRule>
    <cfRule type="expression" dxfId="217" priority="204">
      <formula>IF(FO27&gt;=FP27,IF(FO27="",FALSE,TRUE))</formula>
    </cfRule>
  </conditionalFormatting>
  <conditionalFormatting sqref="FM39:FM40">
    <cfRule type="expression" dxfId="216" priority="201">
      <formula>OR(IF(FM39&lt;FN39,TRUE),IF(AND(FN39="",FM39&lt;&gt;""),TRUE))</formula>
    </cfRule>
    <cfRule type="expression" dxfId="215" priority="202">
      <formula>IF(FM39&gt;=FN39,IF(FM39="",FALSE,TRUE))</formula>
    </cfRule>
  </conditionalFormatting>
  <conditionalFormatting sqref="FO39:FO40">
    <cfRule type="expression" dxfId="214" priority="199">
      <formula>OR(IF(FO39&lt;FP39,TRUE),IF(AND(FP39="",FO39&lt;&gt;""),TRUE))</formula>
    </cfRule>
    <cfRule type="expression" dxfId="213" priority="200">
      <formula>IF(FO39&gt;=FP39,IF(FO39="",FALSE,TRUE))</formula>
    </cfRule>
  </conditionalFormatting>
  <conditionalFormatting sqref="FT18:FT24 FV18:FV24">
    <cfRule type="expression" dxfId="212" priority="197">
      <formula>OR(IF(FT18&lt;FU18,TRUE),IF(AND(FU18="",FT18&lt;&gt;""),TRUE))</formula>
    </cfRule>
    <cfRule type="expression" dxfId="211" priority="198">
      <formula>IF(FT18&gt;=FU18,IF(FT18="",FALSE,TRUE))</formula>
    </cfRule>
  </conditionalFormatting>
  <conditionalFormatting sqref="FT5:FT15 FV5:FV15 FV41:FV50 FT41:FT50">
    <cfRule type="expression" dxfId="210" priority="195">
      <formula>OR(IF(FT5&lt;FU5,TRUE),IF(AND(FU5="",FT5&lt;&gt;""),TRUE))</formula>
    </cfRule>
    <cfRule type="expression" dxfId="209" priority="196">
      <formula>IF(FT5&gt;=FU5,IF(FT5="",FALSE,TRUE))</formula>
    </cfRule>
  </conditionalFormatting>
  <conditionalFormatting sqref="FT27:FT28">
    <cfRule type="expression" dxfId="208" priority="193">
      <formula>OR(IF(FT27&lt;FU27,TRUE),IF(AND(FU27="",FT27&lt;&gt;""),TRUE))</formula>
    </cfRule>
    <cfRule type="expression" dxfId="207" priority="194">
      <formula>IF(FT27&gt;=FU27,IF(FT27="",FALSE,TRUE))</formula>
    </cfRule>
  </conditionalFormatting>
  <conditionalFormatting sqref="FV27:FV28">
    <cfRule type="expression" dxfId="206" priority="191">
      <formula>OR(IF(FV27&lt;FW27,TRUE),IF(AND(FW27="",FV27&lt;&gt;""),TRUE))</formula>
    </cfRule>
    <cfRule type="expression" dxfId="205" priority="192">
      <formula>IF(FV27&gt;=FW27,IF(FV27="",FALSE,TRUE))</formula>
    </cfRule>
  </conditionalFormatting>
  <conditionalFormatting sqref="FT39:FT40">
    <cfRule type="expression" dxfId="204" priority="189">
      <formula>OR(IF(FT39&lt;FU39,TRUE),IF(AND(FU39="",FT39&lt;&gt;""),TRUE))</formula>
    </cfRule>
    <cfRule type="expression" dxfId="203" priority="190">
      <formula>IF(FT39&gt;=FU39,IF(FT39="",FALSE,TRUE))</formula>
    </cfRule>
  </conditionalFormatting>
  <conditionalFormatting sqref="FV39:FV40">
    <cfRule type="expression" dxfId="202" priority="187">
      <formula>OR(IF(FV39&lt;FW39,TRUE),IF(AND(FW39="",FV39&lt;&gt;""),TRUE))</formula>
    </cfRule>
    <cfRule type="expression" dxfId="201" priority="188">
      <formula>IF(FV39&gt;=FW39,IF(FV39="",FALSE,TRUE))</formula>
    </cfRule>
  </conditionalFormatting>
  <conditionalFormatting sqref="GA18:GA24 GC18:GC24">
    <cfRule type="expression" dxfId="200" priority="185">
      <formula>OR(IF(GA18&lt;GB18,TRUE),IF(AND(GB18="",GA18&lt;&gt;""),TRUE))</formula>
    </cfRule>
    <cfRule type="expression" dxfId="199" priority="186">
      <formula>IF(GA18&gt;=GB18,IF(GA18="",FALSE,TRUE))</formula>
    </cfRule>
  </conditionalFormatting>
  <conditionalFormatting sqref="GA5:GA15 GC5:GC15 GC41:GC50 GA41:GA50">
    <cfRule type="expression" dxfId="198" priority="183">
      <formula>OR(IF(GA5&lt;GB5,TRUE),IF(AND(GB5="",GA5&lt;&gt;""),TRUE))</formula>
    </cfRule>
    <cfRule type="expression" dxfId="197" priority="184">
      <formula>IF(GA5&gt;=GB5,IF(GA5="",FALSE,TRUE))</formula>
    </cfRule>
  </conditionalFormatting>
  <conditionalFormatting sqref="GA27:GA28">
    <cfRule type="expression" dxfId="196" priority="181">
      <formula>OR(IF(GA27&lt;GB27,TRUE),IF(AND(GB27="",GA27&lt;&gt;""),TRUE))</formula>
    </cfRule>
    <cfRule type="expression" dxfId="195" priority="182">
      <formula>IF(GA27&gt;=GB27,IF(GA27="",FALSE,TRUE))</formula>
    </cfRule>
  </conditionalFormatting>
  <conditionalFormatting sqref="GC27:GC28">
    <cfRule type="expression" dxfId="194" priority="179">
      <formula>OR(IF(GC27&lt;GD27,TRUE),IF(AND(GD27="",GC27&lt;&gt;""),TRUE))</formula>
    </cfRule>
    <cfRule type="expression" dxfId="193" priority="180">
      <formula>IF(GC27&gt;=GD27,IF(GC27="",FALSE,TRUE))</formula>
    </cfRule>
  </conditionalFormatting>
  <conditionalFormatting sqref="GA39:GA40">
    <cfRule type="expression" dxfId="192" priority="177">
      <formula>OR(IF(GA39&lt;GB39,TRUE),IF(AND(GB39="",GA39&lt;&gt;""),TRUE))</formula>
    </cfRule>
    <cfRule type="expression" dxfId="191" priority="178">
      <formula>IF(GA39&gt;=GB39,IF(GA39="",FALSE,TRUE))</formula>
    </cfRule>
  </conditionalFormatting>
  <conditionalFormatting sqref="GC39:GC40">
    <cfRule type="expression" dxfId="190" priority="175">
      <formula>OR(IF(GC39&lt;GD39,TRUE),IF(AND(GD39="",GC39&lt;&gt;""),TRUE))</formula>
    </cfRule>
    <cfRule type="expression" dxfId="189" priority="176">
      <formula>IF(GC39&gt;=GD39,IF(GC39="",FALSE,TRUE))</formula>
    </cfRule>
  </conditionalFormatting>
  <conditionalFormatting sqref="GH18:GH24 GJ18:GJ24">
    <cfRule type="expression" dxfId="188" priority="173">
      <formula>OR(IF(GH18&lt;GI18,TRUE),IF(AND(GI18="",GH18&lt;&gt;""),TRUE))</formula>
    </cfRule>
    <cfRule type="expression" dxfId="187" priority="174">
      <formula>IF(GH18&gt;=GI18,IF(GH18="",FALSE,TRUE))</formula>
    </cfRule>
  </conditionalFormatting>
  <conditionalFormatting sqref="GH5:GH15 GJ5:GJ15 GJ41:GJ50 GH41:GH50">
    <cfRule type="expression" dxfId="186" priority="171">
      <formula>OR(IF(GH5&lt;GI5,TRUE),IF(AND(GI5="",GH5&lt;&gt;""),TRUE))</formula>
    </cfRule>
    <cfRule type="expression" dxfId="185" priority="172">
      <formula>IF(GH5&gt;=GI5,IF(GH5="",FALSE,TRUE))</formula>
    </cfRule>
  </conditionalFormatting>
  <conditionalFormatting sqref="GH27:GH28">
    <cfRule type="expression" dxfId="184" priority="169">
      <formula>OR(IF(GH27&lt;GI27,TRUE),IF(AND(GI27="",GH27&lt;&gt;""),TRUE))</formula>
    </cfRule>
    <cfRule type="expression" dxfId="183" priority="170">
      <formula>IF(GH27&gt;=GI27,IF(GH27="",FALSE,TRUE))</formula>
    </cfRule>
  </conditionalFormatting>
  <conditionalFormatting sqref="GJ27:GJ28">
    <cfRule type="expression" dxfId="182" priority="167">
      <formula>OR(IF(GJ27&lt;GK27,TRUE),IF(AND(GK27="",GJ27&lt;&gt;""),TRUE))</formula>
    </cfRule>
    <cfRule type="expression" dxfId="181" priority="168">
      <formula>IF(GJ27&gt;=GK27,IF(GJ27="",FALSE,TRUE))</formula>
    </cfRule>
  </conditionalFormatting>
  <conditionalFormatting sqref="GH39:GH40">
    <cfRule type="expression" dxfId="180" priority="165">
      <formula>OR(IF(GH39&lt;GI39,TRUE),IF(AND(GI39="",GH39&lt;&gt;""),TRUE))</formula>
    </cfRule>
    <cfRule type="expression" dxfId="179" priority="166">
      <formula>IF(GH39&gt;=GI39,IF(GH39="",FALSE,TRUE))</formula>
    </cfRule>
  </conditionalFormatting>
  <conditionalFormatting sqref="GJ39:GJ40">
    <cfRule type="expression" dxfId="178" priority="163">
      <formula>OR(IF(GJ39&lt;GK39,TRUE),IF(AND(GK39="",GJ39&lt;&gt;""),TRUE))</formula>
    </cfRule>
    <cfRule type="expression" dxfId="177" priority="164">
      <formula>IF(GJ39&gt;=GK39,IF(GJ39="",FALSE,TRUE))</formula>
    </cfRule>
  </conditionalFormatting>
  <conditionalFormatting sqref="GO18:GO24 GQ18:GQ24">
    <cfRule type="expression" dxfId="176" priority="161">
      <formula>OR(IF(GO18&lt;GP18,TRUE),IF(AND(GP18="",GO18&lt;&gt;""),TRUE))</formula>
    </cfRule>
    <cfRule type="expression" dxfId="175" priority="162">
      <formula>IF(GO18&gt;=GP18,IF(GO18="",FALSE,TRUE))</formula>
    </cfRule>
  </conditionalFormatting>
  <conditionalFormatting sqref="GO5:GO15 GQ5:GQ15 GQ41:GQ50 GO41:GO50">
    <cfRule type="expression" dxfId="174" priority="159">
      <formula>OR(IF(GO5&lt;GP5,TRUE),IF(AND(GP5="",GO5&lt;&gt;""),TRUE))</formula>
    </cfRule>
    <cfRule type="expression" dxfId="173" priority="160">
      <formula>IF(GO5&gt;=GP5,IF(GO5="",FALSE,TRUE))</formula>
    </cfRule>
  </conditionalFormatting>
  <conditionalFormatting sqref="GO27:GO28">
    <cfRule type="expression" dxfId="172" priority="157">
      <formula>OR(IF(GO27&lt;GP27,TRUE),IF(AND(GP27="",GO27&lt;&gt;""),TRUE))</formula>
    </cfRule>
    <cfRule type="expression" dxfId="171" priority="158">
      <formula>IF(GO27&gt;=GP27,IF(GO27="",FALSE,TRUE))</formula>
    </cfRule>
  </conditionalFormatting>
  <conditionalFormatting sqref="GQ27:GQ28">
    <cfRule type="expression" dxfId="170" priority="155">
      <formula>OR(IF(GQ27&lt;GR27,TRUE),IF(AND(GR27="",GQ27&lt;&gt;""),TRUE))</formula>
    </cfRule>
    <cfRule type="expression" dxfId="169" priority="156">
      <formula>IF(GQ27&gt;=GR27,IF(GQ27="",FALSE,TRUE))</formula>
    </cfRule>
  </conditionalFormatting>
  <conditionalFormatting sqref="GO39:GO40">
    <cfRule type="expression" dxfId="168" priority="153">
      <formula>OR(IF(GO39&lt;GP39,TRUE),IF(AND(GP39="",GO39&lt;&gt;""),TRUE))</formula>
    </cfRule>
    <cfRule type="expression" dxfId="167" priority="154">
      <formula>IF(GO39&gt;=GP39,IF(GO39="",FALSE,TRUE))</formula>
    </cfRule>
  </conditionalFormatting>
  <conditionalFormatting sqref="GQ39:GQ40">
    <cfRule type="expression" dxfId="166" priority="151">
      <formula>OR(IF(GQ39&lt;GR39,TRUE),IF(AND(GR39="",GQ39&lt;&gt;""),TRUE))</formula>
    </cfRule>
    <cfRule type="expression" dxfId="165" priority="152">
      <formula>IF(GQ39&gt;=GR39,IF(GQ39="",FALSE,TRUE))</formula>
    </cfRule>
  </conditionalFormatting>
  <conditionalFormatting sqref="GV18:GV24 GX18:GX24">
    <cfRule type="expression" dxfId="164" priority="149">
      <formula>OR(IF(GV18&lt;GW18,TRUE),IF(AND(GW18="",GV18&lt;&gt;""),TRUE))</formula>
    </cfRule>
    <cfRule type="expression" dxfId="163" priority="150">
      <formula>IF(GV18&gt;=GW18,IF(GV18="",FALSE,TRUE))</formula>
    </cfRule>
  </conditionalFormatting>
  <conditionalFormatting sqref="GV5:GV15 GX5:GX15 GX41:GX50 GV41:GV50">
    <cfRule type="expression" dxfId="162" priority="147">
      <formula>OR(IF(GV5&lt;GW5,TRUE),IF(AND(GW5="",GV5&lt;&gt;""),TRUE))</formula>
    </cfRule>
    <cfRule type="expression" dxfId="161" priority="148">
      <formula>IF(GV5&gt;=GW5,IF(GV5="",FALSE,TRUE))</formula>
    </cfRule>
  </conditionalFormatting>
  <conditionalFormatting sqref="GV27:GV28">
    <cfRule type="expression" dxfId="160" priority="145">
      <formula>OR(IF(GV27&lt;GW27,TRUE),IF(AND(GW27="",GV27&lt;&gt;""),TRUE))</formula>
    </cfRule>
    <cfRule type="expression" dxfId="159" priority="146">
      <formula>IF(GV27&gt;=GW27,IF(GV27="",FALSE,TRUE))</formula>
    </cfRule>
  </conditionalFormatting>
  <conditionalFormatting sqref="GX27:GX28">
    <cfRule type="expression" dxfId="158" priority="143">
      <formula>OR(IF(GX27&lt;GY27,TRUE),IF(AND(GY27="",GX27&lt;&gt;""),TRUE))</formula>
    </cfRule>
    <cfRule type="expression" dxfId="157" priority="144">
      <formula>IF(GX27&gt;=GY27,IF(GX27="",FALSE,TRUE))</formula>
    </cfRule>
  </conditionalFormatting>
  <conditionalFormatting sqref="GV39:GV40">
    <cfRule type="expression" dxfId="156" priority="141">
      <formula>OR(IF(GV39&lt;GW39,TRUE),IF(AND(GW39="",GV39&lt;&gt;""),TRUE))</formula>
    </cfRule>
    <cfRule type="expression" dxfId="155" priority="142">
      <formula>IF(GV39&gt;=GW39,IF(GV39="",FALSE,TRUE))</formula>
    </cfRule>
  </conditionalFormatting>
  <conditionalFormatting sqref="GX39:GX40">
    <cfRule type="expression" dxfId="154" priority="139">
      <formula>OR(IF(GX39&lt;GY39,TRUE),IF(AND(GY39="",GX39&lt;&gt;""),TRUE))</formula>
    </cfRule>
    <cfRule type="expression" dxfId="153" priority="140">
      <formula>IF(GX39&gt;=GY39,IF(GX39="",FALSE,TRUE))</formula>
    </cfRule>
  </conditionalFormatting>
  <conditionalFormatting sqref="HC18:HC24 HE18:HE24">
    <cfRule type="expression" dxfId="152" priority="137">
      <formula>OR(IF(HC18&lt;HD18,TRUE),IF(AND(HD18="",HC18&lt;&gt;""),TRUE))</formula>
    </cfRule>
    <cfRule type="expression" dxfId="151" priority="138">
      <formula>IF(HC18&gt;=HD18,IF(HC18="",FALSE,TRUE))</formula>
    </cfRule>
  </conditionalFormatting>
  <conditionalFormatting sqref="HC5:HC15 HE5:HE15 HE41:HE50 HC41:HC50">
    <cfRule type="expression" dxfId="150" priority="135">
      <formula>OR(IF(HC5&lt;HD5,TRUE),IF(AND(HD5="",HC5&lt;&gt;""),TRUE))</formula>
    </cfRule>
    <cfRule type="expression" dxfId="149" priority="136">
      <formula>IF(HC5&gt;=HD5,IF(HC5="",FALSE,TRUE))</formula>
    </cfRule>
  </conditionalFormatting>
  <conditionalFormatting sqref="HC27:HC28">
    <cfRule type="expression" dxfId="148" priority="133">
      <formula>OR(IF(HC27&lt;HD27,TRUE),IF(AND(HD27="",HC27&lt;&gt;""),TRUE))</formula>
    </cfRule>
    <cfRule type="expression" dxfId="147" priority="134">
      <formula>IF(HC27&gt;=HD27,IF(HC27="",FALSE,TRUE))</formula>
    </cfRule>
  </conditionalFormatting>
  <conditionalFormatting sqref="HE27:HE28">
    <cfRule type="expression" dxfId="146" priority="131">
      <formula>OR(IF(HE27&lt;HF27,TRUE),IF(AND(HF27="",HE27&lt;&gt;""),TRUE))</formula>
    </cfRule>
    <cfRule type="expression" dxfId="145" priority="132">
      <formula>IF(HE27&gt;=HF27,IF(HE27="",FALSE,TRUE))</formula>
    </cfRule>
  </conditionalFormatting>
  <conditionalFormatting sqref="HC39:HC40">
    <cfRule type="expression" dxfId="144" priority="129">
      <formula>OR(IF(HC39&lt;HD39,TRUE),IF(AND(HD39="",HC39&lt;&gt;""),TRUE))</formula>
    </cfRule>
    <cfRule type="expression" dxfId="143" priority="130">
      <formula>IF(HC39&gt;=HD39,IF(HC39="",FALSE,TRUE))</formula>
    </cfRule>
  </conditionalFormatting>
  <conditionalFormatting sqref="HE39:HE40">
    <cfRule type="expression" dxfId="142" priority="127">
      <formula>OR(IF(HE39&lt;HF39,TRUE),IF(AND(HF39="",HE39&lt;&gt;""),TRUE))</formula>
    </cfRule>
    <cfRule type="expression" dxfId="141" priority="128">
      <formula>IF(HE39&gt;=HF39,IF(HE39="",FALSE,TRUE))</formula>
    </cfRule>
  </conditionalFormatting>
  <conditionalFormatting sqref="HJ18:HJ24 HL18:HL24">
    <cfRule type="expression" dxfId="140" priority="125">
      <formula>OR(IF(HJ18&lt;HK18,TRUE),IF(AND(HK18="",HJ18&lt;&gt;""),TRUE))</formula>
    </cfRule>
    <cfRule type="expression" dxfId="139" priority="126">
      <formula>IF(HJ18&gt;=HK18,IF(HJ18="",FALSE,TRUE))</formula>
    </cfRule>
  </conditionalFormatting>
  <conditionalFormatting sqref="HJ5:HJ15 HL5:HL15 HL41:HL50 HJ41:HJ50">
    <cfRule type="expression" dxfId="138" priority="123">
      <formula>OR(IF(HJ5&lt;HK5,TRUE),IF(AND(HK5="",HJ5&lt;&gt;""),TRUE))</formula>
    </cfRule>
    <cfRule type="expression" dxfId="137" priority="124">
      <formula>IF(HJ5&gt;=HK5,IF(HJ5="",FALSE,TRUE))</formula>
    </cfRule>
  </conditionalFormatting>
  <conditionalFormatting sqref="HJ27:HJ28">
    <cfRule type="expression" dxfId="136" priority="121">
      <formula>OR(IF(HJ27&lt;HK27,TRUE),IF(AND(HK27="",HJ27&lt;&gt;""),TRUE))</formula>
    </cfRule>
    <cfRule type="expression" dxfId="135" priority="122">
      <formula>IF(HJ27&gt;=HK27,IF(HJ27="",FALSE,TRUE))</formula>
    </cfRule>
  </conditionalFormatting>
  <conditionalFormatting sqref="HL27:HL28">
    <cfRule type="expression" dxfId="134" priority="119">
      <formula>OR(IF(HL27&lt;HM27,TRUE),IF(AND(HM27="",HL27&lt;&gt;""),TRUE))</formula>
    </cfRule>
    <cfRule type="expression" dxfId="133" priority="120">
      <formula>IF(HL27&gt;=HM27,IF(HL27="",FALSE,TRUE))</formula>
    </cfRule>
  </conditionalFormatting>
  <conditionalFormatting sqref="HJ39:HJ40">
    <cfRule type="expression" dxfId="132" priority="117">
      <formula>OR(IF(HJ39&lt;HK39,TRUE),IF(AND(HK39="",HJ39&lt;&gt;""),TRUE))</formula>
    </cfRule>
    <cfRule type="expression" dxfId="131" priority="118">
      <formula>IF(HJ39&gt;=HK39,IF(HJ39="",FALSE,TRUE))</formula>
    </cfRule>
  </conditionalFormatting>
  <conditionalFormatting sqref="HL39:HL40">
    <cfRule type="expression" dxfId="130" priority="115">
      <formula>OR(IF(HL39&lt;HM39,TRUE),IF(AND(HM39="",HL39&lt;&gt;""),TRUE))</formula>
    </cfRule>
    <cfRule type="expression" dxfId="129" priority="116">
      <formula>IF(HL39&gt;=HM39,IF(HL39="",FALSE,TRUE))</formula>
    </cfRule>
  </conditionalFormatting>
  <conditionalFormatting sqref="HQ18:HQ24 HS18:HS24">
    <cfRule type="expression" dxfId="128" priority="113">
      <formula>OR(IF(HQ18&lt;HR18,TRUE),IF(AND(HR18="",HQ18&lt;&gt;""),TRUE))</formula>
    </cfRule>
    <cfRule type="expression" dxfId="127" priority="114">
      <formula>IF(HQ18&gt;=HR18,IF(HQ18="",FALSE,TRUE))</formula>
    </cfRule>
  </conditionalFormatting>
  <conditionalFormatting sqref="HQ5:HQ15 HS5:HS15 HS41:HS50 HQ41:HQ50">
    <cfRule type="expression" dxfId="126" priority="111">
      <formula>OR(IF(HQ5&lt;HR5,TRUE),IF(AND(HR5="",HQ5&lt;&gt;""),TRUE))</formula>
    </cfRule>
    <cfRule type="expression" dxfId="125" priority="112">
      <formula>IF(HQ5&gt;=HR5,IF(HQ5="",FALSE,TRUE))</formula>
    </cfRule>
  </conditionalFormatting>
  <conditionalFormatting sqref="HQ27:HQ28">
    <cfRule type="expression" dxfId="124" priority="109">
      <formula>OR(IF(HQ27&lt;HR27,TRUE),IF(AND(HR27="",HQ27&lt;&gt;""),TRUE))</formula>
    </cfRule>
    <cfRule type="expression" dxfId="123" priority="110">
      <formula>IF(HQ27&gt;=HR27,IF(HQ27="",FALSE,TRUE))</formula>
    </cfRule>
  </conditionalFormatting>
  <conditionalFormatting sqref="HS27:HS28">
    <cfRule type="expression" dxfId="122" priority="107">
      <formula>OR(IF(HS27&lt;HT27,TRUE),IF(AND(HT27="",HS27&lt;&gt;""),TRUE))</formula>
    </cfRule>
    <cfRule type="expression" dxfId="121" priority="108">
      <formula>IF(HS27&gt;=HT27,IF(HS27="",FALSE,TRUE))</formula>
    </cfRule>
  </conditionalFormatting>
  <conditionalFormatting sqref="HQ39:HQ40">
    <cfRule type="expression" dxfId="120" priority="105">
      <formula>OR(IF(HQ39&lt;HR39,TRUE),IF(AND(HR39="",HQ39&lt;&gt;""),TRUE))</formula>
    </cfRule>
    <cfRule type="expression" dxfId="119" priority="106">
      <formula>IF(HQ39&gt;=HR39,IF(HQ39="",FALSE,TRUE))</formula>
    </cfRule>
  </conditionalFormatting>
  <conditionalFormatting sqref="HS39:HS40">
    <cfRule type="expression" dxfId="118" priority="103">
      <formula>OR(IF(HS39&lt;HT39,TRUE),IF(AND(HT39="",HS39&lt;&gt;""),TRUE))</formula>
    </cfRule>
    <cfRule type="expression" dxfId="117" priority="104">
      <formula>IF(HS39&gt;=HT39,IF(HS39="",FALSE,TRUE))</formula>
    </cfRule>
  </conditionalFormatting>
  <conditionalFormatting sqref="HX18:HX24 HZ18:HZ24">
    <cfRule type="expression" dxfId="116" priority="101">
      <formula>OR(IF(HX18&lt;HY18,TRUE),IF(AND(HY18="",HX18&lt;&gt;""),TRUE))</formula>
    </cfRule>
    <cfRule type="expression" dxfId="115" priority="102">
      <formula>IF(HX18&gt;=HY18,IF(HX18="",FALSE,TRUE))</formula>
    </cfRule>
  </conditionalFormatting>
  <conditionalFormatting sqref="HX5:HX15 HZ5:HZ15 HZ41:HZ50 HX41:HX50">
    <cfRule type="expression" dxfId="114" priority="99">
      <formula>OR(IF(HX5&lt;HY5,TRUE),IF(AND(HY5="",HX5&lt;&gt;""),TRUE))</formula>
    </cfRule>
    <cfRule type="expression" dxfId="113" priority="100">
      <formula>IF(HX5&gt;=HY5,IF(HX5="",FALSE,TRUE))</formula>
    </cfRule>
  </conditionalFormatting>
  <conditionalFormatting sqref="HX27:HX28">
    <cfRule type="expression" dxfId="112" priority="97">
      <formula>OR(IF(HX27&lt;HY27,TRUE),IF(AND(HY27="",HX27&lt;&gt;""),TRUE))</formula>
    </cfRule>
    <cfRule type="expression" dxfId="111" priority="98">
      <formula>IF(HX27&gt;=HY27,IF(HX27="",FALSE,TRUE))</formula>
    </cfRule>
  </conditionalFormatting>
  <conditionalFormatting sqref="HZ27:HZ28">
    <cfRule type="expression" dxfId="110" priority="95">
      <formula>OR(IF(HZ27&lt;IA27,TRUE),IF(AND(IA27="",HZ27&lt;&gt;""),TRUE))</formula>
    </cfRule>
    <cfRule type="expression" dxfId="109" priority="96">
      <formula>IF(HZ27&gt;=IA27,IF(HZ27="",FALSE,TRUE))</formula>
    </cfRule>
  </conditionalFormatting>
  <conditionalFormatting sqref="HX39:HX40">
    <cfRule type="expression" dxfId="108" priority="93">
      <formula>OR(IF(HX39&lt;HY39,TRUE),IF(AND(HY39="",HX39&lt;&gt;""),TRUE))</formula>
    </cfRule>
    <cfRule type="expression" dxfId="107" priority="94">
      <formula>IF(HX39&gt;=HY39,IF(HX39="",FALSE,TRUE))</formula>
    </cfRule>
  </conditionalFormatting>
  <conditionalFormatting sqref="HZ39:HZ40">
    <cfRule type="expression" dxfId="106" priority="91">
      <formula>OR(IF(HZ39&lt;IA39,TRUE),IF(AND(IA39="",HZ39&lt;&gt;""),TRUE))</formula>
    </cfRule>
    <cfRule type="expression" dxfId="105" priority="92">
      <formula>IF(HZ39&gt;=IA39,IF(HZ39="",FALSE,TRUE))</formula>
    </cfRule>
  </conditionalFormatting>
  <conditionalFormatting sqref="IE18:IE24 IG18:IG24">
    <cfRule type="expression" dxfId="104" priority="89">
      <formula>OR(IF(IE18&lt;IF18,TRUE),IF(AND(IF18="",IE18&lt;&gt;""),TRUE))</formula>
    </cfRule>
    <cfRule type="expression" dxfId="103" priority="90">
      <formula>IF(IE18&gt;=IF18,IF(IE18="",FALSE,TRUE))</formula>
    </cfRule>
  </conditionalFormatting>
  <conditionalFormatting sqref="IE5:IE15 IG5:IG15 IG41:IG50 IE41:IE50">
    <cfRule type="expression" dxfId="102" priority="87">
      <formula>OR(IF(IE5&lt;IF5,TRUE),IF(AND(IF5="",IE5&lt;&gt;""),TRUE))</formula>
    </cfRule>
    <cfRule type="expression" dxfId="101" priority="88">
      <formula>IF(IE5&gt;=IF5,IF(IE5="",FALSE,TRUE))</formula>
    </cfRule>
  </conditionalFormatting>
  <conditionalFormatting sqref="IE27:IE28">
    <cfRule type="expression" dxfId="100" priority="85">
      <formula>OR(IF(IE27&lt;IF27,TRUE),IF(AND(IF27="",IE27&lt;&gt;""),TRUE))</formula>
    </cfRule>
    <cfRule type="expression" dxfId="99" priority="86">
      <formula>IF(IE27&gt;=IF27,IF(IE27="",FALSE,TRUE))</formula>
    </cfRule>
  </conditionalFormatting>
  <conditionalFormatting sqref="IG27:IG28">
    <cfRule type="expression" dxfId="98" priority="83">
      <formula>OR(IF(IG27&lt;IH27,TRUE),IF(AND(IH27="",IG27&lt;&gt;""),TRUE))</formula>
    </cfRule>
    <cfRule type="expression" dxfId="97" priority="84">
      <formula>IF(IG27&gt;=IH27,IF(IG27="",FALSE,TRUE))</formula>
    </cfRule>
  </conditionalFormatting>
  <conditionalFormatting sqref="IE39:IE40">
    <cfRule type="expression" dxfId="96" priority="81">
      <formula>OR(IF(IE39&lt;IF39,TRUE),IF(AND(IF39="",IE39&lt;&gt;""),TRUE))</formula>
    </cfRule>
    <cfRule type="expression" dxfId="95" priority="82">
      <formula>IF(IE39&gt;=IF39,IF(IE39="",FALSE,TRUE))</formula>
    </cfRule>
  </conditionalFormatting>
  <conditionalFormatting sqref="IG39:IG40">
    <cfRule type="expression" dxfId="94" priority="79">
      <formula>OR(IF(IG39&lt;IH39,TRUE),IF(AND(IH39="",IG39&lt;&gt;""),TRUE))</formula>
    </cfRule>
    <cfRule type="expression" dxfId="93" priority="80">
      <formula>IF(IG39&gt;=IH39,IF(IG39="",FALSE,TRUE))</formula>
    </cfRule>
  </conditionalFormatting>
  <conditionalFormatting sqref="IL18:IL24 IN18:IN24">
    <cfRule type="expression" dxfId="92" priority="77">
      <formula>OR(IF(IL18&lt;IM18,TRUE),IF(AND(IM18="",IL18&lt;&gt;""),TRUE))</formula>
    </cfRule>
    <cfRule type="expression" dxfId="91" priority="78">
      <formula>IF(IL18&gt;=IM18,IF(IL18="",FALSE,TRUE))</formula>
    </cfRule>
  </conditionalFormatting>
  <conditionalFormatting sqref="IL5:IL15 IN5:IN15 IN41:IN50 IL41:IL50">
    <cfRule type="expression" dxfId="90" priority="75">
      <formula>OR(IF(IL5&lt;IM5,TRUE),IF(AND(IM5="",IL5&lt;&gt;""),TRUE))</formula>
    </cfRule>
    <cfRule type="expression" dxfId="89" priority="76">
      <formula>IF(IL5&gt;=IM5,IF(IL5="",FALSE,TRUE))</formula>
    </cfRule>
  </conditionalFormatting>
  <conditionalFormatting sqref="IL27:IL28">
    <cfRule type="expression" dxfId="88" priority="73">
      <formula>OR(IF(IL27&lt;IM27,TRUE),IF(AND(IM27="",IL27&lt;&gt;""),TRUE))</formula>
    </cfRule>
    <cfRule type="expression" dxfId="87" priority="74">
      <formula>IF(IL27&gt;=IM27,IF(IL27="",FALSE,TRUE))</formula>
    </cfRule>
  </conditionalFormatting>
  <conditionalFormatting sqref="IN27:IN28">
    <cfRule type="expression" dxfId="86" priority="71">
      <formula>OR(IF(IN27&lt;IO27,TRUE),IF(AND(IO27="",IN27&lt;&gt;""),TRUE))</formula>
    </cfRule>
    <cfRule type="expression" dxfId="85" priority="72">
      <formula>IF(IN27&gt;=IO27,IF(IN27="",FALSE,TRUE))</formula>
    </cfRule>
  </conditionalFormatting>
  <conditionalFormatting sqref="IL39:IL40">
    <cfRule type="expression" dxfId="84" priority="69">
      <formula>OR(IF(IL39&lt;IM39,TRUE),IF(AND(IM39="",IL39&lt;&gt;""),TRUE))</formula>
    </cfRule>
    <cfRule type="expression" dxfId="83" priority="70">
      <formula>IF(IL39&gt;=IM39,IF(IL39="",FALSE,TRUE))</formula>
    </cfRule>
  </conditionalFormatting>
  <conditionalFormatting sqref="IN39:IN40">
    <cfRule type="expression" dxfId="82" priority="67">
      <formula>OR(IF(IN39&lt;IO39,TRUE),IF(AND(IO39="",IN39&lt;&gt;""),TRUE))</formula>
    </cfRule>
    <cfRule type="expression" dxfId="81" priority="68">
      <formula>IF(IN39&gt;=IO39,IF(IN39="",FALSE,TRUE))</formula>
    </cfRule>
  </conditionalFormatting>
  <conditionalFormatting sqref="IS18:IS24 IU18:IU24">
    <cfRule type="expression" dxfId="80" priority="65">
      <formula>OR(IF(IS18&lt;IT18,TRUE),IF(AND(IT18="",IS18&lt;&gt;""),TRUE))</formula>
    </cfRule>
    <cfRule type="expression" dxfId="79" priority="66">
      <formula>IF(IS18&gt;=IT18,IF(IS18="",FALSE,TRUE))</formula>
    </cfRule>
  </conditionalFormatting>
  <conditionalFormatting sqref="IS5:IS15 IU5:IU15 IU41:IU50 IS41:IS50">
    <cfRule type="expression" dxfId="78" priority="63">
      <formula>OR(IF(IS5&lt;IT5,TRUE),IF(AND(IT5="",IS5&lt;&gt;""),TRUE))</formula>
    </cfRule>
    <cfRule type="expression" dxfId="77" priority="64">
      <formula>IF(IS5&gt;=IT5,IF(IS5="",FALSE,TRUE))</formula>
    </cfRule>
  </conditionalFormatting>
  <conditionalFormatting sqref="IS27:IS28">
    <cfRule type="expression" dxfId="76" priority="61">
      <formula>OR(IF(IS27&lt;IT27,TRUE),IF(AND(IT27="",IS27&lt;&gt;""),TRUE))</formula>
    </cfRule>
    <cfRule type="expression" dxfId="75" priority="62">
      <formula>IF(IS27&gt;=IT27,IF(IS27="",FALSE,TRUE))</formula>
    </cfRule>
  </conditionalFormatting>
  <conditionalFormatting sqref="IU27:IU28">
    <cfRule type="expression" dxfId="74" priority="59">
      <formula>OR(IF(IU27&lt;IV27,TRUE),IF(AND(IV27="",IU27&lt;&gt;""),TRUE))</formula>
    </cfRule>
    <cfRule type="expression" dxfId="73" priority="60">
      <formula>IF(IU27&gt;=IV27,IF(IU27="",FALSE,TRUE))</formula>
    </cfRule>
  </conditionalFormatting>
  <conditionalFormatting sqref="IS39:IS40">
    <cfRule type="expression" dxfId="72" priority="57">
      <formula>OR(IF(IS39&lt;IT39,TRUE),IF(AND(IT39="",IS39&lt;&gt;""),TRUE))</formula>
    </cfRule>
    <cfRule type="expression" dxfId="71" priority="58">
      <formula>IF(IS39&gt;=IT39,IF(IS39="",FALSE,TRUE))</formula>
    </cfRule>
  </conditionalFormatting>
  <conditionalFormatting sqref="IU39:IU40">
    <cfRule type="expression" dxfId="70" priority="55">
      <formula>OR(IF(IU39&lt;IV39,TRUE),IF(AND(IV39="",IU39&lt;&gt;""),TRUE))</formula>
    </cfRule>
    <cfRule type="expression" dxfId="69" priority="56">
      <formula>IF(IU39&gt;=IV39,IF(IU39="",FALSE,TRUE))</formula>
    </cfRule>
  </conditionalFormatting>
  <conditionalFormatting sqref="IZ18:IZ24 JB18:JB24">
    <cfRule type="expression" dxfId="68" priority="53">
      <formula>OR(IF(IZ18&lt;JA18,TRUE),IF(AND(JA18="",IZ18&lt;&gt;""),TRUE))</formula>
    </cfRule>
    <cfRule type="expression" dxfId="67" priority="54">
      <formula>IF(IZ18&gt;=JA18,IF(IZ18="",FALSE,TRUE))</formula>
    </cfRule>
  </conditionalFormatting>
  <conditionalFormatting sqref="IZ5:IZ15 JB5:JB15 JB41:JB50 IZ41:IZ50">
    <cfRule type="expression" dxfId="66" priority="51">
      <formula>OR(IF(IZ5&lt;JA5,TRUE),IF(AND(JA5="",IZ5&lt;&gt;""),TRUE))</formula>
    </cfRule>
    <cfRule type="expression" dxfId="65" priority="52">
      <formula>IF(IZ5&gt;=JA5,IF(IZ5="",FALSE,TRUE))</formula>
    </cfRule>
  </conditionalFormatting>
  <conditionalFormatting sqref="IZ27:IZ28">
    <cfRule type="expression" dxfId="64" priority="49">
      <formula>OR(IF(IZ27&lt;JA27,TRUE),IF(AND(JA27="",IZ27&lt;&gt;""),TRUE))</formula>
    </cfRule>
    <cfRule type="expression" dxfId="63" priority="50">
      <formula>IF(IZ27&gt;=JA27,IF(IZ27="",FALSE,TRUE))</formula>
    </cfRule>
  </conditionalFormatting>
  <conditionalFormatting sqref="JB27:JB28">
    <cfRule type="expression" dxfId="62" priority="47">
      <formula>OR(IF(JB27&lt;JC27,TRUE),IF(AND(JC27="",JB27&lt;&gt;""),TRUE))</formula>
    </cfRule>
    <cfRule type="expression" dxfId="61" priority="48">
      <formula>IF(JB27&gt;=JC27,IF(JB27="",FALSE,TRUE))</formula>
    </cfRule>
  </conditionalFormatting>
  <conditionalFormatting sqref="IZ39:IZ40">
    <cfRule type="expression" dxfId="60" priority="45">
      <formula>OR(IF(IZ39&lt;JA39,TRUE),IF(AND(JA39="",IZ39&lt;&gt;""),TRUE))</formula>
    </cfRule>
    <cfRule type="expression" dxfId="59" priority="46">
      <formula>IF(IZ39&gt;=JA39,IF(IZ39="",FALSE,TRUE))</formula>
    </cfRule>
  </conditionalFormatting>
  <conditionalFormatting sqref="JB39:JB40">
    <cfRule type="expression" dxfId="58" priority="43">
      <formula>OR(IF(JB39&lt;JC39,TRUE),IF(AND(JC39="",JB39&lt;&gt;""),TRUE))</formula>
    </cfRule>
    <cfRule type="expression" dxfId="57" priority="44">
      <formula>IF(JB39&gt;=JC39,IF(JB39="",FALSE,TRUE))</formula>
    </cfRule>
  </conditionalFormatting>
  <conditionalFormatting sqref="JG18:JG24 JI18:JI24">
    <cfRule type="expression" dxfId="56" priority="41">
      <formula>OR(IF(JG18&lt;JH18,TRUE),IF(AND(JH18="",JG18&lt;&gt;""),TRUE))</formula>
    </cfRule>
    <cfRule type="expression" dxfId="55" priority="42">
      <formula>IF(JG18&gt;=JH18,IF(JG18="",FALSE,TRUE))</formula>
    </cfRule>
  </conditionalFormatting>
  <conditionalFormatting sqref="JG5:JG15 JI5:JI15 JI41:JI50 JG41:JG50">
    <cfRule type="expression" dxfId="54" priority="39">
      <formula>OR(IF(JG5&lt;JH5,TRUE),IF(AND(JH5="",JG5&lt;&gt;""),TRUE))</formula>
    </cfRule>
    <cfRule type="expression" dxfId="53" priority="40">
      <formula>IF(JG5&gt;=JH5,IF(JG5="",FALSE,TRUE))</formula>
    </cfRule>
  </conditionalFormatting>
  <conditionalFormatting sqref="JG27:JG28">
    <cfRule type="expression" dxfId="52" priority="37">
      <formula>OR(IF(JG27&lt;JH27,TRUE),IF(AND(JH27="",JG27&lt;&gt;""),TRUE))</formula>
    </cfRule>
    <cfRule type="expression" dxfId="51" priority="38">
      <formula>IF(JG27&gt;=JH27,IF(JG27="",FALSE,TRUE))</formula>
    </cfRule>
  </conditionalFormatting>
  <conditionalFormatting sqref="JI27:JI28">
    <cfRule type="expression" dxfId="50" priority="35">
      <formula>OR(IF(JI27&lt;JJ27,TRUE),IF(AND(JJ27="",JI27&lt;&gt;""),TRUE))</formula>
    </cfRule>
    <cfRule type="expression" dxfId="49" priority="36">
      <formula>IF(JI27&gt;=JJ27,IF(JI27="",FALSE,TRUE))</formula>
    </cfRule>
  </conditionalFormatting>
  <conditionalFormatting sqref="JG39:JG40">
    <cfRule type="expression" dxfId="48" priority="33">
      <formula>OR(IF(JG39&lt;JH39,TRUE),IF(AND(JH39="",JG39&lt;&gt;""),TRUE))</formula>
    </cfRule>
    <cfRule type="expression" dxfId="47" priority="34">
      <formula>IF(JG39&gt;=JH39,IF(JG39="",FALSE,TRUE))</formula>
    </cfRule>
  </conditionalFormatting>
  <conditionalFormatting sqref="JI39:JI40">
    <cfRule type="expression" dxfId="46" priority="31">
      <formula>OR(IF(JI39&lt;JJ39,TRUE),IF(AND(JJ39="",JI39&lt;&gt;""),TRUE))</formula>
    </cfRule>
    <cfRule type="expression" dxfId="45" priority="32">
      <formula>IF(JI39&gt;=JJ39,IF(JI39="",FALSE,TRUE))</formula>
    </cfRule>
  </conditionalFormatting>
  <conditionalFormatting sqref="JN18:JN24 JP18:JP24">
    <cfRule type="expression" dxfId="44" priority="29">
      <formula>OR(IF(JN18&lt;JO18,TRUE),IF(AND(JO18="",JN18&lt;&gt;""),TRUE))</formula>
    </cfRule>
    <cfRule type="expression" dxfId="43" priority="30">
      <formula>IF(JN18&gt;=JO18,IF(JN18="",FALSE,TRUE))</formula>
    </cfRule>
  </conditionalFormatting>
  <conditionalFormatting sqref="JN5:JN15 JP5:JP15 JP41:JP50 JN41:JN50">
    <cfRule type="expression" dxfId="42" priority="27">
      <formula>OR(IF(JN5&lt;JO5,TRUE),IF(AND(JO5="",JN5&lt;&gt;""),TRUE))</formula>
    </cfRule>
    <cfRule type="expression" dxfId="41" priority="28">
      <formula>IF(JN5&gt;=JO5,IF(JN5="",FALSE,TRUE))</formula>
    </cfRule>
  </conditionalFormatting>
  <conditionalFormatting sqref="JN27:JN28">
    <cfRule type="expression" dxfId="40" priority="25">
      <formula>OR(IF(JN27&lt;JO27,TRUE),IF(AND(JO27="",JN27&lt;&gt;""),TRUE))</formula>
    </cfRule>
    <cfRule type="expression" dxfId="39" priority="26">
      <formula>IF(JN27&gt;=JO27,IF(JN27="",FALSE,TRUE))</formula>
    </cfRule>
  </conditionalFormatting>
  <conditionalFormatting sqref="JP27:JP28">
    <cfRule type="expression" dxfId="38" priority="23">
      <formula>OR(IF(JP27&lt;JQ27,TRUE),IF(AND(JQ27="",JP27&lt;&gt;""),TRUE))</formula>
    </cfRule>
    <cfRule type="expression" dxfId="37" priority="24">
      <formula>IF(JP27&gt;=JQ27,IF(JP27="",FALSE,TRUE))</formula>
    </cfRule>
  </conditionalFormatting>
  <conditionalFormatting sqref="JN39:JN40">
    <cfRule type="expression" dxfId="36" priority="21">
      <formula>OR(IF(JN39&lt;JO39,TRUE),IF(AND(JO39="",JN39&lt;&gt;""),TRUE))</formula>
    </cfRule>
    <cfRule type="expression" dxfId="35" priority="22">
      <formula>IF(JN39&gt;=JO39,IF(JN39="",FALSE,TRUE))</formula>
    </cfRule>
  </conditionalFormatting>
  <conditionalFormatting sqref="JP39:JP40">
    <cfRule type="expression" dxfId="34" priority="19">
      <formula>OR(IF(JP39&lt;JQ39,TRUE),IF(AND(JQ39="",JP39&lt;&gt;""),TRUE))</formula>
    </cfRule>
    <cfRule type="expression" dxfId="33" priority="20">
      <formula>IF(JP39&gt;=JQ39,IF(JP39="",FALSE,TRUE))</formula>
    </cfRule>
  </conditionalFormatting>
  <conditionalFormatting sqref="JU18:JU24 JW18:JW24">
    <cfRule type="expression" dxfId="32" priority="17">
      <formula>OR(IF(JU18&lt;JV18,TRUE),IF(AND(JV18="",JU18&lt;&gt;""),TRUE))</formula>
    </cfRule>
    <cfRule type="expression" dxfId="31" priority="18">
      <formula>IF(JU18&gt;=JV18,IF(JU18="",FALSE,TRUE))</formula>
    </cfRule>
  </conditionalFormatting>
  <conditionalFormatting sqref="JU5:JU15 JW5:JW15 JW41:JW50 JU41:JU50">
    <cfRule type="expression" dxfId="30" priority="15">
      <formula>OR(IF(JU5&lt;JV5,TRUE),IF(AND(JV5="",JU5&lt;&gt;""),TRUE))</formula>
    </cfRule>
    <cfRule type="expression" dxfId="29" priority="16">
      <formula>IF(JU5&gt;=JV5,IF(JU5="",FALSE,TRUE))</formula>
    </cfRule>
  </conditionalFormatting>
  <conditionalFormatting sqref="JU27:JU28">
    <cfRule type="expression" dxfId="28" priority="13">
      <formula>OR(IF(JU27&lt;JV27,TRUE),IF(AND(JV27="",JU27&lt;&gt;""),TRUE))</formula>
    </cfRule>
    <cfRule type="expression" dxfId="27" priority="14">
      <formula>IF(JU27&gt;=JV27,IF(JU27="",FALSE,TRUE))</formula>
    </cfRule>
  </conditionalFormatting>
  <conditionalFormatting sqref="JW27:JW28">
    <cfRule type="expression" dxfId="26" priority="11">
      <formula>OR(IF(JW27&lt;JX27,TRUE),IF(AND(JX27="",JW27&lt;&gt;""),TRUE))</formula>
    </cfRule>
    <cfRule type="expression" dxfId="25" priority="12">
      <formula>IF(JW27&gt;=JX27,IF(JW27="",FALSE,TRUE))</formula>
    </cfRule>
  </conditionalFormatting>
  <conditionalFormatting sqref="JU39:JU40">
    <cfRule type="expression" dxfId="24" priority="9">
      <formula>OR(IF(JU39&lt;JV39,TRUE),IF(AND(JV39="",JU39&lt;&gt;""),TRUE))</formula>
    </cfRule>
    <cfRule type="expression" dxfId="23" priority="10">
      <formula>IF(JU39&gt;=JV39,IF(JU39="",FALSE,TRUE))</formula>
    </cfRule>
  </conditionalFormatting>
  <conditionalFormatting sqref="JW39:JW40">
    <cfRule type="expression" dxfId="22" priority="7">
      <formula>OR(IF(JW39&lt;JX39,TRUE),IF(AND(JX39="",JW39&lt;&gt;""),TRUE))</formula>
    </cfRule>
    <cfRule type="expression" dxfId="21" priority="8">
      <formula>IF(JW39&gt;=JX39,IF(JW39="",FALSE,TRUE))</formula>
    </cfRule>
  </conditionalFormatting>
  <conditionalFormatting sqref="J49:K49">
    <cfRule type="colorScale" priority="6">
      <colorScale>
        <cfvo type="percent" val="0"/>
        <cfvo type="percent" val="100"/>
        <color rgb="FFFF231B"/>
        <color rgb="FF10FF07"/>
      </colorScale>
    </cfRule>
  </conditionalFormatting>
  <conditionalFormatting sqref="J50:K50">
    <cfRule type="colorScale" priority="5">
      <colorScale>
        <cfvo type="percent" val="0"/>
        <cfvo type="percent" val="100"/>
        <color rgb="FFFF231B"/>
        <color rgb="FF10FF07"/>
      </colorScale>
    </cfRule>
  </conditionalFormatting>
  <conditionalFormatting sqref="J28:K36">
    <cfRule type="colorScale" priority="2379">
      <colorScale>
        <cfvo type="percent" val="0"/>
        <cfvo type="percent" val="100"/>
        <color rgb="FFFF231B"/>
        <color rgb="FF10FF07"/>
      </colorScale>
    </cfRule>
  </conditionalFormatting>
  <conditionalFormatting sqref="J27:J36">
    <cfRule type="colorScale" priority="2381">
      <colorScale>
        <cfvo type="percent" val="0"/>
        <cfvo type="percent" val="100"/>
        <color rgb="FFFF231B"/>
        <color rgb="FF10FF07"/>
      </colorScale>
    </cfRule>
  </conditionalFormatting>
  <conditionalFormatting sqref="K27:K36">
    <cfRule type="colorScale" priority="2383">
      <colorScale>
        <cfvo type="percent" val="0"/>
        <cfvo type="percent" val="100"/>
        <color rgb="FFFF231B"/>
        <color rgb="FF10FF07"/>
      </colorScale>
    </cfRule>
  </conditionalFormatting>
  <conditionalFormatting sqref="AE27:AE29">
    <cfRule type="expression" dxfId="20" priority="3">
      <formula>OR(IF(AE27&lt;AF27,TRUE),IF(AND(AF27="",AE27&lt;&gt;""),TRUE))</formula>
    </cfRule>
    <cfRule type="expression" dxfId="19" priority="4">
      <formula>IF(AE27&gt;=AF27,IF(AE27="",FALSE,TRUE))</formula>
    </cfRule>
  </conditionalFormatting>
  <conditionalFormatting sqref="BU5">
    <cfRule type="expression" dxfId="1" priority="1">
      <formula>OR(IF(BU5&lt;BV5,TRUE),IF(AND(BV5="",BU5&lt;&gt;""),TRUE))</formula>
    </cfRule>
    <cfRule type="expression" dxfId="0" priority="2">
      <formula>IF(BU5&gt;=BV5,IF(BU5="",FALSE,TRUE))</formula>
    </cfRule>
  </conditionalFormatting>
  <dataValidations count="1">
    <dataValidation type="list" allowBlank="1" showInputMessage="1" showErrorMessage="1" sqref="O5:R15 V5:Y15 AC5:AF15 AJ5:AM15 AQ5:AT15 BL18:BO24 O39:R50 V39:Y50 AC39:AF50 AQ39:AT50 AJ39:AM50 AX5:BA15 AX39:BA50 BE5:BH15 BE39:BH50 BL39:BO50 DW39:DZ50 BS39:BV50 BV4:BV15 BL5:BO15 CN5:CQ15 CU5:CX15 CN39:CQ50 DB5:DE15 CU39:CX50 DI5:DL15 DB39:DE50 DP5:DS15 DI39:DL50 DW5:DZ15 DP39:DS50 BZ39:CC50 CB4:CC4 BZ5:CC15 BZ18:CC24 DW18:DZ24 DP18:DS24 DI18:DL24 DB18:DE24 CU18:CX24 CN18:CQ24 CG5:CJ15 BS18:BV24 AC27:AF36 BE18:BH24 AX18:BA24 AJ18:AM24 AQ18:AT24 V27:Y36 V18:Y24 O18:R24 ED39:EG50 ED5:EG15 ED18:EG24 EK39:EN50 EK5:EN15 EK18:EN24 ER39:EU50 ER5:EU15 ER18:EU24 EY39:FB50 EY5:FB15 EY18:FB24 FF39:FI50 FF5:FI15 FF18:FI24 FM39:FP50 FM5:FP15 FM18:FP24 FT39:FW50 FT5:FW15 FT18:FW24 GA39:GD50 GA5:GD15 GA18:GD24 GH39:GK50 GH5:GK15 GH18:GK24 GO39:GR50 GO5:GR15 GO18:GR24 GV39:GY50 GV5:GY15 GV18:GY24 HC39:HF50 HC5:HF15 HC18:HF24 HJ39:HM50 HJ5:HM15 HJ18:HM24 HQ39:HT50 HQ5:HT15 HQ18:HT24 HX39:IA50 HX5:IA15 HX18:IA24 IE39:IH50 IE5:IH15 IE18:IH24 IL39:IO50 IL5:IO15 IL18:IO24 IS39:IV50 IS5:IV15 IS18:IV24 IZ39:JC50 IZ5:JC15 IZ18:JC24 JG39:JJ50 JG5:JJ15 JG18:JJ24 JN39:JQ50 JN5:JQ15 JN18:JQ24 JU39:JX50 JU5:JX15 JU18:JX24 CG18:CJ24 CG39:CJ50 JN27:JQ36 CG27:CJ36 JG27:JJ36 IZ27:JC36 IS27:IV36 IL27:IO36 IE27:IH36 HX27:IA36 HQ27:HT36 HJ27:HM36 HC27:HF36 GV27:GY36 GO27:GR36 GH27:GK36 GA27:GD36 FT27:FW36 FM27:FP36 FF27:FI36 EY27:FB36 ER27:EU36 EK27:EN36 ED27:EG36 BZ27:CC36 DW27:DZ36 DP27:DS36 DI27:DL36 DB27:DE36 CU27:CX36 CN27:CQ36 BS27:BV36 BL27:BO36 BE27:BH36 AX27:BA36 AJ27:AM36 AQ27:AT36 AC18:AF24 O27:R36 JU27:JX36 BS5:BU15"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topLeftCell="K1" workbookViewId="0">
      <selection activeCell="A2" sqref="A2"/>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41</v>
      </c>
      <c r="B1" s="17" t="s">
        <v>38</v>
      </c>
      <c r="C1" s="17" t="s">
        <v>39</v>
      </c>
      <c r="D1" s="17" t="s">
        <v>40</v>
      </c>
      <c r="E1" s="1" t="s">
        <v>42</v>
      </c>
      <c r="F1" s="1" t="s">
        <v>43</v>
      </c>
      <c r="G1" s="1" t="s">
        <v>44</v>
      </c>
      <c r="H1" s="1" t="s">
        <v>45</v>
      </c>
      <c r="I1" s="1" t="s">
        <v>46</v>
      </c>
      <c r="J1" s="1" t="s">
        <v>47</v>
      </c>
      <c r="K1" s="1" t="s">
        <v>48</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8" priority="14" operator="equal">
      <formula>"Ja"</formula>
    </cfRule>
    <cfRule type="cellIs" dxfId="17" priority="15" operator="equal">
      <formula>"Nein"</formula>
    </cfRule>
  </conditionalFormatting>
  <conditionalFormatting sqref="D2">
    <cfRule type="cellIs" dxfId="16" priority="6" operator="equal">
      <formula>1</formula>
    </cfRule>
    <cfRule type="cellIs" dxfId="15" priority="7" operator="equal">
      <formula>0.8</formula>
    </cfRule>
    <cfRule type="cellIs" dxfId="14" priority="8" operator="equal">
      <formula>0.6</formula>
    </cfRule>
    <cfRule type="cellIs" dxfId="13" priority="9" operator="equal">
      <formula>0.4</formula>
    </cfRule>
    <cfRule type="cellIs" dxfId="12" priority="10" operator="equal">
      <formula>0.2</formula>
    </cfRule>
    <cfRule type="cellIs" dxfId="11" priority="11" operator="equal">
      <formula>0</formula>
    </cfRule>
  </conditionalFormatting>
  <conditionalFormatting sqref="B2:B46">
    <cfRule type="cellIs" dxfId="10" priority="4" operator="equal">
      <formula>"Ja"</formula>
    </cfRule>
  </conditionalFormatting>
  <conditionalFormatting sqref="C2:C46">
    <cfRule type="cellIs" dxfId="9" priority="2" operator="equal">
      <formula>"Ja"</formula>
    </cfRule>
    <cfRule type="cellIs" dxfId="8" priority="3" operator="equal">
      <formula>"Nein"</formula>
    </cfRule>
  </conditionalFormatting>
  <conditionalFormatting sqref="C2:C46">
    <cfRule type="cellIs" dxfId="7"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53"/>
  <sheetViews>
    <sheetView zoomScale="117" workbookViewId="0">
      <selection activeCell="F7" sqref="F7"/>
    </sheetView>
  </sheetViews>
  <sheetFormatPr baseColWidth="10" defaultColWidth="10.625" defaultRowHeight="15.75"/>
  <cols>
    <col min="6" max="6" width="15.125" customWidth="1"/>
  </cols>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c r="F7" s="30" t="s">
        <v>160</v>
      </c>
    </row>
    <row r="8" spans="1:8">
      <c r="A8" s="10">
        <v>0.21875</v>
      </c>
      <c r="F8" s="30" t="s">
        <v>164</v>
      </c>
    </row>
    <row r="9" spans="1:8">
      <c r="A9" s="10">
        <v>0.22916666666666699</v>
      </c>
      <c r="F9" s="30" t="s">
        <v>161</v>
      </c>
    </row>
    <row r="10" spans="1:8">
      <c r="A10" s="10">
        <v>0.23958333333333401</v>
      </c>
      <c r="F10" s="30" t="s">
        <v>162</v>
      </c>
    </row>
    <row r="11" spans="1:8">
      <c r="A11" s="10">
        <v>0.25</v>
      </c>
      <c r="F11" s="30" t="s">
        <v>163</v>
      </c>
    </row>
    <row r="12" spans="1:8">
      <c r="A12" s="10">
        <v>0.27083333333333398</v>
      </c>
      <c r="F12" s="30" t="s">
        <v>165</v>
      </c>
    </row>
    <row r="13" spans="1:8">
      <c r="A13" s="10">
        <v>0.29166666666666702</v>
      </c>
      <c r="F13" s="29" t="s">
        <v>167</v>
      </c>
    </row>
    <row r="14" spans="1:8">
      <c r="A14" s="10">
        <v>0.3125</v>
      </c>
      <c r="F14" s="29" t="s">
        <v>167</v>
      </c>
    </row>
    <row r="15" spans="1:8">
      <c r="A15" s="10">
        <v>0.32291666666666669</v>
      </c>
      <c r="F15" s="27" t="s">
        <v>166</v>
      </c>
    </row>
    <row r="16" spans="1:8">
      <c r="A16" s="10">
        <v>0.33333333333333398</v>
      </c>
    </row>
    <row r="17" spans="1:6">
      <c r="A17" s="10">
        <v>0.34375</v>
      </c>
      <c r="F17" s="28" t="s">
        <v>168</v>
      </c>
    </row>
    <row r="18" spans="1:6">
      <c r="A18" s="10">
        <v>0.35416666666666702</v>
      </c>
      <c r="F18" s="28" t="s">
        <v>171</v>
      </c>
    </row>
    <row r="19" spans="1:6">
      <c r="A19" s="10">
        <v>0.375</v>
      </c>
      <c r="F19" s="28" t="s">
        <v>171</v>
      </c>
    </row>
    <row r="20" spans="1:6">
      <c r="A20" s="10">
        <v>0.39583333333333398</v>
      </c>
      <c r="F20" s="28" t="s">
        <v>171</v>
      </c>
    </row>
    <row r="21" spans="1:6">
      <c r="A21" s="10">
        <v>0.41666666666666702</v>
      </c>
      <c r="F21" s="28" t="s">
        <v>171</v>
      </c>
    </row>
    <row r="22" spans="1:6">
      <c r="A22" s="10">
        <v>0.4375</v>
      </c>
      <c r="F22" s="28" t="s">
        <v>171</v>
      </c>
    </row>
    <row r="23" spans="1:6">
      <c r="A23" s="10">
        <v>0.45833333333333398</v>
      </c>
      <c r="F23" s="28" t="s">
        <v>171</v>
      </c>
    </row>
    <row r="24" spans="1:6">
      <c r="A24" s="10">
        <v>0.47916666666666702</v>
      </c>
      <c r="F24" s="27" t="s">
        <v>169</v>
      </c>
    </row>
    <row r="25" spans="1:6">
      <c r="A25" s="10">
        <v>0.5</v>
      </c>
      <c r="F25" s="27" t="s">
        <v>170</v>
      </c>
    </row>
    <row r="26" spans="1:6">
      <c r="A26" s="10">
        <v>0.52083333333333404</v>
      </c>
      <c r="F26" s="27" t="s">
        <v>170</v>
      </c>
    </row>
    <row r="27" spans="1:6">
      <c r="A27" s="10">
        <v>0.54166666666666696</v>
      </c>
      <c r="F27" s="26" t="s">
        <v>172</v>
      </c>
    </row>
    <row r="28" spans="1:6">
      <c r="A28" s="10">
        <v>0.5625</v>
      </c>
      <c r="F28" s="26" t="s">
        <v>172</v>
      </c>
    </row>
    <row r="29" spans="1:6">
      <c r="A29" s="10">
        <v>0.58333333333333404</v>
      </c>
      <c r="F29" s="26" t="s">
        <v>172</v>
      </c>
    </row>
    <row r="30" spans="1:6">
      <c r="A30" s="10">
        <v>0.60416666666666696</v>
      </c>
      <c r="F30" s="26" t="s">
        <v>172</v>
      </c>
    </row>
    <row r="31" spans="1:6">
      <c r="A31" s="10">
        <v>0.625000000000001</v>
      </c>
      <c r="F31" s="26" t="s">
        <v>172</v>
      </c>
    </row>
    <row r="32" spans="1:6">
      <c r="A32" s="10">
        <v>0.64583333333333404</v>
      </c>
      <c r="F32" s="26" t="s">
        <v>172</v>
      </c>
    </row>
    <row r="33" spans="1:6">
      <c r="A33" s="10">
        <v>0.66666666666666696</v>
      </c>
      <c r="F33" s="27" t="s">
        <v>173</v>
      </c>
    </row>
    <row r="34" spans="1:6">
      <c r="A34" s="10">
        <v>0.687500000000001</v>
      </c>
      <c r="F34" s="25" t="s">
        <v>176</v>
      </c>
    </row>
    <row r="35" spans="1:6">
      <c r="A35" s="10">
        <v>0.70833333333333404</v>
      </c>
      <c r="F35" s="25" t="s">
        <v>176</v>
      </c>
    </row>
    <row r="36" spans="1:6">
      <c r="A36" s="10">
        <v>0.72916666666666696</v>
      </c>
      <c r="F36" s="27" t="s">
        <v>175</v>
      </c>
    </row>
    <row r="37" spans="1:6">
      <c r="A37" s="10">
        <v>0.750000000000001</v>
      </c>
      <c r="F37" s="28" t="s">
        <v>174</v>
      </c>
    </row>
    <row r="38" spans="1:6">
      <c r="A38" s="10">
        <v>0.77083333333333404</v>
      </c>
      <c r="F38" s="28" t="s">
        <v>174</v>
      </c>
    </row>
    <row r="39" spans="1:6">
      <c r="A39" s="10">
        <v>0.79166666666666696</v>
      </c>
      <c r="F39" s="15" t="s">
        <v>181</v>
      </c>
    </row>
    <row r="40" spans="1:6">
      <c r="A40" s="10">
        <v>0.812500000000001</v>
      </c>
      <c r="F40" s="15" t="s">
        <v>181</v>
      </c>
    </row>
    <row r="41" spans="1:6">
      <c r="A41" s="10">
        <v>0.83333333333333404</v>
      </c>
      <c r="F41" s="15" t="s">
        <v>181</v>
      </c>
    </row>
    <row r="42" spans="1:6">
      <c r="A42" s="10">
        <v>0.85416666666666696</v>
      </c>
      <c r="F42" s="15" t="s">
        <v>181</v>
      </c>
    </row>
    <row r="43" spans="1:6">
      <c r="A43" s="10">
        <v>0.875000000000001</v>
      </c>
      <c r="F43" s="28" t="s">
        <v>177</v>
      </c>
    </row>
    <row r="44" spans="1:6">
      <c r="A44" s="10">
        <v>0.88541666666666663</v>
      </c>
      <c r="F44" s="23" t="s">
        <v>178</v>
      </c>
    </row>
    <row r="45" spans="1:6">
      <c r="A45" s="10">
        <v>0.89583333333333404</v>
      </c>
      <c r="F45" s="23" t="s">
        <v>178</v>
      </c>
    </row>
    <row r="46" spans="1:6">
      <c r="A46" s="10">
        <v>0.90625</v>
      </c>
      <c r="F46" s="24" t="s">
        <v>179</v>
      </c>
    </row>
    <row r="47" spans="1:6">
      <c r="A47" s="10">
        <v>0.91666666666666696</v>
      </c>
      <c r="F47" s="30" t="s">
        <v>180</v>
      </c>
    </row>
    <row r="48" spans="1:6">
      <c r="A48" s="10">
        <v>0.937500000000001</v>
      </c>
    </row>
    <row r="49" spans="1:1">
      <c r="A49" s="10">
        <v>0.95833333333333404</v>
      </c>
    </row>
    <row r="50" spans="1:1">
      <c r="A50" s="10">
        <v>0.97916666666666696</v>
      </c>
    </row>
    <row r="51" spans="1:1">
      <c r="A51" s="10">
        <v>1</v>
      </c>
    </row>
    <row r="52" spans="1:1">
      <c r="A52" s="10">
        <v>1.0208333333333299</v>
      </c>
    </row>
    <row r="53" spans="1:1">
      <c r="A53"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E17F6-B0AD-432D-A7B2-943B8DF1CC2F}">
  <dimension ref="A1:H59"/>
  <sheetViews>
    <sheetView topLeftCell="A2" zoomScale="117" workbookViewId="0">
      <selection activeCell="C9" sqref="C9"/>
    </sheetView>
  </sheetViews>
  <sheetFormatPr baseColWidth="10" defaultColWidth="10.625" defaultRowHeight="15.75"/>
  <cols>
    <col min="2" max="2" width="15.25" customWidth="1"/>
    <col min="3" max="3" width="16.375" customWidth="1"/>
    <col min="4" max="4" width="15.375" customWidth="1"/>
    <col min="5" max="5" width="15.75" customWidth="1"/>
    <col min="6" max="6" width="15.125" customWidth="1"/>
    <col min="7" max="7" width="15.375" customWidth="1"/>
    <col min="8" max="8" width="13.875" customWidth="1"/>
  </cols>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c r="B7" s="30" t="s">
        <v>160</v>
      </c>
      <c r="C7" s="30" t="s">
        <v>160</v>
      </c>
      <c r="D7" s="30" t="s">
        <v>160</v>
      </c>
      <c r="E7" s="30" t="s">
        <v>160</v>
      </c>
      <c r="F7" s="30" t="s">
        <v>160</v>
      </c>
      <c r="G7" s="30" t="s">
        <v>160</v>
      </c>
      <c r="H7" s="30" t="s">
        <v>160</v>
      </c>
    </row>
    <row r="8" spans="1:8">
      <c r="A8" s="10">
        <v>0.21875</v>
      </c>
      <c r="B8" s="30" t="s">
        <v>164</v>
      </c>
      <c r="C8" s="30" t="s">
        <v>164</v>
      </c>
      <c r="D8" s="30" t="s">
        <v>164</v>
      </c>
      <c r="E8" s="30" t="s">
        <v>164</v>
      </c>
      <c r="F8" s="30" t="s">
        <v>164</v>
      </c>
      <c r="G8" s="30" t="s">
        <v>164</v>
      </c>
      <c r="H8" s="30" t="s">
        <v>164</v>
      </c>
    </row>
    <row r="9" spans="1:8">
      <c r="A9" s="10">
        <v>0.22916666666666699</v>
      </c>
      <c r="B9" s="30" t="s">
        <v>161</v>
      </c>
      <c r="C9" s="30" t="s">
        <v>161</v>
      </c>
      <c r="D9" s="30" t="s">
        <v>161</v>
      </c>
      <c r="E9" s="30" t="s">
        <v>161</v>
      </c>
      <c r="F9" s="30" t="s">
        <v>161</v>
      </c>
      <c r="G9" s="30" t="s">
        <v>161</v>
      </c>
      <c r="H9" s="30" t="s">
        <v>161</v>
      </c>
    </row>
    <row r="10" spans="1:8">
      <c r="A10" s="10">
        <v>0.23958333333333401</v>
      </c>
      <c r="B10" s="30" t="s">
        <v>162</v>
      </c>
      <c r="C10" s="30" t="s">
        <v>162</v>
      </c>
      <c r="D10" s="30" t="s">
        <v>162</v>
      </c>
      <c r="E10" s="30" t="s">
        <v>162</v>
      </c>
      <c r="F10" s="30" t="s">
        <v>162</v>
      </c>
      <c r="G10" s="30" t="s">
        <v>162</v>
      </c>
      <c r="H10" s="30" t="s">
        <v>162</v>
      </c>
    </row>
    <row r="11" spans="1:8">
      <c r="A11" s="10">
        <v>0.25</v>
      </c>
      <c r="B11" s="30" t="s">
        <v>163</v>
      </c>
      <c r="C11" s="30" t="s">
        <v>163</v>
      </c>
      <c r="D11" s="30" t="s">
        <v>163</v>
      </c>
      <c r="E11" s="30" t="s">
        <v>163</v>
      </c>
      <c r="F11" s="30" t="s">
        <v>163</v>
      </c>
      <c r="G11" s="30" t="s">
        <v>163</v>
      </c>
      <c r="H11" s="30" t="s">
        <v>163</v>
      </c>
    </row>
    <row r="12" spans="1:8">
      <c r="A12" s="10">
        <v>0.27083333333333398</v>
      </c>
      <c r="B12" s="30" t="s">
        <v>165</v>
      </c>
      <c r="C12" s="30" t="s">
        <v>165</v>
      </c>
      <c r="D12" s="30" t="s">
        <v>165</v>
      </c>
      <c r="E12" s="30" t="s">
        <v>165</v>
      </c>
      <c r="F12" s="30" t="s">
        <v>165</v>
      </c>
      <c r="G12" s="30" t="s">
        <v>165</v>
      </c>
      <c r="H12" s="30" t="s">
        <v>165</v>
      </c>
    </row>
    <row r="13" spans="1:8">
      <c r="A13" s="10">
        <v>0.29166666666666702</v>
      </c>
      <c r="C13" s="15" t="s">
        <v>186</v>
      </c>
    </row>
    <row r="14" spans="1:8">
      <c r="A14" s="10">
        <v>0.30208333333333331</v>
      </c>
      <c r="C14" s="15" t="s">
        <v>186</v>
      </c>
    </row>
    <row r="15" spans="1:8">
      <c r="A15" s="10">
        <v>0.3125</v>
      </c>
      <c r="C15" s="15" t="s">
        <v>186</v>
      </c>
    </row>
    <row r="16" spans="1:8">
      <c r="A16" s="10">
        <v>0.32291666666666669</v>
      </c>
      <c r="C16" s="15" t="s">
        <v>186</v>
      </c>
    </row>
    <row r="17" spans="1:3">
      <c r="A17" s="10">
        <v>0.33333333333333398</v>
      </c>
      <c r="C17" s="15" t="s">
        <v>190</v>
      </c>
    </row>
    <row r="18" spans="1:3">
      <c r="A18" s="10">
        <v>0.34375</v>
      </c>
    </row>
    <row r="19" spans="1:3">
      <c r="A19" s="10">
        <v>0.35416666666666669</v>
      </c>
    </row>
    <row r="20" spans="1:3">
      <c r="A20" s="10">
        <v>0.36458333333333331</v>
      </c>
    </row>
    <row r="21" spans="1:3">
      <c r="A21" s="10">
        <v>0.375</v>
      </c>
      <c r="C21" s="31" t="s">
        <v>185</v>
      </c>
    </row>
    <row r="22" spans="1:3">
      <c r="A22" s="10">
        <v>0.39583333333333398</v>
      </c>
      <c r="C22" s="31" t="s">
        <v>185</v>
      </c>
    </row>
    <row r="23" spans="1:3">
      <c r="A23" s="10">
        <v>0.41666666666666702</v>
      </c>
      <c r="C23" s="28" t="s">
        <v>182</v>
      </c>
    </row>
    <row r="24" spans="1:3">
      <c r="A24" s="10">
        <v>0.4375</v>
      </c>
      <c r="C24" s="28" t="s">
        <v>184</v>
      </c>
    </row>
    <row r="25" spans="1:3">
      <c r="A25" s="10">
        <v>0.45833333333333398</v>
      </c>
      <c r="C25" s="28" t="s">
        <v>184</v>
      </c>
    </row>
    <row r="26" spans="1:3">
      <c r="A26" s="10">
        <v>0.47916666666666702</v>
      </c>
      <c r="C26" s="28" t="s">
        <v>184</v>
      </c>
    </row>
    <row r="27" spans="1:3">
      <c r="A27" s="10">
        <v>0.5</v>
      </c>
      <c r="C27" s="28" t="s">
        <v>184</v>
      </c>
    </row>
    <row r="28" spans="1:3">
      <c r="A28" s="10">
        <v>0.52083333333333404</v>
      </c>
      <c r="C28" s="28" t="s">
        <v>184</v>
      </c>
    </row>
    <row r="29" spans="1:3">
      <c r="A29" s="10">
        <v>0.54166666666666696</v>
      </c>
      <c r="C29" s="28" t="s">
        <v>184</v>
      </c>
    </row>
    <row r="30" spans="1:3">
      <c r="A30" s="10">
        <v>0.55208333333333337</v>
      </c>
      <c r="C30" s="32" t="s">
        <v>183</v>
      </c>
    </row>
    <row r="31" spans="1:3">
      <c r="A31" s="10">
        <v>0.5625</v>
      </c>
      <c r="C31" s="32" t="s">
        <v>187</v>
      </c>
    </row>
    <row r="32" spans="1:3">
      <c r="A32" s="10">
        <v>0.57291666666666663</v>
      </c>
      <c r="C32" s="32" t="s">
        <v>187</v>
      </c>
    </row>
    <row r="33" spans="1:3">
      <c r="A33" s="10">
        <v>0.58333333333333404</v>
      </c>
      <c r="C33" s="32" t="s">
        <v>187</v>
      </c>
    </row>
    <row r="34" spans="1:3">
      <c r="A34" s="10">
        <v>0.59375</v>
      </c>
      <c r="C34" s="31" t="s">
        <v>188</v>
      </c>
    </row>
    <row r="35" spans="1:3">
      <c r="A35" s="10">
        <v>0.60416666666666696</v>
      </c>
      <c r="C35" s="31" t="s">
        <v>188</v>
      </c>
    </row>
    <row r="36" spans="1:3">
      <c r="A36" s="10">
        <v>0.61458333333333337</v>
      </c>
      <c r="C36" s="31" t="s">
        <v>188</v>
      </c>
    </row>
    <row r="37" spans="1:3">
      <c r="A37" s="10">
        <v>0.625000000000001</v>
      </c>
      <c r="C37" s="31" t="s">
        <v>188</v>
      </c>
    </row>
    <row r="38" spans="1:3">
      <c r="A38" s="10">
        <v>0.64583333333333404</v>
      </c>
      <c r="C38" s="31" t="s">
        <v>189</v>
      </c>
    </row>
    <row r="39" spans="1:3">
      <c r="A39" s="10">
        <v>0.66666666666666696</v>
      </c>
    </row>
    <row r="40" spans="1:3">
      <c r="A40" s="10">
        <v>0.687500000000001</v>
      </c>
    </row>
    <row r="41" spans="1:3">
      <c r="A41" s="10">
        <v>0.70833333333333404</v>
      </c>
    </row>
    <row r="42" spans="1:3">
      <c r="A42" s="10">
        <v>0.72916666666666696</v>
      </c>
    </row>
    <row r="43" spans="1:3">
      <c r="A43" s="10">
        <v>0.750000000000001</v>
      </c>
    </row>
    <row r="44" spans="1:3">
      <c r="A44" s="10">
        <v>0.77083333333333404</v>
      </c>
    </row>
    <row r="45" spans="1:3">
      <c r="A45" s="10">
        <v>0.79166666666666696</v>
      </c>
    </row>
    <row r="46" spans="1:3">
      <c r="A46" s="10">
        <v>0.812500000000001</v>
      </c>
    </row>
    <row r="47" spans="1:3">
      <c r="A47" s="10">
        <v>0.83333333333333404</v>
      </c>
    </row>
    <row r="48" spans="1:3">
      <c r="A48" s="10">
        <v>0.85416666666666696</v>
      </c>
    </row>
    <row r="49" spans="1:7">
      <c r="A49" s="10">
        <v>0.875000000000001</v>
      </c>
      <c r="B49" s="28" t="s">
        <v>177</v>
      </c>
      <c r="C49" s="28" t="s">
        <v>177</v>
      </c>
      <c r="D49" s="28" t="s">
        <v>177</v>
      </c>
      <c r="E49" s="28" t="s">
        <v>177</v>
      </c>
      <c r="F49" s="28" t="s">
        <v>177</v>
      </c>
      <c r="G49" s="28" t="s">
        <v>177</v>
      </c>
    </row>
    <row r="50" spans="1:7">
      <c r="A50" s="10">
        <v>0.88541666666666663</v>
      </c>
      <c r="B50" s="23" t="s">
        <v>178</v>
      </c>
      <c r="C50" s="23" t="s">
        <v>178</v>
      </c>
      <c r="D50" s="23" t="s">
        <v>178</v>
      </c>
      <c r="E50" s="23" t="s">
        <v>178</v>
      </c>
      <c r="F50" s="23" t="s">
        <v>178</v>
      </c>
      <c r="G50" s="23" t="s">
        <v>178</v>
      </c>
    </row>
    <row r="51" spans="1:7">
      <c r="A51" s="10">
        <v>0.89583333333333404</v>
      </c>
      <c r="B51" s="23" t="s">
        <v>178</v>
      </c>
      <c r="C51" s="23" t="s">
        <v>178</v>
      </c>
      <c r="D51" s="23" t="s">
        <v>178</v>
      </c>
      <c r="E51" s="23" t="s">
        <v>178</v>
      </c>
      <c r="F51" s="23" t="s">
        <v>178</v>
      </c>
      <c r="G51" s="23" t="s">
        <v>178</v>
      </c>
    </row>
    <row r="52" spans="1:7">
      <c r="A52" s="10">
        <v>0.90625</v>
      </c>
      <c r="B52" s="24" t="s">
        <v>179</v>
      </c>
      <c r="C52" s="24" t="s">
        <v>179</v>
      </c>
      <c r="D52" s="24" t="s">
        <v>179</v>
      </c>
      <c r="E52" s="24" t="s">
        <v>179</v>
      </c>
      <c r="F52" s="24" t="s">
        <v>179</v>
      </c>
      <c r="G52" s="24" t="s">
        <v>179</v>
      </c>
    </row>
    <row r="53" spans="1:7">
      <c r="A53" s="10">
        <v>0.91666666666666696</v>
      </c>
      <c r="B53" s="30" t="s">
        <v>180</v>
      </c>
      <c r="C53" s="30" t="s">
        <v>180</v>
      </c>
      <c r="D53" s="30" t="s">
        <v>180</v>
      </c>
      <c r="E53" s="30" t="s">
        <v>180</v>
      </c>
      <c r="F53" s="30" t="s">
        <v>180</v>
      </c>
      <c r="G53" s="30" t="s">
        <v>180</v>
      </c>
    </row>
    <row r="54" spans="1:7">
      <c r="A54" s="10">
        <v>0.937500000000001</v>
      </c>
    </row>
    <row r="55" spans="1:7">
      <c r="A55" s="10">
        <v>0.95833333333333404</v>
      </c>
    </row>
    <row r="56" spans="1:7">
      <c r="A56" s="10">
        <v>0.97916666666666696</v>
      </c>
    </row>
    <row r="57" spans="1:7">
      <c r="A57" s="10">
        <v>1</v>
      </c>
    </row>
    <row r="58" spans="1:7">
      <c r="A58" s="10">
        <v>1.0208333333333299</v>
      </c>
    </row>
    <row r="59" spans="1:7">
      <c r="A59"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41</vt:lpstr>
      <vt:lpstr>Wochenplan KW 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user</cp:lastModifiedBy>
  <dcterms:created xsi:type="dcterms:W3CDTF">2020-04-19T13:33:28Z</dcterms:created>
  <dcterms:modified xsi:type="dcterms:W3CDTF">2022-10-20T17:27:20Z</dcterms:modified>
</cp:coreProperties>
</file>