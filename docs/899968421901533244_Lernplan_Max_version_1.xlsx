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jonas\Downloads\"/>
    </mc:Choice>
  </mc:AlternateContent>
  <xr:revisionPtr revIDLastSave="0" documentId="13_ncr:1_{FC4B3801-B34D-4FA4-9E7A-9D22E888CD14}" xr6:coauthVersionLast="47" xr6:coauthVersionMax="47" xr10:uidLastSave="{00000000-0000-0000-0000-000000000000}"/>
  <bookViews>
    <workbookView xWindow="-38510" yWindow="-10760" windowWidth="38620" windowHeight="21220" tabRatio="573"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7" i="7" l="1"/>
  <c r="J28" i="7"/>
  <c r="K28" i="7"/>
  <c r="N4" i="7"/>
  <c r="J30" i="7" l="1"/>
  <c r="K80" i="7"/>
  <c r="J80" i="7"/>
  <c r="I80" i="7"/>
  <c r="K72" i="7"/>
  <c r="J72" i="7"/>
  <c r="I72" i="7"/>
  <c r="K71" i="7"/>
  <c r="J71" i="7"/>
  <c r="I71" i="7"/>
  <c r="K70" i="7"/>
  <c r="J70" i="7"/>
  <c r="I70" i="7"/>
  <c r="K69" i="7"/>
  <c r="J69" i="7"/>
  <c r="I69" i="7"/>
  <c r="K68" i="7"/>
  <c r="J68" i="7"/>
  <c r="I68" i="7"/>
  <c r="K67" i="7"/>
  <c r="J67" i="7"/>
  <c r="I67" i="7"/>
  <c r="K66" i="7"/>
  <c r="J66" i="7"/>
  <c r="I66" i="7"/>
  <c r="K65" i="7"/>
  <c r="J65" i="7"/>
  <c r="I65" i="7"/>
  <c r="K64" i="7"/>
  <c r="J64" i="7"/>
  <c r="I64" i="7"/>
  <c r="K63" i="7"/>
  <c r="J63" i="7"/>
  <c r="I63" i="7"/>
  <c r="K62" i="7"/>
  <c r="J62" i="7"/>
  <c r="I62" i="7"/>
  <c r="BD61" i="7"/>
  <c r="AW61" i="7"/>
  <c r="AP61" i="7"/>
  <c r="AI61" i="7"/>
  <c r="AB61" i="7"/>
  <c r="U61" i="7"/>
  <c r="N61" i="7"/>
  <c r="G61" i="7"/>
  <c r="K30" i="7"/>
  <c r="I30" i="7"/>
  <c r="K29" i="7"/>
  <c r="J29" i="7"/>
  <c r="I29" i="7"/>
  <c r="I28" i="7"/>
  <c r="K27" i="7"/>
  <c r="J27" i="7"/>
  <c r="I27" i="7"/>
  <c r="K26" i="7"/>
  <c r="J26" i="7"/>
  <c r="I26" i="7"/>
  <c r="K25" i="7"/>
  <c r="J25" i="7"/>
  <c r="I25" i="7"/>
  <c r="K24" i="7"/>
  <c r="J24" i="7"/>
  <c r="I24" i="7"/>
  <c r="K23" i="7"/>
  <c r="J23" i="7"/>
  <c r="I23" i="7"/>
  <c r="K22" i="7"/>
  <c r="J22" i="7"/>
  <c r="I22" i="7"/>
  <c r="K21" i="7"/>
  <c r="J21" i="7"/>
  <c r="I21" i="7"/>
  <c r="K20" i="7"/>
  <c r="J20" i="7"/>
  <c r="I20" i="7"/>
  <c r="K19" i="7"/>
  <c r="J19" i="7"/>
  <c r="I19" i="7"/>
  <c r="BD18" i="7"/>
  <c r="AW18" i="7"/>
  <c r="AP18" i="7"/>
  <c r="AI18" i="7"/>
  <c r="AB18" i="7"/>
  <c r="U18" i="7"/>
  <c r="N18" i="7"/>
  <c r="G18" i="7"/>
  <c r="I32" i="7"/>
  <c r="J32" i="7"/>
  <c r="K32" i="7"/>
  <c r="I33" i="7"/>
  <c r="J33" i="7"/>
  <c r="K33" i="7"/>
  <c r="I34" i="7"/>
  <c r="J34" i="7"/>
  <c r="K34" i="7"/>
  <c r="I35" i="7"/>
  <c r="J35" i="7"/>
  <c r="K35" i="7"/>
  <c r="I36" i="7"/>
  <c r="J36" i="7"/>
  <c r="K36" i="7"/>
  <c r="I37" i="7"/>
  <c r="J37" i="7"/>
  <c r="K37" i="7"/>
  <c r="I38" i="7"/>
  <c r="J38" i="7"/>
  <c r="K38" i="7"/>
  <c r="I39" i="7"/>
  <c r="J39" i="7"/>
  <c r="K39" i="7"/>
  <c r="I40" i="7"/>
  <c r="J40" i="7"/>
  <c r="K40" i="7"/>
  <c r="I41" i="7"/>
  <c r="J41" i="7"/>
  <c r="K41" i="7"/>
  <c r="I42" i="7"/>
  <c r="J42" i="7"/>
  <c r="K42" i="7"/>
  <c r="I43" i="7"/>
  <c r="J43" i="7"/>
  <c r="K43" i="7"/>
  <c r="J61" i="7" l="1"/>
  <c r="I61" i="7"/>
  <c r="K61" i="7"/>
  <c r="J18" i="7"/>
  <c r="K18" i="7"/>
  <c r="I18" i="7"/>
  <c r="K58" i="7"/>
  <c r="J58" i="7"/>
  <c r="I58" i="7"/>
  <c r="K56" i="7"/>
  <c r="J56" i="7"/>
  <c r="I56" i="7"/>
  <c r="K55" i="7"/>
  <c r="J55" i="7"/>
  <c r="I55" i="7"/>
  <c r="K54" i="7"/>
  <c r="J54" i="7"/>
  <c r="I54" i="7"/>
  <c r="K53" i="7"/>
  <c r="J53" i="7"/>
  <c r="I53" i="7"/>
  <c r="K52" i="7"/>
  <c r="J52" i="7"/>
  <c r="I52" i="7"/>
  <c r="K51" i="7"/>
  <c r="J51" i="7"/>
  <c r="I51" i="7"/>
  <c r="K50" i="7"/>
  <c r="J50" i="7"/>
  <c r="I50" i="7"/>
  <c r="K49" i="7"/>
  <c r="J49" i="7"/>
  <c r="I49" i="7"/>
  <c r="K48" i="7"/>
  <c r="J48" i="7"/>
  <c r="I48" i="7"/>
  <c r="K47" i="7"/>
  <c r="J47" i="7"/>
  <c r="I47" i="7"/>
  <c r="K46" i="7"/>
  <c r="J46" i="7"/>
  <c r="I46" i="7"/>
  <c r="BD45" i="7"/>
  <c r="AW45" i="7"/>
  <c r="AP45" i="7"/>
  <c r="AI45" i="7"/>
  <c r="AB45" i="7"/>
  <c r="U45" i="7"/>
  <c r="N45" i="7"/>
  <c r="G45" i="7"/>
  <c r="BD4" i="7"/>
  <c r="AW4" i="7"/>
  <c r="AP4" i="7"/>
  <c r="AI4" i="7"/>
  <c r="AB4" i="7"/>
  <c r="U4" i="7"/>
  <c r="G4" i="7"/>
  <c r="I16" i="7"/>
  <c r="I6" i="7"/>
  <c r="I7" i="7"/>
  <c r="I8" i="7"/>
  <c r="I9" i="7"/>
  <c r="I10" i="7"/>
  <c r="I11" i="7"/>
  <c r="I12" i="7"/>
  <c r="I13" i="7"/>
  <c r="I14" i="7"/>
  <c r="I15" i="7"/>
  <c r="I5" i="7"/>
  <c r="J5" i="7"/>
  <c r="K6" i="7"/>
  <c r="K7" i="7"/>
  <c r="K8" i="7"/>
  <c r="K9" i="7"/>
  <c r="K10" i="7"/>
  <c r="K11" i="7"/>
  <c r="K12" i="7"/>
  <c r="K13" i="7"/>
  <c r="K14" i="7"/>
  <c r="K15" i="7"/>
  <c r="K16" i="7"/>
  <c r="J6" i="7"/>
  <c r="J7" i="7"/>
  <c r="J8" i="7"/>
  <c r="J9" i="7"/>
  <c r="J10" i="7"/>
  <c r="J11" i="7"/>
  <c r="J12" i="7"/>
  <c r="J13" i="7"/>
  <c r="J14" i="7"/>
  <c r="J15" i="7"/>
  <c r="J16" i="7"/>
  <c r="K5" i="7"/>
  <c r="K45" i="7" l="1"/>
  <c r="I45" i="7"/>
  <c r="J45" i="7"/>
  <c r="K4" i="7"/>
  <c r="I4" i="7" l="1"/>
  <c r="J4" i="7"/>
</calcChain>
</file>

<file path=xl/sharedStrings.xml><?xml version="1.0" encoding="utf-8"?>
<sst xmlns="http://schemas.openxmlformats.org/spreadsheetml/2006/main" count="366" uniqueCount="137">
  <si>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</si>
  <si>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</si>
  <si>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</si>
  <si>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</si>
  <si>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</si>
  <si>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</si>
  <si>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</si>
  <si>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</si>
  <si>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</si>
  <si>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</si>
  <si>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</si>
  <si>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</si>
  <si>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</si>
  <si>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</si>
  <si>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</si>
  <si>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</si>
  <si>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</si>
  <si>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</si>
  <si>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</si>
  <si>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</si>
  <si>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</si>
  <si>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</si>
  <si>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</si>
  <si>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</si>
  <si>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</si>
  <si>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</si>
  <si>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</si>
  <si>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</si>
  <si>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</si>
  <si>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</si>
  <si>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</si>
  <si>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</si>
  <si>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</si>
  <si>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</si>
  <si>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</si>
  <si>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</si>
  <si>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</si>
  <si>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</si>
  <si>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</si>
  <si>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</si>
  <si>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</si>
  <si>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</si>
  <si>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</si>
  <si>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</si>
  <si>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</si>
  <si>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</si>
  <si>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</si>
  <si>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</si>
  <si>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</si>
  <si>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</si>
  <si>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</si>
  <si>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</si>
  <si>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</si>
  <si>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</si>
  <si>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</si>
  <si>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</si>
  <si>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</si>
  <si>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</si>
  <si>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</si>
  <si>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</si>
  <si>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</si>
  <si>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</si>
  <si>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KW 42</t>
  </si>
  <si>
    <t>KW 43</t>
  </si>
  <si>
    <t>KW 44</t>
  </si>
  <si>
    <t>KW 45</t>
  </si>
  <si>
    <t>KW 46</t>
  </si>
  <si>
    <t>KW 47</t>
  </si>
  <si>
    <t>KW 48</t>
  </si>
  <si>
    <t>KW 49</t>
  </si>
  <si>
    <t>KW 50</t>
  </si>
  <si>
    <t>KW 51</t>
  </si>
  <si>
    <t>KW 52</t>
  </si>
  <si>
    <t>KW 01</t>
  </si>
  <si>
    <t>KW 02</t>
  </si>
  <si>
    <t>Absatzwirtschaft</t>
  </si>
  <si>
    <t>2.3) Basisstrategien im Marketing</t>
  </si>
  <si>
    <t>3) Firmenverhalten: Kosten und Angebot</t>
  </si>
  <si>
    <t>6) Märkte zwischen Effizienz und Marktversagen</t>
  </si>
  <si>
    <t>7) Intermezzo: Von der Mikro zur Makroökonomik</t>
  </si>
  <si>
    <t>8) Volkswirtschaftliches Rechnungswesen</t>
  </si>
  <si>
    <t>9) Arbeitsmarkt und gesamtwirtschaftliche Produktion</t>
  </si>
  <si>
    <t>10) Ersparnis, Investitionen, Finanzmärkte und Wirtschaftswachstum</t>
  </si>
  <si>
    <t>11) Geld, Preise, und Wechselkurse</t>
  </si>
  <si>
    <t>12) Konjunkturschwankungen und makroökonomische Stabilisierung</t>
  </si>
  <si>
    <t>3.2) Preismanagement</t>
  </si>
  <si>
    <t>3.4.1) Kommunikationspolitik und Werbeplanung</t>
  </si>
  <si>
    <t>1) Marketingkonzept charaktersieren können</t>
  </si>
  <si>
    <t xml:space="preserve">2.1) Strategisches  Marketing kennenlernen - Grundlagen </t>
  </si>
  <si>
    <t xml:space="preserve">3.3) Distrubitionsmanagement </t>
  </si>
  <si>
    <t>3.4.2) Markenmanagement</t>
  </si>
  <si>
    <t xml:space="preserve">1) HTML </t>
  </si>
  <si>
    <t>2) Programme und Programmiersprachen</t>
  </si>
  <si>
    <t>4) HTML Fomulare</t>
  </si>
  <si>
    <t xml:space="preserve">5) Programmablauf und Kontrollstrukturen </t>
  </si>
  <si>
    <t>6.2) Datenmodulierung</t>
  </si>
  <si>
    <t>6.1) Daten und Zahlensysteme</t>
  </si>
  <si>
    <t>6.4) IT und Gesellschaft</t>
  </si>
  <si>
    <t xml:space="preserve">6.5) Projektmanagement </t>
  </si>
  <si>
    <t>6.7) Rechner</t>
  </si>
  <si>
    <t>Mathematik</t>
  </si>
  <si>
    <t xml:space="preserve">6.8) Rechnernetze und Internet </t>
  </si>
  <si>
    <t xml:space="preserve">2) Funktion einer Variablen </t>
  </si>
  <si>
    <t>3) Eigenschaften von Funktionen</t>
  </si>
  <si>
    <t>4) Differentiation</t>
  </si>
  <si>
    <t>5) Anwendungender Differentialrechnung</t>
  </si>
  <si>
    <t xml:space="preserve">6) Univariate Optimierung </t>
  </si>
  <si>
    <t xml:space="preserve">7) Integration </t>
  </si>
  <si>
    <t xml:space="preserve">8) Funktion mehrerer Variablen </t>
  </si>
  <si>
    <t>9) Komparative Statik</t>
  </si>
  <si>
    <t xml:space="preserve">10) Multivariate Optimierung </t>
  </si>
  <si>
    <t xml:space="preserve">11) Optimierung unter Nebenbedingungen </t>
  </si>
  <si>
    <t>1) Grundlagen Analysis</t>
  </si>
  <si>
    <t>12) Einführung Lineare Algebra &amp; Vektoren</t>
  </si>
  <si>
    <t xml:space="preserve">13) Matrizen </t>
  </si>
  <si>
    <t>14) Lineare Gleichungssysteme</t>
  </si>
  <si>
    <t>15) Unterbestimmte LGS</t>
  </si>
  <si>
    <t>16) Matrixinversion</t>
  </si>
  <si>
    <t xml:space="preserve">17) Determnanten </t>
  </si>
  <si>
    <t xml:space="preserve">18) Extremprobleme mit mehreren Variablen </t>
  </si>
  <si>
    <t>19) Lineare Programmierung</t>
  </si>
  <si>
    <t>Analysis</t>
  </si>
  <si>
    <t>Lineare Algebra</t>
  </si>
  <si>
    <t>2) !!Nachfrage, Angebot und Gleichgewicht auf einem Markt</t>
  </si>
  <si>
    <t>4)!! Haushaltsverhalten: Optimierung und Nachfrage</t>
  </si>
  <si>
    <t>5)!! Arbeitsangebot und Sparentscheidungen</t>
  </si>
  <si>
    <t>2.2) !!!Analysemethoden</t>
  </si>
  <si>
    <t xml:space="preserve">3.1)! Produktmanagement und Kundenzufriedenheit </t>
  </si>
  <si>
    <t>3) !!!PHP</t>
  </si>
  <si>
    <t>6.3) !!!Datenbanken</t>
  </si>
  <si>
    <t>6.6)!! Geschäftsprozessmodellierung</t>
  </si>
  <si>
    <t>Analysis 2/3</t>
  </si>
  <si>
    <t>Lineare Algebra 1/3</t>
  </si>
  <si>
    <t>EDV 80 Tut / 20 Skript</t>
  </si>
  <si>
    <t>EVWL 2/3 Mikro1/3 Makro</t>
  </si>
  <si>
    <t xml:space="preserve"> </t>
  </si>
  <si>
    <t>KW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</si>
</sst>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Normal" xfId="0" builtinId="0"/>
  </cellStyles>
  <dxfs count="35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D1" workbookViewId="0">
      <selection activeCell="D1" sqref="D1:D1048576"/>
    </sheetView>
  </sheetViews>
  <sheetFormatPr defaultColWidth="10.58203125" defaultRowHeight="15.5"/>
  <cols>
    <col min="2" max="2" width="161" customWidth="1"/>
    <col min="3" max="3" width="10.83203125" style="2"/>
  </cols>
  <sheetData>
    <row r="4" spans="2:2" ht="21">
      <c r="B4" s="4" t="s">
        <v>17</v>
      </c>
    </row>
    <row r="6" spans="2:2">
      <c r="B6" s="3" t="s">
        <v>14</v>
      </c>
    </row>
    <row r="7" spans="2:2" ht="46.5">
      <c r="B7" s="1" t="s">
        <v>15</v>
      </c>
    </row>
    <row r="9" spans="2:2">
      <c r="B9" s="3" t="s">
        <v>16</v>
      </c>
    </row>
    <row r="10" spans="2:2" ht="62">
      <c r="B10" s="1" t="s">
        <v>48</v>
      </c>
    </row>
    <row r="12" spans="2:2">
      <c r="B12" s="3" t="s">
        <v>18</v>
      </c>
    </row>
    <row r="13" spans="2:2" ht="124">
      <c r="B13" s="1" t="s">
        <v>19</v>
      </c>
    </row>
    <row r="15" spans="2:2">
      <c r="B15" s="3" t="s">
        <v>20</v>
      </c>
    </row>
    <row r="16" spans="2:2" ht="108.5">
      <c r="B16" s="1" t="s">
        <v>21</v>
      </c>
    </row>
    <row r="17" spans="2:2">
      <c r="B17" s="1"/>
    </row>
    <row r="18" spans="2:2">
      <c r="B18" s="3" t="s">
        <v>47</v>
      </c>
    </row>
    <row r="19" spans="2:2" ht="139.5">
      <c r="B19" s="1" t="s">
        <v>49</v>
      </c>
    </row>
    <row r="21" spans="2:2">
      <c r="B21" s="3" t="s">
        <v>22</v>
      </c>
    </row>
    <row r="22" spans="2:2" ht="124">
      <c r="B22" s="1" t="s">
        <v>50</v>
      </c>
    </row>
    <row r="24" spans="2:2">
      <c r="B24" s="3" t="s">
        <v>23</v>
      </c>
    </row>
    <row r="25" spans="2:2" ht="124">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80"/>
  <sheetViews>
    <sheetView showGridLines="0" tabSelected="1" zoomScale="90" zoomScaleNormal="90" workbookViewId="0">
      <selection activeCell="F18" sqref="F18"/>
    </sheetView>
  </sheetViews>
  <sheetFormatPr defaultColWidth="8.83203125" defaultRowHeight="15.5" outlineLevelRow="1"/>
  <cols>
    <col min="3" max="3" width="9.5" bestFit="1" customWidth="1"/>
    <col min="4" max="4" width="13" bestFit="1" customWidth="1"/>
    <col min="5" max="5" width="4.83203125" bestFit="1" customWidth="1"/>
    <col min="6" max="6" width="41.08203125" bestFit="1" customWidth="1"/>
    <col min="7" max="7" width="15.5" bestFit="1" customWidth="1"/>
    <col min="8" max="8" width="2.5" customWidth="1"/>
    <col min="10" max="10" width="12.5" bestFit="1" customWidth="1"/>
    <col min="11" max="11" width="14.83203125" bestFit="1" customWidth="1"/>
    <col min="12" max="12" width="12.58203125" bestFit="1" customWidth="1"/>
    <col min="13" max="13" width="2.5" customWidth="1"/>
    <col min="15" max="15" width="12.5" bestFit="1" customWidth="1"/>
    <col min="16" max="16" width="6.33203125" customWidth="1"/>
    <col min="17" max="17" width="14.83203125" bestFit="1" customWidth="1"/>
    <col min="18" max="18" width="6" customWidth="1"/>
    <col min="19" max="19" width="12.58203125" bestFit="1" customWidth="1"/>
    <col min="20" max="20" width="2.5" customWidth="1"/>
    <col min="22" max="22" width="12.5" bestFit="1" customWidth="1"/>
    <col min="23" max="23" width="6.33203125" customWidth="1"/>
    <col min="24" max="24" width="14.83203125" bestFit="1" customWidth="1"/>
    <col min="25" max="25" width="6" customWidth="1"/>
    <col min="26" max="26" width="12.58203125" bestFit="1" customWidth="1"/>
    <col min="27" max="27" width="2.5" customWidth="1"/>
    <col min="29" max="29" width="12.5" bestFit="1" customWidth="1"/>
    <col min="30" max="30" width="6.33203125" customWidth="1"/>
    <col min="31" max="31" width="14.83203125" bestFit="1" customWidth="1"/>
    <col min="32" max="32" width="6" customWidth="1"/>
    <col min="33" max="33" width="12.58203125" bestFit="1" customWidth="1"/>
    <col min="34" max="34" width="2.5" customWidth="1"/>
    <col min="36" max="36" width="12.5" bestFit="1" customWidth="1"/>
    <col min="37" max="37" width="6.33203125" customWidth="1"/>
    <col min="38" max="38" width="14.83203125" bestFit="1" customWidth="1"/>
    <col min="39" max="39" width="6" customWidth="1"/>
    <col min="40" max="40" width="12.58203125" bestFit="1" customWidth="1"/>
    <col min="41" max="41" width="2.5" customWidth="1"/>
    <col min="43" max="43" width="12.5" bestFit="1" customWidth="1"/>
    <col min="44" max="44" width="6.33203125" customWidth="1"/>
    <col min="45" max="45" width="14.83203125" bestFit="1" customWidth="1"/>
    <col min="46" max="46" width="6" customWidth="1"/>
    <col min="47" max="47" width="12.58203125" bestFit="1" customWidth="1"/>
    <col min="48" max="48" width="2.5" customWidth="1"/>
    <col min="50" max="50" width="12.5" bestFit="1" customWidth="1"/>
    <col min="51" max="51" width="6.33203125" customWidth="1"/>
    <col min="52" max="52" width="14.83203125" bestFit="1" customWidth="1"/>
    <col min="53" max="53" width="6" customWidth="1"/>
    <col min="54" max="54" width="12.58203125" bestFit="1" customWidth="1"/>
    <col min="55" max="55" width="2.5" customWidth="1"/>
    <col min="57" max="57" width="12.5" bestFit="1" customWidth="1"/>
    <col min="58" max="58" width="6.33203125" customWidth="1"/>
    <col min="59" max="59" width="14.83203125" bestFit="1" customWidth="1"/>
    <col min="60" max="60" width="6" customWidth="1"/>
    <col min="61" max="61" width="12.58203125" bestFit="1" customWidth="1"/>
    <col min="62" max="62" width="2.5" customWidth="1"/>
    <col min="64" max="64" width="12.5" bestFit="1" customWidth="1"/>
    <col min="65" max="65" width="6.33203125" customWidth="1"/>
    <col min="66" max="66" width="14.83203125" bestFit="1" customWidth="1"/>
    <col min="67" max="67" width="6" customWidth="1"/>
    <col min="68" max="68" width="12.58203125" bestFit="1" customWidth="1"/>
    <col min="69" max="69" width="2.5" customWidth="1"/>
    <col min="71" max="71" width="12.5" bestFit="1" customWidth="1"/>
    <col min="72" max="72" width="6.33203125" customWidth="1"/>
    <col min="73" max="73" width="14.83203125" bestFit="1" customWidth="1"/>
    <col min="74" max="74" width="6" customWidth="1"/>
    <col min="75" max="75" width="12.58203125" bestFit="1" customWidth="1"/>
    <col min="76" max="76" width="2.5" customWidth="1"/>
    <col min="78" max="78" width="12.5" bestFit="1" customWidth="1"/>
    <col min="79" max="79" width="6.33203125" customWidth="1"/>
    <col min="80" max="80" width="14.83203125" bestFit="1" customWidth="1"/>
    <col min="81" max="81" width="6" customWidth="1"/>
    <col min="82" max="82" width="12.58203125" bestFit="1" customWidth="1"/>
    <col min="83" max="83" width="2.5" customWidth="1"/>
    <col min="85" max="85" width="12.5" bestFit="1" customWidth="1"/>
    <col min="86" max="86" width="6.33203125" customWidth="1"/>
    <col min="87" max="87" width="14.83203125" bestFit="1" customWidth="1"/>
    <col min="88" max="88" width="6" customWidth="1"/>
    <col min="89" max="89" width="12.58203125" bestFit="1" customWidth="1"/>
    <col min="90" max="90" width="2.5" customWidth="1"/>
    <col min="92" max="92" width="12.5" bestFit="1" customWidth="1"/>
    <col min="93" max="93" width="6.33203125" customWidth="1"/>
    <col min="94" max="94" width="14.83203125" bestFit="1" customWidth="1"/>
    <col min="95" max="95" width="6" customWidth="1"/>
    <col min="96" max="96" width="12.58203125" bestFit="1" customWidth="1"/>
    <col min="97" max="97" width="2.5" customWidth="1"/>
    <col min="99" max="99" width="12.5" bestFit="1" customWidth="1"/>
    <col min="100" max="100" width="6.33203125" customWidth="1"/>
    <col min="101" max="101" width="14.83203125" bestFit="1" customWidth="1"/>
    <col min="102" max="102" width="6" customWidth="1"/>
    <col min="103" max="103" width="12.58203125" bestFit="1" customWidth="1"/>
    <col min="104" max="104" width="2.5" customWidth="1"/>
    <col min="106" max="106" width="12.5" bestFit="1" customWidth="1"/>
    <col min="107" max="107" width="6.33203125" customWidth="1"/>
    <col min="108" max="108" width="14.83203125" bestFit="1" customWidth="1"/>
    <col min="109" max="109" width="6" customWidth="1"/>
    <col min="110" max="110" width="12.58203125" bestFit="1" customWidth="1"/>
    <col min="111" max="111" width="2.5" customWidth="1"/>
  </cols>
  <sheetData>
    <row r="1" spans="2:110" ht="33.5">
      <c r="B1" s="5" t="s">
        <v>0</v>
      </c>
      <c r="D1" s="5"/>
      <c r="G1" s="15" t="s">
        <v>46</v>
      </c>
      <c r="I1" s="15" t="s">
        <v>46</v>
      </c>
      <c r="J1" s="15" t="s">
        <v>46</v>
      </c>
      <c r="K1" s="15" t="s">
        <v>46</v>
      </c>
    </row>
    <row r="2" spans="2:110">
      <c r="I2" s="19" t="s">
        <v>28</v>
      </c>
      <c r="J2" s="19"/>
      <c r="K2" s="19"/>
      <c r="L2" s="19"/>
      <c r="N2" s="19" t="s">
        <v>62</v>
      </c>
      <c r="O2" s="19"/>
      <c r="P2" s="19"/>
      <c r="Q2" s="19"/>
      <c r="R2" s="19"/>
      <c r="S2" s="19"/>
      <c r="U2" s="19" t="s">
        <v>63</v>
      </c>
      <c r="V2" s="19"/>
      <c r="W2" s="19"/>
      <c r="X2" s="19"/>
      <c r="Y2" s="19"/>
      <c r="Z2" s="19"/>
      <c r="AB2" s="19" t="s">
        <v>64</v>
      </c>
      <c r="AC2" s="19"/>
      <c r="AD2" s="19"/>
      <c r="AE2" s="19"/>
      <c r="AF2" s="19"/>
      <c r="AG2" s="19"/>
      <c r="AI2" s="19" t="s">
        <v>65</v>
      </c>
      <c r="AJ2" s="19"/>
      <c r="AK2" s="19"/>
      <c r="AL2" s="19"/>
      <c r="AM2" s="19"/>
      <c r="AN2" s="19"/>
      <c r="AP2" s="19" t="s">
        <v>66</v>
      </c>
      <c r="AQ2" s="19"/>
      <c r="AR2" s="19"/>
      <c r="AS2" s="19"/>
      <c r="AT2" s="19"/>
      <c r="AU2" s="19"/>
      <c r="AW2" s="19" t="s">
        <v>67</v>
      </c>
      <c r="AX2" s="19"/>
      <c r="AY2" s="19"/>
      <c r="AZ2" s="19"/>
      <c r="BA2" s="19"/>
      <c r="BB2" s="19"/>
      <c r="BD2" s="19" t="s">
        <v>68</v>
      </c>
      <c r="BE2" s="19"/>
      <c r="BF2" s="19"/>
      <c r="BG2" s="19"/>
      <c r="BH2" s="19"/>
      <c r="BI2" s="19"/>
      <c r="BK2" s="19" t="s">
        <v>69</v>
      </c>
      <c r="BL2" s="19"/>
      <c r="BM2" s="19"/>
      <c r="BN2" s="19"/>
      <c r="BO2" s="19"/>
      <c r="BP2" s="19"/>
      <c r="BR2" s="19" t="s">
        <v>70</v>
      </c>
      <c r="BS2" s="19"/>
      <c r="BT2" s="19"/>
      <c r="BU2" s="19"/>
      <c r="BV2" s="19"/>
      <c r="BW2" s="19"/>
      <c r="BY2" s="19" t="s">
        <v>71</v>
      </c>
      <c r="BZ2" s="19"/>
      <c r="CA2" s="19"/>
      <c r="CB2" s="19"/>
      <c r="CC2" s="19"/>
      <c r="CD2" s="19"/>
      <c r="CF2" s="19" t="s">
        <v>72</v>
      </c>
      <c r="CG2" s="19"/>
      <c r="CH2" s="19"/>
      <c r="CI2" s="19"/>
      <c r="CJ2" s="19"/>
      <c r="CK2" s="19"/>
      <c r="CM2" s="19" t="s">
        <v>73</v>
      </c>
      <c r="CN2" s="19"/>
      <c r="CO2" s="19"/>
      <c r="CP2" s="19"/>
      <c r="CQ2" s="19"/>
      <c r="CR2" s="19"/>
      <c r="CT2" s="19" t="s">
        <v>74</v>
      </c>
      <c r="CU2" s="19"/>
      <c r="CV2" s="19"/>
      <c r="CW2" s="19"/>
      <c r="CX2" s="19"/>
      <c r="CY2" s="19"/>
      <c r="DA2" s="19" t="s">
        <v>136</v>
      </c>
      <c r="DB2" s="19"/>
      <c r="DC2" s="19"/>
      <c r="DD2" s="19"/>
      <c r="DE2" s="19"/>
      <c r="DF2" s="19"/>
    </row>
    <row r="3" spans="2:110">
      <c r="B3" s="6" t="s">
        <v>27</v>
      </c>
      <c r="C3" s="6" t="s">
        <v>1</v>
      </c>
      <c r="D3" s="6" t="s">
        <v>25</v>
      </c>
      <c r="E3" s="7" t="s">
        <v>43</v>
      </c>
      <c r="F3" s="6" t="s">
        <v>30</v>
      </c>
      <c r="G3" s="6" t="s">
        <v>44</v>
      </c>
      <c r="I3" s="7" t="s">
        <v>12</v>
      </c>
      <c r="J3" s="7" t="s">
        <v>3</v>
      </c>
      <c r="K3" s="7" t="s">
        <v>4</v>
      </c>
      <c r="L3" s="7"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6" t="s">
        <v>12</v>
      </c>
      <c r="BE3" s="6" t="s">
        <v>3</v>
      </c>
      <c r="BF3" s="6" t="s">
        <v>45</v>
      </c>
      <c r="BG3" s="6" t="s">
        <v>4</v>
      </c>
      <c r="BH3" s="6" t="s">
        <v>45</v>
      </c>
      <c r="BI3" s="6" t="s">
        <v>13</v>
      </c>
      <c r="BK3" s="6" t="s">
        <v>12</v>
      </c>
      <c r="BL3" s="6" t="s">
        <v>3</v>
      </c>
      <c r="BM3" s="6" t="s">
        <v>45</v>
      </c>
      <c r="BN3" s="6" t="s">
        <v>4</v>
      </c>
      <c r="BO3" s="6" t="s">
        <v>45</v>
      </c>
      <c r="BP3" s="6" t="s">
        <v>13</v>
      </c>
      <c r="BR3" s="6" t="s">
        <v>12</v>
      </c>
      <c r="BS3" s="6" t="s">
        <v>3</v>
      </c>
      <c r="BT3" s="6" t="s">
        <v>45</v>
      </c>
      <c r="BU3" s="6" t="s">
        <v>4</v>
      </c>
      <c r="BV3" s="6" t="s">
        <v>45</v>
      </c>
      <c r="BW3" s="6" t="s">
        <v>13</v>
      </c>
      <c r="BY3" s="6" t="s">
        <v>12</v>
      </c>
      <c r="BZ3" s="6" t="s">
        <v>3</v>
      </c>
      <c r="CA3" s="6" t="s">
        <v>45</v>
      </c>
      <c r="CB3" s="6" t="s">
        <v>4</v>
      </c>
      <c r="CC3" s="6" t="s">
        <v>45</v>
      </c>
      <c r="CD3" s="6" t="s">
        <v>13</v>
      </c>
      <c r="CF3" s="6" t="s">
        <v>12</v>
      </c>
      <c r="CG3" s="6" t="s">
        <v>3</v>
      </c>
      <c r="CH3" s="6" t="s">
        <v>45</v>
      </c>
      <c r="CI3" s="6" t="s">
        <v>4</v>
      </c>
      <c r="CJ3" s="6" t="s">
        <v>45</v>
      </c>
      <c r="CK3" s="6" t="s">
        <v>13</v>
      </c>
      <c r="CM3" s="6" t="s">
        <v>12</v>
      </c>
      <c r="CN3" s="6" t="s">
        <v>3</v>
      </c>
      <c r="CO3" s="6" t="s">
        <v>45</v>
      </c>
      <c r="CP3" s="6" t="s">
        <v>4</v>
      </c>
      <c r="CQ3" s="6" t="s">
        <v>45</v>
      </c>
      <c r="CR3" s="6" t="s">
        <v>13</v>
      </c>
      <c r="CT3" s="6" t="s">
        <v>12</v>
      </c>
      <c r="CU3" s="6" t="s">
        <v>3</v>
      </c>
      <c r="CV3" s="6" t="s">
        <v>45</v>
      </c>
      <c r="CW3" s="6" t="s">
        <v>4</v>
      </c>
      <c r="CX3" s="6" t="s">
        <v>45</v>
      </c>
      <c r="CY3" s="6" t="s">
        <v>13</v>
      </c>
      <c r="DA3" s="6" t="s">
        <v>12</v>
      </c>
      <c r="DB3" s="6" t="s">
        <v>3</v>
      </c>
      <c r="DC3" s="6" t="s">
        <v>45</v>
      </c>
      <c r="DD3" s="6" t="s">
        <v>4</v>
      </c>
      <c r="DE3" s="6" t="s">
        <v>45</v>
      </c>
      <c r="DF3" s="6" t="s">
        <v>13</v>
      </c>
    </row>
    <row r="4" spans="2:110">
      <c r="B4" t="s">
        <v>28</v>
      </c>
      <c r="C4" t="s">
        <v>134</v>
      </c>
      <c r="E4" s="11">
        <v>9</v>
      </c>
      <c r="G4" s="12">
        <f>+SUM(G5:G16)</f>
        <v>1.0000000000000002</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c r="BK4" s="14">
        <v>0</v>
      </c>
      <c r="BR4" s="14">
        <v>0</v>
      </c>
      <c r="BY4" s="14">
        <v>0</v>
      </c>
      <c r="CF4" s="14">
        <v>0</v>
      </c>
      <c r="CM4" s="14">
        <v>0</v>
      </c>
      <c r="CT4" s="14">
        <v>0</v>
      </c>
      <c r="DA4" s="14">
        <v>0</v>
      </c>
    </row>
    <row r="5" spans="2:110" hidden="1" outlineLevel="1">
      <c r="B5" t="s">
        <v>29</v>
      </c>
      <c r="C5" t="s">
        <v>2</v>
      </c>
      <c r="E5" s="11"/>
      <c r="F5" t="s">
        <v>31</v>
      </c>
      <c r="G5" s="12">
        <v>0.05</v>
      </c>
      <c r="I5" s="11">
        <f t="shared" ref="I5:I16" si="0">+SUMIF($N$3:$ZT$3,I$3,$N5:$ZT5)</f>
        <v>0</v>
      </c>
      <c r="J5" s="13">
        <f t="shared" ref="J5:K16" si="1">+_xlfn.MAXIFS($N5:$YZ5,$N$3:$YZ$3,J$3)</f>
        <v>0</v>
      </c>
      <c r="K5" s="13">
        <f t="shared" si="1"/>
        <v>0</v>
      </c>
      <c r="L5" s="11"/>
      <c r="O5" s="12"/>
      <c r="P5" s="12">
        <v>0.5</v>
      </c>
      <c r="Q5" s="12"/>
      <c r="R5" s="12"/>
      <c r="V5" s="12"/>
      <c r="W5" s="12">
        <v>0.5</v>
      </c>
      <c r="X5" s="12"/>
      <c r="Y5" s="12"/>
      <c r="AC5" s="12"/>
      <c r="AD5" s="12">
        <v>0.8</v>
      </c>
      <c r="AE5" s="12"/>
      <c r="AF5" s="12"/>
      <c r="AJ5" s="12"/>
      <c r="AK5" s="12">
        <v>0.8</v>
      </c>
      <c r="AL5" s="12"/>
      <c r="AM5" s="12"/>
      <c r="AQ5" s="12"/>
      <c r="AR5" s="12">
        <v>0.8</v>
      </c>
      <c r="AS5" s="12"/>
      <c r="AT5" s="12">
        <v>1</v>
      </c>
      <c r="AX5" s="12"/>
      <c r="AY5" s="12">
        <v>0.8</v>
      </c>
      <c r="AZ5" s="12"/>
      <c r="BA5" s="12"/>
      <c r="BE5" s="12"/>
      <c r="BF5" s="12">
        <v>0.8</v>
      </c>
      <c r="BG5" s="12"/>
      <c r="BH5" s="12"/>
      <c r="BL5" s="12"/>
      <c r="BM5" s="12">
        <v>1</v>
      </c>
      <c r="BN5" s="12"/>
      <c r="BO5" s="12"/>
      <c r="BS5" s="12"/>
      <c r="BT5" s="12">
        <v>1</v>
      </c>
      <c r="BU5" s="12"/>
      <c r="BV5" s="12"/>
      <c r="BZ5" s="12"/>
      <c r="CA5" s="12">
        <v>1</v>
      </c>
      <c r="CB5" s="12"/>
      <c r="CC5" s="12"/>
      <c r="CG5" s="12"/>
      <c r="CH5" s="12">
        <v>1</v>
      </c>
      <c r="CI5" s="12"/>
      <c r="CJ5" s="12"/>
      <c r="CN5" s="12"/>
      <c r="CO5" s="12">
        <v>1</v>
      </c>
      <c r="CP5" s="12"/>
      <c r="CQ5" s="12"/>
      <c r="CU5" s="12"/>
      <c r="CV5" s="12">
        <v>1</v>
      </c>
      <c r="CW5" s="12"/>
      <c r="CX5" s="12"/>
      <c r="DB5" s="12"/>
      <c r="DC5" s="12">
        <v>1</v>
      </c>
      <c r="DD5" s="12"/>
      <c r="DE5" s="12">
        <v>1</v>
      </c>
    </row>
    <row r="6" spans="2:110" hidden="1" outlineLevel="1">
      <c r="B6" t="s">
        <v>29</v>
      </c>
      <c r="C6" t="s">
        <v>2</v>
      </c>
      <c r="E6" s="11"/>
      <c r="F6" t="s">
        <v>123</v>
      </c>
      <c r="G6" s="12">
        <v>0.15</v>
      </c>
      <c r="I6" s="11">
        <f t="shared" si="0"/>
        <v>0</v>
      </c>
      <c r="J6" s="13">
        <f t="shared" si="1"/>
        <v>0</v>
      </c>
      <c r="K6" s="13">
        <f t="shared" si="1"/>
        <v>0</v>
      </c>
      <c r="L6" s="11"/>
      <c r="O6" s="12"/>
      <c r="P6" s="12">
        <v>0.5</v>
      </c>
      <c r="Q6" s="12"/>
      <c r="R6" s="12"/>
      <c r="V6" s="12"/>
      <c r="W6" s="12">
        <v>0.5</v>
      </c>
      <c r="X6" s="12"/>
      <c r="Y6" s="12"/>
      <c r="AC6" s="12"/>
      <c r="AD6" s="12">
        <v>0.8</v>
      </c>
      <c r="AE6" s="12"/>
      <c r="AF6" s="12"/>
      <c r="AJ6" s="12"/>
      <c r="AK6" s="12">
        <v>0.8</v>
      </c>
      <c r="AL6" s="12"/>
      <c r="AM6" s="12"/>
      <c r="AQ6" s="12"/>
      <c r="AR6" s="12">
        <v>0.8</v>
      </c>
      <c r="AS6" s="12"/>
      <c r="AT6" s="12">
        <v>1</v>
      </c>
      <c r="AX6" s="12"/>
      <c r="AY6" s="12">
        <v>0.8</v>
      </c>
      <c r="AZ6" s="12"/>
      <c r="BA6" s="12"/>
      <c r="BE6" s="12"/>
      <c r="BF6" s="12">
        <v>0.8</v>
      </c>
      <c r="BG6" s="12"/>
      <c r="BH6" s="12"/>
      <c r="BL6" s="12"/>
      <c r="BM6" s="12">
        <v>0.8</v>
      </c>
      <c r="BN6" s="12"/>
      <c r="BO6" s="12"/>
      <c r="BS6" s="12"/>
      <c r="BT6" s="12">
        <v>1</v>
      </c>
      <c r="BU6" s="12"/>
      <c r="BV6" s="12"/>
      <c r="BZ6" s="12"/>
      <c r="CA6" s="12">
        <v>1</v>
      </c>
      <c r="CB6" s="12"/>
      <c r="CC6" s="12"/>
      <c r="CG6" s="12"/>
      <c r="CH6" s="12">
        <v>1</v>
      </c>
      <c r="CI6" s="12"/>
      <c r="CJ6" s="12"/>
      <c r="CN6" s="12"/>
      <c r="CO6" s="12">
        <v>1</v>
      </c>
      <c r="CP6" s="12"/>
      <c r="CQ6" s="12"/>
      <c r="CU6" s="12"/>
      <c r="CV6" s="12">
        <v>1</v>
      </c>
      <c r="CW6" s="12"/>
      <c r="CX6" s="12"/>
      <c r="DB6" s="12"/>
      <c r="DC6" s="12">
        <v>1</v>
      </c>
      <c r="DD6" s="12"/>
      <c r="DE6" s="12">
        <v>1</v>
      </c>
    </row>
    <row r="7" spans="2:110" hidden="1" outlineLevel="1">
      <c r="B7" t="s">
        <v>29</v>
      </c>
      <c r="C7" t="s">
        <v>2</v>
      </c>
      <c r="E7" s="11"/>
      <c r="F7" t="s">
        <v>77</v>
      </c>
      <c r="G7" s="12">
        <v>0.05</v>
      </c>
      <c r="I7" s="11">
        <f t="shared" si="0"/>
        <v>0</v>
      </c>
      <c r="J7" s="13">
        <f t="shared" si="1"/>
        <v>0</v>
      </c>
      <c r="K7" s="13">
        <f t="shared" si="1"/>
        <v>0</v>
      </c>
      <c r="L7" s="11"/>
      <c r="O7" s="12"/>
      <c r="P7" s="12">
        <v>0.5</v>
      </c>
      <c r="Q7" s="12"/>
      <c r="R7" s="12"/>
      <c r="V7" s="12"/>
      <c r="W7" s="12">
        <v>0.5</v>
      </c>
      <c r="X7" s="12"/>
      <c r="Y7" s="12"/>
      <c r="AC7" s="12"/>
      <c r="AD7" s="12">
        <v>0.5</v>
      </c>
      <c r="AE7" s="12"/>
      <c r="AF7" s="12"/>
      <c r="AJ7" s="12"/>
      <c r="AK7" s="12">
        <v>0.8</v>
      </c>
      <c r="AL7" s="12"/>
      <c r="AM7" s="12"/>
      <c r="AQ7" s="12"/>
      <c r="AR7" s="12">
        <v>0.8</v>
      </c>
      <c r="AS7" s="12"/>
      <c r="AT7" s="12">
        <v>1</v>
      </c>
      <c r="AX7" s="12"/>
      <c r="AY7" s="12">
        <v>0.8</v>
      </c>
      <c r="AZ7" s="12"/>
      <c r="BA7" s="12"/>
      <c r="BE7" s="12"/>
      <c r="BF7" s="12">
        <v>0.8</v>
      </c>
      <c r="BG7" s="12"/>
      <c r="BH7" s="12"/>
      <c r="BL7" s="12"/>
      <c r="BM7" s="12">
        <v>0.8</v>
      </c>
      <c r="BN7" s="12"/>
      <c r="BO7" s="12"/>
      <c r="BS7" s="12"/>
      <c r="BT7" s="12">
        <v>0.8</v>
      </c>
      <c r="BU7" s="12"/>
      <c r="BV7" s="12"/>
      <c r="BZ7" s="12"/>
      <c r="CA7" s="12">
        <v>1</v>
      </c>
      <c r="CB7" s="12"/>
      <c r="CC7" s="12"/>
      <c r="CG7" s="12"/>
      <c r="CH7" s="12">
        <v>1</v>
      </c>
      <c r="CI7" s="12"/>
      <c r="CJ7" s="12"/>
      <c r="CN7" s="12"/>
      <c r="CO7" s="12">
        <v>1</v>
      </c>
      <c r="CP7" s="12"/>
      <c r="CQ7" s="12"/>
      <c r="CU7" s="12"/>
      <c r="CV7" s="12">
        <v>1</v>
      </c>
      <c r="CW7" s="12"/>
      <c r="CX7" s="12"/>
      <c r="DB7" s="12"/>
      <c r="DC7" s="12">
        <v>1</v>
      </c>
      <c r="DD7" s="12"/>
      <c r="DE7" s="12">
        <v>1</v>
      </c>
    </row>
    <row r="8" spans="2:110" hidden="1" outlineLevel="1">
      <c r="B8" t="s">
        <v>29</v>
      </c>
      <c r="C8" t="s">
        <v>2</v>
      </c>
      <c r="E8" s="11"/>
      <c r="F8" t="s">
        <v>124</v>
      </c>
      <c r="G8" s="12">
        <v>0.15</v>
      </c>
      <c r="I8" s="11">
        <f t="shared" si="0"/>
        <v>0</v>
      </c>
      <c r="J8" s="13">
        <f t="shared" si="1"/>
        <v>0</v>
      </c>
      <c r="K8" s="13">
        <f t="shared" si="1"/>
        <v>0</v>
      </c>
      <c r="L8" s="11"/>
      <c r="O8" s="12"/>
      <c r="P8" s="12"/>
      <c r="Q8" s="12"/>
      <c r="R8" s="12"/>
      <c r="V8" s="12"/>
      <c r="W8" s="12">
        <v>0.5</v>
      </c>
      <c r="X8" s="12"/>
      <c r="Y8" s="12"/>
      <c r="AC8" s="12"/>
      <c r="AD8" s="12">
        <v>0.5</v>
      </c>
      <c r="AE8" s="12"/>
      <c r="AF8" s="12"/>
      <c r="AJ8" s="12"/>
      <c r="AK8" s="12">
        <v>0.5</v>
      </c>
      <c r="AL8" s="12"/>
      <c r="AM8" s="12"/>
      <c r="AQ8" s="12"/>
      <c r="AR8" s="12">
        <v>0.8</v>
      </c>
      <c r="AS8" s="12"/>
      <c r="AT8" s="12">
        <v>1</v>
      </c>
      <c r="AX8" s="12"/>
      <c r="AY8" s="12">
        <v>0.8</v>
      </c>
      <c r="AZ8" s="12"/>
      <c r="BA8" s="12"/>
      <c r="BE8" s="12"/>
      <c r="BF8" s="12">
        <v>0.8</v>
      </c>
      <c r="BG8" s="12"/>
      <c r="BH8" s="12"/>
      <c r="BL8" s="12"/>
      <c r="BM8" s="12">
        <v>0.8</v>
      </c>
      <c r="BN8" s="12"/>
      <c r="BO8" s="12"/>
      <c r="BS8" s="12"/>
      <c r="BT8" s="12">
        <v>0.8</v>
      </c>
      <c r="BU8" s="12"/>
      <c r="BV8" s="12"/>
      <c r="BZ8" s="12"/>
      <c r="CA8" s="12">
        <v>0.8</v>
      </c>
      <c r="CB8" s="12"/>
      <c r="CC8" s="12"/>
      <c r="CG8" s="12"/>
      <c r="CH8" s="12">
        <v>1</v>
      </c>
      <c r="CI8" s="12"/>
      <c r="CJ8" s="12"/>
      <c r="CN8" s="12"/>
      <c r="CO8" s="12">
        <v>1</v>
      </c>
      <c r="CP8" s="12"/>
      <c r="CQ8" s="12"/>
      <c r="CU8" s="12"/>
      <c r="CV8" s="12">
        <v>1</v>
      </c>
      <c r="CW8" s="12"/>
      <c r="CX8" s="12"/>
      <c r="DB8" s="12"/>
      <c r="DC8" s="12">
        <v>1</v>
      </c>
      <c r="DD8" s="12"/>
      <c r="DE8" s="12">
        <v>1</v>
      </c>
    </row>
    <row r="9" spans="2:110" hidden="1" outlineLevel="1">
      <c r="B9" t="s">
        <v>29</v>
      </c>
      <c r="C9" t="s">
        <v>2</v>
      </c>
      <c r="E9" s="11"/>
      <c r="F9" t="s">
        <v>125</v>
      </c>
      <c r="G9" s="12">
        <v>0.15</v>
      </c>
      <c r="I9" s="11">
        <f t="shared" si="0"/>
        <v>0</v>
      </c>
      <c r="J9" s="13">
        <f t="shared" si="1"/>
        <v>0</v>
      </c>
      <c r="K9" s="13">
        <f t="shared" si="1"/>
        <v>0</v>
      </c>
      <c r="L9" s="11"/>
      <c r="O9" s="12"/>
      <c r="P9" s="12"/>
      <c r="Q9" s="12"/>
      <c r="R9" s="12"/>
      <c r="V9" s="12"/>
      <c r="W9" s="12">
        <v>0.5</v>
      </c>
      <c r="X9" s="12"/>
      <c r="Y9" s="12"/>
      <c r="AC9" s="12"/>
      <c r="AD9" s="12">
        <v>0.5</v>
      </c>
      <c r="AE9" s="12"/>
      <c r="AF9" s="12"/>
      <c r="AJ9" s="12"/>
      <c r="AK9" s="12">
        <v>0.5</v>
      </c>
      <c r="AL9" s="12"/>
      <c r="AM9" s="12"/>
      <c r="AQ9" s="12"/>
      <c r="AR9" s="12">
        <v>0.5</v>
      </c>
      <c r="AS9" s="12"/>
      <c r="AT9" s="12">
        <v>1</v>
      </c>
      <c r="AX9" s="12"/>
      <c r="AY9" s="12">
        <v>0.8</v>
      </c>
      <c r="AZ9" s="12"/>
      <c r="BA9" s="12"/>
      <c r="BE9" s="12"/>
      <c r="BF9" s="12">
        <v>0.8</v>
      </c>
      <c r="BG9" s="12"/>
      <c r="BH9" s="12"/>
      <c r="BL9" s="12"/>
      <c r="BM9" s="12">
        <v>0.8</v>
      </c>
      <c r="BN9" s="12"/>
      <c r="BO9" s="12"/>
      <c r="BS9" s="12"/>
      <c r="BT9" s="12">
        <v>0.8</v>
      </c>
      <c r="BU9" s="12"/>
      <c r="BV9" s="12"/>
      <c r="BZ9" s="12"/>
      <c r="CA9" s="12">
        <v>0.8</v>
      </c>
      <c r="CB9" s="12"/>
      <c r="CC9" s="12"/>
      <c r="CG9" s="12"/>
      <c r="CH9" s="12">
        <v>0.8</v>
      </c>
      <c r="CI9" s="12"/>
      <c r="CJ9" s="12"/>
      <c r="CN9" s="12"/>
      <c r="CO9" s="12">
        <v>1</v>
      </c>
      <c r="CP9" s="12"/>
      <c r="CQ9" s="12"/>
      <c r="CU9" s="12"/>
      <c r="CV9" s="12">
        <v>1</v>
      </c>
      <c r="CW9" s="12"/>
      <c r="CX9" s="12"/>
      <c r="DB9" s="12"/>
      <c r="DC9" s="12">
        <v>1</v>
      </c>
      <c r="DD9" s="12"/>
      <c r="DE9" s="12">
        <v>1</v>
      </c>
    </row>
    <row r="10" spans="2:110" hidden="1" outlineLevel="1">
      <c r="B10" t="s">
        <v>29</v>
      </c>
      <c r="C10" t="s">
        <v>2</v>
      </c>
      <c r="E10" s="11"/>
      <c r="F10" t="s">
        <v>78</v>
      </c>
      <c r="G10" s="12">
        <v>0.05</v>
      </c>
      <c r="I10" s="11">
        <f t="shared" si="0"/>
        <v>0</v>
      </c>
      <c r="J10" s="13">
        <f t="shared" si="1"/>
        <v>0</v>
      </c>
      <c r="K10" s="13">
        <f t="shared" si="1"/>
        <v>0</v>
      </c>
      <c r="L10" s="11"/>
      <c r="O10" s="12"/>
      <c r="P10" s="12"/>
      <c r="Q10" s="12"/>
      <c r="R10" s="12"/>
      <c r="V10" s="12"/>
      <c r="W10" s="12"/>
      <c r="X10" s="12"/>
      <c r="Y10" s="12"/>
      <c r="AC10" s="12"/>
      <c r="AD10" s="12">
        <v>0.5</v>
      </c>
      <c r="AE10" s="12"/>
      <c r="AF10" s="12"/>
      <c r="AJ10" s="12"/>
      <c r="AK10" s="12">
        <v>0.5</v>
      </c>
      <c r="AL10" s="12"/>
      <c r="AM10" s="12"/>
      <c r="AQ10" s="12"/>
      <c r="AR10" s="12">
        <v>0.5</v>
      </c>
      <c r="AS10" s="12"/>
      <c r="AT10" s="12">
        <v>1</v>
      </c>
      <c r="AX10" s="12"/>
      <c r="AY10" s="12">
        <v>0.5</v>
      </c>
      <c r="AZ10" s="12"/>
      <c r="BA10" s="12"/>
      <c r="BE10" s="12"/>
      <c r="BF10" s="12">
        <v>0.8</v>
      </c>
      <c r="BG10" s="12"/>
      <c r="BH10" s="12"/>
      <c r="BL10" s="12"/>
      <c r="BM10" s="12">
        <v>0.8</v>
      </c>
      <c r="BN10" s="12"/>
      <c r="BO10" s="12"/>
      <c r="BS10" s="12"/>
      <c r="BT10" s="12">
        <v>0.8</v>
      </c>
      <c r="BU10" s="12"/>
      <c r="BV10" s="12"/>
      <c r="BZ10" s="12"/>
      <c r="CA10" s="12">
        <v>0.8</v>
      </c>
      <c r="CB10" s="12"/>
      <c r="CC10" s="12"/>
      <c r="CG10" s="12"/>
      <c r="CH10" s="12">
        <v>0.8</v>
      </c>
      <c r="CI10" s="12"/>
      <c r="CJ10" s="12"/>
      <c r="CN10" s="12"/>
      <c r="CO10" s="12">
        <v>1</v>
      </c>
      <c r="CP10" s="12"/>
      <c r="CQ10" s="12"/>
      <c r="CU10" s="12"/>
      <c r="CV10" s="12">
        <v>1</v>
      </c>
      <c r="CW10" s="12"/>
      <c r="CX10" s="12"/>
      <c r="DB10" s="12"/>
      <c r="DC10" s="12">
        <v>1</v>
      </c>
      <c r="DD10" s="12"/>
      <c r="DE10" s="12">
        <v>1</v>
      </c>
    </row>
    <row r="11" spans="2:110" hidden="1" outlineLevel="1">
      <c r="B11" t="s">
        <v>29</v>
      </c>
      <c r="C11" t="s">
        <v>2</v>
      </c>
      <c r="E11" s="11"/>
      <c r="F11" t="s">
        <v>79</v>
      </c>
      <c r="G11" s="12">
        <v>0.05</v>
      </c>
      <c r="I11" s="11">
        <f t="shared" si="0"/>
        <v>0</v>
      </c>
      <c r="J11" s="13">
        <f t="shared" si="1"/>
        <v>0</v>
      </c>
      <c r="K11" s="13">
        <f t="shared" si="1"/>
        <v>0</v>
      </c>
      <c r="L11" s="11"/>
      <c r="O11" s="12"/>
      <c r="P11" s="12"/>
      <c r="Q11" s="12"/>
      <c r="R11" s="12"/>
      <c r="V11" s="12"/>
      <c r="W11" s="12"/>
      <c r="X11" s="12"/>
      <c r="Y11" s="12"/>
      <c r="AC11" s="12"/>
      <c r="AD11" s="12"/>
      <c r="AE11" s="12"/>
      <c r="AF11" s="12"/>
      <c r="AJ11" s="12"/>
      <c r="AK11" s="12">
        <v>0.5</v>
      </c>
      <c r="AL11" s="12"/>
      <c r="AM11" s="12"/>
      <c r="AQ11" s="12"/>
      <c r="AR11" s="12">
        <v>0.5</v>
      </c>
      <c r="AS11" s="12"/>
      <c r="AT11" s="12">
        <v>1</v>
      </c>
      <c r="AX11" s="12"/>
      <c r="AY11" s="12">
        <v>0.5</v>
      </c>
      <c r="AZ11" s="12"/>
      <c r="BA11" s="12"/>
      <c r="BE11" s="12"/>
      <c r="BF11" s="12">
        <v>0.5</v>
      </c>
      <c r="BG11" s="12"/>
      <c r="BH11" s="12"/>
      <c r="BL11" s="12"/>
      <c r="BM11" s="12">
        <v>0.8</v>
      </c>
      <c r="BN11" s="12"/>
      <c r="BO11" s="12"/>
      <c r="BS11" s="12"/>
      <c r="BT11" s="12">
        <v>0.8</v>
      </c>
      <c r="BU11" s="12"/>
      <c r="BV11" s="12"/>
      <c r="BZ11" s="12"/>
      <c r="CA11" s="12">
        <v>0.8</v>
      </c>
      <c r="CB11" s="12"/>
      <c r="CC11" s="12"/>
      <c r="CG11" s="12"/>
      <c r="CH11" s="12">
        <v>0.8</v>
      </c>
      <c r="CI11" s="12"/>
      <c r="CJ11" s="12"/>
      <c r="CN11" s="12"/>
      <c r="CO11" s="12">
        <v>0.8</v>
      </c>
      <c r="CP11" s="12"/>
      <c r="CQ11" s="12"/>
      <c r="CU11" s="12"/>
      <c r="CV11" s="12">
        <v>1</v>
      </c>
      <c r="CW11" s="12"/>
      <c r="CX11" s="12"/>
      <c r="DB11" s="12"/>
      <c r="DC11" s="12">
        <v>1</v>
      </c>
      <c r="DD11" s="12"/>
      <c r="DE11" s="12">
        <v>1</v>
      </c>
    </row>
    <row r="12" spans="2:110" hidden="1" outlineLevel="1">
      <c r="B12" t="s">
        <v>29</v>
      </c>
      <c r="C12" t="s">
        <v>2</v>
      </c>
      <c r="E12" s="11"/>
      <c r="F12" t="s">
        <v>80</v>
      </c>
      <c r="G12" s="12">
        <v>0.05</v>
      </c>
      <c r="I12" s="11">
        <f t="shared" si="0"/>
        <v>0</v>
      </c>
      <c r="J12" s="13">
        <f t="shared" si="1"/>
        <v>0</v>
      </c>
      <c r="K12" s="13">
        <f t="shared" si="1"/>
        <v>0</v>
      </c>
      <c r="L12" s="11"/>
      <c r="O12" s="12"/>
      <c r="P12" s="12"/>
      <c r="Q12" s="12"/>
      <c r="R12" s="12"/>
      <c r="V12" s="12"/>
      <c r="W12" s="12"/>
      <c r="X12" s="12"/>
      <c r="Y12" s="12"/>
      <c r="AC12" s="12"/>
      <c r="AD12" s="12"/>
      <c r="AE12" s="12"/>
      <c r="AF12" s="12"/>
      <c r="AJ12" s="12"/>
      <c r="AK12" s="12"/>
      <c r="AL12" s="12"/>
      <c r="AM12" s="12"/>
      <c r="AQ12" s="12"/>
      <c r="AR12" s="12">
        <v>0.5</v>
      </c>
      <c r="AS12" s="12"/>
      <c r="AT12" s="12">
        <v>1</v>
      </c>
      <c r="AX12" s="12"/>
      <c r="AY12" s="12">
        <v>0.5</v>
      </c>
      <c r="AZ12" s="12"/>
      <c r="BA12" s="12"/>
      <c r="BE12" s="12"/>
      <c r="BF12" s="12">
        <v>0.5</v>
      </c>
      <c r="BG12" s="12"/>
      <c r="BH12" s="12"/>
      <c r="BL12" s="12"/>
      <c r="BM12" s="12">
        <v>0.5</v>
      </c>
      <c r="BN12" s="12"/>
      <c r="BO12" s="12"/>
      <c r="BS12" s="12"/>
      <c r="BT12" s="12">
        <v>0.8</v>
      </c>
      <c r="BU12" s="12"/>
      <c r="BV12" s="12"/>
      <c r="BZ12" s="12"/>
      <c r="CA12" s="12">
        <v>0.8</v>
      </c>
      <c r="CB12" s="12"/>
      <c r="CC12" s="12"/>
      <c r="CG12" s="12"/>
      <c r="CH12" s="12">
        <v>0.8</v>
      </c>
      <c r="CI12" s="12"/>
      <c r="CJ12" s="12"/>
      <c r="CN12" s="12"/>
      <c r="CO12" s="12">
        <v>0.8</v>
      </c>
      <c r="CP12" s="12"/>
      <c r="CQ12" s="12"/>
      <c r="CU12" s="12"/>
      <c r="CV12" s="12">
        <v>1</v>
      </c>
      <c r="CW12" s="12"/>
      <c r="CX12" s="12"/>
      <c r="DB12" s="12"/>
      <c r="DC12" s="12">
        <v>1</v>
      </c>
      <c r="DD12" s="12"/>
      <c r="DE12" s="12">
        <v>1</v>
      </c>
    </row>
    <row r="13" spans="2:110" hidden="1" outlineLevel="1">
      <c r="B13" t="s">
        <v>29</v>
      </c>
      <c r="C13" t="s">
        <v>2</v>
      </c>
      <c r="E13" s="11"/>
      <c r="F13" t="s">
        <v>81</v>
      </c>
      <c r="G13" s="12">
        <v>0.05</v>
      </c>
      <c r="I13" s="11">
        <f t="shared" si="0"/>
        <v>0</v>
      </c>
      <c r="J13" s="13">
        <f t="shared" si="1"/>
        <v>0</v>
      </c>
      <c r="K13" s="13">
        <f t="shared" si="1"/>
        <v>0</v>
      </c>
      <c r="L13" s="11"/>
      <c r="O13" s="12"/>
      <c r="P13" s="12"/>
      <c r="Q13" s="12"/>
      <c r="R13" s="12"/>
      <c r="V13" s="12"/>
      <c r="W13" s="12"/>
      <c r="X13" s="12"/>
      <c r="Y13" s="12"/>
      <c r="AC13" s="12"/>
      <c r="AD13" s="12"/>
      <c r="AE13" s="12"/>
      <c r="AF13" s="12"/>
      <c r="AJ13" s="12"/>
      <c r="AK13" s="12"/>
      <c r="AL13" s="12"/>
      <c r="AM13" s="12"/>
      <c r="AQ13" s="12"/>
      <c r="AR13" s="12">
        <v>0.5</v>
      </c>
      <c r="AS13" s="12"/>
      <c r="AT13" s="12">
        <v>1</v>
      </c>
      <c r="AX13" s="12"/>
      <c r="AY13" s="12">
        <v>0.5</v>
      </c>
      <c r="AZ13" s="12"/>
      <c r="BA13" s="12"/>
      <c r="BE13" s="12"/>
      <c r="BF13" s="12">
        <v>0.5</v>
      </c>
      <c r="BG13" s="12"/>
      <c r="BH13" s="12"/>
      <c r="BL13" s="12"/>
      <c r="BM13" s="12">
        <v>0.5</v>
      </c>
      <c r="BN13" s="12"/>
      <c r="BO13" s="12"/>
      <c r="BS13" s="12"/>
      <c r="BT13" s="12">
        <v>0.8</v>
      </c>
      <c r="BU13" s="12"/>
      <c r="BV13" s="12"/>
      <c r="BZ13" s="12"/>
      <c r="CA13" s="12">
        <v>0.8</v>
      </c>
      <c r="CB13" s="12"/>
      <c r="CC13" s="12"/>
      <c r="CG13" s="12"/>
      <c r="CH13" s="12">
        <v>0.8</v>
      </c>
      <c r="CI13" s="12"/>
      <c r="CJ13" s="12"/>
      <c r="CN13" s="12"/>
      <c r="CO13" s="12">
        <v>0.8</v>
      </c>
      <c r="CP13" s="12"/>
      <c r="CQ13" s="12"/>
      <c r="CU13" s="12"/>
      <c r="CV13" s="12">
        <v>0.8</v>
      </c>
      <c r="CW13" s="12"/>
      <c r="CX13" s="12"/>
      <c r="DB13" s="12"/>
      <c r="DC13" s="12">
        <v>1</v>
      </c>
      <c r="DD13" s="12"/>
      <c r="DE13" s="12">
        <v>1</v>
      </c>
    </row>
    <row r="14" spans="2:110" hidden="1" outlineLevel="1">
      <c r="B14" t="s">
        <v>29</v>
      </c>
      <c r="C14" t="s">
        <v>2</v>
      </c>
      <c r="E14" s="11"/>
      <c r="F14" t="s">
        <v>82</v>
      </c>
      <c r="G14" s="12">
        <v>0.05</v>
      </c>
      <c r="I14" s="11">
        <f t="shared" si="0"/>
        <v>0</v>
      </c>
      <c r="J14" s="13">
        <f t="shared" si="1"/>
        <v>0</v>
      </c>
      <c r="K14" s="13">
        <f t="shared" si="1"/>
        <v>0</v>
      </c>
      <c r="L14" s="11"/>
      <c r="O14" s="12"/>
      <c r="P14" s="12"/>
      <c r="Q14" s="12"/>
      <c r="R14" s="12"/>
      <c r="V14" s="12"/>
      <c r="W14" s="12"/>
      <c r="X14" s="12"/>
      <c r="Y14" s="12"/>
      <c r="AC14" s="12"/>
      <c r="AD14" s="12"/>
      <c r="AE14" s="12"/>
      <c r="AF14" s="12"/>
      <c r="AJ14" s="12"/>
      <c r="AK14" s="12"/>
      <c r="AL14" s="12"/>
      <c r="AM14" s="12"/>
      <c r="AQ14" s="12"/>
      <c r="AR14" s="12"/>
      <c r="AS14" s="12"/>
      <c r="AT14" s="12"/>
      <c r="AX14" s="12"/>
      <c r="AY14" s="12">
        <v>0.5</v>
      </c>
      <c r="AZ14" s="12"/>
      <c r="BA14" s="12"/>
      <c r="BE14" s="12"/>
      <c r="BF14" s="12">
        <v>0.5</v>
      </c>
      <c r="BG14" s="12"/>
      <c r="BH14" s="12"/>
      <c r="BL14" s="12"/>
      <c r="BM14" s="12">
        <v>0.5</v>
      </c>
      <c r="BN14" s="12"/>
      <c r="BO14" s="12"/>
      <c r="BS14" s="12"/>
      <c r="BT14" s="12">
        <v>0.5</v>
      </c>
      <c r="BU14" s="12"/>
      <c r="BV14" s="12"/>
      <c r="BZ14" s="12"/>
      <c r="CA14" s="12">
        <v>0.8</v>
      </c>
      <c r="CB14" s="12"/>
      <c r="CC14" s="12"/>
      <c r="CG14" s="12"/>
      <c r="CH14" s="12">
        <v>0.8</v>
      </c>
      <c r="CI14" s="12"/>
      <c r="CJ14" s="12"/>
      <c r="CN14" s="12"/>
      <c r="CO14" s="12">
        <v>0.8</v>
      </c>
      <c r="CP14" s="12"/>
      <c r="CQ14" s="12"/>
      <c r="CU14" s="12"/>
      <c r="CV14" s="12">
        <v>0.8</v>
      </c>
      <c r="CW14" s="12"/>
      <c r="CX14" s="12"/>
      <c r="DB14" s="12"/>
      <c r="DC14" s="12">
        <v>1</v>
      </c>
      <c r="DD14" s="12"/>
      <c r="DE14" s="12">
        <v>1</v>
      </c>
    </row>
    <row r="15" spans="2:110" hidden="1" outlineLevel="1">
      <c r="B15" t="s">
        <v>29</v>
      </c>
      <c r="C15" t="s">
        <v>2</v>
      </c>
      <c r="E15" s="11"/>
      <c r="F15" t="s">
        <v>83</v>
      </c>
      <c r="G15" s="12">
        <v>0.1</v>
      </c>
      <c r="I15" s="11">
        <f t="shared" si="0"/>
        <v>0</v>
      </c>
      <c r="J15" s="13">
        <f t="shared" si="1"/>
        <v>0</v>
      </c>
      <c r="K15" s="13">
        <f t="shared" si="1"/>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v>0.5</v>
      </c>
      <c r="BG15" s="12"/>
      <c r="BH15" s="12"/>
      <c r="BL15" s="12"/>
      <c r="BM15" s="12">
        <v>0.5</v>
      </c>
      <c r="BN15" s="12"/>
      <c r="BO15" s="12"/>
      <c r="BS15" s="12"/>
      <c r="BT15" s="12">
        <v>0.5</v>
      </c>
      <c r="BU15" s="12"/>
      <c r="BV15" s="12"/>
      <c r="BZ15" s="12"/>
      <c r="CA15" s="12">
        <v>0.5</v>
      </c>
      <c r="CB15" s="12"/>
      <c r="CC15" s="12"/>
      <c r="CG15" s="12"/>
      <c r="CH15" s="12">
        <v>0.8</v>
      </c>
      <c r="CI15" s="12"/>
      <c r="CJ15" s="12"/>
      <c r="CN15" s="12"/>
      <c r="CO15" s="12">
        <v>0.8</v>
      </c>
      <c r="CP15" s="12"/>
      <c r="CQ15" s="12"/>
      <c r="CU15" s="12"/>
      <c r="CV15" s="12">
        <v>0.8</v>
      </c>
      <c r="CW15" s="12"/>
      <c r="CX15" s="12"/>
      <c r="DB15" s="12"/>
      <c r="DC15" s="12">
        <v>1</v>
      </c>
      <c r="DD15" s="12"/>
      <c r="DE15" s="12">
        <v>1</v>
      </c>
    </row>
    <row r="16" spans="2:110" hidden="1" outlineLevel="1">
      <c r="B16" t="s">
        <v>29</v>
      </c>
      <c r="C16" t="s">
        <v>2</v>
      </c>
      <c r="E16" s="11"/>
      <c r="F16" t="s">
        <v>84</v>
      </c>
      <c r="G16" s="12">
        <v>0.1</v>
      </c>
      <c r="I16" s="11">
        <f t="shared" si="0"/>
        <v>0</v>
      </c>
      <c r="J16" s="13">
        <f t="shared" si="1"/>
        <v>0</v>
      </c>
      <c r="K16" s="13">
        <f t="shared" si="1"/>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v>0.5</v>
      </c>
      <c r="BG16" s="12"/>
      <c r="BH16" s="12"/>
      <c r="BL16" s="12"/>
      <c r="BM16" s="12">
        <v>0.5</v>
      </c>
      <c r="BN16" s="12"/>
      <c r="BO16" s="12"/>
      <c r="BS16" s="12"/>
      <c r="BT16" s="12">
        <v>0.5</v>
      </c>
      <c r="BU16" s="12"/>
      <c r="BV16" s="12"/>
      <c r="BZ16" s="12"/>
      <c r="CA16" s="12">
        <v>0.5</v>
      </c>
      <c r="CB16" s="12"/>
      <c r="CC16" s="12"/>
      <c r="CG16" s="12"/>
      <c r="CH16" s="12">
        <v>0.5</v>
      </c>
      <c r="CI16" s="12"/>
      <c r="CJ16" s="12"/>
      <c r="CN16" s="12"/>
      <c r="CO16" s="12">
        <v>0.8</v>
      </c>
      <c r="CP16" s="12"/>
      <c r="CQ16" s="12"/>
      <c r="CU16" s="12"/>
      <c r="CV16" s="12">
        <v>0.8</v>
      </c>
      <c r="CW16" s="12"/>
      <c r="CX16" s="12"/>
      <c r="DB16" s="12"/>
      <c r="DC16" s="12">
        <v>1</v>
      </c>
      <c r="DD16" s="12"/>
      <c r="DE16" s="12">
        <v>1</v>
      </c>
    </row>
    <row r="17" spans="2:109" collapsed="1">
      <c r="N17" t="s">
        <v>135</v>
      </c>
      <c r="O17" s="9"/>
      <c r="V17" s="9"/>
      <c r="AC17" s="9"/>
      <c r="AJ17" s="9"/>
      <c r="AQ17" s="9"/>
      <c r="AX17" s="9"/>
      <c r="BE17" s="9"/>
      <c r="BL17" s="9"/>
      <c r="BS17" s="9"/>
      <c r="BZ17" s="9"/>
      <c r="CG17" s="9"/>
      <c r="CN17" s="9"/>
      <c r="CU17" s="9"/>
      <c r="DB17" s="9"/>
    </row>
    <row r="18" spans="2:109">
      <c r="B18" t="s">
        <v>28</v>
      </c>
      <c r="C18" t="s">
        <v>75</v>
      </c>
      <c r="E18" s="11">
        <v>7</v>
      </c>
      <c r="G18" s="12">
        <f>+SUM(G19:G30)</f>
        <v>0.99999999999999989</v>
      </c>
      <c r="I18" s="14">
        <f>+SUM(I19:I30)</f>
        <v>0</v>
      </c>
      <c r="J18" s="13">
        <f>+SUMPRODUCT(G19:G30,J19:J30)</f>
        <v>0</v>
      </c>
      <c r="K18" s="13">
        <f>+SUMPRODUCT(G19:G30,K19:K30)</f>
        <v>0</v>
      </c>
      <c r="L18" s="11"/>
      <c r="N18" s="14">
        <f>+SUM(N19:N30)</f>
        <v>0</v>
      </c>
      <c r="U18" s="14">
        <f>+SUM(U19:U30)</f>
        <v>0</v>
      </c>
      <c r="AB18" s="14">
        <f>+SUM(AB19:AB30)</f>
        <v>0</v>
      </c>
      <c r="AI18" s="14">
        <f>+SUM(AI19:AI30)</f>
        <v>0</v>
      </c>
      <c r="AP18" s="14">
        <f>+SUM(AP19:AP30)</f>
        <v>0</v>
      </c>
      <c r="AW18" s="14">
        <f>+SUM(AW19:AW30)</f>
        <v>0</v>
      </c>
      <c r="BD18" s="14">
        <f>+SUM(BD19:BD30)</f>
        <v>0</v>
      </c>
      <c r="BK18" s="14">
        <v>0</v>
      </c>
      <c r="BR18" s="14">
        <v>0</v>
      </c>
      <c r="BY18" s="14">
        <v>0</v>
      </c>
      <c r="CF18" s="14">
        <v>0</v>
      </c>
      <c r="CM18" s="14">
        <v>0</v>
      </c>
      <c r="CT18" s="14">
        <v>0</v>
      </c>
      <c r="DA18" s="14">
        <v>0</v>
      </c>
    </row>
    <row r="19" spans="2:109" hidden="1" outlineLevel="1">
      <c r="B19" t="s">
        <v>29</v>
      </c>
      <c r="C19" t="s">
        <v>2</v>
      </c>
      <c r="E19" s="11"/>
      <c r="F19" t="s">
        <v>87</v>
      </c>
      <c r="G19" s="12">
        <v>0.1</v>
      </c>
      <c r="I19" s="11">
        <f t="shared" ref="I19:I30" si="2">+SUMIF($N$3:$ZT$3,I$3,$N19:$ZT19)</f>
        <v>0</v>
      </c>
      <c r="J19" s="13">
        <f t="shared" ref="J19:K30" si="3">+_xlfn.MAXIFS($N19:$YZ19,$N$3:$YZ$3,J$3)</f>
        <v>0</v>
      </c>
      <c r="K19" s="13">
        <f t="shared" si="3"/>
        <v>0</v>
      </c>
      <c r="L19" s="11"/>
      <c r="O19" s="12"/>
      <c r="P19" s="12">
        <v>0.5</v>
      </c>
      <c r="Q19" s="12"/>
      <c r="R19" s="12"/>
      <c r="V19" s="12"/>
      <c r="W19" s="12">
        <v>0.5</v>
      </c>
      <c r="X19" s="12"/>
      <c r="Y19" s="12"/>
      <c r="AC19" s="12"/>
      <c r="AD19" s="12">
        <v>0.5</v>
      </c>
      <c r="AE19" s="12"/>
      <c r="AF19" s="12"/>
      <c r="AJ19" s="12"/>
      <c r="AK19" s="12">
        <v>0.8</v>
      </c>
      <c r="AL19" s="12"/>
      <c r="AM19" s="12"/>
      <c r="AQ19" s="12"/>
      <c r="AR19" s="12">
        <v>0.8</v>
      </c>
      <c r="AS19" s="12"/>
      <c r="AT19" s="12">
        <v>1</v>
      </c>
      <c r="AX19" s="12"/>
      <c r="AY19" s="12">
        <v>0.8</v>
      </c>
      <c r="AZ19" s="12"/>
      <c r="BA19" s="12"/>
      <c r="BE19" s="12"/>
      <c r="BF19" s="12">
        <v>0.8</v>
      </c>
      <c r="BG19" s="12"/>
      <c r="BH19" s="12"/>
      <c r="BL19" s="12"/>
      <c r="BM19" s="12">
        <v>1</v>
      </c>
      <c r="BN19" s="12"/>
      <c r="BO19" s="12"/>
      <c r="BS19" s="12"/>
      <c r="BT19" s="12">
        <v>1</v>
      </c>
      <c r="BU19" s="12"/>
      <c r="BV19" s="12"/>
      <c r="BZ19" s="12"/>
      <c r="CA19" s="12">
        <v>1</v>
      </c>
      <c r="CB19" s="12"/>
      <c r="CC19" s="12"/>
      <c r="CG19" s="12"/>
      <c r="CH19" s="12">
        <v>1</v>
      </c>
      <c r="CI19" s="12"/>
      <c r="CJ19" s="12"/>
      <c r="CN19" s="12"/>
      <c r="CO19" s="12">
        <v>1</v>
      </c>
      <c r="CP19" s="12"/>
      <c r="CQ19" s="12"/>
      <c r="CU19" s="12"/>
      <c r="CV19" s="12">
        <v>1</v>
      </c>
      <c r="CW19" s="12"/>
      <c r="CX19" s="12"/>
      <c r="DB19" s="12"/>
      <c r="DC19" s="12">
        <v>1</v>
      </c>
      <c r="DD19" s="12"/>
      <c r="DE19" s="12">
        <v>1</v>
      </c>
    </row>
    <row r="20" spans="2:109" hidden="1" outlineLevel="1">
      <c r="B20" t="s">
        <v>29</v>
      </c>
      <c r="C20" t="s">
        <v>2</v>
      </c>
      <c r="E20" s="11"/>
      <c r="F20" t="s">
        <v>88</v>
      </c>
      <c r="G20" s="12">
        <v>0.1</v>
      </c>
      <c r="I20" s="11">
        <f t="shared" si="2"/>
        <v>0</v>
      </c>
      <c r="J20" s="13">
        <f t="shared" si="3"/>
        <v>0</v>
      </c>
      <c r="K20" s="13">
        <f t="shared" si="3"/>
        <v>0</v>
      </c>
      <c r="L20" s="11"/>
      <c r="O20" s="12"/>
      <c r="P20" s="12">
        <v>0.5</v>
      </c>
      <c r="Q20" s="12"/>
      <c r="R20" s="12"/>
      <c r="V20" s="12"/>
      <c r="W20" s="12">
        <v>0.5</v>
      </c>
      <c r="X20" s="12"/>
      <c r="Y20" s="12"/>
      <c r="AC20" s="12"/>
      <c r="AD20" s="12">
        <v>0.5</v>
      </c>
      <c r="AE20" s="12"/>
      <c r="AF20" s="12"/>
      <c r="AJ20" s="12"/>
      <c r="AK20" s="12">
        <v>0.5</v>
      </c>
      <c r="AL20" s="12"/>
      <c r="AM20" s="12"/>
      <c r="AQ20" s="12"/>
      <c r="AR20" s="12">
        <v>0.8</v>
      </c>
      <c r="AS20" s="12"/>
      <c r="AT20" s="12">
        <v>1</v>
      </c>
      <c r="AX20" s="12"/>
      <c r="AY20" s="12">
        <v>0.8</v>
      </c>
      <c r="AZ20" s="12"/>
      <c r="BA20" s="12"/>
      <c r="BE20" s="12"/>
      <c r="BF20" s="12">
        <v>0.8</v>
      </c>
      <c r="BG20" s="12"/>
      <c r="BH20" s="12"/>
      <c r="BL20" s="12"/>
      <c r="BM20" s="12">
        <v>0.8</v>
      </c>
      <c r="BN20" s="12"/>
      <c r="BO20" s="12"/>
      <c r="BS20" s="12"/>
      <c r="BT20" s="12">
        <v>1</v>
      </c>
      <c r="BU20" s="12"/>
      <c r="BV20" s="12"/>
      <c r="BZ20" s="12"/>
      <c r="CA20" s="12">
        <v>1</v>
      </c>
      <c r="CB20" s="12"/>
      <c r="CC20" s="12"/>
      <c r="CG20" s="12"/>
      <c r="CH20" s="12">
        <v>1</v>
      </c>
      <c r="CI20" s="12"/>
      <c r="CJ20" s="12"/>
      <c r="CN20" s="12"/>
      <c r="CO20" s="12">
        <v>1</v>
      </c>
      <c r="CP20" s="12"/>
      <c r="CQ20" s="12"/>
      <c r="CU20" s="12"/>
      <c r="CV20" s="12">
        <v>1</v>
      </c>
      <c r="CW20" s="12"/>
      <c r="CX20" s="12"/>
      <c r="DB20" s="12"/>
      <c r="DC20" s="12">
        <v>1</v>
      </c>
      <c r="DD20" s="12"/>
      <c r="DE20" s="12">
        <v>1</v>
      </c>
    </row>
    <row r="21" spans="2:109" hidden="1" outlineLevel="1">
      <c r="B21" t="s">
        <v>29</v>
      </c>
      <c r="C21" t="s">
        <v>2</v>
      </c>
      <c r="E21" s="11"/>
      <c r="F21" t="s">
        <v>126</v>
      </c>
      <c r="G21" s="12">
        <v>0.15</v>
      </c>
      <c r="I21" s="11">
        <f t="shared" si="2"/>
        <v>0</v>
      </c>
      <c r="J21" s="13">
        <f t="shared" si="3"/>
        <v>0</v>
      </c>
      <c r="K21" s="13">
        <f t="shared" si="3"/>
        <v>0</v>
      </c>
      <c r="L21" s="11"/>
      <c r="O21" s="12"/>
      <c r="P21" s="12"/>
      <c r="Q21" s="12"/>
      <c r="R21" s="12"/>
      <c r="V21" s="12"/>
      <c r="W21" s="12">
        <v>0.5</v>
      </c>
      <c r="X21" s="12"/>
      <c r="Y21" s="12"/>
      <c r="AC21" s="12"/>
      <c r="AD21" s="12">
        <v>0.5</v>
      </c>
      <c r="AE21" s="12"/>
      <c r="AF21" s="12"/>
      <c r="AJ21" s="12"/>
      <c r="AK21" s="12">
        <v>0.5</v>
      </c>
      <c r="AL21" s="12"/>
      <c r="AM21" s="12"/>
      <c r="AQ21" s="12"/>
      <c r="AR21" s="12">
        <v>0.5</v>
      </c>
      <c r="AS21" s="12"/>
      <c r="AT21" s="12">
        <v>1</v>
      </c>
      <c r="AX21" s="12"/>
      <c r="AY21" s="12">
        <v>0.8</v>
      </c>
      <c r="AZ21" s="12"/>
      <c r="BA21" s="12"/>
      <c r="BE21" s="12"/>
      <c r="BF21" s="12">
        <v>0.8</v>
      </c>
      <c r="BG21" s="12"/>
      <c r="BH21" s="12"/>
      <c r="BL21" s="12"/>
      <c r="BM21" s="12">
        <v>0.8</v>
      </c>
      <c r="BN21" s="12"/>
      <c r="BO21" s="12"/>
      <c r="BS21" s="12"/>
      <c r="BT21" s="12">
        <v>0.8</v>
      </c>
      <c r="BU21" s="12"/>
      <c r="BV21" s="12"/>
      <c r="BZ21" s="12"/>
      <c r="CA21" s="12">
        <v>1</v>
      </c>
      <c r="CB21" s="12"/>
      <c r="CC21" s="12"/>
      <c r="CG21" s="12"/>
      <c r="CH21" s="12">
        <v>1</v>
      </c>
      <c r="CI21" s="12"/>
      <c r="CJ21" s="12"/>
      <c r="CN21" s="12"/>
      <c r="CO21" s="12">
        <v>1</v>
      </c>
      <c r="CP21" s="12"/>
      <c r="CQ21" s="12"/>
      <c r="CU21" s="12"/>
      <c r="CV21" s="12">
        <v>1</v>
      </c>
      <c r="CW21" s="12"/>
      <c r="CX21" s="12"/>
      <c r="DB21" s="12"/>
      <c r="DC21" s="12">
        <v>1</v>
      </c>
      <c r="DD21" s="12"/>
      <c r="DE21" s="12">
        <v>1</v>
      </c>
    </row>
    <row r="22" spans="2:109" hidden="1" outlineLevel="1">
      <c r="B22" t="s">
        <v>29</v>
      </c>
      <c r="C22" t="s">
        <v>2</v>
      </c>
      <c r="E22" s="11"/>
      <c r="F22" t="s">
        <v>76</v>
      </c>
      <c r="G22" s="12">
        <v>0.1</v>
      </c>
      <c r="I22" s="11">
        <f t="shared" si="2"/>
        <v>0</v>
      </c>
      <c r="J22" s="13">
        <f t="shared" si="3"/>
        <v>0</v>
      </c>
      <c r="K22" s="13">
        <f t="shared" si="3"/>
        <v>0</v>
      </c>
      <c r="L22" s="11"/>
      <c r="O22" s="12"/>
      <c r="P22" s="12"/>
      <c r="Q22" s="12"/>
      <c r="R22" s="12"/>
      <c r="V22" s="12"/>
      <c r="W22" s="12">
        <v>0.5</v>
      </c>
      <c r="X22" s="12"/>
      <c r="Y22" s="12"/>
      <c r="AC22" s="12"/>
      <c r="AD22" s="12">
        <v>0.5</v>
      </c>
      <c r="AE22" s="12"/>
      <c r="AF22" s="12"/>
      <c r="AJ22" s="12"/>
      <c r="AK22" s="12">
        <v>0.5</v>
      </c>
      <c r="AL22" s="12"/>
      <c r="AM22" s="12"/>
      <c r="AQ22" s="12"/>
      <c r="AR22" s="12">
        <v>0.5</v>
      </c>
      <c r="AS22" s="12"/>
      <c r="AT22" s="12">
        <v>1</v>
      </c>
      <c r="AX22" s="12"/>
      <c r="AY22" s="12">
        <v>0.5</v>
      </c>
      <c r="AZ22" s="12"/>
      <c r="BA22" s="12"/>
      <c r="BE22" s="12"/>
      <c r="BF22" s="12">
        <v>0.8</v>
      </c>
      <c r="BG22" s="12"/>
      <c r="BH22" s="12"/>
      <c r="BL22" s="12"/>
      <c r="BM22" s="12">
        <v>0.8</v>
      </c>
      <c r="BN22" s="12"/>
      <c r="BO22" s="12"/>
      <c r="BS22" s="12"/>
      <c r="BT22" s="12">
        <v>0.8</v>
      </c>
      <c r="BU22" s="12"/>
      <c r="BV22" s="12"/>
      <c r="BZ22" s="12"/>
      <c r="CA22" s="12">
        <v>0.8</v>
      </c>
      <c r="CB22" s="12"/>
      <c r="CC22" s="12"/>
      <c r="CG22" s="12"/>
      <c r="CH22" s="12">
        <v>1</v>
      </c>
      <c r="CI22" s="12"/>
      <c r="CJ22" s="12"/>
      <c r="CN22" s="12"/>
      <c r="CO22" s="12">
        <v>1</v>
      </c>
      <c r="CP22" s="12"/>
      <c r="CQ22" s="12"/>
      <c r="CU22" s="12"/>
      <c r="CV22" s="12">
        <v>1</v>
      </c>
      <c r="CW22" s="12"/>
      <c r="CX22" s="12"/>
      <c r="DB22" s="12"/>
      <c r="DC22" s="12">
        <v>1</v>
      </c>
      <c r="DD22" s="12"/>
      <c r="DE22" s="12">
        <v>1</v>
      </c>
    </row>
    <row r="23" spans="2:109" hidden="1" outlineLevel="1">
      <c r="B23" t="s">
        <v>29</v>
      </c>
      <c r="C23" t="s">
        <v>2</v>
      </c>
      <c r="E23" s="11"/>
      <c r="F23" t="s">
        <v>127</v>
      </c>
      <c r="G23" s="12">
        <v>0.15</v>
      </c>
      <c r="I23" s="11">
        <f t="shared" si="2"/>
        <v>0</v>
      </c>
      <c r="J23" s="13">
        <f t="shared" si="3"/>
        <v>0</v>
      </c>
      <c r="K23" s="13">
        <f t="shared" si="3"/>
        <v>0</v>
      </c>
      <c r="L23" s="11"/>
      <c r="O23" s="12"/>
      <c r="P23" s="12"/>
      <c r="Q23" s="12"/>
      <c r="R23" s="12"/>
      <c r="V23" s="12"/>
      <c r="W23" s="12"/>
      <c r="X23" s="12"/>
      <c r="Y23" s="12"/>
      <c r="AC23" s="12"/>
      <c r="AD23" s="12">
        <v>0.5</v>
      </c>
      <c r="AE23" s="12"/>
      <c r="AF23" s="12"/>
      <c r="AJ23" s="12"/>
      <c r="AK23" s="12">
        <v>0.5</v>
      </c>
      <c r="AL23" s="12"/>
      <c r="AM23" s="12"/>
      <c r="AQ23" s="12"/>
      <c r="AR23" s="12">
        <v>0.5</v>
      </c>
      <c r="AS23" s="12"/>
      <c r="AT23" s="12">
        <v>1</v>
      </c>
      <c r="AX23" s="12"/>
      <c r="AY23" s="12">
        <v>0.5</v>
      </c>
      <c r="AZ23" s="12"/>
      <c r="BA23" s="12"/>
      <c r="BE23" s="12"/>
      <c r="BF23" s="12">
        <v>0.5</v>
      </c>
      <c r="BG23" s="12"/>
      <c r="BH23" s="12"/>
      <c r="BL23" s="12"/>
      <c r="BM23" s="12">
        <v>0.8</v>
      </c>
      <c r="BN23" s="12"/>
      <c r="BO23" s="12"/>
      <c r="BS23" s="12"/>
      <c r="BT23" s="12">
        <v>0.8</v>
      </c>
      <c r="BU23" s="12"/>
      <c r="BV23" s="12"/>
      <c r="BZ23" s="12"/>
      <c r="CA23" s="12">
        <v>0.8</v>
      </c>
      <c r="CB23" s="12"/>
      <c r="CC23" s="12"/>
      <c r="CG23" s="12"/>
      <c r="CH23" s="12">
        <v>0.8</v>
      </c>
      <c r="CI23" s="12"/>
      <c r="CJ23" s="12"/>
      <c r="CN23" s="12"/>
      <c r="CO23" s="12">
        <v>1</v>
      </c>
      <c r="CP23" s="12"/>
      <c r="CQ23" s="12"/>
      <c r="CU23" s="12"/>
      <c r="CV23" s="12">
        <v>1</v>
      </c>
      <c r="CW23" s="12"/>
      <c r="CX23" s="12"/>
      <c r="DB23" s="12"/>
      <c r="DC23" s="12">
        <v>1</v>
      </c>
      <c r="DD23" s="12"/>
      <c r="DE23" s="12">
        <v>1</v>
      </c>
    </row>
    <row r="24" spans="2:109" hidden="1" outlineLevel="1">
      <c r="B24" t="s">
        <v>29</v>
      </c>
      <c r="C24" t="s">
        <v>2</v>
      </c>
      <c r="E24" s="11"/>
      <c r="F24" t="s">
        <v>85</v>
      </c>
      <c r="G24" s="12">
        <v>0.1</v>
      </c>
      <c r="I24" s="11">
        <f t="shared" si="2"/>
        <v>0</v>
      </c>
      <c r="J24" s="13">
        <f t="shared" si="3"/>
        <v>0</v>
      </c>
      <c r="K24" s="13">
        <f t="shared" si="3"/>
        <v>0</v>
      </c>
      <c r="L24" s="11"/>
      <c r="O24" s="12"/>
      <c r="P24" s="12"/>
      <c r="Q24" s="12"/>
      <c r="R24" s="12"/>
      <c r="V24" s="12"/>
      <c r="W24" s="12"/>
      <c r="X24" s="12"/>
      <c r="Y24" s="12"/>
      <c r="AC24" s="12"/>
      <c r="AD24" s="12"/>
      <c r="AE24" s="12"/>
      <c r="AF24" s="12"/>
      <c r="AJ24" s="12"/>
      <c r="AK24" s="12">
        <v>0.5</v>
      </c>
      <c r="AL24" s="12"/>
      <c r="AM24" s="12"/>
      <c r="AQ24" s="12"/>
      <c r="AR24" s="12">
        <v>0.5</v>
      </c>
      <c r="AS24" s="12"/>
      <c r="AT24" s="12">
        <v>1</v>
      </c>
      <c r="AX24" s="12"/>
      <c r="AY24" s="12">
        <v>0.5</v>
      </c>
      <c r="AZ24" s="12"/>
      <c r="BA24" s="12"/>
      <c r="BE24" s="12"/>
      <c r="BF24" s="12">
        <v>0.5</v>
      </c>
      <c r="BG24" s="12"/>
      <c r="BH24" s="12"/>
      <c r="BL24" s="12"/>
      <c r="BM24" s="12">
        <v>0.5</v>
      </c>
      <c r="BN24" s="12"/>
      <c r="BO24" s="12"/>
      <c r="BS24" s="12"/>
      <c r="BT24" s="12">
        <v>0.8</v>
      </c>
      <c r="BU24" s="12"/>
      <c r="BV24" s="12"/>
      <c r="BZ24" s="12"/>
      <c r="CA24" s="12">
        <v>0.8</v>
      </c>
      <c r="CB24" s="12"/>
      <c r="CC24" s="12"/>
      <c r="CG24" s="12"/>
      <c r="CH24" s="12">
        <v>0.8</v>
      </c>
      <c r="CI24" s="12"/>
      <c r="CJ24" s="12"/>
      <c r="CN24" s="12"/>
      <c r="CO24" s="12">
        <v>0.8</v>
      </c>
      <c r="CP24" s="12"/>
      <c r="CQ24" s="12"/>
      <c r="CU24" s="12"/>
      <c r="CV24" s="12">
        <v>1</v>
      </c>
      <c r="CW24" s="12"/>
      <c r="CX24" s="12"/>
      <c r="DB24" s="12"/>
      <c r="DC24" s="12">
        <v>1</v>
      </c>
      <c r="DD24" s="12"/>
      <c r="DE24" s="12">
        <v>1</v>
      </c>
    </row>
    <row r="25" spans="2:109" hidden="1" outlineLevel="1">
      <c r="B25" t="s">
        <v>29</v>
      </c>
      <c r="C25" t="s">
        <v>2</v>
      </c>
      <c r="E25" s="11"/>
      <c r="F25" t="s">
        <v>89</v>
      </c>
      <c r="G25" s="12">
        <v>0.1</v>
      </c>
      <c r="I25" s="11">
        <f t="shared" si="2"/>
        <v>0</v>
      </c>
      <c r="J25" s="13">
        <f t="shared" si="3"/>
        <v>0</v>
      </c>
      <c r="K25" s="13">
        <f t="shared" si="3"/>
        <v>0</v>
      </c>
      <c r="L25" s="11"/>
      <c r="O25" s="12"/>
      <c r="P25" s="12"/>
      <c r="Q25" s="12"/>
      <c r="R25" s="12"/>
      <c r="V25" s="12"/>
      <c r="W25" s="12"/>
      <c r="X25" s="12"/>
      <c r="Y25" s="12"/>
      <c r="AC25" s="12"/>
      <c r="AD25" s="12"/>
      <c r="AE25" s="12"/>
      <c r="AF25" s="12"/>
      <c r="AJ25" s="12"/>
      <c r="AK25" s="12"/>
      <c r="AL25" s="12"/>
      <c r="AM25" s="12"/>
      <c r="AQ25" s="12"/>
      <c r="AR25" s="12">
        <v>0.5</v>
      </c>
      <c r="AS25" s="12"/>
      <c r="AT25" s="12">
        <v>1</v>
      </c>
      <c r="AX25" s="12"/>
      <c r="AY25" s="12">
        <v>0.5</v>
      </c>
      <c r="AZ25" s="12"/>
      <c r="BA25" s="12"/>
      <c r="BE25" s="12"/>
      <c r="BF25" s="12">
        <v>0.5</v>
      </c>
      <c r="BG25" s="12"/>
      <c r="BH25" s="12"/>
      <c r="BL25" s="12"/>
      <c r="BM25" s="12">
        <v>0.5</v>
      </c>
      <c r="BN25" s="12"/>
      <c r="BO25" s="12"/>
      <c r="BS25" s="12"/>
      <c r="BT25" s="12">
        <v>0.5</v>
      </c>
      <c r="BU25" s="12"/>
      <c r="BV25" s="12"/>
      <c r="BZ25" s="12"/>
      <c r="CA25" s="12">
        <v>0.8</v>
      </c>
      <c r="CB25" s="12"/>
      <c r="CC25" s="12"/>
      <c r="CG25" s="12"/>
      <c r="CH25" s="12">
        <v>0.8</v>
      </c>
      <c r="CI25" s="12"/>
      <c r="CJ25" s="12"/>
      <c r="CN25" s="12"/>
      <c r="CO25" s="12">
        <v>0.8</v>
      </c>
      <c r="CP25" s="12"/>
      <c r="CQ25" s="12"/>
      <c r="CU25" s="12"/>
      <c r="CV25" s="12">
        <v>1</v>
      </c>
      <c r="CW25" s="12"/>
      <c r="CX25" s="12"/>
      <c r="DB25" s="12"/>
      <c r="DC25" s="12">
        <v>1</v>
      </c>
      <c r="DD25" s="12"/>
      <c r="DE25" s="12">
        <v>1</v>
      </c>
    </row>
    <row r="26" spans="2:109" hidden="1" outlineLevel="1">
      <c r="B26" t="s">
        <v>29</v>
      </c>
      <c r="C26" t="s">
        <v>2</v>
      </c>
      <c r="E26" s="11"/>
      <c r="F26" t="s">
        <v>86</v>
      </c>
      <c r="G26" s="12">
        <v>0.1</v>
      </c>
      <c r="I26" s="11">
        <f t="shared" si="2"/>
        <v>0</v>
      </c>
      <c r="J26" s="13">
        <f t="shared" si="3"/>
        <v>0</v>
      </c>
      <c r="K26" s="13">
        <f t="shared" si="3"/>
        <v>0</v>
      </c>
      <c r="L26" s="11"/>
      <c r="O26" s="12"/>
      <c r="P26" s="12"/>
      <c r="Q26" s="12"/>
      <c r="R26" s="12"/>
      <c r="V26" s="12"/>
      <c r="W26" s="12"/>
      <c r="X26" s="12"/>
      <c r="Y26" s="12"/>
      <c r="AC26" s="12"/>
      <c r="AD26" s="12"/>
      <c r="AE26" s="12"/>
      <c r="AF26" s="12"/>
      <c r="AJ26" s="12"/>
      <c r="AK26" s="12"/>
      <c r="AL26" s="12"/>
      <c r="AM26" s="12"/>
      <c r="AQ26" s="12"/>
      <c r="AR26" s="12"/>
      <c r="AS26" s="12"/>
      <c r="AT26" s="12"/>
      <c r="AX26" s="12"/>
      <c r="AY26" s="12">
        <v>0.5</v>
      </c>
      <c r="AZ26" s="12"/>
      <c r="BA26" s="12"/>
      <c r="BE26" s="12"/>
      <c r="BF26" s="12">
        <v>0.5</v>
      </c>
      <c r="BG26" s="12"/>
      <c r="BH26" s="12"/>
      <c r="BL26" s="12"/>
      <c r="BM26" s="12">
        <v>0.5</v>
      </c>
      <c r="BN26" s="12"/>
      <c r="BO26" s="12"/>
      <c r="BS26" s="12"/>
      <c r="BT26" s="12">
        <v>0.5</v>
      </c>
      <c r="BU26" s="12"/>
      <c r="BV26" s="12"/>
      <c r="BZ26" s="12"/>
      <c r="CA26" s="12">
        <v>0.5</v>
      </c>
      <c r="CB26" s="12"/>
      <c r="CC26" s="12"/>
      <c r="CG26" s="12"/>
      <c r="CH26" s="12">
        <v>0.8</v>
      </c>
      <c r="CI26" s="12"/>
      <c r="CJ26" s="12"/>
      <c r="CN26" s="12"/>
      <c r="CO26" s="12">
        <v>0.8</v>
      </c>
      <c r="CP26" s="12"/>
      <c r="CQ26" s="12"/>
      <c r="CU26" s="12"/>
      <c r="CV26" s="12">
        <v>0.8</v>
      </c>
      <c r="CW26" s="12"/>
      <c r="CX26" s="12"/>
      <c r="DB26" s="12"/>
      <c r="DC26" s="12">
        <v>1</v>
      </c>
      <c r="DD26" s="12"/>
      <c r="DE26" s="12">
        <v>1</v>
      </c>
    </row>
    <row r="27" spans="2:109" hidden="1" outlineLevel="1">
      <c r="B27" t="s">
        <v>29</v>
      </c>
      <c r="C27" t="s">
        <v>2</v>
      </c>
      <c r="E27" s="11"/>
      <c r="F27" t="s">
        <v>90</v>
      </c>
      <c r="G27" s="12">
        <v>0.1</v>
      </c>
      <c r="I27" s="11">
        <f t="shared" si="2"/>
        <v>0</v>
      </c>
      <c r="J27" s="13">
        <f t="shared" si="3"/>
        <v>0</v>
      </c>
      <c r="K27" s="13">
        <f t="shared" si="3"/>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v>0.5</v>
      </c>
      <c r="BG27" s="12"/>
      <c r="BH27" s="12"/>
      <c r="BL27" s="12"/>
      <c r="BM27" s="12">
        <v>0.5</v>
      </c>
      <c r="BN27" s="12"/>
      <c r="BO27" s="12"/>
      <c r="BS27" s="12"/>
      <c r="BT27" s="12">
        <v>0.5</v>
      </c>
      <c r="BU27" s="12"/>
      <c r="BV27" s="12"/>
      <c r="BZ27" s="12"/>
      <c r="CA27" s="12">
        <v>0.5</v>
      </c>
      <c r="CB27" s="12"/>
      <c r="CC27" s="12"/>
      <c r="CG27" s="12"/>
      <c r="CH27" s="12">
        <v>0.5</v>
      </c>
      <c r="CI27" s="12"/>
      <c r="CJ27" s="12"/>
      <c r="CN27" s="12"/>
      <c r="CO27" s="12">
        <v>0.8</v>
      </c>
      <c r="CP27" s="12"/>
      <c r="CQ27" s="12"/>
      <c r="CU27" s="12"/>
      <c r="CV27" s="12">
        <v>0.8</v>
      </c>
      <c r="CW27" s="12"/>
      <c r="CX27" s="12"/>
      <c r="DB27" s="12"/>
      <c r="DC27" s="12">
        <v>1</v>
      </c>
      <c r="DD27" s="12"/>
      <c r="DE27" s="12">
        <v>1</v>
      </c>
    </row>
    <row r="28" spans="2:109" hidden="1" outlineLevel="1">
      <c r="B28" t="s">
        <v>29</v>
      </c>
      <c r="C28" t="s">
        <v>2</v>
      </c>
      <c r="E28" s="11"/>
      <c r="G28" s="12">
        <v>0</v>
      </c>
      <c r="I28" s="11">
        <f t="shared" si="2"/>
        <v>0</v>
      </c>
      <c r="J28" s="13">
        <f t="shared" si="3"/>
        <v>0</v>
      </c>
      <c r="K28" s="13">
        <f t="shared" si="3"/>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c r="BU28" s="12"/>
      <c r="BV28" s="12"/>
      <c r="BZ28" s="12"/>
      <c r="CA28" s="12"/>
      <c r="CB28" s="12"/>
      <c r="CC28" s="12"/>
      <c r="CG28" s="12"/>
      <c r="CH28" s="12"/>
      <c r="CI28" s="12"/>
      <c r="CJ28" s="12"/>
      <c r="CN28" s="12"/>
      <c r="CO28" s="12"/>
      <c r="CP28" s="12"/>
      <c r="CQ28" s="12"/>
      <c r="CU28" s="12"/>
      <c r="CV28" s="12"/>
      <c r="CW28" s="12"/>
      <c r="CX28" s="12"/>
      <c r="DB28" s="12"/>
      <c r="DC28" s="12"/>
      <c r="DD28" s="12"/>
      <c r="DE28" s="12"/>
    </row>
    <row r="29" spans="2:109" hidden="1" outlineLevel="1">
      <c r="B29" t="s">
        <v>29</v>
      </c>
      <c r="C29" t="s">
        <v>2</v>
      </c>
      <c r="E29" s="11"/>
      <c r="G29" s="12">
        <v>0</v>
      </c>
      <c r="I29" s="11">
        <f t="shared" si="2"/>
        <v>0</v>
      </c>
      <c r="J29" s="13">
        <f t="shared" si="3"/>
        <v>0</v>
      </c>
      <c r="K29" s="13">
        <f t="shared" si="3"/>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c r="CN29" s="12"/>
      <c r="CO29" s="12"/>
      <c r="CP29" s="12"/>
      <c r="CQ29" s="12"/>
      <c r="CU29" s="12"/>
      <c r="CV29" s="12"/>
      <c r="CW29" s="12"/>
      <c r="CX29" s="12"/>
      <c r="DB29" s="12"/>
      <c r="DC29" s="12"/>
      <c r="DD29" s="12"/>
      <c r="DE29" s="12"/>
    </row>
    <row r="30" spans="2:109" hidden="1" outlineLevel="1">
      <c r="B30" t="s">
        <v>29</v>
      </c>
      <c r="C30" t="s">
        <v>2</v>
      </c>
      <c r="E30" s="11"/>
      <c r="G30" s="12">
        <v>0</v>
      </c>
      <c r="I30" s="11">
        <f t="shared" si="2"/>
        <v>0</v>
      </c>
      <c r="J30" s="13">
        <f t="shared" si="3"/>
        <v>0</v>
      </c>
      <c r="K30" s="13">
        <f t="shared" si="3"/>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c r="CW30" s="12"/>
      <c r="CX30" s="12"/>
      <c r="DB30" s="12"/>
      <c r="DC30" s="12"/>
      <c r="DD30" s="12"/>
      <c r="DE30" s="12"/>
    </row>
    <row r="31" spans="2:109" collapsed="1">
      <c r="O31" s="9"/>
      <c r="V31" s="9"/>
      <c r="AC31" s="9"/>
      <c r="AJ31" s="9"/>
      <c r="AQ31" s="9"/>
      <c r="AX31" s="9"/>
      <c r="BE31" s="9"/>
      <c r="BL31" s="9"/>
      <c r="BS31" s="9"/>
      <c r="BZ31" s="9"/>
      <c r="CG31" s="9"/>
      <c r="CN31" s="9"/>
      <c r="CU31" s="9"/>
      <c r="DB31" s="9"/>
    </row>
    <row r="32" spans="2:109" ht="15.65" hidden="1" customHeight="1" outlineLevel="1">
      <c r="B32" t="s">
        <v>29</v>
      </c>
      <c r="C32" t="s">
        <v>2</v>
      </c>
      <c r="E32" s="11"/>
      <c r="F32" t="s">
        <v>31</v>
      </c>
      <c r="G32" s="12">
        <v>0.1</v>
      </c>
      <c r="I32" s="11">
        <f t="shared" ref="I32:I43" si="4">+SUMIF($N$3:$ZT$3,I$3,$N32:$ZT32)</f>
        <v>30</v>
      </c>
      <c r="J32" s="13">
        <f t="shared" ref="J32:K43" si="5">+_xlfn.MAXIFS($N32:$YZ32,$N$3:$YZ$3,J$3)</f>
        <v>0.7</v>
      </c>
      <c r="K32" s="13">
        <f t="shared" si="5"/>
        <v>0.5</v>
      </c>
      <c r="L32" s="11"/>
      <c r="N32">
        <v>10</v>
      </c>
      <c r="O32" s="12">
        <v>0.7</v>
      </c>
      <c r="P32" s="12">
        <v>0.8</v>
      </c>
      <c r="Q32" s="12">
        <v>0.5</v>
      </c>
      <c r="R32" s="12">
        <v>0.8</v>
      </c>
      <c r="U32">
        <v>2</v>
      </c>
      <c r="V32" s="12"/>
      <c r="W32" s="12">
        <v>0.8</v>
      </c>
      <c r="X32" s="12"/>
      <c r="Y32" s="12">
        <v>0.8</v>
      </c>
      <c r="AB32">
        <v>4</v>
      </c>
      <c r="AC32" s="12"/>
      <c r="AD32" s="12">
        <v>1</v>
      </c>
      <c r="AE32" s="12"/>
      <c r="AF32" s="12">
        <v>1</v>
      </c>
      <c r="AJ32" s="12"/>
      <c r="AK32" s="12">
        <v>1</v>
      </c>
      <c r="AL32" s="12"/>
      <c r="AM32" s="12">
        <v>1</v>
      </c>
      <c r="AP32">
        <v>0</v>
      </c>
      <c r="AQ32" s="12"/>
      <c r="AR32" s="12">
        <v>1</v>
      </c>
      <c r="AS32" s="12"/>
      <c r="AT32" s="12">
        <v>1</v>
      </c>
      <c r="AX32" s="12"/>
      <c r="AY32" s="12"/>
      <c r="AZ32" s="12"/>
      <c r="BA32" s="12"/>
      <c r="BE32" s="12"/>
      <c r="BF32" s="12"/>
      <c r="BG32" s="12"/>
      <c r="BH32" s="12"/>
      <c r="BK32">
        <v>2</v>
      </c>
      <c r="BL32" s="12"/>
      <c r="BM32" s="12">
        <v>0.8</v>
      </c>
      <c r="BN32" s="12"/>
      <c r="BO32" s="12">
        <v>0.8</v>
      </c>
      <c r="BR32">
        <v>2</v>
      </c>
      <c r="BS32" s="12"/>
      <c r="BT32" s="12">
        <v>0.8</v>
      </c>
      <c r="BU32" s="12"/>
      <c r="BV32" s="12">
        <v>0.8</v>
      </c>
      <c r="BY32">
        <v>2</v>
      </c>
      <c r="BZ32" s="12"/>
      <c r="CA32" s="12">
        <v>0.8</v>
      </c>
      <c r="CB32" s="12"/>
      <c r="CC32" s="12">
        <v>0.8</v>
      </c>
      <c r="CF32">
        <v>2</v>
      </c>
      <c r="CG32" s="12"/>
      <c r="CH32" s="12">
        <v>0.8</v>
      </c>
      <c r="CI32" s="12"/>
      <c r="CJ32" s="12">
        <v>0.8</v>
      </c>
      <c r="CM32">
        <v>2</v>
      </c>
      <c r="CN32" s="12"/>
      <c r="CO32" s="12">
        <v>0.8</v>
      </c>
      <c r="CP32" s="12"/>
      <c r="CQ32" s="12">
        <v>0.8</v>
      </c>
      <c r="CT32">
        <v>2</v>
      </c>
      <c r="CU32" s="12"/>
      <c r="CV32" s="12">
        <v>0.8</v>
      </c>
      <c r="CW32" s="12"/>
      <c r="CX32" s="12">
        <v>0.8</v>
      </c>
      <c r="DA32">
        <v>2</v>
      </c>
      <c r="DB32" s="12"/>
      <c r="DC32" s="12">
        <v>0.8</v>
      </c>
      <c r="DD32" s="12"/>
      <c r="DE32" s="12">
        <v>0.8</v>
      </c>
    </row>
    <row r="33" spans="2:109" ht="15.65" hidden="1" customHeight="1" outlineLevel="1">
      <c r="B33" t="s">
        <v>29</v>
      </c>
      <c r="C33" t="s">
        <v>2</v>
      </c>
      <c r="E33" s="11"/>
      <c r="F33" t="s">
        <v>32</v>
      </c>
      <c r="G33" s="12">
        <v>0.05</v>
      </c>
      <c r="I33" s="11">
        <f t="shared" si="4"/>
        <v>3</v>
      </c>
      <c r="J33" s="13">
        <f t="shared" si="5"/>
        <v>0.5</v>
      </c>
      <c r="K33" s="13">
        <f t="shared" si="5"/>
        <v>0.5</v>
      </c>
      <c r="L33" s="11"/>
      <c r="N33">
        <v>3</v>
      </c>
      <c r="O33" s="12">
        <v>0.5</v>
      </c>
      <c r="P33" s="12">
        <v>0.5</v>
      </c>
      <c r="Q33" s="12">
        <v>0.5</v>
      </c>
      <c r="R33" s="12">
        <v>0.5</v>
      </c>
      <c r="V33" s="12"/>
      <c r="W33" s="12">
        <v>0.8</v>
      </c>
      <c r="X33" s="12"/>
      <c r="Y33" s="12">
        <v>0.8</v>
      </c>
      <c r="AC33" s="12"/>
      <c r="AD33" s="12">
        <v>1</v>
      </c>
      <c r="AE33" s="12"/>
      <c r="AF33" s="12">
        <v>1</v>
      </c>
      <c r="AJ33" s="12"/>
      <c r="AK33" s="12">
        <v>1</v>
      </c>
      <c r="AL33" s="12"/>
      <c r="AM33" s="12">
        <v>1</v>
      </c>
      <c r="AP33">
        <v>0</v>
      </c>
      <c r="AQ33" s="12"/>
      <c r="AR33" s="12">
        <v>1</v>
      </c>
      <c r="AS33" s="12"/>
      <c r="AT33" s="12">
        <v>1</v>
      </c>
      <c r="AX33" s="12"/>
      <c r="AY33" s="12"/>
      <c r="AZ33" s="12"/>
      <c r="BA33" s="12"/>
      <c r="BE33" s="12"/>
      <c r="BF33" s="12"/>
      <c r="BG33" s="12"/>
      <c r="BH33" s="12"/>
      <c r="BL33" s="12"/>
      <c r="BM33" s="12">
        <v>0.8</v>
      </c>
      <c r="BN33" s="12"/>
      <c r="BO33" s="12">
        <v>0.8</v>
      </c>
      <c r="BS33" s="12"/>
      <c r="BT33" s="12">
        <v>0.8</v>
      </c>
      <c r="BU33" s="12"/>
      <c r="BV33" s="12">
        <v>0.8</v>
      </c>
      <c r="BZ33" s="12"/>
      <c r="CA33" s="12">
        <v>0.8</v>
      </c>
      <c r="CB33" s="12"/>
      <c r="CC33" s="12">
        <v>0.8</v>
      </c>
      <c r="CG33" s="12"/>
      <c r="CH33" s="12">
        <v>0.8</v>
      </c>
      <c r="CI33" s="12"/>
      <c r="CJ33" s="12">
        <v>0.8</v>
      </c>
      <c r="CN33" s="12"/>
      <c r="CO33" s="12">
        <v>0.8</v>
      </c>
      <c r="CP33" s="12"/>
      <c r="CQ33" s="12">
        <v>0.8</v>
      </c>
      <c r="CU33" s="12"/>
      <c r="CV33" s="12">
        <v>0.8</v>
      </c>
      <c r="CW33" s="12"/>
      <c r="CX33" s="12">
        <v>0.8</v>
      </c>
      <c r="DB33" s="12"/>
      <c r="DC33" s="12">
        <v>0.8</v>
      </c>
      <c r="DD33" s="12"/>
      <c r="DE33" s="12">
        <v>0.8</v>
      </c>
    </row>
    <row r="34" spans="2:109" ht="15.65" hidden="1" customHeight="1" outlineLevel="1">
      <c r="B34" t="s">
        <v>29</v>
      </c>
      <c r="C34" t="s">
        <v>2</v>
      </c>
      <c r="E34" s="11"/>
      <c r="F34" t="s">
        <v>33</v>
      </c>
      <c r="G34" s="12">
        <v>0.05</v>
      </c>
      <c r="I34" s="11">
        <f t="shared" si="4"/>
        <v>2</v>
      </c>
      <c r="J34" s="13">
        <f t="shared" si="5"/>
        <v>0.3</v>
      </c>
      <c r="K34" s="13">
        <f t="shared" si="5"/>
        <v>0.3</v>
      </c>
      <c r="L34" s="11"/>
      <c r="N34">
        <v>2</v>
      </c>
      <c r="O34" s="12">
        <v>0.3</v>
      </c>
      <c r="P34" s="12">
        <v>0.3</v>
      </c>
      <c r="Q34" s="12">
        <v>0.3</v>
      </c>
      <c r="R34" s="12">
        <v>0.3</v>
      </c>
      <c r="V34" s="12"/>
      <c r="W34" s="12">
        <v>0.5</v>
      </c>
      <c r="X34" s="12"/>
      <c r="Y34" s="12">
        <v>0.5</v>
      </c>
      <c r="AC34" s="12"/>
      <c r="AD34" s="12">
        <v>0.8</v>
      </c>
      <c r="AE34" s="12"/>
      <c r="AF34" s="12">
        <v>0.8</v>
      </c>
      <c r="AJ34" s="12"/>
      <c r="AK34" s="12">
        <v>1</v>
      </c>
      <c r="AL34" s="12"/>
      <c r="AM34" s="12">
        <v>1</v>
      </c>
      <c r="AP34">
        <v>0</v>
      </c>
      <c r="AQ34" s="12"/>
      <c r="AR34" s="12">
        <v>1</v>
      </c>
      <c r="AS34" s="12"/>
      <c r="AT34" s="12">
        <v>1</v>
      </c>
      <c r="AX34" s="12"/>
      <c r="AY34" s="12"/>
      <c r="AZ34" s="12"/>
      <c r="BA34" s="12"/>
      <c r="BE34" s="12"/>
      <c r="BF34" s="12"/>
      <c r="BG34" s="12"/>
      <c r="BH34" s="12"/>
      <c r="BL34" s="12"/>
      <c r="BM34" s="12">
        <v>0.5</v>
      </c>
      <c r="BN34" s="12"/>
      <c r="BO34" s="12">
        <v>0.5</v>
      </c>
      <c r="BS34" s="12"/>
      <c r="BT34" s="12">
        <v>0.5</v>
      </c>
      <c r="BU34" s="12"/>
      <c r="BV34" s="12">
        <v>0.5</v>
      </c>
      <c r="BZ34" s="12"/>
      <c r="CA34" s="12">
        <v>0.5</v>
      </c>
      <c r="CB34" s="12"/>
      <c r="CC34" s="12">
        <v>0.5</v>
      </c>
      <c r="CG34" s="12"/>
      <c r="CH34" s="12">
        <v>0.5</v>
      </c>
      <c r="CI34" s="12"/>
      <c r="CJ34" s="12">
        <v>0.5</v>
      </c>
      <c r="CN34" s="12"/>
      <c r="CO34" s="12">
        <v>0.5</v>
      </c>
      <c r="CP34" s="12"/>
      <c r="CQ34" s="12">
        <v>0.5</v>
      </c>
      <c r="CU34" s="12"/>
      <c r="CV34" s="12">
        <v>0.5</v>
      </c>
      <c r="CW34" s="12"/>
      <c r="CX34" s="12">
        <v>0.5</v>
      </c>
      <c r="DB34" s="12"/>
      <c r="DC34" s="12">
        <v>0.5</v>
      </c>
      <c r="DD34" s="12"/>
      <c r="DE34" s="12">
        <v>0.5</v>
      </c>
    </row>
    <row r="35" spans="2:109" ht="15.65" hidden="1" customHeight="1" outlineLevel="1">
      <c r="B35" t="s">
        <v>29</v>
      </c>
      <c r="C35" t="s">
        <v>2</v>
      </c>
      <c r="E35" s="11"/>
      <c r="F35" t="s">
        <v>34</v>
      </c>
      <c r="G35" s="12">
        <v>0.05</v>
      </c>
      <c r="I35" s="11">
        <f t="shared" si="4"/>
        <v>2</v>
      </c>
      <c r="J35" s="13">
        <f t="shared" si="5"/>
        <v>0.3</v>
      </c>
      <c r="K35" s="13">
        <f t="shared" si="5"/>
        <v>0.2</v>
      </c>
      <c r="L35" s="11"/>
      <c r="N35">
        <v>2</v>
      </c>
      <c r="O35" s="12">
        <v>0.3</v>
      </c>
      <c r="P35" s="12">
        <v>0.3</v>
      </c>
      <c r="Q35" s="12">
        <v>0.2</v>
      </c>
      <c r="R35" s="12">
        <v>0.3</v>
      </c>
      <c r="V35" s="12"/>
      <c r="W35" s="12">
        <v>0.5</v>
      </c>
      <c r="X35" s="12"/>
      <c r="Y35" s="12">
        <v>0.5</v>
      </c>
      <c r="AC35" s="12"/>
      <c r="AD35" s="12">
        <v>0.8</v>
      </c>
      <c r="AE35" s="12"/>
      <c r="AF35" s="12">
        <v>0.8</v>
      </c>
      <c r="AJ35" s="12"/>
      <c r="AK35" s="12">
        <v>1</v>
      </c>
      <c r="AL35" s="12"/>
      <c r="AM35" s="12">
        <v>1</v>
      </c>
      <c r="AP35">
        <v>0</v>
      </c>
      <c r="AQ35" s="12"/>
      <c r="AR35" s="12">
        <v>1</v>
      </c>
      <c r="AS35" s="12"/>
      <c r="AT35" s="12">
        <v>1</v>
      </c>
      <c r="AX35" s="12"/>
      <c r="AY35" s="12"/>
      <c r="AZ35" s="12"/>
      <c r="BA35" s="12"/>
      <c r="BE35" s="12"/>
      <c r="BF35" s="12"/>
      <c r="BG35" s="12"/>
      <c r="BH35" s="12"/>
      <c r="BL35" s="12"/>
      <c r="BM35" s="12">
        <v>0.5</v>
      </c>
      <c r="BN35" s="12"/>
      <c r="BO35" s="12">
        <v>0.5</v>
      </c>
      <c r="BS35" s="12"/>
      <c r="BT35" s="12">
        <v>0.5</v>
      </c>
      <c r="BU35" s="12"/>
      <c r="BV35" s="12">
        <v>0.5</v>
      </c>
      <c r="BZ35" s="12"/>
      <c r="CA35" s="12">
        <v>0.5</v>
      </c>
      <c r="CB35" s="12"/>
      <c r="CC35" s="12">
        <v>0.5</v>
      </c>
      <c r="CG35" s="12"/>
      <c r="CH35" s="12">
        <v>0.5</v>
      </c>
      <c r="CI35" s="12"/>
      <c r="CJ35" s="12">
        <v>0.5</v>
      </c>
      <c r="CN35" s="12"/>
      <c r="CO35" s="12">
        <v>0.5</v>
      </c>
      <c r="CP35" s="12"/>
      <c r="CQ35" s="12">
        <v>0.5</v>
      </c>
      <c r="CU35" s="12"/>
      <c r="CV35" s="12">
        <v>0.5</v>
      </c>
      <c r="CW35" s="12"/>
      <c r="CX35" s="12">
        <v>0.5</v>
      </c>
      <c r="DB35" s="12"/>
      <c r="DC35" s="12">
        <v>0.5</v>
      </c>
      <c r="DD35" s="12"/>
      <c r="DE35" s="12">
        <v>0.5</v>
      </c>
    </row>
    <row r="36" spans="2:109" ht="15.65" hidden="1" customHeight="1" outlineLevel="1">
      <c r="B36" t="s">
        <v>29</v>
      </c>
      <c r="C36" t="s">
        <v>2</v>
      </c>
      <c r="E36" s="11"/>
      <c r="F36" t="s">
        <v>35</v>
      </c>
      <c r="G36" s="12">
        <v>0.05</v>
      </c>
      <c r="I36" s="11">
        <f t="shared" si="4"/>
        <v>3</v>
      </c>
      <c r="J36" s="13">
        <f t="shared" si="5"/>
        <v>0.3</v>
      </c>
      <c r="K36" s="13">
        <f t="shared" si="5"/>
        <v>0</v>
      </c>
      <c r="L36" s="11"/>
      <c r="N36">
        <v>3</v>
      </c>
      <c r="O36" s="12">
        <v>0.3</v>
      </c>
      <c r="P36" s="12">
        <v>0.3</v>
      </c>
      <c r="Q36" s="12"/>
      <c r="R36" s="12">
        <v>0.3</v>
      </c>
      <c r="V36" s="12"/>
      <c r="W36" s="12">
        <v>0.5</v>
      </c>
      <c r="X36" s="12"/>
      <c r="Y36" s="12">
        <v>0.5</v>
      </c>
      <c r="AC36" s="12"/>
      <c r="AD36" s="12">
        <v>0.8</v>
      </c>
      <c r="AE36" s="12"/>
      <c r="AF36" s="12">
        <v>0.8</v>
      </c>
      <c r="AJ36" s="12"/>
      <c r="AK36" s="12">
        <v>1</v>
      </c>
      <c r="AL36" s="12"/>
      <c r="AM36" s="12">
        <v>1</v>
      </c>
      <c r="AP36">
        <v>0</v>
      </c>
      <c r="AQ36" s="12"/>
      <c r="AR36" s="12">
        <v>1</v>
      </c>
      <c r="AS36" s="12"/>
      <c r="AT36" s="12">
        <v>1</v>
      </c>
      <c r="AX36" s="12"/>
      <c r="AY36" s="12"/>
      <c r="AZ36" s="12"/>
      <c r="BA36" s="12"/>
      <c r="BE36" s="12"/>
      <c r="BF36" s="12"/>
      <c r="BG36" s="12"/>
      <c r="BH36" s="12"/>
      <c r="BL36" s="12"/>
      <c r="BM36" s="12">
        <v>0.5</v>
      </c>
      <c r="BN36" s="12"/>
      <c r="BO36" s="12">
        <v>0.5</v>
      </c>
      <c r="BS36" s="12"/>
      <c r="BT36" s="12">
        <v>0.5</v>
      </c>
      <c r="BU36" s="12"/>
      <c r="BV36" s="12">
        <v>0.5</v>
      </c>
      <c r="BZ36" s="12"/>
      <c r="CA36" s="12">
        <v>0.5</v>
      </c>
      <c r="CB36" s="12"/>
      <c r="CC36" s="12">
        <v>0.5</v>
      </c>
      <c r="CG36" s="12"/>
      <c r="CH36" s="12">
        <v>0.5</v>
      </c>
      <c r="CI36" s="12"/>
      <c r="CJ36" s="12">
        <v>0.5</v>
      </c>
      <c r="CN36" s="12"/>
      <c r="CO36" s="12">
        <v>0.5</v>
      </c>
      <c r="CP36" s="12"/>
      <c r="CQ36" s="12">
        <v>0.5</v>
      </c>
      <c r="CU36" s="12"/>
      <c r="CV36" s="12">
        <v>0.5</v>
      </c>
      <c r="CW36" s="12"/>
      <c r="CX36" s="12">
        <v>0.5</v>
      </c>
      <c r="DB36" s="12"/>
      <c r="DC36" s="12">
        <v>0.5</v>
      </c>
      <c r="DD36" s="12"/>
      <c r="DE36" s="12">
        <v>0.5</v>
      </c>
    </row>
    <row r="37" spans="2:109" ht="15.65" hidden="1" customHeight="1" outlineLevel="1">
      <c r="B37" t="s">
        <v>29</v>
      </c>
      <c r="C37" t="s">
        <v>2</v>
      </c>
      <c r="E37" s="11"/>
      <c r="F37" t="s">
        <v>36</v>
      </c>
      <c r="G37" s="12">
        <v>0.1</v>
      </c>
      <c r="I37" s="11">
        <f t="shared" si="4"/>
        <v>2</v>
      </c>
      <c r="J37" s="13">
        <f t="shared" si="5"/>
        <v>0</v>
      </c>
      <c r="K37" s="13">
        <f t="shared" si="5"/>
        <v>0</v>
      </c>
      <c r="L37" s="11"/>
      <c r="O37" s="12"/>
      <c r="P37" s="12"/>
      <c r="Q37" s="12"/>
      <c r="R37" s="12"/>
      <c r="V37" s="12"/>
      <c r="W37" s="12">
        <v>0.3</v>
      </c>
      <c r="X37" s="12"/>
      <c r="Y37" s="12">
        <v>0.3</v>
      </c>
      <c r="AC37" s="12"/>
      <c r="AD37" s="12">
        <v>0.5</v>
      </c>
      <c r="AE37" s="12"/>
      <c r="AF37" s="12">
        <v>0.5</v>
      </c>
      <c r="AJ37" s="12"/>
      <c r="AK37" s="12">
        <v>0.8</v>
      </c>
      <c r="AL37" s="12"/>
      <c r="AM37" s="12">
        <v>0.8</v>
      </c>
      <c r="AP37">
        <v>2</v>
      </c>
      <c r="AQ37" s="12"/>
      <c r="AR37" s="12">
        <v>1</v>
      </c>
      <c r="AS37" s="12"/>
      <c r="AT37" s="12">
        <v>1</v>
      </c>
      <c r="AX37" s="12"/>
      <c r="AY37" s="12"/>
      <c r="AZ37" s="12"/>
      <c r="BA37" s="12"/>
      <c r="BE37" s="12"/>
      <c r="BF37" s="12"/>
      <c r="BG37" s="12"/>
      <c r="BH37" s="12"/>
      <c r="BL37" s="12"/>
      <c r="BM37" s="12">
        <v>0.3</v>
      </c>
      <c r="BN37" s="12"/>
      <c r="BO37" s="12">
        <v>0.3</v>
      </c>
      <c r="BS37" s="12"/>
      <c r="BT37" s="12">
        <v>0.3</v>
      </c>
      <c r="BU37" s="12"/>
      <c r="BV37" s="12">
        <v>0.3</v>
      </c>
      <c r="BZ37" s="12"/>
      <c r="CA37" s="12">
        <v>0.3</v>
      </c>
      <c r="CB37" s="12"/>
      <c r="CC37" s="12">
        <v>0.3</v>
      </c>
      <c r="CG37" s="12"/>
      <c r="CH37" s="12">
        <v>0.3</v>
      </c>
      <c r="CI37" s="12"/>
      <c r="CJ37" s="12">
        <v>0.3</v>
      </c>
      <c r="CN37" s="12"/>
      <c r="CO37" s="12">
        <v>0.3</v>
      </c>
      <c r="CP37" s="12"/>
      <c r="CQ37" s="12">
        <v>0.3</v>
      </c>
      <c r="CU37" s="12"/>
      <c r="CV37" s="12">
        <v>0.3</v>
      </c>
      <c r="CW37" s="12"/>
      <c r="CX37" s="12">
        <v>0.3</v>
      </c>
      <c r="DB37" s="12"/>
      <c r="DC37" s="12">
        <v>0.3</v>
      </c>
      <c r="DD37" s="12"/>
      <c r="DE37" s="12">
        <v>0.3</v>
      </c>
    </row>
    <row r="38" spans="2:109" ht="15.65" hidden="1" customHeight="1" outlineLevel="1">
      <c r="B38" t="s">
        <v>29</v>
      </c>
      <c r="C38" t="s">
        <v>2</v>
      </c>
      <c r="E38" s="11"/>
      <c r="F38" t="s">
        <v>37</v>
      </c>
      <c r="G38" s="12">
        <v>0.1</v>
      </c>
      <c r="I38" s="11">
        <f t="shared" si="4"/>
        <v>2</v>
      </c>
      <c r="J38" s="13">
        <f t="shared" si="5"/>
        <v>0</v>
      </c>
      <c r="K38" s="13">
        <f t="shared" si="5"/>
        <v>0</v>
      </c>
      <c r="L38" s="11"/>
      <c r="O38" s="12"/>
      <c r="P38" s="12"/>
      <c r="Q38" s="12"/>
      <c r="R38" s="12"/>
      <c r="V38" s="12"/>
      <c r="W38" s="12">
        <v>0.3</v>
      </c>
      <c r="X38" s="12"/>
      <c r="Y38" s="12">
        <v>0.3</v>
      </c>
      <c r="AC38" s="12"/>
      <c r="AD38" s="12">
        <v>0.5</v>
      </c>
      <c r="AE38" s="12"/>
      <c r="AF38" s="12">
        <v>0.5</v>
      </c>
      <c r="AJ38" s="12"/>
      <c r="AK38" s="12">
        <v>0.8</v>
      </c>
      <c r="AL38" s="12"/>
      <c r="AM38" s="12">
        <v>0.8</v>
      </c>
      <c r="AP38">
        <v>2</v>
      </c>
      <c r="AQ38" s="12"/>
      <c r="AR38" s="12">
        <v>1</v>
      </c>
      <c r="AS38" s="12"/>
      <c r="AT38" s="12">
        <v>1</v>
      </c>
      <c r="AX38" s="12"/>
      <c r="AY38" s="12"/>
      <c r="AZ38" s="12"/>
      <c r="BA38" s="12"/>
      <c r="BE38" s="12"/>
      <c r="BF38" s="12"/>
      <c r="BG38" s="12"/>
      <c r="BH38" s="12"/>
      <c r="BL38" s="12"/>
      <c r="BM38" s="12">
        <v>0.3</v>
      </c>
      <c r="BN38" s="12"/>
      <c r="BO38" s="12">
        <v>0.3</v>
      </c>
      <c r="BS38" s="12"/>
      <c r="BT38" s="12">
        <v>0.3</v>
      </c>
      <c r="BU38" s="12"/>
      <c r="BV38" s="12">
        <v>0.3</v>
      </c>
      <c r="BZ38" s="12"/>
      <c r="CA38" s="12">
        <v>0.3</v>
      </c>
      <c r="CB38" s="12"/>
      <c r="CC38" s="12">
        <v>0.3</v>
      </c>
      <c r="CG38" s="12"/>
      <c r="CH38" s="12">
        <v>0.3</v>
      </c>
      <c r="CI38" s="12"/>
      <c r="CJ38" s="12">
        <v>0.3</v>
      </c>
      <c r="CN38" s="12"/>
      <c r="CO38" s="12">
        <v>0.3</v>
      </c>
      <c r="CP38" s="12"/>
      <c r="CQ38" s="12">
        <v>0.3</v>
      </c>
      <c r="CU38" s="12"/>
      <c r="CV38" s="12">
        <v>0.3</v>
      </c>
      <c r="CW38" s="12"/>
      <c r="CX38" s="12">
        <v>0.3</v>
      </c>
      <c r="DB38" s="12"/>
      <c r="DC38" s="12">
        <v>0.3</v>
      </c>
      <c r="DD38" s="12"/>
      <c r="DE38" s="12">
        <v>0.3</v>
      </c>
    </row>
    <row r="39" spans="2:109" ht="15.65" hidden="1" customHeight="1" outlineLevel="1">
      <c r="B39" t="s">
        <v>29</v>
      </c>
      <c r="C39" t="s">
        <v>2</v>
      </c>
      <c r="E39" s="11"/>
      <c r="F39" t="s">
        <v>38</v>
      </c>
      <c r="G39" s="12">
        <v>0.1</v>
      </c>
      <c r="I39" s="11">
        <f t="shared" si="4"/>
        <v>2</v>
      </c>
      <c r="J39" s="13">
        <f t="shared" si="5"/>
        <v>0</v>
      </c>
      <c r="K39" s="13">
        <f t="shared" si="5"/>
        <v>0</v>
      </c>
      <c r="L39" s="11"/>
      <c r="O39" s="12"/>
      <c r="P39" s="12"/>
      <c r="Q39" s="12"/>
      <c r="R39" s="12"/>
      <c r="V39" s="12"/>
      <c r="W39" s="12"/>
      <c r="X39" s="12"/>
      <c r="Y39" s="12"/>
      <c r="AC39" s="12"/>
      <c r="AD39" s="12">
        <v>0.5</v>
      </c>
      <c r="AE39" s="12"/>
      <c r="AF39" s="12">
        <v>0.5</v>
      </c>
      <c r="AJ39" s="12"/>
      <c r="AK39" s="12">
        <v>0.8</v>
      </c>
      <c r="AL39" s="12"/>
      <c r="AM39" s="12">
        <v>0.8</v>
      </c>
      <c r="AP39">
        <v>2</v>
      </c>
      <c r="AQ39" s="12"/>
      <c r="AR39" s="12">
        <v>1</v>
      </c>
      <c r="AS39" s="12"/>
      <c r="AT39" s="12">
        <v>1</v>
      </c>
      <c r="AX39" s="12"/>
      <c r="AY39" s="12"/>
      <c r="AZ39" s="12"/>
      <c r="BA39" s="12"/>
      <c r="BE39" s="12"/>
      <c r="BF39" s="12"/>
      <c r="BG39" s="12"/>
      <c r="BH39" s="12"/>
      <c r="BL39" s="12"/>
      <c r="BM39" s="12"/>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row>
    <row r="40" spans="2:109" ht="15.65" hidden="1" customHeight="1" outlineLevel="1">
      <c r="B40" t="s">
        <v>29</v>
      </c>
      <c r="C40" t="s">
        <v>2</v>
      </c>
      <c r="E40" s="11"/>
      <c r="F40" t="s">
        <v>39</v>
      </c>
      <c r="G40" s="12">
        <v>0.1</v>
      </c>
      <c r="I40" s="11">
        <f t="shared" si="4"/>
        <v>2</v>
      </c>
      <c r="J40" s="13">
        <f t="shared" si="5"/>
        <v>0</v>
      </c>
      <c r="K40" s="13">
        <f t="shared" si="5"/>
        <v>0</v>
      </c>
      <c r="L40" s="11"/>
      <c r="O40" s="12"/>
      <c r="P40" s="12"/>
      <c r="Q40" s="12"/>
      <c r="R40" s="12"/>
      <c r="V40" s="12"/>
      <c r="W40" s="12"/>
      <c r="X40" s="12"/>
      <c r="Y40" s="12"/>
      <c r="AC40" s="12"/>
      <c r="AD40" s="12">
        <v>0.5</v>
      </c>
      <c r="AE40" s="12"/>
      <c r="AF40" s="12">
        <v>0.5</v>
      </c>
      <c r="AJ40" s="12"/>
      <c r="AK40" s="12">
        <v>0.8</v>
      </c>
      <c r="AL40" s="12"/>
      <c r="AM40" s="12">
        <v>0.8</v>
      </c>
      <c r="AP40">
        <v>2</v>
      </c>
      <c r="AQ40" s="12"/>
      <c r="AR40" s="12">
        <v>1</v>
      </c>
      <c r="AS40" s="12"/>
      <c r="AT40" s="12">
        <v>1</v>
      </c>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c r="CP40" s="12"/>
      <c r="CQ40" s="12"/>
      <c r="CU40" s="12"/>
      <c r="CV40" s="12"/>
      <c r="CW40" s="12"/>
      <c r="CX40" s="12"/>
      <c r="DB40" s="12"/>
      <c r="DC40" s="12"/>
      <c r="DD40" s="12"/>
      <c r="DE40" s="12"/>
    </row>
    <row r="41" spans="2:109" ht="15.65" hidden="1" customHeight="1" outlineLevel="1">
      <c r="B41" t="s">
        <v>29</v>
      </c>
      <c r="C41" t="s">
        <v>2</v>
      </c>
      <c r="E41" s="11"/>
      <c r="F41" t="s">
        <v>40</v>
      </c>
      <c r="G41" s="12">
        <v>0.1</v>
      </c>
      <c r="I41" s="11">
        <f t="shared" si="4"/>
        <v>4</v>
      </c>
      <c r="J41" s="13">
        <f t="shared" si="5"/>
        <v>0</v>
      </c>
      <c r="K41" s="13">
        <f t="shared" si="5"/>
        <v>0</v>
      </c>
      <c r="L41" s="11"/>
      <c r="O41" s="12"/>
      <c r="P41" s="12"/>
      <c r="Q41" s="12"/>
      <c r="R41" s="12"/>
      <c r="V41" s="12"/>
      <c r="W41" s="12"/>
      <c r="X41" s="12"/>
      <c r="Y41" s="12"/>
      <c r="AC41" s="12"/>
      <c r="AD41" s="12">
        <v>0.3</v>
      </c>
      <c r="AE41" s="12"/>
      <c r="AF41" s="12">
        <v>0.3</v>
      </c>
      <c r="AJ41" s="12"/>
      <c r="AK41" s="12">
        <v>0.5</v>
      </c>
      <c r="AL41" s="12"/>
      <c r="AM41" s="12">
        <v>0.5</v>
      </c>
      <c r="AP41">
        <v>4</v>
      </c>
      <c r="AQ41" s="12"/>
      <c r="AR41" s="12">
        <v>1</v>
      </c>
      <c r="AS41" s="12"/>
      <c r="AT41" s="12">
        <v>1</v>
      </c>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c r="CP41" s="12"/>
      <c r="CQ41" s="12"/>
      <c r="CU41" s="12"/>
      <c r="CV41" s="12"/>
      <c r="CW41" s="12"/>
      <c r="CX41" s="12"/>
      <c r="DB41" s="12"/>
      <c r="DC41" s="12"/>
      <c r="DD41" s="12"/>
      <c r="DE41" s="12"/>
    </row>
    <row r="42" spans="2:109" ht="15.65" hidden="1" customHeight="1" outlineLevel="1">
      <c r="B42" t="s">
        <v>29</v>
      </c>
      <c r="C42" t="s">
        <v>2</v>
      </c>
      <c r="E42" s="11"/>
      <c r="F42" t="s">
        <v>41</v>
      </c>
      <c r="G42" s="12">
        <v>0.1</v>
      </c>
      <c r="I42" s="11">
        <f t="shared" si="4"/>
        <v>4</v>
      </c>
      <c r="J42" s="13">
        <f t="shared" si="5"/>
        <v>0</v>
      </c>
      <c r="K42" s="13">
        <f t="shared" si="5"/>
        <v>0</v>
      </c>
      <c r="L42" s="11"/>
      <c r="O42" s="12"/>
      <c r="P42" s="12"/>
      <c r="Q42" s="12"/>
      <c r="R42" s="12"/>
      <c r="V42" s="12"/>
      <c r="W42" s="12"/>
      <c r="X42" s="12"/>
      <c r="Y42" s="12"/>
      <c r="AC42" s="12"/>
      <c r="AD42" s="12"/>
      <c r="AE42" s="12"/>
      <c r="AF42" s="12"/>
      <c r="AJ42" s="12"/>
      <c r="AK42" s="12">
        <v>0.5</v>
      </c>
      <c r="AL42" s="12"/>
      <c r="AM42" s="12">
        <v>0.5</v>
      </c>
      <c r="AP42">
        <v>4</v>
      </c>
      <c r="AQ42" s="12"/>
      <c r="AR42" s="12">
        <v>1</v>
      </c>
      <c r="AS42" s="12"/>
      <c r="AT42" s="12">
        <v>1</v>
      </c>
      <c r="AX42" s="12"/>
      <c r="AY42" s="12"/>
      <c r="AZ42" s="12"/>
      <c r="BA42" s="12"/>
      <c r="BE42" s="12"/>
      <c r="BF42" s="12"/>
      <c r="BG42" s="12"/>
      <c r="BH42" s="12"/>
      <c r="BL42" s="12"/>
      <c r="BM42" s="12"/>
      <c r="BN42" s="12"/>
      <c r="BO42" s="12"/>
      <c r="BS42" s="12"/>
      <c r="BT42" s="12"/>
      <c r="BU42" s="12"/>
      <c r="BV42" s="12"/>
      <c r="BZ42" s="12"/>
      <c r="CA42" s="12"/>
      <c r="CB42" s="12"/>
      <c r="CC42" s="12"/>
      <c r="CG42" s="12"/>
      <c r="CH42" s="12"/>
      <c r="CI42" s="12"/>
      <c r="CJ42" s="12"/>
      <c r="CN42" s="12"/>
      <c r="CO42" s="12"/>
      <c r="CP42" s="12"/>
      <c r="CQ42" s="12"/>
      <c r="CU42" s="12"/>
      <c r="CV42" s="12"/>
      <c r="CW42" s="12"/>
      <c r="CX42" s="12"/>
      <c r="DB42" s="12"/>
      <c r="DC42" s="12"/>
      <c r="DD42" s="12"/>
      <c r="DE42" s="12"/>
    </row>
    <row r="43" spans="2:109" ht="15.65" hidden="1" customHeight="1" outlineLevel="1">
      <c r="B43" t="s">
        <v>29</v>
      </c>
      <c r="C43" t="s">
        <v>2</v>
      </c>
      <c r="E43" s="11"/>
      <c r="F43" t="s">
        <v>42</v>
      </c>
      <c r="G43" s="12">
        <v>0.1</v>
      </c>
      <c r="I43" s="11">
        <f t="shared" si="4"/>
        <v>4</v>
      </c>
      <c r="J43" s="13">
        <f t="shared" si="5"/>
        <v>0</v>
      </c>
      <c r="K43" s="13">
        <f t="shared" si="5"/>
        <v>0</v>
      </c>
      <c r="L43" s="11"/>
      <c r="O43" s="12"/>
      <c r="P43" s="12"/>
      <c r="Q43" s="12"/>
      <c r="R43" s="12"/>
      <c r="V43" s="12"/>
      <c r="W43" s="12"/>
      <c r="X43" s="12"/>
      <c r="Y43" s="12"/>
      <c r="AC43" s="12"/>
      <c r="AD43" s="12"/>
      <c r="AE43" s="12"/>
      <c r="AF43" s="12"/>
      <c r="AJ43" s="12"/>
      <c r="AK43" s="12">
        <v>0.5</v>
      </c>
      <c r="AL43" s="12"/>
      <c r="AM43" s="12">
        <v>0.5</v>
      </c>
      <c r="AP43">
        <v>4</v>
      </c>
      <c r="AQ43" s="12"/>
      <c r="AR43" s="12">
        <v>1</v>
      </c>
      <c r="AS43" s="12"/>
      <c r="AT43" s="12">
        <v>1</v>
      </c>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row>
    <row r="44" spans="2:109" collapsed="1"/>
    <row r="45" spans="2:109">
      <c r="B45" t="s">
        <v>28</v>
      </c>
      <c r="C45" t="s">
        <v>133</v>
      </c>
      <c r="E45" s="11">
        <v>6</v>
      </c>
      <c r="G45" s="12">
        <f>+SUM(G46:G58)</f>
        <v>1</v>
      </c>
      <c r="I45" s="14">
        <f>+SUM(I46:I58)</f>
        <v>0</v>
      </c>
      <c r="J45" s="13">
        <f>+SUMPRODUCT(G46:G58,J46:J58)</f>
        <v>0</v>
      </c>
      <c r="K45" s="13">
        <f>+SUMPRODUCT(G46:G58,K46:K58)</f>
        <v>0</v>
      </c>
      <c r="L45" s="11"/>
      <c r="N45" s="14">
        <f>+SUM(N46:N58)</f>
        <v>0</v>
      </c>
      <c r="U45" s="14">
        <f>+SUM(U46:U58)</f>
        <v>0</v>
      </c>
      <c r="AB45" s="14">
        <f>+SUM(AB46:AB58)</f>
        <v>0</v>
      </c>
      <c r="AI45" s="14">
        <f>+SUM(AI46:AI58)</f>
        <v>0</v>
      </c>
      <c r="AP45" s="14">
        <f>+SUM(AP46:AP58)</f>
        <v>0</v>
      </c>
      <c r="AW45" s="14">
        <f>+SUM(AW46:AW58)</f>
        <v>0</v>
      </c>
      <c r="BD45" s="14">
        <f>+SUM(BD46:BD58)</f>
        <v>0</v>
      </c>
      <c r="BK45" s="14">
        <v>0</v>
      </c>
      <c r="BR45" s="14">
        <v>0</v>
      </c>
      <c r="BY45" s="14">
        <v>0</v>
      </c>
      <c r="CF45" s="14">
        <v>0</v>
      </c>
      <c r="CM45" s="14">
        <v>0</v>
      </c>
      <c r="CT45" s="14">
        <v>0</v>
      </c>
      <c r="DA45" s="14">
        <v>0</v>
      </c>
    </row>
    <row r="46" spans="2:109" outlineLevel="1">
      <c r="B46" t="s">
        <v>29</v>
      </c>
      <c r="C46" t="s">
        <v>2</v>
      </c>
      <c r="E46" s="11"/>
      <c r="F46" t="s">
        <v>91</v>
      </c>
      <c r="G46" s="12">
        <v>0.05</v>
      </c>
      <c r="I46" s="11">
        <f t="shared" ref="I46:I57" si="6">+SUMIF($N$3:$ZT$3,I$3,$N46:$ZT46)</f>
        <v>0</v>
      </c>
      <c r="J46" s="13">
        <f t="shared" ref="J46:K56" si="7">+_xlfn.MAXIFS($N46:$YZ46,$N$3:$YZ$3,J$3)</f>
        <v>0</v>
      </c>
      <c r="K46" s="13">
        <f t="shared" si="7"/>
        <v>0</v>
      </c>
      <c r="L46" s="11"/>
      <c r="O46" s="12"/>
      <c r="P46" s="12">
        <v>0.5</v>
      </c>
      <c r="Q46" s="12"/>
      <c r="R46" s="12"/>
      <c r="V46" s="12"/>
      <c r="W46" s="12">
        <v>0.5</v>
      </c>
      <c r="X46" s="12"/>
      <c r="Y46" s="12"/>
      <c r="AC46" s="12"/>
      <c r="AD46" s="12">
        <v>0.8</v>
      </c>
      <c r="AE46" s="12"/>
      <c r="AF46" s="12"/>
      <c r="AJ46" s="12"/>
      <c r="AK46" s="12">
        <v>0.8</v>
      </c>
      <c r="AL46" s="12"/>
      <c r="AM46" s="12"/>
      <c r="AQ46" s="12"/>
      <c r="AR46" s="12">
        <v>0.8</v>
      </c>
      <c r="AS46" s="12"/>
      <c r="AT46" s="12">
        <v>1</v>
      </c>
      <c r="AX46" s="12"/>
      <c r="AY46" s="12">
        <v>0.8</v>
      </c>
      <c r="AZ46" s="12"/>
      <c r="BA46" s="12"/>
      <c r="BE46" s="12"/>
      <c r="BF46" s="12">
        <v>0.8</v>
      </c>
      <c r="BG46" s="12"/>
      <c r="BH46" s="12"/>
      <c r="BL46" s="12"/>
      <c r="BM46" s="12">
        <v>0.8</v>
      </c>
      <c r="BN46" s="12"/>
      <c r="BO46" s="12"/>
      <c r="BS46" s="12"/>
      <c r="BT46" s="12">
        <v>0.8</v>
      </c>
      <c r="BU46" s="12"/>
      <c r="BV46" s="12"/>
      <c r="BZ46" s="12"/>
      <c r="CA46" s="12">
        <v>1</v>
      </c>
      <c r="CB46" s="12"/>
      <c r="CC46" s="12"/>
      <c r="CG46" s="12"/>
      <c r="CH46" s="12">
        <v>1</v>
      </c>
      <c r="CI46" s="12"/>
      <c r="CJ46" s="12"/>
      <c r="CN46" s="12"/>
      <c r="CO46" s="12">
        <v>1</v>
      </c>
      <c r="CP46" s="12"/>
      <c r="CQ46" s="12"/>
      <c r="CU46" s="12"/>
      <c r="CV46" s="12">
        <v>1</v>
      </c>
      <c r="CW46" s="12"/>
      <c r="CX46" s="12"/>
      <c r="DB46" s="12"/>
      <c r="DC46" s="12">
        <v>1</v>
      </c>
      <c r="DD46" s="12"/>
      <c r="DE46" s="12">
        <v>1</v>
      </c>
    </row>
    <row r="47" spans="2:109" outlineLevel="1">
      <c r="B47" t="s">
        <v>29</v>
      </c>
      <c r="C47" t="s">
        <v>2</v>
      </c>
      <c r="E47" s="11"/>
      <c r="F47" t="s">
        <v>92</v>
      </c>
      <c r="G47" s="12">
        <v>0.05</v>
      </c>
      <c r="I47" s="11">
        <f t="shared" si="6"/>
        <v>0</v>
      </c>
      <c r="J47" s="13">
        <f t="shared" si="7"/>
        <v>0</v>
      </c>
      <c r="K47" s="13">
        <f t="shared" si="7"/>
        <v>0</v>
      </c>
      <c r="L47" s="11"/>
      <c r="O47" s="12"/>
      <c r="P47" s="12">
        <v>0.5</v>
      </c>
      <c r="Q47" s="12"/>
      <c r="R47" s="12"/>
      <c r="V47" s="12"/>
      <c r="W47" s="12">
        <v>0.5</v>
      </c>
      <c r="X47" s="12"/>
      <c r="Y47" s="12"/>
      <c r="AC47" s="12"/>
      <c r="AD47" s="12">
        <v>0.5</v>
      </c>
      <c r="AE47" s="12"/>
      <c r="AF47" s="12"/>
      <c r="AJ47" s="12"/>
      <c r="AK47" s="12">
        <v>0.8</v>
      </c>
      <c r="AL47" s="12"/>
      <c r="AM47" s="12"/>
      <c r="AQ47" s="12"/>
      <c r="AR47" s="12">
        <v>0.8</v>
      </c>
      <c r="AS47" s="12"/>
      <c r="AT47" s="12">
        <v>1</v>
      </c>
      <c r="AX47" s="12"/>
      <c r="AY47" s="12">
        <v>0.8</v>
      </c>
      <c r="AZ47" s="12"/>
      <c r="BA47" s="12"/>
      <c r="BE47" s="12"/>
      <c r="BF47" s="12">
        <v>0.8</v>
      </c>
      <c r="BG47" s="12"/>
      <c r="BH47" s="12"/>
      <c r="BL47" s="12"/>
      <c r="BM47" s="12">
        <v>0.8</v>
      </c>
      <c r="BN47" s="12"/>
      <c r="BO47" s="12"/>
      <c r="BS47" s="12"/>
      <c r="BT47" s="12">
        <v>0.8</v>
      </c>
      <c r="BU47" s="12"/>
      <c r="BV47" s="12"/>
      <c r="BZ47" s="12"/>
      <c r="CA47" s="12">
        <v>0.8</v>
      </c>
      <c r="CB47" s="12"/>
      <c r="CC47" s="12"/>
      <c r="CG47" s="12"/>
      <c r="CH47" s="12">
        <v>1</v>
      </c>
      <c r="CI47" s="12"/>
      <c r="CJ47" s="12"/>
      <c r="CN47" s="12"/>
      <c r="CO47" s="12">
        <v>1</v>
      </c>
      <c r="CP47" s="12"/>
      <c r="CQ47" s="12"/>
      <c r="CU47" s="12"/>
      <c r="CV47" s="12">
        <v>1</v>
      </c>
      <c r="CW47" s="12"/>
      <c r="CX47" s="12"/>
      <c r="DB47" s="12"/>
      <c r="DC47" s="12">
        <v>1</v>
      </c>
      <c r="DD47" s="12"/>
      <c r="DE47" s="12">
        <v>1</v>
      </c>
    </row>
    <row r="48" spans="2:109" outlineLevel="1">
      <c r="B48" t="s">
        <v>29</v>
      </c>
      <c r="C48" t="s">
        <v>2</v>
      </c>
      <c r="E48" s="11"/>
      <c r="F48" t="s">
        <v>128</v>
      </c>
      <c r="G48" s="12">
        <v>0.15</v>
      </c>
      <c r="I48" s="11">
        <f t="shared" si="6"/>
        <v>0</v>
      </c>
      <c r="J48" s="13">
        <f t="shared" si="7"/>
        <v>0</v>
      </c>
      <c r="K48" s="13">
        <f t="shared" si="7"/>
        <v>0</v>
      </c>
      <c r="L48" s="11"/>
      <c r="O48" s="12"/>
      <c r="P48" s="12">
        <v>0.5</v>
      </c>
      <c r="Q48" s="12"/>
      <c r="R48" s="12"/>
      <c r="V48" s="12"/>
      <c r="W48" s="12">
        <v>0.5</v>
      </c>
      <c r="X48" s="12"/>
      <c r="Y48" s="12"/>
      <c r="AC48" s="12"/>
      <c r="AD48" s="12">
        <v>0.5</v>
      </c>
      <c r="AE48" s="12"/>
      <c r="AF48" s="12"/>
      <c r="AJ48" s="12"/>
      <c r="AK48" s="12">
        <v>0.5</v>
      </c>
      <c r="AL48" s="12"/>
      <c r="AM48" s="12"/>
      <c r="AQ48" s="12"/>
      <c r="AR48" s="12">
        <v>0.8</v>
      </c>
      <c r="AS48" s="12"/>
      <c r="AT48" s="12">
        <v>1</v>
      </c>
      <c r="AX48" s="12"/>
      <c r="AY48" s="12">
        <v>0.8</v>
      </c>
      <c r="AZ48" s="12"/>
      <c r="BA48" s="12"/>
      <c r="BE48" s="12"/>
      <c r="BF48" s="12">
        <v>0.8</v>
      </c>
      <c r="BG48" s="12"/>
      <c r="BH48" s="12"/>
      <c r="BL48" s="12"/>
      <c r="BM48" s="12">
        <v>0.8</v>
      </c>
      <c r="BN48" s="12"/>
      <c r="BO48" s="12"/>
      <c r="BS48" s="12"/>
      <c r="BT48" s="12">
        <v>0.8</v>
      </c>
      <c r="BU48" s="12"/>
      <c r="BV48" s="12"/>
      <c r="BZ48" s="12"/>
      <c r="CA48" s="12">
        <v>0.8</v>
      </c>
      <c r="CB48" s="12"/>
      <c r="CC48" s="12"/>
      <c r="CG48" s="12"/>
      <c r="CH48" s="12">
        <v>0.8</v>
      </c>
      <c r="CI48" s="12"/>
      <c r="CJ48" s="12"/>
      <c r="CN48" s="12"/>
      <c r="CO48" s="12">
        <v>1</v>
      </c>
      <c r="CP48" s="12"/>
      <c r="CQ48" s="12"/>
      <c r="CU48" s="12"/>
      <c r="CV48" s="12">
        <v>1</v>
      </c>
      <c r="CW48" s="12"/>
      <c r="CX48" s="12"/>
      <c r="DB48" s="12"/>
      <c r="DC48" s="12">
        <v>1</v>
      </c>
      <c r="DD48" s="12"/>
      <c r="DE48" s="12">
        <v>1</v>
      </c>
    </row>
    <row r="49" spans="2:109" outlineLevel="1">
      <c r="B49" t="s">
        <v>29</v>
      </c>
      <c r="C49" t="s">
        <v>2</v>
      </c>
      <c r="E49" s="11"/>
      <c r="F49" t="s">
        <v>93</v>
      </c>
      <c r="G49" s="12">
        <v>0.05</v>
      </c>
      <c r="I49" s="11">
        <f t="shared" si="6"/>
        <v>0</v>
      </c>
      <c r="J49" s="13">
        <f t="shared" si="7"/>
        <v>0</v>
      </c>
      <c r="K49" s="13">
        <f t="shared" si="7"/>
        <v>0</v>
      </c>
      <c r="L49" s="11"/>
      <c r="O49" s="12"/>
      <c r="P49" s="12"/>
      <c r="Q49" s="12"/>
      <c r="R49" s="12"/>
      <c r="V49" s="12"/>
      <c r="W49" s="12">
        <v>0.5</v>
      </c>
      <c r="X49" s="12"/>
      <c r="Y49" s="12"/>
      <c r="AC49" s="12"/>
      <c r="AD49" s="12">
        <v>0.5</v>
      </c>
      <c r="AE49" s="12"/>
      <c r="AF49" s="12"/>
      <c r="AJ49" s="12"/>
      <c r="AK49" s="12">
        <v>0.5</v>
      </c>
      <c r="AL49" s="12"/>
      <c r="AM49" s="12"/>
      <c r="AQ49" s="12"/>
      <c r="AR49" s="12">
        <v>0.8</v>
      </c>
      <c r="AS49" s="12"/>
      <c r="AT49" s="12">
        <v>1</v>
      </c>
      <c r="AX49" s="12"/>
      <c r="AY49" s="12">
        <v>0.8</v>
      </c>
      <c r="AZ49" s="12"/>
      <c r="BA49" s="12"/>
      <c r="BE49" s="12"/>
      <c r="BF49" s="12">
        <v>0.8</v>
      </c>
      <c r="BG49" s="12"/>
      <c r="BH49" s="12"/>
      <c r="BL49" s="12"/>
      <c r="BM49" s="12">
        <v>0.8</v>
      </c>
      <c r="BN49" s="12"/>
      <c r="BO49" s="12"/>
      <c r="BS49" s="12"/>
      <c r="BT49" s="12">
        <v>0.8</v>
      </c>
      <c r="BU49" s="12"/>
      <c r="BV49" s="12"/>
      <c r="BZ49" s="12"/>
      <c r="CA49" s="12">
        <v>0.8</v>
      </c>
      <c r="CB49" s="12"/>
      <c r="CC49" s="12"/>
      <c r="CG49" s="12"/>
      <c r="CH49" s="12">
        <v>0.8</v>
      </c>
      <c r="CI49" s="12"/>
      <c r="CJ49" s="12"/>
      <c r="CN49" s="12"/>
      <c r="CO49" s="12">
        <v>1</v>
      </c>
      <c r="CP49" s="12"/>
      <c r="CQ49" s="12"/>
      <c r="CU49" s="12"/>
      <c r="CV49" s="12">
        <v>1</v>
      </c>
      <c r="CW49" s="12"/>
      <c r="CX49" s="12"/>
      <c r="DB49" s="12"/>
      <c r="DC49" s="12">
        <v>1</v>
      </c>
      <c r="DD49" s="12"/>
      <c r="DE49" s="12">
        <v>1</v>
      </c>
    </row>
    <row r="50" spans="2:109" outlineLevel="1">
      <c r="B50" t="s">
        <v>29</v>
      </c>
      <c r="C50" t="s">
        <v>2</v>
      </c>
      <c r="E50" s="11"/>
      <c r="F50" t="s">
        <v>94</v>
      </c>
      <c r="G50" s="12">
        <v>0.05</v>
      </c>
      <c r="I50" s="11">
        <f t="shared" si="6"/>
        <v>0</v>
      </c>
      <c r="J50" s="13">
        <f t="shared" si="7"/>
        <v>0</v>
      </c>
      <c r="K50" s="13">
        <f t="shared" si="7"/>
        <v>0</v>
      </c>
      <c r="L50" s="11"/>
      <c r="O50" s="12"/>
      <c r="P50" s="12"/>
      <c r="Q50" s="12"/>
      <c r="R50" s="12"/>
      <c r="V50" s="12"/>
      <c r="W50" s="12">
        <v>0.5</v>
      </c>
      <c r="X50" s="12"/>
      <c r="Y50" s="12"/>
      <c r="AC50" s="12"/>
      <c r="AD50" s="12">
        <v>0.5</v>
      </c>
      <c r="AE50" s="12"/>
      <c r="AF50" s="12"/>
      <c r="AJ50" s="12"/>
      <c r="AK50" s="12">
        <v>0.5</v>
      </c>
      <c r="AL50" s="12"/>
      <c r="AM50" s="12"/>
      <c r="AQ50" s="12"/>
      <c r="AR50" s="12">
        <v>0.5</v>
      </c>
      <c r="AS50" s="12"/>
      <c r="AT50" s="12">
        <v>1</v>
      </c>
      <c r="AX50" s="12"/>
      <c r="AY50" s="12">
        <v>0.5</v>
      </c>
      <c r="AZ50" s="12"/>
      <c r="BA50" s="12"/>
      <c r="BE50" s="12"/>
      <c r="BF50" s="12">
        <v>0.8</v>
      </c>
      <c r="BG50" s="12"/>
      <c r="BH50" s="12"/>
      <c r="BL50" s="12"/>
      <c r="BM50" s="12">
        <v>0.8</v>
      </c>
      <c r="BN50" s="12"/>
      <c r="BO50" s="12"/>
      <c r="BS50" s="12"/>
      <c r="BT50" s="12">
        <v>0.8</v>
      </c>
      <c r="BU50" s="12"/>
      <c r="BV50" s="12"/>
      <c r="BZ50" s="12"/>
      <c r="CA50" s="12">
        <v>0.8</v>
      </c>
      <c r="CB50" s="12"/>
      <c r="CC50" s="12"/>
      <c r="CG50" s="12"/>
      <c r="CH50" s="12">
        <v>0.8</v>
      </c>
      <c r="CI50" s="12"/>
      <c r="CJ50" s="12"/>
      <c r="CN50" s="12"/>
      <c r="CO50" s="12">
        <v>1</v>
      </c>
      <c r="CP50" s="12"/>
      <c r="CQ50" s="12"/>
      <c r="CU50" s="12"/>
      <c r="CV50" s="12">
        <v>1</v>
      </c>
      <c r="CW50" s="12"/>
      <c r="CX50" s="12"/>
      <c r="DB50" s="12"/>
      <c r="DC50" s="12">
        <v>1</v>
      </c>
      <c r="DD50" s="12"/>
      <c r="DE50" s="12">
        <v>1</v>
      </c>
    </row>
    <row r="51" spans="2:109" outlineLevel="1">
      <c r="B51" t="s">
        <v>29</v>
      </c>
      <c r="C51" t="s">
        <v>2</v>
      </c>
      <c r="E51" s="11"/>
      <c r="F51" t="s">
        <v>96</v>
      </c>
      <c r="G51" s="12">
        <v>0.05</v>
      </c>
      <c r="I51" s="11">
        <f t="shared" si="6"/>
        <v>0</v>
      </c>
      <c r="J51" s="13">
        <f t="shared" si="7"/>
        <v>0</v>
      </c>
      <c r="K51" s="13">
        <f t="shared" si="7"/>
        <v>0</v>
      </c>
      <c r="L51" s="11"/>
      <c r="O51" s="12"/>
      <c r="P51" s="12"/>
      <c r="Q51" s="12"/>
      <c r="R51" s="12"/>
      <c r="V51" s="12"/>
      <c r="W51" s="12">
        <v>0.5</v>
      </c>
      <c r="X51" s="12"/>
      <c r="Y51" s="12"/>
      <c r="AC51" s="12"/>
      <c r="AD51" s="12">
        <v>0.5</v>
      </c>
      <c r="AE51" s="12"/>
      <c r="AF51" s="12"/>
      <c r="AJ51" s="12"/>
      <c r="AK51" s="12">
        <v>0.5</v>
      </c>
      <c r="AL51" s="12"/>
      <c r="AM51" s="12"/>
      <c r="AQ51" s="12"/>
      <c r="AR51" s="12">
        <v>0.5</v>
      </c>
      <c r="AS51" s="12"/>
      <c r="AT51" s="12">
        <v>1</v>
      </c>
      <c r="AX51" s="12"/>
      <c r="AY51" s="12">
        <v>0.5</v>
      </c>
      <c r="AZ51" s="12"/>
      <c r="BA51" s="12"/>
      <c r="BE51" s="12"/>
      <c r="BF51" s="12">
        <v>0.8</v>
      </c>
      <c r="BG51" s="12"/>
      <c r="BH51" s="12"/>
      <c r="BL51" s="12"/>
      <c r="BM51" s="12">
        <v>0.8</v>
      </c>
      <c r="BN51" s="12"/>
      <c r="BO51" s="12"/>
      <c r="BS51" s="12"/>
      <c r="BT51" s="12">
        <v>0.8</v>
      </c>
      <c r="BU51" s="12"/>
      <c r="BV51" s="12"/>
      <c r="BZ51" s="12"/>
      <c r="CA51" s="12">
        <v>0.8</v>
      </c>
      <c r="CB51" s="12"/>
      <c r="CC51" s="12"/>
      <c r="CG51" s="12"/>
      <c r="CH51" s="12">
        <v>0.8</v>
      </c>
      <c r="CI51" s="12"/>
      <c r="CJ51" s="12"/>
      <c r="CN51" s="12"/>
      <c r="CO51" s="12">
        <v>0.8</v>
      </c>
      <c r="CP51" s="12"/>
      <c r="CQ51" s="12"/>
      <c r="CU51" s="12"/>
      <c r="CV51" s="12">
        <v>1</v>
      </c>
      <c r="CW51" s="12"/>
      <c r="CX51" s="12"/>
      <c r="DB51" s="12"/>
      <c r="DC51" s="12">
        <v>1</v>
      </c>
      <c r="DD51" s="12"/>
      <c r="DE51" s="12">
        <v>1</v>
      </c>
    </row>
    <row r="52" spans="2:109" outlineLevel="1">
      <c r="B52" t="s">
        <v>29</v>
      </c>
      <c r="C52" t="s">
        <v>2</v>
      </c>
      <c r="E52" s="11"/>
      <c r="F52" t="s">
        <v>95</v>
      </c>
      <c r="G52" s="12">
        <v>0.05</v>
      </c>
      <c r="I52" s="11">
        <f t="shared" si="6"/>
        <v>0</v>
      </c>
      <c r="J52" s="13">
        <f t="shared" si="7"/>
        <v>0</v>
      </c>
      <c r="K52" s="13">
        <f t="shared" si="7"/>
        <v>0</v>
      </c>
      <c r="L52" s="11"/>
      <c r="O52" s="12"/>
      <c r="P52" s="12"/>
      <c r="Q52" s="12"/>
      <c r="R52" s="12"/>
      <c r="V52" s="12"/>
      <c r="W52" s="12"/>
      <c r="X52" s="12"/>
      <c r="Y52" s="12"/>
      <c r="AC52" s="12"/>
      <c r="AD52" s="12">
        <v>0.5</v>
      </c>
      <c r="AE52" s="12"/>
      <c r="AF52" s="12"/>
      <c r="AJ52" s="12"/>
      <c r="AK52" s="12">
        <v>0.5</v>
      </c>
      <c r="AL52" s="12"/>
      <c r="AM52" s="12"/>
      <c r="AQ52" s="12"/>
      <c r="AR52" s="12">
        <v>0.5</v>
      </c>
      <c r="AS52" s="12"/>
      <c r="AT52" s="12">
        <v>1</v>
      </c>
      <c r="AX52" s="12"/>
      <c r="AY52" s="12">
        <v>0.5</v>
      </c>
      <c r="AZ52" s="12"/>
      <c r="BA52" s="12"/>
      <c r="BE52" s="12"/>
      <c r="BF52" s="12">
        <v>0.8</v>
      </c>
      <c r="BG52" s="12"/>
      <c r="BH52" s="12"/>
      <c r="BL52" s="12"/>
      <c r="BM52" s="12">
        <v>0.8</v>
      </c>
      <c r="BN52" s="12"/>
      <c r="BO52" s="12"/>
      <c r="BS52" s="12"/>
      <c r="BT52" s="12">
        <v>0.8</v>
      </c>
      <c r="BU52" s="12"/>
      <c r="BV52" s="12"/>
      <c r="BZ52" s="12"/>
      <c r="CA52" s="12">
        <v>0.8</v>
      </c>
      <c r="CB52" s="12"/>
      <c r="CC52" s="12"/>
      <c r="CG52" s="12"/>
      <c r="CH52" s="12">
        <v>0.8</v>
      </c>
      <c r="CI52" s="12"/>
      <c r="CJ52" s="12"/>
      <c r="CN52" s="12"/>
      <c r="CO52" s="12">
        <v>0.8</v>
      </c>
      <c r="CP52" s="12"/>
      <c r="CQ52" s="12"/>
      <c r="CU52" s="12"/>
      <c r="CV52" s="12">
        <v>1</v>
      </c>
      <c r="CW52" s="12"/>
      <c r="CX52" s="12"/>
      <c r="DB52" s="12"/>
      <c r="DC52" s="12">
        <v>1</v>
      </c>
      <c r="DD52" s="12"/>
      <c r="DE52" s="12">
        <v>1</v>
      </c>
    </row>
    <row r="53" spans="2:109" outlineLevel="1">
      <c r="B53" t="s">
        <v>29</v>
      </c>
      <c r="C53" t="s">
        <v>2</v>
      </c>
      <c r="E53" s="11"/>
      <c r="F53" t="s">
        <v>129</v>
      </c>
      <c r="G53" s="12">
        <v>0.15</v>
      </c>
      <c r="I53" s="11">
        <f t="shared" si="6"/>
        <v>0</v>
      </c>
      <c r="J53" s="13">
        <f t="shared" si="7"/>
        <v>0</v>
      </c>
      <c r="K53" s="13">
        <f t="shared" si="7"/>
        <v>0</v>
      </c>
      <c r="L53" s="11"/>
      <c r="O53" s="12"/>
      <c r="P53" s="12"/>
      <c r="Q53" s="12"/>
      <c r="R53" s="12"/>
      <c r="V53" s="12"/>
      <c r="W53" s="12"/>
      <c r="X53" s="12"/>
      <c r="Y53" s="12"/>
      <c r="AC53" s="12"/>
      <c r="AD53" s="12"/>
      <c r="AE53" s="12"/>
      <c r="AF53" s="12"/>
      <c r="AJ53" s="12"/>
      <c r="AK53" s="12">
        <v>0.5</v>
      </c>
      <c r="AL53" s="12"/>
      <c r="AM53" s="12"/>
      <c r="AQ53" s="12"/>
      <c r="AR53" s="12">
        <v>0.5</v>
      </c>
      <c r="AS53" s="12"/>
      <c r="AT53" s="12">
        <v>1</v>
      </c>
      <c r="AX53" s="12"/>
      <c r="AY53" s="12">
        <v>0.5</v>
      </c>
      <c r="AZ53" s="12"/>
      <c r="BA53" s="12"/>
      <c r="BE53" s="12"/>
      <c r="BF53" s="12">
        <v>0.5</v>
      </c>
      <c r="BG53" s="12"/>
      <c r="BH53" s="12"/>
      <c r="BL53" s="12"/>
      <c r="BM53" s="12">
        <v>0.5</v>
      </c>
      <c r="BN53" s="12"/>
      <c r="BO53" s="12"/>
      <c r="BS53" s="12"/>
      <c r="BT53" s="12">
        <v>0.5</v>
      </c>
      <c r="BU53" s="12"/>
      <c r="BV53" s="12"/>
      <c r="BZ53" s="12"/>
      <c r="CA53" s="12">
        <v>0.8</v>
      </c>
      <c r="CB53" s="12"/>
      <c r="CC53" s="12"/>
      <c r="CG53" s="12"/>
      <c r="CH53" s="12">
        <v>0.8</v>
      </c>
      <c r="CI53" s="12"/>
      <c r="CJ53" s="12"/>
      <c r="CN53" s="12"/>
      <c r="CO53" s="12">
        <v>0.8</v>
      </c>
      <c r="CP53" s="12"/>
      <c r="CQ53" s="12"/>
      <c r="CU53" s="12"/>
      <c r="CV53" s="12">
        <v>1</v>
      </c>
      <c r="CW53" s="12"/>
      <c r="CX53" s="12"/>
      <c r="DB53" s="12"/>
      <c r="DC53" s="12">
        <v>1</v>
      </c>
      <c r="DD53" s="12"/>
      <c r="DE53" s="12">
        <v>1</v>
      </c>
    </row>
    <row r="54" spans="2:109" outlineLevel="1">
      <c r="B54" t="s">
        <v>29</v>
      </c>
      <c r="C54" t="s">
        <v>2</v>
      </c>
      <c r="E54" s="11"/>
      <c r="F54" t="s">
        <v>97</v>
      </c>
      <c r="G54" s="12">
        <v>0.1</v>
      </c>
      <c r="I54" s="11">
        <f t="shared" si="6"/>
        <v>0</v>
      </c>
      <c r="J54" s="13">
        <f t="shared" si="7"/>
        <v>0</v>
      </c>
      <c r="K54" s="13">
        <f t="shared" si="7"/>
        <v>0</v>
      </c>
      <c r="L54" s="11"/>
      <c r="O54" s="12"/>
      <c r="P54" s="12"/>
      <c r="Q54" s="12"/>
      <c r="R54" s="12"/>
      <c r="V54" s="12"/>
      <c r="W54" s="12"/>
      <c r="X54" s="12"/>
      <c r="Y54" s="12"/>
      <c r="AC54" s="12"/>
      <c r="AD54" s="12"/>
      <c r="AE54" s="12"/>
      <c r="AF54" s="12"/>
      <c r="AJ54" s="12"/>
      <c r="AK54" s="12">
        <v>0.5</v>
      </c>
      <c r="AL54" s="12"/>
      <c r="AM54" s="12"/>
      <c r="AQ54" s="12"/>
      <c r="AR54" s="12">
        <v>0.5</v>
      </c>
      <c r="AS54" s="12"/>
      <c r="AT54" s="12">
        <v>1</v>
      </c>
      <c r="AX54" s="12"/>
      <c r="AY54" s="12">
        <v>0.5</v>
      </c>
      <c r="AZ54" s="12"/>
      <c r="BA54" s="12"/>
      <c r="BE54" s="12"/>
      <c r="BF54" s="12">
        <v>0.5</v>
      </c>
      <c r="BG54" s="12"/>
      <c r="BH54" s="12"/>
      <c r="BL54" s="12"/>
      <c r="BM54" s="12">
        <v>0.5</v>
      </c>
      <c r="BN54" s="12"/>
      <c r="BO54" s="12"/>
      <c r="BS54" s="12"/>
      <c r="BT54" s="12">
        <v>0.5</v>
      </c>
      <c r="BU54" s="12"/>
      <c r="BV54" s="12"/>
      <c r="BZ54" s="12"/>
      <c r="CA54" s="12">
        <v>0.5</v>
      </c>
      <c r="CB54" s="12"/>
      <c r="CC54" s="12"/>
      <c r="CG54" s="12"/>
      <c r="CH54" s="12">
        <v>0.8</v>
      </c>
      <c r="CI54" s="12"/>
      <c r="CJ54" s="12"/>
      <c r="CN54" s="12"/>
      <c r="CO54" s="12">
        <v>0.8</v>
      </c>
      <c r="CP54" s="12"/>
      <c r="CQ54" s="12"/>
      <c r="CU54" s="12"/>
      <c r="CV54" s="12">
        <v>1</v>
      </c>
      <c r="CW54" s="12"/>
      <c r="CX54" s="12"/>
      <c r="DB54" s="12"/>
      <c r="DC54" s="12">
        <v>1</v>
      </c>
      <c r="DD54" s="12"/>
      <c r="DE54" s="12">
        <v>1</v>
      </c>
    </row>
    <row r="55" spans="2:109" outlineLevel="1">
      <c r="B55" t="s">
        <v>29</v>
      </c>
      <c r="C55" t="s">
        <v>2</v>
      </c>
      <c r="E55" s="11"/>
      <c r="F55" t="s">
        <v>98</v>
      </c>
      <c r="G55" s="12">
        <v>0.05</v>
      </c>
      <c r="I55" s="11">
        <f t="shared" si="6"/>
        <v>0</v>
      </c>
      <c r="J55" s="13">
        <f t="shared" si="7"/>
        <v>0</v>
      </c>
      <c r="K55" s="13">
        <f t="shared" si="7"/>
        <v>0</v>
      </c>
      <c r="L55" s="11"/>
      <c r="O55" s="12"/>
      <c r="P55" s="12"/>
      <c r="Q55" s="12"/>
      <c r="R55" s="12"/>
      <c r="V55" s="12"/>
      <c r="W55" s="12"/>
      <c r="X55" s="12"/>
      <c r="Y55" s="12"/>
      <c r="AC55" s="12"/>
      <c r="AD55" s="12"/>
      <c r="AE55" s="12"/>
      <c r="AF55" s="12"/>
      <c r="AJ55" s="12"/>
      <c r="AK55" s="12"/>
      <c r="AL55" s="12"/>
      <c r="AM55" s="12"/>
      <c r="AQ55" s="12"/>
      <c r="AR55" s="12">
        <v>0.5</v>
      </c>
      <c r="AS55" s="12"/>
      <c r="AT55" s="12">
        <v>1</v>
      </c>
      <c r="AX55" s="12"/>
      <c r="AY55" s="12">
        <v>0.5</v>
      </c>
      <c r="AZ55" s="12"/>
      <c r="BA55" s="12"/>
      <c r="BE55" s="12"/>
      <c r="BF55" s="12">
        <v>0.5</v>
      </c>
      <c r="BG55" s="12"/>
      <c r="BH55" s="12"/>
      <c r="BL55" s="12"/>
      <c r="BM55" s="12">
        <v>0.5</v>
      </c>
      <c r="BN55" s="12"/>
      <c r="BO55" s="12"/>
      <c r="BS55" s="12"/>
      <c r="BT55" s="12">
        <v>0.5</v>
      </c>
      <c r="BU55" s="12"/>
      <c r="BV55" s="12"/>
      <c r="BZ55" s="12"/>
      <c r="CA55" s="12">
        <v>0.5</v>
      </c>
      <c r="CB55" s="12"/>
      <c r="CC55" s="12"/>
      <c r="CG55" s="12"/>
      <c r="CH55" s="12">
        <v>0.8</v>
      </c>
      <c r="CI55" s="12"/>
      <c r="CJ55" s="12"/>
      <c r="CN55" s="12"/>
      <c r="CO55" s="12">
        <v>0.8</v>
      </c>
      <c r="CP55" s="12"/>
      <c r="CQ55" s="12"/>
      <c r="CU55" s="12"/>
      <c r="CV55" s="12">
        <v>0.8</v>
      </c>
      <c r="CW55" s="12"/>
      <c r="CX55" s="12"/>
      <c r="DB55" s="12"/>
      <c r="DC55" s="12">
        <v>1</v>
      </c>
      <c r="DD55" s="12"/>
      <c r="DE55" s="12">
        <v>1</v>
      </c>
    </row>
    <row r="56" spans="2:109" outlineLevel="1">
      <c r="B56" t="s">
        <v>29</v>
      </c>
      <c r="C56" t="s">
        <v>2</v>
      </c>
      <c r="E56" s="11"/>
      <c r="F56" t="s">
        <v>130</v>
      </c>
      <c r="G56" s="12">
        <v>0.15</v>
      </c>
      <c r="I56" s="11">
        <f t="shared" si="6"/>
        <v>0</v>
      </c>
      <c r="J56" s="13">
        <f t="shared" si="7"/>
        <v>0</v>
      </c>
      <c r="K56" s="13">
        <f t="shared" si="7"/>
        <v>0</v>
      </c>
      <c r="L56" s="11"/>
      <c r="O56" s="12"/>
      <c r="P56" s="12"/>
      <c r="Q56" s="12"/>
      <c r="R56" s="12"/>
      <c r="V56" s="12"/>
      <c r="W56" s="12"/>
      <c r="X56" s="12"/>
      <c r="Y56" s="12"/>
      <c r="AC56" s="12"/>
      <c r="AD56" s="12"/>
      <c r="AE56" s="12"/>
      <c r="AF56" s="12"/>
      <c r="AJ56" s="12"/>
      <c r="AK56" s="12"/>
      <c r="AL56" s="12"/>
      <c r="AM56" s="12"/>
      <c r="AQ56" s="12"/>
      <c r="AR56" s="12"/>
      <c r="AS56" s="12"/>
      <c r="AT56" s="12"/>
      <c r="AX56" s="12"/>
      <c r="AY56" s="12">
        <v>0.5</v>
      </c>
      <c r="AZ56" s="12"/>
      <c r="BA56" s="12"/>
      <c r="BE56" s="12"/>
      <c r="BF56" s="12">
        <v>0.5</v>
      </c>
      <c r="BG56" s="12"/>
      <c r="BH56" s="12"/>
      <c r="BL56" s="12"/>
      <c r="BM56" s="12">
        <v>0.5</v>
      </c>
      <c r="BN56" s="12"/>
      <c r="BO56" s="12"/>
      <c r="BS56" s="12"/>
      <c r="BT56" s="12">
        <v>0.5</v>
      </c>
      <c r="BU56" s="12"/>
      <c r="BV56" s="12"/>
      <c r="BZ56" s="12"/>
      <c r="CA56" s="12">
        <v>0.5</v>
      </c>
      <c r="CB56" s="12"/>
      <c r="CC56" s="12"/>
      <c r="CG56" s="12"/>
      <c r="CH56" s="12">
        <v>0.8</v>
      </c>
      <c r="CI56" s="12"/>
      <c r="CJ56" s="12"/>
      <c r="CN56" s="12"/>
      <c r="CO56" s="12">
        <v>0.8</v>
      </c>
      <c r="CP56" s="12"/>
      <c r="CQ56" s="12"/>
      <c r="CU56" s="12"/>
      <c r="CV56" s="12">
        <v>0.8</v>
      </c>
      <c r="CW56" s="12"/>
      <c r="CX56" s="12"/>
      <c r="DB56" s="12"/>
      <c r="DC56" s="12">
        <v>1</v>
      </c>
      <c r="DD56" s="12"/>
      <c r="DE56" s="12">
        <v>1</v>
      </c>
    </row>
    <row r="57" spans="2:109" outlineLevel="1">
      <c r="B57" t="s">
        <v>29</v>
      </c>
      <c r="C57" t="s">
        <v>2</v>
      </c>
      <c r="E57" s="11"/>
      <c r="F57" t="s">
        <v>99</v>
      </c>
      <c r="G57" s="12">
        <v>0.05</v>
      </c>
      <c r="I57" s="11">
        <f t="shared" si="6"/>
        <v>0</v>
      </c>
      <c r="J57" s="13">
        <v>0</v>
      </c>
      <c r="K57" s="13">
        <v>0</v>
      </c>
      <c r="L57" s="11"/>
      <c r="O57" s="12"/>
      <c r="P57" s="12"/>
      <c r="Q57" s="12"/>
      <c r="R57" s="12"/>
      <c r="V57" s="12"/>
      <c r="W57" s="12"/>
      <c r="X57" s="12"/>
      <c r="Y57" s="12"/>
      <c r="AC57" s="12"/>
      <c r="AD57" s="12"/>
      <c r="AE57" s="12"/>
      <c r="AF57" s="12"/>
      <c r="AJ57" s="12"/>
      <c r="AK57" s="12"/>
      <c r="AL57" s="12"/>
      <c r="AM57" s="12"/>
      <c r="AQ57" s="12"/>
      <c r="AR57" s="12"/>
      <c r="AS57" s="12"/>
      <c r="AT57" s="12"/>
      <c r="AX57" s="12"/>
      <c r="AY57" s="12">
        <v>0.5</v>
      </c>
      <c r="AZ57" s="12"/>
      <c r="BA57" s="12"/>
      <c r="BE57" s="12"/>
      <c r="BF57" s="12">
        <v>0.5</v>
      </c>
      <c r="BG57" s="12"/>
      <c r="BH57" s="12"/>
      <c r="BL57" s="12"/>
      <c r="BM57" s="12"/>
      <c r="BN57" s="12"/>
      <c r="BO57" s="12"/>
      <c r="BS57" s="12"/>
      <c r="BT57" s="12">
        <v>0.5</v>
      </c>
      <c r="BU57" s="12"/>
      <c r="BV57" s="12"/>
      <c r="BZ57" s="12"/>
      <c r="CA57" s="12">
        <v>0.5</v>
      </c>
      <c r="CB57" s="12"/>
      <c r="CC57" s="12"/>
      <c r="CG57" s="12"/>
      <c r="CH57" s="12">
        <v>0.8</v>
      </c>
      <c r="CI57" s="12"/>
      <c r="CJ57" s="12"/>
      <c r="CN57" s="12"/>
      <c r="CO57" s="12">
        <v>0.8</v>
      </c>
      <c r="CP57" s="12"/>
      <c r="CQ57" s="12"/>
      <c r="CU57" s="12"/>
      <c r="CV57" s="12">
        <v>0.8</v>
      </c>
      <c r="CW57" s="12"/>
      <c r="CX57" s="12"/>
      <c r="DB57" s="12"/>
      <c r="DC57" s="12">
        <v>1</v>
      </c>
      <c r="DD57" s="12"/>
      <c r="DE57" s="12">
        <v>1</v>
      </c>
    </row>
    <row r="58" spans="2:109" outlineLevel="1">
      <c r="B58" t="s">
        <v>29</v>
      </c>
      <c r="C58" t="s">
        <v>2</v>
      </c>
      <c r="E58" s="11"/>
      <c r="F58" t="s">
        <v>101</v>
      </c>
      <c r="G58" s="12">
        <v>0.05</v>
      </c>
      <c r="I58" s="11">
        <f>+SUMIF($N$3:$ZT$3,I$3,$N58:$ZT58)</f>
        <v>0</v>
      </c>
      <c r="J58" s="13">
        <f>+_xlfn.MAXIFS($N58:$YZ58,$N$3:$YZ$3,J$3)</f>
        <v>0</v>
      </c>
      <c r="K58" s="13">
        <f>+_xlfn.MAXIFS($N58:$YZ58,$N$3:$YZ$3,K$3)</f>
        <v>0</v>
      </c>
      <c r="L58" s="11"/>
      <c r="O58" s="12"/>
      <c r="P58" s="12"/>
      <c r="Q58" s="12"/>
      <c r="R58" s="12"/>
      <c r="V58" s="12"/>
      <c r="W58" s="12"/>
      <c r="X58" s="12"/>
      <c r="Y58" s="12"/>
      <c r="AC58" s="12"/>
      <c r="AD58" s="12"/>
      <c r="AE58" s="12"/>
      <c r="AF58" s="12"/>
      <c r="AJ58" s="12"/>
      <c r="AK58" s="12"/>
      <c r="AL58" s="12"/>
      <c r="AM58" s="12"/>
      <c r="AQ58" s="12"/>
      <c r="AR58" s="12"/>
      <c r="AS58" s="12"/>
      <c r="AT58" s="12"/>
      <c r="AX58" s="12"/>
      <c r="AY58" s="12">
        <v>0.5</v>
      </c>
      <c r="AZ58" s="12"/>
      <c r="BA58" s="12"/>
      <c r="BE58" s="12"/>
      <c r="BF58" s="12">
        <v>0.5</v>
      </c>
      <c r="BG58" s="12"/>
      <c r="BH58" s="12"/>
      <c r="BL58" s="12"/>
      <c r="BM58" s="12"/>
      <c r="BN58" s="12"/>
      <c r="BO58" s="12"/>
      <c r="BS58" s="12"/>
      <c r="BT58" s="12">
        <v>0.5</v>
      </c>
      <c r="BU58" s="12"/>
      <c r="BV58" s="12"/>
      <c r="BZ58" s="12"/>
      <c r="CA58" s="12">
        <v>0.5</v>
      </c>
      <c r="CB58" s="12"/>
      <c r="CC58" s="12"/>
      <c r="CG58" s="12"/>
      <c r="CH58" s="12">
        <v>0.5</v>
      </c>
      <c r="CI58" s="12"/>
      <c r="CJ58" s="12"/>
      <c r="CN58" s="12"/>
      <c r="CO58" s="12">
        <v>0.8</v>
      </c>
      <c r="CP58" s="12"/>
      <c r="CQ58" s="12"/>
      <c r="CU58" s="12"/>
      <c r="CV58" s="12">
        <v>0.8</v>
      </c>
      <c r="CW58" s="12"/>
      <c r="CX58" s="12"/>
      <c r="DB58" s="12"/>
      <c r="DC58" s="12">
        <v>1</v>
      </c>
      <c r="DD58" s="12"/>
      <c r="DE58" s="12">
        <v>1</v>
      </c>
    </row>
    <row r="59" spans="2:109">
      <c r="O59" s="9"/>
      <c r="V59" s="9"/>
      <c r="AC59" s="9"/>
      <c r="AJ59" s="9"/>
      <c r="AQ59" s="9"/>
      <c r="AX59" s="9"/>
      <c r="BE59" s="9"/>
      <c r="BL59" s="9"/>
      <c r="BS59" s="9"/>
      <c r="BZ59" s="9"/>
      <c r="CG59" s="9"/>
      <c r="CN59" s="9"/>
      <c r="CU59" s="9"/>
      <c r="DB59" s="9"/>
    </row>
    <row r="61" spans="2:109">
      <c r="B61" t="s">
        <v>28</v>
      </c>
      <c r="C61" t="s">
        <v>100</v>
      </c>
      <c r="E61" s="11">
        <v>9</v>
      </c>
      <c r="G61" s="12">
        <f>+SUM(G62:G80)</f>
        <v>1.0000000000000002</v>
      </c>
      <c r="I61" s="14">
        <f>+SUM(I62:I80)</f>
        <v>0</v>
      </c>
      <c r="J61" s="13">
        <f>+SUMPRODUCT(G62:G80,J62:J80)</f>
        <v>0</v>
      </c>
      <c r="K61" s="13">
        <f>+SUMPRODUCT(G62:G80,K62:K80)</f>
        <v>0</v>
      </c>
      <c r="L61" s="11"/>
      <c r="N61" s="14">
        <f>+SUM(N62:N80)</f>
        <v>0</v>
      </c>
      <c r="U61" s="14">
        <f>+SUM(U62:U80)</f>
        <v>0</v>
      </c>
      <c r="AB61" s="14">
        <f>+SUM(AB62:AB80)</f>
        <v>0</v>
      </c>
      <c r="AI61" s="14">
        <f>+SUM(AI62:AI80)</f>
        <v>0</v>
      </c>
      <c r="AP61" s="14">
        <f>+SUM(AP62:AP80)</f>
        <v>0</v>
      </c>
      <c r="AW61" s="14">
        <f>+SUM(AW62:AW80)</f>
        <v>0</v>
      </c>
      <c r="BD61" s="14">
        <f>+SUM(BD62:BD80)</f>
        <v>0</v>
      </c>
      <c r="BK61" s="14">
        <v>0</v>
      </c>
      <c r="BR61" s="14">
        <v>0</v>
      </c>
      <c r="BY61" s="14">
        <v>0</v>
      </c>
      <c r="CF61" s="14">
        <v>0</v>
      </c>
      <c r="CM61" s="14">
        <v>0</v>
      </c>
      <c r="CT61" s="14">
        <v>0</v>
      </c>
      <c r="DA61" s="14">
        <v>0</v>
      </c>
    </row>
    <row r="62" spans="2:109" outlineLevel="1">
      <c r="B62" t="s">
        <v>29</v>
      </c>
      <c r="C62" t="s">
        <v>131</v>
      </c>
      <c r="E62" s="11"/>
      <c r="F62" t="s">
        <v>112</v>
      </c>
      <c r="G62" s="12">
        <v>0.1</v>
      </c>
      <c r="I62" s="11">
        <f t="shared" ref="I62:I72" si="8">+SUMIF($N$3:$ZT$3,I$3,$N62:$ZT62)</f>
        <v>0</v>
      </c>
      <c r="J62" s="13">
        <f t="shared" ref="J62:K72" si="9">+_xlfn.MAXIFS($N62:$YZ62,$N$3:$YZ$3,J$3)</f>
        <v>0</v>
      </c>
      <c r="K62" s="13">
        <f t="shared" si="9"/>
        <v>0</v>
      </c>
      <c r="L62" s="11"/>
      <c r="O62" s="12"/>
      <c r="P62" s="12">
        <v>0.5</v>
      </c>
      <c r="Q62" s="12"/>
      <c r="R62" s="12"/>
      <c r="V62" s="12"/>
      <c r="W62" s="12">
        <v>0.5</v>
      </c>
      <c r="X62" s="12"/>
      <c r="Y62" s="12"/>
      <c r="AC62" s="12"/>
      <c r="AD62" s="12">
        <v>0.8</v>
      </c>
      <c r="AE62" s="12"/>
      <c r="AF62" s="12"/>
      <c r="AJ62" s="12"/>
      <c r="AK62" s="12">
        <v>0.8</v>
      </c>
      <c r="AL62" s="12"/>
      <c r="AM62" s="12"/>
      <c r="AQ62" s="12"/>
      <c r="AR62" s="12">
        <v>0.8</v>
      </c>
      <c r="AS62" s="12"/>
      <c r="AT62" s="12">
        <v>1</v>
      </c>
      <c r="AX62" s="12"/>
      <c r="AY62" s="12">
        <v>0.8</v>
      </c>
      <c r="AZ62" s="12"/>
      <c r="BA62" s="12"/>
      <c r="BE62" s="12"/>
      <c r="BF62" s="12">
        <v>0.8</v>
      </c>
      <c r="BG62" s="12"/>
      <c r="BH62" s="12"/>
      <c r="BL62" s="12"/>
      <c r="BM62" s="12">
        <v>1</v>
      </c>
      <c r="BN62" s="12"/>
      <c r="BO62" s="12"/>
      <c r="BS62" s="12"/>
      <c r="BT62" s="12">
        <v>1</v>
      </c>
      <c r="BU62" s="12"/>
      <c r="BV62" s="12"/>
      <c r="BZ62" s="12"/>
      <c r="CA62" s="12">
        <v>1</v>
      </c>
      <c r="CB62" s="12"/>
      <c r="CC62" s="12"/>
      <c r="CG62" s="12"/>
      <c r="CH62" s="12">
        <v>1</v>
      </c>
      <c r="CI62" s="12"/>
      <c r="CJ62" s="12"/>
      <c r="CN62" s="12"/>
      <c r="CO62" s="12">
        <v>1</v>
      </c>
      <c r="CP62" s="12"/>
      <c r="CQ62" s="12"/>
      <c r="CU62" s="12"/>
      <c r="CV62" s="12">
        <v>1</v>
      </c>
      <c r="CW62" s="12"/>
      <c r="CX62" s="12"/>
      <c r="DB62" s="12"/>
      <c r="DC62" s="12">
        <v>1</v>
      </c>
      <c r="DD62" s="12"/>
      <c r="DE62" s="12">
        <v>1</v>
      </c>
    </row>
    <row r="63" spans="2:109" outlineLevel="1">
      <c r="B63" t="s">
        <v>29</v>
      </c>
      <c r="C63" t="s">
        <v>121</v>
      </c>
      <c r="E63" s="11"/>
      <c r="F63" t="s">
        <v>102</v>
      </c>
      <c r="G63" s="12">
        <v>0.05</v>
      </c>
      <c r="I63" s="11">
        <f t="shared" si="8"/>
        <v>0</v>
      </c>
      <c r="J63" s="13">
        <f t="shared" si="9"/>
        <v>0</v>
      </c>
      <c r="K63" s="13">
        <f t="shared" si="9"/>
        <v>0</v>
      </c>
      <c r="L63" s="11"/>
      <c r="O63" s="12"/>
      <c r="P63" s="12">
        <v>0.5</v>
      </c>
      <c r="Q63" s="12"/>
      <c r="R63" s="12"/>
      <c r="V63" s="12"/>
      <c r="W63" s="12">
        <v>0.5</v>
      </c>
      <c r="X63" s="12"/>
      <c r="Y63" s="12"/>
      <c r="AC63" s="12"/>
      <c r="AD63" s="12">
        <v>0.8</v>
      </c>
      <c r="AE63" s="12"/>
      <c r="AF63" s="12"/>
      <c r="AJ63" s="12"/>
      <c r="AK63" s="12">
        <v>0.8</v>
      </c>
      <c r="AL63" s="12"/>
      <c r="AM63" s="12"/>
      <c r="AQ63" s="12"/>
      <c r="AR63" s="12">
        <v>0.8</v>
      </c>
      <c r="AS63" s="12"/>
      <c r="AT63" s="12">
        <v>1</v>
      </c>
      <c r="AX63" s="12"/>
      <c r="AY63" s="12">
        <v>0.8</v>
      </c>
      <c r="AZ63" s="12"/>
      <c r="BA63" s="12"/>
      <c r="BE63" s="12"/>
      <c r="BF63" s="12">
        <v>0.8</v>
      </c>
      <c r="BG63" s="12"/>
      <c r="BH63" s="12"/>
      <c r="BL63" s="12"/>
      <c r="BM63" s="12">
        <v>1</v>
      </c>
      <c r="BN63" s="12"/>
      <c r="BO63" s="12"/>
      <c r="BS63" s="12"/>
      <c r="BT63" s="12">
        <v>1</v>
      </c>
      <c r="BU63" s="12"/>
      <c r="BV63" s="12"/>
      <c r="BZ63" s="12"/>
      <c r="CA63" s="12">
        <v>1</v>
      </c>
      <c r="CB63" s="12"/>
      <c r="CC63" s="12"/>
      <c r="CG63" s="12"/>
      <c r="CH63" s="12">
        <v>1</v>
      </c>
      <c r="CI63" s="12"/>
      <c r="CJ63" s="12"/>
      <c r="CN63" s="12"/>
      <c r="CO63" s="12">
        <v>1</v>
      </c>
      <c r="CP63" s="12"/>
      <c r="CQ63" s="12"/>
      <c r="CU63" s="12"/>
      <c r="CV63" s="12">
        <v>1</v>
      </c>
      <c r="CW63" s="12"/>
      <c r="CX63" s="12"/>
      <c r="DB63" s="12"/>
      <c r="DC63" s="12">
        <v>1</v>
      </c>
      <c r="DD63" s="12"/>
      <c r="DE63" s="12">
        <v>1</v>
      </c>
    </row>
    <row r="64" spans="2:109" outlineLevel="1">
      <c r="B64" t="s">
        <v>29</v>
      </c>
      <c r="C64" t="s">
        <v>121</v>
      </c>
      <c r="E64" s="11"/>
      <c r="F64" t="s">
        <v>103</v>
      </c>
      <c r="G64" s="12">
        <v>0.05</v>
      </c>
      <c r="I64" s="11">
        <f t="shared" si="8"/>
        <v>0</v>
      </c>
      <c r="J64" s="13">
        <f t="shared" si="9"/>
        <v>0</v>
      </c>
      <c r="K64" s="13">
        <f t="shared" si="9"/>
        <v>0</v>
      </c>
      <c r="L64" s="11"/>
      <c r="O64" s="12"/>
      <c r="P64" s="12">
        <v>0.5</v>
      </c>
      <c r="Q64" s="12"/>
      <c r="R64" s="12"/>
      <c r="V64" s="12"/>
      <c r="W64" s="12">
        <v>0.5</v>
      </c>
      <c r="X64" s="12"/>
      <c r="Y64" s="12"/>
      <c r="AC64" s="12"/>
      <c r="AD64" s="12">
        <v>0.5</v>
      </c>
      <c r="AE64" s="12"/>
      <c r="AF64" s="12"/>
      <c r="AJ64" s="12"/>
      <c r="AK64" s="12">
        <v>0.8</v>
      </c>
      <c r="AL64" s="12"/>
      <c r="AM64" s="12"/>
      <c r="AQ64" s="12"/>
      <c r="AR64" s="12">
        <v>0.8</v>
      </c>
      <c r="AS64" s="12"/>
      <c r="AT64" s="12">
        <v>1</v>
      </c>
      <c r="AX64" s="12"/>
      <c r="AY64" s="12">
        <v>0.8</v>
      </c>
      <c r="AZ64" s="12"/>
      <c r="BA64" s="12"/>
      <c r="BE64" s="12"/>
      <c r="BF64" s="12">
        <v>0.8</v>
      </c>
      <c r="BG64" s="12"/>
      <c r="BH64" s="12"/>
      <c r="BL64" s="12"/>
      <c r="BM64" s="12">
        <v>0.8</v>
      </c>
      <c r="BN64" s="12"/>
      <c r="BO64" s="12"/>
      <c r="BS64" s="12"/>
      <c r="BT64" s="12">
        <v>1</v>
      </c>
      <c r="BU64" s="12"/>
      <c r="BV64" s="12"/>
      <c r="BZ64" s="12"/>
      <c r="CA64" s="12">
        <v>1</v>
      </c>
      <c r="CB64" s="12"/>
      <c r="CC64" s="12"/>
      <c r="CG64" s="12"/>
      <c r="CH64" s="12">
        <v>1</v>
      </c>
      <c r="CI64" s="12"/>
      <c r="CJ64" s="12"/>
      <c r="CN64" s="12"/>
      <c r="CO64" s="12">
        <v>1</v>
      </c>
      <c r="CP64" s="12"/>
      <c r="CQ64" s="12"/>
      <c r="CU64" s="12"/>
      <c r="CV64" s="12">
        <v>1</v>
      </c>
      <c r="CW64" s="12"/>
      <c r="CX64" s="12"/>
      <c r="DB64" s="12"/>
      <c r="DC64" s="12">
        <v>1</v>
      </c>
      <c r="DD64" s="12"/>
      <c r="DE64" s="12">
        <v>1</v>
      </c>
    </row>
    <row r="65" spans="2:109" outlineLevel="1">
      <c r="B65" t="s">
        <v>29</v>
      </c>
      <c r="C65" t="s">
        <v>121</v>
      </c>
      <c r="E65" s="11"/>
      <c r="F65" t="s">
        <v>104</v>
      </c>
      <c r="G65" s="12">
        <v>0.05</v>
      </c>
      <c r="I65" s="11">
        <f t="shared" si="8"/>
        <v>0</v>
      </c>
      <c r="J65" s="13">
        <f t="shared" si="9"/>
        <v>0</v>
      </c>
      <c r="K65" s="13">
        <f t="shared" si="9"/>
        <v>0</v>
      </c>
      <c r="L65" s="11"/>
      <c r="O65" s="12"/>
      <c r="P65" s="12">
        <v>0.5</v>
      </c>
      <c r="Q65" s="12"/>
      <c r="R65" s="12"/>
      <c r="V65" s="12"/>
      <c r="W65" s="12">
        <v>0.5</v>
      </c>
      <c r="X65" s="12"/>
      <c r="Y65" s="12"/>
      <c r="AC65" s="12"/>
      <c r="AD65" s="12">
        <v>0.5</v>
      </c>
      <c r="AE65" s="12"/>
      <c r="AF65" s="12"/>
      <c r="AJ65" s="12"/>
      <c r="AK65" s="12">
        <v>0.5</v>
      </c>
      <c r="AL65" s="12"/>
      <c r="AM65" s="12"/>
      <c r="AQ65" s="12"/>
      <c r="AR65" s="12">
        <v>0.8</v>
      </c>
      <c r="AS65" s="12"/>
      <c r="AT65" s="12">
        <v>1</v>
      </c>
      <c r="AX65" s="12"/>
      <c r="AY65" s="12">
        <v>0.8</v>
      </c>
      <c r="AZ65" s="12"/>
      <c r="BA65" s="12"/>
      <c r="BE65" s="12"/>
      <c r="BF65" s="12">
        <v>0.8</v>
      </c>
      <c r="BG65" s="12"/>
      <c r="BH65" s="12"/>
      <c r="BL65" s="12"/>
      <c r="BM65" s="12">
        <v>0.8</v>
      </c>
      <c r="BN65" s="12"/>
      <c r="BO65" s="12"/>
      <c r="BS65" s="12"/>
      <c r="BT65" s="12">
        <v>1</v>
      </c>
      <c r="BU65" s="12"/>
      <c r="BV65" s="12"/>
      <c r="BZ65" s="12"/>
      <c r="CA65" s="12">
        <v>1</v>
      </c>
      <c r="CB65" s="12"/>
      <c r="CC65" s="12"/>
      <c r="CG65" s="12"/>
      <c r="CH65" s="12">
        <v>1</v>
      </c>
      <c r="CI65" s="12"/>
      <c r="CJ65" s="12"/>
      <c r="CN65" s="12"/>
      <c r="CO65" s="12">
        <v>1</v>
      </c>
      <c r="CP65" s="12"/>
      <c r="CQ65" s="12"/>
      <c r="CU65" s="12"/>
      <c r="CV65" s="12">
        <v>1</v>
      </c>
      <c r="CW65" s="12"/>
      <c r="CX65" s="12"/>
      <c r="DB65" s="12"/>
      <c r="DC65" s="12">
        <v>1</v>
      </c>
      <c r="DD65" s="12"/>
      <c r="DE65" s="12">
        <v>1</v>
      </c>
    </row>
    <row r="66" spans="2:109" outlineLevel="1">
      <c r="B66" t="s">
        <v>29</v>
      </c>
      <c r="C66" t="s">
        <v>121</v>
      </c>
      <c r="E66" s="11"/>
      <c r="F66" t="s">
        <v>105</v>
      </c>
      <c r="G66" s="12">
        <v>0.05</v>
      </c>
      <c r="I66" s="11">
        <f t="shared" si="8"/>
        <v>0</v>
      </c>
      <c r="J66" s="13">
        <f t="shared" si="9"/>
        <v>0</v>
      </c>
      <c r="K66" s="13">
        <f t="shared" si="9"/>
        <v>0</v>
      </c>
      <c r="L66" s="11"/>
      <c r="O66" s="12"/>
      <c r="P66" s="12"/>
      <c r="Q66" s="12"/>
      <c r="R66" s="12"/>
      <c r="V66" s="12"/>
      <c r="W66" s="12">
        <v>0.5</v>
      </c>
      <c r="X66" s="12"/>
      <c r="Y66" s="12"/>
      <c r="AC66" s="12"/>
      <c r="AD66" s="12">
        <v>0.5</v>
      </c>
      <c r="AE66" s="12"/>
      <c r="AF66" s="12"/>
      <c r="AJ66" s="12"/>
      <c r="AK66" s="12">
        <v>0.5</v>
      </c>
      <c r="AL66" s="12"/>
      <c r="AM66" s="12"/>
      <c r="AQ66" s="12"/>
      <c r="AR66" s="12">
        <v>0.8</v>
      </c>
      <c r="AS66" s="12"/>
      <c r="AT66" s="12">
        <v>1</v>
      </c>
      <c r="AX66" s="12"/>
      <c r="AY66" s="12">
        <v>0.8</v>
      </c>
      <c r="AZ66" s="12"/>
      <c r="BA66" s="12"/>
      <c r="BE66" s="12"/>
      <c r="BF66" s="12">
        <v>0.8</v>
      </c>
      <c r="BG66" s="12"/>
      <c r="BH66" s="12"/>
      <c r="BL66" s="12"/>
      <c r="BM66" s="12">
        <v>0.8</v>
      </c>
      <c r="BN66" s="12"/>
      <c r="BO66" s="12"/>
      <c r="BS66" s="12"/>
      <c r="BT66" s="12">
        <v>0.8</v>
      </c>
      <c r="BU66" s="12"/>
      <c r="BV66" s="12"/>
      <c r="BZ66" s="12"/>
      <c r="CA66" s="12">
        <v>1</v>
      </c>
      <c r="CB66" s="12"/>
      <c r="CC66" s="12"/>
      <c r="CG66" s="12"/>
      <c r="CH66" s="12">
        <v>1</v>
      </c>
      <c r="CI66" s="12"/>
      <c r="CJ66" s="12"/>
      <c r="CN66" s="12"/>
      <c r="CO66" s="12">
        <v>1</v>
      </c>
      <c r="CP66" s="12"/>
      <c r="CQ66" s="12"/>
      <c r="CU66" s="12"/>
      <c r="CV66" s="12">
        <v>1</v>
      </c>
      <c r="CW66" s="12"/>
      <c r="CX66" s="12"/>
      <c r="DB66" s="12"/>
      <c r="DC66" s="12">
        <v>1</v>
      </c>
      <c r="DD66" s="12"/>
      <c r="DE66" s="12">
        <v>1</v>
      </c>
    </row>
    <row r="67" spans="2:109" outlineLevel="1">
      <c r="B67" t="s">
        <v>29</v>
      </c>
      <c r="C67" t="s">
        <v>121</v>
      </c>
      <c r="E67" s="11"/>
      <c r="F67" t="s">
        <v>106</v>
      </c>
      <c r="G67" s="12">
        <v>0.05</v>
      </c>
      <c r="I67" s="11">
        <f t="shared" si="8"/>
        <v>0</v>
      </c>
      <c r="J67" s="13">
        <f t="shared" si="9"/>
        <v>0</v>
      </c>
      <c r="K67" s="13">
        <f t="shared" si="9"/>
        <v>0</v>
      </c>
      <c r="L67" s="11"/>
      <c r="O67" s="12"/>
      <c r="P67" s="12"/>
      <c r="Q67" s="12"/>
      <c r="R67" s="12"/>
      <c r="V67" s="12"/>
      <c r="W67" s="12">
        <v>0.5</v>
      </c>
      <c r="X67" s="12"/>
      <c r="Y67" s="12"/>
      <c r="AC67" s="12"/>
      <c r="AD67" s="12">
        <v>0.5</v>
      </c>
      <c r="AE67" s="12"/>
      <c r="AF67" s="12"/>
      <c r="AJ67" s="12"/>
      <c r="AK67" s="12">
        <v>0.5</v>
      </c>
      <c r="AL67" s="12"/>
      <c r="AM67" s="12"/>
      <c r="AQ67" s="12"/>
      <c r="AR67" s="12">
        <v>0.5</v>
      </c>
      <c r="AS67" s="12"/>
      <c r="AT67" s="12">
        <v>1</v>
      </c>
      <c r="AX67" s="12"/>
      <c r="AY67" s="12">
        <v>0.8</v>
      </c>
      <c r="AZ67" s="12"/>
      <c r="BA67" s="12"/>
      <c r="BE67" s="12"/>
      <c r="BF67" s="12">
        <v>0.8</v>
      </c>
      <c r="BG67" s="12"/>
      <c r="BH67" s="12"/>
      <c r="BL67" s="12"/>
      <c r="BM67" s="12">
        <v>0.8</v>
      </c>
      <c r="BN67" s="12"/>
      <c r="BO67" s="12"/>
      <c r="BS67" s="12"/>
      <c r="BT67" s="12">
        <v>0.8</v>
      </c>
      <c r="BU67" s="12"/>
      <c r="BV67" s="12"/>
      <c r="BZ67" s="12"/>
      <c r="CA67" s="12">
        <v>1</v>
      </c>
      <c r="CB67" s="12"/>
      <c r="CC67" s="12"/>
      <c r="CG67" s="12"/>
      <c r="CH67" s="12">
        <v>1</v>
      </c>
      <c r="CI67" s="12"/>
      <c r="CJ67" s="12"/>
      <c r="CN67" s="12"/>
      <c r="CO67" s="12">
        <v>1</v>
      </c>
      <c r="CP67" s="12"/>
      <c r="CQ67" s="12"/>
      <c r="CU67" s="12"/>
      <c r="CV67" s="12">
        <v>1</v>
      </c>
      <c r="CW67" s="12"/>
      <c r="CX67" s="12"/>
      <c r="DB67" s="12"/>
      <c r="DC67" s="12">
        <v>1</v>
      </c>
      <c r="DD67" s="12"/>
      <c r="DE67" s="12">
        <v>1</v>
      </c>
    </row>
    <row r="68" spans="2:109" outlineLevel="1">
      <c r="B68" t="s">
        <v>29</v>
      </c>
      <c r="C68" t="s">
        <v>121</v>
      </c>
      <c r="E68" s="11"/>
      <c r="F68" t="s">
        <v>107</v>
      </c>
      <c r="G68" s="12">
        <v>0.05</v>
      </c>
      <c r="I68" s="11">
        <f t="shared" si="8"/>
        <v>0</v>
      </c>
      <c r="J68" s="13">
        <f t="shared" si="9"/>
        <v>0</v>
      </c>
      <c r="K68" s="13">
        <f t="shared" si="9"/>
        <v>0</v>
      </c>
      <c r="L68" s="11"/>
      <c r="O68" s="12"/>
      <c r="P68" s="12"/>
      <c r="Q68" s="12"/>
      <c r="R68" s="12"/>
      <c r="V68" s="12"/>
      <c r="W68" s="12">
        <v>0.5</v>
      </c>
      <c r="X68" s="12"/>
      <c r="Y68" s="12"/>
      <c r="AC68" s="12"/>
      <c r="AD68" s="12">
        <v>0.5</v>
      </c>
      <c r="AE68" s="12"/>
      <c r="AF68" s="12"/>
      <c r="AJ68" s="12"/>
      <c r="AK68" s="12">
        <v>0.5</v>
      </c>
      <c r="AL68" s="12"/>
      <c r="AM68" s="12"/>
      <c r="AQ68" s="12"/>
      <c r="AR68" s="12">
        <v>0.5</v>
      </c>
      <c r="AS68" s="12"/>
      <c r="AT68" s="12">
        <v>1</v>
      </c>
      <c r="AX68" s="12"/>
      <c r="AY68" s="12">
        <v>0.8</v>
      </c>
      <c r="AZ68" s="12"/>
      <c r="BA68" s="12"/>
      <c r="BE68" s="12"/>
      <c r="BF68" s="12">
        <v>0.8</v>
      </c>
      <c r="BG68" s="12"/>
      <c r="BH68" s="12"/>
      <c r="BL68" s="12"/>
      <c r="BM68" s="12">
        <v>0.8</v>
      </c>
      <c r="BN68" s="12"/>
      <c r="BO68" s="12"/>
      <c r="BS68" s="12"/>
      <c r="BT68" s="12">
        <v>0.8</v>
      </c>
      <c r="BU68" s="12"/>
      <c r="BV68" s="12"/>
      <c r="BZ68" s="12"/>
      <c r="CA68" s="12">
        <v>0.8</v>
      </c>
      <c r="CB68" s="12"/>
      <c r="CC68" s="12"/>
      <c r="CG68" s="12"/>
      <c r="CH68" s="12">
        <v>1</v>
      </c>
      <c r="CI68" s="12"/>
      <c r="CJ68" s="12"/>
      <c r="CN68" s="12"/>
      <c r="CO68" s="12">
        <v>1</v>
      </c>
      <c r="CP68" s="12"/>
      <c r="CQ68" s="12"/>
      <c r="CU68" s="12"/>
      <c r="CV68" s="12">
        <v>1</v>
      </c>
      <c r="CW68" s="12"/>
      <c r="CX68" s="12"/>
      <c r="DB68" s="12"/>
      <c r="DC68" s="12">
        <v>1</v>
      </c>
      <c r="DD68" s="12"/>
      <c r="DE68" s="12">
        <v>1</v>
      </c>
    </row>
    <row r="69" spans="2:109" outlineLevel="1">
      <c r="B69" t="s">
        <v>29</v>
      </c>
      <c r="C69" t="s">
        <v>121</v>
      </c>
      <c r="E69" s="11"/>
      <c r="F69" t="s">
        <v>108</v>
      </c>
      <c r="G69" s="12">
        <v>0.05</v>
      </c>
      <c r="I69" s="11">
        <f t="shared" si="8"/>
        <v>0</v>
      </c>
      <c r="J69" s="13">
        <f t="shared" si="9"/>
        <v>0</v>
      </c>
      <c r="K69" s="13">
        <f t="shared" si="9"/>
        <v>0</v>
      </c>
      <c r="L69" s="11"/>
      <c r="O69" s="12"/>
      <c r="P69" s="12"/>
      <c r="Q69" s="12"/>
      <c r="R69" s="12"/>
      <c r="V69" s="12"/>
      <c r="W69" s="12">
        <v>0.5</v>
      </c>
      <c r="X69" s="12"/>
      <c r="Y69" s="12"/>
      <c r="AC69" s="12"/>
      <c r="AD69" s="12">
        <v>0.5</v>
      </c>
      <c r="AE69" s="12"/>
      <c r="AF69" s="12"/>
      <c r="AJ69" s="12"/>
      <c r="AK69" s="12">
        <v>0.5</v>
      </c>
      <c r="AL69" s="12"/>
      <c r="AM69" s="12"/>
      <c r="AQ69" s="12"/>
      <c r="AR69" s="12">
        <v>0.5</v>
      </c>
      <c r="AS69" s="12"/>
      <c r="AT69" s="12">
        <v>1</v>
      </c>
      <c r="AX69" s="12"/>
      <c r="AY69" s="12">
        <v>0.5</v>
      </c>
      <c r="AZ69" s="12"/>
      <c r="BA69" s="12"/>
      <c r="BE69" s="12"/>
      <c r="BF69" s="12">
        <v>0.8</v>
      </c>
      <c r="BG69" s="12"/>
      <c r="BH69" s="12"/>
      <c r="BL69" s="12"/>
      <c r="BM69" s="12">
        <v>0.8</v>
      </c>
      <c r="BN69" s="12"/>
      <c r="BO69" s="12"/>
      <c r="BS69" s="12"/>
      <c r="BT69" s="12">
        <v>0.8</v>
      </c>
      <c r="BU69" s="12"/>
      <c r="BV69" s="12"/>
      <c r="BZ69" s="12"/>
      <c r="CA69" s="12">
        <v>0.8</v>
      </c>
      <c r="CB69" s="12"/>
      <c r="CC69" s="12"/>
      <c r="CG69" s="12"/>
      <c r="CH69" s="12">
        <v>1</v>
      </c>
      <c r="CI69" s="12"/>
      <c r="CJ69" s="12"/>
      <c r="CN69" s="12"/>
      <c r="CO69" s="12">
        <v>1</v>
      </c>
      <c r="CP69" s="12"/>
      <c r="CQ69" s="12"/>
      <c r="CU69" s="12"/>
      <c r="CV69" s="12">
        <v>1</v>
      </c>
      <c r="CW69" s="12"/>
      <c r="CX69" s="12"/>
      <c r="DB69" s="12"/>
      <c r="DC69" s="12">
        <v>1</v>
      </c>
      <c r="DD69" s="12"/>
      <c r="DE69" s="12">
        <v>1</v>
      </c>
    </row>
    <row r="70" spans="2:109" outlineLevel="1">
      <c r="B70" t="s">
        <v>29</v>
      </c>
      <c r="C70" t="s">
        <v>121</v>
      </c>
      <c r="E70" s="11"/>
      <c r="F70" t="s">
        <v>109</v>
      </c>
      <c r="G70" s="12">
        <v>0.05</v>
      </c>
      <c r="I70" s="11">
        <f t="shared" si="8"/>
        <v>0</v>
      </c>
      <c r="J70" s="13">
        <f t="shared" si="9"/>
        <v>0</v>
      </c>
      <c r="K70" s="13">
        <f t="shared" si="9"/>
        <v>0</v>
      </c>
      <c r="L70" s="11"/>
      <c r="O70" s="12"/>
      <c r="P70" s="12"/>
      <c r="Q70" s="12"/>
      <c r="R70" s="12"/>
      <c r="V70" s="12"/>
      <c r="W70" s="12"/>
      <c r="X70" s="12"/>
      <c r="Y70" s="12"/>
      <c r="AC70" s="12"/>
      <c r="AD70" s="12">
        <v>0.5</v>
      </c>
      <c r="AE70" s="12"/>
      <c r="AF70" s="12"/>
      <c r="AJ70" s="12"/>
      <c r="AK70" s="12">
        <v>0.5</v>
      </c>
      <c r="AL70" s="12"/>
      <c r="AM70" s="12"/>
      <c r="AQ70" s="12"/>
      <c r="AR70" s="12">
        <v>0.5</v>
      </c>
      <c r="AS70" s="12"/>
      <c r="AT70" s="12">
        <v>1</v>
      </c>
      <c r="AX70" s="12"/>
      <c r="AY70" s="12">
        <v>0.5</v>
      </c>
      <c r="AZ70" s="12"/>
      <c r="BA70" s="12"/>
      <c r="BE70" s="12"/>
      <c r="BF70" s="12">
        <v>0.8</v>
      </c>
      <c r="BG70" s="12"/>
      <c r="BH70" s="12"/>
      <c r="BL70" s="12"/>
      <c r="BM70" s="12">
        <v>0.8</v>
      </c>
      <c r="BN70" s="12"/>
      <c r="BO70" s="12"/>
      <c r="BS70" s="12"/>
      <c r="BT70" s="12">
        <v>0.8</v>
      </c>
      <c r="BU70" s="12"/>
      <c r="BV70" s="12"/>
      <c r="BZ70" s="12"/>
      <c r="CA70" s="12">
        <v>0.8</v>
      </c>
      <c r="CB70" s="12"/>
      <c r="CC70" s="12"/>
      <c r="CG70" s="12"/>
      <c r="CH70" s="12">
        <v>0.8</v>
      </c>
      <c r="CI70" s="12"/>
      <c r="CJ70" s="12"/>
      <c r="CN70" s="12"/>
      <c r="CO70" s="12">
        <v>1</v>
      </c>
      <c r="CP70" s="12"/>
      <c r="CQ70" s="12"/>
      <c r="CU70" s="12"/>
      <c r="CV70" s="12">
        <v>1</v>
      </c>
      <c r="CW70" s="12"/>
      <c r="CX70" s="12"/>
      <c r="DB70" s="12"/>
      <c r="DC70" s="12">
        <v>1</v>
      </c>
      <c r="DD70" s="12"/>
      <c r="DE70" s="12">
        <v>1</v>
      </c>
    </row>
    <row r="71" spans="2:109" outlineLevel="1">
      <c r="B71" t="s">
        <v>29</v>
      </c>
      <c r="C71" t="s">
        <v>121</v>
      </c>
      <c r="E71" s="11"/>
      <c r="F71" t="s">
        <v>110</v>
      </c>
      <c r="G71" s="12">
        <v>0.05</v>
      </c>
      <c r="I71" s="11">
        <f t="shared" si="8"/>
        <v>0</v>
      </c>
      <c r="J71" s="13">
        <f t="shared" si="9"/>
        <v>0</v>
      </c>
      <c r="K71" s="13">
        <f t="shared" si="9"/>
        <v>0</v>
      </c>
      <c r="L71" s="11"/>
      <c r="O71" s="12"/>
      <c r="P71" s="12"/>
      <c r="Q71" s="12"/>
      <c r="R71" s="12"/>
      <c r="V71" s="12"/>
      <c r="W71" s="12"/>
      <c r="X71" s="12"/>
      <c r="Y71" s="12"/>
      <c r="AC71" s="12"/>
      <c r="AD71" s="12">
        <v>0.5</v>
      </c>
      <c r="AE71" s="12"/>
      <c r="AF71" s="12"/>
      <c r="AJ71" s="12"/>
      <c r="AK71" s="12">
        <v>0.5</v>
      </c>
      <c r="AL71" s="12"/>
      <c r="AM71" s="12"/>
      <c r="AQ71" s="12"/>
      <c r="AR71" s="12">
        <v>0.5</v>
      </c>
      <c r="AS71" s="12"/>
      <c r="AT71" s="12">
        <v>1</v>
      </c>
      <c r="AX71" s="12"/>
      <c r="AY71" s="12">
        <v>0.5</v>
      </c>
      <c r="AZ71" s="12"/>
      <c r="BA71" s="12"/>
      <c r="BE71" s="12"/>
      <c r="BF71" s="12">
        <v>0.5</v>
      </c>
      <c r="BG71" s="12"/>
      <c r="BH71" s="12"/>
      <c r="BL71" s="12"/>
      <c r="BM71" s="12">
        <v>0.8</v>
      </c>
      <c r="BN71" s="12"/>
      <c r="BO71" s="12"/>
      <c r="BS71" s="12"/>
      <c r="BT71" s="12">
        <v>0.8</v>
      </c>
      <c r="BU71" s="12"/>
      <c r="BV71" s="12"/>
      <c r="BZ71" s="12"/>
      <c r="CA71" s="12">
        <v>0.8</v>
      </c>
      <c r="CB71" s="12"/>
      <c r="CC71" s="12"/>
      <c r="CG71" s="12"/>
      <c r="CH71" s="12">
        <v>0.8</v>
      </c>
      <c r="CI71" s="12"/>
      <c r="CJ71" s="12"/>
      <c r="CN71" s="12"/>
      <c r="CO71" s="12">
        <v>1</v>
      </c>
      <c r="CP71" s="12"/>
      <c r="CQ71" s="12"/>
      <c r="CU71" s="12"/>
      <c r="CV71" s="12">
        <v>1</v>
      </c>
      <c r="CW71" s="12"/>
      <c r="CX71" s="12"/>
      <c r="DB71" s="12"/>
      <c r="DC71" s="12">
        <v>1</v>
      </c>
      <c r="DD71" s="12"/>
      <c r="DE71" s="12">
        <v>1</v>
      </c>
    </row>
    <row r="72" spans="2:109" outlineLevel="1">
      <c r="B72" t="s">
        <v>29</v>
      </c>
      <c r="C72" t="s">
        <v>121</v>
      </c>
      <c r="E72" s="11"/>
      <c r="F72" t="s">
        <v>111</v>
      </c>
      <c r="G72" s="12">
        <v>0.05</v>
      </c>
      <c r="I72" s="11">
        <f t="shared" si="8"/>
        <v>0</v>
      </c>
      <c r="J72" s="13">
        <f t="shared" si="9"/>
        <v>0</v>
      </c>
      <c r="K72" s="13">
        <f t="shared" si="9"/>
        <v>0</v>
      </c>
      <c r="L72" s="11"/>
      <c r="O72" s="12"/>
      <c r="P72" s="12"/>
      <c r="Q72" s="12"/>
      <c r="R72" s="12"/>
      <c r="V72" s="12"/>
      <c r="W72" s="12"/>
      <c r="X72" s="12"/>
      <c r="Y72" s="12"/>
      <c r="AC72" s="12"/>
      <c r="AD72" s="12"/>
      <c r="AE72" s="12"/>
      <c r="AF72" s="12"/>
      <c r="AJ72" s="12"/>
      <c r="AK72" s="12">
        <v>0.5</v>
      </c>
      <c r="AL72" s="12"/>
      <c r="AM72" s="12"/>
      <c r="AQ72" s="12"/>
      <c r="AR72" s="12">
        <v>0.5</v>
      </c>
      <c r="AS72" s="12"/>
      <c r="AT72" s="12">
        <v>1</v>
      </c>
      <c r="AX72" s="12"/>
      <c r="AY72" s="12">
        <v>0.5</v>
      </c>
      <c r="AZ72" s="12"/>
      <c r="BA72" s="12"/>
      <c r="BE72" s="12"/>
      <c r="BF72" s="12">
        <v>0.5</v>
      </c>
      <c r="BG72" s="12"/>
      <c r="BH72" s="12"/>
      <c r="BL72" s="12"/>
      <c r="BM72" s="12">
        <v>0.8</v>
      </c>
      <c r="BN72" s="12"/>
      <c r="BO72" s="12"/>
      <c r="BS72" s="12"/>
      <c r="BT72" s="12">
        <v>0.8</v>
      </c>
      <c r="BU72" s="12"/>
      <c r="BV72" s="12"/>
      <c r="BZ72" s="12"/>
      <c r="CA72" s="12">
        <v>0.8</v>
      </c>
      <c r="CB72" s="12"/>
      <c r="CC72" s="12"/>
      <c r="CG72" s="12"/>
      <c r="CH72" s="12">
        <v>0.8</v>
      </c>
      <c r="CI72" s="12"/>
      <c r="CJ72" s="12"/>
      <c r="CN72" s="12"/>
      <c r="CO72" s="12">
        <v>0.8</v>
      </c>
      <c r="CP72" s="12"/>
      <c r="CQ72" s="12"/>
      <c r="CU72" s="12"/>
      <c r="CV72" s="12">
        <v>1</v>
      </c>
      <c r="CW72" s="12"/>
      <c r="CX72" s="12"/>
      <c r="DB72" s="12"/>
      <c r="DC72" s="12">
        <v>1</v>
      </c>
      <c r="DD72" s="12"/>
      <c r="DE72" s="12">
        <v>1</v>
      </c>
    </row>
    <row r="73" spans="2:109" outlineLevel="1">
      <c r="B73" t="s">
        <v>29</v>
      </c>
      <c r="C73" t="s">
        <v>132</v>
      </c>
      <c r="E73" s="11"/>
      <c r="F73" t="s">
        <v>113</v>
      </c>
      <c r="G73" s="12">
        <v>0.05</v>
      </c>
      <c r="I73" s="11"/>
      <c r="J73" s="13">
        <v>0</v>
      </c>
      <c r="K73" s="13">
        <v>0</v>
      </c>
      <c r="L73" s="11"/>
      <c r="O73" s="12"/>
      <c r="P73" s="12"/>
      <c r="Q73" s="12"/>
      <c r="R73" s="12"/>
      <c r="V73" s="12"/>
      <c r="W73" s="12"/>
      <c r="X73" s="12"/>
      <c r="Y73" s="12"/>
      <c r="AC73" s="12"/>
      <c r="AD73" s="12"/>
      <c r="AE73" s="12"/>
      <c r="AF73" s="12"/>
      <c r="AJ73" s="12"/>
      <c r="AK73" s="12">
        <v>0.5</v>
      </c>
      <c r="AL73" s="12"/>
      <c r="AM73" s="12"/>
      <c r="AQ73" s="12"/>
      <c r="AR73" s="12">
        <v>0.5</v>
      </c>
      <c r="AS73" s="12"/>
      <c r="AT73" s="12"/>
      <c r="AX73" s="12"/>
      <c r="AY73" s="12">
        <v>0.5</v>
      </c>
      <c r="AZ73" s="12"/>
      <c r="BA73" s="12"/>
      <c r="BE73" s="12"/>
      <c r="BF73" s="12">
        <v>0.5</v>
      </c>
      <c r="BG73" s="12"/>
      <c r="BH73" s="12"/>
      <c r="BL73" s="12"/>
      <c r="BM73" s="12">
        <v>0.5</v>
      </c>
      <c r="BN73" s="12"/>
      <c r="BO73" s="12"/>
      <c r="BS73" s="12"/>
      <c r="BT73" s="12">
        <v>0.8</v>
      </c>
      <c r="BU73" s="12"/>
      <c r="BV73" s="12"/>
      <c r="BZ73" s="12"/>
      <c r="CA73" s="12">
        <v>0.8</v>
      </c>
      <c r="CB73" s="12"/>
      <c r="CC73" s="12"/>
      <c r="CG73" s="12"/>
      <c r="CH73" s="12">
        <v>0.8</v>
      </c>
      <c r="CI73" s="12"/>
      <c r="CJ73" s="12"/>
      <c r="CN73" s="12"/>
      <c r="CO73" s="12">
        <v>0.8</v>
      </c>
      <c r="CP73" s="12"/>
      <c r="CQ73" s="12"/>
      <c r="CU73" s="12"/>
      <c r="CV73" s="12">
        <v>1</v>
      </c>
      <c r="CW73" s="12"/>
      <c r="CX73" s="12"/>
      <c r="DB73" s="12"/>
      <c r="DC73" s="12">
        <v>1</v>
      </c>
      <c r="DD73" s="12"/>
      <c r="DE73" s="12">
        <v>1</v>
      </c>
    </row>
    <row r="74" spans="2:109" outlineLevel="1">
      <c r="B74" t="s">
        <v>29</v>
      </c>
      <c r="C74" t="s">
        <v>122</v>
      </c>
      <c r="E74" s="11"/>
      <c r="F74" t="s">
        <v>114</v>
      </c>
      <c r="G74" s="12">
        <v>0.05</v>
      </c>
      <c r="I74" s="11"/>
      <c r="J74" s="13">
        <v>0</v>
      </c>
      <c r="K74" s="13">
        <v>0</v>
      </c>
      <c r="L74" s="11"/>
      <c r="O74" s="12"/>
      <c r="P74" s="12"/>
      <c r="Q74" s="12"/>
      <c r="R74" s="12"/>
      <c r="V74" s="12"/>
      <c r="W74" s="12"/>
      <c r="X74" s="12"/>
      <c r="Y74" s="12"/>
      <c r="AC74" s="12"/>
      <c r="AD74" s="12"/>
      <c r="AE74" s="12"/>
      <c r="AF74" s="12"/>
      <c r="AJ74" s="12"/>
      <c r="AK74" s="12">
        <v>0.5</v>
      </c>
      <c r="AL74" s="12"/>
      <c r="AM74" s="12"/>
      <c r="AQ74" s="12"/>
      <c r="AR74" s="12">
        <v>0.5</v>
      </c>
      <c r="AS74" s="12"/>
      <c r="AT74" s="12"/>
      <c r="AX74" s="12"/>
      <c r="AY74" s="12">
        <v>0.5</v>
      </c>
      <c r="AZ74" s="12"/>
      <c r="BA74" s="12"/>
      <c r="BE74" s="12"/>
      <c r="BF74" s="12">
        <v>0.5</v>
      </c>
      <c r="BG74" s="12"/>
      <c r="BH74" s="12"/>
      <c r="BL74" s="12"/>
      <c r="BM74" s="12">
        <v>0.5</v>
      </c>
      <c r="BN74" s="12"/>
      <c r="BO74" s="12"/>
      <c r="BS74" s="12"/>
      <c r="BT74" s="12">
        <v>0.8</v>
      </c>
      <c r="BU74" s="12"/>
      <c r="BV74" s="12"/>
      <c r="BZ74" s="12"/>
      <c r="CA74" s="12">
        <v>0.8</v>
      </c>
      <c r="CB74" s="12"/>
      <c r="CC74" s="12"/>
      <c r="CG74" s="12"/>
      <c r="CH74" s="12">
        <v>0.8</v>
      </c>
      <c r="CI74" s="12"/>
      <c r="CJ74" s="12"/>
      <c r="CN74" s="12"/>
      <c r="CO74" s="12">
        <v>0.8</v>
      </c>
      <c r="CP74" s="12"/>
      <c r="CQ74" s="12"/>
      <c r="CU74" s="12"/>
      <c r="CV74" s="12">
        <v>1</v>
      </c>
      <c r="CW74" s="12"/>
      <c r="CX74" s="12"/>
      <c r="DB74" s="12"/>
      <c r="DC74" s="12">
        <v>1</v>
      </c>
      <c r="DD74" s="12"/>
      <c r="DE74" s="12">
        <v>1</v>
      </c>
    </row>
    <row r="75" spans="2:109" outlineLevel="1">
      <c r="B75" t="s">
        <v>29</v>
      </c>
      <c r="C75" t="s">
        <v>122</v>
      </c>
      <c r="E75" s="11"/>
      <c r="F75" t="s">
        <v>115</v>
      </c>
      <c r="G75" s="12">
        <v>0.05</v>
      </c>
      <c r="I75" s="11"/>
      <c r="J75" s="13">
        <v>0</v>
      </c>
      <c r="K75" s="13">
        <v>0</v>
      </c>
      <c r="L75" s="11"/>
      <c r="O75" s="12"/>
      <c r="P75" s="12"/>
      <c r="Q75" s="12"/>
      <c r="R75" s="12"/>
      <c r="V75" s="12"/>
      <c r="W75" s="12"/>
      <c r="X75" s="12"/>
      <c r="Y75" s="12"/>
      <c r="AC75" s="12"/>
      <c r="AD75" s="12"/>
      <c r="AE75" s="12"/>
      <c r="AF75" s="12"/>
      <c r="AJ75" s="12"/>
      <c r="AK75" s="12"/>
      <c r="AL75" s="12"/>
      <c r="AM75" s="12"/>
      <c r="AQ75" s="12"/>
      <c r="AR75" s="12">
        <v>0.5</v>
      </c>
      <c r="AS75" s="12"/>
      <c r="AT75" s="12"/>
      <c r="AX75" s="12"/>
      <c r="AY75" s="12">
        <v>0.5</v>
      </c>
      <c r="AZ75" s="12"/>
      <c r="BA75" s="12"/>
      <c r="BE75" s="12"/>
      <c r="BF75" s="12">
        <v>0.5</v>
      </c>
      <c r="BG75" s="12"/>
      <c r="BH75" s="12"/>
      <c r="BL75" s="12"/>
      <c r="BM75" s="12">
        <v>0.5</v>
      </c>
      <c r="BN75" s="12"/>
      <c r="BO75" s="12"/>
      <c r="BS75" s="12"/>
      <c r="BT75" s="12">
        <v>0.5</v>
      </c>
      <c r="BU75" s="12"/>
      <c r="BV75" s="12"/>
      <c r="BZ75" s="12"/>
      <c r="CA75" s="12">
        <v>0.8</v>
      </c>
      <c r="CB75" s="12"/>
      <c r="CC75" s="12"/>
      <c r="CG75" s="12"/>
      <c r="CH75" s="12">
        <v>0.8</v>
      </c>
      <c r="CI75" s="12"/>
      <c r="CJ75" s="12"/>
      <c r="CN75" s="12"/>
      <c r="CO75" s="12">
        <v>0.8</v>
      </c>
      <c r="CP75" s="12"/>
      <c r="CQ75" s="12"/>
      <c r="CU75" s="12"/>
      <c r="CV75" s="12">
        <v>1</v>
      </c>
      <c r="CW75" s="12"/>
      <c r="CX75" s="12"/>
      <c r="DB75" s="12"/>
      <c r="DC75" s="12">
        <v>1</v>
      </c>
      <c r="DD75" s="12"/>
      <c r="DE75" s="12">
        <v>1</v>
      </c>
    </row>
    <row r="76" spans="2:109" outlineLevel="1">
      <c r="B76" t="s">
        <v>29</v>
      </c>
      <c r="C76" t="s">
        <v>122</v>
      </c>
      <c r="E76" s="11"/>
      <c r="F76" t="s">
        <v>116</v>
      </c>
      <c r="G76" s="12">
        <v>0.05</v>
      </c>
      <c r="I76" s="11"/>
      <c r="J76" s="13">
        <v>0</v>
      </c>
      <c r="K76" s="13">
        <v>0</v>
      </c>
      <c r="L76" s="11"/>
      <c r="O76" s="12"/>
      <c r="P76" s="12"/>
      <c r="Q76" s="12"/>
      <c r="R76" s="12"/>
      <c r="V76" s="12"/>
      <c r="W76" s="12"/>
      <c r="X76" s="12"/>
      <c r="Y76" s="12"/>
      <c r="AC76" s="12"/>
      <c r="AD76" s="12"/>
      <c r="AE76" s="12"/>
      <c r="AF76" s="12"/>
      <c r="AJ76" s="12"/>
      <c r="AK76" s="12"/>
      <c r="AL76" s="12"/>
      <c r="AM76" s="12"/>
      <c r="AQ76" s="12"/>
      <c r="AR76" s="12">
        <v>0.5</v>
      </c>
      <c r="AS76" s="12"/>
      <c r="AT76" s="12"/>
      <c r="AX76" s="12"/>
      <c r="AY76" s="12">
        <v>0.5</v>
      </c>
      <c r="AZ76" s="12"/>
      <c r="BA76" s="12"/>
      <c r="BE76" s="12"/>
      <c r="BF76" s="12">
        <v>0.5</v>
      </c>
      <c r="BG76" s="12"/>
      <c r="BH76" s="12"/>
      <c r="BL76" s="12"/>
      <c r="BM76" s="12">
        <v>0.5</v>
      </c>
      <c r="BN76" s="12"/>
      <c r="BO76" s="12"/>
      <c r="BS76" s="12"/>
      <c r="BT76" s="12">
        <v>0.5</v>
      </c>
      <c r="BU76" s="12"/>
      <c r="BV76" s="12"/>
      <c r="BZ76" s="12"/>
      <c r="CA76" s="12">
        <v>0.8</v>
      </c>
      <c r="CB76" s="12"/>
      <c r="CC76" s="12"/>
      <c r="CG76" s="12"/>
      <c r="CH76" s="12">
        <v>0.8</v>
      </c>
      <c r="CI76" s="12"/>
      <c r="CJ76" s="12"/>
      <c r="CN76" s="12"/>
      <c r="CO76" s="12">
        <v>0.8</v>
      </c>
      <c r="CP76" s="12"/>
      <c r="CQ76" s="12"/>
      <c r="CU76" s="12"/>
      <c r="CV76" s="12">
        <v>0.8</v>
      </c>
      <c r="CW76" s="12"/>
      <c r="CX76" s="12"/>
      <c r="DB76" s="12"/>
      <c r="DC76" s="12">
        <v>1</v>
      </c>
      <c r="DD76" s="12"/>
      <c r="DE76" s="12">
        <v>1</v>
      </c>
    </row>
    <row r="77" spans="2:109" outlineLevel="1">
      <c r="B77" t="s">
        <v>29</v>
      </c>
      <c r="C77" t="s">
        <v>122</v>
      </c>
      <c r="E77" s="11"/>
      <c r="F77" t="s">
        <v>117</v>
      </c>
      <c r="G77" s="12">
        <v>0.05</v>
      </c>
      <c r="I77" s="11"/>
      <c r="J77" s="13">
        <v>0</v>
      </c>
      <c r="K77" s="13">
        <v>0</v>
      </c>
      <c r="L77" s="11"/>
      <c r="O77" s="12"/>
      <c r="P77" s="12"/>
      <c r="Q77" s="12"/>
      <c r="R77" s="12"/>
      <c r="V77" s="12"/>
      <c r="W77" s="12"/>
      <c r="X77" s="12"/>
      <c r="Y77" s="12"/>
      <c r="AC77" s="12"/>
      <c r="AD77" s="12"/>
      <c r="AE77" s="12"/>
      <c r="AF77" s="12"/>
      <c r="AJ77" s="12"/>
      <c r="AK77" s="12"/>
      <c r="AL77" s="12"/>
      <c r="AM77" s="12"/>
      <c r="AQ77" s="12"/>
      <c r="AR77" s="12"/>
      <c r="AS77" s="12"/>
      <c r="AT77" s="12"/>
      <c r="AX77" s="12"/>
      <c r="AY77" s="12">
        <v>0.5</v>
      </c>
      <c r="AZ77" s="12"/>
      <c r="BA77" s="12"/>
      <c r="BE77" s="12"/>
      <c r="BF77" s="12">
        <v>0.5</v>
      </c>
      <c r="BG77" s="12"/>
      <c r="BH77" s="12"/>
      <c r="BL77" s="12"/>
      <c r="BM77" s="12">
        <v>0.5</v>
      </c>
      <c r="BN77" s="12"/>
      <c r="BO77" s="12"/>
      <c r="BS77" s="12"/>
      <c r="BT77" s="12">
        <v>0.5</v>
      </c>
      <c r="BU77" s="12"/>
      <c r="BV77" s="12"/>
      <c r="BZ77" s="12"/>
      <c r="CA77" s="12">
        <v>0.5</v>
      </c>
      <c r="CB77" s="12"/>
      <c r="CC77" s="12"/>
      <c r="CG77" s="12"/>
      <c r="CH77" s="12">
        <v>0.8</v>
      </c>
      <c r="CI77" s="12"/>
      <c r="CJ77" s="12"/>
      <c r="CN77" s="12"/>
      <c r="CO77" s="12">
        <v>0.8</v>
      </c>
      <c r="CP77" s="12"/>
      <c r="CQ77" s="12"/>
      <c r="CU77" s="12"/>
      <c r="CV77" s="12">
        <v>0.8</v>
      </c>
      <c r="CW77" s="12"/>
      <c r="CX77" s="12"/>
      <c r="DB77" s="12"/>
      <c r="DC77" s="12">
        <v>1</v>
      </c>
      <c r="DD77" s="12"/>
      <c r="DE77" s="12">
        <v>1</v>
      </c>
    </row>
    <row r="78" spans="2:109" outlineLevel="1">
      <c r="B78" t="s">
        <v>29</v>
      </c>
      <c r="C78" t="s">
        <v>122</v>
      </c>
      <c r="E78" s="11"/>
      <c r="F78" t="s">
        <v>118</v>
      </c>
      <c r="G78" s="12">
        <v>0.05</v>
      </c>
      <c r="I78" s="11"/>
      <c r="J78" s="13">
        <v>0</v>
      </c>
      <c r="K78" s="13">
        <v>0</v>
      </c>
      <c r="L78" s="11"/>
      <c r="O78" s="12"/>
      <c r="P78" s="12"/>
      <c r="Q78" s="12"/>
      <c r="R78" s="12"/>
      <c r="V78" s="12"/>
      <c r="W78" s="12"/>
      <c r="X78" s="12"/>
      <c r="Y78" s="12"/>
      <c r="AC78" s="12"/>
      <c r="AD78" s="12"/>
      <c r="AE78" s="12"/>
      <c r="AF78" s="12"/>
      <c r="AJ78" s="12"/>
      <c r="AK78" s="12"/>
      <c r="AL78" s="12"/>
      <c r="AM78" s="12"/>
      <c r="AQ78" s="12"/>
      <c r="AR78" s="12"/>
      <c r="AS78" s="12"/>
      <c r="AT78" s="12"/>
      <c r="AX78" s="12"/>
      <c r="AY78" s="12">
        <v>0.5</v>
      </c>
      <c r="AZ78" s="12"/>
      <c r="BA78" s="12"/>
      <c r="BE78" s="12"/>
      <c r="BF78" s="12">
        <v>0.5</v>
      </c>
      <c r="BG78" s="12"/>
      <c r="BH78" s="12"/>
      <c r="BL78" s="12"/>
      <c r="BM78" s="12">
        <v>0.5</v>
      </c>
      <c r="BN78" s="12"/>
      <c r="BO78" s="12"/>
      <c r="BS78" s="12"/>
      <c r="BT78" s="12">
        <v>0.5</v>
      </c>
      <c r="BU78" s="12"/>
      <c r="BV78" s="12"/>
      <c r="BZ78" s="12"/>
      <c r="CA78" s="12">
        <v>0.5</v>
      </c>
      <c r="CB78" s="12"/>
      <c r="CC78" s="12"/>
      <c r="CG78" s="12"/>
      <c r="CH78" s="12">
        <v>0.8</v>
      </c>
      <c r="CI78" s="12"/>
      <c r="CJ78" s="12"/>
      <c r="CN78" s="12"/>
      <c r="CO78" s="12">
        <v>0.8</v>
      </c>
      <c r="CP78" s="12"/>
      <c r="CQ78" s="12"/>
      <c r="CU78" s="12"/>
      <c r="CV78" s="12">
        <v>0.8</v>
      </c>
      <c r="CW78" s="12"/>
      <c r="CX78" s="12"/>
      <c r="DB78" s="12"/>
      <c r="DC78" s="12">
        <v>1</v>
      </c>
      <c r="DD78" s="12"/>
      <c r="DE78" s="12">
        <v>1</v>
      </c>
    </row>
    <row r="79" spans="2:109" outlineLevel="1">
      <c r="B79" t="s">
        <v>29</v>
      </c>
      <c r="C79" t="s">
        <v>122</v>
      </c>
      <c r="E79" s="11"/>
      <c r="F79" t="s">
        <v>119</v>
      </c>
      <c r="G79" s="12">
        <v>0.05</v>
      </c>
      <c r="I79" s="11"/>
      <c r="J79" s="13">
        <v>0</v>
      </c>
      <c r="K79" s="13">
        <v>0</v>
      </c>
      <c r="L79" s="11"/>
      <c r="O79" s="12"/>
      <c r="P79" s="12"/>
      <c r="Q79" s="12"/>
      <c r="R79" s="12"/>
      <c r="V79" s="12"/>
      <c r="W79" s="12"/>
      <c r="X79" s="12"/>
      <c r="Y79" s="12"/>
      <c r="AC79" s="12"/>
      <c r="AD79" s="12"/>
      <c r="AE79" s="12"/>
      <c r="AF79" s="12"/>
      <c r="AJ79" s="12"/>
      <c r="AK79" s="12"/>
      <c r="AL79" s="12"/>
      <c r="AM79" s="12"/>
      <c r="AQ79" s="12"/>
      <c r="AR79" s="12"/>
      <c r="AS79" s="12"/>
      <c r="AT79" s="12"/>
      <c r="AX79" s="12"/>
      <c r="AY79" s="12"/>
      <c r="AZ79" s="12"/>
      <c r="BA79" s="12"/>
      <c r="BE79" s="12"/>
      <c r="BF79" s="12">
        <v>0.5</v>
      </c>
      <c r="BG79" s="12"/>
      <c r="BH79" s="12"/>
      <c r="BL79" s="12"/>
      <c r="BM79" s="12">
        <v>0.5</v>
      </c>
      <c r="BN79" s="12"/>
      <c r="BO79" s="12"/>
      <c r="BS79" s="12"/>
      <c r="BT79" s="12">
        <v>0.5</v>
      </c>
      <c r="BU79" s="12"/>
      <c r="BV79" s="12"/>
      <c r="BZ79" s="12"/>
      <c r="CA79" s="12">
        <v>0.5</v>
      </c>
      <c r="CB79" s="12"/>
      <c r="CC79" s="12"/>
      <c r="CG79" s="12"/>
      <c r="CH79" s="12">
        <v>0.5</v>
      </c>
      <c r="CI79" s="12"/>
      <c r="CJ79" s="12"/>
      <c r="CN79" s="12"/>
      <c r="CO79" s="12">
        <v>0.8</v>
      </c>
      <c r="CP79" s="12"/>
      <c r="CQ79" s="12"/>
      <c r="CU79" s="12"/>
      <c r="CV79" s="12">
        <v>0.8</v>
      </c>
      <c r="CW79" s="12"/>
      <c r="CX79" s="12"/>
      <c r="DB79" s="12"/>
      <c r="DC79" s="12">
        <v>1</v>
      </c>
      <c r="DD79" s="12"/>
      <c r="DE79" s="12">
        <v>1</v>
      </c>
    </row>
    <row r="80" spans="2:109" outlineLevel="1">
      <c r="B80" t="s">
        <v>29</v>
      </c>
      <c r="C80" t="s">
        <v>122</v>
      </c>
      <c r="E80" s="11"/>
      <c r="F80" t="s">
        <v>120</v>
      </c>
      <c r="G80" s="12">
        <v>0.05</v>
      </c>
      <c r="I80" s="11">
        <f>+SUMIF($N$3:$ZT$3,I$3,$N80:$ZT80)</f>
        <v>0</v>
      </c>
      <c r="J80" s="13">
        <f>+_xlfn.MAXIFS($N80:$YZ80,$N$3:$YZ$3,J$3)</f>
        <v>0</v>
      </c>
      <c r="K80" s="13">
        <f>+_xlfn.MAXIFS($N80:$YZ80,$N$3:$YZ$3,K$3)</f>
        <v>0</v>
      </c>
      <c r="L80" s="11"/>
      <c r="O80" s="12"/>
      <c r="P80" s="12"/>
      <c r="Q80" s="12"/>
      <c r="R80" s="12"/>
      <c r="V80" s="12"/>
      <c r="W80" s="12"/>
      <c r="X80" s="12"/>
      <c r="Y80" s="12"/>
      <c r="AC80" s="12"/>
      <c r="AD80" s="12"/>
      <c r="AE80" s="12"/>
      <c r="AF80" s="12"/>
      <c r="AJ80" s="12"/>
      <c r="AK80" s="12"/>
      <c r="AL80" s="12"/>
      <c r="AM80" s="12"/>
      <c r="AQ80" s="12"/>
      <c r="AR80" s="12"/>
      <c r="AS80" s="12"/>
      <c r="AT80" s="12"/>
      <c r="AX80" s="12"/>
      <c r="AY80" s="12"/>
      <c r="AZ80" s="12"/>
      <c r="BA80" s="12"/>
      <c r="BE80" s="12"/>
      <c r="BF80" s="12">
        <v>0.5</v>
      </c>
      <c r="BG80" s="12"/>
      <c r="BH80" s="12"/>
      <c r="BL80" s="12"/>
      <c r="BM80" s="12">
        <v>0.5</v>
      </c>
      <c r="BN80" s="12"/>
      <c r="BO80" s="12"/>
      <c r="BS80" s="12"/>
      <c r="BT80" s="12">
        <v>0.5</v>
      </c>
      <c r="BU80" s="12"/>
      <c r="BV80" s="12"/>
      <c r="BZ80" s="12"/>
      <c r="CA80" s="12">
        <v>0.5</v>
      </c>
      <c r="CB80" s="12"/>
      <c r="CC80" s="12"/>
      <c r="CG80" s="12"/>
      <c r="CH80" s="12">
        <v>0.5</v>
      </c>
      <c r="CI80" s="12"/>
      <c r="CJ80" s="12"/>
      <c r="CN80" s="12"/>
      <c r="CO80" s="12">
        <v>0.8</v>
      </c>
      <c r="CP80" s="12"/>
      <c r="CQ80" s="12"/>
      <c r="CU80" s="12"/>
      <c r="CV80" s="12">
        <v>0.8</v>
      </c>
      <c r="CW80" s="12"/>
      <c r="CX80" s="12"/>
      <c r="DB80" s="12"/>
      <c r="DC80" s="12">
        <v>1</v>
      </c>
      <c r="DD80" s="12"/>
      <c r="DE80" s="12">
        <v>1</v>
      </c>
    </row>
  </sheetData>
  <mergeCells count="15">
    <mergeCell ref="DA2:DF2"/>
    <mergeCell ref="CT2:CY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5:K16">
    <cfRule type="colorScale" priority="625">
      <colorScale>
        <cfvo type="percent" val="0"/>
        <cfvo type="percent" val="100"/>
        <color rgb="FFFF231B"/>
        <color rgb="FF10FF07"/>
      </colorScale>
    </cfRule>
  </conditionalFormatting>
  <conditionalFormatting sqref="O5:O16">
    <cfRule type="expression" dxfId="352" priority="623">
      <formula>OR(IF(O5&lt;P5,TRUE),IF(AND(P5="",O5&lt;&gt;""),TRUE))</formula>
    </cfRule>
    <cfRule type="expression" dxfId="351" priority="624">
      <formula>IF(O5&gt;=P5,IF(O5="",FALSE,TRUE))</formula>
    </cfRule>
  </conditionalFormatting>
  <conditionalFormatting sqref="Q5:Q16">
    <cfRule type="expression" dxfId="350" priority="621">
      <formula>OR(IF(Q5&lt;R5,TRUE),IF(AND(R5="",Q5&lt;&gt;""),TRUE))</formula>
    </cfRule>
    <cfRule type="expression" dxfId="349" priority="622">
      <formula>IF(Q5&gt;=R5,IF(Q5="",FALSE,TRUE))</formula>
    </cfRule>
  </conditionalFormatting>
  <conditionalFormatting sqref="AJ34:AJ43">
    <cfRule type="expression" dxfId="348" priority="494">
      <formula>OR(IF(AJ34&lt;AK34,TRUE),IF(AND(AK34="",AJ34&lt;&gt;""),TRUE))</formula>
    </cfRule>
    <cfRule type="expression" dxfId="347" priority="495">
      <formula>IF(AJ34&gt;=AK34,IF(AJ34="",FALSE,TRUE))</formula>
    </cfRule>
  </conditionalFormatting>
  <conditionalFormatting sqref="AL34:AL43">
    <cfRule type="expression" dxfId="346" priority="492">
      <formula>OR(IF(AL34&lt;AM34,TRUE),IF(AND(AM34="",AL34&lt;&gt;""),TRUE))</formula>
    </cfRule>
    <cfRule type="expression" dxfId="345" priority="493">
      <formula>IF(AL34&gt;=AM34,IF(AL34="",FALSE,TRUE))</formula>
    </cfRule>
  </conditionalFormatting>
  <conditionalFormatting sqref="AQ5:AQ16">
    <cfRule type="expression" dxfId="344" priority="490">
      <formula>OR(IF(AQ5&lt;AR5,TRUE),IF(AND(AR5="",AQ5&lt;&gt;""),TRUE))</formula>
    </cfRule>
    <cfRule type="expression" dxfId="343" priority="491">
      <formula>IF(AQ5&gt;=AR5,IF(AQ5="",FALSE,TRUE))</formula>
    </cfRule>
  </conditionalFormatting>
  <conditionalFormatting sqref="AS5:AS16">
    <cfRule type="expression" dxfId="342" priority="488">
      <formula>OR(IF(AS5&lt;AT5,TRUE),IF(AND(AT5="",AS5&lt;&gt;""),TRUE))</formula>
    </cfRule>
    <cfRule type="expression" dxfId="341" priority="489">
      <formula>IF(AS5&gt;=AT5,IF(AS5="",FALSE,TRUE))</formula>
    </cfRule>
  </conditionalFormatting>
  <conditionalFormatting sqref="J32:K43">
    <cfRule type="colorScale" priority="566">
      <colorScale>
        <cfvo type="percent" val="0"/>
        <cfvo type="percent" val="100"/>
        <color rgb="FFFF231B"/>
        <color rgb="FF10FF07"/>
      </colorScale>
    </cfRule>
  </conditionalFormatting>
  <conditionalFormatting sqref="O32:O33">
    <cfRule type="expression" dxfId="340" priority="564">
      <formula>OR(IF(O32&lt;P32,TRUE),IF(AND(P32="",O32&lt;&gt;""),TRUE))</formula>
    </cfRule>
    <cfRule type="expression" dxfId="339" priority="565">
      <formula>IF(O32&gt;=P32,IF(O32="",FALSE,TRUE))</formula>
    </cfRule>
  </conditionalFormatting>
  <conditionalFormatting sqref="Q32:Q33">
    <cfRule type="expression" dxfId="338" priority="562">
      <formula>OR(IF(Q32&lt;R32,TRUE),IF(AND(R32="",Q32&lt;&gt;""),TRUE))</formula>
    </cfRule>
    <cfRule type="expression" dxfId="337" priority="563">
      <formula>IF(Q32&gt;=R32,IF(Q32="",FALSE,TRUE))</formula>
    </cfRule>
  </conditionalFormatting>
  <conditionalFormatting sqref="AX34:AX43">
    <cfRule type="expression" dxfId="336" priority="462">
      <formula>OR(IF(AX34&lt;AY34,TRUE),IF(AND(AY34="",AX34&lt;&gt;""),TRUE))</formula>
    </cfRule>
    <cfRule type="expression" dxfId="335" priority="463">
      <formula>IF(AX34&gt;=AY34,IF(AX34="",FALSE,TRUE))</formula>
    </cfRule>
  </conditionalFormatting>
  <conditionalFormatting sqref="AZ34:AZ43">
    <cfRule type="expression" dxfId="334" priority="460">
      <formula>OR(IF(AZ34&lt;BA34,TRUE),IF(AND(BA34="",AZ34&lt;&gt;""),TRUE))</formula>
    </cfRule>
    <cfRule type="expression" dxfId="333" priority="461">
      <formula>IF(AZ34&gt;=BA34,IF(AZ34="",FALSE,TRUE))</formula>
    </cfRule>
  </conditionalFormatting>
  <conditionalFormatting sqref="BE5:BE16">
    <cfRule type="expression" dxfId="332" priority="458">
      <formula>OR(IF(BE5&lt;BF5,TRUE),IF(AND(BF5="",BE5&lt;&gt;""),TRUE))</formula>
    </cfRule>
    <cfRule type="expression" dxfId="331" priority="459">
      <formula>IF(BE5&gt;=BF5,IF(BE5="",FALSE,TRUE))</formula>
    </cfRule>
  </conditionalFormatting>
  <conditionalFormatting sqref="BG5:BG16">
    <cfRule type="expression" dxfId="330" priority="456">
      <formula>OR(IF(BG5&lt;BH5,TRUE),IF(AND(BH5="",BG5&lt;&gt;""),TRUE))</formula>
    </cfRule>
    <cfRule type="expression" dxfId="329" priority="457">
      <formula>IF(BG5&gt;=BH5,IF(BG5="",FALSE,TRUE))</formula>
    </cfRule>
  </conditionalFormatting>
  <conditionalFormatting sqref="BE32:BE33">
    <cfRule type="expression" dxfId="328" priority="454">
      <formula>OR(IF(BE32&lt;BF32,TRUE),IF(AND(BF32="",BE32&lt;&gt;""),TRUE))</formula>
    </cfRule>
    <cfRule type="expression" dxfId="327" priority="455">
      <formula>IF(BE32&gt;=BF32,IF(BE32="",FALSE,TRUE))</formula>
    </cfRule>
  </conditionalFormatting>
  <conditionalFormatting sqref="Q34:Q43">
    <cfRule type="expression" dxfId="326" priority="540">
      <formula>OR(IF(Q34&lt;R34,TRUE),IF(AND(R34="",Q34&lt;&gt;""),TRUE))</formula>
    </cfRule>
    <cfRule type="expression" dxfId="325" priority="541">
      <formula>IF(Q34&gt;=R34,IF(Q34="",FALSE,TRUE))</formula>
    </cfRule>
  </conditionalFormatting>
  <conditionalFormatting sqref="O34:O43">
    <cfRule type="expression" dxfId="324" priority="542">
      <formula>OR(IF(O34&lt;P34,TRUE),IF(AND(P34="",O34&lt;&gt;""),TRUE))</formula>
    </cfRule>
    <cfRule type="expression" dxfId="323" priority="543">
      <formula>IF(O34&gt;=P34,IF(O34="",FALSE,TRUE))</formula>
    </cfRule>
  </conditionalFormatting>
  <conditionalFormatting sqref="BG34:BG43">
    <cfRule type="expression" dxfId="322" priority="444">
      <formula>OR(IF(BG34&lt;BH34,TRUE),IF(AND(BH34="",BG34&lt;&gt;""),TRUE))</formula>
    </cfRule>
    <cfRule type="expression" dxfId="321" priority="445">
      <formula>IF(BG34&gt;=BH34,IF(BG34="",FALSE,TRUE))</formula>
    </cfRule>
  </conditionalFormatting>
  <conditionalFormatting sqref="V5:V16">
    <cfRule type="expression" dxfId="320" priority="538">
      <formula>OR(IF(V5&lt;W5,TRUE),IF(AND(W5="",V5&lt;&gt;""),TRUE))</formula>
    </cfRule>
    <cfRule type="expression" dxfId="319" priority="539">
      <formula>IF(V5&gt;=W5,IF(V5="",FALSE,TRUE))</formula>
    </cfRule>
  </conditionalFormatting>
  <conditionalFormatting sqref="X5:X16">
    <cfRule type="expression" dxfId="318" priority="536">
      <formula>OR(IF(X5&lt;Y5,TRUE),IF(AND(Y5="",X5&lt;&gt;""),TRUE))</formula>
    </cfRule>
    <cfRule type="expression" dxfId="317" priority="537">
      <formula>IF(X5&gt;=Y5,IF(X5="",FALSE,TRUE))</formula>
    </cfRule>
  </conditionalFormatting>
  <conditionalFormatting sqref="V32:V33">
    <cfRule type="expression" dxfId="316" priority="534">
      <formula>OR(IF(V32&lt;W32,TRUE),IF(AND(W32="",V32&lt;&gt;""),TRUE))</formula>
    </cfRule>
    <cfRule type="expression" dxfId="315" priority="535">
      <formula>IF(V32&gt;=W32,IF(V32="",FALSE,TRUE))</formula>
    </cfRule>
  </conditionalFormatting>
  <conditionalFormatting sqref="X32:X33">
    <cfRule type="expression" dxfId="314" priority="532">
      <formula>OR(IF(X32&lt;Y32,TRUE),IF(AND(Y32="",X32&lt;&gt;""),TRUE))</formula>
    </cfRule>
    <cfRule type="expression" dxfId="313" priority="533">
      <formula>IF(X32&gt;=Y32,IF(X32="",FALSE,TRUE))</formula>
    </cfRule>
  </conditionalFormatting>
  <conditionalFormatting sqref="X34:X43">
    <cfRule type="expression" dxfId="312" priority="524">
      <formula>OR(IF(X34&lt;Y34,TRUE),IF(AND(Y34="",X34&lt;&gt;""),TRUE))</formula>
    </cfRule>
    <cfRule type="expression" dxfId="311" priority="525">
      <formula>IF(X34&gt;=Y34,IF(X34="",FALSE,TRUE))</formula>
    </cfRule>
  </conditionalFormatting>
  <conditionalFormatting sqref="V34:V43">
    <cfRule type="expression" dxfId="310" priority="526">
      <formula>OR(IF(V34&lt;W34,TRUE),IF(AND(W34="",V34&lt;&gt;""),TRUE))</formula>
    </cfRule>
    <cfRule type="expression" dxfId="309" priority="527">
      <formula>IF(V34&gt;=W34,IF(V34="",FALSE,TRUE))</formula>
    </cfRule>
  </conditionalFormatting>
  <conditionalFormatting sqref="AC5:AC16">
    <cfRule type="expression" dxfId="308" priority="522">
      <formula>OR(IF(AC5&lt;AD5,TRUE),IF(AND(AD5="",AC5&lt;&gt;""),TRUE))</formula>
    </cfRule>
    <cfRule type="expression" dxfId="307" priority="523">
      <formula>IF(AC5&gt;=AD5,IF(AC5="",FALSE,TRUE))</formula>
    </cfRule>
  </conditionalFormatting>
  <conditionalFormatting sqref="AE5:AE16">
    <cfRule type="expression" dxfId="306" priority="520">
      <formula>OR(IF(AE5&lt;AF5,TRUE),IF(AND(AF5="",AE5&lt;&gt;""),TRUE))</formula>
    </cfRule>
    <cfRule type="expression" dxfId="305" priority="521">
      <formula>IF(AE5&gt;=AF5,IF(AE5="",FALSE,TRUE))</formula>
    </cfRule>
  </conditionalFormatting>
  <conditionalFormatting sqref="AC32:AC33">
    <cfRule type="expression" dxfId="304" priority="518">
      <formula>OR(IF(AC32&lt;AD32,TRUE),IF(AND(AD32="",AC32&lt;&gt;""),TRUE))</formula>
    </cfRule>
    <cfRule type="expression" dxfId="303" priority="519">
      <formula>IF(AC32&gt;=AD32,IF(AC32="",FALSE,TRUE))</formula>
    </cfRule>
  </conditionalFormatting>
  <conditionalFormatting sqref="AE32:AE33">
    <cfRule type="expression" dxfId="302" priority="516">
      <formula>OR(IF(AE32&lt;AF32,TRUE),IF(AND(AF32="",AE32&lt;&gt;""),TRUE))</formula>
    </cfRule>
    <cfRule type="expression" dxfId="301" priority="517">
      <formula>IF(AE32&gt;=AF32,IF(AE32="",FALSE,TRUE))</formula>
    </cfRule>
  </conditionalFormatting>
  <conditionalFormatting sqref="AE34:AE43">
    <cfRule type="expression" dxfId="300" priority="508">
      <formula>OR(IF(AE34&lt;AF34,TRUE),IF(AND(AF34="",AE34&lt;&gt;""),TRUE))</formula>
    </cfRule>
    <cfRule type="expression" dxfId="299" priority="509">
      <formula>IF(AE34&gt;=AF34,IF(AE34="",FALSE,TRUE))</formula>
    </cfRule>
  </conditionalFormatting>
  <conditionalFormatting sqref="AC34:AC43">
    <cfRule type="expression" dxfId="298" priority="510">
      <formula>OR(IF(AC34&lt;AD34,TRUE),IF(AND(AD34="",AC34&lt;&gt;""),TRUE))</formula>
    </cfRule>
    <cfRule type="expression" dxfId="297" priority="511">
      <formula>IF(AC34&gt;=AD34,IF(AC34="",FALSE,TRUE))</formula>
    </cfRule>
  </conditionalFormatting>
  <conditionalFormatting sqref="AJ5:AJ16">
    <cfRule type="expression" dxfId="296" priority="506">
      <formula>OR(IF(AJ5&lt;AK5,TRUE),IF(AND(AK5="",AJ5&lt;&gt;""),TRUE))</formula>
    </cfRule>
    <cfRule type="expression" dxfId="295" priority="507">
      <formula>IF(AJ5&gt;=AK5,IF(AJ5="",FALSE,TRUE))</formula>
    </cfRule>
  </conditionalFormatting>
  <conditionalFormatting sqref="AL5:AL16">
    <cfRule type="expression" dxfId="294" priority="504">
      <formula>OR(IF(AL5&lt;AM5,TRUE),IF(AND(AM5="",AL5&lt;&gt;""),TRUE))</formula>
    </cfRule>
    <cfRule type="expression" dxfId="293" priority="505">
      <formula>IF(AL5&gt;=AM5,IF(AL5="",FALSE,TRUE))</formula>
    </cfRule>
  </conditionalFormatting>
  <conditionalFormatting sqref="AJ32:AJ33">
    <cfRule type="expression" dxfId="292" priority="502">
      <formula>OR(IF(AJ32&lt;AK32,TRUE),IF(AND(AK32="",AJ32&lt;&gt;""),TRUE))</formula>
    </cfRule>
    <cfRule type="expression" dxfId="291" priority="503">
      <formula>IF(AJ32&gt;=AK32,IF(AJ32="",FALSE,TRUE))</formula>
    </cfRule>
  </conditionalFormatting>
  <conditionalFormatting sqref="AL32:AL33">
    <cfRule type="expression" dxfId="290" priority="500">
      <formula>OR(IF(AL32&lt;AM32,TRUE),IF(AND(AM32="",AL32&lt;&gt;""),TRUE))</formula>
    </cfRule>
    <cfRule type="expression" dxfId="289" priority="501">
      <formula>IF(AL32&gt;=AM32,IF(AL32="",FALSE,TRUE))</formula>
    </cfRule>
  </conditionalFormatting>
  <conditionalFormatting sqref="AQ32:AQ33">
    <cfRule type="expression" dxfId="288" priority="486">
      <formula>OR(IF(AQ32&lt;AR32,TRUE),IF(AND(AR32="",AQ32&lt;&gt;""),TRUE))</formula>
    </cfRule>
    <cfRule type="expression" dxfId="287" priority="487">
      <formula>IF(AQ32&gt;=AR32,IF(AQ32="",FALSE,TRUE))</formula>
    </cfRule>
  </conditionalFormatting>
  <conditionalFormatting sqref="AS32:AS33">
    <cfRule type="expression" dxfId="286" priority="484">
      <formula>OR(IF(AS32&lt;AT32,TRUE),IF(AND(AT32="",AS32&lt;&gt;""),TRUE))</formula>
    </cfRule>
    <cfRule type="expression" dxfId="285" priority="485">
      <formula>IF(AS32&gt;=AT32,IF(AS32="",FALSE,TRUE))</formula>
    </cfRule>
  </conditionalFormatting>
  <conditionalFormatting sqref="AS34:AS43">
    <cfRule type="expression" dxfId="284" priority="476">
      <formula>OR(IF(AS34&lt;AT34,TRUE),IF(AND(AT34="",AS34&lt;&gt;""),TRUE))</formula>
    </cfRule>
    <cfRule type="expression" dxfId="283" priority="477">
      <formula>IF(AS34&gt;=AT34,IF(AS34="",FALSE,TRUE))</formula>
    </cfRule>
  </conditionalFormatting>
  <conditionalFormatting sqref="AQ34:AQ43">
    <cfRule type="expression" dxfId="282" priority="478">
      <formula>OR(IF(AQ34&lt;AR34,TRUE),IF(AND(AR34="",AQ34&lt;&gt;""),TRUE))</formula>
    </cfRule>
    <cfRule type="expression" dxfId="281" priority="479">
      <formula>IF(AQ34&gt;=AR34,IF(AQ34="",FALSE,TRUE))</formula>
    </cfRule>
  </conditionalFormatting>
  <conditionalFormatting sqref="AX5:AX16">
    <cfRule type="expression" dxfId="280" priority="474">
      <formula>OR(IF(AX5&lt;AY5,TRUE),IF(AND(AY5="",AX5&lt;&gt;""),TRUE))</formula>
    </cfRule>
    <cfRule type="expression" dxfId="279" priority="475">
      <formula>IF(AX5&gt;=AY5,IF(AX5="",FALSE,TRUE))</formula>
    </cfRule>
  </conditionalFormatting>
  <conditionalFormatting sqref="AZ5:AZ16">
    <cfRule type="expression" dxfId="278" priority="472">
      <formula>OR(IF(AZ5&lt;BA5,TRUE),IF(AND(BA5="",AZ5&lt;&gt;""),TRUE))</formula>
    </cfRule>
    <cfRule type="expression" dxfId="277" priority="473">
      <formula>IF(AZ5&gt;=BA5,IF(AZ5="",FALSE,TRUE))</formula>
    </cfRule>
  </conditionalFormatting>
  <conditionalFormatting sqref="AX32:AX33">
    <cfRule type="expression" dxfId="276" priority="470">
      <formula>OR(IF(AX32&lt;AY32,TRUE),IF(AND(AY32="",AX32&lt;&gt;""),TRUE))</formula>
    </cfRule>
    <cfRule type="expression" dxfId="275" priority="471">
      <formula>IF(AX32&gt;=AY32,IF(AX32="",FALSE,TRUE))</formula>
    </cfRule>
  </conditionalFormatting>
  <conditionalFormatting sqref="AZ32:AZ33">
    <cfRule type="expression" dxfId="274" priority="468">
      <formula>OR(IF(AZ32&lt;BA32,TRUE),IF(AND(BA32="",AZ32&lt;&gt;""),TRUE))</formula>
    </cfRule>
    <cfRule type="expression" dxfId="273" priority="469">
      <formula>IF(AZ32&gt;=BA32,IF(AZ32="",FALSE,TRUE))</formula>
    </cfRule>
  </conditionalFormatting>
  <conditionalFormatting sqref="BG32:BG33">
    <cfRule type="expression" dxfId="272" priority="452">
      <formula>OR(IF(BG32&lt;BH32,TRUE),IF(AND(BH32="",BG32&lt;&gt;""),TRUE))</formula>
    </cfRule>
    <cfRule type="expression" dxfId="271" priority="453">
      <formula>IF(BG32&gt;=BH32,IF(BG32="",FALSE,TRUE))</formula>
    </cfRule>
  </conditionalFormatting>
  <conditionalFormatting sqref="BE34:BE43">
    <cfRule type="expression" dxfId="270" priority="446">
      <formula>OR(IF(BE34&lt;BF34,TRUE),IF(AND(BF34="",BE34&lt;&gt;""),TRUE))</formula>
    </cfRule>
    <cfRule type="expression" dxfId="269" priority="447">
      <formula>IF(BE34&gt;=BF34,IF(BE34="",FALSE,TRUE))</formula>
    </cfRule>
  </conditionalFormatting>
  <conditionalFormatting sqref="J46:K58">
    <cfRule type="colorScale" priority="443">
      <colorScale>
        <cfvo type="percent" val="0"/>
        <cfvo type="percent" val="100"/>
        <color rgb="FFFF231B"/>
        <color rgb="FF10FF07"/>
      </colorScale>
    </cfRule>
  </conditionalFormatting>
  <conditionalFormatting sqref="O46:O58">
    <cfRule type="expression" dxfId="268" priority="441">
      <formula>OR(IF(O46&lt;P46,TRUE),IF(AND(P46="",O46&lt;&gt;""),TRUE))</formula>
    </cfRule>
    <cfRule type="expression" dxfId="267" priority="442">
      <formula>IF(O46&gt;=P46,IF(O46="",FALSE,TRUE))</formula>
    </cfRule>
  </conditionalFormatting>
  <conditionalFormatting sqref="Q46:Q58">
    <cfRule type="expression" dxfId="266" priority="439">
      <formula>OR(IF(Q46&lt;R46,TRUE),IF(AND(R46="",Q46&lt;&gt;""),TRUE))</formula>
    </cfRule>
    <cfRule type="expression" dxfId="265" priority="440">
      <formula>IF(Q46&gt;=R46,IF(Q46="",FALSE,TRUE))</formula>
    </cfRule>
  </conditionalFormatting>
  <conditionalFormatting sqref="AQ46:AQ58">
    <cfRule type="expression" dxfId="264" priority="425">
      <formula>OR(IF(AQ46&lt;AR46,TRUE),IF(AND(AR46="",AQ46&lt;&gt;""),TRUE))</formula>
    </cfRule>
    <cfRule type="expression" dxfId="263" priority="426">
      <formula>IF(AQ46&gt;=AR46,IF(AQ46="",FALSE,TRUE))</formula>
    </cfRule>
  </conditionalFormatting>
  <conditionalFormatting sqref="AS46:AS58">
    <cfRule type="expression" dxfId="262" priority="423">
      <formula>OR(IF(AS46&lt;AT46,TRUE),IF(AND(AT46="",AS46&lt;&gt;""),TRUE))</formula>
    </cfRule>
    <cfRule type="expression" dxfId="261" priority="424">
      <formula>IF(AS46&gt;=AT46,IF(AS46="",FALSE,TRUE))</formula>
    </cfRule>
  </conditionalFormatting>
  <conditionalFormatting sqref="BE46:BE58">
    <cfRule type="expression" dxfId="260" priority="417">
      <formula>OR(IF(BE46&lt;BF46,TRUE),IF(AND(BF46="",BE46&lt;&gt;""),TRUE))</formula>
    </cfRule>
    <cfRule type="expression" dxfId="259" priority="418">
      <formula>IF(BE46&gt;=BF46,IF(BE46="",FALSE,TRUE))</formula>
    </cfRule>
  </conditionalFormatting>
  <conditionalFormatting sqref="BG46:BG58">
    <cfRule type="expression" dxfId="258" priority="415">
      <formula>OR(IF(BG46&lt;BH46,TRUE),IF(AND(BH46="",BG46&lt;&gt;""),TRUE))</formula>
    </cfRule>
    <cfRule type="expression" dxfId="257" priority="416">
      <formula>IF(BG46&gt;=BH46,IF(BG46="",FALSE,TRUE))</formula>
    </cfRule>
  </conditionalFormatting>
  <conditionalFormatting sqref="V46:V58">
    <cfRule type="expression" dxfId="256" priority="437">
      <formula>OR(IF(V46&lt;W46,TRUE),IF(AND(W46="",V46&lt;&gt;""),TRUE))</formula>
    </cfRule>
    <cfRule type="expression" dxfId="255" priority="438">
      <formula>IF(V46&gt;=W46,IF(V46="",FALSE,TRUE))</formula>
    </cfRule>
  </conditionalFormatting>
  <conditionalFormatting sqref="X46:X58">
    <cfRule type="expression" dxfId="254" priority="435">
      <formula>OR(IF(X46&lt;Y46,TRUE),IF(AND(Y46="",X46&lt;&gt;""),TRUE))</formula>
    </cfRule>
    <cfRule type="expression" dxfId="253" priority="436">
      <formula>IF(X46&gt;=Y46,IF(X46="",FALSE,TRUE))</formula>
    </cfRule>
  </conditionalFormatting>
  <conditionalFormatting sqref="AC46:AC58">
    <cfRule type="expression" dxfId="252" priority="433">
      <formula>OR(IF(AC46&lt;AD46,TRUE),IF(AND(AD46="",AC46&lt;&gt;""),TRUE))</formula>
    </cfRule>
    <cfRule type="expression" dxfId="251" priority="434">
      <formula>IF(AC46&gt;=AD46,IF(AC46="",FALSE,TRUE))</formula>
    </cfRule>
  </conditionalFormatting>
  <conditionalFormatting sqref="AE46:AE58">
    <cfRule type="expression" dxfId="250" priority="431">
      <formula>OR(IF(AE46&lt;AF46,TRUE),IF(AND(AF46="",AE46&lt;&gt;""),TRUE))</formula>
    </cfRule>
    <cfRule type="expression" dxfId="249" priority="432">
      <formula>IF(AE46&gt;=AF46,IF(AE46="",FALSE,TRUE))</formula>
    </cfRule>
  </conditionalFormatting>
  <conditionalFormatting sqref="AJ46:AJ58">
    <cfRule type="expression" dxfId="248" priority="429">
      <formula>OR(IF(AJ46&lt;AK46,TRUE),IF(AND(AK46="",AJ46&lt;&gt;""),TRUE))</formula>
    </cfRule>
    <cfRule type="expression" dxfId="247" priority="430">
      <formula>IF(AJ46&gt;=AK46,IF(AJ46="",FALSE,TRUE))</formula>
    </cfRule>
  </conditionalFormatting>
  <conditionalFormatting sqref="AL46:AL58">
    <cfRule type="expression" dxfId="246" priority="427">
      <formula>OR(IF(AL46&lt;AM46,TRUE),IF(AND(AM46="",AL46&lt;&gt;""),TRUE))</formula>
    </cfRule>
    <cfRule type="expression" dxfId="245" priority="428">
      <formula>IF(AL46&gt;=AM46,IF(AL46="",FALSE,TRUE))</formula>
    </cfRule>
  </conditionalFormatting>
  <conditionalFormatting sqref="AX46:AX58">
    <cfRule type="expression" dxfId="244" priority="421">
      <formula>OR(IF(AX46&lt;AY46,TRUE),IF(AND(AY46="",AX46&lt;&gt;""),TRUE))</formula>
    </cfRule>
    <cfRule type="expression" dxfId="243" priority="422">
      <formula>IF(AX46&gt;=AY46,IF(AX46="",FALSE,TRUE))</formula>
    </cfRule>
  </conditionalFormatting>
  <conditionalFormatting sqref="AZ46:AZ58">
    <cfRule type="expression" dxfId="242" priority="419">
      <formula>OR(IF(AZ46&lt;BA46,TRUE),IF(AND(BA46="",AZ46&lt;&gt;""),TRUE))</formula>
    </cfRule>
    <cfRule type="expression" dxfId="241" priority="420">
      <formula>IF(AZ46&gt;=BA46,IF(AZ46="",FALSE,TRUE))</formula>
    </cfRule>
  </conditionalFormatting>
  <conditionalFormatting sqref="J19:K30">
    <cfRule type="colorScale" priority="274">
      <colorScale>
        <cfvo type="percent" val="0"/>
        <cfvo type="percent" val="100"/>
        <color rgb="FFFF231B"/>
        <color rgb="FF10FF07"/>
      </colorScale>
    </cfRule>
  </conditionalFormatting>
  <conditionalFormatting sqref="O19:O30">
    <cfRule type="expression" dxfId="240" priority="272">
      <formula>OR(IF(O19&lt;P19,TRUE),IF(AND(P19="",O19&lt;&gt;""),TRUE))</formula>
    </cfRule>
    <cfRule type="expression" dxfId="239" priority="273">
      <formula>IF(O19&gt;=P19,IF(O19="",FALSE,TRUE))</formula>
    </cfRule>
  </conditionalFormatting>
  <conditionalFormatting sqref="Q19:Q30">
    <cfRule type="expression" dxfId="238" priority="270">
      <formula>OR(IF(Q19&lt;R19,TRUE),IF(AND(R19="",Q19&lt;&gt;""),TRUE))</formula>
    </cfRule>
    <cfRule type="expression" dxfId="237" priority="271">
      <formula>IF(Q19&gt;=R19,IF(Q19="",FALSE,TRUE))</formula>
    </cfRule>
  </conditionalFormatting>
  <conditionalFormatting sqref="AQ19:AQ30">
    <cfRule type="expression" dxfId="236" priority="268">
      <formula>OR(IF(AQ19&lt;AR19,TRUE),IF(AND(AR19="",AQ19&lt;&gt;""),TRUE))</formula>
    </cfRule>
    <cfRule type="expression" dxfId="235" priority="268">
      <formula>IF(AQ19&gt;=AR19,IF(AQ19="",FALSE,TRUE))</formula>
    </cfRule>
  </conditionalFormatting>
  <conditionalFormatting sqref="AS19:AS30">
    <cfRule type="expression" dxfId="234" priority="266">
      <formula>OR(IF(AS19&lt;AT19,TRUE),IF(AND(AT19="",AS19&lt;&gt;""),TRUE))</formula>
    </cfRule>
    <cfRule type="expression" dxfId="233" priority="266">
      <formula>IF(AS19&gt;=AT19,IF(AS19="",FALSE,TRUE))</formula>
    </cfRule>
  </conditionalFormatting>
  <conditionalFormatting sqref="BE19:BE30">
    <cfRule type="expression" dxfId="232" priority="264">
      <formula>OR(IF(BE19&lt;BF19,TRUE),IF(AND(BF19="",BE19&lt;&gt;""),TRUE))</formula>
    </cfRule>
    <cfRule type="expression" dxfId="231" priority="264">
      <formula>IF(BE19&gt;=BF19,IF(BE19="",FALSE,TRUE))</formula>
    </cfRule>
  </conditionalFormatting>
  <conditionalFormatting sqref="BG19:BG30">
    <cfRule type="expression" dxfId="230" priority="262">
      <formula>OR(IF(BG19&lt;BH19,TRUE),IF(AND(BH19="",BG19&lt;&gt;""),TRUE))</formula>
    </cfRule>
    <cfRule type="expression" dxfId="229" priority="262">
      <formula>IF(BG19&gt;=BH19,IF(BG19="",FALSE,TRUE))</formula>
    </cfRule>
  </conditionalFormatting>
  <conditionalFormatting sqref="V19:V30">
    <cfRule type="expression" dxfId="228" priority="269">
      <formula>IF(V19&gt;=W19,IF(V19="",FALSE,TRUE))</formula>
    </cfRule>
    <cfRule type="expression" dxfId="227" priority="626">
      <formula>OR(IF(V19&lt;W19,TRUE),IF(AND(W19="",V19&lt;&gt;""),TRUE))</formula>
    </cfRule>
  </conditionalFormatting>
  <conditionalFormatting sqref="X19:X30">
    <cfRule type="expression" dxfId="226" priority="267">
      <formula>IF(X19&gt;=Y19,IF(X19="",FALSE,TRUE))</formula>
    </cfRule>
    <cfRule type="expression" dxfId="225" priority="627">
      <formula>OR(IF(X19&lt;Y19,TRUE),IF(AND(Y19="",X19&lt;&gt;""),TRUE))</formula>
    </cfRule>
  </conditionalFormatting>
  <conditionalFormatting sqref="AC19:AC30">
    <cfRule type="expression" dxfId="224" priority="265">
      <formula>IF(AC19&gt;=AD19,IF(AC19="",FALSE,TRUE))</formula>
    </cfRule>
    <cfRule type="expression" dxfId="223" priority="628">
      <formula>OR(IF(AC19&lt;AD19,TRUE),IF(AND(AD19="",AC19&lt;&gt;""),TRUE))</formula>
    </cfRule>
  </conditionalFormatting>
  <conditionalFormatting sqref="AE19:AE30">
    <cfRule type="expression" dxfId="222" priority="263">
      <formula>IF(AE19&gt;=AF19,IF(AE19="",FALSE,TRUE))</formula>
    </cfRule>
    <cfRule type="expression" dxfId="221" priority="629">
      <formula>OR(IF(AE19&lt;AF19,TRUE),IF(AND(AF19="",AE19&lt;&gt;""),TRUE))</formula>
    </cfRule>
  </conditionalFormatting>
  <conditionalFormatting sqref="AJ19:AJ30">
    <cfRule type="expression" dxfId="220" priority="260">
      <formula>OR(IF(AJ19&lt;AK19,TRUE),IF(AND(AK19="",AJ19&lt;&gt;""),TRUE))</formula>
    </cfRule>
    <cfRule type="expression" dxfId="219" priority="261">
      <formula>IF(AJ19&gt;=AK19,IF(AJ19="",FALSE,TRUE))</formula>
    </cfRule>
  </conditionalFormatting>
  <conditionalFormatting sqref="AL19:AL30">
    <cfRule type="expression" dxfId="218" priority="258">
      <formula>OR(IF(AL19&lt;AM19,TRUE),IF(AND(AM19="",AL19&lt;&gt;""),TRUE))</formula>
    </cfRule>
    <cfRule type="expression" dxfId="217" priority="259">
      <formula>IF(AL19&gt;=AM19,IF(AL19="",FALSE,TRUE))</formula>
    </cfRule>
  </conditionalFormatting>
  <conditionalFormatting sqref="AX19:AX30">
    <cfRule type="expression" dxfId="216" priority="252">
      <formula>OR(IF(AX19&lt;AY19,TRUE),IF(AND(AY19="",AX19&lt;&gt;""),TRUE))</formula>
    </cfRule>
    <cfRule type="expression" dxfId="215" priority="253">
      <formula>IF(AX19&gt;=AY19,IF(AX19="",FALSE,TRUE))</formula>
    </cfRule>
  </conditionalFormatting>
  <conditionalFormatting sqref="AZ19:AZ30">
    <cfRule type="expression" dxfId="214" priority="250">
      <formula>OR(IF(AZ19&lt;BA19,TRUE),IF(AND(BA19="",AZ19&lt;&gt;""),TRUE))</formula>
    </cfRule>
    <cfRule type="expression" dxfId="213" priority="251">
      <formula>IF(AZ19&gt;=BA19,IF(AZ19="",FALSE,TRUE))</formula>
    </cfRule>
  </conditionalFormatting>
  <conditionalFormatting sqref="J62:K80">
    <cfRule type="colorScale" priority="217">
      <colorScale>
        <cfvo type="percent" val="0"/>
        <cfvo type="percent" val="100"/>
        <color rgb="FFFF231B"/>
        <color rgb="FF10FF07"/>
      </colorScale>
    </cfRule>
  </conditionalFormatting>
  <conditionalFormatting sqref="O62:O80">
    <cfRule type="expression" dxfId="212" priority="215">
      <formula>OR(IF(O62&lt;P62,TRUE),IF(AND(P62="",O62&lt;&gt;""),TRUE))</formula>
    </cfRule>
    <cfRule type="expression" dxfId="211" priority="216">
      <formula>IF(O62&gt;=P62,IF(O62="",FALSE,TRUE))</formula>
    </cfRule>
  </conditionalFormatting>
  <conditionalFormatting sqref="Q62:Q80">
    <cfRule type="expression" dxfId="210" priority="213">
      <formula>OR(IF(Q62&lt;R62,TRUE),IF(AND(R62="",Q62&lt;&gt;""),TRUE))</formula>
    </cfRule>
    <cfRule type="expression" dxfId="209" priority="214">
      <formula>IF(Q62&gt;=R62,IF(Q62="",FALSE,TRUE))</formula>
    </cfRule>
  </conditionalFormatting>
  <conditionalFormatting sqref="AQ62:AQ80">
    <cfRule type="expression" dxfId="208" priority="199">
      <formula>OR(IF(AQ62&lt;AR62,TRUE),IF(AND(AR62="",AQ62&lt;&gt;""),TRUE))</formula>
    </cfRule>
    <cfRule type="expression" dxfId="207" priority="200">
      <formula>IF(AQ62&gt;=AR62,IF(AQ62="",FALSE,TRUE))</formula>
    </cfRule>
  </conditionalFormatting>
  <conditionalFormatting sqref="AS62:AS80">
    <cfRule type="expression" dxfId="206" priority="197">
      <formula>OR(IF(AS62&lt;AT62,TRUE),IF(AND(AT62="",AS62&lt;&gt;""),TRUE))</formula>
    </cfRule>
    <cfRule type="expression" dxfId="205" priority="198">
      <formula>IF(AS62&gt;=AT62,IF(AS62="",FALSE,TRUE))</formula>
    </cfRule>
  </conditionalFormatting>
  <conditionalFormatting sqref="BE62:BE80">
    <cfRule type="expression" dxfId="204" priority="191">
      <formula>OR(IF(BE62&lt;BF62,TRUE),IF(AND(BF62="",BE62&lt;&gt;""),TRUE))</formula>
    </cfRule>
    <cfRule type="expression" dxfId="203" priority="192">
      <formula>IF(BE62&gt;=BF62,IF(BE62="",FALSE,TRUE))</formula>
    </cfRule>
  </conditionalFormatting>
  <conditionalFormatting sqref="BG62:BG80">
    <cfRule type="expression" dxfId="202" priority="189">
      <formula>OR(IF(BG62&lt;BH62,TRUE),IF(AND(BH62="",BG62&lt;&gt;""),TRUE))</formula>
    </cfRule>
    <cfRule type="expression" dxfId="201" priority="190">
      <formula>IF(BG62&gt;=BH62,IF(BG62="",FALSE,TRUE))</formula>
    </cfRule>
  </conditionalFormatting>
  <conditionalFormatting sqref="V62:V80">
    <cfRule type="expression" dxfId="200" priority="211">
      <formula>OR(IF(V62&lt;W62,TRUE),IF(AND(W62="",V62&lt;&gt;""),TRUE))</formula>
    </cfRule>
    <cfRule type="expression" dxfId="199" priority="212">
      <formula>IF(V62&gt;=W62,IF(V62="",FALSE,TRUE))</formula>
    </cfRule>
  </conditionalFormatting>
  <conditionalFormatting sqref="X62:X80">
    <cfRule type="expression" dxfId="198" priority="209">
      <formula>OR(IF(X62&lt;Y62,TRUE),IF(AND(Y62="",X62&lt;&gt;""),TRUE))</formula>
    </cfRule>
    <cfRule type="expression" dxfId="197" priority="210">
      <formula>IF(X62&gt;=Y62,IF(X62="",FALSE,TRUE))</formula>
    </cfRule>
  </conditionalFormatting>
  <conditionalFormatting sqref="AC62:AC80">
    <cfRule type="expression" dxfId="196" priority="207">
      <formula>OR(IF(AC62&lt;AD62,TRUE),IF(AND(AD62="",AC62&lt;&gt;""),TRUE))</formula>
    </cfRule>
    <cfRule type="expression" dxfId="195" priority="208">
      <formula>IF(AC62&gt;=AD62,IF(AC62="",FALSE,TRUE))</formula>
    </cfRule>
  </conditionalFormatting>
  <conditionalFormatting sqref="AE62:AE80">
    <cfRule type="expression" dxfId="194" priority="205">
      <formula>OR(IF(AE62&lt;AF62,TRUE),IF(AND(AF62="",AE62&lt;&gt;""),TRUE))</formula>
    </cfRule>
    <cfRule type="expression" dxfId="193" priority="206">
      <formula>IF(AE62&gt;=AF62,IF(AE62="",FALSE,TRUE))</formula>
    </cfRule>
  </conditionalFormatting>
  <conditionalFormatting sqref="AJ62:AJ80">
    <cfRule type="expression" dxfId="192" priority="203">
      <formula>OR(IF(AJ62&lt;AK62,TRUE),IF(AND(AK62="",AJ62&lt;&gt;""),TRUE))</formula>
    </cfRule>
    <cfRule type="expression" dxfId="191" priority="204">
      <formula>IF(AJ62&gt;=AK62,IF(AJ62="",FALSE,TRUE))</formula>
    </cfRule>
  </conditionalFormatting>
  <conditionalFormatting sqref="AL62:AL80">
    <cfRule type="expression" dxfId="190" priority="201">
      <formula>OR(IF(AL62&lt;AM62,TRUE),IF(AND(AM62="",AL62&lt;&gt;""),TRUE))</formula>
    </cfRule>
    <cfRule type="expression" dxfId="189" priority="202">
      <formula>IF(AL62&gt;=AM62,IF(AL62="",FALSE,TRUE))</formula>
    </cfRule>
  </conditionalFormatting>
  <conditionalFormatting sqref="AX62:AX80">
    <cfRule type="expression" dxfId="188" priority="195">
      <formula>OR(IF(AX62&lt;AY62,TRUE),IF(AND(AY62="",AX62&lt;&gt;""),TRUE))</formula>
    </cfRule>
    <cfRule type="expression" dxfId="187" priority="196">
      <formula>IF(AX62&gt;=AY62,IF(AX62="",FALSE,TRUE))</formula>
    </cfRule>
  </conditionalFormatting>
  <conditionalFormatting sqref="AZ62:AZ80">
    <cfRule type="expression" dxfId="186" priority="193">
      <formula>OR(IF(AZ62&lt;BA62,TRUE),IF(AND(BA62="",AZ62&lt;&gt;""),TRUE))</formula>
    </cfRule>
    <cfRule type="expression" dxfId="185" priority="194">
      <formula>IF(AZ62&gt;=BA62,IF(AZ62="",FALSE,TRUE))</formula>
    </cfRule>
  </conditionalFormatting>
  <conditionalFormatting sqref="BL5:BL16">
    <cfRule type="expression" dxfId="184" priority="165">
      <formula>OR(IF(BL5&lt;BM5,TRUE),IF(AND(BM5="",BL5&lt;&gt;""),TRUE))</formula>
    </cfRule>
    <cfRule type="expression" dxfId="183" priority="166">
      <formula>IF(BL5&gt;=BM5,IF(BL5="",FALSE,TRUE))</formula>
    </cfRule>
  </conditionalFormatting>
  <conditionalFormatting sqref="BN5:BN16">
    <cfRule type="expression" dxfId="182" priority="163">
      <formula>OR(IF(BN5&lt;BO5,TRUE),IF(AND(BO5="",BN5&lt;&gt;""),TRUE))</formula>
    </cfRule>
    <cfRule type="expression" dxfId="181" priority="164">
      <formula>IF(BN5&gt;=BO5,IF(BN5="",FALSE,TRUE))</formula>
    </cfRule>
  </conditionalFormatting>
  <conditionalFormatting sqref="BL32:BL33">
    <cfRule type="expression" dxfId="180" priority="161">
      <formula>OR(IF(BL32&lt;BM32,TRUE),IF(AND(BM32="",BL32&lt;&gt;""),TRUE))</formula>
    </cfRule>
    <cfRule type="expression" dxfId="179" priority="162">
      <formula>IF(BL32&gt;=BM32,IF(BL32="",FALSE,TRUE))</formula>
    </cfRule>
  </conditionalFormatting>
  <conditionalFormatting sqref="BN32:BN33">
    <cfRule type="expression" dxfId="178" priority="159">
      <formula>OR(IF(BN32&lt;BO32,TRUE),IF(AND(BO32="",BN32&lt;&gt;""),TRUE))</formula>
    </cfRule>
    <cfRule type="expression" dxfId="177" priority="160">
      <formula>IF(BN32&gt;=BO32,IF(BN32="",FALSE,TRUE))</formula>
    </cfRule>
  </conditionalFormatting>
  <conditionalFormatting sqref="BN34:BN43">
    <cfRule type="expression" dxfId="176" priority="155">
      <formula>OR(IF(BN34&lt;BO34,TRUE),IF(AND(BO34="",BN34&lt;&gt;""),TRUE))</formula>
    </cfRule>
    <cfRule type="expression" dxfId="175" priority="156">
      <formula>IF(BN34&gt;=BO34,IF(BN34="",FALSE,TRUE))</formula>
    </cfRule>
  </conditionalFormatting>
  <conditionalFormatting sqref="BL34:BL43">
    <cfRule type="expression" dxfId="174" priority="157">
      <formula>OR(IF(BL34&lt;BM34,TRUE),IF(AND(BM34="",BL34&lt;&gt;""),TRUE))</formula>
    </cfRule>
    <cfRule type="expression" dxfId="173" priority="158">
      <formula>IF(BL34&gt;=BM34,IF(BL34="",FALSE,TRUE))</formula>
    </cfRule>
  </conditionalFormatting>
  <conditionalFormatting sqref="BL46:BL58">
    <cfRule type="expression" dxfId="172" priority="153">
      <formula>OR(IF(BL46&lt;BM46,TRUE),IF(AND(BM46="",BL46&lt;&gt;""),TRUE))</formula>
    </cfRule>
    <cfRule type="expression" dxfId="171" priority="154">
      <formula>IF(BL46&gt;=BM46,IF(BL46="",FALSE,TRUE))</formula>
    </cfRule>
  </conditionalFormatting>
  <conditionalFormatting sqref="BN46:BN58">
    <cfRule type="expression" dxfId="170" priority="151">
      <formula>OR(IF(BN46&lt;BO46,TRUE),IF(AND(BO46="",BN46&lt;&gt;""),TRUE))</formula>
    </cfRule>
    <cfRule type="expression" dxfId="169" priority="152">
      <formula>IF(BN46&gt;=BO46,IF(BN46="",FALSE,TRUE))</formula>
    </cfRule>
  </conditionalFormatting>
  <conditionalFormatting sqref="BL19:BL30">
    <cfRule type="expression" dxfId="168" priority="150">
      <formula>IF(BL19&gt;=BM19,IF(BL19="",FALSE,TRUE))</formula>
    </cfRule>
    <cfRule type="expression" dxfId="167" priority="167">
      <formula>OR(IF(BL19&lt;BM19,TRUE),IF(AND(BM19="",BL19&lt;&gt;""),TRUE))</formula>
    </cfRule>
  </conditionalFormatting>
  <conditionalFormatting sqref="BN19:BN30">
    <cfRule type="expression" dxfId="166" priority="149">
      <formula>IF(BN19&gt;=BO19,IF(BN19="",FALSE,TRUE))</formula>
    </cfRule>
    <cfRule type="expression" dxfId="165" priority="168">
      <formula>OR(IF(BN19&lt;BO19,TRUE),IF(AND(BO19="",BN19&lt;&gt;""),TRUE))</formula>
    </cfRule>
  </conditionalFormatting>
  <conditionalFormatting sqref="BL62:BL80">
    <cfRule type="expression" dxfId="164" priority="147">
      <formula>OR(IF(BL62&lt;BM62,TRUE),IF(AND(BM62="",BL62&lt;&gt;""),TRUE))</formula>
    </cfRule>
    <cfRule type="expression" dxfId="163" priority="148">
      <formula>IF(BL62&gt;=BM62,IF(BL62="",FALSE,TRUE))</formula>
    </cfRule>
  </conditionalFormatting>
  <conditionalFormatting sqref="BN62:BN80">
    <cfRule type="expression" dxfId="162" priority="145">
      <formula>OR(IF(BN62&lt;BO62,TRUE),IF(AND(BO62="",BN62&lt;&gt;""),TRUE))</formula>
    </cfRule>
    <cfRule type="expression" dxfId="161" priority="146">
      <formula>IF(BN62&gt;=BO62,IF(BN62="",FALSE,TRUE))</formula>
    </cfRule>
  </conditionalFormatting>
  <conditionalFormatting sqref="BS5:BS16">
    <cfRule type="expression" dxfId="160" priority="141">
      <formula>OR(IF(BS5&lt;BT5,TRUE),IF(AND(BT5="",BS5&lt;&gt;""),TRUE))</formula>
    </cfRule>
    <cfRule type="expression" dxfId="159" priority="142">
      <formula>IF(BS5&gt;=BT5,IF(BS5="",FALSE,TRUE))</formula>
    </cfRule>
  </conditionalFormatting>
  <conditionalFormatting sqref="BU5:BU16">
    <cfRule type="expression" dxfId="158" priority="139">
      <formula>OR(IF(BU5&lt;BV5,TRUE),IF(AND(BV5="",BU5&lt;&gt;""),TRUE))</formula>
    </cfRule>
    <cfRule type="expression" dxfId="157" priority="140">
      <formula>IF(BU5&gt;=BV5,IF(BU5="",FALSE,TRUE))</formula>
    </cfRule>
  </conditionalFormatting>
  <conditionalFormatting sqref="BS32:BS33">
    <cfRule type="expression" dxfId="156" priority="137">
      <formula>OR(IF(BS32&lt;BT32,TRUE),IF(AND(BT32="",BS32&lt;&gt;""),TRUE))</formula>
    </cfRule>
    <cfRule type="expression" dxfId="155" priority="138">
      <formula>IF(BS32&gt;=BT32,IF(BS32="",FALSE,TRUE))</formula>
    </cfRule>
  </conditionalFormatting>
  <conditionalFormatting sqref="BU32:BU33">
    <cfRule type="expression" dxfId="154" priority="135">
      <formula>OR(IF(BU32&lt;BV32,TRUE),IF(AND(BV32="",BU32&lt;&gt;""),TRUE))</formula>
    </cfRule>
    <cfRule type="expression" dxfId="153" priority="136">
      <formula>IF(BU32&gt;=BV32,IF(BU32="",FALSE,TRUE))</formula>
    </cfRule>
  </conditionalFormatting>
  <conditionalFormatting sqref="BU34:BU43">
    <cfRule type="expression" dxfId="152" priority="131">
      <formula>OR(IF(BU34&lt;BV34,TRUE),IF(AND(BV34="",BU34&lt;&gt;""),TRUE))</formula>
    </cfRule>
    <cfRule type="expression" dxfId="151" priority="132">
      <formula>IF(BU34&gt;=BV34,IF(BU34="",FALSE,TRUE))</formula>
    </cfRule>
  </conditionalFormatting>
  <conditionalFormatting sqref="BS34:BS43">
    <cfRule type="expression" dxfId="150" priority="133">
      <formula>OR(IF(BS34&lt;BT34,TRUE),IF(AND(BT34="",BS34&lt;&gt;""),TRUE))</formula>
    </cfRule>
    <cfRule type="expression" dxfId="149" priority="134">
      <formula>IF(BS34&gt;=BT34,IF(BS34="",FALSE,TRUE))</formula>
    </cfRule>
  </conditionalFormatting>
  <conditionalFormatting sqref="BS46:BS58">
    <cfRule type="expression" dxfId="148" priority="129">
      <formula>OR(IF(BS46&lt;BT46,TRUE),IF(AND(BT46="",BS46&lt;&gt;""),TRUE))</formula>
    </cfRule>
    <cfRule type="expression" dxfId="147" priority="130">
      <formula>IF(BS46&gt;=BT46,IF(BS46="",FALSE,TRUE))</formula>
    </cfRule>
  </conditionalFormatting>
  <conditionalFormatting sqref="BU46:BU58">
    <cfRule type="expression" dxfId="146" priority="127">
      <formula>OR(IF(BU46&lt;BV46,TRUE),IF(AND(BV46="",BU46&lt;&gt;""),TRUE))</formula>
    </cfRule>
    <cfRule type="expression" dxfId="145" priority="128">
      <formula>IF(BU46&gt;=BV46,IF(BU46="",FALSE,TRUE))</formula>
    </cfRule>
  </conditionalFormatting>
  <conditionalFormatting sqref="BS19:BS30">
    <cfRule type="expression" dxfId="144" priority="126">
      <formula>IF(BS19&gt;=BT19,IF(BS19="",FALSE,TRUE))</formula>
    </cfRule>
    <cfRule type="expression" dxfId="143" priority="143">
      <formula>OR(IF(BS19&lt;BT19,TRUE),IF(AND(BT19="",BS19&lt;&gt;""),TRUE))</formula>
    </cfRule>
  </conditionalFormatting>
  <conditionalFormatting sqref="BU19:BU30">
    <cfRule type="expression" dxfId="142" priority="125">
      <formula>IF(BU19&gt;=BV19,IF(BU19="",FALSE,TRUE))</formula>
    </cfRule>
    <cfRule type="expression" dxfId="141" priority="144">
      <formula>OR(IF(BU19&lt;BV19,TRUE),IF(AND(BV19="",BU19&lt;&gt;""),TRUE))</formula>
    </cfRule>
  </conditionalFormatting>
  <conditionalFormatting sqref="BS62:BS80">
    <cfRule type="expression" dxfId="140" priority="123">
      <formula>OR(IF(BS62&lt;BT62,TRUE),IF(AND(BT62="",BS62&lt;&gt;""),TRUE))</formula>
    </cfRule>
    <cfRule type="expression" dxfId="139" priority="124">
      <formula>IF(BS62&gt;=BT62,IF(BS62="",FALSE,TRUE))</formula>
    </cfRule>
  </conditionalFormatting>
  <conditionalFormatting sqref="BU62:BU80">
    <cfRule type="expression" dxfId="138" priority="121">
      <formula>OR(IF(BU62&lt;BV62,TRUE),IF(AND(BV62="",BU62&lt;&gt;""),TRUE))</formula>
    </cfRule>
    <cfRule type="expression" dxfId="137" priority="122">
      <formula>IF(BU62&gt;=BV62,IF(BU62="",FALSE,TRUE))</formula>
    </cfRule>
  </conditionalFormatting>
  <conditionalFormatting sqref="BZ5:BZ16">
    <cfRule type="expression" dxfId="136" priority="117">
      <formula>OR(IF(BZ5&lt;CA5,TRUE),IF(AND(CA5="",BZ5&lt;&gt;""),TRUE))</formula>
    </cfRule>
    <cfRule type="expression" dxfId="135" priority="118">
      <formula>IF(BZ5&gt;=CA5,IF(BZ5="",FALSE,TRUE))</formula>
    </cfRule>
  </conditionalFormatting>
  <conditionalFormatting sqref="CB5:CB16">
    <cfRule type="expression" dxfId="134" priority="115">
      <formula>OR(IF(CB5&lt;CC5,TRUE),IF(AND(CC5="",CB5&lt;&gt;""),TRUE))</formula>
    </cfRule>
    <cfRule type="expression" dxfId="133" priority="116">
      <formula>IF(CB5&gt;=CC5,IF(CB5="",FALSE,TRUE))</formula>
    </cfRule>
  </conditionalFormatting>
  <conditionalFormatting sqref="BZ32:BZ33">
    <cfRule type="expression" dxfId="132" priority="113">
      <formula>OR(IF(BZ32&lt;CA32,TRUE),IF(AND(CA32="",BZ32&lt;&gt;""),TRUE))</formula>
    </cfRule>
    <cfRule type="expression" dxfId="131" priority="114">
      <formula>IF(BZ32&gt;=CA32,IF(BZ32="",FALSE,TRUE))</formula>
    </cfRule>
  </conditionalFormatting>
  <conditionalFormatting sqref="CB32:CB33">
    <cfRule type="expression" dxfId="130" priority="111">
      <formula>OR(IF(CB32&lt;CC32,TRUE),IF(AND(CC32="",CB32&lt;&gt;""),TRUE))</formula>
    </cfRule>
    <cfRule type="expression" dxfId="129" priority="112">
      <formula>IF(CB32&gt;=CC32,IF(CB32="",FALSE,TRUE))</formula>
    </cfRule>
  </conditionalFormatting>
  <conditionalFormatting sqref="CB34:CB43">
    <cfRule type="expression" dxfId="128" priority="107">
      <formula>OR(IF(CB34&lt;CC34,TRUE),IF(AND(CC34="",CB34&lt;&gt;""),TRUE))</formula>
    </cfRule>
    <cfRule type="expression" dxfId="127" priority="108">
      <formula>IF(CB34&gt;=CC34,IF(CB34="",FALSE,TRUE))</formula>
    </cfRule>
  </conditionalFormatting>
  <conditionalFormatting sqref="BZ34:BZ43">
    <cfRule type="expression" dxfId="126" priority="109">
      <formula>OR(IF(BZ34&lt;CA34,TRUE),IF(AND(CA34="",BZ34&lt;&gt;""),TRUE))</formula>
    </cfRule>
    <cfRule type="expression" dxfId="125" priority="110">
      <formula>IF(BZ34&gt;=CA34,IF(BZ34="",FALSE,TRUE))</formula>
    </cfRule>
  </conditionalFormatting>
  <conditionalFormatting sqref="BZ46:BZ58">
    <cfRule type="expression" dxfId="124" priority="105">
      <formula>OR(IF(BZ46&lt;CA46,TRUE),IF(AND(CA46="",BZ46&lt;&gt;""),TRUE))</formula>
    </cfRule>
    <cfRule type="expression" dxfId="123" priority="106">
      <formula>IF(BZ46&gt;=CA46,IF(BZ46="",FALSE,TRUE))</formula>
    </cfRule>
  </conditionalFormatting>
  <conditionalFormatting sqref="CB46:CB58">
    <cfRule type="expression" dxfId="122" priority="103">
      <formula>OR(IF(CB46&lt;CC46,TRUE),IF(AND(CC46="",CB46&lt;&gt;""),TRUE))</formula>
    </cfRule>
    <cfRule type="expression" dxfId="121" priority="104">
      <formula>IF(CB46&gt;=CC46,IF(CB46="",FALSE,TRUE))</formula>
    </cfRule>
  </conditionalFormatting>
  <conditionalFormatting sqref="BZ19:BZ30">
    <cfRule type="expression" dxfId="120" priority="102">
      <formula>IF(BZ19&gt;=CA19,IF(BZ19="",FALSE,TRUE))</formula>
    </cfRule>
    <cfRule type="expression" dxfId="119" priority="119">
      <formula>OR(IF(BZ19&lt;CA19,TRUE),IF(AND(CA19="",BZ19&lt;&gt;""),TRUE))</formula>
    </cfRule>
  </conditionalFormatting>
  <conditionalFormatting sqref="CB19:CB30">
    <cfRule type="expression" dxfId="118" priority="101">
      <formula>IF(CB19&gt;=CC19,IF(CB19="",FALSE,TRUE))</formula>
    </cfRule>
    <cfRule type="expression" dxfId="117" priority="120">
      <formula>OR(IF(CB19&lt;CC19,TRUE),IF(AND(CC19="",CB19&lt;&gt;""),TRUE))</formula>
    </cfRule>
  </conditionalFormatting>
  <conditionalFormatting sqref="BZ62:BZ80">
    <cfRule type="expression" dxfId="116" priority="99">
      <formula>OR(IF(BZ62&lt;CA62,TRUE),IF(AND(CA62="",BZ62&lt;&gt;""),TRUE))</formula>
    </cfRule>
    <cfRule type="expression" dxfId="115" priority="100">
      <formula>IF(BZ62&gt;=CA62,IF(BZ62="",FALSE,TRUE))</formula>
    </cfRule>
  </conditionalFormatting>
  <conditionalFormatting sqref="CB62:CB80">
    <cfRule type="expression" dxfId="114" priority="97">
      <formula>OR(IF(CB62&lt;CC62,TRUE),IF(AND(CC62="",CB62&lt;&gt;""),TRUE))</formula>
    </cfRule>
    <cfRule type="expression" dxfId="113" priority="98">
      <formula>IF(CB62&gt;=CC62,IF(CB62="",FALSE,TRUE))</formula>
    </cfRule>
  </conditionalFormatting>
  <conditionalFormatting sqref="CG5:CG16">
    <cfRule type="expression" dxfId="112" priority="93">
      <formula>OR(IF(CG5&lt;CH5,TRUE),IF(AND(CH5="",CG5&lt;&gt;""),TRUE))</formula>
    </cfRule>
    <cfRule type="expression" dxfId="111" priority="94">
      <formula>IF(CG5&gt;=CH5,IF(CG5="",FALSE,TRUE))</formula>
    </cfRule>
  </conditionalFormatting>
  <conditionalFormatting sqref="CI5:CI16">
    <cfRule type="expression" dxfId="110" priority="91">
      <formula>OR(IF(CI5&lt;CJ5,TRUE),IF(AND(CJ5="",CI5&lt;&gt;""),TRUE))</formula>
    </cfRule>
    <cfRule type="expression" dxfId="109" priority="92">
      <formula>IF(CI5&gt;=CJ5,IF(CI5="",FALSE,TRUE))</formula>
    </cfRule>
  </conditionalFormatting>
  <conditionalFormatting sqref="CG32:CG33">
    <cfRule type="expression" dxfId="108" priority="89">
      <formula>OR(IF(CG32&lt;CH32,TRUE),IF(AND(CH32="",CG32&lt;&gt;""),TRUE))</formula>
    </cfRule>
    <cfRule type="expression" dxfId="107" priority="90">
      <formula>IF(CG32&gt;=CH32,IF(CG32="",FALSE,TRUE))</formula>
    </cfRule>
  </conditionalFormatting>
  <conditionalFormatting sqref="CI32:CI33">
    <cfRule type="expression" dxfId="106" priority="87">
      <formula>OR(IF(CI32&lt;CJ32,TRUE),IF(AND(CJ32="",CI32&lt;&gt;""),TRUE))</formula>
    </cfRule>
    <cfRule type="expression" dxfId="105" priority="88">
      <formula>IF(CI32&gt;=CJ32,IF(CI32="",FALSE,TRUE))</formula>
    </cfRule>
  </conditionalFormatting>
  <conditionalFormatting sqref="CI34:CI43">
    <cfRule type="expression" dxfId="104" priority="83">
      <formula>OR(IF(CI34&lt;CJ34,TRUE),IF(AND(CJ34="",CI34&lt;&gt;""),TRUE))</formula>
    </cfRule>
    <cfRule type="expression" dxfId="103" priority="84">
      <formula>IF(CI34&gt;=CJ34,IF(CI34="",FALSE,TRUE))</formula>
    </cfRule>
  </conditionalFormatting>
  <conditionalFormatting sqref="CG34:CG43">
    <cfRule type="expression" dxfId="102" priority="85">
      <formula>OR(IF(CG34&lt;CH34,TRUE),IF(AND(CH34="",CG34&lt;&gt;""),TRUE))</formula>
    </cfRule>
    <cfRule type="expression" dxfId="101" priority="86">
      <formula>IF(CG34&gt;=CH34,IF(CG34="",FALSE,TRUE))</formula>
    </cfRule>
  </conditionalFormatting>
  <conditionalFormatting sqref="CG46:CG58">
    <cfRule type="expression" dxfId="100" priority="81">
      <formula>OR(IF(CG46&lt;CH46,TRUE),IF(AND(CH46="",CG46&lt;&gt;""),TRUE))</formula>
    </cfRule>
    <cfRule type="expression" dxfId="99" priority="82">
      <formula>IF(CG46&gt;=CH46,IF(CG46="",FALSE,TRUE))</formula>
    </cfRule>
  </conditionalFormatting>
  <conditionalFormatting sqref="CI46:CI58">
    <cfRule type="expression" dxfId="98" priority="79">
      <formula>OR(IF(CI46&lt;CJ46,TRUE),IF(AND(CJ46="",CI46&lt;&gt;""),TRUE))</formula>
    </cfRule>
    <cfRule type="expression" dxfId="97" priority="80">
      <formula>IF(CI46&gt;=CJ46,IF(CI46="",FALSE,TRUE))</formula>
    </cfRule>
  </conditionalFormatting>
  <conditionalFormatting sqref="CG19:CG30">
    <cfRule type="expression" dxfId="96" priority="78">
      <formula>IF(CG19&gt;=CH19,IF(CG19="",FALSE,TRUE))</formula>
    </cfRule>
    <cfRule type="expression" dxfId="95" priority="95">
      <formula>OR(IF(CG19&lt;CH19,TRUE),IF(AND(CH19="",CG19&lt;&gt;""),TRUE))</formula>
    </cfRule>
  </conditionalFormatting>
  <conditionalFormatting sqref="CI19:CI30">
    <cfRule type="expression" dxfId="94" priority="77">
      <formula>IF(CI19&gt;=CJ19,IF(CI19="",FALSE,TRUE))</formula>
    </cfRule>
    <cfRule type="expression" dxfId="93" priority="96">
      <formula>OR(IF(CI19&lt;CJ19,TRUE),IF(AND(CJ19="",CI19&lt;&gt;""),TRUE))</formula>
    </cfRule>
  </conditionalFormatting>
  <conditionalFormatting sqref="CG62:CG80">
    <cfRule type="expression" dxfId="92" priority="75">
      <formula>OR(IF(CG62&lt;CH62,TRUE),IF(AND(CH62="",CG62&lt;&gt;""),TRUE))</formula>
    </cfRule>
    <cfRule type="expression" dxfId="91" priority="76">
      <formula>IF(CG62&gt;=CH62,IF(CG62="",FALSE,TRUE))</formula>
    </cfRule>
  </conditionalFormatting>
  <conditionalFormatting sqref="CI62:CI80">
    <cfRule type="expression" dxfId="90" priority="73">
      <formula>OR(IF(CI62&lt;CJ62,TRUE),IF(AND(CJ62="",CI62&lt;&gt;""),TRUE))</formula>
    </cfRule>
    <cfRule type="expression" dxfId="89" priority="74">
      <formula>IF(CI62&gt;=CJ62,IF(CI62="",FALSE,TRUE))</formula>
    </cfRule>
  </conditionalFormatting>
  <conditionalFormatting sqref="CN5:CN16">
    <cfRule type="expression" dxfId="88" priority="69">
      <formula>OR(IF(CN5&lt;CO5,TRUE),IF(AND(CO5="",CN5&lt;&gt;""),TRUE))</formula>
    </cfRule>
    <cfRule type="expression" dxfId="87" priority="70">
      <formula>IF(CN5&gt;=CO5,IF(CN5="",FALSE,TRUE))</formula>
    </cfRule>
  </conditionalFormatting>
  <conditionalFormatting sqref="CP5:CP16">
    <cfRule type="expression" dxfId="86" priority="67">
      <formula>OR(IF(CP5&lt;CQ5,TRUE),IF(AND(CQ5="",CP5&lt;&gt;""),TRUE))</formula>
    </cfRule>
    <cfRule type="expression" dxfId="85" priority="68">
      <formula>IF(CP5&gt;=CQ5,IF(CP5="",FALSE,TRUE))</formula>
    </cfRule>
  </conditionalFormatting>
  <conditionalFormatting sqref="CN32:CN33">
    <cfRule type="expression" dxfId="84" priority="65">
      <formula>OR(IF(CN32&lt;CO32,TRUE),IF(AND(CO32="",CN32&lt;&gt;""),TRUE))</formula>
    </cfRule>
    <cfRule type="expression" dxfId="83" priority="66">
      <formula>IF(CN32&gt;=CO32,IF(CN32="",FALSE,TRUE))</formula>
    </cfRule>
  </conditionalFormatting>
  <conditionalFormatting sqref="CP32:CP33">
    <cfRule type="expression" dxfId="82" priority="63">
      <formula>OR(IF(CP32&lt;CQ32,TRUE),IF(AND(CQ32="",CP32&lt;&gt;""),TRUE))</formula>
    </cfRule>
    <cfRule type="expression" dxfId="81" priority="64">
      <formula>IF(CP32&gt;=CQ32,IF(CP32="",FALSE,TRUE))</formula>
    </cfRule>
  </conditionalFormatting>
  <conditionalFormatting sqref="CP34:CP43">
    <cfRule type="expression" dxfId="80" priority="59">
      <formula>OR(IF(CP34&lt;CQ34,TRUE),IF(AND(CQ34="",CP34&lt;&gt;""),TRUE))</formula>
    </cfRule>
    <cfRule type="expression" dxfId="79" priority="60">
      <formula>IF(CP34&gt;=CQ34,IF(CP34="",FALSE,TRUE))</formula>
    </cfRule>
  </conditionalFormatting>
  <conditionalFormatting sqref="CN34:CN43">
    <cfRule type="expression" dxfId="78" priority="61">
      <formula>OR(IF(CN34&lt;CO34,TRUE),IF(AND(CO34="",CN34&lt;&gt;""),TRUE))</formula>
    </cfRule>
    <cfRule type="expression" dxfId="77" priority="62">
      <formula>IF(CN34&gt;=CO34,IF(CN34="",FALSE,TRUE))</formula>
    </cfRule>
  </conditionalFormatting>
  <conditionalFormatting sqref="CN46:CN58">
    <cfRule type="expression" dxfId="76" priority="57">
      <formula>OR(IF(CN46&lt;CO46,TRUE),IF(AND(CO46="",CN46&lt;&gt;""),TRUE))</formula>
    </cfRule>
    <cfRule type="expression" dxfId="75" priority="58">
      <formula>IF(CN46&gt;=CO46,IF(CN46="",FALSE,TRUE))</formula>
    </cfRule>
  </conditionalFormatting>
  <conditionalFormatting sqref="CP46:CP58">
    <cfRule type="expression" dxfId="74" priority="55">
      <formula>OR(IF(CP46&lt;CQ46,TRUE),IF(AND(CQ46="",CP46&lt;&gt;""),TRUE))</formula>
    </cfRule>
    <cfRule type="expression" dxfId="73" priority="56">
      <formula>IF(CP46&gt;=CQ46,IF(CP46="",FALSE,TRUE))</formula>
    </cfRule>
  </conditionalFormatting>
  <conditionalFormatting sqref="CN19:CN30">
    <cfRule type="expression" dxfId="72" priority="54">
      <formula>IF(CN19&gt;=CO19,IF(CN19="",FALSE,TRUE))</formula>
    </cfRule>
    <cfRule type="expression" dxfId="71" priority="71">
      <formula>OR(IF(CN19&lt;CO19,TRUE),IF(AND(CO19="",CN19&lt;&gt;""),TRUE))</formula>
    </cfRule>
  </conditionalFormatting>
  <conditionalFormatting sqref="CP19:CP30">
    <cfRule type="expression" dxfId="70" priority="53">
      <formula>IF(CP19&gt;=CQ19,IF(CP19="",FALSE,TRUE))</formula>
    </cfRule>
    <cfRule type="expression" dxfId="69" priority="72">
      <formula>OR(IF(CP19&lt;CQ19,TRUE),IF(AND(CQ19="",CP19&lt;&gt;""),TRUE))</formula>
    </cfRule>
  </conditionalFormatting>
  <conditionalFormatting sqref="CN62:CN80">
    <cfRule type="expression" dxfId="68" priority="51">
      <formula>OR(IF(CN62&lt;CO62,TRUE),IF(AND(CO62="",CN62&lt;&gt;""),TRUE))</formula>
    </cfRule>
    <cfRule type="expression" dxfId="67" priority="52">
      <formula>IF(CN62&gt;=CO62,IF(CN62="",FALSE,TRUE))</formula>
    </cfRule>
  </conditionalFormatting>
  <conditionalFormatting sqref="CP62:CP80">
    <cfRule type="expression" dxfId="66" priority="49">
      <formula>OR(IF(CP62&lt;CQ62,TRUE),IF(AND(CQ62="",CP62&lt;&gt;""),TRUE))</formula>
    </cfRule>
    <cfRule type="expression" dxfId="65" priority="50">
      <formula>IF(CP62&gt;=CQ62,IF(CP62="",FALSE,TRUE))</formula>
    </cfRule>
  </conditionalFormatting>
  <conditionalFormatting sqref="CU5:CU16">
    <cfRule type="expression" dxfId="64" priority="45">
      <formula>OR(IF(CU5&lt;CV5,TRUE),IF(AND(CV5="",CU5&lt;&gt;""),TRUE))</formula>
    </cfRule>
    <cfRule type="expression" dxfId="63" priority="46">
      <formula>IF(CU5&gt;=CV5,IF(CU5="",FALSE,TRUE))</formula>
    </cfRule>
  </conditionalFormatting>
  <conditionalFormatting sqref="CW5:CW16">
    <cfRule type="expression" dxfId="62" priority="43">
      <formula>OR(IF(CW5&lt;CX5,TRUE),IF(AND(CX5="",CW5&lt;&gt;""),TRUE))</formula>
    </cfRule>
    <cfRule type="expression" dxfId="61" priority="44">
      <formula>IF(CW5&gt;=CX5,IF(CW5="",FALSE,TRUE))</formula>
    </cfRule>
  </conditionalFormatting>
  <conditionalFormatting sqref="CU32:CU33">
    <cfRule type="expression" dxfId="60" priority="41">
      <formula>OR(IF(CU32&lt;CV32,TRUE),IF(AND(CV32="",CU32&lt;&gt;""),TRUE))</formula>
    </cfRule>
    <cfRule type="expression" dxfId="59" priority="42">
      <formula>IF(CU32&gt;=CV32,IF(CU32="",FALSE,TRUE))</formula>
    </cfRule>
  </conditionalFormatting>
  <conditionalFormatting sqref="CW32:CW33">
    <cfRule type="expression" dxfId="58" priority="39">
      <formula>OR(IF(CW32&lt;CX32,TRUE),IF(AND(CX32="",CW32&lt;&gt;""),TRUE))</formula>
    </cfRule>
    <cfRule type="expression" dxfId="57" priority="40">
      <formula>IF(CW32&gt;=CX32,IF(CW32="",FALSE,TRUE))</formula>
    </cfRule>
  </conditionalFormatting>
  <conditionalFormatting sqref="CW34:CW43">
    <cfRule type="expression" dxfId="56" priority="35">
      <formula>OR(IF(CW34&lt;CX34,TRUE),IF(AND(CX34="",CW34&lt;&gt;""),TRUE))</formula>
    </cfRule>
    <cfRule type="expression" dxfId="55" priority="36">
      <formula>IF(CW34&gt;=CX34,IF(CW34="",FALSE,TRUE))</formula>
    </cfRule>
  </conditionalFormatting>
  <conditionalFormatting sqref="CU34:CU43">
    <cfRule type="expression" dxfId="54" priority="37">
      <formula>OR(IF(CU34&lt;CV34,TRUE),IF(AND(CV34="",CU34&lt;&gt;""),TRUE))</formula>
    </cfRule>
    <cfRule type="expression" dxfId="53" priority="38">
      <formula>IF(CU34&gt;=CV34,IF(CU34="",FALSE,TRUE))</formula>
    </cfRule>
  </conditionalFormatting>
  <conditionalFormatting sqref="CU46:CU58">
    <cfRule type="expression" dxfId="52" priority="33">
      <formula>OR(IF(CU46&lt;CV46,TRUE),IF(AND(CV46="",CU46&lt;&gt;""),TRUE))</formula>
    </cfRule>
    <cfRule type="expression" dxfId="51" priority="34">
      <formula>IF(CU46&gt;=CV46,IF(CU46="",FALSE,TRUE))</formula>
    </cfRule>
  </conditionalFormatting>
  <conditionalFormatting sqref="CW46:CW58">
    <cfRule type="expression" dxfId="50" priority="31">
      <formula>OR(IF(CW46&lt;CX46,TRUE),IF(AND(CX46="",CW46&lt;&gt;""),TRUE))</formula>
    </cfRule>
    <cfRule type="expression" dxfId="49" priority="32">
      <formula>IF(CW46&gt;=CX46,IF(CW46="",FALSE,TRUE))</formula>
    </cfRule>
  </conditionalFormatting>
  <conditionalFormatting sqref="CU19:CU30">
    <cfRule type="expression" dxfId="48" priority="30">
      <formula>IF(CU19&gt;=CV19,IF(CU19="",FALSE,TRUE))</formula>
    </cfRule>
    <cfRule type="expression" dxfId="47" priority="47">
      <formula>OR(IF(CU19&lt;CV19,TRUE),IF(AND(CV19="",CU19&lt;&gt;""),TRUE))</formula>
    </cfRule>
  </conditionalFormatting>
  <conditionalFormatting sqref="CW19:CW30">
    <cfRule type="expression" dxfId="46" priority="29">
      <formula>IF(CW19&gt;=CX19,IF(CW19="",FALSE,TRUE))</formula>
    </cfRule>
    <cfRule type="expression" dxfId="45" priority="48">
      <formula>OR(IF(CW19&lt;CX19,TRUE),IF(AND(CX19="",CW19&lt;&gt;""),TRUE))</formula>
    </cfRule>
  </conditionalFormatting>
  <conditionalFormatting sqref="CU62:CU80">
    <cfRule type="expression" dxfId="44" priority="27">
      <formula>OR(IF(CU62&lt;CV62,TRUE),IF(AND(CV62="",CU62&lt;&gt;""),TRUE))</formula>
    </cfRule>
    <cfRule type="expression" dxfId="43" priority="28">
      <formula>IF(CU62&gt;=CV62,IF(CU62="",FALSE,TRUE))</formula>
    </cfRule>
  </conditionalFormatting>
  <conditionalFormatting sqref="CW62:CW80">
    <cfRule type="expression" dxfId="42" priority="25">
      <formula>OR(IF(CW62&lt;CX62,TRUE),IF(AND(CX62="",CW62&lt;&gt;""),TRUE))</formula>
    </cfRule>
    <cfRule type="expression" dxfId="41" priority="26">
      <formula>IF(CW62&gt;=CX62,IF(CW62="",FALSE,TRUE))</formula>
    </cfRule>
  </conditionalFormatting>
  <conditionalFormatting sqref="DB5:DB16">
    <cfRule type="expression" dxfId="40" priority="21">
      <formula>OR(IF(DB5&lt;DC5,TRUE),IF(AND(DC5="",DB5&lt;&gt;""),TRUE))</formula>
    </cfRule>
    <cfRule type="expression" dxfId="39" priority="22">
      <formula>IF(DB5&gt;=DC5,IF(DB5="",FALSE,TRUE))</formula>
    </cfRule>
  </conditionalFormatting>
  <conditionalFormatting sqref="DD5:DD16">
    <cfRule type="expression" dxfId="38" priority="19">
      <formula>OR(IF(DD5&lt;DE5,TRUE),IF(AND(DE5="",DD5&lt;&gt;""),TRUE))</formula>
    </cfRule>
    <cfRule type="expression" dxfId="37" priority="20">
      <formula>IF(DD5&gt;=DE5,IF(DD5="",FALSE,TRUE))</formula>
    </cfRule>
  </conditionalFormatting>
  <conditionalFormatting sqref="DB32:DB33">
    <cfRule type="expression" dxfId="36" priority="17">
      <formula>OR(IF(DB32&lt;DC32,TRUE),IF(AND(DC32="",DB32&lt;&gt;""),TRUE))</formula>
    </cfRule>
    <cfRule type="expression" dxfId="35" priority="18">
      <formula>IF(DB32&gt;=DC32,IF(DB32="",FALSE,TRUE))</formula>
    </cfRule>
  </conditionalFormatting>
  <conditionalFormatting sqref="DD32:DD33">
    <cfRule type="expression" dxfId="34" priority="15">
      <formula>OR(IF(DD32&lt;DE32,TRUE),IF(AND(DE32="",DD32&lt;&gt;""),TRUE))</formula>
    </cfRule>
    <cfRule type="expression" dxfId="33" priority="16">
      <formula>IF(DD32&gt;=DE32,IF(DD32="",FALSE,TRUE))</formula>
    </cfRule>
  </conditionalFormatting>
  <conditionalFormatting sqref="DD34:DD43">
    <cfRule type="expression" dxfId="32" priority="11">
      <formula>OR(IF(DD34&lt;DE34,TRUE),IF(AND(DE34="",DD34&lt;&gt;""),TRUE))</formula>
    </cfRule>
    <cfRule type="expression" dxfId="31" priority="12">
      <formula>IF(DD34&gt;=DE34,IF(DD34="",FALSE,TRUE))</formula>
    </cfRule>
  </conditionalFormatting>
  <conditionalFormatting sqref="DB34:DB43">
    <cfRule type="expression" dxfId="30" priority="13">
      <formula>OR(IF(DB34&lt;DC34,TRUE),IF(AND(DC34="",DB34&lt;&gt;""),TRUE))</formula>
    </cfRule>
    <cfRule type="expression" dxfId="29" priority="14">
      <formula>IF(DB34&gt;=DC34,IF(DB34="",FALSE,TRUE))</formula>
    </cfRule>
  </conditionalFormatting>
  <conditionalFormatting sqref="DB46:DB58">
    <cfRule type="expression" dxfId="28" priority="9">
      <formula>OR(IF(DB46&lt;DC46,TRUE),IF(AND(DC46="",DB46&lt;&gt;""),TRUE))</formula>
    </cfRule>
    <cfRule type="expression" dxfId="27" priority="10">
      <formula>IF(DB46&gt;=DC46,IF(DB46="",FALSE,TRUE))</formula>
    </cfRule>
  </conditionalFormatting>
  <conditionalFormatting sqref="DD46:DD58">
    <cfRule type="expression" dxfId="26" priority="7">
      <formula>OR(IF(DD46&lt;DE46,TRUE),IF(AND(DE46="",DD46&lt;&gt;""),TRUE))</formula>
    </cfRule>
    <cfRule type="expression" dxfId="25" priority="8">
      <formula>IF(DD46&gt;=DE46,IF(DD46="",FALSE,TRUE))</formula>
    </cfRule>
  </conditionalFormatting>
  <conditionalFormatting sqref="DB19:DB30">
    <cfRule type="expression" dxfId="24" priority="6">
      <formula>IF(DB19&gt;=DC19,IF(DB19="",FALSE,TRUE))</formula>
    </cfRule>
    <cfRule type="expression" dxfId="23" priority="23">
      <formula>OR(IF(DB19&lt;DC19,TRUE),IF(AND(DC19="",DB19&lt;&gt;""),TRUE))</formula>
    </cfRule>
  </conditionalFormatting>
  <conditionalFormatting sqref="DD19:DD30">
    <cfRule type="expression" dxfId="22" priority="5">
      <formula>IF(DD19&gt;=DE19,IF(DD19="",FALSE,TRUE))</formula>
    </cfRule>
    <cfRule type="expression" dxfId="21" priority="24">
      <formula>OR(IF(DD19&lt;DE19,TRUE),IF(AND(DE19="",DD19&lt;&gt;""),TRUE))</formula>
    </cfRule>
  </conditionalFormatting>
  <conditionalFormatting sqref="DB62:DB80">
    <cfRule type="expression" dxfId="20" priority="3">
      <formula>OR(IF(DB62&lt;DC62,TRUE),IF(AND(DC62="",DB62&lt;&gt;""),TRUE))</formula>
    </cfRule>
    <cfRule type="expression" dxfId="19" priority="4">
      <formula>IF(DB62&gt;=DC62,IF(DB62="",FALSE,TRUE))</formula>
    </cfRule>
  </conditionalFormatting>
  <conditionalFormatting sqref="DD62:DD80">
    <cfRule type="expression" dxfId="18" priority="1">
      <formula>OR(IF(DD62&lt;DE62,TRUE),IF(AND(DE62="",DD62&lt;&gt;""),TRUE))</formula>
    </cfRule>
    <cfRule type="expression" dxfId="17" priority="2">
      <formula>IF(DD62&gt;=DE62,IF(DD62="",FALSE,TRUE))</formula>
    </cfRule>
  </conditionalFormatting>
  <dataValidations count="1">
    <dataValidation type="list" allowBlank="1" showInputMessage="1" showErrorMessage="1" sqref="BZ5:CC16 O5:R16 V32:Y43 BZ46:CC58 V5:Y16 AC32:AF43 CG5:CJ16 AC5:AF16 AJ32:AM43 AJ5:AM16 AQ32:AT43 AQ5:AT16 BE32:BH43 CG46:CJ58 CG19:CJ30 AX5:BA16 AX32:BA43 CN5:CQ16 BE5:BH16 O32:R43 O46:R58 V46:Y58 AC46:AF58 AJ46:AM58 AQ46:AT58 AX46:BA58 BE46:BH58 CU5:CX16 CU46:CX58 CU19:CX30 BL5:BO16 CN46:CQ58 BL46:BO58 BL19:BO30 BS5:BV16 CN19:CQ30 BS46:BV58 BS19:BV30 BZ19:CC30 BZ62:CC80 O19:R30 V19:Y30 AC19:AF30 AJ19:AM30 AQ19:AT30 CG62:CJ80 AX19:BA30 BE19:BH30 CU62:CX80 CN62:CQ80 BL62:BO80 BS62:BV80 O62:R80 V62:Y80 AC62:AF80 AX62:BA80 AJ62:AM80 AQ62:AT80 BE62:BH80 BL32:BO43 BS32:BV43 BZ32:CC43 CG32:CJ43 CN32:CQ43 CU32:CX43 DB32:DE43 DB5:DE16 DB46:DE58 DB19:DE30 DB62:DE80"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0.6640625" defaultRowHeight="15.5"/>
  <cols>
    <col min="1" max="1" width="16.83203125" style="11" customWidth="1"/>
    <col min="2" max="2" width="19.08203125" style="11" customWidth="1"/>
    <col min="3" max="3" width="18.08203125" style="11" customWidth="1"/>
    <col min="4" max="4" width="19.5" style="11" customWidth="1"/>
    <col min="8" max="8" width="15.08203125" customWidth="1"/>
    <col min="10" max="10" width="42" customWidth="1"/>
    <col min="11" max="11" width="28.5" customWidth="1"/>
  </cols>
  <sheetData>
    <row r="1" spans="1:11" ht="31">
      <c r="A1" s="11" t="s">
        <v>54</v>
      </c>
      <c r="B1" s="17" t="s">
        <v>51</v>
      </c>
      <c r="C1" s="17" t="s">
        <v>52</v>
      </c>
      <c r="D1" s="17" t="s">
        <v>53</v>
      </c>
      <c r="E1" s="1" t="s">
        <v>55</v>
      </c>
      <c r="F1" s="1" t="s">
        <v>56</v>
      </c>
      <c r="G1" s="1" t="s">
        <v>57</v>
      </c>
      <c r="H1" s="1" t="s">
        <v>58</v>
      </c>
      <c r="I1" s="1" t="s">
        <v>59</v>
      </c>
      <c r="J1" s="1" t="s">
        <v>60</v>
      </c>
      <c r="K1" s="1" t="s">
        <v>61</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defaultColWidth="10.58203125" defaultRowHeight="15.5"/>
  <sheetData>
    <row r="1" spans="1:8" ht="2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58203125" defaultRowHeight="15.5"/>
  <sheetData>
    <row r="1" spans="1:8" ht="2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jonas</cp:lastModifiedBy>
  <dcterms:created xsi:type="dcterms:W3CDTF">2020-04-19T13:33:28Z</dcterms:created>
  <dcterms:modified xsi:type="dcterms:W3CDTF">2021-10-19T10:32:53Z</dcterms:modified>
</cp:coreProperties>
</file>