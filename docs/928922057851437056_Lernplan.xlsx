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https://d.docs.live.net/1e16e9c84b80c745/Documents/Pumpkin/"/>
    </mc:Choice>
  </mc:AlternateContent>
  <xr:revisionPtr revIDLastSave="75" documentId="8_{5264DF9A-80D5-404B-93BC-F05BC72E9C76}" xr6:coauthVersionLast="47" xr6:coauthVersionMax="47" xr10:uidLastSave="{9780F71A-BB44-4749-B888-2597D0851831}"/>
  <bookViews>
    <workbookView xWindow="-110" yWindow="-110" windowWidth="21820" windowHeight="14620" activeTab="1" xr2:uid="{50F29292-BE80-0C47-A0D2-DD086CB3D310}"/>
  </bookViews>
  <sheets>
    <sheet name="Anleitung" sheetId="2" r:id="rId1"/>
    <sheet name="Semesterplan" sheetId="7" r:id="rId2"/>
    <sheet name="COMMITTMENT" sheetId="9" r:id="rId3"/>
    <sheet name="kw 1"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P4" i="7" l="1"/>
  <c r="AI4" i="7"/>
  <c r="AB4" i="7"/>
  <c r="N12" i="7"/>
  <c r="U4" i="7"/>
  <c r="AW4" i="7"/>
  <c r="BD4" i="7"/>
  <c r="BK4" i="7"/>
  <c r="N4" i="7"/>
  <c r="AI12" i="7"/>
  <c r="AP12" i="7"/>
  <c r="AW12" i="7"/>
  <c r="BD12" i="7"/>
  <c r="BK12" i="7"/>
  <c r="U12" i="7"/>
  <c r="AB12" i="7"/>
  <c r="U23" i="7"/>
  <c r="N23" i="7"/>
  <c r="AB23" i="7"/>
  <c r="AI23" i="7"/>
  <c r="AP23" i="7"/>
  <c r="AW23" i="7"/>
  <c r="BD23" i="7"/>
  <c r="BK23" i="7"/>
  <c r="I35" i="7"/>
  <c r="J35" i="7"/>
  <c r="K35" i="7"/>
  <c r="BR4" i="7"/>
  <c r="G12" i="7"/>
  <c r="I24" i="7"/>
  <c r="J24" i="7"/>
  <c r="K24" i="7"/>
  <c r="I25" i="7"/>
  <c r="J25" i="7"/>
  <c r="K25" i="7"/>
  <c r="I26" i="7"/>
  <c r="J26" i="7"/>
  <c r="K26" i="7"/>
  <c r="I27" i="7"/>
  <c r="J27" i="7"/>
  <c r="K27" i="7"/>
  <c r="I28" i="7"/>
  <c r="J28" i="7"/>
  <c r="K28" i="7"/>
  <c r="I29" i="7"/>
  <c r="J29" i="7"/>
  <c r="K29" i="7"/>
  <c r="I30" i="7"/>
  <c r="J30" i="7"/>
  <c r="K30" i="7"/>
  <c r="I31" i="7"/>
  <c r="J31" i="7"/>
  <c r="K31" i="7"/>
  <c r="I32" i="7"/>
  <c r="J32" i="7"/>
  <c r="K32" i="7"/>
  <c r="I33" i="7"/>
  <c r="J33" i="7"/>
  <c r="K33" i="7"/>
  <c r="I34" i="7"/>
  <c r="J34" i="7"/>
  <c r="K34" i="7"/>
  <c r="G4" i="7"/>
  <c r="G23" i="7"/>
  <c r="I13" i="7"/>
  <c r="J13" i="7"/>
  <c r="K13" i="7"/>
  <c r="I14" i="7"/>
  <c r="J14" i="7"/>
  <c r="K14" i="7"/>
  <c r="I15" i="7"/>
  <c r="J15" i="7"/>
  <c r="K15" i="7"/>
  <c r="I16" i="7"/>
  <c r="J16" i="7"/>
  <c r="K16" i="7"/>
  <c r="I17" i="7"/>
  <c r="J17" i="7"/>
  <c r="K17" i="7"/>
  <c r="I18" i="7"/>
  <c r="J18" i="7"/>
  <c r="K18" i="7"/>
  <c r="I6" i="7"/>
  <c r="I7" i="7"/>
  <c r="I8" i="7"/>
  <c r="I9" i="7"/>
  <c r="I10" i="7"/>
  <c r="I5" i="7"/>
  <c r="J5" i="7"/>
  <c r="K6" i="7"/>
  <c r="K7" i="7"/>
  <c r="K8" i="7"/>
  <c r="K9" i="7"/>
  <c r="K10" i="7"/>
  <c r="J6" i="7"/>
  <c r="J7" i="7"/>
  <c r="J8" i="7"/>
  <c r="J9" i="7"/>
  <c r="J10" i="7"/>
  <c r="K5" i="7"/>
  <c r="K12" i="7" l="1"/>
  <c r="J12" i="7"/>
  <c r="I12" i="7"/>
  <c r="I23" i="7"/>
  <c r="J23" i="7"/>
  <c r="K23" i="7"/>
  <c r="K4" i="7"/>
  <c r="I4" i="7" l="1"/>
  <c r="J4" i="7"/>
</calcChain>
</file>

<file path=xl/sharedStrings.xml><?xml version="1.0" encoding="utf-8"?>
<sst xmlns="http://schemas.openxmlformats.org/spreadsheetml/2006/main" count="326" uniqueCount="108">
  <si>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</si>
  <si>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</si>
  <si>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</si>
  <si>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</si>
  <si>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</si>
  <si>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</si>
  <si>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</si>
  <si>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</si>
  <si>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</si>
  <si>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</si>
  <si>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</si>
  <si>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</si>
  <si>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</si>
  <si>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</si>
  <si>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</si>
  <si>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</si>
  <si>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</si>
  <si>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</si>
  <si>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</si>
  <si>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</si>
  <si>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</si>
  <si>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</si>
  <si>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</si>
  <si>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</si>
  <si>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</si>
  <si>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</si>
  <si>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</si>
  <si>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</si>
  <si>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</si>
  <si>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</si>
  <si>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</si>
  <si>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</si>
  <si>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</si>
  <si>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</si>
  <si>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</si>
  <si>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</si>
  <si>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</si>
  <si>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</si>
  <si>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</si>
  <si>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Konzentrationslevel</t>
  </si>
  <si>
    <t>Datum</t>
  </si>
  <si>
    <t>Fette</t>
  </si>
  <si>
    <t>Eiweiss</t>
  </si>
  <si>
    <t>Kohlenhydrate</t>
  </si>
  <si>
    <t>Gewicht</t>
  </si>
  <si>
    <t>Sonstiges Gefühl</t>
  </si>
  <si>
    <t>Optimierungen</t>
  </si>
  <si>
    <t>Calculus</t>
  </si>
  <si>
    <t>1) Complex numbers</t>
  </si>
  <si>
    <t>2) Limits</t>
  </si>
  <si>
    <t>3) Applicatiion of differentiation; L´Hopital</t>
  </si>
  <si>
    <t>4) Antiderivatives/Integration</t>
  </si>
  <si>
    <t>5) Taylor series</t>
  </si>
  <si>
    <t>6) Differential equations</t>
  </si>
  <si>
    <t>Computer architecture</t>
  </si>
  <si>
    <t>1) Bits, data types and operations(Chapter 2)</t>
  </si>
  <si>
    <t>2) Digital logic structures(Chapter 3)</t>
  </si>
  <si>
    <t>3) Von Neumann Model(Chapter 4)</t>
  </si>
  <si>
    <t>4) LC-3(Chapter 5)</t>
  </si>
  <si>
    <t>5) Programming(Chapter 6)</t>
  </si>
  <si>
    <t>6) Assembly language(Chapter 7)</t>
  </si>
  <si>
    <t>7) Data structures(Chapter 8)</t>
  </si>
  <si>
    <t>8) I/O(Chapter 9)</t>
  </si>
  <si>
    <t>9) Calculator(Chapter 10)</t>
  </si>
  <si>
    <t>Discrete structures</t>
  </si>
  <si>
    <t>1) Sets, sequences, languages, matrices, structures</t>
  </si>
  <si>
    <t>2)  Proofs and mathematical induction</t>
  </si>
  <si>
    <t>3)Permutations, combinations, pigeonhole principle</t>
  </si>
  <si>
    <t>4) Recurrence relations</t>
  </si>
  <si>
    <t>5) Partitions, relations, digraphs, equivalences</t>
  </si>
  <si>
    <t xml:space="preserve">6) Operations on relations, transitive closure  </t>
  </si>
  <si>
    <t>7) Functions</t>
  </si>
  <si>
    <t>8) Partially ordered sets, extremal elements</t>
  </si>
  <si>
    <t>9) Lattices</t>
  </si>
  <si>
    <t>10) Boolean algebras</t>
  </si>
  <si>
    <t>11) Trees</t>
  </si>
  <si>
    <t>12) Graphs</t>
  </si>
  <si>
    <t>KW 48</t>
  </si>
  <si>
    <t>KW 49</t>
  </si>
  <si>
    <t>KW 50</t>
  </si>
  <si>
    <t>KW 51</t>
  </si>
  <si>
    <t>KW 52</t>
  </si>
  <si>
    <t>KW 1</t>
  </si>
  <si>
    <t>KW 2</t>
  </si>
  <si>
    <t>KW 3</t>
  </si>
  <si>
    <t>KW 4</t>
  </si>
  <si>
    <t>Sport</t>
  </si>
  <si>
    <t>Eher schwach bis mäßig, da noch sehr unstrukturiert</t>
  </si>
  <si>
    <t>Klar abstecken, was gemacht wird</t>
  </si>
  <si>
    <t>Ja</t>
  </si>
  <si>
    <t>Schlafen gegangen</t>
  </si>
  <si>
    <t>Stoff für assignment früher lernen</t>
  </si>
  <si>
    <t>Assignment hat zu viel Zeit gefressen; Nicht genau an Zeitplan gehalten</t>
  </si>
  <si>
    <t>Produktiver tag,</t>
  </si>
  <si>
    <t xml:space="preserve"> aber zukünftige lerneinheiten sollten genauer definiert werden</t>
  </si>
  <si>
    <t>DS</t>
  </si>
  <si>
    <t>DS(Week 3 fertig)</t>
  </si>
  <si>
    <t>DS(Week 2&amp;3) in anki</t>
  </si>
  <si>
    <t>DS(Week 2&amp;3 extra exercises)</t>
  </si>
  <si>
    <t>Calculus(Stoff aufholen)</t>
  </si>
  <si>
    <t>Calculus hw/stoff wdh</t>
  </si>
  <si>
    <t>DS anki week 2&amp;3 lernen</t>
  </si>
  <si>
    <t>CA in anki wdh</t>
  </si>
  <si>
    <t>CA assignment</t>
  </si>
  <si>
    <t>Calculus in anki</t>
  </si>
  <si>
    <t>s</t>
  </si>
  <si>
    <t>DS Week 4 komplett + anki</t>
  </si>
  <si>
    <t>Nein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</si>
</sst>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
      <sz val="12"/>
      <color theme="0"/>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9" fontId="0" fillId="4" borderId="0" xfId="0" applyNumberFormat="1" applyFill="1"/>
    <xf numFmtId="9" fontId="5" fillId="0" borderId="0" xfId="0" applyNumberFormat="1" applyFont="1"/>
    <xf numFmtId="9" fontId="5" fillId="0" borderId="0" xfId="0" applyNumberFormat="1" applyFont="1" applyFill="1"/>
    <xf numFmtId="9" fontId="0" fillId="0" borderId="0" xfId="0" applyNumberFormat="1" applyFill="1"/>
    <xf numFmtId="9" fontId="6" fillId="0" borderId="0" xfId="0" applyNumberFormat="1" applyFont="1" applyFill="1"/>
    <xf numFmtId="0" fontId="1" fillId="2" borderId="0" xfId="0" applyFont="1" applyFill="1" applyAlignment="1">
      <alignment horizontal="center"/>
    </xf>
  </cellXfs>
  <cellStyles count="1">
    <cellStyle name="Normal" xfId="0" builtinId="0"/>
  </cellStyles>
  <dxfs count="194">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Schlafen gegangen" dataDxfId="1"/>
    <tableColumn id="4" xr3:uid="{E6B18D89-E799-AD48-9DAA-37AEE1D29011}" name="Konzentrationslevel" dataDxfId="0"/>
    <tableColumn id="5" xr3:uid="{7038951F-EF31-2A4C-8291-6B3B984C5954}" name="Sport"/>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defaultColWidth="10.66406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35</v>
      </c>
    </row>
    <row r="12" spans="2:2">
      <c r="B12" s="3" t="s">
        <v>17</v>
      </c>
    </row>
    <row r="13" spans="2:2" ht="124">
      <c r="B13" s="1" t="s">
        <v>18</v>
      </c>
    </row>
    <row r="15" spans="2:2">
      <c r="B15" s="3" t="s">
        <v>19</v>
      </c>
    </row>
    <row r="16" spans="2:2" ht="108.5">
      <c r="B16" s="1" t="s">
        <v>20</v>
      </c>
    </row>
    <row r="17" spans="2:2">
      <c r="B17" s="1"/>
    </row>
    <row r="18" spans="2:2">
      <c r="B18" s="3" t="s">
        <v>34</v>
      </c>
    </row>
    <row r="19" spans="2:2" ht="139.5">
      <c r="B19" s="1" t="s">
        <v>36</v>
      </c>
    </row>
    <row r="21" spans="2:2">
      <c r="B21" s="3" t="s">
        <v>21</v>
      </c>
    </row>
    <row r="22" spans="2:2" ht="124">
      <c r="B22" s="1" t="s">
        <v>37</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35"/>
  <sheetViews>
    <sheetView showGridLines="0" tabSelected="1" topLeftCell="B2" zoomScale="55" zoomScaleNormal="55" workbookViewId="0">
      <pane xSplit="6" topLeftCell="AV1" activePane="topRight" state="frozen"/>
      <selection activeCell="B1" sqref="B1"/>
      <selection pane="topRight" activeCell="AZ30" sqref="AZ30"/>
    </sheetView>
  </sheetViews>
  <sheetFormatPr defaultColWidth="8.83203125" defaultRowHeight="15.5" outlineLevelRow="1"/>
  <cols>
    <col min="3" max="3" width="9.5" bestFit="1" customWidth="1"/>
    <col min="4" max="4" width="13" bestFit="1" customWidth="1"/>
    <col min="5" max="5" width="4.83203125" bestFit="1" customWidth="1"/>
    <col min="6" max="6" width="41.1640625" bestFit="1" customWidth="1"/>
    <col min="7" max="7" width="15.6640625"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s>
  <sheetData>
    <row r="1" spans="2:75" ht="33.5">
      <c r="B1" s="5" t="s">
        <v>0</v>
      </c>
      <c r="D1" s="5"/>
      <c r="G1" s="15" t="s">
        <v>33</v>
      </c>
      <c r="I1" s="15" t="s">
        <v>33</v>
      </c>
      <c r="J1" s="15" t="s">
        <v>33</v>
      </c>
      <c r="K1" s="15" t="s">
        <v>33</v>
      </c>
    </row>
    <row r="2" spans="2:75">
      <c r="I2" s="24" t="s">
        <v>27</v>
      </c>
      <c r="J2" s="24"/>
      <c r="K2" s="24"/>
      <c r="L2" s="24"/>
      <c r="N2" s="24" t="s">
        <v>77</v>
      </c>
      <c r="O2" s="24"/>
      <c r="P2" s="24"/>
      <c r="Q2" s="24"/>
      <c r="R2" s="24"/>
      <c r="S2" s="24"/>
      <c r="U2" s="24" t="s">
        <v>78</v>
      </c>
      <c r="V2" s="24"/>
      <c r="W2" s="24"/>
      <c r="X2" s="24"/>
      <c r="Y2" s="24"/>
      <c r="Z2" s="24"/>
      <c r="AB2" s="24" t="s">
        <v>79</v>
      </c>
      <c r="AC2" s="24"/>
      <c r="AD2" s="24"/>
      <c r="AE2" s="24"/>
      <c r="AF2" s="24"/>
      <c r="AG2" s="24"/>
      <c r="AI2" s="24" t="s">
        <v>80</v>
      </c>
      <c r="AJ2" s="24"/>
      <c r="AK2" s="24"/>
      <c r="AL2" s="24"/>
      <c r="AM2" s="24"/>
      <c r="AN2" s="24"/>
      <c r="AP2" s="24" t="s">
        <v>81</v>
      </c>
      <c r="AQ2" s="24"/>
      <c r="AR2" s="24"/>
      <c r="AS2" s="24"/>
      <c r="AT2" s="24"/>
      <c r="AU2" s="24"/>
      <c r="AW2" s="24" t="s">
        <v>82</v>
      </c>
      <c r="AX2" s="24"/>
      <c r="AY2" s="24"/>
      <c r="AZ2" s="24"/>
      <c r="BA2" s="24"/>
      <c r="BB2" s="24"/>
      <c r="BD2" s="24" t="s">
        <v>83</v>
      </c>
      <c r="BE2" s="24"/>
      <c r="BF2" s="24"/>
      <c r="BG2" s="24"/>
      <c r="BH2" s="24"/>
      <c r="BI2" s="24"/>
      <c r="BK2" s="24" t="s">
        <v>84</v>
      </c>
      <c r="BL2" s="24"/>
      <c r="BM2" s="24"/>
      <c r="BN2" s="24"/>
      <c r="BO2" s="24"/>
      <c r="BP2" s="24"/>
      <c r="BR2" s="24" t="s">
        <v>85</v>
      </c>
      <c r="BS2" s="24"/>
      <c r="BT2" s="24"/>
      <c r="BU2" s="24"/>
      <c r="BV2" s="24"/>
      <c r="BW2" s="24"/>
    </row>
    <row r="3" spans="2:7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row>
    <row r="4" spans="2:75">
      <c r="B4" t="s">
        <v>27</v>
      </c>
      <c r="C4" t="s">
        <v>47</v>
      </c>
      <c r="E4" s="11">
        <v>5</v>
      </c>
      <c r="G4" s="12">
        <f>+SUM(G5:G10)</f>
        <v>1</v>
      </c>
      <c r="I4" s="14">
        <f>+SUM(I5:I10)</f>
        <v>110</v>
      </c>
      <c r="J4" s="13">
        <f>+SUMPRODUCT(G5:G10,J5:J10)</f>
        <v>0.46</v>
      </c>
      <c r="K4" s="13">
        <f>+SUMPRODUCT(G5:G10,K5:K10)</f>
        <v>0.46</v>
      </c>
      <c r="L4" s="11"/>
      <c r="N4" s="14">
        <f>+SUM(N5:N10)</f>
        <v>12</v>
      </c>
      <c r="U4" s="14">
        <f>+SUM(U5:U6)</f>
        <v>6</v>
      </c>
      <c r="AB4" s="14">
        <f>+SUM(AB5:AB8)</f>
        <v>12</v>
      </c>
      <c r="AI4" s="14">
        <f>+SUM(AI5:AI9)</f>
        <v>16</v>
      </c>
      <c r="AP4" s="14">
        <f>+SUM(AP5:AP10)</f>
        <v>12</v>
      </c>
      <c r="AW4" s="14">
        <f>+SUM(AW5:AW10)</f>
        <v>18</v>
      </c>
      <c r="BD4" s="14">
        <f>+SUM(BD5:BD10)</f>
        <v>12</v>
      </c>
      <c r="BK4" s="14">
        <f>+SUM(BK5:BK10)</f>
        <v>16</v>
      </c>
      <c r="BR4" s="14">
        <f>+SUM(BR5:BR10)</f>
        <v>0</v>
      </c>
    </row>
    <row r="5" spans="2:75" outlineLevel="1">
      <c r="B5" t="s">
        <v>28</v>
      </c>
      <c r="C5" t="s">
        <v>47</v>
      </c>
      <c r="E5" s="11"/>
      <c r="F5" t="s">
        <v>48</v>
      </c>
      <c r="G5" s="12">
        <v>0.1</v>
      </c>
      <c r="I5" s="11">
        <f t="shared" ref="I5:I10" si="0">+SUMIF($N$3:$ZY$3,I$3,$N5:$ZY5)</f>
        <v>16</v>
      </c>
      <c r="J5" s="13">
        <f t="shared" ref="J5:K10" si="1">+_xlfn.MAXIFS($N5:$ZE5,$N$3:$ZE$3,J$3)</f>
        <v>0.8</v>
      </c>
      <c r="K5" s="13">
        <f t="shared" si="1"/>
        <v>0.8</v>
      </c>
      <c r="L5" s="11"/>
      <c r="N5">
        <v>12</v>
      </c>
      <c r="O5" s="12">
        <v>0.8</v>
      </c>
      <c r="P5" s="12">
        <v>0.8</v>
      </c>
      <c r="Q5" s="12">
        <v>0.8</v>
      </c>
      <c r="R5" s="12">
        <v>0.8</v>
      </c>
      <c r="V5" s="12">
        <v>0.8</v>
      </c>
      <c r="W5" s="12">
        <v>0.8</v>
      </c>
      <c r="X5" s="12">
        <v>0.8</v>
      </c>
      <c r="Y5" s="12">
        <v>0.8</v>
      </c>
      <c r="AB5">
        <v>0</v>
      </c>
      <c r="AC5" s="12"/>
      <c r="AD5" s="12">
        <v>0.8</v>
      </c>
      <c r="AE5" s="12"/>
      <c r="AF5" s="12">
        <v>0.8</v>
      </c>
      <c r="AI5">
        <v>4</v>
      </c>
      <c r="AJ5" s="12"/>
      <c r="AK5" s="12">
        <v>1</v>
      </c>
      <c r="AL5" s="12"/>
      <c r="AM5" s="12">
        <v>1</v>
      </c>
      <c r="AP5">
        <v>0</v>
      </c>
      <c r="AQ5" s="12"/>
      <c r="AR5" s="12">
        <v>1</v>
      </c>
      <c r="AS5" s="12"/>
      <c r="AT5" s="12">
        <v>1</v>
      </c>
      <c r="AW5">
        <v>0</v>
      </c>
      <c r="AX5" s="12">
        <v>0.8</v>
      </c>
      <c r="AY5" s="12">
        <v>1</v>
      </c>
      <c r="AZ5" s="12">
        <v>0.8</v>
      </c>
      <c r="BA5" s="12">
        <v>1</v>
      </c>
      <c r="BE5" s="12"/>
      <c r="BF5" s="12">
        <v>1</v>
      </c>
      <c r="BG5" s="12"/>
      <c r="BH5" s="12">
        <v>1</v>
      </c>
      <c r="BK5">
        <v>0</v>
      </c>
      <c r="BL5" s="12"/>
      <c r="BM5" s="12">
        <v>1</v>
      </c>
      <c r="BN5" s="12"/>
      <c r="BO5" s="12">
        <v>1</v>
      </c>
      <c r="BS5" s="12"/>
      <c r="BT5" s="12"/>
      <c r="BU5" s="12"/>
      <c r="BV5" s="12"/>
    </row>
    <row r="6" spans="2:75" outlineLevel="1">
      <c r="B6" t="s">
        <v>28</v>
      </c>
      <c r="C6" t="s">
        <v>47</v>
      </c>
      <c r="E6" s="11"/>
      <c r="F6" t="s">
        <v>49</v>
      </c>
      <c r="G6" s="12">
        <v>0.2</v>
      </c>
      <c r="I6" s="11">
        <f t="shared" si="0"/>
        <v>18</v>
      </c>
      <c r="J6" s="13">
        <f t="shared" si="1"/>
        <v>0.5</v>
      </c>
      <c r="K6" s="13">
        <f t="shared" si="1"/>
        <v>0.5</v>
      </c>
      <c r="L6" s="11"/>
      <c r="N6" s="9"/>
      <c r="O6" s="22"/>
      <c r="P6" s="22"/>
      <c r="Q6" s="22"/>
      <c r="R6" s="22"/>
      <c r="U6">
        <v>6</v>
      </c>
      <c r="V6" s="12">
        <v>0.3</v>
      </c>
      <c r="W6" s="12">
        <v>0.5</v>
      </c>
      <c r="X6" s="12"/>
      <c r="Y6" s="12">
        <v>0.5</v>
      </c>
      <c r="AB6">
        <v>6</v>
      </c>
      <c r="AC6" s="12"/>
      <c r="AD6" s="12">
        <v>0.8</v>
      </c>
      <c r="AE6" s="12"/>
      <c r="AF6" s="12">
        <v>0.8</v>
      </c>
      <c r="AI6">
        <v>0</v>
      </c>
      <c r="AJ6" s="12"/>
      <c r="AK6" s="12">
        <v>0.8</v>
      </c>
      <c r="AL6" s="12"/>
      <c r="AM6" s="12">
        <v>0.8</v>
      </c>
      <c r="AP6">
        <v>6</v>
      </c>
      <c r="AQ6" s="12"/>
      <c r="AR6" s="12">
        <v>1</v>
      </c>
      <c r="AS6" s="12"/>
      <c r="AT6" s="12">
        <v>1</v>
      </c>
      <c r="AW6">
        <v>0</v>
      </c>
      <c r="AX6" s="12">
        <v>0.5</v>
      </c>
      <c r="AY6" s="12">
        <v>1</v>
      </c>
      <c r="AZ6" s="12">
        <v>0.5</v>
      </c>
      <c r="BA6" s="12">
        <v>1</v>
      </c>
      <c r="BE6" s="12"/>
      <c r="BF6" s="12">
        <v>1</v>
      </c>
      <c r="BG6" s="12"/>
      <c r="BH6" s="12">
        <v>1</v>
      </c>
      <c r="BK6">
        <v>0</v>
      </c>
      <c r="BL6" s="12"/>
      <c r="BM6" s="12">
        <v>1</v>
      </c>
      <c r="BN6" s="12"/>
      <c r="BO6" s="12">
        <v>1</v>
      </c>
      <c r="BS6" s="12"/>
      <c r="BT6" s="12"/>
      <c r="BU6" s="12"/>
      <c r="BV6" s="12"/>
    </row>
    <row r="7" spans="2:75" outlineLevel="1">
      <c r="B7" t="s">
        <v>28</v>
      </c>
      <c r="C7" t="s">
        <v>47</v>
      </c>
      <c r="E7" s="11"/>
      <c r="F7" t="s">
        <v>50</v>
      </c>
      <c r="G7" s="12">
        <v>0.2</v>
      </c>
      <c r="I7" s="11">
        <f t="shared" si="0"/>
        <v>18</v>
      </c>
      <c r="J7" s="13">
        <f t="shared" si="1"/>
        <v>0.5</v>
      </c>
      <c r="K7" s="13">
        <f t="shared" si="1"/>
        <v>0.5</v>
      </c>
      <c r="L7" s="11"/>
      <c r="N7" s="9"/>
      <c r="O7" s="22"/>
      <c r="P7" s="22"/>
      <c r="Q7" s="22"/>
      <c r="R7" s="22"/>
      <c r="U7" s="9">
        <v>6</v>
      </c>
      <c r="V7" s="12"/>
      <c r="W7" s="22">
        <v>0.5</v>
      </c>
      <c r="X7" s="22"/>
      <c r="Y7" s="22">
        <v>0.5</v>
      </c>
      <c r="AB7">
        <v>0</v>
      </c>
      <c r="AC7" s="12"/>
      <c r="AD7" s="12">
        <v>0.5</v>
      </c>
      <c r="AE7" s="12"/>
      <c r="AF7" s="12">
        <v>0.5</v>
      </c>
      <c r="AI7">
        <v>6</v>
      </c>
      <c r="AJ7" s="12"/>
      <c r="AK7" s="12">
        <v>0.8</v>
      </c>
      <c r="AL7" s="12"/>
      <c r="AM7" s="12">
        <v>0.8</v>
      </c>
      <c r="AP7">
        <v>0</v>
      </c>
      <c r="AQ7" s="12"/>
      <c r="AR7" s="12">
        <v>0.8</v>
      </c>
      <c r="AS7" s="12"/>
      <c r="AT7" s="12">
        <v>0.8</v>
      </c>
      <c r="AW7">
        <v>6</v>
      </c>
      <c r="AX7" s="12">
        <v>0.5</v>
      </c>
      <c r="AY7" s="12">
        <v>1</v>
      </c>
      <c r="AZ7" s="12">
        <v>0.5</v>
      </c>
      <c r="BA7" s="12">
        <v>1</v>
      </c>
      <c r="BE7" s="12"/>
      <c r="BF7" s="12">
        <v>1</v>
      </c>
      <c r="BG7" s="12"/>
      <c r="BH7" s="12">
        <v>1</v>
      </c>
      <c r="BK7">
        <v>0</v>
      </c>
      <c r="BL7" s="12"/>
      <c r="BM7" s="12">
        <v>1</v>
      </c>
      <c r="BN7" s="12"/>
      <c r="BO7" s="12">
        <v>1</v>
      </c>
      <c r="BS7" s="12"/>
      <c r="BT7" s="12"/>
      <c r="BU7" s="12"/>
      <c r="BV7" s="12"/>
    </row>
    <row r="8" spans="2:75" outlineLevel="1">
      <c r="B8" t="s">
        <v>28</v>
      </c>
      <c r="C8" t="s">
        <v>47</v>
      </c>
      <c r="E8" s="11"/>
      <c r="F8" t="s">
        <v>51</v>
      </c>
      <c r="G8" s="12">
        <v>0.2</v>
      </c>
      <c r="I8" s="11">
        <f t="shared" si="0"/>
        <v>18</v>
      </c>
      <c r="J8" s="13">
        <f t="shared" si="1"/>
        <v>0.5</v>
      </c>
      <c r="K8" s="13">
        <f t="shared" si="1"/>
        <v>0.5</v>
      </c>
      <c r="L8" s="11"/>
      <c r="N8" s="9"/>
      <c r="O8" s="22"/>
      <c r="P8" s="22"/>
      <c r="Q8" s="22"/>
      <c r="R8" s="22"/>
      <c r="U8" s="9"/>
      <c r="V8" s="22"/>
      <c r="W8" s="22"/>
      <c r="X8" s="22"/>
      <c r="Y8" s="22"/>
      <c r="AB8">
        <v>6</v>
      </c>
      <c r="AC8" s="22"/>
      <c r="AD8" s="12">
        <v>0.5</v>
      </c>
      <c r="AE8" s="22"/>
      <c r="AF8" s="12">
        <v>0.5</v>
      </c>
      <c r="AI8">
        <v>0</v>
      </c>
      <c r="AJ8" s="12"/>
      <c r="AK8" s="12">
        <v>0.5</v>
      </c>
      <c r="AL8" s="12"/>
      <c r="AM8" s="12">
        <v>0.5</v>
      </c>
      <c r="AP8">
        <v>0</v>
      </c>
      <c r="AQ8" s="12"/>
      <c r="AR8" s="12">
        <v>0.5</v>
      </c>
      <c r="AS8" s="12"/>
      <c r="AT8" s="12">
        <v>0.5</v>
      </c>
      <c r="AW8">
        <v>6</v>
      </c>
      <c r="AX8" s="12">
        <v>0.5</v>
      </c>
      <c r="AY8" s="12">
        <v>0.8</v>
      </c>
      <c r="AZ8" s="12">
        <v>0.5</v>
      </c>
      <c r="BA8" s="12">
        <v>0.8</v>
      </c>
      <c r="BE8" s="12"/>
      <c r="BF8" s="12">
        <v>0.8</v>
      </c>
      <c r="BG8" s="12"/>
      <c r="BH8" s="12">
        <v>0.8</v>
      </c>
      <c r="BK8">
        <v>6</v>
      </c>
      <c r="BL8" s="12"/>
      <c r="BM8" s="12">
        <v>1</v>
      </c>
      <c r="BN8" s="12"/>
      <c r="BO8" s="12">
        <v>1</v>
      </c>
      <c r="BS8" s="12"/>
      <c r="BT8" s="12"/>
      <c r="BU8" s="12"/>
      <c r="BV8" s="12"/>
    </row>
    <row r="9" spans="2:75" outlineLevel="1">
      <c r="B9" t="s">
        <v>28</v>
      </c>
      <c r="C9" t="s">
        <v>47</v>
      </c>
      <c r="E9" s="11"/>
      <c r="F9" t="s">
        <v>52</v>
      </c>
      <c r="G9" s="12">
        <v>0.1</v>
      </c>
      <c r="I9" s="11">
        <f t="shared" si="0"/>
        <v>16</v>
      </c>
      <c r="J9" s="13">
        <f t="shared" si="1"/>
        <v>0</v>
      </c>
      <c r="K9" s="13">
        <f t="shared" si="1"/>
        <v>0</v>
      </c>
      <c r="L9" s="11"/>
      <c r="N9" s="9"/>
      <c r="O9" s="22"/>
      <c r="P9" s="22"/>
      <c r="Q9" s="22"/>
      <c r="R9" s="22"/>
      <c r="U9" s="9"/>
      <c r="V9" s="22"/>
      <c r="W9" s="22"/>
      <c r="X9" s="22"/>
      <c r="Y9" s="22"/>
      <c r="AB9" s="9"/>
      <c r="AC9" s="22"/>
      <c r="AD9" s="22"/>
      <c r="AE9" s="22"/>
      <c r="AF9" s="22"/>
      <c r="AI9" s="9">
        <v>6</v>
      </c>
      <c r="AJ9" s="22"/>
      <c r="AK9" s="12">
        <v>0.5</v>
      </c>
      <c r="AL9" s="12"/>
      <c r="AM9" s="12">
        <v>0.5</v>
      </c>
      <c r="AP9">
        <v>0</v>
      </c>
      <c r="AQ9" s="22"/>
      <c r="AR9" s="12">
        <v>0.5</v>
      </c>
      <c r="AS9" s="22"/>
      <c r="AT9" s="12">
        <v>0.5</v>
      </c>
      <c r="AW9">
        <v>0</v>
      </c>
      <c r="AX9" s="12"/>
      <c r="AY9" s="12">
        <v>0.5</v>
      </c>
      <c r="AZ9" s="12"/>
      <c r="BA9" s="12">
        <v>0.5</v>
      </c>
      <c r="BD9">
        <v>6</v>
      </c>
      <c r="BE9" s="12"/>
      <c r="BF9" s="12">
        <v>0.8</v>
      </c>
      <c r="BG9" s="12"/>
      <c r="BH9" s="12">
        <v>0.8</v>
      </c>
      <c r="BK9">
        <v>4</v>
      </c>
      <c r="BL9" s="12"/>
      <c r="BM9" s="12">
        <v>1</v>
      </c>
      <c r="BN9" s="12"/>
      <c r="BO9" s="12">
        <v>1</v>
      </c>
      <c r="BS9" s="12"/>
      <c r="BT9" s="12"/>
      <c r="BU9" s="12"/>
      <c r="BV9" s="12"/>
    </row>
    <row r="10" spans="2:75" outlineLevel="1">
      <c r="B10" t="s">
        <v>28</v>
      </c>
      <c r="C10" t="s">
        <v>47</v>
      </c>
      <c r="E10" s="11"/>
      <c r="F10" t="s">
        <v>53</v>
      </c>
      <c r="G10" s="12">
        <v>0.2</v>
      </c>
      <c r="I10" s="11">
        <f t="shared" si="0"/>
        <v>24</v>
      </c>
      <c r="J10" s="13">
        <f t="shared" si="1"/>
        <v>0.4</v>
      </c>
      <c r="K10" s="13">
        <f t="shared" si="1"/>
        <v>0.4</v>
      </c>
      <c r="L10" s="11"/>
      <c r="O10" s="12"/>
      <c r="P10" s="12"/>
      <c r="Q10" s="12"/>
      <c r="R10" s="12"/>
      <c r="V10" s="12"/>
      <c r="W10" s="12"/>
      <c r="X10" s="12"/>
      <c r="Y10" s="12"/>
      <c r="AB10" s="9"/>
      <c r="AC10" s="22"/>
      <c r="AD10" s="22"/>
      <c r="AE10" s="22"/>
      <c r="AF10" s="22"/>
      <c r="AI10" s="9"/>
      <c r="AJ10" s="22"/>
      <c r="AK10" s="22"/>
      <c r="AL10" s="22"/>
      <c r="AM10" s="22"/>
      <c r="AP10" s="9">
        <v>6</v>
      </c>
      <c r="AQ10" s="22"/>
      <c r="AR10" s="12">
        <v>0.5</v>
      </c>
      <c r="AS10" s="22"/>
      <c r="AT10" s="12">
        <v>0.5</v>
      </c>
      <c r="AW10">
        <v>6</v>
      </c>
      <c r="AX10" s="12">
        <v>0.4</v>
      </c>
      <c r="AY10" s="12">
        <v>0.5</v>
      </c>
      <c r="AZ10" s="12">
        <v>0.4</v>
      </c>
      <c r="BA10" s="12">
        <v>0.5</v>
      </c>
      <c r="BD10">
        <v>6</v>
      </c>
      <c r="BE10" s="12"/>
      <c r="BF10" s="12">
        <v>0.8</v>
      </c>
      <c r="BG10" s="12"/>
      <c r="BH10" s="12">
        <v>0.8</v>
      </c>
      <c r="BK10">
        <v>6</v>
      </c>
      <c r="BL10" s="12"/>
      <c r="BM10" s="12">
        <v>1</v>
      </c>
      <c r="BN10" s="12"/>
      <c r="BO10" s="12">
        <v>1</v>
      </c>
      <c r="BS10" s="12"/>
      <c r="BT10" s="12"/>
      <c r="BU10" s="12"/>
      <c r="BV10" s="12"/>
    </row>
    <row r="11" spans="2:75">
      <c r="O11" s="9"/>
      <c r="V11" s="9"/>
      <c r="AC11" s="9"/>
      <c r="AJ11" s="9"/>
      <c r="AQ11" s="9"/>
      <c r="AX11" s="9"/>
      <c r="BE11" s="9"/>
      <c r="BL11" s="9"/>
      <c r="BS11" s="9"/>
    </row>
    <row r="12" spans="2:75">
      <c r="B12" t="s">
        <v>27</v>
      </c>
      <c r="C12" t="s">
        <v>54</v>
      </c>
      <c r="E12" s="11">
        <v>5</v>
      </c>
      <c r="G12" s="12">
        <f>+SUM(G13:G21)</f>
        <v>0.99999999999999989</v>
      </c>
      <c r="I12" s="14">
        <f>+SUM(I13:I18)</f>
        <v>75</v>
      </c>
      <c r="J12" s="13">
        <f>+SUMPRODUCT(G13:G18,J13:J18)</f>
        <v>0.41</v>
      </c>
      <c r="K12" s="13">
        <f>+SUMPRODUCT(G13:G18,K13:K18)</f>
        <v>0.41</v>
      </c>
      <c r="L12" s="11"/>
      <c r="N12" s="14">
        <f>+SUM(N13:N18)</f>
        <v>12</v>
      </c>
      <c r="U12" s="14">
        <f>+SUM(U13:U18)</f>
        <v>15</v>
      </c>
      <c r="AB12" s="14">
        <f>+SUM(AB13:AB18)</f>
        <v>12</v>
      </c>
      <c r="AI12" s="14">
        <f>+SUM(AI13:AI18)</f>
        <v>16</v>
      </c>
      <c r="AP12" s="14">
        <f>+SUM(AP13:AP18)</f>
        <v>12</v>
      </c>
      <c r="AW12" s="14">
        <f>+SUM(AW13:AW20)</f>
        <v>16</v>
      </c>
      <c r="BD12" s="14">
        <f>+SUM(BD13:BD21)</f>
        <v>12</v>
      </c>
      <c r="BK12" s="14">
        <f>+SUM(BK13:BK21)</f>
        <v>15</v>
      </c>
    </row>
    <row r="13" spans="2:75" outlineLevel="1">
      <c r="B13" t="s">
        <v>28</v>
      </c>
      <c r="C13" t="s">
        <v>54</v>
      </c>
      <c r="E13" s="11"/>
      <c r="F13" t="s">
        <v>55</v>
      </c>
      <c r="G13" s="12">
        <v>0.2</v>
      </c>
      <c r="I13" s="11">
        <f t="shared" ref="I13:I18" si="2">+SUMIF($N$3:$ZY$3,I$3,$N13:$ZY13)</f>
        <v>12</v>
      </c>
      <c r="J13" s="13">
        <f t="shared" ref="J13:K18" si="3">+_xlfn.MAXIFS($N13:$ZE13,$N$3:$ZE$3,J$3)</f>
        <v>0.8</v>
      </c>
      <c r="K13" s="13">
        <f t="shared" si="3"/>
        <v>0.8</v>
      </c>
      <c r="L13" s="11"/>
      <c r="N13">
        <v>8</v>
      </c>
      <c r="O13" s="12">
        <v>0.8</v>
      </c>
      <c r="P13" s="12">
        <v>0.8</v>
      </c>
      <c r="Q13" s="12">
        <v>0.8</v>
      </c>
      <c r="R13" s="12">
        <v>0.8</v>
      </c>
      <c r="U13">
        <v>4</v>
      </c>
      <c r="V13" s="12">
        <v>0.8</v>
      </c>
      <c r="W13" s="12">
        <v>1</v>
      </c>
      <c r="X13" s="12"/>
      <c r="Y13" s="12">
        <v>1</v>
      </c>
      <c r="AC13" s="12"/>
      <c r="AD13" s="12">
        <v>1</v>
      </c>
      <c r="AE13" s="12"/>
      <c r="AF13" s="12">
        <v>1</v>
      </c>
      <c r="AJ13" s="12"/>
      <c r="AK13" s="12">
        <v>1</v>
      </c>
      <c r="AL13" s="12"/>
      <c r="AM13" s="12">
        <v>1</v>
      </c>
      <c r="AQ13" s="12"/>
      <c r="AR13" s="12">
        <v>1</v>
      </c>
      <c r="AS13" s="12"/>
      <c r="AT13" s="12">
        <v>1</v>
      </c>
      <c r="AX13" s="12">
        <v>0.8</v>
      </c>
      <c r="AY13" s="12">
        <v>1</v>
      </c>
      <c r="AZ13" s="12">
        <v>0.8</v>
      </c>
      <c r="BA13" s="12">
        <v>1</v>
      </c>
      <c r="BE13" s="12"/>
      <c r="BF13" s="12">
        <v>1</v>
      </c>
      <c r="BG13" s="12"/>
      <c r="BH13" s="12">
        <v>1</v>
      </c>
      <c r="BL13" s="12"/>
      <c r="BM13" s="12">
        <v>1</v>
      </c>
      <c r="BN13" s="12"/>
      <c r="BO13" s="12">
        <v>1</v>
      </c>
      <c r="BS13" s="12"/>
      <c r="BT13" s="12"/>
      <c r="BU13" s="12"/>
      <c r="BV13" s="12"/>
    </row>
    <row r="14" spans="2:75" outlineLevel="1">
      <c r="B14" t="s">
        <v>28</v>
      </c>
      <c r="C14" t="s">
        <v>54</v>
      </c>
      <c r="E14" s="11"/>
      <c r="F14" t="s">
        <v>56</v>
      </c>
      <c r="G14" s="12">
        <v>0.1</v>
      </c>
      <c r="I14" s="11">
        <f t="shared" si="2"/>
        <v>15</v>
      </c>
      <c r="J14" s="13">
        <f t="shared" si="3"/>
        <v>0.5</v>
      </c>
      <c r="K14" s="13">
        <f t="shared" si="3"/>
        <v>0.5</v>
      </c>
      <c r="L14" s="11"/>
      <c r="N14">
        <v>4</v>
      </c>
      <c r="O14" s="12">
        <v>0.5</v>
      </c>
      <c r="P14" s="12">
        <v>0.5</v>
      </c>
      <c r="Q14" s="12">
        <v>0.5</v>
      </c>
      <c r="R14" s="12">
        <v>0.5</v>
      </c>
      <c r="U14">
        <v>7</v>
      </c>
      <c r="V14" s="12">
        <v>0.5</v>
      </c>
      <c r="W14" s="12">
        <v>0.8</v>
      </c>
      <c r="X14" s="12">
        <v>0.5</v>
      </c>
      <c r="Y14" s="12">
        <v>0.8</v>
      </c>
      <c r="AB14">
        <v>4</v>
      </c>
      <c r="AC14" s="12"/>
      <c r="AD14" s="12">
        <v>1</v>
      </c>
      <c r="AE14" s="12"/>
      <c r="AF14" s="12">
        <v>1</v>
      </c>
      <c r="AJ14" s="12"/>
      <c r="AK14" s="12">
        <v>1</v>
      </c>
      <c r="AL14" s="12"/>
      <c r="AM14" s="12">
        <v>1</v>
      </c>
      <c r="AQ14" s="12"/>
      <c r="AR14" s="12">
        <v>1</v>
      </c>
      <c r="AS14" s="12"/>
      <c r="AT14" s="12">
        <v>1</v>
      </c>
      <c r="AX14" s="12">
        <v>0.5</v>
      </c>
      <c r="AY14" s="12">
        <v>1</v>
      </c>
      <c r="AZ14" s="12">
        <v>0.5</v>
      </c>
      <c r="BA14" s="12">
        <v>1</v>
      </c>
      <c r="BE14" s="12"/>
      <c r="BF14" s="12">
        <v>1</v>
      </c>
      <c r="BG14" s="12"/>
      <c r="BH14" s="12">
        <v>1</v>
      </c>
      <c r="BL14" s="12"/>
      <c r="BM14" s="12">
        <v>1</v>
      </c>
      <c r="BN14" s="12"/>
      <c r="BO14" s="12">
        <v>1</v>
      </c>
      <c r="BS14" s="12"/>
      <c r="BT14" s="12"/>
      <c r="BU14" s="12"/>
      <c r="BV14" s="12"/>
    </row>
    <row r="15" spans="2:75" outlineLevel="1">
      <c r="B15" t="s">
        <v>28</v>
      </c>
      <c r="C15" t="s">
        <v>54</v>
      </c>
      <c r="E15" s="11"/>
      <c r="F15" t="s">
        <v>57</v>
      </c>
      <c r="G15" s="12">
        <v>0.1</v>
      </c>
      <c r="I15" s="11">
        <f t="shared" si="2"/>
        <v>12</v>
      </c>
      <c r="J15" s="13">
        <f t="shared" si="3"/>
        <v>0.5</v>
      </c>
      <c r="K15" s="13">
        <f t="shared" si="3"/>
        <v>0.5</v>
      </c>
      <c r="L15" s="11"/>
      <c r="O15" s="12"/>
      <c r="P15" s="12"/>
      <c r="Q15" s="12"/>
      <c r="R15" s="12"/>
      <c r="U15">
        <v>4</v>
      </c>
      <c r="V15" s="12"/>
      <c r="W15" s="12">
        <v>0.5</v>
      </c>
      <c r="X15" s="12"/>
      <c r="Y15" s="12">
        <v>0.5</v>
      </c>
      <c r="AB15">
        <v>4</v>
      </c>
      <c r="AC15" s="12"/>
      <c r="AD15" s="12">
        <v>0.8</v>
      </c>
      <c r="AE15" s="12"/>
      <c r="AF15" s="12">
        <v>0.8</v>
      </c>
      <c r="AI15">
        <v>4</v>
      </c>
      <c r="AJ15" s="12"/>
      <c r="AK15" s="12">
        <v>1</v>
      </c>
      <c r="AL15" s="12"/>
      <c r="AM15" s="12">
        <v>1</v>
      </c>
      <c r="AQ15" s="12"/>
      <c r="AR15" s="12">
        <v>1</v>
      </c>
      <c r="AS15" s="12"/>
      <c r="AT15" s="12">
        <v>1</v>
      </c>
      <c r="AX15" s="12">
        <v>0.5</v>
      </c>
      <c r="AY15" s="12">
        <v>1</v>
      </c>
      <c r="AZ15" s="12">
        <v>0.5</v>
      </c>
      <c r="BA15" s="12">
        <v>1</v>
      </c>
      <c r="BE15" s="12"/>
      <c r="BF15" s="12">
        <v>1</v>
      </c>
      <c r="BG15" s="12"/>
      <c r="BH15" s="12">
        <v>1</v>
      </c>
      <c r="BL15" s="12"/>
      <c r="BM15" s="12">
        <v>1</v>
      </c>
      <c r="BN15" s="12"/>
      <c r="BO15" s="12">
        <v>1</v>
      </c>
      <c r="BS15" s="12"/>
      <c r="BT15" s="12"/>
      <c r="BU15" s="12"/>
      <c r="BV15" s="12"/>
    </row>
    <row r="16" spans="2:75" outlineLevel="1">
      <c r="B16" t="s">
        <v>28</v>
      </c>
      <c r="C16" t="s">
        <v>54</v>
      </c>
      <c r="E16" s="11"/>
      <c r="F16" t="s">
        <v>58</v>
      </c>
      <c r="G16" s="12">
        <v>0.1</v>
      </c>
      <c r="I16" s="11">
        <f t="shared" si="2"/>
        <v>12</v>
      </c>
      <c r="J16" s="13">
        <f t="shared" si="3"/>
        <v>0.5</v>
      </c>
      <c r="K16" s="13">
        <f t="shared" si="3"/>
        <v>0.5</v>
      </c>
      <c r="L16" s="11"/>
      <c r="N16" s="9"/>
      <c r="O16" s="22"/>
      <c r="P16" s="22"/>
      <c r="Q16" s="22"/>
      <c r="R16" s="22"/>
      <c r="V16" s="12"/>
      <c r="W16" s="12"/>
      <c r="X16" s="12"/>
      <c r="Y16" s="12"/>
      <c r="AB16">
        <v>4</v>
      </c>
      <c r="AC16" s="12"/>
      <c r="AD16" s="12">
        <v>0.5</v>
      </c>
      <c r="AE16" s="12"/>
      <c r="AF16" s="12">
        <v>0.5</v>
      </c>
      <c r="AI16">
        <v>4</v>
      </c>
      <c r="AJ16" s="12"/>
      <c r="AK16" s="12">
        <v>0.8</v>
      </c>
      <c r="AL16" s="12"/>
      <c r="AM16" s="12">
        <v>0.8</v>
      </c>
      <c r="AP16">
        <v>4</v>
      </c>
      <c r="AQ16" s="12"/>
      <c r="AR16" s="12">
        <v>1</v>
      </c>
      <c r="AS16" s="12"/>
      <c r="AT16" s="12">
        <v>1</v>
      </c>
      <c r="AX16" s="12">
        <v>0.5</v>
      </c>
      <c r="AY16" s="12">
        <v>1</v>
      </c>
      <c r="AZ16" s="12">
        <v>0.5</v>
      </c>
      <c r="BA16" s="12">
        <v>1</v>
      </c>
      <c r="BE16" s="12"/>
      <c r="BF16" s="12">
        <v>1</v>
      </c>
      <c r="BG16" s="12"/>
      <c r="BH16" s="12">
        <v>1</v>
      </c>
      <c r="BL16" s="12"/>
      <c r="BM16" s="12">
        <v>1</v>
      </c>
      <c r="BN16" s="12"/>
      <c r="BO16" s="12">
        <v>1</v>
      </c>
      <c r="BS16" s="12"/>
      <c r="BT16" s="12"/>
      <c r="BU16" s="12"/>
      <c r="BV16" s="12"/>
    </row>
    <row r="17" spans="2:74" outlineLevel="1">
      <c r="B17" t="s">
        <v>28</v>
      </c>
      <c r="C17" t="s">
        <v>54</v>
      </c>
      <c r="E17" s="11"/>
      <c r="F17" t="s">
        <v>59</v>
      </c>
      <c r="G17" s="12">
        <v>0.1</v>
      </c>
      <c r="I17" s="11">
        <f t="shared" si="2"/>
        <v>12</v>
      </c>
      <c r="J17" s="13">
        <f t="shared" si="3"/>
        <v>0.5</v>
      </c>
      <c r="K17" s="13">
        <f t="shared" si="3"/>
        <v>0.5</v>
      </c>
      <c r="L17" s="11"/>
      <c r="N17" s="9"/>
      <c r="O17" s="22"/>
      <c r="P17" s="22"/>
      <c r="Q17" s="22"/>
      <c r="R17" s="22"/>
      <c r="U17" s="9"/>
      <c r="V17" s="22"/>
      <c r="W17" s="22"/>
      <c r="X17" s="22"/>
      <c r="Y17" s="22"/>
      <c r="AB17" s="9"/>
      <c r="AC17" s="22"/>
      <c r="AD17" s="22"/>
      <c r="AE17" s="22"/>
      <c r="AF17" s="22"/>
      <c r="AI17">
        <v>4</v>
      </c>
      <c r="AJ17" s="12"/>
      <c r="AK17" s="12">
        <v>0.5</v>
      </c>
      <c r="AL17" s="12"/>
      <c r="AM17" s="12">
        <v>0.5</v>
      </c>
      <c r="AP17">
        <v>4</v>
      </c>
      <c r="AQ17" s="12"/>
      <c r="AR17" s="12">
        <v>0.8</v>
      </c>
      <c r="AS17" s="12"/>
      <c r="AT17" s="12">
        <v>0.8</v>
      </c>
      <c r="AW17">
        <v>4</v>
      </c>
      <c r="AX17" s="12">
        <v>0.5</v>
      </c>
      <c r="AY17" s="12">
        <v>1</v>
      </c>
      <c r="AZ17" s="12">
        <v>0.5</v>
      </c>
      <c r="BA17" s="12">
        <v>1</v>
      </c>
      <c r="BE17" s="12"/>
      <c r="BF17" s="12">
        <v>1</v>
      </c>
      <c r="BG17" s="12"/>
      <c r="BH17" s="12">
        <v>1</v>
      </c>
      <c r="BL17" s="12"/>
      <c r="BM17" s="12">
        <v>1</v>
      </c>
      <c r="BN17" s="12"/>
      <c r="BO17" s="12">
        <v>1</v>
      </c>
      <c r="BS17" s="12"/>
      <c r="BT17" s="12"/>
      <c r="BU17" s="12"/>
      <c r="BV17" s="12"/>
    </row>
    <row r="18" spans="2:74" outlineLevel="1">
      <c r="B18" t="s">
        <v>28</v>
      </c>
      <c r="C18" t="s">
        <v>54</v>
      </c>
      <c r="E18" s="11"/>
      <c r="F18" t="s">
        <v>60</v>
      </c>
      <c r="G18" s="12">
        <v>0.1</v>
      </c>
      <c r="I18" s="11">
        <f t="shared" si="2"/>
        <v>12</v>
      </c>
      <c r="J18" s="13">
        <f t="shared" si="3"/>
        <v>0.5</v>
      </c>
      <c r="K18" s="13">
        <f t="shared" si="3"/>
        <v>0.5</v>
      </c>
      <c r="L18" s="11"/>
      <c r="N18" s="9"/>
      <c r="O18" s="22"/>
      <c r="P18" s="22"/>
      <c r="Q18" s="22"/>
      <c r="R18" s="22"/>
      <c r="U18" s="9"/>
      <c r="V18" s="22"/>
      <c r="W18" s="22"/>
      <c r="X18" s="22"/>
      <c r="Y18" s="22"/>
      <c r="AB18" s="9"/>
      <c r="AC18" s="22"/>
      <c r="AD18" s="22"/>
      <c r="AE18" s="22"/>
      <c r="AF18" s="22"/>
      <c r="AI18">
        <v>4</v>
      </c>
      <c r="AJ18" s="12"/>
      <c r="AK18" s="12">
        <v>0.5</v>
      </c>
      <c r="AL18" s="12"/>
      <c r="AM18" s="12">
        <v>0.5</v>
      </c>
      <c r="AP18">
        <v>4</v>
      </c>
      <c r="AQ18" s="12"/>
      <c r="AR18" s="12">
        <v>0.8</v>
      </c>
      <c r="AS18" s="12"/>
      <c r="AT18" s="12">
        <v>0.8</v>
      </c>
      <c r="AW18">
        <v>4</v>
      </c>
      <c r="AX18" s="12">
        <v>0.5</v>
      </c>
      <c r="AY18" s="12">
        <v>1</v>
      </c>
      <c r="AZ18" s="12">
        <v>0.5</v>
      </c>
      <c r="BA18" s="12">
        <v>1</v>
      </c>
      <c r="BD18">
        <v>0</v>
      </c>
      <c r="BE18" s="12"/>
      <c r="BF18" s="12">
        <v>1</v>
      </c>
      <c r="BG18" s="12"/>
      <c r="BH18" s="12">
        <v>1</v>
      </c>
      <c r="BL18" s="12"/>
      <c r="BM18" s="12">
        <v>1</v>
      </c>
      <c r="BN18" s="12"/>
      <c r="BO18" s="12">
        <v>1</v>
      </c>
      <c r="BS18" s="12"/>
      <c r="BT18" s="12"/>
      <c r="BU18" s="12"/>
      <c r="BV18" s="12"/>
    </row>
    <row r="19" spans="2:74" outlineLevel="1">
      <c r="B19" t="s">
        <v>28</v>
      </c>
      <c r="C19" t="s">
        <v>54</v>
      </c>
      <c r="E19" s="11"/>
      <c r="F19" t="s">
        <v>61</v>
      </c>
      <c r="G19" s="12">
        <v>0.1</v>
      </c>
      <c r="I19" s="11"/>
      <c r="J19" s="13"/>
      <c r="K19" s="13"/>
      <c r="L19" s="11"/>
      <c r="N19" s="9"/>
      <c r="O19" s="22"/>
      <c r="P19" s="22"/>
      <c r="Q19" s="22"/>
      <c r="R19" s="22"/>
      <c r="U19" s="9"/>
      <c r="V19" s="22"/>
      <c r="W19" s="22"/>
      <c r="X19" s="22"/>
      <c r="Y19" s="22"/>
      <c r="AB19" s="9"/>
      <c r="AC19" s="22"/>
      <c r="AD19" s="22"/>
      <c r="AE19" s="22"/>
      <c r="AF19" s="22"/>
      <c r="AJ19" s="22"/>
      <c r="AK19" s="22"/>
      <c r="AL19" s="22"/>
      <c r="AM19" s="22"/>
      <c r="AQ19" s="22"/>
      <c r="AR19" s="22"/>
      <c r="AS19" s="22"/>
      <c r="AT19" s="12"/>
      <c r="AW19">
        <v>4</v>
      </c>
      <c r="AX19" s="19"/>
      <c r="AY19" s="12">
        <v>0.5</v>
      </c>
      <c r="AZ19" s="19"/>
      <c r="BA19" s="12">
        <v>0.5</v>
      </c>
      <c r="BD19">
        <v>4</v>
      </c>
      <c r="BE19" s="19"/>
      <c r="BF19" s="12">
        <v>0.8</v>
      </c>
      <c r="BG19" s="19"/>
      <c r="BH19" s="12">
        <v>0.8</v>
      </c>
      <c r="BK19">
        <v>4</v>
      </c>
      <c r="BL19" s="19"/>
      <c r="BM19" s="12">
        <v>1</v>
      </c>
      <c r="BN19" s="19"/>
      <c r="BO19" s="12">
        <v>1</v>
      </c>
      <c r="BS19" s="12"/>
      <c r="BT19" s="12"/>
      <c r="BU19" s="12"/>
      <c r="BV19" s="12"/>
    </row>
    <row r="20" spans="2:74" outlineLevel="1">
      <c r="B20" t="s">
        <v>28</v>
      </c>
      <c r="C20" t="s">
        <v>54</v>
      </c>
      <c r="E20" s="11"/>
      <c r="F20" t="s">
        <v>62</v>
      </c>
      <c r="G20" s="12">
        <v>0.1</v>
      </c>
      <c r="I20" s="11"/>
      <c r="J20" s="13"/>
      <c r="K20" s="13"/>
      <c r="L20" s="11"/>
      <c r="N20" s="9"/>
      <c r="O20" s="22"/>
      <c r="P20" s="22"/>
      <c r="Q20" s="22"/>
      <c r="R20" s="22"/>
      <c r="U20" s="9"/>
      <c r="V20" s="22"/>
      <c r="W20" s="22"/>
      <c r="X20" s="22"/>
      <c r="Y20" s="22"/>
      <c r="AB20" s="9"/>
      <c r="AC20" s="22"/>
      <c r="AD20" s="22"/>
      <c r="AE20" s="22"/>
      <c r="AF20" s="22"/>
      <c r="AJ20" s="22"/>
      <c r="AK20" s="22"/>
      <c r="AL20" s="22"/>
      <c r="AM20" s="22"/>
      <c r="AQ20" s="22"/>
      <c r="AR20" s="22"/>
      <c r="AS20" s="22"/>
      <c r="AT20" s="12"/>
      <c r="AW20">
        <v>4</v>
      </c>
      <c r="AX20" s="19"/>
      <c r="AY20" s="12">
        <v>0.5</v>
      </c>
      <c r="AZ20" s="19"/>
      <c r="BA20" s="12">
        <v>0.5</v>
      </c>
      <c r="BD20">
        <v>4</v>
      </c>
      <c r="BE20" s="19"/>
      <c r="BF20" s="12">
        <v>0.8</v>
      </c>
      <c r="BG20" s="19"/>
      <c r="BH20" s="12">
        <v>0.8</v>
      </c>
      <c r="BK20">
        <v>4</v>
      </c>
      <c r="BL20" s="19"/>
      <c r="BM20" s="12">
        <v>1</v>
      </c>
      <c r="BN20" s="19"/>
      <c r="BO20" s="12">
        <v>1</v>
      </c>
      <c r="BS20" s="12"/>
      <c r="BT20" s="12"/>
      <c r="BU20" s="12"/>
      <c r="BV20" s="12"/>
    </row>
    <row r="21" spans="2:74" outlineLevel="1">
      <c r="B21" t="s">
        <v>28</v>
      </c>
      <c r="C21" t="s">
        <v>54</v>
      </c>
      <c r="E21" s="11"/>
      <c r="F21" t="s">
        <v>63</v>
      </c>
      <c r="G21" s="12">
        <v>0.1</v>
      </c>
      <c r="I21" s="11"/>
      <c r="J21" s="13"/>
      <c r="K21" s="13"/>
      <c r="L21" s="11"/>
      <c r="N21" s="9"/>
      <c r="O21" s="22"/>
      <c r="P21" s="22"/>
      <c r="Q21" s="22"/>
      <c r="R21" s="22"/>
      <c r="U21" s="9"/>
      <c r="V21" s="22"/>
      <c r="W21" s="22"/>
      <c r="X21" s="22"/>
      <c r="Y21" s="22"/>
      <c r="AB21" s="9"/>
      <c r="AC21" s="22"/>
      <c r="AD21" s="22"/>
      <c r="AE21" s="22"/>
      <c r="AF21" s="22"/>
      <c r="AJ21" s="22"/>
      <c r="AK21" s="22"/>
      <c r="AL21" s="22"/>
      <c r="AM21" s="22"/>
      <c r="AQ21" s="22"/>
      <c r="AR21" s="22"/>
      <c r="AS21" s="22"/>
      <c r="AT21" s="12"/>
      <c r="AX21" s="23"/>
      <c r="AY21" s="12"/>
      <c r="AZ21" s="22"/>
      <c r="BA21" s="12"/>
      <c r="BD21">
        <v>4</v>
      </c>
      <c r="BE21" s="19"/>
      <c r="BF21" s="12">
        <v>0.5</v>
      </c>
      <c r="BG21" s="19"/>
      <c r="BH21" s="12">
        <v>0.5</v>
      </c>
      <c r="BK21">
        <v>7</v>
      </c>
      <c r="BL21" s="19"/>
      <c r="BM21" s="12">
        <v>1</v>
      </c>
      <c r="BN21" s="19"/>
      <c r="BO21" s="12">
        <v>1</v>
      </c>
      <c r="BS21" s="12"/>
      <c r="BT21" s="12"/>
      <c r="BU21" s="12"/>
      <c r="BV21" s="12"/>
    </row>
    <row r="23" spans="2:74">
      <c r="B23" t="s">
        <v>27</v>
      </c>
      <c r="C23" t="s">
        <v>64</v>
      </c>
      <c r="E23" s="11">
        <v>5</v>
      </c>
      <c r="G23" s="12">
        <f>+SUM(G24:G35)</f>
        <v>0.99999999999999989</v>
      </c>
      <c r="I23" s="14">
        <f>+SUM(I24:I35)</f>
        <v>105</v>
      </c>
      <c r="J23" s="13">
        <f>+SUMPRODUCT(G24:G35,J24:J35)</f>
        <v>0.30000000000000004</v>
      </c>
      <c r="K23" s="13">
        <f>+SUMPRODUCT(G24:G35,K24:K35)</f>
        <v>0.30000000000000004</v>
      </c>
      <c r="L23" s="11"/>
      <c r="N23" s="14">
        <f>+SUM(N24:N35)</f>
        <v>12</v>
      </c>
      <c r="U23" s="14">
        <f>+SUM(U24:U35)</f>
        <v>12</v>
      </c>
      <c r="AB23" s="14">
        <f>+SUM(AB24:AB35)</f>
        <v>15</v>
      </c>
      <c r="AI23" s="14">
        <f>+SUM(AI24:AI35)</f>
        <v>12</v>
      </c>
      <c r="AP23" s="14">
        <f>+SUM(AP24:AP35)</f>
        <v>15</v>
      </c>
      <c r="AW23" s="14">
        <f>+SUM(AW24:AW35)</f>
        <v>12</v>
      </c>
      <c r="BD23" s="14">
        <f>+SUM(BD24:BD35)</f>
        <v>15</v>
      </c>
      <c r="BK23" s="14">
        <f>+SUM(BK24:BK35)</f>
        <v>12</v>
      </c>
    </row>
    <row r="24" spans="2:74" outlineLevel="1">
      <c r="B24" t="s">
        <v>28</v>
      </c>
      <c r="C24" t="s">
        <v>64</v>
      </c>
      <c r="E24" s="11"/>
      <c r="F24" t="s">
        <v>65</v>
      </c>
      <c r="G24" s="12">
        <v>0.05</v>
      </c>
      <c r="I24" s="11">
        <f t="shared" ref="I24:I35" si="4">+SUMIF($N$3:$ZY$3,I$3,$N24:$ZY24)</f>
        <v>6</v>
      </c>
      <c r="J24" s="13">
        <f t="shared" ref="J24:K35" si="5">+_xlfn.MAXIFS($N24:$ZE24,$N$3:$ZE$3,J$3)</f>
        <v>0.8</v>
      </c>
      <c r="K24" s="13">
        <f t="shared" si="5"/>
        <v>0.8</v>
      </c>
      <c r="L24" s="11"/>
      <c r="N24">
        <v>6</v>
      </c>
      <c r="O24" s="12">
        <v>0.8</v>
      </c>
      <c r="P24" s="12">
        <v>1</v>
      </c>
      <c r="Q24" s="12">
        <v>0.8</v>
      </c>
      <c r="R24" s="12">
        <v>1</v>
      </c>
      <c r="U24">
        <v>0</v>
      </c>
      <c r="V24" s="12">
        <v>0.8</v>
      </c>
      <c r="W24" s="12">
        <v>1</v>
      </c>
      <c r="X24" s="12">
        <v>0.8</v>
      </c>
      <c r="Y24" s="12">
        <v>1</v>
      </c>
      <c r="AB24">
        <v>0</v>
      </c>
      <c r="AC24" s="12"/>
      <c r="AD24" s="12">
        <v>1</v>
      </c>
      <c r="AE24" s="12"/>
      <c r="AF24" s="12">
        <v>1</v>
      </c>
      <c r="AI24">
        <v>0</v>
      </c>
      <c r="AJ24" s="12"/>
      <c r="AK24" s="12">
        <v>1</v>
      </c>
      <c r="AL24" s="12"/>
      <c r="AM24" s="12">
        <v>1</v>
      </c>
      <c r="AQ24" s="12"/>
      <c r="AR24" s="12">
        <v>1</v>
      </c>
      <c r="AS24" s="12"/>
      <c r="AT24" s="12">
        <v>1</v>
      </c>
      <c r="AW24">
        <v>0</v>
      </c>
      <c r="AX24" s="12">
        <v>0.8</v>
      </c>
      <c r="AY24" s="12">
        <v>1</v>
      </c>
      <c r="AZ24" s="12">
        <v>0.8</v>
      </c>
      <c r="BA24" s="12">
        <v>1</v>
      </c>
      <c r="BD24">
        <v>0</v>
      </c>
      <c r="BE24" s="12"/>
      <c r="BF24" s="12">
        <v>1</v>
      </c>
      <c r="BG24" s="12"/>
      <c r="BH24" s="12">
        <v>1</v>
      </c>
      <c r="BK24">
        <v>0</v>
      </c>
      <c r="BL24" s="12"/>
      <c r="BM24" s="12">
        <v>1</v>
      </c>
      <c r="BN24" s="12"/>
      <c r="BO24" s="12">
        <v>1</v>
      </c>
      <c r="BS24" s="12"/>
      <c r="BT24" s="12"/>
      <c r="BU24" s="12"/>
      <c r="BV24" s="12"/>
    </row>
    <row r="25" spans="2:74" outlineLevel="1">
      <c r="B25" t="s">
        <v>28</v>
      </c>
      <c r="C25" t="s">
        <v>64</v>
      </c>
      <c r="E25" s="11"/>
      <c r="F25" t="s">
        <v>66</v>
      </c>
      <c r="G25" s="12">
        <v>0.1</v>
      </c>
      <c r="I25" s="11">
        <f t="shared" si="4"/>
        <v>9</v>
      </c>
      <c r="J25" s="13">
        <f t="shared" si="5"/>
        <v>0.5</v>
      </c>
      <c r="K25" s="13">
        <f t="shared" si="5"/>
        <v>0.5</v>
      </c>
      <c r="L25" s="11"/>
      <c r="N25">
        <v>6</v>
      </c>
      <c r="O25" s="12">
        <v>0.1</v>
      </c>
      <c r="P25" s="12">
        <v>0.5</v>
      </c>
      <c r="Q25" s="12">
        <v>0.1</v>
      </c>
      <c r="R25" s="12">
        <v>0.5</v>
      </c>
      <c r="U25">
        <v>3</v>
      </c>
      <c r="V25" s="12">
        <v>0.5</v>
      </c>
      <c r="W25" s="12">
        <v>0.8</v>
      </c>
      <c r="X25" s="12">
        <v>0.5</v>
      </c>
      <c r="Y25" s="12">
        <v>0.8</v>
      </c>
      <c r="AB25">
        <v>0</v>
      </c>
      <c r="AC25" s="12"/>
      <c r="AD25" s="12">
        <v>0.8</v>
      </c>
      <c r="AE25" s="12"/>
      <c r="AF25" s="12">
        <v>0.8</v>
      </c>
      <c r="AJ25" s="12"/>
      <c r="AK25" s="12">
        <v>1</v>
      </c>
      <c r="AL25" s="12"/>
      <c r="AM25" s="12">
        <v>1</v>
      </c>
      <c r="AQ25" s="12"/>
      <c r="AR25" s="12">
        <v>1</v>
      </c>
      <c r="AS25" s="12"/>
      <c r="AT25" s="12">
        <v>1</v>
      </c>
      <c r="AW25">
        <v>0</v>
      </c>
      <c r="AX25" s="12">
        <v>0.5</v>
      </c>
      <c r="AY25" s="12">
        <v>1</v>
      </c>
      <c r="AZ25" s="12">
        <v>0.5</v>
      </c>
      <c r="BA25" s="12">
        <v>1</v>
      </c>
      <c r="BD25">
        <v>0</v>
      </c>
      <c r="BE25" s="12"/>
      <c r="BF25" s="12">
        <v>1</v>
      </c>
      <c r="BG25" s="12"/>
      <c r="BH25" s="12">
        <v>1</v>
      </c>
      <c r="BK25">
        <v>0</v>
      </c>
      <c r="BL25" s="12"/>
      <c r="BM25" s="12">
        <v>1</v>
      </c>
      <c r="BN25" s="12"/>
      <c r="BO25" s="12">
        <v>1</v>
      </c>
      <c r="BS25" s="12"/>
      <c r="BT25" s="12"/>
      <c r="BU25" s="12"/>
      <c r="BV25" s="12"/>
    </row>
    <row r="26" spans="2:74" outlineLevel="1">
      <c r="B26" t="s">
        <v>28</v>
      </c>
      <c r="C26" t="s">
        <v>64</v>
      </c>
      <c r="E26" s="11"/>
      <c r="F26" t="s">
        <v>67</v>
      </c>
      <c r="G26" s="12">
        <v>0.1</v>
      </c>
      <c r="I26" s="11">
        <f t="shared" si="4"/>
        <v>9</v>
      </c>
      <c r="J26" s="13">
        <f t="shared" si="5"/>
        <v>0.5</v>
      </c>
      <c r="K26" s="13">
        <f t="shared" si="5"/>
        <v>0.5</v>
      </c>
      <c r="L26" s="11"/>
      <c r="O26" s="12"/>
      <c r="P26" s="12"/>
      <c r="Q26" s="12"/>
      <c r="R26" s="12"/>
      <c r="U26">
        <v>6</v>
      </c>
      <c r="V26" s="12">
        <v>0.5</v>
      </c>
      <c r="W26" s="12">
        <v>0.8</v>
      </c>
      <c r="X26" s="12">
        <v>0.5</v>
      </c>
      <c r="Y26" s="12">
        <v>0.8</v>
      </c>
      <c r="AB26">
        <v>3</v>
      </c>
      <c r="AC26" s="12"/>
      <c r="AD26" s="12">
        <v>1</v>
      </c>
      <c r="AE26" s="12"/>
      <c r="AF26" s="12">
        <v>1</v>
      </c>
      <c r="AJ26" s="12"/>
      <c r="AK26" s="12">
        <v>1</v>
      </c>
      <c r="AL26" s="12"/>
      <c r="AM26" s="12">
        <v>1</v>
      </c>
      <c r="AQ26" s="12"/>
      <c r="AR26" s="12">
        <v>1</v>
      </c>
      <c r="AS26" s="12"/>
      <c r="AT26" s="12">
        <v>1</v>
      </c>
      <c r="AW26">
        <v>0</v>
      </c>
      <c r="AX26" s="12">
        <v>0.5</v>
      </c>
      <c r="AY26" s="12">
        <v>1</v>
      </c>
      <c r="AZ26" s="12">
        <v>0.5</v>
      </c>
      <c r="BA26" s="12">
        <v>1</v>
      </c>
      <c r="BD26">
        <v>0</v>
      </c>
      <c r="BE26" s="12"/>
      <c r="BF26" s="12">
        <v>1</v>
      </c>
      <c r="BG26" s="12"/>
      <c r="BH26" s="12">
        <v>1</v>
      </c>
      <c r="BK26">
        <v>0</v>
      </c>
      <c r="BL26" s="12"/>
      <c r="BM26" s="12">
        <v>1</v>
      </c>
      <c r="BN26" s="12"/>
      <c r="BO26" s="12">
        <v>1</v>
      </c>
      <c r="BS26" s="12"/>
      <c r="BT26" s="12"/>
      <c r="BU26" s="12"/>
      <c r="BV26" s="12"/>
    </row>
    <row r="27" spans="2:74" outlineLevel="1">
      <c r="B27" t="s">
        <v>28</v>
      </c>
      <c r="C27" t="s">
        <v>64</v>
      </c>
      <c r="E27" s="11"/>
      <c r="F27" t="s">
        <v>68</v>
      </c>
      <c r="G27" s="12">
        <v>0.05</v>
      </c>
      <c r="I27" s="11">
        <f t="shared" si="4"/>
        <v>9</v>
      </c>
      <c r="J27" s="13">
        <f t="shared" si="5"/>
        <v>0.3</v>
      </c>
      <c r="K27" s="13">
        <f t="shared" si="5"/>
        <v>0.3</v>
      </c>
      <c r="L27" s="11"/>
      <c r="O27" s="12"/>
      <c r="P27" s="12"/>
      <c r="Q27" s="12"/>
      <c r="R27" s="12"/>
      <c r="U27">
        <v>3</v>
      </c>
      <c r="V27" s="12">
        <v>0.3</v>
      </c>
      <c r="W27" s="12">
        <v>0.5</v>
      </c>
      <c r="X27" s="12">
        <v>0.3</v>
      </c>
      <c r="Y27" s="12">
        <v>0.5</v>
      </c>
      <c r="AB27">
        <v>6</v>
      </c>
      <c r="AC27" s="12"/>
      <c r="AD27" s="12">
        <v>1</v>
      </c>
      <c r="AE27" s="12"/>
      <c r="AF27" s="12">
        <v>1</v>
      </c>
      <c r="AJ27" s="12"/>
      <c r="AK27" s="12">
        <v>1</v>
      </c>
      <c r="AL27" s="12"/>
      <c r="AM27" s="12">
        <v>1</v>
      </c>
      <c r="AQ27" s="12"/>
      <c r="AR27" s="12">
        <v>1</v>
      </c>
      <c r="AS27" s="12"/>
      <c r="AT27" s="12">
        <v>1</v>
      </c>
      <c r="AW27">
        <v>0</v>
      </c>
      <c r="AX27" s="12">
        <v>0.3</v>
      </c>
      <c r="AY27" s="12">
        <v>1</v>
      </c>
      <c r="AZ27" s="12">
        <v>0.3</v>
      </c>
      <c r="BA27" s="12">
        <v>1</v>
      </c>
      <c r="BD27">
        <v>0</v>
      </c>
      <c r="BE27" s="12"/>
      <c r="BF27" s="12">
        <v>1</v>
      </c>
      <c r="BG27" s="12"/>
      <c r="BH27" s="12">
        <v>1</v>
      </c>
      <c r="BK27">
        <v>0</v>
      </c>
      <c r="BL27" s="12"/>
      <c r="BM27" s="12">
        <v>1</v>
      </c>
      <c r="BN27" s="12"/>
      <c r="BO27" s="12">
        <v>1</v>
      </c>
      <c r="BS27" s="12"/>
      <c r="BT27" s="12"/>
      <c r="BU27" s="12"/>
      <c r="BV27" s="12"/>
    </row>
    <row r="28" spans="2:74" outlineLevel="1">
      <c r="B28" t="s">
        <v>28</v>
      </c>
      <c r="C28" t="s">
        <v>64</v>
      </c>
      <c r="E28" s="11"/>
      <c r="F28" t="s">
        <v>69</v>
      </c>
      <c r="G28" s="12">
        <v>0.05</v>
      </c>
      <c r="I28" s="11">
        <f t="shared" si="4"/>
        <v>9</v>
      </c>
      <c r="J28" s="13">
        <f t="shared" si="5"/>
        <v>0.8</v>
      </c>
      <c r="K28" s="13">
        <f t="shared" si="5"/>
        <v>0.8</v>
      </c>
      <c r="L28" s="11"/>
      <c r="O28" s="12"/>
      <c r="P28" s="12"/>
      <c r="Q28" s="12"/>
      <c r="R28" s="12"/>
      <c r="V28" s="12"/>
      <c r="W28" s="12"/>
      <c r="X28" s="12"/>
      <c r="Y28" s="12"/>
      <c r="AB28">
        <v>3</v>
      </c>
      <c r="AC28" s="12"/>
      <c r="AD28" s="12">
        <v>0.5</v>
      </c>
      <c r="AE28" s="12"/>
      <c r="AF28" s="12">
        <v>0.5</v>
      </c>
      <c r="AI28">
        <v>3</v>
      </c>
      <c r="AJ28" s="12"/>
      <c r="AK28" s="12">
        <v>0.8</v>
      </c>
      <c r="AL28" s="12"/>
      <c r="AM28" s="12">
        <v>0.8</v>
      </c>
      <c r="AP28">
        <v>3</v>
      </c>
      <c r="AQ28" s="12"/>
      <c r="AR28" s="12">
        <v>1</v>
      </c>
      <c r="AS28" s="12"/>
      <c r="AT28" s="12">
        <v>1</v>
      </c>
      <c r="AW28">
        <v>0</v>
      </c>
      <c r="AX28" s="12">
        <v>0.8</v>
      </c>
      <c r="AY28" s="12">
        <v>1</v>
      </c>
      <c r="AZ28" s="12">
        <v>0.8</v>
      </c>
      <c r="BA28" s="12">
        <v>1</v>
      </c>
      <c r="BD28">
        <v>0</v>
      </c>
      <c r="BE28" s="12"/>
      <c r="BF28" s="12">
        <v>1</v>
      </c>
      <c r="BG28" s="12"/>
      <c r="BH28" s="12">
        <v>1</v>
      </c>
      <c r="BK28">
        <v>0</v>
      </c>
      <c r="BL28" s="12"/>
      <c r="BM28" s="12">
        <v>1</v>
      </c>
      <c r="BN28" s="12"/>
      <c r="BO28" s="12">
        <v>1</v>
      </c>
      <c r="BS28" s="12"/>
      <c r="BT28" s="12"/>
      <c r="BU28" s="12"/>
      <c r="BV28" s="12"/>
    </row>
    <row r="29" spans="2:74" outlineLevel="1">
      <c r="B29" t="s">
        <v>28</v>
      </c>
      <c r="C29" t="s">
        <v>64</v>
      </c>
      <c r="E29" s="11"/>
      <c r="F29" t="s">
        <v>70</v>
      </c>
      <c r="G29" s="12">
        <v>0.1</v>
      </c>
      <c r="I29" s="11">
        <f t="shared" si="4"/>
        <v>12</v>
      </c>
      <c r="J29" s="13">
        <f t="shared" si="5"/>
        <v>0.8</v>
      </c>
      <c r="K29" s="13">
        <f t="shared" si="5"/>
        <v>0.8</v>
      </c>
      <c r="L29" s="11"/>
      <c r="O29" s="20"/>
      <c r="P29" s="12"/>
      <c r="Q29" s="21"/>
      <c r="R29" s="12"/>
      <c r="AB29">
        <v>3</v>
      </c>
      <c r="AC29" s="12"/>
      <c r="AD29" s="12">
        <v>0.5</v>
      </c>
      <c r="AE29" s="12"/>
      <c r="AF29" s="12">
        <v>0.5</v>
      </c>
      <c r="AI29">
        <v>6</v>
      </c>
      <c r="AJ29" s="12"/>
      <c r="AK29" s="12">
        <v>0.8</v>
      </c>
      <c r="AL29" s="12"/>
      <c r="AM29" s="12">
        <v>0.8</v>
      </c>
      <c r="AP29">
        <v>3</v>
      </c>
      <c r="AQ29" s="12"/>
      <c r="AR29" s="12">
        <v>1</v>
      </c>
      <c r="AS29" s="12"/>
      <c r="AT29" s="12">
        <v>1</v>
      </c>
      <c r="AW29">
        <v>0</v>
      </c>
      <c r="AX29" s="12">
        <v>0.8</v>
      </c>
      <c r="AY29" s="12">
        <v>1</v>
      </c>
      <c r="AZ29" s="12">
        <v>0.8</v>
      </c>
      <c r="BA29" s="12">
        <v>1</v>
      </c>
      <c r="BD29">
        <v>0</v>
      </c>
      <c r="BE29" s="12"/>
      <c r="BF29" s="12">
        <v>1</v>
      </c>
      <c r="BG29" s="12"/>
      <c r="BH29" s="12">
        <v>1</v>
      </c>
      <c r="BK29">
        <v>0</v>
      </c>
      <c r="BL29" s="12"/>
      <c r="BM29" s="12">
        <v>1</v>
      </c>
      <c r="BN29" s="12"/>
      <c r="BO29" s="12">
        <v>1</v>
      </c>
      <c r="BS29" s="12"/>
      <c r="BT29" s="12"/>
      <c r="BU29" s="12"/>
      <c r="BV29" s="12"/>
    </row>
    <row r="30" spans="2:74" outlineLevel="1">
      <c r="B30" t="s">
        <v>28</v>
      </c>
      <c r="C30" t="s">
        <v>64</v>
      </c>
      <c r="E30" s="11"/>
      <c r="F30" t="s">
        <v>71</v>
      </c>
      <c r="G30" s="12">
        <v>0.05</v>
      </c>
      <c r="I30" s="11">
        <f t="shared" si="4"/>
        <v>6</v>
      </c>
      <c r="J30" s="13">
        <f t="shared" si="5"/>
        <v>0.5</v>
      </c>
      <c r="K30" s="13">
        <f t="shared" si="5"/>
        <v>0.5</v>
      </c>
      <c r="L30" s="11"/>
      <c r="O30" s="12"/>
      <c r="P30" s="12"/>
      <c r="Q30" s="12"/>
      <c r="R30" s="12"/>
      <c r="AB30" s="9"/>
      <c r="AC30" s="22"/>
      <c r="AD30" s="22"/>
      <c r="AE30" s="22"/>
      <c r="AF30" s="22"/>
      <c r="AI30">
        <v>3</v>
      </c>
      <c r="AJ30" s="12"/>
      <c r="AK30" s="12">
        <v>0.5</v>
      </c>
      <c r="AL30" s="12"/>
      <c r="AM30" s="12">
        <v>0.5</v>
      </c>
      <c r="AP30">
        <v>3</v>
      </c>
      <c r="AQ30" s="12"/>
      <c r="AR30" s="12">
        <v>0.8</v>
      </c>
      <c r="AS30" s="12"/>
      <c r="AT30" s="12">
        <v>0.8</v>
      </c>
      <c r="AW30">
        <v>0</v>
      </c>
      <c r="AX30" s="12">
        <v>0.5</v>
      </c>
      <c r="AY30" s="12">
        <v>1</v>
      </c>
      <c r="AZ30" s="12">
        <v>0.5</v>
      </c>
      <c r="BA30" s="12">
        <v>1</v>
      </c>
      <c r="BD30">
        <v>0</v>
      </c>
      <c r="BE30" s="12"/>
      <c r="BF30" s="12">
        <v>1</v>
      </c>
      <c r="BG30" s="12"/>
      <c r="BH30" s="12">
        <v>1</v>
      </c>
      <c r="BK30">
        <v>0</v>
      </c>
      <c r="BL30" s="12"/>
      <c r="BM30" s="12">
        <v>1</v>
      </c>
      <c r="BN30" s="12"/>
      <c r="BO30" s="12">
        <v>1</v>
      </c>
      <c r="BS30" s="12"/>
      <c r="BT30" s="12"/>
      <c r="BU30" s="12"/>
      <c r="BV30" s="12"/>
    </row>
    <row r="31" spans="2:74" outlineLevel="1">
      <c r="B31" t="s">
        <v>28</v>
      </c>
      <c r="C31" t="s">
        <v>64</v>
      </c>
      <c r="E31" s="11"/>
      <c r="F31" t="s">
        <v>72</v>
      </c>
      <c r="G31" s="12">
        <v>0.1</v>
      </c>
      <c r="I31" s="11">
        <f t="shared" si="4"/>
        <v>9</v>
      </c>
      <c r="J31" s="13">
        <f t="shared" si="5"/>
        <v>0</v>
      </c>
      <c r="K31" s="13">
        <f t="shared" si="5"/>
        <v>0</v>
      </c>
      <c r="L31" s="11"/>
      <c r="O31" s="12"/>
      <c r="P31" s="12"/>
      <c r="Q31" s="12"/>
      <c r="R31" s="12"/>
      <c r="AB31" s="9"/>
      <c r="AC31" s="22"/>
      <c r="AD31" s="22"/>
      <c r="AE31" s="22"/>
      <c r="AF31" s="22"/>
      <c r="AI31" s="9"/>
      <c r="AJ31" s="22"/>
      <c r="AK31" s="22"/>
      <c r="AL31" s="22"/>
      <c r="AM31" s="22"/>
      <c r="AP31">
        <v>6</v>
      </c>
      <c r="AQ31" s="12"/>
      <c r="AR31" s="12">
        <v>0.8</v>
      </c>
      <c r="AS31" s="12"/>
      <c r="AT31" s="12">
        <v>0.8</v>
      </c>
      <c r="AW31">
        <v>3</v>
      </c>
      <c r="AX31" s="12"/>
      <c r="AY31" s="12">
        <v>1</v>
      </c>
      <c r="AZ31" s="12"/>
      <c r="BA31" s="12">
        <v>1</v>
      </c>
      <c r="BD31">
        <v>0</v>
      </c>
      <c r="BE31" s="12"/>
      <c r="BF31" s="12">
        <v>1</v>
      </c>
      <c r="BG31" s="12"/>
      <c r="BH31" s="12">
        <v>1</v>
      </c>
      <c r="BK31">
        <v>0</v>
      </c>
      <c r="BL31" s="12"/>
      <c r="BM31" s="12">
        <v>1</v>
      </c>
      <c r="BN31" s="12"/>
      <c r="BO31" s="12">
        <v>1</v>
      </c>
      <c r="BS31" s="12"/>
      <c r="BT31" s="12"/>
      <c r="BU31" s="12"/>
      <c r="BV31" s="12"/>
    </row>
    <row r="32" spans="2:74" outlineLevel="1">
      <c r="B32" t="s">
        <v>28</v>
      </c>
      <c r="C32" t="s">
        <v>64</v>
      </c>
      <c r="E32" s="11"/>
      <c r="F32" t="s">
        <v>73</v>
      </c>
      <c r="G32" s="12">
        <v>0.1</v>
      </c>
      <c r="I32" s="11">
        <f t="shared" si="4"/>
        <v>9</v>
      </c>
      <c r="J32" s="13">
        <f t="shared" si="5"/>
        <v>0</v>
      </c>
      <c r="K32" s="13">
        <f t="shared" si="5"/>
        <v>0</v>
      </c>
      <c r="L32" s="11"/>
      <c r="O32" s="12"/>
      <c r="P32" s="12"/>
      <c r="Q32" s="12"/>
      <c r="R32" s="12"/>
      <c r="AC32" s="12"/>
      <c r="AD32" s="12"/>
      <c r="AE32" s="12"/>
      <c r="AF32" s="12"/>
      <c r="AJ32" s="12"/>
      <c r="AK32" s="12"/>
      <c r="AL32" s="12"/>
      <c r="AM32" s="12"/>
      <c r="AP32" s="9"/>
      <c r="AQ32" s="22"/>
      <c r="AR32" s="22"/>
      <c r="AS32" s="22"/>
      <c r="AT32" s="22"/>
      <c r="AW32">
        <v>3</v>
      </c>
      <c r="AX32" s="12"/>
      <c r="AY32" s="12">
        <v>0.5</v>
      </c>
      <c r="AZ32" s="12"/>
      <c r="BA32" s="12">
        <v>0.5</v>
      </c>
      <c r="BD32">
        <v>3</v>
      </c>
      <c r="BE32" s="12"/>
      <c r="BF32" s="12">
        <v>0.8</v>
      </c>
      <c r="BG32" s="12"/>
      <c r="BH32" s="12">
        <v>0.8</v>
      </c>
      <c r="BK32">
        <v>3</v>
      </c>
      <c r="BL32" s="12"/>
      <c r="BM32" s="12">
        <v>1</v>
      </c>
      <c r="BN32" s="12"/>
      <c r="BO32" s="12">
        <v>1</v>
      </c>
      <c r="BS32" s="12"/>
      <c r="BT32" s="12"/>
      <c r="BU32" s="12"/>
      <c r="BV32" s="12"/>
    </row>
    <row r="33" spans="2:74" outlineLevel="1">
      <c r="B33" t="s">
        <v>28</v>
      </c>
      <c r="C33" t="s">
        <v>64</v>
      </c>
      <c r="E33" s="11"/>
      <c r="F33" t="s">
        <v>74</v>
      </c>
      <c r="G33" s="12">
        <v>0.1</v>
      </c>
      <c r="I33" s="11">
        <f t="shared" si="4"/>
        <v>9</v>
      </c>
      <c r="J33" s="13">
        <f t="shared" si="5"/>
        <v>0</v>
      </c>
      <c r="K33" s="13">
        <f t="shared" si="5"/>
        <v>0</v>
      </c>
      <c r="L33" s="11"/>
      <c r="O33" s="12"/>
      <c r="P33" s="12"/>
      <c r="Q33" s="12"/>
      <c r="R33" s="12"/>
      <c r="AC33" s="12"/>
      <c r="AD33" s="12"/>
      <c r="AE33" s="12"/>
      <c r="AF33" s="12"/>
      <c r="AJ33" s="12"/>
      <c r="AK33" s="12"/>
      <c r="AL33" s="12"/>
      <c r="AM33" s="12"/>
      <c r="AP33" s="9"/>
      <c r="AQ33" s="22"/>
      <c r="AR33" s="22"/>
      <c r="AS33" s="22"/>
      <c r="AT33" s="22"/>
      <c r="AW33">
        <v>3</v>
      </c>
      <c r="AX33" s="12"/>
      <c r="AY33" s="12">
        <v>0.5</v>
      </c>
      <c r="AZ33" s="12"/>
      <c r="BA33" s="12">
        <v>0.5</v>
      </c>
      <c r="BD33">
        <v>3</v>
      </c>
      <c r="BE33" s="12"/>
      <c r="BF33" s="12">
        <v>0.8</v>
      </c>
      <c r="BG33" s="12"/>
      <c r="BH33" s="12">
        <v>0.8</v>
      </c>
      <c r="BK33">
        <v>3</v>
      </c>
      <c r="BL33" s="12"/>
      <c r="BM33" s="12">
        <v>1</v>
      </c>
      <c r="BN33" s="12"/>
      <c r="BO33" s="12">
        <v>1</v>
      </c>
      <c r="BS33" s="12"/>
      <c r="BT33" s="12"/>
      <c r="BU33" s="12"/>
      <c r="BV33" s="12"/>
    </row>
    <row r="34" spans="2:74" outlineLevel="1">
      <c r="B34" t="s">
        <v>28</v>
      </c>
      <c r="C34" t="s">
        <v>64</v>
      </c>
      <c r="E34" s="11"/>
      <c r="F34" t="s">
        <v>75</v>
      </c>
      <c r="G34" s="12">
        <v>0.1</v>
      </c>
      <c r="I34" s="11">
        <f t="shared" si="4"/>
        <v>9</v>
      </c>
      <c r="J34" s="13">
        <f t="shared" si="5"/>
        <v>0</v>
      </c>
      <c r="K34" s="13">
        <f t="shared" si="5"/>
        <v>0</v>
      </c>
      <c r="L34" s="11"/>
      <c r="O34" s="12"/>
      <c r="P34" s="12"/>
      <c r="Q34" s="22"/>
      <c r="R34" s="12"/>
      <c r="AC34" s="12"/>
      <c r="AD34" s="12"/>
      <c r="AE34" s="12"/>
      <c r="AF34" s="12"/>
      <c r="AJ34" s="12"/>
      <c r="AK34" s="12"/>
      <c r="AL34" s="12"/>
      <c r="AM34" s="12"/>
      <c r="AP34" s="9"/>
      <c r="AQ34" s="22"/>
      <c r="AR34" s="22"/>
      <c r="AS34" s="22"/>
      <c r="AT34" s="22"/>
      <c r="AW34">
        <v>3</v>
      </c>
      <c r="AX34" s="12"/>
      <c r="AY34" s="12">
        <v>0.5</v>
      </c>
      <c r="AZ34" s="12"/>
      <c r="BA34" s="12">
        <v>0.5</v>
      </c>
      <c r="BD34">
        <v>3</v>
      </c>
      <c r="BE34" s="12"/>
      <c r="BF34" s="12">
        <v>0.8</v>
      </c>
      <c r="BG34" s="12"/>
      <c r="BH34" s="12">
        <v>0.8</v>
      </c>
      <c r="BK34">
        <v>3</v>
      </c>
      <c r="BL34" s="12"/>
      <c r="BM34" s="12">
        <v>1</v>
      </c>
      <c r="BN34" s="12"/>
      <c r="BO34" s="12">
        <v>1</v>
      </c>
      <c r="BS34" s="12"/>
      <c r="BT34" s="12"/>
      <c r="BU34" s="12"/>
      <c r="BV34" s="12"/>
    </row>
    <row r="35" spans="2:74" outlineLevel="1">
      <c r="B35" t="s">
        <v>28</v>
      </c>
      <c r="C35" t="s">
        <v>64</v>
      </c>
      <c r="E35" s="11"/>
      <c r="F35" t="s">
        <v>76</v>
      </c>
      <c r="G35" s="12">
        <v>0.1</v>
      </c>
      <c r="I35" s="11">
        <f t="shared" si="4"/>
        <v>9</v>
      </c>
      <c r="J35" s="13">
        <f t="shared" si="5"/>
        <v>0</v>
      </c>
      <c r="K35" s="13">
        <f t="shared" si="5"/>
        <v>0</v>
      </c>
      <c r="L35" s="11"/>
      <c r="O35" s="12"/>
      <c r="P35" s="12"/>
      <c r="Q35" s="12"/>
      <c r="R35" s="12"/>
      <c r="AC35" s="12"/>
      <c r="AD35" s="12"/>
      <c r="AE35" s="12"/>
      <c r="AF35" s="12"/>
      <c r="AJ35" s="12"/>
      <c r="AK35" s="12"/>
      <c r="AL35" s="12"/>
      <c r="AM35" s="12"/>
      <c r="AQ35" s="12"/>
      <c r="AR35" s="12"/>
      <c r="AS35" s="12"/>
      <c r="AT35" s="12"/>
      <c r="AW35" s="9"/>
      <c r="AX35" s="22"/>
      <c r="AY35" s="22"/>
      <c r="AZ35" s="22"/>
      <c r="BA35" s="22"/>
      <c r="BD35">
        <v>6</v>
      </c>
      <c r="BE35" s="12"/>
      <c r="BF35" s="12">
        <v>0.8</v>
      </c>
      <c r="BG35" s="12"/>
      <c r="BH35" s="12">
        <v>0.8</v>
      </c>
      <c r="BK35">
        <v>3</v>
      </c>
      <c r="BL35" s="12"/>
      <c r="BM35" s="12">
        <v>1</v>
      </c>
      <c r="BN35" s="12"/>
      <c r="BO35" s="12">
        <v>1</v>
      </c>
      <c r="BS35" s="12"/>
      <c r="BT35" s="12"/>
      <c r="BU35" s="12"/>
      <c r="BV35" s="12"/>
    </row>
  </sheetData>
  <mergeCells count="10">
    <mergeCell ref="BK2:BP2"/>
    <mergeCell ref="BR2:BW2"/>
    <mergeCell ref="I2:L2"/>
    <mergeCell ref="N2:S2"/>
    <mergeCell ref="BD2:BI2"/>
    <mergeCell ref="U2:Z2"/>
    <mergeCell ref="AB2:AG2"/>
    <mergeCell ref="AI2:AN2"/>
    <mergeCell ref="AP2:AU2"/>
    <mergeCell ref="AW2:BB2"/>
  </mergeCells>
  <conditionalFormatting sqref="O10 Q10 V10 X10">
    <cfRule type="expression" dxfId="193" priority="338">
      <formula>OR(IF(O10&lt;P10,TRUE),IF(AND(P10="",O10&lt;&gt;""),TRUE))</formula>
    </cfRule>
    <cfRule type="expression" dxfId="192" priority="339">
      <formula>IF(O10&gt;=P10,IF(O10="",FALSE,TRUE))</formula>
    </cfRule>
  </conditionalFormatting>
  <conditionalFormatting sqref="AQ26:AQ35">
    <cfRule type="expression" dxfId="191" priority="209">
      <formula>OR(IF(AQ26&lt;AR26,TRUE),IF(AND(AR26="",AQ26&lt;&gt;""),TRUE))</formula>
    </cfRule>
    <cfRule type="expression" dxfId="190" priority="210">
      <formula>IF(AQ26&gt;=AR26,IF(AQ26="",FALSE,TRUE))</formula>
    </cfRule>
  </conditionalFormatting>
  <conditionalFormatting sqref="AS26:AS35">
    <cfRule type="expression" dxfId="189" priority="207">
      <formula>OR(IF(AS26&lt;AT26,TRUE),IF(AND(AT26="",AS26&lt;&gt;""),TRUE))</formula>
    </cfRule>
    <cfRule type="expression" dxfId="188" priority="208">
      <formula>IF(AS26&gt;=AT26,IF(AS26="",FALSE,TRUE))</formula>
    </cfRule>
  </conditionalFormatting>
  <conditionalFormatting sqref="J13:K21">
    <cfRule type="colorScale" priority="341">
      <colorScale>
        <cfvo type="percent" val="0"/>
        <cfvo type="percent" val="100"/>
        <color rgb="FFFF231B"/>
        <color rgb="FF10FF07"/>
      </colorScale>
    </cfRule>
  </conditionalFormatting>
  <conditionalFormatting sqref="J24:K35">
    <cfRule type="colorScale" priority="281">
      <colorScale>
        <cfvo type="percent" val="0"/>
        <cfvo type="percent" val="100"/>
        <color rgb="FFFF231B"/>
        <color rgb="FF10FF07"/>
      </colorScale>
    </cfRule>
  </conditionalFormatting>
  <conditionalFormatting sqref="O24">
    <cfRule type="expression" dxfId="187" priority="279">
      <formula>OR(IF(O24&lt;P24,TRUE),IF(AND(P24="",O24&lt;&gt;""),TRUE))</formula>
    </cfRule>
    <cfRule type="expression" dxfId="186" priority="280">
      <formula>IF(O24&gt;=P24,IF(O24="",FALSE,TRUE))</formula>
    </cfRule>
  </conditionalFormatting>
  <conditionalFormatting sqref="Q24">
    <cfRule type="expression" dxfId="185" priority="277">
      <formula>OR(IF(Q24&lt;R24,TRUE),IF(AND(R24="",Q24&lt;&gt;""),TRUE))</formula>
    </cfRule>
    <cfRule type="expression" dxfId="184" priority="278">
      <formula>IF(Q24&gt;=R24,IF(Q24="",FALSE,TRUE))</formula>
    </cfRule>
  </conditionalFormatting>
  <conditionalFormatting sqref="Q25:Q35">
    <cfRule type="expression" dxfId="183" priority="255">
      <formula>OR(IF(Q25&lt;R25,TRUE),IF(AND(R25="",Q25&lt;&gt;""),TRUE))</formula>
    </cfRule>
    <cfRule type="expression" dxfId="182" priority="256">
      <formula>IF(Q25&gt;=R25,IF(Q25="",FALSE,TRUE))</formula>
    </cfRule>
  </conditionalFormatting>
  <conditionalFormatting sqref="O25:O35">
    <cfRule type="expression" dxfId="181" priority="257">
      <formula>OR(IF(O25&lt;P25,TRUE),IF(AND(P25="",O25&lt;&gt;""),TRUE))</formula>
    </cfRule>
    <cfRule type="expression" dxfId="180" priority="258">
      <formula>IF(O25&gt;=P25,IF(O25="",FALSE,TRUE))</formula>
    </cfRule>
  </conditionalFormatting>
  <conditionalFormatting sqref="AC24:AC25">
    <cfRule type="expression" dxfId="179" priority="249">
      <formula>OR(IF(AC24&lt;AD24,TRUE),IF(AND(AD24="",AC24&lt;&gt;""),TRUE))</formula>
    </cfRule>
    <cfRule type="expression" dxfId="178" priority="250">
      <formula>IF(AC24&gt;=AD24,IF(AC24="",FALSE,TRUE))</formula>
    </cfRule>
  </conditionalFormatting>
  <conditionalFormatting sqref="AE24:AE25">
    <cfRule type="expression" dxfId="177" priority="247">
      <formula>OR(IF(AE24&lt;AF24,TRUE),IF(AND(AF24="",AE24&lt;&gt;""),TRUE))</formula>
    </cfRule>
    <cfRule type="expression" dxfId="176" priority="248">
      <formula>IF(AE24&gt;=AF24,IF(AE24="",FALSE,TRUE))</formula>
    </cfRule>
  </conditionalFormatting>
  <conditionalFormatting sqref="AE26:AE35">
    <cfRule type="expression" dxfId="175" priority="239">
      <formula>OR(IF(AE26&lt;AF26,TRUE),IF(AND(AF26="",AE26&lt;&gt;""),TRUE))</formula>
    </cfRule>
    <cfRule type="expression" dxfId="174" priority="240">
      <formula>IF(AE26&gt;=AF26,IF(AE26="",FALSE,TRUE))</formula>
    </cfRule>
  </conditionalFormatting>
  <conditionalFormatting sqref="AC26:AC35">
    <cfRule type="expression" dxfId="173" priority="241">
      <formula>OR(IF(AC26&lt;AD26,TRUE),IF(AND(AD26="",AC26&lt;&gt;""),TRUE))</formula>
    </cfRule>
    <cfRule type="expression" dxfId="172" priority="242">
      <formula>IF(AC26&gt;=AD26,IF(AC26="",FALSE,TRUE))</formula>
    </cfRule>
  </conditionalFormatting>
  <conditionalFormatting sqref="AJ24:AJ25">
    <cfRule type="expression" dxfId="171" priority="233">
      <formula>OR(IF(AJ24&lt;AK24,TRUE),IF(AND(AK24="",AJ24&lt;&gt;""),TRUE))</formula>
    </cfRule>
    <cfRule type="expression" dxfId="170" priority="234">
      <formula>IF(AJ24&gt;=AK24,IF(AJ24="",FALSE,TRUE))</formula>
    </cfRule>
  </conditionalFormatting>
  <conditionalFormatting sqref="AL24:AL25">
    <cfRule type="expression" dxfId="169" priority="231">
      <formula>OR(IF(AL24&lt;AM24,TRUE),IF(AND(AM24="",AL24&lt;&gt;""),TRUE))</formula>
    </cfRule>
    <cfRule type="expression" dxfId="168" priority="232">
      <formula>IF(AL24&gt;=AM24,IF(AL24="",FALSE,TRUE))</formula>
    </cfRule>
  </conditionalFormatting>
  <conditionalFormatting sqref="AL26:AL35">
    <cfRule type="expression" dxfId="167" priority="223">
      <formula>OR(IF(AL26&lt;AM26,TRUE),IF(AND(AM26="",AL26&lt;&gt;""),TRUE))</formula>
    </cfRule>
    <cfRule type="expression" dxfId="166" priority="224">
      <formula>IF(AL26&gt;=AM26,IF(AL26="",FALSE,TRUE))</formula>
    </cfRule>
  </conditionalFormatting>
  <conditionalFormatting sqref="AJ26:AJ35">
    <cfRule type="expression" dxfId="165" priority="225">
      <formula>OR(IF(AJ26&lt;AK26,TRUE),IF(AND(AK26="",AJ26&lt;&gt;""),TRUE))</formula>
    </cfRule>
    <cfRule type="expression" dxfId="164" priority="226">
      <formula>IF(AJ26&gt;=AK26,IF(AJ26="",FALSE,TRUE))</formula>
    </cfRule>
  </conditionalFormatting>
  <conditionalFormatting sqref="AQ24:AQ25">
    <cfRule type="expression" dxfId="163" priority="217">
      <formula>OR(IF(AQ24&lt;AR24,TRUE),IF(AND(AR24="",AQ24&lt;&gt;""),TRUE))</formula>
    </cfRule>
    <cfRule type="expression" dxfId="162" priority="218">
      <formula>IF(AQ24&gt;=AR24,IF(AQ24="",FALSE,TRUE))</formula>
    </cfRule>
  </conditionalFormatting>
  <conditionalFormatting sqref="AS24:AS25">
    <cfRule type="expression" dxfId="161" priority="215">
      <formula>OR(IF(AS24&lt;AT24,TRUE),IF(AND(AT24="",AS24&lt;&gt;""),TRUE))</formula>
    </cfRule>
    <cfRule type="expression" dxfId="160" priority="216">
      <formula>IF(AS24&gt;=AT24,IF(AS24="",FALSE,TRUE))</formula>
    </cfRule>
  </conditionalFormatting>
  <conditionalFormatting sqref="J5:K10">
    <cfRule type="colorScale" priority="342">
      <colorScale>
        <cfvo type="percent" val="0"/>
        <cfvo type="percent" val="100"/>
        <color rgb="FFFF231B"/>
        <color rgb="FF10FF07"/>
      </colorScale>
    </cfRule>
  </conditionalFormatting>
  <conditionalFormatting sqref="BU26:BU35">
    <cfRule type="expression" dxfId="159" priority="127">
      <formula>OR(IF(BU26&lt;BV26,TRUE),IF(AND(BV26="",BU26&lt;&gt;""),TRUE))</formula>
    </cfRule>
    <cfRule type="expression" dxfId="158" priority="128">
      <formula>IF(BU26&gt;=BV26,IF(BU26="",FALSE,TRUE))</formula>
    </cfRule>
  </conditionalFormatting>
  <conditionalFormatting sqref="BS5:BS10 BU5:BU10">
    <cfRule type="expression" dxfId="157" priority="141">
      <formula>OR(IF(BS5&lt;BT5,TRUE),IF(AND(BT5="",BS5&lt;&gt;""),TRUE))</formula>
    </cfRule>
    <cfRule type="expression" dxfId="156" priority="142">
      <formula>IF(BS5&gt;=BT5,IF(BS5="",FALSE,TRUE))</formula>
    </cfRule>
  </conditionalFormatting>
  <conditionalFormatting sqref="BS13:BS17 BU13:BU17">
    <cfRule type="expression" dxfId="155" priority="139">
      <formula>OR(IF(BS13&lt;BT13,TRUE),IF(AND(BT13="",BS13&lt;&gt;""),TRUE))</formula>
    </cfRule>
    <cfRule type="expression" dxfId="154" priority="140">
      <formula>IF(BS13&gt;=BT13,IF(BS13="",FALSE,TRUE))</formula>
    </cfRule>
  </conditionalFormatting>
  <conditionalFormatting sqref="BS24:BS25">
    <cfRule type="expression" dxfId="153" priority="137">
      <formula>OR(IF(BS24&lt;BT24,TRUE),IF(AND(BT24="",BS24&lt;&gt;""),TRUE))</formula>
    </cfRule>
    <cfRule type="expression" dxfId="152" priority="138">
      <formula>IF(BS24&gt;=BT24,IF(BS24="",FALSE,TRUE))</formula>
    </cfRule>
  </conditionalFormatting>
  <conditionalFormatting sqref="BU24:BU25">
    <cfRule type="expression" dxfId="151" priority="135">
      <formula>OR(IF(BU24&lt;BV24,TRUE),IF(AND(BV24="",BU24&lt;&gt;""),TRUE))</formula>
    </cfRule>
    <cfRule type="expression" dxfId="150" priority="136">
      <formula>IF(BU24&gt;=BV24,IF(BU24="",FALSE,TRUE))</formula>
    </cfRule>
  </conditionalFormatting>
  <conditionalFormatting sqref="BS18:BS21">
    <cfRule type="expression" dxfId="149" priority="133">
      <formula>OR(IF(BS18&lt;BT18,TRUE),IF(AND(BT18="",BS18&lt;&gt;""),TRUE))</formula>
    </cfRule>
    <cfRule type="expression" dxfId="148" priority="134">
      <formula>IF(BS18&gt;=BT18,IF(BS18="",FALSE,TRUE))</formula>
    </cfRule>
  </conditionalFormatting>
  <conditionalFormatting sqref="BU18:BU21">
    <cfRule type="expression" dxfId="147" priority="131">
      <formula>OR(IF(BU18&lt;BV18,TRUE),IF(AND(BV18="",BU18&lt;&gt;""),TRUE))</formula>
    </cfRule>
    <cfRule type="expression" dxfId="146" priority="132">
      <formula>IF(BU18&gt;=BV18,IF(BU18="",FALSE,TRUE))</formula>
    </cfRule>
  </conditionalFormatting>
  <conditionalFormatting sqref="BS26:BS35">
    <cfRule type="expression" dxfId="145" priority="129">
      <formula>OR(IF(BS26&lt;BT26,TRUE),IF(AND(BT26="",BS26&lt;&gt;""),TRUE))</formula>
    </cfRule>
    <cfRule type="expression" dxfId="144" priority="130">
      <formula>IF(BS26&gt;=BT26,IF(BS26="",FALSE,TRUE))</formula>
    </cfRule>
  </conditionalFormatting>
  <conditionalFormatting sqref="BE5:BE10 BG5:BG10">
    <cfRule type="expression" dxfId="143" priority="125">
      <formula>OR(IF(BE5&lt;BF5,TRUE),IF(AND(BF5="",BE5&lt;&gt;""),TRUE))</formula>
    </cfRule>
    <cfRule type="expression" dxfId="142" priority="126">
      <formula>IF(BE5&gt;=BF5,IF(BE5="",FALSE,TRUE))</formula>
    </cfRule>
  </conditionalFormatting>
  <conditionalFormatting sqref="BN13:BN17 BL13:BL21">
    <cfRule type="expression" dxfId="141" priority="123">
      <formula>OR(IF(BL13&lt;BM13,TRUE),IF(AND(BM13="",BL13&lt;&gt;""),TRUE))</formula>
    </cfRule>
    <cfRule type="expression" dxfId="140" priority="124">
      <formula>IF(BL13&gt;=BM13,IF(BL13="",FALSE,TRUE))</formula>
    </cfRule>
  </conditionalFormatting>
  <conditionalFormatting sqref="BL24:BL25">
    <cfRule type="expression" dxfId="139" priority="121">
      <formula>OR(IF(BL24&lt;BM24,TRUE),IF(AND(BM24="",BL24&lt;&gt;""),TRUE))</formula>
    </cfRule>
    <cfRule type="expression" dxfId="138" priority="122">
      <formula>IF(BL24&gt;=BM24,IF(BL24="",FALSE,TRUE))</formula>
    </cfRule>
  </conditionalFormatting>
  <conditionalFormatting sqref="BN24:BN25">
    <cfRule type="expression" dxfId="137" priority="119">
      <formula>OR(IF(BN24&lt;BO24,TRUE),IF(AND(BO24="",BN24&lt;&gt;""),TRUE))</formula>
    </cfRule>
    <cfRule type="expression" dxfId="136" priority="120">
      <formula>IF(BN24&gt;=BO24,IF(BN24="",FALSE,TRUE))</formula>
    </cfRule>
  </conditionalFormatting>
  <conditionalFormatting sqref="BN26:BN35">
    <cfRule type="expression" dxfId="135" priority="111">
      <formula>OR(IF(BN26&lt;BO26,TRUE),IF(AND(BO26="",BN26&lt;&gt;""),TRUE))</formula>
    </cfRule>
    <cfRule type="expression" dxfId="134" priority="112">
      <formula>IF(BN26&gt;=BO26,IF(BN26="",FALSE,TRUE))</formula>
    </cfRule>
  </conditionalFormatting>
  <conditionalFormatting sqref="BN18:BN21">
    <cfRule type="expression" dxfId="133" priority="115">
      <formula>OR(IF(BN18&lt;BO18,TRUE),IF(AND(BO18="",BN18&lt;&gt;""),TRUE))</formula>
    </cfRule>
    <cfRule type="expression" dxfId="132" priority="116">
      <formula>IF(BN18&gt;=BO18,IF(BN18="",FALSE,TRUE))</formula>
    </cfRule>
  </conditionalFormatting>
  <conditionalFormatting sqref="BL26:BL35">
    <cfRule type="expression" dxfId="131" priority="113">
      <formula>OR(IF(BL26&lt;BM26,TRUE),IF(AND(BM26="",BL26&lt;&gt;""),TRUE))</formula>
    </cfRule>
    <cfRule type="expression" dxfId="130" priority="114">
      <formula>IF(BL26&gt;=BM26,IF(BL26="",FALSE,TRUE))</formula>
    </cfRule>
  </conditionalFormatting>
  <conditionalFormatting sqref="BE24:BE25">
    <cfRule type="expression" dxfId="129" priority="109">
      <formula>OR(IF(BE24&lt;BF24,TRUE),IF(AND(BF24="",BE24&lt;&gt;""),TRUE))</formula>
    </cfRule>
    <cfRule type="expression" dxfId="128" priority="110">
      <formula>IF(BE24&gt;=BF24,IF(BE24="",FALSE,TRUE))</formula>
    </cfRule>
  </conditionalFormatting>
  <conditionalFormatting sqref="BG24:BG25">
    <cfRule type="expression" dxfId="127" priority="107">
      <formula>OR(IF(BG24&lt;BH24,TRUE),IF(AND(BH24="",BG24&lt;&gt;""),TRUE))</formula>
    </cfRule>
    <cfRule type="expression" dxfId="126" priority="108">
      <formula>IF(BG24&gt;=BH24,IF(BG24="",FALSE,TRUE))</formula>
    </cfRule>
  </conditionalFormatting>
  <conditionalFormatting sqref="BG26:BG35">
    <cfRule type="expression" dxfId="125" priority="103">
      <formula>OR(IF(BG26&lt;BH26,TRUE),IF(AND(BH26="",BG26&lt;&gt;""),TRUE))</formula>
    </cfRule>
    <cfRule type="expression" dxfId="124" priority="104">
      <formula>IF(BG26&gt;=BH26,IF(BG26="",FALSE,TRUE))</formula>
    </cfRule>
  </conditionalFormatting>
  <conditionalFormatting sqref="BE26:BE35">
    <cfRule type="expression" dxfId="123" priority="105">
      <formula>OR(IF(BE26&lt;BF26,TRUE),IF(AND(BF26="",BE26&lt;&gt;""),TRUE))</formula>
    </cfRule>
    <cfRule type="expression" dxfId="122" priority="106">
      <formula>IF(BE26&gt;=BF26,IF(BE26="",FALSE,TRUE))</formula>
    </cfRule>
  </conditionalFormatting>
  <conditionalFormatting sqref="AX24:AX26">
    <cfRule type="expression" dxfId="121" priority="101">
      <formula>OR(IF(AX24&lt;AY24,TRUE),IF(AND(AY24="",AX24&lt;&gt;""),TRUE))</formula>
    </cfRule>
    <cfRule type="expression" dxfId="120" priority="102">
      <formula>IF(AX24&gt;=AY24,IF(AX24="",FALSE,TRUE))</formula>
    </cfRule>
  </conditionalFormatting>
  <conditionalFormatting sqref="AZ24:AZ26">
    <cfRule type="expression" dxfId="119" priority="99">
      <formula>OR(IF(AZ24&lt;BA24,TRUE),IF(AND(BA24="",AZ24&lt;&gt;""),TRUE))</formula>
    </cfRule>
    <cfRule type="expression" dxfId="118" priority="100">
      <formula>IF(AZ24&gt;=BA24,IF(AZ24="",FALSE,TRUE))</formula>
    </cfRule>
  </conditionalFormatting>
  <conditionalFormatting sqref="AZ27:AZ35">
    <cfRule type="expression" dxfId="117" priority="95">
      <formula>OR(IF(AZ27&lt;BA27,TRUE),IF(AND(BA27="",AZ27&lt;&gt;""),TRUE))</formula>
    </cfRule>
    <cfRule type="expression" dxfId="116" priority="96">
      <formula>IF(AZ27&gt;=BA27,IF(AZ27="",FALSE,TRUE))</formula>
    </cfRule>
  </conditionalFormatting>
  <conditionalFormatting sqref="AX27:AX35">
    <cfRule type="expression" dxfId="115" priority="97">
      <formula>OR(IF(AX27&lt;AY27,TRUE),IF(AND(AY27="",AX27&lt;&gt;""),TRUE))</formula>
    </cfRule>
    <cfRule type="expression" dxfId="114" priority="98">
      <formula>IF(AX27&gt;=AY27,IF(AX27="",FALSE,TRUE))</formula>
    </cfRule>
  </conditionalFormatting>
  <conditionalFormatting sqref="V24">
    <cfRule type="expression" dxfId="113" priority="93">
      <formula>OR(IF(V24&lt;W24,TRUE),IF(AND(W24="",V24&lt;&gt;""),TRUE))</formula>
    </cfRule>
    <cfRule type="expression" dxfId="112" priority="94">
      <formula>IF(V24&gt;=W24,IF(V24="",FALSE,TRUE))</formula>
    </cfRule>
  </conditionalFormatting>
  <conditionalFormatting sqref="X24">
    <cfRule type="expression" dxfId="111" priority="91">
      <formula>OR(IF(X24&lt;Y24,TRUE),IF(AND(Y24="",X24&lt;&gt;""),TRUE))</formula>
    </cfRule>
    <cfRule type="expression" dxfId="110" priority="92">
      <formula>IF(X24&gt;=Y24,IF(X24="",FALSE,TRUE))</formula>
    </cfRule>
  </conditionalFormatting>
  <conditionalFormatting sqref="X25:X28">
    <cfRule type="expression" dxfId="109" priority="87">
      <formula>OR(IF(X25&lt;Y25,TRUE),IF(AND(Y25="",X25&lt;&gt;""),TRUE))</formula>
    </cfRule>
    <cfRule type="expression" dxfId="108" priority="88">
      <formula>IF(X25&gt;=Y25,IF(X25="",FALSE,TRUE))</formula>
    </cfRule>
  </conditionalFormatting>
  <conditionalFormatting sqref="V25:V28">
    <cfRule type="expression" dxfId="107" priority="89">
      <formula>OR(IF(V25&lt;W25,TRUE),IF(AND(W25="",V25&lt;&gt;""),TRUE))</formula>
    </cfRule>
    <cfRule type="expression" dxfId="106" priority="90">
      <formula>IF(V25&gt;=W25,IF(V25="",FALSE,TRUE))</formula>
    </cfRule>
  </conditionalFormatting>
  <conditionalFormatting sqref="BG13:BG17 BE13:BE21">
    <cfRule type="expression" dxfId="105" priority="85">
      <formula>OR(IF(BE13&lt;BF13,TRUE),IF(AND(BF13="",BE13&lt;&gt;""),TRUE))</formula>
    </cfRule>
    <cfRule type="expression" dxfId="104" priority="86">
      <formula>IF(BE13&gt;=BF13,IF(BE13="",FALSE,TRUE))</formula>
    </cfRule>
  </conditionalFormatting>
  <conditionalFormatting sqref="BG18:BG21">
    <cfRule type="expression" dxfId="103" priority="83">
      <formula>OR(IF(BG18&lt;BH18,TRUE),IF(AND(BH18="",BG18&lt;&gt;""),TRUE))</formula>
    </cfRule>
    <cfRule type="expression" dxfId="102" priority="84">
      <formula>IF(BG18&gt;=BH18,IF(BG18="",FALSE,TRUE))</formula>
    </cfRule>
  </conditionalFormatting>
  <conditionalFormatting sqref="AX13:AX21 AZ13:AZ18">
    <cfRule type="expression" dxfId="101" priority="81">
      <formula>OR(IF(AX13&lt;AY13,TRUE),IF(AND(AY13="",AX13&lt;&gt;""),TRUE))</formula>
    </cfRule>
    <cfRule type="expression" dxfId="100" priority="82">
      <formula>IF(AX13&gt;=AY13,IF(AX13="",FALSE,TRUE))</formula>
    </cfRule>
  </conditionalFormatting>
  <conditionalFormatting sqref="AZ19:AZ21">
    <cfRule type="expression" dxfId="99" priority="79">
      <formula>OR(IF(AZ19&lt;BA19,TRUE),IF(AND(BA19="",AZ19&lt;&gt;""),TRUE))</formula>
    </cfRule>
    <cfRule type="expression" dxfId="98" priority="80">
      <formula>IF(AZ19&gt;=BA19,IF(AZ19="",FALSE,TRUE))</formula>
    </cfRule>
  </conditionalFormatting>
  <conditionalFormatting sqref="AS13:AS17 AQ13:AQ21">
    <cfRule type="expression" dxfId="97" priority="77">
      <formula>OR(IF(AQ13&lt;AR13,TRUE),IF(AND(AR13="",AQ13&lt;&gt;""),TRUE))</formula>
    </cfRule>
    <cfRule type="expression" dxfId="96" priority="78">
      <formula>IF(AQ13&gt;=AR13,IF(AQ13="",FALSE,TRUE))</formula>
    </cfRule>
  </conditionalFormatting>
  <conditionalFormatting sqref="AS18:AS21">
    <cfRule type="expression" dxfId="95" priority="75">
      <formula>OR(IF(AS18&lt;AT18,TRUE),IF(AND(AT18="",AS18&lt;&gt;""),TRUE))</formula>
    </cfRule>
    <cfRule type="expression" dxfId="94" priority="76">
      <formula>IF(AS18&gt;=AT18,IF(AS18="",FALSE,TRUE))</formula>
    </cfRule>
  </conditionalFormatting>
  <conditionalFormatting sqref="AL13:AL17 AJ13:AJ17 AJ19:AJ21">
    <cfRule type="expression" dxfId="93" priority="73">
      <formula>OR(IF(AJ13&lt;AK13,TRUE),IF(AND(AK13="",AJ13&lt;&gt;""),TRUE))</formula>
    </cfRule>
    <cfRule type="expression" dxfId="92" priority="74">
      <formula>IF(AJ13&gt;=AK13,IF(AJ13="",FALSE,TRUE))</formula>
    </cfRule>
  </conditionalFormatting>
  <conditionalFormatting sqref="AL19:AL21">
    <cfRule type="expression" dxfId="91" priority="71">
      <formula>OR(IF(AL19&lt;AM19,TRUE),IF(AND(AM19="",AL19&lt;&gt;""),TRUE))</formula>
    </cfRule>
    <cfRule type="expression" dxfId="90" priority="72">
      <formula>IF(AL19&gt;=AM19,IF(AL19="",FALSE,TRUE))</formula>
    </cfRule>
  </conditionalFormatting>
  <conditionalFormatting sqref="AE13:AE17 AC13:AC21">
    <cfRule type="expression" dxfId="89" priority="69">
      <formula>OR(IF(AC13&lt;AD13,TRUE),IF(AND(AD13="",AC13&lt;&gt;""),TRUE))</formula>
    </cfRule>
    <cfRule type="expression" dxfId="88" priority="70">
      <formula>IF(AC13&gt;=AD13,IF(AC13="",FALSE,TRUE))</formula>
    </cfRule>
  </conditionalFormatting>
  <conditionalFormatting sqref="AE18:AE21">
    <cfRule type="expression" dxfId="87" priority="67">
      <formula>OR(IF(AE18&lt;AF18,TRUE),IF(AND(AF18="",AE18&lt;&gt;""),TRUE))</formula>
    </cfRule>
    <cfRule type="expression" dxfId="86" priority="68">
      <formula>IF(AE18&gt;=AF18,IF(AE18="",FALSE,TRUE))</formula>
    </cfRule>
  </conditionalFormatting>
  <conditionalFormatting sqref="X13:X17 V13:V21">
    <cfRule type="expression" dxfId="85" priority="65">
      <formula>OR(IF(V13&lt;W13,TRUE),IF(AND(W13="",V13&lt;&gt;""),TRUE))</formula>
    </cfRule>
    <cfRule type="expression" dxfId="84" priority="66">
      <formula>IF(V13&gt;=W13,IF(V13="",FALSE,TRUE))</formula>
    </cfRule>
  </conditionalFormatting>
  <conditionalFormatting sqref="X18:X21">
    <cfRule type="expression" dxfId="83" priority="63">
      <formula>OR(IF(X18&lt;Y18,TRUE),IF(AND(Y18="",X18&lt;&gt;""),TRUE))</formula>
    </cfRule>
    <cfRule type="expression" dxfId="82" priority="64">
      <formula>IF(X18&gt;=Y18,IF(X18="",FALSE,TRUE))</formula>
    </cfRule>
  </conditionalFormatting>
  <conditionalFormatting sqref="Q13:Q17 O13:O21">
    <cfRule type="expression" dxfId="81" priority="61">
      <formula>OR(IF(O13&lt;P13,TRUE),IF(AND(P13="",O13&lt;&gt;""),TRUE))</formula>
    </cfRule>
    <cfRule type="expression" dxfId="80" priority="62">
      <formula>IF(O13&gt;=P13,IF(O13="",FALSE,TRUE))</formula>
    </cfRule>
  </conditionalFormatting>
  <conditionalFormatting sqref="Q18:Q21">
    <cfRule type="expression" dxfId="79" priority="59">
      <formula>OR(IF(Q18&lt;R18,TRUE),IF(AND(R18="",Q18&lt;&gt;""),TRUE))</formula>
    </cfRule>
    <cfRule type="expression" dxfId="78" priority="60">
      <formula>IF(Q18&gt;=R18,IF(Q18="",FALSE,TRUE))</formula>
    </cfRule>
  </conditionalFormatting>
  <conditionalFormatting sqref="O5">
    <cfRule type="expression" dxfId="77" priority="57">
      <formula>OR(IF(O5&lt;P5,TRUE),IF(AND(P5="",O5&lt;&gt;""),TRUE))</formula>
    </cfRule>
    <cfRule type="expression" dxfId="76" priority="58">
      <formula>IF(O5&gt;=P5,IF(O5="",FALSE,TRUE))</formula>
    </cfRule>
  </conditionalFormatting>
  <conditionalFormatting sqref="Q5">
    <cfRule type="expression" dxfId="75" priority="55">
      <formula>OR(IF(Q5&lt;R5,TRUE),IF(AND(R5="",Q5&lt;&gt;""),TRUE))</formula>
    </cfRule>
    <cfRule type="expression" dxfId="74" priority="56">
      <formula>IF(Q5&gt;=R5,IF(Q5="",FALSE,TRUE))</formula>
    </cfRule>
  </conditionalFormatting>
  <conditionalFormatting sqref="Q6:Q9">
    <cfRule type="expression" dxfId="73" priority="51">
      <formula>OR(IF(Q6&lt;R6,TRUE),IF(AND(R6="",Q6&lt;&gt;""),TRUE))</formula>
    </cfRule>
    <cfRule type="expression" dxfId="72" priority="52">
      <formula>IF(Q6&gt;=R6,IF(Q6="",FALSE,TRUE))</formula>
    </cfRule>
  </conditionalFormatting>
  <conditionalFormatting sqref="O6:O9">
    <cfRule type="expression" dxfId="71" priority="53">
      <formula>OR(IF(O6&lt;P6,TRUE),IF(AND(P6="",O6&lt;&gt;""),TRUE))</formula>
    </cfRule>
    <cfRule type="expression" dxfId="70" priority="54">
      <formula>IF(O6&gt;=P6,IF(O6="",FALSE,TRUE))</formula>
    </cfRule>
  </conditionalFormatting>
  <conditionalFormatting sqref="V5">
    <cfRule type="expression" dxfId="69" priority="49">
      <formula>OR(IF(V5&lt;W5,TRUE),IF(AND(W5="",V5&lt;&gt;""),TRUE))</formula>
    </cfRule>
    <cfRule type="expression" dxfId="68" priority="50">
      <formula>IF(V5&gt;=W5,IF(V5="",FALSE,TRUE))</formula>
    </cfRule>
  </conditionalFormatting>
  <conditionalFormatting sqref="X5">
    <cfRule type="expression" dxfId="67" priority="47">
      <formula>OR(IF(X5&lt;Y5,TRUE),IF(AND(Y5="",X5&lt;&gt;""),TRUE))</formula>
    </cfRule>
    <cfRule type="expression" dxfId="66" priority="48">
      <formula>IF(X5&gt;=Y5,IF(X5="",FALSE,TRUE))</formula>
    </cfRule>
  </conditionalFormatting>
  <conditionalFormatting sqref="X6:X9">
    <cfRule type="expression" dxfId="65" priority="43">
      <formula>OR(IF(X6&lt;Y6,TRUE),IF(AND(Y6="",X6&lt;&gt;""),TRUE))</formula>
    </cfRule>
    <cfRule type="expression" dxfId="64" priority="44">
      <formula>IF(X6&gt;=Y6,IF(X6="",FALSE,TRUE))</formula>
    </cfRule>
  </conditionalFormatting>
  <conditionalFormatting sqref="V6:V9">
    <cfRule type="expression" dxfId="63" priority="45">
      <formula>OR(IF(V6&lt;W6,TRUE),IF(AND(W6="",V6&lt;&gt;""),TRUE))</formula>
    </cfRule>
    <cfRule type="expression" dxfId="62" priority="46">
      <formula>IF(V6&gt;=W6,IF(V6="",FALSE,TRUE))</formula>
    </cfRule>
  </conditionalFormatting>
  <conditionalFormatting sqref="AC5">
    <cfRule type="expression" dxfId="61" priority="41">
      <formula>OR(IF(AC5&lt;AD5,TRUE),IF(AND(AD5="",AC5&lt;&gt;""),TRUE))</formula>
    </cfRule>
    <cfRule type="expression" dxfId="60" priority="42">
      <formula>IF(AC5&gt;=AD5,IF(AC5="",FALSE,TRUE))</formula>
    </cfRule>
  </conditionalFormatting>
  <conditionalFormatting sqref="AE5">
    <cfRule type="expression" dxfId="59" priority="39">
      <formula>OR(IF(AE5&lt;AF5,TRUE),IF(AND(AF5="",AE5&lt;&gt;""),TRUE))</formula>
    </cfRule>
    <cfRule type="expression" dxfId="58" priority="40">
      <formula>IF(AE5&gt;=AF5,IF(AE5="",FALSE,TRUE))</formula>
    </cfRule>
  </conditionalFormatting>
  <conditionalFormatting sqref="AE6:AE10">
    <cfRule type="expression" dxfId="57" priority="35">
      <formula>OR(IF(AE6&lt;AF6,TRUE),IF(AND(AF6="",AE6&lt;&gt;""),TRUE))</formula>
    </cfRule>
    <cfRule type="expression" dxfId="56" priority="36">
      <formula>IF(AE6&gt;=AF6,IF(AE6="",FALSE,TRUE))</formula>
    </cfRule>
  </conditionalFormatting>
  <conditionalFormatting sqref="AC6:AC10">
    <cfRule type="expression" dxfId="55" priority="37">
      <formula>OR(IF(AC6&lt;AD6,TRUE),IF(AND(AD6="",AC6&lt;&gt;""),TRUE))</formula>
    </cfRule>
    <cfRule type="expression" dxfId="54" priority="38">
      <formula>IF(AC6&gt;=AD6,IF(AC6="",FALSE,TRUE))</formula>
    </cfRule>
  </conditionalFormatting>
  <conditionalFormatting sqref="AJ5">
    <cfRule type="expression" dxfId="53" priority="33">
      <formula>OR(IF(AJ5&lt;AK5,TRUE),IF(AND(AK5="",AJ5&lt;&gt;""),TRUE))</formula>
    </cfRule>
    <cfRule type="expression" dxfId="52" priority="34">
      <formula>IF(AJ5&gt;=AK5,IF(AJ5="",FALSE,TRUE))</formula>
    </cfRule>
  </conditionalFormatting>
  <conditionalFormatting sqref="AL5">
    <cfRule type="expression" dxfId="51" priority="31">
      <formula>OR(IF(AL5&lt;AM5,TRUE),IF(AND(AM5="",AL5&lt;&gt;""),TRUE))</formula>
    </cfRule>
    <cfRule type="expression" dxfId="50" priority="32">
      <formula>IF(AL5&gt;=AM5,IF(AL5="",FALSE,TRUE))</formula>
    </cfRule>
  </conditionalFormatting>
  <conditionalFormatting sqref="AL6:AL10">
    <cfRule type="expression" dxfId="49" priority="27">
      <formula>OR(IF(AL6&lt;AM6,TRUE),IF(AND(AM6="",AL6&lt;&gt;""),TRUE))</formula>
    </cfRule>
    <cfRule type="expression" dxfId="48" priority="28">
      <formula>IF(AL6&gt;=AM6,IF(AL6="",FALSE,TRUE))</formula>
    </cfRule>
  </conditionalFormatting>
  <conditionalFormatting sqref="AJ6:AJ10">
    <cfRule type="expression" dxfId="47" priority="29">
      <formula>OR(IF(AJ6&lt;AK6,TRUE),IF(AND(AK6="",AJ6&lt;&gt;""),TRUE))</formula>
    </cfRule>
    <cfRule type="expression" dxfId="46" priority="30">
      <formula>IF(AJ6&gt;=AK6,IF(AJ6="",FALSE,TRUE))</formula>
    </cfRule>
  </conditionalFormatting>
  <conditionalFormatting sqref="AQ5">
    <cfRule type="expression" dxfId="45" priority="25">
      <formula>OR(IF(AQ5&lt;AR5,TRUE),IF(AND(AR5="",AQ5&lt;&gt;""),TRUE))</formula>
    </cfRule>
    <cfRule type="expression" dxfId="44" priority="26">
      <formula>IF(AQ5&gt;=AR5,IF(AQ5="",FALSE,TRUE))</formula>
    </cfRule>
  </conditionalFormatting>
  <conditionalFormatting sqref="AS5">
    <cfRule type="expression" dxfId="43" priority="23">
      <formula>OR(IF(AS5&lt;AT5,TRUE),IF(AND(AT5="",AS5&lt;&gt;""),TRUE))</formula>
    </cfRule>
    <cfRule type="expression" dxfId="42" priority="24">
      <formula>IF(AS5&gt;=AT5,IF(AS5="",FALSE,TRUE))</formula>
    </cfRule>
  </conditionalFormatting>
  <conditionalFormatting sqref="AS6:AS10">
    <cfRule type="expression" dxfId="41" priority="19">
      <formula>OR(IF(AS6&lt;AT6,TRUE),IF(AND(AT6="",AS6&lt;&gt;""),TRUE))</formula>
    </cfRule>
    <cfRule type="expression" dxfId="40" priority="20">
      <formula>IF(AS6&gt;=AT6,IF(AS6="",FALSE,TRUE))</formula>
    </cfRule>
  </conditionalFormatting>
  <conditionalFormatting sqref="AQ6:AQ10">
    <cfRule type="expression" dxfId="39" priority="21">
      <formula>OR(IF(AQ6&lt;AR6,TRUE),IF(AND(AR6="",AQ6&lt;&gt;""),TRUE))</formula>
    </cfRule>
    <cfRule type="expression" dxfId="38" priority="22">
      <formula>IF(AQ6&gt;=AR6,IF(AQ6="",FALSE,TRUE))</formula>
    </cfRule>
  </conditionalFormatting>
  <conditionalFormatting sqref="AX5">
    <cfRule type="expression" dxfId="37" priority="17">
      <formula>OR(IF(AX5&lt;AY5,TRUE),IF(AND(AY5="",AX5&lt;&gt;""),TRUE))</formula>
    </cfRule>
    <cfRule type="expression" dxfId="36" priority="18">
      <formula>IF(AX5&gt;=AY5,IF(AX5="",FALSE,TRUE))</formula>
    </cfRule>
  </conditionalFormatting>
  <conditionalFormatting sqref="AZ5">
    <cfRule type="expression" dxfId="35" priority="15">
      <formula>OR(IF(AZ5&lt;BA5,TRUE),IF(AND(BA5="",AZ5&lt;&gt;""),TRUE))</formula>
    </cfRule>
    <cfRule type="expression" dxfId="34" priority="16">
      <formula>IF(AZ5&gt;=BA5,IF(AZ5="",FALSE,TRUE))</formula>
    </cfRule>
  </conditionalFormatting>
  <conditionalFormatting sqref="AZ6:AZ10">
    <cfRule type="expression" dxfId="33" priority="11">
      <formula>OR(IF(AZ6&lt;BA6,TRUE),IF(AND(BA6="",AZ6&lt;&gt;""),TRUE))</formula>
    </cfRule>
    <cfRule type="expression" dxfId="32" priority="12">
      <formula>IF(AZ6&gt;=BA6,IF(AZ6="",FALSE,TRUE))</formula>
    </cfRule>
  </conditionalFormatting>
  <conditionalFormatting sqref="AX6:AX10">
    <cfRule type="expression" dxfId="31" priority="13">
      <formula>OR(IF(AX6&lt;AY6,TRUE),IF(AND(AY6="",AX6&lt;&gt;""),TRUE))</formula>
    </cfRule>
    <cfRule type="expression" dxfId="30" priority="14">
      <formula>IF(AX6&gt;=AY6,IF(AX6="",FALSE,TRUE))</formula>
    </cfRule>
  </conditionalFormatting>
  <conditionalFormatting sqref="BL5">
    <cfRule type="expression" dxfId="29" priority="9">
      <formula>OR(IF(BL5&lt;BM5,TRUE),IF(AND(BM5="",BL5&lt;&gt;""),TRUE))</formula>
    </cfRule>
    <cfRule type="expression" dxfId="28" priority="10">
      <formula>IF(BL5&gt;=BM5,IF(BL5="",FALSE,TRUE))</formula>
    </cfRule>
  </conditionalFormatting>
  <conditionalFormatting sqref="BN5">
    <cfRule type="expression" dxfId="27" priority="7">
      <formula>OR(IF(BN5&lt;BO5,TRUE),IF(AND(BO5="",BN5&lt;&gt;""),TRUE))</formula>
    </cfRule>
    <cfRule type="expression" dxfId="26" priority="8">
      <formula>IF(BN5&gt;=BO5,IF(BN5="",FALSE,TRUE))</formula>
    </cfRule>
  </conditionalFormatting>
  <conditionalFormatting sqref="BN6:BN10">
    <cfRule type="expression" dxfId="25" priority="3">
      <formula>OR(IF(BN6&lt;BO6,TRUE),IF(AND(BO6="",BN6&lt;&gt;""),TRUE))</formula>
    </cfRule>
    <cfRule type="expression" dxfId="24" priority="4">
      <formula>IF(BN6&gt;=BO6,IF(BN6="",FALSE,TRUE))</formula>
    </cfRule>
  </conditionalFormatting>
  <conditionalFormatting sqref="BL6:BL10">
    <cfRule type="expression" dxfId="23" priority="5">
      <formula>OR(IF(BL6&lt;BM6,TRUE),IF(AND(BM6="",BL6&lt;&gt;""),TRUE))</formula>
    </cfRule>
    <cfRule type="expression" dxfId="22" priority="6">
      <formula>IF(BL6&gt;=BM6,IF(BL6="",FALSE,TRUE))</formula>
    </cfRule>
  </conditionalFormatting>
  <conditionalFormatting sqref="AL18 AJ18">
    <cfRule type="expression" dxfId="21" priority="1">
      <formula>OR(IF(AJ18&lt;AK18,TRUE),IF(AND(AK18="",AJ18&lt;&gt;""),TRUE))</formula>
    </cfRule>
    <cfRule type="expression" dxfId="20" priority="2">
      <formula>IF(AJ18&gt;=AK18,IF(AJ18="",FALSE,TRUE))</formula>
    </cfRule>
  </conditionalFormatting>
  <dataValidations count="1">
    <dataValidation type="list" allowBlank="1" showInputMessage="1" showErrorMessage="1" sqref="V13:Y21 O13:R21 BE5:BH10 AC13:AF21 O5:R10 AQ24:AT35 AC24:AF35 V24:Y28 AX13:BA21 AQ13:AT21 V5:Y10 BE24:BH35 AC5:AF10 BS24:BV35 BE13:BH21 BL13:BO21 AJ5:AM10 AJ24:AM35 BS13:BV21 BS5:BV10 AQ5:AT10 AX5:BA10 BL24:BO35 BL5:BO10 O24:R35 AJ13:AM21 AX24:BA35"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topLeftCell="A7" zoomScale="85" zoomScaleNormal="85" workbookViewId="0">
      <selection activeCell="F25" sqref="F25"/>
    </sheetView>
  </sheetViews>
  <sheetFormatPr defaultColWidth="10.6640625" defaultRowHeight="15.5"/>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1">
      <c r="A1" s="11" t="s">
        <v>40</v>
      </c>
      <c r="B1" s="17" t="s">
        <v>38</v>
      </c>
      <c r="C1" s="17" t="s">
        <v>90</v>
      </c>
      <c r="D1" s="17" t="s">
        <v>39</v>
      </c>
      <c r="E1" s="1" t="s">
        <v>86</v>
      </c>
      <c r="F1" s="1" t="s">
        <v>41</v>
      </c>
      <c r="G1" s="1" t="s">
        <v>42</v>
      </c>
      <c r="H1" s="1" t="s">
        <v>43</v>
      </c>
      <c r="I1" s="1" t="s">
        <v>44</v>
      </c>
      <c r="J1" s="1" t="s">
        <v>45</v>
      </c>
      <c r="K1" s="1" t="s">
        <v>46</v>
      </c>
    </row>
    <row r="2" spans="1:11">
      <c r="A2" s="16">
        <v>44543</v>
      </c>
      <c r="B2" s="11" t="s">
        <v>89</v>
      </c>
      <c r="C2" s="11" t="s">
        <v>89</v>
      </c>
      <c r="D2" s="18">
        <v>0.8</v>
      </c>
      <c r="E2" s="11" t="s">
        <v>89</v>
      </c>
      <c r="J2" t="s">
        <v>87</v>
      </c>
      <c r="K2" t="s">
        <v>88</v>
      </c>
    </row>
    <row r="3" spans="1:11">
      <c r="A3" s="16">
        <v>44544</v>
      </c>
      <c r="B3" s="11" t="s">
        <v>89</v>
      </c>
      <c r="C3" s="11" t="s">
        <v>89</v>
      </c>
      <c r="D3" s="18">
        <v>0.6</v>
      </c>
      <c r="E3" s="11" t="s">
        <v>89</v>
      </c>
      <c r="J3" t="s">
        <v>92</v>
      </c>
      <c r="K3" t="s">
        <v>91</v>
      </c>
    </row>
    <row r="4" spans="1:11">
      <c r="A4" s="16">
        <v>44545</v>
      </c>
      <c r="B4" s="11" t="s">
        <v>89</v>
      </c>
      <c r="C4" s="11" t="s">
        <v>89</v>
      </c>
      <c r="D4" s="18">
        <v>0.8</v>
      </c>
      <c r="E4" s="11" t="s">
        <v>89</v>
      </c>
      <c r="J4" t="s">
        <v>93</v>
      </c>
      <c r="K4" t="s">
        <v>94</v>
      </c>
    </row>
    <row r="5" spans="1:11">
      <c r="A5" s="16">
        <v>44546</v>
      </c>
      <c r="B5" s="11" t="s">
        <v>89</v>
      </c>
      <c r="C5" s="11" t="s">
        <v>89</v>
      </c>
      <c r="D5" s="18">
        <v>0.8</v>
      </c>
      <c r="E5" s="11" t="s">
        <v>89</v>
      </c>
      <c r="J5" t="s">
        <v>92</v>
      </c>
    </row>
    <row r="6" spans="1:11">
      <c r="A6" s="16">
        <v>44547</v>
      </c>
      <c r="B6" s="11" t="s">
        <v>89</v>
      </c>
      <c r="C6" s="11" t="s">
        <v>89</v>
      </c>
      <c r="D6" s="18">
        <v>0.8</v>
      </c>
      <c r="E6" s="11" t="s">
        <v>89</v>
      </c>
    </row>
    <row r="7" spans="1:11">
      <c r="A7" s="16">
        <v>44548</v>
      </c>
      <c r="B7" s="11" t="s">
        <v>89</v>
      </c>
      <c r="C7" s="11" t="s">
        <v>89</v>
      </c>
      <c r="D7" s="18">
        <v>0.8</v>
      </c>
      <c r="E7" s="11" t="s">
        <v>89</v>
      </c>
    </row>
    <row r="8" spans="1:11">
      <c r="A8" s="16">
        <v>44549</v>
      </c>
      <c r="B8" s="11" t="s">
        <v>89</v>
      </c>
      <c r="C8" s="11" t="s">
        <v>107</v>
      </c>
      <c r="D8" s="18">
        <v>0.8</v>
      </c>
      <c r="E8" s="11" t="s">
        <v>89</v>
      </c>
    </row>
    <row r="9" spans="1:11">
      <c r="A9" s="16">
        <v>44550</v>
      </c>
      <c r="B9" s="11" t="s">
        <v>89</v>
      </c>
      <c r="C9" s="11" t="s">
        <v>89</v>
      </c>
      <c r="D9" s="18">
        <v>0.8</v>
      </c>
      <c r="E9" s="11" t="s">
        <v>89</v>
      </c>
    </row>
    <row r="10" spans="1:11">
      <c r="A10" s="16">
        <v>44551</v>
      </c>
      <c r="B10" s="11" t="s">
        <v>89</v>
      </c>
      <c r="C10" s="11" t="s">
        <v>89</v>
      </c>
      <c r="D10" s="18">
        <v>1</v>
      </c>
      <c r="E10" s="11" t="s">
        <v>89</v>
      </c>
    </row>
    <row r="11" spans="1:11">
      <c r="A11" s="16">
        <v>44552</v>
      </c>
      <c r="B11" s="11" t="s">
        <v>89</v>
      </c>
      <c r="C11" s="11" t="s">
        <v>89</v>
      </c>
      <c r="D11" s="18">
        <v>1</v>
      </c>
      <c r="E11" s="11" t="s">
        <v>89</v>
      </c>
    </row>
    <row r="12" spans="1:11">
      <c r="A12" s="16">
        <v>44553</v>
      </c>
      <c r="D12" s="18"/>
      <c r="E12" s="11"/>
    </row>
    <row r="13" spans="1:11">
      <c r="A13" s="16">
        <v>44554</v>
      </c>
      <c r="D13" s="18"/>
      <c r="E13" s="11"/>
    </row>
    <row r="14" spans="1:11">
      <c r="A14" s="16">
        <v>44555</v>
      </c>
      <c r="D14" s="18"/>
      <c r="E14" s="11"/>
    </row>
    <row r="15" spans="1:11">
      <c r="A15" s="16">
        <v>44556</v>
      </c>
      <c r="D15" s="18"/>
      <c r="E15" s="11"/>
    </row>
    <row r="16" spans="1:11">
      <c r="A16" s="16">
        <v>44557</v>
      </c>
      <c r="D16" s="18"/>
      <c r="E16" s="11"/>
    </row>
    <row r="17" spans="1:5">
      <c r="A17" s="16">
        <v>44558</v>
      </c>
      <c r="D17" s="18"/>
      <c r="E17" s="11"/>
    </row>
    <row r="18" spans="1:5">
      <c r="A18" s="16">
        <v>44559</v>
      </c>
      <c r="D18" s="18"/>
      <c r="E18" s="11"/>
    </row>
    <row r="19" spans="1:5">
      <c r="A19" s="16">
        <v>44560</v>
      </c>
      <c r="D19" s="18"/>
      <c r="E19" s="11"/>
    </row>
    <row r="20" spans="1:5">
      <c r="A20" s="16">
        <v>44561</v>
      </c>
      <c r="D20" s="18"/>
      <c r="E20" s="11"/>
    </row>
    <row r="21" spans="1:5">
      <c r="A21" s="16">
        <v>44562</v>
      </c>
      <c r="D21" s="18"/>
      <c r="E21" s="11"/>
    </row>
    <row r="22" spans="1:5">
      <c r="A22" s="16">
        <v>44563</v>
      </c>
      <c r="D22" s="18"/>
      <c r="E22" s="11"/>
    </row>
    <row r="23" spans="1:5">
      <c r="A23" s="16">
        <v>44564</v>
      </c>
      <c r="D23" s="18"/>
      <c r="E23" s="11"/>
    </row>
    <row r="24" spans="1:5">
      <c r="A24" s="16">
        <v>44565</v>
      </c>
      <c r="C24" s="11" t="s">
        <v>107</v>
      </c>
      <c r="D24" s="18"/>
      <c r="E24" s="11"/>
    </row>
    <row r="25" spans="1:5">
      <c r="A25" s="16">
        <v>44566</v>
      </c>
      <c r="B25" s="11" t="s">
        <v>89</v>
      </c>
      <c r="C25" s="11" t="s">
        <v>107</v>
      </c>
      <c r="D25" s="18">
        <v>0.6</v>
      </c>
      <c r="E25" s="11"/>
    </row>
    <row r="26" spans="1:5">
      <c r="A26" s="16">
        <v>44567</v>
      </c>
      <c r="B26" s="11" t="s">
        <v>107</v>
      </c>
      <c r="C26" s="11" t="s">
        <v>107</v>
      </c>
      <c r="D26" s="18">
        <v>0.6</v>
      </c>
      <c r="E26" s="11"/>
    </row>
    <row r="27" spans="1:5">
      <c r="A27" s="16">
        <v>44568</v>
      </c>
      <c r="E27" s="11"/>
    </row>
    <row r="28" spans="1:5">
      <c r="A28" s="16">
        <v>44569</v>
      </c>
      <c r="E28" s="11"/>
    </row>
    <row r="29" spans="1:5">
      <c r="A29" s="16">
        <v>44570</v>
      </c>
      <c r="E29" s="11"/>
    </row>
    <row r="30" spans="1:5">
      <c r="A30" s="16">
        <v>44571</v>
      </c>
      <c r="E30" s="11"/>
    </row>
    <row r="31" spans="1:5">
      <c r="A31" s="16">
        <v>44572</v>
      </c>
      <c r="E31" s="11"/>
    </row>
    <row r="32" spans="1:5">
      <c r="A32" s="16">
        <v>44573</v>
      </c>
    </row>
    <row r="33" spans="1:1">
      <c r="A33" s="16">
        <v>44574</v>
      </c>
    </row>
    <row r="34" spans="1:1">
      <c r="A34" s="16">
        <v>44575</v>
      </c>
    </row>
    <row r="35" spans="1:1">
      <c r="A35" s="16">
        <v>44576</v>
      </c>
    </row>
    <row r="36" spans="1:1">
      <c r="A36" s="16">
        <v>44577</v>
      </c>
    </row>
    <row r="37" spans="1:1">
      <c r="A37" s="16">
        <v>44578</v>
      </c>
    </row>
    <row r="38" spans="1:1">
      <c r="A38" s="16">
        <v>44579</v>
      </c>
    </row>
    <row r="39" spans="1:1">
      <c r="A39" s="16">
        <v>44580</v>
      </c>
    </row>
    <row r="40" spans="1:1">
      <c r="A40" s="16">
        <v>44581</v>
      </c>
    </row>
    <row r="41" spans="1:1">
      <c r="A41" s="16">
        <v>44582</v>
      </c>
    </row>
    <row r="42" spans="1:1">
      <c r="A42" s="16">
        <v>44583</v>
      </c>
    </row>
    <row r="43" spans="1:1">
      <c r="A43" s="16">
        <v>44584</v>
      </c>
    </row>
    <row r="44" spans="1:1">
      <c r="A44" s="16">
        <v>44585</v>
      </c>
    </row>
    <row r="45" spans="1:1">
      <c r="A45" s="16">
        <v>44586</v>
      </c>
    </row>
    <row r="46" spans="1:1">
      <c r="A46" s="16">
        <v>44587</v>
      </c>
    </row>
  </sheetData>
  <conditionalFormatting sqref="B2:B46">
    <cfRule type="cellIs" dxfId="19" priority="17" operator="equal">
      <formula>"Ja"</formula>
    </cfRule>
    <cfRule type="cellIs" dxfId="18" priority="18" operator="equal">
      <formula>"Nein"</formula>
    </cfRule>
  </conditionalFormatting>
  <conditionalFormatting sqref="D2:D26">
    <cfRule type="cellIs" dxfId="17" priority="9" operator="equal">
      <formula>1</formula>
    </cfRule>
    <cfRule type="cellIs" dxfId="16" priority="10" operator="equal">
      <formula>0.8</formula>
    </cfRule>
    <cfRule type="cellIs" dxfId="15" priority="11" operator="equal">
      <formula>0.6</formula>
    </cfRule>
    <cfRule type="cellIs" dxfId="14" priority="12" operator="equal">
      <formula>0.4</formula>
    </cfRule>
    <cfRule type="cellIs" dxfId="13" priority="13" operator="equal">
      <formula>0.2</formula>
    </cfRule>
    <cfRule type="cellIs" dxfId="12" priority="14" operator="equal">
      <formula>0</formula>
    </cfRule>
  </conditionalFormatting>
  <conditionalFormatting sqref="B2:B46">
    <cfRule type="cellIs" dxfId="11" priority="7" operator="equal">
      <formula>"Ja"</formula>
    </cfRule>
  </conditionalFormatting>
  <conditionalFormatting sqref="C2:C46">
    <cfRule type="cellIs" dxfId="10" priority="5" operator="equal">
      <formula>"Ja"</formula>
    </cfRule>
    <cfRule type="cellIs" dxfId="9" priority="6" operator="equal">
      <formula>"Nein"</formula>
    </cfRule>
  </conditionalFormatting>
  <conditionalFormatting sqref="C2:C46">
    <cfRule type="cellIs" dxfId="8" priority="4" operator="equal">
      <formula>"Ja"</formula>
    </cfRule>
  </conditionalFormatting>
  <conditionalFormatting sqref="E2:E31">
    <cfRule type="cellIs" dxfId="7" priority="2" operator="equal">
      <formula>"Ja"</formula>
    </cfRule>
    <cfRule type="cellIs" dxfId="6" priority="3" operator="equal">
      <formula>"Nein"</formula>
    </cfRule>
  </conditionalFormatting>
  <conditionalFormatting sqref="E2:E31">
    <cfRule type="cellIs" dxfId="5" priority="1" operator="equal">
      <formula>"Ja"</formula>
    </cfRule>
  </conditionalFormatting>
  <dataValidations count="2">
    <dataValidation type="list" allowBlank="1" showInputMessage="1" showErrorMessage="1" sqref="E2:E31 B2:C46" xr:uid="{7FDD2772-70A7-4C43-8D43-0112E4DB6845}">
      <formula1>"Ja,Nein"</formula1>
    </dataValidation>
    <dataValidation type="list" allowBlank="1" showInputMessage="1" showErrorMessage="1" sqref="D2:D26" xr:uid="{B2E161F3-3A4E-9042-B62A-806000DA1055}">
      <formula1>"100%,80%,60%,40%,20%,0%"</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4" zoomScaleNormal="100" workbookViewId="0">
      <selection activeCell="F16" sqref="F16"/>
    </sheetView>
  </sheetViews>
  <sheetFormatPr defaultColWidth="10.6640625" defaultRowHeight="15.5"/>
  <sheetData>
    <row r="1" spans="1:8" ht="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c r="E14" t="s">
        <v>95</v>
      </c>
    </row>
    <row r="15" spans="1:8">
      <c r="A15" s="10">
        <v>0.375</v>
      </c>
      <c r="C15" t="s">
        <v>96</v>
      </c>
      <c r="D15" t="s">
        <v>99</v>
      </c>
      <c r="E15" t="s">
        <v>102</v>
      </c>
      <c r="F15" t="s">
        <v>106</v>
      </c>
    </row>
    <row r="16" spans="1:8">
      <c r="A16" s="10">
        <v>0.39583333333333398</v>
      </c>
      <c r="C16" t="s">
        <v>96</v>
      </c>
      <c r="D16" t="s">
        <v>99</v>
      </c>
      <c r="E16" t="s">
        <v>102</v>
      </c>
      <c r="F16" t="s">
        <v>106</v>
      </c>
    </row>
    <row r="17" spans="1:6">
      <c r="A17" s="10">
        <v>0.41666666666666702</v>
      </c>
      <c r="C17" t="s">
        <v>96</v>
      </c>
      <c r="D17" t="s">
        <v>99</v>
      </c>
      <c r="E17" t="s">
        <v>102</v>
      </c>
      <c r="F17" t="s">
        <v>106</v>
      </c>
    </row>
    <row r="18" spans="1:6">
      <c r="A18" s="10">
        <v>0.4375</v>
      </c>
      <c r="C18" t="s">
        <v>96</v>
      </c>
      <c r="D18" t="s">
        <v>99</v>
      </c>
      <c r="E18" t="s">
        <v>103</v>
      </c>
      <c r="F18" t="s">
        <v>106</v>
      </c>
    </row>
    <row r="19" spans="1:6">
      <c r="A19" s="10">
        <v>0.45833333333333398</v>
      </c>
      <c r="C19" t="s">
        <v>96</v>
      </c>
      <c r="D19" t="s">
        <v>99</v>
      </c>
      <c r="E19" t="s">
        <v>103</v>
      </c>
      <c r="F19" t="s">
        <v>106</v>
      </c>
    </row>
    <row r="20" spans="1:6">
      <c r="A20" s="10">
        <v>0.47916666666666702</v>
      </c>
      <c r="C20" t="s">
        <v>96</v>
      </c>
      <c r="D20" t="s">
        <v>99</v>
      </c>
      <c r="E20" t="s">
        <v>103</v>
      </c>
      <c r="F20" t="s">
        <v>106</v>
      </c>
    </row>
    <row r="21" spans="1:6">
      <c r="A21" s="10">
        <v>0.5</v>
      </c>
      <c r="C21" t="s">
        <v>96</v>
      </c>
      <c r="D21" t="s">
        <v>99</v>
      </c>
      <c r="E21" t="s">
        <v>103</v>
      </c>
      <c r="F21" t="s">
        <v>106</v>
      </c>
    </row>
    <row r="22" spans="1:6">
      <c r="A22" s="10">
        <v>0.52083333333333404</v>
      </c>
      <c r="C22" t="s">
        <v>96</v>
      </c>
    </row>
    <row r="23" spans="1:6">
      <c r="A23" s="10">
        <v>0.54166666666666696</v>
      </c>
      <c r="D23" t="s">
        <v>100</v>
      </c>
      <c r="E23" t="s">
        <v>103</v>
      </c>
      <c r="F23" t="s">
        <v>106</v>
      </c>
    </row>
    <row r="24" spans="1:6">
      <c r="A24" s="10">
        <v>0.5625</v>
      </c>
      <c r="D24" t="s">
        <v>100</v>
      </c>
      <c r="E24" t="s">
        <v>103</v>
      </c>
      <c r="F24" t="s">
        <v>106</v>
      </c>
    </row>
    <row r="25" spans="1:6">
      <c r="A25" s="10">
        <v>0.58333333333333404</v>
      </c>
      <c r="C25" t="s">
        <v>97</v>
      </c>
      <c r="D25" t="s">
        <v>100</v>
      </c>
      <c r="E25" t="s">
        <v>103</v>
      </c>
      <c r="F25" t="s">
        <v>106</v>
      </c>
    </row>
    <row r="26" spans="1:6">
      <c r="A26" s="10">
        <v>0.60416666666666696</v>
      </c>
      <c r="C26" t="s">
        <v>97</v>
      </c>
      <c r="D26" t="s">
        <v>100</v>
      </c>
      <c r="E26" t="s">
        <v>103</v>
      </c>
      <c r="F26" t="s">
        <v>106</v>
      </c>
    </row>
    <row r="27" spans="1:6">
      <c r="A27" s="10">
        <v>0.625000000000001</v>
      </c>
      <c r="C27" t="s">
        <v>97</v>
      </c>
      <c r="D27" t="s">
        <v>100</v>
      </c>
      <c r="E27" t="s">
        <v>103</v>
      </c>
      <c r="F27" t="s">
        <v>106</v>
      </c>
    </row>
    <row r="28" spans="1:6">
      <c r="A28" s="10">
        <v>0.64583333333333404</v>
      </c>
      <c r="C28" t="s">
        <v>105</v>
      </c>
      <c r="D28" t="s">
        <v>100</v>
      </c>
      <c r="E28" t="s">
        <v>103</v>
      </c>
      <c r="F28" t="s">
        <v>106</v>
      </c>
    </row>
    <row r="29" spans="1:6">
      <c r="A29" s="10">
        <v>0.66666666666666696</v>
      </c>
      <c r="C29" t="s">
        <v>98</v>
      </c>
      <c r="D29" t="s">
        <v>100</v>
      </c>
      <c r="E29" t="s">
        <v>103</v>
      </c>
      <c r="F29" t="s">
        <v>106</v>
      </c>
    </row>
    <row r="30" spans="1:6">
      <c r="A30" s="10">
        <v>0.687500000000001</v>
      </c>
      <c r="C30" t="s">
        <v>98</v>
      </c>
      <c r="D30" t="s">
        <v>100</v>
      </c>
      <c r="E30" t="s">
        <v>103</v>
      </c>
      <c r="F30" t="s">
        <v>106</v>
      </c>
    </row>
    <row r="31" spans="1:6">
      <c r="A31" s="10">
        <v>0.70833333333333404</v>
      </c>
      <c r="C31" t="s">
        <v>98</v>
      </c>
      <c r="D31" t="s">
        <v>100</v>
      </c>
      <c r="E31" t="s">
        <v>103</v>
      </c>
      <c r="F31" t="s">
        <v>106</v>
      </c>
    </row>
    <row r="32" spans="1:6">
      <c r="A32" s="10">
        <v>0.72916666666666696</v>
      </c>
    </row>
    <row r="33" spans="1:6">
      <c r="A33" s="10">
        <v>0.750000000000001</v>
      </c>
    </row>
    <row r="34" spans="1:6">
      <c r="A34" s="10">
        <v>0.77083333333333404</v>
      </c>
      <c r="C34" t="s">
        <v>98</v>
      </c>
      <c r="D34" t="s">
        <v>100</v>
      </c>
      <c r="E34" t="s">
        <v>103</v>
      </c>
      <c r="F34" t="s">
        <v>106</v>
      </c>
    </row>
    <row r="35" spans="1:6">
      <c r="A35" s="10">
        <v>0.79166666666666696</v>
      </c>
      <c r="C35" t="s">
        <v>98</v>
      </c>
      <c r="D35" t="s">
        <v>100</v>
      </c>
      <c r="E35" t="s">
        <v>103</v>
      </c>
      <c r="F35" t="s">
        <v>106</v>
      </c>
    </row>
    <row r="36" spans="1:6">
      <c r="A36" s="10">
        <v>0.812500000000001</v>
      </c>
      <c r="C36" t="s">
        <v>98</v>
      </c>
      <c r="D36" t="s">
        <v>100</v>
      </c>
      <c r="E36" t="s">
        <v>103</v>
      </c>
      <c r="F36" t="s">
        <v>106</v>
      </c>
    </row>
    <row r="37" spans="1:6">
      <c r="A37" s="10">
        <v>0.83333333333333404</v>
      </c>
      <c r="C37" t="s">
        <v>98</v>
      </c>
      <c r="D37" t="s">
        <v>101</v>
      </c>
      <c r="E37" t="s">
        <v>101</v>
      </c>
      <c r="F37" t="s">
        <v>106</v>
      </c>
    </row>
    <row r="38" spans="1:6">
      <c r="A38" s="10">
        <v>0.85416666666666696</v>
      </c>
      <c r="C38" t="s">
        <v>98</v>
      </c>
      <c r="D38" t="s">
        <v>101</v>
      </c>
      <c r="E38" t="s">
        <v>104</v>
      </c>
      <c r="F38" t="s">
        <v>106</v>
      </c>
    </row>
    <row r="39" spans="1:6">
      <c r="A39" s="10">
        <v>0.875000000000001</v>
      </c>
    </row>
    <row r="40" spans="1:6">
      <c r="A40" s="10">
        <v>0.89583333333333404</v>
      </c>
    </row>
    <row r="41" spans="1:6">
      <c r="A41" s="10">
        <v>0.91666666666666696</v>
      </c>
    </row>
    <row r="42" spans="1:6">
      <c r="A42" s="10">
        <v>0.937500000000001</v>
      </c>
    </row>
    <row r="43" spans="1:6">
      <c r="A43" s="10">
        <v>0.95833333333333404</v>
      </c>
    </row>
    <row r="44" spans="1:6">
      <c r="A44" s="10">
        <v>0.97916666666666696</v>
      </c>
    </row>
    <row r="45" spans="1:6">
      <c r="A45" s="10">
        <v>1</v>
      </c>
    </row>
    <row r="46" spans="1:6">
      <c r="A46" s="10">
        <v>1.0208333333333299</v>
      </c>
    </row>
    <row r="47" spans="1:6">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Anleitung</vt:lpstr>
      <vt:lpstr>Semesterplan</vt:lpstr>
      <vt:lpstr>COMMITTMENT</vt:lpstr>
      <vt:lpstr>kw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moritzlang03@gmx.de</cp:lastModifiedBy>
  <dcterms:created xsi:type="dcterms:W3CDTF">2020-04-19T13:33:28Z</dcterms:created>
  <dcterms:modified xsi:type="dcterms:W3CDTF">2022-01-07T08:01:13Z</dcterms:modified>
</cp:coreProperties>
</file>