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maximilianschiller/Library/CloudStorage/OneDrive-Persönlich/Dokumente/Uni/"/>
    </mc:Choice>
  </mc:AlternateContent>
  <xr:revisionPtr revIDLastSave="0" documentId="13_ncr:1_{40DCE50F-F2E8-B14C-8564-36E9EE37B526}" xr6:coauthVersionLast="47" xr6:coauthVersionMax="47" xr10:uidLastSave="{00000000-0000-0000-0000-000000000000}"/>
  <bookViews>
    <workbookView xWindow="0" yWindow="0" windowWidth="51200" windowHeight="28800" firstSheet="1"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9" i="7" l="1" a="1"/>
  <c r="K39" i="7" s="1"/>
  <c r="J39" i="7" a="1"/>
  <c r="J39" i="7" s="1"/>
  <c r="I39" i="7"/>
  <c r="K38" i="7" a="1"/>
  <c r="K38" i="7" s="1"/>
  <c r="J38" i="7" a="1"/>
  <c r="J38" i="7" s="1"/>
  <c r="I38" i="7"/>
  <c r="K23" i="7" a="1"/>
  <c r="K23" i="7" s="1"/>
  <c r="J23" i="7" a="1"/>
  <c r="J23" i="7" s="1"/>
  <c r="J24" i="7" a="1"/>
  <c r="J24" i="7" s="1"/>
  <c r="K24" i="7" a="1"/>
  <c r="K24" i="7" s="1"/>
  <c r="C11" i="10"/>
  <c r="C7" i="10"/>
  <c r="K27" i="7" a="1"/>
  <c r="K27" i="7" s="1"/>
  <c r="J27" i="7" a="1"/>
  <c r="J27" i="7" s="1"/>
  <c r="K33" i="7" a="1"/>
  <c r="K33" i="7" s="1"/>
  <c r="J33" i="7" a="1"/>
  <c r="J33" i="7" s="1"/>
  <c r="I33" i="7"/>
  <c r="K60" i="7" a="1"/>
  <c r="K60" i="7" s="1"/>
  <c r="J60" i="7" a="1"/>
  <c r="J60" i="7" s="1"/>
  <c r="I60" i="7"/>
  <c r="K18" i="7" a="1"/>
  <c r="K18" i="7" s="1"/>
  <c r="I18" i="7"/>
  <c r="K17" i="7" a="1"/>
  <c r="K17" i="7" s="1"/>
  <c r="I17" i="7"/>
  <c r="K16" i="7" a="1"/>
  <c r="K16" i="7" s="1"/>
  <c r="I16" i="7"/>
  <c r="K15" i="7" a="1"/>
  <c r="K15" i="7" s="1"/>
  <c r="I15" i="7"/>
  <c r="CM5" i="7"/>
  <c r="G21" i="7"/>
  <c r="K12" i="7" a="1"/>
  <c r="K12" i="7" s="1"/>
  <c r="I12" i="7"/>
  <c r="K11" i="7" a="1"/>
  <c r="K11" i="7" s="1"/>
  <c r="I11" i="7"/>
  <c r="K13" i="7" a="1"/>
  <c r="K13" i="7" s="1"/>
  <c r="I13" i="7"/>
  <c r="K14" i="7" a="1"/>
  <c r="K14" i="7" s="1"/>
  <c r="I14" i="7"/>
  <c r="K58" i="7" a="1"/>
  <c r="K58" i="7" s="1"/>
  <c r="J58" i="7" a="1"/>
  <c r="J58" i="7" s="1"/>
  <c r="I58" i="7"/>
  <c r="K59" i="7" a="1"/>
  <c r="K59" i="7" s="1"/>
  <c r="J59" i="7" a="1"/>
  <c r="J59" i="7" s="1"/>
  <c r="I59" i="7"/>
  <c r="K41" i="7" a="1"/>
  <c r="K41" i="7" s="1"/>
  <c r="J41" i="7" a="1"/>
  <c r="J41" i="7" s="1"/>
  <c r="I41" i="7"/>
  <c r="K28" i="7" a="1"/>
  <c r="K28" i="7" s="1"/>
  <c r="J28" i="7" a="1"/>
  <c r="J28" i="7" s="1"/>
  <c r="K26" i="7" a="1"/>
  <c r="K26" i="7" s="1"/>
  <c r="J26" i="7" a="1"/>
  <c r="J26" i="7" s="1"/>
  <c r="K25" i="7" a="1"/>
  <c r="K25" i="7" s="1"/>
  <c r="J25" i="7" a="1"/>
  <c r="J25" i="7" s="1"/>
  <c r="CT5" i="7"/>
  <c r="BD5" i="7"/>
  <c r="CF5" i="7"/>
  <c r="BY5" i="7"/>
  <c r="BR5" i="7"/>
  <c r="K30" i="7" a="1"/>
  <c r="K30" i="7" s="1"/>
  <c r="J30" i="7" a="1"/>
  <c r="J30" i="7" s="1"/>
  <c r="I30" i="7"/>
  <c r="K29" i="7" a="1"/>
  <c r="K29" i="7" s="1"/>
  <c r="J29" i="7" a="1"/>
  <c r="J29" i="7" s="1"/>
  <c r="K61" i="7" a="1"/>
  <c r="K61" i="7" s="1"/>
  <c r="J61" i="7" a="1"/>
  <c r="J61" i="7" s="1"/>
  <c r="I61"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AP50" i="7"/>
  <c r="AI50" i="7"/>
  <c r="AB50" i="7"/>
  <c r="U50" i="7"/>
  <c r="N50" i="7"/>
  <c r="G50" i="7"/>
  <c r="BK5" i="7"/>
  <c r="C12" i="10"/>
  <c r="K34" i="7" a="1"/>
  <c r="K34" i="7" s="1"/>
  <c r="J34" i="7" a="1"/>
  <c r="J34" i="7" s="1"/>
  <c r="K32" i="7" a="1"/>
  <c r="K32" i="7" s="1"/>
  <c r="J32" i="7" a="1"/>
  <c r="J32" i="7" s="1"/>
  <c r="K31" i="7" a="1"/>
  <c r="K31" i="7" s="1"/>
  <c r="J31" i="7" a="1"/>
  <c r="J31" i="7" s="1"/>
  <c r="K22" i="7" a="1"/>
  <c r="K22" i="7" s="1"/>
  <c r="J22" i="7" a="1"/>
  <c r="J22" i="7" s="1"/>
  <c r="K48" i="7" a="1"/>
  <c r="K48" i="7" s="1"/>
  <c r="J48" i="7" a="1"/>
  <c r="J48" i="7" s="1"/>
  <c r="K47" i="7" a="1"/>
  <c r="K47" i="7" s="1"/>
  <c r="J47" i="7" a="1"/>
  <c r="J47" i="7" s="1"/>
  <c r="K46" i="7" a="1"/>
  <c r="K46" i="7" s="1"/>
  <c r="J46" i="7" a="1"/>
  <c r="J46" i="7" s="1"/>
  <c r="K45" i="7" a="1"/>
  <c r="K45" i="7" s="1"/>
  <c r="J45" i="7" a="1"/>
  <c r="J45" i="7" s="1"/>
  <c r="K44" i="7" a="1"/>
  <c r="K44" i="7" s="1"/>
  <c r="J44" i="7" a="1"/>
  <c r="J44" i="7" s="1"/>
  <c r="K43" i="7" a="1"/>
  <c r="K43" i="7" s="1"/>
  <c r="J43" i="7" a="1"/>
  <c r="J43" i="7" s="1"/>
  <c r="K42" i="7" a="1"/>
  <c r="K42" i="7" s="1"/>
  <c r="J42" i="7" a="1"/>
  <c r="J42" i="7" s="1"/>
  <c r="K40" i="7" a="1"/>
  <c r="K40" i="7" s="1"/>
  <c r="J40" i="7" a="1"/>
  <c r="J40" i="7" s="1"/>
  <c r="K37" i="7" a="1"/>
  <c r="K37" i="7" s="1"/>
  <c r="J37" i="7" a="1"/>
  <c r="J37" i="7" s="1"/>
  <c r="K19" i="7" a="1"/>
  <c r="K19" i="7" s="1"/>
  <c r="K10" i="7" a="1"/>
  <c r="K10" i="7" s="1"/>
  <c r="U21" i="7"/>
  <c r="AW5" i="7"/>
  <c r="AP5" i="7"/>
  <c r="AI5" i="7"/>
  <c r="AB5" i="7"/>
  <c r="U5" i="7"/>
  <c r="G5" i="7"/>
  <c r="AP36" i="7"/>
  <c r="AI36" i="7"/>
  <c r="AB36" i="7"/>
  <c r="U36" i="7"/>
  <c r="I48" i="7"/>
  <c r="I47" i="7"/>
  <c r="I46" i="7"/>
  <c r="I45" i="7"/>
  <c r="I44" i="7"/>
  <c r="I43" i="7"/>
  <c r="I42" i="7"/>
  <c r="I40" i="7"/>
  <c r="I37" i="7"/>
  <c r="I34" i="7"/>
  <c r="I32" i="7"/>
  <c r="I31" i="7"/>
  <c r="I9" i="7"/>
  <c r="I10" i="7"/>
  <c r="I19" i="7"/>
  <c r="N36" i="7"/>
  <c r="G36" i="7"/>
  <c r="I50" i="7" l="1"/>
  <c r="J50" i="7"/>
  <c r="K50" i="7"/>
  <c r="I36" i="7"/>
  <c r="J36" i="7"/>
  <c r="K36" i="7"/>
  <c r="J21" i="7"/>
  <c r="K2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<sst xmlns="http://schemas.openxmlformats.org/spreadsheetml/2006/main" count="342" uniqueCount="154">
  <si>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</si>
  <si>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</si>
  <si>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</si>
  <si>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</si>
  <si>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</si>
  <si>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</si>
  <si>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</si>
  <si>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</si>
  <si>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</si>
  <si>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</si>
  <si>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</si>
  <si>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</si>
  <si>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</si>
  <si>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</si>
  <si>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</si>
  <si>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</si>
  <si>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</si>
  <si>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</si>
  <si>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</si>
  <si>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</si>
  <si>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</si>
  <si>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</si>
  <si>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</si>
  <si>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</si>
  <si>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</si>
  <si>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</si>
  <si>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</si>
  <si>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</si>
  <si>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</si>
  <si>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</si>
  <si>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</si>
  <si>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</si>
  <si>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</si>
  <si>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</si>
  <si>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</si>
  <si>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</si>
  <si>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</si>
  <si>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</si>
  <si>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Übersicht</t>
  </si>
  <si>
    <t>KW 19</t>
  </si>
  <si>
    <t>KW 20</t>
  </si>
  <si>
    <t>KW 21</t>
  </si>
  <si>
    <t>KW 22</t>
  </si>
  <si>
    <t>KW 23</t>
  </si>
  <si>
    <t>KW 24</t>
  </si>
  <si>
    <t>KW 25</t>
  </si>
  <si>
    <t>KW 26</t>
  </si>
  <si>
    <t>KW 27</t>
  </si>
  <si>
    <t>KW 28</t>
  </si>
  <si>
    <t>KW 29</t>
  </si>
  <si>
    <t>KW 30</t>
  </si>
  <si>
    <t>Typ</t>
  </si>
  <si>
    <t>Fach</t>
  </si>
  <si>
    <t>ECTS</t>
  </si>
  <si>
    <t>Fachgebiet</t>
  </si>
  <si>
    <t>Stunden</t>
  </si>
  <si>
    <t>Skript Niveau</t>
  </si>
  <si>
    <t>Rechnen Niveau</t>
  </si>
  <si>
    <t>Bemerkungen</t>
  </si>
  <si>
    <t>Ziel</t>
  </si>
  <si>
    <t>Thema</t>
  </si>
  <si>
    <t>5) Ökonomische Klassik</t>
  </si>
  <si>
    <t xml:space="preserve">6) Neoklassik </t>
  </si>
  <si>
    <t>9) BRD seit 1950</t>
  </si>
  <si>
    <t>12) Woher kommt dauerhaften BIP-Wachstum?</t>
  </si>
  <si>
    <t>1) Matrizen</t>
  </si>
  <si>
    <t>2) LGS</t>
  </si>
  <si>
    <t>1) Beschr. Univariater Datensätze</t>
  </si>
  <si>
    <t>3) Zufallsvariablen und Verteilungen</t>
  </si>
  <si>
    <t>4) Verteilungsmodelle</t>
  </si>
  <si>
    <t>5) Bivariate Zufallsvariablen</t>
  </si>
  <si>
    <t>6) Mittelung bei Zufalsstichproben</t>
  </si>
  <si>
    <t>7) Parameterschätzung</t>
  </si>
  <si>
    <t>8) Konfindenzintervalle</t>
  </si>
  <si>
    <t>9) Statistische Tests</t>
  </si>
  <si>
    <t>10) Tests bei (un) verbundenen Stichproben</t>
  </si>
  <si>
    <t>11) Das lineare Regressionsmodell</t>
  </si>
  <si>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</si>
  <si>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</si>
  <si>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</si>
  <si>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</si>
  <si>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</si>
  <si>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</si>
  <si>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</si>
  <si>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</si>
  <si>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</si>
  <si>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</si>
  <si>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</si>
  <si>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</si>
  <si>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</si>
  <si>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</si>
  <si>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</si>
  <si>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</si>
  <si>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</si>
  <si>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</si>
  <si>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</si>
  <si>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</si>
  <si>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</si>
  <si>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</si>
  <si>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</si>
  <si>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</si>
  <si>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</si>
  <si>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</si>
  <si>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</si>
  <si>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</si>
  <si>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</si>
  <si>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</si>
  <si>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</si>
  <si>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</si>
  <si>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</si>
  <si>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</si>
  <si>
    <t>1) Einführung VWL + Wissenschaftstheorie</t>
  </si>
  <si>
    <t>2) Zollpolitik Trump und internationaler Handel</t>
  </si>
  <si>
    <t>3) Histor. Wirtschaftsformen + ökonomisches Denken</t>
  </si>
  <si>
    <t>4) Frühe Neuzeit + Industrielle Revolution</t>
  </si>
  <si>
    <t>7) Wirtschaftsgeschichte Zwischenkriegszeit + Entstehung Makroökonomik</t>
  </si>
  <si>
    <t>8) Geld- &amp; Güterkreislauf, Vw.Gesamtrechnung + BIP</t>
  </si>
  <si>
    <t>10) Keynes + Keynesianische Makrotheorie</t>
  </si>
  <si>
    <t>11) Geld,Kredit und Geldpolitik der Zentralbank</t>
  </si>
  <si>
    <t>13) Wirtschaftskrisen</t>
  </si>
  <si>
    <t>14) Wachstum vs. Postwachstum</t>
  </si>
  <si>
    <t>OACC</t>
  </si>
  <si>
    <t>OVWL</t>
  </si>
  <si>
    <t>OMAT</t>
  </si>
  <si>
    <t>OSTA</t>
  </si>
  <si>
    <t>Klausur</t>
  </si>
  <si>
    <t>Anteil</t>
  </si>
  <si>
    <t>1) Einführung</t>
  </si>
  <si>
    <t>2) Inventur, Inventar, Bilanz, doppelte Buchführung, Buchungsregeln</t>
  </si>
  <si>
    <t>3) Ausg. Buchungsfälle einz. Verm.- &amp; Schuldposten, EK und Jahresüberschuss</t>
  </si>
  <si>
    <t>4) Realisationsprinzip</t>
  </si>
  <si>
    <t>5) Umsatzstreuer - Vorsteuer</t>
  </si>
  <si>
    <t>6) Wareneinkauf</t>
  </si>
  <si>
    <t>7) Warenverkauf</t>
  </si>
  <si>
    <t>8) Anschaffungskosten</t>
  </si>
  <si>
    <t>9) Herstellungskosten</t>
  </si>
  <si>
    <t>10) Plannmäßige Abschreibung</t>
  </si>
  <si>
    <t>11) Außerplannmäßige Abschreibung</t>
  </si>
  <si>
    <t>12) Geschäfts - und Firmenwert, Rechnungsabgrenzungsposten</t>
  </si>
  <si>
    <t>13) Rückstellungen, Verbindlichkeiten</t>
  </si>
  <si>
    <t>3) Lineare Algebra</t>
  </si>
  <si>
    <t>4)Rang einer Matrix, Lösbarkeit LGS</t>
  </si>
  <si>
    <t>5) Vektoren</t>
  </si>
  <si>
    <t>6) Determinaten</t>
  </si>
  <si>
    <t>7) Inversen</t>
  </si>
  <si>
    <t>8) Folgen und Reihen</t>
  </si>
  <si>
    <t>9) Eigenschaft. und Ableitung von Funkt.</t>
  </si>
  <si>
    <t>10) Approximation</t>
  </si>
  <si>
    <t>11) Univariate-,  Bivariate- &amp; Multivariate Fkt.</t>
  </si>
  <si>
    <t>12) Optimierung (mit einer Nebenbedingung)</t>
  </si>
  <si>
    <t>2) Beschr. Bivariater Datensätze</t>
  </si>
  <si>
    <t>Semester-Lernplan</t>
  </si>
  <si>
    <t>MAXIMILIAN SCHILLER</t>
  </si>
  <si>
    <t>!!! KLAUSUREN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</si>
</sst>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Calibri"/>
      <family val="2"/>
      <scheme val="minor"/>
    </font>
    <font>
      <b/>
      <sz val="12"/>
      <color theme="1"/>
      <name val="Calibri"/>
      <family val="2"/>
      <scheme val="minor"/>
    </font>
    <font>
      <b/>
      <i/>
      <u/>
      <sz val="16"/>
      <color theme="1"/>
      <name val="Calibri"/>
      <family val="2"/>
      <scheme val="minor"/>
    </font>
    <font>
      <b/>
      <sz val="20"/>
      <color theme="1"/>
      <name val="Calibri (Body)"/>
    </font>
    <font>
      <b/>
      <sz val="26"/>
      <color theme="1"/>
      <name val="Montserrat"/>
    </font>
    <font>
      <sz val="12"/>
      <color theme="1"/>
      <name val="Montserrat"/>
    </font>
    <font>
      <sz val="12"/>
      <color rgb="FF000000"/>
      <name val="Montserrat"/>
    </font>
    <font>
      <sz val="12"/>
      <color theme="1"/>
      <name val="Montserrat SemiBold"/>
    </font>
    <font>
      <sz val="12"/>
      <color rgb="FF002060"/>
      <name val="Montserrat Medium"/>
    </font>
    <font>
      <sz val="12"/>
      <color theme="5" tint="-0.249977111117893"/>
      <name val="Montserrat Medium"/>
    </font>
    <font>
      <sz val="12"/>
      <color rgb="FFC00000"/>
      <name val="Montserrat Medium"/>
    </font>
    <font>
      <sz val="12"/>
      <color rgb="FF7030A0"/>
      <name val="Montserrat Medium"/>
    </font>
    <font>
      <sz val="14"/>
      <color theme="1"/>
      <name val="Montserrat SemiBold"/>
    </font>
  </fonts>
  <fills count="11">
    <fill>
      <patternFill patternType="none"/>
    </fill>
    <fill>
      <patternFill patternType="gray125"/>
    </fill>
    <fill>
      <patternFill patternType="solid">
        <fgColor rgb="FFE0E0E0"/>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AFD0E0"/>
        <bgColor indexed="64"/>
      </patternFill>
    </fill>
    <fill>
      <patternFill patternType="solid">
        <fgColor rgb="FFFFF6AE"/>
        <bgColor indexed="64"/>
      </patternFill>
    </fill>
    <fill>
      <patternFill patternType="solid">
        <fgColor rgb="FFFFAEAA"/>
        <bgColor indexed="64"/>
      </patternFill>
    </fill>
    <fill>
      <patternFill patternType="solid">
        <fgColor rgb="FFDCB2FF"/>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6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20" fontId="0" fillId="0" borderId="0" xfId="0" applyNumberFormat="1"/>
    <xf numFmtId="0" fontId="0" fillId="0" borderId="0" xfId="0" applyAlignment="1">
      <alignment horizontal="center"/>
    </xf>
    <xf numFmtId="9"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0" fontId="0" fillId="3" borderId="0" xfId="0" applyFill="1"/>
    <xf numFmtId="0" fontId="0" fillId="4" borderId="0" xfId="0" applyFill="1"/>
    <xf numFmtId="0" fontId="0" fillId="5" borderId="0" xfId="0" applyFill="1"/>
    <xf numFmtId="0" fontId="1" fillId="0" borderId="0" xfId="0" applyFont="1" applyAlignment="1">
      <alignment horizontal="center"/>
    </xf>
    <xf numFmtId="0" fontId="4" fillId="0" borderId="0" xfId="0" applyFont="1"/>
    <xf numFmtId="0" fontId="5" fillId="0" borderId="0" xfId="0" applyFont="1"/>
    <xf numFmtId="0" fontId="5" fillId="0" borderId="0" xfId="0" applyFont="1" applyAlignment="1">
      <alignment horizontal="center"/>
    </xf>
    <xf numFmtId="9" fontId="5" fillId="0" borderId="0" xfId="0" applyNumberFormat="1" applyFont="1"/>
    <xf numFmtId="9" fontId="5" fillId="0" borderId="0" xfId="0" applyNumberFormat="1" applyFont="1" applyAlignment="1">
      <alignment horizontal="center"/>
    </xf>
    <xf numFmtId="0" fontId="6" fillId="0" borderId="0" xfId="0" applyFont="1"/>
    <xf numFmtId="0" fontId="8" fillId="6" borderId="0" xfId="0" applyFont="1" applyFill="1"/>
    <xf numFmtId="14" fontId="8" fillId="6" borderId="0" xfId="0" applyNumberFormat="1" applyFont="1" applyFill="1"/>
    <xf numFmtId="0" fontId="8" fillId="6" borderId="0" xfId="0" applyFont="1" applyFill="1" applyAlignment="1">
      <alignment horizontal="center"/>
    </xf>
    <xf numFmtId="9" fontId="8" fillId="6" borderId="0" xfId="0" applyNumberFormat="1" applyFont="1" applyFill="1"/>
    <xf numFmtId="0" fontId="9" fillId="7" borderId="0" xfId="0" applyFont="1" applyFill="1"/>
    <xf numFmtId="14" fontId="9" fillId="7" borderId="0" xfId="0" applyNumberFormat="1" applyFont="1" applyFill="1"/>
    <xf numFmtId="0" fontId="9" fillId="7" borderId="0" xfId="0" applyFont="1" applyFill="1" applyAlignment="1">
      <alignment horizontal="center"/>
    </xf>
    <xf numFmtId="9" fontId="9" fillId="7" borderId="0" xfId="0" applyNumberFormat="1" applyFont="1" applyFill="1"/>
    <xf numFmtId="0" fontId="10" fillId="8" borderId="0" xfId="0" applyFont="1" applyFill="1"/>
    <xf numFmtId="14" fontId="10" fillId="8" borderId="0" xfId="0" applyNumberFormat="1" applyFont="1" applyFill="1"/>
    <xf numFmtId="0" fontId="10" fillId="8" borderId="0" xfId="0" applyFont="1" applyFill="1" applyAlignment="1">
      <alignment horizontal="center"/>
    </xf>
    <xf numFmtId="9" fontId="10" fillId="8" borderId="0" xfId="0" applyNumberFormat="1" applyFont="1" applyFill="1"/>
    <xf numFmtId="0" fontId="11" fillId="9" borderId="0" xfId="0" applyFont="1" applyFill="1"/>
    <xf numFmtId="14" fontId="11" fillId="9" borderId="0" xfId="0" applyNumberFormat="1" applyFont="1" applyFill="1"/>
    <xf numFmtId="0" fontId="11" fillId="9" borderId="0" xfId="0" applyFont="1" applyFill="1" applyAlignment="1">
      <alignment horizontal="center"/>
    </xf>
    <xf numFmtId="9" fontId="11" fillId="9" borderId="0" xfId="0" applyNumberFormat="1" applyFont="1" applyFill="1"/>
    <xf numFmtId="1" fontId="8" fillId="6" borderId="0" xfId="0" applyNumberFormat="1" applyFont="1" applyFill="1" applyAlignment="1">
      <alignment horizontal="center"/>
    </xf>
    <xf numFmtId="9" fontId="8" fillId="6" borderId="0" xfId="0" applyNumberFormat="1" applyFont="1" applyFill="1" applyAlignment="1">
      <alignment horizontal="center"/>
    </xf>
    <xf numFmtId="1" fontId="9" fillId="7" borderId="0" xfId="0" applyNumberFormat="1" applyFont="1" applyFill="1" applyAlignment="1">
      <alignment horizontal="center"/>
    </xf>
    <xf numFmtId="9" fontId="9" fillId="7" borderId="0" xfId="0" applyNumberFormat="1" applyFont="1" applyFill="1" applyAlignment="1">
      <alignment horizontal="center"/>
    </xf>
    <xf numFmtId="1" fontId="10" fillId="8" borderId="0" xfId="0" applyNumberFormat="1" applyFont="1" applyFill="1" applyAlignment="1">
      <alignment horizontal="center"/>
    </xf>
    <xf numFmtId="9" fontId="10" fillId="8" borderId="0" xfId="0" applyNumberFormat="1" applyFont="1" applyFill="1" applyAlignment="1">
      <alignment horizontal="center"/>
    </xf>
    <xf numFmtId="1" fontId="11" fillId="9" borderId="0" xfId="0" applyNumberFormat="1" applyFont="1" applyFill="1" applyAlignment="1">
      <alignment horizontal="center"/>
    </xf>
    <xf numFmtId="9" fontId="11" fillId="9" borderId="0" xfId="0" applyNumberFormat="1" applyFont="1" applyFill="1" applyAlignment="1">
      <alignment horizontal="center"/>
    </xf>
    <xf numFmtId="0" fontId="9" fillId="0" borderId="0" xfId="0" applyFont="1"/>
    <xf numFmtId="0" fontId="10" fillId="0" borderId="0" xfId="0" applyFont="1"/>
    <xf numFmtId="0" fontId="11" fillId="0" borderId="0" xfId="0" applyFont="1"/>
    <xf numFmtId="0" fontId="7" fillId="2" borderId="0" xfId="0" applyFont="1" applyFill="1" applyAlignment="1">
      <alignment vertical="center"/>
    </xf>
    <xf numFmtId="0" fontId="7" fillId="2" borderId="0" xfId="0" applyFont="1" applyFill="1" applyAlignment="1">
      <alignment horizontal="center" vertical="center"/>
    </xf>
    <xf numFmtId="0" fontId="7" fillId="0" borderId="0" xfId="0" applyFont="1" applyAlignment="1">
      <alignment vertical="center"/>
    </xf>
    <xf numFmtId="0" fontId="7" fillId="2" borderId="0" xfId="0" applyFont="1" applyFill="1" applyAlignment="1">
      <alignment horizontal="right" vertical="center"/>
    </xf>
    <xf numFmtId="0" fontId="4" fillId="0" borderId="0" xfId="0" applyFont="1" applyAlignment="1">
      <alignment vertical="top"/>
    </xf>
    <xf numFmtId="0" fontId="12" fillId="0" borderId="0" xfId="0" applyFont="1"/>
    <xf numFmtId="0" fontId="7" fillId="2" borderId="0" xfId="0" applyFont="1" applyFill="1" applyAlignment="1">
      <alignment horizontal="center" vertical="center"/>
    </xf>
    <xf numFmtId="0" fontId="7" fillId="8" borderId="0" xfId="0" applyFont="1" applyFill="1" applyAlignment="1">
      <alignment horizontal="center" vertical="center"/>
    </xf>
    <xf numFmtId="0" fontId="7" fillId="8" borderId="0" xfId="0" applyFont="1" applyFill="1" applyAlignment="1">
      <alignment vertical="center"/>
    </xf>
    <xf numFmtId="0" fontId="5" fillId="10" borderId="0" xfId="0" applyFont="1" applyFill="1"/>
    <xf numFmtId="0" fontId="7" fillId="10" borderId="0" xfId="0" applyFont="1" applyFill="1" applyAlignment="1">
      <alignment vertical="center"/>
    </xf>
    <xf numFmtId="0" fontId="9" fillId="10" borderId="0" xfId="0" applyFont="1" applyFill="1"/>
    <xf numFmtId="0" fontId="10" fillId="10" borderId="0" xfId="0" applyFont="1" applyFill="1"/>
    <xf numFmtId="0" fontId="11" fillId="10" borderId="0" xfId="0" applyFont="1" applyFill="1"/>
  </cellXfs>
  <cellStyles count="1">
    <cellStyle name="Standard" xfId="0" builtinId="0"/>
  </cellStyles>
  <dxfs count="43">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AEAA"/>
      <color rgb="FFDCB2FF"/>
      <color rgb="FFFFF6AE"/>
      <color rgb="FFAFD0E0"/>
      <color rgb="FF00FF29"/>
      <color rgb="FF56FF5E"/>
      <color rgb="FFC4FF87"/>
      <color rgb="FFFFDE7F"/>
      <color rgb="FFFF755A"/>
      <color rgb="FFFDFF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2">
  <autoFilter ref="A1:K46" xr:uid="{6E266E34-2786-2747-BCE7-51B74867A564}"/>
  <tableColumns count="11">
    <tableColumn id="1" xr3:uid="{95FD92F7-3DC8-704D-A103-A7EDDAB255AB}" name="Datum" dataDxfId="41"/>
    <tableColumn id="2" xr3:uid="{F464D510-8166-E740-A343-FB84BDEF877F}" name="Lerneinheiten durchgezogen" dataDxfId="40"/>
    <tableColumn id="3" xr3:uid="{75F52B08-1A00-0848-BBE6-1EDF7B31B1AD}" name="Tagesplan erstellt" dataDxfId="39"/>
    <tableColumn id="4" xr3:uid="{E6B18D89-E799-AD48-9DAA-37AEE1D29011}" name="Konzentrationslevel" dataDxfId="3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E20" sqref="E20"/>
    </sheetView>
  </sheetViews>
  <sheetFormatPr baseColWidth="10" defaultColWidth="11" defaultRowHeight="16"/>
  <cols>
    <col min="1" max="1" width="11.83203125" customWidth="1"/>
    <col min="2" max="2" width="62.6640625" customWidth="1"/>
  </cols>
  <sheetData>
    <row r="2" spans="1:4">
      <c r="C2" s="12" t="s">
        <v>0</v>
      </c>
    </row>
    <row r="3" spans="1:4">
      <c r="C3" s="11" t="s">
        <v>1</v>
      </c>
    </row>
    <row r="4" spans="1:4">
      <c r="C4" s="10" t="s">
        <v>2</v>
      </c>
    </row>
    <row r="5" spans="1:4">
      <c r="A5" s="2" t="s">
        <v>3</v>
      </c>
      <c r="B5" s="2" t="s">
        <v>4</v>
      </c>
      <c r="C5" s="2" t="s">
        <v>5</v>
      </c>
      <c r="D5" s="2" t="s">
        <v>6</v>
      </c>
    </row>
    <row r="6" spans="1:4">
      <c r="A6" t="s">
        <v>7</v>
      </c>
      <c r="B6" s="12" t="s">
        <v>8</v>
      </c>
      <c r="D6" t="s">
        <v>9</v>
      </c>
    </row>
    <row r="7" spans="1:4">
      <c r="A7" t="s">
        <v>10</v>
      </c>
      <c r="B7" t="s">
        <v>11</v>
      </c>
      <c r="C7" s="10">
        <f>14+12+10+11</f>
        <v>47</v>
      </c>
    </row>
    <row r="8" spans="1:4">
      <c r="A8" t="s">
        <v>12</v>
      </c>
      <c r="B8" s="12" t="s">
        <v>13</v>
      </c>
      <c r="D8" t="s">
        <v>14</v>
      </c>
    </row>
    <row r="9" spans="1:4">
      <c r="A9" t="s">
        <v>15</v>
      </c>
      <c r="B9" s="12" t="s">
        <v>16</v>
      </c>
      <c r="D9" t="s">
        <v>17</v>
      </c>
    </row>
    <row r="10" spans="1:4">
      <c r="A10" t="s">
        <v>18</v>
      </c>
      <c r="B10" t="s">
        <v>19</v>
      </c>
      <c r="C10" s="10">
        <v>10</v>
      </c>
      <c r="D10" t="s">
        <v>20</v>
      </c>
    </row>
    <row r="11" spans="1:4">
      <c r="A11" t="s">
        <v>21</v>
      </c>
      <c r="B11" t="s">
        <v>22</v>
      </c>
      <c r="C11" s="10">
        <f>47*3</f>
        <v>141</v>
      </c>
      <c r="D11" t="s">
        <v>23</v>
      </c>
    </row>
    <row r="12" spans="1:4">
      <c r="A12" t="s">
        <v>24</v>
      </c>
      <c r="B12" t="s">
        <v>25</v>
      </c>
      <c r="C12" s="11">
        <f>C11/C10</f>
        <v>14.1</v>
      </c>
    </row>
    <row r="13" spans="1:4">
      <c r="A13" t="s">
        <v>26</v>
      </c>
      <c r="B13" t="s">
        <v>27</v>
      </c>
      <c r="D13" t="s">
        <v>28</v>
      </c>
    </row>
    <row r="14" spans="1:4">
      <c r="A14" t="s">
        <v>29</v>
      </c>
      <c r="B14" t="s">
        <v>30</v>
      </c>
      <c r="D14" t="s">
        <v>31</v>
      </c>
    </row>
    <row r="15" spans="1:4">
      <c r="A15" t="s">
        <v>32</v>
      </c>
      <c r="B15" s="12" t="s">
        <v>33</v>
      </c>
    </row>
    <row r="16" spans="1:4">
      <c r="A16" t="s">
        <v>34</v>
      </c>
      <c r="B16" s="12" t="s">
        <v>35</v>
      </c>
    </row>
    <row r="17" spans="1:2">
      <c r="A17" t="s">
        <v>36</v>
      </c>
      <c r="B17" t="s">
        <v>37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CZ62"/>
  <sheetViews>
    <sheetView showGridLines="0" tabSelected="1" zoomScale="114" zoomScaleNormal="114" workbookViewId="0">
      <pane xSplit="12" topLeftCell="M1" activePane="topRight" state="frozen"/>
      <selection pane="topRight" activeCell="S62" sqref="S62"/>
    </sheetView>
  </sheetViews>
  <sheetFormatPr baseColWidth="10" defaultColWidth="8.83203125" defaultRowHeight="16" outlineLevelRow="1"/>
  <cols>
    <col min="1" max="1" width="8.83203125" style="15"/>
    <col min="2" max="2" width="10.83203125" style="15" customWidth="1"/>
    <col min="3" max="3" width="7.6640625" style="15" customWidth="1"/>
    <col min="4" max="4" width="11.5" style="15" customWidth="1"/>
    <col min="5" max="5" width="6.5" style="15" bestFit="1" customWidth="1"/>
    <col min="6" max="6" width="40.33203125" style="15" customWidth="1"/>
    <col min="7" max="7" width="12.6640625" style="15" customWidth="1"/>
    <col min="8" max="8" width="2.5" style="15" customWidth="1"/>
    <col min="9" max="9" width="9.83203125" style="15" bestFit="1" customWidth="1"/>
    <col min="10" max="10" width="14.83203125" style="15" bestFit="1" customWidth="1"/>
    <col min="11" max="11" width="18.6640625" style="15" customWidth="1"/>
    <col min="12" max="12" width="17" style="15" customWidth="1"/>
    <col min="13" max="13" width="2.5" style="15" customWidth="1"/>
    <col min="14" max="14" width="9.83203125" style="15" bestFit="1" customWidth="1"/>
    <col min="15" max="15" width="14.83203125" style="15" bestFit="1" customWidth="1"/>
    <col min="16" max="16" width="5.33203125" style="15" bestFit="1" customWidth="1"/>
    <col min="17" max="17" width="18" style="15" bestFit="1" customWidth="1"/>
    <col min="18" max="18" width="5.33203125" style="15" bestFit="1" customWidth="1"/>
    <col min="19" max="19" width="15.83203125" style="15" bestFit="1" customWidth="1"/>
    <col min="20" max="20" width="2.5" style="15" customWidth="1"/>
    <col min="21" max="21" width="9.83203125" style="15" bestFit="1" customWidth="1"/>
    <col min="22" max="22" width="14.83203125" style="15" bestFit="1" customWidth="1"/>
    <col min="23" max="23" width="5.33203125" style="15" bestFit="1" customWidth="1"/>
    <col min="24" max="24" width="18" style="15" bestFit="1" customWidth="1"/>
    <col min="25" max="25" width="5.33203125" style="15" bestFit="1" customWidth="1"/>
    <col min="26" max="26" width="15.83203125" style="15" bestFit="1" customWidth="1"/>
    <col min="27" max="27" width="2.5" style="15" customWidth="1"/>
    <col min="28" max="28" width="9.83203125" style="15" bestFit="1" customWidth="1"/>
    <col min="29" max="29" width="14.83203125" style="15" bestFit="1" customWidth="1"/>
    <col min="30" max="30" width="5.5" style="15" bestFit="1" customWidth="1"/>
    <col min="31" max="31" width="18" style="15" bestFit="1" customWidth="1"/>
    <col min="32" max="32" width="5.5" style="15" bestFit="1" customWidth="1"/>
    <col min="33" max="33" width="15.83203125" style="15" bestFit="1" customWidth="1"/>
    <col min="34" max="34" width="2.5" style="15" customWidth="1"/>
    <col min="35" max="35" width="9.83203125" style="15" bestFit="1" customWidth="1"/>
    <col min="36" max="36" width="14.83203125" style="15" bestFit="1" customWidth="1"/>
    <col min="37" max="37" width="5.5" style="15" bestFit="1" customWidth="1"/>
    <col min="38" max="38" width="18" style="15" bestFit="1" customWidth="1"/>
    <col min="39" max="39" width="5.5" style="15" bestFit="1" customWidth="1"/>
    <col min="40" max="40" width="15.83203125" style="15" bestFit="1" customWidth="1"/>
    <col min="41" max="41" width="2.5" style="15" customWidth="1"/>
    <col min="42" max="42" width="9.83203125" style="15" bestFit="1" customWidth="1"/>
    <col min="43" max="43" width="14.83203125" style="15" bestFit="1" customWidth="1"/>
    <col min="44" max="44" width="6.1640625" style="15" bestFit="1" customWidth="1"/>
    <col min="45" max="45" width="18" style="15" bestFit="1" customWidth="1"/>
    <col min="46" max="46" width="6.1640625" style="15" bestFit="1" customWidth="1"/>
    <col min="47" max="47" width="15.83203125" style="15" bestFit="1" customWidth="1"/>
    <col min="48" max="48" width="2.5" style="15" customWidth="1"/>
    <col min="49" max="49" width="9.83203125" style="15" bestFit="1" customWidth="1"/>
    <col min="50" max="50" width="14.83203125" style="15" bestFit="1" customWidth="1"/>
    <col min="51" max="51" width="6.1640625" style="15" bestFit="1" customWidth="1"/>
    <col min="52" max="52" width="18" style="15" bestFit="1" customWidth="1"/>
    <col min="53" max="53" width="6.1640625" style="15" bestFit="1" customWidth="1"/>
    <col min="54" max="54" width="15.83203125" style="15" bestFit="1" customWidth="1"/>
    <col min="55" max="55" width="2.5" style="15" customWidth="1"/>
    <col min="56" max="56" width="9.83203125" style="15" bestFit="1" customWidth="1"/>
    <col min="57" max="57" width="14.83203125" style="15" bestFit="1" customWidth="1"/>
    <col min="58" max="58" width="6.1640625" style="15" bestFit="1" customWidth="1"/>
    <col min="59" max="59" width="18" style="15" bestFit="1" customWidth="1"/>
    <col min="60" max="60" width="6.1640625" style="15" bestFit="1" customWidth="1"/>
    <col min="61" max="61" width="15.83203125" style="15" bestFit="1" customWidth="1"/>
    <col min="62" max="62" width="2.5" style="15" customWidth="1"/>
    <col min="63" max="63" width="9.83203125" style="15" bestFit="1" customWidth="1"/>
    <col min="64" max="64" width="14.83203125" style="15" bestFit="1" customWidth="1"/>
    <col min="65" max="65" width="6.1640625" style="15" bestFit="1" customWidth="1"/>
    <col min="66" max="66" width="18" style="15" bestFit="1" customWidth="1"/>
    <col min="67" max="67" width="6.1640625" style="15" bestFit="1" customWidth="1"/>
    <col min="68" max="68" width="15.83203125" style="15" bestFit="1" customWidth="1"/>
    <col min="69" max="69" width="2.5" style="15" customWidth="1"/>
    <col min="70" max="70" width="9.83203125" style="15" bestFit="1" customWidth="1"/>
    <col min="71" max="71" width="14.83203125" style="15" bestFit="1" customWidth="1"/>
    <col min="72" max="72" width="6.1640625" style="15" bestFit="1" customWidth="1"/>
    <col min="73" max="73" width="18" style="15" bestFit="1" customWidth="1"/>
    <col min="74" max="74" width="6.1640625" style="15" bestFit="1" customWidth="1"/>
    <col min="75" max="75" width="15.83203125" style="15" bestFit="1" customWidth="1"/>
    <col min="76" max="76" width="2.5" style="15" customWidth="1"/>
    <col min="77" max="77" width="9.83203125" style="15" bestFit="1" customWidth="1"/>
    <col min="78" max="78" width="14.83203125" style="15" bestFit="1" customWidth="1"/>
    <col min="79" max="79" width="6.1640625" style="15" bestFit="1" customWidth="1"/>
    <col min="80" max="80" width="18" style="15" bestFit="1" customWidth="1"/>
    <col min="81" max="81" width="6.1640625" style="15" bestFit="1" customWidth="1"/>
    <col min="82" max="82" width="15.83203125" style="15" bestFit="1" customWidth="1"/>
    <col min="83" max="83" width="2.5" style="15" customWidth="1"/>
    <col min="84" max="84" width="9.83203125" style="15" bestFit="1" customWidth="1"/>
    <col min="85" max="85" width="14.83203125" style="15" bestFit="1" customWidth="1"/>
    <col min="86" max="86" width="4.83203125" style="15" bestFit="1" customWidth="1"/>
    <col min="87" max="87" width="18" style="15" bestFit="1" customWidth="1"/>
    <col min="88" max="88" width="4.83203125" style="15" bestFit="1" customWidth="1"/>
    <col min="89" max="89" width="15.83203125" style="15" bestFit="1" customWidth="1"/>
    <col min="90" max="90" width="2.5" style="15" customWidth="1"/>
    <col min="91" max="91" width="9.83203125" style="15" bestFit="1" customWidth="1"/>
    <col min="92" max="92" width="14.83203125" style="15" bestFit="1" customWidth="1"/>
    <col min="93" max="93" width="4.83203125" style="15" bestFit="1" customWidth="1"/>
    <col min="94" max="94" width="18" style="15" bestFit="1" customWidth="1"/>
    <col min="95" max="95" width="4.83203125" style="15" bestFit="1" customWidth="1"/>
    <col min="96" max="96" width="16.5" style="15" customWidth="1"/>
    <col min="97" max="97" width="2.5" style="56" customWidth="1"/>
    <col min="98" max="98" width="9.83203125" style="15" bestFit="1" customWidth="1"/>
    <col min="99" max="99" width="14.83203125" style="15" bestFit="1" customWidth="1"/>
    <col min="100" max="100" width="4.83203125" style="15" bestFit="1" customWidth="1"/>
    <col min="101" max="101" width="18" style="15" bestFit="1" customWidth="1"/>
    <col min="102" max="102" width="4.83203125" style="15" bestFit="1" customWidth="1"/>
    <col min="103" max="103" width="15.83203125" style="15" bestFit="1" customWidth="1"/>
    <col min="104" max="105" width="2.5" style="15" customWidth="1"/>
    <col min="106" max="16384" width="8.83203125" style="15"/>
  </cols>
  <sheetData>
    <row r="1" spans="2:103" ht="22" customHeight="1">
      <c r="B1" s="52" t="s">
        <v>152</v>
      </c>
    </row>
    <row r="2" spans="2:103" ht="32" customHeight="1">
      <c r="B2" s="51" t="s">
        <v>151</v>
      </c>
      <c r="D2" s="14"/>
    </row>
    <row r="3" spans="2:103" s="49" customFormat="1" ht="24" customHeight="1">
      <c r="B3" s="53"/>
      <c r="C3" s="53"/>
      <c r="D3" s="53"/>
      <c r="E3" s="53"/>
      <c r="F3" s="53"/>
      <c r="G3" s="53"/>
      <c r="I3" s="53" t="s">
        <v>38</v>
      </c>
      <c r="J3" s="53"/>
      <c r="K3" s="53"/>
      <c r="L3" s="53"/>
      <c r="N3" s="53" t="s">
        <v>39</v>
      </c>
      <c r="O3" s="53"/>
      <c r="P3" s="53"/>
      <c r="Q3" s="53"/>
      <c r="R3" s="53"/>
      <c r="S3" s="53"/>
      <c r="U3" s="53" t="s">
        <v>40</v>
      </c>
      <c r="V3" s="53"/>
      <c r="W3" s="53"/>
      <c r="X3" s="53"/>
      <c r="Y3" s="53"/>
      <c r="Z3" s="53"/>
      <c r="AB3" s="53" t="s">
        <v>41</v>
      </c>
      <c r="AC3" s="53"/>
      <c r="AD3" s="53"/>
      <c r="AE3" s="53"/>
      <c r="AF3" s="53"/>
      <c r="AG3" s="53"/>
      <c r="AI3" s="53" t="s">
        <v>42</v>
      </c>
      <c r="AJ3" s="53"/>
      <c r="AK3" s="53"/>
      <c r="AL3" s="53"/>
      <c r="AM3" s="53"/>
      <c r="AN3" s="53"/>
      <c r="AP3" s="53" t="s">
        <v>43</v>
      </c>
      <c r="AQ3" s="53"/>
      <c r="AR3" s="53"/>
      <c r="AS3" s="53"/>
      <c r="AT3" s="53"/>
      <c r="AU3" s="53"/>
      <c r="AW3" s="53" t="s">
        <v>44</v>
      </c>
      <c r="AX3" s="53"/>
      <c r="AY3" s="53"/>
      <c r="AZ3" s="53"/>
      <c r="BA3" s="53"/>
      <c r="BB3" s="53"/>
      <c r="BD3" s="53" t="s">
        <v>45</v>
      </c>
      <c r="BE3" s="53"/>
      <c r="BF3" s="53"/>
      <c r="BG3" s="53"/>
      <c r="BH3" s="53"/>
      <c r="BI3" s="53"/>
      <c r="BK3" s="53" t="s">
        <v>46</v>
      </c>
      <c r="BL3" s="53"/>
      <c r="BM3" s="53"/>
      <c r="BN3" s="53"/>
      <c r="BO3" s="53"/>
      <c r="BP3" s="53"/>
      <c r="BR3" s="53" t="s">
        <v>47</v>
      </c>
      <c r="BS3" s="53"/>
      <c r="BT3" s="53"/>
      <c r="BU3" s="53"/>
      <c r="BV3" s="53"/>
      <c r="BW3" s="53"/>
      <c r="BY3" s="53" t="s">
        <v>48</v>
      </c>
      <c r="BZ3" s="53"/>
      <c r="CA3" s="53"/>
      <c r="CB3" s="53"/>
      <c r="CC3" s="53"/>
      <c r="CD3" s="53"/>
      <c r="CF3" s="53" t="s">
        <v>49</v>
      </c>
      <c r="CG3" s="53"/>
      <c r="CH3" s="53"/>
      <c r="CI3" s="53"/>
      <c r="CJ3" s="53"/>
      <c r="CK3" s="53"/>
      <c r="CM3" s="53" t="s">
        <v>50</v>
      </c>
      <c r="CN3" s="53"/>
      <c r="CO3" s="53"/>
      <c r="CP3" s="53"/>
      <c r="CQ3" s="53"/>
      <c r="CR3" s="53"/>
      <c r="CS3" s="57"/>
      <c r="CT3" s="54" t="s">
        <v>153</v>
      </c>
      <c r="CU3" s="54"/>
      <c r="CV3" s="54"/>
      <c r="CW3" s="54"/>
      <c r="CX3" s="54"/>
      <c r="CY3" s="54"/>
    </row>
    <row r="4" spans="2:103" s="49" customFormat="1" ht="22" customHeight="1">
      <c r="B4" s="47" t="s">
        <v>51</v>
      </c>
      <c r="C4" s="47" t="s">
        <v>52</v>
      </c>
      <c r="D4" s="47" t="s">
        <v>125</v>
      </c>
      <c r="E4" s="48" t="s">
        <v>53</v>
      </c>
      <c r="F4" s="47" t="s">
        <v>54</v>
      </c>
      <c r="G4" s="50" t="s">
        <v>126</v>
      </c>
      <c r="I4" s="48" t="s">
        <v>55</v>
      </c>
      <c r="J4" s="48" t="s">
        <v>56</v>
      </c>
      <c r="K4" s="48" t="s">
        <v>57</v>
      </c>
      <c r="L4" s="48" t="s">
        <v>58</v>
      </c>
      <c r="N4" s="47" t="s">
        <v>55</v>
      </c>
      <c r="O4" s="47" t="s">
        <v>56</v>
      </c>
      <c r="P4" s="47" t="s">
        <v>59</v>
      </c>
      <c r="Q4" s="47" t="s">
        <v>57</v>
      </c>
      <c r="R4" s="47" t="s">
        <v>59</v>
      </c>
      <c r="S4" s="47" t="s">
        <v>58</v>
      </c>
      <c r="U4" s="47" t="s">
        <v>55</v>
      </c>
      <c r="V4" s="47" t="s">
        <v>56</v>
      </c>
      <c r="W4" s="47" t="s">
        <v>59</v>
      </c>
      <c r="X4" s="47" t="s">
        <v>57</v>
      </c>
      <c r="Y4" s="47" t="s">
        <v>59</v>
      </c>
      <c r="Z4" s="47" t="s">
        <v>58</v>
      </c>
      <c r="AB4" s="47" t="s">
        <v>55</v>
      </c>
      <c r="AC4" s="47" t="s">
        <v>56</v>
      </c>
      <c r="AD4" s="47" t="s">
        <v>59</v>
      </c>
      <c r="AE4" s="47" t="s">
        <v>57</v>
      </c>
      <c r="AF4" s="47" t="s">
        <v>59</v>
      </c>
      <c r="AG4" s="47" t="s">
        <v>58</v>
      </c>
      <c r="AI4" s="47" t="s">
        <v>55</v>
      </c>
      <c r="AJ4" s="47" t="s">
        <v>56</v>
      </c>
      <c r="AK4" s="47" t="s">
        <v>59</v>
      </c>
      <c r="AL4" s="47" t="s">
        <v>57</v>
      </c>
      <c r="AM4" s="47" t="s">
        <v>59</v>
      </c>
      <c r="AN4" s="47" t="s">
        <v>58</v>
      </c>
      <c r="AP4" s="47" t="s">
        <v>55</v>
      </c>
      <c r="AQ4" s="47" t="s">
        <v>56</v>
      </c>
      <c r="AR4" s="47" t="s">
        <v>59</v>
      </c>
      <c r="AS4" s="47" t="s">
        <v>57</v>
      </c>
      <c r="AT4" s="47" t="s">
        <v>59</v>
      </c>
      <c r="AU4" s="47" t="s">
        <v>58</v>
      </c>
      <c r="AW4" s="47" t="s">
        <v>55</v>
      </c>
      <c r="AX4" s="47" t="s">
        <v>56</v>
      </c>
      <c r="AY4" s="47" t="s">
        <v>59</v>
      </c>
      <c r="AZ4" s="47" t="s">
        <v>57</v>
      </c>
      <c r="BA4" s="47" t="s">
        <v>59</v>
      </c>
      <c r="BB4" s="47" t="s">
        <v>58</v>
      </c>
      <c r="BD4" s="47" t="s">
        <v>55</v>
      </c>
      <c r="BE4" s="47" t="s">
        <v>56</v>
      </c>
      <c r="BF4" s="47" t="s">
        <v>59</v>
      </c>
      <c r="BG4" s="47" t="s">
        <v>57</v>
      </c>
      <c r="BH4" s="47" t="s">
        <v>59</v>
      </c>
      <c r="BI4" s="47" t="s">
        <v>58</v>
      </c>
      <c r="BK4" s="47" t="s">
        <v>55</v>
      </c>
      <c r="BL4" s="47" t="s">
        <v>56</v>
      </c>
      <c r="BM4" s="47" t="s">
        <v>59</v>
      </c>
      <c r="BN4" s="47" t="s">
        <v>57</v>
      </c>
      <c r="BO4" s="47" t="s">
        <v>59</v>
      </c>
      <c r="BP4" s="47" t="s">
        <v>58</v>
      </c>
      <c r="BR4" s="47" t="s">
        <v>55</v>
      </c>
      <c r="BS4" s="47" t="s">
        <v>56</v>
      </c>
      <c r="BT4" s="47" t="s">
        <v>59</v>
      </c>
      <c r="BU4" s="47" t="s">
        <v>57</v>
      </c>
      <c r="BV4" s="47" t="s">
        <v>59</v>
      </c>
      <c r="BW4" s="47" t="s">
        <v>58</v>
      </c>
      <c r="BY4" s="47" t="s">
        <v>55</v>
      </c>
      <c r="BZ4" s="47" t="s">
        <v>56</v>
      </c>
      <c r="CA4" s="47" t="s">
        <v>59</v>
      </c>
      <c r="CB4" s="47" t="s">
        <v>57</v>
      </c>
      <c r="CC4" s="47" t="s">
        <v>59</v>
      </c>
      <c r="CD4" s="47" t="s">
        <v>58</v>
      </c>
      <c r="CF4" s="47" t="s">
        <v>55</v>
      </c>
      <c r="CG4" s="47" t="s">
        <v>56</v>
      </c>
      <c r="CH4" s="47" t="s">
        <v>59</v>
      </c>
      <c r="CI4" s="47" t="s">
        <v>57</v>
      </c>
      <c r="CJ4" s="47" t="s">
        <v>59</v>
      </c>
      <c r="CK4" s="47" t="s">
        <v>58</v>
      </c>
      <c r="CM4" s="47" t="s">
        <v>55</v>
      </c>
      <c r="CN4" s="47" t="s">
        <v>56</v>
      </c>
      <c r="CO4" s="47" t="s">
        <v>59</v>
      </c>
      <c r="CP4" s="47" t="s">
        <v>57</v>
      </c>
      <c r="CQ4" s="47" t="s">
        <v>59</v>
      </c>
      <c r="CR4" s="47" t="s">
        <v>58</v>
      </c>
      <c r="CS4" s="57"/>
      <c r="CT4" s="55" t="s">
        <v>55</v>
      </c>
      <c r="CU4" s="55" t="s">
        <v>56</v>
      </c>
      <c r="CV4" s="55" t="s">
        <v>59</v>
      </c>
      <c r="CW4" s="55" t="s">
        <v>57</v>
      </c>
      <c r="CX4" s="55" t="s">
        <v>59</v>
      </c>
      <c r="CY4" s="55" t="s">
        <v>58</v>
      </c>
    </row>
    <row r="5" spans="2:103">
      <c r="B5" s="20" t="s">
        <v>38</v>
      </c>
      <c r="C5" s="20" t="s">
        <v>122</v>
      </c>
      <c r="D5" s="21">
        <v>45876</v>
      </c>
      <c r="E5" s="22">
        <v>5</v>
      </c>
      <c r="F5" s="20"/>
      <c r="G5" s="23">
        <f>+SUM(G6:G19)</f>
        <v>1.0000000000000002</v>
      </c>
      <c r="I5" s="36">
        <v>0</v>
      </c>
      <c r="J5" s="37">
        <v>0</v>
      </c>
      <c r="K5" s="37">
        <v>0</v>
      </c>
      <c r="L5" s="22"/>
      <c r="N5" s="36">
        <v>0</v>
      </c>
      <c r="O5" s="20"/>
      <c r="P5" s="20"/>
      <c r="Q5" s="20"/>
      <c r="R5" s="20"/>
      <c r="S5" s="20"/>
      <c r="U5" s="36">
        <f>+SUM(U6:U19)</f>
        <v>0</v>
      </c>
      <c r="V5" s="20"/>
      <c r="W5" s="20"/>
      <c r="X5" s="20"/>
      <c r="Y5" s="20"/>
      <c r="Z5" s="20"/>
      <c r="AB5" s="36">
        <f>+SUM(AB6:AB19)</f>
        <v>0</v>
      </c>
      <c r="AC5" s="20"/>
      <c r="AD5" s="20"/>
      <c r="AE5" s="20"/>
      <c r="AF5" s="20"/>
      <c r="AG5" s="20"/>
      <c r="AI5" s="36">
        <f>+SUM(AI6:AI19)</f>
        <v>0</v>
      </c>
      <c r="AJ5" s="20"/>
      <c r="AK5" s="20"/>
      <c r="AL5" s="20"/>
      <c r="AM5" s="20"/>
      <c r="AN5" s="20"/>
      <c r="AP5" s="36">
        <f>+SUM(AP6:AP19)</f>
        <v>0</v>
      </c>
      <c r="AQ5" s="20"/>
      <c r="AR5" s="20"/>
      <c r="AS5" s="20"/>
      <c r="AT5" s="20"/>
      <c r="AU5" s="20"/>
      <c r="AW5" s="36">
        <f>+SUM(AW6:AW19)</f>
        <v>0</v>
      </c>
      <c r="AX5" s="20"/>
      <c r="AY5" s="20"/>
      <c r="AZ5" s="20"/>
      <c r="BA5" s="20"/>
      <c r="BB5" s="20"/>
      <c r="BD5" s="36">
        <f>+SUM(BD6:BD19)</f>
        <v>0</v>
      </c>
      <c r="BE5" s="20"/>
      <c r="BF5" s="20"/>
      <c r="BG5" s="20"/>
      <c r="BH5" s="20"/>
      <c r="BI5" s="20"/>
      <c r="BK5" s="36">
        <f>+SUM(BK6:BK19)</f>
        <v>0</v>
      </c>
      <c r="BL5" s="20"/>
      <c r="BM5" s="20"/>
      <c r="BN5" s="20"/>
      <c r="BO5" s="20"/>
      <c r="BP5" s="20"/>
      <c r="BR5" s="36">
        <f>+SUM(BR6:BR19)</f>
        <v>0</v>
      </c>
      <c r="BS5" s="20"/>
      <c r="BT5" s="20"/>
      <c r="BU5" s="20"/>
      <c r="BV5" s="20"/>
      <c r="BW5" s="20"/>
      <c r="BY5" s="36">
        <f>+SUM(BY6:BY19)</f>
        <v>0</v>
      </c>
      <c r="BZ5" s="20"/>
      <c r="CA5" s="20"/>
      <c r="CB5" s="20"/>
      <c r="CC5" s="20"/>
      <c r="CD5" s="20"/>
      <c r="CF5" s="36">
        <f>+SUM(CF6:CF19)</f>
        <v>0</v>
      </c>
      <c r="CG5" s="20"/>
      <c r="CH5" s="20"/>
      <c r="CI5" s="20"/>
      <c r="CJ5" s="20"/>
      <c r="CK5" s="20"/>
      <c r="CM5" s="36">
        <f>+SUM(CM6:CM19)</f>
        <v>0</v>
      </c>
      <c r="CN5" s="20"/>
      <c r="CO5" s="20"/>
      <c r="CP5" s="20"/>
      <c r="CQ5" s="20"/>
      <c r="CR5" s="20"/>
      <c r="CT5" s="36">
        <f>+SUM(CT6:CT19)</f>
        <v>0</v>
      </c>
      <c r="CU5" s="20"/>
      <c r="CV5" s="20"/>
      <c r="CW5" s="20"/>
      <c r="CX5" s="20"/>
      <c r="CY5" s="20"/>
    </row>
    <row r="6" spans="2:103" outlineLevel="1">
      <c r="B6" s="15" t="s">
        <v>60</v>
      </c>
      <c r="C6" s="15" t="s">
        <v>122</v>
      </c>
      <c r="E6" s="16"/>
      <c r="F6" s="15" t="s">
        <v>111</v>
      </c>
      <c r="G6" s="17">
        <v>0.1</v>
      </c>
      <c r="I6" s="16">
        <v>0</v>
      </c>
      <c r="J6" s="18">
        <v>0</v>
      </c>
      <c r="K6" s="18">
        <v>0</v>
      </c>
      <c r="L6" s="16"/>
      <c r="O6" s="17"/>
      <c r="P6" s="17">
        <v>0.5</v>
      </c>
      <c r="Q6" s="17"/>
      <c r="R6" s="17">
        <v>0.5</v>
      </c>
      <c r="V6" s="17"/>
      <c r="W6" s="17">
        <v>0.5</v>
      </c>
      <c r="X6" s="17"/>
      <c r="Y6" s="17">
        <v>0.5</v>
      </c>
      <c r="AC6" s="17"/>
      <c r="AD6" s="17">
        <v>0.8</v>
      </c>
      <c r="AE6" s="17"/>
      <c r="AF6" s="17">
        <v>0.8</v>
      </c>
      <c r="AJ6" s="17"/>
      <c r="AK6" s="17">
        <v>0.8</v>
      </c>
      <c r="AL6" s="17"/>
      <c r="AM6" s="17">
        <v>0.8</v>
      </c>
      <c r="AQ6" s="17"/>
      <c r="AR6" s="17">
        <v>1</v>
      </c>
      <c r="AS6" s="17"/>
      <c r="AT6" s="17">
        <v>1</v>
      </c>
      <c r="AX6" s="17"/>
      <c r="AY6" s="17">
        <v>1</v>
      </c>
      <c r="AZ6" s="17"/>
      <c r="BA6" s="17">
        <v>1</v>
      </c>
      <c r="BE6" s="17"/>
      <c r="BF6" s="17">
        <v>1</v>
      </c>
      <c r="BG6" s="17"/>
      <c r="BH6" s="17">
        <v>1</v>
      </c>
      <c r="BL6" s="17"/>
      <c r="BM6" s="17">
        <v>1</v>
      </c>
      <c r="BN6" s="17"/>
      <c r="BO6" s="17">
        <v>1</v>
      </c>
      <c r="BS6" s="17"/>
      <c r="BT6" s="17">
        <v>1</v>
      </c>
      <c r="BU6" s="17"/>
      <c r="BV6" s="17">
        <v>1</v>
      </c>
      <c r="BZ6" s="17"/>
      <c r="CA6" s="17">
        <v>1</v>
      </c>
      <c r="CB6" s="17"/>
      <c r="CC6" s="17">
        <v>1</v>
      </c>
      <c r="CG6" s="17"/>
      <c r="CH6" s="17"/>
      <c r="CI6" s="17"/>
      <c r="CJ6" s="17"/>
      <c r="CN6" s="17"/>
      <c r="CO6" s="17"/>
      <c r="CP6" s="17"/>
      <c r="CQ6" s="17"/>
      <c r="CU6" s="17"/>
      <c r="CV6" s="17"/>
      <c r="CW6" s="17"/>
      <c r="CX6" s="17"/>
    </row>
    <row r="7" spans="2:103" outlineLevel="1">
      <c r="B7" s="15" t="s">
        <v>60</v>
      </c>
      <c r="C7" s="15" t="s">
        <v>122</v>
      </c>
      <c r="E7" s="16"/>
      <c r="F7" s="15" t="s">
        <v>112</v>
      </c>
      <c r="G7" s="17">
        <v>0.1</v>
      </c>
      <c r="I7" s="16">
        <v>0</v>
      </c>
      <c r="J7" s="18">
        <v>0</v>
      </c>
      <c r="K7" s="18">
        <v>0</v>
      </c>
      <c r="L7" s="16"/>
      <c r="O7" s="17"/>
      <c r="P7" s="17">
        <v>0.5</v>
      </c>
      <c r="Q7" s="17"/>
      <c r="R7" s="17">
        <v>0.5</v>
      </c>
      <c r="V7" s="17"/>
      <c r="W7" s="17">
        <v>0.5</v>
      </c>
      <c r="X7" s="17"/>
      <c r="Y7" s="17">
        <v>0.5</v>
      </c>
      <c r="AC7" s="17"/>
      <c r="AD7" s="17">
        <v>0.8</v>
      </c>
      <c r="AE7" s="17"/>
      <c r="AF7" s="17">
        <v>0.8</v>
      </c>
      <c r="AJ7" s="17"/>
      <c r="AK7" s="17">
        <v>0.8</v>
      </c>
      <c r="AL7" s="17"/>
      <c r="AM7" s="17">
        <v>0.8</v>
      </c>
      <c r="AQ7" s="17"/>
      <c r="AR7" s="17">
        <v>0.8</v>
      </c>
      <c r="AS7" s="17"/>
      <c r="AT7" s="17">
        <v>0.8</v>
      </c>
      <c r="AX7" s="17"/>
      <c r="AY7" s="17">
        <v>1</v>
      </c>
      <c r="AZ7" s="17"/>
      <c r="BA7" s="17">
        <v>1</v>
      </c>
      <c r="BE7" s="17"/>
      <c r="BF7" s="17">
        <v>1</v>
      </c>
      <c r="BG7" s="17"/>
      <c r="BH7" s="17">
        <v>1</v>
      </c>
      <c r="BL7" s="17"/>
      <c r="BM7" s="17">
        <v>1</v>
      </c>
      <c r="BN7" s="17"/>
      <c r="BO7" s="17">
        <v>1</v>
      </c>
      <c r="BS7" s="17"/>
      <c r="BT7" s="17">
        <v>1</v>
      </c>
      <c r="BU7" s="17"/>
      <c r="BV7" s="17">
        <v>1</v>
      </c>
      <c r="BZ7" s="17"/>
      <c r="CA7" s="17">
        <v>1</v>
      </c>
      <c r="CB7" s="17"/>
      <c r="CC7" s="17">
        <v>1</v>
      </c>
      <c r="CG7" s="17"/>
      <c r="CH7" s="17"/>
      <c r="CI7" s="17"/>
      <c r="CJ7" s="17"/>
      <c r="CN7" s="17"/>
      <c r="CO7" s="17"/>
      <c r="CP7" s="17"/>
      <c r="CQ7" s="17"/>
      <c r="CU7" s="17"/>
      <c r="CV7" s="17"/>
      <c r="CW7" s="17"/>
      <c r="CX7" s="17"/>
    </row>
    <row r="8" spans="2:103" outlineLevel="1">
      <c r="B8" s="15" t="s">
        <v>60</v>
      </c>
      <c r="C8" s="15" t="s">
        <v>122</v>
      </c>
      <c r="E8" s="16"/>
      <c r="F8" s="15" t="s">
        <v>113</v>
      </c>
      <c r="G8" s="17">
        <v>0.1</v>
      </c>
      <c r="I8" s="16">
        <v>0</v>
      </c>
      <c r="J8" s="18">
        <v>0</v>
      </c>
      <c r="K8" s="18">
        <v>0</v>
      </c>
      <c r="L8" s="16"/>
      <c r="O8" s="17"/>
      <c r="P8" s="17">
        <v>0.5</v>
      </c>
      <c r="Q8" s="17"/>
      <c r="R8" s="17">
        <v>0.5</v>
      </c>
      <c r="V8" s="17"/>
      <c r="W8" s="17">
        <v>0.5</v>
      </c>
      <c r="X8" s="17"/>
      <c r="Y8" s="17">
        <v>0.5</v>
      </c>
      <c r="AC8" s="17"/>
      <c r="AD8" s="17">
        <v>0.5</v>
      </c>
      <c r="AE8" s="17"/>
      <c r="AF8" s="17">
        <v>0.5</v>
      </c>
      <c r="AJ8" s="17"/>
      <c r="AK8" s="17">
        <v>0.8</v>
      </c>
      <c r="AL8" s="17"/>
      <c r="AM8" s="17">
        <v>0.8</v>
      </c>
      <c r="AQ8" s="17"/>
      <c r="AR8" s="17">
        <v>0.8</v>
      </c>
      <c r="AS8" s="17"/>
      <c r="AT8" s="17">
        <v>0.8</v>
      </c>
      <c r="AX8" s="17"/>
      <c r="AY8" s="17">
        <v>1</v>
      </c>
      <c r="AZ8" s="17"/>
      <c r="BA8" s="17">
        <v>1</v>
      </c>
      <c r="BE8" s="17"/>
      <c r="BF8" s="17">
        <v>1</v>
      </c>
      <c r="BG8" s="17"/>
      <c r="BH8" s="17">
        <v>1</v>
      </c>
      <c r="BL8" s="17"/>
      <c r="BM8" s="17">
        <v>1</v>
      </c>
      <c r="BN8" s="17"/>
      <c r="BO8" s="17">
        <v>1</v>
      </c>
      <c r="BS8" s="17"/>
      <c r="BT8" s="17">
        <v>1</v>
      </c>
      <c r="BU8" s="17"/>
      <c r="BV8" s="17">
        <v>1</v>
      </c>
      <c r="BZ8" s="17"/>
      <c r="CA8" s="17">
        <v>1</v>
      </c>
      <c r="CB8" s="17"/>
      <c r="CC8" s="17">
        <v>1</v>
      </c>
      <c r="CG8" s="17"/>
      <c r="CH8" s="17"/>
      <c r="CI8" s="17"/>
      <c r="CJ8" s="17"/>
      <c r="CN8" s="17"/>
      <c r="CO8" s="17"/>
      <c r="CP8" s="17"/>
      <c r="CQ8" s="17"/>
      <c r="CU8" s="17"/>
      <c r="CV8" s="17"/>
      <c r="CW8" s="17"/>
      <c r="CX8" s="17"/>
    </row>
    <row r="9" spans="2:103" outlineLevel="1">
      <c r="B9" s="15" t="s">
        <v>60</v>
      </c>
      <c r="C9" s="15" t="s">
        <v>122</v>
      </c>
      <c r="E9" s="16"/>
      <c r="F9" s="15" t="s">
        <v>114</v>
      </c>
      <c r="G9" s="17">
        <v>0.1</v>
      </c>
      <c r="I9" s="16">
        <f>+SUMIF($N$4:$YS$4,I$4,$N9:$YS9)</f>
        <v>0</v>
      </c>
      <c r="J9" s="18">
        <v>0</v>
      </c>
      <c r="K9" s="18">
        <v>0</v>
      </c>
      <c r="L9" s="16"/>
      <c r="O9" s="17"/>
      <c r="P9" s="17">
        <v>0.5</v>
      </c>
      <c r="Q9" s="17"/>
      <c r="R9" s="17">
        <v>0.5</v>
      </c>
      <c r="V9" s="17"/>
      <c r="W9" s="17">
        <v>0.5</v>
      </c>
      <c r="X9" s="17"/>
      <c r="Y9" s="17">
        <v>0.5</v>
      </c>
      <c r="AC9" s="17"/>
      <c r="AD9" s="17">
        <v>0.5</v>
      </c>
      <c r="AE9" s="17"/>
      <c r="AF9" s="17">
        <v>0.5</v>
      </c>
      <c r="AJ9" s="17"/>
      <c r="AK9" s="17">
        <v>0.8</v>
      </c>
      <c r="AL9" s="17"/>
      <c r="AM9" s="17">
        <v>0.8</v>
      </c>
      <c r="AQ9" s="17"/>
      <c r="AR9" s="17">
        <v>0.8</v>
      </c>
      <c r="AS9" s="17"/>
      <c r="AT9" s="17">
        <v>0.8</v>
      </c>
      <c r="AX9" s="17"/>
      <c r="AY9" s="17">
        <v>0.8</v>
      </c>
      <c r="AZ9" s="17"/>
      <c r="BA9" s="17">
        <v>0.8</v>
      </c>
      <c r="BE9" s="17"/>
      <c r="BF9" s="17">
        <v>1</v>
      </c>
      <c r="BG9" s="17"/>
      <c r="BH9" s="17">
        <v>1</v>
      </c>
      <c r="BL9" s="17"/>
      <c r="BM9" s="17">
        <v>1</v>
      </c>
      <c r="BN9" s="17"/>
      <c r="BO9" s="17">
        <v>1</v>
      </c>
      <c r="BS9" s="17"/>
      <c r="BT9" s="17">
        <v>1</v>
      </c>
      <c r="BU9" s="17"/>
      <c r="BV9" s="17">
        <v>1</v>
      </c>
      <c r="BZ9" s="17"/>
      <c r="CA9" s="17">
        <v>1</v>
      </c>
      <c r="CB9" s="17"/>
      <c r="CC9" s="17">
        <v>1</v>
      </c>
      <c r="CG9" s="17"/>
      <c r="CH9" s="17"/>
      <c r="CI9" s="17"/>
      <c r="CJ9" s="17"/>
      <c r="CN9" s="17"/>
      <c r="CO9" s="17"/>
      <c r="CP9" s="17"/>
      <c r="CQ9" s="17"/>
      <c r="CU9" s="17"/>
      <c r="CV9" s="17"/>
      <c r="CW9" s="17"/>
      <c r="CX9" s="17"/>
    </row>
    <row r="10" spans="2:103" outlineLevel="1">
      <c r="B10" s="15" t="s">
        <v>60</v>
      </c>
      <c r="C10" s="15" t="s">
        <v>122</v>
      </c>
      <c r="E10" s="16"/>
      <c r="F10" s="15" t="s">
        <v>61</v>
      </c>
      <c r="G10" s="17">
        <v>0.1</v>
      </c>
      <c r="I10" s="16">
        <f>+SUMIF($N$4:$YS$4,I$4,$N10:$YS10)</f>
        <v>0</v>
      </c>
      <c r="J10" s="18">
        <v>0</v>
      </c>
      <c r="K10" s="18" cm="1">
        <f t="array" ref="K10">MAX(IF($N$4:$DA$4=$J$4,N10:DA10))</f>
        <v>0</v>
      </c>
      <c r="L10" s="16"/>
      <c r="O10" s="17"/>
      <c r="P10" s="17"/>
      <c r="Q10" s="17"/>
      <c r="R10" s="17"/>
      <c r="V10" s="17"/>
      <c r="W10" s="17">
        <v>0.5</v>
      </c>
      <c r="X10" s="17"/>
      <c r="Y10" s="17">
        <v>0.5</v>
      </c>
      <c r="AC10" s="17"/>
      <c r="AD10" s="17">
        <v>0.5</v>
      </c>
      <c r="AE10" s="17"/>
      <c r="AF10" s="17">
        <v>0.5</v>
      </c>
      <c r="AJ10" s="17"/>
      <c r="AK10" s="17">
        <v>0.5</v>
      </c>
      <c r="AL10" s="17"/>
      <c r="AM10" s="17">
        <v>0.5</v>
      </c>
      <c r="AQ10" s="17"/>
      <c r="AR10" s="17">
        <v>0.8</v>
      </c>
      <c r="AS10" s="17"/>
      <c r="AT10" s="17">
        <v>0.8</v>
      </c>
      <c r="AX10" s="17"/>
      <c r="AY10" s="17">
        <v>0.8</v>
      </c>
      <c r="AZ10" s="17"/>
      <c r="BA10" s="17">
        <v>0.8</v>
      </c>
      <c r="BE10" s="17"/>
      <c r="BF10" s="17">
        <v>1</v>
      </c>
      <c r="BG10" s="17"/>
      <c r="BH10" s="17">
        <v>1</v>
      </c>
      <c r="BL10" s="17"/>
      <c r="BM10" s="17">
        <v>1</v>
      </c>
      <c r="BN10" s="17"/>
      <c r="BO10" s="17">
        <v>1</v>
      </c>
      <c r="BS10" s="17"/>
      <c r="BT10" s="17">
        <v>1</v>
      </c>
      <c r="BU10" s="17"/>
      <c r="BV10" s="17">
        <v>1</v>
      </c>
      <c r="BZ10" s="17"/>
      <c r="CA10" s="17">
        <v>1</v>
      </c>
      <c r="CB10" s="17"/>
      <c r="CC10" s="17">
        <v>1</v>
      </c>
      <c r="CG10" s="17"/>
      <c r="CH10" s="17"/>
      <c r="CI10" s="17"/>
      <c r="CJ10" s="17"/>
      <c r="CN10" s="17"/>
      <c r="CO10" s="17"/>
      <c r="CP10" s="17"/>
      <c r="CQ10" s="17"/>
      <c r="CU10" s="17"/>
      <c r="CV10" s="17"/>
      <c r="CW10" s="17"/>
      <c r="CX10" s="17"/>
    </row>
    <row r="11" spans="2:103" outlineLevel="1">
      <c r="B11" s="15" t="s">
        <v>60</v>
      </c>
      <c r="C11" s="15" t="s">
        <v>122</v>
      </c>
      <c r="E11" s="16"/>
      <c r="F11" s="15" t="s">
        <v>62</v>
      </c>
      <c r="G11" s="17">
        <v>0.1</v>
      </c>
      <c r="I11" s="16">
        <f>+SUMIF($N$4:$YS$4,I$4,$N11:$YS11)</f>
        <v>0</v>
      </c>
      <c r="J11" s="18">
        <v>0</v>
      </c>
      <c r="K11" s="18" cm="1">
        <f t="array" ref="K11">MAX(IF($N$4:$DA$4=$J$4,N11:DA11))</f>
        <v>0</v>
      </c>
      <c r="L11" s="16"/>
      <c r="O11" s="17"/>
      <c r="P11" s="17"/>
      <c r="Q11" s="17"/>
      <c r="R11" s="17"/>
      <c r="V11" s="17"/>
      <c r="W11" s="17">
        <v>0.5</v>
      </c>
      <c r="X11" s="17"/>
      <c r="Y11" s="17">
        <v>0.5</v>
      </c>
      <c r="AC11" s="17"/>
      <c r="AD11" s="17">
        <v>0.5</v>
      </c>
      <c r="AE11" s="17"/>
      <c r="AF11" s="17">
        <v>0.5</v>
      </c>
      <c r="AJ11" s="17"/>
      <c r="AK11" s="17">
        <v>0.5</v>
      </c>
      <c r="AL11" s="17"/>
      <c r="AM11" s="17">
        <v>0.5</v>
      </c>
      <c r="AQ11" s="17"/>
      <c r="AR11" s="17">
        <v>0.8</v>
      </c>
      <c r="AS11" s="17"/>
      <c r="AT11" s="17">
        <v>0.8</v>
      </c>
      <c r="AX11" s="17"/>
      <c r="AY11" s="17">
        <v>0.8</v>
      </c>
      <c r="AZ11" s="17"/>
      <c r="BA11" s="17">
        <v>0.8</v>
      </c>
      <c r="BE11" s="17"/>
      <c r="BF11" s="17">
        <v>0.8</v>
      </c>
      <c r="BG11" s="17"/>
      <c r="BH11" s="17">
        <v>0.8</v>
      </c>
      <c r="BL11" s="17"/>
      <c r="BM11" s="17">
        <v>1</v>
      </c>
      <c r="BN11" s="17"/>
      <c r="BO11" s="17">
        <v>1</v>
      </c>
      <c r="BS11" s="17"/>
      <c r="BT11" s="17">
        <v>1</v>
      </c>
      <c r="BU11" s="17"/>
      <c r="BV11" s="17">
        <v>1</v>
      </c>
      <c r="BZ11" s="17"/>
      <c r="CA11" s="17">
        <v>1</v>
      </c>
      <c r="CB11" s="17"/>
      <c r="CC11" s="17">
        <v>1</v>
      </c>
      <c r="CG11" s="17"/>
      <c r="CH11" s="17"/>
      <c r="CI11" s="17"/>
      <c r="CJ11" s="17"/>
      <c r="CN11" s="17"/>
      <c r="CO11" s="17"/>
      <c r="CP11" s="17"/>
      <c r="CQ11" s="17"/>
      <c r="CU11" s="17"/>
      <c r="CV11" s="17"/>
      <c r="CW11" s="17"/>
      <c r="CX11" s="17"/>
    </row>
    <row r="12" spans="2:103" outlineLevel="1">
      <c r="B12" s="15" t="s">
        <v>60</v>
      </c>
      <c r="C12" s="15" t="s">
        <v>122</v>
      </c>
      <c r="E12" s="16"/>
      <c r="F12" s="15" t="s">
        <v>115</v>
      </c>
      <c r="G12" s="17">
        <v>0.05</v>
      </c>
      <c r="I12" s="16">
        <f>+SUMIF($N$4:$YS$4,I$4,$N12:$YS12)</f>
        <v>0</v>
      </c>
      <c r="J12" s="18">
        <v>0</v>
      </c>
      <c r="K12" s="18" cm="1">
        <f t="array" ref="K12">MAX(IF($N$4:$DA$4=$J$4,N12:DA12))</f>
        <v>0</v>
      </c>
      <c r="L12" s="16"/>
      <c r="O12" s="17"/>
      <c r="P12" s="17"/>
      <c r="Q12" s="17"/>
      <c r="R12" s="17"/>
      <c r="V12" s="17"/>
      <c r="W12" s="17">
        <v>0.5</v>
      </c>
      <c r="X12" s="17"/>
      <c r="Y12" s="17">
        <v>0.5</v>
      </c>
      <c r="AC12" s="17"/>
      <c r="AD12" s="17">
        <v>0.5</v>
      </c>
      <c r="AE12" s="17"/>
      <c r="AF12" s="17">
        <v>0.5</v>
      </c>
      <c r="AJ12" s="17"/>
      <c r="AK12" s="17">
        <v>0.5</v>
      </c>
      <c r="AL12" s="17"/>
      <c r="AM12" s="17">
        <v>0.5</v>
      </c>
      <c r="AQ12" s="17"/>
      <c r="AR12" s="17">
        <v>0.8</v>
      </c>
      <c r="AS12" s="17"/>
      <c r="AT12" s="17">
        <v>0.8</v>
      </c>
      <c r="AX12" s="17"/>
      <c r="AY12" s="17">
        <v>0.8</v>
      </c>
      <c r="AZ12" s="17"/>
      <c r="BA12" s="17">
        <v>0.8</v>
      </c>
      <c r="BE12" s="17"/>
      <c r="BF12" s="17">
        <v>0.8</v>
      </c>
      <c r="BG12" s="17"/>
      <c r="BH12" s="17">
        <v>0.8</v>
      </c>
      <c r="BL12" s="17"/>
      <c r="BM12" s="17">
        <v>1</v>
      </c>
      <c r="BN12" s="17"/>
      <c r="BO12" s="17">
        <v>1</v>
      </c>
      <c r="BS12" s="17"/>
      <c r="BT12" s="17">
        <v>1</v>
      </c>
      <c r="BU12" s="17"/>
      <c r="BV12" s="17">
        <v>1</v>
      </c>
      <c r="BZ12" s="17"/>
      <c r="CA12" s="17">
        <v>1</v>
      </c>
      <c r="CB12" s="17"/>
      <c r="CC12" s="17">
        <v>1</v>
      </c>
      <c r="CG12" s="17"/>
      <c r="CH12" s="17"/>
      <c r="CI12" s="17"/>
      <c r="CJ12" s="17"/>
      <c r="CN12" s="17"/>
      <c r="CO12" s="17"/>
      <c r="CP12" s="17"/>
      <c r="CQ12" s="17"/>
      <c r="CU12" s="17"/>
      <c r="CV12" s="17"/>
      <c r="CW12" s="17"/>
      <c r="CX12" s="17"/>
    </row>
    <row r="13" spans="2:103" outlineLevel="1">
      <c r="B13" s="15" t="s">
        <v>60</v>
      </c>
      <c r="C13" s="15" t="s">
        <v>122</v>
      </c>
      <c r="E13" s="16"/>
      <c r="F13" s="15" t="s">
        <v>116</v>
      </c>
      <c r="G13" s="17">
        <v>0.05</v>
      </c>
      <c r="I13" s="16">
        <f>+SUMIF($N$4:$YS$4,I$4,$N13:$YS13)</f>
        <v>0</v>
      </c>
      <c r="J13" s="18">
        <v>0</v>
      </c>
      <c r="K13" s="18" cm="1">
        <f t="array" ref="K13">MAX(IF($N$4:$DA$4=$J$4,N13:DA13))</f>
        <v>0</v>
      </c>
      <c r="L13" s="16"/>
      <c r="O13" s="17"/>
      <c r="P13" s="17"/>
      <c r="Q13" s="17"/>
      <c r="R13" s="17"/>
      <c r="V13" s="17"/>
      <c r="W13" s="17">
        <v>0.5</v>
      </c>
      <c r="X13" s="17"/>
      <c r="Y13" s="17">
        <v>0.5</v>
      </c>
      <c r="AC13" s="17"/>
      <c r="AD13" s="17">
        <v>0.5</v>
      </c>
      <c r="AE13" s="17"/>
      <c r="AF13" s="17">
        <v>0.5</v>
      </c>
      <c r="AJ13" s="17"/>
      <c r="AK13" s="17">
        <v>0.5</v>
      </c>
      <c r="AL13" s="17"/>
      <c r="AM13" s="17">
        <v>0.5</v>
      </c>
      <c r="AQ13" s="17"/>
      <c r="AR13" s="17">
        <v>0.5</v>
      </c>
      <c r="AS13" s="17"/>
      <c r="AT13" s="17">
        <v>0.5</v>
      </c>
      <c r="AX13" s="17"/>
      <c r="AY13" s="17">
        <v>0.8</v>
      </c>
      <c r="AZ13" s="17"/>
      <c r="BA13" s="17">
        <v>0.8</v>
      </c>
      <c r="BE13" s="17"/>
      <c r="BF13" s="17">
        <v>0.8</v>
      </c>
      <c r="BG13" s="17"/>
      <c r="BH13" s="17">
        <v>0.8</v>
      </c>
      <c r="BL13" s="17"/>
      <c r="BM13" s="17">
        <v>1</v>
      </c>
      <c r="BN13" s="17"/>
      <c r="BO13" s="17">
        <v>1</v>
      </c>
      <c r="BS13" s="17"/>
      <c r="BT13" s="17">
        <v>1</v>
      </c>
      <c r="BU13" s="17"/>
      <c r="BV13" s="17">
        <v>1</v>
      </c>
      <c r="BZ13" s="17"/>
      <c r="CA13" s="17">
        <v>1</v>
      </c>
      <c r="CB13" s="17"/>
      <c r="CC13" s="17">
        <v>1</v>
      </c>
      <c r="CG13" s="17"/>
      <c r="CH13" s="17"/>
      <c r="CI13" s="17"/>
      <c r="CJ13" s="17"/>
      <c r="CN13" s="17"/>
      <c r="CO13" s="17"/>
      <c r="CP13" s="17"/>
      <c r="CQ13" s="17"/>
      <c r="CU13" s="17"/>
      <c r="CV13" s="17"/>
      <c r="CW13" s="17"/>
      <c r="CX13" s="17"/>
    </row>
    <row r="14" spans="2:103" outlineLevel="1">
      <c r="B14" s="15" t="s">
        <v>60</v>
      </c>
      <c r="C14" s="15" t="s">
        <v>122</v>
      </c>
      <c r="E14" s="16"/>
      <c r="F14" s="15" t="s">
        <v>63</v>
      </c>
      <c r="G14" s="17">
        <v>0.05</v>
      </c>
      <c r="I14" s="16">
        <f>+SUMIF($N$4:$YS$4,I$4,$N14:$YS14)</f>
        <v>0</v>
      </c>
      <c r="J14" s="18">
        <v>0</v>
      </c>
      <c r="K14" s="18" cm="1">
        <f t="array" ref="K14">MAX(IF($N$4:$DA$4=$J$4,N14:DA14))</f>
        <v>0</v>
      </c>
      <c r="L14" s="16"/>
      <c r="O14" s="17"/>
      <c r="P14" s="17"/>
      <c r="Q14" s="17"/>
      <c r="R14" s="17"/>
      <c r="V14" s="17"/>
      <c r="W14" s="17">
        <v>0.5</v>
      </c>
      <c r="X14" s="17"/>
      <c r="Y14" s="17">
        <v>0.5</v>
      </c>
      <c r="AC14" s="17"/>
      <c r="AD14" s="17">
        <v>0.5</v>
      </c>
      <c r="AE14" s="17"/>
      <c r="AF14" s="17">
        <v>0.5</v>
      </c>
      <c r="AJ14" s="17"/>
      <c r="AK14" s="17">
        <v>0.5</v>
      </c>
      <c r="AL14" s="17"/>
      <c r="AM14" s="17">
        <v>0.5</v>
      </c>
      <c r="AQ14" s="17"/>
      <c r="AR14" s="17">
        <v>0.5</v>
      </c>
      <c r="AS14" s="17"/>
      <c r="AT14" s="17">
        <v>0.5</v>
      </c>
      <c r="AX14" s="17"/>
      <c r="AY14" s="17">
        <v>0.8</v>
      </c>
      <c r="AZ14" s="17"/>
      <c r="BA14" s="17">
        <v>0.8</v>
      </c>
      <c r="BE14" s="17"/>
      <c r="BF14" s="17">
        <v>0.8</v>
      </c>
      <c r="BG14" s="17"/>
      <c r="BH14" s="17">
        <v>0.8</v>
      </c>
      <c r="BL14" s="17"/>
      <c r="BM14" s="17">
        <v>0.8</v>
      </c>
      <c r="BN14" s="17"/>
      <c r="BO14" s="17">
        <v>0.8</v>
      </c>
      <c r="BS14" s="17"/>
      <c r="BT14" s="17">
        <v>1</v>
      </c>
      <c r="BU14" s="17"/>
      <c r="BV14" s="17">
        <v>1</v>
      </c>
      <c r="BZ14" s="17"/>
      <c r="CA14" s="17">
        <v>1</v>
      </c>
      <c r="CB14" s="17"/>
      <c r="CC14" s="17">
        <v>1</v>
      </c>
      <c r="CG14" s="17"/>
      <c r="CH14" s="17"/>
      <c r="CI14" s="17"/>
      <c r="CJ14" s="17"/>
      <c r="CN14" s="17"/>
      <c r="CO14" s="17"/>
      <c r="CP14" s="17"/>
      <c r="CQ14" s="17"/>
      <c r="CU14" s="17"/>
      <c r="CV14" s="17"/>
      <c r="CW14" s="17"/>
      <c r="CX14" s="17"/>
    </row>
    <row r="15" spans="2:103" outlineLevel="1">
      <c r="B15" s="15" t="s">
        <v>60</v>
      </c>
      <c r="C15" s="15" t="s">
        <v>122</v>
      </c>
      <c r="E15" s="16"/>
      <c r="F15" s="15" t="s">
        <v>117</v>
      </c>
      <c r="G15" s="17">
        <v>0.05</v>
      </c>
      <c r="I15" s="16">
        <f>+SUMIF($N$4:$YS$4,I$4,$N15:$YS15)</f>
        <v>0</v>
      </c>
      <c r="J15" s="18">
        <v>0</v>
      </c>
      <c r="K15" s="18" cm="1">
        <f t="array" ref="K15">MAX(IF($N$4:$DA$4=$J$4,N15:DA15))</f>
        <v>0</v>
      </c>
      <c r="L15" s="16"/>
      <c r="O15" s="17"/>
      <c r="P15" s="17"/>
      <c r="Q15" s="17"/>
      <c r="R15" s="17"/>
      <c r="V15" s="17"/>
      <c r="W15" s="17"/>
      <c r="X15" s="17"/>
      <c r="Y15" s="17"/>
      <c r="AC15" s="17"/>
      <c r="AD15" s="17">
        <v>0.5</v>
      </c>
      <c r="AE15" s="17"/>
      <c r="AF15" s="17">
        <v>0.5</v>
      </c>
      <c r="AJ15" s="17"/>
      <c r="AK15" s="17">
        <v>0.5</v>
      </c>
      <c r="AL15" s="17"/>
      <c r="AM15" s="17">
        <v>0.5</v>
      </c>
      <c r="AQ15" s="17"/>
      <c r="AR15" s="17">
        <v>0.5</v>
      </c>
      <c r="AS15" s="17"/>
      <c r="AT15" s="17">
        <v>0.5</v>
      </c>
      <c r="AX15" s="17"/>
      <c r="AY15" s="17">
        <v>0.8</v>
      </c>
      <c r="AZ15" s="17"/>
      <c r="BA15" s="17">
        <v>0.8</v>
      </c>
      <c r="BE15" s="17"/>
      <c r="BF15" s="17">
        <v>0.8</v>
      </c>
      <c r="BG15" s="17"/>
      <c r="BH15" s="17">
        <v>0.8</v>
      </c>
      <c r="BL15" s="17"/>
      <c r="BM15" s="17">
        <v>0.8</v>
      </c>
      <c r="BN15" s="17"/>
      <c r="BO15" s="17">
        <v>0.8</v>
      </c>
      <c r="BS15" s="17"/>
      <c r="BT15" s="17">
        <v>1</v>
      </c>
      <c r="BU15" s="17"/>
      <c r="BV15" s="17">
        <v>1</v>
      </c>
      <c r="BZ15" s="17"/>
      <c r="CA15" s="17">
        <v>1</v>
      </c>
      <c r="CB15" s="17"/>
      <c r="CC15" s="17">
        <v>1</v>
      </c>
      <c r="CG15" s="17"/>
      <c r="CH15" s="17"/>
      <c r="CI15" s="17"/>
      <c r="CJ15" s="17"/>
      <c r="CN15" s="17"/>
      <c r="CO15" s="17"/>
      <c r="CP15" s="17"/>
      <c r="CQ15" s="17"/>
      <c r="CU15" s="17"/>
      <c r="CV15" s="17"/>
      <c r="CW15" s="17"/>
      <c r="CX15" s="17"/>
    </row>
    <row r="16" spans="2:103" outlineLevel="1">
      <c r="B16" s="15" t="s">
        <v>60</v>
      </c>
      <c r="C16" s="15" t="s">
        <v>122</v>
      </c>
      <c r="E16" s="16"/>
      <c r="F16" s="15" t="s">
        <v>118</v>
      </c>
      <c r="G16" s="17">
        <v>0.05</v>
      </c>
      <c r="I16" s="16">
        <f>+SUMIF($N$4:$YS$4,I$4,$N16:$YS16)</f>
        <v>0</v>
      </c>
      <c r="J16" s="18">
        <v>0</v>
      </c>
      <c r="K16" s="18" cm="1">
        <f t="array" ref="K16">MAX(IF($N$4:$DA$4=$J$4,N16:DA16))</f>
        <v>0</v>
      </c>
      <c r="L16" s="16"/>
      <c r="O16" s="17"/>
      <c r="P16" s="17"/>
      <c r="Q16" s="17"/>
      <c r="R16" s="17"/>
      <c r="V16" s="17"/>
      <c r="W16" s="17"/>
      <c r="X16" s="17"/>
      <c r="Y16" s="17"/>
      <c r="AC16" s="17"/>
      <c r="AD16" s="17">
        <v>0.5</v>
      </c>
      <c r="AE16" s="17"/>
      <c r="AF16" s="17">
        <v>0.5</v>
      </c>
      <c r="AJ16" s="17"/>
      <c r="AK16" s="17">
        <v>0.5</v>
      </c>
      <c r="AL16" s="17"/>
      <c r="AM16" s="17">
        <v>0.5</v>
      </c>
      <c r="AQ16" s="17"/>
      <c r="AR16" s="17">
        <v>0.5</v>
      </c>
      <c r="AS16" s="17"/>
      <c r="AT16" s="17">
        <v>0.5</v>
      </c>
      <c r="AX16" s="17"/>
      <c r="AY16" s="17">
        <v>0.5</v>
      </c>
      <c r="AZ16" s="17"/>
      <c r="BA16" s="17">
        <v>0.5</v>
      </c>
      <c r="BE16" s="17"/>
      <c r="BF16" s="17">
        <v>0.8</v>
      </c>
      <c r="BG16" s="17"/>
      <c r="BH16" s="17">
        <v>0.8</v>
      </c>
      <c r="BL16" s="17"/>
      <c r="BM16" s="17">
        <v>0.8</v>
      </c>
      <c r="BN16" s="17"/>
      <c r="BO16" s="17">
        <v>0.8</v>
      </c>
      <c r="BS16" s="17"/>
      <c r="BT16" s="17">
        <v>0.8</v>
      </c>
      <c r="BU16" s="17"/>
      <c r="BV16" s="17">
        <v>0.8</v>
      </c>
      <c r="BZ16" s="17"/>
      <c r="CA16" s="17">
        <v>1</v>
      </c>
      <c r="CB16" s="17"/>
      <c r="CC16" s="17">
        <v>1</v>
      </c>
      <c r="CG16" s="17"/>
      <c r="CH16" s="17"/>
      <c r="CI16" s="17"/>
      <c r="CJ16" s="17"/>
      <c r="CN16" s="17"/>
      <c r="CO16" s="17"/>
      <c r="CP16" s="17"/>
      <c r="CQ16" s="17"/>
      <c r="CU16" s="17"/>
      <c r="CV16" s="17"/>
      <c r="CW16" s="17"/>
      <c r="CX16" s="17"/>
    </row>
    <row r="17" spans="2:104" outlineLevel="1">
      <c r="B17" s="15" t="s">
        <v>60</v>
      </c>
      <c r="C17" s="15" t="s">
        <v>122</v>
      </c>
      <c r="E17" s="16"/>
      <c r="F17" s="15" t="s">
        <v>64</v>
      </c>
      <c r="G17" s="17">
        <v>0.05</v>
      </c>
      <c r="I17" s="16">
        <f>+SUMIF($N$4:$YS$4,I$4,$N17:$YS17)</f>
        <v>0</v>
      </c>
      <c r="J17" s="18">
        <v>0</v>
      </c>
      <c r="K17" s="18" cm="1">
        <f t="array" ref="K17">MAX(IF($N$4:$DA$4=$J$4,N17:DA17))</f>
        <v>0</v>
      </c>
      <c r="L17" s="16"/>
      <c r="O17" s="17"/>
      <c r="P17" s="17"/>
      <c r="Q17" s="17"/>
      <c r="R17" s="17"/>
      <c r="V17" s="17"/>
      <c r="W17" s="17"/>
      <c r="X17" s="17"/>
      <c r="Y17" s="17"/>
      <c r="AC17" s="17"/>
      <c r="AD17" s="17"/>
      <c r="AE17" s="17"/>
      <c r="AF17" s="17"/>
      <c r="AJ17" s="17"/>
      <c r="AK17" s="17">
        <v>0.5</v>
      </c>
      <c r="AL17" s="17"/>
      <c r="AM17" s="17">
        <v>0.5</v>
      </c>
      <c r="AQ17" s="17"/>
      <c r="AR17" s="17">
        <v>0.5</v>
      </c>
      <c r="AS17" s="17"/>
      <c r="AT17" s="17">
        <v>0.5</v>
      </c>
      <c r="AX17" s="17"/>
      <c r="AY17" s="17">
        <v>0.5</v>
      </c>
      <c r="AZ17" s="17"/>
      <c r="BA17" s="17">
        <v>0.5</v>
      </c>
      <c r="BE17" s="17"/>
      <c r="BF17" s="17">
        <v>0.8</v>
      </c>
      <c r="BG17" s="17"/>
      <c r="BH17" s="17">
        <v>0.8</v>
      </c>
      <c r="BL17" s="17"/>
      <c r="BM17" s="17">
        <v>0.8</v>
      </c>
      <c r="BN17" s="17"/>
      <c r="BO17" s="17">
        <v>0.8</v>
      </c>
      <c r="BS17" s="17"/>
      <c r="BT17" s="17">
        <v>0.8</v>
      </c>
      <c r="BU17" s="17"/>
      <c r="BV17" s="17">
        <v>0.8</v>
      </c>
      <c r="BZ17" s="17"/>
      <c r="CA17" s="17">
        <v>1</v>
      </c>
      <c r="CB17" s="17"/>
      <c r="CC17" s="17">
        <v>1</v>
      </c>
      <c r="CG17" s="17"/>
      <c r="CH17" s="17"/>
      <c r="CI17" s="17"/>
      <c r="CJ17" s="17"/>
      <c r="CN17" s="17"/>
      <c r="CO17" s="17"/>
      <c r="CP17" s="17"/>
      <c r="CQ17" s="17"/>
      <c r="CU17" s="17"/>
      <c r="CV17" s="17"/>
      <c r="CW17" s="17"/>
      <c r="CX17" s="17"/>
    </row>
    <row r="18" spans="2:104" outlineLevel="1">
      <c r="B18" s="15" t="s">
        <v>60</v>
      </c>
      <c r="C18" s="15" t="s">
        <v>122</v>
      </c>
      <c r="E18" s="16"/>
      <c r="F18" s="15" t="s">
        <v>119</v>
      </c>
      <c r="G18" s="17">
        <v>0.05</v>
      </c>
      <c r="I18" s="16">
        <f>+SUMIF($N$4:$YS$4,I$4,$N18:$YS18)</f>
        <v>0</v>
      </c>
      <c r="J18" s="18">
        <v>0</v>
      </c>
      <c r="K18" s="18" cm="1">
        <f t="array" ref="K18">MAX(IF($N$4:$DA$4=$J$4,N18:DA18))</f>
        <v>0</v>
      </c>
      <c r="L18" s="16"/>
      <c r="O18" s="17"/>
      <c r="P18" s="17"/>
      <c r="Q18" s="17"/>
      <c r="R18" s="17"/>
      <c r="V18" s="17"/>
      <c r="W18" s="17"/>
      <c r="X18" s="17"/>
      <c r="Y18" s="17"/>
      <c r="AC18" s="17"/>
      <c r="AD18" s="17"/>
      <c r="AE18" s="17"/>
      <c r="AF18" s="17"/>
      <c r="AJ18" s="17"/>
      <c r="AK18" s="17">
        <v>0.5</v>
      </c>
      <c r="AL18" s="17"/>
      <c r="AM18" s="17">
        <v>0.5</v>
      </c>
      <c r="AQ18" s="17"/>
      <c r="AR18" s="17">
        <v>0.5</v>
      </c>
      <c r="AS18" s="17"/>
      <c r="AT18" s="17">
        <v>0.5</v>
      </c>
      <c r="AX18" s="17"/>
      <c r="AY18" s="17">
        <v>0.5</v>
      </c>
      <c r="AZ18" s="17"/>
      <c r="BA18" s="17">
        <v>0.5</v>
      </c>
      <c r="BE18" s="17"/>
      <c r="BF18" s="17">
        <v>0.5</v>
      </c>
      <c r="BG18" s="17"/>
      <c r="BH18" s="17">
        <v>0.5</v>
      </c>
      <c r="BL18" s="17"/>
      <c r="BM18" s="17">
        <v>0.8</v>
      </c>
      <c r="BN18" s="17"/>
      <c r="BO18" s="17">
        <v>0.8</v>
      </c>
      <c r="BS18" s="17"/>
      <c r="BT18" s="17">
        <v>0.8</v>
      </c>
      <c r="BU18" s="17"/>
      <c r="BV18" s="17">
        <v>0.8</v>
      </c>
      <c r="BZ18" s="17"/>
      <c r="CA18" s="17">
        <v>1</v>
      </c>
      <c r="CB18" s="17"/>
      <c r="CC18" s="17">
        <v>1</v>
      </c>
      <c r="CG18" s="17"/>
      <c r="CH18" s="17"/>
      <c r="CI18" s="17"/>
      <c r="CJ18" s="17"/>
      <c r="CN18" s="17"/>
      <c r="CO18" s="17"/>
      <c r="CP18" s="17"/>
      <c r="CQ18" s="17"/>
      <c r="CU18" s="17"/>
      <c r="CV18" s="17"/>
      <c r="CW18" s="17"/>
      <c r="CX18" s="17"/>
    </row>
    <row r="19" spans="2:104" outlineLevel="1">
      <c r="B19" s="15" t="s">
        <v>60</v>
      </c>
      <c r="C19" s="15" t="s">
        <v>122</v>
      </c>
      <c r="E19" s="16"/>
      <c r="F19" s="15" t="s">
        <v>120</v>
      </c>
      <c r="G19" s="17">
        <v>0.05</v>
      </c>
      <c r="I19" s="16">
        <f>+SUMIF($N$4:$YS$4,I$4,$N19:$YS19)</f>
        <v>0</v>
      </c>
      <c r="J19" s="18">
        <v>0</v>
      </c>
      <c r="K19" s="18" cm="1">
        <f t="array" ref="K19">MAX(IF($N$4:$DA$4=$J$4,N19:DA19))</f>
        <v>0</v>
      </c>
      <c r="L19" s="16"/>
      <c r="O19" s="17"/>
      <c r="P19" s="17"/>
      <c r="Q19" s="17"/>
      <c r="R19" s="17"/>
      <c r="V19" s="17"/>
      <c r="W19" s="17"/>
      <c r="X19" s="17"/>
      <c r="Y19" s="17"/>
      <c r="AC19" s="17"/>
      <c r="AD19" s="17"/>
      <c r="AE19" s="17"/>
      <c r="AF19" s="17"/>
      <c r="AJ19" s="17"/>
      <c r="AK19" s="17">
        <v>0.5</v>
      </c>
      <c r="AL19" s="17"/>
      <c r="AM19" s="17">
        <v>0.5</v>
      </c>
      <c r="AQ19" s="17"/>
      <c r="AR19" s="17">
        <v>0.5</v>
      </c>
      <c r="AS19" s="17"/>
      <c r="AT19" s="17">
        <v>0.5</v>
      </c>
      <c r="AX19" s="17"/>
      <c r="AY19" s="17">
        <v>0.5</v>
      </c>
      <c r="AZ19" s="17"/>
      <c r="BA19" s="17">
        <v>0.5</v>
      </c>
      <c r="BE19" s="17"/>
      <c r="BF19" s="17">
        <v>0.5</v>
      </c>
      <c r="BG19" s="17"/>
      <c r="BH19" s="17">
        <v>0.5</v>
      </c>
      <c r="BL19" s="17"/>
      <c r="BM19" s="17">
        <v>0.8</v>
      </c>
      <c r="BN19" s="17"/>
      <c r="BO19" s="17">
        <v>0.8</v>
      </c>
      <c r="BS19" s="17"/>
      <c r="BT19" s="17">
        <v>0.8</v>
      </c>
      <c r="BU19" s="17"/>
      <c r="BV19" s="17">
        <v>0.8</v>
      </c>
      <c r="BZ19" s="17"/>
      <c r="CA19" s="17">
        <v>1</v>
      </c>
      <c r="CB19" s="17"/>
      <c r="CC19" s="17">
        <v>1</v>
      </c>
      <c r="CG19" s="17"/>
      <c r="CH19" s="17"/>
      <c r="CI19" s="17"/>
      <c r="CJ19" s="17"/>
      <c r="CN19" s="17"/>
      <c r="CO19" s="17"/>
      <c r="CP19" s="17"/>
      <c r="CQ19" s="17"/>
      <c r="CU19" s="17"/>
      <c r="CV19" s="17"/>
      <c r="CW19" s="17"/>
      <c r="CX19" s="17"/>
    </row>
    <row r="21" spans="2:104">
      <c r="B21" s="24" t="s">
        <v>38</v>
      </c>
      <c r="C21" s="24" t="s">
        <v>121</v>
      </c>
      <c r="D21" s="25">
        <v>45867</v>
      </c>
      <c r="E21" s="26">
        <v>5</v>
      </c>
      <c r="F21" s="24"/>
      <c r="G21" s="27">
        <f>+SUM(G22:G34)</f>
        <v>1.3</v>
      </c>
      <c r="I21" s="38">
        <v>0</v>
      </c>
      <c r="J21" s="39">
        <f>+SUMPRODUCT(G22:G34,J22:J34)</f>
        <v>0</v>
      </c>
      <c r="K21" s="39">
        <f>+SUMPRODUCT(G22:G34,K22:K34)</f>
        <v>0</v>
      </c>
      <c r="L21" s="26"/>
      <c r="M21" s="44"/>
      <c r="N21" s="38">
        <v>0</v>
      </c>
      <c r="O21" s="24"/>
      <c r="P21" s="24"/>
      <c r="Q21" s="24"/>
      <c r="R21" s="24"/>
      <c r="S21" s="24"/>
      <c r="T21" s="44"/>
      <c r="U21" s="38">
        <f>+SUM(U22:U34)</f>
        <v>0</v>
      </c>
      <c r="V21" s="27"/>
      <c r="W21" s="27"/>
      <c r="X21" s="24"/>
      <c r="Y21" s="24"/>
      <c r="Z21" s="38"/>
      <c r="AA21" s="44"/>
      <c r="AB21" s="24">
        <v>0</v>
      </c>
      <c r="AC21" s="24"/>
      <c r="AD21" s="24"/>
      <c r="AE21" s="24"/>
      <c r="AF21" s="24"/>
      <c r="AG21" s="38"/>
      <c r="AH21" s="44"/>
      <c r="AI21" s="24">
        <v>0</v>
      </c>
      <c r="AJ21" s="24"/>
      <c r="AK21" s="24"/>
      <c r="AL21" s="24"/>
      <c r="AM21" s="24"/>
      <c r="AN21" s="38"/>
      <c r="AO21" s="44"/>
      <c r="AP21" s="24">
        <v>0</v>
      </c>
      <c r="AQ21" s="24"/>
      <c r="AR21" s="24"/>
      <c r="AS21" s="24"/>
      <c r="AT21" s="24"/>
      <c r="AU21" s="24"/>
      <c r="AV21" s="44"/>
      <c r="AW21" s="24"/>
      <c r="AX21" s="24"/>
      <c r="AY21" s="24"/>
      <c r="AZ21" s="24"/>
      <c r="BA21" s="24"/>
      <c r="BB21" s="24"/>
      <c r="BC21" s="44"/>
      <c r="BD21" s="24"/>
      <c r="BE21" s="24"/>
      <c r="BF21" s="24"/>
      <c r="BG21" s="24"/>
      <c r="BH21" s="24"/>
      <c r="BI21" s="24"/>
      <c r="BJ21" s="44"/>
      <c r="BK21" s="24"/>
      <c r="BL21" s="24"/>
      <c r="BM21" s="24"/>
      <c r="BN21" s="24"/>
      <c r="BO21" s="24"/>
      <c r="BP21" s="24"/>
      <c r="BQ21" s="44"/>
      <c r="BR21" s="24"/>
      <c r="BS21" s="24"/>
      <c r="BT21" s="24"/>
      <c r="BU21" s="24"/>
      <c r="BV21" s="24"/>
      <c r="BW21" s="24"/>
      <c r="BX21" s="44"/>
      <c r="BY21" s="24"/>
      <c r="BZ21" s="24"/>
      <c r="CA21" s="24"/>
      <c r="CB21" s="24"/>
      <c r="CC21" s="24"/>
      <c r="CD21" s="24"/>
      <c r="CE21" s="44"/>
      <c r="CF21" s="24"/>
      <c r="CG21" s="24"/>
      <c r="CH21" s="24"/>
      <c r="CI21" s="24"/>
      <c r="CJ21" s="24"/>
      <c r="CK21" s="24"/>
      <c r="CL21" s="44"/>
      <c r="CM21" s="24"/>
      <c r="CN21" s="24"/>
      <c r="CO21" s="24"/>
      <c r="CP21" s="24"/>
      <c r="CQ21" s="24"/>
      <c r="CR21" s="24"/>
      <c r="CS21" s="58"/>
      <c r="CT21" s="24"/>
      <c r="CU21" s="24"/>
      <c r="CV21" s="24"/>
      <c r="CW21" s="24"/>
      <c r="CX21" s="24"/>
      <c r="CY21" s="24"/>
      <c r="CZ21" s="44"/>
    </row>
    <row r="22" spans="2:104" outlineLevel="1">
      <c r="B22" s="15" t="s">
        <v>60</v>
      </c>
      <c r="C22" s="15" t="s">
        <v>121</v>
      </c>
      <c r="E22" s="16"/>
      <c r="F22" s="15" t="s">
        <v>127</v>
      </c>
      <c r="G22" s="17">
        <v>0.1</v>
      </c>
      <c r="I22" s="16">
        <v>0</v>
      </c>
      <c r="J22" s="18" cm="1">
        <f t="array" ref="J22">MAX(IF($N$4:$DA$4=$J$4,N22:DA22))</f>
        <v>0</v>
      </c>
      <c r="K22" s="18" cm="1">
        <f t="array" ref="K22">MAX(IF($N$4:$DA$4=$J$4,N22:DA22))</f>
        <v>0</v>
      </c>
      <c r="L22" s="16"/>
      <c r="O22" s="17"/>
      <c r="P22" s="17">
        <v>0.5</v>
      </c>
      <c r="Q22" s="17"/>
      <c r="R22" s="17">
        <v>0.5</v>
      </c>
      <c r="V22" s="17"/>
      <c r="W22" s="17">
        <v>0.5</v>
      </c>
      <c r="X22" s="17"/>
      <c r="Y22" s="17">
        <v>0.5</v>
      </c>
      <c r="AC22" s="17"/>
      <c r="AD22" s="17">
        <v>0.8</v>
      </c>
      <c r="AE22" s="17"/>
      <c r="AF22" s="17">
        <v>0.8</v>
      </c>
      <c r="AJ22" s="17"/>
      <c r="AK22" s="17">
        <v>0.8</v>
      </c>
      <c r="AL22" s="17"/>
      <c r="AM22" s="17">
        <v>0.8</v>
      </c>
      <c r="AQ22" s="17"/>
      <c r="AR22" s="17">
        <v>1</v>
      </c>
      <c r="AS22" s="17"/>
      <c r="AT22" s="17">
        <v>1</v>
      </c>
      <c r="AX22" s="17"/>
      <c r="AY22" s="17">
        <v>1</v>
      </c>
      <c r="AZ22" s="17"/>
      <c r="BA22" s="17">
        <v>1</v>
      </c>
      <c r="BE22" s="17"/>
      <c r="BF22" s="17">
        <v>1</v>
      </c>
      <c r="BG22" s="17"/>
      <c r="BH22" s="17">
        <v>1</v>
      </c>
      <c r="BL22" s="17"/>
      <c r="BM22" s="17">
        <v>1</v>
      </c>
      <c r="BN22" s="17"/>
      <c r="BO22" s="17">
        <v>1</v>
      </c>
      <c r="BS22" s="17"/>
      <c r="BT22" s="17">
        <v>1</v>
      </c>
      <c r="BU22" s="17"/>
      <c r="BV22" s="17">
        <v>1</v>
      </c>
      <c r="BZ22" s="17"/>
      <c r="CA22" s="17">
        <v>1</v>
      </c>
      <c r="CB22" s="17"/>
      <c r="CC22" s="17">
        <v>1</v>
      </c>
      <c r="CG22" s="17"/>
      <c r="CH22" s="17"/>
      <c r="CI22" s="17"/>
      <c r="CJ22" s="17"/>
      <c r="CN22" s="17"/>
      <c r="CO22" s="17"/>
      <c r="CP22" s="17"/>
      <c r="CQ22" s="17"/>
      <c r="CU22" s="17"/>
      <c r="CV22" s="17"/>
      <c r="CW22" s="17"/>
      <c r="CX22" s="17"/>
    </row>
    <row r="23" spans="2:104" outlineLevel="1">
      <c r="B23" s="15" t="s">
        <v>60</v>
      </c>
      <c r="C23" s="15" t="s">
        <v>121</v>
      </c>
      <c r="E23" s="16"/>
      <c r="F23" s="15" t="s">
        <v>128</v>
      </c>
      <c r="G23" s="17">
        <v>0.1</v>
      </c>
      <c r="I23" s="16">
        <v>0</v>
      </c>
      <c r="J23" s="18" cm="1">
        <f t="array" ref="J23">MAX(IF($N$4:$DA$4=$J$4,N23:DA23))</f>
        <v>0</v>
      </c>
      <c r="K23" s="18" cm="1">
        <f t="array" ref="K23">MAX(IF($N$4:$DA$4=$J$4,N23:DA23))</f>
        <v>0</v>
      </c>
      <c r="L23" s="16"/>
      <c r="O23" s="17"/>
      <c r="P23" s="17">
        <v>0.5</v>
      </c>
      <c r="Q23" s="17"/>
      <c r="R23" s="17">
        <v>0.5</v>
      </c>
      <c r="V23" s="17"/>
      <c r="W23" s="17">
        <v>0.5</v>
      </c>
      <c r="X23" s="17"/>
      <c r="Y23" s="17">
        <v>0.5</v>
      </c>
      <c r="AC23" s="17"/>
      <c r="AD23" s="17">
        <v>0.8</v>
      </c>
      <c r="AE23" s="17"/>
      <c r="AF23" s="17">
        <v>0.8</v>
      </c>
      <c r="AJ23" s="17"/>
      <c r="AK23" s="17">
        <v>0.8</v>
      </c>
      <c r="AL23" s="17"/>
      <c r="AM23" s="17">
        <v>0.8</v>
      </c>
      <c r="AQ23" s="17"/>
      <c r="AR23" s="17">
        <v>1</v>
      </c>
      <c r="AS23" s="17"/>
      <c r="AT23" s="17">
        <v>1</v>
      </c>
      <c r="AX23" s="17"/>
      <c r="AY23" s="17">
        <v>1</v>
      </c>
      <c r="AZ23" s="17"/>
      <c r="BA23" s="17">
        <v>1</v>
      </c>
      <c r="BE23" s="17"/>
      <c r="BF23" s="17">
        <v>1</v>
      </c>
      <c r="BG23" s="17"/>
      <c r="BH23" s="17">
        <v>1</v>
      </c>
      <c r="BL23" s="17"/>
      <c r="BM23" s="17">
        <v>1</v>
      </c>
      <c r="BN23" s="17"/>
      <c r="BO23" s="17">
        <v>1</v>
      </c>
      <c r="BS23" s="17"/>
      <c r="BT23" s="17">
        <v>1</v>
      </c>
      <c r="BU23" s="17"/>
      <c r="BV23" s="17">
        <v>1</v>
      </c>
      <c r="BZ23" s="17"/>
      <c r="CA23" s="17">
        <v>1</v>
      </c>
      <c r="CB23" s="17"/>
      <c r="CC23" s="17">
        <v>1</v>
      </c>
      <c r="CG23" s="17"/>
      <c r="CH23" s="17"/>
      <c r="CI23" s="17"/>
      <c r="CJ23" s="17"/>
      <c r="CN23" s="17"/>
      <c r="CO23" s="17"/>
      <c r="CP23" s="17"/>
      <c r="CQ23" s="17"/>
      <c r="CU23" s="17"/>
      <c r="CV23" s="17"/>
      <c r="CW23" s="17"/>
      <c r="CX23" s="17"/>
    </row>
    <row r="24" spans="2:104" outlineLevel="1">
      <c r="B24" s="15" t="s">
        <v>60</v>
      </c>
      <c r="C24" s="15" t="s">
        <v>121</v>
      </c>
      <c r="E24" s="16"/>
      <c r="F24" s="15" t="s">
        <v>129</v>
      </c>
      <c r="G24" s="17">
        <v>0.15</v>
      </c>
      <c r="I24" s="16">
        <v>0</v>
      </c>
      <c r="J24" s="18" cm="1">
        <f t="array" ref="J24">MAX(IF($N$4:$DA$4=$J$4,N24:DA24))</f>
        <v>0</v>
      </c>
      <c r="K24" s="18" cm="1">
        <f t="array" ref="K24">MAX(IF($N$4:$DA$4=$J$4,N24:DA24))</f>
        <v>0</v>
      </c>
      <c r="L24" s="16"/>
      <c r="O24" s="17"/>
      <c r="P24" s="17">
        <v>0.5</v>
      </c>
      <c r="Q24" s="17"/>
      <c r="R24" s="17">
        <v>0.5</v>
      </c>
      <c r="V24" s="17"/>
      <c r="W24" s="17">
        <v>0.5</v>
      </c>
      <c r="X24" s="17"/>
      <c r="Y24" s="17">
        <v>0.5</v>
      </c>
      <c r="AC24" s="17"/>
      <c r="AD24" s="17">
        <v>0.8</v>
      </c>
      <c r="AE24" s="17"/>
      <c r="AF24" s="17">
        <v>0.8</v>
      </c>
      <c r="AJ24" s="17"/>
      <c r="AK24" s="17">
        <v>0.8</v>
      </c>
      <c r="AL24" s="17"/>
      <c r="AM24" s="17">
        <v>0.8</v>
      </c>
      <c r="AQ24" s="17"/>
      <c r="AR24" s="17">
        <v>1</v>
      </c>
      <c r="AS24" s="17"/>
      <c r="AT24" s="17">
        <v>1</v>
      </c>
      <c r="AX24" s="17"/>
      <c r="AY24" s="17">
        <v>1</v>
      </c>
      <c r="AZ24" s="17"/>
      <c r="BA24" s="17">
        <v>1</v>
      </c>
      <c r="BE24" s="17"/>
      <c r="BF24" s="17">
        <v>1</v>
      </c>
      <c r="BG24" s="17"/>
      <c r="BH24" s="17">
        <v>1</v>
      </c>
      <c r="BL24" s="17"/>
      <c r="BM24" s="17">
        <v>1</v>
      </c>
      <c r="BN24" s="17"/>
      <c r="BO24" s="17">
        <v>1</v>
      </c>
      <c r="BS24" s="17"/>
      <c r="BT24" s="17">
        <v>1</v>
      </c>
      <c r="BU24" s="17"/>
      <c r="BV24" s="17">
        <v>1</v>
      </c>
      <c r="BZ24" s="17"/>
      <c r="CA24" s="17">
        <v>1</v>
      </c>
      <c r="CB24" s="17"/>
      <c r="CC24" s="17">
        <v>1</v>
      </c>
      <c r="CG24" s="17"/>
      <c r="CH24" s="17"/>
      <c r="CI24" s="17"/>
      <c r="CJ24" s="17"/>
      <c r="CN24" s="17"/>
      <c r="CO24" s="17"/>
      <c r="CP24" s="17"/>
      <c r="CQ24" s="17"/>
      <c r="CU24" s="17"/>
      <c r="CV24" s="17"/>
      <c r="CW24" s="17"/>
      <c r="CX24" s="17"/>
    </row>
    <row r="25" spans="2:104" outlineLevel="1">
      <c r="B25" s="15" t="s">
        <v>60</v>
      </c>
      <c r="C25" s="15" t="s">
        <v>121</v>
      </c>
      <c r="E25" s="16"/>
      <c r="F25" s="15" t="s">
        <v>130</v>
      </c>
      <c r="G25" s="17">
        <v>0.1</v>
      </c>
      <c r="I25" s="16">
        <v>0</v>
      </c>
      <c r="J25" s="18" cm="1">
        <f t="array" ref="J25">MAX(IF($N$4:$DA$4=$J$4,N25:DA25))</f>
        <v>0</v>
      </c>
      <c r="K25" s="18" cm="1">
        <f t="array" ref="K25">MAX(IF($N$4:$DA$4=$J$4,N25:DA25))</f>
        <v>0</v>
      </c>
      <c r="L25" s="16"/>
      <c r="O25" s="17"/>
      <c r="P25" s="17">
        <v>0.5</v>
      </c>
      <c r="Q25" s="17"/>
      <c r="R25" s="17">
        <v>0.5</v>
      </c>
      <c r="V25" s="17"/>
      <c r="W25" s="17">
        <v>0.5</v>
      </c>
      <c r="X25" s="17"/>
      <c r="Y25" s="17">
        <v>0.5</v>
      </c>
      <c r="AC25" s="17"/>
      <c r="AD25" s="17">
        <v>0.5</v>
      </c>
      <c r="AE25" s="17"/>
      <c r="AF25" s="17">
        <v>0.5</v>
      </c>
      <c r="AJ25" s="17"/>
      <c r="AK25" s="17">
        <v>0.5</v>
      </c>
      <c r="AL25" s="17"/>
      <c r="AM25" s="17">
        <v>0.5</v>
      </c>
      <c r="AQ25" s="17"/>
      <c r="AR25" s="17">
        <v>0.8</v>
      </c>
      <c r="AS25" s="17"/>
      <c r="AT25" s="17">
        <v>0.8</v>
      </c>
      <c r="AX25" s="17"/>
      <c r="AY25" s="17">
        <v>1</v>
      </c>
      <c r="AZ25" s="17"/>
      <c r="BA25" s="17">
        <v>1</v>
      </c>
      <c r="BE25" s="17"/>
      <c r="BF25" s="17">
        <v>1</v>
      </c>
      <c r="BG25" s="17"/>
      <c r="BH25" s="17">
        <v>1</v>
      </c>
      <c r="BL25" s="17"/>
      <c r="BM25" s="17">
        <v>1</v>
      </c>
      <c r="BN25" s="17"/>
      <c r="BO25" s="17">
        <v>1</v>
      </c>
      <c r="BS25" s="17"/>
      <c r="BT25" s="17">
        <v>1</v>
      </c>
      <c r="BU25" s="17"/>
      <c r="BV25" s="17">
        <v>1</v>
      </c>
      <c r="BZ25" s="17"/>
      <c r="CA25" s="17">
        <v>1</v>
      </c>
      <c r="CB25" s="17"/>
      <c r="CC25" s="17">
        <v>1</v>
      </c>
      <c r="CF25" s="17"/>
      <c r="CG25" s="17"/>
      <c r="CH25" s="17"/>
      <c r="CI25" s="17"/>
      <c r="CJ25" s="17"/>
      <c r="CM25" s="17"/>
      <c r="CN25" s="17"/>
      <c r="CO25" s="17"/>
      <c r="CP25" s="17"/>
      <c r="CT25" s="17"/>
      <c r="CU25" s="17"/>
      <c r="CV25" s="17"/>
      <c r="CW25" s="17"/>
    </row>
    <row r="26" spans="2:104" outlineLevel="1">
      <c r="B26" s="15" t="s">
        <v>60</v>
      </c>
      <c r="C26" s="15" t="s">
        <v>121</v>
      </c>
      <c r="E26" s="16"/>
      <c r="F26" s="15" t="s">
        <v>131</v>
      </c>
      <c r="G26" s="17">
        <v>0.1</v>
      </c>
      <c r="I26" s="16">
        <v>0</v>
      </c>
      <c r="J26" s="18" cm="1">
        <f t="array" ref="J26">MAX(IF($N$4:$DA$4=$J$4,N26:DA26))</f>
        <v>0</v>
      </c>
      <c r="K26" s="18" cm="1">
        <f t="array" ref="K26">MAX(IF($N$4:$DA$4=$J$4,N26:DA26))</f>
        <v>0</v>
      </c>
      <c r="L26" s="16"/>
      <c r="O26" s="17"/>
      <c r="P26" s="17">
        <v>0.5</v>
      </c>
      <c r="Q26" s="17"/>
      <c r="R26" s="17">
        <v>0.5</v>
      </c>
      <c r="V26" s="17"/>
      <c r="W26" s="17">
        <v>0.5</v>
      </c>
      <c r="X26" s="17"/>
      <c r="Y26" s="17">
        <v>0.5</v>
      </c>
      <c r="AC26" s="17"/>
      <c r="AD26" s="17">
        <v>0.5</v>
      </c>
      <c r="AE26" s="17"/>
      <c r="AF26" s="17">
        <v>0.5</v>
      </c>
      <c r="AJ26" s="17"/>
      <c r="AK26" s="17">
        <v>0.5</v>
      </c>
      <c r="AL26" s="17"/>
      <c r="AM26" s="17">
        <v>0.5</v>
      </c>
      <c r="AQ26" s="17"/>
      <c r="AR26" s="17">
        <v>0.8</v>
      </c>
      <c r="AS26" s="17"/>
      <c r="AT26" s="17">
        <v>0.8</v>
      </c>
      <c r="AX26" s="17"/>
      <c r="AY26" s="17">
        <v>1</v>
      </c>
      <c r="AZ26" s="17"/>
      <c r="BA26" s="17">
        <v>1</v>
      </c>
      <c r="BE26" s="17"/>
      <c r="BF26" s="17">
        <v>1</v>
      </c>
      <c r="BG26" s="17"/>
      <c r="BH26" s="17">
        <v>1</v>
      </c>
      <c r="BL26" s="17"/>
      <c r="BM26" s="17">
        <v>1</v>
      </c>
      <c r="BN26" s="17"/>
      <c r="BO26" s="17">
        <v>1</v>
      </c>
      <c r="BS26" s="17"/>
      <c r="BT26" s="17">
        <v>1</v>
      </c>
      <c r="BU26" s="17"/>
      <c r="BV26" s="17">
        <v>1</v>
      </c>
      <c r="BZ26" s="17"/>
      <c r="CA26" s="17">
        <v>1</v>
      </c>
      <c r="CB26" s="17"/>
      <c r="CC26" s="17">
        <v>1</v>
      </c>
      <c r="CF26" s="17"/>
      <c r="CG26" s="17"/>
      <c r="CH26" s="17"/>
      <c r="CI26" s="17"/>
      <c r="CJ26" s="17"/>
      <c r="CM26" s="17"/>
      <c r="CN26" s="17"/>
      <c r="CO26" s="17"/>
      <c r="CP26" s="17"/>
      <c r="CT26" s="17"/>
      <c r="CU26" s="17"/>
      <c r="CV26" s="17"/>
      <c r="CW26" s="17"/>
    </row>
    <row r="27" spans="2:104" outlineLevel="1">
      <c r="B27" s="15" t="s">
        <v>60</v>
      </c>
      <c r="C27" s="15" t="s">
        <v>121</v>
      </c>
      <c r="E27" s="16"/>
      <c r="F27" s="15" t="s">
        <v>132</v>
      </c>
      <c r="G27" s="17">
        <v>0.1</v>
      </c>
      <c r="I27" s="16">
        <v>0</v>
      </c>
      <c r="J27" s="18" cm="1">
        <f t="array" ref="J27">MAX(IF($N$4:$DA$4=$J$4,N27:DA27))</f>
        <v>0</v>
      </c>
      <c r="K27" s="18" cm="1">
        <f t="array" ref="K27">MAX(IF($N$4:$DA$4=$J$4,N27:DA27))</f>
        <v>0</v>
      </c>
      <c r="L27" s="16"/>
      <c r="O27" s="17"/>
      <c r="P27" s="17"/>
      <c r="Q27" s="17"/>
      <c r="R27" s="17"/>
      <c r="V27" s="17"/>
      <c r="W27" s="17">
        <v>0.5</v>
      </c>
      <c r="X27" s="17"/>
      <c r="Y27" s="17">
        <v>0.5</v>
      </c>
      <c r="AC27" s="17"/>
      <c r="AD27" s="17">
        <v>0.5</v>
      </c>
      <c r="AE27" s="17"/>
      <c r="AF27" s="17">
        <v>0.5</v>
      </c>
      <c r="AJ27" s="17"/>
      <c r="AK27" s="17">
        <v>0.5</v>
      </c>
      <c r="AL27" s="17"/>
      <c r="AM27" s="17">
        <v>0.5</v>
      </c>
      <c r="AQ27" s="17"/>
      <c r="AR27" s="17">
        <v>0.5</v>
      </c>
      <c r="AS27" s="17"/>
      <c r="AT27" s="17">
        <v>0.5</v>
      </c>
      <c r="AX27" s="17"/>
      <c r="AY27" s="17">
        <v>0.8</v>
      </c>
      <c r="AZ27" s="17"/>
      <c r="BA27" s="17">
        <v>0.8</v>
      </c>
      <c r="BE27" s="17"/>
      <c r="BF27" s="17">
        <v>1</v>
      </c>
      <c r="BG27" s="17"/>
      <c r="BH27" s="17">
        <v>1</v>
      </c>
      <c r="BL27" s="17"/>
      <c r="BM27" s="17">
        <v>1</v>
      </c>
      <c r="BN27" s="17"/>
      <c r="BO27" s="17">
        <v>1</v>
      </c>
      <c r="BS27" s="17"/>
      <c r="BT27" s="17">
        <v>1</v>
      </c>
      <c r="BU27" s="17"/>
      <c r="BV27" s="17">
        <v>1</v>
      </c>
      <c r="BZ27" s="17"/>
      <c r="CA27" s="17">
        <v>1</v>
      </c>
      <c r="CB27" s="17"/>
      <c r="CC27" s="17">
        <v>1</v>
      </c>
      <c r="CG27" s="17"/>
      <c r="CH27" s="17"/>
      <c r="CI27" s="17"/>
      <c r="CJ27" s="17"/>
      <c r="CN27" s="17"/>
      <c r="CO27" s="17"/>
      <c r="CP27" s="17"/>
      <c r="CQ27" s="17"/>
      <c r="CU27" s="17"/>
      <c r="CV27" s="17"/>
      <c r="CW27" s="17"/>
      <c r="CX27" s="17"/>
    </row>
    <row r="28" spans="2:104" outlineLevel="1">
      <c r="B28" s="15" t="s">
        <v>60</v>
      </c>
      <c r="C28" s="15" t="s">
        <v>121</v>
      </c>
      <c r="E28" s="16"/>
      <c r="F28" s="15" t="s">
        <v>133</v>
      </c>
      <c r="G28" s="17">
        <v>0.1</v>
      </c>
      <c r="I28" s="16">
        <v>0</v>
      </c>
      <c r="J28" s="18" cm="1">
        <f t="array" ref="J28">MAX(IF($N$4:$DA$4=$J$4,N28:DA28))</f>
        <v>0</v>
      </c>
      <c r="K28" s="18" cm="1">
        <f t="array" ref="K28">MAX(IF($N$4:$DA$4=$J$4,N28:DA28))</f>
        <v>0</v>
      </c>
      <c r="L28" s="16"/>
      <c r="O28" s="17"/>
      <c r="P28" s="17"/>
      <c r="Q28" s="17"/>
      <c r="R28" s="17"/>
      <c r="V28" s="17"/>
      <c r="W28" s="17">
        <v>0.5</v>
      </c>
      <c r="X28" s="17"/>
      <c r="Y28" s="17">
        <v>0.5</v>
      </c>
      <c r="AC28" s="17"/>
      <c r="AD28" s="17">
        <v>0.5</v>
      </c>
      <c r="AE28" s="17"/>
      <c r="AF28" s="17">
        <v>0.5</v>
      </c>
      <c r="AJ28" s="17"/>
      <c r="AK28" s="17">
        <v>0.5</v>
      </c>
      <c r="AL28" s="17"/>
      <c r="AM28" s="17">
        <v>0.5</v>
      </c>
      <c r="AQ28" s="17"/>
      <c r="AR28" s="17">
        <v>0.5</v>
      </c>
      <c r="AS28" s="17"/>
      <c r="AT28" s="17">
        <v>0.5</v>
      </c>
      <c r="AX28" s="17"/>
      <c r="AY28" s="17">
        <v>0.8</v>
      </c>
      <c r="AZ28" s="17"/>
      <c r="BA28" s="17">
        <v>0.8</v>
      </c>
      <c r="BE28" s="17"/>
      <c r="BF28" s="17">
        <v>0.8</v>
      </c>
      <c r="BG28" s="17"/>
      <c r="BH28" s="17">
        <v>0.8</v>
      </c>
      <c r="BL28" s="17"/>
      <c r="BM28" s="17">
        <v>0.8</v>
      </c>
      <c r="BN28" s="17"/>
      <c r="BO28" s="17">
        <v>0.8</v>
      </c>
      <c r="BS28" s="17"/>
      <c r="BT28" s="17">
        <v>1</v>
      </c>
      <c r="BU28" s="17"/>
      <c r="BV28" s="17">
        <v>1</v>
      </c>
      <c r="BZ28" s="17"/>
      <c r="CA28" s="17">
        <v>1</v>
      </c>
      <c r="CB28" s="17"/>
      <c r="CC28" s="17">
        <v>1</v>
      </c>
      <c r="CG28" s="17"/>
      <c r="CH28" s="17"/>
      <c r="CI28" s="17"/>
      <c r="CJ28" s="17"/>
      <c r="CN28" s="17"/>
      <c r="CO28" s="17"/>
      <c r="CP28" s="17"/>
      <c r="CQ28" s="17"/>
      <c r="CU28" s="17"/>
      <c r="CV28" s="17"/>
      <c r="CW28" s="17"/>
      <c r="CX28" s="17"/>
    </row>
    <row r="29" spans="2:104" outlineLevel="1">
      <c r="B29" s="15" t="s">
        <v>60</v>
      </c>
      <c r="C29" s="15" t="s">
        <v>121</v>
      </c>
      <c r="E29" s="16"/>
      <c r="F29" s="15" t="s">
        <v>134</v>
      </c>
      <c r="G29" s="17">
        <v>0.1</v>
      </c>
      <c r="I29" s="16">
        <v>0</v>
      </c>
      <c r="J29" s="18" cm="1">
        <f t="array" ref="J29">MAX(IF($N$4:$DA$4=$J$4,N29:DA29))</f>
        <v>0</v>
      </c>
      <c r="K29" s="18" cm="1">
        <f t="array" ref="K29">MAX(IF($N$4:$DA$4=$J$4,N29:DA29))</f>
        <v>0</v>
      </c>
      <c r="L29" s="16"/>
      <c r="O29" s="17"/>
      <c r="P29" s="17"/>
      <c r="Q29" s="17"/>
      <c r="R29" s="17"/>
      <c r="V29" s="17"/>
      <c r="W29" s="17">
        <v>0.5</v>
      </c>
      <c r="X29" s="17"/>
      <c r="Y29" s="17">
        <v>0.5</v>
      </c>
      <c r="AC29" s="17"/>
      <c r="AD29" s="17">
        <v>0.5</v>
      </c>
      <c r="AE29" s="17"/>
      <c r="AF29" s="17">
        <v>0.5</v>
      </c>
      <c r="AJ29" s="17"/>
      <c r="AK29" s="17">
        <v>0.5</v>
      </c>
      <c r="AL29" s="17"/>
      <c r="AM29" s="17">
        <v>0.5</v>
      </c>
      <c r="AQ29" s="17"/>
      <c r="AR29" s="17">
        <v>0.5</v>
      </c>
      <c r="AS29" s="17"/>
      <c r="AT29" s="17">
        <v>0.5</v>
      </c>
      <c r="AX29" s="17"/>
      <c r="AY29" s="17">
        <v>0.5</v>
      </c>
      <c r="AZ29" s="17"/>
      <c r="BA29" s="17">
        <v>0.5</v>
      </c>
      <c r="BE29" s="17"/>
      <c r="BF29" s="17">
        <v>0.8</v>
      </c>
      <c r="BG29" s="17"/>
      <c r="BH29" s="17">
        <v>0.8</v>
      </c>
      <c r="BL29" s="17"/>
      <c r="BM29" s="17">
        <v>0.8</v>
      </c>
      <c r="BN29" s="17"/>
      <c r="BO29" s="17">
        <v>0.8</v>
      </c>
      <c r="BS29" s="17"/>
      <c r="BT29" s="17">
        <v>1</v>
      </c>
      <c r="BU29" s="17"/>
      <c r="BV29" s="17">
        <v>1</v>
      </c>
      <c r="BZ29" s="17"/>
      <c r="CA29" s="17">
        <v>1</v>
      </c>
      <c r="CB29" s="17"/>
      <c r="CC29" s="17">
        <v>1</v>
      </c>
      <c r="CG29" s="17"/>
      <c r="CH29" s="17"/>
      <c r="CI29" s="17"/>
      <c r="CJ29" s="17"/>
      <c r="CN29" s="17"/>
      <c r="CO29" s="17"/>
      <c r="CP29" s="17"/>
      <c r="CQ29" s="17"/>
      <c r="CU29" s="17"/>
      <c r="CV29" s="17"/>
      <c r="CW29" s="17"/>
      <c r="CX29" s="17"/>
    </row>
    <row r="30" spans="2:104" outlineLevel="1">
      <c r="B30" s="15" t="s">
        <v>60</v>
      </c>
      <c r="C30" s="15" t="s">
        <v>121</v>
      </c>
      <c r="E30" s="16"/>
      <c r="F30" s="15" t="s">
        <v>135</v>
      </c>
      <c r="G30" s="17">
        <v>0.1</v>
      </c>
      <c r="I30" s="16">
        <f>+SUMIF($N$4:$YS$4,I$4,$N30:$YS30)</f>
        <v>0</v>
      </c>
      <c r="J30" s="18" cm="1">
        <f t="array" ref="J30">MAX(IF($N$4:$DA$4=$J$4,N30:DA30))</f>
        <v>0</v>
      </c>
      <c r="K30" s="18" cm="1">
        <f t="array" ref="K30">MAX(IF($N$4:$DA$4=$J$4,N30:DA30))</f>
        <v>0</v>
      </c>
      <c r="L30" s="16"/>
      <c r="O30" s="17"/>
      <c r="P30" s="17"/>
      <c r="Q30" s="17"/>
      <c r="R30" s="17"/>
      <c r="V30" s="17"/>
      <c r="W30" s="17"/>
      <c r="X30" s="17"/>
      <c r="Y30" s="17"/>
      <c r="AC30" s="17"/>
      <c r="AD30" s="17">
        <v>0.5</v>
      </c>
      <c r="AE30" s="17"/>
      <c r="AF30" s="17">
        <v>0.5</v>
      </c>
      <c r="AJ30" s="17"/>
      <c r="AK30" s="17">
        <v>0.5</v>
      </c>
      <c r="AL30" s="17"/>
      <c r="AM30" s="17">
        <v>0.5</v>
      </c>
      <c r="AQ30" s="17"/>
      <c r="AR30" s="17">
        <v>0.5</v>
      </c>
      <c r="AS30" s="17"/>
      <c r="AT30" s="17">
        <v>0.5</v>
      </c>
      <c r="AX30" s="17"/>
      <c r="AY30" s="17">
        <v>0.5</v>
      </c>
      <c r="AZ30" s="17"/>
      <c r="BA30" s="17">
        <v>0.5</v>
      </c>
      <c r="BE30" s="17"/>
      <c r="BF30" s="17">
        <v>0.8</v>
      </c>
      <c r="BG30" s="17"/>
      <c r="BH30" s="17">
        <v>0.8</v>
      </c>
      <c r="BL30" s="17"/>
      <c r="BM30" s="17">
        <v>0.8</v>
      </c>
      <c r="BN30" s="17"/>
      <c r="BO30" s="17">
        <v>0.8</v>
      </c>
      <c r="BS30" s="17"/>
      <c r="BT30" s="17">
        <v>1</v>
      </c>
      <c r="BU30" s="17"/>
      <c r="BV30" s="17">
        <v>1</v>
      </c>
      <c r="BZ30" s="17"/>
      <c r="CA30" s="17">
        <v>1</v>
      </c>
      <c r="CB30" s="17"/>
      <c r="CC30" s="17">
        <v>1</v>
      </c>
      <c r="CG30" s="17"/>
      <c r="CH30" s="17"/>
      <c r="CI30" s="17"/>
      <c r="CJ30" s="17"/>
      <c r="CN30" s="17"/>
      <c r="CO30" s="17"/>
      <c r="CP30" s="17"/>
      <c r="CQ30" s="17"/>
      <c r="CU30" s="17"/>
      <c r="CV30" s="17"/>
      <c r="CW30" s="17"/>
      <c r="CX30" s="17"/>
    </row>
    <row r="31" spans="2:104" outlineLevel="1">
      <c r="B31" s="15" t="s">
        <v>60</v>
      </c>
      <c r="C31" s="15" t="s">
        <v>121</v>
      </c>
      <c r="E31" s="16"/>
      <c r="F31" s="15" t="s">
        <v>136</v>
      </c>
      <c r="G31" s="17">
        <v>0.05</v>
      </c>
      <c r="I31" s="16">
        <f>+SUMIF($N$4:$YS$4,I$4,$N31:$YS31)</f>
        <v>0</v>
      </c>
      <c r="J31" s="18" cm="1">
        <f t="array" ref="J31">MAX(IF($N$4:$DA$4=$J$4,N31:DA31))</f>
        <v>0</v>
      </c>
      <c r="K31" s="18" cm="1">
        <f t="array" ref="K31">MAX(IF($N$4:$DA$4=$J$4,N31:DA31))</f>
        <v>0</v>
      </c>
      <c r="L31" s="16"/>
      <c r="O31" s="17"/>
      <c r="P31" s="17"/>
      <c r="Q31" s="17"/>
      <c r="R31" s="17"/>
      <c r="V31" s="17"/>
      <c r="W31" s="17"/>
      <c r="X31" s="17"/>
      <c r="Y31" s="17"/>
      <c r="AC31" s="17"/>
      <c r="AD31" s="17">
        <v>0.5</v>
      </c>
      <c r="AE31" s="17"/>
      <c r="AF31" s="17">
        <v>0.5</v>
      </c>
      <c r="AJ31" s="17"/>
      <c r="AK31" s="17">
        <v>0.5</v>
      </c>
      <c r="AL31" s="17"/>
      <c r="AM31" s="17">
        <v>0.5</v>
      </c>
      <c r="AQ31" s="17"/>
      <c r="AR31" s="17">
        <v>0.5</v>
      </c>
      <c r="AS31" s="17"/>
      <c r="AT31" s="17">
        <v>0.5</v>
      </c>
      <c r="AX31" s="17"/>
      <c r="AY31" s="17">
        <v>0.5</v>
      </c>
      <c r="AZ31" s="17"/>
      <c r="BA31" s="17">
        <v>0.5</v>
      </c>
      <c r="BE31" s="17"/>
      <c r="BF31" s="17">
        <v>0.5</v>
      </c>
      <c r="BG31" s="17"/>
      <c r="BH31" s="17">
        <v>0.8</v>
      </c>
      <c r="BL31" s="17"/>
      <c r="BM31" s="17">
        <v>0.8</v>
      </c>
      <c r="BN31" s="17"/>
      <c r="BO31" s="17">
        <v>0.8</v>
      </c>
      <c r="BS31" s="17"/>
      <c r="BT31" s="17">
        <v>1</v>
      </c>
      <c r="BU31" s="17"/>
      <c r="BV31" s="17">
        <v>1</v>
      </c>
      <c r="BZ31" s="17"/>
      <c r="CA31" s="17">
        <v>1</v>
      </c>
      <c r="CB31" s="17"/>
      <c r="CC31" s="17">
        <v>1</v>
      </c>
      <c r="CG31" s="17"/>
      <c r="CH31" s="17"/>
      <c r="CI31" s="17"/>
      <c r="CN31" s="17"/>
      <c r="CO31" s="17"/>
      <c r="CP31" s="17"/>
      <c r="CQ31" s="17"/>
      <c r="CU31" s="17"/>
      <c r="CV31" s="17"/>
      <c r="CW31" s="17"/>
      <c r="CX31" s="17"/>
    </row>
    <row r="32" spans="2:104" outlineLevel="1">
      <c r="B32" s="15" t="s">
        <v>60</v>
      </c>
      <c r="C32" s="15" t="s">
        <v>121</v>
      </c>
      <c r="E32" s="16"/>
      <c r="F32" s="15" t="s">
        <v>137</v>
      </c>
      <c r="G32" s="17">
        <v>0.1</v>
      </c>
      <c r="I32" s="16">
        <f>+SUMIF($N$4:$YS$4,I$4,$N32:$YS32)</f>
        <v>0</v>
      </c>
      <c r="J32" s="18" cm="1">
        <f t="array" ref="J32">MAX(IF($N$4:$DA$4=$J$4,N32:DA32))</f>
        <v>0</v>
      </c>
      <c r="K32" s="18" cm="1">
        <f t="array" ref="K32">MAX(IF($N$4:$DA$4=$J$4,N32:DA32))</f>
        <v>0</v>
      </c>
      <c r="L32" s="16"/>
      <c r="O32" s="17"/>
      <c r="P32" s="17"/>
      <c r="Q32" s="17"/>
      <c r="R32" s="17"/>
      <c r="V32" s="17"/>
      <c r="W32" s="17"/>
      <c r="X32" s="17"/>
      <c r="Y32" s="17"/>
      <c r="AC32" s="17"/>
      <c r="AD32" s="17"/>
      <c r="AE32" s="17"/>
      <c r="AF32" s="17"/>
      <c r="AJ32" s="17"/>
      <c r="AK32" s="17">
        <v>0.5</v>
      </c>
      <c r="AL32" s="17"/>
      <c r="AM32" s="17">
        <v>0.5</v>
      </c>
      <c r="AQ32" s="17"/>
      <c r="AR32" s="17">
        <v>0.5</v>
      </c>
      <c r="AS32" s="17"/>
      <c r="AT32" s="17">
        <v>0.5</v>
      </c>
      <c r="AX32" s="17"/>
      <c r="AY32" s="17">
        <v>0.5</v>
      </c>
      <c r="AZ32" s="17"/>
      <c r="BA32" s="17">
        <v>0.5</v>
      </c>
      <c r="BE32" s="17"/>
      <c r="BF32" s="17">
        <v>0.5</v>
      </c>
      <c r="BG32" s="17"/>
      <c r="BH32" s="17">
        <v>0.5</v>
      </c>
      <c r="BL32" s="17"/>
      <c r="BM32" s="17">
        <v>0.8</v>
      </c>
      <c r="BN32" s="17"/>
      <c r="BO32" s="17">
        <v>0.8</v>
      </c>
      <c r="BS32" s="17"/>
      <c r="BT32" s="17">
        <v>0.8</v>
      </c>
      <c r="BU32" s="17"/>
      <c r="BV32" s="17">
        <v>0.8</v>
      </c>
      <c r="BZ32" s="17"/>
      <c r="CA32" s="17">
        <v>1</v>
      </c>
      <c r="CB32" s="17"/>
      <c r="CC32" s="17">
        <v>1</v>
      </c>
      <c r="CG32" s="17"/>
      <c r="CH32" s="17"/>
      <c r="CI32" s="17"/>
      <c r="CN32" s="17"/>
      <c r="CO32" s="17"/>
      <c r="CP32" s="17"/>
      <c r="CQ32" s="17"/>
      <c r="CU32" s="17"/>
      <c r="CV32" s="17"/>
      <c r="CW32" s="17"/>
      <c r="CX32" s="17"/>
    </row>
    <row r="33" spans="2:104" outlineLevel="1">
      <c r="B33" s="15" t="s">
        <v>60</v>
      </c>
      <c r="C33" s="15" t="s">
        <v>121</v>
      </c>
      <c r="E33" s="16"/>
      <c r="F33" s="15" t="s">
        <v>138</v>
      </c>
      <c r="G33" s="17">
        <v>0.1</v>
      </c>
      <c r="I33" s="16">
        <f>+SUMIF($N$4:$YS$4,I$4,$N33:$YS33)</f>
        <v>0</v>
      </c>
      <c r="J33" s="18" cm="1">
        <f t="array" ref="J33">MAX(IF($N$4:$DA$4=$J$4,N33:DA33))</f>
        <v>0</v>
      </c>
      <c r="K33" s="18" cm="1">
        <f t="array" ref="K33">MAX(IF($N$4:$DA$4=$J$4,N33:DA33))</f>
        <v>0</v>
      </c>
      <c r="L33" s="16"/>
      <c r="O33" s="17"/>
      <c r="P33" s="17"/>
      <c r="Q33" s="17"/>
      <c r="R33" s="17"/>
      <c r="V33" s="17"/>
      <c r="W33" s="17"/>
      <c r="X33" s="17"/>
      <c r="Y33" s="17"/>
      <c r="AC33" s="17"/>
      <c r="AD33" s="17"/>
      <c r="AE33" s="17"/>
      <c r="AF33" s="17"/>
      <c r="AJ33" s="17"/>
      <c r="AK33" s="17">
        <v>0.5</v>
      </c>
      <c r="AL33" s="17"/>
      <c r="AM33" s="17">
        <v>0.5</v>
      </c>
      <c r="AQ33" s="17"/>
      <c r="AR33" s="17">
        <v>0.5</v>
      </c>
      <c r="AS33" s="17"/>
      <c r="AT33" s="17">
        <v>0.5</v>
      </c>
      <c r="AX33" s="17"/>
      <c r="AY33" s="17">
        <v>0.5</v>
      </c>
      <c r="AZ33" s="17"/>
      <c r="BA33" s="17">
        <v>0.5</v>
      </c>
      <c r="BE33" s="17"/>
      <c r="BF33" s="17">
        <v>0.5</v>
      </c>
      <c r="BG33" s="17"/>
      <c r="BH33" s="17">
        <v>0.5</v>
      </c>
      <c r="BL33" s="17"/>
      <c r="BM33" s="17">
        <v>0.8</v>
      </c>
      <c r="BN33" s="17"/>
      <c r="BO33" s="17">
        <v>0.8</v>
      </c>
      <c r="BS33" s="17"/>
      <c r="BT33" s="17">
        <v>0.8</v>
      </c>
      <c r="BU33" s="17"/>
      <c r="BV33" s="17">
        <v>0.8</v>
      </c>
      <c r="BZ33" s="17"/>
      <c r="CA33" s="17">
        <v>1</v>
      </c>
      <c r="CB33" s="17"/>
      <c r="CC33" s="17">
        <v>1</v>
      </c>
      <c r="CG33" s="17"/>
      <c r="CH33" s="17"/>
      <c r="CI33" s="17"/>
      <c r="CN33" s="17"/>
      <c r="CO33" s="17"/>
      <c r="CP33" s="17"/>
      <c r="CQ33" s="17"/>
      <c r="CU33" s="17"/>
      <c r="CV33" s="17"/>
      <c r="CW33" s="17"/>
      <c r="CX33" s="17"/>
    </row>
    <row r="34" spans="2:104" outlineLevel="1">
      <c r="B34" s="15" t="s">
        <v>60</v>
      </c>
      <c r="C34" s="15" t="s">
        <v>121</v>
      </c>
      <c r="E34" s="16"/>
      <c r="F34" s="15" t="s">
        <v>139</v>
      </c>
      <c r="G34" s="17">
        <v>0.1</v>
      </c>
      <c r="I34" s="16">
        <f>+SUMIF($N$4:$YS$4,I$4,$N34:$YS34)</f>
        <v>0</v>
      </c>
      <c r="J34" s="18" cm="1">
        <f t="array" ref="J34">MAX(IF($N$4:$DA$4=$J$4,N34:DA34))</f>
        <v>0</v>
      </c>
      <c r="K34" s="18" cm="1">
        <f t="array" ref="K34">MAX(IF($N$4:$DA$4=$J$4,N34:DA34))</f>
        <v>0</v>
      </c>
      <c r="L34" s="16"/>
      <c r="O34" s="17"/>
      <c r="P34" s="17"/>
      <c r="Q34" s="17"/>
      <c r="R34" s="17"/>
      <c r="V34" s="17"/>
      <c r="W34" s="17"/>
      <c r="X34" s="17"/>
      <c r="Y34" s="17"/>
      <c r="AC34" s="17"/>
      <c r="AD34" s="17"/>
      <c r="AE34" s="17"/>
      <c r="AF34" s="17"/>
      <c r="AJ34" s="17"/>
      <c r="AK34" s="17">
        <v>0.5</v>
      </c>
      <c r="AL34" s="17"/>
      <c r="AM34" s="17">
        <v>0.5</v>
      </c>
      <c r="AQ34" s="17"/>
      <c r="AR34" s="17">
        <v>0.5</v>
      </c>
      <c r="AS34" s="17"/>
      <c r="AT34" s="17">
        <v>0.5</v>
      </c>
      <c r="AX34" s="17"/>
      <c r="AY34" s="17">
        <v>0.5</v>
      </c>
      <c r="AZ34" s="17"/>
      <c r="BA34" s="17">
        <v>0.5</v>
      </c>
      <c r="BE34" s="17"/>
      <c r="BF34" s="17">
        <v>0.5</v>
      </c>
      <c r="BG34" s="17"/>
      <c r="BH34" s="17">
        <v>0.5</v>
      </c>
      <c r="BL34" s="17"/>
      <c r="BM34" s="17">
        <v>0.8</v>
      </c>
      <c r="BN34" s="17"/>
      <c r="BO34" s="17">
        <v>0.8</v>
      </c>
      <c r="BS34" s="17"/>
      <c r="BT34" s="17">
        <v>0.8</v>
      </c>
      <c r="BU34" s="17"/>
      <c r="BV34" s="17">
        <v>0.8</v>
      </c>
      <c r="BZ34" s="17"/>
      <c r="CA34" s="17">
        <v>1</v>
      </c>
      <c r="CB34" s="17"/>
      <c r="CC34" s="17">
        <v>1</v>
      </c>
      <c r="CG34" s="17"/>
      <c r="CH34" s="17"/>
      <c r="CI34" s="17"/>
      <c r="CN34" s="17"/>
      <c r="CO34" s="17"/>
      <c r="CP34" s="17"/>
      <c r="CQ34" s="17"/>
      <c r="CU34" s="17"/>
      <c r="CV34" s="17"/>
      <c r="CW34" s="17"/>
      <c r="CX34" s="17"/>
    </row>
    <row r="36" spans="2:104">
      <c r="B36" s="28" t="s">
        <v>38</v>
      </c>
      <c r="C36" s="28" t="s">
        <v>123</v>
      </c>
      <c r="D36" s="29">
        <v>45870</v>
      </c>
      <c r="E36" s="30">
        <v>10</v>
      </c>
      <c r="F36" s="28"/>
      <c r="G36" s="31">
        <f>+SUM(G37:G48)</f>
        <v>1.2000000000000002</v>
      </c>
      <c r="I36" s="40">
        <f>+SUM(I37:I48)</f>
        <v>0</v>
      </c>
      <c r="J36" s="41">
        <f>+SUMPRODUCT(G37:G48,J37:J48)</f>
        <v>0</v>
      </c>
      <c r="K36" s="41">
        <f>+SUMPRODUCT(G37:G48,K37:K48)</f>
        <v>0</v>
      </c>
      <c r="L36" s="30"/>
      <c r="M36" s="45"/>
      <c r="N36" s="40">
        <f>+SUM(N37:N48)</f>
        <v>0</v>
      </c>
      <c r="O36" s="28"/>
      <c r="P36" s="28"/>
      <c r="Q36" s="28"/>
      <c r="R36" s="28"/>
      <c r="S36" s="28"/>
      <c r="T36" s="45"/>
      <c r="U36" s="40">
        <f>+SUM(U37:U48)</f>
        <v>0</v>
      </c>
      <c r="V36" s="28"/>
      <c r="W36" s="28"/>
      <c r="X36" s="28"/>
      <c r="Y36" s="28"/>
      <c r="Z36" s="28"/>
      <c r="AA36" s="45"/>
      <c r="AB36" s="40">
        <f>+SUM(AB37:AB48)</f>
        <v>0</v>
      </c>
      <c r="AC36" s="28"/>
      <c r="AD36" s="28"/>
      <c r="AE36" s="28"/>
      <c r="AF36" s="28"/>
      <c r="AG36" s="28"/>
      <c r="AH36" s="45"/>
      <c r="AI36" s="40">
        <f>+SUM(AI37:AI48)</f>
        <v>0</v>
      </c>
      <c r="AJ36" s="28"/>
      <c r="AK36" s="28"/>
      <c r="AL36" s="28"/>
      <c r="AM36" s="28"/>
      <c r="AN36" s="28"/>
      <c r="AO36" s="45"/>
      <c r="AP36" s="40">
        <f>+SUM(AP37:AP48)</f>
        <v>0</v>
      </c>
      <c r="AQ36" s="28"/>
      <c r="AR36" s="28"/>
      <c r="AS36" s="28"/>
      <c r="AT36" s="28"/>
      <c r="AU36" s="28"/>
      <c r="AV36" s="45"/>
      <c r="AW36" s="28"/>
      <c r="AX36" s="28"/>
      <c r="AY36" s="28"/>
      <c r="AZ36" s="28"/>
      <c r="BA36" s="28"/>
      <c r="BB36" s="28"/>
      <c r="BC36" s="45"/>
      <c r="BD36" s="28"/>
      <c r="BE36" s="28"/>
      <c r="BF36" s="28"/>
      <c r="BG36" s="28"/>
      <c r="BH36" s="28"/>
      <c r="BI36" s="28"/>
      <c r="BJ36" s="45"/>
      <c r="BK36" s="28"/>
      <c r="BL36" s="28"/>
      <c r="BM36" s="28"/>
      <c r="BN36" s="28"/>
      <c r="BO36" s="28"/>
      <c r="BP36" s="28"/>
      <c r="BQ36" s="45"/>
      <c r="BR36" s="28"/>
      <c r="BS36" s="28"/>
      <c r="BT36" s="28"/>
      <c r="BU36" s="28"/>
      <c r="BV36" s="28"/>
      <c r="BW36" s="28"/>
      <c r="BX36" s="45"/>
      <c r="BY36" s="28"/>
      <c r="BZ36" s="28"/>
      <c r="CA36" s="28"/>
      <c r="CB36" s="28"/>
      <c r="CC36" s="28"/>
      <c r="CD36" s="28"/>
      <c r="CE36" s="45"/>
      <c r="CF36" s="28"/>
      <c r="CG36" s="28"/>
      <c r="CH36" s="28"/>
      <c r="CI36" s="28"/>
      <c r="CJ36" s="28"/>
      <c r="CK36" s="28"/>
      <c r="CL36" s="45"/>
      <c r="CM36" s="28"/>
      <c r="CN36" s="28"/>
      <c r="CO36" s="28"/>
      <c r="CP36" s="28"/>
      <c r="CQ36" s="28"/>
      <c r="CR36" s="28"/>
      <c r="CS36" s="59"/>
      <c r="CT36" s="28"/>
      <c r="CU36" s="28"/>
      <c r="CV36" s="28"/>
      <c r="CW36" s="28"/>
      <c r="CX36" s="28"/>
      <c r="CY36" s="28"/>
      <c r="CZ36" s="45"/>
    </row>
    <row r="37" spans="2:104" outlineLevel="1">
      <c r="B37" s="15" t="s">
        <v>60</v>
      </c>
      <c r="C37" s="15" t="s">
        <v>123</v>
      </c>
      <c r="E37" s="16"/>
      <c r="F37" s="15" t="s">
        <v>65</v>
      </c>
      <c r="G37" s="17">
        <v>0.1</v>
      </c>
      <c r="I37" s="16">
        <f>+SUMIF($N$4:$YS$4,I$4,$N37:$YS37)</f>
        <v>0</v>
      </c>
      <c r="J37" s="18" cm="1">
        <f t="array" ref="J37">MAX(IF($N$4:$DA$4=$J$4,N37:DA37))</f>
        <v>0</v>
      </c>
      <c r="K37" s="18" cm="1">
        <f t="array" ref="K37">MAX(IF($N$4:$DA$4=$J$4,N37:DA37))</f>
        <v>0</v>
      </c>
      <c r="L37" s="16"/>
      <c r="O37" s="17"/>
      <c r="P37" s="17">
        <v>0.5</v>
      </c>
      <c r="Q37" s="17"/>
      <c r="R37" s="17">
        <v>0.5</v>
      </c>
      <c r="V37" s="17"/>
      <c r="W37" s="17">
        <v>0.5</v>
      </c>
      <c r="X37" s="17"/>
      <c r="Y37" s="17">
        <v>0.5</v>
      </c>
      <c r="AC37" s="17"/>
      <c r="AD37" s="17">
        <v>0.8</v>
      </c>
      <c r="AE37" s="17"/>
      <c r="AF37" s="17">
        <v>0.8</v>
      </c>
      <c r="AJ37" s="17"/>
      <c r="AK37" s="17">
        <v>0.8</v>
      </c>
      <c r="AL37" s="17"/>
      <c r="AM37" s="17">
        <v>0.8</v>
      </c>
      <c r="AQ37" s="17"/>
      <c r="AR37" s="17">
        <v>0.8</v>
      </c>
      <c r="AS37" s="17"/>
      <c r="AT37" s="17">
        <v>0.8</v>
      </c>
      <c r="AX37" s="17"/>
      <c r="AY37" s="17">
        <v>1</v>
      </c>
      <c r="AZ37" s="17"/>
      <c r="BA37" s="17">
        <v>1</v>
      </c>
      <c r="BE37" s="17"/>
      <c r="BF37" s="17">
        <v>1</v>
      </c>
      <c r="BG37" s="17"/>
      <c r="BH37" s="17">
        <v>1</v>
      </c>
      <c r="BL37" s="17"/>
      <c r="BM37" s="17">
        <v>1</v>
      </c>
      <c r="BN37" s="17"/>
      <c r="BO37" s="17">
        <v>1</v>
      </c>
      <c r="BS37" s="17"/>
      <c r="BT37" s="17">
        <v>1</v>
      </c>
      <c r="BU37" s="17"/>
      <c r="BV37" s="17">
        <v>1</v>
      </c>
      <c r="BZ37" s="17"/>
      <c r="CA37" s="17">
        <v>1</v>
      </c>
      <c r="CB37" s="17"/>
      <c r="CC37" s="17">
        <v>1</v>
      </c>
      <c r="CG37" s="17"/>
      <c r="CH37" s="17"/>
      <c r="CI37" s="17"/>
      <c r="CN37" s="17"/>
      <c r="CO37" s="17"/>
      <c r="CP37" s="17"/>
      <c r="CQ37" s="17"/>
      <c r="CU37" s="17"/>
      <c r="CV37" s="17"/>
      <c r="CW37" s="17"/>
      <c r="CX37" s="17"/>
    </row>
    <row r="38" spans="2:104" outlineLevel="1">
      <c r="B38" s="15" t="s">
        <v>60</v>
      </c>
      <c r="C38" s="15" t="s">
        <v>123</v>
      </c>
      <c r="E38" s="16"/>
      <c r="F38" s="15" t="s">
        <v>66</v>
      </c>
      <c r="G38" s="17">
        <v>0.05</v>
      </c>
      <c r="I38" s="16">
        <f>+SUMIF($N$4:$YS$4,I$4,$N38:$YS38)</f>
        <v>0</v>
      </c>
      <c r="J38" s="18" cm="1">
        <f t="array" ref="J38">MAX(IF($N$4:$DA$4=$J$4,N38:DA38))</f>
        <v>0</v>
      </c>
      <c r="K38" s="18" cm="1">
        <f t="array" ref="K38">MAX(IF($N$4:$DA$4=$J$4,N38:DA38))</f>
        <v>0</v>
      </c>
      <c r="L38" s="16"/>
      <c r="O38" s="17"/>
      <c r="P38" s="17">
        <v>0.5</v>
      </c>
      <c r="Q38" s="17"/>
      <c r="R38" s="17">
        <v>0.5</v>
      </c>
      <c r="V38" s="17"/>
      <c r="W38" s="17">
        <v>0.5</v>
      </c>
      <c r="X38" s="17"/>
      <c r="Y38" s="17">
        <v>0.5</v>
      </c>
      <c r="AC38" s="17"/>
      <c r="AD38" s="17">
        <v>0.8</v>
      </c>
      <c r="AE38" s="17"/>
      <c r="AF38" s="17">
        <v>0.8</v>
      </c>
      <c r="AJ38" s="17"/>
      <c r="AK38" s="17">
        <v>0.8</v>
      </c>
      <c r="AL38" s="17"/>
      <c r="AM38" s="17">
        <v>0.8</v>
      </c>
      <c r="AQ38" s="17"/>
      <c r="AR38" s="17">
        <v>0.8</v>
      </c>
      <c r="AS38" s="17"/>
      <c r="AT38" s="17">
        <v>0.8</v>
      </c>
      <c r="AX38" s="17"/>
      <c r="AY38" s="17">
        <v>1</v>
      </c>
      <c r="AZ38" s="17"/>
      <c r="BA38" s="17">
        <v>1</v>
      </c>
      <c r="BE38" s="17"/>
      <c r="BF38" s="17">
        <v>1</v>
      </c>
      <c r="BG38" s="17"/>
      <c r="BH38" s="17">
        <v>1</v>
      </c>
      <c r="BL38" s="17"/>
      <c r="BM38" s="17">
        <v>1</v>
      </c>
      <c r="BN38" s="17"/>
      <c r="BO38" s="17">
        <v>1</v>
      </c>
      <c r="BS38" s="17"/>
      <c r="BT38" s="17">
        <v>1</v>
      </c>
      <c r="BU38" s="17"/>
      <c r="BV38" s="17">
        <v>1</v>
      </c>
      <c r="BZ38" s="17"/>
      <c r="CA38" s="17">
        <v>1</v>
      </c>
      <c r="CB38" s="17"/>
      <c r="CC38" s="17">
        <v>1</v>
      </c>
      <c r="CG38" s="17"/>
      <c r="CH38" s="17"/>
      <c r="CI38" s="17"/>
      <c r="CN38" s="17"/>
      <c r="CO38" s="17"/>
      <c r="CP38" s="17"/>
      <c r="CQ38" s="17"/>
      <c r="CU38" s="17"/>
      <c r="CV38" s="17"/>
      <c r="CW38" s="17"/>
      <c r="CX38" s="17"/>
    </row>
    <row r="39" spans="2:104" outlineLevel="1">
      <c r="B39" s="15" t="s">
        <v>60</v>
      </c>
      <c r="C39" s="15" t="s">
        <v>123</v>
      </c>
      <c r="E39" s="16"/>
      <c r="F39" s="15" t="s">
        <v>140</v>
      </c>
      <c r="G39" s="17">
        <v>0.05</v>
      </c>
      <c r="I39" s="16">
        <f>+SUMIF($N$4:$YS$4,I$4,$N39:$YS39)</f>
        <v>0</v>
      </c>
      <c r="J39" s="18" cm="1">
        <f t="array" ref="J39">MAX(IF($N$4:$DA$4=$J$4,N39:DA39))</f>
        <v>0</v>
      </c>
      <c r="K39" s="18" cm="1">
        <f t="array" ref="K39">MAX(IF($N$4:$DA$4=$J$4,N39:DA39))</f>
        <v>0</v>
      </c>
      <c r="L39" s="16"/>
      <c r="O39" s="17"/>
      <c r="P39" s="17">
        <v>0.5</v>
      </c>
      <c r="Q39" s="17"/>
      <c r="R39" s="17">
        <v>0.5</v>
      </c>
      <c r="V39" s="17"/>
      <c r="W39" s="17">
        <v>0.5</v>
      </c>
      <c r="X39" s="17"/>
      <c r="Y39" s="17">
        <v>0.5</v>
      </c>
      <c r="AC39" s="17"/>
      <c r="AD39" s="17">
        <v>0.8</v>
      </c>
      <c r="AE39" s="17"/>
      <c r="AF39" s="17">
        <v>0.8</v>
      </c>
      <c r="AJ39" s="17"/>
      <c r="AK39" s="17">
        <v>0.8</v>
      </c>
      <c r="AL39" s="17"/>
      <c r="AM39" s="17">
        <v>0.8</v>
      </c>
      <c r="AQ39" s="17"/>
      <c r="AR39" s="17">
        <v>0.8</v>
      </c>
      <c r="AS39" s="17"/>
      <c r="AT39" s="17">
        <v>0.8</v>
      </c>
      <c r="AX39" s="17"/>
      <c r="AY39" s="17">
        <v>1</v>
      </c>
      <c r="AZ39" s="17"/>
      <c r="BA39" s="17">
        <v>1</v>
      </c>
      <c r="BE39" s="17"/>
      <c r="BF39" s="17">
        <v>1</v>
      </c>
      <c r="BG39" s="17"/>
      <c r="BH39" s="17">
        <v>1</v>
      </c>
      <c r="BL39" s="17"/>
      <c r="BM39" s="17">
        <v>1</v>
      </c>
      <c r="BN39" s="17"/>
      <c r="BO39" s="17">
        <v>1</v>
      </c>
      <c r="BS39" s="17"/>
      <c r="BT39" s="17">
        <v>1</v>
      </c>
      <c r="BU39" s="17"/>
      <c r="BV39" s="17">
        <v>1</v>
      </c>
      <c r="BZ39" s="17"/>
      <c r="CA39" s="17">
        <v>1</v>
      </c>
      <c r="CB39" s="17"/>
      <c r="CC39" s="17">
        <v>1</v>
      </c>
      <c r="CG39" s="17"/>
      <c r="CH39" s="17"/>
      <c r="CI39" s="17"/>
      <c r="CN39" s="17"/>
      <c r="CO39" s="17"/>
      <c r="CP39" s="17"/>
      <c r="CQ39" s="17"/>
      <c r="CU39" s="17"/>
      <c r="CV39" s="17"/>
      <c r="CW39" s="17"/>
      <c r="CX39" s="17"/>
    </row>
    <row r="40" spans="2:104" outlineLevel="1">
      <c r="B40" s="15" t="s">
        <v>60</v>
      </c>
      <c r="C40" s="15" t="s">
        <v>123</v>
      </c>
      <c r="E40" s="16"/>
      <c r="F40" s="15" t="s">
        <v>141</v>
      </c>
      <c r="G40" s="17">
        <v>0.05</v>
      </c>
      <c r="I40" s="16">
        <f>+SUMIF($N$4:$YS$4,I$4,$N40:$YS40)</f>
        <v>0</v>
      </c>
      <c r="J40" s="18" cm="1">
        <f t="array" ref="J40">MAX(IF($N$4:$DA$4=$J$4,N40:DA40))</f>
        <v>0</v>
      </c>
      <c r="K40" s="18" cm="1">
        <f t="array" ref="K40">MAX(IF($N$4:$DA$4=$J$4,N40:DA40))</f>
        <v>0</v>
      </c>
      <c r="L40" s="16"/>
      <c r="O40" s="17"/>
      <c r="P40" s="17">
        <v>0.5</v>
      </c>
      <c r="Q40" s="17"/>
      <c r="R40" s="17">
        <v>0.5</v>
      </c>
      <c r="V40" s="17"/>
      <c r="W40" s="17">
        <v>0.5</v>
      </c>
      <c r="X40" s="17"/>
      <c r="Y40" s="17">
        <v>0.5</v>
      </c>
      <c r="AC40" s="17"/>
      <c r="AD40" s="17">
        <v>0.8</v>
      </c>
      <c r="AE40" s="17"/>
      <c r="AF40" s="17">
        <v>0.8</v>
      </c>
      <c r="AJ40" s="17"/>
      <c r="AK40" s="17">
        <v>0.8</v>
      </c>
      <c r="AL40" s="17"/>
      <c r="AM40" s="17">
        <v>0.8</v>
      </c>
      <c r="AQ40" s="17"/>
      <c r="AR40" s="17">
        <v>0.8</v>
      </c>
      <c r="AS40" s="17"/>
      <c r="AT40" s="17">
        <v>0.8</v>
      </c>
      <c r="AX40" s="17"/>
      <c r="AY40" s="17">
        <v>1</v>
      </c>
      <c r="AZ40" s="17"/>
      <c r="BA40" s="17">
        <v>1</v>
      </c>
      <c r="BE40" s="17"/>
      <c r="BF40" s="17">
        <v>1</v>
      </c>
      <c r="BG40" s="17"/>
      <c r="BH40" s="17">
        <v>1</v>
      </c>
      <c r="BL40" s="17"/>
      <c r="BM40" s="17">
        <v>1</v>
      </c>
      <c r="BN40" s="17"/>
      <c r="BO40" s="17">
        <v>1</v>
      </c>
      <c r="BS40" s="17"/>
      <c r="BT40" s="17">
        <v>1</v>
      </c>
      <c r="BU40" s="17"/>
      <c r="BV40" s="17">
        <v>1</v>
      </c>
      <c r="BZ40" s="17"/>
      <c r="CA40" s="17">
        <v>1</v>
      </c>
      <c r="CB40" s="17"/>
      <c r="CC40" s="17">
        <v>1</v>
      </c>
      <c r="CG40" s="17"/>
      <c r="CH40" s="17"/>
      <c r="CI40" s="17"/>
      <c r="CN40" s="17"/>
      <c r="CO40" s="17"/>
      <c r="CP40" s="17"/>
      <c r="CQ40" s="17"/>
      <c r="CU40" s="17"/>
      <c r="CV40" s="17"/>
      <c r="CW40" s="17"/>
      <c r="CX40" s="17"/>
    </row>
    <row r="41" spans="2:104" outlineLevel="1">
      <c r="B41" s="15" t="s">
        <v>60</v>
      </c>
      <c r="C41" s="15" t="s">
        <v>123</v>
      </c>
      <c r="E41" s="16"/>
      <c r="F41" s="15" t="s">
        <v>142</v>
      </c>
      <c r="G41" s="17">
        <v>0.2</v>
      </c>
      <c r="I41" s="16">
        <f>+SUMIF($N$4:$YS$4,I$4,$N41:$YS41)</f>
        <v>0</v>
      </c>
      <c r="J41" s="18" cm="1">
        <f t="array" ref="J41">MAX(IF($N$4:$DA$4=$J$4,N41:DA41))</f>
        <v>0</v>
      </c>
      <c r="K41" s="18" cm="1">
        <f t="array" ref="K41">MAX(IF($N$4:$DA$4=$J$4,N41:DA41))</f>
        <v>0</v>
      </c>
      <c r="L41" s="16"/>
      <c r="O41" s="17"/>
      <c r="P41" s="17">
        <v>0.5</v>
      </c>
      <c r="Q41" s="17"/>
      <c r="R41" s="17">
        <v>0.5</v>
      </c>
      <c r="V41" s="17"/>
      <c r="W41" s="17">
        <v>0.5</v>
      </c>
      <c r="X41" s="17"/>
      <c r="Y41" s="17">
        <v>0.5</v>
      </c>
      <c r="AC41" s="17"/>
      <c r="AD41" s="17">
        <v>0.5</v>
      </c>
      <c r="AE41" s="17"/>
      <c r="AF41" s="17">
        <v>0.5</v>
      </c>
      <c r="AJ41" s="17"/>
      <c r="AK41" s="17">
        <v>0.8</v>
      </c>
      <c r="AL41" s="17"/>
      <c r="AM41" s="17">
        <v>0.8</v>
      </c>
      <c r="AQ41" s="17"/>
      <c r="AR41" s="17">
        <v>0.8</v>
      </c>
      <c r="AS41" s="17"/>
      <c r="AT41" s="17">
        <v>0.8</v>
      </c>
      <c r="AX41" s="17"/>
      <c r="AY41" s="17">
        <v>0.8</v>
      </c>
      <c r="AZ41" s="17"/>
      <c r="BA41" s="17">
        <v>0.8</v>
      </c>
      <c r="BE41" s="17"/>
      <c r="BF41" s="17">
        <v>1</v>
      </c>
      <c r="BG41" s="17"/>
      <c r="BH41" s="17">
        <v>1</v>
      </c>
      <c r="BL41" s="17"/>
      <c r="BM41" s="17">
        <v>1</v>
      </c>
      <c r="BN41" s="17"/>
      <c r="BO41" s="17">
        <v>1</v>
      </c>
      <c r="BS41" s="17"/>
      <c r="BT41" s="17">
        <v>1</v>
      </c>
      <c r="BU41" s="17"/>
      <c r="BV41" s="17">
        <v>1</v>
      </c>
      <c r="BZ41" s="17"/>
      <c r="CA41" s="17">
        <v>1</v>
      </c>
      <c r="CB41" s="17"/>
      <c r="CC41" s="17">
        <v>1</v>
      </c>
      <c r="CG41" s="17"/>
      <c r="CH41" s="17"/>
      <c r="CI41" s="17"/>
      <c r="CN41" s="17"/>
      <c r="CO41" s="17"/>
      <c r="CP41" s="17"/>
      <c r="CQ41" s="17"/>
      <c r="CU41" s="17"/>
      <c r="CV41" s="17"/>
      <c r="CW41" s="17"/>
      <c r="CX41" s="17"/>
    </row>
    <row r="42" spans="2:104" outlineLevel="1">
      <c r="B42" s="15" t="s">
        <v>60</v>
      </c>
      <c r="C42" s="15" t="s">
        <v>123</v>
      </c>
      <c r="E42" s="16"/>
      <c r="F42" s="15" t="s">
        <v>143</v>
      </c>
      <c r="G42" s="17">
        <v>0.1</v>
      </c>
      <c r="I42" s="16">
        <f>+SUMIF($N$4:$YS$4,I$4,$N42:$YS42)</f>
        <v>0</v>
      </c>
      <c r="J42" s="18" cm="1">
        <f t="array" ref="J42">MAX(IF($N$4:$DA$4=$J$4,N42:DA42))</f>
        <v>0</v>
      </c>
      <c r="K42" s="18" cm="1">
        <f t="array" ref="K42">MAX(IF($N$4:$DA$4=$J$4,N42:DA42))</f>
        <v>0</v>
      </c>
      <c r="L42" s="16"/>
      <c r="O42" s="17"/>
      <c r="P42" s="17"/>
      <c r="Q42" s="17"/>
      <c r="R42" s="17"/>
      <c r="V42" s="17"/>
      <c r="W42" s="17">
        <v>0.5</v>
      </c>
      <c r="X42" s="17"/>
      <c r="Y42" s="17">
        <v>0.5</v>
      </c>
      <c r="AC42" s="17"/>
      <c r="AD42" s="17">
        <v>0.5</v>
      </c>
      <c r="AE42" s="17"/>
      <c r="AF42" s="17">
        <v>0.5</v>
      </c>
      <c r="AJ42" s="17"/>
      <c r="AK42" s="17">
        <v>0.5</v>
      </c>
      <c r="AL42" s="17"/>
      <c r="AM42" s="17">
        <v>0.5</v>
      </c>
      <c r="AQ42" s="17"/>
      <c r="AR42" s="17">
        <v>0.8</v>
      </c>
      <c r="AS42" s="17"/>
      <c r="AT42" s="17">
        <v>0.8</v>
      </c>
      <c r="AX42" s="17"/>
      <c r="AY42" s="17">
        <v>0.8</v>
      </c>
      <c r="AZ42" s="17"/>
      <c r="BA42" s="17">
        <v>0.8</v>
      </c>
      <c r="BE42" s="17"/>
      <c r="BF42" s="17">
        <v>0.8</v>
      </c>
      <c r="BG42" s="17"/>
      <c r="BH42" s="17">
        <v>0.8</v>
      </c>
      <c r="BL42" s="17"/>
      <c r="BM42" s="17">
        <v>1</v>
      </c>
      <c r="BN42" s="17"/>
      <c r="BO42" s="17">
        <v>1</v>
      </c>
      <c r="BS42" s="17"/>
      <c r="BT42" s="17">
        <v>1</v>
      </c>
      <c r="BU42" s="17"/>
      <c r="BV42" s="17">
        <v>1</v>
      </c>
      <c r="BZ42" s="17"/>
      <c r="CA42" s="17">
        <v>1</v>
      </c>
      <c r="CB42" s="17"/>
      <c r="CC42" s="17">
        <v>1</v>
      </c>
      <c r="CG42" s="17"/>
      <c r="CH42" s="17"/>
      <c r="CI42" s="17"/>
      <c r="CN42" s="17"/>
      <c r="CO42" s="17"/>
      <c r="CP42" s="17"/>
      <c r="CQ42" s="17"/>
      <c r="CU42" s="17"/>
      <c r="CV42" s="17"/>
      <c r="CW42" s="17"/>
      <c r="CX42" s="17"/>
    </row>
    <row r="43" spans="2:104" outlineLevel="1">
      <c r="B43" s="15" t="s">
        <v>60</v>
      </c>
      <c r="C43" s="15" t="s">
        <v>123</v>
      </c>
      <c r="E43" s="16"/>
      <c r="F43" s="15" t="s">
        <v>144</v>
      </c>
      <c r="G43" s="17">
        <v>0.15</v>
      </c>
      <c r="I43" s="16">
        <f>+SUMIF($N$4:$YS$4,I$4,$N43:$YS43)</f>
        <v>0</v>
      </c>
      <c r="J43" s="18" cm="1">
        <f t="array" ref="J43">MAX(IF($N$4:$DA$4=$J$4,N43:DA43))</f>
        <v>0</v>
      </c>
      <c r="K43" s="18" cm="1">
        <f t="array" ref="K43">MAX(IF($N$4:$DA$4=$J$4,N43:DA43))</f>
        <v>0</v>
      </c>
      <c r="L43" s="16"/>
      <c r="O43" s="17"/>
      <c r="P43" s="17"/>
      <c r="Q43" s="17"/>
      <c r="R43" s="17"/>
      <c r="V43" s="17"/>
      <c r="W43" s="17">
        <v>0.5</v>
      </c>
      <c r="X43" s="17"/>
      <c r="Y43" s="17">
        <v>0.5</v>
      </c>
      <c r="AC43" s="17"/>
      <c r="AD43" s="17">
        <v>0.5</v>
      </c>
      <c r="AE43" s="17"/>
      <c r="AF43" s="17">
        <v>0.5</v>
      </c>
      <c r="AJ43" s="17"/>
      <c r="AK43" s="17">
        <v>0.5</v>
      </c>
      <c r="AL43" s="17"/>
      <c r="AM43" s="17">
        <v>0.5</v>
      </c>
      <c r="AQ43" s="17"/>
      <c r="AR43" s="17">
        <v>0.8</v>
      </c>
      <c r="AS43" s="17"/>
      <c r="AT43" s="17">
        <v>0.8</v>
      </c>
      <c r="AX43" s="17"/>
      <c r="AY43" s="17">
        <v>0.8</v>
      </c>
      <c r="AZ43" s="17"/>
      <c r="BA43" s="17">
        <v>0.8</v>
      </c>
      <c r="BE43" s="17"/>
      <c r="BF43" s="17">
        <v>0.8</v>
      </c>
      <c r="BG43" s="17"/>
      <c r="BH43" s="17">
        <v>0.8</v>
      </c>
      <c r="BL43" s="17"/>
      <c r="BM43" s="17">
        <v>0.8</v>
      </c>
      <c r="BN43" s="17"/>
      <c r="BO43" s="17">
        <v>0.8</v>
      </c>
      <c r="BS43" s="17"/>
      <c r="BT43" s="17">
        <v>1</v>
      </c>
      <c r="BU43" s="17"/>
      <c r="BV43" s="17">
        <v>1</v>
      </c>
      <c r="BZ43" s="17"/>
      <c r="CA43" s="17">
        <v>1</v>
      </c>
      <c r="CB43" s="17"/>
      <c r="CC43" s="17">
        <v>1</v>
      </c>
      <c r="CG43" s="17"/>
      <c r="CH43" s="17"/>
      <c r="CI43" s="17"/>
      <c r="CN43" s="17"/>
      <c r="CO43" s="17"/>
      <c r="CP43" s="17"/>
      <c r="CQ43" s="17"/>
      <c r="CU43" s="17"/>
      <c r="CV43" s="17"/>
      <c r="CW43" s="17"/>
      <c r="CX43" s="17"/>
    </row>
    <row r="44" spans="2:104" outlineLevel="1">
      <c r="B44" s="15" t="s">
        <v>60</v>
      </c>
      <c r="C44" s="15" t="s">
        <v>123</v>
      </c>
      <c r="E44" s="16"/>
      <c r="F44" s="15" t="s">
        <v>145</v>
      </c>
      <c r="G44" s="17">
        <v>0.1</v>
      </c>
      <c r="I44" s="16">
        <f>+SUMIF($N$4:$YS$4,I$4,$N44:$YS44)</f>
        <v>0</v>
      </c>
      <c r="J44" s="18" cm="1">
        <f t="array" ref="J44">MAX(IF($N$4:$DA$4=$J$4,N44:DA44))</f>
        <v>0</v>
      </c>
      <c r="K44" s="18" cm="1">
        <f t="array" ref="K44">MAX(IF($N$4:$DA$4=$J$4,N44:DA44))</f>
        <v>0</v>
      </c>
      <c r="L44" s="16"/>
      <c r="O44" s="17"/>
      <c r="P44" s="17"/>
      <c r="Q44" s="17"/>
      <c r="R44" s="17"/>
      <c r="V44" s="17"/>
      <c r="W44" s="17">
        <v>0.5</v>
      </c>
      <c r="X44" s="17"/>
      <c r="Y44" s="17">
        <v>0.5</v>
      </c>
      <c r="AC44" s="17"/>
      <c r="AD44" s="17">
        <v>0.5</v>
      </c>
      <c r="AE44" s="17"/>
      <c r="AF44" s="17">
        <v>0.5</v>
      </c>
      <c r="AJ44" s="17"/>
      <c r="AK44" s="17">
        <v>0.5</v>
      </c>
      <c r="AL44" s="17"/>
      <c r="AM44" s="17">
        <v>0.5</v>
      </c>
      <c r="AQ44" s="17"/>
      <c r="AR44" s="17">
        <v>0.5</v>
      </c>
      <c r="AS44" s="17"/>
      <c r="AT44" s="17">
        <v>0.5</v>
      </c>
      <c r="AX44" s="17"/>
      <c r="AY44" s="17">
        <v>0.8</v>
      </c>
      <c r="AZ44" s="17"/>
      <c r="BA44" s="17">
        <v>0.8</v>
      </c>
      <c r="BE44" s="17"/>
      <c r="BF44" s="17">
        <v>0.8</v>
      </c>
      <c r="BG44" s="17"/>
      <c r="BH44" s="17">
        <v>0.8</v>
      </c>
      <c r="BL44" s="17"/>
      <c r="BM44" s="17">
        <v>0.8</v>
      </c>
      <c r="BN44" s="17"/>
      <c r="BO44" s="17">
        <v>0.8</v>
      </c>
      <c r="BS44" s="17"/>
      <c r="BT44" s="17">
        <v>1</v>
      </c>
      <c r="BU44" s="17"/>
      <c r="BV44" s="17">
        <v>1</v>
      </c>
      <c r="BZ44" s="17"/>
      <c r="CA44" s="17">
        <v>1</v>
      </c>
      <c r="CB44" s="17"/>
      <c r="CC44" s="17">
        <v>1</v>
      </c>
      <c r="CG44" s="17"/>
      <c r="CH44" s="17"/>
      <c r="CI44" s="17"/>
      <c r="CN44" s="17"/>
      <c r="CO44" s="17"/>
      <c r="CP44" s="17"/>
      <c r="CQ44" s="17"/>
      <c r="CU44" s="17"/>
      <c r="CV44" s="17"/>
      <c r="CW44" s="17"/>
      <c r="CX44" s="17"/>
    </row>
    <row r="45" spans="2:104" outlineLevel="1">
      <c r="B45" s="15" t="s">
        <v>60</v>
      </c>
      <c r="C45" s="15" t="s">
        <v>123</v>
      </c>
      <c r="E45" s="16"/>
      <c r="F45" s="15" t="s">
        <v>146</v>
      </c>
      <c r="G45" s="17">
        <v>0.1</v>
      </c>
      <c r="I45" s="16">
        <f>+SUMIF($N$4:$YS$4,I$4,$N45:$YS45)</f>
        <v>0</v>
      </c>
      <c r="J45" s="18" cm="1">
        <f t="array" ref="J45">MAX(IF($N$4:$DA$4=$J$4,N45:DA45))</f>
        <v>0</v>
      </c>
      <c r="K45" s="18" cm="1">
        <f t="array" ref="K45">MAX(IF($N$4:$DA$4=$J$4,N45:DA45))</f>
        <v>0</v>
      </c>
      <c r="L45" s="16"/>
      <c r="O45" s="17"/>
      <c r="P45" s="17"/>
      <c r="Q45" s="17"/>
      <c r="R45" s="17"/>
      <c r="V45" s="17"/>
      <c r="W45" s="17"/>
      <c r="X45" s="17"/>
      <c r="Y45" s="17"/>
      <c r="AC45" s="17"/>
      <c r="AD45" s="17">
        <v>0.5</v>
      </c>
      <c r="AE45" s="17"/>
      <c r="AF45" s="17">
        <v>0.5</v>
      </c>
      <c r="AJ45" s="17"/>
      <c r="AK45" s="17">
        <v>0.5</v>
      </c>
      <c r="AL45" s="17"/>
      <c r="AM45" s="17">
        <v>0.5</v>
      </c>
      <c r="AQ45" s="17"/>
      <c r="AR45" s="17">
        <v>0.5</v>
      </c>
      <c r="AS45" s="17"/>
      <c r="AT45" s="17">
        <v>0.5</v>
      </c>
      <c r="AX45" s="17"/>
      <c r="AY45" s="17">
        <v>0.5</v>
      </c>
      <c r="AZ45" s="17"/>
      <c r="BA45" s="17">
        <v>0.5</v>
      </c>
      <c r="BE45" s="17"/>
      <c r="BF45" s="17">
        <v>0.8</v>
      </c>
      <c r="BG45" s="17"/>
      <c r="BH45" s="17">
        <v>0.8</v>
      </c>
      <c r="BL45" s="17"/>
      <c r="BM45" s="17">
        <v>0.8</v>
      </c>
      <c r="BN45" s="17"/>
      <c r="BO45" s="17">
        <v>0.8</v>
      </c>
      <c r="BS45" s="17"/>
      <c r="BT45" s="17">
        <v>1</v>
      </c>
      <c r="BU45" s="17"/>
      <c r="BV45" s="17">
        <v>1</v>
      </c>
      <c r="BZ45" s="17"/>
      <c r="CA45" s="17">
        <v>1</v>
      </c>
      <c r="CB45" s="17"/>
      <c r="CC45" s="17">
        <v>1</v>
      </c>
      <c r="CG45" s="17"/>
      <c r="CH45" s="17"/>
      <c r="CI45" s="17"/>
      <c r="CN45" s="17"/>
      <c r="CO45" s="17"/>
      <c r="CP45" s="17"/>
      <c r="CQ45" s="17"/>
      <c r="CU45" s="17"/>
      <c r="CV45" s="17"/>
      <c r="CW45" s="17"/>
      <c r="CX45" s="17"/>
    </row>
    <row r="46" spans="2:104" outlineLevel="1">
      <c r="B46" s="15" t="s">
        <v>60</v>
      </c>
      <c r="C46" s="15" t="s">
        <v>123</v>
      </c>
      <c r="E46" s="16"/>
      <c r="F46" s="15" t="s">
        <v>147</v>
      </c>
      <c r="G46" s="17">
        <v>0.1</v>
      </c>
      <c r="I46" s="16">
        <f>+SUMIF($N$4:$YS$4,I$4,$N46:$YS46)</f>
        <v>0</v>
      </c>
      <c r="J46" s="18" cm="1">
        <f t="array" ref="J46">MAX(IF($N$4:$DA$4=$J$4,N46:DA46))</f>
        <v>0</v>
      </c>
      <c r="K46" s="18" cm="1">
        <f t="array" ref="K46">MAX(IF($N$4:$DA$4=$J$4,N46:DA46))</f>
        <v>0</v>
      </c>
      <c r="L46" s="16"/>
      <c r="O46" s="17"/>
      <c r="P46" s="17"/>
      <c r="Q46" s="17"/>
      <c r="R46" s="17"/>
      <c r="V46" s="17"/>
      <c r="W46" s="17"/>
      <c r="X46" s="17"/>
      <c r="Y46" s="17"/>
      <c r="AC46" s="17"/>
      <c r="AD46" s="17"/>
      <c r="AE46" s="17"/>
      <c r="AF46" s="17"/>
      <c r="AJ46" s="17"/>
      <c r="AK46" s="17">
        <v>0.5</v>
      </c>
      <c r="AL46" s="17"/>
      <c r="AM46" s="17">
        <v>0.5</v>
      </c>
      <c r="AQ46" s="17"/>
      <c r="AR46" s="17">
        <v>0.5</v>
      </c>
      <c r="AS46" s="17"/>
      <c r="AT46" s="17">
        <v>0.5</v>
      </c>
      <c r="AX46" s="17"/>
      <c r="AY46" s="17">
        <v>0.5</v>
      </c>
      <c r="AZ46" s="17"/>
      <c r="BA46" s="17">
        <v>0.5</v>
      </c>
      <c r="BE46" s="17"/>
      <c r="BF46" s="17">
        <v>0.8</v>
      </c>
      <c r="BG46" s="17"/>
      <c r="BH46" s="17">
        <v>0.8</v>
      </c>
      <c r="BL46" s="17"/>
      <c r="BM46" s="17">
        <v>0.8</v>
      </c>
      <c r="BN46" s="17"/>
      <c r="BO46" s="17">
        <v>0.8</v>
      </c>
      <c r="BS46" s="17"/>
      <c r="BT46" s="17">
        <v>0.8</v>
      </c>
      <c r="BU46" s="17"/>
      <c r="BV46" s="17">
        <v>0.8</v>
      </c>
      <c r="BZ46" s="17"/>
      <c r="CA46" s="17">
        <v>1</v>
      </c>
      <c r="CB46" s="17"/>
      <c r="CC46" s="17">
        <v>1</v>
      </c>
      <c r="CG46" s="17"/>
      <c r="CH46" s="17"/>
      <c r="CI46" s="17"/>
      <c r="CN46" s="17"/>
      <c r="CO46" s="17"/>
      <c r="CP46" s="17"/>
      <c r="CQ46" s="17"/>
      <c r="CU46" s="17"/>
      <c r="CV46" s="17"/>
      <c r="CW46" s="17"/>
      <c r="CX46" s="17"/>
    </row>
    <row r="47" spans="2:104" outlineLevel="1">
      <c r="B47" s="15" t="s">
        <v>60</v>
      </c>
      <c r="C47" s="15" t="s">
        <v>123</v>
      </c>
      <c r="E47" s="16"/>
      <c r="F47" s="15" t="s">
        <v>148</v>
      </c>
      <c r="G47" s="17">
        <v>0.1</v>
      </c>
      <c r="I47" s="16">
        <f>+SUMIF($N$4:$YS$4,I$4,$N47:$YS47)</f>
        <v>0</v>
      </c>
      <c r="J47" s="18" cm="1">
        <f t="array" ref="J47">MAX(IF($N$4:$DA$4=$J$4,N47:DA47))</f>
        <v>0</v>
      </c>
      <c r="K47" s="18" cm="1">
        <f t="array" ref="K47">MAX(IF($N$4:$DA$4=$J$4,N47:DA47))</f>
        <v>0</v>
      </c>
      <c r="L47" s="16"/>
      <c r="O47" s="17"/>
      <c r="P47" s="17"/>
      <c r="Q47" s="17"/>
      <c r="R47" s="17"/>
      <c r="V47" s="17"/>
      <c r="W47" s="17"/>
      <c r="X47" s="17"/>
      <c r="Y47" s="17"/>
      <c r="AC47" s="17"/>
      <c r="AD47" s="17"/>
      <c r="AE47" s="17"/>
      <c r="AF47" s="17"/>
      <c r="AJ47" s="17"/>
      <c r="AK47" s="17">
        <v>0.5</v>
      </c>
      <c r="AL47" s="17"/>
      <c r="AM47" s="17">
        <v>0.5</v>
      </c>
      <c r="AQ47" s="17"/>
      <c r="AR47" s="17">
        <v>0.5</v>
      </c>
      <c r="AS47" s="17"/>
      <c r="AT47" s="17">
        <v>0.5</v>
      </c>
      <c r="AX47" s="17"/>
      <c r="AY47" s="17">
        <v>0.5</v>
      </c>
      <c r="AZ47" s="17"/>
      <c r="BA47" s="17">
        <v>0.5</v>
      </c>
      <c r="BE47" s="17"/>
      <c r="BF47" s="17">
        <v>0.5</v>
      </c>
      <c r="BG47" s="17"/>
      <c r="BH47" s="17">
        <v>0.5</v>
      </c>
      <c r="BL47" s="17"/>
      <c r="BM47" s="17">
        <v>0.8</v>
      </c>
      <c r="BN47" s="17"/>
      <c r="BO47" s="17">
        <v>0.8</v>
      </c>
      <c r="BS47" s="17"/>
      <c r="BT47" s="17">
        <v>0.8</v>
      </c>
      <c r="BU47" s="17"/>
      <c r="BV47" s="17">
        <v>0.8</v>
      </c>
      <c r="BZ47" s="17"/>
      <c r="CA47" s="17">
        <v>1</v>
      </c>
      <c r="CB47" s="17"/>
      <c r="CC47" s="17">
        <v>1</v>
      </c>
      <c r="CG47" s="17"/>
      <c r="CH47" s="17"/>
      <c r="CI47" s="17"/>
      <c r="CN47" s="17"/>
      <c r="CO47" s="17"/>
      <c r="CP47" s="17"/>
      <c r="CQ47" s="17"/>
      <c r="CU47" s="17"/>
      <c r="CV47" s="17"/>
      <c r="CW47" s="17"/>
      <c r="CX47" s="17"/>
    </row>
    <row r="48" spans="2:104" outlineLevel="1">
      <c r="B48" s="15" t="s">
        <v>60</v>
      </c>
      <c r="C48" s="15" t="s">
        <v>123</v>
      </c>
      <c r="E48" s="16"/>
      <c r="F48" s="15" t="s">
        <v>149</v>
      </c>
      <c r="G48" s="17">
        <v>0.1</v>
      </c>
      <c r="I48" s="16">
        <f>+SUMIF($N$4:$YS$4,I$4,$N48:$YS48)</f>
        <v>0</v>
      </c>
      <c r="J48" s="18" cm="1">
        <f t="array" ref="J48">MAX(IF($N$4:$DA$4=$J$4,N48:DA48))</f>
        <v>0</v>
      </c>
      <c r="K48" s="18" cm="1">
        <f t="array" ref="K48">MAX(IF($N$4:$DA$4=$J$4,N48:DA48))</f>
        <v>0</v>
      </c>
      <c r="L48" s="16"/>
      <c r="O48" s="17"/>
      <c r="P48" s="17"/>
      <c r="Q48" s="17"/>
      <c r="R48" s="17"/>
      <c r="V48" s="17"/>
      <c r="W48" s="17"/>
      <c r="X48" s="17"/>
      <c r="Y48" s="17"/>
      <c r="AC48" s="17"/>
      <c r="AD48" s="17"/>
      <c r="AE48" s="17"/>
      <c r="AF48" s="17"/>
      <c r="AJ48" s="17"/>
      <c r="AK48" s="17"/>
      <c r="AL48" s="17"/>
      <c r="AM48" s="17"/>
      <c r="AQ48" s="17"/>
      <c r="AR48" s="17">
        <v>0.5</v>
      </c>
      <c r="AS48" s="17"/>
      <c r="AT48" s="17">
        <v>0.5</v>
      </c>
      <c r="AX48" s="17"/>
      <c r="AY48" s="17">
        <v>0.5</v>
      </c>
      <c r="AZ48" s="17"/>
      <c r="BA48" s="17">
        <v>0.5</v>
      </c>
      <c r="BE48" s="17"/>
      <c r="BF48" s="17">
        <v>0.5</v>
      </c>
      <c r="BG48" s="17"/>
      <c r="BH48" s="17">
        <v>0.5</v>
      </c>
      <c r="BL48" s="17"/>
      <c r="BM48" s="17">
        <v>0.8</v>
      </c>
      <c r="BN48" s="17"/>
      <c r="BO48" s="17">
        <v>0.8</v>
      </c>
      <c r="BS48" s="17"/>
      <c r="BT48" s="17">
        <v>0.8</v>
      </c>
      <c r="BU48" s="17"/>
      <c r="BV48" s="17">
        <v>0.8</v>
      </c>
      <c r="BZ48" s="17"/>
      <c r="CA48" s="17">
        <v>1</v>
      </c>
      <c r="CB48" s="17"/>
      <c r="CC48" s="17">
        <v>1</v>
      </c>
      <c r="CG48" s="17"/>
      <c r="CH48" s="17"/>
      <c r="CI48" s="17"/>
      <c r="CN48" s="17"/>
      <c r="CO48" s="17"/>
      <c r="CP48" s="17"/>
      <c r="CQ48" s="17"/>
      <c r="CU48" s="17"/>
      <c r="CV48" s="17"/>
      <c r="CW48" s="17"/>
      <c r="CX48" s="17"/>
    </row>
    <row r="49" spans="2:104">
      <c r="AR49" s="17"/>
    </row>
    <row r="50" spans="2:104">
      <c r="B50" s="32" t="s">
        <v>38</v>
      </c>
      <c r="C50" s="32" t="s">
        <v>124</v>
      </c>
      <c r="D50" s="33">
        <v>45874</v>
      </c>
      <c r="E50" s="34">
        <v>10</v>
      </c>
      <c r="F50" s="32"/>
      <c r="G50" s="35">
        <f>+SUM(G51:G61)</f>
        <v>1</v>
      </c>
      <c r="I50" s="42">
        <f>+SUM(I51:I61)</f>
        <v>0</v>
      </c>
      <c r="J50" s="43">
        <f>+SUMPRODUCT(G51:G61,J51:J61)</f>
        <v>0.15000000000000002</v>
      </c>
      <c r="K50" s="43">
        <f>+SUMPRODUCT(G51:G61,K51:K61)</f>
        <v>0.15000000000000002</v>
      </c>
      <c r="L50" s="34"/>
      <c r="M50" s="46"/>
      <c r="N50" s="42">
        <f>+SUM(N51:N61)</f>
        <v>0</v>
      </c>
      <c r="O50" s="32"/>
      <c r="P50" s="32"/>
      <c r="Q50" s="32"/>
      <c r="R50" s="32"/>
      <c r="S50" s="32"/>
      <c r="T50" s="46"/>
      <c r="U50" s="42">
        <f>+SUM(U51:U61)</f>
        <v>0</v>
      </c>
      <c r="V50" s="32"/>
      <c r="W50" s="32"/>
      <c r="X50" s="32"/>
      <c r="Y50" s="32"/>
      <c r="Z50" s="32"/>
      <c r="AA50" s="46"/>
      <c r="AB50" s="42">
        <f>+SUM(AB51:AB61)</f>
        <v>0</v>
      </c>
      <c r="AC50" s="32"/>
      <c r="AD50" s="32"/>
      <c r="AE50" s="32"/>
      <c r="AF50" s="32"/>
      <c r="AG50" s="32"/>
      <c r="AH50" s="46"/>
      <c r="AI50" s="42">
        <f>+SUM(AI51:AI61)</f>
        <v>0</v>
      </c>
      <c r="AJ50" s="32"/>
      <c r="AK50" s="32"/>
      <c r="AL50" s="32"/>
      <c r="AM50" s="32"/>
      <c r="AN50" s="32"/>
      <c r="AO50" s="46"/>
      <c r="AP50" s="42">
        <f>+SUM(AP51:AP61)</f>
        <v>0</v>
      </c>
      <c r="AQ50" s="32"/>
      <c r="AR50" s="32"/>
      <c r="AS50" s="32"/>
      <c r="AT50" s="32"/>
      <c r="AU50" s="32"/>
      <c r="AV50" s="46"/>
      <c r="AW50" s="32"/>
      <c r="AX50" s="32"/>
      <c r="AY50" s="32"/>
      <c r="AZ50" s="32"/>
      <c r="BA50" s="32"/>
      <c r="BB50" s="32"/>
      <c r="BC50" s="46"/>
      <c r="BD50" s="32"/>
      <c r="BE50" s="32"/>
      <c r="BF50" s="32"/>
      <c r="BG50" s="32"/>
      <c r="BH50" s="32"/>
      <c r="BI50" s="32"/>
      <c r="BJ50" s="46"/>
      <c r="BK50" s="32"/>
      <c r="BL50" s="32"/>
      <c r="BM50" s="32"/>
      <c r="BN50" s="32"/>
      <c r="BO50" s="32"/>
      <c r="BP50" s="32"/>
      <c r="BQ50" s="46"/>
      <c r="BR50" s="32"/>
      <c r="BS50" s="32"/>
      <c r="BT50" s="32"/>
      <c r="BU50" s="32"/>
      <c r="BV50" s="32"/>
      <c r="BW50" s="32"/>
      <c r="BX50" s="46"/>
      <c r="BY50" s="32"/>
      <c r="BZ50" s="32"/>
      <c r="CA50" s="32"/>
      <c r="CB50" s="32"/>
      <c r="CC50" s="32"/>
      <c r="CD50" s="32"/>
      <c r="CE50" s="46"/>
      <c r="CF50" s="32"/>
      <c r="CG50" s="32"/>
      <c r="CH50" s="32"/>
      <c r="CI50" s="32"/>
      <c r="CJ50" s="32"/>
      <c r="CK50" s="32"/>
      <c r="CL50" s="46"/>
      <c r="CM50" s="32"/>
      <c r="CN50" s="32"/>
      <c r="CO50" s="32"/>
      <c r="CP50" s="32"/>
      <c r="CQ50" s="32"/>
      <c r="CR50" s="32"/>
      <c r="CS50" s="60"/>
      <c r="CT50" s="32"/>
      <c r="CU50" s="32"/>
      <c r="CV50" s="32"/>
      <c r="CW50" s="32"/>
      <c r="CX50" s="32"/>
      <c r="CY50" s="32"/>
      <c r="CZ50" s="46"/>
    </row>
    <row r="51" spans="2:104" outlineLevel="1">
      <c r="B51" s="15" t="s">
        <v>60</v>
      </c>
      <c r="C51" s="19" t="s">
        <v>124</v>
      </c>
      <c r="E51" s="16"/>
      <c r="F51" s="15" t="s">
        <v>67</v>
      </c>
      <c r="G51" s="17">
        <v>0.1</v>
      </c>
      <c r="I51" s="16">
        <f>+SUMIF($N$4:$YS$4,I$4,$N51:$YS51)</f>
        <v>0</v>
      </c>
      <c r="J51" s="18" cm="1">
        <f t="array" ref="J51">MAX(IF($N$4:$DA$4=$J$4,N51:DA51))</f>
        <v>0.5</v>
      </c>
      <c r="K51" s="18" cm="1">
        <f t="array" ref="K51">MAX(IF($N$4:$DA$4=$J$4,N51:DA51))</f>
        <v>0.5</v>
      </c>
      <c r="L51" s="16"/>
      <c r="O51" s="17"/>
      <c r="P51" s="17">
        <v>0.5</v>
      </c>
      <c r="Q51" s="17"/>
      <c r="R51" s="17">
        <v>0.5</v>
      </c>
      <c r="V51" s="17">
        <v>0.5</v>
      </c>
      <c r="W51" s="17">
        <v>0.5</v>
      </c>
      <c r="X51" s="17"/>
      <c r="Y51" s="17">
        <v>0.5</v>
      </c>
      <c r="AC51" s="17"/>
      <c r="AD51" s="17">
        <v>0.8</v>
      </c>
      <c r="AE51" s="17"/>
      <c r="AF51" s="17">
        <v>0.8</v>
      </c>
      <c r="AJ51" s="17"/>
      <c r="AK51" s="17">
        <v>0.8</v>
      </c>
      <c r="AL51" s="17"/>
      <c r="AM51" s="17">
        <v>0.8</v>
      </c>
      <c r="AQ51" s="17"/>
      <c r="AR51" s="17">
        <v>0.8</v>
      </c>
      <c r="AS51" s="17"/>
      <c r="AT51" s="17">
        <v>0.8</v>
      </c>
      <c r="AX51" s="17"/>
      <c r="AY51" s="17">
        <v>1</v>
      </c>
      <c r="AZ51" s="17"/>
      <c r="BA51" s="17">
        <v>1</v>
      </c>
      <c r="BE51" s="17"/>
      <c r="BF51" s="17">
        <v>1</v>
      </c>
      <c r="BG51" s="17"/>
      <c r="BH51" s="17">
        <v>1</v>
      </c>
      <c r="BL51" s="17"/>
      <c r="BM51" s="17">
        <v>1</v>
      </c>
      <c r="BN51" s="17"/>
      <c r="BO51" s="17">
        <v>1</v>
      </c>
      <c r="BS51" s="17"/>
      <c r="BT51" s="17">
        <v>1</v>
      </c>
      <c r="BU51" s="17"/>
      <c r="BV51" s="17">
        <v>1</v>
      </c>
      <c r="BZ51" s="17"/>
      <c r="CA51" s="17">
        <v>1</v>
      </c>
      <c r="CB51" s="17"/>
      <c r="CC51" s="17">
        <v>1</v>
      </c>
      <c r="CG51" s="17"/>
      <c r="CH51" s="17"/>
      <c r="CI51" s="17"/>
      <c r="CJ51" s="17"/>
      <c r="CN51" s="17"/>
      <c r="CO51" s="17"/>
      <c r="CP51" s="17"/>
      <c r="CQ51" s="17"/>
      <c r="CU51" s="17"/>
      <c r="CV51" s="17"/>
      <c r="CW51" s="17"/>
      <c r="CX51" s="17"/>
    </row>
    <row r="52" spans="2:104" outlineLevel="1">
      <c r="B52" s="15" t="s">
        <v>60</v>
      </c>
      <c r="C52" s="19" t="s">
        <v>124</v>
      </c>
      <c r="E52" s="16"/>
      <c r="F52" s="15" t="s">
        <v>150</v>
      </c>
      <c r="G52" s="17">
        <v>0.1</v>
      </c>
      <c r="I52" s="16">
        <f>+SUMIF($N$4:$YS$4,I$4,$N52:$YS52)</f>
        <v>0</v>
      </c>
      <c r="J52" s="18" cm="1">
        <f t="array" ref="J52">MAX(IF($N$4:$DA$4=$J$4,N52:DA52))</f>
        <v>0.5</v>
      </c>
      <c r="K52" s="18" cm="1">
        <f t="array" ref="K52">MAX(IF($N$4:$DA$4=$J$4,N52:DA52))</f>
        <v>0.5</v>
      </c>
      <c r="L52" s="16"/>
      <c r="O52" s="17"/>
      <c r="P52" s="17">
        <v>0.5</v>
      </c>
      <c r="Q52" s="17"/>
      <c r="R52" s="17">
        <v>0.5</v>
      </c>
      <c r="V52" s="17">
        <v>0.5</v>
      </c>
      <c r="W52" s="17">
        <v>0.5</v>
      </c>
      <c r="X52" s="17"/>
      <c r="Y52" s="17">
        <v>0.5</v>
      </c>
      <c r="AC52" s="17"/>
      <c r="AD52" s="17">
        <v>0.5</v>
      </c>
      <c r="AE52" s="17"/>
      <c r="AF52" s="17">
        <v>0.5</v>
      </c>
      <c r="AJ52" s="17"/>
      <c r="AK52" s="17">
        <v>0.8</v>
      </c>
      <c r="AL52" s="17"/>
      <c r="AM52" s="17">
        <v>0.8</v>
      </c>
      <c r="AQ52" s="17"/>
      <c r="AR52" s="17">
        <v>0.8</v>
      </c>
      <c r="AS52" s="17"/>
      <c r="AT52" s="17">
        <v>0.8</v>
      </c>
      <c r="AX52" s="17"/>
      <c r="AY52" s="17">
        <v>0.8</v>
      </c>
      <c r="AZ52" s="17"/>
      <c r="BA52" s="17">
        <v>0.8</v>
      </c>
      <c r="BE52" s="17"/>
      <c r="BF52" s="17">
        <v>1</v>
      </c>
      <c r="BG52" s="17"/>
      <c r="BH52" s="17">
        <v>1</v>
      </c>
      <c r="BL52" s="17"/>
      <c r="BM52" s="17">
        <v>1</v>
      </c>
      <c r="BN52" s="17"/>
      <c r="BO52" s="17">
        <v>1</v>
      </c>
      <c r="BS52" s="17"/>
      <c r="BT52" s="17">
        <v>1</v>
      </c>
      <c r="BU52" s="17"/>
      <c r="BV52" s="17">
        <v>1</v>
      </c>
      <c r="BZ52" s="17"/>
      <c r="CA52" s="17">
        <v>1</v>
      </c>
      <c r="CB52" s="17"/>
      <c r="CC52" s="17">
        <v>1</v>
      </c>
      <c r="CG52" s="17"/>
      <c r="CH52" s="17"/>
      <c r="CI52" s="17"/>
      <c r="CJ52" s="17"/>
      <c r="CN52" s="17"/>
      <c r="CO52" s="17"/>
      <c r="CP52" s="17"/>
      <c r="CQ52" s="17"/>
      <c r="CU52" s="17"/>
      <c r="CV52" s="17"/>
      <c r="CW52" s="17"/>
      <c r="CX52" s="17"/>
    </row>
    <row r="53" spans="2:104" outlineLevel="1">
      <c r="B53" s="15" t="s">
        <v>60</v>
      </c>
      <c r="C53" s="19" t="s">
        <v>124</v>
      </c>
      <c r="E53" s="16"/>
      <c r="F53" s="15" t="s">
        <v>68</v>
      </c>
      <c r="G53" s="17">
        <v>0.1</v>
      </c>
      <c r="I53" s="16">
        <f>+SUMIF($N$4:$YS$4,I$4,$N53:$YS53)</f>
        <v>0</v>
      </c>
      <c r="J53" s="18" cm="1">
        <f t="array" ref="J53">MAX(IF($N$4:$DA$4=$J$4,N53:DA53))</f>
        <v>0.5</v>
      </c>
      <c r="K53" s="18" cm="1">
        <f t="array" ref="K53">MAX(IF($N$4:$DA$4=$J$4,N53:DA53))</f>
        <v>0.5</v>
      </c>
      <c r="L53" s="16"/>
      <c r="O53" s="17"/>
      <c r="P53" s="17">
        <v>0.5</v>
      </c>
      <c r="Q53" s="17"/>
      <c r="R53" s="17">
        <v>0.5</v>
      </c>
      <c r="V53" s="17">
        <v>0.5</v>
      </c>
      <c r="W53" s="17">
        <v>0.5</v>
      </c>
      <c r="X53" s="17"/>
      <c r="Y53" s="17">
        <v>0.5</v>
      </c>
      <c r="AC53" s="17"/>
      <c r="AD53" s="17">
        <v>0.5</v>
      </c>
      <c r="AE53" s="17"/>
      <c r="AF53" s="17">
        <v>0.5</v>
      </c>
      <c r="AJ53" s="17"/>
      <c r="AK53" s="17">
        <v>0.8</v>
      </c>
      <c r="AL53" s="17"/>
      <c r="AM53" s="17">
        <v>0.8</v>
      </c>
      <c r="AQ53" s="17"/>
      <c r="AR53" s="17">
        <v>0.8</v>
      </c>
      <c r="AS53" s="17"/>
      <c r="AT53" s="17">
        <v>0.8</v>
      </c>
      <c r="AX53" s="17"/>
      <c r="AY53" s="17">
        <v>0.8</v>
      </c>
      <c r="AZ53" s="17"/>
      <c r="BA53" s="17">
        <v>0.8</v>
      </c>
      <c r="BE53" s="17"/>
      <c r="BF53" s="17">
        <v>0.8</v>
      </c>
      <c r="BG53" s="17"/>
      <c r="BH53" s="17">
        <v>0.8</v>
      </c>
      <c r="BL53" s="17"/>
      <c r="BM53" s="17">
        <v>1</v>
      </c>
      <c r="BN53" s="17"/>
      <c r="BO53" s="17">
        <v>1</v>
      </c>
      <c r="BS53" s="17"/>
      <c r="BT53" s="17">
        <v>1</v>
      </c>
      <c r="BU53" s="17"/>
      <c r="BV53" s="17">
        <v>1</v>
      </c>
      <c r="BZ53" s="17"/>
      <c r="CA53" s="17">
        <v>1</v>
      </c>
      <c r="CB53" s="17"/>
      <c r="CC53" s="17">
        <v>1</v>
      </c>
      <c r="CG53" s="17"/>
      <c r="CH53" s="17"/>
      <c r="CI53" s="17"/>
      <c r="CJ53" s="17"/>
      <c r="CN53" s="17"/>
      <c r="CO53" s="17"/>
      <c r="CP53" s="17"/>
      <c r="CQ53" s="17"/>
      <c r="CU53" s="17"/>
      <c r="CV53" s="17"/>
      <c r="CW53" s="17"/>
      <c r="CX53" s="17"/>
    </row>
    <row r="54" spans="2:104" outlineLevel="1">
      <c r="B54" s="15" t="s">
        <v>60</v>
      </c>
      <c r="C54" s="19" t="s">
        <v>124</v>
      </c>
      <c r="E54" s="16"/>
      <c r="F54" s="15" t="s">
        <v>69</v>
      </c>
      <c r="G54" s="17">
        <v>0.1</v>
      </c>
      <c r="I54" s="16">
        <f>+SUMIF($N$4:$YS$4,I$4,$N54:$YS54)</f>
        <v>0</v>
      </c>
      <c r="J54" s="18" cm="1">
        <f t="array" ref="J54">MAX(IF($N$4:$DA$4=$J$4,N54:DA54))</f>
        <v>0</v>
      </c>
      <c r="K54" s="18" cm="1">
        <f t="array" ref="K54">MAX(IF($N$4:$DA$4=$J$4,N54:DA54))</f>
        <v>0</v>
      </c>
      <c r="L54" s="16"/>
      <c r="O54" s="17"/>
      <c r="P54" s="17"/>
      <c r="Q54" s="17"/>
      <c r="R54" s="17"/>
      <c r="V54" s="17"/>
      <c r="W54" s="17">
        <v>0.5</v>
      </c>
      <c r="X54" s="17"/>
      <c r="Y54" s="17">
        <v>0.5</v>
      </c>
      <c r="AC54" s="17"/>
      <c r="AD54" s="17">
        <v>0.5</v>
      </c>
      <c r="AE54" s="17"/>
      <c r="AF54" s="17">
        <v>0.5</v>
      </c>
      <c r="AJ54" s="17"/>
      <c r="AK54" s="17">
        <v>0.8</v>
      </c>
      <c r="AL54" s="17"/>
      <c r="AM54" s="17">
        <v>0.8</v>
      </c>
      <c r="AQ54" s="17"/>
      <c r="AR54" s="17">
        <v>0.8</v>
      </c>
      <c r="AS54" s="17"/>
      <c r="AT54" s="17">
        <v>0.8</v>
      </c>
      <c r="AX54" s="17"/>
      <c r="AY54" s="17">
        <v>0.8</v>
      </c>
      <c r="AZ54" s="17"/>
      <c r="BA54" s="17">
        <v>0.8</v>
      </c>
      <c r="BE54" s="17"/>
      <c r="BF54" s="17">
        <v>0.8</v>
      </c>
      <c r="BG54" s="17"/>
      <c r="BH54" s="17">
        <v>0.8</v>
      </c>
      <c r="BL54" s="17"/>
      <c r="BM54" s="17">
        <v>1</v>
      </c>
      <c r="BN54" s="17"/>
      <c r="BO54" s="17">
        <v>1</v>
      </c>
      <c r="BS54" s="17"/>
      <c r="BT54" s="17">
        <v>1</v>
      </c>
      <c r="BU54" s="17"/>
      <c r="BV54" s="17">
        <v>1</v>
      </c>
      <c r="BZ54" s="17"/>
      <c r="CA54" s="17">
        <v>1</v>
      </c>
      <c r="CB54" s="17"/>
      <c r="CC54" s="17">
        <v>1</v>
      </c>
      <c r="CG54" s="17"/>
      <c r="CH54" s="17"/>
      <c r="CI54" s="17"/>
      <c r="CJ54" s="17"/>
      <c r="CN54" s="17"/>
      <c r="CO54" s="17"/>
      <c r="CP54" s="17"/>
      <c r="CQ54" s="17"/>
      <c r="CU54" s="17"/>
      <c r="CV54" s="17"/>
      <c r="CW54" s="17"/>
      <c r="CX54" s="17"/>
    </row>
    <row r="55" spans="2:104" outlineLevel="1">
      <c r="B55" s="15" t="s">
        <v>60</v>
      </c>
      <c r="C55" s="19" t="s">
        <v>124</v>
      </c>
      <c r="E55" s="16"/>
      <c r="F55" s="15" t="s">
        <v>70</v>
      </c>
      <c r="G55" s="17">
        <v>0.1</v>
      </c>
      <c r="I55" s="16">
        <f>+SUMIF($N$4:$YS$4,I$4,$N55:$YS55)</f>
        <v>0</v>
      </c>
      <c r="J55" s="18" cm="1">
        <f t="array" ref="J55">MAX(IF($N$4:$DA$4=$J$4,N55:DA55))</f>
        <v>0</v>
      </c>
      <c r="K55" s="18" cm="1">
        <f t="array" ref="K55">MAX(IF($N$4:$DA$4=$J$4,N55:DA55))</f>
        <v>0</v>
      </c>
      <c r="L55" s="16"/>
      <c r="O55" s="17"/>
      <c r="P55" s="17"/>
      <c r="Q55" s="17"/>
      <c r="R55" s="17"/>
      <c r="V55" s="17"/>
      <c r="W55" s="17">
        <v>0.5</v>
      </c>
      <c r="X55" s="17"/>
      <c r="Y55" s="17">
        <v>0.5</v>
      </c>
      <c r="AC55" s="17"/>
      <c r="AD55" s="17">
        <v>0.5</v>
      </c>
      <c r="AE55" s="17"/>
      <c r="AF55" s="17">
        <v>0.5</v>
      </c>
      <c r="AJ55" s="17"/>
      <c r="AK55" s="17">
        <v>0.5</v>
      </c>
      <c r="AL55" s="17"/>
      <c r="AM55" s="17">
        <v>0.5</v>
      </c>
      <c r="AQ55" s="17"/>
      <c r="AR55" s="17">
        <v>0.8</v>
      </c>
      <c r="AS55" s="17"/>
      <c r="AT55" s="17">
        <v>0.8</v>
      </c>
      <c r="AX55" s="17"/>
      <c r="AY55" s="17">
        <v>0.8</v>
      </c>
      <c r="AZ55" s="17"/>
      <c r="BA55" s="17">
        <v>0.8</v>
      </c>
      <c r="BE55" s="17"/>
      <c r="BF55" s="17">
        <v>0.8</v>
      </c>
      <c r="BG55" s="17"/>
      <c r="BH55" s="17">
        <v>0.8</v>
      </c>
      <c r="BL55" s="17"/>
      <c r="BM55" s="17">
        <v>0.8</v>
      </c>
      <c r="BN55" s="17"/>
      <c r="BO55" s="17">
        <v>0.8</v>
      </c>
      <c r="BS55" s="17"/>
      <c r="BT55" s="17">
        <v>1</v>
      </c>
      <c r="BU55" s="17"/>
      <c r="BV55" s="17">
        <v>1</v>
      </c>
      <c r="BZ55" s="17"/>
      <c r="CA55" s="17">
        <v>1</v>
      </c>
      <c r="CB55" s="17"/>
      <c r="CC55" s="17">
        <v>1</v>
      </c>
      <c r="CG55" s="17"/>
      <c r="CH55" s="17"/>
      <c r="CI55" s="17"/>
      <c r="CJ55" s="17"/>
      <c r="CN55" s="17"/>
      <c r="CO55" s="17"/>
      <c r="CP55" s="17"/>
      <c r="CQ55" s="17"/>
      <c r="CU55" s="17"/>
      <c r="CV55" s="17"/>
      <c r="CW55" s="17"/>
      <c r="CX55" s="17"/>
    </row>
    <row r="56" spans="2:104" outlineLevel="1">
      <c r="B56" s="15" t="s">
        <v>60</v>
      </c>
      <c r="C56" s="19" t="s">
        <v>124</v>
      </c>
      <c r="E56" s="16"/>
      <c r="F56" s="15" t="s">
        <v>71</v>
      </c>
      <c r="G56" s="17">
        <v>0.1</v>
      </c>
      <c r="I56" s="16">
        <f>+SUMIF($N$4:$YS$4,I$4,$N56:$YS56)</f>
        <v>0</v>
      </c>
      <c r="J56" s="18" cm="1">
        <f t="array" ref="J56">MAX(IF($N$4:$DA$4=$J$4,N56:DA56))</f>
        <v>0</v>
      </c>
      <c r="K56" s="18" cm="1">
        <f t="array" ref="K56">MAX(IF($N$4:$DA$4=$J$4,N56:DA56))</f>
        <v>0</v>
      </c>
      <c r="L56" s="16"/>
      <c r="O56" s="17"/>
      <c r="P56" s="17"/>
      <c r="Q56" s="17"/>
      <c r="R56" s="17"/>
      <c r="V56" s="17"/>
      <c r="W56" s="17">
        <v>0.5</v>
      </c>
      <c r="X56" s="17"/>
      <c r="Y56" s="17">
        <v>0.5</v>
      </c>
      <c r="AC56" s="17"/>
      <c r="AD56" s="17">
        <v>0.5</v>
      </c>
      <c r="AE56" s="17"/>
      <c r="AF56" s="17">
        <v>0.5</v>
      </c>
      <c r="AJ56" s="17"/>
      <c r="AK56" s="17">
        <v>0.5</v>
      </c>
      <c r="AL56" s="17"/>
      <c r="AM56" s="17">
        <v>0.5</v>
      </c>
      <c r="AQ56" s="17"/>
      <c r="AR56" s="17">
        <v>0.8</v>
      </c>
      <c r="AS56" s="17"/>
      <c r="AT56" s="17">
        <v>0.8</v>
      </c>
      <c r="AX56" s="17"/>
      <c r="AY56" s="17">
        <v>0.8</v>
      </c>
      <c r="AZ56" s="17"/>
      <c r="BA56" s="17">
        <v>0.8</v>
      </c>
      <c r="BE56" s="17"/>
      <c r="BF56" s="17">
        <v>0.8</v>
      </c>
      <c r="BG56" s="17"/>
      <c r="BH56" s="17">
        <v>0.8</v>
      </c>
      <c r="BL56" s="17"/>
      <c r="BM56" s="17">
        <v>0.8</v>
      </c>
      <c r="BN56" s="17"/>
      <c r="BO56" s="17">
        <v>0.8</v>
      </c>
      <c r="BS56" s="17"/>
      <c r="BT56" s="17">
        <v>1</v>
      </c>
      <c r="BU56" s="17"/>
      <c r="BV56" s="17">
        <v>1</v>
      </c>
      <c r="BZ56" s="17"/>
      <c r="CA56" s="17">
        <v>1</v>
      </c>
      <c r="CB56" s="17"/>
      <c r="CC56" s="17">
        <v>1</v>
      </c>
      <c r="CG56" s="17"/>
      <c r="CH56" s="17"/>
      <c r="CI56" s="17"/>
      <c r="CJ56" s="17"/>
      <c r="CN56" s="17"/>
      <c r="CO56" s="17"/>
      <c r="CP56" s="17"/>
      <c r="CQ56" s="17"/>
      <c r="CU56" s="17"/>
      <c r="CV56" s="17"/>
      <c r="CW56" s="17"/>
      <c r="CX56" s="17"/>
    </row>
    <row r="57" spans="2:104" outlineLevel="1">
      <c r="B57" s="15" t="s">
        <v>60</v>
      </c>
      <c r="C57" s="19" t="s">
        <v>124</v>
      </c>
      <c r="E57" s="16"/>
      <c r="F57" s="15" t="s">
        <v>72</v>
      </c>
      <c r="G57" s="17">
        <v>0.1</v>
      </c>
      <c r="I57" s="16">
        <f>+SUMIF($N$4:$YS$4,I$4,$N57:$YS57)</f>
        <v>0</v>
      </c>
      <c r="J57" s="18" cm="1">
        <f t="array" ref="J57">MAX(IF($N$4:$DA$4=$J$4,N57:DA57))</f>
        <v>0</v>
      </c>
      <c r="K57" s="18" cm="1">
        <f t="array" ref="K57">MAX(IF($N$4:$DA$4=$J$4,N57:DA57))</f>
        <v>0</v>
      </c>
      <c r="L57" s="16"/>
      <c r="O57" s="17"/>
      <c r="P57" s="17"/>
      <c r="Q57" s="17"/>
      <c r="R57" s="17"/>
      <c r="V57" s="17"/>
      <c r="W57" s="17">
        <v>0.5</v>
      </c>
      <c r="X57" s="17"/>
      <c r="Y57" s="17">
        <v>0.5</v>
      </c>
      <c r="AC57" s="17"/>
      <c r="AD57" s="17">
        <v>0.5</v>
      </c>
      <c r="AE57" s="17"/>
      <c r="AF57" s="17">
        <v>0.5</v>
      </c>
      <c r="AJ57" s="17"/>
      <c r="AK57" s="17">
        <v>0.5</v>
      </c>
      <c r="AL57" s="17"/>
      <c r="AM57" s="17">
        <v>0.5</v>
      </c>
      <c r="AQ57" s="17"/>
      <c r="AR57" s="17">
        <v>0.5</v>
      </c>
      <c r="AS57" s="17"/>
      <c r="AT57" s="17">
        <v>0.5</v>
      </c>
      <c r="AX57" s="17"/>
      <c r="AY57" s="17">
        <v>0.8</v>
      </c>
      <c r="AZ57" s="17"/>
      <c r="BA57" s="17">
        <v>0.8</v>
      </c>
      <c r="BE57" s="17"/>
      <c r="BF57" s="17">
        <v>0.8</v>
      </c>
      <c r="BG57" s="17"/>
      <c r="BH57" s="17">
        <v>0.8</v>
      </c>
      <c r="BL57" s="17"/>
      <c r="BM57" s="17">
        <v>0.8</v>
      </c>
      <c r="BN57" s="17"/>
      <c r="BO57" s="17">
        <v>0.8</v>
      </c>
      <c r="BS57" s="17"/>
      <c r="BT57" s="17">
        <v>1</v>
      </c>
      <c r="BU57" s="17"/>
      <c r="BV57" s="17">
        <v>1</v>
      </c>
      <c r="BZ57" s="17"/>
      <c r="CA57" s="17">
        <v>1</v>
      </c>
      <c r="CB57" s="17"/>
      <c r="CC57" s="17">
        <v>1</v>
      </c>
      <c r="CG57" s="17"/>
      <c r="CH57" s="17"/>
      <c r="CI57" s="17"/>
      <c r="CJ57" s="17"/>
      <c r="CN57" s="17"/>
      <c r="CO57" s="17"/>
      <c r="CP57" s="17"/>
      <c r="CQ57" s="17"/>
      <c r="CU57" s="17"/>
      <c r="CV57" s="17"/>
      <c r="CW57" s="17"/>
      <c r="CX57" s="17"/>
    </row>
    <row r="58" spans="2:104" outlineLevel="1">
      <c r="B58" s="15" t="s">
        <v>60</v>
      </c>
      <c r="C58" s="19" t="s">
        <v>124</v>
      </c>
      <c r="E58" s="16"/>
      <c r="F58" s="15" t="s">
        <v>73</v>
      </c>
      <c r="G58" s="17">
        <v>0.1</v>
      </c>
      <c r="I58" s="16">
        <f>+SUMIF($N$4:$YS$4,I$4,$N58:$YS58)</f>
        <v>0</v>
      </c>
      <c r="J58" s="18" cm="1">
        <f t="array" ref="J58">MAX(IF($N$4:$DA$4=$J$4,N58:DA58))</f>
        <v>0</v>
      </c>
      <c r="K58" s="18" cm="1">
        <f t="array" ref="K58">MAX(IF($N$4:$DA$4=$J$4,N58:DA58))</f>
        <v>0</v>
      </c>
      <c r="L58" s="16"/>
      <c r="O58" s="17"/>
      <c r="P58" s="17"/>
      <c r="Q58" s="17"/>
      <c r="R58" s="17"/>
      <c r="V58" s="17"/>
      <c r="W58" s="17"/>
      <c r="X58" s="17"/>
      <c r="Y58" s="17"/>
      <c r="AC58" s="17"/>
      <c r="AD58" s="17">
        <v>0.5</v>
      </c>
      <c r="AE58" s="17"/>
      <c r="AF58" s="17">
        <v>0.5</v>
      </c>
      <c r="AJ58" s="17"/>
      <c r="AK58" s="17">
        <v>0.5</v>
      </c>
      <c r="AL58" s="17"/>
      <c r="AM58" s="17">
        <v>0.5</v>
      </c>
      <c r="AQ58" s="17"/>
      <c r="AR58" s="17">
        <v>0.5</v>
      </c>
      <c r="AS58" s="17"/>
      <c r="AT58" s="17">
        <v>0.5</v>
      </c>
      <c r="AX58" s="17"/>
      <c r="AY58" s="17">
        <v>0.8</v>
      </c>
      <c r="AZ58" s="17"/>
      <c r="BA58" s="17">
        <v>0.8</v>
      </c>
      <c r="BE58" s="17"/>
      <c r="BF58" s="17">
        <v>0.8</v>
      </c>
      <c r="BG58" s="17"/>
      <c r="BH58" s="17">
        <v>0.8</v>
      </c>
      <c r="BL58" s="17"/>
      <c r="BM58" s="17">
        <v>0.8</v>
      </c>
      <c r="BN58" s="17"/>
      <c r="BO58" s="17">
        <v>0.8</v>
      </c>
      <c r="BS58" s="17"/>
      <c r="BT58" s="17">
        <v>0.8</v>
      </c>
      <c r="BU58" s="17"/>
      <c r="BV58" s="17">
        <v>0.8</v>
      </c>
      <c r="BZ58" s="17"/>
      <c r="CA58" s="17">
        <v>1</v>
      </c>
      <c r="CB58" s="17"/>
      <c r="CC58" s="17">
        <v>1</v>
      </c>
      <c r="CG58" s="17"/>
      <c r="CH58" s="17"/>
      <c r="CI58" s="17"/>
      <c r="CJ58" s="17"/>
      <c r="CN58" s="17"/>
      <c r="CO58" s="17"/>
      <c r="CP58" s="17"/>
      <c r="CQ58" s="17"/>
      <c r="CU58" s="17"/>
      <c r="CV58" s="17"/>
      <c r="CW58" s="17"/>
      <c r="CX58" s="17"/>
    </row>
    <row r="59" spans="2:104" outlineLevel="1">
      <c r="B59" s="15" t="s">
        <v>60</v>
      </c>
      <c r="C59" s="19" t="s">
        <v>124</v>
      </c>
      <c r="E59" s="16"/>
      <c r="F59" s="15" t="s">
        <v>74</v>
      </c>
      <c r="G59" s="17">
        <v>0.1</v>
      </c>
      <c r="I59" s="16">
        <f>+SUMIF($N$4:$YS$4,I$4,$N59:$YS59)</f>
        <v>0</v>
      </c>
      <c r="J59" s="18" cm="1">
        <f t="array" ref="J59">MAX(IF($N$4:$DA$4=$J$4,N59:DA59))</f>
        <v>0</v>
      </c>
      <c r="K59" s="18" cm="1">
        <f t="array" ref="K59">MAX(IF($N$4:$DA$4=$J$4,N59:DA59))</f>
        <v>0</v>
      </c>
      <c r="L59" s="16"/>
      <c r="O59" s="17"/>
      <c r="P59" s="17"/>
      <c r="Q59" s="17"/>
      <c r="R59" s="17"/>
      <c r="V59" s="17"/>
      <c r="W59" s="17"/>
      <c r="X59" s="17"/>
      <c r="Y59" s="17"/>
      <c r="AC59" s="17"/>
      <c r="AD59" s="17">
        <v>0.5</v>
      </c>
      <c r="AE59" s="17"/>
      <c r="AF59" s="17">
        <v>0.5</v>
      </c>
      <c r="AJ59" s="17"/>
      <c r="AK59" s="17">
        <v>0.5</v>
      </c>
      <c r="AL59" s="17"/>
      <c r="AM59" s="17">
        <v>0.5</v>
      </c>
      <c r="AQ59" s="17"/>
      <c r="AR59" s="17">
        <v>0.5</v>
      </c>
      <c r="AS59" s="17"/>
      <c r="AT59" s="17">
        <v>0.5</v>
      </c>
      <c r="AX59" s="17"/>
      <c r="AY59" s="17">
        <v>0.5</v>
      </c>
      <c r="AZ59" s="17"/>
      <c r="BA59" s="17">
        <v>0.5</v>
      </c>
      <c r="BE59" s="17"/>
      <c r="BF59" s="17">
        <v>0.8</v>
      </c>
      <c r="BG59" s="17"/>
      <c r="BH59" s="17">
        <v>0.8</v>
      </c>
      <c r="BL59" s="17"/>
      <c r="BM59" s="17">
        <v>0.8</v>
      </c>
      <c r="BN59" s="17"/>
      <c r="BO59" s="17">
        <v>0.8</v>
      </c>
      <c r="BS59" s="17"/>
      <c r="BT59" s="17">
        <v>0.8</v>
      </c>
      <c r="BU59" s="17"/>
      <c r="BV59" s="17">
        <v>0.8</v>
      </c>
      <c r="BZ59" s="17"/>
      <c r="CA59" s="17">
        <v>1</v>
      </c>
      <c r="CB59" s="17"/>
      <c r="CC59" s="17">
        <v>1</v>
      </c>
      <c r="CG59" s="17"/>
      <c r="CH59" s="17"/>
      <c r="CI59" s="17"/>
      <c r="CJ59" s="17"/>
      <c r="CN59" s="17"/>
      <c r="CO59" s="17"/>
      <c r="CP59" s="17"/>
      <c r="CQ59" s="17"/>
      <c r="CU59" s="17"/>
      <c r="CV59" s="17"/>
      <c r="CW59" s="17"/>
      <c r="CX59" s="17"/>
    </row>
    <row r="60" spans="2:104" outlineLevel="1">
      <c r="B60" s="15" t="s">
        <v>60</v>
      </c>
      <c r="C60" s="19" t="s">
        <v>124</v>
      </c>
      <c r="E60" s="16"/>
      <c r="F60" s="15" t="s">
        <v>75</v>
      </c>
      <c r="G60" s="17">
        <v>0.05</v>
      </c>
      <c r="I60" s="16">
        <f>+SUMIF($N$4:$YS$4,I$4,$N60:$YS60)</f>
        <v>0</v>
      </c>
      <c r="J60" s="18" cm="1">
        <f t="array" ref="J60">MAX(IF($N$4:$DA$4=$J$4,N60:DA60))</f>
        <v>0</v>
      </c>
      <c r="K60" s="18" cm="1">
        <f t="array" ref="K60">MAX(IF($N$4:$DA$4=$J$4,N60:DA60))</f>
        <v>0</v>
      </c>
      <c r="L60" s="16"/>
      <c r="O60" s="17"/>
      <c r="P60" s="17"/>
      <c r="Q60" s="17"/>
      <c r="R60" s="17"/>
      <c r="V60" s="17"/>
      <c r="W60" s="17"/>
      <c r="X60" s="17"/>
      <c r="Y60" s="17"/>
      <c r="AC60" s="17"/>
      <c r="AD60" s="17"/>
      <c r="AE60" s="17"/>
      <c r="AF60" s="17"/>
      <c r="AJ60" s="17"/>
      <c r="AK60" s="17">
        <v>0.5</v>
      </c>
      <c r="AL60" s="17"/>
      <c r="AM60" s="17">
        <v>0.5</v>
      </c>
      <c r="AQ60" s="17"/>
      <c r="AR60" s="17">
        <v>0.5</v>
      </c>
      <c r="AS60" s="17"/>
      <c r="AT60" s="17">
        <v>0.5</v>
      </c>
      <c r="AX60" s="17"/>
      <c r="AY60" s="17">
        <v>0.5</v>
      </c>
      <c r="AZ60" s="17"/>
      <c r="BA60" s="17">
        <v>0.5</v>
      </c>
      <c r="BE60" s="17"/>
      <c r="BF60" s="17">
        <v>0.8</v>
      </c>
      <c r="BG60" s="17"/>
      <c r="BH60" s="17">
        <v>0.8</v>
      </c>
      <c r="BL60" s="17"/>
      <c r="BM60" s="17">
        <v>0.8</v>
      </c>
      <c r="BN60" s="17"/>
      <c r="BO60" s="17">
        <v>0.8</v>
      </c>
      <c r="BS60" s="17"/>
      <c r="BT60" s="17">
        <v>0.8</v>
      </c>
      <c r="BU60" s="17"/>
      <c r="BV60" s="17">
        <v>0.8</v>
      </c>
      <c r="BZ60" s="17"/>
      <c r="CA60" s="17">
        <v>1</v>
      </c>
      <c r="CB60" s="17"/>
      <c r="CC60" s="17">
        <v>1</v>
      </c>
      <c r="CG60" s="17"/>
      <c r="CH60" s="17"/>
      <c r="CI60" s="17"/>
      <c r="CJ60" s="17"/>
      <c r="CN60" s="17"/>
      <c r="CO60" s="17"/>
      <c r="CP60" s="17"/>
      <c r="CQ60" s="17"/>
      <c r="CU60" s="17"/>
      <c r="CV60" s="17"/>
      <c r="CW60" s="17"/>
      <c r="CX60" s="17"/>
    </row>
    <row r="61" spans="2:104" outlineLevel="1">
      <c r="B61" s="15" t="s">
        <v>60</v>
      </c>
      <c r="C61" s="19" t="s">
        <v>124</v>
      </c>
      <c r="E61" s="16"/>
      <c r="F61" s="15" t="s">
        <v>76</v>
      </c>
      <c r="G61" s="17">
        <v>0.05</v>
      </c>
      <c r="I61" s="16">
        <f>+SUMIF($N$4:$YS$4,I$4,$N61:$YS61)</f>
        <v>0</v>
      </c>
      <c r="J61" s="18" cm="1">
        <f t="array" ref="J61">MAX(IF($N$4:$DA$4=$J$4,N61:DA61))</f>
        <v>0</v>
      </c>
      <c r="K61" s="18" cm="1">
        <f t="array" ref="K61">MAX(IF($N$4:$DA$4=$J$4,N61:DA61))</f>
        <v>0</v>
      </c>
      <c r="L61" s="16"/>
      <c r="O61" s="17"/>
      <c r="P61" s="17"/>
      <c r="Q61" s="17"/>
      <c r="R61" s="17"/>
      <c r="V61" s="17"/>
      <c r="W61" s="17"/>
      <c r="X61" s="17"/>
      <c r="Y61" s="17"/>
      <c r="AC61" s="17"/>
      <c r="AD61" s="17"/>
      <c r="AE61" s="17"/>
      <c r="AF61" s="17"/>
      <c r="AJ61" s="17"/>
      <c r="AK61" s="17"/>
      <c r="AL61" s="17"/>
      <c r="AM61" s="17"/>
      <c r="AQ61" s="17"/>
      <c r="AR61" s="17">
        <v>0.5</v>
      </c>
      <c r="AS61" s="17"/>
      <c r="AT61" s="17">
        <v>0.5</v>
      </c>
      <c r="AX61" s="17"/>
      <c r="AY61" s="17">
        <v>0.5</v>
      </c>
      <c r="AZ61" s="17"/>
      <c r="BA61" s="17">
        <v>0.5</v>
      </c>
      <c r="BE61" s="17"/>
      <c r="BF61" s="17">
        <v>0.5</v>
      </c>
      <c r="BG61" s="17"/>
      <c r="BH61" s="17">
        <v>0.5</v>
      </c>
      <c r="BL61" s="17"/>
      <c r="BM61" s="17">
        <v>0.8</v>
      </c>
      <c r="BN61" s="17"/>
      <c r="BO61" s="17">
        <v>0.8</v>
      </c>
      <c r="BS61" s="17"/>
      <c r="BT61" s="17">
        <v>0.8</v>
      </c>
      <c r="BU61" s="17"/>
      <c r="BV61" s="17">
        <v>0.8</v>
      </c>
      <c r="BZ61" s="17"/>
      <c r="CA61" s="17">
        <v>1</v>
      </c>
      <c r="CB61" s="17"/>
      <c r="CC61" s="17">
        <v>1</v>
      </c>
      <c r="CG61" s="17"/>
      <c r="CH61" s="17"/>
      <c r="CI61" s="17"/>
      <c r="CJ61" s="17"/>
      <c r="CN61" s="17"/>
      <c r="CO61" s="17"/>
      <c r="CP61" s="17"/>
      <c r="CQ61" s="17"/>
      <c r="CU61" s="17"/>
      <c r="CV61" s="17"/>
      <c r="CW61" s="17"/>
      <c r="CX61" s="17"/>
    </row>
    <row r="62" spans="2:104">
      <c r="AR62" s="17"/>
      <c r="BF62" s="17"/>
    </row>
  </sheetData>
  <mergeCells count="16">
    <mergeCell ref="BR3:BW3"/>
    <mergeCell ref="BY3:CD3"/>
    <mergeCell ref="B3:E3"/>
    <mergeCell ref="F3:G3"/>
    <mergeCell ref="CM3:CR3"/>
    <mergeCell ref="BD3:BI3"/>
    <mergeCell ref="CT3:CY3"/>
    <mergeCell ref="I3:L3"/>
    <mergeCell ref="N3:S3"/>
    <mergeCell ref="U3:Z3"/>
    <mergeCell ref="AB3:AG3"/>
    <mergeCell ref="AI3:AN3"/>
    <mergeCell ref="AP3:AU3"/>
    <mergeCell ref="AW3:BB3"/>
    <mergeCell ref="CF3:CK3"/>
    <mergeCell ref="BK3:BP3"/>
  </mergeCells>
  <conditionalFormatting sqref="J6:J19">
    <cfRule type="colorScale" priority="636">
      <colorScale>
        <cfvo type="percent" val="0"/>
        <cfvo type="percent" val="100"/>
        <color rgb="FFFF231B"/>
        <color rgb="FF10FF07"/>
      </colorScale>
    </cfRule>
  </conditionalFormatting>
  <conditionalFormatting sqref="J24:J29">
    <cfRule type="colorScale" priority="184">
      <colorScale>
        <cfvo type="percent" val="0"/>
        <cfvo type="percent" val="100"/>
        <color rgb="FFFF231B"/>
        <color rgb="FF10FF07"/>
      </colorScale>
    </cfRule>
  </conditionalFormatting>
  <conditionalFormatting sqref="J30">
    <cfRule type="colorScale" priority="165">
      <colorScale>
        <cfvo type="percent" val="0"/>
        <cfvo type="percent" val="100"/>
        <color rgb="FFFF231B"/>
        <color rgb="FF10FF07"/>
      </colorScale>
    </cfRule>
  </conditionalFormatting>
  <conditionalFormatting sqref="J31:J34 J22:J23">
    <cfRule type="colorScale" priority="802">
      <colorScale>
        <cfvo type="percent" val="0"/>
        <cfvo type="percent" val="100"/>
        <color rgb="FFFF231B"/>
        <color rgb="FF10FF07"/>
      </colorScale>
    </cfRule>
  </conditionalFormatting>
  <conditionalFormatting sqref="J37:J48">
    <cfRule type="colorScale" priority="799">
      <colorScale>
        <cfvo type="percent" val="0"/>
        <cfvo type="percent" val="100"/>
        <color rgb="FFFF231B"/>
        <color rgb="FF10FF07"/>
      </colorScale>
    </cfRule>
  </conditionalFormatting>
  <conditionalFormatting sqref="J51:J61">
    <cfRule type="colorScale" priority="796">
      <colorScale>
        <cfvo type="percent" val="0"/>
        <cfvo type="percent" val="100"/>
        <color rgb="FFFF231B"/>
        <color rgb="FF10FF07"/>
      </colorScale>
    </cfRule>
  </conditionalFormatting>
  <conditionalFormatting sqref="J7:K19">
    <cfRule type="colorScale" priority="607">
      <colorScale>
        <cfvo type="percent" val="0"/>
        <cfvo type="percent" val="100"/>
        <color rgb="FFFF231B"/>
        <color rgb="FF10FF07"/>
      </colorScale>
    </cfRule>
  </conditionalFormatting>
  <conditionalFormatting sqref="J24:K28">
    <cfRule type="colorScale" priority="15">
      <colorScale>
        <cfvo type="percent" val="0"/>
        <cfvo type="percent" val="100"/>
        <color rgb="FFFF231B"/>
        <color rgb="FF10FF07"/>
      </colorScale>
    </cfRule>
  </conditionalFormatting>
  <conditionalFormatting sqref="J29:K29">
    <cfRule type="colorScale" priority="185">
      <colorScale>
        <cfvo type="percent" val="0"/>
        <cfvo type="percent" val="100"/>
        <color rgb="FFFF231B"/>
        <color rgb="FF10FF07"/>
      </colorScale>
    </cfRule>
  </conditionalFormatting>
  <conditionalFormatting sqref="J30:K30">
    <cfRule type="colorScale" priority="166">
      <colorScale>
        <cfvo type="percent" val="0"/>
        <cfvo type="percent" val="100"/>
        <color rgb="FFFF231B"/>
        <color rgb="FF10FF07"/>
      </colorScale>
    </cfRule>
  </conditionalFormatting>
  <conditionalFormatting sqref="J31:K34">
    <cfRule type="colorScale" priority="804">
      <colorScale>
        <cfvo type="percent" val="0"/>
        <cfvo type="percent" val="100"/>
        <color rgb="FFFF231B"/>
        <color rgb="FF10FF07"/>
      </colorScale>
    </cfRule>
  </conditionalFormatting>
  <conditionalFormatting sqref="J38:K38">
    <cfRule type="colorScale" priority="2">
      <colorScale>
        <cfvo type="percent" val="0"/>
        <cfvo type="percent" val="100"/>
        <color rgb="FFFF231B"/>
        <color rgb="FF10FF07"/>
      </colorScale>
    </cfRule>
  </conditionalFormatting>
  <conditionalFormatting sqref="J39:K39">
    <cfRule type="colorScale" priority="1">
      <colorScale>
        <cfvo type="percent" val="0"/>
        <cfvo type="percent" val="100"/>
        <color rgb="FFFF231B"/>
        <color rgb="FF10FF07"/>
      </colorScale>
    </cfRule>
  </conditionalFormatting>
  <conditionalFormatting sqref="J40:K48">
    <cfRule type="colorScale" priority="800">
      <colorScale>
        <cfvo type="percent" val="0"/>
        <cfvo type="percent" val="100"/>
        <color rgb="FFFF231B"/>
        <color rgb="FF10FF07"/>
      </colorScale>
    </cfRule>
  </conditionalFormatting>
  <conditionalFormatting sqref="J52:K61">
    <cfRule type="colorScale" priority="797">
      <colorScale>
        <cfvo type="percent" val="0"/>
        <cfvo type="percent" val="100"/>
        <color rgb="FFFF231B"/>
        <color rgb="FF10FF07"/>
      </colorScale>
    </cfRule>
  </conditionalFormatting>
  <conditionalFormatting sqref="K6:K19">
    <cfRule type="colorScale" priority="637">
      <colorScale>
        <cfvo type="percent" val="0"/>
        <cfvo type="percent" val="100"/>
        <color rgb="FFFF231B"/>
        <color rgb="FF10FF07"/>
      </colorScale>
    </cfRule>
  </conditionalFormatting>
  <conditionalFormatting sqref="K24:K29">
    <cfRule type="colorScale" priority="183">
      <colorScale>
        <cfvo type="percent" val="0"/>
        <cfvo type="percent" val="100"/>
        <color rgb="FFFF231B"/>
        <color rgb="FF10FF07"/>
      </colorScale>
    </cfRule>
  </conditionalFormatting>
  <conditionalFormatting sqref="K30">
    <cfRule type="colorScale" priority="164">
      <colorScale>
        <cfvo type="percent" val="0"/>
        <cfvo type="percent" val="100"/>
        <color rgb="FFFF231B"/>
        <color rgb="FF10FF07"/>
      </colorScale>
    </cfRule>
  </conditionalFormatting>
  <conditionalFormatting sqref="K31:K34 K22:K23">
    <cfRule type="colorScale" priority="805">
      <colorScale>
        <cfvo type="percent" val="0"/>
        <cfvo type="percent" val="100"/>
        <color rgb="FFFF231B"/>
        <color rgb="FF10FF07"/>
      </colorScale>
    </cfRule>
  </conditionalFormatting>
  <conditionalFormatting sqref="K37:K48">
    <cfRule type="colorScale" priority="801">
      <colorScale>
        <cfvo type="percent" val="0"/>
        <cfvo type="percent" val="100"/>
        <color rgb="FFFF231B"/>
        <color rgb="FF10FF07"/>
      </colorScale>
    </cfRule>
  </conditionalFormatting>
  <conditionalFormatting sqref="K51:K61">
    <cfRule type="colorScale" priority="798">
      <colorScale>
        <cfvo type="percent" val="0"/>
        <cfvo type="percent" val="100"/>
        <color rgb="FFFF231B"/>
        <color rgb="FF10FF07"/>
      </colorScale>
    </cfRule>
  </conditionalFormatting>
  <conditionalFormatting sqref="X22:X23">
    <cfRule type="expression" dxfId="37" priority="808">
      <formula>OR(IF(X22&lt;Y24,TRUE),IF(AND(Y24="",X22&lt;&gt;""),TRUE))</formula>
    </cfRule>
    <cfRule type="expression" dxfId="36" priority="809">
      <formula>IF(X22&gt;=Y24,IF(X22="",FALSE,TRUE))</formula>
    </cfRule>
  </conditionalFormatting>
  <conditionalFormatting sqref="AJ15:AJ17">
    <cfRule type="expression" dxfId="35" priority="822">
      <formula>OR(IF(AJ15&lt;AK18,TRUE),IF(AND(AK18="",AJ15&lt;&gt;""),TRUE))</formula>
    </cfRule>
    <cfRule type="expression" dxfId="34" priority="823">
      <formula>IF(AJ15&gt;=AK18,IF(AJ15="",FALSE,TRUE))</formula>
    </cfRule>
    <cfRule type="expression" dxfId="33" priority="826">
      <formula>OR(IF(AJ15&lt;AK15,TRUE),IF(AND(AK15="",AJ15&lt;&gt;""),TRUE))</formula>
    </cfRule>
    <cfRule type="expression" dxfId="32" priority="827">
      <formula>IF(AJ15&gt;=AK15,IF(AJ15="",FALSE,TRUE))</formula>
    </cfRule>
  </conditionalFormatting>
  <conditionalFormatting sqref="AL6:AL7 AJ6:AJ14 O6:O19 Q6:Q19 V6:V19 X6:X19 AC6:AC19 AE6:AE19 AQ6:AQ19 AS6:AS19 AX6:AX19 AZ6:AZ19 BE6:BE19 BG6:BG19 BL6:BL19 BN6:BN19 AL9:AL19 AJ18:AJ19 CN22:CN24 CP22:CP24 CU22:CU24 CW22:CW24 CI22:CI30 O22:O34 Q22:Q34 V22:V34 AC22:AC34 AE22:AE34 AJ22:AJ34 AL22:AL34 AQ22:AQ34 AS22:AS34 AX22:AX34 AZ22:AZ34 BE22:BE34 BG22:BG34 BL22:BL34 BN22:BN34 BS22:BS34 BU22:BU34 BZ22:BZ34 CB22:CB34 CG22:CG34 X24:X34 CF25:CF26 CM25:CM26 CO25:CO26 CT25:CT26 CV25:CV26 CN27:CN34 CP27:CP34 CU27:CU34 CW27:CW34 O37:O48 Q37:Q48 V37:V48 X37:X48 AC37:AC48 AE37:AE48 AJ37:AJ48 AL37:AL48 AQ37:AQ48 AS37:AS48 AX37:AX48 AZ37:AZ48 BE37:BE48 BG37:BG48 BL37:BL48 BN37:BN48 BS37:BS48 BU37:BU48 BZ37:BZ48 CB37:CB48 CG37:CG48 CN37:CN48 CP37:CP48 CU37:CU48 CW37:CW48 O51:O61 Q51:Q61 V51:V61 X51:X61 AC51:AC61 AE51:AE61 AJ51:AJ61 AL51:AL61 AQ51:AQ61 AS51:AS61 AX51:AX61 AZ51:AZ61 BE51:BE61 BG51:BG61 BL51:BL61 BN51:BN61 BS51:BS61 BU51:BU61 BZ51:BZ61 CB51:CB61 CG51:CG61 CI51:CI61 CN51:CN61 CP51:CP61 CU51:CU61 CW51:CW61">
    <cfRule type="expression" dxfId="31" priority="604">
      <formula>OR(IF(O6&lt;P6,TRUE),IF(AND(P6="",O6&lt;&gt;""),TRUE))</formula>
    </cfRule>
    <cfRule type="expression" dxfId="30" priority="605">
      <formula>IF(O6&gt;=P6,IF(O6="",FALSE,TRUE))</formula>
    </cfRule>
  </conditionalFormatting>
  <conditionalFormatting sqref="AL8">
    <cfRule type="expression" dxfId="29" priority="820">
      <formula>OR(IF(AL8&lt;AM10,TRUE),IF(AND(AM10="",AL8&lt;&gt;""),TRUE))</formula>
    </cfRule>
    <cfRule type="expression" dxfId="28" priority="821">
      <formula>IF(AL8&gt;=AM10,IF(AL8="",FALSE,TRUE))</formula>
    </cfRule>
  </conditionalFormatting>
  <conditionalFormatting sqref="BS6:BS19 BU6:BU19">
    <cfRule type="expression" dxfId="27" priority="160">
      <formula>OR(IF(BS6&lt;BT6,TRUE),IF(AND(BT6="",BS6&lt;&gt;""),TRUE))</formula>
    </cfRule>
    <cfRule type="expression" dxfId="26" priority="161">
      <formula>IF(BS6&gt;=BT6,IF(BS6="",FALSE,TRUE))</formula>
    </cfRule>
  </conditionalFormatting>
  <conditionalFormatting sqref="BZ6:BZ19">
    <cfRule type="expression" dxfId="25" priority="140">
      <formula>OR(IF(BZ6&lt;CA6,TRUE),IF(AND(CA6="",BZ6&lt;&gt;""),TRUE))</formula>
    </cfRule>
    <cfRule type="expression" dxfId="24" priority="141">
      <formula>IF(BZ6&gt;=CA6,IF(BZ6="",FALSE,TRUE))</formula>
    </cfRule>
  </conditionalFormatting>
  <conditionalFormatting sqref="CB6:CB19">
    <cfRule type="expression" dxfId="23" priority="40">
      <formula>OR(IF(CB6&lt;CC6,TRUE),IF(AND(CC6="",CB6&lt;&gt;""),TRUE))</formula>
    </cfRule>
    <cfRule type="expression" dxfId="22" priority="41">
      <formula>IF(CB6&gt;=CC6,IF(CB6="",FALSE,TRUE))</formula>
    </cfRule>
  </conditionalFormatting>
  <conditionalFormatting sqref="CG6:CG19 CI6:CI19">
    <cfRule type="expression" dxfId="21" priority="60">
      <formula>OR(IF(CG6&lt;CH6,TRUE),IF(AND(CH6="",CG6&lt;&gt;""),TRUE))</formula>
    </cfRule>
    <cfRule type="expression" dxfId="20" priority="61">
      <formula>IF(CG6&gt;=CH6,IF(CG6="",FALSE,TRUE))</formula>
    </cfRule>
  </conditionalFormatting>
  <conditionalFormatting sqref="CN6:CN19 CP6:CP19">
    <cfRule type="expression" dxfId="19" priority="9">
      <formula>OR(IF(CN6&lt;CO6,TRUE),IF(AND(CO6="",CN6&lt;&gt;""),TRUE))</formula>
    </cfRule>
    <cfRule type="expression" dxfId="18" priority="10">
      <formula>IF(CN6&gt;=CO6,IF(CN6="",FALSE,TRUE))</formula>
    </cfRule>
  </conditionalFormatting>
  <conditionalFormatting sqref="CU6:CU19 CW6:CW19">
    <cfRule type="expression" dxfId="17" priority="22">
      <formula>OR(IF(CU6&lt;CV6,TRUE),IF(AND(CV6="",CU6&lt;&gt;""),TRUE))</formula>
    </cfRule>
    <cfRule type="expression" dxfId="16" priority="23">
      <formula>IF(CU6&gt;=CV6,IF(CU6="",FALSE,TRUE))</formula>
    </cfRule>
  </conditionalFormatting>
  <dataValidations count="1">
    <dataValidation type="list" allowBlank="1" showInputMessage="1" showErrorMessage="1" sqref="AC6:AF19 AQ6:AT19 AX6:BA19 BE6:BH19 BL6:BO19 O6:R19 BZ6:CC19 BS6:BV19 CG6:CJ19 CU6:CX19 CN6:CQ19 AJ11:AM19 CT25:CW26 CU27:CX34 CN27:CQ34 CM25:CP26 CU22:CX24 CU51:CX61 CN51:CQ61 CG51:CJ61 BZ51:CC61 BS51:BV61 O51:R61 V51:Y61 AC51:AF61 AQ51:AT61 BE51:BH61 AX51:BA61 BL51:BO61 AJ51:AM61 V21:W21 AL10:AM10 AJ6:AM8 AJ9:AK10 AL9 V6:Y19 CF25:CF26 CG25:CG34 CH25:CI26 CH27:CJ30 CH31:CI34 CG22:CJ24 V22:Y34 O22:R34 BZ22:CC34 BS22:BV34 BL22:BO34 BE22:BH34 AX22:BA34 AQ22:AT34 AJ22:AM34 AC22:AF34 CN22:CQ24 BL37:BO48 CU37:CX48 BE37:BH48 BZ37:CC48 BS37:BV48 V37:Y48 AC37:AF48 AJ37:AM48 AQ37:AT48 AX37:BA48 O37:R48 CN37:CQ48 CG37:CI4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cols>
    <col min="2" max="2" width="161" customWidth="1"/>
    <col min="3" max="3" width="10.83203125"/>
  </cols>
  <sheetData>
    <row r="4" spans="2:2" ht="21">
      <c r="B4" s="3" t="s">
        <v>77</v>
      </c>
    </row>
    <row r="6" spans="2:2">
      <c r="B6" s="2" t="s">
        <v>78</v>
      </c>
    </row>
    <row r="7" spans="2:2" ht="51">
      <c r="B7" s="1" t="s">
        <v>79</v>
      </c>
    </row>
    <row r="9" spans="2:2">
      <c r="B9" s="2" t="s">
        <v>80</v>
      </c>
    </row>
    <row r="10" spans="2:2" ht="68">
      <c r="B10" s="1" t="s">
        <v>81</v>
      </c>
    </row>
    <row r="12" spans="2:2">
      <c r="B12" s="2" t="s">
        <v>82</v>
      </c>
    </row>
    <row r="13" spans="2:2" ht="153">
      <c r="B13" s="1" t="s">
        <v>83</v>
      </c>
    </row>
    <row r="15" spans="2:2">
      <c r="B15" s="2" t="s">
        <v>84</v>
      </c>
    </row>
    <row r="16" spans="2:2" ht="119">
      <c r="B16" s="1" t="s">
        <v>85</v>
      </c>
    </row>
    <row r="17" spans="2:2">
      <c r="B17" s="1"/>
    </row>
    <row r="18" spans="2:2">
      <c r="B18" s="2" t="s">
        <v>86</v>
      </c>
    </row>
    <row r="19" spans="2:2" ht="153">
      <c r="B19" s="1" t="s">
        <v>87</v>
      </c>
    </row>
    <row r="21" spans="2:2">
      <c r="B21" s="2" t="s">
        <v>88</v>
      </c>
    </row>
    <row r="22" spans="2:2" ht="136">
      <c r="B22" s="1" t="s">
        <v>89</v>
      </c>
    </row>
    <row r="24" spans="2:2">
      <c r="B24" s="2" t="s">
        <v>90</v>
      </c>
    </row>
    <row r="25" spans="2:2" ht="136">
      <c r="B25" s="1"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topLeftCell="V1" workbookViewId="0">
      <selection activeCell="L2" sqref="L2"/>
    </sheetView>
  </sheetViews>
  <sheetFormatPr baseColWidth="10" defaultColWidth="10.6640625" defaultRowHeight="16"/>
  <cols>
    <col min="1" max="1" width="16.83203125" style="6" customWidth="1"/>
    <col min="2" max="2" width="19.1640625" style="6" customWidth="1"/>
    <col min="3" max="3" width="18.1640625" style="6" customWidth="1"/>
    <col min="4" max="4" width="19.5" style="6" customWidth="1"/>
    <col min="8" max="8" width="15.1640625" customWidth="1"/>
    <col min="10" max="10" width="42" customWidth="1"/>
    <col min="11" max="11" width="28.5" customWidth="1"/>
  </cols>
  <sheetData>
    <row r="1" spans="1:11" ht="34">
      <c r="A1" s="6" t="s">
        <v>92</v>
      </c>
      <c r="B1" s="9" t="s">
        <v>93</v>
      </c>
      <c r="C1" s="9" t="s">
        <v>94</v>
      </c>
      <c r="D1" s="9" t="s">
        <v>95</v>
      </c>
      <c r="E1" s="1" t="s">
        <v>96</v>
      </c>
      <c r="F1" s="1" t="s">
        <v>97</v>
      </c>
      <c r="G1" s="1" t="s">
        <v>98</v>
      </c>
      <c r="H1" s="1" t="s">
        <v>99</v>
      </c>
      <c r="I1" s="1" t="s">
        <v>100</v>
      </c>
      <c r="J1" s="1" t="s">
        <v>101</v>
      </c>
      <c r="K1" s="1" t="s">
        <v>102</v>
      </c>
    </row>
    <row r="2" spans="1:11">
      <c r="A2" s="8">
        <v>44118</v>
      </c>
      <c r="D2" s="7">
        <v>1</v>
      </c>
    </row>
    <row r="3" spans="1:11">
      <c r="A3" s="8">
        <v>44119</v>
      </c>
    </row>
    <row r="4" spans="1:11">
      <c r="A4" s="8">
        <v>44120</v>
      </c>
    </row>
    <row r="5" spans="1:11">
      <c r="A5" s="8">
        <v>44121</v>
      </c>
    </row>
    <row r="6" spans="1:11">
      <c r="A6" s="8">
        <v>44122</v>
      </c>
    </row>
    <row r="7" spans="1:11">
      <c r="A7" s="8">
        <v>44123</v>
      </c>
    </row>
    <row r="8" spans="1:11">
      <c r="A8" s="8">
        <v>44124</v>
      </c>
    </row>
    <row r="9" spans="1:11">
      <c r="A9" s="8">
        <v>44125</v>
      </c>
    </row>
    <row r="10" spans="1:11">
      <c r="A10" s="8">
        <v>44126</v>
      </c>
    </row>
    <row r="11" spans="1:11">
      <c r="A11" s="8">
        <v>44127</v>
      </c>
    </row>
    <row r="12" spans="1:11">
      <c r="A12" s="8">
        <v>44128</v>
      </c>
    </row>
    <row r="13" spans="1:11">
      <c r="A13" s="8">
        <v>44129</v>
      </c>
    </row>
    <row r="14" spans="1:11">
      <c r="A14" s="8">
        <v>44130</v>
      </c>
    </row>
    <row r="15" spans="1:11">
      <c r="A15" s="8">
        <v>44131</v>
      </c>
    </row>
    <row r="16" spans="1:11">
      <c r="A16" s="8">
        <v>44132</v>
      </c>
    </row>
    <row r="17" spans="1:1">
      <c r="A17" s="8">
        <v>44133</v>
      </c>
    </row>
    <row r="18" spans="1:1">
      <c r="A18" s="8">
        <v>44134</v>
      </c>
    </row>
    <row r="19" spans="1:1">
      <c r="A19" s="8">
        <v>44135</v>
      </c>
    </row>
    <row r="20" spans="1:1">
      <c r="A20" s="8">
        <v>44136</v>
      </c>
    </row>
    <row r="21" spans="1:1">
      <c r="A21" s="8">
        <v>44137</v>
      </c>
    </row>
    <row r="22" spans="1:1">
      <c r="A22" s="8">
        <v>44138</v>
      </c>
    </row>
    <row r="23" spans="1:1">
      <c r="A23" s="8">
        <v>44139</v>
      </c>
    </row>
    <row r="24" spans="1:1">
      <c r="A24" s="8">
        <v>44140</v>
      </c>
    </row>
    <row r="25" spans="1:1">
      <c r="A25" s="8">
        <v>44141</v>
      </c>
    </row>
    <row r="26" spans="1:1">
      <c r="A26" s="8">
        <v>44142</v>
      </c>
    </row>
    <row r="27" spans="1:1">
      <c r="A27" s="8">
        <v>44143</v>
      </c>
    </row>
    <row r="28" spans="1:1">
      <c r="A28" s="8">
        <v>44144</v>
      </c>
    </row>
    <row r="29" spans="1:1">
      <c r="A29" s="8">
        <v>44145</v>
      </c>
    </row>
    <row r="30" spans="1:1">
      <c r="A30" s="8">
        <v>44146</v>
      </c>
    </row>
    <row r="31" spans="1:1">
      <c r="A31" s="8">
        <v>44147</v>
      </c>
    </row>
    <row r="32" spans="1:1">
      <c r="A32" s="8">
        <v>44148</v>
      </c>
    </row>
    <row r="33" spans="1:1">
      <c r="A33" s="8">
        <v>44149</v>
      </c>
    </row>
    <row r="34" spans="1:1">
      <c r="A34" s="8">
        <v>44150</v>
      </c>
    </row>
    <row r="35" spans="1:1">
      <c r="A35" s="8">
        <v>44151</v>
      </c>
    </row>
    <row r="36" spans="1:1">
      <c r="A36" s="8">
        <v>44152</v>
      </c>
    </row>
    <row r="37" spans="1:1">
      <c r="A37" s="8">
        <v>44153</v>
      </c>
    </row>
    <row r="38" spans="1:1">
      <c r="A38" s="8">
        <v>44154</v>
      </c>
    </row>
    <row r="39" spans="1:1">
      <c r="A39" s="8">
        <v>44155</v>
      </c>
    </row>
    <row r="40" spans="1:1">
      <c r="A40" s="8">
        <v>44156</v>
      </c>
    </row>
    <row r="41" spans="1:1">
      <c r="A41" s="8">
        <v>44157</v>
      </c>
    </row>
    <row r="42" spans="1:1">
      <c r="A42" s="8">
        <v>44158</v>
      </c>
    </row>
    <row r="43" spans="1:1">
      <c r="A43" s="8">
        <v>44159</v>
      </c>
    </row>
    <row r="44" spans="1:1">
      <c r="A44" s="8">
        <v>44160</v>
      </c>
    </row>
    <row r="45" spans="1:1">
      <c r="A45" s="8">
        <v>44161</v>
      </c>
    </row>
    <row r="46" spans="1:1">
      <c r="A46" s="8">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A8" sqref="A8"/>
    </sheetView>
  </sheetViews>
  <sheetFormatPr baseColWidth="10" defaultColWidth="10.6640625" defaultRowHeight="16"/>
  <cols>
    <col min="2" max="2" width="21.1640625" customWidth="1"/>
    <col min="3" max="3" width="21.83203125" customWidth="1"/>
    <col min="4" max="4" width="21" customWidth="1"/>
    <col min="5" max="5" width="21.6640625" customWidth="1"/>
    <col min="6" max="6" width="20.83203125" customWidth="1"/>
    <col min="7" max="7" width="21.33203125" customWidth="1"/>
    <col min="8" max="8" width="21.1640625" customWidth="1"/>
  </cols>
  <sheetData>
    <row r="1" spans="1:8" ht="26">
      <c r="B1" s="4" t="s">
        <v>103</v>
      </c>
    </row>
    <row r="4" spans="1:8">
      <c r="B4" s="13" t="s">
        <v>104</v>
      </c>
      <c r="C4" s="13" t="s">
        <v>105</v>
      </c>
      <c r="D4" s="13" t="s">
        <v>106</v>
      </c>
      <c r="E4" s="13" t="s">
        <v>107</v>
      </c>
      <c r="F4" s="13" t="s">
        <v>108</v>
      </c>
      <c r="G4" s="13" t="s">
        <v>109</v>
      </c>
      <c r="H4" s="13" t="s">
        <v>110</v>
      </c>
    </row>
    <row r="5" spans="1:8" ht="21" customHeight="1">
      <c r="A5" s="5">
        <v>0.29166666666666669</v>
      </c>
    </row>
    <row r="6" spans="1:8">
      <c r="A6" s="5">
        <v>0.33333333333333331</v>
      </c>
    </row>
    <row r="7" spans="1:8">
      <c r="A7" s="5">
        <v>0.375</v>
      </c>
    </row>
    <row r="8" spans="1:8">
      <c r="A8" s="5">
        <v>0.22916666666666699</v>
      </c>
    </row>
    <row r="9" spans="1:8">
      <c r="A9" s="5">
        <v>0.25</v>
      </c>
    </row>
    <row r="10" spans="1:8">
      <c r="A10" s="5">
        <v>0.27083333333333398</v>
      </c>
    </row>
    <row r="11" spans="1:8">
      <c r="A11" s="5">
        <v>0.29166666666666702</v>
      </c>
    </row>
    <row r="12" spans="1:8">
      <c r="A12" s="5">
        <v>0.3125</v>
      </c>
    </row>
    <row r="13" spans="1:8">
      <c r="A13" s="5">
        <v>0.33333333333333398</v>
      </c>
    </row>
    <row r="14" spans="1:8">
      <c r="A14" s="5">
        <v>0.35416666666666702</v>
      </c>
    </row>
    <row r="15" spans="1:8">
      <c r="A15" s="5">
        <v>0.375</v>
      </c>
    </row>
    <row r="16" spans="1:8">
      <c r="A16" s="5">
        <v>0.39583333333333398</v>
      </c>
    </row>
    <row r="17" spans="1:1">
      <c r="A17" s="5">
        <v>0.41666666666666702</v>
      </c>
    </row>
    <row r="18" spans="1:1">
      <c r="A18" s="5">
        <v>0.4375</v>
      </c>
    </row>
    <row r="19" spans="1:1">
      <c r="A19" s="5">
        <v>0.45833333333333398</v>
      </c>
    </row>
    <row r="20" spans="1:1">
      <c r="A20" s="5">
        <v>0.47916666666666702</v>
      </c>
    </row>
    <row r="21" spans="1:1">
      <c r="A21" s="5">
        <v>0.5</v>
      </c>
    </row>
    <row r="22" spans="1:1">
      <c r="A22" s="5">
        <v>0.52083333333333404</v>
      </c>
    </row>
    <row r="23" spans="1:1">
      <c r="A23" s="5">
        <v>0.54166666666666696</v>
      </c>
    </row>
    <row r="24" spans="1:1">
      <c r="A24" s="5">
        <v>0.5625</v>
      </c>
    </row>
    <row r="25" spans="1:1">
      <c r="A25" s="5">
        <v>0.58333333333333404</v>
      </c>
    </row>
    <row r="26" spans="1:1">
      <c r="A26" s="5">
        <v>0.60416666666666696</v>
      </c>
    </row>
    <row r="27" spans="1:1">
      <c r="A27" s="5">
        <v>0.625000000000001</v>
      </c>
    </row>
    <row r="28" spans="1:1">
      <c r="A28" s="5">
        <v>0.64583333333333404</v>
      </c>
    </row>
    <row r="29" spans="1:1">
      <c r="A29" s="5">
        <v>0.66666666666666696</v>
      </c>
    </row>
    <row r="30" spans="1:1">
      <c r="A30" s="5">
        <v>0.687500000000001</v>
      </c>
    </row>
    <row r="31" spans="1:1">
      <c r="A31" s="5">
        <v>0.70833333333333404</v>
      </c>
    </row>
    <row r="32" spans="1:1">
      <c r="A32" s="5">
        <v>0.72916666666666696</v>
      </c>
    </row>
    <row r="33" spans="1:1">
      <c r="A33" s="5">
        <v>0.750000000000001</v>
      </c>
    </row>
    <row r="34" spans="1:1">
      <c r="A34" s="5">
        <v>0.77083333333333404</v>
      </c>
    </row>
    <row r="35" spans="1:1">
      <c r="A35" s="5">
        <v>0.79166666666666696</v>
      </c>
    </row>
    <row r="36" spans="1:1">
      <c r="A36" s="5">
        <v>0.812500000000001</v>
      </c>
    </row>
    <row r="37" spans="1:1">
      <c r="A37" s="5">
        <v>0.83333333333333404</v>
      </c>
    </row>
    <row r="38" spans="1:1">
      <c r="A38" s="5">
        <v>0.85416666666666696</v>
      </c>
    </row>
    <row r="39" spans="1:1">
      <c r="A39" s="5">
        <v>0.875000000000001</v>
      </c>
    </row>
    <row r="40" spans="1:1">
      <c r="A40" s="5">
        <v>0.89583333333333404</v>
      </c>
    </row>
    <row r="41" spans="1:1">
      <c r="A41" s="5">
        <v>0.91666666666666696</v>
      </c>
    </row>
    <row r="42" spans="1:1">
      <c r="A42" s="5">
        <v>0.937500000000001</v>
      </c>
    </row>
    <row r="43" spans="1:1">
      <c r="A43" s="5">
        <v>0.95833333333333404</v>
      </c>
    </row>
    <row r="44" spans="1:1">
      <c r="A44" s="5">
        <v>0.97916666666666696</v>
      </c>
    </row>
    <row r="45" spans="1:1">
      <c r="A45" s="5">
        <v>1</v>
      </c>
    </row>
    <row r="46" spans="1:1">
      <c r="A46" s="5">
        <v>1.0208333333333299</v>
      </c>
    </row>
    <row r="47" spans="1:1">
      <c r="A47" s="5">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sheetData>
    <row r="1" spans="1:8" ht="26">
      <c r="B1" s="4" t="s">
        <v>103</v>
      </c>
    </row>
    <row r="4" spans="1:8">
      <c r="B4" s="2" t="s">
        <v>104</v>
      </c>
      <c r="C4" s="2" t="s">
        <v>105</v>
      </c>
      <c r="D4" s="2" t="s">
        <v>106</v>
      </c>
      <c r="E4" s="2" t="s">
        <v>107</v>
      </c>
      <c r="F4" s="2" t="s">
        <v>108</v>
      </c>
      <c r="G4" s="2" t="s">
        <v>109</v>
      </c>
      <c r="H4" s="2" t="s">
        <v>110</v>
      </c>
    </row>
    <row r="5" spans="1:8">
      <c r="A5" s="5">
        <v>0.16666666666666666</v>
      </c>
    </row>
    <row r="6" spans="1:8">
      <c r="A6" s="5">
        <v>0.1875</v>
      </c>
    </row>
    <row r="7" spans="1:8">
      <c r="A7" s="5">
        <v>0.20833333333333301</v>
      </c>
    </row>
    <row r="8" spans="1:8">
      <c r="A8" s="5">
        <v>0.22916666666666699</v>
      </c>
    </row>
    <row r="9" spans="1:8">
      <c r="A9" s="5">
        <v>0.25</v>
      </c>
    </row>
    <row r="10" spans="1:8">
      <c r="A10" s="5">
        <v>0.27083333333333398</v>
      </c>
    </row>
    <row r="11" spans="1:8">
      <c r="A11" s="5">
        <v>0.29166666666666702</v>
      </c>
    </row>
    <row r="12" spans="1:8">
      <c r="A12" s="5">
        <v>0.3125</v>
      </c>
    </row>
    <row r="13" spans="1:8">
      <c r="A13" s="5">
        <v>0.33333333333333398</v>
      </c>
    </row>
    <row r="14" spans="1:8">
      <c r="A14" s="5">
        <v>0.35416666666666702</v>
      </c>
    </row>
    <row r="15" spans="1:8">
      <c r="A15" s="5">
        <v>0.375</v>
      </c>
    </row>
    <row r="16" spans="1:8">
      <c r="A16" s="5">
        <v>0.39583333333333398</v>
      </c>
    </row>
    <row r="17" spans="1:1">
      <c r="A17" s="5">
        <v>0.41666666666666702</v>
      </c>
    </row>
    <row r="18" spans="1:1">
      <c r="A18" s="5">
        <v>0.4375</v>
      </c>
    </row>
    <row r="19" spans="1:1">
      <c r="A19" s="5">
        <v>0.45833333333333398</v>
      </c>
    </row>
    <row r="20" spans="1:1">
      <c r="A20" s="5">
        <v>0.47916666666666702</v>
      </c>
    </row>
    <row r="21" spans="1:1">
      <c r="A21" s="5">
        <v>0.5</v>
      </c>
    </row>
    <row r="22" spans="1:1">
      <c r="A22" s="5">
        <v>0.52083333333333404</v>
      </c>
    </row>
    <row r="23" spans="1:1">
      <c r="A23" s="5">
        <v>0.54166666666666696</v>
      </c>
    </row>
    <row r="24" spans="1:1">
      <c r="A24" s="5">
        <v>0.5625</v>
      </c>
    </row>
    <row r="25" spans="1:1">
      <c r="A25" s="5">
        <v>0.58333333333333404</v>
      </c>
    </row>
    <row r="26" spans="1:1">
      <c r="A26" s="5">
        <v>0.60416666666666696</v>
      </c>
    </row>
    <row r="27" spans="1:1">
      <c r="A27" s="5">
        <v>0.625000000000001</v>
      </c>
    </row>
    <row r="28" spans="1:1">
      <c r="A28" s="5">
        <v>0.64583333333333404</v>
      </c>
    </row>
    <row r="29" spans="1:1">
      <c r="A29" s="5">
        <v>0.66666666666666696</v>
      </c>
    </row>
    <row r="30" spans="1:1">
      <c r="A30" s="5">
        <v>0.687500000000001</v>
      </c>
    </row>
    <row r="31" spans="1:1">
      <c r="A31" s="5">
        <v>0.70833333333333404</v>
      </c>
    </row>
    <row r="32" spans="1:1">
      <c r="A32" s="5">
        <v>0.72916666666666696</v>
      </c>
    </row>
    <row r="33" spans="1:1">
      <c r="A33" s="5">
        <v>0.750000000000001</v>
      </c>
    </row>
    <row r="34" spans="1:1">
      <c r="A34" s="5">
        <v>0.77083333333333404</v>
      </c>
    </row>
    <row r="35" spans="1:1">
      <c r="A35" s="5">
        <v>0.79166666666666696</v>
      </c>
    </row>
    <row r="36" spans="1:1">
      <c r="A36" s="5">
        <v>0.812500000000001</v>
      </c>
    </row>
    <row r="37" spans="1:1">
      <c r="A37" s="5">
        <v>0.83333333333333404</v>
      </c>
    </row>
    <row r="38" spans="1:1">
      <c r="A38" s="5">
        <v>0.85416666666666696</v>
      </c>
    </row>
    <row r="39" spans="1:1">
      <c r="A39" s="5">
        <v>0.875000000000001</v>
      </c>
    </row>
    <row r="40" spans="1:1">
      <c r="A40" s="5">
        <v>0.89583333333333404</v>
      </c>
    </row>
    <row r="41" spans="1:1">
      <c r="A41" s="5">
        <v>0.91666666666666696</v>
      </c>
    </row>
    <row r="42" spans="1:1">
      <c r="A42" s="5">
        <v>0.937500000000001</v>
      </c>
    </row>
    <row r="43" spans="1:1">
      <c r="A43" s="5">
        <v>0.95833333333333404</v>
      </c>
    </row>
    <row r="44" spans="1:1">
      <c r="A44" s="5">
        <v>0.97916666666666696</v>
      </c>
    </row>
    <row r="45" spans="1:1">
      <c r="A45" s="5">
        <v>1</v>
      </c>
    </row>
    <row r="46" spans="1:1">
      <c r="A46" s="5">
        <v>1.0208333333333299</v>
      </c>
    </row>
    <row r="47" spans="1:1">
      <c r="A47" s="5">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Office-Benutzer</dc:creator>
  <cp:keywords/>
  <dc:description/>
  <cp:lastModifiedBy>Maximilian Schiller</cp:lastModifiedBy>
  <cp:revision/>
  <dcterms:created xsi:type="dcterms:W3CDTF">2020-04-19T13:33:28Z</dcterms:created>
  <dcterms:modified xsi:type="dcterms:W3CDTF">2025-05-14T21:21:52Z</dcterms:modified>
  <cp:category/>
  <cp:contentStatus/>
</cp:coreProperties>
</file>