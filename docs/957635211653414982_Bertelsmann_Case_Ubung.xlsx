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hidePivotFieldList="1" defaultThemeVersion="124226"/>
  <mc:AlternateContent xmlns:mc="http://schemas.openxmlformats.org/markup-compatibility/2006">
    <mc:Choice Requires="x15">
      <x15ac:absPath xmlns:x15ac="http://schemas.microsoft.com/office/spreadsheetml/2010/11/ac" url="https://mannheimforum-my.sharepoint.com/personal/kuehleis_mannheim-forum_org/Documents/"/>
    </mc:Choice>
  </mc:AlternateContent>
  <xr:revisionPtr revIDLastSave="232" documentId="8_{A640F0F5-D284-4427-9AFD-4DB386AB3928}" xr6:coauthVersionLast="47" xr6:coauthVersionMax="47" xr10:uidLastSave="{FB09229B-8E84-4804-98B3-8147346E6290}"/>
  <bookViews>
    <workbookView xWindow="-108" yWindow="-108" windowWidth="23256" windowHeight="12576" activeTab="1" xr2:uid="{00000000-000D-0000-FFFF-FFFF00000000}"/>
  </bookViews>
  <sheets>
    <sheet name="Task I &gt;&gt;&gt;" sheetId="9" r:id="rId1"/>
    <sheet name="Financial Model" sheetId="5" r:id="rId2"/>
    <sheet name="Sources for Task I &gt;&gt;&gt;" sheetId="10" r:id="rId3"/>
    <sheet name="Revenue by customer" sheetId="6" r:id="rId4"/>
    <sheet name="Multiples competitors" sheetId="8" r:id="rId5"/>
    <sheet name="Task II &gt;&gt;&gt;" sheetId="11" r:id="rId6"/>
    <sheet name="Customer Concentration" sheetId="12" r:id="rId7"/>
    <sheet name="Sources for Task II &gt;&gt;&gt;" sheetId="15" r:id="rId8"/>
    <sheet name="Multi-currency order book" sheetId="13" r:id="rId9"/>
  </sheets>
  <definedNames>
    <definedName name="_xlnm._FilterDatabase" localSheetId="6" hidden="1">'Customer Concentration'!$B$22:$G$32</definedName>
    <definedName name="_xlnm._FilterDatabase" localSheetId="8" hidden="1">'Multi-currency order book'!$B$6:$E$36</definedName>
    <definedName name="_xlnm._FilterDatabase" localSheetId="4" hidden="1">'Multiples competitors'!$C$4:$R$11</definedName>
    <definedName name="_xlnm._FilterDatabase" localSheetId="3" hidden="1">'Revenue by customer'!$B$3:$D$239</definedName>
    <definedName name="DetailedCapShares">#REF!</definedName>
    <definedName name="_xlnm.Print_Area" localSheetId="6">'Customer Concentration'!$A$1:$Z$58</definedName>
    <definedName name="_xlnm.Print_Area" localSheetId="1">'Financial Model'!$A$1:$M$89</definedName>
    <definedName name="_xlnm.Print_Area" localSheetId="8">'Multi-currency order book'!$A$1:$F$43</definedName>
    <definedName name="_xlnm.Print_Area" localSheetId="0">'Task I &gt;&gt;&gt;'!$A$1:$L$8</definedName>
    <definedName name="_xlnm.Print_Area" localSheetId="5">'Task II &gt;&gt;&gt;'!$A$1:$M$8</definedName>
    <definedName name="IntermediateCapShares">#REF!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42794.8553009259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SummaryCapTableFullyDilutedSha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9" i="5" l="1"/>
  <c r="C78" i="5"/>
  <c r="F55" i="5"/>
  <c r="G55" i="5"/>
  <c r="H55" i="5"/>
  <c r="I55" i="5"/>
  <c r="J55" i="5"/>
  <c r="E55" i="5"/>
  <c r="E46" i="5"/>
  <c r="F46" i="5"/>
  <c r="G46" i="5"/>
  <c r="H46" i="5"/>
  <c r="I46" i="5"/>
  <c r="J46" i="5"/>
  <c r="D46" i="5"/>
  <c r="C82" i="5"/>
  <c r="E19" i="5"/>
  <c r="F19" i="5"/>
  <c r="G19" i="5"/>
  <c r="H19" i="5"/>
  <c r="H21" i="5" s="1"/>
  <c r="H22" i="5" s="1"/>
  <c r="I19" i="5"/>
  <c r="J19" i="5"/>
  <c r="K19" i="5" s="1"/>
  <c r="E20" i="5"/>
  <c r="F20" i="5"/>
  <c r="F21" i="5" s="1"/>
  <c r="C83" i="5" s="1"/>
  <c r="G20" i="5"/>
  <c r="H20" i="5"/>
  <c r="I20" i="5"/>
  <c r="J20" i="5"/>
  <c r="K20" i="5" s="1"/>
  <c r="F18" i="5"/>
  <c r="G18" i="5"/>
  <c r="H18" i="5"/>
  <c r="I18" i="5"/>
  <c r="J18" i="5"/>
  <c r="K18" i="5" s="1"/>
  <c r="E18" i="5"/>
  <c r="N12" i="12"/>
  <c r="N16" i="12" s="1"/>
  <c r="N24" i="12"/>
  <c r="N25" i="12"/>
  <c r="N26" i="12"/>
  <c r="N27" i="12"/>
  <c r="N28" i="12"/>
  <c r="N29" i="12"/>
  <c r="N30" i="12"/>
  <c r="N31" i="12"/>
  <c r="N32" i="12"/>
  <c r="N23" i="12"/>
  <c r="M33" i="12"/>
  <c r="M24" i="12"/>
  <c r="M25" i="12"/>
  <c r="M26" i="12"/>
  <c r="M27" i="12"/>
  <c r="M28" i="12"/>
  <c r="M29" i="12"/>
  <c r="M30" i="12"/>
  <c r="M31" i="12"/>
  <c r="M32" i="12"/>
  <c r="M23" i="12"/>
  <c r="K33" i="12"/>
  <c r="L33" i="12"/>
  <c r="J25" i="12"/>
  <c r="L23" i="12"/>
  <c r="L24" i="12"/>
  <c r="L25" i="12"/>
  <c r="L26" i="12"/>
  <c r="L27" i="12"/>
  <c r="L28" i="12"/>
  <c r="L29" i="12"/>
  <c r="L30" i="12"/>
  <c r="L31" i="12"/>
  <c r="L32" i="12"/>
  <c r="I23" i="12"/>
  <c r="D24" i="12" a="1"/>
  <c r="D24" i="12" s="1"/>
  <c r="I24" i="12" s="1"/>
  <c r="D23" i="12" a="1"/>
  <c r="D23" i="12" s="1"/>
  <c r="D71" i="5"/>
  <c r="G32" i="5"/>
  <c r="G39" i="5" s="1"/>
  <c r="I25" i="12"/>
  <c r="J23" i="12"/>
  <c r="E33" i="12"/>
  <c r="I32" i="12"/>
  <c r="J26" i="12"/>
  <c r="J24" i="12"/>
  <c r="J27" i="12"/>
  <c r="J28" i="12"/>
  <c r="J29" i="12"/>
  <c r="J30" i="12"/>
  <c r="J31" i="12"/>
  <c r="J32" i="12"/>
  <c r="I26" i="12"/>
  <c r="I27" i="12"/>
  <c r="I28" i="12"/>
  <c r="I29" i="12"/>
  <c r="I30" i="12"/>
  <c r="I31" i="12"/>
  <c r="J22" i="12"/>
  <c r="E24" i="12" a="1"/>
  <c r="E24" i="12" s="1"/>
  <c r="D25" i="12" a="1"/>
  <c r="D25" i="12" s="1"/>
  <c r="E25" i="12" a="1"/>
  <c r="E25" i="12"/>
  <c r="D26" i="12" a="1"/>
  <c r="D26" i="12" s="1"/>
  <c r="E26" i="12" a="1"/>
  <c r="E26" i="12" s="1"/>
  <c r="D27" i="12" a="1"/>
  <c r="D27" i="12" s="1"/>
  <c r="E27" i="12" a="1"/>
  <c r="E27" i="12"/>
  <c r="D28" i="12" a="1"/>
  <c r="D28" i="12" s="1"/>
  <c r="E28" i="12" a="1"/>
  <c r="E28" i="12" s="1"/>
  <c r="D29" i="12" a="1"/>
  <c r="D29" i="12" s="1"/>
  <c r="E29" i="12" a="1"/>
  <c r="E29" i="12"/>
  <c r="D30" i="12" a="1"/>
  <c r="D30" i="12" s="1"/>
  <c r="E30" i="12" a="1"/>
  <c r="E30" i="12" s="1"/>
  <c r="D31" i="12" a="1"/>
  <c r="D31" i="12" s="1"/>
  <c r="E31" i="12" a="1"/>
  <c r="E31" i="12"/>
  <c r="D32" i="12" a="1"/>
  <c r="D32" i="12" s="1"/>
  <c r="E32" i="12" a="1"/>
  <c r="E32" i="12" s="1"/>
  <c r="E23" i="12" a="1"/>
  <c r="E23" i="12" s="1"/>
  <c r="C86" i="5"/>
  <c r="K14" i="8"/>
  <c r="J14" i="8"/>
  <c r="K13" i="8"/>
  <c r="J13" i="8"/>
  <c r="H14" i="8"/>
  <c r="G14" i="8"/>
  <c r="H13" i="8"/>
  <c r="G13" i="8"/>
  <c r="D39" i="5"/>
  <c r="D34" i="5"/>
  <c r="G21" i="5"/>
  <c r="E16" i="5"/>
  <c r="K4" i="6"/>
  <c r="E39" i="5"/>
  <c r="F39" i="5"/>
  <c r="H39" i="5"/>
  <c r="I39" i="5"/>
  <c r="J39" i="5"/>
  <c r="D24" i="5"/>
  <c r="D38" i="13"/>
  <c r="I21" i="5" l="1"/>
  <c r="E21" i="5"/>
  <c r="J21" i="5"/>
  <c r="G22" i="5"/>
  <c r="F22" i="5"/>
  <c r="N14" i="12"/>
  <c r="N33" i="12"/>
  <c r="J33" i="12"/>
  <c r="J34" i="12" s="1"/>
  <c r="I33" i="12"/>
  <c r="I34" i="12" s="1"/>
  <c r="D33" i="12"/>
  <c r="I22" i="5"/>
  <c r="E22" i="5"/>
  <c r="E6" i="13"/>
  <c r="K21" i="5" l="1"/>
  <c r="J22" i="5"/>
  <c r="E38" i="13"/>
  <c r="E22" i="12" l="1"/>
  <c r="E13" i="12"/>
  <c r="C84" i="5" l="1"/>
  <c r="L3" i="6" l="1"/>
  <c r="L4" i="6" s="1"/>
  <c r="E233" i="6"/>
  <c r="E105" i="6"/>
  <c r="E55" i="6"/>
  <c r="E84" i="6"/>
  <c r="E12" i="6"/>
  <c r="E6" i="6"/>
  <c r="E67" i="6"/>
  <c r="E237" i="6"/>
  <c r="E96" i="6"/>
  <c r="E75" i="6"/>
  <c r="E41" i="6"/>
  <c r="E48" i="6"/>
  <c r="E22" i="6"/>
  <c r="E31" i="6"/>
  <c r="E86" i="6"/>
  <c r="E89" i="6"/>
  <c r="E70" i="6"/>
  <c r="E32" i="6"/>
  <c r="E36" i="6"/>
  <c r="E34" i="6"/>
  <c r="E101" i="6"/>
  <c r="E14" i="6"/>
  <c r="E9" i="6"/>
  <c r="M3" i="6"/>
  <c r="M4" i="6" l="1"/>
  <c r="N3" i="6"/>
  <c r="N4" i="6" l="1"/>
  <c r="O3" i="6"/>
  <c r="O4" i="6" l="1"/>
  <c r="P3" i="6"/>
  <c r="Q3" i="6" l="1"/>
  <c r="Q4" i="6" s="1"/>
  <c r="P4" i="6"/>
  <c r="E70" i="5" l="1"/>
  <c r="F70" i="5" s="1"/>
  <c r="G70" i="5" s="1"/>
  <c r="H70" i="5" s="1"/>
  <c r="I70" i="5" s="1"/>
  <c r="J70" i="5" s="1"/>
  <c r="J64" i="5"/>
  <c r="I64" i="5"/>
  <c r="H64" i="5"/>
  <c r="G64" i="5"/>
  <c r="F64" i="5"/>
  <c r="E64" i="5"/>
  <c r="D64" i="5"/>
  <c r="I61" i="5"/>
  <c r="H61" i="5"/>
  <c r="E61" i="5"/>
  <c r="D61" i="5"/>
  <c r="G61" i="5"/>
  <c r="J61" i="5"/>
  <c r="F61" i="5"/>
  <c r="J32" i="5"/>
  <c r="J37" i="5" s="1"/>
  <c r="I32" i="5"/>
  <c r="H32" i="5"/>
  <c r="F32" i="5"/>
  <c r="F37" i="5" s="1"/>
  <c r="E32" i="5"/>
  <c r="E37" i="5" s="1"/>
  <c r="D32" i="5"/>
  <c r="E53" i="5"/>
  <c r="F53" i="5" s="1"/>
  <c r="G53" i="5" s="1"/>
  <c r="H53" i="5" s="1"/>
  <c r="I53" i="5" s="1"/>
  <c r="J53" i="5" s="1"/>
  <c r="J47" i="5"/>
  <c r="I47" i="5"/>
  <c r="H47" i="5"/>
  <c r="G47" i="5"/>
  <c r="F47" i="5"/>
  <c r="E47" i="5"/>
  <c r="D47" i="5"/>
  <c r="I37" i="5"/>
  <c r="H37" i="5"/>
  <c r="G37" i="5"/>
  <c r="D37" i="5"/>
  <c r="D42" i="5" s="1"/>
  <c r="D49" i="5" s="1"/>
  <c r="F16" i="5"/>
  <c r="G16" i="5" s="1"/>
  <c r="H16" i="5" s="1"/>
  <c r="I16" i="5" s="1"/>
  <c r="J16" i="5" s="1"/>
  <c r="D25" i="5"/>
  <c r="D35" i="5"/>
  <c r="E25" i="5"/>
  <c r="E34" i="5" s="1"/>
  <c r="F25" i="5"/>
  <c r="F34" i="5" s="1"/>
  <c r="G25" i="5"/>
  <c r="G34" i="5" s="1"/>
  <c r="H25" i="5"/>
  <c r="H34" i="5" s="1"/>
  <c r="I25" i="5"/>
  <c r="I34" i="5" s="1"/>
  <c r="J25" i="5"/>
  <c r="J34" i="5" s="1"/>
  <c r="D54" i="5"/>
  <c r="D57" i="5"/>
  <c r="C87" i="5" l="1"/>
  <c r="C88" i="5" s="1"/>
  <c r="I24" i="5"/>
  <c r="E24" i="5"/>
  <c r="H24" i="5"/>
  <c r="F42" i="5"/>
  <c r="F24" i="5"/>
  <c r="G42" i="5"/>
  <c r="G24" i="5"/>
  <c r="J24" i="5"/>
  <c r="D58" i="5"/>
  <c r="D66" i="5" s="1"/>
  <c r="H35" i="5" l="1"/>
  <c r="H54" i="5"/>
  <c r="H42" i="5"/>
  <c r="E54" i="5"/>
  <c r="E35" i="5"/>
  <c r="E42" i="5"/>
  <c r="J35" i="5"/>
  <c r="J54" i="5"/>
  <c r="G35" i="5"/>
  <c r="G54" i="5"/>
  <c r="I42" i="5"/>
  <c r="I54" i="5"/>
  <c r="I35" i="5"/>
  <c r="F54" i="5"/>
  <c r="F35" i="5"/>
  <c r="J42" i="5"/>
  <c r="H49" i="5" l="1"/>
  <c r="F57" i="5"/>
  <c r="F71" i="5"/>
  <c r="F58" i="5"/>
  <c r="F66" i="5" s="1"/>
  <c r="F49" i="5"/>
  <c r="G71" i="5"/>
  <c r="G57" i="5"/>
  <c r="G58" i="5" s="1"/>
  <c r="G66" i="5" s="1"/>
  <c r="G49" i="5"/>
  <c r="J57" i="5" l="1"/>
  <c r="J58" i="5" s="1"/>
  <c r="J66" i="5" s="1"/>
  <c r="J71" i="5"/>
  <c r="J49" i="5"/>
  <c r="H57" i="5"/>
  <c r="H58" i="5" s="1"/>
  <c r="H66" i="5" s="1"/>
  <c r="H71" i="5"/>
  <c r="I57" i="5"/>
  <c r="I58" i="5" s="1"/>
  <c r="I66" i="5" s="1"/>
  <c r="I71" i="5"/>
  <c r="I49" i="5"/>
  <c r="E57" i="5"/>
  <c r="E71" i="5"/>
  <c r="E49" i="5"/>
  <c r="E58" i="5" l="1"/>
  <c r="E66" i="5" s="1"/>
  <c r="C8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<sst xmlns="http://schemas.openxmlformats.org/spreadsheetml/2006/main" count="712" uniqueCount="198">
  <si>
    <t>Revenue</t>
  </si>
  <si>
    <t>Total Revenue</t>
  </si>
  <si>
    <t>Operating Expenses</t>
  </si>
  <si>
    <t>Depreciation</t>
  </si>
  <si>
    <t>Amortization</t>
  </si>
  <si>
    <t>Gross Profit</t>
  </si>
  <si>
    <t>Interest</t>
  </si>
  <si>
    <t>EBIT</t>
  </si>
  <si>
    <t>EBITDA</t>
  </si>
  <si>
    <t>Net Income</t>
  </si>
  <si>
    <t>Cost of Goods Sold</t>
  </si>
  <si>
    <t>General &amp; Administrative</t>
  </si>
  <si>
    <t>Research &amp; Development</t>
  </si>
  <si>
    <t>Marketing &amp; Sales</t>
  </si>
  <si>
    <t>Total Operating Expenses</t>
  </si>
  <si>
    <t>Tax</t>
  </si>
  <si>
    <t>Cash Flow from Financing</t>
  </si>
  <si>
    <t>WACC</t>
  </si>
  <si>
    <t>Terminal Value</t>
  </si>
  <si>
    <t>Income Statement</t>
  </si>
  <si>
    <t>in USD millions</t>
  </si>
  <si>
    <t>YoY Growth in %</t>
  </si>
  <si>
    <t>Gross Margin in %</t>
  </si>
  <si>
    <t>Depreciation as % of OpEx</t>
  </si>
  <si>
    <t>Amortization as % of OpEx</t>
  </si>
  <si>
    <t>EBITDA Margin</t>
  </si>
  <si>
    <t>NOL (as of year-end)</t>
  </si>
  <si>
    <t>Tax Rate</t>
  </si>
  <si>
    <t>Cash Flow Statement</t>
  </si>
  <si>
    <t>Cash Flow from Operations</t>
  </si>
  <si>
    <t>Capital Expenditures</t>
  </si>
  <si>
    <t>Cash Flow from Investments</t>
  </si>
  <si>
    <t>Dividend</t>
  </si>
  <si>
    <t>Change in Net Working Capital (NWC)</t>
  </si>
  <si>
    <t>NWC Change as % of Revenue Change</t>
  </si>
  <si>
    <t>Change in Cash &amp; Cash Equivalents</t>
  </si>
  <si>
    <t>Assumptions</t>
  </si>
  <si>
    <t>Terminal Growth Rate</t>
  </si>
  <si>
    <t>Enterprise Value</t>
  </si>
  <si>
    <t>Enterprise Value Calculation</t>
  </si>
  <si>
    <t>Remarks &amp; Assumptions - PLEASE READ FIRST</t>
  </si>
  <si>
    <t>1. The company is entirely financed with equity. There is no debt and no corresponding interest payments</t>
  </si>
  <si>
    <t>3. The Terminal Growth Rate is 2%.</t>
  </si>
  <si>
    <t>Unlevered Free Cash Flows to the Firm</t>
  </si>
  <si>
    <t>Taxes</t>
  </si>
  <si>
    <t>4. The Weighted Average Costs of Capital (WACC) are 10%.</t>
  </si>
  <si>
    <t>5. The Change in NWC refers to the cash effect, e.g. a positive value indicates that there is a positive cash flow from changes in NWC.</t>
  </si>
  <si>
    <t>Malte Bieber</t>
  </si>
  <si>
    <t>Customer Name</t>
  </si>
  <si>
    <t>1100 - Adams Place</t>
  </si>
  <si>
    <t>Amerigroup // Anthem (Wellpoint)</t>
  </si>
  <si>
    <t>Anka Behavioral Health</t>
  </si>
  <si>
    <t>Arlington TX Management LLC (DBA) Arlington Residence 7 Rehabilitation Center</t>
  </si>
  <si>
    <t>Aspen Skilled Healthcare</t>
  </si>
  <si>
    <t>Balboa Horizons</t>
  </si>
  <si>
    <t>Behavior Analysis Support Services, Inc.</t>
  </si>
  <si>
    <t>Behavior Change Institute (NM)</t>
  </si>
  <si>
    <t>Boys and Girls Club of Wetaskiwin</t>
  </si>
  <si>
    <t>Brookshire Residence and Rehabilitation Center</t>
  </si>
  <si>
    <t>Call for Help, Inc.</t>
  </si>
  <si>
    <t>Clinica Family Health Services</t>
  </si>
  <si>
    <t>Complete Home Care of the Palm Beaches, LLC</t>
  </si>
  <si>
    <t>Courtyard Residence and Rehabilitation Center</t>
  </si>
  <si>
    <t>Elmhurst Care Center</t>
  </si>
  <si>
    <t>Enlivant</t>
  </si>
  <si>
    <t>Ensign Group</t>
  </si>
  <si>
    <t>Exodus Recovery Inc.</t>
  </si>
  <si>
    <t>Floresville Residence and Rehabilitation Center</t>
  </si>
  <si>
    <t>Fox Subacute at Warrington</t>
  </si>
  <si>
    <t>Frontier Behavioral Health</t>
  </si>
  <si>
    <t>Gaymont</t>
  </si>
  <si>
    <t>Global Healthcare</t>
  </si>
  <si>
    <t>Greenville Glen</t>
  </si>
  <si>
    <t>Hamakua Health Center</t>
  </si>
  <si>
    <t>Hospice &amp; Palliative CareCenter HQ</t>
  </si>
  <si>
    <t>Hospice of Acadiana, Inc.</t>
  </si>
  <si>
    <t>Junior Blind of America</t>
  </si>
  <si>
    <t>Lake Point Nursing - El Dorado</t>
  </si>
  <si>
    <t>Lake Point Nursing Center, Augusta</t>
  </si>
  <si>
    <t>LifeShare Management Group, Inc.</t>
  </si>
  <si>
    <t>Luther Manor (IA)</t>
  </si>
  <si>
    <t>Mansfield Place Assisted Living</t>
  </si>
  <si>
    <t>Medford Leas</t>
  </si>
  <si>
    <t>Medical Home Team</t>
  </si>
  <si>
    <t>Milestone Retirement Communities, LLC.</t>
  </si>
  <si>
    <t>Oakmont at Gordon Park</t>
  </si>
  <si>
    <t>Participation House Support Services/OneCare Home and Community Support Services</t>
  </si>
  <si>
    <t>Penn Foundation, Inc</t>
  </si>
  <si>
    <t>Positive Behavior Support Consulting &amp; Psychological Resources, PC</t>
  </si>
  <si>
    <t>Preferred Therapy Solutions</t>
  </si>
  <si>
    <t>Recovery Centers of America</t>
  </si>
  <si>
    <t>Rehab Pro</t>
  </si>
  <si>
    <t>Reliant Care Management Company</t>
  </si>
  <si>
    <t>San Juan Counseling Center</t>
  </si>
  <si>
    <t>Sedgwick Claims Management Services, Inc.</t>
  </si>
  <si>
    <t>Solution On-Call Services</t>
  </si>
  <si>
    <t>Spectrum Health Care LP and affiliated entities</t>
  </si>
  <si>
    <t>Spectrum Human Services</t>
  </si>
  <si>
    <t>Spring Creek Rehabilitation and Health Care Center</t>
  </si>
  <si>
    <t>St. Joseph Senior Living</t>
  </si>
  <si>
    <t>State of Indiana</t>
  </si>
  <si>
    <t>Stockdale Residence and Rehabilitation Center</t>
  </si>
  <si>
    <t>Straight &amp; Narrow, Inc</t>
  </si>
  <si>
    <t>Telligen</t>
  </si>
  <si>
    <t>The Arc Of The Central Chesapeake Region</t>
  </si>
  <si>
    <t>The Spectrum Center for Autism</t>
  </si>
  <si>
    <t>Vernova Healthcare</t>
  </si>
  <si>
    <t>Victoria Residence and Rehabilitation Center</t>
  </si>
  <si>
    <t>VNA Hospice of Philadelphia</t>
  </si>
  <si>
    <t>VNAs of Vermont</t>
  </si>
  <si>
    <t>Wedgwood Christian Services</t>
  </si>
  <si>
    <t>Revenue type</t>
  </si>
  <si>
    <t>Maintenance</t>
  </si>
  <si>
    <t>Service</t>
  </si>
  <si>
    <t>Subscription</t>
  </si>
  <si>
    <t>Year</t>
  </si>
  <si>
    <t>Revenue in USD</t>
  </si>
  <si>
    <t>Total Revenue (in USDm)</t>
  </si>
  <si>
    <t>Additional information on the assumptions:</t>
  </si>
  <si>
    <t>2. NOL refers to "Net Operating Losses". These are cumulated operating losses from prior to 2020 that can be carried 
forward and can offset future years operating gains for tax purposes</t>
  </si>
  <si>
    <t xml:space="preserve">Zoom Viewer - Case Study </t>
  </si>
  <si>
    <t>FV/Revenue</t>
  </si>
  <si>
    <t>CAGR</t>
  </si>
  <si>
    <t>FV/EBITDA</t>
  </si>
  <si>
    <t>CY22 EBITDA</t>
  </si>
  <si>
    <t>P/E</t>
  </si>
  <si>
    <t>FCF Yield</t>
  </si>
  <si>
    <t>Company</t>
  </si>
  <si>
    <t>Share Price</t>
  </si>
  <si>
    <t>Equity Value</t>
  </si>
  <si>
    <t>Firm Value</t>
  </si>
  <si>
    <t>CY2022</t>
  </si>
  <si>
    <t>CY2023</t>
  </si>
  <si>
    <t>'21-'23</t>
  </si>
  <si>
    <t>Margin</t>
  </si>
  <si>
    <t>Median</t>
  </si>
  <si>
    <t>Mean</t>
  </si>
  <si>
    <t>6. For the multiple valuation, use the financials (Revenue and EBITDA) for the first plan year- 2022e.</t>
  </si>
  <si>
    <t>Revenue multiple</t>
  </si>
  <si>
    <t>EBITDA multiple</t>
  </si>
  <si>
    <t>Competitor I</t>
  </si>
  <si>
    <t>Competitor II</t>
  </si>
  <si>
    <t>Competitor III</t>
  </si>
  <si>
    <t>Competitor IV</t>
  </si>
  <si>
    <t>Competitor V</t>
  </si>
  <si>
    <t>Competitor VI</t>
  </si>
  <si>
    <t>Financial Model - Zoom Viewer (Case Study)</t>
  </si>
  <si>
    <t>Top 10 customer - Zoom Viewer buy-side (Case Study)</t>
  </si>
  <si>
    <t>Multi-Currency Revenue Reporting</t>
  </si>
  <si>
    <t>Remarks &amp; Tasks - PLEASE READ FIRST</t>
  </si>
  <si>
    <t>be 0 and all change, when converted to USD, would be FX effect</t>
  </si>
  <si>
    <t>Customer Order Book</t>
  </si>
  <si>
    <t>Currency</t>
  </si>
  <si>
    <t>FX rate</t>
  </si>
  <si>
    <t>USD</t>
  </si>
  <si>
    <t>USD/USD</t>
  </si>
  <si>
    <t>GBP</t>
  </si>
  <si>
    <t>GBP/USD</t>
  </si>
  <si>
    <t>Customer</t>
  </si>
  <si>
    <t>Customer 1</t>
  </si>
  <si>
    <t>Customer 2</t>
  </si>
  <si>
    <t>Customer 3</t>
  </si>
  <si>
    <t>Customer 4</t>
  </si>
  <si>
    <t>Customer 5</t>
  </si>
  <si>
    <t>Customer 6</t>
  </si>
  <si>
    <t>Customer 7</t>
  </si>
  <si>
    <t>Customer 8</t>
  </si>
  <si>
    <t>Customer 9</t>
  </si>
  <si>
    <t>Customer 10</t>
  </si>
  <si>
    <t>Total</t>
  </si>
  <si>
    <t xml:space="preserve">Hint: If revenues were EUR 100 in 2020 and EUR 100 in 2021, but EUR/USD fluctuated, then the organic change would </t>
  </si>
  <si>
    <t>Multi-Currency Order Book</t>
  </si>
  <si>
    <t>ZAR</t>
  </si>
  <si>
    <t>ZAR/USD</t>
  </si>
  <si>
    <t>RWF/USD</t>
  </si>
  <si>
    <t>RWF</t>
  </si>
  <si>
    <t>South Africa</t>
  </si>
  <si>
    <t>United States</t>
  </si>
  <si>
    <t>Country code</t>
  </si>
  <si>
    <t>Ruanda</t>
  </si>
  <si>
    <t>UK</t>
  </si>
  <si>
    <t>Hint: If it says GBP/USD is 1.4, that means that for each GBP, you get 1.4 USD.</t>
  </si>
  <si>
    <t>Top 10 revenue by customer (in local currency)</t>
  </si>
  <si>
    <r>
      <rPr>
        <b/>
        <sz val="11"/>
        <color theme="1"/>
        <rFont val="Arial"/>
        <family val="2"/>
      </rPr>
      <t>General:</t>
    </r>
    <r>
      <rPr>
        <sz val="11"/>
        <color theme="1"/>
        <rFont val="Arial"/>
        <family val="2"/>
      </rPr>
      <t xml:space="preserve"> Zoom Viewer, located in Berlin, Germany, is a leading technology company offering a communications technology Software based on a Software-as-a-Service (SaaS) subscription model with long-term subscriptions ranging between 12 to 60 months. The software provides mainly videotelephony and online chat services through a cloud-based peer-to-peer software platform. In course of the Covid-19 pandemic, the Company experienced a surge in demand for their product as the solutions transcend geographical distance and allow problems to be identified, examined, and solved immediately and, more importantly, remotely to prevent the spread of the so called SARS-CoV-2 Virus. Due to its high "product stickiness" and its ability to constantly respond to customer demands as well as its stable connection, Zoom Viewer has developed to one of the leading Technology companies in that sector. In addition to that, from an environmental perspective, the solutions help the environment by, amongst other factors, saved travels and hence a reduction of CO2 emissions.
</t>
    </r>
    <r>
      <rPr>
        <b/>
        <sz val="11"/>
        <color theme="1"/>
        <rFont val="Arial"/>
        <family val="2"/>
      </rPr>
      <t>Task:</t>
    </r>
    <r>
      <rPr>
        <sz val="11"/>
        <color theme="1"/>
        <rFont val="Arial"/>
        <family val="2"/>
      </rPr>
      <t xml:space="preserve"> Zoom Viewer generally has one core revenue stream from offering their software on a subscription model ("Subscription"). Revenue generated from subscription are accrued pro rata based on the contract duraction. In order to implement the software and activate additional modules and services, upon customer request, the Company recognizes revenue under "Maintenance". For certain customers, additional seminars are offered as well as technical consultancy services which are recorded under "Service". The latter is not material and has a fairly low margin as it is a requested service add-on by certain customers.
As Zoom Viewer has experienced substantial growth, the Investment Bank, Silverman Blacks, approached the Company if they are open for potential discussions on the sale of the company. In order to get a first impression on the valuation of the Company the CEO, Tiger Tyson, (holding 100% of the shares) approached you to calculate the enterprise value of Zoom Viewer under high-level assumptions using a DCF-approach and validate the valuation quickly using both a Revenue/EV and EBITDA/EV multiple (see tab "Multiples competitors"). In the past couple of days, you have prepared a bottom-up revenue plan by customer (very unusual but due to the constant customer base as a result of the stickiness of the product and the high subscription periods a fairly reasonable approach). 
Your plan to kick-off the valuation is to structure the revenue data by customer (see Tab "Revenue by customer") in the format as laid out in the template by revenue stream and year (yellow highlighted cells in rows 18-20). Please note that the CEO, Tiger Tyson, is known for his spontaneous choleric attacks if he detects errors in the financials. As he has a particular focus on the revenue figures per segment (and knows these by heart), make sure that they are definitely correct.</t>
    </r>
  </si>
  <si>
    <t>CAGR 
'21-'26</t>
  </si>
  <si>
    <t>Other</t>
  </si>
  <si>
    <t>Total revenue in USD</t>
  </si>
  <si>
    <t>thereof Other</t>
  </si>
  <si>
    <t>Enterprise Value (2022-2026)</t>
  </si>
  <si>
    <r>
      <rPr>
        <b/>
        <sz val="11"/>
        <color theme="1"/>
        <rFont val="Arial"/>
        <family val="2"/>
      </rPr>
      <t>General:</t>
    </r>
    <r>
      <rPr>
        <sz val="11"/>
        <color theme="1"/>
        <rFont val="Arial"/>
        <family val="2"/>
      </rPr>
      <t xml:space="preserve"> The CEO is happy with your calculations however, he expected the worth of his Company to be much higher. In order to achieve his envisaged valuation, Tyson Tiger now plans to acquire a competitor mainly operating in Africa, a region that Zoom Viewer is currently not operating in, to realize synergy effects. His overall goal is to penetrate the African region and realize positive cost effects in order to improve the top-line and the EBITDA of the Company in the next three years before going into a structured sell-side process.
</t>
    </r>
    <r>
      <rPr>
        <b/>
        <sz val="11"/>
        <color theme="1"/>
        <rFont val="Arial"/>
        <family val="2"/>
      </rPr>
      <t>Task:</t>
    </r>
    <r>
      <rPr>
        <sz val="11"/>
        <color theme="1"/>
        <rFont val="Arial"/>
        <family val="2"/>
      </rPr>
      <t xml:space="preserve"> Tiger Tyson received a red-flag from BrewWaterHut Users indicating a potential customer concentration (high dependency on certain customers). As the CEO is highly focused on the top-line, he wanted to conduct the analysis by himself upon retrieval of the data. As he does not know how to operate Microsoft Excel, he asked you again for your support since he was pleased with your work on the financial model.
</t>
    </r>
    <r>
      <rPr>
        <b/>
        <sz val="11"/>
        <color theme="1"/>
        <rFont val="Arial"/>
        <family val="2"/>
      </rPr>
      <t xml:space="preserve">Q1: </t>
    </r>
    <r>
      <rPr>
        <sz val="11"/>
        <color theme="1"/>
        <rFont val="Arial"/>
        <family val="2"/>
      </rPr>
      <t xml:space="preserve">From the notes you have taken during the meeting with Tiger Tyson and BreWaterHut Users, you are supposed to 
 (i) populate the table showing the revenue per top 10 customer using the information from the sheet "Multi-currency order book", 
 (ii) convert the foreign FX to USD to report one consolidated USD revenue figure for 2020 and 2021 to the CEO, 
 (iii) separate the revenue development from FY20 to FY21 in FX and organic effects given significant foreign exchange fluctuations between 2020 and 2021, and 
 (iv) determine the share of the top 10 customer as a % of total revenue and prepare a short answer (no need to be written down) on your opinion on the customer concentration and additional required information to build a qualified answer for Tiger Tyson.
With numerous exclamation marks highlighted in bright red you have noted that you should pay attention to the correctness of the values ("checks").
</t>
    </r>
    <r>
      <rPr>
        <b/>
        <sz val="11"/>
        <color theme="1"/>
        <rFont val="Arial"/>
        <family val="2"/>
      </rPr>
      <t>Q2:</t>
    </r>
    <r>
      <rPr>
        <sz val="11"/>
        <color theme="1"/>
        <rFont val="Arial"/>
        <family val="2"/>
      </rPr>
      <t xml:space="preserve"> Please take a position on the following question for a subsequent brief discussion:
(i) What is the difference between a SaaS business model compared to a traditional manufacturing business model? 
Please use the textbox below (Q2) to take high-level bullet points for discussion purposes.</t>
    </r>
  </si>
  <si>
    <t>Q1:</t>
  </si>
  <si>
    <t>Top 10 revenue by customer (in USD)</t>
  </si>
  <si>
    <t>2020 @ FX20</t>
  </si>
  <si>
    <t xml:space="preserve">FX Effect </t>
  </si>
  <si>
    <t>Organic Effect</t>
  </si>
  <si>
    <t>Gesamt-Effekt</t>
  </si>
  <si>
    <t>% Organic Effect</t>
  </si>
  <si>
    <t>% FX-Effect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</si>
</sst>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0.00\ &quot;€&quot;;[Red]\-#,##0.00\ &quot;€&quot;"/>
    <numFmt numFmtId="164" formatCode="_(* #,##0.00_);_(* \(#,##0.00\);_(* &quot;-&quot;??_);_(@_)"/>
    <numFmt numFmtId="165" formatCode="#\a"/>
    <numFmt numFmtId="166" formatCode="#\e"/>
    <numFmt numFmtId="167" formatCode="0.0%"/>
    <numFmt numFmtId="168" formatCode="_(* #,##0.0_);_(* \(#,##0.0\);_(* &quot;-&quot;??_);_(@_)"/>
    <numFmt numFmtId="169" formatCode="_(#,##0.0_);\(#,##0.0\);_(&quot;–&quot;_);_(@_)"/>
    <numFmt numFmtId="170" formatCode="_(#,##0%_);\(#,##0%\);_(&quot;–&quot;_)_%;_(@_)_%"/>
    <numFmt numFmtId="171" formatCode="_(#,##0.0%_);\(#,##0.0%\);_(&quot;–&quot;_)_%;_(@_)_%"/>
    <numFmt numFmtId="172" formatCode="0.000"/>
    <numFmt numFmtId="173" formatCode="0.0"/>
    <numFmt numFmtId="174" formatCode="_(&quot;$&quot;* #,##0.00_);_(&quot;$&quot;* \(#,##0.00\);_(&quot;$&quot;* &quot;-&quot;??_);_(@_)"/>
    <numFmt numFmtId="175" formatCode="_(* #,##0.0\ \X_);_(* \(#,##0.0\);_(* &quot;-&quot;??_);_(@_)"/>
    <numFmt numFmtId="176" formatCode="#,##0.0_);\(#,##0.0\);\–_);&quot;–&quot;_)"/>
    <numFmt numFmtId="177" formatCode="#,##0;\(#,##0\);&quot;–&quot;;@"/>
    <numFmt numFmtId="178" formatCode="0.0000%"/>
    <numFmt numFmtId="179" formatCode="_-* #,##0.00\ _€_-;\-* #,##0.00\ _€_-;_-* &quot;-&quot;??\ _€_-;_-@_-"/>
  </numFmts>
  <fonts count="21" x14ac:knownFonts="1">
    <font>
      <sz val="11"/>
      <color theme="1"/>
      <name val="Calibri"/>
      <family val="2"/>
      <scheme val="minor"/>
    </font>
    <font>
      <sz val="11"/>
      <color theme="1"/>
      <name val="Arial"/>
      <family val="2"/>
    </font>
    <font>
      <sz val="11"/>
      <color theme="1"/>
      <name val="Calibri"/>
      <family val="2"/>
      <scheme val="minor"/>
    </font>
    <font>
      <sz val="14"/>
      <color theme="1"/>
      <name val="Arial"/>
      <family val="2"/>
    </font>
    <font>
      <sz val="11"/>
      <color theme="1"/>
      <name val="Arial"/>
      <family val="2"/>
    </font>
    <font>
      <sz val="11"/>
      <color theme="0"/>
      <name val="Arial"/>
      <family val="2"/>
    </font>
    <font>
      <b/>
      <sz val="11"/>
      <color theme="0"/>
      <name val="Arial"/>
      <family val="2"/>
    </font>
    <font>
      <i/>
      <sz val="11"/>
      <color theme="1"/>
      <name val="Arial"/>
      <family val="2"/>
    </font>
    <font>
      <i/>
      <sz val="11"/>
      <color rgb="FF000000"/>
      <name val="Arial"/>
      <family val="2"/>
    </font>
    <font>
      <u/>
      <sz val="11"/>
      <color theme="1"/>
      <name val="Arial"/>
      <family val="2"/>
    </font>
    <font>
      <sz val="11"/>
      <color rgb="FF0000FF"/>
      <name val="Arial"/>
      <family val="2"/>
    </font>
    <font>
      <b/>
      <sz val="11"/>
      <color theme="1"/>
      <name val="Arial"/>
      <family val="2"/>
    </font>
    <font>
      <i/>
      <sz val="11"/>
      <color rgb="FF0000FF"/>
      <name val="Arial"/>
      <family val="2"/>
    </font>
    <font>
      <sz val="11"/>
      <name val="Arial"/>
      <family val="2"/>
    </font>
    <font>
      <b/>
      <sz val="11"/>
      <color theme="0"/>
      <name val="Calibri"/>
      <family val="2"/>
      <scheme val="minor"/>
    </font>
    <font>
      <b/>
      <sz val="11"/>
      <color theme="1"/>
      <name val="Calibri"/>
      <family val="2"/>
      <scheme val="minor"/>
    </font>
    <font>
      <b/>
      <sz val="18"/>
      <color theme="3"/>
      <name val="Arial"/>
      <family val="2"/>
    </font>
    <font>
      <sz val="8"/>
      <color theme="1"/>
      <name val="Calibri"/>
      <family val="2"/>
      <scheme val="minor"/>
    </font>
    <font>
      <sz val="11"/>
      <color rgb="FF008000"/>
      <name val="Arial"/>
      <family val="2"/>
    </font>
    <font>
      <b/>
      <sz val="22"/>
      <color theme="3"/>
      <name val="Arial"/>
      <family val="2"/>
    </font>
    <font>
      <b/>
      <sz val="11"/>
      <color rgb="FF000000"/>
      <name val="Arial"/>
      <family val="2"/>
    </font>
  </fonts>
  <fills count="9">
    <fill>
      <patternFill patternType="none"/>
    </fill>
    <fill>
      <patternFill patternType="gray125"/>
    </fill>
    <fill>
      <patternFill patternType="solid">
        <fgColor theme="0"/>
        <bgColor indexed="64"/>
      </patternFill>
    </fill>
    <fill>
      <patternFill patternType="solid">
        <fgColor rgb="FFFFFF99"/>
        <bgColor indexed="64"/>
      </patternFill>
    </fill>
    <fill>
      <patternFill patternType="solid">
        <fgColor rgb="FFFFFFFF"/>
        <bgColor rgb="FF000000"/>
      </patternFill>
    </fill>
    <fill>
      <patternFill patternType="solid">
        <fgColor rgb="FF008CA0"/>
        <bgColor indexed="64"/>
      </patternFill>
    </fill>
    <fill>
      <patternFill patternType="solid">
        <fgColor theme="9" tint="-0.499984740745262"/>
        <bgColor indexed="64"/>
      </patternFill>
    </fill>
    <fill>
      <patternFill patternType="solid">
        <fgColor theme="4" tint="0.79998168889431442"/>
        <bgColor indexed="64"/>
      </patternFill>
    </fill>
    <fill>
      <patternFill patternType="solid">
        <fgColor theme="0" tint="-4.9989318521683403E-2"/>
        <bgColor indexed="64"/>
      </patternFill>
    </fill>
  </fills>
  <borders count="10">
    <border>
      <left/>
      <right/>
      <top/>
      <bottom/>
      <diagonal/>
    </border>
    <border>
      <left/>
      <right/>
      <top/>
      <bottom style="thin">
        <color indexed="64"/>
      </bottom>
      <diagonal/>
    </border>
    <border>
      <left/>
      <right/>
      <top/>
      <bottom style="thin">
        <color rgb="FF000000"/>
      </bottom>
      <diagonal/>
    </border>
    <border>
      <left/>
      <right/>
      <top style="thin">
        <color rgb="FF000000"/>
      </top>
      <bottom style="medium">
        <color rgb="FF000000"/>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s>
  <cellStyleXfs count="4">
    <xf numFmtId="0" fontId="0" fillId="0" borderId="0"/>
    <xf numFmtId="164" fontId="2" fillId="0" borderId="0" applyFont="0" applyFill="0" applyBorder="0" applyAlignment="0" applyProtection="0"/>
    <xf numFmtId="9" fontId="2" fillId="0" borderId="0" applyFont="0" applyFill="0" applyBorder="0" applyAlignment="0" applyProtection="0"/>
    <xf numFmtId="174" fontId="2" fillId="0" borderId="0" applyFont="0" applyFill="0" applyBorder="0" applyAlignment="0" applyProtection="0"/>
  </cellStyleXfs>
  <cellXfs count="152">
    <xf numFmtId="0" fontId="0" fillId="0" borderId="0" xfId="0"/>
    <xf numFmtId="0" fontId="4" fillId="2" borderId="0" xfId="0" applyFont="1" applyFill="1" applyBorder="1"/>
    <xf numFmtId="167" fontId="4" fillId="2" borderId="0" xfId="0" applyNumberFormat="1" applyFont="1" applyFill="1" applyBorder="1"/>
    <xf numFmtId="0" fontId="4" fillId="2" borderId="1" xfId="0" applyFont="1" applyFill="1" applyBorder="1"/>
    <xf numFmtId="167" fontId="4" fillId="2" borderId="1" xfId="0" applyNumberFormat="1" applyFont="1" applyFill="1" applyBorder="1"/>
    <xf numFmtId="167" fontId="5" fillId="2" borderId="0" xfId="0" applyNumberFormat="1" applyFont="1" applyFill="1" applyBorder="1"/>
    <xf numFmtId="0" fontId="7" fillId="2" borderId="1" xfId="0" applyFont="1" applyFill="1" applyBorder="1"/>
    <xf numFmtId="165" fontId="7" fillId="2" borderId="1" xfId="0" applyNumberFormat="1" applyFont="1" applyFill="1" applyBorder="1"/>
    <xf numFmtId="166" fontId="7" fillId="2" borderId="1" xfId="0" applyNumberFormat="1" applyFont="1" applyFill="1" applyBorder="1"/>
    <xf numFmtId="167" fontId="8" fillId="4" borderId="2" xfId="0" applyNumberFormat="1" applyFont="1" applyFill="1" applyBorder="1" applyAlignment="1">
      <alignment horizontal="center" wrapText="1"/>
    </xf>
    <xf numFmtId="0" fontId="7" fillId="2" borderId="0" xfId="0" applyFont="1" applyFill="1" applyBorder="1"/>
    <xf numFmtId="0" fontId="9" fillId="2" borderId="0" xfId="0" applyFont="1" applyFill="1" applyBorder="1" applyAlignment="1">
      <alignment horizontal="left"/>
    </xf>
    <xf numFmtId="0" fontId="4" fillId="2" borderId="0" xfId="0" applyFont="1" applyFill="1" applyBorder="1" applyAlignment="1">
      <alignment horizontal="left"/>
    </xf>
    <xf numFmtId="167" fontId="4" fillId="2" borderId="0" xfId="0" applyNumberFormat="1" applyFont="1" applyFill="1" applyBorder="1" applyAlignment="1">
      <alignment horizontal="right"/>
    </xf>
    <xf numFmtId="0" fontId="11" fillId="2" borderId="0" xfId="0" applyFont="1" applyFill="1" applyBorder="1" applyAlignment="1">
      <alignment horizontal="left"/>
    </xf>
    <xf numFmtId="9" fontId="7" fillId="2" borderId="0" xfId="0" applyNumberFormat="1" applyFont="1" applyFill="1" applyBorder="1" applyAlignment="1">
      <alignment horizontal="left" indent="1"/>
    </xf>
    <xf numFmtId="9" fontId="7" fillId="2" borderId="0" xfId="0" applyNumberFormat="1" applyFont="1" applyFill="1" applyBorder="1" applyAlignment="1">
      <alignment horizontal="left"/>
    </xf>
    <xf numFmtId="9" fontId="7" fillId="2" borderId="0" xfId="1" applyNumberFormat="1" applyFont="1" applyFill="1" applyBorder="1"/>
    <xf numFmtId="9" fontId="7" fillId="2" borderId="0" xfId="0" applyNumberFormat="1" applyFont="1" applyFill="1" applyBorder="1"/>
    <xf numFmtId="9" fontId="4" fillId="2" borderId="0" xfId="1" applyNumberFormat="1" applyFont="1" applyFill="1" applyBorder="1"/>
    <xf numFmtId="10" fontId="4" fillId="2" borderId="0" xfId="1" applyNumberFormat="1" applyFont="1" applyFill="1" applyBorder="1"/>
    <xf numFmtId="0" fontId="7" fillId="2" borderId="0" xfId="0" applyFont="1" applyFill="1" applyBorder="1" applyAlignment="1">
      <alignment horizontal="left"/>
    </xf>
    <xf numFmtId="168" fontId="4" fillId="2" borderId="0" xfId="1" applyNumberFormat="1" applyFont="1" applyFill="1" applyBorder="1"/>
    <xf numFmtId="168" fontId="11" fillId="2" borderId="0" xfId="1" applyNumberFormat="1" applyFont="1" applyFill="1" applyBorder="1"/>
    <xf numFmtId="167" fontId="11" fillId="2" borderId="0" xfId="0" applyNumberFormat="1" applyFont="1" applyFill="1" applyBorder="1"/>
    <xf numFmtId="168" fontId="7" fillId="2" borderId="0" xfId="1" applyNumberFormat="1" applyFont="1" applyFill="1" applyBorder="1"/>
    <xf numFmtId="168" fontId="4" fillId="2" borderId="0" xfId="1" applyNumberFormat="1" applyFont="1" applyFill="1" applyBorder="1" applyAlignment="1">
      <alignment horizontal="left"/>
    </xf>
    <xf numFmtId="168" fontId="10" fillId="2" borderId="0" xfId="1" applyNumberFormat="1" applyFont="1" applyFill="1" applyBorder="1" applyAlignment="1">
      <alignment horizontal="left"/>
    </xf>
    <xf numFmtId="168" fontId="11" fillId="2" borderId="0" xfId="1" applyNumberFormat="1" applyFont="1" applyFill="1" applyBorder="1" applyAlignment="1">
      <alignment horizontal="right"/>
    </xf>
    <xf numFmtId="0" fontId="7" fillId="2" borderId="0" xfId="0" applyFont="1" applyFill="1" applyBorder="1" applyAlignment="1">
      <alignment horizontal="left" indent="1"/>
    </xf>
    <xf numFmtId="9" fontId="7" fillId="2" borderId="0" xfId="1" applyNumberFormat="1" applyFont="1" applyFill="1" applyBorder="1" applyAlignment="1">
      <alignment horizontal="right"/>
    </xf>
    <xf numFmtId="168" fontId="4" fillId="2" borderId="0" xfId="1" applyNumberFormat="1" applyFont="1" applyFill="1" applyBorder="1" applyAlignment="1">
      <alignment horizontal="right"/>
    </xf>
    <xf numFmtId="9" fontId="12" fillId="2" borderId="0" xfId="1" applyNumberFormat="1" applyFont="1" applyFill="1" applyBorder="1" applyAlignment="1">
      <alignment horizontal="right"/>
    </xf>
    <xf numFmtId="0" fontId="11" fillId="2" borderId="0" xfId="0" applyFont="1" applyFill="1" applyBorder="1"/>
    <xf numFmtId="0" fontId="4" fillId="2" borderId="0" xfId="0" applyFont="1" applyFill="1" applyBorder="1" applyAlignment="1"/>
    <xf numFmtId="9" fontId="4" fillId="2" borderId="0" xfId="0" applyNumberFormat="1" applyFont="1" applyFill="1" applyBorder="1" applyAlignment="1"/>
    <xf numFmtId="164" fontId="4" fillId="2" borderId="0" xfId="0" applyNumberFormat="1" applyFont="1" applyFill="1" applyBorder="1"/>
    <xf numFmtId="9" fontId="7" fillId="2" borderId="0" xfId="0" applyNumberFormat="1" applyFont="1" applyFill="1" applyBorder="1" applyAlignment="1"/>
    <xf numFmtId="2" fontId="11" fillId="2" borderId="0" xfId="0" applyNumberFormat="1" applyFont="1" applyFill="1" applyBorder="1"/>
    <xf numFmtId="0" fontId="9" fillId="2" borderId="0" xfId="0" applyFont="1" applyFill="1" applyBorder="1"/>
    <xf numFmtId="165" fontId="7" fillId="2" borderId="0" xfId="0" applyNumberFormat="1" applyFont="1" applyFill="1" applyBorder="1"/>
    <xf numFmtId="166" fontId="7" fillId="2" borderId="0" xfId="0" applyNumberFormat="1" applyFont="1" applyFill="1" applyBorder="1"/>
    <xf numFmtId="167" fontId="7" fillId="2" borderId="0" xfId="0" applyNumberFormat="1" applyFont="1" applyFill="1" applyBorder="1" applyAlignment="1">
      <alignment horizontal="center" wrapText="1"/>
    </xf>
    <xf numFmtId="165" fontId="8" fillId="4" borderId="2" xfId="0" applyNumberFormat="1" applyFont="1" applyFill="1" applyBorder="1" applyAlignment="1"/>
    <xf numFmtId="9" fontId="12" fillId="2" borderId="0" xfId="0" applyNumberFormat="1" applyFont="1" applyFill="1" applyBorder="1" applyAlignment="1">
      <alignment horizontal="right"/>
    </xf>
    <xf numFmtId="167" fontId="7" fillId="2" borderId="0" xfId="0" quotePrefix="1" applyNumberFormat="1" applyFont="1" applyFill="1" applyBorder="1" applyAlignment="1">
      <alignment horizontal="left"/>
    </xf>
    <xf numFmtId="0" fontId="11" fillId="2" borderId="1" xfId="0" applyFont="1" applyFill="1" applyBorder="1" applyAlignment="1">
      <alignment horizontal="left"/>
    </xf>
    <xf numFmtId="9" fontId="10" fillId="2" borderId="0" xfId="0" applyNumberFormat="1" applyFont="1" applyFill="1" applyBorder="1" applyAlignment="1">
      <alignment horizontal="right"/>
    </xf>
    <xf numFmtId="9" fontId="10" fillId="2" borderId="0" xfId="0" applyNumberFormat="1" applyFont="1" applyFill="1" applyBorder="1"/>
    <xf numFmtId="2" fontId="4" fillId="2" borderId="0" xfId="0" applyNumberFormat="1" applyFont="1" applyFill="1" applyBorder="1"/>
    <xf numFmtId="0" fontId="11" fillId="2" borderId="0" xfId="0" applyFont="1" applyFill="1" applyBorder="1" applyAlignment="1"/>
    <xf numFmtId="0" fontId="6" fillId="5" borderId="0" xfId="0" applyFont="1" applyFill="1" applyBorder="1"/>
    <xf numFmtId="167" fontId="6" fillId="5" borderId="0" xfId="0" applyNumberFormat="1" applyFont="1" applyFill="1" applyBorder="1"/>
    <xf numFmtId="169" fontId="10" fillId="2" borderId="0" xfId="1" applyNumberFormat="1" applyFont="1" applyFill="1" applyBorder="1" applyAlignment="1">
      <alignment horizontal="right"/>
    </xf>
    <xf numFmtId="169" fontId="11" fillId="2" borderId="0" xfId="1" applyNumberFormat="1" applyFont="1" applyFill="1" applyBorder="1"/>
    <xf numFmtId="170" fontId="12" fillId="4" borderId="0" xfId="1" applyNumberFormat="1" applyFont="1" applyFill="1" applyBorder="1" applyAlignment="1"/>
    <xf numFmtId="169" fontId="11" fillId="2" borderId="0" xfId="1" applyNumberFormat="1" applyFont="1" applyFill="1" applyBorder="1" applyAlignment="1">
      <alignment horizontal="right"/>
    </xf>
    <xf numFmtId="171" fontId="7" fillId="3" borderId="0" xfId="1" applyNumberFormat="1" applyFont="1" applyFill="1" applyBorder="1" applyAlignment="1">
      <alignment horizontal="right"/>
    </xf>
    <xf numFmtId="169" fontId="11" fillId="3" borderId="0" xfId="1" applyNumberFormat="1" applyFont="1" applyFill="1" applyBorder="1" applyAlignment="1"/>
    <xf numFmtId="169" fontId="4" fillId="2" borderId="0" xfId="1" applyNumberFormat="1" applyFont="1" applyFill="1" applyBorder="1" applyAlignment="1">
      <alignment horizontal="right"/>
    </xf>
    <xf numFmtId="169" fontId="4" fillId="3" borderId="0" xfId="1" applyNumberFormat="1" applyFont="1" applyFill="1" applyBorder="1" applyAlignment="1">
      <alignment horizontal="right"/>
    </xf>
    <xf numFmtId="169" fontId="4" fillId="3" borderId="0" xfId="1" applyNumberFormat="1" applyFont="1" applyFill="1" applyBorder="1" applyAlignment="1"/>
    <xf numFmtId="169" fontId="13" fillId="2" borderId="0" xfId="1" applyNumberFormat="1" applyFont="1" applyFill="1" applyBorder="1" applyAlignment="1">
      <alignment horizontal="right"/>
    </xf>
    <xf numFmtId="169" fontId="13" fillId="2" borderId="0" xfId="0" applyNumberFormat="1" applyFont="1" applyFill="1" applyBorder="1" applyAlignment="1">
      <alignment horizontal="right"/>
    </xf>
    <xf numFmtId="169" fontId="10" fillId="0" borderId="0" xfId="0" applyNumberFormat="1" applyFont="1" applyFill="1" applyBorder="1" applyAlignment="1">
      <alignment horizontal="right"/>
    </xf>
    <xf numFmtId="169" fontId="13" fillId="3" borderId="0" xfId="0" applyNumberFormat="1" applyFont="1" applyFill="1" applyBorder="1" applyAlignment="1">
      <alignment horizontal="right"/>
    </xf>
    <xf numFmtId="169" fontId="11" fillId="2" borderId="0" xfId="0" applyNumberFormat="1" applyFont="1" applyFill="1" applyBorder="1" applyAlignment="1">
      <alignment horizontal="right"/>
    </xf>
    <xf numFmtId="169" fontId="10" fillId="2" borderId="0" xfId="0" applyNumberFormat="1" applyFont="1" applyFill="1" applyBorder="1" applyAlignment="1">
      <alignment horizontal="right"/>
    </xf>
    <xf numFmtId="169" fontId="4" fillId="2" borderId="0" xfId="0" applyNumberFormat="1" applyFont="1" applyFill="1" applyBorder="1" applyAlignment="1">
      <alignment horizontal="right"/>
    </xf>
    <xf numFmtId="169" fontId="4" fillId="3" borderId="0" xfId="0" applyNumberFormat="1" applyFont="1" applyFill="1" applyBorder="1" applyAlignment="1">
      <alignment horizontal="right"/>
    </xf>
    <xf numFmtId="169" fontId="4" fillId="3" borderId="1" xfId="1" applyNumberFormat="1" applyFont="1" applyFill="1" applyBorder="1" applyAlignment="1">
      <alignment horizontal="right"/>
    </xf>
    <xf numFmtId="0" fontId="1" fillId="2" borderId="0" xfId="0" applyFont="1" applyFill="1" applyBorder="1"/>
    <xf numFmtId="0" fontId="14" fillId="6" borderId="3" xfId="0" applyFont="1" applyFill="1" applyBorder="1"/>
    <xf numFmtId="49" fontId="0" fillId="0" borderId="0" xfId="0" applyNumberFormat="1"/>
    <xf numFmtId="0" fontId="15" fillId="0" borderId="0" xfId="0" applyFont="1"/>
    <xf numFmtId="173" fontId="0" fillId="0" borderId="0" xfId="0" applyNumberFormat="1"/>
    <xf numFmtId="169" fontId="13" fillId="3" borderId="0" xfId="1" applyNumberFormat="1" applyFont="1" applyFill="1" applyBorder="1" applyAlignment="1">
      <alignment horizontal="right"/>
    </xf>
    <xf numFmtId="0" fontId="11" fillId="2" borderId="1" xfId="0" applyFont="1" applyFill="1" applyBorder="1"/>
    <xf numFmtId="0" fontId="1" fillId="0" borderId="0" xfId="0" applyFont="1" applyFill="1" applyBorder="1" applyAlignment="1">
      <alignment horizontal="left" vertical="top" wrapText="1"/>
    </xf>
    <xf numFmtId="0" fontId="11" fillId="0" borderId="0" xfId="0" applyFont="1" applyFill="1" applyBorder="1" applyAlignment="1">
      <alignment horizontal="left" vertical="top" wrapText="1"/>
    </xf>
    <xf numFmtId="0" fontId="16" fillId="2" borderId="0" xfId="0" applyFont="1" applyFill="1" applyBorder="1"/>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6" xfId="0" quotePrefix="1" applyBorder="1" applyAlignment="1">
      <alignment horizontal="center" vertical="center"/>
    </xf>
    <xf numFmtId="0" fontId="0" fillId="0" borderId="1" xfId="0" quotePrefix="1" applyBorder="1" applyAlignment="1">
      <alignment horizontal="center" vertical="center"/>
    </xf>
    <xf numFmtId="0" fontId="0" fillId="0" borderId="0" xfId="0" applyAlignment="1">
      <alignment horizontal="left" indent="1"/>
    </xf>
    <xf numFmtId="9" fontId="0" fillId="0" borderId="0" xfId="2" applyFont="1"/>
    <xf numFmtId="0" fontId="0" fillId="0" borderId="5" xfId="0" applyBorder="1"/>
    <xf numFmtId="9" fontId="0" fillId="0" borderId="5" xfId="2" applyFont="1" applyBorder="1"/>
    <xf numFmtId="9" fontId="0" fillId="0" borderId="0" xfId="2" applyFont="1" applyBorder="1"/>
    <xf numFmtId="0" fontId="0" fillId="8" borderId="5" xfId="0" applyFill="1" applyBorder="1"/>
    <xf numFmtId="0" fontId="0" fillId="8" borderId="0" xfId="0" applyFill="1"/>
    <xf numFmtId="172" fontId="0" fillId="8" borderId="0" xfId="0" applyNumberFormat="1" applyFill="1"/>
    <xf numFmtId="172" fontId="0" fillId="8" borderId="5" xfId="0" applyNumberFormat="1" applyFill="1" applyBorder="1"/>
    <xf numFmtId="0" fontId="17" fillId="0" borderId="0" xfId="0" applyFont="1" applyAlignment="1">
      <alignment horizontal="left" vertical="center"/>
    </xf>
    <xf numFmtId="175" fontId="18" fillId="3" borderId="0" xfId="1" applyNumberFormat="1" applyFont="1" applyFill="1" applyBorder="1" applyAlignment="1">
      <alignment horizontal="right"/>
    </xf>
    <xf numFmtId="169" fontId="18" fillId="3" borderId="1" xfId="1" applyNumberFormat="1" applyFont="1" applyFill="1" applyBorder="1" applyAlignment="1">
      <alignment horizontal="right"/>
    </xf>
    <xf numFmtId="0" fontId="0" fillId="0" borderId="0" xfId="0" applyBorder="1"/>
    <xf numFmtId="0" fontId="0" fillId="0" borderId="0" xfId="0" applyFill="1"/>
    <xf numFmtId="0" fontId="0" fillId="0" borderId="0" xfId="0" applyFill="1" applyAlignment="1">
      <alignment horizontal="center" vertical="center"/>
    </xf>
    <xf numFmtId="0" fontId="19" fillId="2" borderId="0" xfId="0" applyFont="1" applyFill="1" applyBorder="1"/>
    <xf numFmtId="0" fontId="3" fillId="2" borderId="0" xfId="0" applyFont="1" applyFill="1"/>
    <xf numFmtId="0" fontId="1" fillId="2" borderId="0" xfId="0" applyFont="1" applyFill="1"/>
    <xf numFmtId="167" fontId="1" fillId="2" borderId="0" xfId="0" applyNumberFormat="1" applyFont="1" applyFill="1"/>
    <xf numFmtId="0" fontId="1" fillId="2" borderId="1" xfId="0" applyFont="1" applyFill="1" applyBorder="1"/>
    <xf numFmtId="167" fontId="1" fillId="2" borderId="1" xfId="0" applyNumberFormat="1" applyFont="1" applyFill="1" applyBorder="1"/>
    <xf numFmtId="167" fontId="5" fillId="2" borderId="0" xfId="0" applyNumberFormat="1" applyFont="1" applyFill="1"/>
    <xf numFmtId="0" fontId="6" fillId="5" borderId="0" xfId="0" applyFont="1" applyFill="1"/>
    <xf numFmtId="165" fontId="12" fillId="2" borderId="1" xfId="0" applyNumberFormat="1" applyFont="1" applyFill="1" applyBorder="1"/>
    <xf numFmtId="165" fontId="8" fillId="2" borderId="1" xfId="0" applyNumberFormat="1" applyFont="1" applyFill="1" applyBorder="1"/>
    <xf numFmtId="0" fontId="7" fillId="2" borderId="0" xfId="0" applyFont="1" applyFill="1"/>
    <xf numFmtId="176" fontId="10" fillId="2" borderId="0" xfId="0" applyNumberFormat="1" applyFont="1" applyFill="1"/>
    <xf numFmtId="0" fontId="1" fillId="2" borderId="0" xfId="0" applyFont="1" applyFill="1" applyAlignment="1">
      <alignment horizontal="left"/>
    </xf>
    <xf numFmtId="177" fontId="10" fillId="2" borderId="0" xfId="1" applyNumberFormat="1" applyFont="1" applyFill="1" applyBorder="1" applyAlignment="1">
      <alignment horizontal="right"/>
    </xf>
    <xf numFmtId="177" fontId="10" fillId="2" borderId="0" xfId="0" applyNumberFormat="1" applyFont="1" applyFill="1"/>
    <xf numFmtId="0" fontId="11" fillId="2" borderId="3" xfId="0" applyFont="1" applyFill="1" applyBorder="1"/>
    <xf numFmtId="177" fontId="11" fillId="2" borderId="3" xfId="0" applyNumberFormat="1" applyFont="1" applyFill="1" applyBorder="1"/>
    <xf numFmtId="0" fontId="11" fillId="2" borderId="0" xfId="0" applyFont="1" applyFill="1"/>
    <xf numFmtId="177" fontId="1" fillId="2" borderId="0" xfId="0" applyNumberFormat="1" applyFont="1" applyFill="1"/>
    <xf numFmtId="0" fontId="1" fillId="0" borderId="0" xfId="0" applyFont="1" applyFill="1" applyBorder="1"/>
    <xf numFmtId="0" fontId="1" fillId="0" borderId="0" xfId="0" applyFont="1" applyFill="1" applyBorder="1" applyAlignment="1">
      <alignment horizontal="justify" vertical="top" wrapText="1"/>
    </xf>
    <xf numFmtId="49" fontId="1" fillId="0" borderId="0" xfId="0" applyNumberFormat="1" applyFont="1"/>
    <xf numFmtId="0" fontId="1" fillId="0" borderId="0" xfId="0" applyFont="1"/>
    <xf numFmtId="0" fontId="0" fillId="8" borderId="9" xfId="0" applyFill="1" applyBorder="1"/>
    <xf numFmtId="169" fontId="18" fillId="0" borderId="0" xfId="1" applyNumberFormat="1" applyFont="1" applyFill="1" applyBorder="1" applyAlignment="1">
      <alignment horizontal="right"/>
    </xf>
    <xf numFmtId="169" fontId="20" fillId="0" borderId="0" xfId="1" applyNumberFormat="1" applyFont="1" applyFill="1" applyBorder="1" applyAlignment="1">
      <alignment horizontal="right"/>
    </xf>
    <xf numFmtId="2" fontId="7" fillId="3" borderId="0" xfId="1" applyNumberFormat="1" applyFont="1" applyFill="1" applyBorder="1" applyAlignment="1">
      <alignment horizontal="right"/>
    </xf>
    <xf numFmtId="169" fontId="1" fillId="3" borderId="0" xfId="1" applyNumberFormat="1" applyFont="1" applyFill="1" applyBorder="1" applyAlignment="1"/>
    <xf numFmtId="8" fontId="4" fillId="2" borderId="0" xfId="0" applyNumberFormat="1" applyFont="1" applyFill="1" applyBorder="1" applyAlignment="1">
      <alignment horizontal="left"/>
    </xf>
    <xf numFmtId="0" fontId="1" fillId="3" borderId="0" xfId="0" applyFont="1" applyFill="1"/>
    <xf numFmtId="9" fontId="1" fillId="3" borderId="0" xfId="2" applyFont="1" applyFill="1"/>
    <xf numFmtId="10" fontId="13" fillId="2" borderId="0" xfId="0" applyNumberFormat="1" applyFont="1" applyFill="1"/>
    <xf numFmtId="178" fontId="1" fillId="2" borderId="0" xfId="2" applyNumberFormat="1" applyFont="1" applyFill="1" applyAlignment="1">
      <alignment horizontal="left" indent="16"/>
    </xf>
    <xf numFmtId="179" fontId="1" fillId="3" borderId="0" xfId="2" applyNumberFormat="1" applyFont="1" applyFill="1"/>
    <xf numFmtId="0" fontId="1" fillId="0" borderId="0" xfId="0" applyFont="1" applyFill="1" applyBorder="1" applyAlignment="1">
      <alignment horizontal="left"/>
    </xf>
    <xf numFmtId="0" fontId="7" fillId="0" borderId="0" xfId="0" applyFont="1" applyFill="1" applyBorder="1"/>
    <xf numFmtId="0" fontId="11" fillId="0" borderId="0" xfId="0" applyFont="1" applyFill="1" applyBorder="1"/>
    <xf numFmtId="179" fontId="1" fillId="3" borderId="0" xfId="3" applyNumberFormat="1" applyFont="1" applyFill="1"/>
    <xf numFmtId="179" fontId="1" fillId="3" borderId="5" xfId="0" applyNumberFormat="1" applyFont="1" applyFill="1" applyBorder="1"/>
    <xf numFmtId="177" fontId="1" fillId="3" borderId="0" xfId="0" applyNumberFormat="1" applyFont="1" applyFill="1"/>
    <xf numFmtId="0" fontId="7" fillId="3" borderId="0" xfId="0" applyFont="1" applyFill="1"/>
    <xf numFmtId="0" fontId="1" fillId="2" borderId="0" xfId="0" applyFont="1" applyFill="1" applyBorder="1" applyAlignment="1">
      <alignment horizontal="left" wrapText="1"/>
    </xf>
    <xf numFmtId="0" fontId="4" fillId="2" borderId="0" xfId="0" applyFont="1" applyFill="1" applyBorder="1" applyAlignment="1">
      <alignment horizontal="left" wrapText="1"/>
    </xf>
    <xf numFmtId="0" fontId="1" fillId="7" borderId="4" xfId="0" applyFont="1" applyFill="1" applyBorder="1" applyAlignment="1">
      <alignment horizontal="justify" vertical="top" wrapText="1"/>
    </xf>
    <xf numFmtId="0" fontId="1" fillId="7" borderId="0" xfId="0" applyFont="1" applyFill="1" applyBorder="1" applyAlignment="1">
      <alignment horizontal="justify" vertical="top" wrapText="1"/>
    </xf>
    <xf numFmtId="0" fontId="0" fillId="0" borderId="0" xfId="0" applyAlignment="1">
      <alignment horizontal="center" vertical="center"/>
    </xf>
    <xf numFmtId="0" fontId="0" fillId="0" borderId="8" xfId="0" applyBorder="1" applyAlignment="1">
      <alignment horizontal="center" vertical="center" textRotation="90"/>
    </xf>
    <xf numFmtId="0" fontId="0" fillId="0" borderId="5" xfId="0" applyBorder="1" applyAlignment="1">
      <alignment horizontal="center" vertical="center" textRotation="90"/>
    </xf>
  </cellXfs>
  <cellStyles count="4">
    <cellStyle name="Currency 2" xfId="3" xr:uid="{346CE0AA-F66E-4641-8347-C7F1F6B93BC5}"/>
    <cellStyle name="Komma" xfId="1" builtinId="3"/>
    <cellStyle name="Prozent" xfId="2" builtinId="5"/>
    <cellStyle name="Standard" xfId="0" builtinId="0"/>
  </cellStyles>
  <dxfs count="0"/>
  <tableStyles count="0" defaultTableStyle="TableStyleMedium9"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249382</xdr:colOff>
      <xdr:row>34</xdr:row>
      <xdr:rowOff>41564</xdr:rowOff>
    </xdr:from>
    <xdr:to>
      <xdr:col>13</xdr:col>
      <xdr:colOff>859600</xdr:colOff>
      <xdr:row>56</xdr:row>
      <xdr:rowOff>121687</xdr:rowOff>
    </xdr:to>
    <xdr:sp macro="" textlink="">
      <xdr:nvSpPr>
        <xdr:cNvPr id="2" name="Rectangle 1">
          <a:extLst>
            <a:ext uri="{FF2B5EF4-FFF2-40B4-BE49-F238E27FC236}">
              <a16:creationId xmlns:a16="http://schemas.microsoft.com/office/drawing/2014/main" id="{3084FDB0-545F-4434-A613-009F8407DFD4}"/>
            </a:ext>
          </a:extLst>
        </xdr:cNvPr>
        <xdr:cNvSpPr/>
      </xdr:nvSpPr>
      <xdr:spPr>
        <a:xfrm>
          <a:off x="360218" y="10723419"/>
          <a:ext cx="16570655" cy="4042523"/>
        </a:xfrm>
        <a:prstGeom prst="rect">
          <a:avLst/>
        </a:prstGeom>
        <a:noFill/>
        <a:ln>
          <a:solidFill>
            <a:srgbClr val="008CA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r>
            <a:rPr lang="en-US" sz="1100" b="1" baseline="0">
              <a:solidFill>
                <a:sysClr val="windowText" lastClr="000000"/>
              </a:solidFill>
              <a:effectLst/>
              <a:latin typeface="Arial" panose="020B0604020202020204" pitchFamily="34" charset="0"/>
              <a:ea typeface="+mn-ea"/>
              <a:cs typeface="Arial" panose="020B0604020202020204" pitchFamily="34" charset="0"/>
            </a:rPr>
            <a:t>Q2: Difference between SaaS and traditional manufacturing business</a:t>
          </a:r>
          <a:r>
            <a:rPr lang="de-DE" sz="1100" b="1" i="0" u="none" strike="noStrike">
              <a:solidFill>
                <a:schemeClr val="lt1"/>
              </a:solidFill>
              <a:effectLst/>
              <a:latin typeface="+mn-lt"/>
              <a:ea typeface="+mn-ea"/>
              <a:cs typeface="+mn-cs"/>
            </a:rPr>
            <a:t> </a:t>
          </a:r>
          <a:r>
            <a:rPr lang="de-DE"/>
            <a:t> </a:t>
          </a:r>
        </a:p>
        <a:p>
          <a:endParaRPr lang="de-DE" sz="1100" b="1" baseline="0">
            <a:solidFill>
              <a:sysClr val="windowText" lastClr="000000"/>
            </a:solidFill>
            <a:effectLst/>
            <a:latin typeface="Arial" panose="020B0604020202020204" pitchFamily="34" charset="0"/>
            <a:ea typeface="+mn-ea"/>
            <a:cs typeface="Arial" panose="020B0604020202020204" pitchFamily="34" charset="0"/>
          </a:endParaRPr>
        </a:p>
        <a:p>
          <a:r>
            <a:rPr lang="de-DE" sz="1100" b="1" baseline="0">
              <a:solidFill>
                <a:schemeClr val="bg1"/>
              </a:solidFill>
              <a:effectLst/>
              <a:latin typeface="Arial" panose="020B0604020202020204" pitchFamily="34" charset="0"/>
              <a:ea typeface="+mn-ea"/>
              <a:cs typeface="Arial" panose="020B0604020202020204" pitchFamily="34" charset="0"/>
            </a:rPr>
            <a:t>Cost Structure: Saas proportionally high fixed costs and low variab costs -&gt; Scalability </a:t>
          </a:r>
        </a:p>
        <a:p>
          <a:endParaRPr lang="de-DE" sz="1100" b="1" baseline="0">
            <a:solidFill>
              <a:schemeClr val="bg1"/>
            </a:solidFill>
            <a:effectLst/>
            <a:latin typeface="Arial" panose="020B0604020202020204" pitchFamily="34" charset="0"/>
            <a:ea typeface="+mn-ea"/>
            <a:cs typeface="Arial" panose="020B0604020202020204" pitchFamily="34" charset="0"/>
          </a:endParaRPr>
        </a:p>
        <a:p>
          <a:r>
            <a:rPr lang="de-DE" sz="1100" b="1" baseline="0">
              <a:solidFill>
                <a:schemeClr val="bg1"/>
              </a:solidFill>
              <a:effectLst/>
              <a:latin typeface="Arial" panose="020B0604020202020204" pitchFamily="34" charset="0"/>
              <a:ea typeface="+mn-ea"/>
              <a:cs typeface="Arial" panose="020B0604020202020204" pitchFamily="34" charset="0"/>
            </a:rPr>
            <a:t>Asset-Intensity: Saas low asset-intensity vs. Manufacturing high Asset-intensity </a:t>
          </a:r>
        </a:p>
        <a:p>
          <a:endParaRPr lang="de-DE" sz="1100" b="1" baseline="0">
            <a:solidFill>
              <a:schemeClr val="bg1"/>
            </a:solidFill>
            <a:effectLst/>
            <a:latin typeface="Arial" panose="020B0604020202020204" pitchFamily="34" charset="0"/>
            <a:ea typeface="+mn-ea"/>
            <a:cs typeface="Arial" panose="020B0604020202020204" pitchFamily="34" charset="0"/>
          </a:endParaRPr>
        </a:p>
        <a:p>
          <a:r>
            <a:rPr lang="de-DE" sz="1100" b="1" baseline="0">
              <a:solidFill>
                <a:schemeClr val="bg1"/>
              </a:solidFill>
              <a:effectLst/>
              <a:latin typeface="Arial" panose="020B0604020202020204" pitchFamily="34" charset="0"/>
              <a:ea typeface="+mn-ea"/>
              <a:cs typeface="Arial" panose="020B0604020202020204" pitchFamily="34" charset="0"/>
            </a:rPr>
            <a:t>Revenue: Recurring Revenue (+ one-off revenue, good for product-stickiness)  vs. one-off sales (+ a bit aftersales</a:t>
          </a:r>
          <a:r>
            <a:rPr lang="de-DE" sz="1100" b="1" baseline="0">
              <a:solidFill>
                <a:sysClr val="windowText" lastClr="000000"/>
              </a:solidFill>
              <a:effectLst/>
              <a:latin typeface="Arial" panose="020B0604020202020204" pitchFamily="34" charset="0"/>
              <a:ea typeface="+mn-ea"/>
              <a:cs typeface="Arial" panose="020B0604020202020204" pitchFamily="34" charset="0"/>
            </a:rPr>
            <a:t>)</a:t>
          </a:r>
        </a:p>
        <a:p>
          <a:endParaRPr lang="de-DE" sz="1100" b="1" baseline="0">
            <a:solidFill>
              <a:sysClr val="windowText" lastClr="000000"/>
            </a:solidFill>
            <a:effectLst/>
            <a:latin typeface="Arial" panose="020B0604020202020204" pitchFamily="34" charset="0"/>
            <a:ea typeface="+mn-ea"/>
            <a:cs typeface="Arial" panose="020B0604020202020204" pitchFamily="34" charset="0"/>
          </a:endParaRPr>
        </a:p>
        <a:p>
          <a:endParaRPr lang="de-DE" sz="1100" b="1" baseline="0">
            <a:solidFill>
              <a:sysClr val="windowText" lastClr="000000"/>
            </a:solidFill>
            <a:effectLst/>
            <a:latin typeface="Arial" panose="020B0604020202020204" pitchFamily="34" charset="0"/>
            <a:ea typeface="+mn-ea"/>
            <a:cs typeface="Arial" panose="020B0604020202020204" pitchFamily="34" charset="0"/>
          </a:endParaRPr>
        </a:p>
        <a:p>
          <a:endParaRPr lang="de-DE" sz="1100" b="1" baseline="0">
            <a:solidFill>
              <a:sysClr val="windowText" lastClr="000000"/>
            </a:solidFill>
            <a:effectLst/>
            <a:latin typeface="Arial" panose="020B0604020202020204" pitchFamily="34" charset="0"/>
            <a:ea typeface="+mn-ea"/>
            <a:cs typeface="Arial" panose="020B0604020202020204" pitchFamily="34" charset="0"/>
          </a:endParaRPr>
        </a:p>
        <a:p>
          <a:endParaRPr lang="en-US" sz="1100" b="1" baseline="0">
            <a:solidFill>
              <a:sysClr val="windowText" lastClr="000000"/>
            </a:solidFill>
            <a:effectLst/>
            <a:latin typeface="Arial" panose="020B0604020202020204" pitchFamily="34" charset="0"/>
            <a:ea typeface="+mn-ea"/>
            <a:cs typeface="Arial" panose="020B0604020202020204" pitchFamily="34" charset="0"/>
          </a:endParaRPr>
        </a:p>
        <a:p>
          <a:endParaRPr lang="en-US" sz="1100" b="0" baseline="0">
            <a:solidFill>
              <a:srgbClr val="FF0000"/>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72818-87F8-4B8E-8609-8CBA5575C0C4}">
  <sheetPr>
    <tabColor rgb="FF92D050"/>
  </sheetPr>
  <dimension ref="B6"/>
  <sheetViews>
    <sheetView showGridLines="0" view="pageBreakPreview" zoomScaleNormal="100" zoomScaleSheetLayoutView="100" workbookViewId="0">
      <selection activeCell="K6" sqref="K6"/>
    </sheetView>
  </sheetViews>
  <sheetFormatPr baseColWidth="10" defaultColWidth="8.88671875" defaultRowHeight="14.4" x14ac:dyDescent="0.3"/>
  <sheetData>
    <row r="6" spans="2:2" ht="28.2" x14ac:dyDescent="0.5">
      <c r="B6" s="104" t="s">
        <v>146</v>
      </c>
    </row>
  </sheetData>
  <pageMargins left="0.7" right="0.7" top="0.75" bottom="0.75" header="0.3" footer="0.3"/>
  <pageSetup paperSize="9"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B2:Q88"/>
  <sheetViews>
    <sheetView showGridLines="0" tabSelected="1" view="pageBreakPreview" topLeftCell="A22" zoomScale="55" zoomScaleNormal="85" zoomScaleSheetLayoutView="55" workbookViewId="0">
      <selection activeCell="C80" sqref="C80"/>
    </sheetView>
  </sheetViews>
  <sheetFormatPr baseColWidth="10" defaultColWidth="9.109375" defaultRowHeight="13.8" x14ac:dyDescent="0.25"/>
  <cols>
    <col min="1" max="1" width="1.6640625" style="1" customWidth="1"/>
    <col min="2" max="2" width="41.5546875" style="1" customWidth="1"/>
    <col min="3" max="3" width="10.44140625" style="1" customWidth="1"/>
    <col min="4" max="4" width="9.109375" style="1" customWidth="1"/>
    <col min="5" max="5" width="21.44140625" style="1" bestFit="1" customWidth="1"/>
    <col min="6" max="6" width="13.77734375" style="1" customWidth="1"/>
    <col min="7" max="7" width="14.5546875" style="1" customWidth="1"/>
    <col min="8" max="9" width="9.77734375" style="1" bestFit="1" customWidth="1"/>
    <col min="10" max="10" width="11.109375" style="1" customWidth="1"/>
    <col min="11" max="11" width="12.21875" style="2" bestFit="1" customWidth="1"/>
    <col min="12" max="26" width="9.109375" style="1"/>
    <col min="27" max="27" width="9.109375" style="1" customWidth="1"/>
    <col min="28" max="16384" width="9.109375" style="1"/>
  </cols>
  <sheetData>
    <row r="2" spans="2:11" ht="22.8" x14ac:dyDescent="0.4">
      <c r="B2" s="80" t="s">
        <v>120</v>
      </c>
    </row>
    <row r="4" spans="2:11" x14ac:dyDescent="0.25">
      <c r="B4" s="77" t="s">
        <v>40</v>
      </c>
      <c r="C4" s="3"/>
      <c r="D4" s="3"/>
      <c r="E4" s="3"/>
      <c r="F4" s="3"/>
      <c r="G4" s="3"/>
      <c r="H4" s="3"/>
      <c r="I4" s="3"/>
      <c r="J4" s="3"/>
      <c r="K4" s="4"/>
    </row>
    <row r="5" spans="2:11" ht="42" customHeight="1" x14ac:dyDescent="0.25">
      <c r="B5" s="147" t="s">
        <v>183</v>
      </c>
      <c r="C5" s="147"/>
      <c r="D5" s="147"/>
      <c r="E5" s="147"/>
      <c r="F5" s="147"/>
      <c r="G5" s="147"/>
      <c r="H5" s="147"/>
      <c r="I5" s="147"/>
      <c r="J5" s="147"/>
      <c r="K5" s="147"/>
    </row>
    <row r="6" spans="2:11" ht="373.5" customHeight="1" x14ac:dyDescent="0.25">
      <c r="B6" s="148"/>
      <c r="C6" s="148"/>
      <c r="D6" s="148"/>
      <c r="E6" s="148"/>
      <c r="F6" s="148"/>
      <c r="G6" s="148"/>
      <c r="H6" s="148"/>
      <c r="I6" s="148"/>
      <c r="J6" s="148"/>
      <c r="K6" s="148"/>
    </row>
    <row r="7" spans="2:11" ht="24" customHeight="1" x14ac:dyDescent="0.25">
      <c r="B7" s="78"/>
      <c r="C7" s="78"/>
      <c r="D7" s="78"/>
      <c r="E7" s="78"/>
      <c r="F7" s="78"/>
      <c r="G7" s="78"/>
      <c r="H7" s="78"/>
      <c r="I7" s="78"/>
      <c r="J7" s="78"/>
      <c r="K7" s="78"/>
    </row>
    <row r="8" spans="2:11" ht="17.25" customHeight="1" x14ac:dyDescent="0.25">
      <c r="B8" s="79" t="s">
        <v>118</v>
      </c>
      <c r="C8" s="78"/>
      <c r="D8" s="78"/>
      <c r="E8" s="78"/>
      <c r="F8" s="78"/>
      <c r="G8" s="78"/>
      <c r="H8" s="78"/>
      <c r="I8" s="78"/>
      <c r="J8" s="78"/>
      <c r="K8" s="78"/>
    </row>
    <row r="9" spans="2:11" x14ac:dyDescent="0.25">
      <c r="B9" s="34" t="s">
        <v>41</v>
      </c>
      <c r="C9" s="34"/>
      <c r="D9" s="34"/>
      <c r="E9" s="34"/>
      <c r="F9" s="34"/>
      <c r="G9" s="34"/>
      <c r="H9" s="34"/>
      <c r="I9" s="34"/>
      <c r="J9" s="34"/>
      <c r="K9" s="34"/>
    </row>
    <row r="10" spans="2:11" ht="28.2" customHeight="1" x14ac:dyDescent="0.25">
      <c r="B10" s="145" t="s">
        <v>119</v>
      </c>
      <c r="C10" s="146"/>
      <c r="D10" s="146"/>
      <c r="E10" s="146"/>
      <c r="F10" s="146"/>
      <c r="G10" s="146"/>
      <c r="H10" s="146"/>
      <c r="I10" s="146"/>
      <c r="J10" s="146"/>
      <c r="K10" s="146"/>
    </row>
    <row r="11" spans="2:11" x14ac:dyDescent="0.25">
      <c r="B11" s="1" t="s">
        <v>42</v>
      </c>
    </row>
    <row r="12" spans="2:11" x14ac:dyDescent="0.25">
      <c r="B12" s="1" t="s">
        <v>45</v>
      </c>
    </row>
    <row r="13" spans="2:11" x14ac:dyDescent="0.25">
      <c r="B13" s="1" t="s">
        <v>46</v>
      </c>
    </row>
    <row r="14" spans="2:11" x14ac:dyDescent="0.25">
      <c r="B14" s="1" t="s">
        <v>137</v>
      </c>
      <c r="K14" s="5" t="s">
        <v>47</v>
      </c>
    </row>
    <row r="15" spans="2:11" x14ac:dyDescent="0.25">
      <c r="B15" s="51" t="s">
        <v>19</v>
      </c>
      <c r="C15" s="51"/>
      <c r="D15" s="51"/>
      <c r="E15" s="51"/>
      <c r="F15" s="51">
        <v>1</v>
      </c>
      <c r="G15" s="51">
        <v>2</v>
      </c>
      <c r="H15" s="51">
        <v>3</v>
      </c>
      <c r="I15" s="51">
        <v>4</v>
      </c>
      <c r="J15" s="51">
        <v>5</v>
      </c>
      <c r="K15" s="52"/>
    </row>
    <row r="16" spans="2:11" s="10" customFormat="1" ht="28.95" customHeight="1" x14ac:dyDescent="0.3">
      <c r="B16" s="6" t="s">
        <v>20</v>
      </c>
      <c r="C16" s="6"/>
      <c r="D16" s="7">
        <v>2020</v>
      </c>
      <c r="E16" s="7">
        <f>D16+1</f>
        <v>2021</v>
      </c>
      <c r="F16" s="8">
        <f t="shared" ref="F16:J16" si="0">E16+1</f>
        <v>2022</v>
      </c>
      <c r="G16" s="8">
        <f t="shared" si="0"/>
        <v>2023</v>
      </c>
      <c r="H16" s="8">
        <f t="shared" si="0"/>
        <v>2024</v>
      </c>
      <c r="I16" s="8">
        <f t="shared" si="0"/>
        <v>2025</v>
      </c>
      <c r="J16" s="8">
        <f t="shared" si="0"/>
        <v>2026</v>
      </c>
      <c r="K16" s="9" t="s">
        <v>184</v>
      </c>
    </row>
    <row r="17" spans="2:11" x14ac:dyDescent="0.25">
      <c r="B17" s="11" t="s">
        <v>0</v>
      </c>
      <c r="C17" s="12"/>
      <c r="K17" s="13"/>
    </row>
    <row r="18" spans="2:11" ht="14.4" x14ac:dyDescent="0.3">
      <c r="B18" s="12" t="s">
        <v>114</v>
      </c>
      <c r="C18" s="12"/>
      <c r="D18" s="128">
        <v>177.36677800000004</v>
      </c>
      <c r="E18" s="130">
        <f>+SUMIFS('Revenue by customer'!$E$4:$E$239,'Revenue by customer'!$D$4:$D$239, E$16, 'Revenue by customer'!$C$4:$C$239, $B18)/1000000</f>
        <v>154.55597800000001</v>
      </c>
      <c r="F18" s="130">
        <f>+SUMIFS('Revenue by customer'!$E$4:$E$239,'Revenue by customer'!$D$4:$D$239, F$16, 'Revenue by customer'!$C$4:$C$239, $B18)/1000000</f>
        <v>239.675164</v>
      </c>
      <c r="G18" s="130">
        <f>+SUMIFS('Revenue by customer'!$E$4:$E$239,'Revenue by customer'!$D$4:$D$239, G$16, 'Revenue by customer'!$C$4:$C$239, $B18)/1000000</f>
        <v>242.40295900000001</v>
      </c>
      <c r="H18" s="130">
        <f>+SUMIFS('Revenue by customer'!$E$4:$E$239,'Revenue by customer'!$D$4:$D$239, H$16, 'Revenue by customer'!$C$4:$C$239, $B18)/1000000</f>
        <v>200.267538</v>
      </c>
      <c r="I18" s="130">
        <f>+SUMIFS('Revenue by customer'!$E$4:$E$239,'Revenue by customer'!$D$4:$D$239, I$16, 'Revenue by customer'!$C$4:$C$239, $B18)/1000000</f>
        <v>320.53259400000002</v>
      </c>
      <c r="J18" s="130">
        <f>+SUMIFS('Revenue by customer'!$E$4:$E$239,'Revenue by customer'!$D$4:$D$239, J$16, 'Revenue by customer'!$C$4:$C$239, $B18)/1000000</f>
        <v>308.72928899999999</v>
      </c>
      <c r="K18" s="57">
        <f>(J18/D18)^(1/6) -1</f>
        <v>9.6775126557883118E-2</v>
      </c>
    </row>
    <row r="19" spans="2:11" ht="14.4" x14ac:dyDescent="0.3">
      <c r="B19" s="12" t="s">
        <v>112</v>
      </c>
      <c r="C19" s="12"/>
      <c r="D19" s="128">
        <v>28.36355</v>
      </c>
      <c r="E19" s="130">
        <f>+SUMIFS('Revenue by customer'!$E$4:$E$239,'Revenue by customer'!$D$4:$D$239, E$16, 'Revenue by customer'!$C$4:$C$239, $B19)/1000000</f>
        <v>71.524742000000003</v>
      </c>
      <c r="F19" s="130">
        <f>+SUMIFS('Revenue by customer'!$E$4:$E$239,'Revenue by customer'!$D$4:$D$239, F$16, 'Revenue by customer'!$C$4:$C$239, $B19)/1000000</f>
        <v>35.564519500000003</v>
      </c>
      <c r="G19" s="130">
        <f>+SUMIFS('Revenue by customer'!$E$4:$E$239,'Revenue by customer'!$D$4:$D$239, G$16, 'Revenue by customer'!$C$4:$C$239, $B19)/1000000</f>
        <v>32.447257999999998</v>
      </c>
      <c r="H19" s="130">
        <f>+SUMIFS('Revenue by customer'!$E$4:$E$239,'Revenue by customer'!$D$4:$D$239, H$16, 'Revenue by customer'!$C$4:$C$239, $B19)/1000000</f>
        <v>68.635892999999996</v>
      </c>
      <c r="I19" s="130">
        <f>+SUMIFS('Revenue by customer'!$E$4:$E$239,'Revenue by customer'!$D$4:$D$239, I$16, 'Revenue by customer'!$C$4:$C$239, $B19)/1000000</f>
        <v>30.542144</v>
      </c>
      <c r="J19" s="130">
        <f>+SUMIFS('Revenue by customer'!$E$4:$E$239,'Revenue by customer'!$D$4:$D$239, J$16, 'Revenue by customer'!$C$4:$C$239, $B19)/1000000</f>
        <v>36.330568999999997</v>
      </c>
      <c r="K19" s="57">
        <f t="shared" ref="K19:K21" si="1">(J19/D19)^(1/6) -1</f>
        <v>4.2122090993977679E-2</v>
      </c>
    </row>
    <row r="20" spans="2:11" ht="14.4" x14ac:dyDescent="0.3">
      <c r="B20" s="12" t="s">
        <v>113</v>
      </c>
      <c r="C20" s="12"/>
      <c r="D20" s="128">
        <v>17.200203999999999</v>
      </c>
      <c r="E20" s="130">
        <f>+SUMIFS('Revenue by customer'!$E$4:$E$239,'Revenue by customer'!$D$4:$D$239, E$16, 'Revenue by customer'!$C$4:$C$239, $B20)/1000000</f>
        <v>19.201623999999999</v>
      </c>
      <c r="F20" s="130">
        <f>+SUMIFS('Revenue by customer'!$E$4:$E$239,'Revenue by customer'!$D$4:$D$239, F$16, 'Revenue by customer'!$C$4:$C$239, $B20)/1000000</f>
        <v>2.3550689999999999</v>
      </c>
      <c r="G20" s="130">
        <f>+SUMIFS('Revenue by customer'!$E$4:$E$239,'Revenue by customer'!$D$4:$D$239, G$16, 'Revenue by customer'!$C$4:$C$239, $B20)/1000000</f>
        <v>28.290718999999999</v>
      </c>
      <c r="H20" s="130">
        <f>+SUMIFS('Revenue by customer'!$E$4:$E$239,'Revenue by customer'!$D$4:$D$239, H$16, 'Revenue by customer'!$C$4:$C$239, $B20)/1000000</f>
        <v>76.097008000000002</v>
      </c>
      <c r="I20" s="130">
        <f>+SUMIFS('Revenue by customer'!$E$4:$E$239,'Revenue by customer'!$D$4:$D$239, I$16, 'Revenue by customer'!$C$4:$C$239, $B20)/1000000</f>
        <v>1.139662</v>
      </c>
      <c r="J20" s="130">
        <f>+SUMIFS('Revenue by customer'!$E$4:$E$239,'Revenue by customer'!$D$4:$D$239, J$16, 'Revenue by customer'!$C$4:$C$239, $B20)/1000000</f>
        <v>14.390488</v>
      </c>
      <c r="K20" s="57">
        <f t="shared" si="1"/>
        <v>-2.9288173868342926E-2</v>
      </c>
    </row>
    <row r="21" spans="2:11" ht="14.4" x14ac:dyDescent="0.3">
      <c r="B21" s="14" t="s">
        <v>1</v>
      </c>
      <c r="C21" s="14"/>
      <c r="D21" s="129">
        <v>222.93053200000003</v>
      </c>
      <c r="E21" s="130">
        <f>SUM(E18:E20)</f>
        <v>245.28234400000002</v>
      </c>
      <c r="F21" s="130">
        <f t="shared" ref="F21:J21" si="2">SUM(F18:F20)</f>
        <v>277.59475250000003</v>
      </c>
      <c r="G21" s="130">
        <f t="shared" si="2"/>
        <v>303.14093600000001</v>
      </c>
      <c r="H21" s="130">
        <f t="shared" si="2"/>
        <v>345.00043900000003</v>
      </c>
      <c r="I21" s="130">
        <f t="shared" si="2"/>
        <v>352.21440000000001</v>
      </c>
      <c r="J21" s="130">
        <f t="shared" si="2"/>
        <v>359.45034599999997</v>
      </c>
      <c r="K21" s="57">
        <f t="shared" si="1"/>
        <v>8.2874746139509625E-2</v>
      </c>
    </row>
    <row r="22" spans="2:11" s="18" customFormat="1" ht="14.4" x14ac:dyDescent="0.3">
      <c r="B22" s="15" t="s">
        <v>21</v>
      </c>
      <c r="C22" s="16"/>
      <c r="D22" s="17"/>
      <c r="E22" s="57">
        <f>(E21/D21)-1</f>
        <v>0.10026357448427015</v>
      </c>
      <c r="F22" s="57">
        <f t="shared" ref="F22:J22" si="3">(F21/E21)-1</f>
        <v>0.13173556633982586</v>
      </c>
      <c r="G22" s="57">
        <f t="shared" si="3"/>
        <v>9.2026896293725846E-2</v>
      </c>
      <c r="H22" s="57">
        <f t="shared" si="3"/>
        <v>0.13808594626758031</v>
      </c>
      <c r="I22" s="57">
        <f t="shared" si="3"/>
        <v>2.0910005276833843E-2</v>
      </c>
      <c r="J22" s="57">
        <f t="shared" si="3"/>
        <v>2.0544151516803222E-2</v>
      </c>
      <c r="K22" s="2"/>
    </row>
    <row r="23" spans="2:11" x14ac:dyDescent="0.25">
      <c r="B23" s="12"/>
      <c r="C23" s="12"/>
      <c r="D23" s="19"/>
      <c r="E23" s="20"/>
      <c r="F23" s="20"/>
      <c r="G23" s="20"/>
      <c r="H23" s="20"/>
      <c r="I23" s="20"/>
      <c r="J23" s="20"/>
    </row>
    <row r="24" spans="2:11" ht="14.4" x14ac:dyDescent="0.3">
      <c r="B24" s="12" t="s">
        <v>10</v>
      </c>
      <c r="C24" s="21"/>
      <c r="D24" s="76">
        <f>D21-D25</f>
        <v>89.172212800000011</v>
      </c>
      <c r="E24" s="76">
        <f>E21-E25</f>
        <v>85.848820399999994</v>
      </c>
      <c r="F24" s="76">
        <f t="shared" ref="F24:J24" si="4">F21-F25</f>
        <v>83.278425750000025</v>
      </c>
      <c r="G24" s="76">
        <f t="shared" si="4"/>
        <v>81.848052719999998</v>
      </c>
      <c r="H24" s="76">
        <f t="shared" si="4"/>
        <v>82.800105360000032</v>
      </c>
      <c r="I24" s="76">
        <f t="shared" si="4"/>
        <v>77.487167999999997</v>
      </c>
      <c r="J24" s="76">
        <f t="shared" si="4"/>
        <v>75.484572659999969</v>
      </c>
    </row>
    <row r="25" spans="2:11" x14ac:dyDescent="0.25">
      <c r="B25" s="14" t="s">
        <v>5</v>
      </c>
      <c r="C25" s="14"/>
      <c r="D25" s="54">
        <f>D21*D26</f>
        <v>133.75831920000002</v>
      </c>
      <c r="E25" s="54">
        <f t="shared" ref="E25:J25" si="5">E21*E26</f>
        <v>159.43352360000003</v>
      </c>
      <c r="F25" s="54">
        <f t="shared" si="5"/>
        <v>194.31632675</v>
      </c>
      <c r="G25" s="54">
        <f t="shared" si="5"/>
        <v>221.29288328000001</v>
      </c>
      <c r="H25" s="54">
        <f t="shared" si="5"/>
        <v>262.20033364</v>
      </c>
      <c r="I25" s="54">
        <f t="shared" si="5"/>
        <v>274.72723200000001</v>
      </c>
      <c r="J25" s="54">
        <f t="shared" si="5"/>
        <v>283.96577334</v>
      </c>
      <c r="K25" s="24"/>
    </row>
    <row r="26" spans="2:11" s="18" customFormat="1" ht="14.4" customHeight="1" x14ac:dyDescent="0.3">
      <c r="B26" s="15" t="s">
        <v>22</v>
      </c>
      <c r="C26" s="16"/>
      <c r="D26" s="55">
        <v>0.6</v>
      </c>
      <c r="E26" s="55">
        <v>0.65</v>
      </c>
      <c r="F26" s="55">
        <v>0.7</v>
      </c>
      <c r="G26" s="55">
        <v>0.73</v>
      </c>
      <c r="H26" s="55">
        <v>0.76</v>
      </c>
      <c r="I26" s="55">
        <v>0.78</v>
      </c>
      <c r="J26" s="55">
        <v>0.79</v>
      </c>
      <c r="K26" s="2"/>
    </row>
    <row r="27" spans="2:11" ht="14.4" x14ac:dyDescent="0.3">
      <c r="B27" s="21"/>
      <c r="C27" s="21"/>
      <c r="D27" s="23"/>
      <c r="E27" s="23"/>
      <c r="F27" s="25"/>
      <c r="G27" s="25"/>
      <c r="H27" s="25"/>
      <c r="I27" s="25"/>
      <c r="J27" s="25"/>
      <c r="K27" s="24"/>
    </row>
    <row r="28" spans="2:11" x14ac:dyDescent="0.25">
      <c r="B28" s="11" t="s">
        <v>2</v>
      </c>
      <c r="C28" s="12"/>
      <c r="D28" s="26"/>
      <c r="E28" s="22"/>
      <c r="F28" s="22"/>
      <c r="G28" s="22"/>
      <c r="H28" s="22"/>
      <c r="I28" s="22"/>
      <c r="J28" s="22"/>
    </row>
    <row r="29" spans="2:11" x14ac:dyDescent="0.25">
      <c r="B29" s="12" t="s">
        <v>11</v>
      </c>
      <c r="C29" s="12"/>
      <c r="D29" s="53">
        <v>-13.475</v>
      </c>
      <c r="E29" s="53">
        <v>-18.375</v>
      </c>
      <c r="F29" s="53">
        <v>-22.96875</v>
      </c>
      <c r="G29" s="53">
        <v>-25.874999999999993</v>
      </c>
      <c r="H29" s="53">
        <v>-28.462499999999995</v>
      </c>
      <c r="I29" s="53">
        <v>-30.508242187500002</v>
      </c>
      <c r="J29" s="53">
        <v>-31.118407031250005</v>
      </c>
    </row>
    <row r="30" spans="2:11" x14ac:dyDescent="0.25">
      <c r="B30" s="12" t="s">
        <v>13</v>
      </c>
      <c r="C30" s="12"/>
      <c r="D30" s="53">
        <v>-26.95</v>
      </c>
      <c r="E30" s="53">
        <v>-36.75</v>
      </c>
      <c r="F30" s="53">
        <v>-45.9375</v>
      </c>
      <c r="G30" s="53">
        <v>-51.749999999999986</v>
      </c>
      <c r="H30" s="53">
        <v>-56.92499999999999</v>
      </c>
      <c r="I30" s="53">
        <v>-61.016484375000005</v>
      </c>
      <c r="J30" s="53">
        <v>-62.236814062500009</v>
      </c>
    </row>
    <row r="31" spans="2:11" x14ac:dyDescent="0.25">
      <c r="B31" s="12" t="s">
        <v>12</v>
      </c>
      <c r="C31" s="12"/>
      <c r="D31" s="53">
        <v>-13.475</v>
      </c>
      <c r="E31" s="53">
        <v>-18.375</v>
      </c>
      <c r="F31" s="53">
        <v>-22.96875</v>
      </c>
      <c r="G31" s="53">
        <v>-25.874999999999993</v>
      </c>
      <c r="H31" s="53">
        <v>-28.462499999999995</v>
      </c>
      <c r="I31" s="53">
        <v>-30.508242187500002</v>
      </c>
      <c r="J31" s="53">
        <v>-31.118407031250005</v>
      </c>
    </row>
    <row r="32" spans="2:11" x14ac:dyDescent="0.25">
      <c r="B32" s="14" t="s">
        <v>14</v>
      </c>
      <c r="C32" s="14"/>
      <c r="D32" s="56">
        <f>SUM(D29:D31)</f>
        <v>-53.9</v>
      </c>
      <c r="E32" s="56">
        <f t="shared" ref="E32:J32" si="6">SUM(E29:E31)</f>
        <v>-73.5</v>
      </c>
      <c r="F32" s="56">
        <f t="shared" si="6"/>
        <v>-91.875</v>
      </c>
      <c r="G32" s="56">
        <f>SUM(G29:G31)</f>
        <v>-103.49999999999997</v>
      </c>
      <c r="H32" s="56">
        <f t="shared" si="6"/>
        <v>-113.84999999999998</v>
      </c>
      <c r="I32" s="56">
        <f t="shared" si="6"/>
        <v>-122.03296875000001</v>
      </c>
      <c r="J32" s="56">
        <f t="shared" si="6"/>
        <v>-124.47362812500002</v>
      </c>
    </row>
    <row r="33" spans="2:12" x14ac:dyDescent="0.25">
      <c r="B33" s="14"/>
      <c r="C33" s="14"/>
      <c r="D33" s="28"/>
      <c r="E33" s="28"/>
      <c r="F33" s="28"/>
      <c r="G33" s="28"/>
      <c r="H33" s="28"/>
      <c r="I33" s="28"/>
      <c r="J33" s="28"/>
    </row>
    <row r="34" spans="2:12" x14ac:dyDescent="0.25">
      <c r="B34" s="14" t="s">
        <v>8</v>
      </c>
      <c r="C34" s="14"/>
      <c r="D34" s="58">
        <f>D25+D32</f>
        <v>79.858319200000011</v>
      </c>
      <c r="E34" s="58">
        <f t="shared" ref="E34:J34" si="7">E25+E32</f>
        <v>85.933523600000029</v>
      </c>
      <c r="F34" s="58">
        <f t="shared" si="7"/>
        <v>102.44132675</v>
      </c>
      <c r="G34" s="58">
        <f t="shared" si="7"/>
        <v>117.79288328000004</v>
      </c>
      <c r="H34" s="58">
        <f t="shared" si="7"/>
        <v>148.35033364000003</v>
      </c>
      <c r="I34" s="58">
        <f t="shared" si="7"/>
        <v>152.69426325000001</v>
      </c>
      <c r="J34" s="58">
        <f t="shared" si="7"/>
        <v>159.49214521499999</v>
      </c>
    </row>
    <row r="35" spans="2:12" s="10" customFormat="1" ht="14.4" x14ac:dyDescent="0.3">
      <c r="B35" s="29" t="s">
        <v>25</v>
      </c>
      <c r="C35" s="21"/>
      <c r="D35" s="30">
        <f>D34/D21</f>
        <v>0.35822064606206566</v>
      </c>
      <c r="E35" s="30">
        <f t="shared" ref="E35:J35" si="8">E34/E21</f>
        <v>0.35034532938090324</v>
      </c>
      <c r="F35" s="30">
        <f t="shared" si="8"/>
        <v>0.36903192811614832</v>
      </c>
      <c r="G35" s="30">
        <f t="shared" si="8"/>
        <v>0.38857465057111268</v>
      </c>
      <c r="H35" s="30">
        <f t="shared" si="8"/>
        <v>0.4300004199125092</v>
      </c>
      <c r="I35" s="30">
        <f t="shared" si="8"/>
        <v>0.43352646356878083</v>
      </c>
      <c r="J35" s="30">
        <f t="shared" si="8"/>
        <v>0.44371120236729444</v>
      </c>
      <c r="K35" s="2"/>
    </row>
    <row r="36" spans="2:12" x14ac:dyDescent="0.25">
      <c r="B36" s="14"/>
      <c r="C36" s="14"/>
      <c r="D36" s="28"/>
      <c r="E36" s="28"/>
      <c r="F36" s="28"/>
      <c r="G36" s="28"/>
      <c r="H36" s="28"/>
      <c r="I36" s="28"/>
      <c r="J36" s="28"/>
    </row>
    <row r="37" spans="2:12" x14ac:dyDescent="0.25">
      <c r="B37" s="12" t="s">
        <v>3</v>
      </c>
      <c r="C37" s="12"/>
      <c r="D37" s="59">
        <f>D32*D38</f>
        <v>-2.6950000000000003</v>
      </c>
      <c r="E37" s="59">
        <f t="shared" ref="E37:J37" si="9">E32*E38</f>
        <v>-3.6750000000000003</v>
      </c>
      <c r="F37" s="59">
        <f t="shared" si="9"/>
        <v>-4.59375</v>
      </c>
      <c r="G37" s="59">
        <f t="shared" si="9"/>
        <v>-5.1749999999999989</v>
      </c>
      <c r="H37" s="59">
        <f t="shared" si="9"/>
        <v>-5.692499999999999</v>
      </c>
      <c r="I37" s="59">
        <f t="shared" si="9"/>
        <v>-6.1016484375000006</v>
      </c>
      <c r="J37" s="59">
        <f t="shared" si="9"/>
        <v>-6.2236814062500025</v>
      </c>
    </row>
    <row r="38" spans="2:12" s="10" customFormat="1" ht="14.4" x14ac:dyDescent="0.3">
      <c r="B38" s="29" t="s">
        <v>23</v>
      </c>
      <c r="C38" s="21"/>
      <c r="D38" s="32">
        <v>0.05</v>
      </c>
      <c r="E38" s="32">
        <v>0.05</v>
      </c>
      <c r="F38" s="32">
        <v>4.9999999999999996E-2</v>
      </c>
      <c r="G38" s="32">
        <v>0.05</v>
      </c>
      <c r="H38" s="32">
        <v>0.05</v>
      </c>
      <c r="I38" s="32">
        <v>0.05</v>
      </c>
      <c r="J38" s="32">
        <v>5.000000000000001E-2</v>
      </c>
      <c r="K38" s="2"/>
    </row>
    <row r="39" spans="2:12" x14ac:dyDescent="0.25">
      <c r="B39" s="12" t="s">
        <v>4</v>
      </c>
      <c r="C39" s="12"/>
      <c r="D39" s="61">
        <f>D32*D40</f>
        <v>-1.0780000000000001</v>
      </c>
      <c r="E39" s="61">
        <f t="shared" ref="E39:J39" si="10">E32*E40</f>
        <v>-1.47</v>
      </c>
      <c r="F39" s="61">
        <f t="shared" si="10"/>
        <v>-1.8375000000000001</v>
      </c>
      <c r="G39" s="61">
        <f t="shared" si="10"/>
        <v>-2.0699999999999994</v>
      </c>
      <c r="H39" s="61">
        <f t="shared" si="10"/>
        <v>-2.2769999999999997</v>
      </c>
      <c r="I39" s="61">
        <f t="shared" si="10"/>
        <v>-2.4406593750000001</v>
      </c>
      <c r="J39" s="61">
        <f t="shared" si="10"/>
        <v>-2.4894725625000005</v>
      </c>
    </row>
    <row r="40" spans="2:12" s="10" customFormat="1" ht="14.4" x14ac:dyDescent="0.3">
      <c r="B40" s="29" t="s">
        <v>24</v>
      </c>
      <c r="C40" s="21"/>
      <c r="D40" s="32">
        <v>0.02</v>
      </c>
      <c r="E40" s="32">
        <v>0.02</v>
      </c>
      <c r="F40" s="32">
        <v>0.02</v>
      </c>
      <c r="G40" s="32">
        <v>0.02</v>
      </c>
      <c r="H40" s="32">
        <v>0.02</v>
      </c>
      <c r="I40" s="32">
        <v>0.02</v>
      </c>
      <c r="J40" s="32">
        <v>0.02</v>
      </c>
      <c r="K40" s="2"/>
    </row>
    <row r="41" spans="2:12" x14ac:dyDescent="0.25">
      <c r="B41" s="14"/>
      <c r="C41" s="14"/>
      <c r="D41" s="28"/>
      <c r="E41" s="28"/>
      <c r="F41" s="28"/>
      <c r="G41" s="28"/>
      <c r="H41" s="28"/>
      <c r="I41" s="28"/>
      <c r="J41" s="28"/>
    </row>
    <row r="42" spans="2:12" s="33" customFormat="1" x14ac:dyDescent="0.25">
      <c r="B42" s="14" t="s">
        <v>7</v>
      </c>
      <c r="C42" s="14"/>
      <c r="D42" s="56">
        <f>D34+D37+D39</f>
        <v>76.085319200000015</v>
      </c>
      <c r="E42" s="56">
        <f t="shared" ref="E42:J42" si="11">E34+E37+E39</f>
        <v>80.788523600000033</v>
      </c>
      <c r="F42" s="56">
        <f t="shared" si="11"/>
        <v>96.010076749999996</v>
      </c>
      <c r="G42" s="56">
        <f t="shared" si="11"/>
        <v>110.54788328000005</v>
      </c>
      <c r="H42" s="56">
        <f t="shared" si="11"/>
        <v>140.38083364000005</v>
      </c>
      <c r="I42" s="56">
        <f t="shared" si="11"/>
        <v>144.15195543750002</v>
      </c>
      <c r="J42" s="56">
        <f t="shared" si="11"/>
        <v>150.77899124625</v>
      </c>
      <c r="K42" s="24"/>
    </row>
    <row r="43" spans="2:12" x14ac:dyDescent="0.25">
      <c r="B43" s="12"/>
      <c r="C43" s="12"/>
      <c r="D43" s="26"/>
      <c r="E43" s="22"/>
      <c r="F43" s="22"/>
      <c r="G43" s="22"/>
      <c r="H43" s="22"/>
      <c r="I43" s="22"/>
      <c r="J43" s="22"/>
    </row>
    <row r="44" spans="2:12" x14ac:dyDescent="0.25">
      <c r="B44" s="12" t="s">
        <v>6</v>
      </c>
      <c r="C44" s="12"/>
      <c r="D44" s="53">
        <v>0</v>
      </c>
      <c r="E44" s="53">
        <v>0</v>
      </c>
      <c r="F44" s="53">
        <v>0</v>
      </c>
      <c r="G44" s="53">
        <v>0</v>
      </c>
      <c r="H44" s="53">
        <v>0</v>
      </c>
      <c r="I44" s="53">
        <v>0</v>
      </c>
      <c r="J44" s="53">
        <v>0</v>
      </c>
    </row>
    <row r="45" spans="2:12" x14ac:dyDescent="0.25">
      <c r="B45" s="12" t="s">
        <v>26</v>
      </c>
      <c r="C45" s="27">
        <v>40</v>
      </c>
      <c r="D45" s="61">
        <v>0</v>
      </c>
      <c r="E45" s="61">
        <v>0</v>
      </c>
      <c r="F45" s="61">
        <v>0</v>
      </c>
      <c r="G45" s="61">
        <v>0</v>
      </c>
      <c r="H45" s="61">
        <v>0</v>
      </c>
      <c r="I45" s="61">
        <v>0</v>
      </c>
      <c r="J45" s="131">
        <v>0</v>
      </c>
    </row>
    <row r="46" spans="2:12" x14ac:dyDescent="0.25">
      <c r="B46" s="34" t="s">
        <v>15</v>
      </c>
      <c r="C46" s="35"/>
      <c r="D46" s="61">
        <f>-(D42-C45)*D47</f>
        <v>-14.434127680000007</v>
      </c>
      <c r="E46" s="61">
        <f t="shared" ref="E46:J46" si="12">-(E42-D45)*E47</f>
        <v>-32.315409440000018</v>
      </c>
      <c r="F46" s="61">
        <f t="shared" si="12"/>
        <v>-38.4040307</v>
      </c>
      <c r="G46" s="61">
        <f t="shared" si="12"/>
        <v>-44.219153312000024</v>
      </c>
      <c r="H46" s="61">
        <f t="shared" si="12"/>
        <v>-56.152333456000022</v>
      </c>
      <c r="I46" s="61">
        <f t="shared" si="12"/>
        <v>-57.660782175000008</v>
      </c>
      <c r="J46" s="61">
        <f t="shared" si="12"/>
        <v>-60.311596498500002</v>
      </c>
      <c r="L46" s="36"/>
    </row>
    <row r="47" spans="2:12" s="10" customFormat="1" ht="14.4" x14ac:dyDescent="0.3">
      <c r="B47" s="29" t="s">
        <v>27</v>
      </c>
      <c r="C47" s="37"/>
      <c r="D47" s="32">
        <f>40%</f>
        <v>0.4</v>
      </c>
      <c r="E47" s="32">
        <f>40%</f>
        <v>0.4</v>
      </c>
      <c r="F47" s="32">
        <f>40%</f>
        <v>0.4</v>
      </c>
      <c r="G47" s="32">
        <f>40%</f>
        <v>0.4</v>
      </c>
      <c r="H47" s="32">
        <f>40%</f>
        <v>0.4</v>
      </c>
      <c r="I47" s="32">
        <f>40%</f>
        <v>0.4</v>
      </c>
      <c r="J47" s="32">
        <f>40%</f>
        <v>0.4</v>
      </c>
      <c r="K47" s="2"/>
    </row>
    <row r="48" spans="2:12" x14ac:dyDescent="0.25">
      <c r="B48" s="34"/>
      <c r="C48" s="35"/>
      <c r="D48" s="31"/>
      <c r="E48" s="31"/>
      <c r="F48" s="31"/>
      <c r="G48" s="31"/>
      <c r="H48" s="31"/>
      <c r="I48" s="31"/>
      <c r="J48" s="31"/>
    </row>
    <row r="49" spans="2:17" s="33" customFormat="1" x14ac:dyDescent="0.25">
      <c r="B49" s="14" t="s">
        <v>9</v>
      </c>
      <c r="C49" s="14"/>
      <c r="D49" s="54">
        <f>D42+D44+D46</f>
        <v>61.651191520000012</v>
      </c>
      <c r="E49" s="54">
        <f t="shared" ref="E49:J49" si="13">E42+E44+E46</f>
        <v>48.473114160000016</v>
      </c>
      <c r="F49" s="54">
        <f t="shared" si="13"/>
        <v>57.606046049999996</v>
      </c>
      <c r="G49" s="54">
        <f t="shared" si="13"/>
        <v>66.328729968000033</v>
      </c>
      <c r="H49" s="54">
        <f t="shared" si="13"/>
        <v>84.228500184000026</v>
      </c>
      <c r="I49" s="54">
        <f t="shared" si="13"/>
        <v>86.491173262500013</v>
      </c>
      <c r="J49" s="54">
        <f t="shared" si="13"/>
        <v>90.467394747750006</v>
      </c>
      <c r="K49" s="24"/>
    </row>
    <row r="50" spans="2:17" x14ac:dyDescent="0.25">
      <c r="C50" s="50"/>
      <c r="D50" s="50"/>
      <c r="E50" s="14"/>
      <c r="F50" s="33"/>
      <c r="G50" s="38"/>
      <c r="H50" s="38"/>
    </row>
    <row r="51" spans="2:17" x14ac:dyDescent="0.25">
      <c r="B51" s="51" t="s">
        <v>28</v>
      </c>
      <c r="C51" s="51"/>
      <c r="D51" s="51"/>
      <c r="E51" s="51"/>
      <c r="F51" s="51"/>
      <c r="G51" s="51"/>
      <c r="H51" s="51"/>
      <c r="I51" s="51"/>
      <c r="J51" s="51"/>
      <c r="K51" s="52"/>
      <c r="P51" s="39"/>
      <c r="Q51" s="14"/>
    </row>
    <row r="52" spans="2:17" s="10" customFormat="1" ht="14.4" x14ac:dyDescent="0.3">
      <c r="D52" s="40"/>
      <c r="E52" s="40"/>
      <c r="F52" s="41"/>
      <c r="G52" s="41"/>
      <c r="H52" s="41"/>
      <c r="I52" s="41"/>
      <c r="J52" s="41"/>
      <c r="K52" s="42"/>
    </row>
    <row r="53" spans="2:17" s="10" customFormat="1" ht="14.4" customHeight="1" x14ac:dyDescent="0.3">
      <c r="B53" s="6" t="s">
        <v>20</v>
      </c>
      <c r="C53" s="6"/>
      <c r="D53" s="43">
        <v>2020</v>
      </c>
      <c r="E53" s="7">
        <f>D53+1</f>
        <v>2021</v>
      </c>
      <c r="F53" s="8">
        <f t="shared" ref="F53:J53" si="14">E53+1</f>
        <v>2022</v>
      </c>
      <c r="G53" s="8">
        <f t="shared" si="14"/>
        <v>2023</v>
      </c>
      <c r="H53" s="8">
        <f t="shared" si="14"/>
        <v>2024</v>
      </c>
      <c r="I53" s="8">
        <f t="shared" si="14"/>
        <v>2025</v>
      </c>
      <c r="J53" s="8">
        <f t="shared" si="14"/>
        <v>2026</v>
      </c>
      <c r="K53" s="42"/>
    </row>
    <row r="54" spans="2:17" x14ac:dyDescent="0.25">
      <c r="B54" s="1" t="s">
        <v>8</v>
      </c>
      <c r="C54" s="12"/>
      <c r="D54" s="63">
        <f>D34</f>
        <v>79.858319200000011</v>
      </c>
      <c r="E54" s="63">
        <f t="shared" ref="E54:J54" si="15">E34</f>
        <v>85.933523600000029</v>
      </c>
      <c r="F54" s="63">
        <f t="shared" si="15"/>
        <v>102.44132675</v>
      </c>
      <c r="G54" s="63">
        <f t="shared" si="15"/>
        <v>117.79288328000004</v>
      </c>
      <c r="H54" s="63">
        <f t="shared" si="15"/>
        <v>148.35033364000003</v>
      </c>
      <c r="I54" s="63">
        <f t="shared" si="15"/>
        <v>152.69426325000001</v>
      </c>
      <c r="J54" s="63">
        <f t="shared" si="15"/>
        <v>159.49214521499999</v>
      </c>
    </row>
    <row r="55" spans="2:17" x14ac:dyDescent="0.25">
      <c r="B55" s="1" t="s">
        <v>33</v>
      </c>
      <c r="C55" s="14"/>
      <c r="D55" s="64">
        <v>6</v>
      </c>
      <c r="E55" s="65">
        <f>-(E21-D21)*E56</f>
        <v>-2.2351811999999995</v>
      </c>
      <c r="F55" s="65">
        <f t="shared" ref="F55:J55" si="16">-(F21-E21)*F56</f>
        <v>-3.2312408500000007</v>
      </c>
      <c r="G55" s="65">
        <f t="shared" si="16"/>
        <v>-2.5546183499999984</v>
      </c>
      <c r="H55" s="65">
        <f t="shared" si="16"/>
        <v>-4.1859503000000018</v>
      </c>
      <c r="I55" s="65">
        <f t="shared" si="16"/>
        <v>-0.72139609999999843</v>
      </c>
      <c r="J55" s="65">
        <f t="shared" si="16"/>
        <v>-0.72359459999999565</v>
      </c>
    </row>
    <row r="56" spans="2:17" s="10" customFormat="1" ht="14.4" x14ac:dyDescent="0.3">
      <c r="B56" s="29" t="s">
        <v>34</v>
      </c>
      <c r="C56" s="21"/>
      <c r="D56" s="44">
        <v>0.1</v>
      </c>
      <c r="E56" s="44">
        <v>0.1</v>
      </c>
      <c r="F56" s="44">
        <v>0.1</v>
      </c>
      <c r="G56" s="44">
        <v>0.1</v>
      </c>
      <c r="H56" s="44">
        <v>0.1</v>
      </c>
      <c r="I56" s="44">
        <v>0.1</v>
      </c>
      <c r="J56" s="44">
        <v>0.1</v>
      </c>
      <c r="K56" s="45"/>
      <c r="L56" s="45"/>
    </row>
    <row r="57" spans="2:17" x14ac:dyDescent="0.25">
      <c r="B57" s="1" t="s">
        <v>44</v>
      </c>
      <c r="C57" s="12"/>
      <c r="D57" s="63">
        <f>D46</f>
        <v>-14.434127680000007</v>
      </c>
      <c r="E57" s="63">
        <f t="shared" ref="E57:J57" si="17">E46</f>
        <v>-32.315409440000018</v>
      </c>
      <c r="F57" s="63">
        <f t="shared" si="17"/>
        <v>-38.4040307</v>
      </c>
      <c r="G57" s="63">
        <f t="shared" si="17"/>
        <v>-44.219153312000024</v>
      </c>
      <c r="H57" s="63">
        <f t="shared" si="17"/>
        <v>-56.152333456000022</v>
      </c>
      <c r="I57" s="63">
        <f t="shared" si="17"/>
        <v>-57.660782175000008</v>
      </c>
      <c r="J57" s="63">
        <f t="shared" si="17"/>
        <v>-60.311596498500002</v>
      </c>
    </row>
    <row r="58" spans="2:17" s="33" customFormat="1" x14ac:dyDescent="0.25">
      <c r="B58" s="33" t="s">
        <v>29</v>
      </c>
      <c r="C58" s="14"/>
      <c r="D58" s="66">
        <f>D54+D55+D57</f>
        <v>71.424191520000008</v>
      </c>
      <c r="E58" s="66">
        <f>E54+E55+E57</f>
        <v>51.382932960000012</v>
      </c>
      <c r="F58" s="66">
        <f t="shared" ref="E58:J58" si="18">F54+F55+F57</f>
        <v>60.806055199999996</v>
      </c>
      <c r="G58" s="66">
        <f t="shared" si="18"/>
        <v>71.019111618000011</v>
      </c>
      <c r="H58" s="66">
        <f t="shared" si="18"/>
        <v>88.012049884000007</v>
      </c>
      <c r="I58" s="66">
        <f t="shared" si="18"/>
        <v>94.312084975000005</v>
      </c>
      <c r="J58" s="66">
        <f t="shared" si="18"/>
        <v>98.456954116500015</v>
      </c>
      <c r="K58" s="24"/>
    </row>
    <row r="59" spans="2:17" x14ac:dyDescent="0.25">
      <c r="C59" s="14"/>
      <c r="D59" s="14"/>
      <c r="E59" s="14"/>
      <c r="F59" s="33"/>
      <c r="G59" s="38"/>
      <c r="H59" s="38"/>
    </row>
    <row r="60" spans="2:17" x14ac:dyDescent="0.25">
      <c r="B60" s="1" t="s">
        <v>30</v>
      </c>
      <c r="C60" s="12"/>
      <c r="D60" s="67">
        <v>-5.3900000000000006</v>
      </c>
      <c r="E60" s="67">
        <v>-7.3500000000000005</v>
      </c>
      <c r="F60" s="67">
        <v>-8.2687499999999989</v>
      </c>
      <c r="G60" s="67">
        <v>-9.3149999999999977</v>
      </c>
      <c r="H60" s="67">
        <v>-9.1079999999999988</v>
      </c>
      <c r="I60" s="67">
        <v>-9.7626375000000003</v>
      </c>
      <c r="J60" s="67">
        <v>-8.713153968750003</v>
      </c>
    </row>
    <row r="61" spans="2:17" s="33" customFormat="1" x14ac:dyDescent="0.25">
      <c r="B61" s="33" t="s">
        <v>31</v>
      </c>
      <c r="C61" s="14"/>
      <c r="D61" s="66">
        <f>D60</f>
        <v>-5.3900000000000006</v>
      </c>
      <c r="E61" s="66">
        <f t="shared" ref="E61:J61" si="19">E60</f>
        <v>-7.3500000000000005</v>
      </c>
      <c r="F61" s="66">
        <f t="shared" si="19"/>
        <v>-8.2687499999999989</v>
      </c>
      <c r="G61" s="66">
        <f t="shared" si="19"/>
        <v>-9.3149999999999977</v>
      </c>
      <c r="H61" s="66">
        <f t="shared" si="19"/>
        <v>-9.1079999999999988</v>
      </c>
      <c r="I61" s="66">
        <f t="shared" si="19"/>
        <v>-9.7626375000000003</v>
      </c>
      <c r="J61" s="66">
        <f t="shared" si="19"/>
        <v>-8.713153968750003</v>
      </c>
      <c r="K61" s="24"/>
      <c r="O61" s="1"/>
    </row>
    <row r="62" spans="2:17" x14ac:dyDescent="0.25">
      <c r="C62" s="14"/>
      <c r="D62" s="66"/>
      <c r="E62" s="66"/>
      <c r="F62" s="66"/>
      <c r="G62" s="66"/>
      <c r="H62" s="66"/>
      <c r="I62" s="68"/>
      <c r="J62" s="68"/>
    </row>
    <row r="63" spans="2:17" x14ac:dyDescent="0.25">
      <c r="B63" s="1" t="s">
        <v>32</v>
      </c>
      <c r="C63" s="14"/>
      <c r="D63" s="67">
        <v>-5</v>
      </c>
      <c r="E63" s="67">
        <v>-10</v>
      </c>
      <c r="F63" s="67">
        <v>-15</v>
      </c>
      <c r="G63" s="67">
        <v>-30</v>
      </c>
      <c r="H63" s="67">
        <v>-40</v>
      </c>
      <c r="I63" s="67">
        <v>-100</v>
      </c>
      <c r="J63" s="67">
        <v>-50</v>
      </c>
    </row>
    <row r="64" spans="2:17" s="33" customFormat="1" x14ac:dyDescent="0.25">
      <c r="B64" s="33" t="s">
        <v>16</v>
      </c>
      <c r="C64" s="14"/>
      <c r="D64" s="66">
        <f>D63</f>
        <v>-5</v>
      </c>
      <c r="E64" s="66">
        <f t="shared" ref="E64:J64" si="20">E63</f>
        <v>-10</v>
      </c>
      <c r="F64" s="66">
        <f t="shared" si="20"/>
        <v>-15</v>
      </c>
      <c r="G64" s="66">
        <f t="shared" si="20"/>
        <v>-30</v>
      </c>
      <c r="H64" s="66">
        <f t="shared" si="20"/>
        <v>-40</v>
      </c>
      <c r="I64" s="66">
        <f t="shared" si="20"/>
        <v>-100</v>
      </c>
      <c r="J64" s="66">
        <f t="shared" si="20"/>
        <v>-50</v>
      </c>
      <c r="K64" s="24"/>
    </row>
    <row r="65" spans="2:11" x14ac:dyDescent="0.25">
      <c r="C65" s="14"/>
      <c r="D65" s="66"/>
      <c r="E65" s="66"/>
      <c r="F65" s="66"/>
      <c r="G65" s="66"/>
      <c r="H65" s="66"/>
      <c r="I65" s="68"/>
      <c r="J65" s="68"/>
    </row>
    <row r="66" spans="2:11" s="33" customFormat="1" x14ac:dyDescent="0.25">
      <c r="B66" s="33" t="s">
        <v>35</v>
      </c>
      <c r="C66" s="14"/>
      <c r="D66" s="66">
        <f>D58+D61+D64</f>
        <v>61.034191520000007</v>
      </c>
      <c r="E66" s="66">
        <f t="shared" ref="E66:J66" si="21">E58+E61+E64</f>
        <v>34.032932960000011</v>
      </c>
      <c r="F66" s="66">
        <f t="shared" si="21"/>
        <v>37.537305199999999</v>
      </c>
      <c r="G66" s="66">
        <f t="shared" si="21"/>
        <v>31.704111618000013</v>
      </c>
      <c r="H66" s="66">
        <f t="shared" si="21"/>
        <v>38.904049884000003</v>
      </c>
      <c r="I66" s="66">
        <f t="shared" si="21"/>
        <v>-15.450552524999992</v>
      </c>
      <c r="J66" s="66">
        <f t="shared" si="21"/>
        <v>39.743800147750008</v>
      </c>
      <c r="K66" s="24"/>
    </row>
    <row r="67" spans="2:11" x14ac:dyDescent="0.25">
      <c r="C67" s="14"/>
      <c r="D67" s="14"/>
      <c r="E67" s="14"/>
      <c r="F67" s="33"/>
      <c r="G67" s="38"/>
      <c r="H67" s="38"/>
    </row>
    <row r="68" spans="2:11" x14ac:dyDescent="0.25">
      <c r="B68" s="51" t="s">
        <v>39</v>
      </c>
      <c r="C68" s="51"/>
      <c r="D68" s="51"/>
      <c r="E68" s="51"/>
      <c r="F68" s="51"/>
      <c r="G68" s="51"/>
      <c r="H68" s="51"/>
      <c r="I68" s="51"/>
      <c r="J68" s="51"/>
      <c r="K68" s="52"/>
    </row>
    <row r="69" spans="2:11" x14ac:dyDescent="0.25">
      <c r="C69" s="14"/>
      <c r="D69" s="14"/>
      <c r="E69" s="14"/>
      <c r="F69" s="33"/>
      <c r="G69" s="38"/>
      <c r="H69" s="38"/>
    </row>
    <row r="70" spans="2:11" ht="14.4" x14ac:dyDescent="0.3">
      <c r="B70" s="6" t="s">
        <v>20</v>
      </c>
      <c r="C70" s="6"/>
      <c r="D70" s="7">
        <v>2020</v>
      </c>
      <c r="E70" s="7">
        <f>D70+1</f>
        <v>2021</v>
      </c>
      <c r="F70" s="8">
        <f t="shared" ref="F70" si="22">E70+1</f>
        <v>2022</v>
      </c>
      <c r="G70" s="8">
        <f t="shared" ref="G70" si="23">F70+1</f>
        <v>2023</v>
      </c>
      <c r="H70" s="8">
        <f t="shared" ref="H70" si="24">G70+1</f>
        <v>2024</v>
      </c>
      <c r="I70" s="8">
        <f t="shared" ref="I70" si="25">H70+1</f>
        <v>2025</v>
      </c>
      <c r="J70" s="8">
        <f t="shared" ref="J70" si="26">I70+1</f>
        <v>2026</v>
      </c>
    </row>
    <row r="71" spans="2:11" x14ac:dyDescent="0.25">
      <c r="B71" s="1" t="s">
        <v>43</v>
      </c>
      <c r="C71" s="12"/>
      <c r="D71" s="69">
        <f>D34-D55+D46</f>
        <v>59.424191520000008</v>
      </c>
      <c r="E71" s="69">
        <f t="shared" ref="E71:I71" si="27">E34-E55+E46</f>
        <v>55.853295360000011</v>
      </c>
      <c r="F71" s="69">
        <f t="shared" si="27"/>
        <v>67.268536900000015</v>
      </c>
      <c r="G71" s="69">
        <f t="shared" si="27"/>
        <v>76.128348318000008</v>
      </c>
      <c r="H71" s="69">
        <f t="shared" si="27"/>
        <v>96.38395048400001</v>
      </c>
      <c r="I71" s="69">
        <f t="shared" si="27"/>
        <v>95.75487717499999</v>
      </c>
      <c r="J71" s="69">
        <f>J34-J55+J46</f>
        <v>99.904143316499983</v>
      </c>
    </row>
    <row r="72" spans="2:11" x14ac:dyDescent="0.25">
      <c r="C72" s="14"/>
      <c r="D72" s="14"/>
      <c r="E72" s="14"/>
      <c r="F72" s="33"/>
      <c r="G72" s="38"/>
      <c r="H72" s="38"/>
    </row>
    <row r="73" spans="2:11" x14ac:dyDescent="0.25">
      <c r="B73" s="3" t="s">
        <v>36</v>
      </c>
      <c r="C73" s="46"/>
      <c r="D73" s="14"/>
      <c r="E73" s="14"/>
      <c r="F73" s="33"/>
      <c r="G73" s="38"/>
      <c r="H73" s="38"/>
    </row>
    <row r="74" spans="2:11" x14ac:dyDescent="0.25">
      <c r="B74" s="1" t="s">
        <v>37</v>
      </c>
      <c r="C74" s="47">
        <v>0.02</v>
      </c>
      <c r="D74" s="14"/>
      <c r="E74" s="14"/>
      <c r="F74" s="33"/>
      <c r="G74" s="38"/>
      <c r="H74" s="38"/>
    </row>
    <row r="75" spans="2:11" x14ac:dyDescent="0.25">
      <c r="B75" s="1" t="s">
        <v>17</v>
      </c>
      <c r="C75" s="48">
        <v>0.1</v>
      </c>
      <c r="D75" s="14"/>
      <c r="E75" s="14"/>
      <c r="F75" s="33"/>
      <c r="G75" s="38"/>
      <c r="H75" s="38"/>
    </row>
    <row r="76" spans="2:11" x14ac:dyDescent="0.25">
      <c r="C76" s="14"/>
      <c r="D76" s="14"/>
      <c r="E76" s="14"/>
      <c r="F76" s="33"/>
      <c r="G76" s="38"/>
      <c r="H76" s="38"/>
    </row>
    <row r="77" spans="2:11" x14ac:dyDescent="0.25">
      <c r="C77" s="14"/>
      <c r="D77" s="14"/>
      <c r="E77" s="14"/>
      <c r="F77" s="33"/>
      <c r="G77" s="38"/>
      <c r="H77" s="38"/>
    </row>
    <row r="78" spans="2:11" x14ac:dyDescent="0.25">
      <c r="B78" s="1" t="s">
        <v>188</v>
      </c>
      <c r="C78" s="60">
        <f>NPV(C75, F71:J71)</f>
        <v>323.91837665161211</v>
      </c>
      <c r="D78" s="12"/>
      <c r="E78" s="132"/>
      <c r="G78" s="49"/>
      <c r="H78" s="49"/>
    </row>
    <row r="79" spans="2:11" x14ac:dyDescent="0.25">
      <c r="B79" s="3" t="s">
        <v>18</v>
      </c>
      <c r="C79" s="70">
        <f>((J71*(1+C74))/(C75-C74))/((1+C75)^4)</f>
        <v>870.00739518159583</v>
      </c>
      <c r="D79" s="14"/>
      <c r="E79" s="14"/>
      <c r="F79" s="33"/>
      <c r="G79" s="38"/>
      <c r="H79" s="38"/>
    </row>
    <row r="80" spans="2:11" s="33" customFormat="1" x14ac:dyDescent="0.25">
      <c r="B80" s="33" t="s">
        <v>38</v>
      </c>
      <c r="C80" s="66">
        <f>SUM(C78:C79)</f>
        <v>1193.9257718332078</v>
      </c>
      <c r="D80" s="14"/>
      <c r="E80" s="14"/>
      <c r="G80" s="38"/>
      <c r="H80" s="38"/>
      <c r="K80" s="24"/>
    </row>
    <row r="82" spans="2:3" x14ac:dyDescent="0.25">
      <c r="B82" s="71" t="s">
        <v>138</v>
      </c>
      <c r="C82" s="99">
        <f>'Multiples competitors'!G13</f>
        <v>3.7</v>
      </c>
    </row>
    <row r="83" spans="2:3" x14ac:dyDescent="0.25">
      <c r="B83" s="3" t="s">
        <v>0</v>
      </c>
      <c r="C83" s="100">
        <f>F21</f>
        <v>277.59475250000003</v>
      </c>
    </row>
    <row r="84" spans="2:3" x14ac:dyDescent="0.25">
      <c r="B84" s="33" t="s">
        <v>38</v>
      </c>
      <c r="C84" s="66">
        <f>+C82*C83</f>
        <v>1027.1005842500001</v>
      </c>
    </row>
    <row r="86" spans="2:3" x14ac:dyDescent="0.25">
      <c r="B86" s="71" t="s">
        <v>139</v>
      </c>
      <c r="C86" s="99">
        <f>'Multiples competitors'!J13</f>
        <v>10.3</v>
      </c>
    </row>
    <row r="87" spans="2:3" x14ac:dyDescent="0.25">
      <c r="B87" s="3" t="s">
        <v>8</v>
      </c>
      <c r="C87" s="100">
        <f>F34</f>
        <v>102.44132675</v>
      </c>
    </row>
    <row r="88" spans="2:3" x14ac:dyDescent="0.25">
      <c r="B88" s="33" t="s">
        <v>38</v>
      </c>
      <c r="C88" s="66">
        <f>+C86*C87</f>
        <v>1055.1456655250001</v>
      </c>
    </row>
  </sheetData>
  <mergeCells count="2">
    <mergeCell ref="B10:K10"/>
    <mergeCell ref="B5:K6"/>
  </mergeCells>
  <pageMargins left="0.7" right="0.7" top="0.75" bottom="0.75" header="0.3" footer="0.3"/>
  <pageSetup scale="4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DDC0-D57E-4B6B-9167-20B896D5E1C3}">
  <sheetPr>
    <tabColor theme="6" tint="0.79998168889431442"/>
  </sheetPr>
  <dimension ref="A1"/>
  <sheetViews>
    <sheetView showGridLines="0" workbookViewId="0"/>
  </sheetViews>
  <sheetFormatPr baseColWidth="10" defaultColWidth="8.88671875" defaultRowHeight="14.4" x14ac:dyDescent="0.3"/>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5D13-ABA4-46BD-8571-728835E9B9E0}">
  <dimension ref="B3:Q242"/>
  <sheetViews>
    <sheetView showGridLines="0" view="pageBreakPreview" topLeftCell="A2" zoomScale="83" zoomScaleNormal="100" zoomScaleSheetLayoutView="100" workbookViewId="0">
      <selection activeCell="L3" sqref="L3"/>
    </sheetView>
  </sheetViews>
  <sheetFormatPr baseColWidth="10" defaultColWidth="8.88671875" defaultRowHeight="14.4" x14ac:dyDescent="0.3"/>
  <cols>
    <col min="2" max="2" width="79.6640625" bestFit="1" customWidth="1"/>
    <col min="3" max="3" width="15.6640625" bestFit="1" customWidth="1"/>
    <col min="5" max="5" width="15.33203125" bestFit="1" customWidth="1"/>
    <col min="11" max="11" width="10" bestFit="1" customWidth="1"/>
  </cols>
  <sheetData>
    <row r="3" spans="2:17" ht="15" thickBot="1" x14ac:dyDescent="0.35">
      <c r="B3" s="72" t="s">
        <v>48</v>
      </c>
      <c r="C3" s="72" t="s">
        <v>111</v>
      </c>
      <c r="D3" s="72" t="s">
        <v>115</v>
      </c>
      <c r="E3" s="72" t="s">
        <v>116</v>
      </c>
      <c r="K3" s="7">
        <v>2020</v>
      </c>
      <c r="L3" s="7">
        <f>K3+1</f>
        <v>2021</v>
      </c>
      <c r="M3" s="8">
        <f t="shared" ref="M3:Q3" si="0">L3+1</f>
        <v>2022</v>
      </c>
      <c r="N3" s="8">
        <f t="shared" si="0"/>
        <v>2023</v>
      </c>
      <c r="O3" s="8">
        <f t="shared" si="0"/>
        <v>2024</v>
      </c>
      <c r="P3" s="8">
        <f t="shared" si="0"/>
        <v>2025</v>
      </c>
      <c r="Q3" s="8">
        <f t="shared" si="0"/>
        <v>2026</v>
      </c>
    </row>
    <row r="4" spans="2:17" x14ac:dyDescent="0.3">
      <c r="B4" s="125" t="s">
        <v>49</v>
      </c>
      <c r="C4" s="126" t="s">
        <v>112</v>
      </c>
      <c r="D4" s="126">
        <v>2020</v>
      </c>
      <c r="E4" s="118">
        <v>1944315</v>
      </c>
      <c r="H4" s="74" t="s">
        <v>117</v>
      </c>
      <c r="K4" s="62">
        <f>+SUMIF($D$4:$D$239,K3,$E$4:$E$239)/1000000</f>
        <v>222.93053200000003</v>
      </c>
      <c r="L4" s="62">
        <f t="shared" ref="L4:Q4" si="1">+SUMIF($D$4:$D$239,L3,$E$4:$E$239)/1000000</f>
        <v>245.28234399999999</v>
      </c>
      <c r="M4" s="62">
        <f t="shared" si="1"/>
        <v>277.59475250000003</v>
      </c>
      <c r="N4" s="62">
        <f t="shared" si="1"/>
        <v>303.14093600000001</v>
      </c>
      <c r="O4" s="62">
        <f t="shared" si="1"/>
        <v>345.00043899999997</v>
      </c>
      <c r="P4" s="62">
        <f t="shared" si="1"/>
        <v>352.21440000000001</v>
      </c>
      <c r="Q4" s="62">
        <f t="shared" si="1"/>
        <v>359.45034600000002</v>
      </c>
    </row>
    <row r="5" spans="2:17" x14ac:dyDescent="0.3">
      <c r="B5" s="125" t="s">
        <v>50</v>
      </c>
      <c r="C5" s="126" t="s">
        <v>113</v>
      </c>
      <c r="D5" s="126">
        <v>2021</v>
      </c>
      <c r="E5" s="118">
        <v>1958018</v>
      </c>
    </row>
    <row r="6" spans="2:17" x14ac:dyDescent="0.3">
      <c r="B6" s="125" t="s">
        <v>51</v>
      </c>
      <c r="C6" s="126" t="s">
        <v>112</v>
      </c>
      <c r="D6" s="126">
        <v>2026</v>
      </c>
      <c r="E6" s="118">
        <f>38155818-38000000</f>
        <v>155818</v>
      </c>
      <c r="K6" s="75"/>
      <c r="L6" s="75"/>
      <c r="M6" s="75"/>
      <c r="N6" s="75"/>
      <c r="O6" s="75"/>
      <c r="P6" s="75"/>
      <c r="Q6" s="75"/>
    </row>
    <row r="7" spans="2:17" x14ac:dyDescent="0.3">
      <c r="B7" s="125" t="s">
        <v>52</v>
      </c>
      <c r="C7" s="126" t="s">
        <v>114</v>
      </c>
      <c r="D7" s="126">
        <v>2020</v>
      </c>
      <c r="E7" s="118">
        <v>74695402</v>
      </c>
      <c r="K7" s="75"/>
      <c r="L7" s="75"/>
      <c r="M7" s="75"/>
      <c r="N7" s="75"/>
      <c r="O7" s="75"/>
      <c r="P7" s="75"/>
      <c r="Q7" s="75"/>
    </row>
    <row r="8" spans="2:17" x14ac:dyDescent="0.3">
      <c r="B8" s="125" t="s">
        <v>53</v>
      </c>
      <c r="C8" s="126" t="s">
        <v>112</v>
      </c>
      <c r="D8" s="126">
        <v>2021</v>
      </c>
      <c r="E8" s="118">
        <v>2994670</v>
      </c>
      <c r="K8" s="75"/>
      <c r="L8" s="75"/>
      <c r="M8" s="75"/>
      <c r="N8" s="75"/>
      <c r="O8" s="75"/>
      <c r="P8" s="75"/>
      <c r="Q8" s="75"/>
    </row>
    <row r="9" spans="2:17" x14ac:dyDescent="0.3">
      <c r="B9" s="125" t="s">
        <v>54</v>
      </c>
      <c r="C9" s="126" t="s">
        <v>113</v>
      </c>
      <c r="D9" s="126">
        <v>2023</v>
      </c>
      <c r="E9" s="118">
        <f>9046700-9000000</f>
        <v>46700</v>
      </c>
    </row>
    <row r="10" spans="2:17" x14ac:dyDescent="0.3">
      <c r="B10" s="125" t="s">
        <v>55</v>
      </c>
      <c r="C10" s="126" t="s">
        <v>112</v>
      </c>
      <c r="D10" s="126">
        <v>2026</v>
      </c>
      <c r="E10" s="118">
        <v>22035</v>
      </c>
    </row>
    <row r="11" spans="2:17" x14ac:dyDescent="0.3">
      <c r="B11" s="125" t="s">
        <v>56</v>
      </c>
      <c r="C11" s="126" t="s">
        <v>113</v>
      </c>
      <c r="D11" s="126">
        <v>2026</v>
      </c>
      <c r="E11" s="118">
        <v>137809</v>
      </c>
    </row>
    <row r="12" spans="2:17" x14ac:dyDescent="0.3">
      <c r="B12" s="125" t="s">
        <v>57</v>
      </c>
      <c r="C12" s="126" t="s">
        <v>114</v>
      </c>
      <c r="D12" s="126">
        <v>2026</v>
      </c>
      <c r="E12" s="118">
        <f>38000000+287</f>
        <v>38000287</v>
      </c>
    </row>
    <row r="13" spans="2:17" x14ac:dyDescent="0.3">
      <c r="B13" s="125" t="s">
        <v>58</v>
      </c>
      <c r="C13" s="126" t="s">
        <v>113</v>
      </c>
      <c r="D13" s="126">
        <v>2022</v>
      </c>
      <c r="E13" s="118">
        <v>1155</v>
      </c>
    </row>
    <row r="14" spans="2:17" x14ac:dyDescent="0.3">
      <c r="B14" s="125" t="s">
        <v>59</v>
      </c>
      <c r="C14" s="126" t="s">
        <v>114</v>
      </c>
      <c r="D14" s="126">
        <v>2023</v>
      </c>
      <c r="E14" s="118">
        <f>6000000+9000000</f>
        <v>15000000</v>
      </c>
    </row>
    <row r="15" spans="2:17" x14ac:dyDescent="0.3">
      <c r="B15" s="125" t="s">
        <v>60</v>
      </c>
      <c r="C15" s="126" t="s">
        <v>112</v>
      </c>
      <c r="D15" s="126">
        <v>2020</v>
      </c>
      <c r="E15" s="118">
        <v>9</v>
      </c>
    </row>
    <row r="16" spans="2:17" x14ac:dyDescent="0.3">
      <c r="B16" s="125" t="s">
        <v>61</v>
      </c>
      <c r="C16" s="126" t="s">
        <v>113</v>
      </c>
      <c r="D16" s="126">
        <v>2022</v>
      </c>
      <c r="E16" s="118">
        <v>3</v>
      </c>
    </row>
    <row r="17" spans="2:5" x14ac:dyDescent="0.3">
      <c r="B17" s="125" t="s">
        <v>62</v>
      </c>
      <c r="C17" s="126" t="s">
        <v>113</v>
      </c>
      <c r="D17" s="126">
        <v>2023</v>
      </c>
      <c r="E17" s="118">
        <v>4</v>
      </c>
    </row>
    <row r="18" spans="2:5" x14ac:dyDescent="0.3">
      <c r="B18" s="125" t="s">
        <v>63</v>
      </c>
      <c r="C18" s="126" t="s">
        <v>114</v>
      </c>
      <c r="D18" s="126">
        <v>2021</v>
      </c>
      <c r="E18" s="118">
        <v>5030000</v>
      </c>
    </row>
    <row r="19" spans="2:5" x14ac:dyDescent="0.3">
      <c r="B19" s="125" t="s">
        <v>64</v>
      </c>
      <c r="C19" s="126" t="s">
        <v>114</v>
      </c>
      <c r="D19" s="126">
        <v>2021</v>
      </c>
      <c r="E19" s="118">
        <v>5001002</v>
      </c>
    </row>
    <row r="20" spans="2:5" x14ac:dyDescent="0.3">
      <c r="B20" s="125" t="s">
        <v>65</v>
      </c>
      <c r="C20" s="126" t="s">
        <v>112</v>
      </c>
      <c r="D20" s="126">
        <v>2022</v>
      </c>
      <c r="E20" s="118">
        <v>0</v>
      </c>
    </row>
    <row r="21" spans="2:5" x14ac:dyDescent="0.3">
      <c r="B21" s="125" t="s">
        <v>66</v>
      </c>
      <c r="C21" s="126" t="s">
        <v>113</v>
      </c>
      <c r="D21" s="126">
        <v>2021</v>
      </c>
      <c r="E21" s="118">
        <v>10000000</v>
      </c>
    </row>
    <row r="22" spans="2:5" x14ac:dyDescent="0.3">
      <c r="B22" s="125" t="s">
        <v>67</v>
      </c>
      <c r="C22" s="126" t="s">
        <v>112</v>
      </c>
      <c r="D22" s="126">
        <v>2025</v>
      </c>
      <c r="E22" s="118">
        <f>15000000-10000000</f>
        <v>5000000</v>
      </c>
    </row>
    <row r="23" spans="2:5" x14ac:dyDescent="0.3">
      <c r="B23" s="125" t="s">
        <v>68</v>
      </c>
      <c r="C23" s="126" t="s">
        <v>112</v>
      </c>
      <c r="D23" s="126">
        <v>2022</v>
      </c>
      <c r="E23" s="118">
        <v>1335203</v>
      </c>
    </row>
    <row r="24" spans="2:5" x14ac:dyDescent="0.3">
      <c r="B24" s="125" t="s">
        <v>69</v>
      </c>
      <c r="C24" s="126" t="s">
        <v>114</v>
      </c>
      <c r="D24" s="126">
        <v>2025</v>
      </c>
      <c r="E24" s="118">
        <v>11558321</v>
      </c>
    </row>
    <row r="25" spans="2:5" x14ac:dyDescent="0.3">
      <c r="B25" s="125" t="s">
        <v>70</v>
      </c>
      <c r="C25" s="126" t="s">
        <v>114</v>
      </c>
      <c r="D25" s="126">
        <v>2020</v>
      </c>
      <c r="E25" s="118">
        <v>20467755</v>
      </c>
    </row>
    <row r="26" spans="2:5" x14ac:dyDescent="0.3">
      <c r="B26" s="125" t="s">
        <v>71</v>
      </c>
      <c r="C26" s="126" t="s">
        <v>114</v>
      </c>
      <c r="D26" s="126">
        <v>2025</v>
      </c>
      <c r="E26" s="118">
        <v>10696362</v>
      </c>
    </row>
    <row r="27" spans="2:5" x14ac:dyDescent="0.3">
      <c r="B27" s="125" t="s">
        <v>72</v>
      </c>
      <c r="C27" s="126" t="s">
        <v>112</v>
      </c>
      <c r="D27" s="126">
        <v>2024</v>
      </c>
      <c r="E27" s="118">
        <v>1003990</v>
      </c>
    </row>
    <row r="28" spans="2:5" x14ac:dyDescent="0.3">
      <c r="B28" s="125" t="s">
        <v>73</v>
      </c>
      <c r="C28" s="126" t="s">
        <v>113</v>
      </c>
      <c r="D28" s="126">
        <v>2025</v>
      </c>
      <c r="E28" s="118">
        <v>943541</v>
      </c>
    </row>
    <row r="29" spans="2:5" x14ac:dyDescent="0.3">
      <c r="B29" s="125" t="s">
        <v>74</v>
      </c>
      <c r="C29" s="126" t="s">
        <v>114</v>
      </c>
      <c r="D29" s="126">
        <v>2022</v>
      </c>
      <c r="E29" s="118">
        <v>651791</v>
      </c>
    </row>
    <row r="30" spans="2:5" x14ac:dyDescent="0.3">
      <c r="B30" s="125" t="s">
        <v>75</v>
      </c>
      <c r="C30" s="126" t="s">
        <v>114</v>
      </c>
      <c r="D30" s="126">
        <v>2020</v>
      </c>
      <c r="E30" s="118">
        <v>84764</v>
      </c>
    </row>
    <row r="31" spans="2:5" x14ac:dyDescent="0.3">
      <c r="B31" s="125" t="s">
        <v>76</v>
      </c>
      <c r="C31" s="126" t="s">
        <v>114</v>
      </c>
      <c r="D31" s="126">
        <v>2024</v>
      </c>
      <c r="E31" s="118">
        <f>128143+11000000</f>
        <v>11128143</v>
      </c>
    </row>
    <row r="32" spans="2:5" x14ac:dyDescent="0.3">
      <c r="B32" s="125" t="s">
        <v>77</v>
      </c>
      <c r="C32" s="126" t="s">
        <v>114</v>
      </c>
      <c r="D32" s="126">
        <v>2024</v>
      </c>
      <c r="E32" s="118">
        <f>22000000+7235</f>
        <v>22007235</v>
      </c>
    </row>
    <row r="33" spans="2:5" x14ac:dyDescent="0.3">
      <c r="B33" s="125" t="s">
        <v>78</v>
      </c>
      <c r="C33" s="126" t="s">
        <v>112</v>
      </c>
      <c r="D33" s="126">
        <v>2026</v>
      </c>
      <c r="E33" s="118">
        <v>411</v>
      </c>
    </row>
    <row r="34" spans="2:5" x14ac:dyDescent="0.3">
      <c r="B34" s="125" t="s">
        <v>79</v>
      </c>
      <c r="C34" s="126" t="s">
        <v>114</v>
      </c>
      <c r="D34" s="126">
        <v>2023</v>
      </c>
      <c r="E34" s="118">
        <f>75000000+386</f>
        <v>75000386</v>
      </c>
    </row>
    <row r="35" spans="2:5" x14ac:dyDescent="0.3">
      <c r="B35" s="125" t="s">
        <v>80</v>
      </c>
      <c r="C35" s="126" t="s">
        <v>112</v>
      </c>
      <c r="D35" s="126">
        <v>2025</v>
      </c>
      <c r="E35" s="118">
        <v>497</v>
      </c>
    </row>
    <row r="36" spans="2:5" x14ac:dyDescent="0.3">
      <c r="B36" s="125" t="s">
        <v>81</v>
      </c>
      <c r="C36" s="126" t="s">
        <v>112</v>
      </c>
      <c r="D36" s="126">
        <v>2024</v>
      </c>
      <c r="E36" s="118">
        <f>22600000-22000000</f>
        <v>600000</v>
      </c>
    </row>
    <row r="37" spans="2:5" x14ac:dyDescent="0.3">
      <c r="B37" s="125" t="s">
        <v>82</v>
      </c>
      <c r="C37" s="126" t="s">
        <v>112</v>
      </c>
      <c r="D37" s="126">
        <v>2023</v>
      </c>
      <c r="E37" s="118">
        <v>4500000</v>
      </c>
    </row>
    <row r="38" spans="2:5" x14ac:dyDescent="0.3">
      <c r="B38" s="125" t="s">
        <v>83</v>
      </c>
      <c r="C38" s="126" t="s">
        <v>114</v>
      </c>
      <c r="D38" s="126">
        <v>2024</v>
      </c>
      <c r="E38" s="118">
        <v>12000000</v>
      </c>
    </row>
    <row r="39" spans="2:5" x14ac:dyDescent="0.3">
      <c r="B39" s="125" t="s">
        <v>84</v>
      </c>
      <c r="C39" s="126" t="s">
        <v>114</v>
      </c>
      <c r="D39" s="126">
        <v>2023</v>
      </c>
      <c r="E39" s="118">
        <v>10000000</v>
      </c>
    </row>
    <row r="40" spans="2:5" x14ac:dyDescent="0.3">
      <c r="B40" s="125" t="s">
        <v>85</v>
      </c>
      <c r="C40" s="126" t="s">
        <v>113</v>
      </c>
      <c r="D40" s="126">
        <v>2026</v>
      </c>
      <c r="E40" s="118">
        <v>3</v>
      </c>
    </row>
    <row r="41" spans="2:5" x14ac:dyDescent="0.3">
      <c r="B41" s="125" t="s">
        <v>86</v>
      </c>
      <c r="C41" s="126" t="s">
        <v>114</v>
      </c>
      <c r="D41" s="126">
        <v>2025</v>
      </c>
      <c r="E41" s="118">
        <f>10000000-2</f>
        <v>9999998</v>
      </c>
    </row>
    <row r="42" spans="2:5" x14ac:dyDescent="0.3">
      <c r="B42" s="125" t="s">
        <v>87</v>
      </c>
      <c r="C42" s="126" t="s">
        <v>114</v>
      </c>
      <c r="D42" s="126">
        <v>2021</v>
      </c>
      <c r="E42" s="118">
        <v>1807641</v>
      </c>
    </row>
    <row r="43" spans="2:5" x14ac:dyDescent="0.3">
      <c r="B43" s="125" t="s">
        <v>88</v>
      </c>
      <c r="C43" s="126" t="s">
        <v>114</v>
      </c>
      <c r="D43" s="126">
        <v>2026</v>
      </c>
      <c r="E43" s="118">
        <v>41155725</v>
      </c>
    </row>
    <row r="44" spans="2:5" x14ac:dyDescent="0.3">
      <c r="B44" s="125" t="s">
        <v>89</v>
      </c>
      <c r="C44" s="126" t="s">
        <v>114</v>
      </c>
      <c r="D44" s="126">
        <v>2024</v>
      </c>
      <c r="E44" s="118">
        <v>2787345</v>
      </c>
    </row>
    <row r="45" spans="2:5" x14ac:dyDescent="0.3">
      <c r="B45" s="125" t="s">
        <v>90</v>
      </c>
      <c r="C45" s="126" t="s">
        <v>112</v>
      </c>
      <c r="D45" s="126">
        <v>2023</v>
      </c>
      <c r="E45" s="118">
        <v>16957753</v>
      </c>
    </row>
    <row r="46" spans="2:5" x14ac:dyDescent="0.3">
      <c r="B46" s="125" t="s">
        <v>91</v>
      </c>
      <c r="C46" s="126" t="s">
        <v>114</v>
      </c>
      <c r="D46" s="126">
        <v>2026</v>
      </c>
      <c r="E46" s="118">
        <v>78062565</v>
      </c>
    </row>
    <row r="47" spans="2:5" x14ac:dyDescent="0.3">
      <c r="B47" s="125" t="s">
        <v>92</v>
      </c>
      <c r="C47" s="126" t="s">
        <v>112</v>
      </c>
      <c r="D47" s="126">
        <v>2026</v>
      </c>
      <c r="E47" s="118">
        <v>14710328</v>
      </c>
    </row>
    <row r="48" spans="2:5" x14ac:dyDescent="0.3">
      <c r="B48" s="125" t="s">
        <v>93</v>
      </c>
      <c r="C48" s="126" t="s">
        <v>112</v>
      </c>
      <c r="D48" s="126">
        <v>2025</v>
      </c>
      <c r="E48" s="118">
        <f>11669563-10000000</f>
        <v>1669563</v>
      </c>
    </row>
    <row r="49" spans="2:5" x14ac:dyDescent="0.3">
      <c r="B49" s="125" t="s">
        <v>94</v>
      </c>
      <c r="C49" s="126" t="s">
        <v>114</v>
      </c>
      <c r="D49" s="126">
        <v>2022</v>
      </c>
      <c r="E49" s="118">
        <v>3894083</v>
      </c>
    </row>
    <row r="50" spans="2:5" x14ac:dyDescent="0.3">
      <c r="B50" s="125" t="s">
        <v>95</v>
      </c>
      <c r="C50" s="126" t="s">
        <v>112</v>
      </c>
      <c r="D50" s="126">
        <v>2020</v>
      </c>
      <c r="E50" s="118">
        <v>9234320</v>
      </c>
    </row>
    <row r="51" spans="2:5" x14ac:dyDescent="0.3">
      <c r="B51" s="125" t="s">
        <v>96</v>
      </c>
      <c r="C51" s="126" t="s">
        <v>113</v>
      </c>
      <c r="D51" s="126">
        <v>2023</v>
      </c>
      <c r="E51" s="118">
        <v>5212809</v>
      </c>
    </row>
    <row r="52" spans="2:5" x14ac:dyDescent="0.3">
      <c r="B52" s="125" t="s">
        <v>97</v>
      </c>
      <c r="C52" s="126" t="s">
        <v>114</v>
      </c>
      <c r="D52" s="126">
        <v>2022</v>
      </c>
      <c r="E52" s="118">
        <v>1357940</v>
      </c>
    </row>
    <row r="53" spans="2:5" x14ac:dyDescent="0.3">
      <c r="B53" s="125" t="s">
        <v>98</v>
      </c>
      <c r="C53" s="126" t="s">
        <v>113</v>
      </c>
      <c r="D53" s="126">
        <v>2020</v>
      </c>
      <c r="E53" s="118">
        <v>293155</v>
      </c>
    </row>
    <row r="54" spans="2:5" x14ac:dyDescent="0.3">
      <c r="B54" s="125" t="s">
        <v>99</v>
      </c>
      <c r="C54" s="126" t="s">
        <v>114</v>
      </c>
      <c r="D54" s="126">
        <v>2026</v>
      </c>
      <c r="E54" s="118">
        <v>164851</v>
      </c>
    </row>
    <row r="55" spans="2:5" x14ac:dyDescent="0.3">
      <c r="B55" s="125" t="s">
        <v>100</v>
      </c>
      <c r="C55" s="126" t="s">
        <v>114</v>
      </c>
      <c r="D55" s="126">
        <v>2026</v>
      </c>
      <c r="E55" s="118">
        <f>42000000+38935</f>
        <v>42038935</v>
      </c>
    </row>
    <row r="56" spans="2:5" x14ac:dyDescent="0.3">
      <c r="B56" s="125" t="s">
        <v>101</v>
      </c>
      <c r="C56" s="126" t="s">
        <v>114</v>
      </c>
      <c r="D56" s="126">
        <v>2020</v>
      </c>
      <c r="E56" s="118">
        <v>48648</v>
      </c>
    </row>
    <row r="57" spans="2:5" x14ac:dyDescent="0.3">
      <c r="B57" s="125" t="s">
        <v>102</v>
      </c>
      <c r="C57" s="126" t="s">
        <v>112</v>
      </c>
      <c r="D57" s="126">
        <v>2021</v>
      </c>
      <c r="E57" s="118">
        <v>84472</v>
      </c>
    </row>
    <row r="58" spans="2:5" x14ac:dyDescent="0.3">
      <c r="B58" s="125" t="s">
        <v>103</v>
      </c>
      <c r="C58" s="126" t="s">
        <v>112</v>
      </c>
      <c r="D58" s="126">
        <v>2026</v>
      </c>
      <c r="E58" s="118">
        <v>11740</v>
      </c>
    </row>
    <row r="59" spans="2:5" x14ac:dyDescent="0.3">
      <c r="B59" s="125" t="s">
        <v>104</v>
      </c>
      <c r="C59" s="126" t="s">
        <v>112</v>
      </c>
      <c r="D59" s="126">
        <v>2023</v>
      </c>
      <c r="E59" s="118">
        <v>5956</v>
      </c>
    </row>
    <row r="60" spans="2:5" x14ac:dyDescent="0.3">
      <c r="B60" s="125" t="s">
        <v>105</v>
      </c>
      <c r="C60" s="126" t="s">
        <v>114</v>
      </c>
      <c r="D60" s="126">
        <v>2022</v>
      </c>
      <c r="E60" s="118">
        <v>-2171</v>
      </c>
    </row>
    <row r="61" spans="2:5" x14ac:dyDescent="0.3">
      <c r="B61" s="125" t="s">
        <v>106</v>
      </c>
      <c r="C61" s="126" t="s">
        <v>113</v>
      </c>
      <c r="D61" s="126">
        <v>2024</v>
      </c>
      <c r="E61" s="118">
        <v>2959326</v>
      </c>
    </row>
    <row r="62" spans="2:5" x14ac:dyDescent="0.3">
      <c r="B62" s="125" t="s">
        <v>107</v>
      </c>
      <c r="C62" s="126" t="s">
        <v>114</v>
      </c>
      <c r="D62" s="126">
        <v>2022</v>
      </c>
      <c r="E62" s="118">
        <v>206546815</v>
      </c>
    </row>
    <row r="63" spans="2:5" x14ac:dyDescent="0.3">
      <c r="B63" s="125" t="s">
        <v>108</v>
      </c>
      <c r="C63" s="126" t="s">
        <v>113</v>
      </c>
      <c r="D63" s="126">
        <v>2024</v>
      </c>
      <c r="E63" s="118">
        <v>3632493</v>
      </c>
    </row>
    <row r="64" spans="2:5" x14ac:dyDescent="0.3">
      <c r="B64" s="125" t="s">
        <v>109</v>
      </c>
      <c r="C64" s="126" t="s">
        <v>114</v>
      </c>
      <c r="D64" s="126">
        <v>2026</v>
      </c>
      <c r="E64" s="118">
        <v>1765797</v>
      </c>
    </row>
    <row r="65" spans="2:5" x14ac:dyDescent="0.3">
      <c r="B65" s="125" t="s">
        <v>110</v>
      </c>
      <c r="C65" s="126" t="s">
        <v>112</v>
      </c>
      <c r="D65" s="126">
        <v>2025</v>
      </c>
      <c r="E65" s="118">
        <v>465265</v>
      </c>
    </row>
    <row r="66" spans="2:5" x14ac:dyDescent="0.3">
      <c r="B66" s="125" t="s">
        <v>49</v>
      </c>
      <c r="C66" s="126" t="s">
        <v>113</v>
      </c>
      <c r="D66" s="126">
        <v>2023</v>
      </c>
      <c r="E66" s="118">
        <v>251293</v>
      </c>
    </row>
    <row r="67" spans="2:5" x14ac:dyDescent="0.3">
      <c r="B67" s="125" t="s">
        <v>50</v>
      </c>
      <c r="C67" s="126" t="s">
        <v>114</v>
      </c>
      <c r="D67" s="126">
        <v>2025</v>
      </c>
      <c r="E67" s="118">
        <f>37000000+1241</f>
        <v>37001241</v>
      </c>
    </row>
    <row r="68" spans="2:5" x14ac:dyDescent="0.3">
      <c r="B68" s="125" t="s">
        <v>51</v>
      </c>
      <c r="C68" s="126" t="s">
        <v>114</v>
      </c>
      <c r="D68" s="126">
        <v>2021</v>
      </c>
      <c r="E68" s="118">
        <v>125000000</v>
      </c>
    </row>
    <row r="69" spans="2:5" x14ac:dyDescent="0.3">
      <c r="B69" s="125" t="s">
        <v>52</v>
      </c>
      <c r="C69" s="126" t="s">
        <v>112</v>
      </c>
      <c r="D69" s="126">
        <v>2025</v>
      </c>
      <c r="E69" s="118">
        <v>982</v>
      </c>
    </row>
    <row r="70" spans="2:5" x14ac:dyDescent="0.3">
      <c r="B70" s="125" t="s">
        <v>53</v>
      </c>
      <c r="C70" s="126" t="s">
        <v>112</v>
      </c>
      <c r="D70" s="126">
        <v>2024</v>
      </c>
      <c r="E70" s="118">
        <f>90100000-90000000</f>
        <v>100000</v>
      </c>
    </row>
    <row r="71" spans="2:5" x14ac:dyDescent="0.3">
      <c r="B71" s="125" t="s">
        <v>54</v>
      </c>
      <c r="C71" s="126" t="s">
        <v>112</v>
      </c>
      <c r="D71" s="126">
        <v>2026</v>
      </c>
      <c r="E71" s="118">
        <v>278</v>
      </c>
    </row>
    <row r="72" spans="2:5" x14ac:dyDescent="0.3">
      <c r="B72" s="125" t="s">
        <v>55</v>
      </c>
      <c r="C72" s="126" t="s">
        <v>114</v>
      </c>
      <c r="D72" s="126">
        <v>2022</v>
      </c>
      <c r="E72" s="118">
        <v>239</v>
      </c>
    </row>
    <row r="73" spans="2:5" x14ac:dyDescent="0.3">
      <c r="B73" s="125" t="s">
        <v>56</v>
      </c>
      <c r="C73" s="126" t="s">
        <v>112</v>
      </c>
      <c r="D73" s="126">
        <v>2026</v>
      </c>
      <c r="E73" s="118">
        <v>201</v>
      </c>
    </row>
    <row r="74" spans="2:5" x14ac:dyDescent="0.3">
      <c r="B74" s="125" t="s">
        <v>57</v>
      </c>
      <c r="C74" s="126" t="s">
        <v>112</v>
      </c>
      <c r="D74" s="126">
        <v>2026</v>
      </c>
      <c r="E74" s="118">
        <v>20</v>
      </c>
    </row>
    <row r="75" spans="2:5" x14ac:dyDescent="0.3">
      <c r="B75" s="125" t="s">
        <v>58</v>
      </c>
      <c r="C75" s="126" t="s">
        <v>114</v>
      </c>
      <c r="D75" s="126">
        <v>2025</v>
      </c>
      <c r="E75" s="118">
        <f>10000000+8</f>
        <v>10000008</v>
      </c>
    </row>
    <row r="76" spans="2:5" x14ac:dyDescent="0.3">
      <c r="B76" s="125" t="s">
        <v>59</v>
      </c>
      <c r="C76" s="126" t="s">
        <v>112</v>
      </c>
      <c r="D76" s="126">
        <v>2023</v>
      </c>
      <c r="E76" s="118">
        <v>9000000</v>
      </c>
    </row>
    <row r="77" spans="2:5" x14ac:dyDescent="0.3">
      <c r="B77" s="125" t="s">
        <v>60</v>
      </c>
      <c r="C77" s="126" t="s">
        <v>114</v>
      </c>
      <c r="D77" s="126">
        <v>2024</v>
      </c>
      <c r="E77" s="118">
        <v>6000000</v>
      </c>
    </row>
    <row r="78" spans="2:5" x14ac:dyDescent="0.3">
      <c r="B78" s="125" t="s">
        <v>61</v>
      </c>
      <c r="C78" s="126" t="s">
        <v>112</v>
      </c>
      <c r="D78" s="126">
        <v>2025</v>
      </c>
      <c r="E78" s="118">
        <v>0</v>
      </c>
    </row>
    <row r="79" spans="2:5" x14ac:dyDescent="0.3">
      <c r="B79" s="125" t="s">
        <v>66</v>
      </c>
      <c r="C79" s="126" t="s">
        <v>114</v>
      </c>
      <c r="D79" s="126">
        <v>2020</v>
      </c>
      <c r="E79" s="118">
        <v>-0.99999997019767761</v>
      </c>
    </row>
    <row r="80" spans="2:5" x14ac:dyDescent="0.3">
      <c r="B80" s="125" t="s">
        <v>67</v>
      </c>
      <c r="C80" s="126" t="s">
        <v>112</v>
      </c>
      <c r="D80" s="126">
        <v>2021</v>
      </c>
      <c r="E80" s="118">
        <v>3568215</v>
      </c>
    </row>
    <row r="81" spans="2:5" x14ac:dyDescent="0.3">
      <c r="B81" s="125" t="s">
        <v>68</v>
      </c>
      <c r="C81" s="126" t="s">
        <v>114</v>
      </c>
      <c r="D81" s="126">
        <v>2026</v>
      </c>
      <c r="E81" s="118">
        <v>65163712</v>
      </c>
    </row>
    <row r="82" spans="2:5" x14ac:dyDescent="0.3">
      <c r="B82" s="125" t="s">
        <v>69</v>
      </c>
      <c r="C82" s="126" t="s">
        <v>112</v>
      </c>
      <c r="D82" s="126">
        <v>2025</v>
      </c>
      <c r="E82" s="118">
        <v>3903688</v>
      </c>
    </row>
    <row r="83" spans="2:5" x14ac:dyDescent="0.3">
      <c r="B83" s="125" t="s">
        <v>70</v>
      </c>
      <c r="C83" s="126" t="s">
        <v>114</v>
      </c>
      <c r="D83" s="126">
        <v>2020</v>
      </c>
      <c r="E83" s="118">
        <v>60621602</v>
      </c>
    </row>
    <row r="84" spans="2:5" x14ac:dyDescent="0.3">
      <c r="B84" s="125" t="s">
        <v>71</v>
      </c>
      <c r="C84" s="126" t="s">
        <v>112</v>
      </c>
      <c r="D84" s="126">
        <v>2026</v>
      </c>
      <c r="E84" s="118">
        <f>42437583-42000000</f>
        <v>437583</v>
      </c>
    </row>
    <row r="85" spans="2:5" x14ac:dyDescent="0.3">
      <c r="B85" s="125" t="s">
        <v>72</v>
      </c>
      <c r="C85" s="126" t="s">
        <v>112</v>
      </c>
      <c r="D85" s="126">
        <v>2022</v>
      </c>
      <c r="E85" s="118">
        <v>12109250</v>
      </c>
    </row>
    <row r="86" spans="2:5" x14ac:dyDescent="0.3">
      <c r="B86" s="125" t="s">
        <v>73</v>
      </c>
      <c r="C86" s="126" t="s">
        <v>112</v>
      </c>
      <c r="D86" s="126">
        <v>2024</v>
      </c>
      <c r="E86" s="118">
        <f>11316392-11000000</f>
        <v>316392</v>
      </c>
    </row>
    <row r="87" spans="2:5" x14ac:dyDescent="0.3">
      <c r="B87" s="125" t="s">
        <v>74</v>
      </c>
      <c r="C87" s="126" t="s">
        <v>114</v>
      </c>
      <c r="D87" s="126">
        <v>2020</v>
      </c>
      <c r="E87" s="118">
        <v>1156029</v>
      </c>
    </row>
    <row r="88" spans="2:5" x14ac:dyDescent="0.3">
      <c r="B88" s="125" t="s">
        <v>75</v>
      </c>
      <c r="C88" s="126" t="s">
        <v>112</v>
      </c>
      <c r="D88" s="126">
        <v>2024</v>
      </c>
      <c r="E88" s="118">
        <v>734195</v>
      </c>
    </row>
    <row r="89" spans="2:5" x14ac:dyDescent="0.3">
      <c r="B89" s="125" t="s">
        <v>76</v>
      </c>
      <c r="C89" s="126" t="s">
        <v>114</v>
      </c>
      <c r="D89" s="126">
        <v>2024</v>
      </c>
      <c r="E89" s="118">
        <f>90000000+822322</f>
        <v>90822322</v>
      </c>
    </row>
    <row r="90" spans="2:5" x14ac:dyDescent="0.3">
      <c r="B90" s="125" t="s">
        <v>77</v>
      </c>
      <c r="C90" s="126" t="s">
        <v>112</v>
      </c>
      <c r="D90" s="126">
        <v>2020</v>
      </c>
      <c r="E90" s="118">
        <v>32341</v>
      </c>
    </row>
    <row r="91" spans="2:5" x14ac:dyDescent="0.3">
      <c r="B91" s="125" t="s">
        <v>78</v>
      </c>
      <c r="C91" s="126" t="s">
        <v>112</v>
      </c>
      <c r="D91" s="126">
        <v>2026</v>
      </c>
      <c r="E91" s="118">
        <v>179921</v>
      </c>
    </row>
    <row r="92" spans="2:5" x14ac:dyDescent="0.3">
      <c r="B92" s="125" t="s">
        <v>79</v>
      </c>
      <c r="C92" s="126" t="s">
        <v>113</v>
      </c>
      <c r="D92" s="126">
        <v>2023</v>
      </c>
      <c r="E92" s="118">
        <v>6210</v>
      </c>
    </row>
    <row r="93" spans="2:5" x14ac:dyDescent="0.3">
      <c r="B93" s="125" t="s">
        <v>80</v>
      </c>
      <c r="C93" s="126" t="s">
        <v>112</v>
      </c>
      <c r="D93" s="126">
        <v>2022</v>
      </c>
      <c r="E93" s="118">
        <v>1728</v>
      </c>
    </row>
    <row r="94" spans="2:5" x14ac:dyDescent="0.3">
      <c r="B94" s="125" t="s">
        <v>81</v>
      </c>
      <c r="C94" s="126" t="s">
        <v>114</v>
      </c>
      <c r="D94" s="126">
        <v>2021</v>
      </c>
      <c r="E94" s="118">
        <v>759</v>
      </c>
    </row>
    <row r="95" spans="2:5" x14ac:dyDescent="0.3">
      <c r="B95" s="125" t="s">
        <v>82</v>
      </c>
      <c r="C95" s="126" t="s">
        <v>112</v>
      </c>
      <c r="D95" s="126">
        <v>2021</v>
      </c>
      <c r="E95" s="118">
        <v>41000000</v>
      </c>
    </row>
    <row r="96" spans="2:5" x14ac:dyDescent="0.3">
      <c r="B96" s="125" t="s">
        <v>83</v>
      </c>
      <c r="C96" s="126" t="s">
        <v>114</v>
      </c>
      <c r="D96" s="126">
        <v>2025</v>
      </c>
      <c r="E96" s="118">
        <f>105464542+242</f>
        <v>105464784</v>
      </c>
    </row>
    <row r="97" spans="2:5" x14ac:dyDescent="0.3">
      <c r="B97" s="125" t="s">
        <v>84</v>
      </c>
      <c r="C97" s="126" t="s">
        <v>114</v>
      </c>
      <c r="D97" s="126">
        <v>2023</v>
      </c>
      <c r="E97" s="118">
        <v>16000000</v>
      </c>
    </row>
    <row r="98" spans="2:5" x14ac:dyDescent="0.3">
      <c r="B98" s="125" t="s">
        <v>85</v>
      </c>
      <c r="C98" s="126" t="s">
        <v>112</v>
      </c>
      <c r="D98" s="126">
        <v>2023</v>
      </c>
      <c r="E98" s="118">
        <v>-16</v>
      </c>
    </row>
    <row r="99" spans="2:5" x14ac:dyDescent="0.3">
      <c r="B99" s="125" t="s">
        <v>86</v>
      </c>
      <c r="C99" s="126" t="s">
        <v>114</v>
      </c>
      <c r="D99" s="126">
        <v>2022</v>
      </c>
      <c r="E99" s="118">
        <v>4314416</v>
      </c>
    </row>
    <row r="100" spans="2:5" x14ac:dyDescent="0.3">
      <c r="B100" s="125" t="s">
        <v>87</v>
      </c>
      <c r="C100" s="126" t="s">
        <v>112</v>
      </c>
      <c r="D100" s="126">
        <v>2025</v>
      </c>
      <c r="E100" s="118">
        <v>0</v>
      </c>
    </row>
    <row r="101" spans="2:5" x14ac:dyDescent="0.3">
      <c r="B101" s="125" t="s">
        <v>88</v>
      </c>
      <c r="C101" s="126" t="s">
        <v>113</v>
      </c>
      <c r="D101" s="126">
        <v>2023</v>
      </c>
      <c r="E101" s="118">
        <f>75157630-75000000</f>
        <v>157630</v>
      </c>
    </row>
    <row r="102" spans="2:5" x14ac:dyDescent="0.3">
      <c r="B102" s="125" t="s">
        <v>89</v>
      </c>
      <c r="C102" s="126" t="s">
        <v>114</v>
      </c>
      <c r="D102" s="126">
        <v>2020</v>
      </c>
      <c r="E102" s="118">
        <v>568452</v>
      </c>
    </row>
    <row r="103" spans="2:5" x14ac:dyDescent="0.3">
      <c r="B103" s="125" t="s">
        <v>90</v>
      </c>
      <c r="C103" s="126" t="s">
        <v>112</v>
      </c>
      <c r="D103" s="126">
        <v>2024</v>
      </c>
      <c r="E103" s="118">
        <v>15828773</v>
      </c>
    </row>
    <row r="104" spans="2:5" x14ac:dyDescent="0.3">
      <c r="B104" s="125" t="s">
        <v>91</v>
      </c>
      <c r="C104" s="126" t="s">
        <v>112</v>
      </c>
      <c r="D104" s="126">
        <v>2025</v>
      </c>
      <c r="E104" s="118">
        <v>8187917</v>
      </c>
    </row>
    <row r="105" spans="2:5" x14ac:dyDescent="0.3">
      <c r="B105" s="125" t="s">
        <v>92</v>
      </c>
      <c r="C105" s="126" t="s">
        <v>112</v>
      </c>
      <c r="D105" s="126">
        <v>2026</v>
      </c>
      <c r="E105" s="118">
        <f>22813951-22000000</f>
        <v>813951</v>
      </c>
    </row>
    <row r="106" spans="2:5" x14ac:dyDescent="0.3">
      <c r="B106" s="125" t="s">
        <v>93</v>
      </c>
      <c r="C106" s="126" t="s">
        <v>112</v>
      </c>
      <c r="D106" s="126">
        <v>2022</v>
      </c>
      <c r="E106" s="118">
        <v>10423217</v>
      </c>
    </row>
    <row r="107" spans="2:5" x14ac:dyDescent="0.3">
      <c r="B107" s="125" t="s">
        <v>94</v>
      </c>
      <c r="C107" s="126" t="s">
        <v>113</v>
      </c>
      <c r="D107" s="126">
        <v>2021</v>
      </c>
      <c r="E107" s="118">
        <v>3153190</v>
      </c>
    </row>
    <row r="108" spans="2:5" x14ac:dyDescent="0.3">
      <c r="B108" s="125" t="s">
        <v>95</v>
      </c>
      <c r="C108" s="126" t="s">
        <v>113</v>
      </c>
      <c r="D108" s="126">
        <v>2020</v>
      </c>
      <c r="E108" s="118">
        <v>1963648</v>
      </c>
    </row>
    <row r="109" spans="2:5" x14ac:dyDescent="0.3">
      <c r="B109" s="125" t="s">
        <v>96</v>
      </c>
      <c r="C109" s="126" t="s">
        <v>113</v>
      </c>
      <c r="D109" s="126">
        <v>2024</v>
      </c>
      <c r="E109" s="118">
        <v>30517500</v>
      </c>
    </row>
    <row r="110" spans="2:5" x14ac:dyDescent="0.3">
      <c r="B110" s="125" t="s">
        <v>97</v>
      </c>
      <c r="C110" s="126" t="s">
        <v>112</v>
      </c>
      <c r="D110" s="126">
        <v>2022</v>
      </c>
      <c r="E110" s="118">
        <v>283980</v>
      </c>
    </row>
    <row r="111" spans="2:5" x14ac:dyDescent="0.3">
      <c r="B111" s="125" t="s">
        <v>98</v>
      </c>
      <c r="C111" s="126" t="s">
        <v>112</v>
      </c>
      <c r="D111" s="126">
        <v>2025</v>
      </c>
      <c r="E111" s="118">
        <v>402873</v>
      </c>
    </row>
    <row r="112" spans="2:5" x14ac:dyDescent="0.3">
      <c r="B112" s="125" t="s">
        <v>99</v>
      </c>
      <c r="C112" s="126" t="s">
        <v>112</v>
      </c>
      <c r="D112" s="126">
        <v>2022</v>
      </c>
      <c r="E112" s="118">
        <v>161035</v>
      </c>
    </row>
    <row r="113" spans="2:5" x14ac:dyDescent="0.3">
      <c r="B113" s="125" t="s">
        <v>100</v>
      </c>
      <c r="C113" s="126" t="s">
        <v>113</v>
      </c>
      <c r="D113" s="126">
        <v>2023</v>
      </c>
      <c r="E113" s="118">
        <v>519</v>
      </c>
    </row>
    <row r="114" spans="2:5" x14ac:dyDescent="0.3">
      <c r="B114" s="125" t="s">
        <v>101</v>
      </c>
      <c r="C114" s="126" t="s">
        <v>112</v>
      </c>
      <c r="D114" s="126">
        <v>2022</v>
      </c>
      <c r="E114" s="118">
        <v>1072</v>
      </c>
    </row>
    <row r="115" spans="2:5" x14ac:dyDescent="0.3">
      <c r="B115" s="125" t="s">
        <v>102</v>
      </c>
      <c r="C115" s="126" t="s">
        <v>114</v>
      </c>
      <c r="D115" s="126">
        <v>2021</v>
      </c>
      <c r="E115" s="118">
        <v>1904</v>
      </c>
    </row>
    <row r="116" spans="2:5" x14ac:dyDescent="0.3">
      <c r="B116" s="125" t="s">
        <v>103</v>
      </c>
      <c r="C116" s="126" t="s">
        <v>112</v>
      </c>
      <c r="D116" s="126">
        <v>2025</v>
      </c>
      <c r="E116" s="118">
        <v>10979</v>
      </c>
    </row>
    <row r="117" spans="2:5" x14ac:dyDescent="0.3">
      <c r="B117" s="125" t="s">
        <v>108</v>
      </c>
      <c r="C117" s="126" t="s">
        <v>113</v>
      </c>
      <c r="D117" s="126">
        <v>2024</v>
      </c>
      <c r="E117" s="118">
        <v>36020000</v>
      </c>
    </row>
    <row r="118" spans="2:5" x14ac:dyDescent="0.3">
      <c r="B118" s="125" t="s">
        <v>109</v>
      </c>
      <c r="C118" s="126" t="s">
        <v>112</v>
      </c>
      <c r="D118" s="126">
        <v>2023</v>
      </c>
      <c r="E118" s="118">
        <v>1168813</v>
      </c>
    </row>
    <row r="119" spans="2:5" x14ac:dyDescent="0.3">
      <c r="B119" s="125" t="s">
        <v>110</v>
      </c>
      <c r="C119" s="126" t="s">
        <v>114</v>
      </c>
      <c r="D119" s="126">
        <v>2025</v>
      </c>
      <c r="E119" s="118">
        <v>89899928</v>
      </c>
    </row>
    <row r="120" spans="2:5" x14ac:dyDescent="0.3">
      <c r="B120" s="125" t="s">
        <v>49</v>
      </c>
      <c r="C120" s="126" t="s">
        <v>112</v>
      </c>
      <c r="D120" s="126">
        <v>2026</v>
      </c>
      <c r="E120" s="118">
        <v>10636127</v>
      </c>
    </row>
    <row r="121" spans="2:5" x14ac:dyDescent="0.3">
      <c r="B121" s="125" t="s">
        <v>50</v>
      </c>
      <c r="C121" s="126" t="s">
        <v>113</v>
      </c>
      <c r="D121" s="126">
        <v>2020</v>
      </c>
      <c r="E121" s="118">
        <v>6307962</v>
      </c>
    </row>
    <row r="122" spans="2:5" x14ac:dyDescent="0.3">
      <c r="B122" s="125" t="s">
        <v>51</v>
      </c>
      <c r="C122" s="126" t="s">
        <v>114</v>
      </c>
      <c r="D122" s="126">
        <v>2025</v>
      </c>
      <c r="E122" s="118">
        <v>2864811</v>
      </c>
    </row>
    <row r="123" spans="2:5" x14ac:dyDescent="0.3">
      <c r="B123" s="125" t="s">
        <v>52</v>
      </c>
      <c r="C123" s="126" t="s">
        <v>112</v>
      </c>
      <c r="D123" s="126">
        <v>2025</v>
      </c>
      <c r="E123" s="118">
        <v>587180</v>
      </c>
    </row>
    <row r="124" spans="2:5" x14ac:dyDescent="0.3">
      <c r="B124" s="125" t="s">
        <v>53</v>
      </c>
      <c r="C124" s="126" t="s">
        <v>113</v>
      </c>
      <c r="D124" s="126">
        <v>2023</v>
      </c>
      <c r="E124" s="118">
        <v>11355232</v>
      </c>
    </row>
    <row r="125" spans="2:5" x14ac:dyDescent="0.3">
      <c r="B125" s="125" t="s">
        <v>54</v>
      </c>
      <c r="C125" s="126" t="s">
        <v>114</v>
      </c>
      <c r="D125" s="126">
        <v>2022</v>
      </c>
      <c r="E125" s="118">
        <v>4758311</v>
      </c>
    </row>
    <row r="126" spans="2:5" x14ac:dyDescent="0.3">
      <c r="B126" s="125" t="s">
        <v>55</v>
      </c>
      <c r="C126" s="126" t="s">
        <v>112</v>
      </c>
      <c r="D126" s="126">
        <v>2026</v>
      </c>
      <c r="E126" s="118">
        <v>2328075</v>
      </c>
    </row>
    <row r="127" spans="2:5" x14ac:dyDescent="0.3">
      <c r="B127" s="125" t="s">
        <v>56</v>
      </c>
      <c r="C127" s="126" t="s">
        <v>113</v>
      </c>
      <c r="D127" s="126">
        <v>2020</v>
      </c>
      <c r="E127" s="118">
        <v>1045650</v>
      </c>
    </row>
    <row r="128" spans="2:5" x14ac:dyDescent="0.3">
      <c r="B128" s="125" t="s">
        <v>57</v>
      </c>
      <c r="C128" s="126" t="s">
        <v>114</v>
      </c>
      <c r="D128" s="126">
        <v>2025</v>
      </c>
      <c r="E128" s="118">
        <v>7436170</v>
      </c>
    </row>
    <row r="129" spans="2:5" x14ac:dyDescent="0.3">
      <c r="B129" s="125" t="s">
        <v>58</v>
      </c>
      <c r="C129" s="126" t="s">
        <v>112</v>
      </c>
      <c r="D129" s="126">
        <v>2020</v>
      </c>
      <c r="E129" s="118">
        <v>315611</v>
      </c>
    </row>
    <row r="130" spans="2:5" x14ac:dyDescent="0.3">
      <c r="B130" s="125" t="s">
        <v>59</v>
      </c>
      <c r="C130" s="126" t="s">
        <v>113</v>
      </c>
      <c r="D130" s="126">
        <v>2025</v>
      </c>
      <c r="E130" s="118">
        <v>196121</v>
      </c>
    </row>
    <row r="131" spans="2:5" x14ac:dyDescent="0.3">
      <c r="B131" s="125" t="s">
        <v>60</v>
      </c>
      <c r="C131" s="126" t="s">
        <v>114</v>
      </c>
      <c r="D131" s="126">
        <v>2021</v>
      </c>
      <c r="E131" s="118">
        <v>496838</v>
      </c>
    </row>
    <row r="132" spans="2:5" x14ac:dyDescent="0.3">
      <c r="B132" s="125" t="s">
        <v>61</v>
      </c>
      <c r="C132" s="126" t="s">
        <v>112</v>
      </c>
      <c r="D132" s="126">
        <v>2021</v>
      </c>
      <c r="E132" s="118">
        <v>74581</v>
      </c>
    </row>
    <row r="133" spans="2:5" x14ac:dyDescent="0.3">
      <c r="B133" s="125" t="s">
        <v>62</v>
      </c>
      <c r="C133" s="126" t="s">
        <v>113</v>
      </c>
      <c r="D133" s="126">
        <v>2024</v>
      </c>
      <c r="E133" s="118">
        <v>1342540</v>
      </c>
    </row>
    <row r="134" spans="2:5" x14ac:dyDescent="0.3">
      <c r="B134" s="125" t="s">
        <v>63</v>
      </c>
      <c r="C134" s="126" t="s">
        <v>112</v>
      </c>
      <c r="D134" s="126">
        <v>2022</v>
      </c>
      <c r="E134" s="118">
        <v>21006</v>
      </c>
    </row>
    <row r="135" spans="2:5" x14ac:dyDescent="0.3">
      <c r="B135" s="125" t="s">
        <v>64</v>
      </c>
      <c r="C135" s="126" t="s">
        <v>114</v>
      </c>
      <c r="D135" s="126">
        <v>2024</v>
      </c>
      <c r="E135" s="118">
        <v>8290000</v>
      </c>
    </row>
    <row r="136" spans="2:5" x14ac:dyDescent="0.3">
      <c r="B136" s="125" t="s">
        <v>69</v>
      </c>
      <c r="C136" s="126" t="s">
        <v>112</v>
      </c>
      <c r="D136" s="126">
        <v>2022</v>
      </c>
      <c r="E136" s="118">
        <v>-8867.5</v>
      </c>
    </row>
    <row r="137" spans="2:5" x14ac:dyDescent="0.3">
      <c r="B137" s="125" t="s">
        <v>70</v>
      </c>
      <c r="C137" s="126" t="s">
        <v>113</v>
      </c>
      <c r="D137" s="126">
        <v>2026</v>
      </c>
      <c r="E137" s="118">
        <v>3273788</v>
      </c>
    </row>
    <row r="138" spans="2:5" x14ac:dyDescent="0.3">
      <c r="B138" s="125" t="s">
        <v>71</v>
      </c>
      <c r="C138" s="126" t="s">
        <v>112</v>
      </c>
      <c r="D138" s="126">
        <v>2021</v>
      </c>
      <c r="E138" s="118">
        <v>2879805</v>
      </c>
    </row>
    <row r="139" spans="2:5" x14ac:dyDescent="0.3">
      <c r="B139" s="125" t="s">
        <v>72</v>
      </c>
      <c r="C139" s="126" t="s">
        <v>114</v>
      </c>
      <c r="D139" s="126">
        <v>2022</v>
      </c>
      <c r="E139" s="118">
        <v>882649</v>
      </c>
    </row>
    <row r="140" spans="2:5" x14ac:dyDescent="0.3">
      <c r="B140" s="125" t="s">
        <v>73</v>
      </c>
      <c r="C140" s="126" t="s">
        <v>114</v>
      </c>
      <c r="D140" s="126">
        <v>2023</v>
      </c>
      <c r="E140" s="118">
        <v>3371550</v>
      </c>
    </row>
    <row r="141" spans="2:5" x14ac:dyDescent="0.3">
      <c r="B141" s="125" t="s">
        <v>74</v>
      </c>
      <c r="C141" s="126" t="s">
        <v>114</v>
      </c>
      <c r="D141" s="126">
        <v>2020</v>
      </c>
      <c r="E141" s="118">
        <v>2708014</v>
      </c>
    </row>
    <row r="142" spans="2:5" x14ac:dyDescent="0.3">
      <c r="B142" s="125" t="s">
        <v>75</v>
      </c>
      <c r="C142" s="126" t="s">
        <v>112</v>
      </c>
      <c r="D142" s="126">
        <v>2020</v>
      </c>
      <c r="E142" s="118">
        <v>3032567</v>
      </c>
    </row>
    <row r="143" spans="2:5" x14ac:dyDescent="0.3">
      <c r="B143" s="125" t="s">
        <v>76</v>
      </c>
      <c r="C143" s="126" t="s">
        <v>114</v>
      </c>
      <c r="D143" s="126">
        <v>2023</v>
      </c>
      <c r="E143" s="118">
        <v>95687900</v>
      </c>
    </row>
    <row r="144" spans="2:5" x14ac:dyDescent="0.3">
      <c r="B144" s="125" t="s">
        <v>77</v>
      </c>
      <c r="C144" s="126" t="s">
        <v>112</v>
      </c>
      <c r="D144" s="126">
        <v>2022</v>
      </c>
      <c r="E144" s="118">
        <v>4908511</v>
      </c>
    </row>
    <row r="145" spans="2:5" x14ac:dyDescent="0.3">
      <c r="B145" s="125" t="s">
        <v>78</v>
      </c>
      <c r="C145" s="126" t="s">
        <v>113</v>
      </c>
      <c r="D145" s="126">
        <v>2026</v>
      </c>
      <c r="E145" s="118">
        <v>2313316</v>
      </c>
    </row>
    <row r="146" spans="2:5" x14ac:dyDescent="0.3">
      <c r="B146" s="125" t="s">
        <v>79</v>
      </c>
      <c r="C146" s="126" t="s">
        <v>114</v>
      </c>
      <c r="D146" s="126">
        <v>2025</v>
      </c>
      <c r="E146" s="118">
        <v>3227695</v>
      </c>
    </row>
    <row r="147" spans="2:5" x14ac:dyDescent="0.3">
      <c r="B147" s="125" t="s">
        <v>80</v>
      </c>
      <c r="C147" s="126" t="s">
        <v>114</v>
      </c>
      <c r="D147" s="126">
        <v>2026</v>
      </c>
      <c r="E147" s="118">
        <v>3748221</v>
      </c>
    </row>
    <row r="148" spans="2:5" x14ac:dyDescent="0.3">
      <c r="B148" s="125" t="s">
        <v>81</v>
      </c>
      <c r="C148" s="126" t="s">
        <v>114</v>
      </c>
      <c r="D148" s="126">
        <v>2020</v>
      </c>
      <c r="E148" s="118">
        <v>1368894</v>
      </c>
    </row>
    <row r="149" spans="2:5" x14ac:dyDescent="0.3">
      <c r="B149" s="125" t="s">
        <v>82</v>
      </c>
      <c r="C149" s="126" t="s">
        <v>112</v>
      </c>
      <c r="D149" s="126">
        <v>2021</v>
      </c>
      <c r="E149" s="118">
        <v>4307247</v>
      </c>
    </row>
    <row r="150" spans="2:5" x14ac:dyDescent="0.3">
      <c r="B150" s="125" t="s">
        <v>83</v>
      </c>
      <c r="C150" s="126" t="s">
        <v>114</v>
      </c>
      <c r="D150" s="126">
        <v>2023</v>
      </c>
      <c r="E150" s="118">
        <v>1428960</v>
      </c>
    </row>
    <row r="151" spans="2:5" x14ac:dyDescent="0.3">
      <c r="B151" s="125" t="s">
        <v>84</v>
      </c>
      <c r="C151" s="126" t="s">
        <v>112</v>
      </c>
      <c r="D151" s="126">
        <v>2022</v>
      </c>
      <c r="E151" s="118">
        <v>2015721</v>
      </c>
    </row>
    <row r="152" spans="2:5" x14ac:dyDescent="0.3">
      <c r="B152" s="125" t="s">
        <v>85</v>
      </c>
      <c r="C152" s="126" t="s">
        <v>113</v>
      </c>
      <c r="D152" s="126">
        <v>2020</v>
      </c>
      <c r="E152" s="118">
        <v>815187</v>
      </c>
    </row>
    <row r="153" spans="2:5" x14ac:dyDescent="0.3">
      <c r="B153" s="125" t="s">
        <v>86</v>
      </c>
      <c r="C153" s="126" t="s">
        <v>114</v>
      </c>
      <c r="D153" s="126">
        <v>2024</v>
      </c>
      <c r="E153" s="118">
        <v>4279509</v>
      </c>
    </row>
    <row r="154" spans="2:5" x14ac:dyDescent="0.3">
      <c r="B154" s="125" t="s">
        <v>87</v>
      </c>
      <c r="C154" s="126" t="s">
        <v>113</v>
      </c>
      <c r="D154" s="126">
        <v>2024</v>
      </c>
      <c r="E154" s="118">
        <v>1625149</v>
      </c>
    </row>
    <row r="155" spans="2:5" x14ac:dyDescent="0.3">
      <c r="B155" s="125" t="s">
        <v>88</v>
      </c>
      <c r="C155" s="126" t="s">
        <v>114</v>
      </c>
      <c r="D155" s="126">
        <v>2021</v>
      </c>
      <c r="E155" s="118">
        <v>4592594</v>
      </c>
    </row>
    <row r="156" spans="2:5" x14ac:dyDescent="0.3">
      <c r="B156" s="125" t="s">
        <v>89</v>
      </c>
      <c r="C156" s="126" t="s">
        <v>114</v>
      </c>
      <c r="D156" s="126">
        <v>2025</v>
      </c>
      <c r="E156" s="118">
        <v>2119790</v>
      </c>
    </row>
    <row r="157" spans="2:5" x14ac:dyDescent="0.3">
      <c r="B157" s="125" t="s">
        <v>90</v>
      </c>
      <c r="C157" s="126" t="s">
        <v>114</v>
      </c>
      <c r="D157" s="126">
        <v>2026</v>
      </c>
      <c r="E157" s="118">
        <v>3616164</v>
      </c>
    </row>
    <row r="158" spans="2:5" x14ac:dyDescent="0.3">
      <c r="B158" s="125" t="s">
        <v>91</v>
      </c>
      <c r="C158" s="126" t="s">
        <v>112</v>
      </c>
      <c r="D158" s="126">
        <v>2024</v>
      </c>
      <c r="E158" s="118">
        <v>45736660</v>
      </c>
    </row>
    <row r="159" spans="2:5" x14ac:dyDescent="0.3">
      <c r="B159" s="125" t="s">
        <v>92</v>
      </c>
      <c r="C159" s="126" t="s">
        <v>114</v>
      </c>
      <c r="D159" s="126">
        <v>2024</v>
      </c>
      <c r="E159" s="118">
        <v>13512220</v>
      </c>
    </row>
    <row r="160" spans="2:5" x14ac:dyDescent="0.3">
      <c r="B160" s="125" t="s">
        <v>93</v>
      </c>
      <c r="C160" s="126" t="s">
        <v>114</v>
      </c>
      <c r="D160" s="126">
        <v>2020</v>
      </c>
      <c r="E160" s="118">
        <v>2070882</v>
      </c>
    </row>
    <row r="161" spans="2:5" x14ac:dyDescent="0.3">
      <c r="B161" s="125" t="s">
        <v>94</v>
      </c>
      <c r="C161" s="126" t="s">
        <v>114</v>
      </c>
      <c r="D161" s="126">
        <v>2020</v>
      </c>
      <c r="E161" s="118">
        <v>4398707</v>
      </c>
    </row>
    <row r="162" spans="2:5" x14ac:dyDescent="0.3">
      <c r="B162" s="125" t="s">
        <v>95</v>
      </c>
      <c r="C162" s="126" t="s">
        <v>112</v>
      </c>
      <c r="D162" s="126">
        <v>2025</v>
      </c>
      <c r="E162" s="118">
        <v>462918</v>
      </c>
    </row>
    <row r="163" spans="2:5" x14ac:dyDescent="0.3">
      <c r="B163" s="125" t="s">
        <v>96</v>
      </c>
      <c r="C163" s="126" t="s">
        <v>114</v>
      </c>
      <c r="D163" s="126">
        <v>2022</v>
      </c>
      <c r="E163" s="118">
        <v>440405</v>
      </c>
    </row>
    <row r="164" spans="2:5" x14ac:dyDescent="0.3">
      <c r="B164" s="125" t="s">
        <v>97</v>
      </c>
      <c r="C164" s="126" t="s">
        <v>112</v>
      </c>
      <c r="D164" s="126">
        <v>2023</v>
      </c>
      <c r="E164" s="118">
        <v>814752</v>
      </c>
    </row>
    <row r="165" spans="2:5" x14ac:dyDescent="0.3">
      <c r="B165" s="125" t="s">
        <v>98</v>
      </c>
      <c r="C165" s="126" t="s">
        <v>113</v>
      </c>
      <c r="D165" s="126">
        <v>2026</v>
      </c>
      <c r="E165" s="118">
        <v>653495</v>
      </c>
    </row>
    <row r="166" spans="2:5" x14ac:dyDescent="0.3">
      <c r="B166" s="125" t="s">
        <v>99</v>
      </c>
      <c r="C166" s="126" t="s">
        <v>114</v>
      </c>
      <c r="D166" s="126">
        <v>2022</v>
      </c>
      <c r="E166" s="118">
        <v>2046073</v>
      </c>
    </row>
    <row r="167" spans="2:5" x14ac:dyDescent="0.3">
      <c r="B167" s="125" t="s">
        <v>100</v>
      </c>
      <c r="C167" s="126" t="s">
        <v>112</v>
      </c>
      <c r="D167" s="126">
        <v>2021</v>
      </c>
      <c r="E167" s="118">
        <v>584586</v>
      </c>
    </row>
    <row r="168" spans="2:5" x14ac:dyDescent="0.3">
      <c r="B168" s="125" t="s">
        <v>101</v>
      </c>
      <c r="C168" s="126" t="s">
        <v>113</v>
      </c>
      <c r="D168" s="126">
        <v>2023</v>
      </c>
      <c r="E168" s="118">
        <v>2573573</v>
      </c>
    </row>
    <row r="169" spans="2:5" x14ac:dyDescent="0.3">
      <c r="B169" s="125" t="s">
        <v>102</v>
      </c>
      <c r="C169" s="126" t="s">
        <v>114</v>
      </c>
      <c r="D169" s="126">
        <v>2020</v>
      </c>
      <c r="E169" s="118">
        <v>3848239</v>
      </c>
    </row>
    <row r="170" spans="2:5" x14ac:dyDescent="0.3">
      <c r="B170" s="125" t="s">
        <v>103</v>
      </c>
      <c r="C170" s="126" t="s">
        <v>112</v>
      </c>
      <c r="D170" s="126">
        <v>2020</v>
      </c>
      <c r="E170" s="118">
        <v>4385414</v>
      </c>
    </row>
    <row r="171" spans="2:5" x14ac:dyDescent="0.3">
      <c r="B171" s="125" t="s">
        <v>104</v>
      </c>
      <c r="C171" s="126" t="s">
        <v>113</v>
      </c>
      <c r="D171" s="126">
        <v>2023</v>
      </c>
      <c r="E171" s="118">
        <v>4287809</v>
      </c>
    </row>
    <row r="172" spans="2:5" x14ac:dyDescent="0.3">
      <c r="B172" s="125" t="s">
        <v>105</v>
      </c>
      <c r="C172" s="126" t="s">
        <v>114</v>
      </c>
      <c r="D172" s="126">
        <v>2021</v>
      </c>
      <c r="E172" s="118">
        <v>3800334</v>
      </c>
    </row>
    <row r="173" spans="2:5" x14ac:dyDescent="0.3">
      <c r="B173" s="125" t="s">
        <v>106</v>
      </c>
      <c r="C173" s="126" t="s">
        <v>113</v>
      </c>
      <c r="D173" s="126">
        <v>2026</v>
      </c>
      <c r="E173" s="118">
        <v>4800184</v>
      </c>
    </row>
    <row r="174" spans="2:5" x14ac:dyDescent="0.3">
      <c r="B174" s="125" t="s">
        <v>107</v>
      </c>
      <c r="C174" s="126" t="s">
        <v>114</v>
      </c>
      <c r="D174" s="126">
        <v>2024</v>
      </c>
      <c r="E174" s="118">
        <v>3284128</v>
      </c>
    </row>
    <row r="175" spans="2:5" x14ac:dyDescent="0.3">
      <c r="B175" s="125" t="s">
        <v>108</v>
      </c>
      <c r="C175" s="126" t="s">
        <v>114</v>
      </c>
      <c r="D175" s="126">
        <v>2024</v>
      </c>
      <c r="E175" s="118">
        <v>17438150</v>
      </c>
    </row>
    <row r="176" spans="2:5" x14ac:dyDescent="0.3">
      <c r="B176" s="125" t="s">
        <v>109</v>
      </c>
      <c r="C176" s="126" t="s">
        <v>112</v>
      </c>
      <c r="D176" s="126">
        <v>2026</v>
      </c>
      <c r="E176" s="118">
        <v>2391334</v>
      </c>
    </row>
    <row r="177" spans="2:5" x14ac:dyDescent="0.3">
      <c r="B177" s="125" t="s">
        <v>110</v>
      </c>
      <c r="C177" s="126" t="s">
        <v>114</v>
      </c>
      <c r="D177" s="126">
        <v>2023</v>
      </c>
      <c r="E177" s="118">
        <v>2123497</v>
      </c>
    </row>
    <row r="178" spans="2:5" x14ac:dyDescent="0.3">
      <c r="B178" s="125" t="s">
        <v>49</v>
      </c>
      <c r="C178" s="126" t="s">
        <v>114</v>
      </c>
      <c r="D178" s="126">
        <v>2022</v>
      </c>
      <c r="E178" s="118">
        <v>3652467</v>
      </c>
    </row>
    <row r="179" spans="2:5" x14ac:dyDescent="0.3">
      <c r="B179" s="125" t="s">
        <v>50</v>
      </c>
      <c r="C179" s="126" t="s">
        <v>113</v>
      </c>
      <c r="D179" s="126">
        <v>2022</v>
      </c>
      <c r="E179" s="118">
        <v>2353911</v>
      </c>
    </row>
    <row r="180" spans="2:5" x14ac:dyDescent="0.3">
      <c r="B180" s="125" t="s">
        <v>51</v>
      </c>
      <c r="C180" s="126" t="s">
        <v>114</v>
      </c>
      <c r="D180" s="126">
        <v>2022</v>
      </c>
      <c r="E180" s="118">
        <v>915950</v>
      </c>
    </row>
    <row r="181" spans="2:5" x14ac:dyDescent="0.3">
      <c r="B181" s="125" t="s">
        <v>52</v>
      </c>
      <c r="C181" s="126" t="s">
        <v>114</v>
      </c>
      <c r="D181" s="126">
        <v>2025</v>
      </c>
      <c r="E181" s="118">
        <v>1119901</v>
      </c>
    </row>
    <row r="182" spans="2:5" x14ac:dyDescent="0.3">
      <c r="B182" s="125" t="s">
        <v>53</v>
      </c>
      <c r="C182" s="126" t="s">
        <v>114</v>
      </c>
      <c r="D182" s="126">
        <v>2026</v>
      </c>
      <c r="E182" s="118">
        <v>4843760</v>
      </c>
    </row>
    <row r="183" spans="2:5" x14ac:dyDescent="0.3">
      <c r="B183" s="125" t="s">
        <v>54</v>
      </c>
      <c r="C183" s="126" t="s">
        <v>112</v>
      </c>
      <c r="D183" s="126">
        <v>2025</v>
      </c>
      <c r="E183" s="118">
        <v>1277686</v>
      </c>
    </row>
    <row r="184" spans="2:5" x14ac:dyDescent="0.3">
      <c r="B184" s="125" t="s">
        <v>55</v>
      </c>
      <c r="C184" s="126" t="s">
        <v>114</v>
      </c>
      <c r="D184" s="126">
        <v>2023</v>
      </c>
      <c r="E184" s="118">
        <v>3478305</v>
      </c>
    </row>
    <row r="185" spans="2:5" x14ac:dyDescent="0.3">
      <c r="B185" s="125" t="s">
        <v>56</v>
      </c>
      <c r="C185" s="126" t="s">
        <v>114</v>
      </c>
      <c r="D185" s="126">
        <v>2022</v>
      </c>
      <c r="E185" s="118">
        <v>2842058</v>
      </c>
    </row>
    <row r="186" spans="2:5" x14ac:dyDescent="0.3">
      <c r="B186" s="125" t="s">
        <v>57</v>
      </c>
      <c r="C186" s="126" t="s">
        <v>114</v>
      </c>
      <c r="D186" s="126">
        <v>2023</v>
      </c>
      <c r="E186" s="118">
        <v>1937614</v>
      </c>
    </row>
    <row r="187" spans="2:5" x14ac:dyDescent="0.3">
      <c r="B187" s="125" t="s">
        <v>58</v>
      </c>
      <c r="C187" s="126" t="s">
        <v>112</v>
      </c>
      <c r="D187" s="126">
        <v>2024</v>
      </c>
      <c r="E187" s="118">
        <v>3618146</v>
      </c>
    </row>
    <row r="188" spans="2:5" x14ac:dyDescent="0.3">
      <c r="B188" s="125" t="s">
        <v>59</v>
      </c>
      <c r="C188" s="126" t="s">
        <v>114</v>
      </c>
      <c r="D188" s="126">
        <v>2020</v>
      </c>
      <c r="E188" s="118">
        <v>2857504</v>
      </c>
    </row>
    <row r="189" spans="2:5" x14ac:dyDescent="0.3">
      <c r="B189" s="125" t="s">
        <v>60</v>
      </c>
      <c r="C189" s="126" t="s">
        <v>112</v>
      </c>
      <c r="D189" s="126">
        <v>2020</v>
      </c>
      <c r="E189" s="118">
        <v>2661928</v>
      </c>
    </row>
    <row r="190" spans="2:5" x14ac:dyDescent="0.3">
      <c r="B190" s="125" t="s">
        <v>61</v>
      </c>
      <c r="C190" s="126" t="s">
        <v>114</v>
      </c>
      <c r="D190" s="126">
        <v>2024</v>
      </c>
      <c r="E190" s="118">
        <v>1848538</v>
      </c>
    </row>
    <row r="191" spans="2:5" x14ac:dyDescent="0.3">
      <c r="B191" s="125" t="s">
        <v>62</v>
      </c>
      <c r="C191" s="126" t="s">
        <v>114</v>
      </c>
      <c r="D191" s="126">
        <v>2024</v>
      </c>
      <c r="E191" s="118">
        <v>4833476</v>
      </c>
    </row>
    <row r="192" spans="2:5" x14ac:dyDescent="0.3">
      <c r="B192" s="125" t="s">
        <v>63</v>
      </c>
      <c r="C192" s="126" t="s">
        <v>112</v>
      </c>
      <c r="D192" s="126">
        <v>2021</v>
      </c>
      <c r="E192" s="118">
        <v>3318167</v>
      </c>
    </row>
    <row r="193" spans="2:5" x14ac:dyDescent="0.3">
      <c r="B193" s="125" t="s">
        <v>64</v>
      </c>
      <c r="C193" s="126" t="s">
        <v>114</v>
      </c>
      <c r="D193" s="126">
        <v>2025</v>
      </c>
      <c r="E193" s="118">
        <v>635434</v>
      </c>
    </row>
    <row r="194" spans="2:5" x14ac:dyDescent="0.3">
      <c r="B194" s="125" t="s">
        <v>65</v>
      </c>
      <c r="C194" s="126" t="s">
        <v>112</v>
      </c>
      <c r="D194" s="126">
        <v>2020</v>
      </c>
      <c r="E194" s="118">
        <v>1612634</v>
      </c>
    </row>
    <row r="195" spans="2:5" x14ac:dyDescent="0.3">
      <c r="B195" s="125" t="s">
        <v>66</v>
      </c>
      <c r="C195" s="126" t="s">
        <v>114</v>
      </c>
      <c r="D195" s="126">
        <v>2022</v>
      </c>
      <c r="E195" s="118">
        <v>1618630</v>
      </c>
    </row>
    <row r="196" spans="2:5" x14ac:dyDescent="0.3">
      <c r="B196" s="125" t="s">
        <v>67</v>
      </c>
      <c r="C196" s="126" t="s">
        <v>114</v>
      </c>
      <c r="D196" s="126">
        <v>2022</v>
      </c>
      <c r="E196" s="118">
        <v>3549229</v>
      </c>
    </row>
    <row r="197" spans="2:5" x14ac:dyDescent="0.3">
      <c r="B197" s="125" t="s">
        <v>68</v>
      </c>
      <c r="C197" s="126" t="s">
        <v>112</v>
      </c>
      <c r="D197" s="126">
        <v>2021</v>
      </c>
      <c r="E197" s="118">
        <v>4066211</v>
      </c>
    </row>
    <row r="198" spans="2:5" x14ac:dyDescent="0.3">
      <c r="B198" s="125" t="s">
        <v>69</v>
      </c>
      <c r="C198" s="126" t="s">
        <v>114</v>
      </c>
      <c r="D198" s="126">
        <v>2021</v>
      </c>
      <c r="E198" s="118">
        <v>4321558</v>
      </c>
    </row>
    <row r="199" spans="2:5" x14ac:dyDescent="0.3">
      <c r="B199" s="125" t="s">
        <v>70</v>
      </c>
      <c r="C199" s="126" t="s">
        <v>112</v>
      </c>
      <c r="D199" s="126">
        <v>2025</v>
      </c>
      <c r="E199" s="118">
        <v>3247487</v>
      </c>
    </row>
    <row r="200" spans="2:5" x14ac:dyDescent="0.3">
      <c r="B200" s="125" t="s">
        <v>71</v>
      </c>
      <c r="C200" s="126" t="s">
        <v>113</v>
      </c>
      <c r="D200" s="126">
        <v>2023</v>
      </c>
      <c r="E200" s="118">
        <v>4398940</v>
      </c>
    </row>
    <row r="201" spans="2:5" x14ac:dyDescent="0.3">
      <c r="B201" s="125" t="s">
        <v>72</v>
      </c>
      <c r="C201" s="126" t="s">
        <v>114</v>
      </c>
      <c r="D201" s="126">
        <v>2025</v>
      </c>
      <c r="E201" s="118">
        <v>2706802</v>
      </c>
    </row>
    <row r="202" spans="2:5" x14ac:dyDescent="0.3">
      <c r="B202" s="125" t="s">
        <v>73</v>
      </c>
      <c r="C202" s="126" t="s">
        <v>113</v>
      </c>
      <c r="D202" s="126">
        <v>2021</v>
      </c>
      <c r="E202" s="118">
        <v>2807849</v>
      </c>
    </row>
    <row r="203" spans="2:5" x14ac:dyDescent="0.3">
      <c r="B203" s="125" t="s">
        <v>74</v>
      </c>
      <c r="C203" s="126" t="s">
        <v>114</v>
      </c>
      <c r="D203" s="126">
        <v>2025</v>
      </c>
      <c r="E203" s="118">
        <v>4025605</v>
      </c>
    </row>
    <row r="204" spans="2:5" x14ac:dyDescent="0.3">
      <c r="B204" s="125" t="s">
        <v>75</v>
      </c>
      <c r="C204" s="126" t="s">
        <v>114</v>
      </c>
      <c r="D204" s="126">
        <v>2021</v>
      </c>
      <c r="E204" s="118">
        <v>1452938</v>
      </c>
    </row>
    <row r="205" spans="2:5" x14ac:dyDescent="0.3">
      <c r="B205" s="125" t="s">
        <v>76</v>
      </c>
      <c r="C205" s="126" t="s">
        <v>114</v>
      </c>
      <c r="D205" s="126">
        <v>2021</v>
      </c>
      <c r="E205" s="118">
        <v>3050410</v>
      </c>
    </row>
    <row r="206" spans="2:5" x14ac:dyDescent="0.3">
      <c r="B206" s="125" t="s">
        <v>77</v>
      </c>
      <c r="C206" s="126" t="s">
        <v>112</v>
      </c>
      <c r="D206" s="126">
        <v>2020</v>
      </c>
      <c r="E206" s="118">
        <v>4170243</v>
      </c>
    </row>
    <row r="207" spans="2:5" x14ac:dyDescent="0.3">
      <c r="B207" s="125" t="s">
        <v>78</v>
      </c>
      <c r="C207" s="126" t="s">
        <v>114</v>
      </c>
      <c r="D207" s="126">
        <v>2023</v>
      </c>
      <c r="E207" s="118">
        <v>3509490</v>
      </c>
    </row>
    <row r="208" spans="2:5" x14ac:dyDescent="0.3">
      <c r="B208" s="125" t="s">
        <v>79</v>
      </c>
      <c r="C208" s="126" t="s">
        <v>112</v>
      </c>
      <c r="D208" s="126">
        <v>2025</v>
      </c>
      <c r="E208" s="118">
        <v>2634942</v>
      </c>
    </row>
    <row r="209" spans="2:5" x14ac:dyDescent="0.3">
      <c r="B209" s="125" t="s">
        <v>80</v>
      </c>
      <c r="C209" s="126" t="s">
        <v>113</v>
      </c>
      <c r="D209" s="126">
        <v>2026</v>
      </c>
      <c r="E209" s="118">
        <v>3211893</v>
      </c>
    </row>
    <row r="210" spans="2:5" x14ac:dyDescent="0.3">
      <c r="B210" s="125" t="s">
        <v>81</v>
      </c>
      <c r="C210" s="126" t="s">
        <v>114</v>
      </c>
      <c r="D210" s="126">
        <v>2023</v>
      </c>
      <c r="E210" s="118">
        <v>3381475</v>
      </c>
    </row>
    <row r="211" spans="2:5" x14ac:dyDescent="0.3">
      <c r="B211" s="125" t="s">
        <v>82</v>
      </c>
      <c r="C211" s="126" t="s">
        <v>114</v>
      </c>
      <c r="D211" s="126">
        <v>2023</v>
      </c>
      <c r="E211" s="118">
        <v>691891</v>
      </c>
    </row>
    <row r="212" spans="2:5" x14ac:dyDescent="0.3">
      <c r="B212" s="125" t="s">
        <v>83</v>
      </c>
      <c r="C212" s="126" t="s">
        <v>112</v>
      </c>
      <c r="D212" s="126">
        <v>2026</v>
      </c>
      <c r="E212" s="118">
        <v>4642747</v>
      </c>
    </row>
    <row r="213" spans="2:5" x14ac:dyDescent="0.3">
      <c r="B213" s="125" t="s">
        <v>84</v>
      </c>
      <c r="C213" s="126" t="s">
        <v>114</v>
      </c>
      <c r="D213" s="126">
        <v>2020</v>
      </c>
      <c r="E213" s="118">
        <v>2471887</v>
      </c>
    </row>
    <row r="214" spans="2:5" x14ac:dyDescent="0.3">
      <c r="B214" s="125" t="s">
        <v>85</v>
      </c>
      <c r="C214" s="126" t="s">
        <v>112</v>
      </c>
      <c r="D214" s="126">
        <v>2022</v>
      </c>
      <c r="E214" s="118">
        <v>4312664</v>
      </c>
    </row>
    <row r="215" spans="2:5" x14ac:dyDescent="0.3">
      <c r="B215" s="125" t="s">
        <v>86</v>
      </c>
      <c r="C215" s="126" t="s">
        <v>113</v>
      </c>
      <c r="D215" s="126">
        <v>2020</v>
      </c>
      <c r="E215" s="118">
        <v>2833761</v>
      </c>
    </row>
    <row r="216" spans="2:5" x14ac:dyDescent="0.3">
      <c r="B216" s="125" t="s">
        <v>87</v>
      </c>
      <c r="C216" s="126" t="s">
        <v>114</v>
      </c>
      <c r="D216" s="126">
        <v>2025</v>
      </c>
      <c r="E216" s="118">
        <v>2075850</v>
      </c>
    </row>
    <row r="217" spans="2:5" x14ac:dyDescent="0.3">
      <c r="B217" s="125" t="s">
        <v>88</v>
      </c>
      <c r="C217" s="126" t="s">
        <v>114</v>
      </c>
      <c r="D217" s="126">
        <v>2026</v>
      </c>
      <c r="E217" s="118">
        <v>4455905</v>
      </c>
    </row>
    <row r="218" spans="2:5" x14ac:dyDescent="0.3">
      <c r="B218" s="125" t="s">
        <v>89</v>
      </c>
      <c r="C218" s="126" t="s">
        <v>114</v>
      </c>
      <c r="D218" s="126">
        <v>2022</v>
      </c>
      <c r="E218" s="118">
        <v>1490041</v>
      </c>
    </row>
    <row r="219" spans="2:5" x14ac:dyDescent="0.3">
      <c r="B219" s="125" t="s">
        <v>90</v>
      </c>
      <c r="C219" s="126" t="s">
        <v>112</v>
      </c>
      <c r="D219" s="126">
        <v>2024</v>
      </c>
      <c r="E219" s="118">
        <v>697737</v>
      </c>
    </row>
    <row r="220" spans="2:5" x14ac:dyDescent="0.3">
      <c r="B220" s="125" t="s">
        <v>91</v>
      </c>
      <c r="C220" s="126" t="s">
        <v>114</v>
      </c>
      <c r="D220" s="126">
        <v>2022</v>
      </c>
      <c r="E220" s="118">
        <v>716238</v>
      </c>
    </row>
    <row r="221" spans="2:5" x14ac:dyDescent="0.3">
      <c r="B221" s="125" t="s">
        <v>92</v>
      </c>
      <c r="C221" s="126" t="s">
        <v>112</v>
      </c>
      <c r="D221" s="126">
        <v>2021</v>
      </c>
      <c r="E221" s="118">
        <v>4596441</v>
      </c>
    </row>
    <row r="222" spans="2:5" x14ac:dyDescent="0.3">
      <c r="B222" s="125" t="s">
        <v>93</v>
      </c>
      <c r="C222" s="126" t="s">
        <v>113</v>
      </c>
      <c r="D222" s="126">
        <v>2020</v>
      </c>
      <c r="E222" s="118">
        <v>3940841</v>
      </c>
    </row>
    <row r="223" spans="2:5" x14ac:dyDescent="0.3">
      <c r="B223" s="125" t="s">
        <v>94</v>
      </c>
      <c r="C223" s="126" t="s">
        <v>114</v>
      </c>
      <c r="D223" s="126">
        <v>2024</v>
      </c>
      <c r="E223" s="118">
        <v>2036472</v>
      </c>
    </row>
    <row r="224" spans="2:5" x14ac:dyDescent="0.3">
      <c r="B224" s="125" t="s">
        <v>95</v>
      </c>
      <c r="C224" s="126" t="s">
        <v>114</v>
      </c>
      <c r="D224" s="126">
        <v>2026</v>
      </c>
      <c r="E224" s="118">
        <v>3228923</v>
      </c>
    </row>
    <row r="225" spans="2:5" x14ac:dyDescent="0.3">
      <c r="B225" s="125" t="s">
        <v>96</v>
      </c>
      <c r="C225" s="126" t="s">
        <v>114</v>
      </c>
      <c r="D225" s="126">
        <v>2025</v>
      </c>
      <c r="E225" s="118">
        <v>3733939</v>
      </c>
    </row>
    <row r="226" spans="2:5" x14ac:dyDescent="0.3">
      <c r="B226" s="125" t="s">
        <v>97</v>
      </c>
      <c r="C226" s="126" t="s">
        <v>112</v>
      </c>
      <c r="D226" s="126">
        <v>2020</v>
      </c>
      <c r="E226" s="118">
        <v>974168</v>
      </c>
    </row>
    <row r="227" spans="2:5" x14ac:dyDescent="0.3">
      <c r="B227" s="125" t="s">
        <v>98</v>
      </c>
      <c r="C227" s="126" t="s">
        <v>114</v>
      </c>
      <c r="D227" s="126">
        <v>2025</v>
      </c>
      <c r="E227" s="118">
        <v>4891897</v>
      </c>
    </row>
    <row r="228" spans="2:5" x14ac:dyDescent="0.3">
      <c r="B228" s="125" t="s">
        <v>99</v>
      </c>
      <c r="C228" s="126" t="s">
        <v>114</v>
      </c>
      <c r="D228" s="126">
        <v>2023</v>
      </c>
      <c r="E228" s="118">
        <v>4396889</v>
      </c>
    </row>
    <row r="229" spans="2:5" x14ac:dyDescent="0.3">
      <c r="B229" s="125" t="s">
        <v>100</v>
      </c>
      <c r="C229" s="126" t="s">
        <v>114</v>
      </c>
      <c r="D229" s="126">
        <v>2025</v>
      </c>
      <c r="E229" s="118">
        <v>4967299</v>
      </c>
    </row>
    <row r="230" spans="2:5" x14ac:dyDescent="0.3">
      <c r="B230" s="125" t="s">
        <v>101</v>
      </c>
      <c r="C230" s="126" t="s">
        <v>112</v>
      </c>
      <c r="D230" s="126">
        <v>2025</v>
      </c>
      <c r="E230" s="118">
        <v>1909867</v>
      </c>
    </row>
    <row r="231" spans="2:5" x14ac:dyDescent="0.3">
      <c r="B231" s="125" t="s">
        <v>102</v>
      </c>
      <c r="C231" s="126" t="s">
        <v>114</v>
      </c>
      <c r="D231" s="126">
        <v>2023</v>
      </c>
      <c r="E231" s="118">
        <v>3733806</v>
      </c>
    </row>
    <row r="232" spans="2:5" x14ac:dyDescent="0.3">
      <c r="B232" s="125" t="s">
        <v>103</v>
      </c>
      <c r="C232" s="126" t="s">
        <v>112</v>
      </c>
      <c r="D232" s="126">
        <v>2021</v>
      </c>
      <c r="E232" s="118">
        <v>3153556</v>
      </c>
    </row>
    <row r="233" spans="2:5" x14ac:dyDescent="0.3">
      <c r="B233" s="125" t="s">
        <v>104</v>
      </c>
      <c r="C233" s="126" t="s">
        <v>114</v>
      </c>
      <c r="D233" s="126">
        <v>2026</v>
      </c>
      <c r="E233" s="118">
        <f>484444+22000000</f>
        <v>22484444</v>
      </c>
    </row>
    <row r="234" spans="2:5" x14ac:dyDescent="0.3">
      <c r="B234" s="125" t="s">
        <v>105</v>
      </c>
      <c r="C234" s="126" t="s">
        <v>114</v>
      </c>
      <c r="D234" s="126">
        <v>2023</v>
      </c>
      <c r="E234" s="118">
        <v>2661196</v>
      </c>
    </row>
    <row r="235" spans="2:5" x14ac:dyDescent="0.3">
      <c r="B235" s="125" t="s">
        <v>106</v>
      </c>
      <c r="C235" s="126" t="s">
        <v>112</v>
      </c>
      <c r="D235" s="126">
        <v>2021</v>
      </c>
      <c r="E235" s="118">
        <v>896791</v>
      </c>
    </row>
    <row r="236" spans="2:5" x14ac:dyDescent="0.3">
      <c r="B236" s="125" t="s">
        <v>107</v>
      </c>
      <c r="C236" s="126" t="s">
        <v>114</v>
      </c>
      <c r="D236" s="126">
        <v>2025</v>
      </c>
      <c r="E236" s="118">
        <v>2360209</v>
      </c>
    </row>
    <row r="237" spans="2:5" x14ac:dyDescent="0.3">
      <c r="B237" s="125" t="s">
        <v>108</v>
      </c>
      <c r="C237" s="126" t="s">
        <v>112</v>
      </c>
      <c r="D237" s="126">
        <v>2025</v>
      </c>
      <c r="E237" s="118">
        <f>37780300-37000000</f>
        <v>780300</v>
      </c>
    </row>
    <row r="238" spans="2:5" x14ac:dyDescent="0.3">
      <c r="B238" s="125" t="s">
        <v>109</v>
      </c>
      <c r="C238" s="126" t="s">
        <v>113</v>
      </c>
      <c r="D238" s="126">
        <v>2021</v>
      </c>
      <c r="E238" s="118">
        <v>1282567</v>
      </c>
    </row>
    <row r="239" spans="2:5" x14ac:dyDescent="0.3">
      <c r="B239" s="125" t="s">
        <v>110</v>
      </c>
      <c r="C239" s="126" t="s">
        <v>114</v>
      </c>
      <c r="D239" s="126">
        <v>2025</v>
      </c>
      <c r="E239" s="118">
        <v>3746550</v>
      </c>
    </row>
    <row r="242" spans="2:2" x14ac:dyDescent="0.3">
      <c r="B242" s="73"/>
    </row>
  </sheetData>
  <pageMargins left="0.7" right="0.7" top="0.75" bottom="0.75" header="0.3" footer="0.3"/>
  <pageSetup paperSize="9" scale="2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100DA-7312-4EEE-A159-1D6A0510D708}">
  <dimension ref="A2:R15"/>
  <sheetViews>
    <sheetView showGridLines="0" view="pageBreakPreview" topLeftCell="C1" zoomScale="85" zoomScaleNormal="100" zoomScaleSheetLayoutView="85" workbookViewId="0">
      <selection activeCell="P13" sqref="P13"/>
    </sheetView>
  </sheetViews>
  <sheetFormatPr baseColWidth="10" defaultColWidth="11.44140625" defaultRowHeight="14.4" x14ac:dyDescent="0.3"/>
  <cols>
    <col min="2" max="2" width="8.6640625" customWidth="1"/>
    <col min="3" max="3" width="32.44140625" bestFit="1" customWidth="1"/>
    <col min="5" max="5" width="16.33203125" bestFit="1" customWidth="1"/>
    <col min="7" max="7" width="17.44140625" customWidth="1"/>
    <col min="8" max="8" width="16.109375" customWidth="1"/>
    <col min="10" max="11" width="17.6640625" customWidth="1"/>
    <col min="13" max="13" width="13.33203125" bestFit="1" customWidth="1"/>
    <col min="17" max="17" width="14.6640625" bestFit="1" customWidth="1"/>
    <col min="18" max="18" width="12.33203125" bestFit="1" customWidth="1"/>
    <col min="19" max="16384" width="11.44140625" style="102"/>
  </cols>
  <sheetData>
    <row r="2" spans="1:18" x14ac:dyDescent="0.3">
      <c r="B2" s="102"/>
    </row>
    <row r="3" spans="1:18" s="103" customFormat="1" x14ac:dyDescent="0.3">
      <c r="A3" s="81"/>
      <c r="B3" s="81"/>
      <c r="C3" s="81"/>
      <c r="D3" s="81"/>
      <c r="E3" s="81"/>
      <c r="F3" s="82"/>
      <c r="G3" s="149" t="s">
        <v>121</v>
      </c>
      <c r="H3" s="149"/>
      <c r="I3" s="82" t="s">
        <v>122</v>
      </c>
      <c r="J3" s="149" t="s">
        <v>123</v>
      </c>
      <c r="K3" s="149"/>
      <c r="L3" s="81" t="s">
        <v>122</v>
      </c>
      <c r="M3" s="82" t="s">
        <v>124</v>
      </c>
      <c r="N3" s="149" t="s">
        <v>125</v>
      </c>
      <c r="O3" s="149"/>
      <c r="P3" s="82" t="s">
        <v>122</v>
      </c>
      <c r="Q3" s="149" t="s">
        <v>126</v>
      </c>
      <c r="R3" s="149"/>
    </row>
    <row r="4" spans="1:18" s="103" customFormat="1" x14ac:dyDescent="0.3">
      <c r="A4" s="81"/>
      <c r="B4" s="83"/>
      <c r="C4" s="84" t="s">
        <v>127</v>
      </c>
      <c r="D4" s="85" t="s">
        <v>128</v>
      </c>
      <c r="E4" s="85" t="s">
        <v>129</v>
      </c>
      <c r="F4" s="83" t="s">
        <v>130</v>
      </c>
      <c r="G4" s="86" t="s">
        <v>131</v>
      </c>
      <c r="H4" s="85" t="s">
        <v>132</v>
      </c>
      <c r="I4" s="87" t="s">
        <v>133</v>
      </c>
      <c r="J4" s="85" t="s">
        <v>131</v>
      </c>
      <c r="K4" s="85" t="s">
        <v>132</v>
      </c>
      <c r="L4" s="88" t="s">
        <v>133</v>
      </c>
      <c r="M4" s="83" t="s">
        <v>134</v>
      </c>
      <c r="N4" s="85" t="s">
        <v>131</v>
      </c>
      <c r="O4" s="85" t="s">
        <v>132</v>
      </c>
      <c r="P4" s="87" t="s">
        <v>133</v>
      </c>
      <c r="Q4" s="85" t="s">
        <v>131</v>
      </c>
      <c r="R4" s="85" t="s">
        <v>132</v>
      </c>
    </row>
    <row r="5" spans="1:18" x14ac:dyDescent="0.3">
      <c r="B5" s="150"/>
      <c r="C5" s="89" t="s">
        <v>140</v>
      </c>
      <c r="D5">
        <v>18.09</v>
      </c>
      <c r="E5">
        <v>1042</v>
      </c>
      <c r="F5" s="91">
        <v>952</v>
      </c>
      <c r="G5">
        <v>3.2</v>
      </c>
      <c r="H5">
        <v>3.2</v>
      </c>
      <c r="I5" s="92">
        <v>0.24</v>
      </c>
      <c r="J5">
        <v>9.1999999999999993</v>
      </c>
      <c r="K5">
        <v>6.6</v>
      </c>
      <c r="L5" s="93">
        <v>0.25</v>
      </c>
      <c r="M5" s="92">
        <v>0.44</v>
      </c>
      <c r="N5">
        <v>15.3</v>
      </c>
      <c r="O5">
        <v>11.9</v>
      </c>
      <c r="P5" s="92">
        <v>0.31</v>
      </c>
      <c r="Q5" s="90">
        <v>0.02</v>
      </c>
      <c r="R5" s="90">
        <v>-0.01</v>
      </c>
    </row>
    <row r="6" spans="1:18" x14ac:dyDescent="0.3">
      <c r="B6" s="151"/>
      <c r="C6" s="89" t="s">
        <v>141</v>
      </c>
      <c r="D6">
        <v>59.86</v>
      </c>
      <c r="E6">
        <v>10676</v>
      </c>
      <c r="F6" s="91">
        <v>9615</v>
      </c>
      <c r="G6">
        <v>3.5</v>
      </c>
      <c r="H6">
        <v>3.4</v>
      </c>
      <c r="I6" s="92">
        <v>0.2</v>
      </c>
      <c r="J6">
        <v>11.3</v>
      </c>
      <c r="K6">
        <v>12.3</v>
      </c>
      <c r="L6" s="93">
        <v>0.24</v>
      </c>
      <c r="M6" s="92">
        <v>0.38</v>
      </c>
      <c r="N6">
        <v>33.5</v>
      </c>
      <c r="P6" s="91"/>
      <c r="Q6" s="90">
        <v>0.03</v>
      </c>
      <c r="R6" s="90">
        <v>0.03</v>
      </c>
    </row>
    <row r="7" spans="1:18" x14ac:dyDescent="0.3">
      <c r="B7" s="151"/>
      <c r="C7" s="89" t="s">
        <v>142</v>
      </c>
      <c r="D7">
        <v>33.9</v>
      </c>
      <c r="E7">
        <v>5692</v>
      </c>
      <c r="F7" s="91">
        <v>4919</v>
      </c>
      <c r="G7">
        <v>3.7</v>
      </c>
      <c r="H7">
        <v>3.6</v>
      </c>
      <c r="I7" s="92">
        <v>0.24</v>
      </c>
      <c r="J7">
        <v>10</v>
      </c>
      <c r="L7" s="93">
        <v>-0.03</v>
      </c>
      <c r="M7" s="92">
        <v>-0.08</v>
      </c>
      <c r="P7" s="91"/>
      <c r="Q7" s="90">
        <v>-0.02</v>
      </c>
      <c r="R7" s="90">
        <v>0.03</v>
      </c>
    </row>
    <row r="8" spans="1:18" ht="23.25" customHeight="1" x14ac:dyDescent="0.3">
      <c r="B8" s="151"/>
      <c r="C8" s="89" t="s">
        <v>142</v>
      </c>
      <c r="D8">
        <v>82.03</v>
      </c>
      <c r="E8">
        <v>2797</v>
      </c>
      <c r="F8" s="91">
        <v>2585</v>
      </c>
      <c r="G8">
        <v>4.9000000000000004</v>
      </c>
      <c r="H8">
        <v>4</v>
      </c>
      <c r="I8" s="92">
        <v>0.5</v>
      </c>
      <c r="J8">
        <v>10.8</v>
      </c>
      <c r="K8">
        <v>11.1</v>
      </c>
      <c r="L8" s="93"/>
      <c r="M8" s="92">
        <v>-7.0000000000000007E-2</v>
      </c>
      <c r="P8" s="92">
        <v>-0.34</v>
      </c>
      <c r="Q8" s="90">
        <v>0</v>
      </c>
      <c r="R8" s="90">
        <v>0</v>
      </c>
    </row>
    <row r="9" spans="1:18" ht="23.25" customHeight="1" x14ac:dyDescent="0.3">
      <c r="B9" s="151"/>
      <c r="C9" s="89" t="s">
        <v>143</v>
      </c>
      <c r="D9">
        <v>187.48</v>
      </c>
      <c r="E9">
        <v>8813</v>
      </c>
      <c r="F9" s="91">
        <v>8890</v>
      </c>
      <c r="G9">
        <v>3.9</v>
      </c>
      <c r="H9">
        <v>4</v>
      </c>
      <c r="I9" s="92">
        <v>0.28000000000000003</v>
      </c>
      <c r="J9">
        <v>10.3</v>
      </c>
      <c r="L9" s="93"/>
      <c r="M9" s="92">
        <v>0</v>
      </c>
      <c r="P9" s="92">
        <v>-0.1</v>
      </c>
      <c r="Q9" s="90"/>
      <c r="R9" s="90"/>
    </row>
    <row r="10" spans="1:18" ht="23.25" customHeight="1" x14ac:dyDescent="0.3">
      <c r="B10" s="151"/>
      <c r="C10" s="89" t="s">
        <v>144</v>
      </c>
      <c r="D10">
        <v>51.5</v>
      </c>
      <c r="E10">
        <v>3013</v>
      </c>
      <c r="F10" s="91">
        <v>2561</v>
      </c>
      <c r="G10">
        <v>4.8</v>
      </c>
      <c r="H10">
        <v>3.6</v>
      </c>
      <c r="I10" s="92">
        <v>0.54</v>
      </c>
      <c r="J10">
        <v>10.8</v>
      </c>
      <c r="K10">
        <v>11.9</v>
      </c>
      <c r="L10" s="93"/>
      <c r="M10" s="92">
        <v>0.11</v>
      </c>
      <c r="P10" s="91"/>
      <c r="Q10" s="90">
        <v>0.01</v>
      </c>
      <c r="R10" s="90">
        <v>0.03</v>
      </c>
    </row>
    <row r="11" spans="1:18" ht="23.25" customHeight="1" x14ac:dyDescent="0.3">
      <c r="B11" s="151"/>
      <c r="C11" s="89" t="s">
        <v>145</v>
      </c>
      <c r="D11">
        <v>2.9</v>
      </c>
      <c r="E11">
        <v>604</v>
      </c>
      <c r="F11" s="91">
        <v>517</v>
      </c>
      <c r="G11">
        <v>2.7</v>
      </c>
      <c r="H11">
        <v>2.2000000000000002</v>
      </c>
      <c r="I11" s="92">
        <v>0.24</v>
      </c>
      <c r="J11">
        <v>8.8000000000000007</v>
      </c>
      <c r="L11" s="93"/>
      <c r="M11" s="92"/>
      <c r="P11" s="91"/>
      <c r="Q11" s="90"/>
      <c r="R11" s="90"/>
    </row>
    <row r="12" spans="1:18" ht="23.25" customHeight="1" x14ac:dyDescent="0.3">
      <c r="B12" s="91"/>
      <c r="C12" s="98"/>
      <c r="F12" s="91"/>
      <c r="I12" s="91"/>
      <c r="M12" s="91"/>
      <c r="P12" s="91"/>
    </row>
    <row r="13" spans="1:18" ht="23.25" customHeight="1" x14ac:dyDescent="0.3">
      <c r="A13" s="95"/>
      <c r="B13" s="94"/>
      <c r="C13" s="95" t="s">
        <v>135</v>
      </c>
      <c r="D13" s="95"/>
      <c r="E13" s="95"/>
      <c r="F13" s="94"/>
      <c r="G13" s="99">
        <f>MEDIAN(G5:G11)</f>
        <v>3.7</v>
      </c>
      <c r="H13" s="99">
        <f>MEDIAN(H5:H11)</f>
        <v>3.6</v>
      </c>
      <c r="I13" s="94"/>
      <c r="J13" s="99">
        <f>MEDIAN(J5:J11)</f>
        <v>10.3</v>
      </c>
      <c r="K13" s="99">
        <f>MEDIAN(K5:K11)</f>
        <v>11.5</v>
      </c>
      <c r="L13" s="95"/>
      <c r="M13" s="94"/>
      <c r="N13" s="99"/>
      <c r="O13" s="99"/>
      <c r="P13" s="94"/>
      <c r="Q13" s="127"/>
      <c r="R13" s="94"/>
    </row>
    <row r="14" spans="1:18" ht="23.25" customHeight="1" x14ac:dyDescent="0.3">
      <c r="A14" s="95"/>
      <c r="B14" s="94"/>
      <c r="C14" s="95" t="s">
        <v>136</v>
      </c>
      <c r="D14" s="95"/>
      <c r="E14" s="95"/>
      <c r="F14" s="94"/>
      <c r="G14" s="99">
        <f>AVERAGE(G5:G11)</f>
        <v>3.8142857142857141</v>
      </c>
      <c r="H14" s="99">
        <f>AVERAGE(H5:H11)</f>
        <v>3.4285714285714284</v>
      </c>
      <c r="I14" s="97"/>
      <c r="J14" s="99">
        <f>AVERAGE(J5:J11)</f>
        <v>10.171428571428569</v>
      </c>
      <c r="K14" s="99">
        <f>AVERAGE(K5:K11)</f>
        <v>10.475</v>
      </c>
      <c r="L14" s="96"/>
      <c r="M14" s="97"/>
      <c r="N14" s="99"/>
      <c r="O14" s="99"/>
      <c r="P14" s="97"/>
      <c r="Q14" s="96"/>
      <c r="R14" s="97"/>
    </row>
    <row r="15" spans="1:18" x14ac:dyDescent="0.3">
      <c r="B15" s="101"/>
      <c r="C15" s="102"/>
      <c r="F15" s="101"/>
      <c r="G15" s="101"/>
      <c r="H15" s="101"/>
      <c r="I15" s="101"/>
      <c r="J15" s="101"/>
      <c r="K15" s="101"/>
      <c r="L15" s="101"/>
      <c r="M15" s="101"/>
      <c r="N15" s="101"/>
      <c r="O15" s="101"/>
      <c r="P15" s="101"/>
      <c r="Q15" s="101"/>
    </row>
  </sheetData>
  <mergeCells count="5">
    <mergeCell ref="G3:H3"/>
    <mergeCell ref="J3:K3"/>
    <mergeCell ref="N3:O3"/>
    <mergeCell ref="Q3:R3"/>
    <mergeCell ref="B5:B11"/>
  </mergeCells>
  <pageMargins left="0.7" right="0.7" top="0.78740157499999996" bottom="0.78740157499999996" header="0.3" footer="0.3"/>
  <pageSetup paperSize="9" scale="3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1C07-DBC1-4021-B41A-BA9771EDD73C}">
  <sheetPr>
    <tabColor rgb="FF92D050"/>
  </sheetPr>
  <dimension ref="B6"/>
  <sheetViews>
    <sheetView showGridLines="0" view="pageBreakPreview" zoomScaleNormal="100" zoomScaleSheetLayoutView="100" workbookViewId="0">
      <selection activeCell="B1" sqref="B1"/>
    </sheetView>
  </sheetViews>
  <sheetFormatPr baseColWidth="10" defaultColWidth="8.88671875" defaultRowHeight="14.4" x14ac:dyDescent="0.3"/>
  <sheetData>
    <row r="6" spans="2:2" ht="28.2" x14ac:dyDescent="0.5">
      <c r="B6" s="104" t="s">
        <v>147</v>
      </c>
    </row>
  </sheetData>
  <pageMargins left="0.7" right="0.7" top="0.75" bottom="0.75" header="0.3" footer="0.3"/>
  <pageSetup paperSize="9" scale="7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F529C-3077-4B6D-B46D-D8419D4BBB70}">
  <sheetPr>
    <tabColor theme="4"/>
  </sheetPr>
  <dimension ref="B2:R34"/>
  <sheetViews>
    <sheetView showGridLines="0" view="pageBreakPreview" topLeftCell="A7" zoomScale="55" zoomScaleNormal="85" zoomScaleSheetLayoutView="100" workbookViewId="0">
      <selection activeCell="L22" sqref="L22:N32"/>
    </sheetView>
  </sheetViews>
  <sheetFormatPr baseColWidth="10" defaultColWidth="9.109375" defaultRowHeight="13.8" x14ac:dyDescent="0.25"/>
  <cols>
    <col min="1" max="1" width="1.6640625" style="106" customWidth="1"/>
    <col min="2" max="2" width="24.88671875" style="106" customWidth="1"/>
    <col min="3" max="3" width="10.6640625" style="106" customWidth="1"/>
    <col min="4" max="4" width="20.88671875" style="106" customWidth="1"/>
    <col min="5" max="5" width="19.21875" style="106" customWidth="1"/>
    <col min="6" max="6" width="1.44140625" style="106" customWidth="1"/>
    <col min="7" max="7" width="24.88671875" style="106" customWidth="1"/>
    <col min="8" max="8" width="13.5546875" style="106" customWidth="1"/>
    <col min="9" max="9" width="22.33203125" style="107" customWidth="1"/>
    <col min="10" max="10" width="34.109375" style="106" customWidth="1"/>
    <col min="11" max="11" width="1.44140625" style="123" customWidth="1"/>
    <col min="12" max="12" width="22.109375" style="106" customWidth="1"/>
    <col min="13" max="13" width="37.44140625" style="106" customWidth="1"/>
    <col min="14" max="14" width="22.5546875" style="106" customWidth="1"/>
    <col min="15" max="15" width="9.109375" style="106"/>
    <col min="16" max="16" width="17.88671875" style="106" customWidth="1"/>
    <col min="17" max="17" width="21.88671875" style="106" customWidth="1"/>
    <col min="18" max="18" width="19.77734375" style="106" customWidth="1"/>
    <col min="19" max="19" width="12.21875" style="106" bestFit="1" customWidth="1"/>
    <col min="20" max="24" width="9.109375" style="106"/>
    <col min="25" max="25" width="9.109375" style="106" customWidth="1"/>
    <col min="26" max="16384" width="9.109375" style="106"/>
  </cols>
  <sheetData>
    <row r="2" spans="2:14" ht="17.399999999999999" x14ac:dyDescent="0.3">
      <c r="B2" s="105" t="s">
        <v>148</v>
      </c>
    </row>
    <row r="4" spans="2:14" x14ac:dyDescent="0.25">
      <c r="B4" s="108" t="s">
        <v>149</v>
      </c>
      <c r="C4" s="108"/>
      <c r="D4" s="108"/>
      <c r="E4" s="108"/>
      <c r="F4" s="108"/>
      <c r="G4" s="108"/>
      <c r="H4" s="108"/>
      <c r="I4" s="109"/>
    </row>
    <row r="5" spans="2:14" x14ac:dyDescent="0.25">
      <c r="B5" s="147" t="s">
        <v>189</v>
      </c>
      <c r="C5" s="147"/>
      <c r="D5" s="147"/>
      <c r="E5" s="147"/>
      <c r="F5" s="147"/>
      <c r="G5" s="147"/>
      <c r="H5" s="147"/>
      <c r="I5" s="147"/>
      <c r="J5" s="147"/>
      <c r="K5" s="124"/>
    </row>
    <row r="6" spans="2:14" ht="369.75" customHeight="1" x14ac:dyDescent="0.25">
      <c r="B6" s="148"/>
      <c r="C6" s="148"/>
      <c r="D6" s="148"/>
      <c r="E6" s="148"/>
      <c r="F6" s="148"/>
      <c r="G6" s="148"/>
      <c r="H6" s="148"/>
      <c r="I6" s="148"/>
      <c r="J6" s="148"/>
      <c r="K6" s="124"/>
    </row>
    <row r="7" spans="2:14" x14ac:dyDescent="0.25">
      <c r="I7" s="110"/>
    </row>
    <row r="8" spans="2:14" x14ac:dyDescent="0.25">
      <c r="B8" s="121" t="s">
        <v>190</v>
      </c>
      <c r="I8" s="110"/>
    </row>
    <row r="9" spans="2:14" x14ac:dyDescent="0.25">
      <c r="B9" s="106" t="s">
        <v>170</v>
      </c>
      <c r="I9" s="110"/>
    </row>
    <row r="10" spans="2:14" x14ac:dyDescent="0.25">
      <c r="B10" s="106" t="s">
        <v>150</v>
      </c>
      <c r="I10" s="110"/>
      <c r="M10" s="111"/>
      <c r="N10" s="111"/>
    </row>
    <row r="11" spans="2:14" x14ac:dyDescent="0.25">
      <c r="I11" s="106"/>
    </row>
    <row r="12" spans="2:14" x14ac:dyDescent="0.25">
      <c r="B12" s="111" t="s">
        <v>151</v>
      </c>
      <c r="C12" s="111"/>
      <c r="D12" s="111"/>
      <c r="E12" s="111"/>
      <c r="G12" s="111"/>
      <c r="I12" s="110"/>
      <c r="M12" s="106" t="s">
        <v>195</v>
      </c>
      <c r="N12" s="143">
        <f>SUM(M33:N33)</f>
        <v>7603216.6610391364</v>
      </c>
    </row>
    <row r="13" spans="2:14" s="114" customFormat="1" ht="14.4" x14ac:dyDescent="0.3">
      <c r="B13" s="6" t="s">
        <v>152</v>
      </c>
      <c r="C13" s="6" t="s">
        <v>153</v>
      </c>
      <c r="D13" s="112">
        <v>2020</v>
      </c>
      <c r="E13" s="113">
        <f>D13+1</f>
        <v>2021</v>
      </c>
      <c r="F13" s="10"/>
      <c r="G13" s="6" t="s">
        <v>178</v>
      </c>
      <c r="H13" s="106"/>
      <c r="I13" s="110"/>
      <c r="J13" s="106"/>
      <c r="K13" s="123"/>
      <c r="L13" s="106"/>
      <c r="N13" s="144"/>
    </row>
    <row r="14" spans="2:14" x14ac:dyDescent="0.25">
      <c r="B14" s="106" t="s">
        <v>154</v>
      </c>
      <c r="C14" s="106" t="s">
        <v>155</v>
      </c>
      <c r="D14" s="115">
        <v>1</v>
      </c>
      <c r="E14" s="115">
        <v>1</v>
      </c>
      <c r="F14" s="71"/>
      <c r="G14" s="106" t="s">
        <v>177</v>
      </c>
      <c r="I14" s="110"/>
      <c r="M14" s="106" t="s">
        <v>196</v>
      </c>
      <c r="N14" s="134">
        <f>N33/N12</f>
        <v>0.91077451935370479</v>
      </c>
    </row>
    <row r="15" spans="2:14" x14ac:dyDescent="0.25">
      <c r="B15" s="106" t="s">
        <v>172</v>
      </c>
      <c r="C15" s="106" t="s">
        <v>173</v>
      </c>
      <c r="D15" s="115">
        <v>6.8180000000000004E-2</v>
      </c>
      <c r="E15" s="115">
        <v>6.2740000000000004E-2</v>
      </c>
      <c r="F15" s="71"/>
      <c r="G15" s="106" t="s">
        <v>176</v>
      </c>
      <c r="I15" s="110"/>
      <c r="N15" s="133"/>
    </row>
    <row r="16" spans="2:14" x14ac:dyDescent="0.25">
      <c r="B16" s="106" t="s">
        <v>175</v>
      </c>
      <c r="C16" s="106" t="s">
        <v>174</v>
      </c>
      <c r="D16" s="115">
        <v>1E-3</v>
      </c>
      <c r="E16" s="115">
        <v>9.5E-4</v>
      </c>
      <c r="F16" s="71"/>
      <c r="G16" s="106" t="s">
        <v>179</v>
      </c>
      <c r="I16" s="110"/>
      <c r="M16" s="106" t="s">
        <v>197</v>
      </c>
      <c r="N16" s="134">
        <f>M33/N12</f>
        <v>8.9225480646295124E-2</v>
      </c>
    </row>
    <row r="17" spans="2:18" x14ac:dyDescent="0.25">
      <c r="B17" s="106" t="s">
        <v>156</v>
      </c>
      <c r="C17" s="106" t="s">
        <v>157</v>
      </c>
      <c r="D17" s="115">
        <v>1.3649</v>
      </c>
      <c r="E17" s="115">
        <v>1.35104</v>
      </c>
      <c r="F17" s="71"/>
      <c r="G17" s="106" t="s">
        <v>180</v>
      </c>
      <c r="I17" s="110"/>
    </row>
    <row r="18" spans="2:18" x14ac:dyDescent="0.25">
      <c r="I18" s="110"/>
    </row>
    <row r="19" spans="2:18" x14ac:dyDescent="0.25">
      <c r="B19" s="106" t="s">
        <v>181</v>
      </c>
      <c r="I19" s="110"/>
    </row>
    <row r="20" spans="2:18" x14ac:dyDescent="0.25">
      <c r="I20" s="110"/>
    </row>
    <row r="21" spans="2:18" x14ac:dyDescent="0.25">
      <c r="B21" s="111" t="s">
        <v>182</v>
      </c>
      <c r="C21" s="111"/>
      <c r="D21" s="111"/>
      <c r="E21" s="111"/>
      <c r="H21" s="111" t="s">
        <v>191</v>
      </c>
      <c r="I21" s="111"/>
      <c r="J21" s="111"/>
      <c r="L21" s="111"/>
      <c r="M21" s="111"/>
      <c r="N21" s="111"/>
      <c r="P21" s="123"/>
      <c r="Q21" s="138"/>
      <c r="R21" s="123"/>
    </row>
    <row r="22" spans="2:18" s="114" customFormat="1" ht="14.4" x14ac:dyDescent="0.3">
      <c r="B22" s="6" t="s">
        <v>158</v>
      </c>
      <c r="C22" s="6" t="s">
        <v>152</v>
      </c>
      <c r="D22" s="112">
        <v>2020</v>
      </c>
      <c r="E22" s="113">
        <f>D22+1</f>
        <v>2021</v>
      </c>
      <c r="F22" s="106"/>
      <c r="G22" s="106"/>
      <c r="H22" s="6" t="s">
        <v>158</v>
      </c>
      <c r="I22" s="112">
        <v>2020</v>
      </c>
      <c r="J22" s="113">
        <f>I22+1</f>
        <v>2021</v>
      </c>
      <c r="K22" s="123"/>
      <c r="L22" s="106" t="s">
        <v>192</v>
      </c>
      <c r="M22" s="106" t="s">
        <v>193</v>
      </c>
      <c r="N22" s="106" t="s">
        <v>194</v>
      </c>
      <c r="P22" s="139"/>
      <c r="Q22" s="138"/>
      <c r="R22" s="139"/>
    </row>
    <row r="23" spans="2:18" ht="14.4" x14ac:dyDescent="0.3">
      <c r="B23" s="116" t="s">
        <v>159</v>
      </c>
      <c r="C23" s="116" t="s">
        <v>172</v>
      </c>
      <c r="D23" s="76" cm="1">
        <f t="array" ref="D23">+_xlfn.XLOOKUP($B23, 'Multi-currency order book'!$B$7:$B$36, 'Multi-currency order book'!D$7:D$36, FEHLER, 0)</f>
        <v>30800821.355236139</v>
      </c>
      <c r="E23" s="76" cm="1">
        <f t="array" ref="E23">_xlfn.XLOOKUP($B23, 'Multi-currency order book'!$B$7:$B$36, 'Multi-currency order book'!E$7:E$36, FEHLER, 0)</f>
        <v>51004144.086707041</v>
      </c>
      <c r="H23" s="116" t="s">
        <v>159</v>
      </c>
      <c r="I23" s="76">
        <f>D23*_xlfn.XLOOKUP($C23,$B$14:$B$17,D$14:D$17, 0, 0,1)</f>
        <v>2100000</v>
      </c>
      <c r="J23" s="76">
        <f>E23*_xlfn.XLOOKUP($C23,$B$14:$B$17,E$14:E$17, 0, 0,1)</f>
        <v>3200000</v>
      </c>
      <c r="L23" s="141">
        <f>E23*_xlfn.XLOOKUP($C23,$B$14:$B$17,D$14:D$17, 0, 0,1)</f>
        <v>3477462.5438316865</v>
      </c>
      <c r="M23" s="142">
        <f>L23-J23</f>
        <v>277462.54383168649</v>
      </c>
      <c r="N23" s="137">
        <f>J23-I23</f>
        <v>1100000</v>
      </c>
      <c r="P23" s="123"/>
      <c r="Q23" s="138"/>
      <c r="R23" s="139"/>
    </row>
    <row r="24" spans="2:18" ht="14.4" x14ac:dyDescent="0.3">
      <c r="B24" s="116" t="s">
        <v>160</v>
      </c>
      <c r="C24" s="106" t="s">
        <v>156</v>
      </c>
      <c r="D24" s="76" cm="1">
        <f t="array" ref="D24">_xlfn.XLOOKUP($B24, 'Multi-currency order book'!$B$7:$B$36, 'Multi-currency order book'!D$7:D$36, FEHLER, 0)</f>
        <v>1465308.8138325152</v>
      </c>
      <c r="E24" s="76" cm="1">
        <f t="array" ref="E24">_xlfn.XLOOKUP($B24, 'Multi-currency order book'!$B$7:$B$36, 'Multi-currency order book'!E$7:E$36, FEHLER, 0)</f>
        <v>1554358.1241117953</v>
      </c>
      <c r="H24" s="116" t="s">
        <v>160</v>
      </c>
      <c r="I24" s="76">
        <f t="shared" ref="I24:J32" si="0">D24*_xlfn.XLOOKUP($C24,$B$14:$B$17,D$14:D$17, 0, 0,1)</f>
        <v>2000000</v>
      </c>
      <c r="J24" s="76">
        <f t="shared" si="0"/>
        <v>2100000</v>
      </c>
      <c r="L24" s="141">
        <f t="shared" ref="L24:L32" si="1">E24*_xlfn.XLOOKUP($C24,$B$14:$B$17,D$14:D$17, 0, 0,1)</f>
        <v>2121543.4036001894</v>
      </c>
      <c r="M24" s="142">
        <f t="shared" ref="M24:M32" si="2">L24-J24</f>
        <v>21543.403600189369</v>
      </c>
      <c r="N24" s="137">
        <f t="shared" ref="N24:N32" si="3">J24-I24</f>
        <v>100000</v>
      </c>
      <c r="P24" s="123"/>
      <c r="Q24" s="138"/>
      <c r="R24" s="139"/>
    </row>
    <row r="25" spans="2:18" ht="14.4" x14ac:dyDescent="0.3">
      <c r="B25" s="116" t="s">
        <v>161</v>
      </c>
      <c r="C25" s="106" t="s">
        <v>175</v>
      </c>
      <c r="D25" s="76" cm="1">
        <f t="array" ref="D25">_xlfn.XLOOKUP($B25, 'Multi-currency order book'!$B$7:$B$36, 'Multi-currency order book'!D$7:D$36, FEHLER, 0)</f>
        <v>1800000000</v>
      </c>
      <c r="E25" s="76" cm="1">
        <f t="array" ref="E25">_xlfn.XLOOKUP($B25, 'Multi-currency order book'!$B$7:$B$36, 'Multi-currency order book'!E$7:E$36, FEHLER, 0)</f>
        <v>2052631578.9473684</v>
      </c>
      <c r="H25" s="116" t="s">
        <v>161</v>
      </c>
      <c r="I25" s="76">
        <f>D25*_xlfn.XLOOKUP($C25,$B$14:$B$17,D$14:D$17, 0, 0,1)</f>
        <v>1800000</v>
      </c>
      <c r="J25" s="76">
        <f>E25*_xlfn.XLOOKUP($C25,$B$14:$B$17,E$14:E$17, 0, 0,1)</f>
        <v>1950000</v>
      </c>
      <c r="L25" s="141">
        <f t="shared" si="1"/>
        <v>2052631.5789473683</v>
      </c>
      <c r="M25" s="142">
        <f t="shared" si="2"/>
        <v>102631.57894736831</v>
      </c>
      <c r="N25" s="137">
        <f t="shared" si="3"/>
        <v>150000</v>
      </c>
      <c r="P25" s="123"/>
      <c r="Q25" s="138"/>
      <c r="R25" s="139"/>
    </row>
    <row r="26" spans="2:18" ht="14.4" x14ac:dyDescent="0.3">
      <c r="B26" s="116" t="s">
        <v>162</v>
      </c>
      <c r="C26" s="106" t="s">
        <v>156</v>
      </c>
      <c r="D26" s="76" cm="1">
        <f t="array" ref="D26">_xlfn.XLOOKUP($B26, 'Multi-currency order book'!$B$7:$B$36, 'Multi-currency order book'!D$7:D$36, FEHLER, 0)</f>
        <v>0</v>
      </c>
      <c r="E26" s="76" cm="1">
        <f t="array" ref="E26">_xlfn.XLOOKUP($B26, 'Multi-currency order book'!$B$7:$B$36, 'Multi-currency order book'!E$7:E$36, FEHLER, 0)</f>
        <v>1298259.1189009948</v>
      </c>
      <c r="H26" s="116" t="s">
        <v>162</v>
      </c>
      <c r="I26" s="76">
        <f t="shared" si="0"/>
        <v>0</v>
      </c>
      <c r="J26" s="76">
        <f>E26*_xlfn.XLOOKUP($C26,$B$14:$B$17,E$14:E$17, 0, 0,1)</f>
        <v>1754000</v>
      </c>
      <c r="L26" s="141">
        <f t="shared" si="1"/>
        <v>1771993.8713879678</v>
      </c>
      <c r="M26" s="142">
        <f t="shared" si="2"/>
        <v>17993.87138796784</v>
      </c>
      <c r="N26" s="137">
        <f t="shared" si="3"/>
        <v>1754000</v>
      </c>
      <c r="P26" s="123"/>
      <c r="Q26" s="138"/>
      <c r="R26" s="139"/>
    </row>
    <row r="27" spans="2:18" ht="14.4" x14ac:dyDescent="0.3">
      <c r="B27" s="116" t="s">
        <v>163</v>
      </c>
      <c r="C27" s="106" t="s">
        <v>154</v>
      </c>
      <c r="D27" s="76" cm="1">
        <f t="array" ref="D27">_xlfn.XLOOKUP($B27, 'Multi-currency order book'!$B$7:$B$36, 'Multi-currency order book'!D$7:D$36, FEHLER, 0)</f>
        <v>500000</v>
      </c>
      <c r="E27" s="76" cm="1">
        <f t="array" ref="E27">_xlfn.XLOOKUP($B27, 'Multi-currency order book'!$B$7:$B$36, 'Multi-currency order book'!E$7:E$36, FEHLER, 0)</f>
        <v>1500000</v>
      </c>
      <c r="H27" s="116" t="s">
        <v>163</v>
      </c>
      <c r="I27" s="76">
        <f t="shared" si="0"/>
        <v>500000</v>
      </c>
      <c r="J27" s="76">
        <f t="shared" si="0"/>
        <v>1500000</v>
      </c>
      <c r="L27" s="141">
        <f t="shared" si="1"/>
        <v>1500000</v>
      </c>
      <c r="M27" s="142">
        <f t="shared" si="2"/>
        <v>0</v>
      </c>
      <c r="N27" s="137">
        <f t="shared" si="3"/>
        <v>1000000</v>
      </c>
      <c r="P27" s="123"/>
      <c r="Q27" s="138"/>
      <c r="R27" s="139"/>
    </row>
    <row r="28" spans="2:18" ht="14.4" x14ac:dyDescent="0.3">
      <c r="B28" s="116" t="s">
        <v>164</v>
      </c>
      <c r="C28" s="106" t="s">
        <v>172</v>
      </c>
      <c r="D28" s="76" cm="1">
        <f t="array" ref="D28">_xlfn.XLOOKUP($B28, 'Multi-currency order book'!$B$7:$B$36, 'Multi-currency order book'!D$7:D$36, FEHLER, 0)</f>
        <v>6617776.4740393069</v>
      </c>
      <c r="E28" s="76" cm="1">
        <f t="array" ref="E28">_xlfn.XLOOKUP($B28, 'Multi-currency order book'!$B$7:$B$36, 'Multi-currency order book'!E$7:E$36, FEHLER, 0)</f>
        <v>21517373.286579534</v>
      </c>
      <c r="H28" s="116" t="s">
        <v>164</v>
      </c>
      <c r="I28" s="76">
        <f t="shared" si="0"/>
        <v>451200</v>
      </c>
      <c r="J28" s="76">
        <f t="shared" si="0"/>
        <v>1350000</v>
      </c>
      <c r="L28" s="141">
        <f t="shared" si="1"/>
        <v>1467054.5106789928</v>
      </c>
      <c r="M28" s="142">
        <f t="shared" si="2"/>
        <v>117054.51067899284</v>
      </c>
      <c r="N28" s="137">
        <f t="shared" si="3"/>
        <v>898800</v>
      </c>
      <c r="P28" s="123"/>
      <c r="Q28" s="138"/>
      <c r="R28" s="139"/>
    </row>
    <row r="29" spans="2:18" ht="14.4" x14ac:dyDescent="0.3">
      <c r="B29" s="116" t="s">
        <v>165</v>
      </c>
      <c r="C29" s="106" t="s">
        <v>172</v>
      </c>
      <c r="D29" s="76" cm="1">
        <f t="array" ref="D29">_xlfn.XLOOKUP($B29, 'Multi-currency order book'!$B$7:$B$36, 'Multi-currency order book'!D$7:D$36, FEHLER, 0)</f>
        <v>11029627.456732178</v>
      </c>
      <c r="E29" s="76" cm="1">
        <f t="array" ref="E29">_xlfn.XLOOKUP($B29, 'Multi-currency order book'!$B$7:$B$36, 'Multi-currency order book'!E$7:E$36, FEHLER, 0)</f>
        <v>17532674.529805545</v>
      </c>
      <c r="H29" s="116" t="s">
        <v>165</v>
      </c>
      <c r="I29" s="76">
        <f t="shared" si="0"/>
        <v>752000</v>
      </c>
      <c r="J29" s="76">
        <f t="shared" si="0"/>
        <v>1100000</v>
      </c>
      <c r="L29" s="141">
        <f t="shared" si="1"/>
        <v>1195377.7494421422</v>
      </c>
      <c r="M29" s="142">
        <f t="shared" si="2"/>
        <v>95377.749442142202</v>
      </c>
      <c r="N29" s="137">
        <f t="shared" si="3"/>
        <v>348000</v>
      </c>
      <c r="P29" s="123"/>
      <c r="Q29" s="138"/>
      <c r="R29" s="139"/>
    </row>
    <row r="30" spans="2:18" ht="14.4" x14ac:dyDescent="0.3">
      <c r="B30" s="116" t="s">
        <v>166</v>
      </c>
      <c r="C30" s="106" t="s">
        <v>175</v>
      </c>
      <c r="D30" s="76" cm="1">
        <f t="array" ref="D30">_xlfn.XLOOKUP($B30, 'Multi-currency order book'!$B$7:$B$36, 'Multi-currency order book'!D$7:D$36, FEHLER, 0)</f>
        <v>0</v>
      </c>
      <c r="E30" s="76" cm="1">
        <f t="array" ref="E30">_xlfn.XLOOKUP($B30, 'Multi-currency order book'!$B$7:$B$36, 'Multi-currency order book'!E$7:E$36, FEHLER, 0)</f>
        <v>842105263.15789473</v>
      </c>
      <c r="H30" s="116" t="s">
        <v>166</v>
      </c>
      <c r="I30" s="76">
        <f t="shared" si="0"/>
        <v>0</v>
      </c>
      <c r="J30" s="76">
        <f t="shared" si="0"/>
        <v>800000</v>
      </c>
      <c r="L30" s="141">
        <f t="shared" si="1"/>
        <v>842105.26315789472</v>
      </c>
      <c r="M30" s="142">
        <f t="shared" si="2"/>
        <v>42105.263157894718</v>
      </c>
      <c r="N30" s="137">
        <f t="shared" si="3"/>
        <v>800000</v>
      </c>
      <c r="P30" s="123"/>
      <c r="Q30" s="138"/>
      <c r="R30" s="139"/>
    </row>
    <row r="31" spans="2:18" ht="14.4" x14ac:dyDescent="0.3">
      <c r="B31" s="116" t="s">
        <v>167</v>
      </c>
      <c r="C31" s="106" t="s">
        <v>154</v>
      </c>
      <c r="D31" s="76" cm="1">
        <f t="array" ref="D31">_xlfn.XLOOKUP($B31, 'Multi-currency order book'!$B$7:$B$36, 'Multi-currency order book'!D$7:D$36, FEHLER, 0)</f>
        <v>12580</v>
      </c>
      <c r="E31" s="76" cm="1">
        <f t="array" ref="E31">_xlfn.XLOOKUP($B31, 'Multi-currency order book'!$B$7:$B$36, 'Multi-currency order book'!E$7:E$36, FEHLER, 0)</f>
        <v>550000</v>
      </c>
      <c r="H31" s="116" t="s">
        <v>167</v>
      </c>
      <c r="I31" s="76">
        <f t="shared" si="0"/>
        <v>12580</v>
      </c>
      <c r="J31" s="76">
        <f t="shared" si="0"/>
        <v>550000</v>
      </c>
      <c r="L31" s="141">
        <f t="shared" si="1"/>
        <v>550000</v>
      </c>
      <c r="M31" s="142">
        <f t="shared" si="2"/>
        <v>0</v>
      </c>
      <c r="N31" s="137">
        <f t="shared" si="3"/>
        <v>537420</v>
      </c>
      <c r="P31" s="123"/>
      <c r="Q31" s="138"/>
      <c r="R31" s="139"/>
    </row>
    <row r="32" spans="2:18" ht="14.4" x14ac:dyDescent="0.3">
      <c r="B32" s="116" t="s">
        <v>168</v>
      </c>
      <c r="C32" s="106" t="s">
        <v>156</v>
      </c>
      <c r="D32" s="76" cm="1">
        <f t="array" ref="D32">_xlfn.XLOOKUP($B32, 'Multi-currency order book'!$B$7:$B$36, 'Multi-currency order book'!D$7:D$36, FEHLER, 0)</f>
        <v>128876.84079419737</v>
      </c>
      <c r="E32" s="76" cm="1">
        <f t="array" ref="E32">_xlfn.XLOOKUP($B32, 'Multi-currency order book'!$B$7:$B$36, 'Multi-currency order book'!E$7:E$36, FEHLER, 0)</f>
        <v>305320.34580767411</v>
      </c>
      <c r="H32" s="116" t="s">
        <v>168</v>
      </c>
      <c r="I32" s="76">
        <f>D32*_xlfn.XLOOKUP($C32,$B$14:$B$17,D$14:D$17, 0, 0,1)</f>
        <v>175904</v>
      </c>
      <c r="J32" s="76">
        <f t="shared" si="0"/>
        <v>412500.00000000006</v>
      </c>
      <c r="L32" s="141">
        <f t="shared" si="1"/>
        <v>416731.73999289441</v>
      </c>
      <c r="M32" s="142">
        <f t="shared" si="2"/>
        <v>4231.7399928943487</v>
      </c>
      <c r="N32" s="137">
        <f t="shared" si="3"/>
        <v>236596.00000000006</v>
      </c>
      <c r="P32" s="123"/>
      <c r="Q32" s="138"/>
      <c r="R32" s="139"/>
    </row>
    <row r="33" spans="2:18" s="121" customFormat="1" ht="14.4" thickBot="1" x14ac:dyDescent="0.3">
      <c r="B33" s="119" t="s">
        <v>169</v>
      </c>
      <c r="C33" s="119"/>
      <c r="D33" s="120">
        <f>SUM(D23:D32)</f>
        <v>1850554990.9406343</v>
      </c>
      <c r="E33" s="120">
        <f>SUM(E23:E32)</f>
        <v>2989998971.5971756</v>
      </c>
      <c r="F33" s="106"/>
      <c r="G33" s="106"/>
      <c r="H33" s="119" t="s">
        <v>169</v>
      </c>
      <c r="I33" s="120">
        <f>SUM(I23:I32)</f>
        <v>7791684</v>
      </c>
      <c r="J33" s="120">
        <f>SUM(J23:J32)</f>
        <v>14716500</v>
      </c>
      <c r="K33" s="120">
        <f t="shared" ref="K33:L33" si="4">SUM(K23:K32)</f>
        <v>0</v>
      </c>
      <c r="L33" s="120">
        <f t="shared" si="4"/>
        <v>15394900.661039136</v>
      </c>
      <c r="M33" s="120">
        <f t="shared" ref="M33" si="5">SUM(M23:M32)</f>
        <v>678400.66103913612</v>
      </c>
      <c r="N33" s="120">
        <f t="shared" ref="N33" si="6">SUM(N23:N32)</f>
        <v>6924816</v>
      </c>
      <c r="P33" s="140"/>
      <c r="Q33" s="140"/>
      <c r="R33" s="140"/>
    </row>
    <row r="34" spans="2:18" x14ac:dyDescent="0.25">
      <c r="E34" s="122"/>
      <c r="I34" s="135">
        <f>I33/'Multi-currency order book'!D41</f>
        <v>0.58959368824650438</v>
      </c>
      <c r="J34" s="136">
        <f>J33/'Multi-currency order book'!E41</f>
        <v>0.79709727412054565</v>
      </c>
      <c r="P34" s="123"/>
      <c r="Q34" s="123"/>
      <c r="R34" s="123"/>
    </row>
  </sheetData>
  <mergeCells count="1">
    <mergeCell ref="B5:J6"/>
  </mergeCells>
  <pageMargins left="0.7" right="0.7" top="0.75" bottom="0.75" header="0.3" footer="0.3"/>
  <pageSetup scale="3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9EBC7-6A8F-4D5E-A3C2-072879C4002D}">
  <sheetPr>
    <tabColor theme="6" tint="0.79998168889431442"/>
  </sheetPr>
  <dimension ref="A1"/>
  <sheetViews>
    <sheetView showGridLines="0" workbookViewId="0"/>
  </sheetViews>
  <sheetFormatPr baseColWidth="10" defaultColWidth="8.88671875" defaultRowHeight="14.4" x14ac:dyDescent="0.3"/>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4C2B-758F-49E2-85C7-D83991AF1F8F}">
  <dimension ref="B2:G42"/>
  <sheetViews>
    <sheetView view="pageBreakPreview" topLeftCell="A14" zoomScaleNormal="100" zoomScaleSheetLayoutView="100" workbookViewId="0"/>
  </sheetViews>
  <sheetFormatPr baseColWidth="10" defaultColWidth="9.109375" defaultRowHeight="13.8" x14ac:dyDescent="0.25"/>
  <cols>
    <col min="1" max="1" width="1.6640625" style="106" customWidth="1"/>
    <col min="2" max="2" width="24.88671875" style="106" customWidth="1"/>
    <col min="3" max="3" width="10.6640625" style="106" customWidth="1"/>
    <col min="4" max="5" width="14.5546875" style="106" bestFit="1" customWidth="1"/>
    <col min="6" max="6" width="10.6640625" style="106" customWidth="1"/>
    <col min="7" max="7" width="10.6640625" style="107" customWidth="1"/>
    <col min="8" max="16" width="9.109375" style="106"/>
    <col min="17" max="17" width="9.109375" style="106" customWidth="1"/>
    <col min="18" max="16384" width="9.109375" style="106"/>
  </cols>
  <sheetData>
    <row r="2" spans="2:7" ht="17.399999999999999" x14ac:dyDescent="0.3">
      <c r="B2" s="105" t="s">
        <v>171</v>
      </c>
    </row>
    <row r="4" spans="2:7" x14ac:dyDescent="0.25">
      <c r="G4" s="110"/>
    </row>
    <row r="5" spans="2:7" x14ac:dyDescent="0.25">
      <c r="B5" s="111" t="s">
        <v>151</v>
      </c>
      <c r="C5" s="111"/>
      <c r="D5" s="111"/>
      <c r="E5" s="111"/>
      <c r="G5" s="110"/>
    </row>
    <row r="6" spans="2:7" s="114" customFormat="1" ht="14.4" x14ac:dyDescent="0.3">
      <c r="B6" s="6" t="s">
        <v>158</v>
      </c>
      <c r="C6" s="6" t="s">
        <v>152</v>
      </c>
      <c r="D6" s="112">
        <v>2020</v>
      </c>
      <c r="E6" s="113">
        <f>D6+1</f>
        <v>2021</v>
      </c>
      <c r="F6" s="106"/>
      <c r="G6" s="110"/>
    </row>
    <row r="7" spans="2:7" x14ac:dyDescent="0.25">
      <c r="B7" s="116" t="s">
        <v>159</v>
      </c>
      <c r="C7" s="116" t="s">
        <v>172</v>
      </c>
      <c r="D7" s="117">
        <v>30800821.355236139</v>
      </c>
      <c r="E7" s="117">
        <v>51004144.086707041</v>
      </c>
      <c r="G7" s="110"/>
    </row>
    <row r="8" spans="2:7" x14ac:dyDescent="0.25">
      <c r="B8" s="116" t="s">
        <v>160</v>
      </c>
      <c r="C8" s="106" t="s">
        <v>156</v>
      </c>
      <c r="D8" s="118">
        <v>1465308.8138325152</v>
      </c>
      <c r="E8" s="118">
        <v>1554358.1241117953</v>
      </c>
      <c r="G8" s="110"/>
    </row>
    <row r="9" spans="2:7" x14ac:dyDescent="0.25">
      <c r="B9" s="116" t="s">
        <v>161</v>
      </c>
      <c r="C9" s="106" t="s">
        <v>175</v>
      </c>
      <c r="D9" s="118">
        <v>1800000000</v>
      </c>
      <c r="E9" s="118">
        <v>2052631578.9473684</v>
      </c>
      <c r="G9" s="110"/>
    </row>
    <row r="10" spans="2:7" x14ac:dyDescent="0.25">
      <c r="B10" s="116" t="s">
        <v>162</v>
      </c>
      <c r="C10" s="106" t="s">
        <v>156</v>
      </c>
      <c r="D10" s="118">
        <v>0</v>
      </c>
      <c r="E10" s="118">
        <v>1298259.1189009948</v>
      </c>
      <c r="G10" s="110"/>
    </row>
    <row r="11" spans="2:7" x14ac:dyDescent="0.25">
      <c r="B11" s="116" t="s">
        <v>163</v>
      </c>
      <c r="C11" s="106" t="s">
        <v>154</v>
      </c>
      <c r="D11" s="118">
        <v>500000</v>
      </c>
      <c r="E11" s="118">
        <v>1500000</v>
      </c>
      <c r="G11" s="110"/>
    </row>
    <row r="12" spans="2:7" x14ac:dyDescent="0.25">
      <c r="B12" s="116" t="s">
        <v>164</v>
      </c>
      <c r="C12" s="116" t="s">
        <v>172</v>
      </c>
      <c r="D12" s="118">
        <v>6617776.4740393069</v>
      </c>
      <c r="E12" s="118">
        <v>21517373.286579534</v>
      </c>
      <c r="G12" s="110"/>
    </row>
    <row r="13" spans="2:7" x14ac:dyDescent="0.25">
      <c r="B13" s="116" t="s">
        <v>165</v>
      </c>
      <c r="C13" s="116" t="s">
        <v>172</v>
      </c>
      <c r="D13" s="118">
        <v>11029627.456732178</v>
      </c>
      <c r="E13" s="118">
        <v>17532674.529805545</v>
      </c>
      <c r="G13" s="110"/>
    </row>
    <row r="14" spans="2:7" x14ac:dyDescent="0.25">
      <c r="B14" s="116" t="s">
        <v>166</v>
      </c>
      <c r="C14" s="106" t="s">
        <v>175</v>
      </c>
      <c r="D14" s="118">
        <v>0</v>
      </c>
      <c r="E14" s="118">
        <v>842105263.15789473</v>
      </c>
      <c r="G14" s="110"/>
    </row>
    <row r="15" spans="2:7" x14ac:dyDescent="0.25">
      <c r="B15" s="116" t="s">
        <v>167</v>
      </c>
      <c r="C15" s="106" t="s">
        <v>154</v>
      </c>
      <c r="D15" s="118">
        <v>12580</v>
      </c>
      <c r="E15" s="118">
        <v>550000</v>
      </c>
      <c r="G15" s="110"/>
    </row>
    <row r="16" spans="2:7" x14ac:dyDescent="0.25">
      <c r="B16" s="116" t="s">
        <v>168</v>
      </c>
      <c r="C16" s="106" t="s">
        <v>156</v>
      </c>
      <c r="D16" s="118">
        <v>128876.84079419737</v>
      </c>
      <c r="E16" s="118">
        <v>305320.34580767411</v>
      </c>
      <c r="G16" s="110"/>
    </row>
    <row r="17" spans="2:7" x14ac:dyDescent="0.25">
      <c r="B17" s="116" t="s">
        <v>185</v>
      </c>
      <c r="C17" s="106" t="s">
        <v>154</v>
      </c>
      <c r="D17" s="118">
        <v>418097</v>
      </c>
      <c r="E17" s="118">
        <v>426458.94</v>
      </c>
      <c r="G17" s="110"/>
    </row>
    <row r="18" spans="2:7" x14ac:dyDescent="0.25">
      <c r="B18" s="116" t="s">
        <v>185</v>
      </c>
      <c r="C18" s="116" t="s">
        <v>175</v>
      </c>
      <c r="D18" s="118">
        <v>453496000</v>
      </c>
      <c r="E18" s="118">
        <v>404013732.63157898</v>
      </c>
      <c r="G18" s="110"/>
    </row>
    <row r="19" spans="2:7" x14ac:dyDescent="0.25">
      <c r="B19" s="116" t="s">
        <v>185</v>
      </c>
      <c r="C19" s="106" t="s">
        <v>172</v>
      </c>
      <c r="D19" s="118">
        <v>6846611.9096509237</v>
      </c>
      <c r="E19" s="118">
        <v>5505765.7220274154</v>
      </c>
      <c r="G19" s="110"/>
    </row>
    <row r="20" spans="2:7" x14ac:dyDescent="0.25">
      <c r="B20" s="116" t="s">
        <v>185</v>
      </c>
      <c r="C20" s="106" t="s">
        <v>156</v>
      </c>
      <c r="D20" s="118">
        <v>356026.81515129312</v>
      </c>
      <c r="E20" s="118">
        <v>230110.55724478923</v>
      </c>
      <c r="G20" s="110"/>
    </row>
    <row r="21" spans="2:7" x14ac:dyDescent="0.25">
      <c r="B21" s="116" t="s">
        <v>185</v>
      </c>
      <c r="C21" s="106" t="s">
        <v>154</v>
      </c>
      <c r="D21" s="118">
        <v>258175</v>
      </c>
      <c r="E21" s="118">
        <v>279799.71053400007</v>
      </c>
      <c r="G21" s="110"/>
    </row>
    <row r="22" spans="2:7" x14ac:dyDescent="0.25">
      <c r="B22" s="116" t="s">
        <v>185</v>
      </c>
      <c r="C22" s="106" t="s">
        <v>154</v>
      </c>
      <c r="D22" s="118">
        <v>8321</v>
      </c>
      <c r="E22" s="118">
        <v>251819.73948060008</v>
      </c>
      <c r="G22" s="110"/>
    </row>
    <row r="23" spans="2:7" x14ac:dyDescent="0.25">
      <c r="B23" s="116" t="s">
        <v>185</v>
      </c>
      <c r="C23" s="106" t="s">
        <v>154</v>
      </c>
      <c r="D23" s="118">
        <v>433320</v>
      </c>
      <c r="E23" s="118">
        <v>226637.76553254007</v>
      </c>
      <c r="G23" s="110"/>
    </row>
    <row r="24" spans="2:7" x14ac:dyDescent="0.25">
      <c r="B24" s="116" t="s">
        <v>185</v>
      </c>
      <c r="C24" s="106" t="s">
        <v>154</v>
      </c>
      <c r="D24" s="118">
        <v>37368</v>
      </c>
      <c r="E24" s="118">
        <v>203973.98897928608</v>
      </c>
      <c r="G24" s="110"/>
    </row>
    <row r="25" spans="2:7" x14ac:dyDescent="0.25">
      <c r="B25" s="116" t="s">
        <v>185</v>
      </c>
      <c r="C25" s="106" t="s">
        <v>156</v>
      </c>
      <c r="D25" s="118">
        <v>224915.37841600119</v>
      </c>
      <c r="E25" s="118">
        <v>135877.98294747563</v>
      </c>
      <c r="G25" s="110"/>
    </row>
    <row r="26" spans="2:7" x14ac:dyDescent="0.25">
      <c r="B26" s="116" t="s">
        <v>185</v>
      </c>
      <c r="C26" s="106" t="s">
        <v>154</v>
      </c>
      <c r="D26" s="118">
        <v>369452</v>
      </c>
      <c r="E26" s="118">
        <v>165218.93107322173</v>
      </c>
      <c r="G26" s="110"/>
    </row>
    <row r="27" spans="2:7" x14ac:dyDescent="0.25">
      <c r="B27" s="116" t="s">
        <v>185</v>
      </c>
      <c r="C27" s="106" t="s">
        <v>175</v>
      </c>
      <c r="D27" s="118">
        <v>158795000</v>
      </c>
      <c r="E27" s="118">
        <v>156523197.85884166</v>
      </c>
      <c r="G27" s="110"/>
    </row>
    <row r="28" spans="2:7" x14ac:dyDescent="0.25">
      <c r="B28" s="116" t="s">
        <v>185</v>
      </c>
      <c r="C28" s="106" t="s">
        <v>175</v>
      </c>
      <c r="D28" s="118">
        <v>388529000</v>
      </c>
      <c r="E28" s="118">
        <v>140870878.07295749</v>
      </c>
      <c r="G28" s="110"/>
    </row>
    <row r="29" spans="2:7" x14ac:dyDescent="0.25">
      <c r="B29" s="116" t="s">
        <v>185</v>
      </c>
      <c r="C29" s="116" t="s">
        <v>172</v>
      </c>
      <c r="D29" s="118">
        <v>4262965.679084775</v>
      </c>
      <c r="E29" s="118">
        <v>1919741.80351257</v>
      </c>
      <c r="G29" s="110"/>
    </row>
    <row r="30" spans="2:7" x14ac:dyDescent="0.25">
      <c r="B30" s="116" t="s">
        <v>185</v>
      </c>
      <c r="C30" s="106" t="s">
        <v>154</v>
      </c>
      <c r="D30" s="118">
        <v>105445</v>
      </c>
      <c r="E30" s="118">
        <v>108400.14067714079</v>
      </c>
      <c r="G30" s="110"/>
    </row>
    <row r="31" spans="2:7" x14ac:dyDescent="0.25">
      <c r="B31" s="116" t="s">
        <v>185</v>
      </c>
      <c r="C31" s="106" t="s">
        <v>154</v>
      </c>
      <c r="D31" s="118">
        <v>214678</v>
      </c>
      <c r="E31" s="118">
        <v>97560.126609426719</v>
      </c>
      <c r="G31" s="110"/>
    </row>
    <row r="32" spans="2:7" x14ac:dyDescent="0.25">
      <c r="B32" s="116" t="s">
        <v>185</v>
      </c>
      <c r="C32" s="106" t="s">
        <v>154</v>
      </c>
      <c r="D32" s="118">
        <v>237174</v>
      </c>
      <c r="E32" s="118">
        <v>87804.113948484053</v>
      </c>
      <c r="G32" s="110"/>
    </row>
    <row r="33" spans="2:7" x14ac:dyDescent="0.25">
      <c r="B33" s="116" t="s">
        <v>185</v>
      </c>
      <c r="C33" s="106" t="s">
        <v>154</v>
      </c>
      <c r="D33" s="118">
        <v>336876</v>
      </c>
      <c r="E33" s="118">
        <v>79023.702553635652</v>
      </c>
      <c r="G33" s="110"/>
    </row>
    <row r="34" spans="2:7" x14ac:dyDescent="0.25">
      <c r="B34" s="116" t="s">
        <v>185</v>
      </c>
      <c r="C34" s="106" t="s">
        <v>156</v>
      </c>
      <c r="D34" s="118">
        <v>75356.436368964758</v>
      </c>
      <c r="E34" s="118">
        <v>52641.914597844683</v>
      </c>
      <c r="G34" s="110"/>
    </row>
    <row r="35" spans="2:7" x14ac:dyDescent="0.25">
      <c r="B35" s="116" t="s">
        <v>185</v>
      </c>
      <c r="C35" s="106" t="s">
        <v>156</v>
      </c>
      <c r="D35" s="118">
        <v>241656.53161403767</v>
      </c>
      <c r="E35" s="118">
        <v>47377.723138060217</v>
      </c>
      <c r="G35" s="110"/>
    </row>
    <row r="36" spans="2:7" x14ac:dyDescent="0.25">
      <c r="B36" s="116" t="s">
        <v>185</v>
      </c>
      <c r="C36" s="106" t="s">
        <v>154</v>
      </c>
      <c r="D36" s="118">
        <v>20865</v>
      </c>
      <c r="E36" s="118">
        <v>57608.279161600389</v>
      </c>
      <c r="G36" s="110"/>
    </row>
    <row r="37" spans="2:7" x14ac:dyDescent="0.25">
      <c r="G37" s="110"/>
    </row>
    <row r="38" spans="2:7" s="121" customFormat="1" ht="14.4" thickBot="1" x14ac:dyDescent="0.3">
      <c r="B38" s="119" t="s">
        <v>169</v>
      </c>
      <c r="C38" s="119"/>
      <c r="D38" s="120">
        <f>SUM(D7:D36)</f>
        <v>2865822294.6909199</v>
      </c>
      <c r="E38" s="120">
        <f t="shared" ref="E38" si="0">SUM(E7:E36)</f>
        <v>3701282601.3025708</v>
      </c>
      <c r="F38" s="106"/>
      <c r="G38" s="110"/>
    </row>
    <row r="39" spans="2:7" x14ac:dyDescent="0.25">
      <c r="E39" s="122"/>
      <c r="F39" s="122"/>
      <c r="G39" s="122"/>
    </row>
    <row r="41" spans="2:7" ht="14.4" thickBot="1" x14ac:dyDescent="0.3">
      <c r="B41" s="119" t="s">
        <v>186</v>
      </c>
      <c r="C41" s="119"/>
      <c r="D41" s="120">
        <v>13215345</v>
      </c>
      <c r="E41" s="120">
        <v>18462614.887545597</v>
      </c>
    </row>
    <row r="42" spans="2:7" ht="14.4" x14ac:dyDescent="0.3">
      <c r="B42" s="114" t="s">
        <v>187</v>
      </c>
      <c r="D42" s="122">
        <v>5423661.0000000009</v>
      </c>
      <c r="E42" s="122">
        <v>3746114.8875455968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ab5bd34ae26409aa305d5f5ff6ee07e xmlns="19150d10-5e9b-4155-94b6-fa9a0611b363">
      <Terms xmlns="http://schemas.microsoft.com/office/infopath/2007/PartnerControls">
        <TermInfo xmlns="http://schemas.microsoft.com/office/infopath/2007/PartnerControls">
          <TermName xmlns="http://schemas.microsoft.com/office/infopath/2007/PartnerControls">Bertelsmann</TermName>
          <TermId xmlns="http://schemas.microsoft.com/office/infopath/2007/PartnerControls">889724a3-15f2-4664-8150-5c5a5ab5544a</TermId>
        </TermInfo>
      </Terms>
    </fab5bd34ae26409aa305d5f5ff6ee07e>
    <TaxCatchAll xmlns="7b040fa5-b6c2-41db-90fe-e49b36a05c5f">
      <Value>2</Value>
    </TaxCatchAl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4D0BE0F7F7131429EE821490F3395C9" ma:contentTypeVersion="12" ma:contentTypeDescription="Create a new document." ma:contentTypeScope="" ma:versionID="1f3c638364e80f48b06925726f745c41">
  <xsd:schema xmlns:xsd="http://www.w3.org/2001/XMLSchema" xmlns:xs="http://www.w3.org/2001/XMLSchema" xmlns:p="http://schemas.microsoft.com/office/2006/metadata/properties" xmlns:ns2="19150d10-5e9b-4155-94b6-fa9a0611b363" xmlns:ns3="7b040fa5-b6c2-41db-90fe-e49b36a05c5f" xmlns:ns4="7b60294c-04cd-4b6d-a350-0cd91a300600" targetNamespace="http://schemas.microsoft.com/office/2006/metadata/properties" ma:root="true" ma:fieldsID="b79a54dea0e4fed3dabddbd99059c313" ns2:_="" ns3:_="" ns4:_="">
    <xsd:import namespace="19150d10-5e9b-4155-94b6-fa9a0611b363"/>
    <xsd:import namespace="7b040fa5-b6c2-41db-90fe-e49b36a05c5f"/>
    <xsd:import namespace="7b60294c-04cd-4b6d-a350-0cd91a300600"/>
    <xsd:element name="properties">
      <xsd:complexType>
        <xsd:sequence>
          <xsd:element name="documentManagement">
            <xsd:complexType>
              <xsd:all>
                <xsd:element ref="ns2:fab5bd34ae26409aa305d5f5ff6ee07e" minOccurs="0"/>
                <xsd:element ref="ns3:TaxCatchAll" minOccurs="0"/>
                <xsd:element ref="ns3:TaxCatchAllLabel"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50d10-5e9b-4155-94b6-fa9a0611b363" elementFormDefault="qualified">
    <xsd:import namespace="http://schemas.microsoft.com/office/2006/documentManagement/types"/>
    <xsd:import namespace="http://schemas.microsoft.com/office/infopath/2007/PartnerControls"/>
    <xsd:element name="fab5bd34ae26409aa305d5f5ff6ee07e" ma:index="8" nillable="true" ma:taxonomy="true" ma:internalName="fab5bd34ae26409aa305d5f5ff6ee07e" ma:taxonomyFieldName="EIMColOrganisation" ma:displayName="Organisation" ma:readOnly="false" ma:default="1;#Bertelsmann|889724a3-15f2-4664-8150-5c5a5ab5544a" ma:fieldId="{fab5bd34-ae26-409a-a305-d5f5ff6ee07e}" ma:taxonomyMulti="true" ma:sspId="65881c09-cf89-46b6-95b9-73984ece9c2b" ma:termSetId="5da6008f-5525-464c-8331-e2678f81b1a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b040fa5-b6c2-41db-90fe-e49b36a05c5f"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633493a8-4ab7-49db-9651-6c346e364e95}" ma:internalName="TaxCatchAll" ma:showField="CatchAllData" ma:web="7b040fa5-b6c2-41db-90fe-e49b36a05c5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33493a8-4ab7-49db-9651-6c346e364e95}" ma:internalName="TaxCatchAllLabel" ma:readOnly="true" ma:showField="CatchAllDataLabel" ma:web="7b040fa5-b6c2-41db-90fe-e49b36a05c5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60294c-04cd-4b6d-a350-0cd91a300600"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523591-F1C8-430D-A119-4E1352554E75}">
  <ds:schemaRefs>
    <ds:schemaRef ds:uri="http://schemas.microsoft.com/office/2006/metadata/properties"/>
    <ds:schemaRef ds:uri="http://schemas.microsoft.com/office/infopath/2007/PartnerControls"/>
    <ds:schemaRef ds:uri="19150d10-5e9b-4155-94b6-fa9a0611b363"/>
    <ds:schemaRef ds:uri="7b040fa5-b6c2-41db-90fe-e49b36a05c5f"/>
  </ds:schemaRefs>
</ds:datastoreItem>
</file>

<file path=customXml/itemProps2.xml><?xml version="1.0" encoding="utf-8"?>
<ds:datastoreItem xmlns:ds="http://schemas.openxmlformats.org/officeDocument/2006/customXml" ds:itemID="{C5EBF8B7-7ECF-4114-B561-98799D1D69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150d10-5e9b-4155-94b6-fa9a0611b363"/>
    <ds:schemaRef ds:uri="7b040fa5-b6c2-41db-90fe-e49b36a05c5f"/>
    <ds:schemaRef ds:uri="7b60294c-04cd-4b6d-a350-0cd91a3006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789F89-01F5-4305-A3FC-C92C08B16B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5</vt:i4>
      </vt:variant>
    </vt:vector>
  </HeadingPairs>
  <TitlesOfParts>
    <vt:vector size="14" baseType="lpstr">
      <vt:lpstr>Task I &gt;&gt;&gt;</vt:lpstr>
      <vt:lpstr>Financial Model</vt:lpstr>
      <vt:lpstr>Sources for Task I &gt;&gt;&gt;</vt:lpstr>
      <vt:lpstr>Revenue by customer</vt:lpstr>
      <vt:lpstr>Multiples competitors</vt:lpstr>
      <vt:lpstr>Task II &gt;&gt;&gt;</vt:lpstr>
      <vt:lpstr>Customer Concentration</vt:lpstr>
      <vt:lpstr>Sources for Task II &gt;&gt;&gt;</vt:lpstr>
      <vt:lpstr>Multi-currency order book</vt:lpstr>
      <vt:lpstr>'Customer Concentration'!Druckbereich</vt:lpstr>
      <vt:lpstr>'Financial Model'!Druckbereich</vt:lpstr>
      <vt:lpstr>'Multi-currency order book'!Druckbereich</vt:lpstr>
      <vt:lpstr>'Task I &gt;&gt;&gt;'!Druckbereich</vt:lpstr>
      <vt:lpstr>'Task II &gt;&gt;&gt;'!Druckbereich</vt:lpstr>
    </vt:vector>
  </TitlesOfParts>
  <Company>Random House,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martinga</dc:creator>
  <cp:lastModifiedBy>Tim Kühleis</cp:lastModifiedBy>
  <dcterms:created xsi:type="dcterms:W3CDTF">2015-04-27T19:31:33Z</dcterms:created>
  <dcterms:modified xsi:type="dcterms:W3CDTF">2022-03-27T13:39:40Z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0x01010094D0BE0F7F7131429EE821490F3395C9</vt:lpwstr>
  </property>
  <property fmtid="{D5CDD505-2E9C-101B-9397-08002B2CF9AE}" pid="3" name="EIMColOrganisation">
    <vt:lpwstr>2;#Bertelsmann|889724a3-15f2-4664-8150-5c5a5ab5544a</vt:lpwstr>
  </property>
  <property fmtid="{D5CDD505-2E9C-101B-9397-08002B2CF9AE}" pid="4" name="MSIP_Label_d1eb46ce-67e3-4023-9bb7-2cf97845c0ca_Enabled">
    <vt:lpwstr>true</vt:lpwstr>
  </property>
  <property fmtid="{D5CDD505-2E9C-101B-9397-08002B2CF9AE}" pid="5" name="MSIP_Label_d1eb46ce-67e3-4023-9bb7-2cf97845c0ca_SetDate">
    <vt:lpwstr>2022-01-19T11:35:45Z</vt:lpwstr>
  </property>
  <property fmtid="{D5CDD505-2E9C-101B-9397-08002B2CF9AE}" pid="6" name="MSIP_Label_d1eb46ce-67e3-4023-9bb7-2cf97845c0ca_Method">
    <vt:lpwstr>Standard</vt:lpwstr>
  </property>
  <property fmtid="{D5CDD505-2E9C-101B-9397-08002B2CF9AE}" pid="7" name="MSIP_Label_d1eb46ce-67e3-4023-9bb7-2cf97845c0ca_Name">
    <vt:lpwstr>d1eb46ce-67e3-4023-9bb7-2cf97845c0ca</vt:lpwstr>
  </property>
  <property fmtid="{D5CDD505-2E9C-101B-9397-08002B2CF9AE}" pid="8" name="MSIP_Label_d1eb46ce-67e3-4023-9bb7-2cf97845c0ca_SiteId">
    <vt:lpwstr>1ca8bd94-3c97-4fc6-8955-bad266b43f0b</vt:lpwstr>
  </property>
  <property fmtid="{D5CDD505-2E9C-101B-9397-08002B2CF9AE}" pid="9" name="MSIP_Label_d1eb46ce-67e3-4023-9bb7-2cf97845c0ca_ActionId">
    <vt:lpwstr>15de33b9-503b-4e21-8cb5-9efcf0180f08</vt:lpwstr>
  </property>
  <property fmtid="{D5CDD505-2E9C-101B-9397-08002B2CF9AE}" pid="10" name="MSIP_Label_d1eb46ce-67e3-4023-9bb7-2cf97845c0ca_ContentBits">
    <vt:lpwstr>0</vt:lpwstr>
  </property>
</Properties>
</file>