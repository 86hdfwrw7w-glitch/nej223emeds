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Amin\Downloads\"/>
    </mc:Choice>
  </mc:AlternateContent>
  <xr:revisionPtr revIDLastSave="0" documentId="13_ncr:1_{A3D38B43-825E-4AFF-AA1A-F71582E9DCF8}" xr6:coauthVersionLast="47" xr6:coauthVersionMax="47" xr10:uidLastSave="{00000000-0000-0000-0000-000000000000}"/>
  <bookViews>
    <workbookView xWindow="28680" yWindow="1185" windowWidth="29040" windowHeight="158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10" l="1"/>
  <c r="C12" i="10" s="1"/>
  <c r="C7" i="10"/>
  <c r="K10" i="7" a="1"/>
  <c r="K10" i="7" s="1"/>
  <c r="J10" i="7" a="1"/>
  <c r="J10" i="7" s="1"/>
  <c r="I10" i="7"/>
  <c r="K16" i="7" a="1"/>
  <c r="K16" i="7" s="1"/>
  <c r="J16" i="7" a="1"/>
  <c r="J16" i="7" s="1"/>
  <c r="I16" i="7"/>
  <c r="K15" i="7" a="1"/>
  <c r="K15" i="7" s="1"/>
  <c r="J15" i="7" a="1"/>
  <c r="J15" i="7" s="1"/>
  <c r="I15" i="7"/>
  <c r="BK4" i="7"/>
  <c r="K20" i="7" a="1"/>
  <c r="K20" i="7" s="1"/>
  <c r="J20" i="7" a="1"/>
  <c r="J20" i="7" s="1"/>
  <c r="K19" i="7" a="1"/>
  <c r="K19" i="7" s="1"/>
  <c r="J19" i="7" a="1"/>
  <c r="J19" i="7" s="1"/>
  <c r="K18" i="7" a="1"/>
  <c r="K18" i="7" s="1"/>
  <c r="J18" i="7" a="1"/>
  <c r="J18" i="7" s="1"/>
  <c r="K17" i="7" a="1"/>
  <c r="K17" i="7" s="1"/>
  <c r="J17" i="7" a="1"/>
  <c r="J17" i="7" s="1"/>
  <c r="K14" i="7" a="1"/>
  <c r="K14" i="7" s="1"/>
  <c r="J14" i="7" a="1"/>
  <c r="J14" i="7" s="1"/>
  <c r="K11" i="7" a="1"/>
  <c r="K11" i="7" s="1"/>
  <c r="J11" i="7" a="1"/>
  <c r="J11" i="7" s="1"/>
  <c r="K9" i="7" a="1"/>
  <c r="K9" i="7" s="1"/>
  <c r="J9" i="7" a="1"/>
  <c r="J9" i="7" s="1"/>
  <c r="K8" i="7" a="1"/>
  <c r="K8" i="7" s="1"/>
  <c r="J8" i="7" a="1"/>
  <c r="J8" i="7" s="1"/>
  <c r="K7" i="7" a="1"/>
  <c r="K7" i="7" s="1"/>
  <c r="J7" i="7" a="1"/>
  <c r="J7" i="7" s="1"/>
  <c r="K6" i="7" a="1"/>
  <c r="K6" i="7" s="1"/>
  <c r="J6" i="7" a="1"/>
  <c r="J6" i="7" s="1"/>
  <c r="K5" i="7" a="1"/>
  <c r="K5" i="7" s="1"/>
  <c r="J5" i="7" a="1"/>
  <c r="J5" i="7" s="1"/>
  <c r="AP13" i="7"/>
  <c r="AI13" i="7"/>
  <c r="AB13" i="7"/>
  <c r="U13" i="7"/>
  <c r="BD4" i="7"/>
  <c r="AW4" i="7"/>
  <c r="AP4" i="7"/>
  <c r="AI4" i="7"/>
  <c r="AB4" i="7"/>
  <c r="U4" i="7"/>
  <c r="N4" i="7"/>
  <c r="N13" i="7"/>
  <c r="G4" i="7"/>
  <c r="I20" i="7"/>
  <c r="I19" i="7"/>
  <c r="I18" i="7"/>
  <c r="I17" i="7"/>
  <c r="I14" i="7"/>
  <c r="I6" i="7"/>
  <c r="I7" i="7"/>
  <c r="I8" i="7"/>
  <c r="I9" i="7"/>
  <c r="I11" i="7"/>
  <c r="I5" i="7"/>
  <c r="G13" i="7"/>
  <c r="I13" i="7" l="1"/>
  <c r="J13" i="7"/>
  <c r="K13"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<sst xmlns="http://schemas.openxmlformats.org/spreadsheetml/2006/main" count="199" uniqueCount="117">
  <si>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</si>
  <si>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</si>
  <si>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</si>
  <si>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</si>
  <si>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</si>
  <si>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</si>
  <si>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</si>
  <si>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</si>
  <si>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</si>
  <si>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</si>
  <si>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</si>
  <si>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</si>
  <si>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</si>
  <si>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</si>
  <si>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</si>
  <si>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</si>
  <si>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</si>
  <si>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</si>
  <si>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</si>
  <si>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</si>
  <si>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</si>
  <si>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</si>
  <si>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</si>
  <si>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</si>
  <si>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</si>
  <si>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</si>
  <si>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</si>
  <si>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Fachgebiet</t>
  </si>
  <si>
    <t>ECTS</t>
  </si>
  <si>
    <t>Anteil an Klausur</t>
  </si>
  <si>
    <t>Ziel</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</si>
  <si>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</si>
  <si>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</si>
  <si>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</si>
  <si>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</si>
  <si>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</si>
  <si>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</si>
  <si>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</si>
  <si>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</si>
  <si>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</si>
  <si>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</si>
  <si>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</si>
  <si>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</si>
  <si>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</si>
  <si>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</si>
  <si>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</si>
  <si>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</si>
  <si>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</si>
  <si>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</si>
  <si>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</si>
  <si>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</si>
  <si>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</si>
  <si>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</si>
  <si>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</si>
  <si>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</si>
  <si>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</si>
  <si>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</si>
  <si>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</si>
  <si>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</si>
  <si>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</si>
  <si>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</si>
  <si>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</si>
  <si>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</si>
  <si>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</si>
  <si>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</si>
  <si>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</si>
  <si>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</si>
  <si>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</si>
  <si>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</si>
  <si>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</si>
  <si>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</si>
  <si>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</si>
  <si>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</si>
  <si>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</si>
  <si>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</si>
  <si>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</si>
  <si>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</si>
  <si>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</si>
  <si>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</si>
  <si>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</si>
  <si>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</si>
  <si>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</si>
  <si>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</si>
  <si>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</si>
  <si>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Accounting &amp; Financial Reporting</t>
  </si>
  <si>
    <t>Economics &amp; Business</t>
  </si>
  <si>
    <t>Week 1</t>
  </si>
  <si>
    <t>Week 2</t>
  </si>
  <si>
    <t>Week 3</t>
  </si>
  <si>
    <t>Week 4</t>
  </si>
  <si>
    <t>Week 5</t>
  </si>
  <si>
    <t>Week 6</t>
  </si>
  <si>
    <t>Week 7</t>
  </si>
  <si>
    <t>Overview</t>
  </si>
  <si>
    <t xml:space="preserve">Klausurenwoche </t>
  </si>
  <si>
    <t>Semesterplan - Period 2</t>
  </si>
  <si>
    <t>AC &amp; FR</t>
  </si>
  <si>
    <t>EC &amp; B</t>
  </si>
  <si>
    <t>1) Introduction &amp; Analyzing + recording transactions</t>
  </si>
  <si>
    <t>2) Accrual World (accrual accounting &amp; adjusting entries)</t>
  </si>
  <si>
    <t>3) Financial Statements &amp; Inventories</t>
  </si>
  <si>
    <t>4) Receivables &amp; Non-current assets (tangible assets)</t>
  </si>
  <si>
    <t>5) Non-current assets (intangible) &amp; liabilities</t>
  </si>
  <si>
    <t>6) Equity &amp; Cash flow statement</t>
  </si>
  <si>
    <t>1) Introduction (T1)</t>
  </si>
  <si>
    <t>2) Demand &amp; Supply (T2 &amp; T3)</t>
  </si>
  <si>
    <t>7) Workshop (Role of auditor) &amp; Financial Statement analysis</t>
  </si>
  <si>
    <t>3) T4</t>
  </si>
  <si>
    <t>4) T5 &amp; T6</t>
  </si>
  <si>
    <t>5) T7 &amp; T8</t>
  </si>
  <si>
    <t>6) T9 &amp; T10</t>
  </si>
  <si>
    <t>7) T11 &amp; T12</t>
  </si>
  <si>
    <t>Wiederholungswochen während semeste reinbauen - wie?</t>
  </si>
  <si>
    <t xml:space="preserve">Stunden und niveaus eintragen nach lernen </t>
  </si>
  <si>
    <t>Lernwochen sind levle ups aber  wdh zählt nicht dazu</t>
  </si>
  <si>
    <t>In KL: 60% Rechnen, 40%Skript Fragen</t>
  </si>
  <si>
    <t>In Kl: 70% Mathe, 30% Skript Fragen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</si>
</sst>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6">
    <fill>
      <patternFill patternType="none"/>
    </fill>
    <fill>
      <patternFill patternType="gray125"/>
    </fill>
    <fill>
      <patternFill patternType="solid">
        <fgColor rgb="FFE0E0E0"/>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0" fontId="0" fillId="3" borderId="0" xfId="0" applyFill="1"/>
    <xf numFmtId="0" fontId="0" fillId="4" borderId="0" xfId="0" applyFill="1"/>
    <xf numFmtId="0" fontId="0" fillId="5" borderId="0" xfId="0" applyFill="1"/>
    <xf numFmtId="14" fontId="0" fillId="0" borderId="0" xfId="0" applyNumberFormat="1"/>
    <xf numFmtId="0" fontId="1" fillId="2" borderId="0" xfId="0" applyFont="1" applyFill="1" applyAlignment="1">
      <alignment horizontal="center"/>
    </xf>
    <xf numFmtId="0" fontId="0" fillId="3" borderId="0" xfId="0" applyFill="1" applyAlignment="1">
      <alignment horizontal="center"/>
    </xf>
  </cellXfs>
  <cellStyles count="1">
    <cellStyle name="Normal" xfId="0" builtinId="0"/>
  </cellStyles>
  <dxfs count="19">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8">
  <autoFilter ref="A1:K46" xr:uid="{6E266E34-2786-2747-BCE7-51B74867A564}"/>
  <tableColumns count="11">
    <tableColumn id="1" xr3:uid="{95FD92F7-3DC8-704D-A103-A7EDDAB255AB}" name="Datum" dataDxfId="17"/>
    <tableColumn id="2" xr3:uid="{F464D510-8166-E740-A343-FB84BDEF877F}" name="Lerneinheiten durchgezogen" dataDxfId="16"/>
    <tableColumn id="3" xr3:uid="{75F52B08-1A00-0848-BBE6-1EDF7B31B1AD}" name="Tagesplan erstellt" dataDxfId="15"/>
    <tableColumn id="4" xr3:uid="{E6B18D89-E799-AD48-9DAA-37AEE1D29011}" name="Konzentrationslevel" dataDxfId="1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3" sqref="C13"/>
    </sheetView>
  </sheetViews>
  <sheetFormatPr defaultColWidth="10.6640625" defaultRowHeight="15.5"/>
  <cols>
    <col min="1" max="1" width="11.83203125" customWidth="1"/>
    <col min="2" max="2" width="62.6640625" customWidth="1"/>
  </cols>
  <sheetData>
    <row r="2" spans="1:4">
      <c r="C2" s="17" t="s">
        <v>68</v>
      </c>
    </row>
    <row r="3" spans="1:4">
      <c r="C3" s="16" t="s">
        <v>53</v>
      </c>
    </row>
    <row r="4" spans="1:4">
      <c r="C4" s="15" t="s">
        <v>67</v>
      </c>
    </row>
    <row r="5" spans="1:4">
      <c r="A5" s="2" t="s">
        <v>50</v>
      </c>
      <c r="B5" s="2" t="s">
        <v>51</v>
      </c>
      <c r="C5" s="2" t="s">
        <v>52</v>
      </c>
      <c r="D5" s="2" t="s">
        <v>54</v>
      </c>
    </row>
    <row r="6" spans="1:4">
      <c r="A6" t="s">
        <v>46</v>
      </c>
      <c r="B6" s="17" t="s">
        <v>49</v>
      </c>
      <c r="D6" t="s">
        <v>83</v>
      </c>
    </row>
    <row r="7" spans="1:4">
      <c r="A7" t="s">
        <v>57</v>
      </c>
      <c r="B7" t="s">
        <v>58</v>
      </c>
      <c r="C7" s="15">
        <f>7+7</f>
        <v>14</v>
      </c>
    </row>
    <row r="8" spans="1:4">
      <c r="A8" t="s">
        <v>48</v>
      </c>
      <c r="B8" s="17" t="s">
        <v>47</v>
      </c>
      <c r="D8" t="s">
        <v>71</v>
      </c>
    </row>
    <row r="9" spans="1:4">
      <c r="A9" t="s">
        <v>56</v>
      </c>
      <c r="B9" s="17" t="s">
        <v>69</v>
      </c>
      <c r="D9" t="s">
        <v>72</v>
      </c>
    </row>
    <row r="10" spans="1:4">
      <c r="A10" t="s">
        <v>60</v>
      </c>
      <c r="B10" t="s">
        <v>59</v>
      </c>
      <c r="C10" s="15">
        <v>7</v>
      </c>
      <c r="D10" t="s">
        <v>55</v>
      </c>
    </row>
    <row r="11" spans="1:4">
      <c r="A11" t="s">
        <v>61</v>
      </c>
      <c r="B11" t="s">
        <v>63</v>
      </c>
      <c r="C11" s="15">
        <f>14*3</f>
        <v>42</v>
      </c>
      <c r="D11" t="s">
        <v>62</v>
      </c>
    </row>
    <row r="12" spans="1:4">
      <c r="A12" t="s">
        <v>65</v>
      </c>
      <c r="B12" t="s">
        <v>64</v>
      </c>
      <c r="C12" s="16">
        <f>C11/C10</f>
        <v>6</v>
      </c>
    </row>
    <row r="13" spans="1:4">
      <c r="A13" t="s">
        <v>70</v>
      </c>
      <c r="B13" t="s">
        <v>66</v>
      </c>
      <c r="D13" t="s">
        <v>73</v>
      </c>
    </row>
    <row r="14" spans="1:4">
      <c r="A14" t="s">
        <v>74</v>
      </c>
      <c r="B14" t="s">
        <v>75</v>
      </c>
      <c r="D14" t="s">
        <v>76</v>
      </c>
    </row>
    <row r="15" spans="1:4">
      <c r="A15" t="s">
        <v>77</v>
      </c>
      <c r="B15" s="17" t="s">
        <v>78</v>
      </c>
    </row>
    <row r="16" spans="1:4">
      <c r="A16" t="s">
        <v>81</v>
      </c>
      <c r="B16" s="17" t="s">
        <v>79</v>
      </c>
    </row>
    <row r="17" spans="1:2">
      <c r="A17" t="s">
        <v>82</v>
      </c>
      <c r="B17" t="s">
        <v>80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P34"/>
  <sheetViews>
    <sheetView showGridLines="0" tabSelected="1" zoomScale="75" zoomScaleNormal="83" workbookViewId="0">
      <pane xSplit="12" topLeftCell="M1" activePane="topRight" state="frozen"/>
      <selection pane="topRight" activeCell="L13" sqref="L13"/>
    </sheetView>
  </sheetViews>
  <sheetFormatPr defaultColWidth="8.83203125" defaultRowHeight="15.5" outlineLevelRow="1"/>
  <cols>
    <col min="3" max="3" width="12.08203125"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s>
  <sheetData>
    <row r="1" spans="2:68" ht="33.5">
      <c r="B1" s="4" t="s">
        <v>95</v>
      </c>
      <c r="D1" s="4"/>
    </row>
    <row r="2" spans="2:68">
      <c r="I2" s="19" t="s">
        <v>26</v>
      </c>
      <c r="J2" s="19"/>
      <c r="K2" s="19"/>
      <c r="L2" s="19"/>
      <c r="N2" s="19" t="s">
        <v>86</v>
      </c>
      <c r="O2" s="19"/>
      <c r="P2" s="19"/>
      <c r="Q2" s="19"/>
      <c r="R2" s="19"/>
      <c r="S2" s="19"/>
      <c r="U2" s="19" t="s">
        <v>87</v>
      </c>
      <c r="V2" s="19"/>
      <c r="W2" s="19"/>
      <c r="X2" s="19"/>
      <c r="Y2" s="19"/>
      <c r="Z2" s="19"/>
      <c r="AB2" s="19" t="s">
        <v>88</v>
      </c>
      <c r="AC2" s="19"/>
      <c r="AD2" s="19"/>
      <c r="AE2" s="19"/>
      <c r="AF2" s="19"/>
      <c r="AG2" s="19"/>
      <c r="AI2" s="19" t="s">
        <v>89</v>
      </c>
      <c r="AJ2" s="19"/>
      <c r="AK2" s="19"/>
      <c r="AL2" s="19"/>
      <c r="AM2" s="19"/>
      <c r="AN2" s="19"/>
      <c r="AP2" s="19" t="s">
        <v>90</v>
      </c>
      <c r="AQ2" s="19"/>
      <c r="AR2" s="19"/>
      <c r="AS2" s="19"/>
      <c r="AT2" s="19"/>
      <c r="AU2" s="19"/>
      <c r="AW2" s="19" t="s">
        <v>91</v>
      </c>
      <c r="AX2" s="19"/>
      <c r="AY2" s="19"/>
      <c r="AZ2" s="19"/>
      <c r="BA2" s="19"/>
      <c r="BB2" s="19"/>
      <c r="BD2" s="19" t="s">
        <v>92</v>
      </c>
      <c r="BE2" s="19"/>
      <c r="BF2" s="19"/>
      <c r="BG2" s="19"/>
      <c r="BH2" s="19"/>
      <c r="BI2" s="19"/>
      <c r="BK2" s="19" t="s">
        <v>94</v>
      </c>
      <c r="BL2" s="19"/>
      <c r="BM2" s="19"/>
      <c r="BN2" s="19"/>
      <c r="BO2" s="19"/>
      <c r="BP2" s="19"/>
    </row>
    <row r="3" spans="2:68">
      <c r="B3" s="5" t="s">
        <v>25</v>
      </c>
      <c r="C3" s="5" t="s">
        <v>0</v>
      </c>
      <c r="D3" s="5" t="s">
        <v>23</v>
      </c>
      <c r="E3" s="6" t="s">
        <v>28</v>
      </c>
      <c r="F3" s="5" t="s">
        <v>27</v>
      </c>
      <c r="G3" s="5" t="s">
        <v>29</v>
      </c>
      <c r="I3" s="6" t="s">
        <v>10</v>
      </c>
      <c r="J3" s="6" t="s">
        <v>1</v>
      </c>
      <c r="K3" s="6" t="s">
        <v>2</v>
      </c>
      <c r="L3" s="6" t="s">
        <v>11</v>
      </c>
      <c r="N3" s="5" t="s">
        <v>10</v>
      </c>
      <c r="O3" s="5" t="s">
        <v>1</v>
      </c>
      <c r="P3" s="5" t="s">
        <v>30</v>
      </c>
      <c r="Q3" s="5" t="s">
        <v>2</v>
      </c>
      <c r="R3" s="5" t="s">
        <v>30</v>
      </c>
      <c r="S3" s="5" t="s">
        <v>11</v>
      </c>
      <c r="U3" s="5" t="s">
        <v>10</v>
      </c>
      <c r="V3" s="5" t="s">
        <v>1</v>
      </c>
      <c r="W3" s="5" t="s">
        <v>30</v>
      </c>
      <c r="X3" s="5" t="s">
        <v>2</v>
      </c>
      <c r="Y3" s="5" t="s">
        <v>30</v>
      </c>
      <c r="Z3" s="5" t="s">
        <v>11</v>
      </c>
      <c r="AB3" s="5" t="s">
        <v>10</v>
      </c>
      <c r="AC3" s="5" t="s">
        <v>1</v>
      </c>
      <c r="AD3" s="5" t="s">
        <v>30</v>
      </c>
      <c r="AE3" s="5" t="s">
        <v>2</v>
      </c>
      <c r="AF3" s="5" t="s">
        <v>30</v>
      </c>
      <c r="AG3" s="5" t="s">
        <v>11</v>
      </c>
      <c r="AI3" s="5" t="s">
        <v>10</v>
      </c>
      <c r="AJ3" s="5" t="s">
        <v>1</v>
      </c>
      <c r="AK3" s="5" t="s">
        <v>30</v>
      </c>
      <c r="AL3" s="5" t="s">
        <v>2</v>
      </c>
      <c r="AM3" s="5" t="s">
        <v>30</v>
      </c>
      <c r="AN3" s="5" t="s">
        <v>11</v>
      </c>
      <c r="AP3" s="5" t="s">
        <v>10</v>
      </c>
      <c r="AQ3" s="5" t="s">
        <v>1</v>
      </c>
      <c r="AR3" s="5" t="s">
        <v>30</v>
      </c>
      <c r="AS3" s="5" t="s">
        <v>2</v>
      </c>
      <c r="AT3" s="5" t="s">
        <v>30</v>
      </c>
      <c r="AU3" s="5" t="s">
        <v>11</v>
      </c>
      <c r="AW3" s="5" t="s">
        <v>10</v>
      </c>
      <c r="AX3" s="5" t="s">
        <v>1</v>
      </c>
      <c r="AY3" s="5" t="s">
        <v>30</v>
      </c>
      <c r="AZ3" s="5" t="s">
        <v>2</v>
      </c>
      <c r="BA3" s="5" t="s">
        <v>30</v>
      </c>
      <c r="BB3" s="5" t="s">
        <v>11</v>
      </c>
      <c r="BD3" s="5" t="s">
        <v>10</v>
      </c>
      <c r="BE3" s="5" t="s">
        <v>1</v>
      </c>
      <c r="BF3" s="5" t="s">
        <v>30</v>
      </c>
      <c r="BG3" s="5" t="s">
        <v>2</v>
      </c>
      <c r="BH3" s="5" t="s">
        <v>30</v>
      </c>
      <c r="BI3" s="5" t="s">
        <v>11</v>
      </c>
      <c r="BK3" s="5" t="s">
        <v>10</v>
      </c>
      <c r="BL3" s="5" t="s">
        <v>1</v>
      </c>
      <c r="BM3" s="5" t="s">
        <v>30</v>
      </c>
      <c r="BN3" s="5" t="s">
        <v>2</v>
      </c>
      <c r="BO3" s="5" t="s">
        <v>30</v>
      </c>
      <c r="BP3" s="5" t="s">
        <v>11</v>
      </c>
    </row>
    <row r="4" spans="2:68">
      <c r="B4" s="2" t="s">
        <v>93</v>
      </c>
      <c r="C4" t="s">
        <v>84</v>
      </c>
      <c r="D4" s="18">
        <v>45643</v>
      </c>
      <c r="E4" s="9">
        <v>6</v>
      </c>
      <c r="G4" s="10">
        <f>+SUM(G5:G11)</f>
        <v>1</v>
      </c>
      <c r="I4" s="12">
        <f>+SUM(I5:I11)</f>
        <v>0</v>
      </c>
      <c r="J4" s="11">
        <f>+SUMPRODUCT(G5:G11,J5:J11)</f>
        <v>0</v>
      </c>
      <c r="K4" s="11">
        <f>+SUMPRODUCT(G5:G11,K5:K11)</f>
        <v>0</v>
      </c>
      <c r="L4" s="9"/>
      <c r="N4" s="12">
        <f>+SUM(N5:N11)</f>
        <v>0</v>
      </c>
      <c r="U4" s="12">
        <f>+SUM(U5:U11)</f>
        <v>0</v>
      </c>
      <c r="AB4" s="12">
        <f>+SUM(AB5:AB11)</f>
        <v>0</v>
      </c>
      <c r="AI4" s="12">
        <f>+SUM(AI5:AI11)</f>
        <v>0</v>
      </c>
      <c r="AP4" s="12">
        <f>+SUM(AP5:AP11)</f>
        <v>0</v>
      </c>
      <c r="AW4" s="12">
        <f>+SUM(AW5:AW11)</f>
        <v>0</v>
      </c>
      <c r="BD4" s="12">
        <f>+SUM(BD5:BD11)</f>
        <v>0</v>
      </c>
      <c r="BK4" s="12">
        <f>+SUM(BK5:BK11)</f>
        <v>0</v>
      </c>
    </row>
    <row r="5" spans="2:68" outlineLevel="1">
      <c r="B5" t="s">
        <v>86</v>
      </c>
      <c r="C5" t="s">
        <v>96</v>
      </c>
      <c r="E5" s="9"/>
      <c r="F5" t="s">
        <v>98</v>
      </c>
      <c r="G5" s="10">
        <v>0.1</v>
      </c>
      <c r="I5" s="9">
        <f t="shared" ref="I5:I11" si="0">+SUMIF($N$3:$YI$3,I$3,$N5:$YI5)</f>
        <v>0</v>
      </c>
      <c r="J5" s="11" cm="1">
        <f t="array" ref="J5">MAX(IF($N$3:$CQ$3=$J$3,N5:CQ5))</f>
        <v>0</v>
      </c>
      <c r="K5" s="11" cm="1">
        <f t="array" ref="K5">MAX(IF($N$3:$CQ$3=$J$3,N5:CQ5))</f>
        <v>0</v>
      </c>
      <c r="L5" s="20" t="s">
        <v>115</v>
      </c>
      <c r="O5" s="10"/>
      <c r="P5" s="10">
        <v>1</v>
      </c>
      <c r="Q5" s="10"/>
      <c r="R5" s="10">
        <v>1</v>
      </c>
      <c r="V5" s="10"/>
      <c r="W5" s="10">
        <v>1</v>
      </c>
      <c r="X5" s="10"/>
      <c r="Y5" s="10">
        <v>1</v>
      </c>
      <c r="AC5" s="10"/>
      <c r="AD5" s="10">
        <v>1</v>
      </c>
      <c r="AE5" s="10"/>
      <c r="AF5" s="10">
        <v>1</v>
      </c>
      <c r="AJ5" s="10"/>
      <c r="AK5" s="10">
        <v>1</v>
      </c>
      <c r="AL5" s="10"/>
      <c r="AM5" s="10">
        <v>1</v>
      </c>
      <c r="AQ5" s="10"/>
      <c r="AR5" s="10">
        <v>1</v>
      </c>
      <c r="AS5" s="10"/>
      <c r="AT5" s="10">
        <v>1</v>
      </c>
      <c r="AX5" s="10"/>
      <c r="AY5" s="10">
        <v>1</v>
      </c>
      <c r="AZ5" s="10"/>
      <c r="BA5" s="10">
        <v>1</v>
      </c>
      <c r="BE5" s="10"/>
      <c r="BF5" s="10">
        <v>1</v>
      </c>
      <c r="BG5" s="10"/>
      <c r="BH5" s="10">
        <v>1</v>
      </c>
      <c r="BL5" s="10"/>
      <c r="BM5" s="10"/>
      <c r="BN5" s="10"/>
      <c r="BO5" s="10"/>
    </row>
    <row r="6" spans="2:68" outlineLevel="1">
      <c r="B6" t="s">
        <v>87</v>
      </c>
      <c r="C6" t="s">
        <v>96</v>
      </c>
      <c r="E6" s="9"/>
      <c r="F6" t="s">
        <v>99</v>
      </c>
      <c r="G6" s="10">
        <v>0.15</v>
      </c>
      <c r="I6" s="9">
        <f t="shared" si="0"/>
        <v>0</v>
      </c>
      <c r="J6" s="11" cm="1">
        <f t="array" ref="J6">MAX(IF($N$3:$CQ$3=$J$3,N6:CQ6))</f>
        <v>0</v>
      </c>
      <c r="K6" s="11" cm="1">
        <f t="array" ref="K6">MAX(IF($N$3:$CQ$3=$J$3,N6:CQ6))</f>
        <v>0</v>
      </c>
      <c r="L6" s="9"/>
      <c r="O6" s="10"/>
      <c r="P6" s="10"/>
      <c r="Q6" s="10"/>
      <c r="R6" s="10"/>
      <c r="V6" s="10"/>
      <c r="W6" s="10">
        <v>1</v>
      </c>
      <c r="X6" s="10"/>
      <c r="Y6" s="10">
        <v>1</v>
      </c>
      <c r="AC6" s="10"/>
      <c r="AD6" s="10">
        <v>1</v>
      </c>
      <c r="AE6" s="10"/>
      <c r="AF6" s="10">
        <v>1</v>
      </c>
      <c r="AJ6" s="10"/>
      <c r="AK6" s="10">
        <v>1</v>
      </c>
      <c r="AL6" s="10"/>
      <c r="AM6" s="10">
        <v>1</v>
      </c>
      <c r="AQ6" s="10"/>
      <c r="AR6" s="10">
        <v>1</v>
      </c>
      <c r="AS6" s="10"/>
      <c r="AT6" s="10">
        <v>1</v>
      </c>
      <c r="AX6" s="10"/>
      <c r="AY6" s="10">
        <v>1</v>
      </c>
      <c r="AZ6" s="10"/>
      <c r="BA6" s="10">
        <v>1</v>
      </c>
      <c r="BE6" s="10"/>
      <c r="BF6" s="10">
        <v>1</v>
      </c>
      <c r="BG6" s="10"/>
      <c r="BH6" s="10">
        <v>1</v>
      </c>
      <c r="BL6" s="10"/>
      <c r="BM6" s="10"/>
      <c r="BN6" s="10"/>
      <c r="BO6" s="10"/>
    </row>
    <row r="7" spans="2:68" outlineLevel="1">
      <c r="B7" t="s">
        <v>88</v>
      </c>
      <c r="C7" t="s">
        <v>96</v>
      </c>
      <c r="E7" s="9"/>
      <c r="F7" t="s">
        <v>100</v>
      </c>
      <c r="G7" s="10">
        <v>0.15</v>
      </c>
      <c r="I7" s="9">
        <f t="shared" si="0"/>
        <v>0</v>
      </c>
      <c r="J7" s="11" cm="1">
        <f t="array" ref="J7">MAX(IF($N$3:$CQ$3=$J$3,N7:CQ7))</f>
        <v>0</v>
      </c>
      <c r="K7" s="11" cm="1">
        <f t="array" ref="K7">MAX(IF($N$3:$CQ$3=$J$3,N7:CQ7))</f>
        <v>0</v>
      </c>
      <c r="L7" s="9"/>
      <c r="O7" s="10"/>
      <c r="P7" s="10"/>
      <c r="Q7" s="10"/>
      <c r="R7" s="10"/>
      <c r="V7" s="10"/>
      <c r="W7" s="10"/>
      <c r="X7" s="10"/>
      <c r="Y7" s="10"/>
      <c r="AC7" s="10"/>
      <c r="AD7" s="10">
        <v>1</v>
      </c>
      <c r="AE7" s="10"/>
      <c r="AF7" s="10">
        <v>1</v>
      </c>
      <c r="AJ7" s="10"/>
      <c r="AK7" s="10">
        <v>1</v>
      </c>
      <c r="AL7" s="10"/>
      <c r="AM7" s="10">
        <v>1</v>
      </c>
      <c r="AQ7" s="10"/>
      <c r="AR7" s="10">
        <v>1</v>
      </c>
      <c r="AS7" s="10"/>
      <c r="AT7" s="10">
        <v>1</v>
      </c>
      <c r="AX7" s="10"/>
      <c r="AY7" s="10">
        <v>1</v>
      </c>
      <c r="AZ7" s="10"/>
      <c r="BA7" s="10">
        <v>1</v>
      </c>
      <c r="BE7" s="10"/>
      <c r="BF7" s="10">
        <v>1</v>
      </c>
      <c r="BG7" s="10"/>
      <c r="BH7" s="10">
        <v>1</v>
      </c>
      <c r="BL7" s="10"/>
      <c r="BM7" s="10"/>
      <c r="BN7" s="10"/>
      <c r="BO7" s="10"/>
    </row>
    <row r="8" spans="2:68" outlineLevel="1">
      <c r="B8" t="s">
        <v>89</v>
      </c>
      <c r="C8" t="s">
        <v>96</v>
      </c>
      <c r="E8" s="9"/>
      <c r="F8" t="s">
        <v>101</v>
      </c>
      <c r="G8" s="10">
        <v>0.15</v>
      </c>
      <c r="I8" s="9">
        <f t="shared" si="0"/>
        <v>0</v>
      </c>
      <c r="J8" s="11" cm="1">
        <f t="array" ref="J8">MAX(IF($N$3:$CQ$3=$J$3,N8:CQ8))</f>
        <v>0</v>
      </c>
      <c r="K8" s="11" cm="1">
        <f t="array" ref="K8">MAX(IF($N$3:$CQ$3=$J$3,N8:CQ8))</f>
        <v>0</v>
      </c>
      <c r="L8" s="9"/>
      <c r="O8" s="10"/>
      <c r="P8" s="10"/>
      <c r="Q8" s="10"/>
      <c r="R8" s="10"/>
      <c r="V8" s="10"/>
      <c r="W8" s="10"/>
      <c r="X8" s="10"/>
      <c r="Y8" s="10"/>
      <c r="AC8" s="10"/>
      <c r="AD8" s="10"/>
      <c r="AE8" s="10"/>
      <c r="AF8" s="10"/>
      <c r="AJ8" s="10"/>
      <c r="AK8" s="10">
        <v>1</v>
      </c>
      <c r="AL8" s="10"/>
      <c r="AM8" s="10">
        <v>1</v>
      </c>
      <c r="AQ8" s="10"/>
      <c r="AR8" s="10">
        <v>1</v>
      </c>
      <c r="AS8" s="10"/>
      <c r="AT8" s="10">
        <v>1</v>
      </c>
      <c r="AX8" s="10"/>
      <c r="AY8" s="10">
        <v>1</v>
      </c>
      <c r="AZ8" s="10"/>
      <c r="BA8" s="10">
        <v>1</v>
      </c>
      <c r="BE8" s="10"/>
      <c r="BF8" s="10">
        <v>1</v>
      </c>
      <c r="BG8" s="10"/>
      <c r="BH8" s="10">
        <v>1</v>
      </c>
      <c r="BL8" s="10"/>
      <c r="BM8" s="10"/>
      <c r="BN8" s="10"/>
      <c r="BO8" s="10"/>
    </row>
    <row r="9" spans="2:68" outlineLevel="1">
      <c r="B9" t="s">
        <v>90</v>
      </c>
      <c r="C9" t="s">
        <v>96</v>
      </c>
      <c r="E9" s="9"/>
      <c r="F9" t="s">
        <v>102</v>
      </c>
      <c r="G9" s="10">
        <v>0.15</v>
      </c>
      <c r="I9" s="9">
        <f t="shared" si="0"/>
        <v>0</v>
      </c>
      <c r="J9" s="11" cm="1">
        <f t="array" ref="J9">MAX(IF($N$3:$CQ$3=$J$3,N9:CQ9))</f>
        <v>0</v>
      </c>
      <c r="K9" s="11" cm="1">
        <f t="array" ref="K9">MAX(IF($N$3:$CQ$3=$J$3,N9:CQ9))</f>
        <v>0</v>
      </c>
      <c r="L9" s="9"/>
      <c r="O9" s="10"/>
      <c r="P9" s="10"/>
      <c r="Q9" s="10"/>
      <c r="R9" s="10"/>
      <c r="V9" s="10"/>
      <c r="W9" s="10"/>
      <c r="X9" s="10"/>
      <c r="Y9" s="10"/>
      <c r="AC9" s="10"/>
      <c r="AD9" s="10"/>
      <c r="AE9" s="10"/>
      <c r="AF9" s="10"/>
      <c r="AJ9" s="10"/>
      <c r="AK9" s="10"/>
      <c r="AL9" s="10"/>
      <c r="AM9" s="10"/>
      <c r="AQ9" s="10"/>
      <c r="AR9" s="10">
        <v>1</v>
      </c>
      <c r="AS9" s="10"/>
      <c r="AT9" s="10">
        <v>1</v>
      </c>
      <c r="AX9" s="10"/>
      <c r="AY9" s="10">
        <v>1</v>
      </c>
      <c r="AZ9" s="10"/>
      <c r="BA9" s="10">
        <v>1</v>
      </c>
      <c r="BE9" s="10"/>
      <c r="BF9" s="10">
        <v>1</v>
      </c>
      <c r="BG9" s="10"/>
      <c r="BH9" s="10">
        <v>1</v>
      </c>
      <c r="BL9" s="10"/>
      <c r="BM9" s="10"/>
      <c r="BN9" s="10"/>
      <c r="BO9" s="10"/>
    </row>
    <row r="10" spans="2:68" outlineLevel="1">
      <c r="B10" t="s">
        <v>91</v>
      </c>
      <c r="C10" t="s">
        <v>96</v>
      </c>
      <c r="E10" s="9"/>
      <c r="F10" t="s">
        <v>103</v>
      </c>
      <c r="G10" s="10">
        <v>0.15</v>
      </c>
      <c r="I10" s="9">
        <f t="shared" si="0"/>
        <v>0</v>
      </c>
      <c r="J10" s="11" cm="1">
        <f t="array" ref="J10">MAX(IF($N$3:$CQ$3=$J$3,N10:CQ10))</f>
        <v>0</v>
      </c>
      <c r="K10" s="11" cm="1">
        <f t="array" ref="K10">MAX(IF($N$3:$CQ$3=$J$3,N10:CQ10))</f>
        <v>0</v>
      </c>
      <c r="L10" s="9"/>
      <c r="O10" s="10"/>
      <c r="P10" s="10"/>
      <c r="Q10" s="10"/>
      <c r="R10" s="10"/>
      <c r="V10" s="10"/>
      <c r="W10" s="10"/>
      <c r="X10" s="10"/>
      <c r="Y10" s="10"/>
      <c r="AC10" s="10"/>
      <c r="AD10" s="10"/>
      <c r="AE10" s="10"/>
      <c r="AF10" s="10"/>
      <c r="AJ10" s="10"/>
      <c r="AK10" s="10"/>
      <c r="AL10" s="10"/>
      <c r="AM10" s="10"/>
      <c r="AQ10" s="10"/>
      <c r="AR10" s="10"/>
      <c r="AS10" s="10"/>
      <c r="AT10" s="10"/>
      <c r="AX10" s="10"/>
      <c r="AY10" s="10">
        <v>1</v>
      </c>
      <c r="AZ10" s="10"/>
      <c r="BA10" s="10">
        <v>1</v>
      </c>
      <c r="BE10" s="10"/>
      <c r="BF10" s="10">
        <v>1</v>
      </c>
      <c r="BG10" s="10"/>
      <c r="BH10" s="10">
        <v>1</v>
      </c>
      <c r="BL10" s="10"/>
      <c r="BM10" s="10"/>
      <c r="BN10" s="10"/>
      <c r="BO10" s="10"/>
    </row>
    <row r="11" spans="2:68" outlineLevel="1">
      <c r="B11" t="s">
        <v>92</v>
      </c>
      <c r="C11" t="s">
        <v>96</v>
      </c>
      <c r="E11" s="9"/>
      <c r="F11" t="s">
        <v>106</v>
      </c>
      <c r="G11" s="10">
        <v>0.15</v>
      </c>
      <c r="I11" s="9">
        <f t="shared" si="0"/>
        <v>0</v>
      </c>
      <c r="J11" s="11" cm="1">
        <f t="array" ref="J11">MAX(IF($N$3:$CQ$3=$J$3,N11:CQ11))</f>
        <v>0</v>
      </c>
      <c r="K11" s="11" cm="1">
        <f t="array" ref="K11">MAX(IF($N$3:$CQ$3=$J$3,N11:CQ11))</f>
        <v>0</v>
      </c>
      <c r="L11" s="9"/>
      <c r="O11" s="10"/>
      <c r="P11" s="10"/>
      <c r="Q11" s="10"/>
      <c r="R11" s="10"/>
      <c r="V11" s="10"/>
      <c r="W11" s="10"/>
      <c r="X11" s="10"/>
      <c r="Y11" s="10"/>
      <c r="AC11" s="10"/>
      <c r="AD11" s="10"/>
      <c r="AE11" s="10"/>
      <c r="AF11" s="10"/>
      <c r="AJ11" s="10"/>
      <c r="AK11" s="10"/>
      <c r="AL11" s="10"/>
      <c r="AM11" s="10"/>
      <c r="AQ11" s="10"/>
      <c r="AR11" s="10"/>
      <c r="AS11" s="10"/>
      <c r="AT11" s="10"/>
      <c r="AX11" s="10"/>
      <c r="AY11" s="10"/>
      <c r="AZ11" s="10"/>
      <c r="BA11" s="10"/>
      <c r="BE11" s="10"/>
      <c r="BF11" s="10">
        <v>1</v>
      </c>
      <c r="BG11" s="10"/>
      <c r="BH11" s="10">
        <v>1</v>
      </c>
      <c r="BL11" s="10"/>
      <c r="BM11" s="10"/>
      <c r="BN11" s="10"/>
      <c r="BO11" s="10"/>
    </row>
    <row r="13" spans="2:68">
      <c r="B13" s="2" t="s">
        <v>93</v>
      </c>
      <c r="C13" t="s">
        <v>85</v>
      </c>
      <c r="D13" s="18">
        <v>44914</v>
      </c>
      <c r="E13" s="9">
        <v>6</v>
      </c>
      <c r="G13" s="10">
        <f>+SUM(G14:G20)</f>
        <v>1</v>
      </c>
      <c r="I13" s="12">
        <f>+SUM(I14:I20)</f>
        <v>0</v>
      </c>
      <c r="J13" s="11">
        <f>+SUMPRODUCT(G14:G20,J14:J20)</f>
        <v>0</v>
      </c>
      <c r="K13" s="11">
        <f>+SUMPRODUCT(G14:G20,K14:K20)</f>
        <v>0</v>
      </c>
      <c r="L13" s="20" t="s">
        <v>116</v>
      </c>
      <c r="N13" s="12">
        <f>+SUM(N14:N20)</f>
        <v>0</v>
      </c>
      <c r="U13" s="12">
        <f>+SUM(U14:U20)</f>
        <v>0</v>
      </c>
      <c r="AB13" s="12">
        <f>+SUM(AB14:AB20)</f>
        <v>0</v>
      </c>
      <c r="AI13" s="12">
        <f>+SUM(AI14:AI20)</f>
        <v>0</v>
      </c>
      <c r="AP13" s="12">
        <f>+SUM(AP14:AP20)</f>
        <v>0</v>
      </c>
    </row>
    <row r="14" spans="2:68" outlineLevel="1">
      <c r="B14" t="s">
        <v>86</v>
      </c>
      <c r="C14" t="s">
        <v>97</v>
      </c>
      <c r="E14" s="9"/>
      <c r="F14" t="s">
        <v>104</v>
      </c>
      <c r="G14" s="10">
        <v>0.1</v>
      </c>
      <c r="I14" s="9">
        <f t="shared" ref="I14:I20" si="1">+SUMIF($N$3:$YI$3,I$3,$N14:$YI14)</f>
        <v>0</v>
      </c>
      <c r="J14" s="11" cm="1">
        <f t="array" ref="J14">MAX(IF($N$3:$CQ$3=$J$3,N14:CQ14))</f>
        <v>0</v>
      </c>
      <c r="K14" s="11" cm="1">
        <f t="array" ref="K14">MAX(IF($N$3:$CQ$3=$J$3,N14:CQ14))</f>
        <v>0</v>
      </c>
      <c r="L14" s="9"/>
      <c r="O14" s="10"/>
      <c r="P14" s="10">
        <v>1</v>
      </c>
      <c r="Q14" s="10"/>
      <c r="R14" s="10">
        <v>1</v>
      </c>
      <c r="V14" s="10"/>
      <c r="W14" s="10">
        <v>1</v>
      </c>
      <c r="X14" s="10"/>
      <c r="Y14" s="10">
        <v>1</v>
      </c>
      <c r="AC14" s="10"/>
      <c r="AD14" s="10">
        <v>1</v>
      </c>
      <c r="AE14" s="10"/>
      <c r="AF14" s="10">
        <v>1</v>
      </c>
      <c r="AJ14" s="10"/>
      <c r="AK14" s="10">
        <v>1</v>
      </c>
      <c r="AL14" s="10"/>
      <c r="AM14" s="10">
        <v>1</v>
      </c>
      <c r="AQ14" s="10"/>
      <c r="AR14" s="10">
        <v>1</v>
      </c>
      <c r="AS14" s="10"/>
      <c r="AT14" s="10">
        <v>1</v>
      </c>
      <c r="AX14" s="10"/>
      <c r="AY14" s="10">
        <v>1</v>
      </c>
      <c r="AZ14" s="10"/>
      <c r="BA14" s="10">
        <v>1</v>
      </c>
      <c r="BE14" s="10"/>
      <c r="BF14" s="10">
        <v>1</v>
      </c>
      <c r="BG14" s="10"/>
      <c r="BH14" s="10">
        <v>1</v>
      </c>
      <c r="BL14" s="10"/>
      <c r="BM14" s="10"/>
      <c r="BN14" s="10"/>
      <c r="BO14" s="10"/>
    </row>
    <row r="15" spans="2:68" outlineLevel="1">
      <c r="B15" t="s">
        <v>87</v>
      </c>
      <c r="C15" t="s">
        <v>97</v>
      </c>
      <c r="E15" s="9"/>
      <c r="F15" t="s">
        <v>105</v>
      </c>
      <c r="G15" s="10">
        <v>0.15</v>
      </c>
      <c r="I15" s="9">
        <f t="shared" si="1"/>
        <v>0</v>
      </c>
      <c r="J15" s="11" cm="1">
        <f t="array" ref="J15">MAX(IF($N$3:$CQ$3=$J$3,N15:CQ15))</f>
        <v>0</v>
      </c>
      <c r="K15" s="11" cm="1">
        <f t="array" ref="K15">MAX(IF($N$3:$CQ$3=$J$3,N15:CQ15))</f>
        <v>0</v>
      </c>
      <c r="L15" s="9"/>
      <c r="O15" s="10"/>
      <c r="P15" s="10"/>
      <c r="Q15" s="10"/>
      <c r="R15" s="10"/>
      <c r="V15" s="10"/>
      <c r="W15" s="10">
        <v>1</v>
      </c>
      <c r="X15" s="10"/>
      <c r="Y15" s="10">
        <v>1</v>
      </c>
      <c r="AC15" s="10"/>
      <c r="AD15" s="10">
        <v>1</v>
      </c>
      <c r="AE15" s="10"/>
      <c r="AF15" s="10">
        <v>1</v>
      </c>
      <c r="AJ15" s="10"/>
      <c r="AK15" s="10">
        <v>1</v>
      </c>
      <c r="AL15" s="10"/>
      <c r="AM15" s="10">
        <v>1</v>
      </c>
      <c r="AQ15" s="10"/>
      <c r="AR15" s="10">
        <v>1</v>
      </c>
      <c r="AS15" s="10"/>
      <c r="AT15" s="10">
        <v>1</v>
      </c>
      <c r="AX15" s="10"/>
      <c r="AY15" s="10">
        <v>1</v>
      </c>
      <c r="AZ15" s="10"/>
      <c r="BA15" s="10">
        <v>1</v>
      </c>
      <c r="BE15" s="10"/>
      <c r="BF15" s="10">
        <v>1</v>
      </c>
      <c r="BG15" s="10"/>
      <c r="BH15" s="10">
        <v>1</v>
      </c>
      <c r="BL15" s="10"/>
      <c r="BM15" s="10"/>
      <c r="BN15" s="10"/>
      <c r="BO15" s="10"/>
    </row>
    <row r="16" spans="2:68" outlineLevel="1">
      <c r="B16" t="s">
        <v>88</v>
      </c>
      <c r="C16" t="s">
        <v>97</v>
      </c>
      <c r="E16" s="9"/>
      <c r="F16" t="s">
        <v>107</v>
      </c>
      <c r="G16" s="10">
        <v>0.15</v>
      </c>
      <c r="I16" s="9">
        <f t="shared" si="1"/>
        <v>0</v>
      </c>
      <c r="J16" s="11" cm="1">
        <f t="array" ref="J16">MAX(IF($N$3:$CQ$3=$J$3,N16:CQ16))</f>
        <v>0</v>
      </c>
      <c r="K16" s="11" cm="1">
        <f t="array" ref="K16">MAX(IF($N$3:$CQ$3=$J$3,N16:CQ16))</f>
        <v>0</v>
      </c>
      <c r="L16" s="9"/>
      <c r="O16" s="10"/>
      <c r="P16" s="10"/>
      <c r="Q16" s="10"/>
      <c r="R16" s="10"/>
      <c r="V16" s="10"/>
      <c r="W16" s="10"/>
      <c r="X16" s="10"/>
      <c r="Y16" s="10"/>
      <c r="AC16" s="10"/>
      <c r="AD16" s="10">
        <v>1</v>
      </c>
      <c r="AE16" s="10"/>
      <c r="AF16" s="10">
        <v>1</v>
      </c>
      <c r="AJ16" s="10"/>
      <c r="AK16" s="10">
        <v>1</v>
      </c>
      <c r="AL16" s="10"/>
      <c r="AM16" s="10">
        <v>1</v>
      </c>
      <c r="AQ16" s="10"/>
      <c r="AR16" s="10">
        <v>1</v>
      </c>
      <c r="AS16" s="10"/>
      <c r="AT16" s="10">
        <v>1</v>
      </c>
      <c r="AX16" s="10"/>
      <c r="AY16" s="10">
        <v>1</v>
      </c>
      <c r="AZ16" s="10"/>
      <c r="BA16" s="10">
        <v>1</v>
      </c>
      <c r="BE16" s="10"/>
      <c r="BF16" s="10">
        <v>1</v>
      </c>
      <c r="BG16" s="10"/>
      <c r="BH16" s="10">
        <v>1</v>
      </c>
      <c r="BL16" s="10"/>
      <c r="BM16" s="10"/>
      <c r="BN16" s="10"/>
      <c r="BO16" s="10"/>
    </row>
    <row r="17" spans="2:67" outlineLevel="1">
      <c r="B17" t="s">
        <v>89</v>
      </c>
      <c r="C17" t="s">
        <v>97</v>
      </c>
      <c r="E17" s="9"/>
      <c r="F17" t="s">
        <v>108</v>
      </c>
      <c r="G17" s="10">
        <v>0.15</v>
      </c>
      <c r="I17" s="9">
        <f t="shared" si="1"/>
        <v>0</v>
      </c>
      <c r="J17" s="11" cm="1">
        <f t="array" ref="J17">MAX(IF($N$3:$CQ$3=$J$3,N17:CQ17))</f>
        <v>0</v>
      </c>
      <c r="K17" s="11" cm="1">
        <f t="array" ref="K17">MAX(IF($N$3:$CQ$3=$J$3,N17:CQ17))</f>
        <v>0</v>
      </c>
      <c r="L17" s="9"/>
      <c r="O17" s="10"/>
      <c r="P17" s="10"/>
      <c r="Q17" s="10"/>
      <c r="R17" s="10"/>
      <c r="V17" s="10"/>
      <c r="W17" s="10"/>
      <c r="X17" s="10"/>
      <c r="Y17" s="10"/>
      <c r="AC17" s="10"/>
      <c r="AD17" s="10"/>
      <c r="AE17" s="10"/>
      <c r="AF17" s="10"/>
      <c r="AJ17" s="10"/>
      <c r="AK17" s="10">
        <v>1</v>
      </c>
      <c r="AL17" s="10"/>
      <c r="AM17" s="10">
        <v>1</v>
      </c>
      <c r="AQ17" s="10"/>
      <c r="AR17" s="10">
        <v>1</v>
      </c>
      <c r="AS17" s="10"/>
      <c r="AT17" s="10">
        <v>1</v>
      </c>
      <c r="AX17" s="10"/>
      <c r="AY17" s="10">
        <v>1</v>
      </c>
      <c r="AZ17" s="10"/>
      <c r="BA17" s="10">
        <v>1</v>
      </c>
      <c r="BE17" s="10"/>
      <c r="BF17" s="10">
        <v>1</v>
      </c>
      <c r="BG17" s="10"/>
      <c r="BH17" s="10">
        <v>1</v>
      </c>
      <c r="BL17" s="10"/>
      <c r="BM17" s="10"/>
      <c r="BN17" s="10"/>
      <c r="BO17" s="10"/>
    </row>
    <row r="18" spans="2:67" outlineLevel="1">
      <c r="B18" t="s">
        <v>90</v>
      </c>
      <c r="C18" t="s">
        <v>97</v>
      </c>
      <c r="E18" s="9"/>
      <c r="F18" t="s">
        <v>109</v>
      </c>
      <c r="G18" s="10">
        <v>0.15</v>
      </c>
      <c r="I18" s="9">
        <f t="shared" si="1"/>
        <v>0</v>
      </c>
      <c r="J18" s="11" cm="1">
        <f t="array" ref="J18">MAX(IF($N$3:$CQ$3=$J$3,N18:CQ18))</f>
        <v>0</v>
      </c>
      <c r="K18" s="11" cm="1">
        <f t="array" ref="K18">MAX(IF($N$3:$CQ$3=$J$3,N18:CQ18))</f>
        <v>0</v>
      </c>
      <c r="L18" s="9"/>
      <c r="O18" s="10"/>
      <c r="P18" s="10"/>
      <c r="Q18" s="10"/>
      <c r="R18" s="10"/>
      <c r="V18" s="10"/>
      <c r="W18" s="10"/>
      <c r="X18" s="10"/>
      <c r="Y18" s="10"/>
      <c r="AC18" s="10"/>
      <c r="AD18" s="10"/>
      <c r="AE18" s="10"/>
      <c r="AF18" s="10"/>
      <c r="AJ18" s="10"/>
      <c r="AK18" s="10"/>
      <c r="AL18" s="10"/>
      <c r="AM18" s="10"/>
      <c r="AQ18" s="10"/>
      <c r="AR18" s="10">
        <v>1</v>
      </c>
      <c r="AS18" s="10"/>
      <c r="AT18" s="10">
        <v>1</v>
      </c>
      <c r="AX18" s="10"/>
      <c r="AY18" s="10">
        <v>1</v>
      </c>
      <c r="AZ18" s="10"/>
      <c r="BA18" s="10">
        <v>1</v>
      </c>
      <c r="BE18" s="10"/>
      <c r="BF18" s="10">
        <v>1</v>
      </c>
      <c r="BG18" s="10"/>
      <c r="BH18" s="10">
        <v>1</v>
      </c>
      <c r="BL18" s="10"/>
      <c r="BM18" s="10"/>
      <c r="BN18" s="10"/>
      <c r="BO18" s="10"/>
    </row>
    <row r="19" spans="2:67" outlineLevel="1">
      <c r="B19" t="s">
        <v>91</v>
      </c>
      <c r="C19" t="s">
        <v>97</v>
      </c>
      <c r="E19" s="9"/>
      <c r="F19" t="s">
        <v>110</v>
      </c>
      <c r="G19" s="10">
        <v>0.15</v>
      </c>
      <c r="I19" s="9">
        <f t="shared" si="1"/>
        <v>0</v>
      </c>
      <c r="J19" s="11" cm="1">
        <f t="array" ref="J19">MAX(IF($N$3:$CQ$3=$J$3,N19:CQ19))</f>
        <v>0</v>
      </c>
      <c r="K19" s="11" cm="1">
        <f t="array" ref="K19">MAX(IF($N$3:$CQ$3=$J$3,N19:CQ19))</f>
        <v>0</v>
      </c>
      <c r="L19" s="9"/>
      <c r="O19" s="10"/>
      <c r="P19" s="10"/>
      <c r="Q19" s="10"/>
      <c r="R19" s="10"/>
      <c r="V19" s="10"/>
      <c r="W19" s="10"/>
      <c r="X19" s="10"/>
      <c r="Y19" s="10"/>
      <c r="AC19" s="10"/>
      <c r="AD19" s="10"/>
      <c r="AE19" s="10"/>
      <c r="AF19" s="10"/>
      <c r="AJ19" s="10"/>
      <c r="AK19" s="10"/>
      <c r="AL19" s="10"/>
      <c r="AM19" s="10"/>
      <c r="AQ19" s="10"/>
      <c r="AR19" s="10"/>
      <c r="AS19" s="10"/>
      <c r="AT19" s="10"/>
      <c r="AX19" s="10"/>
      <c r="AY19" s="10">
        <v>1</v>
      </c>
      <c r="AZ19" s="10"/>
      <c r="BA19" s="10">
        <v>1</v>
      </c>
      <c r="BE19" s="10"/>
      <c r="BF19" s="10">
        <v>1</v>
      </c>
      <c r="BG19" s="10"/>
      <c r="BH19" s="10">
        <v>1</v>
      </c>
      <c r="BL19" s="10"/>
      <c r="BM19" s="10"/>
      <c r="BN19" s="10"/>
      <c r="BO19" s="10"/>
    </row>
    <row r="20" spans="2:67" outlineLevel="1">
      <c r="B20" t="s">
        <v>92</v>
      </c>
      <c r="C20" t="s">
        <v>97</v>
      </c>
      <c r="E20" s="9"/>
      <c r="F20" t="s">
        <v>111</v>
      </c>
      <c r="G20" s="10">
        <v>0.15</v>
      </c>
      <c r="I20" s="9">
        <f t="shared" si="1"/>
        <v>0</v>
      </c>
      <c r="J20" s="11" cm="1">
        <f t="array" ref="J20">MAX(IF($N$3:$CQ$3=$J$3,N20:CQ20))</f>
        <v>0</v>
      </c>
      <c r="K20" s="11" cm="1">
        <f t="array" ref="K20">MAX(IF($N$3:$CQ$3=$J$3,N20:CQ20))</f>
        <v>0</v>
      </c>
      <c r="L20" s="9"/>
      <c r="O20" s="10"/>
      <c r="P20" s="10"/>
      <c r="Q20" s="10"/>
      <c r="R20" s="10"/>
      <c r="V20" s="10"/>
      <c r="W20" s="10"/>
      <c r="X20" s="10"/>
      <c r="Y20" s="10"/>
      <c r="AC20" s="10"/>
      <c r="AD20" s="10"/>
      <c r="AE20" s="10"/>
      <c r="AF20" s="10"/>
      <c r="AJ20" s="10"/>
      <c r="AK20" s="10"/>
      <c r="AL20" s="10"/>
      <c r="AM20" s="10"/>
      <c r="AQ20" s="10"/>
      <c r="AR20" s="10"/>
      <c r="AS20" s="10"/>
      <c r="AT20" s="10"/>
      <c r="AX20" s="10"/>
      <c r="AY20" s="10"/>
      <c r="AZ20" s="10"/>
      <c r="BA20" s="10"/>
      <c r="BE20" s="10"/>
      <c r="BF20" s="10">
        <v>1</v>
      </c>
      <c r="BG20" s="10"/>
      <c r="BH20" s="10">
        <v>1</v>
      </c>
      <c r="BL20" s="10"/>
      <c r="BM20" s="10"/>
      <c r="BN20" s="10"/>
      <c r="BO20" s="10"/>
    </row>
    <row r="22" spans="2:67">
      <c r="E22" s="2"/>
    </row>
    <row r="24" spans="2:67">
      <c r="E24" t="s">
        <v>112</v>
      </c>
    </row>
    <row r="25" spans="2:67">
      <c r="E25" t="s">
        <v>114</v>
      </c>
    </row>
    <row r="26" spans="2:67">
      <c r="E26" t="s">
        <v>113</v>
      </c>
    </row>
    <row r="33" spans="6:6">
      <c r="F33" s="2"/>
    </row>
    <row r="34" spans="6:6">
      <c r="F34" s="2"/>
    </row>
  </sheetData>
  <mergeCells count="9">
    <mergeCell ref="BK2:BP2"/>
    <mergeCell ref="I2:L2"/>
    <mergeCell ref="N2:S2"/>
    <mergeCell ref="BD2:BI2"/>
    <mergeCell ref="U2:Z2"/>
    <mergeCell ref="AB2:AG2"/>
    <mergeCell ref="AI2:AN2"/>
    <mergeCell ref="AP2:AU2"/>
    <mergeCell ref="AW2:BB2"/>
  </mergeCells>
  <phoneticPr fontId="5" type="noConversion"/>
  <conditionalFormatting sqref="J5:J11">
    <cfRule type="colorScale" priority="597">
      <colorScale>
        <cfvo type="percent" val="0"/>
        <cfvo type="percent" val="100"/>
        <color rgb="FFFF231B"/>
        <color rgb="FF10FF07"/>
      </colorScale>
    </cfRule>
  </conditionalFormatting>
  <conditionalFormatting sqref="J15">
    <cfRule type="colorScale" priority="145">
      <colorScale>
        <cfvo type="percent" val="0"/>
        <cfvo type="percent" val="100"/>
        <color rgb="FFFF231B"/>
        <color rgb="FF10FF07"/>
      </colorScale>
    </cfRule>
  </conditionalFormatting>
  <conditionalFormatting sqref="J16">
    <cfRule type="colorScale" priority="126">
      <colorScale>
        <cfvo type="percent" val="0"/>
        <cfvo type="percent" val="100"/>
        <color rgb="FFFF231B"/>
        <color rgb="FF10FF07"/>
      </colorScale>
    </cfRule>
  </conditionalFormatting>
  <conditionalFormatting sqref="J17:J20 J14">
    <cfRule type="colorScale" priority="753">
      <colorScale>
        <cfvo type="percent" val="0"/>
        <cfvo type="percent" val="100"/>
        <color rgb="FFFF231B"/>
        <color rgb="FF10FF07"/>
      </colorScale>
    </cfRule>
  </conditionalFormatting>
  <conditionalFormatting sqref="J6:K11">
    <cfRule type="colorScale" priority="568">
      <colorScale>
        <cfvo type="percent" val="0"/>
        <cfvo type="percent" val="100"/>
        <color rgb="FFFF231B"/>
        <color rgb="FF10FF07"/>
      </colorScale>
    </cfRule>
  </conditionalFormatting>
  <conditionalFormatting sqref="J15:K15">
    <cfRule type="colorScale" priority="146">
      <colorScale>
        <cfvo type="percent" val="0"/>
        <cfvo type="percent" val="100"/>
        <color rgb="FFFF231B"/>
        <color rgb="FF10FF07"/>
      </colorScale>
    </cfRule>
  </conditionalFormatting>
  <conditionalFormatting sqref="J16:K16">
    <cfRule type="colorScale" priority="127">
      <colorScale>
        <cfvo type="percent" val="0"/>
        <cfvo type="percent" val="100"/>
        <color rgb="FFFF231B"/>
        <color rgb="FF10FF07"/>
      </colorScale>
    </cfRule>
  </conditionalFormatting>
  <conditionalFormatting sqref="J17:K20">
    <cfRule type="colorScale" priority="755">
      <colorScale>
        <cfvo type="percent" val="0"/>
        <cfvo type="percent" val="100"/>
        <color rgb="FFFF231B"/>
        <color rgb="FF10FF07"/>
      </colorScale>
    </cfRule>
  </conditionalFormatting>
  <conditionalFormatting sqref="K5:K11">
    <cfRule type="colorScale" priority="598">
      <colorScale>
        <cfvo type="percent" val="0"/>
        <cfvo type="percent" val="100"/>
        <color rgb="FFFF231B"/>
        <color rgb="FF10FF07"/>
      </colorScale>
    </cfRule>
  </conditionalFormatting>
  <conditionalFormatting sqref="K15">
    <cfRule type="colorScale" priority="144">
      <colorScale>
        <cfvo type="percent" val="0"/>
        <cfvo type="percent" val="100"/>
        <color rgb="FFFF231B"/>
        <color rgb="FF10FF07"/>
      </colorScale>
    </cfRule>
  </conditionalFormatting>
  <conditionalFormatting sqref="K16">
    <cfRule type="colorScale" priority="125">
      <colorScale>
        <cfvo type="percent" val="0"/>
        <cfvo type="percent" val="100"/>
        <color rgb="FFFF231B"/>
        <color rgb="FF10FF07"/>
      </colorScale>
    </cfRule>
  </conditionalFormatting>
  <conditionalFormatting sqref="K17:K20 K14">
    <cfRule type="colorScale" priority="756">
      <colorScale>
        <cfvo type="percent" val="0"/>
        <cfvo type="percent" val="100"/>
        <color rgb="FFFF231B"/>
        <color rgb="FF10FF07"/>
      </colorScale>
    </cfRule>
  </conditionalFormatting>
  <conditionalFormatting sqref="O5:O11 Q5:Q11 V5:V11 X5:X11 AC5:AC11 AE5:AE11 AJ5:AJ11 AL5:AL11 AQ5:AQ11 AS5:AS11 AX5:AX11 AZ5:AZ11 BE5:BE11 BG5:BG11 BL5:BL11 BN5:BN11 O14:O20 Q14:Q20 V14:V20 X14:X20 AC14:AC20 AE14:AE20 AJ14:AJ20 AL14:AL20 AQ14:AQ20 AS14:AS20 AX14:AX20 AZ14:AZ20 BE14:BE20 BG14:BG20 BL14:BL20 BN14:BN20">
    <cfRule type="expression" dxfId="13" priority="565">
      <formula>OR(IF(O5&lt;P5,TRUE),IF(AND(P5="",O5&lt;&gt;""),TRUE))</formula>
    </cfRule>
    <cfRule type="expression" dxfId="12" priority="566">
      <formula>IF(O5&gt;=P5,IF(O5="",FALSE,TRUE))</formula>
    </cfRule>
  </conditionalFormatting>
  <dataValidations count="1">
    <dataValidation type="list" allowBlank="1" showInputMessage="1" showErrorMessage="1" sqref="V5:Y11 AC5:AF11 AJ5:AM11 AQ14:AT20 AX5:BA11 BE5:BH11 BL14:BO20 O14:R20 O5:R11 BL5:BO11 AX14:BA20 AJ14:AM20 AQ5:AT11 AC14:AF20 V14:Y20 BE14:BH20"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9" workbookViewId="0">
      <selection activeCell="C25" sqref="C25"/>
    </sheetView>
  </sheetViews>
  <sheetFormatPr defaultColWidth="10.6640625" defaultRowHeight="15.5"/>
  <cols>
    <col min="2" max="2" width="161" customWidth="1"/>
    <col min="3" max="3" width="10.83203125"/>
  </cols>
  <sheetData>
    <row r="4" spans="2:2" ht="21">
      <c r="B4" s="3" t="s">
        <v>15</v>
      </c>
    </row>
    <row r="6" spans="2:2">
      <c r="B6" s="2" t="s">
        <v>12</v>
      </c>
    </row>
    <row r="7" spans="2:2" ht="46.5">
      <c r="B7" s="1" t="s">
        <v>13</v>
      </c>
    </row>
    <row r="9" spans="2:2">
      <c r="B9" s="2" t="s">
        <v>14</v>
      </c>
    </row>
    <row r="10" spans="2:2" ht="62">
      <c r="B10" s="1" t="s">
        <v>32</v>
      </c>
    </row>
    <row r="12" spans="2:2">
      <c r="B12" s="2" t="s">
        <v>16</v>
      </c>
    </row>
    <row r="13" spans="2:2" ht="124">
      <c r="B13" s="1" t="s">
        <v>17</v>
      </c>
    </row>
    <row r="15" spans="2:2">
      <c r="B15" s="2" t="s">
        <v>18</v>
      </c>
    </row>
    <row r="16" spans="2:2" ht="108.5">
      <c r="B16" s="1" t="s">
        <v>19</v>
      </c>
    </row>
    <row r="17" spans="2:2">
      <c r="B17" s="1"/>
    </row>
    <row r="18" spans="2:2">
      <c r="B18" s="2" t="s">
        <v>31</v>
      </c>
    </row>
    <row r="19" spans="2:2" ht="139.5">
      <c r="B19" s="1" t="s">
        <v>33</v>
      </c>
    </row>
    <row r="21" spans="2:2">
      <c r="B21" s="2" t="s">
        <v>20</v>
      </c>
    </row>
    <row r="22" spans="2:2" ht="124">
      <c r="B22" s="1" t="s">
        <v>34</v>
      </c>
    </row>
    <row r="24" spans="2:2">
      <c r="B24" s="2" t="s">
        <v>21</v>
      </c>
    </row>
    <row r="25" spans="2:2" ht="124">
      <c r="B25" s="1"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defaultColWidth="10.6640625" defaultRowHeight="15.5"/>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1">
      <c r="A1" s="9" t="s">
        <v>38</v>
      </c>
      <c r="B1" s="14" t="s">
        <v>35</v>
      </c>
      <c r="C1" s="14" t="s">
        <v>36</v>
      </c>
      <c r="D1" s="14" t="s">
        <v>37</v>
      </c>
      <c r="E1" s="1" t="s">
        <v>39</v>
      </c>
      <c r="F1" s="1" t="s">
        <v>40</v>
      </c>
      <c r="G1" s="1" t="s">
        <v>41</v>
      </c>
      <c r="H1" s="1" t="s">
        <v>42</v>
      </c>
      <c r="I1" s="1" t="s">
        <v>43</v>
      </c>
      <c r="J1" s="1" t="s">
        <v>44</v>
      </c>
      <c r="K1" s="1" t="s">
        <v>45</v>
      </c>
    </row>
    <row r="2" spans="1:11">
      <c r="A2" s="13">
        <v>44118</v>
      </c>
      <c r="D2" s="11">
        <v>1</v>
      </c>
    </row>
    <row r="3" spans="1:11">
      <c r="A3" s="13">
        <v>44119</v>
      </c>
    </row>
    <row r="4" spans="1:11">
      <c r="A4" s="13">
        <v>44120</v>
      </c>
    </row>
    <row r="5" spans="1:11">
      <c r="A5" s="13">
        <v>44121</v>
      </c>
    </row>
    <row r="6" spans="1:11">
      <c r="A6" s="13">
        <v>44122</v>
      </c>
    </row>
    <row r="7" spans="1:11">
      <c r="A7" s="13">
        <v>44123</v>
      </c>
    </row>
    <row r="8" spans="1:11">
      <c r="A8" s="13">
        <v>44124</v>
      </c>
    </row>
    <row r="9" spans="1:11">
      <c r="A9" s="13">
        <v>44125</v>
      </c>
    </row>
    <row r="10" spans="1:11">
      <c r="A10" s="13">
        <v>44126</v>
      </c>
    </row>
    <row r="11" spans="1:11">
      <c r="A11" s="13">
        <v>44127</v>
      </c>
    </row>
    <row r="12" spans="1:11">
      <c r="A12" s="13">
        <v>44128</v>
      </c>
    </row>
    <row r="13" spans="1:11">
      <c r="A13" s="13">
        <v>44129</v>
      </c>
    </row>
    <row r="14" spans="1:11">
      <c r="A14" s="13">
        <v>44130</v>
      </c>
    </row>
    <row r="15" spans="1:11">
      <c r="A15" s="13">
        <v>44131</v>
      </c>
    </row>
    <row r="16" spans="1:11">
      <c r="A16" s="13">
        <v>44132</v>
      </c>
    </row>
    <row r="17" spans="1:1">
      <c r="A17" s="13">
        <v>44133</v>
      </c>
    </row>
    <row r="18" spans="1:1">
      <c r="A18" s="13">
        <v>44134</v>
      </c>
    </row>
    <row r="19" spans="1:1">
      <c r="A19" s="13">
        <v>44135</v>
      </c>
    </row>
    <row r="20" spans="1:1">
      <c r="A20" s="13">
        <v>44136</v>
      </c>
    </row>
    <row r="21" spans="1:1">
      <c r="A21" s="13">
        <v>44137</v>
      </c>
    </row>
    <row r="22" spans="1:1">
      <c r="A22" s="13">
        <v>44138</v>
      </c>
    </row>
    <row r="23" spans="1:1">
      <c r="A23" s="13">
        <v>44139</v>
      </c>
    </row>
    <row r="24" spans="1:1">
      <c r="A24" s="13">
        <v>44140</v>
      </c>
    </row>
    <row r="25" spans="1:1">
      <c r="A25" s="13">
        <v>44141</v>
      </c>
    </row>
    <row r="26" spans="1:1">
      <c r="A26" s="13">
        <v>44142</v>
      </c>
    </row>
    <row r="27" spans="1:1">
      <c r="A27" s="13">
        <v>44143</v>
      </c>
    </row>
    <row r="28" spans="1:1">
      <c r="A28" s="13">
        <v>44144</v>
      </c>
    </row>
    <row r="29" spans="1:1">
      <c r="A29" s="13">
        <v>44145</v>
      </c>
    </row>
    <row r="30" spans="1:1">
      <c r="A30" s="13">
        <v>44146</v>
      </c>
    </row>
    <row r="31" spans="1:1">
      <c r="A31" s="13">
        <v>44147</v>
      </c>
    </row>
    <row r="32" spans="1:1">
      <c r="A32" s="13">
        <v>44148</v>
      </c>
    </row>
    <row r="33" spans="1:1">
      <c r="A33" s="13">
        <v>44149</v>
      </c>
    </row>
    <row r="34" spans="1:1">
      <c r="A34" s="13">
        <v>44150</v>
      </c>
    </row>
    <row r="35" spans="1:1">
      <c r="A35" s="13">
        <v>44151</v>
      </c>
    </row>
    <row r="36" spans="1:1">
      <c r="A36" s="13">
        <v>44152</v>
      </c>
    </row>
    <row r="37" spans="1:1">
      <c r="A37" s="13">
        <v>44153</v>
      </c>
    </row>
    <row r="38" spans="1:1">
      <c r="A38" s="13">
        <v>44154</v>
      </c>
    </row>
    <row r="39" spans="1:1">
      <c r="A39" s="13">
        <v>44155</v>
      </c>
    </row>
    <row r="40" spans="1:1">
      <c r="A40" s="13">
        <v>44156</v>
      </c>
    </row>
    <row r="41" spans="1:1">
      <c r="A41" s="13">
        <v>44157</v>
      </c>
    </row>
    <row r="42" spans="1:1">
      <c r="A42" s="13">
        <v>44158</v>
      </c>
    </row>
    <row r="43" spans="1:1">
      <c r="A43" s="13">
        <v>44159</v>
      </c>
    </row>
    <row r="44" spans="1:1">
      <c r="A44" s="13">
        <v>44160</v>
      </c>
    </row>
    <row r="45" spans="1:1">
      <c r="A45" s="13">
        <v>44161</v>
      </c>
    </row>
    <row r="46" spans="1:1">
      <c r="A46" s="13">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defaultColWidth="10.6640625" defaultRowHeight="15.5"/>
  <sheetData>
    <row r="1" spans="1:8" ht="25">
      <c r="B1" s="7" t="s">
        <v>24</v>
      </c>
    </row>
    <row r="4" spans="1:8">
      <c r="B4" s="2" t="s">
        <v>3</v>
      </c>
      <c r="C4" s="2" t="s">
        <v>4</v>
      </c>
      <c r="D4" s="2" t="s">
        <v>5</v>
      </c>
      <c r="E4" s="2" t="s">
        <v>6</v>
      </c>
      <c r="F4" s="2" t="s">
        <v>9</v>
      </c>
      <c r="G4" s="2" t="s">
        <v>7</v>
      </c>
      <c r="H4" s="2" t="s">
        <v>8</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6640625" defaultRowHeight="15.5"/>
  <sheetData>
    <row r="1" spans="1:8" ht="25">
      <c r="B1" s="7" t="s">
        <v>24</v>
      </c>
    </row>
    <row r="4" spans="1:8">
      <c r="B4" s="2" t="s">
        <v>3</v>
      </c>
      <c r="C4" s="2" t="s">
        <v>4</v>
      </c>
      <c r="D4" s="2" t="s">
        <v>5</v>
      </c>
      <c r="E4" s="2" t="s">
        <v>6</v>
      </c>
      <c r="F4" s="2" t="s">
        <v>9</v>
      </c>
      <c r="G4" s="2" t="s">
        <v>7</v>
      </c>
      <c r="H4" s="2" t="s">
        <v>8</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Abahji, Amin (Stud. SBE)</cp:lastModifiedBy>
  <dcterms:created xsi:type="dcterms:W3CDTF">2020-04-19T13:33:28Z</dcterms:created>
  <dcterms:modified xsi:type="dcterms:W3CDTF">2024-10-26T19:16:30Z</dcterms:modified>
</cp:coreProperties>
</file>