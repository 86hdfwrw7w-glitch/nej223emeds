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atalieweishaupt/Desktop/WS22:"/>
    </mc:Choice>
  </mc:AlternateContent>
  <xr:revisionPtr revIDLastSave="0" documentId="13_ncr:1_{0703E2CF-E1A0-B24A-B497-009FABE162B7}" xr6:coauthVersionLast="47" xr6:coauthVersionMax="47" xr10:uidLastSave="{00000000-0000-0000-0000-000000000000}"/>
  <bookViews>
    <workbookView xWindow="800" yWindow="660" windowWidth="19440" windowHeight="1968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7" l="1" a="1"/>
  <c r="J5" i="7" s="1"/>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DA36" i="7"/>
  <c r="DA19" i="7" s="1"/>
  <c r="CT36" i="7"/>
  <c r="CT19" i="7" s="1"/>
  <c r="CM36" i="7"/>
  <c r="CM19" i="7" s="1"/>
  <c r="CF36" i="7"/>
  <c r="CF19" i="7" s="1"/>
  <c r="BY36" i="7"/>
  <c r="BY19" i="7" s="1"/>
  <c r="BR36" i="7"/>
  <c r="BR19" i="7" s="1"/>
  <c r="BK36" i="7"/>
  <c r="BK19" i="7" s="1"/>
  <c r="BD36" i="7"/>
  <c r="BD19" i="7" s="1"/>
  <c r="AW36" i="7"/>
  <c r="AW19" i="7" s="1"/>
  <c r="AP36" i="7"/>
  <c r="AP19" i="7" s="1"/>
  <c r="CT4" i="7"/>
  <c r="DA4" i="7"/>
  <c r="G36" i="7"/>
  <c r="G4" i="7"/>
  <c r="I39" i="7"/>
  <c r="I40" i="7"/>
  <c r="I41" i="7"/>
  <c r="I42" i="7"/>
  <c r="I43" i="7"/>
  <c r="I44" i="7"/>
  <c r="I45" i="7"/>
  <c r="I46" i="7"/>
  <c r="I47" i="7"/>
  <c r="I48" i="7"/>
  <c r="I49" i="7"/>
  <c r="I50" i="7"/>
  <c r="I51" i="7"/>
  <c r="I52" i="7"/>
  <c r="I53" i="7"/>
  <c r="I54" i="7"/>
  <c r="I55" i="7"/>
  <c r="I56" i="7"/>
  <c r="I57" i="7"/>
  <c r="I58" i="7"/>
  <c r="I9" i="7"/>
  <c r="I10" i="7"/>
  <c r="I11" i="7"/>
  <c r="I12" i="7"/>
  <c r="I13" i="7"/>
  <c r="I14" i="7"/>
  <c r="I15" i="7"/>
  <c r="I16" i="7"/>
  <c r="K9" i="7" a="1"/>
  <c r="K9" i="7" s="1"/>
  <c r="K10" i="7" a="1"/>
  <c r="K10" i="7" s="1"/>
  <c r="K11" i="7" a="1"/>
  <c r="K11" i="7" s="1"/>
  <c r="K12" i="7" a="1"/>
  <c r="K12" i="7" s="1"/>
  <c r="K13" i="7" a="1"/>
  <c r="K13" i="7" s="1"/>
  <c r="K14" i="7" a="1"/>
  <c r="K14" i="7" s="1"/>
  <c r="K15" i="7" a="1"/>
  <c r="K15" i="7" s="1"/>
  <c r="K16" i="7" a="1"/>
  <c r="K16" i="7" s="1"/>
  <c r="J9" i="7" a="1"/>
  <c r="J9" i="7" s="1"/>
  <c r="J10" i="7" a="1"/>
  <c r="J10" i="7" s="1"/>
  <c r="J11" i="7" a="1"/>
  <c r="J11" i="7" s="1"/>
  <c r="J12" i="7" a="1"/>
  <c r="J12" i="7" s="1"/>
  <c r="J13" i="7" a="1"/>
  <c r="J13" i="7" s="1"/>
  <c r="J14" i="7" a="1"/>
  <c r="J14" i="7" s="1"/>
  <c r="J15" i="7" a="1"/>
  <c r="J15" i="7" s="1"/>
  <c r="J16" i="7" a="1"/>
  <c r="J16"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C11" i="10"/>
  <c r="CM4" i="7"/>
  <c r="CF4" i="7"/>
  <c r="BY4" i="7"/>
  <c r="BR4" i="7"/>
  <c r="BK4" i="7"/>
  <c r="C7" i="10"/>
  <c r="K22" i="7" a="1"/>
  <c r="K22" i="7" s="1"/>
  <c r="J22" i="7" a="1"/>
  <c r="J22" i="7" s="1"/>
  <c r="I22" i="7"/>
  <c r="K21" i="7" a="1"/>
  <c r="K21" i="7" s="1"/>
  <c r="J21" i="7" a="1"/>
  <c r="J21" i="7" s="1"/>
  <c r="I21" i="7"/>
  <c r="BD4" i="7"/>
  <c r="C12" i="10"/>
  <c r="K34" i="7" a="1"/>
  <c r="K34" i="7" s="1"/>
  <c r="J34" i="7" a="1"/>
  <c r="J34" i="7" s="1"/>
  <c r="K24" i="7" a="1"/>
  <c r="K24" i="7" s="1"/>
  <c r="J24" i="7" a="1"/>
  <c r="J24" i="7" s="1"/>
  <c r="K23" i="7" a="1"/>
  <c r="K23" i="7" s="1"/>
  <c r="J23" i="7" a="1"/>
  <c r="J23" i="7" s="1"/>
  <c r="K20" i="7" a="1"/>
  <c r="K20" i="7" s="1"/>
  <c r="J20" i="7" a="1"/>
  <c r="J20" i="7" s="1"/>
  <c r="K59" i="7" a="1"/>
  <c r="K59" i="7" s="1"/>
  <c r="J59" i="7" a="1"/>
  <c r="J59" i="7" s="1"/>
  <c r="J58" i="7" a="1"/>
  <c r="J58" i="7" s="1"/>
  <c r="J57" i="7" a="1"/>
  <c r="J57" i="7" s="1"/>
  <c r="J56" i="7" a="1"/>
  <c r="J56" i="7" s="1"/>
  <c r="K41" i="7" a="1"/>
  <c r="K41" i="7" s="1"/>
  <c r="J41" i="7" a="1"/>
  <c r="J41" i="7" s="1"/>
  <c r="K40" i="7" a="1"/>
  <c r="K40" i="7" s="1"/>
  <c r="J40" i="7" a="1"/>
  <c r="J40" i="7" s="1"/>
  <c r="K39" i="7" a="1"/>
  <c r="K39" i="7" s="1"/>
  <c r="J39" i="7" a="1"/>
  <c r="J39" i="7" s="1"/>
  <c r="K38" i="7" a="1"/>
  <c r="K38" i="7" s="1"/>
  <c r="J38" i="7" a="1"/>
  <c r="J38" i="7" s="1"/>
  <c r="K37" i="7" a="1"/>
  <c r="K37" i="7" s="1"/>
  <c r="J37" i="7" a="1"/>
  <c r="J37" i="7" s="1"/>
  <c r="K17" i="7" a="1"/>
  <c r="K17" i="7" s="1"/>
  <c r="J17" i="7" a="1"/>
  <c r="J17" i="7" s="1"/>
  <c r="K8" i="7" a="1"/>
  <c r="K8" i="7" s="1"/>
  <c r="J8" i="7" a="1"/>
  <c r="J8" i="7" s="1"/>
  <c r="K7" i="7" a="1"/>
  <c r="K7" i="7" s="1"/>
  <c r="J7" i="7" a="1"/>
  <c r="J7" i="7" s="1"/>
  <c r="K6" i="7" a="1"/>
  <c r="K6" i="7" s="1"/>
  <c r="J6" i="7" a="1"/>
  <c r="J6" i="7" s="1"/>
  <c r="K5" i="7" a="1"/>
  <c r="K5" i="7" s="1"/>
  <c r="AI19" i="7"/>
  <c r="AB19" i="7"/>
  <c r="U19" i="7"/>
  <c r="N19" i="7"/>
  <c r="AW4" i="7"/>
  <c r="AP4" i="7"/>
  <c r="AI4" i="7"/>
  <c r="AB4" i="7"/>
  <c r="U4" i="7"/>
  <c r="N4" i="7"/>
  <c r="AI36" i="7"/>
  <c r="AB36" i="7"/>
  <c r="U36" i="7"/>
  <c r="N36" i="7"/>
  <c r="I59" i="7"/>
  <c r="I38" i="7"/>
  <c r="I37" i="7"/>
  <c r="I34" i="7"/>
  <c r="I24" i="7"/>
  <c r="I23" i="7"/>
  <c r="I20" i="7"/>
  <c r="I6" i="7"/>
  <c r="I7" i="7"/>
  <c r="I8" i="7"/>
  <c r="I17" i="7"/>
  <c r="I5" i="7"/>
  <c r="G19" i="7"/>
  <c r="J4" i="7" l="1"/>
  <c r="K36" i="7"/>
  <c r="J36" i="7"/>
  <c r="K19" i="7"/>
  <c r="K4" i="7"/>
  <c r="J19" i="7"/>
  <c r="I36"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<sst xmlns="http://schemas.openxmlformats.org/spreadsheetml/2006/main" count="360" uniqueCount="162">
  <si>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</si>
  <si>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</si>
  <si>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</si>
  <si>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</si>
  <si>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</si>
  <si>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</si>
  <si>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</si>
  <si>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</si>
  <si>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</si>
  <si>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</si>
  <si>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</si>
  <si>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</si>
  <si>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</si>
  <si>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</si>
  <si>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</si>
  <si>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</si>
  <si>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</si>
  <si>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</si>
  <si>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</si>
  <si>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</si>
  <si>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</si>
  <si>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</si>
  <si>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</si>
  <si>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</si>
  <si>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</si>
  <si>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</si>
  <si>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</si>
  <si>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</si>
  <si>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</si>
  <si>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</si>
  <si>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</si>
  <si>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</si>
  <si>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</si>
  <si>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</si>
  <si>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</si>
  <si>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</si>
  <si>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</si>
  <si>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</si>
  <si>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</si>
  <si>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</si>
  <si>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</si>
  <si>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</si>
  <si>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</si>
  <si>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</si>
  <si>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</si>
  <si>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</si>
  <si>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</si>
  <si>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</si>
  <si>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</si>
  <si>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</si>
  <si>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</si>
  <si>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</si>
  <si>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</si>
  <si>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</si>
  <si>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</si>
  <si>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</si>
  <si>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</si>
  <si>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</si>
  <si>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</si>
  <si>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</si>
  <si>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</si>
  <si>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</si>
  <si>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</si>
  <si>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</si>
  <si>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</si>
  <si>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</si>
  <si>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</si>
  <si>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</si>
  <si>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</si>
  <si>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</si>
  <si>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</si>
  <si>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</si>
  <si>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</si>
  <si>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</si>
  <si>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</si>
  <si>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</si>
  <si>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</si>
  <si>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</si>
  <si>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</si>
  <si>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</si>
  <si>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</si>
  <si>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</si>
  <si>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</si>
  <si>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</si>
  <si>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</si>
  <si>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</si>
  <si>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</si>
  <si>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</si>
  <si>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</si>
  <si>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</si>
  <si>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</si>
  <si>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</si>
  <si>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</si>
  <si>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</si>
  <si>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</si>
  <si>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</si>
  <si>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</si>
  <si>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</si>
  <si>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</si>
  <si>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</si>
  <si>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</si>
  <si>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</si>
  <si>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</si>
  <si>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</si>
  <si>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</si>
  <si>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</si>
  <si>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</si>
  <si>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</si>
  <si>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</si>
  <si>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</si>
  <si>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</si>
  <si>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</si>
  <si>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</si>
  <si>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</si>
  <si>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</si>
  <si>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</si>
  <si>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</si>
  <si>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</si>
  <si>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</si>
  <si>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</si>
  <si>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</si>
  <si>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</si>
  <si>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</si>
  <si>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</si>
  <si>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</si>
  <si>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</si>
  <si>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</si>
  <si>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</si>
  <si>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</si>
  <si>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</si>
  <si>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</si>
  <si>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</si>
  <si>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</si>
  <si>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</si>
  <si>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</si>
  <si>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</si>
  <si>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</si>
  <si>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</si>
  <si>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</si>
  <si>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</si>
  <si>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</si>
  <si>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</si>
  <si>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</si>
  <si>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</si>
  <si>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</si>
  <si>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</si>
  <si>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</si>
  <si>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</si>
  <si>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</si>
  <si>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</si>
  <si>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</si>
  <si>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</si>
  <si>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</si>
  <si>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</si>
  <si>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</si>
  <si>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Vorlesung 15</t>
  </si>
  <si>
    <t>4 Lvl/Week</t>
  </si>
  <si>
    <t>4,5 Lvl/Week</t>
  </si>
  <si>
    <t>7 Lvl/Week</t>
  </si>
  <si>
    <t>9-10Uhr</t>
  </si>
  <si>
    <t>14-15/11 Uhr</t>
  </si>
  <si>
    <t>12-14/ 11:30 Uhr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</si>
</sst>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0" fontId="1" fillId="2" borderId="0" xfId="0" applyFont="1" applyFill="1" applyAlignment="1">
      <alignment horizontal="center"/>
    </xf>
  </cellXfs>
  <cellStyles count="1">
    <cellStyle name="Standard" xfId="0" builtinId="0"/>
  </cellStyles>
  <dxfs count="24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f>6+8+11+7+10</f>
        <v>42</v>
      </c>
    </row>
    <row r="8" spans="1:4" x14ac:dyDescent="0.2">
      <c r="A8" t="s">
        <v>51</v>
      </c>
      <c r="B8" s="21" t="s">
        <v>50</v>
      </c>
      <c r="C8" s="9"/>
      <c r="D8" t="s">
        <v>74</v>
      </c>
    </row>
    <row r="9" spans="1:4" x14ac:dyDescent="0.2">
      <c r="A9" t="s">
        <v>59</v>
      </c>
      <c r="B9" s="21" t="s">
        <v>72</v>
      </c>
      <c r="D9" t="s">
        <v>75</v>
      </c>
    </row>
    <row r="10" spans="1:4" x14ac:dyDescent="0.2">
      <c r="A10" t="s">
        <v>63</v>
      </c>
      <c r="B10" t="s">
        <v>62</v>
      </c>
      <c r="C10" s="19">
        <v>10.5</v>
      </c>
      <c r="D10" t="s">
        <v>58</v>
      </c>
    </row>
    <row r="11" spans="1:4" x14ac:dyDescent="0.2">
      <c r="A11" t="s">
        <v>64</v>
      </c>
      <c r="B11" t="s">
        <v>66</v>
      </c>
      <c r="C11" s="19">
        <f>42*3</f>
        <v>126</v>
      </c>
      <c r="D11" t="s">
        <v>65</v>
      </c>
    </row>
    <row r="12" spans="1:4" x14ac:dyDescent="0.2">
      <c r="A12" t="s">
        <v>68</v>
      </c>
      <c r="B12" t="s">
        <v>67</v>
      </c>
      <c r="C12" s="20">
        <f>C11/C10</f>
        <v>12</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65"/>
  <sheetViews>
    <sheetView showGridLines="0" tabSelected="1" zoomScale="75" zoomScaleNormal="83" workbookViewId="0">
      <pane xSplit="12" topLeftCell="M1" activePane="topRight" state="frozen"/>
      <selection pane="topRight" activeCell="O40" sqref="O40"/>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5" t="s">
        <v>0</v>
      </c>
      <c r="D1" s="5"/>
      <c r="G1" s="15" t="s">
        <v>33</v>
      </c>
      <c r="I1" s="15" t="s">
        <v>33</v>
      </c>
      <c r="J1" s="15" t="s">
        <v>33</v>
      </c>
      <c r="K1" s="15" t="s">
        <v>33</v>
      </c>
    </row>
    <row r="2" spans="2:110" x14ac:dyDescent="0.2">
      <c r="I2" s="24" t="s">
        <v>27</v>
      </c>
      <c r="J2" s="24"/>
      <c r="K2" s="24"/>
      <c r="L2" s="24"/>
      <c r="N2" s="24" t="s">
        <v>128</v>
      </c>
      <c r="O2" s="24"/>
      <c r="P2" s="24"/>
      <c r="Q2" s="24"/>
      <c r="R2" s="24"/>
      <c r="S2" s="24"/>
      <c r="U2" s="24" t="s">
        <v>129</v>
      </c>
      <c r="V2" s="24"/>
      <c r="W2" s="24"/>
      <c r="X2" s="24"/>
      <c r="Y2" s="24"/>
      <c r="Z2" s="24"/>
      <c r="AB2" s="24" t="s">
        <v>130</v>
      </c>
      <c r="AC2" s="24"/>
      <c r="AD2" s="24"/>
      <c r="AE2" s="24"/>
      <c r="AF2" s="24"/>
      <c r="AG2" s="24"/>
      <c r="AI2" s="24" t="s">
        <v>131</v>
      </c>
      <c r="AJ2" s="24"/>
      <c r="AK2" s="24"/>
      <c r="AL2" s="24"/>
      <c r="AM2" s="24"/>
      <c r="AN2" s="24"/>
      <c r="AP2" s="24" t="s">
        <v>132</v>
      </c>
      <c r="AQ2" s="24"/>
      <c r="AR2" s="24"/>
      <c r="AS2" s="24"/>
      <c r="AT2" s="24"/>
      <c r="AU2" s="24"/>
      <c r="AW2" s="24" t="s">
        <v>133</v>
      </c>
      <c r="AX2" s="24"/>
      <c r="AY2" s="24"/>
      <c r="AZ2" s="24"/>
      <c r="BA2" s="24"/>
      <c r="BB2" s="24"/>
      <c r="BD2" s="24" t="s">
        <v>134</v>
      </c>
      <c r="BE2" s="24"/>
      <c r="BF2" s="24"/>
      <c r="BG2" s="24"/>
      <c r="BH2" s="24"/>
      <c r="BI2" s="24"/>
      <c r="BK2" s="24" t="s">
        <v>135</v>
      </c>
      <c r="BL2" s="24"/>
      <c r="BM2" s="24"/>
      <c r="BN2" s="24"/>
      <c r="BO2" s="24"/>
      <c r="BP2" s="24"/>
      <c r="BR2" s="24" t="s">
        <v>136</v>
      </c>
      <c r="BS2" s="24"/>
      <c r="BT2" s="24"/>
      <c r="BU2" s="24"/>
      <c r="BV2" s="24"/>
      <c r="BW2" s="24"/>
      <c r="BY2" s="24" t="s">
        <v>137</v>
      </c>
      <c r="BZ2" s="24"/>
      <c r="CA2" s="24"/>
      <c r="CB2" s="24"/>
      <c r="CC2" s="24"/>
      <c r="CD2" s="24"/>
      <c r="CF2" s="24" t="s">
        <v>138</v>
      </c>
      <c r="CG2" s="24"/>
      <c r="CH2" s="24"/>
      <c r="CI2" s="24"/>
      <c r="CJ2" s="24"/>
      <c r="CK2" s="24"/>
      <c r="CM2" s="24" t="s">
        <v>139</v>
      </c>
      <c r="CN2" s="24"/>
      <c r="CO2" s="24"/>
      <c r="CP2" s="24"/>
      <c r="CQ2" s="24"/>
      <c r="CR2" s="24"/>
      <c r="CT2" s="24" t="s">
        <v>140</v>
      </c>
      <c r="CU2" s="24"/>
      <c r="CV2" s="24"/>
      <c r="CW2" s="24"/>
      <c r="CX2" s="24"/>
      <c r="CY2" s="24"/>
      <c r="DA2" s="24" t="s">
        <v>87</v>
      </c>
      <c r="DB2" s="24"/>
      <c r="DC2" s="24"/>
      <c r="DD2" s="24"/>
      <c r="DE2" s="24"/>
      <c r="DF2" s="24"/>
    </row>
    <row r="3" spans="2:110"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x14ac:dyDescent="0.2">
      <c r="B4" t="s">
        <v>27</v>
      </c>
      <c r="C4" t="s">
        <v>88</v>
      </c>
      <c r="D4" s="22">
        <v>44979</v>
      </c>
      <c r="E4" s="11">
        <v>6</v>
      </c>
      <c r="G4" s="12">
        <f>+SUM(G5:G17)</f>
        <v>1.0009999999999999</v>
      </c>
      <c r="I4" s="14">
        <f>+SUM(I5:I17)</f>
        <v>0</v>
      </c>
      <c r="J4" s="13">
        <f>+SUMPRODUCT(G5:G17,J5:J17)</f>
        <v>0</v>
      </c>
      <c r="K4" s="13">
        <f>+SUMPRODUCT(G5:G17,K5:K17)</f>
        <v>0</v>
      </c>
      <c r="L4" s="11" t="s">
        <v>156</v>
      </c>
      <c r="N4" s="14">
        <f>+SUM(N5:N17)</f>
        <v>0</v>
      </c>
      <c r="U4" s="14">
        <f>+SUM(U5:U17)</f>
        <v>0</v>
      </c>
      <c r="AB4" s="14">
        <f>+SUM(AB5:AB17)</f>
        <v>0</v>
      </c>
      <c r="AI4" s="14">
        <f>+SUM(AI5:AI17)</f>
        <v>0</v>
      </c>
      <c r="AP4" s="14">
        <f>+SUM(AP5:AP17)</f>
        <v>0</v>
      </c>
      <c r="AW4" s="14">
        <f>+SUM(AW5:AW17)</f>
        <v>0</v>
      </c>
      <c r="BD4" s="14">
        <f>+SUM(BD5:BD17)</f>
        <v>0</v>
      </c>
      <c r="BK4" s="14">
        <f>+SUM(BK5:BK17)</f>
        <v>0</v>
      </c>
      <c r="BR4" s="14">
        <f>+SUM(BR5:BR17)</f>
        <v>0</v>
      </c>
      <c r="BY4" s="14">
        <f>+SUM(BY5:BY17)</f>
        <v>0</v>
      </c>
      <c r="CF4" s="14">
        <f>+SUM(CF5:CF17)</f>
        <v>0</v>
      </c>
      <c r="CM4" s="14">
        <f>+SUM(CM5:CM17)</f>
        <v>0</v>
      </c>
      <c r="CT4" s="14">
        <f>+SUM(CT5:CT17)</f>
        <v>0</v>
      </c>
      <c r="DA4" s="14">
        <f>+SUM(DA5:DA17)</f>
        <v>0</v>
      </c>
    </row>
    <row r="5" spans="2:110" outlineLevel="1" x14ac:dyDescent="0.2">
      <c r="B5" t="s">
        <v>28</v>
      </c>
      <c r="C5" t="s">
        <v>88</v>
      </c>
      <c r="D5" s="22">
        <v>45021</v>
      </c>
      <c r="E5" s="11"/>
      <c r="F5" t="s">
        <v>89</v>
      </c>
      <c r="G5" s="12">
        <v>7.6999999999999999E-2</v>
      </c>
      <c r="I5" s="11">
        <f t="shared" ref="I5:I17" si="0">+SUMIF($N$3:$ZS$3,I$3,$N5:$ZS5)</f>
        <v>0</v>
      </c>
      <c r="J5" s="13" cm="1">
        <f t="array" ref="J5">MAX(IF($N$3:$EA$3=$J$3,N5:EA5))</f>
        <v>0</v>
      </c>
      <c r="K5" s="13" cm="1">
        <f t="array" ref="K5">MAX(IF($N$3:$EA$3=$J$3,N5:EA5))</f>
        <v>0</v>
      </c>
      <c r="L5" s="11"/>
      <c r="O5" s="12"/>
      <c r="P5" s="12">
        <v>0.5</v>
      </c>
      <c r="Q5" s="12"/>
      <c r="R5" s="12"/>
      <c r="V5" s="12"/>
      <c r="W5" s="12">
        <v>0.8</v>
      </c>
      <c r="X5" s="12"/>
      <c r="Y5" s="12"/>
      <c r="AC5" s="12"/>
      <c r="AD5" s="12">
        <v>0.8</v>
      </c>
      <c r="AE5" s="12"/>
      <c r="AF5" s="12"/>
      <c r="AJ5" s="12"/>
      <c r="AK5" s="12">
        <v>0.8</v>
      </c>
      <c r="AL5" s="12"/>
      <c r="AM5" s="12"/>
      <c r="AQ5" s="12"/>
      <c r="AR5" s="12">
        <v>0.8</v>
      </c>
      <c r="AS5" s="12"/>
      <c r="AT5" s="12"/>
      <c r="AX5" s="12"/>
      <c r="AY5" s="12">
        <v>1</v>
      </c>
      <c r="AZ5" s="12"/>
      <c r="BA5" s="12"/>
      <c r="BE5" s="12"/>
      <c r="BF5" s="12">
        <v>1</v>
      </c>
      <c r="BG5" s="12"/>
      <c r="BH5" s="12"/>
      <c r="BL5" s="12"/>
      <c r="BM5" s="12">
        <v>1</v>
      </c>
      <c r="BN5" s="12"/>
      <c r="BO5" s="12"/>
      <c r="BS5" s="12"/>
      <c r="BT5" s="12">
        <v>1</v>
      </c>
      <c r="BU5" s="12"/>
      <c r="BV5" s="12"/>
      <c r="BZ5" s="12"/>
      <c r="CA5" s="12">
        <v>1</v>
      </c>
      <c r="CB5" s="12"/>
      <c r="CC5" s="12"/>
      <c r="CG5" s="12"/>
      <c r="CH5" s="12"/>
      <c r="CI5" s="12"/>
      <c r="CJ5" s="12"/>
      <c r="CN5" s="12"/>
      <c r="CO5" s="12"/>
      <c r="CP5" s="12"/>
      <c r="CQ5" s="12"/>
      <c r="CU5" s="12"/>
      <c r="CV5" s="12"/>
      <c r="CW5" s="12"/>
      <c r="CX5" s="12"/>
      <c r="DB5" s="12"/>
      <c r="DC5" s="12">
        <v>1</v>
      </c>
      <c r="DD5" s="12"/>
      <c r="DE5" s="12"/>
    </row>
    <row r="6" spans="2:110" outlineLevel="1" x14ac:dyDescent="0.2">
      <c r="B6" t="s">
        <v>28</v>
      </c>
      <c r="C6" t="s">
        <v>88</v>
      </c>
      <c r="D6" s="23" t="s">
        <v>159</v>
      </c>
      <c r="E6" s="11"/>
      <c r="F6" t="s">
        <v>90</v>
      </c>
      <c r="G6" s="12">
        <v>7.6999999999999999E-2</v>
      </c>
      <c r="I6" s="11">
        <f t="shared" si="0"/>
        <v>0</v>
      </c>
      <c r="J6" s="13" cm="1">
        <f t="array" ref="J6">MAX(IF($N$3:$EA$3=$J$3,N6:EA6))</f>
        <v>0</v>
      </c>
      <c r="K6" s="13" cm="1">
        <f t="array" ref="K6">MAX(IF($N$3:$EA$3=$J$3,N6:EA6))</f>
        <v>0</v>
      </c>
      <c r="L6" s="11"/>
      <c r="O6" s="12"/>
      <c r="P6" s="12">
        <v>0.5</v>
      </c>
      <c r="Q6" s="12"/>
      <c r="R6" s="12"/>
      <c r="V6" s="12"/>
      <c r="W6" s="12">
        <v>0.5</v>
      </c>
      <c r="X6" s="12"/>
      <c r="Y6" s="12"/>
      <c r="AC6" s="12"/>
      <c r="AD6" s="12">
        <v>0.8</v>
      </c>
      <c r="AE6" s="12"/>
      <c r="AF6" s="12"/>
      <c r="AJ6" s="12"/>
      <c r="AK6" s="12">
        <v>0.8</v>
      </c>
      <c r="AL6" s="12"/>
      <c r="AM6" s="12"/>
      <c r="AQ6" s="12"/>
      <c r="AR6" s="12">
        <v>0.8</v>
      </c>
      <c r="AS6" s="12"/>
      <c r="AT6" s="12"/>
      <c r="AX6" s="12"/>
      <c r="AY6" s="12">
        <v>1</v>
      </c>
      <c r="AZ6" s="12"/>
      <c r="BA6" s="12"/>
      <c r="BE6" s="12"/>
      <c r="BF6" s="12">
        <v>1</v>
      </c>
      <c r="BG6" s="12"/>
      <c r="BH6" s="12"/>
      <c r="BL6" s="12"/>
      <c r="BM6" s="12">
        <v>1</v>
      </c>
      <c r="BN6" s="12"/>
      <c r="BO6" s="12"/>
      <c r="BS6" s="12"/>
      <c r="BT6" s="12">
        <v>1</v>
      </c>
      <c r="BU6" s="12"/>
      <c r="BV6" s="12"/>
      <c r="BZ6" s="12"/>
      <c r="CA6" s="12">
        <v>1</v>
      </c>
      <c r="CB6" s="12"/>
      <c r="CC6" s="12"/>
      <c r="CG6" s="12"/>
      <c r="CH6" s="12"/>
      <c r="CI6" s="12"/>
      <c r="CJ6" s="12"/>
      <c r="CN6" s="12"/>
      <c r="CO6" s="12"/>
      <c r="CP6" s="12"/>
      <c r="CQ6" s="12"/>
      <c r="CU6" s="12"/>
      <c r="CV6" s="12"/>
      <c r="CW6" s="12"/>
      <c r="CX6" s="12"/>
      <c r="DB6" s="12"/>
      <c r="DC6" s="12">
        <v>1</v>
      </c>
      <c r="DD6" s="12"/>
      <c r="DE6" s="12"/>
    </row>
    <row r="7" spans="2:110" outlineLevel="1" x14ac:dyDescent="0.2">
      <c r="B7" t="s">
        <v>28</v>
      </c>
      <c r="C7" t="s">
        <v>88</v>
      </c>
      <c r="E7" s="11"/>
      <c r="F7" t="s">
        <v>91</v>
      </c>
      <c r="G7" s="12">
        <v>7.6999999999999999E-2</v>
      </c>
      <c r="I7" s="11">
        <f t="shared" si="0"/>
        <v>0</v>
      </c>
      <c r="J7" s="13" cm="1">
        <f t="array" ref="J7">MAX(IF($N$3:$EA$3=$J$3,N7:EA7))</f>
        <v>0</v>
      </c>
      <c r="K7" s="13" cm="1">
        <f t="array" ref="K7">MAX(IF($N$3:$EA$3=$J$3,N7:EA7))</f>
        <v>0</v>
      </c>
      <c r="L7" s="11"/>
      <c r="O7" s="12"/>
      <c r="P7" s="12">
        <v>0.5</v>
      </c>
      <c r="Q7" s="12"/>
      <c r="R7" s="12"/>
      <c r="V7" s="12"/>
      <c r="W7" s="12">
        <v>0.5</v>
      </c>
      <c r="X7" s="12"/>
      <c r="Y7" s="12"/>
      <c r="AC7" s="12"/>
      <c r="AD7" s="12">
        <v>0.8</v>
      </c>
      <c r="AE7" s="12"/>
      <c r="AF7" s="12"/>
      <c r="AJ7" s="12"/>
      <c r="AK7" s="12">
        <v>0.8</v>
      </c>
      <c r="AL7" s="12"/>
      <c r="AM7" s="12"/>
      <c r="AQ7" s="12"/>
      <c r="AR7" s="12">
        <v>0.8</v>
      </c>
      <c r="AS7" s="12"/>
      <c r="AT7" s="12"/>
      <c r="AX7" s="12"/>
      <c r="AY7" s="12">
        <v>0.8</v>
      </c>
      <c r="AZ7" s="12"/>
      <c r="BA7" s="12"/>
      <c r="BE7" s="12"/>
      <c r="BF7" s="12">
        <v>1</v>
      </c>
      <c r="BG7" s="12"/>
      <c r="BH7" s="12"/>
      <c r="BL7" s="12"/>
      <c r="BM7" s="12">
        <v>1</v>
      </c>
      <c r="BN7" s="12"/>
      <c r="BO7" s="12"/>
      <c r="BS7" s="12"/>
      <c r="BT7" s="12">
        <v>1</v>
      </c>
      <c r="BU7" s="12"/>
      <c r="BV7" s="12"/>
      <c r="BZ7" s="12"/>
      <c r="CA7" s="12">
        <v>1</v>
      </c>
      <c r="CB7" s="12"/>
      <c r="CC7" s="12"/>
      <c r="CG7" s="12"/>
      <c r="CH7" s="12"/>
      <c r="CI7" s="12"/>
      <c r="CJ7" s="12"/>
      <c r="CN7" s="12"/>
      <c r="CO7" s="12"/>
      <c r="CP7" s="12"/>
      <c r="CQ7" s="12"/>
      <c r="CU7" s="12"/>
      <c r="CV7" s="12"/>
      <c r="CW7" s="12"/>
      <c r="CX7" s="12"/>
      <c r="DB7" s="12"/>
      <c r="DC7" s="12">
        <v>1</v>
      </c>
      <c r="DD7" s="12"/>
      <c r="DE7" s="12"/>
    </row>
    <row r="8" spans="2:110" outlineLevel="1" x14ac:dyDescent="0.2">
      <c r="B8" t="s">
        <v>28</v>
      </c>
      <c r="C8" t="s">
        <v>88</v>
      </c>
      <c r="E8" s="11"/>
      <c r="F8" t="s">
        <v>92</v>
      </c>
      <c r="G8" s="12">
        <v>7.6999999999999999E-2</v>
      </c>
      <c r="I8" s="11">
        <f t="shared" si="0"/>
        <v>0</v>
      </c>
      <c r="J8" s="13" cm="1">
        <f t="array" ref="J8">MAX(IF($N$3:$EA$3=$J$3,N8:EA8))</f>
        <v>0</v>
      </c>
      <c r="K8" s="13" cm="1">
        <f t="array" ref="K8">MAX(IF($N$3:$EA$3=$J$3,N8:EA8))</f>
        <v>0</v>
      </c>
      <c r="L8" s="11"/>
      <c r="O8" s="12"/>
      <c r="P8" s="12">
        <v>0.5</v>
      </c>
      <c r="Q8" s="12"/>
      <c r="R8" s="12"/>
      <c r="V8" s="12"/>
      <c r="W8" s="12">
        <v>0.5</v>
      </c>
      <c r="X8" s="12"/>
      <c r="Y8" s="12"/>
      <c r="AC8" s="12"/>
      <c r="AD8" s="12">
        <v>0.5</v>
      </c>
      <c r="AE8" s="12"/>
      <c r="AF8" s="12"/>
      <c r="AJ8" s="12"/>
      <c r="AK8" s="12">
        <v>0.8</v>
      </c>
      <c r="AL8" s="12"/>
      <c r="AM8" s="12"/>
      <c r="AQ8" s="12"/>
      <c r="AR8" s="12">
        <v>0.8</v>
      </c>
      <c r="AS8" s="12"/>
      <c r="AT8" s="12"/>
      <c r="AX8" s="12"/>
      <c r="AY8" s="12">
        <v>0.8</v>
      </c>
      <c r="AZ8" s="12"/>
      <c r="BA8" s="12"/>
      <c r="BE8" s="12"/>
      <c r="BF8" s="12">
        <v>1</v>
      </c>
      <c r="BG8" s="12"/>
      <c r="BH8" s="12"/>
      <c r="BL8" s="12"/>
      <c r="BM8" s="12">
        <v>1</v>
      </c>
      <c r="BN8" s="12"/>
      <c r="BO8" s="12"/>
      <c r="BS8" s="12"/>
      <c r="BT8" s="12">
        <v>1</v>
      </c>
      <c r="BU8" s="12"/>
      <c r="BV8" s="12"/>
      <c r="BZ8" s="12"/>
      <c r="CA8" s="12">
        <v>1</v>
      </c>
      <c r="CB8" s="12"/>
      <c r="CC8" s="12"/>
      <c r="CG8" s="12"/>
      <c r="CH8" s="12"/>
      <c r="CI8" s="12"/>
      <c r="CJ8" s="12"/>
      <c r="CN8" s="12"/>
      <c r="CO8" s="12"/>
      <c r="CP8" s="12"/>
      <c r="CQ8" s="12"/>
      <c r="CU8" s="12"/>
      <c r="CV8" s="12"/>
      <c r="CW8" s="12"/>
      <c r="CX8" s="12"/>
      <c r="DB8" s="12"/>
      <c r="DC8" s="12">
        <v>1</v>
      </c>
      <c r="DD8" s="12"/>
      <c r="DE8" s="12"/>
    </row>
    <row r="9" spans="2:110" outlineLevel="1" x14ac:dyDescent="0.2">
      <c r="B9" t="s">
        <v>28</v>
      </c>
      <c r="C9" t="s">
        <v>88</v>
      </c>
      <c r="E9" s="11"/>
      <c r="F9" t="s">
        <v>93</v>
      </c>
      <c r="G9" s="12">
        <v>7.6999999999999999E-2</v>
      </c>
      <c r="I9" s="11">
        <f t="shared" si="0"/>
        <v>0</v>
      </c>
      <c r="J9" s="13" cm="1">
        <f t="array" ref="J9">MAX(IF($N$3:$EA$3=$J$3,N9:EA9))</f>
        <v>0</v>
      </c>
      <c r="K9" s="13" cm="1">
        <f t="array" ref="K9">MAX(IF($N$3:$EA$3=$J$3,N9:EA9))</f>
        <v>0</v>
      </c>
      <c r="L9" s="11"/>
      <c r="O9" s="12"/>
      <c r="P9" s="12"/>
      <c r="Q9" s="12"/>
      <c r="R9" s="12"/>
      <c r="V9" s="12"/>
      <c r="W9" s="12">
        <v>0.5</v>
      </c>
      <c r="X9" s="12"/>
      <c r="Y9" s="12"/>
      <c r="AC9" s="12"/>
      <c r="AD9" s="12">
        <v>0.5</v>
      </c>
      <c r="AE9" s="12"/>
      <c r="AF9" s="12"/>
      <c r="AJ9" s="12"/>
      <c r="AK9" s="12">
        <v>0.8</v>
      </c>
      <c r="AL9" s="12"/>
      <c r="AM9" s="12"/>
      <c r="AQ9" s="12"/>
      <c r="AR9" s="12">
        <v>0.8</v>
      </c>
      <c r="AS9" s="12"/>
      <c r="AT9" s="12"/>
      <c r="AX9" s="12"/>
      <c r="AY9" s="12">
        <v>0.8</v>
      </c>
      <c r="AZ9" s="12"/>
      <c r="BA9" s="12"/>
      <c r="BE9" s="12"/>
      <c r="BF9" s="12">
        <v>0.8</v>
      </c>
      <c r="BG9" s="12"/>
      <c r="BH9" s="12"/>
      <c r="BL9" s="12"/>
      <c r="BM9" s="12">
        <v>1</v>
      </c>
      <c r="BN9" s="12"/>
      <c r="BO9" s="12"/>
      <c r="BS9" s="12"/>
      <c r="BT9" s="12">
        <v>1</v>
      </c>
      <c r="BU9" s="12"/>
      <c r="BV9" s="12"/>
      <c r="BZ9" s="12"/>
      <c r="CA9" s="12">
        <v>1</v>
      </c>
      <c r="CB9" s="12"/>
      <c r="CC9" s="12"/>
      <c r="CG9" s="12"/>
      <c r="CH9" s="12"/>
      <c r="CI9" s="12"/>
      <c r="CJ9" s="12"/>
      <c r="CN9" s="12"/>
      <c r="CO9" s="12"/>
      <c r="CP9" s="12"/>
      <c r="CQ9" s="12"/>
      <c r="CU9" s="12"/>
      <c r="CV9" s="12"/>
      <c r="CW9" s="12"/>
      <c r="CX9" s="12"/>
      <c r="DB9" s="12"/>
      <c r="DC9" s="12">
        <v>1</v>
      </c>
      <c r="DD9" s="12"/>
      <c r="DE9" s="12"/>
    </row>
    <row r="10" spans="2:110" outlineLevel="1" x14ac:dyDescent="0.2">
      <c r="B10" t="s">
        <v>28</v>
      </c>
      <c r="C10" t="s">
        <v>88</v>
      </c>
      <c r="E10" s="11"/>
      <c r="F10" t="s">
        <v>94</v>
      </c>
      <c r="G10" s="12">
        <v>7.6999999999999999E-2</v>
      </c>
      <c r="I10" s="11">
        <f t="shared" si="0"/>
        <v>0</v>
      </c>
      <c r="J10" s="13" cm="1">
        <f t="array" ref="J10">MAX(IF($N$3:$EA$3=$J$3,N10:EA10))</f>
        <v>0</v>
      </c>
      <c r="K10" s="13" cm="1">
        <f t="array" ref="K10">MAX(IF($N$3:$EA$3=$J$3,N10:EA10))</f>
        <v>0</v>
      </c>
      <c r="L10" s="11"/>
      <c r="O10" s="12"/>
      <c r="P10" s="12"/>
      <c r="Q10" s="12"/>
      <c r="R10" s="12"/>
      <c r="V10" s="12"/>
      <c r="W10" s="12">
        <v>0.5</v>
      </c>
      <c r="X10" s="12"/>
      <c r="Y10" s="12"/>
      <c r="AC10" s="12"/>
      <c r="AD10" s="12">
        <v>0.5</v>
      </c>
      <c r="AE10" s="12"/>
      <c r="AF10" s="12"/>
      <c r="AJ10" s="12"/>
      <c r="AK10" s="12">
        <v>0.5</v>
      </c>
      <c r="AL10" s="12"/>
      <c r="AM10" s="12"/>
      <c r="AQ10" s="12"/>
      <c r="AR10" s="12">
        <v>0.8</v>
      </c>
      <c r="AS10" s="12"/>
      <c r="AT10" s="12"/>
      <c r="AX10" s="12"/>
      <c r="AY10" s="12">
        <v>0.8</v>
      </c>
      <c r="AZ10" s="12"/>
      <c r="BA10" s="12"/>
      <c r="BE10" s="12"/>
      <c r="BF10" s="12">
        <v>0.8</v>
      </c>
      <c r="BG10" s="12"/>
      <c r="BH10" s="12"/>
      <c r="BL10" s="12"/>
      <c r="BM10" s="12">
        <v>1</v>
      </c>
      <c r="BN10" s="12"/>
      <c r="BO10" s="12"/>
      <c r="BS10" s="12"/>
      <c r="BT10" s="12">
        <v>1</v>
      </c>
      <c r="BU10" s="12"/>
      <c r="BV10" s="12"/>
      <c r="BZ10" s="12"/>
      <c r="CA10" s="12">
        <v>1</v>
      </c>
      <c r="CB10" s="12"/>
      <c r="CC10" s="12"/>
      <c r="CG10" s="12"/>
      <c r="CH10" s="12"/>
      <c r="CI10" s="12"/>
      <c r="CJ10" s="12"/>
      <c r="CN10" s="12"/>
      <c r="CO10" s="12"/>
      <c r="CP10" s="12"/>
      <c r="CQ10" s="12"/>
      <c r="CU10" s="12"/>
      <c r="CV10" s="12"/>
      <c r="CW10" s="12"/>
      <c r="CX10" s="12"/>
      <c r="DB10" s="12"/>
      <c r="DC10" s="12">
        <v>1</v>
      </c>
      <c r="DD10" s="12"/>
      <c r="DE10" s="12"/>
    </row>
    <row r="11" spans="2:110" outlineLevel="1" x14ac:dyDescent="0.2">
      <c r="B11" t="s">
        <v>28</v>
      </c>
      <c r="C11" t="s">
        <v>88</v>
      </c>
      <c r="E11" s="11"/>
      <c r="F11" t="s">
        <v>95</v>
      </c>
      <c r="G11" s="12">
        <v>7.6999999999999999E-2</v>
      </c>
      <c r="I11" s="11">
        <f t="shared" si="0"/>
        <v>0</v>
      </c>
      <c r="J11" s="13" cm="1">
        <f t="array" ref="J11">MAX(IF($N$3:$EA$3=$J$3,N11:EA11))</f>
        <v>0</v>
      </c>
      <c r="K11" s="13" cm="1">
        <f t="array" ref="K11">MAX(IF($N$3:$EA$3=$J$3,N11:EA11))</f>
        <v>0</v>
      </c>
      <c r="L11" s="11"/>
      <c r="O11" s="12"/>
      <c r="P11" s="12"/>
      <c r="Q11" s="12"/>
      <c r="R11" s="12"/>
      <c r="V11" s="12"/>
      <c r="W11" s="12">
        <v>0.5</v>
      </c>
      <c r="X11" s="12"/>
      <c r="Y11" s="12"/>
      <c r="AC11" s="12"/>
      <c r="AD11" s="12">
        <v>0.5</v>
      </c>
      <c r="AE11" s="12"/>
      <c r="AF11" s="12"/>
      <c r="AJ11" s="12"/>
      <c r="AK11" s="12">
        <v>0.5</v>
      </c>
      <c r="AL11" s="12"/>
      <c r="AM11" s="12"/>
      <c r="AQ11" s="12"/>
      <c r="AR11" s="12">
        <v>0.8</v>
      </c>
      <c r="AS11" s="12"/>
      <c r="AT11" s="12"/>
      <c r="AX11" s="12"/>
      <c r="AY11" s="12">
        <v>0.8</v>
      </c>
      <c r="AZ11" s="12"/>
      <c r="BA11" s="12"/>
      <c r="BE11" s="12"/>
      <c r="BF11" s="12">
        <v>0.8</v>
      </c>
      <c r="BG11" s="12"/>
      <c r="BH11" s="12"/>
      <c r="BL11" s="12"/>
      <c r="BM11" s="12">
        <v>0.8</v>
      </c>
      <c r="BN11" s="12"/>
      <c r="BO11" s="12"/>
      <c r="BS11" s="12"/>
      <c r="BT11" s="12">
        <v>1</v>
      </c>
      <c r="BU11" s="12"/>
      <c r="BV11" s="12"/>
      <c r="BZ11" s="12"/>
      <c r="CA11" s="12">
        <v>1</v>
      </c>
      <c r="CB11" s="12"/>
      <c r="CC11" s="12"/>
      <c r="CG11" s="12"/>
      <c r="CH11" s="12"/>
      <c r="CI11" s="12"/>
      <c r="CJ11" s="12"/>
      <c r="CN11" s="12"/>
      <c r="CO11" s="12"/>
      <c r="CP11" s="12"/>
      <c r="CQ11" s="12"/>
      <c r="CU11" s="12"/>
      <c r="CV11" s="12"/>
      <c r="CW11" s="12"/>
      <c r="CX11" s="12"/>
      <c r="DB11" s="12"/>
      <c r="DC11" s="12">
        <v>1</v>
      </c>
      <c r="DD11" s="12"/>
      <c r="DE11" s="12"/>
    </row>
    <row r="12" spans="2:110" outlineLevel="1" x14ac:dyDescent="0.2">
      <c r="B12" t="s">
        <v>28</v>
      </c>
      <c r="C12" t="s">
        <v>88</v>
      </c>
      <c r="E12" s="11"/>
      <c r="F12" t="s">
        <v>96</v>
      </c>
      <c r="G12" s="12">
        <v>7.6999999999999999E-2</v>
      </c>
      <c r="I12" s="11">
        <f t="shared" si="0"/>
        <v>0</v>
      </c>
      <c r="J12" s="13" cm="1">
        <f t="array" ref="J12">MAX(IF($N$3:$EA$3=$J$3,N12:EA12))</f>
        <v>0</v>
      </c>
      <c r="K12" s="13" cm="1">
        <f t="array" ref="K12">MAX(IF($N$3:$EA$3=$J$3,N12:EA12))</f>
        <v>0</v>
      </c>
      <c r="L12" s="11"/>
      <c r="O12" s="12"/>
      <c r="P12" s="12"/>
      <c r="Q12" s="12"/>
      <c r="R12" s="12"/>
      <c r="V12" s="12"/>
      <c r="W12" s="12"/>
      <c r="X12" s="12"/>
      <c r="Y12" s="12"/>
      <c r="AC12" s="12"/>
      <c r="AD12" s="12">
        <v>0.5</v>
      </c>
      <c r="AE12" s="12"/>
      <c r="AF12" s="12"/>
      <c r="AJ12" s="12"/>
      <c r="AK12" s="12">
        <v>0.5</v>
      </c>
      <c r="AL12" s="12"/>
      <c r="AM12" s="12"/>
      <c r="AQ12" s="12"/>
      <c r="AR12" s="12">
        <v>0.5</v>
      </c>
      <c r="AS12" s="12"/>
      <c r="AT12" s="12"/>
      <c r="AX12" s="12"/>
      <c r="AY12" s="12">
        <v>0.8</v>
      </c>
      <c r="AZ12" s="12"/>
      <c r="BA12" s="12"/>
      <c r="BE12" s="12"/>
      <c r="BF12" s="12">
        <v>0.8</v>
      </c>
      <c r="BG12" s="12"/>
      <c r="BH12" s="12"/>
      <c r="BL12" s="12"/>
      <c r="BM12" s="12">
        <v>0.8</v>
      </c>
      <c r="BN12" s="12"/>
      <c r="BO12" s="12"/>
      <c r="BS12" s="12"/>
      <c r="BT12" s="12">
        <v>1</v>
      </c>
      <c r="BU12" s="12"/>
      <c r="BV12" s="12"/>
      <c r="BZ12" s="12"/>
      <c r="CA12" s="12">
        <v>1</v>
      </c>
      <c r="CB12" s="12"/>
      <c r="CC12" s="12"/>
      <c r="CG12" s="12"/>
      <c r="CH12" s="12"/>
      <c r="CI12" s="12"/>
      <c r="CJ12" s="12"/>
      <c r="CN12" s="12"/>
      <c r="CO12" s="12"/>
      <c r="CP12" s="12"/>
      <c r="CQ12" s="12"/>
      <c r="CU12" s="12"/>
      <c r="CV12" s="12"/>
      <c r="CW12" s="12"/>
      <c r="CX12" s="12"/>
      <c r="DB12" s="12"/>
      <c r="DC12" s="12">
        <v>1</v>
      </c>
      <c r="DD12" s="12"/>
      <c r="DE12" s="12"/>
    </row>
    <row r="13" spans="2:110" outlineLevel="1" x14ac:dyDescent="0.2">
      <c r="B13" t="s">
        <v>28</v>
      </c>
      <c r="C13" t="s">
        <v>88</v>
      </c>
      <c r="E13" s="11"/>
      <c r="F13" t="s">
        <v>97</v>
      </c>
      <c r="G13" s="12">
        <v>7.6999999999999999E-2</v>
      </c>
      <c r="I13" s="11">
        <f t="shared" si="0"/>
        <v>0</v>
      </c>
      <c r="J13" s="13" cm="1">
        <f t="array" ref="J13">MAX(IF($N$3:$EA$3=$J$3,N13:EA13))</f>
        <v>0</v>
      </c>
      <c r="K13" s="13" cm="1">
        <f t="array" ref="K13">MAX(IF($N$3:$EA$3=$J$3,N13:EA13))</f>
        <v>0</v>
      </c>
      <c r="L13" s="11"/>
      <c r="O13" s="12"/>
      <c r="P13" s="12"/>
      <c r="Q13" s="12"/>
      <c r="R13" s="12"/>
      <c r="V13" s="12"/>
      <c r="W13" s="12"/>
      <c r="X13" s="12"/>
      <c r="Y13" s="12"/>
      <c r="AC13" s="12"/>
      <c r="AD13" s="12">
        <v>0.5</v>
      </c>
      <c r="AE13" s="12"/>
      <c r="AF13" s="12"/>
      <c r="AJ13" s="12"/>
      <c r="AK13" s="12">
        <v>0.5</v>
      </c>
      <c r="AL13" s="12"/>
      <c r="AM13" s="12"/>
      <c r="AQ13" s="12"/>
      <c r="AR13" s="12">
        <v>0.5</v>
      </c>
      <c r="AS13" s="12"/>
      <c r="AT13" s="12"/>
      <c r="AX13" s="12"/>
      <c r="AY13" s="12">
        <v>0.8</v>
      </c>
      <c r="AZ13" s="12"/>
      <c r="BA13" s="12"/>
      <c r="BE13" s="12"/>
      <c r="BF13" s="12">
        <v>0.8</v>
      </c>
      <c r="BG13" s="12"/>
      <c r="BH13" s="12"/>
      <c r="BL13" s="12"/>
      <c r="BM13" s="12">
        <v>0.8</v>
      </c>
      <c r="BN13" s="12"/>
      <c r="BO13" s="12"/>
      <c r="BS13" s="12"/>
      <c r="BT13" s="12">
        <v>1</v>
      </c>
      <c r="BU13" s="12"/>
      <c r="BV13" s="12"/>
      <c r="BZ13" s="12"/>
      <c r="CA13" s="12">
        <v>1</v>
      </c>
      <c r="CB13" s="12"/>
      <c r="CC13" s="12"/>
      <c r="CG13" s="12"/>
      <c r="CH13" s="12"/>
      <c r="CI13" s="12"/>
      <c r="CJ13" s="12"/>
      <c r="CN13" s="12"/>
      <c r="CO13" s="12"/>
      <c r="CP13" s="12"/>
      <c r="CQ13" s="12"/>
      <c r="CU13" s="12"/>
      <c r="CV13" s="12"/>
      <c r="CW13" s="12"/>
      <c r="CX13" s="12"/>
      <c r="DB13" s="12"/>
      <c r="DC13" s="12">
        <v>1</v>
      </c>
      <c r="DD13" s="12"/>
      <c r="DE13" s="12"/>
    </row>
    <row r="14" spans="2:110" outlineLevel="1" x14ac:dyDescent="0.2">
      <c r="B14" t="s">
        <v>28</v>
      </c>
      <c r="C14" t="s">
        <v>88</v>
      </c>
      <c r="E14" s="11"/>
      <c r="F14" t="s">
        <v>98</v>
      </c>
      <c r="G14" s="12">
        <v>7.6999999999999999E-2</v>
      </c>
      <c r="I14" s="11">
        <f t="shared" si="0"/>
        <v>0</v>
      </c>
      <c r="J14" s="13" cm="1">
        <f t="array" ref="J14">MAX(IF($N$3:$EA$3=$J$3,N14:EA14))</f>
        <v>0</v>
      </c>
      <c r="K14" s="13" cm="1">
        <f t="array" ref="K14">MAX(IF($N$3:$EA$3=$J$3,N14:EA14))</f>
        <v>0</v>
      </c>
      <c r="L14" s="11"/>
      <c r="O14" s="12"/>
      <c r="P14" s="12"/>
      <c r="Q14" s="12"/>
      <c r="R14" s="12"/>
      <c r="V14" s="12"/>
      <c r="W14" s="12"/>
      <c r="X14" s="12"/>
      <c r="Y14" s="12"/>
      <c r="AC14" s="12"/>
      <c r="AD14" s="12"/>
      <c r="AE14" s="12"/>
      <c r="AF14" s="12"/>
      <c r="AJ14" s="12"/>
      <c r="AK14" s="12">
        <v>0.5</v>
      </c>
      <c r="AL14" s="12"/>
      <c r="AM14" s="12"/>
      <c r="AQ14" s="12"/>
      <c r="AR14" s="12">
        <v>0.5</v>
      </c>
      <c r="AS14" s="12"/>
      <c r="AT14" s="12"/>
      <c r="AX14" s="12"/>
      <c r="AY14" s="12">
        <v>0.5</v>
      </c>
      <c r="AZ14" s="12"/>
      <c r="BA14" s="12"/>
      <c r="BE14" s="12"/>
      <c r="BF14" s="12">
        <v>0.8</v>
      </c>
      <c r="BG14" s="12"/>
      <c r="BH14" s="12"/>
      <c r="BL14" s="12"/>
      <c r="BM14" s="12">
        <v>0.8</v>
      </c>
      <c r="BN14" s="12"/>
      <c r="BO14" s="12"/>
      <c r="BS14" s="12"/>
      <c r="BT14" s="12">
        <v>1</v>
      </c>
      <c r="BU14" s="12"/>
      <c r="BV14" s="12"/>
      <c r="BZ14" s="12"/>
      <c r="CA14" s="12">
        <v>1</v>
      </c>
      <c r="CB14" s="12"/>
      <c r="CC14" s="12"/>
      <c r="CG14" s="12"/>
      <c r="CH14" s="12"/>
      <c r="CI14" s="12"/>
      <c r="CJ14" s="12"/>
      <c r="CN14" s="12"/>
      <c r="CO14" s="12"/>
      <c r="CP14" s="12"/>
      <c r="CQ14" s="12"/>
      <c r="CU14" s="12"/>
      <c r="CV14" s="12"/>
      <c r="CW14" s="12"/>
      <c r="CX14" s="12"/>
      <c r="DB14" s="12"/>
      <c r="DC14" s="12">
        <v>1</v>
      </c>
      <c r="DD14" s="12"/>
      <c r="DE14" s="12"/>
    </row>
    <row r="15" spans="2:110" outlineLevel="1" x14ac:dyDescent="0.2">
      <c r="B15" t="s">
        <v>28</v>
      </c>
      <c r="C15" t="s">
        <v>88</v>
      </c>
      <c r="E15" s="11"/>
      <c r="F15" t="s">
        <v>99</v>
      </c>
      <c r="G15" s="12">
        <v>7.6999999999999999E-2</v>
      </c>
      <c r="I15" s="11">
        <f t="shared" si="0"/>
        <v>0</v>
      </c>
      <c r="J15" s="13" cm="1">
        <f t="array" ref="J15">MAX(IF($N$3:$EA$3=$J$3,N15:EA15))</f>
        <v>0</v>
      </c>
      <c r="K15" s="13" cm="1">
        <f t="array" ref="K15">MAX(IF($N$3:$EA$3=$J$3,N15:EA15))</f>
        <v>0</v>
      </c>
      <c r="L15" s="11"/>
      <c r="O15" s="12"/>
      <c r="P15" s="12"/>
      <c r="Q15" s="12"/>
      <c r="R15" s="12"/>
      <c r="V15" s="12"/>
      <c r="W15" s="12"/>
      <c r="X15" s="12"/>
      <c r="Y15" s="12"/>
      <c r="AC15" s="12"/>
      <c r="AD15" s="12"/>
      <c r="AE15" s="12"/>
      <c r="AF15" s="12"/>
      <c r="AJ15" s="12"/>
      <c r="AK15" s="12">
        <v>0.5</v>
      </c>
      <c r="AL15" s="12"/>
      <c r="AM15" s="12"/>
      <c r="AQ15" s="12"/>
      <c r="AR15" s="12">
        <v>0.5</v>
      </c>
      <c r="AS15" s="12"/>
      <c r="AT15" s="12"/>
      <c r="AX15" s="12"/>
      <c r="AY15" s="12">
        <v>0.5</v>
      </c>
      <c r="AZ15" s="12"/>
      <c r="BA15" s="12"/>
      <c r="BE15" s="12"/>
      <c r="BF15" s="12">
        <v>0.8</v>
      </c>
      <c r="BG15" s="12"/>
      <c r="BH15" s="12"/>
      <c r="BL15" s="12"/>
      <c r="BM15" s="12">
        <v>0.8</v>
      </c>
      <c r="BN15" s="12"/>
      <c r="BO15" s="12"/>
      <c r="BS15" s="12"/>
      <c r="BT15" s="12">
        <v>0.8</v>
      </c>
      <c r="BU15" s="12"/>
      <c r="BV15" s="12"/>
      <c r="BZ15" s="12"/>
      <c r="CA15" s="12">
        <v>1</v>
      </c>
      <c r="CB15" s="12"/>
      <c r="CC15" s="12"/>
      <c r="CG15" s="12"/>
      <c r="CH15" s="12"/>
      <c r="CI15" s="12"/>
      <c r="CJ15" s="12"/>
      <c r="CN15" s="12"/>
      <c r="CO15" s="12"/>
      <c r="CP15" s="12"/>
      <c r="CQ15" s="12"/>
      <c r="CU15" s="12"/>
      <c r="CV15" s="12"/>
      <c r="CW15" s="12"/>
      <c r="CX15" s="12"/>
      <c r="DB15" s="12"/>
      <c r="DC15" s="12">
        <v>1</v>
      </c>
      <c r="DD15" s="12"/>
      <c r="DE15" s="12"/>
    </row>
    <row r="16" spans="2:110" outlineLevel="1" x14ac:dyDescent="0.2">
      <c r="B16" t="s">
        <v>28</v>
      </c>
      <c r="C16" t="s">
        <v>88</v>
      </c>
      <c r="E16" s="11"/>
      <c r="F16" t="s">
        <v>100</v>
      </c>
      <c r="G16" s="12">
        <v>7.6999999999999999E-2</v>
      </c>
      <c r="I16" s="11">
        <f t="shared" si="0"/>
        <v>0</v>
      </c>
      <c r="J16" s="13" cm="1">
        <f t="array" ref="J16">MAX(IF($N$3:$EA$3=$J$3,N16:EA16))</f>
        <v>0</v>
      </c>
      <c r="K16" s="13" cm="1">
        <f t="array" ref="K16">MAX(IF($N$3:$EA$3=$J$3,N16:EA16))</f>
        <v>0</v>
      </c>
      <c r="L16" s="11"/>
      <c r="O16" s="12"/>
      <c r="P16" s="12"/>
      <c r="Q16" s="12"/>
      <c r="R16" s="12"/>
      <c r="V16" s="12"/>
      <c r="W16" s="12"/>
      <c r="X16" s="12"/>
      <c r="Y16" s="12"/>
      <c r="AC16" s="12"/>
      <c r="AD16" s="12"/>
      <c r="AE16" s="12"/>
      <c r="AF16" s="12"/>
      <c r="AJ16" s="12"/>
      <c r="AK16" s="12"/>
      <c r="AL16" s="12"/>
      <c r="AM16" s="12"/>
      <c r="AQ16" s="12"/>
      <c r="AR16" s="12">
        <v>0.5</v>
      </c>
      <c r="AS16" s="12"/>
      <c r="AT16" s="12"/>
      <c r="AX16" s="12"/>
      <c r="AY16" s="12">
        <v>0.5</v>
      </c>
      <c r="AZ16" s="12"/>
      <c r="BA16" s="12"/>
      <c r="BE16" s="12"/>
      <c r="BF16" s="12">
        <v>0.5</v>
      </c>
      <c r="BG16" s="12"/>
      <c r="BH16" s="12"/>
      <c r="BL16" s="12"/>
      <c r="BM16" s="12">
        <v>0.8</v>
      </c>
      <c r="BN16" s="12"/>
      <c r="BO16" s="12"/>
      <c r="BS16" s="12"/>
      <c r="BT16" s="12">
        <v>0.8</v>
      </c>
      <c r="BU16" s="12"/>
      <c r="BV16" s="12"/>
      <c r="BZ16" s="12"/>
      <c r="CA16" s="12">
        <v>1</v>
      </c>
      <c r="CB16" s="12"/>
      <c r="CC16" s="12"/>
      <c r="CG16" s="12"/>
      <c r="CH16" s="12"/>
      <c r="CI16" s="12"/>
      <c r="CJ16" s="12"/>
      <c r="CN16" s="12"/>
      <c r="CO16" s="12"/>
      <c r="CP16" s="12"/>
      <c r="CQ16" s="12"/>
      <c r="CU16" s="12"/>
      <c r="CV16" s="12"/>
      <c r="CW16" s="12"/>
      <c r="CX16" s="12"/>
      <c r="DB16" s="12"/>
      <c r="DC16" s="12">
        <v>1</v>
      </c>
      <c r="DD16" s="12"/>
      <c r="DE16" s="12"/>
    </row>
    <row r="17" spans="2:109" outlineLevel="1" x14ac:dyDescent="0.2">
      <c r="B17" t="s">
        <v>28</v>
      </c>
      <c r="C17" t="s">
        <v>88</v>
      </c>
      <c r="E17" s="11"/>
      <c r="F17" t="s">
        <v>101</v>
      </c>
      <c r="G17" s="12">
        <v>7.6999999999999999E-2</v>
      </c>
      <c r="I17" s="11">
        <f t="shared" si="0"/>
        <v>0</v>
      </c>
      <c r="J17" s="13" cm="1">
        <f t="array" ref="J17">MAX(IF($N$3:$EA$3=$J$3,N17:EA17))</f>
        <v>0</v>
      </c>
      <c r="K17" s="13" cm="1">
        <f t="array" ref="K17">MAX(IF($N$3:$EA$3=$J$3,N17:EA17))</f>
        <v>0</v>
      </c>
      <c r="L17" s="11"/>
      <c r="O17" s="12"/>
      <c r="P17" s="12"/>
      <c r="Q17" s="12"/>
      <c r="R17" s="12"/>
      <c r="V17" s="12"/>
      <c r="W17" s="12"/>
      <c r="X17" s="12"/>
      <c r="Y17" s="12"/>
      <c r="AC17" s="12"/>
      <c r="AD17" s="12"/>
      <c r="AE17" s="12"/>
      <c r="AF17" s="12"/>
      <c r="AJ17" s="12"/>
      <c r="AK17" s="12"/>
      <c r="AL17" s="12"/>
      <c r="AM17" s="12"/>
      <c r="AQ17" s="12"/>
      <c r="AR17" s="12">
        <v>0.5</v>
      </c>
      <c r="AS17" s="12"/>
      <c r="AT17" s="12"/>
      <c r="AX17" s="12"/>
      <c r="AY17" s="12">
        <v>0.5</v>
      </c>
      <c r="AZ17" s="12"/>
      <c r="BA17" s="12"/>
      <c r="BE17" s="12"/>
      <c r="BF17" s="12">
        <v>0.5</v>
      </c>
      <c r="BG17" s="12"/>
      <c r="BH17" s="12"/>
      <c r="BL17" s="12"/>
      <c r="BM17" s="12">
        <v>0.8</v>
      </c>
      <c r="BN17" s="12"/>
      <c r="BO17" s="12"/>
      <c r="BS17" s="12"/>
      <c r="BT17" s="12">
        <v>0.8</v>
      </c>
      <c r="BU17" s="12"/>
      <c r="BV17" s="12"/>
      <c r="BZ17" s="12"/>
      <c r="CA17" s="12">
        <v>1</v>
      </c>
      <c r="CB17" s="12"/>
      <c r="CC17" s="12"/>
      <c r="CG17" s="12"/>
      <c r="CH17" s="12"/>
      <c r="CI17" s="12"/>
      <c r="CJ17" s="12"/>
      <c r="CN17" s="12"/>
      <c r="CO17" s="12"/>
      <c r="CP17" s="12"/>
      <c r="CQ17" s="12"/>
      <c r="CU17" s="12"/>
      <c r="CV17" s="12"/>
      <c r="CW17" s="12"/>
      <c r="CX17" s="12"/>
      <c r="DB17" s="12"/>
      <c r="DC17" s="12">
        <v>1</v>
      </c>
      <c r="DD17" s="12"/>
      <c r="DE17" s="12"/>
    </row>
    <row r="18" spans="2:109" x14ac:dyDescent="0.2">
      <c r="O18" s="9"/>
      <c r="V18" s="9"/>
      <c r="AC18" s="9"/>
      <c r="AJ18" s="9"/>
      <c r="AQ18" s="9"/>
      <c r="AX18" s="9"/>
      <c r="BE18" s="9"/>
      <c r="BL18" s="9"/>
      <c r="BS18" s="9"/>
      <c r="BZ18" s="9"/>
      <c r="CG18" s="9"/>
      <c r="CN18" s="9"/>
      <c r="CU18" s="9"/>
      <c r="DB18" s="9"/>
    </row>
    <row r="19" spans="2:109" x14ac:dyDescent="0.2">
      <c r="B19" t="s">
        <v>27</v>
      </c>
      <c r="C19" t="s">
        <v>103</v>
      </c>
      <c r="D19" s="22">
        <v>44979</v>
      </c>
      <c r="E19" s="11">
        <v>6</v>
      </c>
      <c r="G19" s="12">
        <f>+SUM(G20:G34)</f>
        <v>0.999</v>
      </c>
      <c r="I19" s="14">
        <f>+SUM(I20:I34)</f>
        <v>0</v>
      </c>
      <c r="J19" s="13">
        <f>+SUMPRODUCT(G20:G34,J20:J34)</f>
        <v>2.6640000000000004E-2</v>
      </c>
      <c r="K19" s="13">
        <f>+SUMPRODUCT(G20:G34,K20:K34)</f>
        <v>2.6640000000000004E-2</v>
      </c>
      <c r="L19" s="11" t="s">
        <v>157</v>
      </c>
      <c r="N19" s="14">
        <f>+SUM(N20:N34)</f>
        <v>0</v>
      </c>
      <c r="U19" s="14">
        <f>+SUM(U20:U34)</f>
        <v>0</v>
      </c>
      <c r="AB19" s="14">
        <f>+SUM(AB20:AB34)</f>
        <v>0</v>
      </c>
      <c r="AI19" s="14">
        <f>+SUM(AI20:AI34)</f>
        <v>0</v>
      </c>
      <c r="AP19" s="14">
        <f>+SUM(AP20:AP39)</f>
        <v>0</v>
      </c>
      <c r="AW19" s="14">
        <f>+SUM(AW20:AW39)</f>
        <v>0</v>
      </c>
      <c r="BD19" s="14">
        <f>+SUM(BD20:BD39)</f>
        <v>0</v>
      </c>
      <c r="BK19" s="14">
        <f>+SUM(BK20:BK39)</f>
        <v>0</v>
      </c>
      <c r="BR19" s="14">
        <f>+SUM(BR20:BR39)</f>
        <v>0</v>
      </c>
      <c r="BY19" s="14">
        <f>+SUM(BY20:BY39)</f>
        <v>0</v>
      </c>
      <c r="CF19" s="14">
        <f>+SUM(CF20:CF39)</f>
        <v>0</v>
      </c>
      <c r="CM19" s="14">
        <f>+SUM(CM20:CM39)</f>
        <v>0</v>
      </c>
      <c r="CT19" s="14">
        <f>+SUM(CT20:CT39)</f>
        <v>0</v>
      </c>
      <c r="DA19" s="14">
        <f>+SUM(DA20:DA39)</f>
        <v>0</v>
      </c>
    </row>
    <row r="20" spans="2:109" outlineLevel="1" x14ac:dyDescent="0.2">
      <c r="B20" t="s">
        <v>28</v>
      </c>
      <c r="C20" t="s">
        <v>103</v>
      </c>
      <c r="D20" s="22">
        <v>45021</v>
      </c>
      <c r="E20" s="11"/>
      <c r="F20" t="s">
        <v>141</v>
      </c>
      <c r="G20" s="12">
        <v>6.6600000000000006E-2</v>
      </c>
      <c r="I20" s="11">
        <f>+SUMIF($N$3:$ZS$3,I$3,$N20:$ZS20)</f>
        <v>0</v>
      </c>
      <c r="J20" s="13" cm="1">
        <f t="array" ref="J20">MAX(IF($N$3:$EA$3=$J$3,N20:EA20))</f>
        <v>0.4</v>
      </c>
      <c r="K20" s="13" cm="1">
        <f t="array" ref="K20">MAX(IF($N$3:$EA$3=$J$3,N20:EA20))</f>
        <v>0.4</v>
      </c>
      <c r="L20" s="11"/>
      <c r="O20" s="12">
        <v>0.4</v>
      </c>
      <c r="P20" s="12">
        <v>0.5</v>
      </c>
      <c r="Q20" s="12"/>
      <c r="R20" s="12"/>
      <c r="V20" s="12"/>
      <c r="W20" s="12">
        <v>0.8</v>
      </c>
      <c r="X20" s="12"/>
      <c r="Y20" s="12"/>
      <c r="AC20" s="12"/>
      <c r="AD20" s="12">
        <v>0.8</v>
      </c>
      <c r="AE20" s="12"/>
      <c r="AF20" s="12"/>
      <c r="AJ20" s="12"/>
      <c r="AK20" s="12">
        <v>0.8</v>
      </c>
      <c r="AL20" s="12"/>
      <c r="AM20" s="12"/>
      <c r="AQ20" s="12"/>
      <c r="AR20" s="12">
        <v>0.8</v>
      </c>
      <c r="AS20" s="12"/>
      <c r="AT20" s="12"/>
      <c r="AX20" s="12"/>
      <c r="AY20" s="12">
        <v>1</v>
      </c>
      <c r="AZ20" s="12"/>
      <c r="BA20" s="12"/>
      <c r="BE20" s="12"/>
      <c r="BF20" s="12">
        <v>1</v>
      </c>
      <c r="BG20" s="12"/>
      <c r="BH20" s="12"/>
      <c r="BL20" s="12"/>
      <c r="BM20" s="12">
        <v>1</v>
      </c>
      <c r="BN20" s="12"/>
      <c r="BO20" s="12"/>
      <c r="BS20" s="12"/>
      <c r="BT20" s="12">
        <v>1</v>
      </c>
      <c r="BU20" s="12"/>
      <c r="BV20" s="12"/>
      <c r="BZ20" s="12"/>
      <c r="CA20" s="12">
        <v>1</v>
      </c>
      <c r="CB20" s="12"/>
      <c r="CC20" s="12"/>
      <c r="CG20" s="12"/>
      <c r="CH20" s="12"/>
      <c r="CI20" s="12"/>
      <c r="CJ20" s="12"/>
      <c r="CN20" s="12"/>
      <c r="CO20" s="12"/>
      <c r="CP20" s="12"/>
      <c r="CQ20" s="12"/>
      <c r="CU20" s="12"/>
      <c r="CV20" s="12"/>
      <c r="CW20" s="12"/>
      <c r="CX20" s="12"/>
      <c r="DB20" s="12"/>
      <c r="DC20" s="12">
        <v>1</v>
      </c>
      <c r="DD20" s="12"/>
      <c r="DE20" s="12"/>
    </row>
    <row r="21" spans="2:109" outlineLevel="1" x14ac:dyDescent="0.2">
      <c r="B21" t="s">
        <v>28</v>
      </c>
      <c r="C21" t="s">
        <v>103</v>
      </c>
      <c r="D21" s="23" t="s">
        <v>160</v>
      </c>
      <c r="E21" s="11"/>
      <c r="F21" t="s">
        <v>142</v>
      </c>
      <c r="G21" s="12">
        <v>6.6600000000000006E-2</v>
      </c>
      <c r="I21" s="11">
        <f>+SUMIF($N$3:$ZS$3,I$3,$N21:$ZS21)</f>
        <v>0</v>
      </c>
      <c r="J21" s="13" cm="1">
        <f t="array" ref="J21">MAX(IF($N$3:$EA$3=$J$3,N21:EA21))</f>
        <v>0</v>
      </c>
      <c r="K21" s="13" cm="1">
        <f t="array" ref="K21">MAX(IF($N$3:$EA$3=$J$3,N21:EA21))</f>
        <v>0</v>
      </c>
      <c r="L21" s="11"/>
      <c r="O21" s="12"/>
      <c r="P21" s="12">
        <v>0.5</v>
      </c>
      <c r="Q21" s="12"/>
      <c r="R21" s="12"/>
      <c r="V21" s="12"/>
      <c r="W21" s="12">
        <v>0.5</v>
      </c>
      <c r="X21" s="12"/>
      <c r="Y21" s="12"/>
      <c r="AC21" s="12"/>
      <c r="AD21" s="12">
        <v>0.8</v>
      </c>
      <c r="AE21" s="12"/>
      <c r="AF21" s="12"/>
      <c r="AJ21" s="12"/>
      <c r="AK21" s="12">
        <v>0.8</v>
      </c>
      <c r="AL21" s="12"/>
      <c r="AM21" s="12"/>
      <c r="AQ21" s="12"/>
      <c r="AR21" s="12">
        <v>0.8</v>
      </c>
      <c r="AS21" s="12"/>
      <c r="AT21" s="12"/>
      <c r="AX21" s="12"/>
      <c r="AY21" s="12">
        <v>1</v>
      </c>
      <c r="AZ21" s="12"/>
      <c r="BA21" s="12"/>
      <c r="BE21" s="12"/>
      <c r="BF21" s="12">
        <v>1</v>
      </c>
      <c r="BG21" s="12"/>
      <c r="BH21" s="12"/>
      <c r="BL21" s="12"/>
      <c r="BM21" s="12">
        <v>1</v>
      </c>
      <c r="BN21" s="12"/>
      <c r="BO21" s="12"/>
      <c r="BS21" s="12"/>
      <c r="BT21" s="12">
        <v>1</v>
      </c>
      <c r="BU21" s="12"/>
      <c r="BV21" s="12"/>
      <c r="BZ21" s="12"/>
      <c r="CA21" s="12">
        <v>1</v>
      </c>
      <c r="CB21" s="12"/>
      <c r="CC21" s="12"/>
      <c r="CG21" s="12"/>
      <c r="CH21" s="12"/>
      <c r="CI21" s="12"/>
      <c r="CJ21" s="12"/>
      <c r="CN21" s="12"/>
      <c r="CO21" s="12"/>
      <c r="CP21" s="12"/>
      <c r="CQ21" s="12"/>
      <c r="CU21" s="12"/>
      <c r="CV21" s="12"/>
      <c r="CW21" s="12"/>
      <c r="CX21" s="12"/>
      <c r="DB21" s="12"/>
      <c r="DC21" s="12">
        <v>1</v>
      </c>
      <c r="DD21" s="12"/>
      <c r="DE21" s="12"/>
    </row>
    <row r="22" spans="2:109" outlineLevel="1" x14ac:dyDescent="0.2">
      <c r="B22" t="s">
        <v>28</v>
      </c>
      <c r="C22" t="s">
        <v>103</v>
      </c>
      <c r="E22" s="11"/>
      <c r="F22" t="s">
        <v>143</v>
      </c>
      <c r="G22" s="12">
        <v>6.6600000000000006E-2</v>
      </c>
      <c r="I22" s="11">
        <f>+SUMIF($N$3:$ZS$3,I$3,$N22:$ZS22)</f>
        <v>0</v>
      </c>
      <c r="J22" s="13" cm="1">
        <f t="array" ref="J22">MAX(IF($N$3:$EA$3=$J$3,N22:EA22))</f>
        <v>0</v>
      </c>
      <c r="K22" s="13" cm="1">
        <f t="array" ref="K22">MAX(IF($N$3:$EA$3=$J$3,N22:EA22))</f>
        <v>0</v>
      </c>
      <c r="L22" s="11"/>
      <c r="O22" s="12"/>
      <c r="P22" s="12">
        <v>0.5</v>
      </c>
      <c r="Q22" s="12"/>
      <c r="R22" s="12"/>
      <c r="V22" s="12"/>
      <c r="W22" s="12">
        <v>0.5</v>
      </c>
      <c r="X22" s="12"/>
      <c r="Y22" s="12"/>
      <c r="AC22" s="12"/>
      <c r="AD22" s="12">
        <v>0.8</v>
      </c>
      <c r="AE22" s="12"/>
      <c r="AF22" s="12"/>
      <c r="AJ22" s="12"/>
      <c r="AK22" s="12">
        <v>0.8</v>
      </c>
      <c r="AL22" s="12"/>
      <c r="AM22" s="12"/>
      <c r="AQ22" s="12"/>
      <c r="AR22" s="12">
        <v>0.8</v>
      </c>
      <c r="AS22" s="12"/>
      <c r="AT22" s="12"/>
      <c r="AX22" s="12"/>
      <c r="AY22" s="12">
        <v>0.8</v>
      </c>
      <c r="AZ22" s="12"/>
      <c r="BA22" s="12"/>
      <c r="BE22" s="12"/>
      <c r="BF22" s="12">
        <v>1</v>
      </c>
      <c r="BG22" s="12"/>
      <c r="BH22" s="12"/>
      <c r="BL22" s="12"/>
      <c r="BM22" s="12">
        <v>1</v>
      </c>
      <c r="BN22" s="12"/>
      <c r="BO22" s="12"/>
      <c r="BS22" s="12"/>
      <c r="BT22" s="12">
        <v>1</v>
      </c>
      <c r="BU22" s="12"/>
      <c r="BV22" s="12"/>
      <c r="BZ22" s="12"/>
      <c r="CA22" s="12">
        <v>1</v>
      </c>
      <c r="CB22" s="12"/>
      <c r="CC22" s="12"/>
      <c r="CG22" s="12"/>
      <c r="CH22" s="12"/>
      <c r="CI22" s="12"/>
      <c r="CJ22" s="12"/>
      <c r="CN22" s="12"/>
      <c r="CO22" s="12"/>
      <c r="CP22" s="12"/>
      <c r="CQ22" s="12"/>
      <c r="CU22" s="12"/>
      <c r="CV22" s="12"/>
      <c r="CW22" s="12"/>
      <c r="CX22" s="12"/>
      <c r="DB22" s="12"/>
      <c r="DC22" s="12">
        <v>1</v>
      </c>
      <c r="DD22" s="12"/>
      <c r="DE22" s="12"/>
    </row>
    <row r="23" spans="2:109" outlineLevel="1" x14ac:dyDescent="0.2">
      <c r="B23" t="s">
        <v>28</v>
      </c>
      <c r="C23" t="s">
        <v>103</v>
      </c>
      <c r="E23" s="11"/>
      <c r="F23" t="s">
        <v>144</v>
      </c>
      <c r="G23" s="12">
        <v>6.6600000000000006E-2</v>
      </c>
      <c r="I23" s="11">
        <f>+SUMIF($N$3:$ZS$3,I$3,$N23:$ZS23)</f>
        <v>0</v>
      </c>
      <c r="J23" s="13" cm="1">
        <f t="array" ref="J23">MAX(IF($N$3:$EA$3=$J$3,N23:EA23))</f>
        <v>0</v>
      </c>
      <c r="K23" s="13" cm="1">
        <f t="array" ref="K23">MAX(IF($N$3:$EA$3=$J$3,N23:EA23))</f>
        <v>0</v>
      </c>
      <c r="L23" s="11"/>
      <c r="O23" s="12"/>
      <c r="P23" s="12">
        <v>0.5</v>
      </c>
      <c r="Q23" s="12"/>
      <c r="R23" s="12"/>
      <c r="V23" s="12"/>
      <c r="W23" s="12">
        <v>0.5</v>
      </c>
      <c r="X23" s="12"/>
      <c r="Y23" s="12"/>
      <c r="AC23" s="12"/>
      <c r="AD23" s="12">
        <v>0.5</v>
      </c>
      <c r="AE23" s="12"/>
      <c r="AF23" s="12"/>
      <c r="AJ23" s="12"/>
      <c r="AK23" s="12">
        <v>0.8</v>
      </c>
      <c r="AL23" s="12"/>
      <c r="AM23" s="12"/>
      <c r="AQ23" s="12"/>
      <c r="AR23" s="12">
        <v>0.8</v>
      </c>
      <c r="AS23" s="12"/>
      <c r="AT23" s="12"/>
      <c r="AX23" s="12"/>
      <c r="AY23" s="12">
        <v>0.8</v>
      </c>
      <c r="AZ23" s="12"/>
      <c r="BA23" s="12"/>
      <c r="BE23" s="12"/>
      <c r="BF23" s="12">
        <v>1</v>
      </c>
      <c r="BG23" s="12"/>
      <c r="BH23" s="12"/>
      <c r="BL23" s="12"/>
      <c r="BM23" s="12">
        <v>1</v>
      </c>
      <c r="BN23" s="12"/>
      <c r="BO23" s="12"/>
      <c r="BS23" s="12"/>
      <c r="BT23" s="12">
        <v>1</v>
      </c>
      <c r="BU23" s="12"/>
      <c r="BV23" s="12"/>
      <c r="BZ23" s="12"/>
      <c r="CA23" s="12">
        <v>1</v>
      </c>
      <c r="CB23" s="12"/>
      <c r="CC23" s="12"/>
      <c r="CG23" s="12"/>
      <c r="CH23" s="12"/>
      <c r="CI23" s="12"/>
      <c r="CJ23" s="12"/>
      <c r="CN23" s="12"/>
      <c r="CO23" s="12"/>
      <c r="CP23" s="12"/>
      <c r="CQ23" s="12"/>
      <c r="CU23" s="12"/>
      <c r="CV23" s="12"/>
      <c r="CW23" s="12"/>
      <c r="CX23" s="12"/>
      <c r="DB23" s="12"/>
      <c r="DC23" s="12">
        <v>1</v>
      </c>
      <c r="DD23" s="12"/>
      <c r="DE23" s="12"/>
    </row>
    <row r="24" spans="2:109" outlineLevel="1" x14ac:dyDescent="0.2">
      <c r="B24" t="s">
        <v>28</v>
      </c>
      <c r="C24" t="s">
        <v>103</v>
      </c>
      <c r="E24" s="11"/>
      <c r="F24" t="s">
        <v>145</v>
      </c>
      <c r="G24" s="12">
        <v>6.6600000000000006E-2</v>
      </c>
      <c r="I24" s="11">
        <f>+SUMIF($N$3:$ZS$3,I$3,$N24:$ZS24)</f>
        <v>0</v>
      </c>
      <c r="J24" s="13" cm="1">
        <f t="array" ref="J24">MAX(IF($N$3:$EA$3=$J$3,N24:EA24))</f>
        <v>0</v>
      </c>
      <c r="K24" s="13" cm="1">
        <f t="array" ref="K24">MAX(IF($N$3:$EA$3=$J$3,N24:EA24))</f>
        <v>0</v>
      </c>
      <c r="L24" s="11"/>
      <c r="O24" s="12"/>
      <c r="P24" s="12"/>
      <c r="Q24" s="12"/>
      <c r="R24" s="12"/>
      <c r="V24" s="12"/>
      <c r="W24" s="12">
        <v>0.5</v>
      </c>
      <c r="X24" s="12"/>
      <c r="Y24" s="12"/>
      <c r="AC24" s="12"/>
      <c r="AD24" s="12">
        <v>0.5</v>
      </c>
      <c r="AE24" s="12"/>
      <c r="AF24" s="12"/>
      <c r="AJ24" s="12"/>
      <c r="AK24" s="12">
        <v>0.8</v>
      </c>
      <c r="AL24" s="12"/>
      <c r="AM24" s="12"/>
      <c r="AQ24" s="12"/>
      <c r="AR24" s="12">
        <v>0.8</v>
      </c>
      <c r="AS24" s="12"/>
      <c r="AT24" s="12"/>
      <c r="AX24" s="12"/>
      <c r="AY24" s="12">
        <v>0.8</v>
      </c>
      <c r="AZ24" s="12"/>
      <c r="BA24" s="12"/>
      <c r="BE24" s="12"/>
      <c r="BF24" s="12">
        <v>0.8</v>
      </c>
      <c r="BG24" s="12"/>
      <c r="BH24" s="12"/>
      <c r="BL24" s="12"/>
      <c r="BM24" s="12">
        <v>1</v>
      </c>
      <c r="BN24" s="12"/>
      <c r="BO24" s="12"/>
      <c r="BS24" s="12"/>
      <c r="BT24" s="12">
        <v>1</v>
      </c>
      <c r="BU24" s="12"/>
      <c r="BV24" s="12"/>
      <c r="BZ24" s="12"/>
      <c r="CA24" s="12">
        <v>1</v>
      </c>
      <c r="CB24" s="12"/>
      <c r="CC24" s="12"/>
      <c r="CG24" s="12"/>
      <c r="CH24" s="12"/>
      <c r="CI24" s="12"/>
      <c r="CJ24" s="12"/>
      <c r="CN24" s="12"/>
      <c r="CO24" s="12"/>
      <c r="CP24" s="12"/>
      <c r="CQ24" s="12"/>
      <c r="CU24" s="12"/>
      <c r="CV24" s="12"/>
      <c r="CW24" s="12"/>
      <c r="CX24" s="12"/>
      <c r="DB24" s="12"/>
      <c r="DC24" s="12">
        <v>1</v>
      </c>
      <c r="DD24" s="12"/>
      <c r="DE24" s="12"/>
    </row>
    <row r="25" spans="2:109" outlineLevel="1" x14ac:dyDescent="0.2">
      <c r="B25" t="s">
        <v>28</v>
      </c>
      <c r="C25" t="s">
        <v>103</v>
      </c>
      <c r="E25" s="11"/>
      <c r="F25" t="s">
        <v>146</v>
      </c>
      <c r="G25" s="12">
        <v>6.6600000000000006E-2</v>
      </c>
      <c r="I25" s="11">
        <f t="shared" ref="I25:I33" si="1">+SUMIF($N$3:$ZS$3,I$3,$N25:$ZS25)</f>
        <v>0</v>
      </c>
      <c r="J25" s="13" cm="1">
        <f t="array" ref="J25">MAX(IF($N$3:$EA$3=$J$3,N25:EA25))</f>
        <v>0</v>
      </c>
      <c r="K25" s="13" cm="1">
        <f t="array" ref="K25">MAX(IF($N$3:$EA$3=$J$3,N25:EA25))</f>
        <v>0</v>
      </c>
      <c r="L25" s="11"/>
      <c r="O25" s="12"/>
      <c r="P25" s="12"/>
      <c r="Q25" s="12"/>
      <c r="R25" s="12"/>
      <c r="V25" s="12"/>
      <c r="W25" s="12">
        <v>0.5</v>
      </c>
      <c r="X25" s="12"/>
      <c r="Y25" s="12"/>
      <c r="AC25" s="12"/>
      <c r="AD25" s="12">
        <v>0.5</v>
      </c>
      <c r="AE25" s="12"/>
      <c r="AF25" s="12"/>
      <c r="AJ25" s="12"/>
      <c r="AK25" s="12">
        <v>0.8</v>
      </c>
      <c r="AL25" s="12"/>
      <c r="AM25" s="12"/>
      <c r="AQ25" s="12"/>
      <c r="AR25" s="12">
        <v>0.8</v>
      </c>
      <c r="AS25" s="12"/>
      <c r="AT25" s="12"/>
      <c r="AX25" s="12"/>
      <c r="AY25" s="12">
        <v>0.8</v>
      </c>
      <c r="AZ25" s="12"/>
      <c r="BA25" s="12"/>
      <c r="BE25" s="12"/>
      <c r="BF25" s="12">
        <v>0.8</v>
      </c>
      <c r="BG25" s="12"/>
      <c r="BH25" s="12"/>
      <c r="BL25" s="12"/>
      <c r="BM25" s="12">
        <v>1</v>
      </c>
      <c r="BN25" s="12"/>
      <c r="BO25" s="12"/>
      <c r="BS25" s="12"/>
      <c r="BT25" s="12">
        <v>1</v>
      </c>
      <c r="BU25" s="12"/>
      <c r="BV25" s="12"/>
      <c r="BZ25" s="12"/>
      <c r="CA25" s="12">
        <v>1</v>
      </c>
      <c r="CB25" s="12"/>
      <c r="CC25" s="12"/>
      <c r="CG25" s="12"/>
      <c r="CH25" s="12"/>
      <c r="CI25" s="12"/>
      <c r="CJ25" s="12"/>
      <c r="CN25" s="12"/>
      <c r="CO25" s="12"/>
      <c r="CP25" s="12"/>
      <c r="CQ25" s="12"/>
      <c r="CU25" s="12"/>
      <c r="CV25" s="12"/>
      <c r="CW25" s="12"/>
      <c r="CX25" s="12"/>
      <c r="DB25" s="12"/>
      <c r="DC25" s="12"/>
      <c r="DD25" s="12"/>
      <c r="DE25" s="12"/>
    </row>
    <row r="26" spans="2:109" outlineLevel="1" x14ac:dyDescent="0.2">
      <c r="B26" t="s">
        <v>28</v>
      </c>
      <c r="C26" t="s">
        <v>103</v>
      </c>
      <c r="E26" s="11"/>
      <c r="F26" t="s">
        <v>147</v>
      </c>
      <c r="G26" s="12">
        <v>6.6600000000000006E-2</v>
      </c>
      <c r="I26" s="11">
        <f t="shared" si="1"/>
        <v>0</v>
      </c>
      <c r="J26" s="13" cm="1">
        <f t="array" ref="J26">MAX(IF($N$3:$EA$3=$J$3,N26:EA26))</f>
        <v>0</v>
      </c>
      <c r="K26" s="13" cm="1">
        <f t="array" ref="K26">MAX(IF($N$3:$EA$3=$J$3,N26:EA26))</f>
        <v>0</v>
      </c>
      <c r="L26" s="11"/>
      <c r="O26" s="12"/>
      <c r="P26" s="12"/>
      <c r="Q26" s="12"/>
      <c r="R26" s="12"/>
      <c r="V26" s="12"/>
      <c r="W26" s="12">
        <v>0.5</v>
      </c>
      <c r="X26" s="12"/>
      <c r="Y26" s="12"/>
      <c r="AC26" s="12"/>
      <c r="AD26" s="12">
        <v>0.5</v>
      </c>
      <c r="AE26" s="12"/>
      <c r="AF26" s="12"/>
      <c r="AJ26" s="12"/>
      <c r="AK26" s="12">
        <v>0.5</v>
      </c>
      <c r="AL26" s="12"/>
      <c r="AM26" s="12"/>
      <c r="AQ26" s="12"/>
      <c r="AR26" s="12">
        <v>0.8</v>
      </c>
      <c r="AS26" s="12"/>
      <c r="AT26" s="12"/>
      <c r="AX26" s="12"/>
      <c r="AY26" s="12">
        <v>0.8</v>
      </c>
      <c r="AZ26" s="12"/>
      <c r="BA26" s="12"/>
      <c r="BE26" s="12"/>
      <c r="BF26" s="12">
        <v>0.8</v>
      </c>
      <c r="BG26" s="12"/>
      <c r="BH26" s="12"/>
      <c r="BL26" s="12"/>
      <c r="BM26" s="12">
        <v>1</v>
      </c>
      <c r="BN26" s="12"/>
      <c r="BO26" s="12"/>
      <c r="BS26" s="12"/>
      <c r="BT26" s="12">
        <v>1</v>
      </c>
      <c r="BU26" s="12"/>
      <c r="BV26" s="12"/>
      <c r="BZ26" s="12"/>
      <c r="CA26" s="12">
        <v>1</v>
      </c>
      <c r="CB26" s="12"/>
      <c r="CC26" s="12"/>
      <c r="CG26" s="12"/>
      <c r="CH26" s="12"/>
      <c r="CI26" s="12"/>
      <c r="CJ26" s="12"/>
      <c r="CN26" s="12"/>
      <c r="CO26" s="12"/>
      <c r="CP26" s="12"/>
      <c r="CQ26" s="12"/>
      <c r="CU26" s="12"/>
      <c r="CV26" s="12"/>
      <c r="CW26" s="12"/>
      <c r="CX26" s="12"/>
      <c r="DB26" s="12"/>
      <c r="DC26" s="12"/>
      <c r="DD26" s="12"/>
      <c r="DE26" s="12"/>
    </row>
    <row r="27" spans="2:109" outlineLevel="1" x14ac:dyDescent="0.2">
      <c r="B27" t="s">
        <v>28</v>
      </c>
      <c r="C27" t="s">
        <v>103</v>
      </c>
      <c r="E27" s="11"/>
      <c r="F27" t="s">
        <v>148</v>
      </c>
      <c r="G27" s="12">
        <v>6.6600000000000006E-2</v>
      </c>
      <c r="I27" s="11">
        <f t="shared" si="1"/>
        <v>0</v>
      </c>
      <c r="J27" s="13" cm="1">
        <f t="array" ref="J27">MAX(IF($N$3:$EA$3=$J$3,N27:EA27))</f>
        <v>0</v>
      </c>
      <c r="K27" s="13" cm="1">
        <f t="array" ref="K27">MAX(IF($N$3:$EA$3=$J$3,N27:EA27))</f>
        <v>0</v>
      </c>
      <c r="L27" s="11"/>
      <c r="O27" s="12"/>
      <c r="P27" s="12"/>
      <c r="Q27" s="12"/>
      <c r="R27" s="12"/>
      <c r="V27" s="12"/>
      <c r="W27" s="12">
        <v>0.5</v>
      </c>
      <c r="X27" s="12"/>
      <c r="Y27" s="12"/>
      <c r="AC27" s="12"/>
      <c r="AD27" s="12">
        <v>0.5</v>
      </c>
      <c r="AE27" s="12"/>
      <c r="AF27" s="12"/>
      <c r="AJ27" s="12"/>
      <c r="AK27" s="12">
        <v>0.5</v>
      </c>
      <c r="AL27" s="12"/>
      <c r="AM27" s="12"/>
      <c r="AQ27" s="12"/>
      <c r="AR27" s="12">
        <v>0.5</v>
      </c>
      <c r="AS27" s="12"/>
      <c r="AT27" s="12"/>
      <c r="AX27" s="12"/>
      <c r="AY27" s="12">
        <v>0.8</v>
      </c>
      <c r="AZ27" s="12"/>
      <c r="BA27" s="12"/>
      <c r="BE27" s="12"/>
      <c r="BF27" s="12">
        <v>0.8</v>
      </c>
      <c r="BG27" s="12"/>
      <c r="BH27" s="12"/>
      <c r="BL27" s="12"/>
      <c r="BM27" s="12">
        <v>0.8</v>
      </c>
      <c r="BN27" s="12"/>
      <c r="BO27" s="12"/>
      <c r="BS27" s="12"/>
      <c r="BT27" s="12">
        <v>1</v>
      </c>
      <c r="BU27" s="12"/>
      <c r="BV27" s="12"/>
      <c r="BZ27" s="12"/>
      <c r="CA27" s="12">
        <v>1</v>
      </c>
      <c r="CB27" s="12"/>
      <c r="CC27" s="12"/>
      <c r="CG27" s="12"/>
      <c r="CH27" s="12"/>
      <c r="CI27" s="12"/>
      <c r="CJ27" s="12"/>
      <c r="CN27" s="12"/>
      <c r="CO27" s="12"/>
      <c r="CP27" s="12"/>
      <c r="CQ27" s="12"/>
      <c r="CU27" s="12"/>
      <c r="CV27" s="12"/>
      <c r="CW27" s="12"/>
      <c r="CX27" s="12"/>
      <c r="DB27" s="12"/>
      <c r="DC27" s="12">
        <v>1</v>
      </c>
      <c r="DD27" s="12"/>
      <c r="DE27" s="12"/>
    </row>
    <row r="28" spans="2:109" outlineLevel="1" x14ac:dyDescent="0.2">
      <c r="B28" t="s">
        <v>28</v>
      </c>
      <c r="C28" t="s">
        <v>103</v>
      </c>
      <c r="E28" s="11"/>
      <c r="F28" t="s">
        <v>149</v>
      </c>
      <c r="G28" s="12">
        <v>6.6600000000000006E-2</v>
      </c>
      <c r="I28" s="11">
        <f t="shared" si="1"/>
        <v>0</v>
      </c>
      <c r="J28" s="13" cm="1">
        <f t="array" ref="J28">MAX(IF($N$3:$EA$3=$J$3,N28:EA28))</f>
        <v>0</v>
      </c>
      <c r="K28" s="13" cm="1">
        <f t="array" ref="K28">MAX(IF($N$3:$EA$3=$J$3,N28:EA28))</f>
        <v>0</v>
      </c>
      <c r="L28" s="11"/>
      <c r="O28" s="12"/>
      <c r="P28" s="12"/>
      <c r="Q28" s="12"/>
      <c r="R28" s="12"/>
      <c r="V28" s="12"/>
      <c r="W28" s="12"/>
      <c r="X28" s="12"/>
      <c r="Y28" s="12"/>
      <c r="AC28" s="12"/>
      <c r="AD28" s="12">
        <v>0.5</v>
      </c>
      <c r="AE28" s="12"/>
      <c r="AF28" s="12"/>
      <c r="AJ28" s="12"/>
      <c r="AK28" s="12">
        <v>0.5</v>
      </c>
      <c r="AL28" s="12"/>
      <c r="AM28" s="12"/>
      <c r="AQ28" s="12"/>
      <c r="AR28" s="12">
        <v>0.5</v>
      </c>
      <c r="AS28" s="12"/>
      <c r="AT28" s="12"/>
      <c r="AX28" s="12"/>
      <c r="AY28" s="12">
        <v>0.8</v>
      </c>
      <c r="AZ28" s="12"/>
      <c r="BA28" s="12"/>
      <c r="BE28" s="12"/>
      <c r="BF28" s="12">
        <v>0.8</v>
      </c>
      <c r="BG28" s="12"/>
      <c r="BH28" s="12"/>
      <c r="BL28" s="12"/>
      <c r="BM28" s="12">
        <v>0.8</v>
      </c>
      <c r="BN28" s="12"/>
      <c r="BO28" s="12"/>
      <c r="BS28" s="12"/>
      <c r="BT28" s="12">
        <v>1</v>
      </c>
      <c r="BU28" s="12"/>
      <c r="BV28" s="12"/>
      <c r="BZ28" s="12"/>
      <c r="CA28" s="12">
        <v>1</v>
      </c>
      <c r="CB28" s="12"/>
      <c r="CC28" s="12"/>
      <c r="CG28" s="12"/>
      <c r="CH28" s="12"/>
      <c r="CI28" s="12"/>
      <c r="CJ28" s="12"/>
      <c r="CN28" s="12"/>
      <c r="CO28" s="12"/>
      <c r="CP28" s="12"/>
      <c r="CQ28" s="12"/>
      <c r="CU28" s="12"/>
      <c r="CV28" s="12"/>
      <c r="CW28" s="12"/>
      <c r="CX28" s="12"/>
      <c r="DB28" s="12"/>
      <c r="DC28" s="12"/>
      <c r="DD28" s="12"/>
      <c r="DE28" s="12"/>
    </row>
    <row r="29" spans="2:109" outlineLevel="1" x14ac:dyDescent="0.2">
      <c r="B29" t="s">
        <v>28</v>
      </c>
      <c r="C29" t="s">
        <v>103</v>
      </c>
      <c r="E29" s="11"/>
      <c r="F29" t="s">
        <v>150</v>
      </c>
      <c r="G29" s="12">
        <v>6.6600000000000006E-2</v>
      </c>
      <c r="I29" s="11">
        <f t="shared" si="1"/>
        <v>0</v>
      </c>
      <c r="J29" s="13" cm="1">
        <f t="array" ref="J29">MAX(IF($N$3:$EA$3=$J$3,N29:EA29))</f>
        <v>0</v>
      </c>
      <c r="K29" s="13" cm="1">
        <f t="array" ref="K29">MAX(IF($N$3:$EA$3=$J$3,N29:EA29))</f>
        <v>0</v>
      </c>
      <c r="L29" s="11"/>
      <c r="O29" s="12"/>
      <c r="P29" s="12"/>
      <c r="Q29" s="12"/>
      <c r="R29" s="12"/>
      <c r="V29" s="12"/>
      <c r="W29" s="12"/>
      <c r="X29" s="12"/>
      <c r="Y29" s="12"/>
      <c r="AC29" s="12"/>
      <c r="AD29" s="12">
        <v>0.5</v>
      </c>
      <c r="AE29" s="12"/>
      <c r="AF29" s="12"/>
      <c r="AJ29" s="12"/>
      <c r="AK29" s="12">
        <v>0.5</v>
      </c>
      <c r="AL29" s="12"/>
      <c r="AM29" s="12"/>
      <c r="AQ29" s="12"/>
      <c r="AR29" s="12">
        <v>0.5</v>
      </c>
      <c r="AS29" s="12"/>
      <c r="AT29" s="12"/>
      <c r="AX29" s="12"/>
      <c r="AY29" s="12">
        <v>0.8</v>
      </c>
      <c r="AZ29" s="12"/>
      <c r="BA29" s="12"/>
      <c r="BE29" s="12"/>
      <c r="BF29" s="12">
        <v>0.8</v>
      </c>
      <c r="BG29" s="12"/>
      <c r="BH29" s="12"/>
      <c r="BL29" s="12"/>
      <c r="BM29" s="12">
        <v>0.8</v>
      </c>
      <c r="BN29" s="12"/>
      <c r="BO29" s="12"/>
      <c r="BS29" s="12"/>
      <c r="BT29" s="12">
        <v>1</v>
      </c>
      <c r="BU29" s="12"/>
      <c r="BV29" s="12"/>
      <c r="BZ29" s="12"/>
      <c r="CA29" s="12">
        <v>1</v>
      </c>
      <c r="CB29" s="12"/>
      <c r="CC29" s="12"/>
      <c r="CG29" s="12"/>
      <c r="CH29" s="12"/>
      <c r="CI29" s="12"/>
      <c r="CJ29" s="12"/>
      <c r="CN29" s="12"/>
      <c r="CO29" s="12"/>
      <c r="CP29" s="12"/>
      <c r="CQ29" s="12"/>
      <c r="CU29" s="12"/>
      <c r="CV29" s="12"/>
      <c r="CW29" s="12"/>
      <c r="CX29" s="12"/>
      <c r="DB29" s="12"/>
      <c r="DC29" s="12"/>
      <c r="DD29" s="12"/>
      <c r="DE29" s="12"/>
    </row>
    <row r="30" spans="2:109" outlineLevel="1" x14ac:dyDescent="0.2">
      <c r="B30" t="s">
        <v>28</v>
      </c>
      <c r="C30" t="s">
        <v>103</v>
      </c>
      <c r="E30" s="11"/>
      <c r="F30" t="s">
        <v>151</v>
      </c>
      <c r="G30" s="12">
        <v>6.6600000000000006E-2</v>
      </c>
      <c r="I30" s="11">
        <f t="shared" si="1"/>
        <v>0</v>
      </c>
      <c r="J30" s="13" cm="1">
        <f t="array" ref="J30">MAX(IF($N$3:$EA$3=$J$3,N30:EA30))</f>
        <v>0</v>
      </c>
      <c r="K30" s="13" cm="1">
        <f t="array" ref="K30">MAX(IF($N$3:$EA$3=$J$3,N30:EA30))</f>
        <v>0</v>
      </c>
      <c r="L30" s="11"/>
      <c r="O30" s="12"/>
      <c r="P30" s="12"/>
      <c r="Q30" s="12"/>
      <c r="R30" s="12"/>
      <c r="V30" s="12"/>
      <c r="W30" s="12"/>
      <c r="X30" s="12"/>
      <c r="Y30" s="12"/>
      <c r="AC30" s="12"/>
      <c r="AD30" s="12"/>
      <c r="AE30" s="12"/>
      <c r="AF30" s="12"/>
      <c r="AJ30" s="12"/>
      <c r="AK30" s="12">
        <v>0.5</v>
      </c>
      <c r="AL30" s="12"/>
      <c r="AM30" s="12"/>
      <c r="AQ30" s="12"/>
      <c r="AR30" s="12">
        <v>0.5</v>
      </c>
      <c r="AS30" s="12"/>
      <c r="AT30" s="12"/>
      <c r="AX30" s="12"/>
      <c r="AY30" s="12">
        <v>0.5</v>
      </c>
      <c r="AZ30" s="12"/>
      <c r="BA30" s="12"/>
      <c r="BE30" s="12"/>
      <c r="BF30" s="12">
        <v>0.8</v>
      </c>
      <c r="BG30" s="12"/>
      <c r="BH30" s="12"/>
      <c r="BL30" s="12"/>
      <c r="BM30" s="12">
        <v>0.8</v>
      </c>
      <c r="BN30" s="12"/>
      <c r="BO30" s="12"/>
      <c r="BS30" s="12"/>
      <c r="BT30" s="12">
        <v>0.8</v>
      </c>
      <c r="BU30" s="12"/>
      <c r="BV30" s="12"/>
      <c r="BZ30" s="12"/>
      <c r="CA30" s="12">
        <v>1</v>
      </c>
      <c r="CB30" s="12"/>
      <c r="CC30" s="12"/>
      <c r="CG30" s="12"/>
      <c r="CH30" s="12"/>
      <c r="CI30" s="12"/>
      <c r="CJ30" s="12"/>
      <c r="CN30" s="12"/>
      <c r="CO30" s="12"/>
      <c r="CP30" s="12"/>
      <c r="CQ30" s="12"/>
      <c r="CU30" s="12"/>
      <c r="CV30" s="12"/>
      <c r="CW30" s="12"/>
      <c r="CX30" s="12"/>
      <c r="DB30" s="12"/>
      <c r="DC30" s="12">
        <v>1</v>
      </c>
      <c r="DD30" s="12"/>
      <c r="DE30" s="12"/>
    </row>
    <row r="31" spans="2:109" outlineLevel="1" x14ac:dyDescent="0.2">
      <c r="B31" t="s">
        <v>28</v>
      </c>
      <c r="C31" t="s">
        <v>103</v>
      </c>
      <c r="E31" s="11"/>
      <c r="F31" t="s">
        <v>152</v>
      </c>
      <c r="G31" s="12">
        <v>6.6600000000000006E-2</v>
      </c>
      <c r="I31" s="11">
        <f t="shared" si="1"/>
        <v>0</v>
      </c>
      <c r="J31" s="13" cm="1">
        <f t="array" ref="J31">MAX(IF($N$3:$EA$3=$J$3,N31:EA31))</f>
        <v>0</v>
      </c>
      <c r="K31" s="13" cm="1">
        <f t="array" ref="K31">MAX(IF($N$3:$EA$3=$J$3,N31:EA31))</f>
        <v>0</v>
      </c>
      <c r="L31" s="11"/>
      <c r="O31" s="12"/>
      <c r="P31" s="12"/>
      <c r="Q31" s="12"/>
      <c r="R31" s="12"/>
      <c r="V31" s="12"/>
      <c r="W31" s="12"/>
      <c r="X31" s="12"/>
      <c r="Y31" s="12"/>
      <c r="AC31" s="12"/>
      <c r="AD31" s="12"/>
      <c r="AE31" s="12"/>
      <c r="AF31" s="12"/>
      <c r="AJ31" s="12"/>
      <c r="AK31" s="12">
        <v>0.5</v>
      </c>
      <c r="AL31" s="12"/>
      <c r="AM31" s="12"/>
      <c r="AQ31" s="12"/>
      <c r="AR31" s="12">
        <v>0.5</v>
      </c>
      <c r="AS31" s="12"/>
      <c r="AT31" s="12"/>
      <c r="AX31" s="12"/>
      <c r="AY31" s="12">
        <v>0.5</v>
      </c>
      <c r="AZ31" s="12"/>
      <c r="BA31" s="12"/>
      <c r="BE31" s="12"/>
      <c r="BF31" s="12">
        <v>0.8</v>
      </c>
      <c r="BG31" s="12"/>
      <c r="BH31" s="12"/>
      <c r="BL31" s="12"/>
      <c r="BM31" s="12">
        <v>0.8</v>
      </c>
      <c r="BN31" s="12"/>
      <c r="BO31" s="12"/>
      <c r="BS31" s="12"/>
      <c r="BT31" s="12">
        <v>0.8</v>
      </c>
      <c r="BU31" s="12"/>
      <c r="BV31" s="12"/>
      <c r="BZ31" s="12"/>
      <c r="CA31" s="12">
        <v>1</v>
      </c>
      <c r="CB31" s="12"/>
      <c r="CC31" s="12"/>
      <c r="CG31" s="12"/>
      <c r="CH31" s="12"/>
      <c r="CI31" s="12"/>
      <c r="CJ31" s="12"/>
      <c r="CN31" s="12"/>
      <c r="CO31" s="12"/>
      <c r="CP31" s="12"/>
      <c r="CQ31" s="12"/>
      <c r="CU31" s="12"/>
      <c r="CV31" s="12"/>
      <c r="CW31" s="12"/>
      <c r="CX31" s="12"/>
      <c r="DB31" s="12"/>
      <c r="DC31" s="12"/>
      <c r="DD31" s="12"/>
      <c r="DE31" s="12"/>
    </row>
    <row r="32" spans="2:109" outlineLevel="1" x14ac:dyDescent="0.2">
      <c r="B32" t="s">
        <v>28</v>
      </c>
      <c r="C32" t="s">
        <v>103</v>
      </c>
      <c r="E32" s="11"/>
      <c r="F32" t="s">
        <v>153</v>
      </c>
      <c r="G32" s="12">
        <v>6.6600000000000006E-2</v>
      </c>
      <c r="I32" s="11">
        <f t="shared" si="1"/>
        <v>0</v>
      </c>
      <c r="J32" s="13" cm="1">
        <f t="array" ref="J32">MAX(IF($N$3:$EA$3=$J$3,N32:EA32))</f>
        <v>0</v>
      </c>
      <c r="K32" s="13" cm="1">
        <f t="array" ref="K32">MAX(IF($N$3:$EA$3=$J$3,N32:EA32))</f>
        <v>0</v>
      </c>
      <c r="L32" s="11"/>
      <c r="O32" s="12"/>
      <c r="P32" s="12"/>
      <c r="Q32" s="12"/>
      <c r="R32" s="12"/>
      <c r="V32" s="12"/>
      <c r="W32" s="12"/>
      <c r="X32" s="12"/>
      <c r="Y32" s="12"/>
      <c r="AC32" s="12"/>
      <c r="AD32" s="12"/>
      <c r="AE32" s="12"/>
      <c r="AF32" s="12"/>
      <c r="AJ32" s="12"/>
      <c r="AK32" s="12"/>
      <c r="AL32" s="12"/>
      <c r="AM32" s="12"/>
      <c r="AQ32" s="12"/>
      <c r="AR32" s="12">
        <v>0.5</v>
      </c>
      <c r="AS32" s="12"/>
      <c r="AT32" s="12"/>
      <c r="AX32" s="12"/>
      <c r="AY32" s="12">
        <v>0.5</v>
      </c>
      <c r="AZ32" s="12"/>
      <c r="BA32" s="12"/>
      <c r="BE32" s="12"/>
      <c r="BF32" s="12">
        <v>0.5</v>
      </c>
      <c r="BG32" s="12"/>
      <c r="BH32" s="12"/>
      <c r="BL32" s="12"/>
      <c r="BM32" s="12">
        <v>0.8</v>
      </c>
      <c r="BN32" s="12"/>
      <c r="BO32" s="12"/>
      <c r="BS32" s="12"/>
      <c r="BT32" s="12">
        <v>0.8</v>
      </c>
      <c r="BU32" s="12"/>
      <c r="BV32" s="12"/>
      <c r="BZ32" s="12"/>
      <c r="CA32" s="12">
        <v>1</v>
      </c>
      <c r="CB32" s="12"/>
      <c r="CC32" s="12"/>
      <c r="CG32" s="12"/>
      <c r="CH32" s="12"/>
      <c r="CI32" s="12"/>
      <c r="CJ32" s="12"/>
      <c r="CN32" s="12"/>
      <c r="CO32" s="12"/>
      <c r="CP32" s="12"/>
      <c r="CQ32" s="12"/>
      <c r="CU32" s="12"/>
      <c r="CV32" s="12"/>
      <c r="CW32" s="12"/>
      <c r="CX32" s="12"/>
      <c r="DB32" s="12"/>
      <c r="DC32" s="12"/>
      <c r="DD32" s="12"/>
      <c r="DE32" s="12"/>
    </row>
    <row r="33" spans="2:109" outlineLevel="1" x14ac:dyDescent="0.2">
      <c r="B33" t="s">
        <v>28</v>
      </c>
      <c r="C33" t="s">
        <v>103</v>
      </c>
      <c r="E33" s="11"/>
      <c r="F33" t="s">
        <v>154</v>
      </c>
      <c r="G33" s="12">
        <v>6.6600000000000006E-2</v>
      </c>
      <c r="I33" s="11">
        <f t="shared" si="1"/>
        <v>0</v>
      </c>
      <c r="J33" s="13" cm="1">
        <f t="array" ref="J33">MAX(IF($N$3:$EA$3=$J$3,N33:EA33))</f>
        <v>0</v>
      </c>
      <c r="K33" s="13" cm="1">
        <f t="array" ref="K33">MAX(IF($N$3:$EA$3=$J$3,N33:EA33))</f>
        <v>0</v>
      </c>
      <c r="L33" s="11"/>
      <c r="O33" s="12"/>
      <c r="P33" s="12"/>
      <c r="Q33" s="12"/>
      <c r="R33" s="12"/>
      <c r="V33" s="12"/>
      <c r="W33" s="12"/>
      <c r="X33" s="12"/>
      <c r="Y33" s="12"/>
      <c r="AC33" s="12"/>
      <c r="AD33" s="12"/>
      <c r="AE33" s="12"/>
      <c r="AF33" s="12"/>
      <c r="AJ33" s="12"/>
      <c r="AK33" s="12"/>
      <c r="AL33" s="12"/>
      <c r="AM33" s="12"/>
      <c r="AQ33" s="12"/>
      <c r="AR33" s="12">
        <v>0.5</v>
      </c>
      <c r="AS33" s="12"/>
      <c r="AT33" s="12"/>
      <c r="AX33" s="12"/>
      <c r="AY33" s="12">
        <v>0.5</v>
      </c>
      <c r="AZ33" s="12"/>
      <c r="BA33" s="12"/>
      <c r="BE33" s="12"/>
      <c r="BF33" s="12">
        <v>0.5</v>
      </c>
      <c r="BG33" s="12"/>
      <c r="BH33" s="12"/>
      <c r="BL33" s="12"/>
      <c r="BM33" s="12">
        <v>0.8</v>
      </c>
      <c r="BN33" s="12"/>
      <c r="BO33" s="12"/>
      <c r="BS33" s="12"/>
      <c r="BT33" s="12">
        <v>0.8</v>
      </c>
      <c r="BU33" s="12"/>
      <c r="BV33" s="12"/>
      <c r="BZ33" s="12"/>
      <c r="CA33" s="12">
        <v>1</v>
      </c>
      <c r="CB33" s="12"/>
      <c r="CC33" s="12"/>
      <c r="CG33" s="12"/>
      <c r="CH33" s="12"/>
      <c r="CI33" s="12"/>
      <c r="CJ33" s="12"/>
      <c r="CN33" s="12"/>
      <c r="CO33" s="12"/>
      <c r="CP33" s="12"/>
      <c r="CQ33" s="12"/>
      <c r="CU33" s="12"/>
      <c r="CV33" s="12"/>
      <c r="CW33" s="12"/>
      <c r="CX33" s="12"/>
      <c r="DB33" s="12"/>
      <c r="DC33" s="12"/>
      <c r="DD33" s="12"/>
      <c r="DE33" s="12"/>
    </row>
    <row r="34" spans="2:109" outlineLevel="1" x14ac:dyDescent="0.2">
      <c r="B34" t="s">
        <v>28</v>
      </c>
      <c r="C34" t="s">
        <v>103</v>
      </c>
      <c r="E34" s="11"/>
      <c r="F34" t="s">
        <v>155</v>
      </c>
      <c r="G34" s="12">
        <v>6.6600000000000006E-2</v>
      </c>
      <c r="I34" s="11">
        <f>+SUMIF($N$3:$ZS$3,I$3,$N34:$ZS34)</f>
        <v>0</v>
      </c>
      <c r="J34" s="13" cm="1">
        <f t="array" ref="J34">MAX(IF($N$3:$EA$3=$J$3,N34:EA34))</f>
        <v>0</v>
      </c>
      <c r="K34" s="13" cm="1">
        <f t="array" ref="K34">MAX(IF($N$3:$EA$3=$J$3,N34:EA34))</f>
        <v>0</v>
      </c>
      <c r="L34" s="11"/>
      <c r="O34" s="12"/>
      <c r="P34" s="12"/>
      <c r="Q34" s="12"/>
      <c r="R34" s="12"/>
      <c r="V34" s="12"/>
      <c r="W34" s="12"/>
      <c r="X34" s="12"/>
      <c r="Y34" s="12"/>
      <c r="AC34" s="12"/>
      <c r="AD34" s="12"/>
      <c r="AE34" s="12"/>
      <c r="AF34" s="12"/>
      <c r="AJ34" s="12"/>
      <c r="AK34" s="12"/>
      <c r="AL34" s="12"/>
      <c r="AM34" s="12"/>
      <c r="AQ34" s="12"/>
      <c r="AR34" s="12">
        <v>0.5</v>
      </c>
      <c r="AS34" s="12"/>
      <c r="AT34" s="12"/>
      <c r="AX34" s="12"/>
      <c r="AY34" s="12">
        <v>0.5</v>
      </c>
      <c r="AZ34" s="12"/>
      <c r="BA34" s="12"/>
      <c r="BE34" s="12"/>
      <c r="BF34" s="12">
        <v>0.5</v>
      </c>
      <c r="BG34" s="12"/>
      <c r="BH34" s="12"/>
      <c r="BL34" s="12"/>
      <c r="BM34" s="12">
        <v>0.5</v>
      </c>
      <c r="BN34" s="12"/>
      <c r="BO34" s="12"/>
      <c r="BS34" s="12"/>
      <c r="BT34" s="12">
        <v>0.8</v>
      </c>
      <c r="BU34" s="12"/>
      <c r="BV34" s="12"/>
      <c r="BZ34" s="12"/>
      <c r="CA34" s="12">
        <v>1</v>
      </c>
      <c r="CB34" s="12"/>
      <c r="CC34" s="12"/>
      <c r="CG34" s="12"/>
      <c r="CH34" s="12"/>
      <c r="CI34" s="12"/>
      <c r="CJ34" s="12"/>
      <c r="CN34" s="12"/>
      <c r="CO34" s="12"/>
      <c r="CP34" s="12"/>
      <c r="CQ34" s="12"/>
      <c r="CU34" s="12"/>
      <c r="CV34" s="12"/>
      <c r="CW34" s="12"/>
      <c r="CX34" s="12"/>
      <c r="DB34" s="12"/>
      <c r="DC34" s="12">
        <v>1</v>
      </c>
      <c r="DD34" s="12"/>
      <c r="DE34" s="12"/>
    </row>
    <row r="36" spans="2:109" x14ac:dyDescent="0.2">
      <c r="B36" t="s">
        <v>27</v>
      </c>
      <c r="C36" t="s">
        <v>102</v>
      </c>
      <c r="D36" s="22">
        <v>44984</v>
      </c>
      <c r="E36" s="11">
        <v>6</v>
      </c>
      <c r="G36" s="12">
        <f>+SUM(G37:G59)</f>
        <v>1.0004999999999997</v>
      </c>
      <c r="I36" s="14">
        <f>+SUM(I37:I59)</f>
        <v>0</v>
      </c>
      <c r="J36" s="13">
        <f>+SUMPRODUCT(G37:G59,J37:J59)</f>
        <v>6.5250000000000002E-2</v>
      </c>
      <c r="K36" s="13">
        <f>+SUMPRODUCT(G37:G59,K37:K59)</f>
        <v>6.5250000000000002E-2</v>
      </c>
      <c r="L36" s="11" t="s">
        <v>158</v>
      </c>
      <c r="N36" s="14">
        <f>+SUM(N37:N59)</f>
        <v>0</v>
      </c>
      <c r="U36" s="14">
        <f>+SUM(U37:U59)</f>
        <v>0</v>
      </c>
      <c r="AB36" s="14">
        <f>+SUM(AB37:AB59)</f>
        <v>0</v>
      </c>
      <c r="AI36" s="14">
        <f>+SUM(AI37:AI59)</f>
        <v>0</v>
      </c>
      <c r="AP36" s="14">
        <f>+SUM(AP37:AP49)</f>
        <v>0</v>
      </c>
      <c r="AW36" s="14">
        <f>+SUM(AW37:AW49)</f>
        <v>0</v>
      </c>
      <c r="BD36" s="14">
        <f>+SUM(BD37:BD49)</f>
        <v>0</v>
      </c>
      <c r="BK36" s="14">
        <f>+SUM(BK37:BK49)</f>
        <v>0</v>
      </c>
      <c r="BR36" s="14">
        <f>+SUM(BR37:BR49)</f>
        <v>0</v>
      </c>
      <c r="BY36" s="14">
        <f>+SUM(BY37:BY49)</f>
        <v>0</v>
      </c>
      <c r="CF36" s="14">
        <f>+SUM(CF37:CF49)</f>
        <v>0</v>
      </c>
      <c r="CM36" s="14">
        <f>+SUM(CM37:CM49)</f>
        <v>0</v>
      </c>
      <c r="CT36" s="14">
        <f>+SUM(CT37:CT49)</f>
        <v>0</v>
      </c>
      <c r="DA36" s="14">
        <f>+SUM(DA37:DA49)</f>
        <v>0</v>
      </c>
    </row>
    <row r="37" spans="2:109" outlineLevel="1" x14ac:dyDescent="0.2">
      <c r="B37" t="s">
        <v>28</v>
      </c>
      <c r="C37" t="s">
        <v>102</v>
      </c>
      <c r="D37" s="22">
        <v>45019</v>
      </c>
      <c r="E37" s="11"/>
      <c r="F37" t="s">
        <v>104</v>
      </c>
      <c r="G37" s="12">
        <v>4.3499999999999997E-2</v>
      </c>
      <c r="I37" s="11">
        <f t="shared" ref="I37:I59" si="2">+SUMIF($N$3:$ZS$3,I$3,$N37:$ZS37)</f>
        <v>0</v>
      </c>
      <c r="J37" s="13" cm="1">
        <f t="array" ref="J37">MAX(IF($N$3:$EA$3=$J$3,N37:EA37))</f>
        <v>0.4</v>
      </c>
      <c r="K37" s="13" cm="1">
        <f t="array" ref="K37">MAX(IF($N$3:$EA$3=$J$3,N37:EA37))</f>
        <v>0.4</v>
      </c>
      <c r="L37" s="11"/>
      <c r="O37" s="12">
        <v>0.4</v>
      </c>
      <c r="P37" s="12">
        <v>0.5</v>
      </c>
      <c r="Q37" s="12"/>
      <c r="R37" s="12"/>
      <c r="V37" s="12"/>
      <c r="W37" s="12">
        <v>0.8</v>
      </c>
      <c r="X37" s="12"/>
      <c r="Y37" s="12"/>
      <c r="AC37" s="12"/>
      <c r="AD37" s="12">
        <v>0.8</v>
      </c>
      <c r="AE37" s="12"/>
      <c r="AF37" s="12"/>
      <c r="AJ37" s="12"/>
      <c r="AK37" s="12">
        <v>0.8</v>
      </c>
      <c r="AL37" s="12"/>
      <c r="AM37" s="12"/>
      <c r="AQ37" s="12"/>
      <c r="AR37" s="12">
        <v>0.8</v>
      </c>
      <c r="AS37" s="12"/>
      <c r="AT37" s="12"/>
      <c r="AX37" s="12"/>
      <c r="AY37" s="12">
        <v>1</v>
      </c>
      <c r="AZ37" s="12"/>
      <c r="BA37" s="12"/>
      <c r="BE37" s="12"/>
      <c r="BF37" s="12">
        <v>1</v>
      </c>
      <c r="BG37" s="12"/>
      <c r="BH37" s="12"/>
      <c r="BL37" s="12"/>
      <c r="BM37" s="12">
        <v>1</v>
      </c>
      <c r="BN37" s="12"/>
      <c r="BO37" s="12"/>
      <c r="BS37" s="12"/>
      <c r="BT37" s="12">
        <v>1</v>
      </c>
      <c r="BU37" s="12"/>
      <c r="BV37" s="12"/>
      <c r="BZ37" s="12"/>
      <c r="CA37" s="12">
        <v>1</v>
      </c>
      <c r="CB37" s="12"/>
      <c r="CC37" s="12"/>
      <c r="CG37" s="12"/>
      <c r="CH37" s="12"/>
      <c r="CI37" s="12"/>
      <c r="CJ37" s="12"/>
      <c r="CN37" s="12"/>
      <c r="CO37" s="12"/>
      <c r="CP37" s="12"/>
      <c r="CQ37" s="12"/>
      <c r="CU37" s="12"/>
      <c r="CV37" s="12"/>
      <c r="CW37" s="12"/>
      <c r="CX37" s="12"/>
      <c r="DB37" s="12"/>
      <c r="DC37" s="12">
        <v>1</v>
      </c>
      <c r="DD37" s="12"/>
      <c r="DE37" s="12"/>
    </row>
    <row r="38" spans="2:109" outlineLevel="1" x14ac:dyDescent="0.2">
      <c r="B38" t="s">
        <v>28</v>
      </c>
      <c r="C38" t="s">
        <v>102</v>
      </c>
      <c r="D38" s="23" t="s">
        <v>161</v>
      </c>
      <c r="E38" s="11"/>
      <c r="F38" t="s">
        <v>105</v>
      </c>
      <c r="G38" s="12">
        <v>4.3499999999999997E-2</v>
      </c>
      <c r="I38" s="11">
        <f t="shared" si="2"/>
        <v>0</v>
      </c>
      <c r="J38" s="13" cm="1">
        <f t="array" ref="J38">MAX(IF($N$3:$EA$3=$J$3,N38:EA38))</f>
        <v>0.4</v>
      </c>
      <c r="K38" s="13" cm="1">
        <f t="array" ref="K38">MAX(IF($N$3:$EA$3=$J$3,N38:EA38))</f>
        <v>0.4</v>
      </c>
      <c r="L38" s="11"/>
      <c r="O38" s="12">
        <v>0.4</v>
      </c>
      <c r="P38" s="12">
        <v>0.5</v>
      </c>
      <c r="Q38" s="12"/>
      <c r="R38" s="12"/>
      <c r="V38" s="12"/>
      <c r="W38" s="12">
        <v>0.5</v>
      </c>
      <c r="X38" s="12"/>
      <c r="Y38" s="12"/>
      <c r="AC38" s="12"/>
      <c r="AD38" s="12">
        <v>0.8</v>
      </c>
      <c r="AE38" s="12"/>
      <c r="AF38" s="12"/>
      <c r="AJ38" s="12"/>
      <c r="AK38" s="12">
        <v>0.8</v>
      </c>
      <c r="AL38" s="12"/>
      <c r="AM38" s="12"/>
      <c r="AQ38" s="12"/>
      <c r="AR38" s="12">
        <v>0.8</v>
      </c>
      <c r="AS38" s="12"/>
      <c r="AT38" s="12"/>
      <c r="AX38" s="12"/>
      <c r="AY38" s="12">
        <v>1</v>
      </c>
      <c r="AZ38" s="12"/>
      <c r="BA38" s="12"/>
      <c r="BE38" s="12"/>
      <c r="BF38" s="12">
        <v>1</v>
      </c>
      <c r="BG38" s="12"/>
      <c r="BH38" s="12"/>
      <c r="BL38" s="12"/>
      <c r="BM38" s="12">
        <v>1</v>
      </c>
      <c r="BN38" s="12"/>
      <c r="BO38" s="12"/>
      <c r="BS38" s="12"/>
      <c r="BT38" s="12">
        <v>1</v>
      </c>
      <c r="BU38" s="12"/>
      <c r="BV38" s="12"/>
      <c r="BZ38" s="12"/>
      <c r="CA38" s="12">
        <v>1</v>
      </c>
      <c r="CB38" s="12"/>
      <c r="CC38" s="12"/>
      <c r="CG38" s="12"/>
      <c r="CH38" s="12"/>
      <c r="CI38" s="12"/>
      <c r="CJ38" s="12"/>
      <c r="CN38" s="12"/>
      <c r="CO38" s="12"/>
      <c r="CP38" s="12"/>
      <c r="CQ38" s="12"/>
      <c r="CU38" s="12"/>
      <c r="CV38" s="12"/>
      <c r="CW38" s="12"/>
      <c r="CX38" s="12"/>
      <c r="DB38" s="12"/>
      <c r="DC38" s="12">
        <v>1</v>
      </c>
      <c r="DD38" s="12"/>
      <c r="DE38" s="12"/>
    </row>
    <row r="39" spans="2:109" outlineLevel="1" x14ac:dyDescent="0.2">
      <c r="B39" t="s">
        <v>28</v>
      </c>
      <c r="C39" t="s">
        <v>102</v>
      </c>
      <c r="E39" s="11"/>
      <c r="F39" t="s">
        <v>106</v>
      </c>
      <c r="G39" s="12">
        <v>4.3499999999999997E-2</v>
      </c>
      <c r="I39" s="11">
        <f t="shared" si="2"/>
        <v>0</v>
      </c>
      <c r="J39" s="13" cm="1">
        <f t="array" ref="J39">MAX(IF($N$3:$EA$3=$J$3,N39:EA39))</f>
        <v>0.4</v>
      </c>
      <c r="K39" s="13" cm="1">
        <f t="array" ref="K39">MAX(IF($N$3:$EA$3=$J$3,N39:EA39))</f>
        <v>0.4</v>
      </c>
      <c r="L39" s="11"/>
      <c r="O39" s="12">
        <v>0.4</v>
      </c>
      <c r="P39" s="12">
        <v>0.5</v>
      </c>
      <c r="Q39" s="12"/>
      <c r="R39" s="12"/>
      <c r="V39" s="12"/>
      <c r="W39" s="12">
        <v>0.5</v>
      </c>
      <c r="X39" s="12"/>
      <c r="Y39" s="12"/>
      <c r="AC39" s="12"/>
      <c r="AD39" s="12">
        <v>0.8</v>
      </c>
      <c r="AE39" s="12"/>
      <c r="AF39" s="12"/>
      <c r="AJ39" s="12"/>
      <c r="AK39" s="12">
        <v>0.8</v>
      </c>
      <c r="AL39" s="12"/>
      <c r="AM39" s="12"/>
      <c r="AQ39" s="12"/>
      <c r="AR39" s="12">
        <v>0.8</v>
      </c>
      <c r="AS39" s="12"/>
      <c r="AT39" s="12"/>
      <c r="AX39" s="12"/>
      <c r="AY39" s="12">
        <v>1</v>
      </c>
      <c r="AZ39" s="12"/>
      <c r="BA39" s="12"/>
      <c r="BE39" s="12"/>
      <c r="BF39" s="12">
        <v>1</v>
      </c>
      <c r="BG39" s="12"/>
      <c r="BH39" s="12"/>
      <c r="BL39" s="12"/>
      <c r="BM39" s="12">
        <v>1</v>
      </c>
      <c r="BN39" s="12"/>
      <c r="BO39" s="12"/>
      <c r="BS39" s="12"/>
      <c r="BT39" s="12">
        <v>1</v>
      </c>
      <c r="BU39" s="12"/>
      <c r="BV39" s="12"/>
      <c r="BZ39" s="12"/>
      <c r="CA39" s="12">
        <v>1</v>
      </c>
      <c r="CB39" s="12"/>
      <c r="CC39" s="12"/>
      <c r="CG39" s="12"/>
      <c r="CH39" s="12"/>
      <c r="CI39" s="12"/>
      <c r="CJ39" s="12"/>
      <c r="CN39" s="12"/>
      <c r="CO39" s="12"/>
      <c r="CP39" s="12"/>
      <c r="CQ39" s="12"/>
      <c r="CU39" s="12"/>
      <c r="CV39" s="12"/>
      <c r="CW39" s="12"/>
      <c r="CX39" s="12"/>
      <c r="DB39" s="12"/>
      <c r="DC39" s="12">
        <v>1</v>
      </c>
      <c r="DD39" s="12"/>
      <c r="DE39" s="12"/>
    </row>
    <row r="40" spans="2:109" outlineLevel="1" x14ac:dyDescent="0.2">
      <c r="B40" t="s">
        <v>28</v>
      </c>
      <c r="C40" t="s">
        <v>102</v>
      </c>
      <c r="E40" s="11"/>
      <c r="F40" t="s">
        <v>107</v>
      </c>
      <c r="G40" s="12">
        <v>4.3499999999999997E-2</v>
      </c>
      <c r="I40" s="11">
        <f t="shared" si="2"/>
        <v>0</v>
      </c>
      <c r="J40" s="13" cm="1">
        <f t="array" ref="J40">MAX(IF($N$3:$EA$3=$J$3,N40:EA40))</f>
        <v>0.3</v>
      </c>
      <c r="K40" s="13" cm="1">
        <f t="array" ref="K40">MAX(IF($N$3:$EA$3=$J$3,N40:EA40))</f>
        <v>0.3</v>
      </c>
      <c r="L40" s="11"/>
      <c r="O40" s="12">
        <v>0.3</v>
      </c>
      <c r="P40" s="12">
        <v>0.5</v>
      </c>
      <c r="Q40" s="12"/>
      <c r="R40" s="12"/>
      <c r="V40" s="12"/>
      <c r="W40" s="12">
        <v>0.5</v>
      </c>
      <c r="X40" s="12"/>
      <c r="Y40" s="12"/>
      <c r="AC40" s="12"/>
      <c r="AD40" s="12">
        <v>0.8</v>
      </c>
      <c r="AE40" s="12"/>
      <c r="AF40" s="12"/>
      <c r="AJ40" s="12"/>
      <c r="AK40" s="12">
        <v>0.8</v>
      </c>
      <c r="AL40" s="12"/>
      <c r="AM40" s="12"/>
      <c r="AQ40" s="12"/>
      <c r="AR40" s="12">
        <v>0.8</v>
      </c>
      <c r="AS40" s="12"/>
      <c r="AT40" s="12"/>
      <c r="AX40" s="12"/>
      <c r="AY40" s="12">
        <v>1</v>
      </c>
      <c r="AZ40" s="12"/>
      <c r="BA40" s="12"/>
      <c r="BE40" s="12"/>
      <c r="BF40" s="12">
        <v>1</v>
      </c>
      <c r="BG40" s="12"/>
      <c r="BH40" s="12"/>
      <c r="BL40" s="12"/>
      <c r="BM40" s="12">
        <v>1</v>
      </c>
      <c r="BN40" s="12"/>
      <c r="BO40" s="12"/>
      <c r="BS40" s="12"/>
      <c r="BT40" s="12">
        <v>1</v>
      </c>
      <c r="BU40" s="12"/>
      <c r="BV40" s="12"/>
      <c r="BZ40" s="12"/>
      <c r="CA40" s="12">
        <v>1</v>
      </c>
      <c r="CB40" s="12"/>
      <c r="CC40" s="12"/>
      <c r="CG40" s="12"/>
      <c r="CH40" s="12"/>
      <c r="CI40" s="12"/>
      <c r="CJ40" s="12"/>
      <c r="CN40" s="12"/>
      <c r="CO40" s="12"/>
      <c r="CP40" s="12"/>
      <c r="CQ40" s="12"/>
      <c r="CU40" s="12"/>
      <c r="CV40" s="12"/>
      <c r="CW40" s="12"/>
      <c r="CX40" s="12"/>
      <c r="DB40" s="12"/>
      <c r="DC40" s="12">
        <v>1</v>
      </c>
      <c r="DD40" s="12"/>
      <c r="DE40" s="12"/>
    </row>
    <row r="41" spans="2:109" outlineLevel="1" x14ac:dyDescent="0.2">
      <c r="B41" t="s">
        <v>28</v>
      </c>
      <c r="C41" t="s">
        <v>102</v>
      </c>
      <c r="E41" s="11"/>
      <c r="F41" t="s">
        <v>108</v>
      </c>
      <c r="G41" s="12">
        <v>4.3499999999999997E-2</v>
      </c>
      <c r="I41" s="11">
        <f t="shared" si="2"/>
        <v>0</v>
      </c>
      <c r="J41" s="13" cm="1">
        <f t="array" ref="J41">MAX(IF($N$3:$EA$3=$J$3,N41:EA41))</f>
        <v>0</v>
      </c>
      <c r="K41" s="13" cm="1">
        <f t="array" ref="K41">MAX(IF($N$3:$EA$3=$J$3,N41:EA41))</f>
        <v>0</v>
      </c>
      <c r="L41" s="11"/>
      <c r="O41" s="12"/>
      <c r="P41" s="12">
        <v>0.5</v>
      </c>
      <c r="Q41" s="12"/>
      <c r="R41" s="12"/>
      <c r="V41" s="12"/>
      <c r="W41" s="12">
        <v>0.5</v>
      </c>
      <c r="X41" s="12"/>
      <c r="Y41" s="12"/>
      <c r="AC41" s="12"/>
      <c r="AD41" s="12">
        <v>0.8</v>
      </c>
      <c r="AE41" s="12"/>
      <c r="AF41" s="12"/>
      <c r="AJ41" s="12"/>
      <c r="AK41" s="12">
        <v>0.8</v>
      </c>
      <c r="AL41" s="12"/>
      <c r="AM41" s="12"/>
      <c r="AQ41" s="12"/>
      <c r="AR41" s="12">
        <v>0.8</v>
      </c>
      <c r="AS41" s="12"/>
      <c r="AT41" s="12"/>
      <c r="AX41" s="12"/>
      <c r="AY41" s="12">
        <v>0.8</v>
      </c>
      <c r="AZ41" s="12"/>
      <c r="BA41" s="12"/>
      <c r="BE41" s="12"/>
      <c r="BF41" s="12">
        <v>1</v>
      </c>
      <c r="BG41" s="12"/>
      <c r="BH41" s="12"/>
      <c r="BL41" s="12"/>
      <c r="BM41" s="12">
        <v>1</v>
      </c>
      <c r="BN41" s="12"/>
      <c r="BO41" s="12"/>
      <c r="BS41" s="12"/>
      <c r="BT41" s="12">
        <v>1</v>
      </c>
      <c r="BU41" s="12"/>
      <c r="BV41" s="12"/>
      <c r="BZ41" s="12"/>
      <c r="CA41" s="12">
        <v>1</v>
      </c>
      <c r="CB41" s="12"/>
      <c r="CC41" s="12"/>
      <c r="CG41" s="12"/>
      <c r="CH41" s="12"/>
      <c r="CI41" s="12"/>
      <c r="CJ41" s="12"/>
      <c r="CN41" s="12"/>
      <c r="CO41" s="12"/>
      <c r="CP41" s="12"/>
      <c r="CQ41" s="12"/>
      <c r="CU41" s="12"/>
      <c r="CV41" s="12"/>
      <c r="CW41" s="12"/>
      <c r="CX41" s="12"/>
      <c r="DB41" s="12"/>
      <c r="DC41" s="12">
        <v>1</v>
      </c>
      <c r="DD41" s="12"/>
      <c r="DE41" s="12"/>
    </row>
    <row r="42" spans="2:109" outlineLevel="1" x14ac:dyDescent="0.2">
      <c r="B42" t="s">
        <v>28</v>
      </c>
      <c r="C42" t="s">
        <v>102</v>
      </c>
      <c r="E42" s="11"/>
      <c r="F42" t="s">
        <v>109</v>
      </c>
      <c r="G42" s="12">
        <v>4.3499999999999997E-2</v>
      </c>
      <c r="I42" s="11">
        <f t="shared" si="2"/>
        <v>0</v>
      </c>
      <c r="J42" s="13" cm="1">
        <f t="array" ref="J42">MAX(IF($N$3:$EA$3=$J$3,N42:EA42))</f>
        <v>0</v>
      </c>
      <c r="K42" s="13" cm="1">
        <f t="array" ref="K42">MAX(IF($N$3:$EA$3=$J$3,N42:EA42))</f>
        <v>0</v>
      </c>
      <c r="L42" s="11"/>
      <c r="O42" s="12"/>
      <c r="P42" s="12">
        <v>0.5</v>
      </c>
      <c r="Q42" s="12"/>
      <c r="R42" s="12"/>
      <c r="V42" s="12"/>
      <c r="W42" s="12">
        <v>0.5</v>
      </c>
      <c r="X42" s="12"/>
      <c r="Y42" s="12"/>
      <c r="AC42" s="12"/>
      <c r="AD42" s="12">
        <v>0.5</v>
      </c>
      <c r="AE42" s="12"/>
      <c r="AF42" s="12"/>
      <c r="AJ42" s="12"/>
      <c r="AK42" s="12">
        <v>0.8</v>
      </c>
      <c r="AL42" s="12"/>
      <c r="AM42" s="12"/>
      <c r="AQ42" s="12"/>
      <c r="AR42" s="12">
        <v>0.8</v>
      </c>
      <c r="AS42" s="12"/>
      <c r="AT42" s="12"/>
      <c r="AX42" s="12"/>
      <c r="AY42" s="12">
        <v>0.8</v>
      </c>
      <c r="AZ42" s="12"/>
      <c r="BA42" s="12"/>
      <c r="BE42" s="12"/>
      <c r="BF42" s="12">
        <v>1</v>
      </c>
      <c r="BG42" s="12"/>
      <c r="BH42" s="12"/>
      <c r="BL42" s="12"/>
      <c r="BM42" s="12">
        <v>1</v>
      </c>
      <c r="BN42" s="12"/>
      <c r="BO42" s="12"/>
      <c r="BS42" s="12"/>
      <c r="BT42" s="12">
        <v>1</v>
      </c>
      <c r="BU42" s="12"/>
      <c r="BV42" s="12"/>
      <c r="BZ42" s="12"/>
      <c r="CA42" s="12">
        <v>1</v>
      </c>
      <c r="CB42" s="12"/>
      <c r="CC42" s="12"/>
      <c r="CG42" s="12"/>
      <c r="CH42" s="12"/>
      <c r="CI42" s="12"/>
      <c r="CJ42" s="12"/>
      <c r="CN42" s="12"/>
      <c r="CO42" s="12"/>
      <c r="CP42" s="12"/>
      <c r="CQ42" s="12"/>
      <c r="CU42" s="12"/>
      <c r="CV42" s="12"/>
      <c r="CW42" s="12"/>
      <c r="CX42" s="12"/>
      <c r="DB42" s="12"/>
      <c r="DC42" s="12">
        <v>1</v>
      </c>
      <c r="DD42" s="12"/>
      <c r="DE42" s="12"/>
    </row>
    <row r="43" spans="2:109" outlineLevel="1" x14ac:dyDescent="0.2">
      <c r="B43" t="s">
        <v>28</v>
      </c>
      <c r="C43" t="s">
        <v>102</v>
      </c>
      <c r="E43" s="11"/>
      <c r="F43" t="s">
        <v>110</v>
      </c>
      <c r="G43" s="12">
        <v>4.3499999999999997E-2</v>
      </c>
      <c r="I43" s="11">
        <f t="shared" si="2"/>
        <v>0</v>
      </c>
      <c r="J43" s="13" cm="1">
        <f t="array" ref="J43">MAX(IF($N$3:$EA$3=$J$3,N43:EA43))</f>
        <v>0</v>
      </c>
      <c r="K43" s="13" cm="1">
        <f t="array" ref="K43">MAX(IF($N$3:$EA$3=$J$3,N43:EA43))</f>
        <v>0</v>
      </c>
      <c r="L43" s="11"/>
      <c r="O43" s="12"/>
      <c r="P43" s="12">
        <v>0.5</v>
      </c>
      <c r="Q43" s="12"/>
      <c r="R43" s="12"/>
      <c r="V43" s="12"/>
      <c r="W43" s="12">
        <v>0.5</v>
      </c>
      <c r="X43" s="12"/>
      <c r="Y43" s="12"/>
      <c r="AC43" s="12"/>
      <c r="AD43" s="12">
        <v>0.5</v>
      </c>
      <c r="AE43" s="12"/>
      <c r="AF43" s="12"/>
      <c r="AJ43" s="12"/>
      <c r="AK43" s="12">
        <v>0.8</v>
      </c>
      <c r="AL43" s="12"/>
      <c r="AM43" s="12"/>
      <c r="AQ43" s="12"/>
      <c r="AR43" s="12">
        <v>0.8</v>
      </c>
      <c r="AS43" s="12"/>
      <c r="AT43" s="12"/>
      <c r="AX43" s="12"/>
      <c r="AY43" s="12">
        <v>0.8</v>
      </c>
      <c r="AZ43" s="12"/>
      <c r="BA43" s="12"/>
      <c r="BE43" s="12"/>
      <c r="BF43" s="12">
        <v>1</v>
      </c>
      <c r="BG43" s="12"/>
      <c r="BH43" s="12"/>
      <c r="BL43" s="12"/>
      <c r="BM43" s="12">
        <v>1</v>
      </c>
      <c r="BN43" s="12"/>
      <c r="BO43" s="12"/>
      <c r="BS43" s="12"/>
      <c r="BT43" s="12">
        <v>1</v>
      </c>
      <c r="BU43" s="12"/>
      <c r="BV43" s="12"/>
      <c r="BZ43" s="12"/>
      <c r="CA43" s="12">
        <v>1</v>
      </c>
      <c r="CB43" s="12"/>
      <c r="CC43" s="12"/>
      <c r="CG43" s="12"/>
      <c r="CH43" s="12"/>
      <c r="CI43" s="12"/>
      <c r="CJ43" s="12"/>
      <c r="CN43" s="12"/>
      <c r="CO43" s="12"/>
      <c r="CP43" s="12"/>
      <c r="CQ43" s="12"/>
      <c r="CU43" s="12"/>
      <c r="CV43" s="12"/>
      <c r="CW43" s="12"/>
      <c r="CX43" s="12"/>
      <c r="DB43" s="12"/>
      <c r="DC43" s="12">
        <v>1</v>
      </c>
      <c r="DD43" s="12"/>
      <c r="DE43" s="12"/>
    </row>
    <row r="44" spans="2:109" outlineLevel="1" x14ac:dyDescent="0.2">
      <c r="B44" t="s">
        <v>28</v>
      </c>
      <c r="C44" t="s">
        <v>102</v>
      </c>
      <c r="E44" s="11"/>
      <c r="F44" t="s">
        <v>111</v>
      </c>
      <c r="G44" s="12">
        <v>4.3499999999999997E-2</v>
      </c>
      <c r="I44" s="11">
        <f t="shared" si="2"/>
        <v>0</v>
      </c>
      <c r="J44" s="13" cm="1">
        <f t="array" ref="J44">MAX(IF($N$3:$EA$3=$J$3,N44:EA44))</f>
        <v>0</v>
      </c>
      <c r="K44" s="13" cm="1">
        <f t="array" ref="K44">MAX(IF($N$3:$EA$3=$J$3,N44:EA44))</f>
        <v>0</v>
      </c>
      <c r="L44" s="11"/>
      <c r="O44" s="12"/>
      <c r="P44" s="12"/>
      <c r="Q44" s="12"/>
      <c r="R44" s="12"/>
      <c r="V44" s="12"/>
      <c r="W44" s="12">
        <v>0.5</v>
      </c>
      <c r="X44" s="12"/>
      <c r="Y44" s="12"/>
      <c r="AC44" s="12"/>
      <c r="AD44" s="12">
        <v>0.5</v>
      </c>
      <c r="AE44" s="12"/>
      <c r="AF44" s="12"/>
      <c r="AJ44" s="12"/>
      <c r="AK44" s="12">
        <v>0.8</v>
      </c>
      <c r="AL44" s="12"/>
      <c r="AM44" s="12"/>
      <c r="AQ44" s="12"/>
      <c r="AR44" s="12">
        <v>0.8</v>
      </c>
      <c r="AS44" s="12"/>
      <c r="AT44" s="12"/>
      <c r="AX44" s="12"/>
      <c r="AY44" s="12">
        <v>0.8</v>
      </c>
      <c r="AZ44" s="12"/>
      <c r="BA44" s="12"/>
      <c r="BE44" s="12"/>
      <c r="BF44" s="12">
        <v>0.8</v>
      </c>
      <c r="BG44" s="12"/>
      <c r="BH44" s="12"/>
      <c r="BL44" s="12"/>
      <c r="BM44" s="12">
        <v>1</v>
      </c>
      <c r="BN44" s="12"/>
      <c r="BO44" s="12"/>
      <c r="BS44" s="12"/>
      <c r="BT44" s="12">
        <v>1</v>
      </c>
      <c r="BU44" s="12"/>
      <c r="BV44" s="12"/>
      <c r="BZ44" s="12"/>
      <c r="CA44" s="12">
        <v>1</v>
      </c>
      <c r="CB44" s="12"/>
      <c r="CC44" s="12"/>
      <c r="CG44" s="12"/>
      <c r="CH44" s="12"/>
      <c r="CI44" s="12"/>
      <c r="CJ44" s="12"/>
      <c r="CN44" s="12"/>
      <c r="CO44" s="12"/>
      <c r="CP44" s="12"/>
      <c r="CQ44" s="12"/>
      <c r="CU44" s="12"/>
      <c r="CV44" s="12"/>
      <c r="CW44" s="12"/>
      <c r="CX44" s="12"/>
      <c r="DB44" s="12"/>
      <c r="DC44" s="12">
        <v>1</v>
      </c>
      <c r="DD44" s="12"/>
      <c r="DE44" s="12"/>
    </row>
    <row r="45" spans="2:109" outlineLevel="1" x14ac:dyDescent="0.2">
      <c r="B45" t="s">
        <v>28</v>
      </c>
      <c r="C45" t="s">
        <v>102</v>
      </c>
      <c r="E45" s="11"/>
      <c r="F45" t="s">
        <v>112</v>
      </c>
      <c r="G45" s="12">
        <v>4.3499999999999997E-2</v>
      </c>
      <c r="I45" s="11">
        <f t="shared" si="2"/>
        <v>0</v>
      </c>
      <c r="J45" s="13" cm="1">
        <f t="array" ref="J45">MAX(IF($N$3:$EA$3=$J$3,N45:EA45))</f>
        <v>0</v>
      </c>
      <c r="K45" s="13" cm="1">
        <f t="array" ref="K45">MAX(IF($N$3:$EA$3=$J$3,N45:EA45))</f>
        <v>0</v>
      </c>
      <c r="L45" s="11"/>
      <c r="O45" s="12"/>
      <c r="P45" s="12"/>
      <c r="Q45" s="12"/>
      <c r="R45" s="12"/>
      <c r="V45" s="12"/>
      <c r="W45" s="12">
        <v>0.5</v>
      </c>
      <c r="X45" s="12"/>
      <c r="Y45" s="12"/>
      <c r="AC45" s="12"/>
      <c r="AD45" s="12">
        <v>0.5</v>
      </c>
      <c r="AE45" s="12"/>
      <c r="AF45" s="12"/>
      <c r="AJ45" s="12"/>
      <c r="AK45" s="12">
        <v>0.8</v>
      </c>
      <c r="AL45" s="12"/>
      <c r="AM45" s="12"/>
      <c r="AQ45" s="12"/>
      <c r="AR45" s="12">
        <v>0.8</v>
      </c>
      <c r="AS45" s="12"/>
      <c r="AT45" s="12"/>
      <c r="AX45" s="12"/>
      <c r="AY45" s="12">
        <v>0.8</v>
      </c>
      <c r="AZ45" s="12"/>
      <c r="BA45" s="12"/>
      <c r="BE45" s="12"/>
      <c r="BF45" s="12">
        <v>0.8</v>
      </c>
      <c r="BG45" s="12"/>
      <c r="BH45" s="12"/>
      <c r="BL45" s="12"/>
      <c r="BM45" s="12">
        <v>1</v>
      </c>
      <c r="BN45" s="12"/>
      <c r="BO45" s="12"/>
      <c r="BS45" s="12"/>
      <c r="BT45" s="12">
        <v>1</v>
      </c>
      <c r="BU45" s="12"/>
      <c r="BV45" s="12"/>
      <c r="BZ45" s="12"/>
      <c r="CA45" s="12">
        <v>1</v>
      </c>
      <c r="CB45" s="12"/>
      <c r="CC45" s="12"/>
      <c r="CG45" s="12"/>
      <c r="CH45" s="12"/>
      <c r="CI45" s="12"/>
      <c r="CJ45" s="12"/>
      <c r="CN45" s="12"/>
      <c r="CO45" s="12"/>
      <c r="CP45" s="12"/>
      <c r="CQ45" s="12"/>
      <c r="CU45" s="12"/>
      <c r="CV45" s="12"/>
      <c r="CW45" s="12"/>
      <c r="CX45" s="12"/>
      <c r="DB45" s="12"/>
      <c r="DC45" s="12">
        <v>1</v>
      </c>
      <c r="DD45" s="12"/>
      <c r="DE45" s="12"/>
    </row>
    <row r="46" spans="2:109" outlineLevel="1" x14ac:dyDescent="0.2">
      <c r="B46" t="s">
        <v>28</v>
      </c>
      <c r="C46" t="s">
        <v>102</v>
      </c>
      <c r="E46" s="11"/>
      <c r="F46" t="s">
        <v>113</v>
      </c>
      <c r="G46" s="12">
        <v>4.3499999999999997E-2</v>
      </c>
      <c r="I46" s="11">
        <f t="shared" si="2"/>
        <v>0</v>
      </c>
      <c r="J46" s="13" cm="1">
        <f t="array" ref="J46">MAX(IF($N$3:$EA$3=$J$3,N46:EA46))</f>
        <v>0</v>
      </c>
      <c r="K46" s="13" cm="1">
        <f t="array" ref="K46">MAX(IF($N$3:$EA$3=$J$3,N46:EA46))</f>
        <v>0</v>
      </c>
      <c r="L46" s="11"/>
      <c r="O46" s="12"/>
      <c r="P46" s="12"/>
      <c r="Q46" s="12"/>
      <c r="R46" s="12"/>
      <c r="V46" s="12"/>
      <c r="W46" s="12">
        <v>0.5</v>
      </c>
      <c r="X46" s="12"/>
      <c r="Y46" s="12"/>
      <c r="AC46" s="12"/>
      <c r="AD46" s="12">
        <v>0.5</v>
      </c>
      <c r="AE46" s="12"/>
      <c r="AF46" s="12"/>
      <c r="AJ46" s="12"/>
      <c r="AK46" s="12">
        <v>0.5</v>
      </c>
      <c r="AL46" s="12"/>
      <c r="AM46" s="12"/>
      <c r="AQ46" s="12"/>
      <c r="AR46" s="12">
        <v>0.8</v>
      </c>
      <c r="AS46" s="12"/>
      <c r="AT46" s="12"/>
      <c r="AX46" s="12"/>
      <c r="AY46" s="12">
        <v>0.8</v>
      </c>
      <c r="AZ46" s="12"/>
      <c r="BA46" s="12"/>
      <c r="BE46" s="12"/>
      <c r="BF46" s="12">
        <v>0.8</v>
      </c>
      <c r="BG46" s="12"/>
      <c r="BH46" s="12"/>
      <c r="BL46" s="12"/>
      <c r="BM46" s="12">
        <v>1</v>
      </c>
      <c r="BN46" s="12"/>
      <c r="BO46" s="12"/>
      <c r="BS46" s="12"/>
      <c r="BT46" s="12">
        <v>1</v>
      </c>
      <c r="BU46" s="12"/>
      <c r="BV46" s="12"/>
      <c r="BZ46" s="12"/>
      <c r="CA46" s="12">
        <v>1</v>
      </c>
      <c r="CB46" s="12"/>
      <c r="CC46" s="12"/>
      <c r="CG46" s="12"/>
      <c r="CH46" s="12"/>
      <c r="CI46" s="12"/>
      <c r="CJ46" s="12"/>
      <c r="CN46" s="12"/>
      <c r="CO46" s="12"/>
      <c r="CP46" s="12"/>
      <c r="CQ46" s="12"/>
      <c r="CU46" s="12"/>
      <c r="CV46" s="12"/>
      <c r="CW46" s="12"/>
      <c r="CX46" s="12"/>
      <c r="DB46" s="12"/>
      <c r="DC46" s="12">
        <v>1</v>
      </c>
      <c r="DD46" s="12"/>
      <c r="DE46" s="12"/>
    </row>
    <row r="47" spans="2:109" outlineLevel="1" x14ac:dyDescent="0.2">
      <c r="B47" t="s">
        <v>28</v>
      </c>
      <c r="C47" t="s">
        <v>102</v>
      </c>
      <c r="E47" s="11"/>
      <c r="F47" t="s">
        <v>114</v>
      </c>
      <c r="G47" s="12">
        <v>4.3499999999999997E-2</v>
      </c>
      <c r="I47" s="11">
        <f t="shared" si="2"/>
        <v>0</v>
      </c>
      <c r="J47" s="13" cm="1">
        <f t="array" ref="J47">MAX(IF($N$3:$EA$3=$J$3,N47:EA47))</f>
        <v>0</v>
      </c>
      <c r="K47" s="13" cm="1">
        <f t="array" ref="K47">MAX(IF($N$3:$EA$3=$J$3,N47:EA47))</f>
        <v>0</v>
      </c>
      <c r="L47" s="11"/>
      <c r="O47" s="12"/>
      <c r="P47" s="12"/>
      <c r="Q47" s="12"/>
      <c r="R47" s="12"/>
      <c r="V47" s="12"/>
      <c r="W47" s="12">
        <v>0.5</v>
      </c>
      <c r="X47" s="12"/>
      <c r="Y47" s="12"/>
      <c r="AC47" s="12"/>
      <c r="AD47" s="12">
        <v>0.5</v>
      </c>
      <c r="AE47" s="12"/>
      <c r="AF47" s="12"/>
      <c r="AJ47" s="12"/>
      <c r="AK47" s="12">
        <v>0.5</v>
      </c>
      <c r="AL47" s="12"/>
      <c r="AM47" s="12"/>
      <c r="AQ47" s="12"/>
      <c r="AR47" s="12">
        <v>0.8</v>
      </c>
      <c r="AS47" s="12"/>
      <c r="AT47" s="12"/>
      <c r="AX47" s="12"/>
      <c r="AY47" s="12">
        <v>0.8</v>
      </c>
      <c r="AZ47" s="12"/>
      <c r="BA47" s="12"/>
      <c r="BE47" s="12"/>
      <c r="BF47" s="12">
        <v>0.8</v>
      </c>
      <c r="BG47" s="12"/>
      <c r="BH47" s="12"/>
      <c r="BL47" s="12"/>
      <c r="BM47" s="12">
        <v>0.8</v>
      </c>
      <c r="BN47" s="12"/>
      <c r="BO47" s="12"/>
      <c r="BS47" s="12"/>
      <c r="BT47" s="12">
        <v>1</v>
      </c>
      <c r="BU47" s="12"/>
      <c r="BV47" s="12"/>
      <c r="BZ47" s="12"/>
      <c r="CA47" s="12">
        <v>1</v>
      </c>
      <c r="CB47" s="12"/>
      <c r="CC47" s="12"/>
      <c r="CG47" s="12"/>
      <c r="CH47" s="12"/>
      <c r="CI47" s="12"/>
      <c r="CJ47" s="12"/>
      <c r="CN47" s="12"/>
      <c r="CO47" s="12"/>
      <c r="CP47" s="12"/>
      <c r="CQ47" s="12"/>
      <c r="CU47" s="12"/>
      <c r="CV47" s="12"/>
      <c r="CW47" s="12"/>
      <c r="CX47" s="12"/>
      <c r="DB47" s="12"/>
      <c r="DC47" s="12">
        <v>1</v>
      </c>
      <c r="DD47" s="12"/>
      <c r="DE47" s="12"/>
    </row>
    <row r="48" spans="2:109" outlineLevel="1" x14ac:dyDescent="0.2">
      <c r="B48" t="s">
        <v>28</v>
      </c>
      <c r="C48" t="s">
        <v>102</v>
      </c>
      <c r="E48" s="11"/>
      <c r="F48" t="s">
        <v>115</v>
      </c>
      <c r="G48" s="12">
        <v>4.3499999999999997E-2</v>
      </c>
      <c r="I48" s="11">
        <f t="shared" si="2"/>
        <v>0</v>
      </c>
      <c r="J48" s="13" cm="1">
        <f t="array" ref="J48">MAX(IF($N$3:$EA$3=$J$3,N48:EA48))</f>
        <v>0</v>
      </c>
      <c r="K48" s="13" cm="1">
        <f t="array" ref="K48">MAX(IF($N$3:$EA$3=$J$3,N48:EA48))</f>
        <v>0</v>
      </c>
      <c r="L48" s="11"/>
      <c r="O48" s="12"/>
      <c r="P48" s="12"/>
      <c r="Q48" s="12"/>
      <c r="R48" s="12"/>
      <c r="V48" s="12"/>
      <c r="W48" s="12">
        <v>0.5</v>
      </c>
      <c r="X48" s="12"/>
      <c r="Y48" s="12"/>
      <c r="AC48" s="12"/>
      <c r="AD48" s="12">
        <v>0.5</v>
      </c>
      <c r="AE48" s="12"/>
      <c r="AF48" s="12"/>
      <c r="AJ48" s="12"/>
      <c r="AK48" s="12">
        <v>0.5</v>
      </c>
      <c r="AL48" s="12"/>
      <c r="AM48" s="12"/>
      <c r="AQ48" s="12"/>
      <c r="AR48" s="12">
        <v>0.8</v>
      </c>
      <c r="AS48" s="12"/>
      <c r="AT48" s="12"/>
      <c r="AX48" s="12"/>
      <c r="AY48" s="12">
        <v>0.8</v>
      </c>
      <c r="AZ48" s="12"/>
      <c r="BA48" s="12"/>
      <c r="BE48" s="12"/>
      <c r="BF48" s="12">
        <v>0.8</v>
      </c>
      <c r="BG48" s="12"/>
      <c r="BH48" s="12"/>
      <c r="BL48" s="12"/>
      <c r="BM48" s="12">
        <v>0.8</v>
      </c>
      <c r="BN48" s="12"/>
      <c r="BO48" s="12"/>
      <c r="BS48" s="12"/>
      <c r="BT48" s="12">
        <v>1</v>
      </c>
      <c r="BU48" s="12"/>
      <c r="BV48" s="12"/>
      <c r="BZ48" s="12"/>
      <c r="CA48" s="12">
        <v>1</v>
      </c>
      <c r="CB48" s="12"/>
      <c r="CC48" s="12"/>
      <c r="CG48" s="12"/>
      <c r="CH48" s="12"/>
      <c r="CI48" s="12"/>
      <c r="CJ48" s="12"/>
      <c r="CN48" s="12"/>
      <c r="CO48" s="12"/>
      <c r="CP48" s="12"/>
      <c r="CQ48" s="12"/>
      <c r="CU48" s="12"/>
      <c r="CV48" s="12"/>
      <c r="CW48" s="12"/>
      <c r="CX48" s="12"/>
      <c r="DB48" s="12"/>
      <c r="DC48" s="12">
        <v>1</v>
      </c>
      <c r="DD48" s="12"/>
      <c r="DE48" s="12"/>
    </row>
    <row r="49" spans="2:109" outlineLevel="1" x14ac:dyDescent="0.2">
      <c r="B49" t="s">
        <v>28</v>
      </c>
      <c r="C49" t="s">
        <v>102</v>
      </c>
      <c r="E49" s="11"/>
      <c r="F49" t="s">
        <v>116</v>
      </c>
      <c r="G49" s="12">
        <v>4.3499999999999997E-2</v>
      </c>
      <c r="I49" s="11">
        <f t="shared" si="2"/>
        <v>0</v>
      </c>
      <c r="J49" s="13" cm="1">
        <f t="array" ref="J49">MAX(IF($N$3:$EA$3=$J$3,N49:EA49))</f>
        <v>0</v>
      </c>
      <c r="K49" s="13" cm="1">
        <f t="array" ref="K49">MAX(IF($N$3:$EA$3=$J$3,N49:EA49))</f>
        <v>0</v>
      </c>
      <c r="L49" s="11"/>
      <c r="O49" s="12"/>
      <c r="P49" s="12"/>
      <c r="Q49" s="12"/>
      <c r="R49" s="12"/>
      <c r="V49" s="12"/>
      <c r="W49" s="12">
        <v>0.5</v>
      </c>
      <c r="X49" s="12"/>
      <c r="Y49" s="12"/>
      <c r="AC49" s="12"/>
      <c r="AD49" s="12">
        <v>0.5</v>
      </c>
      <c r="AE49" s="12"/>
      <c r="AF49" s="12"/>
      <c r="AJ49" s="12"/>
      <c r="AK49" s="12">
        <v>0.5</v>
      </c>
      <c r="AL49" s="12"/>
      <c r="AM49" s="12"/>
      <c r="AQ49" s="12"/>
      <c r="AR49" s="12">
        <v>0.5</v>
      </c>
      <c r="AS49" s="12"/>
      <c r="AT49" s="12"/>
      <c r="AX49" s="12"/>
      <c r="AY49" s="12">
        <v>0.8</v>
      </c>
      <c r="AZ49" s="12"/>
      <c r="BA49" s="12"/>
      <c r="BE49" s="12"/>
      <c r="BF49" s="12">
        <v>0.8</v>
      </c>
      <c r="BG49" s="12"/>
      <c r="BH49" s="12"/>
      <c r="BL49" s="12"/>
      <c r="BM49" s="12">
        <v>0.8</v>
      </c>
      <c r="BN49" s="12"/>
      <c r="BO49" s="12"/>
      <c r="BS49" s="12"/>
      <c r="BT49" s="12">
        <v>1</v>
      </c>
      <c r="BU49" s="12"/>
      <c r="BV49" s="12"/>
      <c r="BZ49" s="12"/>
      <c r="CA49" s="12">
        <v>1</v>
      </c>
      <c r="CB49" s="12"/>
      <c r="CC49" s="12"/>
      <c r="CG49" s="12"/>
      <c r="CH49" s="12"/>
      <c r="CI49" s="12"/>
      <c r="CJ49" s="12"/>
      <c r="CN49" s="12"/>
      <c r="CO49" s="12"/>
      <c r="CP49" s="12"/>
      <c r="CQ49" s="12"/>
      <c r="CU49" s="12"/>
      <c r="CV49" s="12"/>
      <c r="CW49" s="12"/>
      <c r="CX49" s="12"/>
      <c r="DB49" s="12"/>
      <c r="DC49" s="12">
        <v>1</v>
      </c>
      <c r="DD49" s="12"/>
      <c r="DE49" s="12"/>
    </row>
    <row r="50" spans="2:109" outlineLevel="1" x14ac:dyDescent="0.2">
      <c r="B50" t="s">
        <v>28</v>
      </c>
      <c r="C50" t="s">
        <v>102</v>
      </c>
      <c r="E50" s="11"/>
      <c r="F50" t="s">
        <v>117</v>
      </c>
      <c r="G50" s="12">
        <v>4.3499999999999997E-2</v>
      </c>
      <c r="I50" s="11">
        <f t="shared" si="2"/>
        <v>0</v>
      </c>
      <c r="J50" s="13" cm="1">
        <f t="array" ref="J50">MAX(IF($N$3:$EA$3=$J$3,N50:EA50))</f>
        <v>0</v>
      </c>
      <c r="K50" s="13" cm="1">
        <f t="array" ref="K50">MAX(IF($N$3:$EA$3=$J$3,N50:EA50))</f>
        <v>0</v>
      </c>
      <c r="L50" s="11"/>
      <c r="O50" s="12"/>
      <c r="P50" s="12"/>
      <c r="Q50" s="12"/>
      <c r="R50" s="12"/>
      <c r="V50" s="12"/>
      <c r="W50" s="12"/>
      <c r="X50" s="12"/>
      <c r="Y50" s="12"/>
      <c r="AC50" s="12"/>
      <c r="AD50" s="12">
        <v>0.5</v>
      </c>
      <c r="AE50" s="12"/>
      <c r="AF50" s="12"/>
      <c r="AJ50" s="12"/>
      <c r="AK50" s="12">
        <v>0.5</v>
      </c>
      <c r="AL50" s="12"/>
      <c r="AM50" s="12"/>
      <c r="AQ50" s="12"/>
      <c r="AR50" s="12">
        <v>0.5</v>
      </c>
      <c r="AS50" s="12"/>
      <c r="AT50" s="12"/>
      <c r="AX50" s="12"/>
      <c r="AY50" s="12">
        <v>0.8</v>
      </c>
      <c r="AZ50" s="12"/>
      <c r="BA50" s="12"/>
      <c r="BE50" s="12"/>
      <c r="BF50" s="12">
        <v>0.8</v>
      </c>
      <c r="BG50" s="12"/>
      <c r="BH50" s="12"/>
      <c r="BL50" s="12"/>
      <c r="BM50" s="12">
        <v>0.8</v>
      </c>
      <c r="BN50" s="12"/>
      <c r="BO50" s="12"/>
      <c r="BS50" s="12"/>
      <c r="BT50" s="12">
        <v>1</v>
      </c>
      <c r="BU50" s="12"/>
      <c r="BV50" s="12"/>
      <c r="BZ50" s="12"/>
      <c r="CA50" s="12">
        <v>1</v>
      </c>
      <c r="CB50" s="12"/>
      <c r="CC50" s="12"/>
      <c r="CG50" s="12"/>
      <c r="CH50" s="12"/>
      <c r="CI50" s="12"/>
      <c r="CJ50" s="12"/>
      <c r="CN50" s="12"/>
      <c r="CO50" s="12"/>
      <c r="CP50" s="12"/>
      <c r="CQ50" s="12"/>
      <c r="CU50" s="12"/>
      <c r="CV50" s="12"/>
      <c r="CW50" s="12"/>
      <c r="CX50" s="12"/>
      <c r="DB50" s="12"/>
      <c r="DC50" s="12">
        <v>1</v>
      </c>
      <c r="DD50" s="12"/>
      <c r="DE50" s="12"/>
    </row>
    <row r="51" spans="2:109" outlineLevel="1" x14ac:dyDescent="0.2">
      <c r="B51" t="s">
        <v>28</v>
      </c>
      <c r="C51" t="s">
        <v>102</v>
      </c>
      <c r="E51" s="11"/>
      <c r="F51" t="s">
        <v>118</v>
      </c>
      <c r="G51" s="12">
        <v>4.3499999999999997E-2</v>
      </c>
      <c r="I51" s="11">
        <f t="shared" si="2"/>
        <v>0</v>
      </c>
      <c r="J51" s="13" cm="1">
        <f t="array" ref="J51">MAX(IF($N$3:$EA$3=$J$3,N51:EA51))</f>
        <v>0</v>
      </c>
      <c r="K51" s="13" cm="1">
        <f t="array" ref="K51">MAX(IF($N$3:$EA$3=$J$3,N51:EA51))</f>
        <v>0</v>
      </c>
      <c r="L51" s="11"/>
      <c r="O51" s="12"/>
      <c r="P51" s="12"/>
      <c r="Q51" s="12"/>
      <c r="R51" s="12"/>
      <c r="V51" s="12"/>
      <c r="W51" s="12"/>
      <c r="X51" s="12"/>
      <c r="Y51" s="12"/>
      <c r="AC51" s="12"/>
      <c r="AD51" s="12">
        <v>0.5</v>
      </c>
      <c r="AE51" s="12"/>
      <c r="AF51" s="12"/>
      <c r="AJ51" s="12"/>
      <c r="AK51" s="12">
        <v>0.5</v>
      </c>
      <c r="AL51" s="12"/>
      <c r="AM51" s="12"/>
      <c r="AQ51" s="12"/>
      <c r="AR51" s="12">
        <v>0.5</v>
      </c>
      <c r="AS51" s="12"/>
      <c r="AT51" s="12"/>
      <c r="AX51" s="12"/>
      <c r="AY51" s="12">
        <v>0.8</v>
      </c>
      <c r="AZ51" s="12"/>
      <c r="BA51" s="12"/>
      <c r="BE51" s="12"/>
      <c r="BF51" s="12">
        <v>0.8</v>
      </c>
      <c r="BG51" s="12"/>
      <c r="BH51" s="12"/>
      <c r="BL51" s="12"/>
      <c r="BM51" s="12">
        <v>0.8</v>
      </c>
      <c r="BN51" s="12"/>
      <c r="BO51" s="12"/>
      <c r="BS51" s="12"/>
      <c r="BT51" s="12">
        <v>1</v>
      </c>
      <c r="BU51" s="12"/>
      <c r="BV51" s="12"/>
      <c r="BZ51" s="12"/>
      <c r="CA51" s="12">
        <v>1</v>
      </c>
      <c r="CB51" s="12"/>
      <c r="CC51" s="12"/>
      <c r="CG51" s="12"/>
      <c r="CH51" s="12"/>
      <c r="CI51" s="12"/>
      <c r="CJ51" s="12"/>
      <c r="CN51" s="12"/>
      <c r="CO51" s="12"/>
      <c r="CP51" s="12"/>
      <c r="CQ51" s="12"/>
      <c r="CU51" s="12"/>
      <c r="CV51" s="12"/>
      <c r="CW51" s="12"/>
      <c r="CX51" s="12"/>
      <c r="DB51" s="12"/>
      <c r="DC51" s="12">
        <v>1</v>
      </c>
      <c r="DD51" s="12"/>
      <c r="DE51" s="12"/>
    </row>
    <row r="52" spans="2:109" outlineLevel="1" x14ac:dyDescent="0.2">
      <c r="B52" t="s">
        <v>28</v>
      </c>
      <c r="C52" t="s">
        <v>102</v>
      </c>
      <c r="E52" s="11"/>
      <c r="F52" t="s">
        <v>119</v>
      </c>
      <c r="G52" s="12">
        <v>4.3499999999999997E-2</v>
      </c>
      <c r="I52" s="11">
        <f t="shared" si="2"/>
        <v>0</v>
      </c>
      <c r="J52" s="13" cm="1">
        <f t="array" ref="J52">MAX(IF($N$3:$EA$3=$J$3,N52:EA52))</f>
        <v>0</v>
      </c>
      <c r="K52" s="13" cm="1">
        <f t="array" ref="K52">MAX(IF($N$3:$EA$3=$J$3,N52:EA52))</f>
        <v>0</v>
      </c>
      <c r="L52" s="11"/>
      <c r="O52" s="12"/>
      <c r="P52" s="12"/>
      <c r="Q52" s="12"/>
      <c r="R52" s="12"/>
      <c r="V52" s="12"/>
      <c r="W52" s="12"/>
      <c r="X52" s="12"/>
      <c r="Y52" s="12"/>
      <c r="AC52" s="12"/>
      <c r="AD52" s="12">
        <v>0.5</v>
      </c>
      <c r="AE52" s="12"/>
      <c r="AF52" s="12"/>
      <c r="AJ52" s="12"/>
      <c r="AK52" s="12">
        <v>0.5</v>
      </c>
      <c r="AL52" s="12"/>
      <c r="AM52" s="12"/>
      <c r="AQ52" s="12"/>
      <c r="AR52" s="12">
        <v>0.5</v>
      </c>
      <c r="AS52" s="12"/>
      <c r="AT52" s="12"/>
      <c r="AX52" s="12"/>
      <c r="AY52" s="12">
        <v>0.5</v>
      </c>
      <c r="AZ52" s="12"/>
      <c r="BA52" s="12"/>
      <c r="BE52" s="12"/>
      <c r="BF52" s="12">
        <v>0.8</v>
      </c>
      <c r="BG52" s="12"/>
      <c r="BH52" s="12"/>
      <c r="BL52" s="12"/>
      <c r="BM52" s="12">
        <v>0.8</v>
      </c>
      <c r="BN52" s="12"/>
      <c r="BO52" s="12"/>
      <c r="BS52" s="12"/>
      <c r="BT52" s="12">
        <v>1</v>
      </c>
      <c r="BU52" s="12"/>
      <c r="BV52" s="12"/>
      <c r="BZ52" s="12"/>
      <c r="CA52" s="12">
        <v>1</v>
      </c>
      <c r="CB52" s="12"/>
      <c r="CC52" s="12"/>
      <c r="CG52" s="12"/>
      <c r="CH52" s="12"/>
      <c r="CI52" s="12"/>
      <c r="CJ52" s="12"/>
      <c r="CN52" s="12"/>
      <c r="CO52" s="12"/>
      <c r="CP52" s="12"/>
      <c r="CQ52" s="12"/>
      <c r="CU52" s="12"/>
      <c r="CV52" s="12"/>
      <c r="CW52" s="12"/>
      <c r="CX52" s="12"/>
      <c r="DB52" s="12"/>
      <c r="DC52" s="12">
        <v>1</v>
      </c>
      <c r="DD52" s="12"/>
      <c r="DE52" s="12"/>
    </row>
    <row r="53" spans="2:109" outlineLevel="1" x14ac:dyDescent="0.2">
      <c r="B53" t="s">
        <v>28</v>
      </c>
      <c r="C53" t="s">
        <v>102</v>
      </c>
      <c r="E53" s="11"/>
      <c r="F53" t="s">
        <v>120</v>
      </c>
      <c r="G53" s="12">
        <v>4.3499999999999997E-2</v>
      </c>
      <c r="I53" s="11">
        <f t="shared" si="2"/>
        <v>0</v>
      </c>
      <c r="J53" s="13" cm="1">
        <f t="array" ref="J53">MAX(IF($N$3:$EA$3=$J$3,N53:EA53))</f>
        <v>0</v>
      </c>
      <c r="K53" s="13" cm="1">
        <f t="array" ref="K53">MAX(IF($N$3:$EA$3=$J$3,N53:EA53))</f>
        <v>0</v>
      </c>
      <c r="L53" s="11"/>
      <c r="O53" s="12"/>
      <c r="P53" s="12"/>
      <c r="Q53" s="12"/>
      <c r="R53" s="12"/>
      <c r="V53" s="12"/>
      <c r="W53" s="12"/>
      <c r="X53" s="12"/>
      <c r="Y53" s="12"/>
      <c r="AC53" s="12"/>
      <c r="AD53" s="12"/>
      <c r="AE53" s="12"/>
      <c r="AF53" s="12"/>
      <c r="AJ53" s="12"/>
      <c r="AK53" s="12">
        <v>0.5</v>
      </c>
      <c r="AL53" s="12"/>
      <c r="AM53" s="12"/>
      <c r="AQ53" s="12"/>
      <c r="AR53" s="12">
        <v>0.5</v>
      </c>
      <c r="AS53" s="12"/>
      <c r="AT53" s="12"/>
      <c r="AX53" s="12"/>
      <c r="AY53" s="12">
        <v>0.5</v>
      </c>
      <c r="AZ53" s="12"/>
      <c r="BA53" s="12"/>
      <c r="BE53" s="12"/>
      <c r="BF53" s="12">
        <v>0.8</v>
      </c>
      <c r="BG53" s="12"/>
      <c r="BH53" s="12"/>
      <c r="BL53" s="12"/>
      <c r="BM53" s="12">
        <v>0.8</v>
      </c>
      <c r="BN53" s="12"/>
      <c r="BO53" s="12"/>
      <c r="BS53" s="12"/>
      <c r="BT53" s="12">
        <v>1</v>
      </c>
      <c r="BU53" s="12"/>
      <c r="BV53" s="12"/>
      <c r="BZ53" s="12"/>
      <c r="CA53" s="12">
        <v>1</v>
      </c>
      <c r="CB53" s="12"/>
      <c r="CC53" s="12"/>
      <c r="CG53" s="12"/>
      <c r="CH53" s="12"/>
      <c r="CI53" s="12"/>
      <c r="CJ53" s="12"/>
      <c r="CN53" s="12"/>
      <c r="CO53" s="12"/>
      <c r="CP53" s="12"/>
      <c r="CQ53" s="12"/>
      <c r="CU53" s="12"/>
      <c r="CV53" s="12"/>
      <c r="CW53" s="12"/>
      <c r="CX53" s="12"/>
      <c r="DB53" s="12"/>
      <c r="DC53" s="12">
        <v>1</v>
      </c>
      <c r="DD53" s="12"/>
      <c r="DE53" s="12"/>
    </row>
    <row r="54" spans="2:109" outlineLevel="1" x14ac:dyDescent="0.2">
      <c r="B54" t="s">
        <v>28</v>
      </c>
      <c r="C54" t="s">
        <v>102</v>
      </c>
      <c r="E54" s="11"/>
      <c r="F54" t="s">
        <v>121</v>
      </c>
      <c r="G54" s="12">
        <v>4.3499999999999997E-2</v>
      </c>
      <c r="I54" s="11">
        <f t="shared" si="2"/>
        <v>0</v>
      </c>
      <c r="J54" s="13" cm="1">
        <f t="array" ref="J54">MAX(IF($N$3:$EA$3=$J$3,N54:EA54))</f>
        <v>0</v>
      </c>
      <c r="K54" s="13" cm="1">
        <f t="array" ref="K54">MAX(IF($N$3:$EA$3=$J$3,N54:EA54))</f>
        <v>0</v>
      </c>
      <c r="L54" s="11"/>
      <c r="O54" s="12"/>
      <c r="P54" s="12"/>
      <c r="Q54" s="12"/>
      <c r="R54" s="12"/>
      <c r="V54" s="12"/>
      <c r="W54" s="12"/>
      <c r="X54" s="12"/>
      <c r="Y54" s="12"/>
      <c r="AC54" s="12"/>
      <c r="AD54" s="12"/>
      <c r="AE54" s="12"/>
      <c r="AF54" s="12"/>
      <c r="AJ54" s="12"/>
      <c r="AK54" s="12">
        <v>0.5</v>
      </c>
      <c r="AL54" s="12"/>
      <c r="AM54" s="12"/>
      <c r="AQ54" s="12"/>
      <c r="AR54" s="12">
        <v>0.5</v>
      </c>
      <c r="AS54" s="12"/>
      <c r="AT54" s="12"/>
      <c r="AX54" s="12"/>
      <c r="AY54" s="12">
        <v>0.5</v>
      </c>
      <c r="AZ54" s="12"/>
      <c r="BA54" s="12"/>
      <c r="BE54" s="12"/>
      <c r="BF54" s="12">
        <v>0.8</v>
      </c>
      <c r="BG54" s="12"/>
      <c r="BH54" s="12"/>
      <c r="BL54" s="12"/>
      <c r="BM54" s="12">
        <v>0.8</v>
      </c>
      <c r="BN54" s="12"/>
      <c r="BO54" s="12"/>
      <c r="BS54" s="12"/>
      <c r="BT54" s="12">
        <v>0.8</v>
      </c>
      <c r="BU54" s="12"/>
      <c r="BV54" s="12"/>
      <c r="BZ54" s="12"/>
      <c r="CA54" s="12">
        <v>1</v>
      </c>
      <c r="CB54" s="12"/>
      <c r="CC54" s="12"/>
      <c r="CG54" s="12"/>
      <c r="CH54" s="12"/>
      <c r="CI54" s="12"/>
      <c r="CJ54" s="12"/>
      <c r="CN54" s="12"/>
      <c r="CO54" s="12"/>
      <c r="CP54" s="12"/>
      <c r="CQ54" s="12"/>
      <c r="CU54" s="12"/>
      <c r="CV54" s="12"/>
      <c r="CW54" s="12"/>
      <c r="CX54" s="12"/>
      <c r="DB54" s="12"/>
      <c r="DC54" s="12">
        <v>1</v>
      </c>
      <c r="DD54" s="12"/>
      <c r="DE54" s="12"/>
    </row>
    <row r="55" spans="2:109" outlineLevel="1" x14ac:dyDescent="0.2">
      <c r="B55" t="s">
        <v>28</v>
      </c>
      <c r="C55" t="s">
        <v>102</v>
      </c>
      <c r="E55" s="11"/>
      <c r="F55" t="s">
        <v>122</v>
      </c>
      <c r="G55" s="12">
        <v>4.3499999999999997E-2</v>
      </c>
      <c r="I55" s="11">
        <f t="shared" si="2"/>
        <v>0</v>
      </c>
      <c r="J55" s="13" cm="1">
        <f t="array" ref="J55">MAX(IF($N$3:$EA$3=$J$3,N55:EA55))</f>
        <v>0</v>
      </c>
      <c r="K55" s="13" cm="1">
        <f t="array" ref="K55">MAX(IF($N$3:$EA$3=$J$3,N55:EA55))</f>
        <v>0</v>
      </c>
      <c r="L55" s="11"/>
      <c r="O55" s="12"/>
      <c r="P55" s="12"/>
      <c r="Q55" s="12"/>
      <c r="R55" s="12"/>
      <c r="V55" s="12"/>
      <c r="W55" s="12"/>
      <c r="X55" s="12"/>
      <c r="Y55" s="12"/>
      <c r="AC55" s="12"/>
      <c r="AD55" s="12"/>
      <c r="AE55" s="12"/>
      <c r="AF55" s="12"/>
      <c r="AJ55" s="12"/>
      <c r="AK55" s="12">
        <v>0.5</v>
      </c>
      <c r="AL55" s="12"/>
      <c r="AM55" s="12"/>
      <c r="AQ55" s="12"/>
      <c r="AR55" s="12">
        <v>0.5</v>
      </c>
      <c r="AS55" s="12"/>
      <c r="AT55" s="12"/>
      <c r="AX55" s="12"/>
      <c r="AY55" s="12">
        <v>0.5</v>
      </c>
      <c r="AZ55" s="12"/>
      <c r="BA55" s="12"/>
      <c r="BE55" s="12"/>
      <c r="BF55" s="12">
        <v>0.8</v>
      </c>
      <c r="BG55" s="12"/>
      <c r="BH55" s="12"/>
      <c r="BL55" s="12"/>
      <c r="BM55" s="12">
        <v>0.8</v>
      </c>
      <c r="BN55" s="12"/>
      <c r="BO55" s="12"/>
      <c r="BS55" s="12"/>
      <c r="BT55" s="12">
        <v>0.8</v>
      </c>
      <c r="BU55" s="12"/>
      <c r="BV55" s="12"/>
      <c r="BZ55" s="12"/>
      <c r="CA55" s="12">
        <v>1</v>
      </c>
      <c r="CB55" s="12"/>
      <c r="CC55" s="12"/>
      <c r="CG55" s="12"/>
      <c r="CH55" s="12"/>
      <c r="CI55" s="12"/>
      <c r="CJ55" s="12"/>
      <c r="CN55" s="12"/>
      <c r="CO55" s="12"/>
      <c r="CP55" s="12"/>
      <c r="CQ55" s="12"/>
      <c r="CU55" s="12"/>
      <c r="CV55" s="12"/>
      <c r="CW55" s="12"/>
      <c r="CX55" s="12"/>
      <c r="DB55" s="12"/>
      <c r="DC55" s="12">
        <v>1</v>
      </c>
      <c r="DD55" s="12"/>
      <c r="DE55" s="12"/>
    </row>
    <row r="56" spans="2:109" outlineLevel="1" x14ac:dyDescent="0.2">
      <c r="B56" t="s">
        <v>28</v>
      </c>
      <c r="C56" t="s">
        <v>102</v>
      </c>
      <c r="E56" s="11"/>
      <c r="F56" t="s">
        <v>123</v>
      </c>
      <c r="G56" s="12">
        <v>4.3499999999999997E-2</v>
      </c>
      <c r="I56" s="11">
        <f t="shared" si="2"/>
        <v>0</v>
      </c>
      <c r="J56" s="13" cm="1">
        <f t="array" ref="J56">MAX(IF($N$3:$EA$3=$J$3,N56:EA56))</f>
        <v>0</v>
      </c>
      <c r="K56" s="13" cm="1">
        <f t="array" ref="K56">MAX(IF($N$3:$EA$3=$J$3,N56:EA56))</f>
        <v>0</v>
      </c>
      <c r="L56" s="11"/>
      <c r="O56" s="12"/>
      <c r="P56" s="12"/>
      <c r="Q56" s="12"/>
      <c r="R56" s="12"/>
      <c r="V56" s="12"/>
      <c r="W56" s="12"/>
      <c r="X56" s="12"/>
      <c r="Y56" s="12"/>
      <c r="AC56" s="12"/>
      <c r="AD56" s="12"/>
      <c r="AE56" s="12"/>
      <c r="AF56" s="12"/>
      <c r="AJ56" s="12"/>
      <c r="AK56" s="12"/>
      <c r="AL56" s="12"/>
      <c r="AM56" s="12"/>
      <c r="AQ56" s="12"/>
      <c r="AR56" s="12">
        <v>0.5</v>
      </c>
      <c r="AS56" s="12"/>
      <c r="AT56" s="12"/>
      <c r="AX56" s="12"/>
      <c r="AY56" s="12">
        <v>0.5</v>
      </c>
      <c r="AZ56" s="12"/>
      <c r="BA56" s="12"/>
      <c r="BE56" s="12"/>
      <c r="BF56" s="12">
        <v>0.5</v>
      </c>
      <c r="BG56" s="12"/>
      <c r="BH56" s="12"/>
      <c r="BL56" s="12"/>
      <c r="BM56" s="12">
        <v>0.8</v>
      </c>
      <c r="BN56" s="12"/>
      <c r="BO56" s="12"/>
      <c r="BS56" s="12"/>
      <c r="BT56" s="12">
        <v>0.8</v>
      </c>
      <c r="BU56" s="12"/>
      <c r="BV56" s="12"/>
      <c r="BZ56" s="12"/>
      <c r="CA56" s="12">
        <v>1</v>
      </c>
      <c r="CB56" s="12"/>
      <c r="CC56" s="12"/>
      <c r="CG56" s="12"/>
      <c r="CH56" s="12"/>
      <c r="CI56" s="12"/>
      <c r="CJ56" s="12"/>
      <c r="CN56" s="12"/>
      <c r="CO56" s="12"/>
      <c r="CP56" s="12"/>
      <c r="CQ56" s="12"/>
      <c r="CU56" s="12"/>
      <c r="CV56" s="12"/>
      <c r="CW56" s="12"/>
      <c r="CX56" s="12"/>
      <c r="DB56" s="12"/>
      <c r="DC56" s="12">
        <v>1</v>
      </c>
      <c r="DD56" s="12"/>
      <c r="DE56" s="12"/>
    </row>
    <row r="57" spans="2:109" outlineLevel="1" x14ac:dyDescent="0.2">
      <c r="B57" t="s">
        <v>28</v>
      </c>
      <c r="C57" t="s">
        <v>102</v>
      </c>
      <c r="E57" s="11"/>
      <c r="F57" t="s">
        <v>124</v>
      </c>
      <c r="G57" s="12">
        <v>4.3499999999999997E-2</v>
      </c>
      <c r="I57" s="11">
        <f t="shared" si="2"/>
        <v>0</v>
      </c>
      <c r="J57" s="13" cm="1">
        <f t="array" ref="J57">MAX(IF($N$3:$EA$3=$J$3,N57:EA57))</f>
        <v>0</v>
      </c>
      <c r="K57" s="13" cm="1">
        <f t="array" ref="K57">MAX(IF($N$3:$EA$3=$J$3,N57:EA57))</f>
        <v>0</v>
      </c>
      <c r="L57" s="11"/>
      <c r="O57" s="12"/>
      <c r="P57" s="12"/>
      <c r="Q57" s="12"/>
      <c r="R57" s="12"/>
      <c r="V57" s="12"/>
      <c r="W57" s="12"/>
      <c r="X57" s="12"/>
      <c r="Y57" s="12"/>
      <c r="AC57" s="12"/>
      <c r="AD57" s="12"/>
      <c r="AE57" s="12"/>
      <c r="AF57" s="12"/>
      <c r="AJ57" s="12"/>
      <c r="AK57" s="12"/>
      <c r="AL57" s="12"/>
      <c r="AM57" s="12"/>
      <c r="AQ57" s="12"/>
      <c r="AR57" s="12">
        <v>0.5</v>
      </c>
      <c r="AS57" s="12"/>
      <c r="AT57" s="12"/>
      <c r="AX57" s="12"/>
      <c r="AY57" s="12">
        <v>0.5</v>
      </c>
      <c r="AZ57" s="12"/>
      <c r="BA57" s="12"/>
      <c r="BE57" s="12"/>
      <c r="BF57" s="12">
        <v>0.5</v>
      </c>
      <c r="BG57" s="12"/>
      <c r="BH57" s="12"/>
      <c r="BL57" s="12"/>
      <c r="BM57" s="12">
        <v>0.8</v>
      </c>
      <c r="BN57" s="12"/>
      <c r="BO57" s="12"/>
      <c r="BS57" s="12"/>
      <c r="BT57" s="12">
        <v>0.8</v>
      </c>
      <c r="BU57" s="12"/>
      <c r="BV57" s="12"/>
      <c r="BZ57" s="12"/>
      <c r="CA57" s="12">
        <v>1</v>
      </c>
      <c r="CB57" s="12"/>
      <c r="CC57" s="12"/>
      <c r="CG57" s="12"/>
      <c r="CH57" s="12"/>
      <c r="CI57" s="12"/>
      <c r="CJ57" s="12"/>
      <c r="CN57" s="12"/>
      <c r="CO57" s="12"/>
      <c r="CP57" s="12"/>
      <c r="CQ57" s="12"/>
      <c r="CU57" s="12"/>
      <c r="CV57" s="12"/>
      <c r="CW57" s="12"/>
      <c r="CX57" s="12"/>
      <c r="DB57" s="12"/>
      <c r="DC57" s="12">
        <v>1</v>
      </c>
      <c r="DD57" s="12"/>
      <c r="DE57" s="12"/>
    </row>
    <row r="58" spans="2:109" outlineLevel="1" x14ac:dyDescent="0.2">
      <c r="B58" t="s">
        <v>28</v>
      </c>
      <c r="C58" t="s">
        <v>102</v>
      </c>
      <c r="E58" s="11"/>
      <c r="F58" t="s">
        <v>126</v>
      </c>
      <c r="G58" s="12">
        <v>4.3499999999999997E-2</v>
      </c>
      <c r="I58" s="11">
        <f t="shared" si="2"/>
        <v>0</v>
      </c>
      <c r="J58" s="13" cm="1">
        <f t="array" ref="J58">MAX(IF($N$3:$EA$3=$J$3,N58:EA58))</f>
        <v>0</v>
      </c>
      <c r="K58" s="13" cm="1">
        <f t="array" ref="K58">MAX(IF($N$3:$EA$3=$J$3,N58:EA58))</f>
        <v>0</v>
      </c>
      <c r="L58" s="11"/>
      <c r="O58" s="12"/>
      <c r="P58" s="12"/>
      <c r="Q58" s="12"/>
      <c r="R58" s="12"/>
      <c r="V58" s="12"/>
      <c r="W58" s="12"/>
      <c r="X58" s="12"/>
      <c r="Y58" s="12"/>
      <c r="AC58" s="12"/>
      <c r="AD58" s="12"/>
      <c r="AE58" s="12"/>
      <c r="AF58" s="12"/>
      <c r="AJ58" s="12"/>
      <c r="AK58" s="12"/>
      <c r="AL58" s="12"/>
      <c r="AM58" s="12"/>
      <c r="AQ58" s="12"/>
      <c r="AR58" s="12">
        <v>0.5</v>
      </c>
      <c r="AS58" s="12"/>
      <c r="AT58" s="12"/>
      <c r="AX58" s="12"/>
      <c r="AY58" s="12">
        <v>0.5</v>
      </c>
      <c r="AZ58" s="12"/>
      <c r="BA58" s="12"/>
      <c r="BE58" s="12"/>
      <c r="BF58" s="12">
        <v>0.5</v>
      </c>
      <c r="BG58" s="12"/>
      <c r="BH58" s="12"/>
      <c r="BL58" s="12"/>
      <c r="BM58" s="12">
        <v>0.8</v>
      </c>
      <c r="BN58" s="12"/>
      <c r="BO58" s="12"/>
      <c r="BS58" s="12"/>
      <c r="BT58" s="12">
        <v>0.8</v>
      </c>
      <c r="BU58" s="12"/>
      <c r="BV58" s="12"/>
      <c r="BZ58" s="12"/>
      <c r="CA58" s="12">
        <v>1</v>
      </c>
      <c r="CB58" s="12"/>
      <c r="CC58" s="12"/>
      <c r="CG58" s="12"/>
      <c r="CH58" s="12"/>
      <c r="CI58" s="12"/>
      <c r="CJ58" s="12"/>
      <c r="CN58" s="12"/>
      <c r="CO58" s="12"/>
      <c r="CP58" s="12"/>
      <c r="CQ58" s="12"/>
      <c r="CU58" s="12"/>
      <c r="CV58" s="12"/>
      <c r="CW58" s="12"/>
      <c r="CX58" s="12"/>
      <c r="DB58" s="12"/>
      <c r="DC58" s="12">
        <v>1</v>
      </c>
      <c r="DD58" s="12"/>
      <c r="DE58" s="12"/>
    </row>
    <row r="59" spans="2:109" outlineLevel="1" x14ac:dyDescent="0.2">
      <c r="B59" t="s">
        <v>28</v>
      </c>
      <c r="C59" t="s">
        <v>102</v>
      </c>
      <c r="E59" s="11"/>
      <c r="F59" t="s">
        <v>125</v>
      </c>
      <c r="G59" s="12">
        <v>4.3499999999999997E-2</v>
      </c>
      <c r="I59" s="11">
        <f t="shared" si="2"/>
        <v>0</v>
      </c>
      <c r="J59" s="13" cm="1">
        <f t="array" ref="J59">MAX(IF($N$3:$EA$3=$J$3,N59:EA59))</f>
        <v>0</v>
      </c>
      <c r="K59" s="13" cm="1">
        <f t="array" ref="K59">MAX(IF($N$3:$EA$3=$J$3,N59:EA59))</f>
        <v>0</v>
      </c>
      <c r="L59" s="11"/>
      <c r="O59" s="12"/>
      <c r="P59" s="12"/>
      <c r="Q59" s="12"/>
      <c r="R59" s="12"/>
      <c r="V59" s="12"/>
      <c r="W59" s="12"/>
      <c r="X59" s="12"/>
      <c r="Y59" s="12"/>
      <c r="AC59" s="12"/>
      <c r="AD59" s="12"/>
      <c r="AE59" s="12"/>
      <c r="AF59" s="12"/>
      <c r="AJ59" s="12"/>
      <c r="AK59" s="12"/>
      <c r="AL59" s="12"/>
      <c r="AM59" s="12"/>
      <c r="AQ59" s="12"/>
      <c r="AR59" s="12">
        <v>0.5</v>
      </c>
      <c r="AS59" s="12"/>
      <c r="AT59" s="12"/>
      <c r="AX59" s="12"/>
      <c r="AY59" s="12">
        <v>0.5</v>
      </c>
      <c r="AZ59" s="12"/>
      <c r="BA59" s="12"/>
      <c r="BE59" s="12"/>
      <c r="BF59" s="12">
        <v>0.5</v>
      </c>
      <c r="BG59" s="12"/>
      <c r="BH59" s="12"/>
      <c r="BL59" s="12"/>
      <c r="BM59" s="12">
        <v>0.8</v>
      </c>
      <c r="BN59" s="12"/>
      <c r="BO59" s="12"/>
      <c r="BS59" s="12"/>
      <c r="BT59" s="12">
        <v>0.8</v>
      </c>
      <c r="BU59" s="12"/>
      <c r="BV59" s="12"/>
      <c r="BZ59" s="12"/>
      <c r="CA59" s="12">
        <v>1</v>
      </c>
      <c r="CB59" s="12"/>
      <c r="CC59" s="12"/>
      <c r="CG59" s="12"/>
      <c r="CH59" s="12"/>
      <c r="CI59" s="12"/>
      <c r="CJ59" s="12"/>
      <c r="CN59" s="12"/>
      <c r="CO59" s="12"/>
      <c r="CP59" s="12"/>
      <c r="CQ59" s="12"/>
      <c r="CU59" s="12"/>
      <c r="CV59" s="12"/>
      <c r="CW59" s="12"/>
      <c r="CX59" s="12"/>
      <c r="DB59" s="12"/>
      <c r="DC59" s="12">
        <v>1</v>
      </c>
      <c r="DD59" s="12"/>
      <c r="DE59" s="12"/>
    </row>
    <row r="65" spans="6:6" x14ac:dyDescent="0.2">
      <c r="F65" t="s">
        <v>127</v>
      </c>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E5:BE17 BG5:BG17 AC39:AC59 AE39:AE59 AQ39:AQ59 AS39:AS59 AZ39:AZ59 Q39:Q59 O39:O59 X39:X59 V39:V59 AL39:AL59 AJ39:AJ59 AX39:AX59 BG39:BG59 BE39:BE59 BU5:BU15">
    <cfRule type="expression" dxfId="248" priority="613">
      <formula>OR(IF(O5&lt;P5,TRUE),IF(AND(P5="",O5&lt;&gt;""),TRUE))</formula>
    </cfRule>
    <cfRule type="expression" dxfId="247" priority="614">
      <formula>IF(O5&gt;=P5,IF(O5="",FALSE,TRUE))</formula>
    </cfRule>
  </conditionalFormatting>
  <conditionalFormatting sqref="AJ20 AL20 AL23:AL33 AJ23:AJ33">
    <cfRule type="expression" dxfId="246" priority="480">
      <formula>OR(IF(AJ20&lt;AK20,TRUE),IF(AND(AK20="",AJ20&lt;&gt;""),TRUE))</formula>
    </cfRule>
    <cfRule type="expression" dxfId="245" priority="481">
      <formula>IF(AJ20&gt;=AK20,IF(AJ20="",FALSE,TRUE))</formula>
    </cfRule>
  </conditionalFormatting>
  <conditionalFormatting sqref="AS34">
    <cfRule type="expression" dxfId="244" priority="454">
      <formula>OR(IF(AS34&lt;AT34,TRUE),IF(AND(AT34="",AS34&lt;&gt;""),TRUE))</formula>
    </cfRule>
    <cfRule type="expression" dxfId="243" priority="455">
      <formula>IF(AS34&gt;=AT34,IF(AS34="",FALSE,TRUE))</formula>
    </cfRule>
  </conditionalFormatting>
  <conditionalFormatting sqref="AX20 AZ20 AZ23:AZ33 AX23:AX33">
    <cfRule type="expression" dxfId="242" priority="448">
      <formula>OR(IF(AX20&lt;AY20,TRUE),IF(AND(AY20="",AX20&lt;&gt;""),TRUE))</formula>
    </cfRule>
    <cfRule type="expression" dxfId="241" priority="449">
      <formula>IF(AX20&gt;=AY20,IF(AX20="",FALSE,TRUE))</formula>
    </cfRule>
  </conditionalFormatting>
  <conditionalFormatting sqref="AX37:AX38">
    <cfRule type="expression" dxfId="240" priority="444">
      <formula>OR(IF(AX37&lt;AY37,TRUE),IF(AND(AY37="",AX37&lt;&gt;""),TRUE))</formula>
    </cfRule>
    <cfRule type="expression" dxfId="239" priority="445">
      <formula>IF(AX37&gt;=AY37,IF(AX37="",FALSE,TRUE))</formula>
    </cfRule>
  </conditionalFormatting>
  <conditionalFormatting sqref="Q20 Q23:Q33 O20:O33">
    <cfRule type="expression" dxfId="238" priority="528">
      <formula>OR(IF(O20&lt;P20,TRUE),IF(AND(P20="",O20&lt;&gt;""),TRUE))</formula>
    </cfRule>
    <cfRule type="expression" dxfId="237" priority="529">
      <formula>IF(O20&gt;=P20,IF(O20="",FALSE,TRUE))</formula>
    </cfRule>
  </conditionalFormatting>
  <conditionalFormatting sqref="O37:O38">
    <cfRule type="expression" dxfId="236" priority="524">
      <formula>OR(IF(O37&lt;P37,TRUE),IF(AND(P37="",O37&lt;&gt;""),TRUE))</formula>
    </cfRule>
    <cfRule type="expression" dxfId="235" priority="525">
      <formula>IF(O37&gt;=P37,IF(O37="",FALSE,TRUE))</formula>
    </cfRule>
  </conditionalFormatting>
  <conditionalFormatting sqref="Q37:Q38">
    <cfRule type="expression" dxfId="234" priority="522">
      <formula>OR(IF(Q37&lt;R37,TRUE),IF(AND(R37="",Q37&lt;&gt;""),TRUE))</formula>
    </cfRule>
    <cfRule type="expression" dxfId="233" priority="523">
      <formula>IF(Q37&gt;=R37,IF(Q37="",FALSE,TRUE))</formula>
    </cfRule>
  </conditionalFormatting>
  <conditionalFormatting sqref="O34">
    <cfRule type="expression" dxfId="232" priority="520">
      <formula>OR(IF(O34&lt;P34,TRUE),IF(AND(P34="",O34&lt;&gt;""),TRUE))</formula>
    </cfRule>
    <cfRule type="expression" dxfId="231" priority="521">
      <formula>IF(O34&gt;=P34,IF(O34="",FALSE,TRUE))</formula>
    </cfRule>
  </conditionalFormatting>
  <conditionalFormatting sqref="Q34">
    <cfRule type="expression" dxfId="230" priority="518">
      <formula>OR(IF(Q34&lt;R34,TRUE),IF(AND(R34="",Q34&lt;&gt;""),TRUE))</formula>
    </cfRule>
    <cfRule type="expression" dxfId="229" priority="519">
      <formula>IF(Q34&gt;=R34,IF(Q34="",FALSE,TRUE))</formula>
    </cfRule>
  </conditionalFormatting>
  <conditionalFormatting sqref="V20 X20 X23:X33 V23:V33">
    <cfRule type="expression" dxfId="228" priority="512">
      <formula>OR(IF(V20&lt;W20,TRUE),IF(AND(W20="",V20&lt;&gt;""),TRUE))</formula>
    </cfRule>
    <cfRule type="expression" dxfId="227" priority="513">
      <formula>IF(V20&gt;=W20,IF(V20="",FALSE,TRUE))</formula>
    </cfRule>
  </conditionalFormatting>
  <conditionalFormatting sqref="V37:V38">
    <cfRule type="expression" dxfId="226" priority="508">
      <formula>OR(IF(V37&lt;W37,TRUE),IF(AND(W37="",V37&lt;&gt;""),TRUE))</formula>
    </cfRule>
    <cfRule type="expression" dxfId="225" priority="509">
      <formula>IF(V37&gt;=W37,IF(V37="",FALSE,TRUE))</formula>
    </cfRule>
  </conditionalFormatting>
  <conditionalFormatting sqref="X37:X38">
    <cfRule type="expression" dxfId="224" priority="506">
      <formula>OR(IF(X37&lt;Y37,TRUE),IF(AND(Y37="",X37&lt;&gt;""),TRUE))</formula>
    </cfRule>
    <cfRule type="expression" dxfId="223" priority="507">
      <formula>IF(X37&gt;=Y37,IF(X37="",FALSE,TRUE))</formula>
    </cfRule>
  </conditionalFormatting>
  <conditionalFormatting sqref="V34">
    <cfRule type="expression" dxfId="222" priority="504">
      <formula>OR(IF(V34&lt;W34,TRUE),IF(AND(W34="",V34&lt;&gt;""),TRUE))</formula>
    </cfRule>
    <cfRule type="expression" dxfId="221" priority="505">
      <formula>IF(V34&gt;=W34,IF(V34="",FALSE,TRUE))</formula>
    </cfRule>
  </conditionalFormatting>
  <conditionalFormatting sqref="X34">
    <cfRule type="expression" dxfId="220" priority="502">
      <formula>OR(IF(X34&lt;Y34,TRUE),IF(AND(Y34="",X34&lt;&gt;""),TRUE))</formula>
    </cfRule>
    <cfRule type="expression" dxfId="219" priority="503">
      <formula>IF(X34&gt;=Y34,IF(X34="",FALSE,TRUE))</formula>
    </cfRule>
  </conditionalFormatting>
  <conditionalFormatting sqref="AC20 AE20 AE23:AE33 AC23:AC33">
    <cfRule type="expression" dxfId="218" priority="496">
      <formula>OR(IF(AC20&lt;AD20,TRUE),IF(AND(AD20="",AC20&lt;&gt;""),TRUE))</formula>
    </cfRule>
    <cfRule type="expression" dxfId="217" priority="497">
      <formula>IF(AC20&gt;=AD20,IF(AC20="",FALSE,TRUE))</formula>
    </cfRule>
  </conditionalFormatting>
  <conditionalFormatting sqref="AC37:AC38">
    <cfRule type="expression" dxfId="216" priority="492">
      <formula>OR(IF(AC37&lt;AD37,TRUE),IF(AND(AD37="",AC37&lt;&gt;""),TRUE))</formula>
    </cfRule>
    <cfRule type="expression" dxfId="215" priority="493">
      <formula>IF(AC37&gt;=AD37,IF(AC37="",FALSE,TRUE))</formula>
    </cfRule>
  </conditionalFormatting>
  <conditionalFormatting sqref="AE37:AE38">
    <cfRule type="expression" dxfId="214" priority="490">
      <formula>OR(IF(AE37&lt;AF37,TRUE),IF(AND(AF37="",AE37&lt;&gt;""),TRUE))</formula>
    </cfRule>
    <cfRule type="expression" dxfId="213" priority="491">
      <formula>IF(AE37&gt;=AF37,IF(AE37="",FALSE,TRUE))</formula>
    </cfRule>
  </conditionalFormatting>
  <conditionalFormatting sqref="AC34">
    <cfRule type="expression" dxfId="212" priority="488">
      <formula>OR(IF(AC34&lt;AD34,TRUE),IF(AND(AD34="",AC34&lt;&gt;""),TRUE))</formula>
    </cfRule>
    <cfRule type="expression" dxfId="211" priority="489">
      <formula>IF(AC34&gt;=AD34,IF(AC34="",FALSE,TRUE))</formula>
    </cfRule>
  </conditionalFormatting>
  <conditionalFormatting sqref="AE34">
    <cfRule type="expression" dxfId="210" priority="486">
      <formula>OR(IF(AE34&lt;AF34,TRUE),IF(AND(AF34="",AE34&lt;&gt;""),TRUE))</formula>
    </cfRule>
    <cfRule type="expression" dxfId="209" priority="487">
      <formula>IF(AE34&gt;=AF34,IF(AE34="",FALSE,TRUE))</formula>
    </cfRule>
  </conditionalFormatting>
  <conditionalFormatting sqref="AJ37:AJ38">
    <cfRule type="expression" dxfId="208" priority="476">
      <formula>OR(IF(AJ37&lt;AK37,TRUE),IF(AND(AK37="",AJ37&lt;&gt;""),TRUE))</formula>
    </cfRule>
    <cfRule type="expression" dxfId="207" priority="477">
      <formula>IF(AJ37&gt;=AK37,IF(AJ37="",FALSE,TRUE))</formula>
    </cfRule>
  </conditionalFormatting>
  <conditionalFormatting sqref="AL37:AL38">
    <cfRule type="expression" dxfId="206" priority="474">
      <formula>OR(IF(AL37&lt;AM37,TRUE),IF(AND(AM37="",AL37&lt;&gt;""),TRUE))</formula>
    </cfRule>
    <cfRule type="expression" dxfId="205" priority="475">
      <formula>IF(AL37&gt;=AM37,IF(AL37="",FALSE,TRUE))</formula>
    </cfRule>
  </conditionalFormatting>
  <conditionalFormatting sqref="AJ34">
    <cfRule type="expression" dxfId="204" priority="472">
      <formula>OR(IF(AJ34&lt;AK34,TRUE),IF(AND(AK34="",AJ34&lt;&gt;""),TRUE))</formula>
    </cfRule>
    <cfRule type="expression" dxfId="203" priority="473">
      <formula>IF(AJ34&gt;=AK34,IF(AJ34="",FALSE,TRUE))</formula>
    </cfRule>
  </conditionalFormatting>
  <conditionalFormatting sqref="AL34">
    <cfRule type="expression" dxfId="202" priority="470">
      <formula>OR(IF(AL34&lt;AM34,TRUE),IF(AND(AM34="",AL34&lt;&gt;""),TRUE))</formula>
    </cfRule>
    <cfRule type="expression" dxfId="201" priority="471">
      <formula>IF(AL34&gt;=AM34,IF(AL34="",FALSE,TRUE))</formula>
    </cfRule>
  </conditionalFormatting>
  <conditionalFormatting sqref="AQ20 AS20 AS23:AS33 AQ23:AQ33">
    <cfRule type="expression" dxfId="200" priority="464">
      <formula>OR(IF(AQ20&lt;AR20,TRUE),IF(AND(AR20="",AQ20&lt;&gt;""),TRUE))</formula>
    </cfRule>
    <cfRule type="expression" dxfId="199" priority="465">
      <formula>IF(AQ20&gt;=AR20,IF(AQ20="",FALSE,TRUE))</formula>
    </cfRule>
  </conditionalFormatting>
  <conditionalFormatting sqref="AQ37:AQ38">
    <cfRule type="expression" dxfId="198" priority="460">
      <formula>OR(IF(AQ37&lt;AR37,TRUE),IF(AND(AR37="",AQ37&lt;&gt;""),TRUE))</formula>
    </cfRule>
    <cfRule type="expression" dxfId="197" priority="461">
      <formula>IF(AQ37&gt;=AR37,IF(AQ37="",FALSE,TRUE))</formula>
    </cfRule>
  </conditionalFormatting>
  <conditionalFormatting sqref="AS37:AS38">
    <cfRule type="expression" dxfId="196" priority="458">
      <formula>OR(IF(AS37&lt;AT37,TRUE),IF(AND(AT37="",AS37&lt;&gt;""),TRUE))</formula>
    </cfRule>
    <cfRule type="expression" dxfId="195" priority="459">
      <formula>IF(AS37&gt;=AT37,IF(AS37="",FALSE,TRUE))</formula>
    </cfRule>
  </conditionalFormatting>
  <conditionalFormatting sqref="AQ34">
    <cfRule type="expression" dxfId="194" priority="456">
      <formula>OR(IF(AQ34&lt;AR34,TRUE),IF(AND(AR34="",AQ34&lt;&gt;""),TRUE))</formula>
    </cfRule>
    <cfRule type="expression" dxfId="193" priority="457">
      <formula>IF(AQ34&gt;=AR34,IF(AQ34="",FALSE,TRUE))</formula>
    </cfRule>
  </conditionalFormatting>
  <conditionalFormatting sqref="AZ37:AZ38">
    <cfRule type="expression" dxfId="192" priority="442">
      <formula>OR(IF(AZ37&lt;BA37,TRUE),IF(AND(BA37="",AZ37&lt;&gt;""),TRUE))</formula>
    </cfRule>
    <cfRule type="expression" dxfId="191" priority="443">
      <formula>IF(AZ37&gt;=BA37,IF(AZ37="",FALSE,TRUE))</formula>
    </cfRule>
  </conditionalFormatting>
  <conditionalFormatting sqref="AX34">
    <cfRule type="expression" dxfId="190" priority="440">
      <formula>OR(IF(AX34&lt;AY34,TRUE),IF(AND(AY34="",AX34&lt;&gt;""),TRUE))</formula>
    </cfRule>
    <cfRule type="expression" dxfId="189" priority="441">
      <formula>IF(AX34&gt;=AY34,IF(AX34="",FALSE,TRUE))</formula>
    </cfRule>
  </conditionalFormatting>
  <conditionalFormatting sqref="AZ34">
    <cfRule type="expression" dxfId="188" priority="438">
      <formula>OR(IF(AZ34&lt;BA34,TRUE),IF(AND(BA34="",AZ34&lt;&gt;""),TRUE))</formula>
    </cfRule>
    <cfRule type="expression" dxfId="187" priority="439">
      <formula>IF(AZ34&gt;=BA34,IF(AZ34="",FALSE,TRUE))</formula>
    </cfRule>
  </conditionalFormatting>
  <conditionalFormatting sqref="J23:K34">
    <cfRule type="colorScale" priority="428">
      <colorScale>
        <cfvo type="percent" val="0"/>
        <cfvo type="percent" val="100"/>
        <color rgb="FFFF231B"/>
        <color rgb="FF10FF07"/>
      </colorScale>
    </cfRule>
  </conditionalFormatting>
  <conditionalFormatting sqref="J23:J34 J20">
    <cfRule type="colorScale" priority="427">
      <colorScale>
        <cfvo type="percent" val="0"/>
        <cfvo type="percent" val="100"/>
        <color rgb="FFFF231B"/>
        <color rgb="FF10FF07"/>
      </colorScale>
    </cfRule>
  </conditionalFormatting>
  <conditionalFormatting sqref="K23:K34 K20">
    <cfRule type="colorScale" priority="426">
      <colorScale>
        <cfvo type="percent" val="0"/>
        <cfvo type="percent" val="100"/>
        <color rgb="FFFF231B"/>
        <color rgb="FF10FF07"/>
      </colorScale>
    </cfRule>
  </conditionalFormatting>
  <conditionalFormatting sqref="BE20 BG20 BG23:BG33 BE23:BE33">
    <cfRule type="expression" dxfId="186" priority="424">
      <formula>OR(IF(BE20&lt;BF20,TRUE),IF(AND(BF20="",BE20&lt;&gt;""),TRUE))</formula>
    </cfRule>
    <cfRule type="expression" dxfId="185" priority="425">
      <formula>IF(BE20&gt;=BF20,IF(BE20="",FALSE,TRUE))</formula>
    </cfRule>
  </conditionalFormatting>
  <conditionalFormatting sqref="BE37:BE38">
    <cfRule type="expression" dxfId="184" priority="420">
      <formula>OR(IF(BE37&lt;BF37,TRUE),IF(AND(BF37="",BE37&lt;&gt;""),TRUE))</formula>
    </cfRule>
    <cfRule type="expression" dxfId="183" priority="421">
      <formula>IF(BE37&gt;=BF37,IF(BE37="",FALSE,TRUE))</formula>
    </cfRule>
  </conditionalFormatting>
  <conditionalFormatting sqref="BG37:BG38">
    <cfRule type="expression" dxfId="182" priority="418">
      <formula>OR(IF(BG37&lt;BH37,TRUE),IF(AND(BH37="",BG37&lt;&gt;""),TRUE))</formula>
    </cfRule>
    <cfRule type="expression" dxfId="181" priority="419">
      <formula>IF(BG37&gt;=BH37,IF(BG37="",FALSE,TRUE))</formula>
    </cfRule>
  </conditionalFormatting>
  <conditionalFormatting sqref="BE34">
    <cfRule type="expression" dxfId="180" priority="416">
      <formula>OR(IF(BE34&lt;BF34,TRUE),IF(AND(BF34="",BE34&lt;&gt;""),TRUE))</formula>
    </cfRule>
    <cfRule type="expression" dxfId="179" priority="417">
      <formula>IF(BE34&gt;=BF34,IF(BE34="",FALSE,TRUE))</formula>
    </cfRule>
  </conditionalFormatting>
  <conditionalFormatting sqref="BG34">
    <cfRule type="expression" dxfId="178" priority="414">
      <formula>OR(IF(BG34&lt;BH34,TRUE),IF(AND(BH34="",BG34&lt;&gt;""),TRUE))</formula>
    </cfRule>
    <cfRule type="expression" dxfId="177" priority="415">
      <formula>IF(BG34&gt;=BH34,IF(BG34="",FALSE,TRUE))</formula>
    </cfRule>
  </conditionalFormatting>
  <conditionalFormatting sqref="J6:K17">
    <cfRule type="colorScale" priority="616">
      <colorScale>
        <cfvo type="percent" val="0"/>
        <cfvo type="percent" val="100"/>
        <color rgb="FFFF231B"/>
        <color rgb="FF10FF07"/>
      </colorScale>
    </cfRule>
  </conditionalFormatting>
  <conditionalFormatting sqref="J5:J17">
    <cfRule type="colorScale" priority="645">
      <colorScale>
        <cfvo type="percent" val="0"/>
        <cfvo type="percent" val="100"/>
        <color rgb="FFFF231B"/>
        <color rgb="FF10FF07"/>
      </colorScale>
    </cfRule>
  </conditionalFormatting>
  <conditionalFormatting sqref="K5:K17">
    <cfRule type="colorScale" priority="646">
      <colorScale>
        <cfvo type="percent" val="0"/>
        <cfvo type="percent" val="100"/>
        <color rgb="FFFF231B"/>
        <color rgb="FF10FF07"/>
      </colorScale>
    </cfRule>
  </conditionalFormatting>
  <conditionalFormatting sqref="AJ21 AL21">
    <cfRule type="expression" dxfId="176" priority="199">
      <formula>OR(IF(AJ21&lt;AK21,TRUE),IF(AND(AK21="",AJ21&lt;&gt;""),TRUE))</formula>
    </cfRule>
    <cfRule type="expression" dxfId="175" priority="200">
      <formula>IF(AJ21&gt;=AK21,IF(AJ21="",FALSE,TRUE))</formula>
    </cfRule>
  </conditionalFormatting>
  <conditionalFormatting sqref="AX21 AZ21">
    <cfRule type="expression" dxfId="174" priority="195">
      <formula>OR(IF(AX21&lt;AY21,TRUE),IF(AND(AY21="",AX21&lt;&gt;""),TRUE))</formula>
    </cfRule>
    <cfRule type="expression" dxfId="173" priority="196">
      <formula>IF(AX21&gt;=AY21,IF(AX21="",FALSE,TRUE))</formula>
    </cfRule>
  </conditionalFormatting>
  <conditionalFormatting sqref="Q21">
    <cfRule type="expression" dxfId="172" priority="205">
      <formula>OR(IF(Q21&lt;R21,TRUE),IF(AND(R21="",Q21&lt;&gt;""),TRUE))</formula>
    </cfRule>
    <cfRule type="expression" dxfId="171" priority="206">
      <formula>IF(Q21&gt;=R21,IF(Q21="",FALSE,TRUE))</formula>
    </cfRule>
  </conditionalFormatting>
  <conditionalFormatting sqref="V21 X21">
    <cfRule type="expression" dxfId="170" priority="203">
      <formula>OR(IF(V21&lt;W21,TRUE),IF(AND(W21="",V21&lt;&gt;""),TRUE))</formula>
    </cfRule>
    <cfRule type="expression" dxfId="169" priority="204">
      <formula>IF(V21&gt;=W21,IF(V21="",FALSE,TRUE))</formula>
    </cfRule>
  </conditionalFormatting>
  <conditionalFormatting sqref="AC21 AE21">
    <cfRule type="expression" dxfId="168" priority="201">
      <formula>OR(IF(AC21&lt;AD21,TRUE),IF(AND(AD21="",AC21&lt;&gt;""),TRUE))</formula>
    </cfRule>
    <cfRule type="expression" dxfId="167" priority="202">
      <formula>IF(AC21&gt;=AD21,IF(AC21="",FALSE,TRUE))</formula>
    </cfRule>
  </conditionalFormatting>
  <conditionalFormatting sqref="AQ21 AS21">
    <cfRule type="expression" dxfId="166" priority="197">
      <formula>OR(IF(AQ21&lt;AR21,TRUE),IF(AND(AR21="",AQ21&lt;&gt;""),TRUE))</formula>
    </cfRule>
    <cfRule type="expression" dxfId="165" priority="198">
      <formula>IF(AQ21&gt;=AR21,IF(AQ21="",FALSE,TRUE))</formula>
    </cfRule>
  </conditionalFormatting>
  <conditionalFormatting sqref="J21:K21">
    <cfRule type="colorScale" priority="194">
      <colorScale>
        <cfvo type="percent" val="0"/>
        <cfvo type="percent" val="100"/>
        <color rgb="FFFF231B"/>
        <color rgb="FF10FF07"/>
      </colorScale>
    </cfRule>
  </conditionalFormatting>
  <conditionalFormatting sqref="J21">
    <cfRule type="colorScale" priority="193">
      <colorScale>
        <cfvo type="percent" val="0"/>
        <cfvo type="percent" val="100"/>
        <color rgb="FFFF231B"/>
        <color rgb="FF10FF07"/>
      </colorScale>
    </cfRule>
  </conditionalFormatting>
  <conditionalFormatting sqref="K21">
    <cfRule type="colorScale" priority="192">
      <colorScale>
        <cfvo type="percent" val="0"/>
        <cfvo type="percent" val="100"/>
        <color rgb="FFFF231B"/>
        <color rgb="FF10FF07"/>
      </colorScale>
    </cfRule>
  </conditionalFormatting>
  <conditionalFormatting sqref="BE21 BG21">
    <cfRule type="expression" dxfId="164" priority="190">
      <formula>OR(IF(BE21&lt;BF21,TRUE),IF(AND(BF21="",BE21&lt;&gt;""),TRUE))</formula>
    </cfRule>
    <cfRule type="expression" dxfId="163" priority="191">
      <formula>IF(BE21&gt;=BF21,IF(BE21="",FALSE,TRUE))</formula>
    </cfRule>
  </conditionalFormatting>
  <conditionalFormatting sqref="AL22 AJ22">
    <cfRule type="expression" dxfId="162" priority="180">
      <formula>OR(IF(AJ22&lt;AK22,TRUE),IF(AND(AK22="",AJ22&lt;&gt;""),TRUE))</formula>
    </cfRule>
    <cfRule type="expression" dxfId="161" priority="181">
      <formula>IF(AJ22&gt;=AK22,IF(AJ22="",FALSE,TRUE))</formula>
    </cfRule>
  </conditionalFormatting>
  <conditionalFormatting sqref="AZ22 AX22">
    <cfRule type="expression" dxfId="160" priority="176">
      <formula>OR(IF(AX22&lt;AY22,TRUE),IF(AND(AY22="",AX22&lt;&gt;""),TRUE))</formula>
    </cfRule>
    <cfRule type="expression" dxfId="159" priority="177">
      <formula>IF(AX22&gt;=AY22,IF(AX22="",FALSE,TRUE))</formula>
    </cfRule>
  </conditionalFormatting>
  <conditionalFormatting sqref="Q22">
    <cfRule type="expression" dxfId="158" priority="186">
      <formula>OR(IF(Q22&lt;R22,TRUE),IF(AND(R22="",Q22&lt;&gt;""),TRUE))</formula>
    </cfRule>
    <cfRule type="expression" dxfId="157" priority="187">
      <formula>IF(Q22&gt;=R22,IF(Q22="",FALSE,TRUE))</formula>
    </cfRule>
  </conditionalFormatting>
  <conditionalFormatting sqref="X22 V22">
    <cfRule type="expression" dxfId="156" priority="184">
      <formula>OR(IF(V22&lt;W22,TRUE),IF(AND(W22="",V22&lt;&gt;""),TRUE))</formula>
    </cfRule>
    <cfRule type="expression" dxfId="155" priority="185">
      <formula>IF(V22&gt;=W22,IF(V22="",FALSE,TRUE))</formula>
    </cfRule>
  </conditionalFormatting>
  <conditionalFormatting sqref="AE22 AC22">
    <cfRule type="expression" dxfId="154" priority="182">
      <formula>OR(IF(AC22&lt;AD22,TRUE),IF(AND(AD22="",AC22&lt;&gt;""),TRUE))</formula>
    </cfRule>
    <cfRule type="expression" dxfId="153" priority="183">
      <formula>IF(AC22&gt;=AD22,IF(AC22="",FALSE,TRUE))</formula>
    </cfRule>
  </conditionalFormatting>
  <conditionalFormatting sqref="AS22 AQ22">
    <cfRule type="expression" dxfId="152" priority="178">
      <formula>OR(IF(AQ22&lt;AR22,TRUE),IF(AND(AR22="",AQ22&lt;&gt;""),TRUE))</formula>
    </cfRule>
    <cfRule type="expression" dxfId="151" priority="179">
      <formula>IF(AQ22&gt;=AR22,IF(AQ22="",FALSE,TRUE))</formula>
    </cfRule>
  </conditionalFormatting>
  <conditionalFormatting sqref="J22:K22">
    <cfRule type="colorScale" priority="175">
      <colorScale>
        <cfvo type="percent" val="0"/>
        <cfvo type="percent" val="100"/>
        <color rgb="FFFF231B"/>
        <color rgb="FF10FF07"/>
      </colorScale>
    </cfRule>
  </conditionalFormatting>
  <conditionalFormatting sqref="J22">
    <cfRule type="colorScale" priority="174">
      <colorScale>
        <cfvo type="percent" val="0"/>
        <cfvo type="percent" val="100"/>
        <color rgb="FFFF231B"/>
        <color rgb="FF10FF07"/>
      </colorScale>
    </cfRule>
  </conditionalFormatting>
  <conditionalFormatting sqref="K22">
    <cfRule type="colorScale" priority="173">
      <colorScale>
        <cfvo type="percent" val="0"/>
        <cfvo type="percent" val="100"/>
        <color rgb="FFFF231B"/>
        <color rgb="FF10FF07"/>
      </colorScale>
    </cfRule>
  </conditionalFormatting>
  <conditionalFormatting sqref="BG22 BE22">
    <cfRule type="expression" dxfId="150" priority="171">
      <formula>OR(IF(BE22&lt;BF22,TRUE),IF(AND(BF22="",BE22&lt;&gt;""),TRUE))</formula>
    </cfRule>
    <cfRule type="expression" dxfId="149" priority="172">
      <formula>IF(BE22&gt;=BF22,IF(BE22="",FALSE,TRUE))</formula>
    </cfRule>
  </conditionalFormatting>
  <conditionalFormatting sqref="J38:K59">
    <cfRule type="colorScale" priority="703">
      <colorScale>
        <cfvo type="percent" val="0"/>
        <cfvo type="percent" val="100"/>
        <color rgb="FFFF231B"/>
        <color rgb="FF10FF07"/>
      </colorScale>
    </cfRule>
  </conditionalFormatting>
  <conditionalFormatting sqref="J37:J59">
    <cfRule type="colorScale" priority="705">
      <colorScale>
        <cfvo type="percent" val="0"/>
        <cfvo type="percent" val="100"/>
        <color rgb="FFFF231B"/>
        <color rgb="FF10FF07"/>
      </colorScale>
    </cfRule>
  </conditionalFormatting>
  <conditionalFormatting sqref="K37:K59">
    <cfRule type="colorScale" priority="707">
      <colorScale>
        <cfvo type="percent" val="0"/>
        <cfvo type="percent" val="100"/>
        <color rgb="FFFF231B"/>
        <color rgb="FF10FF07"/>
      </colorScale>
    </cfRule>
  </conditionalFormatting>
  <conditionalFormatting sqref="BL5:BL17 BN5:BN17 BN39:BN59 BL39:BL59">
    <cfRule type="expression" dxfId="148" priority="169">
      <formula>OR(IF(BL5&lt;BM5,TRUE),IF(AND(BM5="",BL5&lt;&gt;""),TRUE))</formula>
    </cfRule>
    <cfRule type="expression" dxfId="147" priority="170">
      <formula>IF(BL5&gt;=BM5,IF(BL5="",FALSE,TRUE))</formula>
    </cfRule>
  </conditionalFormatting>
  <conditionalFormatting sqref="BL20 BN20 BN23:BN33 BL23:BL33">
    <cfRule type="expression" dxfId="146" priority="167">
      <formula>OR(IF(BL20&lt;BM20,TRUE),IF(AND(BM20="",BL20&lt;&gt;""),TRUE))</formula>
    </cfRule>
    <cfRule type="expression" dxfId="145" priority="168">
      <formula>IF(BL20&gt;=BM20,IF(BL20="",FALSE,TRUE))</formula>
    </cfRule>
  </conditionalFormatting>
  <conditionalFormatting sqref="BL37:BL38">
    <cfRule type="expression" dxfId="144" priority="165">
      <formula>OR(IF(BL37&lt;BM37,TRUE),IF(AND(BM37="",BL37&lt;&gt;""),TRUE))</formula>
    </cfRule>
    <cfRule type="expression" dxfId="143" priority="166">
      <formula>IF(BL37&gt;=BM37,IF(BL37="",FALSE,TRUE))</formula>
    </cfRule>
  </conditionalFormatting>
  <conditionalFormatting sqref="BN37:BN38">
    <cfRule type="expression" dxfId="142" priority="163">
      <formula>OR(IF(BN37&lt;BO37,TRUE),IF(AND(BO37="",BN37&lt;&gt;""),TRUE))</formula>
    </cfRule>
    <cfRule type="expression" dxfId="141" priority="164">
      <formula>IF(BN37&gt;=BO37,IF(BN37="",FALSE,TRUE))</formula>
    </cfRule>
  </conditionalFormatting>
  <conditionalFormatting sqref="BL34">
    <cfRule type="expression" dxfId="140" priority="161">
      <formula>OR(IF(BL34&lt;BM34,TRUE),IF(AND(BM34="",BL34&lt;&gt;""),TRUE))</formula>
    </cfRule>
    <cfRule type="expression" dxfId="139" priority="162">
      <formula>IF(BL34&gt;=BM34,IF(BL34="",FALSE,TRUE))</formula>
    </cfRule>
  </conditionalFormatting>
  <conditionalFormatting sqref="BN34">
    <cfRule type="expression" dxfId="138" priority="159">
      <formula>OR(IF(BN34&lt;BO34,TRUE),IF(AND(BO34="",BN34&lt;&gt;""),TRUE))</formula>
    </cfRule>
    <cfRule type="expression" dxfId="137" priority="160">
      <formula>IF(BN34&gt;=BO34,IF(BN34="",FALSE,TRUE))</formula>
    </cfRule>
  </conditionalFormatting>
  <conditionalFormatting sqref="BL21 BN21">
    <cfRule type="expression" dxfId="136" priority="153">
      <formula>OR(IF(BL21&lt;BM21,TRUE),IF(AND(BM21="",BL21&lt;&gt;""),TRUE))</formula>
    </cfRule>
    <cfRule type="expression" dxfId="135" priority="154">
      <formula>IF(BL21&gt;=BM21,IF(BL21="",FALSE,TRUE))</formula>
    </cfRule>
  </conditionalFormatting>
  <conditionalFormatting sqref="BN22 BL22">
    <cfRule type="expression" dxfId="134" priority="151">
      <formula>OR(IF(BL22&lt;BM22,TRUE),IF(AND(BM22="",BL22&lt;&gt;""),TRUE))</formula>
    </cfRule>
    <cfRule type="expression" dxfId="133" priority="152">
      <formula>IF(BL22&gt;=BM22,IF(BL22="",FALSE,TRUE))</formula>
    </cfRule>
  </conditionalFormatting>
  <conditionalFormatting sqref="BS5:BS17 BU39:BU59 BS39:BS59">
    <cfRule type="expression" dxfId="132" priority="149">
      <formula>OR(IF(BS5&lt;BT5,TRUE),IF(AND(BT5="",BS5&lt;&gt;""),TRUE))</formula>
    </cfRule>
    <cfRule type="expression" dxfId="131" priority="150">
      <formula>IF(BS5&gt;=BT5,IF(BS5="",FALSE,TRUE))</formula>
    </cfRule>
  </conditionalFormatting>
  <conditionalFormatting sqref="BS20 BU20 BU23:BU33 BS23:BS33">
    <cfRule type="expression" dxfId="130" priority="147">
      <formula>OR(IF(BS20&lt;BT20,TRUE),IF(AND(BT20="",BS20&lt;&gt;""),TRUE))</formula>
    </cfRule>
    <cfRule type="expression" dxfId="129" priority="148">
      <formula>IF(BS20&gt;=BT20,IF(BS20="",FALSE,TRUE))</formula>
    </cfRule>
  </conditionalFormatting>
  <conditionalFormatting sqref="BS37:BS38">
    <cfRule type="expression" dxfId="128" priority="145">
      <formula>OR(IF(BS37&lt;BT37,TRUE),IF(AND(BT37="",BS37&lt;&gt;""),TRUE))</formula>
    </cfRule>
    <cfRule type="expression" dxfId="127" priority="146">
      <formula>IF(BS37&gt;=BT37,IF(BS37="",FALSE,TRUE))</formula>
    </cfRule>
  </conditionalFormatting>
  <conditionalFormatting sqref="BU37:BU38">
    <cfRule type="expression" dxfId="126" priority="143">
      <formula>OR(IF(BU37&lt;BV37,TRUE),IF(AND(BV37="",BU37&lt;&gt;""),TRUE))</formula>
    </cfRule>
    <cfRule type="expression" dxfId="125" priority="144">
      <formula>IF(BU37&gt;=BV37,IF(BU37="",FALSE,TRUE))</formula>
    </cfRule>
  </conditionalFormatting>
  <conditionalFormatting sqref="BS34">
    <cfRule type="expression" dxfId="124" priority="141">
      <formula>OR(IF(BS34&lt;BT34,TRUE),IF(AND(BT34="",BS34&lt;&gt;""),TRUE))</formula>
    </cfRule>
    <cfRule type="expression" dxfId="123" priority="142">
      <formula>IF(BS34&gt;=BT34,IF(BS34="",FALSE,TRUE))</formula>
    </cfRule>
  </conditionalFormatting>
  <conditionalFormatting sqref="BU34">
    <cfRule type="expression" dxfId="122" priority="139">
      <formula>OR(IF(BU34&lt;BV34,TRUE),IF(AND(BV34="",BU34&lt;&gt;""),TRUE))</formula>
    </cfRule>
    <cfRule type="expression" dxfId="121" priority="140">
      <formula>IF(BU34&gt;=BV34,IF(BU34="",FALSE,TRUE))</formula>
    </cfRule>
  </conditionalFormatting>
  <conditionalFormatting sqref="BS21 BU21">
    <cfRule type="expression" dxfId="120" priority="133">
      <formula>OR(IF(BS21&lt;BT21,TRUE),IF(AND(BT21="",BS21&lt;&gt;""),TRUE))</formula>
    </cfRule>
    <cfRule type="expression" dxfId="119" priority="134">
      <formula>IF(BS21&gt;=BT21,IF(BS21="",FALSE,TRUE))</formula>
    </cfRule>
  </conditionalFormatting>
  <conditionalFormatting sqref="BU22 BS22">
    <cfRule type="expression" dxfId="118" priority="131">
      <formula>OR(IF(BS22&lt;BT22,TRUE),IF(AND(BT22="",BS22&lt;&gt;""),TRUE))</formula>
    </cfRule>
    <cfRule type="expression" dxfId="117" priority="132">
      <formula>IF(BS22&gt;=BT22,IF(BS22="",FALSE,TRUE))</formula>
    </cfRule>
  </conditionalFormatting>
  <conditionalFormatting sqref="BZ5:BZ17 CB5:CB17 CB39:CB59 BZ39:BZ59">
    <cfRule type="expression" dxfId="116" priority="129">
      <formula>OR(IF(BZ5&lt;CA5,TRUE),IF(AND(CA5="",BZ5&lt;&gt;""),TRUE))</formula>
    </cfRule>
    <cfRule type="expression" dxfId="115" priority="130">
      <formula>IF(BZ5&gt;=CA5,IF(BZ5="",FALSE,TRUE))</formula>
    </cfRule>
  </conditionalFormatting>
  <conditionalFormatting sqref="BZ20 CB20 CB23:CB33 BZ23:BZ33">
    <cfRule type="expression" dxfId="114" priority="127">
      <formula>OR(IF(BZ20&lt;CA20,TRUE),IF(AND(CA20="",BZ20&lt;&gt;""),TRUE))</formula>
    </cfRule>
    <cfRule type="expression" dxfId="113" priority="128">
      <formula>IF(BZ20&gt;=CA20,IF(BZ20="",FALSE,TRUE))</formula>
    </cfRule>
  </conditionalFormatting>
  <conditionalFormatting sqref="BZ37:BZ38">
    <cfRule type="expression" dxfId="112" priority="125">
      <formula>OR(IF(BZ37&lt;CA37,TRUE),IF(AND(CA37="",BZ37&lt;&gt;""),TRUE))</formula>
    </cfRule>
    <cfRule type="expression" dxfId="111" priority="126">
      <formula>IF(BZ37&gt;=CA37,IF(BZ37="",FALSE,TRUE))</formula>
    </cfRule>
  </conditionalFormatting>
  <conditionalFormatting sqref="CB37:CB38">
    <cfRule type="expression" dxfId="110" priority="123">
      <formula>OR(IF(CB37&lt;CC37,TRUE),IF(AND(CC37="",CB37&lt;&gt;""),TRUE))</formula>
    </cfRule>
    <cfRule type="expression" dxfId="109" priority="124">
      <formula>IF(CB37&gt;=CC37,IF(CB37="",FALSE,TRUE))</formula>
    </cfRule>
  </conditionalFormatting>
  <conditionalFormatting sqref="BZ34">
    <cfRule type="expression" dxfId="108" priority="121">
      <formula>OR(IF(BZ34&lt;CA34,TRUE),IF(AND(CA34="",BZ34&lt;&gt;""),TRUE))</formula>
    </cfRule>
    <cfRule type="expression" dxfId="107" priority="122">
      <formula>IF(BZ34&gt;=CA34,IF(BZ34="",FALSE,TRUE))</formula>
    </cfRule>
  </conditionalFormatting>
  <conditionalFormatting sqref="CB34">
    <cfRule type="expression" dxfId="106" priority="119">
      <formula>OR(IF(CB34&lt;CC34,TRUE),IF(AND(CC34="",CB34&lt;&gt;""),TRUE))</formula>
    </cfRule>
    <cfRule type="expression" dxfId="105" priority="120">
      <formula>IF(CB34&gt;=CC34,IF(CB34="",FALSE,TRUE))</formula>
    </cfRule>
  </conditionalFormatting>
  <conditionalFormatting sqref="BZ21 CB21">
    <cfRule type="expression" dxfId="104" priority="113">
      <formula>OR(IF(BZ21&lt;CA21,TRUE),IF(AND(CA21="",BZ21&lt;&gt;""),TRUE))</formula>
    </cfRule>
    <cfRule type="expression" dxfId="103" priority="114">
      <formula>IF(BZ21&gt;=CA21,IF(BZ21="",FALSE,TRUE))</formula>
    </cfRule>
  </conditionalFormatting>
  <conditionalFormatting sqref="CB22 BZ22">
    <cfRule type="expression" dxfId="102" priority="111">
      <formula>OR(IF(BZ22&lt;CA22,TRUE),IF(AND(CA22="",BZ22&lt;&gt;""),TRUE))</formula>
    </cfRule>
    <cfRule type="expression" dxfId="101" priority="112">
      <formula>IF(BZ22&gt;=CA22,IF(BZ22="",FALSE,TRUE))</formula>
    </cfRule>
  </conditionalFormatting>
  <conditionalFormatting sqref="CG5:CG17 CI5:CI17 CI39:CI59 CG39:CG59">
    <cfRule type="expression" dxfId="100" priority="109">
      <formula>OR(IF(CG5&lt;CH5,TRUE),IF(AND(CH5="",CG5&lt;&gt;""),TRUE))</formula>
    </cfRule>
    <cfRule type="expression" dxfId="99" priority="110">
      <formula>IF(CG5&gt;=CH5,IF(CG5="",FALSE,TRUE))</formula>
    </cfRule>
  </conditionalFormatting>
  <conditionalFormatting sqref="CG20 CI20 CI23:CI33 CG23:CG33">
    <cfRule type="expression" dxfId="98" priority="107">
      <formula>OR(IF(CG20&lt;CH20,TRUE),IF(AND(CH20="",CG20&lt;&gt;""),TRUE))</formula>
    </cfRule>
    <cfRule type="expression" dxfId="97" priority="108">
      <formula>IF(CG20&gt;=CH20,IF(CG20="",FALSE,TRUE))</formula>
    </cfRule>
  </conditionalFormatting>
  <conditionalFormatting sqref="CG37:CG38">
    <cfRule type="expression" dxfId="96" priority="105">
      <formula>OR(IF(CG37&lt;CH37,TRUE),IF(AND(CH37="",CG37&lt;&gt;""),TRUE))</formula>
    </cfRule>
    <cfRule type="expression" dxfId="95" priority="106">
      <formula>IF(CG37&gt;=CH37,IF(CG37="",FALSE,TRUE))</formula>
    </cfRule>
  </conditionalFormatting>
  <conditionalFormatting sqref="CI37:CI38">
    <cfRule type="expression" dxfId="94" priority="103">
      <formula>OR(IF(CI37&lt;CJ37,TRUE),IF(AND(CJ37="",CI37&lt;&gt;""),TRUE))</formula>
    </cfRule>
    <cfRule type="expression" dxfId="93" priority="104">
      <formula>IF(CI37&gt;=CJ37,IF(CI37="",FALSE,TRUE))</formula>
    </cfRule>
  </conditionalFormatting>
  <conditionalFormatting sqref="CG34">
    <cfRule type="expression" dxfId="92" priority="101">
      <formula>OR(IF(CG34&lt;CH34,TRUE),IF(AND(CH34="",CG34&lt;&gt;""),TRUE))</formula>
    </cfRule>
    <cfRule type="expression" dxfId="91" priority="102">
      <formula>IF(CG34&gt;=CH34,IF(CG34="",FALSE,TRUE))</formula>
    </cfRule>
  </conditionalFormatting>
  <conditionalFormatting sqref="CI34">
    <cfRule type="expression" dxfId="90" priority="99">
      <formula>OR(IF(CI34&lt;CJ34,TRUE),IF(AND(CJ34="",CI34&lt;&gt;""),TRUE))</formula>
    </cfRule>
    <cfRule type="expression" dxfId="89" priority="100">
      <formula>IF(CI34&gt;=CJ34,IF(CI34="",FALSE,TRUE))</formula>
    </cfRule>
  </conditionalFormatting>
  <conditionalFormatting sqref="CG21 CI21">
    <cfRule type="expression" dxfId="88" priority="93">
      <formula>OR(IF(CG21&lt;CH21,TRUE),IF(AND(CH21="",CG21&lt;&gt;""),TRUE))</formula>
    </cfRule>
    <cfRule type="expression" dxfId="87" priority="94">
      <formula>IF(CG21&gt;=CH21,IF(CG21="",FALSE,TRUE))</formula>
    </cfRule>
  </conditionalFormatting>
  <conditionalFormatting sqref="CI22 CG22">
    <cfRule type="expression" dxfId="86" priority="91">
      <formula>OR(IF(CG22&lt;CH22,TRUE),IF(AND(CH22="",CG22&lt;&gt;""),TRUE))</formula>
    </cfRule>
    <cfRule type="expression" dxfId="85" priority="92">
      <formula>IF(CG22&gt;=CH22,IF(CG22="",FALSE,TRUE))</formula>
    </cfRule>
  </conditionalFormatting>
  <conditionalFormatting sqref="CN5:CN17 CP5:CP17 CP39:CP59 CN39:CN59">
    <cfRule type="expression" dxfId="84" priority="89">
      <formula>OR(IF(CN5&lt;CO5,TRUE),IF(AND(CO5="",CN5&lt;&gt;""),TRUE))</formula>
    </cfRule>
    <cfRule type="expression" dxfId="83" priority="90">
      <formula>IF(CN5&gt;=CO5,IF(CN5="",FALSE,TRUE))</formula>
    </cfRule>
  </conditionalFormatting>
  <conditionalFormatting sqref="CN20 CP20 CP23:CP33 CN23:CN33">
    <cfRule type="expression" dxfId="82" priority="87">
      <formula>OR(IF(CN20&lt;CO20,TRUE),IF(AND(CO20="",CN20&lt;&gt;""),TRUE))</formula>
    </cfRule>
    <cfRule type="expression" dxfId="81" priority="88">
      <formula>IF(CN20&gt;=CO20,IF(CN20="",FALSE,TRUE))</formula>
    </cfRule>
  </conditionalFormatting>
  <conditionalFormatting sqref="CN37:CN38">
    <cfRule type="expression" dxfId="80" priority="85">
      <formula>OR(IF(CN37&lt;CO37,TRUE),IF(AND(CO37="",CN37&lt;&gt;""),TRUE))</formula>
    </cfRule>
    <cfRule type="expression" dxfId="79" priority="86">
      <formula>IF(CN37&gt;=CO37,IF(CN37="",FALSE,TRUE))</formula>
    </cfRule>
  </conditionalFormatting>
  <conditionalFormatting sqref="CP37:CP38">
    <cfRule type="expression" dxfId="78" priority="83">
      <formula>OR(IF(CP37&lt;CQ37,TRUE),IF(AND(CQ37="",CP37&lt;&gt;""),TRUE))</formula>
    </cfRule>
    <cfRule type="expression" dxfId="77" priority="84">
      <formula>IF(CP37&gt;=CQ37,IF(CP37="",FALSE,TRUE))</formula>
    </cfRule>
  </conditionalFormatting>
  <conditionalFormatting sqref="CN34">
    <cfRule type="expression" dxfId="76" priority="81">
      <formula>OR(IF(CN34&lt;CO34,TRUE),IF(AND(CO34="",CN34&lt;&gt;""),TRUE))</formula>
    </cfRule>
    <cfRule type="expression" dxfId="75" priority="82">
      <formula>IF(CN34&gt;=CO34,IF(CN34="",FALSE,TRUE))</formula>
    </cfRule>
  </conditionalFormatting>
  <conditionalFormatting sqref="CP34">
    <cfRule type="expression" dxfId="74" priority="79">
      <formula>OR(IF(CP34&lt;CQ34,TRUE),IF(AND(CQ34="",CP34&lt;&gt;""),TRUE))</formula>
    </cfRule>
    <cfRule type="expression" dxfId="73" priority="80">
      <formula>IF(CP34&gt;=CQ34,IF(CP34="",FALSE,TRUE))</formula>
    </cfRule>
  </conditionalFormatting>
  <conditionalFormatting sqref="CN21 CP21">
    <cfRule type="expression" dxfId="72" priority="73">
      <formula>OR(IF(CN21&lt;CO21,TRUE),IF(AND(CO21="",CN21&lt;&gt;""),TRUE))</formula>
    </cfRule>
    <cfRule type="expression" dxfId="71" priority="74">
      <formula>IF(CN21&gt;=CO21,IF(CN21="",FALSE,TRUE))</formula>
    </cfRule>
  </conditionalFormatting>
  <conditionalFormatting sqref="CP22 CN22">
    <cfRule type="expression" dxfId="70" priority="71">
      <formula>OR(IF(CN22&lt;CO22,TRUE),IF(AND(CO22="",CN22&lt;&gt;""),TRUE))</formula>
    </cfRule>
    <cfRule type="expression" dxfId="69" priority="72">
      <formula>IF(CN22&gt;=CO22,IF(CN22="",FALSE,TRUE))</formula>
    </cfRule>
  </conditionalFormatting>
  <conditionalFormatting sqref="CU5:CU17 CW5:CW17 CW39:CW59 CU39:CU59">
    <cfRule type="expression" dxfId="68" priority="69">
      <formula>OR(IF(CU5&lt;CV5,TRUE),IF(AND(CV5="",CU5&lt;&gt;""),TRUE))</formula>
    </cfRule>
    <cfRule type="expression" dxfId="67" priority="70">
      <formula>IF(CU5&gt;=CV5,IF(CU5="",FALSE,TRUE))</formula>
    </cfRule>
  </conditionalFormatting>
  <conditionalFormatting sqref="CU20 CW20 CW23:CW33 CU23:CU33">
    <cfRule type="expression" dxfId="66" priority="67">
      <formula>OR(IF(CU20&lt;CV20,TRUE),IF(AND(CV20="",CU20&lt;&gt;""),TRUE))</formula>
    </cfRule>
    <cfRule type="expression" dxfId="65" priority="68">
      <formula>IF(CU20&gt;=CV20,IF(CU20="",FALSE,TRUE))</formula>
    </cfRule>
  </conditionalFormatting>
  <conditionalFormatting sqref="CU37:CU38">
    <cfRule type="expression" dxfId="64" priority="65">
      <formula>OR(IF(CU37&lt;CV37,TRUE),IF(AND(CV37="",CU37&lt;&gt;""),TRUE))</formula>
    </cfRule>
    <cfRule type="expression" dxfId="63" priority="66">
      <formula>IF(CU37&gt;=CV37,IF(CU37="",FALSE,TRUE))</formula>
    </cfRule>
  </conditionalFormatting>
  <conditionalFormatting sqref="CW37:CW38">
    <cfRule type="expression" dxfId="62" priority="63">
      <formula>OR(IF(CW37&lt;CX37,TRUE),IF(AND(CX37="",CW37&lt;&gt;""),TRUE))</formula>
    </cfRule>
    <cfRule type="expression" dxfId="61" priority="64">
      <formula>IF(CW37&gt;=CX37,IF(CW37="",FALSE,TRUE))</formula>
    </cfRule>
  </conditionalFormatting>
  <conditionalFormatting sqref="CU34">
    <cfRule type="expression" dxfId="60" priority="61">
      <formula>OR(IF(CU34&lt;CV34,TRUE),IF(AND(CV34="",CU34&lt;&gt;""),TRUE))</formula>
    </cfRule>
    <cfRule type="expression" dxfId="59" priority="62">
      <formula>IF(CU34&gt;=CV34,IF(CU34="",FALSE,TRUE))</formula>
    </cfRule>
  </conditionalFormatting>
  <conditionalFormatting sqref="CW34">
    <cfRule type="expression" dxfId="58" priority="59">
      <formula>OR(IF(CW34&lt;CX34,TRUE),IF(AND(CX34="",CW34&lt;&gt;""),TRUE))</formula>
    </cfRule>
    <cfRule type="expression" dxfId="57" priority="60">
      <formula>IF(CW34&gt;=CX34,IF(CW34="",FALSE,TRUE))</formula>
    </cfRule>
  </conditionalFormatting>
  <conditionalFormatting sqref="CU21 CW21">
    <cfRule type="expression" dxfId="56" priority="53">
      <formula>OR(IF(CU21&lt;CV21,TRUE),IF(AND(CV21="",CU21&lt;&gt;""),TRUE))</formula>
    </cfRule>
    <cfRule type="expression" dxfId="55" priority="54">
      <formula>IF(CU21&gt;=CV21,IF(CU21="",FALSE,TRUE))</formula>
    </cfRule>
  </conditionalFormatting>
  <conditionalFormatting sqref="CW22 CU22">
    <cfRule type="expression" dxfId="54" priority="51">
      <formula>OR(IF(CU22&lt;CV22,TRUE),IF(AND(CV22="",CU22&lt;&gt;""),TRUE))</formula>
    </cfRule>
    <cfRule type="expression" dxfId="53" priority="52">
      <formula>IF(CU22&gt;=CV22,IF(CU22="",FALSE,TRUE))</formula>
    </cfRule>
  </conditionalFormatting>
  <conditionalFormatting sqref="BU17">
    <cfRule type="expression" dxfId="52" priority="803">
      <formula>OR(IF(BU17&lt;BV17,TRUE),IF(AND(BV17="",BU17&lt;&gt;""),TRUE))</formula>
    </cfRule>
    <cfRule type="expression" dxfId="51" priority="804">
      <formula>IF(BU17&gt;=BV17,IF(BU17="",FALSE,TRUE))</formula>
    </cfRule>
  </conditionalFormatting>
  <conditionalFormatting sqref="BU16">
    <cfRule type="expression" dxfId="50" priority="49">
      <formula>OR(IF(BU16&lt;BV16,TRUE),IF(AND(BV16="",BU16&lt;&gt;""),TRUE))</formula>
    </cfRule>
    <cfRule type="expression" dxfId="49" priority="50">
      <formula>IF(BU16&gt;=BV16,IF(BU16="",FALSE,TRUE))</formula>
    </cfRule>
  </conditionalFormatting>
  <conditionalFormatting sqref="CU5:CU17 CW5:CW17 CW39:CW59 CU39:CU59">
    <cfRule type="expression" dxfId="48" priority="47">
      <formula>OR(IF(CU5&lt;CV5,TRUE),IF(AND(CV5="",CU5&lt;&gt;""),TRUE))</formula>
    </cfRule>
    <cfRule type="expression" dxfId="47" priority="48">
      <formula>IF(CU5&gt;=CV5,IF(CU5="",FALSE,TRUE))</formula>
    </cfRule>
  </conditionalFormatting>
  <conditionalFormatting sqref="CU20 CW20 CW23:CW33 CU23:CU33">
    <cfRule type="expression" dxfId="46" priority="45">
      <formula>OR(IF(CU20&lt;CV20,TRUE),IF(AND(CV20="",CU20&lt;&gt;""),TRUE))</formula>
    </cfRule>
    <cfRule type="expression" dxfId="45" priority="46">
      <formula>IF(CU20&gt;=CV20,IF(CU20="",FALSE,TRUE))</formula>
    </cfRule>
  </conditionalFormatting>
  <conditionalFormatting sqref="CU37:CU38">
    <cfRule type="expression" dxfId="44" priority="43">
      <formula>OR(IF(CU37&lt;CV37,TRUE),IF(AND(CV37="",CU37&lt;&gt;""),TRUE))</formula>
    </cfRule>
    <cfRule type="expression" dxfId="43" priority="44">
      <formula>IF(CU37&gt;=CV37,IF(CU37="",FALSE,TRUE))</formula>
    </cfRule>
  </conditionalFormatting>
  <conditionalFormatting sqref="CW37:CW38">
    <cfRule type="expression" dxfId="42" priority="41">
      <formula>OR(IF(CW37&lt;CX37,TRUE),IF(AND(CX37="",CW37&lt;&gt;""),TRUE))</formula>
    </cfRule>
    <cfRule type="expression" dxfId="41" priority="42">
      <formula>IF(CW37&gt;=CX37,IF(CW37="",FALSE,TRUE))</formula>
    </cfRule>
  </conditionalFormatting>
  <conditionalFormatting sqref="CU34">
    <cfRule type="expression" dxfId="40" priority="39">
      <formula>OR(IF(CU34&lt;CV34,TRUE),IF(AND(CV34="",CU34&lt;&gt;""),TRUE))</formula>
    </cfRule>
    <cfRule type="expression" dxfId="39" priority="40">
      <formula>IF(CU34&gt;=CV34,IF(CU34="",FALSE,TRUE))</formula>
    </cfRule>
  </conditionalFormatting>
  <conditionalFormatting sqref="CW34">
    <cfRule type="expression" dxfId="38" priority="37">
      <formula>OR(IF(CW34&lt;CX34,TRUE),IF(AND(CX34="",CW34&lt;&gt;""),TRUE))</formula>
    </cfRule>
    <cfRule type="expression" dxfId="37" priority="38">
      <formula>IF(CW34&gt;=CX34,IF(CW34="",FALSE,TRUE))</formula>
    </cfRule>
  </conditionalFormatting>
  <conditionalFormatting sqref="CU21 CW21">
    <cfRule type="expression" dxfId="36" priority="35">
      <formula>OR(IF(CU21&lt;CV21,TRUE),IF(AND(CV21="",CU21&lt;&gt;""),TRUE))</formula>
    </cfRule>
    <cfRule type="expression" dxfId="35" priority="36">
      <formula>IF(CU21&gt;=CV21,IF(CU21="",FALSE,TRUE))</formula>
    </cfRule>
  </conditionalFormatting>
  <conditionalFormatting sqref="CW22 CU22">
    <cfRule type="expression" dxfId="34" priority="33">
      <formula>OR(IF(CU22&lt;CV22,TRUE),IF(AND(CV22="",CU22&lt;&gt;""),TRUE))</formula>
    </cfRule>
    <cfRule type="expression" dxfId="33" priority="34">
      <formula>IF(CU22&gt;=CV22,IF(CU22="",FALSE,TRUE))</formula>
    </cfRule>
  </conditionalFormatting>
  <conditionalFormatting sqref="DB5:DB17 DD5:DD17 DD39:DD59 DB39:DB59">
    <cfRule type="expression" dxfId="32" priority="31">
      <formula>OR(IF(DB5&lt;DC5,TRUE),IF(AND(DC5="",DB5&lt;&gt;""),TRUE))</formula>
    </cfRule>
    <cfRule type="expression" dxfId="31" priority="32">
      <formula>IF(DB5&gt;=DC5,IF(DB5="",FALSE,TRUE))</formula>
    </cfRule>
  </conditionalFormatting>
  <conditionalFormatting sqref="DB20 DD20 DD23:DD33 DB23:DB33">
    <cfRule type="expression" dxfId="30" priority="29">
      <formula>OR(IF(DB20&lt;DC20,TRUE),IF(AND(DC20="",DB20&lt;&gt;""),TRUE))</formula>
    </cfRule>
    <cfRule type="expression" dxfId="29" priority="30">
      <formula>IF(DB20&gt;=DC20,IF(DB20="",FALSE,TRUE))</formula>
    </cfRule>
  </conditionalFormatting>
  <conditionalFormatting sqref="DB37:DB38">
    <cfRule type="expression" dxfId="28" priority="27">
      <formula>OR(IF(DB37&lt;DC37,TRUE),IF(AND(DC37="",DB37&lt;&gt;""),TRUE))</formula>
    </cfRule>
    <cfRule type="expression" dxfId="27" priority="28">
      <formula>IF(DB37&gt;=DC37,IF(DB37="",FALSE,TRUE))</formula>
    </cfRule>
  </conditionalFormatting>
  <conditionalFormatting sqref="DD37:DD38">
    <cfRule type="expression" dxfId="26" priority="25">
      <formula>OR(IF(DD37&lt;DE37,TRUE),IF(AND(DE37="",DD37&lt;&gt;""),TRUE))</formula>
    </cfRule>
    <cfRule type="expression" dxfId="25" priority="26">
      <formula>IF(DD37&gt;=DE37,IF(DD37="",FALSE,TRUE))</formula>
    </cfRule>
  </conditionalFormatting>
  <conditionalFormatting sqref="DB34">
    <cfRule type="expression" dxfId="24" priority="23">
      <formula>OR(IF(DB34&lt;DC34,TRUE),IF(AND(DC34="",DB34&lt;&gt;""),TRUE))</formula>
    </cfRule>
    <cfRule type="expression" dxfId="23" priority="24">
      <formula>IF(DB34&gt;=DC34,IF(DB34="",FALSE,TRUE))</formula>
    </cfRule>
  </conditionalFormatting>
  <conditionalFormatting sqref="DD34">
    <cfRule type="expression" dxfId="22" priority="21">
      <formula>OR(IF(DD34&lt;DE34,TRUE),IF(AND(DE34="",DD34&lt;&gt;""),TRUE))</formula>
    </cfRule>
    <cfRule type="expression" dxfId="21" priority="22">
      <formula>IF(DD34&gt;=DE34,IF(DD34="",FALSE,TRUE))</formula>
    </cfRule>
  </conditionalFormatting>
  <conditionalFormatting sqref="DB21 DD21">
    <cfRule type="expression" dxfId="20" priority="19">
      <formula>OR(IF(DB21&lt;DC21,TRUE),IF(AND(DC21="",DB21&lt;&gt;""),TRUE))</formula>
    </cfRule>
    <cfRule type="expression" dxfId="19" priority="20">
      <formula>IF(DB21&gt;=DC21,IF(DB21="",FALSE,TRUE))</formula>
    </cfRule>
  </conditionalFormatting>
  <conditionalFormatting sqref="DD22 DB22">
    <cfRule type="expression" dxfId="18" priority="17">
      <formula>OR(IF(DB22&lt;DC22,TRUE),IF(AND(DC22="",DB22&lt;&gt;""),TRUE))</formula>
    </cfRule>
    <cfRule type="expression" dxfId="17" priority="18">
      <formula>IF(DB22&gt;=DC22,IF(DB22="",FALSE,TRUE))</formula>
    </cfRule>
  </conditionalFormatting>
  <dataValidations count="1">
    <dataValidation type="list" allowBlank="1" showInputMessage="1" showErrorMessage="1" sqref="V5:Y17 AC5:AF17 AJ5:AM17 AQ5:AT17 AX5:BA17 BE5:BH17 O5:R17 DB5:DE17 BS5:BV17 V20:Y34 AC20:AF34 AJ20:AM34 AQ20:AT34 AX20:BA34 BE20:BH34 BZ20:CC34 O37:R59 AX37:BA59 AQ37:AT59 AJ37:AM59 AC37:AF59 V37:Y59 BZ37:CC59 BL5:BO17 BL37:BO59 BL20:BO34 BE37:BH59 DB37:DE59 BS20:BV34 BZ5:CC17 CG5:CJ17 CG20:CJ34 CG37:CJ59 CN5:CQ17 CN20:CQ34 CN37:CQ59 BS37:BV59 CU5:CX17 CU20:CX34 CU37:CX59 DB20:DE34 O20:R34"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16</v>
      </c>
    </row>
    <row r="6" spans="2:2" x14ac:dyDescent="0.2">
      <c r="B6" s="3" t="s">
        <v>13</v>
      </c>
    </row>
    <row r="7" spans="2:2" ht="51" x14ac:dyDescent="0.2">
      <c r="B7" s="1" t="s">
        <v>14</v>
      </c>
    </row>
    <row r="9" spans="2:2" x14ac:dyDescent="0.2">
      <c r="B9" s="3" t="s">
        <v>15</v>
      </c>
    </row>
    <row r="10" spans="2:2" ht="68" x14ac:dyDescent="0.2">
      <c r="B10" s="1" t="s">
        <v>35</v>
      </c>
    </row>
    <row r="12" spans="2:2" x14ac:dyDescent="0.2">
      <c r="B12" s="3" t="s">
        <v>17</v>
      </c>
    </row>
    <row r="13" spans="2:2" ht="153" x14ac:dyDescent="0.2">
      <c r="B13" s="1" t="s">
        <v>18</v>
      </c>
    </row>
    <row r="15" spans="2:2" x14ac:dyDescent="0.2">
      <c r="B15" s="3" t="s">
        <v>19</v>
      </c>
    </row>
    <row r="16" spans="2:2" ht="119" x14ac:dyDescent="0.2">
      <c r="B16" s="1" t="s">
        <v>20</v>
      </c>
    </row>
    <row r="17" spans="2:2" x14ac:dyDescent="0.2">
      <c r="B17" s="1"/>
    </row>
    <row r="18" spans="2:2" x14ac:dyDescent="0.2">
      <c r="B18" s="3" t="s">
        <v>34</v>
      </c>
    </row>
    <row r="19" spans="2:2" ht="153" x14ac:dyDescent="0.2">
      <c r="B19" s="1" t="s">
        <v>36</v>
      </c>
    </row>
    <row r="21" spans="2:2" x14ac:dyDescent="0.2">
      <c r="B21" s="3" t="s">
        <v>21</v>
      </c>
    </row>
    <row r="22" spans="2:2" ht="136" x14ac:dyDescent="0.2">
      <c r="B22" s="1" t="s">
        <v>37</v>
      </c>
    </row>
    <row r="24" spans="2:2" x14ac:dyDescent="0.2">
      <c r="B24" s="3"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2022-11-24T18:14:25Z</dcterms:modified>
</cp:coreProperties>
</file>