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876ad28b4482170e/Dokumente/Studium/Elite-Coaching/"/>
    </mc:Choice>
  </mc:AlternateContent>
  <xr:revisionPtr revIDLastSave="1140" documentId="13_ncr:1_{BBB83FF3-74BE-41D8-9010-705C2976323A}" xr6:coauthVersionLast="46" xr6:coauthVersionMax="46" xr10:uidLastSave="{E6F2B4BE-A110-41AB-A3B2-7C93650F9FE1}"/>
  <bookViews>
    <workbookView xWindow="-110" yWindow="-110" windowWidth="19420" windowHeight="10420" activeTab="1" xr2:uid="{50F29292-BE80-0C47-A0D2-DD086CB3D310}"/>
  </bookViews>
  <sheets>
    <sheet name="Anleitung" sheetId="2" r:id="rId1"/>
    <sheet name="Semesterplan" sheetId="7" r:id="rId2"/>
    <sheet name="COMMITTMENT" sheetId="9" r:id="rId3"/>
    <sheet name="Wochenplan Vorlage" sheetId="3" r:id="rId4"/>
    <sheet name="Wochenplan KW 19" sheetId="8" r:id="rId5"/>
    <sheet name="Wochenplan KW 20"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3" i="7" l="1"/>
  <c r="J53" i="7"/>
  <c r="K52" i="7"/>
  <c r="J52" i="7"/>
  <c r="I52" i="7"/>
  <c r="K51" i="7"/>
  <c r="J51" i="7"/>
  <c r="I51"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BZ40" i="7"/>
  <c r="BS40" i="7"/>
  <c r="BL40" i="7"/>
  <c r="BD40" i="7"/>
  <c r="AW40" i="7"/>
  <c r="N40" i="7"/>
  <c r="BD58" i="7"/>
  <c r="J70" i="7"/>
  <c r="K70" i="7"/>
  <c r="K69" i="7"/>
  <c r="AW58" i="7"/>
  <c r="K72" i="7"/>
  <c r="J72" i="7"/>
  <c r="K71" i="7"/>
  <c r="J71" i="7"/>
  <c r="I71" i="7"/>
  <c r="J69" i="7"/>
  <c r="I69" i="7"/>
  <c r="K68" i="7"/>
  <c r="J68" i="7"/>
  <c r="I68" i="7"/>
  <c r="K67" i="7"/>
  <c r="J67" i="7"/>
  <c r="I67" i="7"/>
  <c r="K66" i="7"/>
  <c r="J66" i="7"/>
  <c r="I66" i="7"/>
  <c r="K65" i="7"/>
  <c r="J65" i="7"/>
  <c r="I65" i="7"/>
  <c r="K64" i="7"/>
  <c r="J64" i="7"/>
  <c r="I64" i="7"/>
  <c r="K63" i="7"/>
  <c r="J63" i="7"/>
  <c r="I63" i="7"/>
  <c r="K62" i="7"/>
  <c r="J62" i="7"/>
  <c r="I62" i="7"/>
  <c r="K61" i="7"/>
  <c r="J61" i="7"/>
  <c r="I61" i="7"/>
  <c r="K60" i="7"/>
  <c r="J60" i="7"/>
  <c r="I60" i="7"/>
  <c r="K59" i="7"/>
  <c r="J59" i="7"/>
  <c r="I59" i="7"/>
  <c r="AP58" i="7"/>
  <c r="AI58" i="7"/>
  <c r="AB58" i="7"/>
  <c r="U58" i="7"/>
  <c r="N58" i="7"/>
  <c r="AW23" i="7"/>
  <c r="AI23" i="7"/>
  <c r="AB23" i="7"/>
  <c r="AI4" i="7"/>
  <c r="AB4" i="7"/>
  <c r="AP23" i="7"/>
  <c r="BZ4" i="7"/>
  <c r="BS4" i="7"/>
  <c r="BL4" i="7"/>
  <c r="K54" i="7"/>
  <c r="J54" i="7"/>
  <c r="K90" i="7"/>
  <c r="J90" i="7"/>
  <c r="K89" i="7"/>
  <c r="J89" i="7"/>
  <c r="I89" i="7"/>
  <c r="K88" i="7"/>
  <c r="J88" i="7"/>
  <c r="I88" i="7"/>
  <c r="K87" i="7"/>
  <c r="J87" i="7"/>
  <c r="I87" i="7"/>
  <c r="K86" i="7"/>
  <c r="J86" i="7"/>
  <c r="I86" i="7"/>
  <c r="K85" i="7"/>
  <c r="J85" i="7"/>
  <c r="I85" i="7"/>
  <c r="K84" i="7"/>
  <c r="J84" i="7"/>
  <c r="I84" i="7"/>
  <c r="K83" i="7"/>
  <c r="J83" i="7"/>
  <c r="I83" i="7"/>
  <c r="K82" i="7"/>
  <c r="J82" i="7"/>
  <c r="I82" i="7"/>
  <c r="K81" i="7"/>
  <c r="J81" i="7"/>
  <c r="I81" i="7"/>
  <c r="K80" i="7"/>
  <c r="J80" i="7"/>
  <c r="I80" i="7"/>
  <c r="K79" i="7"/>
  <c r="J79" i="7"/>
  <c r="I79" i="7"/>
  <c r="K78" i="7"/>
  <c r="J78" i="7"/>
  <c r="I78" i="7"/>
  <c r="AP77" i="7"/>
  <c r="AI77" i="7"/>
  <c r="AB77" i="7"/>
  <c r="U77" i="7"/>
  <c r="N77" i="7"/>
  <c r="N23" i="7"/>
  <c r="G76" i="7"/>
  <c r="G58" i="7"/>
  <c r="G40" i="7"/>
  <c r="G23" i="7"/>
  <c r="I36" i="7"/>
  <c r="J36" i="7"/>
  <c r="K36" i="7"/>
  <c r="I30" i="7"/>
  <c r="J30" i="7"/>
  <c r="K30" i="7"/>
  <c r="I31" i="7"/>
  <c r="J31" i="7"/>
  <c r="K31" i="7"/>
  <c r="I32" i="7"/>
  <c r="J32" i="7"/>
  <c r="K32" i="7"/>
  <c r="I33" i="7"/>
  <c r="J33" i="7"/>
  <c r="K33" i="7"/>
  <c r="I34" i="7"/>
  <c r="J34" i="7"/>
  <c r="K34" i="7"/>
  <c r="I35" i="7"/>
  <c r="J35" i="7"/>
  <c r="K35" i="7"/>
  <c r="J29" i="7"/>
  <c r="K29" i="7"/>
  <c r="I24" i="7"/>
  <c r="J24" i="7"/>
  <c r="K24" i="7"/>
  <c r="I25" i="7"/>
  <c r="J25" i="7"/>
  <c r="K25" i="7"/>
  <c r="I26" i="7"/>
  <c r="J26" i="7"/>
  <c r="K26" i="7"/>
  <c r="I27" i="7"/>
  <c r="J27" i="7"/>
  <c r="K27" i="7"/>
  <c r="I28" i="7"/>
  <c r="J28" i="7"/>
  <c r="K28" i="7"/>
  <c r="I29" i="7"/>
  <c r="K18" i="7"/>
  <c r="J18" i="7"/>
  <c r="K17" i="7"/>
  <c r="J17" i="7"/>
  <c r="BD4" i="7"/>
  <c r="AW4" i="7"/>
  <c r="AP4" i="7"/>
  <c r="G4" i="7"/>
  <c r="I16" i="7"/>
  <c r="I6" i="7"/>
  <c r="I7" i="7"/>
  <c r="I8" i="7"/>
  <c r="I9" i="7"/>
  <c r="I10" i="7"/>
  <c r="I11" i="7"/>
  <c r="I12" i="7"/>
  <c r="I13" i="7"/>
  <c r="I14" i="7"/>
  <c r="I15" i="7"/>
  <c r="I5" i="7"/>
  <c r="J5" i="7"/>
  <c r="K6" i="7"/>
  <c r="K7" i="7"/>
  <c r="K8" i="7"/>
  <c r="K9" i="7"/>
  <c r="K10" i="7"/>
  <c r="K11" i="7"/>
  <c r="K12" i="7"/>
  <c r="K13" i="7"/>
  <c r="K14" i="7"/>
  <c r="K15" i="7"/>
  <c r="K16" i="7"/>
  <c r="J6" i="7"/>
  <c r="J7" i="7"/>
  <c r="J8" i="7"/>
  <c r="J9" i="7"/>
  <c r="J10" i="7"/>
  <c r="J11" i="7"/>
  <c r="J12" i="7"/>
  <c r="J13" i="7"/>
  <c r="J14" i="7"/>
  <c r="J15" i="7"/>
  <c r="J16" i="7"/>
  <c r="K5" i="7"/>
  <c r="K40" i="7" l="1"/>
  <c r="J40" i="7"/>
  <c r="J58" i="7"/>
  <c r="K58" i="7"/>
  <c r="K77" i="7"/>
  <c r="J77" i="7"/>
  <c r="J23" i="7"/>
  <c r="I23" i="7"/>
  <c r="K23" i="7"/>
  <c r="K4" i="7"/>
  <c r="J4" i="7" l="1"/>
  <c r="I40" i="7"/>
  <c r="I40" i="7" a="1"/>
  <c r="I58" i="7"/>
  <c r="I58" i="7" a="1"/>
  <c r="I77" i="7"/>
  <c r="I77" i="7" a="1"/>
  <c r="I4" i="7"/>
  <c r="I4"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<sst xmlns="http://schemas.openxmlformats.org/spreadsheetml/2006/main" count="528" uniqueCount="181">
  <si>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</si>
  <si>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</si>
  <si>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</si>
  <si>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</si>
  <si>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</si>
  <si>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</si>
  <si>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</si>
  <si>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</si>
  <si>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</si>
  <si>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</si>
  <si>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</si>
  <si>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</si>
  <si>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</si>
  <si>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</si>
  <si>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</si>
  <si>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</si>
  <si>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</si>
  <si>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</si>
  <si>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</si>
  <si>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</si>
  <si>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</si>
  <si>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</si>
  <si>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</si>
  <si>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</si>
  <si>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</si>
  <si>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</si>
  <si>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</si>
  <si>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</si>
  <si>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</si>
  <si>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</si>
  <si>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</si>
  <si>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</si>
  <si>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</si>
  <si>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</si>
  <si>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</si>
  <si>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</si>
  <si>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</si>
  <si>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</si>
  <si>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</si>
  <si>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</si>
  <si>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</si>
  <si>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</si>
  <si>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</si>
  <si>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</si>
  <si>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</si>
  <si>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</si>
  <si>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</si>
  <si>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</si>
  <si>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</si>
  <si>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</si>
  <si>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</si>
  <si>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</si>
  <si>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</si>
  <si>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</si>
  <si>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</si>
  <si>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</si>
  <si>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Makro</t>
  </si>
  <si>
    <t xml:space="preserve">Einführung &amp; Daten in Makro </t>
  </si>
  <si>
    <t xml:space="preserve">Wirtschaftswachstum I </t>
  </si>
  <si>
    <t>Wirtschaftswachstum II</t>
  </si>
  <si>
    <t>Wirtschaftswahstum III</t>
  </si>
  <si>
    <t>Ersparnis &amp; Investition I</t>
  </si>
  <si>
    <t>Ersparnis &amp; Investition II</t>
  </si>
  <si>
    <t xml:space="preserve">Offene Volkswirtschaft </t>
  </si>
  <si>
    <t>Geld &amp; Inflation</t>
  </si>
  <si>
    <t>Nachfrage &amp; Angebot I: AS-AD</t>
  </si>
  <si>
    <t>Nachfrage &amp; Angebot II: AS-AD</t>
  </si>
  <si>
    <t xml:space="preserve">Arbeitsmarkt </t>
  </si>
  <si>
    <t xml:space="preserve">Mikrofundierung &amp; Zusammenfassung </t>
  </si>
  <si>
    <t>Wdh*</t>
  </si>
  <si>
    <t xml:space="preserve"> </t>
  </si>
  <si>
    <t>Klausur</t>
  </si>
  <si>
    <t>25.06.</t>
  </si>
  <si>
    <t xml:space="preserve">Statistik I </t>
  </si>
  <si>
    <t>Vorlesung 1a: Organisatorisches, Abschnitte 1.1 bis 1.3
Vorlesung 1b: 2.1 bis 3.3.1 (3.2.4 übersprungen)</t>
  </si>
  <si>
    <t>Vorl. 2a: 3.3.2 bis 4.2.4
Vorl. 2b: 4.3.1 bis 4.5.1</t>
  </si>
  <si>
    <t>Vorl. 3a: 4.5.2 bis 4.7 (3.2.4 nachgeholt)
Vorl. 3b: 4.8.1 bis "Verteilungen in Kontingenztabellen" Folie 156</t>
  </si>
  <si>
    <t xml:space="preserve">Vorl. 4a: Folie 157 bis 179 
Vorl. 4b: Folie 180 bis 209 </t>
  </si>
  <si>
    <t xml:space="preserve">Vorl. 5a: Folie 210 bis 2030
Vorl. 5b: Folie 231 bis 269 </t>
  </si>
  <si>
    <t xml:space="preserve">Vorl. 6a: Grundlagen von R ( R-Folien Seite 1-17) 
Vorl. 6b: (R-Folien Seite 18 bis 35) </t>
  </si>
  <si>
    <t xml:space="preserve">Vorl. 9a:  6.2.3 bis ungefähr Folie 298 !!!! Überarbeiten 
Vorl. 9b:  Folie 341 bis ungefähr Folie 360 </t>
  </si>
  <si>
    <t>Vorl. 10a: Folie 369 bis 385…
Vorl.10b: Folie 389 bis 7.1.3</t>
  </si>
  <si>
    <t xml:space="preserve">Vorl. 11a: 7.2.1 (nur Erwartungswert)
Vorl. 11b: Theoretische Varianz bis 7.2.2 Bedingte Erwartungswerte </t>
  </si>
  <si>
    <t xml:space="preserve">Vorl. 12a: 7.2.2 Theoretische Kovarianz… bis 7.3.1 Elementare Kombinatorik 
Vorl. 12 b: 7.3.1 Einpunktverteilung bis 7.3.2 Exponentialverteilung </t>
  </si>
  <si>
    <t>Vorl. 13a: 7.3.2 Normalverteilung bis 7.4.1 
Vorl. 13b: 7.4.2 GGZ und ZGWS</t>
  </si>
  <si>
    <t xml:space="preserve">Klausur </t>
  </si>
  <si>
    <t>19.06.</t>
  </si>
  <si>
    <t xml:space="preserve">externes Rechnungswesen </t>
  </si>
  <si>
    <t>"</t>
  </si>
  <si>
    <t xml:space="preserve">Einführung ( Folie 3-24) </t>
  </si>
  <si>
    <t>Fall 1: Inventur und Bilanz ( Folie 25-47)</t>
  </si>
  <si>
    <t>Fall 2 &amp; 3: Erfolgsneutrale und 
erfolgswirksame Geschäftsvorfälle ( Folie 48-108)</t>
  </si>
  <si>
    <t xml:space="preserve">Fall 4: Warenverkehr ( Folie 109-140) </t>
  </si>
  <si>
    <t xml:space="preserve">Fall 5: Umsatzsteuer ( Folie 141-162) </t>
  </si>
  <si>
    <t xml:space="preserve">Fall 6: Anschaffungskosten ( Folie 163-185) </t>
  </si>
  <si>
    <t xml:space="preserve">Fall 7: Umsatzerlöse und Zahlungsverkehr ( Folie 186-201) </t>
  </si>
  <si>
    <t xml:space="preserve">Fall 9: Abschreibungen auf das Anlagevermögen
 ( Folie 202-233) </t>
  </si>
  <si>
    <t>Fall 10: Abschreibungen auf das Umlaufvermögen 
( Folie 234-256)</t>
  </si>
  <si>
    <t xml:space="preserve">Fall 11: Rechnungsabgrenzungsposten ( Folie 257-275) </t>
  </si>
  <si>
    <t xml:space="preserve">Fall 12: Rückstellungen ( Folie 276-293) </t>
  </si>
  <si>
    <t>Probeklausur</t>
  </si>
  <si>
    <t>Woche 14.06</t>
  </si>
  <si>
    <t>30.06.</t>
  </si>
  <si>
    <t xml:space="preserve">Mikro </t>
  </si>
  <si>
    <t xml:space="preserve">Kapitel 0: Einführung 
Kapitel 1A: Rationalität </t>
  </si>
  <si>
    <t xml:space="preserve">1B: Mehrdimensionale Entscheidungsräume 
1C: Marginale Abwägungen </t>
  </si>
  <si>
    <t xml:space="preserve">2A: Das Konsumentenproblem
2B: Die Erstausstattung </t>
  </si>
  <si>
    <t xml:space="preserve">3A: Zusammenhang zwischen Konsum und Einkommen 
3B: Zusammenhang zwischen Konsum und Preisen </t>
  </si>
  <si>
    <t xml:space="preserve">4: Intertemporale Entscheidungsräume 
5A: Edgeworth- Tauschökonomik </t>
  </si>
  <si>
    <t xml:space="preserve">5B: Pareto-Effizienz in Tauschökonoien </t>
  </si>
  <si>
    <t xml:space="preserve">6: Die Produktionsfunktion 
7A: Kostenminimierung </t>
  </si>
  <si>
    <t xml:space="preserve">7B: Die Kostenfunktion 
8A: Das individuelle Angebot </t>
  </si>
  <si>
    <t xml:space="preserve">8B: Marktangebot 
9A: Quasilineare Ökonomien </t>
  </si>
  <si>
    <t xml:space="preserve"> 9B: Steuern in quasilinearen Ökonomien 
10A: Pareto-Effizienz in quasilinearen Ökonomien </t>
  </si>
  <si>
    <t xml:space="preserve">10B: Wohlfahrtsanalyse in quasilinearen Ökonomien 
11A: Unsicherheit </t>
  </si>
  <si>
    <t xml:space="preserve">Thema </t>
  </si>
  <si>
    <t>Gastvortrag</t>
  </si>
  <si>
    <t xml:space="preserve">Vorlsung Statistik 
anschauen </t>
  </si>
  <si>
    <t xml:space="preserve">Pause </t>
  </si>
  <si>
    <t xml:space="preserve">Notencall </t>
  </si>
  <si>
    <t xml:space="preserve">ASF-Seminar </t>
  </si>
  <si>
    <t xml:space="preserve">Noten Lektionen 
anschauen </t>
  </si>
  <si>
    <t xml:space="preserve">Statistik Übung 6 </t>
  </si>
  <si>
    <t xml:space="preserve">Statistik Übung 6 
vorbereiten </t>
  </si>
  <si>
    <t xml:space="preserve">13:45 Uhr 
Makro Übung </t>
  </si>
  <si>
    <t>bis 15:15 Uhr 
danach Pause 1h</t>
  </si>
  <si>
    <t xml:space="preserve">Makro Übung 
nachbereiten </t>
  </si>
  <si>
    <t xml:space="preserve">Noten Lektion 
anschauen </t>
  </si>
  <si>
    <t xml:space="preserve">
Corona-Test </t>
  </si>
  <si>
    <t>Hauptunter-
suchung TÜV</t>
  </si>
  <si>
    <t xml:space="preserve">Vorlsung Makro
anschauen </t>
  </si>
  <si>
    <t xml:space="preserve">Arbeiten </t>
  </si>
  <si>
    <t xml:space="preserve">Excel Sheet 
einrichten </t>
  </si>
  <si>
    <t xml:space="preserve">Mikro Übung </t>
  </si>
  <si>
    <t xml:space="preserve">ex.Rewe 
Lektion 4 nachb. </t>
  </si>
  <si>
    <t>Pause</t>
  </si>
  <si>
    <t xml:space="preserve">Mikro Übung 
nachbereiten </t>
  </si>
  <si>
    <t xml:space="preserve">Noten Lektion </t>
  </si>
  <si>
    <t xml:space="preserve">Joggen </t>
  </si>
  <si>
    <t xml:space="preserve">Statistik Übung 
nachb. </t>
  </si>
  <si>
    <t xml:space="preserve">Vorlesung 
ex.Rewe
anschauen  </t>
  </si>
  <si>
    <t>Ja</t>
  </si>
  <si>
    <t>Statistik Vorlesung zsmf.</t>
  </si>
  <si>
    <t>ex.Rewe 
Lektion 4 zsmf.</t>
  </si>
  <si>
    <t>ex. Rewe
Lektion 5 zsmf.</t>
  </si>
  <si>
    <t>Makro zsmf.</t>
  </si>
  <si>
    <t>Noten Lektion
anschließen</t>
  </si>
  <si>
    <t xml:space="preserve">Formels-sammlung 
Statistik beginnen </t>
  </si>
  <si>
    <t xml:space="preserve">ex.Rewe 
Tutorim+
Übung </t>
  </si>
  <si>
    <t>Formel-
sammlung
Statistik</t>
  </si>
  <si>
    <t xml:space="preserve">Ex.Rewe
fertig machen </t>
  </si>
  <si>
    <t xml:space="preserve">Makro
Vorlesung </t>
  </si>
  <si>
    <t xml:space="preserve">internes Rechnungswesen </t>
  </si>
  <si>
    <t>Einführung und Grundbegriffe</t>
  </si>
  <si>
    <t>Kostenverläufe</t>
  </si>
  <si>
    <t xml:space="preserve">Kostenartenrechnung 1 </t>
  </si>
  <si>
    <t>Kostenartenrechnung 2</t>
  </si>
  <si>
    <t>Kostenstellenrechnung 1</t>
  </si>
  <si>
    <t>Kostensstellenrechnung 2</t>
  </si>
  <si>
    <t xml:space="preserve">Kalkulation </t>
  </si>
  <si>
    <t xml:space="preserve">Prozesskostenrechnung </t>
  </si>
  <si>
    <t>Übung 1</t>
  </si>
  <si>
    <t xml:space="preserve">Ergebnisrechnung </t>
  </si>
  <si>
    <t xml:space="preserve">Gastvorlesung </t>
  </si>
  <si>
    <t xml:space="preserve">Break-Even-Analyse </t>
  </si>
  <si>
    <t xml:space="preserve">Übung 2/Q&amp;A </t>
  </si>
  <si>
    <t>.</t>
  </si>
  <si>
    <t>KW 17</t>
  </si>
  <si>
    <t>KW 18</t>
  </si>
  <si>
    <t>KW 26</t>
  </si>
  <si>
    <t xml:space="preserve">Vorl. 7a: Deskritive Statistik mit R - Teil 1 (6--35)
Vorl. 7b: Deskriptive Statistik mit R - Teil 2 </t>
  </si>
  <si>
    <t xml:space="preserve">Vorl. 8a: 6.1  (36-100)
Vorl. 8b: 6.2.1 und 6.2.2 </t>
  </si>
  <si>
    <t xml:space="preserve">60 h insgesamt </t>
  </si>
  <si>
    <t xml:space="preserve">54 h insgesamt </t>
  </si>
  <si>
    <t xml:space="preserve">54h insgesamt </t>
  </si>
  <si>
    <t>Klausur Freitag, 25.06</t>
  </si>
  <si>
    <t>Klausur Samstag,19.06</t>
  </si>
  <si>
    <t>Klausur Mittwoch, 30.06</t>
  </si>
  <si>
    <t>11A: Unsicherheit
11B: Risikoaversion</t>
  </si>
  <si>
    <t>/</t>
  </si>
  <si>
    <t xml:space="preserve">Probeklausur Monatg,14.06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</si>
</sst>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theme="1"/>
      <name val="Cambria"/>
      <family val="1"/>
    </font>
    <font>
      <b/>
      <sz val="20"/>
      <color theme="1"/>
      <name val="Cambria"/>
      <family val="1"/>
    </font>
    <font>
      <b/>
      <sz val="12"/>
      <color theme="1"/>
      <name val="Cambria"/>
      <family val="1"/>
    </font>
    <font>
      <sz val="12"/>
      <color theme="1"/>
      <name val="Calibri"/>
      <family val="2"/>
      <scheme val="minor"/>
    </font>
    <font>
      <sz val="12"/>
      <color theme="0"/>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0"/>
        <bgColor indexed="64"/>
      </patternFill>
    </fill>
    <fill>
      <patternFill patternType="solid">
        <fgColor rgb="FFFF0000"/>
        <bgColor indexed="64"/>
      </patternFill>
    </fill>
    <fill>
      <patternFill patternType="solid">
        <fgColor rgb="FF10FF07"/>
        <bgColor indexed="64"/>
      </patternFill>
    </fill>
    <fill>
      <patternFill patternType="solid">
        <fgColor rgb="FFC4FF87"/>
        <bgColor indexed="64"/>
      </patternFill>
    </fill>
    <fill>
      <patternFill patternType="solid">
        <fgColor rgb="FF00FF29"/>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58">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6" fontId="1" fillId="0" borderId="0" xfId="0" applyNumberFormat="1" applyFont="1" applyAlignment="1">
      <alignment horizontal="center"/>
    </xf>
    <xf numFmtId="0" fontId="0" fillId="0" borderId="1" xfId="0" applyBorder="1"/>
    <xf numFmtId="0" fontId="0" fillId="0" borderId="1" xfId="0" applyBorder="1" applyAlignment="1">
      <alignment horizontal="center"/>
    </xf>
    <xf numFmtId="0" fontId="0" fillId="0" borderId="1" xfId="0" applyBorder="1" applyAlignment="1">
      <alignment wrapText="1"/>
    </xf>
    <xf numFmtId="16" fontId="1" fillId="0" borderId="1" xfId="0" applyNumberFormat="1" applyFont="1" applyBorder="1" applyAlignment="1">
      <alignment horizontal="center"/>
    </xf>
    <xf numFmtId="0" fontId="0" fillId="0" borderId="3" xfId="0" applyBorder="1"/>
    <xf numFmtId="0" fontId="0" fillId="0" borderId="2" xfId="0" applyBorder="1"/>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wrapText="1"/>
    </xf>
    <xf numFmtId="0" fontId="0" fillId="0" borderId="0" xfId="0" applyBorder="1"/>
    <xf numFmtId="0" fontId="0" fillId="0" borderId="0" xfId="0" applyBorder="1" applyAlignment="1">
      <alignment horizontal="center"/>
    </xf>
    <xf numFmtId="0" fontId="0" fillId="0" borderId="0" xfId="0" applyBorder="1" applyAlignment="1">
      <alignment wrapText="1"/>
    </xf>
    <xf numFmtId="0" fontId="1" fillId="0" borderId="1" xfId="0" applyFont="1" applyBorder="1" applyAlignment="1">
      <alignment wrapText="1"/>
    </xf>
    <xf numFmtId="0" fontId="1" fillId="0" borderId="1" xfId="0" applyFont="1" applyBorder="1"/>
    <xf numFmtId="0" fontId="1" fillId="0" borderId="1" xfId="0" applyFont="1" applyBorder="1" applyAlignment="1">
      <alignment horizontal="center"/>
    </xf>
    <xf numFmtId="16" fontId="1" fillId="0" borderId="0" xfId="0" applyNumberFormat="1" applyFont="1" applyBorder="1" applyAlignment="1">
      <alignment horizontal="center"/>
    </xf>
    <xf numFmtId="0" fontId="1" fillId="0" borderId="0" xfId="0" applyFont="1" applyBorder="1"/>
    <xf numFmtId="0" fontId="6" fillId="0" borderId="0" xfId="0" applyFont="1"/>
    <xf numFmtId="0" fontId="7" fillId="0" borderId="0" xfId="0" applyFont="1"/>
    <xf numFmtId="0" fontId="8" fillId="0" borderId="0" xfId="0" applyFont="1"/>
    <xf numFmtId="20" fontId="6" fillId="0" borderId="0" xfId="0" applyNumberFormat="1" applyFont="1"/>
    <xf numFmtId="0" fontId="6" fillId="0" borderId="0" xfId="0" applyFont="1" applyAlignment="1">
      <alignment wrapText="1"/>
    </xf>
    <xf numFmtId="10" fontId="0" fillId="0" borderId="0" xfId="0" applyNumberFormat="1"/>
    <xf numFmtId="9" fontId="0" fillId="0" borderId="0" xfId="1" applyFont="1"/>
    <xf numFmtId="0" fontId="1" fillId="2" borderId="1" xfId="0" applyFont="1" applyFill="1" applyBorder="1"/>
    <xf numFmtId="1" fontId="0" fillId="0" borderId="1" xfId="0" applyNumberFormat="1" applyBorder="1" applyAlignment="1">
      <alignment horizontal="center"/>
    </xf>
    <xf numFmtId="9" fontId="0" fillId="0" borderId="1" xfId="0" applyNumberFormat="1" applyBorder="1"/>
    <xf numFmtId="0" fontId="1" fillId="2" borderId="1" xfId="0" applyFont="1" applyFill="1" applyBorder="1" applyAlignment="1">
      <alignment horizontal="center"/>
    </xf>
    <xf numFmtId="9" fontId="0" fillId="0" borderId="1" xfId="0" applyNumberFormat="1" applyBorder="1" applyAlignment="1">
      <alignment horizontal="center"/>
    </xf>
    <xf numFmtId="0" fontId="0" fillId="4" borderId="0" xfId="0" applyFill="1" applyBorder="1"/>
    <xf numFmtId="0" fontId="1" fillId="2" borderId="1" xfId="0" applyFont="1" applyFill="1" applyBorder="1" applyAlignment="1">
      <alignment horizontal="center"/>
    </xf>
    <xf numFmtId="0" fontId="0" fillId="6" borderId="0" xfId="0" applyFill="1"/>
    <xf numFmtId="0" fontId="0" fillId="5" borderId="1" xfId="0" applyFill="1" applyBorder="1"/>
    <xf numFmtId="0" fontId="0" fillId="4" borderId="1" xfId="0" applyFill="1" applyBorder="1"/>
    <xf numFmtId="0" fontId="10" fillId="0" borderId="1" xfId="0" applyFont="1" applyBorder="1"/>
    <xf numFmtId="164" fontId="0" fillId="0" borderId="1" xfId="0" applyNumberFormat="1" applyBorder="1"/>
    <xf numFmtId="0" fontId="0" fillId="7" borderId="0" xfId="0" applyFill="1"/>
    <xf numFmtId="0" fontId="0" fillId="8" borderId="0" xfId="0" applyFill="1"/>
    <xf numFmtId="9" fontId="0" fillId="9" borderId="1" xfId="0" applyNumberFormat="1" applyFill="1" applyBorder="1"/>
    <xf numFmtId="0" fontId="1" fillId="2" borderId="1" xfId="0" applyFont="1" applyFill="1" applyBorder="1" applyAlignment="1">
      <alignment horizontal="center"/>
    </xf>
  </cellXfs>
  <cellStyles count="2">
    <cellStyle name="Prozent" xfId="1" builtinId="5"/>
    <cellStyle name="Standard" xfId="0" builtinId="0"/>
  </cellStyles>
  <dxfs count="10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C4FF87"/>
      <color rgb="FF10FF07"/>
      <color rgb="FF56FF5E"/>
      <color rgb="FFFFDE7F"/>
      <color rgb="FFFF755A"/>
      <color rgb="FFFDFF05"/>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66" totalsRowShown="0" headerRowDxfId="4">
  <autoFilter ref="A1:K6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1" workbookViewId="0">
      <selection activeCell="B2" sqref="B2"/>
    </sheetView>
  </sheetViews>
  <sheetFormatPr baseColWidth="10" defaultColWidth="10.66406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39</v>
      </c>
    </row>
    <row r="12" spans="2:2">
      <c r="B12" s="3" t="s">
        <v>17</v>
      </c>
    </row>
    <row r="13" spans="2:2" ht="124">
      <c r="B13" s="1" t="s">
        <v>18</v>
      </c>
    </row>
    <row r="15" spans="2:2">
      <c r="B15" s="3" t="s">
        <v>19</v>
      </c>
    </row>
    <row r="16" spans="2:2" ht="108.5">
      <c r="B16" s="1" t="s">
        <v>20</v>
      </c>
    </row>
    <row r="17" spans="2:2">
      <c r="B17" s="1"/>
    </row>
    <row r="18" spans="2:2">
      <c r="B18" s="3" t="s">
        <v>38</v>
      </c>
    </row>
    <row r="19" spans="2:2" ht="139.5">
      <c r="B19" s="1" t="s">
        <v>40</v>
      </c>
    </row>
    <row r="21" spans="2:2">
      <c r="B21" s="3" t="s">
        <v>21</v>
      </c>
    </row>
    <row r="22" spans="2:2" ht="124">
      <c r="B22" s="1" t="s">
        <v>41</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CE96"/>
  <sheetViews>
    <sheetView showGridLines="0" tabSelected="1" topLeftCell="A35" zoomScale="50" zoomScaleNormal="50" workbookViewId="0">
      <pane xSplit="7" topLeftCell="BN1" activePane="topRight" state="frozen"/>
      <selection activeCell="A36" sqref="A36"/>
      <selection pane="topRight" activeCell="AC11" sqref="AC11"/>
    </sheetView>
  </sheetViews>
  <sheetFormatPr baseColWidth="10" defaultColWidth="8.83203125" defaultRowHeight="15.5" outlineLevelRow="1"/>
  <cols>
    <col min="2" max="2" width="11" customWidth="1"/>
    <col min="3" max="3" width="9.5" bestFit="1" customWidth="1"/>
    <col min="4" max="4" width="16" customWidth="1"/>
    <col min="5" max="5" width="4.83203125" customWidth="1"/>
    <col min="6" max="6" width="46.4140625"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3" max="63" width="2.1640625" customWidth="1"/>
    <col min="65" max="65" width="13" customWidth="1"/>
    <col min="66" max="66" width="6.83203125" customWidth="1"/>
    <col min="67" max="67" width="14.83203125" customWidth="1"/>
    <col min="68" max="68" width="6.6640625" customWidth="1"/>
    <col min="69" max="69" width="12.5" customWidth="1"/>
    <col min="72" max="72" width="13.83203125" customWidth="1"/>
    <col min="74" max="74" width="15.33203125" customWidth="1"/>
    <col min="76" max="76" width="13.83203125" customWidth="1"/>
    <col min="79" max="79" width="12" customWidth="1"/>
    <col min="80" max="80" width="6.6640625" customWidth="1"/>
    <col min="81" max="81" width="15.1640625" customWidth="1"/>
    <col min="82" max="82" width="6.1640625" customWidth="1"/>
    <col min="83" max="83" width="13.33203125" customWidth="1"/>
  </cols>
  <sheetData>
    <row r="1" spans="1:83" ht="33.5">
      <c r="B1" s="5" t="s">
        <v>0</v>
      </c>
      <c r="D1" s="5"/>
      <c r="G1" s="13" t="s">
        <v>33</v>
      </c>
      <c r="I1" s="13" t="s">
        <v>33</v>
      </c>
      <c r="J1" s="13" t="s">
        <v>33</v>
      </c>
      <c r="K1" s="13" t="s">
        <v>33</v>
      </c>
      <c r="AD1" s="54" t="s">
        <v>172</v>
      </c>
      <c r="AE1" s="54"/>
      <c r="AK1" s="54" t="s">
        <v>172</v>
      </c>
      <c r="AL1" s="54"/>
      <c r="AR1" s="54" t="s">
        <v>173</v>
      </c>
      <c r="AS1" s="54"/>
      <c r="AY1" s="54" t="s">
        <v>174</v>
      </c>
      <c r="AZ1" s="54"/>
      <c r="BF1" s="54" t="s">
        <v>172</v>
      </c>
      <c r="BG1" s="54"/>
      <c r="BU1" s="49" t="s">
        <v>175</v>
      </c>
      <c r="BV1" s="55"/>
    </row>
    <row r="2" spans="1:83">
      <c r="I2" s="57" t="s">
        <v>27</v>
      </c>
      <c r="J2" s="57"/>
      <c r="K2" s="57"/>
      <c r="L2" s="57"/>
      <c r="N2" s="57" t="s">
        <v>167</v>
      </c>
      <c r="O2" s="57"/>
      <c r="P2" s="57"/>
      <c r="Q2" s="57"/>
      <c r="R2" s="57"/>
      <c r="S2" s="57"/>
      <c r="U2" s="57" t="s">
        <v>168</v>
      </c>
      <c r="V2" s="57"/>
      <c r="W2" s="57"/>
      <c r="X2" s="57"/>
      <c r="Y2" s="57"/>
      <c r="Z2" s="57"/>
      <c r="AB2" s="57" t="s">
        <v>34</v>
      </c>
      <c r="AC2" s="57"/>
      <c r="AD2" s="57"/>
      <c r="AE2" s="57"/>
      <c r="AF2" s="57"/>
      <c r="AG2" s="57"/>
      <c r="AI2" s="57" t="s">
        <v>35</v>
      </c>
      <c r="AJ2" s="57"/>
      <c r="AK2" s="57"/>
      <c r="AL2" s="57"/>
      <c r="AM2" s="57"/>
      <c r="AN2" s="57"/>
      <c r="AP2" s="57" t="s">
        <v>36</v>
      </c>
      <c r="AQ2" s="57"/>
      <c r="AR2" s="57"/>
      <c r="AS2" s="57"/>
      <c r="AT2" s="57"/>
      <c r="AU2" s="57"/>
      <c r="AW2" s="57" t="s">
        <v>37</v>
      </c>
      <c r="AX2" s="57"/>
      <c r="AY2" s="57"/>
      <c r="AZ2" s="57"/>
      <c r="BA2" s="57"/>
      <c r="BB2" s="57"/>
      <c r="BD2" s="57" t="s">
        <v>42</v>
      </c>
      <c r="BE2" s="57"/>
      <c r="BF2" s="57"/>
      <c r="BG2" s="57"/>
      <c r="BH2" s="57"/>
      <c r="BI2" s="57"/>
      <c r="BL2" s="57" t="s">
        <v>43</v>
      </c>
      <c r="BM2" s="57"/>
      <c r="BN2" s="57"/>
      <c r="BO2" s="57"/>
      <c r="BP2" s="57"/>
      <c r="BQ2" s="57"/>
      <c r="BS2" s="57" t="s">
        <v>44</v>
      </c>
      <c r="BT2" s="57"/>
      <c r="BU2" s="57"/>
      <c r="BV2" s="57"/>
      <c r="BW2" s="57"/>
      <c r="BX2" s="57"/>
      <c r="BZ2" s="57" t="s">
        <v>169</v>
      </c>
      <c r="CA2" s="57"/>
      <c r="CB2" s="57"/>
      <c r="CC2" s="57"/>
      <c r="CD2" s="57"/>
      <c r="CE2" s="57"/>
    </row>
    <row r="3" spans="1:83">
      <c r="B3" s="42" t="s">
        <v>26</v>
      </c>
      <c r="C3" s="42" t="s">
        <v>1</v>
      </c>
      <c r="D3" s="42" t="s">
        <v>24</v>
      </c>
      <c r="E3" s="48" t="s">
        <v>30</v>
      </c>
      <c r="F3" s="42" t="s">
        <v>29</v>
      </c>
      <c r="G3" s="6" t="s">
        <v>31</v>
      </c>
      <c r="I3" s="45" t="s">
        <v>11</v>
      </c>
      <c r="J3" s="45" t="s">
        <v>2</v>
      </c>
      <c r="K3" s="45" t="s">
        <v>3</v>
      </c>
      <c r="L3" s="45" t="s">
        <v>12</v>
      </c>
      <c r="N3" s="42" t="s">
        <v>11</v>
      </c>
      <c r="O3" s="42" t="s">
        <v>2</v>
      </c>
      <c r="P3" s="42" t="s">
        <v>32</v>
      </c>
      <c r="Q3" s="42" t="s">
        <v>3</v>
      </c>
      <c r="R3" s="42" t="s">
        <v>32</v>
      </c>
      <c r="S3" s="42" t="s">
        <v>12</v>
      </c>
      <c r="U3" s="42" t="s">
        <v>11</v>
      </c>
      <c r="V3" s="42" t="s">
        <v>2</v>
      </c>
      <c r="W3" s="42" t="s">
        <v>32</v>
      </c>
      <c r="X3" s="42" t="s">
        <v>3</v>
      </c>
      <c r="Y3" s="42" t="s">
        <v>32</v>
      </c>
      <c r="Z3" s="42" t="s">
        <v>12</v>
      </c>
      <c r="AB3" s="42" t="s">
        <v>11</v>
      </c>
      <c r="AC3" s="42" t="s">
        <v>2</v>
      </c>
      <c r="AD3" s="42" t="s">
        <v>32</v>
      </c>
      <c r="AE3" s="42" t="s">
        <v>3</v>
      </c>
      <c r="AF3" s="42" t="s">
        <v>32</v>
      </c>
      <c r="AG3" s="42" t="s">
        <v>12</v>
      </c>
      <c r="AI3" s="42" t="s">
        <v>11</v>
      </c>
      <c r="AJ3" s="42" t="s">
        <v>2</v>
      </c>
      <c r="AK3" s="42" t="s">
        <v>32</v>
      </c>
      <c r="AL3" s="42" t="s">
        <v>3</v>
      </c>
      <c r="AM3" s="42" t="s">
        <v>32</v>
      </c>
      <c r="AN3" s="42" t="s">
        <v>12</v>
      </c>
      <c r="AP3" s="42" t="s">
        <v>11</v>
      </c>
      <c r="AQ3" s="42" t="s">
        <v>2</v>
      </c>
      <c r="AR3" s="42" t="s">
        <v>32</v>
      </c>
      <c r="AS3" s="42" t="s">
        <v>3</v>
      </c>
      <c r="AT3" s="42" t="s">
        <v>32</v>
      </c>
      <c r="AU3" s="42" t="s">
        <v>12</v>
      </c>
      <c r="AW3" s="42" t="s">
        <v>11</v>
      </c>
      <c r="AX3" s="42" t="s">
        <v>2</v>
      </c>
      <c r="AY3" s="42" t="s">
        <v>32</v>
      </c>
      <c r="AZ3" s="42" t="s">
        <v>3</v>
      </c>
      <c r="BA3" s="42" t="s">
        <v>32</v>
      </c>
      <c r="BB3" s="42" t="s">
        <v>12</v>
      </c>
      <c r="BD3" s="42" t="s">
        <v>11</v>
      </c>
      <c r="BE3" s="42" t="s">
        <v>2</v>
      </c>
      <c r="BF3" s="42" t="s">
        <v>32</v>
      </c>
      <c r="BG3" s="42" t="s">
        <v>3</v>
      </c>
      <c r="BH3" s="42" t="s">
        <v>32</v>
      </c>
      <c r="BI3" s="42" t="s">
        <v>12</v>
      </c>
      <c r="BL3" s="42" t="s">
        <v>11</v>
      </c>
      <c r="BM3" s="42" t="s">
        <v>2</v>
      </c>
      <c r="BN3" s="42" t="s">
        <v>32</v>
      </c>
      <c r="BO3" s="42" t="s">
        <v>3</v>
      </c>
      <c r="BP3" s="42" t="s">
        <v>32</v>
      </c>
      <c r="BQ3" s="42" t="s">
        <v>12</v>
      </c>
      <c r="BS3" s="42" t="s">
        <v>11</v>
      </c>
      <c r="BT3" s="42" t="s">
        <v>2</v>
      </c>
      <c r="BU3" s="42" t="s">
        <v>32</v>
      </c>
      <c r="BV3" s="42" t="s">
        <v>3</v>
      </c>
      <c r="BW3" s="42" t="s">
        <v>32</v>
      </c>
      <c r="BX3" s="42" t="s">
        <v>12</v>
      </c>
      <c r="BZ3" s="42" t="s">
        <v>11</v>
      </c>
      <c r="CA3" s="42" t="s">
        <v>2</v>
      </c>
      <c r="CB3" s="42" t="s">
        <v>32</v>
      </c>
      <c r="CC3" s="42" t="s">
        <v>3</v>
      </c>
      <c r="CD3" s="42" t="s">
        <v>32</v>
      </c>
      <c r="CE3" s="42" t="s">
        <v>12</v>
      </c>
    </row>
    <row r="4" spans="1:83" ht="16" thickBot="1">
      <c r="B4" s="23" t="s">
        <v>27</v>
      </c>
      <c r="C4" s="23" t="s">
        <v>56</v>
      </c>
      <c r="D4" s="23"/>
      <c r="E4" s="24">
        <v>8</v>
      </c>
      <c r="F4" s="23"/>
      <c r="G4" s="11">
        <f>+SUM(G5:G16)</f>
        <v>0.99960000000000016</v>
      </c>
      <c r="I4" s="43" cm="1">
        <f t="array" aca="1" ref="I4" ca="1">I4:AU19=+SUM(I5:I16)</f>
        <v>0</v>
      </c>
      <c r="J4" s="46">
        <f>+SUMPRODUCT(G5:G16,J5:J16)</f>
        <v>0.31654000000000004</v>
      </c>
      <c r="K4" s="46">
        <f>+SUMPRODUCT(G5:G16,K5:K16)</f>
        <v>0</v>
      </c>
      <c r="L4" s="19"/>
      <c r="N4" s="43"/>
      <c r="O4" s="44"/>
      <c r="P4" s="18"/>
      <c r="Q4" s="18"/>
      <c r="R4" s="18"/>
      <c r="S4" s="18"/>
      <c r="U4" s="43"/>
      <c r="V4" s="44"/>
      <c r="W4" s="18"/>
      <c r="X4" s="18"/>
      <c r="Y4" s="18"/>
      <c r="Z4" s="18"/>
      <c r="AB4" s="43">
        <f>SUM(AB5:AB18)</f>
        <v>22</v>
      </c>
      <c r="AC4" s="18"/>
      <c r="AD4" s="18"/>
      <c r="AE4" s="18"/>
      <c r="AF4" s="18"/>
      <c r="AG4" s="18"/>
      <c r="AI4" s="43">
        <f>+SUM(AI5:AI18)</f>
        <v>22</v>
      </c>
      <c r="AJ4" s="18"/>
      <c r="AK4" s="18"/>
      <c r="AL4" s="18"/>
      <c r="AM4" s="18"/>
      <c r="AN4" s="18"/>
      <c r="AP4" s="43">
        <f>+SUM(AP5:AP16)</f>
        <v>17.5</v>
      </c>
      <c r="AQ4" s="18"/>
      <c r="AR4" s="18"/>
      <c r="AS4" s="18"/>
      <c r="AT4" s="18"/>
      <c r="AU4" s="18"/>
      <c r="AW4" s="43">
        <f>+SUM(AW5:AW16)</f>
        <v>17.5</v>
      </c>
      <c r="AX4" s="18"/>
      <c r="AY4" s="18"/>
      <c r="AZ4" s="18"/>
      <c r="BA4" s="18"/>
      <c r="BB4" s="18"/>
      <c r="BD4" s="43">
        <f>+SUM(BD5:BD16)</f>
        <v>22</v>
      </c>
      <c r="BE4" s="18"/>
      <c r="BF4" s="18"/>
      <c r="BG4" s="18"/>
      <c r="BH4" s="18"/>
      <c r="BI4" s="18"/>
      <c r="BL4" s="43">
        <f>+SUM(BL5:BL16)</f>
        <v>0</v>
      </c>
      <c r="BM4" s="18"/>
      <c r="BN4" s="18"/>
      <c r="BO4" s="18"/>
      <c r="BP4" s="18"/>
      <c r="BQ4" s="18"/>
      <c r="BS4" s="43">
        <f>+SUM(BS5:BS16)</f>
        <v>0</v>
      </c>
      <c r="BT4" s="18"/>
      <c r="BU4" s="18"/>
      <c r="BV4" s="18"/>
      <c r="BW4" s="18"/>
      <c r="BX4" s="18"/>
      <c r="BZ4" s="43">
        <f>+SUM(BZ5:BZ16)</f>
        <v>0</v>
      </c>
      <c r="CA4" s="18"/>
      <c r="CB4" s="18"/>
      <c r="CC4" s="18"/>
      <c r="CD4" s="18"/>
      <c r="CE4" s="18"/>
    </row>
    <row r="5" spans="1:83" outlineLevel="1">
      <c r="A5">
        <v>1</v>
      </c>
      <c r="B5" s="22" t="s">
        <v>28</v>
      </c>
      <c r="C5" s="22" t="s">
        <v>56</v>
      </c>
      <c r="D5" s="22"/>
      <c r="E5" s="22"/>
      <c r="F5" s="22" t="s">
        <v>57</v>
      </c>
      <c r="G5" s="11">
        <v>8.3299999999999999E-2</v>
      </c>
      <c r="I5" s="19">
        <f>+SUMIF($N$3:$ZZ$3,I$3,$N5:$ZZ5)</f>
        <v>7.9</v>
      </c>
      <c r="J5" s="46">
        <f t="shared" ref="J5:K18" si="0">+_xlfn.MAXIFS($N5:$ZF5,$N$3:$ZF$3,J$3)</f>
        <v>0.5</v>
      </c>
      <c r="K5" s="46">
        <f t="shared" si="0"/>
        <v>0</v>
      </c>
      <c r="L5" s="19"/>
      <c r="N5" s="18"/>
      <c r="O5" s="44">
        <v>0.4</v>
      </c>
      <c r="P5" s="44"/>
      <c r="Q5" s="44"/>
      <c r="R5" s="44"/>
      <c r="S5" s="18"/>
      <c r="U5" s="18"/>
      <c r="V5" s="44">
        <v>0.5</v>
      </c>
      <c r="W5" s="44"/>
      <c r="X5" s="44"/>
      <c r="Y5" s="44"/>
      <c r="Z5" s="18"/>
      <c r="AB5" s="18">
        <v>4.4000000000000004</v>
      </c>
      <c r="AC5" s="44"/>
      <c r="AD5" s="44">
        <v>0.8</v>
      </c>
      <c r="AE5" s="44"/>
      <c r="AF5" s="44">
        <v>0.8</v>
      </c>
      <c r="AG5" s="18"/>
      <c r="AI5" s="18"/>
      <c r="AJ5" s="44"/>
      <c r="AK5" s="44">
        <v>0.8</v>
      </c>
      <c r="AL5" s="44"/>
      <c r="AM5" s="44">
        <v>0.8</v>
      </c>
      <c r="AN5" s="18"/>
      <c r="AP5" s="18">
        <v>3.5</v>
      </c>
      <c r="AQ5" s="44"/>
      <c r="AR5" s="44">
        <v>1</v>
      </c>
      <c r="AS5" s="44"/>
      <c r="AT5" s="44">
        <v>1</v>
      </c>
      <c r="AU5" s="18"/>
      <c r="AW5" s="18"/>
      <c r="AX5" s="44"/>
      <c r="AY5" s="44">
        <v>1</v>
      </c>
      <c r="AZ5" s="44"/>
      <c r="BA5" s="44">
        <v>1</v>
      </c>
      <c r="BB5" s="18"/>
      <c r="BD5" s="18"/>
      <c r="BE5" s="44"/>
      <c r="BF5" s="44">
        <v>1</v>
      </c>
      <c r="BG5" s="44"/>
      <c r="BH5" s="44">
        <v>1</v>
      </c>
      <c r="BI5" s="18"/>
      <c r="BL5" s="18"/>
      <c r="BM5" s="44"/>
      <c r="BN5" s="44"/>
      <c r="BO5" s="44"/>
      <c r="BP5" s="44"/>
      <c r="BQ5" s="18"/>
      <c r="BS5" s="18"/>
      <c r="BT5" s="44"/>
      <c r="BU5" s="44"/>
      <c r="BV5" s="44"/>
      <c r="BW5" s="44"/>
      <c r="BX5" s="18"/>
      <c r="BZ5" s="18"/>
      <c r="CA5" s="44"/>
      <c r="CB5" s="44"/>
      <c r="CC5" s="44"/>
      <c r="CD5" s="44"/>
      <c r="CE5" s="18"/>
    </row>
    <row r="6" spans="1:83" outlineLevel="1">
      <c r="A6">
        <v>2</v>
      </c>
      <c r="B6" s="18" t="s">
        <v>28</v>
      </c>
      <c r="C6" s="18" t="s">
        <v>56</v>
      </c>
      <c r="D6" s="18"/>
      <c r="E6" s="19"/>
      <c r="F6" s="18" t="s">
        <v>58</v>
      </c>
      <c r="G6" s="11">
        <v>8.3299999999999999E-2</v>
      </c>
      <c r="I6" s="19">
        <f t="shared" ref="I6:I15" si="1">+SUMIF($N$3:$ZZ$3,I$3,$N6:$ZZ6)</f>
        <v>7.9</v>
      </c>
      <c r="J6" s="46">
        <f t="shared" si="0"/>
        <v>0.4</v>
      </c>
      <c r="K6" s="46">
        <f t="shared" si="0"/>
        <v>0</v>
      </c>
      <c r="L6" s="19"/>
      <c r="N6" s="18"/>
      <c r="O6" s="44">
        <v>0.4</v>
      </c>
      <c r="P6" s="44"/>
      <c r="Q6" s="44"/>
      <c r="R6" s="44"/>
      <c r="S6" s="18"/>
      <c r="U6" s="18"/>
      <c r="V6" s="44">
        <v>0.4</v>
      </c>
      <c r="W6" s="44"/>
      <c r="X6" s="44"/>
      <c r="Y6" s="44"/>
      <c r="Z6" s="18"/>
      <c r="AB6" s="18">
        <v>4.4000000000000004</v>
      </c>
      <c r="AC6" s="44"/>
      <c r="AD6" s="44">
        <v>0.8</v>
      </c>
      <c r="AE6" s="44"/>
      <c r="AF6" s="44">
        <v>0.8</v>
      </c>
      <c r="AG6" s="18"/>
      <c r="AI6" s="18"/>
      <c r="AJ6" s="44"/>
      <c r="AK6" s="44">
        <v>0.8</v>
      </c>
      <c r="AL6" s="44"/>
      <c r="AM6" s="44">
        <v>0.8</v>
      </c>
      <c r="AN6" s="18"/>
      <c r="AP6" s="18">
        <v>3.5</v>
      </c>
      <c r="AQ6" s="44"/>
      <c r="AR6" s="44">
        <v>1</v>
      </c>
      <c r="AS6" s="44"/>
      <c r="AT6" s="44">
        <v>1</v>
      </c>
      <c r="AU6" s="18"/>
      <c r="AW6" s="18"/>
      <c r="AX6" s="44"/>
      <c r="AY6" s="44">
        <v>1</v>
      </c>
      <c r="AZ6" s="44"/>
      <c r="BA6" s="44">
        <v>1</v>
      </c>
      <c r="BB6" s="18"/>
      <c r="BD6" s="18"/>
      <c r="BE6" s="44"/>
      <c r="BF6" s="44">
        <v>1</v>
      </c>
      <c r="BG6" s="44"/>
      <c r="BH6" s="44">
        <v>1</v>
      </c>
      <c r="BI6" s="18"/>
      <c r="BL6" s="18"/>
      <c r="BM6" s="44"/>
      <c r="BN6" s="44"/>
      <c r="BO6" s="44"/>
      <c r="BP6" s="44"/>
      <c r="BQ6" s="18"/>
      <c r="BS6" s="18"/>
      <c r="BT6" s="44"/>
      <c r="BU6" s="44"/>
      <c r="BV6" s="44"/>
      <c r="BW6" s="44"/>
      <c r="BX6" s="18"/>
      <c r="BZ6" s="18"/>
      <c r="CA6" s="44"/>
      <c r="CB6" s="44"/>
      <c r="CC6" s="44"/>
      <c r="CD6" s="44"/>
      <c r="CE6" s="18"/>
    </row>
    <row r="7" spans="1:83" outlineLevel="1">
      <c r="A7">
        <v>3</v>
      </c>
      <c r="B7" s="18" t="s">
        <v>28</v>
      </c>
      <c r="C7" s="18" t="s">
        <v>56</v>
      </c>
      <c r="D7" s="18"/>
      <c r="E7" s="19"/>
      <c r="F7" s="18" t="s">
        <v>59</v>
      </c>
      <c r="G7" s="11">
        <v>8.3299999999999999E-2</v>
      </c>
      <c r="I7" s="19">
        <f t="shared" si="1"/>
        <v>7.9</v>
      </c>
      <c r="J7" s="46">
        <f t="shared" si="0"/>
        <v>0.4</v>
      </c>
      <c r="K7" s="46">
        <f t="shared" si="0"/>
        <v>0</v>
      </c>
      <c r="L7" s="19"/>
      <c r="N7" s="18"/>
      <c r="O7" s="44">
        <v>0.4</v>
      </c>
      <c r="P7" s="44"/>
      <c r="Q7" s="44"/>
      <c r="R7" s="44"/>
      <c r="S7" s="18"/>
      <c r="U7" s="18"/>
      <c r="V7" s="44">
        <v>0.4</v>
      </c>
      <c r="W7" s="44"/>
      <c r="X7" s="44"/>
      <c r="Y7" s="44"/>
      <c r="Z7" s="18"/>
      <c r="AB7" s="18">
        <v>4.4000000000000004</v>
      </c>
      <c r="AC7" s="44"/>
      <c r="AD7" s="44">
        <v>0.8</v>
      </c>
      <c r="AE7" s="44"/>
      <c r="AF7" s="44">
        <v>0.8</v>
      </c>
      <c r="AG7" s="18"/>
      <c r="AI7" s="18"/>
      <c r="AJ7" s="44"/>
      <c r="AK7" s="44">
        <v>0.8</v>
      </c>
      <c r="AL7" s="44"/>
      <c r="AM7" s="44">
        <v>0.8</v>
      </c>
      <c r="AN7" s="18"/>
      <c r="AP7" s="18"/>
      <c r="AQ7" s="44"/>
      <c r="AR7" s="44">
        <v>0.8</v>
      </c>
      <c r="AS7" s="44"/>
      <c r="AT7" s="44">
        <v>0.8</v>
      </c>
      <c r="AU7" s="18"/>
      <c r="AW7" s="18">
        <v>3.5</v>
      </c>
      <c r="AX7" s="44"/>
      <c r="AY7" s="44">
        <v>1</v>
      </c>
      <c r="AZ7" s="44"/>
      <c r="BA7" s="44">
        <v>1</v>
      </c>
      <c r="BB7" s="18"/>
      <c r="BD7" s="18"/>
      <c r="BE7" s="44"/>
      <c r="BF7" s="44">
        <v>1</v>
      </c>
      <c r="BG7" s="44"/>
      <c r="BH7" s="44">
        <v>1</v>
      </c>
      <c r="BI7" s="18"/>
      <c r="BL7" s="18"/>
      <c r="BM7" s="44"/>
      <c r="BN7" s="44"/>
      <c r="BO7" s="44"/>
      <c r="BP7" s="44"/>
      <c r="BQ7" s="18"/>
      <c r="BS7" s="18"/>
      <c r="BT7" s="44"/>
      <c r="BU7" s="44"/>
      <c r="BV7" s="44"/>
      <c r="BW7" s="44"/>
      <c r="BX7" s="18"/>
      <c r="BZ7" s="18"/>
      <c r="CA7" s="44"/>
      <c r="CB7" s="44"/>
      <c r="CC7" s="44"/>
      <c r="CD7" s="44"/>
      <c r="CE7" s="18"/>
    </row>
    <row r="8" spans="1:83" outlineLevel="1">
      <c r="A8">
        <v>4</v>
      </c>
      <c r="B8" s="18" t="s">
        <v>28</v>
      </c>
      <c r="C8" s="18" t="s">
        <v>56</v>
      </c>
      <c r="D8" s="18"/>
      <c r="E8" s="19"/>
      <c r="F8" s="18" t="s">
        <v>60</v>
      </c>
      <c r="G8" s="11">
        <v>8.3299999999999999E-2</v>
      </c>
      <c r="I8" s="19">
        <f t="shared" si="1"/>
        <v>7.9</v>
      </c>
      <c r="J8" s="46">
        <f t="shared" si="0"/>
        <v>0.5</v>
      </c>
      <c r="K8" s="46">
        <f t="shared" si="0"/>
        <v>0</v>
      </c>
      <c r="L8" s="19"/>
      <c r="N8" s="18"/>
      <c r="O8" s="44">
        <v>0.5</v>
      </c>
      <c r="P8" s="44"/>
      <c r="Q8" s="44"/>
      <c r="R8" s="44"/>
      <c r="S8" s="18"/>
      <c r="U8" s="18"/>
      <c r="V8" s="44">
        <v>0.5</v>
      </c>
      <c r="W8" s="44"/>
      <c r="X8" s="44"/>
      <c r="Y8" s="44"/>
      <c r="Z8" s="18"/>
      <c r="AB8" s="18">
        <v>4.4000000000000004</v>
      </c>
      <c r="AC8" s="44"/>
      <c r="AD8" s="44">
        <v>0.8</v>
      </c>
      <c r="AE8" s="44"/>
      <c r="AF8" s="44">
        <v>0.8</v>
      </c>
      <c r="AG8" s="18"/>
      <c r="AI8" s="18"/>
      <c r="AJ8" s="44"/>
      <c r="AK8" s="44">
        <v>0.8</v>
      </c>
      <c r="AL8" s="44"/>
      <c r="AM8" s="44">
        <v>0.8</v>
      </c>
      <c r="AN8" s="18"/>
      <c r="AP8" s="18"/>
      <c r="AQ8" s="44"/>
      <c r="AR8" s="44">
        <v>0.8</v>
      </c>
      <c r="AS8" s="44"/>
      <c r="AT8" s="44">
        <v>0.8</v>
      </c>
      <c r="AU8" s="18"/>
      <c r="AW8" s="18">
        <v>3.5</v>
      </c>
      <c r="AX8" s="44"/>
      <c r="AY8" s="44">
        <v>1</v>
      </c>
      <c r="AZ8" s="44"/>
      <c r="BA8" s="44">
        <v>1</v>
      </c>
      <c r="BB8" s="18"/>
      <c r="BD8" s="18"/>
      <c r="BE8" s="44"/>
      <c r="BF8" s="44">
        <v>1</v>
      </c>
      <c r="BG8" s="44"/>
      <c r="BH8" s="44">
        <v>1</v>
      </c>
      <c r="BI8" s="18"/>
      <c r="BL8" s="18"/>
      <c r="BM8" s="44"/>
      <c r="BN8" s="44"/>
      <c r="BO8" s="44"/>
      <c r="BP8" s="44"/>
      <c r="BQ8" s="18"/>
      <c r="BS8" s="18"/>
      <c r="BT8" s="44"/>
      <c r="BU8" s="44"/>
      <c r="BV8" s="44"/>
      <c r="BW8" s="44"/>
      <c r="BX8" s="18"/>
      <c r="BZ8" s="18"/>
      <c r="CA8" s="44"/>
      <c r="CB8" s="44"/>
      <c r="CC8" s="44"/>
      <c r="CD8" s="44"/>
      <c r="CE8" s="18"/>
    </row>
    <row r="9" spans="1:83" outlineLevel="1">
      <c r="A9">
        <v>5</v>
      </c>
      <c r="B9" s="18" t="s">
        <v>28</v>
      </c>
      <c r="C9" s="18" t="s">
        <v>56</v>
      </c>
      <c r="D9" s="18"/>
      <c r="E9" s="19"/>
      <c r="F9" s="18" t="s">
        <v>61</v>
      </c>
      <c r="G9" s="11">
        <v>8.3299999999999999E-2</v>
      </c>
      <c r="I9" s="19">
        <f t="shared" si="1"/>
        <v>7.9</v>
      </c>
      <c r="J9" s="46">
        <f t="shared" si="0"/>
        <v>0.5</v>
      </c>
      <c r="K9" s="46">
        <f t="shared" si="0"/>
        <v>0</v>
      </c>
      <c r="L9" s="19"/>
      <c r="N9" s="18"/>
      <c r="O9" s="44">
        <v>0.5</v>
      </c>
      <c r="P9" s="44"/>
      <c r="Q9" s="44"/>
      <c r="R9" s="44"/>
      <c r="S9" s="18"/>
      <c r="U9" s="18"/>
      <c r="V9" s="44">
        <v>0.5</v>
      </c>
      <c r="W9" s="44"/>
      <c r="X9" s="44"/>
      <c r="Y9" s="44"/>
      <c r="Z9" s="18"/>
      <c r="AB9" s="18"/>
      <c r="AC9" s="44"/>
      <c r="AD9" s="44">
        <v>0.5</v>
      </c>
      <c r="AE9" s="44"/>
      <c r="AF9" s="44">
        <v>0.5</v>
      </c>
      <c r="AG9" s="18"/>
      <c r="AI9" s="18">
        <v>4.4000000000000004</v>
      </c>
      <c r="AJ9" s="44"/>
      <c r="AK9" s="44">
        <v>0.8</v>
      </c>
      <c r="AL9" s="44"/>
      <c r="AM9" s="44">
        <v>0.8</v>
      </c>
      <c r="AN9" s="18"/>
      <c r="AP9" s="18"/>
      <c r="AQ9" s="44"/>
      <c r="AR9" s="44">
        <v>0.8</v>
      </c>
      <c r="AS9" s="44"/>
      <c r="AT9" s="44">
        <v>0.8</v>
      </c>
      <c r="AU9" s="18"/>
      <c r="AW9" s="18">
        <v>3.5</v>
      </c>
      <c r="AX9" s="44"/>
      <c r="AY9" s="44">
        <v>1</v>
      </c>
      <c r="AZ9" s="44"/>
      <c r="BA9" s="44">
        <v>1</v>
      </c>
      <c r="BB9" s="18"/>
      <c r="BD9" s="18"/>
      <c r="BE9" s="44"/>
      <c r="BF9" s="44">
        <v>1</v>
      </c>
      <c r="BG9" s="44"/>
      <c r="BH9" s="44">
        <v>1</v>
      </c>
      <c r="BI9" s="18"/>
      <c r="BL9" s="18"/>
      <c r="BM9" s="44"/>
      <c r="BN9" s="44"/>
      <c r="BO9" s="44"/>
      <c r="BP9" s="44"/>
      <c r="BQ9" s="18"/>
      <c r="BS9" s="18"/>
      <c r="BT9" s="44"/>
      <c r="BU9" s="44"/>
      <c r="BV9" s="44"/>
      <c r="BW9" s="44"/>
      <c r="BX9" s="18"/>
      <c r="BZ9" s="18"/>
      <c r="CA9" s="44"/>
      <c r="CB9" s="44"/>
      <c r="CC9" s="44"/>
      <c r="CD9" s="44"/>
      <c r="CE9" s="18"/>
    </row>
    <row r="10" spans="1:83" outlineLevel="1">
      <c r="A10">
        <v>6</v>
      </c>
      <c r="B10" s="18" t="s">
        <v>28</v>
      </c>
      <c r="C10" s="18" t="s">
        <v>56</v>
      </c>
      <c r="D10" s="18"/>
      <c r="E10" s="19"/>
      <c r="F10" s="18" t="s">
        <v>62</v>
      </c>
      <c r="G10" s="11">
        <v>8.3299999999999999E-2</v>
      </c>
      <c r="I10" s="19">
        <f t="shared" si="1"/>
        <v>7.9</v>
      </c>
      <c r="J10" s="46">
        <f t="shared" si="0"/>
        <v>0.5</v>
      </c>
      <c r="K10" s="46">
        <f t="shared" si="0"/>
        <v>0</v>
      </c>
      <c r="L10" s="19"/>
      <c r="N10" s="18"/>
      <c r="O10" s="44">
        <v>0.5</v>
      </c>
      <c r="P10" s="44"/>
      <c r="Q10" s="44"/>
      <c r="R10" s="44"/>
      <c r="S10" s="18"/>
      <c r="U10" s="18"/>
      <c r="V10" s="44">
        <v>0.5</v>
      </c>
      <c r="W10" s="44"/>
      <c r="X10" s="44"/>
      <c r="Y10" s="44"/>
      <c r="Z10" s="18"/>
      <c r="AB10" s="18"/>
      <c r="AC10" s="44"/>
      <c r="AD10" s="44">
        <v>0.5</v>
      </c>
      <c r="AE10" s="44"/>
      <c r="AF10" s="44">
        <v>0.5</v>
      </c>
      <c r="AG10" s="18"/>
      <c r="AI10" s="18">
        <v>4.4000000000000004</v>
      </c>
      <c r="AJ10" s="44"/>
      <c r="AK10" s="44">
        <v>0.8</v>
      </c>
      <c r="AL10" s="44"/>
      <c r="AM10" s="44">
        <v>0.8</v>
      </c>
      <c r="AN10" s="18"/>
      <c r="AP10" s="18"/>
      <c r="AQ10" s="44"/>
      <c r="AR10" s="44">
        <v>0.8</v>
      </c>
      <c r="AS10" s="44"/>
      <c r="AT10" s="44">
        <v>0.8</v>
      </c>
      <c r="AU10" s="18"/>
      <c r="AW10" s="18">
        <v>3.5</v>
      </c>
      <c r="AX10" s="44"/>
      <c r="AY10" s="44">
        <v>1</v>
      </c>
      <c r="AZ10" s="44"/>
      <c r="BA10" s="44">
        <v>1</v>
      </c>
      <c r="BB10" s="18"/>
      <c r="BD10" s="18"/>
      <c r="BE10" s="44"/>
      <c r="BF10" s="44">
        <v>1</v>
      </c>
      <c r="BG10" s="44"/>
      <c r="BH10" s="44">
        <v>1</v>
      </c>
      <c r="BI10" s="18"/>
      <c r="BL10" s="18"/>
      <c r="BM10" s="44"/>
      <c r="BN10" s="44"/>
      <c r="BO10" s="44"/>
      <c r="BP10" s="44"/>
      <c r="BQ10" s="18"/>
      <c r="BS10" s="18"/>
      <c r="BT10" s="44"/>
      <c r="BU10" s="44"/>
      <c r="BV10" s="44"/>
      <c r="BW10" s="44"/>
      <c r="BX10" s="18"/>
      <c r="BZ10" s="18"/>
      <c r="CA10" s="44"/>
      <c r="CB10" s="44"/>
      <c r="CC10" s="44"/>
      <c r="CD10" s="44"/>
      <c r="CE10" s="18"/>
    </row>
    <row r="11" spans="1:83" outlineLevel="1">
      <c r="A11">
        <v>7</v>
      </c>
      <c r="B11" s="18" t="s">
        <v>28</v>
      </c>
      <c r="C11" s="18" t="s">
        <v>56</v>
      </c>
      <c r="D11" s="18"/>
      <c r="E11" s="19"/>
      <c r="F11" s="18" t="s">
        <v>63</v>
      </c>
      <c r="G11" s="11">
        <v>8.3299999999999999E-2</v>
      </c>
      <c r="I11" s="19">
        <f t="shared" si="1"/>
        <v>8.8000000000000007</v>
      </c>
      <c r="J11" s="46">
        <f t="shared" si="0"/>
        <v>0.5</v>
      </c>
      <c r="K11" s="46">
        <f t="shared" si="0"/>
        <v>0</v>
      </c>
      <c r="L11" s="19"/>
      <c r="N11" s="18"/>
      <c r="O11" s="44">
        <v>0.5</v>
      </c>
      <c r="P11" s="44"/>
      <c r="Q11" s="44"/>
      <c r="R11" s="44"/>
      <c r="S11" s="18"/>
      <c r="U11" s="18"/>
      <c r="V11" s="44">
        <v>0.5</v>
      </c>
      <c r="W11" s="44"/>
      <c r="X11" s="44"/>
      <c r="Y11" s="44"/>
      <c r="Z11" s="18"/>
      <c r="AB11" s="18"/>
      <c r="AC11" s="44"/>
      <c r="AD11" s="44">
        <v>0.5</v>
      </c>
      <c r="AE11" s="44"/>
      <c r="AF11" s="44">
        <v>0.5</v>
      </c>
      <c r="AG11" s="18"/>
      <c r="AI11" s="18">
        <v>4.4000000000000004</v>
      </c>
      <c r="AJ11" s="44"/>
      <c r="AK11" s="44">
        <v>0.8</v>
      </c>
      <c r="AL11" s="44"/>
      <c r="AM11" s="44">
        <v>0.8</v>
      </c>
      <c r="AN11" s="18"/>
      <c r="AP11" s="18"/>
      <c r="AQ11" s="44"/>
      <c r="AR11" s="44">
        <v>0.8</v>
      </c>
      <c r="AS11" s="44"/>
      <c r="AT11" s="44">
        <v>0.8</v>
      </c>
      <c r="AU11" s="18"/>
      <c r="AW11" s="18"/>
      <c r="AX11" s="44"/>
      <c r="AY11" s="44">
        <v>0.8</v>
      </c>
      <c r="AZ11" s="44"/>
      <c r="BA11" s="44">
        <v>0.8</v>
      </c>
      <c r="BB11" s="18"/>
      <c r="BD11" s="18">
        <v>4.4000000000000004</v>
      </c>
      <c r="BE11" s="44"/>
      <c r="BF11" s="44">
        <v>1</v>
      </c>
      <c r="BG11" s="44"/>
      <c r="BH11" s="44">
        <v>1</v>
      </c>
      <c r="BI11" s="18"/>
      <c r="BL11" s="18"/>
      <c r="BM11" s="44"/>
      <c r="BN11" s="44"/>
      <c r="BO11" s="44"/>
      <c r="BP11" s="44"/>
      <c r="BQ11" s="18"/>
      <c r="BS11" s="18"/>
      <c r="BT11" s="44"/>
      <c r="BU11" s="44"/>
      <c r="BV11" s="44"/>
      <c r="BW11" s="44"/>
      <c r="BX11" s="18"/>
      <c r="BZ11" s="18"/>
      <c r="CA11" s="44"/>
      <c r="CB11" s="44"/>
      <c r="CC11" s="44"/>
      <c r="CD11" s="44"/>
      <c r="CE11" s="18"/>
    </row>
    <row r="12" spans="1:83" outlineLevel="1">
      <c r="A12">
        <v>8</v>
      </c>
      <c r="B12" s="18" t="s">
        <v>28</v>
      </c>
      <c r="C12" s="18" t="s">
        <v>56</v>
      </c>
      <c r="D12" s="18"/>
      <c r="E12" s="19"/>
      <c r="F12" s="18" t="s">
        <v>64</v>
      </c>
      <c r="G12" s="11">
        <v>8.3299999999999999E-2</v>
      </c>
      <c r="I12" s="19">
        <f t="shared" si="1"/>
        <v>8.8000000000000007</v>
      </c>
      <c r="J12" s="46">
        <f t="shared" si="0"/>
        <v>0.5</v>
      </c>
      <c r="K12" s="46">
        <f t="shared" si="0"/>
        <v>0</v>
      </c>
      <c r="L12" s="19"/>
      <c r="N12" s="18"/>
      <c r="O12" s="44"/>
      <c r="P12" s="44"/>
      <c r="Q12" s="44"/>
      <c r="R12" s="44"/>
      <c r="S12" s="18"/>
      <c r="U12" s="18"/>
      <c r="V12" s="44">
        <v>0.5</v>
      </c>
      <c r="W12" s="44"/>
      <c r="X12" s="44"/>
      <c r="Y12" s="44"/>
      <c r="Z12" s="18"/>
      <c r="AB12" s="18"/>
      <c r="AC12" s="44"/>
      <c r="AD12" s="44">
        <v>0.5</v>
      </c>
      <c r="AE12" s="44"/>
      <c r="AF12" s="44">
        <v>0.5</v>
      </c>
      <c r="AG12" s="18"/>
      <c r="AI12" s="18">
        <v>4.4000000000000004</v>
      </c>
      <c r="AJ12" s="44"/>
      <c r="AK12" s="44">
        <v>0.8</v>
      </c>
      <c r="AL12" s="44"/>
      <c r="AM12" s="44">
        <v>0.8</v>
      </c>
      <c r="AN12" s="18"/>
      <c r="AP12" s="18"/>
      <c r="AQ12" s="44"/>
      <c r="AR12" s="44">
        <v>0.8</v>
      </c>
      <c r="AS12" s="44"/>
      <c r="AT12" s="44">
        <v>0.8</v>
      </c>
      <c r="AU12" s="18"/>
      <c r="AW12" s="18"/>
      <c r="AX12" s="44"/>
      <c r="AY12" s="44">
        <v>0.8</v>
      </c>
      <c r="AZ12" s="44"/>
      <c r="BA12" s="44">
        <v>0.8</v>
      </c>
      <c r="BB12" s="18"/>
      <c r="BD12" s="18">
        <v>4.4000000000000004</v>
      </c>
      <c r="BE12" s="44"/>
      <c r="BF12" s="44">
        <v>1</v>
      </c>
      <c r="BG12" s="44"/>
      <c r="BH12" s="44">
        <v>1</v>
      </c>
      <c r="BI12" s="18"/>
      <c r="BL12" s="18"/>
      <c r="BM12" s="44"/>
      <c r="BN12" s="44"/>
      <c r="BO12" s="44"/>
      <c r="BP12" s="44"/>
      <c r="BQ12" s="18"/>
      <c r="BS12" s="18"/>
      <c r="BT12" s="44"/>
      <c r="BU12" s="44"/>
      <c r="BV12" s="44"/>
      <c r="BW12" s="44"/>
      <c r="BX12" s="18"/>
      <c r="BZ12" s="18"/>
      <c r="CA12" s="44"/>
      <c r="CB12" s="44"/>
      <c r="CC12" s="44"/>
      <c r="CD12" s="44"/>
      <c r="CE12" s="18"/>
    </row>
    <row r="13" spans="1:83" outlineLevel="1">
      <c r="A13">
        <v>9</v>
      </c>
      <c r="B13" s="18" t="s">
        <v>28</v>
      </c>
      <c r="C13" s="18" t="s">
        <v>56</v>
      </c>
      <c r="D13" s="18"/>
      <c r="E13" s="19"/>
      <c r="F13" s="18" t="s">
        <v>65</v>
      </c>
      <c r="G13" s="11">
        <v>8.3299999999999999E-2</v>
      </c>
      <c r="I13" s="19">
        <f t="shared" si="1"/>
        <v>12.3</v>
      </c>
      <c r="J13" s="46">
        <f t="shared" si="0"/>
        <v>0</v>
      </c>
      <c r="K13" s="46">
        <f t="shared" si="0"/>
        <v>0</v>
      </c>
      <c r="L13" s="19"/>
      <c r="N13" s="18"/>
      <c r="O13" s="44"/>
      <c r="P13" s="44"/>
      <c r="Q13" s="44"/>
      <c r="R13" s="44"/>
      <c r="S13" s="18"/>
      <c r="U13" s="18"/>
      <c r="V13" s="44"/>
      <c r="W13" s="44"/>
      <c r="X13" s="44"/>
      <c r="Y13" s="44"/>
      <c r="Z13" s="18"/>
      <c r="AB13" s="18">
        <v>4.4000000000000004</v>
      </c>
      <c r="AC13" s="44"/>
      <c r="AD13" s="44">
        <v>0.5</v>
      </c>
      <c r="AE13" s="44"/>
      <c r="AF13" s="44">
        <v>0.5</v>
      </c>
      <c r="AG13" s="18"/>
      <c r="AI13" s="18"/>
      <c r="AJ13" s="44"/>
      <c r="AK13" s="44">
        <v>0.5</v>
      </c>
      <c r="AL13" s="44"/>
      <c r="AM13" s="44">
        <v>0.5</v>
      </c>
      <c r="AN13" s="18"/>
      <c r="AP13" s="18">
        <v>3.5</v>
      </c>
      <c r="AQ13" s="44"/>
      <c r="AR13" s="44">
        <v>0.8</v>
      </c>
      <c r="AS13" s="44"/>
      <c r="AT13" s="44">
        <v>0.8</v>
      </c>
      <c r="AU13" s="18"/>
      <c r="AW13" s="18"/>
      <c r="AX13" s="44"/>
      <c r="AY13" s="44">
        <v>0.8</v>
      </c>
      <c r="AZ13" s="44"/>
      <c r="BA13" s="44">
        <v>0.8</v>
      </c>
      <c r="BB13" s="18"/>
      <c r="BD13" s="18">
        <v>4.4000000000000004</v>
      </c>
      <c r="BE13" s="44"/>
      <c r="BF13" s="44">
        <v>1</v>
      </c>
      <c r="BG13" s="44"/>
      <c r="BH13" s="44">
        <v>1</v>
      </c>
      <c r="BI13" s="18"/>
      <c r="BL13" s="18"/>
      <c r="BM13" s="44"/>
      <c r="BN13" s="44"/>
      <c r="BO13" s="44"/>
      <c r="BP13" s="44"/>
      <c r="BQ13" s="18"/>
      <c r="BS13" s="18"/>
      <c r="BT13" s="44"/>
      <c r="BU13" s="44"/>
      <c r="BV13" s="44"/>
      <c r="BW13" s="44"/>
      <c r="BX13" s="18"/>
      <c r="BZ13" s="18"/>
      <c r="CA13" s="44"/>
      <c r="CB13" s="44"/>
      <c r="CC13" s="44"/>
      <c r="CD13" s="44"/>
      <c r="CE13" s="18"/>
    </row>
    <row r="14" spans="1:83" outlineLevel="1">
      <c r="A14">
        <v>10</v>
      </c>
      <c r="B14" s="18" t="s">
        <v>28</v>
      </c>
      <c r="C14" s="18" t="s">
        <v>56</v>
      </c>
      <c r="D14" s="18"/>
      <c r="E14" s="19"/>
      <c r="F14" s="18" t="s">
        <v>66</v>
      </c>
      <c r="G14" s="11">
        <v>8.3299999999999999E-2</v>
      </c>
      <c r="I14" s="19">
        <f t="shared" si="1"/>
        <v>12.3</v>
      </c>
      <c r="J14" s="46">
        <f t="shared" si="0"/>
        <v>0</v>
      </c>
      <c r="K14" s="46">
        <f t="shared" si="0"/>
        <v>0</v>
      </c>
      <c r="L14" s="19"/>
      <c r="N14" s="18"/>
      <c r="O14" s="44"/>
      <c r="P14" s="44"/>
      <c r="Q14" s="44"/>
      <c r="R14" s="44"/>
      <c r="S14" s="18"/>
      <c r="U14" s="18"/>
      <c r="V14" s="44"/>
      <c r="W14" s="44"/>
      <c r="X14" s="44"/>
      <c r="Y14" s="44"/>
      <c r="Z14" s="18"/>
      <c r="AB14" s="18"/>
      <c r="AC14" s="44"/>
      <c r="AD14" s="44"/>
      <c r="AE14" s="44"/>
      <c r="AF14" s="44"/>
      <c r="AG14" s="18"/>
      <c r="AI14" s="18">
        <v>4.4000000000000004</v>
      </c>
      <c r="AJ14" s="44"/>
      <c r="AK14" s="44">
        <v>0.5</v>
      </c>
      <c r="AL14" s="44"/>
      <c r="AM14" s="44">
        <v>0.5</v>
      </c>
      <c r="AN14" s="18"/>
      <c r="AP14" s="18">
        <v>3.5</v>
      </c>
      <c r="AQ14" s="44"/>
      <c r="AR14" s="44">
        <v>0.8</v>
      </c>
      <c r="AS14" s="44"/>
      <c r="AT14" s="44">
        <v>0.8</v>
      </c>
      <c r="AU14" s="18"/>
      <c r="AW14" s="18"/>
      <c r="AX14" s="44"/>
      <c r="AY14" s="44">
        <v>0.8</v>
      </c>
      <c r="AZ14" s="44"/>
      <c r="BA14" s="44">
        <v>0.8</v>
      </c>
      <c r="BB14" s="18"/>
      <c r="BD14" s="18">
        <v>4.4000000000000004</v>
      </c>
      <c r="BE14" s="44"/>
      <c r="BF14" s="44">
        <v>1</v>
      </c>
      <c r="BG14" s="44"/>
      <c r="BH14" s="44">
        <v>1</v>
      </c>
      <c r="BI14" s="18"/>
      <c r="BL14" s="18"/>
      <c r="BM14" s="44"/>
      <c r="BN14" s="44"/>
      <c r="BO14" s="44"/>
      <c r="BP14" s="44"/>
      <c r="BQ14" s="18"/>
      <c r="BS14" s="18"/>
      <c r="BT14" s="44"/>
      <c r="BU14" s="44"/>
      <c r="BV14" s="44"/>
      <c r="BW14" s="44"/>
      <c r="BX14" s="18"/>
      <c r="BZ14" s="18"/>
      <c r="CA14" s="44"/>
      <c r="CB14" s="44"/>
      <c r="CC14" s="44"/>
      <c r="CD14" s="44"/>
      <c r="CE14" s="18"/>
    </row>
    <row r="15" spans="1:83" outlineLevel="1">
      <c r="A15">
        <v>11</v>
      </c>
      <c r="B15" s="18" t="s">
        <v>28</v>
      </c>
      <c r="C15" s="18" t="s">
        <v>56</v>
      </c>
      <c r="D15" s="18"/>
      <c r="E15" s="19"/>
      <c r="F15" s="18" t="s">
        <v>67</v>
      </c>
      <c r="G15" s="11">
        <v>8.3299999999999999E-2</v>
      </c>
      <c r="I15" s="19">
        <f t="shared" si="1"/>
        <v>3.5</v>
      </c>
      <c r="J15" s="46">
        <f t="shared" si="0"/>
        <v>0</v>
      </c>
      <c r="K15" s="46">
        <f t="shared" si="0"/>
        <v>0</v>
      </c>
      <c r="L15" s="19"/>
      <c r="N15" s="18"/>
      <c r="O15" s="44"/>
      <c r="P15" s="44"/>
      <c r="Q15" s="44"/>
      <c r="R15" s="44"/>
      <c r="S15" s="18"/>
      <c r="U15" s="18"/>
      <c r="V15" s="44"/>
      <c r="W15" s="44"/>
      <c r="X15" s="44"/>
      <c r="Y15" s="44"/>
      <c r="Z15" s="18"/>
      <c r="AB15" s="18"/>
      <c r="AC15" s="44"/>
      <c r="AD15" s="44"/>
      <c r="AE15" s="44"/>
      <c r="AF15" s="44"/>
      <c r="AG15" s="18"/>
      <c r="AI15" s="18"/>
      <c r="AJ15" s="44"/>
      <c r="AK15" s="44"/>
      <c r="AL15" s="44"/>
      <c r="AM15" s="44"/>
      <c r="AN15" s="18"/>
      <c r="AP15" s="53">
        <v>3.5</v>
      </c>
      <c r="AQ15" s="44"/>
      <c r="AR15" s="44">
        <v>0.5</v>
      </c>
      <c r="AS15" s="44"/>
      <c r="AT15" s="44">
        <v>0.5</v>
      </c>
      <c r="AU15" s="18"/>
      <c r="AW15" s="18"/>
      <c r="AX15" s="44"/>
      <c r="AY15" s="44">
        <v>0.8</v>
      </c>
      <c r="AZ15" s="44"/>
      <c r="BA15" s="44">
        <v>0.8</v>
      </c>
      <c r="BB15" s="18"/>
      <c r="BD15" s="18"/>
      <c r="BE15" s="44"/>
      <c r="BF15" s="44">
        <v>0.8</v>
      </c>
      <c r="BG15" s="44"/>
      <c r="BH15" s="44">
        <v>0.8</v>
      </c>
      <c r="BI15" s="18"/>
      <c r="BL15" s="18"/>
      <c r="BM15" s="44"/>
      <c r="BN15" s="44"/>
      <c r="BO15" s="44"/>
      <c r="BP15" s="44"/>
      <c r="BQ15" s="18"/>
      <c r="BS15" s="18"/>
      <c r="BT15" s="44"/>
      <c r="BU15" s="44"/>
      <c r="BV15" s="44"/>
      <c r="BW15" s="44"/>
      <c r="BX15" s="18"/>
      <c r="BZ15" s="18"/>
      <c r="CA15" s="44"/>
      <c r="CB15" s="44"/>
      <c r="CC15" s="44"/>
      <c r="CD15" s="44"/>
      <c r="CE15" s="18"/>
    </row>
    <row r="16" spans="1:83" outlineLevel="1">
      <c r="A16">
        <v>12</v>
      </c>
      <c r="B16" s="18" t="s">
        <v>28</v>
      </c>
      <c r="C16" s="18" t="s">
        <v>56</v>
      </c>
      <c r="D16" s="18"/>
      <c r="E16" s="19"/>
      <c r="F16" s="18" t="s">
        <v>68</v>
      </c>
      <c r="G16" s="11">
        <v>8.3299999999999999E-2</v>
      </c>
      <c r="I16" s="19">
        <f>+SUMIF($N$3:$ZZ$3,I$3,$N16:$ZZ16)</f>
        <v>7.9</v>
      </c>
      <c r="J16" s="46">
        <f t="shared" si="0"/>
        <v>0</v>
      </c>
      <c r="K16" s="46">
        <f t="shared" si="0"/>
        <v>0</v>
      </c>
      <c r="L16" s="19"/>
      <c r="N16" s="18"/>
      <c r="O16" s="44"/>
      <c r="P16" s="44"/>
      <c r="Q16" s="44"/>
      <c r="R16" s="44"/>
      <c r="S16" s="18"/>
      <c r="U16" s="18"/>
      <c r="V16" s="44"/>
      <c r="W16" s="44"/>
      <c r="X16" s="44"/>
      <c r="Y16" s="44"/>
      <c r="Z16" s="18"/>
      <c r="AB16" s="18"/>
      <c r="AC16" s="44"/>
      <c r="AD16" s="44"/>
      <c r="AE16" s="44"/>
      <c r="AF16" s="44"/>
      <c r="AG16" s="18"/>
      <c r="AI16" s="18"/>
      <c r="AJ16" s="44"/>
      <c r="AK16" s="44"/>
      <c r="AL16" s="44"/>
      <c r="AM16" s="44"/>
      <c r="AN16" s="18"/>
      <c r="AP16" s="18"/>
      <c r="AQ16" s="44"/>
      <c r="AR16" s="44"/>
      <c r="AS16" s="44"/>
      <c r="AT16" s="44"/>
      <c r="AU16" s="18"/>
      <c r="AW16" s="18">
        <v>3.5</v>
      </c>
      <c r="AX16" s="44"/>
      <c r="AY16" s="44">
        <v>0.5</v>
      </c>
      <c r="AZ16" s="44"/>
      <c r="BA16" s="44">
        <v>0.5</v>
      </c>
      <c r="BB16" s="18"/>
      <c r="BD16" s="18">
        <v>4.4000000000000004</v>
      </c>
      <c r="BE16" s="44"/>
      <c r="BF16" s="44">
        <v>0.8</v>
      </c>
      <c r="BG16" s="44"/>
      <c r="BH16" s="44">
        <v>0.8</v>
      </c>
      <c r="BI16" s="18"/>
      <c r="BL16" s="18"/>
      <c r="BM16" s="44"/>
      <c r="BN16" s="44"/>
      <c r="BO16" s="44"/>
      <c r="BP16" s="44"/>
      <c r="BQ16" s="18"/>
      <c r="BS16" s="18"/>
      <c r="BT16" s="44"/>
      <c r="BU16" s="44"/>
      <c r="BV16" s="44"/>
      <c r="BW16" s="44"/>
      <c r="BX16" s="18"/>
      <c r="BZ16" s="18"/>
      <c r="CA16" s="44"/>
      <c r="CB16" s="44"/>
      <c r="CC16" s="44"/>
      <c r="CD16" s="44"/>
      <c r="CE16" s="18"/>
    </row>
    <row r="17" spans="1:83" outlineLevel="1">
      <c r="A17">
        <v>13</v>
      </c>
      <c r="B17" s="18" t="s">
        <v>28</v>
      </c>
      <c r="C17" s="18" t="s">
        <v>56</v>
      </c>
      <c r="D17" s="18"/>
      <c r="E17" s="19"/>
      <c r="F17" s="18" t="s">
        <v>69</v>
      </c>
      <c r="G17" s="11"/>
      <c r="I17" s="19"/>
      <c r="J17" s="46">
        <f t="shared" si="0"/>
        <v>0</v>
      </c>
      <c r="K17" s="46">
        <f t="shared" si="0"/>
        <v>0</v>
      </c>
      <c r="L17" s="19"/>
      <c r="N17" s="18"/>
      <c r="O17" s="44"/>
      <c r="P17" s="44"/>
      <c r="Q17" s="44"/>
      <c r="R17" s="44"/>
      <c r="S17" s="18"/>
      <c r="U17" s="18"/>
      <c r="V17" s="44"/>
      <c r="W17" s="44"/>
      <c r="X17" s="44"/>
      <c r="Y17" s="44"/>
      <c r="Z17" s="18"/>
      <c r="AB17" s="18"/>
      <c r="AC17" s="44"/>
      <c r="AD17" s="44"/>
      <c r="AE17" s="44"/>
      <c r="AF17" s="44"/>
      <c r="AG17" s="18"/>
      <c r="AI17" s="18"/>
      <c r="AJ17" s="44"/>
      <c r="AK17" s="44"/>
      <c r="AL17" s="44"/>
      <c r="AM17" s="44"/>
      <c r="AN17" s="18"/>
      <c r="AP17" s="18"/>
      <c r="AQ17" s="44"/>
      <c r="AR17" s="44"/>
      <c r="AS17" s="44"/>
      <c r="AT17" s="44"/>
      <c r="AU17" s="18"/>
      <c r="AW17" s="18"/>
      <c r="AX17" s="44"/>
      <c r="AY17" s="44"/>
      <c r="AZ17" s="44"/>
      <c r="BA17" s="44"/>
      <c r="BB17" s="18"/>
      <c r="BD17" s="18"/>
      <c r="BE17" s="44"/>
      <c r="BF17" s="44"/>
      <c r="BG17" s="44"/>
      <c r="BH17" s="44"/>
      <c r="BI17" s="18"/>
      <c r="BL17" s="18"/>
      <c r="BM17" s="44"/>
      <c r="BN17" s="44"/>
      <c r="BO17" s="44"/>
      <c r="BP17" s="44"/>
      <c r="BQ17" s="18"/>
      <c r="BS17" s="18"/>
      <c r="BT17" s="44"/>
      <c r="BU17" s="44"/>
      <c r="BV17" s="44"/>
      <c r="BW17" s="44"/>
      <c r="BX17" s="18"/>
      <c r="BZ17" s="18"/>
      <c r="CA17" s="44"/>
      <c r="CB17" s="44"/>
      <c r="CC17" s="44"/>
      <c r="CD17" s="44"/>
      <c r="CE17" s="18"/>
    </row>
    <row r="18" spans="1:83" outlineLevel="1">
      <c r="A18">
        <v>14</v>
      </c>
      <c r="B18" s="18" t="s">
        <v>28</v>
      </c>
      <c r="C18" s="18" t="s">
        <v>56</v>
      </c>
      <c r="D18" s="18"/>
      <c r="E18" s="19"/>
      <c r="F18" s="18" t="s">
        <v>69</v>
      </c>
      <c r="G18" s="11"/>
      <c r="I18" s="19"/>
      <c r="J18" s="46">
        <f t="shared" si="0"/>
        <v>0</v>
      </c>
      <c r="K18" s="46">
        <f t="shared" si="0"/>
        <v>0</v>
      </c>
      <c r="L18" s="19"/>
      <c r="N18" s="18"/>
      <c r="O18" s="44"/>
      <c r="P18" s="44"/>
      <c r="Q18" s="44"/>
      <c r="R18" s="44"/>
      <c r="S18" s="18"/>
      <c r="U18" s="18"/>
      <c r="V18" s="44"/>
      <c r="W18" s="44"/>
      <c r="X18" s="44"/>
      <c r="Y18" s="44"/>
      <c r="Z18" s="18"/>
      <c r="AB18" s="18"/>
      <c r="AC18" s="44"/>
      <c r="AD18" s="44"/>
      <c r="AE18" s="44"/>
      <c r="AF18" s="44"/>
      <c r="AG18" s="18"/>
      <c r="AI18" s="18"/>
      <c r="AJ18" s="44"/>
      <c r="AK18" s="44"/>
      <c r="AL18" s="44"/>
      <c r="AM18" s="44"/>
      <c r="AN18" s="18"/>
      <c r="AP18" s="18"/>
      <c r="AQ18" s="44"/>
      <c r="AR18" s="44"/>
      <c r="AS18" s="44"/>
      <c r="AT18" s="44"/>
      <c r="AU18" s="18"/>
      <c r="AW18" s="18"/>
      <c r="AX18" s="44"/>
      <c r="AY18" s="44"/>
      <c r="AZ18" s="44"/>
      <c r="BA18" s="44"/>
      <c r="BB18" s="18"/>
      <c r="BD18" s="18"/>
      <c r="BE18" s="44"/>
      <c r="BF18" s="44"/>
      <c r="BG18" s="44"/>
      <c r="BH18" s="44"/>
      <c r="BI18" s="18"/>
      <c r="BL18" s="18"/>
      <c r="BM18" s="44"/>
      <c r="BN18" s="44"/>
      <c r="BO18" s="44"/>
      <c r="BP18" s="44"/>
      <c r="BQ18" s="18"/>
      <c r="BS18" s="18"/>
      <c r="BT18" s="44"/>
      <c r="BU18" s="44"/>
      <c r="BV18" s="44"/>
      <c r="BW18" s="44"/>
      <c r="BX18" s="18"/>
      <c r="BZ18" s="18"/>
      <c r="CA18" s="44"/>
      <c r="CB18" s="44"/>
      <c r="CC18" s="44"/>
      <c r="CD18" s="44"/>
      <c r="CE18" s="18"/>
    </row>
    <row r="19" spans="1:83" outlineLevel="1">
      <c r="B19" s="18"/>
      <c r="C19" s="18"/>
      <c r="D19" s="21" t="s">
        <v>72</v>
      </c>
      <c r="E19" s="19"/>
      <c r="F19" s="31" t="s">
        <v>71</v>
      </c>
      <c r="G19" s="11"/>
      <c r="I19" s="19"/>
      <c r="J19" s="46"/>
      <c r="K19" s="46"/>
      <c r="L19" s="19"/>
      <c r="N19" s="18"/>
      <c r="O19" s="44"/>
      <c r="P19" s="44"/>
      <c r="Q19" s="44"/>
      <c r="R19" s="44"/>
      <c r="S19" s="18"/>
      <c r="U19" s="18"/>
      <c r="V19" s="44"/>
      <c r="W19" s="44"/>
      <c r="X19" s="44"/>
      <c r="Y19" s="44"/>
      <c r="Z19" s="18"/>
      <c r="AB19" s="18"/>
      <c r="AC19" s="44"/>
      <c r="AD19" s="44"/>
      <c r="AE19" s="44"/>
      <c r="AF19" s="44"/>
      <c r="AG19" s="18"/>
      <c r="AI19" s="18"/>
      <c r="AJ19" s="44"/>
      <c r="AK19" s="44"/>
      <c r="AL19" s="44"/>
      <c r="AM19" s="44"/>
      <c r="AN19" s="18"/>
      <c r="AP19" s="18"/>
      <c r="AQ19" s="44"/>
      <c r="AR19" s="44"/>
      <c r="AS19" s="44"/>
      <c r="AT19" s="44"/>
      <c r="AU19" s="18"/>
      <c r="AW19" s="18"/>
      <c r="AX19" s="44"/>
      <c r="AY19" s="44"/>
      <c r="AZ19" s="44"/>
      <c r="BA19" s="44"/>
      <c r="BB19" s="18"/>
      <c r="BD19" s="18"/>
      <c r="BE19" s="44"/>
      <c r="BF19" s="44"/>
      <c r="BG19" s="44"/>
      <c r="BH19" s="44"/>
      <c r="BI19" s="18"/>
      <c r="BL19" s="18"/>
      <c r="BM19" s="44"/>
      <c r="BN19" s="44"/>
      <c r="BO19" s="44"/>
      <c r="BP19" s="44"/>
      <c r="BQ19" s="18"/>
      <c r="BS19" s="18"/>
      <c r="BT19" s="44"/>
      <c r="BU19" s="44"/>
      <c r="BV19" s="44"/>
      <c r="BW19" s="44"/>
      <c r="BX19" s="18"/>
      <c r="BZ19" s="18"/>
      <c r="CA19" s="44"/>
      <c r="CB19" s="44"/>
      <c r="CC19" s="44"/>
      <c r="CD19" s="44"/>
      <c r="CE19" s="18"/>
    </row>
    <row r="20" spans="1:83" outlineLevel="1">
      <c r="D20" s="17"/>
      <c r="E20" s="10"/>
      <c r="G20" s="11"/>
      <c r="I20" s="10"/>
      <c r="J20" s="12"/>
      <c r="K20" s="12"/>
      <c r="L20" s="10"/>
      <c r="O20" s="11"/>
      <c r="P20" s="11"/>
      <c r="Q20" s="11"/>
      <c r="R20" s="11"/>
      <c r="V20" s="11"/>
      <c r="W20" s="11"/>
      <c r="X20" s="11"/>
      <c r="Y20" s="11"/>
      <c r="AC20" s="11"/>
      <c r="AD20" s="11"/>
      <c r="AE20" s="11"/>
      <c r="AF20" s="11"/>
      <c r="AJ20" s="11"/>
      <c r="AK20" s="11"/>
      <c r="AL20" s="11"/>
      <c r="AM20" s="11"/>
      <c r="AQ20" s="11"/>
      <c r="AR20" s="11"/>
      <c r="AS20" s="11"/>
      <c r="AT20" s="11"/>
      <c r="AX20" s="11"/>
      <c r="AY20" s="11"/>
      <c r="AZ20" s="11"/>
      <c r="BA20" s="11"/>
      <c r="BE20" s="11"/>
      <c r="BF20" s="11"/>
      <c r="BG20" s="11"/>
      <c r="BH20" s="11"/>
    </row>
    <row r="21" spans="1:83" outlineLevel="1">
      <c r="E21" s="10"/>
      <c r="G21" s="11"/>
      <c r="I21" s="10"/>
      <c r="J21" s="12"/>
      <c r="K21" s="12"/>
      <c r="L21" s="10"/>
      <c r="O21" s="11"/>
      <c r="P21" s="11"/>
      <c r="Q21" s="11"/>
      <c r="R21" s="11"/>
      <c r="V21" s="11"/>
      <c r="W21" s="11"/>
      <c r="X21" s="11"/>
      <c r="Y21" s="11"/>
      <c r="AC21" s="11"/>
      <c r="AD21" s="11"/>
      <c r="AE21" s="11"/>
      <c r="AF21" s="11"/>
      <c r="AJ21" s="11"/>
      <c r="AK21" s="11"/>
      <c r="AL21" s="11"/>
      <c r="AM21" s="11"/>
      <c r="AQ21" s="11"/>
      <c r="AR21" s="11"/>
      <c r="AS21" s="11"/>
      <c r="AT21" s="11"/>
      <c r="AX21" s="11"/>
      <c r="AY21" s="11"/>
      <c r="AZ21" s="11"/>
      <c r="BA21" s="11"/>
      <c r="BE21" s="11"/>
      <c r="BF21" s="11"/>
      <c r="BG21" s="11"/>
      <c r="BH21" s="11"/>
    </row>
    <row r="22" spans="1:83">
      <c r="B22" t="s">
        <v>70</v>
      </c>
      <c r="O22" s="8"/>
      <c r="V22" s="8"/>
      <c r="AC22" s="8"/>
      <c r="AJ22" s="8"/>
      <c r="AQ22" s="8"/>
      <c r="AX22" s="8"/>
      <c r="BE22" s="8"/>
      <c r="BM22" s="55" t="s">
        <v>176</v>
      </c>
      <c r="BN22" s="55"/>
      <c r="BO22" s="55"/>
    </row>
    <row r="23" spans="1:83" ht="16" thickBot="1">
      <c r="B23" s="23" t="s">
        <v>27</v>
      </c>
      <c r="C23" s="23" t="s">
        <v>73</v>
      </c>
      <c r="D23" s="23"/>
      <c r="E23" s="24">
        <v>8</v>
      </c>
      <c r="F23" s="23"/>
      <c r="G23" s="11">
        <f>+SUM(G24:G37)</f>
        <v>0.99979999999999991</v>
      </c>
      <c r="I23" s="43">
        <f>+SUM(I24:I29)</f>
        <v>36.799999999999997</v>
      </c>
      <c r="J23" s="46">
        <f>+SUMPRODUCT(G24:G29,J24:J29)</f>
        <v>0.22949999999999998</v>
      </c>
      <c r="K23" s="46">
        <f>+SUMPRODUCT(G24:G29,K24:K29)</f>
        <v>0.22949999999999998</v>
      </c>
      <c r="L23" s="19"/>
      <c r="N23" s="43">
        <f>+SUM(N24:N29)</f>
        <v>0</v>
      </c>
      <c r="O23" s="44"/>
      <c r="P23" s="18"/>
      <c r="Q23" s="18"/>
      <c r="R23" s="18"/>
      <c r="S23" s="18"/>
      <c r="U23" s="43"/>
      <c r="V23" s="18"/>
      <c r="W23" s="18"/>
      <c r="X23" s="18"/>
      <c r="Y23" s="18"/>
      <c r="Z23" s="18"/>
      <c r="AB23" s="43">
        <f>SUM(AB24:AB36)</f>
        <v>19</v>
      </c>
      <c r="AC23" s="18"/>
      <c r="AD23" s="18"/>
      <c r="AE23" s="18"/>
      <c r="AF23" s="18"/>
      <c r="AG23" s="18"/>
      <c r="AI23" s="43">
        <f>+SUM(AI24:AI36)</f>
        <v>19</v>
      </c>
      <c r="AJ23" s="18"/>
      <c r="AK23" s="18"/>
      <c r="AL23" s="18"/>
      <c r="AM23" s="18"/>
      <c r="AN23" s="18"/>
      <c r="AP23" s="43">
        <f>+SUM(AP24:AP40)</f>
        <v>31</v>
      </c>
      <c r="AQ23" s="18"/>
      <c r="AR23" s="18"/>
      <c r="AS23" s="18"/>
      <c r="AT23" s="18"/>
      <c r="AU23" s="18"/>
      <c r="AW23" s="18">
        <f>SUM(AW24:AW36)</f>
        <v>17.5</v>
      </c>
      <c r="AX23" s="18"/>
      <c r="AY23" s="18"/>
      <c r="AZ23" s="18"/>
      <c r="BA23" s="18"/>
      <c r="BB23" s="18"/>
      <c r="BD23" s="18"/>
      <c r="BE23" s="18"/>
      <c r="BF23" s="18"/>
      <c r="BG23" s="18"/>
      <c r="BH23" s="18"/>
      <c r="BI23" s="18"/>
      <c r="BL23" s="18"/>
      <c r="BM23" s="18"/>
      <c r="BN23" s="18"/>
      <c r="BO23" s="18"/>
      <c r="BP23" s="18"/>
      <c r="BQ23" s="18"/>
      <c r="BS23" s="18"/>
      <c r="BT23" s="18"/>
      <c r="BU23" s="18"/>
      <c r="BV23" s="18"/>
      <c r="BW23" s="18"/>
      <c r="BX23" s="18"/>
      <c r="BZ23" s="18"/>
      <c r="CA23" s="18"/>
      <c r="CB23" s="18"/>
      <c r="CC23" s="18"/>
      <c r="CD23" s="18"/>
      <c r="CE23" s="18"/>
    </row>
    <row r="24" spans="1:83" ht="31" outlineLevel="1">
      <c r="A24">
        <v>1</v>
      </c>
      <c r="B24" s="22" t="s">
        <v>28</v>
      </c>
      <c r="C24" s="22" t="s">
        <v>73</v>
      </c>
      <c r="D24" s="22"/>
      <c r="E24" s="25"/>
      <c r="F24" s="26" t="s">
        <v>74</v>
      </c>
      <c r="G24" s="11">
        <v>8.1799999999999998E-2</v>
      </c>
      <c r="I24" s="19">
        <f t="shared" ref="I24:I36" si="2">+SUMIF($N$3:$ZZ$3,I$3,$N24:$ZZ24)</f>
        <v>7.3</v>
      </c>
      <c r="J24" s="46">
        <f t="shared" ref="J24:K36" si="3">+_xlfn.MAXIFS($N24:$ZF24,$N$3:$ZF$3,J$3)</f>
        <v>0.5</v>
      </c>
      <c r="K24" s="46">
        <f t="shared" si="3"/>
        <v>0.5</v>
      </c>
      <c r="L24" s="19"/>
      <c r="N24" s="18"/>
      <c r="O24" s="44">
        <v>0.5</v>
      </c>
      <c r="P24" s="44"/>
      <c r="Q24" s="44">
        <v>0.5</v>
      </c>
      <c r="R24" s="44"/>
      <c r="S24" s="18"/>
      <c r="U24" s="18"/>
      <c r="V24" s="44">
        <v>0.5</v>
      </c>
      <c r="W24" s="44"/>
      <c r="X24" s="44">
        <v>0.5</v>
      </c>
      <c r="Y24" s="44"/>
      <c r="Z24" s="18"/>
      <c r="AB24" s="18">
        <v>3.8</v>
      </c>
      <c r="AC24" s="44"/>
      <c r="AD24" s="44">
        <v>0.8</v>
      </c>
      <c r="AE24" s="44"/>
      <c r="AF24" s="44">
        <v>0.8</v>
      </c>
      <c r="AG24" s="18"/>
      <c r="AI24" s="18"/>
      <c r="AJ24" s="44"/>
      <c r="AK24" s="44">
        <v>0.8</v>
      </c>
      <c r="AL24" s="44"/>
      <c r="AM24" s="44">
        <v>0.8</v>
      </c>
      <c r="AN24" s="18"/>
      <c r="AP24" s="18">
        <v>3.5</v>
      </c>
      <c r="AQ24" s="44"/>
      <c r="AR24" s="44">
        <v>1</v>
      </c>
      <c r="AS24" s="44"/>
      <c r="AT24" s="44">
        <v>1</v>
      </c>
      <c r="AU24" s="18"/>
      <c r="AW24" s="18"/>
      <c r="AX24" s="44"/>
      <c r="AY24" s="44">
        <v>1</v>
      </c>
      <c r="AZ24" s="44"/>
      <c r="BA24" s="44">
        <v>1</v>
      </c>
      <c r="BB24" s="18"/>
      <c r="BD24" s="18"/>
      <c r="BE24" s="44"/>
      <c r="BF24" s="44"/>
      <c r="BG24" s="44"/>
      <c r="BH24" s="44"/>
      <c r="BI24" s="18"/>
      <c r="BL24" s="18"/>
      <c r="BM24" s="44"/>
      <c r="BN24" s="44"/>
      <c r="BO24" s="44"/>
      <c r="BP24" s="44"/>
      <c r="BQ24" s="18"/>
      <c r="BS24" s="18"/>
      <c r="BT24" s="18"/>
      <c r="BU24" s="18"/>
      <c r="BV24" s="18"/>
      <c r="BW24" s="18"/>
      <c r="BX24" s="18"/>
      <c r="BZ24" s="18"/>
      <c r="CA24" s="18"/>
      <c r="CB24" s="18"/>
      <c r="CC24" s="18"/>
      <c r="CD24" s="18"/>
      <c r="CE24" s="18"/>
    </row>
    <row r="25" spans="1:83" ht="31" outlineLevel="1">
      <c r="A25">
        <v>2</v>
      </c>
      <c r="B25" s="18" t="s">
        <v>28</v>
      </c>
      <c r="C25" s="18" t="s">
        <v>73</v>
      </c>
      <c r="D25" s="18"/>
      <c r="E25" s="19"/>
      <c r="F25" s="20" t="s">
        <v>75</v>
      </c>
      <c r="G25" s="11">
        <v>8.1799999999999998E-2</v>
      </c>
      <c r="I25" s="19">
        <f t="shared" si="2"/>
        <v>7.3</v>
      </c>
      <c r="J25" s="46">
        <f t="shared" si="3"/>
        <v>0.5</v>
      </c>
      <c r="K25" s="46">
        <f t="shared" si="3"/>
        <v>0.5</v>
      </c>
      <c r="L25" s="19"/>
      <c r="N25" s="18"/>
      <c r="O25" s="44">
        <v>0.5</v>
      </c>
      <c r="P25" s="44"/>
      <c r="Q25" s="44">
        <v>0.5</v>
      </c>
      <c r="R25" s="44"/>
      <c r="S25" s="18"/>
      <c r="U25" s="18"/>
      <c r="V25" s="44">
        <v>0.5</v>
      </c>
      <c r="W25" s="44"/>
      <c r="X25" s="44">
        <v>0.5</v>
      </c>
      <c r="Y25" s="44"/>
      <c r="Z25" s="18"/>
      <c r="AB25" s="18">
        <v>3.8</v>
      </c>
      <c r="AC25" s="44"/>
      <c r="AD25" s="44">
        <v>0.8</v>
      </c>
      <c r="AE25" s="44"/>
      <c r="AF25" s="44">
        <v>0.8</v>
      </c>
      <c r="AG25" s="18"/>
      <c r="AI25" s="18"/>
      <c r="AJ25" s="44"/>
      <c r="AK25" s="44">
        <v>0.8</v>
      </c>
      <c r="AL25" s="44"/>
      <c r="AM25" s="44">
        <v>0.8</v>
      </c>
      <c r="AN25" s="18"/>
      <c r="AP25" s="18">
        <v>3.5</v>
      </c>
      <c r="AQ25" s="44"/>
      <c r="AR25" s="44">
        <v>1</v>
      </c>
      <c r="AS25" s="44"/>
      <c r="AT25" s="44">
        <v>1</v>
      </c>
      <c r="AU25" s="18"/>
      <c r="AW25" s="18"/>
      <c r="AX25" s="44"/>
      <c r="AY25" s="44">
        <v>1</v>
      </c>
      <c r="AZ25" s="44"/>
      <c r="BA25" s="44">
        <v>1</v>
      </c>
      <c r="BB25" s="18"/>
      <c r="BD25" s="18"/>
      <c r="BE25" s="44"/>
      <c r="BF25" s="44"/>
      <c r="BG25" s="44"/>
      <c r="BH25" s="44"/>
      <c r="BI25" s="18"/>
      <c r="BL25" s="18"/>
      <c r="BM25" s="44"/>
      <c r="BN25" s="44"/>
      <c r="BO25" s="44"/>
      <c r="BP25" s="44"/>
      <c r="BQ25" s="18"/>
      <c r="BS25" s="18"/>
      <c r="BT25" s="18"/>
      <c r="BU25" s="18"/>
      <c r="BV25" s="18"/>
      <c r="BW25" s="18"/>
      <c r="BX25" s="18"/>
      <c r="BZ25" s="18"/>
      <c r="CA25" s="18"/>
      <c r="CB25" s="18"/>
      <c r="CC25" s="18"/>
      <c r="CD25" s="18"/>
      <c r="CE25" s="18"/>
    </row>
    <row r="26" spans="1:83" ht="46.5" outlineLevel="1">
      <c r="A26">
        <v>3</v>
      </c>
      <c r="B26" s="18" t="s">
        <v>28</v>
      </c>
      <c r="C26" s="18" t="s">
        <v>73</v>
      </c>
      <c r="D26" s="18"/>
      <c r="E26" s="19"/>
      <c r="F26" s="20" t="s">
        <v>76</v>
      </c>
      <c r="G26" s="11">
        <v>8.1799999999999998E-2</v>
      </c>
      <c r="I26" s="19">
        <f t="shared" si="2"/>
        <v>7.3</v>
      </c>
      <c r="J26" s="46">
        <f t="shared" si="3"/>
        <v>0.5</v>
      </c>
      <c r="K26" s="46">
        <f t="shared" si="3"/>
        <v>0.5</v>
      </c>
      <c r="L26" s="19"/>
      <c r="N26" s="18"/>
      <c r="O26" s="44">
        <v>0.5</v>
      </c>
      <c r="P26" s="44"/>
      <c r="Q26" s="44">
        <v>0.5</v>
      </c>
      <c r="R26" s="44"/>
      <c r="S26" s="18"/>
      <c r="U26" s="18"/>
      <c r="V26" s="44">
        <v>0.5</v>
      </c>
      <c r="W26" s="44"/>
      <c r="X26" s="44">
        <v>0.5</v>
      </c>
      <c r="Y26" s="44"/>
      <c r="Z26" s="18"/>
      <c r="AB26" s="18">
        <v>3.8</v>
      </c>
      <c r="AC26" s="44"/>
      <c r="AD26" s="44">
        <v>0.8</v>
      </c>
      <c r="AE26" s="44"/>
      <c r="AF26" s="44">
        <v>0.8</v>
      </c>
      <c r="AG26" s="18"/>
      <c r="AI26" s="18"/>
      <c r="AJ26" s="44"/>
      <c r="AK26" s="44">
        <v>0.8</v>
      </c>
      <c r="AL26" s="44"/>
      <c r="AM26" s="44">
        <v>0.8</v>
      </c>
      <c r="AN26" s="18"/>
      <c r="AP26" s="18"/>
      <c r="AQ26" s="44"/>
      <c r="AR26" s="44">
        <v>0.8</v>
      </c>
      <c r="AS26" s="44"/>
      <c r="AT26" s="44">
        <v>0.8</v>
      </c>
      <c r="AU26" s="18"/>
      <c r="AW26" s="18">
        <v>3.5</v>
      </c>
      <c r="AX26" s="44"/>
      <c r="AY26" s="44">
        <v>1</v>
      </c>
      <c r="AZ26" s="44"/>
      <c r="BA26" s="44">
        <v>1</v>
      </c>
      <c r="BB26" s="18"/>
      <c r="BD26" s="18"/>
      <c r="BE26" s="44"/>
      <c r="BF26" s="44"/>
      <c r="BG26" s="44"/>
      <c r="BH26" s="44"/>
      <c r="BI26" s="18"/>
      <c r="BL26" s="18"/>
      <c r="BM26" s="44"/>
      <c r="BN26" s="44"/>
      <c r="BO26" s="44"/>
      <c r="BP26" s="44"/>
      <c r="BQ26" s="18"/>
      <c r="BS26" s="18"/>
      <c r="BT26" s="18"/>
      <c r="BU26" s="18"/>
      <c r="BV26" s="18"/>
      <c r="BW26" s="18"/>
      <c r="BX26" s="18"/>
      <c r="BZ26" s="18"/>
      <c r="CA26" s="18"/>
      <c r="CB26" s="18"/>
      <c r="CC26" s="18"/>
      <c r="CD26" s="18"/>
      <c r="CE26" s="18"/>
    </row>
    <row r="27" spans="1:83" ht="31" outlineLevel="1">
      <c r="A27">
        <v>4</v>
      </c>
      <c r="B27" s="18" t="s">
        <v>28</v>
      </c>
      <c r="C27" s="18" t="s">
        <v>73</v>
      </c>
      <c r="D27" s="18"/>
      <c r="E27" s="19"/>
      <c r="F27" s="20" t="s">
        <v>77</v>
      </c>
      <c r="G27" s="11">
        <v>8.1799999999999998E-2</v>
      </c>
      <c r="I27" s="19">
        <f t="shared" si="2"/>
        <v>7.3</v>
      </c>
      <c r="J27" s="46">
        <f t="shared" si="3"/>
        <v>0.5</v>
      </c>
      <c r="K27" s="46">
        <f t="shared" si="3"/>
        <v>0.5</v>
      </c>
      <c r="L27" s="19"/>
      <c r="N27" s="18"/>
      <c r="O27" s="44">
        <v>0.5</v>
      </c>
      <c r="P27" s="44"/>
      <c r="Q27" s="44">
        <v>0.5</v>
      </c>
      <c r="R27" s="44"/>
      <c r="S27" s="18"/>
      <c r="U27" s="18"/>
      <c r="V27" s="44">
        <v>0.5</v>
      </c>
      <c r="W27" s="44"/>
      <c r="X27" s="44">
        <v>0.5</v>
      </c>
      <c r="Y27" s="44"/>
      <c r="Z27" s="18"/>
      <c r="AB27" s="18">
        <v>3.8</v>
      </c>
      <c r="AC27" s="44"/>
      <c r="AD27" s="44">
        <v>0.8</v>
      </c>
      <c r="AE27" s="44"/>
      <c r="AF27" s="44">
        <v>0.8</v>
      </c>
      <c r="AG27" s="18"/>
      <c r="AI27" s="18"/>
      <c r="AJ27" s="44"/>
      <c r="AK27" s="44">
        <v>0.8</v>
      </c>
      <c r="AL27" s="44"/>
      <c r="AM27" s="44">
        <v>0.8</v>
      </c>
      <c r="AN27" s="18"/>
      <c r="AP27" s="18"/>
      <c r="AQ27" s="44"/>
      <c r="AR27" s="44">
        <v>0.8</v>
      </c>
      <c r="AS27" s="44"/>
      <c r="AT27" s="44">
        <v>0.8</v>
      </c>
      <c r="AU27" s="18"/>
      <c r="AW27" s="18">
        <v>3.5</v>
      </c>
      <c r="AX27" s="44"/>
      <c r="AY27" s="44">
        <v>1</v>
      </c>
      <c r="AZ27" s="44"/>
      <c r="BA27" s="44">
        <v>1</v>
      </c>
      <c r="BB27" s="18"/>
      <c r="BD27" s="18"/>
      <c r="BE27" s="44"/>
      <c r="BF27" s="44"/>
      <c r="BG27" s="44"/>
      <c r="BH27" s="44"/>
      <c r="BI27" s="18"/>
      <c r="BL27" s="18"/>
      <c r="BM27" s="44"/>
      <c r="BN27" s="44"/>
      <c r="BO27" s="44"/>
      <c r="BP27" s="44"/>
      <c r="BQ27" s="18"/>
      <c r="BS27" s="18"/>
      <c r="BT27" s="18"/>
      <c r="BU27" s="18"/>
      <c r="BV27" s="18"/>
      <c r="BW27" s="18"/>
      <c r="BX27" s="18"/>
      <c r="BZ27" s="18"/>
      <c r="CA27" s="18"/>
      <c r="CB27" s="18"/>
      <c r="CC27" s="18"/>
      <c r="CD27" s="18"/>
      <c r="CE27" s="18"/>
    </row>
    <row r="28" spans="1:83" ht="31" outlineLevel="1">
      <c r="A28">
        <v>5</v>
      </c>
      <c r="B28" s="18" t="s">
        <v>28</v>
      </c>
      <c r="C28" s="18" t="s">
        <v>73</v>
      </c>
      <c r="D28" s="18"/>
      <c r="E28" s="19"/>
      <c r="F28" s="20" t="s">
        <v>78</v>
      </c>
      <c r="G28" s="11">
        <v>8.1799999999999998E-2</v>
      </c>
      <c r="I28" s="19">
        <f t="shared" si="2"/>
        <v>3.8</v>
      </c>
      <c r="J28" s="46">
        <f t="shared" si="3"/>
        <v>0.5</v>
      </c>
      <c r="K28" s="46">
        <f t="shared" si="3"/>
        <v>0.5</v>
      </c>
      <c r="L28" s="19"/>
      <c r="N28" s="18"/>
      <c r="O28" s="44">
        <v>0.5</v>
      </c>
      <c r="P28" s="44"/>
      <c r="Q28" s="44">
        <v>0.5</v>
      </c>
      <c r="R28" s="44"/>
      <c r="S28" s="18"/>
      <c r="U28" s="18"/>
      <c r="V28" s="44">
        <v>0.5</v>
      </c>
      <c r="W28" s="44"/>
      <c r="X28" s="44">
        <v>0.5</v>
      </c>
      <c r="Y28" s="44"/>
      <c r="Z28" s="18"/>
      <c r="AB28" s="18"/>
      <c r="AC28" s="44"/>
      <c r="AD28" s="44">
        <v>0.5</v>
      </c>
      <c r="AE28" s="44"/>
      <c r="AF28" s="44">
        <v>0.5</v>
      </c>
      <c r="AG28" s="18"/>
      <c r="AI28" s="18">
        <v>3.8</v>
      </c>
      <c r="AJ28" s="44"/>
      <c r="AK28" s="44">
        <v>0.8</v>
      </c>
      <c r="AL28" s="44"/>
      <c r="AM28" s="44">
        <v>0.8</v>
      </c>
      <c r="AN28" s="18"/>
      <c r="AP28" s="18"/>
      <c r="AQ28" s="44"/>
      <c r="AR28" s="44">
        <v>0.8</v>
      </c>
      <c r="AS28" s="44"/>
      <c r="AT28" s="44">
        <v>0.8</v>
      </c>
      <c r="AU28" s="18"/>
      <c r="AW28" s="18"/>
      <c r="AX28" s="44"/>
      <c r="AY28" s="44">
        <v>0.8</v>
      </c>
      <c r="AZ28" s="44"/>
      <c r="BA28" s="44">
        <v>0.8</v>
      </c>
      <c r="BB28" s="18"/>
      <c r="BD28" s="18"/>
      <c r="BE28" s="44"/>
      <c r="BF28" s="44"/>
      <c r="BG28" s="44"/>
      <c r="BH28" s="44"/>
      <c r="BI28" s="18"/>
      <c r="BL28" s="18"/>
      <c r="BM28" s="44"/>
      <c r="BN28" s="44"/>
      <c r="BO28" s="44"/>
      <c r="BP28" s="44"/>
      <c r="BQ28" s="18"/>
      <c r="BS28" s="18"/>
      <c r="BT28" s="18"/>
      <c r="BU28" s="18"/>
      <c r="BV28" s="18"/>
      <c r="BW28" s="18"/>
      <c r="BX28" s="18"/>
      <c r="BZ28" s="18"/>
      <c r="CA28" s="18"/>
      <c r="CB28" s="18"/>
      <c r="CC28" s="18"/>
      <c r="CD28" s="18"/>
      <c r="CE28" s="18"/>
    </row>
    <row r="29" spans="1:83" ht="31" outlineLevel="1">
      <c r="A29">
        <v>6</v>
      </c>
      <c r="B29" s="18" t="s">
        <v>28</v>
      </c>
      <c r="C29" s="18" t="s">
        <v>73</v>
      </c>
      <c r="D29" s="18"/>
      <c r="E29" s="19"/>
      <c r="F29" s="20" t="s">
        <v>79</v>
      </c>
      <c r="G29" s="11">
        <v>0.05</v>
      </c>
      <c r="I29" s="19">
        <f t="shared" si="2"/>
        <v>3.8</v>
      </c>
      <c r="J29" s="46">
        <f t="shared" si="3"/>
        <v>0.5</v>
      </c>
      <c r="K29" s="46">
        <f t="shared" si="3"/>
        <v>0.5</v>
      </c>
      <c r="L29" s="19"/>
      <c r="N29" s="18"/>
      <c r="O29" s="44">
        <v>0.5</v>
      </c>
      <c r="P29" s="44"/>
      <c r="Q29" s="44">
        <v>0.5</v>
      </c>
      <c r="R29" s="44"/>
      <c r="S29" s="18"/>
      <c r="U29" s="18"/>
      <c r="V29" s="44">
        <v>0.5</v>
      </c>
      <c r="W29" s="44"/>
      <c r="X29" s="44">
        <v>0.5</v>
      </c>
      <c r="Y29" s="44"/>
      <c r="Z29" s="18"/>
      <c r="AB29" s="18"/>
      <c r="AC29" s="44"/>
      <c r="AD29" s="44">
        <v>0.5</v>
      </c>
      <c r="AE29" s="44"/>
      <c r="AF29" s="44">
        <v>0.5</v>
      </c>
      <c r="AG29" s="18"/>
      <c r="AI29" s="18">
        <v>3.8</v>
      </c>
      <c r="AJ29" s="44"/>
      <c r="AK29" s="44">
        <v>0.8</v>
      </c>
      <c r="AL29" s="44"/>
      <c r="AM29" s="44">
        <v>0.8</v>
      </c>
      <c r="AN29" s="18"/>
      <c r="AP29" s="18"/>
      <c r="AQ29" s="44"/>
      <c r="AR29" s="44">
        <v>0.8</v>
      </c>
      <c r="AS29" s="44"/>
      <c r="AT29" s="44">
        <v>0.8</v>
      </c>
      <c r="AU29" s="18"/>
      <c r="AW29" s="18"/>
      <c r="AX29" s="44"/>
      <c r="AY29" s="44">
        <v>0.8</v>
      </c>
      <c r="AZ29" s="44"/>
      <c r="BA29" s="44">
        <v>0.8</v>
      </c>
      <c r="BB29" s="18"/>
      <c r="BD29" s="18"/>
      <c r="BE29" s="44"/>
      <c r="BF29" s="44"/>
      <c r="BG29" s="44"/>
      <c r="BH29" s="44"/>
      <c r="BI29" s="18"/>
      <c r="BL29" s="18"/>
      <c r="BM29" s="44"/>
      <c r="BN29" s="44"/>
      <c r="BO29" s="44"/>
      <c r="BP29" s="44"/>
      <c r="BQ29" s="18"/>
      <c r="BS29" s="18"/>
      <c r="BT29" s="18"/>
      <c r="BU29" s="18"/>
      <c r="BV29" s="18"/>
      <c r="BW29" s="18"/>
      <c r="BX29" s="18"/>
      <c r="BZ29" s="18"/>
      <c r="CA29" s="18"/>
      <c r="CB29" s="18"/>
      <c r="CC29" s="18"/>
      <c r="CD29" s="18"/>
      <c r="CE29" s="18"/>
    </row>
    <row r="30" spans="1:83" ht="36" customHeight="1" outlineLevel="1">
      <c r="A30">
        <v>7</v>
      </c>
      <c r="B30" s="18" t="s">
        <v>28</v>
      </c>
      <c r="C30" s="18" t="s">
        <v>73</v>
      </c>
      <c r="D30" s="18"/>
      <c r="E30" s="19"/>
      <c r="F30" s="20" t="s">
        <v>170</v>
      </c>
      <c r="G30" s="11">
        <v>0.05</v>
      </c>
      <c r="I30" s="19">
        <f t="shared" si="2"/>
        <v>3.8</v>
      </c>
      <c r="J30" s="46">
        <f t="shared" si="3"/>
        <v>0.5</v>
      </c>
      <c r="K30" s="46">
        <f t="shared" si="3"/>
        <v>0.5</v>
      </c>
      <c r="L30" s="19"/>
      <c r="N30" s="18"/>
      <c r="O30" s="44">
        <v>0.5</v>
      </c>
      <c r="P30" s="44"/>
      <c r="Q30" s="44">
        <v>0.5</v>
      </c>
      <c r="R30" s="44"/>
      <c r="S30" s="18"/>
      <c r="U30" s="18"/>
      <c r="V30" s="44">
        <v>0.5</v>
      </c>
      <c r="W30" s="44"/>
      <c r="X30" s="44">
        <v>0.5</v>
      </c>
      <c r="Y30" s="44"/>
      <c r="Z30" s="18"/>
      <c r="AB30" s="18"/>
      <c r="AC30" s="44"/>
      <c r="AD30" s="44">
        <v>0.5</v>
      </c>
      <c r="AE30" s="44"/>
      <c r="AF30" s="44">
        <v>0.5</v>
      </c>
      <c r="AG30" s="18"/>
      <c r="AI30" s="18">
        <v>3.8</v>
      </c>
      <c r="AJ30" s="44"/>
      <c r="AK30" s="44">
        <v>0.8</v>
      </c>
      <c r="AL30" s="44"/>
      <c r="AM30" s="44">
        <v>0.8</v>
      </c>
      <c r="AN30" s="18"/>
      <c r="AP30" s="18"/>
      <c r="AQ30" s="44"/>
      <c r="AR30" s="44">
        <v>0.8</v>
      </c>
      <c r="AS30" s="44"/>
      <c r="AT30" s="44">
        <v>0.8</v>
      </c>
      <c r="AU30" s="18"/>
      <c r="AW30" s="18"/>
      <c r="AX30" s="44"/>
      <c r="AY30" s="44">
        <v>0.8</v>
      </c>
      <c r="AZ30" s="44"/>
      <c r="BA30" s="44">
        <v>0.8</v>
      </c>
      <c r="BB30" s="18"/>
      <c r="BD30" s="18"/>
      <c r="BE30" s="44"/>
      <c r="BF30" s="44"/>
      <c r="BG30" s="44"/>
      <c r="BH30" s="44"/>
      <c r="BI30" s="18"/>
      <c r="BL30" s="18"/>
      <c r="BM30" s="44"/>
      <c r="BN30" s="44"/>
      <c r="BO30" s="44"/>
      <c r="BP30" s="44"/>
      <c r="BQ30" s="18"/>
      <c r="BS30" s="18"/>
      <c r="BT30" s="18"/>
      <c r="BU30" s="18"/>
      <c r="BV30" s="18"/>
      <c r="BW30" s="18"/>
      <c r="BX30" s="18"/>
      <c r="BZ30" s="18"/>
      <c r="CA30" s="18"/>
      <c r="CB30" s="18"/>
      <c r="CC30" s="18"/>
      <c r="CD30" s="18"/>
      <c r="CE30" s="18"/>
    </row>
    <row r="31" spans="1:83" ht="31" outlineLevel="1">
      <c r="A31">
        <v>8</v>
      </c>
      <c r="B31" s="18" t="s">
        <v>28</v>
      </c>
      <c r="C31" s="18" t="s">
        <v>73</v>
      </c>
      <c r="D31" s="18"/>
      <c r="E31" s="19"/>
      <c r="F31" s="20" t="s">
        <v>171</v>
      </c>
      <c r="G31" s="11">
        <v>8.1799999999999998E-2</v>
      </c>
      <c r="I31" s="19">
        <f t="shared" si="2"/>
        <v>3.8</v>
      </c>
      <c r="J31" s="46">
        <f t="shared" si="3"/>
        <v>0.5</v>
      </c>
      <c r="K31" s="46">
        <f t="shared" si="3"/>
        <v>0.5</v>
      </c>
      <c r="L31" s="19"/>
      <c r="N31" s="18"/>
      <c r="O31" s="44"/>
      <c r="P31" s="44"/>
      <c r="Q31" s="44"/>
      <c r="R31" s="44"/>
      <c r="S31" s="18"/>
      <c r="U31" s="18"/>
      <c r="V31" s="44">
        <v>0.5</v>
      </c>
      <c r="W31" s="44"/>
      <c r="X31" s="44">
        <v>0.5</v>
      </c>
      <c r="Y31" s="44"/>
      <c r="Z31" s="18"/>
      <c r="AB31" s="18"/>
      <c r="AC31" s="44"/>
      <c r="AD31" s="44">
        <v>0.5</v>
      </c>
      <c r="AE31" s="44"/>
      <c r="AF31" s="44">
        <v>0.5</v>
      </c>
      <c r="AG31" s="18"/>
      <c r="AI31" s="18">
        <v>3.8</v>
      </c>
      <c r="AJ31" s="44"/>
      <c r="AK31" s="44">
        <v>0.8</v>
      </c>
      <c r="AL31" s="44"/>
      <c r="AM31" s="44">
        <v>0.8</v>
      </c>
      <c r="AN31" s="18"/>
      <c r="AP31" s="18"/>
      <c r="AQ31" s="44"/>
      <c r="AR31" s="44">
        <v>0.8</v>
      </c>
      <c r="AS31" s="44"/>
      <c r="AT31" s="44">
        <v>0.8</v>
      </c>
      <c r="AU31" s="18"/>
      <c r="AW31" s="18"/>
      <c r="AX31" s="44"/>
      <c r="AY31" s="44">
        <v>0.8</v>
      </c>
      <c r="AZ31" s="44"/>
      <c r="BA31" s="44">
        <v>0.8</v>
      </c>
      <c r="BB31" s="18"/>
      <c r="BD31" s="18"/>
      <c r="BE31" s="44"/>
      <c r="BF31" s="44"/>
      <c r="BG31" s="44"/>
      <c r="BH31" s="44"/>
      <c r="BI31" s="18"/>
      <c r="BL31" s="18"/>
      <c r="BM31" s="44"/>
      <c r="BN31" s="44"/>
      <c r="BO31" s="44"/>
      <c r="BP31" s="44"/>
      <c r="BQ31" s="18"/>
      <c r="BS31" s="18"/>
      <c r="BT31" s="18"/>
      <c r="BU31" s="18"/>
      <c r="BV31" s="18"/>
      <c r="BW31" s="18"/>
      <c r="BX31" s="18"/>
      <c r="BZ31" s="18"/>
      <c r="CA31" s="18"/>
      <c r="CB31" s="18"/>
      <c r="CC31" s="18"/>
      <c r="CD31" s="18"/>
      <c r="CE31" s="18"/>
    </row>
    <row r="32" spans="1:83" ht="31" outlineLevel="1">
      <c r="A32">
        <v>9</v>
      </c>
      <c r="B32" s="18" t="s">
        <v>28</v>
      </c>
      <c r="C32" s="18" t="s">
        <v>73</v>
      </c>
      <c r="D32" s="18"/>
      <c r="E32" s="19"/>
      <c r="F32" s="20" t="s">
        <v>80</v>
      </c>
      <c r="G32" s="11">
        <v>8.1799999999999998E-2</v>
      </c>
      <c r="I32" s="19">
        <f t="shared" si="2"/>
        <v>7.3</v>
      </c>
      <c r="J32" s="46">
        <f t="shared" si="3"/>
        <v>0</v>
      </c>
      <c r="K32" s="46">
        <f t="shared" si="3"/>
        <v>0</v>
      </c>
      <c r="L32" s="19"/>
      <c r="N32" s="18"/>
      <c r="O32" s="44"/>
      <c r="P32" s="44"/>
      <c r="Q32" s="44"/>
      <c r="R32" s="44"/>
      <c r="S32" s="18"/>
      <c r="U32" s="18"/>
      <c r="V32" s="44"/>
      <c r="W32" s="44"/>
      <c r="X32" s="44"/>
      <c r="Y32" s="44"/>
      <c r="Z32" s="18"/>
      <c r="AB32" s="18">
        <v>3.8</v>
      </c>
      <c r="AC32" s="44"/>
      <c r="AD32" s="44">
        <v>0.5</v>
      </c>
      <c r="AE32" s="44"/>
      <c r="AF32" s="44">
        <v>0.5</v>
      </c>
      <c r="AG32" s="18"/>
      <c r="AI32" s="18"/>
      <c r="AJ32" s="44"/>
      <c r="AK32" s="44">
        <v>0.5</v>
      </c>
      <c r="AL32" s="44"/>
      <c r="AM32" s="44">
        <v>0.5</v>
      </c>
      <c r="AN32" s="18"/>
      <c r="AP32" s="18">
        <v>3.5</v>
      </c>
      <c r="AQ32" s="44"/>
      <c r="AR32" s="44">
        <v>0.8</v>
      </c>
      <c r="AS32" s="44"/>
      <c r="AT32" s="44">
        <v>0.8</v>
      </c>
      <c r="AU32" s="18"/>
      <c r="AW32" s="18"/>
      <c r="AX32" s="44"/>
      <c r="AY32" s="44">
        <v>0.8</v>
      </c>
      <c r="AZ32" s="44"/>
      <c r="BA32" s="44">
        <v>0.8</v>
      </c>
      <c r="BB32" s="18"/>
      <c r="BD32" s="18"/>
      <c r="BE32" s="44"/>
      <c r="BF32" s="44"/>
      <c r="BG32" s="44"/>
      <c r="BH32" s="44"/>
      <c r="BI32" s="18"/>
      <c r="BL32" s="18"/>
      <c r="BM32" s="44"/>
      <c r="BN32" s="44"/>
      <c r="BO32" s="44"/>
      <c r="BP32" s="44"/>
      <c r="BQ32" s="18"/>
      <c r="BS32" s="18"/>
      <c r="BT32" s="18"/>
      <c r="BU32" s="18"/>
      <c r="BV32" s="18"/>
      <c r="BW32" s="18"/>
      <c r="BX32" s="18"/>
      <c r="BZ32" s="18"/>
      <c r="CA32" s="18"/>
      <c r="CB32" s="18"/>
      <c r="CC32" s="18"/>
      <c r="CD32" s="18"/>
      <c r="CE32" s="18"/>
    </row>
    <row r="33" spans="1:83" ht="31" outlineLevel="1">
      <c r="A33">
        <v>10</v>
      </c>
      <c r="B33" s="18" t="s">
        <v>28</v>
      </c>
      <c r="C33" s="18" t="s">
        <v>73</v>
      </c>
      <c r="D33" s="18"/>
      <c r="E33" s="19"/>
      <c r="F33" s="20" t="s">
        <v>81</v>
      </c>
      <c r="G33" s="11">
        <v>8.1799999999999998E-2</v>
      </c>
      <c r="I33" s="19">
        <f t="shared" si="2"/>
        <v>7.3</v>
      </c>
      <c r="J33" s="46">
        <f t="shared" si="3"/>
        <v>0</v>
      </c>
      <c r="K33" s="46">
        <f t="shared" si="3"/>
        <v>0</v>
      </c>
      <c r="L33" s="19"/>
      <c r="N33" s="18"/>
      <c r="O33" s="44"/>
      <c r="P33" s="44"/>
      <c r="Q33" s="44"/>
      <c r="R33" s="44"/>
      <c r="S33" s="18"/>
      <c r="U33" s="18"/>
      <c r="V33" s="44"/>
      <c r="W33" s="44"/>
      <c r="X33" s="44"/>
      <c r="Y33" s="44"/>
      <c r="Z33" s="18"/>
      <c r="AB33" s="18"/>
      <c r="AC33" s="44"/>
      <c r="AD33" s="44"/>
      <c r="AE33" s="44"/>
      <c r="AF33" s="44"/>
      <c r="AG33" s="18"/>
      <c r="AI33" s="18">
        <v>3.8</v>
      </c>
      <c r="AJ33" s="44"/>
      <c r="AK33" s="44">
        <v>0.5</v>
      </c>
      <c r="AL33" s="44"/>
      <c r="AM33" s="44">
        <v>0.5</v>
      </c>
      <c r="AN33" s="18"/>
      <c r="AP33" s="18">
        <v>3.5</v>
      </c>
      <c r="AQ33" s="44"/>
      <c r="AR33" s="44">
        <v>0.8</v>
      </c>
      <c r="AS33" s="44"/>
      <c r="AT33" s="44">
        <v>0.8</v>
      </c>
      <c r="AU33" s="18"/>
      <c r="AW33" s="18"/>
      <c r="AX33" s="44"/>
      <c r="AY33" s="44">
        <v>0.8</v>
      </c>
      <c r="AZ33" s="44"/>
      <c r="BA33" s="44">
        <v>0.8</v>
      </c>
      <c r="BB33" s="18"/>
      <c r="BD33" s="18"/>
      <c r="BE33" s="44"/>
      <c r="BF33" s="44"/>
      <c r="BG33" s="44"/>
      <c r="BH33" s="44"/>
      <c r="BI33" s="18"/>
      <c r="BL33" s="18"/>
      <c r="BM33" s="44"/>
      <c r="BN33" s="44"/>
      <c r="BO33" s="44"/>
      <c r="BP33" s="44"/>
      <c r="BQ33" s="18"/>
      <c r="BS33" s="18"/>
      <c r="BT33" s="18"/>
      <c r="BU33" s="18"/>
      <c r="BV33" s="18"/>
      <c r="BW33" s="18"/>
      <c r="BX33" s="18"/>
      <c r="BZ33" s="18"/>
      <c r="CA33" s="18"/>
      <c r="CB33" s="18"/>
      <c r="CC33" s="18"/>
      <c r="CD33" s="18"/>
      <c r="CE33" s="18"/>
    </row>
    <row r="34" spans="1:83" ht="46.5" outlineLevel="1">
      <c r="A34">
        <v>11</v>
      </c>
      <c r="B34" s="18" t="s">
        <v>28</v>
      </c>
      <c r="C34" s="18" t="s">
        <v>73</v>
      </c>
      <c r="D34" s="18"/>
      <c r="E34" s="19"/>
      <c r="F34" s="20" t="s">
        <v>82</v>
      </c>
      <c r="G34" s="11">
        <v>8.1799999999999998E-2</v>
      </c>
      <c r="I34" s="19">
        <f t="shared" si="2"/>
        <v>7</v>
      </c>
      <c r="J34" s="46">
        <f t="shared" si="3"/>
        <v>0</v>
      </c>
      <c r="K34" s="46">
        <f t="shared" si="3"/>
        <v>0</v>
      </c>
      <c r="L34" s="19"/>
      <c r="N34" s="18"/>
      <c r="O34" s="44"/>
      <c r="P34" s="44"/>
      <c r="Q34" s="44"/>
      <c r="R34" s="44"/>
      <c r="S34" s="18"/>
      <c r="U34" s="18"/>
      <c r="V34" s="44"/>
      <c r="W34" s="44"/>
      <c r="X34" s="44"/>
      <c r="Y34" s="44"/>
      <c r="Z34" s="18"/>
      <c r="AB34" s="18"/>
      <c r="AC34" s="44"/>
      <c r="AD34" s="44"/>
      <c r="AE34" s="44"/>
      <c r="AF34" s="44"/>
      <c r="AG34" s="18"/>
      <c r="AI34" s="18"/>
      <c r="AJ34" s="44"/>
      <c r="AK34" s="44"/>
      <c r="AL34" s="44"/>
      <c r="AM34" s="44"/>
      <c r="AN34" s="18"/>
      <c r="AP34" s="18">
        <v>3.5</v>
      </c>
      <c r="AQ34" s="44"/>
      <c r="AR34" s="44">
        <v>0.5</v>
      </c>
      <c r="AS34" s="44"/>
      <c r="AT34" s="44">
        <v>0.5</v>
      </c>
      <c r="AU34" s="18"/>
      <c r="AW34" s="18">
        <v>3.5</v>
      </c>
      <c r="AX34" s="44"/>
      <c r="AY34" s="44">
        <v>0.8</v>
      </c>
      <c r="AZ34" s="44"/>
      <c r="BA34" s="44">
        <v>0.8</v>
      </c>
      <c r="BB34" s="18"/>
      <c r="BD34" s="18"/>
      <c r="BE34" s="44"/>
      <c r="BF34" s="44"/>
      <c r="BG34" s="44"/>
      <c r="BH34" s="44"/>
      <c r="BI34" s="18"/>
      <c r="BL34" s="18"/>
      <c r="BM34" s="44"/>
      <c r="BN34" s="44"/>
      <c r="BO34" s="44"/>
      <c r="BP34" s="44"/>
      <c r="BQ34" s="18"/>
      <c r="BS34" s="18"/>
      <c r="BT34" s="18"/>
      <c r="BU34" s="18"/>
      <c r="BV34" s="18"/>
      <c r="BW34" s="18"/>
      <c r="BX34" s="18"/>
      <c r="BZ34" s="18"/>
      <c r="CA34" s="18"/>
      <c r="CB34" s="18"/>
      <c r="CC34" s="18"/>
      <c r="CD34" s="18"/>
      <c r="CE34" s="18"/>
    </row>
    <row r="35" spans="1:83" ht="62" outlineLevel="1">
      <c r="A35">
        <v>12</v>
      </c>
      <c r="B35" s="18" t="s">
        <v>28</v>
      </c>
      <c r="C35" s="18" t="s">
        <v>73</v>
      </c>
      <c r="D35" s="18"/>
      <c r="E35" s="19"/>
      <c r="F35" s="20" t="s">
        <v>83</v>
      </c>
      <c r="G35" s="11">
        <v>8.1799999999999998E-2</v>
      </c>
      <c r="I35" s="19">
        <f t="shared" si="2"/>
        <v>3.5</v>
      </c>
      <c r="J35" s="46">
        <f t="shared" si="3"/>
        <v>0</v>
      </c>
      <c r="K35" s="46">
        <f t="shared" si="3"/>
        <v>0</v>
      </c>
      <c r="L35" s="19"/>
      <c r="N35" s="18"/>
      <c r="O35" s="44"/>
      <c r="P35" s="44"/>
      <c r="Q35" s="44"/>
      <c r="R35" s="44"/>
      <c r="S35" s="18"/>
      <c r="U35" s="18"/>
      <c r="V35" s="44"/>
      <c r="W35" s="44"/>
      <c r="X35" s="44"/>
      <c r="Y35" s="44"/>
      <c r="Z35" s="18"/>
      <c r="AB35" s="18"/>
      <c r="AC35" s="44"/>
      <c r="AD35" s="44"/>
      <c r="AE35" s="44"/>
      <c r="AF35" s="44"/>
      <c r="AG35" s="18"/>
      <c r="AI35" s="18"/>
      <c r="AJ35" s="44"/>
      <c r="AK35" s="44"/>
      <c r="AL35" s="44"/>
      <c r="AM35" s="44"/>
      <c r="AN35" s="18"/>
      <c r="AP35" s="18"/>
      <c r="AQ35" s="44"/>
      <c r="AR35" s="44"/>
      <c r="AS35" s="44"/>
      <c r="AT35" s="44"/>
      <c r="AU35" s="18"/>
      <c r="AW35" s="18">
        <v>3.5</v>
      </c>
      <c r="AX35" s="44"/>
      <c r="AY35" s="44">
        <v>0.5</v>
      </c>
      <c r="AZ35" s="44"/>
      <c r="BA35" s="44">
        <v>0.5</v>
      </c>
      <c r="BB35" s="18"/>
      <c r="BD35" s="18"/>
      <c r="BE35" s="44"/>
      <c r="BF35" s="44"/>
      <c r="BG35" s="44"/>
      <c r="BH35" s="44"/>
      <c r="BI35" s="18"/>
      <c r="BL35" s="18"/>
      <c r="BM35" s="44"/>
      <c r="BN35" s="44"/>
      <c r="BO35" s="44"/>
      <c r="BP35" s="44"/>
      <c r="BQ35" s="18"/>
      <c r="BS35" s="18"/>
      <c r="BT35" s="18"/>
      <c r="BU35" s="18"/>
      <c r="BV35" s="18"/>
      <c r="BW35" s="18"/>
      <c r="BX35" s="18"/>
      <c r="BZ35" s="18"/>
      <c r="CA35" s="18"/>
      <c r="CB35" s="18"/>
      <c r="CC35" s="18"/>
      <c r="CD35" s="18"/>
      <c r="CE35" s="18"/>
    </row>
    <row r="36" spans="1:83" ht="31" outlineLevel="1">
      <c r="A36">
        <v>13</v>
      </c>
      <c r="B36" s="18" t="s">
        <v>28</v>
      </c>
      <c r="C36" s="18" t="s">
        <v>73</v>
      </c>
      <c r="D36" s="18"/>
      <c r="E36" s="19"/>
      <c r="F36" s="20" t="s">
        <v>84</v>
      </c>
      <c r="G36" s="11">
        <v>8.1799999999999998E-2</v>
      </c>
      <c r="I36" s="19">
        <f t="shared" si="2"/>
        <v>3.5</v>
      </c>
      <c r="J36" s="46">
        <f t="shared" si="3"/>
        <v>0</v>
      </c>
      <c r="K36" s="46">
        <f t="shared" si="3"/>
        <v>0</v>
      </c>
      <c r="L36" s="19"/>
      <c r="N36" s="18"/>
      <c r="O36" s="44"/>
      <c r="P36" s="44"/>
      <c r="Q36" s="44"/>
      <c r="R36" s="44"/>
      <c r="S36" s="18"/>
      <c r="U36" s="18"/>
      <c r="V36" s="44"/>
      <c r="W36" s="44"/>
      <c r="X36" s="44"/>
      <c r="Y36" s="44"/>
      <c r="Z36" s="18"/>
      <c r="AB36" s="18"/>
      <c r="AC36" s="44"/>
      <c r="AD36" s="44"/>
      <c r="AE36" s="44"/>
      <c r="AF36" s="44"/>
      <c r="AG36" s="18"/>
      <c r="AI36" s="18"/>
      <c r="AJ36" s="44"/>
      <c r="AK36" s="44"/>
      <c r="AL36" s="44"/>
      <c r="AM36" s="44"/>
      <c r="AN36" s="18"/>
      <c r="AP36" s="18"/>
      <c r="AQ36" s="44"/>
      <c r="AR36" s="44"/>
      <c r="AS36" s="44"/>
      <c r="AT36" s="44"/>
      <c r="AU36" s="18"/>
      <c r="AW36" s="18">
        <v>3.5</v>
      </c>
      <c r="AX36" s="44"/>
      <c r="AY36" s="44">
        <v>0.5</v>
      </c>
      <c r="AZ36" s="44"/>
      <c r="BA36" s="44">
        <v>0.5</v>
      </c>
      <c r="BB36" s="18"/>
      <c r="BD36" s="18"/>
      <c r="BE36" s="44"/>
      <c r="BF36" s="44"/>
      <c r="BG36" s="44"/>
      <c r="BH36" s="44"/>
      <c r="BI36" s="18"/>
      <c r="BL36" s="18"/>
      <c r="BM36" s="44"/>
      <c r="BN36" s="44"/>
      <c r="BO36" s="44"/>
      <c r="BP36" s="44"/>
      <c r="BQ36" s="18"/>
      <c r="BS36" s="18"/>
      <c r="BT36" s="18"/>
      <c r="BU36" s="18"/>
      <c r="BV36" s="18"/>
      <c r="BW36" s="18"/>
      <c r="BX36" s="18"/>
      <c r="BZ36" s="18"/>
      <c r="CA36" s="18"/>
      <c r="CB36" s="18"/>
      <c r="CC36" s="18"/>
      <c r="CD36" s="18"/>
      <c r="CE36" s="18"/>
    </row>
    <row r="37" spans="1:83" outlineLevel="1">
      <c r="A37">
        <v>14</v>
      </c>
      <c r="B37" s="18"/>
      <c r="C37" s="18"/>
      <c r="D37" s="21" t="s">
        <v>86</v>
      </c>
      <c r="E37" s="19"/>
      <c r="F37" s="30" t="s">
        <v>85</v>
      </c>
      <c r="G37" s="11"/>
      <c r="I37" s="19"/>
      <c r="J37" s="46"/>
      <c r="K37" s="46"/>
      <c r="L37" s="19"/>
      <c r="N37" s="18"/>
      <c r="O37" s="44"/>
      <c r="P37" s="44"/>
      <c r="Q37" s="44"/>
      <c r="R37" s="44"/>
      <c r="S37" s="18"/>
      <c r="U37" s="18"/>
      <c r="V37" s="44"/>
      <c r="W37" s="44"/>
      <c r="X37" s="44"/>
      <c r="Y37" s="44"/>
      <c r="Z37" s="18"/>
      <c r="AB37" s="18"/>
      <c r="AC37" s="44"/>
      <c r="AD37" s="44"/>
      <c r="AE37" s="44"/>
      <c r="AF37" s="44"/>
      <c r="AG37" s="18"/>
      <c r="AI37" s="18"/>
      <c r="AJ37" s="44"/>
      <c r="AK37" s="44"/>
      <c r="AL37" s="44"/>
      <c r="AM37" s="44"/>
      <c r="AN37" s="18"/>
      <c r="AP37" s="18"/>
      <c r="AQ37" s="44"/>
      <c r="AR37" s="44"/>
      <c r="AS37" s="44"/>
      <c r="AT37" s="44"/>
      <c r="AU37" s="18"/>
      <c r="AW37" s="52"/>
      <c r="AX37" s="44"/>
      <c r="AY37" s="44"/>
      <c r="AZ37" s="44"/>
      <c r="BA37" s="44"/>
      <c r="BB37" s="18"/>
      <c r="BD37" s="18"/>
      <c r="BE37" s="44"/>
      <c r="BF37" s="44"/>
      <c r="BG37" s="44"/>
      <c r="BH37" s="44"/>
      <c r="BI37" s="18"/>
      <c r="BL37" s="18"/>
      <c r="BM37" s="44"/>
      <c r="BN37" s="44"/>
      <c r="BO37" s="44"/>
      <c r="BP37" s="44"/>
      <c r="BQ37" s="18"/>
      <c r="BS37" s="18"/>
      <c r="BT37" s="18"/>
      <c r="BU37" s="18"/>
      <c r="BV37" s="18"/>
      <c r="BW37" s="18"/>
      <c r="BX37" s="18"/>
      <c r="BZ37" s="18"/>
      <c r="CA37" s="18"/>
      <c r="CB37" s="18"/>
      <c r="CC37" s="18"/>
      <c r="CD37" s="18"/>
      <c r="CE37" s="18"/>
    </row>
    <row r="38" spans="1:83" outlineLevel="1">
      <c r="B38" s="27"/>
      <c r="C38" s="27"/>
      <c r="D38" s="27"/>
      <c r="E38" s="28"/>
      <c r="F38" s="29"/>
      <c r="G38" s="11"/>
      <c r="I38" s="10"/>
      <c r="J38" s="12"/>
      <c r="K38" s="12"/>
      <c r="L38" s="10"/>
      <c r="O38" s="11"/>
      <c r="P38" s="11"/>
      <c r="Q38" s="11"/>
      <c r="R38" s="11"/>
      <c r="V38" s="11"/>
      <c r="W38" s="11"/>
      <c r="X38" s="11"/>
      <c r="Y38" s="11"/>
      <c r="AC38" s="11"/>
      <c r="AD38" s="11"/>
      <c r="AE38" s="11"/>
      <c r="AF38" s="11"/>
      <c r="AJ38" s="11"/>
      <c r="AK38" s="11"/>
      <c r="AL38" s="11"/>
      <c r="AM38" s="11"/>
      <c r="AQ38" s="11"/>
      <c r="AR38" s="11"/>
      <c r="AS38" s="11"/>
      <c r="AT38" s="11"/>
      <c r="AX38" s="11"/>
      <c r="AY38" s="11"/>
      <c r="AZ38" s="11"/>
      <c r="BA38" s="11"/>
      <c r="BE38" s="11"/>
      <c r="BF38" s="11"/>
      <c r="BG38" s="11"/>
      <c r="BH38" s="11"/>
    </row>
    <row r="39" spans="1:83">
      <c r="BM39" s="55" t="s">
        <v>180</v>
      </c>
      <c r="BN39" s="55"/>
      <c r="BO39" s="55"/>
      <c r="CB39" s="55" t="s">
        <v>177</v>
      </c>
      <c r="CC39" s="55"/>
    </row>
    <row r="40" spans="1:83" ht="16" thickBot="1">
      <c r="B40" s="23" t="s">
        <v>27</v>
      </c>
      <c r="C40" s="23" t="s">
        <v>87</v>
      </c>
      <c r="D40" s="23"/>
      <c r="E40" s="24">
        <v>6</v>
      </c>
      <c r="F40" s="23"/>
      <c r="G40" s="11">
        <f>+SUM(G41:G52)</f>
        <v>0.99599999999999989</v>
      </c>
      <c r="I40" s="43" cm="1">
        <f t="array" aca="1" ref="I40" ca="1">I40:AU53=+SUM(I41:I52)</f>
        <v>0</v>
      </c>
      <c r="J40" s="46">
        <f>+SUMPRODUCT(G41:G52,J41:J52)</f>
        <v>0.32369999999999999</v>
      </c>
      <c r="K40" s="46">
        <f>+SUMPRODUCT(G41:G52,K41:K52)</f>
        <v>0.33200000000000002</v>
      </c>
      <c r="L40" s="19"/>
      <c r="N40" s="43">
        <f>+SUM(N41:N52)</f>
        <v>0</v>
      </c>
      <c r="O40" s="18"/>
      <c r="P40" s="18"/>
      <c r="Q40" s="18"/>
      <c r="R40" s="18"/>
      <c r="S40" s="18"/>
      <c r="U40" s="43"/>
      <c r="V40" s="44"/>
      <c r="W40" s="18"/>
      <c r="X40" s="18"/>
      <c r="Y40" s="18"/>
      <c r="Z40" s="18"/>
      <c r="AB40" s="43">
        <v>15</v>
      </c>
      <c r="AC40" s="18"/>
      <c r="AD40" s="18"/>
      <c r="AE40" s="18"/>
      <c r="AF40" s="18"/>
      <c r="AG40" s="18"/>
      <c r="AI40" s="43">
        <v>15</v>
      </c>
      <c r="AJ40" s="18"/>
      <c r="AK40" s="18"/>
      <c r="AL40" s="18"/>
      <c r="AM40" s="18"/>
      <c r="AN40" s="18"/>
      <c r="AP40" s="43">
        <v>13.5</v>
      </c>
      <c r="AQ40" s="18"/>
      <c r="AR40" s="18"/>
      <c r="AS40" s="18"/>
      <c r="AT40" s="18"/>
      <c r="AU40" s="18"/>
      <c r="AW40" s="43">
        <f>+SUM(AW41:AW52)</f>
        <v>13.5</v>
      </c>
      <c r="AX40" s="44"/>
      <c r="AY40" s="44"/>
      <c r="AZ40" s="51"/>
      <c r="BA40" s="44"/>
      <c r="BB40" s="18"/>
      <c r="BD40" s="43">
        <f>+SUM(BD41:BD52)</f>
        <v>8.1000000000000014</v>
      </c>
      <c r="BE40" s="44"/>
      <c r="BF40" s="44"/>
      <c r="BG40" s="51"/>
      <c r="BH40" s="44"/>
      <c r="BI40" s="18"/>
      <c r="BL40" s="43">
        <f>+SUM(BL41:BL52)</f>
        <v>9</v>
      </c>
      <c r="BM40" s="44"/>
      <c r="BN40" s="44">
        <v>1</v>
      </c>
      <c r="BO40" s="50"/>
      <c r="BP40" s="44">
        <v>1</v>
      </c>
      <c r="BQ40" s="18"/>
      <c r="BS40" s="43">
        <f>+SUM(BS41:BS52)</f>
        <v>0</v>
      </c>
      <c r="BT40" s="44"/>
      <c r="BU40" s="44"/>
      <c r="BV40" s="51"/>
      <c r="BW40" s="44"/>
      <c r="BX40" s="18"/>
      <c r="BZ40" s="43">
        <f>+SUM(BZ41:BZ52)</f>
        <v>0</v>
      </c>
      <c r="CA40" s="44"/>
      <c r="CB40" s="44"/>
      <c r="CC40" s="51"/>
      <c r="CD40" s="44"/>
      <c r="CE40" s="18"/>
    </row>
    <row r="41" spans="1:83" outlineLevel="1">
      <c r="A41">
        <v>1</v>
      </c>
      <c r="B41" s="22" t="s">
        <v>28</v>
      </c>
      <c r="C41" s="22" t="s">
        <v>88</v>
      </c>
      <c r="D41" s="22"/>
      <c r="E41" s="25"/>
      <c r="F41" s="22" t="s">
        <v>89</v>
      </c>
      <c r="G41" s="11">
        <v>8.3000000000000004E-2</v>
      </c>
      <c r="I41" s="19">
        <f>+SUMIF($N$3:$ZZ$3,I$3,$N41:$ZZ41)</f>
        <v>6</v>
      </c>
      <c r="J41" s="46">
        <f t="shared" ref="J41:K54" si="4">+_xlfn.MAXIFS($N41:$ZF41,$N$3:$ZF$3,J$3)</f>
        <v>0.5</v>
      </c>
      <c r="K41" s="46">
        <f t="shared" si="4"/>
        <v>0.5</v>
      </c>
      <c r="L41" s="19"/>
      <c r="N41" s="18"/>
      <c r="O41" s="44">
        <v>0.5</v>
      </c>
      <c r="P41" s="44"/>
      <c r="Q41" s="44">
        <v>0.5</v>
      </c>
      <c r="R41" s="44"/>
      <c r="S41" s="18"/>
      <c r="U41" s="18"/>
      <c r="V41" s="44">
        <v>0.5</v>
      </c>
      <c r="W41" s="44"/>
      <c r="X41" s="44">
        <v>0.5</v>
      </c>
      <c r="Y41" s="44"/>
      <c r="Z41" s="18"/>
      <c r="AB41" s="18">
        <v>3</v>
      </c>
      <c r="AC41" s="44"/>
      <c r="AD41" s="44">
        <v>0.8</v>
      </c>
      <c r="AE41" s="44"/>
      <c r="AF41" s="44">
        <v>0.8</v>
      </c>
      <c r="AG41" s="18"/>
      <c r="AI41" s="18">
        <v>3</v>
      </c>
      <c r="AJ41" s="44"/>
      <c r="AK41" s="44">
        <v>1</v>
      </c>
      <c r="AL41" s="44"/>
      <c r="AM41" s="44">
        <v>1</v>
      </c>
      <c r="AN41" s="18"/>
      <c r="AP41" s="18"/>
      <c r="AQ41" s="44"/>
      <c r="AR41" s="44">
        <v>1</v>
      </c>
      <c r="AS41" s="44"/>
      <c r="AT41" s="44">
        <v>1</v>
      </c>
      <c r="AU41" s="18"/>
      <c r="AW41" s="18"/>
      <c r="AX41" s="44"/>
      <c r="AY41" s="44">
        <v>1</v>
      </c>
      <c r="AZ41" s="44"/>
      <c r="BA41" s="44">
        <v>1</v>
      </c>
      <c r="BB41" s="18"/>
      <c r="BD41" s="18"/>
      <c r="BE41" s="44"/>
      <c r="BF41" s="44">
        <v>1</v>
      </c>
      <c r="BG41" s="44"/>
      <c r="BH41" s="44">
        <v>1</v>
      </c>
      <c r="BI41" s="18"/>
      <c r="BL41" s="18"/>
      <c r="BM41" s="44"/>
      <c r="BN41" s="44">
        <v>1</v>
      </c>
      <c r="BO41" s="44"/>
      <c r="BP41" s="44">
        <v>1</v>
      </c>
      <c r="BQ41" s="18"/>
      <c r="BS41" s="18"/>
      <c r="BT41" s="44"/>
      <c r="BU41" s="44"/>
      <c r="BV41" s="44"/>
      <c r="BW41" s="44"/>
      <c r="BX41" s="18"/>
      <c r="BZ41" s="18"/>
      <c r="CA41" s="44"/>
      <c r="CB41" s="44"/>
      <c r="CC41" s="44"/>
      <c r="CD41" s="44"/>
      <c r="CE41" s="18"/>
    </row>
    <row r="42" spans="1:83" outlineLevel="1">
      <c r="A42">
        <v>2</v>
      </c>
      <c r="B42" s="18" t="s">
        <v>28</v>
      </c>
      <c r="C42" s="18" t="s">
        <v>88</v>
      </c>
      <c r="D42" s="18"/>
      <c r="E42" s="19"/>
      <c r="F42" s="18" t="s">
        <v>90</v>
      </c>
      <c r="G42" s="11">
        <v>8.3000000000000004E-2</v>
      </c>
      <c r="I42" s="19">
        <f t="shared" ref="I42:I51" si="5">+SUMIF($N$3:$ZZ$3,I$3,$N42:$ZZ42)</f>
        <v>6</v>
      </c>
      <c r="J42" s="46">
        <f t="shared" si="4"/>
        <v>0.5</v>
      </c>
      <c r="K42" s="46">
        <f t="shared" si="4"/>
        <v>0.5</v>
      </c>
      <c r="L42" s="19"/>
      <c r="N42" s="18"/>
      <c r="O42" s="44">
        <v>0.5</v>
      </c>
      <c r="P42" s="44"/>
      <c r="Q42" s="44">
        <v>0.5</v>
      </c>
      <c r="R42" s="44"/>
      <c r="S42" s="18"/>
      <c r="U42" s="18"/>
      <c r="V42" s="44">
        <v>0.5</v>
      </c>
      <c r="W42" s="44"/>
      <c r="X42" s="44">
        <v>0.5</v>
      </c>
      <c r="Y42" s="44"/>
      <c r="Z42" s="18"/>
      <c r="AB42" s="18">
        <v>3</v>
      </c>
      <c r="AC42" s="44"/>
      <c r="AD42" s="44">
        <v>0.8</v>
      </c>
      <c r="AE42" s="44"/>
      <c r="AF42" s="44">
        <v>0.8</v>
      </c>
      <c r="AG42" s="18"/>
      <c r="AI42" s="18">
        <v>3</v>
      </c>
      <c r="AJ42" s="44"/>
      <c r="AK42" s="44">
        <v>1</v>
      </c>
      <c r="AL42" s="44"/>
      <c r="AM42" s="44">
        <v>1</v>
      </c>
      <c r="AN42" s="18"/>
      <c r="AP42" s="18"/>
      <c r="AQ42" s="44"/>
      <c r="AR42" s="44">
        <v>1</v>
      </c>
      <c r="AS42" s="44"/>
      <c r="AT42" s="44">
        <v>1</v>
      </c>
      <c r="AU42" s="18"/>
      <c r="AW42" s="18"/>
      <c r="AX42" s="44"/>
      <c r="AY42" s="44">
        <v>1</v>
      </c>
      <c r="AZ42" s="44"/>
      <c r="BA42" s="44">
        <v>1</v>
      </c>
      <c r="BB42" s="18"/>
      <c r="BD42" s="18"/>
      <c r="BE42" s="44"/>
      <c r="BF42" s="44">
        <v>1</v>
      </c>
      <c r="BG42" s="44"/>
      <c r="BH42" s="44">
        <v>1</v>
      </c>
      <c r="BI42" s="18"/>
      <c r="BL42" s="18"/>
      <c r="BM42" s="44"/>
      <c r="BN42" s="44">
        <v>1</v>
      </c>
      <c r="BO42" s="44"/>
      <c r="BP42" s="44">
        <v>1</v>
      </c>
      <c r="BQ42" s="18"/>
      <c r="BS42" s="18"/>
      <c r="BT42" s="44"/>
      <c r="BU42" s="44"/>
      <c r="BV42" s="44"/>
      <c r="BW42" s="44"/>
      <c r="BX42" s="18"/>
      <c r="BZ42" s="18"/>
      <c r="CA42" s="44"/>
      <c r="CB42" s="44"/>
      <c r="CC42" s="44"/>
      <c r="CD42" s="44"/>
      <c r="CE42" s="18"/>
    </row>
    <row r="43" spans="1:83" ht="31" outlineLevel="1">
      <c r="A43">
        <v>3</v>
      </c>
      <c r="B43" s="18" t="s">
        <v>28</v>
      </c>
      <c r="C43" s="18" t="s">
        <v>88</v>
      </c>
      <c r="D43" s="18"/>
      <c r="E43" s="19"/>
      <c r="F43" s="20" t="s">
        <v>91</v>
      </c>
      <c r="G43" s="11">
        <v>8.3000000000000004E-2</v>
      </c>
      <c r="I43" s="19">
        <f t="shared" si="5"/>
        <v>5.7</v>
      </c>
      <c r="J43" s="46">
        <f t="shared" si="4"/>
        <v>0.4</v>
      </c>
      <c r="K43" s="46">
        <f t="shared" si="4"/>
        <v>0.5</v>
      </c>
      <c r="L43" s="19"/>
      <c r="N43" s="18"/>
      <c r="O43" s="44">
        <v>0.4</v>
      </c>
      <c r="P43" s="44"/>
      <c r="Q43" s="44">
        <v>0.5</v>
      </c>
      <c r="R43" s="44"/>
      <c r="S43" s="18"/>
      <c r="U43" s="18"/>
      <c r="V43" s="44">
        <v>0.4</v>
      </c>
      <c r="W43" s="44"/>
      <c r="X43" s="44">
        <v>0.4</v>
      </c>
      <c r="Y43" s="44"/>
      <c r="Z43" s="18"/>
      <c r="AB43" s="18">
        <v>3</v>
      </c>
      <c r="AC43" s="44"/>
      <c r="AD43" s="44">
        <v>0.8</v>
      </c>
      <c r="AE43" s="44"/>
      <c r="AF43" s="44">
        <v>0.8</v>
      </c>
      <c r="AG43" s="18"/>
      <c r="AI43" s="18"/>
      <c r="AJ43" s="44"/>
      <c r="AK43" s="44">
        <v>0.8</v>
      </c>
      <c r="AL43" s="44"/>
      <c r="AM43" s="44">
        <v>0.8</v>
      </c>
      <c r="AN43" s="18"/>
      <c r="AP43" s="18">
        <v>2.7</v>
      </c>
      <c r="AQ43" s="44"/>
      <c r="AR43" s="44">
        <v>1</v>
      </c>
      <c r="AS43" s="44"/>
      <c r="AT43" s="44">
        <v>1</v>
      </c>
      <c r="AU43" s="18"/>
      <c r="AW43" s="18"/>
      <c r="AX43" s="44"/>
      <c r="AY43" s="44">
        <v>1</v>
      </c>
      <c r="AZ43" s="44"/>
      <c r="BA43" s="44">
        <v>1</v>
      </c>
      <c r="BB43" s="18"/>
      <c r="BD43" s="18"/>
      <c r="BE43" s="44"/>
      <c r="BF43" s="44">
        <v>1</v>
      </c>
      <c r="BG43" s="44"/>
      <c r="BH43" s="44">
        <v>1</v>
      </c>
      <c r="BI43" s="18"/>
      <c r="BL43" s="18"/>
      <c r="BM43" s="44"/>
      <c r="BN43" s="44">
        <v>1</v>
      </c>
      <c r="BO43" s="44"/>
      <c r="BP43" s="44">
        <v>1</v>
      </c>
      <c r="BQ43" s="18"/>
      <c r="BS43" s="18"/>
      <c r="BT43" s="44"/>
      <c r="BU43" s="44"/>
      <c r="BV43" s="44"/>
      <c r="BW43" s="44"/>
      <c r="BX43" s="18"/>
      <c r="BZ43" s="18"/>
      <c r="CA43" s="44"/>
      <c r="CB43" s="44"/>
      <c r="CC43" s="44"/>
      <c r="CD43" s="44"/>
      <c r="CE43" s="18"/>
    </row>
    <row r="44" spans="1:83" outlineLevel="1">
      <c r="A44">
        <v>4</v>
      </c>
      <c r="B44" s="18" t="s">
        <v>28</v>
      </c>
      <c r="C44" s="18" t="s">
        <v>88</v>
      </c>
      <c r="D44" s="18"/>
      <c r="E44" s="19"/>
      <c r="F44" s="18" t="s">
        <v>92</v>
      </c>
      <c r="G44" s="11">
        <v>8.3000000000000004E-2</v>
      </c>
      <c r="I44" s="19">
        <f t="shared" si="5"/>
        <v>5.7</v>
      </c>
      <c r="J44" s="46">
        <f t="shared" si="4"/>
        <v>0.5</v>
      </c>
      <c r="K44" s="46">
        <f t="shared" si="4"/>
        <v>0.5</v>
      </c>
      <c r="L44" s="19"/>
      <c r="N44" s="18"/>
      <c r="O44" s="44">
        <v>0.5</v>
      </c>
      <c r="P44" s="44"/>
      <c r="Q44" s="44">
        <v>0.5</v>
      </c>
      <c r="R44" s="44"/>
      <c r="S44" s="18"/>
      <c r="U44" s="18"/>
      <c r="V44" s="44">
        <v>0.5</v>
      </c>
      <c r="W44" s="44"/>
      <c r="X44" s="44">
        <v>0.5</v>
      </c>
      <c r="Y44" s="44"/>
      <c r="Z44" s="18"/>
      <c r="AB44" s="18">
        <v>3</v>
      </c>
      <c r="AC44" s="44"/>
      <c r="AD44" s="44">
        <v>0.8</v>
      </c>
      <c r="AE44" s="44"/>
      <c r="AF44" s="44">
        <v>0.8</v>
      </c>
      <c r="AG44" s="18"/>
      <c r="AI44" s="18"/>
      <c r="AJ44" s="44"/>
      <c r="AK44" s="44">
        <v>0.8</v>
      </c>
      <c r="AL44" s="44"/>
      <c r="AM44" s="44">
        <v>0.8</v>
      </c>
      <c r="AN44" s="18"/>
      <c r="AP44" s="18">
        <v>2.7</v>
      </c>
      <c r="AQ44" s="44"/>
      <c r="AR44" s="44">
        <v>1</v>
      </c>
      <c r="AS44" s="44"/>
      <c r="AT44" s="44">
        <v>1</v>
      </c>
      <c r="AU44" s="18"/>
      <c r="AW44" s="18"/>
      <c r="AX44" s="44"/>
      <c r="AY44" s="44">
        <v>1</v>
      </c>
      <c r="AZ44" s="44"/>
      <c r="BA44" s="44">
        <v>1</v>
      </c>
      <c r="BB44" s="18"/>
      <c r="BD44" s="18"/>
      <c r="BE44" s="44"/>
      <c r="BF44" s="44">
        <v>1</v>
      </c>
      <c r="BG44" s="44"/>
      <c r="BH44" s="44">
        <v>1</v>
      </c>
      <c r="BI44" s="18"/>
      <c r="BL44" s="18"/>
      <c r="BM44" s="44"/>
      <c r="BN44" s="44">
        <v>1</v>
      </c>
      <c r="BO44" s="44"/>
      <c r="BP44" s="44">
        <v>1</v>
      </c>
      <c r="BQ44" s="18"/>
      <c r="BS44" s="18"/>
      <c r="BT44" s="44"/>
      <c r="BU44" s="44"/>
      <c r="BV44" s="44"/>
      <c r="BW44" s="44"/>
      <c r="BX44" s="18"/>
      <c r="BZ44" s="18"/>
      <c r="CA44" s="44"/>
      <c r="CB44" s="44"/>
      <c r="CC44" s="44"/>
      <c r="CD44" s="44"/>
      <c r="CE44" s="18"/>
    </row>
    <row r="45" spans="1:83" outlineLevel="1">
      <c r="A45">
        <v>5</v>
      </c>
      <c r="B45" s="18" t="s">
        <v>28</v>
      </c>
      <c r="C45" s="18" t="s">
        <v>88</v>
      </c>
      <c r="D45" s="18"/>
      <c r="E45" s="19"/>
      <c r="F45" s="18" t="s">
        <v>93</v>
      </c>
      <c r="G45" s="11">
        <v>8.3000000000000004E-2</v>
      </c>
      <c r="I45" s="19">
        <f t="shared" si="5"/>
        <v>5.7</v>
      </c>
      <c r="J45" s="46">
        <f t="shared" si="4"/>
        <v>0.5</v>
      </c>
      <c r="K45" s="46">
        <f t="shared" si="4"/>
        <v>0.5</v>
      </c>
      <c r="L45" s="19"/>
      <c r="N45" s="18"/>
      <c r="O45" s="44">
        <v>0.5</v>
      </c>
      <c r="P45" s="44"/>
      <c r="Q45" s="44">
        <v>0.5</v>
      </c>
      <c r="R45" s="44"/>
      <c r="S45" s="18"/>
      <c r="U45" s="18"/>
      <c r="V45" s="44">
        <v>0.5</v>
      </c>
      <c r="W45" s="44"/>
      <c r="X45" s="44">
        <v>0.5</v>
      </c>
      <c r="Y45" s="44"/>
      <c r="Z45" s="18"/>
      <c r="AB45" s="18">
        <v>3</v>
      </c>
      <c r="AC45" s="44"/>
      <c r="AD45" s="44">
        <v>0.8</v>
      </c>
      <c r="AE45" s="44"/>
      <c r="AF45" s="44">
        <v>0.8</v>
      </c>
      <c r="AG45" s="18"/>
      <c r="AI45" s="18"/>
      <c r="AJ45" s="44"/>
      <c r="AK45" s="44">
        <v>0.8</v>
      </c>
      <c r="AL45" s="44"/>
      <c r="AM45" s="44">
        <v>0.8</v>
      </c>
      <c r="AN45" s="18"/>
      <c r="AP45" s="18">
        <v>2.7</v>
      </c>
      <c r="AQ45" s="44"/>
      <c r="AR45" s="44">
        <v>1</v>
      </c>
      <c r="AS45" s="44"/>
      <c r="AT45" s="44">
        <v>1</v>
      </c>
      <c r="AU45" s="18"/>
      <c r="AW45" s="18"/>
      <c r="AX45" s="44"/>
      <c r="AY45" s="44">
        <v>1</v>
      </c>
      <c r="AZ45" s="44"/>
      <c r="BA45" s="44">
        <v>1</v>
      </c>
      <c r="BB45" s="18"/>
      <c r="BD45" s="18"/>
      <c r="BE45" s="44"/>
      <c r="BF45" s="44">
        <v>1</v>
      </c>
      <c r="BG45" s="44"/>
      <c r="BH45" s="44">
        <v>1</v>
      </c>
      <c r="BI45" s="18"/>
      <c r="BL45" s="18"/>
      <c r="BM45" s="44"/>
      <c r="BN45" s="44">
        <v>1</v>
      </c>
      <c r="BO45" s="44"/>
      <c r="BP45" s="44">
        <v>1</v>
      </c>
      <c r="BQ45" s="18"/>
      <c r="BS45" s="18"/>
      <c r="BT45" s="44"/>
      <c r="BU45" s="44"/>
      <c r="BV45" s="44"/>
      <c r="BW45" s="44"/>
      <c r="BX45" s="18"/>
      <c r="BZ45" s="18"/>
      <c r="CA45" s="44"/>
      <c r="CB45" s="44"/>
      <c r="CC45" s="44"/>
      <c r="CD45" s="44"/>
      <c r="CE45" s="18"/>
    </row>
    <row r="46" spans="1:83" outlineLevel="1">
      <c r="A46">
        <v>6</v>
      </c>
      <c r="B46" s="18" t="s">
        <v>28</v>
      </c>
      <c r="C46" s="18" t="s">
        <v>88</v>
      </c>
      <c r="D46" s="18"/>
      <c r="E46" s="19"/>
      <c r="F46" s="18" t="s">
        <v>94</v>
      </c>
      <c r="G46" s="11">
        <v>8.3000000000000004E-2</v>
      </c>
      <c r="I46" s="19">
        <f t="shared" si="5"/>
        <v>5.7</v>
      </c>
      <c r="J46" s="46">
        <f t="shared" si="4"/>
        <v>0.5</v>
      </c>
      <c r="K46" s="46">
        <f t="shared" si="4"/>
        <v>0.5</v>
      </c>
      <c r="L46" s="19"/>
      <c r="N46" s="18"/>
      <c r="O46" s="44">
        <v>0.5</v>
      </c>
      <c r="P46" s="44"/>
      <c r="Q46" s="44">
        <v>0.5</v>
      </c>
      <c r="R46" s="44"/>
      <c r="S46" s="18"/>
      <c r="U46" s="18"/>
      <c r="V46" s="44">
        <v>0.5</v>
      </c>
      <c r="W46" s="44"/>
      <c r="X46" s="44">
        <v>0.5</v>
      </c>
      <c r="Y46" s="44"/>
      <c r="Z46" s="18"/>
      <c r="AB46" s="18"/>
      <c r="AC46" s="44"/>
      <c r="AD46" s="44">
        <v>0.5</v>
      </c>
      <c r="AE46" s="44"/>
      <c r="AF46" s="44">
        <v>0.5</v>
      </c>
      <c r="AG46" s="18"/>
      <c r="AI46" s="18">
        <v>3</v>
      </c>
      <c r="AJ46" s="44"/>
      <c r="AK46" s="44">
        <v>0.8</v>
      </c>
      <c r="AL46" s="44"/>
      <c r="AM46" s="44">
        <v>0.8</v>
      </c>
      <c r="AN46" s="18"/>
      <c r="AP46" s="18"/>
      <c r="AQ46" s="44"/>
      <c r="AR46" s="44">
        <v>0.8</v>
      </c>
      <c r="AS46" s="44"/>
      <c r="AT46" s="44">
        <v>0.8</v>
      </c>
      <c r="AU46" s="18"/>
      <c r="AW46" s="18">
        <v>2.7</v>
      </c>
      <c r="AX46" s="44"/>
      <c r="AY46" s="44">
        <v>1</v>
      </c>
      <c r="AZ46" s="44"/>
      <c r="BA46" s="44">
        <v>1</v>
      </c>
      <c r="BB46" s="18"/>
      <c r="BD46" s="18"/>
      <c r="BE46" s="44"/>
      <c r="BF46" s="44">
        <v>1</v>
      </c>
      <c r="BG46" s="44"/>
      <c r="BH46" s="44">
        <v>1</v>
      </c>
      <c r="BI46" s="18"/>
      <c r="BL46" s="18"/>
      <c r="BM46" s="44"/>
      <c r="BN46" s="44">
        <v>1</v>
      </c>
      <c r="BO46" s="44"/>
      <c r="BP46" s="44">
        <v>1</v>
      </c>
      <c r="BQ46" s="18"/>
      <c r="BS46" s="18"/>
      <c r="BT46" s="44"/>
      <c r="BU46" s="44"/>
      <c r="BV46" s="44"/>
      <c r="BW46" s="44"/>
      <c r="BX46" s="18"/>
      <c r="BZ46" s="18"/>
      <c r="CA46" s="44"/>
      <c r="CB46" s="44"/>
      <c r="CC46" s="44"/>
      <c r="CD46" s="44"/>
      <c r="CE46" s="18"/>
    </row>
    <row r="47" spans="1:83" outlineLevel="1">
      <c r="A47">
        <v>7</v>
      </c>
      <c r="B47" s="18" t="s">
        <v>28</v>
      </c>
      <c r="C47" s="18" t="s">
        <v>88</v>
      </c>
      <c r="D47" s="18"/>
      <c r="E47" s="19"/>
      <c r="F47" s="18" t="s">
        <v>95</v>
      </c>
      <c r="G47" s="11">
        <v>8.3000000000000004E-2</v>
      </c>
      <c r="I47" s="19">
        <f t="shared" si="5"/>
        <v>5.7</v>
      </c>
      <c r="J47" s="46">
        <f t="shared" si="4"/>
        <v>0.5</v>
      </c>
      <c r="K47" s="46">
        <f t="shared" si="4"/>
        <v>0.5</v>
      </c>
      <c r="L47" s="19"/>
      <c r="N47" s="18"/>
      <c r="O47" s="44">
        <v>0.5</v>
      </c>
      <c r="P47" s="44"/>
      <c r="Q47" s="44">
        <v>0.5</v>
      </c>
      <c r="R47" s="44"/>
      <c r="S47" s="18"/>
      <c r="U47" s="18"/>
      <c r="V47" s="44">
        <v>0.5</v>
      </c>
      <c r="W47" s="44"/>
      <c r="X47" s="44">
        <v>0.5</v>
      </c>
      <c r="Y47" s="44"/>
      <c r="Z47" s="18"/>
      <c r="AB47" s="18"/>
      <c r="AC47" s="44"/>
      <c r="AD47" s="44">
        <v>0.5</v>
      </c>
      <c r="AE47" s="44"/>
      <c r="AF47" s="44">
        <v>0.5</v>
      </c>
      <c r="AG47" s="18"/>
      <c r="AI47" s="18">
        <v>3</v>
      </c>
      <c r="AJ47" s="44"/>
      <c r="AK47" s="44">
        <v>0.8</v>
      </c>
      <c r="AL47" s="44"/>
      <c r="AM47" s="44">
        <v>0.8</v>
      </c>
      <c r="AN47" s="18"/>
      <c r="AP47" s="18"/>
      <c r="AQ47" s="44"/>
      <c r="AR47" s="44">
        <v>0.8</v>
      </c>
      <c r="AS47" s="44"/>
      <c r="AT47" s="44">
        <v>0.8</v>
      </c>
      <c r="AU47" s="18"/>
      <c r="AW47" s="18">
        <v>2.7</v>
      </c>
      <c r="AX47" s="44"/>
      <c r="AY47" s="44">
        <v>1</v>
      </c>
      <c r="AZ47" s="44"/>
      <c r="BA47" s="44">
        <v>1</v>
      </c>
      <c r="BB47" s="18"/>
      <c r="BD47" s="18"/>
      <c r="BE47" s="44"/>
      <c r="BF47" s="44">
        <v>1</v>
      </c>
      <c r="BG47" s="44"/>
      <c r="BH47" s="44">
        <v>1</v>
      </c>
      <c r="BI47" s="18"/>
      <c r="BL47" s="18"/>
      <c r="BM47" s="44"/>
      <c r="BN47" s="44">
        <v>1</v>
      </c>
      <c r="BO47" s="44"/>
      <c r="BP47" s="44">
        <v>1</v>
      </c>
      <c r="BQ47" s="18"/>
      <c r="BS47" s="18"/>
      <c r="BT47" s="44"/>
      <c r="BU47" s="44"/>
      <c r="BV47" s="44"/>
      <c r="BW47" s="44"/>
      <c r="BX47" s="18"/>
      <c r="BZ47" s="18"/>
      <c r="CA47" s="44"/>
      <c r="CB47" s="44"/>
      <c r="CC47" s="44"/>
      <c r="CD47" s="44"/>
      <c r="CE47" s="18"/>
    </row>
    <row r="48" spans="1:83" ht="31" outlineLevel="1">
      <c r="A48">
        <v>8</v>
      </c>
      <c r="B48" s="18" t="s">
        <v>28</v>
      </c>
      <c r="C48" s="18" t="s">
        <v>88</v>
      </c>
      <c r="D48" s="18"/>
      <c r="E48" s="19"/>
      <c r="F48" s="20" t="s">
        <v>96</v>
      </c>
      <c r="G48" s="11">
        <v>8.3000000000000004E-2</v>
      </c>
      <c r="I48" s="19">
        <f t="shared" si="5"/>
        <v>5.7</v>
      </c>
      <c r="J48" s="46">
        <f t="shared" si="4"/>
        <v>0.5</v>
      </c>
      <c r="K48" s="46">
        <f t="shared" si="4"/>
        <v>0.5</v>
      </c>
      <c r="L48" s="19"/>
      <c r="N48" s="18"/>
      <c r="O48" s="44"/>
      <c r="P48" s="44"/>
      <c r="Q48" s="44"/>
      <c r="R48" s="44"/>
      <c r="S48" s="18"/>
      <c r="U48" s="18"/>
      <c r="V48" s="44">
        <v>0.5</v>
      </c>
      <c r="W48" s="44"/>
      <c r="X48" s="44">
        <v>0.5</v>
      </c>
      <c r="Y48" s="44"/>
      <c r="Z48" s="18"/>
      <c r="AB48" s="18"/>
      <c r="AC48" s="56"/>
      <c r="AD48" s="44">
        <v>0.5</v>
      </c>
      <c r="AE48" s="56"/>
      <c r="AF48" s="44">
        <v>0.5</v>
      </c>
      <c r="AG48" s="18"/>
      <c r="AI48" s="18">
        <v>3</v>
      </c>
      <c r="AJ48" s="56"/>
      <c r="AK48" s="44">
        <v>0.8</v>
      </c>
      <c r="AL48" s="56"/>
      <c r="AM48" s="44">
        <v>0.8</v>
      </c>
      <c r="AN48" s="18"/>
      <c r="AP48" s="18"/>
      <c r="AQ48" s="56"/>
      <c r="AR48" s="44">
        <v>0.8</v>
      </c>
      <c r="AS48" s="56"/>
      <c r="AT48" s="44">
        <v>0.8</v>
      </c>
      <c r="AU48" s="18"/>
      <c r="AW48" s="18">
        <v>2.7</v>
      </c>
      <c r="AX48" s="56"/>
      <c r="AY48" s="44">
        <v>1</v>
      </c>
      <c r="AZ48" s="56"/>
      <c r="BA48" s="44">
        <v>1</v>
      </c>
      <c r="BB48" s="18"/>
      <c r="BD48" s="18"/>
      <c r="BE48" s="56"/>
      <c r="BF48" s="44">
        <v>1</v>
      </c>
      <c r="BG48" s="56"/>
      <c r="BH48" s="44">
        <v>1</v>
      </c>
      <c r="BI48" s="18"/>
      <c r="BL48" s="18"/>
      <c r="BM48" s="56"/>
      <c r="BN48" s="44">
        <v>1</v>
      </c>
      <c r="BO48" s="56"/>
      <c r="BP48" s="44">
        <v>1</v>
      </c>
      <c r="BQ48" s="18"/>
      <c r="BS48" s="18"/>
      <c r="BT48" s="44"/>
      <c r="BU48" s="44"/>
      <c r="BV48" s="44"/>
      <c r="BW48" s="44"/>
      <c r="BX48" s="18"/>
      <c r="BZ48" s="18"/>
      <c r="CA48" s="44"/>
      <c r="CB48" s="44"/>
      <c r="CC48" s="44"/>
      <c r="CD48" s="44"/>
      <c r="CE48" s="18"/>
    </row>
    <row r="49" spans="1:83" outlineLevel="1">
      <c r="A49">
        <v>9</v>
      </c>
      <c r="B49" s="18" t="s">
        <v>115</v>
      </c>
      <c r="C49" s="18" t="s">
        <v>88</v>
      </c>
      <c r="D49" s="18"/>
      <c r="E49" s="19"/>
      <c r="F49" s="20" t="s">
        <v>116</v>
      </c>
      <c r="G49" s="11">
        <v>8.3000000000000004E-2</v>
      </c>
      <c r="I49" s="19">
        <f t="shared" si="5"/>
        <v>0</v>
      </c>
      <c r="J49" s="46">
        <f t="shared" si="4"/>
        <v>0</v>
      </c>
      <c r="K49" s="46">
        <f t="shared" si="4"/>
        <v>0</v>
      </c>
      <c r="L49" s="19"/>
      <c r="N49" s="18"/>
      <c r="O49" s="44"/>
      <c r="P49" s="44"/>
      <c r="Q49" s="44"/>
      <c r="R49" s="44"/>
      <c r="S49" s="18"/>
      <c r="U49" s="18"/>
      <c r="V49" s="44"/>
      <c r="W49" s="44"/>
      <c r="X49" s="44"/>
      <c r="Y49" s="44"/>
      <c r="Z49" s="18"/>
      <c r="AB49" s="18"/>
      <c r="AC49" s="56"/>
      <c r="AD49" s="44"/>
      <c r="AE49" s="56"/>
      <c r="AF49" s="44"/>
      <c r="AG49" s="18"/>
      <c r="AI49" s="18"/>
      <c r="AJ49" s="56"/>
      <c r="AK49" s="44"/>
      <c r="AL49" s="56"/>
      <c r="AM49" s="44"/>
      <c r="AN49" s="18"/>
      <c r="AP49" s="18"/>
      <c r="AQ49" s="56"/>
      <c r="AR49" s="44"/>
      <c r="AS49" s="56"/>
      <c r="AT49" s="44"/>
      <c r="AU49" s="18"/>
      <c r="AW49" s="18"/>
      <c r="AX49" s="56"/>
      <c r="AY49" s="44"/>
      <c r="AZ49" s="56"/>
      <c r="BA49" s="44"/>
      <c r="BB49" s="18"/>
      <c r="BD49" s="18"/>
      <c r="BE49" s="56"/>
      <c r="BF49" s="44"/>
      <c r="BG49" s="56"/>
      <c r="BH49" s="44"/>
      <c r="BI49" s="18"/>
      <c r="BL49" s="18"/>
      <c r="BM49" s="56"/>
      <c r="BN49" s="44"/>
      <c r="BO49" s="56"/>
      <c r="BP49" s="44"/>
      <c r="BQ49" s="18"/>
      <c r="BS49" s="18"/>
      <c r="BT49" s="44"/>
      <c r="BU49" s="44"/>
      <c r="BV49" s="44"/>
      <c r="BW49" s="44"/>
      <c r="BX49" s="18"/>
      <c r="BZ49" s="18"/>
      <c r="CA49" s="44"/>
      <c r="CB49" s="44"/>
      <c r="CC49" s="44"/>
      <c r="CD49" s="44"/>
      <c r="CE49" s="18"/>
    </row>
    <row r="50" spans="1:83" ht="31" outlineLevel="1">
      <c r="A50">
        <v>10</v>
      </c>
      <c r="B50" s="18" t="s">
        <v>28</v>
      </c>
      <c r="C50" s="18" t="s">
        <v>88</v>
      </c>
      <c r="D50" s="18"/>
      <c r="E50" s="19"/>
      <c r="F50" s="20" t="s">
        <v>97</v>
      </c>
      <c r="G50" s="11">
        <v>8.3000000000000004E-2</v>
      </c>
      <c r="I50" s="19">
        <f t="shared" si="5"/>
        <v>8.1000000000000014</v>
      </c>
      <c r="J50" s="46">
        <f t="shared" si="4"/>
        <v>0</v>
      </c>
      <c r="K50" s="46">
        <f t="shared" si="4"/>
        <v>0</v>
      </c>
      <c r="L50" s="19"/>
      <c r="N50" s="18"/>
      <c r="O50" s="44"/>
      <c r="P50" s="44"/>
      <c r="Q50" s="44"/>
      <c r="R50" s="44"/>
      <c r="S50" s="18"/>
      <c r="U50" s="18"/>
      <c r="V50" s="44"/>
      <c r="W50" s="44"/>
      <c r="X50" s="44"/>
      <c r="Y50" s="44"/>
      <c r="Z50" s="18"/>
      <c r="AB50" s="18"/>
      <c r="AC50" s="44"/>
      <c r="AD50" s="44"/>
      <c r="AE50" s="44"/>
      <c r="AF50" s="44"/>
      <c r="AG50" s="18"/>
      <c r="AI50" s="18"/>
      <c r="AJ50" s="44"/>
      <c r="AK50" s="44"/>
      <c r="AL50" s="44"/>
      <c r="AM50" s="44"/>
      <c r="AN50" s="18"/>
      <c r="AP50" s="18">
        <v>2.7</v>
      </c>
      <c r="AQ50" s="44"/>
      <c r="AR50" s="44">
        <v>0.5</v>
      </c>
      <c r="AS50" s="44"/>
      <c r="AT50" s="44">
        <v>0.5</v>
      </c>
      <c r="AU50" s="18"/>
      <c r="AW50" s="18">
        <v>2.7</v>
      </c>
      <c r="AX50" s="44"/>
      <c r="AY50" s="44">
        <v>0.8</v>
      </c>
      <c r="AZ50" s="44"/>
      <c r="BA50" s="44">
        <v>0.8</v>
      </c>
      <c r="BB50" s="18"/>
      <c r="BD50" s="18">
        <v>2.7</v>
      </c>
      <c r="BE50" s="44"/>
      <c r="BF50" s="44">
        <v>1</v>
      </c>
      <c r="BG50" s="44"/>
      <c r="BH50" s="44">
        <v>1</v>
      </c>
      <c r="BI50" s="18"/>
      <c r="BL50" s="18"/>
      <c r="BM50" s="44"/>
      <c r="BN50" s="44">
        <v>1</v>
      </c>
      <c r="BO50" s="44"/>
      <c r="BP50" s="44">
        <v>1</v>
      </c>
      <c r="BQ50" s="18"/>
      <c r="BS50" s="18"/>
      <c r="BT50" s="44"/>
      <c r="BU50" s="44"/>
      <c r="BV50" s="44"/>
      <c r="BW50" s="44"/>
      <c r="BX50" s="18"/>
      <c r="BZ50" s="18"/>
      <c r="CA50" s="44"/>
      <c r="CB50" s="44"/>
      <c r="CC50" s="44"/>
      <c r="CD50" s="44"/>
      <c r="CE50" s="18"/>
    </row>
    <row r="51" spans="1:83" outlineLevel="1">
      <c r="A51">
        <v>11</v>
      </c>
      <c r="B51" s="18" t="s">
        <v>28</v>
      </c>
      <c r="C51" s="18" t="s">
        <v>88</v>
      </c>
      <c r="D51" s="18"/>
      <c r="E51" s="19"/>
      <c r="F51" s="18" t="s">
        <v>98</v>
      </c>
      <c r="G51" s="11">
        <v>8.3000000000000004E-2</v>
      </c>
      <c r="I51" s="19">
        <f t="shared" si="5"/>
        <v>8.4</v>
      </c>
      <c r="J51" s="46">
        <f t="shared" si="4"/>
        <v>0</v>
      </c>
      <c r="K51" s="46">
        <f t="shared" si="4"/>
        <v>0</v>
      </c>
      <c r="L51" s="19"/>
      <c r="N51" s="18"/>
      <c r="O51" s="44"/>
      <c r="P51" s="44"/>
      <c r="Q51" s="44"/>
      <c r="R51" s="44"/>
      <c r="S51" s="18"/>
      <c r="U51" s="18"/>
      <c r="V51" s="44"/>
      <c r="W51" s="44"/>
      <c r="X51" s="44"/>
      <c r="Y51" s="44"/>
      <c r="Z51" s="18"/>
      <c r="AB51" s="18"/>
      <c r="AC51" s="44"/>
      <c r="AD51" s="44"/>
      <c r="AE51" s="44"/>
      <c r="AF51" s="44"/>
      <c r="AG51" s="18"/>
      <c r="AI51" s="18"/>
      <c r="AJ51" s="44"/>
      <c r="AK51" s="44"/>
      <c r="AL51" s="44"/>
      <c r="AM51" s="44"/>
      <c r="AN51" s="18"/>
      <c r="AP51" s="18"/>
      <c r="AQ51" s="44"/>
      <c r="AR51" s="44"/>
      <c r="AS51" s="44"/>
      <c r="AT51" s="44"/>
      <c r="AU51" s="18"/>
      <c r="AW51" s="18">
        <v>2.7</v>
      </c>
      <c r="AX51" s="44"/>
      <c r="AY51" s="44">
        <v>0.5</v>
      </c>
      <c r="AZ51" s="44"/>
      <c r="BA51" s="44">
        <v>0.5</v>
      </c>
      <c r="BB51" s="18"/>
      <c r="BD51" s="18">
        <v>2.7</v>
      </c>
      <c r="BE51" s="44"/>
      <c r="BF51" s="44">
        <v>0.8</v>
      </c>
      <c r="BG51" s="44"/>
      <c r="BH51" s="44">
        <v>0.8</v>
      </c>
      <c r="BI51" s="18"/>
      <c r="BL51" s="18">
        <v>3</v>
      </c>
      <c r="BM51" s="44"/>
      <c r="BN51" s="44">
        <v>1</v>
      </c>
      <c r="BO51" s="44"/>
      <c r="BP51" s="44">
        <v>1</v>
      </c>
      <c r="BQ51" s="18"/>
      <c r="BS51" s="18"/>
      <c r="BT51" s="44"/>
      <c r="BU51" s="44"/>
      <c r="BV51" s="44"/>
      <c r="BW51" s="44"/>
      <c r="BX51" s="18"/>
      <c r="BZ51" s="18"/>
      <c r="CA51" s="44"/>
      <c r="CB51" s="44"/>
      <c r="CC51" s="44"/>
      <c r="CD51" s="44"/>
      <c r="CE51" s="18"/>
    </row>
    <row r="52" spans="1:83" outlineLevel="1">
      <c r="A52">
        <v>12</v>
      </c>
      <c r="B52" s="18" t="s">
        <v>28</v>
      </c>
      <c r="C52" s="18" t="s">
        <v>88</v>
      </c>
      <c r="D52" s="18"/>
      <c r="E52" s="19"/>
      <c r="F52" s="18" t="s">
        <v>99</v>
      </c>
      <c r="G52" s="11">
        <v>8.3000000000000004E-2</v>
      </c>
      <c r="I52" s="19">
        <f>+SUMIF($N$3:$ZZ$3,I$3,$N52:$ZZ52)</f>
        <v>8.6999999999999993</v>
      </c>
      <c r="J52" s="46">
        <f t="shared" si="4"/>
        <v>0</v>
      </c>
      <c r="K52" s="46">
        <f t="shared" si="4"/>
        <v>0</v>
      </c>
      <c r="L52" s="19"/>
      <c r="N52" s="18"/>
      <c r="O52" s="44"/>
      <c r="P52" s="44"/>
      <c r="Q52" s="44"/>
      <c r="R52" s="44"/>
      <c r="S52" s="18"/>
      <c r="U52" s="18"/>
      <c r="V52" s="44"/>
      <c r="W52" s="44"/>
      <c r="X52" s="44"/>
      <c r="Y52" s="44"/>
      <c r="Z52" s="18"/>
      <c r="AB52" s="18"/>
      <c r="AC52" s="44"/>
      <c r="AD52" s="44"/>
      <c r="AE52" s="44"/>
      <c r="AF52" s="44"/>
      <c r="AG52" s="18"/>
      <c r="AI52" s="18"/>
      <c r="AJ52" s="44"/>
      <c r="AK52" s="44"/>
      <c r="AL52" s="44"/>
      <c r="AM52" s="44"/>
      <c r="AN52" s="18"/>
      <c r="AP52" s="18"/>
      <c r="AQ52" s="44"/>
      <c r="AR52" s="44"/>
      <c r="AS52" s="44"/>
      <c r="AT52" s="44"/>
      <c r="AU52" s="18"/>
      <c r="AW52" s="18"/>
      <c r="AX52" s="44"/>
      <c r="AY52" s="44"/>
      <c r="AZ52" s="44"/>
      <c r="BA52" s="44"/>
      <c r="BB52" s="18"/>
      <c r="BD52" s="18">
        <v>2.7</v>
      </c>
      <c r="BE52" s="44"/>
      <c r="BF52" s="44">
        <v>0.5</v>
      </c>
      <c r="BG52" s="44"/>
      <c r="BH52" s="44">
        <v>0.5</v>
      </c>
      <c r="BI52" s="18"/>
      <c r="BL52" s="18">
        <v>6</v>
      </c>
      <c r="BM52" s="44"/>
      <c r="BN52" s="44">
        <v>1</v>
      </c>
      <c r="BO52" s="44"/>
      <c r="BP52" s="44">
        <v>1</v>
      </c>
      <c r="BQ52" s="18"/>
      <c r="BS52" s="18"/>
      <c r="BT52" s="44"/>
      <c r="BU52" s="44"/>
      <c r="BV52" s="44"/>
      <c r="BW52" s="44"/>
      <c r="BX52" s="18"/>
      <c r="BZ52" s="18"/>
      <c r="CA52" s="44"/>
      <c r="CB52" s="44"/>
      <c r="CC52" s="44"/>
      <c r="CD52" s="44"/>
      <c r="CE52" s="18"/>
    </row>
    <row r="53" spans="1:83" outlineLevel="1">
      <c r="A53">
        <v>13</v>
      </c>
      <c r="B53" s="18"/>
      <c r="C53" s="18"/>
      <c r="D53" s="32" t="s">
        <v>101</v>
      </c>
      <c r="E53" s="19"/>
      <c r="F53" s="31" t="s">
        <v>100</v>
      </c>
      <c r="G53" s="11"/>
      <c r="I53" s="19"/>
      <c r="J53" s="46">
        <f t="shared" si="4"/>
        <v>0</v>
      </c>
      <c r="K53" s="46">
        <f t="shared" si="4"/>
        <v>0</v>
      </c>
      <c r="L53" s="19"/>
      <c r="N53" s="18"/>
      <c r="O53" s="44"/>
      <c r="P53" s="44"/>
      <c r="Q53" s="44"/>
      <c r="R53" s="44"/>
      <c r="S53" s="18"/>
      <c r="U53" s="18"/>
      <c r="V53" s="44"/>
      <c r="W53" s="44"/>
      <c r="X53" s="44"/>
      <c r="Y53" s="44"/>
      <c r="Z53" s="18"/>
      <c r="AB53" s="18"/>
      <c r="AC53" s="44"/>
      <c r="AD53" s="44"/>
      <c r="AE53" s="44"/>
      <c r="AF53" s="44"/>
      <c r="AG53" s="18"/>
      <c r="AI53" s="18"/>
      <c r="AJ53" s="44"/>
      <c r="AK53" s="44"/>
      <c r="AL53" s="44"/>
      <c r="AM53" s="44"/>
      <c r="AN53" s="18"/>
      <c r="AP53" s="18"/>
      <c r="AQ53" s="44"/>
      <c r="AR53" s="44"/>
      <c r="AS53" s="44"/>
      <c r="AT53" s="44"/>
      <c r="AU53" s="18"/>
      <c r="AW53" s="18"/>
      <c r="AX53" s="44"/>
      <c r="AY53" s="44"/>
      <c r="AZ53" s="44"/>
      <c r="BA53" s="44"/>
      <c r="BB53" s="18"/>
      <c r="BD53" s="18"/>
      <c r="BE53" s="44"/>
      <c r="BF53" s="44"/>
      <c r="BG53" s="44"/>
      <c r="BH53" s="44"/>
      <c r="BI53" s="18"/>
      <c r="BL53" s="18"/>
      <c r="BM53" s="44"/>
      <c r="BN53" s="44"/>
      <c r="BO53" s="44"/>
      <c r="BP53" s="44"/>
      <c r="BQ53" s="18"/>
      <c r="BS53" s="18"/>
      <c r="BT53" s="44"/>
      <c r="BU53" s="44"/>
      <c r="BV53" s="44"/>
      <c r="BW53" s="44"/>
      <c r="BX53" s="18"/>
      <c r="BZ53" s="18"/>
      <c r="CA53" s="44"/>
      <c r="CB53" s="44"/>
      <c r="CC53" s="44"/>
      <c r="CD53" s="44"/>
      <c r="CE53" s="18"/>
    </row>
    <row r="54" spans="1:83" outlineLevel="1">
      <c r="A54">
        <v>14</v>
      </c>
      <c r="B54" s="18"/>
      <c r="C54" s="18"/>
      <c r="D54" s="21" t="s">
        <v>102</v>
      </c>
      <c r="E54" s="19"/>
      <c r="F54" s="31" t="s">
        <v>85</v>
      </c>
      <c r="G54" s="11"/>
      <c r="I54" s="19"/>
      <c r="J54" s="46">
        <f t="shared" si="4"/>
        <v>0</v>
      </c>
      <c r="K54" s="46">
        <f t="shared" si="4"/>
        <v>0</v>
      </c>
      <c r="L54" s="19"/>
      <c r="N54" s="18"/>
      <c r="O54" s="44"/>
      <c r="P54" s="44"/>
      <c r="Q54" s="44"/>
      <c r="R54" s="44"/>
      <c r="S54" s="18"/>
      <c r="U54" s="18"/>
      <c r="V54" s="44"/>
      <c r="W54" s="44"/>
      <c r="X54" s="44"/>
      <c r="Y54" s="44"/>
      <c r="Z54" s="18"/>
      <c r="AB54" s="18"/>
      <c r="AC54" s="44"/>
      <c r="AD54" s="44"/>
      <c r="AE54" s="44"/>
      <c r="AF54" s="44"/>
      <c r="AG54" s="18"/>
      <c r="AI54" s="18"/>
      <c r="AJ54" s="44"/>
      <c r="AK54" s="44"/>
      <c r="AL54" s="44"/>
      <c r="AM54" s="44"/>
      <c r="AN54" s="18"/>
      <c r="AP54" s="18"/>
      <c r="AQ54" s="44"/>
      <c r="AR54" s="44"/>
      <c r="AS54" s="44"/>
      <c r="AT54" s="44"/>
      <c r="AU54" s="18"/>
      <c r="AW54" s="18"/>
      <c r="AX54" s="44"/>
      <c r="AY54" s="44"/>
      <c r="AZ54" s="44"/>
      <c r="BA54" s="44"/>
      <c r="BB54" s="18"/>
      <c r="BD54" s="18"/>
      <c r="BE54" s="44"/>
      <c r="BF54" s="44"/>
      <c r="BG54" s="44"/>
      <c r="BH54" s="44"/>
      <c r="BI54" s="18"/>
      <c r="BL54" s="18"/>
      <c r="BM54" s="44"/>
      <c r="BN54" s="44"/>
      <c r="BO54" s="44"/>
      <c r="BP54" s="44"/>
      <c r="BQ54" s="18"/>
      <c r="BS54" s="18"/>
      <c r="BT54" s="44"/>
      <c r="BU54" s="44"/>
      <c r="BV54" s="44"/>
      <c r="BW54" s="44"/>
      <c r="BX54" s="18"/>
      <c r="BZ54" s="18"/>
      <c r="CA54" s="44"/>
      <c r="CB54" s="44"/>
      <c r="CC54" s="44"/>
      <c r="CD54" s="44"/>
      <c r="CE54" s="18"/>
    </row>
    <row r="55" spans="1:83" outlineLevel="1">
      <c r="B55" s="27"/>
      <c r="C55" s="27"/>
      <c r="D55" s="33"/>
      <c r="E55" s="28"/>
      <c r="F55" s="34"/>
      <c r="G55" s="11"/>
    </row>
    <row r="56" spans="1:83" outlineLevel="1">
      <c r="E56" s="10"/>
      <c r="G56" s="11"/>
    </row>
    <row r="58" spans="1:83" ht="16" thickBot="1">
      <c r="B58" s="23" t="s">
        <v>27</v>
      </c>
      <c r="C58" s="23" t="s">
        <v>103</v>
      </c>
      <c r="D58" s="23"/>
      <c r="E58" s="24">
        <v>8</v>
      </c>
      <c r="F58" s="23"/>
      <c r="G58" s="11">
        <f>SUM(G59:G71)</f>
        <v>0.99960000000000016</v>
      </c>
      <c r="I58" s="43" cm="1">
        <f t="array" aca="1" ref="I58" ca="1">I58:AU72=+SUM(I59:I71)</f>
        <v>0</v>
      </c>
      <c r="J58" s="46">
        <f>+SUMPRODUCT(G59:G71,J59:J71)</f>
        <v>0.19991999999999999</v>
      </c>
      <c r="K58" s="46">
        <f>+SUMPRODUCT(G59:G71,K59:K71)</f>
        <v>0.26656000000000007</v>
      </c>
      <c r="L58" s="19"/>
      <c r="N58" s="43">
        <f>+SUM(N59:N71)</f>
        <v>0</v>
      </c>
      <c r="O58" s="18"/>
      <c r="P58" s="18"/>
      <c r="Q58" s="18"/>
      <c r="R58" s="18"/>
      <c r="S58" s="18"/>
      <c r="U58" s="43">
        <f>+SUM(U59:U71)</f>
        <v>0</v>
      </c>
      <c r="V58" s="44"/>
      <c r="W58" s="18"/>
      <c r="X58" s="18"/>
      <c r="Y58" s="18"/>
      <c r="Z58" s="18"/>
      <c r="AB58" s="43">
        <f>+SUM(AB59:AB71)</f>
        <v>4</v>
      </c>
      <c r="AC58" s="18"/>
      <c r="AD58" s="18"/>
      <c r="AE58" s="18"/>
      <c r="AF58" s="18"/>
      <c r="AG58" s="18"/>
      <c r="AI58" s="43">
        <f>+SUM(AI59:AI71)</f>
        <v>4</v>
      </c>
      <c r="AJ58" s="18"/>
      <c r="AK58" s="18"/>
      <c r="AL58" s="18"/>
      <c r="AM58" s="18"/>
      <c r="AN58" s="18"/>
      <c r="AP58" s="43">
        <f>+SUM(AP59:AP71)</f>
        <v>4</v>
      </c>
      <c r="AQ58" s="18"/>
      <c r="AR58" s="18"/>
      <c r="AS58" s="18"/>
      <c r="AT58" s="18"/>
      <c r="AU58" s="18"/>
      <c r="AW58" s="43">
        <f>+SUM(AW59:AW71)</f>
        <v>4</v>
      </c>
      <c r="AX58" s="18"/>
      <c r="AY58" s="18"/>
      <c r="AZ58" s="18"/>
      <c r="BA58" s="18"/>
      <c r="BB58" s="18"/>
      <c r="BD58" s="43">
        <f>+SUM(BD59:BD71)</f>
        <v>4</v>
      </c>
      <c r="BE58" s="18"/>
      <c r="BF58" s="18"/>
      <c r="BG58" s="18"/>
      <c r="BH58" s="18"/>
      <c r="BI58" s="18"/>
      <c r="BL58" s="18"/>
      <c r="BM58" s="18"/>
      <c r="BN58" s="18"/>
      <c r="BO58" s="18"/>
      <c r="BP58" s="18"/>
      <c r="BQ58" s="18"/>
      <c r="BS58" s="18"/>
      <c r="BT58" s="18"/>
      <c r="BU58" s="18"/>
      <c r="BV58" s="18"/>
      <c r="BW58" s="18"/>
      <c r="BX58" s="18"/>
      <c r="BZ58" s="18"/>
      <c r="CA58" s="18"/>
      <c r="CB58" s="18"/>
      <c r="CC58" s="18"/>
      <c r="CD58" s="18"/>
      <c r="CE58" s="18"/>
    </row>
    <row r="59" spans="1:83" ht="31">
      <c r="A59">
        <v>1</v>
      </c>
      <c r="B59" s="22" t="s">
        <v>28</v>
      </c>
      <c r="C59" s="22" t="s">
        <v>103</v>
      </c>
      <c r="D59" s="22"/>
      <c r="E59" s="25"/>
      <c r="F59" s="26" t="s">
        <v>104</v>
      </c>
      <c r="G59" s="11">
        <v>8.3299999999999999E-2</v>
      </c>
      <c r="I59" s="19">
        <f>+SUMIF($N$3:$ZZ$3,I$3,$N59:$ZZ59)</f>
        <v>0</v>
      </c>
      <c r="J59" s="46">
        <f t="shared" ref="J59:K72" si="6">+_xlfn.MAXIFS($N59:$ZF59,$N$3:$ZF$3,J$3)</f>
        <v>0.3</v>
      </c>
      <c r="K59" s="46">
        <f t="shared" si="6"/>
        <v>0.4</v>
      </c>
      <c r="L59" s="19"/>
      <c r="N59" s="18"/>
      <c r="O59" s="44">
        <v>0.3</v>
      </c>
      <c r="P59" s="44"/>
      <c r="Q59" s="44">
        <v>0.4</v>
      </c>
      <c r="R59" s="44"/>
      <c r="S59" s="18"/>
      <c r="U59" s="18"/>
      <c r="V59" s="44">
        <v>0.3</v>
      </c>
      <c r="W59" s="44"/>
      <c r="X59" s="44">
        <v>0.4</v>
      </c>
      <c r="Y59" s="44"/>
      <c r="Z59" s="18"/>
      <c r="AB59" s="18"/>
      <c r="AC59" s="44"/>
      <c r="AD59" s="44">
        <v>0.3</v>
      </c>
      <c r="AE59" s="44"/>
      <c r="AF59" s="44">
        <v>0.4</v>
      </c>
      <c r="AG59" s="18"/>
      <c r="AI59" s="18"/>
      <c r="AJ59" s="44"/>
      <c r="AK59" s="44">
        <v>0.3</v>
      </c>
      <c r="AL59" s="44"/>
      <c r="AM59" s="44">
        <v>0.4</v>
      </c>
      <c r="AN59" s="18"/>
      <c r="AP59" s="18"/>
      <c r="AQ59" s="44"/>
      <c r="AR59" s="44">
        <v>0.3</v>
      </c>
      <c r="AS59" s="44"/>
      <c r="AT59" s="44">
        <v>0.4</v>
      </c>
      <c r="AU59" s="18"/>
      <c r="AW59" s="18"/>
      <c r="AX59" s="44"/>
      <c r="AY59" s="44">
        <v>0.3</v>
      </c>
      <c r="AZ59" s="44"/>
      <c r="BA59" s="44">
        <v>0.4</v>
      </c>
      <c r="BB59" s="18"/>
      <c r="BD59" s="18"/>
      <c r="BE59" s="44"/>
      <c r="BF59" s="44">
        <v>0.3</v>
      </c>
      <c r="BG59" s="44"/>
      <c r="BH59" s="44">
        <v>0.4</v>
      </c>
      <c r="BI59" s="18"/>
      <c r="BL59" s="18"/>
      <c r="BM59" s="18"/>
      <c r="BN59" s="18"/>
      <c r="BO59" s="18"/>
      <c r="BP59" s="18"/>
      <c r="BQ59" s="18"/>
      <c r="BS59" s="18"/>
      <c r="BT59" s="18"/>
      <c r="BU59" s="18"/>
      <c r="BV59" s="18"/>
      <c r="BW59" s="18"/>
      <c r="BX59" s="18"/>
      <c r="BZ59" s="18"/>
      <c r="CA59" s="18"/>
      <c r="CB59" s="18"/>
      <c r="CC59" s="18"/>
      <c r="CD59" s="18"/>
      <c r="CE59" s="18"/>
    </row>
    <row r="60" spans="1:83" ht="31">
      <c r="A60">
        <v>2</v>
      </c>
      <c r="B60" s="18" t="s">
        <v>28</v>
      </c>
      <c r="C60" s="18" t="s">
        <v>103</v>
      </c>
      <c r="D60" s="18"/>
      <c r="E60" s="19"/>
      <c r="F60" s="20" t="s">
        <v>105</v>
      </c>
      <c r="G60" s="11">
        <v>8.3299999999999999E-2</v>
      </c>
      <c r="I60" s="19">
        <f t="shared" ref="I60:I69" si="7">+SUMIF($N$3:$ZZ$3,I$3,$N60:$ZZ60)</f>
        <v>0</v>
      </c>
      <c r="J60" s="46">
        <f t="shared" si="6"/>
        <v>0.3</v>
      </c>
      <c r="K60" s="46">
        <f t="shared" si="6"/>
        <v>0.4</v>
      </c>
      <c r="L60" s="19"/>
      <c r="N60" s="18"/>
      <c r="O60" s="44">
        <v>0.3</v>
      </c>
      <c r="P60" s="44"/>
      <c r="Q60" s="44">
        <v>0.4</v>
      </c>
      <c r="R60" s="44"/>
      <c r="S60" s="18"/>
      <c r="U60" s="18"/>
      <c r="V60" s="44">
        <v>0.3</v>
      </c>
      <c r="W60" s="44"/>
      <c r="X60" s="44">
        <v>0.4</v>
      </c>
      <c r="Y60" s="44"/>
      <c r="Z60" s="18"/>
      <c r="AB60" s="18"/>
      <c r="AC60" s="44"/>
      <c r="AD60" s="44">
        <v>0.3</v>
      </c>
      <c r="AE60" s="44"/>
      <c r="AF60" s="44">
        <v>0.4</v>
      </c>
      <c r="AG60" s="18"/>
      <c r="AI60" s="18"/>
      <c r="AJ60" s="44"/>
      <c r="AK60" s="44">
        <v>0.3</v>
      </c>
      <c r="AL60" s="44"/>
      <c r="AM60" s="44">
        <v>0.4</v>
      </c>
      <c r="AN60" s="18"/>
      <c r="AP60" s="18"/>
      <c r="AQ60" s="44"/>
      <c r="AR60" s="44">
        <v>0.3</v>
      </c>
      <c r="AS60" s="44"/>
      <c r="AT60" s="44">
        <v>0.4</v>
      </c>
      <c r="AU60" s="18"/>
      <c r="AW60" s="18"/>
      <c r="AX60" s="44"/>
      <c r="AY60" s="44">
        <v>0.3</v>
      </c>
      <c r="AZ60" s="44"/>
      <c r="BA60" s="44">
        <v>0.4</v>
      </c>
      <c r="BB60" s="18"/>
      <c r="BD60" s="18"/>
      <c r="BE60" s="44"/>
      <c r="BF60" s="44">
        <v>0.3</v>
      </c>
      <c r="BG60" s="44"/>
      <c r="BH60" s="44">
        <v>0.4</v>
      </c>
      <c r="BI60" s="18"/>
      <c r="BL60" s="18"/>
      <c r="BM60" s="18"/>
      <c r="BN60" s="18"/>
      <c r="BO60" s="18"/>
      <c r="BP60" s="18"/>
      <c r="BQ60" s="18"/>
      <c r="BS60" s="18"/>
      <c r="BT60" s="18"/>
      <c r="BU60" s="18"/>
      <c r="BV60" s="18"/>
      <c r="BW60" s="18"/>
      <c r="BX60" s="18"/>
      <c r="BZ60" s="18"/>
      <c r="CA60" s="18"/>
      <c r="CB60" s="18"/>
      <c r="CC60" s="18"/>
      <c r="CD60" s="18"/>
      <c r="CE60" s="18"/>
    </row>
    <row r="61" spans="1:83" ht="31">
      <c r="A61">
        <v>3</v>
      </c>
      <c r="B61" s="18" t="s">
        <v>28</v>
      </c>
      <c r="C61" s="18" t="s">
        <v>103</v>
      </c>
      <c r="D61" s="18"/>
      <c r="E61" s="19"/>
      <c r="F61" s="20" t="s">
        <v>106</v>
      </c>
      <c r="G61" s="11">
        <v>8.3299999999999999E-2</v>
      </c>
      <c r="I61" s="19">
        <f t="shared" si="7"/>
        <v>0</v>
      </c>
      <c r="J61" s="46">
        <f t="shared" si="6"/>
        <v>0.3</v>
      </c>
      <c r="K61" s="46">
        <f t="shared" si="6"/>
        <v>0.4</v>
      </c>
      <c r="L61" s="19"/>
      <c r="N61" s="18"/>
      <c r="O61" s="44">
        <v>0.3</v>
      </c>
      <c r="P61" s="44"/>
      <c r="Q61" s="44">
        <v>0.4</v>
      </c>
      <c r="R61" s="44"/>
      <c r="S61" s="18"/>
      <c r="U61" s="18"/>
      <c r="V61" s="44">
        <v>0.3</v>
      </c>
      <c r="W61" s="44"/>
      <c r="X61" s="44">
        <v>0.4</v>
      </c>
      <c r="Y61" s="44"/>
      <c r="Z61" s="18"/>
      <c r="AB61" s="18"/>
      <c r="AC61" s="44"/>
      <c r="AD61" s="44">
        <v>0.3</v>
      </c>
      <c r="AE61" s="44"/>
      <c r="AF61" s="44">
        <v>0.4</v>
      </c>
      <c r="AG61" s="18"/>
      <c r="AI61" s="18"/>
      <c r="AJ61" s="44"/>
      <c r="AK61" s="44">
        <v>0.3</v>
      </c>
      <c r="AL61" s="44"/>
      <c r="AM61" s="44">
        <v>0.4</v>
      </c>
      <c r="AN61" s="18"/>
      <c r="AP61" s="18"/>
      <c r="AQ61" s="44"/>
      <c r="AR61" s="44">
        <v>0.3</v>
      </c>
      <c r="AS61" s="44"/>
      <c r="AT61" s="44">
        <v>0.4</v>
      </c>
      <c r="AU61" s="18"/>
      <c r="AW61" s="18"/>
      <c r="AX61" s="44"/>
      <c r="AY61" s="44">
        <v>0.3</v>
      </c>
      <c r="AZ61" s="44"/>
      <c r="BA61" s="44">
        <v>0.4</v>
      </c>
      <c r="BB61" s="18"/>
      <c r="BD61" s="18"/>
      <c r="BE61" s="44"/>
      <c r="BF61" s="44">
        <v>0.3</v>
      </c>
      <c r="BG61" s="44"/>
      <c r="BH61" s="44">
        <v>0.4</v>
      </c>
      <c r="BI61" s="18"/>
      <c r="BL61" s="18"/>
      <c r="BM61" s="18"/>
      <c r="BN61" s="18"/>
      <c r="BO61" s="18"/>
      <c r="BP61" s="18"/>
      <c r="BQ61" s="18"/>
      <c r="BS61" s="18"/>
      <c r="BT61" s="18"/>
      <c r="BU61" s="18"/>
      <c r="BV61" s="18"/>
      <c r="BW61" s="18"/>
      <c r="BX61" s="18"/>
      <c r="BZ61" s="18"/>
      <c r="CA61" s="18"/>
      <c r="CB61" s="18"/>
      <c r="CC61" s="18"/>
      <c r="CD61" s="18"/>
      <c r="CE61" s="18"/>
    </row>
    <row r="62" spans="1:83" ht="31">
      <c r="A62">
        <v>4</v>
      </c>
      <c r="B62" s="18" t="s">
        <v>28</v>
      </c>
      <c r="C62" s="18" t="s">
        <v>103</v>
      </c>
      <c r="D62" s="18"/>
      <c r="E62" s="19"/>
      <c r="F62" s="20" t="s">
        <v>107</v>
      </c>
      <c r="G62" s="11">
        <v>8.3299999999999999E-2</v>
      </c>
      <c r="I62" s="19">
        <f t="shared" si="7"/>
        <v>0</v>
      </c>
      <c r="J62" s="46">
        <f t="shared" si="6"/>
        <v>0.3</v>
      </c>
      <c r="K62" s="46">
        <f t="shared" si="6"/>
        <v>0.4</v>
      </c>
      <c r="L62" s="19"/>
      <c r="N62" s="18"/>
      <c r="O62" s="44">
        <v>0.3</v>
      </c>
      <c r="P62" s="44"/>
      <c r="Q62" s="44">
        <v>0.4</v>
      </c>
      <c r="R62" s="44"/>
      <c r="S62" s="18"/>
      <c r="U62" s="18"/>
      <c r="V62" s="44">
        <v>0.3</v>
      </c>
      <c r="W62" s="44"/>
      <c r="X62" s="44">
        <v>0.4</v>
      </c>
      <c r="Y62" s="44"/>
      <c r="Z62" s="18"/>
      <c r="AB62" s="18"/>
      <c r="AC62" s="44"/>
      <c r="AD62" s="44">
        <v>0.3</v>
      </c>
      <c r="AE62" s="44"/>
      <c r="AF62" s="44">
        <v>0.4</v>
      </c>
      <c r="AG62" s="18"/>
      <c r="AI62" s="18"/>
      <c r="AJ62" s="44"/>
      <c r="AK62" s="44">
        <v>0.3</v>
      </c>
      <c r="AL62" s="44"/>
      <c r="AM62" s="44">
        <v>0.4</v>
      </c>
      <c r="AN62" s="18"/>
      <c r="AP62" s="18"/>
      <c r="AQ62" s="44"/>
      <c r="AR62" s="44">
        <v>0.3</v>
      </c>
      <c r="AS62" s="44"/>
      <c r="AT62" s="44">
        <v>0.4</v>
      </c>
      <c r="AU62" s="18"/>
      <c r="AW62" s="18"/>
      <c r="AX62" s="44"/>
      <c r="AY62" s="44">
        <v>0.3</v>
      </c>
      <c r="AZ62" s="44"/>
      <c r="BA62" s="44">
        <v>0.4</v>
      </c>
      <c r="BB62" s="18"/>
      <c r="BD62" s="18"/>
      <c r="BE62" s="44"/>
      <c r="BF62" s="44">
        <v>0.3</v>
      </c>
      <c r="BG62" s="44"/>
      <c r="BH62" s="44">
        <v>0.4</v>
      </c>
      <c r="BI62" s="18"/>
      <c r="BL62" s="18"/>
      <c r="BM62" s="18"/>
      <c r="BN62" s="18"/>
      <c r="BO62" s="18"/>
      <c r="BP62" s="18"/>
      <c r="BQ62" s="18"/>
      <c r="BS62" s="18"/>
      <c r="BT62" s="18"/>
      <c r="BU62" s="18"/>
      <c r="BV62" s="18"/>
      <c r="BW62" s="18"/>
      <c r="BX62" s="18"/>
      <c r="BZ62" s="18"/>
      <c r="CA62" s="18"/>
      <c r="CB62" s="18"/>
      <c r="CC62" s="18"/>
      <c r="CD62" s="18"/>
      <c r="CE62" s="18"/>
    </row>
    <row r="63" spans="1:83" ht="31">
      <c r="A63">
        <v>5</v>
      </c>
      <c r="B63" s="18" t="s">
        <v>28</v>
      </c>
      <c r="C63" s="18" t="s">
        <v>103</v>
      </c>
      <c r="D63" s="18"/>
      <c r="E63" s="19"/>
      <c r="F63" s="20" t="s">
        <v>108</v>
      </c>
      <c r="G63" s="11">
        <v>8.3299999999999999E-2</v>
      </c>
      <c r="I63" s="19">
        <f t="shared" si="7"/>
        <v>0</v>
      </c>
      <c r="J63" s="46">
        <f t="shared" si="6"/>
        <v>0.3</v>
      </c>
      <c r="K63" s="46">
        <f t="shared" si="6"/>
        <v>0.4</v>
      </c>
      <c r="L63" s="19"/>
      <c r="N63" s="18"/>
      <c r="O63" s="44">
        <v>0.3</v>
      </c>
      <c r="P63" s="44"/>
      <c r="Q63" s="44">
        <v>0.4</v>
      </c>
      <c r="R63" s="44"/>
      <c r="S63" s="18"/>
      <c r="U63" s="18"/>
      <c r="V63" s="44">
        <v>0.3</v>
      </c>
      <c r="W63" s="44"/>
      <c r="X63" s="44">
        <v>0.4</v>
      </c>
      <c r="Y63" s="44"/>
      <c r="Z63" s="18"/>
      <c r="AB63" s="18"/>
      <c r="AC63" s="44"/>
      <c r="AD63" s="44">
        <v>0.3</v>
      </c>
      <c r="AE63" s="44"/>
      <c r="AF63" s="44">
        <v>0.4</v>
      </c>
      <c r="AG63" s="18"/>
      <c r="AI63" s="18"/>
      <c r="AJ63" s="44"/>
      <c r="AK63" s="44">
        <v>0.3</v>
      </c>
      <c r="AL63" s="44"/>
      <c r="AM63" s="44">
        <v>0.4</v>
      </c>
      <c r="AN63" s="18"/>
      <c r="AP63" s="18"/>
      <c r="AQ63" s="44"/>
      <c r="AR63" s="44">
        <v>0.3</v>
      </c>
      <c r="AS63" s="44"/>
      <c r="AT63" s="44">
        <v>0.4</v>
      </c>
      <c r="AU63" s="18"/>
      <c r="AW63" s="18"/>
      <c r="AX63" s="44"/>
      <c r="AY63" s="44">
        <v>0.3</v>
      </c>
      <c r="AZ63" s="44"/>
      <c r="BA63" s="44">
        <v>0.4</v>
      </c>
      <c r="BB63" s="18"/>
      <c r="BD63" s="18"/>
      <c r="BE63" s="44"/>
      <c r="BF63" s="44">
        <v>0.3</v>
      </c>
      <c r="BG63" s="44"/>
      <c r="BH63" s="44">
        <v>0.4</v>
      </c>
      <c r="BI63" s="18"/>
      <c r="BL63" s="18"/>
      <c r="BM63" s="18"/>
      <c r="BN63" s="18"/>
      <c r="BO63" s="18"/>
      <c r="BP63" s="18"/>
      <c r="BQ63" s="18"/>
      <c r="BS63" s="18"/>
      <c r="BT63" s="18"/>
      <c r="BU63" s="18"/>
      <c r="BV63" s="18"/>
      <c r="BW63" s="18"/>
      <c r="BX63" s="18"/>
      <c r="BZ63" s="18"/>
      <c r="CA63" s="18"/>
      <c r="CB63" s="18"/>
      <c r="CC63" s="18"/>
      <c r="CD63" s="18"/>
      <c r="CE63" s="18"/>
    </row>
    <row r="64" spans="1:83">
      <c r="A64">
        <v>6</v>
      </c>
      <c r="B64" s="18" t="s">
        <v>28</v>
      </c>
      <c r="C64" s="18" t="s">
        <v>103</v>
      </c>
      <c r="D64" s="18"/>
      <c r="E64" s="19"/>
      <c r="F64" s="18" t="s">
        <v>109</v>
      </c>
      <c r="G64" s="11">
        <v>8.3299999999999999E-2</v>
      </c>
      <c r="I64" s="19">
        <f t="shared" si="7"/>
        <v>0</v>
      </c>
      <c r="J64" s="46">
        <f t="shared" si="6"/>
        <v>0.3</v>
      </c>
      <c r="K64" s="46">
        <f t="shared" si="6"/>
        <v>0.4</v>
      </c>
      <c r="L64" s="19"/>
      <c r="N64" s="18"/>
      <c r="O64" s="44">
        <v>0.3</v>
      </c>
      <c r="P64" s="44"/>
      <c r="Q64" s="44">
        <v>0.4</v>
      </c>
      <c r="R64" s="44"/>
      <c r="S64" s="18"/>
      <c r="U64" s="18"/>
      <c r="V64" s="44">
        <v>0.3</v>
      </c>
      <c r="W64" s="44"/>
      <c r="X64" s="44">
        <v>0.4</v>
      </c>
      <c r="Y64" s="44"/>
      <c r="Z64" s="18"/>
      <c r="AB64" s="18"/>
      <c r="AC64" s="44"/>
      <c r="AD64" s="44">
        <v>0.3</v>
      </c>
      <c r="AE64" s="44"/>
      <c r="AF64" s="44">
        <v>0.4</v>
      </c>
      <c r="AG64" s="18"/>
      <c r="AI64" s="18"/>
      <c r="AJ64" s="44"/>
      <c r="AK64" s="44">
        <v>0.3</v>
      </c>
      <c r="AL64" s="44"/>
      <c r="AM64" s="44">
        <v>0.4</v>
      </c>
      <c r="AN64" s="18"/>
      <c r="AP64" s="18"/>
      <c r="AQ64" s="44"/>
      <c r="AR64" s="44">
        <v>0.3</v>
      </c>
      <c r="AS64" s="44"/>
      <c r="AT64" s="44">
        <v>0.4</v>
      </c>
      <c r="AU64" s="18"/>
      <c r="AW64" s="18"/>
      <c r="AX64" s="44"/>
      <c r="AY64" s="44">
        <v>0.3</v>
      </c>
      <c r="AZ64" s="44"/>
      <c r="BA64" s="44">
        <v>0.4</v>
      </c>
      <c r="BB64" s="18"/>
      <c r="BD64" s="18"/>
      <c r="BE64" s="44"/>
      <c r="BF64" s="44">
        <v>0.3</v>
      </c>
      <c r="BG64" s="44"/>
      <c r="BH64" s="44">
        <v>0.4</v>
      </c>
      <c r="BI64" s="18"/>
      <c r="BL64" s="18"/>
      <c r="BM64" s="18"/>
      <c r="BN64" s="18"/>
      <c r="BO64" s="18"/>
      <c r="BP64" s="18"/>
      <c r="BQ64" s="18"/>
      <c r="BS64" s="18"/>
      <c r="BT64" s="18"/>
      <c r="BU64" s="18"/>
      <c r="BV64" s="18"/>
      <c r="BW64" s="18"/>
      <c r="BX64" s="18"/>
      <c r="BZ64" s="18"/>
      <c r="CA64" s="18"/>
      <c r="CB64" s="18"/>
      <c r="CC64" s="18"/>
      <c r="CD64" s="18"/>
      <c r="CE64" s="18"/>
    </row>
    <row r="65" spans="1:83" ht="31">
      <c r="A65">
        <v>7</v>
      </c>
      <c r="B65" s="18" t="s">
        <v>28</v>
      </c>
      <c r="C65" s="18" t="s">
        <v>103</v>
      </c>
      <c r="D65" s="18"/>
      <c r="E65" s="19"/>
      <c r="F65" s="20" t="s">
        <v>110</v>
      </c>
      <c r="G65" s="11">
        <v>8.3299999999999999E-2</v>
      </c>
      <c r="I65" s="19">
        <f t="shared" si="7"/>
        <v>0</v>
      </c>
      <c r="J65" s="46">
        <f t="shared" si="6"/>
        <v>0.3</v>
      </c>
      <c r="K65" s="46">
        <f t="shared" si="6"/>
        <v>0.4</v>
      </c>
      <c r="L65" s="19"/>
      <c r="N65" s="18"/>
      <c r="O65" s="44">
        <v>0.3</v>
      </c>
      <c r="P65" s="44"/>
      <c r="Q65" s="44">
        <v>0.4</v>
      </c>
      <c r="R65" s="44"/>
      <c r="S65" s="18"/>
      <c r="U65" s="18"/>
      <c r="V65" s="44">
        <v>0.3</v>
      </c>
      <c r="W65" s="44"/>
      <c r="X65" s="44">
        <v>0.4</v>
      </c>
      <c r="Y65" s="44"/>
      <c r="Z65" s="18"/>
      <c r="AB65" s="18"/>
      <c r="AC65" s="44"/>
      <c r="AD65" s="44">
        <v>0.3</v>
      </c>
      <c r="AE65" s="44"/>
      <c r="AF65" s="44">
        <v>0.4</v>
      </c>
      <c r="AG65" s="18"/>
      <c r="AI65" s="18"/>
      <c r="AJ65" s="44"/>
      <c r="AK65" s="44">
        <v>0.3</v>
      </c>
      <c r="AL65" s="44"/>
      <c r="AM65" s="44">
        <v>0.4</v>
      </c>
      <c r="AN65" s="18"/>
      <c r="AP65" s="18"/>
      <c r="AQ65" s="44"/>
      <c r="AR65" s="44">
        <v>0.3</v>
      </c>
      <c r="AS65" s="44"/>
      <c r="AT65" s="44">
        <v>0.4</v>
      </c>
      <c r="AU65" s="18"/>
      <c r="AW65" s="18"/>
      <c r="AX65" s="44"/>
      <c r="AY65" s="44">
        <v>0.3</v>
      </c>
      <c r="AZ65" s="44"/>
      <c r="BA65" s="44">
        <v>0.4</v>
      </c>
      <c r="BB65" s="18"/>
      <c r="BD65" s="18"/>
      <c r="BE65" s="44"/>
      <c r="BF65" s="44">
        <v>0.3</v>
      </c>
      <c r="BG65" s="44"/>
      <c r="BH65" s="44">
        <v>0.4</v>
      </c>
      <c r="BI65" s="18"/>
      <c r="BL65" s="18"/>
      <c r="BM65" s="18"/>
      <c r="BN65" s="18"/>
      <c r="BO65" s="18"/>
      <c r="BP65" s="18"/>
      <c r="BQ65" s="18"/>
      <c r="BS65" s="18"/>
      <c r="BT65" s="18"/>
      <c r="BU65" s="18"/>
      <c r="BV65" s="18"/>
      <c r="BW65" s="18"/>
      <c r="BX65" s="18"/>
      <c r="BZ65" s="18"/>
      <c r="CA65" s="18"/>
      <c r="CB65" s="18"/>
      <c r="CC65" s="18"/>
      <c r="CD65" s="18"/>
      <c r="CE65" s="18"/>
    </row>
    <row r="66" spans="1:83" ht="31">
      <c r="A66">
        <v>8</v>
      </c>
      <c r="B66" s="18" t="s">
        <v>28</v>
      </c>
      <c r="C66" s="18" t="s">
        <v>103</v>
      </c>
      <c r="D66" s="18"/>
      <c r="E66" s="19"/>
      <c r="F66" s="20" t="s">
        <v>111</v>
      </c>
      <c r="G66" s="11">
        <v>8.3299999999999999E-2</v>
      </c>
      <c r="I66" s="19">
        <f t="shared" si="7"/>
        <v>0</v>
      </c>
      <c r="J66" s="46">
        <f t="shared" si="6"/>
        <v>0.3</v>
      </c>
      <c r="K66" s="46">
        <f t="shared" si="6"/>
        <v>0.4</v>
      </c>
      <c r="L66" s="19"/>
      <c r="N66" s="18"/>
      <c r="O66" s="44"/>
      <c r="P66" s="44"/>
      <c r="Q66" s="44"/>
      <c r="R66" s="44"/>
      <c r="S66" s="18"/>
      <c r="U66" s="18"/>
      <c r="V66" s="44">
        <v>0.3</v>
      </c>
      <c r="W66" s="44"/>
      <c r="X66" s="44">
        <v>0.4</v>
      </c>
      <c r="Y66" s="44"/>
      <c r="Z66" s="18"/>
      <c r="AB66" s="18"/>
      <c r="AC66" s="44"/>
      <c r="AD66" s="44">
        <v>0.3</v>
      </c>
      <c r="AE66" s="44"/>
      <c r="AF66" s="44">
        <v>0.4</v>
      </c>
      <c r="AG66" s="18"/>
      <c r="AI66" s="18"/>
      <c r="AJ66" s="44"/>
      <c r="AK66" s="44">
        <v>0.3</v>
      </c>
      <c r="AL66" s="44"/>
      <c r="AM66" s="44">
        <v>0.4</v>
      </c>
      <c r="AN66" s="18"/>
      <c r="AP66" s="18"/>
      <c r="AQ66" s="44"/>
      <c r="AR66" s="44">
        <v>0.3</v>
      </c>
      <c r="AS66" s="44"/>
      <c r="AT66" s="44">
        <v>0.4</v>
      </c>
      <c r="AU66" s="18"/>
      <c r="AW66" s="18"/>
      <c r="AX66" s="44"/>
      <c r="AY66" s="44">
        <v>0.3</v>
      </c>
      <c r="AZ66" s="44"/>
      <c r="BA66" s="44">
        <v>0.4</v>
      </c>
      <c r="BB66" s="18"/>
      <c r="BD66" s="18"/>
      <c r="BE66" s="44"/>
      <c r="BF66" s="44">
        <v>0.3</v>
      </c>
      <c r="BG66" s="44"/>
      <c r="BH66" s="44">
        <v>0.4</v>
      </c>
      <c r="BI66" s="18"/>
      <c r="BL66" s="18"/>
      <c r="BM66" s="18"/>
      <c r="BN66" s="18"/>
      <c r="BO66" s="18"/>
      <c r="BP66" s="18"/>
      <c r="BQ66" s="18"/>
      <c r="BS66" s="18"/>
      <c r="BT66" s="18"/>
      <c r="BU66" s="18"/>
      <c r="BV66" s="18"/>
      <c r="BW66" s="18"/>
      <c r="BX66" s="18"/>
      <c r="BZ66" s="18"/>
      <c r="CA66" s="18"/>
      <c r="CB66" s="18"/>
      <c r="CC66" s="18"/>
      <c r="CD66" s="18"/>
      <c r="CE66" s="18"/>
    </row>
    <row r="67" spans="1:83" ht="31">
      <c r="A67">
        <v>9</v>
      </c>
      <c r="B67" s="18" t="s">
        <v>28</v>
      </c>
      <c r="C67" s="18" t="s">
        <v>103</v>
      </c>
      <c r="D67" s="18"/>
      <c r="E67" s="19"/>
      <c r="F67" s="20" t="s">
        <v>112</v>
      </c>
      <c r="G67" s="11">
        <v>8.3299999999999999E-2</v>
      </c>
      <c r="I67" s="19">
        <f t="shared" si="7"/>
        <v>4</v>
      </c>
      <c r="J67" s="46">
        <f t="shared" si="6"/>
        <v>0</v>
      </c>
      <c r="K67" s="46">
        <f t="shared" si="6"/>
        <v>0</v>
      </c>
      <c r="L67" s="19"/>
      <c r="N67" s="18"/>
      <c r="O67" s="44"/>
      <c r="P67" s="44"/>
      <c r="Q67" s="44"/>
      <c r="R67" s="44"/>
      <c r="S67" s="18"/>
      <c r="U67" s="18"/>
      <c r="V67" s="44"/>
      <c r="W67" s="44"/>
      <c r="X67" s="44"/>
      <c r="Y67" s="44"/>
      <c r="Z67" s="18"/>
      <c r="AB67" s="18">
        <v>4</v>
      </c>
      <c r="AC67" s="44"/>
      <c r="AD67" s="44">
        <v>0.3</v>
      </c>
      <c r="AE67" s="44"/>
      <c r="AF67" s="44">
        <v>0.4</v>
      </c>
      <c r="AG67" s="18"/>
      <c r="AI67" s="18"/>
      <c r="AJ67" s="44"/>
      <c r="AK67" s="44">
        <v>0.3</v>
      </c>
      <c r="AL67" s="44"/>
      <c r="AM67" s="44">
        <v>0.4</v>
      </c>
      <c r="AN67" s="18"/>
      <c r="AP67" s="18"/>
      <c r="AQ67" s="44"/>
      <c r="AR67" s="44">
        <v>0.3</v>
      </c>
      <c r="AS67" s="44"/>
      <c r="AT67" s="44">
        <v>0.4</v>
      </c>
      <c r="AU67" s="18"/>
      <c r="AW67" s="18"/>
      <c r="AX67" s="44"/>
      <c r="AY67" s="44">
        <v>0.3</v>
      </c>
      <c r="AZ67" s="44"/>
      <c r="BA67" s="44">
        <v>0.4</v>
      </c>
      <c r="BB67" s="18"/>
      <c r="BD67" s="18"/>
      <c r="BE67" s="44"/>
      <c r="BF67" s="44">
        <v>0.3</v>
      </c>
      <c r="BG67" s="44"/>
      <c r="BH67" s="44">
        <v>0.4</v>
      </c>
      <c r="BI67" s="18"/>
      <c r="BL67" s="18"/>
      <c r="BM67" s="18"/>
      <c r="BN67" s="18"/>
      <c r="BO67" s="18"/>
      <c r="BP67" s="18"/>
      <c r="BQ67" s="18"/>
      <c r="BS67" s="18"/>
      <c r="BT67" s="18"/>
      <c r="BU67" s="18"/>
      <c r="BV67" s="18"/>
      <c r="BW67" s="18"/>
      <c r="BX67" s="18"/>
      <c r="BZ67" s="18"/>
      <c r="CA67" s="18"/>
      <c r="CB67" s="18"/>
      <c r="CC67" s="18"/>
      <c r="CD67" s="18"/>
      <c r="CE67" s="18"/>
    </row>
    <row r="68" spans="1:83" ht="31">
      <c r="A68">
        <v>10</v>
      </c>
      <c r="B68" s="18" t="s">
        <v>28</v>
      </c>
      <c r="C68" s="18" t="s">
        <v>103</v>
      </c>
      <c r="D68" s="18"/>
      <c r="E68" s="19"/>
      <c r="F68" s="20" t="s">
        <v>113</v>
      </c>
      <c r="G68" s="11">
        <v>8.3299999999999999E-2</v>
      </c>
      <c r="I68" s="19">
        <f t="shared" si="7"/>
        <v>4</v>
      </c>
      <c r="J68" s="46">
        <f t="shared" si="6"/>
        <v>0</v>
      </c>
      <c r="K68" s="46">
        <f t="shared" si="6"/>
        <v>0</v>
      </c>
      <c r="L68" s="19"/>
      <c r="N68" s="18"/>
      <c r="O68" s="44"/>
      <c r="P68" s="44"/>
      <c r="Q68" s="44"/>
      <c r="R68" s="44"/>
      <c r="S68" s="18"/>
      <c r="U68" s="18"/>
      <c r="V68" s="44"/>
      <c r="W68" s="44"/>
      <c r="X68" s="44"/>
      <c r="Y68" s="44"/>
      <c r="Z68" s="18"/>
      <c r="AB68" s="18"/>
      <c r="AC68" s="44"/>
      <c r="AD68" s="44"/>
      <c r="AE68" s="44"/>
      <c r="AF68" s="44"/>
      <c r="AG68" s="18"/>
      <c r="AI68" s="18">
        <v>4</v>
      </c>
      <c r="AJ68" s="44"/>
      <c r="AK68" s="44">
        <v>0.3</v>
      </c>
      <c r="AL68" s="44"/>
      <c r="AM68" s="44">
        <v>0.4</v>
      </c>
      <c r="AN68" s="18"/>
      <c r="AP68" s="18"/>
      <c r="AQ68" s="44"/>
      <c r="AR68" s="44">
        <v>0.3</v>
      </c>
      <c r="AS68" s="44"/>
      <c r="AT68" s="44">
        <v>0.4</v>
      </c>
      <c r="AU68" s="18"/>
      <c r="AW68" s="18"/>
      <c r="AX68" s="44"/>
      <c r="AY68" s="44">
        <v>0.3</v>
      </c>
      <c r="AZ68" s="44"/>
      <c r="BA68" s="44">
        <v>0.4</v>
      </c>
      <c r="BB68" s="18"/>
      <c r="BD68" s="18"/>
      <c r="BE68" s="44"/>
      <c r="BF68" s="44">
        <v>0.3</v>
      </c>
      <c r="BG68" s="44"/>
      <c r="BH68" s="44">
        <v>0.4</v>
      </c>
      <c r="BI68" s="18"/>
      <c r="BL68" s="18"/>
      <c r="BM68" s="18"/>
      <c r="BN68" s="18"/>
      <c r="BO68" s="18"/>
      <c r="BP68" s="18"/>
      <c r="BQ68" s="18"/>
      <c r="BS68" s="18"/>
      <c r="BT68" s="18"/>
      <c r="BU68" s="18"/>
      <c r="BV68" s="18"/>
      <c r="BW68" s="18"/>
      <c r="BX68" s="18"/>
      <c r="BZ68" s="18"/>
      <c r="CA68" s="18"/>
      <c r="CB68" s="18"/>
      <c r="CC68" s="18"/>
      <c r="CD68" s="18"/>
      <c r="CE68" s="18"/>
    </row>
    <row r="69" spans="1:83" ht="31">
      <c r="A69">
        <v>11</v>
      </c>
      <c r="B69" s="18" t="s">
        <v>28</v>
      </c>
      <c r="C69" s="18" t="s">
        <v>103</v>
      </c>
      <c r="D69" s="18"/>
      <c r="E69" s="19"/>
      <c r="F69" s="20" t="s">
        <v>114</v>
      </c>
      <c r="G69" s="11">
        <v>8.3299999999999999E-2</v>
      </c>
      <c r="I69" s="19">
        <f t="shared" si="7"/>
        <v>4</v>
      </c>
      <c r="J69" s="46">
        <f t="shared" si="6"/>
        <v>0</v>
      </c>
      <c r="K69" s="46">
        <f t="shared" si="6"/>
        <v>0</v>
      </c>
      <c r="L69" s="19"/>
      <c r="N69" s="18"/>
      <c r="O69" s="44"/>
      <c r="P69" s="44"/>
      <c r="Q69" s="44"/>
      <c r="R69" s="44"/>
      <c r="S69" s="18"/>
      <c r="U69" s="18"/>
      <c r="V69" s="44"/>
      <c r="W69" s="44"/>
      <c r="X69" s="44"/>
      <c r="Y69" s="44"/>
      <c r="Z69" s="18"/>
      <c r="AB69" s="18"/>
      <c r="AC69" s="44"/>
      <c r="AD69" s="44"/>
      <c r="AE69" s="44"/>
      <c r="AF69" s="44"/>
      <c r="AG69" s="18"/>
      <c r="AI69" s="18"/>
      <c r="AJ69" s="44"/>
      <c r="AK69" s="44"/>
      <c r="AL69" s="44"/>
      <c r="AM69" s="44"/>
      <c r="AN69" s="18"/>
      <c r="AP69" s="18">
        <v>4</v>
      </c>
      <c r="AQ69" s="44"/>
      <c r="AR69" s="44">
        <v>0.3</v>
      </c>
      <c r="AS69" s="44"/>
      <c r="AT69" s="44">
        <v>0.4</v>
      </c>
      <c r="AU69" s="18"/>
      <c r="AW69" s="18"/>
      <c r="AX69" s="44"/>
      <c r="AY69" s="44">
        <v>0.3</v>
      </c>
      <c r="AZ69" s="44"/>
      <c r="BA69" s="44">
        <v>0.4</v>
      </c>
      <c r="BB69" s="18"/>
      <c r="BD69" s="18"/>
      <c r="BE69" s="44"/>
      <c r="BF69" s="44">
        <v>0.3</v>
      </c>
      <c r="BG69" s="44"/>
      <c r="BH69" s="44">
        <v>0.4</v>
      </c>
      <c r="BI69" s="18"/>
      <c r="BL69" s="18"/>
      <c r="BM69" s="18"/>
      <c r="BN69" s="18"/>
      <c r="BO69" s="18"/>
      <c r="BP69" s="18"/>
      <c r="BQ69" s="18"/>
      <c r="BS69" s="18"/>
      <c r="BT69" s="18"/>
      <c r="BU69" s="18"/>
      <c r="BV69" s="18"/>
      <c r="BW69" s="18"/>
      <c r="BX69" s="18"/>
      <c r="BZ69" s="18"/>
      <c r="CA69" s="18"/>
      <c r="CB69" s="18"/>
      <c r="CC69" s="18"/>
      <c r="CD69" s="18"/>
      <c r="CE69" s="18"/>
    </row>
    <row r="70" spans="1:83" ht="31">
      <c r="A70">
        <v>12</v>
      </c>
      <c r="B70" s="18" t="s">
        <v>115</v>
      </c>
      <c r="C70" s="18" t="s">
        <v>103</v>
      </c>
      <c r="D70" s="18"/>
      <c r="E70" s="19"/>
      <c r="F70" s="20" t="s">
        <v>178</v>
      </c>
      <c r="G70" s="11"/>
      <c r="I70" s="19">
        <v>4</v>
      </c>
      <c r="J70" s="46">
        <f t="shared" si="6"/>
        <v>0</v>
      </c>
      <c r="K70" s="46">
        <f t="shared" si="6"/>
        <v>0</v>
      </c>
      <c r="L70" s="19"/>
      <c r="N70" s="18"/>
      <c r="O70" s="44"/>
      <c r="P70" s="44"/>
      <c r="Q70" s="44"/>
      <c r="R70" s="44"/>
      <c r="S70" s="18"/>
      <c r="U70" s="18"/>
      <c r="V70" s="44"/>
      <c r="W70" s="44"/>
      <c r="X70" s="44"/>
      <c r="Y70" s="44"/>
      <c r="Z70" s="18"/>
      <c r="AB70" s="18"/>
      <c r="AC70" s="44"/>
      <c r="AD70" s="44"/>
      <c r="AE70" s="44"/>
      <c r="AF70" s="44"/>
      <c r="AG70" s="18"/>
      <c r="AI70" s="18"/>
      <c r="AJ70" s="44"/>
      <c r="AK70" s="44"/>
      <c r="AL70" s="44"/>
      <c r="AM70" s="44"/>
      <c r="AN70" s="18"/>
      <c r="AP70" s="18"/>
      <c r="AQ70" s="44"/>
      <c r="AR70" s="44"/>
      <c r="AS70" s="44"/>
      <c r="AT70" s="44"/>
      <c r="AU70" s="18"/>
      <c r="AW70" s="18">
        <v>4</v>
      </c>
      <c r="AX70" s="44"/>
      <c r="AY70" s="44">
        <v>0.3</v>
      </c>
      <c r="AZ70" s="44"/>
      <c r="BA70" s="44">
        <v>0.4</v>
      </c>
      <c r="BB70" s="18"/>
      <c r="BD70" s="18">
        <v>4</v>
      </c>
      <c r="BE70" s="44"/>
      <c r="BF70" s="44">
        <v>0.3</v>
      </c>
      <c r="BG70" s="44"/>
      <c r="BH70" s="44">
        <v>0.4</v>
      </c>
      <c r="BI70" s="18"/>
      <c r="BL70" s="18"/>
      <c r="BM70" s="18"/>
      <c r="BN70" s="18"/>
      <c r="BO70" s="18"/>
      <c r="BP70" s="18"/>
      <c r="BQ70" s="18"/>
      <c r="BS70" s="18"/>
      <c r="BT70" s="18"/>
      <c r="BU70" s="18"/>
      <c r="BV70" s="18"/>
      <c r="BW70" s="18"/>
      <c r="BX70" s="18"/>
      <c r="BZ70" s="18"/>
      <c r="CA70" s="18"/>
      <c r="CB70" s="18"/>
      <c r="CC70" s="18"/>
      <c r="CD70" s="18"/>
      <c r="CE70" s="18"/>
    </row>
    <row r="71" spans="1:83">
      <c r="A71">
        <v>13</v>
      </c>
      <c r="B71" s="18" t="s">
        <v>28</v>
      </c>
      <c r="C71" s="18" t="s">
        <v>103</v>
      </c>
      <c r="D71" s="18"/>
      <c r="E71" s="19"/>
      <c r="F71" s="20" t="s">
        <v>179</v>
      </c>
      <c r="G71" s="11">
        <v>8.3299999999999999E-2</v>
      </c>
      <c r="I71" s="19">
        <f>+SUMIF($N$3:$ZZ$3,I$3,$N71:$ZZ71)</f>
        <v>0</v>
      </c>
      <c r="J71" s="46">
        <f t="shared" si="6"/>
        <v>0</v>
      </c>
      <c r="K71" s="46">
        <f t="shared" si="6"/>
        <v>0</v>
      </c>
      <c r="L71" s="19"/>
      <c r="N71" s="18"/>
      <c r="O71" s="44"/>
      <c r="P71" s="44"/>
      <c r="Q71" s="44"/>
      <c r="R71" s="44"/>
      <c r="S71" s="18"/>
      <c r="U71" s="18"/>
      <c r="V71" s="44"/>
      <c r="W71" s="44"/>
      <c r="X71" s="44"/>
      <c r="Y71" s="44"/>
      <c r="Z71" s="18"/>
      <c r="AB71" s="18"/>
      <c r="AC71" s="44"/>
      <c r="AD71" s="44"/>
      <c r="AE71" s="44"/>
      <c r="AF71" s="44"/>
      <c r="AG71" s="18"/>
      <c r="AI71" s="18"/>
      <c r="AJ71" s="44"/>
      <c r="AK71" s="44"/>
      <c r="AL71" s="44"/>
      <c r="AM71" s="44"/>
      <c r="AN71" s="18"/>
      <c r="AP71" s="18"/>
      <c r="AQ71" s="44"/>
      <c r="AR71" s="44"/>
      <c r="AS71" s="44"/>
      <c r="AT71" s="44"/>
      <c r="AU71" s="18"/>
      <c r="AW71" s="18"/>
      <c r="AX71" s="44"/>
      <c r="AY71" s="44"/>
      <c r="AZ71" s="44"/>
      <c r="BA71" s="44"/>
      <c r="BB71" s="18"/>
      <c r="BD71" s="18"/>
      <c r="BE71" s="44"/>
      <c r="BF71" s="44"/>
      <c r="BG71" s="44"/>
      <c r="BH71" s="44"/>
      <c r="BI71" s="18"/>
      <c r="BL71" s="18"/>
      <c r="BM71" s="18"/>
      <c r="BN71" s="18"/>
      <c r="BO71" s="18"/>
      <c r="BP71" s="18"/>
      <c r="BQ71" s="18"/>
      <c r="BS71" s="18"/>
      <c r="BT71" s="18"/>
      <c r="BU71" s="18"/>
      <c r="BV71" s="18"/>
      <c r="BW71" s="18"/>
      <c r="BX71" s="18"/>
      <c r="BZ71" s="18"/>
      <c r="CA71" s="18"/>
      <c r="CB71" s="18"/>
      <c r="CC71" s="18"/>
      <c r="CD71" s="18"/>
      <c r="CE71" s="18"/>
    </row>
    <row r="72" spans="1:83">
      <c r="A72">
        <v>14</v>
      </c>
      <c r="B72" s="18"/>
      <c r="C72" s="18"/>
      <c r="D72" s="21">
        <v>44438</v>
      </c>
      <c r="E72" s="19"/>
      <c r="F72" s="30" t="s">
        <v>85</v>
      </c>
      <c r="G72" s="11"/>
      <c r="I72" s="19"/>
      <c r="J72" s="46">
        <f t="shared" si="6"/>
        <v>0</v>
      </c>
      <c r="K72" s="46">
        <f t="shared" si="6"/>
        <v>0</v>
      </c>
      <c r="L72" s="19"/>
      <c r="N72" s="18"/>
      <c r="O72" s="44"/>
      <c r="P72" s="44"/>
      <c r="Q72" s="44"/>
      <c r="R72" s="44"/>
      <c r="S72" s="18"/>
      <c r="U72" s="18"/>
      <c r="V72" s="44"/>
      <c r="W72" s="44"/>
      <c r="X72" s="44"/>
      <c r="Y72" s="44"/>
      <c r="Z72" s="18"/>
      <c r="AB72" s="18"/>
      <c r="AC72" s="44"/>
      <c r="AD72" s="44"/>
      <c r="AE72" s="44"/>
      <c r="AF72" s="44"/>
      <c r="AG72" s="18"/>
      <c r="AI72" s="18"/>
      <c r="AJ72" s="44"/>
      <c r="AK72" s="44"/>
      <c r="AL72" s="44"/>
      <c r="AM72" s="44"/>
      <c r="AN72" s="18"/>
      <c r="AP72" s="18"/>
      <c r="AQ72" s="44"/>
      <c r="AR72" s="44"/>
      <c r="AS72" s="44"/>
      <c r="AT72" s="44"/>
      <c r="AU72" s="18"/>
      <c r="AW72" s="18"/>
      <c r="AX72" s="44"/>
      <c r="AY72" s="44"/>
      <c r="AZ72" s="44"/>
      <c r="BA72" s="44"/>
      <c r="BB72" s="18"/>
      <c r="BD72" s="18"/>
      <c r="BE72" s="44"/>
      <c r="BF72" s="44"/>
      <c r="BG72" s="44"/>
      <c r="BH72" s="44"/>
      <c r="BI72" s="18"/>
      <c r="BL72" s="18"/>
      <c r="BM72" s="18"/>
      <c r="BN72" s="18"/>
      <c r="BO72" s="18"/>
      <c r="BP72" s="18"/>
      <c r="BQ72" s="18"/>
      <c r="BS72" s="18"/>
      <c r="BT72" s="18"/>
      <c r="BU72" s="18"/>
      <c r="BV72" s="18"/>
      <c r="BW72" s="18"/>
      <c r="BX72" s="18"/>
      <c r="BZ72" s="18"/>
      <c r="CA72" s="18"/>
      <c r="CB72" s="18"/>
      <c r="CC72" s="18"/>
      <c r="CD72" s="18"/>
      <c r="CE72" s="18"/>
    </row>
    <row r="76" spans="1:83" ht="16" thickBot="1">
      <c r="B76" s="23" t="s">
        <v>27</v>
      </c>
      <c r="C76" s="23" t="s">
        <v>152</v>
      </c>
      <c r="D76" s="23"/>
      <c r="E76" s="24">
        <v>6</v>
      </c>
      <c r="F76" s="23"/>
      <c r="G76" s="41">
        <f>SUM(G77:G89)</f>
        <v>0.9996999999999997</v>
      </c>
      <c r="I76" s="47"/>
      <c r="J76" s="47"/>
      <c r="K76" s="47"/>
      <c r="L76" s="47"/>
    </row>
    <row r="77" spans="1:83">
      <c r="A77">
        <v>1</v>
      </c>
      <c r="B77" s="22" t="s">
        <v>28</v>
      </c>
      <c r="C77" s="22" t="s">
        <v>88</v>
      </c>
      <c r="D77" s="22"/>
      <c r="E77" s="25"/>
      <c r="F77" s="22" t="s">
        <v>153</v>
      </c>
      <c r="G77" s="40">
        <v>7.6899999999999996E-2</v>
      </c>
      <c r="I77" s="43" cm="1">
        <f t="array" aca="1" ref="I77" ca="1">I77:AU90=+SUM(I78:I89)</f>
        <v>0</v>
      </c>
      <c r="J77" s="46">
        <f>+SUMPRODUCT(G78:G89,J78:J89)</f>
        <v>0</v>
      </c>
      <c r="K77" s="46">
        <f>+SUMPRODUCT(G78:G89,K78:K89)</f>
        <v>0</v>
      </c>
      <c r="L77" s="19"/>
      <c r="N77" s="43">
        <f>+SUM(N78:N89)</f>
        <v>0</v>
      </c>
      <c r="O77" s="18"/>
      <c r="P77" s="18"/>
      <c r="Q77" s="18"/>
      <c r="R77" s="18"/>
      <c r="S77" s="18"/>
      <c r="U77" s="43">
        <f>+SUM(U78:U89)</f>
        <v>0</v>
      </c>
      <c r="V77" s="44">
        <v>0.7</v>
      </c>
      <c r="W77" s="18"/>
      <c r="X77" s="18"/>
      <c r="Y77" s="18"/>
      <c r="Z77" s="18"/>
      <c r="AB77" s="43">
        <f>+SUM(AB78:AB89)</f>
        <v>0</v>
      </c>
      <c r="AC77" s="18"/>
      <c r="AD77" s="18"/>
      <c r="AE77" s="18"/>
      <c r="AF77" s="18"/>
      <c r="AG77" s="18"/>
      <c r="AI77" s="43">
        <f>+SUM(AI78:AI89)</f>
        <v>0</v>
      </c>
      <c r="AJ77" s="18"/>
      <c r="AK77" s="18"/>
      <c r="AL77" s="18"/>
      <c r="AM77" s="18"/>
      <c r="AN77" s="18"/>
      <c r="AP77" s="43">
        <f>+SUM(AP78:AP89)</f>
        <v>0</v>
      </c>
      <c r="AQ77" s="18"/>
      <c r="AR77" s="18"/>
      <c r="AS77" s="18"/>
      <c r="AT77" s="18"/>
      <c r="AU77" s="18"/>
      <c r="AW77" s="18"/>
      <c r="AX77" s="18"/>
      <c r="AY77" s="18"/>
      <c r="AZ77" s="18"/>
      <c r="BA77" s="18"/>
      <c r="BB77" s="18"/>
      <c r="BD77" s="18"/>
      <c r="BE77" s="18"/>
      <c r="BF77" s="18"/>
      <c r="BG77" s="18"/>
      <c r="BH77" s="18"/>
      <c r="BI77" s="18"/>
      <c r="BL77" s="18"/>
      <c r="BM77" s="18"/>
      <c r="BN77" s="18"/>
      <c r="BO77" s="18"/>
      <c r="BP77" s="18"/>
      <c r="BQ77" s="18"/>
      <c r="BS77" s="18"/>
      <c r="BT77" s="18"/>
      <c r="BU77" s="18"/>
      <c r="BV77" s="18"/>
      <c r="BW77" s="18"/>
      <c r="BX77" s="18"/>
      <c r="BZ77" s="18"/>
      <c r="CA77" s="18"/>
      <c r="CB77" s="18"/>
      <c r="CC77" s="18"/>
      <c r="CD77" s="18"/>
      <c r="CE77" s="18"/>
    </row>
    <row r="78" spans="1:83">
      <c r="A78">
        <v>2</v>
      </c>
      <c r="B78" s="18" t="s">
        <v>28</v>
      </c>
      <c r="C78" s="18" t="s">
        <v>88</v>
      </c>
      <c r="D78" s="18"/>
      <c r="E78" s="19"/>
      <c r="F78" s="18" t="s">
        <v>154</v>
      </c>
      <c r="G78" s="40">
        <v>7.6899999999999996E-2</v>
      </c>
      <c r="I78" s="19">
        <f>+SUMIF($N$3:$ZZ$3,I$3,$N78:$ZZ78)</f>
        <v>0</v>
      </c>
      <c r="J78" s="46">
        <f t="shared" ref="J78:K90" si="8">+_xlfn.MAXIFS($N78:$ZF78,$N$3:$ZF$3,J$3)</f>
        <v>0</v>
      </c>
      <c r="K78" s="46">
        <f t="shared" si="8"/>
        <v>0</v>
      </c>
      <c r="L78" s="19"/>
      <c r="N78" s="18"/>
      <c r="O78" s="44"/>
      <c r="P78" s="44"/>
      <c r="Q78" s="44"/>
      <c r="R78" s="44"/>
      <c r="S78" s="18"/>
      <c r="U78" s="18"/>
      <c r="V78" s="44"/>
      <c r="W78" s="44"/>
      <c r="X78" s="44"/>
      <c r="Y78" s="44"/>
      <c r="Z78" s="18"/>
      <c r="AB78" s="18"/>
      <c r="AC78" s="44"/>
      <c r="AD78" s="44"/>
      <c r="AE78" s="44"/>
      <c r="AF78" s="44"/>
      <c r="AG78" s="18"/>
      <c r="AI78" s="18"/>
      <c r="AJ78" s="44"/>
      <c r="AK78" s="44"/>
      <c r="AL78" s="44"/>
      <c r="AM78" s="44"/>
      <c r="AN78" s="18"/>
      <c r="AP78" s="18"/>
      <c r="AQ78" s="44"/>
      <c r="AR78" s="44"/>
      <c r="AS78" s="44"/>
      <c r="AT78" s="44"/>
      <c r="AU78" s="18"/>
      <c r="AW78" s="18"/>
      <c r="AX78" s="18"/>
      <c r="AY78" s="18"/>
      <c r="AZ78" s="18"/>
      <c r="BA78" s="18"/>
      <c r="BB78" s="18"/>
      <c r="BD78" s="18"/>
      <c r="BE78" s="18"/>
      <c r="BF78" s="18"/>
      <c r="BG78" s="18"/>
      <c r="BH78" s="18"/>
      <c r="BI78" s="18"/>
      <c r="BL78" s="18"/>
      <c r="BM78" s="18"/>
      <c r="BN78" s="18"/>
      <c r="BO78" s="18"/>
      <c r="BP78" s="18"/>
      <c r="BQ78" s="18"/>
      <c r="BS78" s="18"/>
      <c r="BT78" s="18"/>
      <c r="BU78" s="18"/>
      <c r="BV78" s="18"/>
      <c r="BW78" s="18"/>
      <c r="BX78" s="18"/>
      <c r="BZ78" s="18"/>
      <c r="CA78" s="18"/>
      <c r="CB78" s="18"/>
      <c r="CC78" s="18"/>
      <c r="CD78" s="18"/>
      <c r="CE78" s="18"/>
    </row>
    <row r="79" spans="1:83">
      <c r="A79">
        <v>3</v>
      </c>
      <c r="B79" s="18" t="s">
        <v>28</v>
      </c>
      <c r="C79" s="18" t="s">
        <v>88</v>
      </c>
      <c r="D79" s="18"/>
      <c r="E79" s="19"/>
      <c r="F79" s="20" t="s">
        <v>155</v>
      </c>
      <c r="G79" s="40">
        <v>7.6899999999999996E-2</v>
      </c>
      <c r="I79" s="19">
        <f t="shared" ref="I79:I88" si="9">+SUMIF($N$3:$ZZ$3,I$3,$N79:$ZZ79)</f>
        <v>0</v>
      </c>
      <c r="J79" s="46">
        <f t="shared" si="8"/>
        <v>0</v>
      </c>
      <c r="K79" s="46">
        <f t="shared" si="8"/>
        <v>0</v>
      </c>
      <c r="L79" s="19"/>
      <c r="N79" s="18"/>
      <c r="O79" s="44"/>
      <c r="P79" s="44"/>
      <c r="Q79" s="44"/>
      <c r="R79" s="44"/>
      <c r="S79" s="18"/>
      <c r="U79" s="18"/>
      <c r="V79" s="44"/>
      <c r="W79" s="44"/>
      <c r="X79" s="44"/>
      <c r="Y79" s="44"/>
      <c r="Z79" s="18"/>
      <c r="AB79" s="18"/>
      <c r="AC79" s="44"/>
      <c r="AD79" s="44"/>
      <c r="AE79" s="44"/>
      <c r="AF79" s="44"/>
      <c r="AG79" s="18"/>
      <c r="AI79" s="18"/>
      <c r="AJ79" s="44"/>
      <c r="AK79" s="44"/>
      <c r="AL79" s="44"/>
      <c r="AM79" s="44"/>
      <c r="AN79" s="18"/>
      <c r="AP79" s="18"/>
      <c r="AQ79" s="44"/>
      <c r="AR79" s="44"/>
      <c r="AS79" s="44"/>
      <c r="AT79" s="44"/>
      <c r="AU79" s="18"/>
      <c r="AW79" s="18"/>
      <c r="AX79" s="18"/>
      <c r="AY79" s="18"/>
      <c r="AZ79" s="18"/>
      <c r="BA79" s="18"/>
      <c r="BB79" s="18"/>
      <c r="BD79" s="18"/>
      <c r="BE79" s="18"/>
      <c r="BF79" s="18"/>
      <c r="BG79" s="18"/>
      <c r="BH79" s="18"/>
      <c r="BI79" s="18"/>
      <c r="BL79" s="18"/>
      <c r="BM79" s="18"/>
      <c r="BN79" s="18"/>
      <c r="BO79" s="18"/>
      <c r="BP79" s="18"/>
      <c r="BQ79" s="18"/>
      <c r="BS79" s="18"/>
      <c r="BT79" s="18"/>
      <c r="BU79" s="18"/>
      <c r="BV79" s="18"/>
      <c r="BW79" s="18"/>
      <c r="BX79" s="18"/>
      <c r="BZ79" s="18"/>
      <c r="CA79" s="18"/>
      <c r="CB79" s="18"/>
      <c r="CC79" s="18"/>
      <c r="CD79" s="18"/>
      <c r="CE79" s="18"/>
    </row>
    <row r="80" spans="1:83">
      <c r="A80">
        <v>4</v>
      </c>
      <c r="B80" s="18" t="s">
        <v>28</v>
      </c>
      <c r="C80" s="18" t="s">
        <v>88</v>
      </c>
      <c r="D80" s="18"/>
      <c r="E80" s="19"/>
      <c r="F80" s="18" t="s">
        <v>156</v>
      </c>
      <c r="G80" s="40">
        <v>7.6899999999999996E-2</v>
      </c>
      <c r="I80" s="19">
        <f t="shared" si="9"/>
        <v>0</v>
      </c>
      <c r="J80" s="46">
        <f t="shared" si="8"/>
        <v>0</v>
      </c>
      <c r="K80" s="46">
        <f t="shared" si="8"/>
        <v>0</v>
      </c>
      <c r="L80" s="19"/>
      <c r="N80" s="18"/>
      <c r="O80" s="44"/>
      <c r="P80" s="44"/>
      <c r="Q80" s="44"/>
      <c r="R80" s="44"/>
      <c r="S80" s="18"/>
      <c r="U80" s="18"/>
      <c r="V80" s="44"/>
      <c r="W80" s="44"/>
      <c r="X80" s="44"/>
      <c r="Y80" s="44"/>
      <c r="Z80" s="18"/>
      <c r="AB80" s="18"/>
      <c r="AC80" s="44"/>
      <c r="AD80" s="44"/>
      <c r="AE80" s="44"/>
      <c r="AF80" s="44"/>
      <c r="AG80" s="18"/>
      <c r="AI80" s="18"/>
      <c r="AJ80" s="44"/>
      <c r="AK80" s="44"/>
      <c r="AL80" s="44"/>
      <c r="AM80" s="44"/>
      <c r="AN80" s="18"/>
      <c r="AP80" s="18"/>
      <c r="AQ80" s="44"/>
      <c r="AR80" s="44"/>
      <c r="AS80" s="44"/>
      <c r="AT80" s="44"/>
      <c r="AU80" s="18"/>
      <c r="AW80" s="18"/>
      <c r="AX80" s="18"/>
      <c r="AY80" s="18"/>
      <c r="AZ80" s="18"/>
      <c r="BA80" s="18"/>
      <c r="BB80" s="18"/>
      <c r="BD80" s="18"/>
      <c r="BE80" s="18"/>
      <c r="BF80" s="18"/>
      <c r="BG80" s="18"/>
      <c r="BH80" s="18"/>
      <c r="BI80" s="18"/>
      <c r="BL80" s="18"/>
      <c r="BM80" s="18"/>
      <c r="BN80" s="18"/>
      <c r="BO80" s="18"/>
      <c r="BP80" s="18"/>
      <c r="BQ80" s="18"/>
      <c r="BS80" s="18"/>
      <c r="BT80" s="18"/>
      <c r="BU80" s="18"/>
      <c r="BV80" s="18"/>
      <c r="BW80" s="18"/>
      <c r="BX80" s="18"/>
      <c r="BZ80" s="18"/>
      <c r="CA80" s="18"/>
      <c r="CB80" s="18"/>
      <c r="CC80" s="18"/>
      <c r="CD80" s="18"/>
      <c r="CE80" s="18"/>
    </row>
    <row r="81" spans="1:83">
      <c r="A81">
        <v>5</v>
      </c>
      <c r="B81" s="18" t="s">
        <v>28</v>
      </c>
      <c r="C81" s="18" t="s">
        <v>88</v>
      </c>
      <c r="D81" s="18"/>
      <c r="E81" s="19"/>
      <c r="F81" s="18" t="s">
        <v>157</v>
      </c>
      <c r="G81" s="40">
        <v>7.6899999999999996E-2</v>
      </c>
      <c r="I81" s="19">
        <f t="shared" si="9"/>
        <v>0</v>
      </c>
      <c r="J81" s="46">
        <f t="shared" si="8"/>
        <v>0</v>
      </c>
      <c r="K81" s="46">
        <f t="shared" si="8"/>
        <v>0</v>
      </c>
      <c r="L81" s="19"/>
      <c r="N81" s="18"/>
      <c r="O81" s="44"/>
      <c r="P81" s="44"/>
      <c r="Q81" s="44"/>
      <c r="R81" s="44"/>
      <c r="S81" s="18"/>
      <c r="U81" s="18"/>
      <c r="V81" s="44"/>
      <c r="W81" s="44"/>
      <c r="X81" s="44"/>
      <c r="Y81" s="44"/>
      <c r="Z81" s="18"/>
      <c r="AB81" s="18"/>
      <c r="AC81" s="44"/>
      <c r="AD81" s="44"/>
      <c r="AE81" s="44"/>
      <c r="AF81" s="44"/>
      <c r="AG81" s="18"/>
      <c r="AI81" s="18"/>
      <c r="AJ81" s="44"/>
      <c r="AK81" s="44"/>
      <c r="AL81" s="44"/>
      <c r="AM81" s="44"/>
      <c r="AN81" s="18"/>
      <c r="AP81" s="18"/>
      <c r="AQ81" s="44"/>
      <c r="AR81" s="44"/>
      <c r="AS81" s="44"/>
      <c r="AT81" s="44"/>
      <c r="AU81" s="18"/>
      <c r="AW81" s="18"/>
      <c r="AX81" s="18"/>
      <c r="AY81" s="18"/>
      <c r="AZ81" s="18"/>
      <c r="BA81" s="18"/>
      <c r="BB81" s="18"/>
      <c r="BD81" s="18"/>
      <c r="BE81" s="18"/>
      <c r="BF81" s="18"/>
      <c r="BG81" s="18"/>
      <c r="BH81" s="18"/>
      <c r="BI81" s="18"/>
      <c r="BL81" s="18"/>
      <c r="BM81" s="18"/>
      <c r="BN81" s="18"/>
      <c r="BO81" s="18"/>
      <c r="BP81" s="18"/>
      <c r="BQ81" s="18"/>
      <c r="BS81" s="18"/>
      <c r="BT81" s="18"/>
      <c r="BU81" s="18"/>
      <c r="BV81" s="18"/>
      <c r="BW81" s="18"/>
      <c r="BX81" s="18"/>
      <c r="BZ81" s="18"/>
      <c r="CA81" s="18"/>
      <c r="CB81" s="18"/>
      <c r="CC81" s="18"/>
      <c r="CD81" s="18"/>
      <c r="CE81" s="18"/>
    </row>
    <row r="82" spans="1:83">
      <c r="A82">
        <v>6</v>
      </c>
      <c r="B82" s="18" t="s">
        <v>28</v>
      </c>
      <c r="C82" s="18" t="s">
        <v>88</v>
      </c>
      <c r="D82" s="18"/>
      <c r="E82" s="19"/>
      <c r="F82" s="18" t="s">
        <v>158</v>
      </c>
      <c r="G82" s="40">
        <v>7.6899999999999996E-2</v>
      </c>
      <c r="I82" s="19">
        <f t="shared" si="9"/>
        <v>0</v>
      </c>
      <c r="J82" s="46">
        <f t="shared" si="8"/>
        <v>0</v>
      </c>
      <c r="K82" s="46">
        <f t="shared" si="8"/>
        <v>0</v>
      </c>
      <c r="L82" s="19"/>
      <c r="N82" s="18"/>
      <c r="O82" s="44"/>
      <c r="P82" s="44"/>
      <c r="Q82" s="44"/>
      <c r="R82" s="44"/>
      <c r="S82" s="18"/>
      <c r="U82" s="18"/>
      <c r="V82" s="44"/>
      <c r="W82" s="44"/>
      <c r="X82" s="44"/>
      <c r="Y82" s="44"/>
      <c r="Z82" s="18"/>
      <c r="AB82" s="18"/>
      <c r="AC82" s="44"/>
      <c r="AD82" s="44"/>
      <c r="AE82" s="44"/>
      <c r="AF82" s="44"/>
      <c r="AG82" s="18"/>
      <c r="AI82" s="18"/>
      <c r="AJ82" s="44"/>
      <c r="AK82" s="44"/>
      <c r="AL82" s="44"/>
      <c r="AM82" s="44"/>
      <c r="AN82" s="18"/>
      <c r="AP82" s="18"/>
      <c r="AQ82" s="44"/>
      <c r="AR82" s="44"/>
      <c r="AS82" s="44"/>
      <c r="AT82" s="44"/>
      <c r="AU82" s="18"/>
      <c r="AW82" s="18"/>
      <c r="AX82" s="18"/>
      <c r="AY82" s="18"/>
      <c r="AZ82" s="18"/>
      <c r="BA82" s="18"/>
      <c r="BB82" s="18"/>
      <c r="BD82" s="18"/>
      <c r="BE82" s="18"/>
      <c r="BF82" s="18"/>
      <c r="BG82" s="18"/>
      <c r="BH82" s="18"/>
      <c r="BI82" s="18"/>
      <c r="BL82" s="18"/>
      <c r="BM82" s="18"/>
      <c r="BN82" s="18"/>
      <c r="BO82" s="18"/>
      <c r="BP82" s="18"/>
      <c r="BQ82" s="18"/>
      <c r="BS82" s="18"/>
      <c r="BT82" s="18"/>
      <c r="BU82" s="18"/>
      <c r="BV82" s="18"/>
      <c r="BW82" s="18"/>
      <c r="BX82" s="18"/>
      <c r="BZ82" s="18"/>
      <c r="CA82" s="18"/>
      <c r="CB82" s="18"/>
      <c r="CC82" s="18"/>
      <c r="CD82" s="18"/>
      <c r="CE82" s="18"/>
    </row>
    <row r="83" spans="1:83">
      <c r="A83">
        <v>7</v>
      </c>
      <c r="B83" s="18" t="s">
        <v>28</v>
      </c>
      <c r="C83" s="18" t="s">
        <v>88</v>
      </c>
      <c r="D83" s="18"/>
      <c r="E83" s="19"/>
      <c r="F83" s="18" t="s">
        <v>159</v>
      </c>
      <c r="G83" s="40">
        <v>7.6899999999999996E-2</v>
      </c>
      <c r="I83" s="19">
        <f t="shared" si="9"/>
        <v>0</v>
      </c>
      <c r="J83" s="46">
        <f t="shared" si="8"/>
        <v>0</v>
      </c>
      <c r="K83" s="46">
        <f t="shared" si="8"/>
        <v>0</v>
      </c>
      <c r="L83" s="19"/>
      <c r="N83" s="18"/>
      <c r="O83" s="44"/>
      <c r="P83" s="44"/>
      <c r="Q83" s="44"/>
      <c r="R83" s="44"/>
      <c r="S83" s="18"/>
      <c r="U83" s="18"/>
      <c r="V83" s="44"/>
      <c r="W83" s="44"/>
      <c r="X83" s="44"/>
      <c r="Y83" s="44"/>
      <c r="Z83" s="18"/>
      <c r="AB83" s="18"/>
      <c r="AC83" s="44"/>
      <c r="AD83" s="44"/>
      <c r="AE83" s="44"/>
      <c r="AF83" s="44"/>
      <c r="AG83" s="18"/>
      <c r="AI83" s="18"/>
      <c r="AJ83" s="44"/>
      <c r="AK83" s="44"/>
      <c r="AL83" s="44"/>
      <c r="AM83" s="44"/>
      <c r="AN83" s="18"/>
      <c r="AP83" s="18"/>
      <c r="AQ83" s="44"/>
      <c r="AR83" s="44"/>
      <c r="AS83" s="44"/>
      <c r="AT83" s="44"/>
      <c r="AU83" s="18"/>
      <c r="AW83" s="18"/>
      <c r="AX83" s="18"/>
      <c r="AY83" s="18"/>
      <c r="AZ83" s="18"/>
      <c r="BA83" s="18"/>
      <c r="BB83" s="18"/>
      <c r="BD83" s="18"/>
      <c r="BE83" s="18"/>
      <c r="BF83" s="18"/>
      <c r="BG83" s="18"/>
      <c r="BH83" s="18"/>
      <c r="BI83" s="18"/>
      <c r="BL83" s="18"/>
      <c r="BM83" s="18"/>
      <c r="BN83" s="18"/>
      <c r="BO83" s="18"/>
      <c r="BP83" s="18"/>
      <c r="BQ83" s="18"/>
      <c r="BS83" s="18"/>
      <c r="BT83" s="18"/>
      <c r="BU83" s="18"/>
      <c r="BV83" s="18"/>
      <c r="BW83" s="18"/>
      <c r="BX83" s="18"/>
      <c r="BZ83" s="18"/>
      <c r="CA83" s="18"/>
      <c r="CB83" s="18"/>
      <c r="CC83" s="18"/>
      <c r="CD83" s="18"/>
      <c r="CE83" s="18"/>
    </row>
    <row r="84" spans="1:83">
      <c r="A84">
        <v>8</v>
      </c>
      <c r="B84" s="18" t="s">
        <v>28</v>
      </c>
      <c r="C84" s="18" t="s">
        <v>88</v>
      </c>
      <c r="D84" s="18"/>
      <c r="E84" s="19"/>
      <c r="F84" s="20" t="s">
        <v>160</v>
      </c>
      <c r="G84" s="40">
        <v>7.6899999999999996E-2</v>
      </c>
      <c r="I84" s="19">
        <f t="shared" si="9"/>
        <v>0</v>
      </c>
      <c r="J84" s="46">
        <f t="shared" si="8"/>
        <v>0</v>
      </c>
      <c r="K84" s="46">
        <f t="shared" si="8"/>
        <v>0</v>
      </c>
      <c r="L84" s="19"/>
      <c r="N84" s="18"/>
      <c r="O84" s="44"/>
      <c r="P84" s="44"/>
      <c r="Q84" s="44"/>
      <c r="R84" s="44"/>
      <c r="S84" s="18"/>
      <c r="U84" s="18"/>
      <c r="V84" s="44"/>
      <c r="W84" s="44"/>
      <c r="X84" s="44"/>
      <c r="Y84" s="44"/>
      <c r="Z84" s="18"/>
      <c r="AB84" s="18"/>
      <c r="AC84" s="44"/>
      <c r="AD84" s="44"/>
      <c r="AE84" s="44"/>
      <c r="AF84" s="44"/>
      <c r="AG84" s="18"/>
      <c r="AI84" s="18"/>
      <c r="AJ84" s="44"/>
      <c r="AK84" s="44"/>
      <c r="AL84" s="44"/>
      <c r="AM84" s="44"/>
      <c r="AN84" s="18"/>
      <c r="AP84" s="18"/>
      <c r="AQ84" s="44"/>
      <c r="AR84" s="44"/>
      <c r="AS84" s="44"/>
      <c r="AT84" s="44"/>
      <c r="AU84" s="18"/>
      <c r="AW84" s="18"/>
      <c r="AX84" s="18"/>
      <c r="AY84" s="18"/>
      <c r="AZ84" s="18"/>
      <c r="BA84" s="18"/>
      <c r="BB84" s="18"/>
      <c r="BD84" s="18"/>
      <c r="BE84" s="18"/>
      <c r="BF84" s="18"/>
      <c r="BG84" s="18"/>
      <c r="BH84" s="18"/>
      <c r="BI84" s="18"/>
      <c r="BL84" s="18"/>
      <c r="BM84" s="18"/>
      <c r="BN84" s="18"/>
      <c r="BO84" s="18"/>
      <c r="BP84" s="18"/>
      <c r="BQ84" s="18"/>
      <c r="BS84" s="18"/>
      <c r="BT84" s="18"/>
      <c r="BU84" s="18"/>
      <c r="BV84" s="18"/>
      <c r="BW84" s="18"/>
      <c r="BX84" s="18"/>
      <c r="BZ84" s="18"/>
      <c r="CA84" s="18"/>
      <c r="CB84" s="18"/>
      <c r="CC84" s="18"/>
      <c r="CD84" s="18"/>
      <c r="CE84" s="18"/>
    </row>
    <row r="85" spans="1:83">
      <c r="A85">
        <v>9</v>
      </c>
      <c r="B85" s="18" t="s">
        <v>115</v>
      </c>
      <c r="C85" s="18" t="s">
        <v>88</v>
      </c>
      <c r="D85" s="18"/>
      <c r="E85" s="19"/>
      <c r="F85" s="20" t="s">
        <v>161</v>
      </c>
      <c r="G85" s="40">
        <v>7.6899999999999996E-2</v>
      </c>
      <c r="I85" s="19">
        <f t="shared" si="9"/>
        <v>0</v>
      </c>
      <c r="J85" s="46">
        <f t="shared" si="8"/>
        <v>0</v>
      </c>
      <c r="K85" s="46">
        <f t="shared" si="8"/>
        <v>0</v>
      </c>
      <c r="L85" s="19"/>
      <c r="N85" s="18"/>
      <c r="O85" s="44"/>
      <c r="P85" s="44"/>
      <c r="Q85" s="44"/>
      <c r="R85" s="44"/>
      <c r="S85" s="18"/>
      <c r="U85" s="18"/>
      <c r="V85" s="44"/>
      <c r="W85" s="44"/>
      <c r="X85" s="44"/>
      <c r="Y85" s="44"/>
      <c r="Z85" s="18"/>
      <c r="AB85" s="18"/>
      <c r="AC85" s="44"/>
      <c r="AD85" s="44"/>
      <c r="AE85" s="44"/>
      <c r="AF85" s="44"/>
      <c r="AG85" s="18"/>
      <c r="AI85" s="18"/>
      <c r="AJ85" s="44"/>
      <c r="AK85" s="44"/>
      <c r="AL85" s="44"/>
      <c r="AM85" s="44"/>
      <c r="AN85" s="18"/>
      <c r="AP85" s="18"/>
      <c r="AQ85" s="44"/>
      <c r="AR85" s="44"/>
      <c r="AS85" s="44"/>
      <c r="AT85" s="44"/>
      <c r="AU85" s="18"/>
      <c r="AW85" s="18"/>
      <c r="AX85" s="18"/>
      <c r="AY85" s="18"/>
      <c r="AZ85" s="18"/>
      <c r="BA85" s="18"/>
      <c r="BB85" s="18"/>
      <c r="BD85" s="18"/>
      <c r="BE85" s="18"/>
      <c r="BF85" s="18"/>
      <c r="BG85" s="18"/>
      <c r="BH85" s="18"/>
      <c r="BI85" s="18"/>
      <c r="BL85" s="18"/>
      <c r="BM85" s="18"/>
      <c r="BN85" s="18"/>
      <c r="BO85" s="18"/>
      <c r="BP85" s="18"/>
      <c r="BQ85" s="18"/>
      <c r="BS85" s="18"/>
      <c r="BT85" s="18"/>
      <c r="BU85" s="18"/>
      <c r="BV85" s="18"/>
      <c r="BW85" s="18"/>
      <c r="BX85" s="18"/>
      <c r="BZ85" s="18"/>
      <c r="CA85" s="18"/>
      <c r="CB85" s="18"/>
      <c r="CC85" s="18"/>
      <c r="CD85" s="18"/>
      <c r="CE85" s="18"/>
    </row>
    <row r="86" spans="1:83">
      <c r="A86">
        <v>10</v>
      </c>
      <c r="B86" s="18" t="s">
        <v>28</v>
      </c>
      <c r="C86" s="18" t="s">
        <v>88</v>
      </c>
      <c r="D86" s="18"/>
      <c r="E86" s="19"/>
      <c r="F86" s="20" t="s">
        <v>162</v>
      </c>
      <c r="G86" s="40">
        <v>7.6899999999999996E-2</v>
      </c>
      <c r="I86" s="19">
        <f t="shared" si="9"/>
        <v>0</v>
      </c>
      <c r="J86" s="46">
        <f t="shared" si="8"/>
        <v>0</v>
      </c>
      <c r="K86" s="46">
        <f t="shared" si="8"/>
        <v>0</v>
      </c>
      <c r="L86" s="19"/>
      <c r="N86" s="18"/>
      <c r="O86" s="44"/>
      <c r="P86" s="44"/>
      <c r="Q86" s="44"/>
      <c r="R86" s="44"/>
      <c r="S86" s="18"/>
      <c r="U86" s="18"/>
      <c r="V86" s="44"/>
      <c r="W86" s="44"/>
      <c r="X86" s="44"/>
      <c r="Y86" s="44"/>
      <c r="Z86" s="18"/>
      <c r="AB86" s="18"/>
      <c r="AC86" s="44"/>
      <c r="AD86" s="44"/>
      <c r="AE86" s="44"/>
      <c r="AF86" s="44"/>
      <c r="AG86" s="18"/>
      <c r="AI86" s="18"/>
      <c r="AJ86" s="44"/>
      <c r="AK86" s="44"/>
      <c r="AL86" s="44"/>
      <c r="AM86" s="44"/>
      <c r="AN86" s="18"/>
      <c r="AP86" s="18"/>
      <c r="AQ86" s="44"/>
      <c r="AR86" s="44"/>
      <c r="AS86" s="44"/>
      <c r="AT86" s="44"/>
      <c r="AU86" s="18"/>
      <c r="AW86" s="18"/>
      <c r="AX86" s="18"/>
      <c r="AY86" s="18"/>
      <c r="AZ86" s="18"/>
      <c r="BA86" s="18"/>
      <c r="BB86" s="18"/>
      <c r="BD86" s="18"/>
      <c r="BE86" s="18"/>
      <c r="BF86" s="18"/>
      <c r="BG86" s="18"/>
      <c r="BH86" s="18"/>
      <c r="BI86" s="18"/>
      <c r="BL86" s="18"/>
      <c r="BM86" s="18"/>
      <c r="BN86" s="18"/>
      <c r="BO86" s="18"/>
      <c r="BP86" s="18"/>
      <c r="BQ86" s="18"/>
      <c r="BS86" s="18"/>
      <c r="BT86" s="18"/>
      <c r="BU86" s="18"/>
      <c r="BV86" s="18"/>
      <c r="BW86" s="18"/>
      <c r="BX86" s="18"/>
      <c r="BZ86" s="18"/>
      <c r="CA86" s="18"/>
      <c r="CB86" s="18"/>
      <c r="CC86" s="18"/>
      <c r="CD86" s="18"/>
      <c r="CE86" s="18"/>
    </row>
    <row r="87" spans="1:83">
      <c r="A87">
        <v>11</v>
      </c>
      <c r="B87" s="18" t="s">
        <v>28</v>
      </c>
      <c r="C87" s="18" t="s">
        <v>88</v>
      </c>
      <c r="D87" s="18"/>
      <c r="E87" s="19"/>
      <c r="F87" s="18" t="s">
        <v>163</v>
      </c>
      <c r="G87" s="40">
        <v>7.6899999999999996E-2</v>
      </c>
      <c r="I87" s="19">
        <f t="shared" si="9"/>
        <v>0</v>
      </c>
      <c r="J87" s="46">
        <f t="shared" si="8"/>
        <v>0</v>
      </c>
      <c r="K87" s="46">
        <f t="shared" si="8"/>
        <v>0</v>
      </c>
      <c r="L87" s="19"/>
      <c r="N87" s="18"/>
      <c r="O87" s="44"/>
      <c r="P87" s="44"/>
      <c r="Q87" s="44"/>
      <c r="R87" s="44"/>
      <c r="S87" s="18"/>
      <c r="U87" s="18"/>
      <c r="V87" s="44"/>
      <c r="W87" s="44"/>
      <c r="X87" s="44"/>
      <c r="Y87" s="44"/>
      <c r="Z87" s="18"/>
      <c r="AB87" s="18"/>
      <c r="AC87" s="44"/>
      <c r="AD87" s="44"/>
      <c r="AE87" s="44"/>
      <c r="AF87" s="44"/>
      <c r="AG87" s="18"/>
      <c r="AI87" s="18"/>
      <c r="AJ87" s="44"/>
      <c r="AK87" s="44"/>
      <c r="AL87" s="44"/>
      <c r="AM87" s="44"/>
      <c r="AN87" s="18"/>
      <c r="AP87" s="18"/>
      <c r="AQ87" s="44"/>
      <c r="AR87" s="44"/>
      <c r="AS87" s="44"/>
      <c r="AT87" s="44"/>
      <c r="AU87" s="18"/>
      <c r="AW87" s="18"/>
      <c r="AX87" s="18"/>
      <c r="AY87" s="18"/>
      <c r="AZ87" s="18"/>
      <c r="BA87" s="18"/>
      <c r="BB87" s="18"/>
      <c r="BD87" s="18"/>
      <c r="BE87" s="18"/>
      <c r="BF87" s="18"/>
      <c r="BG87" s="18"/>
      <c r="BH87" s="18"/>
      <c r="BI87" s="18"/>
      <c r="BL87" s="18"/>
      <c r="BM87" s="18"/>
      <c r="BN87" s="18"/>
      <c r="BO87" s="18"/>
      <c r="BP87" s="18"/>
      <c r="BQ87" s="18"/>
      <c r="BS87" s="18"/>
      <c r="BT87" s="18"/>
      <c r="BU87" s="18"/>
      <c r="BV87" s="18"/>
      <c r="BW87" s="18"/>
      <c r="BX87" s="18"/>
      <c r="BZ87" s="18"/>
      <c r="CA87" s="18"/>
      <c r="CB87" s="18"/>
      <c r="CC87" s="18"/>
      <c r="CD87" s="18"/>
      <c r="CE87" s="18"/>
    </row>
    <row r="88" spans="1:83">
      <c r="A88">
        <v>12</v>
      </c>
      <c r="B88" s="18" t="s">
        <v>28</v>
      </c>
      <c r="C88" s="18" t="s">
        <v>88</v>
      </c>
      <c r="D88" s="18"/>
      <c r="E88" s="19"/>
      <c r="F88" s="18" t="s">
        <v>164</v>
      </c>
      <c r="G88" s="40">
        <v>7.6899999999999996E-2</v>
      </c>
      <c r="I88" s="19">
        <f t="shared" si="9"/>
        <v>0</v>
      </c>
      <c r="J88" s="46">
        <f t="shared" si="8"/>
        <v>0</v>
      </c>
      <c r="K88" s="46">
        <f t="shared" si="8"/>
        <v>0</v>
      </c>
      <c r="L88" s="19"/>
      <c r="N88" s="18"/>
      <c r="O88" s="44"/>
      <c r="P88" s="44"/>
      <c r="Q88" s="44"/>
      <c r="R88" s="44"/>
      <c r="S88" s="18"/>
      <c r="U88" s="18"/>
      <c r="V88" s="44"/>
      <c r="W88" s="44"/>
      <c r="X88" s="44"/>
      <c r="Y88" s="44"/>
      <c r="Z88" s="18"/>
      <c r="AB88" s="18"/>
      <c r="AC88" s="44"/>
      <c r="AD88" s="44"/>
      <c r="AE88" s="44"/>
      <c r="AF88" s="44"/>
      <c r="AG88" s="18"/>
      <c r="AI88" s="18"/>
      <c r="AJ88" s="44"/>
      <c r="AK88" s="44"/>
      <c r="AL88" s="44"/>
      <c r="AM88" s="44"/>
      <c r="AN88" s="18"/>
      <c r="AP88" s="18"/>
      <c r="AQ88" s="44"/>
      <c r="AR88" s="44"/>
      <c r="AS88" s="44"/>
      <c r="AT88" s="44"/>
      <c r="AU88" s="18"/>
      <c r="AW88" s="18"/>
      <c r="AX88" s="18"/>
      <c r="AY88" s="18"/>
      <c r="AZ88" s="18"/>
      <c r="BA88" s="18"/>
      <c r="BB88" s="18"/>
      <c r="BD88" s="18"/>
      <c r="BE88" s="18"/>
      <c r="BF88" s="18"/>
      <c r="BG88" s="18"/>
      <c r="BH88" s="18"/>
      <c r="BI88" s="18"/>
      <c r="BL88" s="18"/>
      <c r="BM88" s="18"/>
      <c r="BN88" s="18"/>
      <c r="BO88" s="18"/>
      <c r="BP88" s="18"/>
      <c r="BQ88" s="18"/>
      <c r="BS88" s="18"/>
      <c r="BT88" s="18"/>
      <c r="BU88" s="18"/>
      <c r="BV88" s="18"/>
      <c r="BW88" s="18"/>
      <c r="BX88" s="18"/>
      <c r="BZ88" s="18"/>
      <c r="CA88" s="18"/>
      <c r="CB88" s="18"/>
      <c r="CC88" s="18"/>
      <c r="CD88" s="18"/>
      <c r="CE88" s="18"/>
    </row>
    <row r="89" spans="1:83">
      <c r="A89">
        <v>13</v>
      </c>
      <c r="B89" s="18" t="s">
        <v>115</v>
      </c>
      <c r="C89" s="18"/>
      <c r="D89" s="32"/>
      <c r="E89" s="19"/>
      <c r="F89" s="31" t="s">
        <v>165</v>
      </c>
      <c r="G89" s="40">
        <v>7.6899999999999996E-2</v>
      </c>
      <c r="I89" s="19">
        <f>+SUMIF($N$3:$ZZ$3,I$3,$N89:$ZZ89)</f>
        <v>0</v>
      </c>
      <c r="J89" s="46">
        <f t="shared" si="8"/>
        <v>0</v>
      </c>
      <c r="K89" s="46">
        <f t="shared" si="8"/>
        <v>0</v>
      </c>
      <c r="L89" s="19"/>
      <c r="N89" s="18"/>
      <c r="O89" s="44"/>
      <c r="P89" s="44"/>
      <c r="Q89" s="44"/>
      <c r="R89" s="44"/>
      <c r="S89" s="18"/>
      <c r="U89" s="18"/>
      <c r="V89" s="44"/>
      <c r="W89" s="44"/>
      <c r="X89" s="44"/>
      <c r="Y89" s="44"/>
      <c r="Z89" s="18"/>
      <c r="AB89" s="18"/>
      <c r="AC89" s="44"/>
      <c r="AD89" s="44"/>
      <c r="AE89" s="44"/>
      <c r="AF89" s="44"/>
      <c r="AG89" s="18"/>
      <c r="AI89" s="18"/>
      <c r="AJ89" s="44"/>
      <c r="AK89" s="44"/>
      <c r="AL89" s="44"/>
      <c r="AM89" s="44"/>
      <c r="AN89" s="18"/>
      <c r="AP89" s="18"/>
      <c r="AQ89" s="44"/>
      <c r="AR89" s="44"/>
      <c r="AS89" s="44"/>
      <c r="AT89" s="44"/>
      <c r="AU89" s="18"/>
      <c r="AW89" s="18"/>
      <c r="AX89" s="18"/>
      <c r="AY89" s="18"/>
      <c r="AZ89" s="18"/>
      <c r="BA89" s="18"/>
      <c r="BB89" s="18"/>
      <c r="BD89" s="18"/>
      <c r="BE89" s="18"/>
      <c r="BF89" s="18"/>
      <c r="BG89" s="18"/>
      <c r="BH89" s="18"/>
      <c r="BI89" s="18"/>
      <c r="BL89" s="18"/>
      <c r="BM89" s="18"/>
      <c r="BN89" s="18"/>
      <c r="BO89" s="18"/>
      <c r="BP89" s="18"/>
      <c r="BQ89" s="18"/>
      <c r="BS89" s="18"/>
      <c r="BT89" s="18"/>
      <c r="BU89" s="18"/>
      <c r="BV89" s="18"/>
      <c r="BW89" s="18"/>
      <c r="BX89" s="18"/>
      <c r="BZ89" s="18"/>
      <c r="CA89" s="18"/>
      <c r="CB89" s="18"/>
      <c r="CC89" s="18"/>
      <c r="CD89" s="18"/>
      <c r="CE89" s="18"/>
    </row>
    <row r="90" spans="1:83">
      <c r="A90">
        <v>14</v>
      </c>
      <c r="B90" s="18"/>
      <c r="C90" s="18"/>
      <c r="D90" s="21">
        <v>44441</v>
      </c>
      <c r="E90" s="19"/>
      <c r="F90" s="31" t="s">
        <v>85</v>
      </c>
      <c r="I90" s="19"/>
      <c r="J90" s="46">
        <f t="shared" si="8"/>
        <v>0</v>
      </c>
      <c r="K90" s="46">
        <f t="shared" si="8"/>
        <v>0</v>
      </c>
      <c r="L90" s="19"/>
      <c r="N90" s="18"/>
      <c r="O90" s="44"/>
      <c r="P90" s="44"/>
      <c r="Q90" s="44"/>
      <c r="R90" s="44"/>
      <c r="S90" s="18"/>
      <c r="U90" s="18"/>
      <c r="V90" s="44"/>
      <c r="W90" s="44"/>
      <c r="X90" s="44"/>
      <c r="Y90" s="44"/>
      <c r="Z90" s="18"/>
      <c r="AB90" s="18"/>
      <c r="AC90" s="44"/>
      <c r="AD90" s="44"/>
      <c r="AE90" s="44"/>
      <c r="AF90" s="44"/>
      <c r="AG90" s="18"/>
      <c r="AI90" s="18"/>
      <c r="AJ90" s="44"/>
      <c r="AK90" s="44"/>
      <c r="AL90" s="44"/>
      <c r="AM90" s="44"/>
      <c r="AN90" s="18"/>
      <c r="AP90" s="18"/>
      <c r="AQ90" s="44"/>
      <c r="AR90" s="44"/>
      <c r="AS90" s="44"/>
      <c r="AT90" s="44"/>
      <c r="AU90" s="18"/>
      <c r="AW90" s="18"/>
      <c r="AX90" s="18"/>
      <c r="AY90" s="18"/>
      <c r="AZ90" s="18"/>
      <c r="BA90" s="18"/>
      <c r="BB90" s="18"/>
      <c r="BD90" s="18"/>
      <c r="BE90" s="18"/>
      <c r="BF90" s="18"/>
      <c r="BG90" s="18"/>
      <c r="BH90" s="18"/>
      <c r="BI90" s="18"/>
      <c r="BL90" s="18"/>
      <c r="BM90" s="18"/>
      <c r="BN90" s="18"/>
      <c r="BO90" s="18"/>
      <c r="BP90" s="18"/>
      <c r="BQ90" s="18"/>
      <c r="BS90" s="18"/>
      <c r="BT90" s="18"/>
      <c r="BU90" s="18"/>
      <c r="BV90" s="18"/>
      <c r="BW90" s="18"/>
      <c r="BX90" s="18"/>
      <c r="BZ90" s="18"/>
      <c r="CA90" s="18"/>
      <c r="CB90" s="18"/>
      <c r="CC90" s="18"/>
      <c r="CD90" s="18"/>
      <c r="CE90" s="18"/>
    </row>
    <row r="96" spans="1:83">
      <c r="G96" t="s">
        <v>166</v>
      </c>
    </row>
  </sheetData>
  <mergeCells count="11">
    <mergeCell ref="BZ2:CE2"/>
    <mergeCell ref="BL2:BQ2"/>
    <mergeCell ref="BS2:BX2"/>
    <mergeCell ref="I2:L2"/>
    <mergeCell ref="N2:S2"/>
    <mergeCell ref="BD2:BI2"/>
    <mergeCell ref="U2:Z2"/>
    <mergeCell ref="AB2:AG2"/>
    <mergeCell ref="AI2:AN2"/>
    <mergeCell ref="AP2:AU2"/>
    <mergeCell ref="AW2:BB2"/>
  </mergeCells>
  <phoneticPr fontId="5" type="noConversion"/>
  <conditionalFormatting sqref="J5:K21">
    <cfRule type="colorScale" priority="262">
      <colorScale>
        <cfvo type="percent" val="0"/>
        <cfvo type="percent" val="100"/>
        <color rgb="FFFF231B"/>
        <color rgb="FF10FF07"/>
      </colorScale>
    </cfRule>
  </conditionalFormatting>
  <conditionalFormatting sqref="O78:O90 Q78:Q90 AQ78:AQ90 AS78:AS90 V78:V90 X78:X90 AC78:AC90 AE78:AE90 AJ78:AJ90 AL78:AL90 O4:O21 O24:O30 Q24:Q30 O41:O54 AQ41:AQ54 AS41:AS54 AC41:AC54 AE41:AE54 AJ41:AJ54 AL41:AL54 Q41:Q54 V41:V54 X41:X54">
    <cfRule type="expression" dxfId="106" priority="260">
      <formula>OR(IF(O4&lt;P4,TRUE),IF(AND(P4="",O4&lt;&gt;""),TRUE))</formula>
    </cfRule>
    <cfRule type="expression" dxfId="105" priority="261">
      <formula>IF(O4&gt;=P4,IF(O4="",FALSE,TRUE))</formula>
    </cfRule>
  </conditionalFormatting>
  <conditionalFormatting sqref="Q5:Q21">
    <cfRule type="expression" dxfId="104" priority="258">
      <formula>OR(IF(Q5&lt;R5,TRUE),IF(AND(R5="",Q5&lt;&gt;""),TRUE))</formula>
    </cfRule>
    <cfRule type="expression" dxfId="103" priority="259">
      <formula>IF(Q5&gt;=R5,IF(Q5="",FALSE,TRUE))</formula>
    </cfRule>
  </conditionalFormatting>
  <conditionalFormatting sqref="AQ5:AQ21 AQ24:AQ35 AS24:AS35">
    <cfRule type="expression" dxfId="102" priority="127">
      <formula>OR(IF(AQ5&lt;AR5,TRUE),IF(AND(AR5="",AQ5&lt;&gt;""),TRUE))</formula>
    </cfRule>
    <cfRule type="expression" dxfId="101" priority="128">
      <formula>IF(AQ5&gt;=AR5,IF(AQ5="",FALSE,TRUE))</formula>
    </cfRule>
  </conditionalFormatting>
  <conditionalFormatting sqref="AS5:AS21">
    <cfRule type="expression" dxfId="100" priority="125">
      <formula>OR(IF(AS5&lt;AT5,TRUE),IF(AND(AT5="",AS5&lt;&gt;""),TRUE))</formula>
    </cfRule>
    <cfRule type="expression" dxfId="99" priority="126">
      <formula>IF(AS5&gt;=AT5,IF(AS5="",FALSE,TRUE))</formula>
    </cfRule>
  </conditionalFormatting>
  <conditionalFormatting sqref="AZ29:AZ38">
    <cfRule type="expression" dxfId="98" priority="101">
      <formula>OR(IF(AZ29&lt;BA29,TRUE),IF(AND(BA29="",AZ29&lt;&gt;""),TRUE))</formula>
    </cfRule>
    <cfRule type="expression" dxfId="97" priority="102">
      <formula>IF(AZ29&gt;=BA29,IF(AZ29="",FALSE,TRUE))</formula>
    </cfRule>
  </conditionalFormatting>
  <conditionalFormatting sqref="BE24:BE28 BG24:BG28 BE5:BE21">
    <cfRule type="expression" dxfId="96" priority="95">
      <formula>OR(IF(BE5&lt;BF5,TRUE),IF(AND(BF5="",BE5&lt;&gt;""),TRUE))</formula>
    </cfRule>
    <cfRule type="expression" dxfId="95" priority="96">
      <formula>IF(BE5&gt;=BF5,IF(BE5="",FALSE,TRUE))</formula>
    </cfRule>
  </conditionalFormatting>
  <conditionalFormatting sqref="BG5:BG21">
    <cfRule type="expression" dxfId="94" priority="93">
      <formula>OR(IF(BG5&lt;BH5,TRUE),IF(AND(BH5="",BG5&lt;&gt;""),TRUE))</formula>
    </cfRule>
    <cfRule type="expression" dxfId="93" priority="94">
      <formula>IF(BG5&gt;=BH5,IF(BG5="",FALSE,TRUE))</formula>
    </cfRule>
  </conditionalFormatting>
  <conditionalFormatting sqref="O31:O38">
    <cfRule type="expression" dxfId="92" priority="183">
      <formula>OR(IF(O31&lt;P31,TRUE),IF(AND(P31="",O31&lt;&gt;""),TRUE))</formula>
    </cfRule>
    <cfRule type="expression" dxfId="91" priority="184">
      <formula>IF(O31&gt;=P31,IF(O31="",FALSE,TRUE))</formula>
    </cfRule>
  </conditionalFormatting>
  <conditionalFormatting sqref="Q31:Q38">
    <cfRule type="expression" dxfId="90" priority="181">
      <formula>OR(IF(Q31&lt;R31,TRUE),IF(AND(R31="",Q31&lt;&gt;""),TRUE))</formula>
    </cfRule>
    <cfRule type="expression" dxfId="89" priority="182">
      <formula>IF(Q31&gt;=R31,IF(Q31="",FALSE,TRUE))</formula>
    </cfRule>
  </conditionalFormatting>
  <conditionalFormatting sqref="V24:V31 X24:X31 V4:V21">
    <cfRule type="expression" dxfId="88" priority="175">
      <formula>OR(IF(V4&lt;W4,TRUE),IF(AND(W4="",V4&lt;&gt;""),TRUE))</formula>
    </cfRule>
    <cfRule type="expression" dxfId="87" priority="176">
      <formula>IF(V4&gt;=W4,IF(V4="",FALSE,TRUE))</formula>
    </cfRule>
  </conditionalFormatting>
  <conditionalFormatting sqref="X5:X21">
    <cfRule type="expression" dxfId="86" priority="173">
      <formula>OR(IF(X5&lt;Y5,TRUE),IF(AND(Y5="",X5&lt;&gt;""),TRUE))</formula>
    </cfRule>
    <cfRule type="expression" dxfId="85" priority="174">
      <formula>IF(X5&gt;=Y5,IF(X5="",FALSE,TRUE))</formula>
    </cfRule>
  </conditionalFormatting>
  <conditionalFormatting sqref="V32:V38">
    <cfRule type="expression" dxfId="84" priority="167">
      <formula>OR(IF(V32&lt;W32,TRUE),IF(AND(W32="",V32&lt;&gt;""),TRUE))</formula>
    </cfRule>
    <cfRule type="expression" dxfId="83" priority="168">
      <formula>IF(V32&gt;=W32,IF(V32="",FALSE,TRUE))</formula>
    </cfRule>
  </conditionalFormatting>
  <conditionalFormatting sqref="X32:X38">
    <cfRule type="expression" dxfId="82" priority="165">
      <formula>OR(IF(X32&lt;Y32,TRUE),IF(AND(Y32="",X32&lt;&gt;""),TRUE))</formula>
    </cfRule>
    <cfRule type="expression" dxfId="81" priority="166">
      <formula>IF(X32&gt;=Y32,IF(X32="",FALSE,TRUE))</formula>
    </cfRule>
  </conditionalFormatting>
  <conditionalFormatting sqref="AC5:AC21 AC24:AC32 AE24:AE32">
    <cfRule type="expression" dxfId="80" priority="159">
      <formula>OR(IF(AC5&lt;AD5,TRUE),IF(AND(AD5="",AC5&lt;&gt;""),TRUE))</formula>
    </cfRule>
    <cfRule type="expression" dxfId="79" priority="160">
      <formula>IF(AC5&gt;=AD5,IF(AC5="",FALSE,TRUE))</formula>
    </cfRule>
  </conditionalFormatting>
  <conditionalFormatting sqref="AE5:AE21">
    <cfRule type="expression" dxfId="78" priority="157">
      <formula>OR(IF(AE5&lt;AF5,TRUE),IF(AND(AF5="",AE5&lt;&gt;""),TRUE))</formula>
    </cfRule>
    <cfRule type="expression" dxfId="77" priority="158">
      <formula>IF(AE5&gt;=AF5,IF(AE5="",FALSE,TRUE))</formula>
    </cfRule>
  </conditionalFormatting>
  <conditionalFormatting sqref="AC33:AC38">
    <cfRule type="expression" dxfId="76" priority="151">
      <formula>OR(IF(AC33&lt;AD33,TRUE),IF(AND(AD33="",AC33&lt;&gt;""),TRUE))</formula>
    </cfRule>
    <cfRule type="expression" dxfId="75" priority="152">
      <formula>IF(AC33&gt;=AD33,IF(AC33="",FALSE,TRUE))</formula>
    </cfRule>
  </conditionalFormatting>
  <conditionalFormatting sqref="AE33:AE38">
    <cfRule type="expression" dxfId="74" priority="149">
      <formula>OR(IF(AE33&lt;AF33,TRUE),IF(AND(AF33="",AE33&lt;&gt;""),TRUE))</formula>
    </cfRule>
    <cfRule type="expression" dxfId="73" priority="150">
      <formula>IF(AE33&gt;=AF33,IF(AE33="",FALSE,TRUE))</formula>
    </cfRule>
  </conditionalFormatting>
  <conditionalFormatting sqref="AJ24:AJ28 AL24:AL28 AJ5:AJ21">
    <cfRule type="expression" dxfId="72" priority="143">
      <formula>OR(IF(AJ5&lt;AK5,TRUE),IF(AND(AK5="",AJ5&lt;&gt;""),TRUE))</formula>
    </cfRule>
    <cfRule type="expression" dxfId="71" priority="144">
      <formula>IF(AJ5&gt;=AK5,IF(AJ5="",FALSE,TRUE))</formula>
    </cfRule>
  </conditionalFormatting>
  <conditionalFormatting sqref="AL5:AL21">
    <cfRule type="expression" dxfId="70" priority="141">
      <formula>OR(IF(AL5&lt;AM5,TRUE),IF(AND(AM5="",AL5&lt;&gt;""),TRUE))</formula>
    </cfRule>
    <cfRule type="expression" dxfId="69" priority="142">
      <formula>IF(AL5&gt;=AM5,IF(AL5="",FALSE,TRUE))</formula>
    </cfRule>
  </conditionalFormatting>
  <conditionalFormatting sqref="AJ29:AJ38">
    <cfRule type="expression" dxfId="68" priority="135">
      <formula>OR(IF(AJ29&lt;AK29,TRUE),IF(AND(AK29="",AJ29&lt;&gt;""),TRUE))</formula>
    </cfRule>
    <cfRule type="expression" dxfId="67" priority="136">
      <formula>IF(AJ29&gt;=AK29,IF(AJ29="",FALSE,TRUE))</formula>
    </cfRule>
  </conditionalFormatting>
  <conditionalFormatting sqref="AL29:AL38">
    <cfRule type="expression" dxfId="66" priority="133">
      <formula>OR(IF(AL29&lt;AM29,TRUE),IF(AND(AM29="",AL29&lt;&gt;""),TRUE))</formula>
    </cfRule>
    <cfRule type="expression" dxfId="65" priority="134">
      <formula>IF(AL29&gt;=AM29,IF(AL29="",FALSE,TRUE))</formula>
    </cfRule>
  </conditionalFormatting>
  <conditionalFormatting sqref="AQ36:AQ38">
    <cfRule type="expression" dxfId="64" priority="119">
      <formula>OR(IF(AQ36&lt;AR36,TRUE),IF(AND(AR36="",AQ36&lt;&gt;""),TRUE))</formula>
    </cfRule>
    <cfRule type="expression" dxfId="63" priority="120">
      <formula>IF(AQ36&gt;=AR36,IF(AQ36="",FALSE,TRUE))</formula>
    </cfRule>
  </conditionalFormatting>
  <conditionalFormatting sqref="AS36:AS38">
    <cfRule type="expression" dxfId="62" priority="117">
      <formula>OR(IF(AS36&lt;AT36,TRUE),IF(AND(AT36="",AS36&lt;&gt;""),TRUE))</formula>
    </cfRule>
    <cfRule type="expression" dxfId="61" priority="118">
      <formula>IF(AS36&gt;=AT36,IF(AS36="",FALSE,TRUE))</formula>
    </cfRule>
  </conditionalFormatting>
  <conditionalFormatting sqref="AX24:AX28 AZ24:AZ28 AX5:AX21">
    <cfRule type="expression" dxfId="60" priority="111">
      <formula>OR(IF(AX5&lt;AY5,TRUE),IF(AND(AY5="",AX5&lt;&gt;""),TRUE))</formula>
    </cfRule>
    <cfRule type="expression" dxfId="59" priority="112">
      <formula>IF(AX5&gt;=AY5,IF(AX5="",FALSE,TRUE))</formula>
    </cfRule>
  </conditionalFormatting>
  <conditionalFormatting sqref="AZ5:AZ21">
    <cfRule type="expression" dxfId="58" priority="109">
      <formula>OR(IF(AZ5&lt;BA5,TRUE),IF(AND(BA5="",AZ5&lt;&gt;""),TRUE))</formula>
    </cfRule>
    <cfRule type="expression" dxfId="57" priority="110">
      <formula>IF(AZ5&gt;=BA5,IF(AZ5="",FALSE,TRUE))</formula>
    </cfRule>
  </conditionalFormatting>
  <conditionalFormatting sqref="AX29:AX38">
    <cfRule type="expression" dxfId="56" priority="103">
      <formula>OR(IF(AX29&lt;AY29,TRUE),IF(AND(AY29="",AX29&lt;&gt;""),TRUE))</formula>
    </cfRule>
    <cfRule type="expression" dxfId="55" priority="104">
      <formula>IF(AX29&gt;=AY29,IF(AX29="",FALSE,TRUE))</formula>
    </cfRule>
  </conditionalFormatting>
  <conditionalFormatting sqref="BE29:BE38">
    <cfRule type="expression" dxfId="54" priority="87">
      <formula>OR(IF(BE29&lt;BF29,TRUE),IF(AND(BF29="",BE29&lt;&gt;""),TRUE))</formula>
    </cfRule>
    <cfRule type="expression" dxfId="53" priority="88">
      <formula>IF(BE29&gt;=BF29,IF(BE29="",FALSE,TRUE))</formula>
    </cfRule>
  </conditionalFormatting>
  <conditionalFormatting sqref="BG29:BG38">
    <cfRule type="expression" dxfId="52" priority="85">
      <formula>OR(IF(BG29&lt;BH29,TRUE),IF(AND(BH29="",BG29&lt;&gt;""),TRUE))</formula>
    </cfRule>
    <cfRule type="expression" dxfId="51" priority="86">
      <formula>IF(BG29&gt;=BH29,IF(BG29="",FALSE,TRUE))</formula>
    </cfRule>
  </conditionalFormatting>
  <conditionalFormatting sqref="J78:K90">
    <cfRule type="colorScale" priority="264">
      <colorScale>
        <cfvo type="percent" val="0"/>
        <cfvo type="percent" val="100"/>
        <color rgb="FFFF231B"/>
        <color rgb="FF10FF07"/>
      </colorScale>
    </cfRule>
  </conditionalFormatting>
  <conditionalFormatting sqref="J41:K54">
    <cfRule type="colorScale" priority="268">
      <colorScale>
        <cfvo type="percent" val="0"/>
        <cfvo type="percent" val="100"/>
        <color rgb="FFFF231B"/>
        <color rgb="FF10FF07"/>
      </colorScale>
    </cfRule>
  </conditionalFormatting>
  <conditionalFormatting sqref="J24:K38">
    <cfRule type="colorScale" priority="269">
      <colorScale>
        <cfvo type="percent" val="0"/>
        <cfvo type="percent" val="100"/>
        <color rgb="FFFF231B"/>
        <color rgb="FF10FF07"/>
      </colorScale>
    </cfRule>
  </conditionalFormatting>
  <conditionalFormatting sqref="BM5:BM19">
    <cfRule type="expression" dxfId="50" priority="34">
      <formula>OR(IF(BM5&lt;BN5,TRUE),IF(AND(BN5="",BM5&lt;&gt;""),TRUE))</formula>
    </cfRule>
    <cfRule type="expression" dxfId="49" priority="35">
      <formula>IF(BM5&gt;=BN5,IF(BM5="",FALSE,TRUE))</formula>
    </cfRule>
  </conditionalFormatting>
  <conditionalFormatting sqref="BO5:BO19">
    <cfRule type="expression" dxfId="48" priority="32">
      <formula>OR(IF(BO5&lt;BP5,TRUE),IF(AND(BP5="",BO5&lt;&gt;""),TRUE))</formula>
    </cfRule>
    <cfRule type="expression" dxfId="47" priority="33">
      <formula>IF(BO5&gt;=BP5,IF(BO5="",FALSE,TRUE))</formula>
    </cfRule>
  </conditionalFormatting>
  <conditionalFormatting sqref="BT5:BT19">
    <cfRule type="expression" dxfId="46" priority="30">
      <formula>OR(IF(BT5&lt;BU5,TRUE),IF(AND(BU5="",BT5&lt;&gt;""),TRUE))</formula>
    </cfRule>
    <cfRule type="expression" dxfId="45" priority="31">
      <formula>IF(BT5&gt;=BU5,IF(BT5="",FALSE,TRUE))</formula>
    </cfRule>
  </conditionalFormatting>
  <conditionalFormatting sqref="BV5:BV19">
    <cfRule type="expression" dxfId="44" priority="28">
      <formula>OR(IF(BV5&lt;BW5,TRUE),IF(AND(BW5="",BV5&lt;&gt;""),TRUE))</formula>
    </cfRule>
    <cfRule type="expression" dxfId="43" priority="29">
      <formula>IF(BV5&gt;=BW5,IF(BV5="",FALSE,TRUE))</formula>
    </cfRule>
  </conditionalFormatting>
  <conditionalFormatting sqref="CA5:CA19">
    <cfRule type="expression" dxfId="42" priority="26">
      <formula>OR(IF(CA5&lt;CB5,TRUE),IF(AND(CB5="",CA5&lt;&gt;""),TRUE))</formula>
    </cfRule>
    <cfRule type="expression" dxfId="41" priority="27">
      <formula>IF(CA5&gt;=CB5,IF(CA5="",FALSE,TRUE))</formula>
    </cfRule>
  </conditionalFormatting>
  <conditionalFormatting sqref="CC5:CC19">
    <cfRule type="expression" dxfId="40" priority="24">
      <formula>OR(IF(CC5&lt;CD5,TRUE),IF(AND(CD5="",CC5&lt;&gt;""),TRUE))</formula>
    </cfRule>
    <cfRule type="expression" dxfId="39" priority="25">
      <formula>IF(CC5&gt;=CD5,IF(CC5="",FALSE,TRUE))</formula>
    </cfRule>
  </conditionalFormatting>
  <conditionalFormatting sqref="AZ41:AZ54 AX40:AX54">
    <cfRule type="expression" dxfId="38" priority="22">
      <formula>OR(IF(AX40&lt;AY40,TRUE),IF(AND(AY40="",AX40&lt;&gt;""),TRUE))</formula>
    </cfRule>
    <cfRule type="expression" dxfId="37" priority="23">
      <formula>IF(AX40&gt;=AY40,IF(AX40="",FALSE,TRUE))</formula>
    </cfRule>
  </conditionalFormatting>
  <conditionalFormatting sqref="BO41:BO54 BM40:BM54">
    <cfRule type="expression" dxfId="36" priority="20">
      <formula>OR(IF(BM40&lt;BN40,TRUE),IF(AND(BN40="",BM40&lt;&gt;""),TRUE))</formula>
    </cfRule>
    <cfRule type="expression" dxfId="35" priority="21">
      <formula>IF(BM40&gt;=BN40,IF(BM40="",FALSE,TRUE))</formula>
    </cfRule>
  </conditionalFormatting>
  <conditionalFormatting sqref="BG41:BG54 BE40:BE54">
    <cfRule type="expression" dxfId="34" priority="18">
      <formula>OR(IF(BE40&lt;BF40,TRUE),IF(AND(BF40="",BE40&lt;&gt;""),TRUE))</formula>
    </cfRule>
    <cfRule type="expression" dxfId="33" priority="19">
      <formula>IF(BE40&gt;=BF40,IF(BE40="",FALSE,TRUE))</formula>
    </cfRule>
  </conditionalFormatting>
  <conditionalFormatting sqref="BV41:BV54 BT40:BT54">
    <cfRule type="expression" dxfId="32" priority="16">
      <formula>OR(IF(BT40&lt;BU40,TRUE),IF(AND(BU40="",BT40&lt;&gt;""),TRUE))</formula>
    </cfRule>
    <cfRule type="expression" dxfId="31" priority="17">
      <formula>IF(BT40&gt;=BU40,IF(BT40="",FALSE,TRUE))</formula>
    </cfRule>
  </conditionalFormatting>
  <conditionalFormatting sqref="BM24:BM28 BO24:BO28">
    <cfRule type="expression" dxfId="30" priority="14">
      <formula>OR(IF(BM24&lt;BN24,TRUE),IF(AND(BN24="",BM24&lt;&gt;""),TRUE))</formula>
    </cfRule>
    <cfRule type="expression" dxfId="29" priority="15">
      <formula>IF(BM24&gt;=BN24,IF(BM24="",FALSE,TRUE))</formula>
    </cfRule>
  </conditionalFormatting>
  <conditionalFormatting sqref="BM29:BM37">
    <cfRule type="expression" dxfId="28" priority="12">
      <formula>OR(IF(BM29&lt;BN29,TRUE),IF(AND(BN29="",BM29&lt;&gt;""),TRUE))</formula>
    </cfRule>
    <cfRule type="expression" dxfId="27" priority="13">
      <formula>IF(BM29&gt;=BN29,IF(BM29="",FALSE,TRUE))</formula>
    </cfRule>
  </conditionalFormatting>
  <conditionalFormatting sqref="BO29:BO37">
    <cfRule type="expression" dxfId="26" priority="10">
      <formula>OR(IF(BO29&lt;BP29,TRUE),IF(AND(BP29="",BO29&lt;&gt;""),TRUE))</formula>
    </cfRule>
    <cfRule type="expression" dxfId="25" priority="11">
      <formula>IF(BO29&gt;=BP29,IF(BO29="",FALSE,TRUE))</formula>
    </cfRule>
  </conditionalFormatting>
  <conditionalFormatting sqref="CC41:CC54 CA40:CA54">
    <cfRule type="expression" dxfId="24" priority="8">
      <formula>OR(IF(CA40&lt;CB40,TRUE),IF(AND(CB40="",CA40&lt;&gt;""),TRUE))</formula>
    </cfRule>
    <cfRule type="expression" dxfId="23" priority="9">
      <formula>IF(CA40&gt;=CB40,IF(CA40="",FALSE,TRUE))</formula>
    </cfRule>
  </conditionalFormatting>
  <conditionalFormatting sqref="AQ59:AQ72 AS59:AS72 AC59:AC72 AE59:AE72 AJ59:AJ72 AL59:AL72 O59:O72 Q59:Q72 V59:V72 X59:X72">
    <cfRule type="expression" dxfId="22" priority="5">
      <formula>OR(IF(O59&lt;P59,TRUE),IF(AND(P59="",O59&lt;&gt;""),TRUE))</formula>
    </cfRule>
    <cfRule type="expression" dxfId="21" priority="6">
      <formula>IF(O59&gt;=P59,IF(O59="",FALSE,TRUE))</formula>
    </cfRule>
  </conditionalFormatting>
  <conditionalFormatting sqref="J59:K72">
    <cfRule type="colorScale" priority="7">
      <colorScale>
        <cfvo type="percent" val="0"/>
        <cfvo type="percent" val="100"/>
        <color rgb="FFFF231B"/>
        <color rgb="FF10FF07"/>
      </colorScale>
    </cfRule>
  </conditionalFormatting>
  <conditionalFormatting sqref="AX59:AX72 AZ59:AZ72">
    <cfRule type="expression" dxfId="20" priority="3">
      <formula>OR(IF(AX59&lt;AY59,TRUE),IF(AND(AY59="",AX59&lt;&gt;""),TRUE))</formula>
    </cfRule>
    <cfRule type="expression" dxfId="19" priority="4">
      <formula>IF(AX59&gt;=AY59,IF(AX59="",FALSE,TRUE))</formula>
    </cfRule>
  </conditionalFormatting>
  <conditionalFormatting sqref="BE59:BE72 BG59:BG72">
    <cfRule type="expression" dxfId="18" priority="1">
      <formula>OR(IF(BE59&lt;BF59,TRUE),IF(AND(BF59="",BE59&lt;&gt;""),TRUE))</formula>
    </cfRule>
    <cfRule type="expression" dxfId="17" priority="2">
      <formula>IF(BE59&gt;=BF59,IF(BE59="",FALSE,TRUE))</formula>
    </cfRule>
  </conditionalFormatting>
  <dataValidations count="1">
    <dataValidation type="list" allowBlank="1" showInputMessage="1" showErrorMessage="1" sqref="O4 O5:R21 O24:R38 V5:Y21 AX5:BA21 AJ24:AM38 AC24:AF38 AC5:AF21 AQ78:AT90 AJ5:AM21 CA40:CB40 BE5:BH21 AQ5:AT21 BE24:BH38 CA5:CD19 O78:R90 V78:Y90 AC78:AF90 AJ78:AM90 V41:Y54 V24:Y38 AX24:BA38 AJ41:AM54 AX41:BA54 V4 AC41:AF54 BM5:BP19 BT5:BW19 AQ24:AT38 BM24:BP37 AQ59:AT72 BE41:BH54 AX59:BA72 BE59:BH72 AQ41:AT54 AJ59:AM72 AC59:AF72 BT41:BW54 BM41:BP54 O59:R72 CA41:CD54 O41:R54 BA40 AX40:AY40 BP40 BM40:BN40 BH40 BE40:BF40 BW40 BT40:BU40 CD40 V59:Y72" xr:uid="{DF46768B-76BD-4AD1-BDD9-05E5E50A35C8}">
      <formula1>"10%,20%,30%,40%,50%,60%,70%,80%,90%,100%"</formula1>
    </dataValidation>
  </dataValidation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66"/>
  <sheetViews>
    <sheetView zoomScale="68" workbookViewId="0">
      <selection activeCell="J10" sqref="J10"/>
    </sheetView>
  </sheetViews>
  <sheetFormatPr baseColWidth="10" defaultRowHeight="15.5"/>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1">
      <c r="A1" s="10" t="s">
        <v>48</v>
      </c>
      <c r="B1" s="15" t="s">
        <v>45</v>
      </c>
      <c r="C1" s="15" t="s">
        <v>46</v>
      </c>
      <c r="D1" s="15" t="s">
        <v>47</v>
      </c>
      <c r="E1" s="1" t="s">
        <v>49</v>
      </c>
      <c r="F1" s="1" t="s">
        <v>50</v>
      </c>
      <c r="G1" s="1" t="s">
        <v>51</v>
      </c>
      <c r="H1" s="1" t="s">
        <v>52</v>
      </c>
      <c r="I1" s="1" t="s">
        <v>53</v>
      </c>
      <c r="J1" s="1" t="s">
        <v>54</v>
      </c>
      <c r="K1" s="1" t="s">
        <v>55</v>
      </c>
    </row>
    <row r="2" spans="1:11">
      <c r="A2" s="14">
        <v>44316</v>
      </c>
      <c r="B2" s="10" t="s">
        <v>141</v>
      </c>
      <c r="C2" s="10" t="s">
        <v>141</v>
      </c>
      <c r="D2" s="16">
        <v>0.8</v>
      </c>
      <c r="E2">
        <v>1600</v>
      </c>
      <c r="F2">
        <v>59</v>
      </c>
      <c r="G2">
        <v>69</v>
      </c>
      <c r="H2">
        <v>78</v>
      </c>
    </row>
    <row r="3" spans="1:11">
      <c r="A3" s="14">
        <v>44317</v>
      </c>
    </row>
    <row r="4" spans="1:11">
      <c r="A4" s="14">
        <v>44318</v>
      </c>
    </row>
    <row r="5" spans="1:11">
      <c r="A5" s="14">
        <v>44319</v>
      </c>
    </row>
    <row r="6" spans="1:11">
      <c r="A6" s="14">
        <v>44320</v>
      </c>
    </row>
    <row r="7" spans="1:11">
      <c r="A7" s="14">
        <v>44321</v>
      </c>
    </row>
    <row r="8" spans="1:11">
      <c r="A8" s="14">
        <v>44322</v>
      </c>
    </row>
    <row r="9" spans="1:11">
      <c r="A9" s="14">
        <v>44323</v>
      </c>
    </row>
    <row r="10" spans="1:11">
      <c r="A10" s="14">
        <v>44324</v>
      </c>
    </row>
    <row r="11" spans="1:11">
      <c r="A11" s="14">
        <v>44325</v>
      </c>
    </row>
    <row r="12" spans="1:11">
      <c r="A12" s="14">
        <v>44326</v>
      </c>
    </row>
    <row r="13" spans="1:11">
      <c r="A13" s="14">
        <v>44327</v>
      </c>
    </row>
    <row r="14" spans="1:11">
      <c r="A14" s="14">
        <v>44328</v>
      </c>
    </row>
    <row r="15" spans="1:11">
      <c r="A15" s="14">
        <v>44329</v>
      </c>
    </row>
    <row r="16" spans="1:11">
      <c r="A16" s="14">
        <v>44330</v>
      </c>
    </row>
    <row r="17" spans="1:1">
      <c r="A17" s="14">
        <v>44331</v>
      </c>
    </row>
    <row r="18" spans="1:1">
      <c r="A18" s="14">
        <v>44332</v>
      </c>
    </row>
    <row r="19" spans="1:1">
      <c r="A19" s="14">
        <v>44333</v>
      </c>
    </row>
    <row r="20" spans="1:1">
      <c r="A20" s="14">
        <v>44334</v>
      </c>
    </row>
    <row r="21" spans="1:1">
      <c r="A21" s="14">
        <v>44335</v>
      </c>
    </row>
    <row r="22" spans="1:1">
      <c r="A22" s="14">
        <v>44336</v>
      </c>
    </row>
    <row r="23" spans="1:1">
      <c r="A23" s="14">
        <v>44337</v>
      </c>
    </row>
    <row r="24" spans="1:1">
      <c r="A24" s="14">
        <v>44338</v>
      </c>
    </row>
    <row r="25" spans="1:1">
      <c r="A25" s="14">
        <v>44339</v>
      </c>
    </row>
    <row r="26" spans="1:1">
      <c r="A26" s="14">
        <v>44340</v>
      </c>
    </row>
    <row r="27" spans="1:1">
      <c r="A27" s="14">
        <v>44341</v>
      </c>
    </row>
    <row r="28" spans="1:1">
      <c r="A28" s="14">
        <v>44342</v>
      </c>
    </row>
    <row r="29" spans="1:1">
      <c r="A29" s="14">
        <v>44343</v>
      </c>
    </row>
    <row r="30" spans="1:1">
      <c r="A30" s="14">
        <v>44344</v>
      </c>
    </row>
    <row r="31" spans="1:1">
      <c r="A31" s="14">
        <v>44345</v>
      </c>
    </row>
    <row r="32" spans="1:1">
      <c r="A32" s="14">
        <v>44346</v>
      </c>
    </row>
    <row r="33" spans="1:1">
      <c r="A33" s="14">
        <v>44347</v>
      </c>
    </row>
    <row r="34" spans="1:1">
      <c r="A34" s="14">
        <v>44348</v>
      </c>
    </row>
    <row r="35" spans="1:1">
      <c r="A35" s="14">
        <v>44349</v>
      </c>
    </row>
    <row r="36" spans="1:1">
      <c r="A36" s="14">
        <v>44350</v>
      </c>
    </row>
    <row r="37" spans="1:1">
      <c r="A37" s="14">
        <v>44351</v>
      </c>
    </row>
    <row r="38" spans="1:1">
      <c r="A38" s="14">
        <v>44352</v>
      </c>
    </row>
    <row r="39" spans="1:1">
      <c r="A39" s="14">
        <v>44353</v>
      </c>
    </row>
    <row r="40" spans="1:1">
      <c r="A40" s="14">
        <v>44354</v>
      </c>
    </row>
    <row r="41" spans="1:1">
      <c r="A41" s="14">
        <v>44355</v>
      </c>
    </row>
    <row r="42" spans="1:1">
      <c r="A42" s="14">
        <v>44356</v>
      </c>
    </row>
    <row r="43" spans="1:1">
      <c r="A43" s="14">
        <v>44357</v>
      </c>
    </row>
    <row r="44" spans="1:1">
      <c r="A44" s="14">
        <v>44358</v>
      </c>
    </row>
    <row r="45" spans="1:1">
      <c r="A45" s="14">
        <v>44359</v>
      </c>
    </row>
    <row r="46" spans="1:1">
      <c r="A46" s="14">
        <v>44360</v>
      </c>
    </row>
    <row r="47" spans="1:1">
      <c r="A47" s="14">
        <v>44361</v>
      </c>
    </row>
    <row r="48" spans="1:1">
      <c r="A48" s="14">
        <v>44362</v>
      </c>
    </row>
    <row r="49" spans="1:1">
      <c r="A49" s="14">
        <v>44363</v>
      </c>
    </row>
    <row r="50" spans="1:1">
      <c r="A50" s="14">
        <v>44364</v>
      </c>
    </row>
    <row r="51" spans="1:1">
      <c r="A51" s="14">
        <v>44365</v>
      </c>
    </row>
    <row r="52" spans="1:1">
      <c r="A52" s="14">
        <v>44366</v>
      </c>
    </row>
    <row r="53" spans="1:1">
      <c r="A53" s="14">
        <v>44367</v>
      </c>
    </row>
    <row r="54" spans="1:1">
      <c r="A54" s="14">
        <v>44368</v>
      </c>
    </row>
    <row r="55" spans="1:1">
      <c r="A55" s="14">
        <v>44369</v>
      </c>
    </row>
    <row r="56" spans="1:1">
      <c r="A56" s="14">
        <v>44370</v>
      </c>
    </row>
    <row r="57" spans="1:1">
      <c r="A57" s="14">
        <v>44371</v>
      </c>
    </row>
    <row r="58" spans="1:1">
      <c r="A58" s="14">
        <v>44372</v>
      </c>
    </row>
    <row r="59" spans="1:1">
      <c r="A59" s="14">
        <v>44373</v>
      </c>
    </row>
    <row r="60" spans="1:1">
      <c r="A60" s="14">
        <v>44374</v>
      </c>
    </row>
    <row r="61" spans="1:1">
      <c r="A61" s="14">
        <v>44375</v>
      </c>
    </row>
    <row r="62" spans="1:1">
      <c r="A62" s="14">
        <v>44376</v>
      </c>
    </row>
    <row r="63" spans="1:1">
      <c r="A63" s="14">
        <v>44377</v>
      </c>
    </row>
    <row r="64" spans="1:1">
      <c r="A64" s="14">
        <v>44378</v>
      </c>
    </row>
    <row r="65" spans="1:1">
      <c r="A65" s="14">
        <v>44379</v>
      </c>
    </row>
    <row r="66" spans="1:1">
      <c r="A66" s="14">
        <v>44380</v>
      </c>
    </row>
  </sheetData>
  <conditionalFormatting sqref="B2:B6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66">
    <cfRule type="cellIs" dxfId="8" priority="4" operator="equal">
      <formula>"Ja"</formula>
    </cfRule>
  </conditionalFormatting>
  <conditionalFormatting sqref="C2:C66">
    <cfRule type="cellIs" dxfId="7" priority="2" operator="equal">
      <formula>"Ja"</formula>
    </cfRule>
    <cfRule type="cellIs" dxfId="6" priority="3" operator="equal">
      <formula>"Nein"</formula>
    </cfRule>
  </conditionalFormatting>
  <conditionalFormatting sqref="C2:C66">
    <cfRule type="cellIs" dxfId="5" priority="1" operator="equal">
      <formula>"Ja"</formula>
    </cfRule>
  </conditionalFormatting>
  <dataValidations count="2">
    <dataValidation type="list" allowBlank="1" showInputMessage="1" showErrorMessage="1" sqref="B2:C6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J11" sqref="J11"/>
    </sheetView>
  </sheetViews>
  <sheetFormatPr baseColWidth="10" defaultColWidth="10.6640625" defaultRowHeight="15.5"/>
  <sheetData>
    <row r="1" spans="1:8" ht="25">
      <c r="B1" s="7" t="s">
        <v>25</v>
      </c>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8"/>
  <sheetViews>
    <sheetView topLeftCell="A32" zoomScale="117" workbookViewId="0">
      <selection activeCell="F40" sqref="F40"/>
    </sheetView>
  </sheetViews>
  <sheetFormatPr baseColWidth="10" defaultColWidth="10.6640625" defaultRowHeight="15.5"/>
  <cols>
    <col min="2" max="2" width="15.83203125" customWidth="1"/>
    <col min="3" max="3" width="16.5" customWidth="1"/>
    <col min="4" max="4" width="14.6640625" customWidth="1"/>
    <col min="5" max="5" width="13.4140625" customWidth="1"/>
    <col min="6" max="6" width="14.6640625" customWidth="1"/>
    <col min="7" max="7" width="11.83203125" customWidth="1"/>
    <col min="8" max="8" width="11.75" customWidth="1"/>
  </cols>
  <sheetData>
    <row r="1" spans="1:8" ht="25">
      <c r="A1" s="35"/>
      <c r="B1" s="36" t="s">
        <v>25</v>
      </c>
      <c r="C1" s="35"/>
      <c r="D1" s="35"/>
      <c r="E1" s="35"/>
      <c r="F1" s="35"/>
      <c r="G1" s="35"/>
      <c r="H1" s="35"/>
    </row>
    <row r="2" spans="1:8">
      <c r="A2" s="35"/>
      <c r="B2" s="35"/>
      <c r="C2" s="35"/>
      <c r="D2" s="35"/>
      <c r="E2" s="35"/>
      <c r="F2" s="35"/>
      <c r="G2" s="35"/>
      <c r="H2" s="35"/>
    </row>
    <row r="3" spans="1:8">
      <c r="A3" s="35"/>
      <c r="B3" s="35"/>
      <c r="C3" s="35"/>
      <c r="D3" s="35"/>
      <c r="E3" s="35"/>
      <c r="F3" s="35"/>
      <c r="G3" s="35"/>
      <c r="H3" s="35"/>
    </row>
    <row r="4" spans="1:8">
      <c r="A4" s="35"/>
      <c r="B4" s="37" t="s">
        <v>4</v>
      </c>
      <c r="C4" s="37" t="s">
        <v>5</v>
      </c>
      <c r="D4" s="37" t="s">
        <v>6</v>
      </c>
      <c r="E4" s="37" t="s">
        <v>7</v>
      </c>
      <c r="F4" s="37" t="s">
        <v>10</v>
      </c>
      <c r="G4" s="37" t="s">
        <v>8</v>
      </c>
      <c r="H4" s="37" t="s">
        <v>9</v>
      </c>
    </row>
    <row r="5" spans="1:8">
      <c r="A5" s="38">
        <v>0.16666666666666666</v>
      </c>
      <c r="B5" s="35"/>
      <c r="C5" s="35"/>
      <c r="D5" s="35"/>
      <c r="E5" s="35"/>
      <c r="F5" s="35"/>
      <c r="G5" s="35"/>
      <c r="H5" s="35"/>
    </row>
    <row r="6" spans="1:8">
      <c r="A6" s="38">
        <v>0.1875</v>
      </c>
      <c r="B6" s="35"/>
      <c r="C6" s="35"/>
      <c r="D6" s="35"/>
      <c r="E6" s="35"/>
      <c r="F6" s="35"/>
      <c r="G6" s="35"/>
      <c r="H6" s="35"/>
    </row>
    <row r="7" spans="1:8">
      <c r="A7" s="38">
        <v>0.20833333333333301</v>
      </c>
      <c r="B7" s="35"/>
      <c r="C7" s="35"/>
      <c r="D7" s="35"/>
      <c r="E7" s="35"/>
      <c r="F7" s="35"/>
      <c r="G7" s="35"/>
      <c r="H7" s="35"/>
    </row>
    <row r="8" spans="1:8">
      <c r="A8" s="38">
        <v>0.22916666666666699</v>
      </c>
      <c r="B8" s="35"/>
      <c r="C8" s="35"/>
      <c r="D8" s="35"/>
      <c r="E8" s="35"/>
      <c r="F8" s="35"/>
      <c r="G8" s="35"/>
      <c r="H8" s="35"/>
    </row>
    <row r="9" spans="1:8">
      <c r="A9" s="38">
        <v>0.25</v>
      </c>
      <c r="B9" s="35"/>
      <c r="C9" s="35"/>
      <c r="D9" s="35"/>
      <c r="E9" s="35"/>
      <c r="F9" s="35"/>
      <c r="G9" s="35"/>
      <c r="H9" s="35"/>
    </row>
    <row r="10" spans="1:8">
      <c r="A10" s="38">
        <v>0.27083333333333398</v>
      </c>
      <c r="B10" s="35"/>
      <c r="C10" s="35"/>
      <c r="D10" s="35"/>
      <c r="E10" s="35"/>
      <c r="F10" s="35"/>
      <c r="G10" s="35"/>
      <c r="H10" s="35"/>
    </row>
    <row r="11" spans="1:8">
      <c r="A11" s="38">
        <v>0.29166666666666702</v>
      </c>
      <c r="B11" s="35"/>
      <c r="C11" s="35"/>
      <c r="D11" s="35"/>
      <c r="E11" s="35"/>
      <c r="F11" s="35"/>
      <c r="G11" s="35"/>
      <c r="H11" s="35"/>
    </row>
    <row r="12" spans="1:8" ht="45.5">
      <c r="A12" s="38">
        <v>0.3125</v>
      </c>
      <c r="B12" s="35"/>
      <c r="C12" s="35"/>
      <c r="D12" s="35"/>
      <c r="E12" s="39" t="s">
        <v>132</v>
      </c>
      <c r="F12" s="39" t="s">
        <v>132</v>
      </c>
      <c r="G12" s="39" t="s">
        <v>146</v>
      </c>
      <c r="H12" s="35"/>
    </row>
    <row r="13" spans="1:8" ht="42" customHeight="1">
      <c r="A13" s="38">
        <v>0.33333333333333398</v>
      </c>
      <c r="B13" s="39" t="s">
        <v>142</v>
      </c>
      <c r="C13" s="39" t="s">
        <v>123</v>
      </c>
      <c r="D13" s="39" t="s">
        <v>127</v>
      </c>
      <c r="E13" s="35" t="s">
        <v>88</v>
      </c>
      <c r="F13" s="35" t="s">
        <v>88</v>
      </c>
      <c r="G13" s="35" t="s">
        <v>88</v>
      </c>
      <c r="H13" s="39" t="s">
        <v>149</v>
      </c>
    </row>
    <row r="14" spans="1:8">
      <c r="A14" s="38">
        <v>0.35416666666666702</v>
      </c>
      <c r="B14" s="35" t="s">
        <v>88</v>
      </c>
      <c r="C14" s="35" t="s">
        <v>88</v>
      </c>
      <c r="D14" s="35" t="s">
        <v>88</v>
      </c>
      <c r="E14" s="35" t="s">
        <v>133</v>
      </c>
      <c r="F14" s="35" t="s">
        <v>88</v>
      </c>
      <c r="G14" s="35" t="s">
        <v>88</v>
      </c>
      <c r="H14" s="35" t="s">
        <v>88</v>
      </c>
    </row>
    <row r="15" spans="1:8">
      <c r="A15" s="38">
        <v>0.375</v>
      </c>
      <c r="B15" s="35" t="s">
        <v>88</v>
      </c>
      <c r="C15" s="35" t="s">
        <v>88</v>
      </c>
      <c r="D15" s="35" t="s">
        <v>88</v>
      </c>
      <c r="E15" s="35" t="s">
        <v>88</v>
      </c>
      <c r="F15" s="35" t="s">
        <v>88</v>
      </c>
      <c r="G15" s="35" t="s">
        <v>88</v>
      </c>
      <c r="H15" s="35" t="s">
        <v>88</v>
      </c>
    </row>
    <row r="16" spans="1:8" ht="30.5">
      <c r="A16" s="38">
        <v>0.39583333333333398</v>
      </c>
      <c r="B16" s="35" t="s">
        <v>88</v>
      </c>
      <c r="C16" s="35" t="s">
        <v>88</v>
      </c>
      <c r="D16" s="35" t="s">
        <v>88</v>
      </c>
      <c r="E16" s="35" t="s">
        <v>88</v>
      </c>
      <c r="F16" s="39" t="s">
        <v>144</v>
      </c>
      <c r="G16" s="35" t="s">
        <v>88</v>
      </c>
      <c r="H16" s="35" t="s">
        <v>88</v>
      </c>
    </row>
    <row r="17" spans="1:8">
      <c r="A17" s="38">
        <v>0.41666666666666702</v>
      </c>
      <c r="B17" s="35" t="s">
        <v>88</v>
      </c>
      <c r="C17" s="35" t="s">
        <v>88</v>
      </c>
      <c r="D17" s="35" t="s">
        <v>88</v>
      </c>
      <c r="E17" s="35" t="s">
        <v>88</v>
      </c>
      <c r="F17" s="35"/>
      <c r="G17" s="35" t="s">
        <v>118</v>
      </c>
      <c r="H17" s="35" t="s">
        <v>88</v>
      </c>
    </row>
    <row r="18" spans="1:8" ht="60.5">
      <c r="A18" s="38">
        <v>0.4375</v>
      </c>
      <c r="B18" s="35" t="s">
        <v>88</v>
      </c>
      <c r="C18" s="35" t="s">
        <v>88</v>
      </c>
      <c r="D18" s="35" t="s">
        <v>88</v>
      </c>
      <c r="E18" s="39" t="s">
        <v>143</v>
      </c>
      <c r="F18" s="35" t="s">
        <v>118</v>
      </c>
      <c r="G18" s="39" t="s">
        <v>147</v>
      </c>
      <c r="H18" s="39" t="s">
        <v>150</v>
      </c>
    </row>
    <row r="19" spans="1:8">
      <c r="A19" s="38">
        <v>0.45833333333333398</v>
      </c>
      <c r="B19" s="39" t="s">
        <v>88</v>
      </c>
      <c r="C19" s="35" t="s">
        <v>88</v>
      </c>
      <c r="D19" s="39" t="s">
        <v>88</v>
      </c>
      <c r="E19" s="35" t="s">
        <v>88</v>
      </c>
      <c r="F19" s="35" t="s">
        <v>131</v>
      </c>
      <c r="G19" s="35" t="s">
        <v>88</v>
      </c>
      <c r="H19" s="35" t="s">
        <v>88</v>
      </c>
    </row>
    <row r="20" spans="1:8" ht="35" customHeight="1">
      <c r="A20" s="38">
        <v>0.47916666666666702</v>
      </c>
      <c r="B20" s="39" t="s">
        <v>117</v>
      </c>
      <c r="C20" s="35" t="s">
        <v>88</v>
      </c>
      <c r="D20" s="39" t="s">
        <v>128</v>
      </c>
      <c r="E20" s="35" t="s">
        <v>88</v>
      </c>
      <c r="F20" s="35" t="s">
        <v>88</v>
      </c>
      <c r="G20" s="35" t="s">
        <v>88</v>
      </c>
      <c r="H20" s="35" t="s">
        <v>88</v>
      </c>
    </row>
    <row r="21" spans="1:8" ht="29" customHeight="1">
      <c r="A21" s="38">
        <v>0.5</v>
      </c>
      <c r="B21" s="35" t="s">
        <v>88</v>
      </c>
      <c r="C21" s="39" t="s">
        <v>122</v>
      </c>
      <c r="D21" s="39" t="s">
        <v>129</v>
      </c>
      <c r="E21" s="35" t="s">
        <v>88</v>
      </c>
      <c r="F21" s="35" t="s">
        <v>88</v>
      </c>
      <c r="G21" s="35" t="s">
        <v>88</v>
      </c>
      <c r="H21" s="35" t="s">
        <v>88</v>
      </c>
    </row>
    <row r="22" spans="1:8">
      <c r="A22" s="38">
        <v>0.52083333333333404</v>
      </c>
      <c r="B22" s="35" t="s">
        <v>88</v>
      </c>
      <c r="C22" s="35" t="s">
        <v>88</v>
      </c>
      <c r="D22" s="35" t="s">
        <v>88</v>
      </c>
      <c r="E22" s="35" t="s">
        <v>88</v>
      </c>
      <c r="F22" s="35" t="s">
        <v>88</v>
      </c>
      <c r="G22" s="35" t="s">
        <v>88</v>
      </c>
      <c r="H22" s="35" t="s">
        <v>88</v>
      </c>
    </row>
    <row r="23" spans="1:8">
      <c r="A23" s="38">
        <v>0.54166666666666696</v>
      </c>
      <c r="B23" s="35" t="s">
        <v>88</v>
      </c>
      <c r="C23" s="35" t="s">
        <v>88</v>
      </c>
      <c r="D23" s="39" t="s">
        <v>118</v>
      </c>
      <c r="E23" s="35" t="s">
        <v>88</v>
      </c>
      <c r="F23" s="35" t="s">
        <v>88</v>
      </c>
      <c r="G23" s="35" t="s">
        <v>88</v>
      </c>
      <c r="H23" s="35" t="s">
        <v>118</v>
      </c>
    </row>
    <row r="24" spans="1:8" ht="30.5">
      <c r="A24" s="38">
        <v>0.5625</v>
      </c>
      <c r="B24" s="35" t="s">
        <v>118</v>
      </c>
      <c r="C24" s="39" t="s">
        <v>124</v>
      </c>
      <c r="D24" s="39" t="s">
        <v>130</v>
      </c>
      <c r="E24" s="35" t="s">
        <v>135</v>
      </c>
      <c r="F24" s="35" t="s">
        <v>88</v>
      </c>
      <c r="G24" s="35" t="s">
        <v>88</v>
      </c>
      <c r="H24" s="35" t="s">
        <v>118</v>
      </c>
    </row>
    <row r="25" spans="1:8">
      <c r="A25" s="38">
        <v>0.58333333333333404</v>
      </c>
      <c r="B25" s="35" t="s">
        <v>88</v>
      </c>
      <c r="C25" s="35" t="s">
        <v>88</v>
      </c>
      <c r="D25" s="35" t="s">
        <v>88</v>
      </c>
      <c r="E25" s="35" t="s">
        <v>88</v>
      </c>
      <c r="F25" s="35" t="s">
        <v>88</v>
      </c>
      <c r="G25" s="35" t="s">
        <v>88</v>
      </c>
      <c r="H25" s="35" t="s">
        <v>118</v>
      </c>
    </row>
    <row r="26" spans="1:8" ht="30.5">
      <c r="A26" s="38">
        <v>0.60416666666666696</v>
      </c>
      <c r="B26" s="35" t="s">
        <v>88</v>
      </c>
      <c r="C26" s="35" t="s">
        <v>88</v>
      </c>
      <c r="D26" s="35" t="s">
        <v>88</v>
      </c>
      <c r="E26" s="39" t="s">
        <v>136</v>
      </c>
      <c r="F26" s="35" t="s">
        <v>118</v>
      </c>
      <c r="G26" s="35" t="s">
        <v>118</v>
      </c>
      <c r="H26" s="39" t="s">
        <v>151</v>
      </c>
    </row>
    <row r="27" spans="1:8">
      <c r="A27" s="38">
        <v>0.625000000000001</v>
      </c>
      <c r="B27" s="35" t="s">
        <v>88</v>
      </c>
      <c r="C27" s="35" t="s">
        <v>88</v>
      </c>
      <c r="D27" s="35" t="s">
        <v>88</v>
      </c>
      <c r="E27" s="35" t="s">
        <v>88</v>
      </c>
      <c r="F27" s="35" t="s">
        <v>88</v>
      </c>
      <c r="G27" s="35" t="s">
        <v>118</v>
      </c>
      <c r="H27" s="35" t="s">
        <v>88</v>
      </c>
    </row>
    <row r="28" spans="1:8" ht="45.5">
      <c r="A28" s="38">
        <v>0.64583333333333404</v>
      </c>
      <c r="B28" s="35" t="s">
        <v>88</v>
      </c>
      <c r="C28" s="39" t="s">
        <v>125</v>
      </c>
      <c r="D28" s="35" t="s">
        <v>88</v>
      </c>
      <c r="E28" s="35" t="s">
        <v>88</v>
      </c>
      <c r="F28" s="39" t="s">
        <v>140</v>
      </c>
      <c r="G28" s="35" t="s">
        <v>88</v>
      </c>
      <c r="H28" s="35" t="s">
        <v>88</v>
      </c>
    </row>
    <row r="29" spans="1:8" ht="30.5">
      <c r="A29" s="38">
        <v>0.66666666666666696</v>
      </c>
      <c r="B29" s="35" t="s">
        <v>119</v>
      </c>
      <c r="C29" s="39" t="s">
        <v>126</v>
      </c>
      <c r="D29" s="35" t="s">
        <v>88</v>
      </c>
      <c r="E29" s="35" t="s">
        <v>88</v>
      </c>
      <c r="F29" s="37" t="s">
        <v>88</v>
      </c>
      <c r="G29" s="35" t="s">
        <v>88</v>
      </c>
      <c r="H29" s="35" t="s">
        <v>88</v>
      </c>
    </row>
    <row r="30" spans="1:8">
      <c r="A30" s="38">
        <v>0.687500000000001</v>
      </c>
      <c r="B30" s="35"/>
      <c r="C30" s="35" t="s">
        <v>88</v>
      </c>
      <c r="D30" s="35" t="s">
        <v>88</v>
      </c>
      <c r="E30" s="35" t="s">
        <v>88</v>
      </c>
      <c r="F30" s="35" t="s">
        <v>88</v>
      </c>
      <c r="G30" s="35" t="s">
        <v>118</v>
      </c>
      <c r="H30" s="35" t="s">
        <v>88</v>
      </c>
    </row>
    <row r="31" spans="1:8">
      <c r="A31" s="38">
        <v>0.70833333333333404</v>
      </c>
      <c r="B31" s="35"/>
      <c r="C31" s="35" t="s">
        <v>88</v>
      </c>
      <c r="D31" s="35" t="s">
        <v>131</v>
      </c>
      <c r="E31" s="35" t="s">
        <v>88</v>
      </c>
      <c r="F31" s="35" t="s">
        <v>88</v>
      </c>
      <c r="G31" s="35"/>
      <c r="H31" s="35" t="s">
        <v>118</v>
      </c>
    </row>
    <row r="32" spans="1:8" ht="30.5">
      <c r="A32" s="38">
        <v>0.72916666666666696</v>
      </c>
      <c r="B32" s="35" t="s">
        <v>120</v>
      </c>
      <c r="C32" s="35" t="s">
        <v>88</v>
      </c>
      <c r="D32" s="35" t="s">
        <v>88</v>
      </c>
      <c r="E32" s="35" t="s">
        <v>88</v>
      </c>
      <c r="F32" s="35" t="s">
        <v>145</v>
      </c>
      <c r="G32" s="35"/>
      <c r="H32" s="39" t="s">
        <v>151</v>
      </c>
    </row>
    <row r="33" spans="1:8" ht="45.5">
      <c r="A33" s="38">
        <v>0.750000000000001</v>
      </c>
      <c r="B33" s="35"/>
      <c r="C33" s="39" t="s">
        <v>138</v>
      </c>
      <c r="D33" s="35" t="s">
        <v>88</v>
      </c>
      <c r="E33" s="35" t="s">
        <v>88</v>
      </c>
      <c r="F33" s="35"/>
      <c r="G33" s="39" t="s">
        <v>148</v>
      </c>
      <c r="H33" s="35" t="s">
        <v>88</v>
      </c>
    </row>
    <row r="34" spans="1:8">
      <c r="A34" s="38">
        <v>0.77083333333333404</v>
      </c>
      <c r="B34" s="35"/>
      <c r="C34" s="35" t="s">
        <v>88</v>
      </c>
      <c r="D34" s="35" t="s">
        <v>88</v>
      </c>
      <c r="E34" s="35" t="s">
        <v>135</v>
      </c>
      <c r="F34" s="35"/>
      <c r="G34" s="35"/>
      <c r="H34" s="35" t="s">
        <v>88</v>
      </c>
    </row>
    <row r="35" spans="1:8">
      <c r="A35" s="38">
        <v>0.79166666666666696</v>
      </c>
      <c r="B35" s="35"/>
      <c r="C35" s="35" t="s">
        <v>88</v>
      </c>
      <c r="D35" s="35" t="s">
        <v>88</v>
      </c>
      <c r="E35" s="35"/>
      <c r="F35" s="35"/>
      <c r="G35" s="35"/>
      <c r="H35" s="35" t="s">
        <v>88</v>
      </c>
    </row>
    <row r="36" spans="1:8" ht="45.5">
      <c r="A36" s="38">
        <v>0.812500000000001</v>
      </c>
      <c r="B36" s="35"/>
      <c r="C36" s="39" t="s">
        <v>139</v>
      </c>
      <c r="D36" s="35" t="s">
        <v>88</v>
      </c>
      <c r="E36" s="39" t="s">
        <v>134</v>
      </c>
      <c r="F36" s="35"/>
      <c r="G36" s="35"/>
      <c r="H36" s="35" t="s">
        <v>88</v>
      </c>
    </row>
    <row r="37" spans="1:8">
      <c r="A37" s="38">
        <v>0.83333333333333404</v>
      </c>
      <c r="B37" s="35"/>
      <c r="C37" s="35" t="s">
        <v>88</v>
      </c>
      <c r="D37" s="35" t="s">
        <v>88</v>
      </c>
      <c r="E37" s="35"/>
      <c r="F37" s="35" t="s">
        <v>138</v>
      </c>
      <c r="G37" s="35"/>
      <c r="H37" s="35" t="s">
        <v>138</v>
      </c>
    </row>
    <row r="38" spans="1:8">
      <c r="A38" s="38">
        <v>0.85416666666666696</v>
      </c>
      <c r="B38" s="35"/>
      <c r="C38" s="35" t="s">
        <v>88</v>
      </c>
      <c r="D38" s="35" t="s">
        <v>88</v>
      </c>
      <c r="E38" s="35"/>
      <c r="F38" s="35"/>
      <c r="G38" s="35"/>
      <c r="H38" s="35"/>
    </row>
    <row r="39" spans="1:8" ht="30.5">
      <c r="A39" s="38">
        <v>0.875000000000001</v>
      </c>
      <c r="B39" s="39" t="s">
        <v>121</v>
      </c>
      <c r="C39" s="35" t="s">
        <v>88</v>
      </c>
      <c r="D39" s="35" t="s">
        <v>88</v>
      </c>
      <c r="E39" s="35"/>
      <c r="F39" s="35"/>
      <c r="G39" s="35"/>
      <c r="H39" s="35"/>
    </row>
    <row r="40" spans="1:8">
      <c r="A40" s="38">
        <v>0.89583333333333404</v>
      </c>
      <c r="B40" s="35"/>
      <c r="C40" s="35" t="s">
        <v>88</v>
      </c>
      <c r="D40" s="35"/>
      <c r="E40" s="35" t="s">
        <v>137</v>
      </c>
      <c r="F40" s="35"/>
      <c r="G40" s="35"/>
      <c r="H40" s="35"/>
    </row>
    <row r="41" spans="1:8">
      <c r="A41" s="38">
        <v>0.91666666666666696</v>
      </c>
      <c r="B41" s="35"/>
      <c r="C41" s="35"/>
      <c r="D41" s="35"/>
      <c r="E41" s="35"/>
      <c r="F41" s="35"/>
      <c r="G41" s="35"/>
      <c r="H41" s="35"/>
    </row>
    <row r="42" spans="1:8">
      <c r="A42" s="38">
        <v>0.937500000000001</v>
      </c>
      <c r="B42" s="35"/>
      <c r="C42" s="35"/>
      <c r="D42" s="35"/>
      <c r="E42" s="35"/>
      <c r="F42" s="35"/>
      <c r="G42" s="35"/>
      <c r="H42" s="35"/>
    </row>
    <row r="43" spans="1:8">
      <c r="A43" s="38">
        <v>0.95833333333333404</v>
      </c>
      <c r="B43" s="35"/>
      <c r="C43" s="35"/>
      <c r="D43" s="35"/>
      <c r="E43" s="35"/>
      <c r="F43" s="35"/>
      <c r="G43" s="35"/>
      <c r="H43" s="35"/>
    </row>
    <row r="44" spans="1:8">
      <c r="A44" s="38">
        <v>0.97916666666666696</v>
      </c>
      <c r="B44" s="35"/>
      <c r="C44" s="35"/>
      <c r="D44" s="35"/>
      <c r="E44" s="35"/>
      <c r="F44" s="35"/>
      <c r="G44" s="35"/>
      <c r="H44" s="35"/>
    </row>
    <row r="45" spans="1:8">
      <c r="A45" s="38">
        <v>1</v>
      </c>
      <c r="B45" s="35"/>
      <c r="C45" s="35"/>
      <c r="D45" s="35"/>
      <c r="E45" s="35"/>
      <c r="F45" s="35"/>
      <c r="G45" s="35"/>
      <c r="H45" s="35"/>
    </row>
    <row r="46" spans="1:8">
      <c r="A46" s="38">
        <v>1.0208333333333299</v>
      </c>
      <c r="B46" s="35"/>
      <c r="C46" s="35"/>
      <c r="D46" s="35"/>
      <c r="E46" s="35"/>
      <c r="F46" s="35"/>
      <c r="G46" s="35"/>
      <c r="H46" s="35"/>
    </row>
    <row r="47" spans="1:8">
      <c r="A47" s="38">
        <v>1.0416666666666701</v>
      </c>
      <c r="B47" s="35"/>
      <c r="C47" s="35"/>
      <c r="D47" s="35"/>
      <c r="E47" s="35"/>
      <c r="F47" s="35"/>
      <c r="G47" s="35"/>
      <c r="H47" s="35"/>
    </row>
    <row r="48" spans="1:8">
      <c r="A48" s="35"/>
      <c r="B48" s="35"/>
      <c r="C48" s="35"/>
      <c r="D48" s="35"/>
      <c r="E48" s="35"/>
      <c r="F48" s="35"/>
      <c r="G48" s="35"/>
      <c r="H48" s="35"/>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D366-9BAE-415A-8BFD-0CA47034F906}">
  <dimension ref="B2:I48"/>
  <sheetViews>
    <sheetView topLeftCell="A2" workbookViewId="0">
      <selection activeCell="G17" sqref="G17"/>
    </sheetView>
  </sheetViews>
  <sheetFormatPr baseColWidth="10" defaultRowHeight="15.5"/>
  <sheetData>
    <row r="2" spans="2:9" ht="25">
      <c r="C2" s="7" t="s">
        <v>25</v>
      </c>
    </row>
    <row r="5" spans="2:9">
      <c r="C5" s="3" t="s">
        <v>4</v>
      </c>
      <c r="D5" s="3" t="s">
        <v>5</v>
      </c>
      <c r="E5" s="3" t="s">
        <v>6</v>
      </c>
      <c r="F5" s="3" t="s">
        <v>7</v>
      </c>
      <c r="G5" s="3" t="s">
        <v>10</v>
      </c>
      <c r="H5" s="3" t="s">
        <v>8</v>
      </c>
      <c r="I5" s="3" t="s">
        <v>9</v>
      </c>
    </row>
    <row r="6" spans="2:9">
      <c r="B6" s="9">
        <v>0.16666666666666666</v>
      </c>
    </row>
    <row r="7" spans="2:9">
      <c r="B7" s="9">
        <v>0.1875</v>
      </c>
    </row>
    <row r="8" spans="2:9">
      <c r="B8" s="9">
        <v>0.20833333333333301</v>
      </c>
    </row>
    <row r="9" spans="2:9">
      <c r="B9" s="9">
        <v>0.22916666666666699</v>
      </c>
    </row>
    <row r="10" spans="2:9">
      <c r="B10" s="9">
        <v>0.25</v>
      </c>
    </row>
    <row r="11" spans="2:9">
      <c r="B11" s="9">
        <v>0.27083333333333398</v>
      </c>
    </row>
    <row r="12" spans="2:9">
      <c r="B12" s="9">
        <v>0.29166666666666702</v>
      </c>
    </row>
    <row r="13" spans="2:9">
      <c r="B13" s="9">
        <v>0.3125</v>
      </c>
    </row>
    <row r="14" spans="2:9">
      <c r="B14" s="9">
        <v>0.33333333333333398</v>
      </c>
    </row>
    <row r="15" spans="2:9">
      <c r="B15" s="9">
        <v>0.35416666666666702</v>
      </c>
    </row>
    <row r="16" spans="2:9">
      <c r="B16" s="9">
        <v>0.375</v>
      </c>
    </row>
    <row r="17" spans="2:2">
      <c r="B17" s="9">
        <v>0.39583333333333398</v>
      </c>
    </row>
    <row r="18" spans="2:2">
      <c r="B18" s="9">
        <v>0.41666666666666702</v>
      </c>
    </row>
    <row r="19" spans="2:2">
      <c r="B19" s="9">
        <v>0.4375</v>
      </c>
    </row>
    <row r="20" spans="2:2">
      <c r="B20" s="9">
        <v>0.45833333333333398</v>
      </c>
    </row>
    <row r="21" spans="2:2">
      <c r="B21" s="9">
        <v>0.47916666666666702</v>
      </c>
    </row>
    <row r="22" spans="2:2">
      <c r="B22" s="9">
        <v>0.5</v>
      </c>
    </row>
    <row r="23" spans="2:2">
      <c r="B23" s="9">
        <v>0.52083333333333404</v>
      </c>
    </row>
    <row r="24" spans="2:2">
      <c r="B24" s="9">
        <v>0.54166666666666696</v>
      </c>
    </row>
    <row r="25" spans="2:2">
      <c r="B25" s="9">
        <v>0.5625</v>
      </c>
    </row>
    <row r="26" spans="2:2">
      <c r="B26" s="9">
        <v>0.58333333333333404</v>
      </c>
    </row>
    <row r="27" spans="2:2">
      <c r="B27" s="9">
        <v>0.60416666666666696</v>
      </c>
    </row>
    <row r="28" spans="2:2">
      <c r="B28" s="9">
        <v>0.625000000000001</v>
      </c>
    </row>
    <row r="29" spans="2:2">
      <c r="B29" s="9">
        <v>0.64583333333333404</v>
      </c>
    </row>
    <row r="30" spans="2:2">
      <c r="B30" s="9">
        <v>0.66666666666666696</v>
      </c>
    </row>
    <row r="31" spans="2:2">
      <c r="B31" s="9">
        <v>0.687500000000001</v>
      </c>
    </row>
    <row r="32" spans="2:2">
      <c r="B32" s="9">
        <v>0.70833333333333404</v>
      </c>
    </row>
    <row r="33" spans="2:2">
      <c r="B33" s="9">
        <v>0.72916666666666696</v>
      </c>
    </row>
    <row r="34" spans="2:2">
      <c r="B34" s="9">
        <v>0.750000000000001</v>
      </c>
    </row>
    <row r="35" spans="2:2">
      <c r="B35" s="9">
        <v>0.77083333333333404</v>
      </c>
    </row>
    <row r="36" spans="2:2">
      <c r="B36" s="9">
        <v>0.79166666666666696</v>
      </c>
    </row>
    <row r="37" spans="2:2">
      <c r="B37" s="9">
        <v>0.812500000000001</v>
      </c>
    </row>
    <row r="38" spans="2:2">
      <c r="B38" s="9">
        <v>0.83333333333333404</v>
      </c>
    </row>
    <row r="39" spans="2:2">
      <c r="B39" s="9">
        <v>0.85416666666666696</v>
      </c>
    </row>
    <row r="40" spans="2:2">
      <c r="B40" s="9">
        <v>0.875000000000001</v>
      </c>
    </row>
    <row r="41" spans="2:2">
      <c r="B41" s="9">
        <v>0.89583333333333404</v>
      </c>
    </row>
    <row r="42" spans="2:2">
      <c r="B42" s="9">
        <v>0.91666666666666696</v>
      </c>
    </row>
    <row r="43" spans="2:2">
      <c r="B43" s="9">
        <v>0.937500000000001</v>
      </c>
    </row>
    <row r="44" spans="2:2">
      <c r="B44" s="9">
        <v>0.95833333333333404</v>
      </c>
    </row>
    <row r="45" spans="2:2">
      <c r="B45" s="9">
        <v>0.97916666666666696</v>
      </c>
    </row>
    <row r="46" spans="2:2">
      <c r="B46" s="9">
        <v>1</v>
      </c>
    </row>
    <row r="47" spans="2:2">
      <c r="B47" s="9">
        <v>1.0208333333333299</v>
      </c>
    </row>
    <row r="48" spans="2:2">
      <c r="B48" s="9">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COMMITTMENT</vt:lpstr>
      <vt:lpstr>Wochenplan Vorlage</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Melanie Vasileva</cp:lastModifiedBy>
  <dcterms:created xsi:type="dcterms:W3CDTF">2020-04-19T13:33:28Z</dcterms:created>
  <dcterms:modified xsi:type="dcterms:W3CDTF">2021-05-09T12:37:39Z</dcterms:modified>
</cp:coreProperties>
</file>