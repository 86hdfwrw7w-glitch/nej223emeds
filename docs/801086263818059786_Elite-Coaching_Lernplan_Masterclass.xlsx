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https://d.docs.live.net/ee2dfe04dc7b018d/Dateien/Studium/"/>
    </mc:Choice>
  </mc:AlternateContent>
  <xr:revisionPtr revIDLastSave="1225" documentId="8_{1DC224B7-D297-4069-9828-EC932332382B}" xr6:coauthVersionLast="46" xr6:coauthVersionMax="46" xr10:uidLastSave="{0E97C4C8-4BD5-4E10-98CD-D5CD8659958C}"/>
  <bookViews>
    <workbookView minimized="1" xWindow="0" yWindow="6075" windowWidth="28800" windowHeight="9195" activeTab="1" xr2:uid="{50F29292-BE80-0C47-A0D2-DD086CB3D310}"/>
  </bookViews>
  <sheets>
    <sheet name="Anleitung" sheetId="2" r:id="rId1"/>
    <sheet name="Semesterplan" sheetId="7" r:id="rId2"/>
    <sheet name="COMMITTMENT" sheetId="9" r:id="rId3"/>
    <sheet name="Wochenplan KW03" sheetId="3" r:id="rId4"/>
    <sheet name="Wochenplan KW 04"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2" i="7" l="1"/>
  <c r="AW27" i="7"/>
  <c r="AW18" i="7"/>
  <c r="BD27" i="7"/>
  <c r="I6" i="7"/>
  <c r="I77" i="7"/>
  <c r="G27" i="7"/>
  <c r="K24" i="7"/>
  <c r="J24" i="7"/>
  <c r="BZ65" i="7"/>
  <c r="BZ53" i="7"/>
  <c r="BZ39" i="7"/>
  <c r="BZ18" i="7"/>
  <c r="BZ4" i="7"/>
  <c r="I78" i="7"/>
  <c r="I24" i="7"/>
  <c r="BR65" i="7"/>
  <c r="BR53" i="7"/>
  <c r="BR39" i="7"/>
  <c r="BR18" i="7"/>
  <c r="BR4" i="7"/>
  <c r="BK65" i="7"/>
  <c r="BK53" i="7"/>
  <c r="BK39" i="7"/>
  <c r="BK27" i="7"/>
  <c r="BK18" i="7"/>
  <c r="BK4" i="7"/>
  <c r="K76" i="7"/>
  <c r="J76" i="7"/>
  <c r="I76" i="7"/>
  <c r="K75" i="7"/>
  <c r="J75" i="7"/>
  <c r="I75" i="7"/>
  <c r="K74" i="7"/>
  <c r="J74" i="7"/>
  <c r="I74" i="7"/>
  <c r="K73" i="7"/>
  <c r="J73" i="7"/>
  <c r="I73" i="7"/>
  <c r="K72" i="7"/>
  <c r="J72" i="7"/>
  <c r="I72" i="7"/>
  <c r="K71" i="7"/>
  <c r="J71" i="7"/>
  <c r="I71" i="7"/>
  <c r="K70" i="7"/>
  <c r="J70" i="7"/>
  <c r="I70" i="7"/>
  <c r="K69" i="7"/>
  <c r="J69" i="7"/>
  <c r="I69" i="7"/>
  <c r="K68" i="7"/>
  <c r="J68" i="7"/>
  <c r="I68" i="7"/>
  <c r="K67" i="7"/>
  <c r="J67" i="7"/>
  <c r="I67" i="7"/>
  <c r="K66" i="7"/>
  <c r="J66" i="7"/>
  <c r="I66" i="7"/>
  <c r="BD65" i="7"/>
  <c r="AW65" i="7"/>
  <c r="AP65" i="7"/>
  <c r="AI65" i="7"/>
  <c r="AB65" i="7"/>
  <c r="U65" i="7"/>
  <c r="N65" i="7"/>
  <c r="G65" i="7"/>
  <c r="K63" i="7"/>
  <c r="J63" i="7"/>
  <c r="I63" i="7"/>
  <c r="K62" i="7"/>
  <c r="J62" i="7"/>
  <c r="I62" i="7"/>
  <c r="K61" i="7"/>
  <c r="J61" i="7"/>
  <c r="I61" i="7"/>
  <c r="K60" i="7"/>
  <c r="J60" i="7"/>
  <c r="I60" i="7"/>
  <c r="K59" i="7"/>
  <c r="J59" i="7"/>
  <c r="I59" i="7"/>
  <c r="K58" i="7"/>
  <c r="J58" i="7"/>
  <c r="I58" i="7"/>
  <c r="K57" i="7"/>
  <c r="J57" i="7"/>
  <c r="I57" i="7"/>
  <c r="K56" i="7"/>
  <c r="J56" i="7"/>
  <c r="I56" i="7"/>
  <c r="K55" i="7"/>
  <c r="J55" i="7"/>
  <c r="I55" i="7"/>
  <c r="K54" i="7"/>
  <c r="J54" i="7"/>
  <c r="I54" i="7"/>
  <c r="BD53" i="7"/>
  <c r="AW53" i="7"/>
  <c r="AP53" i="7"/>
  <c r="AI53" i="7"/>
  <c r="AB53" i="7"/>
  <c r="U53" i="7"/>
  <c r="N53" i="7"/>
  <c r="G53" i="7"/>
  <c r="K51" i="7"/>
  <c r="J51" i="7"/>
  <c r="I51" i="7"/>
  <c r="K50" i="7"/>
  <c r="J50" i="7"/>
  <c r="I50" i="7"/>
  <c r="K49" i="7"/>
  <c r="J49" i="7"/>
  <c r="I49" i="7"/>
  <c r="K48" i="7"/>
  <c r="J48" i="7"/>
  <c r="I48" i="7"/>
  <c r="K47" i="7"/>
  <c r="J47" i="7"/>
  <c r="I47" i="7"/>
  <c r="K46" i="7"/>
  <c r="J46" i="7"/>
  <c r="I46" i="7"/>
  <c r="K45" i="7"/>
  <c r="J45" i="7"/>
  <c r="I45" i="7"/>
  <c r="K44" i="7"/>
  <c r="J44" i="7"/>
  <c r="I44" i="7"/>
  <c r="K43" i="7"/>
  <c r="J43" i="7"/>
  <c r="I43" i="7"/>
  <c r="K42" i="7"/>
  <c r="J42" i="7"/>
  <c r="I42" i="7"/>
  <c r="K41" i="7"/>
  <c r="J41" i="7"/>
  <c r="I41" i="7"/>
  <c r="K40" i="7"/>
  <c r="J40" i="7"/>
  <c r="I40" i="7"/>
  <c r="BD39" i="7"/>
  <c r="AW39" i="7"/>
  <c r="AP39" i="7"/>
  <c r="AI39" i="7"/>
  <c r="AB39" i="7"/>
  <c r="U39" i="7"/>
  <c r="N39" i="7"/>
  <c r="G39" i="7"/>
  <c r="AP18" i="7"/>
  <c r="AI18" i="7"/>
  <c r="AB18" i="7"/>
  <c r="U18" i="7"/>
  <c r="BD4" i="7"/>
  <c r="AW4" i="7"/>
  <c r="AP4" i="7"/>
  <c r="AI4" i="7"/>
  <c r="AB4" i="7"/>
  <c r="U4" i="7"/>
  <c r="N4" i="7"/>
  <c r="N18" i="7"/>
  <c r="G4" i="7"/>
  <c r="AP27" i="7"/>
  <c r="AI27" i="7"/>
  <c r="AB27" i="7"/>
  <c r="U27" i="7"/>
  <c r="I37" i="7"/>
  <c r="I36" i="7"/>
  <c r="I35" i="7"/>
  <c r="I34" i="7"/>
  <c r="I33" i="7"/>
  <c r="I32" i="7"/>
  <c r="I31" i="7"/>
  <c r="I30" i="7"/>
  <c r="I29" i="7"/>
  <c r="I28" i="7"/>
  <c r="I25" i="7"/>
  <c r="I23" i="7"/>
  <c r="I22" i="7"/>
  <c r="I21" i="7"/>
  <c r="I20" i="7"/>
  <c r="I19" i="7"/>
  <c r="I16" i="7"/>
  <c r="I7" i="7"/>
  <c r="I8" i="7"/>
  <c r="I9" i="7"/>
  <c r="I10" i="7"/>
  <c r="I11" i="7"/>
  <c r="I12" i="7"/>
  <c r="I13" i="7"/>
  <c r="I14" i="7"/>
  <c r="I15" i="7"/>
  <c r="I5" i="7"/>
  <c r="N27" i="7"/>
  <c r="K37" i="7"/>
  <c r="J37" i="7"/>
  <c r="K36" i="7"/>
  <c r="J36" i="7"/>
  <c r="K35" i="7"/>
  <c r="J35" i="7"/>
  <c r="K34" i="7"/>
  <c r="J34" i="7"/>
  <c r="K33" i="7"/>
  <c r="J33" i="7"/>
  <c r="K32" i="7"/>
  <c r="J32" i="7"/>
  <c r="K31" i="7"/>
  <c r="J31" i="7"/>
  <c r="K30" i="7"/>
  <c r="J30" i="7"/>
  <c r="K29" i="7"/>
  <c r="J29" i="7"/>
  <c r="K28" i="7"/>
  <c r="J28" i="7"/>
  <c r="J5" i="7"/>
  <c r="G18" i="7"/>
  <c r="K25" i="7"/>
  <c r="J25" i="7"/>
  <c r="K23" i="7"/>
  <c r="J23" i="7"/>
  <c r="K22" i="7"/>
  <c r="J22" i="7"/>
  <c r="K21" i="7"/>
  <c r="J21" i="7"/>
  <c r="K20" i="7"/>
  <c r="J20" i="7"/>
  <c r="K19" i="7"/>
  <c r="J19" i="7"/>
  <c r="K6" i="7"/>
  <c r="K7" i="7"/>
  <c r="K8" i="7"/>
  <c r="K9" i="7"/>
  <c r="K10" i="7"/>
  <c r="K11" i="7"/>
  <c r="K12" i="7"/>
  <c r="K13" i="7"/>
  <c r="K14" i="7"/>
  <c r="K15" i="7"/>
  <c r="K16" i="7"/>
  <c r="J6" i="7"/>
  <c r="J7" i="7"/>
  <c r="J8" i="7"/>
  <c r="J9" i="7"/>
  <c r="J10" i="7"/>
  <c r="J11" i="7"/>
  <c r="J13" i="7"/>
  <c r="J14" i="7"/>
  <c r="J15" i="7"/>
  <c r="J16" i="7"/>
  <c r="K5" i="7"/>
  <c r="I53" i="7" l="1"/>
  <c r="K53" i="7"/>
  <c r="K65" i="7"/>
  <c r="K39" i="7"/>
  <c r="J53" i="7"/>
  <c r="I39" i="7"/>
  <c r="I65" i="7"/>
  <c r="J39" i="7"/>
  <c r="J65" i="7"/>
  <c r="I27" i="7"/>
  <c r="J27" i="7"/>
  <c r="K27" i="7"/>
  <c r="I18" i="7"/>
  <c r="J18" i="7"/>
  <c r="K18" i="7"/>
  <c r="K4" i="7"/>
  <c r="I4" i="7" l="1"/>
  <c r="J4" i="7"/>
</calcChain>
</file>

<file path=xl/sharedStrings.xml><?xml version="1.0" encoding="utf-8"?>
<sst xmlns="http://schemas.openxmlformats.org/spreadsheetml/2006/main" count="345" uniqueCount="141">
  <si>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</si>
  <si>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</si>
  <si>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</si>
  <si>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</si>
  <si>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</si>
  <si>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</si>
  <si>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</si>
  <si>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</si>
  <si>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</si>
  <si>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</si>
  <si>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</si>
  <si>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</si>
  <si>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</si>
  <si>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</si>
  <si>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</si>
  <si>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</si>
  <si>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</si>
  <si>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</si>
  <si>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</si>
  <si>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</si>
  <si>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</si>
  <si>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</si>
  <si>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</si>
  <si>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</si>
  <si>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</si>
  <si>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</si>
  <si>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</si>
  <si>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</si>
  <si>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</si>
  <si>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</si>
  <si>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</si>
  <si>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</si>
  <si>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</si>
  <si>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</si>
  <si>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</si>
  <si>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</si>
  <si>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</si>
  <si>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</si>
  <si>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</si>
  <si>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</si>
  <si>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</si>
  <si>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</si>
  <si>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</si>
  <si>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</si>
  <si>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</si>
  <si>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</si>
  <si>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</si>
  <si>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</si>
  <si>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</si>
  <si>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Bilanzierung I</t>
  </si>
  <si>
    <t>Kostenrechnung</t>
  </si>
  <si>
    <t>Mikroökonomik I</t>
  </si>
  <si>
    <t>Mathematik I</t>
  </si>
  <si>
    <t>it@bwl</t>
  </si>
  <si>
    <t>Einführung WiWi</t>
  </si>
  <si>
    <t>1) Grundlagen Rechnungswesen</t>
  </si>
  <si>
    <t>2) Rechtliche Grundlagen</t>
  </si>
  <si>
    <t>3) Vom Inventar zur Bilanz</t>
  </si>
  <si>
    <t>4) Erfassung der Güter- und Finanzbewegungen</t>
  </si>
  <si>
    <t>5) Eröffnung- und Schlussbilanz</t>
  </si>
  <si>
    <t>6) Organisation der Bücher</t>
  </si>
  <si>
    <t>7) Sachverhalte im Warenwirtschaflichen Bereich</t>
  </si>
  <si>
    <t>8) Sachverhalte im Personalwirtschaflichen Bereich</t>
  </si>
  <si>
    <t>9) Sachverhalte im Produktionswirtschaftlichen Bereich</t>
  </si>
  <si>
    <t>10) Sachverhalte im anlagenwirtschaftlichen Bereich</t>
  </si>
  <si>
    <t>11) Sachverhalte im finanzwirtschaftlichen Bereich</t>
  </si>
  <si>
    <t>12) Vorbereitung des Jahresabschlusses</t>
  </si>
  <si>
    <t>1) Einordung in den Controlling-Kontext</t>
  </si>
  <si>
    <t>2) Strukturierung von Kosten</t>
  </si>
  <si>
    <t>3) Kostenartenrechnung</t>
  </si>
  <si>
    <t>4) Kostenstellenrechnung</t>
  </si>
  <si>
    <t>5) Kostenträgerrechnung</t>
  </si>
  <si>
    <t>6) Erlösrechnung</t>
  </si>
  <si>
    <t>7) Erfolgsrechnung</t>
  </si>
  <si>
    <t>1) HT: Budgetbeschränkung</t>
  </si>
  <si>
    <t>2) HT: Präferenzen und Nutzenfunktion</t>
  </si>
  <si>
    <t>3) HT: Nutzenmaximierung individuelle Nachfrage</t>
  </si>
  <si>
    <t>4) HT: Einkommens- und Substitutionseffekt</t>
  </si>
  <si>
    <t>5) HT: Aggregierte Marktnachfrage</t>
  </si>
  <si>
    <t>6) UT: Technologie u. Produktionsfunktion</t>
  </si>
  <si>
    <t>7) UT: Gewinnmaximierung</t>
  </si>
  <si>
    <t>8) UT: Kostenminimierung</t>
  </si>
  <si>
    <t>9) UT: Durchschnitts- und Grenzkosten</t>
  </si>
  <si>
    <t>10) UT: Individuelles Angebot u. Marktangebot</t>
  </si>
  <si>
    <t>4) Aussagen u. ihre Verknüpfungen</t>
  </si>
  <si>
    <t>5) Mathematische Beweisführung</t>
  </si>
  <si>
    <t>6) Mengen und ihre Operatoren</t>
  </si>
  <si>
    <t>7.1) Binäre Relationen I</t>
  </si>
  <si>
    <t>7.2) Binäre Relationen II</t>
  </si>
  <si>
    <t>8) Folgen und Reihen</t>
  </si>
  <si>
    <t>9) Reele Funktionen einer Variablen</t>
  </si>
  <si>
    <t>10) Grenzwert u. Stetigkeit</t>
  </si>
  <si>
    <t>11) Differentiation von Funktionen einer Variablen</t>
  </si>
  <si>
    <t>12) Kurvendiskussion</t>
  </si>
  <si>
    <t>13.1) Integration I</t>
  </si>
  <si>
    <t>13.2) Integration II</t>
  </si>
  <si>
    <t>2) Erstes Programm</t>
  </si>
  <si>
    <t>3) ökonomische Prinzipien u. Investitionsentscheidungen</t>
  </si>
  <si>
    <t>4) Datentypen u. Operatoren</t>
  </si>
  <si>
    <t>5) Methoden</t>
  </si>
  <si>
    <t>6) Verzweigungen</t>
  </si>
  <si>
    <t>7) Schleifen</t>
  </si>
  <si>
    <t>8) Arrays</t>
  </si>
  <si>
    <t>9) Intervallschachtelung</t>
  </si>
  <si>
    <t>10) Rekursion</t>
  </si>
  <si>
    <t>11) Sortieralgorithmen</t>
  </si>
  <si>
    <t>1) Grundlagen des Wirtschaftens</t>
  </si>
  <si>
    <t>2) Wirtschaftsordnung</t>
  </si>
  <si>
    <t>3) Unternehmensziele</t>
  </si>
  <si>
    <t>4) Einschätzen der Erfolgschancen</t>
  </si>
  <si>
    <t>5 Kostenarten</t>
  </si>
  <si>
    <t>6) Kosten u. optimaler Verkaufspreis</t>
  </si>
  <si>
    <t>7) Investitionsrechnung</t>
  </si>
  <si>
    <t>8) Beschaffungsarten</t>
  </si>
  <si>
    <t>9) optimale Bestellmenge</t>
  </si>
  <si>
    <t>10) Finanzierung</t>
  </si>
  <si>
    <t>KW 03</t>
  </si>
  <si>
    <t>KW 04</t>
  </si>
  <si>
    <t>KW 05</t>
  </si>
  <si>
    <t>KW 06</t>
  </si>
  <si>
    <t>KW 07</t>
  </si>
  <si>
    <t>KW 08</t>
  </si>
  <si>
    <t>KW 09</t>
  </si>
  <si>
    <t>KW 10</t>
  </si>
  <si>
    <t>KW 11</t>
  </si>
  <si>
    <t>"+2 Tage"</t>
  </si>
  <si>
    <t>"+ 0 Tage"</t>
  </si>
  <si>
    <t>"+0 Tage"</t>
  </si>
  <si>
    <t>"+ 3 Tage"</t>
  </si>
  <si>
    <t>"+ 2 Tage"</t>
  </si>
  <si>
    <t>11) Organisation u. Personal</t>
  </si>
  <si>
    <t>12) Marketing</t>
  </si>
  <si>
    <t>13) Rechnungswesen</t>
  </si>
  <si>
    <t>beziehen sich</t>
  </si>
  <si>
    <t>auf</t>
  </si>
  <si>
    <t xml:space="preserve"> 6 Stunden</t>
  </si>
  <si>
    <t>Vorwoche</t>
  </si>
  <si>
    <t>3 Stunden</t>
  </si>
  <si>
    <t>auf Vorwoche</t>
  </si>
  <si>
    <t>Wochenplan KW 03</t>
  </si>
  <si>
    <t>KW 02 Status Quo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</si>
</sst>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rgb="FFFF0000"/>
      <name val="Calibri"/>
      <family val="2"/>
      <scheme val="minor"/>
    </font>
  </fonts>
  <fills count="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1"/>
        <bgColor indexed="64"/>
      </patternFill>
    </fill>
  </fills>
  <borders count="4">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32">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4" fontId="0" fillId="0" borderId="0" xfId="0" applyNumberFormat="1"/>
    <xf numFmtId="0" fontId="0" fillId="0" borderId="1" xfId="0" applyBorder="1"/>
    <xf numFmtId="0" fontId="5" fillId="0" borderId="0" xfId="0" applyFont="1"/>
    <xf numFmtId="0" fontId="0" fillId="0" borderId="2" xfId="0" applyBorder="1"/>
    <xf numFmtId="0" fontId="0" fillId="0" borderId="2" xfId="0" applyFill="1" applyBorder="1"/>
    <xf numFmtId="0" fontId="0" fillId="0" borderId="3" xfId="0" applyBorder="1"/>
    <xf numFmtId="0" fontId="5" fillId="0" borderId="2" xfId="0" applyFont="1" applyBorder="1"/>
    <xf numFmtId="0" fontId="0" fillId="4" borderId="0" xfId="0" applyFill="1"/>
    <xf numFmtId="0" fontId="0" fillId="4" borderId="2" xfId="0" applyFill="1" applyBorder="1"/>
    <xf numFmtId="0" fontId="0" fillId="4" borderId="1" xfId="0" applyFill="1" applyBorder="1"/>
    <xf numFmtId="0" fontId="0" fillId="4" borderId="3" xfId="0" applyFill="1" applyBorder="1"/>
    <xf numFmtId="0" fontId="0" fillId="0" borderId="0" xfId="0" applyFill="1" applyBorder="1"/>
    <xf numFmtId="0" fontId="1" fillId="2" borderId="0" xfId="0" applyFont="1" applyFill="1" applyAlignment="1">
      <alignment horizontal="center"/>
    </xf>
    <xf numFmtId="0" fontId="4" fillId="0" borderId="0" xfId="0" applyFont="1" applyAlignment="1">
      <alignment horizontal="center"/>
    </xf>
  </cellXfs>
  <cellStyles count="1">
    <cellStyle name="Standard" xfId="0" builtinId="0"/>
  </cellStyles>
  <dxfs count="177">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6">
  <autoFilter ref="A1:K46" xr:uid="{6E266E34-2786-2747-BCE7-51B74867A564}"/>
  <tableColumns count="11">
    <tableColumn id="1" xr3:uid="{95FD92F7-3DC8-704D-A103-A7EDDAB255AB}" name="Datum" dataDxfId="5"/>
    <tableColumn id="2" xr3:uid="{F464D510-8166-E740-A343-FB84BDEF877F}" name="Lerneinheiten durchgezogen" dataDxfId="4"/>
    <tableColumn id="3" xr3:uid="{75F52B08-1A00-0848-BBE6-1EDF7B31B1AD}" name="Tagesplan erstellt" dataDxfId="3"/>
    <tableColumn id="4" xr3:uid="{E6B18D89-E799-AD48-9DAA-37AEE1D29011}" name="Konzentrationslevel" dataDxfId="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13" sqref="B13"/>
    </sheetView>
  </sheetViews>
  <sheetFormatPr baseColWidth="10" defaultColWidth="10.625" defaultRowHeight="15.75"/>
  <cols>
    <col min="2" max="2" width="161" customWidth="1"/>
    <col min="3" max="3" width="10.875" style="2"/>
  </cols>
  <sheetData>
    <row r="4" spans="2:2" ht="21">
      <c r="B4" s="4" t="s">
        <v>16</v>
      </c>
    </row>
    <row r="6" spans="2:2">
      <c r="B6" s="3" t="s">
        <v>13</v>
      </c>
    </row>
    <row r="7" spans="2:2" ht="47.25">
      <c r="B7" s="1" t="s">
        <v>14</v>
      </c>
    </row>
    <row r="9" spans="2:2">
      <c r="B9" s="3" t="s">
        <v>15</v>
      </c>
    </row>
    <row r="10" spans="2:2" ht="63">
      <c r="B10" s="1" t="s">
        <v>35</v>
      </c>
    </row>
    <row r="12" spans="2:2">
      <c r="B12" s="3" t="s">
        <v>17</v>
      </c>
    </row>
    <row r="13" spans="2:2" ht="126">
      <c r="B13" s="1" t="s">
        <v>18</v>
      </c>
    </row>
    <row r="15" spans="2:2">
      <c r="B15" s="3" t="s">
        <v>19</v>
      </c>
    </row>
    <row r="16" spans="2:2" ht="110.25">
      <c r="B16" s="1" t="s">
        <v>20</v>
      </c>
    </row>
    <row r="17" spans="2:2">
      <c r="B17" s="1"/>
    </row>
    <row r="18" spans="2:2">
      <c r="B18" s="3" t="s">
        <v>34</v>
      </c>
    </row>
    <row r="19" spans="2:2" ht="141.75">
      <c r="B19" s="1" t="s">
        <v>36</v>
      </c>
    </row>
    <row r="21" spans="2:2">
      <c r="B21" s="3" t="s">
        <v>21</v>
      </c>
    </row>
    <row r="22" spans="2:2" ht="110.25">
      <c r="B22" s="1" t="s">
        <v>37</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CF78"/>
  <sheetViews>
    <sheetView showGridLines="0" tabSelected="1" zoomScale="85" zoomScaleNormal="85" workbookViewId="0">
      <pane xSplit="12" topLeftCell="M1" activePane="topRight" state="frozen"/>
      <selection pane="topRight"/>
    </sheetView>
  </sheetViews>
  <sheetFormatPr baseColWidth="10" defaultColWidth="8.875" defaultRowHeight="15.75" outlineLevelRow="1"/>
  <cols>
    <col min="3" max="3" width="14.875" bestFit="1" customWidth="1"/>
    <col min="4" max="4" width="13" bestFit="1" customWidth="1"/>
    <col min="5" max="5" width="4.875" bestFit="1" customWidth="1"/>
    <col min="6" max="6" width="46.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style="19" customWidth="1"/>
    <col min="22" max="22" width="12.5" bestFit="1" customWidth="1"/>
    <col min="23" max="23" width="6.375" customWidth="1"/>
    <col min="24" max="24" width="14.875" bestFit="1" customWidth="1"/>
    <col min="25" max="25" width="6" customWidth="1"/>
    <col min="26" max="26" width="12.625" bestFit="1" customWidth="1"/>
    <col min="27" max="27" width="2.5" style="19" customWidth="1"/>
    <col min="29" max="29" width="12.5" bestFit="1" customWidth="1"/>
    <col min="30" max="30" width="6.375" customWidth="1"/>
    <col min="31" max="31" width="14.875" bestFit="1" customWidth="1"/>
    <col min="32" max="32" width="6" customWidth="1"/>
    <col min="33" max="33" width="12.625" bestFit="1" customWidth="1"/>
    <col min="34" max="34" width="2.5" style="19" customWidth="1"/>
    <col min="36" max="36" width="12.5" bestFit="1" customWidth="1"/>
    <col min="37" max="37" width="6.375" customWidth="1"/>
    <col min="38" max="38" width="14.875" bestFit="1" customWidth="1"/>
    <col min="39" max="39" width="6" customWidth="1"/>
    <col min="40" max="40" width="12.625" bestFit="1" customWidth="1"/>
    <col min="41" max="41" width="2.5" style="19" customWidth="1"/>
    <col min="43" max="43" width="12.5" bestFit="1" customWidth="1"/>
    <col min="44" max="44" width="6.375" customWidth="1"/>
    <col min="45" max="45" width="14.875" bestFit="1" customWidth="1"/>
    <col min="46" max="46" width="6" customWidth="1"/>
    <col min="47" max="47" width="12.625" bestFit="1" customWidth="1"/>
    <col min="48" max="48" width="2.5" style="19" customWidth="1"/>
    <col min="50" max="50" width="12.5" bestFit="1" customWidth="1"/>
    <col min="51" max="51" width="6.375" customWidth="1"/>
    <col min="52" max="52" width="14.875" bestFit="1" customWidth="1"/>
    <col min="53" max="53" width="6" customWidth="1"/>
    <col min="54" max="54" width="12.625" bestFit="1" customWidth="1"/>
    <col min="55" max="55" width="2.5" style="19" customWidth="1"/>
    <col min="57" max="57" width="12.5" bestFit="1" customWidth="1"/>
    <col min="58" max="58" width="6.375" customWidth="1"/>
    <col min="59" max="59" width="14.875" bestFit="1" customWidth="1"/>
    <col min="60" max="60" width="6" customWidth="1"/>
    <col min="61" max="61" width="12.625" bestFit="1" customWidth="1"/>
    <col min="62" max="62" width="2.5" style="19" customWidth="1"/>
    <col min="64" max="64" width="12.5" bestFit="1" customWidth="1"/>
    <col min="65" max="65" width="6.375" customWidth="1"/>
    <col min="66" max="66" width="14.875" bestFit="1" customWidth="1"/>
    <col min="67" max="67" width="6" customWidth="1"/>
    <col min="68" max="68" width="12.625" bestFit="1" customWidth="1"/>
    <col min="69" max="69" width="2.5" style="19" customWidth="1"/>
    <col min="71" max="71" width="12.5" bestFit="1" customWidth="1"/>
    <col min="72" max="72" width="6.375" customWidth="1"/>
    <col min="73" max="73" width="14.875" bestFit="1" customWidth="1"/>
    <col min="74" max="74" width="6" customWidth="1"/>
    <col min="75" max="75" width="12.625" bestFit="1" customWidth="1"/>
    <col min="76" max="76" width="2.5" customWidth="1"/>
    <col min="77" max="77" width="2.5" style="19" customWidth="1"/>
    <col min="79" max="79" width="12.5" bestFit="1" customWidth="1"/>
    <col min="80" max="80" width="6.375" customWidth="1"/>
    <col min="81" max="81" width="14.875" bestFit="1" customWidth="1"/>
    <col min="82" max="82" width="6" customWidth="1"/>
    <col min="83" max="83" width="12.625" bestFit="1" customWidth="1"/>
    <col min="84" max="84" width="4.125" customWidth="1"/>
  </cols>
  <sheetData>
    <row r="1" spans="2:83" ht="33.75">
      <c r="B1" s="5" t="s">
        <v>0</v>
      </c>
      <c r="D1" s="5"/>
      <c r="G1" s="14" t="s">
        <v>33</v>
      </c>
      <c r="I1" s="14" t="s">
        <v>33</v>
      </c>
      <c r="J1" s="14" t="s">
        <v>33</v>
      </c>
      <c r="K1" s="14" t="s">
        <v>33</v>
      </c>
    </row>
    <row r="2" spans="2:83">
      <c r="I2" s="30" t="s">
        <v>27</v>
      </c>
      <c r="J2" s="30"/>
      <c r="K2" s="30"/>
      <c r="L2" s="30"/>
      <c r="N2" s="30" t="s">
        <v>140</v>
      </c>
      <c r="O2" s="30"/>
      <c r="P2" s="30"/>
      <c r="Q2" s="30"/>
      <c r="R2" s="30"/>
      <c r="S2" s="30"/>
      <c r="U2" s="30" t="s">
        <v>116</v>
      </c>
      <c r="V2" s="30"/>
      <c r="W2" s="30"/>
      <c r="X2" s="30"/>
      <c r="Y2" s="30"/>
      <c r="Z2" s="30"/>
      <c r="AB2" s="30" t="s">
        <v>117</v>
      </c>
      <c r="AC2" s="30"/>
      <c r="AD2" s="30"/>
      <c r="AE2" s="30"/>
      <c r="AF2" s="30"/>
      <c r="AG2" s="30"/>
      <c r="AI2" s="30" t="s">
        <v>118</v>
      </c>
      <c r="AJ2" s="30"/>
      <c r="AK2" s="30"/>
      <c r="AL2" s="30"/>
      <c r="AM2" s="30"/>
      <c r="AN2" s="30"/>
      <c r="AP2" s="30" t="s">
        <v>119</v>
      </c>
      <c r="AQ2" s="30"/>
      <c r="AR2" s="30"/>
      <c r="AS2" s="30"/>
      <c r="AT2" s="30"/>
      <c r="AU2" s="30"/>
      <c r="AW2" s="30" t="s">
        <v>120</v>
      </c>
      <c r="AX2" s="30"/>
      <c r="AY2" s="30"/>
      <c r="AZ2" s="30"/>
      <c r="BA2" s="30"/>
      <c r="BB2" s="30"/>
      <c r="BD2" s="30" t="s">
        <v>121</v>
      </c>
      <c r="BE2" s="30"/>
      <c r="BF2" s="30"/>
      <c r="BG2" s="30"/>
      <c r="BH2" s="30"/>
      <c r="BI2" s="30"/>
      <c r="BK2" s="30" t="s">
        <v>122</v>
      </c>
      <c r="BL2" s="30"/>
      <c r="BM2" s="30"/>
      <c r="BN2" s="30"/>
      <c r="BO2" s="30"/>
      <c r="BP2" s="30"/>
      <c r="BR2" s="30" t="s">
        <v>123</v>
      </c>
      <c r="BS2" s="30"/>
      <c r="BT2" s="30"/>
      <c r="BU2" s="30"/>
      <c r="BV2" s="30"/>
      <c r="BW2" s="30"/>
      <c r="BZ2" s="30" t="s">
        <v>124</v>
      </c>
      <c r="CA2" s="30"/>
      <c r="CB2" s="30"/>
      <c r="CC2" s="30"/>
      <c r="CD2" s="30"/>
      <c r="CE2" s="30"/>
    </row>
    <row r="3" spans="2:83">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Z3" s="6" t="s">
        <v>11</v>
      </c>
      <c r="CA3" s="6" t="s">
        <v>2</v>
      </c>
      <c r="CB3" s="6" t="s">
        <v>32</v>
      </c>
      <c r="CC3" s="6" t="s">
        <v>3</v>
      </c>
      <c r="CD3" s="6" t="s">
        <v>32</v>
      </c>
      <c r="CE3" s="6" t="s">
        <v>12</v>
      </c>
    </row>
    <row r="4" spans="2:83">
      <c r="B4" t="s">
        <v>27</v>
      </c>
      <c r="C4" t="s">
        <v>49</v>
      </c>
      <c r="D4" s="18">
        <v>44251</v>
      </c>
      <c r="E4" s="10">
        <v>5</v>
      </c>
      <c r="G4" s="11">
        <f>+SUM(G5:G16)</f>
        <v>1</v>
      </c>
      <c r="I4" s="13">
        <f>+SUM(I5:I16)</f>
        <v>44</v>
      </c>
      <c r="J4" s="12">
        <f>+SUMPRODUCT(G5:G16,J5:J16)</f>
        <v>0.56000000000000005</v>
      </c>
      <c r="K4" s="12">
        <f>+SUMPRODUCT(G5:G16,K5:K16)</f>
        <v>0.56000000000000005</v>
      </c>
      <c r="L4" s="10"/>
      <c r="N4" s="13">
        <f>+SUM(N5:N16)</f>
        <v>0</v>
      </c>
      <c r="U4" s="13">
        <f>+SUM(U5:U16)</f>
        <v>8</v>
      </c>
      <c r="AB4" s="13">
        <f>+SUM(AB5:AB16)</f>
        <v>8</v>
      </c>
      <c r="AI4" s="13">
        <f>+SUM(AI5:AI16)</f>
        <v>8</v>
      </c>
      <c r="AP4" s="13">
        <f>+SUM(AP5:AP16)</f>
        <v>14</v>
      </c>
      <c r="AU4" t="s">
        <v>129</v>
      </c>
      <c r="AW4" s="13">
        <f>+SUM(AW5:AW16)</f>
        <v>6</v>
      </c>
      <c r="BB4" t="s">
        <v>135</v>
      </c>
      <c r="BD4" s="13">
        <f>+SUM(BD5:BD16)</f>
        <v>0</v>
      </c>
      <c r="BJ4" s="27"/>
      <c r="BK4" s="13">
        <f>+SUM(BK5:BK16)</f>
        <v>0</v>
      </c>
      <c r="BR4" s="13">
        <f>+SUM(BR5:BR16)</f>
        <v>0</v>
      </c>
      <c r="BX4" s="20"/>
      <c r="BZ4" s="13">
        <f>+SUM(BZ5:BZ16)</f>
        <v>0</v>
      </c>
    </row>
    <row r="5" spans="2:83" outlineLevel="1">
      <c r="B5" t="s">
        <v>28</v>
      </c>
      <c r="C5" t="s">
        <v>49</v>
      </c>
      <c r="E5" s="10"/>
      <c r="F5" t="s">
        <v>55</v>
      </c>
      <c r="G5" s="11">
        <v>0.1</v>
      </c>
      <c r="I5" s="10">
        <f>+SUMIF($N$3:$ZZ$3,I$3,$N5:$ZZ5)</f>
        <v>2</v>
      </c>
      <c r="J5" s="12">
        <f t="shared" ref="J5:K16" si="0">+_xlfn.MAXIFS($N5:$ZF5,$N$3:$ZF$3,J$3)</f>
        <v>0.8</v>
      </c>
      <c r="K5" s="12">
        <f t="shared" si="0"/>
        <v>0.8</v>
      </c>
      <c r="L5" s="10"/>
      <c r="O5" s="11">
        <v>0.8</v>
      </c>
      <c r="P5" s="11"/>
      <c r="Q5" s="11">
        <v>0.8</v>
      </c>
      <c r="R5" s="11"/>
      <c r="U5">
        <v>2</v>
      </c>
      <c r="V5" s="11"/>
      <c r="W5" s="11">
        <v>1</v>
      </c>
      <c r="X5" s="11"/>
      <c r="Y5" s="11">
        <v>1</v>
      </c>
      <c r="AB5">
        <v>0</v>
      </c>
      <c r="AC5" s="11"/>
      <c r="AD5" s="11"/>
      <c r="AE5" s="11"/>
      <c r="AF5" s="11"/>
      <c r="AI5">
        <v>0</v>
      </c>
      <c r="AJ5" s="11"/>
      <c r="AK5" s="11"/>
      <c r="AL5" s="11"/>
      <c r="AM5" s="11"/>
      <c r="AP5">
        <v>0</v>
      </c>
      <c r="AQ5" s="11"/>
      <c r="AR5" s="11">
        <v>1</v>
      </c>
      <c r="AS5" s="11"/>
      <c r="AT5" s="11">
        <v>1</v>
      </c>
      <c r="AX5" s="11"/>
      <c r="AY5" s="11"/>
      <c r="AZ5" s="11"/>
      <c r="BA5" s="11"/>
      <c r="BB5" t="s">
        <v>133</v>
      </c>
      <c r="BE5" s="11"/>
      <c r="BF5" s="11"/>
      <c r="BG5" s="11"/>
      <c r="BH5" s="11"/>
      <c r="BJ5" s="27"/>
      <c r="BL5" s="11"/>
      <c r="BM5" s="11"/>
      <c r="BN5" s="11"/>
      <c r="BO5" s="11"/>
      <c r="BS5" s="11"/>
      <c r="BT5" s="11"/>
      <c r="BU5" s="11"/>
      <c r="BV5" s="11"/>
      <c r="BX5" s="20"/>
      <c r="CA5" s="11"/>
      <c r="CB5" s="11"/>
      <c r="CC5" s="11"/>
      <c r="CD5" s="11"/>
    </row>
    <row r="6" spans="2:83" outlineLevel="1">
      <c r="B6" t="s">
        <v>28</v>
      </c>
      <c r="C6" t="s">
        <v>49</v>
      </c>
      <c r="E6" s="10"/>
      <c r="F6" t="s">
        <v>56</v>
      </c>
      <c r="G6" s="11">
        <v>0.1</v>
      </c>
      <c r="I6" s="10">
        <f t="shared" ref="I6:I15" si="1">+SUMIF($N$3:$ZZ$3,I$3,$N6:$ZZ6)</f>
        <v>8</v>
      </c>
      <c r="J6" s="12">
        <f t="shared" si="0"/>
        <v>0.8</v>
      </c>
      <c r="K6" s="12">
        <f t="shared" si="0"/>
        <v>0.8</v>
      </c>
      <c r="L6" s="10"/>
      <c r="O6" s="11">
        <v>0.8</v>
      </c>
      <c r="P6" s="11"/>
      <c r="Q6" s="11">
        <v>0.8</v>
      </c>
      <c r="R6" s="11"/>
      <c r="U6">
        <v>2</v>
      </c>
      <c r="V6" s="11"/>
      <c r="W6" s="11">
        <v>1</v>
      </c>
      <c r="X6" s="11"/>
      <c r="Y6" s="11">
        <v>1</v>
      </c>
      <c r="AC6" s="11"/>
      <c r="AD6" s="11"/>
      <c r="AE6" s="11"/>
      <c r="AF6" s="11"/>
      <c r="AJ6" s="11"/>
      <c r="AK6" s="11"/>
      <c r="AL6" s="11"/>
      <c r="AM6" s="11"/>
      <c r="AQ6" s="11"/>
      <c r="AR6" s="11">
        <v>1</v>
      </c>
      <c r="AS6" s="11"/>
      <c r="AT6" s="11">
        <v>1</v>
      </c>
      <c r="AW6">
        <v>6</v>
      </c>
      <c r="AX6" s="11"/>
      <c r="AY6" s="11"/>
      <c r="AZ6" s="11"/>
      <c r="BA6" s="11"/>
      <c r="BB6" t="s">
        <v>134</v>
      </c>
      <c r="BE6" s="11"/>
      <c r="BF6" s="11"/>
      <c r="BG6" s="11"/>
      <c r="BH6" s="11"/>
      <c r="BJ6" s="27"/>
      <c r="BL6" s="11"/>
      <c r="BM6" s="11"/>
      <c r="BN6" s="11"/>
      <c r="BO6" s="11"/>
      <c r="BS6" s="11"/>
      <c r="BT6" s="11"/>
      <c r="BU6" s="11"/>
      <c r="BV6" s="11"/>
      <c r="BX6" s="20"/>
      <c r="CA6" s="11"/>
      <c r="CB6" s="11"/>
      <c r="CC6" s="11"/>
      <c r="CD6" s="11"/>
    </row>
    <row r="7" spans="2:83" outlineLevel="1">
      <c r="B7" t="s">
        <v>28</v>
      </c>
      <c r="C7" t="s">
        <v>49</v>
      </c>
      <c r="E7" s="10"/>
      <c r="F7" t="s">
        <v>57</v>
      </c>
      <c r="G7" s="11">
        <v>0.1</v>
      </c>
      <c r="I7" s="10">
        <f t="shared" si="1"/>
        <v>2</v>
      </c>
      <c r="J7" s="12">
        <f t="shared" si="0"/>
        <v>0.8</v>
      </c>
      <c r="K7" s="12">
        <f t="shared" si="0"/>
        <v>0.8</v>
      </c>
      <c r="L7" s="10"/>
      <c r="O7" s="11">
        <v>0.8</v>
      </c>
      <c r="P7" s="11"/>
      <c r="Q7" s="11">
        <v>0.8</v>
      </c>
      <c r="R7" s="11"/>
      <c r="V7" s="11"/>
      <c r="W7" s="11"/>
      <c r="X7" s="11"/>
      <c r="Y7" s="11"/>
      <c r="AB7">
        <v>2</v>
      </c>
      <c r="AC7" s="11"/>
      <c r="AD7" s="11">
        <v>1</v>
      </c>
      <c r="AE7" s="11"/>
      <c r="AF7" s="11">
        <v>1</v>
      </c>
      <c r="AJ7" s="11"/>
      <c r="AK7" s="11"/>
      <c r="AL7" s="11"/>
      <c r="AM7" s="11"/>
      <c r="AQ7" s="11"/>
      <c r="AR7" s="11">
        <v>1</v>
      </c>
      <c r="AS7" s="11"/>
      <c r="AT7" s="11">
        <v>1</v>
      </c>
      <c r="AX7" s="11"/>
      <c r="AY7" s="11"/>
      <c r="AZ7" s="11"/>
      <c r="BA7" s="11"/>
      <c r="BB7" t="s">
        <v>136</v>
      </c>
      <c r="BE7" s="11"/>
      <c r="BF7" s="11"/>
      <c r="BG7" s="11"/>
      <c r="BH7" s="11"/>
      <c r="BJ7" s="27"/>
      <c r="BL7" s="11"/>
      <c r="BM7" s="11"/>
      <c r="BN7" s="11"/>
      <c r="BO7" s="11"/>
      <c r="BS7" s="11"/>
      <c r="BT7" s="11"/>
      <c r="BU7" s="11"/>
      <c r="BV7" s="11"/>
      <c r="BX7" s="20"/>
      <c r="CA7" s="11"/>
      <c r="CB7" s="11"/>
      <c r="CC7" s="11"/>
      <c r="CD7" s="11"/>
    </row>
    <row r="8" spans="2:83" outlineLevel="1">
      <c r="B8" t="s">
        <v>28</v>
      </c>
      <c r="C8" t="s">
        <v>49</v>
      </c>
      <c r="E8" s="10"/>
      <c r="F8" t="s">
        <v>58</v>
      </c>
      <c r="G8" s="11">
        <v>0.1</v>
      </c>
      <c r="I8" s="10">
        <f t="shared" si="1"/>
        <v>2</v>
      </c>
      <c r="J8" s="12">
        <f t="shared" si="0"/>
        <v>0.8</v>
      </c>
      <c r="K8" s="12">
        <f t="shared" si="0"/>
        <v>0.8</v>
      </c>
      <c r="L8" s="10"/>
      <c r="O8" s="11">
        <v>0.8</v>
      </c>
      <c r="P8" s="11"/>
      <c r="Q8" s="11">
        <v>0.8</v>
      </c>
      <c r="R8" s="11"/>
      <c r="V8" s="11"/>
      <c r="W8" s="11"/>
      <c r="X8" s="11"/>
      <c r="Y8" s="11"/>
      <c r="AC8" s="11"/>
      <c r="AD8" s="11"/>
      <c r="AE8" s="11"/>
      <c r="AF8" s="11"/>
      <c r="AI8">
        <v>2</v>
      </c>
      <c r="AJ8" s="11"/>
      <c r="AK8" s="11">
        <v>1</v>
      </c>
      <c r="AL8" s="11"/>
      <c r="AM8" s="11">
        <v>1</v>
      </c>
      <c r="AQ8" s="11"/>
      <c r="AR8" s="11">
        <v>1</v>
      </c>
      <c r="AS8" s="11"/>
      <c r="AT8" s="11">
        <v>1</v>
      </c>
      <c r="AX8" s="11"/>
      <c r="AY8" s="11"/>
      <c r="AZ8" s="11"/>
      <c r="BA8" s="11"/>
      <c r="BE8" s="11"/>
      <c r="BF8" s="11"/>
      <c r="BG8" s="11"/>
      <c r="BH8" s="11"/>
      <c r="BJ8" s="27"/>
      <c r="BL8" s="11"/>
      <c r="BM8" s="11"/>
      <c r="BN8" s="11"/>
      <c r="BO8" s="11"/>
      <c r="BS8" s="11"/>
      <c r="BT8" s="11"/>
      <c r="BU8" s="11"/>
      <c r="BV8" s="11"/>
      <c r="BX8" s="20"/>
      <c r="CA8" s="11"/>
      <c r="CB8" s="11"/>
      <c r="CC8" s="11"/>
      <c r="CD8" s="11"/>
    </row>
    <row r="9" spans="2:83" outlineLevel="1">
      <c r="B9" t="s">
        <v>28</v>
      </c>
      <c r="C9" t="s">
        <v>49</v>
      </c>
      <c r="E9" s="10"/>
      <c r="F9" t="s">
        <v>59</v>
      </c>
      <c r="G9" s="11">
        <v>0.1</v>
      </c>
      <c r="I9" s="10">
        <f t="shared" si="1"/>
        <v>2</v>
      </c>
      <c r="J9" s="12">
        <f t="shared" si="0"/>
        <v>0.8</v>
      </c>
      <c r="K9" s="12">
        <f t="shared" si="0"/>
        <v>0.8</v>
      </c>
      <c r="L9" s="10"/>
      <c r="O9" s="11">
        <v>0.8</v>
      </c>
      <c r="P9" s="11"/>
      <c r="Q9" s="11">
        <v>0.8</v>
      </c>
      <c r="R9" s="11"/>
      <c r="V9" s="11"/>
      <c r="W9" s="11"/>
      <c r="X9" s="11"/>
      <c r="Y9" s="11"/>
      <c r="AC9" s="11"/>
      <c r="AD9" s="11"/>
      <c r="AE9" s="11"/>
      <c r="AF9" s="11"/>
      <c r="AJ9" s="11"/>
      <c r="AK9" s="11"/>
      <c r="AL9" s="11"/>
      <c r="AM9" s="11"/>
      <c r="AP9">
        <v>2</v>
      </c>
      <c r="AQ9" s="11"/>
      <c r="AR9" s="11">
        <v>1</v>
      </c>
      <c r="AS9" s="11"/>
      <c r="AT9" s="11">
        <v>1</v>
      </c>
      <c r="AX9" s="11"/>
      <c r="AY9" s="11"/>
      <c r="AZ9" s="11"/>
      <c r="BA9" s="11"/>
      <c r="BE9" s="11"/>
      <c r="BF9" s="11"/>
      <c r="BG9" s="11"/>
      <c r="BH9" s="11"/>
      <c r="BJ9" s="27"/>
      <c r="BL9" s="11"/>
      <c r="BM9" s="11"/>
      <c r="BN9" s="11"/>
      <c r="BO9" s="11"/>
      <c r="BS9" s="11"/>
      <c r="BT9" s="11"/>
      <c r="BU9" s="11"/>
      <c r="BV9" s="11"/>
      <c r="BX9" s="20"/>
      <c r="CA9" s="11"/>
      <c r="CB9" s="11"/>
      <c r="CC9" s="11"/>
      <c r="CD9" s="11"/>
    </row>
    <row r="10" spans="2:83" outlineLevel="1">
      <c r="B10" t="s">
        <v>28</v>
      </c>
      <c r="C10" t="s">
        <v>49</v>
      </c>
      <c r="E10" s="10"/>
      <c r="F10" t="s">
        <v>60</v>
      </c>
      <c r="G10" s="11">
        <v>0.1</v>
      </c>
      <c r="I10" s="10">
        <f t="shared" si="1"/>
        <v>2</v>
      </c>
      <c r="J10" s="12">
        <f t="shared" si="0"/>
        <v>0.8</v>
      </c>
      <c r="K10" s="12">
        <f t="shared" si="0"/>
        <v>0.8</v>
      </c>
      <c r="L10" s="10"/>
      <c r="O10" s="11">
        <v>0.8</v>
      </c>
      <c r="P10" s="11"/>
      <c r="Q10" s="11">
        <v>0.8</v>
      </c>
      <c r="R10" s="11"/>
      <c r="V10" s="11"/>
      <c r="W10" s="11"/>
      <c r="X10" s="11"/>
      <c r="Y10" s="11"/>
      <c r="AC10" s="11"/>
      <c r="AD10" s="11"/>
      <c r="AE10" s="11"/>
      <c r="AF10" s="11"/>
      <c r="AJ10" s="11"/>
      <c r="AK10" s="11"/>
      <c r="AL10" s="11"/>
      <c r="AM10" s="11"/>
      <c r="AP10">
        <v>2</v>
      </c>
      <c r="AQ10" s="11"/>
      <c r="AR10" s="11">
        <v>1</v>
      </c>
      <c r="AS10" s="11"/>
      <c r="AT10" s="11">
        <v>1</v>
      </c>
      <c r="AX10" s="11"/>
      <c r="AY10" s="11"/>
      <c r="AZ10" s="11"/>
      <c r="BA10" s="11"/>
      <c r="BE10" s="11"/>
      <c r="BF10" s="11"/>
      <c r="BG10" s="11"/>
      <c r="BH10" s="11"/>
      <c r="BJ10" s="27"/>
      <c r="BL10" s="11"/>
      <c r="BM10" s="11"/>
      <c r="BN10" s="11"/>
      <c r="BO10" s="11"/>
      <c r="BS10" s="11"/>
      <c r="BT10" s="11"/>
      <c r="BU10" s="11"/>
      <c r="BV10" s="11"/>
      <c r="BX10" s="20"/>
      <c r="CA10" s="11"/>
      <c r="CB10" s="11"/>
      <c r="CC10" s="11"/>
      <c r="CD10" s="11"/>
    </row>
    <row r="11" spans="2:83" outlineLevel="1">
      <c r="B11" t="s">
        <v>28</v>
      </c>
      <c r="C11" t="s">
        <v>49</v>
      </c>
      <c r="E11" s="10"/>
      <c r="F11" t="s">
        <v>61</v>
      </c>
      <c r="G11" s="11">
        <v>0.1</v>
      </c>
      <c r="I11" s="10">
        <f t="shared" si="1"/>
        <v>2</v>
      </c>
      <c r="J11" s="12">
        <f t="shared" si="0"/>
        <v>0.8</v>
      </c>
      <c r="K11" s="12">
        <f t="shared" si="0"/>
        <v>0.8</v>
      </c>
      <c r="L11" s="10"/>
      <c r="O11" s="11">
        <v>0.8</v>
      </c>
      <c r="P11" s="11"/>
      <c r="Q11" s="11">
        <v>0.8</v>
      </c>
      <c r="R11" s="11"/>
      <c r="V11" s="11"/>
      <c r="W11" s="11"/>
      <c r="X11" s="11"/>
      <c r="Y11" s="11"/>
      <c r="AC11" s="11"/>
      <c r="AD11" s="11"/>
      <c r="AE11" s="11"/>
      <c r="AF11" s="11"/>
      <c r="AJ11" s="11"/>
      <c r="AK11" s="11"/>
      <c r="AL11" s="11"/>
      <c r="AM11" s="11"/>
      <c r="AP11">
        <v>2</v>
      </c>
      <c r="AQ11" s="11"/>
      <c r="AR11" s="11">
        <v>1</v>
      </c>
      <c r="AS11" s="11"/>
      <c r="AT11" s="11">
        <v>1</v>
      </c>
      <c r="AX11" s="11"/>
      <c r="AY11" s="11"/>
      <c r="AZ11" s="11"/>
      <c r="BA11" s="11"/>
      <c r="BE11" s="11"/>
      <c r="BF11" s="11"/>
      <c r="BG11" s="11"/>
      <c r="BH11" s="11"/>
      <c r="BJ11" s="27"/>
      <c r="BL11" s="11"/>
      <c r="BM11" s="11"/>
      <c r="BN11" s="11"/>
      <c r="BO11" s="11"/>
      <c r="BS11" s="11"/>
      <c r="BT11" s="11"/>
      <c r="BU11" s="11"/>
      <c r="BV11" s="11"/>
      <c r="BX11" s="20"/>
      <c r="CA11" s="11"/>
      <c r="CB11" s="11"/>
      <c r="CC11" s="11"/>
      <c r="CD11" s="11"/>
    </row>
    <row r="12" spans="2:83" outlineLevel="1">
      <c r="B12" t="s">
        <v>28</v>
      </c>
      <c r="C12" t="s">
        <v>49</v>
      </c>
      <c r="E12" s="10"/>
      <c r="F12" t="s">
        <v>62</v>
      </c>
      <c r="G12" s="11">
        <v>0.1</v>
      </c>
      <c r="I12" s="10">
        <f t="shared" si="1"/>
        <v>6</v>
      </c>
      <c r="J12" s="12">
        <f t="shared" si="0"/>
        <v>0</v>
      </c>
      <c r="K12" s="12">
        <f t="shared" si="0"/>
        <v>0</v>
      </c>
      <c r="L12" s="10"/>
      <c r="O12" s="11"/>
      <c r="P12" s="11"/>
      <c r="Q12" s="11"/>
      <c r="R12" s="11"/>
      <c r="U12">
        <v>4</v>
      </c>
      <c r="V12" s="11"/>
      <c r="W12" s="11">
        <v>0.8</v>
      </c>
      <c r="X12" s="11"/>
      <c r="Y12" s="11">
        <v>0.8</v>
      </c>
      <c r="AB12">
        <v>2</v>
      </c>
      <c r="AC12" s="11"/>
      <c r="AD12" s="11">
        <v>1</v>
      </c>
      <c r="AE12" s="11"/>
      <c r="AF12" s="11">
        <v>1</v>
      </c>
      <c r="AJ12" s="11"/>
      <c r="AK12" s="11"/>
      <c r="AL12" s="11"/>
      <c r="AM12" s="11"/>
      <c r="AQ12" s="11"/>
      <c r="AR12" s="11">
        <v>1</v>
      </c>
      <c r="AS12" s="11"/>
      <c r="AT12" s="11">
        <v>1</v>
      </c>
      <c r="AX12" s="11"/>
      <c r="AY12" s="11"/>
      <c r="AZ12" s="11"/>
      <c r="BA12" s="11"/>
      <c r="BE12" s="11"/>
      <c r="BF12" s="11"/>
      <c r="BG12" s="11"/>
      <c r="BH12" s="11"/>
      <c r="BJ12" s="27"/>
      <c r="BL12" s="11"/>
      <c r="BM12" s="11"/>
      <c r="BN12" s="11"/>
      <c r="BO12" s="11"/>
      <c r="BS12" s="11"/>
      <c r="BT12" s="11"/>
      <c r="BU12" s="11"/>
      <c r="BV12" s="11"/>
      <c r="BX12" s="20"/>
      <c r="CA12" s="11"/>
      <c r="CB12" s="11"/>
      <c r="CC12" s="11"/>
      <c r="CD12" s="11"/>
    </row>
    <row r="13" spans="2:83" outlineLevel="1">
      <c r="B13" t="s">
        <v>28</v>
      </c>
      <c r="C13" t="s">
        <v>49</v>
      </c>
      <c r="E13" s="10"/>
      <c r="F13" t="s">
        <v>63</v>
      </c>
      <c r="G13" s="11">
        <v>0.05</v>
      </c>
      <c r="I13" s="10">
        <f t="shared" si="1"/>
        <v>6</v>
      </c>
      <c r="J13" s="12">
        <f t="shared" si="0"/>
        <v>0</v>
      </c>
      <c r="K13" s="12">
        <f t="shared" si="0"/>
        <v>0</v>
      </c>
      <c r="L13" s="10"/>
      <c r="O13" s="11"/>
      <c r="P13" s="11"/>
      <c r="Q13" s="11"/>
      <c r="R13" s="11"/>
      <c r="V13" s="11"/>
      <c r="W13" s="11"/>
      <c r="X13" s="11"/>
      <c r="Y13" s="11"/>
      <c r="AB13">
        <v>4</v>
      </c>
      <c r="AC13" s="11"/>
      <c r="AD13" s="11">
        <v>0.8</v>
      </c>
      <c r="AE13" s="11"/>
      <c r="AF13" s="11">
        <v>0.8</v>
      </c>
      <c r="AI13">
        <v>2</v>
      </c>
      <c r="AJ13" s="11"/>
      <c r="AK13" s="11">
        <v>1</v>
      </c>
      <c r="AL13" s="11"/>
      <c r="AM13" s="11">
        <v>1</v>
      </c>
      <c r="AQ13" s="11"/>
      <c r="AR13" s="11">
        <v>1</v>
      </c>
      <c r="AS13" s="11"/>
      <c r="AT13" s="11">
        <v>1</v>
      </c>
      <c r="AX13" s="11"/>
      <c r="AY13" s="11"/>
      <c r="AZ13" s="11"/>
      <c r="BA13" s="11"/>
      <c r="BE13" s="11"/>
      <c r="BF13" s="11"/>
      <c r="BG13" s="11"/>
      <c r="BH13" s="11"/>
      <c r="BJ13" s="27"/>
      <c r="BL13" s="11"/>
      <c r="BM13" s="11"/>
      <c r="BN13" s="11"/>
      <c r="BO13" s="11"/>
      <c r="BS13" s="11"/>
      <c r="BT13" s="11"/>
      <c r="BU13" s="11"/>
      <c r="BV13" s="11"/>
      <c r="BX13" s="20"/>
      <c r="CA13" s="11"/>
      <c r="CB13" s="11"/>
      <c r="CC13" s="11"/>
      <c r="CD13" s="11"/>
    </row>
    <row r="14" spans="2:83" outlineLevel="1">
      <c r="B14" t="s">
        <v>28</v>
      </c>
      <c r="C14" t="s">
        <v>49</v>
      </c>
      <c r="E14" s="10"/>
      <c r="F14" t="s">
        <v>64</v>
      </c>
      <c r="G14" s="11">
        <v>0.05</v>
      </c>
      <c r="I14" s="10">
        <f t="shared" si="1"/>
        <v>6</v>
      </c>
      <c r="J14" s="12">
        <f t="shared" si="0"/>
        <v>0</v>
      </c>
      <c r="K14" s="12">
        <f t="shared" si="0"/>
        <v>0</v>
      </c>
      <c r="L14" s="10"/>
      <c r="O14" s="11"/>
      <c r="P14" s="11"/>
      <c r="Q14" s="11"/>
      <c r="R14" s="11"/>
      <c r="V14" s="11"/>
      <c r="W14" s="11"/>
      <c r="X14" s="11"/>
      <c r="Y14" s="11"/>
      <c r="AC14" s="11"/>
      <c r="AD14" s="11"/>
      <c r="AE14" s="11"/>
      <c r="AF14" s="11"/>
      <c r="AI14">
        <v>4</v>
      </c>
      <c r="AJ14" s="11"/>
      <c r="AK14" s="11">
        <v>0.8</v>
      </c>
      <c r="AL14" s="11"/>
      <c r="AM14" s="11">
        <v>0.8</v>
      </c>
      <c r="AP14">
        <v>2</v>
      </c>
      <c r="AQ14" s="11"/>
      <c r="AR14" s="11">
        <v>1</v>
      </c>
      <c r="AS14" s="11"/>
      <c r="AT14" s="11">
        <v>1</v>
      </c>
      <c r="AX14" s="11"/>
      <c r="AY14" s="11"/>
      <c r="AZ14" s="11"/>
      <c r="BA14" s="11"/>
      <c r="BE14" s="11"/>
      <c r="BF14" s="11"/>
      <c r="BG14" s="11"/>
      <c r="BH14" s="11"/>
      <c r="BJ14" s="27"/>
      <c r="BL14" s="11"/>
      <c r="BM14" s="11"/>
      <c r="BN14" s="11"/>
      <c r="BO14" s="11"/>
      <c r="BS14" s="11"/>
      <c r="BT14" s="11"/>
      <c r="BU14" s="11"/>
      <c r="BV14" s="11"/>
      <c r="BX14" s="20"/>
      <c r="CA14" s="11"/>
      <c r="CB14" s="11"/>
      <c r="CC14" s="11"/>
      <c r="CD14" s="11"/>
    </row>
    <row r="15" spans="2:83" outlineLevel="1">
      <c r="B15" t="s">
        <v>28</v>
      </c>
      <c r="C15" t="s">
        <v>49</v>
      </c>
      <c r="E15" s="10"/>
      <c r="F15" t="s">
        <v>65</v>
      </c>
      <c r="G15" s="11">
        <v>0.05</v>
      </c>
      <c r="I15" s="10">
        <f t="shared" si="1"/>
        <v>4</v>
      </c>
      <c r="J15" s="12">
        <f t="shared" si="0"/>
        <v>0</v>
      </c>
      <c r="K15" s="12">
        <f t="shared" si="0"/>
        <v>0</v>
      </c>
      <c r="L15" s="10"/>
      <c r="O15" s="11"/>
      <c r="P15" s="11"/>
      <c r="Q15" s="11"/>
      <c r="R15" s="11"/>
      <c r="V15" s="11"/>
      <c r="W15" s="11"/>
      <c r="X15" s="11"/>
      <c r="Y15" s="11"/>
      <c r="AC15" s="11"/>
      <c r="AD15" s="11"/>
      <c r="AE15" s="11"/>
      <c r="AF15" s="11"/>
      <c r="AJ15" s="11"/>
      <c r="AK15" s="11"/>
      <c r="AL15" s="11"/>
      <c r="AM15" s="11"/>
      <c r="AP15">
        <v>4</v>
      </c>
      <c r="AQ15" s="11"/>
      <c r="AR15" s="11">
        <v>1</v>
      </c>
      <c r="AS15" s="11"/>
      <c r="AT15" s="11">
        <v>1</v>
      </c>
      <c r="AX15" s="11"/>
      <c r="AY15" s="11"/>
      <c r="AZ15" s="11"/>
      <c r="BA15" s="11"/>
      <c r="BE15" s="11"/>
      <c r="BF15" s="11"/>
      <c r="BG15" s="11"/>
      <c r="BH15" s="11"/>
      <c r="BJ15" s="27"/>
      <c r="BL15" s="11"/>
      <c r="BM15" s="11"/>
      <c r="BN15" s="11"/>
      <c r="BO15" s="11"/>
      <c r="BS15" s="11"/>
      <c r="BT15" s="11"/>
      <c r="BU15" s="11"/>
      <c r="BV15" s="11"/>
      <c r="BX15" s="20"/>
      <c r="CA15" s="11"/>
      <c r="CB15" s="11"/>
      <c r="CC15" s="11"/>
      <c r="CD15" s="11"/>
    </row>
    <row r="16" spans="2:83" outlineLevel="1">
      <c r="B16" t="s">
        <v>28</v>
      </c>
      <c r="C16" t="s">
        <v>49</v>
      </c>
      <c r="E16" s="10"/>
      <c r="F16" t="s">
        <v>66</v>
      </c>
      <c r="G16" s="11">
        <v>0.05</v>
      </c>
      <c r="I16" s="10">
        <f>+SUMIF($N$3:$ZZ$3,I$3,$N16:$ZZ16)</f>
        <v>2</v>
      </c>
      <c r="J16" s="12">
        <f t="shared" si="0"/>
        <v>0</v>
      </c>
      <c r="K16" s="12">
        <f t="shared" si="0"/>
        <v>0</v>
      </c>
      <c r="L16" s="10"/>
      <c r="O16" s="11"/>
      <c r="P16" s="11"/>
      <c r="Q16" s="11"/>
      <c r="R16" s="11"/>
      <c r="V16" s="11"/>
      <c r="W16" s="11"/>
      <c r="X16" s="11"/>
      <c r="Y16" s="11"/>
      <c r="AC16" s="11"/>
      <c r="AD16" s="11"/>
      <c r="AE16" s="11"/>
      <c r="AF16" s="11"/>
      <c r="AJ16" s="11"/>
      <c r="AK16" s="11"/>
      <c r="AL16" s="11"/>
      <c r="AM16" s="11"/>
      <c r="AP16">
        <v>2</v>
      </c>
      <c r="AQ16" s="11"/>
      <c r="AR16" s="11">
        <v>1</v>
      </c>
      <c r="AS16" s="11"/>
      <c r="AT16" s="11">
        <v>1</v>
      </c>
      <c r="AX16" s="11"/>
      <c r="AY16" s="11"/>
      <c r="AZ16" s="11"/>
      <c r="BA16" s="11"/>
      <c r="BE16" s="11"/>
      <c r="BF16" s="11"/>
      <c r="BG16" s="11"/>
      <c r="BH16" s="11"/>
      <c r="BJ16" s="27"/>
      <c r="BL16" s="11"/>
      <c r="BM16" s="11"/>
      <c r="BN16" s="11"/>
      <c r="BO16" s="11"/>
      <c r="BS16" s="11"/>
      <c r="BT16" s="11"/>
      <c r="BU16" s="11"/>
      <c r="BV16" s="11"/>
      <c r="BX16" s="20"/>
      <c r="CA16" s="11"/>
      <c r="CB16" s="11"/>
      <c r="CC16" s="11"/>
      <c r="CD16" s="11"/>
    </row>
    <row r="17" spans="2:84" s="21" customFormat="1">
      <c r="O17" s="22"/>
      <c r="T17" s="23"/>
      <c r="V17" s="22"/>
      <c r="AA17" s="23"/>
      <c r="AC17" s="22"/>
      <c r="AH17" s="23"/>
      <c r="AJ17" s="22"/>
      <c r="AO17" s="23"/>
      <c r="AQ17" s="22"/>
      <c r="AV17" s="23"/>
      <c r="AX17" s="22"/>
      <c r="BC17" s="23"/>
      <c r="BE17" s="22"/>
      <c r="BJ17" s="28"/>
      <c r="BL17" s="22"/>
      <c r="BQ17" s="23"/>
      <c r="BS17" s="22"/>
      <c r="BX17" s="24"/>
      <c r="BY17" s="23"/>
      <c r="CA17" s="22"/>
    </row>
    <row r="18" spans="2:84">
      <c r="B18" t="s">
        <v>27</v>
      </c>
      <c r="C18" t="s">
        <v>50</v>
      </c>
      <c r="D18" s="18">
        <v>44256</v>
      </c>
      <c r="E18" s="10">
        <v>5</v>
      </c>
      <c r="G18" s="11">
        <f>+SUM(G19:G25)</f>
        <v>0.99999999999999989</v>
      </c>
      <c r="I18" s="13">
        <f>+SUM(I19:I25)</f>
        <v>36</v>
      </c>
      <c r="J18" s="12">
        <f>+SUMPRODUCT(G19:G25,J19:J25)</f>
        <v>0.56000000000000005</v>
      </c>
      <c r="K18" s="12">
        <f>+SUMPRODUCT(G19:G25,K19:K25)</f>
        <v>0.56000000000000005</v>
      </c>
      <c r="L18" s="10"/>
      <c r="N18" s="13">
        <f>+SUM(N19:N25)</f>
        <v>0</v>
      </c>
      <c r="U18" s="13">
        <f>+SUM(U19:U25)</f>
        <v>8</v>
      </c>
      <c r="AB18" s="13">
        <f>+SUM(AB19:AB25)</f>
        <v>8</v>
      </c>
      <c r="AI18" s="13">
        <f>+SUM(AI19:AI25)</f>
        <v>8</v>
      </c>
      <c r="AP18" s="13">
        <f>+SUM(AP19:AP25)</f>
        <v>8</v>
      </c>
      <c r="AW18" s="13">
        <f>+SUM(AW19:AW25)</f>
        <v>4</v>
      </c>
      <c r="BB18" t="s">
        <v>126</v>
      </c>
      <c r="BK18" s="13">
        <f>+SUM(BK19:BK25)</f>
        <v>0</v>
      </c>
      <c r="BQ18" s="27"/>
      <c r="BR18" s="13">
        <f>+SUM(BR19:BR25)</f>
        <v>0</v>
      </c>
      <c r="BX18" s="20"/>
      <c r="BZ18" s="13">
        <f>+SUM(BZ19:BZ25)</f>
        <v>0</v>
      </c>
    </row>
    <row r="19" spans="2:84" outlineLevel="1">
      <c r="B19" t="s">
        <v>28</v>
      </c>
      <c r="C19" t="s">
        <v>50</v>
      </c>
      <c r="E19" s="10"/>
      <c r="F19" t="s">
        <v>67</v>
      </c>
      <c r="G19" s="11">
        <v>0.1</v>
      </c>
      <c r="I19" s="10">
        <f t="shared" ref="I19:I25" si="2">+SUMIF($N$3:$ZZ$3,I$3,$N19:$ZZ19)</f>
        <v>5</v>
      </c>
      <c r="J19" s="12">
        <f t="shared" ref="J19:K25" si="3">+_xlfn.MAXIFS($N19:$ZF19,$N$3:$ZF$3,J$3)</f>
        <v>0.8</v>
      </c>
      <c r="K19" s="12">
        <f t="shared" si="3"/>
        <v>0.8</v>
      </c>
      <c r="L19" s="10"/>
      <c r="O19" s="11">
        <v>0.8</v>
      </c>
      <c r="P19" s="11"/>
      <c r="Q19" s="11">
        <v>0.8</v>
      </c>
      <c r="R19" s="11"/>
      <c r="U19">
        <v>3</v>
      </c>
      <c r="V19" s="11"/>
      <c r="W19" s="11">
        <v>1</v>
      </c>
      <c r="X19" s="11"/>
      <c r="Y19" s="11">
        <v>1</v>
      </c>
      <c r="AC19" s="11"/>
      <c r="AD19" s="11"/>
      <c r="AE19" s="11"/>
      <c r="AF19" s="11"/>
      <c r="AI19">
        <v>2</v>
      </c>
      <c r="AJ19" s="11"/>
      <c r="AK19" s="11"/>
      <c r="AL19" s="11"/>
      <c r="AM19" s="11"/>
      <c r="AQ19" s="11"/>
      <c r="AR19" s="11">
        <v>1</v>
      </c>
      <c r="AS19" s="11"/>
      <c r="AT19" s="11">
        <v>1</v>
      </c>
      <c r="AW19">
        <v>0</v>
      </c>
      <c r="AX19" s="11"/>
      <c r="AY19" s="11">
        <v>1</v>
      </c>
      <c r="AZ19" s="11"/>
      <c r="BA19" s="11">
        <v>1</v>
      </c>
      <c r="BE19" s="11"/>
      <c r="BF19" s="11"/>
      <c r="BG19" s="11"/>
      <c r="BH19" s="11"/>
      <c r="BL19" s="11"/>
      <c r="BM19" s="11"/>
      <c r="BN19" s="11"/>
      <c r="BO19" s="11"/>
      <c r="BQ19" s="27"/>
      <c r="BS19" s="11"/>
      <c r="BT19" s="11"/>
      <c r="BU19" s="11"/>
      <c r="BV19" s="11"/>
      <c r="BX19" s="20"/>
      <c r="CA19" s="11"/>
      <c r="CB19" s="11"/>
      <c r="CC19" s="11"/>
      <c r="CD19" s="11"/>
    </row>
    <row r="20" spans="2:84" outlineLevel="1">
      <c r="B20" t="s">
        <v>28</v>
      </c>
      <c r="C20" t="s">
        <v>50</v>
      </c>
      <c r="E20" s="10"/>
      <c r="F20" t="s">
        <v>68</v>
      </c>
      <c r="G20" s="11">
        <v>0.2</v>
      </c>
      <c r="I20" s="10">
        <f t="shared" si="2"/>
        <v>4</v>
      </c>
      <c r="J20" s="12">
        <f t="shared" si="3"/>
        <v>0.8</v>
      </c>
      <c r="K20" s="12">
        <f t="shared" si="3"/>
        <v>0.8</v>
      </c>
      <c r="L20" s="10"/>
      <c r="O20" s="11">
        <v>0.8</v>
      </c>
      <c r="P20" s="11"/>
      <c r="Q20" s="11">
        <v>0.8</v>
      </c>
      <c r="R20" s="11"/>
      <c r="U20">
        <v>2</v>
      </c>
      <c r="V20" s="11"/>
      <c r="W20" s="11">
        <v>1</v>
      </c>
      <c r="X20" s="11"/>
      <c r="Y20" s="11">
        <v>1</v>
      </c>
      <c r="AC20" s="11"/>
      <c r="AD20" s="11"/>
      <c r="AE20" s="11"/>
      <c r="AF20" s="11"/>
      <c r="AJ20" s="11"/>
      <c r="AK20" s="11"/>
      <c r="AL20" s="11"/>
      <c r="AM20" s="11"/>
      <c r="AP20">
        <v>2</v>
      </c>
      <c r="AQ20" s="11"/>
      <c r="AR20" s="11">
        <v>1</v>
      </c>
      <c r="AS20" s="11"/>
      <c r="AT20" s="11">
        <v>1</v>
      </c>
      <c r="AX20" s="11"/>
      <c r="AY20" s="11">
        <v>1</v>
      </c>
      <c r="AZ20" s="11"/>
      <c r="BA20" s="11">
        <v>1</v>
      </c>
      <c r="BE20" s="11"/>
      <c r="BF20" s="11"/>
      <c r="BG20" s="11"/>
      <c r="BH20" s="11"/>
      <c r="BL20" s="11"/>
      <c r="BM20" s="11"/>
      <c r="BN20" s="11"/>
      <c r="BO20" s="11"/>
      <c r="BQ20" s="27"/>
      <c r="BS20" s="11"/>
      <c r="BT20" s="11"/>
      <c r="BU20" s="11"/>
      <c r="BV20" s="11"/>
      <c r="BX20" s="20"/>
      <c r="CA20" s="11"/>
      <c r="CB20" s="11"/>
      <c r="CC20" s="11"/>
      <c r="CD20" s="11"/>
    </row>
    <row r="21" spans="2:84" outlineLevel="1">
      <c r="B21" t="s">
        <v>28</v>
      </c>
      <c r="C21" t="s">
        <v>50</v>
      </c>
      <c r="E21" s="10"/>
      <c r="F21" t="s">
        <v>69</v>
      </c>
      <c r="G21" s="11">
        <v>0.2</v>
      </c>
      <c r="I21" s="10">
        <f t="shared" si="2"/>
        <v>4</v>
      </c>
      <c r="J21" s="12">
        <f t="shared" si="3"/>
        <v>0.8</v>
      </c>
      <c r="K21" s="12">
        <f t="shared" si="3"/>
        <v>0.8</v>
      </c>
      <c r="L21" s="10"/>
      <c r="O21" s="11">
        <v>0.8</v>
      </c>
      <c r="P21" s="11"/>
      <c r="Q21" s="11">
        <v>0.8</v>
      </c>
      <c r="R21" s="11"/>
      <c r="V21" s="11"/>
      <c r="W21" s="11"/>
      <c r="X21" s="11"/>
      <c r="Y21" s="11"/>
      <c r="AB21">
        <v>2</v>
      </c>
      <c r="AC21" s="11"/>
      <c r="AD21" s="11">
        <v>1</v>
      </c>
      <c r="AE21" s="11"/>
      <c r="AF21" s="11">
        <v>1</v>
      </c>
      <c r="AJ21" s="11"/>
      <c r="AK21" s="11"/>
      <c r="AL21" s="11"/>
      <c r="AM21" s="11"/>
      <c r="AP21">
        <v>2</v>
      </c>
      <c r="AQ21" s="11"/>
      <c r="AR21" s="11">
        <v>1</v>
      </c>
      <c r="AS21" s="11"/>
      <c r="AT21" s="11">
        <v>1</v>
      </c>
      <c r="AX21" s="11"/>
      <c r="AY21" s="11">
        <v>1</v>
      </c>
      <c r="AZ21" s="11"/>
      <c r="BA21" s="11">
        <v>1</v>
      </c>
      <c r="BE21" s="11"/>
      <c r="BF21" s="11"/>
      <c r="BG21" s="11"/>
      <c r="BH21" s="11"/>
      <c r="BL21" s="11"/>
      <c r="BM21" s="11"/>
      <c r="BN21" s="11"/>
      <c r="BO21" s="11"/>
      <c r="BQ21" s="27"/>
      <c r="BS21" s="11"/>
      <c r="BT21" s="11"/>
      <c r="BU21" s="11"/>
      <c r="BV21" s="11"/>
      <c r="BX21" s="20"/>
      <c r="CA21" s="11"/>
      <c r="CB21" s="11"/>
      <c r="CC21" s="11"/>
      <c r="CD21" s="11"/>
    </row>
    <row r="22" spans="2:84" outlineLevel="1">
      <c r="B22" t="s">
        <v>28</v>
      </c>
      <c r="C22" t="s">
        <v>50</v>
      </c>
      <c r="E22" s="10"/>
      <c r="F22" t="s">
        <v>70</v>
      </c>
      <c r="G22" s="11">
        <v>0.2</v>
      </c>
      <c r="I22" s="10">
        <f t="shared" si="2"/>
        <v>4</v>
      </c>
      <c r="J22" s="12">
        <f t="shared" si="3"/>
        <v>0.8</v>
      </c>
      <c r="K22" s="12">
        <f t="shared" si="3"/>
        <v>0.8</v>
      </c>
      <c r="L22" s="10"/>
      <c r="O22" s="11">
        <v>0.8</v>
      </c>
      <c r="P22" s="11"/>
      <c r="Q22" s="11">
        <v>0.8</v>
      </c>
      <c r="R22" s="11"/>
      <c r="V22" s="11"/>
      <c r="W22" s="11"/>
      <c r="X22" s="11"/>
      <c r="Y22" s="11"/>
      <c r="AB22">
        <v>2</v>
      </c>
      <c r="AC22" s="11"/>
      <c r="AD22" s="11">
        <v>1</v>
      </c>
      <c r="AE22" s="11"/>
      <c r="AF22" s="11">
        <v>1</v>
      </c>
      <c r="AJ22" s="11"/>
      <c r="AK22" s="11"/>
      <c r="AL22" s="11"/>
      <c r="AM22" s="11"/>
      <c r="AQ22" s="11"/>
      <c r="AR22" s="11">
        <v>1</v>
      </c>
      <c r="AS22" s="11"/>
      <c r="AT22" s="11">
        <v>1</v>
      </c>
      <c r="AW22">
        <v>2</v>
      </c>
      <c r="AX22" s="11"/>
      <c r="AY22" s="11">
        <v>1</v>
      </c>
      <c r="AZ22" s="11"/>
      <c r="BA22" s="11">
        <v>1</v>
      </c>
      <c r="BE22" s="11"/>
      <c r="BF22" s="11"/>
      <c r="BG22" s="11"/>
      <c r="BH22" s="11"/>
      <c r="BL22" s="11"/>
      <c r="BM22" s="11"/>
      <c r="BN22" s="11"/>
      <c r="BO22" s="11"/>
      <c r="BQ22" s="27"/>
      <c r="BS22" s="11"/>
      <c r="BT22" s="11"/>
      <c r="BU22" s="11"/>
      <c r="BV22" s="11"/>
      <c r="BX22" s="20"/>
      <c r="CA22" s="11"/>
      <c r="CB22" s="11"/>
      <c r="CC22" s="11"/>
      <c r="CD22" s="11"/>
    </row>
    <row r="23" spans="2:84" outlineLevel="1">
      <c r="B23" t="s">
        <v>28</v>
      </c>
      <c r="C23" t="s">
        <v>50</v>
      </c>
      <c r="E23" s="10"/>
      <c r="F23" t="s">
        <v>71</v>
      </c>
      <c r="G23" s="11">
        <v>0.1</v>
      </c>
      <c r="I23" s="10">
        <f t="shared" si="2"/>
        <v>11</v>
      </c>
      <c r="J23" s="12">
        <f t="shared" si="3"/>
        <v>0</v>
      </c>
      <c r="K23" s="12">
        <f t="shared" si="3"/>
        <v>0</v>
      </c>
      <c r="L23" s="10"/>
      <c r="O23" s="11"/>
      <c r="P23" s="11"/>
      <c r="Q23" s="11"/>
      <c r="R23" s="11"/>
      <c r="U23">
        <v>3</v>
      </c>
      <c r="V23" s="11"/>
      <c r="W23" s="11">
        <v>0.5</v>
      </c>
      <c r="X23" s="11"/>
      <c r="Y23" s="11">
        <v>0.5</v>
      </c>
      <c r="AB23">
        <v>4</v>
      </c>
      <c r="AC23" s="11"/>
      <c r="AD23" s="11">
        <v>0.8</v>
      </c>
      <c r="AE23" s="11"/>
      <c r="AF23" s="11">
        <v>0.8</v>
      </c>
      <c r="AI23">
        <v>2</v>
      </c>
      <c r="AJ23" s="11"/>
      <c r="AK23" s="11">
        <v>1</v>
      </c>
      <c r="AL23" s="11"/>
      <c r="AM23" s="11">
        <v>1</v>
      </c>
      <c r="AQ23" s="11"/>
      <c r="AR23" s="11">
        <v>1</v>
      </c>
      <c r="AS23" s="11"/>
      <c r="AT23" s="11">
        <v>1</v>
      </c>
      <c r="AW23">
        <v>2</v>
      </c>
      <c r="AX23" s="11"/>
      <c r="AY23" s="11">
        <v>1</v>
      </c>
      <c r="AZ23" s="11"/>
      <c r="BA23" s="11">
        <v>1</v>
      </c>
      <c r="BE23" s="11"/>
      <c r="BF23" s="11"/>
      <c r="BG23" s="11"/>
      <c r="BH23" s="11"/>
      <c r="BL23" s="11"/>
      <c r="BM23" s="11"/>
      <c r="BN23" s="11"/>
      <c r="BO23" s="11"/>
      <c r="BQ23" s="27"/>
      <c r="BS23" s="11"/>
      <c r="BT23" s="11"/>
      <c r="BU23" s="11"/>
      <c r="BV23" s="11"/>
      <c r="BX23" s="20"/>
      <c r="CA23" s="11"/>
      <c r="CB23" s="11"/>
      <c r="CC23" s="11"/>
      <c r="CD23" s="11"/>
    </row>
    <row r="24" spans="2:84" outlineLevel="1">
      <c r="B24" t="s">
        <v>28</v>
      </c>
      <c r="C24" t="s">
        <v>50</v>
      </c>
      <c r="E24" s="10"/>
      <c r="F24" t="s">
        <v>72</v>
      </c>
      <c r="G24" s="11">
        <v>0.1</v>
      </c>
      <c r="I24" s="10">
        <f t="shared" si="2"/>
        <v>4</v>
      </c>
      <c r="J24" s="12">
        <f t="shared" si="3"/>
        <v>0</v>
      </c>
      <c r="K24" s="12">
        <f t="shared" si="3"/>
        <v>0</v>
      </c>
      <c r="L24" s="10"/>
      <c r="O24" s="11"/>
      <c r="P24" s="11"/>
      <c r="Q24" s="11"/>
      <c r="R24" s="11"/>
      <c r="V24" s="11"/>
      <c r="W24" s="11"/>
      <c r="X24" s="11"/>
      <c r="Y24" s="11"/>
      <c r="AC24" s="11"/>
      <c r="AD24" s="11"/>
      <c r="AE24" s="11"/>
      <c r="AF24" s="11"/>
      <c r="AI24">
        <v>2</v>
      </c>
      <c r="AJ24" s="11"/>
      <c r="AK24" s="11">
        <v>0.8</v>
      </c>
      <c r="AL24" s="11"/>
      <c r="AM24" s="11">
        <v>0.8</v>
      </c>
      <c r="AP24">
        <v>2</v>
      </c>
      <c r="AQ24" s="11"/>
      <c r="AR24" s="11">
        <v>1</v>
      </c>
      <c r="AS24" s="11"/>
      <c r="AT24" s="11">
        <v>1</v>
      </c>
      <c r="AX24" s="11"/>
      <c r="AY24" s="11">
        <v>1</v>
      </c>
      <c r="AZ24" s="11"/>
      <c r="BA24" s="11">
        <v>1</v>
      </c>
      <c r="BE24" s="11"/>
      <c r="BF24" s="11"/>
      <c r="BG24" s="11"/>
      <c r="BH24" s="11"/>
      <c r="BL24" s="11"/>
      <c r="BM24" s="11"/>
      <c r="BN24" s="11"/>
      <c r="BO24" s="11"/>
      <c r="BQ24" s="27"/>
      <c r="BS24" s="11"/>
      <c r="BT24" s="11"/>
      <c r="BU24" s="11"/>
      <c r="BV24" s="11"/>
      <c r="BX24" s="20"/>
      <c r="CA24" s="11"/>
      <c r="CB24" s="11"/>
      <c r="CC24" s="11"/>
      <c r="CD24" s="11"/>
    </row>
    <row r="25" spans="2:84" outlineLevel="1">
      <c r="B25" t="s">
        <v>28</v>
      </c>
      <c r="C25" t="s">
        <v>50</v>
      </c>
      <c r="E25" s="10"/>
      <c r="F25" t="s">
        <v>73</v>
      </c>
      <c r="G25" s="11">
        <v>0.1</v>
      </c>
      <c r="I25" s="10">
        <f t="shared" si="2"/>
        <v>4</v>
      </c>
      <c r="J25" s="12">
        <f t="shared" si="3"/>
        <v>0</v>
      </c>
      <c r="K25" s="12">
        <f t="shared" si="3"/>
        <v>0</v>
      </c>
      <c r="L25" s="10"/>
      <c r="O25" s="11"/>
      <c r="P25" s="11"/>
      <c r="Q25" s="11"/>
      <c r="R25" s="11"/>
      <c r="V25" s="11"/>
      <c r="W25" s="11"/>
      <c r="X25" s="11"/>
      <c r="Y25" s="11"/>
      <c r="AC25" s="11"/>
      <c r="AD25" s="11"/>
      <c r="AE25" s="11"/>
      <c r="AF25" s="11"/>
      <c r="AI25">
        <v>2</v>
      </c>
      <c r="AJ25" s="11"/>
      <c r="AK25" s="11">
        <v>0.8</v>
      </c>
      <c r="AL25" s="11"/>
      <c r="AM25" s="11">
        <v>0.8</v>
      </c>
      <c r="AP25">
        <v>2</v>
      </c>
      <c r="AQ25" s="11"/>
      <c r="AR25" s="11">
        <v>1</v>
      </c>
      <c r="AS25" s="11"/>
      <c r="AT25" s="11">
        <v>1</v>
      </c>
      <c r="AX25" s="11"/>
      <c r="AY25" s="11">
        <v>1</v>
      </c>
      <c r="AZ25" s="11"/>
      <c r="BA25" s="11">
        <v>1</v>
      </c>
      <c r="BE25" s="11"/>
      <c r="BF25" s="11"/>
      <c r="BG25" s="11"/>
      <c r="BH25" s="11"/>
      <c r="BL25" s="11"/>
      <c r="BM25" s="11"/>
      <c r="BN25" s="11"/>
      <c r="BO25" s="11"/>
      <c r="BQ25" s="27"/>
      <c r="BS25" s="11"/>
      <c r="BT25" s="11"/>
      <c r="BU25" s="11"/>
      <c r="BV25" s="11"/>
      <c r="BX25" s="20"/>
      <c r="CA25" s="11"/>
      <c r="CB25" s="11"/>
      <c r="CC25" s="11"/>
      <c r="CD25" s="11"/>
    </row>
    <row r="26" spans="2:84" s="21" customFormat="1">
      <c r="T26" s="23"/>
      <c r="AA26" s="23"/>
      <c r="AH26" s="23"/>
      <c r="AO26" s="23"/>
      <c r="AV26" s="23"/>
      <c r="BC26" s="23"/>
      <c r="BJ26" s="23"/>
      <c r="BQ26" s="28"/>
      <c r="BX26" s="24"/>
      <c r="BY26" s="23"/>
    </row>
    <row r="27" spans="2:84">
      <c r="B27" t="s">
        <v>27</v>
      </c>
      <c r="C27" t="s">
        <v>51</v>
      </c>
      <c r="D27" s="18">
        <v>44272</v>
      </c>
      <c r="E27" s="10">
        <v>5</v>
      </c>
      <c r="G27" s="11">
        <f>SUM(G28:G37)</f>
        <v>0.99999999999999989</v>
      </c>
      <c r="I27" s="13">
        <f>+SUM(I28:I37)</f>
        <v>49</v>
      </c>
      <c r="J27" s="12">
        <f>+SUMPRODUCT(G28:G37,J28:J37)</f>
        <v>0.52000000000000013</v>
      </c>
      <c r="K27" s="12">
        <f>+SUMPRODUCT(G28:G37,K28:K37)</f>
        <v>0.52000000000000013</v>
      </c>
      <c r="L27" s="10"/>
      <c r="N27" s="13">
        <f>+SUM(N28:N37)</f>
        <v>0</v>
      </c>
      <c r="U27" s="13">
        <f>+SUM(U28:U37)</f>
        <v>5</v>
      </c>
      <c r="AB27" s="13">
        <f>+SUM(AB28:AB37)</f>
        <v>5</v>
      </c>
      <c r="AI27" s="13">
        <f>+SUM(AI28:AI37)</f>
        <v>5</v>
      </c>
      <c r="AP27" s="13">
        <f>+SUM(AP28:AP37)</f>
        <v>5</v>
      </c>
      <c r="AW27">
        <f>SUM(AW28:AW37)</f>
        <v>3</v>
      </c>
      <c r="BD27">
        <f>SUM(BD28:BD37)</f>
        <v>6</v>
      </c>
      <c r="BK27" s="13">
        <f>+SUM(BK28:BK37)</f>
        <v>20</v>
      </c>
      <c r="BP27" t="s">
        <v>125</v>
      </c>
      <c r="BR27" s="13"/>
      <c r="BX27" s="20"/>
      <c r="BZ27" s="13"/>
      <c r="CF27" s="25"/>
    </row>
    <row r="28" spans="2:84" outlineLevel="1">
      <c r="B28" t="s">
        <v>28</v>
      </c>
      <c r="C28" t="s">
        <v>51</v>
      </c>
      <c r="E28" s="10"/>
      <c r="F28" t="s">
        <v>74</v>
      </c>
      <c r="G28" s="11">
        <v>0.1</v>
      </c>
      <c r="I28" s="10">
        <f t="shared" ref="I28:I37" si="4">+SUMIF($N$3:$ZZ$3,I$3,$N28:$ZZ28)</f>
        <v>5</v>
      </c>
      <c r="J28" s="12">
        <f t="shared" ref="J28:K37" si="5">+_xlfn.MAXIFS($N28:$ZF28,$N$3:$ZF$3,J$3)</f>
        <v>0.5</v>
      </c>
      <c r="K28" s="12">
        <f t="shared" si="5"/>
        <v>0.5</v>
      </c>
      <c r="L28" s="10"/>
      <c r="N28">
        <v>0</v>
      </c>
      <c r="O28" s="11">
        <v>0.5</v>
      </c>
      <c r="P28" s="11"/>
      <c r="Q28" s="11">
        <v>0.5</v>
      </c>
      <c r="R28" s="11"/>
      <c r="U28">
        <v>0</v>
      </c>
      <c r="V28" s="11"/>
      <c r="W28" s="11">
        <v>0.5</v>
      </c>
      <c r="X28" s="11"/>
      <c r="Y28" s="11">
        <v>0.5</v>
      </c>
      <c r="AC28" s="11"/>
      <c r="AD28" s="11">
        <v>0.5</v>
      </c>
      <c r="AE28" s="11"/>
      <c r="AF28" s="11">
        <v>0.5</v>
      </c>
      <c r="AI28">
        <v>3</v>
      </c>
      <c r="AJ28" s="11"/>
      <c r="AK28" s="11">
        <v>1</v>
      </c>
      <c r="AL28" s="11"/>
      <c r="AM28" s="11">
        <v>1</v>
      </c>
      <c r="AQ28" s="11"/>
      <c r="AR28" s="11">
        <v>1</v>
      </c>
      <c r="AS28" s="11"/>
      <c r="AT28" s="11">
        <v>1</v>
      </c>
      <c r="AX28" s="11"/>
      <c r="AY28" s="11"/>
      <c r="AZ28" s="11"/>
      <c r="BA28" s="11"/>
      <c r="BE28" s="11"/>
      <c r="BF28" s="11">
        <v>1</v>
      </c>
      <c r="BG28" s="11"/>
      <c r="BH28" s="11">
        <v>1</v>
      </c>
      <c r="BK28">
        <v>2</v>
      </c>
      <c r="BL28" s="11"/>
      <c r="BM28" s="11">
        <v>1</v>
      </c>
      <c r="BN28" s="11"/>
      <c r="BO28" s="11">
        <v>1</v>
      </c>
      <c r="BS28" s="11"/>
      <c r="BT28" s="11"/>
      <c r="BU28" s="11"/>
      <c r="BV28" s="11"/>
      <c r="CA28" s="11"/>
      <c r="CB28" s="11"/>
      <c r="CC28" s="11"/>
      <c r="CD28" s="11"/>
      <c r="CF28" s="25"/>
    </row>
    <row r="29" spans="2:84" outlineLevel="1">
      <c r="B29" t="s">
        <v>28</v>
      </c>
      <c r="C29" t="s">
        <v>51</v>
      </c>
      <c r="E29" s="10"/>
      <c r="F29" t="s">
        <v>75</v>
      </c>
      <c r="G29" s="11">
        <v>0.1</v>
      </c>
      <c r="I29" s="10">
        <f t="shared" si="4"/>
        <v>6</v>
      </c>
      <c r="J29" s="12">
        <f t="shared" si="5"/>
        <v>0.5</v>
      </c>
      <c r="K29" s="12">
        <f t="shared" si="5"/>
        <v>0.5</v>
      </c>
      <c r="L29" s="10"/>
      <c r="N29">
        <v>0</v>
      </c>
      <c r="O29" s="11">
        <v>0.5</v>
      </c>
      <c r="P29" s="11"/>
      <c r="Q29" s="11">
        <v>0.5</v>
      </c>
      <c r="R29" s="11"/>
      <c r="V29" s="11"/>
      <c r="W29" s="11">
        <v>0.5</v>
      </c>
      <c r="X29" s="11"/>
      <c r="Y29" s="11">
        <v>0.5</v>
      </c>
      <c r="AC29" s="11"/>
      <c r="AD29" s="11">
        <v>0.5</v>
      </c>
      <c r="AE29" s="11"/>
      <c r="AF29" s="11">
        <v>0.5</v>
      </c>
      <c r="AI29">
        <v>2</v>
      </c>
      <c r="AJ29" s="11"/>
      <c r="AK29" s="11">
        <v>0.8</v>
      </c>
      <c r="AL29" s="11"/>
      <c r="AM29" s="11">
        <v>0.8</v>
      </c>
      <c r="AP29">
        <v>2</v>
      </c>
      <c r="AQ29" s="11"/>
      <c r="AR29" s="11">
        <v>1</v>
      </c>
      <c r="AS29" s="11"/>
      <c r="AT29" s="11">
        <v>1</v>
      </c>
      <c r="AX29" s="11"/>
      <c r="AY29" s="11"/>
      <c r="AZ29" s="11"/>
      <c r="BA29" s="11"/>
      <c r="BE29" s="11"/>
      <c r="BF29" s="11">
        <v>1</v>
      </c>
      <c r="BG29" s="11"/>
      <c r="BH29" s="11">
        <v>1</v>
      </c>
      <c r="BK29">
        <v>2</v>
      </c>
      <c r="BL29" s="11"/>
      <c r="BM29" s="11">
        <v>1</v>
      </c>
      <c r="BN29" s="11"/>
      <c r="BO29" s="11">
        <v>1</v>
      </c>
      <c r="BS29" s="11"/>
      <c r="BT29" s="11"/>
      <c r="BU29" s="11"/>
      <c r="BV29" s="11"/>
      <c r="CA29" s="11"/>
      <c r="CB29" s="11"/>
      <c r="CC29" s="11"/>
      <c r="CD29" s="11"/>
      <c r="CF29" s="25"/>
    </row>
    <row r="30" spans="2:84" outlineLevel="1">
      <c r="B30" t="s">
        <v>28</v>
      </c>
      <c r="C30" t="s">
        <v>51</v>
      </c>
      <c r="E30" s="10"/>
      <c r="F30" t="s">
        <v>76</v>
      </c>
      <c r="G30" s="11">
        <v>0.1</v>
      </c>
      <c r="I30" s="10">
        <f t="shared" si="4"/>
        <v>5</v>
      </c>
      <c r="J30" s="12">
        <f t="shared" si="5"/>
        <v>0.5</v>
      </c>
      <c r="K30" s="12">
        <f t="shared" si="5"/>
        <v>0.5</v>
      </c>
      <c r="L30" s="10"/>
      <c r="N30">
        <v>0</v>
      </c>
      <c r="O30" s="11">
        <v>0.5</v>
      </c>
      <c r="P30" s="11"/>
      <c r="Q30" s="11">
        <v>0.5</v>
      </c>
      <c r="R30" s="11"/>
      <c r="V30" s="11"/>
      <c r="W30" s="11">
        <v>0.5</v>
      </c>
      <c r="X30" s="11"/>
      <c r="Y30" s="11">
        <v>0.5</v>
      </c>
      <c r="AC30" s="11"/>
      <c r="AD30" s="11">
        <v>0.5</v>
      </c>
      <c r="AE30" s="11"/>
      <c r="AF30" s="11">
        <v>0.5</v>
      </c>
      <c r="AJ30" s="11"/>
      <c r="AK30" s="11">
        <v>0.5</v>
      </c>
      <c r="AL30" s="11"/>
      <c r="AM30" s="11">
        <v>0.5</v>
      </c>
      <c r="AP30">
        <v>3</v>
      </c>
      <c r="AQ30" s="11"/>
      <c r="AR30" s="11">
        <v>1</v>
      </c>
      <c r="AS30" s="11"/>
      <c r="AT30" s="11">
        <v>1</v>
      </c>
      <c r="AX30" s="11"/>
      <c r="AY30" s="11"/>
      <c r="AZ30" s="11"/>
      <c r="BA30" s="11"/>
      <c r="BE30" s="11"/>
      <c r="BF30" s="11">
        <v>1</v>
      </c>
      <c r="BG30" s="11"/>
      <c r="BH30" s="11">
        <v>1</v>
      </c>
      <c r="BK30">
        <v>2</v>
      </c>
      <c r="BL30" s="11"/>
      <c r="BM30" s="11">
        <v>1</v>
      </c>
      <c r="BN30" s="11"/>
      <c r="BO30" s="11">
        <v>1</v>
      </c>
      <c r="BS30" s="11"/>
      <c r="BT30" s="11"/>
      <c r="BU30" s="11"/>
      <c r="BV30" s="11"/>
      <c r="CA30" s="11"/>
      <c r="CB30" s="11"/>
      <c r="CC30" s="11"/>
      <c r="CD30" s="11"/>
      <c r="CF30" s="25"/>
    </row>
    <row r="31" spans="2:84" outlineLevel="1">
      <c r="B31" t="s">
        <v>28</v>
      </c>
      <c r="C31" t="s">
        <v>51</v>
      </c>
      <c r="E31" s="10"/>
      <c r="F31" t="s">
        <v>77</v>
      </c>
      <c r="G31" s="11">
        <v>0.1</v>
      </c>
      <c r="I31" s="10">
        <f t="shared" si="4"/>
        <v>5</v>
      </c>
      <c r="J31" s="12">
        <f t="shared" si="5"/>
        <v>0.5</v>
      </c>
      <c r="K31" s="12">
        <f t="shared" si="5"/>
        <v>0.5</v>
      </c>
      <c r="L31" s="10"/>
      <c r="N31">
        <v>0</v>
      </c>
      <c r="O31" s="11">
        <v>0.5</v>
      </c>
      <c r="P31" s="11"/>
      <c r="Q31" s="11">
        <v>0.5</v>
      </c>
      <c r="R31" s="11"/>
      <c r="V31" s="11"/>
      <c r="W31" s="11">
        <v>0.5</v>
      </c>
      <c r="X31" s="11"/>
      <c r="Y31" s="11">
        <v>0.5</v>
      </c>
      <c r="AC31" s="11"/>
      <c r="AD31" s="11">
        <v>0.5</v>
      </c>
      <c r="AE31" s="11"/>
      <c r="AF31" s="11">
        <v>0.5</v>
      </c>
      <c r="AJ31" s="11"/>
      <c r="AK31" s="11">
        <v>0.5</v>
      </c>
      <c r="AL31" s="11"/>
      <c r="AM31" s="11">
        <v>0.5</v>
      </c>
      <c r="AP31">
        <v>0</v>
      </c>
      <c r="AQ31" s="11"/>
      <c r="AR31" s="11">
        <v>0.5</v>
      </c>
      <c r="AS31" s="11"/>
      <c r="AT31" s="11">
        <v>0.5</v>
      </c>
      <c r="AW31">
        <v>3</v>
      </c>
      <c r="AX31" s="11"/>
      <c r="AY31" s="11">
        <v>1</v>
      </c>
      <c r="AZ31" s="11"/>
      <c r="BA31" s="11">
        <v>1</v>
      </c>
      <c r="BE31" s="11"/>
      <c r="BF31" s="11">
        <v>1</v>
      </c>
      <c r="BG31" s="11"/>
      <c r="BH31" s="11">
        <v>1</v>
      </c>
      <c r="BK31">
        <v>2</v>
      </c>
      <c r="BL31" s="11"/>
      <c r="BM31" s="11">
        <v>1</v>
      </c>
      <c r="BN31" s="11"/>
      <c r="BO31" s="11">
        <v>1</v>
      </c>
      <c r="BS31" s="11"/>
      <c r="BT31" s="11"/>
      <c r="BU31" s="11"/>
      <c r="BV31" s="11"/>
      <c r="CA31" s="11"/>
      <c r="CB31" s="11"/>
      <c r="CC31" s="11"/>
      <c r="CD31" s="11"/>
      <c r="CF31" s="25"/>
    </row>
    <row r="32" spans="2:84" outlineLevel="1">
      <c r="B32" t="s">
        <v>28</v>
      </c>
      <c r="C32" t="s">
        <v>51</v>
      </c>
      <c r="E32" s="10"/>
      <c r="F32" t="s">
        <v>78</v>
      </c>
      <c r="G32" s="11">
        <v>0.1</v>
      </c>
      <c r="I32" s="10">
        <f t="shared" si="4"/>
        <v>6</v>
      </c>
      <c r="J32" s="12">
        <f t="shared" si="5"/>
        <v>0.3</v>
      </c>
      <c r="K32" s="12">
        <f t="shared" si="5"/>
        <v>0.3</v>
      </c>
      <c r="L32" s="10"/>
      <c r="N32">
        <v>0</v>
      </c>
      <c r="O32" s="11">
        <v>0.3</v>
      </c>
      <c r="P32" s="11"/>
      <c r="Q32" s="11">
        <v>0.3</v>
      </c>
      <c r="R32" s="11"/>
      <c r="V32" s="11"/>
      <c r="W32" s="11">
        <v>0.3</v>
      </c>
      <c r="X32" s="11"/>
      <c r="Y32" s="11">
        <v>0.3</v>
      </c>
      <c r="AC32" s="11"/>
      <c r="AD32" s="11">
        <v>0.3</v>
      </c>
      <c r="AE32" s="11"/>
      <c r="AF32" s="11">
        <v>0.3</v>
      </c>
      <c r="AJ32" s="11"/>
      <c r="AK32" s="11">
        <v>0.3</v>
      </c>
      <c r="AL32" s="11"/>
      <c r="AM32" s="11">
        <v>0.3</v>
      </c>
      <c r="AP32">
        <v>0</v>
      </c>
      <c r="AQ32" s="11"/>
      <c r="AR32" s="11">
        <v>0.3</v>
      </c>
      <c r="AS32" s="11"/>
      <c r="AT32" s="11">
        <v>0.3</v>
      </c>
      <c r="AX32" s="11"/>
      <c r="AY32" s="11"/>
      <c r="AZ32" s="11"/>
      <c r="BA32" s="11"/>
      <c r="BD32">
        <v>4</v>
      </c>
      <c r="BE32" s="11"/>
      <c r="BF32" s="11">
        <v>1</v>
      </c>
      <c r="BG32" s="11"/>
      <c r="BH32" s="11">
        <v>1</v>
      </c>
      <c r="BK32">
        <v>2</v>
      </c>
      <c r="BL32" s="11"/>
      <c r="BM32" s="11">
        <v>1</v>
      </c>
      <c r="BN32" s="11"/>
      <c r="BO32" s="11">
        <v>1</v>
      </c>
      <c r="BS32" s="11"/>
      <c r="BT32" s="11"/>
      <c r="BU32" s="11"/>
      <c r="BV32" s="11"/>
      <c r="CA32" s="11"/>
      <c r="CB32" s="11"/>
      <c r="CC32" s="11"/>
      <c r="CD32" s="11"/>
      <c r="CF32" s="25"/>
    </row>
    <row r="33" spans="2:84" outlineLevel="1">
      <c r="B33" t="s">
        <v>28</v>
      </c>
      <c r="C33" t="s">
        <v>51</v>
      </c>
      <c r="E33" s="10"/>
      <c r="F33" t="s">
        <v>79</v>
      </c>
      <c r="G33" s="11">
        <v>0.1</v>
      </c>
      <c r="I33" s="10">
        <f t="shared" si="4"/>
        <v>4</v>
      </c>
      <c r="J33" s="12">
        <f t="shared" si="5"/>
        <v>0.8</v>
      </c>
      <c r="K33" s="12">
        <f t="shared" si="5"/>
        <v>0.8</v>
      </c>
      <c r="L33" s="10"/>
      <c r="O33" s="11">
        <v>0.8</v>
      </c>
      <c r="P33" s="11"/>
      <c r="Q33" s="11">
        <v>0.8</v>
      </c>
      <c r="R33" s="11"/>
      <c r="V33" s="11"/>
      <c r="W33" s="11">
        <v>0.8</v>
      </c>
      <c r="X33" s="11"/>
      <c r="Y33" s="11">
        <v>0.8</v>
      </c>
      <c r="AC33" s="11"/>
      <c r="AD33" s="11">
        <v>0.8</v>
      </c>
      <c r="AE33" s="11"/>
      <c r="AF33" s="11">
        <v>0.8</v>
      </c>
      <c r="AJ33" s="11"/>
      <c r="AK33" s="11">
        <v>0.8</v>
      </c>
      <c r="AL33" s="11"/>
      <c r="AM33" s="11">
        <v>0.8</v>
      </c>
      <c r="AP33">
        <v>0</v>
      </c>
      <c r="AQ33" s="11"/>
      <c r="AR33" s="11">
        <v>0.8</v>
      </c>
      <c r="AS33" s="11"/>
      <c r="AT33" s="11">
        <v>0.8</v>
      </c>
      <c r="AX33" s="11"/>
      <c r="AY33" s="11"/>
      <c r="AZ33" s="11"/>
      <c r="BA33" s="11"/>
      <c r="BD33">
        <v>2</v>
      </c>
      <c r="BE33" s="11"/>
      <c r="BF33" s="11">
        <v>1</v>
      </c>
      <c r="BG33" s="11"/>
      <c r="BH33" s="11">
        <v>1</v>
      </c>
      <c r="BK33">
        <v>2</v>
      </c>
      <c r="BL33" s="11"/>
      <c r="BM33" s="11">
        <v>1</v>
      </c>
      <c r="BN33" s="11"/>
      <c r="BO33" s="11">
        <v>1</v>
      </c>
      <c r="BS33" s="11"/>
      <c r="BT33" s="11"/>
      <c r="BU33" s="11"/>
      <c r="BV33" s="11"/>
      <c r="CA33" s="11"/>
      <c r="CB33" s="11"/>
      <c r="CC33" s="11"/>
      <c r="CD33" s="11"/>
      <c r="CF33" s="25"/>
    </row>
    <row r="34" spans="2:84" outlineLevel="1">
      <c r="B34" t="s">
        <v>28</v>
      </c>
      <c r="C34" t="s">
        <v>51</v>
      </c>
      <c r="E34" s="10"/>
      <c r="F34" t="s">
        <v>80</v>
      </c>
      <c r="G34" s="11">
        <v>0.1</v>
      </c>
      <c r="I34" s="10">
        <f t="shared" si="4"/>
        <v>2</v>
      </c>
      <c r="J34" s="12">
        <f t="shared" si="5"/>
        <v>0.8</v>
      </c>
      <c r="K34" s="12">
        <f t="shared" si="5"/>
        <v>0.8</v>
      </c>
      <c r="L34" s="10"/>
      <c r="O34" s="11">
        <v>0.8</v>
      </c>
      <c r="P34" s="11"/>
      <c r="Q34" s="11">
        <v>0.8</v>
      </c>
      <c r="R34" s="11"/>
      <c r="V34" s="11"/>
      <c r="W34" s="11">
        <v>0.8</v>
      </c>
      <c r="X34" s="11"/>
      <c r="Y34" s="11">
        <v>0.8</v>
      </c>
      <c r="AC34" s="11"/>
      <c r="AD34" s="11">
        <v>0.8</v>
      </c>
      <c r="AE34" s="11"/>
      <c r="AF34" s="11">
        <v>0.8</v>
      </c>
      <c r="AJ34" s="11"/>
      <c r="AK34" s="11">
        <v>0.8</v>
      </c>
      <c r="AL34" s="11"/>
      <c r="AM34" s="11">
        <v>0.8</v>
      </c>
      <c r="AP34">
        <v>0</v>
      </c>
      <c r="AQ34" s="11"/>
      <c r="AR34" s="11">
        <v>0.8</v>
      </c>
      <c r="AS34" s="11"/>
      <c r="AT34" s="11">
        <v>0.8</v>
      </c>
      <c r="AX34" s="11"/>
      <c r="AY34" s="11"/>
      <c r="AZ34" s="11"/>
      <c r="BA34" s="11"/>
      <c r="BE34" s="11"/>
      <c r="BF34" s="11">
        <v>0.8</v>
      </c>
      <c r="BG34" s="11"/>
      <c r="BH34" s="11">
        <v>0.8</v>
      </c>
      <c r="BK34">
        <v>2</v>
      </c>
      <c r="BL34" s="11"/>
      <c r="BM34" s="11">
        <v>1</v>
      </c>
      <c r="BN34" s="11"/>
      <c r="BO34" s="11">
        <v>1</v>
      </c>
      <c r="BS34" s="11"/>
      <c r="BT34" s="11"/>
      <c r="BU34" s="11"/>
      <c r="BV34" s="11"/>
      <c r="CA34" s="11"/>
      <c r="CB34" s="11"/>
      <c r="CC34" s="11"/>
      <c r="CD34" s="11"/>
      <c r="CF34" s="25"/>
    </row>
    <row r="35" spans="2:84" outlineLevel="1">
      <c r="B35" t="s">
        <v>28</v>
      </c>
      <c r="C35" t="s">
        <v>51</v>
      </c>
      <c r="E35" s="10"/>
      <c r="F35" t="s">
        <v>81</v>
      </c>
      <c r="G35" s="11">
        <v>0.1</v>
      </c>
      <c r="I35" s="10">
        <f t="shared" si="4"/>
        <v>2</v>
      </c>
      <c r="J35" s="12">
        <f t="shared" si="5"/>
        <v>0.8</v>
      </c>
      <c r="K35" s="12">
        <f t="shared" si="5"/>
        <v>0.8</v>
      </c>
      <c r="L35" s="10"/>
      <c r="O35" s="11">
        <v>0.8</v>
      </c>
      <c r="P35" s="11"/>
      <c r="Q35" s="11">
        <v>0.8</v>
      </c>
      <c r="R35" s="11"/>
      <c r="V35" s="11"/>
      <c r="W35" s="11">
        <v>0.8</v>
      </c>
      <c r="X35" s="11"/>
      <c r="Y35" s="11">
        <v>0.8</v>
      </c>
      <c r="AC35" s="11"/>
      <c r="AD35" s="11">
        <v>0.8</v>
      </c>
      <c r="AE35" s="11"/>
      <c r="AF35" s="11">
        <v>0.8</v>
      </c>
      <c r="AJ35" s="11"/>
      <c r="AK35" s="11">
        <v>0.8</v>
      </c>
      <c r="AL35" s="11"/>
      <c r="AM35" s="11">
        <v>0.8</v>
      </c>
      <c r="AP35">
        <v>0</v>
      </c>
      <c r="AQ35" s="11"/>
      <c r="AR35" s="11">
        <v>0.8</v>
      </c>
      <c r="AS35" s="11"/>
      <c r="AT35" s="11">
        <v>0.8</v>
      </c>
      <c r="AX35" s="11"/>
      <c r="AY35" s="11"/>
      <c r="AZ35" s="11"/>
      <c r="BA35" s="11"/>
      <c r="BE35" s="11"/>
      <c r="BF35" s="11">
        <v>0.8</v>
      </c>
      <c r="BG35" s="11"/>
      <c r="BH35" s="11">
        <v>0.8</v>
      </c>
      <c r="BK35">
        <v>2</v>
      </c>
      <c r="BL35" s="11"/>
      <c r="BM35" s="11">
        <v>1</v>
      </c>
      <c r="BN35" s="11"/>
      <c r="BO35" s="11">
        <v>1</v>
      </c>
      <c r="BS35" s="11"/>
      <c r="BT35" s="11"/>
      <c r="BU35" s="11"/>
      <c r="BV35" s="11"/>
      <c r="CA35" s="11"/>
      <c r="CB35" s="11"/>
      <c r="CC35" s="11"/>
      <c r="CD35" s="11"/>
      <c r="CF35" s="25"/>
    </row>
    <row r="36" spans="2:84" outlineLevel="1">
      <c r="B36" t="s">
        <v>28</v>
      </c>
      <c r="C36" t="s">
        <v>51</v>
      </c>
      <c r="E36" s="10"/>
      <c r="F36" t="s">
        <v>82</v>
      </c>
      <c r="G36" s="11">
        <v>0.1</v>
      </c>
      <c r="I36" s="10">
        <f t="shared" si="4"/>
        <v>6</v>
      </c>
      <c r="J36" s="12">
        <f t="shared" si="5"/>
        <v>0.5</v>
      </c>
      <c r="K36" s="12">
        <f t="shared" si="5"/>
        <v>0.5</v>
      </c>
      <c r="L36" s="10"/>
      <c r="O36" s="11">
        <v>0.5</v>
      </c>
      <c r="P36" s="11"/>
      <c r="Q36" s="11">
        <v>0.5</v>
      </c>
      <c r="R36" s="11"/>
      <c r="U36">
        <v>2</v>
      </c>
      <c r="V36" s="11"/>
      <c r="W36" s="11">
        <v>0.8</v>
      </c>
      <c r="X36" s="11"/>
      <c r="Y36" s="11">
        <v>0.8</v>
      </c>
      <c r="AB36">
        <v>2</v>
      </c>
      <c r="AC36" s="11"/>
      <c r="AD36" s="11">
        <v>1</v>
      </c>
      <c r="AE36" s="11"/>
      <c r="AF36" s="11">
        <v>1</v>
      </c>
      <c r="AJ36" s="11"/>
      <c r="AK36" s="11">
        <v>1</v>
      </c>
      <c r="AL36" s="11"/>
      <c r="AM36" s="11">
        <v>1</v>
      </c>
      <c r="AP36">
        <v>0</v>
      </c>
      <c r="AQ36" s="11"/>
      <c r="AR36" s="11">
        <v>1</v>
      </c>
      <c r="AS36" s="11"/>
      <c r="AT36" s="11">
        <v>1</v>
      </c>
      <c r="AX36" s="11"/>
      <c r="AY36" s="11"/>
      <c r="AZ36" s="11"/>
      <c r="BA36" s="11"/>
      <c r="BE36" s="11"/>
      <c r="BF36" s="11">
        <v>1</v>
      </c>
      <c r="BG36" s="11"/>
      <c r="BH36" s="11">
        <v>1</v>
      </c>
      <c r="BK36">
        <v>2</v>
      </c>
      <c r="BL36" s="11"/>
      <c r="BM36" s="11">
        <v>1</v>
      </c>
      <c r="BN36" s="11"/>
      <c r="BO36" s="11">
        <v>1</v>
      </c>
      <c r="BS36" s="11"/>
      <c r="BT36" s="11"/>
      <c r="BU36" s="11"/>
      <c r="BV36" s="11"/>
      <c r="CA36" s="11"/>
      <c r="CB36" s="11"/>
      <c r="CC36" s="11"/>
      <c r="CD36" s="11"/>
      <c r="CF36" s="25"/>
    </row>
    <row r="37" spans="2:84" outlineLevel="1">
      <c r="B37" t="s">
        <v>28</v>
      </c>
      <c r="C37" t="s">
        <v>51</v>
      </c>
      <c r="E37" s="10"/>
      <c r="F37" t="s">
        <v>83</v>
      </c>
      <c r="G37" s="11">
        <v>0.1</v>
      </c>
      <c r="I37" s="10">
        <f t="shared" si="4"/>
        <v>8</v>
      </c>
      <c r="J37" s="12">
        <f t="shared" si="5"/>
        <v>0</v>
      </c>
      <c r="K37" s="12">
        <f t="shared" si="5"/>
        <v>0</v>
      </c>
      <c r="L37" s="10"/>
      <c r="O37" s="11"/>
      <c r="P37" s="11"/>
      <c r="Q37" s="11"/>
      <c r="R37" s="11"/>
      <c r="U37">
        <v>3</v>
      </c>
      <c r="V37" s="11"/>
      <c r="W37" s="11">
        <v>0.5</v>
      </c>
      <c r="X37" s="11"/>
      <c r="Y37" s="11">
        <v>0.5</v>
      </c>
      <c r="AB37">
        <v>3</v>
      </c>
      <c r="AC37" s="11"/>
      <c r="AD37" s="11">
        <v>1</v>
      </c>
      <c r="AE37" s="11"/>
      <c r="AF37" s="11">
        <v>1</v>
      </c>
      <c r="AJ37" s="11"/>
      <c r="AK37" s="11">
        <v>1</v>
      </c>
      <c r="AL37" s="11"/>
      <c r="AM37" s="11">
        <v>1</v>
      </c>
      <c r="AP37">
        <v>0</v>
      </c>
      <c r="AQ37" s="11"/>
      <c r="AR37" s="11">
        <v>1</v>
      </c>
      <c r="AS37" s="11"/>
      <c r="AT37" s="11">
        <v>1</v>
      </c>
      <c r="AX37" s="11"/>
      <c r="AY37" s="11"/>
      <c r="AZ37" s="11"/>
      <c r="BA37" s="11"/>
      <c r="BE37" s="11"/>
      <c r="BF37" s="11">
        <v>1</v>
      </c>
      <c r="BG37" s="11"/>
      <c r="BH37" s="11">
        <v>1</v>
      </c>
      <c r="BK37">
        <v>2</v>
      </c>
      <c r="BL37" s="11"/>
      <c r="BM37" s="11">
        <v>1</v>
      </c>
      <c r="BN37" s="11"/>
      <c r="BO37" s="11">
        <v>1</v>
      </c>
      <c r="BS37" s="11"/>
      <c r="BT37" s="11"/>
      <c r="BU37" s="11"/>
      <c r="BV37" s="11"/>
      <c r="CA37" s="11"/>
      <c r="CB37" s="11"/>
      <c r="CC37" s="11"/>
      <c r="CD37" s="11"/>
      <c r="CF37" s="25"/>
    </row>
    <row r="38" spans="2:84" s="21" customFormat="1">
      <c r="T38" s="23"/>
      <c r="AA38" s="23"/>
      <c r="AH38" s="23"/>
      <c r="AO38" s="23"/>
      <c r="AV38" s="23"/>
      <c r="BC38" s="23"/>
      <c r="BJ38" s="23"/>
      <c r="BQ38" s="23"/>
      <c r="BY38" s="23"/>
      <c r="CF38" s="26"/>
    </row>
    <row r="39" spans="2:84">
      <c r="B39" t="s">
        <v>27</v>
      </c>
      <c r="C39" t="s">
        <v>52</v>
      </c>
      <c r="D39" s="18">
        <v>44259</v>
      </c>
      <c r="E39" s="10">
        <v>5</v>
      </c>
      <c r="G39" s="11">
        <f>+SUM(G40:G51)</f>
        <v>0.99999999999999967</v>
      </c>
      <c r="I39" s="13">
        <f>+SUM(I40:I51)</f>
        <v>60</v>
      </c>
      <c r="J39" s="12">
        <f>+SUMPRODUCT(G40:G51,J40:J51)</f>
        <v>0.38400000000000006</v>
      </c>
      <c r="K39" s="12">
        <f>+SUMPRODUCT(G40:G51,K40:K51)</f>
        <v>0.38400000000000006</v>
      </c>
      <c r="L39" s="10"/>
      <c r="N39" s="13">
        <f>+SUM(N40:N51)</f>
        <v>0</v>
      </c>
      <c r="U39" s="13">
        <f>+SUM(U40:U51)</f>
        <v>8</v>
      </c>
      <c r="AB39" s="13">
        <f>+SUM(AB40:AB51)</f>
        <v>12</v>
      </c>
      <c r="AI39" s="13">
        <f>+SUM(AI40:AI51)</f>
        <v>12</v>
      </c>
      <c r="AP39" s="13">
        <f>+SUM(AP40:AP51)</f>
        <v>14</v>
      </c>
      <c r="AW39" s="13">
        <f>+SUM(AW40:AW51)</f>
        <v>14</v>
      </c>
      <c r="BB39" t="s">
        <v>128</v>
      </c>
      <c r="BD39" s="13">
        <f>+SUM(BD40:BD51)</f>
        <v>0</v>
      </c>
      <c r="BK39" s="13">
        <f>+SUM(BK40:BK51)</f>
        <v>0</v>
      </c>
      <c r="BQ39" s="27"/>
      <c r="BR39" s="13">
        <f>+SUM(BR40:BR51)</f>
        <v>0</v>
      </c>
      <c r="BZ39" s="13">
        <f>+SUM(BZ40:BZ51)</f>
        <v>0</v>
      </c>
    </row>
    <row r="40" spans="2:84" outlineLevel="1">
      <c r="B40" t="s">
        <v>28</v>
      </c>
      <c r="C40" t="s">
        <v>52</v>
      </c>
      <c r="E40" s="10"/>
      <c r="F40" t="s">
        <v>84</v>
      </c>
      <c r="G40" s="11">
        <v>0.08</v>
      </c>
      <c r="I40" s="10">
        <f>+SUMIF($N$3:$ZZ$3,I$3,$N40:$ZZ40)</f>
        <v>2</v>
      </c>
      <c r="J40" s="12">
        <f t="shared" ref="J40:K51" si="6">+_xlfn.MAXIFS($N40:$ZF40,$N$3:$ZF$3,J$3)</f>
        <v>0.8</v>
      </c>
      <c r="K40" s="12">
        <f t="shared" si="6"/>
        <v>0.8</v>
      </c>
      <c r="L40" s="10"/>
      <c r="O40" s="11">
        <v>0.8</v>
      </c>
      <c r="P40" s="11"/>
      <c r="Q40" s="11">
        <v>0.8</v>
      </c>
      <c r="R40" s="11"/>
      <c r="U40">
        <v>0</v>
      </c>
      <c r="V40" s="11"/>
      <c r="W40" s="11"/>
      <c r="X40" s="11"/>
      <c r="Y40" s="11"/>
      <c r="AC40" s="11"/>
      <c r="AD40" s="11"/>
      <c r="AE40" s="11"/>
      <c r="AF40" s="11"/>
      <c r="AJ40" s="11"/>
      <c r="AK40" s="11"/>
      <c r="AL40" s="11"/>
      <c r="AM40" s="11"/>
      <c r="AP40" s="29">
        <v>2</v>
      </c>
      <c r="AQ40" s="11"/>
      <c r="AR40" s="11">
        <v>1</v>
      </c>
      <c r="AS40" s="11"/>
      <c r="AT40" s="11">
        <v>1</v>
      </c>
      <c r="AX40" s="11"/>
      <c r="AY40" s="11">
        <v>1</v>
      </c>
      <c r="AZ40" s="11"/>
      <c r="BA40" s="11">
        <v>1</v>
      </c>
      <c r="BE40" s="11"/>
      <c r="BF40" s="11"/>
      <c r="BG40" s="11"/>
      <c r="BH40" s="11"/>
      <c r="BL40" s="11"/>
      <c r="BM40" s="11"/>
      <c r="BN40" s="11"/>
      <c r="BO40" s="11"/>
      <c r="BQ40" s="27"/>
      <c r="BS40" s="11"/>
      <c r="BT40" s="11"/>
      <c r="BU40" s="11"/>
      <c r="BV40" s="11"/>
      <c r="CA40" s="11"/>
      <c r="CB40" s="11"/>
      <c r="CC40" s="11"/>
      <c r="CD40" s="11"/>
    </row>
    <row r="41" spans="2:84" outlineLevel="1">
      <c r="B41" t="s">
        <v>28</v>
      </c>
      <c r="C41" t="s">
        <v>52</v>
      </c>
      <c r="E41" s="10"/>
      <c r="F41" t="s">
        <v>85</v>
      </c>
      <c r="G41" s="11">
        <v>0.08</v>
      </c>
      <c r="I41" s="10">
        <f t="shared" ref="I41:I50" si="7">+SUMIF($N$3:$ZZ$3,I$3,$N41:$ZZ41)</f>
        <v>3</v>
      </c>
      <c r="J41" s="12">
        <f t="shared" si="6"/>
        <v>0.6</v>
      </c>
      <c r="K41" s="12">
        <f t="shared" si="6"/>
        <v>0.6</v>
      </c>
      <c r="L41" s="10"/>
      <c r="O41" s="11">
        <v>0.6</v>
      </c>
      <c r="P41" s="11"/>
      <c r="Q41" s="11">
        <v>0.6</v>
      </c>
      <c r="R41" s="11"/>
      <c r="V41" s="11"/>
      <c r="W41" s="11"/>
      <c r="X41" s="11"/>
      <c r="Y41" s="11"/>
      <c r="AC41" s="11"/>
      <c r="AD41" s="11"/>
      <c r="AE41" s="11"/>
      <c r="AF41" s="11"/>
      <c r="AJ41" s="11"/>
      <c r="AK41" s="11"/>
      <c r="AL41" s="11"/>
      <c r="AM41" s="11"/>
      <c r="AP41">
        <v>3</v>
      </c>
      <c r="AQ41" s="11"/>
      <c r="AR41" s="11">
        <v>1</v>
      </c>
      <c r="AS41" s="11"/>
      <c r="AT41" s="11">
        <v>1</v>
      </c>
      <c r="AX41" s="11"/>
      <c r="AY41" s="11">
        <v>1</v>
      </c>
      <c r="AZ41" s="11"/>
      <c r="BA41" s="11">
        <v>1</v>
      </c>
      <c r="BE41" s="11"/>
      <c r="BF41" s="11"/>
      <c r="BG41" s="11"/>
      <c r="BH41" s="11"/>
      <c r="BL41" s="11"/>
      <c r="BM41" s="11"/>
      <c r="BN41" s="11"/>
      <c r="BO41" s="11"/>
      <c r="BQ41" s="27"/>
      <c r="BS41" s="11"/>
      <c r="BT41" s="11"/>
      <c r="BU41" s="11"/>
      <c r="BV41" s="11"/>
      <c r="CA41" s="11"/>
      <c r="CB41" s="11"/>
      <c r="CC41" s="11"/>
      <c r="CD41" s="11"/>
    </row>
    <row r="42" spans="2:84" outlineLevel="1">
      <c r="B42" t="s">
        <v>28</v>
      </c>
      <c r="C42" t="s">
        <v>52</v>
      </c>
      <c r="E42" s="10"/>
      <c r="F42" t="s">
        <v>86</v>
      </c>
      <c r="G42" s="11">
        <v>0.08</v>
      </c>
      <c r="I42" s="10">
        <f t="shared" si="7"/>
        <v>2</v>
      </c>
      <c r="J42" s="12">
        <f t="shared" si="6"/>
        <v>0.8</v>
      </c>
      <c r="K42" s="12">
        <f t="shared" si="6"/>
        <v>0.8</v>
      </c>
      <c r="L42" s="10"/>
      <c r="O42" s="11">
        <v>0.8</v>
      </c>
      <c r="P42" s="11"/>
      <c r="Q42" s="11">
        <v>0.8</v>
      </c>
      <c r="R42" s="11"/>
      <c r="V42" s="11"/>
      <c r="W42" s="11"/>
      <c r="X42" s="11"/>
      <c r="Y42" s="11"/>
      <c r="AC42" s="11"/>
      <c r="AD42" s="11"/>
      <c r="AE42" s="11"/>
      <c r="AF42" s="11"/>
      <c r="AJ42" s="11"/>
      <c r="AK42" s="11"/>
      <c r="AL42" s="11"/>
      <c r="AM42" s="11"/>
      <c r="AP42">
        <v>2</v>
      </c>
      <c r="AQ42" s="11"/>
      <c r="AR42" s="11">
        <v>1</v>
      </c>
      <c r="AS42" s="11"/>
      <c r="AT42" s="11">
        <v>1</v>
      </c>
      <c r="AX42" s="11"/>
      <c r="AY42" s="11">
        <v>1</v>
      </c>
      <c r="AZ42" s="11"/>
      <c r="BA42" s="11">
        <v>1</v>
      </c>
      <c r="BE42" s="11"/>
      <c r="BF42" s="11"/>
      <c r="BG42" s="11"/>
      <c r="BH42" s="11"/>
      <c r="BL42" s="11"/>
      <c r="BM42" s="11"/>
      <c r="BN42" s="11"/>
      <c r="BO42" s="11"/>
      <c r="BQ42" s="27"/>
      <c r="BS42" s="11"/>
      <c r="BT42" s="11"/>
      <c r="BU42" s="11"/>
      <c r="BV42" s="11"/>
      <c r="CA42" s="11"/>
      <c r="CB42" s="11"/>
      <c r="CC42" s="11"/>
      <c r="CD42" s="11"/>
    </row>
    <row r="43" spans="2:84" outlineLevel="1">
      <c r="B43" t="s">
        <v>28</v>
      </c>
      <c r="C43" t="s">
        <v>52</v>
      </c>
      <c r="E43" s="10"/>
      <c r="F43" t="s">
        <v>87</v>
      </c>
      <c r="G43" s="11">
        <v>0.1</v>
      </c>
      <c r="I43" s="10">
        <f t="shared" si="7"/>
        <v>2</v>
      </c>
      <c r="J43" s="12">
        <f t="shared" si="6"/>
        <v>0.8</v>
      </c>
      <c r="K43" s="12">
        <f t="shared" si="6"/>
        <v>0.8</v>
      </c>
      <c r="L43" s="10"/>
      <c r="O43" s="11">
        <v>0.8</v>
      </c>
      <c r="P43" s="11"/>
      <c r="Q43" s="11">
        <v>0.8</v>
      </c>
      <c r="R43" s="11"/>
      <c r="V43" s="11"/>
      <c r="W43" s="11"/>
      <c r="X43" s="11"/>
      <c r="Y43" s="11"/>
      <c r="AC43" s="11"/>
      <c r="AD43" s="11"/>
      <c r="AE43" s="11"/>
      <c r="AF43" s="11"/>
      <c r="AJ43" s="11"/>
      <c r="AK43" s="11"/>
      <c r="AL43" s="11"/>
      <c r="AM43" s="11"/>
      <c r="AQ43" s="11"/>
      <c r="AR43" s="11">
        <v>0.8</v>
      </c>
      <c r="AS43" s="11"/>
      <c r="AT43" s="11">
        <v>0.8</v>
      </c>
      <c r="AW43">
        <v>2</v>
      </c>
      <c r="AX43" s="11"/>
      <c r="AY43" s="11">
        <v>1</v>
      </c>
      <c r="AZ43" s="11"/>
      <c r="BA43" s="11">
        <v>1</v>
      </c>
      <c r="BE43" s="11"/>
      <c r="BF43" s="11"/>
      <c r="BG43" s="11"/>
      <c r="BH43" s="11"/>
      <c r="BL43" s="11"/>
      <c r="BM43" s="11"/>
      <c r="BN43" s="11"/>
      <c r="BO43" s="11"/>
      <c r="BQ43" s="27"/>
      <c r="BS43" s="11"/>
      <c r="BT43" s="11"/>
      <c r="BU43" s="11"/>
      <c r="BV43" s="11"/>
      <c r="CA43" s="11"/>
      <c r="CB43" s="11"/>
      <c r="CC43" s="11"/>
      <c r="CD43" s="11"/>
    </row>
    <row r="44" spans="2:84" outlineLevel="1">
      <c r="B44" t="s">
        <v>28</v>
      </c>
      <c r="C44" t="s">
        <v>52</v>
      </c>
      <c r="E44" s="10"/>
      <c r="F44" t="s">
        <v>88</v>
      </c>
      <c r="G44" s="11">
        <v>0.1</v>
      </c>
      <c r="I44" s="10">
        <f t="shared" si="7"/>
        <v>2</v>
      </c>
      <c r="J44" s="12">
        <f t="shared" si="6"/>
        <v>0.8</v>
      </c>
      <c r="K44" s="12">
        <f t="shared" si="6"/>
        <v>0.8</v>
      </c>
      <c r="L44" s="10"/>
      <c r="O44" s="11">
        <v>0.8</v>
      </c>
      <c r="P44" s="11"/>
      <c r="Q44" s="11">
        <v>0.8</v>
      </c>
      <c r="R44" s="11"/>
      <c r="V44" s="11"/>
      <c r="W44" s="11"/>
      <c r="X44" s="11"/>
      <c r="Y44" s="11"/>
      <c r="AC44" s="11"/>
      <c r="AD44" s="11"/>
      <c r="AE44" s="11"/>
      <c r="AF44" s="11"/>
      <c r="AJ44" s="11"/>
      <c r="AK44" s="11"/>
      <c r="AL44" s="11"/>
      <c r="AM44" s="11"/>
      <c r="AQ44" s="11"/>
      <c r="AR44" s="11">
        <v>0.8</v>
      </c>
      <c r="AS44" s="11"/>
      <c r="AT44" s="11">
        <v>0.8</v>
      </c>
      <c r="AW44">
        <v>2</v>
      </c>
      <c r="AX44" s="11"/>
      <c r="AY44" s="11">
        <v>1</v>
      </c>
      <c r="AZ44" s="11"/>
      <c r="BA44" s="11">
        <v>1</v>
      </c>
      <c r="BE44" s="11"/>
      <c r="BF44" s="11"/>
      <c r="BG44" s="11"/>
      <c r="BH44" s="11"/>
      <c r="BL44" s="11"/>
      <c r="BM44" s="11"/>
      <c r="BN44" s="11"/>
      <c r="BO44" s="11"/>
      <c r="BQ44" s="27"/>
      <c r="BS44" s="11"/>
      <c r="BT44" s="11"/>
      <c r="BU44" s="11"/>
      <c r="BV44" s="11"/>
      <c r="CA44" s="11"/>
      <c r="CB44" s="11"/>
      <c r="CC44" s="11"/>
      <c r="CD44" s="11"/>
    </row>
    <row r="45" spans="2:84" outlineLevel="1">
      <c r="B45" t="s">
        <v>28</v>
      </c>
      <c r="C45" t="s">
        <v>52</v>
      </c>
      <c r="E45" s="10"/>
      <c r="F45" t="s">
        <v>89</v>
      </c>
      <c r="G45" s="11">
        <v>0.08</v>
      </c>
      <c r="I45" s="10">
        <f t="shared" si="7"/>
        <v>8</v>
      </c>
      <c r="J45" s="12">
        <f t="shared" si="6"/>
        <v>0.2</v>
      </c>
      <c r="K45" s="12">
        <f t="shared" si="6"/>
        <v>0.2</v>
      </c>
      <c r="L45" s="10"/>
      <c r="O45" s="11">
        <v>0.2</v>
      </c>
      <c r="P45" s="11"/>
      <c r="Q45" s="11">
        <v>0.2</v>
      </c>
      <c r="R45" s="11"/>
      <c r="V45" s="11"/>
      <c r="W45" s="11"/>
      <c r="X45" s="11"/>
      <c r="Y45" s="11"/>
      <c r="AB45">
        <v>4</v>
      </c>
      <c r="AC45" s="11"/>
      <c r="AD45" s="11">
        <v>0.8</v>
      </c>
      <c r="AE45" s="11"/>
      <c r="AF45" s="11">
        <v>0.8</v>
      </c>
      <c r="AI45">
        <v>2</v>
      </c>
      <c r="AJ45" s="11"/>
      <c r="AK45" s="11">
        <v>0.8</v>
      </c>
      <c r="AL45" s="11"/>
      <c r="AM45" s="11">
        <v>0.8</v>
      </c>
      <c r="AP45">
        <v>2</v>
      </c>
      <c r="AQ45" s="11"/>
      <c r="AR45" s="11">
        <v>1</v>
      </c>
      <c r="AS45" s="11"/>
      <c r="AT45" s="11">
        <v>1</v>
      </c>
      <c r="AX45" s="11"/>
      <c r="AY45" s="11">
        <v>1</v>
      </c>
      <c r="AZ45" s="11"/>
      <c r="BA45" s="11">
        <v>1</v>
      </c>
      <c r="BE45" s="11"/>
      <c r="BF45" s="11"/>
      <c r="BG45" s="11"/>
      <c r="BH45" s="11"/>
      <c r="BL45" s="11"/>
      <c r="BM45" s="11"/>
      <c r="BN45" s="11"/>
      <c r="BO45" s="11"/>
      <c r="BQ45" s="27"/>
      <c r="BS45" s="11"/>
      <c r="BT45" s="11"/>
      <c r="BU45" s="11"/>
      <c r="BV45" s="11"/>
      <c r="CA45" s="11"/>
      <c r="CB45" s="11"/>
      <c r="CC45" s="11"/>
      <c r="CD45" s="11"/>
    </row>
    <row r="46" spans="2:84" outlineLevel="1">
      <c r="B46" t="s">
        <v>28</v>
      </c>
      <c r="C46" t="s">
        <v>52</v>
      </c>
      <c r="E46" s="10"/>
      <c r="F46" t="s">
        <v>90</v>
      </c>
      <c r="G46" s="11">
        <v>0.08</v>
      </c>
      <c r="I46" s="10">
        <f t="shared" si="7"/>
        <v>6</v>
      </c>
      <c r="J46" s="12">
        <f t="shared" si="6"/>
        <v>0.2</v>
      </c>
      <c r="K46" s="12">
        <f t="shared" si="6"/>
        <v>0.2</v>
      </c>
      <c r="L46" s="10"/>
      <c r="O46" s="11">
        <v>0.2</v>
      </c>
      <c r="P46" s="11"/>
      <c r="Q46" s="11">
        <v>0.2</v>
      </c>
      <c r="R46" s="11"/>
      <c r="V46" s="11"/>
      <c r="W46" s="11"/>
      <c r="X46" s="11"/>
      <c r="Y46" s="11"/>
      <c r="AC46" s="11"/>
      <c r="AD46" s="11"/>
      <c r="AE46" s="11"/>
      <c r="AF46" s="11"/>
      <c r="AI46">
        <v>1</v>
      </c>
      <c r="AJ46" s="11"/>
      <c r="AK46" s="11">
        <v>0.4</v>
      </c>
      <c r="AL46" s="11"/>
      <c r="AM46" s="11">
        <v>0.4</v>
      </c>
      <c r="AP46">
        <v>1</v>
      </c>
      <c r="AQ46" s="11"/>
      <c r="AR46" s="11">
        <v>0.5</v>
      </c>
      <c r="AS46" s="11"/>
      <c r="AT46" s="11">
        <v>0.5</v>
      </c>
      <c r="AW46">
        <v>4</v>
      </c>
      <c r="AX46" s="11"/>
      <c r="AY46" s="11">
        <v>1</v>
      </c>
      <c r="AZ46" s="11"/>
      <c r="BA46" s="11">
        <v>1</v>
      </c>
      <c r="BE46" s="11"/>
      <c r="BF46" s="11"/>
      <c r="BG46" s="11"/>
      <c r="BH46" s="11"/>
      <c r="BL46" s="11"/>
      <c r="BM46" s="11"/>
      <c r="BN46" s="11"/>
      <c r="BO46" s="11"/>
      <c r="BQ46" s="27"/>
      <c r="BS46" s="11"/>
      <c r="BT46" s="11"/>
      <c r="BU46" s="11"/>
      <c r="BV46" s="11"/>
      <c r="CA46" s="11"/>
      <c r="CB46" s="11"/>
      <c r="CC46" s="11"/>
      <c r="CD46" s="11"/>
    </row>
    <row r="47" spans="2:84" outlineLevel="1">
      <c r="B47" t="s">
        <v>28</v>
      </c>
      <c r="C47" t="s">
        <v>52</v>
      </c>
      <c r="E47" s="10"/>
      <c r="F47" t="s">
        <v>91</v>
      </c>
      <c r="G47" s="11">
        <v>0.08</v>
      </c>
      <c r="I47" s="10">
        <f t="shared" si="7"/>
        <v>6</v>
      </c>
      <c r="J47" s="12">
        <f t="shared" si="6"/>
        <v>0.2</v>
      </c>
      <c r="K47" s="12">
        <f t="shared" si="6"/>
        <v>0.2</v>
      </c>
      <c r="L47" s="10"/>
      <c r="O47" s="11">
        <v>0.2</v>
      </c>
      <c r="P47" s="11"/>
      <c r="Q47" s="11">
        <v>0.2</v>
      </c>
      <c r="R47" s="11"/>
      <c r="V47" s="11"/>
      <c r="W47" s="11"/>
      <c r="X47" s="11"/>
      <c r="Y47" s="11"/>
      <c r="AC47" s="11"/>
      <c r="AD47" s="11"/>
      <c r="AE47" s="11"/>
      <c r="AF47" s="11"/>
      <c r="AJ47" s="11"/>
      <c r="AK47" s="11"/>
      <c r="AL47" s="11"/>
      <c r="AM47" s="11"/>
      <c r="AQ47" s="11"/>
      <c r="AR47" s="11">
        <v>0.2</v>
      </c>
      <c r="AS47" s="11"/>
      <c r="AT47" s="11">
        <v>0.2</v>
      </c>
      <c r="AW47">
        <v>6</v>
      </c>
      <c r="AX47" s="11"/>
      <c r="AY47" s="11">
        <v>1</v>
      </c>
      <c r="AZ47" s="11"/>
      <c r="BA47" s="11">
        <v>1</v>
      </c>
      <c r="BE47" s="11"/>
      <c r="BF47" s="11"/>
      <c r="BG47" s="11"/>
      <c r="BH47" s="11"/>
      <c r="BL47" s="11"/>
      <c r="BM47" s="11"/>
      <c r="BN47" s="11"/>
      <c r="BO47" s="11"/>
      <c r="BQ47" s="27"/>
      <c r="BS47" s="11"/>
      <c r="BT47" s="11"/>
      <c r="BU47" s="11"/>
      <c r="BV47" s="11"/>
      <c r="CA47" s="11"/>
      <c r="CB47" s="11"/>
      <c r="CC47" s="11"/>
      <c r="CD47" s="11"/>
    </row>
    <row r="48" spans="2:84" outlineLevel="1">
      <c r="B48" t="s">
        <v>28</v>
      </c>
      <c r="C48" t="s">
        <v>52</v>
      </c>
      <c r="E48" s="10"/>
      <c r="F48" t="s">
        <v>92</v>
      </c>
      <c r="G48" s="11">
        <v>0.08</v>
      </c>
      <c r="I48" s="10">
        <f t="shared" si="7"/>
        <v>7</v>
      </c>
      <c r="J48" s="12">
        <f t="shared" si="6"/>
        <v>0</v>
      </c>
      <c r="K48" s="12">
        <f t="shared" si="6"/>
        <v>0</v>
      </c>
      <c r="L48" s="10"/>
      <c r="O48" s="11"/>
      <c r="P48" s="11"/>
      <c r="Q48" s="11"/>
      <c r="R48" s="11"/>
      <c r="U48">
        <v>4</v>
      </c>
      <c r="V48" s="11"/>
      <c r="W48" s="11">
        <v>0.5</v>
      </c>
      <c r="X48" s="11"/>
      <c r="Y48" s="11">
        <v>0.5</v>
      </c>
      <c r="AB48">
        <v>2</v>
      </c>
      <c r="AC48" s="11"/>
      <c r="AD48" s="11">
        <v>0.8</v>
      </c>
      <c r="AE48" s="11"/>
      <c r="AF48" s="11">
        <v>0.8</v>
      </c>
      <c r="AI48">
        <v>1</v>
      </c>
      <c r="AJ48" s="11"/>
      <c r="AK48" s="11">
        <v>1</v>
      </c>
      <c r="AL48" s="11"/>
      <c r="AM48" s="11">
        <v>1</v>
      </c>
      <c r="AQ48" s="11"/>
      <c r="AR48" s="11">
        <v>1</v>
      </c>
      <c r="AS48" s="11"/>
      <c r="AT48" s="11">
        <v>1</v>
      </c>
      <c r="AX48" s="11"/>
      <c r="AY48" s="11">
        <v>1</v>
      </c>
      <c r="AZ48" s="11"/>
      <c r="BA48" s="11">
        <v>1</v>
      </c>
      <c r="BE48" s="11"/>
      <c r="BF48" s="11"/>
      <c r="BG48" s="11"/>
      <c r="BH48" s="11"/>
      <c r="BL48" s="11"/>
      <c r="BM48" s="11"/>
      <c r="BN48" s="11"/>
      <c r="BO48" s="11"/>
      <c r="BQ48" s="27"/>
      <c r="BS48" s="11"/>
      <c r="BT48" s="11"/>
      <c r="BU48" s="11"/>
      <c r="BV48" s="11"/>
      <c r="CA48" s="11"/>
      <c r="CB48" s="11"/>
      <c r="CC48" s="11"/>
      <c r="CD48" s="11"/>
    </row>
    <row r="49" spans="2:82" outlineLevel="1">
      <c r="B49" t="s">
        <v>28</v>
      </c>
      <c r="C49" t="s">
        <v>52</v>
      </c>
      <c r="E49" s="10"/>
      <c r="F49" t="s">
        <v>93</v>
      </c>
      <c r="G49" s="11">
        <v>0.08</v>
      </c>
      <c r="I49" s="10">
        <f t="shared" si="7"/>
        <v>8</v>
      </c>
      <c r="J49" s="12">
        <f t="shared" si="6"/>
        <v>0</v>
      </c>
      <c r="K49" s="12">
        <f t="shared" si="6"/>
        <v>0</v>
      </c>
      <c r="L49" s="10"/>
      <c r="O49" s="11"/>
      <c r="P49" s="11"/>
      <c r="Q49" s="11"/>
      <c r="R49" s="11"/>
      <c r="U49">
        <v>4</v>
      </c>
      <c r="V49" s="11"/>
      <c r="W49" s="11">
        <v>0.5</v>
      </c>
      <c r="X49" s="11"/>
      <c r="Y49" s="11">
        <v>0.5</v>
      </c>
      <c r="AB49">
        <v>2</v>
      </c>
      <c r="AC49" s="11"/>
      <c r="AD49" s="11">
        <v>0.8</v>
      </c>
      <c r="AE49" s="11"/>
      <c r="AF49" s="11">
        <v>0.8</v>
      </c>
      <c r="AI49">
        <v>2</v>
      </c>
      <c r="AJ49" s="11"/>
      <c r="AK49" s="11">
        <v>1</v>
      </c>
      <c r="AL49" s="11"/>
      <c r="AM49" s="11">
        <v>1</v>
      </c>
      <c r="AQ49" s="11"/>
      <c r="AR49" s="11">
        <v>1</v>
      </c>
      <c r="AS49" s="11"/>
      <c r="AT49" s="11">
        <v>1</v>
      </c>
      <c r="AX49" s="11"/>
      <c r="AY49" s="11">
        <v>1</v>
      </c>
      <c r="AZ49" s="11"/>
      <c r="BA49" s="11">
        <v>1</v>
      </c>
      <c r="BE49" s="11"/>
      <c r="BF49" s="11"/>
      <c r="BG49" s="11"/>
      <c r="BH49" s="11"/>
      <c r="BL49" s="11"/>
      <c r="BM49" s="11"/>
      <c r="BN49" s="11"/>
      <c r="BO49" s="11"/>
      <c r="BQ49" s="27"/>
      <c r="BS49" s="11"/>
      <c r="BT49" s="11"/>
      <c r="BU49" s="11"/>
      <c r="BV49" s="11"/>
      <c r="CA49" s="11"/>
      <c r="CB49" s="11"/>
      <c r="CC49" s="11"/>
      <c r="CD49" s="11"/>
    </row>
    <row r="50" spans="2:82" outlineLevel="1">
      <c r="B50" t="s">
        <v>28</v>
      </c>
      <c r="C50" t="s">
        <v>52</v>
      </c>
      <c r="E50" s="10"/>
      <c r="F50" t="s">
        <v>94</v>
      </c>
      <c r="G50" s="11">
        <v>0.08</v>
      </c>
      <c r="I50" s="10">
        <f t="shared" si="7"/>
        <v>8</v>
      </c>
      <c r="J50" s="12">
        <f t="shared" si="6"/>
        <v>0</v>
      </c>
      <c r="K50" s="12">
        <f t="shared" si="6"/>
        <v>0</v>
      </c>
      <c r="L50" s="10"/>
      <c r="O50" s="11"/>
      <c r="P50" s="11"/>
      <c r="Q50" s="11"/>
      <c r="R50" s="11"/>
      <c r="V50" s="11"/>
      <c r="W50" s="11"/>
      <c r="X50" s="11"/>
      <c r="Y50" s="11"/>
      <c r="AB50">
        <v>4</v>
      </c>
      <c r="AC50" s="11"/>
      <c r="AD50" s="11">
        <v>0.5</v>
      </c>
      <c r="AE50" s="11"/>
      <c r="AF50" s="11">
        <v>0.5</v>
      </c>
      <c r="AI50">
        <v>2</v>
      </c>
      <c r="AJ50" s="11"/>
      <c r="AK50" s="11">
        <v>0.8</v>
      </c>
      <c r="AL50" s="11"/>
      <c r="AM50" s="11">
        <v>0.8</v>
      </c>
      <c r="AP50">
        <v>2</v>
      </c>
      <c r="AQ50" s="11"/>
      <c r="AR50" s="11">
        <v>1</v>
      </c>
      <c r="AS50" s="11"/>
      <c r="AT50" s="11">
        <v>1</v>
      </c>
      <c r="AX50" s="11"/>
      <c r="AY50" s="11">
        <v>1</v>
      </c>
      <c r="AZ50" s="11"/>
      <c r="BA50" s="11">
        <v>1</v>
      </c>
      <c r="BE50" s="11"/>
      <c r="BF50" s="11"/>
      <c r="BG50" s="11"/>
      <c r="BH50" s="11"/>
      <c r="BL50" s="11"/>
      <c r="BM50" s="11"/>
      <c r="BN50" s="11"/>
      <c r="BO50" s="11"/>
      <c r="BQ50" s="27"/>
      <c r="BS50" s="11"/>
      <c r="BT50" s="11"/>
      <c r="BU50" s="11"/>
      <c r="BV50" s="11"/>
      <c r="CA50" s="11"/>
      <c r="CB50" s="11"/>
      <c r="CC50" s="11"/>
      <c r="CD50" s="11"/>
    </row>
    <row r="51" spans="2:82" outlineLevel="1">
      <c r="B51" t="s">
        <v>28</v>
      </c>
      <c r="C51" t="s">
        <v>52</v>
      </c>
      <c r="E51" s="10"/>
      <c r="F51" t="s">
        <v>95</v>
      </c>
      <c r="G51" s="11">
        <v>0.08</v>
      </c>
      <c r="I51" s="10">
        <f>+SUMIF($N$3:$ZZ$3,I$3,$N51:$ZZ51)</f>
        <v>6</v>
      </c>
      <c r="J51" s="12">
        <f t="shared" si="6"/>
        <v>0</v>
      </c>
      <c r="K51" s="12">
        <f t="shared" si="6"/>
        <v>0</v>
      </c>
      <c r="L51" s="10"/>
      <c r="O51" s="11"/>
      <c r="P51" s="11"/>
      <c r="Q51" s="11"/>
      <c r="R51" s="11"/>
      <c r="V51" s="11"/>
      <c r="W51" s="11"/>
      <c r="X51" s="11"/>
      <c r="Y51" s="11"/>
      <c r="AC51" s="11"/>
      <c r="AD51" s="11"/>
      <c r="AE51" s="11"/>
      <c r="AF51" s="11"/>
      <c r="AI51">
        <v>4</v>
      </c>
      <c r="AJ51" s="11"/>
      <c r="AK51" s="11">
        <v>0.5</v>
      </c>
      <c r="AL51" s="11"/>
      <c r="AM51" s="11">
        <v>0.5</v>
      </c>
      <c r="AP51">
        <v>2</v>
      </c>
      <c r="AQ51" s="11"/>
      <c r="AR51" s="11">
        <v>1</v>
      </c>
      <c r="AS51" s="11"/>
      <c r="AT51" s="11">
        <v>1</v>
      </c>
      <c r="AX51" s="11"/>
      <c r="AY51" s="11">
        <v>1</v>
      </c>
      <c r="AZ51" s="11"/>
      <c r="BA51" s="11">
        <v>1</v>
      </c>
      <c r="BE51" s="11"/>
      <c r="BF51" s="11"/>
      <c r="BG51" s="11"/>
      <c r="BH51" s="11"/>
      <c r="BL51" s="11"/>
      <c r="BM51" s="11"/>
      <c r="BN51" s="11"/>
      <c r="BO51" s="11"/>
      <c r="BQ51" s="27"/>
      <c r="BS51" s="11"/>
      <c r="BT51" s="11"/>
      <c r="BU51" s="11"/>
      <c r="BV51" s="11"/>
      <c r="CA51" s="11"/>
      <c r="CB51" s="11"/>
      <c r="CC51" s="11"/>
      <c r="CD51" s="11"/>
    </row>
    <row r="52" spans="2:82" s="21" customFormat="1">
      <c r="T52" s="23"/>
      <c r="AA52" s="23"/>
      <c r="AH52" s="23"/>
      <c r="AO52" s="23"/>
      <c r="AV52" s="23"/>
      <c r="BC52" s="23"/>
      <c r="BJ52" s="23"/>
      <c r="BQ52" s="28"/>
      <c r="BY52" s="23"/>
    </row>
    <row r="53" spans="2:82">
      <c r="B53" t="s">
        <v>27</v>
      </c>
      <c r="C53" t="s">
        <v>53</v>
      </c>
      <c r="D53" s="18">
        <v>44263</v>
      </c>
      <c r="E53" s="10">
        <v>5</v>
      </c>
      <c r="G53" s="11">
        <f>+SUM(G54:G63)</f>
        <v>0.99999999999999989</v>
      </c>
      <c r="I53" s="13">
        <f>+SUM(I54:I63)</f>
        <v>39</v>
      </c>
      <c r="J53" s="12">
        <f>+SUMPRODUCT(G54:G63,J54:J63)</f>
        <v>0.64000000000000012</v>
      </c>
      <c r="K53" s="12">
        <f>+SUMPRODUCT(G54:G63,K54:K63)</f>
        <v>0.64000000000000012</v>
      </c>
      <c r="L53" s="10"/>
      <c r="N53" s="13">
        <f>+SUM(N54:N63)</f>
        <v>0</v>
      </c>
      <c r="U53" s="13">
        <f>+SUM(U54:U63)</f>
        <v>7</v>
      </c>
      <c r="AB53" s="13">
        <f>+SUM(AB54:AB63)</f>
        <v>7</v>
      </c>
      <c r="AI53" s="13">
        <f>+SUM(AI54:AI63)</f>
        <v>7</v>
      </c>
      <c r="AP53" s="13">
        <f>+SUM(AP54:AP63)</f>
        <v>9</v>
      </c>
      <c r="AW53" s="13">
        <f>+SUM(AW54:AW63)</f>
        <v>3</v>
      </c>
      <c r="BB53" t="s">
        <v>137</v>
      </c>
      <c r="BD53" s="13">
        <f>+SUM(BD54:BD63)</f>
        <v>6</v>
      </c>
      <c r="BI53" t="s">
        <v>127</v>
      </c>
      <c r="BK53" s="13">
        <f>+SUM(BK54:BK63)</f>
        <v>0</v>
      </c>
      <c r="BR53" s="13">
        <f>+SUM(BR54:BR63)</f>
        <v>0</v>
      </c>
      <c r="BX53" s="25"/>
      <c r="BZ53" s="13">
        <f>+SUM(BZ54:BZ63)</f>
        <v>0</v>
      </c>
    </row>
    <row r="54" spans="2:82" outlineLevel="1">
      <c r="B54" t="s">
        <v>28</v>
      </c>
      <c r="C54" t="s">
        <v>53</v>
      </c>
      <c r="E54" s="10"/>
      <c r="F54" t="s">
        <v>96</v>
      </c>
      <c r="G54" s="11">
        <v>0.05</v>
      </c>
      <c r="I54" s="10">
        <f>+SUMIF($N$3:$ZZ$3,I$3,$N54:$ZZ54)</f>
        <v>2</v>
      </c>
      <c r="J54" s="12">
        <f t="shared" ref="J54:K63" si="8">+_xlfn.MAXIFS($N54:$ZF54,$N$3:$ZF$3,J$3)</f>
        <v>0.8</v>
      </c>
      <c r="K54" s="12">
        <f t="shared" si="8"/>
        <v>0.8</v>
      </c>
      <c r="L54" s="10"/>
      <c r="O54" s="11">
        <v>0.8</v>
      </c>
      <c r="P54" s="11"/>
      <c r="Q54" s="11">
        <v>0.8</v>
      </c>
      <c r="R54" s="11"/>
      <c r="U54">
        <v>2</v>
      </c>
      <c r="V54" s="11"/>
      <c r="W54" s="11">
        <v>1</v>
      </c>
      <c r="X54" s="11"/>
      <c r="Y54" s="11">
        <v>1</v>
      </c>
      <c r="AC54" s="11"/>
      <c r="AD54" s="11"/>
      <c r="AE54" s="11"/>
      <c r="AF54" s="11"/>
      <c r="AJ54" s="11"/>
      <c r="AK54" s="11"/>
      <c r="AL54" s="11"/>
      <c r="AM54" s="11"/>
      <c r="AQ54" s="11"/>
      <c r="AR54" s="11">
        <v>1</v>
      </c>
      <c r="AS54" s="11"/>
      <c r="AT54" s="11">
        <v>1</v>
      </c>
      <c r="AX54" s="11"/>
      <c r="AY54" s="11"/>
      <c r="AZ54" s="11"/>
      <c r="BA54" s="11"/>
      <c r="BB54" t="s">
        <v>133</v>
      </c>
      <c r="BE54" s="11"/>
      <c r="BF54" s="11">
        <v>1</v>
      </c>
      <c r="BG54" s="11"/>
      <c r="BH54" s="11">
        <v>1</v>
      </c>
      <c r="BL54" s="11"/>
      <c r="BM54" s="11"/>
      <c r="BN54" s="11"/>
      <c r="BO54" s="11"/>
      <c r="BS54" s="11"/>
      <c r="BT54" s="11"/>
      <c r="BU54" s="11"/>
      <c r="BV54" s="11"/>
      <c r="BX54" s="25"/>
      <c r="CA54" s="11"/>
      <c r="CB54" s="11"/>
      <c r="CC54" s="11"/>
      <c r="CD54" s="11"/>
    </row>
    <row r="55" spans="2:82" outlineLevel="1">
      <c r="B55" t="s">
        <v>28</v>
      </c>
      <c r="C55" t="s">
        <v>53</v>
      </c>
      <c r="E55" s="10"/>
      <c r="F55" t="s">
        <v>97</v>
      </c>
      <c r="G55" s="11">
        <v>0.05</v>
      </c>
      <c r="I55" s="10">
        <f t="shared" ref="I55:I63" si="9">+SUMIF($N$3:$ZZ$3,I$3,$N55:$ZZ55)</f>
        <v>5</v>
      </c>
      <c r="J55" s="12">
        <f t="shared" si="8"/>
        <v>0.8</v>
      </c>
      <c r="K55" s="12">
        <f t="shared" si="8"/>
        <v>0.8</v>
      </c>
      <c r="L55" s="10"/>
      <c r="O55" s="11">
        <v>0.8</v>
      </c>
      <c r="P55" s="11"/>
      <c r="Q55" s="11">
        <v>0.8</v>
      </c>
      <c r="R55" s="11"/>
      <c r="V55" s="11"/>
      <c r="W55" s="11"/>
      <c r="X55" s="11"/>
      <c r="Y55" s="11"/>
      <c r="AC55" s="11"/>
      <c r="AD55" s="11"/>
      <c r="AE55" s="11"/>
      <c r="AF55" s="11"/>
      <c r="AI55">
        <v>2</v>
      </c>
      <c r="AJ55" s="11"/>
      <c r="AK55" s="11">
        <v>1</v>
      </c>
      <c r="AL55" s="11"/>
      <c r="AM55" s="11">
        <v>1</v>
      </c>
      <c r="AQ55" s="11"/>
      <c r="AR55" s="11">
        <v>1</v>
      </c>
      <c r="AS55" s="11"/>
      <c r="AT55" s="11">
        <v>1</v>
      </c>
      <c r="AW55">
        <v>3</v>
      </c>
      <c r="AX55" s="11"/>
      <c r="AY55" s="11"/>
      <c r="AZ55" s="11"/>
      <c r="BA55" s="11"/>
      <c r="BB55" t="s">
        <v>138</v>
      </c>
      <c r="BE55" s="11"/>
      <c r="BF55" s="11">
        <v>1</v>
      </c>
      <c r="BG55" s="11"/>
      <c r="BH55" s="11">
        <v>1</v>
      </c>
      <c r="BL55" s="11"/>
      <c r="BM55" s="11"/>
      <c r="BN55" s="11"/>
      <c r="BO55" s="11"/>
      <c r="BS55" s="11"/>
      <c r="BT55" s="11"/>
      <c r="BU55" s="11"/>
      <c r="BV55" s="11"/>
      <c r="BX55" s="25"/>
      <c r="CA55" s="11"/>
      <c r="CB55" s="11"/>
      <c r="CC55" s="11"/>
      <c r="CD55" s="11"/>
    </row>
    <row r="56" spans="2:82" outlineLevel="1">
      <c r="B56" t="s">
        <v>28</v>
      </c>
      <c r="C56" t="s">
        <v>53</v>
      </c>
      <c r="E56" s="10"/>
      <c r="F56" t="s">
        <v>98</v>
      </c>
      <c r="G56" s="11">
        <v>0.05</v>
      </c>
      <c r="I56" s="10">
        <f t="shared" si="9"/>
        <v>2</v>
      </c>
      <c r="J56" s="12">
        <f t="shared" si="8"/>
        <v>0.8</v>
      </c>
      <c r="K56" s="12">
        <f t="shared" si="8"/>
        <v>0.8</v>
      </c>
      <c r="L56" s="10"/>
      <c r="O56" s="11">
        <v>0.8</v>
      </c>
      <c r="P56" s="11"/>
      <c r="Q56" s="11">
        <v>0.8</v>
      </c>
      <c r="R56" s="11"/>
      <c r="V56" s="11"/>
      <c r="W56" s="11"/>
      <c r="X56" s="11"/>
      <c r="Y56" s="11"/>
      <c r="AC56" s="11"/>
      <c r="AD56" s="11"/>
      <c r="AE56" s="11"/>
      <c r="AF56" s="11"/>
      <c r="AI56">
        <v>2</v>
      </c>
      <c r="AJ56" s="11"/>
      <c r="AK56" s="11">
        <v>1</v>
      </c>
      <c r="AL56" s="11"/>
      <c r="AM56" s="11">
        <v>1</v>
      </c>
      <c r="AQ56" s="11"/>
      <c r="AR56" s="11">
        <v>1</v>
      </c>
      <c r="AS56" s="11"/>
      <c r="AT56" s="11">
        <v>1</v>
      </c>
      <c r="AX56" s="11"/>
      <c r="AY56" s="11"/>
      <c r="AZ56" s="11"/>
      <c r="BA56" s="11"/>
      <c r="BE56" s="11"/>
      <c r="BF56" s="11">
        <v>1</v>
      </c>
      <c r="BG56" s="11"/>
      <c r="BH56" s="11">
        <v>1</v>
      </c>
      <c r="BL56" s="11"/>
      <c r="BM56" s="11"/>
      <c r="BN56" s="11"/>
      <c r="BO56" s="11"/>
      <c r="BS56" s="11"/>
      <c r="BT56" s="11"/>
      <c r="BU56" s="11"/>
      <c r="BV56" s="11"/>
      <c r="BX56" s="25"/>
      <c r="CA56" s="11"/>
      <c r="CB56" s="11"/>
      <c r="CC56" s="11"/>
      <c r="CD56" s="11"/>
    </row>
    <row r="57" spans="2:82" outlineLevel="1">
      <c r="B57" t="s">
        <v>28</v>
      </c>
      <c r="C57" t="s">
        <v>53</v>
      </c>
      <c r="E57" s="10"/>
      <c r="F57" t="s">
        <v>99</v>
      </c>
      <c r="G57" s="11">
        <v>0.05</v>
      </c>
      <c r="I57" s="10">
        <f t="shared" si="9"/>
        <v>2</v>
      </c>
      <c r="J57" s="12">
        <f t="shared" si="8"/>
        <v>0.8</v>
      </c>
      <c r="K57" s="12">
        <f t="shared" si="8"/>
        <v>0.8</v>
      </c>
      <c r="L57" s="10"/>
      <c r="O57" s="11">
        <v>0.8</v>
      </c>
      <c r="P57" s="11"/>
      <c r="Q57" s="11">
        <v>0.8</v>
      </c>
      <c r="R57" s="11"/>
      <c r="V57" s="11"/>
      <c r="W57" s="11"/>
      <c r="X57" s="11"/>
      <c r="Y57" s="11"/>
      <c r="AC57" s="11"/>
      <c r="AD57" s="11"/>
      <c r="AE57" s="11"/>
      <c r="AF57" s="11"/>
      <c r="AI57">
        <v>1</v>
      </c>
      <c r="AJ57" s="11"/>
      <c r="AK57" s="11">
        <v>0.9</v>
      </c>
      <c r="AL57" s="11"/>
      <c r="AM57" s="11">
        <v>0.9</v>
      </c>
      <c r="AP57">
        <v>1</v>
      </c>
      <c r="AQ57" s="11"/>
      <c r="AR57" s="11">
        <v>1</v>
      </c>
      <c r="AS57" s="11"/>
      <c r="AT57" s="11">
        <v>1</v>
      </c>
      <c r="AX57" s="11"/>
      <c r="AY57" s="11"/>
      <c r="AZ57" s="11"/>
      <c r="BA57" s="11"/>
      <c r="BE57" s="11"/>
      <c r="BF57" s="11">
        <v>1</v>
      </c>
      <c r="BG57" s="11"/>
      <c r="BH57" s="11">
        <v>1</v>
      </c>
      <c r="BL57" s="11"/>
      <c r="BM57" s="11"/>
      <c r="BN57" s="11"/>
      <c r="BO57" s="11"/>
      <c r="BS57" s="11"/>
      <c r="BT57" s="11"/>
      <c r="BU57" s="11"/>
      <c r="BV57" s="11"/>
      <c r="BX57" s="25"/>
      <c r="CA57" s="11"/>
      <c r="CB57" s="11"/>
      <c r="CC57" s="11"/>
      <c r="CD57" s="11"/>
    </row>
    <row r="58" spans="2:82" outlineLevel="1">
      <c r="B58" t="s">
        <v>28</v>
      </c>
      <c r="C58" t="s">
        <v>53</v>
      </c>
      <c r="E58" s="10"/>
      <c r="F58" t="s">
        <v>100</v>
      </c>
      <c r="G58" s="11">
        <v>0.1</v>
      </c>
      <c r="I58" s="10">
        <f t="shared" si="9"/>
        <v>2</v>
      </c>
      <c r="J58" s="12">
        <f t="shared" si="8"/>
        <v>0.8</v>
      </c>
      <c r="K58" s="12">
        <f t="shared" si="8"/>
        <v>0.8</v>
      </c>
      <c r="L58" s="10"/>
      <c r="O58" s="11">
        <v>0.8</v>
      </c>
      <c r="P58" s="11"/>
      <c r="Q58" s="11">
        <v>0.8</v>
      </c>
      <c r="R58" s="11"/>
      <c r="V58" s="11"/>
      <c r="W58" s="11"/>
      <c r="X58" s="11"/>
      <c r="Y58" s="11"/>
      <c r="AC58" s="11"/>
      <c r="AD58" s="11"/>
      <c r="AE58" s="11"/>
      <c r="AF58" s="11"/>
      <c r="AJ58" s="11"/>
      <c r="AK58" s="11"/>
      <c r="AL58" s="11"/>
      <c r="AM58" s="11"/>
      <c r="AP58">
        <v>2</v>
      </c>
      <c r="AQ58" s="11"/>
      <c r="AR58" s="11">
        <v>1</v>
      </c>
      <c r="AS58" s="11"/>
      <c r="AT58" s="11">
        <v>1</v>
      </c>
      <c r="AX58" s="11"/>
      <c r="AY58" s="11"/>
      <c r="AZ58" s="11"/>
      <c r="BA58" s="11"/>
      <c r="BE58" s="11"/>
      <c r="BF58" s="11">
        <v>1</v>
      </c>
      <c r="BG58" s="11"/>
      <c r="BH58" s="11">
        <v>1</v>
      </c>
      <c r="BL58" s="11"/>
      <c r="BM58" s="11"/>
      <c r="BN58" s="11"/>
      <c r="BO58" s="11"/>
      <c r="BS58" s="11"/>
      <c r="BT58" s="11"/>
      <c r="BU58" s="11"/>
      <c r="BV58" s="11"/>
      <c r="BX58" s="25"/>
      <c r="CA58" s="11"/>
      <c r="CB58" s="11"/>
      <c r="CC58" s="11"/>
      <c r="CD58" s="11"/>
    </row>
    <row r="59" spans="2:82" outlineLevel="1">
      <c r="B59" t="s">
        <v>28</v>
      </c>
      <c r="C59" t="s">
        <v>53</v>
      </c>
      <c r="E59" s="10"/>
      <c r="F59" t="s">
        <v>101</v>
      </c>
      <c r="G59" s="11">
        <v>0.2</v>
      </c>
      <c r="I59" s="10">
        <f t="shared" si="9"/>
        <v>4</v>
      </c>
      <c r="J59" s="12">
        <f t="shared" si="8"/>
        <v>0.8</v>
      </c>
      <c r="K59" s="12">
        <f t="shared" si="8"/>
        <v>0.8</v>
      </c>
      <c r="L59" s="10"/>
      <c r="O59" s="11">
        <v>0.8</v>
      </c>
      <c r="P59" s="11"/>
      <c r="Q59" s="11">
        <v>0.8</v>
      </c>
      <c r="R59" s="11"/>
      <c r="V59" s="11"/>
      <c r="W59" s="11"/>
      <c r="X59" s="11"/>
      <c r="Y59" s="11"/>
      <c r="AC59" s="11"/>
      <c r="AD59" s="11"/>
      <c r="AE59" s="11"/>
      <c r="AF59" s="11"/>
      <c r="AJ59" s="11"/>
      <c r="AK59" s="11"/>
      <c r="AL59" s="11"/>
      <c r="AM59" s="11"/>
      <c r="AP59">
        <v>2</v>
      </c>
      <c r="AQ59" s="11"/>
      <c r="AR59" s="11">
        <v>1</v>
      </c>
      <c r="AS59" s="11"/>
      <c r="AT59" s="11">
        <v>1</v>
      </c>
      <c r="AX59" s="11"/>
      <c r="AY59" s="11"/>
      <c r="AZ59" s="11"/>
      <c r="BA59" s="11"/>
      <c r="BD59">
        <v>2</v>
      </c>
      <c r="BE59" s="11"/>
      <c r="BF59" s="11">
        <v>1</v>
      </c>
      <c r="BG59" s="11"/>
      <c r="BH59" s="11">
        <v>1</v>
      </c>
      <c r="BL59" s="11"/>
      <c r="BM59" s="11"/>
      <c r="BN59" s="11"/>
      <c r="BO59" s="11"/>
      <c r="BS59" s="11"/>
      <c r="BT59" s="11"/>
      <c r="BU59" s="11"/>
      <c r="BV59" s="11"/>
      <c r="BX59" s="25"/>
      <c r="CA59" s="11"/>
      <c r="CB59" s="11"/>
      <c r="CC59" s="11"/>
      <c r="CD59" s="11"/>
    </row>
    <row r="60" spans="2:82" outlineLevel="1">
      <c r="B60" t="s">
        <v>28</v>
      </c>
      <c r="C60" t="s">
        <v>53</v>
      </c>
      <c r="E60" s="10"/>
      <c r="F60" t="s">
        <v>102</v>
      </c>
      <c r="G60" s="11">
        <v>0.2</v>
      </c>
      <c r="I60" s="10">
        <f t="shared" si="9"/>
        <v>4</v>
      </c>
      <c r="J60" s="12">
        <f t="shared" si="8"/>
        <v>0.8</v>
      </c>
      <c r="K60" s="12">
        <f t="shared" si="8"/>
        <v>0.8</v>
      </c>
      <c r="L60" s="10"/>
      <c r="O60" s="11">
        <v>0.8</v>
      </c>
      <c r="P60" s="11"/>
      <c r="Q60" s="11">
        <v>0.8</v>
      </c>
      <c r="R60" s="11"/>
      <c r="V60" s="11"/>
      <c r="W60" s="11"/>
      <c r="X60" s="11"/>
      <c r="Y60" s="11"/>
      <c r="AC60" s="11"/>
      <c r="AD60" s="11"/>
      <c r="AE60" s="11"/>
      <c r="AF60" s="11"/>
      <c r="AJ60" s="11"/>
      <c r="AK60" s="11"/>
      <c r="AL60" s="11"/>
      <c r="AM60" s="11"/>
      <c r="AP60">
        <v>2</v>
      </c>
      <c r="AQ60" s="11"/>
      <c r="AR60" s="11">
        <v>1</v>
      </c>
      <c r="AS60" s="11"/>
      <c r="AT60" s="11">
        <v>1</v>
      </c>
      <c r="AX60" s="11"/>
      <c r="AY60" s="11"/>
      <c r="AZ60" s="11"/>
      <c r="BA60" s="11"/>
      <c r="BD60">
        <v>2</v>
      </c>
      <c r="BE60" s="11"/>
      <c r="BF60" s="11">
        <v>1</v>
      </c>
      <c r="BG60" s="11"/>
      <c r="BH60" s="11">
        <v>1</v>
      </c>
      <c r="BL60" s="11"/>
      <c r="BM60" s="11"/>
      <c r="BN60" s="11"/>
      <c r="BO60" s="11"/>
      <c r="BS60" s="11"/>
      <c r="BT60" s="11"/>
      <c r="BU60" s="11"/>
      <c r="BV60" s="11"/>
      <c r="BX60" s="25"/>
      <c r="CA60" s="11"/>
      <c r="CB60" s="11"/>
      <c r="CC60" s="11"/>
      <c r="CD60" s="11"/>
    </row>
    <row r="61" spans="2:82" outlineLevel="1">
      <c r="B61" t="s">
        <v>28</v>
      </c>
      <c r="C61" t="s">
        <v>53</v>
      </c>
      <c r="E61" s="10"/>
      <c r="F61" t="s">
        <v>103</v>
      </c>
      <c r="G61" s="11">
        <v>0.1</v>
      </c>
      <c r="I61" s="10">
        <f t="shared" si="9"/>
        <v>3</v>
      </c>
      <c r="J61" s="12">
        <f t="shared" si="8"/>
        <v>0.8</v>
      </c>
      <c r="K61" s="12">
        <f t="shared" si="8"/>
        <v>0.8</v>
      </c>
      <c r="L61" s="10"/>
      <c r="O61" s="11">
        <v>0.8</v>
      </c>
      <c r="P61" s="11"/>
      <c r="Q61" s="11">
        <v>0.8</v>
      </c>
      <c r="R61" s="11"/>
      <c r="V61" s="11"/>
      <c r="W61" s="11"/>
      <c r="X61" s="11"/>
      <c r="Y61" s="11"/>
      <c r="AC61" s="11"/>
      <c r="AD61" s="11"/>
      <c r="AE61" s="11"/>
      <c r="AF61" s="11"/>
      <c r="AJ61" s="11"/>
      <c r="AK61" s="11"/>
      <c r="AL61" s="11"/>
      <c r="AM61" s="11"/>
      <c r="AP61">
        <v>2</v>
      </c>
      <c r="AQ61" s="11"/>
      <c r="AR61" s="11">
        <v>1</v>
      </c>
      <c r="AS61" s="11"/>
      <c r="AT61" s="11">
        <v>1</v>
      </c>
      <c r="AX61" s="11"/>
      <c r="AY61" s="11"/>
      <c r="AZ61" s="11"/>
      <c r="BA61" s="11"/>
      <c r="BD61">
        <v>1</v>
      </c>
      <c r="BE61" s="11"/>
      <c r="BF61" s="11">
        <v>1</v>
      </c>
      <c r="BG61" s="11"/>
      <c r="BH61" s="11">
        <v>1</v>
      </c>
      <c r="BL61" s="11"/>
      <c r="BM61" s="11"/>
      <c r="BN61" s="11"/>
      <c r="BO61" s="11"/>
      <c r="BS61" s="11"/>
      <c r="BT61" s="11"/>
      <c r="BU61" s="11"/>
      <c r="BV61" s="11"/>
      <c r="BX61" s="25"/>
      <c r="CA61" s="11"/>
      <c r="CB61" s="11"/>
      <c r="CC61" s="11"/>
      <c r="CD61" s="11"/>
    </row>
    <row r="62" spans="2:82" outlineLevel="1">
      <c r="B62" t="s">
        <v>28</v>
      </c>
      <c r="C62" t="s">
        <v>53</v>
      </c>
      <c r="E62" s="10"/>
      <c r="F62" t="s">
        <v>104</v>
      </c>
      <c r="G62" s="11">
        <v>0.1</v>
      </c>
      <c r="I62" s="10">
        <f t="shared" si="9"/>
        <v>8</v>
      </c>
      <c r="J62" s="12">
        <f t="shared" si="8"/>
        <v>0</v>
      </c>
      <c r="K62" s="12">
        <f t="shared" si="8"/>
        <v>0</v>
      </c>
      <c r="L62" s="10"/>
      <c r="O62" s="11"/>
      <c r="P62" s="11"/>
      <c r="Q62" s="11"/>
      <c r="R62" s="11"/>
      <c r="U62">
        <v>5</v>
      </c>
      <c r="V62" s="11"/>
      <c r="W62" s="11">
        <v>0.8</v>
      </c>
      <c r="X62" s="11"/>
      <c r="Y62" s="11">
        <v>0.8</v>
      </c>
      <c r="AB62">
        <v>2</v>
      </c>
      <c r="AC62" s="11"/>
      <c r="AD62" s="11">
        <v>1</v>
      </c>
      <c r="AE62" s="11"/>
      <c r="AF62" s="11">
        <v>1</v>
      </c>
      <c r="AJ62" s="11"/>
      <c r="AK62" s="11"/>
      <c r="AL62" s="11"/>
      <c r="AM62" s="11"/>
      <c r="AQ62" s="11"/>
      <c r="AR62" s="11">
        <v>1</v>
      </c>
      <c r="AS62" s="11"/>
      <c r="AT62" s="11">
        <v>1</v>
      </c>
      <c r="AX62" s="11"/>
      <c r="AY62" s="11"/>
      <c r="AZ62" s="11"/>
      <c r="BA62" s="11"/>
      <c r="BD62">
        <v>1</v>
      </c>
      <c r="BE62" s="11"/>
      <c r="BF62" s="11">
        <v>1</v>
      </c>
      <c r="BG62" s="11"/>
      <c r="BH62" s="11">
        <v>1</v>
      </c>
      <c r="BL62" s="11"/>
      <c r="BM62" s="11"/>
      <c r="BN62" s="11"/>
      <c r="BO62" s="11"/>
      <c r="BS62" s="11"/>
      <c r="BT62" s="11"/>
      <c r="BU62" s="11"/>
      <c r="BV62" s="11"/>
      <c r="BX62" s="25"/>
      <c r="CA62" s="11"/>
      <c r="CB62" s="11"/>
      <c r="CC62" s="11"/>
      <c r="CD62" s="11"/>
    </row>
    <row r="63" spans="2:82" outlineLevel="1">
      <c r="B63" t="s">
        <v>28</v>
      </c>
      <c r="C63" t="s">
        <v>53</v>
      </c>
      <c r="E63" s="10"/>
      <c r="F63" t="s">
        <v>105</v>
      </c>
      <c r="G63" s="11">
        <v>0.1</v>
      </c>
      <c r="I63" s="10">
        <f t="shared" si="9"/>
        <v>7</v>
      </c>
      <c r="J63" s="12">
        <f t="shared" si="8"/>
        <v>0</v>
      </c>
      <c r="K63" s="12">
        <f t="shared" si="8"/>
        <v>0</v>
      </c>
      <c r="L63" s="10"/>
      <c r="O63" s="11"/>
      <c r="P63" s="11"/>
      <c r="Q63" s="11"/>
      <c r="R63" s="11"/>
      <c r="V63" s="11"/>
      <c r="W63" s="11"/>
      <c r="X63" s="11"/>
      <c r="Y63" s="11"/>
      <c r="AB63">
        <v>5</v>
      </c>
      <c r="AC63" s="11"/>
      <c r="AD63" s="11">
        <v>0.8</v>
      </c>
      <c r="AE63" s="11"/>
      <c r="AF63" s="11">
        <v>0.8</v>
      </c>
      <c r="AI63">
        <v>2</v>
      </c>
      <c r="AJ63" s="11"/>
      <c r="AK63" s="11">
        <v>1</v>
      </c>
      <c r="AL63" s="11"/>
      <c r="AM63" s="11">
        <v>1</v>
      </c>
      <c r="AQ63" s="11"/>
      <c r="AR63" s="11">
        <v>1</v>
      </c>
      <c r="AS63" s="11"/>
      <c r="AT63" s="11">
        <v>1</v>
      </c>
      <c r="AX63" s="11"/>
      <c r="AY63" s="11"/>
      <c r="AZ63" s="11"/>
      <c r="BA63" s="11"/>
      <c r="BE63" s="11"/>
      <c r="BF63" s="11">
        <v>1</v>
      </c>
      <c r="BG63" s="11"/>
      <c r="BH63" s="11">
        <v>1</v>
      </c>
      <c r="BL63" s="11"/>
      <c r="BM63" s="11"/>
      <c r="BN63" s="11"/>
      <c r="BO63" s="11"/>
      <c r="BS63" s="11"/>
      <c r="BT63" s="11"/>
      <c r="BU63" s="11"/>
      <c r="BV63" s="11"/>
      <c r="BX63" s="25"/>
      <c r="CA63" s="11"/>
      <c r="CB63" s="11"/>
      <c r="CC63" s="11"/>
      <c r="CD63" s="11"/>
    </row>
    <row r="64" spans="2:82" s="21" customFormat="1">
      <c r="T64" s="23"/>
      <c r="AA64" s="23"/>
      <c r="AH64" s="23"/>
      <c r="AO64" s="23"/>
      <c r="AV64" s="23"/>
      <c r="BC64" s="23"/>
      <c r="BJ64" s="23"/>
      <c r="BQ64" s="23"/>
      <c r="BX64" s="26"/>
      <c r="BY64" s="23"/>
    </row>
    <row r="65" spans="2:82">
      <c r="B65" t="s">
        <v>27</v>
      </c>
      <c r="C65" t="s">
        <v>54</v>
      </c>
      <c r="D65" s="18">
        <v>44249</v>
      </c>
      <c r="E65" s="10">
        <v>5</v>
      </c>
      <c r="G65" s="11">
        <f>+SUM(G66:G78)</f>
        <v>1</v>
      </c>
      <c r="I65" s="13">
        <f>+SUM(I66:I78)</f>
        <v>48</v>
      </c>
      <c r="J65" s="12">
        <f>+SUMPRODUCT(G66:G78,J66:J78)</f>
        <v>0.63000000000000012</v>
      </c>
      <c r="K65" s="12">
        <f>+SUMPRODUCT(G66:G78,K66:K78)</f>
        <v>0.63000000000000012</v>
      </c>
      <c r="L65" s="10"/>
      <c r="N65" s="13">
        <f>+SUM(N66:N78)</f>
        <v>0</v>
      </c>
      <c r="U65" s="13">
        <f>+SUM(U66:U78)</f>
        <v>10</v>
      </c>
      <c r="AB65" s="13">
        <f>+SUM(AB66:AB78)</f>
        <v>10</v>
      </c>
      <c r="AI65" s="13">
        <f>+SUM(AI66:AI78)</f>
        <v>10</v>
      </c>
      <c r="AP65" s="13">
        <f>+SUM(AP66:AP78)</f>
        <v>18</v>
      </c>
      <c r="AU65" t="s">
        <v>126</v>
      </c>
      <c r="AW65" s="13">
        <f>+SUM(AW66:AW78)</f>
        <v>0</v>
      </c>
      <c r="BD65" s="13">
        <f>+SUM(BD66:BD78)</f>
        <v>0</v>
      </c>
      <c r="BJ65" s="27"/>
      <c r="BK65" s="13">
        <f>+SUM(BK66:BK78)</f>
        <v>0</v>
      </c>
      <c r="BR65" s="13">
        <f>+SUM(BR66:BR78)</f>
        <v>0</v>
      </c>
      <c r="BZ65" s="13">
        <f>+SUM(BZ66:BZ78)</f>
        <v>0</v>
      </c>
    </row>
    <row r="66" spans="2:82" outlineLevel="1">
      <c r="B66" t="s">
        <v>28</v>
      </c>
      <c r="C66" t="s">
        <v>54</v>
      </c>
      <c r="E66" s="10"/>
      <c r="F66" t="s">
        <v>106</v>
      </c>
      <c r="G66" s="11">
        <v>0.1</v>
      </c>
      <c r="I66" s="10">
        <f>+SUMIF($N$3:$ZZ$3,I$3,$N66:$ZZ66)</f>
        <v>2</v>
      </c>
      <c r="J66" s="12">
        <f t="shared" ref="J66:K76" si="10">+_xlfn.MAXIFS($N66:$ZF66,$N$3:$ZF$3,J$3)</f>
        <v>0.8</v>
      </c>
      <c r="K66" s="12">
        <f t="shared" si="10"/>
        <v>0.8</v>
      </c>
      <c r="L66" s="10"/>
      <c r="O66" s="11">
        <v>0.8</v>
      </c>
      <c r="P66" s="11"/>
      <c r="Q66" s="11">
        <v>0.8</v>
      </c>
      <c r="R66" s="11"/>
      <c r="U66">
        <v>2</v>
      </c>
      <c r="V66" s="11"/>
      <c r="W66" s="11">
        <v>1</v>
      </c>
      <c r="X66" s="11"/>
      <c r="Y66" s="11">
        <v>1</v>
      </c>
      <c r="AC66" s="11"/>
      <c r="AD66" s="11"/>
      <c r="AE66" s="11"/>
      <c r="AF66" s="11"/>
      <c r="AJ66" s="11"/>
      <c r="AK66" s="11"/>
      <c r="AL66" s="11"/>
      <c r="AM66" s="11"/>
      <c r="AQ66" s="11"/>
      <c r="AR66" s="11">
        <v>1</v>
      </c>
      <c r="AS66" s="11"/>
      <c r="AT66" s="11">
        <v>1</v>
      </c>
      <c r="AX66" s="11"/>
      <c r="AY66" s="11"/>
      <c r="AZ66" s="11"/>
      <c r="BA66" s="11"/>
      <c r="BE66" s="11"/>
      <c r="BF66" s="11"/>
      <c r="BG66" s="11"/>
      <c r="BH66" s="11"/>
      <c r="BJ66" s="27"/>
      <c r="BL66" s="11"/>
      <c r="BM66" s="11"/>
      <c r="BN66" s="11"/>
      <c r="BO66" s="11"/>
      <c r="BS66" s="11"/>
      <c r="BT66" s="11"/>
      <c r="BU66" s="11"/>
      <c r="BV66" s="11"/>
      <c r="CA66" s="11"/>
      <c r="CB66" s="11"/>
      <c r="CC66" s="11"/>
      <c r="CD66" s="11"/>
    </row>
    <row r="67" spans="2:82" outlineLevel="1">
      <c r="B67" t="s">
        <v>28</v>
      </c>
      <c r="C67" t="s">
        <v>54</v>
      </c>
      <c r="E67" s="10"/>
      <c r="F67" t="s">
        <v>107</v>
      </c>
      <c r="G67" s="11">
        <v>0.1</v>
      </c>
      <c r="I67" s="10">
        <f t="shared" ref="I67:I78" si="11">+SUMIF($N$3:$ZZ$3,I$3,$N67:$ZZ67)</f>
        <v>6</v>
      </c>
      <c r="J67" s="12">
        <f t="shared" si="10"/>
        <v>0.5</v>
      </c>
      <c r="K67" s="12">
        <f t="shared" si="10"/>
        <v>0.5</v>
      </c>
      <c r="L67" s="10"/>
      <c r="O67" s="11">
        <v>0.5</v>
      </c>
      <c r="P67" s="11"/>
      <c r="Q67" s="11">
        <v>0.5</v>
      </c>
      <c r="R67" s="11"/>
      <c r="U67">
        <v>2</v>
      </c>
      <c r="V67" s="11"/>
      <c r="W67" s="11">
        <v>0.5</v>
      </c>
      <c r="X67" s="11"/>
      <c r="Y67" s="11">
        <v>0.5</v>
      </c>
      <c r="AB67">
        <v>2</v>
      </c>
      <c r="AC67" s="11"/>
      <c r="AD67" s="11">
        <v>0.8</v>
      </c>
      <c r="AE67" s="11"/>
      <c r="AF67" s="11">
        <v>0.8</v>
      </c>
      <c r="AI67">
        <v>2</v>
      </c>
      <c r="AJ67" s="11"/>
      <c r="AK67" s="11">
        <v>1</v>
      </c>
      <c r="AL67" s="11"/>
      <c r="AM67" s="11">
        <v>1</v>
      </c>
      <c r="AQ67" s="11"/>
      <c r="AR67" s="11">
        <v>1</v>
      </c>
      <c r="AS67" s="11"/>
      <c r="AT67" s="11">
        <v>1</v>
      </c>
      <c r="AX67" s="11"/>
      <c r="AY67" s="11"/>
      <c r="AZ67" s="11"/>
      <c r="BA67" s="11"/>
      <c r="BE67" s="11"/>
      <c r="BF67" s="11"/>
      <c r="BG67" s="11"/>
      <c r="BH67" s="11"/>
      <c r="BJ67" s="27"/>
      <c r="BL67" s="11"/>
      <c r="BM67" s="11"/>
      <c r="BN67" s="11"/>
      <c r="BO67" s="11"/>
      <c r="BS67" s="11"/>
      <c r="BT67" s="11"/>
      <c r="BU67" s="11"/>
      <c r="BV67" s="11"/>
      <c r="CA67" s="11"/>
      <c r="CB67" s="11"/>
      <c r="CC67" s="11"/>
      <c r="CD67" s="11"/>
    </row>
    <row r="68" spans="2:82" outlineLevel="1">
      <c r="B68" t="s">
        <v>28</v>
      </c>
      <c r="C68" t="s">
        <v>54</v>
      </c>
      <c r="E68" s="10"/>
      <c r="F68" t="s">
        <v>108</v>
      </c>
      <c r="G68" s="11">
        <v>0.1</v>
      </c>
      <c r="I68" s="10">
        <f t="shared" si="11"/>
        <v>6</v>
      </c>
      <c r="J68" s="12">
        <f t="shared" si="10"/>
        <v>0.5</v>
      </c>
      <c r="K68" s="12">
        <f t="shared" si="10"/>
        <v>0.5</v>
      </c>
      <c r="L68" s="10"/>
      <c r="O68" s="11">
        <v>0.5</v>
      </c>
      <c r="P68" s="11"/>
      <c r="Q68" s="11">
        <v>0.5</v>
      </c>
      <c r="R68" s="11"/>
      <c r="U68">
        <v>2</v>
      </c>
      <c r="V68" s="11"/>
      <c r="W68" s="11">
        <v>0.5</v>
      </c>
      <c r="X68" s="11"/>
      <c r="Y68" s="11">
        <v>0.5</v>
      </c>
      <c r="AB68">
        <v>2</v>
      </c>
      <c r="AC68" s="11"/>
      <c r="AD68" s="11">
        <v>0.8</v>
      </c>
      <c r="AE68" s="11"/>
      <c r="AF68" s="11">
        <v>0.8</v>
      </c>
      <c r="AI68">
        <v>2</v>
      </c>
      <c r="AJ68" s="11"/>
      <c r="AK68" s="11">
        <v>1</v>
      </c>
      <c r="AL68" s="11"/>
      <c r="AM68" s="11">
        <v>1</v>
      </c>
      <c r="AQ68" s="11"/>
      <c r="AR68" s="11">
        <v>1</v>
      </c>
      <c r="AS68" s="11"/>
      <c r="AT68" s="11">
        <v>1</v>
      </c>
      <c r="AX68" s="11"/>
      <c r="AY68" s="11"/>
      <c r="AZ68" s="11"/>
      <c r="BA68" s="11"/>
      <c r="BE68" s="11"/>
      <c r="BF68" s="11"/>
      <c r="BG68" s="11"/>
      <c r="BH68" s="11"/>
      <c r="BJ68" s="27"/>
      <c r="BL68" s="11"/>
      <c r="BM68" s="11"/>
      <c r="BN68" s="11"/>
      <c r="BO68" s="11"/>
      <c r="BS68" s="11"/>
      <c r="BT68" s="11"/>
      <c r="BU68" s="11"/>
      <c r="BV68" s="11"/>
      <c r="CA68" s="11"/>
      <c r="CB68" s="11"/>
      <c r="CC68" s="11"/>
      <c r="CD68" s="11"/>
    </row>
    <row r="69" spans="2:82" outlineLevel="1">
      <c r="B69" t="s">
        <v>28</v>
      </c>
      <c r="C69" t="s">
        <v>54</v>
      </c>
      <c r="E69" s="10"/>
      <c r="F69" t="s">
        <v>109</v>
      </c>
      <c r="G69" s="11">
        <v>0.05</v>
      </c>
      <c r="I69" s="10">
        <f t="shared" si="11"/>
        <v>6</v>
      </c>
      <c r="J69" s="12">
        <f t="shared" si="10"/>
        <v>0.5</v>
      </c>
      <c r="K69" s="12">
        <f t="shared" si="10"/>
        <v>0.5</v>
      </c>
      <c r="L69" s="10"/>
      <c r="O69" s="11">
        <v>0.5</v>
      </c>
      <c r="P69" s="11"/>
      <c r="Q69" s="11">
        <v>0.5</v>
      </c>
      <c r="R69" s="11"/>
      <c r="V69" s="11"/>
      <c r="W69" s="11"/>
      <c r="X69" s="11"/>
      <c r="Y69" s="11"/>
      <c r="AB69">
        <v>2</v>
      </c>
      <c r="AC69" s="11"/>
      <c r="AD69" s="11">
        <v>0.5</v>
      </c>
      <c r="AE69" s="11"/>
      <c r="AF69" s="11">
        <v>0.5</v>
      </c>
      <c r="AI69">
        <v>2</v>
      </c>
      <c r="AJ69" s="11"/>
      <c r="AK69" s="11">
        <v>0.8</v>
      </c>
      <c r="AL69" s="11"/>
      <c r="AM69" s="11">
        <v>0.8</v>
      </c>
      <c r="AP69">
        <v>2</v>
      </c>
      <c r="AQ69" s="11"/>
      <c r="AR69" s="11">
        <v>1</v>
      </c>
      <c r="AS69" s="11"/>
      <c r="AT69" s="11">
        <v>1</v>
      </c>
      <c r="AX69" s="11"/>
      <c r="AY69" s="11"/>
      <c r="AZ69" s="11"/>
      <c r="BA69" s="11"/>
      <c r="BE69" s="11"/>
      <c r="BF69" s="11"/>
      <c r="BG69" s="11"/>
      <c r="BH69" s="11"/>
      <c r="BJ69" s="27"/>
      <c r="BL69" s="11"/>
      <c r="BM69" s="11"/>
      <c r="BN69" s="11"/>
      <c r="BO69" s="11"/>
      <c r="BS69" s="11"/>
      <c r="BT69" s="11"/>
      <c r="BU69" s="11"/>
      <c r="BV69" s="11"/>
      <c r="CA69" s="11"/>
      <c r="CB69" s="11"/>
      <c r="CC69" s="11"/>
      <c r="CD69" s="11"/>
    </row>
    <row r="70" spans="2:82" outlineLevel="1">
      <c r="B70" t="s">
        <v>28</v>
      </c>
      <c r="C70" t="s">
        <v>54</v>
      </c>
      <c r="E70" s="10"/>
      <c r="F70" t="s">
        <v>110</v>
      </c>
      <c r="G70" s="11">
        <v>0.05</v>
      </c>
      <c r="I70" s="10">
        <f t="shared" si="11"/>
        <v>4</v>
      </c>
      <c r="J70" s="12">
        <f t="shared" si="10"/>
        <v>0.5</v>
      </c>
      <c r="K70" s="12">
        <f t="shared" si="10"/>
        <v>0.5</v>
      </c>
      <c r="L70" s="10"/>
      <c r="O70" s="11">
        <v>0.5</v>
      </c>
      <c r="P70" s="11"/>
      <c r="Q70" s="11">
        <v>0.5</v>
      </c>
      <c r="R70" s="11"/>
      <c r="V70" s="11"/>
      <c r="W70" s="11"/>
      <c r="X70" s="11"/>
      <c r="Y70" s="11"/>
      <c r="AC70" s="11"/>
      <c r="AD70" s="11"/>
      <c r="AE70" s="11"/>
      <c r="AF70" s="11"/>
      <c r="AJ70" s="11"/>
      <c r="AK70" s="11"/>
      <c r="AL70" s="11"/>
      <c r="AM70" s="11"/>
      <c r="AP70">
        <v>4</v>
      </c>
      <c r="AQ70" s="11"/>
      <c r="AR70" s="11">
        <v>1</v>
      </c>
      <c r="AS70" s="11"/>
      <c r="AT70" s="11">
        <v>1</v>
      </c>
      <c r="AX70" s="11"/>
      <c r="AY70" s="11"/>
      <c r="AZ70" s="11"/>
      <c r="BA70" s="11"/>
      <c r="BE70" s="11"/>
      <c r="BF70" s="11"/>
      <c r="BG70" s="11"/>
      <c r="BH70" s="11"/>
      <c r="BJ70" s="27"/>
      <c r="BL70" s="11"/>
      <c r="BM70" s="11"/>
      <c r="BN70" s="11"/>
      <c r="BO70" s="11"/>
      <c r="BS70" s="11"/>
      <c r="BT70" s="11"/>
      <c r="BU70" s="11"/>
      <c r="BV70" s="11"/>
      <c r="CA70" s="11"/>
      <c r="CB70" s="11"/>
      <c r="CC70" s="11"/>
      <c r="CD70" s="11"/>
    </row>
    <row r="71" spans="2:82" outlineLevel="1">
      <c r="B71" t="s">
        <v>28</v>
      </c>
      <c r="C71" t="s">
        <v>54</v>
      </c>
      <c r="E71" s="10"/>
      <c r="F71" t="s">
        <v>111</v>
      </c>
      <c r="G71" s="11">
        <v>0.1</v>
      </c>
      <c r="I71" s="10">
        <f t="shared" si="11"/>
        <v>2</v>
      </c>
      <c r="J71" s="12">
        <f t="shared" si="10"/>
        <v>0.8</v>
      </c>
      <c r="K71" s="12">
        <f t="shared" si="10"/>
        <v>0.8</v>
      </c>
      <c r="L71" s="10"/>
      <c r="O71" s="11">
        <v>0.8</v>
      </c>
      <c r="P71" s="11"/>
      <c r="Q71" s="11">
        <v>0.8</v>
      </c>
      <c r="R71" s="11"/>
      <c r="V71" s="11"/>
      <c r="W71" s="11"/>
      <c r="X71" s="11"/>
      <c r="Y71" s="11"/>
      <c r="AC71" s="11"/>
      <c r="AD71" s="11"/>
      <c r="AE71" s="11"/>
      <c r="AF71" s="11"/>
      <c r="AJ71" s="11"/>
      <c r="AK71" s="11"/>
      <c r="AL71" s="11"/>
      <c r="AM71" s="11"/>
      <c r="AP71">
        <v>2</v>
      </c>
      <c r="AQ71" s="11"/>
      <c r="AR71" s="11">
        <v>1</v>
      </c>
      <c r="AS71" s="11"/>
      <c r="AT71" s="11">
        <v>1</v>
      </c>
      <c r="AX71" s="11"/>
      <c r="AY71" s="11"/>
      <c r="AZ71" s="11"/>
      <c r="BA71" s="11"/>
      <c r="BE71" s="11"/>
      <c r="BF71" s="11"/>
      <c r="BG71" s="11"/>
      <c r="BH71" s="11"/>
      <c r="BJ71" s="27"/>
      <c r="BL71" s="11"/>
      <c r="BM71" s="11"/>
      <c r="BN71" s="11"/>
      <c r="BO71" s="11"/>
      <c r="BS71" s="11"/>
      <c r="BT71" s="11"/>
      <c r="BU71" s="11"/>
      <c r="BV71" s="11"/>
      <c r="CA71" s="11"/>
      <c r="CB71" s="11"/>
      <c r="CC71" s="11"/>
      <c r="CD71" s="11"/>
    </row>
    <row r="72" spans="2:82" outlineLevel="1">
      <c r="B72" t="s">
        <v>28</v>
      </c>
      <c r="C72" t="s">
        <v>54</v>
      </c>
      <c r="E72" s="10"/>
      <c r="F72" t="s">
        <v>112</v>
      </c>
      <c r="G72" s="11">
        <v>0.1</v>
      </c>
      <c r="I72" s="10">
        <f t="shared" si="11"/>
        <v>2</v>
      </c>
      <c r="J72" s="12">
        <f t="shared" si="10"/>
        <v>0.8</v>
      </c>
      <c r="K72" s="12">
        <f t="shared" si="10"/>
        <v>0.8</v>
      </c>
      <c r="L72" s="10"/>
      <c r="O72" s="11">
        <v>0.8</v>
      </c>
      <c r="P72" s="11"/>
      <c r="Q72" s="11">
        <v>0.8</v>
      </c>
      <c r="R72" s="11"/>
      <c r="V72" s="11"/>
      <c r="W72" s="11"/>
      <c r="X72" s="11"/>
      <c r="Y72" s="11"/>
      <c r="AC72" s="11"/>
      <c r="AD72" s="11"/>
      <c r="AE72" s="11"/>
      <c r="AF72" s="11"/>
      <c r="AJ72" s="11"/>
      <c r="AK72" s="11"/>
      <c r="AL72" s="11"/>
      <c r="AM72" s="11"/>
      <c r="AP72">
        <v>2</v>
      </c>
      <c r="AQ72" s="11"/>
      <c r="AR72" s="11">
        <v>1</v>
      </c>
      <c r="AS72" s="11"/>
      <c r="AT72" s="11">
        <v>1</v>
      </c>
      <c r="AX72" s="11"/>
      <c r="AY72" s="11"/>
      <c r="AZ72" s="11"/>
      <c r="BA72" s="11"/>
      <c r="BE72" s="11"/>
      <c r="BF72" s="11"/>
      <c r="BG72" s="11"/>
      <c r="BH72" s="11"/>
      <c r="BJ72" s="27"/>
      <c r="BL72" s="11"/>
      <c r="BM72" s="11"/>
      <c r="BN72" s="11"/>
      <c r="BO72" s="11"/>
      <c r="BS72" s="11"/>
      <c r="BT72" s="11"/>
      <c r="BU72" s="11"/>
      <c r="BV72" s="11"/>
      <c r="CA72" s="11"/>
      <c r="CB72" s="11"/>
      <c r="CC72" s="11"/>
      <c r="CD72" s="11"/>
    </row>
    <row r="73" spans="2:82" outlineLevel="1">
      <c r="B73" t="s">
        <v>28</v>
      </c>
      <c r="C73" t="s">
        <v>54</v>
      </c>
      <c r="E73" s="10"/>
      <c r="F73" t="s">
        <v>113</v>
      </c>
      <c r="G73" s="11">
        <v>0.1</v>
      </c>
      <c r="I73" s="10">
        <f t="shared" si="11"/>
        <v>2</v>
      </c>
      <c r="J73" s="12">
        <f t="shared" si="10"/>
        <v>0.8</v>
      </c>
      <c r="K73" s="12">
        <f t="shared" si="10"/>
        <v>0.8</v>
      </c>
      <c r="L73" s="10"/>
      <c r="O73" s="11">
        <v>0.8</v>
      </c>
      <c r="P73" s="11"/>
      <c r="Q73" s="11">
        <v>0.8</v>
      </c>
      <c r="R73" s="11"/>
      <c r="V73" s="11"/>
      <c r="W73" s="11"/>
      <c r="X73" s="11"/>
      <c r="Y73" s="11"/>
      <c r="AC73" s="11"/>
      <c r="AD73" s="11"/>
      <c r="AE73" s="11"/>
      <c r="AF73" s="11"/>
      <c r="AJ73" s="11"/>
      <c r="AK73" s="11"/>
      <c r="AL73" s="11"/>
      <c r="AM73" s="11"/>
      <c r="AP73">
        <v>2</v>
      </c>
      <c r="AQ73" s="11"/>
      <c r="AR73" s="11">
        <v>1</v>
      </c>
      <c r="AS73" s="11"/>
      <c r="AT73" s="11">
        <v>1</v>
      </c>
      <c r="AX73" s="11"/>
      <c r="AY73" s="11"/>
      <c r="AZ73" s="11"/>
      <c r="BA73" s="11"/>
      <c r="BE73" s="11"/>
      <c r="BF73" s="11"/>
      <c r="BG73" s="11"/>
      <c r="BH73" s="11"/>
      <c r="BJ73" s="27"/>
      <c r="BL73" s="11"/>
      <c r="BM73" s="11"/>
      <c r="BN73" s="11"/>
      <c r="BO73" s="11"/>
      <c r="BS73" s="11"/>
      <c r="BT73" s="11"/>
      <c r="BU73" s="11"/>
      <c r="BV73" s="11"/>
      <c r="CA73" s="11"/>
      <c r="CB73" s="11"/>
      <c r="CC73" s="11"/>
      <c r="CD73" s="11"/>
    </row>
    <row r="74" spans="2:82" outlineLevel="1">
      <c r="B74" t="s">
        <v>28</v>
      </c>
      <c r="C74" t="s">
        <v>54</v>
      </c>
      <c r="E74" s="10"/>
      <c r="F74" t="s">
        <v>114</v>
      </c>
      <c r="G74" s="11">
        <v>0.1</v>
      </c>
      <c r="I74" s="10">
        <f t="shared" si="11"/>
        <v>2</v>
      </c>
      <c r="J74" s="12">
        <f t="shared" si="10"/>
        <v>0.8</v>
      </c>
      <c r="K74" s="12">
        <f t="shared" si="10"/>
        <v>0.8</v>
      </c>
      <c r="L74" s="10"/>
      <c r="O74" s="11">
        <v>0.8</v>
      </c>
      <c r="P74" s="11"/>
      <c r="Q74" s="11">
        <v>0.8</v>
      </c>
      <c r="R74" s="11"/>
      <c r="V74" s="11"/>
      <c r="W74" s="11"/>
      <c r="X74" s="11"/>
      <c r="Y74" s="11"/>
      <c r="AC74" s="11"/>
      <c r="AD74" s="11"/>
      <c r="AE74" s="11"/>
      <c r="AF74" s="11"/>
      <c r="AJ74" s="11"/>
      <c r="AK74" s="11"/>
      <c r="AL74" s="11"/>
      <c r="AM74" s="11"/>
      <c r="AP74">
        <v>2</v>
      </c>
      <c r="AQ74" s="11"/>
      <c r="AR74" s="11">
        <v>1</v>
      </c>
      <c r="AS74" s="11"/>
      <c r="AT74" s="11">
        <v>1</v>
      </c>
      <c r="AX74" s="11"/>
      <c r="AY74" s="11"/>
      <c r="AZ74" s="11"/>
      <c r="BA74" s="11"/>
      <c r="BE74" s="11"/>
      <c r="BF74" s="11"/>
      <c r="BG74" s="11"/>
      <c r="BH74" s="11"/>
      <c r="BJ74" s="27"/>
      <c r="BL74" s="11"/>
      <c r="BM74" s="11"/>
      <c r="BN74" s="11"/>
      <c r="BO74" s="11"/>
      <c r="BS74" s="11"/>
      <c r="BT74" s="11"/>
      <c r="BU74" s="11"/>
      <c r="BV74" s="11"/>
      <c r="CA74" s="11"/>
      <c r="CB74" s="11"/>
      <c r="CC74" s="11"/>
      <c r="CD74" s="11"/>
    </row>
    <row r="75" spans="2:82" outlineLevel="1">
      <c r="B75" t="s">
        <v>28</v>
      </c>
      <c r="C75" t="s">
        <v>54</v>
      </c>
      <c r="E75" s="10"/>
      <c r="F75" t="s">
        <v>115</v>
      </c>
      <c r="G75" s="11">
        <v>0.05</v>
      </c>
      <c r="I75" s="10">
        <f t="shared" si="11"/>
        <v>2</v>
      </c>
      <c r="J75" s="12">
        <f t="shared" si="10"/>
        <v>0.8</v>
      </c>
      <c r="K75" s="12">
        <f t="shared" si="10"/>
        <v>0.8</v>
      </c>
      <c r="L75" s="10"/>
      <c r="O75" s="11">
        <v>0.8</v>
      </c>
      <c r="P75" s="11"/>
      <c r="Q75" s="11">
        <v>0.8</v>
      </c>
      <c r="R75" s="11"/>
      <c r="V75" s="11"/>
      <c r="W75" s="11"/>
      <c r="X75" s="11"/>
      <c r="Y75" s="11"/>
      <c r="AC75" s="11"/>
      <c r="AD75" s="11"/>
      <c r="AE75" s="11"/>
      <c r="AF75" s="11"/>
      <c r="AJ75" s="11"/>
      <c r="AK75" s="11"/>
      <c r="AL75" s="11"/>
      <c r="AM75" s="11"/>
      <c r="AP75">
        <v>2</v>
      </c>
      <c r="AQ75" s="11"/>
      <c r="AR75" s="11">
        <v>1</v>
      </c>
      <c r="AS75" s="11"/>
      <c r="AT75" s="11">
        <v>1</v>
      </c>
      <c r="AX75" s="11"/>
      <c r="AY75" s="11"/>
      <c r="AZ75" s="11"/>
      <c r="BA75" s="11"/>
      <c r="BE75" s="11"/>
      <c r="BF75" s="11"/>
      <c r="BG75" s="11"/>
      <c r="BH75" s="11"/>
      <c r="BJ75" s="27"/>
      <c r="BL75" s="11"/>
      <c r="BM75" s="11"/>
      <c r="BN75" s="11"/>
      <c r="BO75" s="11"/>
      <c r="BS75" s="11"/>
      <c r="BT75" s="11"/>
      <c r="BU75" s="11"/>
      <c r="BV75" s="11"/>
      <c r="CA75" s="11"/>
      <c r="CB75" s="11"/>
      <c r="CC75" s="11"/>
      <c r="CD75" s="11"/>
    </row>
    <row r="76" spans="2:82" outlineLevel="1">
      <c r="B76" t="s">
        <v>28</v>
      </c>
      <c r="C76" t="s">
        <v>54</v>
      </c>
      <c r="E76" s="10"/>
      <c r="F76" t="s">
        <v>130</v>
      </c>
      <c r="G76" s="11">
        <v>0.05</v>
      </c>
      <c r="I76" s="10">
        <f t="shared" si="11"/>
        <v>2</v>
      </c>
      <c r="J76" s="12">
        <f t="shared" si="10"/>
        <v>0.8</v>
      </c>
      <c r="K76" s="12">
        <f t="shared" si="10"/>
        <v>0.8</v>
      </c>
      <c r="L76" s="10"/>
      <c r="O76" s="11">
        <v>0.8</v>
      </c>
      <c r="P76" s="11"/>
      <c r="Q76" s="11">
        <v>0.8</v>
      </c>
      <c r="R76" s="11"/>
      <c r="U76">
        <v>2</v>
      </c>
      <c r="V76" s="11"/>
      <c r="W76" s="11">
        <v>1</v>
      </c>
      <c r="X76" s="11"/>
      <c r="Y76" s="11">
        <v>1</v>
      </c>
      <c r="AB76">
        <v>0</v>
      </c>
      <c r="AC76" s="11"/>
      <c r="AD76" s="11"/>
      <c r="AE76" s="11"/>
      <c r="AF76" s="11"/>
      <c r="AJ76" s="11"/>
      <c r="AK76" s="11"/>
      <c r="AL76" s="11"/>
      <c r="AM76" s="11"/>
      <c r="AQ76" s="11"/>
      <c r="AR76" s="11">
        <v>1</v>
      </c>
      <c r="AS76" s="11"/>
      <c r="AT76" s="11">
        <v>1</v>
      </c>
      <c r="AX76" s="11"/>
      <c r="AY76" s="11"/>
      <c r="AZ76" s="11"/>
      <c r="BA76" s="11"/>
      <c r="BE76" s="11"/>
      <c r="BF76" s="11"/>
      <c r="BG76" s="11"/>
      <c r="BH76" s="11"/>
      <c r="BJ76" s="27"/>
      <c r="BL76" s="11"/>
      <c r="BM76" s="11"/>
      <c r="BN76" s="11"/>
      <c r="BO76" s="11"/>
      <c r="BS76" s="11"/>
      <c r="BT76" s="11"/>
      <c r="BU76" s="11"/>
      <c r="BV76" s="11"/>
      <c r="CA76" s="11"/>
      <c r="CB76" s="11"/>
      <c r="CC76" s="11"/>
      <c r="CD76" s="11"/>
    </row>
    <row r="77" spans="2:82" outlineLevel="1">
      <c r="B77" t="s">
        <v>28</v>
      </c>
      <c r="C77" t="s">
        <v>54</v>
      </c>
      <c r="E77" s="10"/>
      <c r="F77" t="s">
        <v>131</v>
      </c>
      <c r="G77" s="11">
        <v>0.05</v>
      </c>
      <c r="I77" s="10">
        <f t="shared" si="11"/>
        <v>6</v>
      </c>
      <c r="J77" s="12"/>
      <c r="K77" s="12"/>
      <c r="L77" s="10"/>
      <c r="O77" s="11"/>
      <c r="P77" s="11"/>
      <c r="Q77" s="11"/>
      <c r="R77" s="11"/>
      <c r="U77">
        <v>2</v>
      </c>
      <c r="V77" s="11"/>
      <c r="W77" s="11">
        <v>0.5</v>
      </c>
      <c r="X77" s="11"/>
      <c r="Y77" s="11">
        <v>0.5</v>
      </c>
      <c r="AB77">
        <v>2</v>
      </c>
      <c r="AC77" s="11"/>
      <c r="AD77" s="11">
        <v>0.8</v>
      </c>
      <c r="AE77" s="11"/>
      <c r="AF77" s="11">
        <v>0.8</v>
      </c>
      <c r="AI77">
        <v>2</v>
      </c>
      <c r="AJ77" s="11"/>
      <c r="AK77" s="11">
        <v>1</v>
      </c>
      <c r="AL77" s="11"/>
      <c r="AM77" s="11">
        <v>1</v>
      </c>
      <c r="AQ77" s="11"/>
      <c r="AR77" s="11">
        <v>1</v>
      </c>
      <c r="AS77" s="11"/>
      <c r="AT77" s="11">
        <v>1</v>
      </c>
      <c r="AX77" s="11"/>
      <c r="AY77" s="11"/>
      <c r="AZ77" s="11"/>
      <c r="BA77" s="11"/>
      <c r="BE77" s="11"/>
      <c r="BF77" s="11"/>
      <c r="BG77" s="11"/>
      <c r="BH77" s="11"/>
      <c r="BJ77" s="27"/>
      <c r="BL77" s="11"/>
      <c r="BM77" s="11"/>
      <c r="BN77" s="11"/>
      <c r="BO77" s="11"/>
      <c r="BS77" s="11"/>
      <c r="BT77" s="11"/>
      <c r="BU77" s="11"/>
      <c r="BV77" s="11"/>
      <c r="CA77" s="11"/>
      <c r="CB77" s="11"/>
      <c r="CC77" s="11"/>
      <c r="CD77" s="11"/>
    </row>
    <row r="78" spans="2:82" outlineLevel="1">
      <c r="B78" t="s">
        <v>28</v>
      </c>
      <c r="C78" t="s">
        <v>54</v>
      </c>
      <c r="E78" s="10"/>
      <c r="F78" t="s">
        <v>132</v>
      </c>
      <c r="G78" s="11">
        <v>0.05</v>
      </c>
      <c r="I78" s="10">
        <f t="shared" si="11"/>
        <v>6</v>
      </c>
      <c r="J78" s="12"/>
      <c r="K78" s="12"/>
      <c r="L78" s="10"/>
      <c r="O78" s="11"/>
      <c r="P78" s="11"/>
      <c r="Q78" s="11"/>
      <c r="R78" s="11"/>
      <c r="V78" s="11"/>
      <c r="W78" s="11"/>
      <c r="X78" s="11"/>
      <c r="Y78" s="11"/>
      <c r="AB78">
        <v>2</v>
      </c>
      <c r="AC78" s="11"/>
      <c r="AD78" s="11">
        <v>0.5</v>
      </c>
      <c r="AE78" s="11"/>
      <c r="AF78" s="11">
        <v>0.5</v>
      </c>
      <c r="AI78">
        <v>2</v>
      </c>
      <c r="AJ78" s="11"/>
      <c r="AK78" s="11">
        <v>0.8</v>
      </c>
      <c r="AL78" s="11"/>
      <c r="AM78" s="11">
        <v>0.8</v>
      </c>
      <c r="AP78">
        <v>2</v>
      </c>
      <c r="AQ78" s="11"/>
      <c r="AR78" s="11">
        <v>1</v>
      </c>
      <c r="AS78" s="11"/>
      <c r="AT78" s="11">
        <v>1</v>
      </c>
      <c r="AX78" s="11"/>
      <c r="AY78" s="11"/>
      <c r="AZ78" s="11"/>
      <c r="BA78" s="11"/>
      <c r="BE78" s="11"/>
      <c r="BF78" s="11"/>
      <c r="BG78" s="11"/>
      <c r="BH78" s="11"/>
      <c r="BJ78" s="27"/>
      <c r="BL78" s="11"/>
      <c r="BM78" s="11"/>
      <c r="BN78" s="11"/>
      <c r="BO78" s="11"/>
      <c r="BS78" s="11"/>
      <c r="BT78" s="11"/>
      <c r="BU78" s="11"/>
      <c r="BV78" s="11"/>
      <c r="CA78" s="11"/>
      <c r="CB78" s="11"/>
      <c r="CC78" s="11"/>
      <c r="CD78" s="11"/>
    </row>
  </sheetData>
  <mergeCells count="11">
    <mergeCell ref="BZ2:CE2"/>
    <mergeCell ref="BK2:BP2"/>
    <mergeCell ref="BR2:BW2"/>
    <mergeCell ref="I2:L2"/>
    <mergeCell ref="N2:S2"/>
    <mergeCell ref="BD2:BI2"/>
    <mergeCell ref="U2:Z2"/>
    <mergeCell ref="AB2:AG2"/>
    <mergeCell ref="AI2:AN2"/>
    <mergeCell ref="AP2:AU2"/>
    <mergeCell ref="AW2:BB2"/>
  </mergeCells>
  <conditionalFormatting sqref="J5:K16">
    <cfRule type="colorScale" priority="343">
      <colorScale>
        <cfvo type="percent" val="0"/>
        <cfvo type="percent" val="100"/>
        <color rgb="FFFF231B"/>
        <color rgb="FF10FF07"/>
      </colorScale>
    </cfRule>
  </conditionalFormatting>
  <conditionalFormatting sqref="O19:O24 Q19:Q24 AJ30:AJ37 AL30:AL37 AX30:AX37 AZ30:AZ37 Q30:Q37 O30:O37 BG30:BG37 X30:X37 V30:V37 AE30:AE37 AC30:AC37 AS30:AS37 AQ30:AQ37 BE30:BE37 BU30:BU37 BS30:BS37 O54:O63 Q54:Q63 AQ54:AQ63 AS54:AS63 BE54:BE63 BG54:BG63 V54:V63 X54:X63 AC54:AC63 AE54:AE63 AJ54:AJ63 AL54:AL63 AX54:AX63 AZ54:AZ63 BL54:BL63 BN54:BN63 BS54:BS63 BU54:BU63 O66:O78 Q66:Q78 AQ66:AQ78 AS66:AS78 BE66:BE78 BG66:BG78 V66:V78 X66:X78 AC66:AC78 AE66:AE78 AJ66:AJ78 AL66:AL78 AX66:AX78 AZ66:AZ78 BU66:BU78 BL66:BL78 BN66:BN78 BS66:BS78 BL28:BL37 BN28:BN37 O5:O16">
    <cfRule type="expression" dxfId="176" priority="341">
      <formula>OR(IF(O5&lt;P5,TRUE),IF(AND(P5="",O5&lt;&gt;""),TRUE))</formula>
    </cfRule>
    <cfRule type="expression" dxfId="175" priority="342">
      <formula>IF(O5&gt;=P5,IF(O5="",FALSE,TRUE))</formula>
    </cfRule>
  </conditionalFormatting>
  <conditionalFormatting sqref="Q5:Q16">
    <cfRule type="expression" dxfId="174" priority="339">
      <formula>OR(IF(Q5&lt;R5,TRUE),IF(AND(R5="",Q5&lt;&gt;""),TRUE))</formula>
    </cfRule>
    <cfRule type="expression" dxfId="173" priority="340">
      <formula>IF(Q5&gt;=R5,IF(Q5="",FALSE,TRUE))</formula>
    </cfRule>
  </conditionalFormatting>
  <conditionalFormatting sqref="AQ19:AQ24 AS19:AS24 AQ5:AQ16">
    <cfRule type="expression" dxfId="172" priority="208">
      <formula>OR(IF(AQ5&lt;AR5,TRUE),IF(AND(AR5="",AQ5&lt;&gt;""),TRUE))</formula>
    </cfRule>
    <cfRule type="expression" dxfId="171" priority="209">
      <formula>IF(AQ5&gt;=AR5,IF(AQ5="",FALSE,TRUE))</formula>
    </cfRule>
  </conditionalFormatting>
  <conditionalFormatting sqref="AS5:AS16">
    <cfRule type="expression" dxfId="170" priority="206">
      <formula>OR(IF(AS5&lt;AT5,TRUE),IF(AND(AT5="",AS5&lt;&gt;""),TRUE))</formula>
    </cfRule>
    <cfRule type="expression" dxfId="169" priority="207">
      <formula>IF(AS5&gt;=AT5,IF(AS5="",FALSE,TRUE))</formula>
    </cfRule>
  </conditionalFormatting>
  <conditionalFormatting sqref="J19:K25">
    <cfRule type="colorScale" priority="344">
      <colorScale>
        <cfvo type="percent" val="0"/>
        <cfvo type="percent" val="100"/>
        <color rgb="FFFF231B"/>
        <color rgb="FF10FF07"/>
      </colorScale>
    </cfRule>
  </conditionalFormatting>
  <conditionalFormatting sqref="O28:O29">
    <cfRule type="expression" dxfId="168" priority="282">
      <formula>OR(IF(O28&lt;P28,TRUE),IF(AND(P28="",O28&lt;&gt;""),TRUE))</formula>
    </cfRule>
    <cfRule type="expression" dxfId="167" priority="283">
      <formula>IF(O28&gt;=P28,IF(O28="",FALSE,TRUE))</formula>
    </cfRule>
  </conditionalFormatting>
  <conditionalFormatting sqref="Q28:Q29">
    <cfRule type="expression" dxfId="166" priority="280">
      <formula>OR(IF(Q28&lt;R28,TRUE),IF(AND(R28="",Q28&lt;&gt;""),TRUE))</formula>
    </cfRule>
    <cfRule type="expression" dxfId="165" priority="281">
      <formula>IF(Q28&gt;=R28,IF(Q28="",FALSE,TRUE))</formula>
    </cfRule>
  </conditionalFormatting>
  <conditionalFormatting sqref="AZ25">
    <cfRule type="expression" dxfId="164" priority="182">
      <formula>OR(IF(AZ25&lt;BA25,TRUE),IF(AND(BA25="",AZ25&lt;&gt;""),TRUE))</formula>
    </cfRule>
    <cfRule type="expression" dxfId="163" priority="183">
      <formula>IF(AZ25&gt;=BA25,IF(AZ25="",FALSE,TRUE))</formula>
    </cfRule>
  </conditionalFormatting>
  <conditionalFormatting sqref="BE19:BE24 BG19:BG24 BE5:BE16">
    <cfRule type="expression" dxfId="162" priority="176">
      <formula>OR(IF(BE5&lt;BF5,TRUE),IF(AND(BF5="",BE5&lt;&gt;""),TRUE))</formula>
    </cfRule>
    <cfRule type="expression" dxfId="161" priority="177">
      <formula>IF(BE5&gt;=BF5,IF(BE5="",FALSE,TRUE))</formula>
    </cfRule>
  </conditionalFormatting>
  <conditionalFormatting sqref="BG5:BG16">
    <cfRule type="expression" dxfId="160" priority="174">
      <formula>OR(IF(BG5&lt;BH5,TRUE),IF(AND(BH5="",BG5&lt;&gt;""),TRUE))</formula>
    </cfRule>
    <cfRule type="expression" dxfId="159" priority="175">
      <formula>IF(BG5&gt;=BH5,IF(BG5="",FALSE,TRUE))</formula>
    </cfRule>
  </conditionalFormatting>
  <conditionalFormatting sqref="BE28:BE29">
    <cfRule type="expression" dxfId="158" priority="172">
      <formula>OR(IF(BE28&lt;BF28,TRUE),IF(AND(BF28="",BE28&lt;&gt;""),TRUE))</formula>
    </cfRule>
    <cfRule type="expression" dxfId="157" priority="173">
      <formula>IF(BE28&gt;=BF28,IF(BE28="",FALSE,TRUE))</formula>
    </cfRule>
  </conditionalFormatting>
  <conditionalFormatting sqref="O25">
    <cfRule type="expression" dxfId="156" priority="264">
      <formula>OR(IF(O25&lt;P25,TRUE),IF(AND(P25="",O25&lt;&gt;""),TRUE))</formula>
    </cfRule>
    <cfRule type="expression" dxfId="155" priority="265">
      <formula>IF(O25&gt;=P25,IF(O25="",FALSE,TRUE))</formula>
    </cfRule>
  </conditionalFormatting>
  <conditionalFormatting sqref="Q25">
    <cfRule type="expression" dxfId="154" priority="262">
      <formula>OR(IF(Q25&lt;R25,TRUE),IF(AND(R25="",Q25&lt;&gt;""),TRUE))</formula>
    </cfRule>
    <cfRule type="expression" dxfId="153" priority="263">
      <formula>IF(Q25&gt;=R25,IF(Q25="",FALSE,TRUE))</formula>
    </cfRule>
  </conditionalFormatting>
  <conditionalFormatting sqref="V19:V24 X19:X24 V5:V16">
    <cfRule type="expression" dxfId="152" priority="256">
      <formula>OR(IF(V5&lt;W5,TRUE),IF(AND(W5="",V5&lt;&gt;""),TRUE))</formula>
    </cfRule>
    <cfRule type="expression" dxfId="151" priority="257">
      <formula>IF(V5&gt;=W5,IF(V5="",FALSE,TRUE))</formula>
    </cfRule>
  </conditionalFormatting>
  <conditionalFormatting sqref="X5:X16">
    <cfRule type="expression" dxfId="150" priority="254">
      <formula>OR(IF(X5&lt;Y5,TRUE),IF(AND(Y5="",X5&lt;&gt;""),TRUE))</formula>
    </cfRule>
    <cfRule type="expression" dxfId="149" priority="255">
      <formula>IF(X5&gt;=Y5,IF(X5="",FALSE,TRUE))</formula>
    </cfRule>
  </conditionalFormatting>
  <conditionalFormatting sqref="V28:V29">
    <cfRule type="expression" dxfId="148" priority="252">
      <formula>OR(IF(V28&lt;W28,TRUE),IF(AND(W28="",V28&lt;&gt;""),TRUE))</formula>
    </cfRule>
    <cfRule type="expression" dxfId="147" priority="253">
      <formula>IF(V28&gt;=W28,IF(V28="",FALSE,TRUE))</formula>
    </cfRule>
  </conditionalFormatting>
  <conditionalFormatting sqref="X28:X29">
    <cfRule type="expression" dxfId="146" priority="250">
      <formula>OR(IF(X28&lt;Y28,TRUE),IF(AND(Y28="",X28&lt;&gt;""),TRUE))</formula>
    </cfRule>
    <cfRule type="expression" dxfId="145" priority="251">
      <formula>IF(X28&gt;=Y28,IF(X28="",FALSE,TRUE))</formula>
    </cfRule>
  </conditionalFormatting>
  <conditionalFormatting sqref="V25">
    <cfRule type="expression" dxfId="144" priority="248">
      <formula>OR(IF(V25&lt;W25,TRUE),IF(AND(W25="",V25&lt;&gt;""),TRUE))</formula>
    </cfRule>
    <cfRule type="expression" dxfId="143" priority="249">
      <formula>IF(V25&gt;=W25,IF(V25="",FALSE,TRUE))</formula>
    </cfRule>
  </conditionalFormatting>
  <conditionalFormatting sqref="X25">
    <cfRule type="expression" dxfId="142" priority="246">
      <formula>OR(IF(X25&lt;Y25,TRUE),IF(AND(Y25="",X25&lt;&gt;""),TRUE))</formula>
    </cfRule>
    <cfRule type="expression" dxfId="141" priority="247">
      <formula>IF(X25&gt;=Y25,IF(X25="",FALSE,TRUE))</formula>
    </cfRule>
  </conditionalFormatting>
  <conditionalFormatting sqref="AC19:AC24 AE19:AE24 AC5:AC16">
    <cfRule type="expression" dxfId="140" priority="240">
      <formula>OR(IF(AC5&lt;AD5,TRUE),IF(AND(AD5="",AC5&lt;&gt;""),TRUE))</formula>
    </cfRule>
    <cfRule type="expression" dxfId="139" priority="241">
      <formula>IF(AC5&gt;=AD5,IF(AC5="",FALSE,TRUE))</formula>
    </cfRule>
  </conditionalFormatting>
  <conditionalFormatting sqref="AE5:AE16">
    <cfRule type="expression" dxfId="138" priority="238">
      <formula>OR(IF(AE5&lt;AF5,TRUE),IF(AND(AF5="",AE5&lt;&gt;""),TRUE))</formula>
    </cfRule>
    <cfRule type="expression" dxfId="137" priority="239">
      <formula>IF(AE5&gt;=AF5,IF(AE5="",FALSE,TRUE))</formula>
    </cfRule>
  </conditionalFormatting>
  <conditionalFormatting sqref="AC28:AC29">
    <cfRule type="expression" dxfId="136" priority="236">
      <formula>OR(IF(AC28&lt;AD28,TRUE),IF(AND(AD28="",AC28&lt;&gt;""),TRUE))</formula>
    </cfRule>
    <cfRule type="expression" dxfId="135" priority="237">
      <formula>IF(AC28&gt;=AD28,IF(AC28="",FALSE,TRUE))</formula>
    </cfRule>
  </conditionalFormatting>
  <conditionalFormatting sqref="AE28:AE29">
    <cfRule type="expression" dxfId="134" priority="234">
      <formula>OR(IF(AE28&lt;AF28,TRUE),IF(AND(AF28="",AE28&lt;&gt;""),TRUE))</formula>
    </cfRule>
    <cfRule type="expression" dxfId="133" priority="235">
      <formula>IF(AE28&gt;=AF28,IF(AE28="",FALSE,TRUE))</formula>
    </cfRule>
  </conditionalFormatting>
  <conditionalFormatting sqref="AC25">
    <cfRule type="expression" dxfId="132" priority="232">
      <formula>OR(IF(AC25&lt;AD25,TRUE),IF(AND(AD25="",AC25&lt;&gt;""),TRUE))</formula>
    </cfRule>
    <cfRule type="expression" dxfId="131" priority="233">
      <formula>IF(AC25&gt;=AD25,IF(AC25="",FALSE,TRUE))</formula>
    </cfRule>
  </conditionalFormatting>
  <conditionalFormatting sqref="AE25">
    <cfRule type="expression" dxfId="130" priority="230">
      <formula>OR(IF(AE25&lt;AF25,TRUE),IF(AND(AF25="",AE25&lt;&gt;""),TRUE))</formula>
    </cfRule>
    <cfRule type="expression" dxfId="129" priority="231">
      <formula>IF(AE25&gt;=AF25,IF(AE25="",FALSE,TRUE))</formula>
    </cfRule>
  </conditionalFormatting>
  <conditionalFormatting sqref="AJ19:AJ24 AL19:AL24 AJ5:AJ16">
    <cfRule type="expression" dxfId="128" priority="224">
      <formula>OR(IF(AJ5&lt;AK5,TRUE),IF(AND(AK5="",AJ5&lt;&gt;""),TRUE))</formula>
    </cfRule>
    <cfRule type="expression" dxfId="127" priority="225">
      <formula>IF(AJ5&gt;=AK5,IF(AJ5="",FALSE,TRUE))</formula>
    </cfRule>
  </conditionalFormatting>
  <conditionalFormatting sqref="AL5:AL16">
    <cfRule type="expression" dxfId="126" priority="222">
      <formula>OR(IF(AL5&lt;AM5,TRUE),IF(AND(AM5="",AL5&lt;&gt;""),TRUE))</formula>
    </cfRule>
    <cfRule type="expression" dxfId="125" priority="223">
      <formula>IF(AL5&gt;=AM5,IF(AL5="",FALSE,TRUE))</formula>
    </cfRule>
  </conditionalFormatting>
  <conditionalFormatting sqref="AJ28:AJ29">
    <cfRule type="expression" dxfId="124" priority="220">
      <formula>OR(IF(AJ28&lt;AK28,TRUE),IF(AND(AK28="",AJ28&lt;&gt;""),TRUE))</formula>
    </cfRule>
    <cfRule type="expression" dxfId="123" priority="221">
      <formula>IF(AJ28&gt;=AK28,IF(AJ28="",FALSE,TRUE))</formula>
    </cfRule>
  </conditionalFormatting>
  <conditionalFormatting sqref="AL28:AL29">
    <cfRule type="expression" dxfId="122" priority="218">
      <formula>OR(IF(AL28&lt;AM28,TRUE),IF(AND(AM28="",AL28&lt;&gt;""),TRUE))</formula>
    </cfRule>
    <cfRule type="expression" dxfId="121" priority="219">
      <formula>IF(AL28&gt;=AM28,IF(AL28="",FALSE,TRUE))</formula>
    </cfRule>
  </conditionalFormatting>
  <conditionalFormatting sqref="AJ25">
    <cfRule type="expression" dxfId="120" priority="216">
      <formula>OR(IF(AJ25&lt;AK25,TRUE),IF(AND(AK25="",AJ25&lt;&gt;""),TRUE))</formula>
    </cfRule>
    <cfRule type="expression" dxfId="119" priority="217">
      <formula>IF(AJ25&gt;=AK25,IF(AJ25="",FALSE,TRUE))</formula>
    </cfRule>
  </conditionalFormatting>
  <conditionalFormatting sqref="AL25">
    <cfRule type="expression" dxfId="118" priority="214">
      <formula>OR(IF(AL25&lt;AM25,TRUE),IF(AND(AM25="",AL25&lt;&gt;""),TRUE))</formula>
    </cfRule>
    <cfRule type="expression" dxfId="117" priority="215">
      <formula>IF(AL25&gt;=AM25,IF(AL25="",FALSE,TRUE))</formula>
    </cfRule>
  </conditionalFormatting>
  <conditionalFormatting sqref="AQ28:AQ29">
    <cfRule type="expression" dxfId="116" priority="204">
      <formula>OR(IF(AQ28&lt;AR28,TRUE),IF(AND(AR28="",AQ28&lt;&gt;""),TRUE))</formula>
    </cfRule>
    <cfRule type="expression" dxfId="115" priority="205">
      <formula>IF(AQ28&gt;=AR28,IF(AQ28="",FALSE,TRUE))</formula>
    </cfRule>
  </conditionalFormatting>
  <conditionalFormatting sqref="AS28:AS29">
    <cfRule type="expression" dxfId="114" priority="202">
      <formula>OR(IF(AS28&lt;AT28,TRUE),IF(AND(AT28="",AS28&lt;&gt;""),TRUE))</formula>
    </cfRule>
    <cfRule type="expression" dxfId="113" priority="203">
      <formula>IF(AS28&gt;=AT28,IF(AS28="",FALSE,TRUE))</formula>
    </cfRule>
  </conditionalFormatting>
  <conditionalFormatting sqref="AQ25">
    <cfRule type="expression" dxfId="112" priority="200">
      <formula>OR(IF(AQ25&lt;AR25,TRUE),IF(AND(AR25="",AQ25&lt;&gt;""),TRUE))</formula>
    </cfRule>
    <cfRule type="expression" dxfId="111" priority="201">
      <formula>IF(AQ25&gt;=AR25,IF(AQ25="",FALSE,TRUE))</formula>
    </cfRule>
  </conditionalFormatting>
  <conditionalFormatting sqref="AS25">
    <cfRule type="expression" dxfId="110" priority="198">
      <formula>OR(IF(AS25&lt;AT25,TRUE),IF(AND(AT25="",AS25&lt;&gt;""),TRUE))</formula>
    </cfRule>
    <cfRule type="expression" dxfId="109" priority="199">
      <formula>IF(AS25&gt;=AT25,IF(AS25="",FALSE,TRUE))</formula>
    </cfRule>
  </conditionalFormatting>
  <conditionalFormatting sqref="AX19:AX24 AZ19:AZ24 AX5:AX16">
    <cfRule type="expression" dxfId="108" priority="192">
      <formula>OR(IF(AX5&lt;AY5,TRUE),IF(AND(AY5="",AX5&lt;&gt;""),TRUE))</formula>
    </cfRule>
    <cfRule type="expression" dxfId="107" priority="193">
      <formula>IF(AX5&gt;=AY5,IF(AX5="",FALSE,TRUE))</formula>
    </cfRule>
  </conditionalFormatting>
  <conditionalFormatting sqref="AZ5:AZ16">
    <cfRule type="expression" dxfId="106" priority="190">
      <formula>OR(IF(AZ5&lt;BA5,TRUE),IF(AND(BA5="",AZ5&lt;&gt;""),TRUE))</formula>
    </cfRule>
    <cfRule type="expression" dxfId="105" priority="191">
      <formula>IF(AZ5&gt;=BA5,IF(AZ5="",FALSE,TRUE))</formula>
    </cfRule>
  </conditionalFormatting>
  <conditionalFormatting sqref="AX28:AX29">
    <cfRule type="expression" dxfId="104" priority="188">
      <formula>OR(IF(AX28&lt;AY28,TRUE),IF(AND(AY28="",AX28&lt;&gt;""),TRUE))</formula>
    </cfRule>
    <cfRule type="expression" dxfId="103" priority="189">
      <formula>IF(AX28&gt;=AY28,IF(AX28="",FALSE,TRUE))</formula>
    </cfRule>
  </conditionalFormatting>
  <conditionalFormatting sqref="AZ28:AZ29">
    <cfRule type="expression" dxfId="102" priority="186">
      <formula>OR(IF(AZ28&lt;BA28,TRUE),IF(AND(BA28="",AZ28&lt;&gt;""),TRUE))</formula>
    </cfRule>
    <cfRule type="expression" dxfId="101" priority="187">
      <formula>IF(AZ28&gt;=BA28,IF(AZ28="",FALSE,TRUE))</formula>
    </cfRule>
  </conditionalFormatting>
  <conditionalFormatting sqref="AX25">
    <cfRule type="expression" dxfId="100" priority="184">
      <formula>OR(IF(AX25&lt;AY25,TRUE),IF(AND(AY25="",AX25&lt;&gt;""),TRUE))</formula>
    </cfRule>
    <cfRule type="expression" dxfId="99" priority="185">
      <formula>IF(AX25&gt;=AY25,IF(AX25="",FALSE,TRUE))</formula>
    </cfRule>
  </conditionalFormatting>
  <conditionalFormatting sqref="BG28:BG29">
    <cfRule type="expression" dxfId="98" priority="170">
      <formula>OR(IF(BG28&lt;BH28,TRUE),IF(AND(BH28="",BG28&lt;&gt;""),TRUE))</formula>
    </cfRule>
    <cfRule type="expression" dxfId="97" priority="171">
      <formula>IF(BG28&gt;=BH28,IF(BG28="",FALSE,TRUE))</formula>
    </cfRule>
  </conditionalFormatting>
  <conditionalFormatting sqref="BE25">
    <cfRule type="expression" dxfId="96" priority="168">
      <formula>OR(IF(BE25&lt;BF25,TRUE),IF(AND(BF25="",BE25&lt;&gt;""),TRUE))</formula>
    </cfRule>
    <cfRule type="expression" dxfId="95" priority="169">
      <formula>IF(BE25&gt;=BF25,IF(BE25="",FALSE,TRUE))</formula>
    </cfRule>
  </conditionalFormatting>
  <conditionalFormatting sqref="BG25">
    <cfRule type="expression" dxfId="94" priority="166">
      <formula>OR(IF(BG25&lt;BH25,TRUE),IF(AND(BH25="",BG25&lt;&gt;""),TRUE))</formula>
    </cfRule>
    <cfRule type="expression" dxfId="93" priority="167">
      <formula>IF(BG25&gt;=BH25,IF(BG25="",FALSE,TRUE))</formula>
    </cfRule>
  </conditionalFormatting>
  <conditionalFormatting sqref="J40:K51">
    <cfRule type="colorScale" priority="161">
      <colorScale>
        <cfvo type="percent" val="0"/>
        <cfvo type="percent" val="100"/>
        <color rgb="FFFF231B"/>
        <color rgb="FF10FF07"/>
      </colorScale>
    </cfRule>
  </conditionalFormatting>
  <conditionalFormatting sqref="O40:O51">
    <cfRule type="expression" dxfId="92" priority="159">
      <formula>OR(IF(O40&lt;P40,TRUE),IF(AND(P40="",O40&lt;&gt;""),TRUE))</formula>
    </cfRule>
    <cfRule type="expression" dxfId="91" priority="160">
      <formula>IF(O40&gt;=P40,IF(O40="",FALSE,TRUE))</formula>
    </cfRule>
  </conditionalFormatting>
  <conditionalFormatting sqref="Q40:Q51">
    <cfRule type="expression" dxfId="90" priority="157">
      <formula>OR(IF(Q40&lt;R40,TRUE),IF(AND(R40="",Q40&lt;&gt;""),TRUE))</formula>
    </cfRule>
    <cfRule type="expression" dxfId="89" priority="158">
      <formula>IF(Q40&gt;=R40,IF(Q40="",FALSE,TRUE))</formula>
    </cfRule>
  </conditionalFormatting>
  <conditionalFormatting sqref="AQ40:AQ51">
    <cfRule type="expression" dxfId="88" priority="143">
      <formula>OR(IF(AQ40&lt;AR40,TRUE),IF(AND(AR40="",AQ40&lt;&gt;""),TRUE))</formula>
    </cfRule>
    <cfRule type="expression" dxfId="87" priority="144">
      <formula>IF(AQ40&gt;=AR40,IF(AQ40="",FALSE,TRUE))</formula>
    </cfRule>
  </conditionalFormatting>
  <conditionalFormatting sqref="AS40:AS51">
    <cfRule type="expression" dxfId="86" priority="141">
      <formula>OR(IF(AS40&lt;AT40,TRUE),IF(AND(AT40="",AS40&lt;&gt;""),TRUE))</formula>
    </cfRule>
    <cfRule type="expression" dxfId="85" priority="142">
      <formula>IF(AS40&gt;=AT40,IF(AS40="",FALSE,TRUE))</formula>
    </cfRule>
  </conditionalFormatting>
  <conditionalFormatting sqref="BE40:BE51">
    <cfRule type="expression" dxfId="84" priority="135">
      <formula>OR(IF(BE40&lt;BF40,TRUE),IF(AND(BF40="",BE40&lt;&gt;""),TRUE))</formula>
    </cfRule>
    <cfRule type="expression" dxfId="83" priority="136">
      <formula>IF(BE40&gt;=BF40,IF(BE40="",FALSE,TRUE))</formula>
    </cfRule>
  </conditionalFormatting>
  <conditionalFormatting sqref="BG40:BG51">
    <cfRule type="expression" dxfId="82" priority="133">
      <formula>OR(IF(BG40&lt;BH40,TRUE),IF(AND(BH40="",BG40&lt;&gt;""),TRUE))</formula>
    </cfRule>
    <cfRule type="expression" dxfId="81" priority="134">
      <formula>IF(BG40&gt;=BH40,IF(BG40="",FALSE,TRUE))</formula>
    </cfRule>
  </conditionalFormatting>
  <conditionalFormatting sqref="V40:V51">
    <cfRule type="expression" dxfId="80" priority="155">
      <formula>OR(IF(V40&lt;W40,TRUE),IF(AND(W40="",V40&lt;&gt;""),TRUE))</formula>
    </cfRule>
    <cfRule type="expression" dxfId="79" priority="156">
      <formula>IF(V40&gt;=W40,IF(V40="",FALSE,TRUE))</formula>
    </cfRule>
  </conditionalFormatting>
  <conditionalFormatting sqref="X40:X51">
    <cfRule type="expression" dxfId="78" priority="153">
      <formula>OR(IF(X40&lt;Y40,TRUE),IF(AND(Y40="",X40&lt;&gt;""),TRUE))</formula>
    </cfRule>
    <cfRule type="expression" dxfId="77" priority="154">
      <formula>IF(X40&gt;=Y40,IF(X40="",FALSE,TRUE))</formula>
    </cfRule>
  </conditionalFormatting>
  <conditionalFormatting sqref="AC40:AC51">
    <cfRule type="expression" dxfId="76" priority="151">
      <formula>OR(IF(AC40&lt;AD40,TRUE),IF(AND(AD40="",AC40&lt;&gt;""),TRUE))</formula>
    </cfRule>
    <cfRule type="expression" dxfId="75" priority="152">
      <formula>IF(AC40&gt;=AD40,IF(AC40="",FALSE,TRUE))</formula>
    </cfRule>
  </conditionalFormatting>
  <conditionalFormatting sqref="AE40:AE51">
    <cfRule type="expression" dxfId="74" priority="149">
      <formula>OR(IF(AE40&lt;AF40,TRUE),IF(AND(AF40="",AE40&lt;&gt;""),TRUE))</formula>
    </cfRule>
    <cfRule type="expression" dxfId="73" priority="150">
      <formula>IF(AE40&gt;=AF40,IF(AE40="",FALSE,TRUE))</formula>
    </cfRule>
  </conditionalFormatting>
  <conditionalFormatting sqref="AJ40:AJ51">
    <cfRule type="expression" dxfId="72" priority="147">
      <formula>OR(IF(AJ40&lt;AK40,TRUE),IF(AND(AK40="",AJ40&lt;&gt;""),TRUE))</formula>
    </cfRule>
    <cfRule type="expression" dxfId="71" priority="148">
      <formula>IF(AJ40&gt;=AK40,IF(AJ40="",FALSE,TRUE))</formula>
    </cfRule>
  </conditionalFormatting>
  <conditionalFormatting sqref="AL40:AL51">
    <cfRule type="expression" dxfId="70" priority="145">
      <formula>OR(IF(AL40&lt;AM40,TRUE),IF(AND(AM40="",AL40&lt;&gt;""),TRUE))</formula>
    </cfRule>
    <cfRule type="expression" dxfId="69" priority="146">
      <formula>IF(AL40&gt;=AM40,IF(AL40="",FALSE,TRUE))</formula>
    </cfRule>
  </conditionalFormatting>
  <conditionalFormatting sqref="AX40:AX51">
    <cfRule type="expression" dxfId="68" priority="139">
      <formula>OR(IF(AX40&lt;AY40,TRUE),IF(AND(AY40="",AX40&lt;&gt;""),TRUE))</formula>
    </cfRule>
    <cfRule type="expression" dxfId="67" priority="140">
      <formula>IF(AX40&gt;=AY40,IF(AX40="",FALSE,TRUE))</formula>
    </cfRule>
  </conditionalFormatting>
  <conditionalFormatting sqref="AZ40:AZ51">
    <cfRule type="expression" dxfId="66" priority="137">
      <formula>OR(IF(AZ40&lt;BA40,TRUE),IF(AND(BA40="",AZ40&lt;&gt;""),TRUE))</formula>
    </cfRule>
    <cfRule type="expression" dxfId="65" priority="138">
      <formula>IF(AZ40&gt;=BA40,IF(AZ40="",FALSE,TRUE))</formula>
    </cfRule>
  </conditionalFormatting>
  <conditionalFormatting sqref="BL19:BL24 BN19:BN24 BL5:BL16">
    <cfRule type="expression" dxfId="64" priority="73">
      <formula>OR(IF(BL5&lt;BM5,TRUE),IF(AND(BM5="",BL5&lt;&gt;""),TRUE))</formula>
    </cfRule>
    <cfRule type="expression" dxfId="63" priority="74">
      <formula>IF(BL5&gt;=BM5,IF(BL5="",FALSE,TRUE))</formula>
    </cfRule>
  </conditionalFormatting>
  <conditionalFormatting sqref="BN5:BN16">
    <cfRule type="expression" dxfId="62" priority="71">
      <formula>OR(IF(BN5&lt;BO5,TRUE),IF(AND(BO5="",BN5&lt;&gt;""),TRUE))</formula>
    </cfRule>
    <cfRule type="expression" dxfId="61" priority="72">
      <formula>IF(BN5&gt;=BO5,IF(BN5="",FALSE,TRUE))</formula>
    </cfRule>
  </conditionalFormatting>
  <conditionalFormatting sqref="BL25">
    <cfRule type="expression" dxfId="60" priority="65">
      <formula>OR(IF(BL25&lt;BM25,TRUE),IF(AND(BM25="",BL25&lt;&gt;""),TRUE))</formula>
    </cfRule>
    <cfRule type="expression" dxfId="59" priority="66">
      <formula>IF(BL25&gt;=BM25,IF(BL25="",FALSE,TRUE))</formula>
    </cfRule>
  </conditionalFormatting>
  <conditionalFormatting sqref="BN25">
    <cfRule type="expression" dxfId="58" priority="63">
      <formula>OR(IF(BN25&lt;BO25,TRUE),IF(AND(BO25="",BN25&lt;&gt;""),TRUE))</formula>
    </cfRule>
    <cfRule type="expression" dxfId="57" priority="64">
      <formula>IF(BN25&gt;=BO25,IF(BN25="",FALSE,TRUE))</formula>
    </cfRule>
  </conditionalFormatting>
  <conditionalFormatting sqref="BL40:BL51">
    <cfRule type="expression" dxfId="56" priority="57">
      <formula>OR(IF(BL40&lt;BM40,TRUE),IF(AND(BM40="",BL40&lt;&gt;""),TRUE))</formula>
    </cfRule>
    <cfRule type="expression" dxfId="55" priority="58">
      <formula>IF(BL40&gt;=BM40,IF(BL40="",FALSE,TRUE))</formula>
    </cfRule>
  </conditionalFormatting>
  <conditionalFormatting sqref="BN40:BN51">
    <cfRule type="expression" dxfId="54" priority="55">
      <formula>OR(IF(BN40&lt;BO40,TRUE),IF(AND(BO40="",BN40&lt;&gt;""),TRUE))</formula>
    </cfRule>
    <cfRule type="expression" dxfId="53" priority="56">
      <formula>IF(BN40&gt;=BO40,IF(BN40="",FALSE,TRUE))</formula>
    </cfRule>
  </conditionalFormatting>
  <conditionalFormatting sqref="BS19:BS24 BU19:BU24 BS5:BS16">
    <cfRule type="expression" dxfId="52" priority="45">
      <formula>OR(IF(BS5&lt;BT5,TRUE),IF(AND(BT5="",BS5&lt;&gt;""),TRUE))</formula>
    </cfRule>
    <cfRule type="expression" dxfId="51" priority="46">
      <formula>IF(BS5&gt;=BT5,IF(BS5="",FALSE,TRUE))</formula>
    </cfRule>
  </conditionalFormatting>
  <conditionalFormatting sqref="BU5:BU16">
    <cfRule type="expression" dxfId="50" priority="43">
      <formula>OR(IF(BU5&lt;BV5,TRUE),IF(AND(BV5="",BU5&lt;&gt;""),TRUE))</formula>
    </cfRule>
    <cfRule type="expression" dxfId="49" priority="44">
      <formula>IF(BU5&gt;=BV5,IF(BU5="",FALSE,TRUE))</formula>
    </cfRule>
  </conditionalFormatting>
  <conditionalFormatting sqref="BS28:BS29">
    <cfRule type="expression" dxfId="48" priority="41">
      <formula>OR(IF(BS28&lt;BT28,TRUE),IF(AND(BT28="",BS28&lt;&gt;""),TRUE))</formula>
    </cfRule>
    <cfRule type="expression" dxfId="47" priority="42">
      <formula>IF(BS28&gt;=BT28,IF(BS28="",FALSE,TRUE))</formula>
    </cfRule>
  </conditionalFormatting>
  <conditionalFormatting sqref="BU28:BU29">
    <cfRule type="expression" dxfId="46" priority="39">
      <formula>OR(IF(BU28&lt;BV28,TRUE),IF(AND(BV28="",BU28&lt;&gt;""),TRUE))</formula>
    </cfRule>
    <cfRule type="expression" dxfId="45" priority="40">
      <formula>IF(BU28&gt;=BV28,IF(BU28="",FALSE,TRUE))</formula>
    </cfRule>
  </conditionalFormatting>
  <conditionalFormatting sqref="BS25">
    <cfRule type="expression" dxfId="44" priority="37">
      <formula>OR(IF(BS25&lt;BT25,TRUE),IF(AND(BT25="",BS25&lt;&gt;""),TRUE))</formula>
    </cfRule>
    <cfRule type="expression" dxfId="43" priority="38">
      <formula>IF(BS25&gt;=BT25,IF(BS25="",FALSE,TRUE))</formula>
    </cfRule>
  </conditionalFormatting>
  <conditionalFormatting sqref="BU25">
    <cfRule type="expression" dxfId="42" priority="35">
      <formula>OR(IF(BU25&lt;BV25,TRUE),IF(AND(BV25="",BU25&lt;&gt;""),TRUE))</formula>
    </cfRule>
    <cfRule type="expression" dxfId="41" priority="36">
      <formula>IF(BU25&gt;=BV25,IF(BU25="",FALSE,TRUE))</formula>
    </cfRule>
  </conditionalFormatting>
  <conditionalFormatting sqref="BS40:BS51">
    <cfRule type="expression" dxfId="40" priority="29">
      <formula>OR(IF(BS40&lt;BT40,TRUE),IF(AND(BT40="",BS40&lt;&gt;""),TRUE))</formula>
    </cfRule>
    <cfRule type="expression" dxfId="39" priority="30">
      <formula>IF(BS40&gt;=BT40,IF(BS40="",FALSE,TRUE))</formula>
    </cfRule>
  </conditionalFormatting>
  <conditionalFormatting sqref="BU40:BU51">
    <cfRule type="expression" dxfId="38" priority="27">
      <formula>OR(IF(BU40&lt;BV40,TRUE),IF(AND(BV40="",BU40&lt;&gt;""),TRUE))</formula>
    </cfRule>
    <cfRule type="expression" dxfId="37" priority="28">
      <formula>IF(BU40&gt;=BV40,IF(BU40="",FALSE,TRUE))</formula>
    </cfRule>
  </conditionalFormatting>
  <conditionalFormatting sqref="J28:K37">
    <cfRule type="colorScale" priority="349">
      <colorScale>
        <cfvo type="percent" val="0"/>
        <cfvo type="percent" val="100"/>
        <color rgb="FFFF231B"/>
        <color rgb="FF10FF07"/>
      </colorScale>
    </cfRule>
  </conditionalFormatting>
  <conditionalFormatting sqref="J54:K63">
    <cfRule type="colorScale" priority="350">
      <colorScale>
        <cfvo type="percent" val="0"/>
        <cfvo type="percent" val="100"/>
        <color rgb="FFFF231B"/>
        <color rgb="FF10FF07"/>
      </colorScale>
    </cfRule>
  </conditionalFormatting>
  <conditionalFormatting sqref="J66:K78">
    <cfRule type="colorScale" priority="351">
      <colorScale>
        <cfvo type="percent" val="0"/>
        <cfvo type="percent" val="100"/>
        <color rgb="FFFF231B"/>
        <color rgb="FF10FF07"/>
      </colorScale>
    </cfRule>
  </conditionalFormatting>
  <conditionalFormatting sqref="CC30:CC37 CA30:CA37 CA54:CA63 CC54:CC63 CC66:CC78 CA66:CA78">
    <cfRule type="expression" dxfId="36" priority="17">
      <formula>OR(IF(CA30&lt;CB30,TRUE),IF(AND(CB30="",CA30&lt;&gt;""),TRUE))</formula>
    </cfRule>
    <cfRule type="expression" dxfId="35" priority="18">
      <formula>IF(CA30&gt;=CB30,IF(CA30="",FALSE,TRUE))</formula>
    </cfRule>
  </conditionalFormatting>
  <conditionalFormatting sqref="CA19:CA24 CC19:CC24 CA5:CA16">
    <cfRule type="expression" dxfId="34" priority="15">
      <formula>OR(IF(CA5&lt;CB5,TRUE),IF(AND(CB5="",CA5&lt;&gt;""),TRUE))</formula>
    </cfRule>
    <cfRule type="expression" dxfId="33" priority="16">
      <formula>IF(CA5&gt;=CB5,IF(CA5="",FALSE,TRUE))</formula>
    </cfRule>
  </conditionalFormatting>
  <conditionalFormatting sqref="CC5:CC16">
    <cfRule type="expression" dxfId="32" priority="13">
      <formula>OR(IF(CC5&lt;CD5,TRUE),IF(AND(CD5="",CC5&lt;&gt;""),TRUE))</formula>
    </cfRule>
    <cfRule type="expression" dxfId="31" priority="14">
      <formula>IF(CC5&gt;=CD5,IF(CC5="",FALSE,TRUE))</formula>
    </cfRule>
  </conditionalFormatting>
  <conditionalFormatting sqref="CA28:CA29">
    <cfRule type="expression" dxfId="30" priority="11">
      <formula>OR(IF(CA28&lt;CB28,TRUE),IF(AND(CB28="",CA28&lt;&gt;""),TRUE))</formula>
    </cfRule>
    <cfRule type="expression" dxfId="29" priority="12">
      <formula>IF(CA28&gt;=CB28,IF(CA28="",FALSE,TRUE))</formula>
    </cfRule>
  </conditionalFormatting>
  <conditionalFormatting sqref="CC28:CC29">
    <cfRule type="expression" dxfId="28" priority="9">
      <formula>OR(IF(CC28&lt;CD28,TRUE),IF(AND(CD28="",CC28&lt;&gt;""),TRUE))</formula>
    </cfRule>
    <cfRule type="expression" dxfId="27" priority="10">
      <formula>IF(CC28&gt;=CD28,IF(CC28="",FALSE,TRUE))</formula>
    </cfRule>
  </conditionalFormatting>
  <conditionalFormatting sqref="CA25">
    <cfRule type="expression" dxfId="26" priority="7">
      <formula>OR(IF(CA25&lt;CB25,TRUE),IF(AND(CB25="",CA25&lt;&gt;""),TRUE))</formula>
    </cfRule>
    <cfRule type="expression" dxfId="25" priority="8">
      <formula>IF(CA25&gt;=CB25,IF(CA25="",FALSE,TRUE))</formula>
    </cfRule>
  </conditionalFormatting>
  <conditionalFormatting sqref="CC25">
    <cfRule type="expression" dxfId="24" priority="5">
      <formula>OR(IF(CC25&lt;CD25,TRUE),IF(AND(CD25="",CC25&lt;&gt;""),TRUE))</formula>
    </cfRule>
    <cfRule type="expression" dxfId="23" priority="6">
      <formula>IF(CC25&gt;=CD25,IF(CC25="",FALSE,TRUE))</formula>
    </cfRule>
  </conditionalFormatting>
  <conditionalFormatting sqref="CA40:CA51">
    <cfRule type="expression" dxfId="22" priority="3">
      <formula>OR(IF(CA40&lt;CB40,TRUE),IF(AND(CB40="",CA40&lt;&gt;""),TRUE))</formula>
    </cfRule>
    <cfRule type="expression" dxfId="21" priority="4">
      <formula>IF(CA40&gt;=CB40,IF(CA40="",FALSE,TRUE))</formula>
    </cfRule>
  </conditionalFormatting>
  <conditionalFormatting sqref="CC40:CC51">
    <cfRule type="expression" dxfId="20" priority="1">
      <formula>OR(IF(CC40&lt;CD40,TRUE),IF(AND(CD40="",CC40&lt;&gt;""),TRUE))</formula>
    </cfRule>
    <cfRule type="expression" dxfId="19" priority="2">
      <formula>IF(CC40&gt;=CD40,IF(CC40="",FALSE,TRUE))</formula>
    </cfRule>
  </conditionalFormatting>
  <dataValidations count="1">
    <dataValidation type="list" allowBlank="1" showInputMessage="1" showErrorMessage="1" sqref="O19:R25 AQ66:AT78 V28:Y37 V19:Y25 V5:Y16 AC28:AF37 AC19:AF25 AC5:AF16 AJ28:AM37 AJ19:AM25 AJ5:AM16 AQ28:AT37 AQ5:AT16 CA66:CD78 AQ19:AT25 AX19:BA25 AX5:BA16 AX28:BA37 BE19:BH25 BE5:BH16 O28:R37 O40:R51 V40:Y51 BL28:BO37 AJ40:AM51 AQ40:AT51 AX40:BA51 BE40:BH51 O54:R63 V54:Y63 AC54:AF63 AJ54:AM63 AQ54:AT63 AX54:BA63 BE54:BH63 O66:R78 V66:Y78 AC66:AF78 AC40:AF51 AJ66:AM78 AX66:BA78 BE66:BH78 BL19:BO25 BL5:BO16 BE28:BH37 BL40:BO51 BL54:BO63 BL66:BO78 BS19:BV25 BS5:BV16 BS28:BV37 BS40:BV51 BS54:BV63 BS66:BV78 CA19:CD25 CA5:CD16 CA28:CD37 CA40:CD51 CA54:CD63 O5:R16" xr:uid="{DF46768B-76BD-4AD1-BDD9-05E5E50A35C8}">
      <formula1>"10%,20%,30%,40%,50%,60%,70%,80%,90%,100%"</formula1>
    </dataValidation>
  </dataValidation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D2" sqref="D2"/>
    </sheetView>
  </sheetViews>
  <sheetFormatPr baseColWidth="10" defaultRowHeight="15.75"/>
  <cols>
    <col min="1" max="1" width="16.875" style="10" customWidth="1"/>
    <col min="2" max="2" width="19.125" style="10" customWidth="1"/>
    <col min="3" max="3" width="18.125" style="10" customWidth="1"/>
    <col min="4" max="4" width="19.5" style="10" customWidth="1"/>
    <col min="8" max="8" width="15.125" customWidth="1"/>
    <col min="10" max="10" width="42" customWidth="1"/>
    <col min="11" max="11" width="28.5" customWidth="1"/>
  </cols>
  <sheetData>
    <row r="1" spans="1:11" ht="31.5">
      <c r="A1" s="10" t="s">
        <v>41</v>
      </c>
      <c r="B1" s="16" t="s">
        <v>38</v>
      </c>
      <c r="C1" s="16" t="s">
        <v>39</v>
      </c>
      <c r="D1" s="16" t="s">
        <v>40</v>
      </c>
      <c r="E1" s="1" t="s">
        <v>42</v>
      </c>
      <c r="F1" s="1" t="s">
        <v>43</v>
      </c>
      <c r="G1" s="1" t="s">
        <v>44</v>
      </c>
      <c r="H1" s="1" t="s">
        <v>45</v>
      </c>
      <c r="I1" s="1" t="s">
        <v>46</v>
      </c>
      <c r="J1" s="1" t="s">
        <v>47</v>
      </c>
      <c r="K1" s="1" t="s">
        <v>48</v>
      </c>
    </row>
    <row r="2" spans="1:11">
      <c r="A2" s="15">
        <v>44118</v>
      </c>
      <c r="D2" s="17">
        <v>1</v>
      </c>
    </row>
    <row r="3" spans="1:11">
      <c r="A3" s="15">
        <v>44119</v>
      </c>
    </row>
    <row r="4" spans="1:11">
      <c r="A4" s="15">
        <v>44120</v>
      </c>
    </row>
    <row r="5" spans="1:11">
      <c r="A5" s="15">
        <v>44121</v>
      </c>
    </row>
    <row r="6" spans="1:11">
      <c r="A6" s="15">
        <v>44122</v>
      </c>
    </row>
    <row r="7" spans="1:11">
      <c r="A7" s="15">
        <v>44123</v>
      </c>
    </row>
    <row r="8" spans="1:11">
      <c r="A8" s="15">
        <v>44124</v>
      </c>
    </row>
    <row r="9" spans="1:11">
      <c r="A9" s="15">
        <v>44125</v>
      </c>
    </row>
    <row r="10" spans="1:11">
      <c r="A10" s="15">
        <v>44126</v>
      </c>
    </row>
    <row r="11" spans="1:11">
      <c r="A11" s="15">
        <v>44127</v>
      </c>
    </row>
    <row r="12" spans="1:11">
      <c r="A12" s="15">
        <v>44128</v>
      </c>
    </row>
    <row r="13" spans="1:11">
      <c r="A13" s="15">
        <v>44129</v>
      </c>
    </row>
    <row r="14" spans="1:11">
      <c r="A14" s="15">
        <v>44130</v>
      </c>
    </row>
    <row r="15" spans="1:11">
      <c r="A15" s="15">
        <v>44131</v>
      </c>
    </row>
    <row r="16" spans="1:11">
      <c r="A16" s="15">
        <v>44132</v>
      </c>
    </row>
    <row r="17" spans="1:1">
      <c r="A17" s="15">
        <v>44133</v>
      </c>
    </row>
    <row r="18" spans="1:1">
      <c r="A18" s="15">
        <v>44134</v>
      </c>
    </row>
    <row r="19" spans="1:1">
      <c r="A19" s="15">
        <v>44135</v>
      </c>
    </row>
    <row r="20" spans="1:1">
      <c r="A20" s="15">
        <v>44136</v>
      </c>
    </row>
    <row r="21" spans="1:1">
      <c r="A21" s="15">
        <v>44137</v>
      </c>
    </row>
    <row r="22" spans="1:1">
      <c r="A22" s="15">
        <v>44138</v>
      </c>
    </row>
    <row r="23" spans="1:1">
      <c r="A23" s="15">
        <v>44139</v>
      </c>
    </row>
    <row r="24" spans="1:1">
      <c r="A24" s="15">
        <v>44140</v>
      </c>
    </row>
    <row r="25" spans="1:1">
      <c r="A25" s="15">
        <v>44141</v>
      </c>
    </row>
    <row r="26" spans="1:1">
      <c r="A26" s="15">
        <v>44142</v>
      </c>
    </row>
    <row r="27" spans="1:1">
      <c r="A27" s="15">
        <v>44143</v>
      </c>
    </row>
    <row r="28" spans="1:1">
      <c r="A28" s="15">
        <v>44144</v>
      </c>
    </row>
    <row r="29" spans="1:1">
      <c r="A29" s="15">
        <v>44145</v>
      </c>
    </row>
    <row r="30" spans="1:1">
      <c r="A30" s="15">
        <v>44146</v>
      </c>
    </row>
    <row r="31" spans="1:1">
      <c r="A31" s="15">
        <v>44147</v>
      </c>
    </row>
    <row r="32" spans="1:1">
      <c r="A32" s="15">
        <v>44148</v>
      </c>
    </row>
    <row r="33" spans="1:1">
      <c r="A33" s="15">
        <v>44149</v>
      </c>
    </row>
    <row r="34" spans="1:1">
      <c r="A34" s="15">
        <v>44150</v>
      </c>
    </row>
    <row r="35" spans="1:1">
      <c r="A35" s="15">
        <v>44151</v>
      </c>
    </row>
    <row r="36" spans="1:1">
      <c r="A36" s="15">
        <v>44152</v>
      </c>
    </row>
    <row r="37" spans="1:1">
      <c r="A37" s="15">
        <v>44153</v>
      </c>
    </row>
    <row r="38" spans="1:1">
      <c r="A38" s="15">
        <v>44154</v>
      </c>
    </row>
    <row r="39" spans="1:1">
      <c r="A39" s="15">
        <v>44155</v>
      </c>
    </row>
    <row r="40" spans="1:1">
      <c r="A40" s="15">
        <v>44156</v>
      </c>
    </row>
    <row r="41" spans="1:1">
      <c r="A41" s="15">
        <v>44157</v>
      </c>
    </row>
    <row r="42" spans="1:1">
      <c r="A42" s="15">
        <v>44158</v>
      </c>
    </row>
    <row r="43" spans="1:1">
      <c r="A43" s="15">
        <v>44159</v>
      </c>
    </row>
    <row r="44" spans="1:1">
      <c r="A44" s="15">
        <v>44160</v>
      </c>
    </row>
    <row r="45" spans="1:1">
      <c r="A45" s="15">
        <v>44161</v>
      </c>
    </row>
    <row r="46" spans="1:1">
      <c r="A46" s="15">
        <v>44162</v>
      </c>
    </row>
  </sheetData>
  <conditionalFormatting sqref="B2:B46">
    <cfRule type="cellIs" dxfId="18" priority="14" operator="equal">
      <formula>"Ja"</formula>
    </cfRule>
    <cfRule type="cellIs" dxfId="17" priority="15" operator="equal">
      <formula>"Nein"</formula>
    </cfRule>
  </conditionalFormatting>
  <conditionalFormatting sqref="D2">
    <cfRule type="cellIs" dxfId="16" priority="6" operator="equal">
      <formula>1</formula>
    </cfRule>
    <cfRule type="cellIs" dxfId="15" priority="7" operator="equal">
      <formula>0.8</formula>
    </cfRule>
    <cfRule type="cellIs" dxfId="14" priority="8" operator="equal">
      <formula>0.6</formula>
    </cfRule>
    <cfRule type="cellIs" dxfId="13" priority="9" operator="equal">
      <formula>0.4</formula>
    </cfRule>
    <cfRule type="cellIs" dxfId="12" priority="10" operator="equal">
      <formula>0.2</formula>
    </cfRule>
    <cfRule type="cellIs" dxfId="11" priority="11" operator="equal">
      <formula>0</formula>
    </cfRule>
  </conditionalFormatting>
  <conditionalFormatting sqref="B2:B46">
    <cfRule type="cellIs" dxfId="10" priority="4" operator="equal">
      <formula>"Ja"</formula>
    </cfRule>
  </conditionalFormatting>
  <conditionalFormatting sqref="C2:C46">
    <cfRule type="cellIs" dxfId="9" priority="2" operator="equal">
      <formula>"Ja"</formula>
    </cfRule>
    <cfRule type="cellIs" dxfId="8" priority="3" operator="equal">
      <formula>"Nein"</formula>
    </cfRule>
  </conditionalFormatting>
  <conditionalFormatting sqref="C2:C46">
    <cfRule type="cellIs" dxfId="7"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D17" sqref="D17"/>
    </sheetView>
  </sheetViews>
  <sheetFormatPr baseColWidth="10" defaultColWidth="10.625" defaultRowHeight="15.75"/>
  <cols>
    <col min="3" max="3" width="15.125" customWidth="1"/>
  </cols>
  <sheetData>
    <row r="1" spans="1:8" ht="26.25">
      <c r="B1" s="31" t="s">
        <v>139</v>
      </c>
      <c r="C1" s="31"/>
      <c r="D1" s="31"/>
    </row>
    <row r="4" spans="1:8">
      <c r="B4" s="3" t="s">
        <v>4</v>
      </c>
      <c r="C4" s="3" t="s">
        <v>5</v>
      </c>
      <c r="D4" s="3" t="s">
        <v>6</v>
      </c>
      <c r="E4" s="3" t="s">
        <v>7</v>
      </c>
      <c r="F4" s="3" t="s">
        <v>10</v>
      </c>
      <c r="G4" s="3" t="s">
        <v>8</v>
      </c>
      <c r="H4" s="3" t="s">
        <v>9</v>
      </c>
    </row>
    <row r="5" spans="1:8">
      <c r="A5" s="9">
        <v>0.16666666666666666</v>
      </c>
    </row>
    <row r="6" spans="1:8">
      <c r="A6" s="9">
        <v>0.1875</v>
      </c>
    </row>
    <row r="7" spans="1:8">
      <c r="A7" s="9">
        <v>0.20833333333333301</v>
      </c>
    </row>
    <row r="8" spans="1:8">
      <c r="A8" s="9">
        <v>0.22916666666666699</v>
      </c>
    </row>
    <row r="9" spans="1:8">
      <c r="A9" s="9">
        <v>0.25</v>
      </c>
    </row>
    <row r="10" spans="1:8">
      <c r="A10" s="9">
        <v>0.27083333333333398</v>
      </c>
    </row>
    <row r="11" spans="1:8">
      <c r="A11" s="9">
        <v>0.29166666666666702</v>
      </c>
    </row>
    <row r="12" spans="1:8">
      <c r="A12" s="9">
        <v>0.3125</v>
      </c>
    </row>
    <row r="13" spans="1:8">
      <c r="A13" s="9">
        <v>0.33333333333333398</v>
      </c>
    </row>
    <row r="14" spans="1:8">
      <c r="A14" s="9">
        <v>0.35416666666666702</v>
      </c>
    </row>
    <row r="15" spans="1:8">
      <c r="A15" s="9">
        <v>0.375</v>
      </c>
    </row>
    <row r="16" spans="1:8">
      <c r="A16" s="9">
        <v>0.39583333333333398</v>
      </c>
    </row>
    <row r="17" spans="1:1">
      <c r="A17" s="9">
        <v>0.41666666666666702</v>
      </c>
    </row>
    <row r="18" spans="1:1">
      <c r="A18" s="9">
        <v>0.4375</v>
      </c>
    </row>
    <row r="19" spans="1:1">
      <c r="A19" s="9">
        <v>0.45833333333333398</v>
      </c>
    </row>
    <row r="20" spans="1:1">
      <c r="A20" s="9">
        <v>0.47916666666666702</v>
      </c>
    </row>
    <row r="21" spans="1:1">
      <c r="A21" s="9">
        <v>0.5</v>
      </c>
    </row>
    <row r="22" spans="1:1">
      <c r="A22" s="9">
        <v>0.52083333333333404</v>
      </c>
    </row>
    <row r="23" spans="1:1">
      <c r="A23" s="9">
        <v>0.54166666666666696</v>
      </c>
    </row>
    <row r="24" spans="1:1">
      <c r="A24" s="9">
        <v>0.5625</v>
      </c>
    </row>
    <row r="25" spans="1:1">
      <c r="A25" s="9">
        <v>0.58333333333333404</v>
      </c>
    </row>
    <row r="26" spans="1:1">
      <c r="A26" s="9">
        <v>0.60416666666666696</v>
      </c>
    </row>
    <row r="27" spans="1:1">
      <c r="A27" s="9">
        <v>0.625000000000001</v>
      </c>
    </row>
    <row r="28" spans="1:1">
      <c r="A28" s="9">
        <v>0.64583333333333404</v>
      </c>
    </row>
    <row r="29" spans="1:1">
      <c r="A29" s="9">
        <v>0.66666666666666696</v>
      </c>
    </row>
    <row r="30" spans="1:1">
      <c r="A30" s="9">
        <v>0.687500000000001</v>
      </c>
    </row>
    <row r="31" spans="1:1">
      <c r="A31" s="9">
        <v>0.70833333333333404</v>
      </c>
    </row>
    <row r="32" spans="1:1">
      <c r="A32" s="9">
        <v>0.72916666666666696</v>
      </c>
    </row>
    <row r="33" spans="1:1">
      <c r="A33" s="9">
        <v>0.750000000000001</v>
      </c>
    </row>
    <row r="34" spans="1:1">
      <c r="A34" s="9">
        <v>0.77083333333333404</v>
      </c>
    </row>
    <row r="35" spans="1:1">
      <c r="A35" s="9">
        <v>0.79166666666666696</v>
      </c>
    </row>
    <row r="36" spans="1:1">
      <c r="A36" s="9">
        <v>0.812500000000001</v>
      </c>
    </row>
    <row r="37" spans="1:1">
      <c r="A37" s="9">
        <v>0.83333333333333404</v>
      </c>
    </row>
    <row r="38" spans="1:1">
      <c r="A38" s="9">
        <v>0.85416666666666696</v>
      </c>
    </row>
    <row r="39" spans="1:1">
      <c r="A39" s="9">
        <v>0.875000000000001</v>
      </c>
    </row>
    <row r="40" spans="1:1">
      <c r="A40" s="9">
        <v>0.89583333333333404</v>
      </c>
    </row>
    <row r="41" spans="1:1">
      <c r="A41" s="9">
        <v>0.91666666666666696</v>
      </c>
    </row>
    <row r="42" spans="1:1">
      <c r="A42" s="9">
        <v>0.937500000000001</v>
      </c>
    </row>
    <row r="43" spans="1:1">
      <c r="A43" s="9">
        <v>0.95833333333333404</v>
      </c>
    </row>
    <row r="44" spans="1:1">
      <c r="A44" s="9">
        <v>0.97916666666666696</v>
      </c>
    </row>
    <row r="45" spans="1:1">
      <c r="A45" s="9">
        <v>1</v>
      </c>
    </row>
    <row r="46" spans="1:1">
      <c r="A46" s="9">
        <v>1.0208333333333299</v>
      </c>
    </row>
    <row r="47" spans="1:1">
      <c r="A47" s="9">
        <v>1.0416666666666701</v>
      </c>
    </row>
  </sheetData>
  <mergeCells count="1">
    <mergeCell ref="B1:D1"/>
  </mergeCells>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25" defaultRowHeight="15.75"/>
  <sheetData>
    <row r="1" spans="1:8" ht="26.25">
      <c r="B1" s="8" t="s">
        <v>25</v>
      </c>
    </row>
    <row r="4" spans="1:8">
      <c r="B4" s="3" t="s">
        <v>4</v>
      </c>
      <c r="C4" s="3" t="s">
        <v>5</v>
      </c>
      <c r="D4" s="3" t="s">
        <v>6</v>
      </c>
      <c r="E4" s="3" t="s">
        <v>7</v>
      </c>
      <c r="F4" s="3" t="s">
        <v>10</v>
      </c>
      <c r="G4" s="3" t="s">
        <v>8</v>
      </c>
      <c r="H4" s="3" t="s">
        <v>9</v>
      </c>
    </row>
    <row r="5" spans="1:8">
      <c r="A5" s="9">
        <v>0.16666666666666666</v>
      </c>
    </row>
    <row r="6" spans="1:8">
      <c r="A6" s="9">
        <v>0.1875</v>
      </c>
    </row>
    <row r="7" spans="1:8">
      <c r="A7" s="9">
        <v>0.20833333333333301</v>
      </c>
    </row>
    <row r="8" spans="1:8">
      <c r="A8" s="9">
        <v>0.22916666666666699</v>
      </c>
    </row>
    <row r="9" spans="1:8">
      <c r="A9" s="9">
        <v>0.25</v>
      </c>
    </row>
    <row r="10" spans="1:8">
      <c r="A10" s="9">
        <v>0.27083333333333398</v>
      </c>
    </row>
    <row r="11" spans="1:8">
      <c r="A11" s="9">
        <v>0.29166666666666702</v>
      </c>
    </row>
    <row r="12" spans="1:8">
      <c r="A12" s="9">
        <v>0.3125</v>
      </c>
    </row>
    <row r="13" spans="1:8">
      <c r="A13" s="9">
        <v>0.33333333333333398</v>
      </c>
    </row>
    <row r="14" spans="1:8">
      <c r="A14" s="9">
        <v>0.35416666666666702</v>
      </c>
    </row>
    <row r="15" spans="1:8">
      <c r="A15" s="9">
        <v>0.375</v>
      </c>
    </row>
    <row r="16" spans="1:8">
      <c r="A16" s="9">
        <v>0.39583333333333398</v>
      </c>
    </row>
    <row r="17" spans="1:1">
      <c r="A17" s="9">
        <v>0.41666666666666702</v>
      </c>
    </row>
    <row r="18" spans="1:1">
      <c r="A18" s="9">
        <v>0.4375</v>
      </c>
    </row>
    <row r="19" spans="1:1">
      <c r="A19" s="9">
        <v>0.45833333333333398</v>
      </c>
    </row>
    <row r="20" spans="1:1">
      <c r="A20" s="9">
        <v>0.47916666666666702</v>
      </c>
    </row>
    <row r="21" spans="1:1">
      <c r="A21" s="9">
        <v>0.5</v>
      </c>
    </row>
    <row r="22" spans="1:1">
      <c r="A22" s="9">
        <v>0.52083333333333404</v>
      </c>
    </row>
    <row r="23" spans="1:1">
      <c r="A23" s="9">
        <v>0.54166666666666696</v>
      </c>
    </row>
    <row r="24" spans="1:1">
      <c r="A24" s="9">
        <v>0.5625</v>
      </c>
    </row>
    <row r="25" spans="1:1">
      <c r="A25" s="9">
        <v>0.58333333333333404</v>
      </c>
    </row>
    <row r="26" spans="1:1">
      <c r="A26" s="9">
        <v>0.60416666666666696</v>
      </c>
    </row>
    <row r="27" spans="1:1">
      <c r="A27" s="9">
        <v>0.625000000000001</v>
      </c>
    </row>
    <row r="28" spans="1:1">
      <c r="A28" s="9">
        <v>0.64583333333333404</v>
      </c>
    </row>
    <row r="29" spans="1:1">
      <c r="A29" s="9">
        <v>0.66666666666666696</v>
      </c>
    </row>
    <row r="30" spans="1:1">
      <c r="A30" s="9">
        <v>0.687500000000001</v>
      </c>
    </row>
    <row r="31" spans="1:1">
      <c r="A31" s="9">
        <v>0.70833333333333404</v>
      </c>
    </row>
    <row r="32" spans="1:1">
      <c r="A32" s="9">
        <v>0.72916666666666696</v>
      </c>
    </row>
    <row r="33" spans="1:1">
      <c r="A33" s="9">
        <v>0.750000000000001</v>
      </c>
    </row>
    <row r="34" spans="1:1">
      <c r="A34" s="9">
        <v>0.77083333333333404</v>
      </c>
    </row>
    <row r="35" spans="1:1">
      <c r="A35" s="9">
        <v>0.79166666666666696</v>
      </c>
    </row>
    <row r="36" spans="1:1">
      <c r="A36" s="9">
        <v>0.812500000000001</v>
      </c>
    </row>
    <row r="37" spans="1:1">
      <c r="A37" s="9">
        <v>0.83333333333333404</v>
      </c>
    </row>
    <row r="38" spans="1:1">
      <c r="A38" s="9">
        <v>0.85416666666666696</v>
      </c>
    </row>
    <row r="39" spans="1:1">
      <c r="A39" s="9">
        <v>0.875000000000001</v>
      </c>
    </row>
    <row r="40" spans="1:1">
      <c r="A40" s="9">
        <v>0.89583333333333404</v>
      </c>
    </row>
    <row r="41" spans="1:1">
      <c r="A41" s="9">
        <v>0.91666666666666696</v>
      </c>
    </row>
    <row r="42" spans="1:1">
      <c r="A42" s="9">
        <v>0.937500000000001</v>
      </c>
    </row>
    <row r="43" spans="1:1">
      <c r="A43" s="9">
        <v>0.95833333333333404</v>
      </c>
    </row>
    <row r="44" spans="1:1">
      <c r="A44" s="9">
        <v>0.97916666666666696</v>
      </c>
    </row>
    <row r="45" spans="1:1">
      <c r="A45" s="9">
        <v>1</v>
      </c>
    </row>
    <row r="46" spans="1:1">
      <c r="A46" s="9">
        <v>1.0208333333333299</v>
      </c>
    </row>
    <row r="47" spans="1:1">
      <c r="A47" s="9">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KW03</vt:lpstr>
      <vt:lpstr>Wochenplan KW 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Christian Womes</cp:lastModifiedBy>
  <dcterms:created xsi:type="dcterms:W3CDTF">2020-04-19T13:33:28Z</dcterms:created>
  <dcterms:modified xsi:type="dcterms:W3CDTF">2021-01-19T13:47:47Z</dcterms:modified>
</cp:coreProperties>
</file>