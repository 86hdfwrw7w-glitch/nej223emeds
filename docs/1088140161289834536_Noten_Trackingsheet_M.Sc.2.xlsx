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hidden" name="Semesterplan" sheetId="2" r:id="rId5"/>
    <sheet state="hidden" name="Semester 1" sheetId="3" r:id="rId6"/>
    <sheet state="visible" name="Semester 2" sheetId="4" r:id="rId7"/>
    <sheet state="hidden" name="Kopie von Semester 2" sheetId="5" r:id="rId8"/>
    <sheet state="hidden" name="COMMITTMENT" sheetId="6" r:id="rId9"/>
    <sheet state="hidden" name="Wochenplan KW 19" sheetId="7" r:id="rId10"/>
    <sheet state="hidden" name="Wochenplan KW 20" sheetId="8" r:id="rId11"/>
    <sheet state="visible" name="Anleitung (1)" sheetId="9" r:id="rId12"/>
  </sheets>
  <definedNames/>
  <calcPr/>
  <extLst>
    <ext uri="GoogleSheetsCustomDataVersion1">
      <go:sheetsCustomData xmlns:go="http://customooxmlschemas.google.com/" r:id="rId13" roundtripDataSignature="AMtx7mjhWgj+lcCViJSFWS/GBxbWgrl4bw=="/>
    </ext>
  </extLst>
</workbook>
</file>

<file path=xl/sharedStrings.xml><?xml version="1.0" encoding="utf-8"?>
<sst xmlns="http://schemas.openxmlformats.org/spreadsheetml/2006/main" count="1421" uniqueCount="280">
  <si>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</si>
  <si>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</si>
  <si>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</si>
  <si>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</si>
  <si>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</si>
  <si>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</si>
  <si>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</si>
  <si>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</si>
  <si>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</si>
  <si>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</si>
  <si>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</si>
  <si>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</si>
  <si>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</si>
  <si>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</si>
  <si>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</si>
  <si>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</si>
  <si>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</si>
  <si>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</si>
  <si>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</si>
  <si>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</si>
  <si>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</si>
  <si>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</si>
  <si>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</si>
  <si>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</si>
  <si>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</si>
  <si>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</si>
  <si>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</si>
  <si>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</si>
  <si>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</si>
  <si>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</si>
  <si>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</si>
  <si>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</si>
  <si>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</si>
  <si>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</si>
  <si>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</si>
  <si>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</si>
  <si>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</si>
  <si>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</si>
  <si>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</si>
  <si>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</si>
  <si>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</si>
  <si>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</si>
  <si>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</si>
  <si>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</si>
  <si>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</si>
  <si>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</si>
  <si>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</si>
  <si>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</si>
  <si>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</si>
  <si>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</si>
  <si>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</si>
  <si>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</si>
  <si>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</si>
  <si>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</si>
  <si>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</si>
  <si>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</si>
  <si>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</si>
  <si>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</si>
  <si>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</si>
  <si>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</si>
  <si>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</si>
  <si>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</si>
  <si>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</si>
  <si>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</si>
  <si>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</si>
  <si>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</si>
  <si>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</si>
  <si>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</si>
  <si>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</si>
  <si>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</si>
  <si>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</si>
  <si>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</si>
  <si>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</si>
  <si>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</si>
  <si>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</si>
  <si>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</si>
  <si>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</si>
  <si>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</si>
  <si>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</si>
  <si>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</si>
  <si>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</si>
  <si>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</si>
  <si>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</si>
  <si>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</si>
  <si>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</si>
  <si>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</si>
  <si>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</si>
  <si>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</si>
  <si>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</si>
  <si>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</si>
  <si>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</si>
  <si>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</si>
  <si>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</si>
  <si>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</si>
  <si>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</si>
  <si>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</si>
  <si>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</si>
  <si>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</si>
  <si>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</si>
  <si>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</si>
  <si>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</si>
  <si>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</si>
  <si>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</si>
  <si>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</si>
  <si>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</si>
  <si>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</si>
  <si>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</si>
  <si>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</si>
  <si>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</si>
  <si>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</si>
  <si>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</si>
  <si>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</si>
  <si>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</si>
  <si>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</si>
  <si>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</si>
  <si>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</si>
  <si>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</si>
  <si>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PRESENTATIONS</t>
  </si>
  <si>
    <t>KW 49 &amp; 50 &amp; 51</t>
  </si>
  <si>
    <t>Take home exam</t>
  </si>
  <si>
    <t>Exam</t>
  </si>
  <si>
    <t>9) P-A Problems</t>
  </si>
  <si>
    <t>10) Adverse selection &amp; moral hazard</t>
  </si>
  <si>
    <t>11) incentive contracts w risk neutral agents</t>
  </si>
  <si>
    <t>12) piece rate, bonus and malus contracts</t>
  </si>
  <si>
    <t>13) risk neutralizy vs risk aversion</t>
  </si>
  <si>
    <t>14) incentive contracts with risk averse agents</t>
  </si>
  <si>
    <t>noch keine Lecture &amp; Skript</t>
  </si>
  <si>
    <t>1) Introduction to PM</t>
  </si>
  <si>
    <t>2) Design Thinking</t>
  </si>
  <si>
    <t>3) Strategy &amp; Positioning</t>
  </si>
  <si>
    <t>4) Product Innovation</t>
  </si>
  <si>
    <t>5) Presentation</t>
  </si>
  <si>
    <t>1) Theory</t>
  </si>
  <si>
    <t>2) Presentation</t>
  </si>
  <si>
    <t>3) Project</t>
  </si>
  <si>
    <t>2) Questions for Case</t>
  </si>
  <si>
    <t>3) Essay</t>
  </si>
  <si>
    <t>Coaching 3</t>
  </si>
  <si>
    <t>1) Lectures</t>
  </si>
  <si>
    <t>2) Learning Journal</t>
  </si>
  <si>
    <t>0) Presentation/Essay</t>
  </si>
  <si>
    <t>4) Simulation</t>
  </si>
  <si>
    <t>5) Essay</t>
  </si>
  <si>
    <t>6) Design Thinking</t>
  </si>
  <si>
    <t>7) SCRUM (+Workshop)</t>
  </si>
  <si>
    <t>KW 3</t>
  </si>
  <si>
    <t>KW 4</t>
  </si>
  <si>
    <t>KW 5</t>
  </si>
  <si>
    <t>KW 6</t>
  </si>
  <si>
    <t>KW 7</t>
  </si>
  <si>
    <t>KW 8</t>
  </si>
  <si>
    <t>KW 9: Wiederholungswoche</t>
  </si>
  <si>
    <t>KW 10: EXAM WEEK</t>
  </si>
  <si>
    <t>KW 11</t>
  </si>
  <si>
    <t>KW 12</t>
  </si>
  <si>
    <t>KW 13</t>
  </si>
  <si>
    <t>KW 14</t>
  </si>
  <si>
    <t>KW 15</t>
  </si>
  <si>
    <t>KW 16</t>
  </si>
  <si>
    <t>KW 17: Wiederholungswoche</t>
  </si>
  <si>
    <t>KW 18: EXAM WEEK</t>
  </si>
  <si>
    <t>Module</t>
  </si>
  <si>
    <t>Classes</t>
  </si>
  <si>
    <t>Anteil an Klausur</t>
  </si>
  <si>
    <t>Behavior &amp; Incentives</t>
  </si>
  <si>
    <t>March</t>
  </si>
  <si>
    <t>Behavioral Economics</t>
  </si>
  <si>
    <t>1) Introduction to Behavioral Economics</t>
  </si>
  <si>
    <t>2) Time-Inconsistent Preferences</t>
  </si>
  <si>
    <t>3) Reference-dependent Preferences</t>
  </si>
  <si>
    <t>4) Social Preferences</t>
  </si>
  <si>
    <t>5) Presentation Scientific Paper</t>
  </si>
  <si>
    <t>May</t>
  </si>
  <si>
    <t>first lecture friday and saturday</t>
  </si>
  <si>
    <t>Economics of Motivation</t>
  </si>
  <si>
    <t>1) Introduction to Economics of Motivation</t>
  </si>
  <si>
    <t>2) Principal-Agent Problems</t>
  </si>
  <si>
    <t>3)  Moral Hazard Model</t>
  </si>
  <si>
    <t>4) Social Preferences (Part 1 Class 3 0-33)</t>
  </si>
  <si>
    <t>5) Envy &amp; Incentives in the Workplace (Part 2 Class 3 34-60)</t>
  </si>
  <si>
    <t>6) Multitasking</t>
  </si>
  <si>
    <t>0) Lectures</t>
  </si>
  <si>
    <t>Advanced Market Research</t>
  </si>
  <si>
    <t>1) Read Paper</t>
  </si>
  <si>
    <t>2) What is the main message of the paper and how do the studies help to convey it? 1 page</t>
  </si>
  <si>
    <t>3) Select one out of the four studies and analyze it critically with the knowledge gained in class. 1 page</t>
  </si>
  <si>
    <t>4) What could be an interesting next step in this research domain? Please elaborate on your 2 pages
ideas concerning an additional study suitable for future research endeavours</t>
  </si>
  <si>
    <t>5) Finalizing Essay</t>
  </si>
  <si>
    <t>Leadership &amp; Personal Development</t>
  </si>
  <si>
    <t>Effectice Communication in Leadership</t>
  </si>
  <si>
    <t>1) Introduction to Communication</t>
  </si>
  <si>
    <t>Abgabe</t>
  </si>
  <si>
    <t>2) Communicating Difficult Messages</t>
  </si>
  <si>
    <t>3) Framing I &amp; II</t>
  </si>
  <si>
    <t>4) Transformational Leadership</t>
  </si>
  <si>
    <t>5) Rhetoric Style of Narcisistic Leaders</t>
  </si>
  <si>
    <t>6) Essay Alternative A: Structure and Draft</t>
  </si>
  <si>
    <t>6) Essay Alternative A: Finalizing</t>
  </si>
  <si>
    <t>6) Essay Alternative A: Proofreading &amp; APA/Citations</t>
  </si>
  <si>
    <t>Leadership Development</t>
  </si>
  <si>
    <t xml:space="preserve">2) Setup Small-Scale Experiment </t>
  </si>
  <si>
    <t>3) Write SSE Essay (2 pages with 6 steps description)</t>
  </si>
  <si>
    <t>4) Speech prep: Write assignments</t>
  </si>
  <si>
    <t>5) Sppech Draft</t>
  </si>
  <si>
    <t>6) Finalize Speech</t>
  </si>
  <si>
    <t>Thinking Ethically</t>
  </si>
  <si>
    <t>1) Draft Presentation</t>
  </si>
  <si>
    <t>2) Finalize Presentation</t>
  </si>
  <si>
    <t>3) Practice Presentation</t>
  </si>
  <si>
    <t>4) Draft Essay</t>
  </si>
  <si>
    <t>5) Write Essay</t>
  </si>
  <si>
    <t>6) Proofread Essay</t>
  </si>
  <si>
    <t>Strategic Foresight</t>
  </si>
  <si>
    <t>All Semester (Exam May)</t>
  </si>
  <si>
    <t>1) Essay Research</t>
  </si>
  <si>
    <t>2) Essay Draft</t>
  </si>
  <si>
    <t>3) Essay Finalizing</t>
  </si>
  <si>
    <t>4) Overview Foresight &amp; Methods I</t>
  </si>
  <si>
    <t>5) Methods II</t>
  </si>
  <si>
    <t>6) Introduction Scenario Technique</t>
  </si>
  <si>
    <t>7) Presentation Scenarios</t>
  </si>
  <si>
    <t>8) Implementatio of future knowledge into strategy</t>
  </si>
  <si>
    <t xml:space="preserve">9) Exercise </t>
  </si>
  <si>
    <t>10) Organization of Strategic Foresight &amp; Human Factor</t>
  </si>
  <si>
    <t>Field Study</t>
  </si>
  <si>
    <t>All Semester</t>
  </si>
  <si>
    <t>FINAL PRESENTATION</t>
  </si>
  <si>
    <t>Consulting</t>
  </si>
  <si>
    <t>1) Kickoff Client (Know: How does the market for digitalization consulting services look like?
Prepare: Questions to client)</t>
  </si>
  <si>
    <t>2) Coaching session (Know: What kind of digitalization consulting services are demanded by the market? How do these services 
differ among market segments?
Prepare: Story line draft + slides)</t>
  </si>
  <si>
    <t>3) Coaching session (Know: Who are potential customers? What are their needs?
Prepare: Story line draft + interview guide + slides)</t>
  </si>
  <si>
    <t>4) Coaching session (Know: Which competitors are active in the market and how do their services look like? How do the business 
models of the competitors look like? Are they also partnering up with 3rd parties?
Prepare: Story line draft + first interview insights + slides)</t>
  </si>
  <si>
    <t>5) Coaching sessions + Dry run (Know: What are the main reasons to engage in strategic partnerships (e.g., resources, topics)? What are the 
criteria for a collaboration partner? How can the success be measured? What are the differences between 
strategic, academic, and opportunistic partnerships?
Prepare: Story line draft + first interview insights + slides)</t>
  </si>
  <si>
    <t>6) Coaching session + Dry run (Know: What are potential strategies to enter the market? Develop 3-5 solutions.
Prepare: Finished slides + Practice presenting)</t>
  </si>
  <si>
    <t>7) Interim presentation</t>
  </si>
  <si>
    <t>8) Coaching session (Know: How can digitalization consulting services be combined with other services from the portfolio? Which 
strategic positions do you recommend?
Prepare: Story line draft + slides)</t>
  </si>
  <si>
    <t>9) Coaching session (Know: How would you conduct the market entry? What are potential roadblocks?
Prepare: Story line draft + slides)</t>
  </si>
  <si>
    <t>10) Coaching session (Know: What financial impact would the new services have on SAC?
Prepare: Story line draft + slides)</t>
  </si>
  <si>
    <t>11) Coaching session (Know: What growth potential do these services have on the German market?
Prepare: Story line draft + slides)</t>
  </si>
  <si>
    <t>12) Dry run (Prepare: Finalizing slides &amp; Content)</t>
  </si>
  <si>
    <t>13) Final presentation</t>
  </si>
  <si>
    <t xml:space="preserve">1) </t>
  </si>
  <si>
    <t xml:space="preserve">2) </t>
  </si>
  <si>
    <t xml:space="preserve">4) </t>
  </si>
  <si>
    <t>3)</t>
  </si>
  <si>
    <t>5)</t>
  </si>
  <si>
    <t>6)</t>
  </si>
  <si>
    <t>1) Introduction</t>
  </si>
  <si>
    <t>Start Lectures</t>
  </si>
  <si>
    <t>2) Technology Roadmapping</t>
  </si>
  <si>
    <t>3) Fundamental Concepts I</t>
  </si>
  <si>
    <t>4) Fundamental Concepts II</t>
  </si>
  <si>
    <t>5) SF Process</t>
  </si>
  <si>
    <t>6) Group Presentations</t>
  </si>
  <si>
    <t>7) Thinking Tools Input/Scanning/Scouting, Mental Filters</t>
  </si>
  <si>
    <t>8) Thinkling Tools Analysis/Interpretations, Sense Making</t>
  </si>
  <si>
    <t>9) Thinking Tools Forecasting/Visioning/Scenarios</t>
  </si>
  <si>
    <t>10) Corporate Foresight &amp; Leadership</t>
  </si>
  <si>
    <t>11) AI Systems</t>
  </si>
  <si>
    <t>12) Essay</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</si>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</sst>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0.0%"/>
    <numFmt numFmtId="166" formatCode="0.0"/>
  </numFmts>
  <fonts count="10">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color theme="1"/>
      <name val="Calibri"/>
    </font>
    <font>
      <b/>
      <color theme="1"/>
      <name val="Calibri"/>
    </font>
    <font>
      <b/>
      <sz val="20.0"/>
      <color theme="1"/>
      <name val="Calibri"/>
    </font>
  </fonts>
  <fills count="10">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
      <patternFill patternType="solid">
        <fgColor rgb="FFFFE599"/>
        <bgColor rgb="FFFFE599"/>
      </patternFill>
    </fill>
    <fill>
      <patternFill patternType="solid">
        <fgColor rgb="FFFF9900"/>
        <bgColor rgb="FFFF9900"/>
      </patternFill>
    </fill>
    <fill>
      <patternFill patternType="solid">
        <fgColor rgb="FFFF0000"/>
        <bgColor rgb="FFFF0000"/>
      </patternFill>
    </fill>
    <fill>
      <patternFill patternType="solid">
        <fgColor rgb="FF10FF07"/>
        <bgColor rgb="FF10FF07"/>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4" numFmtId="2" xfId="0" applyFont="1" applyNumberFormat="1"/>
    <xf borderId="0" fillId="0" fontId="4" numFmtId="166" xfId="0" applyFont="1" applyNumberFormat="1"/>
    <xf borderId="0" fillId="0" fontId="4" numFmtId="1" xfId="0" applyFont="1" applyNumberFormat="1"/>
    <xf borderId="0" fillId="0" fontId="1" numFmtId="10" xfId="0" applyFont="1" applyNumberFormat="1"/>
    <xf borderId="0" fillId="0" fontId="1" numFmtId="166" xfId="0" applyAlignment="1" applyFont="1" applyNumberFormat="1">
      <alignment horizontal="center"/>
    </xf>
    <xf borderId="0" fillId="0" fontId="1" numFmtId="1" xfId="0" applyAlignment="1" applyFont="1" applyNumberFormat="1">
      <alignment horizontal="center" readingOrder="0"/>
    </xf>
    <xf borderId="0" fillId="0" fontId="1" numFmtId="10" xfId="0" applyAlignment="1" applyFont="1" applyNumberFormat="1">
      <alignment readingOrder="0"/>
    </xf>
    <xf borderId="0" fillId="0" fontId="1" numFmtId="2" xfId="0" applyAlignment="1" applyFont="1" applyNumberFormat="1">
      <alignment horizontal="center"/>
    </xf>
    <xf borderId="2" fillId="6" fontId="3" numFmtId="0" xfId="0" applyAlignment="1" applyBorder="1" applyFill="1" applyFont="1">
      <alignment horizontal="center" readingOrder="0"/>
    </xf>
    <xf borderId="2" fillId="7" fontId="3" numFmtId="0" xfId="0" applyAlignment="1" applyBorder="1" applyFill="1" applyFont="1">
      <alignment horizontal="center" readingOrder="0"/>
    </xf>
    <xf borderId="2" fillId="8" fontId="3" numFmtId="0" xfId="0" applyAlignment="1" applyBorder="1" applyFill="1" applyFont="1">
      <alignment horizontal="center" readingOrder="0"/>
    </xf>
    <xf borderId="0" fillId="3" fontId="3" numFmtId="0" xfId="0" applyAlignment="1" applyFont="1">
      <alignment horizontal="center" readingOrder="0" vertical="bottom"/>
    </xf>
    <xf borderId="0" fillId="6" fontId="3" numFmtId="0" xfId="0" applyAlignment="1" applyFont="1">
      <alignment horizontal="center" readingOrder="0" vertical="bottom"/>
    </xf>
    <xf borderId="0" fillId="3" fontId="3" numFmtId="0" xfId="0" applyAlignment="1" applyFont="1">
      <alignment vertical="bottom"/>
    </xf>
    <xf borderId="0" fillId="0" fontId="7" numFmtId="0" xfId="0" applyFont="1"/>
    <xf borderId="0" fillId="0" fontId="7" numFmtId="0" xfId="0" applyAlignment="1" applyFont="1">
      <alignment readingOrder="0"/>
    </xf>
    <xf borderId="0" fillId="0" fontId="1" numFmtId="1" xfId="0" applyAlignment="1" applyFont="1" applyNumberFormat="1">
      <alignment horizontal="center" vertical="bottom"/>
    </xf>
    <xf borderId="0" fillId="0" fontId="1" numFmtId="9" xfId="0" applyAlignment="1" applyFont="1" applyNumberFormat="1">
      <alignment horizontal="right" vertical="bottom"/>
    </xf>
    <xf borderId="0" fillId="9" fontId="1" numFmtId="9" xfId="0" applyAlignment="1" applyFill="1" applyFont="1" applyNumberFormat="1">
      <alignment horizontal="right" vertical="bottom"/>
    </xf>
    <xf borderId="0" fillId="0" fontId="1" numFmtId="9" xfId="0" applyAlignment="1" applyFont="1" applyNumberFormat="1">
      <alignment vertical="bottom"/>
    </xf>
    <xf borderId="0" fillId="8" fontId="1" numFmtId="9" xfId="0" applyAlignment="1" applyFont="1" applyNumberFormat="1">
      <alignment horizontal="right" readingOrder="0" vertical="bottom"/>
    </xf>
    <xf borderId="0" fillId="8" fontId="1" numFmtId="9" xfId="0" applyAlignment="1" applyFont="1" applyNumberFormat="1">
      <alignment vertical="bottom"/>
    </xf>
    <xf borderId="0" fillId="0" fontId="1" numFmtId="9" xfId="0" applyAlignment="1" applyFont="1" applyNumberFormat="1">
      <alignment horizontal="right" readingOrder="0" vertical="bottom"/>
    </xf>
    <xf borderId="0" fillId="0" fontId="4" numFmtId="4" xfId="0" applyFont="1" applyNumberFormat="1"/>
    <xf borderId="0" fillId="0" fontId="4" numFmtId="4" xfId="0" applyAlignment="1" applyFont="1" applyNumberFormat="1">
      <alignment readingOrder="0"/>
    </xf>
    <xf borderId="0" fillId="0" fontId="8" numFmtId="0" xfId="0" applyAlignment="1" applyFont="1">
      <alignment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9"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0.05</v>
      </c>
      <c r="K14" s="29">
        <f>+SUMPRODUCT(G15:G20,K15:K20)</f>
        <v>0.05</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0.5</v>
      </c>
      <c r="K15" s="29">
        <f t="array" ref="K15">MAX(IF($N$3:$HA$3=$J$3,N15:HA15))</f>
        <v>0.5</v>
      </c>
      <c r="L15" s="26"/>
      <c r="O15" s="27"/>
      <c r="P15" s="27"/>
      <c r="Q15" s="27"/>
      <c r="R15" s="27"/>
      <c r="V15" s="30">
        <v>0.5</v>
      </c>
      <c r="W15" s="30">
        <v>0.5</v>
      </c>
      <c r="X15" s="30">
        <v>0.5</v>
      </c>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24.89"/>
    <col customWidth="1" min="7" max="7" width="9.0"/>
    <col customWidth="1" min="8" max="8" width="2.44"/>
    <col customWidth="1" min="9" max="9" width="8.78"/>
    <col customWidth="1" min="10" max="10" width="8.67"/>
    <col customWidth="1" min="11" max="11" width="11.33"/>
    <col customWidth="1" min="12" max="12" width="4.78"/>
    <col customWidth="1" hidden="1" min="13" max="13" width="5.56"/>
    <col customWidth="1" hidden="1" min="14" max="14" width="2.22"/>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hidden="1" min="21" max="21" width="2.22"/>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22"/>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22"/>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22"/>
    <col customWidth="1" hidden="1" min="43" max="43" width="8.78"/>
    <col customWidth="1" hidden="1" min="44" max="44" width="12.44"/>
    <col customWidth="1" hidden="1" min="45" max="45" width="6.33"/>
    <col customWidth="1" hidden="1" min="46" max="46" width="14.78"/>
    <col customWidth="1" hidden="1" min="47" max="47" width="6.0"/>
    <col customWidth="1" hidden="1" min="48" max="48" width="12.67"/>
    <col customWidth="1" min="49" max="49" width="3.33"/>
    <col customWidth="1" hidden="1" min="50" max="50" width="8.78"/>
    <col customWidth="1" hidden="1" min="51" max="51" width="12.44"/>
    <col customWidth="1" hidden="1" min="52" max="52" width="6.33"/>
    <col customWidth="1" hidden="1" min="53" max="53" width="14.78"/>
    <col customWidth="1" hidden="1" min="54" max="54" width="6.0"/>
    <col customWidth="1" hidden="1" min="55" max="55" width="12.67"/>
    <col customWidth="1" min="56" max="56" width="2.22"/>
    <col customWidth="1" hidden="1" min="57" max="57" width="8.78"/>
    <col customWidth="1" hidden="1" min="58" max="58" width="12.44"/>
    <col customWidth="1" hidden="1" min="59" max="59" width="6.33"/>
    <col customWidth="1" hidden="1" min="60" max="60" width="14.78"/>
    <col customWidth="1" hidden="1" min="61" max="61" width="6.0"/>
    <col customWidth="1" hidden="1" min="62" max="62" width="12.67"/>
    <col customWidth="1" min="63" max="63" width="2.22"/>
    <col customWidth="1" hidden="1" min="64" max="64" width="8.78"/>
    <col customWidth="1" hidden="1" min="65" max="65" width="12.44"/>
    <col customWidth="1" hidden="1" min="66" max="66" width="6.33"/>
    <col customWidth="1" hidden="1" min="67" max="67" width="14.78"/>
    <col customWidth="1" hidden="1" min="68" max="68" width="6.0"/>
    <col customWidth="1" hidden="1" min="69" max="69" width="12.67"/>
    <col customWidth="1" min="70" max="70" width="2.22"/>
    <col customWidth="1" hidden="1" min="71" max="71" width="8.78"/>
    <col customWidth="1" hidden="1" min="72" max="72" width="12.44"/>
    <col customWidth="1" hidden="1" min="73" max="73" width="6.33"/>
    <col customWidth="1" hidden="1" min="74" max="74" width="14.78"/>
    <col customWidth="1" hidden="1" min="75" max="75" width="6.0"/>
    <col customWidth="1" hidden="1" min="76" max="76" width="12.67"/>
    <col customWidth="1" min="77" max="77" width="2.22"/>
    <col customWidth="1" hidden="1" min="78" max="78" width="8.78"/>
    <col customWidth="1" hidden="1" min="79" max="79" width="12.44"/>
    <col customWidth="1" hidden="1" min="80" max="80" width="6.33"/>
    <col customWidth="1" hidden="1" min="81" max="81" width="14.78"/>
    <col customWidth="1" hidden="1" min="82" max="82" width="6.0"/>
    <col customWidth="1" hidden="1" min="83" max="83" width="12.67"/>
    <col customWidth="1" min="84" max="84" width="2.22"/>
    <col customWidth="1" hidden="1" min="85" max="85" width="8.78"/>
    <col customWidth="1" hidden="1" min="86" max="86" width="12.44"/>
    <col customWidth="1" hidden="1" min="87" max="87" width="6.33"/>
    <col customWidth="1" hidden="1" min="88" max="88" width="14.78"/>
    <col customWidth="1" hidden="1" min="89" max="89" width="6.0"/>
    <col customWidth="1" hidden="1" min="90" max="90" width="12.67"/>
    <col customWidth="1" min="91" max="91" width="2.22"/>
    <col customWidth="1" hidden="1" min="92" max="92" width="8.78"/>
    <col customWidth="1" hidden="1" min="93" max="93" width="12.44"/>
    <col customWidth="1" hidden="1" min="94" max="94" width="6.33"/>
    <col customWidth="1" hidden="1" min="95" max="95" width="14.78"/>
    <col customWidth="1" hidden="1" min="96" max="96" width="6.0"/>
    <col customWidth="1" hidden="1" min="97" max="97" width="12.67"/>
    <col customWidth="1" min="98" max="98" width="2.22"/>
    <col customWidth="1" hidden="1" min="99" max="99" width="8.78"/>
    <col customWidth="1" hidden="1" min="100" max="100" width="12.44"/>
    <col customWidth="1" hidden="1" min="101" max="101" width="6.33"/>
    <col customWidth="1" hidden="1" min="102" max="102" width="14.78"/>
    <col customWidth="1" hidden="1" min="103" max="103" width="6.0"/>
    <col customWidth="1" hidden="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3" width="2.22"/>
    <col customWidth="1" min="114" max="114" width="8.78"/>
    <col customWidth="1" min="115" max="115" width="12.44"/>
    <col customWidth="1" min="116" max="116" width="6.33"/>
    <col customWidth="1" min="117" max="117" width="14.78"/>
    <col customWidth="1" min="118" max="118" width="6.0"/>
    <col customWidth="1" min="119" max="119" width="12.67"/>
    <col customWidth="1" min="120" max="120" width="2.22"/>
  </cols>
  <sheetData>
    <row r="1" ht="15.75" customHeight="1">
      <c r="A1" s="5" t="s">
        <v>19</v>
      </c>
      <c r="B1" s="7" t="s">
        <v>20</v>
      </c>
      <c r="C1" s="8"/>
      <c r="D1" s="7"/>
      <c r="G1" s="10"/>
      <c r="I1" s="10"/>
      <c r="J1" s="9"/>
      <c r="K1" s="10"/>
      <c r="T1" s="5">
        <v>8.0</v>
      </c>
      <c r="V1" s="5" t="s">
        <v>24</v>
      </c>
      <c r="AA1" s="5">
        <v>13.0</v>
      </c>
      <c r="AH1" s="5">
        <v>15.0</v>
      </c>
      <c r="AM1" s="34">
        <f>SUM(AJ4,AJ20,AJ28,AJ35,AJ40,AJ50,AJ55,AJ72)</f>
        <v>37</v>
      </c>
      <c r="AO1" s="5">
        <v>18.0</v>
      </c>
      <c r="AQ1" s="35">
        <f>SUM(AQ4,AQ20,AQ28,AQ35,AQ40,AQ50,AQ55,AQ72)</f>
        <v>31.5</v>
      </c>
      <c r="AX1" s="34">
        <f>SUM(AX4,AX20,AX28,AX35,AX40,AX55,AX72)</f>
        <v>32.75</v>
      </c>
      <c r="BD1" s="11"/>
      <c r="BE1" s="35">
        <f>SUM(BE4,BE20,BE28,BE35,BE40,BE50,BE55,BE72)</f>
        <v>71.5</v>
      </c>
      <c r="BH1" s="5" t="s">
        <v>25</v>
      </c>
      <c r="BJ1" s="5">
        <v>3.0</v>
      </c>
      <c r="BQ1" s="5">
        <v>4.0</v>
      </c>
      <c r="BR1" s="11"/>
      <c r="BS1" s="36">
        <f>SUM(BS4,BS28,BS40,BS50,BS55,BS77)</f>
        <v>24.5</v>
      </c>
      <c r="BY1" s="11"/>
      <c r="CF1" s="11"/>
      <c r="CG1" s="35">
        <f>SUM(CG4,CG40,CG50,CG55)+1</f>
        <v>13.75</v>
      </c>
      <c r="CM1" s="11"/>
      <c r="CN1" s="35">
        <f>SUM(CN4,CN40,CN50,CN55,CN21)</f>
        <v>26</v>
      </c>
      <c r="CO1" s="5" t="s">
        <v>117</v>
      </c>
      <c r="CT1" s="11"/>
      <c r="CU1" s="35">
        <f>SUM(CU4,CU50,CU55)</f>
        <v>27</v>
      </c>
      <c r="DA1" s="11"/>
      <c r="DB1" s="36">
        <f>SUM(DB4,DB50,DB55)</f>
        <v>116.5</v>
      </c>
      <c r="DH1" s="11"/>
      <c r="DI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118</v>
      </c>
      <c r="DC2" s="13"/>
      <c r="DD2" s="13"/>
      <c r="DE2" s="13"/>
      <c r="DF2" s="13"/>
      <c r="DG2" s="14"/>
      <c r="DH2" s="16"/>
      <c r="DI2" s="16"/>
      <c r="DJ2" s="17" t="s">
        <v>43</v>
      </c>
      <c r="DK2" s="13"/>
      <c r="DL2" s="13"/>
      <c r="DM2" s="13"/>
      <c r="DN2" s="13"/>
      <c r="DO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6"/>
      <c r="DJ3" s="19" t="s">
        <v>50</v>
      </c>
      <c r="DK3" s="19" t="s">
        <v>51</v>
      </c>
      <c r="DL3" s="19" t="s">
        <v>54</v>
      </c>
      <c r="DM3" s="19" t="s">
        <v>52</v>
      </c>
      <c r="DN3" s="19" t="s">
        <v>54</v>
      </c>
      <c r="DO3" s="19" t="s">
        <v>53</v>
      </c>
    </row>
    <row r="4" ht="15.75" customHeight="1">
      <c r="B4" s="6" t="s">
        <v>26</v>
      </c>
      <c r="C4" s="24" t="s">
        <v>55</v>
      </c>
      <c r="D4" s="25">
        <v>44917.0</v>
      </c>
      <c r="E4" s="26">
        <v>6.0</v>
      </c>
      <c r="G4" s="37">
        <f>+SUM(G5:G18)</f>
        <v>1</v>
      </c>
      <c r="I4" s="28">
        <f>+SUM(I5:I18)</f>
        <v>85</v>
      </c>
      <c r="J4" s="29">
        <f>+SUMPRODUCT(G5:G12,J5:J12)</f>
        <v>0.5</v>
      </c>
      <c r="K4" s="29">
        <f>+SUMPRODUCT(G5:G12,K5:K12)</f>
        <v>0.5</v>
      </c>
      <c r="L4" s="26"/>
      <c r="N4" s="28"/>
      <c r="O4" s="28">
        <f>SUM(O5:O12)</f>
        <v>6</v>
      </c>
      <c r="V4" s="38">
        <f>SUM(V5:V12)</f>
        <v>3.5</v>
      </c>
      <c r="AC4" s="38">
        <f>SUM(AC5:AC12)</f>
        <v>3</v>
      </c>
      <c r="AJ4" s="28">
        <f>SUM(AJ5:AJ12)</f>
        <v>12</v>
      </c>
      <c r="AO4" s="5" t="s">
        <v>119</v>
      </c>
      <c r="AQ4" s="28">
        <f>SUM(AQ5:AQ12)</f>
        <v>1.5</v>
      </c>
      <c r="AX4" s="38">
        <f>SUM(AX5:AX12)</f>
        <v>1.5</v>
      </c>
      <c r="BD4" s="11"/>
      <c r="BE4" s="38">
        <f>SUM(BE5:BE18)</f>
        <v>1.5</v>
      </c>
      <c r="BL4" s="28">
        <f>SUM(BL5:BL12)</f>
        <v>0</v>
      </c>
      <c r="BR4" s="11"/>
      <c r="BS4" s="28">
        <f>SUM(BS5:BS18)</f>
        <v>3</v>
      </c>
      <c r="BY4" s="11"/>
      <c r="BZ4" s="39">
        <f>SUM(BZ5:BZ18)</f>
        <v>1.5</v>
      </c>
      <c r="CF4" s="11"/>
      <c r="CG4" s="38">
        <f>SUM(CG5:CG18)</f>
        <v>3.5</v>
      </c>
      <c r="CM4" s="11"/>
      <c r="CN4" s="38">
        <f>SUM(CN5:CN18)</f>
        <v>11.5</v>
      </c>
      <c r="CT4" s="11"/>
      <c r="CU4" s="38">
        <f>SUM(CU5:CU18)</f>
        <v>1.5</v>
      </c>
      <c r="DA4" s="11"/>
      <c r="DB4" s="28">
        <f>SUM(DB5:DB18)</f>
        <v>35</v>
      </c>
      <c r="DH4" s="11"/>
      <c r="DI4" s="11"/>
      <c r="DJ4" s="28"/>
    </row>
    <row r="5" ht="15.75" customHeight="1" outlineLevel="1">
      <c r="B5" s="6" t="s">
        <v>56</v>
      </c>
      <c r="C5" s="24" t="s">
        <v>55</v>
      </c>
      <c r="E5" s="26"/>
      <c r="F5" s="5" t="s">
        <v>57</v>
      </c>
      <c r="G5" s="40">
        <v>0.0625</v>
      </c>
      <c r="I5" s="26">
        <f t="shared" ref="I5:I18" si="1">+SUMIF($N$3:$ACG$3,I$3,$N5:$ACG5)</f>
        <v>7</v>
      </c>
      <c r="J5" s="29">
        <f t="array" ref="J5">MAX(IF($N$3:$GO$3=$J$3,N5:GO5))</f>
        <v>1</v>
      </c>
      <c r="K5" s="29">
        <f t="array" ref="K5">MAX(IF($N$3:$GO$3=$J$3,N5:GO5))</f>
        <v>1</v>
      </c>
      <c r="L5" s="26"/>
      <c r="O5" s="5">
        <v>2.5</v>
      </c>
      <c r="P5" s="30">
        <v>0.4</v>
      </c>
      <c r="Q5" s="30">
        <v>0.8</v>
      </c>
      <c r="R5" s="30">
        <v>0.3</v>
      </c>
      <c r="S5" s="30">
        <v>0.8</v>
      </c>
      <c r="T5" s="5">
        <v>2.0</v>
      </c>
      <c r="V5" s="5">
        <v>0.5</v>
      </c>
      <c r="W5" s="30">
        <v>0.6</v>
      </c>
      <c r="X5" s="30">
        <v>0.8</v>
      </c>
      <c r="Y5" s="30">
        <v>0.5</v>
      </c>
      <c r="Z5" s="30">
        <v>0.8</v>
      </c>
      <c r="AA5" s="5">
        <v>2.0</v>
      </c>
      <c r="AD5" s="30">
        <v>0.6</v>
      </c>
      <c r="AE5" s="30">
        <v>0.8</v>
      </c>
      <c r="AF5" s="30">
        <v>0.5</v>
      </c>
      <c r="AG5" s="30">
        <v>0.8</v>
      </c>
      <c r="AJ5" s="5">
        <v>1.0</v>
      </c>
      <c r="AK5" s="30">
        <v>0.6</v>
      </c>
      <c r="AL5" s="30">
        <v>0.8</v>
      </c>
      <c r="AM5" s="30">
        <v>0.5</v>
      </c>
      <c r="AN5" s="30">
        <v>0.8</v>
      </c>
      <c r="AR5" s="30">
        <v>0.6</v>
      </c>
      <c r="AS5" s="30">
        <v>1.0</v>
      </c>
      <c r="AT5" s="30">
        <v>0.5</v>
      </c>
      <c r="AU5" s="30">
        <v>1.0</v>
      </c>
      <c r="AY5" s="30">
        <v>0.6</v>
      </c>
      <c r="AZ5" s="30">
        <v>1.0</v>
      </c>
      <c r="BA5" s="30">
        <v>0.5</v>
      </c>
      <c r="BB5" s="30">
        <v>1.0</v>
      </c>
      <c r="BD5" s="11"/>
      <c r="BF5" s="30">
        <v>0.6</v>
      </c>
      <c r="BG5" s="30">
        <v>1.0</v>
      </c>
      <c r="BH5" s="30">
        <v>0.5</v>
      </c>
      <c r="BI5" s="30">
        <v>1.0</v>
      </c>
      <c r="BM5" s="30"/>
      <c r="BN5" s="30">
        <v>1.0</v>
      </c>
      <c r="BO5" s="27"/>
      <c r="BP5" s="30">
        <v>1.0</v>
      </c>
      <c r="BQ5" s="5">
        <v>0.0</v>
      </c>
      <c r="BR5" s="11"/>
      <c r="BT5" s="30">
        <v>0.8</v>
      </c>
      <c r="BU5" s="30">
        <v>1.0</v>
      </c>
      <c r="BV5" s="30">
        <v>0.8</v>
      </c>
      <c r="BW5" s="30">
        <v>1.0</v>
      </c>
      <c r="BY5" s="11"/>
      <c r="CA5" s="30"/>
      <c r="CB5" s="30">
        <v>1.0</v>
      </c>
      <c r="CC5" s="27"/>
      <c r="CD5" s="30">
        <v>1.0</v>
      </c>
      <c r="CF5" s="11"/>
      <c r="CG5" s="5">
        <v>2.0</v>
      </c>
      <c r="CH5" s="30">
        <v>0.9</v>
      </c>
      <c r="CI5" s="30">
        <v>1.0</v>
      </c>
      <c r="CJ5" s="27"/>
      <c r="CK5" s="30"/>
      <c r="CM5" s="11"/>
      <c r="CO5" s="30"/>
      <c r="CP5" s="30"/>
      <c r="CQ5" s="30">
        <v>0.9</v>
      </c>
      <c r="CR5" s="30">
        <v>1.0</v>
      </c>
      <c r="CT5" s="11"/>
      <c r="CV5" s="30"/>
      <c r="CW5" s="30"/>
      <c r="CX5" s="30">
        <v>0.9</v>
      </c>
      <c r="CY5" s="30">
        <v>1.0</v>
      </c>
      <c r="DA5" s="11"/>
      <c r="DB5" s="5">
        <v>1.0</v>
      </c>
      <c r="DC5" s="30">
        <v>1.0</v>
      </c>
      <c r="DD5" s="30">
        <v>1.0</v>
      </c>
      <c r="DE5" s="30">
        <v>1.0</v>
      </c>
      <c r="DF5" s="30">
        <v>1.0</v>
      </c>
      <c r="DH5" s="11"/>
      <c r="DI5" s="11"/>
      <c r="DK5" s="30"/>
      <c r="DL5" s="30"/>
      <c r="DM5" s="27"/>
      <c r="DN5" s="27"/>
    </row>
    <row r="6" ht="15.75" customHeight="1" outlineLevel="1">
      <c r="B6" s="6" t="s">
        <v>56</v>
      </c>
      <c r="C6" s="24" t="s">
        <v>55</v>
      </c>
      <c r="E6" s="26"/>
      <c r="F6" s="5" t="s">
        <v>58</v>
      </c>
      <c r="G6" s="40">
        <v>0.0625</v>
      </c>
      <c r="I6" s="26">
        <f t="shared" si="1"/>
        <v>8</v>
      </c>
      <c r="J6" s="29">
        <f t="array" ref="J6">MAX(IF($N$3:$GO$3=$J$3,N6:GO6))</f>
        <v>1</v>
      </c>
      <c r="K6" s="29">
        <f t="array" ref="K6">MAX(IF($N$3:$GO$3=$J$3,N6:GO6))</f>
        <v>1</v>
      </c>
      <c r="L6" s="26"/>
      <c r="O6" s="5">
        <v>3.5</v>
      </c>
      <c r="P6" s="30">
        <v>0.5</v>
      </c>
      <c r="Q6" s="30">
        <v>0.5</v>
      </c>
      <c r="R6" s="30">
        <v>0.5</v>
      </c>
      <c r="S6" s="30">
        <v>0.5</v>
      </c>
      <c r="V6" s="5">
        <v>1.5</v>
      </c>
      <c r="W6" s="30">
        <v>0.5</v>
      </c>
      <c r="X6" s="30">
        <v>0.8</v>
      </c>
      <c r="Y6" s="30">
        <v>0.5</v>
      </c>
      <c r="Z6" s="30">
        <v>0.8</v>
      </c>
      <c r="AD6" s="30">
        <v>0.5</v>
      </c>
      <c r="AE6" s="30">
        <v>0.8</v>
      </c>
      <c r="AF6" s="30">
        <v>0.5</v>
      </c>
      <c r="AG6" s="30">
        <v>0.8</v>
      </c>
      <c r="AJ6" s="5">
        <v>1.0</v>
      </c>
      <c r="AK6" s="30">
        <v>0.5</v>
      </c>
      <c r="AL6" s="30">
        <v>0.8</v>
      </c>
      <c r="AM6" s="30">
        <v>0.5</v>
      </c>
      <c r="AN6" s="30">
        <v>0.8</v>
      </c>
      <c r="AR6" s="30">
        <v>0.5</v>
      </c>
      <c r="AS6" s="30">
        <v>1.0</v>
      </c>
      <c r="AT6" s="30">
        <v>0.5</v>
      </c>
      <c r="AU6" s="30">
        <v>1.0</v>
      </c>
      <c r="AY6" s="30">
        <v>0.5</v>
      </c>
      <c r="AZ6" s="30">
        <v>1.0</v>
      </c>
      <c r="BA6" s="30">
        <v>0.5</v>
      </c>
      <c r="BB6" s="30">
        <v>1.0</v>
      </c>
      <c r="BD6" s="11"/>
      <c r="BF6" s="30">
        <v>0.5</v>
      </c>
      <c r="BG6" s="30">
        <v>1.0</v>
      </c>
      <c r="BH6" s="30">
        <v>0.5</v>
      </c>
      <c r="BI6" s="30">
        <v>1.0</v>
      </c>
      <c r="BM6" s="30"/>
      <c r="BN6" s="30">
        <v>1.0</v>
      </c>
      <c r="BO6" s="27"/>
      <c r="BP6" s="30">
        <v>1.0</v>
      </c>
      <c r="BR6" s="11"/>
      <c r="BT6" s="30">
        <v>0.8</v>
      </c>
      <c r="BU6" s="30">
        <v>0.8</v>
      </c>
      <c r="BV6" s="30">
        <v>0.8</v>
      </c>
      <c r="BW6" s="30">
        <v>0.8</v>
      </c>
      <c r="BY6" s="11"/>
      <c r="CA6" s="30"/>
      <c r="CB6" s="30">
        <v>1.0</v>
      </c>
      <c r="CC6" s="27"/>
      <c r="CD6" s="30">
        <v>1.0</v>
      </c>
      <c r="CF6" s="11"/>
      <c r="CH6" s="30">
        <v>0.8</v>
      </c>
      <c r="CI6" s="30">
        <v>1.0</v>
      </c>
      <c r="CJ6" s="27"/>
      <c r="CK6" s="30"/>
      <c r="CM6" s="11"/>
      <c r="CO6" s="30"/>
      <c r="CP6" s="30"/>
      <c r="CQ6" s="30">
        <v>0.8</v>
      </c>
      <c r="CR6" s="30">
        <v>1.0</v>
      </c>
      <c r="CT6" s="11"/>
      <c r="CV6" s="30"/>
      <c r="CW6" s="30"/>
      <c r="CX6" s="30">
        <v>0.8</v>
      </c>
      <c r="CY6" s="30">
        <v>1.0</v>
      </c>
      <c r="DA6" s="11"/>
      <c r="DB6" s="5">
        <v>2.0</v>
      </c>
      <c r="DC6" s="30">
        <v>1.0</v>
      </c>
      <c r="DD6" s="30">
        <v>1.0</v>
      </c>
      <c r="DE6" s="30">
        <v>1.0</v>
      </c>
      <c r="DF6" s="30">
        <v>1.0</v>
      </c>
      <c r="DH6" s="11"/>
      <c r="DI6" s="11"/>
      <c r="DK6" s="30"/>
      <c r="DL6" s="27"/>
      <c r="DM6" s="27"/>
      <c r="DN6" s="27"/>
    </row>
    <row r="7" ht="15.75" customHeight="1" outlineLevel="1">
      <c r="B7" s="6" t="s">
        <v>56</v>
      </c>
      <c r="C7" s="24" t="s">
        <v>55</v>
      </c>
      <c r="E7" s="26"/>
      <c r="F7" s="5" t="s">
        <v>59</v>
      </c>
      <c r="G7" s="40">
        <v>0.0625</v>
      </c>
      <c r="I7" s="26">
        <f t="shared" si="1"/>
        <v>4.5</v>
      </c>
      <c r="J7" s="29">
        <f t="array" ref="J7">MAX(IF($N$3:$GO$3=$J$3,N7:GO7))</f>
        <v>1</v>
      </c>
      <c r="K7" s="29">
        <f t="array" ref="K7">MAX(IF($N$3:$GO$3=$J$3,N7:GO7))</f>
        <v>1</v>
      </c>
      <c r="L7" s="26"/>
      <c r="P7" s="30"/>
      <c r="Q7" s="27"/>
      <c r="R7" s="27"/>
      <c r="S7" s="30">
        <v>0.0</v>
      </c>
      <c r="V7" s="5">
        <v>1.5</v>
      </c>
      <c r="W7" s="30">
        <v>0.1</v>
      </c>
      <c r="X7" s="30">
        <v>0.5</v>
      </c>
      <c r="Y7" s="27"/>
      <c r="Z7" s="30">
        <v>0.5</v>
      </c>
      <c r="AD7" s="30">
        <v>0.1</v>
      </c>
      <c r="AE7" s="30">
        <v>0.8</v>
      </c>
      <c r="AF7" s="27"/>
      <c r="AG7" s="30">
        <v>0.8</v>
      </c>
      <c r="AJ7" s="5">
        <v>1.0</v>
      </c>
      <c r="AK7" s="30">
        <v>0.1</v>
      </c>
      <c r="AL7" s="30">
        <v>0.8</v>
      </c>
      <c r="AM7" s="27"/>
      <c r="AN7" s="30">
        <v>0.8</v>
      </c>
      <c r="AR7" s="30">
        <v>0.1</v>
      </c>
      <c r="AS7" s="30">
        <v>0.8</v>
      </c>
      <c r="AT7" s="27"/>
      <c r="AU7" s="30">
        <v>0.8</v>
      </c>
      <c r="AY7" s="30">
        <v>0.1</v>
      </c>
      <c r="AZ7" s="30">
        <v>0.8</v>
      </c>
      <c r="BA7" s="27"/>
      <c r="BB7" s="30">
        <v>0.8</v>
      </c>
      <c r="BD7" s="11"/>
      <c r="BF7" s="30">
        <v>0.1</v>
      </c>
      <c r="BG7" s="30">
        <v>1.0</v>
      </c>
      <c r="BH7" s="27"/>
      <c r="BI7" s="30">
        <v>1.0</v>
      </c>
      <c r="BM7" s="30"/>
      <c r="BN7" s="30">
        <v>1.0</v>
      </c>
      <c r="BO7" s="27"/>
      <c r="BP7" s="30">
        <v>1.0</v>
      </c>
      <c r="BR7" s="11"/>
      <c r="BT7" s="30">
        <v>0.5</v>
      </c>
      <c r="BU7" s="30">
        <v>0.8</v>
      </c>
      <c r="BV7" s="30">
        <v>0.3</v>
      </c>
      <c r="BW7" s="30">
        <v>0.8</v>
      </c>
      <c r="BY7" s="11"/>
      <c r="CA7" s="30"/>
      <c r="CB7" s="30">
        <v>1.0</v>
      </c>
      <c r="CC7" s="27"/>
      <c r="CD7" s="30">
        <v>1.0</v>
      </c>
      <c r="CF7" s="11"/>
      <c r="CH7" s="30">
        <v>0.5</v>
      </c>
      <c r="CI7" s="30">
        <v>1.0</v>
      </c>
      <c r="CJ7" s="27"/>
      <c r="CK7" s="30"/>
      <c r="CM7" s="11"/>
      <c r="CO7" s="30"/>
      <c r="CP7" s="30"/>
      <c r="CQ7" s="30">
        <v>0.5</v>
      </c>
      <c r="CR7" s="30">
        <v>1.0</v>
      </c>
      <c r="CT7" s="11"/>
      <c r="CV7" s="30"/>
      <c r="CW7" s="30"/>
      <c r="CX7" s="30">
        <v>0.5</v>
      </c>
      <c r="CY7" s="30">
        <v>1.0</v>
      </c>
      <c r="DA7" s="11"/>
      <c r="DB7" s="5">
        <v>2.0</v>
      </c>
      <c r="DC7" s="30">
        <v>1.0</v>
      </c>
      <c r="DD7" s="30">
        <v>1.0</v>
      </c>
      <c r="DE7" s="30">
        <v>1.0</v>
      </c>
      <c r="DF7" s="30">
        <v>1.0</v>
      </c>
      <c r="DH7" s="11"/>
      <c r="DI7" s="11"/>
      <c r="DK7" s="30"/>
      <c r="DL7" s="27"/>
      <c r="DM7" s="27"/>
      <c r="DN7" s="27"/>
    </row>
    <row r="8" ht="15.75" customHeight="1" outlineLevel="1">
      <c r="B8" s="6" t="s">
        <v>56</v>
      </c>
      <c r="C8" s="24" t="s">
        <v>55</v>
      </c>
      <c r="E8" s="26"/>
      <c r="F8" s="5" t="s">
        <v>60</v>
      </c>
      <c r="G8" s="40">
        <v>0.0625</v>
      </c>
      <c r="I8" s="26">
        <f t="shared" si="1"/>
        <v>5.5</v>
      </c>
      <c r="J8" s="29">
        <f t="array" ref="J8">MAX(IF($N$3:$GO$3=$J$3,N8:GO8))</f>
        <v>1</v>
      </c>
      <c r="K8" s="29">
        <f t="array" ref="K8">MAX(IF($N$3:$GO$3=$J$3,N8:GO8))</f>
        <v>1</v>
      </c>
      <c r="L8" s="26"/>
      <c r="P8" s="27"/>
      <c r="Q8" s="27"/>
      <c r="R8" s="27"/>
      <c r="S8" s="30">
        <v>0.0</v>
      </c>
      <c r="W8" s="27"/>
      <c r="X8" s="30">
        <v>0.0</v>
      </c>
      <c r="Y8" s="27"/>
      <c r="Z8" s="30">
        <v>0.0</v>
      </c>
      <c r="AC8" s="5">
        <v>1.5</v>
      </c>
      <c r="AD8" s="27"/>
      <c r="AE8" s="30">
        <v>0.5</v>
      </c>
      <c r="AF8" s="27"/>
      <c r="AG8" s="30">
        <v>0.5</v>
      </c>
      <c r="AJ8" s="5">
        <v>2.0</v>
      </c>
      <c r="AK8" s="27"/>
      <c r="AL8" s="30">
        <v>0.5</v>
      </c>
      <c r="AM8" s="27"/>
      <c r="AN8" s="30">
        <v>0.5</v>
      </c>
      <c r="AR8" s="30">
        <v>0.1</v>
      </c>
      <c r="AS8" s="30">
        <v>0.5</v>
      </c>
      <c r="AT8" s="27"/>
      <c r="AU8" s="30">
        <v>0.5</v>
      </c>
      <c r="AY8" s="30">
        <v>0.1</v>
      </c>
      <c r="AZ8" s="30">
        <v>0.8</v>
      </c>
      <c r="BA8" s="27"/>
      <c r="BB8" s="30">
        <v>0.8</v>
      </c>
      <c r="BD8" s="11"/>
      <c r="BF8" s="30">
        <v>0.1</v>
      </c>
      <c r="BG8" s="30">
        <v>1.0</v>
      </c>
      <c r="BH8" s="27"/>
      <c r="BI8" s="30">
        <v>1.0</v>
      </c>
      <c r="BM8" s="27"/>
      <c r="BN8" s="30">
        <v>1.0</v>
      </c>
      <c r="BO8" s="27"/>
      <c r="BP8" s="30">
        <v>1.0</v>
      </c>
      <c r="BR8" s="11"/>
      <c r="BT8" s="30">
        <v>0.5</v>
      </c>
      <c r="BU8" s="30">
        <v>0.8</v>
      </c>
      <c r="BV8" s="30">
        <v>0.3</v>
      </c>
      <c r="BW8" s="30">
        <v>0.8</v>
      </c>
      <c r="BY8" s="11"/>
      <c r="CA8" s="27"/>
      <c r="CB8" s="30">
        <v>1.0</v>
      </c>
      <c r="CC8" s="27"/>
      <c r="CD8" s="30">
        <v>1.0</v>
      </c>
      <c r="CF8" s="11"/>
      <c r="CH8" s="30">
        <v>0.5</v>
      </c>
      <c r="CI8" s="30">
        <v>0.8</v>
      </c>
      <c r="CJ8" s="27"/>
      <c r="CK8" s="30"/>
      <c r="CM8" s="11"/>
      <c r="CO8" s="30"/>
      <c r="CP8" s="30"/>
      <c r="CQ8" s="30">
        <v>0.5</v>
      </c>
      <c r="CR8" s="30">
        <v>1.0</v>
      </c>
      <c r="CT8" s="11"/>
      <c r="CV8" s="27"/>
      <c r="CW8" s="30"/>
      <c r="CX8" s="30">
        <v>0.5</v>
      </c>
      <c r="CY8" s="30">
        <v>1.0</v>
      </c>
      <c r="DA8" s="11"/>
      <c r="DB8" s="5">
        <v>2.0</v>
      </c>
      <c r="DC8" s="30">
        <v>1.0</v>
      </c>
      <c r="DD8" s="30">
        <v>1.0</v>
      </c>
      <c r="DE8" s="30">
        <v>1.0</v>
      </c>
      <c r="DF8" s="30">
        <v>1.0</v>
      </c>
      <c r="DH8" s="11"/>
      <c r="DI8" s="11"/>
      <c r="DK8" s="32" t="s">
        <v>120</v>
      </c>
    </row>
    <row r="9" ht="15.75" customHeight="1" outlineLevel="1">
      <c r="B9" s="6" t="s">
        <v>56</v>
      </c>
      <c r="C9" s="24" t="s">
        <v>55</v>
      </c>
      <c r="E9" s="26"/>
      <c r="F9" s="5" t="s">
        <v>61</v>
      </c>
      <c r="G9" s="40">
        <v>0.0625</v>
      </c>
      <c r="I9" s="26">
        <f t="shared" si="1"/>
        <v>4</v>
      </c>
      <c r="J9" s="29">
        <f t="array" ref="J9">MAX(IF($N$3:$GO$3=$J$3,N9:GO9))</f>
        <v>1</v>
      </c>
      <c r="K9" s="29">
        <f t="array" ref="K9">MAX(IF($N$3:$GO$3=$J$3,N9:GO9))</f>
        <v>1</v>
      </c>
      <c r="L9" s="26"/>
      <c r="P9" s="27"/>
      <c r="Q9" s="27"/>
      <c r="R9" s="27"/>
      <c r="S9" s="30">
        <v>0.0</v>
      </c>
      <c r="W9" s="27"/>
      <c r="X9" s="30">
        <v>0.0</v>
      </c>
      <c r="Y9" s="27"/>
      <c r="Z9" s="30">
        <v>0.0</v>
      </c>
      <c r="AC9" s="5">
        <v>1.5</v>
      </c>
      <c r="AD9" s="27"/>
      <c r="AE9" s="30">
        <v>0.0</v>
      </c>
      <c r="AF9" s="27"/>
      <c r="AG9" s="30">
        <v>0.0</v>
      </c>
      <c r="AJ9" s="5">
        <v>1.5</v>
      </c>
      <c r="AK9" s="27"/>
      <c r="AL9" s="30">
        <v>0.5</v>
      </c>
      <c r="AM9" s="27"/>
      <c r="AN9" s="30">
        <v>0.5</v>
      </c>
      <c r="AR9" s="30">
        <v>0.1</v>
      </c>
      <c r="AS9" s="30">
        <v>0.5</v>
      </c>
      <c r="AT9" s="27"/>
      <c r="AU9" s="30">
        <v>0.5</v>
      </c>
      <c r="AY9" s="30">
        <v>0.1</v>
      </c>
      <c r="AZ9" s="30">
        <v>0.8</v>
      </c>
      <c r="BA9" s="27"/>
      <c r="BB9" s="30">
        <v>0.8</v>
      </c>
      <c r="BD9" s="11"/>
      <c r="BF9" s="30">
        <v>0.1</v>
      </c>
      <c r="BG9" s="30">
        <v>0.8</v>
      </c>
      <c r="BH9" s="27"/>
      <c r="BI9" s="30">
        <v>0.8</v>
      </c>
      <c r="BM9" s="27"/>
      <c r="BN9" s="30">
        <v>0.8</v>
      </c>
      <c r="BO9" s="27"/>
      <c r="BP9" s="30">
        <v>0.8</v>
      </c>
      <c r="BR9" s="11"/>
      <c r="BT9" s="30">
        <v>0.3</v>
      </c>
      <c r="BU9" s="30">
        <v>0.8</v>
      </c>
      <c r="BV9" s="30">
        <v>0.3</v>
      </c>
      <c r="BW9" s="30">
        <v>0.8</v>
      </c>
      <c r="BY9" s="11"/>
      <c r="CA9" s="27"/>
      <c r="CB9" s="30">
        <v>0.8</v>
      </c>
      <c r="CC9" s="27"/>
      <c r="CD9" s="30">
        <v>0.8</v>
      </c>
      <c r="CF9" s="11"/>
      <c r="CH9" s="30">
        <v>0.3</v>
      </c>
      <c r="CI9" s="30">
        <v>0.8</v>
      </c>
      <c r="CJ9" s="27"/>
      <c r="CK9" s="30"/>
      <c r="CM9" s="11"/>
      <c r="CO9" s="30"/>
      <c r="CP9" s="30"/>
      <c r="CQ9" s="30">
        <v>0.3</v>
      </c>
      <c r="CR9" s="30">
        <v>1.0</v>
      </c>
      <c r="CT9" s="11"/>
      <c r="CV9" s="27"/>
      <c r="CW9" s="30"/>
      <c r="CX9" s="30">
        <v>0.3</v>
      </c>
      <c r="CY9" s="30">
        <v>1.0</v>
      </c>
      <c r="DA9" s="11"/>
      <c r="DB9" s="5">
        <v>1.0</v>
      </c>
      <c r="DC9" s="30">
        <v>1.0</v>
      </c>
      <c r="DD9" s="30">
        <v>1.0</v>
      </c>
      <c r="DE9" s="30">
        <v>1.0</v>
      </c>
      <c r="DF9" s="30">
        <v>1.0</v>
      </c>
      <c r="DH9" s="11"/>
      <c r="DI9" s="11"/>
      <c r="DK9" s="27"/>
      <c r="DL9" s="27"/>
      <c r="DM9" s="27"/>
      <c r="DN9" s="27"/>
    </row>
    <row r="10" ht="15.75" customHeight="1" outlineLevel="1">
      <c r="B10" s="6" t="s">
        <v>56</v>
      </c>
      <c r="C10" s="24" t="s">
        <v>55</v>
      </c>
      <c r="E10" s="26"/>
      <c r="F10" s="5" t="s">
        <v>62</v>
      </c>
      <c r="G10" s="40">
        <v>0.0625</v>
      </c>
      <c r="I10" s="26">
        <f t="shared" si="1"/>
        <v>4</v>
      </c>
      <c r="J10" s="29">
        <f t="array" ref="J10">MAX(IF($N$3:$GO$3=$J$3,N10:GO10))</f>
        <v>1</v>
      </c>
      <c r="K10" s="29">
        <f t="array" ref="K10">MAX(IF($N$3:$GO$3=$J$3,N10:GO10))</f>
        <v>1</v>
      </c>
      <c r="L10" s="26"/>
      <c r="P10" s="27"/>
      <c r="Q10" s="27"/>
      <c r="R10" s="27"/>
      <c r="S10" s="30">
        <v>0.0</v>
      </c>
      <c r="W10" s="27"/>
      <c r="X10" s="30">
        <v>0.0</v>
      </c>
      <c r="Y10" s="27"/>
      <c r="Z10" s="30">
        <v>0.0</v>
      </c>
      <c r="AD10" s="27"/>
      <c r="AE10" s="30">
        <v>0.0</v>
      </c>
      <c r="AF10" s="27"/>
      <c r="AG10" s="30">
        <v>0.0</v>
      </c>
      <c r="AJ10" s="5">
        <v>1.5</v>
      </c>
      <c r="AK10" s="27"/>
      <c r="AL10" s="30">
        <v>0.0</v>
      </c>
      <c r="AM10" s="27"/>
      <c r="AN10" s="30">
        <v>0.0</v>
      </c>
      <c r="AQ10" s="5">
        <v>1.5</v>
      </c>
      <c r="AR10" s="30">
        <v>0.1</v>
      </c>
      <c r="AS10" s="30">
        <v>0.5</v>
      </c>
      <c r="AT10" s="27"/>
      <c r="AU10" s="30">
        <v>0.5</v>
      </c>
      <c r="AY10" s="30">
        <v>0.1</v>
      </c>
      <c r="AZ10" s="30">
        <v>0.5</v>
      </c>
      <c r="BA10" s="27"/>
      <c r="BB10" s="30">
        <v>0.5</v>
      </c>
      <c r="BD10" s="11"/>
      <c r="BF10" s="30">
        <v>0.1</v>
      </c>
      <c r="BG10" s="30">
        <v>0.5</v>
      </c>
      <c r="BH10" s="27"/>
      <c r="BI10" s="30">
        <v>0.5</v>
      </c>
      <c r="BM10" s="27"/>
      <c r="BN10" s="30">
        <v>0.5</v>
      </c>
      <c r="BO10" s="27"/>
      <c r="BP10" s="30">
        <v>0.5</v>
      </c>
      <c r="BR10" s="11"/>
      <c r="BT10" s="27"/>
      <c r="BU10" s="30">
        <v>0.8</v>
      </c>
      <c r="BV10" s="27"/>
      <c r="BW10" s="30">
        <v>0.8</v>
      </c>
      <c r="BY10" s="11"/>
      <c r="CA10" s="27"/>
      <c r="CB10" s="30">
        <v>0.8</v>
      </c>
      <c r="CC10" s="27"/>
      <c r="CD10" s="30">
        <v>0.8</v>
      </c>
      <c r="CF10" s="11"/>
      <c r="CH10" s="30">
        <v>0.1</v>
      </c>
      <c r="CI10" s="30">
        <v>0.8</v>
      </c>
      <c r="CJ10" s="27"/>
      <c r="CK10" s="30"/>
      <c r="CM10" s="11"/>
      <c r="CO10" s="30"/>
      <c r="CP10" s="30"/>
      <c r="CQ10" s="30">
        <v>0.1</v>
      </c>
      <c r="CR10" s="30">
        <v>1.0</v>
      </c>
      <c r="CT10" s="11"/>
      <c r="CV10" s="27"/>
      <c r="CW10" s="30"/>
      <c r="CX10" s="30">
        <v>0.1</v>
      </c>
      <c r="CY10" s="30">
        <v>1.0</v>
      </c>
      <c r="DA10" s="11"/>
      <c r="DB10" s="5">
        <v>1.0</v>
      </c>
      <c r="DC10" s="30">
        <v>1.0</v>
      </c>
      <c r="DD10" s="30">
        <v>1.0</v>
      </c>
      <c r="DE10" s="30">
        <v>1.0</v>
      </c>
      <c r="DF10" s="30">
        <v>1.0</v>
      </c>
      <c r="DH10" s="11"/>
      <c r="DI10" s="11"/>
      <c r="DK10" s="27"/>
      <c r="DL10" s="27"/>
      <c r="DM10" s="27"/>
      <c r="DN10" s="27"/>
    </row>
    <row r="11" ht="15.75" customHeight="1" outlineLevel="1">
      <c r="B11" s="6" t="s">
        <v>56</v>
      </c>
      <c r="C11" s="24" t="s">
        <v>55</v>
      </c>
      <c r="E11" s="26"/>
      <c r="F11" s="5" t="s">
        <v>63</v>
      </c>
      <c r="G11" s="40">
        <v>0.0625</v>
      </c>
      <c r="I11" s="26">
        <f t="shared" si="1"/>
        <v>3</v>
      </c>
      <c r="J11" s="29">
        <f t="array" ref="J11">MAX(IF($N$3:$GO$3=$J$3,N11:GO11))</f>
        <v>1</v>
      </c>
      <c r="K11" s="29">
        <f t="array" ref="K11">MAX(IF($N$3:$GO$3=$J$3,N11:GO11))</f>
        <v>1</v>
      </c>
      <c r="L11" s="26"/>
      <c r="P11" s="27"/>
      <c r="Q11" s="27"/>
      <c r="R11" s="27"/>
      <c r="S11" s="30">
        <v>0.0</v>
      </c>
      <c r="W11" s="27"/>
      <c r="X11" s="30">
        <v>0.0</v>
      </c>
      <c r="Y11" s="27"/>
      <c r="Z11" s="30">
        <v>0.0</v>
      </c>
      <c r="AD11" s="27"/>
      <c r="AE11" s="30">
        <v>0.0</v>
      </c>
      <c r="AF11" s="27"/>
      <c r="AG11" s="30">
        <v>0.0</v>
      </c>
      <c r="AJ11" s="5">
        <v>2.0</v>
      </c>
      <c r="AK11" s="27"/>
      <c r="AL11" s="30">
        <v>0.0</v>
      </c>
      <c r="AM11" s="27"/>
      <c r="AN11" s="30">
        <v>0.0</v>
      </c>
      <c r="AR11" s="27"/>
      <c r="AS11" s="30">
        <v>0.0</v>
      </c>
      <c r="AT11" s="27"/>
      <c r="AU11" s="30">
        <v>0.0</v>
      </c>
      <c r="AY11" s="27"/>
      <c r="AZ11" s="30">
        <v>0.0</v>
      </c>
      <c r="BA11" s="27"/>
      <c r="BB11" s="30">
        <v>0.0</v>
      </c>
      <c r="BD11" s="11"/>
      <c r="BF11" s="27"/>
      <c r="BG11" s="30">
        <v>0.0</v>
      </c>
      <c r="BH11" s="27"/>
      <c r="BI11" s="30">
        <v>0.0</v>
      </c>
      <c r="BM11" s="27"/>
      <c r="BN11" s="30">
        <v>0.5</v>
      </c>
      <c r="BO11" s="27"/>
      <c r="BP11" s="30">
        <v>0.5</v>
      </c>
      <c r="BR11" s="11"/>
      <c r="BT11" s="27"/>
      <c r="BU11" s="30">
        <v>0.5</v>
      </c>
      <c r="BV11" s="27"/>
      <c r="BW11" s="30">
        <v>0.5</v>
      </c>
      <c r="BY11" s="11"/>
      <c r="CA11" s="27"/>
      <c r="CB11" s="30">
        <v>0.8</v>
      </c>
      <c r="CC11" s="27"/>
      <c r="CD11" s="30">
        <v>0.8</v>
      </c>
      <c r="CF11" s="11"/>
      <c r="CH11" s="30">
        <v>0.5</v>
      </c>
      <c r="CI11" s="30">
        <v>0.8</v>
      </c>
      <c r="CJ11" s="27"/>
      <c r="CK11" s="30"/>
      <c r="CM11" s="11"/>
      <c r="CO11" s="30"/>
      <c r="CP11" s="30"/>
      <c r="CQ11" s="30">
        <v>0.5</v>
      </c>
      <c r="CR11" s="30">
        <v>0.8</v>
      </c>
      <c r="CT11" s="11"/>
      <c r="CV11" s="27"/>
      <c r="CW11" s="30"/>
      <c r="CX11" s="30">
        <v>0.5</v>
      </c>
      <c r="CY11" s="30">
        <v>1.0</v>
      </c>
      <c r="DA11" s="11"/>
      <c r="DB11" s="5">
        <v>1.0</v>
      </c>
      <c r="DC11" s="30">
        <v>1.0</v>
      </c>
      <c r="DD11" s="30">
        <v>1.0</v>
      </c>
      <c r="DE11" s="30">
        <v>1.0</v>
      </c>
      <c r="DF11" s="30">
        <v>1.0</v>
      </c>
      <c r="DH11" s="11"/>
      <c r="DI11" s="11"/>
      <c r="DK11" s="27"/>
      <c r="DL11" s="27"/>
      <c r="DM11" s="27"/>
      <c r="DN11" s="27"/>
    </row>
    <row r="12" ht="15.75" customHeight="1" outlineLevel="1">
      <c r="B12" s="6" t="s">
        <v>56</v>
      </c>
      <c r="C12" s="24" t="s">
        <v>55</v>
      </c>
      <c r="E12" s="26"/>
      <c r="F12" s="5" t="s">
        <v>64</v>
      </c>
      <c r="G12" s="40">
        <v>0.0625</v>
      </c>
      <c r="I12" s="26">
        <f t="shared" si="1"/>
        <v>6</v>
      </c>
      <c r="J12" s="29">
        <f t="array" ref="J12">MAX(IF($N$3:$GO$3=$J$3,N12:GO12))</f>
        <v>1</v>
      </c>
      <c r="K12" s="29">
        <f t="array" ref="K12">MAX(IF($N$3:$GO$3=$J$3,N12:GO12))</f>
        <v>1</v>
      </c>
      <c r="L12" s="26"/>
      <c r="P12" s="27"/>
      <c r="Q12" s="27"/>
      <c r="R12" s="27"/>
      <c r="S12" s="30">
        <v>0.0</v>
      </c>
      <c r="W12" s="27"/>
      <c r="X12" s="30">
        <v>0.0</v>
      </c>
      <c r="Y12" s="27"/>
      <c r="Z12" s="30">
        <v>0.0</v>
      </c>
      <c r="AD12" s="27"/>
      <c r="AE12" s="30">
        <v>0.0</v>
      </c>
      <c r="AF12" s="27"/>
      <c r="AG12" s="30">
        <v>0.0</v>
      </c>
      <c r="AJ12" s="5">
        <v>2.0</v>
      </c>
      <c r="AK12" s="27"/>
      <c r="AL12" s="30">
        <v>0.0</v>
      </c>
      <c r="AM12" s="27"/>
      <c r="AN12" s="30">
        <v>0.0</v>
      </c>
      <c r="AR12" s="27"/>
      <c r="AS12" s="30">
        <v>0.0</v>
      </c>
      <c r="AT12" s="27"/>
      <c r="AU12" s="30">
        <v>0.0</v>
      </c>
      <c r="AX12" s="5">
        <v>1.5</v>
      </c>
      <c r="AY12" s="27"/>
      <c r="AZ12" s="30">
        <v>0.0</v>
      </c>
      <c r="BA12" s="27"/>
      <c r="BB12" s="30">
        <v>0.0</v>
      </c>
      <c r="BD12" s="11"/>
      <c r="BE12" s="5">
        <v>1.5</v>
      </c>
      <c r="BF12" s="27"/>
      <c r="BG12" s="30">
        <v>0.0</v>
      </c>
      <c r="BH12" s="27"/>
      <c r="BI12" s="30">
        <v>0.0</v>
      </c>
      <c r="BM12" s="27"/>
      <c r="BN12" s="30">
        <v>0.0</v>
      </c>
      <c r="BO12" s="27"/>
      <c r="BP12" s="30">
        <v>0.0</v>
      </c>
      <c r="BR12" s="11"/>
      <c r="BT12" s="30">
        <v>0.5</v>
      </c>
      <c r="BU12" s="30">
        <v>0.5</v>
      </c>
      <c r="BV12" s="30">
        <v>0.5</v>
      </c>
      <c r="BW12" s="30">
        <v>0.5</v>
      </c>
      <c r="BY12" s="11"/>
      <c r="CA12" s="27"/>
      <c r="CB12" s="30">
        <v>0.5</v>
      </c>
      <c r="CC12" s="27"/>
      <c r="CD12" s="30">
        <v>0.5</v>
      </c>
      <c r="CF12" s="11"/>
      <c r="CH12" s="30">
        <v>0.1</v>
      </c>
      <c r="CI12" s="30">
        <v>0.8</v>
      </c>
      <c r="CJ12" s="27"/>
      <c r="CK12" s="30"/>
      <c r="CM12" s="11"/>
      <c r="CO12" s="30"/>
      <c r="CP12" s="30"/>
      <c r="CQ12" s="30">
        <v>0.1</v>
      </c>
      <c r="CR12" s="30">
        <v>0.8</v>
      </c>
      <c r="CT12" s="11"/>
      <c r="CV12" s="27"/>
      <c r="CW12" s="30"/>
      <c r="CX12" s="30">
        <v>0.1</v>
      </c>
      <c r="CY12" s="30">
        <v>1.0</v>
      </c>
      <c r="DA12" s="11"/>
      <c r="DB12" s="5">
        <v>1.0</v>
      </c>
      <c r="DC12" s="30">
        <v>1.0</v>
      </c>
      <c r="DD12" s="30">
        <v>1.0</v>
      </c>
      <c r="DE12" s="30">
        <v>1.0</v>
      </c>
      <c r="DF12" s="30">
        <v>1.0</v>
      </c>
      <c r="DH12" s="11"/>
      <c r="DI12" s="11"/>
      <c r="DK12" s="27"/>
      <c r="DL12" s="27"/>
      <c r="DM12" s="27"/>
      <c r="DN12" s="27"/>
    </row>
    <row r="13" ht="15.75" customHeight="1" outlineLevel="1">
      <c r="B13" s="6" t="s">
        <v>56</v>
      </c>
      <c r="C13" s="24" t="s">
        <v>55</v>
      </c>
      <c r="E13" s="26"/>
      <c r="F13" s="5" t="s">
        <v>121</v>
      </c>
      <c r="G13" s="40">
        <v>0.05</v>
      </c>
      <c r="I13" s="26">
        <f t="shared" si="1"/>
        <v>6.5</v>
      </c>
      <c r="J13" s="29">
        <f t="array" ref="J13">MAX(IF($N$3:$GO$3=$J$3,N13:GO13))</f>
        <v>1</v>
      </c>
      <c r="K13" s="29">
        <f t="array" ref="K13">MAX(IF($N$3:$GO$3=$J$3,N13:GO13))</f>
        <v>1</v>
      </c>
      <c r="L13" s="26"/>
      <c r="P13" s="27"/>
      <c r="Q13" s="27"/>
      <c r="R13" s="27"/>
      <c r="S13" s="30"/>
      <c r="W13" s="27"/>
      <c r="X13" s="30"/>
      <c r="Y13" s="27"/>
      <c r="Z13" s="30"/>
      <c r="AD13" s="27"/>
      <c r="AE13" s="30"/>
      <c r="AF13" s="27"/>
      <c r="AG13" s="30"/>
      <c r="AJ13" s="5"/>
      <c r="AK13" s="27"/>
      <c r="AL13" s="30"/>
      <c r="AM13" s="27"/>
      <c r="AN13" s="30"/>
      <c r="AR13" s="27"/>
      <c r="AS13" s="30"/>
      <c r="AT13" s="27"/>
      <c r="AU13" s="30"/>
      <c r="AX13" s="5"/>
      <c r="AY13" s="27"/>
      <c r="AZ13" s="30"/>
      <c r="BA13" s="27"/>
      <c r="BB13" s="30"/>
      <c r="BD13" s="11"/>
      <c r="BF13" s="27"/>
      <c r="BG13" s="30"/>
      <c r="BH13" s="27"/>
      <c r="BI13" s="30"/>
      <c r="BM13" s="27"/>
      <c r="BN13" s="30"/>
      <c r="BO13" s="27"/>
      <c r="BP13" s="30"/>
      <c r="BR13" s="11"/>
      <c r="BS13" s="5">
        <v>1.5</v>
      </c>
      <c r="BT13" s="30">
        <v>0.5</v>
      </c>
      <c r="BU13" s="30">
        <v>0.5</v>
      </c>
      <c r="BV13" s="30">
        <v>0.5</v>
      </c>
      <c r="BW13" s="30">
        <v>0.5</v>
      </c>
      <c r="BY13" s="11"/>
      <c r="CA13" s="27"/>
      <c r="CB13" s="30">
        <v>0.5</v>
      </c>
      <c r="CC13" s="27"/>
      <c r="CD13" s="30">
        <v>0.5</v>
      </c>
      <c r="CF13" s="11"/>
      <c r="CH13" s="30">
        <v>0.8</v>
      </c>
      <c r="CI13" s="30">
        <v>0.8</v>
      </c>
      <c r="CJ13" s="27"/>
      <c r="CK13" s="30"/>
      <c r="CM13" s="11"/>
      <c r="CN13" s="5">
        <v>1.0</v>
      </c>
      <c r="CO13" s="30"/>
      <c r="CP13" s="30"/>
      <c r="CQ13" s="30">
        <v>0.8</v>
      </c>
      <c r="CR13" s="30">
        <v>0.8</v>
      </c>
      <c r="CT13" s="11"/>
      <c r="CV13" s="27"/>
      <c r="CW13" s="30"/>
      <c r="CX13" s="30">
        <v>0.8</v>
      </c>
      <c r="CY13" s="30">
        <v>1.0</v>
      </c>
      <c r="DA13" s="11"/>
      <c r="DB13" s="5">
        <v>4.0</v>
      </c>
      <c r="DC13" s="30">
        <v>1.0</v>
      </c>
      <c r="DD13" s="30">
        <v>1.0</v>
      </c>
      <c r="DE13" s="30">
        <v>1.0</v>
      </c>
      <c r="DF13" s="30">
        <v>1.0</v>
      </c>
      <c r="DH13" s="11"/>
      <c r="DI13" s="11"/>
      <c r="DK13" s="27"/>
      <c r="DL13" s="27"/>
      <c r="DM13" s="27"/>
      <c r="DN13" s="27"/>
    </row>
    <row r="14" ht="15.75" customHeight="1" outlineLevel="1">
      <c r="B14" s="6" t="s">
        <v>56</v>
      </c>
      <c r="C14" s="24" t="s">
        <v>55</v>
      </c>
      <c r="E14" s="26"/>
      <c r="F14" s="5" t="s">
        <v>122</v>
      </c>
      <c r="G14" s="40">
        <v>0.05</v>
      </c>
      <c r="I14" s="26">
        <f t="shared" si="1"/>
        <v>8</v>
      </c>
      <c r="J14" s="29">
        <f t="array" ref="J14">MAX(IF($N$3:$GO$3=$J$3,N14:GO14))</f>
        <v>1</v>
      </c>
      <c r="K14" s="29">
        <f t="array" ref="K14">MAX(IF($N$3:$GO$3=$J$3,N14:GO14))</f>
        <v>1</v>
      </c>
      <c r="L14" s="26"/>
      <c r="P14" s="27"/>
      <c r="Q14" s="27"/>
      <c r="R14" s="27"/>
      <c r="S14" s="30"/>
      <c r="W14" s="27"/>
      <c r="X14" s="30"/>
      <c r="Y14" s="27"/>
      <c r="Z14" s="30"/>
      <c r="AD14" s="27"/>
      <c r="AE14" s="30"/>
      <c r="AF14" s="27"/>
      <c r="AG14" s="30"/>
      <c r="AJ14" s="5"/>
      <c r="AK14" s="27"/>
      <c r="AL14" s="30"/>
      <c r="AM14" s="27"/>
      <c r="AN14" s="30"/>
      <c r="AR14" s="27"/>
      <c r="AS14" s="30"/>
      <c r="AT14" s="27"/>
      <c r="AU14" s="30"/>
      <c r="AX14" s="5"/>
      <c r="AY14" s="27"/>
      <c r="AZ14" s="30"/>
      <c r="BA14" s="27"/>
      <c r="BB14" s="30"/>
      <c r="BD14" s="11"/>
      <c r="BF14" s="27"/>
      <c r="BG14" s="30"/>
      <c r="BH14" s="27"/>
      <c r="BI14" s="30"/>
      <c r="BM14" s="27"/>
      <c r="BN14" s="30"/>
      <c r="BO14" s="27"/>
      <c r="BP14" s="30"/>
      <c r="BR14" s="11"/>
      <c r="BS14" s="5">
        <v>1.5</v>
      </c>
      <c r="BT14" s="30">
        <v>0.3</v>
      </c>
      <c r="BU14" s="30"/>
      <c r="BV14" s="30">
        <v>0.3</v>
      </c>
      <c r="BW14" s="30"/>
      <c r="BY14" s="11"/>
      <c r="BZ14" s="5">
        <v>1.5</v>
      </c>
      <c r="CA14" s="27"/>
      <c r="CB14" s="30">
        <v>0.5</v>
      </c>
      <c r="CC14" s="27"/>
      <c r="CD14" s="30">
        <v>0.5</v>
      </c>
      <c r="CF14" s="11"/>
      <c r="CH14" s="30">
        <v>0.8</v>
      </c>
      <c r="CI14" s="30">
        <v>0.8</v>
      </c>
      <c r="CJ14" s="27"/>
      <c r="CK14" s="30"/>
      <c r="CM14" s="11"/>
      <c r="CN14" s="5">
        <v>1.0</v>
      </c>
      <c r="CO14" s="30"/>
      <c r="CP14" s="30"/>
      <c r="CQ14" s="30">
        <v>0.8</v>
      </c>
      <c r="CR14" s="30">
        <v>0.8</v>
      </c>
      <c r="CT14" s="11"/>
      <c r="CV14" s="27"/>
      <c r="CW14" s="30"/>
      <c r="CX14" s="30">
        <v>0.8</v>
      </c>
      <c r="CY14" s="30">
        <v>0.8</v>
      </c>
      <c r="DA14" s="11"/>
      <c r="DB14" s="5">
        <v>4.0</v>
      </c>
      <c r="DC14" s="30">
        <v>1.0</v>
      </c>
      <c r="DD14" s="30">
        <v>1.0</v>
      </c>
      <c r="DE14" s="30">
        <v>1.0</v>
      </c>
      <c r="DF14" s="30">
        <v>1.0</v>
      </c>
      <c r="DH14" s="11"/>
      <c r="DI14" s="11"/>
      <c r="DK14" s="27"/>
      <c r="DL14" s="27"/>
      <c r="DM14" s="27"/>
      <c r="DN14" s="27"/>
    </row>
    <row r="15" ht="15.75" customHeight="1" outlineLevel="1">
      <c r="B15" s="6" t="s">
        <v>56</v>
      </c>
      <c r="C15" s="24" t="s">
        <v>55</v>
      </c>
      <c r="E15" s="26"/>
      <c r="F15" s="5" t="s">
        <v>123</v>
      </c>
      <c r="G15" s="40">
        <v>0.075</v>
      </c>
      <c r="I15" s="26">
        <f t="shared" si="1"/>
        <v>8</v>
      </c>
      <c r="J15" s="29">
        <f t="array" ref="J15">MAX(IF($N$3:$GO$3=$J$3,N15:GO15))</f>
        <v>1</v>
      </c>
      <c r="K15" s="29">
        <f t="array" ref="K15">MAX(IF($N$3:$GO$3=$J$3,N15:GO15))</f>
        <v>1</v>
      </c>
      <c r="L15" s="26"/>
      <c r="P15" s="27"/>
      <c r="Q15" s="27"/>
      <c r="R15" s="27"/>
      <c r="S15" s="30"/>
      <c r="W15" s="27"/>
      <c r="X15" s="30"/>
      <c r="Y15" s="27"/>
      <c r="Z15" s="30"/>
      <c r="AD15" s="27"/>
      <c r="AE15" s="30"/>
      <c r="AF15" s="27"/>
      <c r="AG15" s="30"/>
      <c r="AJ15" s="5"/>
      <c r="AK15" s="27"/>
      <c r="AL15" s="30"/>
      <c r="AM15" s="27"/>
      <c r="AN15" s="30"/>
      <c r="AR15" s="27"/>
      <c r="AS15" s="30"/>
      <c r="AT15" s="27"/>
      <c r="AU15" s="30"/>
      <c r="AX15" s="5"/>
      <c r="AY15" s="27"/>
      <c r="AZ15" s="30"/>
      <c r="BA15" s="27"/>
      <c r="BB15" s="30"/>
      <c r="BD15" s="11"/>
      <c r="BF15" s="27"/>
      <c r="BG15" s="30"/>
      <c r="BH15" s="27"/>
      <c r="BI15" s="30"/>
      <c r="BM15" s="27"/>
      <c r="BN15" s="30"/>
      <c r="BO15" s="27"/>
      <c r="BP15" s="30"/>
      <c r="BR15" s="11"/>
      <c r="BT15" s="27"/>
      <c r="BU15" s="30"/>
      <c r="BV15" s="27"/>
      <c r="BW15" s="30"/>
      <c r="BY15" s="11"/>
      <c r="CA15" s="27"/>
      <c r="CB15" s="30">
        <v>0.5</v>
      </c>
      <c r="CC15" s="27"/>
      <c r="CD15" s="30">
        <v>0.5</v>
      </c>
      <c r="CF15" s="11"/>
      <c r="CG15" s="5">
        <v>1.5</v>
      </c>
      <c r="CH15" s="30">
        <v>0.5</v>
      </c>
      <c r="CI15" s="30">
        <v>0.5</v>
      </c>
      <c r="CJ15" s="27"/>
      <c r="CK15" s="30"/>
      <c r="CM15" s="11"/>
      <c r="CN15" s="5">
        <v>2.5</v>
      </c>
      <c r="CO15" s="30"/>
      <c r="CP15" s="30"/>
      <c r="CQ15" s="30">
        <v>0.5</v>
      </c>
      <c r="CR15" s="30">
        <v>0.8</v>
      </c>
      <c r="CT15" s="11"/>
      <c r="CV15" s="27"/>
      <c r="CW15" s="30"/>
      <c r="CX15" s="30">
        <v>0.8</v>
      </c>
      <c r="CY15" s="30">
        <v>0.8</v>
      </c>
      <c r="DA15" s="11"/>
      <c r="DB15" s="5">
        <v>4.0</v>
      </c>
      <c r="DC15" s="30">
        <v>1.0</v>
      </c>
      <c r="DD15" s="30">
        <v>1.0</v>
      </c>
      <c r="DE15" s="30">
        <v>1.0</v>
      </c>
      <c r="DF15" s="30">
        <v>1.0</v>
      </c>
      <c r="DH15" s="11"/>
      <c r="DI15" s="11"/>
      <c r="DK15" s="27"/>
      <c r="DL15" s="27"/>
      <c r="DM15" s="27"/>
      <c r="DN15" s="27"/>
    </row>
    <row r="16" ht="15.75" customHeight="1" outlineLevel="1">
      <c r="B16" s="6" t="s">
        <v>56</v>
      </c>
      <c r="C16" s="24" t="s">
        <v>55</v>
      </c>
      <c r="E16" s="26"/>
      <c r="F16" s="5" t="s">
        <v>124</v>
      </c>
      <c r="G16" s="40">
        <v>0.125</v>
      </c>
      <c r="I16" s="26">
        <f t="shared" si="1"/>
        <v>11.5</v>
      </c>
      <c r="J16" s="29">
        <f t="array" ref="J16">MAX(IF($N$3:$GO$3=$J$3,N16:GO16))</f>
        <v>1</v>
      </c>
      <c r="K16" s="29">
        <f t="array" ref="K16">MAX(IF($N$3:$GO$3=$J$3,N16:GO16))</f>
        <v>1</v>
      </c>
      <c r="L16" s="26"/>
      <c r="P16" s="27"/>
      <c r="Q16" s="27"/>
      <c r="R16" s="27"/>
      <c r="S16" s="30"/>
      <c r="W16" s="27"/>
      <c r="X16" s="30"/>
      <c r="Y16" s="27"/>
      <c r="Z16" s="30"/>
      <c r="AD16" s="27"/>
      <c r="AE16" s="30"/>
      <c r="AF16" s="27"/>
      <c r="AG16" s="30"/>
      <c r="AJ16" s="5"/>
      <c r="AK16" s="27"/>
      <c r="AL16" s="30"/>
      <c r="AM16" s="27"/>
      <c r="AN16" s="30"/>
      <c r="AR16" s="27"/>
      <c r="AS16" s="30"/>
      <c r="AT16" s="27"/>
      <c r="AU16" s="30"/>
      <c r="AX16" s="5"/>
      <c r="AY16" s="27"/>
      <c r="AZ16" s="30"/>
      <c r="BA16" s="27"/>
      <c r="BB16" s="30"/>
      <c r="BD16" s="11"/>
      <c r="BF16" s="27"/>
      <c r="BG16" s="30"/>
      <c r="BH16" s="27"/>
      <c r="BI16" s="30"/>
      <c r="BM16" s="27"/>
      <c r="BN16" s="30"/>
      <c r="BO16" s="27"/>
      <c r="BP16" s="30"/>
      <c r="BR16" s="11"/>
      <c r="BT16" s="27"/>
      <c r="BU16" s="30"/>
      <c r="BV16" s="27"/>
      <c r="BW16" s="30"/>
      <c r="BY16" s="11"/>
      <c r="CA16" s="27"/>
      <c r="CB16" s="30"/>
      <c r="CC16" s="27"/>
      <c r="CD16" s="30"/>
      <c r="CF16" s="11"/>
      <c r="CH16" s="27"/>
      <c r="CI16" s="30"/>
      <c r="CJ16" s="27"/>
      <c r="CK16" s="30"/>
      <c r="CM16" s="11"/>
      <c r="CN16" s="5">
        <v>5.0</v>
      </c>
      <c r="CO16" s="27"/>
      <c r="CP16" s="30"/>
      <c r="CQ16" s="30">
        <v>0.5</v>
      </c>
      <c r="CR16" s="30">
        <v>0.5</v>
      </c>
      <c r="CT16" s="11"/>
      <c r="CV16" s="27"/>
      <c r="CW16" s="30"/>
      <c r="CX16" s="30">
        <v>0.5</v>
      </c>
      <c r="CY16" s="30">
        <v>0.8</v>
      </c>
      <c r="DA16" s="11"/>
      <c r="DB16" s="5">
        <v>6.5</v>
      </c>
      <c r="DC16" s="30">
        <v>1.0</v>
      </c>
      <c r="DD16" s="30">
        <v>1.0</v>
      </c>
      <c r="DE16" s="30">
        <v>1.0</v>
      </c>
      <c r="DF16" s="30">
        <v>1.0</v>
      </c>
      <c r="DH16" s="11"/>
      <c r="DI16" s="11"/>
      <c r="DK16" s="27"/>
      <c r="DL16" s="27"/>
      <c r="DM16" s="27"/>
      <c r="DN16" s="27"/>
    </row>
    <row r="17" ht="15.75" customHeight="1" outlineLevel="1">
      <c r="B17" s="6" t="s">
        <v>56</v>
      </c>
      <c r="C17" s="24" t="s">
        <v>55</v>
      </c>
      <c r="E17" s="26"/>
      <c r="F17" s="5" t="s">
        <v>125</v>
      </c>
      <c r="G17" s="40">
        <v>0.1</v>
      </c>
      <c r="I17" s="26">
        <f t="shared" si="1"/>
        <v>4</v>
      </c>
      <c r="J17" s="29">
        <f t="array" ref="J17">MAX(IF($N$3:$GO$3=$J$3,N17:GO17))</f>
        <v>1</v>
      </c>
      <c r="K17" s="29">
        <f t="array" ref="K17">MAX(IF($N$3:$GO$3=$J$3,N17:GO17))</f>
        <v>1</v>
      </c>
      <c r="L17" s="26"/>
      <c r="P17" s="27"/>
      <c r="Q17" s="27"/>
      <c r="R17" s="27"/>
      <c r="S17" s="30"/>
      <c r="W17" s="27"/>
      <c r="X17" s="30"/>
      <c r="Y17" s="27"/>
      <c r="Z17" s="30"/>
      <c r="AD17" s="27"/>
      <c r="AE17" s="30"/>
      <c r="AF17" s="27"/>
      <c r="AG17" s="30"/>
      <c r="AJ17" s="5"/>
      <c r="AK17" s="27"/>
      <c r="AL17" s="30"/>
      <c r="AM17" s="27"/>
      <c r="AN17" s="30"/>
      <c r="AR17" s="27"/>
      <c r="AS17" s="30"/>
      <c r="AT17" s="27"/>
      <c r="AU17" s="30"/>
      <c r="AX17" s="5"/>
      <c r="AY17" s="27"/>
      <c r="AZ17" s="30"/>
      <c r="BA17" s="27"/>
      <c r="BB17" s="30"/>
      <c r="BD17" s="11"/>
      <c r="BF17" s="27"/>
      <c r="BG17" s="30"/>
      <c r="BH17" s="27"/>
      <c r="BI17" s="30"/>
      <c r="BM17" s="27"/>
      <c r="BN17" s="30"/>
      <c r="BO17" s="27"/>
      <c r="BP17" s="30"/>
      <c r="BR17" s="11"/>
      <c r="BT17" s="27"/>
      <c r="BU17" s="30"/>
      <c r="BV17" s="27"/>
      <c r="BW17" s="30"/>
      <c r="BY17" s="11"/>
      <c r="CA17" s="27"/>
      <c r="CB17" s="30"/>
      <c r="CC17" s="27"/>
      <c r="CD17" s="30"/>
      <c r="CF17" s="11"/>
      <c r="CH17" s="27"/>
      <c r="CI17" s="30"/>
      <c r="CJ17" s="27"/>
      <c r="CK17" s="30"/>
      <c r="CM17" s="11"/>
      <c r="CN17" s="5">
        <v>2.0</v>
      </c>
      <c r="CO17" s="27"/>
      <c r="CP17" s="30"/>
      <c r="CQ17" s="30">
        <v>0.3</v>
      </c>
      <c r="CR17" s="30">
        <v>0.5</v>
      </c>
      <c r="CT17" s="11"/>
      <c r="CV17" s="27"/>
      <c r="CW17" s="30"/>
      <c r="CX17" s="30">
        <v>0.5</v>
      </c>
      <c r="CY17" s="30">
        <v>0.8</v>
      </c>
      <c r="DA17" s="11"/>
      <c r="DB17" s="5">
        <v>2.0</v>
      </c>
      <c r="DC17" s="30">
        <v>1.0</v>
      </c>
      <c r="DD17" s="30">
        <v>1.0</v>
      </c>
      <c r="DE17" s="30">
        <v>1.0</v>
      </c>
      <c r="DF17" s="30">
        <v>1.0</v>
      </c>
      <c r="DH17" s="11"/>
      <c r="DI17" s="11"/>
      <c r="DK17" s="27"/>
      <c r="DL17" s="27"/>
      <c r="DM17" s="27"/>
      <c r="DN17" s="27"/>
    </row>
    <row r="18" ht="15.75" customHeight="1" outlineLevel="1">
      <c r="B18" s="6" t="s">
        <v>56</v>
      </c>
      <c r="C18" s="24" t="s">
        <v>55</v>
      </c>
      <c r="E18" s="26"/>
      <c r="F18" s="5" t="s">
        <v>126</v>
      </c>
      <c r="G18" s="40">
        <v>0.1</v>
      </c>
      <c r="I18" s="26">
        <f t="shared" si="1"/>
        <v>5</v>
      </c>
      <c r="J18" s="29">
        <f t="array" ref="J18">MAX(IF($N$3:$GO$3=$J$3,N18:GO18))</f>
        <v>1</v>
      </c>
      <c r="K18" s="29">
        <f t="array" ref="K18">MAX(IF($N$3:$GO$3=$J$3,N18:GO18))</f>
        <v>1</v>
      </c>
      <c r="L18" s="26"/>
      <c r="P18" s="27"/>
      <c r="Q18" s="27"/>
      <c r="R18" s="27"/>
      <c r="S18" s="30"/>
      <c r="W18" s="27"/>
      <c r="X18" s="30"/>
      <c r="Y18" s="27"/>
      <c r="Z18" s="30"/>
      <c r="AD18" s="27"/>
      <c r="AE18" s="30"/>
      <c r="AF18" s="27"/>
      <c r="AG18" s="30"/>
      <c r="AJ18" s="5"/>
      <c r="AK18" s="27"/>
      <c r="AL18" s="30"/>
      <c r="AM18" s="27"/>
      <c r="AN18" s="30"/>
      <c r="AR18" s="27"/>
      <c r="AS18" s="30"/>
      <c r="AT18" s="27"/>
      <c r="AU18" s="30"/>
      <c r="AX18" s="5"/>
      <c r="AY18" s="27"/>
      <c r="AZ18" s="30"/>
      <c r="BA18" s="27"/>
      <c r="BB18" s="30"/>
      <c r="BD18" s="11"/>
      <c r="BF18" s="27"/>
      <c r="BG18" s="30"/>
      <c r="BH18" s="27"/>
      <c r="BI18" s="30"/>
      <c r="BM18" s="27"/>
      <c r="BN18" s="30"/>
      <c r="BO18" s="27"/>
      <c r="BP18" s="30"/>
      <c r="BR18" s="11"/>
      <c r="BT18" s="27"/>
      <c r="BU18" s="30"/>
      <c r="BV18" s="27"/>
      <c r="BW18" s="30"/>
      <c r="BY18" s="11"/>
      <c r="CA18" s="27"/>
      <c r="CB18" s="30"/>
      <c r="CC18" s="27"/>
      <c r="CD18" s="30"/>
      <c r="CF18" s="11"/>
      <c r="CH18" s="27"/>
      <c r="CI18" s="30"/>
      <c r="CJ18" s="27"/>
      <c r="CK18" s="30"/>
      <c r="CM18" s="11"/>
      <c r="CO18" s="27"/>
      <c r="CP18" s="30"/>
      <c r="CQ18" s="27"/>
      <c r="CR18" s="30"/>
      <c r="CT18" s="11"/>
      <c r="CU18" s="5">
        <v>1.5</v>
      </c>
      <c r="CV18" s="27"/>
      <c r="CW18" s="30"/>
      <c r="CX18" s="27"/>
      <c r="CY18" s="30">
        <v>0.5</v>
      </c>
      <c r="DA18" s="11"/>
      <c r="DB18" s="5">
        <v>3.5</v>
      </c>
      <c r="DC18" s="30">
        <v>1.0</v>
      </c>
      <c r="DD18" s="30">
        <v>1.0</v>
      </c>
      <c r="DE18" s="30">
        <v>1.0</v>
      </c>
      <c r="DF18" s="30">
        <v>1.0</v>
      </c>
      <c r="DH18" s="11"/>
      <c r="DI18" s="11"/>
      <c r="DK18" s="27"/>
      <c r="DL18" s="27"/>
      <c r="DM18" s="27"/>
      <c r="DN18" s="27"/>
    </row>
    <row r="19" ht="15.75" customHeight="1">
      <c r="C19" s="8"/>
      <c r="K19" s="29"/>
      <c r="P19" s="1"/>
      <c r="W19" s="1"/>
      <c r="AD19" s="1"/>
      <c r="AK19" s="1"/>
      <c r="AR19" s="1"/>
      <c r="AY19" s="1"/>
      <c r="BD19" s="11"/>
      <c r="BF19" s="1"/>
      <c r="BM19" s="1"/>
      <c r="BR19" s="11"/>
      <c r="BT19" s="1"/>
      <c r="BY19" s="11"/>
      <c r="CA19" s="1"/>
      <c r="CF19" s="11"/>
      <c r="CH19" s="1"/>
      <c r="CM19" s="11"/>
      <c r="CO19" s="1"/>
      <c r="CT19" s="11"/>
      <c r="CV19" s="1"/>
      <c r="DA19" s="11"/>
      <c r="DC19" s="1"/>
      <c r="DH19" s="11"/>
      <c r="DI19" s="11"/>
      <c r="DK19" s="1"/>
    </row>
    <row r="20" ht="15.75" customHeight="1">
      <c r="B20" s="6" t="s">
        <v>26</v>
      </c>
      <c r="C20" s="24" t="s">
        <v>65</v>
      </c>
      <c r="D20" s="25">
        <v>44858.0</v>
      </c>
      <c r="E20" s="32">
        <v>3.0</v>
      </c>
      <c r="G20" s="27">
        <f>+SUM(G21:G26)</f>
        <v>1</v>
      </c>
      <c r="I20" s="28">
        <f>+SUM(I21:I26)</f>
        <v>55.5</v>
      </c>
      <c r="J20" s="29">
        <f>+SUMPRODUCT(G21:G26,J21:J26)</f>
        <v>1</v>
      </c>
      <c r="K20" s="29">
        <f>+SUMPRODUCT(G21:G26,K21:K26)</f>
        <v>1</v>
      </c>
      <c r="L20" s="26"/>
      <c r="O20" s="41">
        <f>SUM(O21:O26)</f>
        <v>5.5</v>
      </c>
      <c r="V20" s="41">
        <f>SUM(V21:V26)</f>
        <v>3.75</v>
      </c>
      <c r="AC20" s="28">
        <f>SUM(AC21:AC26)</f>
        <v>3</v>
      </c>
      <c r="AJ20" s="28">
        <f>SUM(AJ21:AJ26)</f>
        <v>4</v>
      </c>
      <c r="AQ20" s="38">
        <f>SUM(AQ21:AQ26)</f>
        <v>6.5</v>
      </c>
      <c r="AX20" s="28">
        <f>SUM(AX21:AX26)</f>
        <v>10.75</v>
      </c>
      <c r="BD20" s="11"/>
      <c r="BE20" s="28">
        <f>SUM(BE21:BE26)</f>
        <v>21</v>
      </c>
      <c r="BL20" s="28"/>
      <c r="BR20" s="11"/>
      <c r="BS20" s="28"/>
      <c r="BY20" s="11"/>
      <c r="BZ20" s="28"/>
      <c r="CF20" s="11"/>
      <c r="CG20" s="28"/>
      <c r="CM20" s="11"/>
      <c r="CN20" s="28"/>
      <c r="CT20" s="11"/>
      <c r="CU20" s="28"/>
      <c r="DA20" s="11"/>
      <c r="DB20" s="28"/>
      <c r="DH20" s="11"/>
      <c r="DI20" s="11"/>
      <c r="DJ20" s="28"/>
    </row>
    <row r="21" ht="15.75" hidden="1" customHeight="1" outlineLevel="1">
      <c r="B21" s="6" t="s">
        <v>56</v>
      </c>
      <c r="C21" s="24" t="s">
        <v>66</v>
      </c>
      <c r="E21" s="26"/>
      <c r="F21" s="5" t="s">
        <v>67</v>
      </c>
      <c r="G21" s="30">
        <v>0.15</v>
      </c>
      <c r="I21" s="26">
        <f t="shared" ref="I21:I26" si="2">+SUMIF($N$3:$ACG$3,I$3,$N21:$ACG21)</f>
        <v>11.5</v>
      </c>
      <c r="J21" s="29">
        <f t="array" ref="J21">MAX(IF($N$3:$GO$3=$J$3,N21:GO21))</f>
        <v>1</v>
      </c>
      <c r="K21" s="29">
        <f t="array" ref="K21">MAX(IF($N$3:$GO$3=$J$3,N21:GO21))</f>
        <v>1</v>
      </c>
      <c r="L21" s="26"/>
      <c r="O21" s="5">
        <v>5.5</v>
      </c>
      <c r="P21" s="30">
        <v>0.7</v>
      </c>
      <c r="Q21" s="30">
        <v>0.8</v>
      </c>
      <c r="R21" s="30">
        <v>0.8</v>
      </c>
      <c r="S21" s="30">
        <v>0.8</v>
      </c>
      <c r="T21" s="5">
        <v>3.0</v>
      </c>
      <c r="V21" s="5">
        <v>1.0</v>
      </c>
      <c r="W21" s="30">
        <v>0.7</v>
      </c>
      <c r="X21" s="30">
        <v>0.8</v>
      </c>
      <c r="Y21" s="30">
        <v>0.8</v>
      </c>
      <c r="Z21" s="30">
        <v>0.8</v>
      </c>
      <c r="AA21" s="5">
        <v>3.0</v>
      </c>
      <c r="AD21" s="30">
        <v>0.7</v>
      </c>
      <c r="AE21" s="30">
        <v>0.8</v>
      </c>
      <c r="AF21" s="30">
        <v>0.8</v>
      </c>
      <c r="AG21" s="30">
        <v>0.8</v>
      </c>
      <c r="AJ21" s="5">
        <v>1.0</v>
      </c>
      <c r="AK21" s="30">
        <v>1.0</v>
      </c>
      <c r="AL21" s="30">
        <v>1.0</v>
      </c>
      <c r="AM21" s="30">
        <v>1.0</v>
      </c>
      <c r="AN21" s="30">
        <v>1.0</v>
      </c>
      <c r="AR21" s="30">
        <v>1.0</v>
      </c>
      <c r="AS21" s="30">
        <v>1.0</v>
      </c>
      <c r="AT21" s="30">
        <v>1.0</v>
      </c>
      <c r="AU21" s="30">
        <v>1.0</v>
      </c>
      <c r="AX21" s="5">
        <v>1.0</v>
      </c>
      <c r="AY21" s="30">
        <v>1.0</v>
      </c>
      <c r="AZ21" s="30">
        <v>1.0</v>
      </c>
      <c r="BA21" s="30">
        <v>1.0</v>
      </c>
      <c r="BB21" s="30">
        <v>1.0</v>
      </c>
      <c r="BD21" s="11"/>
      <c r="BE21" s="5">
        <v>2.0</v>
      </c>
      <c r="BF21" s="30">
        <v>1.0</v>
      </c>
      <c r="BG21" s="30">
        <v>1.0</v>
      </c>
      <c r="BH21" s="30">
        <v>1.0</v>
      </c>
      <c r="BI21" s="30">
        <v>1.0</v>
      </c>
      <c r="BM21" s="27"/>
      <c r="BN21" s="27"/>
      <c r="BO21" s="27"/>
      <c r="BP21" s="27"/>
      <c r="BR21" s="11"/>
      <c r="BT21" s="27"/>
      <c r="BU21" s="27"/>
      <c r="BV21" s="27"/>
      <c r="BW21" s="27"/>
      <c r="BY21" s="11"/>
      <c r="CA21" s="27"/>
      <c r="CB21" s="27"/>
      <c r="CC21" s="27"/>
      <c r="CD21" s="27"/>
      <c r="CF21" s="11"/>
      <c r="CH21" s="27"/>
      <c r="CI21" s="27"/>
      <c r="CJ21" s="27"/>
      <c r="CK21" s="27"/>
      <c r="CM21" s="11"/>
      <c r="CN21" s="5">
        <v>1.0</v>
      </c>
      <c r="CO21" s="27"/>
      <c r="CP21" s="27"/>
      <c r="CQ21" s="27"/>
      <c r="CR21" s="27"/>
      <c r="CT21" s="11"/>
      <c r="CV21" s="27"/>
      <c r="CW21" s="27"/>
      <c r="CX21" s="27"/>
      <c r="CY21" s="27"/>
      <c r="DA21" s="11"/>
      <c r="DC21" s="27"/>
      <c r="DD21" s="27"/>
      <c r="DE21" s="27"/>
      <c r="DF21" s="27"/>
      <c r="DH21" s="11"/>
      <c r="DI21" s="11"/>
      <c r="DK21" s="27"/>
      <c r="DL21" s="27"/>
      <c r="DM21" s="27"/>
      <c r="DN21" s="27"/>
    </row>
    <row r="22" ht="15.75" hidden="1" customHeight="1" outlineLevel="1">
      <c r="B22" s="6" t="s">
        <v>56</v>
      </c>
      <c r="C22" s="24" t="s">
        <v>66</v>
      </c>
      <c r="E22" s="26"/>
      <c r="F22" s="5" t="s">
        <v>68</v>
      </c>
      <c r="G22" s="30">
        <v>0.2</v>
      </c>
      <c r="I22" s="26">
        <f t="shared" si="2"/>
        <v>12.75</v>
      </c>
      <c r="J22" s="29">
        <f t="array" ref="J22">MAX(IF($N$3:$GO$3=$J$3,N22:GO22))</f>
        <v>1</v>
      </c>
      <c r="K22" s="29">
        <f t="array" ref="K22">MAX(IF($N$3:$GO$3=$J$3,N22:GO22))</f>
        <v>1</v>
      </c>
      <c r="L22" s="26"/>
      <c r="P22" s="27"/>
      <c r="Q22" s="30">
        <v>0.5</v>
      </c>
      <c r="R22" s="27"/>
      <c r="S22" s="30">
        <v>0.5</v>
      </c>
      <c r="T22" s="5" t="s">
        <v>127</v>
      </c>
      <c r="V22" s="5">
        <v>2.75</v>
      </c>
      <c r="W22" s="30">
        <v>0.3</v>
      </c>
      <c r="X22" s="30">
        <v>0.8</v>
      </c>
      <c r="Y22" s="30">
        <v>0.3</v>
      </c>
      <c r="Z22" s="30">
        <v>0.8</v>
      </c>
      <c r="AD22" s="30">
        <v>0.3</v>
      </c>
      <c r="AE22" s="30">
        <v>0.8</v>
      </c>
      <c r="AF22" s="30">
        <v>0.3</v>
      </c>
      <c r="AG22" s="30">
        <v>0.8</v>
      </c>
      <c r="AK22" s="30">
        <v>0.3</v>
      </c>
      <c r="AL22" s="30">
        <v>0.8</v>
      </c>
      <c r="AM22" s="30">
        <v>0.3</v>
      </c>
      <c r="AN22" s="30">
        <v>0.8</v>
      </c>
      <c r="AQ22" s="5">
        <v>2.0</v>
      </c>
      <c r="AR22" s="30">
        <v>0.3</v>
      </c>
      <c r="AS22" s="30">
        <v>1.0</v>
      </c>
      <c r="AT22" s="30">
        <v>0.3</v>
      </c>
      <c r="AU22" s="30">
        <v>1.0</v>
      </c>
      <c r="AX22" s="5">
        <v>4.0</v>
      </c>
      <c r="AY22" s="30">
        <v>0.7</v>
      </c>
      <c r="AZ22" s="30">
        <v>1.0</v>
      </c>
      <c r="BA22" s="30">
        <v>0.7</v>
      </c>
      <c r="BB22" s="30">
        <v>1.0</v>
      </c>
      <c r="BD22" s="11"/>
      <c r="BE22" s="5">
        <v>4.0</v>
      </c>
      <c r="BF22" s="30">
        <v>1.0</v>
      </c>
      <c r="BG22" s="30">
        <v>1.0</v>
      </c>
      <c r="BH22" s="30">
        <v>1.0</v>
      </c>
      <c r="BI22" s="30">
        <v>1.0</v>
      </c>
      <c r="BM22" s="27"/>
      <c r="BN22" s="27"/>
      <c r="BO22" s="27"/>
      <c r="BP22" s="30"/>
      <c r="BR22" s="11"/>
      <c r="BT22" s="27"/>
      <c r="BU22" s="27"/>
      <c r="BV22" s="27"/>
      <c r="BW22" s="30"/>
      <c r="BY22" s="11"/>
      <c r="CA22" s="27"/>
      <c r="CB22" s="27"/>
      <c r="CC22" s="27"/>
      <c r="CD22" s="30"/>
      <c r="CF22" s="11"/>
      <c r="CH22" s="27"/>
      <c r="CI22" s="27"/>
      <c r="CJ22" s="27"/>
      <c r="CK22" s="30"/>
      <c r="CM22" s="11"/>
      <c r="CO22" s="27"/>
      <c r="CP22" s="27"/>
      <c r="CQ22" s="27"/>
      <c r="CR22" s="30"/>
      <c r="CT22" s="11"/>
      <c r="CV22" s="27"/>
      <c r="CW22" s="27"/>
      <c r="CX22" s="27"/>
      <c r="CY22" s="30"/>
      <c r="DA22" s="11"/>
      <c r="DC22" s="27"/>
      <c r="DD22" s="27"/>
      <c r="DE22" s="27"/>
      <c r="DF22" s="30"/>
      <c r="DH22" s="11"/>
      <c r="DI22" s="11"/>
      <c r="DK22" s="27"/>
      <c r="DL22" s="27"/>
      <c r="DM22" s="27"/>
      <c r="DN22" s="30"/>
    </row>
    <row r="23" ht="15.75" hidden="1" customHeight="1" outlineLevel="1">
      <c r="B23" s="6" t="s">
        <v>56</v>
      </c>
      <c r="C23" s="24" t="s">
        <v>66</v>
      </c>
      <c r="E23" s="26"/>
      <c r="F23" s="5" t="s">
        <v>69</v>
      </c>
      <c r="G23" s="30">
        <v>0.3</v>
      </c>
      <c r="I23" s="26">
        <f t="shared" si="2"/>
        <v>15.5</v>
      </c>
      <c r="J23" s="29">
        <f t="array" ref="J23">MAX(IF($N$3:$GO$3=$J$3,N23:GO23))</f>
        <v>1</v>
      </c>
      <c r="K23" s="29">
        <f t="array" ref="K23">MAX(IF($N$3:$GO$3=$J$3,N23:GO23))</f>
        <v>1</v>
      </c>
      <c r="L23" s="26"/>
      <c r="P23" s="27"/>
      <c r="Q23" s="27"/>
      <c r="R23" s="27"/>
      <c r="S23" s="30">
        <v>0.0</v>
      </c>
      <c r="W23" s="27"/>
      <c r="X23" s="30">
        <v>0.5</v>
      </c>
      <c r="Y23" s="27"/>
      <c r="Z23" s="30">
        <v>0.5</v>
      </c>
      <c r="AC23" s="5">
        <v>3.0</v>
      </c>
      <c r="AD23" s="27"/>
      <c r="AE23" s="30">
        <v>0.5</v>
      </c>
      <c r="AF23" s="27"/>
      <c r="AG23" s="30">
        <v>0.5</v>
      </c>
      <c r="AJ23" s="5">
        <v>3.0</v>
      </c>
      <c r="AK23" s="27"/>
      <c r="AL23" s="30">
        <v>0.8</v>
      </c>
      <c r="AM23" s="27"/>
      <c r="AN23" s="30">
        <v>0.8</v>
      </c>
      <c r="AQ23" s="5">
        <v>1.5</v>
      </c>
      <c r="AR23" s="30">
        <v>0.2</v>
      </c>
      <c r="AS23" s="30">
        <v>1.0</v>
      </c>
      <c r="AT23" s="30">
        <v>0.2</v>
      </c>
      <c r="AU23" s="30">
        <v>1.0</v>
      </c>
      <c r="AX23" s="5">
        <v>1.0</v>
      </c>
      <c r="AY23" s="30">
        <v>0.5</v>
      </c>
      <c r="AZ23" s="30">
        <v>1.0</v>
      </c>
      <c r="BA23" s="30">
        <v>0.5</v>
      </c>
      <c r="BB23" s="30">
        <v>1.0</v>
      </c>
      <c r="BD23" s="11"/>
      <c r="BE23" s="5">
        <v>7.0</v>
      </c>
      <c r="BF23" s="30">
        <v>1.0</v>
      </c>
      <c r="BG23" s="30">
        <v>1.0</v>
      </c>
      <c r="BH23" s="30">
        <v>1.0</v>
      </c>
      <c r="BI23" s="30">
        <v>1.0</v>
      </c>
      <c r="BJ23" s="32"/>
      <c r="BM23" s="32" t="s">
        <v>120</v>
      </c>
      <c r="BR23" s="11"/>
      <c r="BT23" s="27"/>
      <c r="BU23" s="27"/>
      <c r="BV23" s="27"/>
      <c r="BW23" s="27"/>
      <c r="BY23" s="11"/>
      <c r="CA23" s="27"/>
      <c r="CB23" s="27"/>
      <c r="CC23" s="27"/>
      <c r="CD23" s="27"/>
      <c r="CF23" s="11"/>
      <c r="CH23" s="27"/>
      <c r="CI23" s="27"/>
      <c r="CJ23" s="27"/>
      <c r="CK23" s="27"/>
      <c r="CM23" s="11"/>
      <c r="CO23" s="27"/>
      <c r="CP23" s="27"/>
      <c r="CQ23" s="27"/>
      <c r="CR23" s="27"/>
      <c r="CT23" s="11"/>
      <c r="CV23" s="27"/>
      <c r="CW23" s="27"/>
      <c r="CX23" s="27"/>
      <c r="CY23" s="27"/>
      <c r="DA23" s="11"/>
      <c r="DC23" s="27"/>
      <c r="DD23" s="27"/>
      <c r="DE23" s="27"/>
      <c r="DF23" s="27"/>
      <c r="DH23" s="11"/>
      <c r="DI23" s="11"/>
      <c r="DK23" s="27"/>
      <c r="DL23" s="27"/>
      <c r="DM23" s="27"/>
      <c r="DN23" s="27"/>
    </row>
    <row r="24" ht="15.75" hidden="1" customHeight="1" outlineLevel="1">
      <c r="B24" s="6" t="s">
        <v>56</v>
      </c>
      <c r="C24" s="24" t="s">
        <v>66</v>
      </c>
      <c r="E24" s="26"/>
      <c r="F24" s="5" t="s">
        <v>70</v>
      </c>
      <c r="G24" s="30">
        <v>0.2</v>
      </c>
      <c r="I24" s="26">
        <f t="shared" si="2"/>
        <v>9</v>
      </c>
      <c r="J24" s="29">
        <f t="array" ref="J24">MAX(IF($N$3:$GO$3=$J$3,N24:GO24))</f>
        <v>1</v>
      </c>
      <c r="K24" s="29">
        <f t="array" ref="K24">MAX(IF($N$3:$GO$3=$J$3,N24:GO24))</f>
        <v>1</v>
      </c>
      <c r="L24" s="26"/>
      <c r="P24" s="27"/>
      <c r="Q24" s="30"/>
      <c r="R24" s="27"/>
      <c r="S24" s="30">
        <v>0.0</v>
      </c>
      <c r="W24" s="27"/>
      <c r="X24" s="30">
        <v>0.0</v>
      </c>
      <c r="Y24" s="27"/>
      <c r="Z24" s="30">
        <v>0.0</v>
      </c>
      <c r="AD24" s="27"/>
      <c r="AE24" s="30">
        <v>0.0</v>
      </c>
      <c r="AF24" s="27"/>
      <c r="AG24" s="30">
        <v>0.0</v>
      </c>
      <c r="AK24" s="27"/>
      <c r="AL24" s="30">
        <v>0.8</v>
      </c>
      <c r="AM24" s="27"/>
      <c r="AN24" s="30">
        <v>0.8</v>
      </c>
      <c r="AQ24" s="5">
        <v>3.0</v>
      </c>
      <c r="AR24" s="30">
        <v>0.3</v>
      </c>
      <c r="AS24" s="30">
        <v>0.8</v>
      </c>
      <c r="AT24" s="30">
        <v>0.3</v>
      </c>
      <c r="AU24" s="30">
        <v>0.8</v>
      </c>
      <c r="AX24" s="5">
        <v>1.0</v>
      </c>
      <c r="AY24" s="30">
        <v>0.3</v>
      </c>
      <c r="AZ24" s="30">
        <v>1.0</v>
      </c>
      <c r="BA24" s="30">
        <v>0.3</v>
      </c>
      <c r="BB24" s="30">
        <v>1.0</v>
      </c>
      <c r="BD24" s="11"/>
      <c r="BE24" s="5">
        <v>5.0</v>
      </c>
      <c r="BF24" s="30">
        <v>1.0</v>
      </c>
      <c r="BG24" s="30">
        <v>1.0</v>
      </c>
      <c r="BH24" s="30">
        <v>1.0</v>
      </c>
      <c r="BI24" s="30">
        <v>1.0</v>
      </c>
      <c r="BM24" s="27"/>
      <c r="BN24" s="30"/>
      <c r="BO24" s="33"/>
      <c r="BP24" s="27"/>
      <c r="BR24" s="11"/>
      <c r="BT24" s="27"/>
      <c r="BU24" s="30"/>
      <c r="BV24" s="27"/>
      <c r="BW24" s="27"/>
      <c r="BY24" s="11"/>
      <c r="CA24" s="27"/>
      <c r="CB24" s="30"/>
      <c r="CC24" s="27"/>
      <c r="CD24" s="27"/>
      <c r="CF24" s="11"/>
      <c r="CH24" s="27"/>
      <c r="CI24" s="30"/>
      <c r="CJ24" s="27"/>
      <c r="CK24" s="27"/>
      <c r="CM24" s="11"/>
      <c r="CO24" s="27"/>
      <c r="CP24" s="30"/>
      <c r="CQ24" s="27"/>
      <c r="CR24" s="27"/>
      <c r="CT24" s="11"/>
      <c r="CV24" s="27"/>
      <c r="CW24" s="30"/>
      <c r="CX24" s="27"/>
      <c r="CY24" s="27"/>
      <c r="DA24" s="11"/>
      <c r="DC24" s="27"/>
      <c r="DD24" s="30"/>
      <c r="DE24" s="27"/>
      <c r="DF24" s="27"/>
      <c r="DH24" s="11"/>
      <c r="DI24" s="11"/>
      <c r="DK24" s="27"/>
      <c r="DL24" s="30"/>
      <c r="DM24" s="27"/>
      <c r="DN24" s="27"/>
    </row>
    <row r="25" ht="15.75" hidden="1" customHeight="1" outlineLevel="1">
      <c r="B25" s="6" t="s">
        <v>56</v>
      </c>
      <c r="C25" s="24" t="s">
        <v>66</v>
      </c>
      <c r="E25" s="26"/>
      <c r="F25" s="5" t="s">
        <v>73</v>
      </c>
      <c r="G25" s="30">
        <v>0.15</v>
      </c>
      <c r="I25" s="26">
        <f t="shared" si="2"/>
        <v>6</v>
      </c>
      <c r="J25" s="29">
        <f t="array" ref="J25">MAX(IF($N$3:$GO$3=$J$3,N25:GO25))</f>
        <v>1</v>
      </c>
      <c r="K25" s="29">
        <f t="array" ref="K25">MAX(IF($N$3:$GO$3=$J$3,N25:GO25))</f>
        <v>1</v>
      </c>
      <c r="L25" s="26"/>
      <c r="P25" s="27"/>
      <c r="Q25" s="27"/>
      <c r="R25" s="27"/>
      <c r="S25" s="30">
        <v>0.0</v>
      </c>
      <c r="W25" s="27"/>
      <c r="X25" s="30">
        <v>0.0</v>
      </c>
      <c r="Y25" s="27"/>
      <c r="Z25" s="30">
        <v>0.0</v>
      </c>
      <c r="AD25" s="27"/>
      <c r="AE25" s="30">
        <v>0.0</v>
      </c>
      <c r="AF25" s="27"/>
      <c r="AG25" s="30">
        <v>0.0</v>
      </c>
      <c r="AK25" s="27"/>
      <c r="AL25" s="30">
        <v>0.0</v>
      </c>
      <c r="AM25" s="27"/>
      <c r="AN25" s="30">
        <v>0.0</v>
      </c>
      <c r="AR25" s="27"/>
      <c r="AS25" s="30">
        <v>0.8</v>
      </c>
      <c r="AT25" s="27"/>
      <c r="AU25" s="30">
        <v>0.8</v>
      </c>
      <c r="AX25" s="5">
        <v>3.0</v>
      </c>
      <c r="AY25" s="30">
        <v>0.4</v>
      </c>
      <c r="AZ25" s="30">
        <v>1.0</v>
      </c>
      <c r="BA25" s="30">
        <v>0.4</v>
      </c>
      <c r="BB25" s="30">
        <v>1.0</v>
      </c>
      <c r="BD25" s="11"/>
      <c r="BE25" s="5">
        <v>3.0</v>
      </c>
      <c r="BF25" s="30">
        <v>1.0</v>
      </c>
      <c r="BG25" s="30">
        <v>1.0</v>
      </c>
      <c r="BH25" s="30">
        <v>1.0</v>
      </c>
      <c r="BI25" s="30">
        <v>1.0</v>
      </c>
      <c r="BM25" s="27"/>
      <c r="BN25" s="27"/>
      <c r="BO25" s="27"/>
      <c r="BP25" s="27"/>
      <c r="BR25" s="11"/>
      <c r="BT25" s="27"/>
      <c r="BU25" s="27"/>
      <c r="BV25" s="27"/>
      <c r="BW25" s="27"/>
      <c r="BY25" s="11"/>
      <c r="CA25" s="27"/>
      <c r="CB25" s="27"/>
      <c r="CC25" s="27"/>
      <c r="CD25" s="27"/>
      <c r="CF25" s="11"/>
      <c r="CH25" s="27"/>
      <c r="CI25" s="27"/>
      <c r="CJ25" s="27"/>
      <c r="CK25" s="27"/>
      <c r="CM25" s="11"/>
      <c r="CO25" s="27"/>
      <c r="CP25" s="27"/>
      <c r="CQ25" s="27"/>
      <c r="CR25" s="27"/>
      <c r="CT25" s="11"/>
      <c r="CV25" s="27"/>
      <c r="CW25" s="27"/>
      <c r="CX25" s="27"/>
      <c r="CY25" s="27"/>
      <c r="DA25" s="11"/>
      <c r="DC25" s="27"/>
      <c r="DD25" s="27"/>
      <c r="DE25" s="27"/>
      <c r="DF25" s="27"/>
      <c r="DH25" s="11"/>
      <c r="DI25" s="11"/>
      <c r="DK25" s="27"/>
      <c r="DL25" s="27"/>
      <c r="DM25" s="27"/>
      <c r="DN25" s="27"/>
    </row>
    <row r="26" ht="15.75" hidden="1" customHeight="1" outlineLevel="1">
      <c r="B26" s="6" t="s">
        <v>56</v>
      </c>
      <c r="C26" s="24" t="s">
        <v>66</v>
      </c>
      <c r="E26" s="26"/>
      <c r="F26" s="5" t="s">
        <v>74</v>
      </c>
      <c r="G26" s="30">
        <v>0.0</v>
      </c>
      <c r="I26" s="26">
        <f t="shared" si="2"/>
        <v>0.75</v>
      </c>
      <c r="J26" s="29">
        <f t="array" ref="J26">MAX(IF($N$3:$GO$3=$J$3,N26:GO26))</f>
        <v>1</v>
      </c>
      <c r="K26" s="29">
        <f t="array" ref="K26">MAX(IF($N$3:$GO$3=$J$3,N26:GO26))</f>
        <v>1</v>
      </c>
      <c r="L26" s="26"/>
      <c r="P26" s="27"/>
      <c r="Q26" s="27"/>
      <c r="R26" s="27"/>
      <c r="S26" s="30">
        <v>0.0</v>
      </c>
      <c r="W26" s="27"/>
      <c r="X26" s="30">
        <v>0.0</v>
      </c>
      <c r="Y26" s="27"/>
      <c r="Z26" s="30">
        <v>0.0</v>
      </c>
      <c r="AD26" s="27"/>
      <c r="AE26" s="30">
        <v>0.0</v>
      </c>
      <c r="AF26" s="27"/>
      <c r="AG26" s="30">
        <v>0.0</v>
      </c>
      <c r="AK26" s="27"/>
      <c r="AL26" s="30">
        <v>0.0</v>
      </c>
      <c r="AM26" s="27"/>
      <c r="AN26" s="30">
        <v>0.0</v>
      </c>
      <c r="AR26" s="27"/>
      <c r="AS26" s="30">
        <v>0.8</v>
      </c>
      <c r="AT26" s="27"/>
      <c r="AU26" s="30">
        <v>0.8</v>
      </c>
      <c r="AX26" s="5">
        <v>0.75</v>
      </c>
      <c r="AY26" s="30">
        <v>1.0</v>
      </c>
      <c r="AZ26" s="30">
        <v>1.0</v>
      </c>
      <c r="BA26" s="30">
        <v>1.0</v>
      </c>
      <c r="BB26" s="30">
        <v>1.0</v>
      </c>
      <c r="BD26" s="11"/>
      <c r="BF26" s="30">
        <v>1.0</v>
      </c>
      <c r="BG26" s="30">
        <v>1.0</v>
      </c>
      <c r="BH26" s="30">
        <v>1.0</v>
      </c>
      <c r="BI26" s="30">
        <v>1.0</v>
      </c>
      <c r="BM26" s="27"/>
      <c r="BN26" s="27"/>
      <c r="BO26" s="27"/>
      <c r="BP26" s="27"/>
      <c r="BR26" s="11"/>
      <c r="BT26" s="27"/>
      <c r="BU26" s="27"/>
      <c r="BV26" s="27"/>
      <c r="BW26" s="27"/>
      <c r="BY26" s="11"/>
      <c r="CA26" s="27"/>
      <c r="CB26" s="27"/>
      <c r="CC26" s="27"/>
      <c r="CD26" s="27"/>
      <c r="CF26" s="11"/>
      <c r="CH26" s="27"/>
      <c r="CI26" s="27"/>
      <c r="CJ26" s="27"/>
      <c r="CK26" s="27"/>
      <c r="CM26" s="11"/>
      <c r="CO26" s="27"/>
      <c r="CP26" s="27"/>
      <c r="CQ26" s="27"/>
      <c r="CR26" s="27"/>
      <c r="CT26" s="11"/>
      <c r="CV26" s="27"/>
      <c r="CW26" s="27"/>
      <c r="CX26" s="27"/>
      <c r="CY26" s="27"/>
      <c r="DA26" s="11"/>
      <c r="DC26" s="27"/>
      <c r="DD26" s="27"/>
      <c r="DE26" s="27"/>
      <c r="DF26" s="27"/>
      <c r="DH26" s="11"/>
      <c r="DI26" s="11"/>
      <c r="DK26" s="27"/>
      <c r="DL26" s="27"/>
      <c r="DM26" s="27"/>
      <c r="DN26" s="27"/>
    </row>
    <row r="27" ht="15.75" customHeight="1" collapsed="1">
      <c r="C27" s="8"/>
      <c r="BD27" s="11"/>
      <c r="BR27" s="11"/>
      <c r="BY27" s="11"/>
      <c r="CF27" s="11"/>
      <c r="CM27" s="11"/>
      <c r="CT27" s="11"/>
      <c r="DA27" s="11"/>
      <c r="DH27" s="11"/>
      <c r="DI27" s="11"/>
    </row>
    <row r="28" ht="15.75" customHeight="1">
      <c r="B28" s="6" t="s">
        <v>26</v>
      </c>
      <c r="C28" s="24" t="s">
        <v>75</v>
      </c>
      <c r="D28" s="25">
        <v>44862.0</v>
      </c>
      <c r="E28" s="32">
        <v>3.0</v>
      </c>
      <c r="G28" s="27">
        <f>+SUM(G29:G33)</f>
        <v>1</v>
      </c>
      <c r="I28" s="28">
        <f>+SUM(I29:I33)</f>
        <v>41.5</v>
      </c>
      <c r="J28" s="29">
        <f>+SUMPRODUCT(G29:G33,J29:J33)</f>
        <v>1</v>
      </c>
      <c r="K28" s="29">
        <f>+SUMPRODUCT(G29:G33,K29:K33)</f>
        <v>1</v>
      </c>
      <c r="L28" s="26"/>
      <c r="O28" s="28">
        <f>SUM(O29:O33)</f>
        <v>10</v>
      </c>
      <c r="V28" s="41">
        <f>SUM(V29:V33)</f>
        <v>2.5</v>
      </c>
      <c r="AC28" s="28"/>
      <c r="AJ28" s="28">
        <f>SUM(AJ29:AJ33)</f>
        <v>0</v>
      </c>
      <c r="AQ28" s="28">
        <f>SUM(AQ29:AQ33)</f>
        <v>0</v>
      </c>
      <c r="AX28" s="41">
        <f>SUM(AX29:AX33)</f>
        <v>5</v>
      </c>
      <c r="BD28" s="11"/>
      <c r="BE28" s="28">
        <f>SUM(BE29:BE33)</f>
        <v>5</v>
      </c>
      <c r="BL28" s="28"/>
      <c r="BR28" s="11"/>
      <c r="BS28" s="6">
        <f>SUM(BS29:BS33)</f>
        <v>19</v>
      </c>
      <c r="BY28" s="11"/>
      <c r="BZ28" s="28"/>
      <c r="CF28" s="11"/>
      <c r="CG28" s="28"/>
      <c r="CM28" s="11"/>
      <c r="CN28" s="28"/>
      <c r="CT28" s="11"/>
      <c r="CU28" s="28"/>
      <c r="DA28" s="11"/>
      <c r="DB28" s="28"/>
      <c r="DH28" s="11"/>
      <c r="DI28" s="11"/>
      <c r="DJ28" s="28"/>
    </row>
    <row r="29" ht="15.75" hidden="1" customHeight="1" outlineLevel="1">
      <c r="B29" s="6" t="s">
        <v>56</v>
      </c>
      <c r="C29" s="24" t="s">
        <v>76</v>
      </c>
      <c r="E29" s="26"/>
      <c r="F29" s="5" t="s">
        <v>128</v>
      </c>
      <c r="G29" s="30">
        <v>0.2</v>
      </c>
      <c r="I29" s="26">
        <f t="shared" ref="I29:I33" si="3">+SUMIF($N$3:$ACG$3,I$3,$N29:$ACG29)</f>
        <v>7</v>
      </c>
      <c r="J29" s="29">
        <f t="array" ref="J29">MAX(IF($N$3:$GO$3=$J$3,N29:GO29))</f>
        <v>1</v>
      </c>
      <c r="K29" s="29">
        <f t="array" ref="K29">MAX(IF($N$3:$GO$3=$J$3,N29:GO29))</f>
        <v>1</v>
      </c>
      <c r="L29" s="26"/>
      <c r="O29" s="5">
        <v>5.0</v>
      </c>
      <c r="P29" s="30">
        <v>0.8</v>
      </c>
      <c r="Q29" s="30">
        <v>0.8</v>
      </c>
      <c r="R29" s="27"/>
      <c r="S29" s="30"/>
      <c r="T29" s="5">
        <v>2.0</v>
      </c>
      <c r="V29" s="5">
        <v>0.5</v>
      </c>
      <c r="W29" s="30">
        <v>0.8</v>
      </c>
      <c r="X29" s="30">
        <v>0.8</v>
      </c>
      <c r="Y29" s="27"/>
      <c r="Z29" s="30"/>
      <c r="AA29" s="5">
        <v>2.0</v>
      </c>
      <c r="AD29" s="30">
        <v>0.8</v>
      </c>
      <c r="AE29" s="30">
        <v>0.8</v>
      </c>
      <c r="AF29" s="30"/>
      <c r="AG29" s="30"/>
      <c r="AK29" s="30">
        <v>0.8</v>
      </c>
      <c r="AL29" s="30">
        <v>1.0</v>
      </c>
      <c r="AM29" s="27"/>
      <c r="AN29" s="30"/>
      <c r="AR29" s="30">
        <v>0.8</v>
      </c>
      <c r="AS29" s="30">
        <v>1.0</v>
      </c>
      <c r="AT29" s="27"/>
      <c r="AU29" s="30"/>
      <c r="AY29" s="30">
        <v>0.9</v>
      </c>
      <c r="AZ29" s="30">
        <v>1.0</v>
      </c>
      <c r="BA29" s="27"/>
      <c r="BD29" s="11"/>
      <c r="BE29" s="5">
        <v>1.5</v>
      </c>
      <c r="BF29" s="30">
        <v>1.0</v>
      </c>
      <c r="BG29" s="30">
        <v>1.0</v>
      </c>
      <c r="BH29" s="27"/>
      <c r="BI29" s="30"/>
      <c r="BM29" s="27"/>
      <c r="BN29" s="30"/>
      <c r="BO29" s="27"/>
      <c r="BP29" s="30"/>
      <c r="BR29" s="11"/>
      <c r="BT29" s="27"/>
      <c r="BU29" s="30"/>
      <c r="BV29" s="27"/>
      <c r="BW29" s="30"/>
      <c r="BY29" s="11"/>
      <c r="CA29" s="27"/>
      <c r="CB29" s="30"/>
      <c r="CC29" s="27"/>
      <c r="CD29" s="30"/>
      <c r="CF29" s="11"/>
      <c r="CH29" s="27"/>
      <c r="CI29" s="30"/>
      <c r="CJ29" s="27"/>
      <c r="CK29" s="30"/>
      <c r="CM29" s="11"/>
      <c r="CO29" s="27"/>
      <c r="CP29" s="30"/>
      <c r="CQ29" s="27"/>
      <c r="CR29" s="30"/>
      <c r="CT29" s="11"/>
      <c r="CV29" s="27"/>
      <c r="CW29" s="30"/>
      <c r="CX29" s="27"/>
      <c r="CY29" s="30"/>
      <c r="DA29" s="11"/>
      <c r="DC29" s="27"/>
      <c r="DD29" s="27"/>
      <c r="DE29" s="27"/>
      <c r="DF29" s="27"/>
      <c r="DH29" s="11"/>
      <c r="DI29" s="11"/>
      <c r="DK29" s="27"/>
      <c r="DL29" s="27"/>
      <c r="DM29" s="27"/>
      <c r="DN29" s="27"/>
    </row>
    <row r="30" ht="15.75" hidden="1" customHeight="1" outlineLevel="1">
      <c r="B30" s="6" t="s">
        <v>56</v>
      </c>
      <c r="C30" s="24" t="s">
        <v>76</v>
      </c>
      <c r="E30" s="26"/>
      <c r="F30" s="5" t="s">
        <v>129</v>
      </c>
      <c r="G30" s="30">
        <v>0.15</v>
      </c>
      <c r="I30" s="26">
        <f t="shared" si="3"/>
        <v>3</v>
      </c>
      <c r="J30" s="29">
        <f t="array" ref="J30">MAX(IF($N$3:$GO$3=$J$3,N30:GO30))</f>
        <v>1</v>
      </c>
      <c r="K30" s="29">
        <f t="array" ref="K30">MAX(IF($N$3:$GO$3=$J$3,N30:GO30))</f>
        <v>1</v>
      </c>
      <c r="L30" s="26"/>
      <c r="O30" s="5">
        <v>2.0</v>
      </c>
      <c r="P30" s="30">
        <v>0.6</v>
      </c>
      <c r="Q30" s="30">
        <v>0.8</v>
      </c>
      <c r="R30" s="27"/>
      <c r="S30" s="30"/>
      <c r="W30" s="30">
        <v>0.6</v>
      </c>
      <c r="X30" s="30">
        <v>0.8</v>
      </c>
      <c r="Y30" s="27"/>
      <c r="Z30" s="30"/>
      <c r="AD30" s="30">
        <v>0.6</v>
      </c>
      <c r="AE30" s="30">
        <v>0.8</v>
      </c>
      <c r="AF30" s="30"/>
      <c r="AG30" s="30"/>
      <c r="AK30" s="30">
        <v>0.6</v>
      </c>
      <c r="AL30" s="30">
        <v>1.0</v>
      </c>
      <c r="AM30" s="27"/>
      <c r="AN30" s="30"/>
      <c r="AR30" s="30">
        <v>0.6</v>
      </c>
      <c r="AS30" s="30">
        <v>1.0</v>
      </c>
      <c r="AT30" s="27"/>
      <c r="AU30" s="30"/>
      <c r="AY30" s="30">
        <v>1.0</v>
      </c>
      <c r="AZ30" s="30">
        <v>1.0</v>
      </c>
      <c r="BA30" s="27"/>
      <c r="BD30" s="11"/>
      <c r="BE30" s="5">
        <v>1.0</v>
      </c>
      <c r="BF30" s="30">
        <v>1.0</v>
      </c>
      <c r="BG30" s="30">
        <v>1.0</v>
      </c>
      <c r="BH30" s="27"/>
      <c r="BI30" s="30"/>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I30" s="11"/>
      <c r="DK30" s="27"/>
      <c r="DL30" s="27"/>
      <c r="DM30" s="27"/>
      <c r="DN30" s="27"/>
    </row>
    <row r="31" ht="15.75" hidden="1" customHeight="1" outlineLevel="1">
      <c r="B31" s="6" t="s">
        <v>56</v>
      </c>
      <c r="C31" s="24" t="s">
        <v>76</v>
      </c>
      <c r="E31" s="26"/>
      <c r="F31" s="5" t="s">
        <v>130</v>
      </c>
      <c r="G31" s="30">
        <v>0.25</v>
      </c>
      <c r="I31" s="26">
        <f t="shared" si="3"/>
        <v>8</v>
      </c>
      <c r="J31" s="29">
        <f t="array" ref="J31">MAX(IF($N$3:$GO$3=$J$3,N31:GO31))</f>
        <v>1</v>
      </c>
      <c r="K31" s="29">
        <f t="array" ref="K31">MAX(IF($N$3:$GO$3=$J$3,N31:GO31))</f>
        <v>1</v>
      </c>
      <c r="L31" s="26"/>
      <c r="O31" s="5">
        <v>3.0</v>
      </c>
      <c r="P31" s="30">
        <v>0.3</v>
      </c>
      <c r="Q31" s="30">
        <v>0.5</v>
      </c>
      <c r="R31" s="27"/>
      <c r="S31" s="30"/>
      <c r="V31" s="5">
        <v>2.0</v>
      </c>
      <c r="W31" s="30">
        <v>0.5</v>
      </c>
      <c r="X31" s="30">
        <v>0.8</v>
      </c>
      <c r="Y31" s="27"/>
      <c r="Z31" s="30"/>
      <c r="AD31" s="30">
        <v>0.8</v>
      </c>
      <c r="AE31" s="30">
        <v>0.8</v>
      </c>
      <c r="AF31" s="30"/>
      <c r="AG31" s="30"/>
      <c r="AK31" s="30">
        <v>0.3</v>
      </c>
      <c r="AL31" s="30">
        <v>0.8</v>
      </c>
      <c r="AM31" s="27"/>
      <c r="AN31" s="30"/>
      <c r="AR31" s="30">
        <v>0.3</v>
      </c>
      <c r="AS31" s="30">
        <v>1.0</v>
      </c>
      <c r="AT31" s="27"/>
      <c r="AU31" s="30"/>
      <c r="AX31" s="5">
        <v>1.5</v>
      </c>
      <c r="AY31" s="30">
        <v>0.8</v>
      </c>
      <c r="AZ31" s="30">
        <v>1.0</v>
      </c>
      <c r="BA31" s="27"/>
      <c r="BD31" s="11"/>
      <c r="BE31" s="5">
        <v>1.5</v>
      </c>
      <c r="BF31" s="30">
        <v>1.0</v>
      </c>
      <c r="BG31" s="30">
        <v>1.0</v>
      </c>
      <c r="BH31" s="32"/>
      <c r="BI31" s="32"/>
      <c r="BM31" s="32" t="s">
        <v>120</v>
      </c>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32" t="s">
        <v>71</v>
      </c>
      <c r="DH31" s="11"/>
      <c r="DI31" s="11"/>
      <c r="DK31" s="32" t="s">
        <v>120</v>
      </c>
    </row>
    <row r="32" ht="15.75" hidden="1" customHeight="1" outlineLevel="1">
      <c r="B32" s="6" t="s">
        <v>56</v>
      </c>
      <c r="C32" s="24" t="s">
        <v>76</v>
      </c>
      <c r="E32" s="26"/>
      <c r="F32" s="5" t="s">
        <v>131</v>
      </c>
      <c r="G32" s="30">
        <v>0.2</v>
      </c>
      <c r="I32" s="26">
        <f t="shared" si="3"/>
        <v>4.5</v>
      </c>
      <c r="J32" s="29">
        <f t="array" ref="J32">MAX(IF($N$3:$GO$3=$J$3,N32:GO32))</f>
        <v>1</v>
      </c>
      <c r="K32" s="29">
        <f t="array" ref="K32">MAX(IF($N$3:$GO$3=$J$3,N32:GO32))</f>
        <v>1</v>
      </c>
      <c r="L32" s="26"/>
      <c r="P32" s="30">
        <v>0.1</v>
      </c>
      <c r="Q32" s="30">
        <v>0.0</v>
      </c>
      <c r="R32" s="27"/>
      <c r="S32" s="30"/>
      <c r="W32" s="30">
        <v>0.1</v>
      </c>
      <c r="X32" s="30">
        <v>0.5</v>
      </c>
      <c r="Y32" s="27"/>
      <c r="Z32" s="30"/>
      <c r="AD32" s="30">
        <v>0.3</v>
      </c>
      <c r="AE32" s="30">
        <v>0.8</v>
      </c>
      <c r="AF32" s="30"/>
      <c r="AG32" s="30"/>
      <c r="AK32" s="30">
        <v>0.8</v>
      </c>
      <c r="AL32" s="30">
        <v>0.8</v>
      </c>
      <c r="AM32" s="27"/>
      <c r="AN32" s="30"/>
      <c r="AR32" s="30">
        <v>0.8</v>
      </c>
      <c r="AS32" s="30">
        <v>0.8</v>
      </c>
      <c r="AT32" s="27"/>
      <c r="AU32" s="30"/>
      <c r="AX32" s="5">
        <v>3.5</v>
      </c>
      <c r="AY32" s="30">
        <v>0.8</v>
      </c>
      <c r="AZ32" s="30">
        <v>1.0</v>
      </c>
      <c r="BA32" s="27"/>
      <c r="BD32" s="11"/>
      <c r="BE32" s="5">
        <v>1.0</v>
      </c>
      <c r="BF32" s="30">
        <v>1.0</v>
      </c>
      <c r="BG32" s="30">
        <v>1.0</v>
      </c>
      <c r="BH32" s="27"/>
      <c r="BI32" s="30"/>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I32" s="11"/>
      <c r="DK32" s="27"/>
      <c r="DL32" s="27"/>
      <c r="DM32" s="27"/>
      <c r="DN32" s="27"/>
    </row>
    <row r="33" ht="15.75" hidden="1" customHeight="1" outlineLevel="1">
      <c r="B33" s="6" t="s">
        <v>56</v>
      </c>
      <c r="C33" s="24" t="s">
        <v>76</v>
      </c>
      <c r="E33" s="26"/>
      <c r="F33" s="5" t="s">
        <v>132</v>
      </c>
      <c r="G33" s="30">
        <v>0.2</v>
      </c>
      <c r="I33" s="26">
        <f t="shared" si="3"/>
        <v>19</v>
      </c>
      <c r="J33" s="29">
        <f t="array" ref="J33">MAX(IF($N$3:$GO$3=$J$3,N33:GO33))</f>
        <v>1</v>
      </c>
      <c r="K33" s="29">
        <f t="array" ref="K33">MAX(IF($N$3:$GO$3=$J$3,N33:GO33))</f>
        <v>1</v>
      </c>
      <c r="L33" s="26"/>
      <c r="P33" s="27"/>
      <c r="Q33" s="30">
        <v>0.0</v>
      </c>
      <c r="R33" s="27"/>
      <c r="S33" s="30"/>
      <c r="W33" s="27"/>
      <c r="X33" s="30">
        <v>0.0</v>
      </c>
      <c r="Y33" s="27"/>
      <c r="Z33" s="30"/>
      <c r="AD33" s="27"/>
      <c r="AE33" s="30">
        <v>0.5</v>
      </c>
      <c r="AF33" s="27"/>
      <c r="AG33" s="30"/>
      <c r="AK33" s="27"/>
      <c r="AL33" s="30">
        <v>0.5</v>
      </c>
      <c r="AM33" s="27"/>
      <c r="AN33" s="30"/>
      <c r="AR33" s="27"/>
      <c r="AS33" s="30">
        <v>0.8</v>
      </c>
      <c r="AT33" s="27"/>
      <c r="AU33" s="30"/>
      <c r="AY33" s="27"/>
      <c r="AZ33" s="30">
        <v>1.0</v>
      </c>
      <c r="BA33" s="27"/>
      <c r="BD33" s="11"/>
      <c r="BF33" s="30">
        <v>1.0</v>
      </c>
      <c r="BG33" s="30">
        <v>1.0</v>
      </c>
      <c r="BH33" s="27"/>
      <c r="BI33" s="30"/>
      <c r="BM33" s="27"/>
      <c r="BN33" s="30"/>
      <c r="BO33" s="27"/>
      <c r="BP33" s="30"/>
      <c r="BR33" s="11"/>
      <c r="BS33" s="5">
        <v>19.0</v>
      </c>
      <c r="BT33" s="27"/>
      <c r="BU33" s="30"/>
      <c r="BV33" s="27"/>
      <c r="BW33" s="30"/>
      <c r="BY33" s="11"/>
      <c r="CA33" s="27"/>
      <c r="CB33" s="30"/>
      <c r="CC33" s="27"/>
      <c r="CD33" s="30"/>
      <c r="CF33" s="11"/>
      <c r="CH33" s="27"/>
      <c r="CI33" s="30"/>
      <c r="CJ33" s="27"/>
      <c r="CK33" s="30"/>
      <c r="CM33" s="11"/>
      <c r="CO33" s="27"/>
      <c r="CP33" s="30"/>
      <c r="CQ33" s="27"/>
      <c r="CR33" s="30"/>
      <c r="CT33" s="11"/>
      <c r="CV33" s="27"/>
      <c r="CW33" s="30"/>
      <c r="CX33" s="27"/>
      <c r="CY33" s="30"/>
      <c r="DA33" s="11"/>
      <c r="DC33" s="27"/>
      <c r="DD33" s="27"/>
      <c r="DE33" s="27"/>
      <c r="DF33" s="27"/>
      <c r="DH33" s="11"/>
      <c r="DI33" s="11"/>
      <c r="DK33" s="27"/>
      <c r="DL33" s="27"/>
      <c r="DM33" s="27"/>
      <c r="DN33" s="27"/>
    </row>
    <row r="34" ht="15.75" customHeight="1" collapsed="1">
      <c r="C34" s="8"/>
      <c r="BD34" s="11"/>
      <c r="BR34" s="11"/>
      <c r="BY34" s="11"/>
      <c r="CF34" s="11"/>
      <c r="CM34" s="11"/>
      <c r="CT34" s="11"/>
      <c r="DA34" s="11"/>
      <c r="DH34" s="11"/>
      <c r="DI34" s="11"/>
    </row>
    <row r="35" ht="15.75" customHeight="1">
      <c r="B35" s="6" t="s">
        <v>26</v>
      </c>
      <c r="C35" s="24" t="s">
        <v>75</v>
      </c>
      <c r="D35" s="25">
        <v>44862.0</v>
      </c>
      <c r="E35" s="32">
        <v>3.0</v>
      </c>
      <c r="G35" s="27">
        <f>+SUM(G36:G38)</f>
        <v>1</v>
      </c>
      <c r="I35" s="28">
        <f>+SUM(I36:I38)</f>
        <v>49.5</v>
      </c>
      <c r="J35" s="29">
        <f>+SUMPRODUCT(G36:G38,J36:J38)</f>
        <v>1</v>
      </c>
      <c r="K35" s="29">
        <f>+SUMPRODUCT(G36:G38,K36:K38)</f>
        <v>1</v>
      </c>
      <c r="L35" s="26"/>
      <c r="O35" s="28">
        <f>SUM(O36:O38)</f>
        <v>0</v>
      </c>
      <c r="V35" s="28"/>
      <c r="AC35" s="28"/>
      <c r="AJ35" s="38">
        <f>SUM(AJ36:AJ38)</f>
        <v>11</v>
      </c>
      <c r="AQ35" s="38">
        <f>SUM(AQ36:AQ38)</f>
        <v>18</v>
      </c>
      <c r="AX35" s="38">
        <f>SUM(AX36:AX38)</f>
        <v>6</v>
      </c>
      <c r="BD35" s="11"/>
      <c r="BE35" s="28">
        <f>SUM(BE36:BE38)</f>
        <v>14.5</v>
      </c>
      <c r="BL35" s="28"/>
      <c r="BR35" s="11"/>
      <c r="BS35" s="28"/>
      <c r="BY35" s="11"/>
      <c r="BZ35" s="28"/>
      <c r="CF35" s="11"/>
      <c r="CG35" s="28"/>
      <c r="CM35" s="11"/>
      <c r="CN35" s="28"/>
      <c r="CT35" s="11"/>
      <c r="CU35" s="28"/>
      <c r="DA35" s="28"/>
      <c r="DB35" s="28"/>
      <c r="DH35" s="11"/>
      <c r="DI35" s="11"/>
      <c r="DJ35" s="28"/>
    </row>
    <row r="36" ht="15.75" hidden="1" customHeight="1" outlineLevel="1">
      <c r="B36" s="6" t="s">
        <v>56</v>
      </c>
      <c r="C36" s="24" t="s">
        <v>85</v>
      </c>
      <c r="E36" s="26"/>
      <c r="F36" s="5" t="s">
        <v>133</v>
      </c>
      <c r="G36" s="30">
        <v>0.8</v>
      </c>
      <c r="I36" s="26">
        <f t="shared" ref="I36:I38" si="4">+SUMIF($N$3:$ACG$3,I$3,$N36:$ACG36)</f>
        <v>18.5</v>
      </c>
      <c r="J36" s="29">
        <f t="array" ref="J36">MAX(IF($N$3:$GO$3=$J$3,N36:GO36))</f>
        <v>1</v>
      </c>
      <c r="K36" s="29">
        <f t="array" ref="K36">MAX(IF($N$3:$GO$3=$J$3,N36:GO36))</f>
        <v>1</v>
      </c>
      <c r="L36" s="26"/>
      <c r="P36" s="27"/>
      <c r="Q36" s="30"/>
      <c r="R36" s="27"/>
      <c r="S36" s="30"/>
      <c r="W36" s="27"/>
      <c r="X36" s="30"/>
      <c r="Y36" s="27"/>
      <c r="Z36" s="30"/>
      <c r="AD36" s="27"/>
      <c r="AE36" s="30"/>
      <c r="AF36" s="27"/>
      <c r="AG36" s="30"/>
      <c r="AJ36" s="5">
        <v>8.0</v>
      </c>
      <c r="AK36" s="30">
        <v>0.8</v>
      </c>
      <c r="AL36" s="30">
        <v>0.8</v>
      </c>
      <c r="AM36" s="27"/>
      <c r="AN36" s="30"/>
      <c r="AQ36" s="5">
        <v>5.0</v>
      </c>
      <c r="AR36" s="30">
        <v>0.8</v>
      </c>
      <c r="AS36" s="30">
        <v>0.8</v>
      </c>
      <c r="AT36" s="27"/>
      <c r="AY36" s="30">
        <v>0.8</v>
      </c>
      <c r="AZ36" s="30">
        <v>1.0</v>
      </c>
      <c r="BA36" s="27"/>
      <c r="BD36" s="11"/>
      <c r="BE36" s="5">
        <v>5.5</v>
      </c>
      <c r="BF36" s="30">
        <v>1.0</v>
      </c>
      <c r="BG36" s="30">
        <v>1.0</v>
      </c>
      <c r="BH36" s="27"/>
      <c r="BM36" s="27"/>
      <c r="BN36" s="30"/>
      <c r="BO36" s="27"/>
      <c r="BP36" s="30"/>
      <c r="BR36" s="11"/>
      <c r="BT36" s="27"/>
      <c r="BU36" s="30"/>
      <c r="BV36" s="27"/>
      <c r="BW36" s="30"/>
      <c r="BY36" s="11"/>
      <c r="CA36" s="27"/>
      <c r="CB36" s="30"/>
      <c r="CC36" s="27"/>
      <c r="CD36" s="30"/>
      <c r="CF36" s="11"/>
      <c r="CH36" s="27"/>
      <c r="CI36" s="30"/>
      <c r="CJ36" s="27"/>
      <c r="CK36" s="30"/>
      <c r="CM36" s="11"/>
      <c r="CO36" s="27"/>
      <c r="CP36" s="30"/>
      <c r="CQ36" s="27"/>
      <c r="CR36" s="30"/>
      <c r="CT36" s="11"/>
      <c r="CV36" s="27"/>
      <c r="CW36" s="30"/>
      <c r="CX36" s="27"/>
      <c r="CY36" s="30"/>
      <c r="DA36" s="11"/>
      <c r="DC36" s="27"/>
      <c r="DD36" s="27"/>
      <c r="DE36" s="27"/>
      <c r="DF36" s="27"/>
      <c r="DH36" s="11"/>
      <c r="DI36" s="11"/>
      <c r="DK36" s="27"/>
      <c r="DL36" s="27"/>
      <c r="DM36" s="27"/>
      <c r="DN36" s="27"/>
    </row>
    <row r="37" ht="15.75" hidden="1" customHeight="1" outlineLevel="1">
      <c r="B37" s="6" t="s">
        <v>56</v>
      </c>
      <c r="C37" s="24" t="s">
        <v>85</v>
      </c>
      <c r="E37" s="26"/>
      <c r="F37" s="5" t="s">
        <v>134</v>
      </c>
      <c r="G37" s="30">
        <v>0.1</v>
      </c>
      <c r="I37" s="26">
        <f t="shared" si="4"/>
        <v>16</v>
      </c>
      <c r="J37" s="29">
        <f t="array" ref="J37">MAX(IF($N$3:$GO$3=$J$3,N37:GO37))</f>
        <v>1</v>
      </c>
      <c r="K37" s="29">
        <f t="array" ref="K37">MAX(IF($N$3:$GO$3=$J$3,N37:GO37))</f>
        <v>1</v>
      </c>
      <c r="L37" s="26"/>
      <c r="P37" s="27"/>
      <c r="Q37" s="30"/>
      <c r="R37" s="27"/>
      <c r="S37" s="30"/>
      <c r="W37" s="27"/>
      <c r="X37" s="30"/>
      <c r="Y37" s="27"/>
      <c r="Z37" s="30"/>
      <c r="AD37" s="27"/>
      <c r="AE37" s="30"/>
      <c r="AF37" s="27"/>
      <c r="AG37" s="30"/>
      <c r="AJ37" s="5">
        <v>3.0</v>
      </c>
      <c r="AK37" s="30">
        <v>0.2</v>
      </c>
      <c r="AL37" s="30">
        <v>0.5</v>
      </c>
      <c r="AM37" s="27"/>
      <c r="AN37" s="30"/>
      <c r="AQ37" s="5">
        <v>13.0</v>
      </c>
      <c r="AR37" s="30">
        <v>1.0</v>
      </c>
      <c r="AS37" s="30">
        <v>1.0</v>
      </c>
      <c r="AT37" s="27"/>
      <c r="AY37" s="30">
        <v>1.0</v>
      </c>
      <c r="AZ37" s="30">
        <v>0.8</v>
      </c>
      <c r="BA37" s="27"/>
      <c r="BD37" s="11"/>
      <c r="BF37" s="30">
        <v>1.0</v>
      </c>
      <c r="BG37" s="30">
        <v>1.0</v>
      </c>
      <c r="BH37" s="27"/>
      <c r="BM37" s="32" t="s">
        <v>120</v>
      </c>
      <c r="BR37" s="11"/>
      <c r="BT37" s="27"/>
      <c r="BU37" s="30"/>
      <c r="BV37" s="27"/>
      <c r="BW37" s="30"/>
      <c r="BY37" s="11"/>
      <c r="CA37" s="27"/>
      <c r="CB37" s="30"/>
      <c r="CC37" s="27"/>
      <c r="CD37" s="30"/>
      <c r="CF37" s="11"/>
      <c r="CH37" s="27"/>
      <c r="CI37" s="30"/>
      <c r="CJ37" s="27"/>
      <c r="CK37" s="30"/>
      <c r="CM37" s="11"/>
      <c r="CO37" s="27"/>
      <c r="CP37" s="30"/>
      <c r="CQ37" s="27"/>
      <c r="CR37" s="30"/>
      <c r="CT37" s="11"/>
      <c r="CV37" s="27"/>
      <c r="CW37" s="30"/>
      <c r="CX37" s="27"/>
      <c r="CY37" s="30"/>
      <c r="DA37" s="11"/>
      <c r="DC37" s="27"/>
      <c r="DD37" s="27"/>
      <c r="DE37" s="27"/>
      <c r="DF37" s="27"/>
      <c r="DH37" s="11"/>
      <c r="DI37" s="11"/>
      <c r="DK37" s="27"/>
      <c r="DL37" s="27"/>
      <c r="DM37" s="27"/>
      <c r="DN37" s="27"/>
    </row>
    <row r="38" ht="15.75" hidden="1" customHeight="1" outlineLevel="1">
      <c r="B38" s="6" t="s">
        <v>56</v>
      </c>
      <c r="C38" s="24" t="s">
        <v>85</v>
      </c>
      <c r="E38" s="26"/>
      <c r="F38" s="5" t="s">
        <v>135</v>
      </c>
      <c r="G38" s="30">
        <v>0.1</v>
      </c>
      <c r="I38" s="26">
        <f t="shared" si="4"/>
        <v>15</v>
      </c>
      <c r="J38" s="29">
        <f t="array" ref="J38">MAX(IF($N$3:$GO$3=$J$3,N38:GO38))</f>
        <v>1</v>
      </c>
      <c r="K38" s="29">
        <f t="array" ref="K38">MAX(IF($N$3:$GO$3=$J$3,N38:GO38))</f>
        <v>1</v>
      </c>
      <c r="L38" s="26"/>
      <c r="P38" s="27"/>
      <c r="Q38" s="27"/>
      <c r="R38" s="27"/>
      <c r="S38" s="30"/>
      <c r="W38" s="27"/>
      <c r="X38" s="27"/>
      <c r="Y38" s="27"/>
      <c r="Z38" s="30"/>
      <c r="AD38" s="27"/>
      <c r="AE38" s="30"/>
      <c r="AF38" s="27"/>
      <c r="AG38" s="30"/>
      <c r="AK38" s="27"/>
      <c r="AL38" s="30">
        <v>0.0</v>
      </c>
      <c r="AM38" s="27"/>
      <c r="AN38" s="30"/>
      <c r="AR38" s="27"/>
      <c r="AS38" s="30">
        <v>0.5</v>
      </c>
      <c r="AT38" s="27"/>
      <c r="AX38" s="5">
        <v>6.0</v>
      </c>
      <c r="AY38" s="30">
        <v>0.4</v>
      </c>
      <c r="AZ38" s="30">
        <v>1.0</v>
      </c>
      <c r="BA38" s="27"/>
      <c r="BD38" s="11"/>
      <c r="BE38" s="5">
        <v>9.0</v>
      </c>
      <c r="BF38" s="30">
        <v>1.0</v>
      </c>
      <c r="BG38" s="30">
        <v>1.0</v>
      </c>
      <c r="BH38" s="27"/>
      <c r="BM38" s="27"/>
      <c r="BN38" s="30"/>
      <c r="BO38" s="27"/>
      <c r="BP38" s="30"/>
      <c r="BR38" s="11"/>
      <c r="BT38" s="27"/>
      <c r="BU38" s="30"/>
      <c r="BV38" s="27"/>
      <c r="BW38" s="30"/>
      <c r="BY38" s="11"/>
      <c r="CA38" s="27"/>
      <c r="CB38" s="30"/>
      <c r="CC38" s="27"/>
      <c r="CD38" s="30"/>
      <c r="CF38" s="11"/>
      <c r="CH38" s="27"/>
      <c r="CI38" s="30"/>
      <c r="CJ38" s="27"/>
      <c r="CK38" s="30"/>
      <c r="CM38" s="11"/>
      <c r="CO38" s="27"/>
      <c r="CP38" s="30"/>
      <c r="CQ38" s="27"/>
      <c r="CR38" s="30"/>
      <c r="CT38" s="11"/>
      <c r="CV38" s="27"/>
      <c r="CW38" s="30"/>
      <c r="CX38" s="27"/>
      <c r="CY38" s="30"/>
      <c r="DA38" s="11"/>
      <c r="DC38" s="27"/>
      <c r="DD38" s="27"/>
      <c r="DE38" s="27"/>
      <c r="DF38" s="27"/>
      <c r="DH38" s="11"/>
      <c r="DI38" s="11"/>
      <c r="DK38" s="27"/>
      <c r="DL38" s="27"/>
      <c r="DM38" s="27"/>
      <c r="DN38" s="27"/>
    </row>
    <row r="39" ht="15.75" customHeight="1" collapsed="1">
      <c r="C39" s="8"/>
      <c r="BD39" s="11"/>
      <c r="BR39" s="11"/>
      <c r="BY39" s="11"/>
      <c r="CF39" s="11"/>
      <c r="CM39" s="11"/>
      <c r="CT39" s="11"/>
      <c r="DA39" s="11"/>
      <c r="DH39" s="11"/>
      <c r="DI39" s="11"/>
    </row>
    <row r="40" ht="15.75" customHeight="1">
      <c r="B40" s="6" t="s">
        <v>26</v>
      </c>
      <c r="C40" s="24" t="s">
        <v>86</v>
      </c>
      <c r="D40" s="25">
        <v>44888.0</v>
      </c>
      <c r="E40" s="32">
        <v>3.0</v>
      </c>
      <c r="G40" s="27">
        <f>+SUM(G41:G48)</f>
        <v>1</v>
      </c>
      <c r="I40" s="28">
        <f>+SUM(I41:I48)</f>
        <v>44</v>
      </c>
      <c r="J40" s="29">
        <f>+SUMPRODUCT(G41:G48,J41:J48)</f>
        <v>1</v>
      </c>
      <c r="K40" s="29">
        <f>+SUMPRODUCT(G41:G48,K41:K48)</f>
        <v>1</v>
      </c>
      <c r="L40" s="26"/>
      <c r="O40" s="38">
        <f>SUM(O41:O48)</f>
        <v>3</v>
      </c>
      <c r="V40" s="38">
        <f>SUM(V41:V48)</f>
        <v>8</v>
      </c>
      <c r="AC40" s="28">
        <f>SUM(AC41:AC48)</f>
        <v>14.5</v>
      </c>
      <c r="AJ40" s="28">
        <f>SUM(AJ41:AJ48)</f>
        <v>1</v>
      </c>
      <c r="AQ40" s="28">
        <f>SUM(AQ41:AQ48)</f>
        <v>0</v>
      </c>
      <c r="AX40" s="38">
        <f>SUM(AX41:AX48)</f>
        <v>1.5</v>
      </c>
      <c r="BD40" s="11"/>
      <c r="BE40" s="28">
        <f>SUM(BE41:BE48)</f>
        <v>0</v>
      </c>
      <c r="BL40" s="28"/>
      <c r="BR40" s="11"/>
      <c r="BS40" s="28">
        <f>SUM(BS41:BS48)</f>
        <v>0</v>
      </c>
      <c r="BY40" s="11"/>
      <c r="BZ40" s="28"/>
      <c r="CF40" s="11"/>
      <c r="CG40" s="28">
        <f>SUM(CG41:CG48)</f>
        <v>6</v>
      </c>
      <c r="CM40" s="11"/>
      <c r="CN40" s="28">
        <f>SUM(CN41:CN48)</f>
        <v>10</v>
      </c>
      <c r="CT40" s="11"/>
      <c r="CU40" s="28"/>
      <c r="DA40" s="11"/>
      <c r="DB40" s="28"/>
      <c r="DH40" s="11"/>
      <c r="DI40" s="11"/>
      <c r="DJ40" s="28"/>
    </row>
    <row r="41" ht="15.75" hidden="1" customHeight="1" outlineLevel="1">
      <c r="B41" s="6" t="s">
        <v>56</v>
      </c>
      <c r="C41" s="24" t="s">
        <v>86</v>
      </c>
      <c r="E41" s="26"/>
      <c r="F41" s="5" t="s">
        <v>87</v>
      </c>
      <c r="G41" s="30">
        <v>0.05</v>
      </c>
      <c r="I41" s="26">
        <f t="shared" ref="I41:I48" si="5">+SUMIF($N$3:$ACG$3,I$3,$N41:$ACG41)</f>
        <v>3</v>
      </c>
      <c r="J41" s="29">
        <f t="array" ref="J41">MAX(IF($N$3:$GO$3=$J$3,N41:GO41))</f>
        <v>1</v>
      </c>
      <c r="K41" s="29">
        <f t="array" ref="K41">MAX(IF($N$3:$GO$3=$J$3,N41:GO41))</f>
        <v>1</v>
      </c>
      <c r="L41" s="26"/>
      <c r="O41" s="5">
        <v>2.0</v>
      </c>
      <c r="P41" s="30">
        <v>1.0</v>
      </c>
      <c r="Q41" s="30">
        <v>1.0</v>
      </c>
      <c r="R41" s="27"/>
      <c r="S41" s="30"/>
      <c r="T41" s="5">
        <v>1.0</v>
      </c>
      <c r="V41" s="5">
        <v>1.0</v>
      </c>
      <c r="W41" s="30">
        <v>1.0</v>
      </c>
      <c r="X41" s="30">
        <v>1.0</v>
      </c>
      <c r="Y41" s="30"/>
      <c r="Z41" s="30"/>
      <c r="AD41" s="30">
        <v>1.0</v>
      </c>
      <c r="AE41" s="30">
        <v>1.0</v>
      </c>
      <c r="AF41" s="30"/>
      <c r="AG41" s="30"/>
      <c r="AK41" s="30">
        <v>1.0</v>
      </c>
      <c r="AL41" s="30">
        <v>1.0</v>
      </c>
      <c r="AM41" s="30"/>
      <c r="AN41" s="30"/>
      <c r="AR41" s="30">
        <v>1.0</v>
      </c>
      <c r="AS41" s="30">
        <v>1.0</v>
      </c>
      <c r="AT41" s="27"/>
      <c r="AY41" s="30">
        <v>1.0</v>
      </c>
      <c r="AZ41" s="30">
        <v>1.0</v>
      </c>
      <c r="BA41" s="27"/>
      <c r="BD41" s="11"/>
      <c r="BF41" s="30">
        <v>1.0</v>
      </c>
      <c r="BG41" s="30">
        <v>1.0</v>
      </c>
      <c r="BH41" s="27"/>
      <c r="BM41" s="27"/>
      <c r="BN41" s="30">
        <v>1.0</v>
      </c>
      <c r="BO41" s="27"/>
      <c r="BQ41" s="5">
        <v>1.0</v>
      </c>
      <c r="BR41" s="11"/>
      <c r="BT41" s="30">
        <v>1.0</v>
      </c>
      <c r="BU41" s="30">
        <v>1.0</v>
      </c>
      <c r="BV41" s="27"/>
      <c r="BY41" s="11"/>
      <c r="CA41" s="30">
        <v>1.0</v>
      </c>
      <c r="CB41" s="30">
        <v>1.0</v>
      </c>
      <c r="CC41" s="27"/>
      <c r="CF41" s="11"/>
      <c r="CH41" s="30">
        <v>1.0</v>
      </c>
      <c r="CI41" s="30">
        <v>1.0</v>
      </c>
      <c r="CJ41" s="27"/>
      <c r="CM41" s="11"/>
      <c r="CO41" s="30">
        <v>1.0</v>
      </c>
      <c r="CP41" s="30">
        <v>1.0</v>
      </c>
      <c r="CQ41" s="27"/>
      <c r="CR41" s="30"/>
      <c r="CT41" s="11"/>
      <c r="CV41" s="27"/>
      <c r="CW41" s="30"/>
      <c r="CX41" s="27"/>
      <c r="CY41" s="30"/>
      <c r="DA41" s="11"/>
      <c r="DC41" s="27"/>
      <c r="DD41" s="27"/>
      <c r="DE41" s="27"/>
      <c r="DF41" s="27"/>
      <c r="DH41" s="11"/>
      <c r="DI41" s="11"/>
      <c r="DK41" s="27"/>
      <c r="DL41" s="27"/>
      <c r="DM41" s="27"/>
      <c r="DN41" s="27"/>
    </row>
    <row r="42" ht="15.75" hidden="1" customHeight="1" outlineLevel="1">
      <c r="B42" s="6" t="s">
        <v>56</v>
      </c>
      <c r="C42" s="24" t="s">
        <v>86</v>
      </c>
      <c r="E42" s="26"/>
      <c r="F42" s="5" t="s">
        <v>136</v>
      </c>
      <c r="G42" s="30">
        <v>0.15</v>
      </c>
      <c r="I42" s="26">
        <f t="shared" si="5"/>
        <v>2</v>
      </c>
      <c r="J42" s="29">
        <f t="array" ref="J42">MAX(IF($N$3:$GO$3=$J$3,N42:GO42))</f>
        <v>1</v>
      </c>
      <c r="K42" s="29">
        <f t="array" ref="K42">MAX(IF($N$3:$GO$3=$J$3,N42:GO42))</f>
        <v>1</v>
      </c>
      <c r="L42" s="26"/>
      <c r="O42" s="5">
        <v>1.0</v>
      </c>
      <c r="P42" s="30">
        <v>0.1</v>
      </c>
      <c r="Q42" s="30">
        <v>0.0</v>
      </c>
      <c r="R42" s="27"/>
      <c r="S42" s="30"/>
      <c r="V42" s="5">
        <v>1.0</v>
      </c>
      <c r="W42" s="30">
        <v>1.0</v>
      </c>
      <c r="X42" s="30">
        <v>1.0</v>
      </c>
      <c r="Y42" s="30"/>
      <c r="Z42" s="30"/>
      <c r="AD42" s="30">
        <v>1.0</v>
      </c>
      <c r="AE42" s="30">
        <v>1.0</v>
      </c>
      <c r="AF42" s="30"/>
      <c r="AG42" s="30"/>
      <c r="AK42" s="30">
        <v>1.0</v>
      </c>
      <c r="AL42" s="30">
        <v>1.0</v>
      </c>
      <c r="AM42" s="30"/>
      <c r="AN42" s="30"/>
      <c r="AR42" s="30">
        <v>1.0</v>
      </c>
      <c r="AS42" s="30">
        <v>1.0</v>
      </c>
      <c r="AT42" s="27"/>
      <c r="AY42" s="30">
        <v>1.0</v>
      </c>
      <c r="AZ42" s="30">
        <v>1.0</v>
      </c>
      <c r="BA42" s="27"/>
      <c r="BD42" s="11"/>
      <c r="BF42" s="30">
        <v>1.0</v>
      </c>
      <c r="BG42" s="30">
        <v>1.0</v>
      </c>
      <c r="BH42" s="27"/>
      <c r="BM42" s="27"/>
      <c r="BN42" s="30">
        <v>1.0</v>
      </c>
      <c r="BO42" s="27"/>
      <c r="BR42" s="11"/>
      <c r="BT42" s="30">
        <v>1.0</v>
      </c>
      <c r="BU42" s="30">
        <v>1.0</v>
      </c>
      <c r="BV42" s="27"/>
      <c r="BY42" s="11"/>
      <c r="CA42" s="30">
        <v>1.0</v>
      </c>
      <c r="CB42" s="30">
        <v>1.0</v>
      </c>
      <c r="CC42" s="27"/>
      <c r="CF42" s="11"/>
      <c r="CH42" s="30">
        <v>1.0</v>
      </c>
      <c r="CI42" s="30">
        <v>1.0</v>
      </c>
      <c r="CJ42" s="27"/>
      <c r="CM42" s="11"/>
      <c r="CO42" s="30">
        <v>1.0</v>
      </c>
      <c r="CP42" s="30">
        <v>1.0</v>
      </c>
      <c r="CQ42" s="27"/>
      <c r="CR42" s="30"/>
      <c r="CT42" s="11"/>
      <c r="CV42" s="27"/>
      <c r="CW42" s="30"/>
      <c r="CX42" s="27"/>
      <c r="CY42" s="30"/>
      <c r="DA42" s="11"/>
      <c r="DC42" s="27"/>
      <c r="DD42" s="27"/>
      <c r="DE42" s="27"/>
      <c r="DF42" s="27"/>
      <c r="DH42" s="11"/>
      <c r="DI42" s="11"/>
      <c r="DK42" s="27"/>
      <c r="DL42" s="27"/>
      <c r="DM42" s="27"/>
      <c r="DN42" s="27"/>
    </row>
    <row r="43" ht="15.75" hidden="1" customHeight="1" outlineLevel="1">
      <c r="B43" s="6" t="s">
        <v>56</v>
      </c>
      <c r="C43" s="24" t="s">
        <v>86</v>
      </c>
      <c r="E43" s="26"/>
      <c r="F43" s="5" t="s">
        <v>137</v>
      </c>
      <c r="G43" s="30">
        <v>0.05</v>
      </c>
      <c r="I43" s="26">
        <f t="shared" si="5"/>
        <v>15</v>
      </c>
      <c r="J43" s="29">
        <f t="array" ref="J43">MAX(IF($N$3:$GO$3=$J$3,N43:GO43))</f>
        <v>1</v>
      </c>
      <c r="K43" s="29">
        <f t="array" ref="K43">MAX(IF($N$3:$GO$3=$J$3,N43:GO43))</f>
        <v>1</v>
      </c>
      <c r="L43" s="26"/>
      <c r="P43" s="30">
        <v>0.1</v>
      </c>
      <c r="Q43" s="30">
        <v>0.0</v>
      </c>
      <c r="R43" s="27"/>
      <c r="S43" s="30"/>
      <c r="V43" s="5">
        <v>6.0</v>
      </c>
      <c r="W43" s="30">
        <v>0.3</v>
      </c>
      <c r="X43" s="30">
        <v>0.5</v>
      </c>
      <c r="Y43" s="30"/>
      <c r="Z43" s="30"/>
      <c r="AC43" s="5">
        <v>9.0</v>
      </c>
      <c r="AD43" s="30">
        <v>1.0</v>
      </c>
      <c r="AE43" s="30">
        <v>1.0</v>
      </c>
      <c r="AF43" s="30"/>
      <c r="AG43" s="30"/>
      <c r="AK43" s="30">
        <v>1.0</v>
      </c>
      <c r="AL43" s="30">
        <v>1.0</v>
      </c>
      <c r="AM43" s="30"/>
      <c r="AN43" s="30"/>
      <c r="AR43" s="30">
        <v>1.0</v>
      </c>
      <c r="AS43" s="30">
        <v>1.0</v>
      </c>
      <c r="AT43" s="27"/>
      <c r="AY43" s="30">
        <v>1.0</v>
      </c>
      <c r="AZ43" s="30">
        <v>1.0</v>
      </c>
      <c r="BA43" s="27"/>
      <c r="BD43" s="11"/>
      <c r="BF43" s="30">
        <v>1.0</v>
      </c>
      <c r="BG43" s="30">
        <v>1.0</v>
      </c>
      <c r="BH43" s="27"/>
      <c r="BM43" s="27"/>
      <c r="BN43" s="30">
        <v>1.0</v>
      </c>
      <c r="BO43" s="27"/>
      <c r="BR43" s="11"/>
      <c r="BT43" s="30">
        <v>1.0</v>
      </c>
      <c r="BU43" s="30">
        <v>1.0</v>
      </c>
      <c r="BV43" s="27"/>
      <c r="BY43" s="11"/>
      <c r="CA43" s="30">
        <v>1.0</v>
      </c>
      <c r="CB43" s="30">
        <v>1.0</v>
      </c>
      <c r="CC43" s="27"/>
      <c r="CF43" s="11"/>
      <c r="CH43" s="30">
        <v>1.0</v>
      </c>
      <c r="CI43" s="30">
        <v>1.0</v>
      </c>
      <c r="CJ43" s="27"/>
      <c r="CM43" s="11"/>
      <c r="CO43" s="30">
        <v>1.0</v>
      </c>
      <c r="CP43" s="30">
        <v>1.0</v>
      </c>
      <c r="CQ43" s="27"/>
      <c r="CR43" s="30"/>
      <c r="CT43" s="11"/>
      <c r="CV43" s="27"/>
      <c r="CW43" s="30"/>
      <c r="CX43" s="27"/>
      <c r="CY43" s="30"/>
      <c r="DA43" s="11"/>
      <c r="DC43" s="27"/>
      <c r="DD43" s="27"/>
      <c r="DE43" s="27"/>
      <c r="DF43" s="27"/>
      <c r="DH43" s="11"/>
      <c r="DI43" s="11"/>
      <c r="DK43" s="27"/>
      <c r="DL43" s="27"/>
      <c r="DM43" s="27"/>
      <c r="DN43" s="27"/>
    </row>
    <row r="44" ht="15.75" hidden="1" customHeight="1" outlineLevel="1">
      <c r="B44" s="6" t="s">
        <v>56</v>
      </c>
      <c r="C44" s="24" t="s">
        <v>86</v>
      </c>
      <c r="E44" s="26"/>
      <c r="F44" s="5" t="s">
        <v>90</v>
      </c>
      <c r="G44" s="30">
        <v>0.15</v>
      </c>
      <c r="I44" s="26">
        <f t="shared" si="5"/>
        <v>5</v>
      </c>
      <c r="J44" s="29">
        <f t="array" ref="J44">MAX(IF($N$3:$GO$3=$J$3,N44:GO44))</f>
        <v>1</v>
      </c>
      <c r="K44" s="29">
        <f t="array" ref="K44">MAX(IF($N$3:$GO$3=$J$3,N44:GO44))</f>
        <v>1</v>
      </c>
      <c r="L44" s="26"/>
      <c r="P44" s="27"/>
      <c r="Q44" s="30">
        <v>0.0</v>
      </c>
      <c r="R44" s="27"/>
      <c r="S44" s="30"/>
      <c r="W44" s="27"/>
      <c r="X44" s="30">
        <v>0.0</v>
      </c>
      <c r="Y44" s="27"/>
      <c r="Z44" s="30"/>
      <c r="AC44" s="5">
        <v>4.0</v>
      </c>
      <c r="AD44" s="30">
        <v>1.0</v>
      </c>
      <c r="AE44" s="30">
        <v>0.0</v>
      </c>
      <c r="AF44" s="30"/>
      <c r="AG44" s="30"/>
      <c r="AJ44" s="5">
        <v>1.0</v>
      </c>
      <c r="AK44" s="30">
        <v>1.0</v>
      </c>
      <c r="AL44" s="30">
        <v>1.0</v>
      </c>
      <c r="AM44" s="30"/>
      <c r="AN44" s="30"/>
      <c r="AR44" s="30">
        <v>1.0</v>
      </c>
      <c r="AS44" s="30">
        <v>1.0</v>
      </c>
      <c r="AT44" s="27"/>
      <c r="AY44" s="30">
        <v>1.0</v>
      </c>
      <c r="AZ44" s="30">
        <v>1.0</v>
      </c>
      <c r="BA44" s="27"/>
      <c r="BD44" s="11"/>
      <c r="BF44" s="30">
        <v>1.0</v>
      </c>
      <c r="BG44" s="30">
        <v>1.0</v>
      </c>
      <c r="BH44" s="27"/>
      <c r="BM44" s="27"/>
      <c r="BN44" s="30">
        <v>1.0</v>
      </c>
      <c r="BO44" s="27"/>
      <c r="BR44" s="11"/>
      <c r="BT44" s="30">
        <v>1.0</v>
      </c>
      <c r="BU44" s="30">
        <v>1.0</v>
      </c>
      <c r="BV44" s="27"/>
      <c r="BY44" s="11"/>
      <c r="CA44" s="30">
        <v>1.0</v>
      </c>
      <c r="CB44" s="30">
        <v>1.0</v>
      </c>
      <c r="CC44" s="27"/>
      <c r="CF44" s="11"/>
      <c r="CH44" s="30">
        <v>1.0</v>
      </c>
      <c r="CI44" s="30">
        <v>1.0</v>
      </c>
      <c r="CJ44" s="27"/>
      <c r="CM44" s="11"/>
      <c r="CO44" s="30">
        <v>1.0</v>
      </c>
      <c r="CP44" s="30">
        <v>1.0</v>
      </c>
      <c r="CQ44" s="33"/>
      <c r="CR44" s="33"/>
      <c r="CT44" s="11"/>
      <c r="CV44" s="27"/>
      <c r="CW44" s="30"/>
      <c r="CX44" s="27"/>
      <c r="CY44" s="30"/>
      <c r="DA44" s="11"/>
      <c r="DC44" s="27"/>
      <c r="DD44" s="27"/>
      <c r="DE44" s="27"/>
      <c r="DF44" s="27"/>
      <c r="DH44" s="11"/>
      <c r="DI44" s="11"/>
      <c r="DK44" s="27"/>
      <c r="DL44" s="27"/>
      <c r="DM44" s="27"/>
      <c r="DN44" s="27"/>
    </row>
    <row r="45" ht="15.75" hidden="1" customHeight="1" outlineLevel="1">
      <c r="B45" s="6" t="s">
        <v>56</v>
      </c>
      <c r="C45" s="24" t="s">
        <v>86</v>
      </c>
      <c r="E45" s="26"/>
      <c r="F45" s="5" t="s">
        <v>91</v>
      </c>
      <c r="G45" s="30">
        <v>0.05</v>
      </c>
      <c r="I45" s="26">
        <f t="shared" si="5"/>
        <v>1.5</v>
      </c>
      <c r="J45" s="29">
        <f t="array" ref="J45">MAX(IF($N$3:$GO$3=$J$3,N45:GO45))</f>
        <v>1</v>
      </c>
      <c r="K45" s="29">
        <f t="array" ref="K45">MAX(IF($N$3:$GO$3=$J$3,N45:GO45))</f>
        <v>1</v>
      </c>
      <c r="L45" s="26"/>
      <c r="P45" s="27"/>
      <c r="Q45" s="30">
        <v>0.0</v>
      </c>
      <c r="R45" s="27"/>
      <c r="S45" s="30"/>
      <c r="W45" s="30">
        <v>0.3</v>
      </c>
      <c r="X45" s="30">
        <v>0.0</v>
      </c>
      <c r="Y45" s="27"/>
      <c r="Z45" s="30"/>
      <c r="AC45" s="5">
        <v>1.5</v>
      </c>
      <c r="AD45" s="30">
        <v>1.0</v>
      </c>
      <c r="AE45" s="30">
        <v>0.0</v>
      </c>
      <c r="AF45" s="30"/>
      <c r="AG45" s="30"/>
      <c r="AK45" s="30">
        <v>1.0</v>
      </c>
      <c r="AL45" s="30">
        <v>1.0</v>
      </c>
      <c r="AM45" s="30"/>
      <c r="AN45" s="30"/>
      <c r="AR45" s="30">
        <v>1.0</v>
      </c>
      <c r="AS45" s="30">
        <v>1.0</v>
      </c>
      <c r="AT45" s="27"/>
      <c r="AY45" s="30">
        <v>1.0</v>
      </c>
      <c r="AZ45" s="30">
        <v>1.0</v>
      </c>
      <c r="BA45" s="27"/>
      <c r="BD45" s="11"/>
      <c r="BF45" s="30">
        <v>1.0</v>
      </c>
      <c r="BG45" s="30">
        <v>1.0</v>
      </c>
      <c r="BH45" s="27"/>
      <c r="BM45" s="27"/>
      <c r="BN45" s="30">
        <v>1.0</v>
      </c>
      <c r="BO45" s="27"/>
      <c r="BR45" s="11"/>
      <c r="BT45" s="30">
        <v>1.0</v>
      </c>
      <c r="BU45" s="30">
        <v>1.0</v>
      </c>
      <c r="BV45" s="27"/>
      <c r="BY45" s="11"/>
      <c r="CA45" s="30">
        <v>1.0</v>
      </c>
      <c r="CB45" s="30">
        <v>1.0</v>
      </c>
      <c r="CC45" s="27"/>
      <c r="CF45" s="11"/>
      <c r="CH45" s="30">
        <v>1.0</v>
      </c>
      <c r="CI45" s="30">
        <v>1.0</v>
      </c>
      <c r="CJ45" s="27"/>
      <c r="CM45" s="11"/>
      <c r="CO45" s="30">
        <v>1.0</v>
      </c>
      <c r="CP45" s="30">
        <v>1.0</v>
      </c>
      <c r="CQ45" s="27"/>
      <c r="CR45" s="30"/>
      <c r="CT45" s="11"/>
      <c r="CV45" s="27"/>
      <c r="CW45" s="30"/>
      <c r="CX45" s="27"/>
      <c r="CY45" s="30"/>
      <c r="DA45" s="11"/>
      <c r="DC45" s="27"/>
      <c r="DD45" s="27"/>
      <c r="DE45" s="27"/>
      <c r="DF45" s="27"/>
      <c r="DH45" s="11"/>
      <c r="DI45" s="11"/>
      <c r="DK45" s="27"/>
      <c r="DL45" s="27"/>
      <c r="DM45" s="27"/>
      <c r="DN45" s="27"/>
    </row>
    <row r="46" ht="15.75" hidden="1" customHeight="1" outlineLevel="1">
      <c r="B46" s="6" t="s">
        <v>56</v>
      </c>
      <c r="C46" s="24" t="s">
        <v>86</v>
      </c>
      <c r="E46" s="26"/>
      <c r="F46" s="5" t="s">
        <v>92</v>
      </c>
      <c r="G46" s="30">
        <v>0.05</v>
      </c>
      <c r="I46" s="26">
        <f t="shared" si="5"/>
        <v>1.5</v>
      </c>
      <c r="J46" s="29">
        <f t="array" ref="J46">MAX(IF($N$3:$GO$3=$J$3,N46:GO46))</f>
        <v>1</v>
      </c>
      <c r="K46" s="29">
        <f t="array" ref="K46">MAX(IF($N$3:$GO$3=$J$3,N46:GO46))</f>
        <v>1</v>
      </c>
      <c r="L46" s="26"/>
      <c r="P46" s="27"/>
      <c r="Q46" s="30">
        <v>0.0</v>
      </c>
      <c r="R46" s="27"/>
      <c r="S46" s="30"/>
      <c r="W46" s="27"/>
      <c r="X46" s="30">
        <v>0.0</v>
      </c>
      <c r="Y46" s="27"/>
      <c r="Z46" s="30"/>
      <c r="AD46" s="27"/>
      <c r="AE46" s="30">
        <v>0.0</v>
      </c>
      <c r="AF46" s="27"/>
      <c r="AG46" s="30"/>
      <c r="AK46" s="27"/>
      <c r="AL46" s="30">
        <v>0.0</v>
      </c>
      <c r="AM46" s="27"/>
      <c r="AN46" s="30"/>
      <c r="AR46" s="27"/>
      <c r="AS46" s="30">
        <v>0.0</v>
      </c>
      <c r="AT46" s="27"/>
      <c r="AX46" s="5">
        <v>1.5</v>
      </c>
      <c r="AY46" s="30">
        <v>1.0</v>
      </c>
      <c r="AZ46" s="30">
        <v>1.0</v>
      </c>
      <c r="BA46" s="27"/>
      <c r="BD46" s="11"/>
      <c r="BF46" s="30">
        <v>1.0</v>
      </c>
      <c r="BG46" s="30">
        <v>1.0</v>
      </c>
      <c r="BH46" s="27"/>
      <c r="BM46" s="27"/>
      <c r="BN46" s="30">
        <v>1.0</v>
      </c>
      <c r="BO46" s="27"/>
      <c r="BR46" s="11"/>
      <c r="BT46" s="30">
        <v>1.0</v>
      </c>
      <c r="BU46" s="30">
        <v>1.0</v>
      </c>
      <c r="BV46" s="27"/>
      <c r="BY46" s="11"/>
      <c r="CA46" s="30">
        <v>1.0</v>
      </c>
      <c r="CB46" s="30">
        <v>1.0</v>
      </c>
      <c r="CC46" s="27"/>
      <c r="CF46" s="11"/>
      <c r="CH46" s="30">
        <v>1.0</v>
      </c>
      <c r="CI46" s="30">
        <v>1.0</v>
      </c>
      <c r="CJ46" s="27"/>
      <c r="CM46" s="11"/>
      <c r="CO46" s="30">
        <v>1.0</v>
      </c>
      <c r="CP46" s="30">
        <v>1.0</v>
      </c>
      <c r="CQ46" s="27"/>
      <c r="CR46" s="30"/>
      <c r="CT46" s="11"/>
      <c r="CV46" s="27"/>
      <c r="CW46" s="30"/>
      <c r="CX46" s="27"/>
      <c r="CY46" s="30"/>
      <c r="DA46" s="11"/>
      <c r="DC46" s="27"/>
      <c r="DD46" s="27"/>
      <c r="DE46" s="27"/>
      <c r="DF46" s="27"/>
      <c r="DH46" s="11"/>
      <c r="DI46" s="11"/>
      <c r="DK46" s="27"/>
      <c r="DL46" s="27"/>
      <c r="DM46" s="27"/>
      <c r="DN46" s="27"/>
    </row>
    <row r="47" ht="15.75" hidden="1" customHeight="1" outlineLevel="1">
      <c r="B47" s="6" t="s">
        <v>56</v>
      </c>
      <c r="C47" s="24" t="s">
        <v>86</v>
      </c>
      <c r="E47" s="26"/>
      <c r="F47" s="5" t="s">
        <v>93</v>
      </c>
      <c r="G47" s="30">
        <v>0.05</v>
      </c>
      <c r="I47" s="26">
        <f t="shared" si="5"/>
        <v>1</v>
      </c>
      <c r="J47" s="29">
        <f t="array" ref="J47">MAX(IF($N$3:$GO$3=$J$3,N47:GO47))</f>
        <v>1</v>
      </c>
      <c r="K47" s="29">
        <f t="array" ref="K47">MAX(IF($N$3:$GO$3=$J$3,N47:GO47))</f>
        <v>1</v>
      </c>
      <c r="L47" s="26"/>
      <c r="P47" s="27"/>
      <c r="Q47" s="30">
        <v>0.0</v>
      </c>
      <c r="R47" s="27"/>
      <c r="S47" s="30"/>
      <c r="W47" s="27"/>
      <c r="X47" s="30">
        <v>0.0</v>
      </c>
      <c r="Y47" s="27"/>
      <c r="Z47" s="30"/>
      <c r="AD47" s="27"/>
      <c r="AE47" s="30">
        <v>0.0</v>
      </c>
      <c r="AF47" s="27"/>
      <c r="AG47" s="30"/>
      <c r="AK47" s="27"/>
      <c r="AL47" s="30">
        <v>0.0</v>
      </c>
      <c r="AM47" s="27"/>
      <c r="AN47" s="30"/>
      <c r="AR47" s="27"/>
      <c r="AS47" s="30">
        <v>0.0</v>
      </c>
      <c r="AT47" s="27"/>
      <c r="AY47" s="27"/>
      <c r="AZ47" s="30">
        <v>0.0</v>
      </c>
      <c r="BA47" s="27"/>
      <c r="BD47" s="11"/>
      <c r="BF47" s="27"/>
      <c r="BG47" s="30">
        <v>0.0</v>
      </c>
      <c r="BH47" s="27"/>
      <c r="BM47" s="27"/>
      <c r="BN47" s="30">
        <v>0.0</v>
      </c>
      <c r="BO47" s="27"/>
      <c r="BR47" s="11"/>
      <c r="BT47" s="27"/>
      <c r="BU47" s="30">
        <v>0.0</v>
      </c>
      <c r="BV47" s="27"/>
      <c r="BY47" s="11"/>
      <c r="CA47" s="30"/>
      <c r="CB47" s="30">
        <v>0.8</v>
      </c>
      <c r="CC47" s="27"/>
      <c r="CF47" s="11"/>
      <c r="CG47" s="5">
        <v>1.0</v>
      </c>
      <c r="CH47" s="30">
        <v>1.0</v>
      </c>
      <c r="CI47" s="30">
        <v>1.0</v>
      </c>
      <c r="CJ47" s="27"/>
      <c r="CL47" s="5" t="s">
        <v>138</v>
      </c>
      <c r="CM47" s="11"/>
      <c r="CO47" s="30">
        <v>1.0</v>
      </c>
      <c r="CP47" s="30">
        <v>1.0</v>
      </c>
      <c r="CQ47" s="27"/>
      <c r="CR47" s="30"/>
      <c r="CT47" s="11"/>
      <c r="CV47" s="27"/>
      <c r="CW47" s="30"/>
      <c r="CX47" s="27"/>
      <c r="CY47" s="30"/>
      <c r="DA47" s="11"/>
      <c r="DC47" s="27"/>
      <c r="DD47" s="27"/>
      <c r="DE47" s="27"/>
      <c r="DF47" s="27"/>
      <c r="DH47" s="11"/>
      <c r="DI47" s="11"/>
      <c r="DK47" s="27"/>
      <c r="DL47" s="27"/>
      <c r="DM47" s="27"/>
      <c r="DN47" s="27"/>
    </row>
    <row r="48" ht="15.75" hidden="1" customHeight="1" outlineLevel="1">
      <c r="B48" s="6" t="s">
        <v>56</v>
      </c>
      <c r="C48" s="24" t="s">
        <v>86</v>
      </c>
      <c r="E48" s="26"/>
      <c r="F48" s="5" t="s">
        <v>94</v>
      </c>
      <c r="G48" s="30">
        <v>0.45</v>
      </c>
      <c r="I48" s="26">
        <f t="shared" si="5"/>
        <v>15</v>
      </c>
      <c r="J48" s="29">
        <f t="array" ref="J48">MAX(IF($N$3:$GO$3=$J$3,N48:GO48))</f>
        <v>1</v>
      </c>
      <c r="K48" s="29">
        <f t="array" ref="K48">MAX(IF($N$3:$GO$3=$J$3,N48:GO48))</f>
        <v>1</v>
      </c>
      <c r="L48" s="26"/>
      <c r="P48" s="27"/>
      <c r="Q48" s="30">
        <v>0.0</v>
      </c>
      <c r="R48" s="27"/>
      <c r="S48" s="30"/>
      <c r="W48" s="27"/>
      <c r="X48" s="30">
        <v>0.0</v>
      </c>
      <c r="Y48" s="27"/>
      <c r="Z48" s="30"/>
      <c r="AD48" s="27"/>
      <c r="AE48" s="30">
        <v>0.0</v>
      </c>
      <c r="AF48" s="27"/>
      <c r="AG48" s="30"/>
      <c r="AK48" s="27"/>
      <c r="AL48" s="30">
        <v>0.0</v>
      </c>
      <c r="AM48" s="27"/>
      <c r="AN48" s="30"/>
      <c r="AR48" s="27"/>
      <c r="AS48" s="30">
        <v>0.0</v>
      </c>
      <c r="AT48" s="27"/>
      <c r="AY48" s="27"/>
      <c r="AZ48" s="30">
        <v>0.0</v>
      </c>
      <c r="BA48" s="27"/>
      <c r="BD48" s="11"/>
      <c r="BF48" s="27"/>
      <c r="BG48" s="30">
        <v>0.0</v>
      </c>
      <c r="BH48" s="27"/>
      <c r="BM48" s="27"/>
      <c r="BN48" s="30">
        <v>0.0</v>
      </c>
      <c r="BO48" s="27"/>
      <c r="BR48" s="11"/>
      <c r="BT48" s="27"/>
      <c r="BU48" s="30">
        <v>0.0</v>
      </c>
      <c r="BV48" s="27"/>
      <c r="BY48" s="11"/>
      <c r="CA48" s="27"/>
      <c r="CB48" s="30">
        <v>0.5</v>
      </c>
      <c r="CC48" s="27"/>
      <c r="CF48" s="11"/>
      <c r="CG48" s="5">
        <v>5.0</v>
      </c>
      <c r="CH48" s="30">
        <v>0.9</v>
      </c>
      <c r="CI48" s="30">
        <v>0.8</v>
      </c>
      <c r="CJ48" s="27"/>
      <c r="CM48" s="11"/>
      <c r="CN48" s="5">
        <v>10.0</v>
      </c>
      <c r="CO48" s="30">
        <v>1.0</v>
      </c>
      <c r="CP48" s="30">
        <v>1.0</v>
      </c>
      <c r="CQ48" s="27"/>
      <c r="CR48" s="30"/>
      <c r="CT48" s="11"/>
      <c r="CV48" s="27"/>
      <c r="CW48" s="30"/>
      <c r="CX48" s="27"/>
      <c r="CY48" s="30"/>
      <c r="DA48" s="11"/>
      <c r="DC48" s="27"/>
      <c r="DD48" s="27"/>
      <c r="DE48" s="27"/>
      <c r="DF48" s="27"/>
      <c r="DH48" s="11"/>
      <c r="DI48" s="11"/>
      <c r="DK48" s="27"/>
      <c r="DL48" s="27"/>
      <c r="DM48" s="27"/>
      <c r="DN48" s="27"/>
    </row>
    <row r="49" ht="15.75" customHeight="1" collapsed="1">
      <c r="C49" s="8"/>
      <c r="BD49" s="11"/>
      <c r="BR49" s="11"/>
      <c r="BY49" s="11"/>
      <c r="CF49" s="11"/>
      <c r="CM49" s="11"/>
      <c r="CT49" s="11"/>
      <c r="DA49" s="11"/>
      <c r="DH49" s="11"/>
      <c r="DI49" s="11"/>
    </row>
    <row r="50" ht="15.75" customHeight="1">
      <c r="B50" s="6" t="s">
        <v>26</v>
      </c>
      <c r="C50" s="24" t="s">
        <v>95</v>
      </c>
      <c r="D50" s="25">
        <v>44926.0</v>
      </c>
      <c r="E50" s="32">
        <v>3.0</v>
      </c>
      <c r="G50" s="27">
        <f>+SUM(G51:G53)</f>
        <v>1</v>
      </c>
      <c r="I50" s="28">
        <f>+SUM(I51:I53)</f>
        <v>15</v>
      </c>
      <c r="J50" s="29">
        <f>+SUMPRODUCT(G51:G53,J51:J53)</f>
        <v>0.25</v>
      </c>
      <c r="K50" s="29">
        <f>+SUMPRODUCT(G51:G53,K51:K53)</f>
        <v>0.25</v>
      </c>
      <c r="L50" s="26"/>
      <c r="O50" s="28">
        <f>SUM(O51:O53)</f>
        <v>0</v>
      </c>
      <c r="V50" s="28"/>
      <c r="AC50" s="28"/>
      <c r="AJ50" s="28">
        <f>SUM(AJ51:AJ53)</f>
        <v>1.5</v>
      </c>
      <c r="AQ50" s="28">
        <f>SUM(AQ51:AQ53)</f>
        <v>0</v>
      </c>
      <c r="AX50" s="28"/>
      <c r="BD50" s="11"/>
      <c r="BE50" s="28">
        <f>SUM(BE51:BE53)</f>
        <v>0</v>
      </c>
      <c r="BL50" s="28"/>
      <c r="BR50" s="11"/>
      <c r="BS50" s="28">
        <f>SUM(BS51:BS53)</f>
        <v>0</v>
      </c>
      <c r="BY50" s="11"/>
      <c r="BZ50" s="28"/>
      <c r="CF50" s="11"/>
      <c r="CG50" s="28">
        <f>SUM(CG51:CG53)</f>
        <v>0</v>
      </c>
      <c r="CM50" s="11"/>
      <c r="CN50" s="28">
        <f>SUM(CN51:CN53)</f>
        <v>0</v>
      </c>
      <c r="CT50" s="11"/>
      <c r="CU50" s="28">
        <f>SUM(CU51:CU53)</f>
        <v>0</v>
      </c>
      <c r="DA50" s="11"/>
      <c r="DB50" s="28">
        <f>SUM(DB51:DB53)</f>
        <v>13.5</v>
      </c>
      <c r="DH50" s="11"/>
      <c r="DI50" s="11"/>
      <c r="DJ50" s="28"/>
    </row>
    <row r="51" ht="15.75" customHeight="1" outlineLevel="1">
      <c r="B51" s="6" t="s">
        <v>56</v>
      </c>
      <c r="C51" s="24" t="s">
        <v>96</v>
      </c>
      <c r="E51" s="26"/>
      <c r="F51" s="5" t="s">
        <v>139</v>
      </c>
      <c r="G51" s="30">
        <v>0.0</v>
      </c>
      <c r="I51" s="26">
        <f t="shared" ref="I51:I53" si="6">+SUMIF($N$3:$ACG$3,I$3,$N51:$ACG51)</f>
        <v>8.5</v>
      </c>
      <c r="J51" s="29">
        <f t="array" ref="J51">MAX(IF($N$3:$GO$3=$J$3,N51:GO51))</f>
        <v>1</v>
      </c>
      <c r="K51" s="29">
        <f t="array" ref="K51">MAX(IF($N$3:$GO$3=$J$3,N51:GO51))</f>
        <v>1</v>
      </c>
      <c r="L51" s="26"/>
      <c r="P51" s="27"/>
      <c r="Q51" s="30"/>
      <c r="R51" s="27"/>
      <c r="S51" s="30"/>
      <c r="W51" s="27"/>
      <c r="X51" s="30"/>
      <c r="Y51" s="27"/>
      <c r="Z51" s="30"/>
      <c r="AD51" s="27"/>
      <c r="AE51" s="30"/>
      <c r="AF51" s="27"/>
      <c r="AG51" s="30"/>
      <c r="AJ51" s="5">
        <v>1.5</v>
      </c>
      <c r="AK51" s="27"/>
      <c r="AL51" s="30">
        <v>0.0</v>
      </c>
      <c r="AM51" s="27"/>
      <c r="AN51" s="30"/>
      <c r="AR51" s="27"/>
      <c r="AS51" s="30"/>
      <c r="AT51" s="27"/>
      <c r="AU51" s="30">
        <v>0.5</v>
      </c>
      <c r="AY51" s="27"/>
      <c r="AZ51" s="30"/>
      <c r="BA51" s="27"/>
      <c r="BB51" s="30">
        <v>0.5</v>
      </c>
      <c r="BD51" s="11"/>
      <c r="BF51" s="27"/>
      <c r="BG51" s="30"/>
      <c r="BH51" s="27"/>
      <c r="BI51" s="30">
        <v>0.5</v>
      </c>
      <c r="BM51" s="27"/>
      <c r="BN51" s="30"/>
      <c r="BO51" s="27"/>
      <c r="BP51" s="30">
        <v>0.5</v>
      </c>
      <c r="BQ51" s="5">
        <v>3.0</v>
      </c>
      <c r="BR51" s="11"/>
      <c r="BT51" s="27"/>
      <c r="BU51" s="30"/>
      <c r="BV51" s="30">
        <v>1.0</v>
      </c>
      <c r="BW51" s="30"/>
      <c r="BY51" s="11"/>
      <c r="CA51" s="27"/>
      <c r="CB51" s="30"/>
      <c r="CC51" s="27"/>
      <c r="CD51" s="30">
        <v>1.0</v>
      </c>
      <c r="CF51" s="11"/>
      <c r="CH51" s="30">
        <v>1.0</v>
      </c>
      <c r="CI51" s="30">
        <v>1.0</v>
      </c>
      <c r="CJ51" s="30">
        <v>1.0</v>
      </c>
      <c r="CK51" s="30">
        <v>1.0</v>
      </c>
      <c r="CM51" s="11"/>
      <c r="CO51" s="27"/>
      <c r="CP51" s="30"/>
      <c r="CQ51" s="30">
        <v>1.0</v>
      </c>
      <c r="CR51" s="30">
        <v>1.0</v>
      </c>
      <c r="CT51" s="11"/>
      <c r="CV51" s="27"/>
      <c r="CW51" s="30"/>
      <c r="CX51" s="30">
        <v>1.0</v>
      </c>
      <c r="CY51" s="30">
        <v>1.0</v>
      </c>
      <c r="DA51" s="11"/>
      <c r="DB51" s="5">
        <v>7.0</v>
      </c>
      <c r="DC51" s="30">
        <v>1.0</v>
      </c>
      <c r="DD51" s="30">
        <v>1.0</v>
      </c>
      <c r="DE51" s="30">
        <v>1.0</v>
      </c>
      <c r="DF51" s="30">
        <v>1.0</v>
      </c>
      <c r="DH51" s="11"/>
      <c r="DI51" s="11"/>
      <c r="DK51" s="27"/>
      <c r="DL51" s="27"/>
      <c r="DM51" s="27"/>
      <c r="DN51" s="27"/>
    </row>
    <row r="52" ht="15.75" customHeight="1" outlineLevel="1">
      <c r="B52" s="6" t="s">
        <v>56</v>
      </c>
      <c r="C52" s="24" t="s">
        <v>96</v>
      </c>
      <c r="E52" s="26"/>
      <c r="F52" s="5" t="s">
        <v>140</v>
      </c>
      <c r="G52" s="30">
        <v>0.5</v>
      </c>
      <c r="I52" s="26">
        <f t="shared" si="6"/>
        <v>3</v>
      </c>
      <c r="J52" s="29">
        <f t="array" ref="J52">MAX(IF($N$3:$GO$3=$J$3,N52:GO52))</f>
        <v>0</v>
      </c>
      <c r="K52" s="29">
        <f t="array" ref="K52">MAX(IF($N$3:$GO$3=$J$3,N52:GO52))</f>
        <v>0</v>
      </c>
      <c r="L52" s="26"/>
      <c r="P52" s="27"/>
      <c r="Q52" s="30"/>
      <c r="R52" s="27"/>
      <c r="S52" s="30"/>
      <c r="W52" s="27"/>
      <c r="X52" s="30"/>
      <c r="Y52" s="27"/>
      <c r="Z52" s="30"/>
      <c r="AD52" s="27"/>
      <c r="AE52" s="30"/>
      <c r="AF52" s="27"/>
      <c r="AG52" s="30"/>
      <c r="AK52" s="27"/>
      <c r="AL52" s="30">
        <v>0.0</v>
      </c>
      <c r="AM52" s="27"/>
      <c r="AN52" s="30"/>
      <c r="AR52" s="27"/>
      <c r="AS52" s="30"/>
      <c r="AT52" s="27"/>
      <c r="AU52" s="30">
        <v>0.0</v>
      </c>
      <c r="AY52" s="27"/>
      <c r="AZ52" s="30"/>
      <c r="BA52" s="27"/>
      <c r="BB52" s="30">
        <v>0.5</v>
      </c>
      <c r="BD52" s="11"/>
      <c r="BF52" s="27"/>
      <c r="BG52" s="30"/>
      <c r="BH52" s="27"/>
      <c r="BI52" s="30">
        <v>0.5</v>
      </c>
      <c r="BM52" s="27"/>
      <c r="BN52" s="30"/>
      <c r="BO52" s="27"/>
      <c r="BP52" s="30">
        <v>0.5</v>
      </c>
      <c r="BR52" s="11"/>
      <c r="BT52" s="27"/>
      <c r="BU52" s="30"/>
      <c r="BV52" s="27"/>
      <c r="BW52" s="30"/>
      <c r="BY52" s="11"/>
      <c r="CA52" s="27"/>
      <c r="CB52" s="30"/>
      <c r="CC52" s="27"/>
      <c r="CD52" s="30">
        <v>0.8</v>
      </c>
      <c r="CF52" s="11"/>
      <c r="CH52" s="27"/>
      <c r="CI52" s="30"/>
      <c r="CJ52" s="27"/>
      <c r="CK52" s="30"/>
      <c r="CM52" s="11"/>
      <c r="CO52" s="27"/>
      <c r="CP52" s="30"/>
      <c r="CQ52" s="27"/>
      <c r="CR52" s="30"/>
      <c r="CT52" s="11"/>
      <c r="CV52" s="27"/>
      <c r="CW52" s="30"/>
      <c r="CX52" s="27"/>
      <c r="CY52" s="30"/>
      <c r="DA52" s="11"/>
      <c r="DB52" s="5">
        <v>3.0</v>
      </c>
      <c r="DC52" s="27"/>
      <c r="DD52" s="30">
        <v>0.8</v>
      </c>
      <c r="DE52" s="27"/>
      <c r="DF52" s="30">
        <v>0.8</v>
      </c>
      <c r="DH52" s="11"/>
      <c r="DI52" s="11"/>
      <c r="DK52" s="27"/>
      <c r="DL52" s="27"/>
      <c r="DM52" s="27"/>
      <c r="DN52" s="27"/>
    </row>
    <row r="53" ht="15.75" customHeight="1" outlineLevel="1">
      <c r="B53" s="6" t="s">
        <v>56</v>
      </c>
      <c r="C53" s="24" t="s">
        <v>96</v>
      </c>
      <c r="E53" s="26"/>
      <c r="F53" s="5" t="s">
        <v>137</v>
      </c>
      <c r="G53" s="30">
        <v>0.5</v>
      </c>
      <c r="I53" s="26">
        <f t="shared" si="6"/>
        <v>3.5</v>
      </c>
      <c r="J53" s="29">
        <f t="array" ref="J53">MAX(IF($N$3:$GO$3=$J$3,N53:GO53))</f>
        <v>0.5</v>
      </c>
      <c r="K53" s="29">
        <f t="array" ref="K53">MAX(IF($N$3:$GO$3=$J$3,N53:GO53))</f>
        <v>0.5</v>
      </c>
      <c r="L53" s="26"/>
      <c r="P53" s="27"/>
      <c r="Q53" s="30"/>
      <c r="R53" s="27"/>
      <c r="S53" s="30"/>
      <c r="W53" s="27"/>
      <c r="X53" s="30"/>
      <c r="Y53" s="27"/>
      <c r="Z53" s="30"/>
      <c r="AD53" s="27"/>
      <c r="AE53" s="30"/>
      <c r="AF53" s="27"/>
      <c r="AG53" s="30"/>
      <c r="AK53" s="27"/>
      <c r="AL53" s="30">
        <v>0.0</v>
      </c>
      <c r="AM53" s="27"/>
      <c r="AN53" s="30"/>
      <c r="AR53" s="27"/>
      <c r="AS53" s="30"/>
      <c r="AT53" s="27"/>
      <c r="AU53" s="30">
        <v>0.0</v>
      </c>
      <c r="AY53" s="27"/>
      <c r="AZ53" s="30"/>
      <c r="BA53" s="27"/>
      <c r="BB53" s="30">
        <v>0.0</v>
      </c>
      <c r="BD53" s="11"/>
      <c r="BF53" s="27"/>
      <c r="BG53" s="30"/>
      <c r="BH53" s="27"/>
      <c r="BI53" s="30">
        <v>0.5</v>
      </c>
      <c r="BM53" s="27"/>
      <c r="BN53" s="30"/>
      <c r="BO53" s="27"/>
      <c r="BP53" s="30">
        <v>0.5</v>
      </c>
      <c r="BR53" s="11"/>
      <c r="BT53" s="27"/>
      <c r="BU53" s="30"/>
      <c r="BV53" s="27"/>
      <c r="BW53" s="30"/>
      <c r="BY53" s="11"/>
      <c r="CA53" s="27"/>
      <c r="CB53" s="30"/>
      <c r="CC53" s="27"/>
      <c r="CD53" s="30">
        <v>0.8</v>
      </c>
      <c r="CF53" s="11"/>
      <c r="CH53" s="27"/>
      <c r="CI53" s="30"/>
      <c r="CJ53" s="27"/>
      <c r="CK53" s="30"/>
      <c r="CM53" s="11"/>
      <c r="CO53" s="27"/>
      <c r="CP53" s="30"/>
      <c r="CQ53" s="27"/>
      <c r="CR53" s="30"/>
      <c r="CT53" s="11"/>
      <c r="CV53" s="27"/>
      <c r="CW53" s="30"/>
      <c r="CX53" s="27"/>
      <c r="CY53" s="30"/>
      <c r="DA53" s="11"/>
      <c r="DB53" s="5">
        <v>3.5</v>
      </c>
      <c r="DC53" s="30">
        <v>0.5</v>
      </c>
      <c r="DD53" s="30">
        <v>0.5</v>
      </c>
      <c r="DE53" s="30">
        <v>0.5</v>
      </c>
      <c r="DF53" s="30">
        <v>0.5</v>
      </c>
      <c r="DH53" s="11"/>
      <c r="DI53" s="11"/>
      <c r="DK53" s="27"/>
      <c r="DL53" s="27"/>
      <c r="DM53" s="27"/>
      <c r="DN53" s="27"/>
    </row>
    <row r="54" ht="15.75" customHeight="1">
      <c r="C54" s="8"/>
      <c r="BD54" s="11"/>
      <c r="BR54" s="11"/>
      <c r="BY54" s="11"/>
      <c r="CF54" s="11"/>
      <c r="CM54" s="11"/>
      <c r="CT54" s="11"/>
      <c r="DA54" s="11"/>
      <c r="DH54" s="11"/>
      <c r="DI54" s="11"/>
    </row>
    <row r="55" ht="15.75" customHeight="1">
      <c r="B55" s="6" t="s">
        <v>26</v>
      </c>
      <c r="C55" s="24" t="s">
        <v>97</v>
      </c>
      <c r="D55" s="25">
        <v>44914.0</v>
      </c>
      <c r="E55" s="26">
        <v>6.0</v>
      </c>
      <c r="G55" s="27">
        <f>+SUM(G57:G70)</f>
        <v>1</v>
      </c>
      <c r="I55" s="28">
        <f>+SUM(I57:I70)</f>
        <v>75.25</v>
      </c>
      <c r="J55" s="29">
        <f>+SUMPRODUCT(G57:G70,J57:J70)</f>
        <v>1</v>
      </c>
      <c r="K55" s="29"/>
      <c r="L55" s="26"/>
      <c r="O55" s="41">
        <f>SUM(O57:O70)</f>
        <v>7</v>
      </c>
      <c r="V55" s="38">
        <f>SUM(V57:V70)</f>
        <v>4</v>
      </c>
      <c r="AC55" s="28">
        <f>SUM(AC57:AC70)</f>
        <v>2.5</v>
      </c>
      <c r="AJ55" s="28">
        <f>SUM(AJ57:AJ70)</f>
        <v>3.5</v>
      </c>
      <c r="AQ55" s="28">
        <f>SUM(AQ57:AQ70)</f>
        <v>0</v>
      </c>
      <c r="AX55" s="38">
        <f>SUM(AX57:AX70)</f>
        <v>3.5</v>
      </c>
      <c r="BD55" s="11"/>
      <c r="BE55" s="38">
        <f>SUM(BE57:BE70)</f>
        <v>1.5</v>
      </c>
      <c r="BL55" s="28"/>
      <c r="BR55" s="11"/>
      <c r="BS55" s="38">
        <f>SUM(BS57:BS70)</f>
        <v>1.5</v>
      </c>
      <c r="BY55" s="11"/>
      <c r="BZ55" s="38">
        <f>SUM(BZ57:BZ70)</f>
        <v>1.5</v>
      </c>
      <c r="CF55" s="11"/>
      <c r="CG55" s="38">
        <f>SUM(CG57:CG70)</f>
        <v>3.25</v>
      </c>
      <c r="CM55" s="11"/>
      <c r="CN55" s="38">
        <f>SUM(CN57:CN70)</f>
        <v>3.5</v>
      </c>
      <c r="CT55" s="11"/>
      <c r="CU55" s="38">
        <f>SUM(CU56:CU70)</f>
        <v>25.5</v>
      </c>
      <c r="DA55" s="11"/>
      <c r="DB55" s="38">
        <f>SUM(DB56:DB70)</f>
        <v>68</v>
      </c>
      <c r="DH55" s="11"/>
      <c r="DI55" s="11"/>
      <c r="DJ55" s="28"/>
    </row>
    <row r="56" ht="15.75" customHeight="1" outlineLevel="1">
      <c r="C56" s="24"/>
      <c r="E56" s="26"/>
      <c r="F56" s="5" t="s">
        <v>141</v>
      </c>
      <c r="G56" s="30">
        <v>0.0</v>
      </c>
      <c r="I56" s="26">
        <f t="shared" ref="I56:I70" si="7">+SUMIF($N$3:$ACG$3,I$3,$N56:$ACG56)</f>
        <v>50</v>
      </c>
      <c r="J56" s="29">
        <f t="array" ref="J56">MAX(IF($N$3:$GO$3=$J$3,N56:GO56))</f>
        <v>1</v>
      </c>
      <c r="K56" s="29"/>
      <c r="L56" s="26"/>
      <c r="O56" s="5"/>
      <c r="P56" s="30"/>
      <c r="Q56" s="30"/>
      <c r="R56" s="27"/>
      <c r="S56" s="30"/>
      <c r="T56" s="5"/>
      <c r="W56" s="30"/>
      <c r="X56" s="30"/>
      <c r="Y56" s="30"/>
      <c r="AA56" s="5"/>
      <c r="AD56" s="30"/>
      <c r="AE56" s="30"/>
      <c r="AF56" s="30"/>
      <c r="AG56" s="30"/>
      <c r="AK56" s="30"/>
      <c r="AL56" s="30"/>
      <c r="AM56" s="30"/>
      <c r="AN56" s="30"/>
      <c r="AR56" s="30"/>
      <c r="AS56" s="30"/>
      <c r="AT56" s="27"/>
      <c r="AY56" s="30"/>
      <c r="AZ56" s="30"/>
      <c r="BA56" s="27"/>
      <c r="BD56" s="11"/>
      <c r="BF56" s="30"/>
      <c r="BG56" s="30"/>
      <c r="BH56" s="27"/>
      <c r="BM56" s="30"/>
      <c r="BN56" s="30"/>
      <c r="BO56" s="27"/>
      <c r="BQ56" s="5"/>
      <c r="BR56" s="11"/>
      <c r="BT56" s="30"/>
      <c r="BU56" s="30"/>
      <c r="BV56" s="27"/>
      <c r="BW56" s="30"/>
      <c r="BY56" s="11"/>
      <c r="CA56" s="30"/>
      <c r="CB56" s="30"/>
      <c r="CC56" s="27"/>
      <c r="CD56" s="30"/>
      <c r="CF56" s="11"/>
      <c r="CG56" s="5"/>
      <c r="CH56" s="30"/>
      <c r="CI56" s="30"/>
      <c r="CJ56" s="27"/>
      <c r="CK56" s="30"/>
      <c r="CM56" s="11"/>
      <c r="CN56" s="5"/>
      <c r="CO56" s="30"/>
      <c r="CP56" s="30"/>
      <c r="CQ56" s="27"/>
      <c r="CR56" s="30"/>
      <c r="CT56" s="11"/>
      <c r="CU56" s="5">
        <v>18.0</v>
      </c>
      <c r="CV56" s="30">
        <v>1.0</v>
      </c>
      <c r="CW56" s="30">
        <v>1.0</v>
      </c>
      <c r="CX56" s="27"/>
      <c r="CY56" s="30"/>
      <c r="DA56" s="11"/>
      <c r="DB56" s="5">
        <v>32.0</v>
      </c>
      <c r="DC56" s="30">
        <v>1.0</v>
      </c>
      <c r="DD56" s="30">
        <v>1.0</v>
      </c>
      <c r="DE56" s="27"/>
      <c r="DF56" s="30"/>
      <c r="DH56" s="11"/>
      <c r="DI56" s="11"/>
      <c r="DK56" s="30"/>
      <c r="DL56" s="30"/>
      <c r="DM56" s="27"/>
      <c r="DN56" s="27"/>
    </row>
    <row r="57" ht="15.75" customHeight="1" outlineLevel="1">
      <c r="B57" s="6" t="s">
        <v>56</v>
      </c>
      <c r="C57" s="24" t="s">
        <v>97</v>
      </c>
      <c r="E57" s="26"/>
      <c r="F57" s="5" t="s">
        <v>98</v>
      </c>
      <c r="G57" s="27">
        <v>0.1</v>
      </c>
      <c r="I57" s="26">
        <f t="shared" si="7"/>
        <v>12</v>
      </c>
      <c r="J57" s="29">
        <f t="array" ref="J57">MAX(IF($N$3:$GO$3=$J$3,N57:GO57))</f>
        <v>1</v>
      </c>
      <c r="K57" s="29"/>
      <c r="L57" s="26"/>
      <c r="O57" s="5">
        <v>3.5</v>
      </c>
      <c r="P57" s="30">
        <v>0.8</v>
      </c>
      <c r="Q57" s="30">
        <v>1.0</v>
      </c>
      <c r="R57" s="27"/>
      <c r="S57" s="30"/>
      <c r="T57" s="5">
        <v>2.0</v>
      </c>
      <c r="W57" s="30">
        <v>0.8</v>
      </c>
      <c r="X57" s="30">
        <v>1.0</v>
      </c>
      <c r="Y57" s="30"/>
      <c r="AA57" s="5">
        <v>2.0</v>
      </c>
      <c r="AD57" s="30"/>
      <c r="AE57" s="30"/>
      <c r="AF57" s="30">
        <v>0.8</v>
      </c>
      <c r="AG57" s="30">
        <v>1.0</v>
      </c>
      <c r="AK57" s="30">
        <v>0.8</v>
      </c>
      <c r="AL57" s="30">
        <v>1.0</v>
      </c>
      <c r="AM57" s="30"/>
      <c r="AN57" s="30"/>
      <c r="AR57" s="30">
        <v>0.8</v>
      </c>
      <c r="AS57" s="30">
        <v>1.0</v>
      </c>
      <c r="AT57" s="27"/>
      <c r="AY57" s="30">
        <v>0.8</v>
      </c>
      <c r="AZ57" s="30">
        <v>1.0</v>
      </c>
      <c r="BA57" s="27"/>
      <c r="BD57" s="11"/>
      <c r="BF57" s="30">
        <v>0.8</v>
      </c>
      <c r="BG57" s="30">
        <v>1.0</v>
      </c>
      <c r="BH57" s="27"/>
      <c r="BM57" s="30"/>
      <c r="BN57" s="30">
        <v>1.0</v>
      </c>
      <c r="BO57" s="27"/>
      <c r="BQ57" s="5">
        <v>0.0</v>
      </c>
      <c r="BR57" s="11"/>
      <c r="BT57" s="30"/>
      <c r="BU57" s="30"/>
      <c r="BV57" s="27"/>
      <c r="BW57" s="30">
        <v>0.8</v>
      </c>
      <c r="BY57" s="11"/>
      <c r="CA57" s="30"/>
      <c r="CB57" s="30"/>
      <c r="CC57" s="27"/>
      <c r="CD57" s="30">
        <v>1.0</v>
      </c>
      <c r="CF57" s="11"/>
      <c r="CG57" s="5">
        <v>0.5</v>
      </c>
      <c r="CH57" s="30">
        <v>1.0</v>
      </c>
      <c r="CI57" s="30">
        <v>1.0</v>
      </c>
      <c r="CJ57" s="27"/>
      <c r="CK57" s="30"/>
      <c r="CM57" s="11"/>
      <c r="CN57" s="5">
        <v>1.0</v>
      </c>
      <c r="CO57" s="30">
        <v>1.0</v>
      </c>
      <c r="CP57" s="30">
        <v>1.0</v>
      </c>
      <c r="CQ57" s="27"/>
      <c r="CR57" s="30"/>
      <c r="CT57" s="11"/>
      <c r="CU57" s="5">
        <v>4.0</v>
      </c>
      <c r="CV57" s="30">
        <v>1.0</v>
      </c>
      <c r="CW57" s="30">
        <v>1.0</v>
      </c>
      <c r="CX57" s="27"/>
      <c r="CY57" s="30"/>
      <c r="DA57" s="11"/>
      <c r="DB57" s="5">
        <v>3.0</v>
      </c>
      <c r="DC57" s="30">
        <v>1.0</v>
      </c>
      <c r="DD57" s="30">
        <v>1.0</v>
      </c>
      <c r="DE57" s="27"/>
      <c r="DF57" s="30"/>
      <c r="DH57" s="11"/>
      <c r="DI57" s="11"/>
      <c r="DK57" s="30"/>
      <c r="DL57" s="30"/>
      <c r="DM57" s="27"/>
      <c r="DN57" s="27"/>
    </row>
    <row r="58" ht="15.75" customHeight="1" outlineLevel="1">
      <c r="B58" s="6" t="s">
        <v>56</v>
      </c>
      <c r="C58" s="24" t="s">
        <v>97</v>
      </c>
      <c r="E58" s="26"/>
      <c r="F58" s="5" t="s">
        <v>99</v>
      </c>
      <c r="G58" s="27">
        <v>0.05</v>
      </c>
      <c r="I58" s="26">
        <f t="shared" si="7"/>
        <v>11.5</v>
      </c>
      <c r="J58" s="29">
        <f t="array" ref="J58">MAX(IF($N$3:$GO$3=$J$3,N58:GO58))</f>
        <v>1</v>
      </c>
      <c r="K58" s="29"/>
      <c r="L58" s="26"/>
      <c r="O58" s="5">
        <v>3.5</v>
      </c>
      <c r="P58" s="30">
        <v>0.4</v>
      </c>
      <c r="Q58" s="30">
        <v>0.5</v>
      </c>
      <c r="R58" s="27"/>
      <c r="S58" s="30"/>
      <c r="V58" s="5">
        <v>2.0</v>
      </c>
      <c r="W58" s="30">
        <v>0.8</v>
      </c>
      <c r="X58" s="30">
        <v>0.8</v>
      </c>
      <c r="Y58" s="30"/>
      <c r="AD58" s="30"/>
      <c r="AE58" s="30"/>
      <c r="AF58" s="30">
        <v>0.8</v>
      </c>
      <c r="AG58" s="30">
        <v>0.8</v>
      </c>
      <c r="AK58" s="30">
        <v>0.8</v>
      </c>
      <c r="AL58" s="30">
        <v>0.8</v>
      </c>
      <c r="AM58" s="30"/>
      <c r="AN58" s="30"/>
      <c r="AR58" s="30">
        <v>0.8</v>
      </c>
      <c r="AS58" s="30">
        <v>1.0</v>
      </c>
      <c r="AT58" s="27"/>
      <c r="AY58" s="30">
        <v>0.8</v>
      </c>
      <c r="AZ58" s="30">
        <v>1.0</v>
      </c>
      <c r="BA58" s="27"/>
      <c r="BD58" s="11"/>
      <c r="BF58" s="30">
        <v>0.8</v>
      </c>
      <c r="BG58" s="30">
        <v>1.0</v>
      </c>
      <c r="BH58" s="27"/>
      <c r="BM58" s="30"/>
      <c r="BN58" s="30">
        <v>1.0</v>
      </c>
      <c r="BO58" s="27"/>
      <c r="BR58" s="11"/>
      <c r="BT58" s="30"/>
      <c r="BU58" s="30"/>
      <c r="BV58" s="27"/>
      <c r="BW58" s="30">
        <v>0.8</v>
      </c>
      <c r="BY58" s="11"/>
      <c r="CA58" s="30"/>
      <c r="CB58" s="30"/>
      <c r="CC58" s="27"/>
      <c r="CD58" s="30">
        <v>1.0</v>
      </c>
      <c r="CF58" s="11"/>
      <c r="CG58" s="5">
        <v>0.5</v>
      </c>
      <c r="CH58" s="30">
        <v>1.0</v>
      </c>
      <c r="CI58" s="30">
        <v>1.0</v>
      </c>
      <c r="CJ58" s="27"/>
      <c r="CK58" s="30"/>
      <c r="CM58" s="11"/>
      <c r="CN58" s="5">
        <v>1.0</v>
      </c>
      <c r="CO58" s="30">
        <v>1.0</v>
      </c>
      <c r="CP58" s="30">
        <v>1.0</v>
      </c>
      <c r="CQ58" s="27"/>
      <c r="CR58" s="30"/>
      <c r="CT58" s="11"/>
      <c r="CU58" s="5">
        <v>1.0</v>
      </c>
      <c r="CV58" s="30">
        <v>1.0</v>
      </c>
      <c r="CW58" s="30">
        <v>1.0</v>
      </c>
      <c r="CX58" s="27"/>
      <c r="CY58" s="30"/>
      <c r="DA58" s="11"/>
      <c r="DB58" s="5">
        <v>3.5</v>
      </c>
      <c r="DC58" s="30">
        <v>1.0</v>
      </c>
      <c r="DD58" s="30">
        <v>1.0</v>
      </c>
      <c r="DE58" s="27"/>
      <c r="DF58" s="30"/>
      <c r="DH58" s="11"/>
      <c r="DI58" s="11"/>
      <c r="DK58" s="30"/>
      <c r="DL58" s="27"/>
      <c r="DM58" s="27"/>
      <c r="DN58" s="27"/>
    </row>
    <row r="59" ht="15.75" customHeight="1" outlineLevel="1">
      <c r="B59" s="6" t="s">
        <v>56</v>
      </c>
      <c r="C59" s="24" t="s">
        <v>97</v>
      </c>
      <c r="E59" s="26"/>
      <c r="F59" s="5" t="s">
        <v>100</v>
      </c>
      <c r="G59" s="27">
        <v>0.05</v>
      </c>
      <c r="I59" s="26">
        <f t="shared" si="7"/>
        <v>12</v>
      </c>
      <c r="J59" s="29">
        <f t="array" ref="J59">MAX(IF($N$3:$GO$3=$J$3,N59:GO59))</f>
        <v>1</v>
      </c>
      <c r="K59" s="29"/>
      <c r="L59" s="26"/>
      <c r="P59" s="30"/>
      <c r="Q59" s="30">
        <v>0.0</v>
      </c>
      <c r="R59" s="27"/>
      <c r="S59" s="30"/>
      <c r="V59" s="5">
        <v>2.0</v>
      </c>
      <c r="W59" s="30">
        <v>0.3</v>
      </c>
      <c r="X59" s="30">
        <v>0.5</v>
      </c>
      <c r="Y59" s="27"/>
      <c r="AC59" s="5">
        <v>1.0</v>
      </c>
      <c r="AD59" s="30"/>
      <c r="AE59" s="30"/>
      <c r="AF59" s="30">
        <v>0.3</v>
      </c>
      <c r="AG59" s="30">
        <v>0.5</v>
      </c>
      <c r="AJ59" s="5">
        <v>1.5</v>
      </c>
      <c r="AK59" s="30">
        <v>0.3</v>
      </c>
      <c r="AL59" s="30">
        <v>0.8</v>
      </c>
      <c r="AM59" s="30"/>
      <c r="AN59" s="30"/>
      <c r="AR59" s="30">
        <v>0.3</v>
      </c>
      <c r="AS59" s="30">
        <v>1.0</v>
      </c>
      <c r="AT59" s="27"/>
      <c r="AY59" s="30">
        <v>0.3</v>
      </c>
      <c r="AZ59" s="30">
        <v>1.0</v>
      </c>
      <c r="BA59" s="27"/>
      <c r="BD59" s="11"/>
      <c r="BF59" s="30">
        <v>0.3</v>
      </c>
      <c r="BG59" s="30">
        <v>1.0</v>
      </c>
      <c r="BH59" s="27"/>
      <c r="BM59" s="30"/>
      <c r="BN59" s="30">
        <v>1.0</v>
      </c>
      <c r="BO59" s="27"/>
      <c r="BR59" s="11"/>
      <c r="BT59" s="30"/>
      <c r="BU59" s="30"/>
      <c r="BV59" s="27"/>
      <c r="BW59" s="30">
        <v>0.8</v>
      </c>
      <c r="BY59" s="11"/>
      <c r="CA59" s="30"/>
      <c r="CB59" s="30"/>
      <c r="CC59" s="27"/>
      <c r="CD59" s="30">
        <v>1.0</v>
      </c>
      <c r="CF59" s="11"/>
      <c r="CG59" s="5">
        <v>0.5</v>
      </c>
      <c r="CH59" s="30">
        <v>0.8</v>
      </c>
      <c r="CI59" s="30">
        <v>0.8</v>
      </c>
      <c r="CJ59" s="27"/>
      <c r="CK59" s="30"/>
      <c r="CM59" s="11"/>
      <c r="CO59" s="30">
        <v>0.8</v>
      </c>
      <c r="CP59" s="30">
        <v>1.0</v>
      </c>
      <c r="CQ59" s="27"/>
      <c r="CR59" s="30"/>
      <c r="CT59" s="11"/>
      <c r="CU59" s="5">
        <v>1.0</v>
      </c>
      <c r="CV59" s="30">
        <v>0.8</v>
      </c>
      <c r="CW59" s="30">
        <v>1.0</v>
      </c>
      <c r="CX59" s="27"/>
      <c r="CY59" s="30"/>
      <c r="DA59" s="11"/>
      <c r="DB59" s="5">
        <v>6.0</v>
      </c>
      <c r="DC59" s="30">
        <v>1.0</v>
      </c>
      <c r="DD59" s="30">
        <v>1.0</v>
      </c>
      <c r="DE59" s="27"/>
      <c r="DF59" s="30"/>
      <c r="DH59" s="11"/>
      <c r="DI59" s="11"/>
      <c r="DK59" s="30"/>
      <c r="DL59" s="27"/>
      <c r="DM59" s="27"/>
      <c r="DN59" s="27"/>
    </row>
    <row r="60" ht="15.75" customHeight="1" outlineLevel="1">
      <c r="B60" s="6" t="s">
        <v>56</v>
      </c>
      <c r="C60" s="24" t="s">
        <v>97</v>
      </c>
      <c r="E60" s="26"/>
      <c r="F60" s="5" t="s">
        <v>101</v>
      </c>
      <c r="G60" s="27">
        <v>0.05</v>
      </c>
      <c r="I60" s="26">
        <f t="shared" si="7"/>
        <v>6</v>
      </c>
      <c r="J60" s="29">
        <f t="array" ref="J60">MAX(IF($N$3:$GO$3=$J$3,N60:GO60))</f>
        <v>1</v>
      </c>
      <c r="K60" s="29"/>
      <c r="L60" s="26"/>
      <c r="P60" s="27"/>
      <c r="Q60" s="30">
        <v>0.0</v>
      </c>
      <c r="R60" s="27"/>
      <c r="S60" s="30"/>
      <c r="W60" s="27"/>
      <c r="X60" s="30">
        <v>0.0</v>
      </c>
      <c r="Y60" s="27"/>
      <c r="AC60" s="5">
        <v>1.5</v>
      </c>
      <c r="AD60" s="27"/>
      <c r="AE60" s="30"/>
      <c r="AF60" s="27"/>
      <c r="AG60" s="30">
        <v>0.5</v>
      </c>
      <c r="AJ60" s="5">
        <v>2.0</v>
      </c>
      <c r="AK60" s="27"/>
      <c r="AL60" s="30">
        <v>0.8</v>
      </c>
      <c r="AM60" s="27"/>
      <c r="AN60" s="30"/>
      <c r="AR60" s="30">
        <v>0.3</v>
      </c>
      <c r="AS60" s="30">
        <v>0.8</v>
      </c>
      <c r="AT60" s="27"/>
      <c r="AY60" s="30">
        <v>0.3</v>
      </c>
      <c r="AZ60" s="30">
        <v>0.8</v>
      </c>
      <c r="BA60" s="27"/>
      <c r="BD60" s="11"/>
      <c r="BF60" s="30">
        <v>0.3</v>
      </c>
      <c r="BG60" s="30">
        <v>0.8</v>
      </c>
      <c r="BH60" s="27"/>
      <c r="BM60" s="27"/>
      <c r="BN60" s="30">
        <v>0.8</v>
      </c>
      <c r="BO60" s="27"/>
      <c r="BR60" s="11"/>
      <c r="BT60" s="27"/>
      <c r="BU60" s="30"/>
      <c r="BV60" s="27"/>
      <c r="BW60" s="30">
        <v>0.8</v>
      </c>
      <c r="BY60" s="11"/>
      <c r="CA60" s="27"/>
      <c r="CB60" s="30"/>
      <c r="CC60" s="27"/>
      <c r="CD60" s="30">
        <v>0.8</v>
      </c>
      <c r="CF60" s="11"/>
      <c r="CH60" s="30">
        <v>0.7</v>
      </c>
      <c r="CI60" s="30">
        <v>0.8</v>
      </c>
      <c r="CJ60" s="27"/>
      <c r="CK60" s="30"/>
      <c r="CM60" s="11"/>
      <c r="CO60" s="30">
        <v>0.7</v>
      </c>
      <c r="CP60" s="30">
        <v>1.0</v>
      </c>
      <c r="CQ60" s="27"/>
      <c r="CR60" s="30"/>
      <c r="CT60" s="11"/>
      <c r="CV60" s="30">
        <v>0.7</v>
      </c>
      <c r="CW60" s="30">
        <v>1.0</v>
      </c>
      <c r="CX60" s="27"/>
      <c r="CY60" s="30"/>
      <c r="DA60" s="11"/>
      <c r="DB60" s="5">
        <v>2.5</v>
      </c>
      <c r="DC60" s="30">
        <v>1.0</v>
      </c>
      <c r="DD60" s="30">
        <v>1.0</v>
      </c>
      <c r="DE60" s="27"/>
      <c r="DF60" s="30"/>
      <c r="DH60" s="11"/>
      <c r="DI60" s="11"/>
      <c r="DK60" s="27"/>
      <c r="DL60" s="27"/>
      <c r="DM60" s="27"/>
      <c r="DN60" s="27"/>
    </row>
    <row r="61" ht="15.75" customHeight="1" outlineLevel="1">
      <c r="B61" s="6" t="s">
        <v>56</v>
      </c>
      <c r="C61" s="24" t="s">
        <v>97</v>
      </c>
      <c r="E61" s="26"/>
      <c r="F61" s="5" t="s">
        <v>102</v>
      </c>
      <c r="G61" s="27">
        <v>0.05</v>
      </c>
      <c r="I61" s="26">
        <f t="shared" si="7"/>
        <v>3.5</v>
      </c>
      <c r="J61" s="29">
        <f t="array" ref="J61">MAX(IF($N$3:$GO$3=$J$3,N61:GO61))</f>
        <v>1</v>
      </c>
      <c r="K61" s="29"/>
      <c r="L61" s="26"/>
      <c r="P61" s="27"/>
      <c r="Q61" s="30">
        <v>0.0</v>
      </c>
      <c r="R61" s="27"/>
      <c r="S61" s="30"/>
      <c r="W61" s="27"/>
      <c r="X61" s="30">
        <v>0.0</v>
      </c>
      <c r="Y61" s="27"/>
      <c r="AD61" s="27"/>
      <c r="AE61" s="30"/>
      <c r="AF61" s="27"/>
      <c r="AG61" s="30">
        <v>0.5</v>
      </c>
      <c r="AK61" s="27"/>
      <c r="AL61" s="30">
        <v>0.5</v>
      </c>
      <c r="AM61" s="27"/>
      <c r="AN61" s="30"/>
      <c r="AR61" s="30">
        <v>0.3</v>
      </c>
      <c r="AS61" s="30">
        <v>0.8</v>
      </c>
      <c r="AT61" s="27"/>
      <c r="AY61" s="30">
        <v>0.3</v>
      </c>
      <c r="AZ61" s="30">
        <v>0.8</v>
      </c>
      <c r="BA61" s="27"/>
      <c r="BD61" s="11"/>
      <c r="BF61" s="30">
        <v>0.3</v>
      </c>
      <c r="BG61" s="30">
        <v>0.8</v>
      </c>
      <c r="BH61" s="27"/>
      <c r="BM61" s="27"/>
      <c r="BN61" s="30">
        <v>0.8</v>
      </c>
      <c r="BO61" s="27"/>
      <c r="BR61" s="11"/>
      <c r="BT61" s="27"/>
      <c r="BU61" s="30"/>
      <c r="BV61" s="27"/>
      <c r="BW61" s="30">
        <v>0.5</v>
      </c>
      <c r="BY61" s="11"/>
      <c r="CA61" s="27"/>
      <c r="CB61" s="30"/>
      <c r="CC61" s="27"/>
      <c r="CD61" s="30">
        <v>0.8</v>
      </c>
      <c r="CF61" s="11"/>
      <c r="CH61" s="30">
        <v>0.7</v>
      </c>
      <c r="CI61" s="30">
        <v>0.8</v>
      </c>
      <c r="CJ61" s="27"/>
      <c r="CK61" s="30"/>
      <c r="CM61" s="11"/>
      <c r="CO61" s="30">
        <v>0.7</v>
      </c>
      <c r="CP61" s="30">
        <v>1.0</v>
      </c>
      <c r="CQ61" s="27"/>
      <c r="CR61" s="30"/>
      <c r="CT61" s="11"/>
      <c r="CV61" s="30">
        <v>0.7</v>
      </c>
      <c r="CW61" s="30">
        <v>1.0</v>
      </c>
      <c r="CX61" s="27"/>
      <c r="CY61" s="30"/>
      <c r="DA61" s="11"/>
      <c r="DB61" s="5">
        <v>3.5</v>
      </c>
      <c r="DC61" s="30">
        <v>1.0</v>
      </c>
      <c r="DD61" s="30">
        <v>1.0</v>
      </c>
      <c r="DE61" s="27"/>
      <c r="DF61" s="30"/>
      <c r="DH61" s="11"/>
      <c r="DI61" s="11"/>
      <c r="DK61" s="27"/>
      <c r="DL61" s="27"/>
      <c r="DM61" s="27"/>
      <c r="DN61" s="27"/>
    </row>
    <row r="62" ht="15.75" customHeight="1" outlineLevel="1">
      <c r="B62" s="6" t="s">
        <v>56</v>
      </c>
      <c r="C62" s="24" t="s">
        <v>97</v>
      </c>
      <c r="E62" s="26"/>
      <c r="F62" s="5" t="s">
        <v>103</v>
      </c>
      <c r="G62" s="30">
        <v>0.05</v>
      </c>
      <c r="I62" s="26">
        <f t="shared" si="7"/>
        <v>3</v>
      </c>
      <c r="J62" s="29">
        <f t="array" ref="J62">MAX(IF($N$3:$GO$3=$J$3,N62:GO62))</f>
        <v>1</v>
      </c>
      <c r="K62" s="29"/>
      <c r="L62" s="26"/>
      <c r="P62" s="27"/>
      <c r="Q62" s="30">
        <v>0.0</v>
      </c>
      <c r="R62" s="27"/>
      <c r="S62" s="30"/>
      <c r="W62" s="27"/>
      <c r="X62" s="30">
        <v>0.0</v>
      </c>
      <c r="Y62" s="27"/>
      <c r="AD62" s="27"/>
      <c r="AE62" s="30"/>
      <c r="AF62" s="27"/>
      <c r="AG62" s="30">
        <v>0.0</v>
      </c>
      <c r="AK62" s="27"/>
      <c r="AL62" s="30">
        <v>0.5</v>
      </c>
      <c r="AM62" s="27"/>
      <c r="AN62" s="30"/>
      <c r="AR62" s="27"/>
      <c r="AS62" s="30">
        <v>0.5</v>
      </c>
      <c r="AT62" s="27"/>
      <c r="AX62" s="5">
        <v>1.5</v>
      </c>
      <c r="AY62" s="27"/>
      <c r="AZ62" s="30">
        <v>0.8</v>
      </c>
      <c r="BA62" s="27"/>
      <c r="BD62" s="11"/>
      <c r="BF62" s="30">
        <v>0.3</v>
      </c>
      <c r="BG62" s="30">
        <v>0.8</v>
      </c>
      <c r="BH62" s="27"/>
      <c r="BM62" s="27"/>
      <c r="BN62" s="30">
        <v>0.8</v>
      </c>
      <c r="BO62" s="27"/>
      <c r="BR62" s="11"/>
      <c r="BT62" s="27"/>
      <c r="BU62" s="30"/>
      <c r="BV62" s="27"/>
      <c r="BW62" s="30">
        <v>0.5</v>
      </c>
      <c r="BY62" s="11"/>
      <c r="CA62" s="27"/>
      <c r="CB62" s="30"/>
      <c r="CC62" s="27"/>
      <c r="CD62" s="30">
        <v>0.8</v>
      </c>
      <c r="CF62" s="11"/>
      <c r="CH62" s="30">
        <v>0.7</v>
      </c>
      <c r="CI62" s="30">
        <v>0.8</v>
      </c>
      <c r="CJ62" s="27"/>
      <c r="CK62" s="30"/>
      <c r="CM62" s="11"/>
      <c r="CO62" s="30">
        <v>0.7</v>
      </c>
      <c r="CP62" s="30">
        <v>0.8</v>
      </c>
      <c r="CQ62" s="27"/>
      <c r="CR62" s="30"/>
      <c r="CT62" s="11"/>
      <c r="CV62" s="30">
        <v>0.7</v>
      </c>
      <c r="CW62" s="30">
        <v>1.0</v>
      </c>
      <c r="CX62" s="27"/>
      <c r="CY62" s="30"/>
      <c r="DA62" s="11"/>
      <c r="DB62" s="5">
        <v>1.5</v>
      </c>
      <c r="DC62" s="30">
        <v>1.0</v>
      </c>
      <c r="DD62" s="30">
        <v>1.0</v>
      </c>
      <c r="DE62" s="27"/>
      <c r="DF62" s="30"/>
      <c r="DH62" s="11"/>
      <c r="DI62" s="11"/>
      <c r="DK62" s="32" t="s">
        <v>120</v>
      </c>
    </row>
    <row r="63" ht="15.75" customHeight="1" outlineLevel="1">
      <c r="B63" s="6" t="s">
        <v>56</v>
      </c>
      <c r="C63" s="24" t="s">
        <v>97</v>
      </c>
      <c r="E63" s="26"/>
      <c r="F63" s="5" t="s">
        <v>104</v>
      </c>
      <c r="G63" s="30">
        <v>0.05</v>
      </c>
      <c r="I63" s="26">
        <f t="shared" si="7"/>
        <v>3.5</v>
      </c>
      <c r="J63" s="29">
        <f t="array" ref="J63">MAX(IF($N$3:$GO$3=$J$3,N63:GO63))</f>
        <v>1</v>
      </c>
      <c r="K63" s="29"/>
      <c r="L63" s="26"/>
      <c r="P63" s="27"/>
      <c r="Q63" s="30">
        <v>0.0</v>
      </c>
      <c r="R63" s="27"/>
      <c r="S63" s="30"/>
      <c r="W63" s="27"/>
      <c r="X63" s="30">
        <v>0.0</v>
      </c>
      <c r="Y63" s="27"/>
      <c r="AD63" s="27"/>
      <c r="AE63" s="30"/>
      <c r="AF63" s="27"/>
      <c r="AG63" s="30">
        <v>0.0</v>
      </c>
      <c r="AK63" s="27"/>
      <c r="AL63" s="30">
        <v>0.5</v>
      </c>
      <c r="AM63" s="27"/>
      <c r="AN63" s="30"/>
      <c r="AR63" s="27"/>
      <c r="AS63" s="30">
        <v>0.5</v>
      </c>
      <c r="AT63" s="27"/>
      <c r="AX63" s="5">
        <v>2.0</v>
      </c>
      <c r="AY63" s="27"/>
      <c r="AZ63" s="30">
        <v>0.8</v>
      </c>
      <c r="BA63" s="27"/>
      <c r="BD63" s="11"/>
      <c r="BF63" s="30">
        <v>0.3</v>
      </c>
      <c r="BG63" s="30">
        <v>0.8</v>
      </c>
      <c r="BH63" s="27"/>
      <c r="BM63" s="27"/>
      <c r="BN63" s="30">
        <v>0.8</v>
      </c>
      <c r="BO63" s="27"/>
      <c r="BR63" s="11"/>
      <c r="BT63" s="27"/>
      <c r="BU63" s="30"/>
      <c r="BV63" s="27"/>
      <c r="BW63" s="30">
        <v>0.5</v>
      </c>
      <c r="BY63" s="11"/>
      <c r="CA63" s="27"/>
      <c r="CB63" s="30"/>
      <c r="CC63" s="27"/>
      <c r="CD63" s="30">
        <v>0.5</v>
      </c>
      <c r="CF63" s="11"/>
      <c r="CH63" s="30">
        <v>0.8</v>
      </c>
      <c r="CI63" s="30">
        <v>0.8</v>
      </c>
      <c r="CJ63" s="27"/>
      <c r="CK63" s="30"/>
      <c r="CM63" s="11"/>
      <c r="CO63" s="30">
        <v>0.8</v>
      </c>
      <c r="CP63" s="30">
        <v>0.8</v>
      </c>
      <c r="CQ63" s="27"/>
      <c r="CR63" s="30"/>
      <c r="CT63" s="11"/>
      <c r="CV63" s="30">
        <v>0.8</v>
      </c>
      <c r="CW63" s="30">
        <v>1.0</v>
      </c>
      <c r="CX63" s="27"/>
      <c r="CY63" s="30"/>
      <c r="DA63" s="11"/>
      <c r="DB63" s="5">
        <v>1.5</v>
      </c>
      <c r="DC63" s="30">
        <v>1.0</v>
      </c>
      <c r="DD63" s="30">
        <v>1.0</v>
      </c>
      <c r="DE63" s="27"/>
      <c r="DF63" s="30"/>
      <c r="DH63" s="11"/>
      <c r="DI63" s="11"/>
      <c r="DK63" s="27"/>
      <c r="DL63" s="27"/>
      <c r="DM63" s="27"/>
      <c r="DN63" s="27"/>
    </row>
    <row r="64" ht="15.75" customHeight="1" outlineLevel="1">
      <c r="B64" s="6" t="s">
        <v>56</v>
      </c>
      <c r="C64" s="24" t="s">
        <v>97</v>
      </c>
      <c r="E64" s="26"/>
      <c r="F64" s="5" t="s">
        <v>105</v>
      </c>
      <c r="G64" s="30">
        <v>0.05</v>
      </c>
      <c r="I64" s="26">
        <f t="shared" si="7"/>
        <v>4</v>
      </c>
      <c r="J64" s="29">
        <f t="array" ref="J64">MAX(IF($N$3:$GO$3=$J$3,N64:GO64))</f>
        <v>1</v>
      </c>
      <c r="K64" s="29"/>
      <c r="L64" s="26"/>
      <c r="P64" s="27"/>
      <c r="Q64" s="30">
        <v>0.0</v>
      </c>
      <c r="R64" s="27"/>
      <c r="S64" s="30"/>
      <c r="W64" s="27"/>
      <c r="X64" s="30">
        <v>0.0</v>
      </c>
      <c r="Y64" s="27"/>
      <c r="AD64" s="27"/>
      <c r="AE64" s="30"/>
      <c r="AF64" s="27"/>
      <c r="AG64" s="30">
        <v>0.0</v>
      </c>
      <c r="AK64" s="27"/>
      <c r="AL64" s="30">
        <v>0.0</v>
      </c>
      <c r="AM64" s="27"/>
      <c r="AN64" s="30"/>
      <c r="AR64" s="27"/>
      <c r="AS64" s="30">
        <v>0.5</v>
      </c>
      <c r="AT64" s="27"/>
      <c r="AY64" s="27"/>
      <c r="AZ64" s="30">
        <v>0.5</v>
      </c>
      <c r="BA64" s="27"/>
      <c r="BD64" s="11"/>
      <c r="BE64" s="5">
        <v>1.5</v>
      </c>
      <c r="BF64" s="30">
        <v>0.3</v>
      </c>
      <c r="BG64" s="30">
        <v>0.8</v>
      </c>
      <c r="BH64" s="27"/>
      <c r="BM64" s="27"/>
      <c r="BN64" s="30">
        <v>0.8</v>
      </c>
      <c r="BO64" s="27"/>
      <c r="BR64" s="11"/>
      <c r="BT64" s="27"/>
      <c r="BU64" s="30"/>
      <c r="BV64" s="27"/>
      <c r="BW64" s="30">
        <v>0.5</v>
      </c>
      <c r="BY64" s="11"/>
      <c r="CA64" s="27"/>
      <c r="CB64" s="30"/>
      <c r="CC64" s="27"/>
      <c r="CD64" s="30">
        <v>0.5</v>
      </c>
      <c r="CF64" s="11"/>
      <c r="CH64" s="30">
        <v>0.5</v>
      </c>
      <c r="CI64" s="30">
        <v>0.8</v>
      </c>
      <c r="CJ64" s="27"/>
      <c r="CK64" s="30"/>
      <c r="CM64" s="11"/>
      <c r="CO64" s="30">
        <v>0.5</v>
      </c>
      <c r="CP64" s="30">
        <v>0.8</v>
      </c>
      <c r="CQ64" s="27"/>
      <c r="CR64" s="30"/>
      <c r="CT64" s="11"/>
      <c r="CV64" s="30">
        <v>0.5</v>
      </c>
      <c r="CW64" s="30">
        <v>1.0</v>
      </c>
      <c r="CX64" s="27"/>
      <c r="CY64" s="30"/>
      <c r="DA64" s="11"/>
      <c r="DB64" s="5">
        <v>2.5</v>
      </c>
      <c r="DC64" s="30">
        <v>1.0</v>
      </c>
      <c r="DD64" s="30">
        <v>1.0</v>
      </c>
      <c r="DE64" s="27"/>
      <c r="DF64" s="30"/>
      <c r="DH64" s="11"/>
      <c r="DI64" s="11"/>
      <c r="DK64" s="27"/>
      <c r="DL64" s="27"/>
      <c r="DM64" s="27"/>
      <c r="DN64" s="27"/>
    </row>
    <row r="65" ht="15.75" customHeight="1" outlineLevel="1">
      <c r="B65" s="6" t="s">
        <v>56</v>
      </c>
      <c r="C65" s="24" t="s">
        <v>97</v>
      </c>
      <c r="E65" s="26"/>
      <c r="F65" s="5" t="s">
        <v>106</v>
      </c>
      <c r="G65" s="30">
        <v>0.05</v>
      </c>
      <c r="I65" s="26">
        <f t="shared" si="7"/>
        <v>4</v>
      </c>
      <c r="J65" s="29">
        <f t="array" ref="J65">MAX(IF($N$3:$GO$3=$J$3,N65:GO65))</f>
        <v>1</v>
      </c>
      <c r="K65" s="29"/>
      <c r="L65" s="26"/>
      <c r="P65" s="27"/>
      <c r="Q65" s="30">
        <v>0.0</v>
      </c>
      <c r="R65" s="27"/>
      <c r="S65" s="30"/>
      <c r="W65" s="27"/>
      <c r="X65" s="30">
        <v>0.0</v>
      </c>
      <c r="Y65" s="27"/>
      <c r="AD65" s="27"/>
      <c r="AE65" s="27"/>
      <c r="AF65" s="27"/>
      <c r="AG65" s="30">
        <v>0.0</v>
      </c>
      <c r="AK65" s="27"/>
      <c r="AL65" s="30">
        <v>0.0</v>
      </c>
      <c r="AM65" s="27"/>
      <c r="AN65" s="30"/>
      <c r="AR65" s="27"/>
      <c r="AS65" s="30">
        <v>0.0</v>
      </c>
      <c r="AT65" s="27"/>
      <c r="AY65" s="27"/>
      <c r="AZ65" s="30">
        <v>0.5</v>
      </c>
      <c r="BA65" s="27"/>
      <c r="BD65" s="11"/>
      <c r="BF65" s="27"/>
      <c r="BG65" s="30">
        <v>0.8</v>
      </c>
      <c r="BH65" s="27"/>
      <c r="BM65" s="27"/>
      <c r="BN65" s="30">
        <v>0.8</v>
      </c>
      <c r="BO65" s="27"/>
      <c r="BR65" s="11"/>
      <c r="BS65" s="5">
        <v>1.5</v>
      </c>
      <c r="BT65" s="27"/>
      <c r="BU65" s="30"/>
      <c r="BV65" s="27"/>
      <c r="BW65" s="30">
        <v>0.5</v>
      </c>
      <c r="BY65" s="11"/>
      <c r="CA65" s="27"/>
      <c r="CB65" s="30"/>
      <c r="CC65" s="27"/>
      <c r="CD65" s="30">
        <v>0.5</v>
      </c>
      <c r="CF65" s="11"/>
      <c r="CH65" s="30">
        <v>0.5</v>
      </c>
      <c r="CI65" s="30">
        <v>0.5</v>
      </c>
      <c r="CJ65" s="27"/>
      <c r="CK65" s="30"/>
      <c r="CM65" s="11"/>
      <c r="CO65" s="30">
        <v>0.5</v>
      </c>
      <c r="CP65" s="30">
        <v>0.8</v>
      </c>
      <c r="CQ65" s="27"/>
      <c r="CR65" s="30"/>
      <c r="CT65" s="11"/>
      <c r="CV65" s="30">
        <v>0.5</v>
      </c>
      <c r="CW65" s="30">
        <v>1.0</v>
      </c>
      <c r="CX65" s="27"/>
      <c r="CY65" s="30"/>
      <c r="DA65" s="11"/>
      <c r="DB65" s="5">
        <v>2.5</v>
      </c>
      <c r="DC65" s="30">
        <v>1.0</v>
      </c>
      <c r="DD65" s="30">
        <v>1.0</v>
      </c>
      <c r="DE65" s="27"/>
      <c r="DF65" s="30"/>
      <c r="DH65" s="11"/>
      <c r="DI65" s="11"/>
      <c r="DK65" s="27"/>
      <c r="DL65" s="27"/>
      <c r="DM65" s="27"/>
      <c r="DN65" s="27"/>
    </row>
    <row r="66" ht="15.75" customHeight="1" outlineLevel="1">
      <c r="B66" s="6" t="s">
        <v>56</v>
      </c>
      <c r="C66" s="24" t="s">
        <v>97</v>
      </c>
      <c r="E66" s="26"/>
      <c r="F66" s="5" t="s">
        <v>107</v>
      </c>
      <c r="G66" s="27">
        <v>0.1</v>
      </c>
      <c r="I66" s="26">
        <f t="shared" si="7"/>
        <v>4</v>
      </c>
      <c r="J66" s="29">
        <f t="array" ref="J66">MAX(IF($N$3:$GO$3=$J$3,N66:GO66))</f>
        <v>1</v>
      </c>
      <c r="K66" s="29"/>
      <c r="L66" s="26"/>
      <c r="P66" s="27"/>
      <c r="Q66" s="30">
        <v>0.0</v>
      </c>
      <c r="R66" s="27"/>
      <c r="S66" s="30"/>
      <c r="W66" s="27"/>
      <c r="X66" s="30">
        <v>0.0</v>
      </c>
      <c r="Y66" s="27"/>
      <c r="AD66" s="27"/>
      <c r="AE66" s="27"/>
      <c r="AF66" s="27"/>
      <c r="AG66" s="30">
        <v>0.0</v>
      </c>
      <c r="AK66" s="27"/>
      <c r="AL66" s="30">
        <v>0.0</v>
      </c>
      <c r="AM66" s="27"/>
      <c r="AN66" s="30"/>
      <c r="AR66" s="27"/>
      <c r="AS66" s="30">
        <v>0.0</v>
      </c>
      <c r="AT66" s="27"/>
      <c r="AY66" s="27"/>
      <c r="AZ66" s="30">
        <v>0.5</v>
      </c>
      <c r="BA66" s="27"/>
      <c r="BD66" s="11"/>
      <c r="BF66" s="27"/>
      <c r="BG66" s="30">
        <v>0.5</v>
      </c>
      <c r="BH66" s="27"/>
      <c r="BM66" s="27"/>
      <c r="BN66" s="30">
        <v>0.8</v>
      </c>
      <c r="BO66" s="27"/>
      <c r="BR66" s="11"/>
      <c r="BT66" s="27"/>
      <c r="BU66" s="30"/>
      <c r="BV66" s="27"/>
      <c r="BW66" s="30"/>
      <c r="BY66" s="11"/>
      <c r="BZ66" s="5">
        <v>1.5</v>
      </c>
      <c r="CA66" s="27"/>
      <c r="CB66" s="30"/>
      <c r="CC66" s="27"/>
      <c r="CD66" s="30"/>
      <c r="CF66" s="11"/>
      <c r="CH66" s="30">
        <v>0.3</v>
      </c>
      <c r="CI66" s="30">
        <v>0.5</v>
      </c>
      <c r="CJ66" s="27"/>
      <c r="CK66" s="30"/>
      <c r="CM66" s="11"/>
      <c r="CO66" s="30">
        <v>0.3</v>
      </c>
      <c r="CP66" s="30">
        <v>0.8</v>
      </c>
      <c r="CQ66" s="27"/>
      <c r="CR66" s="30"/>
      <c r="CT66" s="11"/>
      <c r="CV66" s="30">
        <v>0.5</v>
      </c>
      <c r="CW66" s="30">
        <v>0.8</v>
      </c>
      <c r="CX66" s="27"/>
      <c r="CY66" s="30"/>
      <c r="DA66" s="11"/>
      <c r="DB66" s="5">
        <v>2.5</v>
      </c>
      <c r="DC66" s="30">
        <v>1.0</v>
      </c>
      <c r="DD66" s="30">
        <v>1.0</v>
      </c>
      <c r="DE66" s="27"/>
      <c r="DF66" s="30"/>
      <c r="DH66" s="11"/>
      <c r="DI66" s="11"/>
      <c r="DK66" s="27"/>
      <c r="DL66" s="27"/>
      <c r="DM66" s="27"/>
      <c r="DN66" s="27"/>
    </row>
    <row r="67" ht="15.75" customHeight="1" outlineLevel="1">
      <c r="B67" s="6" t="s">
        <v>56</v>
      </c>
      <c r="C67" s="24" t="s">
        <v>97</v>
      </c>
      <c r="E67" s="26"/>
      <c r="F67" s="5" t="s">
        <v>108</v>
      </c>
      <c r="G67" s="27">
        <v>0.1</v>
      </c>
      <c r="I67" s="26">
        <f t="shared" si="7"/>
        <v>3</v>
      </c>
      <c r="J67" s="29">
        <f t="array" ref="J67">MAX(IF($N$3:$GO$3=$J$3,N67:GO67))</f>
        <v>1</v>
      </c>
      <c r="K67" s="29"/>
      <c r="L67" s="26"/>
      <c r="P67" s="27"/>
      <c r="Q67" s="30">
        <v>0.0</v>
      </c>
      <c r="R67" s="27"/>
      <c r="S67" s="30"/>
      <c r="W67" s="27"/>
      <c r="X67" s="30">
        <v>0.0</v>
      </c>
      <c r="Y67" s="27"/>
      <c r="AD67" s="27"/>
      <c r="AE67" s="27"/>
      <c r="AF67" s="27"/>
      <c r="AG67" s="30">
        <v>0.0</v>
      </c>
      <c r="AK67" s="27"/>
      <c r="AL67" s="30">
        <v>0.0</v>
      </c>
      <c r="AM67" s="27"/>
      <c r="AN67" s="30"/>
      <c r="AR67" s="27"/>
      <c r="AS67" s="30">
        <v>0.0</v>
      </c>
      <c r="AT67" s="27"/>
      <c r="AY67" s="27"/>
      <c r="AZ67" s="30">
        <v>0.0</v>
      </c>
      <c r="BA67" s="27"/>
      <c r="BD67" s="11"/>
      <c r="BF67" s="27"/>
      <c r="BG67" s="30">
        <v>0.5</v>
      </c>
      <c r="BH67" s="27"/>
      <c r="BM67" s="27"/>
      <c r="BN67" s="30">
        <v>0.5</v>
      </c>
      <c r="BO67" s="27"/>
      <c r="BR67" s="11"/>
      <c r="BT67" s="27"/>
      <c r="BU67" s="30"/>
      <c r="BV67" s="27"/>
      <c r="BW67" s="30"/>
      <c r="BY67" s="11"/>
      <c r="CA67" s="27"/>
      <c r="CB67" s="30"/>
      <c r="CC67" s="27"/>
      <c r="CD67" s="30"/>
      <c r="CF67" s="11"/>
      <c r="CG67" s="5">
        <v>1.5</v>
      </c>
      <c r="CH67" s="30">
        <v>0.3</v>
      </c>
      <c r="CI67" s="30">
        <v>0.5</v>
      </c>
      <c r="CJ67" s="27"/>
      <c r="CK67" s="30"/>
      <c r="CM67" s="11"/>
      <c r="CO67" s="30">
        <v>0.3</v>
      </c>
      <c r="CP67" s="30">
        <v>0.8</v>
      </c>
      <c r="CQ67" s="27"/>
      <c r="CR67" s="30"/>
      <c r="CT67" s="11"/>
      <c r="CV67" s="30">
        <v>0.5</v>
      </c>
      <c r="CW67" s="30">
        <v>0.8</v>
      </c>
      <c r="CX67" s="27"/>
      <c r="CY67" s="30"/>
      <c r="DA67" s="11"/>
      <c r="DB67" s="5">
        <v>1.5</v>
      </c>
      <c r="DC67" s="30">
        <v>1.0</v>
      </c>
      <c r="DD67" s="30">
        <v>1.0</v>
      </c>
      <c r="DE67" s="27"/>
      <c r="DF67" s="30"/>
      <c r="DH67" s="11"/>
      <c r="DI67" s="11"/>
      <c r="DK67" s="27"/>
      <c r="DL67" s="27"/>
      <c r="DM67" s="27"/>
      <c r="DN67" s="27"/>
    </row>
    <row r="68" ht="15.75" customHeight="1" outlineLevel="1">
      <c r="B68" s="6" t="s">
        <v>56</v>
      </c>
      <c r="C68" s="24" t="s">
        <v>97</v>
      </c>
      <c r="E68" s="26"/>
      <c r="F68" s="5" t="s">
        <v>109</v>
      </c>
      <c r="G68" s="27">
        <v>0.1</v>
      </c>
      <c r="I68" s="26">
        <f t="shared" si="7"/>
        <v>3.25</v>
      </c>
      <c r="J68" s="29">
        <f t="array" ref="J68">MAX(IF($N$3:$GO$3=$J$3,N68:GO68))</f>
        <v>1</v>
      </c>
      <c r="K68" s="29"/>
      <c r="L68" s="26"/>
      <c r="P68" s="27"/>
      <c r="Q68" s="30">
        <v>0.0</v>
      </c>
      <c r="R68" s="27"/>
      <c r="S68" s="30"/>
      <c r="W68" s="27"/>
      <c r="X68" s="30">
        <v>0.0</v>
      </c>
      <c r="Y68" s="27"/>
      <c r="AD68" s="27"/>
      <c r="AE68" s="27"/>
      <c r="AF68" s="27"/>
      <c r="AG68" s="30">
        <v>0.0</v>
      </c>
      <c r="AK68" s="27"/>
      <c r="AL68" s="30">
        <v>0.0</v>
      </c>
      <c r="AM68" s="27"/>
      <c r="AN68" s="30"/>
      <c r="AR68" s="27"/>
      <c r="AS68" s="30">
        <v>0.0</v>
      </c>
      <c r="AT68" s="27"/>
      <c r="AY68" s="27"/>
      <c r="AZ68" s="30">
        <v>0.0</v>
      </c>
      <c r="BA68" s="27"/>
      <c r="BD68" s="11"/>
      <c r="BF68" s="27"/>
      <c r="BG68" s="30">
        <v>0.5</v>
      </c>
      <c r="BH68" s="27"/>
      <c r="BM68" s="27"/>
      <c r="BN68" s="30">
        <v>0.5</v>
      </c>
      <c r="BO68" s="27"/>
      <c r="BR68" s="11"/>
      <c r="BT68" s="27"/>
      <c r="BU68" s="30"/>
      <c r="BV68" s="27"/>
      <c r="BW68" s="30"/>
      <c r="BY68" s="11"/>
      <c r="CA68" s="27"/>
      <c r="CB68" s="30"/>
      <c r="CC68" s="27"/>
      <c r="CD68" s="30"/>
      <c r="CF68" s="11"/>
      <c r="CG68" s="5">
        <v>0.25</v>
      </c>
      <c r="CH68" s="27"/>
      <c r="CI68" s="30"/>
      <c r="CJ68" s="27"/>
      <c r="CK68" s="30"/>
      <c r="CM68" s="11"/>
      <c r="CN68" s="5">
        <v>1.5</v>
      </c>
      <c r="CO68" s="30">
        <v>0.3</v>
      </c>
      <c r="CP68" s="30">
        <v>0.5</v>
      </c>
      <c r="CQ68" s="27"/>
      <c r="CR68" s="30"/>
      <c r="CT68" s="11"/>
      <c r="CV68" s="30">
        <v>0.5</v>
      </c>
      <c r="CW68" s="30">
        <v>0.8</v>
      </c>
      <c r="CX68" s="27"/>
      <c r="CY68" s="30"/>
      <c r="DA68" s="11"/>
      <c r="DB68" s="5">
        <v>1.5</v>
      </c>
      <c r="DC68" s="30">
        <v>1.0</v>
      </c>
      <c r="DD68" s="30">
        <v>1.0</v>
      </c>
      <c r="DE68" s="27"/>
      <c r="DF68" s="30"/>
      <c r="DH68" s="11"/>
      <c r="DI68" s="11"/>
      <c r="DK68" s="27"/>
      <c r="DL68" s="27"/>
      <c r="DM68" s="27"/>
      <c r="DN68" s="27"/>
    </row>
    <row r="69" ht="15.75" customHeight="1" outlineLevel="1">
      <c r="B69" s="6" t="s">
        <v>56</v>
      </c>
      <c r="C69" s="24" t="s">
        <v>97</v>
      </c>
      <c r="E69" s="26"/>
      <c r="F69" s="5" t="s">
        <v>110</v>
      </c>
      <c r="G69" s="27">
        <v>0.1</v>
      </c>
      <c r="I69" s="26">
        <f t="shared" si="7"/>
        <v>2.5</v>
      </c>
      <c r="J69" s="29">
        <f t="array" ref="J69">MAX(IF($N$3:$GO$3=$J$3,N69:GO69))</f>
        <v>1</v>
      </c>
      <c r="K69" s="29"/>
      <c r="L69" s="26"/>
      <c r="P69" s="27"/>
      <c r="Q69" s="30">
        <v>0.0</v>
      </c>
      <c r="R69" s="27"/>
      <c r="S69" s="30"/>
      <c r="W69" s="27"/>
      <c r="X69" s="30">
        <v>0.0</v>
      </c>
      <c r="Y69" s="27"/>
      <c r="AD69" s="27"/>
      <c r="AE69" s="27"/>
      <c r="AF69" s="27"/>
      <c r="AG69" s="30">
        <v>0.0</v>
      </c>
      <c r="AK69" s="27"/>
      <c r="AL69" s="30">
        <v>0.0</v>
      </c>
      <c r="AM69" s="27"/>
      <c r="AN69" s="30"/>
      <c r="AR69" s="27"/>
      <c r="AS69" s="30">
        <v>0.0</v>
      </c>
      <c r="AT69" s="27"/>
      <c r="AY69" s="27"/>
      <c r="AZ69" s="30">
        <v>0.0</v>
      </c>
      <c r="BA69" s="27"/>
      <c r="BD69" s="11"/>
      <c r="BF69" s="27"/>
      <c r="BG69" s="30">
        <v>0.0</v>
      </c>
      <c r="BH69" s="27"/>
      <c r="BM69" s="27"/>
      <c r="BN69" s="30">
        <v>0.5</v>
      </c>
      <c r="BO69" s="27"/>
      <c r="BR69" s="11"/>
      <c r="BT69" s="27"/>
      <c r="BU69" s="30"/>
      <c r="BV69" s="27"/>
      <c r="BW69" s="30"/>
      <c r="BY69" s="11"/>
      <c r="CA69" s="27"/>
      <c r="CB69" s="30"/>
      <c r="CC69" s="27"/>
      <c r="CD69" s="30"/>
      <c r="CF69" s="11"/>
      <c r="CH69" s="27"/>
      <c r="CI69" s="30"/>
      <c r="CJ69" s="27"/>
      <c r="CK69" s="30"/>
      <c r="CM69" s="11"/>
      <c r="CO69" s="27"/>
      <c r="CP69" s="30"/>
      <c r="CQ69" s="27"/>
      <c r="CR69" s="30"/>
      <c r="CT69" s="11"/>
      <c r="CV69" s="30">
        <v>0.5</v>
      </c>
      <c r="CW69" s="30">
        <v>0.5</v>
      </c>
      <c r="CX69" s="27"/>
      <c r="CY69" s="30"/>
      <c r="DA69" s="11"/>
      <c r="DB69" s="5">
        <v>2.5</v>
      </c>
      <c r="DC69" s="30">
        <v>1.0</v>
      </c>
      <c r="DD69" s="30">
        <v>1.0</v>
      </c>
      <c r="DE69" s="27"/>
      <c r="DF69" s="30"/>
      <c r="DH69" s="11"/>
      <c r="DI69" s="11"/>
      <c r="DK69" s="27"/>
      <c r="DL69" s="27"/>
      <c r="DM69" s="27"/>
      <c r="DN69" s="27"/>
    </row>
    <row r="70" ht="15.75" customHeight="1" outlineLevel="1">
      <c r="B70" s="6" t="s">
        <v>56</v>
      </c>
      <c r="C70" s="24" t="s">
        <v>97</v>
      </c>
      <c r="E70" s="26"/>
      <c r="F70" s="5" t="s">
        <v>111</v>
      </c>
      <c r="G70" s="27">
        <v>0.1</v>
      </c>
      <c r="I70" s="26">
        <f t="shared" si="7"/>
        <v>3</v>
      </c>
      <c r="J70" s="29">
        <f t="array" ref="J70">MAX(IF($N$3:$GO$3=$J$3,N70:GO70))</f>
        <v>1</v>
      </c>
      <c r="K70" s="29"/>
      <c r="L70" s="26"/>
      <c r="P70" s="27"/>
      <c r="Q70" s="30">
        <v>0.0</v>
      </c>
      <c r="R70" s="27"/>
      <c r="S70" s="30"/>
      <c r="W70" s="27"/>
      <c r="X70" s="30">
        <v>0.0</v>
      </c>
      <c r="Y70" s="27"/>
      <c r="AD70" s="27"/>
      <c r="AE70" s="27"/>
      <c r="AF70" s="27"/>
      <c r="AG70" s="30">
        <v>0.0</v>
      </c>
      <c r="AK70" s="27"/>
      <c r="AL70" s="30">
        <v>0.0</v>
      </c>
      <c r="AM70" s="27"/>
      <c r="AN70" s="30"/>
      <c r="AR70" s="27"/>
      <c r="AS70" s="30">
        <v>0.0</v>
      </c>
      <c r="AT70" s="27"/>
      <c r="AY70" s="27"/>
      <c r="AZ70" s="30">
        <v>0.0</v>
      </c>
      <c r="BA70" s="27"/>
      <c r="BD70" s="11"/>
      <c r="BF70" s="27"/>
      <c r="BG70" s="30">
        <v>0.0</v>
      </c>
      <c r="BH70" s="27"/>
      <c r="BM70" s="27"/>
      <c r="BN70" s="30">
        <v>0.0</v>
      </c>
      <c r="BO70" s="27"/>
      <c r="BR70" s="11"/>
      <c r="BT70" s="27"/>
      <c r="BU70" s="30"/>
      <c r="BV70" s="27"/>
      <c r="BW70" s="30"/>
      <c r="BY70" s="11"/>
      <c r="CA70" s="27"/>
      <c r="CB70" s="30"/>
      <c r="CC70" s="27"/>
      <c r="CD70" s="30"/>
      <c r="CF70" s="11"/>
      <c r="CH70" s="27"/>
      <c r="CI70" s="30"/>
      <c r="CJ70" s="27"/>
      <c r="CK70" s="30"/>
      <c r="CM70" s="11"/>
      <c r="CO70" s="27"/>
      <c r="CP70" s="30"/>
      <c r="CQ70" s="27"/>
      <c r="CR70" s="30"/>
      <c r="CT70" s="11"/>
      <c r="CU70" s="5">
        <v>1.5</v>
      </c>
      <c r="CV70" s="30">
        <v>0.5</v>
      </c>
      <c r="CW70" s="30">
        <v>0.5</v>
      </c>
      <c r="CX70" s="27"/>
      <c r="CY70" s="30"/>
      <c r="DA70" s="11"/>
      <c r="DB70" s="5">
        <v>1.5</v>
      </c>
      <c r="DC70" s="30">
        <v>1.0</v>
      </c>
      <c r="DD70" s="30">
        <v>1.0</v>
      </c>
      <c r="DE70" s="27"/>
      <c r="DF70" s="30"/>
      <c r="DH70" s="11"/>
      <c r="DI70" s="11"/>
      <c r="DK70" s="27"/>
      <c r="DL70" s="27"/>
      <c r="DM70" s="27"/>
      <c r="DN70" s="27"/>
    </row>
    <row r="71" ht="15.75" customHeight="1">
      <c r="C71" s="8"/>
      <c r="BD71" s="11"/>
      <c r="BR71" s="11"/>
      <c r="BY71" s="11"/>
      <c r="CF71" s="11"/>
      <c r="CM71" s="11"/>
      <c r="CT71" s="11"/>
      <c r="DA71" s="11"/>
      <c r="DH71" s="11"/>
      <c r="DI71" s="11"/>
    </row>
    <row r="72" ht="15.75" customHeight="1">
      <c r="B72" s="6" t="s">
        <v>26</v>
      </c>
      <c r="C72" s="24" t="s">
        <v>112</v>
      </c>
      <c r="D72" s="25">
        <v>44861.0</v>
      </c>
      <c r="E72" s="32">
        <v>3.0</v>
      </c>
      <c r="G72" s="27">
        <f>+SUM(G73:G79)</f>
        <v>1</v>
      </c>
      <c r="I72" s="28">
        <f>+SUM(I73:I79)</f>
        <v>52.5</v>
      </c>
      <c r="J72" s="29">
        <f>+SUMPRODUCT(G73:G79,J73:J79)</f>
        <v>1</v>
      </c>
      <c r="K72" s="29">
        <f>+SUMPRODUCT(G73:G79,K73:K79)</f>
        <v>1</v>
      </c>
      <c r="L72" s="26"/>
      <c r="O72" s="28">
        <f>SUM(O73:O79)</f>
        <v>3</v>
      </c>
      <c r="V72" s="38">
        <f>SUM(V73:V79)</f>
        <v>3.5</v>
      </c>
      <c r="AC72" s="28">
        <f>SUM(AC73:AC79)</f>
        <v>3</v>
      </c>
      <c r="AJ72" s="38">
        <f>SUM(AJ73:AJ79)</f>
        <v>4</v>
      </c>
      <c r="AQ72" s="38">
        <f>SUM(AQ73:AQ79)</f>
        <v>5.5</v>
      </c>
      <c r="AX72" s="38">
        <f>SUM(AX73:AX79)</f>
        <v>4.5</v>
      </c>
      <c r="BD72" s="11"/>
      <c r="BE72" s="28">
        <f>SUM(BE73:BE79)</f>
        <v>28</v>
      </c>
      <c r="BL72" s="28"/>
      <c r="BR72" s="11"/>
      <c r="BS72" s="28"/>
      <c r="BY72" s="11"/>
      <c r="BZ72" s="28"/>
      <c r="CF72" s="11"/>
      <c r="CG72" s="28"/>
      <c r="CM72" s="11"/>
      <c r="CN72" s="28"/>
      <c r="CT72" s="11"/>
      <c r="CU72" s="28"/>
      <c r="DA72" s="11"/>
      <c r="DB72" s="28"/>
      <c r="DH72" s="11"/>
      <c r="DI72" s="11"/>
      <c r="DJ72" s="28"/>
    </row>
    <row r="73" ht="15.75" hidden="1" customHeight="1" outlineLevel="1">
      <c r="B73" s="6" t="s">
        <v>56</v>
      </c>
      <c r="C73" s="24" t="s">
        <v>113</v>
      </c>
      <c r="E73" s="26"/>
      <c r="F73" s="5" t="s">
        <v>114</v>
      </c>
      <c r="G73" s="30">
        <v>0.2</v>
      </c>
      <c r="I73" s="26">
        <f t="shared" ref="I73:I79" si="8">+SUMIF($N$3:$ACG$3,I$3,$N73:$ACG73)</f>
        <v>6.5</v>
      </c>
      <c r="J73" s="29">
        <f t="array" ref="J73">MAX(IF($N$3:$GO$3=$J$3,N73:GO73))</f>
        <v>1</v>
      </c>
      <c r="K73" s="29">
        <f t="array" ref="K73">MAX(IF($N$3:$GO$3=$J$3,N73:GO73))</f>
        <v>1</v>
      </c>
      <c r="L73" s="26"/>
      <c r="O73" s="5">
        <v>1.0</v>
      </c>
      <c r="R73" s="30">
        <v>0.3</v>
      </c>
      <c r="S73" s="30">
        <v>0.8</v>
      </c>
      <c r="T73" s="5">
        <v>4.0</v>
      </c>
      <c r="Y73" s="30">
        <v>0.3</v>
      </c>
      <c r="Z73" s="30">
        <v>0.8</v>
      </c>
      <c r="AA73" s="5">
        <v>4.0</v>
      </c>
      <c r="AD73" s="27"/>
      <c r="AE73" s="30"/>
      <c r="AF73" s="30">
        <v>0.3</v>
      </c>
      <c r="AG73" s="30">
        <v>0.8</v>
      </c>
      <c r="AJ73" s="5">
        <v>1.5</v>
      </c>
      <c r="AK73" s="30">
        <v>1.0</v>
      </c>
      <c r="AL73" s="30">
        <v>1.0</v>
      </c>
      <c r="AM73" s="30"/>
      <c r="AN73" s="30"/>
      <c r="AR73" s="30">
        <v>1.0</v>
      </c>
      <c r="AS73" s="30">
        <v>1.0</v>
      </c>
      <c r="AT73" s="27"/>
      <c r="AY73" s="30">
        <v>1.0</v>
      </c>
      <c r="AZ73" s="30">
        <v>1.0</v>
      </c>
      <c r="BA73" s="27"/>
      <c r="BD73" s="11"/>
      <c r="BE73" s="5">
        <v>4.0</v>
      </c>
      <c r="BF73" s="30">
        <v>1.0</v>
      </c>
      <c r="BG73" s="30">
        <v>1.0</v>
      </c>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I73" s="11"/>
      <c r="DK73" s="27"/>
      <c r="DL73" s="27"/>
      <c r="DM73" s="27"/>
      <c r="DN73" s="27"/>
    </row>
    <row r="74" ht="15.75" hidden="1" customHeight="1" outlineLevel="1">
      <c r="B74" s="6" t="s">
        <v>56</v>
      </c>
      <c r="C74" s="24" t="s">
        <v>113</v>
      </c>
      <c r="E74" s="26"/>
      <c r="F74" s="5" t="s">
        <v>115</v>
      </c>
      <c r="G74" s="30">
        <v>0.25</v>
      </c>
      <c r="I74" s="26">
        <f t="shared" si="8"/>
        <v>9.5</v>
      </c>
      <c r="J74" s="29">
        <f t="array" ref="J74">MAX(IF($N$3:$GO$3=$J$3,N74:GO74))</f>
        <v>1</v>
      </c>
      <c r="K74" s="29">
        <f t="array" ref="K74">MAX(IF($N$3:$GO$3=$J$3,N74:GO74))</f>
        <v>1</v>
      </c>
      <c r="L74" s="26"/>
      <c r="O74" s="5">
        <v>1.0</v>
      </c>
      <c r="R74" s="30">
        <v>0.3</v>
      </c>
      <c r="S74" s="30">
        <v>0.5</v>
      </c>
      <c r="Y74" s="30">
        <v>0.3</v>
      </c>
      <c r="Z74" s="30">
        <v>0.8</v>
      </c>
      <c r="AD74" s="27"/>
      <c r="AE74" s="30"/>
      <c r="AF74" s="30">
        <v>0.3</v>
      </c>
      <c r="AG74" s="30">
        <v>0.8</v>
      </c>
      <c r="AJ74" s="5">
        <v>2.5</v>
      </c>
      <c r="AK74" s="30">
        <v>0.5</v>
      </c>
      <c r="AL74" s="30">
        <v>1.0</v>
      </c>
      <c r="AM74" s="30"/>
      <c r="AN74" s="30"/>
      <c r="AQ74" s="5">
        <v>1.5</v>
      </c>
      <c r="AR74" s="30">
        <v>0.6</v>
      </c>
      <c r="AS74" s="30">
        <v>1.0</v>
      </c>
      <c r="AT74" s="27"/>
      <c r="AX74" s="5">
        <v>0.5</v>
      </c>
      <c r="AY74" s="30">
        <v>0.8</v>
      </c>
      <c r="AZ74" s="30">
        <v>1.0</v>
      </c>
      <c r="BA74" s="27"/>
      <c r="BD74" s="11"/>
      <c r="BE74" s="5">
        <v>4.0</v>
      </c>
      <c r="BF74" s="30">
        <v>1.0</v>
      </c>
      <c r="BG74" s="30">
        <v>1.0</v>
      </c>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I74" s="11"/>
      <c r="DK74" s="27"/>
      <c r="DL74" s="27"/>
      <c r="DM74" s="27"/>
      <c r="DN74" s="27"/>
    </row>
    <row r="75" ht="15.75" hidden="1" customHeight="1" outlineLevel="1">
      <c r="B75" s="6" t="s">
        <v>56</v>
      </c>
      <c r="C75" s="24" t="s">
        <v>113</v>
      </c>
      <c r="E75" s="26"/>
      <c r="F75" s="5" t="s">
        <v>116</v>
      </c>
      <c r="G75" s="30">
        <v>0.25</v>
      </c>
      <c r="I75" s="26">
        <f t="shared" si="8"/>
        <v>9.5</v>
      </c>
      <c r="J75" s="29">
        <f t="array" ref="J75">MAX(IF($N$3:$GO$3=$J$3,N75:GO75))</f>
        <v>1</v>
      </c>
      <c r="K75" s="29">
        <f t="array" ref="K75">MAX(IF($N$3:$GO$3=$J$3,N75:GO75))</f>
        <v>1</v>
      </c>
      <c r="L75" s="26"/>
      <c r="O75" s="5">
        <v>1.0</v>
      </c>
      <c r="R75" s="30">
        <v>0.3</v>
      </c>
      <c r="S75" s="30">
        <v>0.5</v>
      </c>
      <c r="V75" s="5">
        <v>1.0</v>
      </c>
      <c r="Y75" s="30">
        <v>0.3</v>
      </c>
      <c r="Z75" s="30">
        <v>0.8</v>
      </c>
      <c r="AD75" s="27"/>
      <c r="AE75" s="30"/>
      <c r="AF75" s="30">
        <v>0.3</v>
      </c>
      <c r="AG75" s="30">
        <v>0.8</v>
      </c>
      <c r="AK75" s="30"/>
      <c r="AL75" s="30">
        <v>0.8</v>
      </c>
      <c r="AM75" s="30"/>
      <c r="AN75" s="30"/>
      <c r="AQ75" s="5">
        <v>1.0</v>
      </c>
      <c r="AR75" s="30">
        <v>0.5</v>
      </c>
      <c r="AS75" s="30">
        <v>1.0</v>
      </c>
      <c r="AT75" s="27"/>
      <c r="AX75" s="5">
        <v>2.5</v>
      </c>
      <c r="AY75" s="30">
        <v>0.8</v>
      </c>
      <c r="AZ75" s="30">
        <v>1.0</v>
      </c>
      <c r="BA75" s="27"/>
      <c r="BD75" s="11"/>
      <c r="BE75" s="5">
        <v>4.0</v>
      </c>
      <c r="BF75" s="30">
        <v>1.0</v>
      </c>
      <c r="BG75" s="30">
        <v>1.0</v>
      </c>
      <c r="BH75" s="27"/>
      <c r="BI75" s="27"/>
      <c r="BM75" s="27"/>
      <c r="BN75" s="27"/>
      <c r="BO75" s="27"/>
      <c r="BP75" s="27"/>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I75" s="11"/>
      <c r="DK75" s="27"/>
      <c r="DL75" s="27"/>
      <c r="DM75" s="27"/>
      <c r="DN75" s="27"/>
    </row>
    <row r="76" ht="15.75" hidden="1" customHeight="1" outlineLevel="1">
      <c r="B76" s="6" t="s">
        <v>56</v>
      </c>
      <c r="C76" s="24" t="s">
        <v>113</v>
      </c>
      <c r="E76" s="26"/>
      <c r="F76" s="5" t="s">
        <v>142</v>
      </c>
      <c r="G76" s="30">
        <v>0.0</v>
      </c>
      <c r="I76" s="26">
        <f t="shared" si="8"/>
        <v>2.5</v>
      </c>
      <c r="J76" s="29">
        <f t="array" ref="J76">MAX(IF($N$3:$GO$3=$J$3,N76:GO76))</f>
        <v>1</v>
      </c>
      <c r="K76" s="29">
        <f t="array" ref="K76">MAX(IF($N$3:$GO$3=$J$3,N76:GO76))</f>
        <v>1</v>
      </c>
      <c r="L76" s="26"/>
      <c r="R76" s="27"/>
      <c r="S76" s="30">
        <v>0.0</v>
      </c>
      <c r="V76" s="5">
        <v>2.5</v>
      </c>
      <c r="Y76" s="30">
        <v>0.5</v>
      </c>
      <c r="Z76" s="30">
        <v>0.5</v>
      </c>
      <c r="AD76" s="27"/>
      <c r="AE76" s="30"/>
      <c r="AF76" s="30">
        <v>0.8</v>
      </c>
      <c r="AG76" s="30">
        <v>0.8</v>
      </c>
      <c r="AK76" s="30">
        <v>1.0</v>
      </c>
      <c r="AL76" s="30">
        <v>0.8</v>
      </c>
      <c r="AM76" s="30"/>
      <c r="AN76" s="30"/>
      <c r="AR76" s="30">
        <v>1.0</v>
      </c>
      <c r="AS76" s="30">
        <v>1.0</v>
      </c>
      <c r="AT76" s="27"/>
      <c r="AY76" s="30">
        <v>1.0</v>
      </c>
      <c r="AZ76" s="30">
        <v>1.0</v>
      </c>
      <c r="BA76" s="27"/>
      <c r="BD76" s="11"/>
      <c r="BF76" s="30">
        <v>1.0</v>
      </c>
      <c r="BG76" s="30">
        <v>1.0</v>
      </c>
      <c r="BH76" s="32"/>
      <c r="BI76" s="32"/>
      <c r="BM76" s="32" t="s">
        <v>120</v>
      </c>
      <c r="BR76" s="11"/>
      <c r="BT76" s="27"/>
      <c r="BU76" s="27"/>
      <c r="BV76" s="27"/>
      <c r="BW76" s="27"/>
      <c r="BY76" s="11"/>
      <c r="CA76" s="27"/>
      <c r="CB76" s="27"/>
      <c r="CC76" s="27"/>
      <c r="CD76" s="27"/>
      <c r="CF76" s="11"/>
      <c r="CH76" s="27"/>
      <c r="CI76" s="27"/>
      <c r="CJ76" s="27"/>
      <c r="CK76" s="27"/>
      <c r="CM76" s="11"/>
      <c r="CO76" s="27"/>
      <c r="CP76" s="27"/>
      <c r="CQ76" s="27"/>
      <c r="CR76" s="27"/>
      <c r="CT76" s="11"/>
      <c r="CV76" s="27"/>
      <c r="CW76" s="27"/>
      <c r="CX76" s="27"/>
      <c r="CY76" s="27"/>
      <c r="DA76" s="11"/>
      <c r="DC76" s="27"/>
      <c r="DD76" s="27"/>
      <c r="DE76" s="27"/>
      <c r="DF76" s="27"/>
      <c r="DH76" s="11"/>
      <c r="DI76" s="11"/>
      <c r="DK76" s="27"/>
      <c r="DL76" s="27"/>
      <c r="DM76" s="27"/>
      <c r="DN76" s="27"/>
    </row>
    <row r="77" ht="15.75" hidden="1" customHeight="1" outlineLevel="1">
      <c r="B77" s="6" t="s">
        <v>56</v>
      </c>
      <c r="C77" s="24" t="s">
        <v>113</v>
      </c>
      <c r="E77" s="26"/>
      <c r="F77" s="5" t="s">
        <v>143</v>
      </c>
      <c r="G77" s="30">
        <v>0.0</v>
      </c>
      <c r="I77" s="26">
        <f t="shared" si="8"/>
        <v>7.5</v>
      </c>
      <c r="J77" s="29">
        <f t="array" ref="J77">MAX(IF($N$3:$GO$3=$J$3,N77:GO77))</f>
        <v>0.6</v>
      </c>
      <c r="K77" s="29">
        <f t="array" ref="K77">MAX(IF($N$3:$GO$3=$J$3,N77:GO77))</f>
        <v>0.6</v>
      </c>
      <c r="L77" s="26"/>
      <c r="R77" s="27"/>
      <c r="S77" s="30">
        <v>0.0</v>
      </c>
      <c r="Y77" s="27"/>
      <c r="Z77" s="30">
        <v>0.5</v>
      </c>
      <c r="AD77" s="27"/>
      <c r="AE77" s="30"/>
      <c r="AF77" s="27"/>
      <c r="AG77" s="30">
        <v>0.8</v>
      </c>
      <c r="AK77" s="27"/>
      <c r="AL77" s="30">
        <v>0.8</v>
      </c>
      <c r="AM77" s="27"/>
      <c r="AN77" s="30"/>
      <c r="AQ77" s="5">
        <v>3.0</v>
      </c>
      <c r="AR77" s="30">
        <v>0.5</v>
      </c>
      <c r="AS77" s="30">
        <v>0.8</v>
      </c>
      <c r="AT77" s="27"/>
      <c r="AX77" s="5">
        <v>1.5</v>
      </c>
      <c r="AY77" s="30">
        <v>0.6</v>
      </c>
      <c r="AZ77" s="30">
        <v>1.0</v>
      </c>
      <c r="BA77" s="27"/>
      <c r="BD77" s="11"/>
      <c r="BE77" s="5">
        <v>2.0</v>
      </c>
      <c r="BF77" s="30">
        <v>0.6</v>
      </c>
      <c r="BG77" s="30">
        <v>1.0</v>
      </c>
      <c r="BH77" s="27"/>
      <c r="BI77" s="27"/>
      <c r="BM77" s="27"/>
      <c r="BN77" s="27"/>
      <c r="BO77" s="27"/>
      <c r="BP77" s="27"/>
      <c r="BR77" s="11"/>
      <c r="BS77" s="5">
        <v>1.0</v>
      </c>
      <c r="BT77" s="27"/>
      <c r="BU77" s="27"/>
      <c r="BV77" s="27"/>
      <c r="BW77" s="27"/>
      <c r="BY77" s="11"/>
      <c r="CA77" s="27"/>
      <c r="CB77" s="27"/>
      <c r="CC77" s="27"/>
      <c r="CD77" s="27"/>
      <c r="CF77" s="11"/>
      <c r="CH77" s="27"/>
      <c r="CI77" s="27"/>
      <c r="CJ77" s="27"/>
      <c r="CK77" s="27"/>
      <c r="CM77" s="11"/>
      <c r="CO77" s="27"/>
      <c r="CP77" s="27"/>
      <c r="CQ77" s="27"/>
      <c r="CR77" s="27"/>
      <c r="CT77" s="11"/>
      <c r="CV77" s="27"/>
      <c r="CW77" s="27"/>
      <c r="CX77" s="27"/>
      <c r="CY77" s="27"/>
      <c r="DA77" s="11"/>
      <c r="DC77" s="27"/>
      <c r="DD77" s="27"/>
      <c r="DE77" s="27"/>
      <c r="DF77" s="27"/>
      <c r="DH77" s="11"/>
      <c r="DI77" s="11"/>
      <c r="DK77" s="27"/>
      <c r="DL77" s="27"/>
      <c r="DM77" s="27"/>
      <c r="DN77" s="27"/>
    </row>
    <row r="78" ht="15.75" hidden="1" customHeight="1" outlineLevel="1">
      <c r="B78" s="6" t="s">
        <v>56</v>
      </c>
      <c r="C78" s="24" t="s">
        <v>113</v>
      </c>
      <c r="E78" s="26"/>
      <c r="F78" s="5" t="s">
        <v>144</v>
      </c>
      <c r="G78" s="30">
        <v>0.0</v>
      </c>
      <c r="I78" s="26">
        <f t="shared" si="8"/>
        <v>3</v>
      </c>
      <c r="J78" s="29">
        <f t="array" ref="J78">MAX(IF($N$3:$GO$3=$J$3,N78:GO78))</f>
        <v>0.9</v>
      </c>
      <c r="K78" s="29">
        <f t="array" ref="K78">MAX(IF($N$3:$GO$3=$J$3,N78:GO78))</f>
        <v>0.9</v>
      </c>
      <c r="L78" s="26"/>
      <c r="R78" s="27"/>
      <c r="S78" s="30">
        <v>0.0</v>
      </c>
      <c r="Y78" s="27"/>
      <c r="Z78" s="30">
        <v>0.0</v>
      </c>
      <c r="AC78" s="5">
        <v>3.0</v>
      </c>
      <c r="AD78" s="27"/>
      <c r="AE78" s="30"/>
      <c r="AF78" s="27"/>
      <c r="AG78" s="30">
        <v>0.5</v>
      </c>
      <c r="AK78" s="30">
        <v>0.8</v>
      </c>
      <c r="AL78" s="30">
        <v>0.8</v>
      </c>
      <c r="AM78" s="27"/>
      <c r="AN78" s="30"/>
      <c r="AR78" s="30">
        <v>0.8</v>
      </c>
      <c r="AS78" s="30">
        <v>0.8</v>
      </c>
      <c r="AT78" s="27"/>
      <c r="AY78" s="30">
        <v>0.9</v>
      </c>
      <c r="AZ78" s="30">
        <v>1.0</v>
      </c>
      <c r="BA78" s="27"/>
      <c r="BD78" s="11"/>
      <c r="BF78" s="30">
        <v>0.8</v>
      </c>
      <c r="BG78" s="30">
        <v>1.0</v>
      </c>
      <c r="BH78" s="27"/>
      <c r="BI78" s="27"/>
      <c r="BM78" s="27"/>
      <c r="BN78" s="27"/>
      <c r="BO78" s="27"/>
      <c r="BP78" s="27"/>
      <c r="BR78" s="11"/>
      <c r="BT78" s="27"/>
      <c r="BU78" s="27"/>
      <c r="BV78" s="27"/>
      <c r="BW78" s="27"/>
      <c r="BY78" s="11"/>
      <c r="CA78" s="27"/>
      <c r="CB78" s="27"/>
      <c r="CC78" s="27"/>
      <c r="CD78" s="27"/>
      <c r="CF78" s="11"/>
      <c r="CH78" s="27"/>
      <c r="CI78" s="27"/>
      <c r="CJ78" s="27"/>
      <c r="CK78" s="27"/>
      <c r="CM78" s="11"/>
      <c r="CO78" s="27"/>
      <c r="CP78" s="27"/>
      <c r="CQ78" s="27"/>
      <c r="CR78" s="27"/>
      <c r="CT78" s="11"/>
      <c r="CV78" s="27"/>
      <c r="CW78" s="27"/>
      <c r="CX78" s="27"/>
      <c r="CY78" s="27"/>
      <c r="DA78" s="11"/>
      <c r="DC78" s="27"/>
      <c r="DD78" s="27"/>
      <c r="DE78" s="27"/>
      <c r="DF78" s="27"/>
      <c r="DH78" s="11"/>
      <c r="DI78" s="11"/>
      <c r="DK78" s="27"/>
      <c r="DL78" s="27"/>
      <c r="DM78" s="27"/>
      <c r="DN78" s="27"/>
    </row>
    <row r="79" ht="15.75" hidden="1" customHeight="1" outlineLevel="1">
      <c r="B79" s="6" t="s">
        <v>56</v>
      </c>
      <c r="C79" s="24" t="s">
        <v>113</v>
      </c>
      <c r="E79" s="26"/>
      <c r="F79" s="5" t="s">
        <v>145</v>
      </c>
      <c r="G79" s="30">
        <v>0.3</v>
      </c>
      <c r="I79" s="26">
        <f t="shared" si="8"/>
        <v>14</v>
      </c>
      <c r="J79" s="29">
        <f t="array" ref="J79">MAX(IF($N$3:$GO$3=$J$3,N79:GO79))</f>
        <v>1</v>
      </c>
      <c r="K79" s="29">
        <f t="array" ref="K79">MAX(IF($N$3:$GO$3=$J$3,N79:GO79))</f>
        <v>1</v>
      </c>
      <c r="L79" s="26"/>
      <c r="R79" s="27"/>
      <c r="S79" s="30">
        <v>0.0</v>
      </c>
      <c r="Y79" s="27"/>
      <c r="Z79" s="30">
        <v>0.0</v>
      </c>
      <c r="AD79" s="27"/>
      <c r="AE79" s="30"/>
      <c r="AF79" s="27"/>
      <c r="AG79" s="30">
        <v>0.5</v>
      </c>
      <c r="AK79" s="27"/>
      <c r="AL79" s="30">
        <v>0.5</v>
      </c>
      <c r="AM79" s="27"/>
      <c r="AN79" s="30"/>
      <c r="AR79" s="27"/>
      <c r="AS79" s="30">
        <v>0.0</v>
      </c>
      <c r="AT79" s="27"/>
      <c r="AY79" s="27"/>
      <c r="AZ79" s="30">
        <v>0.0</v>
      </c>
      <c r="BA79" s="27"/>
      <c r="BD79" s="11"/>
      <c r="BE79" s="5">
        <v>14.0</v>
      </c>
      <c r="BF79" s="30">
        <v>1.0</v>
      </c>
      <c r="BG79" s="30">
        <v>1.0</v>
      </c>
      <c r="BH79" s="27"/>
      <c r="BI79" s="27"/>
      <c r="BM79" s="27"/>
      <c r="BN79" s="27"/>
      <c r="BO79" s="27"/>
      <c r="BP79" s="27"/>
      <c r="BR79" s="11"/>
      <c r="BT79" s="27"/>
      <c r="BU79" s="27"/>
      <c r="BV79" s="27"/>
      <c r="BW79" s="27"/>
      <c r="BY79" s="11"/>
      <c r="CA79" s="27"/>
      <c r="CB79" s="27"/>
      <c r="CC79" s="27"/>
      <c r="CD79" s="27"/>
      <c r="CF79" s="11"/>
      <c r="CH79" s="27"/>
      <c r="CI79" s="27"/>
      <c r="CJ79" s="27"/>
      <c r="CK79" s="27"/>
      <c r="CM79" s="11"/>
      <c r="CO79" s="27"/>
      <c r="CP79" s="27"/>
      <c r="CQ79" s="27"/>
      <c r="CR79" s="27"/>
      <c r="CT79" s="11"/>
      <c r="CV79" s="27"/>
      <c r="CW79" s="27"/>
      <c r="CX79" s="27"/>
      <c r="CY79" s="27"/>
      <c r="DA79" s="11"/>
      <c r="DC79" s="27"/>
      <c r="DD79" s="27"/>
      <c r="DE79" s="27"/>
      <c r="DF79" s="27"/>
      <c r="DH79" s="11"/>
      <c r="DI79" s="11"/>
      <c r="DK79" s="27"/>
      <c r="DL79" s="27"/>
      <c r="DM79" s="27"/>
      <c r="DN79" s="27"/>
    </row>
    <row r="80" ht="15.75" customHeight="1" collapsed="1">
      <c r="C80" s="8"/>
      <c r="AN80" s="30"/>
      <c r="BD80" s="11"/>
      <c r="BR80" s="11"/>
      <c r="BY80" s="11"/>
      <c r="CF80" s="11"/>
      <c r="CM80" s="11"/>
      <c r="CT80" s="11"/>
      <c r="DA80" s="11"/>
      <c r="DH80" s="11"/>
      <c r="DI80" s="11"/>
    </row>
    <row r="81" ht="15.75" customHeight="1">
      <c r="C81" s="8"/>
      <c r="BD81" s="11"/>
      <c r="BR81" s="11"/>
      <c r="BY81" s="11"/>
      <c r="CF81" s="11"/>
      <c r="CM81" s="11"/>
      <c r="CT81" s="11"/>
      <c r="DA81" s="11"/>
      <c r="DH81" s="11"/>
      <c r="DI81" s="11"/>
    </row>
    <row r="82" ht="15.75" customHeight="1">
      <c r="C82" s="8"/>
      <c r="I82" s="26"/>
      <c r="J82" s="29"/>
      <c r="K82" s="29"/>
      <c r="L82" s="26"/>
      <c r="P82" s="27"/>
      <c r="Q82" s="30"/>
      <c r="R82" s="27"/>
      <c r="S82" s="30"/>
      <c r="W82" s="27"/>
      <c r="X82" s="30"/>
      <c r="Y82" s="27"/>
      <c r="AD82" s="27"/>
      <c r="AE82" s="27"/>
      <c r="AF82" s="27"/>
      <c r="AG82" s="30"/>
      <c r="AK82" s="27"/>
      <c r="AL82" s="30"/>
      <c r="AM82" s="27"/>
      <c r="AN82" s="30"/>
      <c r="BD82" s="11"/>
      <c r="BR82" s="11"/>
      <c r="BY82" s="11"/>
      <c r="CF82" s="11"/>
      <c r="CM82" s="11"/>
      <c r="CT82" s="11"/>
      <c r="DA82" s="11"/>
      <c r="DH82" s="11"/>
      <c r="DI82" s="11"/>
    </row>
    <row r="83" ht="15.75" customHeight="1">
      <c r="C83" s="8"/>
      <c r="I83" s="26"/>
      <c r="J83" s="29"/>
      <c r="K83" s="29"/>
      <c r="L83" s="26"/>
      <c r="P83" s="27"/>
      <c r="Q83" s="30"/>
      <c r="R83" s="27"/>
      <c r="S83" s="30"/>
      <c r="W83" s="27"/>
      <c r="X83" s="30"/>
      <c r="Y83" s="27"/>
      <c r="AD83" s="27"/>
      <c r="AE83" s="27"/>
      <c r="AF83" s="27"/>
      <c r="AG83" s="30"/>
      <c r="AK83" s="27"/>
      <c r="AL83" s="30"/>
      <c r="AM83" s="27"/>
      <c r="AN83" s="30"/>
      <c r="BD83" s="11"/>
      <c r="BR83" s="11"/>
      <c r="BY83" s="11"/>
      <c r="CF83" s="11"/>
      <c r="CM83" s="11"/>
      <c r="CT83" s="11"/>
      <c r="DA83" s="11"/>
      <c r="DH83" s="11"/>
      <c r="DI83" s="11"/>
    </row>
    <row r="84" ht="15.75" customHeight="1">
      <c r="C84" s="8"/>
      <c r="I84" s="26"/>
      <c r="J84" s="29"/>
      <c r="K84" s="29"/>
      <c r="L84" s="26"/>
      <c r="P84" s="27"/>
      <c r="Q84" s="30"/>
      <c r="R84" s="27"/>
      <c r="S84" s="30"/>
      <c r="W84" s="27"/>
      <c r="X84" s="30"/>
      <c r="Y84" s="27"/>
      <c r="AD84" s="27"/>
      <c r="AE84" s="27"/>
      <c r="AF84" s="27"/>
      <c r="AG84" s="30"/>
      <c r="AK84" s="27"/>
      <c r="AL84" s="30"/>
      <c r="AM84" s="27"/>
      <c r="AN84" s="30"/>
      <c r="BD84" s="11"/>
      <c r="BR84" s="11"/>
      <c r="BY84" s="11"/>
      <c r="CF84" s="11"/>
      <c r="CM84" s="11"/>
      <c r="CT84" s="11"/>
      <c r="DA84" s="11"/>
      <c r="DH84" s="11"/>
      <c r="DI84" s="11"/>
    </row>
    <row r="85" ht="15.75" customHeight="1">
      <c r="C85" s="8"/>
      <c r="I85" s="26"/>
      <c r="J85" s="29"/>
      <c r="K85" s="29"/>
      <c r="L85" s="26"/>
      <c r="P85" s="27"/>
      <c r="Q85" s="30"/>
      <c r="R85" s="27"/>
      <c r="S85" s="30"/>
      <c r="W85" s="27"/>
      <c r="X85" s="30"/>
      <c r="Y85" s="27"/>
      <c r="AD85" s="27"/>
      <c r="AE85" s="27"/>
      <c r="AF85" s="27"/>
      <c r="AG85" s="30"/>
      <c r="AK85" s="27"/>
      <c r="AL85" s="30"/>
      <c r="AM85" s="27"/>
      <c r="AN85" s="30"/>
      <c r="BD85" s="11"/>
      <c r="BR85" s="11"/>
      <c r="BY85" s="11"/>
      <c r="CF85" s="11"/>
      <c r="CM85" s="11"/>
      <c r="CT85" s="11"/>
      <c r="DA85" s="11"/>
      <c r="DH85" s="11"/>
      <c r="DI85" s="11"/>
    </row>
    <row r="86" ht="15.75" customHeight="1">
      <c r="C86" s="8"/>
      <c r="I86" s="26"/>
      <c r="J86" s="29"/>
      <c r="K86" s="29"/>
      <c r="L86" s="26"/>
      <c r="P86" s="27"/>
      <c r="Q86" s="30"/>
      <c r="R86" s="27"/>
      <c r="S86" s="30"/>
      <c r="W86" s="27"/>
      <c r="X86" s="30"/>
      <c r="Y86" s="27"/>
      <c r="AD86" s="27"/>
      <c r="AE86" s="27"/>
      <c r="AF86" s="27"/>
      <c r="AG86" s="30"/>
      <c r="AK86" s="27"/>
      <c r="AL86" s="30"/>
      <c r="AM86" s="27"/>
      <c r="AN86" s="30"/>
      <c r="BD86" s="11"/>
      <c r="BR86" s="11"/>
      <c r="BY86" s="11"/>
      <c r="CF86" s="11"/>
      <c r="CM86" s="11"/>
      <c r="CT86" s="11"/>
      <c r="DA86" s="11"/>
      <c r="DH86" s="11"/>
      <c r="DI86" s="11"/>
    </row>
    <row r="87" ht="15.75" customHeight="1">
      <c r="C87" s="8"/>
      <c r="I87" s="26"/>
      <c r="J87" s="29"/>
      <c r="K87" s="29"/>
      <c r="L87" s="26"/>
      <c r="P87" s="27"/>
      <c r="Q87" s="30"/>
      <c r="R87" s="27"/>
      <c r="S87" s="30"/>
      <c r="W87" s="27"/>
      <c r="X87" s="30"/>
      <c r="Y87" s="27"/>
      <c r="AD87" s="27"/>
      <c r="AE87" s="27"/>
      <c r="AF87" s="27"/>
      <c r="AG87" s="30"/>
      <c r="AK87" s="27"/>
      <c r="AL87" s="30"/>
      <c r="AM87" s="27"/>
      <c r="AN87" s="30"/>
      <c r="BD87" s="11"/>
      <c r="BR87" s="11"/>
      <c r="BY87" s="11"/>
      <c r="CF87" s="11"/>
      <c r="CM87" s="11"/>
      <c r="CT87" s="11"/>
      <c r="DA87" s="11"/>
      <c r="DH87" s="11"/>
      <c r="DI87" s="11"/>
    </row>
    <row r="88" ht="15.75" customHeight="1">
      <c r="C88" s="8"/>
      <c r="BD88" s="11"/>
      <c r="BR88" s="11"/>
      <c r="BY88" s="11"/>
      <c r="CF88" s="11"/>
      <c r="CM88" s="11"/>
      <c r="CT88" s="11"/>
      <c r="DA88" s="11"/>
      <c r="DH88" s="11"/>
      <c r="DI88" s="11"/>
    </row>
    <row r="89" ht="15.75" customHeight="1">
      <c r="C89" s="8"/>
      <c r="BD89" s="11"/>
      <c r="BR89" s="11"/>
      <c r="BY89" s="11"/>
      <c r="CF89" s="11"/>
      <c r="CM89" s="11"/>
      <c r="CT89" s="11"/>
      <c r="DA89" s="11"/>
      <c r="DH89" s="11"/>
      <c r="DI89" s="11"/>
    </row>
    <row r="90" ht="15.75" customHeight="1">
      <c r="C90" s="8"/>
      <c r="BD90" s="11"/>
      <c r="BR90" s="11"/>
      <c r="BY90" s="11"/>
      <c r="CF90" s="11"/>
      <c r="CM90" s="11"/>
      <c r="CT90" s="11"/>
      <c r="DA90" s="11"/>
      <c r="DH90" s="11"/>
      <c r="DI90" s="11"/>
    </row>
    <row r="91" ht="15.75" customHeight="1">
      <c r="C91" s="8"/>
      <c r="BD91" s="11"/>
      <c r="BR91" s="11"/>
      <c r="BY91" s="11"/>
      <c r="CF91" s="11"/>
      <c r="CM91" s="11"/>
      <c r="CT91" s="11"/>
      <c r="DA91" s="11"/>
      <c r="DH91" s="11"/>
      <c r="DI91" s="11"/>
    </row>
    <row r="92" ht="15.75" customHeight="1">
      <c r="C92" s="8"/>
      <c r="BD92" s="11"/>
      <c r="BR92" s="11"/>
      <c r="BY92" s="11"/>
      <c r="CF92" s="11"/>
      <c r="CM92" s="11"/>
      <c r="CT92" s="11"/>
      <c r="DA92" s="11"/>
      <c r="DH92" s="11"/>
      <c r="DI92" s="11"/>
    </row>
    <row r="93" ht="15.75" customHeight="1">
      <c r="C93" s="8"/>
      <c r="BD93" s="11"/>
      <c r="BR93" s="11"/>
      <c r="BY93" s="11"/>
      <c r="CF93" s="11"/>
      <c r="CM93" s="11"/>
      <c r="CT93" s="11"/>
      <c r="DA93" s="11"/>
      <c r="DH93" s="11"/>
      <c r="DI93" s="11"/>
    </row>
    <row r="94" ht="15.75" customHeight="1">
      <c r="C94" s="8"/>
      <c r="BD94" s="11"/>
      <c r="BR94" s="11"/>
      <c r="BY94" s="11"/>
      <c r="CF94" s="11"/>
      <c r="CM94" s="11"/>
      <c r="CT94" s="11"/>
      <c r="DA94" s="11"/>
      <c r="DH94" s="11"/>
      <c r="DI94" s="11"/>
    </row>
    <row r="95" ht="15.75" customHeight="1">
      <c r="C95" s="8"/>
      <c r="BD95" s="11"/>
      <c r="BR95" s="11"/>
      <c r="BY95" s="11"/>
      <c r="CF95" s="11"/>
      <c r="CM95" s="11"/>
      <c r="CT95" s="11"/>
      <c r="DA95" s="11"/>
      <c r="DH95" s="11"/>
      <c r="DI95" s="11"/>
    </row>
    <row r="96" ht="15.75" customHeight="1">
      <c r="C96" s="8"/>
      <c r="BD96" s="11"/>
      <c r="BR96" s="11"/>
      <c r="BY96" s="11"/>
      <c r="CF96" s="11"/>
      <c r="CM96" s="11"/>
      <c r="CT96" s="11"/>
      <c r="DA96" s="11"/>
      <c r="DH96" s="11"/>
      <c r="DI96" s="11"/>
    </row>
    <row r="97" ht="15.75" customHeight="1">
      <c r="C97" s="8"/>
      <c r="BD97" s="11"/>
      <c r="BR97" s="11"/>
      <c r="BY97" s="11"/>
      <c r="CF97" s="11"/>
      <c r="CM97" s="11"/>
      <c r="CT97" s="11"/>
      <c r="DA97" s="11"/>
      <c r="DH97" s="11"/>
      <c r="DI97" s="11"/>
    </row>
    <row r="98" ht="15.75" customHeight="1">
      <c r="C98" s="8"/>
      <c r="BD98" s="11"/>
      <c r="BR98" s="11"/>
      <c r="BY98" s="11"/>
      <c r="CF98" s="11"/>
      <c r="CM98" s="11"/>
      <c r="CT98" s="11"/>
      <c r="DA98" s="11"/>
      <c r="DH98" s="11"/>
      <c r="DI98" s="11"/>
    </row>
    <row r="99" ht="15.75" customHeight="1">
      <c r="C99" s="8"/>
      <c r="BD99" s="11"/>
      <c r="BR99" s="11"/>
      <c r="BY99" s="11"/>
      <c r="CF99" s="11"/>
      <c r="CM99" s="11"/>
      <c r="CT99" s="11"/>
      <c r="DA99" s="11"/>
      <c r="DH99" s="11"/>
      <c r="DI99" s="11"/>
    </row>
    <row r="100" ht="15.75" customHeight="1">
      <c r="C100" s="8"/>
      <c r="BD100" s="11"/>
      <c r="BR100" s="11"/>
      <c r="BY100" s="11"/>
      <c r="CF100" s="11"/>
      <c r="CM100" s="11"/>
      <c r="CT100" s="11"/>
      <c r="DA100" s="11"/>
      <c r="DH100" s="11"/>
      <c r="DI100" s="11"/>
    </row>
    <row r="101" ht="15.75" customHeight="1">
      <c r="C101" s="8"/>
      <c r="BD101" s="11"/>
      <c r="BR101" s="11"/>
      <c r="BY101" s="11"/>
      <c r="CF101" s="11"/>
      <c r="CM101" s="11"/>
      <c r="CT101" s="11"/>
      <c r="DA101" s="11"/>
      <c r="DH101" s="11"/>
      <c r="DI101" s="11"/>
    </row>
    <row r="102" ht="15.75" customHeight="1">
      <c r="C102" s="8"/>
      <c r="BD102" s="11"/>
      <c r="BR102" s="11"/>
      <c r="BY102" s="11"/>
      <c r="CF102" s="11"/>
      <c r="CM102" s="11"/>
      <c r="CT102" s="11"/>
      <c r="DA102" s="11"/>
      <c r="DH102" s="11"/>
      <c r="DI102" s="11"/>
    </row>
    <row r="103" ht="15.75" customHeight="1">
      <c r="C103" s="8"/>
      <c r="BD103" s="11"/>
      <c r="BR103" s="11"/>
      <c r="BY103" s="11"/>
      <c r="CF103" s="11"/>
      <c r="CM103" s="11"/>
      <c r="CT103" s="11"/>
      <c r="DA103" s="11"/>
      <c r="DH103" s="11"/>
      <c r="DI103" s="11"/>
    </row>
    <row r="104" ht="15.75" customHeight="1">
      <c r="C104" s="8"/>
      <c r="BD104" s="11"/>
      <c r="BR104" s="11"/>
      <c r="BY104" s="11"/>
      <c r="CF104" s="11"/>
      <c r="CM104" s="11"/>
      <c r="CT104" s="11"/>
      <c r="DA104" s="11"/>
      <c r="DH104" s="11"/>
      <c r="DI104" s="11"/>
    </row>
    <row r="105" ht="15.75" customHeight="1">
      <c r="C105" s="8"/>
      <c r="BD105" s="11"/>
      <c r="BR105" s="11"/>
      <c r="BY105" s="11"/>
      <c r="CF105" s="11"/>
      <c r="CM105" s="11"/>
      <c r="CT105" s="11"/>
      <c r="DA105" s="11"/>
      <c r="DH105" s="11"/>
      <c r="DI105" s="11"/>
    </row>
    <row r="106" ht="15.75" customHeight="1">
      <c r="C106" s="8"/>
      <c r="BD106" s="11"/>
      <c r="BR106" s="11"/>
      <c r="BY106" s="11"/>
      <c r="CF106" s="11"/>
      <c r="CM106" s="11"/>
      <c r="CT106" s="11"/>
      <c r="DA106" s="11"/>
      <c r="DH106" s="11"/>
      <c r="DI106" s="11"/>
    </row>
    <row r="107" ht="15.75" customHeight="1">
      <c r="C107" s="8"/>
      <c r="BD107" s="11"/>
      <c r="BR107" s="11"/>
      <c r="BY107" s="11"/>
      <c r="CF107" s="11"/>
      <c r="CM107" s="11"/>
      <c r="CT107" s="11"/>
      <c r="DA107" s="11"/>
      <c r="DH107" s="11"/>
      <c r="DI107" s="11"/>
    </row>
    <row r="108" ht="15.75" customHeight="1">
      <c r="C108" s="8"/>
      <c r="BD108" s="11"/>
      <c r="BR108" s="11"/>
      <c r="BY108" s="11"/>
      <c r="CF108" s="11"/>
      <c r="CM108" s="11"/>
      <c r="CT108" s="11"/>
      <c r="DA108" s="11"/>
      <c r="DH108" s="11"/>
      <c r="DI108" s="11"/>
    </row>
    <row r="109" ht="15.75" customHeight="1">
      <c r="C109" s="8"/>
      <c r="BD109" s="11"/>
      <c r="BR109" s="11"/>
      <c r="BY109" s="11"/>
      <c r="CF109" s="11"/>
      <c r="CM109" s="11"/>
      <c r="CT109" s="11"/>
      <c r="DA109" s="11"/>
      <c r="DH109" s="11"/>
      <c r="DI109" s="11"/>
    </row>
    <row r="110" ht="15.75" customHeight="1">
      <c r="C110" s="8"/>
      <c r="BD110" s="11"/>
      <c r="BR110" s="11"/>
      <c r="BY110" s="11"/>
      <c r="CF110" s="11"/>
      <c r="CM110" s="11"/>
      <c r="CT110" s="11"/>
      <c r="DA110" s="11"/>
      <c r="DH110" s="11"/>
      <c r="DI110" s="11"/>
    </row>
    <row r="111" ht="15.75" customHeight="1">
      <c r="C111" s="8"/>
      <c r="BD111" s="11"/>
      <c r="BR111" s="11"/>
      <c r="BY111" s="11"/>
      <c r="CF111" s="11"/>
      <c r="CM111" s="11"/>
      <c r="CT111" s="11"/>
      <c r="DA111" s="11"/>
      <c r="DH111" s="11"/>
      <c r="DI111" s="11"/>
    </row>
    <row r="112" ht="15.75" customHeight="1">
      <c r="C112" s="8"/>
      <c r="BD112" s="11"/>
      <c r="BR112" s="11"/>
      <c r="BY112" s="11"/>
      <c r="CF112" s="11"/>
      <c r="CM112" s="11"/>
      <c r="CT112" s="11"/>
      <c r="DA112" s="11"/>
      <c r="DH112" s="11"/>
      <c r="DI112" s="11"/>
    </row>
    <row r="113" ht="15.75" customHeight="1">
      <c r="C113" s="8"/>
      <c r="BD113" s="11"/>
      <c r="BR113" s="11"/>
      <c r="BY113" s="11"/>
      <c r="CF113" s="11"/>
      <c r="CM113" s="11"/>
      <c r="CT113" s="11"/>
      <c r="DA113" s="11"/>
      <c r="DH113" s="11"/>
      <c r="DI113" s="11"/>
    </row>
    <row r="114" ht="15.75" customHeight="1">
      <c r="C114" s="8"/>
      <c r="BD114" s="11"/>
      <c r="BR114" s="11"/>
      <c r="BY114" s="11"/>
      <c r="CF114" s="11"/>
      <c r="CM114" s="11"/>
      <c r="CT114" s="11"/>
      <c r="DA114" s="11"/>
      <c r="DH114" s="11"/>
      <c r="DI114" s="11"/>
    </row>
    <row r="115" ht="15.75" customHeight="1">
      <c r="C115" s="8"/>
      <c r="BD115" s="11"/>
      <c r="BR115" s="11"/>
      <c r="BY115" s="11"/>
      <c r="CF115" s="11"/>
      <c r="CM115" s="11"/>
      <c r="CT115" s="11"/>
      <c r="DA115" s="11"/>
      <c r="DH115" s="11"/>
      <c r="DI115" s="11"/>
    </row>
    <row r="116" ht="15.75" customHeight="1">
      <c r="C116" s="8"/>
      <c r="BD116" s="11"/>
      <c r="BR116" s="11"/>
      <c r="BY116" s="11"/>
      <c r="CF116" s="11"/>
      <c r="CM116" s="11"/>
      <c r="CT116" s="11"/>
      <c r="DA116" s="11"/>
      <c r="DH116" s="11"/>
      <c r="DI116" s="11"/>
    </row>
    <row r="117" ht="15.75" customHeight="1">
      <c r="C117" s="8"/>
      <c r="BD117" s="11"/>
      <c r="BR117" s="11"/>
      <c r="BY117" s="11"/>
      <c r="CF117" s="11"/>
      <c r="CM117" s="11"/>
      <c r="CT117" s="11"/>
      <c r="DA117" s="11"/>
      <c r="DH117" s="11"/>
      <c r="DI117" s="11"/>
    </row>
    <row r="118" ht="15.75" customHeight="1">
      <c r="C118" s="8"/>
      <c r="BD118" s="11"/>
      <c r="BR118" s="11"/>
      <c r="BY118" s="11"/>
      <c r="CF118" s="11"/>
      <c r="CM118" s="11"/>
      <c r="CT118" s="11"/>
      <c r="DA118" s="11"/>
      <c r="DH118" s="11"/>
      <c r="DI118" s="11"/>
    </row>
    <row r="119" ht="15.75" customHeight="1">
      <c r="C119" s="8"/>
      <c r="BD119" s="11"/>
      <c r="BR119" s="11"/>
      <c r="BY119" s="11"/>
      <c r="CF119" s="11"/>
      <c r="CM119" s="11"/>
      <c r="CT119" s="11"/>
      <c r="DA119" s="11"/>
      <c r="DH119" s="11"/>
      <c r="DI119" s="11"/>
    </row>
    <row r="120" ht="15.75" customHeight="1">
      <c r="C120" s="8"/>
      <c r="BD120" s="11"/>
      <c r="BR120" s="11"/>
      <c r="BY120" s="11"/>
      <c r="CF120" s="11"/>
      <c r="CM120" s="11"/>
      <c r="CT120" s="11"/>
      <c r="DA120" s="11"/>
      <c r="DH120" s="11"/>
      <c r="DI120" s="11"/>
    </row>
    <row r="121" ht="15.75" customHeight="1">
      <c r="C121" s="8"/>
      <c r="BD121" s="11"/>
      <c r="BR121" s="11"/>
      <c r="BY121" s="11"/>
      <c r="CF121" s="11"/>
      <c r="CM121" s="11"/>
      <c r="CT121" s="11"/>
      <c r="DA121" s="11"/>
      <c r="DH121" s="11"/>
      <c r="DI121" s="11"/>
    </row>
    <row r="122" ht="15.75" customHeight="1">
      <c r="C122" s="8"/>
      <c r="BD122" s="11"/>
      <c r="BR122" s="11"/>
      <c r="BY122" s="11"/>
      <c r="CF122" s="11"/>
      <c r="CM122" s="11"/>
      <c r="CT122" s="11"/>
      <c r="DA122" s="11"/>
      <c r="DH122" s="11"/>
      <c r="DI122" s="11"/>
    </row>
    <row r="123" ht="15.75" customHeight="1">
      <c r="C123" s="8"/>
      <c r="BD123" s="11"/>
      <c r="BR123" s="11"/>
      <c r="BY123" s="11"/>
      <c r="CF123" s="11"/>
      <c r="CM123" s="11"/>
      <c r="CT123" s="11"/>
      <c r="DA123" s="11"/>
      <c r="DH123" s="11"/>
      <c r="DI123" s="11"/>
    </row>
    <row r="124" ht="15.75" customHeight="1">
      <c r="C124" s="8"/>
      <c r="BD124" s="11"/>
      <c r="BR124" s="11"/>
      <c r="BY124" s="11"/>
      <c r="CF124" s="11"/>
      <c r="CM124" s="11"/>
      <c r="CT124" s="11"/>
      <c r="DA124" s="11"/>
      <c r="DH124" s="11"/>
      <c r="DI124" s="11"/>
    </row>
    <row r="125" ht="15.75" customHeight="1">
      <c r="C125" s="8"/>
      <c r="BD125" s="11"/>
      <c r="BR125" s="11"/>
      <c r="BY125" s="11"/>
      <c r="CF125" s="11"/>
      <c r="CM125" s="11"/>
      <c r="CT125" s="11"/>
      <c r="DA125" s="11"/>
      <c r="DH125" s="11"/>
      <c r="DI125" s="11"/>
    </row>
    <row r="126" ht="15.75" customHeight="1">
      <c r="C126" s="8"/>
      <c r="BD126" s="11"/>
      <c r="BR126" s="11"/>
      <c r="BY126" s="11"/>
      <c r="CF126" s="11"/>
      <c r="CM126" s="11"/>
      <c r="CT126" s="11"/>
      <c r="DA126" s="11"/>
      <c r="DH126" s="11"/>
      <c r="DI126" s="11"/>
    </row>
    <row r="127" ht="15.75" customHeight="1">
      <c r="C127" s="8"/>
      <c r="BD127" s="11"/>
      <c r="BR127" s="11"/>
      <c r="BY127" s="11"/>
      <c r="CF127" s="11"/>
      <c r="CM127" s="11"/>
      <c r="CT127" s="11"/>
      <c r="DA127" s="11"/>
      <c r="DH127" s="11"/>
      <c r="DI127" s="11"/>
    </row>
    <row r="128" ht="15.75" customHeight="1">
      <c r="C128" s="8"/>
      <c r="BD128" s="11"/>
      <c r="BR128" s="11"/>
      <c r="BY128" s="11"/>
      <c r="CF128" s="11"/>
      <c r="CM128" s="11"/>
      <c r="CT128" s="11"/>
      <c r="DA128" s="11"/>
      <c r="DH128" s="11"/>
      <c r="DI128" s="11"/>
    </row>
    <row r="129" ht="15.75" customHeight="1">
      <c r="C129" s="8"/>
      <c r="BD129" s="11"/>
      <c r="BR129" s="11"/>
      <c r="BY129" s="11"/>
      <c r="CF129" s="11"/>
      <c r="CM129" s="11"/>
      <c r="CT129" s="11"/>
      <c r="DA129" s="11"/>
      <c r="DH129" s="11"/>
      <c r="DI129" s="11"/>
    </row>
    <row r="130" ht="15.75" customHeight="1">
      <c r="C130" s="8"/>
      <c r="BD130" s="11"/>
      <c r="BR130" s="11"/>
      <c r="BY130" s="11"/>
      <c r="CF130" s="11"/>
      <c r="CM130" s="11"/>
      <c r="CT130" s="11"/>
      <c r="DA130" s="11"/>
      <c r="DH130" s="11"/>
      <c r="DI130" s="11"/>
    </row>
    <row r="131" ht="15.75" customHeight="1">
      <c r="C131" s="8"/>
      <c r="BD131" s="11"/>
      <c r="BR131" s="11"/>
      <c r="BY131" s="11"/>
      <c r="CF131" s="11"/>
      <c r="CM131" s="11"/>
      <c r="CT131" s="11"/>
      <c r="DA131" s="11"/>
      <c r="DH131" s="11"/>
      <c r="DI131" s="11"/>
    </row>
    <row r="132" ht="15.75" customHeight="1">
      <c r="C132" s="8"/>
      <c r="BD132" s="11"/>
      <c r="BR132" s="11"/>
      <c r="BY132" s="11"/>
      <c r="CF132" s="11"/>
      <c r="CM132" s="11"/>
      <c r="CT132" s="11"/>
      <c r="DA132" s="11"/>
      <c r="DH132" s="11"/>
      <c r="DI132" s="11"/>
    </row>
    <row r="133" ht="15.75" customHeight="1">
      <c r="C133" s="8"/>
      <c r="BD133" s="11"/>
      <c r="BR133" s="11"/>
      <c r="BY133" s="11"/>
      <c r="CF133" s="11"/>
      <c r="CM133" s="11"/>
      <c r="CT133" s="11"/>
      <c r="DA133" s="11"/>
      <c r="DH133" s="11"/>
      <c r="DI133" s="11"/>
    </row>
    <row r="134" ht="15.75" customHeight="1">
      <c r="C134" s="8"/>
      <c r="BD134" s="11"/>
      <c r="BR134" s="11"/>
      <c r="BY134" s="11"/>
      <c r="CF134" s="11"/>
      <c r="CM134" s="11"/>
      <c r="CT134" s="11"/>
      <c r="DA134" s="11"/>
      <c r="DH134" s="11"/>
      <c r="DI134" s="11"/>
    </row>
    <row r="135" ht="15.75" customHeight="1">
      <c r="C135" s="8"/>
      <c r="BD135" s="11"/>
      <c r="BR135" s="11"/>
      <c r="BY135" s="11"/>
      <c r="CF135" s="11"/>
      <c r="CM135" s="11"/>
      <c r="CT135" s="11"/>
      <c r="DA135" s="11"/>
      <c r="DH135" s="11"/>
      <c r="DI135" s="11"/>
    </row>
    <row r="136" ht="15.75" customHeight="1">
      <c r="C136" s="8"/>
      <c r="BD136" s="11"/>
      <c r="BR136" s="11"/>
      <c r="BY136" s="11"/>
      <c r="CF136" s="11"/>
      <c r="CM136" s="11"/>
      <c r="CT136" s="11"/>
      <c r="DA136" s="11"/>
      <c r="DH136" s="11"/>
      <c r="DI136" s="11"/>
    </row>
    <row r="137" ht="15.75" customHeight="1">
      <c r="C137" s="8"/>
      <c r="BD137" s="11"/>
      <c r="BR137" s="11"/>
      <c r="BY137" s="11"/>
      <c r="CF137" s="11"/>
      <c r="CM137" s="11"/>
      <c r="CT137" s="11"/>
      <c r="DA137" s="11"/>
      <c r="DH137" s="11"/>
      <c r="DI137" s="11"/>
    </row>
    <row r="138" ht="15.75" customHeight="1">
      <c r="C138" s="8"/>
      <c r="BD138" s="11"/>
      <c r="BR138" s="11"/>
      <c r="BY138" s="11"/>
      <c r="CF138" s="11"/>
      <c r="CM138" s="11"/>
      <c r="CT138" s="11"/>
      <c r="DA138" s="11"/>
      <c r="DH138" s="11"/>
      <c r="DI138" s="11"/>
    </row>
    <row r="139" ht="15.75" customHeight="1">
      <c r="C139" s="8"/>
      <c r="BD139" s="11"/>
      <c r="BR139" s="11"/>
      <c r="BY139" s="11"/>
      <c r="CF139" s="11"/>
      <c r="CM139" s="11"/>
      <c r="CT139" s="11"/>
      <c r="DA139" s="11"/>
      <c r="DH139" s="11"/>
      <c r="DI139" s="11"/>
    </row>
    <row r="140" ht="15.75" customHeight="1">
      <c r="C140" s="8"/>
      <c r="BD140" s="11"/>
      <c r="BR140" s="11"/>
      <c r="BY140" s="11"/>
      <c r="CF140" s="11"/>
      <c r="CM140" s="11"/>
      <c r="CT140" s="11"/>
      <c r="DA140" s="11"/>
      <c r="DH140" s="11"/>
      <c r="DI140" s="11"/>
    </row>
    <row r="141" ht="15.75" customHeight="1">
      <c r="C141" s="8"/>
      <c r="BD141" s="11"/>
      <c r="BR141" s="11"/>
      <c r="BY141" s="11"/>
      <c r="CF141" s="11"/>
      <c r="CM141" s="11"/>
      <c r="CT141" s="11"/>
      <c r="DA141" s="11"/>
      <c r="DH141" s="11"/>
      <c r="DI141" s="11"/>
    </row>
    <row r="142" ht="15.75" customHeight="1">
      <c r="C142" s="8"/>
      <c r="BD142" s="11"/>
      <c r="BR142" s="11"/>
      <c r="BY142" s="11"/>
      <c r="CF142" s="11"/>
      <c r="CM142" s="11"/>
      <c r="CT142" s="11"/>
      <c r="DA142" s="11"/>
      <c r="DH142" s="11"/>
      <c r="DI142" s="11"/>
    </row>
    <row r="143" ht="15.75" customHeight="1">
      <c r="C143" s="8"/>
      <c r="BD143" s="11"/>
      <c r="BR143" s="11"/>
      <c r="BY143" s="11"/>
      <c r="CF143" s="11"/>
      <c r="CM143" s="11"/>
      <c r="CT143" s="11"/>
      <c r="DA143" s="11"/>
      <c r="DH143" s="11"/>
      <c r="DI143" s="11"/>
    </row>
    <row r="144" ht="15.75" customHeight="1">
      <c r="C144" s="8"/>
      <c r="BD144" s="11"/>
      <c r="BR144" s="11"/>
      <c r="BY144" s="11"/>
      <c r="CF144" s="11"/>
      <c r="CM144" s="11"/>
      <c r="CT144" s="11"/>
      <c r="DA144" s="11"/>
      <c r="DH144" s="11"/>
      <c r="DI144" s="11"/>
    </row>
    <row r="145" ht="15.75" customHeight="1">
      <c r="C145" s="8"/>
      <c r="BD145" s="11"/>
      <c r="BR145" s="11"/>
      <c r="BY145" s="11"/>
      <c r="CF145" s="11"/>
      <c r="CM145" s="11"/>
      <c r="CT145" s="11"/>
      <c r="DA145" s="11"/>
      <c r="DH145" s="11"/>
      <c r="DI145" s="11"/>
    </row>
    <row r="146" ht="15.75" customHeight="1">
      <c r="C146" s="8"/>
      <c r="BD146" s="11"/>
      <c r="BR146" s="11"/>
      <c r="BY146" s="11"/>
      <c r="CF146" s="11"/>
      <c r="CM146" s="11"/>
      <c r="CT146" s="11"/>
      <c r="DA146" s="11"/>
      <c r="DH146" s="11"/>
      <c r="DI146" s="11"/>
    </row>
    <row r="147" ht="15.75" customHeight="1">
      <c r="C147" s="8"/>
      <c r="BD147" s="11"/>
      <c r="BR147" s="11"/>
      <c r="BY147" s="11"/>
      <c r="CF147" s="11"/>
      <c r="CM147" s="11"/>
      <c r="CT147" s="11"/>
      <c r="DA147" s="11"/>
      <c r="DH147" s="11"/>
      <c r="DI147" s="11"/>
    </row>
    <row r="148" ht="15.75" customHeight="1">
      <c r="C148" s="8"/>
      <c r="BD148" s="11"/>
      <c r="BR148" s="11"/>
      <c r="BY148" s="11"/>
      <c r="CF148" s="11"/>
      <c r="CM148" s="11"/>
      <c r="CT148" s="11"/>
      <c r="DA148" s="11"/>
      <c r="DH148" s="11"/>
      <c r="DI148" s="11"/>
    </row>
    <row r="149" ht="15.75" customHeight="1">
      <c r="C149" s="8"/>
      <c r="BD149" s="11"/>
      <c r="BR149" s="11"/>
      <c r="BY149" s="11"/>
      <c r="CF149" s="11"/>
      <c r="CM149" s="11"/>
      <c r="CT149" s="11"/>
      <c r="DA149" s="11"/>
      <c r="DH149" s="11"/>
      <c r="DI149" s="11"/>
    </row>
    <row r="150" ht="15.75" customHeight="1">
      <c r="C150" s="8"/>
      <c r="BD150" s="11"/>
      <c r="BR150" s="11"/>
      <c r="BY150" s="11"/>
      <c r="CF150" s="11"/>
      <c r="CM150" s="11"/>
      <c r="CT150" s="11"/>
      <c r="DA150" s="11"/>
      <c r="DH150" s="11"/>
      <c r="DI150" s="11"/>
    </row>
    <row r="151" ht="15.75" customHeight="1">
      <c r="C151" s="8"/>
      <c r="BD151" s="11"/>
      <c r="BR151" s="11"/>
      <c r="BY151" s="11"/>
      <c r="CF151" s="11"/>
      <c r="CM151" s="11"/>
      <c r="CT151" s="11"/>
      <c r="DA151" s="11"/>
      <c r="DH151" s="11"/>
      <c r="DI151" s="11"/>
    </row>
    <row r="152" ht="15.75" customHeight="1">
      <c r="C152" s="8"/>
      <c r="BD152" s="11"/>
      <c r="BR152" s="11"/>
      <c r="BY152" s="11"/>
      <c r="CF152" s="11"/>
      <c r="CM152" s="11"/>
      <c r="CT152" s="11"/>
      <c r="DA152" s="11"/>
      <c r="DH152" s="11"/>
      <c r="DI152" s="11"/>
    </row>
    <row r="153" ht="15.75" customHeight="1">
      <c r="C153" s="8"/>
      <c r="BD153" s="11"/>
      <c r="BR153" s="11"/>
      <c r="BY153" s="11"/>
      <c r="CF153" s="11"/>
      <c r="CM153" s="11"/>
      <c r="CT153" s="11"/>
      <c r="DA153" s="11"/>
      <c r="DH153" s="11"/>
      <c r="DI153" s="11"/>
    </row>
    <row r="154" ht="15.75" customHeight="1">
      <c r="C154" s="8"/>
      <c r="BD154" s="11"/>
      <c r="BR154" s="11"/>
      <c r="BY154" s="11"/>
      <c r="CF154" s="11"/>
      <c r="CM154" s="11"/>
      <c r="CT154" s="11"/>
      <c r="DA154" s="11"/>
      <c r="DH154" s="11"/>
      <c r="DI154" s="11"/>
    </row>
    <row r="155" ht="15.75" customHeight="1">
      <c r="C155" s="8"/>
      <c r="BD155" s="11"/>
      <c r="BR155" s="11"/>
      <c r="BY155" s="11"/>
      <c r="CF155" s="11"/>
      <c r="CM155" s="11"/>
      <c r="CT155" s="11"/>
      <c r="DA155" s="11"/>
      <c r="DH155" s="11"/>
      <c r="DI155" s="11"/>
    </row>
    <row r="156" ht="15.75" customHeight="1">
      <c r="C156" s="8"/>
      <c r="BD156" s="11"/>
      <c r="BR156" s="11"/>
      <c r="BY156" s="11"/>
      <c r="CF156" s="11"/>
      <c r="CM156" s="11"/>
      <c r="CT156" s="11"/>
      <c r="DA156" s="11"/>
      <c r="DH156" s="11"/>
      <c r="DI156" s="11"/>
    </row>
    <row r="157" ht="15.75" customHeight="1">
      <c r="C157" s="8"/>
      <c r="BD157" s="11"/>
      <c r="BR157" s="11"/>
      <c r="BY157" s="11"/>
      <c r="CF157" s="11"/>
      <c r="CM157" s="11"/>
      <c r="CT157" s="11"/>
      <c r="DA157" s="11"/>
      <c r="DH157" s="11"/>
      <c r="DI157" s="11"/>
    </row>
    <row r="158" ht="15.75" customHeight="1">
      <c r="C158" s="8"/>
      <c r="BD158" s="11"/>
      <c r="BR158" s="11"/>
      <c r="BY158" s="11"/>
      <c r="CF158" s="11"/>
      <c r="CM158" s="11"/>
      <c r="CT158" s="11"/>
      <c r="DA158" s="11"/>
      <c r="DH158" s="11"/>
      <c r="DI158" s="11"/>
    </row>
    <row r="159" ht="15.75" customHeight="1">
      <c r="C159" s="8"/>
      <c r="BD159" s="11"/>
      <c r="BR159" s="11"/>
      <c r="BY159" s="11"/>
      <c r="CF159" s="11"/>
      <c r="CM159" s="11"/>
      <c r="CT159" s="11"/>
      <c r="DA159" s="11"/>
      <c r="DH159" s="11"/>
      <c r="DI159" s="11"/>
    </row>
    <row r="160" ht="15.75" customHeight="1">
      <c r="C160" s="8"/>
      <c r="BD160" s="11"/>
      <c r="BR160" s="11"/>
      <c r="BY160" s="11"/>
      <c r="CF160" s="11"/>
      <c r="CM160" s="11"/>
      <c r="CT160" s="11"/>
      <c r="DA160" s="11"/>
      <c r="DH160" s="11"/>
      <c r="DI160" s="11"/>
    </row>
    <row r="161" ht="15.75" customHeight="1">
      <c r="C161" s="8"/>
      <c r="BD161" s="11"/>
      <c r="BR161" s="11"/>
      <c r="BY161" s="11"/>
      <c r="CF161" s="11"/>
      <c r="CM161" s="11"/>
      <c r="CT161" s="11"/>
      <c r="DA161" s="11"/>
      <c r="DH161" s="11"/>
      <c r="DI161" s="11"/>
    </row>
    <row r="162" ht="15.75" customHeight="1">
      <c r="C162" s="8"/>
      <c r="BD162" s="11"/>
      <c r="BR162" s="11"/>
      <c r="BY162" s="11"/>
      <c r="CF162" s="11"/>
      <c r="CM162" s="11"/>
      <c r="CT162" s="11"/>
      <c r="DA162" s="11"/>
      <c r="DH162" s="11"/>
      <c r="DI162" s="11"/>
    </row>
    <row r="163" ht="15.75" customHeight="1">
      <c r="C163" s="8"/>
      <c r="BD163" s="11"/>
      <c r="BR163" s="11"/>
      <c r="BY163" s="11"/>
      <c r="CF163" s="11"/>
      <c r="CM163" s="11"/>
      <c r="CT163" s="11"/>
      <c r="DA163" s="11"/>
      <c r="DH163" s="11"/>
      <c r="DI163" s="11"/>
    </row>
    <row r="164" ht="15.75" customHeight="1">
      <c r="C164" s="8"/>
      <c r="BD164" s="11"/>
      <c r="BR164" s="11"/>
      <c r="BY164" s="11"/>
      <c r="CF164" s="11"/>
      <c r="CM164" s="11"/>
      <c r="CT164" s="11"/>
      <c r="DA164" s="11"/>
      <c r="DH164" s="11"/>
      <c r="DI164" s="11"/>
    </row>
    <row r="165" ht="15.75" customHeight="1">
      <c r="C165" s="8"/>
      <c r="BD165" s="11"/>
      <c r="BR165" s="11"/>
      <c r="BY165" s="11"/>
      <c r="CF165" s="11"/>
      <c r="CM165" s="11"/>
      <c r="CT165" s="11"/>
      <c r="DA165" s="11"/>
      <c r="DH165" s="11"/>
      <c r="DI165" s="11"/>
    </row>
    <row r="166" ht="15.75" customHeight="1">
      <c r="C166" s="8"/>
      <c r="BD166" s="11"/>
      <c r="BR166" s="11"/>
      <c r="BY166" s="11"/>
      <c r="CF166" s="11"/>
      <c r="CM166" s="11"/>
      <c r="CT166" s="11"/>
      <c r="DA166" s="11"/>
      <c r="DH166" s="11"/>
      <c r="DI166" s="11"/>
    </row>
    <row r="167" ht="15.75" customHeight="1">
      <c r="C167" s="8"/>
      <c r="BD167" s="11"/>
      <c r="BR167" s="11"/>
      <c r="BY167" s="11"/>
      <c r="CF167" s="11"/>
      <c r="CM167" s="11"/>
      <c r="CT167" s="11"/>
      <c r="DA167" s="11"/>
      <c r="DH167" s="11"/>
      <c r="DI167" s="11"/>
    </row>
    <row r="168" ht="15.75" customHeight="1">
      <c r="C168" s="8"/>
      <c r="BD168" s="11"/>
      <c r="BR168" s="11"/>
      <c r="BY168" s="11"/>
      <c r="CF168" s="11"/>
      <c r="CM168" s="11"/>
      <c r="CT168" s="11"/>
      <c r="DA168" s="11"/>
      <c r="DH168" s="11"/>
      <c r="DI168" s="11"/>
    </row>
    <row r="169" ht="15.75" customHeight="1">
      <c r="C169" s="8"/>
      <c r="BD169" s="11"/>
      <c r="BR169" s="11"/>
      <c r="BY169" s="11"/>
      <c r="CF169" s="11"/>
      <c r="CM169" s="11"/>
      <c r="CT169" s="11"/>
      <c r="DA169" s="11"/>
      <c r="DH169" s="11"/>
      <c r="DI169" s="11"/>
    </row>
    <row r="170" ht="15.75" customHeight="1">
      <c r="C170" s="8"/>
      <c r="BD170" s="11"/>
      <c r="BR170" s="11"/>
      <c r="BY170" s="11"/>
      <c r="CF170" s="11"/>
      <c r="CM170" s="11"/>
      <c r="CT170" s="11"/>
      <c r="DA170" s="11"/>
      <c r="DH170" s="11"/>
      <c r="DI170" s="11"/>
    </row>
    <row r="171" ht="15.75" customHeight="1">
      <c r="C171" s="8"/>
      <c r="BD171" s="11"/>
      <c r="BR171" s="11"/>
      <c r="BY171" s="11"/>
      <c r="CF171" s="11"/>
      <c r="CM171" s="11"/>
      <c r="CT171" s="11"/>
      <c r="DA171" s="11"/>
      <c r="DH171" s="11"/>
      <c r="DI171" s="11"/>
    </row>
    <row r="172" ht="15.75" customHeight="1">
      <c r="C172" s="8"/>
      <c r="BD172" s="11"/>
      <c r="BR172" s="11"/>
      <c r="BY172" s="11"/>
      <c r="CF172" s="11"/>
      <c r="CM172" s="11"/>
      <c r="CT172" s="11"/>
      <c r="DA172" s="11"/>
      <c r="DH172" s="11"/>
      <c r="DI172" s="11"/>
    </row>
    <row r="173" ht="15.75" customHeight="1">
      <c r="C173" s="8"/>
      <c r="BD173" s="11"/>
      <c r="BR173" s="11"/>
      <c r="BY173" s="11"/>
      <c r="CF173" s="11"/>
      <c r="CM173" s="11"/>
      <c r="CT173" s="11"/>
      <c r="DA173" s="11"/>
      <c r="DH173" s="11"/>
      <c r="DI173" s="11"/>
    </row>
    <row r="174" ht="15.75" customHeight="1">
      <c r="C174" s="8"/>
      <c r="BD174" s="11"/>
      <c r="BR174" s="11"/>
      <c r="BY174" s="11"/>
      <c r="CF174" s="11"/>
      <c r="CM174" s="11"/>
      <c r="CT174" s="11"/>
      <c r="DA174" s="11"/>
      <c r="DH174" s="11"/>
      <c r="DI174" s="11"/>
    </row>
    <row r="175" ht="15.75" customHeight="1">
      <c r="C175" s="8"/>
      <c r="BD175" s="11"/>
      <c r="BR175" s="11"/>
      <c r="BY175" s="11"/>
      <c r="CF175" s="11"/>
      <c r="CM175" s="11"/>
      <c r="CT175" s="11"/>
      <c r="DA175" s="11"/>
      <c r="DH175" s="11"/>
      <c r="DI175" s="11"/>
    </row>
    <row r="176" ht="15.75" customHeight="1">
      <c r="C176" s="8"/>
      <c r="BD176" s="11"/>
      <c r="BR176" s="11"/>
      <c r="BY176" s="11"/>
      <c r="CF176" s="11"/>
      <c r="CM176" s="11"/>
      <c r="CT176" s="11"/>
      <c r="DA176" s="11"/>
      <c r="DH176" s="11"/>
      <c r="DI176" s="11"/>
    </row>
    <row r="177" ht="15.75" customHeight="1">
      <c r="C177" s="8"/>
      <c r="BD177" s="11"/>
      <c r="BR177" s="11"/>
      <c r="BY177" s="11"/>
      <c r="CF177" s="11"/>
      <c r="CM177" s="11"/>
      <c r="CT177" s="11"/>
      <c r="DA177" s="11"/>
      <c r="DH177" s="11"/>
      <c r="DI177" s="11"/>
    </row>
    <row r="178" ht="15.75" customHeight="1">
      <c r="C178" s="8"/>
      <c r="BD178" s="11"/>
      <c r="BR178" s="11"/>
      <c r="BY178" s="11"/>
      <c r="CF178" s="11"/>
      <c r="CM178" s="11"/>
      <c r="CT178" s="11"/>
      <c r="DA178" s="11"/>
      <c r="DH178" s="11"/>
      <c r="DI178" s="11"/>
    </row>
    <row r="179" ht="15.75" customHeight="1">
      <c r="C179" s="8"/>
      <c r="BD179" s="11"/>
      <c r="BR179" s="11"/>
      <c r="BY179" s="11"/>
      <c r="CF179" s="11"/>
      <c r="CM179" s="11"/>
      <c r="CT179" s="11"/>
      <c r="DA179" s="11"/>
      <c r="DH179" s="11"/>
      <c r="DI179" s="11"/>
    </row>
    <row r="180" ht="15.75" customHeight="1">
      <c r="C180" s="8"/>
      <c r="BD180" s="11"/>
      <c r="BR180" s="11"/>
      <c r="BY180" s="11"/>
      <c r="CF180" s="11"/>
      <c r="CM180" s="11"/>
      <c r="CT180" s="11"/>
      <c r="DA180" s="11"/>
      <c r="DH180" s="11"/>
      <c r="DI180" s="11"/>
    </row>
    <row r="181" ht="15.75" customHeight="1">
      <c r="C181" s="8"/>
      <c r="BD181" s="11"/>
      <c r="BR181" s="11"/>
      <c r="BY181" s="11"/>
      <c r="CF181" s="11"/>
      <c r="CM181" s="11"/>
      <c r="CT181" s="11"/>
      <c r="DA181" s="11"/>
      <c r="DH181" s="11"/>
      <c r="DI181" s="11"/>
    </row>
    <row r="182" ht="15.75" customHeight="1">
      <c r="C182" s="8"/>
      <c r="BD182" s="11"/>
      <c r="BR182" s="11"/>
      <c r="BY182" s="11"/>
      <c r="CF182" s="11"/>
      <c r="CM182" s="11"/>
      <c r="CT182" s="11"/>
      <c r="DA182" s="11"/>
      <c r="DH182" s="11"/>
      <c r="DI182" s="11"/>
    </row>
    <row r="183" ht="15.75" customHeight="1">
      <c r="C183" s="8"/>
      <c r="BD183" s="11"/>
      <c r="BR183" s="11"/>
      <c r="BY183" s="11"/>
      <c r="CF183" s="11"/>
      <c r="CM183" s="11"/>
      <c r="CT183" s="11"/>
      <c r="DA183" s="11"/>
      <c r="DH183" s="11"/>
      <c r="DI183" s="11"/>
    </row>
    <row r="184" ht="15.75" customHeight="1">
      <c r="C184" s="8"/>
      <c r="BD184" s="11"/>
      <c r="BR184" s="11"/>
      <c r="BY184" s="11"/>
      <c r="CF184" s="11"/>
      <c r="CM184" s="11"/>
      <c r="CT184" s="11"/>
      <c r="DA184" s="11"/>
      <c r="DH184" s="11"/>
      <c r="DI184" s="11"/>
    </row>
    <row r="185" ht="15.75" customHeight="1">
      <c r="C185" s="8"/>
      <c r="BD185" s="11"/>
      <c r="BR185" s="11"/>
      <c r="BY185" s="11"/>
      <c r="CF185" s="11"/>
      <c r="CM185" s="11"/>
      <c r="CT185" s="11"/>
      <c r="DA185" s="11"/>
      <c r="DH185" s="11"/>
      <c r="DI185" s="11"/>
    </row>
    <row r="186" ht="15.75" customHeight="1">
      <c r="C186" s="8"/>
      <c r="BD186" s="11"/>
      <c r="BR186" s="11"/>
      <c r="BY186" s="11"/>
      <c r="CF186" s="11"/>
      <c r="CM186" s="11"/>
      <c r="CT186" s="11"/>
      <c r="DA186" s="11"/>
      <c r="DH186" s="11"/>
      <c r="DI186" s="11"/>
    </row>
    <row r="187" ht="15.75" customHeight="1">
      <c r="C187" s="8"/>
      <c r="BD187" s="11"/>
      <c r="BR187" s="11"/>
      <c r="BY187" s="11"/>
      <c r="CF187" s="11"/>
      <c r="CM187" s="11"/>
      <c r="CT187" s="11"/>
      <c r="DA187" s="11"/>
      <c r="DH187" s="11"/>
      <c r="DI187" s="11"/>
    </row>
    <row r="188" ht="15.75" customHeight="1">
      <c r="C188" s="8"/>
      <c r="BD188" s="11"/>
      <c r="BR188" s="11"/>
      <c r="BY188" s="11"/>
      <c r="CF188" s="11"/>
      <c r="CM188" s="11"/>
      <c r="CT188" s="11"/>
      <c r="DA188" s="11"/>
      <c r="DH188" s="11"/>
      <c r="DI188" s="11"/>
    </row>
    <row r="189" ht="15.75" customHeight="1">
      <c r="C189" s="8"/>
      <c r="BD189" s="11"/>
      <c r="BR189" s="11"/>
      <c r="BY189" s="11"/>
      <c r="CF189" s="11"/>
      <c r="CM189" s="11"/>
      <c r="CT189" s="11"/>
      <c r="DA189" s="11"/>
      <c r="DH189" s="11"/>
      <c r="DI189" s="11"/>
    </row>
    <row r="190" ht="15.75" customHeight="1">
      <c r="C190" s="8"/>
      <c r="BD190" s="11"/>
      <c r="BR190" s="11"/>
      <c r="BY190" s="11"/>
      <c r="CF190" s="11"/>
      <c r="CM190" s="11"/>
      <c r="CT190" s="11"/>
      <c r="DA190" s="11"/>
      <c r="DH190" s="11"/>
      <c r="DI190" s="11"/>
    </row>
    <row r="191" ht="15.75" customHeight="1">
      <c r="C191" s="8"/>
      <c r="BD191" s="11"/>
      <c r="BR191" s="11"/>
      <c r="BY191" s="11"/>
      <c r="CF191" s="11"/>
      <c r="CM191" s="11"/>
      <c r="CT191" s="11"/>
      <c r="DA191" s="11"/>
      <c r="DH191" s="11"/>
      <c r="DI191" s="11"/>
    </row>
    <row r="192" ht="15.75" customHeight="1">
      <c r="C192" s="8"/>
      <c r="BD192" s="11"/>
      <c r="BR192" s="11"/>
      <c r="BY192" s="11"/>
      <c r="CF192" s="11"/>
      <c r="CM192" s="11"/>
      <c r="CT192" s="11"/>
      <c r="DA192" s="11"/>
      <c r="DH192" s="11"/>
      <c r="DI192" s="11"/>
    </row>
    <row r="193" ht="15.75" customHeight="1">
      <c r="C193" s="8"/>
      <c r="BD193" s="11"/>
      <c r="BR193" s="11"/>
      <c r="BY193" s="11"/>
      <c r="CF193" s="11"/>
      <c r="CM193" s="11"/>
      <c r="CT193" s="11"/>
      <c r="DA193" s="11"/>
      <c r="DH193" s="11"/>
      <c r="DI193" s="11"/>
    </row>
    <row r="194" ht="15.75" customHeight="1">
      <c r="C194" s="8"/>
      <c r="BD194" s="11"/>
      <c r="BR194" s="11"/>
      <c r="BY194" s="11"/>
      <c r="CF194" s="11"/>
      <c r="CM194" s="11"/>
      <c r="CT194" s="11"/>
      <c r="DA194" s="11"/>
      <c r="DH194" s="11"/>
      <c r="DI194" s="11"/>
    </row>
    <row r="195" ht="15.75" customHeight="1">
      <c r="C195" s="8"/>
      <c r="BD195" s="11"/>
      <c r="BR195" s="11"/>
      <c r="BY195" s="11"/>
      <c r="CF195" s="11"/>
      <c r="CM195" s="11"/>
      <c r="CT195" s="11"/>
      <c r="DA195" s="11"/>
      <c r="DH195" s="11"/>
      <c r="DI195" s="11"/>
    </row>
    <row r="196" ht="15.75" customHeight="1">
      <c r="C196" s="8"/>
      <c r="BD196" s="11"/>
      <c r="BR196" s="11"/>
      <c r="BY196" s="11"/>
      <c r="CF196" s="11"/>
      <c r="CM196" s="11"/>
      <c r="CT196" s="11"/>
      <c r="DA196" s="11"/>
      <c r="DH196" s="11"/>
      <c r="DI196" s="11"/>
    </row>
    <row r="197" ht="15.75" customHeight="1">
      <c r="C197" s="8"/>
      <c r="BD197" s="11"/>
      <c r="BR197" s="11"/>
      <c r="BY197" s="11"/>
      <c r="CF197" s="11"/>
      <c r="CM197" s="11"/>
      <c r="CT197" s="11"/>
      <c r="DA197" s="11"/>
      <c r="DH197" s="11"/>
      <c r="DI197" s="11"/>
    </row>
    <row r="198" ht="15.75" customHeight="1">
      <c r="C198" s="8"/>
      <c r="BD198" s="11"/>
      <c r="BR198" s="11"/>
      <c r="BY198" s="11"/>
      <c r="CF198" s="11"/>
      <c r="CM198" s="11"/>
      <c r="CT198" s="11"/>
      <c r="DA198" s="11"/>
      <c r="DH198" s="11"/>
      <c r="DI198" s="11"/>
    </row>
    <row r="199" ht="15.75" customHeight="1">
      <c r="C199" s="8"/>
      <c r="BD199" s="11"/>
      <c r="BR199" s="11"/>
      <c r="BY199" s="11"/>
      <c r="CF199" s="11"/>
      <c r="CM199" s="11"/>
      <c r="CT199" s="11"/>
      <c r="DA199" s="11"/>
      <c r="DH199" s="11"/>
      <c r="DI199" s="11"/>
    </row>
    <row r="200" ht="15.75" customHeight="1">
      <c r="C200" s="8"/>
      <c r="BD200" s="11"/>
      <c r="BR200" s="11"/>
      <c r="BY200" s="11"/>
      <c r="CF200" s="11"/>
      <c r="CM200" s="11"/>
      <c r="CT200" s="11"/>
      <c r="DA200" s="11"/>
      <c r="DH200" s="11"/>
      <c r="DI200" s="11"/>
    </row>
    <row r="201" ht="15.75" customHeight="1">
      <c r="C201" s="8"/>
      <c r="BD201" s="11"/>
      <c r="BR201" s="11"/>
      <c r="BY201" s="11"/>
      <c r="CF201" s="11"/>
      <c r="CM201" s="11"/>
      <c r="CT201" s="11"/>
      <c r="DA201" s="11"/>
      <c r="DH201" s="11"/>
      <c r="DI201" s="11"/>
    </row>
    <row r="202" ht="15.75" customHeight="1">
      <c r="C202" s="8"/>
      <c r="BD202" s="11"/>
      <c r="BR202" s="11"/>
      <c r="BY202" s="11"/>
      <c r="CF202" s="11"/>
      <c r="CM202" s="11"/>
      <c r="CT202" s="11"/>
      <c r="DA202" s="11"/>
      <c r="DH202" s="11"/>
      <c r="DI202" s="11"/>
    </row>
    <row r="203" ht="15.75" customHeight="1">
      <c r="C203" s="8"/>
      <c r="BD203" s="11"/>
      <c r="BR203" s="11"/>
      <c r="BY203" s="11"/>
      <c r="CF203" s="11"/>
      <c r="CM203" s="11"/>
      <c r="CT203" s="11"/>
      <c r="DA203" s="11"/>
      <c r="DH203" s="11"/>
      <c r="DI203" s="11"/>
    </row>
    <row r="204" ht="15.75" customHeight="1">
      <c r="C204" s="8"/>
      <c r="BD204" s="11"/>
      <c r="BR204" s="11"/>
      <c r="BY204" s="11"/>
      <c r="CF204" s="11"/>
      <c r="CM204" s="11"/>
      <c r="CT204" s="11"/>
      <c r="DA204" s="11"/>
      <c r="DH204" s="11"/>
      <c r="DI204" s="11"/>
    </row>
    <row r="205" ht="15.75" customHeight="1">
      <c r="C205" s="8"/>
      <c r="BD205" s="11"/>
      <c r="BR205" s="11"/>
      <c r="BY205" s="11"/>
      <c r="CF205" s="11"/>
      <c r="CM205" s="11"/>
      <c r="CT205" s="11"/>
      <c r="DA205" s="11"/>
      <c r="DH205" s="11"/>
      <c r="DI205" s="11"/>
    </row>
    <row r="206" ht="15.75" customHeight="1">
      <c r="C206" s="8"/>
      <c r="BD206" s="11"/>
      <c r="BR206" s="11"/>
      <c r="BY206" s="11"/>
      <c r="CF206" s="11"/>
      <c r="CM206" s="11"/>
      <c r="CT206" s="11"/>
      <c r="DA206" s="11"/>
      <c r="DH206" s="11"/>
      <c r="DI206" s="11"/>
    </row>
    <row r="207" ht="15.75" customHeight="1">
      <c r="C207" s="8"/>
      <c r="BD207" s="11"/>
      <c r="BR207" s="11"/>
      <c r="BY207" s="11"/>
      <c r="CF207" s="11"/>
      <c r="CM207" s="11"/>
      <c r="CT207" s="11"/>
      <c r="DA207" s="11"/>
      <c r="DH207" s="11"/>
      <c r="DI207" s="11"/>
    </row>
    <row r="208" ht="15.75" customHeight="1">
      <c r="C208" s="8"/>
      <c r="BD208" s="11"/>
      <c r="BR208" s="11"/>
      <c r="BY208" s="11"/>
      <c r="CF208" s="11"/>
      <c r="CM208" s="11"/>
      <c r="CT208" s="11"/>
      <c r="DA208" s="11"/>
      <c r="DH208" s="11"/>
      <c r="DI208" s="11"/>
    </row>
    <row r="209" ht="15.75" customHeight="1">
      <c r="C209" s="8"/>
      <c r="BD209" s="11"/>
      <c r="BR209" s="11"/>
      <c r="BY209" s="11"/>
      <c r="CF209" s="11"/>
      <c r="CM209" s="11"/>
      <c r="CT209" s="11"/>
      <c r="DA209" s="11"/>
      <c r="DH209" s="11"/>
      <c r="DI209" s="11"/>
    </row>
    <row r="210" ht="15.75" customHeight="1">
      <c r="C210" s="8"/>
      <c r="BD210" s="11"/>
      <c r="BR210" s="11"/>
      <c r="BY210" s="11"/>
      <c r="CF210" s="11"/>
      <c r="CM210" s="11"/>
      <c r="CT210" s="11"/>
      <c r="DA210" s="11"/>
      <c r="DH210" s="11"/>
      <c r="DI210" s="11"/>
    </row>
    <row r="211" ht="15.75" customHeight="1">
      <c r="C211" s="8"/>
      <c r="BD211" s="11"/>
      <c r="BR211" s="11"/>
      <c r="BY211" s="11"/>
      <c r="CF211" s="11"/>
      <c r="CM211" s="11"/>
      <c r="CT211" s="11"/>
      <c r="DA211" s="11"/>
      <c r="DH211" s="11"/>
      <c r="DI211" s="11"/>
    </row>
    <row r="212" ht="15.75" customHeight="1">
      <c r="C212" s="8"/>
      <c r="BD212" s="11"/>
      <c r="BR212" s="11"/>
      <c r="BY212" s="11"/>
      <c r="CF212" s="11"/>
      <c r="CM212" s="11"/>
      <c r="CT212" s="11"/>
      <c r="DA212" s="11"/>
      <c r="DH212" s="11"/>
      <c r="DI212" s="11"/>
    </row>
    <row r="213" ht="15.75" customHeight="1">
      <c r="C213" s="8"/>
      <c r="BD213" s="11"/>
      <c r="BR213" s="11"/>
      <c r="BY213" s="11"/>
      <c r="CF213" s="11"/>
      <c r="CM213" s="11"/>
      <c r="CT213" s="11"/>
      <c r="DA213" s="11"/>
      <c r="DH213" s="11"/>
      <c r="DI213" s="11"/>
    </row>
    <row r="214" ht="15.75" customHeight="1">
      <c r="C214" s="8"/>
      <c r="BD214" s="11"/>
      <c r="BR214" s="11"/>
      <c r="BY214" s="11"/>
      <c r="CF214" s="11"/>
      <c r="CM214" s="11"/>
      <c r="CT214" s="11"/>
      <c r="DA214" s="11"/>
      <c r="DH214" s="11"/>
      <c r="DI214" s="11"/>
    </row>
    <row r="215" ht="15.75" customHeight="1">
      <c r="C215" s="8"/>
      <c r="BD215" s="11"/>
      <c r="BR215" s="11"/>
      <c r="BY215" s="11"/>
      <c r="CF215" s="11"/>
      <c r="CM215" s="11"/>
      <c r="CT215" s="11"/>
      <c r="DA215" s="11"/>
      <c r="DH215" s="11"/>
      <c r="DI215" s="11"/>
    </row>
    <row r="216" ht="15.75" customHeight="1">
      <c r="C216" s="8"/>
      <c r="BD216" s="11"/>
      <c r="BR216" s="11"/>
      <c r="BY216" s="11"/>
      <c r="CF216" s="11"/>
      <c r="CM216" s="11"/>
      <c r="CT216" s="11"/>
      <c r="DA216" s="11"/>
      <c r="DH216" s="11"/>
      <c r="DI216" s="11"/>
    </row>
    <row r="217" ht="15.75" customHeight="1">
      <c r="C217" s="8"/>
      <c r="BD217" s="11"/>
      <c r="BR217" s="11"/>
      <c r="BY217" s="11"/>
      <c r="CF217" s="11"/>
      <c r="CM217" s="11"/>
      <c r="CT217" s="11"/>
      <c r="DA217" s="11"/>
      <c r="DH217" s="11"/>
      <c r="DI217" s="11"/>
    </row>
    <row r="218" ht="15.75" customHeight="1">
      <c r="C218" s="8"/>
      <c r="BD218" s="11"/>
      <c r="BR218" s="11"/>
      <c r="BY218" s="11"/>
      <c r="CF218" s="11"/>
      <c r="CM218" s="11"/>
      <c r="CT218" s="11"/>
      <c r="DA218" s="11"/>
      <c r="DH218" s="11"/>
      <c r="DI218" s="11"/>
    </row>
    <row r="219" ht="15.75" customHeight="1">
      <c r="C219" s="8"/>
      <c r="BD219" s="11"/>
      <c r="BR219" s="11"/>
      <c r="BY219" s="11"/>
      <c r="CF219" s="11"/>
      <c r="CM219" s="11"/>
      <c r="CT219" s="11"/>
      <c r="DA219" s="11"/>
      <c r="DH219" s="11"/>
      <c r="DI219" s="11"/>
    </row>
    <row r="220" ht="15.75" customHeight="1">
      <c r="C220" s="8"/>
      <c r="BD220" s="11"/>
      <c r="BR220" s="11"/>
      <c r="BY220" s="11"/>
      <c r="CF220" s="11"/>
      <c r="CM220" s="11"/>
      <c r="CT220" s="11"/>
      <c r="DA220" s="11"/>
      <c r="DH220" s="11"/>
      <c r="DI220" s="11"/>
    </row>
    <row r="221" ht="15.75" customHeight="1">
      <c r="C221" s="8"/>
      <c r="BD221" s="11"/>
      <c r="BR221" s="11"/>
      <c r="BY221" s="11"/>
      <c r="CF221" s="11"/>
      <c r="CM221" s="11"/>
      <c r="CT221" s="11"/>
      <c r="DA221" s="11"/>
      <c r="DH221" s="11"/>
      <c r="DI221" s="11"/>
    </row>
    <row r="222" ht="15.75" customHeight="1">
      <c r="C222" s="8"/>
      <c r="BD222" s="11"/>
      <c r="BR222" s="11"/>
      <c r="BY222" s="11"/>
      <c r="CF222" s="11"/>
      <c r="CM222" s="11"/>
      <c r="CT222" s="11"/>
      <c r="DA222" s="11"/>
      <c r="DH222" s="11"/>
      <c r="DI222" s="11"/>
    </row>
    <row r="223" ht="15.75" customHeight="1">
      <c r="C223" s="8"/>
      <c r="BD223" s="11"/>
      <c r="BR223" s="11"/>
      <c r="BY223" s="11"/>
      <c r="CF223" s="11"/>
      <c r="CM223" s="11"/>
      <c r="CT223" s="11"/>
      <c r="DA223" s="11"/>
      <c r="DH223" s="11"/>
      <c r="DI223" s="11"/>
    </row>
    <row r="224" ht="15.75" customHeight="1">
      <c r="C224" s="8"/>
      <c r="BD224" s="11"/>
      <c r="BR224" s="11"/>
      <c r="BY224" s="11"/>
      <c r="CF224" s="11"/>
      <c r="CM224" s="11"/>
      <c r="CT224" s="11"/>
      <c r="DA224" s="11"/>
      <c r="DH224" s="11"/>
      <c r="DI224" s="11"/>
    </row>
    <row r="225" ht="15.75" customHeight="1">
      <c r="C225" s="8"/>
      <c r="BD225" s="11"/>
      <c r="BR225" s="11"/>
      <c r="BY225" s="11"/>
      <c r="CF225" s="11"/>
      <c r="CM225" s="11"/>
      <c r="CT225" s="11"/>
      <c r="DA225" s="11"/>
      <c r="DH225" s="11"/>
      <c r="DI225" s="11"/>
    </row>
    <row r="226" ht="15.75" customHeight="1">
      <c r="C226" s="8"/>
      <c r="BD226" s="11"/>
      <c r="BR226" s="11"/>
      <c r="BY226" s="11"/>
      <c r="CF226" s="11"/>
      <c r="CM226" s="11"/>
      <c r="CT226" s="11"/>
      <c r="DA226" s="11"/>
      <c r="DH226" s="11"/>
      <c r="DI226" s="11"/>
    </row>
    <row r="227" ht="15.75" customHeight="1">
      <c r="C227" s="8"/>
      <c r="BD227" s="11"/>
      <c r="BR227" s="11"/>
      <c r="BY227" s="11"/>
      <c r="CF227" s="11"/>
      <c r="CM227" s="11"/>
      <c r="CT227" s="11"/>
      <c r="DA227" s="11"/>
      <c r="DH227" s="11"/>
      <c r="DI227" s="11"/>
    </row>
    <row r="228" ht="15.75" customHeight="1">
      <c r="C228" s="8"/>
      <c r="BD228" s="11"/>
      <c r="BR228" s="11"/>
      <c r="BY228" s="11"/>
      <c r="CF228" s="11"/>
      <c r="CM228" s="11"/>
      <c r="CT228" s="11"/>
      <c r="DA228" s="11"/>
      <c r="DH228" s="11"/>
      <c r="DI228" s="11"/>
    </row>
    <row r="229" ht="15.75" customHeight="1">
      <c r="C229" s="8"/>
      <c r="BD229" s="11"/>
      <c r="BR229" s="11"/>
      <c r="BY229" s="11"/>
      <c r="CF229" s="11"/>
      <c r="CM229" s="11"/>
      <c r="CT229" s="11"/>
      <c r="DA229" s="11"/>
      <c r="DH229" s="11"/>
      <c r="DI229" s="11"/>
    </row>
    <row r="230" ht="15.75" customHeight="1">
      <c r="C230" s="8"/>
      <c r="BD230" s="11"/>
      <c r="BR230" s="11"/>
      <c r="BY230" s="11"/>
      <c r="CF230" s="11"/>
      <c r="CM230" s="11"/>
      <c r="CT230" s="11"/>
      <c r="DA230" s="11"/>
      <c r="DH230" s="11"/>
      <c r="DI230" s="11"/>
    </row>
    <row r="231" ht="15.75" customHeight="1">
      <c r="C231" s="8"/>
      <c r="BD231" s="11"/>
      <c r="BR231" s="11"/>
      <c r="BY231" s="11"/>
      <c r="CF231" s="11"/>
      <c r="CM231" s="11"/>
      <c r="CT231" s="11"/>
      <c r="DA231" s="11"/>
      <c r="DH231" s="11"/>
      <c r="DI231" s="11"/>
    </row>
    <row r="232" ht="15.75" customHeight="1">
      <c r="C232" s="8"/>
      <c r="BD232" s="11"/>
      <c r="BR232" s="11"/>
      <c r="BY232" s="11"/>
      <c r="CF232" s="11"/>
      <c r="CM232" s="11"/>
      <c r="CT232" s="11"/>
      <c r="DA232" s="11"/>
      <c r="DH232" s="11"/>
      <c r="DI232" s="11"/>
    </row>
    <row r="233" ht="15.75" customHeight="1">
      <c r="C233" s="8"/>
      <c r="BD233" s="11"/>
      <c r="BR233" s="11"/>
      <c r="BY233" s="11"/>
      <c r="CF233" s="11"/>
      <c r="CM233" s="11"/>
      <c r="CT233" s="11"/>
      <c r="DA233" s="11"/>
      <c r="DH233" s="11"/>
      <c r="DI233" s="11"/>
    </row>
    <row r="234" ht="15.75" customHeight="1">
      <c r="C234" s="8"/>
      <c r="BD234" s="11"/>
      <c r="BR234" s="11"/>
      <c r="BY234" s="11"/>
      <c r="CF234" s="11"/>
      <c r="CM234" s="11"/>
      <c r="CT234" s="11"/>
      <c r="DA234" s="11"/>
      <c r="DH234" s="11"/>
      <c r="DI234" s="11"/>
    </row>
    <row r="235" ht="15.75" customHeight="1">
      <c r="C235" s="8"/>
      <c r="BD235" s="11"/>
      <c r="BR235" s="11"/>
      <c r="BY235" s="11"/>
      <c r="CF235" s="11"/>
      <c r="CM235" s="11"/>
      <c r="CT235" s="11"/>
      <c r="DA235" s="11"/>
      <c r="DH235" s="11"/>
      <c r="DI235" s="11"/>
    </row>
    <row r="236" ht="15.75" customHeight="1">
      <c r="C236" s="8"/>
      <c r="BD236" s="11"/>
      <c r="BR236" s="11"/>
      <c r="BY236" s="11"/>
      <c r="CF236" s="11"/>
      <c r="CM236" s="11"/>
      <c r="CT236" s="11"/>
      <c r="DA236" s="11"/>
      <c r="DH236" s="11"/>
      <c r="DI236" s="11"/>
    </row>
    <row r="237" ht="15.75" customHeight="1">
      <c r="C237" s="8"/>
      <c r="BD237" s="11"/>
      <c r="BR237" s="11"/>
      <c r="BY237" s="11"/>
      <c r="CF237" s="11"/>
      <c r="CM237" s="11"/>
      <c r="CT237" s="11"/>
      <c r="DA237" s="11"/>
      <c r="DH237" s="11"/>
      <c r="DI237" s="11"/>
    </row>
    <row r="238" ht="15.75" customHeight="1">
      <c r="C238" s="8"/>
      <c r="BD238" s="11"/>
      <c r="BR238" s="11"/>
      <c r="BY238" s="11"/>
      <c r="CF238" s="11"/>
      <c r="CM238" s="11"/>
      <c r="CT238" s="11"/>
      <c r="DA238" s="11"/>
      <c r="DH238" s="11"/>
      <c r="DI238" s="11"/>
    </row>
    <row r="239" ht="15.75" customHeight="1">
      <c r="C239" s="8"/>
      <c r="BD239" s="11"/>
      <c r="BR239" s="11"/>
      <c r="BY239" s="11"/>
      <c r="CF239" s="11"/>
      <c r="CM239" s="11"/>
      <c r="CT239" s="11"/>
      <c r="DA239" s="11"/>
      <c r="DH239" s="11"/>
      <c r="DI239" s="11"/>
    </row>
    <row r="240" ht="15.75" customHeight="1">
      <c r="C240" s="8"/>
      <c r="BD240" s="11"/>
      <c r="BR240" s="11"/>
      <c r="BY240" s="11"/>
      <c r="CF240" s="11"/>
      <c r="CM240" s="11"/>
      <c r="CT240" s="11"/>
      <c r="DA240" s="11"/>
      <c r="DH240" s="11"/>
      <c r="DI240" s="11"/>
    </row>
    <row r="241" ht="15.75" customHeight="1">
      <c r="C241" s="8"/>
      <c r="BD241" s="11"/>
      <c r="BR241" s="11"/>
      <c r="BY241" s="11"/>
      <c r="CF241" s="11"/>
      <c r="CM241" s="11"/>
      <c r="CT241" s="11"/>
      <c r="DA241" s="11"/>
      <c r="DH241" s="11"/>
      <c r="DI241" s="11"/>
    </row>
    <row r="242" ht="15.75" customHeight="1">
      <c r="C242" s="8"/>
      <c r="BD242" s="11"/>
      <c r="BR242" s="11"/>
      <c r="BY242" s="11"/>
      <c r="CF242" s="11"/>
      <c r="CM242" s="11"/>
      <c r="CT242" s="11"/>
      <c r="DA242" s="11"/>
      <c r="DH242" s="11"/>
      <c r="DI242" s="11"/>
    </row>
    <row r="243" ht="15.75" customHeight="1">
      <c r="C243" s="8"/>
      <c r="BD243" s="11"/>
      <c r="BR243" s="11"/>
      <c r="BY243" s="11"/>
      <c r="CF243" s="11"/>
      <c r="CM243" s="11"/>
      <c r="CT243" s="11"/>
      <c r="DA243" s="11"/>
      <c r="DH243" s="11"/>
      <c r="DI243" s="11"/>
    </row>
    <row r="244" ht="15.75" customHeight="1">
      <c r="C244" s="8"/>
      <c r="BD244" s="11"/>
      <c r="BR244" s="11"/>
      <c r="BY244" s="11"/>
      <c r="CF244" s="11"/>
      <c r="CM244" s="11"/>
      <c r="CT244" s="11"/>
      <c r="DA244" s="11"/>
      <c r="DH244" s="11"/>
      <c r="DI244" s="11"/>
    </row>
    <row r="245" ht="15.75" customHeight="1">
      <c r="C245" s="8"/>
      <c r="BD245" s="11"/>
      <c r="BR245" s="11"/>
      <c r="BY245" s="11"/>
      <c r="CF245" s="11"/>
      <c r="CM245" s="11"/>
      <c r="CT245" s="11"/>
      <c r="DA245" s="11"/>
      <c r="DH245" s="11"/>
      <c r="DI245" s="11"/>
    </row>
    <row r="246" ht="15.75" customHeight="1">
      <c r="C246" s="8"/>
      <c r="BD246" s="11"/>
      <c r="BR246" s="11"/>
      <c r="BY246" s="11"/>
      <c r="CF246" s="11"/>
      <c r="CM246" s="11"/>
      <c r="CT246" s="11"/>
      <c r="DA246" s="11"/>
      <c r="DH246" s="11"/>
      <c r="DI246" s="11"/>
    </row>
    <row r="247" ht="15.75" customHeight="1">
      <c r="C247" s="8"/>
      <c r="BD247" s="11"/>
      <c r="BR247" s="11"/>
      <c r="BY247" s="11"/>
      <c r="CF247" s="11"/>
      <c r="CM247" s="11"/>
      <c r="CT247" s="11"/>
      <c r="DA247" s="11"/>
      <c r="DH247" s="11"/>
      <c r="DI247" s="11"/>
    </row>
    <row r="248" ht="15.75" customHeight="1">
      <c r="C248" s="8"/>
      <c r="BD248" s="11"/>
      <c r="BR248" s="11"/>
      <c r="BY248" s="11"/>
      <c r="CF248" s="11"/>
      <c r="CM248" s="11"/>
      <c r="CT248" s="11"/>
      <c r="DA248" s="11"/>
      <c r="DH248" s="11"/>
      <c r="DI248" s="11"/>
    </row>
    <row r="249" ht="15.75" customHeight="1">
      <c r="C249" s="8"/>
      <c r="BD249" s="11"/>
      <c r="BR249" s="11"/>
      <c r="BY249" s="11"/>
      <c r="CF249" s="11"/>
      <c r="CM249" s="11"/>
      <c r="CT249" s="11"/>
      <c r="DA249" s="11"/>
      <c r="DH249" s="11"/>
      <c r="DI249" s="11"/>
    </row>
    <row r="250" ht="15.75" customHeight="1">
      <c r="C250" s="8"/>
      <c r="BD250" s="11"/>
      <c r="BR250" s="11"/>
      <c r="BY250" s="11"/>
      <c r="CF250" s="11"/>
      <c r="CM250" s="11"/>
      <c r="CT250" s="11"/>
      <c r="DA250" s="11"/>
      <c r="DH250" s="11"/>
      <c r="DI250" s="11"/>
    </row>
    <row r="251" ht="15.75" customHeight="1">
      <c r="C251" s="8"/>
      <c r="BD251" s="11"/>
      <c r="BR251" s="11"/>
      <c r="BY251" s="11"/>
      <c r="CF251" s="11"/>
      <c r="CM251" s="11"/>
      <c r="CT251" s="11"/>
      <c r="DA251" s="11"/>
      <c r="DH251" s="11"/>
      <c r="DI251" s="11"/>
    </row>
    <row r="252" ht="15.75" customHeight="1">
      <c r="C252" s="8"/>
      <c r="BD252" s="11"/>
      <c r="BR252" s="11"/>
      <c r="BY252" s="11"/>
      <c r="CF252" s="11"/>
      <c r="CM252" s="11"/>
      <c r="CT252" s="11"/>
      <c r="DA252" s="11"/>
      <c r="DH252" s="11"/>
      <c r="DI252" s="11"/>
    </row>
    <row r="253" ht="15.75" customHeight="1">
      <c r="C253" s="8"/>
      <c r="BD253" s="11"/>
      <c r="BR253" s="11"/>
      <c r="BY253" s="11"/>
      <c r="CF253" s="11"/>
      <c r="CM253" s="11"/>
      <c r="CT253" s="11"/>
      <c r="DA253" s="11"/>
      <c r="DH253" s="11"/>
      <c r="DI253" s="11"/>
    </row>
    <row r="254" ht="15.75" customHeight="1">
      <c r="C254" s="8"/>
      <c r="BD254" s="11"/>
      <c r="BR254" s="11"/>
      <c r="BY254" s="11"/>
      <c r="CF254" s="11"/>
      <c r="CM254" s="11"/>
      <c r="CT254" s="11"/>
      <c r="DA254" s="11"/>
      <c r="DH254" s="11"/>
      <c r="DI254" s="11"/>
    </row>
    <row r="255" ht="15.75" customHeight="1">
      <c r="C255" s="8"/>
      <c r="BD255" s="11"/>
      <c r="BR255" s="11"/>
      <c r="BY255" s="11"/>
      <c r="CF255" s="11"/>
      <c r="CM255" s="11"/>
      <c r="CT255" s="11"/>
      <c r="DA255" s="11"/>
      <c r="DH255" s="11"/>
      <c r="DI255" s="11"/>
    </row>
    <row r="256" ht="15.75" customHeight="1">
      <c r="C256" s="8"/>
      <c r="BD256" s="11"/>
      <c r="BR256" s="11"/>
      <c r="BY256" s="11"/>
      <c r="CF256" s="11"/>
      <c r="CM256" s="11"/>
      <c r="CT256" s="11"/>
      <c r="DA256" s="11"/>
      <c r="DH256" s="11"/>
      <c r="DI256" s="11"/>
    </row>
    <row r="257" ht="15.75" customHeight="1">
      <c r="C257" s="8"/>
      <c r="BD257" s="11"/>
      <c r="BR257" s="11"/>
      <c r="BY257" s="11"/>
      <c r="CF257" s="11"/>
      <c r="CM257" s="11"/>
      <c r="CT257" s="11"/>
      <c r="DA257" s="11"/>
      <c r="DH257" s="11"/>
      <c r="DI257" s="11"/>
    </row>
    <row r="258" ht="15.75" customHeight="1">
      <c r="C258" s="8"/>
      <c r="BD258" s="11"/>
      <c r="BR258" s="11"/>
      <c r="BY258" s="11"/>
      <c r="CF258" s="11"/>
      <c r="CM258" s="11"/>
      <c r="CT258" s="11"/>
      <c r="DA258" s="11"/>
      <c r="DH258" s="11"/>
      <c r="DI258" s="11"/>
    </row>
    <row r="259" ht="15.75" customHeight="1">
      <c r="C259" s="8"/>
      <c r="BD259" s="11"/>
      <c r="BR259" s="11"/>
      <c r="BY259" s="11"/>
      <c r="CF259" s="11"/>
      <c r="CM259" s="11"/>
      <c r="CT259" s="11"/>
      <c r="DA259" s="11"/>
      <c r="DH259" s="11"/>
      <c r="DI259" s="11"/>
    </row>
    <row r="260" ht="15.75" customHeight="1">
      <c r="C260" s="8"/>
      <c r="BD260" s="11"/>
      <c r="BR260" s="11"/>
      <c r="BY260" s="11"/>
      <c r="CF260" s="11"/>
      <c r="CM260" s="11"/>
      <c r="CT260" s="11"/>
      <c r="DA260" s="11"/>
      <c r="DH260" s="11"/>
      <c r="DI260" s="11"/>
    </row>
    <row r="261" ht="15.75" customHeight="1">
      <c r="C261" s="8"/>
      <c r="BD261" s="11"/>
      <c r="BR261" s="11"/>
      <c r="BY261" s="11"/>
      <c r="CF261" s="11"/>
      <c r="CM261" s="11"/>
      <c r="CT261" s="11"/>
      <c r="DA261" s="11"/>
      <c r="DH261" s="11"/>
      <c r="DI261" s="11"/>
    </row>
    <row r="262" ht="15.75" customHeight="1">
      <c r="C262" s="8"/>
      <c r="BD262" s="11"/>
      <c r="BR262" s="11"/>
      <c r="BY262" s="11"/>
      <c r="CF262" s="11"/>
      <c r="CM262" s="11"/>
      <c r="CT262" s="11"/>
      <c r="DA262" s="11"/>
      <c r="DH262" s="11"/>
      <c r="DI262" s="11"/>
    </row>
    <row r="263" ht="15.75" customHeight="1">
      <c r="C263" s="8"/>
      <c r="BD263" s="11"/>
      <c r="BR263" s="11"/>
      <c r="BY263" s="11"/>
      <c r="CF263" s="11"/>
      <c r="CM263" s="11"/>
      <c r="CT263" s="11"/>
      <c r="DA263" s="11"/>
      <c r="DH263" s="11"/>
      <c r="DI263" s="11"/>
    </row>
    <row r="264" ht="15.75" customHeight="1">
      <c r="C264" s="8"/>
      <c r="BD264" s="11"/>
      <c r="BR264" s="11"/>
      <c r="BY264" s="11"/>
      <c r="CF264" s="11"/>
      <c r="CM264" s="11"/>
      <c r="CT264" s="11"/>
      <c r="DA264" s="11"/>
      <c r="DH264" s="11"/>
      <c r="DI264" s="11"/>
    </row>
    <row r="265" ht="15.75" customHeight="1">
      <c r="C265" s="8"/>
      <c r="BD265" s="11"/>
      <c r="BR265" s="11"/>
      <c r="BY265" s="11"/>
      <c r="CF265" s="11"/>
      <c r="CM265" s="11"/>
      <c r="CT265" s="11"/>
      <c r="DA265" s="11"/>
      <c r="DH265" s="11"/>
      <c r="DI265" s="11"/>
    </row>
    <row r="266" ht="15.75" customHeight="1">
      <c r="C266" s="8"/>
      <c r="BD266" s="11"/>
      <c r="BR266" s="11"/>
      <c r="BY266" s="11"/>
      <c r="CF266" s="11"/>
      <c r="CM266" s="11"/>
      <c r="CT266" s="11"/>
      <c r="DA266" s="11"/>
      <c r="DH266" s="11"/>
      <c r="DI266" s="11"/>
    </row>
    <row r="267" ht="15.75" customHeight="1">
      <c r="C267" s="8"/>
      <c r="BD267" s="11"/>
      <c r="BR267" s="11"/>
      <c r="BY267" s="11"/>
      <c r="CF267" s="11"/>
      <c r="CM267" s="11"/>
      <c r="CT267" s="11"/>
      <c r="DA267" s="11"/>
      <c r="DH267" s="11"/>
      <c r="DI267" s="11"/>
    </row>
    <row r="268" ht="15.75" customHeight="1">
      <c r="C268" s="8"/>
      <c r="BD268" s="11"/>
      <c r="BR268" s="11"/>
      <c r="BY268" s="11"/>
      <c r="CF268" s="11"/>
      <c r="CM268" s="11"/>
      <c r="CT268" s="11"/>
      <c r="DA268" s="11"/>
      <c r="DH268" s="11"/>
      <c r="DI268" s="11"/>
    </row>
    <row r="269" ht="15.75" customHeight="1">
      <c r="C269" s="8"/>
      <c r="BD269" s="11"/>
      <c r="BR269" s="11"/>
      <c r="BY269" s="11"/>
      <c r="CF269" s="11"/>
      <c r="CM269" s="11"/>
      <c r="CT269" s="11"/>
      <c r="DA269" s="11"/>
      <c r="DH269" s="11"/>
      <c r="DI269" s="11"/>
    </row>
    <row r="270" ht="15.75" customHeight="1">
      <c r="C270" s="8"/>
      <c r="BD270" s="11"/>
      <c r="BR270" s="11"/>
      <c r="BY270" s="11"/>
      <c r="CF270" s="11"/>
      <c r="CM270" s="11"/>
      <c r="CT270" s="11"/>
      <c r="DA270" s="11"/>
      <c r="DH270" s="11"/>
      <c r="DI270" s="11"/>
    </row>
    <row r="271" ht="15.75" customHeight="1">
      <c r="C271" s="8"/>
      <c r="BD271" s="11"/>
      <c r="BR271" s="11"/>
      <c r="BY271" s="11"/>
      <c r="CF271" s="11"/>
      <c r="CM271" s="11"/>
      <c r="CT271" s="11"/>
      <c r="DA271" s="11"/>
      <c r="DH271" s="11"/>
      <c r="DI271" s="11"/>
    </row>
    <row r="272" ht="15.75" customHeight="1">
      <c r="C272" s="8"/>
      <c r="BD272" s="11"/>
      <c r="BR272" s="11"/>
      <c r="BY272" s="11"/>
      <c r="CF272" s="11"/>
      <c r="CM272" s="11"/>
      <c r="CT272" s="11"/>
      <c r="DA272" s="11"/>
      <c r="DH272" s="11"/>
      <c r="DI272" s="11"/>
    </row>
    <row r="273" ht="15.75" customHeight="1">
      <c r="C273" s="8"/>
      <c r="BD273" s="11"/>
      <c r="BR273" s="11"/>
      <c r="BY273" s="11"/>
      <c r="CF273" s="11"/>
      <c r="CM273" s="11"/>
      <c r="CT273" s="11"/>
      <c r="DA273" s="11"/>
      <c r="DH273" s="11"/>
      <c r="DI273" s="11"/>
    </row>
    <row r="274" ht="15.75" customHeight="1">
      <c r="C274" s="8"/>
      <c r="BD274" s="11"/>
      <c r="BR274" s="11"/>
      <c r="BY274" s="11"/>
      <c r="CF274" s="11"/>
      <c r="CM274" s="11"/>
      <c r="CT274" s="11"/>
      <c r="DA274" s="11"/>
      <c r="DH274" s="11"/>
      <c r="DI274" s="11"/>
    </row>
    <row r="275" ht="15.75" customHeight="1">
      <c r="C275" s="8"/>
      <c r="BD275" s="11"/>
      <c r="BR275" s="11"/>
      <c r="BY275" s="11"/>
      <c r="CF275" s="11"/>
      <c r="CM275" s="11"/>
      <c r="CT275" s="11"/>
      <c r="DA275" s="11"/>
      <c r="DH275" s="11"/>
      <c r="DI275" s="11"/>
    </row>
    <row r="276" ht="15.75" customHeight="1">
      <c r="C276" s="8"/>
      <c r="BD276" s="11"/>
      <c r="BR276" s="11"/>
      <c r="BY276" s="11"/>
      <c r="CF276" s="11"/>
      <c r="CM276" s="11"/>
      <c r="CT276" s="11"/>
      <c r="DA276" s="11"/>
      <c r="DH276" s="11"/>
      <c r="DI276" s="11"/>
    </row>
    <row r="277" ht="15.75" customHeight="1">
      <c r="C277" s="8"/>
      <c r="BD277" s="11"/>
      <c r="BR277" s="11"/>
      <c r="BY277" s="11"/>
      <c r="CF277" s="11"/>
      <c r="CM277" s="11"/>
      <c r="CT277" s="11"/>
      <c r="DA277" s="11"/>
      <c r="DH277" s="11"/>
      <c r="DI277" s="11"/>
    </row>
    <row r="278" ht="15.75" customHeight="1">
      <c r="C278" s="8"/>
      <c r="BD278" s="11"/>
      <c r="BR278" s="11"/>
      <c r="BY278" s="11"/>
      <c r="CF278" s="11"/>
      <c r="CM278" s="11"/>
      <c r="CT278" s="11"/>
      <c r="DA278" s="11"/>
      <c r="DH278" s="11"/>
      <c r="DI278" s="11"/>
    </row>
    <row r="279" ht="15.75" customHeight="1">
      <c r="C279" s="8"/>
      <c r="BD279" s="11"/>
      <c r="BR279" s="11"/>
      <c r="BY279" s="11"/>
      <c r="CF279" s="11"/>
      <c r="CM279" s="11"/>
      <c r="CT279" s="11"/>
      <c r="DA279" s="11"/>
      <c r="DH279" s="11"/>
      <c r="DI279" s="11"/>
    </row>
    <row r="280" ht="15.75" customHeight="1">
      <c r="C280" s="8"/>
      <c r="BD280" s="11"/>
      <c r="BR280" s="11"/>
      <c r="BY280" s="11"/>
      <c r="CF280" s="11"/>
      <c r="CM280" s="11"/>
      <c r="CT280" s="11"/>
      <c r="DA280" s="11"/>
      <c r="DH280" s="11"/>
      <c r="DI280" s="11"/>
    </row>
    <row r="281" ht="15.75" customHeight="1">
      <c r="C281" s="8"/>
      <c r="BD281" s="11"/>
      <c r="BR281" s="11"/>
      <c r="BY281" s="11"/>
      <c r="CF281" s="11"/>
      <c r="CM281" s="11"/>
      <c r="CT281" s="11"/>
      <c r="DA281" s="11"/>
      <c r="DH281" s="11"/>
      <c r="DI281" s="11"/>
    </row>
    <row r="282" ht="15.75" customHeight="1">
      <c r="C282" s="8"/>
      <c r="BD282" s="11"/>
      <c r="BR282" s="11"/>
      <c r="BY282" s="11"/>
      <c r="CF282" s="11"/>
      <c r="CM282" s="11"/>
      <c r="CT282" s="11"/>
      <c r="DA282" s="11"/>
      <c r="DH282" s="11"/>
      <c r="DI282" s="11"/>
    </row>
    <row r="283" ht="15.75" customHeight="1">
      <c r="C283" s="8"/>
      <c r="BD283" s="11"/>
      <c r="BR283" s="11"/>
      <c r="BY283" s="11"/>
      <c r="CF283" s="11"/>
      <c r="CM283" s="11"/>
      <c r="CT283" s="11"/>
      <c r="DA283" s="11"/>
      <c r="DH283" s="11"/>
      <c r="DI283" s="11"/>
    </row>
    <row r="284" ht="15.75" customHeight="1">
      <c r="C284" s="8"/>
      <c r="BD284" s="11"/>
      <c r="BR284" s="11"/>
      <c r="BY284" s="11"/>
      <c r="CF284" s="11"/>
      <c r="CM284" s="11"/>
      <c r="CT284" s="11"/>
      <c r="DA284" s="11"/>
      <c r="DH284" s="11"/>
      <c r="DI284" s="11"/>
    </row>
    <row r="285" ht="15.75" customHeight="1">
      <c r="C285" s="8"/>
      <c r="BD285" s="11"/>
      <c r="BR285" s="11"/>
      <c r="BY285" s="11"/>
      <c r="CF285" s="11"/>
      <c r="CM285" s="11"/>
      <c r="CT285" s="11"/>
      <c r="DA285" s="11"/>
      <c r="DH285" s="11"/>
      <c r="DI285" s="11"/>
    </row>
    <row r="286" ht="15.75" customHeight="1">
      <c r="C286" s="8"/>
      <c r="BD286" s="11"/>
      <c r="BR286" s="11"/>
      <c r="BY286" s="11"/>
      <c r="CF286" s="11"/>
      <c r="CM286" s="11"/>
      <c r="CT286" s="11"/>
      <c r="DA286" s="11"/>
      <c r="DH286" s="11"/>
      <c r="DI286" s="11"/>
    </row>
    <row r="287" ht="15.75" customHeight="1">
      <c r="C287" s="8"/>
      <c r="BD287" s="11"/>
      <c r="BR287" s="11"/>
      <c r="BY287" s="11"/>
      <c r="CF287" s="11"/>
      <c r="CM287" s="11"/>
      <c r="CT287" s="11"/>
      <c r="DA287" s="11"/>
      <c r="DH287" s="11"/>
      <c r="DI287" s="11"/>
    </row>
    <row r="288" ht="15.75" customHeight="1">
      <c r="C288" s="8"/>
      <c r="BD288" s="11"/>
      <c r="BR288" s="11"/>
      <c r="BY288" s="11"/>
      <c r="CF288" s="11"/>
      <c r="CM288" s="11"/>
      <c r="CT288" s="11"/>
      <c r="DA288" s="11"/>
      <c r="DH288" s="11"/>
      <c r="DI288" s="11"/>
    </row>
    <row r="289" ht="15.75" customHeight="1">
      <c r="C289" s="8"/>
      <c r="BD289" s="11"/>
      <c r="BR289" s="11"/>
      <c r="BY289" s="11"/>
      <c r="CF289" s="11"/>
      <c r="CM289" s="11"/>
      <c r="CT289" s="11"/>
      <c r="DA289" s="11"/>
      <c r="DH289" s="11"/>
      <c r="DI289" s="11"/>
    </row>
    <row r="290" ht="15.75" customHeight="1">
      <c r="C290" s="8"/>
      <c r="BD290" s="11"/>
      <c r="BR290" s="11"/>
      <c r="BY290" s="11"/>
      <c r="CF290" s="11"/>
      <c r="CM290" s="11"/>
      <c r="CT290" s="11"/>
      <c r="DA290" s="11"/>
      <c r="DH290" s="11"/>
      <c r="DI290" s="11"/>
    </row>
    <row r="291" ht="15.75" customHeight="1">
      <c r="C291" s="8"/>
      <c r="BD291" s="11"/>
      <c r="BR291" s="11"/>
      <c r="BY291" s="11"/>
      <c r="CF291" s="11"/>
      <c r="CM291" s="11"/>
      <c r="CT291" s="11"/>
      <c r="DA291" s="11"/>
      <c r="DH291" s="11"/>
      <c r="DI291" s="11"/>
    </row>
    <row r="292" ht="15.75" customHeight="1">
      <c r="C292" s="8"/>
      <c r="BD292" s="11"/>
      <c r="BR292" s="11"/>
      <c r="BY292" s="11"/>
      <c r="CF292" s="11"/>
      <c r="CM292" s="11"/>
      <c r="CT292" s="11"/>
      <c r="DA292" s="11"/>
      <c r="DH292" s="11"/>
      <c r="DI292" s="11"/>
    </row>
    <row r="293" ht="15.75" customHeight="1">
      <c r="C293" s="8"/>
      <c r="BD293" s="11"/>
      <c r="BR293" s="11"/>
      <c r="BY293" s="11"/>
      <c r="CF293" s="11"/>
      <c r="CM293" s="11"/>
      <c r="CT293" s="11"/>
      <c r="DA293" s="11"/>
      <c r="DH293" s="11"/>
      <c r="DI293" s="11"/>
    </row>
    <row r="294" ht="15.75" customHeight="1">
      <c r="C294" s="8"/>
      <c r="BD294" s="11"/>
      <c r="BR294" s="11"/>
      <c r="BY294" s="11"/>
      <c r="CF294" s="11"/>
      <c r="CM294" s="11"/>
      <c r="CT294" s="11"/>
      <c r="DA294" s="11"/>
      <c r="DH294" s="11"/>
      <c r="DI294" s="11"/>
    </row>
    <row r="295" ht="15.75" customHeight="1">
      <c r="C295" s="8"/>
      <c r="BD295" s="11"/>
      <c r="BR295" s="11"/>
      <c r="BY295" s="11"/>
      <c r="CF295" s="11"/>
      <c r="CM295" s="11"/>
      <c r="CT295" s="11"/>
      <c r="DA295" s="11"/>
      <c r="DH295" s="11"/>
      <c r="DI295" s="11"/>
    </row>
    <row r="296" ht="15.75" customHeight="1">
      <c r="C296" s="8"/>
      <c r="BD296" s="11"/>
      <c r="BR296" s="11"/>
      <c r="BY296" s="11"/>
      <c r="CF296" s="11"/>
      <c r="CM296" s="11"/>
      <c r="CT296" s="11"/>
      <c r="DA296" s="11"/>
      <c r="DH296" s="11"/>
      <c r="DI296" s="11"/>
    </row>
    <row r="297" ht="15.75" customHeight="1">
      <c r="C297" s="8"/>
      <c r="BD297" s="11"/>
      <c r="BR297" s="11"/>
      <c r="BY297" s="11"/>
      <c r="CF297" s="11"/>
      <c r="CM297" s="11"/>
      <c r="CT297" s="11"/>
      <c r="DA297" s="11"/>
      <c r="DH297" s="11"/>
      <c r="DI297" s="11"/>
    </row>
    <row r="298" ht="15.75" customHeight="1">
      <c r="C298" s="8"/>
      <c r="BD298" s="11"/>
      <c r="BR298" s="11"/>
      <c r="BY298" s="11"/>
      <c r="CF298" s="11"/>
      <c r="CM298" s="11"/>
      <c r="CT298" s="11"/>
      <c r="DA298" s="11"/>
      <c r="DH298" s="11"/>
      <c r="DI298" s="11"/>
    </row>
    <row r="299" ht="15.75" customHeight="1">
      <c r="C299" s="8"/>
      <c r="BD299" s="11"/>
      <c r="BR299" s="11"/>
      <c r="BY299" s="11"/>
      <c r="CF299" s="11"/>
      <c r="CM299" s="11"/>
      <c r="CT299" s="11"/>
      <c r="DA299" s="11"/>
      <c r="DH299" s="11"/>
      <c r="DI299" s="11"/>
    </row>
    <row r="300" ht="15.75" customHeight="1">
      <c r="C300" s="8"/>
      <c r="BD300" s="11"/>
      <c r="BR300" s="11"/>
      <c r="BY300" s="11"/>
      <c r="CF300" s="11"/>
      <c r="CM300" s="11"/>
      <c r="CT300" s="11"/>
      <c r="DA300" s="11"/>
      <c r="DH300" s="11"/>
      <c r="DI300" s="11"/>
    </row>
    <row r="301" ht="15.75" customHeight="1">
      <c r="C301" s="8"/>
      <c r="BD301" s="11"/>
      <c r="BR301" s="11"/>
      <c r="BY301" s="11"/>
      <c r="CF301" s="11"/>
      <c r="CM301" s="11"/>
      <c r="CT301" s="11"/>
      <c r="DA301" s="11"/>
      <c r="DH301" s="11"/>
      <c r="DI301" s="11"/>
    </row>
    <row r="302" ht="15.75" customHeight="1">
      <c r="C302" s="8"/>
      <c r="BD302" s="11"/>
      <c r="BR302" s="11"/>
      <c r="BY302" s="11"/>
      <c r="CF302" s="11"/>
      <c r="CM302" s="11"/>
      <c r="CT302" s="11"/>
      <c r="DA302" s="11"/>
      <c r="DH302" s="11"/>
      <c r="DI302" s="11"/>
    </row>
    <row r="303" ht="15.75" customHeight="1">
      <c r="C303" s="8"/>
      <c r="BD303" s="11"/>
      <c r="BR303" s="11"/>
      <c r="BY303" s="11"/>
      <c r="CF303" s="11"/>
      <c r="CM303" s="11"/>
      <c r="CT303" s="11"/>
      <c r="DA303" s="11"/>
      <c r="DH303" s="11"/>
      <c r="DI303" s="11"/>
    </row>
    <row r="304" ht="15.75" customHeight="1">
      <c r="C304" s="8"/>
      <c r="BD304" s="11"/>
      <c r="BR304" s="11"/>
      <c r="BY304" s="11"/>
      <c r="CF304" s="11"/>
      <c r="CM304" s="11"/>
      <c r="CT304" s="11"/>
      <c r="DA304" s="11"/>
      <c r="DH304" s="11"/>
      <c r="DI304" s="11"/>
    </row>
    <row r="305" ht="15.75" customHeight="1">
      <c r="C305" s="8"/>
      <c r="BD305" s="11"/>
      <c r="BR305" s="11"/>
      <c r="BY305" s="11"/>
      <c r="CF305" s="11"/>
      <c r="CM305" s="11"/>
      <c r="CT305" s="11"/>
      <c r="DA305" s="11"/>
      <c r="DH305" s="11"/>
      <c r="DI305" s="11"/>
    </row>
    <row r="306" ht="15.75" customHeight="1">
      <c r="C306" s="8"/>
      <c r="BD306" s="11"/>
      <c r="BR306" s="11"/>
      <c r="BY306" s="11"/>
      <c r="CF306" s="11"/>
      <c r="CM306" s="11"/>
      <c r="CT306" s="11"/>
      <c r="DA306" s="11"/>
      <c r="DH306" s="11"/>
      <c r="DI306" s="11"/>
    </row>
    <row r="307" ht="15.75" customHeight="1">
      <c r="C307" s="8"/>
      <c r="BD307" s="11"/>
      <c r="BR307" s="11"/>
      <c r="BY307" s="11"/>
      <c r="CF307" s="11"/>
      <c r="CM307" s="11"/>
      <c r="CT307" s="11"/>
      <c r="DA307" s="11"/>
      <c r="DH307" s="11"/>
      <c r="DI307" s="11"/>
    </row>
    <row r="308" ht="15.75" customHeight="1">
      <c r="C308" s="8"/>
      <c r="BD308" s="11"/>
      <c r="BR308" s="11"/>
      <c r="BY308" s="11"/>
      <c r="CF308" s="11"/>
      <c r="CM308" s="11"/>
      <c r="CT308" s="11"/>
      <c r="DA308" s="11"/>
      <c r="DH308" s="11"/>
      <c r="DI308" s="11"/>
    </row>
    <row r="309" ht="15.75" customHeight="1">
      <c r="C309" s="8"/>
      <c r="BD309" s="11"/>
      <c r="BR309" s="11"/>
      <c r="BY309" s="11"/>
      <c r="CF309" s="11"/>
      <c r="CM309" s="11"/>
      <c r="CT309" s="11"/>
      <c r="DA309" s="11"/>
      <c r="DH309" s="11"/>
      <c r="DI309" s="11"/>
    </row>
    <row r="310" ht="15.75" customHeight="1">
      <c r="C310" s="8"/>
      <c r="BD310" s="11"/>
      <c r="BR310" s="11"/>
      <c r="BY310" s="11"/>
      <c r="CF310" s="11"/>
      <c r="CM310" s="11"/>
      <c r="CT310" s="11"/>
      <c r="DA310" s="11"/>
      <c r="DH310" s="11"/>
      <c r="DI310" s="11"/>
    </row>
    <row r="311" ht="15.75" customHeight="1">
      <c r="C311" s="8"/>
      <c r="BD311" s="11"/>
      <c r="BR311" s="11"/>
      <c r="BY311" s="11"/>
      <c r="CF311" s="11"/>
      <c r="CM311" s="11"/>
      <c r="CT311" s="11"/>
      <c r="DA311" s="11"/>
      <c r="DH311" s="11"/>
      <c r="DI311" s="11"/>
    </row>
    <row r="312" ht="15.75" customHeight="1">
      <c r="C312" s="8"/>
      <c r="BD312" s="11"/>
      <c r="BR312" s="11"/>
      <c r="BY312" s="11"/>
      <c r="CF312" s="11"/>
      <c r="CM312" s="11"/>
      <c r="CT312" s="11"/>
      <c r="DA312" s="11"/>
      <c r="DH312" s="11"/>
      <c r="DI312" s="11"/>
    </row>
    <row r="313" ht="15.75" customHeight="1">
      <c r="C313" s="8"/>
      <c r="BD313" s="11"/>
      <c r="BR313" s="11"/>
      <c r="BY313" s="11"/>
      <c r="CF313" s="11"/>
      <c r="CM313" s="11"/>
      <c r="CT313" s="11"/>
      <c r="DA313" s="11"/>
      <c r="DH313" s="11"/>
      <c r="DI313" s="11"/>
    </row>
    <row r="314" ht="15.75" customHeight="1">
      <c r="C314" s="8"/>
      <c r="BD314" s="11"/>
      <c r="BR314" s="11"/>
      <c r="BY314" s="11"/>
      <c r="CF314" s="11"/>
      <c r="CM314" s="11"/>
      <c r="CT314" s="11"/>
      <c r="DA314" s="11"/>
      <c r="DH314" s="11"/>
      <c r="DI314" s="11"/>
    </row>
    <row r="315" ht="15.75" customHeight="1">
      <c r="C315" s="8"/>
      <c r="BD315" s="11"/>
      <c r="BR315" s="11"/>
      <c r="BY315" s="11"/>
      <c r="CF315" s="11"/>
      <c r="CM315" s="11"/>
      <c r="CT315" s="11"/>
      <c r="DA315" s="11"/>
      <c r="DH315" s="11"/>
      <c r="DI315" s="11"/>
    </row>
    <row r="316" ht="15.75" customHeight="1">
      <c r="C316" s="8"/>
      <c r="BD316" s="11"/>
      <c r="BR316" s="11"/>
      <c r="BY316" s="11"/>
      <c r="CF316" s="11"/>
      <c r="CM316" s="11"/>
      <c r="CT316" s="11"/>
      <c r="DA316" s="11"/>
      <c r="DH316" s="11"/>
      <c r="DI316" s="11"/>
    </row>
    <row r="317" ht="15.75" customHeight="1">
      <c r="C317" s="8"/>
      <c r="BD317" s="11"/>
      <c r="BR317" s="11"/>
      <c r="BY317" s="11"/>
      <c r="CF317" s="11"/>
      <c r="CM317" s="11"/>
      <c r="CT317" s="11"/>
      <c r="DA317" s="11"/>
      <c r="DH317" s="11"/>
      <c r="DI317" s="11"/>
    </row>
    <row r="318" ht="15.75" customHeight="1">
      <c r="C318" s="8"/>
      <c r="BD318" s="11"/>
      <c r="BR318" s="11"/>
      <c r="BY318" s="11"/>
      <c r="CF318" s="11"/>
      <c r="CM318" s="11"/>
      <c r="CT318" s="11"/>
      <c r="DA318" s="11"/>
      <c r="DH318" s="11"/>
      <c r="DI318" s="11"/>
    </row>
    <row r="319" ht="15.75" customHeight="1">
      <c r="C319" s="8"/>
      <c r="BD319" s="11"/>
      <c r="BR319" s="11"/>
      <c r="BY319" s="11"/>
      <c r="CF319" s="11"/>
      <c r="CM319" s="11"/>
      <c r="CT319" s="11"/>
      <c r="DA319" s="11"/>
      <c r="DH319" s="11"/>
      <c r="DI319" s="11"/>
    </row>
    <row r="320" ht="15.75" customHeight="1">
      <c r="C320" s="8"/>
      <c r="BD320" s="11"/>
      <c r="BR320" s="11"/>
      <c r="BY320" s="11"/>
      <c r="CF320" s="11"/>
      <c r="CM320" s="11"/>
      <c r="CT320" s="11"/>
      <c r="DA320" s="11"/>
      <c r="DH320" s="11"/>
      <c r="DI320" s="11"/>
    </row>
    <row r="321" ht="15.75" customHeight="1">
      <c r="C321" s="8"/>
      <c r="BD321" s="11"/>
      <c r="BR321" s="11"/>
      <c r="BY321" s="11"/>
      <c r="CF321" s="11"/>
      <c r="CM321" s="11"/>
      <c r="CT321" s="11"/>
      <c r="DA321" s="11"/>
      <c r="DH321" s="11"/>
      <c r="DI321" s="11"/>
    </row>
    <row r="322" ht="15.75" customHeight="1">
      <c r="C322" s="8"/>
      <c r="BD322" s="11"/>
      <c r="BR322" s="11"/>
      <c r="BY322" s="11"/>
      <c r="CF322" s="11"/>
      <c r="CM322" s="11"/>
      <c r="CT322" s="11"/>
      <c r="DA322" s="11"/>
      <c r="DH322" s="11"/>
      <c r="DI322" s="11"/>
    </row>
    <row r="323" ht="15.75" customHeight="1">
      <c r="C323" s="8"/>
      <c r="BD323" s="11"/>
      <c r="BR323" s="11"/>
      <c r="BY323" s="11"/>
      <c r="CF323" s="11"/>
      <c r="CM323" s="11"/>
      <c r="CT323" s="11"/>
      <c r="DA323" s="11"/>
      <c r="DH323" s="11"/>
      <c r="DI323" s="11"/>
    </row>
    <row r="324" ht="15.75" customHeight="1">
      <c r="C324" s="8"/>
      <c r="BD324" s="11"/>
      <c r="BR324" s="11"/>
      <c r="BY324" s="11"/>
      <c r="CF324" s="11"/>
      <c r="CM324" s="11"/>
      <c r="CT324" s="11"/>
      <c r="DA324" s="11"/>
      <c r="DH324" s="11"/>
      <c r="DI324" s="11"/>
    </row>
    <row r="325" ht="15.75" customHeight="1">
      <c r="C325" s="8"/>
      <c r="BD325" s="11"/>
      <c r="BR325" s="11"/>
      <c r="BY325" s="11"/>
      <c r="CF325" s="11"/>
      <c r="CM325" s="11"/>
      <c r="CT325" s="11"/>
      <c r="DA325" s="11"/>
      <c r="DH325" s="11"/>
      <c r="DI325" s="11"/>
    </row>
    <row r="326" ht="15.75" customHeight="1">
      <c r="C326" s="8"/>
      <c r="BD326" s="11"/>
      <c r="BR326" s="11"/>
      <c r="BY326" s="11"/>
      <c r="CF326" s="11"/>
      <c r="CM326" s="11"/>
      <c r="CT326" s="11"/>
      <c r="DA326" s="11"/>
      <c r="DH326" s="11"/>
      <c r="DI326" s="11"/>
    </row>
    <row r="327" ht="15.75" customHeight="1">
      <c r="C327" s="8"/>
      <c r="BD327" s="11"/>
      <c r="BR327" s="11"/>
      <c r="BY327" s="11"/>
      <c r="CF327" s="11"/>
      <c r="CM327" s="11"/>
      <c r="CT327" s="11"/>
      <c r="DA327" s="11"/>
      <c r="DH327" s="11"/>
      <c r="DI327" s="11"/>
    </row>
    <row r="328" ht="15.75" customHeight="1">
      <c r="C328" s="8"/>
      <c r="BD328" s="11"/>
      <c r="BR328" s="11"/>
      <c r="BY328" s="11"/>
      <c r="CF328" s="11"/>
      <c r="CM328" s="11"/>
      <c r="CT328" s="11"/>
      <c r="DA328" s="11"/>
      <c r="DH328" s="11"/>
      <c r="DI328" s="11"/>
    </row>
    <row r="329" ht="15.75" customHeight="1">
      <c r="C329" s="8"/>
      <c r="BD329" s="11"/>
      <c r="BR329" s="11"/>
      <c r="BY329" s="11"/>
      <c r="CF329" s="11"/>
      <c r="CM329" s="11"/>
      <c r="CT329" s="11"/>
      <c r="DA329" s="11"/>
      <c r="DH329" s="11"/>
      <c r="DI329" s="11"/>
    </row>
    <row r="330" ht="15.75" customHeight="1">
      <c r="C330" s="8"/>
      <c r="BD330" s="11"/>
      <c r="BR330" s="11"/>
      <c r="BY330" s="11"/>
      <c r="CF330" s="11"/>
      <c r="CM330" s="11"/>
      <c r="CT330" s="11"/>
      <c r="DA330" s="11"/>
      <c r="DH330" s="11"/>
      <c r="DI330" s="11"/>
    </row>
    <row r="331" ht="15.75" customHeight="1">
      <c r="C331" s="8"/>
      <c r="BD331" s="11"/>
      <c r="BR331" s="11"/>
      <c r="BY331" s="11"/>
      <c r="CF331" s="11"/>
      <c r="CM331" s="11"/>
      <c r="CT331" s="11"/>
      <c r="DA331" s="11"/>
      <c r="DH331" s="11"/>
      <c r="DI331" s="11"/>
    </row>
    <row r="332" ht="15.75" customHeight="1">
      <c r="C332" s="8"/>
      <c r="BD332" s="11"/>
      <c r="BR332" s="11"/>
      <c r="BY332" s="11"/>
      <c r="CF332" s="11"/>
      <c r="CM332" s="11"/>
      <c r="CT332" s="11"/>
      <c r="DA332" s="11"/>
      <c r="DH332" s="11"/>
      <c r="DI332" s="11"/>
    </row>
    <row r="333" ht="15.75" customHeight="1">
      <c r="C333" s="8"/>
      <c r="BD333" s="11"/>
      <c r="BR333" s="11"/>
      <c r="BY333" s="11"/>
      <c r="CF333" s="11"/>
      <c r="CM333" s="11"/>
      <c r="CT333" s="11"/>
      <c r="DA333" s="11"/>
      <c r="DH333" s="11"/>
      <c r="DI333" s="11"/>
    </row>
    <row r="334" ht="15.75" customHeight="1">
      <c r="C334" s="8"/>
      <c r="BD334" s="11"/>
      <c r="BR334" s="11"/>
      <c r="BY334" s="11"/>
      <c r="CF334" s="11"/>
      <c r="CM334" s="11"/>
      <c r="CT334" s="11"/>
      <c r="DA334" s="11"/>
      <c r="DH334" s="11"/>
      <c r="DI334" s="11"/>
    </row>
    <row r="335" ht="15.75" customHeight="1">
      <c r="C335" s="8"/>
      <c r="BD335" s="11"/>
      <c r="BR335" s="11"/>
      <c r="BY335" s="11"/>
      <c r="CF335" s="11"/>
      <c r="CM335" s="11"/>
      <c r="CT335" s="11"/>
      <c r="DA335" s="11"/>
      <c r="DH335" s="11"/>
      <c r="DI335" s="11"/>
    </row>
    <row r="336" ht="15.75" customHeight="1">
      <c r="C336" s="8"/>
      <c r="BD336" s="11"/>
      <c r="BR336" s="11"/>
      <c r="BY336" s="11"/>
      <c r="CF336" s="11"/>
      <c r="CM336" s="11"/>
      <c r="CT336" s="11"/>
      <c r="DA336" s="11"/>
      <c r="DH336" s="11"/>
      <c r="DI336" s="11"/>
    </row>
    <row r="337" ht="15.75" customHeight="1">
      <c r="C337" s="8"/>
      <c r="BD337" s="11"/>
      <c r="BR337" s="11"/>
      <c r="BY337" s="11"/>
      <c r="CF337" s="11"/>
      <c r="CM337" s="11"/>
      <c r="CT337" s="11"/>
      <c r="DA337" s="11"/>
      <c r="DH337" s="11"/>
      <c r="DI337" s="11"/>
    </row>
    <row r="338" ht="15.75" customHeight="1">
      <c r="C338" s="8"/>
      <c r="BD338" s="11"/>
      <c r="BR338" s="11"/>
      <c r="BY338" s="11"/>
      <c r="CF338" s="11"/>
      <c r="CM338" s="11"/>
      <c r="CT338" s="11"/>
      <c r="DA338" s="11"/>
      <c r="DH338" s="11"/>
      <c r="DI338" s="11"/>
    </row>
    <row r="339" ht="15.75" customHeight="1">
      <c r="C339" s="8"/>
      <c r="BD339" s="11"/>
      <c r="BR339" s="11"/>
      <c r="BY339" s="11"/>
      <c r="CF339" s="11"/>
      <c r="CM339" s="11"/>
      <c r="CT339" s="11"/>
      <c r="DA339" s="11"/>
      <c r="DH339" s="11"/>
      <c r="DI339" s="11"/>
    </row>
    <row r="340" ht="15.75" customHeight="1">
      <c r="C340" s="8"/>
      <c r="BD340" s="11"/>
      <c r="BR340" s="11"/>
      <c r="BY340" s="11"/>
      <c r="CF340" s="11"/>
      <c r="CM340" s="11"/>
      <c r="CT340" s="11"/>
      <c r="DA340" s="11"/>
      <c r="DH340" s="11"/>
      <c r="DI340" s="11"/>
    </row>
    <row r="341" ht="15.75" customHeight="1">
      <c r="C341" s="8"/>
      <c r="BD341" s="11"/>
      <c r="BR341" s="11"/>
      <c r="BY341" s="11"/>
      <c r="CF341" s="11"/>
      <c r="CM341" s="11"/>
      <c r="CT341" s="11"/>
      <c r="DA341" s="11"/>
      <c r="DH341" s="11"/>
      <c r="DI341" s="11"/>
    </row>
    <row r="342" ht="15.75" customHeight="1">
      <c r="C342" s="8"/>
      <c r="BD342" s="11"/>
      <c r="BR342" s="11"/>
      <c r="BY342" s="11"/>
      <c r="CF342" s="11"/>
      <c r="CM342" s="11"/>
      <c r="CT342" s="11"/>
      <c r="DA342" s="11"/>
      <c r="DH342" s="11"/>
      <c r="DI342" s="11"/>
    </row>
    <row r="343" ht="15.75" customHeight="1">
      <c r="C343" s="8"/>
      <c r="BD343" s="11"/>
      <c r="BR343" s="11"/>
      <c r="BY343" s="11"/>
      <c r="CF343" s="11"/>
      <c r="CM343" s="11"/>
      <c r="CT343" s="11"/>
      <c r="DA343" s="11"/>
      <c r="DH343" s="11"/>
      <c r="DI343" s="11"/>
    </row>
    <row r="344" ht="15.75" customHeight="1">
      <c r="C344" s="8"/>
      <c r="BD344" s="11"/>
      <c r="BR344" s="11"/>
      <c r="BY344" s="11"/>
      <c r="CF344" s="11"/>
      <c r="CM344" s="11"/>
      <c r="CT344" s="11"/>
      <c r="DA344" s="11"/>
      <c r="DH344" s="11"/>
      <c r="DI344" s="11"/>
    </row>
    <row r="345" ht="15.75" customHeight="1">
      <c r="C345" s="8"/>
      <c r="BD345" s="11"/>
      <c r="BR345" s="11"/>
      <c r="BY345" s="11"/>
      <c r="CF345" s="11"/>
      <c r="CM345" s="11"/>
      <c r="CT345" s="11"/>
      <c r="DA345" s="11"/>
      <c r="DH345" s="11"/>
      <c r="DI345" s="11"/>
    </row>
    <row r="346" ht="15.75" customHeight="1">
      <c r="C346" s="8"/>
      <c r="BD346" s="11"/>
      <c r="BR346" s="11"/>
      <c r="BY346" s="11"/>
      <c r="CF346" s="11"/>
      <c r="CM346" s="11"/>
      <c r="CT346" s="11"/>
      <c r="DA346" s="11"/>
      <c r="DH346" s="11"/>
      <c r="DI346" s="11"/>
    </row>
    <row r="347" ht="15.75" customHeight="1">
      <c r="C347" s="8"/>
      <c r="BD347" s="11"/>
      <c r="BR347" s="11"/>
      <c r="BY347" s="11"/>
      <c r="CF347" s="11"/>
      <c r="CM347" s="11"/>
      <c r="CT347" s="11"/>
      <c r="DA347" s="11"/>
      <c r="DH347" s="11"/>
      <c r="DI347" s="11"/>
    </row>
    <row r="348" ht="15.75" customHeight="1">
      <c r="C348" s="8"/>
      <c r="BD348" s="11"/>
      <c r="BR348" s="11"/>
      <c r="BY348" s="11"/>
      <c r="CF348" s="11"/>
      <c r="CM348" s="11"/>
      <c r="CT348" s="11"/>
      <c r="DA348" s="11"/>
      <c r="DH348" s="11"/>
      <c r="DI348" s="11"/>
    </row>
    <row r="349" ht="15.75" customHeight="1">
      <c r="C349" s="8"/>
      <c r="BD349" s="11"/>
      <c r="BR349" s="11"/>
      <c r="BY349" s="11"/>
      <c r="CF349" s="11"/>
      <c r="CM349" s="11"/>
      <c r="CT349" s="11"/>
      <c r="DA349" s="11"/>
      <c r="DH349" s="11"/>
      <c r="DI349" s="11"/>
    </row>
    <row r="350" ht="15.75" customHeight="1">
      <c r="C350" s="8"/>
      <c r="BD350" s="11"/>
      <c r="BR350" s="11"/>
      <c r="BY350" s="11"/>
      <c r="CF350" s="11"/>
      <c r="CM350" s="11"/>
      <c r="CT350" s="11"/>
      <c r="DA350" s="11"/>
      <c r="DH350" s="11"/>
      <c r="DI350" s="11"/>
    </row>
    <row r="351" ht="15.75" customHeight="1">
      <c r="C351" s="8"/>
      <c r="BD351" s="11"/>
      <c r="BR351" s="11"/>
      <c r="BY351" s="11"/>
      <c r="CF351" s="11"/>
      <c r="CM351" s="11"/>
      <c r="CT351" s="11"/>
      <c r="DA351" s="11"/>
      <c r="DH351" s="11"/>
      <c r="DI351" s="11"/>
    </row>
    <row r="352" ht="15.75" customHeight="1">
      <c r="C352" s="8"/>
      <c r="BD352" s="11"/>
      <c r="BR352" s="11"/>
      <c r="BY352" s="11"/>
      <c r="CF352" s="11"/>
      <c r="CM352" s="11"/>
      <c r="CT352" s="11"/>
      <c r="DA352" s="11"/>
      <c r="DH352" s="11"/>
      <c r="DI352" s="11"/>
    </row>
    <row r="353" ht="15.75" customHeight="1">
      <c r="C353" s="8"/>
      <c r="BD353" s="11"/>
      <c r="BR353" s="11"/>
      <c r="BY353" s="11"/>
      <c r="CF353" s="11"/>
      <c r="CM353" s="11"/>
      <c r="CT353" s="11"/>
      <c r="DA353" s="11"/>
      <c r="DH353" s="11"/>
      <c r="DI353" s="11"/>
    </row>
    <row r="354" ht="15.75" customHeight="1">
      <c r="C354" s="8"/>
      <c r="BD354" s="11"/>
      <c r="BR354" s="11"/>
      <c r="BY354" s="11"/>
      <c r="CF354" s="11"/>
      <c r="CM354" s="11"/>
      <c r="CT354" s="11"/>
      <c r="DA354" s="11"/>
      <c r="DH354" s="11"/>
      <c r="DI354" s="11"/>
    </row>
    <row r="355" ht="15.75" customHeight="1">
      <c r="C355" s="8"/>
      <c r="BD355" s="11"/>
      <c r="BR355" s="11"/>
      <c r="BY355" s="11"/>
      <c r="CF355" s="11"/>
      <c r="CM355" s="11"/>
      <c r="CT355" s="11"/>
      <c r="DA355" s="11"/>
      <c r="DH355" s="11"/>
      <c r="DI355" s="11"/>
    </row>
    <row r="356" ht="15.75" customHeight="1">
      <c r="C356" s="8"/>
      <c r="BD356" s="11"/>
      <c r="BR356" s="11"/>
      <c r="BY356" s="11"/>
      <c r="CF356" s="11"/>
      <c r="CM356" s="11"/>
      <c r="CT356" s="11"/>
      <c r="DA356" s="11"/>
      <c r="DH356" s="11"/>
      <c r="DI356" s="11"/>
    </row>
    <row r="357" ht="15.75" customHeight="1">
      <c r="C357" s="8"/>
      <c r="BD357" s="11"/>
      <c r="BR357" s="11"/>
      <c r="BY357" s="11"/>
      <c r="CF357" s="11"/>
      <c r="CM357" s="11"/>
      <c r="CT357" s="11"/>
      <c r="DA357" s="11"/>
      <c r="DH357" s="11"/>
      <c r="DI357" s="11"/>
    </row>
    <row r="358" ht="15.75" customHeight="1">
      <c r="C358" s="8"/>
      <c r="BD358" s="11"/>
      <c r="BR358" s="11"/>
      <c r="BY358" s="11"/>
      <c r="CF358" s="11"/>
      <c r="CM358" s="11"/>
      <c r="CT358" s="11"/>
      <c r="DA358" s="11"/>
      <c r="DH358" s="11"/>
      <c r="DI358" s="11"/>
    </row>
    <row r="359" ht="15.75" customHeight="1">
      <c r="C359" s="8"/>
      <c r="BD359" s="11"/>
      <c r="BR359" s="11"/>
      <c r="BY359" s="11"/>
      <c r="CF359" s="11"/>
      <c r="CM359" s="11"/>
      <c r="CT359" s="11"/>
      <c r="DA359" s="11"/>
      <c r="DH359" s="11"/>
      <c r="DI359" s="11"/>
    </row>
    <row r="360" ht="15.75" customHeight="1">
      <c r="C360" s="8"/>
      <c r="BD360" s="11"/>
      <c r="BR360" s="11"/>
      <c r="BY360" s="11"/>
      <c r="CF360" s="11"/>
      <c r="CM360" s="11"/>
      <c r="CT360" s="11"/>
      <c r="DA360" s="11"/>
      <c r="DH360" s="11"/>
      <c r="DI360" s="11"/>
    </row>
    <row r="361" ht="15.75" customHeight="1">
      <c r="C361" s="8"/>
      <c r="BD361" s="11"/>
      <c r="BR361" s="11"/>
      <c r="BY361" s="11"/>
      <c r="CF361" s="11"/>
      <c r="CM361" s="11"/>
      <c r="CT361" s="11"/>
      <c r="DA361" s="11"/>
      <c r="DH361" s="11"/>
      <c r="DI361" s="11"/>
    </row>
    <row r="362" ht="15.75" customHeight="1">
      <c r="C362" s="8"/>
      <c r="BD362" s="11"/>
      <c r="BR362" s="11"/>
      <c r="BY362" s="11"/>
      <c r="CF362" s="11"/>
      <c r="CM362" s="11"/>
      <c r="CT362" s="11"/>
      <c r="DA362" s="11"/>
      <c r="DH362" s="11"/>
      <c r="DI362" s="11"/>
    </row>
    <row r="363" ht="15.75" customHeight="1">
      <c r="C363" s="8"/>
      <c r="BD363" s="11"/>
      <c r="BR363" s="11"/>
      <c r="BY363" s="11"/>
      <c r="CF363" s="11"/>
      <c r="CM363" s="11"/>
      <c r="CT363" s="11"/>
      <c r="DA363" s="11"/>
      <c r="DH363" s="11"/>
      <c r="DI363" s="11"/>
    </row>
    <row r="364" ht="15.75" customHeight="1">
      <c r="C364" s="8"/>
      <c r="BD364" s="11"/>
      <c r="BR364" s="11"/>
      <c r="BY364" s="11"/>
      <c r="CF364" s="11"/>
      <c r="CM364" s="11"/>
      <c r="CT364" s="11"/>
      <c r="DA364" s="11"/>
      <c r="DH364" s="11"/>
      <c r="DI364" s="11"/>
    </row>
    <row r="365" ht="15.75" customHeight="1">
      <c r="C365" s="8"/>
      <c r="BD365" s="11"/>
      <c r="BR365" s="11"/>
      <c r="BY365" s="11"/>
      <c r="CF365" s="11"/>
      <c r="CM365" s="11"/>
      <c r="CT365" s="11"/>
      <c r="DA365" s="11"/>
      <c r="DH365" s="11"/>
      <c r="DI365" s="11"/>
    </row>
    <row r="366" ht="15.75" customHeight="1">
      <c r="C366" s="8"/>
      <c r="BD366" s="11"/>
      <c r="BR366" s="11"/>
      <c r="BY366" s="11"/>
      <c r="CF366" s="11"/>
      <c r="CM366" s="11"/>
      <c r="CT366" s="11"/>
      <c r="DA366" s="11"/>
      <c r="DH366" s="11"/>
      <c r="DI366" s="11"/>
    </row>
    <row r="367" ht="15.75" customHeight="1">
      <c r="C367" s="8"/>
      <c r="BD367" s="11"/>
      <c r="BR367" s="11"/>
      <c r="BY367" s="11"/>
      <c r="CF367" s="11"/>
      <c r="CM367" s="11"/>
      <c r="CT367" s="11"/>
      <c r="DA367" s="11"/>
      <c r="DH367" s="11"/>
      <c r="DI367" s="11"/>
    </row>
    <row r="368" ht="15.75" customHeight="1">
      <c r="C368" s="8"/>
      <c r="BD368" s="11"/>
      <c r="BR368" s="11"/>
      <c r="BY368" s="11"/>
      <c r="CF368" s="11"/>
      <c r="CM368" s="11"/>
      <c r="CT368" s="11"/>
      <c r="DA368" s="11"/>
      <c r="DH368" s="11"/>
      <c r="DI368" s="11"/>
    </row>
    <row r="369" ht="15.75" customHeight="1">
      <c r="C369" s="8"/>
      <c r="BD369" s="11"/>
      <c r="BR369" s="11"/>
      <c r="BY369" s="11"/>
      <c r="CF369" s="11"/>
      <c r="CM369" s="11"/>
      <c r="CT369" s="11"/>
      <c r="DA369" s="11"/>
      <c r="DH369" s="11"/>
      <c r="DI369" s="11"/>
    </row>
    <row r="370" ht="15.75" customHeight="1">
      <c r="C370" s="8"/>
      <c r="BD370" s="11"/>
      <c r="BR370" s="11"/>
      <c r="BY370" s="11"/>
      <c r="CF370" s="11"/>
      <c r="CM370" s="11"/>
      <c r="CT370" s="11"/>
      <c r="DA370" s="11"/>
      <c r="DH370" s="11"/>
      <c r="DI370" s="11"/>
    </row>
    <row r="371" ht="15.75" customHeight="1">
      <c r="C371" s="8"/>
      <c r="BD371" s="11"/>
      <c r="BR371" s="11"/>
      <c r="BY371" s="11"/>
      <c r="CF371" s="11"/>
      <c r="CM371" s="11"/>
      <c r="CT371" s="11"/>
      <c r="DA371" s="11"/>
      <c r="DH371" s="11"/>
      <c r="DI371" s="11"/>
    </row>
    <row r="372" ht="15.75" customHeight="1">
      <c r="C372" s="8"/>
      <c r="BD372" s="11"/>
      <c r="BR372" s="11"/>
      <c r="BY372" s="11"/>
      <c r="CF372" s="11"/>
      <c r="CM372" s="11"/>
      <c r="CT372" s="11"/>
      <c r="DA372" s="11"/>
      <c r="DH372" s="11"/>
      <c r="DI372" s="11"/>
    </row>
    <row r="373" ht="15.75" customHeight="1">
      <c r="C373" s="8"/>
      <c r="BD373" s="11"/>
      <c r="BR373" s="11"/>
      <c r="BY373" s="11"/>
      <c r="CF373" s="11"/>
      <c r="CM373" s="11"/>
      <c r="CT373" s="11"/>
      <c r="DA373" s="11"/>
      <c r="DH373" s="11"/>
      <c r="DI373" s="11"/>
    </row>
    <row r="374" ht="15.75" customHeight="1">
      <c r="C374" s="8"/>
      <c r="BD374" s="11"/>
      <c r="BR374" s="11"/>
      <c r="BY374" s="11"/>
      <c r="CF374" s="11"/>
      <c r="CM374" s="11"/>
      <c r="CT374" s="11"/>
      <c r="DA374" s="11"/>
      <c r="DH374" s="11"/>
      <c r="DI374" s="11"/>
    </row>
    <row r="375" ht="15.75" customHeight="1">
      <c r="C375" s="8"/>
      <c r="BD375" s="11"/>
      <c r="BR375" s="11"/>
      <c r="BY375" s="11"/>
      <c r="CF375" s="11"/>
      <c r="CM375" s="11"/>
      <c r="CT375" s="11"/>
      <c r="DA375" s="11"/>
      <c r="DH375" s="11"/>
      <c r="DI375" s="11"/>
    </row>
    <row r="376" ht="15.75" customHeight="1">
      <c r="C376" s="8"/>
      <c r="BD376" s="11"/>
      <c r="BR376" s="11"/>
      <c r="BY376" s="11"/>
      <c r="CF376" s="11"/>
      <c r="CM376" s="11"/>
      <c r="CT376" s="11"/>
      <c r="DA376" s="11"/>
      <c r="DH376" s="11"/>
      <c r="DI376" s="11"/>
    </row>
    <row r="377" ht="15.75" customHeight="1">
      <c r="C377" s="8"/>
      <c r="BD377" s="11"/>
      <c r="BR377" s="11"/>
      <c r="BY377" s="11"/>
      <c r="CF377" s="11"/>
      <c r="CM377" s="11"/>
      <c r="CT377" s="11"/>
      <c r="DA377" s="11"/>
      <c r="DH377" s="11"/>
      <c r="DI377" s="11"/>
    </row>
    <row r="378" ht="15.75" customHeight="1">
      <c r="C378" s="8"/>
      <c r="BD378" s="11"/>
      <c r="BR378" s="11"/>
      <c r="BY378" s="11"/>
      <c r="CF378" s="11"/>
      <c r="CM378" s="11"/>
      <c r="CT378" s="11"/>
      <c r="DA378" s="11"/>
      <c r="DH378" s="11"/>
      <c r="DI378" s="11"/>
    </row>
    <row r="379" ht="15.75" customHeight="1">
      <c r="C379" s="8"/>
      <c r="BD379" s="11"/>
      <c r="BR379" s="11"/>
      <c r="BY379" s="11"/>
      <c r="CF379" s="11"/>
      <c r="CM379" s="11"/>
      <c r="CT379" s="11"/>
      <c r="DA379" s="11"/>
      <c r="DH379" s="11"/>
      <c r="DI379" s="11"/>
    </row>
    <row r="380" ht="15.75" customHeight="1">
      <c r="C380" s="8"/>
      <c r="BD380" s="11"/>
      <c r="BR380" s="11"/>
      <c r="BY380" s="11"/>
      <c r="CF380" s="11"/>
      <c r="CM380" s="11"/>
      <c r="CT380" s="11"/>
      <c r="DA380" s="11"/>
      <c r="DH380" s="11"/>
      <c r="DI380" s="11"/>
    </row>
    <row r="381" ht="15.75" customHeight="1">
      <c r="C381" s="8"/>
      <c r="BD381" s="11"/>
      <c r="BR381" s="11"/>
      <c r="BY381" s="11"/>
      <c r="CF381" s="11"/>
      <c r="CM381" s="11"/>
      <c r="CT381" s="11"/>
      <c r="DA381" s="11"/>
      <c r="DH381" s="11"/>
      <c r="DI381" s="11"/>
    </row>
    <row r="382" ht="15.75" customHeight="1">
      <c r="C382" s="8"/>
      <c r="BD382" s="11"/>
      <c r="BR382" s="11"/>
      <c r="BY382" s="11"/>
      <c r="CF382" s="11"/>
      <c r="CM382" s="11"/>
      <c r="CT382" s="11"/>
      <c r="DA382" s="11"/>
      <c r="DH382" s="11"/>
      <c r="DI382" s="11"/>
    </row>
    <row r="383" ht="15.75" customHeight="1">
      <c r="C383" s="8"/>
      <c r="BD383" s="11"/>
      <c r="BR383" s="11"/>
      <c r="BY383" s="11"/>
      <c r="CF383" s="11"/>
      <c r="CM383" s="11"/>
      <c r="CT383" s="11"/>
      <c r="DA383" s="11"/>
      <c r="DH383" s="11"/>
      <c r="DI383" s="11"/>
    </row>
    <row r="384" ht="15.75" customHeight="1">
      <c r="C384" s="8"/>
      <c r="BD384" s="11"/>
      <c r="BR384" s="11"/>
      <c r="BY384" s="11"/>
      <c r="CF384" s="11"/>
      <c r="CM384" s="11"/>
      <c r="CT384" s="11"/>
      <c r="DA384" s="11"/>
      <c r="DH384" s="11"/>
      <c r="DI384" s="11"/>
    </row>
    <row r="385" ht="15.75" customHeight="1">
      <c r="C385" s="8"/>
      <c r="BD385" s="11"/>
      <c r="BR385" s="11"/>
      <c r="BY385" s="11"/>
      <c r="CF385" s="11"/>
      <c r="CM385" s="11"/>
      <c r="CT385" s="11"/>
      <c r="DA385" s="11"/>
      <c r="DH385" s="11"/>
      <c r="DI385" s="11"/>
    </row>
    <row r="386" ht="15.75" customHeight="1">
      <c r="C386" s="8"/>
      <c r="BD386" s="11"/>
      <c r="BR386" s="11"/>
      <c r="BY386" s="11"/>
      <c r="CF386" s="11"/>
      <c r="CM386" s="11"/>
      <c r="CT386" s="11"/>
      <c r="DA386" s="11"/>
      <c r="DH386" s="11"/>
      <c r="DI386" s="11"/>
    </row>
    <row r="387" ht="15.75" customHeight="1">
      <c r="C387" s="8"/>
      <c r="BD387" s="11"/>
      <c r="BR387" s="11"/>
      <c r="BY387" s="11"/>
      <c r="CF387" s="11"/>
      <c r="CM387" s="11"/>
      <c r="CT387" s="11"/>
      <c r="DA387" s="11"/>
      <c r="DH387" s="11"/>
      <c r="DI387" s="11"/>
    </row>
    <row r="388" ht="15.75" customHeight="1">
      <c r="C388" s="8"/>
      <c r="BD388" s="11"/>
      <c r="BR388" s="11"/>
      <c r="BY388" s="11"/>
      <c r="CF388" s="11"/>
      <c r="CM388" s="11"/>
      <c r="CT388" s="11"/>
      <c r="DA388" s="11"/>
      <c r="DH388" s="11"/>
      <c r="DI388" s="11"/>
    </row>
    <row r="389" ht="15.75" customHeight="1">
      <c r="C389" s="8"/>
      <c r="BD389" s="11"/>
      <c r="BR389" s="11"/>
      <c r="BY389" s="11"/>
      <c r="CF389" s="11"/>
      <c r="CM389" s="11"/>
      <c r="CT389" s="11"/>
      <c r="DA389" s="11"/>
      <c r="DH389" s="11"/>
      <c r="DI389" s="11"/>
    </row>
    <row r="390" ht="15.75" customHeight="1">
      <c r="C390" s="8"/>
      <c r="BD390" s="11"/>
      <c r="BR390" s="11"/>
      <c r="BY390" s="11"/>
      <c r="CF390" s="11"/>
      <c r="CM390" s="11"/>
      <c r="CT390" s="11"/>
      <c r="DA390" s="11"/>
      <c r="DH390" s="11"/>
      <c r="DI390" s="11"/>
    </row>
    <row r="391" ht="15.75" customHeight="1">
      <c r="C391" s="8"/>
      <c r="BD391" s="11"/>
      <c r="BR391" s="11"/>
      <c r="BY391" s="11"/>
      <c r="CF391" s="11"/>
      <c r="CM391" s="11"/>
      <c r="CT391" s="11"/>
      <c r="DA391" s="11"/>
      <c r="DH391" s="11"/>
      <c r="DI391" s="11"/>
    </row>
    <row r="392" ht="15.75" customHeight="1">
      <c r="C392" s="8"/>
      <c r="BD392" s="11"/>
      <c r="BR392" s="11"/>
      <c r="BY392" s="11"/>
      <c r="CF392" s="11"/>
      <c r="CM392" s="11"/>
      <c r="CT392" s="11"/>
      <c r="DA392" s="11"/>
      <c r="DH392" s="11"/>
      <c r="DI392" s="11"/>
    </row>
    <row r="393" ht="15.75" customHeight="1">
      <c r="C393" s="8"/>
      <c r="BD393" s="11"/>
      <c r="BR393" s="11"/>
      <c r="BY393" s="11"/>
      <c r="CF393" s="11"/>
      <c r="CM393" s="11"/>
      <c r="CT393" s="11"/>
      <c r="DA393" s="11"/>
      <c r="DH393" s="11"/>
      <c r="DI393" s="11"/>
    </row>
    <row r="394" ht="15.75" customHeight="1">
      <c r="C394" s="8"/>
      <c r="BD394" s="11"/>
      <c r="BR394" s="11"/>
      <c r="BY394" s="11"/>
      <c r="CF394" s="11"/>
      <c r="CM394" s="11"/>
      <c r="CT394" s="11"/>
      <c r="DA394" s="11"/>
      <c r="DH394" s="11"/>
      <c r="DI394" s="11"/>
    </row>
    <row r="395" ht="15.75" customHeight="1">
      <c r="C395" s="8"/>
      <c r="BD395" s="11"/>
      <c r="BR395" s="11"/>
      <c r="BY395" s="11"/>
      <c r="CF395" s="11"/>
      <c r="CM395" s="11"/>
      <c r="CT395" s="11"/>
      <c r="DA395" s="11"/>
      <c r="DH395" s="11"/>
      <c r="DI395" s="11"/>
    </row>
    <row r="396" ht="15.75" customHeight="1">
      <c r="C396" s="8"/>
      <c r="BD396" s="11"/>
      <c r="BR396" s="11"/>
      <c r="BY396" s="11"/>
      <c r="CF396" s="11"/>
      <c r="CM396" s="11"/>
      <c r="CT396" s="11"/>
      <c r="DA396" s="11"/>
      <c r="DH396" s="11"/>
      <c r="DI396" s="11"/>
    </row>
    <row r="397" ht="15.75" customHeight="1">
      <c r="C397" s="8"/>
      <c r="BD397" s="11"/>
      <c r="BR397" s="11"/>
      <c r="BY397" s="11"/>
      <c r="CF397" s="11"/>
      <c r="CM397" s="11"/>
      <c r="CT397" s="11"/>
      <c r="DA397" s="11"/>
      <c r="DH397" s="11"/>
      <c r="DI397" s="11"/>
    </row>
    <row r="398" ht="15.75" customHeight="1">
      <c r="C398" s="8"/>
      <c r="BD398" s="11"/>
      <c r="BR398" s="11"/>
      <c r="BY398" s="11"/>
      <c r="CF398" s="11"/>
      <c r="CM398" s="11"/>
      <c r="CT398" s="11"/>
      <c r="DA398" s="11"/>
      <c r="DH398" s="11"/>
      <c r="DI398" s="11"/>
    </row>
    <row r="399" ht="15.75" customHeight="1">
      <c r="C399" s="8"/>
      <c r="BD399" s="11"/>
      <c r="BR399" s="11"/>
      <c r="BY399" s="11"/>
      <c r="CF399" s="11"/>
      <c r="CM399" s="11"/>
      <c r="CT399" s="11"/>
      <c r="DA399" s="11"/>
      <c r="DH399" s="11"/>
      <c r="DI399" s="11"/>
    </row>
    <row r="400" ht="15.75" customHeight="1">
      <c r="C400" s="8"/>
      <c r="BD400" s="11"/>
      <c r="BR400" s="11"/>
      <c r="BY400" s="11"/>
      <c r="CF400" s="11"/>
      <c r="CM400" s="11"/>
      <c r="CT400" s="11"/>
      <c r="DA400" s="11"/>
      <c r="DH400" s="11"/>
      <c r="DI400" s="11"/>
    </row>
    <row r="401" ht="15.75" customHeight="1">
      <c r="C401" s="8"/>
      <c r="BD401" s="11"/>
      <c r="BR401" s="11"/>
      <c r="BY401" s="11"/>
      <c r="CF401" s="11"/>
      <c r="CM401" s="11"/>
      <c r="CT401" s="11"/>
      <c r="DA401" s="11"/>
      <c r="DH401" s="11"/>
      <c r="DI401" s="11"/>
    </row>
    <row r="402" ht="15.75" customHeight="1">
      <c r="C402" s="8"/>
      <c r="BD402" s="11"/>
      <c r="BR402" s="11"/>
      <c r="BY402" s="11"/>
      <c r="CF402" s="11"/>
      <c r="CM402" s="11"/>
      <c r="CT402" s="11"/>
      <c r="DA402" s="11"/>
      <c r="DH402" s="11"/>
      <c r="DI402" s="11"/>
    </row>
    <row r="403" ht="15.75" customHeight="1">
      <c r="C403" s="8"/>
      <c r="BD403" s="11"/>
      <c r="BR403" s="11"/>
      <c r="BY403" s="11"/>
      <c r="CF403" s="11"/>
      <c r="CM403" s="11"/>
      <c r="CT403" s="11"/>
      <c r="DA403" s="11"/>
      <c r="DH403" s="11"/>
      <c r="DI403" s="11"/>
    </row>
    <row r="404" ht="15.75" customHeight="1">
      <c r="C404" s="8"/>
      <c r="BD404" s="11"/>
      <c r="BR404" s="11"/>
      <c r="BY404" s="11"/>
      <c r="CF404" s="11"/>
      <c r="CM404" s="11"/>
      <c r="CT404" s="11"/>
      <c r="DA404" s="11"/>
      <c r="DH404" s="11"/>
      <c r="DI404" s="11"/>
    </row>
    <row r="405" ht="15.75" customHeight="1">
      <c r="C405" s="8"/>
      <c r="BD405" s="11"/>
      <c r="BR405" s="11"/>
      <c r="BY405" s="11"/>
      <c r="CF405" s="11"/>
      <c r="CM405" s="11"/>
      <c r="CT405" s="11"/>
      <c r="DA405" s="11"/>
      <c r="DH405" s="11"/>
      <c r="DI405" s="11"/>
    </row>
    <row r="406" ht="15.75" customHeight="1">
      <c r="C406" s="8"/>
      <c r="BD406" s="11"/>
      <c r="BR406" s="11"/>
      <c r="BY406" s="11"/>
      <c r="CF406" s="11"/>
      <c r="CM406" s="11"/>
      <c r="CT406" s="11"/>
      <c r="DA406" s="11"/>
      <c r="DH406" s="11"/>
      <c r="DI406" s="11"/>
    </row>
    <row r="407" ht="15.75" customHeight="1">
      <c r="C407" s="8"/>
      <c r="BD407" s="11"/>
      <c r="BR407" s="11"/>
      <c r="BY407" s="11"/>
      <c r="CF407" s="11"/>
      <c r="CM407" s="11"/>
      <c r="CT407" s="11"/>
      <c r="DA407" s="11"/>
      <c r="DH407" s="11"/>
      <c r="DI407" s="11"/>
    </row>
    <row r="408" ht="15.75" customHeight="1">
      <c r="C408" s="8"/>
      <c r="BD408" s="11"/>
      <c r="BR408" s="11"/>
      <c r="BY408" s="11"/>
      <c r="CF408" s="11"/>
      <c r="CM408" s="11"/>
      <c r="CT408" s="11"/>
      <c r="DA408" s="11"/>
      <c r="DH408" s="11"/>
      <c r="DI408" s="11"/>
    </row>
    <row r="409" ht="15.75" customHeight="1">
      <c r="C409" s="8"/>
      <c r="BD409" s="11"/>
      <c r="BR409" s="11"/>
      <c r="BY409" s="11"/>
      <c r="CF409" s="11"/>
      <c r="CM409" s="11"/>
      <c r="CT409" s="11"/>
      <c r="DA409" s="11"/>
      <c r="DH409" s="11"/>
      <c r="DI409" s="11"/>
    </row>
    <row r="410" ht="15.75" customHeight="1">
      <c r="C410" s="8"/>
      <c r="BD410" s="11"/>
      <c r="BR410" s="11"/>
      <c r="BY410" s="11"/>
      <c r="CF410" s="11"/>
      <c r="CM410" s="11"/>
      <c r="CT410" s="11"/>
      <c r="DA410" s="11"/>
      <c r="DH410" s="11"/>
      <c r="DI410" s="11"/>
    </row>
    <row r="411" ht="15.75" customHeight="1">
      <c r="C411" s="8"/>
      <c r="BD411" s="11"/>
      <c r="BR411" s="11"/>
      <c r="BY411" s="11"/>
      <c r="CF411" s="11"/>
      <c r="CM411" s="11"/>
      <c r="CT411" s="11"/>
      <c r="DA411" s="11"/>
      <c r="DH411" s="11"/>
      <c r="DI411" s="11"/>
    </row>
    <row r="412" ht="15.75" customHeight="1">
      <c r="C412" s="8"/>
      <c r="BD412" s="11"/>
      <c r="BR412" s="11"/>
      <c r="BY412" s="11"/>
      <c r="CF412" s="11"/>
      <c r="CM412" s="11"/>
      <c r="CT412" s="11"/>
      <c r="DA412" s="11"/>
      <c r="DH412" s="11"/>
      <c r="DI412" s="11"/>
    </row>
    <row r="413" ht="15.75" customHeight="1">
      <c r="C413" s="8"/>
      <c r="BD413" s="11"/>
      <c r="BR413" s="11"/>
      <c r="BY413" s="11"/>
      <c r="CF413" s="11"/>
      <c r="CM413" s="11"/>
      <c r="CT413" s="11"/>
      <c r="DA413" s="11"/>
      <c r="DH413" s="11"/>
      <c r="DI413" s="11"/>
    </row>
    <row r="414" ht="15.75" customHeight="1">
      <c r="C414" s="8"/>
      <c r="BD414" s="11"/>
      <c r="BR414" s="11"/>
      <c r="BY414" s="11"/>
      <c r="CF414" s="11"/>
      <c r="CM414" s="11"/>
      <c r="CT414" s="11"/>
      <c r="DA414" s="11"/>
      <c r="DH414" s="11"/>
      <c r="DI414" s="11"/>
    </row>
    <row r="415" ht="15.75" customHeight="1">
      <c r="C415" s="8"/>
      <c r="BD415" s="11"/>
      <c r="BR415" s="11"/>
      <c r="BY415" s="11"/>
      <c r="CF415" s="11"/>
      <c r="CM415" s="11"/>
      <c r="CT415" s="11"/>
      <c r="DA415" s="11"/>
      <c r="DH415" s="11"/>
      <c r="DI415" s="11"/>
    </row>
    <row r="416" ht="15.75" customHeight="1">
      <c r="C416" s="8"/>
      <c r="BD416" s="11"/>
      <c r="BR416" s="11"/>
      <c r="BY416" s="11"/>
      <c r="CF416" s="11"/>
      <c r="CM416" s="11"/>
      <c r="CT416" s="11"/>
      <c r="DA416" s="11"/>
      <c r="DH416" s="11"/>
      <c r="DI416" s="11"/>
    </row>
    <row r="417" ht="15.75" customHeight="1">
      <c r="C417" s="8"/>
      <c r="BD417" s="11"/>
      <c r="BR417" s="11"/>
      <c r="BY417" s="11"/>
      <c r="CF417" s="11"/>
      <c r="CM417" s="11"/>
      <c r="CT417" s="11"/>
      <c r="DA417" s="11"/>
      <c r="DH417" s="11"/>
      <c r="DI417" s="11"/>
    </row>
    <row r="418" ht="15.75" customHeight="1">
      <c r="C418" s="8"/>
      <c r="BD418" s="11"/>
      <c r="BR418" s="11"/>
      <c r="BY418" s="11"/>
      <c r="CF418" s="11"/>
      <c r="CM418" s="11"/>
      <c r="CT418" s="11"/>
      <c r="DA418" s="11"/>
      <c r="DH418" s="11"/>
      <c r="DI418" s="11"/>
    </row>
    <row r="419" ht="15.75" customHeight="1">
      <c r="C419" s="8"/>
      <c r="BD419" s="11"/>
      <c r="BR419" s="11"/>
      <c r="BY419" s="11"/>
      <c r="CF419" s="11"/>
      <c r="CM419" s="11"/>
      <c r="CT419" s="11"/>
      <c r="DA419" s="11"/>
      <c r="DH419" s="11"/>
      <c r="DI419" s="11"/>
    </row>
    <row r="420" ht="15.75" customHeight="1">
      <c r="C420" s="8"/>
      <c r="BD420" s="11"/>
      <c r="BR420" s="11"/>
      <c r="BY420" s="11"/>
      <c r="CF420" s="11"/>
      <c r="CM420" s="11"/>
      <c r="CT420" s="11"/>
      <c r="DA420" s="11"/>
      <c r="DH420" s="11"/>
      <c r="DI420" s="11"/>
    </row>
    <row r="421" ht="15.75" customHeight="1">
      <c r="C421" s="8"/>
      <c r="BD421" s="11"/>
      <c r="BR421" s="11"/>
      <c r="BY421" s="11"/>
      <c r="CF421" s="11"/>
      <c r="CM421" s="11"/>
      <c r="CT421" s="11"/>
      <c r="DA421" s="11"/>
      <c r="DH421" s="11"/>
      <c r="DI421" s="11"/>
    </row>
    <row r="422" ht="15.75" customHeight="1">
      <c r="C422" s="8"/>
      <c r="BD422" s="11"/>
      <c r="BR422" s="11"/>
      <c r="BY422" s="11"/>
      <c r="CF422" s="11"/>
      <c r="CM422" s="11"/>
      <c r="CT422" s="11"/>
      <c r="DA422" s="11"/>
      <c r="DH422" s="11"/>
      <c r="DI422" s="11"/>
    </row>
    <row r="423" ht="15.75" customHeight="1">
      <c r="C423" s="8"/>
      <c r="BD423" s="11"/>
      <c r="BR423" s="11"/>
      <c r="BY423" s="11"/>
      <c r="CF423" s="11"/>
      <c r="CM423" s="11"/>
      <c r="CT423" s="11"/>
      <c r="DA423" s="11"/>
      <c r="DH423" s="11"/>
      <c r="DI423" s="11"/>
    </row>
    <row r="424" ht="15.75" customHeight="1">
      <c r="C424" s="8"/>
      <c r="BD424" s="11"/>
      <c r="BR424" s="11"/>
      <c r="BY424" s="11"/>
      <c r="CF424" s="11"/>
      <c r="CM424" s="11"/>
      <c r="CT424" s="11"/>
      <c r="DA424" s="11"/>
      <c r="DH424" s="11"/>
      <c r="DI424" s="11"/>
    </row>
    <row r="425" ht="15.75" customHeight="1">
      <c r="C425" s="8"/>
      <c r="BD425" s="11"/>
      <c r="BR425" s="11"/>
      <c r="BY425" s="11"/>
      <c r="CF425" s="11"/>
      <c r="CM425" s="11"/>
      <c r="CT425" s="11"/>
      <c r="DA425" s="11"/>
      <c r="DH425" s="11"/>
      <c r="DI425" s="11"/>
    </row>
    <row r="426" ht="15.75" customHeight="1">
      <c r="C426" s="8"/>
      <c r="BD426" s="11"/>
      <c r="BR426" s="11"/>
      <c r="BY426" s="11"/>
      <c r="CF426" s="11"/>
      <c r="CM426" s="11"/>
      <c r="CT426" s="11"/>
      <c r="DA426" s="11"/>
      <c r="DH426" s="11"/>
      <c r="DI426" s="11"/>
    </row>
    <row r="427" ht="15.75" customHeight="1">
      <c r="C427" s="8"/>
      <c r="BD427" s="11"/>
      <c r="BR427" s="11"/>
      <c r="BY427" s="11"/>
      <c r="CF427" s="11"/>
      <c r="CM427" s="11"/>
      <c r="CT427" s="11"/>
      <c r="DA427" s="11"/>
      <c r="DH427" s="11"/>
      <c r="DI427" s="11"/>
    </row>
    <row r="428" ht="15.75" customHeight="1">
      <c r="C428" s="8"/>
      <c r="BD428" s="11"/>
      <c r="BR428" s="11"/>
      <c r="BY428" s="11"/>
      <c r="CF428" s="11"/>
      <c r="CM428" s="11"/>
      <c r="CT428" s="11"/>
      <c r="DA428" s="11"/>
      <c r="DH428" s="11"/>
      <c r="DI428" s="11"/>
    </row>
    <row r="429" ht="15.75" customHeight="1">
      <c r="C429" s="8"/>
      <c r="BD429" s="11"/>
      <c r="BR429" s="11"/>
      <c r="BY429" s="11"/>
      <c r="CF429" s="11"/>
      <c r="CM429" s="11"/>
      <c r="CT429" s="11"/>
      <c r="DA429" s="11"/>
      <c r="DH429" s="11"/>
      <c r="DI429" s="11"/>
    </row>
    <row r="430" ht="15.75" customHeight="1">
      <c r="C430" s="8"/>
      <c r="BD430" s="11"/>
      <c r="BR430" s="11"/>
      <c r="BY430" s="11"/>
      <c r="CF430" s="11"/>
      <c r="CM430" s="11"/>
      <c r="CT430" s="11"/>
      <c r="DA430" s="11"/>
      <c r="DH430" s="11"/>
      <c r="DI430" s="11"/>
    </row>
    <row r="431" ht="15.75" customHeight="1">
      <c r="C431" s="8"/>
      <c r="BD431" s="11"/>
      <c r="BR431" s="11"/>
      <c r="BY431" s="11"/>
      <c r="CF431" s="11"/>
      <c r="CM431" s="11"/>
      <c r="CT431" s="11"/>
      <c r="DA431" s="11"/>
      <c r="DH431" s="11"/>
      <c r="DI431" s="11"/>
    </row>
    <row r="432" ht="15.75" customHeight="1">
      <c r="C432" s="8"/>
      <c r="BD432" s="11"/>
      <c r="BR432" s="11"/>
      <c r="BY432" s="11"/>
      <c r="CF432" s="11"/>
      <c r="CM432" s="11"/>
      <c r="CT432" s="11"/>
      <c r="DA432" s="11"/>
      <c r="DH432" s="11"/>
      <c r="DI432" s="11"/>
    </row>
    <row r="433" ht="15.75" customHeight="1">
      <c r="C433" s="8"/>
      <c r="BD433" s="11"/>
      <c r="BR433" s="11"/>
      <c r="BY433" s="11"/>
      <c r="CF433" s="11"/>
      <c r="CM433" s="11"/>
      <c r="CT433" s="11"/>
      <c r="DA433" s="11"/>
      <c r="DH433" s="11"/>
      <c r="DI433" s="11"/>
    </row>
    <row r="434" ht="15.75" customHeight="1">
      <c r="C434" s="8"/>
      <c r="BD434" s="11"/>
      <c r="BR434" s="11"/>
      <c r="BY434" s="11"/>
      <c r="CF434" s="11"/>
      <c r="CM434" s="11"/>
      <c r="CT434" s="11"/>
      <c r="DA434" s="11"/>
      <c r="DH434" s="11"/>
      <c r="DI434" s="11"/>
    </row>
    <row r="435" ht="15.75" customHeight="1">
      <c r="C435" s="8"/>
      <c r="BD435" s="11"/>
      <c r="BR435" s="11"/>
      <c r="BY435" s="11"/>
      <c r="CF435" s="11"/>
      <c r="CM435" s="11"/>
      <c r="CT435" s="11"/>
      <c r="DA435" s="11"/>
      <c r="DH435" s="11"/>
      <c r="DI435" s="11"/>
    </row>
    <row r="436" ht="15.75" customHeight="1">
      <c r="C436" s="8"/>
      <c r="BD436" s="11"/>
      <c r="BR436" s="11"/>
      <c r="BY436" s="11"/>
      <c r="CF436" s="11"/>
      <c r="CM436" s="11"/>
      <c r="CT436" s="11"/>
      <c r="DA436" s="11"/>
      <c r="DH436" s="11"/>
      <c r="DI436" s="11"/>
    </row>
    <row r="437" ht="15.75" customHeight="1">
      <c r="C437" s="8"/>
      <c r="BD437" s="11"/>
      <c r="BR437" s="11"/>
      <c r="BY437" s="11"/>
      <c r="CF437" s="11"/>
      <c r="CM437" s="11"/>
      <c r="CT437" s="11"/>
      <c r="DA437" s="11"/>
      <c r="DH437" s="11"/>
      <c r="DI437" s="11"/>
    </row>
    <row r="438" ht="15.75" customHeight="1">
      <c r="C438" s="8"/>
      <c r="BD438" s="11"/>
      <c r="BR438" s="11"/>
      <c r="BY438" s="11"/>
      <c r="CF438" s="11"/>
      <c r="CM438" s="11"/>
      <c r="CT438" s="11"/>
      <c r="DA438" s="11"/>
      <c r="DH438" s="11"/>
      <c r="DI438" s="11"/>
    </row>
    <row r="439" ht="15.75" customHeight="1">
      <c r="C439" s="8"/>
      <c r="BD439" s="11"/>
      <c r="BR439" s="11"/>
      <c r="BY439" s="11"/>
      <c r="CF439" s="11"/>
      <c r="CM439" s="11"/>
      <c r="CT439" s="11"/>
      <c r="DA439" s="11"/>
      <c r="DH439" s="11"/>
      <c r="DI439" s="11"/>
    </row>
    <row r="440" ht="15.75" customHeight="1">
      <c r="C440" s="8"/>
      <c r="BD440" s="11"/>
      <c r="BR440" s="11"/>
      <c r="BY440" s="11"/>
      <c r="CF440" s="11"/>
      <c r="CM440" s="11"/>
      <c r="CT440" s="11"/>
      <c r="DA440" s="11"/>
      <c r="DH440" s="11"/>
      <c r="DI440" s="11"/>
    </row>
    <row r="441" ht="15.75" customHeight="1">
      <c r="C441" s="8"/>
      <c r="BD441" s="11"/>
      <c r="BR441" s="11"/>
      <c r="BY441" s="11"/>
      <c r="CF441" s="11"/>
      <c r="CM441" s="11"/>
      <c r="CT441" s="11"/>
      <c r="DA441" s="11"/>
      <c r="DH441" s="11"/>
      <c r="DI441" s="11"/>
    </row>
    <row r="442" ht="15.75" customHeight="1">
      <c r="C442" s="8"/>
      <c r="BD442" s="11"/>
      <c r="BR442" s="11"/>
      <c r="BY442" s="11"/>
      <c r="CF442" s="11"/>
      <c r="CM442" s="11"/>
      <c r="CT442" s="11"/>
      <c r="DA442" s="11"/>
      <c r="DH442" s="11"/>
      <c r="DI442" s="11"/>
    </row>
    <row r="443" ht="15.75" customHeight="1">
      <c r="C443" s="8"/>
      <c r="BD443" s="11"/>
      <c r="BR443" s="11"/>
      <c r="BY443" s="11"/>
      <c r="CF443" s="11"/>
      <c r="CM443" s="11"/>
      <c r="CT443" s="11"/>
      <c r="DA443" s="11"/>
      <c r="DH443" s="11"/>
      <c r="DI443" s="11"/>
    </row>
    <row r="444" ht="15.75" customHeight="1">
      <c r="C444" s="8"/>
      <c r="BD444" s="11"/>
      <c r="BR444" s="11"/>
      <c r="BY444" s="11"/>
      <c r="CF444" s="11"/>
      <c r="CM444" s="11"/>
      <c r="CT444" s="11"/>
      <c r="DA444" s="11"/>
      <c r="DH444" s="11"/>
      <c r="DI444" s="11"/>
    </row>
    <row r="445" ht="15.75" customHeight="1">
      <c r="C445" s="8"/>
      <c r="BD445" s="11"/>
      <c r="BR445" s="11"/>
      <c r="BY445" s="11"/>
      <c r="CF445" s="11"/>
      <c r="CM445" s="11"/>
      <c r="CT445" s="11"/>
      <c r="DA445" s="11"/>
      <c r="DH445" s="11"/>
      <c r="DI445" s="11"/>
    </row>
    <row r="446" ht="15.75" customHeight="1">
      <c r="C446" s="8"/>
      <c r="BD446" s="11"/>
      <c r="BR446" s="11"/>
      <c r="BY446" s="11"/>
      <c r="CF446" s="11"/>
      <c r="CM446" s="11"/>
      <c r="CT446" s="11"/>
      <c r="DA446" s="11"/>
      <c r="DH446" s="11"/>
      <c r="DI446" s="11"/>
    </row>
    <row r="447" ht="15.75" customHeight="1">
      <c r="C447" s="8"/>
      <c r="BD447" s="11"/>
      <c r="BR447" s="11"/>
      <c r="BY447" s="11"/>
      <c r="CF447" s="11"/>
      <c r="CM447" s="11"/>
      <c r="CT447" s="11"/>
      <c r="DA447" s="11"/>
      <c r="DH447" s="11"/>
      <c r="DI447" s="11"/>
    </row>
    <row r="448" ht="15.75" customHeight="1">
      <c r="C448" s="8"/>
      <c r="BD448" s="11"/>
      <c r="BR448" s="11"/>
      <c r="BY448" s="11"/>
      <c r="CF448" s="11"/>
      <c r="CM448" s="11"/>
      <c r="CT448" s="11"/>
      <c r="DA448" s="11"/>
      <c r="DH448" s="11"/>
      <c r="DI448" s="11"/>
    </row>
    <row r="449" ht="15.75" customHeight="1">
      <c r="C449" s="8"/>
      <c r="BD449" s="11"/>
      <c r="BR449" s="11"/>
      <c r="BY449" s="11"/>
      <c r="CF449" s="11"/>
      <c r="CM449" s="11"/>
      <c r="CT449" s="11"/>
      <c r="DA449" s="11"/>
      <c r="DH449" s="11"/>
      <c r="DI449" s="11"/>
    </row>
    <row r="450" ht="15.75" customHeight="1">
      <c r="C450" s="8"/>
      <c r="BD450" s="11"/>
      <c r="BR450" s="11"/>
      <c r="BY450" s="11"/>
      <c r="CF450" s="11"/>
      <c r="CM450" s="11"/>
      <c r="CT450" s="11"/>
      <c r="DA450" s="11"/>
      <c r="DH450" s="11"/>
      <c r="DI450" s="11"/>
    </row>
    <row r="451" ht="15.75" customHeight="1">
      <c r="C451" s="8"/>
      <c r="BD451" s="11"/>
      <c r="BR451" s="11"/>
      <c r="BY451" s="11"/>
      <c r="CF451" s="11"/>
      <c r="CM451" s="11"/>
      <c r="CT451" s="11"/>
      <c r="DA451" s="11"/>
      <c r="DH451" s="11"/>
      <c r="DI451" s="11"/>
    </row>
    <row r="452" ht="15.75" customHeight="1">
      <c r="C452" s="8"/>
      <c r="BD452" s="11"/>
      <c r="BR452" s="11"/>
      <c r="BY452" s="11"/>
      <c r="CF452" s="11"/>
      <c r="CM452" s="11"/>
      <c r="CT452" s="11"/>
      <c r="DA452" s="11"/>
      <c r="DH452" s="11"/>
      <c r="DI452" s="11"/>
    </row>
    <row r="453" ht="15.75" customHeight="1">
      <c r="C453" s="8"/>
      <c r="BD453" s="11"/>
      <c r="BR453" s="11"/>
      <c r="BY453" s="11"/>
      <c r="CF453" s="11"/>
      <c r="CM453" s="11"/>
      <c r="CT453" s="11"/>
      <c r="DA453" s="11"/>
      <c r="DH453" s="11"/>
      <c r="DI453" s="11"/>
    </row>
    <row r="454" ht="15.75" customHeight="1">
      <c r="C454" s="8"/>
      <c r="BD454" s="11"/>
      <c r="BR454" s="11"/>
      <c r="BY454" s="11"/>
      <c r="CF454" s="11"/>
      <c r="CM454" s="11"/>
      <c r="CT454" s="11"/>
      <c r="DA454" s="11"/>
      <c r="DH454" s="11"/>
      <c r="DI454" s="11"/>
    </row>
    <row r="455" ht="15.75" customHeight="1">
      <c r="C455" s="8"/>
      <c r="BD455" s="11"/>
      <c r="BR455" s="11"/>
      <c r="BY455" s="11"/>
      <c r="CF455" s="11"/>
      <c r="CM455" s="11"/>
      <c r="CT455" s="11"/>
      <c r="DA455" s="11"/>
      <c r="DH455" s="11"/>
      <c r="DI455" s="11"/>
    </row>
    <row r="456" ht="15.75" customHeight="1">
      <c r="C456" s="8"/>
      <c r="BD456" s="11"/>
      <c r="BR456" s="11"/>
      <c r="BY456" s="11"/>
      <c r="CF456" s="11"/>
      <c r="CM456" s="11"/>
      <c r="CT456" s="11"/>
      <c r="DA456" s="11"/>
      <c r="DH456" s="11"/>
      <c r="DI456" s="11"/>
    </row>
    <row r="457" ht="15.75" customHeight="1">
      <c r="C457" s="8"/>
      <c r="BD457" s="11"/>
      <c r="BR457" s="11"/>
      <c r="BY457" s="11"/>
      <c r="CF457" s="11"/>
      <c r="CM457" s="11"/>
      <c r="CT457" s="11"/>
      <c r="DA457" s="11"/>
      <c r="DH457" s="11"/>
      <c r="DI457" s="11"/>
    </row>
    <row r="458" ht="15.75" customHeight="1">
      <c r="C458" s="8"/>
      <c r="BD458" s="11"/>
      <c r="BR458" s="11"/>
      <c r="BY458" s="11"/>
      <c r="CF458" s="11"/>
      <c r="CM458" s="11"/>
      <c r="CT458" s="11"/>
      <c r="DA458" s="11"/>
      <c r="DH458" s="11"/>
      <c r="DI458" s="11"/>
    </row>
    <row r="459" ht="15.75" customHeight="1">
      <c r="C459" s="8"/>
      <c r="BD459" s="11"/>
      <c r="BR459" s="11"/>
      <c r="BY459" s="11"/>
      <c r="CF459" s="11"/>
      <c r="CM459" s="11"/>
      <c r="CT459" s="11"/>
      <c r="DA459" s="11"/>
      <c r="DH459" s="11"/>
      <c r="DI459" s="11"/>
    </row>
    <row r="460" ht="15.75" customHeight="1">
      <c r="C460" s="8"/>
      <c r="BD460" s="11"/>
      <c r="BR460" s="11"/>
      <c r="BY460" s="11"/>
      <c r="CF460" s="11"/>
      <c r="CM460" s="11"/>
      <c r="CT460" s="11"/>
      <c r="DA460" s="11"/>
      <c r="DH460" s="11"/>
      <c r="DI460" s="11"/>
    </row>
    <row r="461" ht="15.75" customHeight="1">
      <c r="C461" s="8"/>
      <c r="BD461" s="11"/>
      <c r="BR461" s="11"/>
      <c r="BY461" s="11"/>
      <c r="CF461" s="11"/>
      <c r="CM461" s="11"/>
      <c r="CT461" s="11"/>
      <c r="DA461" s="11"/>
      <c r="DH461" s="11"/>
      <c r="DI461" s="11"/>
    </row>
    <row r="462" ht="15.75" customHeight="1">
      <c r="C462" s="8"/>
      <c r="BD462" s="11"/>
      <c r="BR462" s="11"/>
      <c r="BY462" s="11"/>
      <c r="CF462" s="11"/>
      <c r="CM462" s="11"/>
      <c r="CT462" s="11"/>
      <c r="DA462" s="11"/>
      <c r="DH462" s="11"/>
      <c r="DI462" s="11"/>
    </row>
    <row r="463" ht="15.75" customHeight="1">
      <c r="C463" s="8"/>
      <c r="BD463" s="11"/>
      <c r="BR463" s="11"/>
      <c r="BY463" s="11"/>
      <c r="CF463" s="11"/>
      <c r="CM463" s="11"/>
      <c r="CT463" s="11"/>
      <c r="DA463" s="11"/>
      <c r="DH463" s="11"/>
      <c r="DI463" s="11"/>
    </row>
    <row r="464" ht="15.75" customHeight="1">
      <c r="C464" s="8"/>
      <c r="BD464" s="11"/>
      <c r="BR464" s="11"/>
      <c r="BY464" s="11"/>
      <c r="CF464" s="11"/>
      <c r="CM464" s="11"/>
      <c r="CT464" s="11"/>
      <c r="DA464" s="11"/>
      <c r="DH464" s="11"/>
      <c r="DI464" s="11"/>
    </row>
    <row r="465" ht="15.75" customHeight="1">
      <c r="C465" s="8"/>
      <c r="BD465" s="11"/>
      <c r="BR465" s="11"/>
      <c r="BY465" s="11"/>
      <c r="CF465" s="11"/>
      <c r="CM465" s="11"/>
      <c r="CT465" s="11"/>
      <c r="DA465" s="11"/>
      <c r="DH465" s="11"/>
      <c r="DI465" s="11"/>
    </row>
    <row r="466" ht="15.75" customHeight="1">
      <c r="C466" s="8"/>
      <c r="BD466" s="11"/>
      <c r="BR466" s="11"/>
      <c r="BY466" s="11"/>
      <c r="CF466" s="11"/>
      <c r="CM466" s="11"/>
      <c r="CT466" s="11"/>
      <c r="DA466" s="11"/>
      <c r="DH466" s="11"/>
      <c r="DI466" s="11"/>
    </row>
    <row r="467" ht="15.75" customHeight="1">
      <c r="C467" s="8"/>
      <c r="BD467" s="11"/>
      <c r="BR467" s="11"/>
      <c r="BY467" s="11"/>
      <c r="CF467" s="11"/>
      <c r="CM467" s="11"/>
      <c r="CT467" s="11"/>
      <c r="DA467" s="11"/>
      <c r="DH467" s="11"/>
      <c r="DI467" s="11"/>
    </row>
    <row r="468" ht="15.75" customHeight="1">
      <c r="C468" s="8"/>
      <c r="BD468" s="11"/>
      <c r="BR468" s="11"/>
      <c r="BY468" s="11"/>
      <c r="CF468" s="11"/>
      <c r="CM468" s="11"/>
      <c r="CT468" s="11"/>
      <c r="DA468" s="11"/>
      <c r="DH468" s="11"/>
      <c r="DI468" s="11"/>
    </row>
    <row r="469" ht="15.75" customHeight="1">
      <c r="C469" s="8"/>
      <c r="BD469" s="11"/>
      <c r="BR469" s="11"/>
      <c r="BY469" s="11"/>
      <c r="CF469" s="11"/>
      <c r="CM469" s="11"/>
      <c r="CT469" s="11"/>
      <c r="DA469" s="11"/>
      <c r="DH469" s="11"/>
      <c r="DI469" s="11"/>
    </row>
    <row r="470" ht="15.75" customHeight="1">
      <c r="C470" s="8"/>
      <c r="BD470" s="11"/>
      <c r="BR470" s="11"/>
      <c r="BY470" s="11"/>
      <c r="CF470" s="11"/>
      <c r="CM470" s="11"/>
      <c r="CT470" s="11"/>
      <c r="DA470" s="11"/>
      <c r="DH470" s="11"/>
      <c r="DI470" s="11"/>
    </row>
    <row r="471" ht="15.75" customHeight="1">
      <c r="C471" s="8"/>
      <c r="BD471" s="11"/>
      <c r="BR471" s="11"/>
      <c r="BY471" s="11"/>
      <c r="CF471" s="11"/>
      <c r="CM471" s="11"/>
      <c r="CT471" s="11"/>
      <c r="DA471" s="11"/>
      <c r="DH471" s="11"/>
      <c r="DI471" s="11"/>
    </row>
    <row r="472" ht="15.75" customHeight="1">
      <c r="C472" s="8"/>
      <c r="BD472" s="11"/>
      <c r="BR472" s="11"/>
      <c r="BY472" s="11"/>
      <c r="CF472" s="11"/>
      <c r="CM472" s="11"/>
      <c r="CT472" s="11"/>
      <c r="DA472" s="11"/>
      <c r="DH472" s="11"/>
      <c r="DI472" s="11"/>
    </row>
    <row r="473" ht="15.75" customHeight="1">
      <c r="C473" s="8"/>
      <c r="BD473" s="11"/>
      <c r="BR473" s="11"/>
      <c r="BY473" s="11"/>
      <c r="CF473" s="11"/>
      <c r="CM473" s="11"/>
      <c r="CT473" s="11"/>
      <c r="DA473" s="11"/>
      <c r="DH473" s="11"/>
      <c r="DI473" s="11"/>
    </row>
    <row r="474" ht="15.75" customHeight="1">
      <c r="C474" s="8"/>
      <c r="BD474" s="11"/>
      <c r="BR474" s="11"/>
      <c r="BY474" s="11"/>
      <c r="CF474" s="11"/>
      <c r="CM474" s="11"/>
      <c r="CT474" s="11"/>
      <c r="DA474" s="11"/>
      <c r="DH474" s="11"/>
      <c r="DI474" s="11"/>
    </row>
    <row r="475" ht="15.75" customHeight="1">
      <c r="C475" s="8"/>
      <c r="BD475" s="11"/>
      <c r="BR475" s="11"/>
      <c r="BY475" s="11"/>
      <c r="CF475" s="11"/>
      <c r="CM475" s="11"/>
      <c r="CT475" s="11"/>
      <c r="DA475" s="11"/>
      <c r="DH475" s="11"/>
      <c r="DI475" s="11"/>
    </row>
    <row r="476" ht="15.75" customHeight="1">
      <c r="C476" s="8"/>
      <c r="BD476" s="11"/>
      <c r="BR476" s="11"/>
      <c r="BY476" s="11"/>
      <c r="CF476" s="11"/>
      <c r="CM476" s="11"/>
      <c r="CT476" s="11"/>
      <c r="DA476" s="11"/>
      <c r="DH476" s="11"/>
      <c r="DI476" s="11"/>
    </row>
    <row r="477" ht="15.75" customHeight="1">
      <c r="C477" s="8"/>
      <c r="BD477" s="11"/>
      <c r="BR477" s="11"/>
      <c r="BY477" s="11"/>
      <c r="CF477" s="11"/>
      <c r="CM477" s="11"/>
      <c r="CT477" s="11"/>
      <c r="DA477" s="11"/>
      <c r="DH477" s="11"/>
      <c r="DI477" s="11"/>
    </row>
    <row r="478" ht="15.75" customHeight="1">
      <c r="C478" s="8"/>
      <c r="BD478" s="11"/>
      <c r="BR478" s="11"/>
      <c r="BY478" s="11"/>
      <c r="CF478" s="11"/>
      <c r="CM478" s="11"/>
      <c r="CT478" s="11"/>
      <c r="DA478" s="11"/>
      <c r="DH478" s="11"/>
      <c r="DI478" s="11"/>
    </row>
    <row r="479" ht="15.75" customHeight="1">
      <c r="C479" s="8"/>
      <c r="BD479" s="11"/>
      <c r="BR479" s="11"/>
      <c r="BY479" s="11"/>
      <c r="CF479" s="11"/>
      <c r="CM479" s="11"/>
      <c r="CT479" s="11"/>
      <c r="DA479" s="11"/>
      <c r="DH479" s="11"/>
      <c r="DI479" s="11"/>
    </row>
    <row r="480" ht="15.75" customHeight="1">
      <c r="C480" s="8"/>
      <c r="BD480" s="11"/>
      <c r="BR480" s="11"/>
      <c r="BY480" s="11"/>
      <c r="CF480" s="11"/>
      <c r="CM480" s="11"/>
      <c r="CT480" s="11"/>
      <c r="DA480" s="11"/>
      <c r="DH480" s="11"/>
      <c r="DI480" s="11"/>
    </row>
    <row r="481" ht="15.75" customHeight="1">
      <c r="C481" s="8"/>
      <c r="BD481" s="11"/>
      <c r="BR481" s="11"/>
      <c r="BY481" s="11"/>
      <c r="CF481" s="11"/>
      <c r="CM481" s="11"/>
      <c r="CT481" s="11"/>
      <c r="DA481" s="11"/>
      <c r="DH481" s="11"/>
      <c r="DI481" s="11"/>
    </row>
    <row r="482" ht="15.75" customHeight="1">
      <c r="C482" s="8"/>
      <c r="BD482" s="11"/>
      <c r="BR482" s="11"/>
      <c r="BY482" s="11"/>
      <c r="CF482" s="11"/>
      <c r="CM482" s="11"/>
      <c r="CT482" s="11"/>
      <c r="DA482" s="11"/>
      <c r="DH482" s="11"/>
      <c r="DI482" s="11"/>
    </row>
    <row r="483" ht="15.75" customHeight="1">
      <c r="C483" s="8"/>
      <c r="BD483" s="11"/>
      <c r="BR483" s="11"/>
      <c r="BY483" s="11"/>
      <c r="CF483" s="11"/>
      <c r="CM483" s="11"/>
      <c r="CT483" s="11"/>
      <c r="DA483" s="11"/>
      <c r="DH483" s="11"/>
      <c r="DI483" s="11"/>
    </row>
    <row r="484" ht="15.75" customHeight="1">
      <c r="C484" s="8"/>
      <c r="BD484" s="11"/>
      <c r="BR484" s="11"/>
      <c r="BY484" s="11"/>
      <c r="CF484" s="11"/>
      <c r="CM484" s="11"/>
      <c r="CT484" s="11"/>
      <c r="DA484" s="11"/>
      <c r="DH484" s="11"/>
      <c r="DI484" s="11"/>
    </row>
    <row r="485" ht="15.75" customHeight="1">
      <c r="C485" s="8"/>
      <c r="BD485" s="11"/>
      <c r="BR485" s="11"/>
      <c r="BY485" s="11"/>
      <c r="CF485" s="11"/>
      <c r="CM485" s="11"/>
      <c r="CT485" s="11"/>
      <c r="DA485" s="11"/>
      <c r="DH485" s="11"/>
      <c r="DI485" s="11"/>
    </row>
    <row r="486" ht="15.75" customHeight="1">
      <c r="C486" s="8"/>
      <c r="BD486" s="11"/>
      <c r="BR486" s="11"/>
      <c r="BY486" s="11"/>
      <c r="CF486" s="11"/>
      <c r="CM486" s="11"/>
      <c r="CT486" s="11"/>
      <c r="DA486" s="11"/>
      <c r="DH486" s="11"/>
      <c r="DI486" s="11"/>
    </row>
    <row r="487" ht="15.75" customHeight="1">
      <c r="C487" s="8"/>
      <c r="BD487" s="11"/>
      <c r="BR487" s="11"/>
      <c r="BY487" s="11"/>
      <c r="CF487" s="11"/>
      <c r="CM487" s="11"/>
      <c r="CT487" s="11"/>
      <c r="DA487" s="11"/>
      <c r="DH487" s="11"/>
      <c r="DI487" s="11"/>
    </row>
    <row r="488" ht="15.75" customHeight="1">
      <c r="C488" s="8"/>
      <c r="BD488" s="11"/>
      <c r="BR488" s="11"/>
      <c r="BY488" s="11"/>
      <c r="CF488" s="11"/>
      <c r="CM488" s="11"/>
      <c r="CT488" s="11"/>
      <c r="DA488" s="11"/>
      <c r="DH488" s="11"/>
      <c r="DI488" s="11"/>
    </row>
    <row r="489" ht="15.75" customHeight="1">
      <c r="C489" s="8"/>
      <c r="BD489" s="11"/>
      <c r="BR489" s="11"/>
      <c r="BY489" s="11"/>
      <c r="CF489" s="11"/>
      <c r="CM489" s="11"/>
      <c r="CT489" s="11"/>
      <c r="DA489" s="11"/>
      <c r="DH489" s="11"/>
      <c r="DI489" s="11"/>
    </row>
    <row r="490" ht="15.75" customHeight="1">
      <c r="C490" s="8"/>
      <c r="BD490" s="11"/>
      <c r="BR490" s="11"/>
      <c r="BY490" s="11"/>
      <c r="CF490" s="11"/>
      <c r="CM490" s="11"/>
      <c r="CT490" s="11"/>
      <c r="DA490" s="11"/>
      <c r="DH490" s="11"/>
      <c r="DI490" s="11"/>
    </row>
    <row r="491" ht="15.75" customHeight="1">
      <c r="C491" s="8"/>
      <c r="BD491" s="11"/>
      <c r="BR491" s="11"/>
      <c r="BY491" s="11"/>
      <c r="CF491" s="11"/>
      <c r="CM491" s="11"/>
      <c r="CT491" s="11"/>
      <c r="DA491" s="11"/>
      <c r="DH491" s="11"/>
      <c r="DI491" s="11"/>
    </row>
    <row r="492" ht="15.75" customHeight="1">
      <c r="C492" s="8"/>
      <c r="BD492" s="11"/>
      <c r="BR492" s="11"/>
      <c r="BY492" s="11"/>
      <c r="CF492" s="11"/>
      <c r="CM492" s="11"/>
      <c r="CT492" s="11"/>
      <c r="DA492" s="11"/>
      <c r="DH492" s="11"/>
      <c r="DI492" s="11"/>
    </row>
    <row r="493" ht="15.75" customHeight="1">
      <c r="C493" s="8"/>
      <c r="BD493" s="11"/>
      <c r="BR493" s="11"/>
      <c r="BY493" s="11"/>
      <c r="CF493" s="11"/>
      <c r="CM493" s="11"/>
      <c r="CT493" s="11"/>
      <c r="DA493" s="11"/>
      <c r="DH493" s="11"/>
      <c r="DI493" s="11"/>
    </row>
    <row r="494" ht="15.75" customHeight="1">
      <c r="C494" s="8"/>
      <c r="BD494" s="11"/>
      <c r="BR494" s="11"/>
      <c r="BY494" s="11"/>
      <c r="CF494" s="11"/>
      <c r="CM494" s="11"/>
      <c r="CT494" s="11"/>
      <c r="DA494" s="11"/>
      <c r="DH494" s="11"/>
      <c r="DI494" s="11"/>
    </row>
    <row r="495" ht="15.75" customHeight="1">
      <c r="C495" s="8"/>
      <c r="BD495" s="11"/>
      <c r="BR495" s="11"/>
      <c r="BY495" s="11"/>
      <c r="CF495" s="11"/>
      <c r="CM495" s="11"/>
      <c r="CT495" s="11"/>
      <c r="DA495" s="11"/>
      <c r="DH495" s="11"/>
      <c r="DI495" s="11"/>
    </row>
    <row r="496" ht="15.75" customHeight="1">
      <c r="C496" s="8"/>
      <c r="BD496" s="11"/>
      <c r="BR496" s="11"/>
      <c r="BY496" s="11"/>
      <c r="CF496" s="11"/>
      <c r="CM496" s="11"/>
      <c r="CT496" s="11"/>
      <c r="DA496" s="11"/>
      <c r="DH496" s="11"/>
      <c r="DI496" s="11"/>
    </row>
    <row r="497" ht="15.75" customHeight="1">
      <c r="C497" s="8"/>
      <c r="BD497" s="11"/>
      <c r="BR497" s="11"/>
      <c r="BY497" s="11"/>
      <c r="CF497" s="11"/>
      <c r="CM497" s="11"/>
      <c r="CT497" s="11"/>
      <c r="DA497" s="11"/>
      <c r="DH497" s="11"/>
      <c r="DI497" s="11"/>
    </row>
    <row r="498" ht="15.75" customHeight="1">
      <c r="C498" s="8"/>
      <c r="BD498" s="11"/>
      <c r="BR498" s="11"/>
      <c r="BY498" s="11"/>
      <c r="CF498" s="11"/>
      <c r="CM498" s="11"/>
      <c r="CT498" s="11"/>
      <c r="DA498" s="11"/>
      <c r="DH498" s="11"/>
      <c r="DI498" s="11"/>
    </row>
    <row r="499" ht="15.75" customHeight="1">
      <c r="C499" s="8"/>
      <c r="BD499" s="11"/>
      <c r="BR499" s="11"/>
      <c r="BY499" s="11"/>
      <c r="CF499" s="11"/>
      <c r="CM499" s="11"/>
      <c r="CT499" s="11"/>
      <c r="DA499" s="11"/>
      <c r="DH499" s="11"/>
      <c r="DI499" s="11"/>
    </row>
    <row r="500" ht="15.75" customHeight="1">
      <c r="C500" s="8"/>
      <c r="BD500" s="11"/>
      <c r="BR500" s="11"/>
      <c r="BY500" s="11"/>
      <c r="CF500" s="11"/>
      <c r="CM500" s="11"/>
      <c r="CT500" s="11"/>
      <c r="DA500" s="11"/>
      <c r="DH500" s="11"/>
      <c r="DI500" s="11"/>
    </row>
    <row r="501" ht="15.75" customHeight="1">
      <c r="C501" s="8"/>
      <c r="BD501" s="11"/>
      <c r="BR501" s="11"/>
      <c r="BY501" s="11"/>
      <c r="CF501" s="11"/>
      <c r="CM501" s="11"/>
      <c r="CT501" s="11"/>
      <c r="DA501" s="11"/>
      <c r="DH501" s="11"/>
      <c r="DI501" s="11"/>
    </row>
    <row r="502" ht="15.75" customHeight="1">
      <c r="C502" s="8"/>
      <c r="BD502" s="11"/>
      <c r="BR502" s="11"/>
      <c r="BY502" s="11"/>
      <c r="CF502" s="11"/>
      <c r="CM502" s="11"/>
      <c r="CT502" s="11"/>
      <c r="DA502" s="11"/>
      <c r="DH502" s="11"/>
      <c r="DI502" s="11"/>
    </row>
    <row r="503" ht="15.75" customHeight="1">
      <c r="C503" s="8"/>
      <c r="BD503" s="11"/>
      <c r="BR503" s="11"/>
      <c r="BY503" s="11"/>
      <c r="CF503" s="11"/>
      <c r="CM503" s="11"/>
      <c r="CT503" s="11"/>
      <c r="DA503" s="11"/>
      <c r="DH503" s="11"/>
      <c r="DI503" s="11"/>
    </row>
    <row r="504" ht="15.75" customHeight="1">
      <c r="C504" s="8"/>
      <c r="BD504" s="11"/>
      <c r="BR504" s="11"/>
      <c r="BY504" s="11"/>
      <c r="CF504" s="11"/>
      <c r="CM504" s="11"/>
      <c r="CT504" s="11"/>
      <c r="DA504" s="11"/>
      <c r="DH504" s="11"/>
      <c r="DI504" s="11"/>
    </row>
    <row r="505" ht="15.75" customHeight="1">
      <c r="C505" s="8"/>
      <c r="BD505" s="11"/>
      <c r="BR505" s="11"/>
      <c r="BY505" s="11"/>
      <c r="CF505" s="11"/>
      <c r="CM505" s="11"/>
      <c r="CT505" s="11"/>
      <c r="DA505" s="11"/>
      <c r="DH505" s="11"/>
      <c r="DI505" s="11"/>
    </row>
    <row r="506" ht="15.75" customHeight="1">
      <c r="C506" s="8"/>
      <c r="BD506" s="11"/>
      <c r="BR506" s="11"/>
      <c r="BY506" s="11"/>
      <c r="CF506" s="11"/>
      <c r="CM506" s="11"/>
      <c r="CT506" s="11"/>
      <c r="DA506" s="11"/>
      <c r="DH506" s="11"/>
      <c r="DI506" s="11"/>
    </row>
    <row r="507" ht="15.75" customHeight="1">
      <c r="C507" s="8"/>
      <c r="BD507" s="11"/>
      <c r="BR507" s="11"/>
      <c r="BY507" s="11"/>
      <c r="CF507" s="11"/>
      <c r="CM507" s="11"/>
      <c r="CT507" s="11"/>
      <c r="DA507" s="11"/>
      <c r="DH507" s="11"/>
      <c r="DI507" s="11"/>
    </row>
    <row r="508" ht="15.75" customHeight="1">
      <c r="C508" s="8"/>
      <c r="BD508" s="11"/>
      <c r="BR508" s="11"/>
      <c r="BY508" s="11"/>
      <c r="CF508" s="11"/>
      <c r="CM508" s="11"/>
      <c r="CT508" s="11"/>
      <c r="DA508" s="11"/>
      <c r="DH508" s="11"/>
      <c r="DI508" s="11"/>
    </row>
    <row r="509" ht="15.75" customHeight="1">
      <c r="C509" s="8"/>
      <c r="BD509" s="11"/>
      <c r="BR509" s="11"/>
      <c r="BY509" s="11"/>
      <c r="CF509" s="11"/>
      <c r="CM509" s="11"/>
      <c r="CT509" s="11"/>
      <c r="DA509" s="11"/>
      <c r="DH509" s="11"/>
      <c r="DI509" s="11"/>
    </row>
    <row r="510" ht="15.75" customHeight="1">
      <c r="C510" s="8"/>
      <c r="BD510" s="11"/>
      <c r="BR510" s="11"/>
      <c r="BY510" s="11"/>
      <c r="CF510" s="11"/>
      <c r="CM510" s="11"/>
      <c r="CT510" s="11"/>
      <c r="DA510" s="11"/>
      <c r="DH510" s="11"/>
      <c r="DI510" s="11"/>
    </row>
    <row r="511" ht="15.75" customHeight="1">
      <c r="C511" s="8"/>
      <c r="BD511" s="11"/>
      <c r="BR511" s="11"/>
      <c r="BY511" s="11"/>
      <c r="CF511" s="11"/>
      <c r="CM511" s="11"/>
      <c r="CT511" s="11"/>
      <c r="DA511" s="11"/>
      <c r="DH511" s="11"/>
      <c r="DI511" s="11"/>
    </row>
    <row r="512" ht="15.75" customHeight="1">
      <c r="C512" s="8"/>
      <c r="BD512" s="11"/>
      <c r="BR512" s="11"/>
      <c r="BY512" s="11"/>
      <c r="CF512" s="11"/>
      <c r="CM512" s="11"/>
      <c r="CT512" s="11"/>
      <c r="DA512" s="11"/>
      <c r="DH512" s="11"/>
      <c r="DI512" s="11"/>
    </row>
    <row r="513" ht="15.75" customHeight="1">
      <c r="C513" s="8"/>
      <c r="BD513" s="11"/>
      <c r="BR513" s="11"/>
      <c r="BY513" s="11"/>
      <c r="CF513" s="11"/>
      <c r="CM513" s="11"/>
      <c r="CT513" s="11"/>
      <c r="DA513" s="11"/>
      <c r="DH513" s="11"/>
      <c r="DI513" s="11"/>
    </row>
    <row r="514" ht="15.75" customHeight="1">
      <c r="C514" s="8"/>
      <c r="BD514" s="11"/>
      <c r="BR514" s="11"/>
      <c r="BY514" s="11"/>
      <c r="CF514" s="11"/>
      <c r="CM514" s="11"/>
      <c r="CT514" s="11"/>
      <c r="DA514" s="11"/>
      <c r="DH514" s="11"/>
      <c r="DI514" s="11"/>
    </row>
    <row r="515" ht="15.75" customHeight="1">
      <c r="C515" s="8"/>
      <c r="BD515" s="11"/>
      <c r="BR515" s="11"/>
      <c r="BY515" s="11"/>
      <c r="CF515" s="11"/>
      <c r="CM515" s="11"/>
      <c r="CT515" s="11"/>
      <c r="DA515" s="11"/>
      <c r="DH515" s="11"/>
      <c r="DI515" s="11"/>
    </row>
    <row r="516" ht="15.75" customHeight="1">
      <c r="C516" s="8"/>
      <c r="BD516" s="11"/>
      <c r="BR516" s="11"/>
      <c r="BY516" s="11"/>
      <c r="CF516" s="11"/>
      <c r="CM516" s="11"/>
      <c r="CT516" s="11"/>
      <c r="DA516" s="11"/>
      <c r="DH516" s="11"/>
      <c r="DI516" s="11"/>
    </row>
    <row r="517" ht="15.75" customHeight="1">
      <c r="C517" s="8"/>
      <c r="BD517" s="11"/>
      <c r="BR517" s="11"/>
      <c r="BY517" s="11"/>
      <c r="CF517" s="11"/>
      <c r="CM517" s="11"/>
      <c r="CT517" s="11"/>
      <c r="DA517" s="11"/>
      <c r="DH517" s="11"/>
      <c r="DI517" s="11"/>
    </row>
    <row r="518" ht="15.75" customHeight="1">
      <c r="C518" s="8"/>
      <c r="BD518" s="11"/>
      <c r="BR518" s="11"/>
      <c r="BY518" s="11"/>
      <c r="CF518" s="11"/>
      <c r="CM518" s="11"/>
      <c r="CT518" s="11"/>
      <c r="DA518" s="11"/>
      <c r="DH518" s="11"/>
      <c r="DI518" s="11"/>
    </row>
    <row r="519" ht="15.75" customHeight="1">
      <c r="C519" s="8"/>
      <c r="BD519" s="11"/>
      <c r="BR519" s="11"/>
      <c r="BY519" s="11"/>
      <c r="CF519" s="11"/>
      <c r="CM519" s="11"/>
      <c r="CT519" s="11"/>
      <c r="DA519" s="11"/>
      <c r="DH519" s="11"/>
      <c r="DI519" s="11"/>
    </row>
    <row r="520" ht="15.75" customHeight="1">
      <c r="C520" s="8"/>
      <c r="BD520" s="11"/>
      <c r="BR520" s="11"/>
      <c r="BY520" s="11"/>
      <c r="CF520" s="11"/>
      <c r="CM520" s="11"/>
      <c r="CT520" s="11"/>
      <c r="DA520" s="11"/>
      <c r="DH520" s="11"/>
      <c r="DI520" s="11"/>
    </row>
    <row r="521" ht="15.75" customHeight="1">
      <c r="C521" s="8"/>
      <c r="BD521" s="11"/>
      <c r="BR521" s="11"/>
      <c r="BY521" s="11"/>
      <c r="CF521" s="11"/>
      <c r="CM521" s="11"/>
      <c r="CT521" s="11"/>
      <c r="DA521" s="11"/>
      <c r="DH521" s="11"/>
      <c r="DI521" s="11"/>
    </row>
    <row r="522" ht="15.75" customHeight="1">
      <c r="C522" s="8"/>
      <c r="BD522" s="11"/>
      <c r="BR522" s="11"/>
      <c r="BY522" s="11"/>
      <c r="CF522" s="11"/>
      <c r="CM522" s="11"/>
      <c r="CT522" s="11"/>
      <c r="DA522" s="11"/>
      <c r="DH522" s="11"/>
      <c r="DI522" s="11"/>
    </row>
    <row r="523" ht="15.75" customHeight="1">
      <c r="C523" s="8"/>
      <c r="BD523" s="11"/>
      <c r="BR523" s="11"/>
      <c r="BY523" s="11"/>
      <c r="CF523" s="11"/>
      <c r="CM523" s="11"/>
      <c r="CT523" s="11"/>
      <c r="DA523" s="11"/>
      <c r="DH523" s="11"/>
      <c r="DI523" s="11"/>
    </row>
    <row r="524" ht="15.75" customHeight="1">
      <c r="C524" s="8"/>
      <c r="BD524" s="11"/>
      <c r="BR524" s="11"/>
      <c r="BY524" s="11"/>
      <c r="CF524" s="11"/>
      <c r="CM524" s="11"/>
      <c r="CT524" s="11"/>
      <c r="DA524" s="11"/>
      <c r="DH524" s="11"/>
      <c r="DI524" s="11"/>
    </row>
    <row r="525" ht="15.75" customHeight="1">
      <c r="C525" s="8"/>
      <c r="BD525" s="11"/>
      <c r="BR525" s="11"/>
      <c r="BY525" s="11"/>
      <c r="CF525" s="11"/>
      <c r="CM525" s="11"/>
      <c r="CT525" s="11"/>
      <c r="DA525" s="11"/>
      <c r="DH525" s="11"/>
      <c r="DI525" s="11"/>
    </row>
    <row r="526" ht="15.75" customHeight="1">
      <c r="C526" s="8"/>
      <c r="BD526" s="11"/>
      <c r="BR526" s="11"/>
      <c r="BY526" s="11"/>
      <c r="CF526" s="11"/>
      <c r="CM526" s="11"/>
      <c r="CT526" s="11"/>
      <c r="DA526" s="11"/>
      <c r="DH526" s="11"/>
      <c r="DI526" s="11"/>
    </row>
    <row r="527" ht="15.75" customHeight="1">
      <c r="C527" s="8"/>
      <c r="BD527" s="11"/>
      <c r="BR527" s="11"/>
      <c r="BY527" s="11"/>
      <c r="CF527" s="11"/>
      <c r="CM527" s="11"/>
      <c r="CT527" s="11"/>
      <c r="DA527" s="11"/>
      <c r="DH527" s="11"/>
      <c r="DI527" s="11"/>
    </row>
    <row r="528" ht="15.75" customHeight="1">
      <c r="C528" s="8"/>
      <c r="BD528" s="11"/>
      <c r="BR528" s="11"/>
      <c r="BY528" s="11"/>
      <c r="CF528" s="11"/>
      <c r="CM528" s="11"/>
      <c r="CT528" s="11"/>
      <c r="DA528" s="11"/>
      <c r="DH528" s="11"/>
      <c r="DI528" s="11"/>
    </row>
    <row r="529" ht="15.75" customHeight="1">
      <c r="C529" s="8"/>
      <c r="BD529" s="11"/>
      <c r="BR529" s="11"/>
      <c r="BY529" s="11"/>
      <c r="CF529" s="11"/>
      <c r="CM529" s="11"/>
      <c r="CT529" s="11"/>
      <c r="DA529" s="11"/>
      <c r="DH529" s="11"/>
      <c r="DI529" s="11"/>
    </row>
    <row r="530" ht="15.75" customHeight="1">
      <c r="C530" s="8"/>
      <c r="BD530" s="11"/>
      <c r="BR530" s="11"/>
      <c r="BY530" s="11"/>
      <c r="CF530" s="11"/>
      <c r="CM530" s="11"/>
      <c r="CT530" s="11"/>
      <c r="DA530" s="11"/>
      <c r="DH530" s="11"/>
      <c r="DI530" s="11"/>
    </row>
    <row r="531" ht="15.75" customHeight="1">
      <c r="C531" s="8"/>
      <c r="BD531" s="11"/>
      <c r="BR531" s="11"/>
      <c r="BY531" s="11"/>
      <c r="CF531" s="11"/>
      <c r="CM531" s="11"/>
      <c r="CT531" s="11"/>
      <c r="DA531" s="11"/>
      <c r="DH531" s="11"/>
      <c r="DI531" s="11"/>
    </row>
    <row r="532" ht="15.75" customHeight="1">
      <c r="C532" s="8"/>
      <c r="BD532" s="11"/>
      <c r="BR532" s="11"/>
      <c r="BY532" s="11"/>
      <c r="CF532" s="11"/>
      <c r="CM532" s="11"/>
      <c r="CT532" s="11"/>
      <c r="DA532" s="11"/>
      <c r="DH532" s="11"/>
      <c r="DI532" s="11"/>
    </row>
    <row r="533" ht="15.75" customHeight="1">
      <c r="C533" s="8"/>
      <c r="BD533" s="11"/>
      <c r="BR533" s="11"/>
      <c r="BY533" s="11"/>
      <c r="CF533" s="11"/>
      <c r="CM533" s="11"/>
      <c r="CT533" s="11"/>
      <c r="DA533" s="11"/>
      <c r="DH533" s="11"/>
      <c r="DI533" s="11"/>
    </row>
    <row r="534" ht="15.75" customHeight="1">
      <c r="C534" s="8"/>
      <c r="BD534" s="11"/>
      <c r="BR534" s="11"/>
      <c r="BY534" s="11"/>
      <c r="CF534" s="11"/>
      <c r="CM534" s="11"/>
      <c r="CT534" s="11"/>
      <c r="DA534" s="11"/>
      <c r="DH534" s="11"/>
      <c r="DI534" s="11"/>
    </row>
    <row r="535" ht="15.75" customHeight="1">
      <c r="C535" s="8"/>
      <c r="BD535" s="11"/>
      <c r="BR535" s="11"/>
      <c r="BY535" s="11"/>
      <c r="CF535" s="11"/>
      <c r="CM535" s="11"/>
      <c r="CT535" s="11"/>
      <c r="DA535" s="11"/>
      <c r="DH535" s="11"/>
      <c r="DI535" s="11"/>
    </row>
    <row r="536" ht="15.75" customHeight="1">
      <c r="C536" s="8"/>
      <c r="BD536" s="11"/>
      <c r="BR536" s="11"/>
      <c r="BY536" s="11"/>
      <c r="CF536" s="11"/>
      <c r="CM536" s="11"/>
      <c r="CT536" s="11"/>
      <c r="DA536" s="11"/>
      <c r="DH536" s="11"/>
      <c r="DI536" s="11"/>
    </row>
    <row r="537" ht="15.75" customHeight="1">
      <c r="C537" s="8"/>
      <c r="BD537" s="11"/>
      <c r="BR537" s="11"/>
      <c r="BY537" s="11"/>
      <c r="CF537" s="11"/>
      <c r="CM537" s="11"/>
      <c r="CT537" s="11"/>
      <c r="DA537" s="11"/>
      <c r="DH537" s="11"/>
      <c r="DI537" s="11"/>
    </row>
    <row r="538" ht="15.75" customHeight="1">
      <c r="C538" s="8"/>
      <c r="BD538" s="11"/>
      <c r="BR538" s="11"/>
      <c r="BY538" s="11"/>
      <c r="CF538" s="11"/>
      <c r="CM538" s="11"/>
      <c r="CT538" s="11"/>
      <c r="DA538" s="11"/>
      <c r="DH538" s="11"/>
      <c r="DI538" s="11"/>
    </row>
    <row r="539" ht="15.75" customHeight="1">
      <c r="C539" s="8"/>
      <c r="BD539" s="11"/>
      <c r="BR539" s="11"/>
      <c r="BY539" s="11"/>
      <c r="CF539" s="11"/>
      <c r="CM539" s="11"/>
      <c r="CT539" s="11"/>
      <c r="DA539" s="11"/>
      <c r="DH539" s="11"/>
      <c r="DI539" s="11"/>
    </row>
    <row r="540" ht="15.75" customHeight="1">
      <c r="C540" s="8"/>
      <c r="BD540" s="11"/>
      <c r="BR540" s="11"/>
      <c r="BY540" s="11"/>
      <c r="CF540" s="11"/>
      <c r="CM540" s="11"/>
      <c r="CT540" s="11"/>
      <c r="DA540" s="11"/>
      <c r="DH540" s="11"/>
      <c r="DI540" s="11"/>
    </row>
    <row r="541" ht="15.75" customHeight="1">
      <c r="C541" s="8"/>
      <c r="BD541" s="11"/>
      <c r="BR541" s="11"/>
      <c r="BY541" s="11"/>
      <c r="CF541" s="11"/>
      <c r="CM541" s="11"/>
      <c r="CT541" s="11"/>
      <c r="DA541" s="11"/>
      <c r="DH541" s="11"/>
      <c r="DI541" s="11"/>
    </row>
    <row r="542" ht="15.75" customHeight="1">
      <c r="C542" s="8"/>
      <c r="BD542" s="11"/>
      <c r="BR542" s="11"/>
      <c r="BY542" s="11"/>
      <c r="CF542" s="11"/>
      <c r="CM542" s="11"/>
      <c r="CT542" s="11"/>
      <c r="DA542" s="11"/>
      <c r="DH542" s="11"/>
      <c r="DI542" s="11"/>
    </row>
    <row r="543" ht="15.75" customHeight="1">
      <c r="C543" s="8"/>
      <c r="BD543" s="11"/>
      <c r="BR543" s="11"/>
      <c r="BY543" s="11"/>
      <c r="CF543" s="11"/>
      <c r="CM543" s="11"/>
      <c r="CT543" s="11"/>
      <c r="DA543" s="11"/>
      <c r="DH543" s="11"/>
      <c r="DI543" s="11"/>
    </row>
    <row r="544" ht="15.75" customHeight="1">
      <c r="C544" s="8"/>
      <c r="BD544" s="11"/>
      <c r="BR544" s="11"/>
      <c r="BY544" s="11"/>
      <c r="CF544" s="11"/>
      <c r="CM544" s="11"/>
      <c r="CT544" s="11"/>
      <c r="DA544" s="11"/>
      <c r="DH544" s="11"/>
      <c r="DI544" s="11"/>
    </row>
    <row r="545" ht="15.75" customHeight="1">
      <c r="C545" s="8"/>
      <c r="BD545" s="11"/>
      <c r="BR545" s="11"/>
      <c r="BY545" s="11"/>
      <c r="CF545" s="11"/>
      <c r="CM545" s="11"/>
      <c r="CT545" s="11"/>
      <c r="DA545" s="11"/>
      <c r="DH545" s="11"/>
      <c r="DI545" s="11"/>
    </row>
    <row r="546" ht="15.75" customHeight="1">
      <c r="C546" s="8"/>
      <c r="BD546" s="11"/>
      <c r="BR546" s="11"/>
      <c r="BY546" s="11"/>
      <c r="CF546" s="11"/>
      <c r="CM546" s="11"/>
      <c r="CT546" s="11"/>
      <c r="DA546" s="11"/>
      <c r="DH546" s="11"/>
      <c r="DI546" s="11"/>
    </row>
    <row r="547" ht="15.75" customHeight="1">
      <c r="C547" s="8"/>
      <c r="BD547" s="11"/>
      <c r="BR547" s="11"/>
      <c r="BY547" s="11"/>
      <c r="CF547" s="11"/>
      <c r="CM547" s="11"/>
      <c r="CT547" s="11"/>
      <c r="DA547" s="11"/>
      <c r="DH547" s="11"/>
      <c r="DI547" s="11"/>
    </row>
    <row r="548" ht="15.75" customHeight="1">
      <c r="C548" s="8"/>
      <c r="BD548" s="11"/>
      <c r="BR548" s="11"/>
      <c r="BY548" s="11"/>
      <c r="CF548" s="11"/>
      <c r="CM548" s="11"/>
      <c r="CT548" s="11"/>
      <c r="DA548" s="11"/>
      <c r="DH548" s="11"/>
      <c r="DI548" s="11"/>
    </row>
    <row r="549" ht="15.75" customHeight="1">
      <c r="C549" s="8"/>
      <c r="BD549" s="11"/>
      <c r="BR549" s="11"/>
      <c r="BY549" s="11"/>
      <c r="CF549" s="11"/>
      <c r="CM549" s="11"/>
      <c r="CT549" s="11"/>
      <c r="DA549" s="11"/>
      <c r="DH549" s="11"/>
      <c r="DI549" s="11"/>
    </row>
    <row r="550" ht="15.75" customHeight="1">
      <c r="C550" s="8"/>
      <c r="BD550" s="11"/>
      <c r="BR550" s="11"/>
      <c r="BY550" s="11"/>
      <c r="CF550" s="11"/>
      <c r="CM550" s="11"/>
      <c r="CT550" s="11"/>
      <c r="DA550" s="11"/>
      <c r="DH550" s="11"/>
      <c r="DI550" s="11"/>
    </row>
    <row r="551" ht="15.75" customHeight="1">
      <c r="C551" s="8"/>
      <c r="BD551" s="11"/>
      <c r="BR551" s="11"/>
      <c r="BY551" s="11"/>
      <c r="CF551" s="11"/>
      <c r="CM551" s="11"/>
      <c r="CT551" s="11"/>
      <c r="DA551" s="11"/>
      <c r="DH551" s="11"/>
      <c r="DI551" s="11"/>
    </row>
    <row r="552" ht="15.75" customHeight="1">
      <c r="C552" s="8"/>
      <c r="BD552" s="11"/>
      <c r="BR552" s="11"/>
      <c r="BY552" s="11"/>
      <c r="CF552" s="11"/>
      <c r="CM552" s="11"/>
      <c r="CT552" s="11"/>
      <c r="DA552" s="11"/>
      <c r="DH552" s="11"/>
      <c r="DI552" s="11"/>
    </row>
    <row r="553" ht="15.75" customHeight="1">
      <c r="C553" s="8"/>
      <c r="BD553" s="11"/>
      <c r="BR553" s="11"/>
      <c r="BY553" s="11"/>
      <c r="CF553" s="11"/>
      <c r="CM553" s="11"/>
      <c r="CT553" s="11"/>
      <c r="DA553" s="11"/>
      <c r="DH553" s="11"/>
      <c r="DI553" s="11"/>
    </row>
    <row r="554" ht="15.75" customHeight="1">
      <c r="C554" s="8"/>
      <c r="BD554" s="11"/>
      <c r="BR554" s="11"/>
      <c r="BY554" s="11"/>
      <c r="CF554" s="11"/>
      <c r="CM554" s="11"/>
      <c r="CT554" s="11"/>
      <c r="DA554" s="11"/>
      <c r="DH554" s="11"/>
      <c r="DI554" s="11"/>
    </row>
    <row r="555" ht="15.75" customHeight="1">
      <c r="C555" s="8"/>
      <c r="BD555" s="11"/>
      <c r="BR555" s="11"/>
      <c r="BY555" s="11"/>
      <c r="CF555" s="11"/>
      <c r="CM555" s="11"/>
      <c r="CT555" s="11"/>
      <c r="DA555" s="11"/>
      <c r="DH555" s="11"/>
      <c r="DI555" s="11"/>
    </row>
    <row r="556" ht="15.75" customHeight="1">
      <c r="C556" s="8"/>
      <c r="BD556" s="11"/>
      <c r="BR556" s="11"/>
      <c r="BY556" s="11"/>
      <c r="CF556" s="11"/>
      <c r="CM556" s="11"/>
      <c r="CT556" s="11"/>
      <c r="DA556" s="11"/>
      <c r="DH556" s="11"/>
      <c r="DI556" s="11"/>
    </row>
    <row r="557" ht="15.75" customHeight="1">
      <c r="C557" s="8"/>
      <c r="BD557" s="11"/>
      <c r="BR557" s="11"/>
      <c r="BY557" s="11"/>
      <c r="CF557" s="11"/>
      <c r="CM557" s="11"/>
      <c r="CT557" s="11"/>
      <c r="DA557" s="11"/>
      <c r="DH557" s="11"/>
      <c r="DI557" s="11"/>
    </row>
    <row r="558" ht="15.75" customHeight="1">
      <c r="C558" s="8"/>
      <c r="BD558" s="11"/>
      <c r="BR558" s="11"/>
      <c r="BY558" s="11"/>
      <c r="CF558" s="11"/>
      <c r="CM558" s="11"/>
      <c r="CT558" s="11"/>
      <c r="DA558" s="11"/>
      <c r="DH558" s="11"/>
      <c r="DI558" s="11"/>
    </row>
    <row r="559" ht="15.75" customHeight="1">
      <c r="C559" s="8"/>
      <c r="BD559" s="11"/>
      <c r="BR559" s="11"/>
      <c r="BY559" s="11"/>
      <c r="CF559" s="11"/>
      <c r="CM559" s="11"/>
      <c r="CT559" s="11"/>
      <c r="DA559" s="11"/>
      <c r="DH559" s="11"/>
      <c r="DI559" s="11"/>
    </row>
    <row r="560" ht="15.75" customHeight="1">
      <c r="C560" s="8"/>
      <c r="BD560" s="11"/>
      <c r="BR560" s="11"/>
      <c r="BY560" s="11"/>
      <c r="CF560" s="11"/>
      <c r="CM560" s="11"/>
      <c r="CT560" s="11"/>
      <c r="DA560" s="11"/>
      <c r="DH560" s="11"/>
      <c r="DI560" s="11"/>
    </row>
    <row r="561" ht="15.75" customHeight="1">
      <c r="C561" s="8"/>
      <c r="BD561" s="11"/>
      <c r="BR561" s="11"/>
      <c r="BY561" s="11"/>
      <c r="CF561" s="11"/>
      <c r="CM561" s="11"/>
      <c r="CT561" s="11"/>
      <c r="DA561" s="11"/>
      <c r="DH561" s="11"/>
      <c r="DI561" s="11"/>
    </row>
    <row r="562" ht="15.75" customHeight="1">
      <c r="C562" s="8"/>
      <c r="BD562" s="11"/>
      <c r="BR562" s="11"/>
      <c r="BY562" s="11"/>
      <c r="CF562" s="11"/>
      <c r="CM562" s="11"/>
      <c r="CT562" s="11"/>
      <c r="DA562" s="11"/>
      <c r="DH562" s="11"/>
      <c r="DI562" s="11"/>
    </row>
    <row r="563" ht="15.75" customHeight="1">
      <c r="C563" s="8"/>
      <c r="BD563" s="11"/>
      <c r="BR563" s="11"/>
      <c r="BY563" s="11"/>
      <c r="CF563" s="11"/>
      <c r="CM563" s="11"/>
      <c r="CT563" s="11"/>
      <c r="DA563" s="11"/>
      <c r="DH563" s="11"/>
      <c r="DI563" s="11"/>
    </row>
    <row r="564" ht="15.75" customHeight="1">
      <c r="C564" s="8"/>
      <c r="BD564" s="11"/>
      <c r="BR564" s="11"/>
      <c r="BY564" s="11"/>
      <c r="CF564" s="11"/>
      <c r="CM564" s="11"/>
      <c r="CT564" s="11"/>
      <c r="DA564" s="11"/>
      <c r="DH564" s="11"/>
      <c r="DI564" s="11"/>
    </row>
    <row r="565" ht="15.75" customHeight="1">
      <c r="C565" s="8"/>
      <c r="BD565" s="11"/>
      <c r="BR565" s="11"/>
      <c r="BY565" s="11"/>
      <c r="CF565" s="11"/>
      <c r="CM565" s="11"/>
      <c r="CT565" s="11"/>
      <c r="DA565" s="11"/>
      <c r="DH565" s="11"/>
      <c r="DI565" s="11"/>
    </row>
    <row r="566" ht="15.75" customHeight="1">
      <c r="C566" s="8"/>
      <c r="BD566" s="11"/>
      <c r="BR566" s="11"/>
      <c r="BY566" s="11"/>
      <c r="CF566" s="11"/>
      <c r="CM566" s="11"/>
      <c r="CT566" s="11"/>
      <c r="DA566" s="11"/>
      <c r="DH566" s="11"/>
      <c r="DI566" s="11"/>
    </row>
    <row r="567" ht="15.75" customHeight="1">
      <c r="C567" s="8"/>
      <c r="BD567" s="11"/>
      <c r="BR567" s="11"/>
      <c r="BY567" s="11"/>
      <c r="CF567" s="11"/>
      <c r="CM567" s="11"/>
      <c r="CT567" s="11"/>
      <c r="DA567" s="11"/>
      <c r="DH567" s="11"/>
      <c r="DI567" s="11"/>
    </row>
    <row r="568" ht="15.75" customHeight="1">
      <c r="C568" s="8"/>
      <c r="BD568" s="11"/>
      <c r="BR568" s="11"/>
      <c r="BY568" s="11"/>
      <c r="CF568" s="11"/>
      <c r="CM568" s="11"/>
      <c r="CT568" s="11"/>
      <c r="DA568" s="11"/>
      <c r="DH568" s="11"/>
      <c r="DI568" s="11"/>
    </row>
    <row r="569" ht="15.75" customHeight="1">
      <c r="C569" s="8"/>
      <c r="BD569" s="11"/>
      <c r="BR569" s="11"/>
      <c r="BY569" s="11"/>
      <c r="CF569" s="11"/>
      <c r="CM569" s="11"/>
      <c r="CT569" s="11"/>
      <c r="DA569" s="11"/>
      <c r="DH569" s="11"/>
      <c r="DI569" s="11"/>
    </row>
    <row r="570" ht="15.75" customHeight="1">
      <c r="C570" s="8"/>
      <c r="BD570" s="11"/>
      <c r="BR570" s="11"/>
      <c r="BY570" s="11"/>
      <c r="CF570" s="11"/>
      <c r="CM570" s="11"/>
      <c r="CT570" s="11"/>
      <c r="DA570" s="11"/>
      <c r="DH570" s="11"/>
      <c r="DI570" s="11"/>
    </row>
    <row r="571" ht="15.75" customHeight="1">
      <c r="C571" s="8"/>
      <c r="BD571" s="11"/>
      <c r="BR571" s="11"/>
      <c r="BY571" s="11"/>
      <c r="CF571" s="11"/>
      <c r="CM571" s="11"/>
      <c r="CT571" s="11"/>
      <c r="DA571" s="11"/>
      <c r="DH571" s="11"/>
      <c r="DI571" s="11"/>
    </row>
    <row r="572" ht="15.75" customHeight="1">
      <c r="C572" s="8"/>
      <c r="BD572" s="11"/>
      <c r="BR572" s="11"/>
      <c r="BY572" s="11"/>
      <c r="CF572" s="11"/>
      <c r="CM572" s="11"/>
      <c r="CT572" s="11"/>
      <c r="DA572" s="11"/>
      <c r="DH572" s="11"/>
      <c r="DI572" s="11"/>
    </row>
    <row r="573" ht="15.75" customHeight="1">
      <c r="C573" s="8"/>
      <c r="BD573" s="11"/>
      <c r="BR573" s="11"/>
      <c r="BY573" s="11"/>
      <c r="CF573" s="11"/>
      <c r="CM573" s="11"/>
      <c r="CT573" s="11"/>
      <c r="DA573" s="11"/>
      <c r="DH573" s="11"/>
      <c r="DI573" s="11"/>
    </row>
    <row r="574" ht="15.75" customHeight="1">
      <c r="C574" s="8"/>
      <c r="BD574" s="11"/>
      <c r="BR574" s="11"/>
      <c r="BY574" s="11"/>
      <c r="CF574" s="11"/>
      <c r="CM574" s="11"/>
      <c r="CT574" s="11"/>
      <c r="DA574" s="11"/>
      <c r="DH574" s="11"/>
      <c r="DI574" s="11"/>
    </row>
    <row r="575" ht="15.75" customHeight="1">
      <c r="C575" s="8"/>
      <c r="BD575" s="11"/>
      <c r="BR575" s="11"/>
      <c r="BY575" s="11"/>
      <c r="CF575" s="11"/>
      <c r="CM575" s="11"/>
      <c r="CT575" s="11"/>
      <c r="DA575" s="11"/>
      <c r="DH575" s="11"/>
      <c r="DI575" s="11"/>
    </row>
    <row r="576" ht="15.75" customHeight="1">
      <c r="C576" s="8"/>
      <c r="BD576" s="11"/>
      <c r="BR576" s="11"/>
      <c r="BY576" s="11"/>
      <c r="CF576" s="11"/>
      <c r="CM576" s="11"/>
      <c r="CT576" s="11"/>
      <c r="DA576" s="11"/>
      <c r="DH576" s="11"/>
      <c r="DI576" s="11"/>
    </row>
    <row r="577" ht="15.75" customHeight="1">
      <c r="C577" s="8"/>
      <c r="BD577" s="11"/>
      <c r="BR577" s="11"/>
      <c r="BY577" s="11"/>
      <c r="CF577" s="11"/>
      <c r="CM577" s="11"/>
      <c r="CT577" s="11"/>
      <c r="DA577" s="11"/>
      <c r="DH577" s="11"/>
      <c r="DI577" s="11"/>
    </row>
    <row r="578" ht="15.75" customHeight="1">
      <c r="C578" s="8"/>
      <c r="BD578" s="11"/>
      <c r="BR578" s="11"/>
      <c r="BY578" s="11"/>
      <c r="CF578" s="11"/>
      <c r="CM578" s="11"/>
      <c r="CT578" s="11"/>
      <c r="DA578" s="11"/>
      <c r="DH578" s="11"/>
      <c r="DI578" s="11"/>
    </row>
    <row r="579" ht="15.75" customHeight="1">
      <c r="C579" s="8"/>
      <c r="BD579" s="11"/>
      <c r="BR579" s="11"/>
      <c r="BY579" s="11"/>
      <c r="CF579" s="11"/>
      <c r="CM579" s="11"/>
      <c r="CT579" s="11"/>
      <c r="DA579" s="11"/>
      <c r="DH579" s="11"/>
      <c r="DI579" s="11"/>
    </row>
    <row r="580" ht="15.75" customHeight="1">
      <c r="C580" s="8"/>
      <c r="BD580" s="11"/>
      <c r="BR580" s="11"/>
      <c r="BY580" s="11"/>
      <c r="CF580" s="11"/>
      <c r="CM580" s="11"/>
      <c r="CT580" s="11"/>
      <c r="DA580" s="11"/>
      <c r="DH580" s="11"/>
      <c r="DI580" s="11"/>
    </row>
    <row r="581" ht="15.75" customHeight="1">
      <c r="C581" s="8"/>
      <c r="BD581" s="11"/>
      <c r="BR581" s="11"/>
      <c r="BY581" s="11"/>
      <c r="CF581" s="11"/>
      <c r="CM581" s="11"/>
      <c r="CT581" s="11"/>
      <c r="DA581" s="11"/>
      <c r="DH581" s="11"/>
      <c r="DI581" s="11"/>
    </row>
    <row r="582" ht="15.75" customHeight="1">
      <c r="C582" s="8"/>
      <c r="BD582" s="11"/>
      <c r="BR582" s="11"/>
      <c r="BY582" s="11"/>
      <c r="CF582" s="11"/>
      <c r="CM582" s="11"/>
      <c r="CT582" s="11"/>
      <c r="DA582" s="11"/>
      <c r="DH582" s="11"/>
      <c r="DI582" s="11"/>
    </row>
    <row r="583" ht="15.75" customHeight="1">
      <c r="C583" s="8"/>
      <c r="BD583" s="11"/>
      <c r="BR583" s="11"/>
      <c r="BY583" s="11"/>
      <c r="CF583" s="11"/>
      <c r="CM583" s="11"/>
      <c r="CT583" s="11"/>
      <c r="DA583" s="11"/>
      <c r="DH583" s="11"/>
      <c r="DI583" s="11"/>
    </row>
    <row r="584" ht="15.75" customHeight="1">
      <c r="C584" s="8"/>
      <c r="BD584" s="11"/>
      <c r="BR584" s="11"/>
      <c r="BY584" s="11"/>
      <c r="CF584" s="11"/>
      <c r="CM584" s="11"/>
      <c r="CT584" s="11"/>
      <c r="DA584" s="11"/>
      <c r="DH584" s="11"/>
      <c r="DI584" s="11"/>
    </row>
    <row r="585" ht="15.75" customHeight="1">
      <c r="C585" s="8"/>
      <c r="BD585" s="11"/>
      <c r="BR585" s="11"/>
      <c r="BY585" s="11"/>
      <c r="CF585" s="11"/>
      <c r="CM585" s="11"/>
      <c r="CT585" s="11"/>
      <c r="DA585" s="11"/>
      <c r="DH585" s="11"/>
      <c r="DI585" s="11"/>
    </row>
    <row r="586" ht="15.75" customHeight="1">
      <c r="C586" s="8"/>
      <c r="BD586" s="11"/>
      <c r="BR586" s="11"/>
      <c r="BY586" s="11"/>
      <c r="CF586" s="11"/>
      <c r="CM586" s="11"/>
      <c r="CT586" s="11"/>
      <c r="DA586" s="11"/>
      <c r="DH586" s="11"/>
      <c r="DI586" s="11"/>
    </row>
    <row r="587" ht="15.75" customHeight="1">
      <c r="C587" s="8"/>
      <c r="BD587" s="11"/>
      <c r="BR587" s="11"/>
      <c r="BY587" s="11"/>
      <c r="CF587" s="11"/>
      <c r="CM587" s="11"/>
      <c r="CT587" s="11"/>
      <c r="DA587" s="11"/>
      <c r="DH587" s="11"/>
      <c r="DI587" s="11"/>
    </row>
    <row r="588" ht="15.75" customHeight="1">
      <c r="C588" s="8"/>
      <c r="BD588" s="11"/>
      <c r="BR588" s="11"/>
      <c r="BY588" s="11"/>
      <c r="CF588" s="11"/>
      <c r="CM588" s="11"/>
      <c r="CT588" s="11"/>
      <c r="DA588" s="11"/>
      <c r="DH588" s="11"/>
      <c r="DI588" s="11"/>
    </row>
    <row r="589" ht="15.75" customHeight="1">
      <c r="C589" s="8"/>
      <c r="BD589" s="11"/>
      <c r="BR589" s="11"/>
      <c r="BY589" s="11"/>
      <c r="CF589" s="11"/>
      <c r="CM589" s="11"/>
      <c r="CT589" s="11"/>
      <c r="DA589" s="11"/>
      <c r="DH589" s="11"/>
      <c r="DI589" s="11"/>
    </row>
    <row r="590" ht="15.75" customHeight="1">
      <c r="C590" s="8"/>
      <c r="BD590" s="11"/>
      <c r="BR590" s="11"/>
      <c r="BY590" s="11"/>
      <c r="CF590" s="11"/>
      <c r="CM590" s="11"/>
      <c r="CT590" s="11"/>
      <c r="DA590" s="11"/>
      <c r="DH590" s="11"/>
      <c r="DI590" s="11"/>
    </row>
    <row r="591" ht="15.75" customHeight="1">
      <c r="C591" s="8"/>
      <c r="BD591" s="11"/>
      <c r="BR591" s="11"/>
      <c r="BY591" s="11"/>
      <c r="CF591" s="11"/>
      <c r="CM591" s="11"/>
      <c r="CT591" s="11"/>
      <c r="DA591" s="11"/>
      <c r="DH591" s="11"/>
      <c r="DI591" s="11"/>
    </row>
    <row r="592" ht="15.75" customHeight="1">
      <c r="C592" s="8"/>
      <c r="BD592" s="11"/>
      <c r="BR592" s="11"/>
      <c r="BY592" s="11"/>
      <c r="CF592" s="11"/>
      <c r="CM592" s="11"/>
      <c r="CT592" s="11"/>
      <c r="DA592" s="11"/>
      <c r="DH592" s="11"/>
      <c r="DI592" s="11"/>
    </row>
    <row r="593" ht="15.75" customHeight="1">
      <c r="C593" s="8"/>
      <c r="BD593" s="11"/>
      <c r="BR593" s="11"/>
      <c r="BY593" s="11"/>
      <c r="CF593" s="11"/>
      <c r="CM593" s="11"/>
      <c r="CT593" s="11"/>
      <c r="DA593" s="11"/>
      <c r="DH593" s="11"/>
      <c r="DI593" s="11"/>
    </row>
    <row r="594" ht="15.75" customHeight="1">
      <c r="C594" s="8"/>
      <c r="BD594" s="11"/>
      <c r="BR594" s="11"/>
      <c r="BY594" s="11"/>
      <c r="CF594" s="11"/>
      <c r="CM594" s="11"/>
      <c r="CT594" s="11"/>
      <c r="DA594" s="11"/>
      <c r="DH594" s="11"/>
      <c r="DI594" s="11"/>
    </row>
    <row r="595" ht="15.75" customHeight="1">
      <c r="C595" s="8"/>
      <c r="BD595" s="11"/>
      <c r="BR595" s="11"/>
      <c r="BY595" s="11"/>
      <c r="CF595" s="11"/>
      <c r="CM595" s="11"/>
      <c r="CT595" s="11"/>
      <c r="DA595" s="11"/>
      <c r="DH595" s="11"/>
      <c r="DI595" s="11"/>
    </row>
    <row r="596" ht="15.75" customHeight="1">
      <c r="C596" s="8"/>
      <c r="BD596" s="11"/>
      <c r="BR596" s="11"/>
      <c r="BY596" s="11"/>
      <c r="CF596" s="11"/>
      <c r="CM596" s="11"/>
      <c r="CT596" s="11"/>
      <c r="DA596" s="11"/>
      <c r="DH596" s="11"/>
      <c r="DI596" s="11"/>
    </row>
    <row r="597" ht="15.75" customHeight="1">
      <c r="C597" s="8"/>
      <c r="BD597" s="11"/>
      <c r="BR597" s="11"/>
      <c r="BY597" s="11"/>
      <c r="CF597" s="11"/>
      <c r="CM597" s="11"/>
      <c r="CT597" s="11"/>
      <c r="DA597" s="11"/>
      <c r="DH597" s="11"/>
      <c r="DI597" s="11"/>
    </row>
    <row r="598" ht="15.75" customHeight="1">
      <c r="C598" s="8"/>
      <c r="BD598" s="11"/>
      <c r="BR598" s="11"/>
      <c r="BY598" s="11"/>
      <c r="CF598" s="11"/>
      <c r="CM598" s="11"/>
      <c r="CT598" s="11"/>
      <c r="DA598" s="11"/>
      <c r="DH598" s="11"/>
      <c r="DI598" s="11"/>
    </row>
    <row r="599" ht="15.75" customHeight="1">
      <c r="C599" s="8"/>
      <c r="BD599" s="11"/>
      <c r="BR599" s="11"/>
      <c r="BY599" s="11"/>
      <c r="CF599" s="11"/>
      <c r="CM599" s="11"/>
      <c r="CT599" s="11"/>
      <c r="DA599" s="11"/>
      <c r="DH599" s="11"/>
      <c r="DI599" s="11"/>
    </row>
    <row r="600" ht="15.75" customHeight="1">
      <c r="C600" s="8"/>
      <c r="BD600" s="11"/>
      <c r="BR600" s="11"/>
      <c r="BY600" s="11"/>
      <c r="CF600" s="11"/>
      <c r="CM600" s="11"/>
      <c r="CT600" s="11"/>
      <c r="DA600" s="11"/>
      <c r="DH600" s="11"/>
      <c r="DI600" s="11"/>
    </row>
    <row r="601" ht="15.75" customHeight="1">
      <c r="C601" s="8"/>
      <c r="BD601" s="11"/>
      <c r="BR601" s="11"/>
      <c r="BY601" s="11"/>
      <c r="CF601" s="11"/>
      <c r="CM601" s="11"/>
      <c r="CT601" s="11"/>
      <c r="DA601" s="11"/>
      <c r="DH601" s="11"/>
      <c r="DI601" s="11"/>
    </row>
    <row r="602" ht="15.75" customHeight="1">
      <c r="C602" s="8"/>
      <c r="BD602" s="11"/>
      <c r="BR602" s="11"/>
      <c r="BY602" s="11"/>
      <c r="CF602" s="11"/>
      <c r="CM602" s="11"/>
      <c r="CT602" s="11"/>
      <c r="DA602" s="11"/>
      <c r="DH602" s="11"/>
      <c r="DI602" s="11"/>
    </row>
    <row r="603" ht="15.75" customHeight="1">
      <c r="C603" s="8"/>
      <c r="BD603" s="11"/>
      <c r="BR603" s="11"/>
      <c r="BY603" s="11"/>
      <c r="CF603" s="11"/>
      <c r="CM603" s="11"/>
      <c r="CT603" s="11"/>
      <c r="DA603" s="11"/>
      <c r="DH603" s="11"/>
      <c r="DI603" s="11"/>
    </row>
    <row r="604" ht="15.75" customHeight="1">
      <c r="C604" s="8"/>
      <c r="BD604" s="11"/>
      <c r="BR604" s="11"/>
      <c r="BY604" s="11"/>
      <c r="CF604" s="11"/>
      <c r="CM604" s="11"/>
      <c r="CT604" s="11"/>
      <c r="DA604" s="11"/>
      <c r="DH604" s="11"/>
      <c r="DI604" s="11"/>
    </row>
    <row r="605" ht="15.75" customHeight="1">
      <c r="C605" s="8"/>
      <c r="BD605" s="11"/>
      <c r="BR605" s="11"/>
      <c r="BY605" s="11"/>
      <c r="CF605" s="11"/>
      <c r="CM605" s="11"/>
      <c r="CT605" s="11"/>
      <c r="DA605" s="11"/>
      <c r="DH605" s="11"/>
      <c r="DI605" s="11"/>
    </row>
    <row r="606" ht="15.75" customHeight="1">
      <c r="C606" s="8"/>
      <c r="BD606" s="11"/>
      <c r="BR606" s="11"/>
      <c r="BY606" s="11"/>
      <c r="CF606" s="11"/>
      <c r="CM606" s="11"/>
      <c r="CT606" s="11"/>
      <c r="DA606" s="11"/>
      <c r="DH606" s="11"/>
      <c r="DI606" s="11"/>
    </row>
    <row r="607" ht="15.75" customHeight="1">
      <c r="C607" s="8"/>
      <c r="BD607" s="11"/>
      <c r="BR607" s="11"/>
      <c r="BY607" s="11"/>
      <c r="CF607" s="11"/>
      <c r="CM607" s="11"/>
      <c r="CT607" s="11"/>
      <c r="DA607" s="11"/>
      <c r="DH607" s="11"/>
      <c r="DI607" s="11"/>
    </row>
    <row r="608" ht="15.75" customHeight="1">
      <c r="C608" s="8"/>
      <c r="BD608" s="11"/>
      <c r="BR608" s="11"/>
      <c r="BY608" s="11"/>
      <c r="CF608" s="11"/>
      <c r="CM608" s="11"/>
      <c r="CT608" s="11"/>
      <c r="DA608" s="11"/>
      <c r="DH608" s="11"/>
      <c r="DI608" s="11"/>
    </row>
    <row r="609" ht="15.75" customHeight="1">
      <c r="C609" s="8"/>
      <c r="BD609" s="11"/>
      <c r="BR609" s="11"/>
      <c r="BY609" s="11"/>
      <c r="CF609" s="11"/>
      <c r="CM609" s="11"/>
      <c r="CT609" s="11"/>
      <c r="DA609" s="11"/>
      <c r="DH609" s="11"/>
      <c r="DI609" s="11"/>
    </row>
    <row r="610" ht="15.75" customHeight="1">
      <c r="C610" s="8"/>
      <c r="BD610" s="11"/>
      <c r="BR610" s="11"/>
      <c r="BY610" s="11"/>
      <c r="CF610" s="11"/>
      <c r="CM610" s="11"/>
      <c r="CT610" s="11"/>
      <c r="DA610" s="11"/>
      <c r="DH610" s="11"/>
      <c r="DI610" s="11"/>
    </row>
    <row r="611" ht="15.75" customHeight="1">
      <c r="C611" s="8"/>
      <c r="BD611" s="11"/>
      <c r="BR611" s="11"/>
      <c r="BY611" s="11"/>
      <c r="CF611" s="11"/>
      <c r="CM611" s="11"/>
      <c r="CT611" s="11"/>
      <c r="DA611" s="11"/>
      <c r="DH611" s="11"/>
      <c r="DI611" s="11"/>
    </row>
    <row r="612" ht="15.75" customHeight="1">
      <c r="C612" s="8"/>
      <c r="BD612" s="11"/>
      <c r="BR612" s="11"/>
      <c r="BY612" s="11"/>
      <c r="CF612" s="11"/>
      <c r="CM612" s="11"/>
      <c r="CT612" s="11"/>
      <c r="DA612" s="11"/>
      <c r="DH612" s="11"/>
      <c r="DI612" s="11"/>
    </row>
    <row r="613" ht="15.75" customHeight="1">
      <c r="C613" s="8"/>
      <c r="BD613" s="11"/>
      <c r="BR613" s="11"/>
      <c r="BY613" s="11"/>
      <c r="CF613" s="11"/>
      <c r="CM613" s="11"/>
      <c r="CT613" s="11"/>
      <c r="DA613" s="11"/>
      <c r="DH613" s="11"/>
      <c r="DI613" s="11"/>
    </row>
    <row r="614" ht="15.75" customHeight="1">
      <c r="C614" s="8"/>
      <c r="BD614" s="11"/>
      <c r="BR614" s="11"/>
      <c r="BY614" s="11"/>
      <c r="CF614" s="11"/>
      <c r="CM614" s="11"/>
      <c r="CT614" s="11"/>
      <c r="DA614" s="11"/>
      <c r="DH614" s="11"/>
      <c r="DI614" s="11"/>
    </row>
    <row r="615" ht="15.75" customHeight="1">
      <c r="C615" s="8"/>
      <c r="BD615" s="11"/>
      <c r="BR615" s="11"/>
      <c r="BY615" s="11"/>
      <c r="CF615" s="11"/>
      <c r="CM615" s="11"/>
      <c r="CT615" s="11"/>
      <c r="DA615" s="11"/>
      <c r="DH615" s="11"/>
      <c r="DI615" s="11"/>
    </row>
    <row r="616" ht="15.75" customHeight="1">
      <c r="C616" s="8"/>
      <c r="BD616" s="11"/>
      <c r="BR616" s="11"/>
      <c r="BY616" s="11"/>
      <c r="CF616" s="11"/>
      <c r="CM616" s="11"/>
      <c r="CT616" s="11"/>
      <c r="DA616" s="11"/>
      <c r="DH616" s="11"/>
      <c r="DI616" s="11"/>
    </row>
    <row r="617" ht="15.75" customHeight="1">
      <c r="C617" s="8"/>
      <c r="BD617" s="11"/>
      <c r="BR617" s="11"/>
      <c r="BY617" s="11"/>
      <c r="CF617" s="11"/>
      <c r="CM617" s="11"/>
      <c r="CT617" s="11"/>
      <c r="DA617" s="11"/>
      <c r="DH617" s="11"/>
      <c r="DI617" s="11"/>
    </row>
    <row r="618" ht="15.75" customHeight="1">
      <c r="C618" s="8"/>
      <c r="BD618" s="11"/>
      <c r="BR618" s="11"/>
      <c r="BY618" s="11"/>
      <c r="CF618" s="11"/>
      <c r="CM618" s="11"/>
      <c r="CT618" s="11"/>
      <c r="DA618" s="11"/>
      <c r="DH618" s="11"/>
      <c r="DI618" s="11"/>
    </row>
    <row r="619" ht="15.75" customHeight="1">
      <c r="C619" s="8"/>
      <c r="BD619" s="11"/>
      <c r="BR619" s="11"/>
      <c r="BY619" s="11"/>
      <c r="CF619" s="11"/>
      <c r="CM619" s="11"/>
      <c r="CT619" s="11"/>
      <c r="DA619" s="11"/>
      <c r="DH619" s="11"/>
      <c r="DI619" s="11"/>
    </row>
    <row r="620" ht="15.75" customHeight="1">
      <c r="C620" s="8"/>
      <c r="BD620" s="11"/>
      <c r="BR620" s="11"/>
      <c r="BY620" s="11"/>
      <c r="CF620" s="11"/>
      <c r="CM620" s="11"/>
      <c r="CT620" s="11"/>
      <c r="DA620" s="11"/>
      <c r="DH620" s="11"/>
      <c r="DI620" s="11"/>
    </row>
    <row r="621" ht="15.75" customHeight="1">
      <c r="C621" s="8"/>
      <c r="BD621" s="11"/>
      <c r="BR621" s="11"/>
      <c r="BY621" s="11"/>
      <c r="CF621" s="11"/>
      <c r="CM621" s="11"/>
      <c r="CT621" s="11"/>
      <c r="DA621" s="11"/>
      <c r="DH621" s="11"/>
      <c r="DI621" s="11"/>
    </row>
    <row r="622" ht="15.75" customHeight="1">
      <c r="C622" s="8"/>
      <c r="BD622" s="11"/>
      <c r="BR622" s="11"/>
      <c r="BY622" s="11"/>
      <c r="CF622" s="11"/>
      <c r="CM622" s="11"/>
      <c r="CT622" s="11"/>
      <c r="DA622" s="11"/>
      <c r="DH622" s="11"/>
      <c r="DI622" s="11"/>
    </row>
    <row r="623" ht="15.75" customHeight="1">
      <c r="C623" s="8"/>
      <c r="BD623" s="11"/>
      <c r="BR623" s="11"/>
      <c r="BY623" s="11"/>
      <c r="CF623" s="11"/>
      <c r="CM623" s="11"/>
      <c r="CT623" s="11"/>
      <c r="DA623" s="11"/>
      <c r="DH623" s="11"/>
      <c r="DI623" s="11"/>
    </row>
    <row r="624" ht="15.75" customHeight="1">
      <c r="C624" s="8"/>
      <c r="BD624" s="11"/>
      <c r="BR624" s="11"/>
      <c r="BY624" s="11"/>
      <c r="CF624" s="11"/>
      <c r="CM624" s="11"/>
      <c r="CT624" s="11"/>
      <c r="DA624" s="11"/>
      <c r="DH624" s="11"/>
      <c r="DI624" s="11"/>
    </row>
    <row r="625" ht="15.75" customHeight="1">
      <c r="C625" s="8"/>
      <c r="BD625" s="11"/>
      <c r="BR625" s="11"/>
      <c r="BY625" s="11"/>
      <c r="CF625" s="11"/>
      <c r="CM625" s="11"/>
      <c r="CT625" s="11"/>
      <c r="DA625" s="11"/>
      <c r="DH625" s="11"/>
      <c r="DI625" s="11"/>
    </row>
    <row r="626" ht="15.75" customHeight="1">
      <c r="C626" s="8"/>
      <c r="BD626" s="11"/>
      <c r="BR626" s="11"/>
      <c r="BY626" s="11"/>
      <c r="CF626" s="11"/>
      <c r="CM626" s="11"/>
      <c r="CT626" s="11"/>
      <c r="DA626" s="11"/>
      <c r="DH626" s="11"/>
      <c r="DI626" s="11"/>
    </row>
    <row r="627" ht="15.75" customHeight="1">
      <c r="C627" s="8"/>
      <c r="BD627" s="11"/>
      <c r="BR627" s="11"/>
      <c r="BY627" s="11"/>
      <c r="CF627" s="11"/>
      <c r="CM627" s="11"/>
      <c r="CT627" s="11"/>
      <c r="DA627" s="11"/>
      <c r="DH627" s="11"/>
      <c r="DI627" s="11"/>
    </row>
    <row r="628" ht="15.75" customHeight="1">
      <c r="C628" s="8"/>
      <c r="BD628" s="11"/>
      <c r="BR628" s="11"/>
      <c r="BY628" s="11"/>
      <c r="CF628" s="11"/>
      <c r="CM628" s="11"/>
      <c r="CT628" s="11"/>
      <c r="DA628" s="11"/>
      <c r="DH628" s="11"/>
      <c r="DI628" s="11"/>
    </row>
    <row r="629" ht="15.75" customHeight="1">
      <c r="C629" s="8"/>
      <c r="BD629" s="11"/>
      <c r="BR629" s="11"/>
      <c r="BY629" s="11"/>
      <c r="CF629" s="11"/>
      <c r="CM629" s="11"/>
      <c r="CT629" s="11"/>
      <c r="DA629" s="11"/>
      <c r="DH629" s="11"/>
      <c r="DI629" s="11"/>
    </row>
    <row r="630" ht="15.75" customHeight="1">
      <c r="C630" s="8"/>
      <c r="BD630" s="11"/>
      <c r="BR630" s="11"/>
      <c r="BY630" s="11"/>
      <c r="CF630" s="11"/>
      <c r="CM630" s="11"/>
      <c r="CT630" s="11"/>
      <c r="DA630" s="11"/>
      <c r="DH630" s="11"/>
      <c r="DI630" s="11"/>
    </row>
    <row r="631" ht="15.75" customHeight="1">
      <c r="C631" s="8"/>
      <c r="BD631" s="11"/>
      <c r="BR631" s="11"/>
      <c r="BY631" s="11"/>
      <c r="CF631" s="11"/>
      <c r="CM631" s="11"/>
      <c r="CT631" s="11"/>
      <c r="DA631" s="11"/>
      <c r="DH631" s="11"/>
      <c r="DI631" s="11"/>
    </row>
    <row r="632" ht="15.75" customHeight="1">
      <c r="C632" s="8"/>
      <c r="BD632" s="11"/>
      <c r="BR632" s="11"/>
      <c r="BY632" s="11"/>
      <c r="CF632" s="11"/>
      <c r="CM632" s="11"/>
      <c r="CT632" s="11"/>
      <c r="DA632" s="11"/>
      <c r="DH632" s="11"/>
      <c r="DI632" s="11"/>
    </row>
    <row r="633" ht="15.75" customHeight="1">
      <c r="C633" s="8"/>
      <c r="BD633" s="11"/>
      <c r="BR633" s="11"/>
      <c r="BY633" s="11"/>
      <c r="CF633" s="11"/>
      <c r="CM633" s="11"/>
      <c r="CT633" s="11"/>
      <c r="DA633" s="11"/>
      <c r="DH633" s="11"/>
      <c r="DI633" s="11"/>
    </row>
    <row r="634" ht="15.75" customHeight="1">
      <c r="C634" s="8"/>
      <c r="BD634" s="11"/>
      <c r="BR634" s="11"/>
      <c r="BY634" s="11"/>
      <c r="CF634" s="11"/>
      <c r="CM634" s="11"/>
      <c r="CT634" s="11"/>
      <c r="DA634" s="11"/>
      <c r="DH634" s="11"/>
      <c r="DI634" s="11"/>
    </row>
    <row r="635" ht="15.75" customHeight="1">
      <c r="C635" s="8"/>
      <c r="BD635" s="11"/>
      <c r="BR635" s="11"/>
      <c r="BY635" s="11"/>
      <c r="CF635" s="11"/>
      <c r="CM635" s="11"/>
      <c r="CT635" s="11"/>
      <c r="DA635" s="11"/>
      <c r="DH635" s="11"/>
      <c r="DI635" s="11"/>
    </row>
    <row r="636" ht="15.75" customHeight="1">
      <c r="C636" s="8"/>
      <c r="BD636" s="11"/>
      <c r="BR636" s="11"/>
      <c r="BY636" s="11"/>
      <c r="CF636" s="11"/>
      <c r="CM636" s="11"/>
      <c r="CT636" s="11"/>
      <c r="DA636" s="11"/>
      <c r="DH636" s="11"/>
      <c r="DI636" s="11"/>
    </row>
    <row r="637" ht="15.75" customHeight="1">
      <c r="C637" s="8"/>
      <c r="BD637" s="11"/>
      <c r="BR637" s="11"/>
      <c r="BY637" s="11"/>
      <c r="CF637" s="11"/>
      <c r="CM637" s="11"/>
      <c r="CT637" s="11"/>
      <c r="DA637" s="11"/>
      <c r="DH637" s="11"/>
      <c r="DI637" s="11"/>
    </row>
    <row r="638" ht="15.75" customHeight="1">
      <c r="C638" s="8"/>
      <c r="BD638" s="11"/>
      <c r="BR638" s="11"/>
      <c r="BY638" s="11"/>
      <c r="CF638" s="11"/>
      <c r="CM638" s="11"/>
      <c r="CT638" s="11"/>
      <c r="DA638" s="11"/>
      <c r="DH638" s="11"/>
      <c r="DI638" s="11"/>
    </row>
    <row r="639" ht="15.75" customHeight="1">
      <c r="C639" s="8"/>
      <c r="BD639" s="11"/>
      <c r="BR639" s="11"/>
      <c r="BY639" s="11"/>
      <c r="CF639" s="11"/>
      <c r="CM639" s="11"/>
      <c r="CT639" s="11"/>
      <c r="DA639" s="11"/>
      <c r="DH639" s="11"/>
      <c r="DI639" s="11"/>
    </row>
    <row r="640" ht="15.75" customHeight="1">
      <c r="C640" s="8"/>
      <c r="BD640" s="11"/>
      <c r="BR640" s="11"/>
      <c r="BY640" s="11"/>
      <c r="CF640" s="11"/>
      <c r="CM640" s="11"/>
      <c r="CT640" s="11"/>
      <c r="DA640" s="11"/>
      <c r="DH640" s="11"/>
      <c r="DI640" s="11"/>
    </row>
    <row r="641" ht="15.75" customHeight="1">
      <c r="C641" s="8"/>
      <c r="BD641" s="11"/>
      <c r="BR641" s="11"/>
      <c r="BY641" s="11"/>
      <c r="CF641" s="11"/>
      <c r="CM641" s="11"/>
      <c r="CT641" s="11"/>
      <c r="DA641" s="11"/>
      <c r="DH641" s="11"/>
      <c r="DI641" s="11"/>
    </row>
    <row r="642" ht="15.75" customHeight="1">
      <c r="C642" s="8"/>
      <c r="BD642" s="11"/>
      <c r="BR642" s="11"/>
      <c r="BY642" s="11"/>
      <c r="CF642" s="11"/>
      <c r="CM642" s="11"/>
      <c r="CT642" s="11"/>
      <c r="DA642" s="11"/>
      <c r="DH642" s="11"/>
      <c r="DI642" s="11"/>
    </row>
    <row r="643" ht="15.75" customHeight="1">
      <c r="C643" s="8"/>
      <c r="BD643" s="11"/>
      <c r="BR643" s="11"/>
      <c r="BY643" s="11"/>
      <c r="CF643" s="11"/>
      <c r="CM643" s="11"/>
      <c r="CT643" s="11"/>
      <c r="DA643" s="11"/>
      <c r="DH643" s="11"/>
      <c r="DI643" s="11"/>
    </row>
    <row r="644" ht="15.75" customHeight="1">
      <c r="C644" s="8"/>
      <c r="BD644" s="11"/>
      <c r="BR644" s="11"/>
      <c r="BY644" s="11"/>
      <c r="CF644" s="11"/>
      <c r="CM644" s="11"/>
      <c r="CT644" s="11"/>
      <c r="DA644" s="11"/>
      <c r="DH644" s="11"/>
      <c r="DI644" s="11"/>
    </row>
    <row r="645" ht="15.75" customHeight="1">
      <c r="C645" s="8"/>
      <c r="BD645" s="11"/>
      <c r="BR645" s="11"/>
      <c r="BY645" s="11"/>
      <c r="CF645" s="11"/>
      <c r="CM645" s="11"/>
      <c r="CT645" s="11"/>
      <c r="DA645" s="11"/>
      <c r="DH645" s="11"/>
      <c r="DI645" s="11"/>
    </row>
    <row r="646" ht="15.75" customHeight="1">
      <c r="C646" s="8"/>
      <c r="BD646" s="11"/>
      <c r="BR646" s="11"/>
      <c r="BY646" s="11"/>
      <c r="CF646" s="11"/>
      <c r="CM646" s="11"/>
      <c r="CT646" s="11"/>
      <c r="DA646" s="11"/>
      <c r="DH646" s="11"/>
      <c r="DI646" s="11"/>
    </row>
    <row r="647" ht="15.75" customHeight="1">
      <c r="C647" s="8"/>
      <c r="BD647" s="11"/>
      <c r="BR647" s="11"/>
      <c r="BY647" s="11"/>
      <c r="CF647" s="11"/>
      <c r="CM647" s="11"/>
      <c r="CT647" s="11"/>
      <c r="DA647" s="11"/>
      <c r="DH647" s="11"/>
      <c r="DI647" s="11"/>
    </row>
    <row r="648" ht="15.75" customHeight="1">
      <c r="C648" s="8"/>
      <c r="BD648" s="11"/>
      <c r="BR648" s="11"/>
      <c r="BY648" s="11"/>
      <c r="CF648" s="11"/>
      <c r="CM648" s="11"/>
      <c r="CT648" s="11"/>
      <c r="DA648" s="11"/>
      <c r="DH648" s="11"/>
      <c r="DI648" s="11"/>
    </row>
    <row r="649" ht="15.75" customHeight="1">
      <c r="C649" s="8"/>
      <c r="BD649" s="11"/>
      <c r="BR649" s="11"/>
      <c r="BY649" s="11"/>
      <c r="CF649" s="11"/>
      <c r="CM649" s="11"/>
      <c r="CT649" s="11"/>
      <c r="DA649" s="11"/>
      <c r="DH649" s="11"/>
      <c r="DI649" s="11"/>
    </row>
    <row r="650" ht="15.75" customHeight="1">
      <c r="C650" s="8"/>
      <c r="BD650" s="11"/>
      <c r="BR650" s="11"/>
      <c r="BY650" s="11"/>
      <c r="CF650" s="11"/>
      <c r="CM650" s="11"/>
      <c r="CT650" s="11"/>
      <c r="DA650" s="11"/>
      <c r="DH650" s="11"/>
      <c r="DI650" s="11"/>
    </row>
    <row r="651" ht="15.75" customHeight="1">
      <c r="C651" s="8"/>
      <c r="BD651" s="11"/>
      <c r="BR651" s="11"/>
      <c r="BY651" s="11"/>
      <c r="CF651" s="11"/>
      <c r="CM651" s="11"/>
      <c r="CT651" s="11"/>
      <c r="DA651" s="11"/>
      <c r="DH651" s="11"/>
      <c r="DI651" s="11"/>
    </row>
    <row r="652" ht="15.75" customHeight="1">
      <c r="C652" s="8"/>
      <c r="BD652" s="11"/>
      <c r="BR652" s="11"/>
      <c r="BY652" s="11"/>
      <c r="CF652" s="11"/>
      <c r="CM652" s="11"/>
      <c r="CT652" s="11"/>
      <c r="DA652" s="11"/>
      <c r="DH652" s="11"/>
      <c r="DI652" s="11"/>
    </row>
    <row r="653" ht="15.75" customHeight="1">
      <c r="C653" s="8"/>
      <c r="BD653" s="11"/>
      <c r="BR653" s="11"/>
      <c r="BY653" s="11"/>
      <c r="CF653" s="11"/>
      <c r="CM653" s="11"/>
      <c r="CT653" s="11"/>
      <c r="DA653" s="11"/>
      <c r="DH653" s="11"/>
      <c r="DI653" s="11"/>
    </row>
    <row r="654" ht="15.75" customHeight="1">
      <c r="C654" s="8"/>
      <c r="BD654" s="11"/>
      <c r="BR654" s="11"/>
      <c r="BY654" s="11"/>
      <c r="CF654" s="11"/>
      <c r="CM654" s="11"/>
      <c r="CT654" s="11"/>
      <c r="DA654" s="11"/>
      <c r="DH654" s="11"/>
      <c r="DI654" s="11"/>
    </row>
    <row r="655" ht="15.75" customHeight="1">
      <c r="C655" s="8"/>
      <c r="BD655" s="11"/>
      <c r="BR655" s="11"/>
      <c r="BY655" s="11"/>
      <c r="CF655" s="11"/>
      <c r="CM655" s="11"/>
      <c r="CT655" s="11"/>
      <c r="DA655" s="11"/>
      <c r="DH655" s="11"/>
      <c r="DI655" s="11"/>
    </row>
    <row r="656" ht="15.75" customHeight="1">
      <c r="C656" s="8"/>
      <c r="BD656" s="11"/>
      <c r="BR656" s="11"/>
      <c r="BY656" s="11"/>
      <c r="CF656" s="11"/>
      <c r="CM656" s="11"/>
      <c r="CT656" s="11"/>
      <c r="DA656" s="11"/>
      <c r="DH656" s="11"/>
      <c r="DI656" s="11"/>
    </row>
    <row r="657" ht="15.75" customHeight="1">
      <c r="C657" s="8"/>
      <c r="BD657" s="11"/>
      <c r="BR657" s="11"/>
      <c r="BY657" s="11"/>
      <c r="CF657" s="11"/>
      <c r="CM657" s="11"/>
      <c r="CT657" s="11"/>
      <c r="DA657" s="11"/>
      <c r="DH657" s="11"/>
      <c r="DI657" s="11"/>
    </row>
    <row r="658" ht="15.75" customHeight="1">
      <c r="C658" s="8"/>
      <c r="BD658" s="11"/>
      <c r="BR658" s="11"/>
      <c r="BY658" s="11"/>
      <c r="CF658" s="11"/>
      <c r="CM658" s="11"/>
      <c r="CT658" s="11"/>
      <c r="DA658" s="11"/>
      <c r="DH658" s="11"/>
      <c r="DI658" s="11"/>
    </row>
    <row r="659" ht="15.75" customHeight="1">
      <c r="C659" s="8"/>
      <c r="BD659" s="11"/>
      <c r="BR659" s="11"/>
      <c r="BY659" s="11"/>
      <c r="CF659" s="11"/>
      <c r="CM659" s="11"/>
      <c r="CT659" s="11"/>
      <c r="DA659" s="11"/>
      <c r="DH659" s="11"/>
      <c r="DI659" s="11"/>
    </row>
    <row r="660" ht="15.75" customHeight="1">
      <c r="C660" s="8"/>
      <c r="BD660" s="11"/>
      <c r="BR660" s="11"/>
      <c r="BY660" s="11"/>
      <c r="CF660" s="11"/>
      <c r="CM660" s="11"/>
      <c r="CT660" s="11"/>
      <c r="DA660" s="11"/>
      <c r="DH660" s="11"/>
      <c r="DI660" s="11"/>
    </row>
    <row r="661" ht="15.75" customHeight="1">
      <c r="C661" s="8"/>
      <c r="BD661" s="11"/>
      <c r="BR661" s="11"/>
      <c r="BY661" s="11"/>
      <c r="CF661" s="11"/>
      <c r="CM661" s="11"/>
      <c r="CT661" s="11"/>
      <c r="DA661" s="11"/>
      <c r="DH661" s="11"/>
      <c r="DI661" s="11"/>
    </row>
    <row r="662" ht="15.75" customHeight="1">
      <c r="C662" s="8"/>
      <c r="BD662" s="11"/>
      <c r="BR662" s="11"/>
      <c r="BY662" s="11"/>
      <c r="CF662" s="11"/>
      <c r="CM662" s="11"/>
      <c r="CT662" s="11"/>
      <c r="DA662" s="11"/>
      <c r="DH662" s="11"/>
      <c r="DI662" s="11"/>
    </row>
    <row r="663" ht="15.75" customHeight="1">
      <c r="C663" s="8"/>
      <c r="BD663" s="11"/>
      <c r="BR663" s="11"/>
      <c r="BY663" s="11"/>
      <c r="CF663" s="11"/>
      <c r="CM663" s="11"/>
      <c r="CT663" s="11"/>
      <c r="DA663" s="11"/>
      <c r="DH663" s="11"/>
      <c r="DI663" s="11"/>
    </row>
    <row r="664" ht="15.75" customHeight="1">
      <c r="C664" s="8"/>
      <c r="BD664" s="11"/>
      <c r="BR664" s="11"/>
      <c r="BY664" s="11"/>
      <c r="CF664" s="11"/>
      <c r="CM664" s="11"/>
      <c r="CT664" s="11"/>
      <c r="DA664" s="11"/>
      <c r="DH664" s="11"/>
      <c r="DI664" s="11"/>
    </row>
    <row r="665" ht="15.75" customHeight="1">
      <c r="C665" s="8"/>
      <c r="BD665" s="11"/>
      <c r="BR665" s="11"/>
      <c r="BY665" s="11"/>
      <c r="CF665" s="11"/>
      <c r="CM665" s="11"/>
      <c r="CT665" s="11"/>
      <c r="DA665" s="11"/>
      <c r="DH665" s="11"/>
      <c r="DI665" s="11"/>
    </row>
    <row r="666" ht="15.75" customHeight="1">
      <c r="C666" s="8"/>
      <c r="BD666" s="11"/>
      <c r="BR666" s="11"/>
      <c r="BY666" s="11"/>
      <c r="CF666" s="11"/>
      <c r="CM666" s="11"/>
      <c r="CT666" s="11"/>
      <c r="DA666" s="11"/>
      <c r="DH666" s="11"/>
      <c r="DI666" s="11"/>
    </row>
    <row r="667" ht="15.75" customHeight="1">
      <c r="C667" s="8"/>
      <c r="BD667" s="11"/>
      <c r="BR667" s="11"/>
      <c r="BY667" s="11"/>
      <c r="CF667" s="11"/>
      <c r="CM667" s="11"/>
      <c r="CT667" s="11"/>
      <c r="DA667" s="11"/>
      <c r="DH667" s="11"/>
      <c r="DI667" s="11"/>
    </row>
    <row r="668" ht="15.75" customHeight="1">
      <c r="C668" s="8"/>
      <c r="BD668" s="11"/>
      <c r="BR668" s="11"/>
      <c r="BY668" s="11"/>
      <c r="CF668" s="11"/>
      <c r="CM668" s="11"/>
      <c r="CT668" s="11"/>
      <c r="DA668" s="11"/>
      <c r="DH668" s="11"/>
      <c r="DI668" s="11"/>
    </row>
    <row r="669" ht="15.75" customHeight="1">
      <c r="C669" s="8"/>
      <c r="BD669" s="11"/>
      <c r="BR669" s="11"/>
      <c r="BY669" s="11"/>
      <c r="CF669" s="11"/>
      <c r="CM669" s="11"/>
      <c r="CT669" s="11"/>
      <c r="DA669" s="11"/>
      <c r="DH669" s="11"/>
      <c r="DI669" s="11"/>
    </row>
    <row r="670" ht="15.75" customHeight="1">
      <c r="C670" s="8"/>
      <c r="BD670" s="11"/>
      <c r="BR670" s="11"/>
      <c r="BY670" s="11"/>
      <c r="CF670" s="11"/>
      <c r="CM670" s="11"/>
      <c r="CT670" s="11"/>
      <c r="DA670" s="11"/>
      <c r="DH670" s="11"/>
      <c r="DI670" s="11"/>
    </row>
    <row r="671" ht="15.75" customHeight="1">
      <c r="C671" s="8"/>
      <c r="BD671" s="11"/>
      <c r="BR671" s="11"/>
      <c r="BY671" s="11"/>
      <c r="CF671" s="11"/>
      <c r="CM671" s="11"/>
      <c r="CT671" s="11"/>
      <c r="DA671" s="11"/>
      <c r="DH671" s="11"/>
      <c r="DI671" s="11"/>
    </row>
    <row r="672" ht="15.75" customHeight="1">
      <c r="C672" s="8"/>
      <c r="BD672" s="11"/>
      <c r="BR672" s="11"/>
      <c r="BY672" s="11"/>
      <c r="CF672" s="11"/>
      <c r="CM672" s="11"/>
      <c r="CT672" s="11"/>
      <c r="DA672" s="11"/>
      <c r="DH672" s="11"/>
      <c r="DI672" s="11"/>
    </row>
    <row r="673" ht="15.75" customHeight="1">
      <c r="C673" s="8"/>
      <c r="BD673" s="11"/>
      <c r="BR673" s="11"/>
      <c r="BY673" s="11"/>
      <c r="CF673" s="11"/>
      <c r="CM673" s="11"/>
      <c r="CT673" s="11"/>
      <c r="DA673" s="11"/>
      <c r="DH673" s="11"/>
      <c r="DI673" s="11"/>
    </row>
    <row r="674" ht="15.75" customHeight="1">
      <c r="C674" s="8"/>
      <c r="BD674" s="11"/>
      <c r="BR674" s="11"/>
      <c r="BY674" s="11"/>
      <c r="CF674" s="11"/>
      <c r="CM674" s="11"/>
      <c r="CT674" s="11"/>
      <c r="DA674" s="11"/>
      <c r="DH674" s="11"/>
      <c r="DI674" s="11"/>
    </row>
    <row r="675" ht="15.75" customHeight="1">
      <c r="C675" s="8"/>
      <c r="BD675" s="11"/>
      <c r="BR675" s="11"/>
      <c r="BY675" s="11"/>
      <c r="CF675" s="11"/>
      <c r="CM675" s="11"/>
      <c r="CT675" s="11"/>
      <c r="DA675" s="11"/>
      <c r="DH675" s="11"/>
      <c r="DI675" s="11"/>
    </row>
    <row r="676" ht="15.75" customHeight="1">
      <c r="C676" s="8"/>
      <c r="BD676" s="11"/>
      <c r="BR676" s="11"/>
      <c r="BY676" s="11"/>
      <c r="CF676" s="11"/>
      <c r="CM676" s="11"/>
      <c r="CT676" s="11"/>
      <c r="DA676" s="11"/>
      <c r="DH676" s="11"/>
      <c r="DI676" s="11"/>
    </row>
    <row r="677" ht="15.75" customHeight="1">
      <c r="C677" s="8"/>
      <c r="BD677" s="11"/>
      <c r="BR677" s="11"/>
      <c r="BY677" s="11"/>
      <c r="CF677" s="11"/>
      <c r="CM677" s="11"/>
      <c r="CT677" s="11"/>
      <c r="DA677" s="11"/>
      <c r="DH677" s="11"/>
      <c r="DI677" s="11"/>
    </row>
    <row r="678" ht="15.75" customHeight="1">
      <c r="C678" s="8"/>
      <c r="BD678" s="11"/>
      <c r="BR678" s="11"/>
      <c r="BY678" s="11"/>
      <c r="CF678" s="11"/>
      <c r="CM678" s="11"/>
      <c r="CT678" s="11"/>
      <c r="DA678" s="11"/>
      <c r="DH678" s="11"/>
      <c r="DI678" s="11"/>
    </row>
    <row r="679" ht="15.75" customHeight="1">
      <c r="C679" s="8"/>
      <c r="BD679" s="11"/>
      <c r="BR679" s="11"/>
      <c r="BY679" s="11"/>
      <c r="CF679" s="11"/>
      <c r="CM679" s="11"/>
      <c r="CT679" s="11"/>
      <c r="DA679" s="11"/>
      <c r="DH679" s="11"/>
      <c r="DI679" s="11"/>
    </row>
    <row r="680" ht="15.75" customHeight="1">
      <c r="C680" s="8"/>
      <c r="BD680" s="11"/>
      <c r="BR680" s="11"/>
      <c r="BY680" s="11"/>
      <c r="CF680" s="11"/>
      <c r="CM680" s="11"/>
      <c r="CT680" s="11"/>
      <c r="DA680" s="11"/>
      <c r="DH680" s="11"/>
      <c r="DI680" s="11"/>
    </row>
    <row r="681" ht="15.75" customHeight="1">
      <c r="C681" s="8"/>
      <c r="BD681" s="11"/>
      <c r="BR681" s="11"/>
      <c r="BY681" s="11"/>
      <c r="CF681" s="11"/>
      <c r="CM681" s="11"/>
      <c r="CT681" s="11"/>
      <c r="DA681" s="11"/>
      <c r="DH681" s="11"/>
      <c r="DI681" s="11"/>
    </row>
    <row r="682" ht="15.75" customHeight="1">
      <c r="C682" s="8"/>
      <c r="BD682" s="11"/>
      <c r="BR682" s="11"/>
      <c r="BY682" s="11"/>
      <c r="CF682" s="11"/>
      <c r="CM682" s="11"/>
      <c r="CT682" s="11"/>
      <c r="DA682" s="11"/>
      <c r="DH682" s="11"/>
      <c r="DI682" s="11"/>
    </row>
    <row r="683" ht="15.75" customHeight="1">
      <c r="C683" s="8"/>
      <c r="BD683" s="11"/>
      <c r="BR683" s="11"/>
      <c r="BY683" s="11"/>
      <c r="CF683" s="11"/>
      <c r="CM683" s="11"/>
      <c r="CT683" s="11"/>
      <c r="DA683" s="11"/>
      <c r="DH683" s="11"/>
      <c r="DI683" s="11"/>
    </row>
    <row r="684" ht="15.75" customHeight="1">
      <c r="C684" s="8"/>
      <c r="BD684" s="11"/>
      <c r="BR684" s="11"/>
      <c r="BY684" s="11"/>
      <c r="CF684" s="11"/>
      <c r="CM684" s="11"/>
      <c r="CT684" s="11"/>
      <c r="DA684" s="11"/>
      <c r="DH684" s="11"/>
      <c r="DI684" s="11"/>
    </row>
    <row r="685" ht="15.75" customHeight="1">
      <c r="C685" s="8"/>
      <c r="BD685" s="11"/>
      <c r="BR685" s="11"/>
      <c r="BY685" s="11"/>
      <c r="CF685" s="11"/>
      <c r="CM685" s="11"/>
      <c r="CT685" s="11"/>
      <c r="DA685" s="11"/>
      <c r="DH685" s="11"/>
      <c r="DI685" s="11"/>
    </row>
    <row r="686" ht="15.75" customHeight="1">
      <c r="C686" s="8"/>
      <c r="BD686" s="11"/>
      <c r="BR686" s="11"/>
      <c r="BY686" s="11"/>
      <c r="CF686" s="11"/>
      <c r="CM686" s="11"/>
      <c r="CT686" s="11"/>
      <c r="DA686" s="11"/>
      <c r="DH686" s="11"/>
      <c r="DI686" s="11"/>
    </row>
    <row r="687" ht="15.75" customHeight="1">
      <c r="C687" s="8"/>
      <c r="BD687" s="11"/>
      <c r="BR687" s="11"/>
      <c r="BY687" s="11"/>
      <c r="CF687" s="11"/>
      <c r="CM687" s="11"/>
      <c r="CT687" s="11"/>
      <c r="DA687" s="11"/>
      <c r="DH687" s="11"/>
      <c r="DI687" s="11"/>
    </row>
    <row r="688" ht="15.75" customHeight="1">
      <c r="C688" s="8"/>
      <c r="BD688" s="11"/>
      <c r="BR688" s="11"/>
      <c r="BY688" s="11"/>
      <c r="CF688" s="11"/>
      <c r="CM688" s="11"/>
      <c r="CT688" s="11"/>
      <c r="DA688" s="11"/>
      <c r="DH688" s="11"/>
      <c r="DI688" s="11"/>
    </row>
    <row r="689" ht="15.75" customHeight="1">
      <c r="C689" s="8"/>
      <c r="BD689" s="11"/>
      <c r="BR689" s="11"/>
      <c r="BY689" s="11"/>
      <c r="CF689" s="11"/>
      <c r="CM689" s="11"/>
      <c r="CT689" s="11"/>
      <c r="DA689" s="11"/>
      <c r="DH689" s="11"/>
      <c r="DI689" s="11"/>
    </row>
    <row r="690" ht="15.75" customHeight="1">
      <c r="C690" s="8"/>
      <c r="BD690" s="11"/>
      <c r="BR690" s="11"/>
      <c r="BY690" s="11"/>
      <c r="CF690" s="11"/>
      <c r="CM690" s="11"/>
      <c r="CT690" s="11"/>
      <c r="DA690" s="11"/>
      <c r="DH690" s="11"/>
      <c r="DI690" s="11"/>
    </row>
    <row r="691" ht="15.75" customHeight="1">
      <c r="C691" s="8"/>
      <c r="BD691" s="11"/>
      <c r="BR691" s="11"/>
      <c r="BY691" s="11"/>
      <c r="CF691" s="11"/>
      <c r="CM691" s="11"/>
      <c r="CT691" s="11"/>
      <c r="DA691" s="11"/>
      <c r="DH691" s="11"/>
      <c r="DI691" s="11"/>
    </row>
    <row r="692" ht="15.75" customHeight="1">
      <c r="C692" s="8"/>
      <c r="BD692" s="11"/>
      <c r="BR692" s="11"/>
      <c r="BY692" s="11"/>
      <c r="CF692" s="11"/>
      <c r="CM692" s="11"/>
      <c r="CT692" s="11"/>
      <c r="DA692" s="11"/>
      <c r="DH692" s="11"/>
      <c r="DI692" s="11"/>
    </row>
    <row r="693" ht="15.75" customHeight="1">
      <c r="C693" s="8"/>
      <c r="BD693" s="11"/>
      <c r="BR693" s="11"/>
      <c r="BY693" s="11"/>
      <c r="CF693" s="11"/>
      <c r="CM693" s="11"/>
      <c r="CT693" s="11"/>
      <c r="DA693" s="11"/>
      <c r="DH693" s="11"/>
      <c r="DI693" s="11"/>
    </row>
    <row r="694" ht="15.75" customHeight="1">
      <c r="C694" s="8"/>
      <c r="BD694" s="11"/>
      <c r="BR694" s="11"/>
      <c r="BY694" s="11"/>
      <c r="CF694" s="11"/>
      <c r="CM694" s="11"/>
      <c r="CT694" s="11"/>
      <c r="DA694" s="11"/>
      <c r="DH694" s="11"/>
      <c r="DI694" s="11"/>
    </row>
    <row r="695" ht="15.75" customHeight="1">
      <c r="C695" s="8"/>
      <c r="BD695" s="11"/>
      <c r="BR695" s="11"/>
      <c r="BY695" s="11"/>
      <c r="CF695" s="11"/>
      <c r="CM695" s="11"/>
      <c r="CT695" s="11"/>
      <c r="DA695" s="11"/>
      <c r="DH695" s="11"/>
      <c r="DI695" s="11"/>
    </row>
    <row r="696" ht="15.75" customHeight="1">
      <c r="C696" s="8"/>
      <c r="BD696" s="11"/>
      <c r="BR696" s="11"/>
      <c r="BY696" s="11"/>
      <c r="CF696" s="11"/>
      <c r="CM696" s="11"/>
      <c r="CT696" s="11"/>
      <c r="DA696" s="11"/>
      <c r="DH696" s="11"/>
      <c r="DI696" s="11"/>
    </row>
    <row r="697" ht="15.75" customHeight="1">
      <c r="C697" s="8"/>
      <c r="BD697" s="11"/>
      <c r="BR697" s="11"/>
      <c r="BY697" s="11"/>
      <c r="CF697" s="11"/>
      <c r="CM697" s="11"/>
      <c r="CT697" s="11"/>
      <c r="DA697" s="11"/>
      <c r="DH697" s="11"/>
      <c r="DI697" s="11"/>
    </row>
    <row r="698" ht="15.75" customHeight="1">
      <c r="C698" s="8"/>
      <c r="BD698" s="11"/>
      <c r="BR698" s="11"/>
      <c r="BY698" s="11"/>
      <c r="CF698" s="11"/>
      <c r="CM698" s="11"/>
      <c r="CT698" s="11"/>
      <c r="DA698" s="11"/>
      <c r="DH698" s="11"/>
      <c r="DI698" s="11"/>
    </row>
    <row r="699" ht="15.75" customHeight="1">
      <c r="C699" s="8"/>
      <c r="BD699" s="11"/>
      <c r="BR699" s="11"/>
      <c r="BY699" s="11"/>
      <c r="CF699" s="11"/>
      <c r="CM699" s="11"/>
      <c r="CT699" s="11"/>
      <c r="DA699" s="11"/>
      <c r="DH699" s="11"/>
      <c r="DI699" s="11"/>
    </row>
    <row r="700" ht="15.75" customHeight="1">
      <c r="C700" s="8"/>
      <c r="BD700" s="11"/>
      <c r="BR700" s="11"/>
      <c r="BY700" s="11"/>
      <c r="CF700" s="11"/>
      <c r="CM700" s="11"/>
      <c r="CT700" s="11"/>
      <c r="DA700" s="11"/>
      <c r="DH700" s="11"/>
      <c r="DI700" s="11"/>
    </row>
    <row r="701" ht="15.75" customHeight="1">
      <c r="C701" s="8"/>
      <c r="BD701" s="11"/>
      <c r="BR701" s="11"/>
      <c r="BY701" s="11"/>
      <c r="CF701" s="11"/>
      <c r="CM701" s="11"/>
      <c r="CT701" s="11"/>
      <c r="DA701" s="11"/>
      <c r="DH701" s="11"/>
      <c r="DI701" s="11"/>
    </row>
    <row r="702" ht="15.75" customHeight="1">
      <c r="C702" s="8"/>
      <c r="BD702" s="11"/>
      <c r="BR702" s="11"/>
      <c r="BY702" s="11"/>
      <c r="CF702" s="11"/>
      <c r="CM702" s="11"/>
      <c r="CT702" s="11"/>
      <c r="DA702" s="11"/>
      <c r="DH702" s="11"/>
      <c r="DI702" s="11"/>
    </row>
    <row r="703" ht="15.75" customHeight="1">
      <c r="C703" s="8"/>
      <c r="BD703" s="11"/>
      <c r="BR703" s="11"/>
      <c r="BY703" s="11"/>
      <c r="CF703" s="11"/>
      <c r="CM703" s="11"/>
      <c r="CT703" s="11"/>
      <c r="DA703" s="11"/>
      <c r="DH703" s="11"/>
      <c r="DI703" s="11"/>
    </row>
    <row r="704" ht="15.75" customHeight="1">
      <c r="C704" s="8"/>
      <c r="BD704" s="11"/>
      <c r="BR704" s="11"/>
      <c r="BY704" s="11"/>
      <c r="CF704" s="11"/>
      <c r="CM704" s="11"/>
      <c r="CT704" s="11"/>
      <c r="DA704" s="11"/>
      <c r="DH704" s="11"/>
      <c r="DI704" s="11"/>
    </row>
    <row r="705" ht="15.75" customHeight="1">
      <c r="C705" s="8"/>
      <c r="BD705" s="11"/>
      <c r="BR705" s="11"/>
      <c r="BY705" s="11"/>
      <c r="CF705" s="11"/>
      <c r="CM705" s="11"/>
      <c r="CT705" s="11"/>
      <c r="DA705" s="11"/>
      <c r="DH705" s="11"/>
      <c r="DI705" s="11"/>
    </row>
    <row r="706" ht="15.75" customHeight="1">
      <c r="C706" s="8"/>
      <c r="BD706" s="11"/>
      <c r="BR706" s="11"/>
      <c r="BY706" s="11"/>
      <c r="CF706" s="11"/>
      <c r="CM706" s="11"/>
      <c r="CT706" s="11"/>
      <c r="DA706" s="11"/>
      <c r="DH706" s="11"/>
      <c r="DI706" s="11"/>
    </row>
    <row r="707" ht="15.75" customHeight="1">
      <c r="C707" s="8"/>
      <c r="BD707" s="11"/>
      <c r="BR707" s="11"/>
      <c r="BY707" s="11"/>
      <c r="CF707" s="11"/>
      <c r="CM707" s="11"/>
      <c r="CT707" s="11"/>
      <c r="DA707" s="11"/>
      <c r="DH707" s="11"/>
      <c r="DI707" s="11"/>
    </row>
    <row r="708" ht="15.75" customHeight="1">
      <c r="C708" s="8"/>
      <c r="BD708" s="11"/>
      <c r="BR708" s="11"/>
      <c r="BY708" s="11"/>
      <c r="CF708" s="11"/>
      <c r="CM708" s="11"/>
      <c r="CT708" s="11"/>
      <c r="DA708" s="11"/>
      <c r="DH708" s="11"/>
      <c r="DI708" s="11"/>
    </row>
    <row r="709" ht="15.75" customHeight="1">
      <c r="C709" s="8"/>
      <c r="BD709" s="11"/>
      <c r="BR709" s="11"/>
      <c r="BY709" s="11"/>
      <c r="CF709" s="11"/>
      <c r="CM709" s="11"/>
      <c r="CT709" s="11"/>
      <c r="DA709" s="11"/>
      <c r="DH709" s="11"/>
      <c r="DI709" s="11"/>
    </row>
    <row r="710" ht="15.75" customHeight="1">
      <c r="C710" s="8"/>
      <c r="BD710" s="11"/>
      <c r="BR710" s="11"/>
      <c r="BY710" s="11"/>
      <c r="CF710" s="11"/>
      <c r="CM710" s="11"/>
      <c r="CT710" s="11"/>
      <c r="DA710" s="11"/>
      <c r="DH710" s="11"/>
      <c r="DI710" s="11"/>
    </row>
    <row r="711" ht="15.75" customHeight="1">
      <c r="C711" s="8"/>
      <c r="BD711" s="11"/>
      <c r="BR711" s="11"/>
      <c r="BY711" s="11"/>
      <c r="CF711" s="11"/>
      <c r="CM711" s="11"/>
      <c r="CT711" s="11"/>
      <c r="DA711" s="11"/>
      <c r="DH711" s="11"/>
      <c r="DI711" s="11"/>
    </row>
    <row r="712" ht="15.75" customHeight="1">
      <c r="C712" s="8"/>
      <c r="BD712" s="11"/>
      <c r="BR712" s="11"/>
      <c r="BY712" s="11"/>
      <c r="CF712" s="11"/>
      <c r="CM712" s="11"/>
      <c r="CT712" s="11"/>
      <c r="DA712" s="11"/>
      <c r="DH712" s="11"/>
      <c r="DI712" s="11"/>
    </row>
    <row r="713" ht="15.75" customHeight="1">
      <c r="C713" s="8"/>
      <c r="BD713" s="11"/>
      <c r="BR713" s="11"/>
      <c r="BY713" s="11"/>
      <c r="CF713" s="11"/>
      <c r="CM713" s="11"/>
      <c r="CT713" s="11"/>
      <c r="DA713" s="11"/>
      <c r="DH713" s="11"/>
      <c r="DI713" s="11"/>
    </row>
    <row r="714" ht="15.75" customHeight="1">
      <c r="C714" s="8"/>
      <c r="BD714" s="11"/>
      <c r="BR714" s="11"/>
      <c r="BY714" s="11"/>
      <c r="CF714" s="11"/>
      <c r="CM714" s="11"/>
      <c r="CT714" s="11"/>
      <c r="DA714" s="11"/>
      <c r="DH714" s="11"/>
      <c r="DI714" s="11"/>
    </row>
    <row r="715" ht="15.75" customHeight="1">
      <c r="C715" s="8"/>
      <c r="BD715" s="11"/>
      <c r="BR715" s="11"/>
      <c r="BY715" s="11"/>
      <c r="CF715" s="11"/>
      <c r="CM715" s="11"/>
      <c r="CT715" s="11"/>
      <c r="DA715" s="11"/>
      <c r="DH715" s="11"/>
      <c r="DI715" s="11"/>
    </row>
    <row r="716" ht="15.75" customHeight="1">
      <c r="C716" s="8"/>
      <c r="BD716" s="11"/>
      <c r="BR716" s="11"/>
      <c r="BY716" s="11"/>
      <c r="CF716" s="11"/>
      <c r="CM716" s="11"/>
      <c r="CT716" s="11"/>
      <c r="DA716" s="11"/>
      <c r="DH716" s="11"/>
      <c r="DI716" s="11"/>
    </row>
    <row r="717" ht="15.75" customHeight="1">
      <c r="C717" s="8"/>
      <c r="BD717" s="11"/>
      <c r="BR717" s="11"/>
      <c r="BY717" s="11"/>
      <c r="CF717" s="11"/>
      <c r="CM717" s="11"/>
      <c r="CT717" s="11"/>
      <c r="DA717" s="11"/>
      <c r="DH717" s="11"/>
      <c r="DI717" s="11"/>
    </row>
    <row r="718" ht="15.75" customHeight="1">
      <c r="C718" s="8"/>
      <c r="BD718" s="11"/>
      <c r="BR718" s="11"/>
      <c r="BY718" s="11"/>
      <c r="CF718" s="11"/>
      <c r="CM718" s="11"/>
      <c r="CT718" s="11"/>
      <c r="DA718" s="11"/>
      <c r="DH718" s="11"/>
      <c r="DI718" s="11"/>
    </row>
    <row r="719" ht="15.75" customHeight="1">
      <c r="C719" s="8"/>
      <c r="BD719" s="11"/>
      <c r="BR719" s="11"/>
      <c r="BY719" s="11"/>
      <c r="CF719" s="11"/>
      <c r="CM719" s="11"/>
      <c r="CT719" s="11"/>
      <c r="DA719" s="11"/>
      <c r="DH719" s="11"/>
      <c r="DI719" s="11"/>
    </row>
    <row r="720" ht="15.75" customHeight="1">
      <c r="C720" s="8"/>
      <c r="BD720" s="11"/>
      <c r="BR720" s="11"/>
      <c r="BY720" s="11"/>
      <c r="CF720" s="11"/>
      <c r="CM720" s="11"/>
      <c r="CT720" s="11"/>
      <c r="DA720" s="11"/>
      <c r="DH720" s="11"/>
      <c r="DI720" s="11"/>
    </row>
    <row r="721" ht="15.75" customHeight="1">
      <c r="C721" s="8"/>
      <c r="BD721" s="11"/>
      <c r="BR721" s="11"/>
      <c r="BY721" s="11"/>
      <c r="CF721" s="11"/>
      <c r="CM721" s="11"/>
      <c r="CT721" s="11"/>
      <c r="DA721" s="11"/>
      <c r="DH721" s="11"/>
      <c r="DI721" s="11"/>
    </row>
    <row r="722" ht="15.75" customHeight="1">
      <c r="C722" s="8"/>
      <c r="BD722" s="11"/>
      <c r="BR722" s="11"/>
      <c r="BY722" s="11"/>
      <c r="CF722" s="11"/>
      <c r="CM722" s="11"/>
      <c r="CT722" s="11"/>
      <c r="DA722" s="11"/>
      <c r="DH722" s="11"/>
      <c r="DI722" s="11"/>
    </row>
    <row r="723" ht="15.75" customHeight="1">
      <c r="C723" s="8"/>
      <c r="BD723" s="11"/>
      <c r="BR723" s="11"/>
      <c r="BY723" s="11"/>
      <c r="CF723" s="11"/>
      <c r="CM723" s="11"/>
      <c r="CT723" s="11"/>
      <c r="DA723" s="11"/>
      <c r="DH723" s="11"/>
      <c r="DI723" s="11"/>
    </row>
    <row r="724" ht="15.75" customHeight="1">
      <c r="C724" s="8"/>
      <c r="BD724" s="11"/>
      <c r="BR724" s="11"/>
      <c r="BY724" s="11"/>
      <c r="CF724" s="11"/>
      <c r="CM724" s="11"/>
      <c r="CT724" s="11"/>
      <c r="DA724" s="11"/>
      <c r="DH724" s="11"/>
      <c r="DI724" s="11"/>
    </row>
    <row r="725" ht="15.75" customHeight="1">
      <c r="C725" s="8"/>
      <c r="BD725" s="11"/>
      <c r="BR725" s="11"/>
      <c r="BY725" s="11"/>
      <c r="CF725" s="11"/>
      <c r="CM725" s="11"/>
      <c r="CT725" s="11"/>
      <c r="DA725" s="11"/>
      <c r="DH725" s="11"/>
      <c r="DI725" s="11"/>
    </row>
    <row r="726" ht="15.75" customHeight="1">
      <c r="C726" s="8"/>
      <c r="BD726" s="11"/>
      <c r="BR726" s="11"/>
      <c r="BY726" s="11"/>
      <c r="CF726" s="11"/>
      <c r="CM726" s="11"/>
      <c r="CT726" s="11"/>
      <c r="DA726" s="11"/>
      <c r="DH726" s="11"/>
      <c r="DI726" s="11"/>
    </row>
    <row r="727" ht="15.75" customHeight="1">
      <c r="C727" s="8"/>
      <c r="BD727" s="11"/>
      <c r="BR727" s="11"/>
      <c r="BY727" s="11"/>
      <c r="CF727" s="11"/>
      <c r="CM727" s="11"/>
      <c r="CT727" s="11"/>
      <c r="DA727" s="11"/>
      <c r="DH727" s="11"/>
      <c r="DI727" s="11"/>
    </row>
    <row r="728" ht="15.75" customHeight="1">
      <c r="C728" s="8"/>
      <c r="BD728" s="11"/>
      <c r="BR728" s="11"/>
      <c r="BY728" s="11"/>
      <c r="CF728" s="11"/>
      <c r="CM728" s="11"/>
      <c r="CT728" s="11"/>
      <c r="DA728" s="11"/>
      <c r="DH728" s="11"/>
      <c r="DI728" s="11"/>
    </row>
    <row r="729" ht="15.75" customHeight="1">
      <c r="C729" s="8"/>
      <c r="BD729" s="11"/>
      <c r="BR729" s="11"/>
      <c r="BY729" s="11"/>
      <c r="CF729" s="11"/>
      <c r="CM729" s="11"/>
      <c r="CT729" s="11"/>
      <c r="DA729" s="11"/>
      <c r="DH729" s="11"/>
      <c r="DI729" s="11"/>
    </row>
    <row r="730" ht="15.75" customHeight="1">
      <c r="C730" s="8"/>
      <c r="BD730" s="11"/>
      <c r="BR730" s="11"/>
      <c r="BY730" s="11"/>
      <c r="CF730" s="11"/>
      <c r="CM730" s="11"/>
      <c r="CT730" s="11"/>
      <c r="DA730" s="11"/>
      <c r="DH730" s="11"/>
      <c r="DI730" s="11"/>
    </row>
    <row r="731" ht="15.75" customHeight="1">
      <c r="C731" s="8"/>
      <c r="BD731" s="11"/>
      <c r="BR731" s="11"/>
      <c r="BY731" s="11"/>
      <c r="CF731" s="11"/>
      <c r="CM731" s="11"/>
      <c r="CT731" s="11"/>
      <c r="DA731" s="11"/>
      <c r="DH731" s="11"/>
      <c r="DI731" s="11"/>
    </row>
    <row r="732" ht="15.75" customHeight="1">
      <c r="C732" s="8"/>
      <c r="BD732" s="11"/>
      <c r="BR732" s="11"/>
      <c r="BY732" s="11"/>
      <c r="CF732" s="11"/>
      <c r="CM732" s="11"/>
      <c r="CT732" s="11"/>
      <c r="DA732" s="11"/>
      <c r="DH732" s="11"/>
      <c r="DI732" s="11"/>
    </row>
    <row r="733" ht="15.75" customHeight="1">
      <c r="C733" s="8"/>
      <c r="BD733" s="11"/>
      <c r="BR733" s="11"/>
      <c r="BY733" s="11"/>
      <c r="CF733" s="11"/>
      <c r="CM733" s="11"/>
      <c r="CT733" s="11"/>
      <c r="DA733" s="11"/>
      <c r="DH733" s="11"/>
      <c r="DI733" s="11"/>
    </row>
    <row r="734" ht="15.75" customHeight="1">
      <c r="C734" s="8"/>
      <c r="BD734" s="11"/>
      <c r="BR734" s="11"/>
      <c r="BY734" s="11"/>
      <c r="CF734" s="11"/>
      <c r="CM734" s="11"/>
      <c r="CT734" s="11"/>
      <c r="DA734" s="11"/>
      <c r="DH734" s="11"/>
      <c r="DI734" s="11"/>
    </row>
    <row r="735" ht="15.75" customHeight="1">
      <c r="C735" s="8"/>
      <c r="BD735" s="11"/>
      <c r="BR735" s="11"/>
      <c r="BY735" s="11"/>
      <c r="CF735" s="11"/>
      <c r="CM735" s="11"/>
      <c r="CT735" s="11"/>
      <c r="DA735" s="11"/>
      <c r="DH735" s="11"/>
      <c r="DI735" s="11"/>
    </row>
    <row r="736" ht="15.75" customHeight="1">
      <c r="C736" s="8"/>
      <c r="BD736" s="11"/>
      <c r="BR736" s="11"/>
      <c r="BY736" s="11"/>
      <c r="CF736" s="11"/>
      <c r="CM736" s="11"/>
      <c r="CT736" s="11"/>
      <c r="DA736" s="11"/>
      <c r="DH736" s="11"/>
      <c r="DI736" s="11"/>
    </row>
    <row r="737" ht="15.75" customHeight="1">
      <c r="C737" s="8"/>
      <c r="BD737" s="11"/>
      <c r="BR737" s="11"/>
      <c r="BY737" s="11"/>
      <c r="CF737" s="11"/>
      <c r="CM737" s="11"/>
      <c r="CT737" s="11"/>
      <c r="DA737" s="11"/>
      <c r="DH737" s="11"/>
      <c r="DI737" s="11"/>
    </row>
    <row r="738" ht="15.75" customHeight="1">
      <c r="C738" s="8"/>
      <c r="BD738" s="11"/>
      <c r="BR738" s="11"/>
      <c r="BY738" s="11"/>
      <c r="CF738" s="11"/>
      <c r="CM738" s="11"/>
      <c r="CT738" s="11"/>
      <c r="DA738" s="11"/>
      <c r="DH738" s="11"/>
      <c r="DI738" s="11"/>
    </row>
    <row r="739" ht="15.75" customHeight="1">
      <c r="C739" s="8"/>
      <c r="BD739" s="11"/>
      <c r="BR739" s="11"/>
      <c r="BY739" s="11"/>
      <c r="CF739" s="11"/>
      <c r="CM739" s="11"/>
      <c r="CT739" s="11"/>
      <c r="DA739" s="11"/>
      <c r="DH739" s="11"/>
      <c r="DI739" s="11"/>
    </row>
    <row r="740" ht="15.75" customHeight="1">
      <c r="C740" s="8"/>
      <c r="BD740" s="11"/>
      <c r="BR740" s="11"/>
      <c r="BY740" s="11"/>
      <c r="CF740" s="11"/>
      <c r="CM740" s="11"/>
      <c r="CT740" s="11"/>
      <c r="DA740" s="11"/>
      <c r="DH740" s="11"/>
      <c r="DI740" s="11"/>
    </row>
    <row r="741" ht="15.75" customHeight="1">
      <c r="C741" s="8"/>
      <c r="BD741" s="11"/>
      <c r="BR741" s="11"/>
      <c r="BY741" s="11"/>
      <c r="CF741" s="11"/>
      <c r="CM741" s="11"/>
      <c r="CT741" s="11"/>
      <c r="DA741" s="11"/>
      <c r="DH741" s="11"/>
      <c r="DI741" s="11"/>
    </row>
    <row r="742" ht="15.75" customHeight="1">
      <c r="C742" s="8"/>
      <c r="BD742" s="11"/>
      <c r="BR742" s="11"/>
      <c r="BY742" s="11"/>
      <c r="CF742" s="11"/>
      <c r="CM742" s="11"/>
      <c r="CT742" s="11"/>
      <c r="DA742" s="11"/>
      <c r="DH742" s="11"/>
      <c r="DI742" s="11"/>
    </row>
    <row r="743" ht="15.75" customHeight="1">
      <c r="C743" s="8"/>
      <c r="BD743" s="11"/>
      <c r="BR743" s="11"/>
      <c r="BY743" s="11"/>
      <c r="CF743" s="11"/>
      <c r="CM743" s="11"/>
      <c r="CT743" s="11"/>
      <c r="DA743" s="11"/>
      <c r="DH743" s="11"/>
      <c r="DI743" s="11"/>
    </row>
    <row r="744" ht="15.75" customHeight="1">
      <c r="C744" s="8"/>
      <c r="BD744" s="11"/>
      <c r="BR744" s="11"/>
      <c r="BY744" s="11"/>
      <c r="CF744" s="11"/>
      <c r="CM744" s="11"/>
      <c r="CT744" s="11"/>
      <c r="DA744" s="11"/>
      <c r="DH744" s="11"/>
      <c r="DI744" s="11"/>
    </row>
    <row r="745" ht="15.75" customHeight="1">
      <c r="C745" s="8"/>
      <c r="BD745" s="11"/>
      <c r="BR745" s="11"/>
      <c r="BY745" s="11"/>
      <c r="CF745" s="11"/>
      <c r="CM745" s="11"/>
      <c r="CT745" s="11"/>
      <c r="DA745" s="11"/>
      <c r="DH745" s="11"/>
      <c r="DI745" s="11"/>
    </row>
    <row r="746" ht="15.75" customHeight="1">
      <c r="C746" s="8"/>
      <c r="BD746" s="11"/>
      <c r="BR746" s="11"/>
      <c r="BY746" s="11"/>
      <c r="CF746" s="11"/>
      <c r="CM746" s="11"/>
      <c r="CT746" s="11"/>
      <c r="DA746" s="11"/>
      <c r="DH746" s="11"/>
      <c r="DI746" s="11"/>
    </row>
    <row r="747" ht="15.75" customHeight="1">
      <c r="C747" s="8"/>
      <c r="BD747" s="11"/>
      <c r="BR747" s="11"/>
      <c r="BY747" s="11"/>
      <c r="CF747" s="11"/>
      <c r="CM747" s="11"/>
      <c r="CT747" s="11"/>
      <c r="DA747" s="11"/>
      <c r="DH747" s="11"/>
      <c r="DI747" s="11"/>
    </row>
    <row r="748" ht="15.75" customHeight="1">
      <c r="C748" s="8"/>
      <c r="BD748" s="11"/>
      <c r="BR748" s="11"/>
      <c r="BY748" s="11"/>
      <c r="CF748" s="11"/>
      <c r="CM748" s="11"/>
      <c r="CT748" s="11"/>
      <c r="DA748" s="11"/>
      <c r="DH748" s="11"/>
      <c r="DI748" s="11"/>
    </row>
    <row r="749" ht="15.75" customHeight="1">
      <c r="C749" s="8"/>
      <c r="BD749" s="11"/>
      <c r="BR749" s="11"/>
      <c r="BY749" s="11"/>
      <c r="CF749" s="11"/>
      <c r="CM749" s="11"/>
      <c r="CT749" s="11"/>
      <c r="DA749" s="11"/>
      <c r="DH749" s="11"/>
      <c r="DI749" s="11"/>
    </row>
    <row r="750" ht="15.75" customHeight="1">
      <c r="C750" s="8"/>
      <c r="BD750" s="11"/>
      <c r="BR750" s="11"/>
      <c r="BY750" s="11"/>
      <c r="CF750" s="11"/>
      <c r="CM750" s="11"/>
      <c r="CT750" s="11"/>
      <c r="DA750" s="11"/>
      <c r="DH750" s="11"/>
      <c r="DI750" s="11"/>
    </row>
    <row r="751" ht="15.75" customHeight="1">
      <c r="C751" s="8"/>
      <c r="BD751" s="11"/>
      <c r="BR751" s="11"/>
      <c r="BY751" s="11"/>
      <c r="CF751" s="11"/>
      <c r="CM751" s="11"/>
      <c r="CT751" s="11"/>
      <c r="DA751" s="11"/>
      <c r="DH751" s="11"/>
      <c r="DI751" s="11"/>
    </row>
    <row r="752" ht="15.75" customHeight="1">
      <c r="C752" s="8"/>
      <c r="BD752" s="11"/>
      <c r="BR752" s="11"/>
      <c r="BY752" s="11"/>
      <c r="CF752" s="11"/>
      <c r="CM752" s="11"/>
      <c r="CT752" s="11"/>
      <c r="DA752" s="11"/>
      <c r="DH752" s="11"/>
      <c r="DI752" s="11"/>
    </row>
    <row r="753" ht="15.75" customHeight="1">
      <c r="C753" s="8"/>
      <c r="BD753" s="11"/>
      <c r="BR753" s="11"/>
      <c r="BY753" s="11"/>
      <c r="CF753" s="11"/>
      <c r="CM753" s="11"/>
      <c r="CT753" s="11"/>
      <c r="DA753" s="11"/>
      <c r="DH753" s="11"/>
      <c r="DI753" s="11"/>
    </row>
    <row r="754" ht="15.75" customHeight="1">
      <c r="C754" s="8"/>
      <c r="BD754" s="11"/>
      <c r="BR754" s="11"/>
      <c r="BY754" s="11"/>
      <c r="CF754" s="11"/>
      <c r="CM754" s="11"/>
      <c r="CT754" s="11"/>
      <c r="DA754" s="11"/>
      <c r="DH754" s="11"/>
      <c r="DI754" s="11"/>
    </row>
    <row r="755" ht="15.75" customHeight="1">
      <c r="C755" s="8"/>
      <c r="BD755" s="11"/>
      <c r="BR755" s="11"/>
      <c r="BY755" s="11"/>
      <c r="CF755" s="11"/>
      <c r="CM755" s="11"/>
      <c r="CT755" s="11"/>
      <c r="DA755" s="11"/>
      <c r="DH755" s="11"/>
      <c r="DI755" s="11"/>
    </row>
    <row r="756" ht="15.75" customHeight="1">
      <c r="C756" s="8"/>
      <c r="BD756" s="11"/>
      <c r="BR756" s="11"/>
      <c r="BY756" s="11"/>
      <c r="CF756" s="11"/>
      <c r="CM756" s="11"/>
      <c r="CT756" s="11"/>
      <c r="DA756" s="11"/>
      <c r="DH756" s="11"/>
      <c r="DI756" s="11"/>
    </row>
    <row r="757" ht="15.75" customHeight="1">
      <c r="C757" s="8"/>
      <c r="BD757" s="11"/>
      <c r="BR757" s="11"/>
      <c r="BY757" s="11"/>
      <c r="CF757" s="11"/>
      <c r="CM757" s="11"/>
      <c r="CT757" s="11"/>
      <c r="DA757" s="11"/>
      <c r="DH757" s="11"/>
      <c r="DI757" s="11"/>
    </row>
    <row r="758" ht="15.75" customHeight="1">
      <c r="C758" s="8"/>
      <c r="BD758" s="11"/>
      <c r="BR758" s="11"/>
      <c r="BY758" s="11"/>
      <c r="CF758" s="11"/>
      <c r="CM758" s="11"/>
      <c r="CT758" s="11"/>
      <c r="DA758" s="11"/>
      <c r="DH758" s="11"/>
      <c r="DI758" s="11"/>
    </row>
    <row r="759" ht="15.75" customHeight="1">
      <c r="C759" s="8"/>
      <c r="BD759" s="11"/>
      <c r="BR759" s="11"/>
      <c r="BY759" s="11"/>
      <c r="CF759" s="11"/>
      <c r="CM759" s="11"/>
      <c r="CT759" s="11"/>
      <c r="DA759" s="11"/>
      <c r="DH759" s="11"/>
      <c r="DI759" s="11"/>
    </row>
    <row r="760" ht="15.75" customHeight="1">
      <c r="C760" s="8"/>
      <c r="BD760" s="11"/>
      <c r="BR760" s="11"/>
      <c r="BY760" s="11"/>
      <c r="CF760" s="11"/>
      <c r="CM760" s="11"/>
      <c r="CT760" s="11"/>
      <c r="DA760" s="11"/>
      <c r="DH760" s="11"/>
      <c r="DI760" s="11"/>
    </row>
    <row r="761" ht="15.75" customHeight="1">
      <c r="C761" s="8"/>
      <c r="BD761" s="11"/>
      <c r="BR761" s="11"/>
      <c r="BY761" s="11"/>
      <c r="CF761" s="11"/>
      <c r="CM761" s="11"/>
      <c r="CT761" s="11"/>
      <c r="DA761" s="11"/>
      <c r="DH761" s="11"/>
      <c r="DI761" s="11"/>
    </row>
    <row r="762" ht="15.75" customHeight="1">
      <c r="C762" s="8"/>
      <c r="BD762" s="11"/>
      <c r="BR762" s="11"/>
      <c r="BY762" s="11"/>
      <c r="CF762" s="11"/>
      <c r="CM762" s="11"/>
      <c r="CT762" s="11"/>
      <c r="DA762" s="11"/>
      <c r="DH762" s="11"/>
      <c r="DI762" s="11"/>
    </row>
    <row r="763" ht="15.75" customHeight="1">
      <c r="C763" s="8"/>
      <c r="BD763" s="11"/>
      <c r="BR763" s="11"/>
      <c r="BY763" s="11"/>
      <c r="CF763" s="11"/>
      <c r="CM763" s="11"/>
      <c r="CT763" s="11"/>
      <c r="DA763" s="11"/>
      <c r="DH763" s="11"/>
      <c r="DI763" s="11"/>
    </row>
    <row r="764" ht="15.75" customHeight="1">
      <c r="C764" s="8"/>
      <c r="BD764" s="11"/>
      <c r="BR764" s="11"/>
      <c r="BY764" s="11"/>
      <c r="CF764" s="11"/>
      <c r="CM764" s="11"/>
      <c r="CT764" s="11"/>
      <c r="DA764" s="11"/>
      <c r="DH764" s="11"/>
      <c r="DI764" s="11"/>
    </row>
    <row r="765" ht="15.75" customHeight="1">
      <c r="C765" s="8"/>
      <c r="BD765" s="11"/>
      <c r="BR765" s="11"/>
      <c r="BY765" s="11"/>
      <c r="CF765" s="11"/>
      <c r="CM765" s="11"/>
      <c r="CT765" s="11"/>
      <c r="DA765" s="11"/>
      <c r="DH765" s="11"/>
      <c r="DI765" s="11"/>
    </row>
    <row r="766" ht="15.75" customHeight="1">
      <c r="C766" s="8"/>
      <c r="BD766" s="11"/>
      <c r="BR766" s="11"/>
      <c r="BY766" s="11"/>
      <c r="CF766" s="11"/>
      <c r="CM766" s="11"/>
      <c r="CT766" s="11"/>
      <c r="DA766" s="11"/>
      <c r="DH766" s="11"/>
      <c r="DI766" s="11"/>
    </row>
    <row r="767" ht="15.75" customHeight="1">
      <c r="C767" s="8"/>
      <c r="BD767" s="11"/>
      <c r="BR767" s="11"/>
      <c r="BY767" s="11"/>
      <c r="CF767" s="11"/>
      <c r="CM767" s="11"/>
      <c r="CT767" s="11"/>
      <c r="DA767" s="11"/>
      <c r="DH767" s="11"/>
      <c r="DI767" s="11"/>
    </row>
    <row r="768" ht="15.75" customHeight="1">
      <c r="C768" s="8"/>
      <c r="BD768" s="11"/>
      <c r="BR768" s="11"/>
      <c r="BY768" s="11"/>
      <c r="CF768" s="11"/>
      <c r="CM768" s="11"/>
      <c r="CT768" s="11"/>
      <c r="DA768" s="11"/>
      <c r="DH768" s="11"/>
      <c r="DI768" s="11"/>
    </row>
    <row r="769" ht="15.75" customHeight="1">
      <c r="C769" s="8"/>
      <c r="BD769" s="11"/>
      <c r="BR769" s="11"/>
      <c r="BY769" s="11"/>
      <c r="CF769" s="11"/>
      <c r="CM769" s="11"/>
      <c r="CT769" s="11"/>
      <c r="DA769" s="11"/>
      <c r="DH769" s="11"/>
      <c r="DI769" s="11"/>
    </row>
    <row r="770" ht="15.75" customHeight="1">
      <c r="C770" s="8"/>
      <c r="BD770" s="11"/>
      <c r="BR770" s="11"/>
      <c r="BY770" s="11"/>
      <c r="CF770" s="11"/>
      <c r="CM770" s="11"/>
      <c r="CT770" s="11"/>
      <c r="DA770" s="11"/>
      <c r="DH770" s="11"/>
      <c r="DI770" s="11"/>
    </row>
    <row r="771" ht="15.75" customHeight="1">
      <c r="C771" s="8"/>
      <c r="BD771" s="11"/>
      <c r="BR771" s="11"/>
      <c r="BY771" s="11"/>
      <c r="CF771" s="11"/>
      <c r="CM771" s="11"/>
      <c r="CT771" s="11"/>
      <c r="DA771" s="11"/>
      <c r="DH771" s="11"/>
      <c r="DI771" s="11"/>
    </row>
    <row r="772" ht="15.75" customHeight="1">
      <c r="C772" s="8"/>
      <c r="BD772" s="11"/>
      <c r="BR772" s="11"/>
      <c r="BY772" s="11"/>
      <c r="CF772" s="11"/>
      <c r="CM772" s="11"/>
      <c r="CT772" s="11"/>
      <c r="DA772" s="11"/>
      <c r="DH772" s="11"/>
      <c r="DI772" s="11"/>
    </row>
    <row r="773" ht="15.75" customHeight="1">
      <c r="C773" s="8"/>
      <c r="BD773" s="11"/>
      <c r="BR773" s="11"/>
      <c r="BY773" s="11"/>
      <c r="CF773" s="11"/>
      <c r="CM773" s="11"/>
      <c r="CT773" s="11"/>
      <c r="DA773" s="11"/>
      <c r="DH773" s="11"/>
      <c r="DI773" s="11"/>
    </row>
    <row r="774" ht="15.75" customHeight="1">
      <c r="C774" s="8"/>
      <c r="BD774" s="11"/>
      <c r="BR774" s="11"/>
      <c r="BY774" s="11"/>
      <c r="CF774" s="11"/>
      <c r="CM774" s="11"/>
      <c r="CT774" s="11"/>
      <c r="DA774" s="11"/>
      <c r="DH774" s="11"/>
      <c r="DI774" s="11"/>
    </row>
    <row r="775" ht="15.75" customHeight="1">
      <c r="C775" s="8"/>
      <c r="BD775" s="11"/>
      <c r="BR775" s="11"/>
      <c r="BY775" s="11"/>
      <c r="CF775" s="11"/>
      <c r="CM775" s="11"/>
      <c r="CT775" s="11"/>
      <c r="DA775" s="11"/>
      <c r="DH775" s="11"/>
      <c r="DI775" s="11"/>
    </row>
    <row r="776" ht="15.75" customHeight="1">
      <c r="C776" s="8"/>
      <c r="BD776" s="11"/>
      <c r="BR776" s="11"/>
      <c r="BY776" s="11"/>
      <c r="CF776" s="11"/>
      <c r="CM776" s="11"/>
      <c r="CT776" s="11"/>
      <c r="DA776" s="11"/>
      <c r="DH776" s="11"/>
      <c r="DI776" s="11"/>
    </row>
    <row r="777" ht="15.75" customHeight="1">
      <c r="C777" s="8"/>
      <c r="BD777" s="11"/>
      <c r="BR777" s="11"/>
      <c r="BY777" s="11"/>
      <c r="CF777" s="11"/>
      <c r="CM777" s="11"/>
      <c r="CT777" s="11"/>
      <c r="DA777" s="11"/>
      <c r="DH777" s="11"/>
      <c r="DI777" s="11"/>
    </row>
    <row r="778" ht="15.75" customHeight="1">
      <c r="C778" s="8"/>
      <c r="BD778" s="11"/>
      <c r="BR778" s="11"/>
      <c r="BY778" s="11"/>
      <c r="CF778" s="11"/>
      <c r="CM778" s="11"/>
      <c r="CT778" s="11"/>
      <c r="DA778" s="11"/>
      <c r="DH778" s="11"/>
      <c r="DI778" s="11"/>
    </row>
    <row r="779" ht="15.75" customHeight="1">
      <c r="C779" s="8"/>
      <c r="BD779" s="11"/>
      <c r="BR779" s="11"/>
      <c r="BY779" s="11"/>
      <c r="CF779" s="11"/>
      <c r="CM779" s="11"/>
      <c r="CT779" s="11"/>
      <c r="DA779" s="11"/>
      <c r="DH779" s="11"/>
      <c r="DI779" s="11"/>
    </row>
    <row r="780" ht="15.75" customHeight="1">
      <c r="C780" s="8"/>
      <c r="BD780" s="11"/>
      <c r="BR780" s="11"/>
      <c r="BY780" s="11"/>
      <c r="CF780" s="11"/>
      <c r="CM780" s="11"/>
      <c r="CT780" s="11"/>
      <c r="DA780" s="11"/>
      <c r="DH780" s="11"/>
      <c r="DI780" s="11"/>
    </row>
    <row r="781" ht="15.75" customHeight="1">
      <c r="C781" s="8"/>
      <c r="BD781" s="11"/>
      <c r="BR781" s="11"/>
      <c r="BY781" s="11"/>
      <c r="CF781" s="11"/>
      <c r="CM781" s="11"/>
      <c r="CT781" s="11"/>
      <c r="DA781" s="11"/>
      <c r="DH781" s="11"/>
      <c r="DI781" s="11"/>
    </row>
    <row r="782" ht="15.75" customHeight="1">
      <c r="C782" s="8"/>
      <c r="BD782" s="11"/>
      <c r="BR782" s="11"/>
      <c r="BY782" s="11"/>
      <c r="CF782" s="11"/>
      <c r="CM782" s="11"/>
      <c r="CT782" s="11"/>
      <c r="DA782" s="11"/>
      <c r="DH782" s="11"/>
      <c r="DI782" s="11"/>
    </row>
    <row r="783" ht="15.75" customHeight="1">
      <c r="C783" s="8"/>
      <c r="BD783" s="11"/>
      <c r="BR783" s="11"/>
      <c r="BY783" s="11"/>
      <c r="CF783" s="11"/>
      <c r="CM783" s="11"/>
      <c r="CT783" s="11"/>
      <c r="DA783" s="11"/>
      <c r="DH783" s="11"/>
      <c r="DI783" s="11"/>
    </row>
    <row r="784" ht="15.75" customHeight="1">
      <c r="C784" s="8"/>
      <c r="BD784" s="11"/>
      <c r="BR784" s="11"/>
      <c r="BY784" s="11"/>
      <c r="CF784" s="11"/>
      <c r="CM784" s="11"/>
      <c r="CT784" s="11"/>
      <c r="DA784" s="11"/>
      <c r="DH784" s="11"/>
      <c r="DI784" s="11"/>
    </row>
    <row r="785" ht="15.75" customHeight="1">
      <c r="C785" s="8"/>
      <c r="BD785" s="11"/>
      <c r="BR785" s="11"/>
      <c r="BY785" s="11"/>
      <c r="CF785" s="11"/>
      <c r="CM785" s="11"/>
      <c r="CT785" s="11"/>
      <c r="DA785" s="11"/>
      <c r="DH785" s="11"/>
      <c r="DI785" s="11"/>
    </row>
    <row r="786" ht="15.75" customHeight="1">
      <c r="C786" s="8"/>
      <c r="BD786" s="11"/>
      <c r="BR786" s="11"/>
      <c r="BY786" s="11"/>
      <c r="CF786" s="11"/>
      <c r="CM786" s="11"/>
      <c r="CT786" s="11"/>
      <c r="DA786" s="11"/>
      <c r="DH786" s="11"/>
      <c r="DI786" s="11"/>
    </row>
    <row r="787" ht="15.75" customHeight="1">
      <c r="C787" s="8"/>
      <c r="BD787" s="11"/>
      <c r="BR787" s="11"/>
      <c r="BY787" s="11"/>
      <c r="CF787" s="11"/>
      <c r="CM787" s="11"/>
      <c r="CT787" s="11"/>
      <c r="DA787" s="11"/>
      <c r="DH787" s="11"/>
      <c r="DI787" s="11"/>
    </row>
    <row r="788" ht="15.75" customHeight="1">
      <c r="C788" s="8"/>
      <c r="BD788" s="11"/>
      <c r="BR788" s="11"/>
      <c r="BY788" s="11"/>
      <c r="CF788" s="11"/>
      <c r="CM788" s="11"/>
      <c r="CT788" s="11"/>
      <c r="DA788" s="11"/>
      <c r="DH788" s="11"/>
      <c r="DI788" s="11"/>
    </row>
    <row r="789" ht="15.75" customHeight="1">
      <c r="C789" s="8"/>
      <c r="BD789" s="11"/>
      <c r="BR789" s="11"/>
      <c r="BY789" s="11"/>
      <c r="CF789" s="11"/>
      <c r="CM789" s="11"/>
      <c r="CT789" s="11"/>
      <c r="DA789" s="11"/>
      <c r="DH789" s="11"/>
      <c r="DI789" s="11"/>
    </row>
    <row r="790" ht="15.75" customHeight="1">
      <c r="C790" s="8"/>
      <c r="BD790" s="11"/>
      <c r="BR790" s="11"/>
      <c r="BY790" s="11"/>
      <c r="CF790" s="11"/>
      <c r="CM790" s="11"/>
      <c r="CT790" s="11"/>
      <c r="DA790" s="11"/>
      <c r="DH790" s="11"/>
      <c r="DI790" s="11"/>
    </row>
    <row r="791" ht="15.75" customHeight="1">
      <c r="C791" s="8"/>
      <c r="BD791" s="11"/>
      <c r="BR791" s="11"/>
      <c r="BY791" s="11"/>
      <c r="CF791" s="11"/>
      <c r="CM791" s="11"/>
      <c r="CT791" s="11"/>
      <c r="DA791" s="11"/>
      <c r="DH791" s="11"/>
      <c r="DI791" s="11"/>
    </row>
    <row r="792" ht="15.75" customHeight="1">
      <c r="C792" s="8"/>
      <c r="BD792" s="11"/>
      <c r="BR792" s="11"/>
      <c r="BY792" s="11"/>
      <c r="CF792" s="11"/>
      <c r="CM792" s="11"/>
      <c r="CT792" s="11"/>
      <c r="DA792" s="11"/>
      <c r="DH792" s="11"/>
      <c r="DI792" s="11"/>
    </row>
    <row r="793" ht="15.75" customHeight="1">
      <c r="C793" s="8"/>
      <c r="BD793" s="11"/>
      <c r="BR793" s="11"/>
      <c r="BY793" s="11"/>
      <c r="CF793" s="11"/>
      <c r="CM793" s="11"/>
      <c r="CT793" s="11"/>
      <c r="DA793" s="11"/>
      <c r="DH793" s="11"/>
      <c r="DI793" s="11"/>
    </row>
    <row r="794" ht="15.75" customHeight="1">
      <c r="C794" s="8"/>
      <c r="BD794" s="11"/>
      <c r="BR794" s="11"/>
      <c r="BY794" s="11"/>
      <c r="CF794" s="11"/>
      <c r="CM794" s="11"/>
      <c r="CT794" s="11"/>
      <c r="DA794" s="11"/>
      <c r="DH794" s="11"/>
      <c r="DI794" s="11"/>
    </row>
    <row r="795" ht="15.75" customHeight="1">
      <c r="C795" s="8"/>
      <c r="BD795" s="11"/>
      <c r="BR795" s="11"/>
      <c r="BY795" s="11"/>
      <c r="CF795" s="11"/>
      <c r="CM795" s="11"/>
      <c r="CT795" s="11"/>
      <c r="DA795" s="11"/>
      <c r="DH795" s="11"/>
      <c r="DI795" s="11"/>
    </row>
    <row r="796" ht="15.75" customHeight="1">
      <c r="C796" s="8"/>
      <c r="BD796" s="11"/>
      <c r="BR796" s="11"/>
      <c r="BY796" s="11"/>
      <c r="CF796" s="11"/>
      <c r="CM796" s="11"/>
      <c r="CT796" s="11"/>
      <c r="DA796" s="11"/>
      <c r="DH796" s="11"/>
      <c r="DI796" s="11"/>
    </row>
    <row r="797" ht="15.75" customHeight="1">
      <c r="C797" s="8"/>
      <c r="BD797" s="11"/>
      <c r="BR797" s="11"/>
      <c r="BY797" s="11"/>
      <c r="CF797" s="11"/>
      <c r="CM797" s="11"/>
      <c r="CT797" s="11"/>
      <c r="DA797" s="11"/>
      <c r="DH797" s="11"/>
      <c r="DI797" s="11"/>
    </row>
    <row r="798" ht="15.75" customHeight="1">
      <c r="C798" s="8"/>
      <c r="BD798" s="11"/>
      <c r="BR798" s="11"/>
      <c r="BY798" s="11"/>
      <c r="CF798" s="11"/>
      <c r="CM798" s="11"/>
      <c r="CT798" s="11"/>
      <c r="DA798" s="11"/>
      <c r="DH798" s="11"/>
      <c r="DI798" s="11"/>
    </row>
    <row r="799" ht="15.75" customHeight="1">
      <c r="C799" s="8"/>
      <c r="BD799" s="11"/>
      <c r="BR799" s="11"/>
      <c r="BY799" s="11"/>
      <c r="CF799" s="11"/>
      <c r="CM799" s="11"/>
      <c r="CT799" s="11"/>
      <c r="DA799" s="11"/>
      <c r="DH799" s="11"/>
      <c r="DI799" s="11"/>
    </row>
    <row r="800" ht="15.75" customHeight="1">
      <c r="C800" s="8"/>
      <c r="BD800" s="11"/>
      <c r="BR800" s="11"/>
      <c r="BY800" s="11"/>
      <c r="CF800" s="11"/>
      <c r="CM800" s="11"/>
      <c r="CT800" s="11"/>
      <c r="DA800" s="11"/>
      <c r="DH800" s="11"/>
      <c r="DI800" s="11"/>
    </row>
    <row r="801" ht="15.75" customHeight="1">
      <c r="C801" s="8"/>
      <c r="BD801" s="11"/>
      <c r="BR801" s="11"/>
      <c r="BY801" s="11"/>
      <c r="CF801" s="11"/>
      <c r="CM801" s="11"/>
      <c r="CT801" s="11"/>
      <c r="DA801" s="11"/>
      <c r="DH801" s="11"/>
      <c r="DI801" s="11"/>
    </row>
    <row r="802" ht="15.75" customHeight="1">
      <c r="C802" s="8"/>
      <c r="BD802" s="11"/>
      <c r="BR802" s="11"/>
      <c r="BY802" s="11"/>
      <c r="CF802" s="11"/>
      <c r="CM802" s="11"/>
      <c r="CT802" s="11"/>
      <c r="DA802" s="11"/>
      <c r="DH802" s="11"/>
      <c r="DI802" s="11"/>
    </row>
    <row r="803" ht="15.75" customHeight="1">
      <c r="C803" s="8"/>
      <c r="BD803" s="11"/>
      <c r="BR803" s="11"/>
      <c r="BY803" s="11"/>
      <c r="CF803" s="11"/>
      <c r="CM803" s="11"/>
      <c r="CT803" s="11"/>
      <c r="DA803" s="11"/>
      <c r="DH803" s="11"/>
      <c r="DI803" s="11"/>
    </row>
    <row r="804" ht="15.75" customHeight="1">
      <c r="C804" s="8"/>
      <c r="BD804" s="11"/>
      <c r="BR804" s="11"/>
      <c r="BY804" s="11"/>
      <c r="CF804" s="11"/>
      <c r="CM804" s="11"/>
      <c r="CT804" s="11"/>
      <c r="DA804" s="11"/>
      <c r="DH804" s="11"/>
      <c r="DI804" s="11"/>
    </row>
    <row r="805" ht="15.75" customHeight="1">
      <c r="C805" s="8"/>
      <c r="BD805" s="11"/>
      <c r="BR805" s="11"/>
      <c r="BY805" s="11"/>
      <c r="CF805" s="11"/>
      <c r="CM805" s="11"/>
      <c r="CT805" s="11"/>
      <c r="DA805" s="11"/>
      <c r="DH805" s="11"/>
      <c r="DI805" s="11"/>
    </row>
    <row r="806" ht="15.75" customHeight="1">
      <c r="C806" s="8"/>
      <c r="BD806" s="11"/>
      <c r="BR806" s="11"/>
      <c r="BY806" s="11"/>
      <c r="CF806" s="11"/>
      <c r="CM806" s="11"/>
      <c r="CT806" s="11"/>
      <c r="DA806" s="11"/>
      <c r="DH806" s="11"/>
      <c r="DI806" s="11"/>
    </row>
    <row r="807" ht="15.75" customHeight="1">
      <c r="C807" s="8"/>
      <c r="BD807" s="11"/>
      <c r="BR807" s="11"/>
      <c r="BY807" s="11"/>
      <c r="CF807" s="11"/>
      <c r="CM807" s="11"/>
      <c r="CT807" s="11"/>
      <c r="DA807" s="11"/>
      <c r="DH807" s="11"/>
      <c r="DI807" s="11"/>
    </row>
    <row r="808" ht="15.75" customHeight="1">
      <c r="C808" s="8"/>
      <c r="BD808" s="11"/>
      <c r="BR808" s="11"/>
      <c r="BY808" s="11"/>
      <c r="CF808" s="11"/>
      <c r="CM808" s="11"/>
      <c r="CT808" s="11"/>
      <c r="DA808" s="11"/>
      <c r="DH808" s="11"/>
      <c r="DI808" s="11"/>
    </row>
    <row r="809" ht="15.75" customHeight="1">
      <c r="C809" s="8"/>
      <c r="BD809" s="11"/>
      <c r="BR809" s="11"/>
      <c r="BY809" s="11"/>
      <c r="CF809" s="11"/>
      <c r="CM809" s="11"/>
      <c r="CT809" s="11"/>
      <c r="DA809" s="11"/>
      <c r="DH809" s="11"/>
      <c r="DI809" s="11"/>
    </row>
    <row r="810" ht="15.75" customHeight="1">
      <c r="C810" s="8"/>
      <c r="BD810" s="11"/>
      <c r="BR810" s="11"/>
      <c r="BY810" s="11"/>
      <c r="CF810" s="11"/>
      <c r="CM810" s="11"/>
      <c r="CT810" s="11"/>
      <c r="DA810" s="11"/>
      <c r="DH810" s="11"/>
      <c r="DI810" s="11"/>
    </row>
    <row r="811" ht="15.75" customHeight="1">
      <c r="C811" s="8"/>
      <c r="BD811" s="11"/>
      <c r="BR811" s="11"/>
      <c r="BY811" s="11"/>
      <c r="CF811" s="11"/>
      <c r="CM811" s="11"/>
      <c r="CT811" s="11"/>
      <c r="DA811" s="11"/>
      <c r="DH811" s="11"/>
      <c r="DI811" s="11"/>
    </row>
    <row r="812" ht="15.75" customHeight="1">
      <c r="C812" s="8"/>
      <c r="BD812" s="11"/>
      <c r="BR812" s="11"/>
      <c r="BY812" s="11"/>
      <c r="CF812" s="11"/>
      <c r="CM812" s="11"/>
      <c r="CT812" s="11"/>
      <c r="DA812" s="11"/>
      <c r="DH812" s="11"/>
      <c r="DI812" s="11"/>
    </row>
    <row r="813" ht="15.75" customHeight="1">
      <c r="C813" s="8"/>
      <c r="BD813" s="11"/>
      <c r="BR813" s="11"/>
      <c r="BY813" s="11"/>
      <c r="CF813" s="11"/>
      <c r="CM813" s="11"/>
      <c r="CT813" s="11"/>
      <c r="DA813" s="11"/>
      <c r="DH813" s="11"/>
      <c r="DI813" s="11"/>
    </row>
    <row r="814" ht="15.75" customHeight="1">
      <c r="C814" s="8"/>
      <c r="BD814" s="11"/>
      <c r="BR814" s="11"/>
      <c r="BY814" s="11"/>
      <c r="CF814" s="11"/>
      <c r="CM814" s="11"/>
      <c r="CT814" s="11"/>
      <c r="DA814" s="11"/>
      <c r="DH814" s="11"/>
      <c r="DI814" s="11"/>
    </row>
    <row r="815" ht="15.75" customHeight="1">
      <c r="C815" s="8"/>
      <c r="BD815" s="11"/>
      <c r="BR815" s="11"/>
      <c r="BY815" s="11"/>
      <c r="CF815" s="11"/>
      <c r="CM815" s="11"/>
      <c r="CT815" s="11"/>
      <c r="DA815" s="11"/>
      <c r="DH815" s="11"/>
      <c r="DI815" s="11"/>
    </row>
    <row r="816" ht="15.75" customHeight="1">
      <c r="C816" s="8"/>
      <c r="BD816" s="11"/>
      <c r="BR816" s="11"/>
      <c r="BY816" s="11"/>
      <c r="CF816" s="11"/>
      <c r="CM816" s="11"/>
      <c r="CT816" s="11"/>
      <c r="DA816" s="11"/>
      <c r="DH816" s="11"/>
      <c r="DI816" s="11"/>
    </row>
    <row r="817" ht="15.75" customHeight="1">
      <c r="C817" s="8"/>
      <c r="BD817" s="11"/>
      <c r="BR817" s="11"/>
      <c r="BY817" s="11"/>
      <c r="CF817" s="11"/>
      <c r="CM817" s="11"/>
      <c r="CT817" s="11"/>
      <c r="DA817" s="11"/>
      <c r="DH817" s="11"/>
      <c r="DI817" s="11"/>
    </row>
    <row r="818" ht="15.75" customHeight="1">
      <c r="C818" s="8"/>
      <c r="BD818" s="11"/>
      <c r="BR818" s="11"/>
      <c r="BY818" s="11"/>
      <c r="CF818" s="11"/>
      <c r="CM818" s="11"/>
      <c r="CT818" s="11"/>
      <c r="DA818" s="11"/>
      <c r="DH818" s="11"/>
      <c r="DI818" s="11"/>
    </row>
    <row r="819" ht="15.75" customHeight="1">
      <c r="C819" s="8"/>
      <c r="BD819" s="11"/>
      <c r="BR819" s="11"/>
      <c r="BY819" s="11"/>
      <c r="CF819" s="11"/>
      <c r="CM819" s="11"/>
      <c r="CT819" s="11"/>
      <c r="DA819" s="11"/>
      <c r="DH819" s="11"/>
      <c r="DI819" s="11"/>
    </row>
    <row r="820" ht="15.75" customHeight="1">
      <c r="C820" s="8"/>
      <c r="BD820" s="11"/>
      <c r="BR820" s="11"/>
      <c r="BY820" s="11"/>
      <c r="CF820" s="11"/>
      <c r="CM820" s="11"/>
      <c r="CT820" s="11"/>
      <c r="DA820" s="11"/>
      <c r="DH820" s="11"/>
      <c r="DI820" s="11"/>
    </row>
    <row r="821" ht="15.75" customHeight="1">
      <c r="C821" s="8"/>
      <c r="BD821" s="11"/>
      <c r="BR821" s="11"/>
      <c r="BY821" s="11"/>
      <c r="CF821" s="11"/>
      <c r="CM821" s="11"/>
      <c r="CT821" s="11"/>
      <c r="DA821" s="11"/>
      <c r="DH821" s="11"/>
      <c r="DI821" s="11"/>
    </row>
    <row r="822" ht="15.75" customHeight="1">
      <c r="C822" s="8"/>
      <c r="BD822" s="11"/>
      <c r="BR822" s="11"/>
      <c r="BY822" s="11"/>
      <c r="CF822" s="11"/>
      <c r="CM822" s="11"/>
      <c r="CT822" s="11"/>
      <c r="DA822" s="11"/>
      <c r="DH822" s="11"/>
      <c r="DI822" s="11"/>
    </row>
    <row r="823" ht="15.75" customHeight="1">
      <c r="C823" s="8"/>
      <c r="BD823" s="11"/>
      <c r="BR823" s="11"/>
      <c r="BY823" s="11"/>
      <c r="CF823" s="11"/>
      <c r="CM823" s="11"/>
      <c r="CT823" s="11"/>
      <c r="DA823" s="11"/>
      <c r="DH823" s="11"/>
      <c r="DI823" s="11"/>
    </row>
    <row r="824" ht="15.75" customHeight="1">
      <c r="C824" s="8"/>
      <c r="BD824" s="11"/>
      <c r="BR824" s="11"/>
      <c r="BY824" s="11"/>
      <c r="CF824" s="11"/>
      <c r="CM824" s="11"/>
      <c r="CT824" s="11"/>
      <c r="DA824" s="11"/>
      <c r="DH824" s="11"/>
      <c r="DI824" s="11"/>
    </row>
    <row r="825" ht="15.75" customHeight="1">
      <c r="C825" s="8"/>
      <c r="BD825" s="11"/>
      <c r="BR825" s="11"/>
      <c r="BY825" s="11"/>
      <c r="CF825" s="11"/>
      <c r="CM825" s="11"/>
      <c r="CT825" s="11"/>
      <c r="DA825" s="11"/>
      <c r="DH825" s="11"/>
      <c r="DI825" s="11"/>
    </row>
    <row r="826" ht="15.75" customHeight="1">
      <c r="C826" s="8"/>
      <c r="BD826" s="11"/>
      <c r="BR826" s="11"/>
      <c r="BY826" s="11"/>
      <c r="CF826" s="11"/>
      <c r="CM826" s="11"/>
      <c r="CT826" s="11"/>
      <c r="DA826" s="11"/>
      <c r="DH826" s="11"/>
      <c r="DI826" s="11"/>
    </row>
    <row r="827" ht="15.75" customHeight="1">
      <c r="C827" s="8"/>
      <c r="BD827" s="11"/>
      <c r="BR827" s="11"/>
      <c r="BY827" s="11"/>
      <c r="CF827" s="11"/>
      <c r="CM827" s="11"/>
      <c r="CT827" s="11"/>
      <c r="DA827" s="11"/>
      <c r="DH827" s="11"/>
      <c r="DI827" s="11"/>
    </row>
    <row r="828" ht="15.75" customHeight="1">
      <c r="C828" s="8"/>
      <c r="BD828" s="11"/>
      <c r="BR828" s="11"/>
      <c r="BY828" s="11"/>
      <c r="CF828" s="11"/>
      <c r="CM828" s="11"/>
      <c r="CT828" s="11"/>
      <c r="DA828" s="11"/>
      <c r="DH828" s="11"/>
      <c r="DI828" s="11"/>
    </row>
    <row r="829" ht="15.75" customHeight="1">
      <c r="C829" s="8"/>
      <c r="BD829" s="11"/>
      <c r="BR829" s="11"/>
      <c r="BY829" s="11"/>
      <c r="CF829" s="11"/>
      <c r="CM829" s="11"/>
      <c r="CT829" s="11"/>
      <c r="DA829" s="11"/>
      <c r="DH829" s="11"/>
      <c r="DI829" s="11"/>
    </row>
    <row r="830" ht="15.75" customHeight="1">
      <c r="C830" s="8"/>
      <c r="BD830" s="11"/>
      <c r="BR830" s="11"/>
      <c r="BY830" s="11"/>
      <c r="CF830" s="11"/>
      <c r="CM830" s="11"/>
      <c r="CT830" s="11"/>
      <c r="DA830" s="11"/>
      <c r="DH830" s="11"/>
      <c r="DI830" s="11"/>
    </row>
    <row r="831" ht="15.75" customHeight="1">
      <c r="C831" s="8"/>
      <c r="BD831" s="11"/>
      <c r="BR831" s="11"/>
      <c r="BY831" s="11"/>
      <c r="CF831" s="11"/>
      <c r="CM831" s="11"/>
      <c r="CT831" s="11"/>
      <c r="DA831" s="11"/>
      <c r="DH831" s="11"/>
      <c r="DI831" s="11"/>
    </row>
    <row r="832" ht="15.75" customHeight="1">
      <c r="C832" s="8"/>
      <c r="BD832" s="11"/>
      <c r="BR832" s="11"/>
      <c r="BY832" s="11"/>
      <c r="CF832" s="11"/>
      <c r="CM832" s="11"/>
      <c r="CT832" s="11"/>
      <c r="DA832" s="11"/>
      <c r="DH832" s="11"/>
      <c r="DI832" s="11"/>
    </row>
    <row r="833" ht="15.75" customHeight="1">
      <c r="C833" s="8"/>
      <c r="BD833" s="11"/>
      <c r="BR833" s="11"/>
      <c r="BY833" s="11"/>
      <c r="CF833" s="11"/>
      <c r="CM833" s="11"/>
      <c r="CT833" s="11"/>
      <c r="DA833" s="11"/>
      <c r="DH833" s="11"/>
      <c r="DI833" s="11"/>
    </row>
    <row r="834" ht="15.75" customHeight="1">
      <c r="C834" s="8"/>
      <c r="BD834" s="11"/>
      <c r="BR834" s="11"/>
      <c r="BY834" s="11"/>
      <c r="CF834" s="11"/>
      <c r="CM834" s="11"/>
      <c r="CT834" s="11"/>
      <c r="DA834" s="11"/>
      <c r="DH834" s="11"/>
      <c r="DI834" s="11"/>
    </row>
    <row r="835" ht="15.75" customHeight="1">
      <c r="C835" s="8"/>
      <c r="BD835" s="11"/>
      <c r="BR835" s="11"/>
      <c r="BY835" s="11"/>
      <c r="CF835" s="11"/>
      <c r="CM835" s="11"/>
      <c r="CT835" s="11"/>
      <c r="DA835" s="11"/>
      <c r="DH835" s="11"/>
      <c r="DI835" s="11"/>
    </row>
    <row r="836" ht="15.75" customHeight="1">
      <c r="C836" s="8"/>
      <c r="BD836" s="11"/>
      <c r="BR836" s="11"/>
      <c r="BY836" s="11"/>
      <c r="CF836" s="11"/>
      <c r="CM836" s="11"/>
      <c r="CT836" s="11"/>
      <c r="DA836" s="11"/>
      <c r="DH836" s="11"/>
      <c r="DI836" s="11"/>
    </row>
    <row r="837" ht="15.75" customHeight="1">
      <c r="C837" s="8"/>
      <c r="BD837" s="11"/>
      <c r="BR837" s="11"/>
      <c r="BY837" s="11"/>
      <c r="CF837" s="11"/>
      <c r="CM837" s="11"/>
      <c r="CT837" s="11"/>
      <c r="DA837" s="11"/>
      <c r="DH837" s="11"/>
      <c r="DI837" s="11"/>
    </row>
    <row r="838" ht="15.75" customHeight="1">
      <c r="C838" s="8"/>
      <c r="BD838" s="11"/>
      <c r="BR838" s="11"/>
      <c r="BY838" s="11"/>
      <c r="CF838" s="11"/>
      <c r="CM838" s="11"/>
      <c r="CT838" s="11"/>
      <c r="DA838" s="11"/>
      <c r="DH838" s="11"/>
      <c r="DI838" s="11"/>
    </row>
    <row r="839" ht="15.75" customHeight="1">
      <c r="C839" s="8"/>
      <c r="BD839" s="11"/>
      <c r="BR839" s="11"/>
      <c r="BY839" s="11"/>
      <c r="CF839" s="11"/>
      <c r="CM839" s="11"/>
      <c r="CT839" s="11"/>
      <c r="DA839" s="11"/>
      <c r="DH839" s="11"/>
      <c r="DI839" s="11"/>
    </row>
    <row r="840" ht="15.75" customHeight="1">
      <c r="C840" s="8"/>
      <c r="BD840" s="11"/>
      <c r="BR840" s="11"/>
      <c r="BY840" s="11"/>
      <c r="CF840" s="11"/>
      <c r="CM840" s="11"/>
      <c r="CT840" s="11"/>
      <c r="DA840" s="11"/>
      <c r="DH840" s="11"/>
      <c r="DI840" s="11"/>
    </row>
    <row r="841" ht="15.75" customHeight="1">
      <c r="C841" s="8"/>
      <c r="BD841" s="11"/>
      <c r="BR841" s="11"/>
      <c r="BY841" s="11"/>
      <c r="CF841" s="11"/>
      <c r="CM841" s="11"/>
      <c r="CT841" s="11"/>
      <c r="DA841" s="11"/>
      <c r="DH841" s="11"/>
      <c r="DI841" s="11"/>
    </row>
    <row r="842" ht="15.75" customHeight="1">
      <c r="C842" s="8"/>
      <c r="BD842" s="11"/>
      <c r="BR842" s="11"/>
      <c r="BY842" s="11"/>
      <c r="CF842" s="11"/>
      <c r="CM842" s="11"/>
      <c r="CT842" s="11"/>
      <c r="DA842" s="11"/>
      <c r="DH842" s="11"/>
      <c r="DI842" s="11"/>
    </row>
    <row r="843" ht="15.75" customHeight="1">
      <c r="C843" s="8"/>
      <c r="BD843" s="11"/>
      <c r="BR843" s="11"/>
      <c r="BY843" s="11"/>
      <c r="CF843" s="11"/>
      <c r="CM843" s="11"/>
      <c r="CT843" s="11"/>
      <c r="DA843" s="11"/>
      <c r="DH843" s="11"/>
      <c r="DI843" s="11"/>
    </row>
    <row r="844" ht="15.75" customHeight="1">
      <c r="C844" s="8"/>
      <c r="BD844" s="11"/>
      <c r="BR844" s="11"/>
      <c r="BY844" s="11"/>
      <c r="CF844" s="11"/>
      <c r="CM844" s="11"/>
      <c r="CT844" s="11"/>
      <c r="DA844" s="11"/>
      <c r="DH844" s="11"/>
      <c r="DI844" s="11"/>
    </row>
    <row r="845" ht="15.75" customHeight="1">
      <c r="C845" s="8"/>
      <c r="BD845" s="11"/>
      <c r="BR845" s="11"/>
      <c r="BY845" s="11"/>
      <c r="CF845" s="11"/>
      <c r="CM845" s="11"/>
      <c r="CT845" s="11"/>
      <c r="DA845" s="11"/>
      <c r="DH845" s="11"/>
      <c r="DI845" s="11"/>
    </row>
    <row r="846" ht="15.75" customHeight="1">
      <c r="C846" s="8"/>
      <c r="BD846" s="11"/>
      <c r="BR846" s="11"/>
      <c r="BY846" s="11"/>
      <c r="CF846" s="11"/>
      <c r="CM846" s="11"/>
      <c r="CT846" s="11"/>
      <c r="DA846" s="11"/>
      <c r="DH846" s="11"/>
      <c r="DI846" s="11"/>
    </row>
    <row r="847" ht="15.75" customHeight="1">
      <c r="C847" s="8"/>
      <c r="BD847" s="11"/>
      <c r="BR847" s="11"/>
      <c r="BY847" s="11"/>
      <c r="CF847" s="11"/>
      <c r="CM847" s="11"/>
      <c r="CT847" s="11"/>
      <c r="DA847" s="11"/>
      <c r="DH847" s="11"/>
      <c r="DI847" s="11"/>
    </row>
    <row r="848" ht="15.75" customHeight="1">
      <c r="C848" s="8"/>
      <c r="BD848" s="11"/>
      <c r="BR848" s="11"/>
      <c r="BY848" s="11"/>
      <c r="CF848" s="11"/>
      <c r="CM848" s="11"/>
      <c r="CT848" s="11"/>
      <c r="DA848" s="11"/>
      <c r="DH848" s="11"/>
      <c r="DI848" s="11"/>
    </row>
    <row r="849" ht="15.75" customHeight="1">
      <c r="C849" s="8"/>
      <c r="BD849" s="11"/>
      <c r="BR849" s="11"/>
      <c r="BY849" s="11"/>
      <c r="CF849" s="11"/>
      <c r="CM849" s="11"/>
      <c r="CT849" s="11"/>
      <c r="DA849" s="11"/>
      <c r="DH849" s="11"/>
      <c r="DI849" s="11"/>
    </row>
    <row r="850" ht="15.75" customHeight="1">
      <c r="C850" s="8"/>
      <c r="BD850" s="11"/>
      <c r="BR850" s="11"/>
      <c r="BY850" s="11"/>
      <c r="CF850" s="11"/>
      <c r="CM850" s="11"/>
      <c r="CT850" s="11"/>
      <c r="DA850" s="11"/>
      <c r="DH850" s="11"/>
      <c r="DI850" s="11"/>
    </row>
    <row r="851" ht="15.75" customHeight="1">
      <c r="C851" s="8"/>
      <c r="BD851" s="11"/>
      <c r="BR851" s="11"/>
      <c r="BY851" s="11"/>
      <c r="CF851" s="11"/>
      <c r="CM851" s="11"/>
      <c r="CT851" s="11"/>
      <c r="DA851" s="11"/>
      <c r="DH851" s="11"/>
      <c r="DI851" s="11"/>
    </row>
    <row r="852" ht="15.75" customHeight="1">
      <c r="C852" s="8"/>
      <c r="BD852" s="11"/>
      <c r="BR852" s="11"/>
      <c r="BY852" s="11"/>
      <c r="CF852" s="11"/>
      <c r="CM852" s="11"/>
      <c r="CT852" s="11"/>
      <c r="DA852" s="11"/>
      <c r="DH852" s="11"/>
      <c r="DI852" s="11"/>
    </row>
    <row r="853" ht="15.75" customHeight="1">
      <c r="C853" s="8"/>
      <c r="BD853" s="11"/>
      <c r="BR853" s="11"/>
      <c r="BY853" s="11"/>
      <c r="CF853" s="11"/>
      <c r="CM853" s="11"/>
      <c r="CT853" s="11"/>
      <c r="DA853" s="11"/>
      <c r="DH853" s="11"/>
      <c r="DI853" s="11"/>
    </row>
    <row r="854" ht="15.75" customHeight="1">
      <c r="C854" s="8"/>
      <c r="BD854" s="11"/>
      <c r="BR854" s="11"/>
      <c r="BY854" s="11"/>
      <c r="CF854" s="11"/>
      <c r="CM854" s="11"/>
      <c r="CT854" s="11"/>
      <c r="DA854" s="11"/>
      <c r="DH854" s="11"/>
      <c r="DI854" s="11"/>
    </row>
    <row r="855" ht="15.75" customHeight="1">
      <c r="C855" s="8"/>
      <c r="BD855" s="11"/>
      <c r="BR855" s="11"/>
      <c r="BY855" s="11"/>
      <c r="CF855" s="11"/>
      <c r="CM855" s="11"/>
      <c r="CT855" s="11"/>
      <c r="DA855" s="11"/>
      <c r="DH855" s="11"/>
      <c r="DI855" s="11"/>
    </row>
    <row r="856" ht="15.75" customHeight="1">
      <c r="C856" s="8"/>
      <c r="BD856" s="11"/>
      <c r="BR856" s="11"/>
      <c r="BY856" s="11"/>
      <c r="CF856" s="11"/>
      <c r="CM856" s="11"/>
      <c r="CT856" s="11"/>
      <c r="DA856" s="11"/>
      <c r="DH856" s="11"/>
      <c r="DI856" s="11"/>
    </row>
    <row r="857" ht="15.75" customHeight="1">
      <c r="C857" s="8"/>
      <c r="BD857" s="11"/>
      <c r="BR857" s="11"/>
      <c r="BY857" s="11"/>
      <c r="CF857" s="11"/>
      <c r="CM857" s="11"/>
      <c r="CT857" s="11"/>
      <c r="DA857" s="11"/>
      <c r="DH857" s="11"/>
      <c r="DI857" s="11"/>
    </row>
    <row r="858" ht="15.75" customHeight="1">
      <c r="C858" s="8"/>
      <c r="BD858" s="11"/>
      <c r="BR858" s="11"/>
      <c r="BY858" s="11"/>
      <c r="CF858" s="11"/>
      <c r="CM858" s="11"/>
      <c r="CT858" s="11"/>
      <c r="DA858" s="11"/>
      <c r="DH858" s="11"/>
      <c r="DI858" s="11"/>
    </row>
    <row r="859" ht="15.75" customHeight="1">
      <c r="C859" s="8"/>
      <c r="BD859" s="11"/>
      <c r="BR859" s="11"/>
      <c r="BY859" s="11"/>
      <c r="CF859" s="11"/>
      <c r="CM859" s="11"/>
      <c r="CT859" s="11"/>
      <c r="DA859" s="11"/>
      <c r="DH859" s="11"/>
      <c r="DI859" s="11"/>
    </row>
    <row r="860" ht="15.75" customHeight="1">
      <c r="C860" s="8"/>
      <c r="BD860" s="11"/>
      <c r="BR860" s="11"/>
      <c r="BY860" s="11"/>
      <c r="CF860" s="11"/>
      <c r="CM860" s="11"/>
      <c r="CT860" s="11"/>
      <c r="DA860" s="11"/>
      <c r="DH860" s="11"/>
      <c r="DI860" s="11"/>
    </row>
    <row r="861" ht="15.75" customHeight="1">
      <c r="C861" s="8"/>
      <c r="BD861" s="11"/>
      <c r="BR861" s="11"/>
      <c r="BY861" s="11"/>
      <c r="CF861" s="11"/>
      <c r="CM861" s="11"/>
      <c r="CT861" s="11"/>
      <c r="DA861" s="11"/>
      <c r="DH861" s="11"/>
      <c r="DI861" s="11"/>
    </row>
    <row r="862" ht="15.75" customHeight="1">
      <c r="C862" s="8"/>
      <c r="BD862" s="11"/>
      <c r="BR862" s="11"/>
      <c r="BY862" s="11"/>
      <c r="CF862" s="11"/>
      <c r="CM862" s="11"/>
      <c r="CT862" s="11"/>
      <c r="DA862" s="11"/>
      <c r="DH862" s="11"/>
      <c r="DI862" s="11"/>
    </row>
    <row r="863" ht="15.75" customHeight="1">
      <c r="C863" s="8"/>
      <c r="BD863" s="11"/>
      <c r="BR863" s="11"/>
      <c r="BY863" s="11"/>
      <c r="CF863" s="11"/>
      <c r="CM863" s="11"/>
      <c r="CT863" s="11"/>
      <c r="DA863" s="11"/>
      <c r="DH863" s="11"/>
      <c r="DI863" s="11"/>
    </row>
    <row r="864" ht="15.75" customHeight="1">
      <c r="C864" s="8"/>
      <c r="BD864" s="11"/>
      <c r="BR864" s="11"/>
      <c r="BY864" s="11"/>
      <c r="CF864" s="11"/>
      <c r="CM864" s="11"/>
      <c r="CT864" s="11"/>
      <c r="DA864" s="11"/>
      <c r="DH864" s="11"/>
      <c r="DI864" s="11"/>
    </row>
    <row r="865" ht="15.75" customHeight="1">
      <c r="C865" s="8"/>
      <c r="BD865" s="11"/>
      <c r="BR865" s="11"/>
      <c r="BY865" s="11"/>
      <c r="CF865" s="11"/>
      <c r="CM865" s="11"/>
      <c r="CT865" s="11"/>
      <c r="DA865" s="11"/>
      <c r="DH865" s="11"/>
      <c r="DI865" s="11"/>
    </row>
    <row r="866" ht="15.75" customHeight="1">
      <c r="C866" s="8"/>
      <c r="BD866" s="11"/>
      <c r="BR866" s="11"/>
      <c r="BY866" s="11"/>
      <c r="CF866" s="11"/>
      <c r="CM866" s="11"/>
      <c r="CT866" s="11"/>
      <c r="DA866" s="11"/>
      <c r="DH866" s="11"/>
      <c r="DI866" s="11"/>
    </row>
    <row r="867" ht="15.75" customHeight="1">
      <c r="C867" s="8"/>
      <c r="BD867" s="11"/>
      <c r="BR867" s="11"/>
      <c r="BY867" s="11"/>
      <c r="CF867" s="11"/>
      <c r="CM867" s="11"/>
      <c r="CT867" s="11"/>
      <c r="DA867" s="11"/>
      <c r="DH867" s="11"/>
      <c r="DI867" s="11"/>
    </row>
    <row r="868" ht="15.75" customHeight="1">
      <c r="C868" s="8"/>
      <c r="BD868" s="11"/>
      <c r="BR868" s="11"/>
      <c r="BY868" s="11"/>
      <c r="CF868" s="11"/>
      <c r="CM868" s="11"/>
      <c r="CT868" s="11"/>
      <c r="DA868" s="11"/>
      <c r="DH868" s="11"/>
      <c r="DI868" s="11"/>
    </row>
    <row r="869" ht="15.75" customHeight="1">
      <c r="C869" s="8"/>
      <c r="BD869" s="11"/>
      <c r="BR869" s="11"/>
      <c r="BY869" s="11"/>
      <c r="CF869" s="11"/>
      <c r="CM869" s="11"/>
      <c r="CT869" s="11"/>
      <c r="DA869" s="11"/>
      <c r="DH869" s="11"/>
      <c r="DI869" s="11"/>
    </row>
    <row r="870" ht="15.75" customHeight="1">
      <c r="C870" s="8"/>
      <c r="BD870" s="11"/>
      <c r="BR870" s="11"/>
      <c r="BY870" s="11"/>
      <c r="CF870" s="11"/>
      <c r="CM870" s="11"/>
      <c r="CT870" s="11"/>
      <c r="DA870" s="11"/>
      <c r="DH870" s="11"/>
      <c r="DI870" s="11"/>
    </row>
    <row r="871" ht="15.75" customHeight="1">
      <c r="C871" s="8"/>
      <c r="BD871" s="11"/>
      <c r="BR871" s="11"/>
      <c r="BY871" s="11"/>
      <c r="CF871" s="11"/>
      <c r="CM871" s="11"/>
      <c r="CT871" s="11"/>
      <c r="DA871" s="11"/>
      <c r="DH871" s="11"/>
      <c r="DI871" s="11"/>
    </row>
    <row r="872" ht="15.75" customHeight="1">
      <c r="C872" s="8"/>
      <c r="BD872" s="11"/>
      <c r="BR872" s="11"/>
      <c r="BY872" s="11"/>
      <c r="CF872" s="11"/>
      <c r="CM872" s="11"/>
      <c r="CT872" s="11"/>
      <c r="DA872" s="11"/>
      <c r="DH872" s="11"/>
      <c r="DI872" s="11"/>
    </row>
    <row r="873" ht="15.75" customHeight="1">
      <c r="C873" s="8"/>
      <c r="BD873" s="11"/>
      <c r="BR873" s="11"/>
      <c r="BY873" s="11"/>
      <c r="CF873" s="11"/>
      <c r="CM873" s="11"/>
      <c r="CT873" s="11"/>
      <c r="DA873" s="11"/>
      <c r="DH873" s="11"/>
      <c r="DI873" s="11"/>
    </row>
    <row r="874" ht="15.75" customHeight="1">
      <c r="C874" s="8"/>
      <c r="BD874" s="11"/>
      <c r="BR874" s="11"/>
      <c r="BY874" s="11"/>
      <c r="CF874" s="11"/>
      <c r="CM874" s="11"/>
      <c r="CT874" s="11"/>
      <c r="DA874" s="11"/>
      <c r="DH874" s="11"/>
      <c r="DI874" s="11"/>
    </row>
    <row r="875" ht="15.75" customHeight="1">
      <c r="C875" s="8"/>
      <c r="BD875" s="11"/>
      <c r="BR875" s="11"/>
      <c r="BY875" s="11"/>
      <c r="CF875" s="11"/>
      <c r="CM875" s="11"/>
      <c r="CT875" s="11"/>
      <c r="DA875" s="11"/>
      <c r="DH875" s="11"/>
      <c r="DI875" s="11"/>
    </row>
    <row r="876" ht="15.75" customHeight="1">
      <c r="C876" s="8"/>
      <c r="BD876" s="11"/>
      <c r="BR876" s="11"/>
      <c r="BY876" s="11"/>
      <c r="CF876" s="11"/>
      <c r="CM876" s="11"/>
      <c r="CT876" s="11"/>
      <c r="DA876" s="11"/>
      <c r="DH876" s="11"/>
      <c r="DI876" s="11"/>
    </row>
    <row r="877" ht="15.75" customHeight="1">
      <c r="C877" s="8"/>
      <c r="BD877" s="11"/>
      <c r="BR877" s="11"/>
      <c r="BY877" s="11"/>
      <c r="CF877" s="11"/>
      <c r="CM877" s="11"/>
      <c r="CT877" s="11"/>
      <c r="DA877" s="11"/>
      <c r="DH877" s="11"/>
      <c r="DI877" s="11"/>
    </row>
    <row r="878" ht="15.75" customHeight="1">
      <c r="C878" s="8"/>
      <c r="BD878" s="11"/>
      <c r="BR878" s="11"/>
      <c r="BY878" s="11"/>
      <c r="CF878" s="11"/>
      <c r="CM878" s="11"/>
      <c r="CT878" s="11"/>
      <c r="DA878" s="11"/>
      <c r="DH878" s="11"/>
      <c r="DI878" s="11"/>
    </row>
    <row r="879" ht="15.75" customHeight="1">
      <c r="C879" s="8"/>
      <c r="BD879" s="11"/>
      <c r="BR879" s="11"/>
      <c r="BY879" s="11"/>
      <c r="CF879" s="11"/>
      <c r="CM879" s="11"/>
      <c r="CT879" s="11"/>
      <c r="DA879" s="11"/>
      <c r="DH879" s="11"/>
      <c r="DI879" s="11"/>
    </row>
    <row r="880" ht="15.75" customHeight="1">
      <c r="C880" s="8"/>
      <c r="BD880" s="11"/>
      <c r="BR880" s="11"/>
      <c r="BY880" s="11"/>
      <c r="CF880" s="11"/>
      <c r="CM880" s="11"/>
      <c r="CT880" s="11"/>
      <c r="DA880" s="11"/>
      <c r="DH880" s="11"/>
      <c r="DI880" s="11"/>
    </row>
    <row r="881" ht="15.75" customHeight="1">
      <c r="C881" s="8"/>
      <c r="BD881" s="11"/>
      <c r="BR881" s="11"/>
      <c r="BY881" s="11"/>
      <c r="CF881" s="11"/>
      <c r="CM881" s="11"/>
      <c r="CT881" s="11"/>
      <c r="DA881" s="11"/>
      <c r="DH881" s="11"/>
      <c r="DI881" s="11"/>
    </row>
    <row r="882" ht="15.75" customHeight="1">
      <c r="C882" s="8"/>
      <c r="BD882" s="11"/>
      <c r="BR882" s="11"/>
      <c r="BY882" s="11"/>
      <c r="CF882" s="11"/>
      <c r="CM882" s="11"/>
      <c r="CT882" s="11"/>
      <c r="DA882" s="11"/>
      <c r="DH882" s="11"/>
      <c r="DI882" s="11"/>
    </row>
    <row r="883" ht="15.75" customHeight="1">
      <c r="C883" s="8"/>
      <c r="BD883" s="11"/>
      <c r="BR883" s="11"/>
      <c r="BY883" s="11"/>
      <c r="CF883" s="11"/>
      <c r="CM883" s="11"/>
      <c r="CT883" s="11"/>
      <c r="DA883" s="11"/>
      <c r="DH883" s="11"/>
      <c r="DI883" s="11"/>
    </row>
    <row r="884" ht="15.75" customHeight="1">
      <c r="C884" s="8"/>
      <c r="BD884" s="11"/>
      <c r="BR884" s="11"/>
      <c r="BY884" s="11"/>
      <c r="CF884" s="11"/>
      <c r="CM884" s="11"/>
      <c r="CT884" s="11"/>
      <c r="DA884" s="11"/>
      <c r="DH884" s="11"/>
      <c r="DI884" s="11"/>
    </row>
    <row r="885" ht="15.75" customHeight="1">
      <c r="C885" s="8"/>
      <c r="BD885" s="11"/>
      <c r="BR885" s="11"/>
      <c r="BY885" s="11"/>
      <c r="CF885" s="11"/>
      <c r="CM885" s="11"/>
      <c r="CT885" s="11"/>
      <c r="DA885" s="11"/>
      <c r="DH885" s="11"/>
      <c r="DI885" s="11"/>
    </row>
    <row r="886" ht="15.75" customHeight="1">
      <c r="C886" s="8"/>
      <c r="BD886" s="11"/>
      <c r="BR886" s="11"/>
      <c r="BY886" s="11"/>
      <c r="CF886" s="11"/>
      <c r="CM886" s="11"/>
      <c r="CT886" s="11"/>
      <c r="DA886" s="11"/>
      <c r="DH886" s="11"/>
      <c r="DI886" s="11"/>
    </row>
    <row r="887" ht="15.75" customHeight="1">
      <c r="C887" s="8"/>
      <c r="BD887" s="11"/>
      <c r="BR887" s="11"/>
      <c r="BY887" s="11"/>
      <c r="CF887" s="11"/>
      <c r="CM887" s="11"/>
      <c r="CT887" s="11"/>
      <c r="DA887" s="11"/>
      <c r="DH887" s="11"/>
      <c r="DI887" s="11"/>
    </row>
    <row r="888" ht="15.75" customHeight="1">
      <c r="C888" s="8"/>
      <c r="BD888" s="11"/>
      <c r="BR888" s="11"/>
      <c r="BY888" s="11"/>
      <c r="CF888" s="11"/>
      <c r="CM888" s="11"/>
      <c r="CT888" s="11"/>
      <c r="DA888" s="11"/>
      <c r="DH888" s="11"/>
      <c r="DI888" s="11"/>
    </row>
    <row r="889" ht="15.75" customHeight="1">
      <c r="C889" s="8"/>
      <c r="BD889" s="11"/>
      <c r="BR889" s="11"/>
      <c r="BY889" s="11"/>
      <c r="CF889" s="11"/>
      <c r="CM889" s="11"/>
      <c r="CT889" s="11"/>
      <c r="DA889" s="11"/>
      <c r="DH889" s="11"/>
      <c r="DI889" s="11"/>
    </row>
    <row r="890" ht="15.75" customHeight="1">
      <c r="C890" s="8"/>
      <c r="BD890" s="11"/>
      <c r="BR890" s="11"/>
      <c r="BY890" s="11"/>
      <c r="CF890" s="11"/>
      <c r="CM890" s="11"/>
      <c r="CT890" s="11"/>
      <c r="DA890" s="11"/>
      <c r="DH890" s="11"/>
      <c r="DI890" s="11"/>
    </row>
    <row r="891" ht="15.75" customHeight="1">
      <c r="C891" s="8"/>
      <c r="BD891" s="11"/>
      <c r="BR891" s="11"/>
      <c r="BY891" s="11"/>
      <c r="CF891" s="11"/>
      <c r="CM891" s="11"/>
      <c r="CT891" s="11"/>
      <c r="DA891" s="11"/>
      <c r="DH891" s="11"/>
      <c r="DI891" s="11"/>
    </row>
    <row r="892" ht="15.75" customHeight="1">
      <c r="C892" s="8"/>
      <c r="BD892" s="11"/>
      <c r="BR892" s="11"/>
      <c r="BY892" s="11"/>
      <c r="CF892" s="11"/>
      <c r="CM892" s="11"/>
      <c r="CT892" s="11"/>
      <c r="DA892" s="11"/>
      <c r="DH892" s="11"/>
      <c r="DI892" s="11"/>
    </row>
    <row r="893" ht="15.75" customHeight="1">
      <c r="C893" s="8"/>
      <c r="BD893" s="11"/>
      <c r="BR893" s="11"/>
      <c r="BY893" s="11"/>
      <c r="CF893" s="11"/>
      <c r="CM893" s="11"/>
      <c r="CT893" s="11"/>
      <c r="DA893" s="11"/>
      <c r="DH893" s="11"/>
      <c r="DI893" s="11"/>
    </row>
    <row r="894" ht="15.75" customHeight="1">
      <c r="C894" s="8"/>
      <c r="BD894" s="11"/>
      <c r="BR894" s="11"/>
      <c r="BY894" s="11"/>
      <c r="CF894" s="11"/>
      <c r="CM894" s="11"/>
      <c r="CT894" s="11"/>
      <c r="DA894" s="11"/>
      <c r="DH894" s="11"/>
      <c r="DI894" s="11"/>
    </row>
    <row r="895" ht="15.75" customHeight="1">
      <c r="C895" s="8"/>
      <c r="BD895" s="11"/>
      <c r="BR895" s="11"/>
      <c r="BY895" s="11"/>
      <c r="CF895" s="11"/>
      <c r="CM895" s="11"/>
      <c r="CT895" s="11"/>
      <c r="DA895" s="11"/>
      <c r="DH895" s="11"/>
      <c r="DI895" s="11"/>
    </row>
    <row r="896" ht="15.75" customHeight="1">
      <c r="C896" s="8"/>
      <c r="BD896" s="11"/>
      <c r="BR896" s="11"/>
      <c r="BY896" s="11"/>
      <c r="CF896" s="11"/>
      <c r="CM896" s="11"/>
      <c r="CT896" s="11"/>
      <c r="DA896" s="11"/>
      <c r="DH896" s="11"/>
      <c r="DI896" s="11"/>
    </row>
    <row r="897" ht="15.75" customHeight="1">
      <c r="C897" s="8"/>
      <c r="BD897" s="11"/>
      <c r="BR897" s="11"/>
      <c r="BY897" s="11"/>
      <c r="CF897" s="11"/>
      <c r="CM897" s="11"/>
      <c r="CT897" s="11"/>
      <c r="DA897" s="11"/>
      <c r="DH897" s="11"/>
      <c r="DI897" s="11"/>
    </row>
    <row r="898" ht="15.75" customHeight="1">
      <c r="C898" s="8"/>
      <c r="BD898" s="11"/>
      <c r="BR898" s="11"/>
      <c r="BY898" s="11"/>
      <c r="CF898" s="11"/>
      <c r="CM898" s="11"/>
      <c r="CT898" s="11"/>
      <c r="DA898" s="11"/>
      <c r="DH898" s="11"/>
      <c r="DI898" s="11"/>
    </row>
    <row r="899" ht="15.75" customHeight="1">
      <c r="C899" s="8"/>
      <c r="BD899" s="11"/>
      <c r="BR899" s="11"/>
      <c r="BY899" s="11"/>
      <c r="CF899" s="11"/>
      <c r="CM899" s="11"/>
      <c r="CT899" s="11"/>
      <c r="DA899" s="11"/>
      <c r="DH899" s="11"/>
      <c r="DI899" s="11"/>
    </row>
    <row r="900" ht="15.75" customHeight="1">
      <c r="C900" s="8"/>
      <c r="BD900" s="11"/>
      <c r="BR900" s="11"/>
      <c r="BY900" s="11"/>
      <c r="CF900" s="11"/>
      <c r="CM900" s="11"/>
      <c r="CT900" s="11"/>
      <c r="DA900" s="11"/>
      <c r="DH900" s="11"/>
      <c r="DI900" s="11"/>
    </row>
    <row r="901" ht="15.75" customHeight="1">
      <c r="C901" s="8"/>
      <c r="BD901" s="11"/>
      <c r="BR901" s="11"/>
      <c r="BY901" s="11"/>
      <c r="CF901" s="11"/>
      <c r="CM901" s="11"/>
      <c r="CT901" s="11"/>
      <c r="DA901" s="11"/>
      <c r="DH901" s="11"/>
      <c r="DI901" s="11"/>
    </row>
    <row r="902" ht="15.75" customHeight="1">
      <c r="C902" s="8"/>
      <c r="BD902" s="11"/>
      <c r="BR902" s="11"/>
      <c r="BY902" s="11"/>
      <c r="CF902" s="11"/>
      <c r="CM902" s="11"/>
      <c r="CT902" s="11"/>
      <c r="DA902" s="11"/>
      <c r="DH902" s="11"/>
      <c r="DI902" s="11"/>
    </row>
    <row r="903" ht="15.75" customHeight="1">
      <c r="C903" s="8"/>
      <c r="BD903" s="11"/>
      <c r="BR903" s="11"/>
      <c r="BY903" s="11"/>
      <c r="CF903" s="11"/>
      <c r="CM903" s="11"/>
      <c r="CT903" s="11"/>
      <c r="DA903" s="11"/>
      <c r="DH903" s="11"/>
      <c r="DI903" s="11"/>
    </row>
    <row r="904" ht="15.75" customHeight="1">
      <c r="C904" s="8"/>
      <c r="BD904" s="11"/>
      <c r="BR904" s="11"/>
      <c r="BY904" s="11"/>
      <c r="CF904" s="11"/>
      <c r="CM904" s="11"/>
      <c r="CT904" s="11"/>
      <c r="DA904" s="11"/>
      <c r="DH904" s="11"/>
      <c r="DI904" s="11"/>
    </row>
    <row r="905" ht="15.75" customHeight="1">
      <c r="C905" s="8"/>
      <c r="BD905" s="11"/>
      <c r="BR905" s="11"/>
      <c r="BY905" s="11"/>
      <c r="CF905" s="11"/>
      <c r="CM905" s="11"/>
      <c r="CT905" s="11"/>
      <c r="DA905" s="11"/>
      <c r="DH905" s="11"/>
      <c r="DI905" s="11"/>
    </row>
    <row r="906" ht="15.75" customHeight="1">
      <c r="C906" s="8"/>
      <c r="BD906" s="11"/>
      <c r="BR906" s="11"/>
      <c r="BY906" s="11"/>
      <c r="CF906" s="11"/>
      <c r="CM906" s="11"/>
      <c r="CT906" s="11"/>
      <c r="DA906" s="11"/>
      <c r="DH906" s="11"/>
      <c r="DI906" s="11"/>
    </row>
    <row r="907" ht="15.75" customHeight="1">
      <c r="C907" s="8"/>
      <c r="BD907" s="11"/>
      <c r="BR907" s="11"/>
      <c r="BY907" s="11"/>
      <c r="CF907" s="11"/>
      <c r="CM907" s="11"/>
      <c r="CT907" s="11"/>
      <c r="DA907" s="11"/>
      <c r="DH907" s="11"/>
      <c r="DI907" s="11"/>
    </row>
    <row r="908" ht="15.75" customHeight="1">
      <c r="C908" s="8"/>
      <c r="BD908" s="11"/>
      <c r="BR908" s="11"/>
      <c r="BY908" s="11"/>
      <c r="CF908" s="11"/>
      <c r="CM908" s="11"/>
      <c r="CT908" s="11"/>
      <c r="DA908" s="11"/>
      <c r="DH908" s="11"/>
      <c r="DI908" s="11"/>
    </row>
    <row r="909" ht="15.75" customHeight="1">
      <c r="C909" s="8"/>
      <c r="BD909" s="11"/>
      <c r="BR909" s="11"/>
      <c r="BY909" s="11"/>
      <c r="CF909" s="11"/>
      <c r="CM909" s="11"/>
      <c r="CT909" s="11"/>
      <c r="DA909" s="11"/>
      <c r="DH909" s="11"/>
      <c r="DI909" s="11"/>
    </row>
    <row r="910" ht="15.75" customHeight="1">
      <c r="C910" s="8"/>
      <c r="BD910" s="11"/>
      <c r="BR910" s="11"/>
      <c r="BY910" s="11"/>
      <c r="CF910" s="11"/>
      <c r="CM910" s="11"/>
      <c r="CT910" s="11"/>
      <c r="DA910" s="11"/>
      <c r="DH910" s="11"/>
      <c r="DI910" s="11"/>
    </row>
    <row r="911" ht="15.75" customHeight="1">
      <c r="C911" s="8"/>
      <c r="BD911" s="11"/>
      <c r="BR911" s="11"/>
      <c r="BY911" s="11"/>
      <c r="CF911" s="11"/>
      <c r="CM911" s="11"/>
      <c r="CT911" s="11"/>
      <c r="DA911" s="11"/>
      <c r="DH911" s="11"/>
      <c r="DI911" s="11"/>
    </row>
    <row r="912" ht="15.75" customHeight="1">
      <c r="C912" s="8"/>
      <c r="BD912" s="11"/>
      <c r="BR912" s="11"/>
      <c r="BY912" s="11"/>
      <c r="CF912" s="11"/>
      <c r="CM912" s="11"/>
      <c r="CT912" s="11"/>
      <c r="DA912" s="11"/>
      <c r="DH912" s="11"/>
      <c r="DI912" s="11"/>
    </row>
    <row r="913" ht="15.75" customHeight="1">
      <c r="C913" s="8"/>
      <c r="BD913" s="11"/>
      <c r="BR913" s="11"/>
      <c r="BY913" s="11"/>
      <c r="CF913" s="11"/>
      <c r="CM913" s="11"/>
      <c r="CT913" s="11"/>
      <c r="DA913" s="11"/>
      <c r="DH913" s="11"/>
      <c r="DI913" s="11"/>
    </row>
    <row r="914" ht="15.75" customHeight="1">
      <c r="C914" s="8"/>
      <c r="BD914" s="11"/>
      <c r="BR914" s="11"/>
      <c r="BY914" s="11"/>
      <c r="CF914" s="11"/>
      <c r="CM914" s="11"/>
      <c r="CT914" s="11"/>
      <c r="DA914" s="11"/>
      <c r="DH914" s="11"/>
      <c r="DI914" s="11"/>
    </row>
    <row r="915" ht="15.75" customHeight="1">
      <c r="C915" s="8"/>
      <c r="BD915" s="11"/>
      <c r="BR915" s="11"/>
      <c r="BY915" s="11"/>
      <c r="CF915" s="11"/>
      <c r="CM915" s="11"/>
      <c r="CT915" s="11"/>
      <c r="DA915" s="11"/>
      <c r="DH915" s="11"/>
      <c r="DI915" s="11"/>
    </row>
    <row r="916" ht="15.75" customHeight="1">
      <c r="C916" s="8"/>
      <c r="BD916" s="11"/>
      <c r="BR916" s="11"/>
      <c r="BY916" s="11"/>
      <c r="CF916" s="11"/>
      <c r="CM916" s="11"/>
      <c r="CT916" s="11"/>
      <c r="DA916" s="11"/>
      <c r="DH916" s="11"/>
      <c r="DI916" s="11"/>
    </row>
    <row r="917" ht="15.75" customHeight="1">
      <c r="C917" s="8"/>
      <c r="BD917" s="11"/>
      <c r="BR917" s="11"/>
      <c r="BY917" s="11"/>
      <c r="CF917" s="11"/>
      <c r="CM917" s="11"/>
      <c r="CT917" s="11"/>
      <c r="DA917" s="11"/>
      <c r="DH917" s="11"/>
      <c r="DI917" s="11"/>
    </row>
    <row r="918" ht="15.75" customHeight="1">
      <c r="C918" s="8"/>
      <c r="BD918" s="11"/>
      <c r="BR918" s="11"/>
      <c r="BY918" s="11"/>
      <c r="CF918" s="11"/>
      <c r="CM918" s="11"/>
      <c r="CT918" s="11"/>
      <c r="DA918" s="11"/>
      <c r="DH918" s="11"/>
      <c r="DI918" s="11"/>
    </row>
    <row r="919" ht="15.75" customHeight="1">
      <c r="C919" s="8"/>
      <c r="BD919" s="11"/>
      <c r="BR919" s="11"/>
      <c r="BY919" s="11"/>
      <c r="CF919" s="11"/>
      <c r="CM919" s="11"/>
      <c r="CT919" s="11"/>
      <c r="DA919" s="11"/>
      <c r="DH919" s="11"/>
      <c r="DI919" s="11"/>
    </row>
    <row r="920" ht="15.75" customHeight="1">
      <c r="C920" s="8"/>
      <c r="BD920" s="11"/>
      <c r="BR920" s="11"/>
      <c r="BY920" s="11"/>
      <c r="CF920" s="11"/>
      <c r="CM920" s="11"/>
      <c r="CT920" s="11"/>
      <c r="DA920" s="11"/>
      <c r="DH920" s="11"/>
      <c r="DI920" s="11"/>
    </row>
    <row r="921" ht="15.75" customHeight="1">
      <c r="C921" s="8"/>
      <c r="BD921" s="11"/>
      <c r="BR921" s="11"/>
      <c r="BY921" s="11"/>
      <c r="CF921" s="11"/>
      <c r="CM921" s="11"/>
      <c r="CT921" s="11"/>
      <c r="DA921" s="11"/>
      <c r="DH921" s="11"/>
      <c r="DI921" s="11"/>
    </row>
    <row r="922" ht="15.75" customHeight="1">
      <c r="C922" s="8"/>
      <c r="BD922" s="11"/>
      <c r="BR922" s="11"/>
      <c r="BY922" s="11"/>
      <c r="CF922" s="11"/>
      <c r="CM922" s="11"/>
      <c r="CT922" s="11"/>
      <c r="DA922" s="11"/>
      <c r="DH922" s="11"/>
      <c r="DI922" s="11"/>
    </row>
    <row r="923" ht="15.75" customHeight="1">
      <c r="C923" s="8"/>
      <c r="BD923" s="11"/>
      <c r="BR923" s="11"/>
      <c r="BY923" s="11"/>
      <c r="CF923" s="11"/>
      <c r="CM923" s="11"/>
      <c r="CT923" s="11"/>
      <c r="DA923" s="11"/>
      <c r="DH923" s="11"/>
      <c r="DI923" s="11"/>
    </row>
    <row r="924" ht="15.75" customHeight="1">
      <c r="C924" s="8"/>
      <c r="BD924" s="11"/>
      <c r="BR924" s="11"/>
      <c r="BY924" s="11"/>
      <c r="CF924" s="11"/>
      <c r="CM924" s="11"/>
      <c r="CT924" s="11"/>
      <c r="DA924" s="11"/>
      <c r="DH924" s="11"/>
      <c r="DI924" s="11"/>
    </row>
    <row r="925" ht="15.75" customHeight="1">
      <c r="C925" s="8"/>
      <c r="BD925" s="11"/>
      <c r="BR925" s="11"/>
      <c r="BY925" s="11"/>
      <c r="CF925" s="11"/>
      <c r="CM925" s="11"/>
      <c r="CT925" s="11"/>
      <c r="DA925" s="11"/>
      <c r="DH925" s="11"/>
      <c r="DI925" s="11"/>
    </row>
    <row r="926" ht="15.75" customHeight="1">
      <c r="C926" s="8"/>
      <c r="BD926" s="11"/>
      <c r="BR926" s="11"/>
      <c r="BY926" s="11"/>
      <c r="CF926" s="11"/>
      <c r="CM926" s="11"/>
      <c r="CT926" s="11"/>
      <c r="DA926" s="11"/>
      <c r="DH926" s="11"/>
      <c r="DI926" s="11"/>
    </row>
    <row r="927" ht="15.75" customHeight="1">
      <c r="C927" s="8"/>
      <c r="BD927" s="11"/>
      <c r="BR927" s="11"/>
      <c r="BY927" s="11"/>
      <c r="CF927" s="11"/>
      <c r="CM927" s="11"/>
      <c r="CT927" s="11"/>
      <c r="DA927" s="11"/>
      <c r="DH927" s="11"/>
      <c r="DI927" s="11"/>
    </row>
    <row r="928" ht="15.75" customHeight="1">
      <c r="C928" s="8"/>
      <c r="BD928" s="11"/>
      <c r="BR928" s="11"/>
      <c r="BY928" s="11"/>
      <c r="CF928" s="11"/>
      <c r="CM928" s="11"/>
      <c r="CT928" s="11"/>
      <c r="DA928" s="11"/>
      <c r="DH928" s="11"/>
      <c r="DI928" s="11"/>
    </row>
    <row r="929" ht="15.75" customHeight="1">
      <c r="C929" s="8"/>
      <c r="BD929" s="11"/>
      <c r="BR929" s="11"/>
      <c r="BY929" s="11"/>
      <c r="CF929" s="11"/>
      <c r="CM929" s="11"/>
      <c r="CT929" s="11"/>
      <c r="DA929" s="11"/>
      <c r="DH929" s="11"/>
      <c r="DI929" s="11"/>
    </row>
    <row r="930" ht="15.75" customHeight="1">
      <c r="C930" s="8"/>
      <c r="BD930" s="11"/>
      <c r="BR930" s="11"/>
      <c r="BY930" s="11"/>
      <c r="CF930" s="11"/>
      <c r="CM930" s="11"/>
      <c r="CT930" s="11"/>
      <c r="DA930" s="11"/>
      <c r="DH930" s="11"/>
      <c r="DI930" s="11"/>
    </row>
    <row r="931" ht="15.75" customHeight="1">
      <c r="C931" s="8"/>
      <c r="BD931" s="11"/>
      <c r="BR931" s="11"/>
      <c r="BY931" s="11"/>
      <c r="CF931" s="11"/>
      <c r="CM931" s="11"/>
      <c r="CT931" s="11"/>
      <c r="DA931" s="11"/>
      <c r="DH931" s="11"/>
      <c r="DI931" s="11"/>
    </row>
    <row r="932" ht="15.75" customHeight="1">
      <c r="C932" s="8"/>
      <c r="BD932" s="11"/>
      <c r="BR932" s="11"/>
      <c r="BY932" s="11"/>
      <c r="CF932" s="11"/>
      <c r="CM932" s="11"/>
      <c r="CT932" s="11"/>
      <c r="DA932" s="11"/>
      <c r="DH932" s="11"/>
      <c r="DI932" s="11"/>
    </row>
    <row r="933" ht="15.75" customHeight="1">
      <c r="C933" s="8"/>
      <c r="BD933" s="11"/>
      <c r="BR933" s="11"/>
      <c r="BY933" s="11"/>
      <c r="CF933" s="11"/>
      <c r="CM933" s="11"/>
      <c r="CT933" s="11"/>
      <c r="DA933" s="11"/>
      <c r="DH933" s="11"/>
      <c r="DI933" s="11"/>
    </row>
    <row r="934" ht="15.75" customHeight="1">
      <c r="C934" s="8"/>
      <c r="BD934" s="11"/>
      <c r="BR934" s="11"/>
      <c r="BY934" s="11"/>
      <c r="CF934" s="11"/>
      <c r="CM934" s="11"/>
      <c r="CT934" s="11"/>
      <c r="DA934" s="11"/>
      <c r="DH934" s="11"/>
      <c r="DI934" s="11"/>
    </row>
    <row r="935" ht="15.75" customHeight="1">
      <c r="C935" s="8"/>
      <c r="BD935" s="11"/>
      <c r="BR935" s="11"/>
      <c r="BY935" s="11"/>
      <c r="CF935" s="11"/>
      <c r="CM935" s="11"/>
      <c r="CT935" s="11"/>
      <c r="DA935" s="11"/>
      <c r="DH935" s="11"/>
      <c r="DI935" s="11"/>
    </row>
    <row r="936" ht="15.75" customHeight="1">
      <c r="C936" s="8"/>
      <c r="BD936" s="11"/>
      <c r="BR936" s="11"/>
      <c r="BY936" s="11"/>
      <c r="CF936" s="11"/>
      <c r="CM936" s="11"/>
      <c r="CT936" s="11"/>
      <c r="DA936" s="11"/>
      <c r="DH936" s="11"/>
      <c r="DI936" s="11"/>
    </row>
    <row r="937" ht="15.75" customHeight="1">
      <c r="C937" s="8"/>
      <c r="BD937" s="11"/>
      <c r="BR937" s="11"/>
      <c r="BY937" s="11"/>
      <c r="CF937" s="11"/>
      <c r="CM937" s="11"/>
      <c r="CT937" s="11"/>
      <c r="DA937" s="11"/>
      <c r="DH937" s="11"/>
      <c r="DI937" s="11"/>
    </row>
    <row r="938" ht="15.75" customHeight="1">
      <c r="C938" s="8"/>
      <c r="BD938" s="11"/>
      <c r="BR938" s="11"/>
      <c r="BY938" s="11"/>
      <c r="CF938" s="11"/>
      <c r="CM938" s="11"/>
      <c r="CT938" s="11"/>
      <c r="DA938" s="11"/>
      <c r="DH938" s="11"/>
      <c r="DI938" s="11"/>
    </row>
    <row r="939" ht="15.75" customHeight="1">
      <c r="C939" s="8"/>
      <c r="BD939" s="11"/>
      <c r="BR939" s="11"/>
      <c r="BY939" s="11"/>
      <c r="CF939" s="11"/>
      <c r="CM939" s="11"/>
      <c r="CT939" s="11"/>
      <c r="DA939" s="11"/>
      <c r="DH939" s="11"/>
      <c r="DI939" s="11"/>
    </row>
    <row r="940" ht="15.75" customHeight="1">
      <c r="C940" s="8"/>
      <c r="BD940" s="11"/>
      <c r="BR940" s="11"/>
      <c r="BY940" s="11"/>
      <c r="CF940" s="11"/>
      <c r="CM940" s="11"/>
      <c r="CT940" s="11"/>
      <c r="DA940" s="11"/>
      <c r="DH940" s="11"/>
      <c r="DI940" s="11"/>
    </row>
    <row r="941" ht="15.75" customHeight="1">
      <c r="C941" s="8"/>
      <c r="BD941" s="11"/>
      <c r="BR941" s="11"/>
      <c r="BY941" s="11"/>
      <c r="CF941" s="11"/>
      <c r="CM941" s="11"/>
      <c r="CT941" s="11"/>
      <c r="DA941" s="11"/>
      <c r="DH941" s="11"/>
      <c r="DI941" s="11"/>
    </row>
    <row r="942" ht="15.75" customHeight="1">
      <c r="C942" s="8"/>
      <c r="BD942" s="11"/>
      <c r="BR942" s="11"/>
      <c r="BY942" s="11"/>
      <c r="CF942" s="11"/>
      <c r="CM942" s="11"/>
      <c r="CT942" s="11"/>
      <c r="DA942" s="11"/>
      <c r="DH942" s="11"/>
      <c r="DI942" s="11"/>
    </row>
    <row r="943" ht="15.75" customHeight="1">
      <c r="C943" s="8"/>
      <c r="BD943" s="11"/>
      <c r="BR943" s="11"/>
      <c r="BY943" s="11"/>
      <c r="CF943" s="11"/>
      <c r="CM943" s="11"/>
      <c r="CT943" s="11"/>
      <c r="DA943" s="11"/>
      <c r="DH943" s="11"/>
      <c r="DI943" s="11"/>
    </row>
    <row r="944" ht="15.75" customHeight="1">
      <c r="C944" s="8"/>
      <c r="BD944" s="11"/>
      <c r="BR944" s="11"/>
      <c r="BY944" s="11"/>
      <c r="CF944" s="11"/>
      <c r="CM944" s="11"/>
      <c r="CT944" s="11"/>
      <c r="DA944" s="11"/>
      <c r="DH944" s="11"/>
      <c r="DI944" s="11"/>
    </row>
    <row r="945" ht="15.75" customHeight="1">
      <c r="C945" s="8"/>
      <c r="BD945" s="11"/>
      <c r="BR945" s="11"/>
      <c r="BY945" s="11"/>
      <c r="CF945" s="11"/>
      <c r="CM945" s="11"/>
      <c r="CT945" s="11"/>
      <c r="DA945" s="11"/>
      <c r="DH945" s="11"/>
      <c r="DI945" s="11"/>
    </row>
    <row r="946" ht="15.75" customHeight="1">
      <c r="C946" s="8"/>
      <c r="BD946" s="11"/>
      <c r="BR946" s="11"/>
      <c r="BY946" s="11"/>
      <c r="CF946" s="11"/>
      <c r="CM946" s="11"/>
      <c r="CT946" s="11"/>
      <c r="DA946" s="11"/>
      <c r="DH946" s="11"/>
      <c r="DI946" s="11"/>
    </row>
    <row r="947" ht="15.75" customHeight="1">
      <c r="C947" s="8"/>
      <c r="BD947" s="11"/>
      <c r="BR947" s="11"/>
      <c r="BY947" s="11"/>
      <c r="CF947" s="11"/>
      <c r="CM947" s="11"/>
      <c r="CT947" s="11"/>
      <c r="DA947" s="11"/>
      <c r="DH947" s="11"/>
      <c r="DI947" s="11"/>
    </row>
    <row r="948" ht="15.75" customHeight="1">
      <c r="C948" s="8"/>
      <c r="BD948" s="11"/>
      <c r="BR948" s="11"/>
      <c r="BY948" s="11"/>
      <c r="CF948" s="11"/>
      <c r="CM948" s="11"/>
      <c r="CT948" s="11"/>
      <c r="DA948" s="11"/>
      <c r="DH948" s="11"/>
      <c r="DI948" s="11"/>
    </row>
    <row r="949" ht="15.75" customHeight="1">
      <c r="C949" s="8"/>
      <c r="BD949" s="11"/>
      <c r="BR949" s="11"/>
      <c r="BY949" s="11"/>
      <c r="CF949" s="11"/>
      <c r="CM949" s="11"/>
      <c r="CT949" s="11"/>
      <c r="DA949" s="11"/>
      <c r="DH949" s="11"/>
      <c r="DI949" s="11"/>
    </row>
    <row r="950" ht="15.75" customHeight="1">
      <c r="C950" s="8"/>
      <c r="BD950" s="11"/>
      <c r="BR950" s="11"/>
      <c r="BY950" s="11"/>
      <c r="CF950" s="11"/>
      <c r="CM950" s="11"/>
      <c r="CT950" s="11"/>
      <c r="DA950" s="11"/>
      <c r="DH950" s="11"/>
      <c r="DI950" s="11"/>
    </row>
    <row r="951" ht="15.75" customHeight="1">
      <c r="C951" s="8"/>
      <c r="BD951" s="11"/>
      <c r="BR951" s="11"/>
      <c r="BY951" s="11"/>
      <c r="CF951" s="11"/>
      <c r="CM951" s="11"/>
      <c r="CT951" s="11"/>
      <c r="DA951" s="11"/>
      <c r="DH951" s="11"/>
      <c r="DI951" s="11"/>
    </row>
    <row r="952" ht="15.75" customHeight="1">
      <c r="C952" s="8"/>
      <c r="BD952" s="11"/>
      <c r="BR952" s="11"/>
      <c r="BY952" s="11"/>
      <c r="CF952" s="11"/>
      <c r="CM952" s="11"/>
      <c r="CT952" s="11"/>
      <c r="DA952" s="11"/>
      <c r="DH952" s="11"/>
      <c r="DI952" s="11"/>
    </row>
    <row r="953" ht="15.75" customHeight="1">
      <c r="C953" s="8"/>
      <c r="BD953" s="11"/>
      <c r="BR953" s="11"/>
      <c r="BY953" s="11"/>
      <c r="CF953" s="11"/>
      <c r="CM953" s="11"/>
      <c r="CT953" s="11"/>
      <c r="DA953" s="11"/>
      <c r="DH953" s="11"/>
      <c r="DI953" s="11"/>
    </row>
    <row r="954" ht="15.75" customHeight="1">
      <c r="C954" s="8"/>
      <c r="BD954" s="11"/>
      <c r="BR954" s="11"/>
      <c r="BY954" s="11"/>
      <c r="CF954" s="11"/>
      <c r="CM954" s="11"/>
      <c r="CT954" s="11"/>
      <c r="DA954" s="11"/>
      <c r="DH954" s="11"/>
      <c r="DI954" s="11"/>
    </row>
    <row r="955" ht="15.75" customHeight="1">
      <c r="C955" s="8"/>
      <c r="BD955" s="11"/>
      <c r="BR955" s="11"/>
      <c r="BY955" s="11"/>
      <c r="CF955" s="11"/>
      <c r="CM955" s="11"/>
      <c r="CT955" s="11"/>
      <c r="DA955" s="11"/>
      <c r="DH955" s="11"/>
      <c r="DI955" s="11"/>
    </row>
    <row r="956" ht="15.75" customHeight="1">
      <c r="C956" s="8"/>
      <c r="BD956" s="11"/>
      <c r="BR956" s="11"/>
      <c r="BY956" s="11"/>
      <c r="CF956" s="11"/>
      <c r="CM956" s="11"/>
      <c r="CT956" s="11"/>
      <c r="DA956" s="11"/>
      <c r="DH956" s="11"/>
      <c r="DI956" s="11"/>
    </row>
    <row r="957" ht="15.75" customHeight="1">
      <c r="C957" s="8"/>
      <c r="BD957" s="11"/>
      <c r="BR957" s="11"/>
      <c r="BY957" s="11"/>
      <c r="CF957" s="11"/>
      <c r="CM957" s="11"/>
      <c r="CT957" s="11"/>
      <c r="DA957" s="11"/>
      <c r="DH957" s="11"/>
      <c r="DI957" s="11"/>
    </row>
    <row r="958" ht="15.75" customHeight="1">
      <c r="C958" s="8"/>
      <c r="BD958" s="11"/>
      <c r="BR958" s="11"/>
      <c r="BY958" s="11"/>
      <c r="CF958" s="11"/>
      <c r="CM958" s="11"/>
      <c r="CT958" s="11"/>
      <c r="DA958" s="11"/>
      <c r="DH958" s="11"/>
      <c r="DI958" s="11"/>
    </row>
    <row r="959" ht="15.75" customHeight="1">
      <c r="C959" s="8"/>
      <c r="BD959" s="11"/>
      <c r="BR959" s="11"/>
      <c r="BY959" s="11"/>
      <c r="CF959" s="11"/>
      <c r="CM959" s="11"/>
      <c r="CT959" s="11"/>
      <c r="DA959" s="11"/>
      <c r="DH959" s="11"/>
      <c r="DI959" s="11"/>
    </row>
    <row r="960" ht="15.75" customHeight="1">
      <c r="C960" s="8"/>
      <c r="BD960" s="11"/>
      <c r="BR960" s="11"/>
      <c r="BY960" s="11"/>
      <c r="CF960" s="11"/>
      <c r="CM960" s="11"/>
      <c r="CT960" s="11"/>
      <c r="DA960" s="11"/>
      <c r="DH960" s="11"/>
      <c r="DI960" s="11"/>
    </row>
    <row r="961" ht="15.75" customHeight="1">
      <c r="C961" s="8"/>
      <c r="BD961" s="11"/>
      <c r="BR961" s="11"/>
      <c r="BY961" s="11"/>
      <c r="CF961" s="11"/>
      <c r="CM961" s="11"/>
      <c r="CT961" s="11"/>
      <c r="DA961" s="11"/>
      <c r="DH961" s="11"/>
      <c r="DI961" s="11"/>
    </row>
    <row r="962" ht="15.75" customHeight="1">
      <c r="C962" s="8"/>
      <c r="BD962" s="11"/>
      <c r="BR962" s="11"/>
      <c r="BY962" s="11"/>
      <c r="CF962" s="11"/>
      <c r="CM962" s="11"/>
      <c r="CT962" s="11"/>
      <c r="DA962" s="11"/>
      <c r="DH962" s="11"/>
      <c r="DI962" s="11"/>
    </row>
    <row r="963" ht="15.75" customHeight="1">
      <c r="C963" s="8"/>
      <c r="BD963" s="11"/>
      <c r="BR963" s="11"/>
      <c r="BY963" s="11"/>
      <c r="CF963" s="11"/>
      <c r="CM963" s="11"/>
      <c r="CT963" s="11"/>
      <c r="DA963" s="11"/>
      <c r="DH963" s="11"/>
      <c r="DI963" s="11"/>
    </row>
    <row r="964" ht="15.75" customHeight="1">
      <c r="C964" s="8"/>
      <c r="BD964" s="11"/>
      <c r="BR964" s="11"/>
      <c r="BY964" s="11"/>
      <c r="CF964" s="11"/>
      <c r="CM964" s="11"/>
      <c r="CT964" s="11"/>
      <c r="DA964" s="11"/>
      <c r="DH964" s="11"/>
      <c r="DI964" s="11"/>
    </row>
    <row r="965" ht="15.75" customHeight="1">
      <c r="C965" s="8"/>
      <c r="BD965" s="11"/>
      <c r="BR965" s="11"/>
      <c r="BY965" s="11"/>
      <c r="CF965" s="11"/>
      <c r="CM965" s="11"/>
      <c r="CT965" s="11"/>
      <c r="DA965" s="11"/>
      <c r="DH965" s="11"/>
      <c r="DI965" s="11"/>
    </row>
    <row r="966" ht="15.75" customHeight="1">
      <c r="C966" s="8"/>
      <c r="BD966" s="11"/>
      <c r="BR966" s="11"/>
      <c r="BY966" s="11"/>
      <c r="CF966" s="11"/>
      <c r="CM966" s="11"/>
      <c r="CT966" s="11"/>
      <c r="DA966" s="11"/>
      <c r="DH966" s="11"/>
      <c r="DI966" s="11"/>
    </row>
    <row r="967" ht="15.75" customHeight="1">
      <c r="C967" s="8"/>
      <c r="BD967" s="11"/>
      <c r="BR967" s="11"/>
      <c r="BY967" s="11"/>
      <c r="CF967" s="11"/>
      <c r="CM967" s="11"/>
      <c r="CT967" s="11"/>
      <c r="DA967" s="11"/>
      <c r="DH967" s="11"/>
      <c r="DI967" s="11"/>
    </row>
    <row r="968" ht="15.75" customHeight="1">
      <c r="C968" s="8"/>
      <c r="BD968" s="11"/>
      <c r="BR968" s="11"/>
      <c r="BY968" s="11"/>
      <c r="CF968" s="11"/>
      <c r="CM968" s="11"/>
      <c r="CT968" s="11"/>
      <c r="DA968" s="11"/>
      <c r="DH968" s="11"/>
      <c r="DI968" s="11"/>
    </row>
    <row r="969" ht="15.75" customHeight="1">
      <c r="C969" s="8"/>
      <c r="BD969" s="11"/>
      <c r="BR969" s="11"/>
      <c r="BY969" s="11"/>
      <c r="CF969" s="11"/>
      <c r="CM969" s="11"/>
      <c r="CT969" s="11"/>
      <c r="DA969" s="11"/>
      <c r="DH969" s="11"/>
      <c r="DI969" s="11"/>
    </row>
    <row r="970" ht="15.75" customHeight="1">
      <c r="C970" s="8"/>
      <c r="BD970" s="11"/>
      <c r="BR970" s="11"/>
      <c r="BY970" s="11"/>
      <c r="CF970" s="11"/>
      <c r="CM970" s="11"/>
      <c r="CT970" s="11"/>
      <c r="DA970" s="11"/>
      <c r="DH970" s="11"/>
      <c r="DI970" s="11"/>
    </row>
    <row r="971" ht="15.75" customHeight="1">
      <c r="C971" s="8"/>
      <c r="BD971" s="11"/>
      <c r="BR971" s="11"/>
      <c r="BY971" s="11"/>
      <c r="CF971" s="11"/>
      <c r="CM971" s="11"/>
      <c r="CT971" s="11"/>
      <c r="DA971" s="11"/>
      <c r="DH971" s="11"/>
      <c r="DI971" s="11"/>
    </row>
    <row r="972" ht="15.75" customHeight="1">
      <c r="C972" s="8"/>
      <c r="BD972" s="11"/>
      <c r="BR972" s="11"/>
      <c r="BY972" s="11"/>
      <c r="CF972" s="11"/>
      <c r="CM972" s="11"/>
      <c r="CT972" s="11"/>
      <c r="DA972" s="11"/>
      <c r="DH972" s="11"/>
      <c r="DI972" s="11"/>
    </row>
    <row r="973" ht="15.75" customHeight="1">
      <c r="C973" s="8"/>
      <c r="BD973" s="11"/>
      <c r="BR973" s="11"/>
      <c r="BY973" s="11"/>
      <c r="CF973" s="11"/>
      <c r="CM973" s="11"/>
      <c r="CT973" s="11"/>
      <c r="DA973" s="11"/>
      <c r="DH973" s="11"/>
      <c r="DI973" s="11"/>
    </row>
    <row r="974" ht="15.75" customHeight="1">
      <c r="C974" s="8"/>
      <c r="BD974" s="11"/>
      <c r="BR974" s="11"/>
      <c r="BY974" s="11"/>
      <c r="CF974" s="11"/>
      <c r="CM974" s="11"/>
      <c r="CT974" s="11"/>
      <c r="DA974" s="11"/>
      <c r="DH974" s="11"/>
      <c r="DI974" s="11"/>
    </row>
    <row r="975" ht="15.75" customHeight="1">
      <c r="C975" s="8"/>
      <c r="BD975" s="11"/>
      <c r="BR975" s="11"/>
      <c r="BY975" s="11"/>
      <c r="CF975" s="11"/>
      <c r="CM975" s="11"/>
      <c r="CT975" s="11"/>
      <c r="DA975" s="11"/>
      <c r="DH975" s="11"/>
      <c r="DI975" s="11"/>
    </row>
    <row r="976" ht="15.75" customHeight="1">
      <c r="C976" s="8"/>
      <c r="BD976" s="11"/>
      <c r="BR976" s="11"/>
      <c r="BY976" s="11"/>
      <c r="CF976" s="11"/>
      <c r="CM976" s="11"/>
      <c r="CT976" s="11"/>
      <c r="DA976" s="11"/>
      <c r="DH976" s="11"/>
      <c r="DI976" s="11"/>
    </row>
    <row r="977" ht="15.75" customHeight="1">
      <c r="C977" s="8"/>
      <c r="BD977" s="11"/>
      <c r="BR977" s="11"/>
      <c r="BY977" s="11"/>
      <c r="CF977" s="11"/>
      <c r="CM977" s="11"/>
      <c r="CT977" s="11"/>
      <c r="DA977" s="11"/>
      <c r="DH977" s="11"/>
      <c r="DI977" s="11"/>
    </row>
    <row r="978" ht="15.75" customHeight="1">
      <c r="C978" s="8"/>
      <c r="BD978" s="11"/>
      <c r="BR978" s="11"/>
      <c r="BY978" s="11"/>
      <c r="CF978" s="11"/>
      <c r="CM978" s="11"/>
      <c r="CT978" s="11"/>
      <c r="DA978" s="11"/>
      <c r="DH978" s="11"/>
      <c r="DI978" s="11"/>
    </row>
  </sheetData>
  <mergeCells count="24">
    <mergeCell ref="I2:L2"/>
    <mergeCell ref="O2:T2"/>
    <mergeCell ref="V2:AA2"/>
    <mergeCell ref="AC2:AH2"/>
    <mergeCell ref="AJ2:AO2"/>
    <mergeCell ref="AQ2:AV2"/>
    <mergeCell ref="AX2:BC2"/>
    <mergeCell ref="DB2:DG2"/>
    <mergeCell ref="DJ2:DO2"/>
    <mergeCell ref="DK8:DN8"/>
    <mergeCell ref="DC31:DF31"/>
    <mergeCell ref="DK31:DN31"/>
    <mergeCell ref="DK62:DN62"/>
    <mergeCell ref="BM23:BP23"/>
    <mergeCell ref="BM31:BP31"/>
    <mergeCell ref="BM37:BP37"/>
    <mergeCell ref="BM76:BP76"/>
    <mergeCell ref="BE2:BJ2"/>
    <mergeCell ref="BL2:BQ2"/>
    <mergeCell ref="BS2:BX2"/>
    <mergeCell ref="BZ2:CE2"/>
    <mergeCell ref="CG2:CL2"/>
    <mergeCell ref="CN2:CS2"/>
    <mergeCell ref="CU2:CZ2"/>
  </mergeCells>
  <conditionalFormatting sqref="J6:J18 K6:K19 J58:K70 J82:K87">
    <cfRule type="colorScale" priority="1">
      <colorScale>
        <cfvo type="percent" val="0"/>
        <cfvo type="percent" val="100"/>
        <color rgb="FFFF231B"/>
        <color rgb="FF10FF07"/>
      </colorScale>
    </cfRule>
  </conditionalFormatting>
  <conditionalFormatting sqref="P5:P18 W5:W18 AD5:AD18 AK5:AK18 AR5:AR18 AY5:AY18 BF5:BF18 BM5:BM18 BT5:BT18 CA5:CA18 CH5:CH18 CO5:CO18 CQ5:CQ15 CV5:CV18 CX5:CX15 DC5:DC18 DE5:DE18 DK5:DK18 DL8 P21:P25 R21:R25 W21:W25 Y21:Y25 AD21:AD25 AF21:AF25 AK21:AK25 AM21:AM25 AR21:AR25 AT21:AT25 AY21:AY25 BA21:BA25 BF21:BF26 BH21:BH26 BM21:BM25 BO21:BO25 BT21:BT25 BV21:BV25 CA21:CA25 CC21:CC25 CH21:CH25 CJ21:CJ25 CO21:CO25 CQ21:CQ25 CV21:CV25 CX21:CX25 DC21:DC25 DE21:DE25 DK21:DK25 DM21:DM25 BN23 BF31 BM31:BN31 DC31 DK31:DL31 BM37:BN37 P56:P70 W56:W70 AD56:AD70 AF56:AF59 AK56:AK70 AM56:AM59 AR56:AR70 AY56:AY70 BF56:BF70 BM56:BM70 BT56:BT70 CA56:CA70 CH56:CH70 CO56:CO70 CV56:CV70 DC56:DC71 DK56:DK70 DL62 BF73:BF76 BM76:BN76 P82:P87 W82:W87 AD82:AD87 AK82:AK87">
    <cfRule type="expression" dxfId="0" priority="2">
      <formula>OR(IF(P5&lt;Q5,TRUE),IF(AND(Q5="",P5&lt;&gt;""),TRUE))</formula>
    </cfRule>
  </conditionalFormatting>
  <conditionalFormatting sqref="P5:P18 W5:W18 AD5:AD18 AK5:AK18 AR5:AR18 AY5:AY18 BF5:BF18 BM5:BM18 BT5:BT18 CA5:CA18 CH5:CH18 CO5:CO18 CQ5:CQ15 CV5:CV18 CX5:CX15 DC5:DC18 DE5:DE18 DK5:DK18 DL8 P21:P25 R21:R25 W21:W25 Y21:Y25 AD21:AD25 AF21:AF25 AK21:AK25 AM21:AM25 AR21:AR25 AT21:AT25 AY21:AY25 BA21:BA25 BF21:BF26 BH21:BH26 BM21:BM25 BO21:BO25 BT21:BT25 BV21:BV25 CA21:CA25 CC21:CC25 CH21:CH25 CJ21:CJ25 CO21:CO25 CQ21:CQ25 CV21:CV25 CX21:CX25 DC21:DC25 DE21:DE25 DK21:DK25 DM21:DM25 BN23 BF31 BM31:BN31 DC31 DK31:DL31 BM37:BN37 P56:P70 W56:W70 AD56:AD70 AF56:AF59 AK56:AK70 AM56:AM59 AR56:AR70 AY56:AY70 BF56:BF70 BM56:BM70 BT56:BT70 CA56:CA70 CH56:CH70 CO56:CO70 CV56:CV70 DC56:DC71 DK56:DK70 DL62 BF73:BF76 BM76:BN76 P82:P87 W82:W87 AD82:AD87 AK82:AK87">
    <cfRule type="expression" dxfId="1" priority="3">
      <formula>IF(P5&gt;=Q5,IF(P5="",FALSE,TRUE))</formula>
    </cfRule>
  </conditionalFormatting>
  <conditionalFormatting sqref="R5:R18 Y5:Y18 AF5:AF18 AM5:AM18 AR5:AR18 AT5:AT18 AY5:AY10 BA5:BA18 BF5:BF10 BH5:BH18 BO5:BO18 BV5:BV18 CC5:CC18 CJ5:CJ18 CQ5:CQ18 CX5:CX18 DC5:DC18 DE5:DE18 DM5:DM7 DM9:DM18 R56:R70 Y56:Y70 AF56:AF70 AK56:AK70 AM56:AM70 AR56:AR59 AT56:AT70 AY56:AY59 BA56:BA70 BF56:BF59 BH56:BH70 BO56:BO70 BV56:BV70 CC56:CC70 CJ56:CJ70 CQ56:CQ70 CX56:CX70 DE56:DE70 DM56:DM61 DM63:DM70 R82:R87 Y82:Y87 AF82:AF87 AM82:AM87">
    <cfRule type="expression" dxfId="0" priority="4">
      <formula>OR(IF(R5&lt;S5,TRUE),IF(AND(S5="",R5&lt;&gt;""),TRUE))</formula>
    </cfRule>
  </conditionalFormatting>
  <conditionalFormatting sqref="R5:R18 Y5:Y18 AF5:AF18 AM5:AM18 AR5:AR18 AT5:AT18 AY5:AY10 BA5:BA18 BF5:BF10 BH5:BH18 BO5:BO18 BV5:BV18 CC5:CC18 CJ5:CJ18 CQ5:CQ18 CX5:CX18 DC5:DC18 DE5:DE18 DM5:DM7 DM9:DM18 R56:R70 Y56:Y70 AF56:AF70 AK56:AK70 AM56:AM70 AR56:AR59 AT56:AT70 AY56:AY59 BA56:BA70 BF56:BF59 BH56:BH70 BO56:BO70 BV56:BV70 CC56:CC70 CJ56:CJ70 CQ56:CQ70 CX56:CX70 DE56:DE70 DM56:DM61 DM63:DM70 R82:R87 Y82:Y87 AF82:AF87 AM82:AM87">
    <cfRule type="expression" dxfId="1" priority="5">
      <formula>IF(R5&gt;=S5,IF(R5="",FALSE,TRUE))</formula>
    </cfRule>
  </conditionalFormatting>
  <conditionalFormatting sqref="P29:P30 W29:W30 AD29:AD30 AF29:AF30 AK29:AK30 AR29:AR30 AY29:AY30 BF29:BF32 BM29:BM30 BT29:BT30 CA29:CA30 CH29:CH30 CO29:CO30 CV29:CV30 DC29:DC30 DK29:DK30 P36:P37 W36:W37 AD36:AD37 AK36:AK37 AR36:AR37 AY36:AY37 BF36:BF37 BM36:BM37 BT36:BT37 CA36:CA37 CH36:CH37 CO36:CO37 CV36:CV37 DC36:DC37 DK36:DK37 P41:P42 W41:W42 AD41:AD42 AK41:AK42 AR41:AR42 AY41:AY42 BF41:BF42 BM41:BM42 BT41:BT46 CA41:CA47 CH41:CH46 CO41:CO46 CV41:CV42 DC41:DC42 DK41:DK42 P51:P52 W51:W52 AD51:AD52 AK51:AK52 AR51:AR52 AY51:AY52 BF51:BF52 BM51:BM52 BT51:BT52 CA51:CA52 CH51:CH52 CO51:CO52 CV51:CV52 DC51:DC52 DK51:DK52 R73:R75 Y73:Y74 AD73:AD74 AF73:AF74 AK73:AK74 AM73:AM74 AR73:AR74 AY73:AY74 BF73:BF74 BM73:BM74 BT73:BT74 CA73:CA74 CH73:CH74 CO73:CO74 CV73:CV74 DC73:DC74 DK73:DK74">
    <cfRule type="expression" dxfId="0" priority="6">
      <formula>OR(IF(P29&lt;Q29,TRUE),IF(AND(Q29="",P29&lt;&gt;""),TRUE))</formula>
    </cfRule>
  </conditionalFormatting>
  <conditionalFormatting sqref="P29:P30 W29:W30 AD29:AD30 AF29:AF30 AK29:AK30 AR29:AR30 AY29:AY30 BF29:BF32 BM29:BM30 BT29:BT30 CA29:CA30 CH29:CH30 CO29:CO30 CV29:CV30 DC29:DC30 DK29:DK30 P36:P37 W36:W37 AD36:AD37 AK36:AK37 AR36:AR37 AY36:AY37 BF36:BF37 BM36:BM37 BT36:BT37 CA36:CA37 CH36:CH37 CO36:CO37 CV36:CV37 DC36:DC37 DK36:DK37 P41:P42 W41:W42 AD41:AD42 AK41:AK42 AR41:AR42 AY41:AY42 BF41:BF42 BM41:BM42 BT41:BT46 CA41:CA47 CH41:CH46 CO41:CO46 CV41:CV42 DC41:DC42 DK41:DK42 P51:P52 W51:W52 AD51:AD52 AK51:AK52 AR51:AR52 AY51:AY52 BF51:BF52 BM51:BM52 BT51:BT52 CA51:CA52 CH51:CH52 CO51:CO52 CV51:CV52 DC51:DC52 DK51:DK52 R73:R75 Y73:Y74 AD73:AD74 AF73:AF74 AK73:AK74 AM73:AM74 AR73:AR74 AY73:AY74 BF73:BF74 BM73:BM74 BT73:BT74 CA73:CA74 CH73:CH74 CO73:CO74 CV73:CV74 DC73:DC74 DK73:DK74">
    <cfRule type="expression" dxfId="1" priority="7">
      <formula>IF(P29&gt;=Q29,IF(P29="",FALSE,TRUE))</formula>
    </cfRule>
  </conditionalFormatting>
  <conditionalFormatting sqref="R29:R30 Y29:Y30 AD29:AD30 AF29:AF30 AK29:AK30 AM29:AM30 AR29:AR30 AT29:AT30 AY29:AY30 BA29:BA30 BF29:BF32 BH29:BH30 BO29:BO30 BV29:BV30 CC29:CC30 CJ29:CJ30 CQ29:CQ30 CX29:CX30 DE29:DE30 DM29:DM30 R36:R37 Y36:Y37 AF36:AF37 AK36:AK37 AM36:AM37 AT36:AT37 BA36:BA37 BH36:BH37 BO36 BV36:BV37 CC36:CC37 CJ36:CJ37 CQ36:CQ37 CX36:CX37 DE36:DE37 DM36:DM37 R41:R42 W41:W42 Y41:Y42 AD41:AD42 AF41:AF42 AK41:AK44 AM41:AM44 AR41:AR44 AT41:AT42 AY41:AY44 BA41:BA42 BF41:BF44 BH41:BH42 BO41:BO42 BV41:BV42 CC41:CC42 CJ41:CJ42 CQ41:CQ42 CX41:CX42 DE41:DE42 DM41:DM42 R51:R52 Y51:Y52 AF51:AF52 AM51:AM52 AT51:AT52 BA51:BA52 BH51:BH52 BO51:BO52 BV51:BV52 CC51:CC52 CJ51:CJ52 CQ51:CQ52 CX51:CX52 DC51:DC52 DE51:DE52 DM51:DM52 W73:W75 Y73:Y75 AF73:AF75 AK73:AK75 AM73:AM75 AR73:AR75 AT73:AT74 AY73:AY75 BA73:BA74 BF73:BF75 BH73:BH74 BO73:BO74 BV73:BV74 CC73:CC74 CJ73:CJ74 CQ73:CQ74 CX73:CX74 DE73:DE74 DM73:DM74">
    <cfRule type="expression" dxfId="0" priority="8">
      <formula>OR(IF(R29&lt;S29,TRUE),IF(AND(S29="",R29&lt;&gt;""),TRUE))</formula>
    </cfRule>
  </conditionalFormatting>
  <conditionalFormatting sqref="R29:R30 Y29:Y30 AD29:AD30 AF29:AF30 AK29:AK30 AM29:AM30 AR29:AR30 AT29:AT30 AY29:AY30 BA29:BA30 BF29:BF32 BH29:BH30 BO29:BO30 BV29:BV30 CC29:CC30 CJ29:CJ30 CQ29:CQ30 CX29:CX30 DE29:DE30 DM29:DM30 R36:R37 Y36:Y37 AF36:AF37 AK36:AK37 AM36:AM37 AT36:AT37 BA36:BA37 BH36:BH37 BO36 BV36:BV37 CC36:CC37 CJ36:CJ37 CQ36:CQ37 CX36:CX37 DE36:DE37 DM36:DM37 R41:R42 W41:W42 Y41:Y42 AD41:AD42 AF41:AF42 AK41:AK44 AM41:AM44 AR41:AR44 AT41:AT42 AY41:AY44 BA41:BA42 BF41:BF44 BH41:BH42 BO41:BO42 BV41:BV42 CC41:CC42 CJ41:CJ42 CQ41:CQ42 CX41:CX42 DE41:DE42 DM41:DM42 R51:R52 Y51:Y52 AF51:AF52 AM51:AM52 AT51:AT52 BA51:BA52 BH51:BH52 BO51:BO52 BV51:BV52 CC51:CC52 CJ51:CJ52 CQ51:CQ52 CX51:CX52 DC51:DC52 DE51:DE52 DM51:DM52 W73:W75 Y73:Y75 AF73:AF75 AK73:AK75 AM73:AM75 AR73:AR75 AT73:AT74 AY73:AY75 BA73:BA74 BF73:BF75 BH73:BH74 BO73:BO74 BV73:BV74 CC73:CC74 CJ73:CJ74 CQ73:CQ74 CX73:CX74 DE73:DE74 DM73:DM74">
    <cfRule type="expression" dxfId="1" priority="9">
      <formula>IF(R29&gt;=S29,IF(R29="",FALSE,TRUE))</formula>
    </cfRule>
  </conditionalFormatting>
  <conditionalFormatting sqref="R31:R33 Y31:Y33 AD31:AD33 AF31:AF33 AK31:AK33 AM31:AM33 AR31:AR33 AT31:AT33 AY31:AY32 BA31:BA33 BF31:BF32 BV31:BV33 CC31:CC33 CJ31:CJ33 CQ31:CQ33 CX31:CX33 BH32:BH33 BO32:BO33 DE32:DE33 DM32:DM33 R38 Y38 AF38 AK38 AM38 AT38 BA38 BH38 BO38 BV38 CC38 CJ38 CQ38 CX38 DE38 DM38 R43:R48 W43:W48 Y43:Y48 AD43:AD48 AF43:AF48 AK43:AK48 AM43:AM48 AR43:AR45 AT43:AT48 AY43:AY45 BA43:BA48 BF43:BF45 BH43:BH48 BO43:BO48 BV43:BV48 CC43:CC48 CJ43:CJ48 CQ43 CX43:CX48 DE43:DE48 DM43:DM48 CQ45:CQ48 R53 Y53 AF53 AM53 AT53 BA53 BH53 BO53 BV53 CC53 CJ53 CQ53 CX53 DC53 DE53 DM53 BF73:BF78 W75 Y75:Y79 AF75:AF79 AK75:AK79 AM75:AM79 AR75:AR79 AT75:AT79 AY75:AY78 BA75:BA79 BH75 BO75 BV75:BV79 CC75:CC79 CJ75:CJ79 CQ75:CQ79 CX75:CX79 DE75:DE79 DM75:DM79 BH77:BH79 BO77:BO79">
    <cfRule type="expression" dxfId="0" priority="10">
      <formula>OR(IF(R31&lt;S31,TRUE),IF(AND(S31="",R31&lt;&gt;""),TRUE))</formula>
    </cfRule>
  </conditionalFormatting>
  <conditionalFormatting sqref="R31:R33 Y31:Y33 AD31:AD33 AF31:AF33 AK31:AK33 AM31:AM33 AR31:AR33 AT31:AT33 AY31:AY32 BA31:BA33 BF31:BF32 BV31:BV33 CC31:CC33 CJ31:CJ33 CQ31:CQ33 CX31:CX33 BH32:BH33 BO32:BO33 DE32:DE33 DM32:DM33 R38 Y38 AF38 AK38 AM38 AT38 BA38 BH38 BO38 BV38 CC38 CJ38 CQ38 CX38 DE38 DM38 R43:R48 W43:W48 Y43:Y48 AD43:AD48 AF43:AF48 AK43:AK48 AM43:AM48 AR43:AR45 AT43:AT48 AY43:AY45 BA43:BA48 BF43:BF45 BH43:BH48 BO43:BO48 BV43:BV48 CC43:CC48 CJ43:CJ48 CQ43 CX43:CX48 DE43:DE48 DM43:DM48 CQ45:CQ48 R53 Y53 AF53 AM53 AT53 BA53 BH53 BO53 BV53 CC53 CJ53 CQ53 CX53 DC53 DE53 DM53 BF73:BF78 W75 Y75:Y79 AF75:AF79 AK75:AK79 AM75:AM79 AR75:AR79 AT75:AT79 AY75:AY78 BA75:BA79 BH75 BO75 BV75:BV79 CC75:CC79 CJ75:CJ79 CQ75:CQ79 CX75:CX79 DE75:DE79 DM75:DM79 BH77:BH79 BO77:BO79">
    <cfRule type="expression" dxfId="1" priority="11">
      <formula>IF(R31&gt;=S31,IF(R31="",FALSE,TRUE))</formula>
    </cfRule>
  </conditionalFormatting>
  <conditionalFormatting sqref="P26 W26 AD26 AK26 AR26 AY26 BF26 BM26 BT26 CA26 CH26 CO26 CV26 DC26 DK26">
    <cfRule type="expression" dxfId="0" priority="12">
      <formula>OR(IF(P26&lt;Q26,TRUE),IF(AND(Q26="",P26&lt;&gt;""),TRUE))</formula>
    </cfRule>
  </conditionalFormatting>
  <conditionalFormatting sqref="P26 W26 AD26 AK26 AR26 AY26 BF26 BM26 BT26 CA26 CH26 CO26 CV26 DC26 DK26">
    <cfRule type="expression" dxfId="1" priority="13">
      <formula>IF(P26&gt;=Q26,IF(P26="",FALSE,TRUE))</formula>
    </cfRule>
  </conditionalFormatting>
  <conditionalFormatting sqref="R26 Y26 AF26 AM26 AT26 BA26 BH26 BO26 BV26 CC26 CJ26 CQ26 CX26 DE26 DM26">
    <cfRule type="expression" dxfId="0" priority="14">
      <formula>OR(IF(R26&lt;S26,TRUE),IF(AND(S26="",R26&lt;&gt;""),TRUE))</formula>
    </cfRule>
  </conditionalFormatting>
  <conditionalFormatting sqref="R26 Y26 AF26 AM26 AT26 BA26 BH26 BO26 BV26 CC26 CJ26 CQ26 CX26 DE26 DM26">
    <cfRule type="expression" dxfId="1" priority="15">
      <formula>IF(R26&gt;=S26,IF(R26="",FALSE,TRUE))</formula>
    </cfRule>
  </conditionalFormatting>
  <conditionalFormatting sqref="BM23 P31:P33 W31:W33 AD31:AD33 AF31:AF32 AK31:AK33 AR31:AR33 AY31:AY33 BF31:BF33 BM31:BM33 BT31:BT33 CA31:CA33 CH31:CH33 CO31:CO33 CV31:CV33 DC31:DC33 DK31:DK33 BM37:BM38 P38 W38 AD38 AK38 AR38 AY38 BF38 BT38 CA38 CH38 CO38 CV38 DC38 DK38 P43:P48 W43:W48 AD43:AD48 AK43:AK48 AR43:AR48 AY43:AY48 BF43:BF48 BM43:BM48 BT43:BT48 CA43:CA48 CH43:CH48 CO43:CO48 CV43:CV48 DC43:DC48 DK43:DK48 P53 W53 AD53 AK53 AR53 AY53 BF53 BM53 BT53 CA53 CH53 CO53 CV53 DC53 DK53 BF73:BF79 R75:R79 Y75:Y79 AD75:AD79 AF75:AF77 AK75:AK79 AM75:AM76 AR75:AR79 AY75:AY79 BM75:BM79 BT75:BT79 CA75:CA79 CH75:CH79 CO75:CO79 CV75:CV79 DC75:DC79 DK75:DK79">
    <cfRule type="expression" dxfId="0" priority="16">
      <formula>OR(IF(BM23&lt;BN23,TRUE),IF(AND(BN23="",BM23&lt;&gt;""),TRUE))</formula>
    </cfRule>
  </conditionalFormatting>
  <conditionalFormatting sqref="BM23 P31:P33 W31:W33 AD31:AD33 AF31:AF32 AK31:AK33 AR31:AR33 AY31:AY33 BF31:BF33 BM31:BM33 BT31:BT33 CA31:CA33 CH31:CH33 CO31:CO33 CV31:CV33 DC31:DC33 DK31:DK33 BM37:BM38 P38 W38 AD38 AK38 AR38 AY38 BF38 BT38 CA38 CH38 CO38 CV38 DC38 DK38 P43:P48 W43:W48 AD43:AD48 AK43:AK48 AR43:AR48 AY43:AY48 BF43:BF48 BM43:BM48 BT43:BT48 CA43:CA48 CH43:CH48 CO43:CO48 CV43:CV48 DC43:DC48 DK43:DK48 P53 W53 AD53 AK53 AR53 AY53 BF53 BM53 BT53 CA53 CH53 CO53 CV53 DC53 DK53 BF73:BF79 R75:R79 Y75:Y79 AD75:AD79 AF75:AF77 AK75:AK79 AM75:AM76 AR75:AR79 AY75:AY79 BM75:BM79 BT75:BT79 CA75:CA79 CH75:CH79 CO75:CO79 CV75:CV79 DC75:DC79 DK75:DK79">
    <cfRule type="expression" dxfId="1" priority="17">
      <formula>IF(BM23&gt;=BN23,IF(BM23="",FALSE,TRUE))</formula>
    </cfRule>
  </conditionalFormatting>
  <conditionalFormatting sqref="J5:J18 J56:J70 J82:J87">
    <cfRule type="colorScale" priority="18">
      <colorScale>
        <cfvo type="percent" val="0"/>
        <cfvo type="percent" val="100"/>
        <color rgb="FFFF231B"/>
        <color rgb="FF10FF07"/>
      </colorScale>
    </cfRule>
  </conditionalFormatting>
  <conditionalFormatting sqref="K5:K19 K56:K70 K82:K87">
    <cfRule type="colorScale" priority="19">
      <colorScale>
        <cfvo type="percent" val="0"/>
        <cfvo type="percent" val="100"/>
        <color rgb="FFFF231B"/>
        <color rgb="FF10FF07"/>
      </colorScale>
    </cfRule>
  </conditionalFormatting>
  <conditionalFormatting sqref="J30:K33 J37:K38 J42:K48 J52:K53 J74:K79">
    <cfRule type="colorScale" priority="20">
      <colorScale>
        <cfvo type="percent" val="0"/>
        <cfvo type="percent" val="100"/>
        <color rgb="FFFF231B"/>
        <color rgb="FF10FF07"/>
      </colorScale>
    </cfRule>
  </conditionalFormatting>
  <conditionalFormatting sqref="J29:J33 J36:J38 J41:J48 J51:J53 J73:J79">
    <cfRule type="colorScale" priority="21">
      <colorScale>
        <cfvo type="percent" val="0"/>
        <cfvo type="percent" val="100"/>
        <color rgb="FFFF231B"/>
        <color rgb="FF10FF07"/>
      </colorScale>
    </cfRule>
  </conditionalFormatting>
  <conditionalFormatting sqref="K29:K33 K36:K38 K41:K48 K51:K53 K73:K79">
    <cfRule type="colorScale" priority="22">
      <colorScale>
        <cfvo type="percent" val="0"/>
        <cfvo type="percent" val="100"/>
        <color rgb="FFFF231B"/>
        <color rgb="FF10FF07"/>
      </colorScale>
    </cfRule>
  </conditionalFormatting>
  <conditionalFormatting sqref="J22:K26">
    <cfRule type="colorScale" priority="23">
      <colorScale>
        <cfvo type="percent" val="0"/>
        <cfvo type="percent" val="100"/>
        <color rgb="FFFF231B"/>
        <color rgb="FF10FF07"/>
      </colorScale>
    </cfRule>
  </conditionalFormatting>
  <conditionalFormatting sqref="J21:J26">
    <cfRule type="colorScale" priority="24">
      <colorScale>
        <cfvo type="percent" val="0"/>
        <cfvo type="percent" val="100"/>
        <color rgb="FFFF231B"/>
        <color rgb="FF10FF07"/>
      </colorScale>
    </cfRule>
  </conditionalFormatting>
  <conditionalFormatting sqref="K21:K26">
    <cfRule type="colorScale" priority="25">
      <colorScale>
        <cfvo type="percent" val="0"/>
        <cfvo type="percent" val="100"/>
        <color rgb="FFFF231B"/>
        <color rgb="FF10FF07"/>
      </colorScale>
    </cfRule>
  </conditionalFormatting>
  <dataValidations>
    <dataValidation type="list" allowBlank="1" sqref="DK8 P5:S18 W5:Z18 AD5:AG18 AK5:AN18 AR5:AU18 AY5:BB18 BF5:BI18 BM5:BP18 BT5:BW18 CA5:CD18 CH5:CK18 CO5:CR18 CV5:CY18 DC5:DF18 BM21:BP22 BM23 P21:S26 W21:Z26 AD21:AG26 AK21:AN26 AR21:AU26 AY21:BB26 BF21:BI26 BM24:BP26 BM29:BP30 DC29:DF30 BM31 DC31 DK31 P29:S33 W29:Z33 AD29:AG33 AK29:AN33 AR29:AU33 AY29:BA33 BF29:BI33 BM32:BP33 DC32:DF33 BM37 AK36:AN38 AR36:AT38 AY36:BA38 BF36:BH38 P41:S48 W41:Z48 AD41:AG48 AK41:AN48 AR41:AT48 AY41:BA48 BF41:BH48 BM41:BO48 BT41:BV48 CA41:CC48 CH41:CJ48 CO41:CR48 AK51:AN53 AR51:AU53 AY51:BB53 BF51:BI53 BM51:BP53 BT51:BW53 CA51:CD53 CH51:CK53 CO51:CR53 CV51:CY53 DC51:DF53 DK62 P56:S70 W56:Y70 AD56:AG70 AK56:AN70 AR56:AT70 AY56:BA70 BF56:BH70 BM56:BO70 BT56:BW70 CA56:CD70 CH56:CK70 CO56:CR70 CV56:CY70 DC56:DF70 BM73:BP75 BM76 R73:S79 Y73:Z79 AD73:AG79 AK73:AN79 AR73:AT79 AY73:BA79 BF73:BI79 BM77:BP79">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1.22" defaultRowHeight="15.0" outlineLevelRow="1"/>
  <cols>
    <col customWidth="1" min="1" max="2" width="8.78"/>
    <col customWidth="1" min="3" max="3" width="26.56"/>
    <col customWidth="1" min="4" max="4" width="31.44"/>
    <col customWidth="1" min="5" max="5" width="13.0"/>
    <col customWidth="1" min="6" max="6" width="4.78"/>
    <col customWidth="1" min="7" max="7" width="41.11"/>
    <col customWidth="1" min="8" max="8" width="15.44"/>
    <col customWidth="1" min="9" max="9" width="2.44"/>
    <col customWidth="1" min="10" max="10" width="8.78"/>
    <col customWidth="1" min="11" max="11" width="12.44"/>
    <col customWidth="1" min="12" max="12" width="14.78"/>
    <col customWidth="1" min="13" max="13" width="12.67"/>
    <col customWidth="1" min="14" max="14" width="2.44"/>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min="21" max="21" width="2.44"/>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44"/>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44"/>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44"/>
    <col customWidth="1" hidden="1" min="43" max="43" width="8.78"/>
    <col customWidth="1" hidden="1" min="44" max="44" width="12.44"/>
    <col customWidth="1" hidden="1" min="45" max="45" width="6.33"/>
    <col customWidth="1" hidden="1" min="46" max="46" width="14.78"/>
    <col customWidth="1" hidden="1" min="47" max="47" width="6.0"/>
    <col customWidth="1" hidden="1" min="48" max="48" width="12.67"/>
    <col customWidth="1" min="49" max="49" width="2.44"/>
    <col customWidth="1" hidden="1" min="50" max="50" width="8.78"/>
    <col customWidth="1" hidden="1" min="51" max="51" width="12.44"/>
    <col customWidth="1" hidden="1" min="52" max="52" width="6.33"/>
    <col customWidth="1" hidden="1" min="53" max="53" width="14.78"/>
    <col customWidth="1" hidden="1" min="54" max="54" width="6.0"/>
    <col customWidth="1" hidden="1" min="55" max="55" width="12.67"/>
    <col customWidth="1" min="56" max="56" width="2.44"/>
    <col customWidth="1" hidden="1" min="57" max="57" width="8.78"/>
    <col customWidth="1" hidden="1" min="58" max="58" width="12.44"/>
    <col customWidth="1" hidden="1" min="59" max="59" width="6.33"/>
    <col customWidth="1" hidden="1" min="60" max="60" width="14.78"/>
    <col customWidth="1" hidden="1" min="61" max="61" width="6.0"/>
    <col customWidth="1" hidden="1" min="62" max="62" width="12.67"/>
    <col customWidth="1" min="63" max="63" width="2.44"/>
    <col customWidth="1" hidden="1" min="64" max="64" width="8.78"/>
    <col customWidth="1" hidden="1" min="65" max="65" width="12.44"/>
    <col customWidth="1" hidden="1" min="66" max="66" width="6.33"/>
    <col customWidth="1" hidden="1" min="67" max="67" width="14.78"/>
    <col customWidth="1" hidden="1" min="68" max="68" width="6.0"/>
    <col customWidth="1" hidden="1" min="69" max="69" width="12.67"/>
    <col customWidth="1" min="70" max="70" width="2.44"/>
    <col customWidth="1" hidden="1" min="71" max="71" width="8.78"/>
    <col customWidth="1" hidden="1" min="72" max="72" width="12.44"/>
    <col customWidth="1" hidden="1" min="73" max="73" width="6.33"/>
    <col customWidth="1" hidden="1" min="74" max="74" width="14.78"/>
    <col customWidth="1" hidden="1" min="75" max="75" width="6.0"/>
    <col customWidth="1" hidden="1" min="76" max="76" width="12.67"/>
    <col customWidth="1" min="77" max="77" width="2.44"/>
    <col customWidth="1" min="78" max="78" width="8.78"/>
    <col customWidth="1" min="79" max="79" width="12.44"/>
    <col customWidth="1" min="80" max="80" width="6.33"/>
    <col customWidth="1" min="81" max="81" width="14.78"/>
    <col customWidth="1" min="82" max="82" width="6.0"/>
    <col customWidth="1" min="83" max="83" width="12.67"/>
    <col customWidth="1" min="84" max="84" width="2.44"/>
    <col customWidth="1" min="85" max="85" width="8.78"/>
    <col customWidth="1" min="86" max="86" width="12.44"/>
    <col customWidth="1" min="87" max="87" width="6.33"/>
    <col customWidth="1" min="88" max="88" width="14.78"/>
    <col customWidth="1" min="89" max="89" width="6.0"/>
    <col customWidth="1" min="90" max="90" width="12.67"/>
    <col customWidth="1" min="91" max="91" width="2.44"/>
    <col customWidth="1" min="92" max="92" width="8.78"/>
    <col customWidth="1" min="93" max="93" width="12.44"/>
    <col customWidth="1" min="94" max="94" width="6.33"/>
    <col customWidth="1" min="95" max="95" width="14.78"/>
    <col customWidth="1" min="96" max="96" width="6.0"/>
    <col customWidth="1" min="97" max="97" width="12.67"/>
    <col customWidth="1" min="98" max="98" width="2.44"/>
    <col customWidth="1" min="99" max="100" width="11.44"/>
    <col customWidth="1" min="101" max="101" width="8.67"/>
    <col customWidth="1" min="102" max="102" width="15.22"/>
    <col customWidth="1" min="103" max="103" width="6.33"/>
    <col customWidth="1" min="104" max="104" width="11.44"/>
    <col customWidth="1" min="105" max="105" width="2.44"/>
    <col customWidth="1" min="106" max="107" width="11.44"/>
    <col customWidth="1" min="108" max="108" width="8.67"/>
    <col customWidth="1" min="109" max="109" width="15.22"/>
    <col customWidth="1" min="110" max="110" width="6.33"/>
    <col customWidth="1" min="111" max="111" width="11.44"/>
    <col customWidth="1" min="112" max="112" width="2.44"/>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44"/>
    <col customWidth="1" min="120" max="120" width="8.78"/>
    <col customWidth="1" min="121" max="121" width="12.44"/>
    <col customWidth="1" min="122" max="122" width="6.33"/>
    <col customWidth="1" min="123" max="123" width="14.78"/>
    <col customWidth="1" min="124" max="124" width="6.0"/>
    <col customWidth="1" min="125" max="125" width="12.67"/>
    <col customWidth="1" min="126" max="127" width="2.44"/>
  </cols>
  <sheetData>
    <row r="1" ht="29.25" customHeight="1">
      <c r="B1" s="7" t="s">
        <v>20</v>
      </c>
      <c r="E1" s="7"/>
      <c r="H1" s="9"/>
      <c r="J1" s="9"/>
      <c r="K1" s="9"/>
      <c r="L1" s="9"/>
      <c r="O1" s="36">
        <f>SUM(O4,O11,O19,O27,O37,O45,O53,O65)</f>
        <v>8</v>
      </c>
      <c r="V1" s="36">
        <f>SUM(V4,V11,V19,V27,V37,V45,V53,V65)</f>
        <v>20.5</v>
      </c>
      <c r="AC1" s="36">
        <f>SUM(AC4,AC27,AC45,AC65)</f>
        <v>28</v>
      </c>
      <c r="AJ1" s="36">
        <f>SUM(AJ4,AJ27,AJ45,AJ65)</f>
        <v>21.5</v>
      </c>
      <c r="AQ1" s="36">
        <f>SUM(AQ4,AQ27,AQ45,AQ65)</f>
        <v>9.75</v>
      </c>
      <c r="BE1" s="36">
        <f>SUM(BE4,BE27,BE45,BE53,BE65)</f>
        <v>44</v>
      </c>
      <c r="CT1" s="11"/>
      <c r="CU1" s="11"/>
      <c r="CV1" s="11"/>
      <c r="CW1" s="11"/>
      <c r="CX1" s="11"/>
      <c r="CY1" s="11"/>
      <c r="CZ1" s="11"/>
      <c r="DA1" s="11"/>
      <c r="DB1" s="11"/>
      <c r="DC1" s="11"/>
      <c r="DD1" s="11"/>
      <c r="DE1" s="11"/>
      <c r="DF1" s="11"/>
      <c r="DG1" s="11"/>
    </row>
    <row r="2" ht="15.75" customHeight="1">
      <c r="J2" s="12" t="s">
        <v>26</v>
      </c>
      <c r="K2" s="13"/>
      <c r="L2" s="13"/>
      <c r="M2" s="13"/>
      <c r="O2" s="15" t="s">
        <v>146</v>
      </c>
      <c r="P2" s="13"/>
      <c r="Q2" s="13"/>
      <c r="R2" s="13"/>
      <c r="S2" s="13"/>
      <c r="T2" s="13"/>
      <c r="V2" s="15" t="s">
        <v>147</v>
      </c>
      <c r="W2" s="13"/>
      <c r="X2" s="13"/>
      <c r="Y2" s="13"/>
      <c r="Z2" s="13"/>
      <c r="AA2" s="13"/>
      <c r="AC2" s="15" t="s">
        <v>148</v>
      </c>
      <c r="AD2" s="13"/>
      <c r="AE2" s="13"/>
      <c r="AF2" s="13"/>
      <c r="AG2" s="13"/>
      <c r="AH2" s="13"/>
      <c r="AJ2" s="15" t="s">
        <v>149</v>
      </c>
      <c r="AK2" s="13"/>
      <c r="AL2" s="13"/>
      <c r="AM2" s="13"/>
      <c r="AN2" s="13"/>
      <c r="AO2" s="13"/>
      <c r="AQ2" s="15" t="s">
        <v>150</v>
      </c>
      <c r="AR2" s="13"/>
      <c r="AS2" s="13"/>
      <c r="AT2" s="13"/>
      <c r="AU2" s="13"/>
      <c r="AV2" s="13"/>
      <c r="AX2" s="42" t="s">
        <v>151</v>
      </c>
      <c r="AY2" s="13"/>
      <c r="AZ2" s="13"/>
      <c r="BA2" s="13"/>
      <c r="BB2" s="13"/>
      <c r="BC2" s="13"/>
      <c r="BE2" s="43" t="s">
        <v>152</v>
      </c>
      <c r="BF2" s="13"/>
      <c r="BG2" s="13"/>
      <c r="BH2" s="13"/>
      <c r="BI2" s="13"/>
      <c r="BJ2" s="13"/>
      <c r="BL2" s="44" t="s">
        <v>153</v>
      </c>
      <c r="BM2" s="13"/>
      <c r="BN2" s="13"/>
      <c r="BO2" s="13"/>
      <c r="BP2" s="13"/>
      <c r="BQ2" s="13"/>
      <c r="BS2" s="15" t="s">
        <v>154</v>
      </c>
      <c r="BT2" s="13"/>
      <c r="BU2" s="13"/>
      <c r="BV2" s="13"/>
      <c r="BW2" s="13"/>
      <c r="BX2" s="13"/>
      <c r="BZ2" s="15" t="s">
        <v>155</v>
      </c>
      <c r="CA2" s="13"/>
      <c r="CB2" s="13"/>
      <c r="CC2" s="13"/>
      <c r="CD2" s="13"/>
      <c r="CE2" s="13"/>
      <c r="CG2" s="15" t="s">
        <v>156</v>
      </c>
      <c r="CH2" s="13"/>
      <c r="CI2" s="13"/>
      <c r="CJ2" s="13"/>
      <c r="CK2" s="13"/>
      <c r="CL2" s="13"/>
      <c r="CN2" s="15" t="s">
        <v>157</v>
      </c>
      <c r="CO2" s="13"/>
      <c r="CP2" s="13"/>
      <c r="CQ2" s="13"/>
      <c r="CR2" s="13"/>
      <c r="CS2" s="13"/>
      <c r="CT2" s="11"/>
      <c r="CU2" s="45" t="s">
        <v>158</v>
      </c>
      <c r="DA2" s="11"/>
      <c r="DB2" s="46" t="s">
        <v>159</v>
      </c>
      <c r="DI2" s="43" t="s">
        <v>160</v>
      </c>
      <c r="DJ2" s="13"/>
      <c r="DK2" s="13"/>
      <c r="DL2" s="13"/>
      <c r="DM2" s="13"/>
      <c r="DN2" s="13"/>
      <c r="DP2" s="44" t="s">
        <v>161</v>
      </c>
      <c r="DQ2" s="13"/>
      <c r="DR2" s="13"/>
      <c r="DS2" s="13"/>
      <c r="DT2" s="13"/>
      <c r="DU2" s="13"/>
    </row>
    <row r="3" ht="15.75" customHeight="1">
      <c r="B3" s="19" t="s">
        <v>44</v>
      </c>
      <c r="C3" s="19"/>
      <c r="D3" s="21" t="s">
        <v>162</v>
      </c>
      <c r="E3" s="21" t="s">
        <v>46</v>
      </c>
      <c r="F3" s="22" t="s">
        <v>47</v>
      </c>
      <c r="G3" s="21" t="s">
        <v>163</v>
      </c>
      <c r="H3" s="19" t="s">
        <v>164</v>
      </c>
      <c r="J3" s="22" t="s">
        <v>50</v>
      </c>
      <c r="K3" s="22" t="s">
        <v>51</v>
      </c>
      <c r="L3" s="22" t="s">
        <v>52</v>
      </c>
      <c r="M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E3" s="19" t="s">
        <v>50</v>
      </c>
      <c r="BF3" s="19" t="s">
        <v>51</v>
      </c>
      <c r="BG3" s="19" t="s">
        <v>54</v>
      </c>
      <c r="BH3" s="19" t="s">
        <v>52</v>
      </c>
      <c r="BI3" s="19" t="s">
        <v>54</v>
      </c>
      <c r="BJ3" s="19" t="s">
        <v>53</v>
      </c>
      <c r="BL3" s="19" t="s">
        <v>50</v>
      </c>
      <c r="BM3" s="19" t="s">
        <v>51</v>
      </c>
      <c r="BN3" s="19" t="s">
        <v>54</v>
      </c>
      <c r="BO3" s="19" t="s">
        <v>52</v>
      </c>
      <c r="BP3" s="19" t="s">
        <v>54</v>
      </c>
      <c r="BQ3" s="19" t="s">
        <v>53</v>
      </c>
      <c r="BS3" s="19" t="s">
        <v>50</v>
      </c>
      <c r="BT3" s="19" t="s">
        <v>51</v>
      </c>
      <c r="BU3" s="19" t="s">
        <v>54</v>
      </c>
      <c r="BV3" s="19" t="s">
        <v>52</v>
      </c>
      <c r="BW3" s="19" t="s">
        <v>54</v>
      </c>
      <c r="BX3" s="19" t="s">
        <v>53</v>
      </c>
      <c r="BZ3" s="19" t="s">
        <v>50</v>
      </c>
      <c r="CA3" s="19" t="s">
        <v>51</v>
      </c>
      <c r="CB3" s="19" t="s">
        <v>54</v>
      </c>
      <c r="CC3" s="19" t="s">
        <v>52</v>
      </c>
      <c r="CD3" s="19" t="s">
        <v>54</v>
      </c>
      <c r="CE3" s="19" t="s">
        <v>53</v>
      </c>
      <c r="CG3" s="19" t="s">
        <v>50</v>
      </c>
      <c r="CH3" s="19" t="s">
        <v>51</v>
      </c>
      <c r="CI3" s="19" t="s">
        <v>54</v>
      </c>
      <c r="CJ3" s="19" t="s">
        <v>52</v>
      </c>
      <c r="CK3" s="19" t="s">
        <v>54</v>
      </c>
      <c r="CL3" s="19" t="s">
        <v>53</v>
      </c>
      <c r="CN3" s="19" t="s">
        <v>50</v>
      </c>
      <c r="CO3" s="19" t="s">
        <v>51</v>
      </c>
      <c r="CP3" s="19" t="s">
        <v>54</v>
      </c>
      <c r="CQ3" s="19" t="s">
        <v>52</v>
      </c>
      <c r="CR3" s="19" t="s">
        <v>54</v>
      </c>
      <c r="CS3" s="19" t="s">
        <v>53</v>
      </c>
      <c r="CT3" s="11"/>
      <c r="CU3" s="47" t="s">
        <v>50</v>
      </c>
      <c r="CV3" s="47" t="s">
        <v>51</v>
      </c>
      <c r="CW3" s="47" t="s">
        <v>54</v>
      </c>
      <c r="CX3" s="47" t="s">
        <v>52</v>
      </c>
      <c r="CY3" s="47" t="s">
        <v>54</v>
      </c>
      <c r="CZ3" s="47" t="s">
        <v>53</v>
      </c>
      <c r="DA3" s="11"/>
      <c r="DB3" s="47" t="s">
        <v>50</v>
      </c>
      <c r="DC3" s="47" t="s">
        <v>51</v>
      </c>
      <c r="DD3" s="47" t="s">
        <v>54</v>
      </c>
      <c r="DE3" s="47" t="s">
        <v>52</v>
      </c>
      <c r="DF3" s="47" t="s">
        <v>54</v>
      </c>
      <c r="DG3" s="47" t="s">
        <v>53</v>
      </c>
      <c r="DI3" s="19" t="s">
        <v>50</v>
      </c>
      <c r="DJ3" s="19" t="s">
        <v>51</v>
      </c>
      <c r="DK3" s="19" t="s">
        <v>54</v>
      </c>
      <c r="DL3" s="19" t="s">
        <v>52</v>
      </c>
      <c r="DM3" s="19" t="s">
        <v>54</v>
      </c>
      <c r="DN3" s="19" t="s">
        <v>53</v>
      </c>
      <c r="DP3" s="19" t="s">
        <v>50</v>
      </c>
      <c r="DQ3" s="19" t="s">
        <v>51</v>
      </c>
      <c r="DR3" s="19" t="s">
        <v>54</v>
      </c>
      <c r="DS3" s="19" t="s">
        <v>52</v>
      </c>
      <c r="DT3" s="19" t="s">
        <v>54</v>
      </c>
      <c r="DU3" s="19" t="s">
        <v>53</v>
      </c>
    </row>
    <row r="4" ht="15.75" customHeight="1">
      <c r="B4" s="48" t="s">
        <v>26</v>
      </c>
      <c r="C4" s="48"/>
      <c r="D4" s="49" t="s">
        <v>165</v>
      </c>
      <c r="E4" s="49" t="s">
        <v>166</v>
      </c>
      <c r="F4" s="32">
        <v>3.0</v>
      </c>
      <c r="H4" s="27">
        <f>+SUM(H5:H9)</f>
        <v>1</v>
      </c>
      <c r="J4" s="28">
        <f>+SUM(J5:J9)</f>
        <v>40</v>
      </c>
      <c r="K4" s="29">
        <f>+SUMPRODUCT(H5:H9,K5:K9)</f>
        <v>1</v>
      </c>
      <c r="L4" s="29">
        <f>+SUMPRODUCT(H5:H9,L5:L9)</f>
        <v>1</v>
      </c>
      <c r="M4" s="26"/>
      <c r="O4" s="28">
        <f>+SUM(O5:O9)</f>
        <v>5</v>
      </c>
      <c r="V4" s="28">
        <f>+SUM(V5:V9)</f>
        <v>6.5</v>
      </c>
      <c r="AC4" s="28">
        <f>+SUM(AC5:AC9)</f>
        <v>5.5</v>
      </c>
      <c r="AJ4" s="28">
        <f>+SUM(AJ5:AJ9)</f>
        <v>4</v>
      </c>
      <c r="AQ4" s="28">
        <f>+SUM(AQ5:AQ9)</f>
        <v>3</v>
      </c>
      <c r="AX4" s="28">
        <f>+SUM(AX5:AX9)</f>
        <v>0</v>
      </c>
      <c r="BE4" s="28">
        <f>+SUM(BE5:BE9)</f>
        <v>16</v>
      </c>
      <c r="BL4" s="28">
        <f>+SUM(BL5:BL9)</f>
        <v>0</v>
      </c>
      <c r="BS4" s="28"/>
      <c r="BZ4" s="28"/>
      <c r="CG4" s="28"/>
      <c r="CN4" s="28"/>
      <c r="CT4" s="11"/>
      <c r="CU4" s="50"/>
      <c r="CV4" s="11"/>
      <c r="CW4" s="11"/>
      <c r="CX4" s="11"/>
      <c r="CY4" s="11"/>
      <c r="CZ4" s="11"/>
      <c r="DA4" s="11"/>
      <c r="DB4" s="50"/>
      <c r="DC4" s="11"/>
      <c r="DD4" s="11"/>
      <c r="DE4" s="11"/>
      <c r="DF4" s="11"/>
      <c r="DG4" s="11"/>
      <c r="DI4" s="28"/>
      <c r="DP4" s="28"/>
    </row>
    <row r="5" ht="15.75" hidden="1" customHeight="1" outlineLevel="1">
      <c r="B5" s="48" t="s">
        <v>56</v>
      </c>
      <c r="C5" s="48"/>
      <c r="D5" s="49" t="s">
        <v>167</v>
      </c>
      <c r="F5" s="26"/>
      <c r="G5" s="49" t="s">
        <v>168</v>
      </c>
      <c r="H5" s="30">
        <v>0.15</v>
      </c>
      <c r="J5" s="26">
        <f t="shared" ref="J5:J9" si="2">+SUMIF($O$3:$ACN$3,J$3,$O5:$ACN5)</f>
        <v>7</v>
      </c>
      <c r="K5" s="29">
        <f t="shared" ref="K5:L5" si="1">+MAXIFS($O5:$ABT5,$O$3:$ABT$3,K$3)</f>
        <v>1</v>
      </c>
      <c r="L5" s="29">
        <f t="shared" si="1"/>
        <v>1</v>
      </c>
      <c r="M5" s="26"/>
      <c r="O5" s="5">
        <v>4.5</v>
      </c>
      <c r="P5" s="30">
        <v>0.8</v>
      </c>
      <c r="Q5" s="30">
        <v>1.0</v>
      </c>
      <c r="R5" s="30">
        <v>0.8</v>
      </c>
      <c r="S5" s="30">
        <v>1.0</v>
      </c>
      <c r="V5" s="5">
        <v>0.5</v>
      </c>
      <c r="W5" s="30">
        <v>1.0</v>
      </c>
      <c r="X5" s="30">
        <v>1.0</v>
      </c>
      <c r="Y5" s="30">
        <v>1.0</v>
      </c>
      <c r="Z5" s="30">
        <v>1.0</v>
      </c>
      <c r="AD5" s="30">
        <v>1.0</v>
      </c>
      <c r="AE5" s="30">
        <v>1.0</v>
      </c>
      <c r="AF5" s="30">
        <v>1.0</v>
      </c>
      <c r="AG5" s="30">
        <v>1.0</v>
      </c>
      <c r="AK5" s="30">
        <v>1.0</v>
      </c>
      <c r="AL5" s="30">
        <v>1.0</v>
      </c>
      <c r="AM5" s="30">
        <v>1.0</v>
      </c>
      <c r="AN5" s="30">
        <v>1.0</v>
      </c>
      <c r="AR5" s="30">
        <v>1.0</v>
      </c>
      <c r="AS5" s="30">
        <v>1.0</v>
      </c>
      <c r="AT5" s="30">
        <v>1.0</v>
      </c>
      <c r="AU5" s="30">
        <v>1.0</v>
      </c>
      <c r="AY5" s="30">
        <v>1.0</v>
      </c>
      <c r="AZ5" s="51">
        <v>1.0</v>
      </c>
      <c r="BA5" s="30">
        <v>1.0</v>
      </c>
      <c r="BB5" s="30">
        <v>1.0</v>
      </c>
      <c r="BE5" s="5">
        <v>2.0</v>
      </c>
      <c r="BF5" s="30">
        <v>1.0</v>
      </c>
      <c r="BG5" s="30">
        <v>1.0</v>
      </c>
      <c r="BH5" s="52">
        <v>1.0</v>
      </c>
      <c r="BI5" s="51">
        <v>1.0</v>
      </c>
      <c r="BM5" s="27"/>
      <c r="BN5" s="27"/>
      <c r="BO5" s="27"/>
      <c r="BP5" s="27"/>
      <c r="BT5" s="27"/>
      <c r="BU5" s="27"/>
      <c r="BV5" s="27"/>
      <c r="BW5" s="27"/>
      <c r="CA5" s="27"/>
      <c r="CB5" s="27"/>
      <c r="CC5" s="27"/>
      <c r="CD5" s="27"/>
      <c r="CH5" s="27"/>
      <c r="CI5" s="27"/>
      <c r="CJ5" s="27"/>
      <c r="CK5" s="27"/>
      <c r="CO5" s="27"/>
      <c r="CP5" s="27"/>
      <c r="CQ5" s="27"/>
      <c r="CR5" s="27"/>
      <c r="CT5" s="11"/>
      <c r="CU5" s="11"/>
      <c r="CV5" s="53"/>
      <c r="CW5" s="53"/>
      <c r="CX5" s="53"/>
      <c r="CY5" s="53"/>
      <c r="CZ5" s="11"/>
      <c r="DA5" s="11"/>
      <c r="DB5" s="11"/>
      <c r="DC5" s="53"/>
      <c r="DD5" s="53"/>
      <c r="DE5" s="53"/>
      <c r="DF5" s="53"/>
      <c r="DG5" s="11"/>
      <c r="DJ5" s="27"/>
      <c r="DK5" s="27"/>
      <c r="DL5" s="27"/>
      <c r="DM5" s="27"/>
      <c r="DQ5" s="27"/>
      <c r="DR5" s="27"/>
      <c r="DS5" s="27"/>
      <c r="DT5" s="27"/>
    </row>
    <row r="6" ht="15.75" hidden="1" customHeight="1" outlineLevel="1">
      <c r="B6" s="48" t="s">
        <v>56</v>
      </c>
      <c r="C6" s="48"/>
      <c r="D6" s="49" t="s">
        <v>167</v>
      </c>
      <c r="F6" s="26"/>
      <c r="G6" s="49" t="s">
        <v>169</v>
      </c>
      <c r="H6" s="30">
        <v>0.2</v>
      </c>
      <c r="J6" s="26">
        <f t="shared" si="2"/>
        <v>11.5</v>
      </c>
      <c r="K6" s="29">
        <f t="shared" ref="K6:L6" si="3">+MAXIFS($O6:$ABT6,$O$3:$ABT$3,K$3)</f>
        <v>1</v>
      </c>
      <c r="L6" s="29">
        <f t="shared" si="3"/>
        <v>1</v>
      </c>
      <c r="M6" s="26"/>
      <c r="O6" s="5">
        <v>0.5</v>
      </c>
      <c r="P6" s="30">
        <v>0.3</v>
      </c>
      <c r="Q6" s="30">
        <v>0.5</v>
      </c>
      <c r="R6" s="30">
        <v>0.3</v>
      </c>
      <c r="S6" s="30">
        <v>0.5</v>
      </c>
      <c r="V6" s="5">
        <v>6.0</v>
      </c>
      <c r="W6" s="30">
        <v>0.8</v>
      </c>
      <c r="X6" s="30">
        <v>1.0</v>
      </c>
      <c r="Y6" s="30">
        <v>0.8</v>
      </c>
      <c r="Z6" s="30">
        <v>1.0</v>
      </c>
      <c r="AD6" s="30">
        <v>0.8</v>
      </c>
      <c r="AE6" s="30">
        <v>1.0</v>
      </c>
      <c r="AF6" s="30">
        <v>0.8</v>
      </c>
      <c r="AG6" s="30">
        <v>1.0</v>
      </c>
      <c r="AK6" s="30">
        <v>0.8</v>
      </c>
      <c r="AL6" s="30">
        <v>1.0</v>
      </c>
      <c r="AM6" s="30">
        <v>0.8</v>
      </c>
      <c r="AN6" s="30">
        <v>1.0</v>
      </c>
      <c r="AR6" s="30">
        <v>0.8</v>
      </c>
      <c r="AS6" s="30">
        <v>1.0</v>
      </c>
      <c r="AT6" s="30">
        <v>0.8</v>
      </c>
      <c r="AU6" s="30">
        <v>1.0</v>
      </c>
      <c r="AY6" s="30">
        <v>0.8</v>
      </c>
      <c r="AZ6" s="51">
        <v>1.0</v>
      </c>
      <c r="BA6" s="30">
        <v>0.8</v>
      </c>
      <c r="BB6" s="30">
        <v>1.0</v>
      </c>
      <c r="BE6" s="5">
        <v>5.0</v>
      </c>
      <c r="BF6" s="30">
        <v>1.0</v>
      </c>
      <c r="BG6" s="30">
        <v>1.0</v>
      </c>
      <c r="BH6" s="54">
        <v>1.0</v>
      </c>
      <c r="BI6" s="51">
        <v>1.0</v>
      </c>
      <c r="BM6" s="27"/>
      <c r="BN6" s="27"/>
      <c r="BO6" s="27"/>
      <c r="BP6" s="27"/>
      <c r="BT6" s="27"/>
      <c r="BU6" s="27"/>
      <c r="BV6" s="27"/>
      <c r="BW6" s="27"/>
      <c r="CA6" s="27"/>
      <c r="CB6" s="27"/>
      <c r="CC6" s="27"/>
      <c r="CD6" s="27"/>
      <c r="CH6" s="27"/>
      <c r="CI6" s="27"/>
      <c r="CJ6" s="27"/>
      <c r="CK6" s="27"/>
      <c r="CO6" s="27"/>
      <c r="CP6" s="27"/>
      <c r="CQ6" s="27"/>
      <c r="CR6" s="27"/>
      <c r="CT6" s="11"/>
      <c r="CU6" s="11"/>
      <c r="CV6" s="53"/>
      <c r="CW6" s="53"/>
      <c r="CX6" s="53"/>
      <c r="CY6" s="53"/>
      <c r="CZ6" s="11"/>
      <c r="DA6" s="11"/>
      <c r="DB6" s="11"/>
      <c r="DC6" s="53"/>
      <c r="DD6" s="53"/>
      <c r="DE6" s="53"/>
      <c r="DF6" s="53"/>
      <c r="DG6" s="11"/>
      <c r="DJ6" s="27"/>
      <c r="DK6" s="27"/>
      <c r="DL6" s="27"/>
      <c r="DM6" s="27"/>
      <c r="DQ6" s="27"/>
      <c r="DR6" s="27"/>
      <c r="DS6" s="27"/>
      <c r="DT6" s="27"/>
    </row>
    <row r="7" ht="15.75" hidden="1" customHeight="1" outlineLevel="1">
      <c r="B7" s="48" t="s">
        <v>56</v>
      </c>
      <c r="C7" s="48"/>
      <c r="D7" s="49" t="s">
        <v>167</v>
      </c>
      <c r="F7" s="26"/>
      <c r="G7" s="49" t="s">
        <v>170</v>
      </c>
      <c r="H7" s="30">
        <v>0.2</v>
      </c>
      <c r="J7" s="26">
        <f t="shared" si="2"/>
        <v>9.5</v>
      </c>
      <c r="K7" s="29">
        <f t="shared" ref="K7:L7" si="4">+MAXIFS($O7:$ABT7,$O$3:$ABT$3,K$3)</f>
        <v>1</v>
      </c>
      <c r="L7" s="29">
        <f t="shared" si="4"/>
        <v>1</v>
      </c>
      <c r="M7" s="26"/>
      <c r="P7" s="27"/>
      <c r="Q7" s="27"/>
      <c r="R7" s="27"/>
      <c r="S7" s="30"/>
      <c r="W7" s="27"/>
      <c r="X7" s="30"/>
      <c r="Y7" s="27"/>
      <c r="Z7" s="30"/>
      <c r="AC7" s="5">
        <v>4.5</v>
      </c>
      <c r="AD7" s="30">
        <v>0.2</v>
      </c>
      <c r="AE7" s="30">
        <v>0.8</v>
      </c>
      <c r="AF7" s="30">
        <v>0.2</v>
      </c>
      <c r="AG7" s="30">
        <v>0.8</v>
      </c>
      <c r="AK7" s="30">
        <v>0.2</v>
      </c>
      <c r="AL7" s="30">
        <v>0.8</v>
      </c>
      <c r="AM7" s="30">
        <v>0.2</v>
      </c>
      <c r="AN7" s="30">
        <v>0.8</v>
      </c>
      <c r="AR7" s="30">
        <v>0.2</v>
      </c>
      <c r="AS7" s="30">
        <v>0.8</v>
      </c>
      <c r="AT7" s="30">
        <v>0.2</v>
      </c>
      <c r="AU7" s="30">
        <v>0.8</v>
      </c>
      <c r="AY7" s="30">
        <v>0.2</v>
      </c>
      <c r="AZ7" s="51">
        <v>1.0</v>
      </c>
      <c r="BA7" s="30">
        <v>0.2</v>
      </c>
      <c r="BB7" s="30">
        <v>1.0</v>
      </c>
      <c r="BE7" s="5">
        <v>5.0</v>
      </c>
      <c r="BF7" s="30">
        <v>1.0</v>
      </c>
      <c r="BG7" s="30">
        <v>1.0</v>
      </c>
      <c r="BH7" s="52">
        <v>1.0</v>
      </c>
      <c r="BI7" s="51">
        <v>1.0</v>
      </c>
      <c r="BM7" s="27"/>
      <c r="BN7" s="27"/>
      <c r="BO7" s="27"/>
      <c r="BP7" s="27"/>
      <c r="BT7" s="27"/>
      <c r="BU7" s="27"/>
      <c r="BV7" s="27"/>
      <c r="BW7" s="27"/>
      <c r="CA7" s="27"/>
      <c r="CB7" s="27"/>
      <c r="CC7" s="27"/>
      <c r="CD7" s="27"/>
      <c r="CH7" s="27"/>
      <c r="CI7" s="27"/>
      <c r="CJ7" s="27"/>
      <c r="CK7" s="27"/>
      <c r="CO7" s="27"/>
      <c r="CP7" s="27"/>
      <c r="CQ7" s="27"/>
      <c r="CR7" s="27"/>
      <c r="CT7" s="11"/>
      <c r="CU7" s="11"/>
      <c r="CV7" s="53"/>
      <c r="CW7" s="53"/>
      <c r="CX7" s="53"/>
      <c r="CY7" s="53"/>
      <c r="CZ7" s="11"/>
      <c r="DA7" s="11"/>
      <c r="DB7" s="11"/>
      <c r="DC7" s="53"/>
      <c r="DD7" s="53"/>
      <c r="DE7" s="53"/>
      <c r="DF7" s="53"/>
      <c r="DG7" s="11"/>
      <c r="DJ7" s="27"/>
      <c r="DK7" s="27"/>
      <c r="DL7" s="27"/>
      <c r="DM7" s="27"/>
      <c r="DQ7" s="27"/>
      <c r="DR7" s="27"/>
      <c r="DS7" s="27"/>
      <c r="DT7" s="27"/>
    </row>
    <row r="8" ht="15.75" hidden="1" customHeight="1" outlineLevel="1">
      <c r="B8" s="48" t="s">
        <v>56</v>
      </c>
      <c r="C8" s="48"/>
      <c r="D8" s="49" t="s">
        <v>167</v>
      </c>
      <c r="F8" s="26"/>
      <c r="G8" s="49" t="s">
        <v>171</v>
      </c>
      <c r="H8" s="30">
        <v>0.2</v>
      </c>
      <c r="J8" s="26">
        <f t="shared" si="2"/>
        <v>7.5</v>
      </c>
      <c r="K8" s="29">
        <f t="shared" ref="K8:L8" si="5">+MAXIFS($O8:$ABT8,$O$3:$ABT$3,K$3)</f>
        <v>1</v>
      </c>
      <c r="L8" s="29">
        <f t="shared" si="5"/>
        <v>1</v>
      </c>
      <c r="M8" s="26"/>
      <c r="P8" s="27"/>
      <c r="Q8" s="27"/>
      <c r="R8" s="27"/>
      <c r="S8" s="30"/>
      <c r="W8" s="27"/>
      <c r="X8" s="27"/>
      <c r="Y8" s="27"/>
      <c r="Z8" s="30"/>
      <c r="AD8" s="27"/>
      <c r="AE8" s="30"/>
      <c r="AF8" s="27"/>
      <c r="AG8" s="30"/>
      <c r="AJ8" s="5">
        <v>3.5</v>
      </c>
      <c r="AK8" s="27"/>
      <c r="AL8" s="30">
        <v>0.5</v>
      </c>
      <c r="AM8" s="27"/>
      <c r="AN8" s="30">
        <v>0.5</v>
      </c>
      <c r="AR8" s="27"/>
      <c r="AS8" s="30">
        <v>0.8</v>
      </c>
      <c r="AT8" s="27"/>
      <c r="AU8" s="30">
        <v>0.8</v>
      </c>
      <c r="AY8" s="30">
        <v>0.2</v>
      </c>
      <c r="AZ8" s="51">
        <v>1.0</v>
      </c>
      <c r="BA8" s="30">
        <v>0.2</v>
      </c>
      <c r="BB8" s="30">
        <v>1.0</v>
      </c>
      <c r="BE8" s="5">
        <v>4.0</v>
      </c>
      <c r="BF8" s="30">
        <v>1.0</v>
      </c>
      <c r="BG8" s="30">
        <v>1.0</v>
      </c>
      <c r="BH8" s="52">
        <v>1.0</v>
      </c>
      <c r="BI8" s="51">
        <v>1.0</v>
      </c>
      <c r="BM8" s="27"/>
      <c r="BN8" s="27"/>
      <c r="BO8" s="27"/>
      <c r="BP8" s="27"/>
      <c r="BT8" s="27"/>
      <c r="BU8" s="27"/>
      <c r="BV8" s="27"/>
      <c r="BW8" s="27"/>
      <c r="CA8" s="27"/>
      <c r="CB8" s="27"/>
      <c r="CC8" s="27"/>
      <c r="CD8" s="27"/>
      <c r="CH8" s="27"/>
      <c r="CI8" s="27"/>
      <c r="CJ8" s="27"/>
      <c r="CK8" s="27"/>
      <c r="CO8" s="27"/>
      <c r="CP8" s="27"/>
      <c r="CQ8" s="27"/>
      <c r="CR8" s="27"/>
      <c r="CT8" s="11"/>
      <c r="CU8" s="11"/>
      <c r="CV8" s="53"/>
      <c r="CW8" s="53"/>
      <c r="CX8" s="53"/>
      <c r="CY8" s="53"/>
      <c r="CZ8" s="11"/>
      <c r="DA8" s="11"/>
      <c r="DB8" s="11"/>
      <c r="DC8" s="53"/>
      <c r="DD8" s="53"/>
      <c r="DE8" s="53"/>
      <c r="DF8" s="53"/>
      <c r="DG8" s="11"/>
      <c r="DJ8" s="27"/>
      <c r="DK8" s="27"/>
      <c r="DL8" s="27"/>
      <c r="DM8" s="27"/>
      <c r="DQ8" s="27"/>
      <c r="DR8" s="27"/>
      <c r="DS8" s="27"/>
      <c r="DT8" s="27"/>
    </row>
    <row r="9" ht="15.75" hidden="1" customHeight="1" outlineLevel="1">
      <c r="B9" s="48" t="s">
        <v>56</v>
      </c>
      <c r="C9" s="48"/>
      <c r="D9" s="49" t="s">
        <v>167</v>
      </c>
      <c r="F9" s="26"/>
      <c r="G9" s="49" t="s">
        <v>172</v>
      </c>
      <c r="H9" s="30">
        <v>0.25</v>
      </c>
      <c r="J9" s="26">
        <f t="shared" si="2"/>
        <v>4.5</v>
      </c>
      <c r="K9" s="29">
        <f t="shared" ref="K9:L9" si="6">+MAXIFS($O9:$ABT9,$O$3:$ABT$3,K$3)</f>
        <v>1</v>
      </c>
      <c r="L9" s="29">
        <f t="shared" si="6"/>
        <v>1</v>
      </c>
      <c r="M9" s="26"/>
      <c r="P9" s="27"/>
      <c r="Q9" s="27"/>
      <c r="R9" s="27"/>
      <c r="S9" s="30"/>
      <c r="W9" s="27"/>
      <c r="X9" s="27"/>
      <c r="Y9" s="27"/>
      <c r="Z9" s="30"/>
      <c r="AC9" s="5">
        <v>1.0</v>
      </c>
      <c r="AD9" s="30">
        <v>0.3</v>
      </c>
      <c r="AE9" s="30">
        <v>0.5</v>
      </c>
      <c r="AF9" s="30">
        <v>0.3</v>
      </c>
      <c r="AG9" s="30">
        <v>0.5</v>
      </c>
      <c r="AJ9" s="5">
        <v>0.5</v>
      </c>
      <c r="AK9" s="30">
        <v>0.3</v>
      </c>
      <c r="AL9" s="30">
        <v>0.8</v>
      </c>
      <c r="AM9" s="30">
        <v>0.3</v>
      </c>
      <c r="AN9" s="30">
        <v>0.8</v>
      </c>
      <c r="AQ9" s="5">
        <v>3.0</v>
      </c>
      <c r="AR9" s="30">
        <v>1.0</v>
      </c>
      <c r="AS9" s="30">
        <v>1.0</v>
      </c>
      <c r="AT9" s="30">
        <v>1.0</v>
      </c>
      <c r="AU9" s="30">
        <v>1.0</v>
      </c>
      <c r="AY9" s="30">
        <v>1.0</v>
      </c>
      <c r="AZ9" s="51">
        <v>1.0</v>
      </c>
      <c r="BA9" s="30">
        <v>1.0</v>
      </c>
      <c r="BB9" s="30">
        <v>1.0</v>
      </c>
      <c r="BF9" s="30">
        <v>1.0</v>
      </c>
      <c r="BG9" s="30">
        <v>1.0</v>
      </c>
      <c r="BH9" s="52">
        <v>1.0</v>
      </c>
      <c r="BI9" s="51">
        <v>1.0</v>
      </c>
      <c r="BM9" s="27"/>
      <c r="BN9" s="27"/>
      <c r="BO9" s="27"/>
      <c r="BP9" s="27"/>
      <c r="BT9" s="27"/>
      <c r="BU9" s="27"/>
      <c r="BV9" s="27"/>
      <c r="BW9" s="27"/>
      <c r="CA9" s="27"/>
      <c r="CB9" s="27"/>
      <c r="CC9" s="27"/>
      <c r="CD9" s="27"/>
      <c r="CH9" s="27"/>
      <c r="CI9" s="27"/>
      <c r="CJ9" s="27"/>
      <c r="CK9" s="27"/>
      <c r="CO9" s="27"/>
      <c r="CP9" s="27"/>
      <c r="CQ9" s="27"/>
      <c r="CR9" s="27"/>
      <c r="CT9" s="11"/>
      <c r="CU9" s="11"/>
      <c r="CV9" s="53"/>
      <c r="CW9" s="53"/>
      <c r="CX9" s="53"/>
      <c r="CY9" s="53"/>
      <c r="CZ9" s="11"/>
      <c r="DA9" s="11"/>
      <c r="DB9" s="11"/>
      <c r="DC9" s="53"/>
      <c r="DD9" s="53"/>
      <c r="DE9" s="53"/>
      <c r="DF9" s="53"/>
      <c r="DG9" s="11"/>
      <c r="DJ9" s="27"/>
      <c r="DK9" s="27"/>
      <c r="DL9" s="27"/>
      <c r="DM9" s="27"/>
      <c r="DQ9" s="27"/>
      <c r="DR9" s="27"/>
      <c r="DS9" s="27"/>
      <c r="DT9" s="27"/>
    </row>
    <row r="10" ht="15.75" customHeight="1" collapsed="1">
      <c r="B10" s="48"/>
      <c r="C10" s="48"/>
      <c r="D10" s="49"/>
      <c r="F10" s="26"/>
      <c r="G10" s="49"/>
      <c r="H10" s="30"/>
      <c r="J10" s="26"/>
      <c r="K10" s="29"/>
      <c r="L10" s="29"/>
      <c r="M10" s="26"/>
      <c r="P10" s="27"/>
      <c r="Q10" s="27"/>
      <c r="R10" s="27"/>
      <c r="S10" s="27"/>
      <c r="W10" s="27"/>
      <c r="X10" s="27"/>
      <c r="Y10" s="27"/>
      <c r="Z10" s="27"/>
      <c r="AD10" s="27"/>
      <c r="AE10" s="27"/>
      <c r="AF10" s="27"/>
      <c r="AG10" s="27"/>
      <c r="AK10" s="27"/>
      <c r="AL10" s="27"/>
      <c r="AM10" s="27"/>
      <c r="AN10" s="27"/>
      <c r="AR10" s="27"/>
      <c r="AS10" s="27"/>
      <c r="AT10" s="27"/>
      <c r="AU10" s="27"/>
      <c r="AY10" s="27"/>
      <c r="AZ10" s="27"/>
      <c r="BA10" s="27"/>
      <c r="BB10" s="27"/>
      <c r="BF10" s="27"/>
      <c r="BG10" s="27"/>
      <c r="BH10" s="27"/>
      <c r="BI10" s="27"/>
      <c r="BM10" s="27"/>
      <c r="BN10" s="27"/>
      <c r="BO10" s="27"/>
      <c r="BP10" s="27"/>
      <c r="BT10" s="27"/>
      <c r="BU10" s="27"/>
      <c r="BV10" s="27"/>
      <c r="BW10" s="27"/>
      <c r="CA10" s="27"/>
      <c r="CB10" s="27"/>
      <c r="CC10" s="27"/>
      <c r="CD10" s="27"/>
      <c r="CH10" s="27"/>
      <c r="CI10" s="27"/>
      <c r="CJ10" s="27"/>
      <c r="CK10" s="27"/>
      <c r="CO10" s="27"/>
      <c r="CP10" s="27"/>
      <c r="CQ10" s="27"/>
      <c r="CR10" s="27"/>
      <c r="CT10" s="11"/>
      <c r="CU10" s="11"/>
      <c r="CV10" s="53"/>
      <c r="CW10" s="53"/>
      <c r="CX10" s="53"/>
      <c r="CY10" s="53"/>
      <c r="CZ10" s="11"/>
      <c r="DA10" s="11"/>
      <c r="DB10" s="11"/>
      <c r="DC10" s="53"/>
      <c r="DD10" s="53"/>
      <c r="DE10" s="53"/>
      <c r="DF10" s="53"/>
      <c r="DG10" s="11"/>
      <c r="DJ10" s="27"/>
      <c r="DK10" s="27"/>
      <c r="DL10" s="27"/>
      <c r="DM10" s="27"/>
      <c r="DQ10" s="27"/>
      <c r="DR10" s="27"/>
      <c r="DS10" s="27"/>
      <c r="DT10" s="27"/>
    </row>
    <row r="11" ht="15.75" customHeight="1">
      <c r="B11" s="48" t="s">
        <v>26</v>
      </c>
      <c r="C11" s="48"/>
      <c r="D11" s="49" t="s">
        <v>165</v>
      </c>
      <c r="E11" s="49" t="s">
        <v>173</v>
      </c>
      <c r="F11" s="32">
        <v>3.0</v>
      </c>
      <c r="H11" s="27">
        <f>+SUM(H12:H17)</f>
        <v>1</v>
      </c>
      <c r="J11" s="28">
        <f>+SUM(J12:J17)</f>
        <v>0</v>
      </c>
      <c r="K11" s="29">
        <f>+SUMPRODUCT(H12:H17,K12:K17)</f>
        <v>0</v>
      </c>
      <c r="L11" s="29">
        <f>+SUMPRODUCT(H12:H17,L12:L17)</f>
        <v>0</v>
      </c>
      <c r="M11" s="26"/>
      <c r="O11" s="28"/>
      <c r="V11" s="28"/>
      <c r="AC11" s="28"/>
      <c r="AJ11" s="28"/>
      <c r="AQ11" s="28"/>
      <c r="AX11" s="28"/>
      <c r="BE11" s="28"/>
      <c r="BL11" s="28"/>
      <c r="BS11" s="28">
        <f>+SUM(BS12:BS17)</f>
        <v>0</v>
      </c>
      <c r="BZ11" s="28">
        <f>+SUM(BZ12:BZ17)</f>
        <v>0</v>
      </c>
      <c r="CG11" s="28">
        <f>+SUM(CG12:CG17)</f>
        <v>0</v>
      </c>
      <c r="CL11" s="5" t="s">
        <v>174</v>
      </c>
      <c r="CN11" s="28">
        <f>+SUM(CN12:CN17)</f>
        <v>0</v>
      </c>
      <c r="CT11" s="11"/>
      <c r="CU11" s="50">
        <v>0.0</v>
      </c>
      <c r="CV11" s="11"/>
      <c r="CW11" s="11"/>
      <c r="CX11" s="11"/>
      <c r="CY11" s="11"/>
      <c r="CZ11" s="11"/>
      <c r="DA11" s="11"/>
      <c r="DB11" s="50">
        <v>0.0</v>
      </c>
      <c r="DC11" s="11"/>
      <c r="DD11" s="11"/>
      <c r="DE11" s="11"/>
      <c r="DF11" s="11"/>
      <c r="DG11" s="11"/>
      <c r="DI11" s="28">
        <f>+SUM(DI12:DI17)</f>
        <v>0</v>
      </c>
      <c r="DP11" s="28">
        <f>+SUM(DP12:DP17)</f>
        <v>0</v>
      </c>
    </row>
    <row r="12" ht="15.75" customHeight="1" outlineLevel="1">
      <c r="B12" s="48" t="s">
        <v>56</v>
      </c>
      <c r="C12" s="48"/>
      <c r="D12" s="49" t="s">
        <v>175</v>
      </c>
      <c r="F12" s="26"/>
      <c r="G12" s="5" t="s">
        <v>176</v>
      </c>
      <c r="H12" s="27">
        <v>0.1</v>
      </c>
      <c r="J12" s="26">
        <f t="shared" ref="J12:J17" si="8">+SUMIF($O$3:$ACN$3,J$3,$O12:$ACN12)</f>
        <v>0</v>
      </c>
      <c r="K12" s="29">
        <f t="shared" ref="K12:L12" si="7">+MAXIFS($O12:$ABT12,$O$3:$ABT$3,K$3)</f>
        <v>0</v>
      </c>
      <c r="L12" s="29">
        <f t="shared" si="7"/>
        <v>0</v>
      </c>
      <c r="M12" s="26"/>
      <c r="P12" s="27"/>
      <c r="Q12" s="27"/>
      <c r="R12" s="27"/>
      <c r="S12" s="27"/>
      <c r="W12" s="27"/>
      <c r="X12" s="27"/>
      <c r="Y12" s="27"/>
      <c r="Z12" s="27"/>
      <c r="AD12" s="27"/>
      <c r="AE12" s="27"/>
      <c r="AF12" s="27"/>
      <c r="AG12" s="27"/>
      <c r="AK12" s="27"/>
      <c r="AL12" s="27"/>
      <c r="AM12" s="27"/>
      <c r="AN12" s="27"/>
      <c r="AR12" s="27"/>
      <c r="AS12" s="27"/>
      <c r="AT12" s="27"/>
      <c r="AU12" s="27"/>
      <c r="AY12" s="27"/>
      <c r="AZ12" s="27"/>
      <c r="BA12" s="27"/>
      <c r="BB12" s="27"/>
      <c r="BF12" s="27"/>
      <c r="BG12" s="27"/>
      <c r="BH12" s="27"/>
      <c r="BI12" s="27"/>
      <c r="BM12" s="27"/>
      <c r="BN12" s="27"/>
      <c r="BO12" s="27"/>
      <c r="BP12" s="27"/>
      <c r="BT12" s="27"/>
      <c r="BU12" s="27"/>
      <c r="BV12" s="27"/>
      <c r="BW12" s="27"/>
      <c r="CA12" s="27"/>
      <c r="CB12" s="27"/>
      <c r="CC12" s="27"/>
      <c r="CD12" s="27"/>
      <c r="CH12" s="55"/>
      <c r="CI12" s="30">
        <v>1.0</v>
      </c>
      <c r="CJ12" s="55"/>
      <c r="CK12" s="30">
        <v>1.0</v>
      </c>
      <c r="CO12" s="55"/>
      <c r="CP12" s="30">
        <v>1.0</v>
      </c>
      <c r="CQ12" s="55"/>
      <c r="CR12" s="30">
        <v>1.0</v>
      </c>
      <c r="CT12" s="11"/>
      <c r="CU12" s="11"/>
      <c r="CV12" s="55"/>
      <c r="CW12" s="30">
        <v>1.0</v>
      </c>
      <c r="CX12" s="27"/>
      <c r="CY12" s="30">
        <v>1.0</v>
      </c>
      <c r="CZ12" s="11"/>
      <c r="DA12" s="11"/>
      <c r="DB12" s="11"/>
      <c r="DC12" s="55"/>
      <c r="DD12" s="30">
        <v>1.0</v>
      </c>
      <c r="DE12" s="27"/>
      <c r="DF12" s="30">
        <v>1.0</v>
      </c>
      <c r="DG12" s="11"/>
      <c r="DJ12" s="55"/>
      <c r="DK12" s="51">
        <v>1.0</v>
      </c>
      <c r="DL12" s="27"/>
      <c r="DM12" s="30">
        <v>1.0</v>
      </c>
      <c r="DQ12" s="27"/>
      <c r="DR12" s="27"/>
      <c r="DS12" s="27"/>
      <c r="DT12" s="27"/>
    </row>
    <row r="13" ht="15.75" customHeight="1" outlineLevel="1">
      <c r="B13" s="48" t="s">
        <v>56</v>
      </c>
      <c r="C13" s="48"/>
      <c r="D13" s="49" t="s">
        <v>175</v>
      </c>
      <c r="F13" s="26"/>
      <c r="G13" s="49" t="s">
        <v>177</v>
      </c>
      <c r="H13" s="30">
        <v>0.15</v>
      </c>
      <c r="J13" s="26">
        <f t="shared" si="8"/>
        <v>0</v>
      </c>
      <c r="K13" s="29">
        <f t="shared" ref="K13:L13" si="9">+MAXIFS($O13:$ABT13,$O$3:$ABT$3,K$3)</f>
        <v>0</v>
      </c>
      <c r="L13" s="29">
        <f t="shared" si="9"/>
        <v>0</v>
      </c>
      <c r="M13" s="26"/>
      <c r="P13" s="27"/>
      <c r="Q13" s="27"/>
      <c r="R13" s="27"/>
      <c r="S13" s="27"/>
      <c r="W13" s="27"/>
      <c r="X13" s="27"/>
      <c r="Y13" s="27"/>
      <c r="Z13" s="27"/>
      <c r="AD13" s="27"/>
      <c r="AE13" s="27"/>
      <c r="AF13" s="27"/>
      <c r="AG13" s="27"/>
      <c r="AK13" s="27"/>
      <c r="AL13" s="27"/>
      <c r="AM13" s="27"/>
      <c r="AN13" s="27"/>
      <c r="AR13" s="27"/>
      <c r="AS13" s="27"/>
      <c r="AT13" s="27"/>
      <c r="AU13" s="27"/>
      <c r="AY13" s="27"/>
      <c r="AZ13" s="27"/>
      <c r="BA13" s="27"/>
      <c r="BB13" s="27"/>
      <c r="BF13" s="27"/>
      <c r="BG13" s="27"/>
      <c r="BH13" s="27"/>
      <c r="BI13" s="27"/>
      <c r="BM13" s="27"/>
      <c r="BN13" s="27"/>
      <c r="BO13" s="27"/>
      <c r="BP13" s="27"/>
      <c r="BT13" s="27"/>
      <c r="BU13" s="27"/>
      <c r="BV13" s="27"/>
      <c r="BW13" s="27"/>
      <c r="CA13" s="27"/>
      <c r="CB13" s="27"/>
      <c r="CC13" s="27"/>
      <c r="CD13" s="27"/>
      <c r="CH13" s="55"/>
      <c r="CI13" s="30">
        <v>0.8</v>
      </c>
      <c r="CJ13" s="55"/>
      <c r="CK13" s="30">
        <v>0.8</v>
      </c>
      <c r="CO13" s="55"/>
      <c r="CP13" s="30">
        <v>1.0</v>
      </c>
      <c r="CQ13" s="55"/>
      <c r="CR13" s="30">
        <v>1.0</v>
      </c>
      <c r="CT13" s="11"/>
      <c r="CU13" s="11"/>
      <c r="CV13" s="55"/>
      <c r="CW13" s="30">
        <v>1.0</v>
      </c>
      <c r="CX13" s="27"/>
      <c r="CY13" s="30">
        <v>1.0</v>
      </c>
      <c r="CZ13" s="11"/>
      <c r="DA13" s="11"/>
      <c r="DB13" s="11"/>
      <c r="DC13" s="55"/>
      <c r="DD13" s="30">
        <v>1.0</v>
      </c>
      <c r="DE13" s="27"/>
      <c r="DF13" s="30">
        <v>1.0</v>
      </c>
      <c r="DG13" s="11"/>
      <c r="DJ13" s="55"/>
      <c r="DK13" s="51">
        <v>1.0</v>
      </c>
      <c r="DL13" s="27"/>
      <c r="DM13" s="30">
        <v>1.0</v>
      </c>
      <c r="DQ13" s="27"/>
      <c r="DR13" s="27"/>
      <c r="DS13" s="27"/>
      <c r="DT13" s="27"/>
    </row>
    <row r="14" ht="15.75" customHeight="1" outlineLevel="1">
      <c r="B14" s="48" t="s">
        <v>56</v>
      </c>
      <c r="C14" s="48"/>
      <c r="D14" s="49" t="s">
        <v>175</v>
      </c>
      <c r="F14" s="26"/>
      <c r="G14" s="49" t="s">
        <v>178</v>
      </c>
      <c r="H14" s="30">
        <v>0.15</v>
      </c>
      <c r="J14" s="26">
        <f t="shared" si="8"/>
        <v>0</v>
      </c>
      <c r="K14" s="29">
        <f t="shared" ref="K14:L14" si="10">+MAXIFS($O14:$ABT14,$O$3:$ABT$3,K$3)</f>
        <v>0</v>
      </c>
      <c r="L14" s="29">
        <f t="shared" si="10"/>
        <v>0</v>
      </c>
      <c r="M14" s="26"/>
      <c r="P14" s="27"/>
      <c r="Q14" s="27"/>
      <c r="R14" s="27"/>
      <c r="S14" s="27"/>
      <c r="W14" s="27"/>
      <c r="X14" s="27"/>
      <c r="Y14" s="27"/>
      <c r="Z14" s="27"/>
      <c r="AD14" s="27"/>
      <c r="AE14" s="27"/>
      <c r="AF14" s="27"/>
      <c r="AG14" s="27"/>
      <c r="AK14" s="27"/>
      <c r="AL14" s="27"/>
      <c r="AM14" s="27"/>
      <c r="AN14" s="27"/>
      <c r="AR14" s="27"/>
      <c r="AS14" s="27"/>
      <c r="AT14" s="27"/>
      <c r="AU14" s="27"/>
      <c r="AY14" s="27"/>
      <c r="AZ14" s="27"/>
      <c r="BA14" s="27"/>
      <c r="BB14" s="27"/>
      <c r="BF14" s="27"/>
      <c r="BG14" s="27"/>
      <c r="BH14" s="27"/>
      <c r="BI14" s="27"/>
      <c r="BM14" s="27"/>
      <c r="BN14" s="27"/>
      <c r="BO14" s="27"/>
      <c r="BP14" s="27"/>
      <c r="BT14" s="27"/>
      <c r="BU14" s="27"/>
      <c r="BV14" s="27"/>
      <c r="BW14" s="27"/>
      <c r="CA14" s="27"/>
      <c r="CB14" s="27"/>
      <c r="CC14" s="27"/>
      <c r="CD14" s="27"/>
      <c r="CH14" s="55"/>
      <c r="CI14" s="30"/>
      <c r="CJ14" s="55"/>
      <c r="CK14" s="30"/>
      <c r="CO14" s="55"/>
      <c r="CP14" s="30">
        <v>0.8</v>
      </c>
      <c r="CQ14" s="55"/>
      <c r="CR14" s="30">
        <v>0.8</v>
      </c>
      <c r="CT14" s="11"/>
      <c r="CU14" s="11"/>
      <c r="CV14" s="55"/>
      <c r="CW14" s="30">
        <v>1.0</v>
      </c>
      <c r="CX14" s="27"/>
      <c r="CY14" s="30">
        <v>1.0</v>
      </c>
      <c r="CZ14" s="11"/>
      <c r="DA14" s="11"/>
      <c r="DB14" s="11"/>
      <c r="DC14" s="55"/>
      <c r="DD14" s="30">
        <v>1.0</v>
      </c>
      <c r="DE14" s="27"/>
      <c r="DF14" s="30">
        <v>1.0</v>
      </c>
      <c r="DG14" s="11"/>
      <c r="DJ14" s="55"/>
      <c r="DK14" s="51">
        <v>1.0</v>
      </c>
      <c r="DL14" s="27"/>
      <c r="DM14" s="30">
        <v>1.0</v>
      </c>
      <c r="DQ14" s="27"/>
      <c r="DR14" s="27"/>
      <c r="DS14" s="27"/>
      <c r="DT14" s="27"/>
    </row>
    <row r="15" ht="15.75" customHeight="1" outlineLevel="1">
      <c r="B15" s="48" t="s">
        <v>56</v>
      </c>
      <c r="C15" s="48"/>
      <c r="D15" s="49" t="s">
        <v>175</v>
      </c>
      <c r="F15" s="26"/>
      <c r="G15" s="49" t="s">
        <v>179</v>
      </c>
      <c r="H15" s="30">
        <v>0.2</v>
      </c>
      <c r="J15" s="26">
        <f t="shared" si="8"/>
        <v>0</v>
      </c>
      <c r="K15" s="29">
        <f t="shared" ref="K15:L15" si="11">+MAXIFS($O15:$ABT15,$O$3:$ABT$3,K$3)</f>
        <v>0</v>
      </c>
      <c r="L15" s="29">
        <f t="shared" si="11"/>
        <v>0</v>
      </c>
      <c r="M15" s="26"/>
      <c r="P15" s="27"/>
      <c r="Q15" s="27"/>
      <c r="R15" s="27"/>
      <c r="S15" s="27"/>
      <c r="W15" s="27"/>
      <c r="X15" s="27"/>
      <c r="Y15" s="27"/>
      <c r="Z15" s="27"/>
      <c r="AD15" s="27"/>
      <c r="AE15" s="27"/>
      <c r="AF15" s="27"/>
      <c r="AG15" s="27"/>
      <c r="AK15" s="27"/>
      <c r="AL15" s="27"/>
      <c r="AM15" s="27"/>
      <c r="AN15" s="27"/>
      <c r="AR15" s="27"/>
      <c r="AS15" s="27"/>
      <c r="AT15" s="27"/>
      <c r="AU15" s="27"/>
      <c r="AY15" s="27"/>
      <c r="AZ15" s="27"/>
      <c r="BA15" s="27"/>
      <c r="BB15" s="27"/>
      <c r="BF15" s="27"/>
      <c r="BG15" s="27"/>
      <c r="BH15" s="27"/>
      <c r="BI15" s="27"/>
      <c r="BM15" s="27"/>
      <c r="BN15" s="27"/>
      <c r="BO15" s="27"/>
      <c r="BP15" s="27"/>
      <c r="BT15" s="27"/>
      <c r="BU15" s="27"/>
      <c r="BV15" s="27"/>
      <c r="BW15" s="27"/>
      <c r="CA15" s="27"/>
      <c r="CB15" s="27"/>
      <c r="CC15" s="27"/>
      <c r="CD15" s="27"/>
      <c r="CH15" s="55"/>
      <c r="CI15" s="30"/>
      <c r="CJ15" s="55"/>
      <c r="CK15" s="30"/>
      <c r="CO15" s="55"/>
      <c r="CP15" s="30">
        <v>0.5</v>
      </c>
      <c r="CQ15" s="55"/>
      <c r="CR15" s="30">
        <v>0.5</v>
      </c>
      <c r="CT15" s="11"/>
      <c r="CU15" s="11"/>
      <c r="CV15" s="55"/>
      <c r="CW15" s="30">
        <v>0.8</v>
      </c>
      <c r="CX15" s="27"/>
      <c r="CY15" s="30">
        <v>0.8</v>
      </c>
      <c r="CZ15" s="11"/>
      <c r="DA15" s="11"/>
      <c r="DB15" s="11"/>
      <c r="DC15" s="55"/>
      <c r="DD15" s="30">
        <v>1.0</v>
      </c>
      <c r="DE15" s="27"/>
      <c r="DF15" s="30">
        <v>1.0</v>
      </c>
      <c r="DG15" s="11"/>
      <c r="DJ15" s="55"/>
      <c r="DK15" s="51">
        <v>1.0</v>
      </c>
      <c r="DL15" s="27"/>
      <c r="DM15" s="30">
        <v>1.0</v>
      </c>
      <c r="DQ15" s="27"/>
      <c r="DR15" s="27"/>
      <c r="DS15" s="27"/>
      <c r="DT15" s="27"/>
    </row>
    <row r="16" ht="15.75" customHeight="1" outlineLevel="1">
      <c r="B16" s="48" t="s">
        <v>56</v>
      </c>
      <c r="C16" s="48"/>
      <c r="D16" s="49" t="s">
        <v>175</v>
      </c>
      <c r="F16" s="26"/>
      <c r="G16" s="49" t="s">
        <v>180</v>
      </c>
      <c r="H16" s="30">
        <v>0.2</v>
      </c>
      <c r="J16" s="26">
        <f t="shared" si="8"/>
        <v>0</v>
      </c>
      <c r="K16" s="29">
        <f t="shared" ref="K16:L16" si="12">+MAXIFS($O16:$ABT16,$O$3:$ABT$3,K$3)</f>
        <v>0</v>
      </c>
      <c r="L16" s="29">
        <f t="shared" si="12"/>
        <v>0</v>
      </c>
      <c r="M16" s="26"/>
      <c r="P16" s="27"/>
      <c r="Q16" s="27"/>
      <c r="R16" s="27"/>
      <c r="S16" s="27"/>
      <c r="W16" s="27"/>
      <c r="X16" s="27"/>
      <c r="Y16" s="27"/>
      <c r="Z16" s="27"/>
      <c r="AD16" s="27"/>
      <c r="AE16" s="27"/>
      <c r="AF16" s="27"/>
      <c r="AG16" s="27"/>
      <c r="AK16" s="27"/>
      <c r="AL16" s="27"/>
      <c r="AM16" s="27"/>
      <c r="AN16" s="27"/>
      <c r="AR16" s="27"/>
      <c r="AS16" s="27"/>
      <c r="AT16" s="27"/>
      <c r="AU16" s="27"/>
      <c r="AY16" s="27"/>
      <c r="AZ16" s="27"/>
      <c r="BA16" s="27"/>
      <c r="BB16" s="27"/>
      <c r="BF16" s="27"/>
      <c r="BG16" s="27"/>
      <c r="BH16" s="27"/>
      <c r="BI16" s="27"/>
      <c r="BM16" s="27"/>
      <c r="BN16" s="27"/>
      <c r="BO16" s="27"/>
      <c r="BP16" s="27"/>
      <c r="BT16" s="27"/>
      <c r="BU16" s="27"/>
      <c r="BV16" s="27"/>
      <c r="BW16" s="27"/>
      <c r="CA16" s="27"/>
      <c r="CB16" s="27"/>
      <c r="CC16" s="27"/>
      <c r="CD16" s="27"/>
      <c r="CH16" s="55"/>
      <c r="CI16" s="30"/>
      <c r="CJ16" s="55"/>
      <c r="CK16" s="30"/>
      <c r="CO16" s="55"/>
      <c r="CP16" s="30"/>
      <c r="CQ16" s="55"/>
      <c r="CR16" s="30"/>
      <c r="CT16" s="11"/>
      <c r="CU16" s="11"/>
      <c r="CV16" s="55"/>
      <c r="CW16" s="30">
        <v>0.5</v>
      </c>
      <c r="CX16" s="27"/>
      <c r="CY16" s="30">
        <v>0.5</v>
      </c>
      <c r="CZ16" s="11"/>
      <c r="DA16" s="11"/>
      <c r="DB16" s="11"/>
      <c r="DC16" s="55"/>
      <c r="DD16" s="30">
        <v>0.8</v>
      </c>
      <c r="DE16" s="27"/>
      <c r="DF16" s="30">
        <v>0.8</v>
      </c>
      <c r="DG16" s="11"/>
      <c r="DJ16" s="55"/>
      <c r="DK16" s="51">
        <v>1.0</v>
      </c>
      <c r="DL16" s="27"/>
      <c r="DM16" s="30">
        <v>1.0</v>
      </c>
      <c r="DQ16" s="27"/>
      <c r="DR16" s="27"/>
      <c r="DS16" s="27"/>
      <c r="DT16" s="27"/>
    </row>
    <row r="17" ht="15.75" customHeight="1" outlineLevel="1">
      <c r="B17" s="48" t="s">
        <v>56</v>
      </c>
      <c r="C17" s="48"/>
      <c r="D17" s="49" t="s">
        <v>175</v>
      </c>
      <c r="F17" s="26"/>
      <c r="G17" s="49" t="s">
        <v>181</v>
      </c>
      <c r="H17" s="30">
        <v>0.2</v>
      </c>
      <c r="J17" s="26">
        <f t="shared" si="8"/>
        <v>0</v>
      </c>
      <c r="K17" s="29">
        <f t="shared" ref="K17:L17" si="13">+MAXIFS($O17:$ABT17,$O$3:$ABT$3,K$3)</f>
        <v>0</v>
      </c>
      <c r="L17" s="29">
        <f t="shared" si="13"/>
        <v>0</v>
      </c>
      <c r="M17" s="26"/>
      <c r="P17" s="27"/>
      <c r="Q17" s="27"/>
      <c r="R17" s="27"/>
      <c r="S17" s="27"/>
      <c r="W17" s="27"/>
      <c r="X17" s="27"/>
      <c r="Y17" s="27"/>
      <c r="Z17" s="27"/>
      <c r="AD17" s="27"/>
      <c r="AE17" s="27"/>
      <c r="AF17" s="27"/>
      <c r="AG17" s="27"/>
      <c r="AK17" s="27"/>
      <c r="AL17" s="27"/>
      <c r="AM17" s="27"/>
      <c r="AN17" s="27"/>
      <c r="AR17" s="27"/>
      <c r="AS17" s="27"/>
      <c r="AT17" s="27"/>
      <c r="AU17" s="27"/>
      <c r="AY17" s="27"/>
      <c r="AZ17" s="27"/>
      <c r="BA17" s="27"/>
      <c r="BB17" s="27"/>
      <c r="BF17" s="27"/>
      <c r="BG17" s="27"/>
      <c r="BH17" s="27"/>
      <c r="BI17" s="27"/>
      <c r="BM17" s="27"/>
      <c r="BN17" s="27"/>
      <c r="BO17" s="27"/>
      <c r="BP17" s="27"/>
      <c r="BT17" s="27"/>
      <c r="BU17" s="27"/>
      <c r="BV17" s="27"/>
      <c r="BW17" s="27"/>
      <c r="CA17" s="27"/>
      <c r="CB17" s="27"/>
      <c r="CC17" s="27"/>
      <c r="CD17" s="27"/>
      <c r="CH17" s="55"/>
      <c r="CI17" s="30"/>
      <c r="CJ17" s="55"/>
      <c r="CK17" s="30"/>
      <c r="CO17" s="55"/>
      <c r="CP17" s="30"/>
      <c r="CQ17" s="55"/>
      <c r="CR17" s="30"/>
      <c r="CT17" s="11"/>
      <c r="CU17" s="11"/>
      <c r="CV17" s="55"/>
      <c r="CW17" s="30">
        <v>0.5</v>
      </c>
      <c r="CX17" s="27"/>
      <c r="CY17" s="30">
        <v>0.5</v>
      </c>
      <c r="CZ17" s="11"/>
      <c r="DA17" s="11"/>
      <c r="DB17" s="11"/>
      <c r="DC17" s="55"/>
      <c r="DD17" s="30">
        <v>0.8</v>
      </c>
      <c r="DE17" s="27"/>
      <c r="DF17" s="30">
        <v>0.8</v>
      </c>
      <c r="DG17" s="11"/>
      <c r="DJ17" s="55"/>
      <c r="DK17" s="51">
        <v>1.0</v>
      </c>
      <c r="DL17" s="27"/>
      <c r="DM17" s="30">
        <v>1.0</v>
      </c>
      <c r="DQ17" s="27"/>
      <c r="DR17" s="27"/>
      <c r="DS17" s="27"/>
      <c r="DT17" s="27"/>
    </row>
    <row r="18" ht="15.75" customHeight="1">
      <c r="B18" s="48"/>
      <c r="C18" s="48"/>
      <c r="D18" s="49"/>
      <c r="F18" s="26"/>
      <c r="G18" s="49"/>
      <c r="H18" s="30"/>
      <c r="J18" s="26"/>
      <c r="K18" s="29"/>
      <c r="L18" s="29"/>
      <c r="M18" s="26"/>
      <c r="P18" s="27"/>
      <c r="Q18" s="27"/>
      <c r="R18" s="27"/>
      <c r="S18" s="27"/>
      <c r="W18" s="27"/>
      <c r="X18" s="27"/>
      <c r="Y18" s="27"/>
      <c r="Z18" s="27"/>
      <c r="AD18" s="27"/>
      <c r="AE18" s="27"/>
      <c r="AF18" s="27"/>
      <c r="AG18" s="27"/>
      <c r="AK18" s="27"/>
      <c r="AL18" s="27"/>
      <c r="AM18" s="27"/>
      <c r="AN18" s="27"/>
      <c r="AR18" s="27"/>
      <c r="AS18" s="27"/>
      <c r="AT18" s="27"/>
      <c r="AU18" s="27"/>
      <c r="AY18" s="27"/>
      <c r="AZ18" s="27"/>
      <c r="BA18" s="27"/>
      <c r="BB18" s="27"/>
      <c r="BF18" s="27"/>
      <c r="BG18" s="27"/>
      <c r="BH18" s="27"/>
      <c r="BI18" s="27"/>
      <c r="BM18" s="27"/>
      <c r="BN18" s="27"/>
      <c r="BO18" s="27"/>
      <c r="BP18" s="27"/>
      <c r="BT18" s="27"/>
      <c r="BU18" s="27"/>
      <c r="BV18" s="27"/>
      <c r="BW18" s="27"/>
      <c r="CA18" s="27"/>
      <c r="CB18" s="27"/>
      <c r="CC18" s="27"/>
      <c r="CD18" s="27"/>
      <c r="CH18" s="55"/>
      <c r="CI18" s="30"/>
      <c r="CJ18" s="55"/>
      <c r="CK18" s="30"/>
      <c r="CO18" s="55"/>
      <c r="CP18" s="30"/>
      <c r="CQ18" s="55"/>
      <c r="CR18" s="30"/>
      <c r="CT18" s="11"/>
      <c r="CU18" s="11"/>
      <c r="CV18" s="55"/>
      <c r="CW18" s="30"/>
      <c r="CX18" s="27"/>
      <c r="CY18" s="30"/>
      <c r="CZ18" s="11"/>
      <c r="DA18" s="11"/>
      <c r="DB18" s="11"/>
      <c r="DC18" s="55"/>
      <c r="DD18" s="30">
        <v>0.5</v>
      </c>
      <c r="DE18" s="27"/>
      <c r="DF18" s="30">
        <v>0.5</v>
      </c>
      <c r="DG18" s="11"/>
      <c r="DJ18" s="55"/>
      <c r="DK18" s="51">
        <v>1.0</v>
      </c>
      <c r="DL18" s="27"/>
      <c r="DM18" s="30">
        <v>1.0</v>
      </c>
      <c r="DQ18" s="27"/>
      <c r="DR18" s="27"/>
      <c r="DS18" s="27"/>
      <c r="DT18" s="27"/>
    </row>
    <row r="19" ht="15.75" customHeight="1">
      <c r="B19" s="48" t="s">
        <v>26</v>
      </c>
      <c r="C19" s="48"/>
      <c r="D19" s="49" t="s">
        <v>65</v>
      </c>
      <c r="E19" s="49" t="s">
        <v>173</v>
      </c>
      <c r="F19" s="32">
        <v>3.0</v>
      </c>
      <c r="H19" s="27">
        <f>+SUM(H20:H25)</f>
        <v>1</v>
      </c>
      <c r="J19" s="28">
        <f>+SUM(J20:J24)</f>
        <v>6.5</v>
      </c>
      <c r="K19" s="29">
        <f>+SUMPRODUCT(H21:H24,K21:K24)</f>
        <v>0</v>
      </c>
      <c r="L19" s="29">
        <f>+SUMPRODUCT(H21:H24,L21:L24)</f>
        <v>0</v>
      </c>
      <c r="M19" s="26"/>
      <c r="O19" s="28"/>
      <c r="V19" s="28"/>
      <c r="AC19" s="28"/>
      <c r="AJ19" s="28"/>
      <c r="AQ19" s="28"/>
      <c r="BS19" s="6">
        <f>SUM(BS21:BS25)</f>
        <v>0</v>
      </c>
      <c r="BZ19" s="6">
        <f>SUM(BZ20:BZ25)</f>
        <v>3.25</v>
      </c>
      <c r="CT19" s="11"/>
      <c r="CU19" s="11"/>
      <c r="CV19" s="11"/>
      <c r="CW19" s="11"/>
      <c r="CX19" s="11"/>
      <c r="CY19" s="11"/>
      <c r="CZ19" s="11"/>
      <c r="DA19" s="11"/>
      <c r="DB19" s="11"/>
      <c r="DC19" s="11"/>
      <c r="DD19" s="11"/>
      <c r="DE19" s="11"/>
      <c r="DF19" s="11"/>
      <c r="DG19" s="11"/>
    </row>
    <row r="20" ht="15.75" customHeight="1" outlineLevel="1">
      <c r="B20" s="48"/>
      <c r="C20" s="48"/>
      <c r="D20" s="49"/>
      <c r="F20" s="26"/>
      <c r="G20" s="49" t="s">
        <v>182</v>
      </c>
      <c r="H20" s="30">
        <v>0.1</v>
      </c>
      <c r="J20" s="26">
        <f t="shared" ref="J20:J25" si="15">+SUMIF($O$3:$ACN$3,J$3,$O20:$ACN20)</f>
        <v>6.5</v>
      </c>
      <c r="K20" s="29">
        <f t="shared" ref="K20:L20" si="14">+MAXIFS($O20:$ABT20,$O$3:$ABT$3,K$3)</f>
        <v>0</v>
      </c>
      <c r="L20" s="29">
        <f t="shared" si="14"/>
        <v>0</v>
      </c>
      <c r="M20" s="26"/>
      <c r="P20" s="27"/>
      <c r="Q20" s="27"/>
      <c r="R20" s="27"/>
      <c r="S20" s="27"/>
      <c r="W20" s="27"/>
      <c r="X20" s="27"/>
      <c r="Y20" s="27"/>
      <c r="Z20" s="27"/>
      <c r="AD20" s="27"/>
      <c r="AE20" s="27"/>
      <c r="AF20" s="27"/>
      <c r="AG20" s="27"/>
      <c r="AK20" s="27"/>
      <c r="AL20" s="27"/>
      <c r="AM20" s="27"/>
      <c r="AN20" s="27"/>
      <c r="AR20" s="27"/>
      <c r="AS20" s="27"/>
      <c r="AT20" s="27"/>
      <c r="AU20" s="27"/>
      <c r="AY20" s="27"/>
      <c r="AZ20" s="27"/>
      <c r="BA20" s="27"/>
      <c r="BB20" s="27"/>
      <c r="BF20" s="27"/>
      <c r="BG20" s="27"/>
      <c r="BH20" s="27"/>
      <c r="BI20" s="27"/>
      <c r="BM20" s="27"/>
      <c r="BN20" s="27"/>
      <c r="BO20" s="27"/>
      <c r="BP20" s="27"/>
      <c r="BS20" s="5">
        <v>3.25</v>
      </c>
      <c r="BT20" s="27"/>
      <c r="BU20" s="27"/>
      <c r="BV20" s="27"/>
      <c r="BW20" s="27"/>
      <c r="BZ20" s="5">
        <v>3.25</v>
      </c>
      <c r="CA20" s="27"/>
      <c r="CB20" s="30">
        <v>0.3</v>
      </c>
      <c r="CC20" s="27"/>
      <c r="CD20" s="30">
        <v>0.3</v>
      </c>
      <c r="CH20" s="27"/>
      <c r="CI20" s="30">
        <v>0.5</v>
      </c>
      <c r="CJ20" s="27"/>
      <c r="CK20" s="30">
        <v>0.5</v>
      </c>
      <c r="CO20" s="27"/>
      <c r="CP20" s="30">
        <v>0.8</v>
      </c>
      <c r="CQ20" s="27"/>
      <c r="CR20" s="30">
        <v>0.8</v>
      </c>
      <c r="CT20" s="11"/>
      <c r="CU20" s="11"/>
      <c r="CV20" s="55"/>
      <c r="CW20" s="30">
        <v>0.8</v>
      </c>
      <c r="CX20" s="27"/>
      <c r="CY20" s="30">
        <v>0.8</v>
      </c>
      <c r="CZ20" s="11"/>
      <c r="DA20" s="11"/>
      <c r="DB20" s="11"/>
      <c r="DC20" s="55"/>
      <c r="DD20" s="51">
        <v>1.0</v>
      </c>
      <c r="DE20" s="27"/>
      <c r="DF20" s="30">
        <v>1.0</v>
      </c>
      <c r="DG20" s="11"/>
      <c r="DJ20" s="55"/>
      <c r="DK20" s="51">
        <v>1.0</v>
      </c>
      <c r="DL20" s="27"/>
      <c r="DM20" s="30">
        <v>1.0</v>
      </c>
      <c r="DQ20" s="27"/>
      <c r="DR20" s="27"/>
      <c r="DS20" s="27"/>
      <c r="DT20" s="27"/>
    </row>
    <row r="21" ht="15.75" customHeight="1" outlineLevel="1">
      <c r="B21" s="48" t="s">
        <v>56</v>
      </c>
      <c r="C21" s="48"/>
      <c r="D21" s="49" t="s">
        <v>183</v>
      </c>
      <c r="F21" s="26"/>
      <c r="G21" s="49" t="s">
        <v>184</v>
      </c>
      <c r="H21" s="30">
        <v>0.2</v>
      </c>
      <c r="J21" s="26">
        <f t="shared" si="15"/>
        <v>0</v>
      </c>
      <c r="K21" s="29">
        <f t="shared" ref="K21:L21" si="16">+MAXIFS($O21:$ABT21,$O$3:$ABT$3,K$3)</f>
        <v>0</v>
      </c>
      <c r="L21" s="29">
        <f t="shared" si="16"/>
        <v>0</v>
      </c>
      <c r="M21" s="26"/>
      <c r="P21" s="27"/>
      <c r="Q21" s="27"/>
      <c r="R21" s="27"/>
      <c r="S21" s="27"/>
      <c r="W21" s="27"/>
      <c r="X21" s="27"/>
      <c r="Y21" s="27"/>
      <c r="Z21" s="27"/>
      <c r="AD21" s="27"/>
      <c r="AE21" s="27"/>
      <c r="AF21" s="27"/>
      <c r="AG21" s="27"/>
      <c r="AK21" s="27"/>
      <c r="AL21" s="27"/>
      <c r="AM21" s="27"/>
      <c r="AN21" s="27"/>
      <c r="AR21" s="27"/>
      <c r="AS21" s="27"/>
      <c r="AT21" s="27"/>
      <c r="AU21" s="27"/>
      <c r="AY21" s="27"/>
      <c r="AZ21" s="27"/>
      <c r="BA21" s="27"/>
      <c r="BB21" s="27"/>
      <c r="BF21" s="27"/>
      <c r="BG21" s="27"/>
      <c r="BH21" s="27"/>
      <c r="BI21" s="27"/>
      <c r="BM21" s="27"/>
      <c r="BN21" s="27"/>
      <c r="BO21" s="27"/>
      <c r="BP21" s="27"/>
      <c r="BT21" s="27"/>
      <c r="BU21" s="27"/>
      <c r="BV21" s="27"/>
      <c r="BW21" s="27"/>
      <c r="CA21" s="27"/>
      <c r="CB21" s="30">
        <v>0.8</v>
      </c>
      <c r="CC21" s="27"/>
      <c r="CD21" s="30">
        <v>0.8</v>
      </c>
      <c r="CH21" s="27"/>
      <c r="CI21" s="30">
        <v>1.0</v>
      </c>
      <c r="CJ21" s="27"/>
      <c r="CK21" s="30">
        <v>1.0</v>
      </c>
      <c r="CO21" s="27"/>
      <c r="CP21" s="30">
        <v>1.0</v>
      </c>
      <c r="CQ21" s="27"/>
      <c r="CR21" s="30">
        <v>1.0</v>
      </c>
      <c r="CT21" s="11"/>
      <c r="CU21" s="11"/>
      <c r="CV21" s="55"/>
      <c r="CW21" s="51">
        <v>1.0</v>
      </c>
      <c r="CX21" s="27"/>
      <c r="CY21" s="30">
        <v>1.0</v>
      </c>
      <c r="CZ21" s="11"/>
      <c r="DA21" s="11"/>
      <c r="DB21" s="11"/>
      <c r="DC21" s="55"/>
      <c r="DD21" s="51">
        <v>1.0</v>
      </c>
      <c r="DE21" s="27"/>
      <c r="DF21" s="30">
        <v>1.0</v>
      </c>
      <c r="DG21" s="11"/>
      <c r="DJ21" s="55"/>
      <c r="DK21" s="51">
        <v>1.0</v>
      </c>
      <c r="DL21" s="27"/>
      <c r="DM21" s="30">
        <v>1.0</v>
      </c>
      <c r="DQ21" s="27"/>
      <c r="DR21" s="27"/>
      <c r="DS21" s="27"/>
      <c r="DT21" s="27"/>
    </row>
    <row r="22" ht="15.75" customHeight="1" outlineLevel="1">
      <c r="B22" s="48" t="s">
        <v>56</v>
      </c>
      <c r="C22" s="48"/>
      <c r="D22" s="49" t="s">
        <v>183</v>
      </c>
      <c r="F22" s="26"/>
      <c r="G22" s="49" t="s">
        <v>185</v>
      </c>
      <c r="H22" s="30">
        <v>0.2</v>
      </c>
      <c r="J22" s="26">
        <f t="shared" si="15"/>
        <v>0</v>
      </c>
      <c r="K22" s="29">
        <f t="shared" ref="K22:L22" si="17">+MAXIFS($O22:$ABT22,$O$3:$ABT$3,K$3)</f>
        <v>0</v>
      </c>
      <c r="L22" s="29">
        <f t="shared" si="17"/>
        <v>0</v>
      </c>
      <c r="M22" s="26"/>
      <c r="P22" s="27"/>
      <c r="Q22" s="27"/>
      <c r="R22" s="27"/>
      <c r="S22" s="27"/>
      <c r="W22" s="27"/>
      <c r="X22" s="27"/>
      <c r="Y22" s="27"/>
      <c r="Z22" s="27"/>
      <c r="AD22" s="27"/>
      <c r="AE22" s="27"/>
      <c r="AF22" s="27"/>
      <c r="AG22" s="27"/>
      <c r="AK22" s="27"/>
      <c r="AL22" s="27"/>
      <c r="AM22" s="27"/>
      <c r="AN22" s="27"/>
      <c r="AR22" s="27"/>
      <c r="AS22" s="27"/>
      <c r="AT22" s="27"/>
      <c r="AU22" s="27"/>
      <c r="AY22" s="27"/>
      <c r="AZ22" s="27"/>
      <c r="BA22" s="27"/>
      <c r="BB22" s="27"/>
      <c r="BF22" s="27"/>
      <c r="BG22" s="27"/>
      <c r="BH22" s="27"/>
      <c r="BI22" s="27"/>
      <c r="BM22" s="27"/>
      <c r="BN22" s="27"/>
      <c r="BO22" s="27"/>
      <c r="BP22" s="27"/>
      <c r="BT22" s="27"/>
      <c r="BU22" s="27"/>
      <c r="BV22" s="27"/>
      <c r="BW22" s="27"/>
      <c r="CA22" s="27"/>
      <c r="CB22" s="30">
        <v>0.5</v>
      </c>
      <c r="CC22" s="27"/>
      <c r="CD22" s="30">
        <v>0.5</v>
      </c>
      <c r="CH22" s="27"/>
      <c r="CI22" s="30">
        <v>0.8</v>
      </c>
      <c r="CJ22" s="27"/>
      <c r="CK22" s="30">
        <v>0.8</v>
      </c>
      <c r="CO22" s="27"/>
      <c r="CP22" s="30">
        <v>1.0</v>
      </c>
      <c r="CQ22" s="27"/>
      <c r="CR22" s="30">
        <v>1.0</v>
      </c>
      <c r="CT22" s="11"/>
      <c r="CU22" s="11"/>
      <c r="CV22" s="55"/>
      <c r="CW22" s="51">
        <v>1.0</v>
      </c>
      <c r="CX22" s="27"/>
      <c r="CY22" s="30">
        <v>1.0</v>
      </c>
      <c r="CZ22" s="11"/>
      <c r="DA22" s="11"/>
      <c r="DB22" s="11"/>
      <c r="DC22" s="55"/>
      <c r="DD22" s="51">
        <v>1.0</v>
      </c>
      <c r="DE22" s="27"/>
      <c r="DF22" s="30">
        <v>1.0</v>
      </c>
      <c r="DG22" s="11"/>
      <c r="DJ22" s="55"/>
      <c r="DK22" s="51">
        <v>1.0</v>
      </c>
      <c r="DL22" s="27"/>
      <c r="DM22" s="30">
        <v>1.0</v>
      </c>
      <c r="DQ22" s="27"/>
      <c r="DR22" s="27"/>
      <c r="DS22" s="27"/>
      <c r="DT22" s="27"/>
    </row>
    <row r="23" ht="15.75" customHeight="1" outlineLevel="1">
      <c r="B23" s="48" t="s">
        <v>56</v>
      </c>
      <c r="C23" s="48"/>
      <c r="D23" s="49" t="s">
        <v>183</v>
      </c>
      <c r="F23" s="26"/>
      <c r="G23" s="49" t="s">
        <v>186</v>
      </c>
      <c r="H23" s="30">
        <v>0.2</v>
      </c>
      <c r="J23" s="26">
        <f t="shared" si="15"/>
        <v>0</v>
      </c>
      <c r="K23" s="29">
        <f t="shared" ref="K23:L23" si="18">+MAXIFS($O23:$ABT23,$O$3:$ABT$3,K$3)</f>
        <v>0</v>
      </c>
      <c r="L23" s="29">
        <f t="shared" si="18"/>
        <v>0</v>
      </c>
      <c r="M23" s="26"/>
      <c r="P23" s="27"/>
      <c r="Q23" s="27"/>
      <c r="R23" s="27"/>
      <c r="S23" s="27"/>
      <c r="W23" s="27"/>
      <c r="X23" s="27"/>
      <c r="Y23" s="27"/>
      <c r="Z23" s="27"/>
      <c r="AD23" s="27"/>
      <c r="AE23" s="27"/>
      <c r="AF23" s="27"/>
      <c r="AG23" s="27"/>
      <c r="AK23" s="27"/>
      <c r="AL23" s="27"/>
      <c r="AM23" s="27"/>
      <c r="AN23" s="27"/>
      <c r="AR23" s="27"/>
      <c r="AS23" s="27"/>
      <c r="AT23" s="27"/>
      <c r="AU23" s="27"/>
      <c r="AY23" s="27"/>
      <c r="AZ23" s="27"/>
      <c r="BA23" s="27"/>
      <c r="BB23" s="27"/>
      <c r="BF23" s="27"/>
      <c r="BG23" s="27"/>
      <c r="BH23" s="27"/>
      <c r="BI23" s="27"/>
      <c r="BM23" s="27"/>
      <c r="BN23" s="27"/>
      <c r="BO23" s="27"/>
      <c r="BP23" s="27"/>
      <c r="BT23" s="27"/>
      <c r="BU23" s="27"/>
      <c r="BV23" s="27"/>
      <c r="BW23" s="27"/>
      <c r="CA23" s="27"/>
      <c r="CB23" s="30"/>
      <c r="CC23" s="27"/>
      <c r="CD23" s="30"/>
      <c r="CH23" s="27"/>
      <c r="CI23" s="30">
        <v>0.5</v>
      </c>
      <c r="CJ23" s="27"/>
      <c r="CK23" s="30">
        <v>0.5</v>
      </c>
      <c r="CO23" s="27"/>
      <c r="CP23" s="30">
        <v>0.8</v>
      </c>
      <c r="CQ23" s="27"/>
      <c r="CR23" s="30">
        <v>0.8</v>
      </c>
      <c r="CT23" s="11"/>
      <c r="CU23" s="11"/>
      <c r="CV23" s="55"/>
      <c r="CW23" s="51">
        <v>1.0</v>
      </c>
      <c r="CX23" s="27"/>
      <c r="CY23" s="30">
        <v>1.0</v>
      </c>
      <c r="CZ23" s="11"/>
      <c r="DA23" s="11"/>
      <c r="DB23" s="11"/>
      <c r="DC23" s="55"/>
      <c r="DD23" s="51">
        <v>1.0</v>
      </c>
      <c r="DE23" s="27"/>
      <c r="DF23" s="30">
        <v>1.0</v>
      </c>
      <c r="DG23" s="11"/>
      <c r="DJ23" s="55"/>
      <c r="DK23" s="51">
        <v>1.0</v>
      </c>
      <c r="DL23" s="27"/>
      <c r="DM23" s="30">
        <v>1.0</v>
      </c>
      <c r="DQ23" s="27"/>
      <c r="DR23" s="27"/>
      <c r="DS23" s="27"/>
      <c r="DT23" s="27"/>
    </row>
    <row r="24" ht="15.75" customHeight="1" outlineLevel="1">
      <c r="B24" s="48" t="s">
        <v>56</v>
      </c>
      <c r="C24" s="48"/>
      <c r="D24" s="49" t="s">
        <v>183</v>
      </c>
      <c r="F24" s="26"/>
      <c r="G24" s="49" t="s">
        <v>187</v>
      </c>
      <c r="H24" s="30">
        <v>0.2</v>
      </c>
      <c r="J24" s="26">
        <f t="shared" si="15"/>
        <v>0</v>
      </c>
      <c r="K24" s="29">
        <f t="shared" ref="K24:L24" si="19">+MAXIFS($O24:$ABT24,$O$3:$ABT$3,K$3)</f>
        <v>0</v>
      </c>
      <c r="L24" s="29">
        <f t="shared" si="19"/>
        <v>0</v>
      </c>
      <c r="M24" s="26"/>
      <c r="P24" s="27"/>
      <c r="Q24" s="27"/>
      <c r="R24" s="27"/>
      <c r="S24" s="27"/>
      <c r="W24" s="27"/>
      <c r="X24" s="27"/>
      <c r="Y24" s="27"/>
      <c r="Z24" s="27"/>
      <c r="AD24" s="27"/>
      <c r="AE24" s="27"/>
      <c r="AF24" s="27"/>
      <c r="AG24" s="27"/>
      <c r="AK24" s="27"/>
      <c r="AL24" s="27"/>
      <c r="AM24" s="27"/>
      <c r="AN24" s="27"/>
      <c r="AR24" s="27"/>
      <c r="AS24" s="27"/>
      <c r="AT24" s="27"/>
      <c r="AU24" s="27"/>
      <c r="AY24" s="27"/>
      <c r="AZ24" s="27"/>
      <c r="BA24" s="27"/>
      <c r="BB24" s="27"/>
      <c r="BF24" s="27"/>
      <c r="BG24" s="27"/>
      <c r="BH24" s="27"/>
      <c r="BI24" s="27"/>
      <c r="BM24" s="27"/>
      <c r="BN24" s="27"/>
      <c r="BO24" s="27"/>
      <c r="BP24" s="27"/>
      <c r="BT24" s="27"/>
      <c r="BU24" s="27"/>
      <c r="BV24" s="27"/>
      <c r="BW24" s="27"/>
      <c r="CA24" s="27"/>
      <c r="CB24" s="30"/>
      <c r="CC24" s="27"/>
      <c r="CD24" s="30"/>
      <c r="CH24" s="27"/>
      <c r="CI24" s="30"/>
      <c r="CJ24" s="27"/>
      <c r="CK24" s="30"/>
      <c r="CO24" s="27"/>
      <c r="CP24" s="30">
        <v>0.5</v>
      </c>
      <c r="CQ24" s="27"/>
      <c r="CR24" s="30">
        <v>0.5</v>
      </c>
      <c r="CT24" s="11"/>
      <c r="CU24" s="11"/>
      <c r="CV24" s="55"/>
      <c r="CW24" s="56">
        <v>0.8</v>
      </c>
      <c r="CX24" s="27"/>
      <c r="CY24" s="30">
        <v>0.8</v>
      </c>
      <c r="CZ24" s="11"/>
      <c r="DA24" s="11"/>
      <c r="DB24" s="11"/>
      <c r="DC24" s="55"/>
      <c r="DD24" s="51">
        <v>1.0</v>
      </c>
      <c r="DE24" s="27"/>
      <c r="DF24" s="30">
        <v>1.0</v>
      </c>
      <c r="DG24" s="11"/>
      <c r="DJ24" s="55"/>
      <c r="DK24" s="51">
        <v>1.0</v>
      </c>
      <c r="DL24" s="27"/>
      <c r="DM24" s="30">
        <v>1.0</v>
      </c>
      <c r="DQ24" s="27"/>
      <c r="DR24" s="27"/>
      <c r="DS24" s="27"/>
      <c r="DT24" s="27"/>
    </row>
    <row r="25" ht="15.75" customHeight="1" outlineLevel="1">
      <c r="B25" s="48" t="s">
        <v>56</v>
      </c>
      <c r="C25" s="48"/>
      <c r="D25" s="49" t="s">
        <v>183</v>
      </c>
      <c r="F25" s="26"/>
      <c r="G25" s="49" t="s">
        <v>188</v>
      </c>
      <c r="H25" s="30">
        <v>0.1</v>
      </c>
      <c r="J25" s="26">
        <f t="shared" si="15"/>
        <v>0</v>
      </c>
      <c r="K25" s="29">
        <f t="shared" ref="K25:L25" si="20">+MAXIFS($O25:$ABT25,$O$3:$ABT$3,K$3)</f>
        <v>0</v>
      </c>
      <c r="L25" s="29">
        <f t="shared" si="20"/>
        <v>0</v>
      </c>
      <c r="M25" s="26"/>
      <c r="P25" s="27"/>
      <c r="Q25" s="27"/>
      <c r="R25" s="27"/>
      <c r="S25" s="27"/>
      <c r="W25" s="27"/>
      <c r="X25" s="27"/>
      <c r="Y25" s="27"/>
      <c r="Z25" s="27"/>
      <c r="AD25" s="27"/>
      <c r="AE25" s="27"/>
      <c r="AF25" s="27"/>
      <c r="AG25" s="27"/>
      <c r="AK25" s="27"/>
      <c r="AL25" s="27"/>
      <c r="AM25" s="27"/>
      <c r="AN25" s="27"/>
      <c r="AR25" s="27"/>
      <c r="AS25" s="27"/>
      <c r="AT25" s="27"/>
      <c r="AU25" s="27"/>
      <c r="AY25" s="27"/>
      <c r="AZ25" s="27"/>
      <c r="BA25" s="27"/>
      <c r="BB25" s="27"/>
      <c r="BF25" s="27"/>
      <c r="BG25" s="27"/>
      <c r="BH25" s="27"/>
      <c r="BI25" s="27"/>
      <c r="BM25" s="27"/>
      <c r="BN25" s="27"/>
      <c r="BO25" s="27"/>
      <c r="BP25" s="27"/>
      <c r="BT25" s="27"/>
      <c r="BU25" s="27"/>
      <c r="BV25" s="27"/>
      <c r="BW25" s="27"/>
      <c r="CA25" s="27"/>
      <c r="CB25" s="30"/>
      <c r="CC25" s="27"/>
      <c r="CD25" s="30"/>
      <c r="CH25" s="27"/>
      <c r="CI25" s="30"/>
      <c r="CJ25" s="27"/>
      <c r="CK25" s="30"/>
      <c r="CO25" s="27"/>
      <c r="CP25" s="30"/>
      <c r="CQ25" s="27"/>
      <c r="CR25" s="30"/>
      <c r="CT25" s="11"/>
      <c r="CU25" s="11"/>
      <c r="CV25" s="55"/>
      <c r="CW25" s="56">
        <v>0.5</v>
      </c>
      <c r="CX25" s="27"/>
      <c r="CY25" s="30">
        <v>0.5</v>
      </c>
      <c r="CZ25" s="11"/>
      <c r="DA25" s="11"/>
      <c r="DB25" s="11"/>
      <c r="DC25" s="55"/>
      <c r="DD25" s="51">
        <v>1.0</v>
      </c>
      <c r="DE25" s="27"/>
      <c r="DF25" s="30">
        <v>1.0</v>
      </c>
      <c r="DG25" s="11"/>
      <c r="DJ25" s="55"/>
      <c r="DK25" s="51">
        <v>1.0</v>
      </c>
      <c r="DL25" s="27"/>
      <c r="DM25" s="30">
        <v>1.0</v>
      </c>
      <c r="DQ25" s="27"/>
      <c r="DR25" s="27"/>
      <c r="DS25" s="27"/>
      <c r="DT25" s="27"/>
    </row>
    <row r="26" ht="15.75" customHeight="1">
      <c r="CT26" s="11"/>
      <c r="CU26" s="11"/>
      <c r="CV26" s="11"/>
      <c r="CW26" s="11"/>
      <c r="CX26" s="11"/>
      <c r="CY26" s="11"/>
      <c r="CZ26" s="11"/>
      <c r="DA26" s="11"/>
      <c r="DB26" s="11"/>
      <c r="DC26" s="11"/>
      <c r="DD26" s="11"/>
      <c r="DE26" s="11"/>
      <c r="DF26" s="11"/>
      <c r="DG26" s="11"/>
    </row>
    <row r="27" ht="15.75" customHeight="1">
      <c r="B27" s="48" t="s">
        <v>26</v>
      </c>
      <c r="C27" s="48"/>
      <c r="D27" s="49" t="s">
        <v>189</v>
      </c>
      <c r="E27" s="49" t="s">
        <v>166</v>
      </c>
      <c r="F27" s="32">
        <v>3.0</v>
      </c>
      <c r="H27" s="27">
        <f>+SUM(H28:H35)</f>
        <v>1</v>
      </c>
      <c r="J27" s="28">
        <f>+SUM(J28:J33)</f>
        <v>38.5</v>
      </c>
      <c r="K27" s="29">
        <f>+SUMPRODUCT(H28:H35,K28:K35)</f>
        <v>1</v>
      </c>
      <c r="L27" s="29">
        <f>+SUMPRODUCT(H28:H35,L28:L35)</f>
        <v>1</v>
      </c>
      <c r="M27" s="26"/>
      <c r="O27" s="28">
        <f>+SUM(O28:O33)</f>
        <v>3</v>
      </c>
      <c r="V27" s="28">
        <f>+SUM(V28:V33)</f>
        <v>4.5</v>
      </c>
      <c r="AC27" s="28">
        <f>+SUM(AC28:AC35)</f>
        <v>3.25</v>
      </c>
      <c r="AJ27" s="28">
        <f>+SUM(AJ28:AJ35)</f>
        <v>3.25</v>
      </c>
      <c r="AQ27" s="28">
        <f>+SUM(AQ28:AQ35)</f>
        <v>3.25</v>
      </c>
      <c r="AX27" s="28">
        <f>+SUM(AX28:AX35)</f>
        <v>6.25</v>
      </c>
      <c r="BE27" s="39">
        <f>SUM(BE28:BE35)</f>
        <v>22</v>
      </c>
      <c r="CT27" s="11"/>
      <c r="CU27" s="11"/>
      <c r="CV27" s="11"/>
      <c r="CW27" s="11"/>
      <c r="CX27" s="11"/>
      <c r="CY27" s="11"/>
      <c r="CZ27" s="11"/>
      <c r="DA27" s="11"/>
      <c r="DB27" s="11"/>
      <c r="DC27" s="11"/>
      <c r="DD27" s="11"/>
      <c r="DE27" s="11"/>
      <c r="DF27" s="11"/>
      <c r="DG27" s="11"/>
    </row>
    <row r="28" ht="15.75" hidden="1" customHeight="1" outlineLevel="1">
      <c r="B28" s="48" t="s">
        <v>56</v>
      </c>
      <c r="C28" s="48"/>
      <c r="D28" s="49" t="s">
        <v>190</v>
      </c>
      <c r="F28" s="26"/>
      <c r="G28" s="49" t="s">
        <v>191</v>
      </c>
      <c r="H28" s="30">
        <v>0.1</v>
      </c>
      <c r="J28" s="26">
        <f t="shared" ref="J28:J35" si="22">+SUMIF($O$3:$ACN$3,J$3,$O28:$ACN28)</f>
        <v>6</v>
      </c>
      <c r="K28" s="29">
        <f t="shared" ref="K28:L28" si="21">+MAXIFS($O28:$ABT28,$O$3:$ABT$3,K$3)</f>
        <v>1</v>
      </c>
      <c r="L28" s="29">
        <f t="shared" si="21"/>
        <v>1</v>
      </c>
      <c r="M28" s="26"/>
      <c r="O28" s="49">
        <v>3.0</v>
      </c>
      <c r="P28" s="27"/>
      <c r="Q28" s="27"/>
      <c r="R28" s="30">
        <v>0.3</v>
      </c>
      <c r="S28" s="30">
        <v>0.8</v>
      </c>
      <c r="V28" s="49">
        <v>1.0</v>
      </c>
      <c r="W28" s="30">
        <v>0.8</v>
      </c>
      <c r="X28" s="30">
        <v>1.0</v>
      </c>
      <c r="Y28" s="30">
        <v>0.8</v>
      </c>
      <c r="Z28" s="30">
        <v>1.0</v>
      </c>
      <c r="AC28" s="48"/>
      <c r="AD28" s="30">
        <v>0.8</v>
      </c>
      <c r="AE28" s="30">
        <v>1.0</v>
      </c>
      <c r="AF28" s="30">
        <v>0.8</v>
      </c>
      <c r="AG28" s="30">
        <v>1.0</v>
      </c>
      <c r="AK28" s="30">
        <v>0.8</v>
      </c>
      <c r="AL28" s="30">
        <v>1.0</v>
      </c>
      <c r="AM28" s="30">
        <v>0.8</v>
      </c>
      <c r="AN28" s="30">
        <v>1.0</v>
      </c>
      <c r="AQ28" s="48"/>
      <c r="AR28" s="30">
        <v>0.8</v>
      </c>
      <c r="AS28" s="30">
        <v>1.0</v>
      </c>
      <c r="AT28" s="30">
        <v>0.8</v>
      </c>
      <c r="AU28" s="30">
        <v>1.0</v>
      </c>
      <c r="AX28" s="5">
        <v>1.0</v>
      </c>
      <c r="AY28" s="30">
        <v>1.0</v>
      </c>
      <c r="AZ28" s="30">
        <v>1.0</v>
      </c>
      <c r="BA28" s="30">
        <v>1.0</v>
      </c>
      <c r="BB28" s="30">
        <v>1.0</v>
      </c>
      <c r="BE28" s="5">
        <v>1.0</v>
      </c>
      <c r="BF28" s="30">
        <v>1.0</v>
      </c>
      <c r="BG28" s="30">
        <v>1.0</v>
      </c>
      <c r="BH28" s="30">
        <v>1.0</v>
      </c>
      <c r="BI28" s="30">
        <v>1.0</v>
      </c>
      <c r="BJ28" s="5" t="s">
        <v>192</v>
      </c>
      <c r="BM28" s="27"/>
      <c r="BN28" s="27"/>
      <c r="BO28" s="27"/>
      <c r="BP28" s="27"/>
      <c r="BT28" s="27"/>
      <c r="BU28" s="27"/>
      <c r="BV28" s="27"/>
      <c r="BW28" s="27"/>
      <c r="CA28" s="27"/>
      <c r="CB28" s="27"/>
      <c r="CC28" s="27"/>
      <c r="CD28" s="27"/>
      <c r="CH28" s="27"/>
      <c r="CI28" s="27"/>
      <c r="CJ28" s="27"/>
      <c r="CK28" s="27"/>
      <c r="CO28" s="27"/>
      <c r="CP28" s="27"/>
      <c r="CQ28" s="27"/>
      <c r="CR28" s="27"/>
      <c r="CT28" s="11"/>
      <c r="CU28" s="11"/>
      <c r="CV28" s="53"/>
      <c r="CW28" s="53"/>
      <c r="CX28" s="53"/>
      <c r="CY28" s="53"/>
      <c r="CZ28" s="11"/>
      <c r="DA28" s="11"/>
      <c r="DB28" s="11"/>
      <c r="DC28" s="53"/>
      <c r="DD28" s="53"/>
      <c r="DE28" s="53"/>
      <c r="DF28" s="53"/>
      <c r="DG28" s="11"/>
      <c r="DJ28" s="27"/>
      <c r="DK28" s="27"/>
      <c r="DL28" s="27"/>
      <c r="DM28" s="27"/>
      <c r="DQ28" s="27"/>
      <c r="DR28" s="27"/>
      <c r="DS28" s="27"/>
      <c r="DT28" s="27"/>
    </row>
    <row r="29" ht="15.75" hidden="1" customHeight="1" outlineLevel="1">
      <c r="B29" s="48" t="s">
        <v>56</v>
      </c>
      <c r="C29" s="48"/>
      <c r="D29" s="49" t="s">
        <v>190</v>
      </c>
      <c r="F29" s="26"/>
      <c r="G29" s="49" t="s">
        <v>193</v>
      </c>
      <c r="H29" s="30">
        <v>0.1</v>
      </c>
      <c r="J29" s="26">
        <f t="shared" si="22"/>
        <v>5.5</v>
      </c>
      <c r="K29" s="29">
        <f t="shared" ref="K29:L29" si="23">+MAXIFS($O29:$ABT29,$O$3:$ABT$3,K$3)</f>
        <v>1</v>
      </c>
      <c r="L29" s="29">
        <f t="shared" si="23"/>
        <v>1</v>
      </c>
      <c r="M29" s="26"/>
      <c r="O29" s="48"/>
      <c r="P29" s="27"/>
      <c r="Q29" s="27"/>
      <c r="R29" s="27"/>
      <c r="S29" s="30"/>
      <c r="V29" s="5">
        <v>3.5</v>
      </c>
      <c r="W29" s="30">
        <v>0.3</v>
      </c>
      <c r="X29" s="30">
        <v>1.0</v>
      </c>
      <c r="Y29" s="30">
        <v>0.3</v>
      </c>
      <c r="Z29" s="30">
        <v>1.0</v>
      </c>
      <c r="AD29" s="30">
        <v>0.3</v>
      </c>
      <c r="AE29" s="30">
        <v>1.0</v>
      </c>
      <c r="AF29" s="30">
        <v>0.3</v>
      </c>
      <c r="AG29" s="30">
        <v>1.0</v>
      </c>
      <c r="AK29" s="30">
        <v>0.3</v>
      </c>
      <c r="AL29" s="30">
        <v>1.0</v>
      </c>
      <c r="AM29" s="30">
        <v>0.3</v>
      </c>
      <c r="AN29" s="30">
        <v>1.0</v>
      </c>
      <c r="AQ29" s="48"/>
      <c r="AR29" s="30">
        <v>0.3</v>
      </c>
      <c r="AS29" s="30">
        <v>1.0</v>
      </c>
      <c r="AT29" s="30">
        <v>0.3</v>
      </c>
      <c r="AU29" s="30">
        <v>1.0</v>
      </c>
      <c r="AX29" s="5">
        <v>1.0</v>
      </c>
      <c r="AY29" s="30">
        <v>1.0</v>
      </c>
      <c r="AZ29" s="30">
        <v>1.0</v>
      </c>
      <c r="BA29" s="30">
        <v>1.0</v>
      </c>
      <c r="BB29" s="30">
        <v>1.0</v>
      </c>
      <c r="BE29" s="5">
        <v>1.0</v>
      </c>
      <c r="BF29" s="30">
        <v>1.0</v>
      </c>
      <c r="BG29" s="30">
        <v>1.0</v>
      </c>
      <c r="BH29" s="30">
        <v>1.0</v>
      </c>
      <c r="BI29" s="30">
        <v>1.0</v>
      </c>
      <c r="BM29" s="27"/>
      <c r="BN29" s="27"/>
      <c r="BO29" s="27"/>
      <c r="BP29" s="27"/>
      <c r="BT29" s="27"/>
      <c r="BU29" s="27"/>
      <c r="BV29" s="27"/>
      <c r="BW29" s="27"/>
      <c r="CA29" s="27"/>
      <c r="CB29" s="27"/>
      <c r="CC29" s="27"/>
      <c r="CD29" s="27"/>
      <c r="CH29" s="27"/>
      <c r="CI29" s="27"/>
      <c r="CJ29" s="27"/>
      <c r="CK29" s="27"/>
      <c r="CO29" s="27"/>
      <c r="CP29" s="27"/>
      <c r="CQ29" s="27"/>
      <c r="CR29" s="27"/>
      <c r="CT29" s="11"/>
      <c r="CU29" s="11"/>
      <c r="CV29" s="53"/>
      <c r="CW29" s="53"/>
      <c r="CX29" s="53"/>
      <c r="CY29" s="53"/>
      <c r="CZ29" s="11"/>
      <c r="DA29" s="11"/>
      <c r="DB29" s="11"/>
      <c r="DC29" s="53"/>
      <c r="DD29" s="53"/>
      <c r="DE29" s="53"/>
      <c r="DF29" s="53"/>
      <c r="DG29" s="11"/>
      <c r="DJ29" s="27"/>
      <c r="DK29" s="27"/>
      <c r="DL29" s="27"/>
      <c r="DM29" s="27"/>
      <c r="DQ29" s="27"/>
      <c r="DR29" s="27"/>
      <c r="DS29" s="27"/>
      <c r="DT29" s="27"/>
    </row>
    <row r="30" ht="15.75" hidden="1" customHeight="1" outlineLevel="1">
      <c r="B30" s="48" t="s">
        <v>56</v>
      </c>
      <c r="C30" s="48"/>
      <c r="D30" s="49" t="s">
        <v>190</v>
      </c>
      <c r="F30" s="26"/>
      <c r="G30" s="49" t="s">
        <v>194</v>
      </c>
      <c r="H30" s="30">
        <v>0.15</v>
      </c>
      <c r="J30" s="26">
        <f t="shared" si="22"/>
        <v>8.5</v>
      </c>
      <c r="K30" s="29">
        <f t="shared" ref="K30:L30" si="24">+MAXIFS($O30:$ABT30,$O$3:$ABT$3,K$3)</f>
        <v>1</v>
      </c>
      <c r="L30" s="29">
        <f t="shared" si="24"/>
        <v>1</v>
      </c>
      <c r="M30" s="26"/>
      <c r="O30" s="48"/>
      <c r="P30" s="27"/>
      <c r="Q30" s="27"/>
      <c r="R30" s="27"/>
      <c r="S30" s="30"/>
      <c r="W30" s="27"/>
      <c r="X30" s="30"/>
      <c r="Y30" s="27"/>
      <c r="Z30" s="30"/>
      <c r="AC30" s="5">
        <v>3.25</v>
      </c>
      <c r="AD30" s="30">
        <v>0.2</v>
      </c>
      <c r="AE30" s="30">
        <v>0.8</v>
      </c>
      <c r="AF30" s="30">
        <v>0.2</v>
      </c>
      <c r="AG30" s="30">
        <v>0.8</v>
      </c>
      <c r="AJ30" s="5">
        <v>3.25</v>
      </c>
      <c r="AK30" s="30">
        <v>0.5</v>
      </c>
      <c r="AL30" s="30">
        <v>1.0</v>
      </c>
      <c r="AM30" s="30">
        <v>0.5</v>
      </c>
      <c r="AN30" s="30">
        <v>1.0</v>
      </c>
      <c r="AQ30" s="48"/>
      <c r="AR30" s="30">
        <v>0.5</v>
      </c>
      <c r="AS30" s="30">
        <v>1.0</v>
      </c>
      <c r="AT30" s="30">
        <v>0.5</v>
      </c>
      <c r="AU30" s="30">
        <v>1.0</v>
      </c>
      <c r="AX30" s="5">
        <v>1.0</v>
      </c>
      <c r="AY30" s="30">
        <v>1.0</v>
      </c>
      <c r="AZ30" s="30">
        <v>1.0</v>
      </c>
      <c r="BA30" s="30">
        <v>1.0</v>
      </c>
      <c r="BB30" s="30">
        <v>1.0</v>
      </c>
      <c r="BE30" s="5">
        <v>1.0</v>
      </c>
      <c r="BF30" s="30">
        <v>1.0</v>
      </c>
      <c r="BG30" s="30">
        <v>1.0</v>
      </c>
      <c r="BH30" s="30">
        <v>1.0</v>
      </c>
      <c r="BI30" s="30">
        <v>1.0</v>
      </c>
      <c r="BM30" s="27"/>
      <c r="BN30" s="27"/>
      <c r="BO30" s="27"/>
      <c r="BP30" s="27"/>
      <c r="BT30" s="27"/>
      <c r="BU30" s="27"/>
      <c r="BV30" s="27"/>
      <c r="BW30" s="27"/>
      <c r="CA30" s="27"/>
      <c r="CB30" s="27"/>
      <c r="CC30" s="27"/>
      <c r="CD30" s="27"/>
      <c r="CH30" s="27"/>
      <c r="CI30" s="27"/>
      <c r="CJ30" s="27"/>
      <c r="CK30" s="27"/>
      <c r="CO30" s="27"/>
      <c r="CP30" s="27"/>
      <c r="CQ30" s="27"/>
      <c r="CR30" s="27"/>
      <c r="CT30" s="11"/>
      <c r="CU30" s="11"/>
      <c r="CV30" s="53"/>
      <c r="CW30" s="53"/>
      <c r="CX30" s="53"/>
      <c r="CY30" s="53"/>
      <c r="CZ30" s="11"/>
      <c r="DA30" s="11"/>
      <c r="DB30" s="11"/>
      <c r="DC30" s="53"/>
      <c r="DD30" s="53"/>
      <c r="DE30" s="53"/>
      <c r="DF30" s="53"/>
      <c r="DG30" s="11"/>
      <c r="DJ30" s="27"/>
      <c r="DK30" s="27"/>
      <c r="DL30" s="27"/>
      <c r="DM30" s="27"/>
      <c r="DQ30" s="27"/>
      <c r="DR30" s="27"/>
      <c r="DS30" s="27"/>
      <c r="DT30" s="27"/>
    </row>
    <row r="31" ht="15.75" hidden="1" customHeight="1" outlineLevel="1">
      <c r="B31" s="48" t="s">
        <v>56</v>
      </c>
      <c r="C31" s="48"/>
      <c r="D31" s="49" t="s">
        <v>190</v>
      </c>
      <c r="F31" s="26"/>
      <c r="G31" s="49" t="s">
        <v>195</v>
      </c>
      <c r="H31" s="30">
        <v>0.1</v>
      </c>
      <c r="J31" s="26">
        <f t="shared" si="22"/>
        <v>4.25</v>
      </c>
      <c r="K31" s="29">
        <f t="shared" ref="K31:L31" si="25">+MAXIFS($O31:$ABT31,$O$3:$ABT$3,K$3)</f>
        <v>1</v>
      </c>
      <c r="L31" s="29">
        <f t="shared" si="25"/>
        <v>1</v>
      </c>
      <c r="M31" s="26"/>
      <c r="O31" s="48"/>
      <c r="P31" s="27"/>
      <c r="Q31" s="27"/>
      <c r="R31" s="27"/>
      <c r="S31" s="27"/>
      <c r="W31" s="27"/>
      <c r="X31" s="27"/>
      <c r="Y31" s="27"/>
      <c r="Z31" s="30"/>
      <c r="AD31" s="27"/>
      <c r="AE31" s="30"/>
      <c r="AF31" s="27"/>
      <c r="AG31" s="30"/>
      <c r="AK31" s="27"/>
      <c r="AL31" s="30">
        <v>0.8</v>
      </c>
      <c r="AM31" s="27"/>
      <c r="AN31" s="30">
        <v>0.8</v>
      </c>
      <c r="AQ31" s="49">
        <v>3.25</v>
      </c>
      <c r="AR31" s="27"/>
      <c r="AS31" s="30">
        <v>1.0</v>
      </c>
      <c r="AT31" s="27"/>
      <c r="AU31" s="30">
        <v>1.0</v>
      </c>
      <c r="AY31" s="27"/>
      <c r="AZ31" s="30">
        <v>1.0</v>
      </c>
      <c r="BA31" s="30">
        <v>0.3</v>
      </c>
      <c r="BB31" s="30">
        <v>1.0</v>
      </c>
      <c r="BE31" s="5">
        <v>1.0</v>
      </c>
      <c r="BF31" s="30">
        <v>1.0</v>
      </c>
      <c r="BG31" s="30">
        <v>1.0</v>
      </c>
      <c r="BH31" s="30">
        <v>1.0</v>
      </c>
      <c r="BI31" s="30">
        <v>1.0</v>
      </c>
      <c r="BM31" s="27"/>
      <c r="BN31" s="27"/>
      <c r="BO31" s="27"/>
      <c r="BP31" s="27"/>
      <c r="BT31" s="27"/>
      <c r="BU31" s="27"/>
      <c r="BV31" s="27"/>
      <c r="BW31" s="27"/>
      <c r="CA31" s="27"/>
      <c r="CB31" s="27"/>
      <c r="CC31" s="27"/>
      <c r="CD31" s="27"/>
      <c r="CH31" s="27"/>
      <c r="CI31" s="27"/>
      <c r="CJ31" s="27"/>
      <c r="CK31" s="27"/>
      <c r="CO31" s="27"/>
      <c r="CP31" s="27"/>
      <c r="CQ31" s="27"/>
      <c r="CR31" s="27"/>
      <c r="CT31" s="11"/>
      <c r="CU31" s="11"/>
      <c r="CV31" s="53"/>
      <c r="CW31" s="53"/>
      <c r="CX31" s="53"/>
      <c r="CY31" s="53"/>
      <c r="CZ31" s="11"/>
      <c r="DA31" s="11"/>
      <c r="DB31" s="11"/>
      <c r="DC31" s="53"/>
      <c r="DD31" s="53"/>
      <c r="DE31" s="53"/>
      <c r="DF31" s="53"/>
      <c r="DG31" s="11"/>
      <c r="DJ31" s="27"/>
      <c r="DK31" s="27"/>
      <c r="DL31" s="27"/>
      <c r="DM31" s="27"/>
      <c r="DQ31" s="27"/>
      <c r="DR31" s="27"/>
      <c r="DS31" s="27"/>
      <c r="DT31" s="27"/>
    </row>
    <row r="32" ht="15.75" hidden="1" customHeight="1" outlineLevel="1">
      <c r="B32" s="48" t="s">
        <v>56</v>
      </c>
      <c r="C32" s="48"/>
      <c r="D32" s="49" t="s">
        <v>190</v>
      </c>
      <c r="F32" s="26"/>
      <c r="G32" s="49" t="s">
        <v>196</v>
      </c>
      <c r="H32" s="30">
        <v>0.1</v>
      </c>
      <c r="J32" s="26">
        <f t="shared" si="22"/>
        <v>4.25</v>
      </c>
      <c r="K32" s="29">
        <f t="shared" ref="K32:L32" si="26">+MAXIFS($O32:$ABT32,$O$3:$ABT$3,K$3)</f>
        <v>1</v>
      </c>
      <c r="L32" s="29">
        <f t="shared" si="26"/>
        <v>1</v>
      </c>
      <c r="M32" s="26"/>
      <c r="O32" s="48"/>
      <c r="P32" s="27"/>
      <c r="Q32" s="27"/>
      <c r="R32" s="27"/>
      <c r="S32" s="27"/>
      <c r="W32" s="27"/>
      <c r="X32" s="27"/>
      <c r="Y32" s="27"/>
      <c r="Z32" s="30"/>
      <c r="AD32" s="27"/>
      <c r="AE32" s="30"/>
      <c r="AF32" s="27"/>
      <c r="AG32" s="30"/>
      <c r="AK32" s="27"/>
      <c r="AL32" s="30">
        <v>0.5</v>
      </c>
      <c r="AM32" s="27"/>
      <c r="AN32" s="30">
        <v>0.5</v>
      </c>
      <c r="AQ32" s="48"/>
      <c r="AR32" s="27"/>
      <c r="AS32" s="30">
        <v>0.8</v>
      </c>
      <c r="AT32" s="27"/>
      <c r="AU32" s="30">
        <v>0.8</v>
      </c>
      <c r="AX32" s="5">
        <v>3.25</v>
      </c>
      <c r="AY32" s="27"/>
      <c r="AZ32" s="30">
        <v>1.0</v>
      </c>
      <c r="BA32" s="27"/>
      <c r="BB32" s="30">
        <v>1.0</v>
      </c>
      <c r="BE32" s="5">
        <v>1.0</v>
      </c>
      <c r="BF32" s="30">
        <v>1.0</v>
      </c>
      <c r="BG32" s="30">
        <v>1.0</v>
      </c>
      <c r="BH32" s="30">
        <v>1.0</v>
      </c>
      <c r="BI32" s="30">
        <v>1.0</v>
      </c>
      <c r="BM32" s="27"/>
      <c r="BN32" s="27"/>
      <c r="BO32" s="27"/>
      <c r="BP32" s="27"/>
      <c r="BT32" s="27"/>
      <c r="BU32" s="27"/>
      <c r="BV32" s="27"/>
      <c r="BW32" s="27"/>
      <c r="CA32" s="27"/>
      <c r="CB32" s="27"/>
      <c r="CC32" s="27"/>
      <c r="CD32" s="27"/>
      <c r="CH32" s="27"/>
      <c r="CI32" s="27"/>
      <c r="CJ32" s="27"/>
      <c r="CK32" s="27"/>
      <c r="CO32" s="27"/>
      <c r="CP32" s="27"/>
      <c r="CQ32" s="27"/>
      <c r="CR32" s="27"/>
      <c r="CT32" s="11"/>
      <c r="CU32" s="11"/>
      <c r="CV32" s="53"/>
      <c r="CW32" s="53"/>
      <c r="CX32" s="53"/>
      <c r="CY32" s="53"/>
      <c r="CZ32" s="11"/>
      <c r="DA32" s="11"/>
      <c r="DB32" s="11"/>
      <c r="DC32" s="53"/>
      <c r="DD32" s="53"/>
      <c r="DE32" s="53"/>
      <c r="DF32" s="53"/>
      <c r="DG32" s="11"/>
      <c r="DJ32" s="27"/>
      <c r="DK32" s="27"/>
      <c r="DL32" s="27"/>
      <c r="DM32" s="27"/>
      <c r="DQ32" s="27"/>
      <c r="DR32" s="27"/>
      <c r="DS32" s="27"/>
      <c r="DT32" s="27"/>
    </row>
    <row r="33" ht="15.75" hidden="1" customHeight="1" outlineLevel="1">
      <c r="B33" s="48" t="s">
        <v>56</v>
      </c>
      <c r="C33" s="48"/>
      <c r="D33" s="49" t="s">
        <v>190</v>
      </c>
      <c r="F33" s="26"/>
      <c r="G33" s="49" t="s">
        <v>197</v>
      </c>
      <c r="H33" s="30">
        <v>0.15</v>
      </c>
      <c r="J33" s="26">
        <f t="shared" si="22"/>
        <v>10</v>
      </c>
      <c r="K33" s="29">
        <f t="shared" ref="K33:L33" si="27">+MAXIFS($O33:$ABT33,$O$3:$ABT$3,K$3)</f>
        <v>1</v>
      </c>
      <c r="L33" s="29">
        <f t="shared" si="27"/>
        <v>1</v>
      </c>
      <c r="M33" s="26"/>
      <c r="P33" s="27"/>
      <c r="Q33" s="27"/>
      <c r="R33" s="27"/>
      <c r="S33" s="27"/>
      <c r="W33" s="27"/>
      <c r="X33" s="27"/>
      <c r="Y33" s="27"/>
      <c r="Z33" s="30"/>
      <c r="AD33" s="27"/>
      <c r="AE33" s="30"/>
      <c r="AF33" s="27"/>
      <c r="AG33" s="30"/>
      <c r="AK33" s="27"/>
      <c r="AL33" s="30"/>
      <c r="AM33" s="27"/>
      <c r="AN33" s="30"/>
      <c r="AQ33" s="48"/>
      <c r="AR33" s="27"/>
      <c r="AS33" s="30">
        <v>0.5</v>
      </c>
      <c r="AT33" s="27"/>
      <c r="AU33" s="30">
        <v>0.5</v>
      </c>
      <c r="AY33" s="27"/>
      <c r="AZ33" s="30">
        <v>0.8</v>
      </c>
      <c r="BA33" s="27"/>
      <c r="BB33" s="30">
        <v>0.8</v>
      </c>
      <c r="BE33" s="5">
        <v>10.0</v>
      </c>
      <c r="BF33" s="30">
        <v>1.0</v>
      </c>
      <c r="BG33" s="30">
        <v>1.0</v>
      </c>
      <c r="BH33" s="30">
        <v>1.0</v>
      </c>
      <c r="BI33" s="30">
        <v>1.0</v>
      </c>
      <c r="BM33" s="27"/>
      <c r="BN33" s="27"/>
      <c r="BO33" s="27"/>
      <c r="BP33" s="27"/>
      <c r="BT33" s="27"/>
      <c r="BU33" s="27"/>
      <c r="BV33" s="27"/>
      <c r="BW33" s="27"/>
      <c r="CA33" s="27"/>
      <c r="CB33" s="27"/>
      <c r="CC33" s="27"/>
      <c r="CD33" s="27"/>
      <c r="CH33" s="27"/>
      <c r="CI33" s="27"/>
      <c r="CJ33" s="27"/>
      <c r="CK33" s="27"/>
      <c r="CO33" s="27"/>
      <c r="CP33" s="27"/>
      <c r="CQ33" s="27"/>
      <c r="CR33" s="27"/>
      <c r="CT33" s="11"/>
      <c r="CU33" s="11"/>
      <c r="CV33" s="53"/>
      <c r="CW33" s="53"/>
      <c r="CX33" s="53"/>
      <c r="CY33" s="53"/>
      <c r="CZ33" s="11"/>
      <c r="DA33" s="11"/>
      <c r="DB33" s="11"/>
      <c r="DC33" s="53"/>
      <c r="DD33" s="53"/>
      <c r="DE33" s="53"/>
      <c r="DF33" s="53"/>
      <c r="DG33" s="11"/>
      <c r="DJ33" s="27"/>
      <c r="DK33" s="27"/>
      <c r="DL33" s="27"/>
      <c r="DM33" s="27"/>
      <c r="DQ33" s="27"/>
      <c r="DR33" s="27"/>
      <c r="DS33" s="27"/>
      <c r="DT33" s="27"/>
    </row>
    <row r="34" ht="15.75" hidden="1" customHeight="1" outlineLevel="1">
      <c r="B34" s="48" t="s">
        <v>56</v>
      </c>
      <c r="C34" s="48"/>
      <c r="D34" s="49" t="s">
        <v>190</v>
      </c>
      <c r="F34" s="26"/>
      <c r="G34" s="49" t="s">
        <v>198</v>
      </c>
      <c r="H34" s="30">
        <v>0.15</v>
      </c>
      <c r="J34" s="26">
        <f t="shared" si="22"/>
        <v>5</v>
      </c>
      <c r="K34" s="29">
        <f t="shared" ref="K34:L34" si="28">+MAXIFS($O34:$ABT34,$O$3:$ABT$3,K$3)</f>
        <v>1</v>
      </c>
      <c r="L34" s="29">
        <f t="shared" si="28"/>
        <v>1</v>
      </c>
      <c r="M34" s="26"/>
      <c r="P34" s="27"/>
      <c r="Q34" s="27"/>
      <c r="R34" s="27"/>
      <c r="S34" s="27"/>
      <c r="W34" s="27"/>
      <c r="X34" s="27"/>
      <c r="Y34" s="27"/>
      <c r="Z34" s="30"/>
      <c r="AD34" s="27"/>
      <c r="AE34" s="30"/>
      <c r="AF34" s="27"/>
      <c r="AG34" s="30"/>
      <c r="AK34" s="27"/>
      <c r="AL34" s="30"/>
      <c r="AM34" s="27"/>
      <c r="AN34" s="30"/>
      <c r="AQ34" s="48"/>
      <c r="AR34" s="27"/>
      <c r="AS34" s="30">
        <v>0.5</v>
      </c>
      <c r="AT34" s="27"/>
      <c r="AU34" s="30">
        <v>0.5</v>
      </c>
      <c r="AY34" s="27"/>
      <c r="AZ34" s="30">
        <v>0.8</v>
      </c>
      <c r="BA34" s="27"/>
      <c r="BB34" s="30">
        <v>0.8</v>
      </c>
      <c r="BE34" s="5">
        <v>5.0</v>
      </c>
      <c r="BF34" s="30">
        <v>1.0</v>
      </c>
      <c r="BG34" s="30">
        <v>1.0</v>
      </c>
      <c r="BH34" s="30">
        <v>1.0</v>
      </c>
      <c r="BI34" s="30">
        <v>1.0</v>
      </c>
      <c r="BM34" s="27"/>
      <c r="BN34" s="27"/>
      <c r="BO34" s="27"/>
      <c r="BP34" s="27"/>
      <c r="BT34" s="27"/>
      <c r="BU34" s="27"/>
      <c r="BV34" s="27"/>
      <c r="BW34" s="27"/>
      <c r="CA34" s="27"/>
      <c r="CB34" s="27"/>
      <c r="CC34" s="27"/>
      <c r="CD34" s="27"/>
      <c r="CH34" s="27"/>
      <c r="CI34" s="27"/>
      <c r="CJ34" s="27"/>
      <c r="CK34" s="27"/>
      <c r="CO34" s="27"/>
      <c r="CP34" s="27"/>
      <c r="CQ34" s="27"/>
      <c r="CR34" s="27"/>
      <c r="CT34" s="11"/>
      <c r="CU34" s="11"/>
      <c r="CV34" s="53"/>
      <c r="CW34" s="53"/>
      <c r="CX34" s="53"/>
      <c r="CY34" s="53"/>
      <c r="CZ34" s="11"/>
      <c r="DA34" s="11"/>
      <c r="DB34" s="11"/>
      <c r="DC34" s="53"/>
      <c r="DD34" s="53"/>
      <c r="DE34" s="53"/>
      <c r="DF34" s="53"/>
      <c r="DG34" s="11"/>
      <c r="DJ34" s="27"/>
      <c r="DK34" s="27"/>
      <c r="DL34" s="27"/>
      <c r="DM34" s="27"/>
      <c r="DQ34" s="27"/>
      <c r="DR34" s="27"/>
      <c r="DS34" s="27"/>
      <c r="DT34" s="27"/>
    </row>
    <row r="35" ht="15.75" hidden="1" customHeight="1" outlineLevel="1">
      <c r="B35" s="48" t="s">
        <v>56</v>
      </c>
      <c r="C35" s="48"/>
      <c r="D35" s="49" t="s">
        <v>190</v>
      </c>
      <c r="F35" s="26"/>
      <c r="G35" s="49" t="s">
        <v>199</v>
      </c>
      <c r="H35" s="30">
        <v>0.15</v>
      </c>
      <c r="J35" s="26">
        <f t="shared" si="22"/>
        <v>2</v>
      </c>
      <c r="K35" s="29">
        <f t="shared" ref="K35:L35" si="29">+MAXIFS($O35:$ABT35,$O$3:$ABT$3,K$3)</f>
        <v>1</v>
      </c>
      <c r="L35" s="29">
        <f t="shared" si="29"/>
        <v>1</v>
      </c>
      <c r="M35" s="26"/>
      <c r="P35" s="27"/>
      <c r="Q35" s="27"/>
      <c r="R35" s="27"/>
      <c r="S35" s="27"/>
      <c r="W35" s="27"/>
      <c r="X35" s="27"/>
      <c r="Y35" s="27"/>
      <c r="Z35" s="30"/>
      <c r="AD35" s="27"/>
      <c r="AE35" s="30"/>
      <c r="AF35" s="27"/>
      <c r="AG35" s="30"/>
      <c r="AK35" s="27"/>
      <c r="AL35" s="30"/>
      <c r="AM35" s="27"/>
      <c r="AN35" s="30"/>
      <c r="AQ35" s="48"/>
      <c r="AR35" s="27"/>
      <c r="AS35" s="30"/>
      <c r="AT35" s="27"/>
      <c r="AU35" s="30"/>
      <c r="AY35" s="27"/>
      <c r="AZ35" s="30">
        <v>0.5</v>
      </c>
      <c r="BA35" s="27"/>
      <c r="BB35" s="30">
        <v>0.5</v>
      </c>
      <c r="BE35" s="5">
        <v>2.0</v>
      </c>
      <c r="BF35" s="30">
        <v>1.0</v>
      </c>
      <c r="BG35" s="30">
        <v>1.0</v>
      </c>
      <c r="BH35" s="30">
        <v>1.0</v>
      </c>
      <c r="BI35" s="30">
        <v>1.0</v>
      </c>
      <c r="BM35" s="27"/>
      <c r="BN35" s="27"/>
      <c r="BO35" s="27"/>
      <c r="BP35" s="27"/>
      <c r="BT35" s="27"/>
      <c r="BU35" s="27"/>
      <c r="BV35" s="27"/>
      <c r="BW35" s="27"/>
      <c r="CA35" s="27"/>
      <c r="CB35" s="27"/>
      <c r="CC35" s="27"/>
      <c r="CD35" s="27"/>
      <c r="CH35" s="27"/>
      <c r="CI35" s="27"/>
      <c r="CJ35" s="27"/>
      <c r="CK35" s="27"/>
      <c r="CO35" s="27"/>
      <c r="CP35" s="27"/>
      <c r="CQ35" s="27"/>
      <c r="CR35" s="27"/>
      <c r="CT35" s="11"/>
      <c r="CU35" s="11"/>
      <c r="CV35" s="53"/>
      <c r="CW35" s="53"/>
      <c r="CX35" s="53"/>
      <c r="CY35" s="53"/>
      <c r="CZ35" s="11"/>
      <c r="DA35" s="11"/>
      <c r="DB35" s="11"/>
      <c r="DC35" s="53"/>
      <c r="DD35" s="53"/>
      <c r="DE35" s="53"/>
      <c r="DF35" s="53"/>
      <c r="DG35" s="11"/>
      <c r="DJ35" s="27"/>
      <c r="DK35" s="27"/>
      <c r="DL35" s="27"/>
      <c r="DM35" s="27"/>
      <c r="DQ35" s="27"/>
      <c r="DR35" s="27"/>
      <c r="DS35" s="27"/>
      <c r="DT35" s="27"/>
    </row>
    <row r="36" ht="15.75" customHeight="1" collapsed="1">
      <c r="CT36" s="11"/>
      <c r="CU36" s="11"/>
      <c r="CV36" s="11"/>
      <c r="CW36" s="11"/>
      <c r="CX36" s="11"/>
      <c r="CY36" s="11"/>
      <c r="CZ36" s="11"/>
      <c r="DA36" s="11"/>
      <c r="DB36" s="11"/>
      <c r="DC36" s="11"/>
      <c r="DD36" s="11"/>
      <c r="DE36" s="11"/>
      <c r="DF36" s="11"/>
      <c r="DG36" s="11"/>
    </row>
    <row r="37" ht="15.75" customHeight="1">
      <c r="B37" s="48" t="s">
        <v>26</v>
      </c>
      <c r="C37" s="48"/>
      <c r="D37" s="49" t="s">
        <v>189</v>
      </c>
      <c r="E37" s="49" t="s">
        <v>173</v>
      </c>
      <c r="F37" s="32">
        <v>3.0</v>
      </c>
      <c r="H37" s="27">
        <f>+SUM(H38:H43)</f>
        <v>1</v>
      </c>
      <c r="J37" s="28">
        <f>+SUM(J38:J43)</f>
        <v>6.5</v>
      </c>
      <c r="K37" s="29">
        <f>+SUMPRODUCT(H38:H43,K38:K43)</f>
        <v>0</v>
      </c>
      <c r="L37" s="29">
        <f>+SUMPRODUCT(H38:H43,L38:L43)</f>
        <v>0</v>
      </c>
      <c r="M37" s="26"/>
      <c r="O37" s="28"/>
      <c r="V37" s="28"/>
      <c r="AC37" s="28"/>
      <c r="AJ37" s="28"/>
      <c r="AQ37" s="28"/>
      <c r="BS37" s="57">
        <f>SUM(BS38:BS43)</f>
        <v>3.25</v>
      </c>
      <c r="BZ37" s="6">
        <f>SUM(BZ38:BZ43)</f>
        <v>3.25</v>
      </c>
      <c r="CT37" s="11"/>
      <c r="CU37" s="11"/>
      <c r="CV37" s="11"/>
      <c r="CW37" s="11"/>
      <c r="CX37" s="11"/>
      <c r="CY37" s="11"/>
      <c r="CZ37" s="11"/>
      <c r="DA37" s="11"/>
      <c r="DB37" s="11"/>
      <c r="DC37" s="11"/>
      <c r="DD37" s="11"/>
      <c r="DE37" s="11"/>
      <c r="DF37" s="11"/>
      <c r="DG37" s="11"/>
    </row>
    <row r="38" ht="15.75" customHeight="1" outlineLevel="1">
      <c r="B38" s="48" t="s">
        <v>56</v>
      </c>
      <c r="C38" s="48"/>
      <c r="D38" s="49" t="s">
        <v>200</v>
      </c>
      <c r="F38" s="26"/>
      <c r="G38" s="49" t="s">
        <v>139</v>
      </c>
      <c r="H38" s="30">
        <v>0.15</v>
      </c>
      <c r="J38" s="26">
        <f t="shared" ref="J38:J43" si="31">+SUMIF($O$3:$ACN$3,J$3,$O38:$ACN38)</f>
        <v>6.5</v>
      </c>
      <c r="K38" s="29">
        <f t="shared" ref="K38:L38" si="30">+MAXIFS($O38:$ABT38,$O$3:$ABT$3,K$3)</f>
        <v>0</v>
      </c>
      <c r="L38" s="29">
        <f t="shared" si="30"/>
        <v>0</v>
      </c>
      <c r="M38" s="26"/>
      <c r="O38" s="48"/>
      <c r="P38" s="27"/>
      <c r="Q38" s="27"/>
      <c r="R38" s="27"/>
      <c r="S38" s="27"/>
      <c r="V38" s="48"/>
      <c r="W38" s="27"/>
      <c r="X38" s="27"/>
      <c r="Y38" s="27"/>
      <c r="Z38" s="27"/>
      <c r="AC38" s="48"/>
      <c r="AD38" s="27"/>
      <c r="AE38" s="27"/>
      <c r="AF38" s="27"/>
      <c r="AG38" s="27"/>
      <c r="AK38" s="27"/>
      <c r="AL38" s="27"/>
      <c r="AM38" s="27"/>
      <c r="AN38" s="27"/>
      <c r="AQ38" s="48"/>
      <c r="AR38" s="27"/>
      <c r="AS38" s="27"/>
      <c r="AT38" s="27"/>
      <c r="AU38" s="27"/>
      <c r="AY38" s="27"/>
      <c r="AZ38" s="27"/>
      <c r="BA38" s="27"/>
      <c r="BB38" s="27"/>
      <c r="BF38" s="27"/>
      <c r="BG38" s="27"/>
      <c r="BH38" s="27"/>
      <c r="BI38" s="27"/>
      <c r="BM38" s="27"/>
      <c r="BN38" s="27"/>
      <c r="BO38" s="27"/>
      <c r="BP38" s="27"/>
      <c r="BS38" s="58">
        <v>3.25</v>
      </c>
      <c r="BT38" s="27"/>
      <c r="BU38" s="27"/>
      <c r="BV38" s="27"/>
      <c r="BW38" s="27"/>
      <c r="BZ38" s="5">
        <v>3.25</v>
      </c>
      <c r="CA38" s="27"/>
      <c r="CB38" s="30">
        <v>1.0</v>
      </c>
      <c r="CC38" s="27"/>
      <c r="CD38" s="30">
        <v>1.0</v>
      </c>
      <c r="CH38" s="27"/>
      <c r="CI38" s="30">
        <v>1.0</v>
      </c>
      <c r="CJ38" s="27"/>
      <c r="CK38" s="30">
        <v>1.0</v>
      </c>
      <c r="CO38" s="27"/>
      <c r="CP38" s="30">
        <v>1.0</v>
      </c>
      <c r="CQ38" s="27"/>
      <c r="CR38" s="30">
        <v>1.0</v>
      </c>
      <c r="CT38" s="11"/>
      <c r="CU38" s="11"/>
      <c r="CV38" s="27"/>
      <c r="CW38" s="30">
        <v>1.0</v>
      </c>
      <c r="CX38" s="27"/>
      <c r="CY38" s="30">
        <v>1.0</v>
      </c>
      <c r="CZ38" s="11"/>
      <c r="DA38" s="11"/>
      <c r="DB38" s="11"/>
      <c r="DC38" s="55"/>
      <c r="DD38" s="51">
        <v>1.0</v>
      </c>
      <c r="DE38" s="27"/>
      <c r="DF38" s="30">
        <v>1.0</v>
      </c>
      <c r="DG38" s="11"/>
      <c r="DJ38" s="27"/>
      <c r="DK38" s="30">
        <v>1.0</v>
      </c>
      <c r="DL38" s="27"/>
      <c r="DM38" s="30">
        <v>1.0</v>
      </c>
      <c r="DQ38" s="27"/>
      <c r="DR38" s="27"/>
      <c r="DS38" s="27"/>
      <c r="DT38" s="27"/>
    </row>
    <row r="39" ht="15.75" customHeight="1" outlineLevel="1">
      <c r="B39" s="48" t="s">
        <v>56</v>
      </c>
      <c r="C39" s="48"/>
      <c r="D39" s="49" t="s">
        <v>200</v>
      </c>
      <c r="F39" s="26"/>
      <c r="G39" s="49" t="s">
        <v>201</v>
      </c>
      <c r="H39" s="30">
        <v>0.15</v>
      </c>
      <c r="J39" s="26">
        <f t="shared" si="31"/>
        <v>0</v>
      </c>
      <c r="K39" s="29">
        <f t="shared" ref="K39:L39" si="32">+MAXIFS($O39:$ABT39,$O$3:$ABT$3,K$3)</f>
        <v>0</v>
      </c>
      <c r="L39" s="29">
        <f t="shared" si="32"/>
        <v>0</v>
      </c>
      <c r="M39" s="26"/>
      <c r="O39" s="48"/>
      <c r="P39" s="27"/>
      <c r="Q39" s="27"/>
      <c r="R39" s="27"/>
      <c r="S39" s="27"/>
      <c r="W39" s="27"/>
      <c r="X39" s="27"/>
      <c r="Y39" s="27"/>
      <c r="Z39" s="27"/>
      <c r="AD39" s="27"/>
      <c r="AE39" s="27"/>
      <c r="AF39" s="27"/>
      <c r="AG39" s="27"/>
      <c r="AK39" s="27"/>
      <c r="AL39" s="27"/>
      <c r="AM39" s="27"/>
      <c r="AN39" s="27"/>
      <c r="AQ39" s="48"/>
      <c r="AR39" s="27"/>
      <c r="AS39" s="27"/>
      <c r="AT39" s="27"/>
      <c r="AU39" s="27"/>
      <c r="AY39" s="27"/>
      <c r="AZ39" s="27"/>
      <c r="BA39" s="27"/>
      <c r="BB39" s="27"/>
      <c r="BF39" s="27"/>
      <c r="BG39" s="27"/>
      <c r="BH39" s="27"/>
      <c r="BI39" s="27"/>
      <c r="BM39" s="27"/>
      <c r="BN39" s="27"/>
      <c r="BO39" s="27"/>
      <c r="BP39" s="27"/>
      <c r="BT39" s="27"/>
      <c r="BU39" s="27"/>
      <c r="BV39" s="27"/>
      <c r="BW39" s="27"/>
      <c r="CA39" s="27"/>
      <c r="CB39" s="30">
        <v>1.0</v>
      </c>
      <c r="CC39" s="27"/>
      <c r="CD39" s="30">
        <v>1.0</v>
      </c>
      <c r="CH39" s="27"/>
      <c r="CI39" s="30">
        <v>1.0</v>
      </c>
      <c r="CJ39" s="27"/>
      <c r="CK39" s="30">
        <v>1.0</v>
      </c>
      <c r="CO39" s="27"/>
      <c r="CP39" s="30">
        <v>1.0</v>
      </c>
      <c r="CQ39" s="27"/>
      <c r="CR39" s="30">
        <v>1.0</v>
      </c>
      <c r="CT39" s="11"/>
      <c r="CU39" s="11"/>
      <c r="CV39" s="27"/>
      <c r="CW39" s="30">
        <v>1.0</v>
      </c>
      <c r="CX39" s="27"/>
      <c r="CY39" s="30">
        <v>1.0</v>
      </c>
      <c r="CZ39" s="11"/>
      <c r="DA39" s="11"/>
      <c r="DB39" s="11"/>
      <c r="DC39" s="55"/>
      <c r="DD39" s="51">
        <v>1.0</v>
      </c>
      <c r="DE39" s="27"/>
      <c r="DF39" s="30">
        <v>1.0</v>
      </c>
      <c r="DG39" s="11"/>
      <c r="DJ39" s="27"/>
      <c r="DK39" s="30">
        <v>1.0</v>
      </c>
      <c r="DL39" s="27"/>
      <c r="DM39" s="30">
        <v>1.0</v>
      </c>
      <c r="DQ39" s="27"/>
      <c r="DR39" s="27"/>
      <c r="DS39" s="27"/>
      <c r="DT39" s="27"/>
    </row>
    <row r="40" ht="15.75" customHeight="1" outlineLevel="1">
      <c r="B40" s="48" t="s">
        <v>56</v>
      </c>
      <c r="C40" s="48"/>
      <c r="D40" s="49" t="s">
        <v>200</v>
      </c>
      <c r="F40" s="26"/>
      <c r="G40" s="49" t="s">
        <v>202</v>
      </c>
      <c r="H40" s="30">
        <v>0.15</v>
      </c>
      <c r="J40" s="26">
        <f t="shared" si="31"/>
        <v>0</v>
      </c>
      <c r="K40" s="29">
        <f t="shared" ref="K40:L40" si="33">+MAXIFS($O40:$ABT40,$O$3:$ABT$3,K$3)</f>
        <v>0</v>
      </c>
      <c r="L40" s="29">
        <f t="shared" si="33"/>
        <v>0</v>
      </c>
      <c r="M40" s="26"/>
      <c r="O40" s="48"/>
      <c r="P40" s="27"/>
      <c r="Q40" s="27"/>
      <c r="R40" s="27"/>
      <c r="S40" s="27"/>
      <c r="W40" s="27"/>
      <c r="X40" s="27"/>
      <c r="Y40" s="27"/>
      <c r="Z40" s="27"/>
      <c r="AD40" s="27"/>
      <c r="AE40" s="27"/>
      <c r="AF40" s="27"/>
      <c r="AG40" s="27"/>
      <c r="AK40" s="27"/>
      <c r="AL40" s="27"/>
      <c r="AM40" s="27"/>
      <c r="AN40" s="27"/>
      <c r="AQ40" s="48"/>
      <c r="AR40" s="27"/>
      <c r="AS40" s="27"/>
      <c r="AT40" s="27"/>
      <c r="AU40" s="27"/>
      <c r="AY40" s="27"/>
      <c r="AZ40" s="27"/>
      <c r="BA40" s="27"/>
      <c r="BB40" s="27"/>
      <c r="BF40" s="27"/>
      <c r="BG40" s="27"/>
      <c r="BH40" s="27"/>
      <c r="BI40" s="27"/>
      <c r="BM40" s="27"/>
      <c r="BN40" s="27"/>
      <c r="BO40" s="27"/>
      <c r="BP40" s="27"/>
      <c r="BT40" s="27"/>
      <c r="BU40" s="27"/>
      <c r="BV40" s="27"/>
      <c r="BW40" s="27"/>
      <c r="CA40" s="27"/>
      <c r="CB40" s="30">
        <v>1.0</v>
      </c>
      <c r="CC40" s="27"/>
      <c r="CD40" s="30">
        <v>1.0</v>
      </c>
      <c r="CH40" s="27"/>
      <c r="CI40" s="30">
        <v>1.0</v>
      </c>
      <c r="CJ40" s="27"/>
      <c r="CK40" s="30">
        <v>1.0</v>
      </c>
      <c r="CO40" s="27"/>
      <c r="CP40" s="30">
        <v>1.0</v>
      </c>
      <c r="CQ40" s="27"/>
      <c r="CR40" s="30">
        <v>1.0</v>
      </c>
      <c r="CT40" s="11"/>
      <c r="CU40" s="11"/>
      <c r="CV40" s="27"/>
      <c r="CW40" s="30">
        <v>1.0</v>
      </c>
      <c r="CX40" s="27"/>
      <c r="CY40" s="30">
        <v>1.0</v>
      </c>
      <c r="CZ40" s="11"/>
      <c r="DA40" s="11"/>
      <c r="DB40" s="11"/>
      <c r="DC40" s="55"/>
      <c r="DD40" s="51">
        <v>1.0</v>
      </c>
      <c r="DE40" s="27"/>
      <c r="DF40" s="30">
        <v>1.0</v>
      </c>
      <c r="DG40" s="11"/>
      <c r="DJ40" s="27"/>
      <c r="DK40" s="30">
        <v>1.0</v>
      </c>
      <c r="DL40" s="27"/>
      <c r="DM40" s="30">
        <v>1.0</v>
      </c>
      <c r="DQ40" s="27"/>
      <c r="DR40" s="27"/>
      <c r="DS40" s="27"/>
      <c r="DT40" s="27"/>
    </row>
    <row r="41" ht="15.75" customHeight="1" outlineLevel="1">
      <c r="B41" s="48" t="s">
        <v>56</v>
      </c>
      <c r="C41" s="48"/>
      <c r="D41" s="49" t="s">
        <v>200</v>
      </c>
      <c r="F41" s="26"/>
      <c r="G41" s="49" t="s">
        <v>203</v>
      </c>
      <c r="H41" s="30">
        <v>0.2</v>
      </c>
      <c r="J41" s="26">
        <f t="shared" si="31"/>
        <v>0</v>
      </c>
      <c r="K41" s="29">
        <f t="shared" ref="K41:L41" si="34">+MAXIFS($O41:$ABT41,$O$3:$ABT$3,K$3)</f>
        <v>0</v>
      </c>
      <c r="L41" s="29">
        <f t="shared" si="34"/>
        <v>0</v>
      </c>
      <c r="M41" s="26"/>
      <c r="O41" s="48"/>
      <c r="P41" s="27"/>
      <c r="Q41" s="27"/>
      <c r="R41" s="27"/>
      <c r="S41" s="27"/>
      <c r="W41" s="27"/>
      <c r="X41" s="27"/>
      <c r="Y41" s="27"/>
      <c r="Z41" s="27"/>
      <c r="AD41" s="27"/>
      <c r="AE41" s="27"/>
      <c r="AF41" s="27"/>
      <c r="AG41" s="27"/>
      <c r="AK41" s="27"/>
      <c r="AL41" s="27"/>
      <c r="AM41" s="27"/>
      <c r="AN41" s="27"/>
      <c r="AQ41" s="48"/>
      <c r="AR41" s="27"/>
      <c r="AS41" s="27"/>
      <c r="AT41" s="27"/>
      <c r="AU41" s="27"/>
      <c r="AY41" s="27"/>
      <c r="AZ41" s="27"/>
      <c r="BA41" s="27"/>
      <c r="BB41" s="27"/>
      <c r="BF41" s="27"/>
      <c r="BG41" s="27"/>
      <c r="BH41" s="27"/>
      <c r="BI41" s="27"/>
      <c r="BM41" s="27"/>
      <c r="BN41" s="27"/>
      <c r="BO41" s="27"/>
      <c r="BP41" s="27"/>
      <c r="BT41" s="27"/>
      <c r="BU41" s="27"/>
      <c r="BV41" s="27"/>
      <c r="BW41" s="27"/>
      <c r="CA41" s="27"/>
      <c r="CB41" s="30"/>
      <c r="CC41" s="27"/>
      <c r="CD41" s="30"/>
      <c r="CH41" s="27"/>
      <c r="CI41" s="30">
        <v>0.8</v>
      </c>
      <c r="CJ41" s="27"/>
      <c r="CK41" s="30">
        <v>0.8</v>
      </c>
      <c r="CO41" s="27"/>
      <c r="CP41" s="30">
        <v>1.0</v>
      </c>
      <c r="CQ41" s="27"/>
      <c r="CR41" s="30">
        <v>1.0</v>
      </c>
      <c r="CT41" s="11"/>
      <c r="CU41" s="11"/>
      <c r="CV41" s="27"/>
      <c r="CW41" s="30">
        <v>1.0</v>
      </c>
      <c r="CX41" s="27"/>
      <c r="CY41" s="30">
        <v>1.0</v>
      </c>
      <c r="CZ41" s="11"/>
      <c r="DA41" s="11"/>
      <c r="DB41" s="11"/>
      <c r="DC41" s="55"/>
      <c r="DD41" s="51">
        <v>1.0</v>
      </c>
      <c r="DE41" s="27"/>
      <c r="DF41" s="30">
        <v>1.0</v>
      </c>
      <c r="DG41" s="11"/>
      <c r="DJ41" s="27"/>
      <c r="DK41" s="30">
        <v>1.0</v>
      </c>
      <c r="DL41" s="27"/>
      <c r="DM41" s="30">
        <v>1.0</v>
      </c>
      <c r="DQ41" s="27"/>
      <c r="DR41" s="27"/>
      <c r="DS41" s="27"/>
      <c r="DT41" s="27"/>
    </row>
    <row r="42" ht="15.75" customHeight="1" outlineLevel="1">
      <c r="B42" s="48" t="s">
        <v>56</v>
      </c>
      <c r="C42" s="48"/>
      <c r="D42" s="49" t="s">
        <v>200</v>
      </c>
      <c r="F42" s="26"/>
      <c r="G42" s="49" t="s">
        <v>204</v>
      </c>
      <c r="H42" s="30">
        <v>0.2</v>
      </c>
      <c r="J42" s="26">
        <f t="shared" si="31"/>
        <v>0</v>
      </c>
      <c r="K42" s="29">
        <f t="shared" ref="K42:L42" si="35">+MAXIFS($O42:$ABT42,$O$3:$ABT$3,K$3)</f>
        <v>0</v>
      </c>
      <c r="L42" s="29">
        <f t="shared" si="35"/>
        <v>0</v>
      </c>
      <c r="M42" s="26"/>
      <c r="O42" s="48"/>
      <c r="P42" s="27"/>
      <c r="Q42" s="27"/>
      <c r="R42" s="27"/>
      <c r="S42" s="27"/>
      <c r="W42" s="27"/>
      <c r="X42" s="27"/>
      <c r="Y42" s="27"/>
      <c r="Z42" s="27"/>
      <c r="AD42" s="27"/>
      <c r="AE42" s="27"/>
      <c r="AF42" s="27"/>
      <c r="AG42" s="27"/>
      <c r="AK42" s="27"/>
      <c r="AL42" s="27"/>
      <c r="AM42" s="27"/>
      <c r="AN42" s="27"/>
      <c r="AQ42" s="48"/>
      <c r="AR42" s="27"/>
      <c r="AS42" s="27"/>
      <c r="AT42" s="27"/>
      <c r="AU42" s="27"/>
      <c r="AY42" s="27"/>
      <c r="AZ42" s="27"/>
      <c r="BA42" s="27"/>
      <c r="BB42" s="27"/>
      <c r="BF42" s="27"/>
      <c r="BG42" s="27"/>
      <c r="BH42" s="27"/>
      <c r="BI42" s="27"/>
      <c r="BM42" s="27"/>
      <c r="BN42" s="27"/>
      <c r="BO42" s="27"/>
      <c r="BP42" s="27"/>
      <c r="BT42" s="27"/>
      <c r="BU42" s="27"/>
      <c r="BV42" s="27"/>
      <c r="BW42" s="27"/>
      <c r="CA42" s="27"/>
      <c r="CB42" s="30"/>
      <c r="CC42" s="27"/>
      <c r="CD42" s="30"/>
      <c r="CH42" s="27"/>
      <c r="CI42" s="30">
        <v>0.5</v>
      </c>
      <c r="CJ42" s="27"/>
      <c r="CK42" s="30">
        <v>0.5</v>
      </c>
      <c r="CO42" s="27"/>
      <c r="CP42" s="30">
        <v>0.8</v>
      </c>
      <c r="CQ42" s="27"/>
      <c r="CR42" s="30">
        <v>0.8</v>
      </c>
      <c r="CT42" s="11"/>
      <c r="CU42" s="11"/>
      <c r="CV42" s="27"/>
      <c r="CW42" s="30">
        <v>1.0</v>
      </c>
      <c r="CX42" s="27"/>
      <c r="CY42" s="30">
        <v>1.0</v>
      </c>
      <c r="CZ42" s="11"/>
      <c r="DA42" s="11"/>
      <c r="DB42" s="11"/>
      <c r="DC42" s="55"/>
      <c r="DD42" s="51">
        <v>1.0</v>
      </c>
      <c r="DE42" s="27"/>
      <c r="DF42" s="30">
        <v>1.0</v>
      </c>
      <c r="DG42" s="11"/>
      <c r="DJ42" s="27"/>
      <c r="DK42" s="30">
        <v>1.0</v>
      </c>
      <c r="DL42" s="27"/>
      <c r="DM42" s="30">
        <v>1.0</v>
      </c>
      <c r="DQ42" s="27"/>
      <c r="DR42" s="27"/>
      <c r="DS42" s="27"/>
      <c r="DT42" s="27"/>
    </row>
    <row r="43" ht="15.75" customHeight="1" outlineLevel="1">
      <c r="B43" s="48" t="s">
        <v>56</v>
      </c>
      <c r="C43" s="48"/>
      <c r="D43" s="49" t="s">
        <v>200</v>
      </c>
      <c r="F43" s="26"/>
      <c r="G43" s="49" t="s">
        <v>205</v>
      </c>
      <c r="H43" s="30">
        <v>0.15</v>
      </c>
      <c r="J43" s="26">
        <f t="shared" si="31"/>
        <v>0</v>
      </c>
      <c r="K43" s="29">
        <f t="shared" ref="K43:L43" si="36">+MAXIFS($O43:$ABT43,$O$3:$ABT$3,K$3)</f>
        <v>0</v>
      </c>
      <c r="L43" s="29">
        <f t="shared" si="36"/>
        <v>0</v>
      </c>
      <c r="M43" s="26"/>
      <c r="P43" s="27"/>
      <c r="Q43" s="27"/>
      <c r="R43" s="27"/>
      <c r="S43" s="27"/>
      <c r="W43" s="27"/>
      <c r="X43" s="27"/>
      <c r="Y43" s="27"/>
      <c r="Z43" s="27"/>
      <c r="AD43" s="27"/>
      <c r="AE43" s="27"/>
      <c r="AF43" s="27"/>
      <c r="AG43" s="27"/>
      <c r="AK43" s="27"/>
      <c r="AL43" s="27"/>
      <c r="AM43" s="27"/>
      <c r="AN43" s="27"/>
      <c r="AQ43" s="48"/>
      <c r="AR43" s="27"/>
      <c r="AS43" s="27"/>
      <c r="AT43" s="27"/>
      <c r="AU43" s="27"/>
      <c r="AY43" s="27"/>
      <c r="AZ43" s="27"/>
      <c r="BA43" s="27"/>
      <c r="BB43" s="27"/>
      <c r="BF43" s="27"/>
      <c r="BG43" s="27"/>
      <c r="BH43" s="27"/>
      <c r="BI43" s="27"/>
      <c r="BM43" s="27"/>
      <c r="BN43" s="27"/>
      <c r="BO43" s="27"/>
      <c r="BP43" s="27"/>
      <c r="BT43" s="27"/>
      <c r="BU43" s="27"/>
      <c r="BV43" s="27"/>
      <c r="BW43" s="27"/>
      <c r="CA43" s="27"/>
      <c r="CB43" s="30"/>
      <c r="CC43" s="27"/>
      <c r="CD43" s="30"/>
      <c r="CH43" s="27"/>
      <c r="CI43" s="30"/>
      <c r="CJ43" s="27"/>
      <c r="CK43" s="30"/>
      <c r="CO43" s="27"/>
      <c r="CP43" s="30">
        <v>0.5</v>
      </c>
      <c r="CQ43" s="27"/>
      <c r="CR43" s="30">
        <v>0.5</v>
      </c>
      <c r="CT43" s="11"/>
      <c r="CU43" s="11"/>
      <c r="CV43" s="27"/>
      <c r="CW43" s="30">
        <v>1.0</v>
      </c>
      <c r="CX43" s="27"/>
      <c r="CY43" s="30">
        <v>1.0</v>
      </c>
      <c r="CZ43" s="11"/>
      <c r="DA43" s="11"/>
      <c r="DB43" s="11"/>
      <c r="DC43" s="55"/>
      <c r="DD43" s="51">
        <v>1.0</v>
      </c>
      <c r="DE43" s="27"/>
      <c r="DF43" s="30">
        <v>1.0</v>
      </c>
      <c r="DG43" s="11"/>
      <c r="DJ43" s="27"/>
      <c r="DK43" s="30">
        <v>1.0</v>
      </c>
      <c r="DL43" s="27"/>
      <c r="DM43" s="30">
        <v>1.0</v>
      </c>
      <c r="DQ43" s="27"/>
      <c r="DR43" s="27"/>
      <c r="DS43" s="27"/>
      <c r="DT43" s="27"/>
    </row>
    <row r="44" ht="15.75" customHeight="1">
      <c r="CT44" s="11"/>
      <c r="CU44" s="11"/>
      <c r="CV44" s="11"/>
      <c r="CW44" s="11"/>
      <c r="CX44" s="11"/>
      <c r="CY44" s="11"/>
      <c r="CZ44" s="11"/>
      <c r="DA44" s="11"/>
      <c r="DB44" s="11"/>
      <c r="DC44" s="53"/>
      <c r="DD44" s="51"/>
      <c r="DE44" s="27"/>
      <c r="DF44" s="30"/>
      <c r="DG44" s="11"/>
    </row>
    <row r="45" ht="15.75" customHeight="1">
      <c r="B45" s="48" t="s">
        <v>26</v>
      </c>
      <c r="C45" s="48"/>
      <c r="D45" s="49" t="s">
        <v>95</v>
      </c>
      <c r="E45" s="49" t="s">
        <v>166</v>
      </c>
      <c r="F45" s="32">
        <v>3.0</v>
      </c>
      <c r="H45" s="27">
        <f>+SUM(H46:H51)</f>
        <v>1</v>
      </c>
      <c r="J45" s="28">
        <f>+SUM(J46:J51)</f>
        <v>22</v>
      </c>
      <c r="K45" s="29">
        <f>+SUMPRODUCT(H46:H51,K46:K51)</f>
        <v>1</v>
      </c>
      <c r="L45" s="29">
        <f>+SUMPRODUCT(H46:H51,L46:L51)</f>
        <v>1</v>
      </c>
      <c r="M45" s="26"/>
      <c r="O45" s="28">
        <f>+SUM(O46:O51)</f>
        <v>0</v>
      </c>
      <c r="V45" s="28">
        <f>+SUM(V46:V51)</f>
        <v>2.5</v>
      </c>
      <c r="AC45" s="28">
        <f>+SUM(AC46:AC51)</f>
        <v>6.25</v>
      </c>
      <c r="AJ45" s="28">
        <f>+SUM(AJ46:AJ51)</f>
        <v>5.25</v>
      </c>
      <c r="AQ45" s="28">
        <f>+SUM(AQ46:AQ51)</f>
        <v>0</v>
      </c>
      <c r="CT45" s="11"/>
      <c r="CU45" s="11"/>
      <c r="CV45" s="11"/>
      <c r="CW45" s="11"/>
      <c r="CX45" s="11"/>
      <c r="CY45" s="11"/>
      <c r="CZ45" s="11"/>
      <c r="DA45" s="11"/>
      <c r="DB45" s="11"/>
      <c r="DC45" s="11"/>
      <c r="DD45" s="11"/>
      <c r="DE45" s="11"/>
      <c r="DF45" s="11"/>
      <c r="DG45" s="11"/>
    </row>
    <row r="46" ht="15.75" hidden="1" customHeight="1" outlineLevel="1">
      <c r="B46" s="48" t="s">
        <v>56</v>
      </c>
      <c r="C46" s="48"/>
      <c r="D46" s="49" t="s">
        <v>206</v>
      </c>
      <c r="F46" s="26"/>
      <c r="G46" s="49" t="s">
        <v>207</v>
      </c>
      <c r="H46" s="30">
        <v>0.15</v>
      </c>
      <c r="J46" s="26">
        <f t="shared" ref="J46:J51" si="38">+SUMIF($O$3:$ACN$3,J$3,$O46:$ACN46)</f>
        <v>4</v>
      </c>
      <c r="K46" s="29">
        <f t="shared" ref="K46:L46" si="37">+MAXIFS($O46:$ABT46,$O$3:$ABT$3,K$3)</f>
        <v>1</v>
      </c>
      <c r="L46" s="29">
        <f t="shared" si="37"/>
        <v>1</v>
      </c>
      <c r="M46" s="26"/>
      <c r="O46" s="48"/>
      <c r="P46" s="27"/>
      <c r="Q46" s="27"/>
      <c r="R46" s="27"/>
      <c r="S46" s="27"/>
      <c r="V46" s="49">
        <v>1.0</v>
      </c>
      <c r="W46" s="27"/>
      <c r="X46" s="30">
        <v>0.8</v>
      </c>
      <c r="Y46" s="27"/>
      <c r="Z46" s="30">
        <v>0.8</v>
      </c>
      <c r="AC46" s="49">
        <v>3.0</v>
      </c>
      <c r="AD46" s="30">
        <v>0.5</v>
      </c>
      <c r="AE46" s="30">
        <v>1.0</v>
      </c>
      <c r="AF46" s="30">
        <v>0.5</v>
      </c>
      <c r="AG46" s="30">
        <v>1.0</v>
      </c>
      <c r="AK46" s="30">
        <v>1.0</v>
      </c>
      <c r="AL46" s="30">
        <v>1.0</v>
      </c>
      <c r="AM46" s="30">
        <v>1.0</v>
      </c>
      <c r="AN46" s="30">
        <v>1.0</v>
      </c>
      <c r="AQ46" s="48"/>
      <c r="AR46" s="30">
        <v>1.0</v>
      </c>
      <c r="AS46" s="30">
        <v>1.0</v>
      </c>
      <c r="AT46" s="30">
        <v>1.0</v>
      </c>
      <c r="AU46" s="30">
        <v>1.0</v>
      </c>
      <c r="AY46" s="30">
        <v>1.0</v>
      </c>
      <c r="AZ46" s="30">
        <v>1.0</v>
      </c>
      <c r="BA46" s="30">
        <v>1.0</v>
      </c>
      <c r="BB46" s="30">
        <v>1.0</v>
      </c>
      <c r="BF46" s="30">
        <v>1.0</v>
      </c>
      <c r="BG46" s="30">
        <v>1.0</v>
      </c>
      <c r="BH46" s="30">
        <v>1.0</v>
      </c>
      <c r="BI46" s="30">
        <v>1.0</v>
      </c>
      <c r="BM46" s="30">
        <v>1.0</v>
      </c>
      <c r="BN46" s="30">
        <v>1.0</v>
      </c>
      <c r="BO46" s="30">
        <v>1.0</v>
      </c>
      <c r="BP46" s="30">
        <v>1.0</v>
      </c>
      <c r="BT46" s="27"/>
      <c r="BU46" s="27"/>
      <c r="BV46" s="27"/>
      <c r="BW46" s="27"/>
      <c r="CA46" s="27"/>
      <c r="CB46" s="27"/>
      <c r="CC46" s="27"/>
      <c r="CD46" s="27"/>
      <c r="CH46" s="27"/>
      <c r="CI46" s="27"/>
      <c r="CJ46" s="27"/>
      <c r="CK46" s="27"/>
      <c r="CO46" s="27"/>
      <c r="CP46" s="27"/>
      <c r="CQ46" s="27"/>
      <c r="CR46" s="27"/>
      <c r="CT46" s="11"/>
      <c r="CU46" s="11"/>
      <c r="CV46" s="53"/>
      <c r="CW46" s="53"/>
      <c r="CX46" s="53"/>
      <c r="CY46" s="53"/>
      <c r="CZ46" s="11"/>
      <c r="DA46" s="11"/>
      <c r="DB46" s="11"/>
      <c r="DC46" s="53"/>
      <c r="DD46" s="53"/>
      <c r="DE46" s="53"/>
      <c r="DF46" s="53"/>
      <c r="DG46" s="11"/>
      <c r="DJ46" s="27"/>
      <c r="DK46" s="27"/>
      <c r="DL46" s="27"/>
      <c r="DM46" s="27"/>
      <c r="DQ46" s="27"/>
      <c r="DR46" s="27"/>
      <c r="DS46" s="27"/>
      <c r="DT46" s="27"/>
    </row>
    <row r="47" ht="15.75" hidden="1" customHeight="1" outlineLevel="1">
      <c r="B47" s="48" t="s">
        <v>56</v>
      </c>
      <c r="C47" s="48"/>
      <c r="D47" s="49" t="s">
        <v>206</v>
      </c>
      <c r="F47" s="26"/>
      <c r="G47" s="49" t="s">
        <v>208</v>
      </c>
      <c r="H47" s="30">
        <v>0.2</v>
      </c>
      <c r="J47" s="26">
        <f t="shared" si="38"/>
        <v>2</v>
      </c>
      <c r="K47" s="29">
        <f t="shared" ref="K47:L47" si="39">+MAXIFS($O47:$ABT47,$O$3:$ABT$3,K$3)</f>
        <v>1</v>
      </c>
      <c r="L47" s="29">
        <f t="shared" si="39"/>
        <v>1</v>
      </c>
      <c r="M47" s="26"/>
      <c r="O47" s="48"/>
      <c r="P47" s="27"/>
      <c r="Q47" s="27"/>
      <c r="R47" s="27"/>
      <c r="S47" s="27"/>
      <c r="W47" s="27"/>
      <c r="X47" s="30">
        <v>0.5</v>
      </c>
      <c r="Y47" s="27"/>
      <c r="Z47" s="30">
        <v>0.5</v>
      </c>
      <c r="AD47" s="27"/>
      <c r="AE47" s="30">
        <v>0.8</v>
      </c>
      <c r="AF47" s="27"/>
      <c r="AG47" s="30">
        <v>0.8</v>
      </c>
      <c r="AJ47" s="5">
        <v>2.0</v>
      </c>
      <c r="AK47" s="30">
        <v>0.5</v>
      </c>
      <c r="AL47" s="30">
        <v>1.0</v>
      </c>
      <c r="AM47" s="30">
        <v>0.5</v>
      </c>
      <c r="AN47" s="30">
        <v>1.0</v>
      </c>
      <c r="AQ47" s="49"/>
      <c r="AR47" s="30">
        <v>0.5</v>
      </c>
      <c r="AS47" s="30">
        <v>1.0</v>
      </c>
      <c r="AT47" s="30">
        <v>0.5</v>
      </c>
      <c r="AU47" s="30">
        <v>1.0</v>
      </c>
      <c r="AY47" s="30">
        <v>1.0</v>
      </c>
      <c r="AZ47" s="30">
        <v>1.0</v>
      </c>
      <c r="BA47" s="30">
        <v>1.0</v>
      </c>
      <c r="BB47" s="30">
        <v>1.0</v>
      </c>
      <c r="BF47" s="30">
        <v>1.0</v>
      </c>
      <c r="BG47" s="30">
        <v>1.0</v>
      </c>
      <c r="BH47" s="30">
        <v>1.0</v>
      </c>
      <c r="BI47" s="30">
        <v>1.0</v>
      </c>
      <c r="BM47" s="30">
        <v>1.0</v>
      </c>
      <c r="BN47" s="30">
        <v>1.0</v>
      </c>
      <c r="BO47" s="30">
        <v>1.0</v>
      </c>
      <c r="BP47" s="30">
        <v>1.0</v>
      </c>
      <c r="BT47" s="27"/>
      <c r="BU47" s="27"/>
      <c r="BV47" s="27"/>
      <c r="BW47" s="27"/>
      <c r="CA47" s="27"/>
      <c r="CB47" s="27"/>
      <c r="CC47" s="27"/>
      <c r="CD47" s="27"/>
      <c r="CH47" s="27"/>
      <c r="CI47" s="27"/>
      <c r="CJ47" s="27"/>
      <c r="CK47" s="27"/>
      <c r="CO47" s="27"/>
      <c r="CP47" s="27"/>
      <c r="CQ47" s="27"/>
      <c r="CR47" s="27"/>
      <c r="CT47" s="11"/>
      <c r="CU47" s="11"/>
      <c r="CV47" s="53"/>
      <c r="CW47" s="53"/>
      <c r="CX47" s="53"/>
      <c r="CY47" s="53"/>
      <c r="CZ47" s="11"/>
      <c r="DA47" s="11"/>
      <c r="DB47" s="11"/>
      <c r="DC47" s="53"/>
      <c r="DD47" s="53"/>
      <c r="DE47" s="53"/>
      <c r="DF47" s="53"/>
      <c r="DG47" s="11"/>
      <c r="DJ47" s="27"/>
      <c r="DK47" s="27"/>
      <c r="DL47" s="27"/>
      <c r="DM47" s="27"/>
      <c r="DQ47" s="27"/>
      <c r="DR47" s="27"/>
      <c r="DS47" s="27"/>
      <c r="DT47" s="27"/>
    </row>
    <row r="48" ht="15.75" hidden="1" customHeight="1" outlineLevel="1">
      <c r="B48" s="48" t="s">
        <v>56</v>
      </c>
      <c r="C48" s="48"/>
      <c r="D48" s="49" t="s">
        <v>206</v>
      </c>
      <c r="F48" s="26"/>
      <c r="G48" s="49" t="s">
        <v>209</v>
      </c>
      <c r="H48" s="30">
        <v>0.2</v>
      </c>
      <c r="J48" s="26">
        <f t="shared" si="38"/>
        <v>4</v>
      </c>
      <c r="K48" s="29">
        <f t="shared" ref="K48:L48" si="40">+MAXIFS($O48:$ABT48,$O$3:$ABT$3,K$3)</f>
        <v>1</v>
      </c>
      <c r="L48" s="29">
        <f t="shared" si="40"/>
        <v>1</v>
      </c>
      <c r="M48" s="26"/>
      <c r="O48" s="48"/>
      <c r="P48" s="27"/>
      <c r="Q48" s="27"/>
      <c r="R48" s="27"/>
      <c r="S48" s="27"/>
      <c r="W48" s="27"/>
      <c r="X48" s="30"/>
      <c r="Y48" s="27"/>
      <c r="Z48" s="30"/>
      <c r="AD48" s="27"/>
      <c r="AE48" s="30">
        <v>0.5</v>
      </c>
      <c r="AF48" s="27"/>
      <c r="AG48" s="30">
        <v>0.5</v>
      </c>
      <c r="AK48" s="27"/>
      <c r="AL48" s="30">
        <v>0.8</v>
      </c>
      <c r="AM48" s="27"/>
      <c r="AN48" s="30">
        <v>0.8</v>
      </c>
      <c r="AQ48" s="48"/>
      <c r="AR48" s="27"/>
      <c r="AS48" s="30">
        <v>0.8</v>
      </c>
      <c r="AT48" s="27"/>
      <c r="AU48" s="30">
        <v>0.8</v>
      </c>
      <c r="AX48" s="5">
        <v>4.0</v>
      </c>
      <c r="AY48" s="30">
        <v>1.0</v>
      </c>
      <c r="AZ48" s="30">
        <v>1.0</v>
      </c>
      <c r="BA48" s="30">
        <v>1.0</v>
      </c>
      <c r="BB48" s="30">
        <v>1.0</v>
      </c>
      <c r="BF48" s="30">
        <v>1.0</v>
      </c>
      <c r="BG48" s="30">
        <v>1.0</v>
      </c>
      <c r="BH48" s="30">
        <v>1.0</v>
      </c>
      <c r="BI48" s="30">
        <v>1.0</v>
      </c>
      <c r="BM48" s="30">
        <v>1.0</v>
      </c>
      <c r="BN48" s="30">
        <v>1.0</v>
      </c>
      <c r="BO48" s="30">
        <v>1.0</v>
      </c>
      <c r="BP48" s="30">
        <v>1.0</v>
      </c>
      <c r="BT48" s="27"/>
      <c r="BU48" s="27"/>
      <c r="BV48" s="27"/>
      <c r="BW48" s="27"/>
      <c r="CA48" s="27"/>
      <c r="CB48" s="27"/>
      <c r="CC48" s="27"/>
      <c r="CD48" s="27"/>
      <c r="CH48" s="27"/>
      <c r="CI48" s="27"/>
      <c r="CJ48" s="27"/>
      <c r="CK48" s="27"/>
      <c r="CO48" s="27"/>
      <c r="CP48" s="27"/>
      <c r="CQ48" s="27"/>
      <c r="CR48" s="27"/>
      <c r="CT48" s="11"/>
      <c r="CU48" s="11"/>
      <c r="CV48" s="53"/>
      <c r="CW48" s="53"/>
      <c r="CX48" s="53"/>
      <c r="CY48" s="53"/>
      <c r="CZ48" s="11"/>
      <c r="DA48" s="11"/>
      <c r="DB48" s="11"/>
      <c r="DC48" s="53"/>
      <c r="DD48" s="53"/>
      <c r="DE48" s="53"/>
      <c r="DF48" s="53"/>
      <c r="DG48" s="11"/>
      <c r="DJ48" s="27"/>
      <c r="DK48" s="27"/>
      <c r="DL48" s="27"/>
      <c r="DM48" s="27"/>
      <c r="DQ48" s="27"/>
      <c r="DR48" s="27"/>
      <c r="DS48" s="27"/>
      <c r="DT48" s="27"/>
    </row>
    <row r="49" ht="15.75" hidden="1" customHeight="1" outlineLevel="1">
      <c r="B49" s="48" t="s">
        <v>56</v>
      </c>
      <c r="C49" s="48"/>
      <c r="D49" s="49" t="s">
        <v>206</v>
      </c>
      <c r="F49" s="26"/>
      <c r="G49" s="49" t="s">
        <v>210</v>
      </c>
      <c r="H49" s="30">
        <v>0.15</v>
      </c>
      <c r="J49" s="26">
        <f t="shared" si="38"/>
        <v>9</v>
      </c>
      <c r="K49" s="29">
        <f t="shared" ref="K49:L49" si="41">+MAXIFS($O49:$ABT49,$O$3:$ABT$3,K$3)</f>
        <v>1</v>
      </c>
      <c r="L49" s="29">
        <f t="shared" si="41"/>
        <v>1</v>
      </c>
      <c r="M49" s="26"/>
      <c r="O49" s="48"/>
      <c r="P49" s="27"/>
      <c r="Q49" s="27"/>
      <c r="R49" s="27"/>
      <c r="S49" s="27"/>
      <c r="V49" s="5">
        <v>1.5</v>
      </c>
      <c r="W49" s="27"/>
      <c r="X49" s="30"/>
      <c r="Y49" s="27"/>
      <c r="Z49" s="30"/>
      <c r="AC49" s="5">
        <v>3.25</v>
      </c>
      <c r="AD49" s="30">
        <v>0.2</v>
      </c>
      <c r="AE49" s="30">
        <v>0.1</v>
      </c>
      <c r="AF49" s="30">
        <v>0.2</v>
      </c>
      <c r="AG49" s="30">
        <v>0.1</v>
      </c>
      <c r="AJ49" s="5">
        <v>3.25</v>
      </c>
      <c r="AK49" s="30">
        <v>0.5</v>
      </c>
      <c r="AL49" s="30">
        <v>0.5</v>
      </c>
      <c r="AM49" s="30">
        <v>0.5</v>
      </c>
      <c r="AN49" s="30">
        <v>0.5</v>
      </c>
      <c r="AQ49" s="48"/>
      <c r="AR49" s="30">
        <v>0.8</v>
      </c>
      <c r="AS49" s="30">
        <v>0.8</v>
      </c>
      <c r="AT49" s="30">
        <v>0.8</v>
      </c>
      <c r="AU49" s="30">
        <v>0.8</v>
      </c>
      <c r="AY49" s="27"/>
      <c r="AZ49" s="30"/>
      <c r="BA49" s="27"/>
      <c r="BB49" s="30"/>
      <c r="BF49" s="27"/>
      <c r="BG49" s="30"/>
      <c r="BH49" s="27"/>
      <c r="BI49" s="30"/>
      <c r="BL49" s="5">
        <v>1.0</v>
      </c>
      <c r="BM49" s="30">
        <v>1.0</v>
      </c>
      <c r="BN49" s="30">
        <v>1.0</v>
      </c>
      <c r="BO49" s="30">
        <v>1.0</v>
      </c>
      <c r="BP49" s="30">
        <v>1.0</v>
      </c>
      <c r="BT49" s="27"/>
      <c r="BU49" s="27"/>
      <c r="BV49" s="27"/>
      <c r="BW49" s="27"/>
      <c r="CA49" s="27"/>
      <c r="CB49" s="27"/>
      <c r="CC49" s="27"/>
      <c r="CD49" s="27"/>
      <c r="CH49" s="27"/>
      <c r="CI49" s="27"/>
      <c r="CJ49" s="27"/>
      <c r="CK49" s="27"/>
      <c r="CO49" s="27"/>
      <c r="CP49" s="27"/>
      <c r="CQ49" s="27"/>
      <c r="CR49" s="27"/>
      <c r="CT49" s="11"/>
      <c r="CU49" s="11"/>
      <c r="CV49" s="53"/>
      <c r="CW49" s="53"/>
      <c r="CX49" s="53"/>
      <c r="CY49" s="53"/>
      <c r="CZ49" s="11"/>
      <c r="DA49" s="11"/>
      <c r="DB49" s="11"/>
      <c r="DC49" s="53"/>
      <c r="DD49" s="53"/>
      <c r="DE49" s="53"/>
      <c r="DF49" s="53"/>
      <c r="DG49" s="11"/>
      <c r="DJ49" s="27"/>
      <c r="DK49" s="27"/>
      <c r="DL49" s="27"/>
      <c r="DM49" s="27"/>
      <c r="DQ49" s="27"/>
      <c r="DR49" s="27"/>
      <c r="DS49" s="27"/>
      <c r="DT49" s="27"/>
    </row>
    <row r="50" ht="15.75" hidden="1" customHeight="1" outlineLevel="1">
      <c r="B50" s="48" t="s">
        <v>56</v>
      </c>
      <c r="C50" s="48"/>
      <c r="D50" s="49" t="s">
        <v>206</v>
      </c>
      <c r="F50" s="26"/>
      <c r="G50" s="49" t="s">
        <v>211</v>
      </c>
      <c r="H50" s="30">
        <v>0.15</v>
      </c>
      <c r="J50" s="26">
        <f t="shared" si="38"/>
        <v>1</v>
      </c>
      <c r="K50" s="29">
        <f t="shared" ref="K50:L50" si="42">+MAXIFS($O50:$ABT50,$O$3:$ABT$3,K$3)</f>
        <v>1</v>
      </c>
      <c r="L50" s="29">
        <f t="shared" si="42"/>
        <v>1</v>
      </c>
      <c r="M50" s="26"/>
      <c r="O50" s="48"/>
      <c r="P50" s="27"/>
      <c r="Q50" s="27"/>
      <c r="R50" s="27"/>
      <c r="S50" s="27"/>
      <c r="W50" s="27"/>
      <c r="X50" s="30"/>
      <c r="Y50" s="27"/>
      <c r="Z50" s="30"/>
      <c r="AD50" s="27"/>
      <c r="AE50" s="30"/>
      <c r="AF50" s="27"/>
      <c r="AG50" s="30"/>
      <c r="AK50" s="27"/>
      <c r="AL50" s="30"/>
      <c r="AM50" s="27"/>
      <c r="AN50" s="30"/>
      <c r="AQ50" s="48"/>
      <c r="AR50" s="30">
        <v>0.8</v>
      </c>
      <c r="AS50" s="30">
        <v>0.5</v>
      </c>
      <c r="AT50" s="30">
        <v>0.8</v>
      </c>
      <c r="AU50" s="30">
        <v>0.5</v>
      </c>
      <c r="AY50" s="27"/>
      <c r="AZ50" s="30"/>
      <c r="BA50" s="27"/>
      <c r="BB50" s="30"/>
      <c r="BF50" s="27"/>
      <c r="BG50" s="30"/>
      <c r="BH50" s="27"/>
      <c r="BI50" s="30"/>
      <c r="BL50" s="5">
        <v>1.0</v>
      </c>
      <c r="BM50" s="30">
        <v>1.0</v>
      </c>
      <c r="BN50" s="30">
        <v>1.0</v>
      </c>
      <c r="BO50" s="30">
        <v>1.0</v>
      </c>
      <c r="BP50" s="30">
        <v>1.0</v>
      </c>
      <c r="BT50" s="27"/>
      <c r="BU50" s="27"/>
      <c r="BV50" s="27"/>
      <c r="BW50" s="27"/>
      <c r="CA50" s="27"/>
      <c r="CB50" s="27"/>
      <c r="CC50" s="27"/>
      <c r="CD50" s="27"/>
      <c r="CH50" s="27"/>
      <c r="CI50" s="27"/>
      <c r="CJ50" s="27"/>
      <c r="CK50" s="27"/>
      <c r="CO50" s="27"/>
      <c r="CP50" s="27"/>
      <c r="CQ50" s="27"/>
      <c r="CR50" s="27"/>
      <c r="CT50" s="11"/>
      <c r="CU50" s="11"/>
      <c r="CV50" s="53"/>
      <c r="CW50" s="53"/>
      <c r="CX50" s="53"/>
      <c r="CY50" s="53"/>
      <c r="CZ50" s="11"/>
      <c r="DA50" s="11"/>
      <c r="DB50" s="11"/>
      <c r="DC50" s="53"/>
      <c r="DD50" s="53"/>
      <c r="DE50" s="53"/>
      <c r="DF50" s="53"/>
      <c r="DG50" s="11"/>
      <c r="DJ50" s="27"/>
      <c r="DK50" s="27"/>
      <c r="DL50" s="27"/>
      <c r="DM50" s="27"/>
      <c r="DQ50" s="27"/>
      <c r="DR50" s="27"/>
      <c r="DS50" s="27"/>
      <c r="DT50" s="27"/>
    </row>
    <row r="51" ht="15.75" hidden="1" customHeight="1" outlineLevel="1">
      <c r="B51" s="48" t="s">
        <v>56</v>
      </c>
      <c r="C51" s="48"/>
      <c r="D51" s="49" t="s">
        <v>206</v>
      </c>
      <c r="F51" s="26"/>
      <c r="G51" s="49" t="s">
        <v>212</v>
      </c>
      <c r="H51" s="30">
        <v>0.15</v>
      </c>
      <c r="J51" s="26">
        <f t="shared" si="38"/>
        <v>2</v>
      </c>
      <c r="K51" s="29">
        <f t="shared" ref="K51:L51" si="43">+MAXIFS($O51:$ABT51,$O$3:$ABT$3,K$3)</f>
        <v>1</v>
      </c>
      <c r="L51" s="29">
        <f t="shared" si="43"/>
        <v>1</v>
      </c>
      <c r="M51" s="26"/>
      <c r="P51" s="27"/>
      <c r="Q51" s="27"/>
      <c r="R51" s="27"/>
      <c r="S51" s="27"/>
      <c r="W51" s="27"/>
      <c r="X51" s="30"/>
      <c r="Y51" s="27"/>
      <c r="Z51" s="30"/>
      <c r="AD51" s="27"/>
      <c r="AE51" s="30"/>
      <c r="AF51" s="27"/>
      <c r="AG51" s="30"/>
      <c r="AK51" s="27"/>
      <c r="AL51" s="30"/>
      <c r="AM51" s="27"/>
      <c r="AN51" s="30"/>
      <c r="AQ51" s="48"/>
      <c r="AR51" s="27"/>
      <c r="AS51" s="30">
        <v>0.5</v>
      </c>
      <c r="AT51" s="27"/>
      <c r="AU51" s="30">
        <v>0.5</v>
      </c>
      <c r="AY51" s="27"/>
      <c r="AZ51" s="30"/>
      <c r="BA51" s="27"/>
      <c r="BB51" s="30"/>
      <c r="BF51" s="27"/>
      <c r="BG51" s="30"/>
      <c r="BH51" s="27"/>
      <c r="BI51" s="30"/>
      <c r="BL51" s="5">
        <v>2.0</v>
      </c>
      <c r="BM51" s="30">
        <v>1.0</v>
      </c>
      <c r="BN51" s="30">
        <v>1.0</v>
      </c>
      <c r="BO51" s="30">
        <v>1.0</v>
      </c>
      <c r="BP51" s="30">
        <v>1.0</v>
      </c>
      <c r="BT51" s="27"/>
      <c r="BU51" s="27"/>
      <c r="BV51" s="27"/>
      <c r="BW51" s="27"/>
      <c r="CA51" s="27"/>
      <c r="CB51" s="27"/>
      <c r="CC51" s="27"/>
      <c r="CD51" s="27"/>
      <c r="CH51" s="27"/>
      <c r="CI51" s="27"/>
      <c r="CJ51" s="27"/>
      <c r="CK51" s="27"/>
      <c r="CO51" s="27"/>
      <c r="CP51" s="27"/>
      <c r="CQ51" s="27"/>
      <c r="CR51" s="27"/>
      <c r="CT51" s="11"/>
      <c r="CU51" s="11"/>
      <c r="CV51" s="53"/>
      <c r="CW51" s="53"/>
      <c r="CX51" s="53"/>
      <c r="CY51" s="53"/>
      <c r="CZ51" s="11"/>
      <c r="DA51" s="11"/>
      <c r="DB51" s="11"/>
      <c r="DC51" s="53"/>
      <c r="DD51" s="53"/>
      <c r="DE51" s="53"/>
      <c r="DF51" s="53"/>
      <c r="DG51" s="11"/>
      <c r="DJ51" s="27"/>
      <c r="DK51" s="27"/>
      <c r="DL51" s="27"/>
      <c r="DM51" s="27"/>
      <c r="DQ51" s="27"/>
      <c r="DR51" s="27"/>
      <c r="DS51" s="27"/>
      <c r="DT51" s="27"/>
    </row>
    <row r="52" ht="15.75" customHeight="1" collapsed="1">
      <c r="CT52" s="11"/>
      <c r="CU52" s="11"/>
      <c r="CV52" s="11"/>
      <c r="CW52" s="11"/>
      <c r="CX52" s="11"/>
      <c r="CY52" s="11"/>
      <c r="CZ52" s="11"/>
      <c r="DA52" s="11"/>
      <c r="DB52" s="11"/>
      <c r="DC52" s="11"/>
      <c r="DD52" s="11"/>
      <c r="DE52" s="11"/>
      <c r="DF52" s="11"/>
      <c r="DG52" s="11"/>
    </row>
    <row r="53" ht="15.75" customHeight="1">
      <c r="B53" s="48" t="s">
        <v>26</v>
      </c>
      <c r="C53" s="48"/>
      <c r="D53" s="49" t="s">
        <v>213</v>
      </c>
      <c r="E53" s="49" t="s">
        <v>214</v>
      </c>
      <c r="F53" s="32">
        <v>6.0</v>
      </c>
      <c r="H53" s="27">
        <f>+SUM(H54:H63)</f>
        <v>1</v>
      </c>
      <c r="J53" s="28">
        <f>+SUM(J54:J61)</f>
        <v>8.5</v>
      </c>
      <c r="K53" s="29">
        <f>+SUMPRODUCT(H54:H63,K54:K63)</f>
        <v>0.25</v>
      </c>
      <c r="L53" s="29">
        <f>+SUMPRODUCT(H54:H63,L54:L63)</f>
        <v>0.25</v>
      </c>
      <c r="M53" s="26"/>
      <c r="O53" s="28">
        <f>+SUM(O54:O61)</f>
        <v>0</v>
      </c>
      <c r="V53" s="28"/>
      <c r="AC53" s="28"/>
      <c r="AJ53" s="28">
        <f>+SUM(AJ54:AJ63)</f>
        <v>3.5</v>
      </c>
      <c r="AQ53" s="28">
        <f>+SUM(AQ54:AQ63)</f>
        <v>0</v>
      </c>
      <c r="AX53" s="28">
        <f>+SUM(AX54:AX63)</f>
        <v>0</v>
      </c>
      <c r="BE53" s="28">
        <f>+SUM(BE54:BE63)</f>
        <v>5</v>
      </c>
      <c r="BL53" s="28">
        <f>+SUM(BL54:BL63)</f>
        <v>0</v>
      </c>
      <c r="BS53" s="28">
        <f>+SUM(BS54:BS63)</f>
        <v>0</v>
      </c>
      <c r="BZ53" s="28">
        <f>+SUM(BZ54:BZ63)</f>
        <v>0</v>
      </c>
      <c r="CG53" s="28">
        <f>+SUM(CG54:CG63)</f>
        <v>0</v>
      </c>
      <c r="CN53" s="28">
        <f>+SUM(CN54:CN63)</f>
        <v>0</v>
      </c>
      <c r="CT53" s="11"/>
      <c r="CU53" s="28">
        <f>+SUM(CU54:CU63)</f>
        <v>0</v>
      </c>
      <c r="DA53" s="11"/>
      <c r="DB53" s="28">
        <f>+SUM(DB54:DB63)</f>
        <v>0</v>
      </c>
      <c r="DI53" s="28">
        <f>+SUM(DI54:DI63)</f>
        <v>0</v>
      </c>
      <c r="DP53" s="28"/>
    </row>
    <row r="54" ht="15.75" customHeight="1" outlineLevel="1">
      <c r="B54" s="48" t="s">
        <v>56</v>
      </c>
      <c r="C54" s="48"/>
      <c r="D54" s="49" t="s">
        <v>213</v>
      </c>
      <c r="F54" s="26"/>
      <c r="G54" s="49" t="s">
        <v>215</v>
      </c>
      <c r="H54" s="30">
        <v>0.05</v>
      </c>
      <c r="J54" s="26">
        <f t="shared" ref="J54:J63" si="45">+SUMIF($O$3:$ACN$3,J$3,$O54:$ACN54)</f>
        <v>3.5</v>
      </c>
      <c r="K54" s="29">
        <f t="shared" ref="K54:L54" si="44">+MAXIFS($O54:$ABT54,$O$3:$ABT$3,K$3)</f>
        <v>1</v>
      </c>
      <c r="L54" s="29">
        <f t="shared" si="44"/>
        <v>1</v>
      </c>
      <c r="M54" s="26"/>
      <c r="P54" s="27"/>
      <c r="Q54" s="27"/>
      <c r="R54" s="27"/>
      <c r="S54" s="30">
        <v>0.5</v>
      </c>
      <c r="W54" s="27"/>
      <c r="X54" s="27"/>
      <c r="Y54" s="27"/>
      <c r="Z54" s="30"/>
      <c r="AD54" s="27"/>
      <c r="AE54" s="27"/>
      <c r="AF54" s="27"/>
      <c r="AG54" s="30"/>
      <c r="AJ54" s="5">
        <v>3.5</v>
      </c>
      <c r="AK54" s="27"/>
      <c r="AL54" s="30"/>
      <c r="AM54" s="27"/>
      <c r="AN54" s="30"/>
      <c r="AR54" s="30"/>
      <c r="AS54" s="30"/>
      <c r="AT54" s="30"/>
      <c r="AU54" s="30"/>
      <c r="AY54" s="27"/>
      <c r="AZ54" s="30"/>
      <c r="BA54" s="27"/>
      <c r="BB54" s="30"/>
      <c r="BF54" s="27"/>
      <c r="BG54" s="30"/>
      <c r="BH54" s="27"/>
      <c r="BI54" s="30"/>
      <c r="BM54" s="30"/>
      <c r="BN54" s="27"/>
      <c r="BO54" s="27"/>
      <c r="BP54" s="30"/>
      <c r="BT54" s="27"/>
      <c r="BU54" s="30">
        <v>1.0</v>
      </c>
      <c r="BV54" s="27"/>
      <c r="BW54" s="30">
        <v>1.0</v>
      </c>
      <c r="CA54" s="30">
        <v>1.0</v>
      </c>
      <c r="CB54" s="30">
        <v>1.0</v>
      </c>
      <c r="CC54" s="30">
        <v>1.0</v>
      </c>
      <c r="CD54" s="30">
        <v>1.0</v>
      </c>
      <c r="CH54" s="30">
        <v>1.0</v>
      </c>
      <c r="CI54" s="30">
        <v>1.0</v>
      </c>
      <c r="CJ54" s="30">
        <v>1.0</v>
      </c>
      <c r="CK54" s="30">
        <v>1.0</v>
      </c>
      <c r="CO54" s="30">
        <v>1.0</v>
      </c>
      <c r="CP54" s="30">
        <v>1.0</v>
      </c>
      <c r="CQ54" s="30">
        <v>1.0</v>
      </c>
      <c r="CR54" s="30">
        <v>1.0</v>
      </c>
      <c r="CT54" s="11"/>
      <c r="CV54" s="30">
        <v>1.0</v>
      </c>
      <c r="CW54" s="30">
        <v>1.0</v>
      </c>
      <c r="CX54" s="30">
        <v>1.0</v>
      </c>
      <c r="CY54" s="30">
        <v>1.0</v>
      </c>
      <c r="DA54" s="11"/>
      <c r="DC54" s="27"/>
      <c r="DD54" s="30">
        <v>1.0</v>
      </c>
      <c r="DE54" s="27"/>
      <c r="DF54" s="30">
        <v>1.0</v>
      </c>
      <c r="DJ54" s="27"/>
      <c r="DK54" s="30">
        <v>1.0</v>
      </c>
      <c r="DL54" s="27"/>
      <c r="DM54" s="30">
        <v>1.0</v>
      </c>
      <c r="DQ54" s="27"/>
      <c r="DR54" s="27"/>
      <c r="DS54" s="27"/>
      <c r="DT54" s="27"/>
    </row>
    <row r="55" ht="15.75" customHeight="1" outlineLevel="1">
      <c r="B55" s="48" t="s">
        <v>56</v>
      </c>
      <c r="C55" s="48"/>
      <c r="D55" s="49" t="s">
        <v>213</v>
      </c>
      <c r="F55" s="26"/>
      <c r="G55" s="49" t="s">
        <v>216</v>
      </c>
      <c r="H55" s="27">
        <v>0.1</v>
      </c>
      <c r="J55" s="26">
        <f t="shared" si="45"/>
        <v>5</v>
      </c>
      <c r="K55" s="29">
        <f t="shared" ref="K55:L55" si="46">+MAXIFS($O55:$ABT55,$O$3:$ABT$3,K$3)</f>
        <v>1</v>
      </c>
      <c r="L55" s="29">
        <f t="shared" si="46"/>
        <v>1</v>
      </c>
      <c r="M55" s="26"/>
      <c r="P55" s="27"/>
      <c r="Q55" s="27"/>
      <c r="R55" s="27"/>
      <c r="S55" s="30"/>
      <c r="W55" s="27"/>
      <c r="X55" s="27"/>
      <c r="Y55" s="27"/>
      <c r="Z55" s="30"/>
      <c r="AD55" s="27"/>
      <c r="AE55" s="27"/>
      <c r="AF55" s="27"/>
      <c r="AG55" s="30"/>
      <c r="AK55" s="27"/>
      <c r="AL55" s="30"/>
      <c r="AM55" s="27"/>
      <c r="AN55" s="30"/>
      <c r="AR55" s="30"/>
      <c r="AS55" s="30"/>
      <c r="AT55" s="30"/>
      <c r="AU55" s="30"/>
      <c r="AY55" s="27"/>
      <c r="AZ55" s="30"/>
      <c r="BA55" s="27"/>
      <c r="BB55" s="30"/>
      <c r="BE55" s="5">
        <v>5.0</v>
      </c>
      <c r="BF55" s="27"/>
      <c r="BG55" s="30"/>
      <c r="BH55" s="27"/>
      <c r="BI55" s="30"/>
      <c r="BM55" s="30"/>
      <c r="BN55" s="27"/>
      <c r="BO55" s="27"/>
      <c r="BP55" s="30"/>
      <c r="BT55" s="27"/>
      <c r="BU55" s="30">
        <v>1.0</v>
      </c>
      <c r="BV55" s="27"/>
      <c r="BW55" s="30">
        <v>1.0</v>
      </c>
      <c r="CA55" s="30">
        <v>1.0</v>
      </c>
      <c r="CB55" s="30">
        <v>1.0</v>
      </c>
      <c r="CC55" s="30">
        <v>1.0</v>
      </c>
      <c r="CD55" s="30">
        <v>1.0</v>
      </c>
      <c r="CH55" s="30">
        <v>1.0</v>
      </c>
      <c r="CI55" s="30">
        <v>1.0</v>
      </c>
      <c r="CJ55" s="30">
        <v>1.0</v>
      </c>
      <c r="CK55" s="30">
        <v>1.0</v>
      </c>
      <c r="CO55" s="30">
        <v>1.0</v>
      </c>
      <c r="CP55" s="30">
        <v>1.0</v>
      </c>
      <c r="CQ55" s="30">
        <v>1.0</v>
      </c>
      <c r="CR55" s="30">
        <v>1.0</v>
      </c>
      <c r="CT55" s="11"/>
      <c r="CV55" s="30">
        <v>1.0</v>
      </c>
      <c r="CW55" s="30">
        <v>1.0</v>
      </c>
      <c r="CX55" s="30">
        <v>1.0</v>
      </c>
      <c r="CY55" s="30">
        <v>1.0</v>
      </c>
      <c r="DA55" s="11"/>
      <c r="DC55" s="27"/>
      <c r="DD55" s="30">
        <v>1.0</v>
      </c>
      <c r="DE55" s="27"/>
      <c r="DF55" s="30">
        <v>1.0</v>
      </c>
      <c r="DJ55" s="27"/>
      <c r="DK55" s="30">
        <v>1.0</v>
      </c>
      <c r="DL55" s="27"/>
      <c r="DM55" s="30">
        <v>1.0</v>
      </c>
      <c r="DQ55" s="27"/>
      <c r="DR55" s="27"/>
      <c r="DS55" s="27"/>
      <c r="DT55" s="27"/>
    </row>
    <row r="56" ht="15.75" customHeight="1" outlineLevel="1">
      <c r="B56" s="48" t="s">
        <v>56</v>
      </c>
      <c r="C56" s="48"/>
      <c r="D56" s="49" t="s">
        <v>213</v>
      </c>
      <c r="F56" s="26"/>
      <c r="G56" s="49" t="s">
        <v>217</v>
      </c>
      <c r="H56" s="27">
        <v>0.1</v>
      </c>
      <c r="J56" s="26">
        <f t="shared" si="45"/>
        <v>0</v>
      </c>
      <c r="K56" s="29">
        <f t="shared" ref="K56:L56" si="47">+MAXIFS($O56:$ABT56,$O$3:$ABT$3,K$3)</f>
        <v>1</v>
      </c>
      <c r="L56" s="29">
        <f t="shared" si="47"/>
        <v>1</v>
      </c>
      <c r="M56" s="26"/>
      <c r="P56" s="27"/>
      <c r="Q56" s="27"/>
      <c r="R56" s="27"/>
      <c r="S56" s="30"/>
      <c r="W56" s="27"/>
      <c r="X56" s="27"/>
      <c r="Y56" s="27"/>
      <c r="Z56" s="30"/>
      <c r="AD56" s="27"/>
      <c r="AE56" s="27"/>
      <c r="AF56" s="27"/>
      <c r="AG56" s="30"/>
      <c r="AK56" s="27"/>
      <c r="AL56" s="27"/>
      <c r="AM56" s="27"/>
      <c r="AN56" s="30"/>
      <c r="AR56" s="30"/>
      <c r="AS56" s="30"/>
      <c r="AT56" s="30"/>
      <c r="AU56" s="30"/>
      <c r="AY56" s="27"/>
      <c r="AZ56" s="30"/>
      <c r="BA56" s="27"/>
      <c r="BB56" s="30"/>
      <c r="BF56" s="27"/>
      <c r="BG56" s="30"/>
      <c r="BH56" s="27"/>
      <c r="BI56" s="30"/>
      <c r="BM56" s="30"/>
      <c r="BN56" s="27"/>
      <c r="BO56" s="27"/>
      <c r="BP56" s="30"/>
      <c r="BT56" s="27"/>
      <c r="BU56" s="30">
        <v>1.0</v>
      </c>
      <c r="BV56" s="27"/>
      <c r="BW56" s="30">
        <v>1.0</v>
      </c>
      <c r="CA56" s="30">
        <v>1.0</v>
      </c>
      <c r="CB56" s="30">
        <v>1.0</v>
      </c>
      <c r="CC56" s="30">
        <v>1.0</v>
      </c>
      <c r="CD56" s="30">
        <v>1.0</v>
      </c>
      <c r="CH56" s="30">
        <v>1.0</v>
      </c>
      <c r="CI56" s="30">
        <v>1.0</v>
      </c>
      <c r="CJ56" s="30">
        <v>1.0</v>
      </c>
      <c r="CK56" s="30">
        <v>1.0</v>
      </c>
      <c r="CO56" s="30">
        <v>1.0</v>
      </c>
      <c r="CP56" s="30">
        <v>1.0</v>
      </c>
      <c r="CQ56" s="30">
        <v>1.0</v>
      </c>
      <c r="CR56" s="30">
        <v>1.0</v>
      </c>
      <c r="CT56" s="11"/>
      <c r="CV56" s="30">
        <v>1.0</v>
      </c>
      <c r="CW56" s="30">
        <v>1.0</v>
      </c>
      <c r="CX56" s="30">
        <v>1.0</v>
      </c>
      <c r="CY56" s="30">
        <v>1.0</v>
      </c>
      <c r="DA56" s="11"/>
      <c r="DC56" s="27"/>
      <c r="DD56" s="30">
        <v>1.0</v>
      </c>
      <c r="DE56" s="27"/>
      <c r="DF56" s="30">
        <v>1.0</v>
      </c>
      <c r="DJ56" s="27"/>
      <c r="DK56" s="30">
        <v>1.0</v>
      </c>
      <c r="DL56" s="27"/>
      <c r="DM56" s="30">
        <v>1.0</v>
      </c>
      <c r="DQ56" s="27"/>
      <c r="DR56" s="27"/>
      <c r="DS56" s="27"/>
      <c r="DT56" s="27"/>
    </row>
    <row r="57" ht="15.75" customHeight="1" outlineLevel="1">
      <c r="B57" s="48" t="s">
        <v>56</v>
      </c>
      <c r="C57" s="48"/>
      <c r="D57" s="49" t="s">
        <v>213</v>
      </c>
      <c r="F57" s="26"/>
      <c r="G57" s="49" t="s">
        <v>218</v>
      </c>
      <c r="H57" s="30">
        <v>0.1</v>
      </c>
      <c r="J57" s="26">
        <f t="shared" si="45"/>
        <v>0</v>
      </c>
      <c r="K57" s="29">
        <f t="shared" ref="K57:L57" si="48">+MAXIFS($O57:$ABT57,$O$3:$ABT$3,K$3)</f>
        <v>0</v>
      </c>
      <c r="L57" s="29">
        <f t="shared" si="48"/>
        <v>0</v>
      </c>
      <c r="M57" s="26"/>
      <c r="P57" s="27"/>
      <c r="Q57" s="27"/>
      <c r="R57" s="27"/>
      <c r="S57" s="30"/>
      <c r="W57" s="27"/>
      <c r="X57" s="27"/>
      <c r="Y57" s="27"/>
      <c r="Z57" s="30"/>
      <c r="AD57" s="27"/>
      <c r="AE57" s="27"/>
      <c r="AF57" s="27"/>
      <c r="AG57" s="30"/>
      <c r="AK57" s="27"/>
      <c r="AL57" s="27"/>
      <c r="AM57" s="27"/>
      <c r="AN57" s="30"/>
      <c r="AR57" s="27"/>
      <c r="AS57" s="27"/>
      <c r="AT57" s="27"/>
      <c r="AU57" s="30"/>
      <c r="AY57" s="27"/>
      <c r="AZ57" s="30"/>
      <c r="BA57" s="27"/>
      <c r="BB57" s="30"/>
      <c r="BF57" s="27"/>
      <c r="BG57" s="30"/>
      <c r="BH57" s="27"/>
      <c r="BI57" s="30"/>
      <c r="BM57" s="30"/>
      <c r="BN57" s="27"/>
      <c r="BO57" s="27"/>
      <c r="BP57" s="30"/>
      <c r="BT57" s="27"/>
      <c r="BU57" s="30">
        <v>0.8</v>
      </c>
      <c r="BV57" s="27"/>
      <c r="BW57" s="30">
        <v>0.8</v>
      </c>
      <c r="CA57" s="27"/>
      <c r="CB57" s="30">
        <v>1.0</v>
      </c>
      <c r="CC57" s="27"/>
      <c r="CD57" s="30">
        <v>1.0</v>
      </c>
      <c r="CH57" s="27"/>
      <c r="CI57" s="30">
        <v>1.0</v>
      </c>
      <c r="CJ57" s="27"/>
      <c r="CK57" s="30">
        <v>1.0</v>
      </c>
      <c r="CO57" s="27"/>
      <c r="CP57" s="30">
        <v>1.0</v>
      </c>
      <c r="CQ57" s="27"/>
      <c r="CR57" s="30">
        <v>1.0</v>
      </c>
      <c r="CT57" s="11"/>
      <c r="CV57" s="27"/>
      <c r="CW57" s="30">
        <v>1.0</v>
      </c>
      <c r="CX57" s="27"/>
      <c r="CY57" s="30">
        <v>1.0</v>
      </c>
      <c r="DA57" s="11"/>
      <c r="DC57" s="27"/>
      <c r="DD57" s="30">
        <v>1.0</v>
      </c>
      <c r="DE57" s="27"/>
      <c r="DF57" s="30">
        <v>1.0</v>
      </c>
      <c r="DJ57" s="27"/>
      <c r="DK57" s="30">
        <v>1.0</v>
      </c>
      <c r="DL57" s="27"/>
      <c r="DM57" s="30">
        <v>1.0</v>
      </c>
      <c r="DQ57" s="27"/>
      <c r="DR57" s="27"/>
      <c r="DS57" s="27"/>
      <c r="DT57" s="27"/>
    </row>
    <row r="58" ht="15.75" customHeight="1" outlineLevel="1">
      <c r="B58" s="48" t="s">
        <v>56</v>
      </c>
      <c r="C58" s="48"/>
      <c r="D58" s="49" t="s">
        <v>213</v>
      </c>
      <c r="F58" s="26"/>
      <c r="G58" s="49" t="s">
        <v>219</v>
      </c>
      <c r="H58" s="30">
        <v>0.1</v>
      </c>
      <c r="J58" s="26">
        <f t="shared" si="45"/>
        <v>0</v>
      </c>
      <c r="K58" s="29">
        <f t="shared" ref="K58:L58" si="49">+MAXIFS($O58:$ABT58,$O$3:$ABT$3,K$3)</f>
        <v>0</v>
      </c>
      <c r="L58" s="29">
        <f t="shared" si="49"/>
        <v>0</v>
      </c>
      <c r="M58" s="26"/>
      <c r="P58" s="27"/>
      <c r="Q58" s="27"/>
      <c r="R58" s="27"/>
      <c r="S58" s="30"/>
      <c r="W58" s="27"/>
      <c r="X58" s="27"/>
      <c r="Y58" s="27"/>
      <c r="Z58" s="30"/>
      <c r="AD58" s="27"/>
      <c r="AE58" s="27"/>
      <c r="AF58" s="27"/>
      <c r="AG58" s="30"/>
      <c r="AK58" s="27"/>
      <c r="AL58" s="27"/>
      <c r="AM58" s="27"/>
      <c r="AN58" s="30"/>
      <c r="AR58" s="27"/>
      <c r="AS58" s="27"/>
      <c r="AT58" s="27"/>
      <c r="AU58" s="30"/>
      <c r="AY58" s="27"/>
      <c r="AZ58" s="30"/>
      <c r="BA58" s="27"/>
      <c r="BB58" s="30"/>
      <c r="BF58" s="27"/>
      <c r="BG58" s="30"/>
      <c r="BH58" s="27"/>
      <c r="BI58" s="30"/>
      <c r="BM58" s="30"/>
      <c r="BN58" s="27"/>
      <c r="BO58" s="27"/>
      <c r="BP58" s="30"/>
      <c r="BT58" s="27"/>
      <c r="BU58" s="30">
        <v>0.8</v>
      </c>
      <c r="BV58" s="27"/>
      <c r="BW58" s="30">
        <v>0.8</v>
      </c>
      <c r="CA58" s="27"/>
      <c r="CB58" s="30">
        <v>0.5</v>
      </c>
      <c r="CC58" s="27"/>
      <c r="CD58" s="30">
        <v>0.5</v>
      </c>
      <c r="CH58" s="27"/>
      <c r="CI58" s="30">
        <v>0.8</v>
      </c>
      <c r="CJ58" s="27"/>
      <c r="CK58" s="30">
        <v>0.8</v>
      </c>
      <c r="CO58" s="27"/>
      <c r="CP58" s="30">
        <v>1.0</v>
      </c>
      <c r="CQ58" s="27"/>
      <c r="CR58" s="30">
        <v>1.0</v>
      </c>
      <c r="CT58" s="11"/>
      <c r="CV58" s="27"/>
      <c r="CW58" s="30">
        <v>1.0</v>
      </c>
      <c r="CX58" s="27"/>
      <c r="CY58" s="30">
        <v>1.0</v>
      </c>
      <c r="DA58" s="11"/>
      <c r="DC58" s="27"/>
      <c r="DD58" s="30">
        <v>1.0</v>
      </c>
      <c r="DE58" s="27"/>
      <c r="DF58" s="30">
        <v>1.0</v>
      </c>
      <c r="DJ58" s="27"/>
      <c r="DK58" s="30">
        <v>1.0</v>
      </c>
      <c r="DL58" s="27"/>
      <c r="DM58" s="30">
        <v>1.0</v>
      </c>
      <c r="DQ58" s="27"/>
      <c r="DR58" s="27"/>
      <c r="DS58" s="27"/>
      <c r="DT58" s="27"/>
    </row>
    <row r="59" ht="15.75" customHeight="1" outlineLevel="1">
      <c r="B59" s="48" t="s">
        <v>56</v>
      </c>
      <c r="C59" s="48"/>
      <c r="D59" s="49" t="s">
        <v>213</v>
      </c>
      <c r="F59" s="26"/>
      <c r="G59" s="49" t="s">
        <v>220</v>
      </c>
      <c r="H59" s="30">
        <v>0.1</v>
      </c>
      <c r="J59" s="26">
        <f t="shared" si="45"/>
        <v>0</v>
      </c>
      <c r="K59" s="29">
        <f t="shared" ref="K59:L59" si="50">+MAXIFS($O59:$ABT59,$O$3:$ABT$3,K$3)</f>
        <v>0</v>
      </c>
      <c r="L59" s="29">
        <f t="shared" si="50"/>
        <v>0</v>
      </c>
      <c r="M59" s="26"/>
      <c r="P59" s="27"/>
      <c r="Q59" s="27"/>
      <c r="R59" s="27"/>
      <c r="S59" s="30"/>
      <c r="W59" s="27"/>
      <c r="X59" s="27"/>
      <c r="Y59" s="27"/>
      <c r="Z59" s="30"/>
      <c r="AD59" s="27"/>
      <c r="AE59" s="27"/>
      <c r="AF59" s="27"/>
      <c r="AG59" s="30"/>
      <c r="AK59" s="27"/>
      <c r="AL59" s="27"/>
      <c r="AM59" s="27"/>
      <c r="AN59" s="30"/>
      <c r="AR59" s="27"/>
      <c r="AS59" s="27"/>
      <c r="AT59" s="27"/>
      <c r="AU59" s="30"/>
      <c r="AY59" s="27"/>
      <c r="AZ59" s="30"/>
      <c r="BA59" s="27"/>
      <c r="BB59" s="30"/>
      <c r="BF59" s="27"/>
      <c r="BG59" s="30"/>
      <c r="BH59" s="27"/>
      <c r="BI59" s="30"/>
      <c r="BM59" s="30"/>
      <c r="BN59" s="27"/>
      <c r="BO59" s="27"/>
      <c r="BP59" s="30"/>
      <c r="BT59" s="27"/>
      <c r="BU59" s="30">
        <v>0.8</v>
      </c>
      <c r="BV59" s="27"/>
      <c r="BW59" s="30">
        <v>0.8</v>
      </c>
      <c r="CA59" s="27"/>
      <c r="CB59" s="30"/>
      <c r="CC59" s="27"/>
      <c r="CD59" s="30"/>
      <c r="CH59" s="27"/>
      <c r="CI59" s="30">
        <v>0.5</v>
      </c>
      <c r="CJ59" s="27"/>
      <c r="CK59" s="30">
        <v>0.5</v>
      </c>
      <c r="CO59" s="27"/>
      <c r="CP59" s="30">
        <v>0.8</v>
      </c>
      <c r="CQ59" s="27"/>
      <c r="CR59" s="30">
        <v>0.8</v>
      </c>
      <c r="CT59" s="11"/>
      <c r="CV59" s="27"/>
      <c r="CW59" s="30">
        <v>1.0</v>
      </c>
      <c r="CX59" s="27"/>
      <c r="CY59" s="30">
        <v>1.0</v>
      </c>
      <c r="DA59" s="11"/>
      <c r="DC59" s="27"/>
      <c r="DD59" s="30">
        <v>1.0</v>
      </c>
      <c r="DE59" s="27"/>
      <c r="DF59" s="30">
        <v>1.0</v>
      </c>
      <c r="DJ59" s="27"/>
      <c r="DK59" s="30">
        <v>1.0</v>
      </c>
      <c r="DL59" s="27"/>
      <c r="DM59" s="30">
        <v>1.0</v>
      </c>
      <c r="DQ59" s="27"/>
      <c r="DR59" s="27"/>
      <c r="DS59" s="27"/>
      <c r="DT59" s="27"/>
    </row>
    <row r="60" ht="15.75" customHeight="1" outlineLevel="1">
      <c r="B60" s="48" t="s">
        <v>56</v>
      </c>
      <c r="C60" s="48"/>
      <c r="D60" s="49" t="s">
        <v>213</v>
      </c>
      <c r="F60" s="26"/>
      <c r="G60" s="49" t="s">
        <v>221</v>
      </c>
      <c r="H60" s="30">
        <v>0.1</v>
      </c>
      <c r="J60" s="26">
        <f t="shared" si="45"/>
        <v>0</v>
      </c>
      <c r="K60" s="29">
        <f t="shared" ref="K60:L60" si="51">+MAXIFS($O60:$ABT60,$O$3:$ABT$3,K$3)</f>
        <v>0</v>
      </c>
      <c r="L60" s="29">
        <f t="shared" si="51"/>
        <v>0</v>
      </c>
      <c r="M60" s="26"/>
      <c r="P60" s="27"/>
      <c r="Q60" s="27"/>
      <c r="R60" s="27"/>
      <c r="S60" s="30"/>
      <c r="W60" s="27"/>
      <c r="X60" s="27"/>
      <c r="Y60" s="27"/>
      <c r="Z60" s="30"/>
      <c r="AD60" s="27"/>
      <c r="AE60" s="27"/>
      <c r="AF60" s="27"/>
      <c r="AG60" s="30"/>
      <c r="AK60" s="27"/>
      <c r="AL60" s="27"/>
      <c r="AM60" s="27"/>
      <c r="AN60" s="30"/>
      <c r="AR60" s="27"/>
      <c r="AS60" s="27"/>
      <c r="AT60" s="27"/>
      <c r="AU60" s="30"/>
      <c r="AY60" s="27"/>
      <c r="AZ60" s="30"/>
      <c r="BA60" s="27"/>
      <c r="BB60" s="30"/>
      <c r="BF60" s="27"/>
      <c r="BG60" s="30"/>
      <c r="BH60" s="27"/>
      <c r="BI60" s="30"/>
      <c r="BM60" s="27"/>
      <c r="BN60" s="27"/>
      <c r="BO60" s="27"/>
      <c r="BP60" s="27"/>
      <c r="BT60" s="27"/>
      <c r="BU60" s="30">
        <v>0.5</v>
      </c>
      <c r="BV60" s="27"/>
      <c r="BW60" s="30">
        <v>0.5</v>
      </c>
      <c r="CA60" s="27"/>
      <c r="CB60" s="30"/>
      <c r="CC60" s="27"/>
      <c r="CD60" s="30"/>
      <c r="CH60" s="27"/>
      <c r="CI60" s="30"/>
      <c r="CJ60" s="27"/>
      <c r="CK60" s="30"/>
      <c r="CO60" s="27"/>
      <c r="CP60" s="30">
        <v>0.8</v>
      </c>
      <c r="CQ60" s="27"/>
      <c r="CR60" s="30">
        <v>0.8</v>
      </c>
      <c r="CT60" s="11"/>
      <c r="CV60" s="27"/>
      <c r="CW60" s="30">
        <v>1.0</v>
      </c>
      <c r="CX60" s="27"/>
      <c r="CY60" s="30">
        <v>1.0</v>
      </c>
      <c r="DA60" s="11"/>
      <c r="DC60" s="27"/>
      <c r="DD60" s="30">
        <v>1.0</v>
      </c>
      <c r="DE60" s="27"/>
      <c r="DF60" s="30">
        <v>1.0</v>
      </c>
      <c r="DJ60" s="27"/>
      <c r="DK60" s="30">
        <v>1.0</v>
      </c>
      <c r="DL60" s="27"/>
      <c r="DM60" s="30">
        <v>1.0</v>
      </c>
      <c r="DQ60" s="27"/>
      <c r="DR60" s="27"/>
      <c r="DS60" s="27"/>
      <c r="DT60" s="27"/>
    </row>
    <row r="61" ht="15.75" customHeight="1" outlineLevel="1">
      <c r="B61" s="48" t="s">
        <v>56</v>
      </c>
      <c r="C61" s="48"/>
      <c r="D61" s="49" t="s">
        <v>213</v>
      </c>
      <c r="F61" s="26"/>
      <c r="G61" s="49" t="s">
        <v>222</v>
      </c>
      <c r="H61" s="30">
        <v>0.1</v>
      </c>
      <c r="J61" s="26">
        <f t="shared" si="45"/>
        <v>0</v>
      </c>
      <c r="K61" s="29">
        <f t="shared" ref="K61:L61" si="52">+MAXIFS($O61:$ABT61,$O$3:$ABT$3,K$3)</f>
        <v>0</v>
      </c>
      <c r="L61" s="29">
        <f t="shared" si="52"/>
        <v>0</v>
      </c>
      <c r="M61" s="26"/>
      <c r="P61" s="27"/>
      <c r="Q61" s="27"/>
      <c r="R61" s="27"/>
      <c r="S61" s="30"/>
      <c r="W61" s="27"/>
      <c r="X61" s="27"/>
      <c r="Y61" s="27"/>
      <c r="Z61" s="30"/>
      <c r="AD61" s="27"/>
      <c r="AE61" s="27"/>
      <c r="AF61" s="27"/>
      <c r="AG61" s="30"/>
      <c r="AK61" s="27"/>
      <c r="AL61" s="27"/>
      <c r="AM61" s="27"/>
      <c r="AN61" s="30"/>
      <c r="AR61" s="27"/>
      <c r="AS61" s="27"/>
      <c r="AT61" s="27"/>
      <c r="AU61" s="30"/>
      <c r="AY61" s="27"/>
      <c r="AZ61" s="30"/>
      <c r="BA61" s="27"/>
      <c r="BB61" s="30"/>
      <c r="BF61" s="27"/>
      <c r="BG61" s="30"/>
      <c r="BH61" s="27"/>
      <c r="BI61" s="30"/>
      <c r="BM61" s="27"/>
      <c r="BN61" s="27"/>
      <c r="BO61" s="27"/>
      <c r="BP61" s="27"/>
      <c r="BT61" s="27"/>
      <c r="BU61" s="30"/>
      <c r="BV61" s="27"/>
      <c r="BW61" s="30"/>
      <c r="CA61" s="27"/>
      <c r="CB61" s="30"/>
      <c r="CC61" s="27"/>
      <c r="CD61" s="30"/>
      <c r="CH61" s="27"/>
      <c r="CI61" s="30"/>
      <c r="CJ61" s="27"/>
      <c r="CK61" s="30"/>
      <c r="CO61" s="27"/>
      <c r="CP61" s="30">
        <v>0.5</v>
      </c>
      <c r="CQ61" s="27"/>
      <c r="CR61" s="30">
        <v>0.5</v>
      </c>
      <c r="CT61" s="11"/>
      <c r="CV61" s="27"/>
      <c r="CW61" s="30">
        <v>1.0</v>
      </c>
      <c r="CX61" s="27"/>
      <c r="CY61" s="30">
        <v>1.0</v>
      </c>
      <c r="DA61" s="11"/>
      <c r="DC61" s="27"/>
      <c r="DD61" s="30">
        <v>1.0</v>
      </c>
      <c r="DE61" s="27"/>
      <c r="DF61" s="30">
        <v>1.0</v>
      </c>
      <c r="DJ61" s="27"/>
      <c r="DK61" s="30">
        <v>1.0</v>
      </c>
      <c r="DL61" s="27"/>
      <c r="DM61" s="30">
        <v>1.0</v>
      </c>
      <c r="DQ61" s="27"/>
      <c r="DR61" s="27"/>
      <c r="DS61" s="27"/>
      <c r="DT61" s="27"/>
    </row>
    <row r="62" ht="15.75" customHeight="1" outlineLevel="1">
      <c r="B62" s="48" t="s">
        <v>56</v>
      </c>
      <c r="C62" s="48"/>
      <c r="D62" s="49" t="s">
        <v>213</v>
      </c>
      <c r="F62" s="26"/>
      <c r="G62" s="49" t="s">
        <v>223</v>
      </c>
      <c r="H62" s="30">
        <v>0.1</v>
      </c>
      <c r="J62" s="26">
        <f t="shared" si="45"/>
        <v>0</v>
      </c>
      <c r="K62" s="29">
        <f t="shared" ref="K62:L62" si="53">+MAXIFS($O62:$ABT62,$O$3:$ABT$3,K$3)</f>
        <v>0</v>
      </c>
      <c r="L62" s="29">
        <f t="shared" si="53"/>
        <v>0</v>
      </c>
      <c r="M62" s="26"/>
      <c r="P62" s="27"/>
      <c r="Q62" s="27"/>
      <c r="R62" s="27"/>
      <c r="S62" s="30"/>
      <c r="W62" s="27"/>
      <c r="X62" s="27"/>
      <c r="Y62" s="27"/>
      <c r="Z62" s="30"/>
      <c r="AD62" s="27"/>
      <c r="AE62" s="27"/>
      <c r="AF62" s="27"/>
      <c r="AG62" s="30"/>
      <c r="AK62" s="27"/>
      <c r="AL62" s="27"/>
      <c r="AM62" s="27"/>
      <c r="AN62" s="30"/>
      <c r="AR62" s="27"/>
      <c r="AS62" s="27"/>
      <c r="AT62" s="27"/>
      <c r="AU62" s="30"/>
      <c r="AY62" s="27"/>
      <c r="AZ62" s="30"/>
      <c r="BA62" s="27"/>
      <c r="BB62" s="30"/>
      <c r="BF62" s="27"/>
      <c r="BG62" s="30"/>
      <c r="BH62" s="27"/>
      <c r="BI62" s="30"/>
      <c r="BM62" s="27"/>
      <c r="BN62" s="27"/>
      <c r="BO62" s="27"/>
      <c r="BP62" s="27"/>
      <c r="BT62" s="27"/>
      <c r="BU62" s="30"/>
      <c r="BV62" s="27"/>
      <c r="BW62" s="30"/>
      <c r="CA62" s="27"/>
      <c r="CB62" s="30"/>
      <c r="CC62" s="27"/>
      <c r="CD62" s="30"/>
      <c r="CH62" s="27"/>
      <c r="CI62" s="30"/>
      <c r="CJ62" s="27"/>
      <c r="CK62" s="30"/>
      <c r="CO62" s="27"/>
      <c r="CP62" s="30"/>
      <c r="CQ62" s="27"/>
      <c r="CR62" s="30"/>
      <c r="CT62" s="11"/>
      <c r="CV62" s="27"/>
      <c r="CW62" s="30">
        <v>0.5</v>
      </c>
      <c r="CX62" s="27"/>
      <c r="CY62" s="30">
        <v>0.5</v>
      </c>
      <c r="DA62" s="11"/>
      <c r="DC62" s="27"/>
      <c r="DD62" s="30">
        <v>1.0</v>
      </c>
      <c r="DE62" s="27"/>
      <c r="DF62" s="30">
        <v>1.0</v>
      </c>
      <c r="DJ62" s="27"/>
      <c r="DK62" s="30">
        <v>1.0</v>
      </c>
      <c r="DL62" s="27"/>
      <c r="DM62" s="30">
        <v>1.0</v>
      </c>
      <c r="DQ62" s="27"/>
      <c r="DR62" s="27"/>
      <c r="DS62" s="27"/>
      <c r="DT62" s="27"/>
    </row>
    <row r="63" ht="15.75" customHeight="1" outlineLevel="1">
      <c r="B63" s="48" t="s">
        <v>56</v>
      </c>
      <c r="C63" s="48"/>
      <c r="D63" s="49" t="s">
        <v>213</v>
      </c>
      <c r="F63" s="26"/>
      <c r="G63" s="49" t="s">
        <v>224</v>
      </c>
      <c r="H63" s="30">
        <v>0.15</v>
      </c>
      <c r="J63" s="26">
        <f t="shared" si="45"/>
        <v>0</v>
      </c>
      <c r="K63" s="29">
        <f t="shared" ref="K63:L63" si="54">+MAXIFS($O63:$ABT63,$O$3:$ABT$3,K$3)</f>
        <v>0</v>
      </c>
      <c r="L63" s="29">
        <f t="shared" si="54"/>
        <v>0</v>
      </c>
      <c r="M63" s="26"/>
      <c r="P63" s="27"/>
      <c r="Q63" s="27"/>
      <c r="R63" s="27"/>
      <c r="S63" s="30"/>
      <c r="W63" s="27"/>
      <c r="X63" s="27"/>
      <c r="Y63" s="27"/>
      <c r="Z63" s="30"/>
      <c r="AD63" s="27"/>
      <c r="AE63" s="27"/>
      <c r="AF63" s="27"/>
      <c r="AG63" s="30"/>
      <c r="AK63" s="27"/>
      <c r="AL63" s="27"/>
      <c r="AM63" s="27"/>
      <c r="AN63" s="30"/>
      <c r="AR63" s="27"/>
      <c r="AS63" s="27"/>
      <c r="AT63" s="27"/>
      <c r="AU63" s="30"/>
      <c r="AY63" s="27"/>
      <c r="AZ63" s="30"/>
      <c r="BA63" s="27"/>
      <c r="BB63" s="30"/>
      <c r="BF63" s="27"/>
      <c r="BG63" s="30"/>
      <c r="BH63" s="27"/>
      <c r="BI63" s="30"/>
      <c r="BM63" s="27"/>
      <c r="BN63" s="27"/>
      <c r="BO63" s="27"/>
      <c r="BP63" s="27"/>
      <c r="BT63" s="27"/>
      <c r="BU63" s="30"/>
      <c r="BV63" s="27"/>
      <c r="BW63" s="30"/>
      <c r="CA63" s="27"/>
      <c r="CB63" s="30"/>
      <c r="CC63" s="27"/>
      <c r="CD63" s="30"/>
      <c r="CH63" s="27"/>
      <c r="CI63" s="30"/>
      <c r="CJ63" s="27"/>
      <c r="CK63" s="30"/>
      <c r="CO63" s="27"/>
      <c r="CP63" s="30"/>
      <c r="CQ63" s="27"/>
      <c r="CR63" s="30"/>
      <c r="CT63" s="11"/>
      <c r="CV63" s="27"/>
      <c r="CW63" s="30"/>
      <c r="CX63" s="27"/>
      <c r="CY63" s="30"/>
      <c r="DA63" s="11"/>
      <c r="DC63" s="27"/>
      <c r="DD63" s="30">
        <v>1.0</v>
      </c>
      <c r="DE63" s="27"/>
      <c r="DF63" s="30">
        <v>1.0</v>
      </c>
      <c r="DJ63" s="27"/>
      <c r="DK63" s="30">
        <v>1.0</v>
      </c>
      <c r="DL63" s="27"/>
      <c r="DM63" s="30">
        <v>1.0</v>
      </c>
      <c r="DQ63" s="27"/>
      <c r="DR63" s="27"/>
      <c r="DS63" s="27"/>
      <c r="DT63" s="27"/>
    </row>
    <row r="64" ht="15.75" customHeight="1">
      <c r="CT64" s="11"/>
      <c r="CU64" s="11"/>
      <c r="CV64" s="11"/>
      <c r="CW64" s="11"/>
      <c r="CX64" s="11"/>
      <c r="CY64" s="11"/>
      <c r="CZ64" s="11"/>
      <c r="DA64" s="11"/>
      <c r="DB64" s="11"/>
      <c r="DC64" s="11"/>
      <c r="DD64" s="11"/>
      <c r="DE64" s="11"/>
      <c r="DF64" s="11"/>
      <c r="DG64" s="11"/>
    </row>
    <row r="65" ht="15.75" customHeight="1">
      <c r="B65" s="48" t="s">
        <v>26</v>
      </c>
      <c r="C65" s="48"/>
      <c r="D65" s="49" t="s">
        <v>225</v>
      </c>
      <c r="E65" s="49" t="s">
        <v>226</v>
      </c>
      <c r="F65" s="32">
        <v>6.0</v>
      </c>
      <c r="H65" s="27">
        <f>+SUM(H66:H78)</f>
        <v>1</v>
      </c>
      <c r="J65" s="28">
        <f>+SUM(J66:J73)</f>
        <v>85</v>
      </c>
      <c r="K65" s="29">
        <f>+SUMPRODUCT(H66:H78,K66:K78)</f>
        <v>0.65</v>
      </c>
      <c r="L65" s="29">
        <f>+SUMPRODUCT(H66:H78,L66:L78)</f>
        <v>0.65</v>
      </c>
      <c r="M65" s="26"/>
      <c r="O65" s="28">
        <f>+SUM(O66:O73)</f>
        <v>0</v>
      </c>
      <c r="V65" s="28">
        <f>+SUM(V66:V78)</f>
        <v>7</v>
      </c>
      <c r="AC65" s="28">
        <f>+SUM(AC66:AC78)</f>
        <v>13</v>
      </c>
      <c r="AJ65" s="28">
        <f>+SUM(AJ66:AJ78)</f>
        <v>9</v>
      </c>
      <c r="AQ65" s="28">
        <f>+SUM(AQ66:AQ78)</f>
        <v>3.5</v>
      </c>
      <c r="AX65" s="28">
        <f>+SUM(AX66:AX78)</f>
        <v>30</v>
      </c>
      <c r="BE65" s="28">
        <f>+SUM(BE66:BE78)</f>
        <v>1</v>
      </c>
      <c r="BL65" s="28">
        <f>+SUM(BL66:BL78)</f>
        <v>11</v>
      </c>
      <c r="BS65" s="28">
        <f>+SUM(BS66:BS78)</f>
        <v>9</v>
      </c>
      <c r="BZ65" s="28">
        <f>+SUM(BZ66:BZ78)</f>
        <v>1.5</v>
      </c>
      <c r="CG65" s="28">
        <f>+SUM(CG66:CG78)</f>
        <v>0</v>
      </c>
      <c r="CN65" s="28">
        <f>+SUM(CN66:CN78)</f>
        <v>0</v>
      </c>
      <c r="CT65" s="11"/>
      <c r="CU65" s="28">
        <f>+SUM(CU66:CU78)</f>
        <v>0</v>
      </c>
      <c r="CZ65" s="11"/>
      <c r="DA65" s="11"/>
      <c r="DB65" s="28">
        <f>+SUM(DB66:DB78)</f>
        <v>0</v>
      </c>
      <c r="DG65" s="11"/>
      <c r="DI65" s="28">
        <f>+SUM(DI66:DI78)</f>
        <v>0</v>
      </c>
      <c r="DJ65" s="5" t="s">
        <v>227</v>
      </c>
      <c r="DP65" s="28"/>
    </row>
    <row r="66" ht="15.75" customHeight="1" outlineLevel="1">
      <c r="B66" s="48" t="s">
        <v>56</v>
      </c>
      <c r="C66" s="48"/>
      <c r="D66" s="49" t="s">
        <v>228</v>
      </c>
      <c r="F66" s="26"/>
      <c r="G66" s="49" t="s">
        <v>229</v>
      </c>
      <c r="H66" s="30">
        <v>0.07</v>
      </c>
      <c r="J66" s="26">
        <f t="shared" ref="J66:J78" si="56">+SUMIF($O$3:$ACN$3,J$3,$O66:$ACN66)</f>
        <v>9</v>
      </c>
      <c r="K66" s="29">
        <f t="shared" ref="K66:L66" si="55">+MAXIFS($O66:$ABT66,$O$3:$ABT$3,K$3)</f>
        <v>1</v>
      </c>
      <c r="L66" s="29">
        <f t="shared" si="55"/>
        <v>1</v>
      </c>
      <c r="M66" s="26"/>
      <c r="P66" s="27"/>
      <c r="Q66" s="27"/>
      <c r="R66" s="27"/>
      <c r="S66" s="27"/>
      <c r="V66" s="5">
        <v>5.0</v>
      </c>
      <c r="W66" s="30">
        <v>1.0</v>
      </c>
      <c r="X66" s="30">
        <v>1.0</v>
      </c>
      <c r="Y66" s="30">
        <v>1.0</v>
      </c>
      <c r="Z66" s="30">
        <v>1.0</v>
      </c>
      <c r="AC66" s="5">
        <v>2.0</v>
      </c>
      <c r="AD66" s="30">
        <v>1.0</v>
      </c>
      <c r="AE66" s="30">
        <v>1.0</v>
      </c>
      <c r="AF66" s="30">
        <v>1.0</v>
      </c>
      <c r="AG66" s="30">
        <v>1.0</v>
      </c>
      <c r="AK66" s="30">
        <v>1.0</v>
      </c>
      <c r="AL66" s="30">
        <v>1.0</v>
      </c>
      <c r="AM66" s="30">
        <v>1.0</v>
      </c>
      <c r="AN66" s="30">
        <v>1.0</v>
      </c>
      <c r="AR66" s="30">
        <v>1.0</v>
      </c>
      <c r="AS66" s="30">
        <v>1.0</v>
      </c>
      <c r="AT66" s="30">
        <v>1.0</v>
      </c>
      <c r="AU66" s="30">
        <v>1.0</v>
      </c>
      <c r="AX66" s="5">
        <v>2.0</v>
      </c>
      <c r="AY66" s="30">
        <v>1.0</v>
      </c>
      <c r="AZ66" s="30">
        <v>1.0</v>
      </c>
      <c r="BA66" s="30">
        <v>1.0</v>
      </c>
      <c r="BB66" s="30">
        <v>1.0</v>
      </c>
      <c r="BF66" s="30">
        <v>1.0</v>
      </c>
      <c r="BG66" s="30">
        <v>1.0</v>
      </c>
      <c r="BH66" s="30">
        <v>1.0</v>
      </c>
      <c r="BI66" s="30">
        <v>1.0</v>
      </c>
      <c r="BM66" s="30">
        <v>1.0</v>
      </c>
      <c r="BN66" s="30">
        <v>1.0</v>
      </c>
      <c r="BO66" s="30">
        <v>1.0</v>
      </c>
      <c r="BP66" s="30">
        <v>1.0</v>
      </c>
      <c r="BT66" s="30">
        <v>1.0</v>
      </c>
      <c r="BU66" s="30">
        <v>1.0</v>
      </c>
      <c r="BV66" s="30">
        <v>1.0</v>
      </c>
      <c r="BW66" s="30">
        <v>1.0</v>
      </c>
      <c r="CA66" s="30">
        <v>1.0</v>
      </c>
      <c r="CB66" s="30">
        <v>1.0</v>
      </c>
      <c r="CC66" s="30">
        <v>1.0</v>
      </c>
      <c r="CD66" s="30">
        <v>1.0</v>
      </c>
      <c r="CH66" s="27"/>
      <c r="CI66" s="30">
        <v>1.0</v>
      </c>
      <c r="CJ66" s="27"/>
      <c r="CK66" s="30">
        <v>1.0</v>
      </c>
      <c r="CO66" s="27"/>
      <c r="CP66" s="30">
        <v>1.0</v>
      </c>
      <c r="CQ66" s="27"/>
      <c r="CR66" s="30">
        <v>1.0</v>
      </c>
      <c r="CT66" s="11"/>
      <c r="CV66" s="27"/>
      <c r="CW66" s="30">
        <v>1.0</v>
      </c>
      <c r="CX66" s="27"/>
      <c r="CY66" s="30">
        <v>1.0</v>
      </c>
      <c r="CZ66" s="11"/>
      <c r="DA66" s="11"/>
      <c r="DC66" s="27"/>
      <c r="DD66" s="30">
        <v>1.0</v>
      </c>
      <c r="DE66" s="27"/>
      <c r="DF66" s="30">
        <v>1.0</v>
      </c>
      <c r="DG66" s="11"/>
      <c r="DJ66" s="27"/>
      <c r="DK66" s="30">
        <v>1.0</v>
      </c>
      <c r="DL66" s="27"/>
      <c r="DM66" s="30">
        <v>1.0</v>
      </c>
      <c r="DQ66" s="27"/>
      <c r="DR66" s="27"/>
      <c r="DS66" s="27"/>
      <c r="DT66" s="27"/>
    </row>
    <row r="67" ht="15.75" customHeight="1" outlineLevel="1">
      <c r="B67" s="48" t="s">
        <v>56</v>
      </c>
      <c r="C67" s="48"/>
      <c r="D67" s="49" t="s">
        <v>228</v>
      </c>
      <c r="F67" s="26"/>
      <c r="G67" s="49" t="s">
        <v>230</v>
      </c>
      <c r="H67" s="30">
        <v>0.1</v>
      </c>
      <c r="J67" s="26">
        <f t="shared" si="56"/>
        <v>8</v>
      </c>
      <c r="K67" s="29">
        <f t="shared" ref="K67:L67" si="57">+MAXIFS($O67:$ABT67,$O$3:$ABT$3,K$3)</f>
        <v>1</v>
      </c>
      <c r="L67" s="29">
        <f t="shared" si="57"/>
        <v>1</v>
      </c>
      <c r="M67" s="26"/>
      <c r="P67" s="27"/>
      <c r="Q67" s="27"/>
      <c r="R67" s="27"/>
      <c r="S67" s="27"/>
      <c r="V67" s="5">
        <v>2.0</v>
      </c>
      <c r="W67" s="30">
        <v>0.3</v>
      </c>
      <c r="X67" s="30">
        <v>0.1</v>
      </c>
      <c r="Y67" s="30">
        <v>0.3</v>
      </c>
      <c r="Z67" s="30">
        <v>0.1</v>
      </c>
      <c r="AC67" s="5">
        <v>2.0</v>
      </c>
      <c r="AD67" s="30">
        <v>1.0</v>
      </c>
      <c r="AE67" s="30">
        <v>1.0</v>
      </c>
      <c r="AF67" s="30">
        <v>1.0</v>
      </c>
      <c r="AG67" s="30">
        <v>1.0</v>
      </c>
      <c r="AK67" s="30">
        <v>1.0</v>
      </c>
      <c r="AL67" s="30">
        <v>1.0</v>
      </c>
      <c r="AM67" s="30">
        <v>1.0</v>
      </c>
      <c r="AN67" s="30">
        <v>1.0</v>
      </c>
      <c r="AR67" s="30">
        <v>1.0</v>
      </c>
      <c r="AS67" s="30">
        <v>1.0</v>
      </c>
      <c r="AT67" s="30">
        <v>1.0</v>
      </c>
      <c r="AU67" s="30">
        <v>1.0</v>
      </c>
      <c r="AX67" s="5">
        <v>4.0</v>
      </c>
      <c r="AY67" s="30">
        <v>1.0</v>
      </c>
      <c r="AZ67" s="30">
        <v>1.0</v>
      </c>
      <c r="BA67" s="30">
        <v>1.0</v>
      </c>
      <c r="BB67" s="30">
        <v>1.0</v>
      </c>
      <c r="BF67" s="30">
        <v>1.0</v>
      </c>
      <c r="BG67" s="30">
        <v>1.0</v>
      </c>
      <c r="BH67" s="30">
        <v>1.0</v>
      </c>
      <c r="BI67" s="30">
        <v>1.0</v>
      </c>
      <c r="BM67" s="30">
        <v>1.0</v>
      </c>
      <c r="BN67" s="30">
        <v>1.0</v>
      </c>
      <c r="BO67" s="30">
        <v>1.0</v>
      </c>
      <c r="BP67" s="30">
        <v>1.0</v>
      </c>
      <c r="BT67" s="30">
        <v>1.0</v>
      </c>
      <c r="BU67" s="30">
        <v>1.0</v>
      </c>
      <c r="BV67" s="30">
        <v>1.0</v>
      </c>
      <c r="BW67" s="30">
        <v>1.0</v>
      </c>
      <c r="CA67" s="30">
        <v>1.0</v>
      </c>
      <c r="CB67" s="30">
        <v>1.0</v>
      </c>
      <c r="CC67" s="30">
        <v>1.0</v>
      </c>
      <c r="CD67" s="30">
        <v>1.0</v>
      </c>
      <c r="CH67" s="27"/>
      <c r="CI67" s="30">
        <v>1.0</v>
      </c>
      <c r="CJ67" s="27"/>
      <c r="CK67" s="30">
        <v>1.0</v>
      </c>
      <c r="CO67" s="27"/>
      <c r="CP67" s="30">
        <v>1.0</v>
      </c>
      <c r="CQ67" s="27"/>
      <c r="CR67" s="30">
        <v>1.0</v>
      </c>
      <c r="CT67" s="11"/>
      <c r="CV67" s="27"/>
      <c r="CW67" s="30">
        <v>1.0</v>
      </c>
      <c r="CX67" s="27"/>
      <c r="CY67" s="30">
        <v>1.0</v>
      </c>
      <c r="CZ67" s="11"/>
      <c r="DA67" s="11"/>
      <c r="DC67" s="27"/>
      <c r="DD67" s="30">
        <v>1.0</v>
      </c>
      <c r="DE67" s="27"/>
      <c r="DF67" s="30">
        <v>1.0</v>
      </c>
      <c r="DG67" s="11"/>
      <c r="DJ67" s="27"/>
      <c r="DK67" s="30">
        <v>1.0</v>
      </c>
      <c r="DL67" s="27"/>
      <c r="DM67" s="30">
        <v>1.0</v>
      </c>
      <c r="DQ67" s="27"/>
      <c r="DR67" s="27"/>
      <c r="DS67" s="27"/>
      <c r="DT67" s="27"/>
    </row>
    <row r="68" ht="15.75" customHeight="1" outlineLevel="1">
      <c r="B68" s="48" t="s">
        <v>56</v>
      </c>
      <c r="C68" s="48"/>
      <c r="D68" s="49" t="s">
        <v>228</v>
      </c>
      <c r="F68" s="26"/>
      <c r="G68" s="49" t="s">
        <v>231</v>
      </c>
      <c r="H68" s="30">
        <v>0.1</v>
      </c>
      <c r="J68" s="26">
        <f t="shared" si="56"/>
        <v>19</v>
      </c>
      <c r="K68" s="29">
        <f t="shared" ref="K68:L68" si="58">+MAXIFS($O68:$ABT68,$O$3:$ABT$3,K$3)</f>
        <v>1</v>
      </c>
      <c r="L68" s="29">
        <f t="shared" si="58"/>
        <v>1</v>
      </c>
      <c r="M68" s="26"/>
      <c r="P68" s="27"/>
      <c r="Q68" s="27"/>
      <c r="R68" s="27"/>
      <c r="S68" s="27"/>
      <c r="W68" s="27"/>
      <c r="X68" s="30"/>
      <c r="Y68" s="27"/>
      <c r="Z68" s="30"/>
      <c r="AC68" s="5">
        <v>9.0</v>
      </c>
      <c r="AD68" s="30">
        <v>0.8</v>
      </c>
      <c r="AE68" s="30">
        <v>0.5</v>
      </c>
      <c r="AF68" s="30">
        <v>0.8</v>
      </c>
      <c r="AG68" s="30">
        <v>0.5</v>
      </c>
      <c r="AJ68" s="5">
        <v>6.0</v>
      </c>
      <c r="AK68" s="30">
        <v>1.0</v>
      </c>
      <c r="AL68" s="30">
        <v>1.0</v>
      </c>
      <c r="AM68" s="30">
        <v>1.0</v>
      </c>
      <c r="AN68" s="30">
        <v>1.0</v>
      </c>
      <c r="AR68" s="30">
        <v>1.0</v>
      </c>
      <c r="AS68" s="30">
        <v>1.0</v>
      </c>
      <c r="AT68" s="30">
        <v>1.0</v>
      </c>
      <c r="AU68" s="30">
        <v>1.0</v>
      </c>
      <c r="AX68" s="5">
        <v>4.0</v>
      </c>
      <c r="AY68" s="30">
        <v>1.0</v>
      </c>
      <c r="AZ68" s="30">
        <v>1.0</v>
      </c>
      <c r="BA68" s="30">
        <v>1.0</v>
      </c>
      <c r="BB68" s="30">
        <v>1.0</v>
      </c>
      <c r="BF68" s="30">
        <v>1.0</v>
      </c>
      <c r="BG68" s="30">
        <v>1.0</v>
      </c>
      <c r="BH68" s="30">
        <v>1.0</v>
      </c>
      <c r="BI68" s="30">
        <v>1.0</v>
      </c>
      <c r="BM68" s="30">
        <v>1.0</v>
      </c>
      <c r="BN68" s="30">
        <v>1.0</v>
      </c>
      <c r="BO68" s="30">
        <v>1.0</v>
      </c>
      <c r="BP68" s="30">
        <v>1.0</v>
      </c>
      <c r="BT68" s="30">
        <v>1.0</v>
      </c>
      <c r="BU68" s="30">
        <v>1.0</v>
      </c>
      <c r="BV68" s="30">
        <v>1.0</v>
      </c>
      <c r="BW68" s="30">
        <v>1.0</v>
      </c>
      <c r="CA68" s="30">
        <v>1.0</v>
      </c>
      <c r="CB68" s="30">
        <v>1.0</v>
      </c>
      <c r="CC68" s="30">
        <v>1.0</v>
      </c>
      <c r="CD68" s="30">
        <v>1.0</v>
      </c>
      <c r="CH68" s="27"/>
      <c r="CI68" s="30">
        <v>1.0</v>
      </c>
      <c r="CJ68" s="27"/>
      <c r="CK68" s="30">
        <v>1.0</v>
      </c>
      <c r="CO68" s="27"/>
      <c r="CP68" s="30">
        <v>1.0</v>
      </c>
      <c r="CQ68" s="27"/>
      <c r="CR68" s="30">
        <v>1.0</v>
      </c>
      <c r="CT68" s="11"/>
      <c r="CV68" s="27"/>
      <c r="CW68" s="30">
        <v>1.0</v>
      </c>
      <c r="CX68" s="27"/>
      <c r="CY68" s="30">
        <v>1.0</v>
      </c>
      <c r="CZ68" s="11"/>
      <c r="DA68" s="11"/>
      <c r="DC68" s="27"/>
      <c r="DD68" s="30">
        <v>1.0</v>
      </c>
      <c r="DE68" s="27"/>
      <c r="DF68" s="30">
        <v>1.0</v>
      </c>
      <c r="DG68" s="11"/>
      <c r="DJ68" s="27"/>
      <c r="DK68" s="30">
        <v>1.0</v>
      </c>
      <c r="DL68" s="27"/>
      <c r="DM68" s="30">
        <v>1.0</v>
      </c>
      <c r="DQ68" s="27"/>
      <c r="DR68" s="27"/>
      <c r="DS68" s="27"/>
      <c r="DT68" s="27"/>
    </row>
    <row r="69" ht="15.75" customHeight="1" outlineLevel="1">
      <c r="B69" s="48" t="s">
        <v>56</v>
      </c>
      <c r="C69" s="48"/>
      <c r="D69" s="49" t="s">
        <v>228</v>
      </c>
      <c r="F69" s="26"/>
      <c r="G69" s="49" t="s">
        <v>232</v>
      </c>
      <c r="H69" s="30">
        <v>0.07</v>
      </c>
      <c r="J69" s="26">
        <f t="shared" si="56"/>
        <v>14.5</v>
      </c>
      <c r="K69" s="29">
        <f t="shared" ref="K69:L69" si="59">+MAXIFS($O69:$ABT69,$O$3:$ABT$3,K$3)</f>
        <v>1</v>
      </c>
      <c r="L69" s="29">
        <f t="shared" si="59"/>
        <v>1</v>
      </c>
      <c r="M69" s="26"/>
      <c r="P69" s="27"/>
      <c r="Q69" s="27"/>
      <c r="R69" s="27"/>
      <c r="S69" s="27"/>
      <c r="W69" s="27"/>
      <c r="X69" s="30"/>
      <c r="Y69" s="27"/>
      <c r="Z69" s="30"/>
      <c r="AD69" s="27"/>
      <c r="AE69" s="30"/>
      <c r="AF69" s="27"/>
      <c r="AG69" s="30"/>
      <c r="AJ69" s="5">
        <v>3.0</v>
      </c>
      <c r="AK69" s="30">
        <v>0.5</v>
      </c>
      <c r="AL69" s="30">
        <v>0.5</v>
      </c>
      <c r="AM69" s="30">
        <v>0.5</v>
      </c>
      <c r="AN69" s="30">
        <v>0.5</v>
      </c>
      <c r="AQ69" s="5">
        <v>3.5</v>
      </c>
      <c r="AR69" s="30">
        <v>1.0</v>
      </c>
      <c r="AS69" s="30">
        <v>1.0</v>
      </c>
      <c r="AT69" s="30">
        <v>1.0</v>
      </c>
      <c r="AU69" s="30">
        <v>1.0</v>
      </c>
      <c r="AX69" s="5">
        <v>8.0</v>
      </c>
      <c r="AY69" s="30">
        <v>1.0</v>
      </c>
      <c r="AZ69" s="30">
        <v>1.0</v>
      </c>
      <c r="BA69" s="30">
        <v>1.0</v>
      </c>
      <c r="BB69" s="30">
        <v>1.0</v>
      </c>
      <c r="BF69" s="30">
        <v>1.0</v>
      </c>
      <c r="BG69" s="30">
        <v>1.0</v>
      </c>
      <c r="BH69" s="30">
        <v>1.0</v>
      </c>
      <c r="BI69" s="30">
        <v>1.0</v>
      </c>
      <c r="BM69" s="30">
        <v>1.0</v>
      </c>
      <c r="BN69" s="30">
        <v>1.0</v>
      </c>
      <c r="BO69" s="30">
        <v>1.0</v>
      </c>
      <c r="BP69" s="30">
        <v>1.0</v>
      </c>
      <c r="BT69" s="30">
        <v>1.0</v>
      </c>
      <c r="BU69" s="30">
        <v>1.0</v>
      </c>
      <c r="BV69" s="30">
        <v>1.0</v>
      </c>
      <c r="BW69" s="30">
        <v>1.0</v>
      </c>
      <c r="CA69" s="30">
        <v>1.0</v>
      </c>
      <c r="CB69" s="30">
        <v>1.0</v>
      </c>
      <c r="CC69" s="30">
        <v>1.0</v>
      </c>
      <c r="CD69" s="30">
        <v>1.0</v>
      </c>
      <c r="CH69" s="27"/>
      <c r="CI69" s="30">
        <v>1.0</v>
      </c>
      <c r="CJ69" s="27"/>
      <c r="CK69" s="30">
        <v>1.0</v>
      </c>
      <c r="CO69" s="27"/>
      <c r="CP69" s="30">
        <v>1.0</v>
      </c>
      <c r="CQ69" s="27"/>
      <c r="CR69" s="30">
        <v>1.0</v>
      </c>
      <c r="CT69" s="11"/>
      <c r="CV69" s="27"/>
      <c r="CW69" s="30">
        <v>1.0</v>
      </c>
      <c r="CX69" s="27"/>
      <c r="CY69" s="30">
        <v>1.0</v>
      </c>
      <c r="CZ69" s="11"/>
      <c r="DA69" s="11"/>
      <c r="DC69" s="27"/>
      <c r="DD69" s="30">
        <v>1.0</v>
      </c>
      <c r="DE69" s="27"/>
      <c r="DF69" s="30">
        <v>1.0</v>
      </c>
      <c r="DG69" s="11"/>
      <c r="DJ69" s="27"/>
      <c r="DK69" s="30">
        <v>1.0</v>
      </c>
      <c r="DL69" s="27"/>
      <c r="DM69" s="30">
        <v>1.0</v>
      </c>
      <c r="DQ69" s="27"/>
      <c r="DR69" s="27"/>
      <c r="DS69" s="27"/>
      <c r="DT69" s="27"/>
    </row>
    <row r="70" ht="15.75" customHeight="1" outlineLevel="1">
      <c r="B70" s="48" t="s">
        <v>56</v>
      </c>
      <c r="C70" s="48"/>
      <c r="D70" s="49" t="s">
        <v>228</v>
      </c>
      <c r="F70" s="26"/>
      <c r="G70" s="49" t="s">
        <v>233</v>
      </c>
      <c r="H70" s="30">
        <v>0.07</v>
      </c>
      <c r="J70" s="26">
        <f t="shared" si="56"/>
        <v>7</v>
      </c>
      <c r="K70" s="29">
        <f t="shared" ref="K70:L70" si="60">+MAXIFS($O70:$ABT70,$O$3:$ABT$3,K$3)</f>
        <v>1</v>
      </c>
      <c r="L70" s="29">
        <f t="shared" si="60"/>
        <v>1</v>
      </c>
      <c r="M70" s="26"/>
      <c r="P70" s="27"/>
      <c r="Q70" s="27"/>
      <c r="R70" s="27"/>
      <c r="S70" s="27"/>
      <c r="W70" s="27"/>
      <c r="X70" s="30"/>
      <c r="Y70" s="27"/>
      <c r="Z70" s="30"/>
      <c r="AD70" s="27"/>
      <c r="AE70" s="30"/>
      <c r="AF70" s="27"/>
      <c r="AG70" s="30"/>
      <c r="AK70" s="27"/>
      <c r="AL70" s="30"/>
      <c r="AM70" s="27"/>
      <c r="AN70" s="30"/>
      <c r="AR70" s="27"/>
      <c r="AS70" s="30">
        <v>0.5</v>
      </c>
      <c r="AT70" s="27"/>
      <c r="AU70" s="30">
        <v>0.5</v>
      </c>
      <c r="AX70" s="5">
        <v>6.0</v>
      </c>
      <c r="AY70" s="30">
        <v>1.0</v>
      </c>
      <c r="AZ70" s="30">
        <v>1.0</v>
      </c>
      <c r="BA70" s="30">
        <v>1.0</v>
      </c>
      <c r="BB70" s="30">
        <v>1.0</v>
      </c>
      <c r="BF70" s="30">
        <v>1.0</v>
      </c>
      <c r="BG70" s="30">
        <v>1.0</v>
      </c>
      <c r="BH70" s="30">
        <v>1.0</v>
      </c>
      <c r="BI70" s="30">
        <v>1.0</v>
      </c>
      <c r="BL70" s="5">
        <v>1.0</v>
      </c>
      <c r="BM70" s="30">
        <v>1.0</v>
      </c>
      <c r="BN70" s="30">
        <v>1.0</v>
      </c>
      <c r="BO70" s="30">
        <v>1.0</v>
      </c>
      <c r="BP70" s="30">
        <v>1.0</v>
      </c>
      <c r="BT70" s="30">
        <v>1.0</v>
      </c>
      <c r="BU70" s="30">
        <v>1.0</v>
      </c>
      <c r="BV70" s="30">
        <v>1.0</v>
      </c>
      <c r="BW70" s="30">
        <v>1.0</v>
      </c>
      <c r="CA70" s="30">
        <v>1.0</v>
      </c>
      <c r="CB70" s="30">
        <v>1.0</v>
      </c>
      <c r="CC70" s="30">
        <v>1.0</v>
      </c>
      <c r="CD70" s="30">
        <v>1.0</v>
      </c>
      <c r="CH70" s="27"/>
      <c r="CI70" s="30">
        <v>1.0</v>
      </c>
      <c r="CJ70" s="27"/>
      <c r="CK70" s="30">
        <v>1.0</v>
      </c>
      <c r="CO70" s="27"/>
      <c r="CP70" s="30">
        <v>1.0</v>
      </c>
      <c r="CQ70" s="27"/>
      <c r="CR70" s="30">
        <v>1.0</v>
      </c>
      <c r="CT70" s="11"/>
      <c r="CV70" s="27"/>
      <c r="CW70" s="30">
        <v>1.0</v>
      </c>
      <c r="CX70" s="27"/>
      <c r="CY70" s="30">
        <v>1.0</v>
      </c>
      <c r="CZ70" s="11"/>
      <c r="DA70" s="11"/>
      <c r="DC70" s="27"/>
      <c r="DD70" s="30">
        <v>1.0</v>
      </c>
      <c r="DE70" s="27"/>
      <c r="DF70" s="30">
        <v>1.0</v>
      </c>
      <c r="DG70" s="11"/>
      <c r="DJ70" s="27"/>
      <c r="DK70" s="30">
        <v>1.0</v>
      </c>
      <c r="DL70" s="27"/>
      <c r="DM70" s="30">
        <v>1.0</v>
      </c>
      <c r="DQ70" s="27"/>
      <c r="DR70" s="27"/>
      <c r="DS70" s="27"/>
      <c r="DT70" s="27"/>
    </row>
    <row r="71" ht="15.75" customHeight="1" outlineLevel="1">
      <c r="B71" s="48" t="s">
        <v>56</v>
      </c>
      <c r="C71" s="48"/>
      <c r="D71" s="49" t="s">
        <v>228</v>
      </c>
      <c r="F71" s="26"/>
      <c r="G71" s="49" t="s">
        <v>234</v>
      </c>
      <c r="H71" s="30">
        <v>0.07</v>
      </c>
      <c r="J71" s="26">
        <f t="shared" si="56"/>
        <v>12</v>
      </c>
      <c r="K71" s="29">
        <f t="shared" ref="K71:L71" si="61">+MAXIFS($O71:$ABT71,$O$3:$ABT$3,K$3)</f>
        <v>1</v>
      </c>
      <c r="L71" s="29">
        <f t="shared" si="61"/>
        <v>1</v>
      </c>
      <c r="M71" s="26"/>
      <c r="P71" s="27"/>
      <c r="Q71" s="27"/>
      <c r="R71" s="27"/>
      <c r="S71" s="27"/>
      <c r="W71" s="27"/>
      <c r="X71" s="30"/>
      <c r="Y71" s="27"/>
      <c r="Z71" s="30"/>
      <c r="AD71" s="27"/>
      <c r="AE71" s="30"/>
      <c r="AF71" s="27"/>
      <c r="AG71" s="30"/>
      <c r="AK71" s="27"/>
      <c r="AL71" s="30"/>
      <c r="AM71" s="27"/>
      <c r="AN71" s="30"/>
      <c r="AR71" s="27"/>
      <c r="AS71" s="30"/>
      <c r="AT71" s="27"/>
      <c r="AU71" s="30"/>
      <c r="AX71" s="5">
        <v>6.0</v>
      </c>
      <c r="AY71" s="30">
        <v>0.5</v>
      </c>
      <c r="AZ71" s="30">
        <v>0.5</v>
      </c>
      <c r="BA71" s="30">
        <v>0.5</v>
      </c>
      <c r="BB71" s="30">
        <v>0.5</v>
      </c>
      <c r="BE71" s="5">
        <v>1.0</v>
      </c>
      <c r="BF71" s="30">
        <v>1.0</v>
      </c>
      <c r="BG71" s="30">
        <v>1.0</v>
      </c>
      <c r="BH71" s="30">
        <v>1.0</v>
      </c>
      <c r="BI71" s="30">
        <v>1.0</v>
      </c>
      <c r="BL71" s="5">
        <v>5.0</v>
      </c>
      <c r="BM71" s="30">
        <v>1.0</v>
      </c>
      <c r="BN71" s="30">
        <v>1.0</v>
      </c>
      <c r="BO71" s="30">
        <v>1.0</v>
      </c>
      <c r="BP71" s="30">
        <v>1.0</v>
      </c>
      <c r="BT71" s="30">
        <v>1.0</v>
      </c>
      <c r="BU71" s="30">
        <v>1.0</v>
      </c>
      <c r="BV71" s="30">
        <v>1.0</v>
      </c>
      <c r="BW71" s="30">
        <v>1.0</v>
      </c>
      <c r="CA71" s="30">
        <v>1.0</v>
      </c>
      <c r="CB71" s="30">
        <v>1.0</v>
      </c>
      <c r="CC71" s="30">
        <v>1.0</v>
      </c>
      <c r="CD71" s="30">
        <v>1.0</v>
      </c>
      <c r="CH71" s="27"/>
      <c r="CI71" s="30">
        <v>1.0</v>
      </c>
      <c r="CJ71" s="27"/>
      <c r="CK71" s="30">
        <v>1.0</v>
      </c>
      <c r="CO71" s="27"/>
      <c r="CP71" s="30">
        <v>1.0</v>
      </c>
      <c r="CQ71" s="27"/>
      <c r="CR71" s="30">
        <v>1.0</v>
      </c>
      <c r="CT71" s="11"/>
      <c r="CV71" s="27"/>
      <c r="CW71" s="30">
        <v>1.0</v>
      </c>
      <c r="CX71" s="27"/>
      <c r="CY71" s="30">
        <v>1.0</v>
      </c>
      <c r="CZ71" s="11"/>
      <c r="DA71" s="11"/>
      <c r="DC71" s="27"/>
      <c r="DD71" s="30">
        <v>1.0</v>
      </c>
      <c r="DE71" s="27"/>
      <c r="DF71" s="30">
        <v>1.0</v>
      </c>
      <c r="DG71" s="11"/>
      <c r="DJ71" s="27"/>
      <c r="DK71" s="30">
        <v>1.0</v>
      </c>
      <c r="DL71" s="27"/>
      <c r="DM71" s="30">
        <v>1.0</v>
      </c>
      <c r="DQ71" s="27"/>
      <c r="DR71" s="27"/>
      <c r="DS71" s="27"/>
      <c r="DT71" s="27"/>
    </row>
    <row r="72" ht="15.75" customHeight="1" outlineLevel="1">
      <c r="B72" s="48" t="s">
        <v>56</v>
      </c>
      <c r="C72" s="48"/>
      <c r="D72" s="49" t="s">
        <v>228</v>
      </c>
      <c r="F72" s="26"/>
      <c r="G72" s="49" t="s">
        <v>235</v>
      </c>
      <c r="H72" s="30">
        <v>0.1</v>
      </c>
      <c r="J72" s="26">
        <f t="shared" si="56"/>
        <v>13</v>
      </c>
      <c r="K72" s="29">
        <f t="shared" ref="K72:L72" si="62">+MAXIFS($O72:$ABT72,$O$3:$ABT$3,K$3)</f>
        <v>1</v>
      </c>
      <c r="L72" s="29">
        <f t="shared" si="62"/>
        <v>1</v>
      </c>
      <c r="M72" s="26"/>
      <c r="P72" s="27"/>
      <c r="Q72" s="27"/>
      <c r="R72" s="27"/>
      <c r="S72" s="27"/>
      <c r="W72" s="27"/>
      <c r="X72" s="30"/>
      <c r="Y72" s="27"/>
      <c r="Z72" s="30"/>
      <c r="AD72" s="27"/>
      <c r="AE72" s="30"/>
      <c r="AF72" s="27"/>
      <c r="AG72" s="30"/>
      <c r="AK72" s="27"/>
      <c r="AL72" s="30"/>
      <c r="AM72" s="27"/>
      <c r="AN72" s="30"/>
      <c r="AR72" s="27"/>
      <c r="AS72" s="30"/>
      <c r="AT72" s="27"/>
      <c r="AU72" s="30"/>
      <c r="AY72" s="27"/>
      <c r="AZ72" s="30"/>
      <c r="BA72" s="27"/>
      <c r="BB72" s="30"/>
      <c r="BF72" s="27"/>
      <c r="BG72" s="30"/>
      <c r="BH72" s="27"/>
      <c r="BI72" s="30"/>
      <c r="BL72" s="5">
        <v>5.0</v>
      </c>
      <c r="BM72" s="30">
        <v>1.0</v>
      </c>
      <c r="BN72" s="30">
        <v>1.0</v>
      </c>
      <c r="BO72" s="30">
        <v>1.0</v>
      </c>
      <c r="BP72" s="30">
        <v>1.0</v>
      </c>
      <c r="BS72" s="5">
        <v>8.0</v>
      </c>
      <c r="BT72" s="30">
        <v>1.0</v>
      </c>
      <c r="BU72" s="30">
        <v>1.0</v>
      </c>
      <c r="BV72" s="30">
        <v>1.0</v>
      </c>
      <c r="BW72" s="30">
        <v>1.0</v>
      </c>
      <c r="CA72" s="30">
        <v>1.0</v>
      </c>
      <c r="CB72" s="30">
        <v>1.0</v>
      </c>
      <c r="CC72" s="30">
        <v>1.0</v>
      </c>
      <c r="CD72" s="30">
        <v>1.0</v>
      </c>
      <c r="CH72" s="27"/>
      <c r="CI72" s="30">
        <v>1.0</v>
      </c>
      <c r="CJ72" s="27"/>
      <c r="CK72" s="30">
        <v>1.0</v>
      </c>
      <c r="CO72" s="27"/>
      <c r="CP72" s="30">
        <v>1.0</v>
      </c>
      <c r="CQ72" s="27"/>
      <c r="CR72" s="30">
        <v>1.0</v>
      </c>
      <c r="CT72" s="11"/>
      <c r="CV72" s="27"/>
      <c r="CW72" s="30">
        <v>1.0</v>
      </c>
      <c r="CX72" s="27"/>
      <c r="CY72" s="30">
        <v>1.0</v>
      </c>
      <c r="CZ72" s="11"/>
      <c r="DA72" s="11"/>
      <c r="DC72" s="27"/>
      <c r="DD72" s="30">
        <v>1.0</v>
      </c>
      <c r="DE72" s="27"/>
      <c r="DF72" s="30">
        <v>1.0</v>
      </c>
      <c r="DG72" s="11"/>
      <c r="DJ72" s="27"/>
      <c r="DK72" s="30">
        <v>1.0</v>
      </c>
      <c r="DL72" s="27"/>
      <c r="DM72" s="30">
        <v>1.0</v>
      </c>
      <c r="DQ72" s="27"/>
      <c r="DR72" s="27"/>
      <c r="DS72" s="27"/>
      <c r="DT72" s="27"/>
    </row>
    <row r="73" ht="15.75" customHeight="1" outlineLevel="1">
      <c r="B73" s="48" t="s">
        <v>56</v>
      </c>
      <c r="C73" s="48"/>
      <c r="D73" s="49" t="s">
        <v>228</v>
      </c>
      <c r="F73" s="26"/>
      <c r="G73" s="49" t="s">
        <v>236</v>
      </c>
      <c r="H73" s="30">
        <v>0.07</v>
      </c>
      <c r="J73" s="26">
        <f t="shared" si="56"/>
        <v>2.5</v>
      </c>
      <c r="K73" s="29">
        <f t="shared" ref="K73:L73" si="63">+MAXIFS($O73:$ABT73,$O$3:$ABT$3,K$3)</f>
        <v>1</v>
      </c>
      <c r="L73" s="29">
        <f t="shared" si="63"/>
        <v>1</v>
      </c>
      <c r="M73" s="26"/>
      <c r="P73" s="27"/>
      <c r="Q73" s="27"/>
      <c r="R73" s="27"/>
      <c r="S73" s="27"/>
      <c r="W73" s="27"/>
      <c r="X73" s="30"/>
      <c r="Y73" s="27"/>
      <c r="Z73" s="30"/>
      <c r="AD73" s="27"/>
      <c r="AE73" s="30"/>
      <c r="AF73" s="27"/>
      <c r="AG73" s="30"/>
      <c r="AK73" s="27"/>
      <c r="AL73" s="30"/>
      <c r="AM73" s="27"/>
      <c r="AN73" s="30"/>
      <c r="AR73" s="27"/>
      <c r="AS73" s="30"/>
      <c r="AT73" s="27"/>
      <c r="AU73" s="30"/>
      <c r="AY73" s="27"/>
      <c r="AZ73" s="30"/>
      <c r="BA73" s="27"/>
      <c r="BB73" s="30"/>
      <c r="BF73" s="27"/>
      <c r="BG73" s="30"/>
      <c r="BH73" s="27"/>
      <c r="BI73" s="30"/>
      <c r="BM73" s="27"/>
      <c r="BN73" s="27"/>
      <c r="BO73" s="27"/>
      <c r="BP73" s="27"/>
      <c r="BS73" s="5">
        <v>1.0</v>
      </c>
      <c r="BT73" s="30">
        <v>0.5</v>
      </c>
      <c r="BU73" s="30">
        <v>0.5</v>
      </c>
      <c r="BV73" s="30">
        <v>0.5</v>
      </c>
      <c r="BW73" s="30">
        <v>0.5</v>
      </c>
      <c r="BZ73" s="5">
        <v>1.5</v>
      </c>
      <c r="CA73" s="30">
        <v>1.0</v>
      </c>
      <c r="CB73" s="30">
        <v>1.0</v>
      </c>
      <c r="CC73" s="30">
        <v>1.0</v>
      </c>
      <c r="CD73" s="30">
        <v>1.0</v>
      </c>
      <c r="CH73" s="27"/>
      <c r="CI73" s="30">
        <v>1.0</v>
      </c>
      <c r="CJ73" s="27"/>
      <c r="CK73" s="30">
        <v>1.0</v>
      </c>
      <c r="CO73" s="27"/>
      <c r="CP73" s="30">
        <v>1.0</v>
      </c>
      <c r="CQ73" s="27"/>
      <c r="CR73" s="30">
        <v>1.0</v>
      </c>
      <c r="CT73" s="11"/>
      <c r="CV73" s="27"/>
      <c r="CW73" s="30">
        <v>1.0</v>
      </c>
      <c r="CX73" s="27"/>
      <c r="CY73" s="30">
        <v>1.0</v>
      </c>
      <c r="CZ73" s="11"/>
      <c r="DA73" s="11"/>
      <c r="DC73" s="27"/>
      <c r="DD73" s="30">
        <v>1.0</v>
      </c>
      <c r="DE73" s="27"/>
      <c r="DF73" s="30">
        <v>1.0</v>
      </c>
      <c r="DG73" s="11"/>
      <c r="DJ73" s="27"/>
      <c r="DK73" s="30">
        <v>1.0</v>
      </c>
      <c r="DL73" s="27"/>
      <c r="DM73" s="30">
        <v>1.0</v>
      </c>
      <c r="DQ73" s="27"/>
      <c r="DR73" s="27"/>
      <c r="DS73" s="27"/>
      <c r="DT73" s="27"/>
    </row>
    <row r="74" ht="15.75" customHeight="1" outlineLevel="1">
      <c r="B74" s="48" t="s">
        <v>56</v>
      </c>
      <c r="C74" s="48"/>
      <c r="D74" s="49" t="s">
        <v>228</v>
      </c>
      <c r="F74" s="26"/>
      <c r="G74" s="49" t="s">
        <v>237</v>
      </c>
      <c r="H74" s="30">
        <v>0.07</v>
      </c>
      <c r="J74" s="26">
        <f t="shared" si="56"/>
        <v>0</v>
      </c>
      <c r="K74" s="29">
        <f t="shared" ref="K74:L74" si="64">+MAXIFS($O74:$ABT74,$O$3:$ABT$3,K$3)</f>
        <v>0</v>
      </c>
      <c r="L74" s="29">
        <f t="shared" si="64"/>
        <v>0</v>
      </c>
      <c r="M74" s="26"/>
      <c r="P74" s="27"/>
      <c r="Q74" s="27"/>
      <c r="R74" s="27"/>
      <c r="S74" s="27"/>
      <c r="W74" s="27"/>
      <c r="X74" s="30"/>
      <c r="Y74" s="27"/>
      <c r="Z74" s="30"/>
      <c r="AD74" s="27"/>
      <c r="AE74" s="30"/>
      <c r="AF74" s="27"/>
      <c r="AG74" s="30"/>
      <c r="AK74" s="27"/>
      <c r="AL74" s="30"/>
      <c r="AM74" s="27"/>
      <c r="AN74" s="30"/>
      <c r="AR74" s="27"/>
      <c r="AS74" s="30"/>
      <c r="AT74" s="27"/>
      <c r="AU74" s="30"/>
      <c r="AY74" s="27"/>
      <c r="AZ74" s="30"/>
      <c r="BA74" s="27"/>
      <c r="BB74" s="30"/>
      <c r="BF74" s="27"/>
      <c r="BG74" s="30"/>
      <c r="BH74" s="27"/>
      <c r="BI74" s="30"/>
      <c r="BM74" s="27"/>
      <c r="BN74" s="27"/>
      <c r="BO74" s="27"/>
      <c r="BP74" s="27"/>
      <c r="BT74" s="27"/>
      <c r="BU74" s="30"/>
      <c r="BV74" s="27"/>
      <c r="BW74" s="30"/>
      <c r="CA74" s="27"/>
      <c r="CB74" s="30">
        <v>0.5</v>
      </c>
      <c r="CC74" s="27"/>
      <c r="CD74" s="30">
        <v>0.5</v>
      </c>
      <c r="CH74" s="27"/>
      <c r="CI74" s="30">
        <v>1.0</v>
      </c>
      <c r="CJ74" s="27"/>
      <c r="CK74" s="30">
        <v>1.0</v>
      </c>
      <c r="CO74" s="27"/>
      <c r="CP74" s="30">
        <v>1.0</v>
      </c>
      <c r="CQ74" s="27"/>
      <c r="CR74" s="30">
        <v>1.0</v>
      </c>
      <c r="CT74" s="11"/>
      <c r="CV74" s="27"/>
      <c r="CW74" s="30">
        <v>1.0</v>
      </c>
      <c r="CX74" s="27"/>
      <c r="CY74" s="30">
        <v>1.0</v>
      </c>
      <c r="CZ74" s="11"/>
      <c r="DA74" s="11"/>
      <c r="DC74" s="27"/>
      <c r="DD74" s="30">
        <v>1.0</v>
      </c>
      <c r="DE74" s="27"/>
      <c r="DF74" s="30">
        <v>1.0</v>
      </c>
      <c r="DG74" s="11"/>
      <c r="DJ74" s="27"/>
      <c r="DK74" s="30">
        <v>1.0</v>
      </c>
      <c r="DL74" s="27"/>
      <c r="DM74" s="30">
        <v>1.0</v>
      </c>
      <c r="DQ74" s="27"/>
      <c r="DR74" s="27"/>
      <c r="DS74" s="27"/>
      <c r="DT74" s="27"/>
    </row>
    <row r="75" ht="15.75" customHeight="1" outlineLevel="1">
      <c r="B75" s="48" t="s">
        <v>56</v>
      </c>
      <c r="C75" s="48"/>
      <c r="D75" s="49" t="s">
        <v>228</v>
      </c>
      <c r="F75" s="26"/>
      <c r="G75" s="49" t="s">
        <v>238</v>
      </c>
      <c r="H75" s="30">
        <v>0.07</v>
      </c>
      <c r="J75" s="26">
        <f t="shared" si="56"/>
        <v>0</v>
      </c>
      <c r="K75" s="29">
        <f t="shared" ref="K75:L75" si="65">+MAXIFS($O75:$ABT75,$O$3:$ABT$3,K$3)</f>
        <v>0</v>
      </c>
      <c r="L75" s="29">
        <f t="shared" si="65"/>
        <v>0</v>
      </c>
      <c r="M75" s="26"/>
      <c r="P75" s="27"/>
      <c r="Q75" s="27"/>
      <c r="R75" s="27"/>
      <c r="S75" s="27"/>
      <c r="W75" s="27"/>
      <c r="X75" s="30"/>
      <c r="Y75" s="27"/>
      <c r="Z75" s="30"/>
      <c r="AD75" s="27"/>
      <c r="AE75" s="30"/>
      <c r="AF75" s="27"/>
      <c r="AG75" s="30"/>
      <c r="AK75" s="27"/>
      <c r="AL75" s="30"/>
      <c r="AM75" s="27"/>
      <c r="AN75" s="30"/>
      <c r="AR75" s="27"/>
      <c r="AS75" s="30"/>
      <c r="AT75" s="27"/>
      <c r="AU75" s="30"/>
      <c r="AY75" s="27"/>
      <c r="AZ75" s="30"/>
      <c r="BA75" s="27"/>
      <c r="BB75" s="30"/>
      <c r="BF75" s="27"/>
      <c r="BG75" s="30"/>
      <c r="BH75" s="27"/>
      <c r="BI75" s="30"/>
      <c r="BM75" s="27"/>
      <c r="BN75" s="27"/>
      <c r="BO75" s="27"/>
      <c r="BP75" s="27"/>
      <c r="BT75" s="27"/>
      <c r="BU75" s="30"/>
      <c r="BV75" s="27"/>
      <c r="BW75" s="30"/>
      <c r="CA75" s="27"/>
      <c r="CB75" s="30"/>
      <c r="CC75" s="27"/>
      <c r="CD75" s="30"/>
      <c r="CH75" s="27"/>
      <c r="CI75" s="30"/>
      <c r="CJ75" s="27"/>
      <c r="CK75" s="30"/>
      <c r="CO75" s="27"/>
      <c r="CP75" s="30">
        <v>1.0</v>
      </c>
      <c r="CQ75" s="27"/>
      <c r="CR75" s="30">
        <v>1.0</v>
      </c>
      <c r="CT75" s="11"/>
      <c r="CV75" s="27"/>
      <c r="CW75" s="30">
        <v>1.0</v>
      </c>
      <c r="CX75" s="27"/>
      <c r="CY75" s="30">
        <v>1.0</v>
      </c>
      <c r="CZ75" s="11"/>
      <c r="DA75" s="11"/>
      <c r="DC75" s="27"/>
      <c r="DD75" s="30">
        <v>1.0</v>
      </c>
      <c r="DE75" s="27"/>
      <c r="DF75" s="30">
        <v>1.0</v>
      </c>
      <c r="DG75" s="11"/>
      <c r="DJ75" s="27"/>
      <c r="DK75" s="30">
        <v>1.0</v>
      </c>
      <c r="DL75" s="27"/>
      <c r="DM75" s="30">
        <v>1.0</v>
      </c>
      <c r="DQ75" s="27"/>
      <c r="DR75" s="27"/>
      <c r="DS75" s="27"/>
      <c r="DT75" s="27"/>
    </row>
    <row r="76" ht="15.75" customHeight="1" outlineLevel="1">
      <c r="B76" s="48" t="s">
        <v>56</v>
      </c>
      <c r="C76" s="48"/>
      <c r="D76" s="49" t="s">
        <v>228</v>
      </c>
      <c r="F76" s="26"/>
      <c r="G76" s="49" t="s">
        <v>239</v>
      </c>
      <c r="H76" s="30">
        <v>0.07</v>
      </c>
      <c r="J76" s="26">
        <f t="shared" si="56"/>
        <v>0</v>
      </c>
      <c r="K76" s="29">
        <f t="shared" ref="K76:L76" si="66">+MAXIFS($O76:$ABT76,$O$3:$ABT$3,K$3)</f>
        <v>0</v>
      </c>
      <c r="L76" s="29">
        <f t="shared" si="66"/>
        <v>0</v>
      </c>
      <c r="M76" s="26"/>
      <c r="P76" s="27"/>
      <c r="Q76" s="27"/>
      <c r="R76" s="27"/>
      <c r="S76" s="27"/>
      <c r="W76" s="27"/>
      <c r="X76" s="30"/>
      <c r="Y76" s="27"/>
      <c r="Z76" s="30"/>
      <c r="AD76" s="27"/>
      <c r="AE76" s="30"/>
      <c r="AF76" s="27"/>
      <c r="AG76" s="30"/>
      <c r="AK76" s="27"/>
      <c r="AL76" s="30"/>
      <c r="AM76" s="27"/>
      <c r="AN76" s="30"/>
      <c r="AR76" s="27"/>
      <c r="AS76" s="30"/>
      <c r="AT76" s="27"/>
      <c r="AU76" s="30"/>
      <c r="AY76" s="27"/>
      <c r="AZ76" s="30"/>
      <c r="BA76" s="27"/>
      <c r="BB76" s="30"/>
      <c r="BF76" s="27"/>
      <c r="BG76" s="30"/>
      <c r="BH76" s="27"/>
      <c r="BI76" s="30"/>
      <c r="BM76" s="27"/>
      <c r="BN76" s="27"/>
      <c r="BO76" s="27"/>
      <c r="BP76" s="27"/>
      <c r="BT76" s="27"/>
      <c r="BU76" s="30"/>
      <c r="BV76" s="27"/>
      <c r="BW76" s="30"/>
      <c r="CA76" s="27"/>
      <c r="CB76" s="30"/>
      <c r="CC76" s="27"/>
      <c r="CD76" s="30"/>
      <c r="CH76" s="27"/>
      <c r="CI76" s="30"/>
      <c r="CJ76" s="27"/>
      <c r="CK76" s="30"/>
      <c r="CO76" s="27"/>
      <c r="CP76" s="30"/>
      <c r="CQ76" s="27"/>
      <c r="CR76" s="30"/>
      <c r="CT76" s="11"/>
      <c r="CV76" s="27"/>
      <c r="CW76" s="30">
        <v>1.0</v>
      </c>
      <c r="CX76" s="27"/>
      <c r="CY76" s="30">
        <v>1.0</v>
      </c>
      <c r="CZ76" s="11"/>
      <c r="DA76" s="11"/>
      <c r="DC76" s="27"/>
      <c r="DD76" s="30">
        <v>1.0</v>
      </c>
      <c r="DE76" s="27"/>
      <c r="DF76" s="30">
        <v>1.0</v>
      </c>
      <c r="DG76" s="11"/>
      <c r="DJ76" s="27"/>
      <c r="DK76" s="30">
        <v>1.0</v>
      </c>
      <c r="DL76" s="27"/>
      <c r="DM76" s="30">
        <v>1.0</v>
      </c>
      <c r="DQ76" s="27"/>
      <c r="DR76" s="27"/>
      <c r="DS76" s="27"/>
      <c r="DT76" s="27"/>
    </row>
    <row r="77" ht="15.75" customHeight="1" outlineLevel="1">
      <c r="B77" s="48" t="s">
        <v>56</v>
      </c>
      <c r="C77" s="48"/>
      <c r="D77" s="49" t="s">
        <v>228</v>
      </c>
      <c r="F77" s="26"/>
      <c r="G77" s="49" t="s">
        <v>240</v>
      </c>
      <c r="H77" s="30">
        <v>0.07</v>
      </c>
      <c r="J77" s="26">
        <f t="shared" si="56"/>
        <v>0</v>
      </c>
      <c r="K77" s="29">
        <f t="shared" ref="K77:L77" si="67">+MAXIFS($O77:$ABT77,$O$3:$ABT$3,K$3)</f>
        <v>0</v>
      </c>
      <c r="L77" s="29">
        <f t="shared" si="67"/>
        <v>0</v>
      </c>
      <c r="M77" s="26"/>
      <c r="P77" s="27"/>
      <c r="Q77" s="27"/>
      <c r="R77" s="27"/>
      <c r="S77" s="27"/>
      <c r="W77" s="27"/>
      <c r="X77" s="30"/>
      <c r="Y77" s="27"/>
      <c r="Z77" s="30"/>
      <c r="AD77" s="27"/>
      <c r="AE77" s="30"/>
      <c r="AF77" s="27"/>
      <c r="AG77" s="30"/>
      <c r="AK77" s="27"/>
      <c r="AL77" s="30"/>
      <c r="AM77" s="27"/>
      <c r="AN77" s="30"/>
      <c r="AR77" s="27"/>
      <c r="AS77" s="30"/>
      <c r="AT77" s="27"/>
      <c r="AU77" s="30"/>
      <c r="AY77" s="27"/>
      <c r="AZ77" s="30"/>
      <c r="BA77" s="27"/>
      <c r="BB77" s="30"/>
      <c r="BF77" s="27"/>
      <c r="BG77" s="30"/>
      <c r="BH77" s="27"/>
      <c r="BI77" s="30"/>
      <c r="BM77" s="27"/>
      <c r="BN77" s="27"/>
      <c r="BO77" s="27"/>
      <c r="BP77" s="27"/>
      <c r="BT77" s="27"/>
      <c r="BU77" s="30"/>
      <c r="BV77" s="27"/>
      <c r="BW77" s="30"/>
      <c r="CA77" s="27"/>
      <c r="CB77" s="30"/>
      <c r="CC77" s="27"/>
      <c r="CD77" s="30"/>
      <c r="CH77" s="27"/>
      <c r="CI77" s="30"/>
      <c r="CJ77" s="27"/>
      <c r="CK77" s="30"/>
      <c r="CO77" s="27"/>
      <c r="CP77" s="30"/>
      <c r="CQ77" s="27"/>
      <c r="CR77" s="30"/>
      <c r="CT77" s="11"/>
      <c r="CV77" s="27"/>
      <c r="CW77" s="30"/>
      <c r="CX77" s="27"/>
      <c r="CY77" s="30"/>
      <c r="CZ77" s="11"/>
      <c r="DA77" s="11"/>
      <c r="DC77" s="27"/>
      <c r="DD77" s="30">
        <v>1.0</v>
      </c>
      <c r="DE77" s="27"/>
      <c r="DF77" s="30">
        <v>1.0</v>
      </c>
      <c r="DG77" s="11"/>
      <c r="DJ77" s="27"/>
      <c r="DK77" s="30">
        <v>1.0</v>
      </c>
      <c r="DL77" s="27"/>
      <c r="DM77" s="30">
        <v>1.0</v>
      </c>
      <c r="DQ77" s="27"/>
      <c r="DR77" s="27"/>
      <c r="DS77" s="27"/>
      <c r="DT77" s="27"/>
    </row>
    <row r="78" ht="15.75" customHeight="1">
      <c r="B78" s="48" t="s">
        <v>56</v>
      </c>
      <c r="C78" s="48"/>
      <c r="D78" s="49" t="s">
        <v>228</v>
      </c>
      <c r="G78" s="5" t="s">
        <v>241</v>
      </c>
      <c r="H78" s="30">
        <v>0.07</v>
      </c>
      <c r="J78" s="26">
        <f t="shared" si="56"/>
        <v>0</v>
      </c>
      <c r="K78" s="29">
        <f t="shared" ref="K78:L78" si="68">+MAXIFS($O78:$ABT78,$O$3:$ABT$3,K$3)</f>
        <v>0</v>
      </c>
      <c r="L78" s="29">
        <f t="shared" si="68"/>
        <v>0</v>
      </c>
      <c r="W78" s="27"/>
      <c r="X78" s="30"/>
      <c r="Y78" s="27"/>
      <c r="Z78" s="30"/>
      <c r="AD78" s="27"/>
      <c r="AE78" s="30"/>
      <c r="AF78" s="27"/>
      <c r="AG78" s="30"/>
      <c r="AK78" s="27"/>
      <c r="AL78" s="30"/>
      <c r="AM78" s="27"/>
      <c r="AN78" s="30"/>
      <c r="AR78" s="27"/>
      <c r="AS78" s="30"/>
      <c r="AT78" s="27"/>
      <c r="AU78" s="30"/>
      <c r="AY78" s="27"/>
      <c r="AZ78" s="30"/>
      <c r="BA78" s="27"/>
      <c r="BB78" s="30"/>
      <c r="BF78" s="27"/>
      <c r="BG78" s="30"/>
      <c r="BH78" s="27"/>
      <c r="BI78" s="30"/>
      <c r="BM78" s="27"/>
      <c r="BN78" s="27"/>
      <c r="BO78" s="27"/>
      <c r="BP78" s="27"/>
      <c r="BT78" s="27"/>
      <c r="BU78" s="30"/>
      <c r="BV78" s="27"/>
      <c r="BW78" s="30"/>
      <c r="CA78" s="27"/>
      <c r="CB78" s="30"/>
      <c r="CC78" s="27"/>
      <c r="CD78" s="30"/>
      <c r="CH78" s="27"/>
      <c r="CI78" s="30"/>
      <c r="CJ78" s="27"/>
      <c r="CK78" s="30"/>
      <c r="CO78" s="27"/>
      <c r="CP78" s="30"/>
      <c r="CQ78" s="27"/>
      <c r="CR78" s="30"/>
      <c r="CT78" s="11"/>
      <c r="CU78" s="11"/>
      <c r="CV78" s="27"/>
      <c r="CW78" s="30"/>
      <c r="CX78" s="27"/>
      <c r="CY78" s="30"/>
      <c r="CZ78" s="11"/>
      <c r="DA78" s="11"/>
      <c r="DB78" s="11"/>
      <c r="DC78" s="27"/>
      <c r="DD78" s="30"/>
      <c r="DE78" s="27"/>
      <c r="DF78" s="30"/>
      <c r="DG78" s="11"/>
      <c r="DJ78" s="27"/>
      <c r="DK78" s="30">
        <v>1.0</v>
      </c>
      <c r="DL78" s="27"/>
      <c r="DM78" s="30">
        <v>1.0</v>
      </c>
    </row>
    <row r="79" ht="15.75" customHeight="1">
      <c r="CT79" s="11"/>
      <c r="CU79" s="11"/>
      <c r="CV79" s="11"/>
      <c r="CW79" s="11"/>
      <c r="CX79" s="11"/>
      <c r="CY79" s="11"/>
      <c r="CZ79" s="11"/>
      <c r="DA79" s="11"/>
      <c r="DB79" s="11"/>
      <c r="DC79" s="11"/>
      <c r="DD79" s="11"/>
      <c r="DE79" s="11"/>
      <c r="DF79" s="11"/>
      <c r="DG79" s="11"/>
    </row>
    <row r="80" ht="15.75" customHeight="1">
      <c r="CT80" s="11"/>
      <c r="CU80" s="11"/>
      <c r="CV80" s="11"/>
      <c r="CW80" s="11"/>
      <c r="CX80" s="11"/>
      <c r="CY80" s="11"/>
      <c r="CZ80" s="11"/>
      <c r="DA80" s="11"/>
      <c r="DB80" s="11"/>
      <c r="DC80" s="11"/>
      <c r="DD80" s="11"/>
      <c r="DE80" s="11"/>
      <c r="DF80" s="11"/>
      <c r="DG80" s="11"/>
    </row>
    <row r="81" ht="15.75" customHeight="1">
      <c r="CT81" s="11"/>
      <c r="CU81" s="11"/>
      <c r="CV81" s="11"/>
      <c r="CW81" s="11"/>
      <c r="CX81" s="11"/>
      <c r="CY81" s="11"/>
      <c r="CZ81" s="11"/>
      <c r="DA81" s="11"/>
      <c r="DB81" s="11"/>
      <c r="DC81" s="11"/>
      <c r="DD81" s="11"/>
      <c r="DE81" s="11"/>
      <c r="DF81" s="11"/>
      <c r="DG81" s="11"/>
    </row>
    <row r="82" ht="15.75" customHeight="1">
      <c r="CT82" s="11"/>
      <c r="CU82" s="11"/>
      <c r="CV82" s="11"/>
      <c r="CW82" s="11"/>
      <c r="CX82" s="11"/>
      <c r="CY82" s="11"/>
      <c r="CZ82" s="11"/>
      <c r="DA82" s="11"/>
      <c r="DB82" s="11"/>
      <c r="DC82" s="11"/>
      <c r="DD82" s="11"/>
      <c r="DE82" s="11"/>
      <c r="DF82" s="11"/>
      <c r="DG82" s="11"/>
    </row>
    <row r="83" ht="15.75" customHeight="1">
      <c r="CT83" s="11"/>
      <c r="CU83" s="11"/>
      <c r="CV83" s="11"/>
      <c r="CW83" s="11"/>
      <c r="CX83" s="11"/>
      <c r="CY83" s="11"/>
      <c r="CZ83" s="11"/>
      <c r="DA83" s="11"/>
      <c r="DB83" s="11"/>
      <c r="DC83" s="11"/>
      <c r="DD83" s="11"/>
      <c r="DE83" s="11"/>
      <c r="DF83" s="11"/>
      <c r="DG83" s="11"/>
    </row>
    <row r="84" ht="15.75" customHeight="1">
      <c r="CT84" s="11"/>
      <c r="CU84" s="11"/>
      <c r="CV84" s="11"/>
      <c r="CW84" s="11"/>
      <c r="CX84" s="11"/>
      <c r="CY84" s="11"/>
      <c r="CZ84" s="11"/>
      <c r="DA84" s="11"/>
      <c r="DB84" s="11"/>
      <c r="DC84" s="11"/>
      <c r="DD84" s="11"/>
      <c r="DE84" s="11"/>
      <c r="DF84" s="11"/>
      <c r="DG84" s="11"/>
    </row>
    <row r="85" ht="15.75" customHeight="1">
      <c r="CT85" s="11"/>
      <c r="CU85" s="11"/>
      <c r="CV85" s="11"/>
      <c r="CW85" s="11"/>
      <c r="CX85" s="11"/>
      <c r="CY85" s="11"/>
      <c r="CZ85" s="11"/>
      <c r="DA85" s="11"/>
      <c r="DB85" s="11"/>
      <c r="DC85" s="11"/>
      <c r="DD85" s="11"/>
      <c r="DE85" s="11"/>
      <c r="DF85" s="11"/>
      <c r="DG85" s="11"/>
    </row>
    <row r="86" ht="15.75" customHeight="1">
      <c r="CT86" s="11"/>
      <c r="CU86" s="11"/>
      <c r="CV86" s="11"/>
      <c r="CW86" s="11"/>
      <c r="CX86" s="11"/>
      <c r="CY86" s="11"/>
      <c r="CZ86" s="11"/>
      <c r="DA86" s="11"/>
      <c r="DB86" s="11"/>
      <c r="DC86" s="11"/>
      <c r="DD86" s="11"/>
      <c r="DE86" s="11"/>
      <c r="DF86" s="11"/>
      <c r="DG86" s="11"/>
    </row>
    <row r="87" ht="15.75" customHeight="1">
      <c r="CT87" s="11"/>
      <c r="CU87" s="11"/>
      <c r="CV87" s="11"/>
      <c r="CW87" s="11"/>
      <c r="CX87" s="11"/>
      <c r="CY87" s="11"/>
      <c r="CZ87" s="11"/>
      <c r="DA87" s="11"/>
      <c r="DB87" s="11"/>
      <c r="DC87" s="11"/>
      <c r="DD87" s="11"/>
      <c r="DE87" s="11"/>
      <c r="DF87" s="11"/>
      <c r="DG87" s="11"/>
    </row>
    <row r="88" ht="15.75" customHeight="1">
      <c r="CT88" s="11"/>
      <c r="CU88" s="11"/>
      <c r="CV88" s="11"/>
      <c r="CW88" s="11"/>
      <c r="CX88" s="11"/>
      <c r="CY88" s="11"/>
      <c r="CZ88" s="11"/>
      <c r="DA88" s="11"/>
      <c r="DB88" s="11"/>
      <c r="DC88" s="11"/>
      <c r="DD88" s="11"/>
      <c r="DE88" s="11"/>
      <c r="DF88" s="11"/>
      <c r="DG88" s="11"/>
    </row>
    <row r="89" ht="15.75" customHeight="1">
      <c r="CT89" s="11"/>
      <c r="CU89" s="11"/>
      <c r="CV89" s="11"/>
      <c r="CW89" s="11"/>
      <c r="CX89" s="11"/>
      <c r="CY89" s="11"/>
      <c r="CZ89" s="11"/>
      <c r="DA89" s="11"/>
      <c r="DB89" s="11"/>
      <c r="DC89" s="11"/>
      <c r="DD89" s="11"/>
      <c r="DE89" s="11"/>
      <c r="DF89" s="11"/>
      <c r="DG89" s="11"/>
    </row>
    <row r="90" ht="15.75" customHeight="1">
      <c r="CT90" s="11"/>
      <c r="CU90" s="11"/>
      <c r="CV90" s="11"/>
      <c r="CW90" s="11"/>
      <c r="CX90" s="11"/>
      <c r="CY90" s="11"/>
      <c r="CZ90" s="11"/>
      <c r="DA90" s="11"/>
      <c r="DB90" s="11"/>
      <c r="DC90" s="11"/>
      <c r="DD90" s="11"/>
      <c r="DE90" s="11"/>
      <c r="DF90" s="11"/>
      <c r="DG90" s="11"/>
    </row>
    <row r="91" ht="15.75" customHeight="1">
      <c r="CT91" s="11"/>
      <c r="CU91" s="11"/>
      <c r="CV91" s="11"/>
      <c r="CW91" s="11"/>
      <c r="CX91" s="11"/>
      <c r="CY91" s="11"/>
      <c r="CZ91" s="11"/>
      <c r="DA91" s="11"/>
      <c r="DB91" s="11"/>
      <c r="DC91" s="11"/>
      <c r="DD91" s="11"/>
      <c r="DE91" s="11"/>
      <c r="DF91" s="11"/>
      <c r="DG91" s="11"/>
    </row>
    <row r="92" ht="15.75" customHeight="1">
      <c r="CT92" s="11"/>
      <c r="CU92" s="11"/>
      <c r="CV92" s="11"/>
      <c r="CW92" s="11"/>
      <c r="CX92" s="11"/>
      <c r="CY92" s="11"/>
      <c r="CZ92" s="11"/>
      <c r="DA92" s="11"/>
      <c r="DB92" s="11"/>
      <c r="DC92" s="11"/>
      <c r="DD92" s="11"/>
      <c r="DE92" s="11"/>
      <c r="DF92" s="11"/>
      <c r="DG92" s="11"/>
    </row>
    <row r="93" ht="15.75" customHeight="1">
      <c r="CT93" s="11"/>
      <c r="CU93" s="11"/>
      <c r="CV93" s="11"/>
      <c r="CW93" s="11"/>
      <c r="CX93" s="11"/>
      <c r="CY93" s="11"/>
      <c r="CZ93" s="11"/>
      <c r="DA93" s="11"/>
      <c r="DB93" s="11"/>
      <c r="DC93" s="11"/>
      <c r="DD93" s="11"/>
      <c r="DE93" s="11"/>
      <c r="DF93" s="11"/>
      <c r="DG93" s="11"/>
    </row>
    <row r="94" ht="15.75" customHeight="1">
      <c r="CT94" s="11"/>
      <c r="CU94" s="11"/>
      <c r="CV94" s="11"/>
      <c r="CW94" s="11"/>
      <c r="CX94" s="11"/>
      <c r="CY94" s="11"/>
      <c r="CZ94" s="11"/>
      <c r="DA94" s="11"/>
      <c r="DB94" s="11"/>
      <c r="DC94" s="11"/>
      <c r="DD94" s="11"/>
      <c r="DE94" s="11"/>
      <c r="DF94" s="11"/>
      <c r="DG94" s="11"/>
    </row>
    <row r="95" ht="15.75" customHeight="1">
      <c r="CT95" s="11"/>
      <c r="CU95" s="11"/>
      <c r="CV95" s="11"/>
      <c r="CW95" s="11"/>
      <c r="CX95" s="11"/>
      <c r="CY95" s="11"/>
      <c r="CZ95" s="11"/>
      <c r="DA95" s="11"/>
      <c r="DB95" s="11"/>
      <c r="DC95" s="11"/>
      <c r="DD95" s="11"/>
      <c r="DE95" s="11"/>
      <c r="DF95" s="11"/>
      <c r="DG95" s="11"/>
    </row>
    <row r="96" ht="15.75" customHeight="1">
      <c r="CT96" s="11"/>
      <c r="CU96" s="11"/>
      <c r="CV96" s="11"/>
      <c r="CW96" s="11"/>
      <c r="CX96" s="11"/>
      <c r="CY96" s="11"/>
      <c r="CZ96" s="11"/>
      <c r="DA96" s="11"/>
      <c r="DB96" s="11"/>
      <c r="DC96" s="11"/>
      <c r="DD96" s="11"/>
      <c r="DE96" s="11"/>
      <c r="DF96" s="11"/>
      <c r="DG96" s="11"/>
    </row>
    <row r="97" ht="15.75" customHeight="1">
      <c r="CT97" s="11"/>
      <c r="CU97" s="11"/>
      <c r="CV97" s="11"/>
      <c r="CW97" s="11"/>
      <c r="CX97" s="11"/>
      <c r="CY97" s="11"/>
      <c r="CZ97" s="11"/>
      <c r="DA97" s="11"/>
      <c r="DB97" s="11"/>
      <c r="DC97" s="11"/>
      <c r="DD97" s="11"/>
      <c r="DE97" s="11"/>
      <c r="DF97" s="11"/>
      <c r="DG97" s="11"/>
    </row>
    <row r="98" ht="15.75" customHeight="1">
      <c r="CT98" s="11"/>
      <c r="CU98" s="11"/>
      <c r="CV98" s="11"/>
      <c r="CW98" s="11"/>
      <c r="CX98" s="11"/>
      <c r="CY98" s="11"/>
      <c r="CZ98" s="11"/>
      <c r="DA98" s="11"/>
      <c r="DB98" s="11"/>
      <c r="DC98" s="11"/>
      <c r="DD98" s="11"/>
      <c r="DE98" s="11"/>
      <c r="DF98" s="11"/>
      <c r="DG98" s="11"/>
    </row>
    <row r="99" ht="15.75" customHeight="1">
      <c r="CT99" s="11"/>
      <c r="CU99" s="11"/>
      <c r="CV99" s="11"/>
      <c r="CW99" s="11"/>
      <c r="CX99" s="11"/>
      <c r="CY99" s="11"/>
      <c r="CZ99" s="11"/>
      <c r="DA99" s="11"/>
      <c r="DB99" s="11"/>
      <c r="DC99" s="11"/>
      <c r="DD99" s="11"/>
      <c r="DE99" s="11"/>
      <c r="DF99" s="11"/>
      <c r="DG99" s="11"/>
    </row>
    <row r="100" ht="15.75" customHeight="1">
      <c r="CT100" s="11"/>
      <c r="CU100" s="11"/>
      <c r="CV100" s="11"/>
      <c r="CW100" s="11"/>
      <c r="CX100" s="11"/>
      <c r="CY100" s="11"/>
      <c r="CZ100" s="11"/>
      <c r="DA100" s="11"/>
      <c r="DB100" s="11"/>
      <c r="DC100" s="11"/>
      <c r="DD100" s="11"/>
      <c r="DE100" s="11"/>
      <c r="DF100" s="11"/>
      <c r="DG100" s="11"/>
    </row>
    <row r="101" ht="15.75" customHeight="1">
      <c r="CT101" s="11"/>
      <c r="CU101" s="11"/>
      <c r="CV101" s="11"/>
      <c r="CW101" s="11"/>
      <c r="CX101" s="11"/>
      <c r="CY101" s="11"/>
      <c r="CZ101" s="11"/>
      <c r="DA101" s="11"/>
      <c r="DB101" s="11"/>
      <c r="DC101" s="11"/>
      <c r="DD101" s="11"/>
      <c r="DE101" s="11"/>
      <c r="DF101" s="11"/>
      <c r="DG101" s="11"/>
    </row>
    <row r="102" ht="15.75" customHeight="1">
      <c r="CT102" s="11"/>
      <c r="CU102" s="11"/>
      <c r="CV102" s="11"/>
      <c r="CW102" s="11"/>
      <c r="CX102" s="11"/>
      <c r="CY102" s="11"/>
      <c r="CZ102" s="11"/>
      <c r="DA102" s="11"/>
      <c r="DB102" s="11"/>
      <c r="DC102" s="11"/>
      <c r="DD102" s="11"/>
      <c r="DE102" s="11"/>
      <c r="DF102" s="11"/>
      <c r="DG102" s="11"/>
    </row>
    <row r="103" ht="15.75" customHeight="1">
      <c r="CT103" s="11"/>
      <c r="CU103" s="11"/>
      <c r="CV103" s="11"/>
      <c r="CW103" s="11"/>
      <c r="CX103" s="11"/>
      <c r="CY103" s="11"/>
      <c r="CZ103" s="11"/>
      <c r="DA103" s="11"/>
      <c r="DB103" s="11"/>
      <c r="DC103" s="11"/>
      <c r="DD103" s="11"/>
      <c r="DE103" s="11"/>
      <c r="DF103" s="11"/>
      <c r="DG103" s="11"/>
    </row>
    <row r="104" ht="15.75" customHeight="1">
      <c r="CT104" s="11"/>
      <c r="CU104" s="11"/>
      <c r="CV104" s="11"/>
      <c r="CW104" s="11"/>
      <c r="CX104" s="11"/>
      <c r="CY104" s="11"/>
      <c r="CZ104" s="11"/>
      <c r="DA104" s="11"/>
      <c r="DB104" s="11"/>
      <c r="DC104" s="11"/>
      <c r="DD104" s="11"/>
      <c r="DE104" s="11"/>
      <c r="DF104" s="11"/>
      <c r="DG104" s="11"/>
    </row>
    <row r="105" ht="15.75" customHeight="1">
      <c r="CT105" s="11"/>
      <c r="CU105" s="11"/>
      <c r="CV105" s="11"/>
      <c r="CW105" s="11"/>
      <c r="CX105" s="11"/>
      <c r="CY105" s="11"/>
      <c r="CZ105" s="11"/>
      <c r="DA105" s="11"/>
      <c r="DB105" s="11"/>
      <c r="DC105" s="11"/>
      <c r="DD105" s="11"/>
      <c r="DE105" s="11"/>
      <c r="DF105" s="11"/>
      <c r="DG105" s="11"/>
    </row>
    <row r="106" ht="15.75" customHeight="1">
      <c r="CT106" s="11"/>
      <c r="CU106" s="11"/>
      <c r="CV106" s="11"/>
      <c r="CW106" s="11"/>
      <c r="CX106" s="11"/>
      <c r="CY106" s="11"/>
      <c r="CZ106" s="11"/>
      <c r="DA106" s="11"/>
      <c r="DB106" s="11"/>
      <c r="DC106" s="11"/>
      <c r="DD106" s="11"/>
      <c r="DE106" s="11"/>
      <c r="DF106" s="11"/>
      <c r="DG106" s="11"/>
    </row>
    <row r="107" ht="15.75" customHeight="1">
      <c r="CT107" s="11"/>
      <c r="CU107" s="11"/>
      <c r="CV107" s="11"/>
      <c r="CW107" s="11"/>
      <c r="CX107" s="11"/>
      <c r="CY107" s="11"/>
      <c r="CZ107" s="11"/>
      <c r="DA107" s="11"/>
      <c r="DB107" s="11"/>
      <c r="DC107" s="11"/>
      <c r="DD107" s="11"/>
      <c r="DE107" s="11"/>
      <c r="DF107" s="11"/>
      <c r="DG107" s="11"/>
    </row>
    <row r="108" ht="15.75" customHeight="1">
      <c r="CT108" s="11"/>
      <c r="CU108" s="11"/>
      <c r="CV108" s="11"/>
      <c r="CW108" s="11"/>
      <c r="CX108" s="11"/>
      <c r="CY108" s="11"/>
      <c r="CZ108" s="11"/>
      <c r="DA108" s="11"/>
      <c r="DB108" s="11"/>
      <c r="DC108" s="11"/>
      <c r="DD108" s="11"/>
      <c r="DE108" s="11"/>
      <c r="DF108" s="11"/>
      <c r="DG108" s="11"/>
    </row>
    <row r="109" ht="15.75" customHeight="1">
      <c r="CT109" s="11"/>
      <c r="CU109" s="11"/>
      <c r="CV109" s="11"/>
      <c r="CW109" s="11"/>
      <c r="CX109" s="11"/>
      <c r="CY109" s="11"/>
      <c r="CZ109" s="11"/>
      <c r="DA109" s="11"/>
      <c r="DB109" s="11"/>
      <c r="DC109" s="11"/>
      <c r="DD109" s="11"/>
      <c r="DE109" s="11"/>
      <c r="DF109" s="11"/>
      <c r="DG109" s="11"/>
    </row>
    <row r="110" ht="15.75" customHeight="1">
      <c r="CT110" s="11"/>
      <c r="CU110" s="11"/>
      <c r="CV110" s="11"/>
      <c r="CW110" s="11"/>
      <c r="CX110" s="11"/>
      <c r="CY110" s="11"/>
      <c r="CZ110" s="11"/>
      <c r="DA110" s="11"/>
      <c r="DB110" s="11"/>
      <c r="DC110" s="11"/>
      <c r="DD110" s="11"/>
      <c r="DE110" s="11"/>
      <c r="DF110" s="11"/>
      <c r="DG110" s="11"/>
    </row>
    <row r="111" ht="15.75" customHeight="1">
      <c r="CT111" s="11"/>
      <c r="CU111" s="11"/>
      <c r="CV111" s="11"/>
      <c r="CW111" s="11"/>
      <c r="CX111" s="11"/>
      <c r="CY111" s="11"/>
      <c r="CZ111" s="11"/>
      <c r="DA111" s="11"/>
      <c r="DB111" s="11"/>
      <c r="DC111" s="11"/>
      <c r="DD111" s="11"/>
      <c r="DE111" s="11"/>
      <c r="DF111" s="11"/>
      <c r="DG111" s="11"/>
    </row>
    <row r="112" ht="15.75" customHeight="1">
      <c r="CT112" s="11"/>
      <c r="CU112" s="11"/>
      <c r="CV112" s="11"/>
      <c r="CW112" s="11"/>
      <c r="CX112" s="11"/>
      <c r="CY112" s="11"/>
      <c r="CZ112" s="11"/>
      <c r="DA112" s="11"/>
      <c r="DB112" s="11"/>
      <c r="DC112" s="11"/>
      <c r="DD112" s="11"/>
      <c r="DE112" s="11"/>
      <c r="DF112" s="11"/>
      <c r="DG112" s="11"/>
    </row>
    <row r="113" ht="15.75" customHeight="1">
      <c r="CT113" s="11"/>
      <c r="CU113" s="11"/>
      <c r="CV113" s="11"/>
      <c r="CW113" s="11"/>
      <c r="CX113" s="11"/>
      <c r="CY113" s="11"/>
      <c r="CZ113" s="11"/>
      <c r="DA113" s="11"/>
      <c r="DB113" s="11"/>
      <c r="DC113" s="11"/>
      <c r="DD113" s="11"/>
      <c r="DE113" s="11"/>
      <c r="DF113" s="11"/>
      <c r="DG113" s="11"/>
    </row>
    <row r="114" ht="15.75" customHeight="1">
      <c r="CT114" s="11"/>
      <c r="CU114" s="11"/>
      <c r="CV114" s="11"/>
      <c r="CW114" s="11"/>
      <c r="CX114" s="11"/>
      <c r="CY114" s="11"/>
      <c r="CZ114" s="11"/>
      <c r="DA114" s="11"/>
      <c r="DB114" s="11"/>
      <c r="DC114" s="11"/>
      <c r="DD114" s="11"/>
      <c r="DE114" s="11"/>
      <c r="DF114" s="11"/>
      <c r="DG114" s="11"/>
    </row>
    <row r="115" ht="15.75" customHeight="1">
      <c r="CT115" s="11"/>
      <c r="CU115" s="11"/>
      <c r="CV115" s="11"/>
      <c r="CW115" s="11"/>
      <c r="CX115" s="11"/>
      <c r="CY115" s="11"/>
      <c r="CZ115" s="11"/>
      <c r="DA115" s="11"/>
      <c r="DB115" s="11"/>
      <c r="DC115" s="11"/>
      <c r="DD115" s="11"/>
      <c r="DE115" s="11"/>
      <c r="DF115" s="11"/>
      <c r="DG115" s="11"/>
    </row>
    <row r="116" ht="15.75" customHeight="1">
      <c r="CT116" s="11"/>
      <c r="CU116" s="11"/>
      <c r="CV116" s="11"/>
      <c r="CW116" s="11"/>
      <c r="CX116" s="11"/>
      <c r="CY116" s="11"/>
      <c r="CZ116" s="11"/>
      <c r="DA116" s="11"/>
      <c r="DB116" s="11"/>
      <c r="DC116" s="11"/>
      <c r="DD116" s="11"/>
      <c r="DE116" s="11"/>
      <c r="DF116" s="11"/>
      <c r="DG116" s="11"/>
    </row>
    <row r="117" ht="15.75" customHeight="1">
      <c r="CT117" s="11"/>
      <c r="CU117" s="11"/>
      <c r="CV117" s="11"/>
      <c r="CW117" s="11"/>
      <c r="CX117" s="11"/>
      <c r="CY117" s="11"/>
      <c r="CZ117" s="11"/>
      <c r="DA117" s="11"/>
      <c r="DB117" s="11"/>
      <c r="DC117" s="11"/>
      <c r="DD117" s="11"/>
      <c r="DE117" s="11"/>
      <c r="DF117" s="11"/>
      <c r="DG117" s="11"/>
    </row>
    <row r="118" ht="15.75" customHeight="1">
      <c r="CT118" s="11"/>
      <c r="CU118" s="11"/>
      <c r="CV118" s="11"/>
      <c r="CW118" s="11"/>
      <c r="CX118" s="11"/>
      <c r="CY118" s="11"/>
      <c r="CZ118" s="11"/>
      <c r="DA118" s="11"/>
      <c r="DB118" s="11"/>
      <c r="DC118" s="11"/>
      <c r="DD118" s="11"/>
      <c r="DE118" s="11"/>
      <c r="DF118" s="11"/>
      <c r="DG118" s="11"/>
    </row>
    <row r="119" ht="15.75" customHeight="1">
      <c r="CT119" s="11"/>
      <c r="CU119" s="11"/>
      <c r="CV119" s="11"/>
      <c r="CW119" s="11"/>
      <c r="CX119" s="11"/>
      <c r="CY119" s="11"/>
      <c r="CZ119" s="11"/>
      <c r="DA119" s="11"/>
      <c r="DB119" s="11"/>
      <c r="DC119" s="11"/>
      <c r="DD119" s="11"/>
      <c r="DE119" s="11"/>
      <c r="DF119" s="11"/>
      <c r="DG119" s="11"/>
    </row>
    <row r="120" ht="15.75" customHeight="1">
      <c r="CT120" s="11"/>
      <c r="CU120" s="11"/>
      <c r="CV120" s="11"/>
      <c r="CW120" s="11"/>
      <c r="CX120" s="11"/>
      <c r="CY120" s="11"/>
      <c r="CZ120" s="11"/>
      <c r="DA120" s="11"/>
      <c r="DB120" s="11"/>
      <c r="DC120" s="11"/>
      <c r="DD120" s="11"/>
      <c r="DE120" s="11"/>
      <c r="DF120" s="11"/>
      <c r="DG120" s="11"/>
    </row>
    <row r="121" ht="15.75" customHeight="1">
      <c r="CT121" s="11"/>
      <c r="CU121" s="11"/>
      <c r="CV121" s="11"/>
      <c r="CW121" s="11"/>
      <c r="CX121" s="11"/>
      <c r="CY121" s="11"/>
      <c r="CZ121" s="11"/>
      <c r="DA121" s="11"/>
      <c r="DB121" s="11"/>
      <c r="DC121" s="11"/>
      <c r="DD121" s="11"/>
      <c r="DE121" s="11"/>
      <c r="DF121" s="11"/>
      <c r="DG121" s="11"/>
    </row>
    <row r="122" ht="15.75" customHeight="1">
      <c r="CT122" s="11"/>
      <c r="CU122" s="11"/>
      <c r="CV122" s="11"/>
      <c r="CW122" s="11"/>
      <c r="CX122" s="11"/>
      <c r="CY122" s="11"/>
      <c r="CZ122" s="11"/>
      <c r="DA122" s="11"/>
      <c r="DB122" s="11"/>
      <c r="DC122" s="11"/>
      <c r="DD122" s="11"/>
      <c r="DE122" s="11"/>
      <c r="DF122" s="11"/>
      <c r="DG122" s="11"/>
    </row>
    <row r="123" ht="15.75" customHeight="1">
      <c r="CT123" s="11"/>
      <c r="CU123" s="11"/>
      <c r="CV123" s="11"/>
      <c r="CW123" s="11"/>
      <c r="CX123" s="11"/>
      <c r="CY123" s="11"/>
      <c r="CZ123" s="11"/>
      <c r="DA123" s="11"/>
      <c r="DB123" s="11"/>
      <c r="DC123" s="11"/>
      <c r="DD123" s="11"/>
      <c r="DE123" s="11"/>
      <c r="DF123" s="11"/>
      <c r="DG123" s="11"/>
    </row>
    <row r="124" ht="15.75" customHeight="1">
      <c r="CT124" s="11"/>
      <c r="CU124" s="11"/>
      <c r="CV124" s="11"/>
      <c r="CW124" s="11"/>
      <c r="CX124" s="11"/>
      <c r="CY124" s="11"/>
      <c r="CZ124" s="11"/>
      <c r="DA124" s="11"/>
      <c r="DB124" s="11"/>
      <c r="DC124" s="11"/>
      <c r="DD124" s="11"/>
      <c r="DE124" s="11"/>
      <c r="DF124" s="11"/>
      <c r="DG124" s="11"/>
    </row>
    <row r="125" ht="15.75" customHeight="1">
      <c r="CT125" s="11"/>
      <c r="CU125" s="11"/>
      <c r="CV125" s="11"/>
      <c r="CW125" s="11"/>
      <c r="CX125" s="11"/>
      <c r="CY125" s="11"/>
      <c r="CZ125" s="11"/>
      <c r="DA125" s="11"/>
      <c r="DB125" s="11"/>
      <c r="DC125" s="11"/>
      <c r="DD125" s="11"/>
      <c r="DE125" s="11"/>
      <c r="DF125" s="11"/>
      <c r="DG125" s="11"/>
    </row>
    <row r="126" ht="15.75" customHeight="1">
      <c r="CT126" s="11"/>
      <c r="CU126" s="11"/>
      <c r="CV126" s="11"/>
      <c r="CW126" s="11"/>
      <c r="CX126" s="11"/>
      <c r="CY126" s="11"/>
      <c r="CZ126" s="11"/>
      <c r="DA126" s="11"/>
      <c r="DB126" s="11"/>
      <c r="DC126" s="11"/>
      <c r="DD126" s="11"/>
      <c r="DE126" s="11"/>
      <c r="DF126" s="11"/>
      <c r="DG126" s="11"/>
    </row>
    <row r="127" ht="15.75" customHeight="1">
      <c r="CT127" s="11"/>
      <c r="CU127" s="11"/>
      <c r="CV127" s="11"/>
      <c r="CW127" s="11"/>
      <c r="CX127" s="11"/>
      <c r="CY127" s="11"/>
      <c r="CZ127" s="11"/>
      <c r="DA127" s="11"/>
      <c r="DB127" s="11"/>
      <c r="DC127" s="11"/>
      <c r="DD127" s="11"/>
      <c r="DE127" s="11"/>
      <c r="DF127" s="11"/>
      <c r="DG127" s="11"/>
    </row>
    <row r="128" ht="15.75" customHeight="1">
      <c r="CT128" s="11"/>
      <c r="CU128" s="11"/>
      <c r="CV128" s="11"/>
      <c r="CW128" s="11"/>
      <c r="CX128" s="11"/>
      <c r="CY128" s="11"/>
      <c r="CZ128" s="11"/>
      <c r="DA128" s="11"/>
      <c r="DB128" s="11"/>
      <c r="DC128" s="11"/>
      <c r="DD128" s="11"/>
      <c r="DE128" s="11"/>
      <c r="DF128" s="11"/>
      <c r="DG128" s="11"/>
    </row>
    <row r="129" ht="15.75" customHeight="1">
      <c r="CT129" s="11"/>
      <c r="CU129" s="11"/>
      <c r="CV129" s="11"/>
      <c r="CW129" s="11"/>
      <c r="CX129" s="11"/>
      <c r="CY129" s="11"/>
      <c r="CZ129" s="11"/>
      <c r="DA129" s="11"/>
      <c r="DB129" s="11"/>
      <c r="DC129" s="11"/>
      <c r="DD129" s="11"/>
      <c r="DE129" s="11"/>
      <c r="DF129" s="11"/>
      <c r="DG129" s="11"/>
    </row>
    <row r="130" ht="15.75" customHeight="1">
      <c r="CT130" s="11"/>
      <c r="CU130" s="11"/>
      <c r="CV130" s="11"/>
      <c r="CW130" s="11"/>
      <c r="CX130" s="11"/>
      <c r="CY130" s="11"/>
      <c r="CZ130" s="11"/>
      <c r="DA130" s="11"/>
      <c r="DB130" s="11"/>
      <c r="DC130" s="11"/>
      <c r="DD130" s="11"/>
      <c r="DE130" s="11"/>
      <c r="DF130" s="11"/>
      <c r="DG130" s="11"/>
    </row>
    <row r="131" ht="15.75" customHeight="1">
      <c r="CT131" s="11"/>
      <c r="CU131" s="11"/>
      <c r="CV131" s="11"/>
      <c r="CW131" s="11"/>
      <c r="CX131" s="11"/>
      <c r="CY131" s="11"/>
      <c r="CZ131" s="11"/>
      <c r="DA131" s="11"/>
      <c r="DB131" s="11"/>
      <c r="DC131" s="11"/>
      <c r="DD131" s="11"/>
      <c r="DE131" s="11"/>
      <c r="DF131" s="11"/>
      <c r="DG131" s="11"/>
    </row>
    <row r="132" ht="15.75" customHeight="1">
      <c r="CT132" s="11"/>
      <c r="CU132" s="11"/>
      <c r="CV132" s="11"/>
      <c r="CW132" s="11"/>
      <c r="CX132" s="11"/>
      <c r="CY132" s="11"/>
      <c r="CZ132" s="11"/>
      <c r="DA132" s="11"/>
      <c r="DB132" s="11"/>
      <c r="DC132" s="11"/>
      <c r="DD132" s="11"/>
      <c r="DE132" s="11"/>
      <c r="DF132" s="11"/>
      <c r="DG132" s="11"/>
    </row>
    <row r="133" ht="15.75" customHeight="1">
      <c r="CT133" s="11"/>
      <c r="CU133" s="11"/>
      <c r="CV133" s="11"/>
      <c r="CW133" s="11"/>
      <c r="CX133" s="11"/>
      <c r="CY133" s="11"/>
      <c r="CZ133" s="11"/>
      <c r="DA133" s="11"/>
      <c r="DB133" s="11"/>
      <c r="DC133" s="11"/>
      <c r="DD133" s="11"/>
      <c r="DE133" s="11"/>
      <c r="DF133" s="11"/>
      <c r="DG133" s="11"/>
    </row>
    <row r="134" ht="15.75" customHeight="1">
      <c r="CT134" s="11"/>
      <c r="CU134" s="11"/>
      <c r="CV134" s="11"/>
      <c r="CW134" s="11"/>
      <c r="CX134" s="11"/>
      <c r="CY134" s="11"/>
      <c r="CZ134" s="11"/>
      <c r="DA134" s="11"/>
      <c r="DB134" s="11"/>
      <c r="DC134" s="11"/>
      <c r="DD134" s="11"/>
      <c r="DE134" s="11"/>
      <c r="DF134" s="11"/>
      <c r="DG134" s="11"/>
    </row>
    <row r="135" ht="15.75" customHeight="1">
      <c r="CT135" s="11"/>
      <c r="CU135" s="11"/>
      <c r="CV135" s="11"/>
      <c r="CW135" s="11"/>
      <c r="CX135" s="11"/>
      <c r="CY135" s="11"/>
      <c r="CZ135" s="11"/>
      <c r="DA135" s="11"/>
      <c r="DB135" s="11"/>
      <c r="DC135" s="11"/>
      <c r="DD135" s="11"/>
      <c r="DE135" s="11"/>
      <c r="DF135" s="11"/>
      <c r="DG135" s="11"/>
    </row>
    <row r="136" ht="15.75" customHeight="1">
      <c r="CT136" s="11"/>
      <c r="CU136" s="11"/>
      <c r="CV136" s="11"/>
      <c r="CW136" s="11"/>
      <c r="CX136" s="11"/>
      <c r="CY136" s="11"/>
      <c r="CZ136" s="11"/>
      <c r="DA136" s="11"/>
      <c r="DB136" s="11"/>
      <c r="DC136" s="11"/>
      <c r="DD136" s="11"/>
      <c r="DE136" s="11"/>
      <c r="DF136" s="11"/>
      <c r="DG136" s="11"/>
    </row>
    <row r="137" ht="15.75" customHeight="1">
      <c r="CT137" s="11"/>
      <c r="CU137" s="11"/>
      <c r="CV137" s="11"/>
      <c r="CW137" s="11"/>
      <c r="CX137" s="11"/>
      <c r="CY137" s="11"/>
      <c r="CZ137" s="11"/>
      <c r="DA137" s="11"/>
      <c r="DB137" s="11"/>
      <c r="DC137" s="11"/>
      <c r="DD137" s="11"/>
      <c r="DE137" s="11"/>
      <c r="DF137" s="11"/>
      <c r="DG137" s="11"/>
    </row>
    <row r="138" ht="15.75" customHeight="1">
      <c r="CT138" s="11"/>
      <c r="CU138" s="11"/>
      <c r="CV138" s="11"/>
      <c r="CW138" s="11"/>
      <c r="CX138" s="11"/>
      <c r="CY138" s="11"/>
      <c r="CZ138" s="11"/>
      <c r="DA138" s="11"/>
      <c r="DB138" s="11"/>
      <c r="DC138" s="11"/>
      <c r="DD138" s="11"/>
      <c r="DE138" s="11"/>
      <c r="DF138" s="11"/>
      <c r="DG138" s="11"/>
    </row>
    <row r="139" ht="15.75" customHeight="1">
      <c r="CT139" s="11"/>
      <c r="CU139" s="11"/>
      <c r="CV139" s="11"/>
      <c r="CW139" s="11"/>
      <c r="CX139" s="11"/>
      <c r="CY139" s="11"/>
      <c r="CZ139" s="11"/>
      <c r="DA139" s="11"/>
      <c r="DB139" s="11"/>
      <c r="DC139" s="11"/>
      <c r="DD139" s="11"/>
      <c r="DE139" s="11"/>
      <c r="DF139" s="11"/>
      <c r="DG139" s="11"/>
    </row>
    <row r="140" ht="15.75" customHeight="1">
      <c r="CT140" s="11"/>
      <c r="CU140" s="11"/>
      <c r="CV140" s="11"/>
      <c r="CW140" s="11"/>
      <c r="CX140" s="11"/>
      <c r="CY140" s="11"/>
      <c r="CZ140" s="11"/>
      <c r="DA140" s="11"/>
      <c r="DB140" s="11"/>
      <c r="DC140" s="11"/>
      <c r="DD140" s="11"/>
      <c r="DE140" s="11"/>
      <c r="DF140" s="11"/>
      <c r="DG140" s="11"/>
    </row>
    <row r="141" ht="15.75" customHeight="1">
      <c r="CT141" s="11"/>
      <c r="CU141" s="11"/>
      <c r="CV141" s="11"/>
      <c r="CW141" s="11"/>
      <c r="CX141" s="11"/>
      <c r="CY141" s="11"/>
      <c r="CZ141" s="11"/>
      <c r="DA141" s="11"/>
      <c r="DB141" s="11"/>
      <c r="DC141" s="11"/>
      <c r="DD141" s="11"/>
      <c r="DE141" s="11"/>
      <c r="DF141" s="11"/>
      <c r="DG141" s="11"/>
    </row>
    <row r="142" ht="15.75" customHeight="1">
      <c r="CT142" s="11"/>
      <c r="CU142" s="11"/>
      <c r="CV142" s="11"/>
      <c r="CW142" s="11"/>
      <c r="CX142" s="11"/>
      <c r="CY142" s="11"/>
      <c r="CZ142" s="11"/>
      <c r="DA142" s="11"/>
      <c r="DB142" s="11"/>
      <c r="DC142" s="11"/>
      <c r="DD142" s="11"/>
      <c r="DE142" s="11"/>
      <c r="DF142" s="11"/>
      <c r="DG142" s="11"/>
    </row>
    <row r="143" ht="15.75" customHeight="1">
      <c r="CT143" s="11"/>
      <c r="CU143" s="11"/>
      <c r="CV143" s="11"/>
      <c r="CW143" s="11"/>
      <c r="CX143" s="11"/>
      <c r="CY143" s="11"/>
      <c r="CZ143" s="11"/>
      <c r="DA143" s="11"/>
      <c r="DB143" s="11"/>
      <c r="DC143" s="11"/>
      <c r="DD143" s="11"/>
      <c r="DE143" s="11"/>
      <c r="DF143" s="11"/>
      <c r="DG143" s="11"/>
    </row>
    <row r="144" ht="15.75" customHeight="1">
      <c r="CT144" s="11"/>
      <c r="CU144" s="11"/>
      <c r="CV144" s="11"/>
      <c r="CW144" s="11"/>
      <c r="CX144" s="11"/>
      <c r="CY144" s="11"/>
      <c r="CZ144" s="11"/>
      <c r="DA144" s="11"/>
      <c r="DB144" s="11"/>
      <c r="DC144" s="11"/>
      <c r="DD144" s="11"/>
      <c r="DE144" s="11"/>
      <c r="DF144" s="11"/>
      <c r="DG144" s="11"/>
    </row>
    <row r="145" ht="15.75" customHeight="1">
      <c r="CT145" s="11"/>
      <c r="CU145" s="11"/>
      <c r="CV145" s="11"/>
      <c r="CW145" s="11"/>
      <c r="CX145" s="11"/>
      <c r="CY145" s="11"/>
      <c r="CZ145" s="11"/>
      <c r="DA145" s="11"/>
      <c r="DB145" s="11"/>
      <c r="DC145" s="11"/>
      <c r="DD145" s="11"/>
      <c r="DE145" s="11"/>
      <c r="DF145" s="11"/>
      <c r="DG145" s="11"/>
    </row>
    <row r="146" ht="15.75" customHeight="1">
      <c r="CT146" s="11"/>
      <c r="CU146" s="11"/>
      <c r="CV146" s="11"/>
      <c r="CW146" s="11"/>
      <c r="CX146" s="11"/>
      <c r="CY146" s="11"/>
      <c r="CZ146" s="11"/>
      <c r="DA146" s="11"/>
      <c r="DB146" s="11"/>
      <c r="DC146" s="11"/>
      <c r="DD146" s="11"/>
      <c r="DE146" s="11"/>
      <c r="DF146" s="11"/>
      <c r="DG146" s="11"/>
    </row>
    <row r="147" ht="15.75" customHeight="1">
      <c r="CT147" s="11"/>
      <c r="CU147" s="11"/>
      <c r="CV147" s="11"/>
      <c r="CW147" s="11"/>
      <c r="CX147" s="11"/>
      <c r="CY147" s="11"/>
      <c r="CZ147" s="11"/>
      <c r="DA147" s="11"/>
      <c r="DB147" s="11"/>
      <c r="DC147" s="11"/>
      <c r="DD147" s="11"/>
      <c r="DE147" s="11"/>
      <c r="DF147" s="11"/>
      <c r="DG147" s="11"/>
    </row>
    <row r="148" ht="15.75" customHeight="1">
      <c r="CT148" s="11"/>
      <c r="CU148" s="11"/>
      <c r="CV148" s="11"/>
      <c r="CW148" s="11"/>
      <c r="CX148" s="11"/>
      <c r="CY148" s="11"/>
      <c r="CZ148" s="11"/>
      <c r="DA148" s="11"/>
      <c r="DB148" s="11"/>
      <c r="DC148" s="11"/>
      <c r="DD148" s="11"/>
      <c r="DE148" s="11"/>
      <c r="DF148" s="11"/>
      <c r="DG148" s="11"/>
    </row>
    <row r="149" ht="15.75" customHeight="1">
      <c r="CT149" s="11"/>
      <c r="CU149" s="11"/>
      <c r="CV149" s="11"/>
      <c r="CW149" s="11"/>
      <c r="CX149" s="11"/>
      <c r="CY149" s="11"/>
      <c r="CZ149" s="11"/>
      <c r="DA149" s="11"/>
      <c r="DB149" s="11"/>
      <c r="DC149" s="11"/>
      <c r="DD149" s="11"/>
      <c r="DE149" s="11"/>
      <c r="DF149" s="11"/>
      <c r="DG149" s="11"/>
    </row>
    <row r="150" ht="15.75" customHeight="1">
      <c r="CT150" s="11"/>
      <c r="CU150" s="11"/>
      <c r="CV150" s="11"/>
      <c r="CW150" s="11"/>
      <c r="CX150" s="11"/>
      <c r="CY150" s="11"/>
      <c r="CZ150" s="11"/>
      <c r="DA150" s="11"/>
      <c r="DB150" s="11"/>
      <c r="DC150" s="11"/>
      <c r="DD150" s="11"/>
      <c r="DE150" s="11"/>
      <c r="DF150" s="11"/>
      <c r="DG150" s="11"/>
    </row>
    <row r="151" ht="15.75" customHeight="1">
      <c r="CT151" s="11"/>
      <c r="CU151" s="11"/>
      <c r="CV151" s="11"/>
      <c r="CW151" s="11"/>
      <c r="CX151" s="11"/>
      <c r="CY151" s="11"/>
      <c r="CZ151" s="11"/>
      <c r="DA151" s="11"/>
      <c r="DB151" s="11"/>
      <c r="DC151" s="11"/>
      <c r="DD151" s="11"/>
      <c r="DE151" s="11"/>
      <c r="DF151" s="11"/>
      <c r="DG151" s="11"/>
    </row>
    <row r="152" ht="15.75" customHeight="1">
      <c r="CT152" s="11"/>
      <c r="CU152" s="11"/>
      <c r="CV152" s="11"/>
      <c r="CW152" s="11"/>
      <c r="CX152" s="11"/>
      <c r="CY152" s="11"/>
      <c r="CZ152" s="11"/>
      <c r="DA152" s="11"/>
      <c r="DB152" s="11"/>
      <c r="DC152" s="11"/>
      <c r="DD152" s="11"/>
      <c r="DE152" s="11"/>
      <c r="DF152" s="11"/>
      <c r="DG152" s="11"/>
    </row>
    <row r="153" ht="15.75" customHeight="1">
      <c r="CT153" s="11"/>
      <c r="CU153" s="11"/>
      <c r="CV153" s="11"/>
      <c r="CW153" s="11"/>
      <c r="CX153" s="11"/>
      <c r="CY153" s="11"/>
      <c r="CZ153" s="11"/>
      <c r="DA153" s="11"/>
      <c r="DB153" s="11"/>
      <c r="DC153" s="11"/>
      <c r="DD153" s="11"/>
      <c r="DE153" s="11"/>
      <c r="DF153" s="11"/>
      <c r="DG153" s="11"/>
    </row>
    <row r="154" ht="15.75" customHeight="1">
      <c r="CT154" s="11"/>
      <c r="CU154" s="11"/>
      <c r="CV154" s="11"/>
      <c r="CW154" s="11"/>
      <c r="CX154" s="11"/>
      <c r="CY154" s="11"/>
      <c r="CZ154" s="11"/>
      <c r="DA154" s="11"/>
      <c r="DB154" s="11"/>
      <c r="DC154" s="11"/>
      <c r="DD154" s="11"/>
      <c r="DE154" s="11"/>
      <c r="DF154" s="11"/>
      <c r="DG154" s="11"/>
    </row>
    <row r="155" ht="15.75" customHeight="1">
      <c r="CT155" s="11"/>
      <c r="CU155" s="11"/>
      <c r="CV155" s="11"/>
      <c r="CW155" s="11"/>
      <c r="CX155" s="11"/>
      <c r="CY155" s="11"/>
      <c r="CZ155" s="11"/>
      <c r="DA155" s="11"/>
      <c r="DB155" s="11"/>
      <c r="DC155" s="11"/>
      <c r="DD155" s="11"/>
      <c r="DE155" s="11"/>
      <c r="DF155" s="11"/>
      <c r="DG155" s="11"/>
    </row>
    <row r="156" ht="15.75" customHeight="1">
      <c r="CT156" s="11"/>
      <c r="CU156" s="11"/>
      <c r="CV156" s="11"/>
      <c r="CW156" s="11"/>
      <c r="CX156" s="11"/>
      <c r="CY156" s="11"/>
      <c r="CZ156" s="11"/>
      <c r="DA156" s="11"/>
      <c r="DB156" s="11"/>
      <c r="DC156" s="11"/>
      <c r="DD156" s="11"/>
      <c r="DE156" s="11"/>
      <c r="DF156" s="11"/>
      <c r="DG156" s="11"/>
    </row>
    <row r="157" ht="15.75" customHeight="1">
      <c r="CT157" s="11"/>
      <c r="CU157" s="11"/>
      <c r="CV157" s="11"/>
      <c r="CW157" s="11"/>
      <c r="CX157" s="11"/>
      <c r="CY157" s="11"/>
      <c r="CZ157" s="11"/>
      <c r="DA157" s="11"/>
      <c r="DB157" s="11"/>
      <c r="DC157" s="11"/>
      <c r="DD157" s="11"/>
      <c r="DE157" s="11"/>
      <c r="DF157" s="11"/>
      <c r="DG157" s="11"/>
    </row>
    <row r="158" ht="15.75" customHeight="1">
      <c r="CT158" s="11"/>
      <c r="CU158" s="11"/>
      <c r="CV158" s="11"/>
      <c r="CW158" s="11"/>
      <c r="CX158" s="11"/>
      <c r="CY158" s="11"/>
      <c r="CZ158" s="11"/>
      <c r="DA158" s="11"/>
      <c r="DB158" s="11"/>
      <c r="DC158" s="11"/>
      <c r="DD158" s="11"/>
      <c r="DE158" s="11"/>
      <c r="DF158" s="11"/>
      <c r="DG158" s="11"/>
    </row>
    <row r="159" ht="15.75" customHeight="1">
      <c r="CT159" s="11"/>
      <c r="CU159" s="11"/>
      <c r="CV159" s="11"/>
      <c r="CW159" s="11"/>
      <c r="CX159" s="11"/>
      <c r="CY159" s="11"/>
      <c r="CZ159" s="11"/>
      <c r="DA159" s="11"/>
      <c r="DB159" s="11"/>
      <c r="DC159" s="11"/>
      <c r="DD159" s="11"/>
      <c r="DE159" s="11"/>
      <c r="DF159" s="11"/>
      <c r="DG159" s="11"/>
    </row>
    <row r="160" ht="15.75" customHeight="1">
      <c r="CT160" s="11"/>
      <c r="CU160" s="11"/>
      <c r="CV160" s="11"/>
      <c r="CW160" s="11"/>
      <c r="CX160" s="11"/>
      <c r="CY160" s="11"/>
      <c r="CZ160" s="11"/>
      <c r="DA160" s="11"/>
      <c r="DB160" s="11"/>
      <c r="DC160" s="11"/>
      <c r="DD160" s="11"/>
      <c r="DE160" s="11"/>
      <c r="DF160" s="11"/>
      <c r="DG160" s="11"/>
    </row>
    <row r="161" ht="15.75" customHeight="1">
      <c r="CT161" s="11"/>
      <c r="CU161" s="11"/>
      <c r="CV161" s="11"/>
      <c r="CW161" s="11"/>
      <c r="CX161" s="11"/>
      <c r="CY161" s="11"/>
      <c r="CZ161" s="11"/>
      <c r="DA161" s="11"/>
      <c r="DB161" s="11"/>
      <c r="DC161" s="11"/>
      <c r="DD161" s="11"/>
      <c r="DE161" s="11"/>
      <c r="DF161" s="11"/>
      <c r="DG161" s="11"/>
    </row>
    <row r="162" ht="15.75" customHeight="1">
      <c r="CT162" s="11"/>
      <c r="CU162" s="11"/>
      <c r="CV162" s="11"/>
      <c r="CW162" s="11"/>
      <c r="CX162" s="11"/>
      <c r="CY162" s="11"/>
      <c r="CZ162" s="11"/>
      <c r="DA162" s="11"/>
      <c r="DB162" s="11"/>
      <c r="DC162" s="11"/>
      <c r="DD162" s="11"/>
      <c r="DE162" s="11"/>
      <c r="DF162" s="11"/>
      <c r="DG162" s="11"/>
    </row>
    <row r="163" ht="15.75" customHeight="1">
      <c r="CT163" s="11"/>
      <c r="CU163" s="11"/>
      <c r="CV163" s="11"/>
      <c r="CW163" s="11"/>
      <c r="CX163" s="11"/>
      <c r="CY163" s="11"/>
      <c r="CZ163" s="11"/>
      <c r="DA163" s="11"/>
      <c r="DB163" s="11"/>
      <c r="DC163" s="11"/>
      <c r="DD163" s="11"/>
      <c r="DE163" s="11"/>
      <c r="DF163" s="11"/>
      <c r="DG163" s="11"/>
    </row>
    <row r="164" ht="15.75" customHeight="1">
      <c r="CT164" s="11"/>
      <c r="CU164" s="11"/>
      <c r="CV164" s="11"/>
      <c r="CW164" s="11"/>
      <c r="CX164" s="11"/>
      <c r="CY164" s="11"/>
      <c r="CZ164" s="11"/>
      <c r="DA164" s="11"/>
      <c r="DB164" s="11"/>
      <c r="DC164" s="11"/>
      <c r="DD164" s="11"/>
      <c r="DE164" s="11"/>
      <c r="DF164" s="11"/>
      <c r="DG164" s="11"/>
    </row>
    <row r="165" ht="15.75" customHeight="1">
      <c r="CT165" s="11"/>
      <c r="CU165" s="11"/>
      <c r="CV165" s="11"/>
      <c r="CW165" s="11"/>
      <c r="CX165" s="11"/>
      <c r="CY165" s="11"/>
      <c r="CZ165" s="11"/>
      <c r="DA165" s="11"/>
      <c r="DB165" s="11"/>
      <c r="DC165" s="11"/>
      <c r="DD165" s="11"/>
      <c r="DE165" s="11"/>
      <c r="DF165" s="11"/>
      <c r="DG165" s="11"/>
    </row>
    <row r="166" ht="15.75" customHeight="1">
      <c r="CT166" s="11"/>
      <c r="CU166" s="11"/>
      <c r="CV166" s="11"/>
      <c r="CW166" s="11"/>
      <c r="CX166" s="11"/>
      <c r="CY166" s="11"/>
      <c r="CZ166" s="11"/>
      <c r="DA166" s="11"/>
      <c r="DB166" s="11"/>
      <c r="DC166" s="11"/>
      <c r="DD166" s="11"/>
      <c r="DE166" s="11"/>
      <c r="DF166" s="11"/>
      <c r="DG166" s="11"/>
    </row>
    <row r="167" ht="15.75" customHeight="1">
      <c r="CT167" s="11"/>
      <c r="CU167" s="11"/>
      <c r="CV167" s="11"/>
      <c r="CW167" s="11"/>
      <c r="CX167" s="11"/>
      <c r="CY167" s="11"/>
      <c r="CZ167" s="11"/>
      <c r="DA167" s="11"/>
      <c r="DB167" s="11"/>
      <c r="DC167" s="11"/>
      <c r="DD167" s="11"/>
      <c r="DE167" s="11"/>
      <c r="DF167" s="11"/>
      <c r="DG167" s="11"/>
    </row>
    <row r="168" ht="15.75" customHeight="1">
      <c r="CT168" s="11"/>
      <c r="CU168" s="11"/>
      <c r="CV168" s="11"/>
      <c r="CW168" s="11"/>
      <c r="CX168" s="11"/>
      <c r="CY168" s="11"/>
      <c r="CZ168" s="11"/>
      <c r="DA168" s="11"/>
      <c r="DB168" s="11"/>
      <c r="DC168" s="11"/>
      <c r="DD168" s="11"/>
      <c r="DE168" s="11"/>
      <c r="DF168" s="11"/>
      <c r="DG168" s="11"/>
    </row>
    <row r="169" ht="15.75" customHeight="1">
      <c r="CT169" s="11"/>
      <c r="CU169" s="11"/>
      <c r="CV169" s="11"/>
      <c r="CW169" s="11"/>
      <c r="CX169" s="11"/>
      <c r="CY169" s="11"/>
      <c r="CZ169" s="11"/>
      <c r="DA169" s="11"/>
      <c r="DB169" s="11"/>
      <c r="DC169" s="11"/>
      <c r="DD169" s="11"/>
      <c r="DE169" s="11"/>
      <c r="DF169" s="11"/>
      <c r="DG169" s="11"/>
    </row>
    <row r="170" ht="15.75" customHeight="1">
      <c r="CT170" s="11"/>
      <c r="CU170" s="11"/>
      <c r="CV170" s="11"/>
      <c r="CW170" s="11"/>
      <c r="CX170" s="11"/>
      <c r="CY170" s="11"/>
      <c r="CZ170" s="11"/>
      <c r="DA170" s="11"/>
      <c r="DB170" s="11"/>
      <c r="DC170" s="11"/>
      <c r="DD170" s="11"/>
      <c r="DE170" s="11"/>
      <c r="DF170" s="11"/>
      <c r="DG170" s="11"/>
    </row>
    <row r="171" ht="15.75" customHeight="1">
      <c r="CT171" s="11"/>
      <c r="CU171" s="11"/>
      <c r="CV171" s="11"/>
      <c r="CW171" s="11"/>
      <c r="CX171" s="11"/>
      <c r="CY171" s="11"/>
      <c r="CZ171" s="11"/>
      <c r="DA171" s="11"/>
      <c r="DB171" s="11"/>
      <c r="DC171" s="11"/>
      <c r="DD171" s="11"/>
      <c r="DE171" s="11"/>
      <c r="DF171" s="11"/>
      <c r="DG171" s="11"/>
    </row>
    <row r="172" ht="15.75" customHeight="1">
      <c r="CT172" s="11"/>
      <c r="CU172" s="11"/>
      <c r="CV172" s="11"/>
      <c r="CW172" s="11"/>
      <c r="CX172" s="11"/>
      <c r="CY172" s="11"/>
      <c r="CZ172" s="11"/>
      <c r="DA172" s="11"/>
      <c r="DB172" s="11"/>
      <c r="DC172" s="11"/>
      <c r="DD172" s="11"/>
      <c r="DE172" s="11"/>
      <c r="DF172" s="11"/>
      <c r="DG172" s="11"/>
    </row>
    <row r="173" ht="15.75" customHeight="1">
      <c r="CT173" s="11"/>
      <c r="CU173" s="11"/>
      <c r="CV173" s="11"/>
      <c r="CW173" s="11"/>
      <c r="CX173" s="11"/>
      <c r="CY173" s="11"/>
      <c r="CZ173" s="11"/>
      <c r="DA173" s="11"/>
      <c r="DB173" s="11"/>
      <c r="DC173" s="11"/>
      <c r="DD173" s="11"/>
      <c r="DE173" s="11"/>
      <c r="DF173" s="11"/>
      <c r="DG173" s="11"/>
    </row>
    <row r="174" ht="15.75" customHeight="1">
      <c r="CT174" s="11"/>
      <c r="CU174" s="11"/>
      <c r="CV174" s="11"/>
      <c r="CW174" s="11"/>
      <c r="CX174" s="11"/>
      <c r="CY174" s="11"/>
      <c r="CZ174" s="11"/>
      <c r="DA174" s="11"/>
      <c r="DB174" s="11"/>
      <c r="DC174" s="11"/>
      <c r="DD174" s="11"/>
      <c r="DE174" s="11"/>
      <c r="DF174" s="11"/>
      <c r="DG174" s="11"/>
    </row>
    <row r="175" ht="15.75" customHeight="1">
      <c r="CT175" s="11"/>
      <c r="CU175" s="11"/>
      <c r="CV175" s="11"/>
      <c r="CW175" s="11"/>
      <c r="CX175" s="11"/>
      <c r="CY175" s="11"/>
      <c r="CZ175" s="11"/>
      <c r="DA175" s="11"/>
      <c r="DB175" s="11"/>
      <c r="DC175" s="11"/>
      <c r="DD175" s="11"/>
      <c r="DE175" s="11"/>
      <c r="DF175" s="11"/>
      <c r="DG175" s="11"/>
    </row>
    <row r="176" ht="15.75" customHeight="1">
      <c r="CT176" s="11"/>
      <c r="CU176" s="11"/>
      <c r="CV176" s="11"/>
      <c r="CW176" s="11"/>
      <c r="CX176" s="11"/>
      <c r="CY176" s="11"/>
      <c r="CZ176" s="11"/>
      <c r="DA176" s="11"/>
      <c r="DB176" s="11"/>
      <c r="DC176" s="11"/>
      <c r="DD176" s="11"/>
      <c r="DE176" s="11"/>
      <c r="DF176" s="11"/>
      <c r="DG176" s="11"/>
    </row>
    <row r="177" ht="15.75" customHeight="1">
      <c r="CT177" s="11"/>
      <c r="CU177" s="11"/>
      <c r="CV177" s="11"/>
      <c r="CW177" s="11"/>
      <c r="CX177" s="11"/>
      <c r="CY177" s="11"/>
      <c r="CZ177" s="11"/>
      <c r="DA177" s="11"/>
      <c r="DB177" s="11"/>
      <c r="DC177" s="11"/>
      <c r="DD177" s="11"/>
      <c r="DE177" s="11"/>
      <c r="DF177" s="11"/>
      <c r="DG177" s="11"/>
    </row>
    <row r="178" ht="15.75" customHeight="1">
      <c r="CT178" s="11"/>
      <c r="CU178" s="11"/>
      <c r="CV178" s="11"/>
      <c r="CW178" s="11"/>
      <c r="CX178" s="11"/>
      <c r="CY178" s="11"/>
      <c r="CZ178" s="11"/>
      <c r="DA178" s="11"/>
      <c r="DB178" s="11"/>
      <c r="DC178" s="11"/>
      <c r="DD178" s="11"/>
      <c r="DE178" s="11"/>
      <c r="DF178" s="11"/>
      <c r="DG178" s="11"/>
    </row>
    <row r="179" ht="15.75" customHeight="1">
      <c r="CT179" s="11"/>
      <c r="CU179" s="11"/>
      <c r="CV179" s="11"/>
      <c r="CW179" s="11"/>
      <c r="CX179" s="11"/>
      <c r="CY179" s="11"/>
      <c r="CZ179" s="11"/>
      <c r="DA179" s="11"/>
      <c r="DB179" s="11"/>
      <c r="DC179" s="11"/>
      <c r="DD179" s="11"/>
      <c r="DE179" s="11"/>
      <c r="DF179" s="11"/>
      <c r="DG179" s="11"/>
    </row>
    <row r="180" ht="15.75" customHeight="1">
      <c r="CT180" s="11"/>
      <c r="CU180" s="11"/>
      <c r="CV180" s="11"/>
      <c r="CW180" s="11"/>
      <c r="CX180" s="11"/>
      <c r="CY180" s="11"/>
      <c r="CZ180" s="11"/>
      <c r="DA180" s="11"/>
      <c r="DB180" s="11"/>
      <c r="DC180" s="11"/>
      <c r="DD180" s="11"/>
      <c r="DE180" s="11"/>
      <c r="DF180" s="11"/>
      <c r="DG180" s="11"/>
    </row>
    <row r="181" ht="15.75" customHeight="1">
      <c r="CT181" s="11"/>
      <c r="CU181" s="11"/>
      <c r="CV181" s="11"/>
      <c r="CW181" s="11"/>
      <c r="CX181" s="11"/>
      <c r="CY181" s="11"/>
      <c r="CZ181" s="11"/>
      <c r="DA181" s="11"/>
      <c r="DB181" s="11"/>
      <c r="DC181" s="11"/>
      <c r="DD181" s="11"/>
      <c r="DE181" s="11"/>
      <c r="DF181" s="11"/>
      <c r="DG181" s="11"/>
    </row>
    <row r="182" ht="15.75" customHeight="1">
      <c r="CT182" s="11"/>
      <c r="CU182" s="11"/>
      <c r="CV182" s="11"/>
      <c r="CW182" s="11"/>
      <c r="CX182" s="11"/>
      <c r="CY182" s="11"/>
      <c r="CZ182" s="11"/>
      <c r="DA182" s="11"/>
      <c r="DB182" s="11"/>
      <c r="DC182" s="11"/>
      <c r="DD182" s="11"/>
      <c r="DE182" s="11"/>
      <c r="DF182" s="11"/>
      <c r="DG182" s="11"/>
    </row>
    <row r="183" ht="15.75" customHeight="1">
      <c r="CT183" s="11"/>
      <c r="CU183" s="11"/>
      <c r="CV183" s="11"/>
      <c r="CW183" s="11"/>
      <c r="CX183" s="11"/>
      <c r="CY183" s="11"/>
      <c r="CZ183" s="11"/>
      <c r="DA183" s="11"/>
      <c r="DB183" s="11"/>
      <c r="DC183" s="11"/>
      <c r="DD183" s="11"/>
      <c r="DE183" s="11"/>
      <c r="DF183" s="11"/>
      <c r="DG183" s="11"/>
    </row>
    <row r="184" ht="15.75" customHeight="1">
      <c r="CT184" s="11"/>
      <c r="CU184" s="11"/>
      <c r="CV184" s="11"/>
      <c r="CW184" s="11"/>
      <c r="CX184" s="11"/>
      <c r="CY184" s="11"/>
      <c r="CZ184" s="11"/>
      <c r="DA184" s="11"/>
      <c r="DB184" s="11"/>
      <c r="DC184" s="11"/>
      <c r="DD184" s="11"/>
      <c r="DE184" s="11"/>
      <c r="DF184" s="11"/>
      <c r="DG184" s="11"/>
    </row>
    <row r="185" ht="15.75" customHeight="1">
      <c r="CT185" s="11"/>
      <c r="CU185" s="11"/>
      <c r="CV185" s="11"/>
      <c r="CW185" s="11"/>
      <c r="CX185" s="11"/>
      <c r="CY185" s="11"/>
      <c r="CZ185" s="11"/>
      <c r="DA185" s="11"/>
      <c r="DB185" s="11"/>
      <c r="DC185" s="11"/>
      <c r="DD185" s="11"/>
      <c r="DE185" s="11"/>
      <c r="DF185" s="11"/>
      <c r="DG185" s="11"/>
    </row>
    <row r="186" ht="15.75" customHeight="1">
      <c r="CT186" s="11"/>
      <c r="CU186" s="11"/>
      <c r="CV186" s="11"/>
      <c r="CW186" s="11"/>
      <c r="CX186" s="11"/>
      <c r="CY186" s="11"/>
      <c r="CZ186" s="11"/>
      <c r="DA186" s="11"/>
      <c r="DB186" s="11"/>
      <c r="DC186" s="11"/>
      <c r="DD186" s="11"/>
      <c r="DE186" s="11"/>
      <c r="DF186" s="11"/>
      <c r="DG186" s="11"/>
    </row>
    <row r="187" ht="15.75" customHeight="1">
      <c r="CT187" s="11"/>
      <c r="CU187" s="11"/>
      <c r="CV187" s="11"/>
      <c r="CW187" s="11"/>
      <c r="CX187" s="11"/>
      <c r="CY187" s="11"/>
      <c r="CZ187" s="11"/>
      <c r="DA187" s="11"/>
      <c r="DB187" s="11"/>
      <c r="DC187" s="11"/>
      <c r="DD187" s="11"/>
      <c r="DE187" s="11"/>
      <c r="DF187" s="11"/>
      <c r="DG187" s="11"/>
    </row>
    <row r="188" ht="15.75" customHeight="1">
      <c r="CT188" s="11"/>
      <c r="CU188" s="11"/>
      <c r="CV188" s="11"/>
      <c r="CW188" s="11"/>
      <c r="CX188" s="11"/>
      <c r="CY188" s="11"/>
      <c r="CZ188" s="11"/>
      <c r="DA188" s="11"/>
      <c r="DB188" s="11"/>
      <c r="DC188" s="11"/>
      <c r="DD188" s="11"/>
      <c r="DE188" s="11"/>
      <c r="DF188" s="11"/>
      <c r="DG188" s="11"/>
    </row>
    <row r="189" ht="15.75" customHeight="1">
      <c r="CT189" s="11"/>
      <c r="CU189" s="11"/>
      <c r="CV189" s="11"/>
      <c r="CW189" s="11"/>
      <c r="CX189" s="11"/>
      <c r="CY189" s="11"/>
      <c r="CZ189" s="11"/>
      <c r="DA189" s="11"/>
      <c r="DB189" s="11"/>
      <c r="DC189" s="11"/>
      <c r="DD189" s="11"/>
      <c r="DE189" s="11"/>
      <c r="DF189" s="11"/>
      <c r="DG189" s="11"/>
    </row>
    <row r="190" ht="15.75" customHeight="1">
      <c r="CT190" s="11"/>
      <c r="CU190" s="11"/>
      <c r="CV190" s="11"/>
      <c r="CW190" s="11"/>
      <c r="CX190" s="11"/>
      <c r="CY190" s="11"/>
      <c r="CZ190" s="11"/>
      <c r="DA190" s="11"/>
      <c r="DB190" s="11"/>
      <c r="DC190" s="11"/>
      <c r="DD190" s="11"/>
      <c r="DE190" s="11"/>
      <c r="DF190" s="11"/>
      <c r="DG190" s="11"/>
    </row>
    <row r="191" ht="15.75" customHeight="1">
      <c r="CT191" s="11"/>
      <c r="CU191" s="11"/>
      <c r="CV191" s="11"/>
      <c r="CW191" s="11"/>
      <c r="CX191" s="11"/>
      <c r="CY191" s="11"/>
      <c r="CZ191" s="11"/>
      <c r="DA191" s="11"/>
      <c r="DB191" s="11"/>
      <c r="DC191" s="11"/>
      <c r="DD191" s="11"/>
      <c r="DE191" s="11"/>
      <c r="DF191" s="11"/>
      <c r="DG191" s="11"/>
    </row>
    <row r="192" ht="15.75" customHeight="1">
      <c r="CT192" s="11"/>
      <c r="CU192" s="11"/>
      <c r="CV192" s="11"/>
      <c r="CW192" s="11"/>
      <c r="CX192" s="11"/>
      <c r="CY192" s="11"/>
      <c r="CZ192" s="11"/>
      <c r="DA192" s="11"/>
      <c r="DB192" s="11"/>
      <c r="DC192" s="11"/>
      <c r="DD192" s="11"/>
      <c r="DE192" s="11"/>
      <c r="DF192" s="11"/>
      <c r="DG192" s="11"/>
    </row>
    <row r="193" ht="15.75" customHeight="1">
      <c r="CT193" s="11"/>
      <c r="CU193" s="11"/>
      <c r="CV193" s="11"/>
      <c r="CW193" s="11"/>
      <c r="CX193" s="11"/>
      <c r="CY193" s="11"/>
      <c r="CZ193" s="11"/>
      <c r="DA193" s="11"/>
      <c r="DB193" s="11"/>
      <c r="DC193" s="11"/>
      <c r="DD193" s="11"/>
      <c r="DE193" s="11"/>
      <c r="DF193" s="11"/>
      <c r="DG193" s="11"/>
    </row>
    <row r="194" ht="15.75" customHeight="1">
      <c r="CT194" s="11"/>
      <c r="CU194" s="11"/>
      <c r="CV194" s="11"/>
      <c r="CW194" s="11"/>
      <c r="CX194" s="11"/>
      <c r="CY194" s="11"/>
      <c r="CZ194" s="11"/>
      <c r="DA194" s="11"/>
      <c r="DB194" s="11"/>
      <c r="DC194" s="11"/>
      <c r="DD194" s="11"/>
      <c r="DE194" s="11"/>
      <c r="DF194" s="11"/>
      <c r="DG194" s="11"/>
    </row>
    <row r="195" ht="15.75" customHeight="1">
      <c r="CT195" s="11"/>
      <c r="CU195" s="11"/>
      <c r="CV195" s="11"/>
      <c r="CW195" s="11"/>
      <c r="CX195" s="11"/>
      <c r="CY195" s="11"/>
      <c r="CZ195" s="11"/>
      <c r="DA195" s="11"/>
      <c r="DB195" s="11"/>
      <c r="DC195" s="11"/>
      <c r="DD195" s="11"/>
      <c r="DE195" s="11"/>
      <c r="DF195" s="11"/>
      <c r="DG195" s="11"/>
    </row>
    <row r="196" ht="15.75" customHeight="1">
      <c r="CT196" s="11"/>
      <c r="CU196" s="11"/>
      <c r="CV196" s="11"/>
      <c r="CW196" s="11"/>
      <c r="CX196" s="11"/>
      <c r="CY196" s="11"/>
      <c r="CZ196" s="11"/>
      <c r="DA196" s="11"/>
      <c r="DB196" s="11"/>
      <c r="DC196" s="11"/>
      <c r="DD196" s="11"/>
      <c r="DE196" s="11"/>
      <c r="DF196" s="11"/>
      <c r="DG196" s="11"/>
    </row>
    <row r="197" ht="15.75" customHeight="1">
      <c r="CT197" s="11"/>
      <c r="CU197" s="11"/>
      <c r="CV197" s="11"/>
      <c r="CW197" s="11"/>
      <c r="CX197" s="11"/>
      <c r="CY197" s="11"/>
      <c r="CZ197" s="11"/>
      <c r="DA197" s="11"/>
      <c r="DB197" s="11"/>
      <c r="DC197" s="11"/>
      <c r="DD197" s="11"/>
      <c r="DE197" s="11"/>
      <c r="DF197" s="11"/>
      <c r="DG197" s="11"/>
    </row>
    <row r="198" ht="15.75" customHeight="1">
      <c r="CT198" s="11"/>
      <c r="CU198" s="11"/>
      <c r="CV198" s="11"/>
      <c r="CW198" s="11"/>
      <c r="CX198" s="11"/>
      <c r="CY198" s="11"/>
      <c r="CZ198" s="11"/>
      <c r="DA198" s="11"/>
      <c r="DB198" s="11"/>
      <c r="DC198" s="11"/>
      <c r="DD198" s="11"/>
      <c r="DE198" s="11"/>
      <c r="DF198" s="11"/>
      <c r="DG198" s="11"/>
    </row>
    <row r="199" ht="15.75" customHeight="1">
      <c r="CT199" s="11"/>
      <c r="CU199" s="11"/>
      <c r="CV199" s="11"/>
      <c r="CW199" s="11"/>
      <c r="CX199" s="11"/>
      <c r="CY199" s="11"/>
      <c r="CZ199" s="11"/>
      <c r="DA199" s="11"/>
      <c r="DB199" s="11"/>
      <c r="DC199" s="11"/>
      <c r="DD199" s="11"/>
      <c r="DE199" s="11"/>
      <c r="DF199" s="11"/>
      <c r="DG199" s="11"/>
    </row>
    <row r="200" ht="15.75" customHeight="1">
      <c r="CT200" s="11"/>
      <c r="CU200" s="11"/>
      <c r="CV200" s="11"/>
      <c r="CW200" s="11"/>
      <c r="CX200" s="11"/>
      <c r="CY200" s="11"/>
      <c r="CZ200" s="11"/>
      <c r="DA200" s="11"/>
      <c r="DB200" s="11"/>
      <c r="DC200" s="11"/>
      <c r="DD200" s="11"/>
      <c r="DE200" s="11"/>
      <c r="DF200" s="11"/>
      <c r="DG200" s="11"/>
    </row>
    <row r="201" ht="15.75" customHeight="1">
      <c r="CT201" s="11"/>
      <c r="CU201" s="11"/>
      <c r="CV201" s="11"/>
      <c r="CW201" s="11"/>
      <c r="CX201" s="11"/>
      <c r="CY201" s="11"/>
      <c r="CZ201" s="11"/>
      <c r="DA201" s="11"/>
      <c r="DB201" s="11"/>
      <c r="DC201" s="11"/>
      <c r="DD201" s="11"/>
      <c r="DE201" s="11"/>
      <c r="DF201" s="11"/>
      <c r="DG201" s="11"/>
    </row>
    <row r="202" ht="15.75" customHeight="1">
      <c r="CT202" s="11"/>
      <c r="CU202" s="11"/>
      <c r="CV202" s="11"/>
      <c r="CW202" s="11"/>
      <c r="CX202" s="11"/>
      <c r="CY202" s="11"/>
      <c r="CZ202" s="11"/>
      <c r="DA202" s="11"/>
      <c r="DB202" s="11"/>
      <c r="DC202" s="11"/>
      <c r="DD202" s="11"/>
      <c r="DE202" s="11"/>
      <c r="DF202" s="11"/>
      <c r="DG202" s="11"/>
    </row>
    <row r="203" ht="15.75" customHeight="1">
      <c r="CT203" s="11"/>
      <c r="CU203" s="11"/>
      <c r="CV203" s="11"/>
      <c r="CW203" s="11"/>
      <c r="CX203" s="11"/>
      <c r="CY203" s="11"/>
      <c r="CZ203" s="11"/>
      <c r="DA203" s="11"/>
      <c r="DB203" s="11"/>
      <c r="DC203" s="11"/>
      <c r="DD203" s="11"/>
      <c r="DE203" s="11"/>
      <c r="DF203" s="11"/>
      <c r="DG203" s="11"/>
    </row>
    <row r="204" ht="15.75" customHeight="1">
      <c r="CT204" s="11"/>
      <c r="CU204" s="11"/>
      <c r="CV204" s="11"/>
      <c r="CW204" s="11"/>
      <c r="CX204" s="11"/>
      <c r="CY204" s="11"/>
      <c r="CZ204" s="11"/>
      <c r="DA204" s="11"/>
      <c r="DB204" s="11"/>
      <c r="DC204" s="11"/>
      <c r="DD204" s="11"/>
      <c r="DE204" s="11"/>
      <c r="DF204" s="11"/>
      <c r="DG204" s="11"/>
    </row>
    <row r="205" ht="15.75" customHeight="1">
      <c r="CT205" s="11"/>
      <c r="CU205" s="11"/>
      <c r="CV205" s="11"/>
      <c r="CW205" s="11"/>
      <c r="CX205" s="11"/>
      <c r="CY205" s="11"/>
      <c r="CZ205" s="11"/>
      <c r="DA205" s="11"/>
      <c r="DB205" s="11"/>
      <c r="DC205" s="11"/>
      <c r="DD205" s="11"/>
      <c r="DE205" s="11"/>
      <c r="DF205" s="11"/>
      <c r="DG205" s="11"/>
    </row>
    <row r="206" ht="15.75" customHeight="1">
      <c r="CT206" s="11"/>
      <c r="CU206" s="11"/>
      <c r="CV206" s="11"/>
      <c r="CW206" s="11"/>
      <c r="CX206" s="11"/>
      <c r="CY206" s="11"/>
      <c r="CZ206" s="11"/>
      <c r="DA206" s="11"/>
      <c r="DB206" s="11"/>
      <c r="DC206" s="11"/>
      <c r="DD206" s="11"/>
      <c r="DE206" s="11"/>
      <c r="DF206" s="11"/>
      <c r="DG206" s="11"/>
    </row>
    <row r="207" ht="15.75" customHeight="1">
      <c r="CT207" s="11"/>
      <c r="CU207" s="11"/>
      <c r="CV207" s="11"/>
      <c r="CW207" s="11"/>
      <c r="CX207" s="11"/>
      <c r="CY207" s="11"/>
      <c r="CZ207" s="11"/>
      <c r="DA207" s="11"/>
      <c r="DB207" s="11"/>
      <c r="DC207" s="11"/>
      <c r="DD207" s="11"/>
      <c r="DE207" s="11"/>
      <c r="DF207" s="11"/>
      <c r="DG207" s="11"/>
    </row>
    <row r="208" ht="15.75" customHeight="1">
      <c r="CT208" s="11"/>
      <c r="CU208" s="11"/>
      <c r="CV208" s="11"/>
      <c r="CW208" s="11"/>
      <c r="CX208" s="11"/>
      <c r="CY208" s="11"/>
      <c r="CZ208" s="11"/>
      <c r="DA208" s="11"/>
      <c r="DB208" s="11"/>
      <c r="DC208" s="11"/>
      <c r="DD208" s="11"/>
      <c r="DE208" s="11"/>
      <c r="DF208" s="11"/>
      <c r="DG208" s="11"/>
    </row>
    <row r="209" ht="15.75" customHeight="1">
      <c r="CT209" s="11"/>
      <c r="CU209" s="11"/>
      <c r="CV209" s="11"/>
      <c r="CW209" s="11"/>
      <c r="CX209" s="11"/>
      <c r="CY209" s="11"/>
      <c r="CZ209" s="11"/>
      <c r="DA209" s="11"/>
      <c r="DB209" s="11"/>
      <c r="DC209" s="11"/>
      <c r="DD209" s="11"/>
      <c r="DE209" s="11"/>
      <c r="DF209" s="11"/>
      <c r="DG209" s="11"/>
    </row>
    <row r="210" ht="15.75" customHeight="1">
      <c r="CT210" s="11"/>
      <c r="CU210" s="11"/>
      <c r="CV210" s="11"/>
      <c r="CW210" s="11"/>
      <c r="CX210" s="11"/>
      <c r="CY210" s="11"/>
      <c r="CZ210" s="11"/>
      <c r="DA210" s="11"/>
      <c r="DB210" s="11"/>
      <c r="DC210" s="11"/>
      <c r="DD210" s="11"/>
      <c r="DE210" s="11"/>
      <c r="DF210" s="11"/>
      <c r="DG210" s="11"/>
    </row>
    <row r="211" ht="15.75" customHeight="1">
      <c r="CT211" s="11"/>
      <c r="CU211" s="11"/>
      <c r="CV211" s="11"/>
      <c r="CW211" s="11"/>
      <c r="CX211" s="11"/>
      <c r="CY211" s="11"/>
      <c r="CZ211" s="11"/>
      <c r="DA211" s="11"/>
      <c r="DB211" s="11"/>
      <c r="DC211" s="11"/>
      <c r="DD211" s="11"/>
      <c r="DE211" s="11"/>
      <c r="DF211" s="11"/>
      <c r="DG211" s="11"/>
    </row>
    <row r="212" ht="15.75" customHeight="1">
      <c r="CT212" s="11"/>
      <c r="CU212" s="11"/>
      <c r="CV212" s="11"/>
      <c r="CW212" s="11"/>
      <c r="CX212" s="11"/>
      <c r="CY212" s="11"/>
      <c r="CZ212" s="11"/>
      <c r="DA212" s="11"/>
      <c r="DB212" s="11"/>
      <c r="DC212" s="11"/>
      <c r="DD212" s="11"/>
      <c r="DE212" s="11"/>
      <c r="DF212" s="11"/>
      <c r="DG212" s="11"/>
    </row>
    <row r="213" ht="15.75" customHeight="1">
      <c r="CT213" s="11"/>
      <c r="CU213" s="11"/>
      <c r="CV213" s="11"/>
      <c r="CW213" s="11"/>
      <c r="CX213" s="11"/>
      <c r="CY213" s="11"/>
      <c r="CZ213" s="11"/>
      <c r="DA213" s="11"/>
      <c r="DB213" s="11"/>
      <c r="DC213" s="11"/>
      <c r="DD213" s="11"/>
      <c r="DE213" s="11"/>
      <c r="DF213" s="11"/>
      <c r="DG213" s="11"/>
    </row>
    <row r="214" ht="15.75" customHeight="1">
      <c r="CT214" s="11"/>
      <c r="CU214" s="11"/>
      <c r="CV214" s="11"/>
      <c r="CW214" s="11"/>
      <c r="CX214" s="11"/>
      <c r="CY214" s="11"/>
      <c r="CZ214" s="11"/>
      <c r="DA214" s="11"/>
      <c r="DB214" s="11"/>
      <c r="DC214" s="11"/>
      <c r="DD214" s="11"/>
      <c r="DE214" s="11"/>
      <c r="DF214" s="11"/>
      <c r="DG214" s="11"/>
    </row>
    <row r="215" ht="15.75" customHeight="1">
      <c r="CT215" s="11"/>
      <c r="CU215" s="11"/>
      <c r="CV215" s="11"/>
      <c r="CW215" s="11"/>
      <c r="CX215" s="11"/>
      <c r="CY215" s="11"/>
      <c r="CZ215" s="11"/>
      <c r="DA215" s="11"/>
      <c r="DB215" s="11"/>
      <c r="DC215" s="11"/>
      <c r="DD215" s="11"/>
      <c r="DE215" s="11"/>
      <c r="DF215" s="11"/>
      <c r="DG215" s="11"/>
    </row>
    <row r="216" ht="15.75" customHeight="1">
      <c r="CT216" s="11"/>
      <c r="CU216" s="11"/>
      <c r="CV216" s="11"/>
      <c r="CW216" s="11"/>
      <c r="CX216" s="11"/>
      <c r="CY216" s="11"/>
      <c r="CZ216" s="11"/>
      <c r="DA216" s="11"/>
      <c r="DB216" s="11"/>
      <c r="DC216" s="11"/>
      <c r="DD216" s="11"/>
      <c r="DE216" s="11"/>
      <c r="DF216" s="11"/>
      <c r="DG216" s="11"/>
    </row>
    <row r="217" ht="15.75" customHeight="1">
      <c r="CT217" s="11"/>
      <c r="CU217" s="11"/>
      <c r="CV217" s="11"/>
      <c r="CW217" s="11"/>
      <c r="CX217" s="11"/>
      <c r="CY217" s="11"/>
      <c r="CZ217" s="11"/>
      <c r="DA217" s="11"/>
      <c r="DB217" s="11"/>
      <c r="DC217" s="11"/>
      <c r="DD217" s="11"/>
      <c r="DE217" s="11"/>
      <c r="DF217" s="11"/>
      <c r="DG217" s="11"/>
    </row>
    <row r="218" ht="15.75" customHeight="1">
      <c r="CT218" s="11"/>
      <c r="CU218" s="11"/>
      <c r="CV218" s="11"/>
      <c r="CW218" s="11"/>
      <c r="CX218" s="11"/>
      <c r="CY218" s="11"/>
      <c r="CZ218" s="11"/>
      <c r="DA218" s="11"/>
      <c r="DB218" s="11"/>
      <c r="DC218" s="11"/>
      <c r="DD218" s="11"/>
      <c r="DE218" s="11"/>
      <c r="DF218" s="11"/>
      <c r="DG218" s="11"/>
    </row>
    <row r="219" ht="15.75" customHeight="1">
      <c r="CT219" s="11"/>
      <c r="CU219" s="11"/>
      <c r="CV219" s="11"/>
      <c r="CW219" s="11"/>
      <c r="CX219" s="11"/>
      <c r="CY219" s="11"/>
      <c r="CZ219" s="11"/>
      <c r="DA219" s="11"/>
      <c r="DB219" s="11"/>
      <c r="DC219" s="11"/>
      <c r="DD219" s="11"/>
      <c r="DE219" s="11"/>
      <c r="DF219" s="11"/>
      <c r="DG219" s="11"/>
    </row>
    <row r="220" ht="15.75" customHeight="1">
      <c r="CT220" s="11"/>
      <c r="CU220" s="11"/>
      <c r="CV220" s="11"/>
      <c r="CW220" s="11"/>
      <c r="CX220" s="11"/>
      <c r="CY220" s="11"/>
      <c r="CZ220" s="11"/>
      <c r="DA220" s="11"/>
      <c r="DB220" s="11"/>
      <c r="DC220" s="11"/>
      <c r="DD220" s="11"/>
      <c r="DE220" s="11"/>
      <c r="DF220" s="11"/>
      <c r="DG220" s="11"/>
    </row>
    <row r="221" ht="15.75" customHeight="1">
      <c r="CT221" s="11"/>
      <c r="CU221" s="11"/>
      <c r="CV221" s="11"/>
      <c r="CW221" s="11"/>
      <c r="CX221" s="11"/>
      <c r="CY221" s="11"/>
      <c r="CZ221" s="11"/>
      <c r="DA221" s="11"/>
      <c r="DB221" s="11"/>
      <c r="DC221" s="11"/>
      <c r="DD221" s="11"/>
      <c r="DE221" s="11"/>
      <c r="DF221" s="11"/>
      <c r="DG221" s="11"/>
    </row>
    <row r="222" ht="15.75" customHeight="1">
      <c r="CT222" s="11"/>
      <c r="CU222" s="11"/>
      <c r="CV222" s="11"/>
      <c r="CW222" s="11"/>
      <c r="CX222" s="11"/>
      <c r="CY222" s="11"/>
      <c r="CZ222" s="11"/>
      <c r="DA222" s="11"/>
      <c r="DB222" s="11"/>
      <c r="DC222" s="11"/>
      <c r="DD222" s="11"/>
      <c r="DE222" s="11"/>
      <c r="DF222" s="11"/>
      <c r="DG222" s="11"/>
    </row>
    <row r="223" ht="15.75" customHeight="1">
      <c r="CT223" s="11"/>
      <c r="CU223" s="11"/>
      <c r="CV223" s="11"/>
      <c r="CW223" s="11"/>
      <c r="CX223" s="11"/>
      <c r="CY223" s="11"/>
      <c r="CZ223" s="11"/>
      <c r="DA223" s="11"/>
      <c r="DB223" s="11"/>
      <c r="DC223" s="11"/>
      <c r="DD223" s="11"/>
      <c r="DE223" s="11"/>
      <c r="DF223" s="11"/>
      <c r="DG223" s="11"/>
    </row>
    <row r="224" ht="15.75" customHeight="1">
      <c r="CT224" s="11"/>
      <c r="CU224" s="11"/>
      <c r="CV224" s="11"/>
      <c r="CW224" s="11"/>
      <c r="CX224" s="11"/>
      <c r="CY224" s="11"/>
      <c r="CZ224" s="11"/>
      <c r="DA224" s="11"/>
      <c r="DB224" s="11"/>
      <c r="DC224" s="11"/>
      <c r="DD224" s="11"/>
      <c r="DE224" s="11"/>
      <c r="DF224" s="11"/>
      <c r="DG224" s="11"/>
    </row>
    <row r="225" ht="15.75" customHeight="1">
      <c r="CT225" s="11"/>
      <c r="CU225" s="11"/>
      <c r="CV225" s="11"/>
      <c r="CW225" s="11"/>
      <c r="CX225" s="11"/>
      <c r="CY225" s="11"/>
      <c r="CZ225" s="11"/>
      <c r="DA225" s="11"/>
      <c r="DB225" s="11"/>
      <c r="DC225" s="11"/>
      <c r="DD225" s="11"/>
      <c r="DE225" s="11"/>
      <c r="DF225" s="11"/>
      <c r="DG225" s="11"/>
    </row>
    <row r="226" ht="15.75" customHeight="1">
      <c r="CT226" s="11"/>
      <c r="CU226" s="11"/>
      <c r="CV226" s="11"/>
      <c r="CW226" s="11"/>
      <c r="CX226" s="11"/>
      <c r="CY226" s="11"/>
      <c r="CZ226" s="11"/>
      <c r="DA226" s="11"/>
      <c r="DB226" s="11"/>
      <c r="DC226" s="11"/>
      <c r="DD226" s="11"/>
      <c r="DE226" s="11"/>
      <c r="DF226" s="11"/>
      <c r="DG226" s="11"/>
    </row>
    <row r="227" ht="15.75" customHeight="1">
      <c r="CT227" s="11"/>
      <c r="CU227" s="11"/>
      <c r="CV227" s="11"/>
      <c r="CW227" s="11"/>
      <c r="CX227" s="11"/>
      <c r="CY227" s="11"/>
      <c r="CZ227" s="11"/>
      <c r="DA227" s="11"/>
      <c r="DB227" s="11"/>
      <c r="DC227" s="11"/>
      <c r="DD227" s="11"/>
      <c r="DE227" s="11"/>
      <c r="DF227" s="11"/>
      <c r="DG227" s="11"/>
    </row>
    <row r="228" ht="15.75" customHeight="1">
      <c r="CT228" s="11"/>
      <c r="CU228" s="11"/>
      <c r="CV228" s="11"/>
      <c r="CW228" s="11"/>
      <c r="CX228" s="11"/>
      <c r="CY228" s="11"/>
      <c r="CZ228" s="11"/>
      <c r="DA228" s="11"/>
      <c r="DB228" s="11"/>
      <c r="DC228" s="11"/>
      <c r="DD228" s="11"/>
      <c r="DE228" s="11"/>
      <c r="DF228" s="11"/>
      <c r="DG228" s="11"/>
    </row>
    <row r="229" ht="15.75" customHeight="1">
      <c r="CT229" s="11"/>
      <c r="CU229" s="11"/>
      <c r="CV229" s="11"/>
      <c r="CW229" s="11"/>
      <c r="CX229" s="11"/>
      <c r="CY229" s="11"/>
      <c r="CZ229" s="11"/>
      <c r="DA229" s="11"/>
      <c r="DB229" s="11"/>
      <c r="DC229" s="11"/>
      <c r="DD229" s="11"/>
      <c r="DE229" s="11"/>
      <c r="DF229" s="11"/>
      <c r="DG229" s="11"/>
    </row>
    <row r="230" ht="15.75" customHeight="1">
      <c r="CT230" s="11"/>
      <c r="CU230" s="11"/>
      <c r="CV230" s="11"/>
      <c r="CW230" s="11"/>
      <c r="CX230" s="11"/>
      <c r="CY230" s="11"/>
      <c r="CZ230" s="11"/>
      <c r="DA230" s="11"/>
      <c r="DB230" s="11"/>
      <c r="DC230" s="11"/>
      <c r="DD230" s="11"/>
      <c r="DE230" s="11"/>
      <c r="DF230" s="11"/>
      <c r="DG230" s="11"/>
    </row>
    <row r="231" ht="15.75" customHeight="1">
      <c r="CT231" s="11"/>
      <c r="CU231" s="11"/>
      <c r="CV231" s="11"/>
      <c r="CW231" s="11"/>
      <c r="CX231" s="11"/>
      <c r="CY231" s="11"/>
      <c r="CZ231" s="11"/>
      <c r="DA231" s="11"/>
      <c r="DB231" s="11"/>
      <c r="DC231" s="11"/>
      <c r="DD231" s="11"/>
      <c r="DE231" s="11"/>
      <c r="DF231" s="11"/>
      <c r="DG231" s="11"/>
    </row>
    <row r="232" ht="15.75" customHeight="1">
      <c r="CT232" s="11"/>
      <c r="CU232" s="11"/>
      <c r="CV232" s="11"/>
      <c r="CW232" s="11"/>
      <c r="CX232" s="11"/>
      <c r="CY232" s="11"/>
      <c r="CZ232" s="11"/>
      <c r="DA232" s="11"/>
      <c r="DB232" s="11"/>
      <c r="DC232" s="11"/>
      <c r="DD232" s="11"/>
      <c r="DE232" s="11"/>
      <c r="DF232" s="11"/>
      <c r="DG232" s="11"/>
    </row>
    <row r="233" ht="15.75" customHeight="1">
      <c r="CT233" s="11"/>
      <c r="CU233" s="11"/>
      <c r="CV233" s="11"/>
      <c r="CW233" s="11"/>
      <c r="CX233" s="11"/>
      <c r="CY233" s="11"/>
      <c r="CZ233" s="11"/>
      <c r="DA233" s="11"/>
      <c r="DB233" s="11"/>
      <c r="DC233" s="11"/>
      <c r="DD233" s="11"/>
      <c r="DE233" s="11"/>
      <c r="DF233" s="11"/>
      <c r="DG233" s="11"/>
    </row>
    <row r="234" ht="15.75" customHeight="1">
      <c r="CT234" s="11"/>
      <c r="CU234" s="11"/>
      <c r="CV234" s="11"/>
      <c r="CW234" s="11"/>
      <c r="CX234" s="11"/>
      <c r="CY234" s="11"/>
      <c r="CZ234" s="11"/>
      <c r="DA234" s="11"/>
      <c r="DB234" s="11"/>
      <c r="DC234" s="11"/>
      <c r="DD234" s="11"/>
      <c r="DE234" s="11"/>
      <c r="DF234" s="11"/>
      <c r="DG234" s="11"/>
    </row>
    <row r="235" ht="15.75" customHeight="1">
      <c r="CT235" s="11"/>
      <c r="CU235" s="11"/>
      <c r="CV235" s="11"/>
      <c r="CW235" s="11"/>
      <c r="CX235" s="11"/>
      <c r="CY235" s="11"/>
      <c r="CZ235" s="11"/>
      <c r="DA235" s="11"/>
      <c r="DB235" s="11"/>
      <c r="DC235" s="11"/>
      <c r="DD235" s="11"/>
      <c r="DE235" s="11"/>
      <c r="DF235" s="11"/>
      <c r="DG235" s="11"/>
    </row>
    <row r="236" ht="15.75" customHeight="1">
      <c r="CT236" s="11"/>
      <c r="CU236" s="11"/>
      <c r="CV236" s="11"/>
      <c r="CW236" s="11"/>
      <c r="CX236" s="11"/>
      <c r="CY236" s="11"/>
      <c r="CZ236" s="11"/>
      <c r="DA236" s="11"/>
      <c r="DB236" s="11"/>
      <c r="DC236" s="11"/>
      <c r="DD236" s="11"/>
      <c r="DE236" s="11"/>
      <c r="DF236" s="11"/>
      <c r="DG236" s="11"/>
    </row>
    <row r="237" ht="15.75" customHeight="1">
      <c r="CT237" s="11"/>
      <c r="CU237" s="11"/>
      <c r="CV237" s="11"/>
      <c r="CW237" s="11"/>
      <c r="CX237" s="11"/>
      <c r="CY237" s="11"/>
      <c r="CZ237" s="11"/>
      <c r="DA237" s="11"/>
      <c r="DB237" s="11"/>
      <c r="DC237" s="11"/>
      <c r="DD237" s="11"/>
      <c r="DE237" s="11"/>
      <c r="DF237" s="11"/>
      <c r="DG237" s="11"/>
    </row>
    <row r="238" ht="15.75" customHeight="1">
      <c r="CT238" s="11"/>
      <c r="CU238" s="11"/>
      <c r="CV238" s="11"/>
      <c r="CW238" s="11"/>
      <c r="CX238" s="11"/>
      <c r="CY238" s="11"/>
      <c r="CZ238" s="11"/>
      <c r="DA238" s="11"/>
      <c r="DB238" s="11"/>
      <c r="DC238" s="11"/>
      <c r="DD238" s="11"/>
      <c r="DE238" s="11"/>
      <c r="DF238" s="11"/>
      <c r="DG238" s="11"/>
    </row>
    <row r="239" ht="15.75" customHeight="1">
      <c r="CT239" s="11"/>
      <c r="CU239" s="11"/>
      <c r="CV239" s="11"/>
      <c r="CW239" s="11"/>
      <c r="CX239" s="11"/>
      <c r="CY239" s="11"/>
      <c r="CZ239" s="11"/>
      <c r="DA239" s="11"/>
      <c r="DB239" s="11"/>
      <c r="DC239" s="11"/>
      <c r="DD239" s="11"/>
      <c r="DE239" s="11"/>
      <c r="DF239" s="11"/>
      <c r="DG239" s="11"/>
    </row>
    <row r="240" ht="15.75" customHeight="1">
      <c r="CT240" s="11"/>
      <c r="CU240" s="11"/>
      <c r="CV240" s="11"/>
      <c r="CW240" s="11"/>
      <c r="CX240" s="11"/>
      <c r="CY240" s="11"/>
      <c r="CZ240" s="11"/>
      <c r="DA240" s="11"/>
      <c r="DB240" s="11"/>
      <c r="DC240" s="11"/>
      <c r="DD240" s="11"/>
      <c r="DE240" s="11"/>
      <c r="DF240" s="11"/>
      <c r="DG240" s="11"/>
    </row>
    <row r="241" ht="15.75" customHeight="1">
      <c r="CT241" s="11"/>
      <c r="CU241" s="11"/>
      <c r="CV241" s="11"/>
      <c r="CW241" s="11"/>
      <c r="CX241" s="11"/>
      <c r="CY241" s="11"/>
      <c r="CZ241" s="11"/>
      <c r="DA241" s="11"/>
      <c r="DB241" s="11"/>
      <c r="DC241" s="11"/>
      <c r="DD241" s="11"/>
      <c r="DE241" s="11"/>
      <c r="DF241" s="11"/>
      <c r="DG241" s="11"/>
    </row>
    <row r="242" ht="15.75" customHeight="1">
      <c r="CT242" s="11"/>
      <c r="CU242" s="11"/>
      <c r="CV242" s="11"/>
      <c r="CW242" s="11"/>
      <c r="CX242" s="11"/>
      <c r="CY242" s="11"/>
      <c r="CZ242" s="11"/>
      <c r="DA242" s="11"/>
      <c r="DB242" s="11"/>
      <c r="DC242" s="11"/>
      <c r="DD242" s="11"/>
      <c r="DE242" s="11"/>
      <c r="DF242" s="11"/>
      <c r="DG242" s="11"/>
    </row>
    <row r="243" ht="15.75" customHeight="1">
      <c r="CT243" s="11"/>
      <c r="CU243" s="11"/>
      <c r="CV243" s="11"/>
      <c r="CW243" s="11"/>
      <c r="CX243" s="11"/>
      <c r="CY243" s="11"/>
      <c r="CZ243" s="11"/>
      <c r="DA243" s="11"/>
      <c r="DB243" s="11"/>
      <c r="DC243" s="11"/>
      <c r="DD243" s="11"/>
      <c r="DE243" s="11"/>
      <c r="DF243" s="11"/>
      <c r="DG243" s="11"/>
    </row>
    <row r="244" ht="15.75" customHeight="1">
      <c r="CT244" s="11"/>
      <c r="CU244" s="11"/>
      <c r="CV244" s="11"/>
      <c r="CW244" s="11"/>
      <c r="CX244" s="11"/>
      <c r="CY244" s="11"/>
      <c r="CZ244" s="11"/>
      <c r="DA244" s="11"/>
      <c r="DB244" s="11"/>
      <c r="DC244" s="11"/>
      <c r="DD244" s="11"/>
      <c r="DE244" s="11"/>
      <c r="DF244" s="11"/>
      <c r="DG244" s="11"/>
    </row>
    <row r="245" ht="15.75" customHeight="1">
      <c r="CT245" s="11"/>
      <c r="CU245" s="11"/>
      <c r="CV245" s="11"/>
      <c r="CW245" s="11"/>
      <c r="CX245" s="11"/>
      <c r="CY245" s="11"/>
      <c r="CZ245" s="11"/>
      <c r="DA245" s="11"/>
      <c r="DB245" s="11"/>
      <c r="DC245" s="11"/>
      <c r="DD245" s="11"/>
      <c r="DE245" s="11"/>
      <c r="DF245" s="11"/>
      <c r="DG245" s="11"/>
    </row>
    <row r="246" ht="15.75" customHeight="1">
      <c r="CT246" s="11"/>
      <c r="CU246" s="11"/>
      <c r="CV246" s="11"/>
      <c r="CW246" s="11"/>
      <c r="CX246" s="11"/>
      <c r="CY246" s="11"/>
      <c r="CZ246" s="11"/>
      <c r="DA246" s="11"/>
      <c r="DB246" s="11"/>
      <c r="DC246" s="11"/>
      <c r="DD246" s="11"/>
      <c r="DE246" s="11"/>
      <c r="DF246" s="11"/>
      <c r="DG246" s="11"/>
    </row>
    <row r="247" ht="15.75" customHeight="1">
      <c r="CT247" s="11"/>
      <c r="CU247" s="11"/>
      <c r="CV247" s="11"/>
      <c r="CW247" s="11"/>
      <c r="CX247" s="11"/>
      <c r="CY247" s="11"/>
      <c r="CZ247" s="11"/>
      <c r="DA247" s="11"/>
      <c r="DB247" s="11"/>
      <c r="DC247" s="11"/>
      <c r="DD247" s="11"/>
      <c r="DE247" s="11"/>
      <c r="DF247" s="11"/>
      <c r="DG247" s="11"/>
    </row>
    <row r="248" ht="15.75" customHeight="1">
      <c r="CT248" s="11"/>
      <c r="CU248" s="11"/>
      <c r="CV248" s="11"/>
      <c r="CW248" s="11"/>
      <c r="CX248" s="11"/>
      <c r="CY248" s="11"/>
      <c r="CZ248" s="11"/>
      <c r="DA248" s="11"/>
      <c r="DB248" s="11"/>
      <c r="DC248" s="11"/>
      <c r="DD248" s="11"/>
      <c r="DE248" s="11"/>
      <c r="DF248" s="11"/>
      <c r="DG248" s="11"/>
    </row>
    <row r="249" ht="15.75" customHeight="1">
      <c r="CT249" s="11"/>
      <c r="CU249" s="11"/>
      <c r="CV249" s="11"/>
      <c r="CW249" s="11"/>
      <c r="CX249" s="11"/>
      <c r="CY249" s="11"/>
      <c r="CZ249" s="11"/>
      <c r="DA249" s="11"/>
      <c r="DB249" s="11"/>
      <c r="DC249" s="11"/>
      <c r="DD249" s="11"/>
      <c r="DE249" s="11"/>
      <c r="DF249" s="11"/>
      <c r="DG249" s="11"/>
    </row>
    <row r="250" ht="15.75" customHeight="1">
      <c r="CT250" s="11"/>
      <c r="CU250" s="11"/>
      <c r="CV250" s="11"/>
      <c r="CW250" s="11"/>
      <c r="CX250" s="11"/>
      <c r="CY250" s="11"/>
      <c r="CZ250" s="11"/>
      <c r="DA250" s="11"/>
      <c r="DB250" s="11"/>
      <c r="DC250" s="11"/>
      <c r="DD250" s="11"/>
      <c r="DE250" s="11"/>
      <c r="DF250" s="11"/>
      <c r="DG250" s="11"/>
    </row>
    <row r="251" ht="15.75" customHeight="1">
      <c r="CT251" s="11"/>
      <c r="CU251" s="11"/>
      <c r="CV251" s="11"/>
      <c r="CW251" s="11"/>
      <c r="CX251" s="11"/>
      <c r="CY251" s="11"/>
      <c r="CZ251" s="11"/>
      <c r="DA251" s="11"/>
      <c r="DB251" s="11"/>
      <c r="DC251" s="11"/>
      <c r="DD251" s="11"/>
      <c r="DE251" s="11"/>
      <c r="DF251" s="11"/>
      <c r="DG251" s="11"/>
    </row>
    <row r="252" ht="15.75" customHeight="1">
      <c r="CT252" s="11"/>
      <c r="CU252" s="11"/>
      <c r="CV252" s="11"/>
      <c r="CW252" s="11"/>
      <c r="CX252" s="11"/>
      <c r="CY252" s="11"/>
      <c r="CZ252" s="11"/>
      <c r="DA252" s="11"/>
      <c r="DB252" s="11"/>
      <c r="DC252" s="11"/>
      <c r="DD252" s="11"/>
      <c r="DE252" s="11"/>
      <c r="DF252" s="11"/>
      <c r="DG252" s="11"/>
    </row>
    <row r="253" ht="15.75" customHeight="1">
      <c r="CT253" s="11"/>
      <c r="CU253" s="11"/>
      <c r="CV253" s="11"/>
      <c r="CW253" s="11"/>
      <c r="CX253" s="11"/>
      <c r="CY253" s="11"/>
      <c r="CZ253" s="11"/>
      <c r="DA253" s="11"/>
      <c r="DB253" s="11"/>
      <c r="DC253" s="11"/>
      <c r="DD253" s="11"/>
      <c r="DE253" s="11"/>
      <c r="DF253" s="11"/>
      <c r="DG253" s="11"/>
    </row>
    <row r="254" ht="15.75" customHeight="1">
      <c r="CT254" s="11"/>
      <c r="CU254" s="11"/>
      <c r="CV254" s="11"/>
      <c r="CW254" s="11"/>
      <c r="CX254" s="11"/>
      <c r="CY254" s="11"/>
      <c r="CZ254" s="11"/>
      <c r="DA254" s="11"/>
      <c r="DB254" s="11"/>
      <c r="DC254" s="11"/>
      <c r="DD254" s="11"/>
      <c r="DE254" s="11"/>
      <c r="DF254" s="11"/>
      <c r="DG254" s="11"/>
    </row>
    <row r="255" ht="15.75" customHeight="1">
      <c r="CT255" s="11"/>
      <c r="CU255" s="11"/>
      <c r="CV255" s="11"/>
      <c r="CW255" s="11"/>
      <c r="CX255" s="11"/>
      <c r="CY255" s="11"/>
      <c r="CZ255" s="11"/>
      <c r="DA255" s="11"/>
      <c r="DB255" s="11"/>
      <c r="DC255" s="11"/>
      <c r="DD255" s="11"/>
      <c r="DE255" s="11"/>
      <c r="DF255" s="11"/>
      <c r="DG255" s="11"/>
    </row>
    <row r="256" ht="15.75" customHeight="1">
      <c r="CT256" s="11"/>
      <c r="CU256" s="11"/>
      <c r="CV256" s="11"/>
      <c r="CW256" s="11"/>
      <c r="CX256" s="11"/>
      <c r="CY256" s="11"/>
      <c r="CZ256" s="11"/>
      <c r="DA256" s="11"/>
      <c r="DB256" s="11"/>
      <c r="DC256" s="11"/>
      <c r="DD256" s="11"/>
      <c r="DE256" s="11"/>
      <c r="DF256" s="11"/>
      <c r="DG256" s="11"/>
    </row>
    <row r="257" ht="15.75" customHeight="1">
      <c r="CT257" s="11"/>
      <c r="CU257" s="11"/>
      <c r="CV257" s="11"/>
      <c r="CW257" s="11"/>
      <c r="CX257" s="11"/>
      <c r="CY257" s="11"/>
      <c r="CZ257" s="11"/>
      <c r="DA257" s="11"/>
      <c r="DB257" s="11"/>
      <c r="DC257" s="11"/>
      <c r="DD257" s="11"/>
      <c r="DE257" s="11"/>
      <c r="DF257" s="11"/>
      <c r="DG257" s="11"/>
    </row>
    <row r="258" ht="15.75" customHeight="1">
      <c r="CT258" s="11"/>
      <c r="CU258" s="11"/>
      <c r="CV258" s="11"/>
      <c r="CW258" s="11"/>
      <c r="CX258" s="11"/>
      <c r="CY258" s="11"/>
      <c r="CZ258" s="11"/>
      <c r="DA258" s="11"/>
      <c r="DB258" s="11"/>
      <c r="DC258" s="11"/>
      <c r="DD258" s="11"/>
      <c r="DE258" s="11"/>
      <c r="DF258" s="11"/>
      <c r="DG258" s="11"/>
    </row>
    <row r="259" ht="15.75" customHeight="1">
      <c r="CT259" s="11"/>
      <c r="CU259" s="11"/>
      <c r="CV259" s="11"/>
      <c r="CW259" s="11"/>
      <c r="CX259" s="11"/>
      <c r="CY259" s="11"/>
      <c r="CZ259" s="11"/>
      <c r="DA259" s="11"/>
      <c r="DB259" s="11"/>
      <c r="DC259" s="11"/>
      <c r="DD259" s="11"/>
      <c r="DE259" s="11"/>
      <c r="DF259" s="11"/>
      <c r="DG259" s="11"/>
    </row>
    <row r="260" ht="15.75" customHeight="1">
      <c r="CT260" s="11"/>
      <c r="CU260" s="11"/>
      <c r="CV260" s="11"/>
      <c r="CW260" s="11"/>
      <c r="CX260" s="11"/>
      <c r="CY260" s="11"/>
      <c r="CZ260" s="11"/>
      <c r="DA260" s="11"/>
      <c r="DB260" s="11"/>
      <c r="DC260" s="11"/>
      <c r="DD260" s="11"/>
      <c r="DE260" s="11"/>
      <c r="DF260" s="11"/>
      <c r="DG260" s="11"/>
    </row>
    <row r="261" ht="15.75" customHeight="1">
      <c r="CT261" s="11"/>
      <c r="CU261" s="11"/>
      <c r="CV261" s="11"/>
      <c r="CW261" s="11"/>
      <c r="CX261" s="11"/>
      <c r="CY261" s="11"/>
      <c r="CZ261" s="11"/>
      <c r="DA261" s="11"/>
      <c r="DB261" s="11"/>
      <c r="DC261" s="11"/>
      <c r="DD261" s="11"/>
      <c r="DE261" s="11"/>
      <c r="DF261" s="11"/>
      <c r="DG261" s="11"/>
    </row>
    <row r="262" ht="15.75" customHeight="1">
      <c r="CT262" s="11"/>
      <c r="CU262" s="11"/>
      <c r="CV262" s="11"/>
      <c r="CW262" s="11"/>
      <c r="CX262" s="11"/>
      <c r="CY262" s="11"/>
      <c r="CZ262" s="11"/>
      <c r="DA262" s="11"/>
      <c r="DB262" s="11"/>
      <c r="DC262" s="11"/>
      <c r="DD262" s="11"/>
      <c r="DE262" s="11"/>
      <c r="DF262" s="11"/>
      <c r="DG262" s="11"/>
    </row>
    <row r="263" ht="15.75" customHeight="1">
      <c r="CT263" s="11"/>
      <c r="CU263" s="11"/>
      <c r="CV263" s="11"/>
      <c r="CW263" s="11"/>
      <c r="CX263" s="11"/>
      <c r="CY263" s="11"/>
      <c r="CZ263" s="11"/>
      <c r="DA263" s="11"/>
      <c r="DB263" s="11"/>
      <c r="DC263" s="11"/>
      <c r="DD263" s="11"/>
      <c r="DE263" s="11"/>
      <c r="DF263" s="11"/>
      <c r="DG263" s="11"/>
    </row>
    <row r="264" ht="15.75" customHeight="1">
      <c r="CT264" s="11"/>
      <c r="CU264" s="11"/>
      <c r="CV264" s="11"/>
      <c r="CW264" s="11"/>
      <c r="CX264" s="11"/>
      <c r="CY264" s="11"/>
      <c r="CZ264" s="11"/>
      <c r="DA264" s="11"/>
      <c r="DB264" s="11"/>
      <c r="DC264" s="11"/>
      <c r="DD264" s="11"/>
      <c r="DE264" s="11"/>
      <c r="DF264" s="11"/>
      <c r="DG264" s="11"/>
    </row>
    <row r="265" ht="15.75" customHeight="1">
      <c r="CT265" s="11"/>
      <c r="CU265" s="11"/>
      <c r="CV265" s="11"/>
      <c r="CW265" s="11"/>
      <c r="CX265" s="11"/>
      <c r="CY265" s="11"/>
      <c r="CZ265" s="11"/>
      <c r="DA265" s="11"/>
      <c r="DB265" s="11"/>
      <c r="DC265" s="11"/>
      <c r="DD265" s="11"/>
      <c r="DE265" s="11"/>
      <c r="DF265" s="11"/>
      <c r="DG265" s="11"/>
    </row>
    <row r="266" ht="15.75" customHeight="1">
      <c r="CT266" s="11"/>
      <c r="CU266" s="11"/>
      <c r="CV266" s="11"/>
      <c r="CW266" s="11"/>
      <c r="CX266" s="11"/>
      <c r="CY266" s="11"/>
      <c r="CZ266" s="11"/>
      <c r="DA266" s="11"/>
      <c r="DB266" s="11"/>
      <c r="DC266" s="11"/>
      <c r="DD266" s="11"/>
      <c r="DE266" s="11"/>
      <c r="DF266" s="11"/>
      <c r="DG266" s="11"/>
    </row>
    <row r="267" ht="15.75" customHeight="1">
      <c r="CT267" s="11"/>
      <c r="CU267" s="11"/>
      <c r="CV267" s="11"/>
      <c r="CW267" s="11"/>
      <c r="CX267" s="11"/>
      <c r="CY267" s="11"/>
      <c r="CZ267" s="11"/>
      <c r="DA267" s="11"/>
      <c r="DB267" s="11"/>
      <c r="DC267" s="11"/>
      <c r="DD267" s="11"/>
      <c r="DE267" s="11"/>
      <c r="DF267" s="11"/>
      <c r="DG267" s="11"/>
    </row>
    <row r="268" ht="15.75" customHeight="1">
      <c r="CT268" s="11"/>
      <c r="CU268" s="11"/>
      <c r="CV268" s="11"/>
      <c r="CW268" s="11"/>
      <c r="CX268" s="11"/>
      <c r="CY268" s="11"/>
      <c r="CZ268" s="11"/>
      <c r="DA268" s="11"/>
      <c r="DB268" s="11"/>
      <c r="DC268" s="11"/>
      <c r="DD268" s="11"/>
      <c r="DE268" s="11"/>
      <c r="DF268" s="11"/>
      <c r="DG268" s="11"/>
    </row>
    <row r="269" ht="15.75" customHeight="1">
      <c r="CT269" s="11"/>
      <c r="CU269" s="11"/>
      <c r="CV269" s="11"/>
      <c r="CW269" s="11"/>
      <c r="CX269" s="11"/>
      <c r="CY269" s="11"/>
      <c r="CZ269" s="11"/>
      <c r="DA269" s="11"/>
      <c r="DB269" s="11"/>
      <c r="DC269" s="11"/>
      <c r="DD269" s="11"/>
      <c r="DE269" s="11"/>
      <c r="DF269" s="11"/>
      <c r="DG269" s="11"/>
    </row>
    <row r="270" ht="15.75" customHeight="1">
      <c r="CT270" s="11"/>
      <c r="CU270" s="11"/>
      <c r="CV270" s="11"/>
      <c r="CW270" s="11"/>
      <c r="CX270" s="11"/>
      <c r="CY270" s="11"/>
      <c r="CZ270" s="11"/>
      <c r="DA270" s="11"/>
      <c r="DB270" s="11"/>
      <c r="DC270" s="11"/>
      <c r="DD270" s="11"/>
      <c r="DE270" s="11"/>
      <c r="DF270" s="11"/>
      <c r="DG270" s="11"/>
    </row>
    <row r="271" ht="15.75" customHeight="1">
      <c r="CT271" s="11"/>
      <c r="CU271" s="11"/>
      <c r="CV271" s="11"/>
      <c r="CW271" s="11"/>
      <c r="CX271" s="11"/>
      <c r="CY271" s="11"/>
      <c r="CZ271" s="11"/>
      <c r="DA271" s="11"/>
      <c r="DB271" s="11"/>
      <c r="DC271" s="11"/>
      <c r="DD271" s="11"/>
      <c r="DE271" s="11"/>
      <c r="DF271" s="11"/>
      <c r="DG271" s="11"/>
    </row>
    <row r="272" ht="15.75" customHeight="1">
      <c r="CT272" s="11"/>
      <c r="CU272" s="11"/>
      <c r="CV272" s="11"/>
      <c r="CW272" s="11"/>
      <c r="CX272" s="11"/>
      <c r="CY272" s="11"/>
      <c r="CZ272" s="11"/>
      <c r="DA272" s="11"/>
      <c r="DB272" s="11"/>
      <c r="DC272" s="11"/>
      <c r="DD272" s="11"/>
      <c r="DE272" s="11"/>
      <c r="DF272" s="11"/>
      <c r="DG272" s="11"/>
    </row>
    <row r="273" ht="15.75" customHeight="1">
      <c r="CT273" s="11"/>
      <c r="CU273" s="11"/>
      <c r="CV273" s="11"/>
      <c r="CW273" s="11"/>
      <c r="CX273" s="11"/>
      <c r="CY273" s="11"/>
      <c r="CZ273" s="11"/>
      <c r="DA273" s="11"/>
      <c r="DB273" s="11"/>
      <c r="DC273" s="11"/>
      <c r="DD273" s="11"/>
      <c r="DE273" s="11"/>
      <c r="DF273" s="11"/>
      <c r="DG273" s="11"/>
    </row>
    <row r="274" ht="15.75" customHeight="1">
      <c r="CT274" s="11"/>
      <c r="CU274" s="11"/>
      <c r="CV274" s="11"/>
      <c r="CW274" s="11"/>
      <c r="CX274" s="11"/>
      <c r="CY274" s="11"/>
      <c r="CZ274" s="11"/>
      <c r="DA274" s="11"/>
      <c r="DB274" s="11"/>
      <c r="DC274" s="11"/>
      <c r="DD274" s="11"/>
      <c r="DE274" s="11"/>
      <c r="DF274" s="11"/>
      <c r="DG274" s="11"/>
    </row>
    <row r="275" ht="15.75" customHeight="1">
      <c r="CT275" s="11"/>
      <c r="CU275" s="11"/>
      <c r="CV275" s="11"/>
      <c r="CW275" s="11"/>
      <c r="CX275" s="11"/>
      <c r="CY275" s="11"/>
      <c r="CZ275" s="11"/>
      <c r="DA275" s="11"/>
      <c r="DB275" s="11"/>
      <c r="DC275" s="11"/>
      <c r="DD275" s="11"/>
      <c r="DE275" s="11"/>
      <c r="DF275" s="11"/>
      <c r="DG275" s="11"/>
    </row>
    <row r="276" ht="15.75" customHeight="1">
      <c r="CT276" s="11"/>
      <c r="CU276" s="11"/>
      <c r="CV276" s="11"/>
      <c r="CW276" s="11"/>
      <c r="CX276" s="11"/>
      <c r="CY276" s="11"/>
      <c r="CZ276" s="11"/>
      <c r="DA276" s="11"/>
      <c r="DB276" s="11"/>
      <c r="DC276" s="11"/>
      <c r="DD276" s="11"/>
      <c r="DE276" s="11"/>
      <c r="DF276" s="11"/>
      <c r="DG276" s="11"/>
    </row>
    <row r="277" ht="15.75" customHeight="1">
      <c r="CT277" s="11"/>
      <c r="CU277" s="11"/>
      <c r="CV277" s="11"/>
      <c r="CW277" s="11"/>
      <c r="CX277" s="11"/>
      <c r="CY277" s="11"/>
      <c r="CZ277" s="11"/>
      <c r="DA277" s="11"/>
      <c r="DB277" s="11"/>
      <c r="DC277" s="11"/>
      <c r="DD277" s="11"/>
      <c r="DE277" s="11"/>
      <c r="DF277" s="11"/>
      <c r="DG277" s="11"/>
    </row>
    <row r="278" ht="15.75" customHeight="1">
      <c r="CT278" s="11"/>
      <c r="CU278" s="11"/>
      <c r="CV278" s="11"/>
      <c r="CW278" s="11"/>
      <c r="CX278" s="11"/>
      <c r="CY278" s="11"/>
      <c r="CZ278" s="11"/>
      <c r="DA278" s="11"/>
      <c r="DB278" s="11"/>
      <c r="DC278" s="11"/>
      <c r="DD278" s="11"/>
      <c r="DE278" s="11"/>
      <c r="DF278" s="11"/>
      <c r="DG278" s="11"/>
    </row>
    <row r="279" ht="15.75" customHeight="1">
      <c r="CT279" s="11"/>
      <c r="CU279" s="11"/>
      <c r="CV279" s="11"/>
      <c r="CW279" s="11"/>
      <c r="CX279" s="11"/>
      <c r="CY279" s="11"/>
      <c r="CZ279" s="11"/>
      <c r="DA279" s="11"/>
      <c r="DB279" s="11"/>
      <c r="DC279" s="11"/>
      <c r="DD279" s="11"/>
      <c r="DE279" s="11"/>
      <c r="DF279" s="11"/>
      <c r="DG279" s="11"/>
    </row>
    <row r="280" ht="15.75" customHeight="1">
      <c r="CT280" s="11"/>
      <c r="CU280" s="11"/>
      <c r="CV280" s="11"/>
      <c r="CW280" s="11"/>
      <c r="CX280" s="11"/>
      <c r="CY280" s="11"/>
      <c r="CZ280" s="11"/>
      <c r="DA280" s="11"/>
      <c r="DB280" s="11"/>
      <c r="DC280" s="11"/>
      <c r="DD280" s="11"/>
      <c r="DE280" s="11"/>
      <c r="DF280" s="11"/>
      <c r="DG280" s="11"/>
    </row>
    <row r="281" ht="15.75" customHeight="1">
      <c r="CT281" s="11"/>
      <c r="CU281" s="11"/>
      <c r="CV281" s="11"/>
      <c r="CW281" s="11"/>
      <c r="CX281" s="11"/>
      <c r="CY281" s="11"/>
      <c r="CZ281" s="11"/>
      <c r="DA281" s="11"/>
      <c r="DB281" s="11"/>
      <c r="DC281" s="11"/>
      <c r="DD281" s="11"/>
      <c r="DE281" s="11"/>
      <c r="DF281" s="11"/>
      <c r="DG281" s="11"/>
    </row>
    <row r="282" ht="15.75" customHeight="1">
      <c r="CT282" s="11"/>
      <c r="CU282" s="11"/>
      <c r="CV282" s="11"/>
      <c r="CW282" s="11"/>
      <c r="CX282" s="11"/>
      <c r="CY282" s="11"/>
      <c r="CZ282" s="11"/>
      <c r="DA282" s="11"/>
      <c r="DB282" s="11"/>
      <c r="DC282" s="11"/>
      <c r="DD282" s="11"/>
      <c r="DE282" s="11"/>
      <c r="DF282" s="11"/>
      <c r="DG282" s="11"/>
    </row>
    <row r="283" ht="15.75" customHeight="1">
      <c r="CT283" s="11"/>
      <c r="CU283" s="11"/>
      <c r="CV283" s="11"/>
      <c r="CW283" s="11"/>
      <c r="CX283" s="11"/>
      <c r="CY283" s="11"/>
      <c r="CZ283" s="11"/>
      <c r="DA283" s="11"/>
      <c r="DB283" s="11"/>
      <c r="DC283" s="11"/>
      <c r="DD283" s="11"/>
      <c r="DE283" s="11"/>
      <c r="DF283" s="11"/>
      <c r="DG283" s="11"/>
    </row>
    <row r="284" ht="15.75" customHeight="1">
      <c r="CT284" s="11"/>
      <c r="CU284" s="11"/>
      <c r="CV284" s="11"/>
      <c r="CW284" s="11"/>
      <c r="CX284" s="11"/>
      <c r="CY284" s="11"/>
      <c r="CZ284" s="11"/>
      <c r="DA284" s="11"/>
      <c r="DB284" s="11"/>
      <c r="DC284" s="11"/>
      <c r="DD284" s="11"/>
      <c r="DE284" s="11"/>
      <c r="DF284" s="11"/>
      <c r="DG284" s="11"/>
    </row>
    <row r="285" ht="15.75" customHeight="1">
      <c r="CT285" s="11"/>
      <c r="CU285" s="11"/>
      <c r="CV285" s="11"/>
      <c r="CW285" s="11"/>
      <c r="CX285" s="11"/>
      <c r="CY285" s="11"/>
      <c r="CZ285" s="11"/>
      <c r="DA285" s="11"/>
      <c r="DB285" s="11"/>
      <c r="DC285" s="11"/>
      <c r="DD285" s="11"/>
      <c r="DE285" s="11"/>
      <c r="DF285" s="11"/>
      <c r="DG285" s="11"/>
    </row>
    <row r="286" ht="15.75" customHeight="1">
      <c r="CT286" s="11"/>
      <c r="CU286" s="11"/>
      <c r="CV286" s="11"/>
      <c r="CW286" s="11"/>
      <c r="CX286" s="11"/>
      <c r="CY286" s="11"/>
      <c r="CZ286" s="11"/>
      <c r="DA286" s="11"/>
      <c r="DB286" s="11"/>
      <c r="DC286" s="11"/>
      <c r="DD286" s="11"/>
      <c r="DE286" s="11"/>
      <c r="DF286" s="11"/>
      <c r="DG286" s="11"/>
    </row>
    <row r="287" ht="15.75" customHeight="1">
      <c r="CT287" s="11"/>
      <c r="CU287" s="11"/>
      <c r="CV287" s="11"/>
      <c r="CW287" s="11"/>
      <c r="CX287" s="11"/>
      <c r="CY287" s="11"/>
      <c r="CZ287" s="11"/>
      <c r="DA287" s="11"/>
      <c r="DB287" s="11"/>
      <c r="DC287" s="11"/>
      <c r="DD287" s="11"/>
      <c r="DE287" s="11"/>
      <c r="DF287" s="11"/>
      <c r="DG287" s="11"/>
    </row>
    <row r="288" ht="15.75" customHeight="1">
      <c r="CT288" s="11"/>
      <c r="CU288" s="11"/>
      <c r="CV288" s="11"/>
      <c r="CW288" s="11"/>
      <c r="CX288" s="11"/>
      <c r="CY288" s="11"/>
      <c r="CZ288" s="11"/>
      <c r="DA288" s="11"/>
      <c r="DB288" s="11"/>
      <c r="DC288" s="11"/>
      <c r="DD288" s="11"/>
      <c r="DE288" s="11"/>
      <c r="DF288" s="11"/>
      <c r="DG288" s="11"/>
    </row>
    <row r="289" ht="15.75" customHeight="1">
      <c r="CT289" s="11"/>
      <c r="CU289" s="11"/>
      <c r="CV289" s="11"/>
      <c r="CW289" s="11"/>
      <c r="CX289" s="11"/>
      <c r="CY289" s="11"/>
      <c r="CZ289" s="11"/>
      <c r="DA289" s="11"/>
      <c r="DB289" s="11"/>
      <c r="DC289" s="11"/>
      <c r="DD289" s="11"/>
      <c r="DE289" s="11"/>
      <c r="DF289" s="11"/>
      <c r="DG289" s="11"/>
    </row>
    <row r="290" ht="15.75" customHeight="1">
      <c r="CT290" s="11"/>
      <c r="CU290" s="11"/>
      <c r="CV290" s="11"/>
      <c r="CW290" s="11"/>
      <c r="CX290" s="11"/>
      <c r="CY290" s="11"/>
      <c r="CZ290" s="11"/>
      <c r="DA290" s="11"/>
      <c r="DB290" s="11"/>
      <c r="DC290" s="11"/>
      <c r="DD290" s="11"/>
      <c r="DE290" s="11"/>
      <c r="DF290" s="11"/>
      <c r="DG290" s="11"/>
    </row>
    <row r="291" ht="15.75" customHeight="1">
      <c r="CT291" s="11"/>
      <c r="CU291" s="11"/>
      <c r="CV291" s="11"/>
      <c r="CW291" s="11"/>
      <c r="CX291" s="11"/>
      <c r="CY291" s="11"/>
      <c r="CZ291" s="11"/>
      <c r="DA291" s="11"/>
      <c r="DB291" s="11"/>
      <c r="DC291" s="11"/>
      <c r="DD291" s="11"/>
      <c r="DE291" s="11"/>
      <c r="DF291" s="11"/>
      <c r="DG291" s="11"/>
    </row>
    <row r="292" ht="15.75" customHeight="1">
      <c r="CT292" s="11"/>
      <c r="CU292" s="11"/>
      <c r="CV292" s="11"/>
      <c r="CW292" s="11"/>
      <c r="CX292" s="11"/>
      <c r="CY292" s="11"/>
      <c r="CZ292" s="11"/>
      <c r="DA292" s="11"/>
      <c r="DB292" s="11"/>
      <c r="DC292" s="11"/>
      <c r="DD292" s="11"/>
      <c r="DE292" s="11"/>
      <c r="DF292" s="11"/>
      <c r="DG292" s="11"/>
    </row>
    <row r="293" ht="15.75" customHeight="1">
      <c r="CT293" s="11"/>
      <c r="CU293" s="11"/>
      <c r="CV293" s="11"/>
      <c r="CW293" s="11"/>
      <c r="CX293" s="11"/>
      <c r="CY293" s="11"/>
      <c r="CZ293" s="11"/>
      <c r="DA293" s="11"/>
      <c r="DB293" s="11"/>
      <c r="DC293" s="11"/>
      <c r="DD293" s="11"/>
      <c r="DE293" s="11"/>
      <c r="DF293" s="11"/>
      <c r="DG293" s="11"/>
    </row>
    <row r="294" ht="15.75" customHeight="1">
      <c r="CT294" s="11"/>
      <c r="CU294" s="11"/>
      <c r="CV294" s="11"/>
      <c r="CW294" s="11"/>
      <c r="CX294" s="11"/>
      <c r="CY294" s="11"/>
      <c r="CZ294" s="11"/>
      <c r="DA294" s="11"/>
      <c r="DB294" s="11"/>
      <c r="DC294" s="11"/>
      <c r="DD294" s="11"/>
      <c r="DE294" s="11"/>
      <c r="DF294" s="11"/>
      <c r="DG294" s="11"/>
    </row>
    <row r="295" ht="15.75" customHeight="1">
      <c r="CT295" s="11"/>
      <c r="CU295" s="11"/>
      <c r="CV295" s="11"/>
      <c r="CW295" s="11"/>
      <c r="CX295" s="11"/>
      <c r="CY295" s="11"/>
      <c r="CZ295" s="11"/>
      <c r="DA295" s="11"/>
      <c r="DB295" s="11"/>
      <c r="DC295" s="11"/>
      <c r="DD295" s="11"/>
      <c r="DE295" s="11"/>
      <c r="DF295" s="11"/>
      <c r="DG295" s="11"/>
    </row>
    <row r="296" ht="15.75" customHeight="1">
      <c r="CT296" s="11"/>
      <c r="CU296" s="11"/>
      <c r="CV296" s="11"/>
      <c r="CW296" s="11"/>
      <c r="CX296" s="11"/>
      <c r="CY296" s="11"/>
      <c r="CZ296" s="11"/>
      <c r="DA296" s="11"/>
      <c r="DB296" s="11"/>
      <c r="DC296" s="11"/>
      <c r="DD296" s="11"/>
      <c r="DE296" s="11"/>
      <c r="DF296" s="11"/>
      <c r="DG296" s="11"/>
    </row>
    <row r="297" ht="15.75" customHeight="1">
      <c r="CT297" s="11"/>
      <c r="CU297" s="11"/>
      <c r="CV297" s="11"/>
      <c r="CW297" s="11"/>
      <c r="CX297" s="11"/>
      <c r="CY297" s="11"/>
      <c r="CZ297" s="11"/>
      <c r="DA297" s="11"/>
      <c r="DB297" s="11"/>
      <c r="DC297" s="11"/>
      <c r="DD297" s="11"/>
      <c r="DE297" s="11"/>
      <c r="DF297" s="11"/>
      <c r="DG297" s="11"/>
    </row>
    <row r="298" ht="15.75" customHeight="1">
      <c r="CT298" s="11"/>
      <c r="CU298" s="11"/>
      <c r="CV298" s="11"/>
      <c r="CW298" s="11"/>
      <c r="CX298" s="11"/>
      <c r="CY298" s="11"/>
      <c r="CZ298" s="11"/>
      <c r="DA298" s="11"/>
      <c r="DB298" s="11"/>
      <c r="DC298" s="11"/>
      <c r="DD298" s="11"/>
      <c r="DE298" s="11"/>
      <c r="DF298" s="11"/>
      <c r="DG298" s="11"/>
    </row>
    <row r="299" ht="15.75" customHeight="1">
      <c r="CT299" s="11"/>
      <c r="CU299" s="11"/>
      <c r="CV299" s="11"/>
      <c r="CW299" s="11"/>
      <c r="CX299" s="11"/>
      <c r="CY299" s="11"/>
      <c r="CZ299" s="11"/>
      <c r="DA299" s="11"/>
      <c r="DB299" s="11"/>
      <c r="DC299" s="11"/>
      <c r="DD299" s="11"/>
      <c r="DE299" s="11"/>
      <c r="DF299" s="11"/>
      <c r="DG299" s="11"/>
    </row>
    <row r="300" ht="15.75" customHeight="1">
      <c r="CT300" s="11"/>
      <c r="CU300" s="11"/>
      <c r="CV300" s="11"/>
      <c r="CW300" s="11"/>
      <c r="CX300" s="11"/>
      <c r="CY300" s="11"/>
      <c r="CZ300" s="11"/>
      <c r="DA300" s="11"/>
      <c r="DB300" s="11"/>
      <c r="DC300" s="11"/>
      <c r="DD300" s="11"/>
      <c r="DE300" s="11"/>
      <c r="DF300" s="11"/>
      <c r="DG300" s="11"/>
    </row>
    <row r="301" ht="15.75" customHeight="1">
      <c r="CT301" s="11"/>
      <c r="CU301" s="11"/>
      <c r="CV301" s="11"/>
      <c r="CW301" s="11"/>
      <c r="CX301" s="11"/>
      <c r="CY301" s="11"/>
      <c r="CZ301" s="11"/>
      <c r="DA301" s="11"/>
      <c r="DB301" s="11"/>
      <c r="DC301" s="11"/>
      <c r="DD301" s="11"/>
      <c r="DE301" s="11"/>
      <c r="DF301" s="11"/>
      <c r="DG301" s="11"/>
    </row>
    <row r="302" ht="15.75" customHeight="1">
      <c r="CT302" s="11"/>
      <c r="CU302" s="11"/>
      <c r="CV302" s="11"/>
      <c r="CW302" s="11"/>
      <c r="CX302" s="11"/>
      <c r="CY302" s="11"/>
      <c r="CZ302" s="11"/>
      <c r="DA302" s="11"/>
      <c r="DB302" s="11"/>
      <c r="DC302" s="11"/>
      <c r="DD302" s="11"/>
      <c r="DE302" s="11"/>
      <c r="DF302" s="11"/>
      <c r="DG302" s="11"/>
    </row>
    <row r="303" ht="15.75" customHeight="1">
      <c r="CT303" s="11"/>
      <c r="CU303" s="11"/>
      <c r="CV303" s="11"/>
      <c r="CW303" s="11"/>
      <c r="CX303" s="11"/>
      <c r="CY303" s="11"/>
      <c r="CZ303" s="11"/>
      <c r="DA303" s="11"/>
      <c r="DB303" s="11"/>
      <c r="DC303" s="11"/>
      <c r="DD303" s="11"/>
      <c r="DE303" s="11"/>
      <c r="DF303" s="11"/>
      <c r="DG303" s="11"/>
    </row>
    <row r="304" ht="15.75" customHeight="1">
      <c r="CT304" s="11"/>
      <c r="CU304" s="11"/>
      <c r="CV304" s="11"/>
      <c r="CW304" s="11"/>
      <c r="CX304" s="11"/>
      <c r="CY304" s="11"/>
      <c r="CZ304" s="11"/>
      <c r="DA304" s="11"/>
      <c r="DB304" s="11"/>
      <c r="DC304" s="11"/>
      <c r="DD304" s="11"/>
      <c r="DE304" s="11"/>
      <c r="DF304" s="11"/>
      <c r="DG304" s="11"/>
    </row>
    <row r="305" ht="15.75" customHeight="1">
      <c r="CT305" s="11"/>
      <c r="CU305" s="11"/>
      <c r="CV305" s="11"/>
      <c r="CW305" s="11"/>
      <c r="CX305" s="11"/>
      <c r="CY305" s="11"/>
      <c r="CZ305" s="11"/>
      <c r="DA305" s="11"/>
      <c r="DB305" s="11"/>
      <c r="DC305" s="11"/>
      <c r="DD305" s="11"/>
      <c r="DE305" s="11"/>
      <c r="DF305" s="11"/>
      <c r="DG305" s="11"/>
    </row>
    <row r="306" ht="15.75" customHeight="1">
      <c r="CT306" s="11"/>
      <c r="CU306" s="11"/>
      <c r="CV306" s="11"/>
      <c r="CW306" s="11"/>
      <c r="CX306" s="11"/>
      <c r="CY306" s="11"/>
      <c r="CZ306" s="11"/>
      <c r="DA306" s="11"/>
      <c r="DB306" s="11"/>
      <c r="DC306" s="11"/>
      <c r="DD306" s="11"/>
      <c r="DE306" s="11"/>
      <c r="DF306" s="11"/>
      <c r="DG306" s="11"/>
    </row>
    <row r="307" ht="15.75" customHeight="1">
      <c r="CT307" s="11"/>
      <c r="CU307" s="11"/>
      <c r="CV307" s="11"/>
      <c r="CW307" s="11"/>
      <c r="CX307" s="11"/>
      <c r="CY307" s="11"/>
      <c r="CZ307" s="11"/>
      <c r="DA307" s="11"/>
      <c r="DB307" s="11"/>
      <c r="DC307" s="11"/>
      <c r="DD307" s="11"/>
      <c r="DE307" s="11"/>
      <c r="DF307" s="11"/>
      <c r="DG307" s="11"/>
    </row>
    <row r="308" ht="15.75" customHeight="1">
      <c r="CT308" s="11"/>
      <c r="CU308" s="11"/>
      <c r="CV308" s="11"/>
      <c r="CW308" s="11"/>
      <c r="CX308" s="11"/>
      <c r="CY308" s="11"/>
      <c r="CZ308" s="11"/>
      <c r="DA308" s="11"/>
      <c r="DB308" s="11"/>
      <c r="DC308" s="11"/>
      <c r="DD308" s="11"/>
      <c r="DE308" s="11"/>
      <c r="DF308" s="11"/>
      <c r="DG308" s="11"/>
    </row>
    <row r="309" ht="15.75" customHeight="1">
      <c r="CT309" s="11"/>
      <c r="CU309" s="11"/>
      <c r="CV309" s="11"/>
      <c r="CW309" s="11"/>
      <c r="CX309" s="11"/>
      <c r="CY309" s="11"/>
      <c r="CZ309" s="11"/>
      <c r="DA309" s="11"/>
      <c r="DB309" s="11"/>
      <c r="DC309" s="11"/>
      <c r="DD309" s="11"/>
      <c r="DE309" s="11"/>
      <c r="DF309" s="11"/>
      <c r="DG309" s="11"/>
    </row>
    <row r="310" ht="15.75" customHeight="1">
      <c r="CT310" s="11"/>
      <c r="CU310" s="11"/>
      <c r="CV310" s="11"/>
      <c r="CW310" s="11"/>
      <c r="CX310" s="11"/>
      <c r="CY310" s="11"/>
      <c r="CZ310" s="11"/>
      <c r="DA310" s="11"/>
      <c r="DB310" s="11"/>
      <c r="DC310" s="11"/>
      <c r="DD310" s="11"/>
      <c r="DE310" s="11"/>
      <c r="DF310" s="11"/>
      <c r="DG310" s="11"/>
    </row>
    <row r="311" ht="15.75" customHeight="1">
      <c r="CT311" s="11"/>
      <c r="CU311" s="11"/>
      <c r="CV311" s="11"/>
      <c r="CW311" s="11"/>
      <c r="CX311" s="11"/>
      <c r="CY311" s="11"/>
      <c r="CZ311" s="11"/>
      <c r="DA311" s="11"/>
      <c r="DB311" s="11"/>
      <c r="DC311" s="11"/>
      <c r="DD311" s="11"/>
      <c r="DE311" s="11"/>
      <c r="DF311" s="11"/>
      <c r="DG311" s="11"/>
    </row>
    <row r="312" ht="15.75" customHeight="1">
      <c r="CT312" s="11"/>
      <c r="CU312" s="11"/>
      <c r="CV312" s="11"/>
      <c r="CW312" s="11"/>
      <c r="CX312" s="11"/>
      <c r="CY312" s="11"/>
      <c r="CZ312" s="11"/>
      <c r="DA312" s="11"/>
      <c r="DB312" s="11"/>
      <c r="DC312" s="11"/>
      <c r="DD312" s="11"/>
      <c r="DE312" s="11"/>
      <c r="DF312" s="11"/>
      <c r="DG312" s="11"/>
    </row>
    <row r="313" ht="15.75" customHeight="1">
      <c r="CT313" s="11"/>
      <c r="CU313" s="11"/>
      <c r="CV313" s="11"/>
      <c r="CW313" s="11"/>
      <c r="CX313" s="11"/>
      <c r="CY313" s="11"/>
      <c r="CZ313" s="11"/>
      <c r="DA313" s="11"/>
      <c r="DB313" s="11"/>
      <c r="DC313" s="11"/>
      <c r="DD313" s="11"/>
      <c r="DE313" s="11"/>
      <c r="DF313" s="11"/>
      <c r="DG313" s="11"/>
    </row>
    <row r="314" ht="15.75" customHeight="1">
      <c r="CT314" s="11"/>
      <c r="CU314" s="11"/>
      <c r="CV314" s="11"/>
      <c r="CW314" s="11"/>
      <c r="CX314" s="11"/>
      <c r="CY314" s="11"/>
      <c r="CZ314" s="11"/>
      <c r="DA314" s="11"/>
      <c r="DB314" s="11"/>
      <c r="DC314" s="11"/>
      <c r="DD314" s="11"/>
      <c r="DE314" s="11"/>
      <c r="DF314" s="11"/>
      <c r="DG314" s="11"/>
    </row>
    <row r="315" ht="15.75" customHeight="1">
      <c r="CT315" s="11"/>
      <c r="CU315" s="11"/>
      <c r="CV315" s="11"/>
      <c r="CW315" s="11"/>
      <c r="CX315" s="11"/>
      <c r="CY315" s="11"/>
      <c r="CZ315" s="11"/>
      <c r="DA315" s="11"/>
      <c r="DB315" s="11"/>
      <c r="DC315" s="11"/>
      <c r="DD315" s="11"/>
      <c r="DE315" s="11"/>
      <c r="DF315" s="11"/>
      <c r="DG315" s="11"/>
    </row>
    <row r="316" ht="15.75" customHeight="1">
      <c r="CT316" s="11"/>
      <c r="CU316" s="11"/>
      <c r="CV316" s="11"/>
      <c r="CW316" s="11"/>
      <c r="CX316" s="11"/>
      <c r="CY316" s="11"/>
      <c r="CZ316" s="11"/>
      <c r="DA316" s="11"/>
      <c r="DB316" s="11"/>
      <c r="DC316" s="11"/>
      <c r="DD316" s="11"/>
      <c r="DE316" s="11"/>
      <c r="DF316" s="11"/>
      <c r="DG316" s="11"/>
    </row>
    <row r="317" ht="15.75" customHeight="1">
      <c r="CT317" s="11"/>
      <c r="CU317" s="11"/>
      <c r="CV317" s="11"/>
      <c r="CW317" s="11"/>
      <c r="CX317" s="11"/>
      <c r="CY317" s="11"/>
      <c r="CZ317" s="11"/>
      <c r="DA317" s="11"/>
      <c r="DB317" s="11"/>
      <c r="DC317" s="11"/>
      <c r="DD317" s="11"/>
      <c r="DE317" s="11"/>
      <c r="DF317" s="11"/>
      <c r="DG317" s="11"/>
    </row>
    <row r="318" ht="15.75" customHeight="1">
      <c r="CT318" s="11"/>
      <c r="CU318" s="11"/>
      <c r="CV318" s="11"/>
      <c r="CW318" s="11"/>
      <c r="CX318" s="11"/>
      <c r="CY318" s="11"/>
      <c r="CZ318" s="11"/>
      <c r="DA318" s="11"/>
      <c r="DB318" s="11"/>
      <c r="DC318" s="11"/>
      <c r="DD318" s="11"/>
      <c r="DE318" s="11"/>
      <c r="DF318" s="11"/>
      <c r="DG318" s="11"/>
    </row>
    <row r="319" ht="15.75" customHeight="1">
      <c r="CT319" s="11"/>
      <c r="CU319" s="11"/>
      <c r="CV319" s="11"/>
      <c r="CW319" s="11"/>
      <c r="CX319" s="11"/>
      <c r="CY319" s="11"/>
      <c r="CZ319" s="11"/>
      <c r="DA319" s="11"/>
      <c r="DB319" s="11"/>
      <c r="DC319" s="11"/>
      <c r="DD319" s="11"/>
      <c r="DE319" s="11"/>
      <c r="DF319" s="11"/>
      <c r="DG319" s="11"/>
    </row>
    <row r="320" ht="15.75" customHeight="1">
      <c r="CT320" s="11"/>
      <c r="CU320" s="11"/>
      <c r="CV320" s="11"/>
      <c r="CW320" s="11"/>
      <c r="CX320" s="11"/>
      <c r="CY320" s="11"/>
      <c r="CZ320" s="11"/>
      <c r="DA320" s="11"/>
      <c r="DB320" s="11"/>
      <c r="DC320" s="11"/>
      <c r="DD320" s="11"/>
      <c r="DE320" s="11"/>
      <c r="DF320" s="11"/>
      <c r="DG320" s="11"/>
    </row>
    <row r="321" ht="15.75" customHeight="1">
      <c r="CT321" s="11"/>
      <c r="CU321" s="11"/>
      <c r="CV321" s="11"/>
      <c r="CW321" s="11"/>
      <c r="CX321" s="11"/>
      <c r="CY321" s="11"/>
      <c r="CZ321" s="11"/>
      <c r="DA321" s="11"/>
      <c r="DB321" s="11"/>
      <c r="DC321" s="11"/>
      <c r="DD321" s="11"/>
      <c r="DE321" s="11"/>
      <c r="DF321" s="11"/>
      <c r="DG321" s="11"/>
    </row>
    <row r="322" ht="15.75" customHeight="1">
      <c r="CT322" s="11"/>
      <c r="CU322" s="11"/>
      <c r="CV322" s="11"/>
      <c r="CW322" s="11"/>
      <c r="CX322" s="11"/>
      <c r="CY322" s="11"/>
      <c r="CZ322" s="11"/>
      <c r="DA322" s="11"/>
      <c r="DB322" s="11"/>
      <c r="DC322" s="11"/>
      <c r="DD322" s="11"/>
      <c r="DE322" s="11"/>
      <c r="DF322" s="11"/>
      <c r="DG322" s="11"/>
    </row>
    <row r="323" ht="15.75" customHeight="1">
      <c r="CT323" s="11"/>
      <c r="CU323" s="11"/>
      <c r="CV323" s="11"/>
      <c r="CW323" s="11"/>
      <c r="CX323" s="11"/>
      <c r="CY323" s="11"/>
      <c r="CZ323" s="11"/>
      <c r="DA323" s="11"/>
      <c r="DB323" s="11"/>
      <c r="DC323" s="11"/>
      <c r="DD323" s="11"/>
      <c r="DE323" s="11"/>
      <c r="DF323" s="11"/>
      <c r="DG323" s="11"/>
    </row>
    <row r="324" ht="15.75" customHeight="1">
      <c r="CT324" s="11"/>
      <c r="CU324" s="11"/>
      <c r="CV324" s="11"/>
      <c r="CW324" s="11"/>
      <c r="CX324" s="11"/>
      <c r="CY324" s="11"/>
      <c r="CZ324" s="11"/>
      <c r="DA324" s="11"/>
      <c r="DB324" s="11"/>
      <c r="DC324" s="11"/>
      <c r="DD324" s="11"/>
      <c r="DE324" s="11"/>
      <c r="DF324" s="11"/>
      <c r="DG324" s="11"/>
    </row>
    <row r="325" ht="15.75" customHeight="1">
      <c r="CT325" s="11"/>
      <c r="CU325" s="11"/>
      <c r="CV325" s="11"/>
      <c r="CW325" s="11"/>
      <c r="CX325" s="11"/>
      <c r="CY325" s="11"/>
      <c r="CZ325" s="11"/>
      <c r="DA325" s="11"/>
      <c r="DB325" s="11"/>
      <c r="DC325" s="11"/>
      <c r="DD325" s="11"/>
      <c r="DE325" s="11"/>
      <c r="DF325" s="11"/>
      <c r="DG325" s="11"/>
    </row>
    <row r="326" ht="15.75" customHeight="1">
      <c r="CT326" s="11"/>
      <c r="CU326" s="11"/>
      <c r="CV326" s="11"/>
      <c r="CW326" s="11"/>
      <c r="CX326" s="11"/>
      <c r="CY326" s="11"/>
      <c r="CZ326" s="11"/>
      <c r="DA326" s="11"/>
      <c r="DB326" s="11"/>
      <c r="DC326" s="11"/>
      <c r="DD326" s="11"/>
      <c r="DE326" s="11"/>
      <c r="DF326" s="11"/>
      <c r="DG326" s="11"/>
    </row>
    <row r="327" ht="15.75" customHeight="1">
      <c r="CT327" s="11"/>
      <c r="CU327" s="11"/>
      <c r="CV327" s="11"/>
      <c r="CW327" s="11"/>
      <c r="CX327" s="11"/>
      <c r="CY327" s="11"/>
      <c r="CZ327" s="11"/>
      <c r="DA327" s="11"/>
      <c r="DB327" s="11"/>
      <c r="DC327" s="11"/>
      <c r="DD327" s="11"/>
      <c r="DE327" s="11"/>
      <c r="DF327" s="11"/>
      <c r="DG327" s="11"/>
    </row>
    <row r="328" ht="15.75" customHeight="1">
      <c r="CT328" s="11"/>
      <c r="CU328" s="11"/>
      <c r="CV328" s="11"/>
      <c r="CW328" s="11"/>
      <c r="CX328" s="11"/>
      <c r="CY328" s="11"/>
      <c r="CZ328" s="11"/>
      <c r="DA328" s="11"/>
      <c r="DB328" s="11"/>
      <c r="DC328" s="11"/>
      <c r="DD328" s="11"/>
      <c r="DE328" s="11"/>
      <c r="DF328" s="11"/>
      <c r="DG328" s="11"/>
    </row>
    <row r="329" ht="15.75" customHeight="1">
      <c r="CT329" s="11"/>
      <c r="CU329" s="11"/>
      <c r="CV329" s="11"/>
      <c r="CW329" s="11"/>
      <c r="CX329" s="11"/>
      <c r="CY329" s="11"/>
      <c r="CZ329" s="11"/>
      <c r="DA329" s="11"/>
      <c r="DB329" s="11"/>
      <c r="DC329" s="11"/>
      <c r="DD329" s="11"/>
      <c r="DE329" s="11"/>
      <c r="DF329" s="11"/>
      <c r="DG329" s="11"/>
    </row>
    <row r="330" ht="15.75" customHeight="1">
      <c r="CT330" s="11"/>
      <c r="CU330" s="11"/>
      <c r="CV330" s="11"/>
      <c r="CW330" s="11"/>
      <c r="CX330" s="11"/>
      <c r="CY330" s="11"/>
      <c r="CZ330" s="11"/>
      <c r="DA330" s="11"/>
      <c r="DB330" s="11"/>
      <c r="DC330" s="11"/>
      <c r="DD330" s="11"/>
      <c r="DE330" s="11"/>
      <c r="DF330" s="11"/>
      <c r="DG330" s="11"/>
    </row>
    <row r="331" ht="15.75" customHeight="1">
      <c r="CT331" s="11"/>
      <c r="CU331" s="11"/>
      <c r="CV331" s="11"/>
      <c r="CW331" s="11"/>
      <c r="CX331" s="11"/>
      <c r="CY331" s="11"/>
      <c r="CZ331" s="11"/>
      <c r="DA331" s="11"/>
      <c r="DB331" s="11"/>
      <c r="DC331" s="11"/>
      <c r="DD331" s="11"/>
      <c r="DE331" s="11"/>
      <c r="DF331" s="11"/>
      <c r="DG331" s="11"/>
    </row>
    <row r="332" ht="15.75" customHeight="1">
      <c r="CT332" s="11"/>
      <c r="CU332" s="11"/>
      <c r="CV332" s="11"/>
      <c r="CW332" s="11"/>
      <c r="CX332" s="11"/>
      <c r="CY332" s="11"/>
      <c r="CZ332" s="11"/>
      <c r="DA332" s="11"/>
      <c r="DB332" s="11"/>
      <c r="DC332" s="11"/>
      <c r="DD332" s="11"/>
      <c r="DE332" s="11"/>
      <c r="DF332" s="11"/>
      <c r="DG332" s="11"/>
    </row>
    <row r="333" ht="15.75" customHeight="1">
      <c r="CT333" s="11"/>
      <c r="CU333" s="11"/>
      <c r="CV333" s="11"/>
      <c r="CW333" s="11"/>
      <c r="CX333" s="11"/>
      <c r="CY333" s="11"/>
      <c r="CZ333" s="11"/>
      <c r="DA333" s="11"/>
      <c r="DB333" s="11"/>
      <c r="DC333" s="11"/>
      <c r="DD333" s="11"/>
      <c r="DE333" s="11"/>
      <c r="DF333" s="11"/>
      <c r="DG333" s="11"/>
    </row>
    <row r="334" ht="15.75" customHeight="1">
      <c r="CT334" s="11"/>
      <c r="CU334" s="11"/>
      <c r="CV334" s="11"/>
      <c r="CW334" s="11"/>
      <c r="CX334" s="11"/>
      <c r="CY334" s="11"/>
      <c r="CZ334" s="11"/>
      <c r="DA334" s="11"/>
      <c r="DB334" s="11"/>
      <c r="DC334" s="11"/>
      <c r="DD334" s="11"/>
      <c r="DE334" s="11"/>
      <c r="DF334" s="11"/>
      <c r="DG334" s="11"/>
    </row>
    <row r="335" ht="15.75" customHeight="1">
      <c r="CT335" s="11"/>
      <c r="CU335" s="11"/>
      <c r="CV335" s="11"/>
      <c r="CW335" s="11"/>
      <c r="CX335" s="11"/>
      <c r="CY335" s="11"/>
      <c r="CZ335" s="11"/>
      <c r="DA335" s="11"/>
      <c r="DB335" s="11"/>
      <c r="DC335" s="11"/>
      <c r="DD335" s="11"/>
      <c r="DE335" s="11"/>
      <c r="DF335" s="11"/>
      <c r="DG335" s="11"/>
    </row>
    <row r="336" ht="15.75" customHeight="1">
      <c r="CT336" s="11"/>
      <c r="CU336" s="11"/>
      <c r="CV336" s="11"/>
      <c r="CW336" s="11"/>
      <c r="CX336" s="11"/>
      <c r="CY336" s="11"/>
      <c r="CZ336" s="11"/>
      <c r="DA336" s="11"/>
      <c r="DB336" s="11"/>
      <c r="DC336" s="11"/>
      <c r="DD336" s="11"/>
      <c r="DE336" s="11"/>
      <c r="DF336" s="11"/>
      <c r="DG336" s="11"/>
    </row>
    <row r="337" ht="15.75" customHeight="1">
      <c r="CT337" s="11"/>
      <c r="CU337" s="11"/>
      <c r="CV337" s="11"/>
      <c r="CW337" s="11"/>
      <c r="CX337" s="11"/>
      <c r="CY337" s="11"/>
      <c r="CZ337" s="11"/>
      <c r="DA337" s="11"/>
      <c r="DB337" s="11"/>
      <c r="DC337" s="11"/>
      <c r="DD337" s="11"/>
      <c r="DE337" s="11"/>
      <c r="DF337" s="11"/>
      <c r="DG337" s="11"/>
    </row>
    <row r="338" ht="15.75" customHeight="1">
      <c r="CT338" s="11"/>
      <c r="CU338" s="11"/>
      <c r="CV338" s="11"/>
      <c r="CW338" s="11"/>
      <c r="CX338" s="11"/>
      <c r="CY338" s="11"/>
      <c r="CZ338" s="11"/>
      <c r="DA338" s="11"/>
      <c r="DB338" s="11"/>
      <c r="DC338" s="11"/>
      <c r="DD338" s="11"/>
      <c r="DE338" s="11"/>
      <c r="DF338" s="11"/>
      <c r="DG338" s="11"/>
    </row>
    <row r="339" ht="15.75" customHeight="1">
      <c r="CT339" s="11"/>
      <c r="CU339" s="11"/>
      <c r="CV339" s="11"/>
      <c r="CW339" s="11"/>
      <c r="CX339" s="11"/>
      <c r="CY339" s="11"/>
      <c r="CZ339" s="11"/>
      <c r="DA339" s="11"/>
      <c r="DB339" s="11"/>
      <c r="DC339" s="11"/>
      <c r="DD339" s="11"/>
      <c r="DE339" s="11"/>
      <c r="DF339" s="11"/>
      <c r="DG339" s="11"/>
    </row>
    <row r="340" ht="15.75" customHeight="1">
      <c r="CT340" s="11"/>
      <c r="CU340" s="11"/>
      <c r="CV340" s="11"/>
      <c r="CW340" s="11"/>
      <c r="CX340" s="11"/>
      <c r="CY340" s="11"/>
      <c r="CZ340" s="11"/>
      <c r="DA340" s="11"/>
      <c r="DB340" s="11"/>
      <c r="DC340" s="11"/>
      <c r="DD340" s="11"/>
      <c r="DE340" s="11"/>
      <c r="DF340" s="11"/>
      <c r="DG340" s="11"/>
    </row>
    <row r="341" ht="15.75" customHeight="1">
      <c r="CT341" s="11"/>
      <c r="CU341" s="11"/>
      <c r="CV341" s="11"/>
      <c r="CW341" s="11"/>
      <c r="CX341" s="11"/>
      <c r="CY341" s="11"/>
      <c r="CZ341" s="11"/>
      <c r="DA341" s="11"/>
      <c r="DB341" s="11"/>
      <c r="DC341" s="11"/>
      <c r="DD341" s="11"/>
      <c r="DE341" s="11"/>
      <c r="DF341" s="11"/>
      <c r="DG341" s="11"/>
    </row>
    <row r="342" ht="15.75" customHeight="1">
      <c r="CT342" s="11"/>
      <c r="CU342" s="11"/>
      <c r="CV342" s="11"/>
      <c r="CW342" s="11"/>
      <c r="CX342" s="11"/>
      <c r="CY342" s="11"/>
      <c r="CZ342" s="11"/>
      <c r="DA342" s="11"/>
      <c r="DB342" s="11"/>
      <c r="DC342" s="11"/>
      <c r="DD342" s="11"/>
      <c r="DE342" s="11"/>
      <c r="DF342" s="11"/>
      <c r="DG342" s="11"/>
    </row>
    <row r="343" ht="15.75" customHeight="1">
      <c r="CT343" s="11"/>
      <c r="CU343" s="11"/>
      <c r="CV343" s="11"/>
      <c r="CW343" s="11"/>
      <c r="CX343" s="11"/>
      <c r="CY343" s="11"/>
      <c r="CZ343" s="11"/>
      <c r="DA343" s="11"/>
      <c r="DB343" s="11"/>
      <c r="DC343" s="11"/>
      <c r="DD343" s="11"/>
      <c r="DE343" s="11"/>
      <c r="DF343" s="11"/>
      <c r="DG343" s="11"/>
    </row>
    <row r="344" ht="15.75" customHeight="1">
      <c r="CT344" s="11"/>
      <c r="CU344" s="11"/>
      <c r="CV344" s="11"/>
      <c r="CW344" s="11"/>
      <c r="CX344" s="11"/>
      <c r="CY344" s="11"/>
      <c r="CZ344" s="11"/>
      <c r="DA344" s="11"/>
      <c r="DB344" s="11"/>
      <c r="DC344" s="11"/>
      <c r="DD344" s="11"/>
      <c r="DE344" s="11"/>
      <c r="DF344" s="11"/>
      <c r="DG344" s="11"/>
    </row>
    <row r="345" ht="15.75" customHeight="1">
      <c r="CT345" s="11"/>
      <c r="CU345" s="11"/>
      <c r="CV345" s="11"/>
      <c r="CW345" s="11"/>
      <c r="CX345" s="11"/>
      <c r="CY345" s="11"/>
      <c r="CZ345" s="11"/>
      <c r="DA345" s="11"/>
      <c r="DB345" s="11"/>
      <c r="DC345" s="11"/>
      <c r="DD345" s="11"/>
      <c r="DE345" s="11"/>
      <c r="DF345" s="11"/>
      <c r="DG345" s="11"/>
    </row>
    <row r="346" ht="15.75" customHeight="1">
      <c r="CT346" s="11"/>
      <c r="CU346" s="11"/>
      <c r="CV346" s="11"/>
      <c r="CW346" s="11"/>
      <c r="CX346" s="11"/>
      <c r="CY346" s="11"/>
      <c r="CZ346" s="11"/>
      <c r="DA346" s="11"/>
      <c r="DB346" s="11"/>
      <c r="DC346" s="11"/>
      <c r="DD346" s="11"/>
      <c r="DE346" s="11"/>
      <c r="DF346" s="11"/>
      <c r="DG346" s="11"/>
    </row>
    <row r="347" ht="15.75" customHeight="1">
      <c r="CT347" s="11"/>
      <c r="CU347" s="11"/>
      <c r="CV347" s="11"/>
      <c r="CW347" s="11"/>
      <c r="CX347" s="11"/>
      <c r="CY347" s="11"/>
      <c r="CZ347" s="11"/>
      <c r="DA347" s="11"/>
      <c r="DB347" s="11"/>
      <c r="DC347" s="11"/>
      <c r="DD347" s="11"/>
      <c r="DE347" s="11"/>
      <c r="DF347" s="11"/>
      <c r="DG347" s="11"/>
    </row>
    <row r="348" ht="15.75" customHeight="1">
      <c r="CT348" s="11"/>
      <c r="CU348" s="11"/>
      <c r="CV348" s="11"/>
      <c r="CW348" s="11"/>
      <c r="CX348" s="11"/>
      <c r="CY348" s="11"/>
      <c r="CZ348" s="11"/>
      <c r="DA348" s="11"/>
      <c r="DB348" s="11"/>
      <c r="DC348" s="11"/>
      <c r="DD348" s="11"/>
      <c r="DE348" s="11"/>
      <c r="DF348" s="11"/>
      <c r="DG348" s="11"/>
    </row>
    <row r="349" ht="15.75" customHeight="1">
      <c r="CT349" s="11"/>
      <c r="CU349" s="11"/>
      <c r="CV349" s="11"/>
      <c r="CW349" s="11"/>
      <c r="CX349" s="11"/>
      <c r="CY349" s="11"/>
      <c r="CZ349" s="11"/>
      <c r="DA349" s="11"/>
      <c r="DB349" s="11"/>
      <c r="DC349" s="11"/>
      <c r="DD349" s="11"/>
      <c r="DE349" s="11"/>
      <c r="DF349" s="11"/>
      <c r="DG349" s="11"/>
    </row>
    <row r="350" ht="15.75" customHeight="1">
      <c r="CT350" s="11"/>
      <c r="CU350" s="11"/>
      <c r="CV350" s="11"/>
      <c r="CW350" s="11"/>
      <c r="CX350" s="11"/>
      <c r="CY350" s="11"/>
      <c r="CZ350" s="11"/>
      <c r="DA350" s="11"/>
      <c r="DB350" s="11"/>
      <c r="DC350" s="11"/>
      <c r="DD350" s="11"/>
      <c r="DE350" s="11"/>
      <c r="DF350" s="11"/>
      <c r="DG350" s="11"/>
    </row>
    <row r="351" ht="15.75" customHeight="1">
      <c r="CT351" s="11"/>
      <c r="CU351" s="11"/>
      <c r="CV351" s="11"/>
      <c r="CW351" s="11"/>
      <c r="CX351" s="11"/>
      <c r="CY351" s="11"/>
      <c r="CZ351" s="11"/>
      <c r="DA351" s="11"/>
      <c r="DB351" s="11"/>
      <c r="DC351" s="11"/>
      <c r="DD351" s="11"/>
      <c r="DE351" s="11"/>
      <c r="DF351" s="11"/>
      <c r="DG351" s="11"/>
    </row>
    <row r="352" ht="15.75" customHeight="1">
      <c r="CT352" s="11"/>
      <c r="CU352" s="11"/>
      <c r="CV352" s="11"/>
      <c r="CW352" s="11"/>
      <c r="CX352" s="11"/>
      <c r="CY352" s="11"/>
      <c r="CZ352" s="11"/>
      <c r="DA352" s="11"/>
      <c r="DB352" s="11"/>
      <c r="DC352" s="11"/>
      <c r="DD352" s="11"/>
      <c r="DE352" s="11"/>
      <c r="DF352" s="11"/>
      <c r="DG352" s="11"/>
    </row>
    <row r="353" ht="15.75" customHeight="1">
      <c r="CT353" s="11"/>
      <c r="CU353" s="11"/>
      <c r="CV353" s="11"/>
      <c r="CW353" s="11"/>
      <c r="CX353" s="11"/>
      <c r="CY353" s="11"/>
      <c r="CZ353" s="11"/>
      <c r="DA353" s="11"/>
      <c r="DB353" s="11"/>
      <c r="DC353" s="11"/>
      <c r="DD353" s="11"/>
      <c r="DE353" s="11"/>
      <c r="DF353" s="11"/>
      <c r="DG353" s="11"/>
    </row>
    <row r="354" ht="15.75" customHeight="1">
      <c r="CT354" s="11"/>
      <c r="CU354" s="11"/>
      <c r="CV354" s="11"/>
      <c r="CW354" s="11"/>
      <c r="CX354" s="11"/>
      <c r="CY354" s="11"/>
      <c r="CZ354" s="11"/>
      <c r="DA354" s="11"/>
      <c r="DB354" s="11"/>
      <c r="DC354" s="11"/>
      <c r="DD354" s="11"/>
      <c r="DE354" s="11"/>
      <c r="DF354" s="11"/>
      <c r="DG354" s="11"/>
    </row>
    <row r="355" ht="15.75" customHeight="1">
      <c r="CT355" s="11"/>
      <c r="CU355" s="11"/>
      <c r="CV355" s="11"/>
      <c r="CW355" s="11"/>
      <c r="CX355" s="11"/>
      <c r="CY355" s="11"/>
      <c r="CZ355" s="11"/>
      <c r="DA355" s="11"/>
      <c r="DB355" s="11"/>
      <c r="DC355" s="11"/>
      <c r="DD355" s="11"/>
      <c r="DE355" s="11"/>
      <c r="DF355" s="11"/>
      <c r="DG355" s="11"/>
    </row>
    <row r="356" ht="15.75" customHeight="1">
      <c r="CT356" s="11"/>
      <c r="CU356" s="11"/>
      <c r="CV356" s="11"/>
      <c r="CW356" s="11"/>
      <c r="CX356" s="11"/>
      <c r="CY356" s="11"/>
      <c r="CZ356" s="11"/>
      <c r="DA356" s="11"/>
      <c r="DB356" s="11"/>
      <c r="DC356" s="11"/>
      <c r="DD356" s="11"/>
      <c r="DE356" s="11"/>
      <c r="DF356" s="11"/>
      <c r="DG356" s="11"/>
    </row>
    <row r="357" ht="15.75" customHeight="1">
      <c r="CT357" s="11"/>
      <c r="CU357" s="11"/>
      <c r="CV357" s="11"/>
      <c r="CW357" s="11"/>
      <c r="CX357" s="11"/>
      <c r="CY357" s="11"/>
      <c r="CZ357" s="11"/>
      <c r="DA357" s="11"/>
      <c r="DB357" s="11"/>
      <c r="DC357" s="11"/>
      <c r="DD357" s="11"/>
      <c r="DE357" s="11"/>
      <c r="DF357" s="11"/>
      <c r="DG357" s="11"/>
    </row>
    <row r="358" ht="15.75" customHeight="1">
      <c r="CT358" s="11"/>
      <c r="CU358" s="11"/>
      <c r="CV358" s="11"/>
      <c r="CW358" s="11"/>
      <c r="CX358" s="11"/>
      <c r="CY358" s="11"/>
      <c r="CZ358" s="11"/>
      <c r="DA358" s="11"/>
      <c r="DB358" s="11"/>
      <c r="DC358" s="11"/>
      <c r="DD358" s="11"/>
      <c r="DE358" s="11"/>
      <c r="DF358" s="11"/>
      <c r="DG358" s="11"/>
    </row>
    <row r="359" ht="15.75" customHeight="1">
      <c r="CT359" s="11"/>
      <c r="CU359" s="11"/>
      <c r="CV359" s="11"/>
      <c r="CW359" s="11"/>
      <c r="CX359" s="11"/>
      <c r="CY359" s="11"/>
      <c r="CZ359" s="11"/>
      <c r="DA359" s="11"/>
      <c r="DB359" s="11"/>
      <c r="DC359" s="11"/>
      <c r="DD359" s="11"/>
      <c r="DE359" s="11"/>
      <c r="DF359" s="11"/>
      <c r="DG359" s="11"/>
    </row>
    <row r="360" ht="15.75" customHeight="1">
      <c r="CT360" s="11"/>
      <c r="CU360" s="11"/>
      <c r="CV360" s="11"/>
      <c r="CW360" s="11"/>
      <c r="CX360" s="11"/>
      <c r="CY360" s="11"/>
      <c r="CZ360" s="11"/>
      <c r="DA360" s="11"/>
      <c r="DB360" s="11"/>
      <c r="DC360" s="11"/>
      <c r="DD360" s="11"/>
      <c r="DE360" s="11"/>
      <c r="DF360" s="11"/>
      <c r="DG360" s="11"/>
    </row>
    <row r="361" ht="15.75" customHeight="1">
      <c r="CT361" s="11"/>
      <c r="CU361" s="11"/>
      <c r="CV361" s="11"/>
      <c r="CW361" s="11"/>
      <c r="CX361" s="11"/>
      <c r="CY361" s="11"/>
      <c r="CZ361" s="11"/>
      <c r="DA361" s="11"/>
      <c r="DB361" s="11"/>
      <c r="DC361" s="11"/>
      <c r="DD361" s="11"/>
      <c r="DE361" s="11"/>
      <c r="DF361" s="11"/>
      <c r="DG361" s="11"/>
    </row>
    <row r="362" ht="15.75" customHeight="1">
      <c r="CT362" s="11"/>
      <c r="CU362" s="11"/>
      <c r="CV362" s="11"/>
      <c r="CW362" s="11"/>
      <c r="CX362" s="11"/>
      <c r="CY362" s="11"/>
      <c r="CZ362" s="11"/>
      <c r="DA362" s="11"/>
      <c r="DB362" s="11"/>
      <c r="DC362" s="11"/>
      <c r="DD362" s="11"/>
      <c r="DE362" s="11"/>
      <c r="DF362" s="11"/>
      <c r="DG362" s="11"/>
    </row>
    <row r="363" ht="15.75" customHeight="1">
      <c r="CT363" s="11"/>
      <c r="CU363" s="11"/>
      <c r="CV363" s="11"/>
      <c r="CW363" s="11"/>
      <c r="CX363" s="11"/>
      <c r="CY363" s="11"/>
      <c r="CZ363" s="11"/>
      <c r="DA363" s="11"/>
      <c r="DB363" s="11"/>
      <c r="DC363" s="11"/>
      <c r="DD363" s="11"/>
      <c r="DE363" s="11"/>
      <c r="DF363" s="11"/>
      <c r="DG363" s="11"/>
    </row>
    <row r="364" ht="15.75" customHeight="1">
      <c r="CT364" s="11"/>
      <c r="CU364" s="11"/>
      <c r="CV364" s="11"/>
      <c r="CW364" s="11"/>
      <c r="CX364" s="11"/>
      <c r="CY364" s="11"/>
      <c r="CZ364" s="11"/>
      <c r="DA364" s="11"/>
      <c r="DB364" s="11"/>
      <c r="DC364" s="11"/>
      <c r="DD364" s="11"/>
      <c r="DE364" s="11"/>
      <c r="DF364" s="11"/>
      <c r="DG364" s="11"/>
    </row>
    <row r="365" ht="15.75" customHeight="1">
      <c r="CT365" s="11"/>
      <c r="CU365" s="11"/>
      <c r="CV365" s="11"/>
      <c r="CW365" s="11"/>
      <c r="CX365" s="11"/>
      <c r="CY365" s="11"/>
      <c r="CZ365" s="11"/>
      <c r="DA365" s="11"/>
      <c r="DB365" s="11"/>
      <c r="DC365" s="11"/>
      <c r="DD365" s="11"/>
      <c r="DE365" s="11"/>
      <c r="DF365" s="11"/>
      <c r="DG365" s="11"/>
    </row>
    <row r="366" ht="15.75" customHeight="1">
      <c r="CT366" s="11"/>
      <c r="CU366" s="11"/>
      <c r="CV366" s="11"/>
      <c r="CW366" s="11"/>
      <c r="CX366" s="11"/>
      <c r="CY366" s="11"/>
      <c r="CZ366" s="11"/>
      <c r="DA366" s="11"/>
      <c r="DB366" s="11"/>
      <c r="DC366" s="11"/>
      <c r="DD366" s="11"/>
      <c r="DE366" s="11"/>
      <c r="DF366" s="11"/>
      <c r="DG366" s="11"/>
    </row>
    <row r="367" ht="15.75" customHeight="1">
      <c r="CT367" s="11"/>
      <c r="CU367" s="11"/>
      <c r="CV367" s="11"/>
      <c r="CW367" s="11"/>
      <c r="CX367" s="11"/>
      <c r="CY367" s="11"/>
      <c r="CZ367" s="11"/>
      <c r="DA367" s="11"/>
      <c r="DB367" s="11"/>
      <c r="DC367" s="11"/>
      <c r="DD367" s="11"/>
      <c r="DE367" s="11"/>
      <c r="DF367" s="11"/>
      <c r="DG367" s="11"/>
    </row>
    <row r="368" ht="15.75" customHeight="1">
      <c r="CT368" s="11"/>
      <c r="CU368" s="11"/>
      <c r="CV368" s="11"/>
      <c r="CW368" s="11"/>
      <c r="CX368" s="11"/>
      <c r="CY368" s="11"/>
      <c r="CZ368" s="11"/>
      <c r="DA368" s="11"/>
      <c r="DB368" s="11"/>
      <c r="DC368" s="11"/>
      <c r="DD368" s="11"/>
      <c r="DE368" s="11"/>
      <c r="DF368" s="11"/>
      <c r="DG368" s="11"/>
    </row>
    <row r="369" ht="15.75" customHeight="1">
      <c r="CT369" s="11"/>
      <c r="CU369" s="11"/>
      <c r="CV369" s="11"/>
      <c r="CW369" s="11"/>
      <c r="CX369" s="11"/>
      <c r="CY369" s="11"/>
      <c r="CZ369" s="11"/>
      <c r="DA369" s="11"/>
      <c r="DB369" s="11"/>
      <c r="DC369" s="11"/>
      <c r="DD369" s="11"/>
      <c r="DE369" s="11"/>
      <c r="DF369" s="11"/>
      <c r="DG369" s="11"/>
    </row>
    <row r="370" ht="15.75" customHeight="1">
      <c r="CT370" s="11"/>
      <c r="CU370" s="11"/>
      <c r="CV370" s="11"/>
      <c r="CW370" s="11"/>
      <c r="CX370" s="11"/>
      <c r="CY370" s="11"/>
      <c r="CZ370" s="11"/>
      <c r="DA370" s="11"/>
      <c r="DB370" s="11"/>
      <c r="DC370" s="11"/>
      <c r="DD370" s="11"/>
      <c r="DE370" s="11"/>
      <c r="DF370" s="11"/>
      <c r="DG370" s="11"/>
    </row>
    <row r="371" ht="15.75" customHeight="1">
      <c r="CT371" s="11"/>
      <c r="CU371" s="11"/>
      <c r="CV371" s="11"/>
      <c r="CW371" s="11"/>
      <c r="CX371" s="11"/>
      <c r="CY371" s="11"/>
      <c r="CZ371" s="11"/>
      <c r="DA371" s="11"/>
      <c r="DB371" s="11"/>
      <c r="DC371" s="11"/>
      <c r="DD371" s="11"/>
      <c r="DE371" s="11"/>
      <c r="DF371" s="11"/>
      <c r="DG371" s="11"/>
    </row>
    <row r="372" ht="15.75" customHeight="1">
      <c r="CT372" s="11"/>
      <c r="CU372" s="11"/>
      <c r="CV372" s="11"/>
      <c r="CW372" s="11"/>
      <c r="CX372" s="11"/>
      <c r="CY372" s="11"/>
      <c r="CZ372" s="11"/>
      <c r="DA372" s="11"/>
      <c r="DB372" s="11"/>
      <c r="DC372" s="11"/>
      <c r="DD372" s="11"/>
      <c r="DE372" s="11"/>
      <c r="DF372" s="11"/>
      <c r="DG372" s="11"/>
    </row>
    <row r="373" ht="15.75" customHeight="1">
      <c r="CT373" s="11"/>
      <c r="CU373" s="11"/>
      <c r="CV373" s="11"/>
      <c r="CW373" s="11"/>
      <c r="CX373" s="11"/>
      <c r="CY373" s="11"/>
      <c r="CZ373" s="11"/>
      <c r="DA373" s="11"/>
      <c r="DB373" s="11"/>
      <c r="DC373" s="11"/>
      <c r="DD373" s="11"/>
      <c r="DE373" s="11"/>
      <c r="DF373" s="11"/>
      <c r="DG373" s="11"/>
    </row>
    <row r="374" ht="15.75" customHeight="1">
      <c r="CT374" s="11"/>
      <c r="CU374" s="11"/>
      <c r="CV374" s="11"/>
      <c r="CW374" s="11"/>
      <c r="CX374" s="11"/>
      <c r="CY374" s="11"/>
      <c r="CZ374" s="11"/>
      <c r="DA374" s="11"/>
      <c r="DB374" s="11"/>
      <c r="DC374" s="11"/>
      <c r="DD374" s="11"/>
      <c r="DE374" s="11"/>
      <c r="DF374" s="11"/>
      <c r="DG374" s="11"/>
    </row>
    <row r="375" ht="15.75" customHeight="1">
      <c r="CT375" s="11"/>
      <c r="CU375" s="11"/>
      <c r="CV375" s="11"/>
      <c r="CW375" s="11"/>
      <c r="CX375" s="11"/>
      <c r="CY375" s="11"/>
      <c r="CZ375" s="11"/>
      <c r="DA375" s="11"/>
      <c r="DB375" s="11"/>
      <c r="DC375" s="11"/>
      <c r="DD375" s="11"/>
      <c r="DE375" s="11"/>
      <c r="DF375" s="11"/>
      <c r="DG375" s="11"/>
    </row>
    <row r="376" ht="15.75" customHeight="1">
      <c r="CT376" s="11"/>
      <c r="CU376" s="11"/>
      <c r="CV376" s="11"/>
      <c r="CW376" s="11"/>
      <c r="CX376" s="11"/>
      <c r="CY376" s="11"/>
      <c r="CZ376" s="11"/>
      <c r="DA376" s="11"/>
      <c r="DB376" s="11"/>
      <c r="DC376" s="11"/>
      <c r="DD376" s="11"/>
      <c r="DE376" s="11"/>
      <c r="DF376" s="11"/>
      <c r="DG376" s="11"/>
    </row>
    <row r="377" ht="15.75" customHeight="1">
      <c r="CT377" s="11"/>
      <c r="CU377" s="11"/>
      <c r="CV377" s="11"/>
      <c r="CW377" s="11"/>
      <c r="CX377" s="11"/>
      <c r="CY377" s="11"/>
      <c r="CZ377" s="11"/>
      <c r="DA377" s="11"/>
      <c r="DB377" s="11"/>
      <c r="DC377" s="11"/>
      <c r="DD377" s="11"/>
      <c r="DE377" s="11"/>
      <c r="DF377" s="11"/>
      <c r="DG377" s="11"/>
    </row>
    <row r="378" ht="15.75" customHeight="1">
      <c r="CT378" s="11"/>
      <c r="CU378" s="11"/>
      <c r="CV378" s="11"/>
      <c r="CW378" s="11"/>
      <c r="CX378" s="11"/>
      <c r="CY378" s="11"/>
      <c r="CZ378" s="11"/>
      <c r="DA378" s="11"/>
      <c r="DB378" s="11"/>
      <c r="DC378" s="11"/>
      <c r="DD378" s="11"/>
      <c r="DE378" s="11"/>
      <c r="DF378" s="11"/>
      <c r="DG378" s="11"/>
    </row>
    <row r="379" ht="15.75" customHeight="1">
      <c r="CT379" s="11"/>
      <c r="CU379" s="11"/>
      <c r="CV379" s="11"/>
      <c r="CW379" s="11"/>
      <c r="CX379" s="11"/>
      <c r="CY379" s="11"/>
      <c r="CZ379" s="11"/>
      <c r="DA379" s="11"/>
      <c r="DB379" s="11"/>
      <c r="DC379" s="11"/>
      <c r="DD379" s="11"/>
      <c r="DE379" s="11"/>
      <c r="DF379" s="11"/>
      <c r="DG379" s="11"/>
    </row>
    <row r="380" ht="15.75" customHeight="1">
      <c r="CT380" s="11"/>
      <c r="CU380" s="11"/>
      <c r="CV380" s="11"/>
      <c r="CW380" s="11"/>
      <c r="CX380" s="11"/>
      <c r="CY380" s="11"/>
      <c r="CZ380" s="11"/>
      <c r="DA380" s="11"/>
      <c r="DB380" s="11"/>
      <c r="DC380" s="11"/>
      <c r="DD380" s="11"/>
      <c r="DE380" s="11"/>
      <c r="DF380" s="11"/>
      <c r="DG380" s="11"/>
    </row>
    <row r="381" ht="15.75" customHeight="1">
      <c r="CT381" s="11"/>
      <c r="CU381" s="11"/>
      <c r="CV381" s="11"/>
      <c r="CW381" s="11"/>
      <c r="CX381" s="11"/>
      <c r="CY381" s="11"/>
      <c r="CZ381" s="11"/>
      <c r="DA381" s="11"/>
      <c r="DB381" s="11"/>
      <c r="DC381" s="11"/>
      <c r="DD381" s="11"/>
      <c r="DE381" s="11"/>
      <c r="DF381" s="11"/>
      <c r="DG381" s="11"/>
    </row>
    <row r="382" ht="15.75" customHeight="1">
      <c r="CT382" s="11"/>
      <c r="CU382" s="11"/>
      <c r="CV382" s="11"/>
      <c r="CW382" s="11"/>
      <c r="CX382" s="11"/>
      <c r="CY382" s="11"/>
      <c r="CZ382" s="11"/>
      <c r="DA382" s="11"/>
      <c r="DB382" s="11"/>
      <c r="DC382" s="11"/>
      <c r="DD382" s="11"/>
      <c r="DE382" s="11"/>
      <c r="DF382" s="11"/>
      <c r="DG382" s="11"/>
    </row>
    <row r="383" ht="15.75" customHeight="1">
      <c r="CT383" s="11"/>
      <c r="CU383" s="11"/>
      <c r="CV383" s="11"/>
      <c r="CW383" s="11"/>
      <c r="CX383" s="11"/>
      <c r="CY383" s="11"/>
      <c r="CZ383" s="11"/>
      <c r="DA383" s="11"/>
      <c r="DB383" s="11"/>
      <c r="DC383" s="11"/>
      <c r="DD383" s="11"/>
      <c r="DE383" s="11"/>
      <c r="DF383" s="11"/>
      <c r="DG383" s="11"/>
    </row>
    <row r="384" ht="15.75" customHeight="1">
      <c r="CT384" s="11"/>
      <c r="CU384" s="11"/>
      <c r="CV384" s="11"/>
      <c r="CW384" s="11"/>
      <c r="CX384" s="11"/>
      <c r="CY384" s="11"/>
      <c r="CZ384" s="11"/>
      <c r="DA384" s="11"/>
      <c r="DB384" s="11"/>
      <c r="DC384" s="11"/>
      <c r="DD384" s="11"/>
      <c r="DE384" s="11"/>
      <c r="DF384" s="11"/>
      <c r="DG384" s="11"/>
    </row>
    <row r="385" ht="15.75" customHeight="1">
      <c r="CT385" s="11"/>
      <c r="CU385" s="11"/>
      <c r="CV385" s="11"/>
      <c r="CW385" s="11"/>
      <c r="CX385" s="11"/>
      <c r="CY385" s="11"/>
      <c r="CZ385" s="11"/>
      <c r="DA385" s="11"/>
      <c r="DB385" s="11"/>
      <c r="DC385" s="11"/>
      <c r="DD385" s="11"/>
      <c r="DE385" s="11"/>
      <c r="DF385" s="11"/>
      <c r="DG385" s="11"/>
    </row>
    <row r="386" ht="15.75" customHeight="1">
      <c r="CT386" s="11"/>
      <c r="CU386" s="11"/>
      <c r="CV386" s="11"/>
      <c r="CW386" s="11"/>
      <c r="CX386" s="11"/>
      <c r="CY386" s="11"/>
      <c r="CZ386" s="11"/>
      <c r="DA386" s="11"/>
      <c r="DB386" s="11"/>
      <c r="DC386" s="11"/>
      <c r="DD386" s="11"/>
      <c r="DE386" s="11"/>
      <c r="DF386" s="11"/>
      <c r="DG386" s="11"/>
    </row>
    <row r="387" ht="15.75" customHeight="1">
      <c r="CT387" s="11"/>
      <c r="CU387" s="11"/>
      <c r="CV387" s="11"/>
      <c r="CW387" s="11"/>
      <c r="CX387" s="11"/>
      <c r="CY387" s="11"/>
      <c r="CZ387" s="11"/>
      <c r="DA387" s="11"/>
      <c r="DB387" s="11"/>
      <c r="DC387" s="11"/>
      <c r="DD387" s="11"/>
      <c r="DE387" s="11"/>
      <c r="DF387" s="11"/>
      <c r="DG387" s="11"/>
    </row>
    <row r="388" ht="15.75" customHeight="1">
      <c r="CT388" s="11"/>
      <c r="CU388" s="11"/>
      <c r="CV388" s="11"/>
      <c r="CW388" s="11"/>
      <c r="CX388" s="11"/>
      <c r="CY388" s="11"/>
      <c r="CZ388" s="11"/>
      <c r="DA388" s="11"/>
      <c r="DB388" s="11"/>
      <c r="DC388" s="11"/>
      <c r="DD388" s="11"/>
      <c r="DE388" s="11"/>
      <c r="DF388" s="11"/>
      <c r="DG388" s="11"/>
    </row>
    <row r="389" ht="15.75" customHeight="1">
      <c r="CT389" s="11"/>
      <c r="CU389" s="11"/>
      <c r="CV389" s="11"/>
      <c r="CW389" s="11"/>
      <c r="CX389" s="11"/>
      <c r="CY389" s="11"/>
      <c r="CZ389" s="11"/>
      <c r="DA389" s="11"/>
      <c r="DB389" s="11"/>
      <c r="DC389" s="11"/>
      <c r="DD389" s="11"/>
      <c r="DE389" s="11"/>
      <c r="DF389" s="11"/>
      <c r="DG389" s="11"/>
    </row>
    <row r="390" ht="15.75" customHeight="1">
      <c r="CT390" s="11"/>
      <c r="CU390" s="11"/>
      <c r="CV390" s="11"/>
      <c r="CW390" s="11"/>
      <c r="CX390" s="11"/>
      <c r="CY390" s="11"/>
      <c r="CZ390" s="11"/>
      <c r="DA390" s="11"/>
      <c r="DB390" s="11"/>
      <c r="DC390" s="11"/>
      <c r="DD390" s="11"/>
      <c r="DE390" s="11"/>
      <c r="DF390" s="11"/>
      <c r="DG390" s="11"/>
    </row>
    <row r="391" ht="15.75" customHeight="1">
      <c r="CT391" s="11"/>
      <c r="CU391" s="11"/>
      <c r="CV391" s="11"/>
      <c r="CW391" s="11"/>
      <c r="CX391" s="11"/>
      <c r="CY391" s="11"/>
      <c r="CZ391" s="11"/>
      <c r="DA391" s="11"/>
      <c r="DB391" s="11"/>
      <c r="DC391" s="11"/>
      <c r="DD391" s="11"/>
      <c r="DE391" s="11"/>
      <c r="DF391" s="11"/>
      <c r="DG391" s="11"/>
    </row>
    <row r="392" ht="15.75" customHeight="1">
      <c r="CT392" s="11"/>
      <c r="CU392" s="11"/>
      <c r="CV392" s="11"/>
      <c r="CW392" s="11"/>
      <c r="CX392" s="11"/>
      <c r="CY392" s="11"/>
      <c r="CZ392" s="11"/>
      <c r="DA392" s="11"/>
      <c r="DB392" s="11"/>
      <c r="DC392" s="11"/>
      <c r="DD392" s="11"/>
      <c r="DE392" s="11"/>
      <c r="DF392" s="11"/>
      <c r="DG392" s="11"/>
    </row>
    <row r="393" ht="15.75" customHeight="1">
      <c r="CT393" s="11"/>
      <c r="CU393" s="11"/>
      <c r="CV393" s="11"/>
      <c r="CW393" s="11"/>
      <c r="CX393" s="11"/>
      <c r="CY393" s="11"/>
      <c r="CZ393" s="11"/>
      <c r="DA393" s="11"/>
      <c r="DB393" s="11"/>
      <c r="DC393" s="11"/>
      <c r="DD393" s="11"/>
      <c r="DE393" s="11"/>
      <c r="DF393" s="11"/>
      <c r="DG393" s="11"/>
    </row>
    <row r="394" ht="15.75" customHeight="1">
      <c r="CT394" s="11"/>
      <c r="CU394" s="11"/>
      <c r="CV394" s="11"/>
      <c r="CW394" s="11"/>
      <c r="CX394" s="11"/>
      <c r="CY394" s="11"/>
      <c r="CZ394" s="11"/>
      <c r="DA394" s="11"/>
      <c r="DB394" s="11"/>
      <c r="DC394" s="11"/>
      <c r="DD394" s="11"/>
      <c r="DE394" s="11"/>
      <c r="DF394" s="11"/>
      <c r="DG394" s="11"/>
    </row>
    <row r="395" ht="15.75" customHeight="1">
      <c r="CT395" s="11"/>
      <c r="CU395" s="11"/>
      <c r="CV395" s="11"/>
      <c r="CW395" s="11"/>
      <c r="CX395" s="11"/>
      <c r="CY395" s="11"/>
      <c r="CZ395" s="11"/>
      <c r="DA395" s="11"/>
      <c r="DB395" s="11"/>
      <c r="DC395" s="11"/>
      <c r="DD395" s="11"/>
      <c r="DE395" s="11"/>
      <c r="DF395" s="11"/>
      <c r="DG395" s="11"/>
    </row>
    <row r="396" ht="15.75" customHeight="1">
      <c r="CT396" s="11"/>
      <c r="CU396" s="11"/>
      <c r="CV396" s="11"/>
      <c r="CW396" s="11"/>
      <c r="CX396" s="11"/>
      <c r="CY396" s="11"/>
      <c r="CZ396" s="11"/>
      <c r="DA396" s="11"/>
      <c r="DB396" s="11"/>
      <c r="DC396" s="11"/>
      <c r="DD396" s="11"/>
      <c r="DE396" s="11"/>
      <c r="DF396" s="11"/>
      <c r="DG396" s="11"/>
    </row>
    <row r="397" ht="15.75" customHeight="1">
      <c r="CT397" s="11"/>
      <c r="CU397" s="11"/>
      <c r="CV397" s="11"/>
      <c r="CW397" s="11"/>
      <c r="CX397" s="11"/>
      <c r="CY397" s="11"/>
      <c r="CZ397" s="11"/>
      <c r="DA397" s="11"/>
      <c r="DB397" s="11"/>
      <c r="DC397" s="11"/>
      <c r="DD397" s="11"/>
      <c r="DE397" s="11"/>
      <c r="DF397" s="11"/>
      <c r="DG397" s="11"/>
    </row>
    <row r="398" ht="15.75" customHeight="1">
      <c r="CT398" s="11"/>
      <c r="CU398" s="11"/>
      <c r="CV398" s="11"/>
      <c r="CW398" s="11"/>
      <c r="CX398" s="11"/>
      <c r="CY398" s="11"/>
      <c r="CZ398" s="11"/>
      <c r="DA398" s="11"/>
      <c r="DB398" s="11"/>
      <c r="DC398" s="11"/>
      <c r="DD398" s="11"/>
      <c r="DE398" s="11"/>
      <c r="DF398" s="11"/>
      <c r="DG398" s="11"/>
    </row>
    <row r="399" ht="15.75" customHeight="1">
      <c r="CT399" s="11"/>
      <c r="CU399" s="11"/>
      <c r="CV399" s="11"/>
      <c r="CW399" s="11"/>
      <c r="CX399" s="11"/>
      <c r="CY399" s="11"/>
      <c r="CZ399" s="11"/>
      <c r="DA399" s="11"/>
      <c r="DB399" s="11"/>
      <c r="DC399" s="11"/>
      <c r="DD399" s="11"/>
      <c r="DE399" s="11"/>
      <c r="DF399" s="11"/>
      <c r="DG399" s="11"/>
    </row>
    <row r="400" ht="15.75" customHeight="1">
      <c r="CT400" s="11"/>
      <c r="CU400" s="11"/>
      <c r="CV400" s="11"/>
      <c r="CW400" s="11"/>
      <c r="CX400" s="11"/>
      <c r="CY400" s="11"/>
      <c r="CZ400" s="11"/>
      <c r="DA400" s="11"/>
      <c r="DB400" s="11"/>
      <c r="DC400" s="11"/>
      <c r="DD400" s="11"/>
      <c r="DE400" s="11"/>
      <c r="DF400" s="11"/>
      <c r="DG400" s="11"/>
    </row>
    <row r="401" ht="15.75" customHeight="1">
      <c r="CT401" s="11"/>
      <c r="CU401" s="11"/>
      <c r="CV401" s="11"/>
      <c r="CW401" s="11"/>
      <c r="CX401" s="11"/>
      <c r="CY401" s="11"/>
      <c r="CZ401" s="11"/>
      <c r="DA401" s="11"/>
      <c r="DB401" s="11"/>
      <c r="DC401" s="11"/>
      <c r="DD401" s="11"/>
      <c r="DE401" s="11"/>
      <c r="DF401" s="11"/>
      <c r="DG401" s="11"/>
    </row>
    <row r="402" ht="15.75" customHeight="1">
      <c r="CT402" s="11"/>
      <c r="CU402" s="11"/>
      <c r="CV402" s="11"/>
      <c r="CW402" s="11"/>
      <c r="CX402" s="11"/>
      <c r="CY402" s="11"/>
      <c r="CZ402" s="11"/>
      <c r="DA402" s="11"/>
      <c r="DB402" s="11"/>
      <c r="DC402" s="11"/>
      <c r="DD402" s="11"/>
      <c r="DE402" s="11"/>
      <c r="DF402" s="11"/>
      <c r="DG402" s="11"/>
    </row>
    <row r="403" ht="15.75" customHeight="1">
      <c r="CT403" s="11"/>
      <c r="CU403" s="11"/>
      <c r="CV403" s="11"/>
      <c r="CW403" s="11"/>
      <c r="CX403" s="11"/>
      <c r="CY403" s="11"/>
      <c r="CZ403" s="11"/>
      <c r="DA403" s="11"/>
      <c r="DB403" s="11"/>
      <c r="DC403" s="11"/>
      <c r="DD403" s="11"/>
      <c r="DE403" s="11"/>
      <c r="DF403" s="11"/>
      <c r="DG403" s="11"/>
    </row>
    <row r="404" ht="15.75" customHeight="1">
      <c r="CT404" s="11"/>
      <c r="CU404" s="11"/>
      <c r="CV404" s="11"/>
      <c r="CW404" s="11"/>
      <c r="CX404" s="11"/>
      <c r="CY404" s="11"/>
      <c r="CZ404" s="11"/>
      <c r="DA404" s="11"/>
      <c r="DB404" s="11"/>
      <c r="DC404" s="11"/>
      <c r="DD404" s="11"/>
      <c r="DE404" s="11"/>
      <c r="DF404" s="11"/>
      <c r="DG404" s="11"/>
    </row>
    <row r="405" ht="15.75" customHeight="1">
      <c r="CT405" s="11"/>
      <c r="CU405" s="11"/>
      <c r="CV405" s="11"/>
      <c r="CW405" s="11"/>
      <c r="CX405" s="11"/>
      <c r="CY405" s="11"/>
      <c r="CZ405" s="11"/>
      <c r="DA405" s="11"/>
      <c r="DB405" s="11"/>
      <c r="DC405" s="11"/>
      <c r="DD405" s="11"/>
      <c r="DE405" s="11"/>
      <c r="DF405" s="11"/>
      <c r="DG405" s="11"/>
    </row>
    <row r="406" ht="15.75" customHeight="1">
      <c r="CT406" s="11"/>
      <c r="CU406" s="11"/>
      <c r="CV406" s="11"/>
      <c r="CW406" s="11"/>
      <c r="CX406" s="11"/>
      <c r="CY406" s="11"/>
      <c r="CZ406" s="11"/>
      <c r="DA406" s="11"/>
      <c r="DB406" s="11"/>
      <c r="DC406" s="11"/>
      <c r="DD406" s="11"/>
      <c r="DE406" s="11"/>
      <c r="DF406" s="11"/>
      <c r="DG406" s="11"/>
    </row>
    <row r="407" ht="15.75" customHeight="1">
      <c r="CT407" s="11"/>
      <c r="CU407" s="11"/>
      <c r="CV407" s="11"/>
      <c r="CW407" s="11"/>
      <c r="CX407" s="11"/>
      <c r="CY407" s="11"/>
      <c r="CZ407" s="11"/>
      <c r="DA407" s="11"/>
      <c r="DB407" s="11"/>
      <c r="DC407" s="11"/>
      <c r="DD407" s="11"/>
      <c r="DE407" s="11"/>
      <c r="DF407" s="11"/>
      <c r="DG407" s="11"/>
    </row>
    <row r="408" ht="15.75" customHeight="1">
      <c r="CT408" s="11"/>
      <c r="CU408" s="11"/>
      <c r="CV408" s="11"/>
      <c r="CW408" s="11"/>
      <c r="CX408" s="11"/>
      <c r="CY408" s="11"/>
      <c r="CZ408" s="11"/>
      <c r="DA408" s="11"/>
      <c r="DB408" s="11"/>
      <c r="DC408" s="11"/>
      <c r="DD408" s="11"/>
      <c r="DE408" s="11"/>
      <c r="DF408" s="11"/>
      <c r="DG408" s="11"/>
    </row>
    <row r="409" ht="15.75" customHeight="1">
      <c r="CT409" s="11"/>
      <c r="CU409" s="11"/>
      <c r="CV409" s="11"/>
      <c r="CW409" s="11"/>
      <c r="CX409" s="11"/>
      <c r="CY409" s="11"/>
      <c r="CZ409" s="11"/>
      <c r="DA409" s="11"/>
      <c r="DB409" s="11"/>
      <c r="DC409" s="11"/>
      <c r="DD409" s="11"/>
      <c r="DE409" s="11"/>
      <c r="DF409" s="11"/>
      <c r="DG409" s="11"/>
    </row>
    <row r="410" ht="15.75" customHeight="1">
      <c r="CT410" s="11"/>
      <c r="CU410" s="11"/>
      <c r="CV410" s="11"/>
      <c r="CW410" s="11"/>
      <c r="CX410" s="11"/>
      <c r="CY410" s="11"/>
      <c r="CZ410" s="11"/>
      <c r="DA410" s="11"/>
      <c r="DB410" s="11"/>
      <c r="DC410" s="11"/>
      <c r="DD410" s="11"/>
      <c r="DE410" s="11"/>
      <c r="DF410" s="11"/>
      <c r="DG410" s="11"/>
    </row>
    <row r="411" ht="15.75" customHeight="1">
      <c r="CT411" s="11"/>
      <c r="CU411" s="11"/>
      <c r="CV411" s="11"/>
      <c r="CW411" s="11"/>
      <c r="CX411" s="11"/>
      <c r="CY411" s="11"/>
      <c r="CZ411" s="11"/>
      <c r="DA411" s="11"/>
      <c r="DB411" s="11"/>
      <c r="DC411" s="11"/>
      <c r="DD411" s="11"/>
      <c r="DE411" s="11"/>
      <c r="DF411" s="11"/>
      <c r="DG411" s="11"/>
    </row>
    <row r="412" ht="15.75" customHeight="1">
      <c r="CT412" s="11"/>
      <c r="CU412" s="11"/>
      <c r="CV412" s="11"/>
      <c r="CW412" s="11"/>
      <c r="CX412" s="11"/>
      <c r="CY412" s="11"/>
      <c r="CZ412" s="11"/>
      <c r="DA412" s="11"/>
      <c r="DB412" s="11"/>
      <c r="DC412" s="11"/>
      <c r="DD412" s="11"/>
      <c r="DE412" s="11"/>
      <c r="DF412" s="11"/>
      <c r="DG412" s="11"/>
    </row>
    <row r="413" ht="15.75" customHeight="1">
      <c r="CT413" s="11"/>
      <c r="CU413" s="11"/>
      <c r="CV413" s="11"/>
      <c r="CW413" s="11"/>
      <c r="CX413" s="11"/>
      <c r="CY413" s="11"/>
      <c r="CZ413" s="11"/>
      <c r="DA413" s="11"/>
      <c r="DB413" s="11"/>
      <c r="DC413" s="11"/>
      <c r="DD413" s="11"/>
      <c r="DE413" s="11"/>
      <c r="DF413" s="11"/>
      <c r="DG413" s="11"/>
    </row>
    <row r="414" ht="15.75" customHeight="1">
      <c r="CT414" s="11"/>
      <c r="CU414" s="11"/>
      <c r="CV414" s="11"/>
      <c r="CW414" s="11"/>
      <c r="CX414" s="11"/>
      <c r="CY414" s="11"/>
      <c r="CZ414" s="11"/>
      <c r="DA414" s="11"/>
      <c r="DB414" s="11"/>
      <c r="DC414" s="11"/>
      <c r="DD414" s="11"/>
      <c r="DE414" s="11"/>
      <c r="DF414" s="11"/>
      <c r="DG414" s="11"/>
    </row>
    <row r="415" ht="15.75" customHeight="1">
      <c r="CT415" s="11"/>
      <c r="CU415" s="11"/>
      <c r="CV415" s="11"/>
      <c r="CW415" s="11"/>
      <c r="CX415" s="11"/>
      <c r="CY415" s="11"/>
      <c r="CZ415" s="11"/>
      <c r="DA415" s="11"/>
      <c r="DB415" s="11"/>
      <c r="DC415" s="11"/>
      <c r="DD415" s="11"/>
      <c r="DE415" s="11"/>
      <c r="DF415" s="11"/>
      <c r="DG415" s="11"/>
    </row>
    <row r="416" ht="15.75" customHeight="1">
      <c r="CT416" s="11"/>
      <c r="CU416" s="11"/>
      <c r="CV416" s="11"/>
      <c r="CW416" s="11"/>
      <c r="CX416" s="11"/>
      <c r="CY416" s="11"/>
      <c r="CZ416" s="11"/>
      <c r="DA416" s="11"/>
      <c r="DB416" s="11"/>
      <c r="DC416" s="11"/>
      <c r="DD416" s="11"/>
      <c r="DE416" s="11"/>
      <c r="DF416" s="11"/>
      <c r="DG416" s="11"/>
    </row>
    <row r="417" ht="15.75" customHeight="1">
      <c r="CT417" s="11"/>
      <c r="CU417" s="11"/>
      <c r="CV417" s="11"/>
      <c r="CW417" s="11"/>
      <c r="CX417" s="11"/>
      <c r="CY417" s="11"/>
      <c r="CZ417" s="11"/>
      <c r="DA417" s="11"/>
      <c r="DB417" s="11"/>
      <c r="DC417" s="11"/>
      <c r="DD417" s="11"/>
      <c r="DE417" s="11"/>
      <c r="DF417" s="11"/>
      <c r="DG417" s="11"/>
    </row>
    <row r="418" ht="15.75" customHeight="1">
      <c r="CT418" s="11"/>
      <c r="CU418" s="11"/>
      <c r="CV418" s="11"/>
      <c r="CW418" s="11"/>
      <c r="CX418" s="11"/>
      <c r="CY418" s="11"/>
      <c r="CZ418" s="11"/>
      <c r="DA418" s="11"/>
      <c r="DB418" s="11"/>
      <c r="DC418" s="11"/>
      <c r="DD418" s="11"/>
      <c r="DE418" s="11"/>
      <c r="DF418" s="11"/>
      <c r="DG418" s="11"/>
    </row>
    <row r="419" ht="15.75" customHeight="1">
      <c r="CT419" s="11"/>
      <c r="CU419" s="11"/>
      <c r="CV419" s="11"/>
      <c r="CW419" s="11"/>
      <c r="CX419" s="11"/>
      <c r="CY419" s="11"/>
      <c r="CZ419" s="11"/>
      <c r="DA419" s="11"/>
      <c r="DB419" s="11"/>
      <c r="DC419" s="11"/>
      <c r="DD419" s="11"/>
      <c r="DE419" s="11"/>
      <c r="DF419" s="11"/>
      <c r="DG419" s="11"/>
    </row>
    <row r="420" ht="15.75" customHeight="1">
      <c r="CT420" s="11"/>
      <c r="CU420" s="11"/>
      <c r="CV420" s="11"/>
      <c r="CW420" s="11"/>
      <c r="CX420" s="11"/>
      <c r="CY420" s="11"/>
      <c r="CZ420" s="11"/>
      <c r="DA420" s="11"/>
      <c r="DB420" s="11"/>
      <c r="DC420" s="11"/>
      <c r="DD420" s="11"/>
      <c r="DE420" s="11"/>
      <c r="DF420" s="11"/>
      <c r="DG420" s="11"/>
    </row>
    <row r="421" ht="15.75" customHeight="1">
      <c r="CT421" s="11"/>
      <c r="CU421" s="11"/>
      <c r="CV421" s="11"/>
      <c r="CW421" s="11"/>
      <c r="CX421" s="11"/>
      <c r="CY421" s="11"/>
      <c r="CZ421" s="11"/>
      <c r="DA421" s="11"/>
      <c r="DB421" s="11"/>
      <c r="DC421" s="11"/>
      <c r="DD421" s="11"/>
      <c r="DE421" s="11"/>
      <c r="DF421" s="11"/>
      <c r="DG421" s="11"/>
    </row>
    <row r="422" ht="15.75" customHeight="1">
      <c r="CT422" s="11"/>
      <c r="CU422" s="11"/>
      <c r="CV422" s="11"/>
      <c r="CW422" s="11"/>
      <c r="CX422" s="11"/>
      <c r="CY422" s="11"/>
      <c r="CZ422" s="11"/>
      <c r="DA422" s="11"/>
      <c r="DB422" s="11"/>
      <c r="DC422" s="11"/>
      <c r="DD422" s="11"/>
      <c r="DE422" s="11"/>
      <c r="DF422" s="11"/>
      <c r="DG422" s="11"/>
    </row>
    <row r="423" ht="15.75" customHeight="1">
      <c r="CT423" s="11"/>
      <c r="CU423" s="11"/>
      <c r="CV423" s="11"/>
      <c r="CW423" s="11"/>
      <c r="CX423" s="11"/>
      <c r="CY423" s="11"/>
      <c r="CZ423" s="11"/>
      <c r="DA423" s="11"/>
      <c r="DB423" s="11"/>
      <c r="DC423" s="11"/>
      <c r="DD423" s="11"/>
      <c r="DE423" s="11"/>
      <c r="DF423" s="11"/>
      <c r="DG423" s="11"/>
    </row>
    <row r="424" ht="15.75" customHeight="1">
      <c r="CT424" s="11"/>
      <c r="CU424" s="11"/>
      <c r="CV424" s="11"/>
      <c r="CW424" s="11"/>
      <c r="CX424" s="11"/>
      <c r="CY424" s="11"/>
      <c r="CZ424" s="11"/>
      <c r="DA424" s="11"/>
      <c r="DB424" s="11"/>
      <c r="DC424" s="11"/>
      <c r="DD424" s="11"/>
      <c r="DE424" s="11"/>
      <c r="DF424" s="11"/>
      <c r="DG424" s="11"/>
    </row>
    <row r="425" ht="15.75" customHeight="1">
      <c r="CT425" s="11"/>
      <c r="CU425" s="11"/>
      <c r="CV425" s="11"/>
      <c r="CW425" s="11"/>
      <c r="CX425" s="11"/>
      <c r="CY425" s="11"/>
      <c r="CZ425" s="11"/>
      <c r="DA425" s="11"/>
      <c r="DB425" s="11"/>
      <c r="DC425" s="11"/>
      <c r="DD425" s="11"/>
      <c r="DE425" s="11"/>
      <c r="DF425" s="11"/>
      <c r="DG425" s="11"/>
    </row>
    <row r="426" ht="15.75" customHeight="1">
      <c r="CT426" s="11"/>
      <c r="CU426" s="11"/>
      <c r="CV426" s="11"/>
      <c r="CW426" s="11"/>
      <c r="CX426" s="11"/>
      <c r="CY426" s="11"/>
      <c r="CZ426" s="11"/>
      <c r="DA426" s="11"/>
      <c r="DB426" s="11"/>
      <c r="DC426" s="11"/>
      <c r="DD426" s="11"/>
      <c r="DE426" s="11"/>
      <c r="DF426" s="11"/>
      <c r="DG426" s="11"/>
    </row>
    <row r="427" ht="15.75" customHeight="1">
      <c r="CT427" s="11"/>
      <c r="CU427" s="11"/>
      <c r="CV427" s="11"/>
      <c r="CW427" s="11"/>
      <c r="CX427" s="11"/>
      <c r="CY427" s="11"/>
      <c r="CZ427" s="11"/>
      <c r="DA427" s="11"/>
      <c r="DB427" s="11"/>
      <c r="DC427" s="11"/>
      <c r="DD427" s="11"/>
      <c r="DE427" s="11"/>
      <c r="DF427" s="11"/>
      <c r="DG427" s="11"/>
    </row>
    <row r="428" ht="15.75" customHeight="1">
      <c r="CT428" s="11"/>
      <c r="CU428" s="11"/>
      <c r="CV428" s="11"/>
      <c r="CW428" s="11"/>
      <c r="CX428" s="11"/>
      <c r="CY428" s="11"/>
      <c r="CZ428" s="11"/>
      <c r="DA428" s="11"/>
      <c r="DB428" s="11"/>
      <c r="DC428" s="11"/>
      <c r="DD428" s="11"/>
      <c r="DE428" s="11"/>
      <c r="DF428" s="11"/>
      <c r="DG428" s="11"/>
    </row>
    <row r="429" ht="15.75" customHeight="1">
      <c r="CT429" s="11"/>
      <c r="CU429" s="11"/>
      <c r="CV429" s="11"/>
      <c r="CW429" s="11"/>
      <c r="CX429" s="11"/>
      <c r="CY429" s="11"/>
      <c r="CZ429" s="11"/>
      <c r="DA429" s="11"/>
      <c r="DB429" s="11"/>
      <c r="DC429" s="11"/>
      <c r="DD429" s="11"/>
      <c r="DE429" s="11"/>
      <c r="DF429" s="11"/>
      <c r="DG429" s="11"/>
    </row>
    <row r="430" ht="15.75" customHeight="1">
      <c r="CT430" s="11"/>
      <c r="CU430" s="11"/>
      <c r="CV430" s="11"/>
      <c r="CW430" s="11"/>
      <c r="CX430" s="11"/>
      <c r="CY430" s="11"/>
      <c r="CZ430" s="11"/>
      <c r="DA430" s="11"/>
      <c r="DB430" s="11"/>
      <c r="DC430" s="11"/>
      <c r="DD430" s="11"/>
      <c r="DE430" s="11"/>
      <c r="DF430" s="11"/>
      <c r="DG430" s="11"/>
    </row>
    <row r="431" ht="15.75" customHeight="1">
      <c r="CT431" s="11"/>
      <c r="CU431" s="11"/>
      <c r="CV431" s="11"/>
      <c r="CW431" s="11"/>
      <c r="CX431" s="11"/>
      <c r="CY431" s="11"/>
      <c r="CZ431" s="11"/>
      <c r="DA431" s="11"/>
      <c r="DB431" s="11"/>
      <c r="DC431" s="11"/>
      <c r="DD431" s="11"/>
      <c r="DE431" s="11"/>
      <c r="DF431" s="11"/>
      <c r="DG431" s="11"/>
    </row>
    <row r="432" ht="15.75" customHeight="1">
      <c r="CT432" s="11"/>
      <c r="CU432" s="11"/>
      <c r="CV432" s="11"/>
      <c r="CW432" s="11"/>
      <c r="CX432" s="11"/>
      <c r="CY432" s="11"/>
      <c r="CZ432" s="11"/>
      <c r="DA432" s="11"/>
      <c r="DB432" s="11"/>
      <c r="DC432" s="11"/>
      <c r="DD432" s="11"/>
      <c r="DE432" s="11"/>
      <c r="DF432" s="11"/>
      <c r="DG432" s="11"/>
    </row>
    <row r="433" ht="15.75" customHeight="1">
      <c r="CT433" s="11"/>
      <c r="CU433" s="11"/>
      <c r="CV433" s="11"/>
      <c r="CW433" s="11"/>
      <c r="CX433" s="11"/>
      <c r="CY433" s="11"/>
      <c r="CZ433" s="11"/>
      <c r="DA433" s="11"/>
      <c r="DB433" s="11"/>
      <c r="DC433" s="11"/>
      <c r="DD433" s="11"/>
      <c r="DE433" s="11"/>
      <c r="DF433" s="11"/>
      <c r="DG433" s="11"/>
    </row>
    <row r="434" ht="15.75" customHeight="1">
      <c r="CT434" s="11"/>
      <c r="CU434" s="11"/>
      <c r="CV434" s="11"/>
      <c r="CW434" s="11"/>
      <c r="CX434" s="11"/>
      <c r="CY434" s="11"/>
      <c r="CZ434" s="11"/>
      <c r="DA434" s="11"/>
      <c r="DB434" s="11"/>
      <c r="DC434" s="11"/>
      <c r="DD434" s="11"/>
      <c r="DE434" s="11"/>
      <c r="DF434" s="11"/>
      <c r="DG434" s="11"/>
    </row>
    <row r="435" ht="15.75" customHeight="1">
      <c r="CT435" s="11"/>
      <c r="CU435" s="11"/>
      <c r="CV435" s="11"/>
      <c r="CW435" s="11"/>
      <c r="CX435" s="11"/>
      <c r="CY435" s="11"/>
      <c r="CZ435" s="11"/>
      <c r="DA435" s="11"/>
      <c r="DB435" s="11"/>
      <c r="DC435" s="11"/>
      <c r="DD435" s="11"/>
      <c r="DE435" s="11"/>
      <c r="DF435" s="11"/>
      <c r="DG435" s="11"/>
    </row>
    <row r="436" ht="15.75" customHeight="1">
      <c r="CT436" s="11"/>
      <c r="CU436" s="11"/>
      <c r="CV436" s="11"/>
      <c r="CW436" s="11"/>
      <c r="CX436" s="11"/>
      <c r="CY436" s="11"/>
      <c r="CZ436" s="11"/>
      <c r="DA436" s="11"/>
      <c r="DB436" s="11"/>
      <c r="DC436" s="11"/>
      <c r="DD436" s="11"/>
      <c r="DE436" s="11"/>
      <c r="DF436" s="11"/>
      <c r="DG436" s="11"/>
    </row>
    <row r="437" ht="15.75" customHeight="1">
      <c r="CT437" s="11"/>
      <c r="CU437" s="11"/>
      <c r="CV437" s="11"/>
      <c r="CW437" s="11"/>
      <c r="CX437" s="11"/>
      <c r="CY437" s="11"/>
      <c r="CZ437" s="11"/>
      <c r="DA437" s="11"/>
      <c r="DB437" s="11"/>
      <c r="DC437" s="11"/>
      <c r="DD437" s="11"/>
      <c r="DE437" s="11"/>
      <c r="DF437" s="11"/>
      <c r="DG437" s="11"/>
    </row>
    <row r="438" ht="15.75" customHeight="1">
      <c r="CT438" s="11"/>
      <c r="CU438" s="11"/>
      <c r="CV438" s="11"/>
      <c r="CW438" s="11"/>
      <c r="CX438" s="11"/>
      <c r="CY438" s="11"/>
      <c r="CZ438" s="11"/>
      <c r="DA438" s="11"/>
      <c r="DB438" s="11"/>
      <c r="DC438" s="11"/>
      <c r="DD438" s="11"/>
      <c r="DE438" s="11"/>
      <c r="DF438" s="11"/>
      <c r="DG438" s="11"/>
    </row>
    <row r="439" ht="15.75" customHeight="1">
      <c r="CT439" s="11"/>
      <c r="CU439" s="11"/>
      <c r="CV439" s="11"/>
      <c r="CW439" s="11"/>
      <c r="CX439" s="11"/>
      <c r="CY439" s="11"/>
      <c r="CZ439" s="11"/>
      <c r="DA439" s="11"/>
      <c r="DB439" s="11"/>
      <c r="DC439" s="11"/>
      <c r="DD439" s="11"/>
      <c r="DE439" s="11"/>
      <c r="DF439" s="11"/>
      <c r="DG439" s="11"/>
    </row>
    <row r="440" ht="15.75" customHeight="1">
      <c r="CT440" s="11"/>
      <c r="CU440" s="11"/>
      <c r="CV440" s="11"/>
      <c r="CW440" s="11"/>
      <c r="CX440" s="11"/>
      <c r="CY440" s="11"/>
      <c r="CZ440" s="11"/>
      <c r="DA440" s="11"/>
      <c r="DB440" s="11"/>
      <c r="DC440" s="11"/>
      <c r="DD440" s="11"/>
      <c r="DE440" s="11"/>
      <c r="DF440" s="11"/>
      <c r="DG440" s="11"/>
    </row>
    <row r="441" ht="15.75" customHeight="1">
      <c r="CT441" s="11"/>
      <c r="CU441" s="11"/>
      <c r="CV441" s="11"/>
      <c r="CW441" s="11"/>
      <c r="CX441" s="11"/>
      <c r="CY441" s="11"/>
      <c r="CZ441" s="11"/>
      <c r="DA441" s="11"/>
      <c r="DB441" s="11"/>
      <c r="DC441" s="11"/>
      <c r="DD441" s="11"/>
      <c r="DE441" s="11"/>
      <c r="DF441" s="11"/>
      <c r="DG441" s="11"/>
    </row>
    <row r="442" ht="15.75" customHeight="1">
      <c r="CT442" s="11"/>
      <c r="CU442" s="11"/>
      <c r="CV442" s="11"/>
      <c r="CW442" s="11"/>
      <c r="CX442" s="11"/>
      <c r="CY442" s="11"/>
      <c r="CZ442" s="11"/>
      <c r="DA442" s="11"/>
      <c r="DB442" s="11"/>
      <c r="DC442" s="11"/>
      <c r="DD442" s="11"/>
      <c r="DE442" s="11"/>
      <c r="DF442" s="11"/>
      <c r="DG442" s="11"/>
    </row>
    <row r="443" ht="15.75" customHeight="1">
      <c r="CT443" s="11"/>
      <c r="CU443" s="11"/>
      <c r="CV443" s="11"/>
      <c r="CW443" s="11"/>
      <c r="CX443" s="11"/>
      <c r="CY443" s="11"/>
      <c r="CZ443" s="11"/>
      <c r="DA443" s="11"/>
      <c r="DB443" s="11"/>
      <c r="DC443" s="11"/>
      <c r="DD443" s="11"/>
      <c r="DE443" s="11"/>
      <c r="DF443" s="11"/>
      <c r="DG443" s="11"/>
    </row>
    <row r="444" ht="15.75" customHeight="1">
      <c r="CT444" s="11"/>
      <c r="CU444" s="11"/>
      <c r="CV444" s="11"/>
      <c r="CW444" s="11"/>
      <c r="CX444" s="11"/>
      <c r="CY444" s="11"/>
      <c r="CZ444" s="11"/>
      <c r="DA444" s="11"/>
      <c r="DB444" s="11"/>
      <c r="DC444" s="11"/>
      <c r="DD444" s="11"/>
      <c r="DE444" s="11"/>
      <c r="DF444" s="11"/>
      <c r="DG444" s="11"/>
    </row>
    <row r="445" ht="15.75" customHeight="1">
      <c r="CT445" s="11"/>
      <c r="CU445" s="11"/>
      <c r="CV445" s="11"/>
      <c r="CW445" s="11"/>
      <c r="CX445" s="11"/>
      <c r="CY445" s="11"/>
      <c r="CZ445" s="11"/>
      <c r="DA445" s="11"/>
      <c r="DB445" s="11"/>
      <c r="DC445" s="11"/>
      <c r="DD445" s="11"/>
      <c r="DE445" s="11"/>
      <c r="DF445" s="11"/>
      <c r="DG445" s="11"/>
    </row>
    <row r="446" ht="15.75" customHeight="1">
      <c r="CT446" s="11"/>
      <c r="CU446" s="11"/>
      <c r="CV446" s="11"/>
      <c r="CW446" s="11"/>
      <c r="CX446" s="11"/>
      <c r="CY446" s="11"/>
      <c r="CZ446" s="11"/>
      <c r="DA446" s="11"/>
      <c r="DB446" s="11"/>
      <c r="DC446" s="11"/>
      <c r="DD446" s="11"/>
      <c r="DE446" s="11"/>
      <c r="DF446" s="11"/>
      <c r="DG446" s="11"/>
    </row>
    <row r="447" ht="15.75" customHeight="1">
      <c r="CT447" s="11"/>
      <c r="CU447" s="11"/>
      <c r="CV447" s="11"/>
      <c r="CW447" s="11"/>
      <c r="CX447" s="11"/>
      <c r="CY447" s="11"/>
      <c r="CZ447" s="11"/>
      <c r="DA447" s="11"/>
      <c r="DB447" s="11"/>
      <c r="DC447" s="11"/>
      <c r="DD447" s="11"/>
      <c r="DE447" s="11"/>
      <c r="DF447" s="11"/>
      <c r="DG447" s="11"/>
    </row>
    <row r="448" ht="15.75" customHeight="1">
      <c r="CT448" s="11"/>
      <c r="CU448" s="11"/>
      <c r="CV448" s="11"/>
      <c r="CW448" s="11"/>
      <c r="CX448" s="11"/>
      <c r="CY448" s="11"/>
      <c r="CZ448" s="11"/>
      <c r="DA448" s="11"/>
      <c r="DB448" s="11"/>
      <c r="DC448" s="11"/>
      <c r="DD448" s="11"/>
      <c r="DE448" s="11"/>
      <c r="DF448" s="11"/>
      <c r="DG448" s="11"/>
    </row>
    <row r="449" ht="15.75" customHeight="1">
      <c r="CT449" s="11"/>
      <c r="CU449" s="11"/>
      <c r="CV449" s="11"/>
      <c r="CW449" s="11"/>
      <c r="CX449" s="11"/>
      <c r="CY449" s="11"/>
      <c r="CZ449" s="11"/>
      <c r="DA449" s="11"/>
      <c r="DB449" s="11"/>
      <c r="DC449" s="11"/>
      <c r="DD449" s="11"/>
      <c r="DE449" s="11"/>
      <c r="DF449" s="11"/>
      <c r="DG449" s="11"/>
    </row>
    <row r="450" ht="15.75" customHeight="1">
      <c r="CT450" s="11"/>
      <c r="CU450" s="11"/>
      <c r="CV450" s="11"/>
      <c r="CW450" s="11"/>
      <c r="CX450" s="11"/>
      <c r="CY450" s="11"/>
      <c r="CZ450" s="11"/>
      <c r="DA450" s="11"/>
      <c r="DB450" s="11"/>
      <c r="DC450" s="11"/>
      <c r="DD450" s="11"/>
      <c r="DE450" s="11"/>
      <c r="DF450" s="11"/>
      <c r="DG450" s="11"/>
    </row>
    <row r="451" ht="15.75" customHeight="1">
      <c r="CT451" s="11"/>
      <c r="CU451" s="11"/>
      <c r="CV451" s="11"/>
      <c r="CW451" s="11"/>
      <c r="CX451" s="11"/>
      <c r="CY451" s="11"/>
      <c r="CZ451" s="11"/>
      <c r="DA451" s="11"/>
      <c r="DB451" s="11"/>
      <c r="DC451" s="11"/>
      <c r="DD451" s="11"/>
      <c r="DE451" s="11"/>
      <c r="DF451" s="11"/>
      <c r="DG451" s="11"/>
    </row>
    <row r="452" ht="15.75" customHeight="1">
      <c r="CT452" s="11"/>
      <c r="CU452" s="11"/>
      <c r="CV452" s="11"/>
      <c r="CW452" s="11"/>
      <c r="CX452" s="11"/>
      <c r="CY452" s="11"/>
      <c r="CZ452" s="11"/>
      <c r="DA452" s="11"/>
      <c r="DB452" s="11"/>
      <c r="DC452" s="11"/>
      <c r="DD452" s="11"/>
      <c r="DE452" s="11"/>
      <c r="DF452" s="11"/>
      <c r="DG452" s="11"/>
    </row>
    <row r="453" ht="15.75" customHeight="1">
      <c r="CT453" s="11"/>
      <c r="CU453" s="11"/>
      <c r="CV453" s="11"/>
      <c r="CW453" s="11"/>
      <c r="CX453" s="11"/>
      <c r="CY453" s="11"/>
      <c r="CZ453" s="11"/>
      <c r="DA453" s="11"/>
      <c r="DB453" s="11"/>
      <c r="DC453" s="11"/>
      <c r="DD453" s="11"/>
      <c r="DE453" s="11"/>
      <c r="DF453" s="11"/>
      <c r="DG453" s="11"/>
    </row>
    <row r="454" ht="15.75" customHeight="1">
      <c r="CT454" s="11"/>
      <c r="CU454" s="11"/>
      <c r="CV454" s="11"/>
      <c r="CW454" s="11"/>
      <c r="CX454" s="11"/>
      <c r="CY454" s="11"/>
      <c r="CZ454" s="11"/>
      <c r="DA454" s="11"/>
      <c r="DB454" s="11"/>
      <c r="DC454" s="11"/>
      <c r="DD454" s="11"/>
      <c r="DE454" s="11"/>
      <c r="DF454" s="11"/>
      <c r="DG454" s="11"/>
    </row>
    <row r="455" ht="15.75" customHeight="1">
      <c r="CT455" s="11"/>
      <c r="CU455" s="11"/>
      <c r="CV455" s="11"/>
      <c r="CW455" s="11"/>
      <c r="CX455" s="11"/>
      <c r="CY455" s="11"/>
      <c r="CZ455" s="11"/>
      <c r="DA455" s="11"/>
      <c r="DB455" s="11"/>
      <c r="DC455" s="11"/>
      <c r="DD455" s="11"/>
      <c r="DE455" s="11"/>
      <c r="DF455" s="11"/>
      <c r="DG455" s="11"/>
    </row>
    <row r="456" ht="15.75" customHeight="1">
      <c r="CT456" s="11"/>
      <c r="CU456" s="11"/>
      <c r="CV456" s="11"/>
      <c r="CW456" s="11"/>
      <c r="CX456" s="11"/>
      <c r="CY456" s="11"/>
      <c r="CZ456" s="11"/>
      <c r="DA456" s="11"/>
      <c r="DB456" s="11"/>
      <c r="DC456" s="11"/>
      <c r="DD456" s="11"/>
      <c r="DE456" s="11"/>
      <c r="DF456" s="11"/>
      <c r="DG456" s="11"/>
    </row>
    <row r="457" ht="15.75" customHeight="1">
      <c r="CT457" s="11"/>
      <c r="CU457" s="11"/>
      <c r="CV457" s="11"/>
      <c r="CW457" s="11"/>
      <c r="CX457" s="11"/>
      <c r="CY457" s="11"/>
      <c r="CZ457" s="11"/>
      <c r="DA457" s="11"/>
      <c r="DB457" s="11"/>
      <c r="DC457" s="11"/>
      <c r="DD457" s="11"/>
      <c r="DE457" s="11"/>
      <c r="DF457" s="11"/>
      <c r="DG457" s="11"/>
    </row>
    <row r="458" ht="15.75" customHeight="1">
      <c r="CT458" s="11"/>
      <c r="CU458" s="11"/>
      <c r="CV458" s="11"/>
      <c r="CW458" s="11"/>
      <c r="CX458" s="11"/>
      <c r="CY458" s="11"/>
      <c r="CZ458" s="11"/>
      <c r="DA458" s="11"/>
      <c r="DB458" s="11"/>
      <c r="DC458" s="11"/>
      <c r="DD458" s="11"/>
      <c r="DE458" s="11"/>
      <c r="DF458" s="11"/>
      <c r="DG458" s="11"/>
    </row>
    <row r="459" ht="15.75" customHeight="1">
      <c r="CT459" s="11"/>
      <c r="CU459" s="11"/>
      <c r="CV459" s="11"/>
      <c r="CW459" s="11"/>
      <c r="CX459" s="11"/>
      <c r="CY459" s="11"/>
      <c r="CZ459" s="11"/>
      <c r="DA459" s="11"/>
      <c r="DB459" s="11"/>
      <c r="DC459" s="11"/>
      <c r="DD459" s="11"/>
      <c r="DE459" s="11"/>
      <c r="DF459" s="11"/>
      <c r="DG459" s="11"/>
    </row>
    <row r="460" ht="15.75" customHeight="1">
      <c r="CT460" s="11"/>
      <c r="CU460" s="11"/>
      <c r="CV460" s="11"/>
      <c r="CW460" s="11"/>
      <c r="CX460" s="11"/>
      <c r="CY460" s="11"/>
      <c r="CZ460" s="11"/>
      <c r="DA460" s="11"/>
      <c r="DB460" s="11"/>
      <c r="DC460" s="11"/>
      <c r="DD460" s="11"/>
      <c r="DE460" s="11"/>
      <c r="DF460" s="11"/>
      <c r="DG460" s="11"/>
    </row>
    <row r="461" ht="15.75" customHeight="1">
      <c r="CT461" s="11"/>
      <c r="CU461" s="11"/>
      <c r="CV461" s="11"/>
      <c r="CW461" s="11"/>
      <c r="CX461" s="11"/>
      <c r="CY461" s="11"/>
      <c r="CZ461" s="11"/>
      <c r="DA461" s="11"/>
      <c r="DB461" s="11"/>
      <c r="DC461" s="11"/>
      <c r="DD461" s="11"/>
      <c r="DE461" s="11"/>
      <c r="DF461" s="11"/>
      <c r="DG461" s="11"/>
    </row>
    <row r="462" ht="15.75" customHeight="1">
      <c r="CT462" s="11"/>
      <c r="CU462" s="11"/>
      <c r="CV462" s="11"/>
      <c r="CW462" s="11"/>
      <c r="CX462" s="11"/>
      <c r="CY462" s="11"/>
      <c r="CZ462" s="11"/>
      <c r="DA462" s="11"/>
      <c r="DB462" s="11"/>
      <c r="DC462" s="11"/>
      <c r="DD462" s="11"/>
      <c r="DE462" s="11"/>
      <c r="DF462" s="11"/>
      <c r="DG462" s="11"/>
    </row>
    <row r="463" ht="15.75" customHeight="1">
      <c r="CT463" s="11"/>
      <c r="CU463" s="11"/>
      <c r="CV463" s="11"/>
      <c r="CW463" s="11"/>
      <c r="CX463" s="11"/>
      <c r="CY463" s="11"/>
      <c r="CZ463" s="11"/>
      <c r="DA463" s="11"/>
      <c r="DB463" s="11"/>
      <c r="DC463" s="11"/>
      <c r="DD463" s="11"/>
      <c r="DE463" s="11"/>
      <c r="DF463" s="11"/>
      <c r="DG463" s="11"/>
    </row>
    <row r="464" ht="15.75" customHeight="1">
      <c r="CT464" s="11"/>
      <c r="CU464" s="11"/>
      <c r="CV464" s="11"/>
      <c r="CW464" s="11"/>
      <c r="CX464" s="11"/>
      <c r="CY464" s="11"/>
      <c r="CZ464" s="11"/>
      <c r="DA464" s="11"/>
      <c r="DB464" s="11"/>
      <c r="DC464" s="11"/>
      <c r="DD464" s="11"/>
      <c r="DE464" s="11"/>
      <c r="DF464" s="11"/>
      <c r="DG464" s="11"/>
    </row>
    <row r="465" ht="15.75" customHeight="1">
      <c r="CT465" s="11"/>
      <c r="CU465" s="11"/>
      <c r="CV465" s="11"/>
      <c r="CW465" s="11"/>
      <c r="CX465" s="11"/>
      <c r="CY465" s="11"/>
      <c r="CZ465" s="11"/>
      <c r="DA465" s="11"/>
      <c r="DB465" s="11"/>
      <c r="DC465" s="11"/>
      <c r="DD465" s="11"/>
      <c r="DE465" s="11"/>
      <c r="DF465" s="11"/>
      <c r="DG465" s="11"/>
    </row>
    <row r="466" ht="15.75" customHeight="1">
      <c r="CT466" s="11"/>
      <c r="CU466" s="11"/>
      <c r="CV466" s="11"/>
      <c r="CW466" s="11"/>
      <c r="CX466" s="11"/>
      <c r="CY466" s="11"/>
      <c r="CZ466" s="11"/>
      <c r="DA466" s="11"/>
      <c r="DB466" s="11"/>
      <c r="DC466" s="11"/>
      <c r="DD466" s="11"/>
      <c r="DE466" s="11"/>
      <c r="DF466" s="11"/>
      <c r="DG466" s="11"/>
    </row>
    <row r="467" ht="15.75" customHeight="1">
      <c r="CT467" s="11"/>
      <c r="CU467" s="11"/>
      <c r="CV467" s="11"/>
      <c r="CW467" s="11"/>
      <c r="CX467" s="11"/>
      <c r="CY467" s="11"/>
      <c r="CZ467" s="11"/>
      <c r="DA467" s="11"/>
      <c r="DB467" s="11"/>
      <c r="DC467" s="11"/>
      <c r="DD467" s="11"/>
      <c r="DE467" s="11"/>
      <c r="DF467" s="11"/>
      <c r="DG467" s="11"/>
    </row>
    <row r="468" ht="15.75" customHeight="1">
      <c r="CT468" s="11"/>
      <c r="CU468" s="11"/>
      <c r="CV468" s="11"/>
      <c r="CW468" s="11"/>
      <c r="CX468" s="11"/>
      <c r="CY468" s="11"/>
      <c r="CZ468" s="11"/>
      <c r="DA468" s="11"/>
      <c r="DB468" s="11"/>
      <c r="DC468" s="11"/>
      <c r="DD468" s="11"/>
      <c r="DE468" s="11"/>
      <c r="DF468" s="11"/>
      <c r="DG468" s="11"/>
    </row>
    <row r="469" ht="15.75" customHeight="1">
      <c r="CT469" s="11"/>
      <c r="CU469" s="11"/>
      <c r="CV469" s="11"/>
      <c r="CW469" s="11"/>
      <c r="CX469" s="11"/>
      <c r="CY469" s="11"/>
      <c r="CZ469" s="11"/>
      <c r="DA469" s="11"/>
      <c r="DB469" s="11"/>
      <c r="DC469" s="11"/>
      <c r="DD469" s="11"/>
      <c r="DE469" s="11"/>
      <c r="DF469" s="11"/>
      <c r="DG469" s="11"/>
    </row>
    <row r="470" ht="15.75" customHeight="1">
      <c r="CT470" s="11"/>
      <c r="CU470" s="11"/>
      <c r="CV470" s="11"/>
      <c r="CW470" s="11"/>
      <c r="CX470" s="11"/>
      <c r="CY470" s="11"/>
      <c r="CZ470" s="11"/>
      <c r="DA470" s="11"/>
      <c r="DB470" s="11"/>
      <c r="DC470" s="11"/>
      <c r="DD470" s="11"/>
      <c r="DE470" s="11"/>
      <c r="DF470" s="11"/>
      <c r="DG470" s="11"/>
    </row>
    <row r="471" ht="15.75" customHeight="1">
      <c r="CT471" s="11"/>
      <c r="CU471" s="11"/>
      <c r="CV471" s="11"/>
      <c r="CW471" s="11"/>
      <c r="CX471" s="11"/>
      <c r="CY471" s="11"/>
      <c r="CZ471" s="11"/>
      <c r="DA471" s="11"/>
      <c r="DB471" s="11"/>
      <c r="DC471" s="11"/>
      <c r="DD471" s="11"/>
      <c r="DE471" s="11"/>
      <c r="DF471" s="11"/>
      <c r="DG471" s="11"/>
    </row>
    <row r="472" ht="15.75" customHeight="1">
      <c r="CT472" s="11"/>
      <c r="CU472" s="11"/>
      <c r="CV472" s="11"/>
      <c r="CW472" s="11"/>
      <c r="CX472" s="11"/>
      <c r="CY472" s="11"/>
      <c r="CZ472" s="11"/>
      <c r="DA472" s="11"/>
      <c r="DB472" s="11"/>
      <c r="DC472" s="11"/>
      <c r="DD472" s="11"/>
      <c r="DE472" s="11"/>
      <c r="DF472" s="11"/>
      <c r="DG472" s="11"/>
    </row>
    <row r="473" ht="15.75" customHeight="1">
      <c r="CT473" s="11"/>
      <c r="CU473" s="11"/>
      <c r="CV473" s="11"/>
      <c r="CW473" s="11"/>
      <c r="CX473" s="11"/>
      <c r="CY473" s="11"/>
      <c r="CZ473" s="11"/>
      <c r="DA473" s="11"/>
      <c r="DB473" s="11"/>
      <c r="DC473" s="11"/>
      <c r="DD473" s="11"/>
      <c r="DE473" s="11"/>
      <c r="DF473" s="11"/>
      <c r="DG473" s="11"/>
    </row>
    <row r="474" ht="15.75" customHeight="1">
      <c r="CT474" s="11"/>
      <c r="CU474" s="11"/>
      <c r="CV474" s="11"/>
      <c r="CW474" s="11"/>
      <c r="CX474" s="11"/>
      <c r="CY474" s="11"/>
      <c r="CZ474" s="11"/>
      <c r="DA474" s="11"/>
      <c r="DB474" s="11"/>
      <c r="DC474" s="11"/>
      <c r="DD474" s="11"/>
      <c r="DE474" s="11"/>
      <c r="DF474" s="11"/>
      <c r="DG474" s="11"/>
    </row>
    <row r="475" ht="15.75" customHeight="1">
      <c r="CT475" s="11"/>
      <c r="CU475" s="11"/>
      <c r="CV475" s="11"/>
      <c r="CW475" s="11"/>
      <c r="CX475" s="11"/>
      <c r="CY475" s="11"/>
      <c r="CZ475" s="11"/>
      <c r="DA475" s="11"/>
      <c r="DB475" s="11"/>
      <c r="DC475" s="11"/>
      <c r="DD475" s="11"/>
      <c r="DE475" s="11"/>
      <c r="DF475" s="11"/>
      <c r="DG475" s="11"/>
    </row>
    <row r="476" ht="15.75" customHeight="1">
      <c r="CT476" s="11"/>
      <c r="CU476" s="11"/>
      <c r="CV476" s="11"/>
      <c r="CW476" s="11"/>
      <c r="CX476" s="11"/>
      <c r="CY476" s="11"/>
      <c r="CZ476" s="11"/>
      <c r="DA476" s="11"/>
      <c r="DB476" s="11"/>
      <c r="DC476" s="11"/>
      <c r="DD476" s="11"/>
      <c r="DE476" s="11"/>
      <c r="DF476" s="11"/>
      <c r="DG476" s="11"/>
    </row>
    <row r="477" ht="15.75" customHeight="1">
      <c r="CT477" s="11"/>
      <c r="CU477" s="11"/>
      <c r="CV477" s="11"/>
      <c r="CW477" s="11"/>
      <c r="CX477" s="11"/>
      <c r="CY477" s="11"/>
      <c r="CZ477" s="11"/>
      <c r="DA477" s="11"/>
      <c r="DB477" s="11"/>
      <c r="DC477" s="11"/>
      <c r="DD477" s="11"/>
      <c r="DE477" s="11"/>
      <c r="DF477" s="11"/>
      <c r="DG477" s="11"/>
    </row>
    <row r="478" ht="15.75" customHeight="1">
      <c r="CT478" s="11"/>
      <c r="CU478" s="11"/>
      <c r="CV478" s="11"/>
      <c r="CW478" s="11"/>
      <c r="CX478" s="11"/>
      <c r="CY478" s="11"/>
      <c r="CZ478" s="11"/>
      <c r="DA478" s="11"/>
      <c r="DB478" s="11"/>
      <c r="DC478" s="11"/>
      <c r="DD478" s="11"/>
      <c r="DE478" s="11"/>
      <c r="DF478" s="11"/>
      <c r="DG478" s="11"/>
    </row>
    <row r="479" ht="15.75" customHeight="1">
      <c r="CT479" s="11"/>
      <c r="CU479" s="11"/>
      <c r="CV479" s="11"/>
      <c r="CW479" s="11"/>
      <c r="CX479" s="11"/>
      <c r="CY479" s="11"/>
      <c r="CZ479" s="11"/>
      <c r="DA479" s="11"/>
      <c r="DB479" s="11"/>
      <c r="DC479" s="11"/>
      <c r="DD479" s="11"/>
      <c r="DE479" s="11"/>
      <c r="DF479" s="11"/>
      <c r="DG479" s="11"/>
    </row>
    <row r="480" ht="15.75" customHeight="1">
      <c r="CT480" s="11"/>
      <c r="CU480" s="11"/>
      <c r="CV480" s="11"/>
      <c r="CW480" s="11"/>
      <c r="CX480" s="11"/>
      <c r="CY480" s="11"/>
      <c r="CZ480" s="11"/>
      <c r="DA480" s="11"/>
      <c r="DB480" s="11"/>
      <c r="DC480" s="11"/>
      <c r="DD480" s="11"/>
      <c r="DE480" s="11"/>
      <c r="DF480" s="11"/>
      <c r="DG480" s="11"/>
    </row>
    <row r="481" ht="15.75" customHeight="1">
      <c r="CT481" s="11"/>
      <c r="CU481" s="11"/>
      <c r="CV481" s="11"/>
      <c r="CW481" s="11"/>
      <c r="CX481" s="11"/>
      <c r="CY481" s="11"/>
      <c r="CZ481" s="11"/>
      <c r="DA481" s="11"/>
      <c r="DB481" s="11"/>
      <c r="DC481" s="11"/>
      <c r="DD481" s="11"/>
      <c r="DE481" s="11"/>
      <c r="DF481" s="11"/>
      <c r="DG481" s="11"/>
    </row>
    <row r="482" ht="15.75" customHeight="1">
      <c r="CT482" s="11"/>
      <c r="CU482" s="11"/>
      <c r="CV482" s="11"/>
      <c r="CW482" s="11"/>
      <c r="CX482" s="11"/>
      <c r="CY482" s="11"/>
      <c r="CZ482" s="11"/>
      <c r="DA482" s="11"/>
      <c r="DB482" s="11"/>
      <c r="DC482" s="11"/>
      <c r="DD482" s="11"/>
      <c r="DE482" s="11"/>
      <c r="DF482" s="11"/>
      <c r="DG482" s="11"/>
    </row>
    <row r="483" ht="15.75" customHeight="1">
      <c r="CT483" s="11"/>
      <c r="CU483" s="11"/>
      <c r="CV483" s="11"/>
      <c r="CW483" s="11"/>
      <c r="CX483" s="11"/>
      <c r="CY483" s="11"/>
      <c r="CZ483" s="11"/>
      <c r="DA483" s="11"/>
      <c r="DB483" s="11"/>
      <c r="DC483" s="11"/>
      <c r="DD483" s="11"/>
      <c r="DE483" s="11"/>
      <c r="DF483" s="11"/>
      <c r="DG483" s="11"/>
    </row>
    <row r="484" ht="15.75" customHeight="1">
      <c r="CT484" s="11"/>
      <c r="CU484" s="11"/>
      <c r="CV484" s="11"/>
      <c r="CW484" s="11"/>
      <c r="CX484" s="11"/>
      <c r="CY484" s="11"/>
      <c r="CZ484" s="11"/>
      <c r="DA484" s="11"/>
      <c r="DB484" s="11"/>
      <c r="DC484" s="11"/>
      <c r="DD484" s="11"/>
      <c r="DE484" s="11"/>
      <c r="DF484" s="11"/>
      <c r="DG484" s="11"/>
    </row>
    <row r="485" ht="15.75" customHeight="1">
      <c r="CT485" s="11"/>
      <c r="CU485" s="11"/>
      <c r="CV485" s="11"/>
      <c r="CW485" s="11"/>
      <c r="CX485" s="11"/>
      <c r="CY485" s="11"/>
      <c r="CZ485" s="11"/>
      <c r="DA485" s="11"/>
      <c r="DB485" s="11"/>
      <c r="DC485" s="11"/>
      <c r="DD485" s="11"/>
      <c r="DE485" s="11"/>
      <c r="DF485" s="11"/>
      <c r="DG485" s="11"/>
    </row>
    <row r="486" ht="15.75" customHeight="1">
      <c r="CT486" s="11"/>
      <c r="CU486" s="11"/>
      <c r="CV486" s="11"/>
      <c r="CW486" s="11"/>
      <c r="CX486" s="11"/>
      <c r="CY486" s="11"/>
      <c r="CZ486" s="11"/>
      <c r="DA486" s="11"/>
      <c r="DB486" s="11"/>
      <c r="DC486" s="11"/>
      <c r="DD486" s="11"/>
      <c r="DE486" s="11"/>
      <c r="DF486" s="11"/>
      <c r="DG486" s="11"/>
    </row>
    <row r="487" ht="15.75" customHeight="1">
      <c r="CT487" s="11"/>
      <c r="CU487" s="11"/>
      <c r="CV487" s="11"/>
      <c r="CW487" s="11"/>
      <c r="CX487" s="11"/>
      <c r="CY487" s="11"/>
      <c r="CZ487" s="11"/>
      <c r="DA487" s="11"/>
      <c r="DB487" s="11"/>
      <c r="DC487" s="11"/>
      <c r="DD487" s="11"/>
      <c r="DE487" s="11"/>
      <c r="DF487" s="11"/>
      <c r="DG487" s="11"/>
    </row>
    <row r="488" ht="15.75" customHeight="1">
      <c r="CT488" s="11"/>
      <c r="CU488" s="11"/>
      <c r="CV488" s="11"/>
      <c r="CW488" s="11"/>
      <c r="CX488" s="11"/>
      <c r="CY488" s="11"/>
      <c r="CZ488" s="11"/>
      <c r="DA488" s="11"/>
      <c r="DB488" s="11"/>
      <c r="DC488" s="11"/>
      <c r="DD488" s="11"/>
      <c r="DE488" s="11"/>
      <c r="DF488" s="11"/>
      <c r="DG488" s="11"/>
    </row>
    <row r="489" ht="15.75" customHeight="1">
      <c r="CT489" s="11"/>
      <c r="CU489" s="11"/>
      <c r="CV489" s="11"/>
      <c r="CW489" s="11"/>
      <c r="CX489" s="11"/>
      <c r="CY489" s="11"/>
      <c r="CZ489" s="11"/>
      <c r="DA489" s="11"/>
      <c r="DB489" s="11"/>
      <c r="DC489" s="11"/>
      <c r="DD489" s="11"/>
      <c r="DE489" s="11"/>
      <c r="DF489" s="11"/>
      <c r="DG489" s="11"/>
    </row>
    <row r="490" ht="15.75" customHeight="1">
      <c r="CT490" s="11"/>
      <c r="CU490" s="11"/>
      <c r="CV490" s="11"/>
      <c r="CW490" s="11"/>
      <c r="CX490" s="11"/>
      <c r="CY490" s="11"/>
      <c r="CZ490" s="11"/>
      <c r="DA490" s="11"/>
      <c r="DB490" s="11"/>
      <c r="DC490" s="11"/>
      <c r="DD490" s="11"/>
      <c r="DE490" s="11"/>
      <c r="DF490" s="11"/>
      <c r="DG490" s="11"/>
    </row>
    <row r="491" ht="15.75" customHeight="1">
      <c r="CT491" s="11"/>
      <c r="CU491" s="11"/>
      <c r="CV491" s="11"/>
      <c r="CW491" s="11"/>
      <c r="CX491" s="11"/>
      <c r="CY491" s="11"/>
      <c r="CZ491" s="11"/>
      <c r="DA491" s="11"/>
      <c r="DB491" s="11"/>
      <c r="DC491" s="11"/>
      <c r="DD491" s="11"/>
      <c r="DE491" s="11"/>
      <c r="DF491" s="11"/>
      <c r="DG491" s="11"/>
    </row>
    <row r="492" ht="15.75" customHeight="1">
      <c r="CT492" s="11"/>
      <c r="CU492" s="11"/>
      <c r="CV492" s="11"/>
      <c r="CW492" s="11"/>
      <c r="CX492" s="11"/>
      <c r="CY492" s="11"/>
      <c r="CZ492" s="11"/>
      <c r="DA492" s="11"/>
      <c r="DB492" s="11"/>
      <c r="DC492" s="11"/>
      <c r="DD492" s="11"/>
      <c r="DE492" s="11"/>
      <c r="DF492" s="11"/>
      <c r="DG492" s="11"/>
    </row>
    <row r="493" ht="15.75" customHeight="1">
      <c r="CT493" s="11"/>
      <c r="CU493" s="11"/>
      <c r="CV493" s="11"/>
      <c r="CW493" s="11"/>
      <c r="CX493" s="11"/>
      <c r="CY493" s="11"/>
      <c r="CZ493" s="11"/>
      <c r="DA493" s="11"/>
      <c r="DB493" s="11"/>
      <c r="DC493" s="11"/>
      <c r="DD493" s="11"/>
      <c r="DE493" s="11"/>
      <c r="DF493" s="11"/>
      <c r="DG493" s="11"/>
    </row>
    <row r="494" ht="15.75" customHeight="1">
      <c r="CT494" s="11"/>
      <c r="CU494" s="11"/>
      <c r="CV494" s="11"/>
      <c r="CW494" s="11"/>
      <c r="CX494" s="11"/>
      <c r="CY494" s="11"/>
      <c r="CZ494" s="11"/>
      <c r="DA494" s="11"/>
      <c r="DB494" s="11"/>
      <c r="DC494" s="11"/>
      <c r="DD494" s="11"/>
      <c r="DE494" s="11"/>
      <c r="DF494" s="11"/>
      <c r="DG494" s="11"/>
    </row>
    <row r="495" ht="15.75" customHeight="1">
      <c r="CT495" s="11"/>
      <c r="CU495" s="11"/>
      <c r="CV495" s="11"/>
      <c r="CW495" s="11"/>
      <c r="CX495" s="11"/>
      <c r="CY495" s="11"/>
      <c r="CZ495" s="11"/>
      <c r="DA495" s="11"/>
      <c r="DB495" s="11"/>
      <c r="DC495" s="11"/>
      <c r="DD495" s="11"/>
      <c r="DE495" s="11"/>
      <c r="DF495" s="11"/>
      <c r="DG495" s="11"/>
    </row>
    <row r="496" ht="15.75" customHeight="1">
      <c r="CT496" s="11"/>
      <c r="CU496" s="11"/>
      <c r="CV496" s="11"/>
      <c r="CW496" s="11"/>
      <c r="CX496" s="11"/>
      <c r="CY496" s="11"/>
      <c r="CZ496" s="11"/>
      <c r="DA496" s="11"/>
      <c r="DB496" s="11"/>
      <c r="DC496" s="11"/>
      <c r="DD496" s="11"/>
      <c r="DE496" s="11"/>
      <c r="DF496" s="11"/>
      <c r="DG496" s="11"/>
    </row>
    <row r="497" ht="15.75" customHeight="1">
      <c r="CT497" s="11"/>
      <c r="CU497" s="11"/>
      <c r="CV497" s="11"/>
      <c r="CW497" s="11"/>
      <c r="CX497" s="11"/>
      <c r="CY497" s="11"/>
      <c r="CZ497" s="11"/>
      <c r="DA497" s="11"/>
      <c r="DB497" s="11"/>
      <c r="DC497" s="11"/>
      <c r="DD497" s="11"/>
      <c r="DE497" s="11"/>
      <c r="DF497" s="11"/>
      <c r="DG497" s="11"/>
    </row>
    <row r="498" ht="15.75" customHeight="1">
      <c r="CT498" s="11"/>
      <c r="CU498" s="11"/>
      <c r="CV498" s="11"/>
      <c r="CW498" s="11"/>
      <c r="CX498" s="11"/>
      <c r="CY498" s="11"/>
      <c r="CZ498" s="11"/>
      <c r="DA498" s="11"/>
      <c r="DB498" s="11"/>
      <c r="DC498" s="11"/>
      <c r="DD498" s="11"/>
      <c r="DE498" s="11"/>
      <c r="DF498" s="11"/>
      <c r="DG498" s="11"/>
    </row>
    <row r="499" ht="15.75" customHeight="1">
      <c r="CT499" s="11"/>
      <c r="CU499" s="11"/>
      <c r="CV499" s="11"/>
      <c r="CW499" s="11"/>
      <c r="CX499" s="11"/>
      <c r="CY499" s="11"/>
      <c r="CZ499" s="11"/>
      <c r="DA499" s="11"/>
      <c r="DB499" s="11"/>
      <c r="DC499" s="11"/>
      <c r="DD499" s="11"/>
      <c r="DE499" s="11"/>
      <c r="DF499" s="11"/>
      <c r="DG499" s="11"/>
    </row>
    <row r="500" ht="15.75" customHeight="1">
      <c r="CT500" s="11"/>
      <c r="CU500" s="11"/>
      <c r="CV500" s="11"/>
      <c r="CW500" s="11"/>
      <c r="CX500" s="11"/>
      <c r="CY500" s="11"/>
      <c r="CZ500" s="11"/>
      <c r="DA500" s="11"/>
      <c r="DB500" s="11"/>
      <c r="DC500" s="11"/>
      <c r="DD500" s="11"/>
      <c r="DE500" s="11"/>
      <c r="DF500" s="11"/>
      <c r="DG500" s="11"/>
    </row>
    <row r="501" ht="15.75" customHeight="1">
      <c r="CT501" s="11"/>
      <c r="CU501" s="11"/>
      <c r="CV501" s="11"/>
      <c r="CW501" s="11"/>
      <c r="CX501" s="11"/>
      <c r="CY501" s="11"/>
      <c r="CZ501" s="11"/>
      <c r="DA501" s="11"/>
      <c r="DB501" s="11"/>
      <c r="DC501" s="11"/>
      <c r="DD501" s="11"/>
      <c r="DE501" s="11"/>
      <c r="DF501" s="11"/>
      <c r="DG501" s="11"/>
    </row>
    <row r="502" ht="15.75" customHeight="1">
      <c r="CT502" s="11"/>
      <c r="CU502" s="11"/>
      <c r="CV502" s="11"/>
      <c r="CW502" s="11"/>
      <c r="CX502" s="11"/>
      <c r="CY502" s="11"/>
      <c r="CZ502" s="11"/>
      <c r="DA502" s="11"/>
      <c r="DB502" s="11"/>
      <c r="DC502" s="11"/>
      <c r="DD502" s="11"/>
      <c r="DE502" s="11"/>
      <c r="DF502" s="11"/>
      <c r="DG502" s="11"/>
    </row>
    <row r="503" ht="15.75" customHeight="1">
      <c r="CT503" s="11"/>
      <c r="CU503" s="11"/>
      <c r="CV503" s="11"/>
      <c r="CW503" s="11"/>
      <c r="CX503" s="11"/>
      <c r="CY503" s="11"/>
      <c r="CZ503" s="11"/>
      <c r="DA503" s="11"/>
      <c r="DB503" s="11"/>
      <c r="DC503" s="11"/>
      <c r="DD503" s="11"/>
      <c r="DE503" s="11"/>
      <c r="DF503" s="11"/>
      <c r="DG503" s="11"/>
    </row>
    <row r="504" ht="15.75" customHeight="1">
      <c r="CT504" s="11"/>
      <c r="CU504" s="11"/>
      <c r="CV504" s="11"/>
      <c r="CW504" s="11"/>
      <c r="CX504" s="11"/>
      <c r="CY504" s="11"/>
      <c r="CZ504" s="11"/>
      <c r="DA504" s="11"/>
      <c r="DB504" s="11"/>
      <c r="DC504" s="11"/>
      <c r="DD504" s="11"/>
      <c r="DE504" s="11"/>
      <c r="DF504" s="11"/>
      <c r="DG504" s="11"/>
    </row>
    <row r="505" ht="15.75" customHeight="1">
      <c r="CT505" s="11"/>
      <c r="CU505" s="11"/>
      <c r="CV505" s="11"/>
      <c r="CW505" s="11"/>
      <c r="CX505" s="11"/>
      <c r="CY505" s="11"/>
      <c r="CZ505" s="11"/>
      <c r="DA505" s="11"/>
      <c r="DB505" s="11"/>
      <c r="DC505" s="11"/>
      <c r="DD505" s="11"/>
      <c r="DE505" s="11"/>
      <c r="DF505" s="11"/>
      <c r="DG505" s="11"/>
    </row>
    <row r="506" ht="15.75" customHeight="1">
      <c r="CT506" s="11"/>
      <c r="CU506" s="11"/>
      <c r="CV506" s="11"/>
      <c r="CW506" s="11"/>
      <c r="CX506" s="11"/>
      <c r="CY506" s="11"/>
      <c r="CZ506" s="11"/>
      <c r="DA506" s="11"/>
      <c r="DB506" s="11"/>
      <c r="DC506" s="11"/>
      <c r="DD506" s="11"/>
      <c r="DE506" s="11"/>
      <c r="DF506" s="11"/>
      <c r="DG506" s="11"/>
    </row>
    <row r="507" ht="15.75" customHeight="1">
      <c r="CT507" s="11"/>
      <c r="CU507" s="11"/>
      <c r="CV507" s="11"/>
      <c r="CW507" s="11"/>
      <c r="CX507" s="11"/>
      <c r="CY507" s="11"/>
      <c r="CZ507" s="11"/>
      <c r="DA507" s="11"/>
      <c r="DB507" s="11"/>
      <c r="DC507" s="11"/>
      <c r="DD507" s="11"/>
      <c r="DE507" s="11"/>
      <c r="DF507" s="11"/>
      <c r="DG507" s="11"/>
    </row>
    <row r="508" ht="15.75" customHeight="1">
      <c r="CT508" s="11"/>
      <c r="CU508" s="11"/>
      <c r="CV508" s="11"/>
      <c r="CW508" s="11"/>
      <c r="CX508" s="11"/>
      <c r="CY508" s="11"/>
      <c r="CZ508" s="11"/>
      <c r="DA508" s="11"/>
      <c r="DB508" s="11"/>
      <c r="DC508" s="11"/>
      <c r="DD508" s="11"/>
      <c r="DE508" s="11"/>
      <c r="DF508" s="11"/>
      <c r="DG508" s="11"/>
    </row>
    <row r="509" ht="15.75" customHeight="1">
      <c r="CT509" s="11"/>
      <c r="CU509" s="11"/>
      <c r="CV509" s="11"/>
      <c r="CW509" s="11"/>
      <c r="CX509" s="11"/>
      <c r="CY509" s="11"/>
      <c r="CZ509" s="11"/>
      <c r="DA509" s="11"/>
      <c r="DB509" s="11"/>
      <c r="DC509" s="11"/>
      <c r="DD509" s="11"/>
      <c r="DE509" s="11"/>
      <c r="DF509" s="11"/>
      <c r="DG509" s="11"/>
    </row>
    <row r="510" ht="15.75" customHeight="1">
      <c r="CT510" s="11"/>
      <c r="CU510" s="11"/>
      <c r="CV510" s="11"/>
      <c r="CW510" s="11"/>
      <c r="CX510" s="11"/>
      <c r="CY510" s="11"/>
      <c r="CZ510" s="11"/>
      <c r="DA510" s="11"/>
      <c r="DB510" s="11"/>
      <c r="DC510" s="11"/>
      <c r="DD510" s="11"/>
      <c r="DE510" s="11"/>
      <c r="DF510" s="11"/>
      <c r="DG510" s="11"/>
    </row>
    <row r="511" ht="15.75" customHeight="1">
      <c r="CT511" s="11"/>
      <c r="CU511" s="11"/>
      <c r="CV511" s="11"/>
      <c r="CW511" s="11"/>
      <c r="CX511" s="11"/>
      <c r="CY511" s="11"/>
      <c r="CZ511" s="11"/>
      <c r="DA511" s="11"/>
      <c r="DB511" s="11"/>
      <c r="DC511" s="11"/>
      <c r="DD511" s="11"/>
      <c r="DE511" s="11"/>
      <c r="DF511" s="11"/>
      <c r="DG511" s="11"/>
    </row>
    <row r="512" ht="15.75" customHeight="1">
      <c r="CT512" s="11"/>
      <c r="CU512" s="11"/>
      <c r="CV512" s="11"/>
      <c r="CW512" s="11"/>
      <c r="CX512" s="11"/>
      <c r="CY512" s="11"/>
      <c r="CZ512" s="11"/>
      <c r="DA512" s="11"/>
      <c r="DB512" s="11"/>
      <c r="DC512" s="11"/>
      <c r="DD512" s="11"/>
      <c r="DE512" s="11"/>
      <c r="DF512" s="11"/>
      <c r="DG512" s="11"/>
    </row>
    <row r="513" ht="15.75" customHeight="1">
      <c r="CT513" s="11"/>
      <c r="CU513" s="11"/>
      <c r="CV513" s="11"/>
      <c r="CW513" s="11"/>
      <c r="CX513" s="11"/>
      <c r="CY513" s="11"/>
      <c r="CZ513" s="11"/>
      <c r="DA513" s="11"/>
      <c r="DB513" s="11"/>
      <c r="DC513" s="11"/>
      <c r="DD513" s="11"/>
      <c r="DE513" s="11"/>
      <c r="DF513" s="11"/>
      <c r="DG513" s="11"/>
    </row>
    <row r="514" ht="15.75" customHeight="1">
      <c r="CT514" s="11"/>
      <c r="CU514" s="11"/>
      <c r="CV514" s="11"/>
      <c r="CW514" s="11"/>
      <c r="CX514" s="11"/>
      <c r="CY514" s="11"/>
      <c r="CZ514" s="11"/>
      <c r="DA514" s="11"/>
      <c r="DB514" s="11"/>
      <c r="DC514" s="11"/>
      <c r="DD514" s="11"/>
      <c r="DE514" s="11"/>
      <c r="DF514" s="11"/>
      <c r="DG514" s="11"/>
    </row>
    <row r="515" ht="15.75" customHeight="1">
      <c r="CT515" s="11"/>
      <c r="CU515" s="11"/>
      <c r="CV515" s="11"/>
      <c r="CW515" s="11"/>
      <c r="CX515" s="11"/>
      <c r="CY515" s="11"/>
      <c r="CZ515" s="11"/>
      <c r="DA515" s="11"/>
      <c r="DB515" s="11"/>
      <c r="DC515" s="11"/>
      <c r="DD515" s="11"/>
      <c r="DE515" s="11"/>
      <c r="DF515" s="11"/>
      <c r="DG515" s="11"/>
    </row>
    <row r="516" ht="15.75" customHeight="1">
      <c r="CT516" s="11"/>
      <c r="CU516" s="11"/>
      <c r="CV516" s="11"/>
      <c r="CW516" s="11"/>
      <c r="CX516" s="11"/>
      <c r="CY516" s="11"/>
      <c r="CZ516" s="11"/>
      <c r="DA516" s="11"/>
      <c r="DB516" s="11"/>
      <c r="DC516" s="11"/>
      <c r="DD516" s="11"/>
      <c r="DE516" s="11"/>
      <c r="DF516" s="11"/>
      <c r="DG516" s="11"/>
    </row>
    <row r="517" ht="15.75" customHeight="1">
      <c r="CT517" s="11"/>
      <c r="CU517" s="11"/>
      <c r="CV517" s="11"/>
      <c r="CW517" s="11"/>
      <c r="CX517" s="11"/>
      <c r="CY517" s="11"/>
      <c r="CZ517" s="11"/>
      <c r="DA517" s="11"/>
      <c r="DB517" s="11"/>
      <c r="DC517" s="11"/>
      <c r="DD517" s="11"/>
      <c r="DE517" s="11"/>
      <c r="DF517" s="11"/>
      <c r="DG517" s="11"/>
    </row>
    <row r="518" ht="15.75" customHeight="1">
      <c r="CT518" s="11"/>
      <c r="CU518" s="11"/>
      <c r="CV518" s="11"/>
      <c r="CW518" s="11"/>
      <c r="CX518" s="11"/>
      <c r="CY518" s="11"/>
      <c r="CZ518" s="11"/>
      <c r="DA518" s="11"/>
      <c r="DB518" s="11"/>
      <c r="DC518" s="11"/>
      <c r="DD518" s="11"/>
      <c r="DE518" s="11"/>
      <c r="DF518" s="11"/>
      <c r="DG518" s="11"/>
    </row>
    <row r="519" ht="15.75" customHeight="1">
      <c r="CT519" s="11"/>
      <c r="CU519" s="11"/>
      <c r="CV519" s="11"/>
      <c r="CW519" s="11"/>
      <c r="CX519" s="11"/>
      <c r="CY519" s="11"/>
      <c r="CZ519" s="11"/>
      <c r="DA519" s="11"/>
      <c r="DB519" s="11"/>
      <c r="DC519" s="11"/>
      <c r="DD519" s="11"/>
      <c r="DE519" s="11"/>
      <c r="DF519" s="11"/>
      <c r="DG519" s="11"/>
    </row>
    <row r="520" ht="15.75" customHeight="1">
      <c r="CT520" s="11"/>
      <c r="CU520" s="11"/>
      <c r="CV520" s="11"/>
      <c r="CW520" s="11"/>
      <c r="CX520" s="11"/>
      <c r="CY520" s="11"/>
      <c r="CZ520" s="11"/>
      <c r="DA520" s="11"/>
      <c r="DB520" s="11"/>
      <c r="DC520" s="11"/>
      <c r="DD520" s="11"/>
      <c r="DE520" s="11"/>
      <c r="DF520" s="11"/>
      <c r="DG520" s="11"/>
    </row>
    <row r="521" ht="15.75" customHeight="1">
      <c r="CT521" s="11"/>
      <c r="CU521" s="11"/>
      <c r="CV521" s="11"/>
      <c r="CW521" s="11"/>
      <c r="CX521" s="11"/>
      <c r="CY521" s="11"/>
      <c r="CZ521" s="11"/>
      <c r="DA521" s="11"/>
      <c r="DB521" s="11"/>
      <c r="DC521" s="11"/>
      <c r="DD521" s="11"/>
      <c r="DE521" s="11"/>
      <c r="DF521" s="11"/>
      <c r="DG521" s="11"/>
    </row>
    <row r="522" ht="15.75" customHeight="1">
      <c r="CT522" s="11"/>
      <c r="CU522" s="11"/>
      <c r="CV522" s="11"/>
      <c r="CW522" s="11"/>
      <c r="CX522" s="11"/>
      <c r="CY522" s="11"/>
      <c r="CZ522" s="11"/>
      <c r="DA522" s="11"/>
      <c r="DB522" s="11"/>
      <c r="DC522" s="11"/>
      <c r="DD522" s="11"/>
      <c r="DE522" s="11"/>
      <c r="DF522" s="11"/>
      <c r="DG522" s="11"/>
    </row>
    <row r="523" ht="15.75" customHeight="1">
      <c r="CT523" s="11"/>
      <c r="CU523" s="11"/>
      <c r="CV523" s="11"/>
      <c r="CW523" s="11"/>
      <c r="CX523" s="11"/>
      <c r="CY523" s="11"/>
      <c r="CZ523" s="11"/>
      <c r="DA523" s="11"/>
      <c r="DB523" s="11"/>
      <c r="DC523" s="11"/>
      <c r="DD523" s="11"/>
      <c r="DE523" s="11"/>
      <c r="DF523" s="11"/>
      <c r="DG523" s="11"/>
    </row>
    <row r="524" ht="15.75" customHeight="1">
      <c r="CT524" s="11"/>
      <c r="CU524" s="11"/>
      <c r="CV524" s="11"/>
      <c r="CW524" s="11"/>
      <c r="CX524" s="11"/>
      <c r="CY524" s="11"/>
      <c r="CZ524" s="11"/>
      <c r="DA524" s="11"/>
      <c r="DB524" s="11"/>
      <c r="DC524" s="11"/>
      <c r="DD524" s="11"/>
      <c r="DE524" s="11"/>
      <c r="DF524" s="11"/>
      <c r="DG524" s="11"/>
    </row>
    <row r="525" ht="15.75" customHeight="1">
      <c r="CT525" s="11"/>
      <c r="CU525" s="11"/>
      <c r="CV525" s="11"/>
      <c r="CW525" s="11"/>
      <c r="CX525" s="11"/>
      <c r="CY525" s="11"/>
      <c r="CZ525" s="11"/>
      <c r="DA525" s="11"/>
      <c r="DB525" s="11"/>
      <c r="DC525" s="11"/>
      <c r="DD525" s="11"/>
      <c r="DE525" s="11"/>
      <c r="DF525" s="11"/>
      <c r="DG525" s="11"/>
    </row>
    <row r="526" ht="15.75" customHeight="1">
      <c r="CT526" s="11"/>
      <c r="CU526" s="11"/>
      <c r="CV526" s="11"/>
      <c r="CW526" s="11"/>
      <c r="CX526" s="11"/>
      <c r="CY526" s="11"/>
      <c r="CZ526" s="11"/>
      <c r="DA526" s="11"/>
      <c r="DB526" s="11"/>
      <c r="DC526" s="11"/>
      <c r="DD526" s="11"/>
      <c r="DE526" s="11"/>
      <c r="DF526" s="11"/>
      <c r="DG526" s="11"/>
    </row>
    <row r="527" ht="15.75" customHeight="1">
      <c r="CT527" s="11"/>
      <c r="CU527" s="11"/>
      <c r="CV527" s="11"/>
      <c r="CW527" s="11"/>
      <c r="CX527" s="11"/>
      <c r="CY527" s="11"/>
      <c r="CZ527" s="11"/>
      <c r="DA527" s="11"/>
      <c r="DB527" s="11"/>
      <c r="DC527" s="11"/>
      <c r="DD527" s="11"/>
      <c r="DE527" s="11"/>
      <c r="DF527" s="11"/>
      <c r="DG527" s="11"/>
    </row>
    <row r="528" ht="15.75" customHeight="1">
      <c r="CT528" s="11"/>
      <c r="CU528" s="11"/>
      <c r="CV528" s="11"/>
      <c r="CW528" s="11"/>
      <c r="CX528" s="11"/>
      <c r="CY528" s="11"/>
      <c r="CZ528" s="11"/>
      <c r="DA528" s="11"/>
      <c r="DB528" s="11"/>
      <c r="DC528" s="11"/>
      <c r="DD528" s="11"/>
      <c r="DE528" s="11"/>
      <c r="DF528" s="11"/>
      <c r="DG528" s="11"/>
    </row>
    <row r="529" ht="15.75" customHeight="1">
      <c r="CT529" s="11"/>
      <c r="CU529" s="11"/>
      <c r="CV529" s="11"/>
      <c r="CW529" s="11"/>
      <c r="CX529" s="11"/>
      <c r="CY529" s="11"/>
      <c r="CZ529" s="11"/>
      <c r="DA529" s="11"/>
      <c r="DB529" s="11"/>
      <c r="DC529" s="11"/>
      <c r="DD529" s="11"/>
      <c r="DE529" s="11"/>
      <c r="DF529" s="11"/>
      <c r="DG529" s="11"/>
    </row>
    <row r="530" ht="15.75" customHeight="1">
      <c r="CT530" s="11"/>
      <c r="CU530" s="11"/>
      <c r="CV530" s="11"/>
      <c r="CW530" s="11"/>
      <c r="CX530" s="11"/>
      <c r="CY530" s="11"/>
      <c r="CZ530" s="11"/>
      <c r="DA530" s="11"/>
      <c r="DB530" s="11"/>
      <c r="DC530" s="11"/>
      <c r="DD530" s="11"/>
      <c r="DE530" s="11"/>
      <c r="DF530" s="11"/>
      <c r="DG530" s="11"/>
    </row>
    <row r="531" ht="15.75" customHeight="1">
      <c r="CT531" s="11"/>
      <c r="CU531" s="11"/>
      <c r="CV531" s="11"/>
      <c r="CW531" s="11"/>
      <c r="CX531" s="11"/>
      <c r="CY531" s="11"/>
      <c r="CZ531" s="11"/>
      <c r="DA531" s="11"/>
      <c r="DB531" s="11"/>
      <c r="DC531" s="11"/>
      <c r="DD531" s="11"/>
      <c r="DE531" s="11"/>
      <c r="DF531" s="11"/>
      <c r="DG531" s="11"/>
    </row>
    <row r="532" ht="15.75" customHeight="1">
      <c r="CT532" s="11"/>
      <c r="CU532" s="11"/>
      <c r="CV532" s="11"/>
      <c r="CW532" s="11"/>
      <c r="CX532" s="11"/>
      <c r="CY532" s="11"/>
      <c r="CZ532" s="11"/>
      <c r="DA532" s="11"/>
      <c r="DB532" s="11"/>
      <c r="DC532" s="11"/>
      <c r="DD532" s="11"/>
      <c r="DE532" s="11"/>
      <c r="DF532" s="11"/>
      <c r="DG532" s="11"/>
    </row>
    <row r="533" ht="15.75" customHeight="1">
      <c r="CT533" s="11"/>
      <c r="CU533" s="11"/>
      <c r="CV533" s="11"/>
      <c r="CW533" s="11"/>
      <c r="CX533" s="11"/>
      <c r="CY533" s="11"/>
      <c r="CZ533" s="11"/>
      <c r="DA533" s="11"/>
      <c r="DB533" s="11"/>
      <c r="DC533" s="11"/>
      <c r="DD533" s="11"/>
      <c r="DE533" s="11"/>
      <c r="DF533" s="11"/>
      <c r="DG533" s="11"/>
    </row>
    <row r="534" ht="15.75" customHeight="1">
      <c r="CT534" s="11"/>
      <c r="CU534" s="11"/>
      <c r="CV534" s="11"/>
      <c r="CW534" s="11"/>
      <c r="CX534" s="11"/>
      <c r="CY534" s="11"/>
      <c r="CZ534" s="11"/>
      <c r="DA534" s="11"/>
      <c r="DB534" s="11"/>
      <c r="DC534" s="11"/>
      <c r="DD534" s="11"/>
      <c r="DE534" s="11"/>
      <c r="DF534" s="11"/>
      <c r="DG534" s="11"/>
    </row>
    <row r="535" ht="15.75" customHeight="1">
      <c r="CT535" s="11"/>
      <c r="CU535" s="11"/>
      <c r="CV535" s="11"/>
      <c r="CW535" s="11"/>
      <c r="CX535" s="11"/>
      <c r="CY535" s="11"/>
      <c r="CZ535" s="11"/>
      <c r="DA535" s="11"/>
      <c r="DB535" s="11"/>
      <c r="DC535" s="11"/>
      <c r="DD535" s="11"/>
      <c r="DE535" s="11"/>
      <c r="DF535" s="11"/>
      <c r="DG535" s="11"/>
    </row>
    <row r="536" ht="15.75" customHeight="1">
      <c r="CT536" s="11"/>
      <c r="CU536" s="11"/>
      <c r="CV536" s="11"/>
      <c r="CW536" s="11"/>
      <c r="CX536" s="11"/>
      <c r="CY536" s="11"/>
      <c r="CZ536" s="11"/>
      <c r="DA536" s="11"/>
      <c r="DB536" s="11"/>
      <c r="DC536" s="11"/>
      <c r="DD536" s="11"/>
      <c r="DE536" s="11"/>
      <c r="DF536" s="11"/>
      <c r="DG536" s="11"/>
    </row>
    <row r="537" ht="15.75" customHeight="1">
      <c r="CT537" s="11"/>
      <c r="CU537" s="11"/>
      <c r="CV537" s="11"/>
      <c r="CW537" s="11"/>
      <c r="CX537" s="11"/>
      <c r="CY537" s="11"/>
      <c r="CZ537" s="11"/>
      <c r="DA537" s="11"/>
      <c r="DB537" s="11"/>
      <c r="DC537" s="11"/>
      <c r="DD537" s="11"/>
      <c r="DE537" s="11"/>
      <c r="DF537" s="11"/>
      <c r="DG537" s="11"/>
    </row>
    <row r="538" ht="15.75" customHeight="1">
      <c r="CT538" s="11"/>
      <c r="CU538" s="11"/>
      <c r="CV538" s="11"/>
      <c r="CW538" s="11"/>
      <c r="CX538" s="11"/>
      <c r="CY538" s="11"/>
      <c r="CZ538" s="11"/>
      <c r="DA538" s="11"/>
      <c r="DB538" s="11"/>
      <c r="DC538" s="11"/>
      <c r="DD538" s="11"/>
      <c r="DE538" s="11"/>
      <c r="DF538" s="11"/>
      <c r="DG538" s="11"/>
    </row>
    <row r="539" ht="15.75" customHeight="1">
      <c r="CT539" s="11"/>
      <c r="CU539" s="11"/>
      <c r="CV539" s="11"/>
      <c r="CW539" s="11"/>
      <c r="CX539" s="11"/>
      <c r="CY539" s="11"/>
      <c r="CZ539" s="11"/>
      <c r="DA539" s="11"/>
      <c r="DB539" s="11"/>
      <c r="DC539" s="11"/>
      <c r="DD539" s="11"/>
      <c r="DE539" s="11"/>
      <c r="DF539" s="11"/>
      <c r="DG539" s="11"/>
    </row>
    <row r="540" ht="15.75" customHeight="1">
      <c r="CT540" s="11"/>
      <c r="CU540" s="11"/>
      <c r="CV540" s="11"/>
      <c r="CW540" s="11"/>
      <c r="CX540" s="11"/>
      <c r="CY540" s="11"/>
      <c r="CZ540" s="11"/>
      <c r="DA540" s="11"/>
      <c r="DB540" s="11"/>
      <c r="DC540" s="11"/>
      <c r="DD540" s="11"/>
      <c r="DE540" s="11"/>
      <c r="DF540" s="11"/>
      <c r="DG540" s="11"/>
    </row>
    <row r="541" ht="15.75" customHeight="1">
      <c r="CT541" s="11"/>
      <c r="CU541" s="11"/>
      <c r="CV541" s="11"/>
      <c r="CW541" s="11"/>
      <c r="CX541" s="11"/>
      <c r="CY541" s="11"/>
      <c r="CZ541" s="11"/>
      <c r="DA541" s="11"/>
      <c r="DB541" s="11"/>
      <c r="DC541" s="11"/>
      <c r="DD541" s="11"/>
      <c r="DE541" s="11"/>
      <c r="DF541" s="11"/>
      <c r="DG541" s="11"/>
    </row>
    <row r="542" ht="15.75" customHeight="1">
      <c r="CT542" s="11"/>
      <c r="CU542" s="11"/>
      <c r="CV542" s="11"/>
      <c r="CW542" s="11"/>
      <c r="CX542" s="11"/>
      <c r="CY542" s="11"/>
      <c r="CZ542" s="11"/>
      <c r="DA542" s="11"/>
      <c r="DB542" s="11"/>
      <c r="DC542" s="11"/>
      <c r="DD542" s="11"/>
      <c r="DE542" s="11"/>
      <c r="DF542" s="11"/>
      <c r="DG542" s="11"/>
    </row>
    <row r="543" ht="15.75" customHeight="1">
      <c r="CT543" s="11"/>
      <c r="CU543" s="11"/>
      <c r="CV543" s="11"/>
      <c r="CW543" s="11"/>
      <c r="CX543" s="11"/>
      <c r="CY543" s="11"/>
      <c r="CZ543" s="11"/>
      <c r="DA543" s="11"/>
      <c r="DB543" s="11"/>
      <c r="DC543" s="11"/>
      <c r="DD543" s="11"/>
      <c r="DE543" s="11"/>
      <c r="DF543" s="11"/>
      <c r="DG543" s="11"/>
    </row>
    <row r="544" ht="15.75" customHeight="1">
      <c r="CT544" s="11"/>
      <c r="CU544" s="11"/>
      <c r="CV544" s="11"/>
      <c r="CW544" s="11"/>
      <c r="CX544" s="11"/>
      <c r="CY544" s="11"/>
      <c r="CZ544" s="11"/>
      <c r="DA544" s="11"/>
      <c r="DB544" s="11"/>
      <c r="DC544" s="11"/>
      <c r="DD544" s="11"/>
      <c r="DE544" s="11"/>
      <c r="DF544" s="11"/>
      <c r="DG544" s="11"/>
    </row>
    <row r="545" ht="15.75" customHeight="1">
      <c r="CT545" s="11"/>
      <c r="CU545" s="11"/>
      <c r="CV545" s="11"/>
      <c r="CW545" s="11"/>
      <c r="CX545" s="11"/>
      <c r="CY545" s="11"/>
      <c r="CZ545" s="11"/>
      <c r="DA545" s="11"/>
      <c r="DB545" s="11"/>
      <c r="DC545" s="11"/>
      <c r="DD545" s="11"/>
      <c r="DE545" s="11"/>
      <c r="DF545" s="11"/>
      <c r="DG545" s="11"/>
    </row>
    <row r="546" ht="15.75" customHeight="1">
      <c r="CT546" s="11"/>
      <c r="CU546" s="11"/>
      <c r="CV546" s="11"/>
      <c r="CW546" s="11"/>
      <c r="CX546" s="11"/>
      <c r="CY546" s="11"/>
      <c r="CZ546" s="11"/>
      <c r="DA546" s="11"/>
      <c r="DB546" s="11"/>
      <c r="DC546" s="11"/>
      <c r="DD546" s="11"/>
      <c r="DE546" s="11"/>
      <c r="DF546" s="11"/>
      <c r="DG546" s="11"/>
    </row>
    <row r="547" ht="15.75" customHeight="1">
      <c r="CT547" s="11"/>
      <c r="CU547" s="11"/>
      <c r="CV547" s="11"/>
      <c r="CW547" s="11"/>
      <c r="CX547" s="11"/>
      <c r="CY547" s="11"/>
      <c r="CZ547" s="11"/>
      <c r="DA547" s="11"/>
      <c r="DB547" s="11"/>
      <c r="DC547" s="11"/>
      <c r="DD547" s="11"/>
      <c r="DE547" s="11"/>
      <c r="DF547" s="11"/>
      <c r="DG547" s="11"/>
    </row>
    <row r="548" ht="15.75" customHeight="1">
      <c r="CT548" s="11"/>
      <c r="CU548" s="11"/>
      <c r="CV548" s="11"/>
      <c r="CW548" s="11"/>
      <c r="CX548" s="11"/>
      <c r="CY548" s="11"/>
      <c r="CZ548" s="11"/>
      <c r="DA548" s="11"/>
      <c r="DB548" s="11"/>
      <c r="DC548" s="11"/>
      <c r="DD548" s="11"/>
      <c r="DE548" s="11"/>
      <c r="DF548" s="11"/>
      <c r="DG548" s="11"/>
    </row>
    <row r="549" ht="15.75" customHeight="1">
      <c r="CT549" s="11"/>
      <c r="CU549" s="11"/>
      <c r="CV549" s="11"/>
      <c r="CW549" s="11"/>
      <c r="CX549" s="11"/>
      <c r="CY549" s="11"/>
      <c r="CZ549" s="11"/>
      <c r="DA549" s="11"/>
      <c r="DB549" s="11"/>
      <c r="DC549" s="11"/>
      <c r="DD549" s="11"/>
      <c r="DE549" s="11"/>
      <c r="DF549" s="11"/>
      <c r="DG549" s="11"/>
    </row>
    <row r="550" ht="15.75" customHeight="1">
      <c r="CT550" s="11"/>
      <c r="CU550" s="11"/>
      <c r="CV550" s="11"/>
      <c r="CW550" s="11"/>
      <c r="CX550" s="11"/>
      <c r="CY550" s="11"/>
      <c r="CZ550" s="11"/>
      <c r="DA550" s="11"/>
      <c r="DB550" s="11"/>
      <c r="DC550" s="11"/>
      <c r="DD550" s="11"/>
      <c r="DE550" s="11"/>
      <c r="DF550" s="11"/>
      <c r="DG550" s="11"/>
    </row>
    <row r="551" ht="15.75" customHeight="1">
      <c r="CT551" s="11"/>
      <c r="CU551" s="11"/>
      <c r="CV551" s="11"/>
      <c r="CW551" s="11"/>
      <c r="CX551" s="11"/>
      <c r="CY551" s="11"/>
      <c r="CZ551" s="11"/>
      <c r="DA551" s="11"/>
      <c r="DB551" s="11"/>
      <c r="DC551" s="11"/>
      <c r="DD551" s="11"/>
      <c r="DE551" s="11"/>
      <c r="DF551" s="11"/>
      <c r="DG551" s="11"/>
    </row>
    <row r="552" ht="15.75" customHeight="1">
      <c r="CT552" s="11"/>
      <c r="CU552" s="11"/>
      <c r="CV552" s="11"/>
      <c r="CW552" s="11"/>
      <c r="CX552" s="11"/>
      <c r="CY552" s="11"/>
      <c r="CZ552" s="11"/>
      <c r="DA552" s="11"/>
      <c r="DB552" s="11"/>
      <c r="DC552" s="11"/>
      <c r="DD552" s="11"/>
      <c r="DE552" s="11"/>
      <c r="DF552" s="11"/>
      <c r="DG552" s="11"/>
    </row>
    <row r="553" ht="15.75" customHeight="1">
      <c r="CT553" s="11"/>
      <c r="CU553" s="11"/>
      <c r="CV553" s="11"/>
      <c r="CW553" s="11"/>
      <c r="CX553" s="11"/>
      <c r="CY553" s="11"/>
      <c r="CZ553" s="11"/>
      <c r="DA553" s="11"/>
      <c r="DB553" s="11"/>
      <c r="DC553" s="11"/>
      <c r="DD553" s="11"/>
      <c r="DE553" s="11"/>
      <c r="DF553" s="11"/>
      <c r="DG553" s="11"/>
    </row>
    <row r="554" ht="15.75" customHeight="1">
      <c r="CT554" s="11"/>
      <c r="CU554" s="11"/>
      <c r="CV554" s="11"/>
      <c r="CW554" s="11"/>
      <c r="CX554" s="11"/>
      <c r="CY554" s="11"/>
      <c r="CZ554" s="11"/>
      <c r="DA554" s="11"/>
      <c r="DB554" s="11"/>
      <c r="DC554" s="11"/>
      <c r="DD554" s="11"/>
      <c r="DE554" s="11"/>
      <c r="DF554" s="11"/>
      <c r="DG554" s="11"/>
    </row>
    <row r="555" ht="15.75" customHeight="1">
      <c r="CT555" s="11"/>
      <c r="CU555" s="11"/>
      <c r="CV555" s="11"/>
      <c r="CW555" s="11"/>
      <c r="CX555" s="11"/>
      <c r="CY555" s="11"/>
      <c r="CZ555" s="11"/>
      <c r="DA555" s="11"/>
      <c r="DB555" s="11"/>
      <c r="DC555" s="11"/>
      <c r="DD555" s="11"/>
      <c r="DE555" s="11"/>
      <c r="DF555" s="11"/>
      <c r="DG555" s="11"/>
    </row>
    <row r="556" ht="15.75" customHeight="1">
      <c r="CT556" s="11"/>
      <c r="CU556" s="11"/>
      <c r="CV556" s="11"/>
      <c r="CW556" s="11"/>
      <c r="CX556" s="11"/>
      <c r="CY556" s="11"/>
      <c r="CZ556" s="11"/>
      <c r="DA556" s="11"/>
      <c r="DB556" s="11"/>
      <c r="DC556" s="11"/>
      <c r="DD556" s="11"/>
      <c r="DE556" s="11"/>
      <c r="DF556" s="11"/>
      <c r="DG556" s="11"/>
    </row>
    <row r="557" ht="15.75" customHeight="1">
      <c r="CT557" s="11"/>
      <c r="CU557" s="11"/>
      <c r="CV557" s="11"/>
      <c r="CW557" s="11"/>
      <c r="CX557" s="11"/>
      <c r="CY557" s="11"/>
      <c r="CZ557" s="11"/>
      <c r="DA557" s="11"/>
      <c r="DB557" s="11"/>
      <c r="DC557" s="11"/>
      <c r="DD557" s="11"/>
      <c r="DE557" s="11"/>
      <c r="DF557" s="11"/>
      <c r="DG557" s="11"/>
    </row>
    <row r="558" ht="15.75" customHeight="1">
      <c r="CT558" s="11"/>
      <c r="CU558" s="11"/>
      <c r="CV558" s="11"/>
      <c r="CW558" s="11"/>
      <c r="CX558" s="11"/>
      <c r="CY558" s="11"/>
      <c r="CZ558" s="11"/>
      <c r="DA558" s="11"/>
      <c r="DB558" s="11"/>
      <c r="DC558" s="11"/>
      <c r="DD558" s="11"/>
      <c r="DE558" s="11"/>
      <c r="DF558" s="11"/>
      <c r="DG558" s="11"/>
    </row>
    <row r="559" ht="15.75" customHeight="1">
      <c r="CT559" s="11"/>
      <c r="CU559" s="11"/>
      <c r="CV559" s="11"/>
      <c r="CW559" s="11"/>
      <c r="CX559" s="11"/>
      <c r="CY559" s="11"/>
      <c r="CZ559" s="11"/>
      <c r="DA559" s="11"/>
      <c r="DB559" s="11"/>
      <c r="DC559" s="11"/>
      <c r="DD559" s="11"/>
      <c r="DE559" s="11"/>
      <c r="DF559" s="11"/>
      <c r="DG559" s="11"/>
    </row>
    <row r="560" ht="15.75" customHeight="1">
      <c r="CT560" s="11"/>
      <c r="CU560" s="11"/>
      <c r="CV560" s="11"/>
      <c r="CW560" s="11"/>
      <c r="CX560" s="11"/>
      <c r="CY560" s="11"/>
      <c r="CZ560" s="11"/>
      <c r="DA560" s="11"/>
      <c r="DB560" s="11"/>
      <c r="DC560" s="11"/>
      <c r="DD560" s="11"/>
      <c r="DE560" s="11"/>
      <c r="DF560" s="11"/>
      <c r="DG560" s="11"/>
    </row>
    <row r="561" ht="15.75" customHeight="1">
      <c r="CT561" s="11"/>
      <c r="CU561" s="11"/>
      <c r="CV561" s="11"/>
      <c r="CW561" s="11"/>
      <c r="CX561" s="11"/>
      <c r="CY561" s="11"/>
      <c r="CZ561" s="11"/>
      <c r="DA561" s="11"/>
      <c r="DB561" s="11"/>
      <c r="DC561" s="11"/>
      <c r="DD561" s="11"/>
      <c r="DE561" s="11"/>
      <c r="DF561" s="11"/>
      <c r="DG561" s="11"/>
    </row>
    <row r="562" ht="15.75" customHeight="1">
      <c r="CT562" s="11"/>
      <c r="CU562" s="11"/>
      <c r="CV562" s="11"/>
      <c r="CW562" s="11"/>
      <c r="CX562" s="11"/>
      <c r="CY562" s="11"/>
      <c r="CZ562" s="11"/>
      <c r="DA562" s="11"/>
      <c r="DB562" s="11"/>
      <c r="DC562" s="11"/>
      <c r="DD562" s="11"/>
      <c r="DE562" s="11"/>
      <c r="DF562" s="11"/>
      <c r="DG562" s="11"/>
    </row>
    <row r="563" ht="15.75" customHeight="1">
      <c r="CT563" s="11"/>
      <c r="CU563" s="11"/>
      <c r="CV563" s="11"/>
      <c r="CW563" s="11"/>
      <c r="CX563" s="11"/>
      <c r="CY563" s="11"/>
      <c r="CZ563" s="11"/>
      <c r="DA563" s="11"/>
      <c r="DB563" s="11"/>
      <c r="DC563" s="11"/>
      <c r="DD563" s="11"/>
      <c r="DE563" s="11"/>
      <c r="DF563" s="11"/>
      <c r="DG563" s="11"/>
    </row>
    <row r="564" ht="15.75" customHeight="1">
      <c r="CT564" s="11"/>
      <c r="CU564" s="11"/>
      <c r="CV564" s="11"/>
      <c r="CW564" s="11"/>
      <c r="CX564" s="11"/>
      <c r="CY564" s="11"/>
      <c r="CZ564" s="11"/>
      <c r="DA564" s="11"/>
      <c r="DB564" s="11"/>
      <c r="DC564" s="11"/>
      <c r="DD564" s="11"/>
      <c r="DE564" s="11"/>
      <c r="DF564" s="11"/>
      <c r="DG564" s="11"/>
    </row>
    <row r="565" ht="15.75" customHeight="1">
      <c r="CT565" s="11"/>
      <c r="CU565" s="11"/>
      <c r="CV565" s="11"/>
      <c r="CW565" s="11"/>
      <c r="CX565" s="11"/>
      <c r="CY565" s="11"/>
      <c r="CZ565" s="11"/>
      <c r="DA565" s="11"/>
      <c r="DB565" s="11"/>
      <c r="DC565" s="11"/>
      <c r="DD565" s="11"/>
      <c r="DE565" s="11"/>
      <c r="DF565" s="11"/>
      <c r="DG565" s="11"/>
    </row>
    <row r="566" ht="15.75" customHeight="1">
      <c r="CT566" s="11"/>
      <c r="CU566" s="11"/>
      <c r="CV566" s="11"/>
      <c r="CW566" s="11"/>
      <c r="CX566" s="11"/>
      <c r="CY566" s="11"/>
      <c r="CZ566" s="11"/>
      <c r="DA566" s="11"/>
      <c r="DB566" s="11"/>
      <c r="DC566" s="11"/>
      <c r="DD566" s="11"/>
      <c r="DE566" s="11"/>
      <c r="DF566" s="11"/>
      <c r="DG566" s="11"/>
    </row>
    <row r="567" ht="15.75" customHeight="1">
      <c r="CT567" s="11"/>
      <c r="CU567" s="11"/>
      <c r="CV567" s="11"/>
      <c r="CW567" s="11"/>
      <c r="CX567" s="11"/>
      <c r="CY567" s="11"/>
      <c r="CZ567" s="11"/>
      <c r="DA567" s="11"/>
      <c r="DB567" s="11"/>
      <c r="DC567" s="11"/>
      <c r="DD567" s="11"/>
      <c r="DE567" s="11"/>
      <c r="DF567" s="11"/>
      <c r="DG567" s="11"/>
    </row>
    <row r="568" ht="15.75" customHeight="1">
      <c r="CT568" s="11"/>
      <c r="CU568" s="11"/>
      <c r="CV568" s="11"/>
      <c r="CW568" s="11"/>
      <c r="CX568" s="11"/>
      <c r="CY568" s="11"/>
      <c r="CZ568" s="11"/>
      <c r="DA568" s="11"/>
      <c r="DB568" s="11"/>
      <c r="DC568" s="11"/>
      <c r="DD568" s="11"/>
      <c r="DE568" s="11"/>
      <c r="DF568" s="11"/>
      <c r="DG568" s="11"/>
    </row>
    <row r="569" ht="15.75" customHeight="1">
      <c r="CT569" s="11"/>
      <c r="CU569" s="11"/>
      <c r="CV569" s="11"/>
      <c r="CW569" s="11"/>
      <c r="CX569" s="11"/>
      <c r="CY569" s="11"/>
      <c r="CZ569" s="11"/>
      <c r="DA569" s="11"/>
      <c r="DB569" s="11"/>
      <c r="DC569" s="11"/>
      <c r="DD569" s="11"/>
      <c r="DE569" s="11"/>
      <c r="DF569" s="11"/>
      <c r="DG569" s="11"/>
    </row>
    <row r="570" ht="15.75" customHeight="1">
      <c r="CT570" s="11"/>
      <c r="CU570" s="11"/>
      <c r="CV570" s="11"/>
      <c r="CW570" s="11"/>
      <c r="CX570" s="11"/>
      <c r="CY570" s="11"/>
      <c r="CZ570" s="11"/>
      <c r="DA570" s="11"/>
      <c r="DB570" s="11"/>
      <c r="DC570" s="11"/>
      <c r="DD570" s="11"/>
      <c r="DE570" s="11"/>
      <c r="DF570" s="11"/>
      <c r="DG570" s="11"/>
    </row>
    <row r="571" ht="15.75" customHeight="1">
      <c r="CT571" s="11"/>
      <c r="CU571" s="11"/>
      <c r="CV571" s="11"/>
      <c r="CW571" s="11"/>
      <c r="CX571" s="11"/>
      <c r="CY571" s="11"/>
      <c r="CZ571" s="11"/>
      <c r="DA571" s="11"/>
      <c r="DB571" s="11"/>
      <c r="DC571" s="11"/>
      <c r="DD571" s="11"/>
      <c r="DE571" s="11"/>
      <c r="DF571" s="11"/>
      <c r="DG571" s="11"/>
    </row>
    <row r="572" ht="15.75" customHeight="1">
      <c r="CT572" s="11"/>
      <c r="CU572" s="11"/>
      <c r="CV572" s="11"/>
      <c r="CW572" s="11"/>
      <c r="CX572" s="11"/>
      <c r="CY572" s="11"/>
      <c r="CZ572" s="11"/>
      <c r="DA572" s="11"/>
      <c r="DB572" s="11"/>
      <c r="DC572" s="11"/>
      <c r="DD572" s="11"/>
      <c r="DE572" s="11"/>
      <c r="DF572" s="11"/>
      <c r="DG572" s="11"/>
    </row>
    <row r="573" ht="15.75" customHeight="1">
      <c r="CT573" s="11"/>
      <c r="CU573" s="11"/>
      <c r="CV573" s="11"/>
      <c r="CW573" s="11"/>
      <c r="CX573" s="11"/>
      <c r="CY573" s="11"/>
      <c r="CZ573" s="11"/>
      <c r="DA573" s="11"/>
      <c r="DB573" s="11"/>
      <c r="DC573" s="11"/>
      <c r="DD573" s="11"/>
      <c r="DE573" s="11"/>
      <c r="DF573" s="11"/>
      <c r="DG573" s="11"/>
    </row>
    <row r="574" ht="15.75" customHeight="1">
      <c r="CT574" s="11"/>
      <c r="CU574" s="11"/>
      <c r="CV574" s="11"/>
      <c r="CW574" s="11"/>
      <c r="CX574" s="11"/>
      <c r="CY574" s="11"/>
      <c r="CZ574" s="11"/>
      <c r="DA574" s="11"/>
      <c r="DB574" s="11"/>
      <c r="DC574" s="11"/>
      <c r="DD574" s="11"/>
      <c r="DE574" s="11"/>
      <c r="DF574" s="11"/>
      <c r="DG574" s="11"/>
    </row>
    <row r="575" ht="15.75" customHeight="1">
      <c r="CT575" s="11"/>
      <c r="CU575" s="11"/>
      <c r="CV575" s="11"/>
      <c r="CW575" s="11"/>
      <c r="CX575" s="11"/>
      <c r="CY575" s="11"/>
      <c r="CZ575" s="11"/>
      <c r="DA575" s="11"/>
      <c r="DB575" s="11"/>
      <c r="DC575" s="11"/>
      <c r="DD575" s="11"/>
      <c r="DE575" s="11"/>
      <c r="DF575" s="11"/>
      <c r="DG575" s="11"/>
    </row>
    <row r="576" ht="15.75" customHeight="1">
      <c r="CT576" s="11"/>
      <c r="CU576" s="11"/>
      <c r="CV576" s="11"/>
      <c r="CW576" s="11"/>
      <c r="CX576" s="11"/>
      <c r="CY576" s="11"/>
      <c r="CZ576" s="11"/>
      <c r="DA576" s="11"/>
      <c r="DB576" s="11"/>
      <c r="DC576" s="11"/>
      <c r="DD576" s="11"/>
      <c r="DE576" s="11"/>
      <c r="DF576" s="11"/>
      <c r="DG576" s="11"/>
    </row>
    <row r="577" ht="15.75" customHeight="1">
      <c r="CT577" s="11"/>
      <c r="CU577" s="11"/>
      <c r="CV577" s="11"/>
      <c r="CW577" s="11"/>
      <c r="CX577" s="11"/>
      <c r="CY577" s="11"/>
      <c r="CZ577" s="11"/>
      <c r="DA577" s="11"/>
      <c r="DB577" s="11"/>
      <c r="DC577" s="11"/>
      <c r="DD577" s="11"/>
      <c r="DE577" s="11"/>
      <c r="DF577" s="11"/>
      <c r="DG577" s="11"/>
    </row>
    <row r="578" ht="15.75" customHeight="1">
      <c r="CT578" s="11"/>
      <c r="CU578" s="11"/>
      <c r="CV578" s="11"/>
      <c r="CW578" s="11"/>
      <c r="CX578" s="11"/>
      <c r="CY578" s="11"/>
      <c r="CZ578" s="11"/>
      <c r="DA578" s="11"/>
      <c r="DB578" s="11"/>
      <c r="DC578" s="11"/>
      <c r="DD578" s="11"/>
      <c r="DE578" s="11"/>
      <c r="DF578" s="11"/>
      <c r="DG578" s="11"/>
    </row>
    <row r="579" ht="15.75" customHeight="1">
      <c r="CT579" s="11"/>
      <c r="CU579" s="11"/>
      <c r="CV579" s="11"/>
      <c r="CW579" s="11"/>
      <c r="CX579" s="11"/>
      <c r="CY579" s="11"/>
      <c r="CZ579" s="11"/>
      <c r="DA579" s="11"/>
      <c r="DB579" s="11"/>
      <c r="DC579" s="11"/>
      <c r="DD579" s="11"/>
      <c r="DE579" s="11"/>
      <c r="DF579" s="11"/>
      <c r="DG579" s="11"/>
    </row>
    <row r="580" ht="15.75" customHeight="1">
      <c r="CT580" s="11"/>
      <c r="CU580" s="11"/>
      <c r="CV580" s="11"/>
      <c r="CW580" s="11"/>
      <c r="CX580" s="11"/>
      <c r="CY580" s="11"/>
      <c r="CZ580" s="11"/>
      <c r="DA580" s="11"/>
      <c r="DB580" s="11"/>
      <c r="DC580" s="11"/>
      <c r="DD580" s="11"/>
      <c r="DE580" s="11"/>
      <c r="DF580" s="11"/>
      <c r="DG580" s="11"/>
    </row>
    <row r="581" ht="15.75" customHeight="1">
      <c r="CT581" s="11"/>
      <c r="CU581" s="11"/>
      <c r="CV581" s="11"/>
      <c r="CW581" s="11"/>
      <c r="CX581" s="11"/>
      <c r="CY581" s="11"/>
      <c r="CZ581" s="11"/>
      <c r="DA581" s="11"/>
      <c r="DB581" s="11"/>
      <c r="DC581" s="11"/>
      <c r="DD581" s="11"/>
      <c r="DE581" s="11"/>
      <c r="DF581" s="11"/>
      <c r="DG581" s="11"/>
    </row>
    <row r="582" ht="15.75" customHeight="1">
      <c r="CT582" s="11"/>
      <c r="CU582" s="11"/>
      <c r="CV582" s="11"/>
      <c r="CW582" s="11"/>
      <c r="CX582" s="11"/>
      <c r="CY582" s="11"/>
      <c r="CZ582" s="11"/>
      <c r="DA582" s="11"/>
      <c r="DB582" s="11"/>
      <c r="DC582" s="11"/>
      <c r="DD582" s="11"/>
      <c r="DE582" s="11"/>
      <c r="DF582" s="11"/>
      <c r="DG582" s="11"/>
    </row>
    <row r="583" ht="15.75" customHeight="1">
      <c r="CT583" s="11"/>
      <c r="CU583" s="11"/>
      <c r="CV583" s="11"/>
      <c r="CW583" s="11"/>
      <c r="CX583" s="11"/>
      <c r="CY583" s="11"/>
      <c r="CZ583" s="11"/>
      <c r="DA583" s="11"/>
      <c r="DB583" s="11"/>
      <c r="DC583" s="11"/>
      <c r="DD583" s="11"/>
      <c r="DE583" s="11"/>
      <c r="DF583" s="11"/>
      <c r="DG583" s="11"/>
    </row>
    <row r="584" ht="15.75" customHeight="1">
      <c r="CT584" s="11"/>
      <c r="CU584" s="11"/>
      <c r="CV584" s="11"/>
      <c r="CW584" s="11"/>
      <c r="CX584" s="11"/>
      <c r="CY584" s="11"/>
      <c r="CZ584" s="11"/>
      <c r="DA584" s="11"/>
      <c r="DB584" s="11"/>
      <c r="DC584" s="11"/>
      <c r="DD584" s="11"/>
      <c r="DE584" s="11"/>
      <c r="DF584" s="11"/>
      <c r="DG584" s="11"/>
    </row>
    <row r="585" ht="15.75" customHeight="1">
      <c r="CT585" s="11"/>
      <c r="CU585" s="11"/>
      <c r="CV585" s="11"/>
      <c r="CW585" s="11"/>
      <c r="CX585" s="11"/>
      <c r="CY585" s="11"/>
      <c r="CZ585" s="11"/>
      <c r="DA585" s="11"/>
      <c r="DB585" s="11"/>
      <c r="DC585" s="11"/>
      <c r="DD585" s="11"/>
      <c r="DE585" s="11"/>
      <c r="DF585" s="11"/>
      <c r="DG585" s="11"/>
    </row>
    <row r="586" ht="15.75" customHeight="1">
      <c r="CT586" s="11"/>
      <c r="CU586" s="11"/>
      <c r="CV586" s="11"/>
      <c r="CW586" s="11"/>
      <c r="CX586" s="11"/>
      <c r="CY586" s="11"/>
      <c r="CZ586" s="11"/>
      <c r="DA586" s="11"/>
      <c r="DB586" s="11"/>
      <c r="DC586" s="11"/>
      <c r="DD586" s="11"/>
      <c r="DE586" s="11"/>
      <c r="DF586" s="11"/>
      <c r="DG586" s="11"/>
    </row>
    <row r="587" ht="15.75" customHeight="1">
      <c r="CT587" s="11"/>
      <c r="CU587" s="11"/>
      <c r="CV587" s="11"/>
      <c r="CW587" s="11"/>
      <c r="CX587" s="11"/>
      <c r="CY587" s="11"/>
      <c r="CZ587" s="11"/>
      <c r="DA587" s="11"/>
      <c r="DB587" s="11"/>
      <c r="DC587" s="11"/>
      <c r="DD587" s="11"/>
      <c r="DE587" s="11"/>
      <c r="DF587" s="11"/>
      <c r="DG587" s="11"/>
    </row>
    <row r="588" ht="15.75" customHeight="1">
      <c r="CT588" s="11"/>
      <c r="CU588" s="11"/>
      <c r="CV588" s="11"/>
      <c r="CW588" s="11"/>
      <c r="CX588" s="11"/>
      <c r="CY588" s="11"/>
      <c r="CZ588" s="11"/>
      <c r="DA588" s="11"/>
      <c r="DB588" s="11"/>
      <c r="DC588" s="11"/>
      <c r="DD588" s="11"/>
      <c r="DE588" s="11"/>
      <c r="DF588" s="11"/>
      <c r="DG588" s="11"/>
    </row>
    <row r="589" ht="15.75" customHeight="1">
      <c r="CT589" s="11"/>
      <c r="CU589" s="11"/>
      <c r="CV589" s="11"/>
      <c r="CW589" s="11"/>
      <c r="CX589" s="11"/>
      <c r="CY589" s="11"/>
      <c r="CZ589" s="11"/>
      <c r="DA589" s="11"/>
      <c r="DB589" s="11"/>
      <c r="DC589" s="11"/>
      <c r="DD589" s="11"/>
      <c r="DE589" s="11"/>
      <c r="DF589" s="11"/>
      <c r="DG589" s="11"/>
    </row>
    <row r="590" ht="15.75" customHeight="1">
      <c r="CT590" s="11"/>
      <c r="CU590" s="11"/>
      <c r="CV590" s="11"/>
      <c r="CW590" s="11"/>
      <c r="CX590" s="11"/>
      <c r="CY590" s="11"/>
      <c r="CZ590" s="11"/>
      <c r="DA590" s="11"/>
      <c r="DB590" s="11"/>
      <c r="DC590" s="11"/>
      <c r="DD590" s="11"/>
      <c r="DE590" s="11"/>
      <c r="DF590" s="11"/>
      <c r="DG590" s="11"/>
    </row>
    <row r="591" ht="15.75" customHeight="1">
      <c r="CT591" s="11"/>
      <c r="CU591" s="11"/>
      <c r="CV591" s="11"/>
      <c r="CW591" s="11"/>
      <c r="CX591" s="11"/>
      <c r="CY591" s="11"/>
      <c r="CZ591" s="11"/>
      <c r="DA591" s="11"/>
      <c r="DB591" s="11"/>
      <c r="DC591" s="11"/>
      <c r="DD591" s="11"/>
      <c r="DE591" s="11"/>
      <c r="DF591" s="11"/>
      <c r="DG591" s="11"/>
    </row>
    <row r="592" ht="15.75" customHeight="1">
      <c r="CT592" s="11"/>
      <c r="CU592" s="11"/>
      <c r="CV592" s="11"/>
      <c r="CW592" s="11"/>
      <c r="CX592" s="11"/>
      <c r="CY592" s="11"/>
      <c r="CZ592" s="11"/>
      <c r="DA592" s="11"/>
      <c r="DB592" s="11"/>
      <c r="DC592" s="11"/>
      <c r="DD592" s="11"/>
      <c r="DE592" s="11"/>
      <c r="DF592" s="11"/>
      <c r="DG592" s="11"/>
    </row>
    <row r="593" ht="15.75" customHeight="1">
      <c r="CT593" s="11"/>
      <c r="CU593" s="11"/>
      <c r="CV593" s="11"/>
      <c r="CW593" s="11"/>
      <c r="CX593" s="11"/>
      <c r="CY593" s="11"/>
      <c r="CZ593" s="11"/>
      <c r="DA593" s="11"/>
      <c r="DB593" s="11"/>
      <c r="DC593" s="11"/>
      <c r="DD593" s="11"/>
      <c r="DE593" s="11"/>
      <c r="DF593" s="11"/>
      <c r="DG593" s="11"/>
    </row>
    <row r="594" ht="15.75" customHeight="1">
      <c r="CT594" s="11"/>
      <c r="CU594" s="11"/>
      <c r="CV594" s="11"/>
      <c r="CW594" s="11"/>
      <c r="CX594" s="11"/>
      <c r="CY594" s="11"/>
      <c r="CZ594" s="11"/>
      <c r="DA594" s="11"/>
      <c r="DB594" s="11"/>
      <c r="DC594" s="11"/>
      <c r="DD594" s="11"/>
      <c r="DE594" s="11"/>
      <c r="DF594" s="11"/>
      <c r="DG594" s="11"/>
    </row>
    <row r="595" ht="15.75" customHeight="1">
      <c r="CT595" s="11"/>
      <c r="CU595" s="11"/>
      <c r="CV595" s="11"/>
      <c r="CW595" s="11"/>
      <c r="CX595" s="11"/>
      <c r="CY595" s="11"/>
      <c r="CZ595" s="11"/>
      <c r="DA595" s="11"/>
      <c r="DB595" s="11"/>
      <c r="DC595" s="11"/>
      <c r="DD595" s="11"/>
      <c r="DE595" s="11"/>
      <c r="DF595" s="11"/>
      <c r="DG595" s="11"/>
    </row>
    <row r="596" ht="15.75" customHeight="1">
      <c r="CT596" s="11"/>
      <c r="CU596" s="11"/>
      <c r="CV596" s="11"/>
      <c r="CW596" s="11"/>
      <c r="CX596" s="11"/>
      <c r="CY596" s="11"/>
      <c r="CZ596" s="11"/>
      <c r="DA596" s="11"/>
      <c r="DB596" s="11"/>
      <c r="DC596" s="11"/>
      <c r="DD596" s="11"/>
      <c r="DE596" s="11"/>
      <c r="DF596" s="11"/>
      <c r="DG596" s="11"/>
    </row>
    <row r="597" ht="15.75" customHeight="1">
      <c r="CT597" s="11"/>
      <c r="CU597" s="11"/>
      <c r="CV597" s="11"/>
      <c r="CW597" s="11"/>
      <c r="CX597" s="11"/>
      <c r="CY597" s="11"/>
      <c r="CZ597" s="11"/>
      <c r="DA597" s="11"/>
      <c r="DB597" s="11"/>
      <c r="DC597" s="11"/>
      <c r="DD597" s="11"/>
      <c r="DE597" s="11"/>
      <c r="DF597" s="11"/>
      <c r="DG597" s="11"/>
    </row>
    <row r="598" ht="15.75" customHeight="1">
      <c r="CT598" s="11"/>
      <c r="CU598" s="11"/>
      <c r="CV598" s="11"/>
      <c r="CW598" s="11"/>
      <c r="CX598" s="11"/>
      <c r="CY598" s="11"/>
      <c r="CZ598" s="11"/>
      <c r="DA598" s="11"/>
      <c r="DB598" s="11"/>
      <c r="DC598" s="11"/>
      <c r="DD598" s="11"/>
      <c r="DE598" s="11"/>
      <c r="DF598" s="11"/>
      <c r="DG598" s="11"/>
    </row>
    <row r="599" ht="15.75" customHeight="1">
      <c r="CT599" s="11"/>
      <c r="CU599" s="11"/>
      <c r="CV599" s="11"/>
      <c r="CW599" s="11"/>
      <c r="CX599" s="11"/>
      <c r="CY599" s="11"/>
      <c r="CZ599" s="11"/>
      <c r="DA599" s="11"/>
      <c r="DB599" s="11"/>
      <c r="DC599" s="11"/>
      <c r="DD599" s="11"/>
      <c r="DE599" s="11"/>
      <c r="DF599" s="11"/>
      <c r="DG599" s="11"/>
    </row>
    <row r="600" ht="15.75" customHeight="1">
      <c r="CT600" s="11"/>
      <c r="CU600" s="11"/>
      <c r="CV600" s="11"/>
      <c r="CW600" s="11"/>
      <c r="CX600" s="11"/>
      <c r="CY600" s="11"/>
      <c r="CZ600" s="11"/>
      <c r="DA600" s="11"/>
      <c r="DB600" s="11"/>
      <c r="DC600" s="11"/>
      <c r="DD600" s="11"/>
      <c r="DE600" s="11"/>
      <c r="DF600" s="11"/>
      <c r="DG600" s="11"/>
    </row>
    <row r="601" ht="15.75" customHeight="1">
      <c r="CT601" s="11"/>
      <c r="CU601" s="11"/>
      <c r="CV601" s="11"/>
      <c r="CW601" s="11"/>
      <c r="CX601" s="11"/>
      <c r="CY601" s="11"/>
      <c r="CZ601" s="11"/>
      <c r="DA601" s="11"/>
      <c r="DB601" s="11"/>
      <c r="DC601" s="11"/>
      <c r="DD601" s="11"/>
      <c r="DE601" s="11"/>
      <c r="DF601" s="11"/>
      <c r="DG601" s="11"/>
    </row>
    <row r="602" ht="15.75" customHeight="1">
      <c r="CT602" s="11"/>
      <c r="CU602" s="11"/>
      <c r="CV602" s="11"/>
      <c r="CW602" s="11"/>
      <c r="CX602" s="11"/>
      <c r="CY602" s="11"/>
      <c r="CZ602" s="11"/>
      <c r="DA602" s="11"/>
      <c r="DB602" s="11"/>
      <c r="DC602" s="11"/>
      <c r="DD602" s="11"/>
      <c r="DE602" s="11"/>
      <c r="DF602" s="11"/>
      <c r="DG602" s="11"/>
    </row>
    <row r="603" ht="15.75" customHeight="1">
      <c r="CT603" s="11"/>
      <c r="CU603" s="11"/>
      <c r="CV603" s="11"/>
      <c r="CW603" s="11"/>
      <c r="CX603" s="11"/>
      <c r="CY603" s="11"/>
      <c r="CZ603" s="11"/>
      <c r="DA603" s="11"/>
      <c r="DB603" s="11"/>
      <c r="DC603" s="11"/>
      <c r="DD603" s="11"/>
      <c r="DE603" s="11"/>
      <c r="DF603" s="11"/>
      <c r="DG603" s="11"/>
    </row>
    <row r="604" ht="15.75" customHeight="1">
      <c r="CT604" s="11"/>
      <c r="CU604" s="11"/>
      <c r="CV604" s="11"/>
      <c r="CW604" s="11"/>
      <c r="CX604" s="11"/>
      <c r="CY604" s="11"/>
      <c r="CZ604" s="11"/>
      <c r="DA604" s="11"/>
      <c r="DB604" s="11"/>
      <c r="DC604" s="11"/>
      <c r="DD604" s="11"/>
      <c r="DE604" s="11"/>
      <c r="DF604" s="11"/>
      <c r="DG604" s="11"/>
    </row>
    <row r="605" ht="15.75" customHeight="1">
      <c r="CT605" s="11"/>
      <c r="CU605" s="11"/>
      <c r="CV605" s="11"/>
      <c r="CW605" s="11"/>
      <c r="CX605" s="11"/>
      <c r="CY605" s="11"/>
      <c r="CZ605" s="11"/>
      <c r="DA605" s="11"/>
      <c r="DB605" s="11"/>
      <c r="DC605" s="11"/>
      <c r="DD605" s="11"/>
      <c r="DE605" s="11"/>
      <c r="DF605" s="11"/>
      <c r="DG605" s="11"/>
    </row>
    <row r="606" ht="15.75" customHeight="1">
      <c r="CT606" s="11"/>
      <c r="CU606" s="11"/>
      <c r="CV606" s="11"/>
      <c r="CW606" s="11"/>
      <c r="CX606" s="11"/>
      <c r="CY606" s="11"/>
      <c r="CZ606" s="11"/>
      <c r="DA606" s="11"/>
      <c r="DB606" s="11"/>
      <c r="DC606" s="11"/>
      <c r="DD606" s="11"/>
      <c r="DE606" s="11"/>
      <c r="DF606" s="11"/>
      <c r="DG606" s="11"/>
    </row>
    <row r="607" ht="15.75" customHeight="1">
      <c r="CT607" s="11"/>
      <c r="CU607" s="11"/>
      <c r="CV607" s="11"/>
      <c r="CW607" s="11"/>
      <c r="CX607" s="11"/>
      <c r="CY607" s="11"/>
      <c r="CZ607" s="11"/>
      <c r="DA607" s="11"/>
      <c r="DB607" s="11"/>
      <c r="DC607" s="11"/>
      <c r="DD607" s="11"/>
      <c r="DE607" s="11"/>
      <c r="DF607" s="11"/>
      <c r="DG607" s="11"/>
    </row>
    <row r="608" ht="15.75" customHeight="1">
      <c r="CT608" s="11"/>
      <c r="CU608" s="11"/>
      <c r="CV608" s="11"/>
      <c r="CW608" s="11"/>
      <c r="CX608" s="11"/>
      <c r="CY608" s="11"/>
      <c r="CZ608" s="11"/>
      <c r="DA608" s="11"/>
      <c r="DB608" s="11"/>
      <c r="DC608" s="11"/>
      <c r="DD608" s="11"/>
      <c r="DE608" s="11"/>
      <c r="DF608" s="11"/>
      <c r="DG608" s="11"/>
    </row>
    <row r="609" ht="15.75" customHeight="1">
      <c r="CT609" s="11"/>
      <c r="CU609" s="11"/>
      <c r="CV609" s="11"/>
      <c r="CW609" s="11"/>
      <c r="CX609" s="11"/>
      <c r="CY609" s="11"/>
      <c r="CZ609" s="11"/>
      <c r="DA609" s="11"/>
      <c r="DB609" s="11"/>
      <c r="DC609" s="11"/>
      <c r="DD609" s="11"/>
      <c r="DE609" s="11"/>
      <c r="DF609" s="11"/>
      <c r="DG609" s="11"/>
    </row>
    <row r="610" ht="15.75" customHeight="1">
      <c r="CT610" s="11"/>
      <c r="CU610" s="11"/>
      <c r="CV610" s="11"/>
      <c r="CW610" s="11"/>
      <c r="CX610" s="11"/>
      <c r="CY610" s="11"/>
      <c r="CZ610" s="11"/>
      <c r="DA610" s="11"/>
      <c r="DB610" s="11"/>
      <c r="DC610" s="11"/>
      <c r="DD610" s="11"/>
      <c r="DE610" s="11"/>
      <c r="DF610" s="11"/>
      <c r="DG610" s="11"/>
    </row>
    <row r="611" ht="15.75" customHeight="1">
      <c r="CT611" s="11"/>
      <c r="CU611" s="11"/>
      <c r="CV611" s="11"/>
      <c r="CW611" s="11"/>
      <c r="CX611" s="11"/>
      <c r="CY611" s="11"/>
      <c r="CZ611" s="11"/>
      <c r="DA611" s="11"/>
      <c r="DB611" s="11"/>
      <c r="DC611" s="11"/>
      <c r="DD611" s="11"/>
      <c r="DE611" s="11"/>
      <c r="DF611" s="11"/>
      <c r="DG611" s="11"/>
    </row>
    <row r="612" ht="15.75" customHeight="1">
      <c r="CT612" s="11"/>
      <c r="CU612" s="11"/>
      <c r="CV612" s="11"/>
      <c r="CW612" s="11"/>
      <c r="CX612" s="11"/>
      <c r="CY612" s="11"/>
      <c r="CZ612" s="11"/>
      <c r="DA612" s="11"/>
      <c r="DB612" s="11"/>
      <c r="DC612" s="11"/>
      <c r="DD612" s="11"/>
      <c r="DE612" s="11"/>
      <c r="DF612" s="11"/>
      <c r="DG612" s="11"/>
    </row>
    <row r="613" ht="15.75" customHeight="1">
      <c r="CT613" s="11"/>
      <c r="CU613" s="11"/>
      <c r="CV613" s="11"/>
      <c r="CW613" s="11"/>
      <c r="CX613" s="11"/>
      <c r="CY613" s="11"/>
      <c r="CZ613" s="11"/>
      <c r="DA613" s="11"/>
      <c r="DB613" s="11"/>
      <c r="DC613" s="11"/>
      <c r="DD613" s="11"/>
      <c r="DE613" s="11"/>
      <c r="DF613" s="11"/>
      <c r="DG613" s="11"/>
    </row>
    <row r="614" ht="15.75" customHeight="1">
      <c r="CT614" s="11"/>
      <c r="CU614" s="11"/>
      <c r="CV614" s="11"/>
      <c r="CW614" s="11"/>
      <c r="CX614" s="11"/>
      <c r="CY614" s="11"/>
      <c r="CZ614" s="11"/>
      <c r="DA614" s="11"/>
      <c r="DB614" s="11"/>
      <c r="DC614" s="11"/>
      <c r="DD614" s="11"/>
      <c r="DE614" s="11"/>
      <c r="DF614" s="11"/>
      <c r="DG614" s="11"/>
    </row>
    <row r="615" ht="15.75" customHeight="1">
      <c r="CT615" s="11"/>
      <c r="CU615" s="11"/>
      <c r="CV615" s="11"/>
      <c r="CW615" s="11"/>
      <c r="CX615" s="11"/>
      <c r="CY615" s="11"/>
      <c r="CZ615" s="11"/>
      <c r="DA615" s="11"/>
      <c r="DB615" s="11"/>
      <c r="DC615" s="11"/>
      <c r="DD615" s="11"/>
      <c r="DE615" s="11"/>
      <c r="DF615" s="11"/>
      <c r="DG615" s="11"/>
    </row>
    <row r="616" ht="15.75" customHeight="1">
      <c r="CT616" s="11"/>
      <c r="CU616" s="11"/>
      <c r="CV616" s="11"/>
      <c r="CW616" s="11"/>
      <c r="CX616" s="11"/>
      <c r="CY616" s="11"/>
      <c r="CZ616" s="11"/>
      <c r="DA616" s="11"/>
      <c r="DB616" s="11"/>
      <c r="DC616" s="11"/>
      <c r="DD616" s="11"/>
      <c r="DE616" s="11"/>
      <c r="DF616" s="11"/>
      <c r="DG616" s="11"/>
    </row>
    <row r="617" ht="15.75" customHeight="1">
      <c r="CT617" s="11"/>
      <c r="CU617" s="11"/>
      <c r="CV617" s="11"/>
      <c r="CW617" s="11"/>
      <c r="CX617" s="11"/>
      <c r="CY617" s="11"/>
      <c r="CZ617" s="11"/>
      <c r="DA617" s="11"/>
      <c r="DB617" s="11"/>
      <c r="DC617" s="11"/>
      <c r="DD617" s="11"/>
      <c r="DE617" s="11"/>
      <c r="DF617" s="11"/>
      <c r="DG617" s="11"/>
    </row>
    <row r="618" ht="15.75" customHeight="1">
      <c r="CT618" s="11"/>
      <c r="CU618" s="11"/>
      <c r="CV618" s="11"/>
      <c r="CW618" s="11"/>
      <c r="CX618" s="11"/>
      <c r="CY618" s="11"/>
      <c r="CZ618" s="11"/>
      <c r="DA618" s="11"/>
      <c r="DB618" s="11"/>
      <c r="DC618" s="11"/>
      <c r="DD618" s="11"/>
      <c r="DE618" s="11"/>
      <c r="DF618" s="11"/>
      <c r="DG618" s="11"/>
    </row>
    <row r="619" ht="15.75" customHeight="1">
      <c r="CT619" s="11"/>
      <c r="CU619" s="11"/>
      <c r="CV619" s="11"/>
      <c r="CW619" s="11"/>
      <c r="CX619" s="11"/>
      <c r="CY619" s="11"/>
      <c r="CZ619" s="11"/>
      <c r="DA619" s="11"/>
      <c r="DB619" s="11"/>
      <c r="DC619" s="11"/>
      <c r="DD619" s="11"/>
      <c r="DE619" s="11"/>
      <c r="DF619" s="11"/>
      <c r="DG619" s="11"/>
    </row>
    <row r="620" ht="15.75" customHeight="1">
      <c r="CT620" s="11"/>
      <c r="CU620" s="11"/>
      <c r="CV620" s="11"/>
      <c r="CW620" s="11"/>
      <c r="CX620" s="11"/>
      <c r="CY620" s="11"/>
      <c r="CZ620" s="11"/>
      <c r="DA620" s="11"/>
      <c r="DB620" s="11"/>
      <c r="DC620" s="11"/>
      <c r="DD620" s="11"/>
      <c r="DE620" s="11"/>
      <c r="DF620" s="11"/>
      <c r="DG620" s="11"/>
    </row>
    <row r="621" ht="15.75" customHeight="1">
      <c r="CT621" s="11"/>
      <c r="CU621" s="11"/>
      <c r="CV621" s="11"/>
      <c r="CW621" s="11"/>
      <c r="CX621" s="11"/>
      <c r="CY621" s="11"/>
      <c r="CZ621" s="11"/>
      <c r="DA621" s="11"/>
      <c r="DB621" s="11"/>
      <c r="DC621" s="11"/>
      <c r="DD621" s="11"/>
      <c r="DE621" s="11"/>
      <c r="DF621" s="11"/>
      <c r="DG621" s="11"/>
    </row>
    <row r="622" ht="15.75" customHeight="1">
      <c r="CT622" s="11"/>
      <c r="CU622" s="11"/>
      <c r="CV622" s="11"/>
      <c r="CW622" s="11"/>
      <c r="CX622" s="11"/>
      <c r="CY622" s="11"/>
      <c r="CZ622" s="11"/>
      <c r="DA622" s="11"/>
      <c r="DB622" s="11"/>
      <c r="DC622" s="11"/>
      <c r="DD622" s="11"/>
      <c r="DE622" s="11"/>
      <c r="DF622" s="11"/>
      <c r="DG622" s="11"/>
    </row>
    <row r="623" ht="15.75" customHeight="1">
      <c r="CT623" s="11"/>
      <c r="CU623" s="11"/>
      <c r="CV623" s="11"/>
      <c r="CW623" s="11"/>
      <c r="CX623" s="11"/>
      <c r="CY623" s="11"/>
      <c r="CZ623" s="11"/>
      <c r="DA623" s="11"/>
      <c r="DB623" s="11"/>
      <c r="DC623" s="11"/>
      <c r="DD623" s="11"/>
      <c r="DE623" s="11"/>
      <c r="DF623" s="11"/>
      <c r="DG623" s="11"/>
    </row>
    <row r="624" ht="15.75" customHeight="1">
      <c r="CT624" s="11"/>
      <c r="CU624" s="11"/>
      <c r="CV624" s="11"/>
      <c r="CW624" s="11"/>
      <c r="CX624" s="11"/>
      <c r="CY624" s="11"/>
      <c r="CZ624" s="11"/>
      <c r="DA624" s="11"/>
      <c r="DB624" s="11"/>
      <c r="DC624" s="11"/>
      <c r="DD624" s="11"/>
      <c r="DE624" s="11"/>
      <c r="DF624" s="11"/>
      <c r="DG624" s="11"/>
    </row>
    <row r="625" ht="15.75" customHeight="1">
      <c r="CT625" s="11"/>
      <c r="CU625" s="11"/>
      <c r="CV625" s="11"/>
      <c r="CW625" s="11"/>
      <c r="CX625" s="11"/>
      <c r="CY625" s="11"/>
      <c r="CZ625" s="11"/>
      <c r="DA625" s="11"/>
      <c r="DB625" s="11"/>
      <c r="DC625" s="11"/>
      <c r="DD625" s="11"/>
      <c r="DE625" s="11"/>
      <c r="DF625" s="11"/>
      <c r="DG625" s="11"/>
    </row>
    <row r="626" ht="15.75" customHeight="1">
      <c r="CT626" s="11"/>
      <c r="CU626" s="11"/>
      <c r="CV626" s="11"/>
      <c r="CW626" s="11"/>
      <c r="CX626" s="11"/>
      <c r="CY626" s="11"/>
      <c r="CZ626" s="11"/>
      <c r="DA626" s="11"/>
      <c r="DB626" s="11"/>
      <c r="DC626" s="11"/>
      <c r="DD626" s="11"/>
      <c r="DE626" s="11"/>
      <c r="DF626" s="11"/>
      <c r="DG626" s="11"/>
    </row>
    <row r="627" ht="15.75" customHeight="1">
      <c r="CT627" s="11"/>
      <c r="CU627" s="11"/>
      <c r="CV627" s="11"/>
      <c r="CW627" s="11"/>
      <c r="CX627" s="11"/>
      <c r="CY627" s="11"/>
      <c r="CZ627" s="11"/>
      <c r="DA627" s="11"/>
      <c r="DB627" s="11"/>
      <c r="DC627" s="11"/>
      <c r="DD627" s="11"/>
      <c r="DE627" s="11"/>
      <c r="DF627" s="11"/>
      <c r="DG627" s="11"/>
    </row>
    <row r="628" ht="15.75" customHeight="1">
      <c r="CT628" s="11"/>
      <c r="CU628" s="11"/>
      <c r="CV628" s="11"/>
      <c r="CW628" s="11"/>
      <c r="CX628" s="11"/>
      <c r="CY628" s="11"/>
      <c r="CZ628" s="11"/>
      <c r="DA628" s="11"/>
      <c r="DB628" s="11"/>
      <c r="DC628" s="11"/>
      <c r="DD628" s="11"/>
      <c r="DE628" s="11"/>
      <c r="DF628" s="11"/>
      <c r="DG628" s="11"/>
    </row>
    <row r="629" ht="15.75" customHeight="1">
      <c r="CT629" s="11"/>
      <c r="CU629" s="11"/>
      <c r="CV629" s="11"/>
      <c r="CW629" s="11"/>
      <c r="CX629" s="11"/>
      <c r="CY629" s="11"/>
      <c r="CZ629" s="11"/>
      <c r="DA629" s="11"/>
      <c r="DB629" s="11"/>
      <c r="DC629" s="11"/>
      <c r="DD629" s="11"/>
      <c r="DE629" s="11"/>
      <c r="DF629" s="11"/>
      <c r="DG629" s="11"/>
    </row>
    <row r="630" ht="15.75" customHeight="1">
      <c r="CT630" s="11"/>
      <c r="CU630" s="11"/>
      <c r="CV630" s="11"/>
      <c r="CW630" s="11"/>
      <c r="CX630" s="11"/>
      <c r="CY630" s="11"/>
      <c r="CZ630" s="11"/>
      <c r="DA630" s="11"/>
      <c r="DB630" s="11"/>
      <c r="DC630" s="11"/>
      <c r="DD630" s="11"/>
      <c r="DE630" s="11"/>
      <c r="DF630" s="11"/>
      <c r="DG630" s="11"/>
    </row>
    <row r="631" ht="15.75" customHeight="1">
      <c r="CT631" s="11"/>
      <c r="CU631" s="11"/>
      <c r="CV631" s="11"/>
      <c r="CW631" s="11"/>
      <c r="CX631" s="11"/>
      <c r="CY631" s="11"/>
      <c r="CZ631" s="11"/>
      <c r="DA631" s="11"/>
      <c r="DB631" s="11"/>
      <c r="DC631" s="11"/>
      <c r="DD631" s="11"/>
      <c r="DE631" s="11"/>
      <c r="DF631" s="11"/>
      <c r="DG631" s="11"/>
    </row>
    <row r="632" ht="15.75" customHeight="1">
      <c r="CT632" s="11"/>
      <c r="CU632" s="11"/>
      <c r="CV632" s="11"/>
      <c r="CW632" s="11"/>
      <c r="CX632" s="11"/>
      <c r="CY632" s="11"/>
      <c r="CZ632" s="11"/>
      <c r="DA632" s="11"/>
      <c r="DB632" s="11"/>
      <c r="DC632" s="11"/>
      <c r="DD632" s="11"/>
      <c r="DE632" s="11"/>
      <c r="DF632" s="11"/>
      <c r="DG632" s="11"/>
    </row>
    <row r="633" ht="15.75" customHeight="1">
      <c r="CT633" s="11"/>
      <c r="CU633" s="11"/>
      <c r="CV633" s="11"/>
      <c r="CW633" s="11"/>
      <c r="CX633" s="11"/>
      <c r="CY633" s="11"/>
      <c r="CZ633" s="11"/>
      <c r="DA633" s="11"/>
      <c r="DB633" s="11"/>
      <c r="DC633" s="11"/>
      <c r="DD633" s="11"/>
      <c r="DE633" s="11"/>
      <c r="DF633" s="11"/>
      <c r="DG633" s="11"/>
    </row>
    <row r="634" ht="15.75" customHeight="1">
      <c r="CT634" s="11"/>
      <c r="CU634" s="11"/>
      <c r="CV634" s="11"/>
      <c r="CW634" s="11"/>
      <c r="CX634" s="11"/>
      <c r="CY634" s="11"/>
      <c r="CZ634" s="11"/>
      <c r="DA634" s="11"/>
      <c r="DB634" s="11"/>
      <c r="DC634" s="11"/>
      <c r="DD634" s="11"/>
      <c r="DE634" s="11"/>
      <c r="DF634" s="11"/>
      <c r="DG634" s="11"/>
    </row>
    <row r="635" ht="15.75" customHeight="1">
      <c r="CT635" s="11"/>
      <c r="CU635" s="11"/>
      <c r="CV635" s="11"/>
      <c r="CW635" s="11"/>
      <c r="CX635" s="11"/>
      <c r="CY635" s="11"/>
      <c r="CZ635" s="11"/>
      <c r="DA635" s="11"/>
      <c r="DB635" s="11"/>
      <c r="DC635" s="11"/>
      <c r="DD635" s="11"/>
      <c r="DE635" s="11"/>
      <c r="DF635" s="11"/>
      <c r="DG635" s="11"/>
    </row>
    <row r="636" ht="15.75" customHeight="1">
      <c r="CT636" s="11"/>
      <c r="CU636" s="11"/>
      <c r="CV636" s="11"/>
      <c r="CW636" s="11"/>
      <c r="CX636" s="11"/>
      <c r="CY636" s="11"/>
      <c r="CZ636" s="11"/>
      <c r="DA636" s="11"/>
      <c r="DB636" s="11"/>
      <c r="DC636" s="11"/>
      <c r="DD636" s="11"/>
      <c r="DE636" s="11"/>
      <c r="DF636" s="11"/>
      <c r="DG636" s="11"/>
    </row>
    <row r="637" ht="15.75" customHeight="1">
      <c r="CT637" s="11"/>
      <c r="CU637" s="11"/>
      <c r="CV637" s="11"/>
      <c r="CW637" s="11"/>
      <c r="CX637" s="11"/>
      <c r="CY637" s="11"/>
      <c r="CZ637" s="11"/>
      <c r="DA637" s="11"/>
      <c r="DB637" s="11"/>
      <c r="DC637" s="11"/>
      <c r="DD637" s="11"/>
      <c r="DE637" s="11"/>
      <c r="DF637" s="11"/>
      <c r="DG637" s="11"/>
    </row>
    <row r="638" ht="15.75" customHeight="1">
      <c r="CT638" s="11"/>
      <c r="CU638" s="11"/>
      <c r="CV638" s="11"/>
      <c r="CW638" s="11"/>
      <c r="CX638" s="11"/>
      <c r="CY638" s="11"/>
      <c r="CZ638" s="11"/>
      <c r="DA638" s="11"/>
      <c r="DB638" s="11"/>
      <c r="DC638" s="11"/>
      <c r="DD638" s="11"/>
      <c r="DE638" s="11"/>
      <c r="DF638" s="11"/>
      <c r="DG638" s="11"/>
    </row>
    <row r="639" ht="15.75" customHeight="1">
      <c r="CT639" s="11"/>
      <c r="CU639" s="11"/>
      <c r="CV639" s="11"/>
      <c r="CW639" s="11"/>
      <c r="CX639" s="11"/>
      <c r="CY639" s="11"/>
      <c r="CZ639" s="11"/>
      <c r="DA639" s="11"/>
      <c r="DB639" s="11"/>
      <c r="DC639" s="11"/>
      <c r="DD639" s="11"/>
      <c r="DE639" s="11"/>
      <c r="DF639" s="11"/>
      <c r="DG639" s="11"/>
    </row>
    <row r="640" ht="15.75" customHeight="1">
      <c r="CT640" s="11"/>
      <c r="CU640" s="11"/>
      <c r="CV640" s="11"/>
      <c r="CW640" s="11"/>
      <c r="CX640" s="11"/>
      <c r="CY640" s="11"/>
      <c r="CZ640" s="11"/>
      <c r="DA640" s="11"/>
      <c r="DB640" s="11"/>
      <c r="DC640" s="11"/>
      <c r="DD640" s="11"/>
      <c r="DE640" s="11"/>
      <c r="DF640" s="11"/>
      <c r="DG640" s="11"/>
    </row>
    <row r="641" ht="15.75" customHeight="1">
      <c r="CT641" s="11"/>
      <c r="CU641" s="11"/>
      <c r="CV641" s="11"/>
      <c r="CW641" s="11"/>
      <c r="CX641" s="11"/>
      <c r="CY641" s="11"/>
      <c r="CZ641" s="11"/>
      <c r="DA641" s="11"/>
      <c r="DB641" s="11"/>
      <c r="DC641" s="11"/>
      <c r="DD641" s="11"/>
      <c r="DE641" s="11"/>
      <c r="DF641" s="11"/>
      <c r="DG641" s="11"/>
    </row>
    <row r="642" ht="15.75" customHeight="1">
      <c r="CT642" s="11"/>
      <c r="CU642" s="11"/>
      <c r="CV642" s="11"/>
      <c r="CW642" s="11"/>
      <c r="CX642" s="11"/>
      <c r="CY642" s="11"/>
      <c r="CZ642" s="11"/>
      <c r="DA642" s="11"/>
      <c r="DB642" s="11"/>
      <c r="DC642" s="11"/>
      <c r="DD642" s="11"/>
      <c r="DE642" s="11"/>
      <c r="DF642" s="11"/>
      <c r="DG642" s="11"/>
    </row>
    <row r="643" ht="15.75" customHeight="1">
      <c r="CT643" s="11"/>
      <c r="CU643" s="11"/>
      <c r="CV643" s="11"/>
      <c r="CW643" s="11"/>
      <c r="CX643" s="11"/>
      <c r="CY643" s="11"/>
      <c r="CZ643" s="11"/>
      <c r="DA643" s="11"/>
      <c r="DB643" s="11"/>
      <c r="DC643" s="11"/>
      <c r="DD643" s="11"/>
      <c r="DE643" s="11"/>
      <c r="DF643" s="11"/>
      <c r="DG643" s="11"/>
    </row>
    <row r="644" ht="15.75" customHeight="1">
      <c r="CT644" s="11"/>
      <c r="CU644" s="11"/>
      <c r="CV644" s="11"/>
      <c r="CW644" s="11"/>
      <c r="CX644" s="11"/>
      <c r="CY644" s="11"/>
      <c r="CZ644" s="11"/>
      <c r="DA644" s="11"/>
      <c r="DB644" s="11"/>
      <c r="DC644" s="11"/>
      <c r="DD644" s="11"/>
      <c r="DE644" s="11"/>
      <c r="DF644" s="11"/>
      <c r="DG644" s="11"/>
    </row>
    <row r="645" ht="15.75" customHeight="1">
      <c r="CT645" s="11"/>
      <c r="CU645" s="11"/>
      <c r="CV645" s="11"/>
      <c r="CW645" s="11"/>
      <c r="CX645" s="11"/>
      <c r="CY645" s="11"/>
      <c r="CZ645" s="11"/>
      <c r="DA645" s="11"/>
      <c r="DB645" s="11"/>
      <c r="DC645" s="11"/>
      <c r="DD645" s="11"/>
      <c r="DE645" s="11"/>
      <c r="DF645" s="11"/>
      <c r="DG645" s="11"/>
    </row>
    <row r="646" ht="15.75" customHeight="1">
      <c r="CT646" s="11"/>
      <c r="CU646" s="11"/>
      <c r="CV646" s="11"/>
      <c r="CW646" s="11"/>
      <c r="CX646" s="11"/>
      <c r="CY646" s="11"/>
      <c r="CZ646" s="11"/>
      <c r="DA646" s="11"/>
      <c r="DB646" s="11"/>
      <c r="DC646" s="11"/>
      <c r="DD646" s="11"/>
      <c r="DE646" s="11"/>
      <c r="DF646" s="11"/>
      <c r="DG646" s="11"/>
    </row>
    <row r="647" ht="15.75" customHeight="1">
      <c r="CT647" s="11"/>
      <c r="CU647" s="11"/>
      <c r="CV647" s="11"/>
      <c r="CW647" s="11"/>
      <c r="CX647" s="11"/>
      <c r="CY647" s="11"/>
      <c r="CZ647" s="11"/>
      <c r="DA647" s="11"/>
      <c r="DB647" s="11"/>
      <c r="DC647" s="11"/>
      <c r="DD647" s="11"/>
      <c r="DE647" s="11"/>
      <c r="DF647" s="11"/>
      <c r="DG647" s="11"/>
    </row>
    <row r="648" ht="15.75" customHeight="1">
      <c r="CT648" s="11"/>
      <c r="CU648" s="11"/>
      <c r="CV648" s="11"/>
      <c r="CW648" s="11"/>
      <c r="CX648" s="11"/>
      <c r="CY648" s="11"/>
      <c r="CZ648" s="11"/>
      <c r="DA648" s="11"/>
      <c r="DB648" s="11"/>
      <c r="DC648" s="11"/>
      <c r="DD648" s="11"/>
      <c r="DE648" s="11"/>
      <c r="DF648" s="11"/>
      <c r="DG648" s="11"/>
    </row>
    <row r="649" ht="15.75" customHeight="1">
      <c r="CT649" s="11"/>
      <c r="CU649" s="11"/>
      <c r="CV649" s="11"/>
      <c r="CW649" s="11"/>
      <c r="CX649" s="11"/>
      <c r="CY649" s="11"/>
      <c r="CZ649" s="11"/>
      <c r="DA649" s="11"/>
      <c r="DB649" s="11"/>
      <c r="DC649" s="11"/>
      <c r="DD649" s="11"/>
      <c r="DE649" s="11"/>
      <c r="DF649" s="11"/>
      <c r="DG649" s="11"/>
    </row>
    <row r="650" ht="15.75" customHeight="1">
      <c r="CT650" s="11"/>
      <c r="CU650" s="11"/>
      <c r="CV650" s="11"/>
      <c r="CW650" s="11"/>
      <c r="CX650" s="11"/>
      <c r="CY650" s="11"/>
      <c r="CZ650" s="11"/>
      <c r="DA650" s="11"/>
      <c r="DB650" s="11"/>
      <c r="DC650" s="11"/>
      <c r="DD650" s="11"/>
      <c r="DE650" s="11"/>
      <c r="DF650" s="11"/>
      <c r="DG650" s="11"/>
    </row>
    <row r="651" ht="15.75" customHeight="1">
      <c r="CT651" s="11"/>
      <c r="CU651" s="11"/>
      <c r="CV651" s="11"/>
      <c r="CW651" s="11"/>
      <c r="CX651" s="11"/>
      <c r="CY651" s="11"/>
      <c r="CZ651" s="11"/>
      <c r="DA651" s="11"/>
      <c r="DB651" s="11"/>
      <c r="DC651" s="11"/>
      <c r="DD651" s="11"/>
      <c r="DE651" s="11"/>
      <c r="DF651" s="11"/>
      <c r="DG651" s="11"/>
    </row>
    <row r="652" ht="15.75" customHeight="1">
      <c r="CT652" s="11"/>
      <c r="CU652" s="11"/>
      <c r="CV652" s="11"/>
      <c r="CW652" s="11"/>
      <c r="CX652" s="11"/>
      <c r="CY652" s="11"/>
      <c r="CZ652" s="11"/>
      <c r="DA652" s="11"/>
      <c r="DB652" s="11"/>
      <c r="DC652" s="11"/>
      <c r="DD652" s="11"/>
      <c r="DE652" s="11"/>
      <c r="DF652" s="11"/>
      <c r="DG652" s="11"/>
    </row>
    <row r="653" ht="15.75" customHeight="1">
      <c r="CT653" s="11"/>
      <c r="CU653" s="11"/>
      <c r="CV653" s="11"/>
      <c r="CW653" s="11"/>
      <c r="CX653" s="11"/>
      <c r="CY653" s="11"/>
      <c r="CZ653" s="11"/>
      <c r="DA653" s="11"/>
      <c r="DB653" s="11"/>
      <c r="DC653" s="11"/>
      <c r="DD653" s="11"/>
      <c r="DE653" s="11"/>
      <c r="DF653" s="11"/>
      <c r="DG653" s="11"/>
    </row>
    <row r="654" ht="15.75" customHeight="1">
      <c r="CT654" s="11"/>
      <c r="CU654" s="11"/>
      <c r="CV654" s="11"/>
      <c r="CW654" s="11"/>
      <c r="CX654" s="11"/>
      <c r="CY654" s="11"/>
      <c r="CZ654" s="11"/>
      <c r="DA654" s="11"/>
      <c r="DB654" s="11"/>
      <c r="DC654" s="11"/>
      <c r="DD654" s="11"/>
      <c r="DE654" s="11"/>
      <c r="DF654" s="11"/>
      <c r="DG654" s="11"/>
    </row>
    <row r="655" ht="15.75" customHeight="1">
      <c r="CT655" s="11"/>
      <c r="CU655" s="11"/>
      <c r="CV655" s="11"/>
      <c r="CW655" s="11"/>
      <c r="CX655" s="11"/>
      <c r="CY655" s="11"/>
      <c r="CZ655" s="11"/>
      <c r="DA655" s="11"/>
      <c r="DB655" s="11"/>
      <c r="DC655" s="11"/>
      <c r="DD655" s="11"/>
      <c r="DE655" s="11"/>
      <c r="DF655" s="11"/>
      <c r="DG655" s="11"/>
    </row>
    <row r="656" ht="15.75" customHeight="1">
      <c r="CT656" s="11"/>
      <c r="CU656" s="11"/>
      <c r="CV656" s="11"/>
      <c r="CW656" s="11"/>
      <c r="CX656" s="11"/>
      <c r="CY656" s="11"/>
      <c r="CZ656" s="11"/>
      <c r="DA656" s="11"/>
      <c r="DB656" s="11"/>
      <c r="DC656" s="11"/>
      <c r="DD656" s="11"/>
      <c r="DE656" s="11"/>
      <c r="DF656" s="11"/>
      <c r="DG656" s="11"/>
    </row>
    <row r="657" ht="15.75" customHeight="1">
      <c r="CT657" s="11"/>
      <c r="CU657" s="11"/>
      <c r="CV657" s="11"/>
      <c r="CW657" s="11"/>
      <c r="CX657" s="11"/>
      <c r="CY657" s="11"/>
      <c r="CZ657" s="11"/>
      <c r="DA657" s="11"/>
      <c r="DB657" s="11"/>
      <c r="DC657" s="11"/>
      <c r="DD657" s="11"/>
      <c r="DE657" s="11"/>
      <c r="DF657" s="11"/>
      <c r="DG657" s="11"/>
    </row>
    <row r="658" ht="15.75" customHeight="1">
      <c r="CT658" s="11"/>
      <c r="CU658" s="11"/>
      <c r="CV658" s="11"/>
      <c r="CW658" s="11"/>
      <c r="CX658" s="11"/>
      <c r="CY658" s="11"/>
      <c r="CZ658" s="11"/>
      <c r="DA658" s="11"/>
      <c r="DB658" s="11"/>
      <c r="DC658" s="11"/>
      <c r="DD658" s="11"/>
      <c r="DE658" s="11"/>
      <c r="DF658" s="11"/>
      <c r="DG658" s="11"/>
    </row>
    <row r="659" ht="15.75" customHeight="1">
      <c r="CT659" s="11"/>
      <c r="CU659" s="11"/>
      <c r="CV659" s="11"/>
      <c r="CW659" s="11"/>
      <c r="CX659" s="11"/>
      <c r="CY659" s="11"/>
      <c r="CZ659" s="11"/>
      <c r="DA659" s="11"/>
      <c r="DB659" s="11"/>
      <c r="DC659" s="11"/>
      <c r="DD659" s="11"/>
      <c r="DE659" s="11"/>
      <c r="DF659" s="11"/>
      <c r="DG659" s="11"/>
    </row>
    <row r="660" ht="15.75" customHeight="1">
      <c r="CT660" s="11"/>
      <c r="CU660" s="11"/>
      <c r="CV660" s="11"/>
      <c r="CW660" s="11"/>
      <c r="CX660" s="11"/>
      <c r="CY660" s="11"/>
      <c r="CZ660" s="11"/>
      <c r="DA660" s="11"/>
      <c r="DB660" s="11"/>
      <c r="DC660" s="11"/>
      <c r="DD660" s="11"/>
      <c r="DE660" s="11"/>
      <c r="DF660" s="11"/>
      <c r="DG660" s="11"/>
    </row>
    <row r="661" ht="15.75" customHeight="1">
      <c r="CT661" s="11"/>
      <c r="CU661" s="11"/>
      <c r="CV661" s="11"/>
      <c r="CW661" s="11"/>
      <c r="CX661" s="11"/>
      <c r="CY661" s="11"/>
      <c r="CZ661" s="11"/>
      <c r="DA661" s="11"/>
      <c r="DB661" s="11"/>
      <c r="DC661" s="11"/>
      <c r="DD661" s="11"/>
      <c r="DE661" s="11"/>
      <c r="DF661" s="11"/>
      <c r="DG661" s="11"/>
    </row>
    <row r="662" ht="15.75" customHeight="1">
      <c r="CT662" s="11"/>
      <c r="CU662" s="11"/>
      <c r="CV662" s="11"/>
      <c r="CW662" s="11"/>
      <c r="CX662" s="11"/>
      <c r="CY662" s="11"/>
      <c r="CZ662" s="11"/>
      <c r="DA662" s="11"/>
      <c r="DB662" s="11"/>
      <c r="DC662" s="11"/>
      <c r="DD662" s="11"/>
      <c r="DE662" s="11"/>
      <c r="DF662" s="11"/>
      <c r="DG662" s="11"/>
    </row>
    <row r="663" ht="15.75" customHeight="1">
      <c r="CT663" s="11"/>
      <c r="CU663" s="11"/>
      <c r="CV663" s="11"/>
      <c r="CW663" s="11"/>
      <c r="CX663" s="11"/>
      <c r="CY663" s="11"/>
      <c r="CZ663" s="11"/>
      <c r="DA663" s="11"/>
      <c r="DB663" s="11"/>
      <c r="DC663" s="11"/>
      <c r="DD663" s="11"/>
      <c r="DE663" s="11"/>
      <c r="DF663" s="11"/>
      <c r="DG663" s="11"/>
    </row>
    <row r="664" ht="15.75" customHeight="1">
      <c r="CT664" s="11"/>
      <c r="CU664" s="11"/>
      <c r="CV664" s="11"/>
      <c r="CW664" s="11"/>
      <c r="CX664" s="11"/>
      <c r="CY664" s="11"/>
      <c r="CZ664" s="11"/>
      <c r="DA664" s="11"/>
      <c r="DB664" s="11"/>
      <c r="DC664" s="11"/>
      <c r="DD664" s="11"/>
      <c r="DE664" s="11"/>
      <c r="DF664" s="11"/>
      <c r="DG664" s="11"/>
    </row>
    <row r="665" ht="15.75" customHeight="1">
      <c r="CT665" s="11"/>
      <c r="CU665" s="11"/>
      <c r="CV665" s="11"/>
      <c r="CW665" s="11"/>
      <c r="CX665" s="11"/>
      <c r="CY665" s="11"/>
      <c r="CZ665" s="11"/>
      <c r="DA665" s="11"/>
      <c r="DB665" s="11"/>
      <c r="DC665" s="11"/>
      <c r="DD665" s="11"/>
      <c r="DE665" s="11"/>
      <c r="DF665" s="11"/>
      <c r="DG665" s="11"/>
    </row>
    <row r="666" ht="15.75" customHeight="1">
      <c r="CT666" s="11"/>
      <c r="CU666" s="11"/>
      <c r="CV666" s="11"/>
      <c r="CW666" s="11"/>
      <c r="CX666" s="11"/>
      <c r="CY666" s="11"/>
      <c r="CZ666" s="11"/>
      <c r="DA666" s="11"/>
      <c r="DB666" s="11"/>
      <c r="DC666" s="11"/>
      <c r="DD666" s="11"/>
      <c r="DE666" s="11"/>
      <c r="DF666" s="11"/>
      <c r="DG666" s="11"/>
    </row>
    <row r="667" ht="15.75" customHeight="1">
      <c r="CT667" s="11"/>
      <c r="CU667" s="11"/>
      <c r="CV667" s="11"/>
      <c r="CW667" s="11"/>
      <c r="CX667" s="11"/>
      <c r="CY667" s="11"/>
      <c r="CZ667" s="11"/>
      <c r="DA667" s="11"/>
      <c r="DB667" s="11"/>
      <c r="DC667" s="11"/>
      <c r="DD667" s="11"/>
      <c r="DE667" s="11"/>
      <c r="DF667" s="11"/>
      <c r="DG667" s="11"/>
    </row>
    <row r="668" ht="15.75" customHeight="1">
      <c r="CT668" s="11"/>
      <c r="CU668" s="11"/>
      <c r="CV668" s="11"/>
      <c r="CW668" s="11"/>
      <c r="CX668" s="11"/>
      <c r="CY668" s="11"/>
      <c r="CZ668" s="11"/>
      <c r="DA668" s="11"/>
      <c r="DB668" s="11"/>
      <c r="DC668" s="11"/>
      <c r="DD668" s="11"/>
      <c r="DE668" s="11"/>
      <c r="DF668" s="11"/>
      <c r="DG668" s="11"/>
    </row>
    <row r="669" ht="15.75" customHeight="1">
      <c r="CT669" s="11"/>
      <c r="CU669" s="11"/>
      <c r="CV669" s="11"/>
      <c r="CW669" s="11"/>
      <c r="CX669" s="11"/>
      <c r="CY669" s="11"/>
      <c r="CZ669" s="11"/>
      <c r="DA669" s="11"/>
      <c r="DB669" s="11"/>
      <c r="DC669" s="11"/>
      <c r="DD669" s="11"/>
      <c r="DE669" s="11"/>
      <c r="DF669" s="11"/>
      <c r="DG669" s="11"/>
    </row>
    <row r="670" ht="15.75" customHeight="1">
      <c r="CT670" s="11"/>
      <c r="CU670" s="11"/>
      <c r="CV670" s="11"/>
      <c r="CW670" s="11"/>
      <c r="CX670" s="11"/>
      <c r="CY670" s="11"/>
      <c r="CZ670" s="11"/>
      <c r="DA670" s="11"/>
      <c r="DB670" s="11"/>
      <c r="DC670" s="11"/>
      <c r="DD670" s="11"/>
      <c r="DE670" s="11"/>
      <c r="DF670" s="11"/>
      <c r="DG670" s="11"/>
    </row>
    <row r="671" ht="15.75" customHeight="1">
      <c r="CT671" s="11"/>
      <c r="CU671" s="11"/>
      <c r="CV671" s="11"/>
      <c r="CW671" s="11"/>
      <c r="CX671" s="11"/>
      <c r="CY671" s="11"/>
      <c r="CZ671" s="11"/>
      <c r="DA671" s="11"/>
      <c r="DB671" s="11"/>
      <c r="DC671" s="11"/>
      <c r="DD671" s="11"/>
      <c r="DE671" s="11"/>
      <c r="DF671" s="11"/>
      <c r="DG671" s="11"/>
    </row>
    <row r="672" ht="15.75" customHeight="1">
      <c r="CT672" s="11"/>
      <c r="CU672" s="11"/>
      <c r="CV672" s="11"/>
      <c r="CW672" s="11"/>
      <c r="CX672" s="11"/>
      <c r="CY672" s="11"/>
      <c r="CZ672" s="11"/>
      <c r="DA672" s="11"/>
      <c r="DB672" s="11"/>
      <c r="DC672" s="11"/>
      <c r="DD672" s="11"/>
      <c r="DE672" s="11"/>
      <c r="DF672" s="11"/>
      <c r="DG672" s="11"/>
    </row>
    <row r="673" ht="15.75" customHeight="1">
      <c r="CT673" s="11"/>
      <c r="CU673" s="11"/>
      <c r="CV673" s="11"/>
      <c r="CW673" s="11"/>
      <c r="CX673" s="11"/>
      <c r="CY673" s="11"/>
      <c r="CZ673" s="11"/>
      <c r="DA673" s="11"/>
      <c r="DB673" s="11"/>
      <c r="DC673" s="11"/>
      <c r="DD673" s="11"/>
      <c r="DE673" s="11"/>
      <c r="DF673" s="11"/>
      <c r="DG673" s="11"/>
    </row>
    <row r="674" ht="15.75" customHeight="1">
      <c r="CT674" s="11"/>
      <c r="CU674" s="11"/>
      <c r="CV674" s="11"/>
      <c r="CW674" s="11"/>
      <c r="CX674" s="11"/>
      <c r="CY674" s="11"/>
      <c r="CZ674" s="11"/>
      <c r="DA674" s="11"/>
      <c r="DB674" s="11"/>
      <c r="DC674" s="11"/>
      <c r="DD674" s="11"/>
      <c r="DE674" s="11"/>
      <c r="DF674" s="11"/>
      <c r="DG674" s="11"/>
    </row>
    <row r="675" ht="15.75" customHeight="1">
      <c r="CT675" s="11"/>
      <c r="CU675" s="11"/>
      <c r="CV675" s="11"/>
      <c r="CW675" s="11"/>
      <c r="CX675" s="11"/>
      <c r="CY675" s="11"/>
      <c r="CZ675" s="11"/>
      <c r="DA675" s="11"/>
      <c r="DB675" s="11"/>
      <c r="DC675" s="11"/>
      <c r="DD675" s="11"/>
      <c r="DE675" s="11"/>
      <c r="DF675" s="11"/>
      <c r="DG675" s="11"/>
    </row>
    <row r="676" ht="15.75" customHeight="1">
      <c r="CT676" s="11"/>
      <c r="CU676" s="11"/>
      <c r="CV676" s="11"/>
      <c r="CW676" s="11"/>
      <c r="CX676" s="11"/>
      <c r="CY676" s="11"/>
      <c r="CZ676" s="11"/>
      <c r="DA676" s="11"/>
      <c r="DB676" s="11"/>
      <c r="DC676" s="11"/>
      <c r="DD676" s="11"/>
      <c r="DE676" s="11"/>
      <c r="DF676" s="11"/>
      <c r="DG676" s="11"/>
    </row>
    <row r="677" ht="15.75" customHeight="1">
      <c r="CT677" s="11"/>
      <c r="CU677" s="11"/>
      <c r="CV677" s="11"/>
      <c r="CW677" s="11"/>
      <c r="CX677" s="11"/>
      <c r="CY677" s="11"/>
      <c r="CZ677" s="11"/>
      <c r="DA677" s="11"/>
      <c r="DB677" s="11"/>
      <c r="DC677" s="11"/>
      <c r="DD677" s="11"/>
      <c r="DE677" s="11"/>
      <c r="DF677" s="11"/>
      <c r="DG677" s="11"/>
    </row>
    <row r="678" ht="15.75" customHeight="1">
      <c r="CT678" s="11"/>
      <c r="CU678" s="11"/>
      <c r="CV678" s="11"/>
      <c r="CW678" s="11"/>
      <c r="CX678" s="11"/>
      <c r="CY678" s="11"/>
      <c r="CZ678" s="11"/>
      <c r="DA678" s="11"/>
      <c r="DB678" s="11"/>
      <c r="DC678" s="11"/>
      <c r="DD678" s="11"/>
      <c r="DE678" s="11"/>
      <c r="DF678" s="11"/>
      <c r="DG678" s="11"/>
    </row>
    <row r="679" ht="15.75" customHeight="1">
      <c r="CT679" s="11"/>
      <c r="CU679" s="11"/>
      <c r="CV679" s="11"/>
      <c r="CW679" s="11"/>
      <c r="CX679" s="11"/>
      <c r="CY679" s="11"/>
      <c r="CZ679" s="11"/>
      <c r="DA679" s="11"/>
      <c r="DB679" s="11"/>
      <c r="DC679" s="11"/>
      <c r="DD679" s="11"/>
      <c r="DE679" s="11"/>
      <c r="DF679" s="11"/>
      <c r="DG679" s="11"/>
    </row>
    <row r="680" ht="15.75" customHeight="1">
      <c r="CT680" s="11"/>
      <c r="CU680" s="11"/>
      <c r="CV680" s="11"/>
      <c r="CW680" s="11"/>
      <c r="CX680" s="11"/>
      <c r="CY680" s="11"/>
      <c r="CZ680" s="11"/>
      <c r="DA680" s="11"/>
      <c r="DB680" s="11"/>
      <c r="DC680" s="11"/>
      <c r="DD680" s="11"/>
      <c r="DE680" s="11"/>
      <c r="DF680" s="11"/>
      <c r="DG680" s="11"/>
    </row>
    <row r="681" ht="15.75" customHeight="1">
      <c r="CT681" s="11"/>
      <c r="CU681" s="11"/>
      <c r="CV681" s="11"/>
      <c r="CW681" s="11"/>
      <c r="CX681" s="11"/>
      <c r="CY681" s="11"/>
      <c r="CZ681" s="11"/>
      <c r="DA681" s="11"/>
      <c r="DB681" s="11"/>
      <c r="DC681" s="11"/>
      <c r="DD681" s="11"/>
      <c r="DE681" s="11"/>
      <c r="DF681" s="11"/>
      <c r="DG681" s="11"/>
    </row>
    <row r="682" ht="15.75" customHeight="1">
      <c r="CT682" s="11"/>
      <c r="CU682" s="11"/>
      <c r="CV682" s="11"/>
      <c r="CW682" s="11"/>
      <c r="CX682" s="11"/>
      <c r="CY682" s="11"/>
      <c r="CZ682" s="11"/>
      <c r="DA682" s="11"/>
      <c r="DB682" s="11"/>
      <c r="DC682" s="11"/>
      <c r="DD682" s="11"/>
      <c r="DE682" s="11"/>
      <c r="DF682" s="11"/>
      <c r="DG682" s="11"/>
    </row>
    <row r="683" ht="15.75" customHeight="1">
      <c r="CT683" s="11"/>
      <c r="CU683" s="11"/>
      <c r="CV683" s="11"/>
      <c r="CW683" s="11"/>
      <c r="CX683" s="11"/>
      <c r="CY683" s="11"/>
      <c r="CZ683" s="11"/>
      <c r="DA683" s="11"/>
      <c r="DB683" s="11"/>
      <c r="DC683" s="11"/>
      <c r="DD683" s="11"/>
      <c r="DE683" s="11"/>
      <c r="DF683" s="11"/>
      <c r="DG683" s="11"/>
    </row>
    <row r="684" ht="15.75" customHeight="1">
      <c r="CT684" s="11"/>
      <c r="CU684" s="11"/>
      <c r="CV684" s="11"/>
      <c r="CW684" s="11"/>
      <c r="CX684" s="11"/>
      <c r="CY684" s="11"/>
      <c r="CZ684" s="11"/>
      <c r="DA684" s="11"/>
      <c r="DB684" s="11"/>
      <c r="DC684" s="11"/>
      <c r="DD684" s="11"/>
      <c r="DE684" s="11"/>
      <c r="DF684" s="11"/>
      <c r="DG684" s="11"/>
    </row>
    <row r="685" ht="15.75" customHeight="1">
      <c r="CT685" s="11"/>
      <c r="CU685" s="11"/>
      <c r="CV685" s="11"/>
      <c r="CW685" s="11"/>
      <c r="CX685" s="11"/>
      <c r="CY685" s="11"/>
      <c r="CZ685" s="11"/>
      <c r="DA685" s="11"/>
      <c r="DB685" s="11"/>
      <c r="DC685" s="11"/>
      <c r="DD685" s="11"/>
      <c r="DE685" s="11"/>
      <c r="DF685" s="11"/>
      <c r="DG685" s="11"/>
    </row>
    <row r="686" ht="15.75" customHeight="1">
      <c r="CT686" s="11"/>
      <c r="CU686" s="11"/>
      <c r="CV686" s="11"/>
      <c r="CW686" s="11"/>
      <c r="CX686" s="11"/>
      <c r="CY686" s="11"/>
      <c r="CZ686" s="11"/>
      <c r="DA686" s="11"/>
      <c r="DB686" s="11"/>
      <c r="DC686" s="11"/>
      <c r="DD686" s="11"/>
      <c r="DE686" s="11"/>
      <c r="DF686" s="11"/>
      <c r="DG686" s="11"/>
    </row>
    <row r="687" ht="15.75" customHeight="1">
      <c r="CT687" s="11"/>
      <c r="CU687" s="11"/>
      <c r="CV687" s="11"/>
      <c r="CW687" s="11"/>
      <c r="CX687" s="11"/>
      <c r="CY687" s="11"/>
      <c r="CZ687" s="11"/>
      <c r="DA687" s="11"/>
      <c r="DB687" s="11"/>
      <c r="DC687" s="11"/>
      <c r="DD687" s="11"/>
      <c r="DE687" s="11"/>
      <c r="DF687" s="11"/>
      <c r="DG687" s="11"/>
    </row>
    <row r="688" ht="15.75" customHeight="1">
      <c r="CT688" s="11"/>
      <c r="CU688" s="11"/>
      <c r="CV688" s="11"/>
      <c r="CW688" s="11"/>
      <c r="CX688" s="11"/>
      <c r="CY688" s="11"/>
      <c r="CZ688" s="11"/>
      <c r="DA688" s="11"/>
      <c r="DB688" s="11"/>
      <c r="DC688" s="11"/>
      <c r="DD688" s="11"/>
      <c r="DE688" s="11"/>
      <c r="DF688" s="11"/>
      <c r="DG688" s="11"/>
    </row>
    <row r="689" ht="15.75" customHeight="1">
      <c r="CT689" s="11"/>
      <c r="CU689" s="11"/>
      <c r="CV689" s="11"/>
      <c r="CW689" s="11"/>
      <c r="CX689" s="11"/>
      <c r="CY689" s="11"/>
      <c r="CZ689" s="11"/>
      <c r="DA689" s="11"/>
      <c r="DB689" s="11"/>
      <c r="DC689" s="11"/>
      <c r="DD689" s="11"/>
      <c r="DE689" s="11"/>
      <c r="DF689" s="11"/>
      <c r="DG689" s="11"/>
    </row>
    <row r="690" ht="15.75" customHeight="1">
      <c r="CT690" s="11"/>
      <c r="CU690" s="11"/>
      <c r="CV690" s="11"/>
      <c r="CW690" s="11"/>
      <c r="CX690" s="11"/>
      <c r="CY690" s="11"/>
      <c r="CZ690" s="11"/>
      <c r="DA690" s="11"/>
      <c r="DB690" s="11"/>
      <c r="DC690" s="11"/>
      <c r="DD690" s="11"/>
      <c r="DE690" s="11"/>
      <c r="DF690" s="11"/>
      <c r="DG690" s="11"/>
    </row>
    <row r="691" ht="15.75" customHeight="1">
      <c r="CT691" s="11"/>
      <c r="CU691" s="11"/>
      <c r="CV691" s="11"/>
      <c r="CW691" s="11"/>
      <c r="CX691" s="11"/>
      <c r="CY691" s="11"/>
      <c r="CZ691" s="11"/>
      <c r="DA691" s="11"/>
      <c r="DB691" s="11"/>
      <c r="DC691" s="11"/>
      <c r="DD691" s="11"/>
      <c r="DE691" s="11"/>
      <c r="DF691" s="11"/>
      <c r="DG691" s="11"/>
    </row>
    <row r="692" ht="15.75" customHeight="1">
      <c r="CT692" s="11"/>
      <c r="CU692" s="11"/>
      <c r="CV692" s="11"/>
      <c r="CW692" s="11"/>
      <c r="CX692" s="11"/>
      <c r="CY692" s="11"/>
      <c r="CZ692" s="11"/>
      <c r="DA692" s="11"/>
      <c r="DB692" s="11"/>
      <c r="DC692" s="11"/>
      <c r="DD692" s="11"/>
      <c r="DE692" s="11"/>
      <c r="DF692" s="11"/>
      <c r="DG692" s="11"/>
    </row>
    <row r="693" ht="15.75" customHeight="1">
      <c r="CT693" s="11"/>
      <c r="CU693" s="11"/>
      <c r="CV693" s="11"/>
      <c r="CW693" s="11"/>
      <c r="CX693" s="11"/>
      <c r="CY693" s="11"/>
      <c r="CZ693" s="11"/>
      <c r="DA693" s="11"/>
      <c r="DB693" s="11"/>
      <c r="DC693" s="11"/>
      <c r="DD693" s="11"/>
      <c r="DE693" s="11"/>
      <c r="DF693" s="11"/>
      <c r="DG693" s="11"/>
    </row>
    <row r="694" ht="15.75" customHeight="1">
      <c r="CT694" s="11"/>
      <c r="CU694" s="11"/>
      <c r="CV694" s="11"/>
      <c r="CW694" s="11"/>
      <c r="CX694" s="11"/>
      <c r="CY694" s="11"/>
      <c r="CZ694" s="11"/>
      <c r="DA694" s="11"/>
      <c r="DB694" s="11"/>
      <c r="DC694" s="11"/>
      <c r="DD694" s="11"/>
      <c r="DE694" s="11"/>
      <c r="DF694" s="11"/>
      <c r="DG694" s="11"/>
    </row>
    <row r="695" ht="15.75" customHeight="1">
      <c r="CT695" s="11"/>
      <c r="CU695" s="11"/>
      <c r="CV695" s="11"/>
      <c r="CW695" s="11"/>
      <c r="CX695" s="11"/>
      <c r="CY695" s="11"/>
      <c r="CZ695" s="11"/>
      <c r="DA695" s="11"/>
      <c r="DB695" s="11"/>
      <c r="DC695" s="11"/>
      <c r="DD695" s="11"/>
      <c r="DE695" s="11"/>
      <c r="DF695" s="11"/>
      <c r="DG695" s="11"/>
    </row>
    <row r="696" ht="15.75" customHeight="1">
      <c r="CT696" s="11"/>
      <c r="CU696" s="11"/>
      <c r="CV696" s="11"/>
      <c r="CW696" s="11"/>
      <c r="CX696" s="11"/>
      <c r="CY696" s="11"/>
      <c r="CZ696" s="11"/>
      <c r="DA696" s="11"/>
      <c r="DB696" s="11"/>
      <c r="DC696" s="11"/>
      <c r="DD696" s="11"/>
      <c r="DE696" s="11"/>
      <c r="DF696" s="11"/>
      <c r="DG696" s="11"/>
    </row>
    <row r="697" ht="15.75" customHeight="1">
      <c r="CT697" s="11"/>
      <c r="CU697" s="11"/>
      <c r="CV697" s="11"/>
      <c r="CW697" s="11"/>
      <c r="CX697" s="11"/>
      <c r="CY697" s="11"/>
      <c r="CZ697" s="11"/>
      <c r="DA697" s="11"/>
      <c r="DB697" s="11"/>
      <c r="DC697" s="11"/>
      <c r="DD697" s="11"/>
      <c r="DE697" s="11"/>
      <c r="DF697" s="11"/>
      <c r="DG697" s="11"/>
    </row>
    <row r="698" ht="15.75" customHeight="1">
      <c r="CT698" s="11"/>
      <c r="CU698" s="11"/>
      <c r="CV698" s="11"/>
      <c r="CW698" s="11"/>
      <c r="CX698" s="11"/>
      <c r="CY698" s="11"/>
      <c r="CZ698" s="11"/>
      <c r="DA698" s="11"/>
      <c r="DB698" s="11"/>
      <c r="DC698" s="11"/>
      <c r="DD698" s="11"/>
      <c r="DE698" s="11"/>
      <c r="DF698" s="11"/>
      <c r="DG698" s="11"/>
    </row>
    <row r="699" ht="15.75" customHeight="1">
      <c r="CT699" s="11"/>
      <c r="CU699" s="11"/>
      <c r="CV699" s="11"/>
      <c r="CW699" s="11"/>
      <c r="CX699" s="11"/>
      <c r="CY699" s="11"/>
      <c r="CZ699" s="11"/>
      <c r="DA699" s="11"/>
      <c r="DB699" s="11"/>
      <c r="DC699" s="11"/>
      <c r="DD699" s="11"/>
      <c r="DE699" s="11"/>
      <c r="DF699" s="11"/>
      <c r="DG699" s="11"/>
    </row>
    <row r="700" ht="15.75" customHeight="1">
      <c r="CT700" s="11"/>
      <c r="CU700" s="11"/>
      <c r="CV700" s="11"/>
      <c r="CW700" s="11"/>
      <c r="CX700" s="11"/>
      <c r="CY700" s="11"/>
      <c r="CZ700" s="11"/>
      <c r="DA700" s="11"/>
      <c r="DB700" s="11"/>
      <c r="DC700" s="11"/>
      <c r="DD700" s="11"/>
      <c r="DE700" s="11"/>
      <c r="DF700" s="11"/>
      <c r="DG700" s="11"/>
    </row>
    <row r="701" ht="15.75" customHeight="1">
      <c r="CT701" s="11"/>
      <c r="CU701" s="11"/>
      <c r="CV701" s="11"/>
      <c r="CW701" s="11"/>
      <c r="CX701" s="11"/>
      <c r="CY701" s="11"/>
      <c r="CZ701" s="11"/>
      <c r="DA701" s="11"/>
      <c r="DB701" s="11"/>
      <c r="DC701" s="11"/>
      <c r="DD701" s="11"/>
      <c r="DE701" s="11"/>
      <c r="DF701" s="11"/>
      <c r="DG701" s="11"/>
    </row>
    <row r="702" ht="15.75" customHeight="1">
      <c r="CT702" s="11"/>
      <c r="CU702" s="11"/>
      <c r="CV702" s="11"/>
      <c r="CW702" s="11"/>
      <c r="CX702" s="11"/>
      <c r="CY702" s="11"/>
      <c r="CZ702" s="11"/>
      <c r="DA702" s="11"/>
      <c r="DB702" s="11"/>
      <c r="DC702" s="11"/>
      <c r="DD702" s="11"/>
      <c r="DE702" s="11"/>
      <c r="DF702" s="11"/>
      <c r="DG702" s="11"/>
    </row>
    <row r="703" ht="15.75" customHeight="1">
      <c r="CT703" s="11"/>
      <c r="CU703" s="11"/>
      <c r="CV703" s="11"/>
      <c r="CW703" s="11"/>
      <c r="CX703" s="11"/>
      <c r="CY703" s="11"/>
      <c r="CZ703" s="11"/>
      <c r="DA703" s="11"/>
      <c r="DB703" s="11"/>
      <c r="DC703" s="11"/>
      <c r="DD703" s="11"/>
      <c r="DE703" s="11"/>
      <c r="DF703" s="11"/>
      <c r="DG703" s="11"/>
    </row>
    <row r="704" ht="15.75" customHeight="1">
      <c r="CT704" s="11"/>
      <c r="CU704" s="11"/>
      <c r="CV704" s="11"/>
      <c r="CW704" s="11"/>
      <c r="CX704" s="11"/>
      <c r="CY704" s="11"/>
      <c r="CZ704" s="11"/>
      <c r="DA704" s="11"/>
      <c r="DB704" s="11"/>
      <c r="DC704" s="11"/>
      <c r="DD704" s="11"/>
      <c r="DE704" s="11"/>
      <c r="DF704" s="11"/>
      <c r="DG704" s="11"/>
    </row>
    <row r="705" ht="15.75" customHeight="1">
      <c r="CT705" s="11"/>
      <c r="CU705" s="11"/>
      <c r="CV705" s="11"/>
      <c r="CW705" s="11"/>
      <c r="CX705" s="11"/>
      <c r="CY705" s="11"/>
      <c r="CZ705" s="11"/>
      <c r="DA705" s="11"/>
      <c r="DB705" s="11"/>
      <c r="DC705" s="11"/>
      <c r="DD705" s="11"/>
      <c r="DE705" s="11"/>
      <c r="DF705" s="11"/>
      <c r="DG705" s="11"/>
    </row>
    <row r="706" ht="15.75" customHeight="1">
      <c r="CT706" s="11"/>
      <c r="CU706" s="11"/>
      <c r="CV706" s="11"/>
      <c r="CW706" s="11"/>
      <c r="CX706" s="11"/>
      <c r="CY706" s="11"/>
      <c r="CZ706" s="11"/>
      <c r="DA706" s="11"/>
      <c r="DB706" s="11"/>
      <c r="DC706" s="11"/>
      <c r="DD706" s="11"/>
      <c r="DE706" s="11"/>
      <c r="DF706" s="11"/>
      <c r="DG706" s="11"/>
    </row>
    <row r="707" ht="15.75" customHeight="1">
      <c r="CT707" s="11"/>
      <c r="CU707" s="11"/>
      <c r="CV707" s="11"/>
      <c r="CW707" s="11"/>
      <c r="CX707" s="11"/>
      <c r="CY707" s="11"/>
      <c r="CZ707" s="11"/>
      <c r="DA707" s="11"/>
      <c r="DB707" s="11"/>
      <c r="DC707" s="11"/>
      <c r="DD707" s="11"/>
      <c r="DE707" s="11"/>
      <c r="DF707" s="11"/>
      <c r="DG707" s="11"/>
    </row>
    <row r="708" ht="15.75" customHeight="1">
      <c r="CT708" s="11"/>
      <c r="CU708" s="11"/>
      <c r="CV708" s="11"/>
      <c r="CW708" s="11"/>
      <c r="CX708" s="11"/>
      <c r="CY708" s="11"/>
      <c r="CZ708" s="11"/>
      <c r="DA708" s="11"/>
      <c r="DB708" s="11"/>
      <c r="DC708" s="11"/>
      <c r="DD708" s="11"/>
      <c r="DE708" s="11"/>
      <c r="DF708" s="11"/>
      <c r="DG708" s="11"/>
    </row>
    <row r="709" ht="15.75" customHeight="1">
      <c r="CT709" s="11"/>
      <c r="CU709" s="11"/>
      <c r="CV709" s="11"/>
      <c r="CW709" s="11"/>
      <c r="CX709" s="11"/>
      <c r="CY709" s="11"/>
      <c r="CZ709" s="11"/>
      <c r="DA709" s="11"/>
      <c r="DB709" s="11"/>
      <c r="DC709" s="11"/>
      <c r="DD709" s="11"/>
      <c r="DE709" s="11"/>
      <c r="DF709" s="11"/>
      <c r="DG709" s="11"/>
    </row>
    <row r="710" ht="15.75" customHeight="1">
      <c r="CT710" s="11"/>
      <c r="CU710" s="11"/>
      <c r="CV710" s="11"/>
      <c r="CW710" s="11"/>
      <c r="CX710" s="11"/>
      <c r="CY710" s="11"/>
      <c r="CZ710" s="11"/>
      <c r="DA710" s="11"/>
      <c r="DB710" s="11"/>
      <c r="DC710" s="11"/>
      <c r="DD710" s="11"/>
      <c r="DE710" s="11"/>
      <c r="DF710" s="11"/>
      <c r="DG710" s="11"/>
    </row>
    <row r="711" ht="15.75" customHeight="1">
      <c r="CT711" s="11"/>
      <c r="CU711" s="11"/>
      <c r="CV711" s="11"/>
      <c r="CW711" s="11"/>
      <c r="CX711" s="11"/>
      <c r="CY711" s="11"/>
      <c r="CZ711" s="11"/>
      <c r="DA711" s="11"/>
      <c r="DB711" s="11"/>
      <c r="DC711" s="11"/>
      <c r="DD711" s="11"/>
      <c r="DE711" s="11"/>
      <c r="DF711" s="11"/>
      <c r="DG711" s="11"/>
    </row>
    <row r="712" ht="15.75" customHeight="1">
      <c r="CT712" s="11"/>
      <c r="CU712" s="11"/>
      <c r="CV712" s="11"/>
      <c r="CW712" s="11"/>
      <c r="CX712" s="11"/>
      <c r="CY712" s="11"/>
      <c r="CZ712" s="11"/>
      <c r="DA712" s="11"/>
      <c r="DB712" s="11"/>
      <c r="DC712" s="11"/>
      <c r="DD712" s="11"/>
      <c r="DE712" s="11"/>
      <c r="DF712" s="11"/>
      <c r="DG712" s="11"/>
    </row>
    <row r="713" ht="15.75" customHeight="1">
      <c r="CT713" s="11"/>
      <c r="CU713" s="11"/>
      <c r="CV713" s="11"/>
      <c r="CW713" s="11"/>
      <c r="CX713" s="11"/>
      <c r="CY713" s="11"/>
      <c r="CZ713" s="11"/>
      <c r="DA713" s="11"/>
      <c r="DB713" s="11"/>
      <c r="DC713" s="11"/>
      <c r="DD713" s="11"/>
      <c r="DE713" s="11"/>
      <c r="DF713" s="11"/>
      <c r="DG713" s="11"/>
    </row>
    <row r="714" ht="15.75" customHeight="1">
      <c r="CT714" s="11"/>
      <c r="CU714" s="11"/>
      <c r="CV714" s="11"/>
      <c r="CW714" s="11"/>
      <c r="CX714" s="11"/>
      <c r="CY714" s="11"/>
      <c r="CZ714" s="11"/>
      <c r="DA714" s="11"/>
      <c r="DB714" s="11"/>
      <c r="DC714" s="11"/>
      <c r="DD714" s="11"/>
      <c r="DE714" s="11"/>
      <c r="DF714" s="11"/>
      <c r="DG714" s="11"/>
    </row>
    <row r="715" ht="15.75" customHeight="1">
      <c r="CT715" s="11"/>
      <c r="CU715" s="11"/>
      <c r="CV715" s="11"/>
      <c r="CW715" s="11"/>
      <c r="CX715" s="11"/>
      <c r="CY715" s="11"/>
      <c r="CZ715" s="11"/>
      <c r="DA715" s="11"/>
      <c r="DB715" s="11"/>
      <c r="DC715" s="11"/>
      <c r="DD715" s="11"/>
      <c r="DE715" s="11"/>
      <c r="DF715" s="11"/>
      <c r="DG715" s="11"/>
    </row>
    <row r="716" ht="15.75" customHeight="1">
      <c r="CT716" s="11"/>
      <c r="CU716" s="11"/>
      <c r="CV716" s="11"/>
      <c r="CW716" s="11"/>
      <c r="CX716" s="11"/>
      <c r="CY716" s="11"/>
      <c r="CZ716" s="11"/>
      <c r="DA716" s="11"/>
      <c r="DB716" s="11"/>
      <c r="DC716" s="11"/>
      <c r="DD716" s="11"/>
      <c r="DE716" s="11"/>
      <c r="DF716" s="11"/>
      <c r="DG716" s="11"/>
    </row>
    <row r="717" ht="15.75" customHeight="1">
      <c r="CT717" s="11"/>
      <c r="CU717" s="11"/>
      <c r="CV717" s="11"/>
      <c r="CW717" s="11"/>
      <c r="CX717" s="11"/>
      <c r="CY717" s="11"/>
      <c r="CZ717" s="11"/>
      <c r="DA717" s="11"/>
      <c r="DB717" s="11"/>
      <c r="DC717" s="11"/>
      <c r="DD717" s="11"/>
      <c r="DE717" s="11"/>
      <c r="DF717" s="11"/>
      <c r="DG717" s="11"/>
    </row>
    <row r="718" ht="15.75" customHeight="1">
      <c r="CT718" s="11"/>
      <c r="CU718" s="11"/>
      <c r="CV718" s="11"/>
      <c r="CW718" s="11"/>
      <c r="CX718" s="11"/>
      <c r="CY718" s="11"/>
      <c r="CZ718" s="11"/>
      <c r="DA718" s="11"/>
      <c r="DB718" s="11"/>
      <c r="DC718" s="11"/>
      <c r="DD718" s="11"/>
      <c r="DE718" s="11"/>
      <c r="DF718" s="11"/>
      <c r="DG718" s="11"/>
    </row>
    <row r="719" ht="15.75" customHeight="1">
      <c r="CT719" s="11"/>
      <c r="CU719" s="11"/>
      <c r="CV719" s="11"/>
      <c r="CW719" s="11"/>
      <c r="CX719" s="11"/>
      <c r="CY719" s="11"/>
      <c r="CZ719" s="11"/>
      <c r="DA719" s="11"/>
      <c r="DB719" s="11"/>
      <c r="DC719" s="11"/>
      <c r="DD719" s="11"/>
      <c r="DE719" s="11"/>
      <c r="DF719" s="11"/>
      <c r="DG719" s="11"/>
    </row>
    <row r="720" ht="15.75" customHeight="1">
      <c r="CT720" s="11"/>
      <c r="CU720" s="11"/>
      <c r="CV720" s="11"/>
      <c r="CW720" s="11"/>
      <c r="CX720" s="11"/>
      <c r="CY720" s="11"/>
      <c r="CZ720" s="11"/>
      <c r="DA720" s="11"/>
      <c r="DB720" s="11"/>
      <c r="DC720" s="11"/>
      <c r="DD720" s="11"/>
      <c r="DE720" s="11"/>
      <c r="DF720" s="11"/>
      <c r="DG720" s="11"/>
    </row>
    <row r="721" ht="15.75" customHeight="1">
      <c r="CT721" s="11"/>
      <c r="CU721" s="11"/>
      <c r="CV721" s="11"/>
      <c r="CW721" s="11"/>
      <c r="CX721" s="11"/>
      <c r="CY721" s="11"/>
      <c r="CZ721" s="11"/>
      <c r="DA721" s="11"/>
      <c r="DB721" s="11"/>
      <c r="DC721" s="11"/>
      <c r="DD721" s="11"/>
      <c r="DE721" s="11"/>
      <c r="DF721" s="11"/>
      <c r="DG721" s="11"/>
    </row>
    <row r="722" ht="15.75" customHeight="1">
      <c r="CT722" s="11"/>
      <c r="CU722" s="11"/>
      <c r="CV722" s="11"/>
      <c r="CW722" s="11"/>
      <c r="CX722" s="11"/>
      <c r="CY722" s="11"/>
      <c r="CZ722" s="11"/>
      <c r="DA722" s="11"/>
      <c r="DB722" s="11"/>
      <c r="DC722" s="11"/>
      <c r="DD722" s="11"/>
      <c r="DE722" s="11"/>
      <c r="DF722" s="11"/>
      <c r="DG722" s="11"/>
    </row>
    <row r="723" ht="15.75" customHeight="1">
      <c r="CT723" s="11"/>
      <c r="CU723" s="11"/>
      <c r="CV723" s="11"/>
      <c r="CW723" s="11"/>
      <c r="CX723" s="11"/>
      <c r="CY723" s="11"/>
      <c r="CZ723" s="11"/>
      <c r="DA723" s="11"/>
      <c r="DB723" s="11"/>
      <c r="DC723" s="11"/>
      <c r="DD723" s="11"/>
      <c r="DE723" s="11"/>
      <c r="DF723" s="11"/>
      <c r="DG723" s="11"/>
    </row>
    <row r="724" ht="15.75" customHeight="1">
      <c r="CT724" s="11"/>
      <c r="CU724" s="11"/>
      <c r="CV724" s="11"/>
      <c r="CW724" s="11"/>
      <c r="CX724" s="11"/>
      <c r="CY724" s="11"/>
      <c r="CZ724" s="11"/>
      <c r="DA724" s="11"/>
      <c r="DB724" s="11"/>
      <c r="DC724" s="11"/>
      <c r="DD724" s="11"/>
      <c r="DE724" s="11"/>
      <c r="DF724" s="11"/>
      <c r="DG724" s="11"/>
    </row>
    <row r="725" ht="15.75" customHeight="1">
      <c r="CT725" s="11"/>
      <c r="CU725" s="11"/>
      <c r="CV725" s="11"/>
      <c r="CW725" s="11"/>
      <c r="CX725" s="11"/>
      <c r="CY725" s="11"/>
      <c r="CZ725" s="11"/>
      <c r="DA725" s="11"/>
      <c r="DB725" s="11"/>
      <c r="DC725" s="11"/>
      <c r="DD725" s="11"/>
      <c r="DE725" s="11"/>
      <c r="DF725" s="11"/>
      <c r="DG725" s="11"/>
    </row>
    <row r="726" ht="15.75" customHeight="1">
      <c r="CT726" s="11"/>
      <c r="CU726" s="11"/>
      <c r="CV726" s="11"/>
      <c r="CW726" s="11"/>
      <c r="CX726" s="11"/>
      <c r="CY726" s="11"/>
      <c r="CZ726" s="11"/>
      <c r="DA726" s="11"/>
      <c r="DB726" s="11"/>
      <c r="DC726" s="11"/>
      <c r="DD726" s="11"/>
      <c r="DE726" s="11"/>
      <c r="DF726" s="11"/>
      <c r="DG726" s="11"/>
    </row>
    <row r="727" ht="15.75" customHeight="1">
      <c r="CT727" s="11"/>
      <c r="CU727" s="11"/>
      <c r="CV727" s="11"/>
      <c r="CW727" s="11"/>
      <c r="CX727" s="11"/>
      <c r="CY727" s="11"/>
      <c r="CZ727" s="11"/>
      <c r="DA727" s="11"/>
      <c r="DB727" s="11"/>
      <c r="DC727" s="11"/>
      <c r="DD727" s="11"/>
      <c r="DE727" s="11"/>
      <c r="DF727" s="11"/>
      <c r="DG727" s="11"/>
    </row>
    <row r="728" ht="15.75" customHeight="1">
      <c r="CT728" s="11"/>
      <c r="CU728" s="11"/>
      <c r="CV728" s="11"/>
      <c r="CW728" s="11"/>
      <c r="CX728" s="11"/>
      <c r="CY728" s="11"/>
      <c r="CZ728" s="11"/>
      <c r="DA728" s="11"/>
      <c r="DB728" s="11"/>
      <c r="DC728" s="11"/>
      <c r="DD728" s="11"/>
      <c r="DE728" s="11"/>
      <c r="DF728" s="11"/>
      <c r="DG728" s="11"/>
    </row>
    <row r="729" ht="15.75" customHeight="1">
      <c r="CT729" s="11"/>
      <c r="CU729" s="11"/>
      <c r="CV729" s="11"/>
      <c r="CW729" s="11"/>
      <c r="CX729" s="11"/>
      <c r="CY729" s="11"/>
      <c r="CZ729" s="11"/>
      <c r="DA729" s="11"/>
      <c r="DB729" s="11"/>
      <c r="DC729" s="11"/>
      <c r="DD729" s="11"/>
      <c r="DE729" s="11"/>
      <c r="DF729" s="11"/>
      <c r="DG729" s="11"/>
    </row>
    <row r="730" ht="15.75" customHeight="1">
      <c r="CT730" s="11"/>
      <c r="CU730" s="11"/>
      <c r="CV730" s="11"/>
      <c r="CW730" s="11"/>
      <c r="CX730" s="11"/>
      <c r="CY730" s="11"/>
      <c r="CZ730" s="11"/>
      <c r="DA730" s="11"/>
      <c r="DB730" s="11"/>
      <c r="DC730" s="11"/>
      <c r="DD730" s="11"/>
      <c r="DE730" s="11"/>
      <c r="DF730" s="11"/>
      <c r="DG730" s="11"/>
    </row>
    <row r="731" ht="15.75" customHeight="1">
      <c r="CT731" s="11"/>
      <c r="CU731" s="11"/>
      <c r="CV731" s="11"/>
      <c r="CW731" s="11"/>
      <c r="CX731" s="11"/>
      <c r="CY731" s="11"/>
      <c r="CZ731" s="11"/>
      <c r="DA731" s="11"/>
      <c r="DB731" s="11"/>
      <c r="DC731" s="11"/>
      <c r="DD731" s="11"/>
      <c r="DE731" s="11"/>
      <c r="DF731" s="11"/>
      <c r="DG731" s="11"/>
    </row>
    <row r="732" ht="15.75" customHeight="1">
      <c r="CT732" s="11"/>
      <c r="CU732" s="11"/>
      <c r="CV732" s="11"/>
      <c r="CW732" s="11"/>
      <c r="CX732" s="11"/>
      <c r="CY732" s="11"/>
      <c r="CZ732" s="11"/>
      <c r="DA732" s="11"/>
      <c r="DB732" s="11"/>
      <c r="DC732" s="11"/>
      <c r="DD732" s="11"/>
      <c r="DE732" s="11"/>
      <c r="DF732" s="11"/>
      <c r="DG732" s="11"/>
    </row>
    <row r="733" ht="15.75" customHeight="1">
      <c r="CT733" s="11"/>
      <c r="CU733" s="11"/>
      <c r="CV733" s="11"/>
      <c r="CW733" s="11"/>
      <c r="CX733" s="11"/>
      <c r="CY733" s="11"/>
      <c r="CZ733" s="11"/>
      <c r="DA733" s="11"/>
      <c r="DB733" s="11"/>
      <c r="DC733" s="11"/>
      <c r="DD733" s="11"/>
      <c r="DE733" s="11"/>
      <c r="DF733" s="11"/>
      <c r="DG733" s="11"/>
    </row>
    <row r="734" ht="15.75" customHeight="1">
      <c r="CT734" s="11"/>
      <c r="CU734" s="11"/>
      <c r="CV734" s="11"/>
      <c r="CW734" s="11"/>
      <c r="CX734" s="11"/>
      <c r="CY734" s="11"/>
      <c r="CZ734" s="11"/>
      <c r="DA734" s="11"/>
      <c r="DB734" s="11"/>
      <c r="DC734" s="11"/>
      <c r="DD734" s="11"/>
      <c r="DE734" s="11"/>
      <c r="DF734" s="11"/>
      <c r="DG734" s="11"/>
    </row>
    <row r="735" ht="15.75" customHeight="1">
      <c r="CT735" s="11"/>
      <c r="CU735" s="11"/>
      <c r="CV735" s="11"/>
      <c r="CW735" s="11"/>
      <c r="CX735" s="11"/>
      <c r="CY735" s="11"/>
      <c r="CZ735" s="11"/>
      <c r="DA735" s="11"/>
      <c r="DB735" s="11"/>
      <c r="DC735" s="11"/>
      <c r="DD735" s="11"/>
      <c r="DE735" s="11"/>
      <c r="DF735" s="11"/>
      <c r="DG735" s="11"/>
    </row>
    <row r="736" ht="15.75" customHeight="1">
      <c r="CT736" s="11"/>
      <c r="CU736" s="11"/>
      <c r="CV736" s="11"/>
      <c r="CW736" s="11"/>
      <c r="CX736" s="11"/>
      <c r="CY736" s="11"/>
      <c r="CZ736" s="11"/>
      <c r="DA736" s="11"/>
      <c r="DB736" s="11"/>
      <c r="DC736" s="11"/>
      <c r="DD736" s="11"/>
      <c r="DE736" s="11"/>
      <c r="DF736" s="11"/>
      <c r="DG736" s="11"/>
    </row>
    <row r="737" ht="15.75" customHeight="1">
      <c r="CT737" s="11"/>
      <c r="CU737" s="11"/>
      <c r="CV737" s="11"/>
      <c r="CW737" s="11"/>
      <c r="CX737" s="11"/>
      <c r="CY737" s="11"/>
      <c r="CZ737" s="11"/>
      <c r="DA737" s="11"/>
      <c r="DB737" s="11"/>
      <c r="DC737" s="11"/>
      <c r="DD737" s="11"/>
      <c r="DE737" s="11"/>
      <c r="DF737" s="11"/>
      <c r="DG737" s="11"/>
    </row>
    <row r="738" ht="15.75" customHeight="1">
      <c r="CT738" s="11"/>
      <c r="CU738" s="11"/>
      <c r="CV738" s="11"/>
      <c r="CW738" s="11"/>
      <c r="CX738" s="11"/>
      <c r="CY738" s="11"/>
      <c r="CZ738" s="11"/>
      <c r="DA738" s="11"/>
      <c r="DB738" s="11"/>
      <c r="DC738" s="11"/>
      <c r="DD738" s="11"/>
      <c r="DE738" s="11"/>
      <c r="DF738" s="11"/>
      <c r="DG738" s="11"/>
    </row>
    <row r="739" ht="15.75" customHeight="1">
      <c r="CT739" s="11"/>
      <c r="CU739" s="11"/>
      <c r="CV739" s="11"/>
      <c r="CW739" s="11"/>
      <c r="CX739" s="11"/>
      <c r="CY739" s="11"/>
      <c r="CZ739" s="11"/>
      <c r="DA739" s="11"/>
      <c r="DB739" s="11"/>
      <c r="DC739" s="11"/>
      <c r="DD739" s="11"/>
      <c r="DE739" s="11"/>
      <c r="DF739" s="11"/>
      <c r="DG739" s="11"/>
    </row>
    <row r="740" ht="15.75" customHeight="1">
      <c r="CT740" s="11"/>
      <c r="CU740" s="11"/>
      <c r="CV740" s="11"/>
      <c r="CW740" s="11"/>
      <c r="CX740" s="11"/>
      <c r="CY740" s="11"/>
      <c r="CZ740" s="11"/>
      <c r="DA740" s="11"/>
      <c r="DB740" s="11"/>
      <c r="DC740" s="11"/>
      <c r="DD740" s="11"/>
      <c r="DE740" s="11"/>
      <c r="DF740" s="11"/>
      <c r="DG740" s="11"/>
    </row>
    <row r="741" ht="15.75" customHeight="1">
      <c r="CT741" s="11"/>
      <c r="CU741" s="11"/>
      <c r="CV741" s="11"/>
      <c r="CW741" s="11"/>
      <c r="CX741" s="11"/>
      <c r="CY741" s="11"/>
      <c r="CZ741" s="11"/>
      <c r="DA741" s="11"/>
      <c r="DB741" s="11"/>
      <c r="DC741" s="11"/>
      <c r="DD741" s="11"/>
      <c r="DE741" s="11"/>
      <c r="DF741" s="11"/>
      <c r="DG741" s="11"/>
    </row>
    <row r="742" ht="15.75" customHeight="1">
      <c r="CT742" s="11"/>
      <c r="CU742" s="11"/>
      <c r="CV742" s="11"/>
      <c r="CW742" s="11"/>
      <c r="CX742" s="11"/>
      <c r="CY742" s="11"/>
      <c r="CZ742" s="11"/>
      <c r="DA742" s="11"/>
      <c r="DB742" s="11"/>
      <c r="DC742" s="11"/>
      <c r="DD742" s="11"/>
      <c r="DE742" s="11"/>
      <c r="DF742" s="11"/>
      <c r="DG742" s="11"/>
    </row>
    <row r="743" ht="15.75" customHeight="1">
      <c r="CT743" s="11"/>
      <c r="CU743" s="11"/>
      <c r="CV743" s="11"/>
      <c r="CW743" s="11"/>
      <c r="CX743" s="11"/>
      <c r="CY743" s="11"/>
      <c r="CZ743" s="11"/>
      <c r="DA743" s="11"/>
      <c r="DB743" s="11"/>
      <c r="DC743" s="11"/>
      <c r="DD743" s="11"/>
      <c r="DE743" s="11"/>
      <c r="DF743" s="11"/>
      <c r="DG743" s="11"/>
    </row>
    <row r="744" ht="15.75" customHeight="1">
      <c r="CT744" s="11"/>
      <c r="CU744" s="11"/>
      <c r="CV744" s="11"/>
      <c r="CW744" s="11"/>
      <c r="CX744" s="11"/>
      <c r="CY744" s="11"/>
      <c r="CZ744" s="11"/>
      <c r="DA744" s="11"/>
      <c r="DB744" s="11"/>
      <c r="DC744" s="11"/>
      <c r="DD744" s="11"/>
      <c r="DE744" s="11"/>
      <c r="DF744" s="11"/>
      <c r="DG744" s="11"/>
    </row>
    <row r="745" ht="15.75" customHeight="1">
      <c r="CT745" s="11"/>
      <c r="CU745" s="11"/>
      <c r="CV745" s="11"/>
      <c r="CW745" s="11"/>
      <c r="CX745" s="11"/>
      <c r="CY745" s="11"/>
      <c r="CZ745" s="11"/>
      <c r="DA745" s="11"/>
      <c r="DB745" s="11"/>
      <c r="DC745" s="11"/>
      <c r="DD745" s="11"/>
      <c r="DE745" s="11"/>
      <c r="DF745" s="11"/>
      <c r="DG745" s="11"/>
    </row>
    <row r="746" ht="15.75" customHeight="1">
      <c r="CT746" s="11"/>
      <c r="CU746" s="11"/>
      <c r="CV746" s="11"/>
      <c r="CW746" s="11"/>
      <c r="CX746" s="11"/>
      <c r="CY746" s="11"/>
      <c r="CZ746" s="11"/>
      <c r="DA746" s="11"/>
      <c r="DB746" s="11"/>
      <c r="DC746" s="11"/>
      <c r="DD746" s="11"/>
      <c r="DE746" s="11"/>
      <c r="DF746" s="11"/>
      <c r="DG746" s="11"/>
    </row>
    <row r="747" ht="15.75" customHeight="1">
      <c r="CT747" s="11"/>
      <c r="CU747" s="11"/>
      <c r="CV747" s="11"/>
      <c r="CW747" s="11"/>
      <c r="CX747" s="11"/>
      <c r="CY747" s="11"/>
      <c r="CZ747" s="11"/>
      <c r="DA747" s="11"/>
      <c r="DB747" s="11"/>
      <c r="DC747" s="11"/>
      <c r="DD747" s="11"/>
      <c r="DE747" s="11"/>
      <c r="DF747" s="11"/>
      <c r="DG747" s="11"/>
    </row>
    <row r="748" ht="15.75" customHeight="1">
      <c r="CT748" s="11"/>
      <c r="CU748" s="11"/>
      <c r="CV748" s="11"/>
      <c r="CW748" s="11"/>
      <c r="CX748" s="11"/>
      <c r="CY748" s="11"/>
      <c r="CZ748" s="11"/>
      <c r="DA748" s="11"/>
      <c r="DB748" s="11"/>
      <c r="DC748" s="11"/>
      <c r="DD748" s="11"/>
      <c r="DE748" s="11"/>
      <c r="DF748" s="11"/>
      <c r="DG748" s="11"/>
    </row>
    <row r="749" ht="15.75" customHeight="1">
      <c r="CT749" s="11"/>
      <c r="CU749" s="11"/>
      <c r="CV749" s="11"/>
      <c r="CW749" s="11"/>
      <c r="CX749" s="11"/>
      <c r="CY749" s="11"/>
      <c r="CZ749" s="11"/>
      <c r="DA749" s="11"/>
      <c r="DB749" s="11"/>
      <c r="DC749" s="11"/>
      <c r="DD749" s="11"/>
      <c r="DE749" s="11"/>
      <c r="DF749" s="11"/>
      <c r="DG749" s="11"/>
    </row>
    <row r="750" ht="15.75" customHeight="1">
      <c r="CT750" s="11"/>
      <c r="CU750" s="11"/>
      <c r="CV750" s="11"/>
      <c r="CW750" s="11"/>
      <c r="CX750" s="11"/>
      <c r="CY750" s="11"/>
      <c r="CZ750" s="11"/>
      <c r="DA750" s="11"/>
      <c r="DB750" s="11"/>
      <c r="DC750" s="11"/>
      <c r="DD750" s="11"/>
      <c r="DE750" s="11"/>
      <c r="DF750" s="11"/>
      <c r="DG750" s="11"/>
    </row>
    <row r="751" ht="15.75" customHeight="1">
      <c r="CT751" s="11"/>
      <c r="CU751" s="11"/>
      <c r="CV751" s="11"/>
      <c r="CW751" s="11"/>
      <c r="CX751" s="11"/>
      <c r="CY751" s="11"/>
      <c r="CZ751" s="11"/>
      <c r="DA751" s="11"/>
      <c r="DB751" s="11"/>
      <c r="DC751" s="11"/>
      <c r="DD751" s="11"/>
      <c r="DE751" s="11"/>
      <c r="DF751" s="11"/>
      <c r="DG751" s="11"/>
    </row>
    <row r="752" ht="15.75" customHeight="1">
      <c r="CT752" s="11"/>
      <c r="CU752" s="11"/>
      <c r="CV752" s="11"/>
      <c r="CW752" s="11"/>
      <c r="CX752" s="11"/>
      <c r="CY752" s="11"/>
      <c r="CZ752" s="11"/>
      <c r="DA752" s="11"/>
      <c r="DB752" s="11"/>
      <c r="DC752" s="11"/>
      <c r="DD752" s="11"/>
      <c r="DE752" s="11"/>
      <c r="DF752" s="11"/>
      <c r="DG752" s="11"/>
    </row>
    <row r="753" ht="15.75" customHeight="1">
      <c r="CT753" s="11"/>
      <c r="CU753" s="11"/>
      <c r="CV753" s="11"/>
      <c r="CW753" s="11"/>
      <c r="CX753" s="11"/>
      <c r="CY753" s="11"/>
      <c r="CZ753" s="11"/>
      <c r="DA753" s="11"/>
      <c r="DB753" s="11"/>
      <c r="DC753" s="11"/>
      <c r="DD753" s="11"/>
      <c r="DE753" s="11"/>
      <c r="DF753" s="11"/>
      <c r="DG753" s="11"/>
    </row>
    <row r="754" ht="15.75" customHeight="1">
      <c r="CT754" s="11"/>
      <c r="CU754" s="11"/>
      <c r="CV754" s="11"/>
      <c r="CW754" s="11"/>
      <c r="CX754" s="11"/>
      <c r="CY754" s="11"/>
      <c r="CZ754" s="11"/>
      <c r="DA754" s="11"/>
      <c r="DB754" s="11"/>
      <c r="DC754" s="11"/>
      <c r="DD754" s="11"/>
      <c r="DE754" s="11"/>
      <c r="DF754" s="11"/>
      <c r="DG754" s="11"/>
    </row>
    <row r="755" ht="15.75" customHeight="1">
      <c r="CT755" s="11"/>
      <c r="CU755" s="11"/>
      <c r="CV755" s="11"/>
      <c r="CW755" s="11"/>
      <c r="CX755" s="11"/>
      <c r="CY755" s="11"/>
      <c r="CZ755" s="11"/>
      <c r="DA755" s="11"/>
      <c r="DB755" s="11"/>
      <c r="DC755" s="11"/>
      <c r="DD755" s="11"/>
      <c r="DE755" s="11"/>
      <c r="DF755" s="11"/>
      <c r="DG755" s="11"/>
    </row>
    <row r="756" ht="15.75" customHeight="1">
      <c r="CT756" s="11"/>
      <c r="CU756" s="11"/>
      <c r="CV756" s="11"/>
      <c r="CW756" s="11"/>
      <c r="CX756" s="11"/>
      <c r="CY756" s="11"/>
      <c r="CZ756" s="11"/>
      <c r="DA756" s="11"/>
      <c r="DB756" s="11"/>
      <c r="DC756" s="11"/>
      <c r="DD756" s="11"/>
      <c r="DE756" s="11"/>
      <c r="DF756" s="11"/>
      <c r="DG756" s="11"/>
    </row>
    <row r="757" ht="15.75" customHeight="1">
      <c r="CT757" s="11"/>
      <c r="CU757" s="11"/>
      <c r="CV757" s="11"/>
      <c r="CW757" s="11"/>
      <c r="CX757" s="11"/>
      <c r="CY757" s="11"/>
      <c r="CZ757" s="11"/>
      <c r="DA757" s="11"/>
      <c r="DB757" s="11"/>
      <c r="DC757" s="11"/>
      <c r="DD757" s="11"/>
      <c r="DE757" s="11"/>
      <c r="DF757" s="11"/>
      <c r="DG757" s="11"/>
    </row>
    <row r="758" ht="15.75" customHeight="1">
      <c r="CT758" s="11"/>
      <c r="CU758" s="11"/>
      <c r="CV758" s="11"/>
      <c r="CW758" s="11"/>
      <c r="CX758" s="11"/>
      <c r="CY758" s="11"/>
      <c r="CZ758" s="11"/>
      <c r="DA758" s="11"/>
      <c r="DB758" s="11"/>
      <c r="DC758" s="11"/>
      <c r="DD758" s="11"/>
      <c r="DE758" s="11"/>
      <c r="DF758" s="11"/>
      <c r="DG758" s="11"/>
    </row>
    <row r="759" ht="15.75" customHeight="1">
      <c r="CT759" s="11"/>
      <c r="CU759" s="11"/>
      <c r="CV759" s="11"/>
      <c r="CW759" s="11"/>
      <c r="CX759" s="11"/>
      <c r="CY759" s="11"/>
      <c r="CZ759" s="11"/>
      <c r="DA759" s="11"/>
      <c r="DB759" s="11"/>
      <c r="DC759" s="11"/>
      <c r="DD759" s="11"/>
      <c r="DE759" s="11"/>
      <c r="DF759" s="11"/>
      <c r="DG759" s="11"/>
    </row>
    <row r="760" ht="15.75" customHeight="1">
      <c r="CT760" s="11"/>
      <c r="CU760" s="11"/>
      <c r="CV760" s="11"/>
      <c r="CW760" s="11"/>
      <c r="CX760" s="11"/>
      <c r="CY760" s="11"/>
      <c r="CZ760" s="11"/>
      <c r="DA760" s="11"/>
      <c r="DB760" s="11"/>
      <c r="DC760" s="11"/>
      <c r="DD760" s="11"/>
      <c r="DE760" s="11"/>
      <c r="DF760" s="11"/>
      <c r="DG760" s="11"/>
    </row>
    <row r="761" ht="15.75" customHeight="1">
      <c r="CT761" s="11"/>
      <c r="CU761" s="11"/>
      <c r="CV761" s="11"/>
      <c r="CW761" s="11"/>
      <c r="CX761" s="11"/>
      <c r="CY761" s="11"/>
      <c r="CZ761" s="11"/>
      <c r="DA761" s="11"/>
      <c r="DB761" s="11"/>
      <c r="DC761" s="11"/>
      <c r="DD761" s="11"/>
      <c r="DE761" s="11"/>
      <c r="DF761" s="11"/>
      <c r="DG761" s="11"/>
    </row>
    <row r="762" ht="15.75" customHeight="1">
      <c r="CT762" s="11"/>
      <c r="CU762" s="11"/>
      <c r="CV762" s="11"/>
      <c r="CW762" s="11"/>
      <c r="CX762" s="11"/>
      <c r="CY762" s="11"/>
      <c r="CZ762" s="11"/>
      <c r="DA762" s="11"/>
      <c r="DB762" s="11"/>
      <c r="DC762" s="11"/>
      <c r="DD762" s="11"/>
      <c r="DE762" s="11"/>
      <c r="DF762" s="11"/>
      <c r="DG762" s="11"/>
    </row>
    <row r="763" ht="15.75" customHeight="1">
      <c r="CT763" s="11"/>
      <c r="CU763" s="11"/>
      <c r="CV763" s="11"/>
      <c r="CW763" s="11"/>
      <c r="CX763" s="11"/>
      <c r="CY763" s="11"/>
      <c r="CZ763" s="11"/>
      <c r="DA763" s="11"/>
      <c r="DB763" s="11"/>
      <c r="DC763" s="11"/>
      <c r="DD763" s="11"/>
      <c r="DE763" s="11"/>
      <c r="DF763" s="11"/>
      <c r="DG763" s="11"/>
    </row>
    <row r="764" ht="15.75" customHeight="1">
      <c r="CT764" s="11"/>
      <c r="CU764" s="11"/>
      <c r="CV764" s="11"/>
      <c r="CW764" s="11"/>
      <c r="CX764" s="11"/>
      <c r="CY764" s="11"/>
      <c r="CZ764" s="11"/>
      <c r="DA764" s="11"/>
      <c r="DB764" s="11"/>
      <c r="DC764" s="11"/>
      <c r="DD764" s="11"/>
      <c r="DE764" s="11"/>
      <c r="DF764" s="11"/>
      <c r="DG764" s="11"/>
    </row>
    <row r="765" ht="15.75" customHeight="1">
      <c r="CT765" s="11"/>
      <c r="CU765" s="11"/>
      <c r="CV765" s="11"/>
      <c r="CW765" s="11"/>
      <c r="CX765" s="11"/>
      <c r="CY765" s="11"/>
      <c r="CZ765" s="11"/>
      <c r="DA765" s="11"/>
      <c r="DB765" s="11"/>
      <c r="DC765" s="11"/>
      <c r="DD765" s="11"/>
      <c r="DE765" s="11"/>
      <c r="DF765" s="11"/>
      <c r="DG765" s="11"/>
    </row>
    <row r="766" ht="15.75" customHeight="1">
      <c r="CT766" s="11"/>
      <c r="CU766" s="11"/>
      <c r="CV766" s="11"/>
      <c r="CW766" s="11"/>
      <c r="CX766" s="11"/>
      <c r="CY766" s="11"/>
      <c r="CZ766" s="11"/>
      <c r="DA766" s="11"/>
      <c r="DB766" s="11"/>
      <c r="DC766" s="11"/>
      <c r="DD766" s="11"/>
      <c r="DE766" s="11"/>
      <c r="DF766" s="11"/>
      <c r="DG766" s="11"/>
    </row>
    <row r="767" ht="15.75" customHeight="1">
      <c r="CT767" s="11"/>
      <c r="CU767" s="11"/>
      <c r="CV767" s="11"/>
      <c r="CW767" s="11"/>
      <c r="CX767" s="11"/>
      <c r="CY767" s="11"/>
      <c r="CZ767" s="11"/>
      <c r="DA767" s="11"/>
      <c r="DB767" s="11"/>
      <c r="DC767" s="11"/>
      <c r="DD767" s="11"/>
      <c r="DE767" s="11"/>
      <c r="DF767" s="11"/>
      <c r="DG767" s="11"/>
    </row>
    <row r="768" ht="15.75" customHeight="1">
      <c r="CT768" s="11"/>
      <c r="CU768" s="11"/>
      <c r="CV768" s="11"/>
      <c r="CW768" s="11"/>
      <c r="CX768" s="11"/>
      <c r="CY768" s="11"/>
      <c r="CZ768" s="11"/>
      <c r="DA768" s="11"/>
      <c r="DB768" s="11"/>
      <c r="DC768" s="11"/>
      <c r="DD768" s="11"/>
      <c r="DE768" s="11"/>
      <c r="DF768" s="11"/>
      <c r="DG768" s="11"/>
    </row>
    <row r="769" ht="15.75" customHeight="1">
      <c r="CT769" s="11"/>
      <c r="CU769" s="11"/>
      <c r="CV769" s="11"/>
      <c r="CW769" s="11"/>
      <c r="CX769" s="11"/>
      <c r="CY769" s="11"/>
      <c r="CZ769" s="11"/>
      <c r="DA769" s="11"/>
      <c r="DB769" s="11"/>
      <c r="DC769" s="11"/>
      <c r="DD769" s="11"/>
      <c r="DE769" s="11"/>
      <c r="DF769" s="11"/>
      <c r="DG769" s="11"/>
    </row>
    <row r="770" ht="15.75" customHeight="1">
      <c r="CT770" s="11"/>
      <c r="CU770" s="11"/>
      <c r="CV770" s="11"/>
      <c r="CW770" s="11"/>
      <c r="CX770" s="11"/>
      <c r="CY770" s="11"/>
      <c r="CZ770" s="11"/>
      <c r="DA770" s="11"/>
      <c r="DB770" s="11"/>
      <c r="DC770" s="11"/>
      <c r="DD770" s="11"/>
      <c r="DE770" s="11"/>
      <c r="DF770" s="11"/>
      <c r="DG770" s="11"/>
    </row>
    <row r="771" ht="15.75" customHeight="1">
      <c r="CT771" s="11"/>
      <c r="CU771" s="11"/>
      <c r="CV771" s="11"/>
      <c r="CW771" s="11"/>
      <c r="CX771" s="11"/>
      <c r="CY771" s="11"/>
      <c r="CZ771" s="11"/>
      <c r="DA771" s="11"/>
      <c r="DB771" s="11"/>
      <c r="DC771" s="11"/>
      <c r="DD771" s="11"/>
      <c r="DE771" s="11"/>
      <c r="DF771" s="11"/>
      <c r="DG771" s="11"/>
    </row>
    <row r="772" ht="15.75" customHeight="1">
      <c r="CT772" s="11"/>
      <c r="CU772" s="11"/>
      <c r="CV772" s="11"/>
      <c r="CW772" s="11"/>
      <c r="CX772" s="11"/>
      <c r="CY772" s="11"/>
      <c r="CZ772" s="11"/>
      <c r="DA772" s="11"/>
      <c r="DB772" s="11"/>
      <c r="DC772" s="11"/>
      <c r="DD772" s="11"/>
      <c r="DE772" s="11"/>
      <c r="DF772" s="11"/>
      <c r="DG772" s="11"/>
    </row>
    <row r="773" ht="15.75" customHeight="1">
      <c r="CT773" s="11"/>
      <c r="CU773" s="11"/>
      <c r="CV773" s="11"/>
      <c r="CW773" s="11"/>
      <c r="CX773" s="11"/>
      <c r="CY773" s="11"/>
      <c r="CZ773" s="11"/>
      <c r="DA773" s="11"/>
      <c r="DB773" s="11"/>
      <c r="DC773" s="11"/>
      <c r="DD773" s="11"/>
      <c r="DE773" s="11"/>
      <c r="DF773" s="11"/>
      <c r="DG773" s="11"/>
    </row>
    <row r="774" ht="15.75" customHeight="1">
      <c r="CT774" s="11"/>
      <c r="CU774" s="11"/>
      <c r="CV774" s="11"/>
      <c r="CW774" s="11"/>
      <c r="CX774" s="11"/>
      <c r="CY774" s="11"/>
      <c r="CZ774" s="11"/>
      <c r="DA774" s="11"/>
      <c r="DB774" s="11"/>
      <c r="DC774" s="11"/>
      <c r="DD774" s="11"/>
      <c r="DE774" s="11"/>
      <c r="DF774" s="11"/>
      <c r="DG774" s="11"/>
    </row>
    <row r="775" ht="15.75" customHeight="1">
      <c r="CT775" s="11"/>
      <c r="CU775" s="11"/>
      <c r="CV775" s="11"/>
      <c r="CW775" s="11"/>
      <c r="CX775" s="11"/>
      <c r="CY775" s="11"/>
      <c r="CZ775" s="11"/>
      <c r="DA775" s="11"/>
      <c r="DB775" s="11"/>
      <c r="DC775" s="11"/>
      <c r="DD775" s="11"/>
      <c r="DE775" s="11"/>
      <c r="DF775" s="11"/>
      <c r="DG775" s="11"/>
    </row>
    <row r="776" ht="15.75" customHeight="1">
      <c r="CT776" s="11"/>
      <c r="CU776" s="11"/>
      <c r="CV776" s="11"/>
      <c r="CW776" s="11"/>
      <c r="CX776" s="11"/>
      <c r="CY776" s="11"/>
      <c r="CZ776" s="11"/>
      <c r="DA776" s="11"/>
      <c r="DB776" s="11"/>
      <c r="DC776" s="11"/>
      <c r="DD776" s="11"/>
      <c r="DE776" s="11"/>
      <c r="DF776" s="11"/>
      <c r="DG776" s="11"/>
    </row>
    <row r="777" ht="15.75" customHeight="1">
      <c r="CT777" s="11"/>
      <c r="CU777" s="11"/>
      <c r="CV777" s="11"/>
      <c r="CW777" s="11"/>
      <c r="CX777" s="11"/>
      <c r="CY777" s="11"/>
      <c r="CZ777" s="11"/>
      <c r="DA777" s="11"/>
      <c r="DB777" s="11"/>
      <c r="DC777" s="11"/>
      <c r="DD777" s="11"/>
      <c r="DE777" s="11"/>
      <c r="DF777" s="11"/>
      <c r="DG777" s="11"/>
    </row>
    <row r="778" ht="15.75" customHeight="1">
      <c r="CT778" s="11"/>
      <c r="CU778" s="11"/>
      <c r="CV778" s="11"/>
      <c r="CW778" s="11"/>
      <c r="CX778" s="11"/>
      <c r="CY778" s="11"/>
      <c r="CZ778" s="11"/>
      <c r="DA778" s="11"/>
      <c r="DB778" s="11"/>
      <c r="DC778" s="11"/>
      <c r="DD778" s="11"/>
      <c r="DE778" s="11"/>
      <c r="DF778" s="11"/>
      <c r="DG778" s="11"/>
    </row>
    <row r="779" ht="15.75" customHeight="1">
      <c r="CT779" s="11"/>
      <c r="CU779" s="11"/>
      <c r="CV779" s="11"/>
      <c r="CW779" s="11"/>
      <c r="CX779" s="11"/>
      <c r="CY779" s="11"/>
      <c r="CZ779" s="11"/>
      <c r="DA779" s="11"/>
      <c r="DB779" s="11"/>
      <c r="DC779" s="11"/>
      <c r="DD779" s="11"/>
      <c r="DE779" s="11"/>
      <c r="DF779" s="11"/>
      <c r="DG779" s="11"/>
    </row>
    <row r="780" ht="15.75" customHeight="1">
      <c r="CT780" s="11"/>
      <c r="CU780" s="11"/>
      <c r="CV780" s="11"/>
      <c r="CW780" s="11"/>
      <c r="CX780" s="11"/>
      <c r="CY780" s="11"/>
      <c r="CZ780" s="11"/>
      <c r="DA780" s="11"/>
      <c r="DB780" s="11"/>
      <c r="DC780" s="11"/>
      <c r="DD780" s="11"/>
      <c r="DE780" s="11"/>
      <c r="DF780" s="11"/>
      <c r="DG780" s="11"/>
    </row>
    <row r="781" ht="15.75" customHeight="1">
      <c r="CT781" s="11"/>
      <c r="CU781" s="11"/>
      <c r="CV781" s="11"/>
      <c r="CW781" s="11"/>
      <c r="CX781" s="11"/>
      <c r="CY781" s="11"/>
      <c r="CZ781" s="11"/>
      <c r="DA781" s="11"/>
      <c r="DB781" s="11"/>
      <c r="DC781" s="11"/>
      <c r="DD781" s="11"/>
      <c r="DE781" s="11"/>
      <c r="DF781" s="11"/>
      <c r="DG781" s="11"/>
    </row>
    <row r="782" ht="15.75" customHeight="1">
      <c r="CT782" s="11"/>
      <c r="CU782" s="11"/>
      <c r="CV782" s="11"/>
      <c r="CW782" s="11"/>
      <c r="CX782" s="11"/>
      <c r="CY782" s="11"/>
      <c r="CZ782" s="11"/>
      <c r="DA782" s="11"/>
      <c r="DB782" s="11"/>
      <c r="DC782" s="11"/>
      <c r="DD782" s="11"/>
      <c r="DE782" s="11"/>
      <c r="DF782" s="11"/>
      <c r="DG782" s="11"/>
    </row>
    <row r="783" ht="15.75" customHeight="1">
      <c r="CT783" s="11"/>
      <c r="CU783" s="11"/>
      <c r="CV783" s="11"/>
      <c r="CW783" s="11"/>
      <c r="CX783" s="11"/>
      <c r="CY783" s="11"/>
      <c r="CZ783" s="11"/>
      <c r="DA783" s="11"/>
      <c r="DB783" s="11"/>
      <c r="DC783" s="11"/>
      <c r="DD783" s="11"/>
      <c r="DE783" s="11"/>
      <c r="DF783" s="11"/>
      <c r="DG783" s="11"/>
    </row>
    <row r="784" ht="15.75" customHeight="1">
      <c r="CT784" s="11"/>
      <c r="CU784" s="11"/>
      <c r="CV784" s="11"/>
      <c r="CW784" s="11"/>
      <c r="CX784" s="11"/>
      <c r="CY784" s="11"/>
      <c r="CZ784" s="11"/>
      <c r="DA784" s="11"/>
      <c r="DB784" s="11"/>
      <c r="DC784" s="11"/>
      <c r="DD784" s="11"/>
      <c r="DE784" s="11"/>
      <c r="DF784" s="11"/>
      <c r="DG784" s="11"/>
    </row>
    <row r="785" ht="15.75" customHeight="1">
      <c r="CT785" s="11"/>
      <c r="CU785" s="11"/>
      <c r="CV785" s="11"/>
      <c r="CW785" s="11"/>
      <c r="CX785" s="11"/>
      <c r="CY785" s="11"/>
      <c r="CZ785" s="11"/>
      <c r="DA785" s="11"/>
      <c r="DB785" s="11"/>
      <c r="DC785" s="11"/>
      <c r="DD785" s="11"/>
      <c r="DE785" s="11"/>
      <c r="DF785" s="11"/>
      <c r="DG785" s="11"/>
    </row>
    <row r="786" ht="15.75" customHeight="1">
      <c r="CT786" s="11"/>
      <c r="CU786" s="11"/>
      <c r="CV786" s="11"/>
      <c r="CW786" s="11"/>
      <c r="CX786" s="11"/>
      <c r="CY786" s="11"/>
      <c r="CZ786" s="11"/>
      <c r="DA786" s="11"/>
      <c r="DB786" s="11"/>
      <c r="DC786" s="11"/>
      <c r="DD786" s="11"/>
      <c r="DE786" s="11"/>
      <c r="DF786" s="11"/>
      <c r="DG786" s="11"/>
    </row>
    <row r="787" ht="15.75" customHeight="1">
      <c r="CT787" s="11"/>
      <c r="CU787" s="11"/>
      <c r="CV787" s="11"/>
      <c r="CW787" s="11"/>
      <c r="CX787" s="11"/>
      <c r="CY787" s="11"/>
      <c r="CZ787" s="11"/>
      <c r="DA787" s="11"/>
      <c r="DB787" s="11"/>
      <c r="DC787" s="11"/>
      <c r="DD787" s="11"/>
      <c r="DE787" s="11"/>
      <c r="DF787" s="11"/>
      <c r="DG787" s="11"/>
    </row>
    <row r="788" ht="15.75" customHeight="1">
      <c r="CT788" s="11"/>
      <c r="CU788" s="11"/>
      <c r="CV788" s="11"/>
      <c r="CW788" s="11"/>
      <c r="CX788" s="11"/>
      <c r="CY788" s="11"/>
      <c r="CZ788" s="11"/>
      <c r="DA788" s="11"/>
      <c r="DB788" s="11"/>
      <c r="DC788" s="11"/>
      <c r="DD788" s="11"/>
      <c r="DE788" s="11"/>
      <c r="DF788" s="11"/>
      <c r="DG788" s="11"/>
    </row>
    <row r="789" ht="15.75" customHeight="1">
      <c r="CT789" s="11"/>
      <c r="CU789" s="11"/>
      <c r="CV789" s="11"/>
      <c r="CW789" s="11"/>
      <c r="CX789" s="11"/>
      <c r="CY789" s="11"/>
      <c r="CZ789" s="11"/>
      <c r="DA789" s="11"/>
      <c r="DB789" s="11"/>
      <c r="DC789" s="11"/>
      <c r="DD789" s="11"/>
      <c r="DE789" s="11"/>
      <c r="DF789" s="11"/>
      <c r="DG789" s="11"/>
    </row>
    <row r="790" ht="15.75" customHeight="1">
      <c r="CT790" s="11"/>
      <c r="CU790" s="11"/>
      <c r="CV790" s="11"/>
      <c r="CW790" s="11"/>
      <c r="CX790" s="11"/>
      <c r="CY790" s="11"/>
      <c r="CZ790" s="11"/>
      <c r="DA790" s="11"/>
      <c r="DB790" s="11"/>
      <c r="DC790" s="11"/>
      <c r="DD790" s="11"/>
      <c r="DE790" s="11"/>
      <c r="DF790" s="11"/>
      <c r="DG790" s="11"/>
    </row>
    <row r="791" ht="15.75" customHeight="1">
      <c r="CT791" s="11"/>
      <c r="CU791" s="11"/>
      <c r="CV791" s="11"/>
      <c r="CW791" s="11"/>
      <c r="CX791" s="11"/>
      <c r="CY791" s="11"/>
      <c r="CZ791" s="11"/>
      <c r="DA791" s="11"/>
      <c r="DB791" s="11"/>
      <c r="DC791" s="11"/>
      <c r="DD791" s="11"/>
      <c r="DE791" s="11"/>
      <c r="DF791" s="11"/>
      <c r="DG791" s="11"/>
    </row>
    <row r="792" ht="15.75" customHeight="1">
      <c r="CT792" s="11"/>
      <c r="CU792" s="11"/>
      <c r="CV792" s="11"/>
      <c r="CW792" s="11"/>
      <c r="CX792" s="11"/>
      <c r="CY792" s="11"/>
      <c r="CZ792" s="11"/>
      <c r="DA792" s="11"/>
      <c r="DB792" s="11"/>
      <c r="DC792" s="11"/>
      <c r="DD792" s="11"/>
      <c r="DE792" s="11"/>
      <c r="DF792" s="11"/>
      <c r="DG792" s="11"/>
    </row>
    <row r="793" ht="15.75" customHeight="1">
      <c r="CT793" s="11"/>
      <c r="CU793" s="11"/>
      <c r="CV793" s="11"/>
      <c r="CW793" s="11"/>
      <c r="CX793" s="11"/>
      <c r="CY793" s="11"/>
      <c r="CZ793" s="11"/>
      <c r="DA793" s="11"/>
      <c r="DB793" s="11"/>
      <c r="DC793" s="11"/>
      <c r="DD793" s="11"/>
      <c r="DE793" s="11"/>
      <c r="DF793" s="11"/>
      <c r="DG793" s="11"/>
    </row>
    <row r="794" ht="15.75" customHeight="1">
      <c r="CT794" s="11"/>
      <c r="CU794" s="11"/>
      <c r="CV794" s="11"/>
      <c r="CW794" s="11"/>
      <c r="CX794" s="11"/>
      <c r="CY794" s="11"/>
      <c r="CZ794" s="11"/>
      <c r="DA794" s="11"/>
      <c r="DB794" s="11"/>
      <c r="DC794" s="11"/>
      <c r="DD794" s="11"/>
      <c r="DE794" s="11"/>
      <c r="DF794" s="11"/>
      <c r="DG794" s="11"/>
    </row>
    <row r="795" ht="15.75" customHeight="1">
      <c r="CT795" s="11"/>
      <c r="CU795" s="11"/>
      <c r="CV795" s="11"/>
      <c r="CW795" s="11"/>
      <c r="CX795" s="11"/>
      <c r="CY795" s="11"/>
      <c r="CZ795" s="11"/>
      <c r="DA795" s="11"/>
      <c r="DB795" s="11"/>
      <c r="DC795" s="11"/>
      <c r="DD795" s="11"/>
      <c r="DE795" s="11"/>
      <c r="DF795" s="11"/>
      <c r="DG795" s="11"/>
    </row>
    <row r="796" ht="15.75" customHeight="1">
      <c r="CT796" s="11"/>
      <c r="CU796" s="11"/>
      <c r="CV796" s="11"/>
      <c r="CW796" s="11"/>
      <c r="CX796" s="11"/>
      <c r="CY796" s="11"/>
      <c r="CZ796" s="11"/>
      <c r="DA796" s="11"/>
      <c r="DB796" s="11"/>
      <c r="DC796" s="11"/>
      <c r="DD796" s="11"/>
      <c r="DE796" s="11"/>
      <c r="DF796" s="11"/>
      <c r="DG796" s="11"/>
    </row>
    <row r="797" ht="15.75" customHeight="1">
      <c r="CT797" s="11"/>
      <c r="CU797" s="11"/>
      <c r="CV797" s="11"/>
      <c r="CW797" s="11"/>
      <c r="CX797" s="11"/>
      <c r="CY797" s="11"/>
      <c r="CZ797" s="11"/>
      <c r="DA797" s="11"/>
      <c r="DB797" s="11"/>
      <c r="DC797" s="11"/>
      <c r="DD797" s="11"/>
      <c r="DE797" s="11"/>
      <c r="DF797" s="11"/>
      <c r="DG797" s="11"/>
    </row>
    <row r="798" ht="15.75" customHeight="1">
      <c r="CT798" s="11"/>
      <c r="CU798" s="11"/>
      <c r="CV798" s="11"/>
      <c r="CW798" s="11"/>
      <c r="CX798" s="11"/>
      <c r="CY798" s="11"/>
      <c r="CZ798" s="11"/>
      <c r="DA798" s="11"/>
      <c r="DB798" s="11"/>
      <c r="DC798" s="11"/>
      <c r="DD798" s="11"/>
      <c r="DE798" s="11"/>
      <c r="DF798" s="11"/>
      <c r="DG798" s="11"/>
    </row>
    <row r="799" ht="15.75" customHeight="1">
      <c r="CT799" s="11"/>
      <c r="CU799" s="11"/>
      <c r="CV799" s="11"/>
      <c r="CW799" s="11"/>
      <c r="CX799" s="11"/>
      <c r="CY799" s="11"/>
      <c r="CZ799" s="11"/>
      <c r="DA799" s="11"/>
      <c r="DB799" s="11"/>
      <c r="DC799" s="11"/>
      <c r="DD799" s="11"/>
      <c r="DE799" s="11"/>
      <c r="DF799" s="11"/>
      <c r="DG799" s="11"/>
    </row>
    <row r="800" ht="15.75" customHeight="1">
      <c r="CT800" s="11"/>
      <c r="CU800" s="11"/>
      <c r="CV800" s="11"/>
      <c r="CW800" s="11"/>
      <c r="CX800" s="11"/>
      <c r="CY800" s="11"/>
      <c r="CZ800" s="11"/>
      <c r="DA800" s="11"/>
      <c r="DB800" s="11"/>
      <c r="DC800" s="11"/>
      <c r="DD800" s="11"/>
      <c r="DE800" s="11"/>
      <c r="DF800" s="11"/>
      <c r="DG800" s="11"/>
    </row>
    <row r="801" ht="15.75" customHeight="1">
      <c r="CT801" s="11"/>
      <c r="CU801" s="11"/>
      <c r="CV801" s="11"/>
      <c r="CW801" s="11"/>
      <c r="CX801" s="11"/>
      <c r="CY801" s="11"/>
      <c r="CZ801" s="11"/>
      <c r="DA801" s="11"/>
      <c r="DB801" s="11"/>
      <c r="DC801" s="11"/>
      <c r="DD801" s="11"/>
      <c r="DE801" s="11"/>
      <c r="DF801" s="11"/>
      <c r="DG801" s="11"/>
    </row>
    <row r="802" ht="15.75" customHeight="1">
      <c r="CT802" s="11"/>
      <c r="CU802" s="11"/>
      <c r="CV802" s="11"/>
      <c r="CW802" s="11"/>
      <c r="CX802" s="11"/>
      <c r="CY802" s="11"/>
      <c r="CZ802" s="11"/>
      <c r="DA802" s="11"/>
      <c r="DB802" s="11"/>
      <c r="DC802" s="11"/>
      <c r="DD802" s="11"/>
      <c r="DE802" s="11"/>
      <c r="DF802" s="11"/>
      <c r="DG802" s="11"/>
    </row>
    <row r="803" ht="15.75" customHeight="1">
      <c r="CT803" s="11"/>
      <c r="CU803" s="11"/>
      <c r="CV803" s="11"/>
      <c r="CW803" s="11"/>
      <c r="CX803" s="11"/>
      <c r="CY803" s="11"/>
      <c r="CZ803" s="11"/>
      <c r="DA803" s="11"/>
      <c r="DB803" s="11"/>
      <c r="DC803" s="11"/>
      <c r="DD803" s="11"/>
      <c r="DE803" s="11"/>
      <c r="DF803" s="11"/>
      <c r="DG803" s="11"/>
    </row>
    <row r="804" ht="15.75" customHeight="1">
      <c r="CT804" s="11"/>
      <c r="CU804" s="11"/>
      <c r="CV804" s="11"/>
      <c r="CW804" s="11"/>
      <c r="CX804" s="11"/>
      <c r="CY804" s="11"/>
      <c r="CZ804" s="11"/>
      <c r="DA804" s="11"/>
      <c r="DB804" s="11"/>
      <c r="DC804" s="11"/>
      <c r="DD804" s="11"/>
      <c r="DE804" s="11"/>
      <c r="DF804" s="11"/>
      <c r="DG804" s="11"/>
    </row>
    <row r="805" ht="15.75" customHeight="1">
      <c r="CT805" s="11"/>
      <c r="CU805" s="11"/>
      <c r="CV805" s="11"/>
      <c r="CW805" s="11"/>
      <c r="CX805" s="11"/>
      <c r="CY805" s="11"/>
      <c r="CZ805" s="11"/>
      <c r="DA805" s="11"/>
      <c r="DB805" s="11"/>
      <c r="DC805" s="11"/>
      <c r="DD805" s="11"/>
      <c r="DE805" s="11"/>
      <c r="DF805" s="11"/>
      <c r="DG805" s="11"/>
    </row>
    <row r="806" ht="15.75" customHeight="1">
      <c r="CT806" s="11"/>
      <c r="CU806" s="11"/>
      <c r="CV806" s="11"/>
      <c r="CW806" s="11"/>
      <c r="CX806" s="11"/>
      <c r="CY806" s="11"/>
      <c r="CZ806" s="11"/>
      <c r="DA806" s="11"/>
      <c r="DB806" s="11"/>
      <c r="DC806" s="11"/>
      <c r="DD806" s="11"/>
      <c r="DE806" s="11"/>
      <c r="DF806" s="11"/>
      <c r="DG806" s="11"/>
    </row>
    <row r="807" ht="15.75" customHeight="1">
      <c r="CT807" s="11"/>
      <c r="CU807" s="11"/>
      <c r="CV807" s="11"/>
      <c r="CW807" s="11"/>
      <c r="CX807" s="11"/>
      <c r="CY807" s="11"/>
      <c r="CZ807" s="11"/>
      <c r="DA807" s="11"/>
      <c r="DB807" s="11"/>
      <c r="DC807" s="11"/>
      <c r="DD807" s="11"/>
      <c r="DE807" s="11"/>
      <c r="DF807" s="11"/>
      <c r="DG807" s="11"/>
    </row>
    <row r="808" ht="15.75" customHeight="1">
      <c r="CT808" s="11"/>
      <c r="CU808" s="11"/>
      <c r="CV808" s="11"/>
      <c r="CW808" s="11"/>
      <c r="CX808" s="11"/>
      <c r="CY808" s="11"/>
      <c r="CZ808" s="11"/>
      <c r="DA808" s="11"/>
      <c r="DB808" s="11"/>
      <c r="DC808" s="11"/>
      <c r="DD808" s="11"/>
      <c r="DE808" s="11"/>
      <c r="DF808" s="11"/>
      <c r="DG808" s="11"/>
    </row>
    <row r="809" ht="15.75" customHeight="1">
      <c r="CT809" s="11"/>
      <c r="CU809" s="11"/>
      <c r="CV809" s="11"/>
      <c r="CW809" s="11"/>
      <c r="CX809" s="11"/>
      <c r="CY809" s="11"/>
      <c r="CZ809" s="11"/>
      <c r="DA809" s="11"/>
      <c r="DB809" s="11"/>
      <c r="DC809" s="11"/>
      <c r="DD809" s="11"/>
      <c r="DE809" s="11"/>
      <c r="DF809" s="11"/>
      <c r="DG809" s="11"/>
    </row>
    <row r="810" ht="15.75" customHeight="1">
      <c r="CT810" s="11"/>
      <c r="CU810" s="11"/>
      <c r="CV810" s="11"/>
      <c r="CW810" s="11"/>
      <c r="CX810" s="11"/>
      <c r="CY810" s="11"/>
      <c r="CZ810" s="11"/>
      <c r="DA810" s="11"/>
      <c r="DB810" s="11"/>
      <c r="DC810" s="11"/>
      <c r="DD810" s="11"/>
      <c r="DE810" s="11"/>
      <c r="DF810" s="11"/>
      <c r="DG810" s="11"/>
    </row>
    <row r="811" ht="15.75" customHeight="1">
      <c r="CT811" s="11"/>
      <c r="CU811" s="11"/>
      <c r="CV811" s="11"/>
      <c r="CW811" s="11"/>
      <c r="CX811" s="11"/>
      <c r="CY811" s="11"/>
      <c r="CZ811" s="11"/>
      <c r="DA811" s="11"/>
      <c r="DB811" s="11"/>
      <c r="DC811" s="11"/>
      <c r="DD811" s="11"/>
      <c r="DE811" s="11"/>
      <c r="DF811" s="11"/>
      <c r="DG811" s="11"/>
    </row>
    <row r="812" ht="15.75" customHeight="1">
      <c r="CT812" s="11"/>
      <c r="CU812" s="11"/>
      <c r="CV812" s="11"/>
      <c r="CW812" s="11"/>
      <c r="CX812" s="11"/>
      <c r="CY812" s="11"/>
      <c r="CZ812" s="11"/>
      <c r="DA812" s="11"/>
      <c r="DB812" s="11"/>
      <c r="DC812" s="11"/>
      <c r="DD812" s="11"/>
      <c r="DE812" s="11"/>
      <c r="DF812" s="11"/>
      <c r="DG812" s="11"/>
    </row>
    <row r="813" ht="15.75" customHeight="1">
      <c r="CT813" s="11"/>
      <c r="CU813" s="11"/>
      <c r="CV813" s="11"/>
      <c r="CW813" s="11"/>
      <c r="CX813" s="11"/>
      <c r="CY813" s="11"/>
      <c r="CZ813" s="11"/>
      <c r="DA813" s="11"/>
      <c r="DB813" s="11"/>
      <c r="DC813" s="11"/>
      <c r="DD813" s="11"/>
      <c r="DE813" s="11"/>
      <c r="DF813" s="11"/>
      <c r="DG813" s="11"/>
    </row>
    <row r="814" ht="15.75" customHeight="1">
      <c r="CT814" s="11"/>
      <c r="CU814" s="11"/>
      <c r="CV814" s="11"/>
      <c r="CW814" s="11"/>
      <c r="CX814" s="11"/>
      <c r="CY814" s="11"/>
      <c r="CZ814" s="11"/>
      <c r="DA814" s="11"/>
      <c r="DB814" s="11"/>
      <c r="DC814" s="11"/>
      <c r="DD814" s="11"/>
      <c r="DE814" s="11"/>
      <c r="DF814" s="11"/>
      <c r="DG814" s="11"/>
    </row>
    <row r="815" ht="15.75" customHeight="1">
      <c r="CT815" s="11"/>
      <c r="CU815" s="11"/>
      <c r="CV815" s="11"/>
      <c r="CW815" s="11"/>
      <c r="CX815" s="11"/>
      <c r="CY815" s="11"/>
      <c r="CZ815" s="11"/>
      <c r="DA815" s="11"/>
      <c r="DB815" s="11"/>
      <c r="DC815" s="11"/>
      <c r="DD815" s="11"/>
      <c r="DE815" s="11"/>
      <c r="DF815" s="11"/>
      <c r="DG815" s="11"/>
    </row>
    <row r="816" ht="15.75" customHeight="1">
      <c r="CT816" s="11"/>
      <c r="CU816" s="11"/>
      <c r="CV816" s="11"/>
      <c r="CW816" s="11"/>
      <c r="CX816" s="11"/>
      <c r="CY816" s="11"/>
      <c r="CZ816" s="11"/>
      <c r="DA816" s="11"/>
      <c r="DB816" s="11"/>
      <c r="DC816" s="11"/>
      <c r="DD816" s="11"/>
      <c r="DE816" s="11"/>
      <c r="DF816" s="11"/>
      <c r="DG816" s="11"/>
    </row>
    <row r="817" ht="15.75" customHeight="1">
      <c r="CT817" s="11"/>
      <c r="CU817" s="11"/>
      <c r="CV817" s="11"/>
      <c r="CW817" s="11"/>
      <c r="CX817" s="11"/>
      <c r="CY817" s="11"/>
      <c r="CZ817" s="11"/>
      <c r="DA817" s="11"/>
      <c r="DB817" s="11"/>
      <c r="DC817" s="11"/>
      <c r="DD817" s="11"/>
      <c r="DE817" s="11"/>
      <c r="DF817" s="11"/>
      <c r="DG817" s="11"/>
    </row>
    <row r="818" ht="15.75" customHeight="1">
      <c r="CT818" s="11"/>
      <c r="CU818" s="11"/>
      <c r="CV818" s="11"/>
      <c r="CW818" s="11"/>
      <c r="CX818" s="11"/>
      <c r="CY818" s="11"/>
      <c r="CZ818" s="11"/>
      <c r="DA818" s="11"/>
      <c r="DB818" s="11"/>
      <c r="DC818" s="11"/>
      <c r="DD818" s="11"/>
      <c r="DE818" s="11"/>
      <c r="DF818" s="11"/>
      <c r="DG818" s="11"/>
    </row>
    <row r="819" ht="15.75" customHeight="1">
      <c r="CT819" s="11"/>
      <c r="CU819" s="11"/>
      <c r="CV819" s="11"/>
      <c r="CW819" s="11"/>
      <c r="CX819" s="11"/>
      <c r="CY819" s="11"/>
      <c r="CZ819" s="11"/>
      <c r="DA819" s="11"/>
      <c r="DB819" s="11"/>
      <c r="DC819" s="11"/>
      <c r="DD819" s="11"/>
      <c r="DE819" s="11"/>
      <c r="DF819" s="11"/>
      <c r="DG819" s="11"/>
    </row>
    <row r="820" ht="15.75" customHeight="1">
      <c r="CT820" s="11"/>
      <c r="CU820" s="11"/>
      <c r="CV820" s="11"/>
      <c r="CW820" s="11"/>
      <c r="CX820" s="11"/>
      <c r="CY820" s="11"/>
      <c r="CZ820" s="11"/>
      <c r="DA820" s="11"/>
      <c r="DB820" s="11"/>
      <c r="DC820" s="11"/>
      <c r="DD820" s="11"/>
      <c r="DE820" s="11"/>
      <c r="DF820" s="11"/>
      <c r="DG820" s="11"/>
    </row>
    <row r="821" ht="15.75" customHeight="1">
      <c r="CT821" s="11"/>
      <c r="CU821" s="11"/>
      <c r="CV821" s="11"/>
      <c r="CW821" s="11"/>
      <c r="CX821" s="11"/>
      <c r="CY821" s="11"/>
      <c r="CZ821" s="11"/>
      <c r="DA821" s="11"/>
      <c r="DB821" s="11"/>
      <c r="DC821" s="11"/>
      <c r="DD821" s="11"/>
      <c r="DE821" s="11"/>
      <c r="DF821" s="11"/>
      <c r="DG821" s="11"/>
    </row>
    <row r="822" ht="15.75" customHeight="1">
      <c r="CT822" s="11"/>
      <c r="CU822" s="11"/>
      <c r="CV822" s="11"/>
      <c r="CW822" s="11"/>
      <c r="CX822" s="11"/>
      <c r="CY822" s="11"/>
      <c r="CZ822" s="11"/>
      <c r="DA822" s="11"/>
      <c r="DB822" s="11"/>
      <c r="DC822" s="11"/>
      <c r="DD822" s="11"/>
      <c r="DE822" s="11"/>
      <c r="DF822" s="11"/>
      <c r="DG822" s="11"/>
    </row>
    <row r="823" ht="15.75" customHeight="1">
      <c r="CT823" s="11"/>
      <c r="CU823" s="11"/>
      <c r="CV823" s="11"/>
      <c r="CW823" s="11"/>
      <c r="CX823" s="11"/>
      <c r="CY823" s="11"/>
      <c r="CZ823" s="11"/>
      <c r="DA823" s="11"/>
      <c r="DB823" s="11"/>
      <c r="DC823" s="11"/>
      <c r="DD823" s="11"/>
      <c r="DE823" s="11"/>
      <c r="DF823" s="11"/>
      <c r="DG823" s="11"/>
    </row>
    <row r="824" ht="15.75" customHeight="1">
      <c r="CT824" s="11"/>
      <c r="CU824" s="11"/>
      <c r="CV824" s="11"/>
      <c r="CW824" s="11"/>
      <c r="CX824" s="11"/>
      <c r="CY824" s="11"/>
      <c r="CZ824" s="11"/>
      <c r="DA824" s="11"/>
      <c r="DB824" s="11"/>
      <c r="DC824" s="11"/>
      <c r="DD824" s="11"/>
      <c r="DE824" s="11"/>
      <c r="DF824" s="11"/>
      <c r="DG824" s="11"/>
    </row>
    <row r="825" ht="15.75" customHeight="1">
      <c r="CT825" s="11"/>
      <c r="CU825" s="11"/>
      <c r="CV825" s="11"/>
      <c r="CW825" s="11"/>
      <c r="CX825" s="11"/>
      <c r="CY825" s="11"/>
      <c r="CZ825" s="11"/>
      <c r="DA825" s="11"/>
      <c r="DB825" s="11"/>
      <c r="DC825" s="11"/>
      <c r="DD825" s="11"/>
      <c r="DE825" s="11"/>
      <c r="DF825" s="11"/>
      <c r="DG825" s="11"/>
    </row>
    <row r="826" ht="15.75" customHeight="1">
      <c r="CT826" s="11"/>
      <c r="CU826" s="11"/>
      <c r="CV826" s="11"/>
      <c r="CW826" s="11"/>
      <c r="CX826" s="11"/>
      <c r="CY826" s="11"/>
      <c r="CZ826" s="11"/>
      <c r="DA826" s="11"/>
      <c r="DB826" s="11"/>
      <c r="DC826" s="11"/>
      <c r="DD826" s="11"/>
      <c r="DE826" s="11"/>
      <c r="DF826" s="11"/>
      <c r="DG826" s="11"/>
    </row>
    <row r="827" ht="15.75" customHeight="1">
      <c r="CT827" s="11"/>
      <c r="CU827" s="11"/>
      <c r="CV827" s="11"/>
      <c r="CW827" s="11"/>
      <c r="CX827" s="11"/>
      <c r="CY827" s="11"/>
      <c r="CZ827" s="11"/>
      <c r="DA827" s="11"/>
      <c r="DB827" s="11"/>
      <c r="DC827" s="11"/>
      <c r="DD827" s="11"/>
      <c r="DE827" s="11"/>
      <c r="DF827" s="11"/>
      <c r="DG827" s="11"/>
    </row>
    <row r="828" ht="15.75" customHeight="1">
      <c r="CT828" s="11"/>
      <c r="CU828" s="11"/>
      <c r="CV828" s="11"/>
      <c r="CW828" s="11"/>
      <c r="CX828" s="11"/>
      <c r="CY828" s="11"/>
      <c r="CZ828" s="11"/>
      <c r="DA828" s="11"/>
      <c r="DB828" s="11"/>
      <c r="DC828" s="11"/>
      <c r="DD828" s="11"/>
      <c r="DE828" s="11"/>
      <c r="DF828" s="11"/>
      <c r="DG828" s="11"/>
    </row>
    <row r="829" ht="15.75" customHeight="1">
      <c r="CT829" s="11"/>
      <c r="CU829" s="11"/>
      <c r="CV829" s="11"/>
      <c r="CW829" s="11"/>
      <c r="CX829" s="11"/>
      <c r="CY829" s="11"/>
      <c r="CZ829" s="11"/>
      <c r="DA829" s="11"/>
      <c r="DB829" s="11"/>
      <c r="DC829" s="11"/>
      <c r="DD829" s="11"/>
      <c r="DE829" s="11"/>
      <c r="DF829" s="11"/>
      <c r="DG829" s="11"/>
    </row>
    <row r="830" ht="15.75" customHeight="1">
      <c r="CT830" s="11"/>
      <c r="CU830" s="11"/>
      <c r="CV830" s="11"/>
      <c r="CW830" s="11"/>
      <c r="CX830" s="11"/>
      <c r="CY830" s="11"/>
      <c r="CZ830" s="11"/>
      <c r="DA830" s="11"/>
      <c r="DB830" s="11"/>
      <c r="DC830" s="11"/>
      <c r="DD830" s="11"/>
      <c r="DE830" s="11"/>
      <c r="DF830" s="11"/>
      <c r="DG830" s="11"/>
    </row>
    <row r="831" ht="15.75" customHeight="1">
      <c r="CT831" s="11"/>
      <c r="CU831" s="11"/>
      <c r="CV831" s="11"/>
      <c r="CW831" s="11"/>
      <c r="CX831" s="11"/>
      <c r="CY831" s="11"/>
      <c r="CZ831" s="11"/>
      <c r="DA831" s="11"/>
      <c r="DB831" s="11"/>
      <c r="DC831" s="11"/>
      <c r="DD831" s="11"/>
      <c r="DE831" s="11"/>
      <c r="DF831" s="11"/>
      <c r="DG831" s="11"/>
    </row>
    <row r="832" ht="15.75" customHeight="1">
      <c r="CT832" s="11"/>
      <c r="CU832" s="11"/>
      <c r="CV832" s="11"/>
      <c r="CW832" s="11"/>
      <c r="CX832" s="11"/>
      <c r="CY832" s="11"/>
      <c r="CZ832" s="11"/>
      <c r="DA832" s="11"/>
      <c r="DB832" s="11"/>
      <c r="DC832" s="11"/>
      <c r="DD832" s="11"/>
      <c r="DE832" s="11"/>
      <c r="DF832" s="11"/>
      <c r="DG832" s="11"/>
    </row>
    <row r="833" ht="15.75" customHeight="1">
      <c r="CT833" s="11"/>
      <c r="CU833" s="11"/>
      <c r="CV833" s="11"/>
      <c r="CW833" s="11"/>
      <c r="CX833" s="11"/>
      <c r="CY833" s="11"/>
      <c r="CZ833" s="11"/>
      <c r="DA833" s="11"/>
      <c r="DB833" s="11"/>
      <c r="DC833" s="11"/>
      <c r="DD833" s="11"/>
      <c r="DE833" s="11"/>
      <c r="DF833" s="11"/>
      <c r="DG833" s="11"/>
    </row>
    <row r="834" ht="15.75" customHeight="1">
      <c r="CT834" s="11"/>
      <c r="CU834" s="11"/>
      <c r="CV834" s="11"/>
      <c r="CW834" s="11"/>
      <c r="CX834" s="11"/>
      <c r="CY834" s="11"/>
      <c r="CZ834" s="11"/>
      <c r="DA834" s="11"/>
      <c r="DB834" s="11"/>
      <c r="DC834" s="11"/>
      <c r="DD834" s="11"/>
      <c r="DE834" s="11"/>
      <c r="DF834" s="11"/>
      <c r="DG834" s="11"/>
    </row>
    <row r="835" ht="15.75" customHeight="1">
      <c r="CT835" s="11"/>
      <c r="CU835" s="11"/>
      <c r="CV835" s="11"/>
      <c r="CW835" s="11"/>
      <c r="CX835" s="11"/>
      <c r="CY835" s="11"/>
      <c r="CZ835" s="11"/>
      <c r="DA835" s="11"/>
      <c r="DB835" s="11"/>
      <c r="DC835" s="11"/>
      <c r="DD835" s="11"/>
      <c r="DE835" s="11"/>
      <c r="DF835" s="11"/>
      <c r="DG835" s="11"/>
    </row>
    <row r="836" ht="15.75" customHeight="1">
      <c r="CT836" s="11"/>
      <c r="CU836" s="11"/>
      <c r="CV836" s="11"/>
      <c r="CW836" s="11"/>
      <c r="CX836" s="11"/>
      <c r="CY836" s="11"/>
      <c r="CZ836" s="11"/>
      <c r="DA836" s="11"/>
      <c r="DB836" s="11"/>
      <c r="DC836" s="11"/>
      <c r="DD836" s="11"/>
      <c r="DE836" s="11"/>
      <c r="DF836" s="11"/>
      <c r="DG836" s="11"/>
    </row>
    <row r="837" ht="15.75" customHeight="1">
      <c r="CT837" s="11"/>
      <c r="CU837" s="11"/>
      <c r="CV837" s="11"/>
      <c r="CW837" s="11"/>
      <c r="CX837" s="11"/>
      <c r="CY837" s="11"/>
      <c r="CZ837" s="11"/>
      <c r="DA837" s="11"/>
      <c r="DB837" s="11"/>
      <c r="DC837" s="11"/>
      <c r="DD837" s="11"/>
      <c r="DE837" s="11"/>
      <c r="DF837" s="11"/>
      <c r="DG837" s="11"/>
    </row>
    <row r="838" ht="15.75" customHeight="1">
      <c r="CT838" s="11"/>
      <c r="CU838" s="11"/>
      <c r="CV838" s="11"/>
      <c r="CW838" s="11"/>
      <c r="CX838" s="11"/>
      <c r="CY838" s="11"/>
      <c r="CZ838" s="11"/>
      <c r="DA838" s="11"/>
      <c r="DB838" s="11"/>
      <c r="DC838" s="11"/>
      <c r="DD838" s="11"/>
      <c r="DE838" s="11"/>
      <c r="DF838" s="11"/>
      <c r="DG838" s="11"/>
    </row>
    <row r="839" ht="15.75" customHeight="1">
      <c r="CT839" s="11"/>
      <c r="CU839" s="11"/>
      <c r="CV839" s="11"/>
      <c r="CW839" s="11"/>
      <c r="CX839" s="11"/>
      <c r="CY839" s="11"/>
      <c r="CZ839" s="11"/>
      <c r="DA839" s="11"/>
      <c r="DB839" s="11"/>
      <c r="DC839" s="11"/>
      <c r="DD839" s="11"/>
      <c r="DE839" s="11"/>
      <c r="DF839" s="11"/>
      <c r="DG839" s="11"/>
    </row>
    <row r="840" ht="15.75" customHeight="1">
      <c r="CT840" s="11"/>
      <c r="CU840" s="11"/>
      <c r="CV840" s="11"/>
      <c r="CW840" s="11"/>
      <c r="CX840" s="11"/>
      <c r="CY840" s="11"/>
      <c r="CZ840" s="11"/>
      <c r="DA840" s="11"/>
      <c r="DB840" s="11"/>
      <c r="DC840" s="11"/>
      <c r="DD840" s="11"/>
      <c r="DE840" s="11"/>
      <c r="DF840" s="11"/>
      <c r="DG840" s="11"/>
    </row>
    <row r="841" ht="15.75" customHeight="1">
      <c r="CT841" s="11"/>
      <c r="CU841" s="11"/>
      <c r="CV841" s="11"/>
      <c r="CW841" s="11"/>
      <c r="CX841" s="11"/>
      <c r="CY841" s="11"/>
      <c r="CZ841" s="11"/>
      <c r="DA841" s="11"/>
      <c r="DB841" s="11"/>
      <c r="DC841" s="11"/>
      <c r="DD841" s="11"/>
      <c r="DE841" s="11"/>
      <c r="DF841" s="11"/>
      <c r="DG841" s="11"/>
    </row>
    <row r="842" ht="15.75" customHeight="1">
      <c r="CT842" s="11"/>
      <c r="CU842" s="11"/>
      <c r="CV842" s="11"/>
      <c r="CW842" s="11"/>
      <c r="CX842" s="11"/>
      <c r="CY842" s="11"/>
      <c r="CZ842" s="11"/>
      <c r="DA842" s="11"/>
      <c r="DB842" s="11"/>
      <c r="DC842" s="11"/>
      <c r="DD842" s="11"/>
      <c r="DE842" s="11"/>
      <c r="DF842" s="11"/>
      <c r="DG842" s="11"/>
    </row>
    <row r="843" ht="15.75" customHeight="1">
      <c r="CT843" s="11"/>
      <c r="CU843" s="11"/>
      <c r="CV843" s="11"/>
      <c r="CW843" s="11"/>
      <c r="CX843" s="11"/>
      <c r="CY843" s="11"/>
      <c r="CZ843" s="11"/>
      <c r="DA843" s="11"/>
      <c r="DB843" s="11"/>
      <c r="DC843" s="11"/>
      <c r="DD843" s="11"/>
      <c r="DE843" s="11"/>
      <c r="DF843" s="11"/>
      <c r="DG843" s="11"/>
    </row>
    <row r="844" ht="15.75" customHeight="1">
      <c r="CT844" s="11"/>
      <c r="CU844" s="11"/>
      <c r="CV844" s="11"/>
      <c r="CW844" s="11"/>
      <c r="CX844" s="11"/>
      <c r="CY844" s="11"/>
      <c r="CZ844" s="11"/>
      <c r="DA844" s="11"/>
      <c r="DB844" s="11"/>
      <c r="DC844" s="11"/>
      <c r="DD844" s="11"/>
      <c r="DE844" s="11"/>
      <c r="DF844" s="11"/>
      <c r="DG844" s="11"/>
    </row>
    <row r="845" ht="15.75" customHeight="1">
      <c r="CT845" s="11"/>
      <c r="CU845" s="11"/>
      <c r="CV845" s="11"/>
      <c r="CW845" s="11"/>
      <c r="CX845" s="11"/>
      <c r="CY845" s="11"/>
      <c r="CZ845" s="11"/>
      <c r="DA845" s="11"/>
      <c r="DB845" s="11"/>
      <c r="DC845" s="11"/>
      <c r="DD845" s="11"/>
      <c r="DE845" s="11"/>
      <c r="DF845" s="11"/>
      <c r="DG845" s="11"/>
    </row>
    <row r="846" ht="15.75" customHeight="1">
      <c r="CT846" s="11"/>
      <c r="CU846" s="11"/>
      <c r="CV846" s="11"/>
      <c r="CW846" s="11"/>
      <c r="CX846" s="11"/>
      <c r="CY846" s="11"/>
      <c r="CZ846" s="11"/>
      <c r="DA846" s="11"/>
      <c r="DB846" s="11"/>
      <c r="DC846" s="11"/>
      <c r="DD846" s="11"/>
      <c r="DE846" s="11"/>
      <c r="DF846" s="11"/>
      <c r="DG846" s="11"/>
    </row>
    <row r="847" ht="15.75" customHeight="1">
      <c r="CT847" s="11"/>
      <c r="CU847" s="11"/>
      <c r="CV847" s="11"/>
      <c r="CW847" s="11"/>
      <c r="CX847" s="11"/>
      <c r="CY847" s="11"/>
      <c r="CZ847" s="11"/>
      <c r="DA847" s="11"/>
      <c r="DB847" s="11"/>
      <c r="DC847" s="11"/>
      <c r="DD847" s="11"/>
      <c r="DE847" s="11"/>
      <c r="DF847" s="11"/>
      <c r="DG847" s="11"/>
    </row>
    <row r="848" ht="15.75" customHeight="1">
      <c r="CT848" s="11"/>
      <c r="CU848" s="11"/>
      <c r="CV848" s="11"/>
      <c r="CW848" s="11"/>
      <c r="CX848" s="11"/>
      <c r="CY848" s="11"/>
      <c r="CZ848" s="11"/>
      <c r="DA848" s="11"/>
      <c r="DB848" s="11"/>
      <c r="DC848" s="11"/>
      <c r="DD848" s="11"/>
      <c r="DE848" s="11"/>
      <c r="DF848" s="11"/>
      <c r="DG848" s="11"/>
    </row>
    <row r="849" ht="15.75" customHeight="1">
      <c r="CT849" s="11"/>
      <c r="CU849" s="11"/>
      <c r="CV849" s="11"/>
      <c r="CW849" s="11"/>
      <c r="CX849" s="11"/>
      <c r="CY849" s="11"/>
      <c r="CZ849" s="11"/>
      <c r="DA849" s="11"/>
      <c r="DB849" s="11"/>
      <c r="DC849" s="11"/>
      <c r="DD849" s="11"/>
      <c r="DE849" s="11"/>
      <c r="DF849" s="11"/>
      <c r="DG849" s="11"/>
    </row>
    <row r="850" ht="15.75" customHeight="1">
      <c r="CT850" s="11"/>
      <c r="CU850" s="11"/>
      <c r="CV850" s="11"/>
      <c r="CW850" s="11"/>
      <c r="CX850" s="11"/>
      <c r="CY850" s="11"/>
      <c r="CZ850" s="11"/>
      <c r="DA850" s="11"/>
      <c r="DB850" s="11"/>
      <c r="DC850" s="11"/>
      <c r="DD850" s="11"/>
      <c r="DE850" s="11"/>
      <c r="DF850" s="11"/>
      <c r="DG850" s="11"/>
    </row>
    <row r="851" ht="15.75" customHeight="1">
      <c r="CT851" s="11"/>
      <c r="CU851" s="11"/>
      <c r="CV851" s="11"/>
      <c r="CW851" s="11"/>
      <c r="CX851" s="11"/>
      <c r="CY851" s="11"/>
      <c r="CZ851" s="11"/>
      <c r="DA851" s="11"/>
      <c r="DB851" s="11"/>
      <c r="DC851" s="11"/>
      <c r="DD851" s="11"/>
      <c r="DE851" s="11"/>
      <c r="DF851" s="11"/>
      <c r="DG851" s="11"/>
    </row>
    <row r="852" ht="15.75" customHeight="1">
      <c r="CT852" s="11"/>
      <c r="CU852" s="11"/>
      <c r="CV852" s="11"/>
      <c r="CW852" s="11"/>
      <c r="CX852" s="11"/>
      <c r="CY852" s="11"/>
      <c r="CZ852" s="11"/>
      <c r="DA852" s="11"/>
      <c r="DB852" s="11"/>
      <c r="DC852" s="11"/>
      <c r="DD852" s="11"/>
      <c r="DE852" s="11"/>
      <c r="DF852" s="11"/>
      <c r="DG852" s="11"/>
    </row>
    <row r="853" ht="15.75" customHeight="1">
      <c r="CT853" s="11"/>
      <c r="CU853" s="11"/>
      <c r="CV853" s="11"/>
      <c r="CW853" s="11"/>
      <c r="CX853" s="11"/>
      <c r="CY853" s="11"/>
      <c r="CZ853" s="11"/>
      <c r="DA853" s="11"/>
      <c r="DB853" s="11"/>
      <c r="DC853" s="11"/>
      <c r="DD853" s="11"/>
      <c r="DE853" s="11"/>
      <c r="DF853" s="11"/>
      <c r="DG853" s="11"/>
    </row>
    <row r="854" ht="15.75" customHeight="1">
      <c r="CT854" s="11"/>
      <c r="CU854" s="11"/>
      <c r="CV854" s="11"/>
      <c r="CW854" s="11"/>
      <c r="CX854" s="11"/>
      <c r="CY854" s="11"/>
      <c r="CZ854" s="11"/>
      <c r="DA854" s="11"/>
      <c r="DB854" s="11"/>
      <c r="DC854" s="11"/>
      <c r="DD854" s="11"/>
      <c r="DE854" s="11"/>
      <c r="DF854" s="11"/>
      <c r="DG854" s="11"/>
    </row>
    <row r="855" ht="15.75" customHeight="1">
      <c r="CT855" s="11"/>
      <c r="CU855" s="11"/>
      <c r="CV855" s="11"/>
      <c r="CW855" s="11"/>
      <c r="CX855" s="11"/>
      <c r="CY855" s="11"/>
      <c r="CZ855" s="11"/>
      <c r="DA855" s="11"/>
      <c r="DB855" s="11"/>
      <c r="DC855" s="11"/>
      <c r="DD855" s="11"/>
      <c r="DE855" s="11"/>
      <c r="DF855" s="11"/>
      <c r="DG855" s="11"/>
    </row>
    <row r="856" ht="15.75" customHeight="1">
      <c r="CT856" s="11"/>
      <c r="CU856" s="11"/>
      <c r="CV856" s="11"/>
      <c r="CW856" s="11"/>
      <c r="CX856" s="11"/>
      <c r="CY856" s="11"/>
      <c r="CZ856" s="11"/>
      <c r="DA856" s="11"/>
      <c r="DB856" s="11"/>
      <c r="DC856" s="11"/>
      <c r="DD856" s="11"/>
      <c r="DE856" s="11"/>
      <c r="DF856" s="11"/>
      <c r="DG856" s="11"/>
    </row>
    <row r="857" ht="15.75" customHeight="1">
      <c r="CT857" s="11"/>
      <c r="CU857" s="11"/>
      <c r="CV857" s="11"/>
      <c r="CW857" s="11"/>
      <c r="CX857" s="11"/>
      <c r="CY857" s="11"/>
      <c r="CZ857" s="11"/>
      <c r="DA857" s="11"/>
      <c r="DB857" s="11"/>
      <c r="DC857" s="11"/>
      <c r="DD857" s="11"/>
      <c r="DE857" s="11"/>
      <c r="DF857" s="11"/>
      <c r="DG857" s="11"/>
    </row>
    <row r="858" ht="15.75" customHeight="1">
      <c r="CT858" s="11"/>
      <c r="CU858" s="11"/>
      <c r="CV858" s="11"/>
      <c r="CW858" s="11"/>
      <c r="CX858" s="11"/>
      <c r="CY858" s="11"/>
      <c r="CZ858" s="11"/>
      <c r="DA858" s="11"/>
      <c r="DB858" s="11"/>
      <c r="DC858" s="11"/>
      <c r="DD858" s="11"/>
      <c r="DE858" s="11"/>
      <c r="DF858" s="11"/>
      <c r="DG858" s="11"/>
    </row>
    <row r="859" ht="15.75" customHeight="1">
      <c r="CT859" s="11"/>
      <c r="CU859" s="11"/>
      <c r="CV859" s="11"/>
      <c r="CW859" s="11"/>
      <c r="CX859" s="11"/>
      <c r="CY859" s="11"/>
      <c r="CZ859" s="11"/>
      <c r="DA859" s="11"/>
      <c r="DB859" s="11"/>
      <c r="DC859" s="11"/>
      <c r="DD859" s="11"/>
      <c r="DE859" s="11"/>
      <c r="DF859" s="11"/>
      <c r="DG859" s="11"/>
    </row>
    <row r="860" ht="15.75" customHeight="1">
      <c r="CT860" s="11"/>
      <c r="CU860" s="11"/>
      <c r="CV860" s="11"/>
      <c r="CW860" s="11"/>
      <c r="CX860" s="11"/>
      <c r="CY860" s="11"/>
      <c r="CZ860" s="11"/>
      <c r="DA860" s="11"/>
      <c r="DB860" s="11"/>
      <c r="DC860" s="11"/>
      <c r="DD860" s="11"/>
      <c r="DE860" s="11"/>
      <c r="DF860" s="11"/>
      <c r="DG860" s="11"/>
    </row>
    <row r="861" ht="15.75" customHeight="1">
      <c r="CT861" s="11"/>
      <c r="CU861" s="11"/>
      <c r="CV861" s="11"/>
      <c r="CW861" s="11"/>
      <c r="CX861" s="11"/>
      <c r="CY861" s="11"/>
      <c r="CZ861" s="11"/>
      <c r="DA861" s="11"/>
      <c r="DB861" s="11"/>
      <c r="DC861" s="11"/>
      <c r="DD861" s="11"/>
      <c r="DE861" s="11"/>
      <c r="DF861" s="11"/>
      <c r="DG861" s="11"/>
    </row>
    <row r="862" ht="15.75" customHeight="1">
      <c r="CT862" s="11"/>
      <c r="CU862" s="11"/>
      <c r="CV862" s="11"/>
      <c r="CW862" s="11"/>
      <c r="CX862" s="11"/>
      <c r="CY862" s="11"/>
      <c r="CZ862" s="11"/>
      <c r="DA862" s="11"/>
      <c r="DB862" s="11"/>
      <c r="DC862" s="11"/>
      <c r="DD862" s="11"/>
      <c r="DE862" s="11"/>
      <c r="DF862" s="11"/>
      <c r="DG862" s="11"/>
    </row>
    <row r="863" ht="15.75" customHeight="1">
      <c r="CT863" s="11"/>
      <c r="CU863" s="11"/>
      <c r="CV863" s="11"/>
      <c r="CW863" s="11"/>
      <c r="CX863" s="11"/>
      <c r="CY863" s="11"/>
      <c r="CZ863" s="11"/>
      <c r="DA863" s="11"/>
      <c r="DB863" s="11"/>
      <c r="DC863" s="11"/>
      <c r="DD863" s="11"/>
      <c r="DE863" s="11"/>
      <c r="DF863" s="11"/>
      <c r="DG863" s="11"/>
    </row>
    <row r="864" ht="15.75" customHeight="1">
      <c r="CT864" s="11"/>
      <c r="CU864" s="11"/>
      <c r="CV864" s="11"/>
      <c r="CW864" s="11"/>
      <c r="CX864" s="11"/>
      <c r="CY864" s="11"/>
      <c r="CZ864" s="11"/>
      <c r="DA864" s="11"/>
      <c r="DB864" s="11"/>
      <c r="DC864" s="11"/>
      <c r="DD864" s="11"/>
      <c r="DE864" s="11"/>
      <c r="DF864" s="11"/>
      <c r="DG864" s="11"/>
    </row>
    <row r="865" ht="15.75" customHeight="1">
      <c r="CT865" s="11"/>
      <c r="CU865" s="11"/>
      <c r="CV865" s="11"/>
      <c r="CW865" s="11"/>
      <c r="CX865" s="11"/>
      <c r="CY865" s="11"/>
      <c r="CZ865" s="11"/>
      <c r="DA865" s="11"/>
      <c r="DB865" s="11"/>
      <c r="DC865" s="11"/>
      <c r="DD865" s="11"/>
      <c r="DE865" s="11"/>
      <c r="DF865" s="11"/>
      <c r="DG865" s="11"/>
    </row>
    <row r="866" ht="15.75" customHeight="1">
      <c r="CT866" s="11"/>
      <c r="CU866" s="11"/>
      <c r="CV866" s="11"/>
      <c r="CW866" s="11"/>
      <c r="CX866" s="11"/>
      <c r="CY866" s="11"/>
      <c r="CZ866" s="11"/>
      <c r="DA866" s="11"/>
      <c r="DB866" s="11"/>
      <c r="DC866" s="11"/>
      <c r="DD866" s="11"/>
      <c r="DE866" s="11"/>
      <c r="DF866" s="11"/>
      <c r="DG866" s="11"/>
    </row>
    <row r="867" ht="15.75" customHeight="1">
      <c r="CT867" s="11"/>
      <c r="CU867" s="11"/>
      <c r="CV867" s="11"/>
      <c r="CW867" s="11"/>
      <c r="CX867" s="11"/>
      <c r="CY867" s="11"/>
      <c r="CZ867" s="11"/>
      <c r="DA867" s="11"/>
      <c r="DB867" s="11"/>
      <c r="DC867" s="11"/>
      <c r="DD867" s="11"/>
      <c r="DE867" s="11"/>
      <c r="DF867" s="11"/>
      <c r="DG867" s="11"/>
    </row>
    <row r="868" ht="15.75" customHeight="1">
      <c r="CT868" s="11"/>
      <c r="CU868" s="11"/>
      <c r="CV868" s="11"/>
      <c r="CW868" s="11"/>
      <c r="CX868" s="11"/>
      <c r="CY868" s="11"/>
      <c r="CZ868" s="11"/>
      <c r="DA868" s="11"/>
      <c r="DB868" s="11"/>
      <c r="DC868" s="11"/>
      <c r="DD868" s="11"/>
      <c r="DE868" s="11"/>
      <c r="DF868" s="11"/>
      <c r="DG868" s="11"/>
    </row>
    <row r="869" ht="15.75" customHeight="1">
      <c r="CT869" s="11"/>
      <c r="CU869" s="11"/>
      <c r="CV869" s="11"/>
      <c r="CW869" s="11"/>
      <c r="CX869" s="11"/>
      <c r="CY869" s="11"/>
      <c r="CZ869" s="11"/>
      <c r="DA869" s="11"/>
      <c r="DB869" s="11"/>
      <c r="DC869" s="11"/>
      <c r="DD869" s="11"/>
      <c r="DE869" s="11"/>
      <c r="DF869" s="11"/>
      <c r="DG869" s="11"/>
    </row>
    <row r="870" ht="15.75" customHeight="1">
      <c r="CT870" s="11"/>
      <c r="CU870" s="11"/>
      <c r="CV870" s="11"/>
      <c r="CW870" s="11"/>
      <c r="CX870" s="11"/>
      <c r="CY870" s="11"/>
      <c r="CZ870" s="11"/>
      <c r="DA870" s="11"/>
      <c r="DB870" s="11"/>
      <c r="DC870" s="11"/>
      <c r="DD870" s="11"/>
      <c r="DE870" s="11"/>
      <c r="DF870" s="11"/>
      <c r="DG870" s="11"/>
    </row>
    <row r="871" ht="15.75" customHeight="1">
      <c r="CT871" s="11"/>
      <c r="CU871" s="11"/>
      <c r="CV871" s="11"/>
      <c r="CW871" s="11"/>
      <c r="CX871" s="11"/>
      <c r="CY871" s="11"/>
      <c r="CZ871" s="11"/>
      <c r="DA871" s="11"/>
      <c r="DB871" s="11"/>
      <c r="DC871" s="11"/>
      <c r="DD871" s="11"/>
      <c r="DE871" s="11"/>
      <c r="DF871" s="11"/>
      <c r="DG871" s="11"/>
    </row>
    <row r="872" ht="15.75" customHeight="1">
      <c r="CT872" s="11"/>
      <c r="CU872" s="11"/>
      <c r="CV872" s="11"/>
      <c r="CW872" s="11"/>
      <c r="CX872" s="11"/>
      <c r="CY872" s="11"/>
      <c r="CZ872" s="11"/>
      <c r="DA872" s="11"/>
      <c r="DB872" s="11"/>
      <c r="DC872" s="11"/>
      <c r="DD872" s="11"/>
      <c r="DE872" s="11"/>
      <c r="DF872" s="11"/>
      <c r="DG872" s="11"/>
    </row>
    <row r="873" ht="15.75" customHeight="1">
      <c r="CT873" s="11"/>
      <c r="CU873" s="11"/>
      <c r="CV873" s="11"/>
      <c r="CW873" s="11"/>
      <c r="CX873" s="11"/>
      <c r="CY873" s="11"/>
      <c r="CZ873" s="11"/>
      <c r="DA873" s="11"/>
      <c r="DB873" s="11"/>
      <c r="DC873" s="11"/>
      <c r="DD873" s="11"/>
      <c r="DE873" s="11"/>
      <c r="DF873" s="11"/>
      <c r="DG873" s="11"/>
    </row>
    <row r="874" ht="15.75" customHeight="1">
      <c r="CT874" s="11"/>
      <c r="CU874" s="11"/>
      <c r="CV874" s="11"/>
      <c r="CW874" s="11"/>
      <c r="CX874" s="11"/>
      <c r="CY874" s="11"/>
      <c r="CZ874" s="11"/>
      <c r="DA874" s="11"/>
      <c r="DB874" s="11"/>
      <c r="DC874" s="11"/>
      <c r="DD874" s="11"/>
      <c r="DE874" s="11"/>
      <c r="DF874" s="11"/>
      <c r="DG874" s="11"/>
    </row>
    <row r="875" ht="15.75" customHeight="1">
      <c r="CT875" s="11"/>
      <c r="CU875" s="11"/>
      <c r="CV875" s="11"/>
      <c r="CW875" s="11"/>
      <c r="CX875" s="11"/>
      <c r="CY875" s="11"/>
      <c r="CZ875" s="11"/>
      <c r="DA875" s="11"/>
      <c r="DB875" s="11"/>
      <c r="DC875" s="11"/>
      <c r="DD875" s="11"/>
      <c r="DE875" s="11"/>
      <c r="DF875" s="11"/>
      <c r="DG875" s="11"/>
    </row>
    <row r="876" ht="15.75" customHeight="1">
      <c r="CT876" s="11"/>
      <c r="CU876" s="11"/>
      <c r="CV876" s="11"/>
      <c r="CW876" s="11"/>
      <c r="CX876" s="11"/>
      <c r="CY876" s="11"/>
      <c r="CZ876" s="11"/>
      <c r="DA876" s="11"/>
      <c r="DB876" s="11"/>
      <c r="DC876" s="11"/>
      <c r="DD876" s="11"/>
      <c r="DE876" s="11"/>
      <c r="DF876" s="11"/>
      <c r="DG876" s="11"/>
    </row>
    <row r="877" ht="15.75" customHeight="1">
      <c r="CT877" s="11"/>
      <c r="CU877" s="11"/>
      <c r="CV877" s="11"/>
      <c r="CW877" s="11"/>
      <c r="CX877" s="11"/>
      <c r="CY877" s="11"/>
      <c r="CZ877" s="11"/>
      <c r="DA877" s="11"/>
      <c r="DB877" s="11"/>
      <c r="DC877" s="11"/>
      <c r="DD877" s="11"/>
      <c r="DE877" s="11"/>
      <c r="DF877" s="11"/>
      <c r="DG877" s="11"/>
    </row>
    <row r="878" ht="15.75" customHeight="1">
      <c r="CT878" s="11"/>
      <c r="CU878" s="11"/>
      <c r="CV878" s="11"/>
      <c r="CW878" s="11"/>
      <c r="CX878" s="11"/>
      <c r="CY878" s="11"/>
      <c r="CZ878" s="11"/>
      <c r="DA878" s="11"/>
      <c r="DB878" s="11"/>
      <c r="DC878" s="11"/>
      <c r="DD878" s="11"/>
      <c r="DE878" s="11"/>
      <c r="DF878" s="11"/>
      <c r="DG878" s="11"/>
    </row>
    <row r="879" ht="15.75" customHeight="1">
      <c r="CT879" s="11"/>
      <c r="CU879" s="11"/>
      <c r="CV879" s="11"/>
      <c r="CW879" s="11"/>
      <c r="CX879" s="11"/>
      <c r="CY879" s="11"/>
      <c r="CZ879" s="11"/>
      <c r="DA879" s="11"/>
      <c r="DB879" s="11"/>
      <c r="DC879" s="11"/>
      <c r="DD879" s="11"/>
      <c r="DE879" s="11"/>
      <c r="DF879" s="11"/>
      <c r="DG879" s="11"/>
    </row>
    <row r="880" ht="15.75" customHeight="1">
      <c r="CT880" s="11"/>
      <c r="CU880" s="11"/>
      <c r="CV880" s="11"/>
      <c r="CW880" s="11"/>
      <c r="CX880" s="11"/>
      <c r="CY880" s="11"/>
      <c r="CZ880" s="11"/>
      <c r="DA880" s="11"/>
      <c r="DB880" s="11"/>
      <c r="DC880" s="11"/>
      <c r="DD880" s="11"/>
      <c r="DE880" s="11"/>
      <c r="DF880" s="11"/>
      <c r="DG880" s="11"/>
    </row>
    <row r="881" ht="15.75" customHeight="1">
      <c r="CT881" s="11"/>
      <c r="CU881" s="11"/>
      <c r="CV881" s="11"/>
      <c r="CW881" s="11"/>
      <c r="CX881" s="11"/>
      <c r="CY881" s="11"/>
      <c r="CZ881" s="11"/>
      <c r="DA881" s="11"/>
      <c r="DB881" s="11"/>
      <c r="DC881" s="11"/>
      <c r="DD881" s="11"/>
      <c r="DE881" s="11"/>
      <c r="DF881" s="11"/>
      <c r="DG881" s="11"/>
    </row>
    <row r="882" ht="15.75" customHeight="1">
      <c r="CT882" s="11"/>
      <c r="CU882" s="11"/>
      <c r="CV882" s="11"/>
      <c r="CW882" s="11"/>
      <c r="CX882" s="11"/>
      <c r="CY882" s="11"/>
      <c r="CZ882" s="11"/>
      <c r="DA882" s="11"/>
      <c r="DB882" s="11"/>
      <c r="DC882" s="11"/>
      <c r="DD882" s="11"/>
      <c r="DE882" s="11"/>
      <c r="DF882" s="11"/>
      <c r="DG882" s="11"/>
    </row>
    <row r="883" ht="15.75" customHeight="1">
      <c r="CT883" s="11"/>
      <c r="CU883" s="11"/>
      <c r="CV883" s="11"/>
      <c r="CW883" s="11"/>
      <c r="CX883" s="11"/>
      <c r="CY883" s="11"/>
      <c r="CZ883" s="11"/>
      <c r="DA883" s="11"/>
      <c r="DB883" s="11"/>
      <c r="DC883" s="11"/>
      <c r="DD883" s="11"/>
      <c r="DE883" s="11"/>
      <c r="DF883" s="11"/>
      <c r="DG883" s="11"/>
    </row>
    <row r="884" ht="15.75" customHeight="1">
      <c r="CT884" s="11"/>
      <c r="CU884" s="11"/>
      <c r="CV884" s="11"/>
      <c r="CW884" s="11"/>
      <c r="CX884" s="11"/>
      <c r="CY884" s="11"/>
      <c r="CZ884" s="11"/>
      <c r="DA884" s="11"/>
      <c r="DB884" s="11"/>
      <c r="DC884" s="11"/>
      <c r="DD884" s="11"/>
      <c r="DE884" s="11"/>
      <c r="DF884" s="11"/>
      <c r="DG884" s="11"/>
    </row>
    <row r="885" ht="15.75" customHeight="1">
      <c r="CT885" s="11"/>
      <c r="CU885" s="11"/>
      <c r="CV885" s="11"/>
      <c r="CW885" s="11"/>
      <c r="CX885" s="11"/>
      <c r="CY885" s="11"/>
      <c r="CZ885" s="11"/>
      <c r="DA885" s="11"/>
      <c r="DB885" s="11"/>
      <c r="DC885" s="11"/>
      <c r="DD885" s="11"/>
      <c r="DE885" s="11"/>
      <c r="DF885" s="11"/>
      <c r="DG885" s="11"/>
    </row>
    <row r="886" ht="15.75" customHeight="1">
      <c r="CT886" s="11"/>
      <c r="CU886" s="11"/>
      <c r="CV886" s="11"/>
      <c r="CW886" s="11"/>
      <c r="CX886" s="11"/>
      <c r="CY886" s="11"/>
      <c r="CZ886" s="11"/>
      <c r="DA886" s="11"/>
      <c r="DB886" s="11"/>
      <c r="DC886" s="11"/>
      <c r="DD886" s="11"/>
      <c r="DE886" s="11"/>
      <c r="DF886" s="11"/>
      <c r="DG886" s="11"/>
    </row>
    <row r="887" ht="15.75" customHeight="1">
      <c r="CT887" s="11"/>
      <c r="CU887" s="11"/>
      <c r="CV887" s="11"/>
      <c r="CW887" s="11"/>
      <c r="CX887" s="11"/>
      <c r="CY887" s="11"/>
      <c r="CZ887" s="11"/>
      <c r="DA887" s="11"/>
      <c r="DB887" s="11"/>
      <c r="DC887" s="11"/>
      <c r="DD887" s="11"/>
      <c r="DE887" s="11"/>
      <c r="DF887" s="11"/>
      <c r="DG887" s="11"/>
    </row>
    <row r="888" ht="15.75" customHeight="1">
      <c r="CT888" s="11"/>
      <c r="CU888" s="11"/>
      <c r="CV888" s="11"/>
      <c r="CW888" s="11"/>
      <c r="CX888" s="11"/>
      <c r="CY888" s="11"/>
      <c r="CZ888" s="11"/>
      <c r="DA888" s="11"/>
      <c r="DB888" s="11"/>
      <c r="DC888" s="11"/>
      <c r="DD888" s="11"/>
      <c r="DE888" s="11"/>
      <c r="DF888" s="11"/>
      <c r="DG888" s="11"/>
    </row>
    <row r="889" ht="15.75" customHeight="1">
      <c r="CT889" s="11"/>
      <c r="CU889" s="11"/>
      <c r="CV889" s="11"/>
      <c r="CW889" s="11"/>
      <c r="CX889" s="11"/>
      <c r="CY889" s="11"/>
      <c r="CZ889" s="11"/>
      <c r="DA889" s="11"/>
      <c r="DB889" s="11"/>
      <c r="DC889" s="11"/>
      <c r="DD889" s="11"/>
      <c r="DE889" s="11"/>
      <c r="DF889" s="11"/>
      <c r="DG889" s="11"/>
    </row>
    <row r="890" ht="15.75" customHeight="1">
      <c r="CT890" s="11"/>
      <c r="CU890" s="11"/>
      <c r="CV890" s="11"/>
      <c r="CW890" s="11"/>
      <c r="CX890" s="11"/>
      <c r="CY890" s="11"/>
      <c r="CZ890" s="11"/>
      <c r="DA890" s="11"/>
      <c r="DB890" s="11"/>
      <c r="DC890" s="11"/>
      <c r="DD890" s="11"/>
      <c r="DE890" s="11"/>
      <c r="DF890" s="11"/>
      <c r="DG890" s="11"/>
    </row>
    <row r="891" ht="15.75" customHeight="1">
      <c r="CT891" s="11"/>
      <c r="CU891" s="11"/>
      <c r="CV891" s="11"/>
      <c r="CW891" s="11"/>
      <c r="CX891" s="11"/>
      <c r="CY891" s="11"/>
      <c r="CZ891" s="11"/>
      <c r="DA891" s="11"/>
      <c r="DB891" s="11"/>
      <c r="DC891" s="11"/>
      <c r="DD891" s="11"/>
      <c r="DE891" s="11"/>
      <c r="DF891" s="11"/>
      <c r="DG891" s="11"/>
    </row>
    <row r="892" ht="15.75" customHeight="1">
      <c r="CT892" s="11"/>
      <c r="CU892" s="11"/>
      <c r="CV892" s="11"/>
      <c r="CW892" s="11"/>
      <c r="CX892" s="11"/>
      <c r="CY892" s="11"/>
      <c r="CZ892" s="11"/>
      <c r="DA892" s="11"/>
      <c r="DB892" s="11"/>
      <c r="DC892" s="11"/>
      <c r="DD892" s="11"/>
      <c r="DE892" s="11"/>
      <c r="DF892" s="11"/>
      <c r="DG892" s="11"/>
    </row>
    <row r="893" ht="15.75" customHeight="1">
      <c r="CT893" s="11"/>
      <c r="CU893" s="11"/>
      <c r="CV893" s="11"/>
      <c r="CW893" s="11"/>
      <c r="CX893" s="11"/>
      <c r="CY893" s="11"/>
      <c r="CZ893" s="11"/>
      <c r="DA893" s="11"/>
      <c r="DB893" s="11"/>
      <c r="DC893" s="11"/>
      <c r="DD893" s="11"/>
      <c r="DE893" s="11"/>
      <c r="DF893" s="11"/>
      <c r="DG893" s="11"/>
    </row>
    <row r="894" ht="15.75" customHeight="1">
      <c r="CT894" s="11"/>
      <c r="CU894" s="11"/>
      <c r="CV894" s="11"/>
      <c r="CW894" s="11"/>
      <c r="CX894" s="11"/>
      <c r="CY894" s="11"/>
      <c r="CZ894" s="11"/>
      <c r="DA894" s="11"/>
      <c r="DB894" s="11"/>
      <c r="DC894" s="11"/>
      <c r="DD894" s="11"/>
      <c r="DE894" s="11"/>
      <c r="DF894" s="11"/>
      <c r="DG894" s="11"/>
    </row>
    <row r="895" ht="15.75" customHeight="1">
      <c r="CT895" s="11"/>
      <c r="CU895" s="11"/>
      <c r="CV895" s="11"/>
      <c r="CW895" s="11"/>
      <c r="CX895" s="11"/>
      <c r="CY895" s="11"/>
      <c r="CZ895" s="11"/>
      <c r="DA895" s="11"/>
      <c r="DB895" s="11"/>
      <c r="DC895" s="11"/>
      <c r="DD895" s="11"/>
      <c r="DE895" s="11"/>
      <c r="DF895" s="11"/>
      <c r="DG895" s="11"/>
    </row>
    <row r="896" ht="15.75" customHeight="1">
      <c r="CT896" s="11"/>
      <c r="CU896" s="11"/>
      <c r="CV896" s="11"/>
      <c r="CW896" s="11"/>
      <c r="CX896" s="11"/>
      <c r="CY896" s="11"/>
      <c r="CZ896" s="11"/>
      <c r="DA896" s="11"/>
      <c r="DB896" s="11"/>
      <c r="DC896" s="11"/>
      <c r="DD896" s="11"/>
      <c r="DE896" s="11"/>
      <c r="DF896" s="11"/>
      <c r="DG896" s="11"/>
    </row>
    <row r="897" ht="15.75" customHeight="1">
      <c r="CT897" s="11"/>
      <c r="CU897" s="11"/>
      <c r="CV897" s="11"/>
      <c r="CW897" s="11"/>
      <c r="CX897" s="11"/>
      <c r="CY897" s="11"/>
      <c r="CZ897" s="11"/>
      <c r="DA897" s="11"/>
      <c r="DB897" s="11"/>
      <c r="DC897" s="11"/>
      <c r="DD897" s="11"/>
      <c r="DE897" s="11"/>
      <c r="DF897" s="11"/>
      <c r="DG897" s="11"/>
    </row>
    <row r="898" ht="15.75" customHeight="1">
      <c r="CT898" s="11"/>
      <c r="CU898" s="11"/>
      <c r="CV898" s="11"/>
      <c r="CW898" s="11"/>
      <c r="CX898" s="11"/>
      <c r="CY898" s="11"/>
      <c r="CZ898" s="11"/>
      <c r="DA898" s="11"/>
      <c r="DB898" s="11"/>
      <c r="DC898" s="11"/>
      <c r="DD898" s="11"/>
      <c r="DE898" s="11"/>
      <c r="DF898" s="11"/>
      <c r="DG898" s="11"/>
    </row>
    <row r="899" ht="15.75" customHeight="1">
      <c r="CT899" s="11"/>
      <c r="CU899" s="11"/>
      <c r="CV899" s="11"/>
      <c r="CW899" s="11"/>
      <c r="CX899" s="11"/>
      <c r="CY899" s="11"/>
      <c r="CZ899" s="11"/>
      <c r="DA899" s="11"/>
      <c r="DB899" s="11"/>
      <c r="DC899" s="11"/>
      <c r="DD899" s="11"/>
      <c r="DE899" s="11"/>
      <c r="DF899" s="11"/>
      <c r="DG899" s="11"/>
    </row>
    <row r="900" ht="15.75" customHeight="1">
      <c r="CT900" s="11"/>
      <c r="CU900" s="11"/>
      <c r="CV900" s="11"/>
      <c r="CW900" s="11"/>
      <c r="CX900" s="11"/>
      <c r="CY900" s="11"/>
      <c r="CZ900" s="11"/>
      <c r="DA900" s="11"/>
      <c r="DB900" s="11"/>
      <c r="DC900" s="11"/>
      <c r="DD900" s="11"/>
      <c r="DE900" s="11"/>
      <c r="DF900" s="11"/>
      <c r="DG900" s="11"/>
    </row>
    <row r="901" ht="15.75" customHeight="1">
      <c r="CT901" s="11"/>
      <c r="CU901" s="11"/>
      <c r="CV901" s="11"/>
      <c r="CW901" s="11"/>
      <c r="CX901" s="11"/>
      <c r="CY901" s="11"/>
      <c r="CZ901" s="11"/>
      <c r="DA901" s="11"/>
      <c r="DB901" s="11"/>
      <c r="DC901" s="11"/>
      <c r="DD901" s="11"/>
      <c r="DE901" s="11"/>
      <c r="DF901" s="11"/>
      <c r="DG901" s="11"/>
    </row>
    <row r="902" ht="15.75" customHeight="1">
      <c r="CT902" s="11"/>
      <c r="CU902" s="11"/>
      <c r="CV902" s="11"/>
      <c r="CW902" s="11"/>
      <c r="CX902" s="11"/>
      <c r="CY902" s="11"/>
      <c r="CZ902" s="11"/>
      <c r="DA902" s="11"/>
      <c r="DB902" s="11"/>
      <c r="DC902" s="11"/>
      <c r="DD902" s="11"/>
      <c r="DE902" s="11"/>
      <c r="DF902" s="11"/>
      <c r="DG902" s="11"/>
    </row>
    <row r="903" ht="15.75" customHeight="1">
      <c r="CT903" s="11"/>
      <c r="CU903" s="11"/>
      <c r="CV903" s="11"/>
      <c r="CW903" s="11"/>
      <c r="CX903" s="11"/>
      <c r="CY903" s="11"/>
      <c r="CZ903" s="11"/>
      <c r="DA903" s="11"/>
      <c r="DB903" s="11"/>
      <c r="DC903" s="11"/>
      <c r="DD903" s="11"/>
      <c r="DE903" s="11"/>
      <c r="DF903" s="11"/>
      <c r="DG903" s="11"/>
    </row>
    <row r="904" ht="15.75" customHeight="1">
      <c r="CT904" s="11"/>
      <c r="CU904" s="11"/>
      <c r="CV904" s="11"/>
      <c r="CW904" s="11"/>
      <c r="CX904" s="11"/>
      <c r="CY904" s="11"/>
      <c r="CZ904" s="11"/>
      <c r="DA904" s="11"/>
      <c r="DB904" s="11"/>
      <c r="DC904" s="11"/>
      <c r="DD904" s="11"/>
      <c r="DE904" s="11"/>
      <c r="DF904" s="11"/>
      <c r="DG904" s="11"/>
    </row>
    <row r="905" ht="15.75" customHeight="1">
      <c r="CT905" s="11"/>
      <c r="CU905" s="11"/>
      <c r="CV905" s="11"/>
      <c r="CW905" s="11"/>
      <c r="CX905" s="11"/>
      <c r="CY905" s="11"/>
      <c r="CZ905" s="11"/>
      <c r="DA905" s="11"/>
      <c r="DB905" s="11"/>
      <c r="DC905" s="11"/>
      <c r="DD905" s="11"/>
      <c r="DE905" s="11"/>
      <c r="DF905" s="11"/>
      <c r="DG905" s="11"/>
    </row>
    <row r="906" ht="15.75" customHeight="1">
      <c r="CT906" s="11"/>
      <c r="CU906" s="11"/>
      <c r="CV906" s="11"/>
      <c r="CW906" s="11"/>
      <c r="CX906" s="11"/>
      <c r="CY906" s="11"/>
      <c r="CZ906" s="11"/>
      <c r="DA906" s="11"/>
      <c r="DB906" s="11"/>
      <c r="DC906" s="11"/>
      <c r="DD906" s="11"/>
      <c r="DE906" s="11"/>
      <c r="DF906" s="11"/>
      <c r="DG906" s="11"/>
    </row>
    <row r="907" ht="15.75" customHeight="1">
      <c r="CT907" s="11"/>
      <c r="CU907" s="11"/>
      <c r="CV907" s="11"/>
      <c r="CW907" s="11"/>
      <c r="CX907" s="11"/>
      <c r="CY907" s="11"/>
      <c r="CZ907" s="11"/>
      <c r="DA907" s="11"/>
      <c r="DB907" s="11"/>
      <c r="DC907" s="11"/>
      <c r="DD907" s="11"/>
      <c r="DE907" s="11"/>
      <c r="DF907" s="11"/>
      <c r="DG907" s="11"/>
    </row>
    <row r="908" ht="15.75" customHeight="1">
      <c r="CT908" s="11"/>
      <c r="CU908" s="11"/>
      <c r="CV908" s="11"/>
      <c r="CW908" s="11"/>
      <c r="CX908" s="11"/>
      <c r="CY908" s="11"/>
      <c r="CZ908" s="11"/>
      <c r="DA908" s="11"/>
      <c r="DB908" s="11"/>
      <c r="DC908" s="11"/>
      <c r="DD908" s="11"/>
      <c r="DE908" s="11"/>
      <c r="DF908" s="11"/>
      <c r="DG908" s="11"/>
    </row>
    <row r="909" ht="15.75" customHeight="1">
      <c r="CT909" s="11"/>
      <c r="CU909" s="11"/>
      <c r="CV909" s="11"/>
      <c r="CW909" s="11"/>
      <c r="CX909" s="11"/>
      <c r="CY909" s="11"/>
      <c r="CZ909" s="11"/>
      <c r="DA909" s="11"/>
      <c r="DB909" s="11"/>
      <c r="DC909" s="11"/>
      <c r="DD909" s="11"/>
      <c r="DE909" s="11"/>
      <c r="DF909" s="11"/>
      <c r="DG909" s="11"/>
    </row>
    <row r="910" ht="15.75" customHeight="1">
      <c r="CT910" s="11"/>
      <c r="CU910" s="11"/>
      <c r="CV910" s="11"/>
      <c r="CW910" s="11"/>
      <c r="CX910" s="11"/>
      <c r="CY910" s="11"/>
      <c r="CZ910" s="11"/>
      <c r="DA910" s="11"/>
      <c r="DB910" s="11"/>
      <c r="DC910" s="11"/>
      <c r="DD910" s="11"/>
      <c r="DE910" s="11"/>
      <c r="DF910" s="11"/>
      <c r="DG910" s="11"/>
    </row>
    <row r="911" ht="15.75" customHeight="1">
      <c r="CT911" s="11"/>
      <c r="CU911" s="11"/>
      <c r="CV911" s="11"/>
      <c r="CW911" s="11"/>
      <c r="CX911" s="11"/>
      <c r="CY911" s="11"/>
      <c r="CZ911" s="11"/>
      <c r="DA911" s="11"/>
      <c r="DB911" s="11"/>
      <c r="DC911" s="11"/>
      <c r="DD911" s="11"/>
      <c r="DE911" s="11"/>
      <c r="DF911" s="11"/>
      <c r="DG911" s="11"/>
    </row>
    <row r="912" ht="15.75" customHeight="1">
      <c r="CT912" s="11"/>
      <c r="CU912" s="11"/>
      <c r="CV912" s="11"/>
      <c r="CW912" s="11"/>
      <c r="CX912" s="11"/>
      <c r="CY912" s="11"/>
      <c r="CZ912" s="11"/>
      <c r="DA912" s="11"/>
      <c r="DB912" s="11"/>
      <c r="DC912" s="11"/>
      <c r="DD912" s="11"/>
      <c r="DE912" s="11"/>
      <c r="DF912" s="11"/>
      <c r="DG912" s="11"/>
    </row>
    <row r="913" ht="15.75" customHeight="1">
      <c r="CT913" s="11"/>
      <c r="CU913" s="11"/>
      <c r="CV913" s="11"/>
      <c r="CW913" s="11"/>
      <c r="CX913" s="11"/>
      <c r="CY913" s="11"/>
      <c r="CZ913" s="11"/>
      <c r="DA913" s="11"/>
      <c r="DB913" s="11"/>
      <c r="DC913" s="11"/>
      <c r="DD913" s="11"/>
      <c r="DE913" s="11"/>
      <c r="DF913" s="11"/>
      <c r="DG913" s="11"/>
    </row>
    <row r="914" ht="15.75" customHeight="1">
      <c r="CT914" s="11"/>
      <c r="CU914" s="11"/>
      <c r="CV914" s="11"/>
      <c r="CW914" s="11"/>
      <c r="CX914" s="11"/>
      <c r="CY914" s="11"/>
      <c r="CZ914" s="11"/>
      <c r="DA914" s="11"/>
      <c r="DB914" s="11"/>
      <c r="DC914" s="11"/>
      <c r="DD914" s="11"/>
      <c r="DE914" s="11"/>
      <c r="DF914" s="11"/>
      <c r="DG914" s="11"/>
    </row>
    <row r="915" ht="15.75" customHeight="1">
      <c r="CT915" s="11"/>
      <c r="CU915" s="11"/>
      <c r="CV915" s="11"/>
      <c r="CW915" s="11"/>
      <c r="CX915" s="11"/>
      <c r="CY915" s="11"/>
      <c r="CZ915" s="11"/>
      <c r="DA915" s="11"/>
      <c r="DB915" s="11"/>
      <c r="DC915" s="11"/>
      <c r="DD915" s="11"/>
      <c r="DE915" s="11"/>
      <c r="DF915" s="11"/>
      <c r="DG915" s="11"/>
    </row>
    <row r="916" ht="15.75" customHeight="1">
      <c r="CT916" s="11"/>
      <c r="CU916" s="11"/>
      <c r="CV916" s="11"/>
      <c r="CW916" s="11"/>
      <c r="CX916" s="11"/>
      <c r="CY916" s="11"/>
      <c r="CZ916" s="11"/>
      <c r="DA916" s="11"/>
      <c r="DB916" s="11"/>
      <c r="DC916" s="11"/>
      <c r="DD916" s="11"/>
      <c r="DE916" s="11"/>
      <c r="DF916" s="11"/>
      <c r="DG916" s="11"/>
    </row>
    <row r="917" ht="15.75" customHeight="1">
      <c r="CT917" s="11"/>
      <c r="CU917" s="11"/>
      <c r="CV917" s="11"/>
      <c r="CW917" s="11"/>
      <c r="CX917" s="11"/>
      <c r="CY917" s="11"/>
      <c r="CZ917" s="11"/>
      <c r="DA917" s="11"/>
      <c r="DB917" s="11"/>
      <c r="DC917" s="11"/>
      <c r="DD917" s="11"/>
      <c r="DE917" s="11"/>
      <c r="DF917" s="11"/>
      <c r="DG917" s="11"/>
    </row>
    <row r="918" ht="15.75" customHeight="1">
      <c r="CT918" s="11"/>
      <c r="CU918" s="11"/>
      <c r="CV918" s="11"/>
      <c r="CW918" s="11"/>
      <c r="CX918" s="11"/>
      <c r="CY918" s="11"/>
      <c r="CZ918" s="11"/>
      <c r="DA918" s="11"/>
      <c r="DB918" s="11"/>
      <c r="DC918" s="11"/>
      <c r="DD918" s="11"/>
      <c r="DE918" s="11"/>
      <c r="DF918" s="11"/>
      <c r="DG918" s="11"/>
    </row>
    <row r="919" ht="15.75" customHeight="1">
      <c r="CT919" s="11"/>
      <c r="CU919" s="11"/>
      <c r="CV919" s="11"/>
      <c r="CW919" s="11"/>
      <c r="CX919" s="11"/>
      <c r="CY919" s="11"/>
      <c r="CZ919" s="11"/>
      <c r="DA919" s="11"/>
      <c r="DB919" s="11"/>
      <c r="DC919" s="11"/>
      <c r="DD919" s="11"/>
      <c r="DE919" s="11"/>
      <c r="DF919" s="11"/>
      <c r="DG919" s="11"/>
    </row>
    <row r="920" ht="15.75" customHeight="1">
      <c r="CT920" s="11"/>
      <c r="CU920" s="11"/>
      <c r="CV920" s="11"/>
      <c r="CW920" s="11"/>
      <c r="CX920" s="11"/>
      <c r="CY920" s="11"/>
      <c r="CZ920" s="11"/>
      <c r="DA920" s="11"/>
      <c r="DB920" s="11"/>
      <c r="DC920" s="11"/>
      <c r="DD920" s="11"/>
      <c r="DE920" s="11"/>
      <c r="DF920" s="11"/>
      <c r="DG920" s="11"/>
    </row>
    <row r="921" ht="15.75" customHeight="1">
      <c r="CT921" s="11"/>
      <c r="CU921" s="11"/>
      <c r="CV921" s="11"/>
      <c r="CW921" s="11"/>
      <c r="CX921" s="11"/>
      <c r="CY921" s="11"/>
      <c r="CZ921" s="11"/>
      <c r="DA921" s="11"/>
      <c r="DB921" s="11"/>
      <c r="DC921" s="11"/>
      <c r="DD921" s="11"/>
      <c r="DE921" s="11"/>
      <c r="DF921" s="11"/>
      <c r="DG921" s="11"/>
    </row>
    <row r="922" ht="15.75" customHeight="1">
      <c r="CT922" s="11"/>
      <c r="CU922" s="11"/>
      <c r="CV922" s="11"/>
      <c r="CW922" s="11"/>
      <c r="CX922" s="11"/>
      <c r="CY922" s="11"/>
      <c r="CZ922" s="11"/>
      <c r="DA922" s="11"/>
      <c r="DB922" s="11"/>
      <c r="DC922" s="11"/>
      <c r="DD922" s="11"/>
      <c r="DE922" s="11"/>
      <c r="DF922" s="11"/>
      <c r="DG922" s="11"/>
    </row>
    <row r="923" ht="15.75" customHeight="1">
      <c r="CT923" s="11"/>
      <c r="CU923" s="11"/>
      <c r="CV923" s="11"/>
      <c r="CW923" s="11"/>
      <c r="CX923" s="11"/>
      <c r="CY923" s="11"/>
      <c r="CZ923" s="11"/>
      <c r="DA923" s="11"/>
      <c r="DB923" s="11"/>
      <c r="DC923" s="11"/>
      <c r="DD923" s="11"/>
      <c r="DE923" s="11"/>
      <c r="DF923" s="11"/>
      <c r="DG923" s="11"/>
    </row>
    <row r="924" ht="15.75" customHeight="1">
      <c r="CT924" s="11"/>
      <c r="CU924" s="11"/>
      <c r="CV924" s="11"/>
      <c r="CW924" s="11"/>
      <c r="CX924" s="11"/>
      <c r="CY924" s="11"/>
      <c r="CZ924" s="11"/>
      <c r="DA924" s="11"/>
      <c r="DB924" s="11"/>
      <c r="DC924" s="11"/>
      <c r="DD924" s="11"/>
      <c r="DE924" s="11"/>
      <c r="DF924" s="11"/>
      <c r="DG924" s="11"/>
    </row>
    <row r="925" ht="15.75" customHeight="1">
      <c r="CT925" s="11"/>
      <c r="CU925" s="11"/>
      <c r="CV925" s="11"/>
      <c r="CW925" s="11"/>
      <c r="CX925" s="11"/>
      <c r="CY925" s="11"/>
      <c r="CZ925" s="11"/>
      <c r="DA925" s="11"/>
      <c r="DB925" s="11"/>
      <c r="DC925" s="11"/>
      <c r="DD925" s="11"/>
      <c r="DE925" s="11"/>
      <c r="DF925" s="11"/>
      <c r="DG925" s="11"/>
    </row>
    <row r="926" ht="15.75" customHeight="1">
      <c r="CT926" s="11"/>
      <c r="CU926" s="11"/>
      <c r="CV926" s="11"/>
      <c r="CW926" s="11"/>
      <c r="CX926" s="11"/>
      <c r="CY926" s="11"/>
      <c r="CZ926" s="11"/>
      <c r="DA926" s="11"/>
      <c r="DB926" s="11"/>
      <c r="DC926" s="11"/>
      <c r="DD926" s="11"/>
      <c r="DE926" s="11"/>
      <c r="DF926" s="11"/>
      <c r="DG926" s="11"/>
    </row>
    <row r="927" ht="15.75" customHeight="1">
      <c r="CT927" s="11"/>
      <c r="CU927" s="11"/>
      <c r="CV927" s="11"/>
      <c r="CW927" s="11"/>
      <c r="CX927" s="11"/>
      <c r="CY927" s="11"/>
      <c r="CZ927" s="11"/>
      <c r="DA927" s="11"/>
      <c r="DB927" s="11"/>
      <c r="DC927" s="11"/>
      <c r="DD927" s="11"/>
      <c r="DE927" s="11"/>
      <c r="DF927" s="11"/>
      <c r="DG927" s="11"/>
    </row>
    <row r="928" ht="15.75" customHeight="1">
      <c r="CT928" s="11"/>
      <c r="CU928" s="11"/>
      <c r="CV928" s="11"/>
      <c r="CW928" s="11"/>
      <c r="CX928" s="11"/>
      <c r="CY928" s="11"/>
      <c r="CZ928" s="11"/>
      <c r="DA928" s="11"/>
      <c r="DB928" s="11"/>
      <c r="DC928" s="11"/>
      <c r="DD928" s="11"/>
      <c r="DE928" s="11"/>
      <c r="DF928" s="11"/>
      <c r="DG928" s="11"/>
    </row>
    <row r="929" ht="15.75" customHeight="1">
      <c r="CT929" s="11"/>
      <c r="CU929" s="11"/>
      <c r="CV929" s="11"/>
      <c r="CW929" s="11"/>
      <c r="CX929" s="11"/>
      <c r="CY929" s="11"/>
      <c r="CZ929" s="11"/>
      <c r="DA929" s="11"/>
      <c r="DB929" s="11"/>
      <c r="DC929" s="11"/>
      <c r="DD929" s="11"/>
      <c r="DE929" s="11"/>
      <c r="DF929" s="11"/>
      <c r="DG929" s="11"/>
    </row>
    <row r="930" ht="15.75" customHeight="1">
      <c r="CT930" s="11"/>
      <c r="CU930" s="11"/>
      <c r="CV930" s="11"/>
      <c r="CW930" s="11"/>
      <c r="CX930" s="11"/>
      <c r="CY930" s="11"/>
      <c r="CZ930" s="11"/>
      <c r="DA930" s="11"/>
      <c r="DB930" s="11"/>
      <c r="DC930" s="11"/>
      <c r="DD930" s="11"/>
      <c r="DE930" s="11"/>
      <c r="DF930" s="11"/>
      <c r="DG930" s="11"/>
    </row>
    <row r="931" ht="15.75" customHeight="1">
      <c r="CT931" s="11"/>
      <c r="CU931" s="11"/>
      <c r="CV931" s="11"/>
      <c r="CW931" s="11"/>
      <c r="CX931" s="11"/>
      <c r="CY931" s="11"/>
      <c r="CZ931" s="11"/>
      <c r="DA931" s="11"/>
      <c r="DB931" s="11"/>
      <c r="DC931" s="11"/>
      <c r="DD931" s="11"/>
      <c r="DE931" s="11"/>
      <c r="DF931" s="11"/>
      <c r="DG931" s="11"/>
    </row>
    <row r="932" ht="15.75" customHeight="1">
      <c r="CT932" s="11"/>
      <c r="CU932" s="11"/>
      <c r="CV932" s="11"/>
      <c r="CW932" s="11"/>
      <c r="CX932" s="11"/>
      <c r="CY932" s="11"/>
      <c r="CZ932" s="11"/>
      <c r="DA932" s="11"/>
      <c r="DB932" s="11"/>
      <c r="DC932" s="11"/>
      <c r="DD932" s="11"/>
      <c r="DE932" s="11"/>
      <c r="DF932" s="11"/>
      <c r="DG932" s="11"/>
    </row>
    <row r="933" ht="15.75" customHeight="1">
      <c r="CT933" s="11"/>
      <c r="CU933" s="11"/>
      <c r="CV933" s="11"/>
      <c r="CW933" s="11"/>
      <c r="CX933" s="11"/>
      <c r="CY933" s="11"/>
      <c r="CZ933" s="11"/>
      <c r="DA933" s="11"/>
      <c r="DB933" s="11"/>
      <c r="DC933" s="11"/>
      <c r="DD933" s="11"/>
      <c r="DE933" s="11"/>
      <c r="DF933" s="11"/>
      <c r="DG933" s="11"/>
    </row>
    <row r="934" ht="15.75" customHeight="1">
      <c r="CT934" s="11"/>
      <c r="CU934" s="11"/>
      <c r="CV934" s="11"/>
      <c r="CW934" s="11"/>
      <c r="CX934" s="11"/>
      <c r="CY934" s="11"/>
      <c r="CZ934" s="11"/>
      <c r="DA934" s="11"/>
      <c r="DB934" s="11"/>
      <c r="DC934" s="11"/>
      <c r="DD934" s="11"/>
      <c r="DE934" s="11"/>
      <c r="DF934" s="11"/>
      <c r="DG934" s="11"/>
    </row>
    <row r="935" ht="15.75" customHeight="1">
      <c r="CT935" s="11"/>
      <c r="CU935" s="11"/>
      <c r="CV935" s="11"/>
      <c r="CW935" s="11"/>
      <c r="CX935" s="11"/>
      <c r="CY935" s="11"/>
      <c r="CZ935" s="11"/>
      <c r="DA935" s="11"/>
      <c r="DB935" s="11"/>
      <c r="DC935" s="11"/>
      <c r="DD935" s="11"/>
      <c r="DE935" s="11"/>
      <c r="DF935" s="11"/>
      <c r="DG935" s="11"/>
    </row>
    <row r="936" ht="15.75" customHeight="1">
      <c r="CT936" s="11"/>
      <c r="CU936" s="11"/>
      <c r="CV936" s="11"/>
      <c r="CW936" s="11"/>
      <c r="CX936" s="11"/>
      <c r="CY936" s="11"/>
      <c r="CZ936" s="11"/>
      <c r="DA936" s="11"/>
      <c r="DB936" s="11"/>
      <c r="DC936" s="11"/>
      <c r="DD936" s="11"/>
      <c r="DE936" s="11"/>
      <c r="DF936" s="11"/>
      <c r="DG936" s="11"/>
    </row>
    <row r="937" ht="15.75" customHeight="1">
      <c r="CT937" s="11"/>
      <c r="CU937" s="11"/>
      <c r="CV937" s="11"/>
      <c r="CW937" s="11"/>
      <c r="CX937" s="11"/>
      <c r="CY937" s="11"/>
      <c r="CZ937" s="11"/>
      <c r="DA937" s="11"/>
      <c r="DB937" s="11"/>
      <c r="DC937" s="11"/>
      <c r="DD937" s="11"/>
      <c r="DE937" s="11"/>
      <c r="DF937" s="11"/>
      <c r="DG937" s="11"/>
    </row>
    <row r="938" ht="15.75" customHeight="1">
      <c r="CT938" s="11"/>
      <c r="CU938" s="11"/>
      <c r="CV938" s="11"/>
      <c r="CW938" s="11"/>
      <c r="CX938" s="11"/>
      <c r="CY938" s="11"/>
      <c r="CZ938" s="11"/>
      <c r="DA938" s="11"/>
      <c r="DB938" s="11"/>
      <c r="DC938" s="11"/>
      <c r="DD938" s="11"/>
      <c r="DE938" s="11"/>
      <c r="DF938" s="11"/>
      <c r="DG938" s="11"/>
    </row>
    <row r="939" ht="15.75" customHeight="1">
      <c r="CT939" s="11"/>
      <c r="CU939" s="11"/>
      <c r="CV939" s="11"/>
      <c r="CW939" s="11"/>
      <c r="CX939" s="11"/>
      <c r="CY939" s="11"/>
      <c r="CZ939" s="11"/>
      <c r="DA939" s="11"/>
      <c r="DB939" s="11"/>
      <c r="DC939" s="11"/>
      <c r="DD939" s="11"/>
      <c r="DE939" s="11"/>
      <c r="DF939" s="11"/>
      <c r="DG939" s="11"/>
    </row>
    <row r="940" ht="15.75" customHeight="1">
      <c r="CT940" s="11"/>
      <c r="CU940" s="11"/>
      <c r="CV940" s="11"/>
      <c r="CW940" s="11"/>
      <c r="CX940" s="11"/>
      <c r="CY940" s="11"/>
      <c r="CZ940" s="11"/>
      <c r="DA940" s="11"/>
      <c r="DB940" s="11"/>
      <c r="DC940" s="11"/>
      <c r="DD940" s="11"/>
      <c r="DE940" s="11"/>
      <c r="DF940" s="11"/>
      <c r="DG940" s="11"/>
    </row>
    <row r="941" ht="15.75" customHeight="1">
      <c r="CT941" s="11"/>
      <c r="CU941" s="11"/>
      <c r="CV941" s="11"/>
      <c r="CW941" s="11"/>
      <c r="CX941" s="11"/>
      <c r="CY941" s="11"/>
      <c r="CZ941" s="11"/>
      <c r="DA941" s="11"/>
      <c r="DB941" s="11"/>
      <c r="DC941" s="11"/>
      <c r="DD941" s="11"/>
      <c r="DE941" s="11"/>
      <c r="DF941" s="11"/>
      <c r="DG941" s="11"/>
    </row>
    <row r="942" ht="15.75" customHeight="1">
      <c r="CT942" s="11"/>
      <c r="CU942" s="11"/>
      <c r="CV942" s="11"/>
      <c r="CW942" s="11"/>
      <c r="CX942" s="11"/>
      <c r="CY942" s="11"/>
      <c r="CZ942" s="11"/>
      <c r="DA942" s="11"/>
      <c r="DB942" s="11"/>
      <c r="DC942" s="11"/>
      <c r="DD942" s="11"/>
      <c r="DE942" s="11"/>
      <c r="DF942" s="11"/>
      <c r="DG942" s="11"/>
    </row>
    <row r="943" ht="15.75" customHeight="1">
      <c r="CT943" s="11"/>
      <c r="CU943" s="11"/>
      <c r="CV943" s="11"/>
      <c r="CW943" s="11"/>
      <c r="CX943" s="11"/>
      <c r="CY943" s="11"/>
      <c r="CZ943" s="11"/>
      <c r="DA943" s="11"/>
      <c r="DB943" s="11"/>
      <c r="DC943" s="11"/>
      <c r="DD943" s="11"/>
      <c r="DE943" s="11"/>
      <c r="DF943" s="11"/>
      <c r="DG943" s="11"/>
    </row>
    <row r="944" ht="15.75" customHeight="1">
      <c r="CT944" s="11"/>
      <c r="CU944" s="11"/>
      <c r="CV944" s="11"/>
      <c r="CW944" s="11"/>
      <c r="CX944" s="11"/>
      <c r="CY944" s="11"/>
      <c r="CZ944" s="11"/>
      <c r="DA944" s="11"/>
      <c r="DB944" s="11"/>
      <c r="DC944" s="11"/>
      <c r="DD944" s="11"/>
      <c r="DE944" s="11"/>
      <c r="DF944" s="11"/>
      <c r="DG944" s="11"/>
    </row>
    <row r="945" ht="15.75" customHeight="1">
      <c r="CT945" s="11"/>
      <c r="CU945" s="11"/>
      <c r="CV945" s="11"/>
      <c r="CW945" s="11"/>
      <c r="CX945" s="11"/>
      <c r="CY945" s="11"/>
      <c r="CZ945" s="11"/>
      <c r="DA945" s="11"/>
      <c r="DB945" s="11"/>
      <c r="DC945" s="11"/>
      <c r="DD945" s="11"/>
      <c r="DE945" s="11"/>
      <c r="DF945" s="11"/>
      <c r="DG945" s="11"/>
    </row>
    <row r="946" ht="15.75" customHeight="1">
      <c r="CT946" s="11"/>
      <c r="CU946" s="11"/>
      <c r="CV946" s="11"/>
      <c r="CW946" s="11"/>
      <c r="CX946" s="11"/>
      <c r="CY946" s="11"/>
      <c r="CZ946" s="11"/>
      <c r="DA946" s="11"/>
      <c r="DB946" s="11"/>
      <c r="DC946" s="11"/>
      <c r="DD946" s="11"/>
      <c r="DE946" s="11"/>
      <c r="DF946" s="11"/>
      <c r="DG946" s="11"/>
    </row>
    <row r="947" ht="15.75" customHeight="1">
      <c r="CT947" s="11"/>
      <c r="CU947" s="11"/>
      <c r="CV947" s="11"/>
      <c r="CW947" s="11"/>
      <c r="CX947" s="11"/>
      <c r="CY947" s="11"/>
      <c r="CZ947" s="11"/>
      <c r="DA947" s="11"/>
      <c r="DB947" s="11"/>
      <c r="DC947" s="11"/>
      <c r="DD947" s="11"/>
      <c r="DE947" s="11"/>
      <c r="DF947" s="11"/>
      <c r="DG947" s="11"/>
    </row>
    <row r="948" ht="15.75" customHeight="1">
      <c r="CT948" s="11"/>
      <c r="CU948" s="11"/>
      <c r="CV948" s="11"/>
      <c r="CW948" s="11"/>
      <c r="CX948" s="11"/>
      <c r="CY948" s="11"/>
      <c r="CZ948" s="11"/>
      <c r="DA948" s="11"/>
      <c r="DB948" s="11"/>
      <c r="DC948" s="11"/>
      <c r="DD948" s="11"/>
      <c r="DE948" s="11"/>
      <c r="DF948" s="11"/>
      <c r="DG948" s="11"/>
    </row>
    <row r="949" ht="15.75" customHeight="1">
      <c r="CT949" s="11"/>
      <c r="CU949" s="11"/>
      <c r="CV949" s="11"/>
      <c r="CW949" s="11"/>
      <c r="CX949" s="11"/>
      <c r="CY949" s="11"/>
      <c r="CZ949" s="11"/>
      <c r="DA949" s="11"/>
      <c r="DB949" s="11"/>
      <c r="DC949" s="11"/>
      <c r="DD949" s="11"/>
      <c r="DE949" s="11"/>
      <c r="DF949" s="11"/>
      <c r="DG949" s="11"/>
    </row>
    <row r="950" ht="15.75" customHeight="1">
      <c r="CT950" s="11"/>
      <c r="CU950" s="11"/>
      <c r="CV950" s="11"/>
      <c r="CW950" s="11"/>
      <c r="CX950" s="11"/>
      <c r="CY950" s="11"/>
      <c r="CZ950" s="11"/>
      <c r="DA950" s="11"/>
      <c r="DB950" s="11"/>
      <c r="DC950" s="11"/>
      <c r="DD950" s="11"/>
      <c r="DE950" s="11"/>
      <c r="DF950" s="11"/>
      <c r="DG950" s="11"/>
    </row>
    <row r="951" ht="15.75" customHeight="1">
      <c r="CT951" s="11"/>
      <c r="CU951" s="11"/>
      <c r="CV951" s="11"/>
      <c r="CW951" s="11"/>
      <c r="CX951" s="11"/>
      <c r="CY951" s="11"/>
      <c r="CZ951" s="11"/>
      <c r="DA951" s="11"/>
      <c r="DB951" s="11"/>
      <c r="DC951" s="11"/>
      <c r="DD951" s="11"/>
      <c r="DE951" s="11"/>
      <c r="DF951" s="11"/>
      <c r="DG951" s="11"/>
    </row>
    <row r="952" ht="15.75" customHeight="1">
      <c r="CT952" s="11"/>
      <c r="CU952" s="11"/>
      <c r="CV952" s="11"/>
      <c r="CW952" s="11"/>
      <c r="CX952" s="11"/>
      <c r="CY952" s="11"/>
      <c r="CZ952" s="11"/>
      <c r="DA952" s="11"/>
      <c r="DB952" s="11"/>
      <c r="DC952" s="11"/>
      <c r="DD952" s="11"/>
      <c r="DE952" s="11"/>
      <c r="DF952" s="11"/>
      <c r="DG952" s="11"/>
    </row>
    <row r="953" ht="15.75" customHeight="1">
      <c r="CT953" s="11"/>
      <c r="CU953" s="11"/>
      <c r="CV953" s="11"/>
      <c r="CW953" s="11"/>
      <c r="CX953" s="11"/>
      <c r="CY953" s="11"/>
      <c r="CZ953" s="11"/>
      <c r="DA953" s="11"/>
      <c r="DB953" s="11"/>
      <c r="DC953" s="11"/>
      <c r="DD953" s="11"/>
      <c r="DE953" s="11"/>
      <c r="DF953" s="11"/>
      <c r="DG953" s="11"/>
    </row>
    <row r="954" ht="15.75" customHeight="1">
      <c r="CT954" s="11"/>
      <c r="CU954" s="11"/>
      <c r="CV954" s="11"/>
      <c r="CW954" s="11"/>
      <c r="CX954" s="11"/>
      <c r="CY954" s="11"/>
      <c r="CZ954" s="11"/>
      <c r="DA954" s="11"/>
      <c r="DB954" s="11"/>
      <c r="DC954" s="11"/>
      <c r="DD954" s="11"/>
      <c r="DE954" s="11"/>
      <c r="DF954" s="11"/>
      <c r="DG954" s="11"/>
    </row>
    <row r="955" ht="15.75" customHeight="1">
      <c r="CT955" s="11"/>
      <c r="CU955" s="11"/>
      <c r="CV955" s="11"/>
      <c r="CW955" s="11"/>
      <c r="CX955" s="11"/>
      <c r="CY955" s="11"/>
      <c r="CZ955" s="11"/>
      <c r="DA955" s="11"/>
      <c r="DB955" s="11"/>
      <c r="DC955" s="11"/>
      <c r="DD955" s="11"/>
      <c r="DE955" s="11"/>
      <c r="DF955" s="11"/>
      <c r="DG955" s="11"/>
    </row>
    <row r="956" ht="15.75" customHeight="1">
      <c r="CT956" s="11"/>
      <c r="CU956" s="11"/>
      <c r="CV956" s="11"/>
      <c r="CW956" s="11"/>
      <c r="CX956" s="11"/>
      <c r="CY956" s="11"/>
      <c r="CZ956" s="11"/>
      <c r="DA956" s="11"/>
      <c r="DB956" s="11"/>
      <c r="DC956" s="11"/>
      <c r="DD956" s="11"/>
      <c r="DE956" s="11"/>
      <c r="DF956" s="11"/>
      <c r="DG956" s="11"/>
    </row>
    <row r="957" ht="15.75" customHeight="1">
      <c r="CT957" s="11"/>
      <c r="CU957" s="11"/>
      <c r="CV957" s="11"/>
      <c r="CW957" s="11"/>
      <c r="CX957" s="11"/>
      <c r="CY957" s="11"/>
      <c r="CZ957" s="11"/>
      <c r="DA957" s="11"/>
      <c r="DB957" s="11"/>
      <c r="DC957" s="11"/>
      <c r="DD957" s="11"/>
      <c r="DE957" s="11"/>
      <c r="DF957" s="11"/>
      <c r="DG957" s="11"/>
    </row>
    <row r="958" ht="15.75" customHeight="1">
      <c r="CT958" s="11"/>
      <c r="CU958" s="11"/>
      <c r="CV958" s="11"/>
      <c r="CW958" s="11"/>
      <c r="CX958" s="11"/>
      <c r="CY958" s="11"/>
      <c r="CZ958" s="11"/>
      <c r="DA958" s="11"/>
      <c r="DB958" s="11"/>
      <c r="DC958" s="11"/>
      <c r="DD958" s="11"/>
      <c r="DE958" s="11"/>
      <c r="DF958" s="11"/>
      <c r="DG958" s="11"/>
    </row>
    <row r="959" ht="15.75" customHeight="1">
      <c r="CT959" s="11"/>
      <c r="CU959" s="11"/>
      <c r="CV959" s="11"/>
      <c r="CW959" s="11"/>
      <c r="CX959" s="11"/>
      <c r="CY959" s="11"/>
      <c r="CZ959" s="11"/>
      <c r="DA959" s="11"/>
      <c r="DB959" s="11"/>
      <c r="DC959" s="11"/>
      <c r="DD959" s="11"/>
      <c r="DE959" s="11"/>
      <c r="DF959" s="11"/>
      <c r="DG959" s="11"/>
    </row>
    <row r="960" ht="15.75" customHeight="1">
      <c r="CT960" s="11"/>
      <c r="CU960" s="11"/>
      <c r="CV960" s="11"/>
      <c r="CW960" s="11"/>
      <c r="CX960" s="11"/>
      <c r="CY960" s="11"/>
      <c r="CZ960" s="11"/>
      <c r="DA960" s="11"/>
      <c r="DB960" s="11"/>
      <c r="DC960" s="11"/>
      <c r="DD960" s="11"/>
      <c r="DE960" s="11"/>
      <c r="DF960" s="11"/>
      <c r="DG960" s="11"/>
    </row>
    <row r="961" ht="15.75" customHeight="1">
      <c r="CT961" s="11"/>
      <c r="CU961" s="11"/>
      <c r="CV961" s="11"/>
      <c r="CW961" s="11"/>
      <c r="CX961" s="11"/>
      <c r="CY961" s="11"/>
      <c r="CZ961" s="11"/>
      <c r="DA961" s="11"/>
      <c r="DB961" s="11"/>
      <c r="DC961" s="11"/>
      <c r="DD961" s="11"/>
      <c r="DE961" s="11"/>
      <c r="DF961" s="11"/>
      <c r="DG961" s="11"/>
    </row>
    <row r="962" ht="15.75" customHeight="1">
      <c r="CT962" s="11"/>
      <c r="CU962" s="11"/>
      <c r="CV962" s="11"/>
      <c r="CW962" s="11"/>
      <c r="CX962" s="11"/>
      <c r="CY962" s="11"/>
      <c r="CZ962" s="11"/>
      <c r="DA962" s="11"/>
      <c r="DB962" s="11"/>
      <c r="DC962" s="11"/>
      <c r="DD962" s="11"/>
      <c r="DE962" s="11"/>
      <c r="DF962" s="11"/>
      <c r="DG962" s="11"/>
    </row>
    <row r="963" ht="15.75" customHeight="1">
      <c r="CT963" s="11"/>
      <c r="CU963" s="11"/>
      <c r="CV963" s="11"/>
      <c r="CW963" s="11"/>
      <c r="CX963" s="11"/>
      <c r="CY963" s="11"/>
      <c r="CZ963" s="11"/>
      <c r="DA963" s="11"/>
      <c r="DB963" s="11"/>
      <c r="DC963" s="11"/>
      <c r="DD963" s="11"/>
      <c r="DE963" s="11"/>
      <c r="DF963" s="11"/>
      <c r="DG963" s="11"/>
    </row>
    <row r="964" ht="15.75" customHeight="1">
      <c r="CT964" s="11"/>
      <c r="CU964" s="11"/>
      <c r="CV964" s="11"/>
      <c r="CW964" s="11"/>
      <c r="CX964" s="11"/>
      <c r="CY964" s="11"/>
      <c r="CZ964" s="11"/>
      <c r="DA964" s="11"/>
      <c r="DB964" s="11"/>
      <c r="DC964" s="11"/>
      <c r="DD964" s="11"/>
      <c r="DE964" s="11"/>
      <c r="DF964" s="11"/>
      <c r="DG964" s="11"/>
    </row>
    <row r="965" ht="15.75" customHeight="1">
      <c r="CT965" s="11"/>
      <c r="CU965" s="11"/>
      <c r="CV965" s="11"/>
      <c r="CW965" s="11"/>
      <c r="CX965" s="11"/>
      <c r="CY965" s="11"/>
      <c r="CZ965" s="11"/>
      <c r="DA965" s="11"/>
      <c r="DB965" s="11"/>
      <c r="DC965" s="11"/>
      <c r="DD965" s="11"/>
      <c r="DE965" s="11"/>
      <c r="DF965" s="11"/>
      <c r="DG965" s="11"/>
    </row>
    <row r="966" ht="15.75" customHeight="1">
      <c r="CT966" s="11"/>
      <c r="CU966" s="11"/>
      <c r="CV966" s="11"/>
      <c r="CW966" s="11"/>
      <c r="CX966" s="11"/>
      <c r="CY966" s="11"/>
      <c r="CZ966" s="11"/>
      <c r="DA966" s="11"/>
      <c r="DB966" s="11"/>
      <c r="DC966" s="11"/>
      <c r="DD966" s="11"/>
      <c r="DE966" s="11"/>
      <c r="DF966" s="11"/>
      <c r="DG966" s="11"/>
    </row>
    <row r="967" ht="15.75" customHeight="1">
      <c r="CT967" s="11"/>
      <c r="CU967" s="11"/>
      <c r="CV967" s="11"/>
      <c r="CW967" s="11"/>
      <c r="CX967" s="11"/>
      <c r="CY967" s="11"/>
      <c r="CZ967" s="11"/>
      <c r="DA967" s="11"/>
      <c r="DB967" s="11"/>
      <c r="DC967" s="11"/>
      <c r="DD967" s="11"/>
      <c r="DE967" s="11"/>
      <c r="DF967" s="11"/>
      <c r="DG967" s="11"/>
    </row>
    <row r="968" ht="15.75" customHeight="1">
      <c r="CT968" s="11"/>
      <c r="CU968" s="11"/>
      <c r="CV968" s="11"/>
      <c r="CW968" s="11"/>
      <c r="CX968" s="11"/>
      <c r="CY968" s="11"/>
      <c r="CZ968" s="11"/>
      <c r="DA968" s="11"/>
      <c r="DB968" s="11"/>
      <c r="DC968" s="11"/>
      <c r="DD968" s="11"/>
      <c r="DE968" s="11"/>
      <c r="DF968" s="11"/>
      <c r="DG968" s="11"/>
    </row>
    <row r="969" ht="15.75" customHeight="1">
      <c r="CT969" s="11"/>
      <c r="CU969" s="11"/>
      <c r="CV969" s="11"/>
      <c r="CW969" s="11"/>
      <c r="CX969" s="11"/>
      <c r="CY969" s="11"/>
      <c r="CZ969" s="11"/>
      <c r="DA969" s="11"/>
      <c r="DB969" s="11"/>
      <c r="DC969" s="11"/>
      <c r="DD969" s="11"/>
      <c r="DE969" s="11"/>
      <c r="DF969" s="11"/>
      <c r="DG969" s="11"/>
    </row>
    <row r="970" ht="15.75" customHeight="1">
      <c r="CT970" s="11"/>
      <c r="CU970" s="11"/>
      <c r="CV970" s="11"/>
      <c r="CW970" s="11"/>
      <c r="CX970" s="11"/>
      <c r="CY970" s="11"/>
      <c r="CZ970" s="11"/>
      <c r="DA970" s="11"/>
      <c r="DB970" s="11"/>
      <c r="DC970" s="11"/>
      <c r="DD970" s="11"/>
      <c r="DE970" s="11"/>
      <c r="DF970" s="11"/>
      <c r="DG970" s="11"/>
    </row>
    <row r="971" ht="15.75" customHeight="1">
      <c r="CT971" s="11"/>
      <c r="CU971" s="11"/>
      <c r="CV971" s="11"/>
      <c r="CW971" s="11"/>
      <c r="CX971" s="11"/>
      <c r="CY971" s="11"/>
      <c r="CZ971" s="11"/>
      <c r="DA971" s="11"/>
      <c r="DB971" s="11"/>
      <c r="DC971" s="11"/>
      <c r="DD971" s="11"/>
      <c r="DE971" s="11"/>
      <c r="DF971" s="11"/>
      <c r="DG971" s="11"/>
    </row>
    <row r="972" ht="15.75" customHeight="1">
      <c r="CT972" s="11"/>
      <c r="CU972" s="11"/>
      <c r="CV972" s="11"/>
      <c r="CW972" s="11"/>
      <c r="CX972" s="11"/>
      <c r="CY972" s="11"/>
      <c r="CZ972" s="11"/>
      <c r="DA972" s="11"/>
      <c r="DB972" s="11"/>
      <c r="DC972" s="11"/>
      <c r="DD972" s="11"/>
      <c r="DE972" s="11"/>
      <c r="DF972" s="11"/>
      <c r="DG972" s="11"/>
    </row>
    <row r="973" ht="15.75" customHeight="1">
      <c r="CT973" s="11"/>
      <c r="CU973" s="11"/>
      <c r="CV973" s="11"/>
      <c r="CW973" s="11"/>
      <c r="CX973" s="11"/>
      <c r="CY973" s="11"/>
      <c r="CZ973" s="11"/>
      <c r="DA973" s="11"/>
      <c r="DB973" s="11"/>
      <c r="DC973" s="11"/>
      <c r="DD973" s="11"/>
      <c r="DE973" s="11"/>
      <c r="DF973" s="11"/>
      <c r="DG973" s="11"/>
    </row>
  </sheetData>
  <mergeCells count="17">
    <mergeCell ref="J2:M2"/>
    <mergeCell ref="O2:T2"/>
    <mergeCell ref="V2:AA2"/>
    <mergeCell ref="AC2:AH2"/>
    <mergeCell ref="AJ2:AO2"/>
    <mergeCell ref="AQ2:AV2"/>
    <mergeCell ref="AX2:BC2"/>
    <mergeCell ref="DB2:DG2"/>
    <mergeCell ref="DI2:DN2"/>
    <mergeCell ref="DP2:DU2"/>
    <mergeCell ref="BE2:BJ2"/>
    <mergeCell ref="BL2:BQ2"/>
    <mergeCell ref="BS2:BX2"/>
    <mergeCell ref="BZ2:CE2"/>
    <mergeCell ref="CG2:CL2"/>
    <mergeCell ref="CN2:CS2"/>
    <mergeCell ref="CU2:CZ2"/>
  </mergeCells>
  <conditionalFormatting sqref="K5:L18 K54:L63 K66:L78">
    <cfRule type="colorScale" priority="1">
      <colorScale>
        <cfvo type="percent" val="0"/>
        <cfvo type="percent" val="100"/>
        <color rgb="FFFF231B"/>
        <color rgb="FF10FF07"/>
      </colorScale>
    </cfRule>
  </conditionalFormatting>
  <conditionalFormatting sqref="P5:P18 P20:P25 R20:R25 P54:P63 P66:P77">
    <cfRule type="expression" dxfId="0" priority="2">
      <formula>OR(IF(#REF!&lt;#REF!,TRUE),IF(AND(#REF!="",#REF!&lt;&gt;""),TRUE))</formula>
    </cfRule>
  </conditionalFormatting>
  <conditionalFormatting sqref="P5:P18 P20:P25 R20:R25 P54:P63 P66:P77">
    <cfRule type="expression" dxfId="1" priority="3">
      <formula>IF(#REF!&gt;=#REF!,IF(#REF!="",FALSE,TRUE))</formula>
    </cfRule>
  </conditionalFormatting>
  <conditionalFormatting sqref="P5:P6 R5:R18 R54:R63 R66:R77">
    <cfRule type="expression" dxfId="0" priority="4">
      <formula>OR(IF(P5&lt;Q5,TRUE),IF(AND(Q5="",P5&lt;&gt;""),TRUE))</formula>
    </cfRule>
  </conditionalFormatting>
  <conditionalFormatting sqref="P5:P6 R5:R18 R54:R63 R66:R77">
    <cfRule type="expression" dxfId="1" priority="5">
      <formula>IF(P5&gt;=Q5,IF(P5="",FALSE,TRUE))</formula>
    </cfRule>
  </conditionalFormatting>
  <conditionalFormatting sqref="AK30:AK35 AR30 AT30 BA30 AK40:AK43 AK48:AK51 AR48:AR49 AT48:AT49">
    <cfRule type="expression" dxfId="0" priority="6">
      <formula>OR(IF(AK30&lt;AL30,TRUE),IF(AND(AL30="",AK30&lt;&gt;""),TRUE))</formula>
    </cfRule>
  </conditionalFormatting>
  <conditionalFormatting sqref="AK30:AK35 AR30 AT30 BA30 AK40:AK43 AK48:AK51 AR48:AR49 AT48:AT49">
    <cfRule type="expression" dxfId="1" priority="7">
      <formula>IF(AK30&gt;=AL30,IF(AK30="",FALSE,TRUE))</formula>
    </cfRule>
  </conditionalFormatting>
  <conditionalFormatting sqref="AM30:AM35 AM40:AM43 AM48:AM51">
    <cfRule type="expression" dxfId="0" priority="8">
      <formula>OR(IF(AM30&lt;AN30,TRUE),IF(AND(AN30="",AM30&lt;&gt;""),TRUE))</formula>
    </cfRule>
  </conditionalFormatting>
  <conditionalFormatting sqref="AM30:AM35 AM40:AM43 AM48:AM51">
    <cfRule type="expression" dxfId="1" priority="9">
      <formula>IF(AM30&gt;=AN30,IF(AM30="",FALSE,TRUE))</formula>
    </cfRule>
  </conditionalFormatting>
  <conditionalFormatting sqref="AR5:AR18 AR20:AR25 AT20:AT25 AR54:AR63 W66:W78 Y66 AD66:AD78 AK66:AK78 AM66:AM69 AR66:AR78 AT66:AT69 AY66:AY70 BA66:BA69 BF66:BF71 BM66:BM72 BT66:BT72 CA66:CA73 CH66:CH74 CO66:CO75 CV66:CV76 DC66:DC77 DJ66:DJ78">
    <cfRule type="expression" dxfId="0" priority="10">
      <formula>OR(IF(#REF!&lt;#REF!,TRUE),IF(AND(#REF!="",#REF!&lt;&gt;""),TRUE))</formula>
    </cfRule>
  </conditionalFormatting>
  <conditionalFormatting sqref="AR5:AR18 AR20:AR25 AT20:AT25 AR54:AR63 W66:W78 Y66 AD66:AD78 AK66:AK78 AM66:AM69 AR66:AR78 AT66:AT69 AY66:AY70 BA66:BA69 BF66:BF71 BM66:BM72 BT66:BT72 CA66:CA73 CH66:CH74 CO66:CO75 CV66:CV76 DC66:DC77 DJ66:DJ78">
    <cfRule type="expression" dxfId="1" priority="11">
      <formula>IF(#REF!&gt;=#REF!,IF(#REF!="",FALSE,TRUE))</formula>
    </cfRule>
  </conditionalFormatting>
  <conditionalFormatting sqref="AR5:AR9 AT5:AT18 AY5:AY9 BA5:BA9 BF5:BF9 AR54:AR56 AT54:AT63 Y66:Y78 AF66:AF78 AM66:AM78 AR66:AR69 AT66:AT78 AY66:AY70 BA66:BA70 BH66:BH71 BO66:BO72 BV66:BV72 CC66:CC73 CJ66:CJ74 CQ66:CQ75 CX66:CX76 DE66:DE77 DL66:DL78">
    <cfRule type="expression" dxfId="0" priority="12">
      <formula>OR(IF(AR5&lt;AS5,TRUE),IF(AND(AS5="",AR5&lt;&gt;""),TRUE))</formula>
    </cfRule>
  </conditionalFormatting>
  <conditionalFormatting sqref="AR5:AR9 AT5:AT18 AY5:AY9 BA5:BA9 BF5:BF9 AR54:AR56 AT54:AT63 Y66:Y78 AF66:AF78 AM66:AM78 AR66:AR69 AT66:AT78 AY66:AY70 BA66:BA70 BH66:BH71 BO66:BO72 BV66:BV72 CC66:CC73 CJ66:CJ74 CQ66:CQ75 CX66:CX76 DE66:DE77 DL66:DL78">
    <cfRule type="expression" dxfId="1" priority="13">
      <formula>IF(AR5&gt;=AS5,IF(AR5="",FALSE,TRUE))</formula>
    </cfRule>
  </conditionalFormatting>
  <conditionalFormatting sqref="K20:L25">
    <cfRule type="colorScale" priority="14">
      <colorScale>
        <cfvo type="percent" val="0"/>
        <cfvo type="percent" val="100"/>
        <color rgb="FFFF231B"/>
        <color rgb="FF10FF07"/>
      </colorScale>
    </cfRule>
  </conditionalFormatting>
  <conditionalFormatting sqref="K28:L35 K38:L43 K46:L51">
    <cfRule type="colorScale" priority="15">
      <colorScale>
        <cfvo type="percent" val="0"/>
        <cfvo type="percent" val="100"/>
        <color rgb="FFFF231B"/>
        <color rgb="FF10FF07"/>
      </colorScale>
    </cfRule>
  </conditionalFormatting>
  <conditionalFormatting sqref="P28:P29 P38:P39 P46:P47">
    <cfRule type="expression" dxfId="0" priority="16">
      <formula>OR(IF(P28&lt;Q28,TRUE),IF(AND(Q28="",P28&lt;&gt;""),TRUE))</formula>
    </cfRule>
  </conditionalFormatting>
  <conditionalFormatting sqref="P28:P29 P38:P39 P46:P47">
    <cfRule type="expression" dxfId="1" priority="17">
      <formula>IF(P28&gt;=Q28,IF(P28="",FALSE,TRUE))</formula>
    </cfRule>
  </conditionalFormatting>
  <conditionalFormatting sqref="R28:R29 R38:R39 R46:R47">
    <cfRule type="expression" dxfId="0" priority="18">
      <formula>OR(IF(R28&lt;S28,TRUE),IF(AND(S28="",R28&lt;&gt;""),TRUE))</formula>
    </cfRule>
  </conditionalFormatting>
  <conditionalFormatting sqref="R28:R29 R38:R39 R46:R47">
    <cfRule type="expression" dxfId="1" priority="19">
      <formula>IF(R28&gt;=S28,IF(R28="",FALSE,TRUE))</formula>
    </cfRule>
  </conditionalFormatting>
  <conditionalFormatting sqref="AY30:AY35 AY40:AY43 AY48:AY51">
    <cfRule type="expression" dxfId="0" priority="20">
      <formula>OR(IF(AY30&lt;AZ30,TRUE),IF(AND(AZ30="",AY30&lt;&gt;""),TRUE))</formula>
    </cfRule>
  </conditionalFormatting>
  <conditionalFormatting sqref="AY30:AY35 AY40:AY43 AY48:AY51">
    <cfRule type="expression" dxfId="1" priority="21">
      <formula>IF(AY30&gt;=AZ30,IF(AY30="",FALSE,TRUE))</formula>
    </cfRule>
  </conditionalFormatting>
  <conditionalFormatting sqref="BA30:BA35 BA40:BA43 BA48:BA51 BF48 BH48">
    <cfRule type="expression" dxfId="0" priority="22">
      <formula>OR(IF(BA30&lt;BB30,TRUE),IF(AND(BB30="",BA30&lt;&gt;""),TRUE))</formula>
    </cfRule>
  </conditionalFormatting>
  <conditionalFormatting sqref="BA30:BA35 BA40:BA43 BA48:BA51 BF48 BH48">
    <cfRule type="expression" dxfId="1" priority="23">
      <formula>IF(BA30&gt;=BB30,IF(BA30="",FALSE,TRUE))</formula>
    </cfRule>
  </conditionalFormatting>
  <conditionalFormatting sqref="BF5:BF18 BM5:BM18 BT5:BT18 CA5:CA18 CH5:CH18 CO5:CO18 DJ5:DJ18 DQ5:DQ18 BF20:BF25 BH20:BH25 BM20:BM25 BO20:BO25 BT20:BT25 BV20:BV25 CA20:CA25 CC20:CC25 CH20:CH25 CJ20:CJ25 CO20:CO25 CQ20:CQ25 DJ20:DJ25 DL20:DL25 DQ20:DQ25 DS20:DS25 AY54:AY63 BF54:BF63 BT54:BT63 CA54:CA63 CC54:CC56 CH54:CH63 CO54:CO63 CV54:CV63 DC54:DC63 DJ54:DJ63 DQ54:DQ63 BM60:BM63 W66:W78 Y66 AD66:AD78 AK66:AK78 AM66:AM69 AR66:AR78 AT66:AT69 AY66:AY78 BA66:BA69 BF66:BF78 BM66:BM78 BT66:BT78 CA66:CA78 CH66:CH78 CO66:CO78 CV66:CV78 DC66:DC78 DJ66:DJ78 DQ66:DQ77">
    <cfRule type="expression" dxfId="0" priority="24">
      <formula>OR(IF(#REF!&lt;#REF!,TRUE),IF(AND(#REF!="",#REF!&lt;&gt;""),TRUE))</formula>
    </cfRule>
  </conditionalFormatting>
  <conditionalFormatting sqref="BF5:BF18 BM5:BM18 BT5:BT18 CA5:CA18 CH5:CH18 CO5:CO18 DJ5:DJ18 DQ5:DQ18 BF20:BF25 BH20:BH25 BM20:BM25 BO20:BO25 BT20:BT25 BV20:BV25 CA20:CA25 CC20:CC25 CH20:CH25 CJ20:CJ25 CO20:CO25 CQ20:CQ25 DJ20:DJ25 DL20:DL25 DQ20:DQ25 DS20:DS25 AY54:AY63 BF54:BF63 BT54:BT63 CA54:CA63 CC54:CC56 CH54:CH63 CO54:CO63 CV54:CV63 DC54:DC63 DJ54:DJ63 DQ54:DQ63 BM60:BM63 W66:W78 Y66 AD66:AD78 AK66:AK78 AM66:AM69 AR66:AR78 AT66:AT69 AY66:AY78 BA66:BA69 BF66:BF78 BM66:BM78 BT66:BT78 CA66:CA78 CH66:CH78 CO66:CO78 CV66:CV78 DC66:DC78 DJ66:DJ78 DQ66:DQ77">
    <cfRule type="expression" dxfId="1" priority="25">
      <formula>IF(#REF!&gt;=#REF!,IF(#REF!="",FALSE,TRUE))</formula>
    </cfRule>
  </conditionalFormatting>
  <conditionalFormatting sqref="BH5:BH18 BO5:BO18 BV5:BV18 CC5:CC18 CJ5:CJ18 CQ5:CQ18 DL5:DL18 DS5:DS18 CH12:CH18 CO12:CO18 BA54:BA63 BH54:BH63 BO54:BO63 BV54:BV63 CA54:CA63 CC54:CC63 CH54:CH59 CJ54:CJ63 CO54:CO63 CQ54:CQ63 CV54:CV63 CX54:CX63 DC54:DC63 DE54:DE63 DJ54:DJ63 DL54:DL63 DS54:DS63 W66:W78 Y66:Y78 AD66:AD78 AF66:AF78 AK66:AK78 AM66:AM78 AR66:AR78 AT66:AT78 AY66:AY78 BA66:BA78 BF66:BF78 BH66:BH78 BM66:BM72 BO66:BO78 BT66:BT78 BV66:BV78 CA66:CA78 CC66:CC78 CH66:CH78 CJ66:CJ78 CO66:CO78 CQ66:CQ78 CV66:CV78 CX66:CX78 DC66:DC78 DE66:DE78 DJ66:DJ78 DL66:DL78 DS66:DS77">
    <cfRule type="expression" dxfId="0" priority="26">
      <formula>OR(IF(BH5&lt;BI5,TRUE),IF(AND(BI5="",BH5&lt;&gt;""),TRUE))</formula>
    </cfRule>
  </conditionalFormatting>
  <conditionalFormatting sqref="BH5:BH18 BO5:BO18 BV5:BV18 CC5:CC18 CJ5:CJ18 CQ5:CQ18 DL5:DL18 DS5:DS18 CH12:CH18 CO12:CO18 BA54:BA63 BH54:BH63 BO54:BO63 BV54:BV63 CA54:CA63 CC54:CC63 CH54:CH59 CJ54:CJ63 CO54:CO63 CQ54:CQ63 CV54:CV63 CX54:CX63 DC54:DC63 DE54:DE63 DJ54:DJ63 DL54:DL63 DS54:DS63 W66:W78 Y66:Y78 AD66:AD78 AF66:AF78 AK66:AK78 AM66:AM78 AR66:AR78 AT66:AT78 AY66:AY78 BA66:BA78 BF66:BF78 BH66:BH78 BM66:BM72 BO66:BO78 BT66:BT78 BV66:BV78 CA66:CA78 CC66:CC78 CH66:CH78 CJ66:CJ78 CO66:CO78 CQ66:CQ78 CV66:CV78 CX66:CX78 DC66:DC78 DE66:DE78 DJ66:DJ78 DL66:DL78 DS66:DS77">
    <cfRule type="expression" dxfId="1" priority="27">
      <formula>IF(BH5&gt;=BI5,IF(BH5="",FALSE,TRUE))</formula>
    </cfRule>
  </conditionalFormatting>
  <conditionalFormatting sqref="BF28:BF29 BM28:BM29 BT28:BT29 CA28:CA29 CH28:CH29 CO28:CO29 DJ28:DJ29 DQ28:DQ29 BF38:BF39 BM38:BM39 BT38:BT39 CA38:CA39 CH38:CH39 CO38:CO39 DJ38:DJ39 DQ38:DQ39 BF46:BF47 BM46:BM47 BT46:BT47 CA46:CA47 CH46:CH47 CO46:CO47 DJ46:DJ47 DQ46:DQ47 AY54:AY55 BF54:BF55 AY60:AY61 BF60:BF61">
    <cfRule type="expression" dxfId="0" priority="28">
      <formula>OR(IF(BF28&lt;BG28,TRUE),IF(AND(BG28="",BF28&lt;&gt;""),TRUE))</formula>
    </cfRule>
  </conditionalFormatting>
  <conditionalFormatting sqref="BF28:BF29 BM28:BM29 BT28:BT29 CA28:CA29 CH28:CH29 CO28:CO29 DJ28:DJ29 DQ28:DQ29 BF38:BF39 BM38:BM39 BT38:BT39 CA38:CA39 CH38:CH39 CO38:CO39 DJ38:DJ39 DQ38:DQ39 BF46:BF47 BM46:BM47 BT46:BT47 CA46:CA47 CH46:CH47 CO46:CO47 DJ46:DJ47 DQ46:DQ47 AY54:AY55 BF54:BF55 AY60:AY61 BF60:BF61">
    <cfRule type="expression" dxfId="1" priority="29">
      <formula>IF(BF28&gt;=BG28,IF(BF28="",FALSE,TRUE))</formula>
    </cfRule>
  </conditionalFormatting>
  <conditionalFormatting sqref="R30:R35 R40:R43 R48:R51">
    <cfRule type="expression" dxfId="0" priority="30">
      <formula>OR(IF(R30&lt;S30,TRUE),IF(AND(S30="",R30&lt;&gt;""),TRUE))</formula>
    </cfRule>
  </conditionalFormatting>
  <conditionalFormatting sqref="R30:R35 R40:R43 R48:R51">
    <cfRule type="expression" dxfId="1" priority="31">
      <formula>IF(R30&gt;=S30,IF(R30="",FALSE,TRUE))</formula>
    </cfRule>
  </conditionalFormatting>
  <conditionalFormatting sqref="P30:P35 P40:P43 P48:P51">
    <cfRule type="expression" dxfId="0" priority="32">
      <formula>OR(IF(P30&lt;Q30,TRUE),IF(AND(Q30="",P30&lt;&gt;""),TRUE))</formula>
    </cfRule>
  </conditionalFormatting>
  <conditionalFormatting sqref="P30:P35 P40:P43 P48:P51">
    <cfRule type="expression" dxfId="1" priority="33">
      <formula>IF(P30&gt;=Q30,IF(P30="",FALSE,TRUE))</formula>
    </cfRule>
  </conditionalFormatting>
  <conditionalFormatting sqref="BF30:BF35 BH30:BH35 BO30:BO35 BV30:BV35 CC30:CC35 CJ30:CJ35 CQ30:CQ35 DL30:DL35 DS30:DS35 BH40:BH43 BO40:BO43 BV40:BV43 CA40:CA43 CC40:CC43 CH40:CH43 CJ40:CJ43 CO40:CO43 CQ40:CQ43 DL40:DL43 DS40:DS43 BH48:BH51 BM48:BM51 BO48:BO51 BV48:BV51 CC48:CC51 CJ48:CJ51 CQ48:CQ51 DL48:DL51 DS48:DS51 BH54:BH59 BA56:BA59 BA62:BA63 BH62:BH63">
    <cfRule type="expression" dxfId="0" priority="34">
      <formula>OR(IF(BF30&lt;BG30,TRUE),IF(AND(BG30="",BF30&lt;&gt;""),TRUE))</formula>
    </cfRule>
  </conditionalFormatting>
  <conditionalFormatting sqref="BF30:BF35 BH30:BH35 BO30:BO35 BV30:BV35 CC30:CC35 CJ30:CJ35 CQ30:CQ35 DL30:DL35 DS30:DS35 BH40:BH43 BO40:BO43 BV40:BV43 CA40:CA43 CC40:CC43 CH40:CH43 CJ40:CJ43 CO40:CO43 CQ40:CQ43 DL40:DL43 DS40:DS43 BH48:BH51 BM48:BM51 BO48:BO51 BV48:BV51 CC48:CC51 CJ48:CJ51 CQ48:CQ51 DL48:DL51 DS48:DS51 BH54:BH59 BA56:BA59 BA62:BA63 BH62:BH63">
    <cfRule type="expression" dxfId="1" priority="35">
      <formula>IF(BF30&gt;=BG30,IF(BF30="",FALSE,TRUE))</formula>
    </cfRule>
  </conditionalFormatting>
  <conditionalFormatting sqref="W5:W18 W20:W25 Y20:Y25 W54:W63 W66:W78 Y66">
    <cfRule type="expression" dxfId="0" priority="36">
      <formula>OR(IF(#REF!&lt;#REF!,TRUE),IF(AND(#REF!="",#REF!&lt;&gt;""),TRUE))</formula>
    </cfRule>
  </conditionalFormatting>
  <conditionalFormatting sqref="W5:W18 W20:W25 Y20:Y25 W54:W63 W66:W78 Y66">
    <cfRule type="expression" dxfId="1" priority="37">
      <formula>IF(#REF!&gt;=#REF!,IF(#REF!="",FALSE,TRUE))</formula>
    </cfRule>
  </conditionalFormatting>
  <conditionalFormatting sqref="W5:W7 Y5:Y18 Y54:Y63 Y66:Y78">
    <cfRule type="expression" dxfId="0" priority="38">
      <formula>OR(IF(W5&lt;X5,TRUE),IF(AND(X5="",W5&lt;&gt;""),TRUE))</formula>
    </cfRule>
  </conditionalFormatting>
  <conditionalFormatting sqref="W5:W7 Y5:Y18 Y54:Y63 Y66:Y78">
    <cfRule type="expression" dxfId="1" priority="39">
      <formula>IF(W5&gt;=X5,IF(W5="",FALSE,TRUE))</formula>
    </cfRule>
  </conditionalFormatting>
  <conditionalFormatting sqref="W28:W29 Y28:Y29 W38:W39 W46:W47">
    <cfRule type="expression" dxfId="0" priority="40">
      <formula>OR(IF(W28&lt;X28,TRUE),IF(AND(X28="",W28&lt;&gt;""),TRUE))</formula>
    </cfRule>
  </conditionalFormatting>
  <conditionalFormatting sqref="W28:W29 Y28:Y29 W38:W39 W46:W47">
    <cfRule type="expression" dxfId="1" priority="41">
      <formula>IF(W28&gt;=X28,IF(W28="",FALSE,TRUE))</formula>
    </cfRule>
  </conditionalFormatting>
  <conditionalFormatting sqref="Y28:Y29 Y38:Y39 Y46:Y47">
    <cfRule type="expression" dxfId="0" priority="42">
      <formula>OR(IF(Y28&lt;Z28,TRUE),IF(AND(Z28="",Y28&lt;&gt;""),TRUE))</formula>
    </cfRule>
  </conditionalFormatting>
  <conditionalFormatting sqref="Y28:Y29 Y38:Y39 Y46:Y47">
    <cfRule type="expression" dxfId="1" priority="43">
      <formula>IF(Y28&gt;=Z28,IF(Y28="",FALSE,TRUE))</formula>
    </cfRule>
  </conditionalFormatting>
  <conditionalFormatting sqref="Y30:Y35 Y40:Y43 Y48:Y51">
    <cfRule type="expression" dxfId="0" priority="44">
      <formula>OR(IF(Y30&lt;Z30,TRUE),IF(AND(Z30="",Y30&lt;&gt;""),TRUE))</formula>
    </cfRule>
  </conditionalFormatting>
  <conditionalFormatting sqref="Y30:Y35 Y40:Y43 Y48:Y51">
    <cfRule type="expression" dxfId="1" priority="45">
      <formula>IF(Y30&gt;=Z30,IF(Y30="",FALSE,TRUE))</formula>
    </cfRule>
  </conditionalFormatting>
  <conditionalFormatting sqref="W30:W35 W40:W43 W48:W51">
    <cfRule type="expression" dxfId="0" priority="46">
      <formula>OR(IF(W30&lt;X30,TRUE),IF(AND(X30="",W30&lt;&gt;""),TRUE))</formula>
    </cfRule>
  </conditionalFormatting>
  <conditionalFormatting sqref="W30:W35 W40:W43 W48:W51">
    <cfRule type="expression" dxfId="1" priority="47">
      <formula>IF(W30&gt;=X30,IF(W30="",FALSE,TRUE))</formula>
    </cfRule>
  </conditionalFormatting>
  <conditionalFormatting sqref="AD5:AD18 AD20:AD25 AF20:AF25 AD54:AD63 W66:W78 Y66 AD66:AD78 AK66:AK68 AM66:AM68 AR66:AR69 AT66:AT69 AY66:AY69 BA66:BA69">
    <cfRule type="expression" dxfId="0" priority="48">
      <formula>OR(IF(#REF!&lt;#REF!,TRUE),IF(AND(#REF!="",#REF!&lt;&gt;""),TRUE))</formula>
    </cfRule>
  </conditionalFormatting>
  <conditionalFormatting sqref="AD5:AD18 AD20:AD25 AF20:AF25 AD54:AD63 W66:W78 Y66 AD66:AD78 AK66:AK68 AM66:AM68 AR66:AR69 AT66:AT69 AY66:AY69 BA66:BA69">
    <cfRule type="expression" dxfId="1" priority="49">
      <formula>IF(#REF!&gt;=#REF!,IF(#REF!="",FALSE,TRUE))</formula>
    </cfRule>
  </conditionalFormatting>
  <conditionalFormatting sqref="AD5:AD7 AF5:AF18 AF54:AF63 Y66:Y78 AF66:AF78">
    <cfRule type="expression" dxfId="0" priority="50">
      <formula>OR(IF(AD5&lt;AE5,TRUE),IF(AND(AE5="",AD5&lt;&gt;""),TRUE))</formula>
    </cfRule>
  </conditionalFormatting>
  <conditionalFormatting sqref="AD5:AD7 AF5:AF18 AF54:AF63 Y66:Y78 AF66:AF78">
    <cfRule type="expression" dxfId="1" priority="51">
      <formula>IF(AD5&gt;=AE5,IF(AD5="",FALSE,TRUE))</formula>
    </cfRule>
  </conditionalFormatting>
  <conditionalFormatting sqref="AD28:AD29 AF28:AF29 AK28:AK29 AM28:AM29 AR28:AR29 AT28:AT29 BA28:BA29 AD38:AD39 AD46:AD47 AK46:AK47 AM46:AM47 AR46:AR47 AT46:AT47">
    <cfRule type="expression" dxfId="0" priority="52">
      <formula>OR(IF(AD28&lt;AE28,TRUE),IF(AND(AE28="",AD28&lt;&gt;""),TRUE))</formula>
    </cfRule>
  </conditionalFormatting>
  <conditionalFormatting sqref="AD28:AD29 AF28:AF29 AK28:AK29 AM28:AM29 AR28:AR29 AT28:AT29 BA28:BA29 AD38:AD39 AD46:AD47 AK46:AK47 AM46:AM47 AR46:AR47 AT46:AT47">
    <cfRule type="expression" dxfId="1" priority="53">
      <formula>IF(AD28&gt;=AE28,IF(AD28="",FALSE,TRUE))</formula>
    </cfRule>
  </conditionalFormatting>
  <conditionalFormatting sqref="AF28:AF29 AF38:AF39 AF46:AF47">
    <cfRule type="expression" dxfId="0" priority="54">
      <formula>OR(IF(AF28&lt;AG28,TRUE),IF(AND(AG28="",AF28&lt;&gt;""),TRUE))</formula>
    </cfRule>
  </conditionalFormatting>
  <conditionalFormatting sqref="AF28:AF29 AF38:AF39 AF46:AF47">
    <cfRule type="expression" dxfId="1" priority="55">
      <formula>IF(AF28&gt;=AG28,IF(AF28="",FALSE,TRUE))</formula>
    </cfRule>
  </conditionalFormatting>
  <conditionalFormatting sqref="AF30:AF35 AF40:AF43 AF48:AF51">
    <cfRule type="expression" dxfId="0" priority="56">
      <formula>OR(IF(AF30&lt;AG30,TRUE),IF(AND(AG30="",AF30&lt;&gt;""),TRUE))</formula>
    </cfRule>
  </conditionalFormatting>
  <conditionalFormatting sqref="AF30:AF35 AF40:AF43 AF48:AF51">
    <cfRule type="expression" dxfId="1" priority="57">
      <formula>IF(AF30&gt;=AG30,IF(AF30="",FALSE,TRUE))</formula>
    </cfRule>
  </conditionalFormatting>
  <conditionalFormatting sqref="AD30:AD35 AK30 AM30 AR30 AT30 BA30 AD40:AD43 AD48:AD51 AK48:AK49 AM48:AM49 AR48:AR49 AT48:AT49">
    <cfRule type="expression" dxfId="0" priority="58">
      <formula>OR(IF(AD30&lt;AE30,TRUE),IF(AND(AE30="",AD30&lt;&gt;""),TRUE))</formula>
    </cfRule>
  </conditionalFormatting>
  <conditionalFormatting sqref="AD30:AD35 AK30 AM30 AR30 AT30 BA30 AD40:AD43 AD48:AD51 AK48:AK49 AM48:AM49 AR48:AR49 AT48:AT49">
    <cfRule type="expression" dxfId="1" priority="59">
      <formula>IF(AD30&gt;=AE30,IF(AD30="",FALSE,TRUE))</formula>
    </cfRule>
  </conditionalFormatting>
  <conditionalFormatting sqref="AK5:AK18 AM5:AM9 AR5:AR7 AT5:AT7 AY5:AY7 BA5:BA7 BF5:BF7 AK20:AK25 AM20:AM25 AK54:AK63 W66:W78 Y66 AD66:AD78 AK66:AK78 AM66:AM69 AR66:AR69 AT66:AT69 AY66:AY70 BA66:BA69 BF66:BF71 BM66:BM72 BT66:BT72 CA66:CA73 CH66:CH74 CO66:CO75 CV66:CV76 DC66:DC77 DJ66:DJ78">
    <cfRule type="expression" dxfId="0" priority="60">
      <formula>OR(IF(#REF!&lt;#REF!,TRUE),IF(AND(#REF!="",#REF!&lt;&gt;""),TRUE))</formula>
    </cfRule>
  </conditionalFormatting>
  <conditionalFormatting sqref="AK5:AK18 AM5:AM9 AR5:AR7 AT5:AT7 AY5:AY7 BA5:BA7 BF5:BF7 AK20:AK25 AM20:AM25 AK54:AK63 W66:W78 Y66 AD66:AD78 AK66:AK78 AM66:AM69 AR66:AR69 AT66:AT69 AY66:AY70 BA66:BA69 BF66:BF71 BM66:BM72 BT66:BT72 CA66:CA73 CH66:CH74 CO66:CO75 CV66:CV76 DC66:DC77 DJ66:DJ78">
    <cfRule type="expression" dxfId="1" priority="61">
      <formula>IF(#REF!&gt;=#REF!,IF(#REF!="",FALSE,TRUE))</formula>
    </cfRule>
  </conditionalFormatting>
  <conditionalFormatting sqref="AK5:AK9 AM5:AM18 AR5:AR7 AT5:AT7 AY5:AY7 BA5:BA7 BF5:BF7 AK54:AK55 AM54:AM63 Y66:Y78 AF66:AF78 AM66:AM78 AR66:AR69 AT66:AT69 AY66:AY70 BA66:BA70 BH66:BH71 BO66:BO72 BV66:BV72 CC66:CC73 CJ66:CJ74 CQ66:CQ75 CX66:CX76 DE66:DE77 DL66:DL78">
    <cfRule type="expression" dxfId="0" priority="62">
      <formula>OR(IF(AK5&lt;AL5,TRUE),IF(AND(AL5="",AK5&lt;&gt;""),TRUE))</formula>
    </cfRule>
  </conditionalFormatting>
  <conditionalFormatting sqref="AK5:AK9 AM5:AM18 AR5:AR7 AT5:AT7 AY5:AY7 BA5:BA7 BF5:BF7 AK54:AK55 AM54:AM63 Y66:Y78 AF66:AF78 AM66:AM78 AR66:AR69 AT66:AT69 AY66:AY70 BA66:BA70 BH66:BH71 BO66:BO72 BV66:BV72 CC66:CC73 CJ66:CJ74 CQ66:CQ75 CX66:CX76 DE66:DE77 DL66:DL78">
    <cfRule type="expression" dxfId="1" priority="63">
      <formula>IF(AK5&gt;=AL5,IF(AK5="",FALSE,TRUE))</formula>
    </cfRule>
  </conditionalFormatting>
  <conditionalFormatting sqref="AK28:AK29 AR28:AR29 AT28:AT29 BA28:BA29 AK38:AK39 AK46:AK47 AR46:AR47 AT46:AT47">
    <cfRule type="expression" dxfId="0" priority="64">
      <formula>OR(IF(AK28&lt;AL28,TRUE),IF(AND(AL28="",AK28&lt;&gt;""),TRUE))</formula>
    </cfRule>
  </conditionalFormatting>
  <conditionalFormatting sqref="AK28:AK29 AR28:AR29 AT28:AT29 BA28:BA29 AK38:AK39 AK46:AK47 AR46:AR47 AT46:AT47">
    <cfRule type="expression" dxfId="1" priority="65">
      <formula>IF(AK28&gt;=AL28,IF(AK28="",FALSE,TRUE))</formula>
    </cfRule>
  </conditionalFormatting>
  <conditionalFormatting sqref="AM28:AM29 AM38:AM39 AM46:AM47">
    <cfRule type="expression" dxfId="0" priority="66">
      <formula>OR(IF(AM28&lt;AN28,TRUE),IF(AND(AN28="",AM28&lt;&gt;""),TRUE))</formula>
    </cfRule>
  </conditionalFormatting>
  <conditionalFormatting sqref="AM28:AM29 AM38:AM39 AM46:AM47">
    <cfRule type="expression" dxfId="1" priority="67">
      <formula>IF(AM28&gt;=AN28,IF(AM28="",FALSE,TRUE))</formula>
    </cfRule>
  </conditionalFormatting>
  <conditionalFormatting sqref="AR28:AR29 AR38:AR39 AR46:AR47">
    <cfRule type="expression" dxfId="0" priority="68">
      <formula>OR(IF(AR28&lt;AS28,TRUE),IF(AND(AS28="",AR28&lt;&gt;""),TRUE))</formula>
    </cfRule>
  </conditionalFormatting>
  <conditionalFormatting sqref="AR28:AR29 AR38:AR39 AR46:AR47">
    <cfRule type="expression" dxfId="1" priority="69">
      <formula>IF(AR28&gt;=AS28,IF(AR28="",FALSE,TRUE))</formula>
    </cfRule>
  </conditionalFormatting>
  <conditionalFormatting sqref="AT28:AT29 BA28:BA29 AT38:AT39 AT46:AT47">
    <cfRule type="expression" dxfId="0" priority="70">
      <formula>OR(IF(AT28&lt;AU28,TRUE),IF(AND(AU28="",AT28&lt;&gt;""),TRUE))</formula>
    </cfRule>
  </conditionalFormatting>
  <conditionalFormatting sqref="AT28:AT29 BA28:BA29 AT38:AT39 AT46:AT47">
    <cfRule type="expression" dxfId="1" priority="71">
      <formula>IF(AT28&gt;=AU28,IF(AT28="",FALSE,TRUE))</formula>
    </cfRule>
  </conditionalFormatting>
  <conditionalFormatting sqref="AT30:AT35 BA30 AT40:AT43 AT48:AT51">
    <cfRule type="expression" dxfId="0" priority="72">
      <formula>OR(IF(AT30&lt;AU30,TRUE),IF(AND(AU30="",AT30&lt;&gt;""),TRUE))</formula>
    </cfRule>
  </conditionalFormatting>
  <conditionalFormatting sqref="AT30:AT35 BA30 AT40:AT43 AT48:AT51">
    <cfRule type="expression" dxfId="1" priority="73">
      <formula>IF(AT30&gt;=AU30,IF(AT30="",FALSE,TRUE))</formula>
    </cfRule>
  </conditionalFormatting>
  <conditionalFormatting sqref="AR30:AR35 AR40:AR43 AR48:AR51">
    <cfRule type="expression" dxfId="0" priority="74">
      <formula>OR(IF(AR30&lt;AS30,TRUE),IF(AND(AS30="",AR30&lt;&gt;""),TRUE))</formula>
    </cfRule>
  </conditionalFormatting>
  <conditionalFormatting sqref="AR30:AR35 AR40:AR43 AR48:AR51">
    <cfRule type="expression" dxfId="1" priority="75">
      <formula>IF(AR30&gt;=AS30,IF(AR30="",FALSE,TRUE))</formula>
    </cfRule>
  </conditionalFormatting>
  <conditionalFormatting sqref="AY5:AY18 BA5:BA9 BF5:BF9 CH12:CH18 CJ12:CJ18 CO12:CO18 CQ12:CQ18 CV12:CV18 DC12:DC18 DJ12:DJ18 AY20:AY25 BA20:BA25 CV20:CV25 DC20:DC25 DJ20:DJ25 DC38:DC44 AY54:AY63 W66:W78 Y66 AD66:AD78 AK66:AK78 AM66:AM69 AR66:AR78 AT66:AT69 AY66:AY78 BA66:BA69 BF66:BF71 BM66:BM72 BT66:BT72 CA66:CA73 CH66:CH74 CO66:CO75 CV66:CV76 DC66:DC77 DJ66:DJ78">
    <cfRule type="expression" dxfId="0" priority="76">
      <formula>OR(IF(#REF!&lt;#REF!,TRUE),IF(AND(#REF!="",#REF!&lt;&gt;""),TRUE))</formula>
    </cfRule>
  </conditionalFormatting>
  <conditionalFormatting sqref="AY5:AY18 BA5:BA9 BF5:BF9 CH12:CH18 CJ12:CJ18 CO12:CO18 CQ12:CQ18 CV12:CV18 DC12:DC18 DJ12:DJ18 AY20:AY25 BA20:BA25 CV20:CV25 DC20:DC25 DJ20:DJ25 DC38:DC44 AY54:AY63 W66:W78 Y66 AD66:AD78 AK66:AK78 AM66:AM69 AR66:AR78 AT66:AT69 AY66:AY78 BA66:BA69 BF66:BF71 BM66:BM72 BT66:BT72 CA66:CA73 CH66:CH74 CO66:CO75 CV66:CV76 DC66:DC77 DJ66:DJ78">
    <cfRule type="expression" dxfId="1" priority="77">
      <formula>IF(#REF!&gt;=#REF!,IF(#REF!="",FALSE,TRUE))</formula>
    </cfRule>
  </conditionalFormatting>
  <conditionalFormatting sqref="BA5:BA18 BF5:BF9 CH12:CH18 CJ12:CJ18 CO12:CO18 CQ12:CQ18 CV12:CV18 CX12:CX18 DE12:DE18 DL12:DL18 CA20:CA25 CC20:CC25 CH20:CH25 CJ20:CJ25 CO20:CO25 CQ20:CQ25 CX20:CX25 DE20:DE25 DL20:DL25 CA38:CA43 CC38:CC43 CH38:CH43 CJ38:CJ43 CO38:CO43 CQ38:CQ43 CV38:CV43 CX38:CX43 DE38:DE44 DJ38:DJ43 DL38:DL43 BA54:BA63 Y66:Y78 AF66:AF78 AM66:AM78 AR66:AR69 AT66:AT78 AY66:AY70 BA66:BA78 BH66:BH71 BO66:BO72 BV66:BV72 CC66:CC73 CJ66:CJ74 CQ66:CQ75 CX66:CX76 DE66:DE77 DL66:DL78">
    <cfRule type="expression" dxfId="0" priority="78">
      <formula>OR(IF(BA5&lt;BB5,TRUE),IF(AND(BB5="",BA5&lt;&gt;""),TRUE))</formula>
    </cfRule>
  </conditionalFormatting>
  <conditionalFormatting sqref="BA5:BA18 BF5:BF9 CH12:CH18 CJ12:CJ18 CO12:CO18 CQ12:CQ18 CV12:CV18 CX12:CX18 DE12:DE18 DL12:DL18 CA20:CA25 CC20:CC25 CH20:CH25 CJ20:CJ25 CO20:CO25 CQ20:CQ25 CX20:CX25 DE20:DE25 DL20:DL25 CA38:CA43 CC38:CC43 CH38:CH43 CJ38:CJ43 CO38:CO43 CQ38:CQ43 CV38:CV43 CX38:CX43 DE38:DE44 DJ38:DJ43 DL38:DL43 BA54:BA63 Y66:Y78 AF66:AF78 AM66:AM78 AR66:AR69 AT66:AT78 AY66:AY70 BA66:BA78 BH66:BH71 BO66:BO72 BV66:BV72 CC66:CC73 CJ66:CJ74 CQ66:CQ75 CX66:CX76 DE66:DE77 DL66:DL78">
    <cfRule type="expression" dxfId="1" priority="79">
      <formula>IF(BA5&gt;=BB5,IF(BA5="",FALSE,TRUE))</formula>
    </cfRule>
  </conditionalFormatting>
  <conditionalFormatting sqref="AY28:AY29 AY38:AY39 AY46:AY48">
    <cfRule type="expression" dxfId="0" priority="80">
      <formula>OR(IF(AY28&lt;AZ28,TRUE),IF(AND(AZ28="",AY28&lt;&gt;""),TRUE))</formula>
    </cfRule>
  </conditionalFormatting>
  <conditionalFormatting sqref="AY28:AY29 AY38:AY39 AY46:AY48">
    <cfRule type="expression" dxfId="1" priority="81">
      <formula>IF(AY28&gt;=AZ28,IF(AY28="",FALSE,TRUE))</formula>
    </cfRule>
  </conditionalFormatting>
  <conditionalFormatting sqref="BA28:BA29 BA38:BA39 BA46:BA48 BF46:BF48 BH46:BH48">
    <cfRule type="expression" dxfId="0" priority="82">
      <formula>OR(IF(BA28&lt;BB28,TRUE),IF(AND(BB28="",BA28&lt;&gt;""),TRUE))</formula>
    </cfRule>
  </conditionalFormatting>
  <conditionalFormatting sqref="BA28:BA29 BA38:BA39 BA46:BA48 BF46:BF48 BH46:BH48">
    <cfRule type="expression" dxfId="1" priority="83">
      <formula>IF(BA28&gt;=BB28,IF(BA28="",FALSE,TRUE))</formula>
    </cfRule>
  </conditionalFormatting>
  <conditionalFormatting sqref="BF28:BF35 BH28:BH35 BO28:BO29 BV28:BV29 CC28:CC29 CJ28:CJ29 CQ28:CQ29 DL28:DL29 DS28:DS29 BH38:BH39 BO38:BO39 BV38:BV39 CA38:CA39 CC38:CC39 CH38:CH39 CJ38:CJ39 CO38:CO39 CQ38:CQ39 DL38:DL39 DS38:DS39 BH46:BH47 BM46:BM51 BO46:BO51 BV46:BV47 CC46:CC47 CJ46:CJ47 CQ46:CQ47 DL46:DL47 DS46:DS47 BA54:BA55 BH54:BH55 BA60:BA61 BH60:BH61">
    <cfRule type="expression" dxfId="0" priority="84">
      <formula>OR(IF(BF28&lt;BG28,TRUE),IF(AND(BG28="",BF28&lt;&gt;""),TRUE))</formula>
    </cfRule>
  </conditionalFormatting>
  <conditionalFormatting sqref="BF28:BF35 BH28:BH35 BO28:BO29 BV28:BV29 CC28:CC29 CJ28:CJ29 CQ28:CQ29 DL28:DL29 DS28:DS29 BH38:BH39 BO38:BO39 BV38:BV39 CA38:CA39 CC38:CC39 CH38:CH39 CJ38:CJ39 CO38:CO39 CQ38:CQ39 DL38:DL39 DS38:DS39 BH46:BH47 BM46:BM51 BO46:BO51 BV46:BV47 CC46:CC47 CJ46:CJ47 CQ46:CQ47 DL46:DL47 DS46:DS47 BA54:BA55 BH54:BH55 BA60:BA61 BH60:BH61">
    <cfRule type="expression" dxfId="1" priority="85">
      <formula>IF(BF28&gt;=BG28,IF(BF28="",FALSE,TRUE))</formula>
    </cfRule>
  </conditionalFormatting>
  <conditionalFormatting sqref="BF30:BF35 BM30:BM35 BT30:BT35 CA30:CA35 CH30:CH35 CO30:CO35 DJ30:DJ35 DQ30:DQ35 BF40:BF43 BM40:BM43 BT40:BT43 CA40:CA43 CH40:CH43 CO40:CO43 DJ40:DJ43 DQ40:DQ43 BF48:BF51 BM48:BM51 BT48:BT51 CA48:CA51 CH48:CH51 CO48:CO51 DJ48:DJ51 DQ48:DQ51 BF54:BF59 AY56:AY59 AY62:AY63 BF62:BF63">
    <cfRule type="expression" dxfId="0" priority="86">
      <formula>OR(IF(BF30&lt;BG30,TRUE),IF(AND(BG30="",BF30&lt;&gt;""),TRUE))</formula>
    </cfRule>
  </conditionalFormatting>
  <conditionalFormatting sqref="BF30:BF35 BM30:BM35 BT30:BT35 CA30:CA35 CH30:CH35 CO30:CO35 DJ30:DJ35 DQ30:DQ35 BF40:BF43 BM40:BM43 BT40:BT43 CA40:CA43 CH40:CH43 CO40:CO43 DJ40:DJ43 DQ40:DQ43 BF48:BF51 BM48:BM51 BT48:BT51 CA48:CA51 CH48:CH51 CO48:CO51 DJ48:DJ51 DQ48:DQ51 BF54:BF59 AY56:AY59 AY62:AY63 BF62:BF63">
    <cfRule type="expression" dxfId="1" priority="87">
      <formula>IF(BF30&gt;=BG30,IF(BF30="",FALSE,TRUE))</formula>
    </cfRule>
  </conditionalFormatting>
  <dataValidations>
    <dataValidation type="list" allowBlank="1" showErrorMessage="1" sqref="P5:S9 W5:Z9 AD5:AG9 AK5:AN9 AR5:AU9 AY5:BB9 BF5:BI9 CA12:CD17 BT12:BW18 CH12:CK18 CO12:CR18 CV12:CY18 DC12:DF18 DJ12:DM18 DQ12:DT18 BT20:BW25 CA20:CD25 CH20:CK25 CO20:CR25 CV20:CY25 DC20:DF25 DJ20:DM25 DQ20:DT25 P28:S35 W28:Z35 AD28:AG35 AK28:AN35 AR28:AU35 AY28:BB35 BF28:BI35 BT38:BW43 CA38:CD43 CH38:CK43 CO38:CR43 CV38:CY43 DC38:DF43 DJ38:DM43 DQ38:DT43 P46:S51 W46:Z51 AD46:AG51 AK46:AN51 AR46:AU51 AY46:BB51 BF46:BI51 BM46:BP51 P54:S63 AK54:AN63 AR54:AU63 AY54:BB63 BF54:BI63 BM54:BP63 BT54:BW63 CA54:CD63 CH54:CK63 CO54:CR63 CV54:CY63 DC54:DF63 DJ54:DM63 P66:S77 W66:Z78 AD66:AG78 AK66:AN78 AR66:AU78 AY66:BB78 BF66:BI78 BM66:BP78 BT66:BW78 CA66:CD78 CH66:CK78 CO66:CR78 CV66:CY78 DC66:DF78 DJ66:DM78">
      <formula1>"10%,20%,30%,40%,50%,60%,70%,80%,90%,100%"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1.22" defaultRowHeight="15.0" outlineLevelRow="1"/>
  <cols>
    <col customWidth="1" min="1" max="2" width="8.78"/>
    <col customWidth="1" min="3" max="3" width="26.56"/>
    <col customWidth="1" min="4" max="4" width="31.44"/>
    <col customWidth="1" min="5" max="5" width="13.0"/>
    <col customWidth="1" min="6" max="6" width="4.78"/>
    <col customWidth="1" min="7" max="7" width="41.11"/>
    <col customWidth="1" min="8" max="8" width="15.44"/>
    <col customWidth="1" min="9" max="9" width="2.44"/>
    <col customWidth="1" min="10" max="10" width="8.78"/>
    <col customWidth="1" min="11" max="11" width="12.44"/>
    <col customWidth="1" min="12" max="12" width="14.78"/>
    <col customWidth="1" min="13" max="13" width="12.67"/>
    <col customWidth="1" min="14" max="14" width="2.44"/>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min="21" max="21" width="2.44"/>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44"/>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44"/>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44"/>
    <col customWidth="1" hidden="1" min="43" max="43" width="8.78"/>
    <col customWidth="1" hidden="1" min="44" max="44" width="12.44"/>
    <col customWidth="1" hidden="1" min="45" max="45" width="6.33"/>
    <col customWidth="1" hidden="1" min="46" max="46" width="14.78"/>
    <col customWidth="1" hidden="1" min="47" max="47" width="6.0"/>
    <col customWidth="1" hidden="1" min="48" max="48" width="12.67"/>
    <col customWidth="1" min="49" max="49" width="2.44"/>
    <col customWidth="1" hidden="1" min="50" max="50" width="8.78"/>
    <col customWidth="1" hidden="1" min="51" max="51" width="12.44"/>
    <col customWidth="1" hidden="1" min="52" max="52" width="6.33"/>
    <col customWidth="1" hidden="1" min="53" max="53" width="14.78"/>
    <col customWidth="1" hidden="1" min="54" max="54" width="6.0"/>
    <col customWidth="1" hidden="1" min="55" max="55" width="12.67"/>
    <col customWidth="1" min="56" max="56" width="2.44"/>
    <col customWidth="1" hidden="1" min="57" max="57" width="8.78"/>
    <col customWidth="1" hidden="1" min="58" max="58" width="12.44"/>
    <col customWidth="1" hidden="1" min="59" max="59" width="6.33"/>
    <col customWidth="1" hidden="1" min="60" max="60" width="14.78"/>
    <col customWidth="1" hidden="1" min="61" max="61" width="6.0"/>
    <col customWidth="1" hidden="1" min="62" max="62" width="12.67"/>
    <col customWidth="1" min="63" max="63" width="2.44"/>
    <col customWidth="1" min="64" max="64" width="8.78"/>
    <col customWidth="1" min="65" max="65" width="12.44"/>
    <col customWidth="1" min="66" max="66" width="6.33"/>
    <col customWidth="1" min="67" max="67" width="14.78"/>
    <col customWidth="1" min="68" max="68" width="6.0"/>
    <col customWidth="1" min="69" max="69" width="12.67"/>
    <col customWidth="1" min="70" max="70" width="2.44"/>
    <col customWidth="1" min="71" max="71" width="8.78"/>
    <col customWidth="1" min="72" max="72" width="12.44"/>
    <col customWidth="1" min="73" max="73" width="6.33"/>
    <col customWidth="1" min="74" max="74" width="14.78"/>
    <col customWidth="1" min="75" max="75" width="6.0"/>
    <col customWidth="1" min="76" max="76" width="12.67"/>
    <col customWidth="1" min="77" max="77" width="2.44"/>
    <col customWidth="1" min="78" max="78" width="8.78"/>
    <col customWidth="1" min="79" max="79" width="12.44"/>
    <col customWidth="1" min="80" max="80" width="6.33"/>
    <col customWidth="1" min="81" max="81" width="14.78"/>
    <col customWidth="1" min="82" max="82" width="6.0"/>
    <col customWidth="1" min="83" max="83" width="12.67"/>
    <col customWidth="1" min="84" max="84" width="2.44"/>
    <col customWidth="1" min="85" max="85" width="8.78"/>
    <col customWidth="1" min="86" max="86" width="12.44"/>
    <col customWidth="1" min="87" max="87" width="6.33"/>
    <col customWidth="1" min="88" max="88" width="14.78"/>
    <col customWidth="1" min="89" max="89" width="6.0"/>
    <col customWidth="1" min="90" max="90" width="12.67"/>
    <col customWidth="1" min="91" max="91" width="2.44"/>
    <col customWidth="1" min="92" max="92" width="8.78"/>
    <col customWidth="1" min="93" max="93" width="12.44"/>
    <col customWidth="1" min="94" max="94" width="6.33"/>
    <col customWidth="1" min="95" max="95" width="14.78"/>
    <col customWidth="1" min="96" max="96" width="6.0"/>
    <col customWidth="1" min="97" max="97" width="12.67"/>
    <col customWidth="1" min="98" max="98" width="2.44"/>
    <col customWidth="1" min="99" max="100" width="11.44"/>
    <col customWidth="1" min="101" max="101" width="8.67"/>
    <col customWidth="1" min="102" max="102" width="15.22"/>
    <col customWidth="1" min="103" max="103" width="6.33"/>
    <col customWidth="1" min="104" max="104" width="11.44"/>
    <col customWidth="1" min="105" max="105" width="2.44"/>
    <col customWidth="1" min="106" max="107" width="11.44"/>
    <col customWidth="1" min="108" max="108" width="8.67"/>
    <col customWidth="1" min="109" max="109" width="15.22"/>
    <col customWidth="1" min="110" max="110" width="6.33"/>
    <col customWidth="1" min="111" max="111" width="11.44"/>
    <col customWidth="1" min="112" max="112" width="2.44"/>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44"/>
    <col customWidth="1" min="120" max="120" width="8.78"/>
    <col customWidth="1" min="121" max="121" width="12.44"/>
    <col customWidth="1" min="122" max="122" width="6.33"/>
    <col customWidth="1" min="123" max="123" width="14.78"/>
    <col customWidth="1" min="124" max="124" width="6.0"/>
    <col customWidth="1" min="125" max="125" width="12.67"/>
    <col customWidth="1" min="126" max="127" width="2.44"/>
  </cols>
  <sheetData>
    <row r="1" ht="29.25" customHeight="1">
      <c r="B1" s="7" t="s">
        <v>20</v>
      </c>
      <c r="E1" s="7"/>
      <c r="H1" s="9"/>
      <c r="J1" s="9"/>
      <c r="K1" s="9"/>
      <c r="L1" s="9"/>
      <c r="O1" s="36">
        <f>SUM(O4,O11,O19,O29,O39,O47,O55,O69)</f>
        <v>8</v>
      </c>
      <c r="V1" s="36">
        <f>SUM(V4,V11,V19,V29,V39,V47,V55,V69)</f>
        <v>20.5</v>
      </c>
      <c r="AC1" s="36">
        <f>SUM(AC4,AC29,AC47,AC69)</f>
        <v>28</v>
      </c>
      <c r="AJ1" s="36">
        <f>SUM(AJ4,AJ29,AJ47,AJ69)</f>
        <v>21.5</v>
      </c>
      <c r="AQ1" s="36">
        <f>SUM(AQ4,AQ29,AQ47,AQ69)</f>
        <v>9.75</v>
      </c>
      <c r="BE1" s="36">
        <f>SUM(BE4,BE29,BE47,BE55,BE69)</f>
        <v>44</v>
      </c>
      <c r="CT1" s="11"/>
      <c r="CU1" s="11"/>
      <c r="CV1" s="11"/>
      <c r="CW1" s="11"/>
      <c r="CX1" s="11"/>
      <c r="CY1" s="11"/>
      <c r="CZ1" s="11"/>
      <c r="DA1" s="11"/>
      <c r="DB1" s="11"/>
      <c r="DC1" s="11"/>
      <c r="DD1" s="11"/>
      <c r="DE1" s="11"/>
      <c r="DF1" s="11"/>
      <c r="DG1" s="11"/>
    </row>
    <row r="2" ht="15.75" customHeight="1">
      <c r="J2" s="12" t="s">
        <v>26</v>
      </c>
      <c r="K2" s="13"/>
      <c r="L2" s="13"/>
      <c r="M2" s="13"/>
      <c r="O2" s="15" t="s">
        <v>146</v>
      </c>
      <c r="P2" s="13"/>
      <c r="Q2" s="13"/>
      <c r="R2" s="13"/>
      <c r="S2" s="13"/>
      <c r="T2" s="13"/>
      <c r="V2" s="15" t="s">
        <v>147</v>
      </c>
      <c r="W2" s="13"/>
      <c r="X2" s="13"/>
      <c r="Y2" s="13"/>
      <c r="Z2" s="13"/>
      <c r="AA2" s="13"/>
      <c r="AC2" s="15" t="s">
        <v>148</v>
      </c>
      <c r="AD2" s="13"/>
      <c r="AE2" s="13"/>
      <c r="AF2" s="13"/>
      <c r="AG2" s="13"/>
      <c r="AH2" s="13"/>
      <c r="AJ2" s="15" t="s">
        <v>149</v>
      </c>
      <c r="AK2" s="13"/>
      <c r="AL2" s="13"/>
      <c r="AM2" s="13"/>
      <c r="AN2" s="13"/>
      <c r="AO2" s="13"/>
      <c r="AQ2" s="15" t="s">
        <v>150</v>
      </c>
      <c r="AR2" s="13"/>
      <c r="AS2" s="13"/>
      <c r="AT2" s="13"/>
      <c r="AU2" s="13"/>
      <c r="AV2" s="13"/>
      <c r="AX2" s="42" t="s">
        <v>151</v>
      </c>
      <c r="AY2" s="13"/>
      <c r="AZ2" s="13"/>
      <c r="BA2" s="13"/>
      <c r="BB2" s="13"/>
      <c r="BC2" s="13"/>
      <c r="BE2" s="43" t="s">
        <v>152</v>
      </c>
      <c r="BF2" s="13"/>
      <c r="BG2" s="13"/>
      <c r="BH2" s="13"/>
      <c r="BI2" s="13"/>
      <c r="BJ2" s="13"/>
      <c r="BL2" s="44" t="s">
        <v>153</v>
      </c>
      <c r="BM2" s="13"/>
      <c r="BN2" s="13"/>
      <c r="BO2" s="13"/>
      <c r="BP2" s="13"/>
      <c r="BQ2" s="13"/>
      <c r="BS2" s="15" t="s">
        <v>154</v>
      </c>
      <c r="BT2" s="13"/>
      <c r="BU2" s="13"/>
      <c r="BV2" s="13"/>
      <c r="BW2" s="13"/>
      <c r="BX2" s="13"/>
      <c r="BZ2" s="15" t="s">
        <v>155</v>
      </c>
      <c r="CA2" s="13"/>
      <c r="CB2" s="13"/>
      <c r="CC2" s="13"/>
      <c r="CD2" s="13"/>
      <c r="CE2" s="13"/>
      <c r="CG2" s="15" t="s">
        <v>156</v>
      </c>
      <c r="CH2" s="13"/>
      <c r="CI2" s="13"/>
      <c r="CJ2" s="13"/>
      <c r="CK2" s="13"/>
      <c r="CL2" s="13"/>
      <c r="CN2" s="15" t="s">
        <v>157</v>
      </c>
      <c r="CO2" s="13"/>
      <c r="CP2" s="13"/>
      <c r="CQ2" s="13"/>
      <c r="CR2" s="13"/>
      <c r="CS2" s="13"/>
      <c r="CT2" s="11"/>
      <c r="CU2" s="45" t="s">
        <v>158</v>
      </c>
      <c r="DA2" s="11"/>
      <c r="DB2" s="46" t="s">
        <v>159</v>
      </c>
      <c r="DI2" s="43" t="s">
        <v>160</v>
      </c>
      <c r="DJ2" s="13"/>
      <c r="DK2" s="13"/>
      <c r="DL2" s="13"/>
      <c r="DM2" s="13"/>
      <c r="DN2" s="13"/>
      <c r="DP2" s="44" t="s">
        <v>161</v>
      </c>
      <c r="DQ2" s="13"/>
      <c r="DR2" s="13"/>
      <c r="DS2" s="13"/>
      <c r="DT2" s="13"/>
      <c r="DU2" s="13"/>
    </row>
    <row r="3" ht="15.75" customHeight="1">
      <c r="B3" s="19" t="s">
        <v>44</v>
      </c>
      <c r="C3" s="19"/>
      <c r="D3" s="21" t="s">
        <v>162</v>
      </c>
      <c r="E3" s="21" t="s">
        <v>46</v>
      </c>
      <c r="F3" s="22" t="s">
        <v>47</v>
      </c>
      <c r="G3" s="21" t="s">
        <v>163</v>
      </c>
      <c r="H3" s="19" t="s">
        <v>164</v>
      </c>
      <c r="J3" s="22" t="s">
        <v>50</v>
      </c>
      <c r="K3" s="22" t="s">
        <v>51</v>
      </c>
      <c r="L3" s="22" t="s">
        <v>52</v>
      </c>
      <c r="M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E3" s="19" t="s">
        <v>50</v>
      </c>
      <c r="BF3" s="19" t="s">
        <v>51</v>
      </c>
      <c r="BG3" s="19" t="s">
        <v>54</v>
      </c>
      <c r="BH3" s="19" t="s">
        <v>52</v>
      </c>
      <c r="BI3" s="19" t="s">
        <v>54</v>
      </c>
      <c r="BJ3" s="19" t="s">
        <v>53</v>
      </c>
      <c r="BL3" s="19" t="s">
        <v>50</v>
      </c>
      <c r="BM3" s="19" t="s">
        <v>51</v>
      </c>
      <c r="BN3" s="19" t="s">
        <v>54</v>
      </c>
      <c r="BO3" s="19" t="s">
        <v>52</v>
      </c>
      <c r="BP3" s="19" t="s">
        <v>54</v>
      </c>
      <c r="BQ3" s="19" t="s">
        <v>53</v>
      </c>
      <c r="BS3" s="19" t="s">
        <v>50</v>
      </c>
      <c r="BT3" s="19" t="s">
        <v>51</v>
      </c>
      <c r="BU3" s="19" t="s">
        <v>54</v>
      </c>
      <c r="BV3" s="19" t="s">
        <v>52</v>
      </c>
      <c r="BW3" s="19" t="s">
        <v>54</v>
      </c>
      <c r="BX3" s="19" t="s">
        <v>53</v>
      </c>
      <c r="BZ3" s="19" t="s">
        <v>50</v>
      </c>
      <c r="CA3" s="19" t="s">
        <v>51</v>
      </c>
      <c r="CB3" s="19" t="s">
        <v>54</v>
      </c>
      <c r="CC3" s="19" t="s">
        <v>52</v>
      </c>
      <c r="CD3" s="19" t="s">
        <v>54</v>
      </c>
      <c r="CE3" s="19" t="s">
        <v>53</v>
      </c>
      <c r="CG3" s="19" t="s">
        <v>50</v>
      </c>
      <c r="CH3" s="19" t="s">
        <v>51</v>
      </c>
      <c r="CI3" s="19" t="s">
        <v>54</v>
      </c>
      <c r="CJ3" s="19" t="s">
        <v>52</v>
      </c>
      <c r="CK3" s="19" t="s">
        <v>54</v>
      </c>
      <c r="CL3" s="19" t="s">
        <v>53</v>
      </c>
      <c r="CN3" s="19" t="s">
        <v>50</v>
      </c>
      <c r="CO3" s="19" t="s">
        <v>51</v>
      </c>
      <c r="CP3" s="19" t="s">
        <v>54</v>
      </c>
      <c r="CQ3" s="19" t="s">
        <v>52</v>
      </c>
      <c r="CR3" s="19" t="s">
        <v>54</v>
      </c>
      <c r="CS3" s="19" t="s">
        <v>53</v>
      </c>
      <c r="CT3" s="11"/>
      <c r="CU3" s="47" t="s">
        <v>50</v>
      </c>
      <c r="CV3" s="47" t="s">
        <v>51</v>
      </c>
      <c r="CW3" s="47" t="s">
        <v>54</v>
      </c>
      <c r="CX3" s="47" t="s">
        <v>52</v>
      </c>
      <c r="CY3" s="47" t="s">
        <v>54</v>
      </c>
      <c r="CZ3" s="47" t="s">
        <v>53</v>
      </c>
      <c r="DA3" s="11"/>
      <c r="DB3" s="47" t="s">
        <v>50</v>
      </c>
      <c r="DC3" s="47" t="s">
        <v>51</v>
      </c>
      <c r="DD3" s="47" t="s">
        <v>54</v>
      </c>
      <c r="DE3" s="47" t="s">
        <v>52</v>
      </c>
      <c r="DF3" s="47" t="s">
        <v>54</v>
      </c>
      <c r="DG3" s="47" t="s">
        <v>53</v>
      </c>
      <c r="DI3" s="19" t="s">
        <v>50</v>
      </c>
      <c r="DJ3" s="19" t="s">
        <v>51</v>
      </c>
      <c r="DK3" s="19" t="s">
        <v>54</v>
      </c>
      <c r="DL3" s="19" t="s">
        <v>52</v>
      </c>
      <c r="DM3" s="19" t="s">
        <v>54</v>
      </c>
      <c r="DN3" s="19" t="s">
        <v>53</v>
      </c>
      <c r="DP3" s="19" t="s">
        <v>50</v>
      </c>
      <c r="DQ3" s="19" t="s">
        <v>51</v>
      </c>
      <c r="DR3" s="19" t="s">
        <v>54</v>
      </c>
      <c r="DS3" s="19" t="s">
        <v>52</v>
      </c>
      <c r="DT3" s="19" t="s">
        <v>54</v>
      </c>
      <c r="DU3" s="19" t="s">
        <v>53</v>
      </c>
    </row>
    <row r="4" ht="15.75" customHeight="1">
      <c r="B4" s="48" t="s">
        <v>26</v>
      </c>
      <c r="C4" s="48"/>
      <c r="D4" s="49" t="s">
        <v>165</v>
      </c>
      <c r="E4" s="49" t="s">
        <v>166</v>
      </c>
      <c r="F4" s="32">
        <v>3.0</v>
      </c>
      <c r="H4" s="27">
        <f>+SUM(H5:H9)</f>
        <v>1</v>
      </c>
      <c r="J4" s="28">
        <f>+SUM(J5:J9)</f>
        <v>40</v>
      </c>
      <c r="K4" s="29">
        <f>+SUMPRODUCT(H5:H9,K5:K9)</f>
        <v>1</v>
      </c>
      <c r="L4" s="29">
        <f>+SUMPRODUCT(H5:H9,L5:L9)</f>
        <v>1</v>
      </c>
      <c r="M4" s="26"/>
      <c r="O4" s="28">
        <f>+SUM(O5:O9)</f>
        <v>5</v>
      </c>
      <c r="V4" s="28">
        <f>+SUM(V5:V9)</f>
        <v>6.5</v>
      </c>
      <c r="AC4" s="28">
        <f>+SUM(AC5:AC9)</f>
        <v>5.5</v>
      </c>
      <c r="AJ4" s="28">
        <f>+SUM(AJ5:AJ9)</f>
        <v>4</v>
      </c>
      <c r="AQ4" s="28">
        <f>+SUM(AQ5:AQ9)</f>
        <v>3</v>
      </c>
      <c r="AX4" s="28">
        <f>+SUM(AX5:AX9)</f>
        <v>0</v>
      </c>
      <c r="BE4" s="28">
        <f>+SUM(BE5:BE9)</f>
        <v>16</v>
      </c>
      <c r="BL4" s="28">
        <f>+SUM(BL5:BL9)</f>
        <v>0</v>
      </c>
      <c r="BS4" s="28"/>
      <c r="BZ4" s="28"/>
      <c r="CG4" s="28"/>
      <c r="CN4" s="28"/>
      <c r="CT4" s="11"/>
      <c r="CU4" s="50"/>
      <c r="CV4" s="11"/>
      <c r="CW4" s="11"/>
      <c r="CX4" s="11"/>
      <c r="CY4" s="11"/>
      <c r="CZ4" s="11"/>
      <c r="DA4" s="11"/>
      <c r="DB4" s="50"/>
      <c r="DC4" s="11"/>
      <c r="DD4" s="11"/>
      <c r="DE4" s="11"/>
      <c r="DF4" s="11"/>
      <c r="DG4" s="11"/>
      <c r="DI4" s="28"/>
      <c r="DP4" s="28"/>
    </row>
    <row r="5" ht="15.75" hidden="1" customHeight="1" outlineLevel="1">
      <c r="B5" s="48" t="s">
        <v>56</v>
      </c>
      <c r="C5" s="48"/>
      <c r="D5" s="49" t="s">
        <v>167</v>
      </c>
      <c r="F5" s="26"/>
      <c r="G5" s="49" t="s">
        <v>168</v>
      </c>
      <c r="H5" s="30">
        <v>0.15</v>
      </c>
      <c r="J5" s="26">
        <f t="shared" ref="J5:J9" si="2">+SUMIF($O$3:$ACN$3,J$3,$O5:$ACN5)</f>
        <v>7</v>
      </c>
      <c r="K5" s="29">
        <f t="shared" ref="K5:L5" si="1">+MAXIFS($O5:$ABT5,$O$3:$ABT$3,K$3)</f>
        <v>1</v>
      </c>
      <c r="L5" s="29">
        <f t="shared" si="1"/>
        <v>1</v>
      </c>
      <c r="M5" s="26"/>
      <c r="O5" s="5">
        <v>4.5</v>
      </c>
      <c r="P5" s="30">
        <v>0.8</v>
      </c>
      <c r="Q5" s="30">
        <v>1.0</v>
      </c>
      <c r="R5" s="30">
        <v>0.8</v>
      </c>
      <c r="S5" s="30">
        <v>1.0</v>
      </c>
      <c r="V5" s="5">
        <v>0.5</v>
      </c>
      <c r="W5" s="30">
        <v>1.0</v>
      </c>
      <c r="X5" s="30">
        <v>1.0</v>
      </c>
      <c r="Y5" s="30">
        <v>1.0</v>
      </c>
      <c r="Z5" s="30">
        <v>1.0</v>
      </c>
      <c r="AD5" s="30">
        <v>1.0</v>
      </c>
      <c r="AE5" s="30">
        <v>1.0</v>
      </c>
      <c r="AF5" s="30">
        <v>1.0</v>
      </c>
      <c r="AG5" s="30">
        <v>1.0</v>
      </c>
      <c r="AK5" s="30">
        <v>1.0</v>
      </c>
      <c r="AL5" s="30">
        <v>1.0</v>
      </c>
      <c r="AM5" s="30">
        <v>1.0</v>
      </c>
      <c r="AN5" s="30">
        <v>1.0</v>
      </c>
      <c r="AR5" s="30">
        <v>1.0</v>
      </c>
      <c r="AS5" s="30">
        <v>1.0</v>
      </c>
      <c r="AT5" s="30">
        <v>1.0</v>
      </c>
      <c r="AU5" s="30">
        <v>1.0</v>
      </c>
      <c r="AY5" s="30">
        <v>1.0</v>
      </c>
      <c r="AZ5" s="51">
        <v>1.0</v>
      </c>
      <c r="BA5" s="30">
        <v>1.0</v>
      </c>
      <c r="BB5" s="30">
        <v>1.0</v>
      </c>
      <c r="BE5" s="5">
        <v>2.0</v>
      </c>
      <c r="BF5" s="30">
        <v>1.0</v>
      </c>
      <c r="BG5" s="30">
        <v>1.0</v>
      </c>
      <c r="BH5" s="52">
        <v>1.0</v>
      </c>
      <c r="BI5" s="51">
        <v>1.0</v>
      </c>
      <c r="BM5" s="27"/>
      <c r="BN5" s="27"/>
      <c r="BO5" s="27"/>
      <c r="BP5" s="27"/>
      <c r="BT5" s="27"/>
      <c r="BU5" s="27"/>
      <c r="BV5" s="27"/>
      <c r="BW5" s="27"/>
      <c r="CA5" s="27"/>
      <c r="CB5" s="27"/>
      <c r="CC5" s="27"/>
      <c r="CD5" s="27"/>
      <c r="CH5" s="27"/>
      <c r="CI5" s="27"/>
      <c r="CJ5" s="27"/>
      <c r="CK5" s="27"/>
      <c r="CO5" s="27"/>
      <c r="CP5" s="27"/>
      <c r="CQ5" s="27"/>
      <c r="CR5" s="27"/>
      <c r="CT5" s="11"/>
      <c r="CU5" s="11"/>
      <c r="CV5" s="53"/>
      <c r="CW5" s="53"/>
      <c r="CX5" s="53"/>
      <c r="CY5" s="53"/>
      <c r="CZ5" s="11"/>
      <c r="DA5" s="11"/>
      <c r="DB5" s="11"/>
      <c r="DC5" s="53"/>
      <c r="DD5" s="53"/>
      <c r="DE5" s="53"/>
      <c r="DF5" s="53"/>
      <c r="DG5" s="11"/>
      <c r="DJ5" s="27"/>
      <c r="DK5" s="27"/>
      <c r="DL5" s="27"/>
      <c r="DM5" s="27"/>
      <c r="DQ5" s="27"/>
      <c r="DR5" s="27"/>
      <c r="DS5" s="27"/>
      <c r="DT5" s="27"/>
    </row>
    <row r="6" ht="15.75" hidden="1" customHeight="1" outlineLevel="1">
      <c r="B6" s="48" t="s">
        <v>56</v>
      </c>
      <c r="C6" s="48"/>
      <c r="D6" s="49" t="s">
        <v>167</v>
      </c>
      <c r="F6" s="26"/>
      <c r="G6" s="49" t="s">
        <v>169</v>
      </c>
      <c r="H6" s="30">
        <v>0.2</v>
      </c>
      <c r="J6" s="26">
        <f t="shared" si="2"/>
        <v>11.5</v>
      </c>
      <c r="K6" s="29">
        <f t="shared" ref="K6:L6" si="3">+MAXIFS($O6:$ABT6,$O$3:$ABT$3,K$3)</f>
        <v>1</v>
      </c>
      <c r="L6" s="29">
        <f t="shared" si="3"/>
        <v>1</v>
      </c>
      <c r="M6" s="26"/>
      <c r="O6" s="5">
        <v>0.5</v>
      </c>
      <c r="P6" s="30">
        <v>0.3</v>
      </c>
      <c r="Q6" s="30">
        <v>0.5</v>
      </c>
      <c r="R6" s="30">
        <v>0.3</v>
      </c>
      <c r="S6" s="30">
        <v>0.5</v>
      </c>
      <c r="V6" s="5">
        <v>6.0</v>
      </c>
      <c r="W6" s="30">
        <v>0.8</v>
      </c>
      <c r="X6" s="30">
        <v>1.0</v>
      </c>
      <c r="Y6" s="30">
        <v>0.8</v>
      </c>
      <c r="Z6" s="30">
        <v>1.0</v>
      </c>
      <c r="AD6" s="30">
        <v>0.8</v>
      </c>
      <c r="AE6" s="30">
        <v>1.0</v>
      </c>
      <c r="AF6" s="30">
        <v>0.8</v>
      </c>
      <c r="AG6" s="30">
        <v>1.0</v>
      </c>
      <c r="AK6" s="30">
        <v>0.8</v>
      </c>
      <c r="AL6" s="30">
        <v>1.0</v>
      </c>
      <c r="AM6" s="30">
        <v>0.8</v>
      </c>
      <c r="AN6" s="30">
        <v>1.0</v>
      </c>
      <c r="AR6" s="30">
        <v>0.8</v>
      </c>
      <c r="AS6" s="30">
        <v>1.0</v>
      </c>
      <c r="AT6" s="30">
        <v>0.8</v>
      </c>
      <c r="AU6" s="30">
        <v>1.0</v>
      </c>
      <c r="AY6" s="30">
        <v>0.8</v>
      </c>
      <c r="AZ6" s="51">
        <v>1.0</v>
      </c>
      <c r="BA6" s="30">
        <v>0.8</v>
      </c>
      <c r="BB6" s="30">
        <v>1.0</v>
      </c>
      <c r="BE6" s="5">
        <v>5.0</v>
      </c>
      <c r="BF6" s="30">
        <v>1.0</v>
      </c>
      <c r="BG6" s="30">
        <v>1.0</v>
      </c>
      <c r="BH6" s="54">
        <v>1.0</v>
      </c>
      <c r="BI6" s="51">
        <v>1.0</v>
      </c>
      <c r="BM6" s="27"/>
      <c r="BN6" s="27"/>
      <c r="BO6" s="27"/>
      <c r="BP6" s="27"/>
      <c r="BT6" s="27"/>
      <c r="BU6" s="27"/>
      <c r="BV6" s="27"/>
      <c r="BW6" s="27"/>
      <c r="CA6" s="27"/>
      <c r="CB6" s="27"/>
      <c r="CC6" s="27"/>
      <c r="CD6" s="27"/>
      <c r="CH6" s="27"/>
      <c r="CI6" s="27"/>
      <c r="CJ6" s="27"/>
      <c r="CK6" s="27"/>
      <c r="CO6" s="27"/>
      <c r="CP6" s="27"/>
      <c r="CQ6" s="27"/>
      <c r="CR6" s="27"/>
      <c r="CT6" s="11"/>
      <c r="CU6" s="11"/>
      <c r="CV6" s="53"/>
      <c r="CW6" s="53"/>
      <c r="CX6" s="53"/>
      <c r="CY6" s="53"/>
      <c r="CZ6" s="11"/>
      <c r="DA6" s="11"/>
      <c r="DB6" s="11"/>
      <c r="DC6" s="53"/>
      <c r="DD6" s="53"/>
      <c r="DE6" s="53"/>
      <c r="DF6" s="53"/>
      <c r="DG6" s="11"/>
      <c r="DJ6" s="27"/>
      <c r="DK6" s="27"/>
      <c r="DL6" s="27"/>
      <c r="DM6" s="27"/>
      <c r="DQ6" s="27"/>
      <c r="DR6" s="27"/>
      <c r="DS6" s="27"/>
      <c r="DT6" s="27"/>
    </row>
    <row r="7" ht="15.75" hidden="1" customHeight="1" outlineLevel="1">
      <c r="B7" s="48" t="s">
        <v>56</v>
      </c>
      <c r="C7" s="48"/>
      <c r="D7" s="49" t="s">
        <v>167</v>
      </c>
      <c r="F7" s="26"/>
      <c r="G7" s="49" t="s">
        <v>170</v>
      </c>
      <c r="H7" s="30">
        <v>0.2</v>
      </c>
      <c r="J7" s="26">
        <f t="shared" si="2"/>
        <v>9.5</v>
      </c>
      <c r="K7" s="29">
        <f t="shared" ref="K7:L7" si="4">+MAXIFS($O7:$ABT7,$O$3:$ABT$3,K$3)</f>
        <v>1</v>
      </c>
      <c r="L7" s="29">
        <f t="shared" si="4"/>
        <v>1</v>
      </c>
      <c r="M7" s="26"/>
      <c r="P7" s="27"/>
      <c r="Q7" s="27"/>
      <c r="R7" s="27"/>
      <c r="S7" s="30"/>
      <c r="W7" s="27"/>
      <c r="X7" s="30"/>
      <c r="Y7" s="27"/>
      <c r="Z7" s="30"/>
      <c r="AC7" s="5">
        <v>4.5</v>
      </c>
      <c r="AD7" s="30">
        <v>0.2</v>
      </c>
      <c r="AE7" s="30">
        <v>0.8</v>
      </c>
      <c r="AF7" s="30">
        <v>0.2</v>
      </c>
      <c r="AG7" s="30">
        <v>0.8</v>
      </c>
      <c r="AK7" s="30">
        <v>0.2</v>
      </c>
      <c r="AL7" s="30">
        <v>0.8</v>
      </c>
      <c r="AM7" s="30">
        <v>0.2</v>
      </c>
      <c r="AN7" s="30">
        <v>0.8</v>
      </c>
      <c r="AR7" s="30">
        <v>0.2</v>
      </c>
      <c r="AS7" s="30">
        <v>0.8</v>
      </c>
      <c r="AT7" s="30">
        <v>0.2</v>
      </c>
      <c r="AU7" s="30">
        <v>0.8</v>
      </c>
      <c r="AY7" s="30">
        <v>0.2</v>
      </c>
      <c r="AZ7" s="51">
        <v>1.0</v>
      </c>
      <c r="BA7" s="30">
        <v>0.2</v>
      </c>
      <c r="BB7" s="30">
        <v>1.0</v>
      </c>
      <c r="BE7" s="5">
        <v>5.0</v>
      </c>
      <c r="BF7" s="30">
        <v>1.0</v>
      </c>
      <c r="BG7" s="30">
        <v>1.0</v>
      </c>
      <c r="BH7" s="52">
        <v>1.0</v>
      </c>
      <c r="BI7" s="51">
        <v>1.0</v>
      </c>
      <c r="BM7" s="27"/>
      <c r="BN7" s="27"/>
      <c r="BO7" s="27"/>
      <c r="BP7" s="27"/>
      <c r="BT7" s="27"/>
      <c r="BU7" s="27"/>
      <c r="BV7" s="27"/>
      <c r="BW7" s="27"/>
      <c r="CA7" s="27"/>
      <c r="CB7" s="27"/>
      <c r="CC7" s="27"/>
      <c r="CD7" s="27"/>
      <c r="CH7" s="27"/>
      <c r="CI7" s="27"/>
      <c r="CJ7" s="27"/>
      <c r="CK7" s="27"/>
      <c r="CO7" s="27"/>
      <c r="CP7" s="27"/>
      <c r="CQ7" s="27"/>
      <c r="CR7" s="27"/>
      <c r="CT7" s="11"/>
      <c r="CU7" s="11"/>
      <c r="CV7" s="53"/>
      <c r="CW7" s="53"/>
      <c r="CX7" s="53"/>
      <c r="CY7" s="53"/>
      <c r="CZ7" s="11"/>
      <c r="DA7" s="11"/>
      <c r="DB7" s="11"/>
      <c r="DC7" s="53"/>
      <c r="DD7" s="53"/>
      <c r="DE7" s="53"/>
      <c r="DF7" s="53"/>
      <c r="DG7" s="11"/>
      <c r="DJ7" s="27"/>
      <c r="DK7" s="27"/>
      <c r="DL7" s="27"/>
      <c r="DM7" s="27"/>
      <c r="DQ7" s="27"/>
      <c r="DR7" s="27"/>
      <c r="DS7" s="27"/>
      <c r="DT7" s="27"/>
    </row>
    <row r="8" ht="15.75" hidden="1" customHeight="1" outlineLevel="1">
      <c r="B8" s="48" t="s">
        <v>56</v>
      </c>
      <c r="C8" s="48"/>
      <c r="D8" s="49" t="s">
        <v>167</v>
      </c>
      <c r="F8" s="26"/>
      <c r="G8" s="49" t="s">
        <v>171</v>
      </c>
      <c r="H8" s="30">
        <v>0.2</v>
      </c>
      <c r="J8" s="26">
        <f t="shared" si="2"/>
        <v>7.5</v>
      </c>
      <c r="K8" s="29">
        <f t="shared" ref="K8:L8" si="5">+MAXIFS($O8:$ABT8,$O$3:$ABT$3,K$3)</f>
        <v>1</v>
      </c>
      <c r="L8" s="29">
        <f t="shared" si="5"/>
        <v>1</v>
      </c>
      <c r="M8" s="26"/>
      <c r="P8" s="27"/>
      <c r="Q8" s="27"/>
      <c r="R8" s="27"/>
      <c r="S8" s="30"/>
      <c r="W8" s="27"/>
      <c r="X8" s="27"/>
      <c r="Y8" s="27"/>
      <c r="Z8" s="30"/>
      <c r="AD8" s="27"/>
      <c r="AE8" s="30"/>
      <c r="AF8" s="27"/>
      <c r="AG8" s="30"/>
      <c r="AJ8" s="5">
        <v>3.5</v>
      </c>
      <c r="AK8" s="27"/>
      <c r="AL8" s="30">
        <v>0.5</v>
      </c>
      <c r="AM8" s="27"/>
      <c r="AN8" s="30">
        <v>0.5</v>
      </c>
      <c r="AR8" s="27"/>
      <c r="AS8" s="30">
        <v>0.8</v>
      </c>
      <c r="AT8" s="27"/>
      <c r="AU8" s="30">
        <v>0.8</v>
      </c>
      <c r="AY8" s="30">
        <v>0.2</v>
      </c>
      <c r="AZ8" s="51">
        <v>1.0</v>
      </c>
      <c r="BA8" s="30">
        <v>0.2</v>
      </c>
      <c r="BB8" s="30">
        <v>1.0</v>
      </c>
      <c r="BE8" s="5">
        <v>4.0</v>
      </c>
      <c r="BF8" s="30">
        <v>1.0</v>
      </c>
      <c r="BG8" s="30">
        <v>1.0</v>
      </c>
      <c r="BH8" s="52">
        <v>1.0</v>
      </c>
      <c r="BI8" s="51">
        <v>1.0</v>
      </c>
      <c r="BM8" s="27"/>
      <c r="BN8" s="27"/>
      <c r="BO8" s="27"/>
      <c r="BP8" s="27"/>
      <c r="BT8" s="27"/>
      <c r="BU8" s="27"/>
      <c r="BV8" s="27"/>
      <c r="BW8" s="27"/>
      <c r="CA8" s="27"/>
      <c r="CB8" s="27"/>
      <c r="CC8" s="27"/>
      <c r="CD8" s="27"/>
      <c r="CH8" s="27"/>
      <c r="CI8" s="27"/>
      <c r="CJ8" s="27"/>
      <c r="CK8" s="27"/>
      <c r="CO8" s="27"/>
      <c r="CP8" s="27"/>
      <c r="CQ8" s="27"/>
      <c r="CR8" s="27"/>
      <c r="CT8" s="11"/>
      <c r="CU8" s="11"/>
      <c r="CV8" s="53"/>
      <c r="CW8" s="53"/>
      <c r="CX8" s="53"/>
      <c r="CY8" s="53"/>
      <c r="CZ8" s="11"/>
      <c r="DA8" s="11"/>
      <c r="DB8" s="11"/>
      <c r="DC8" s="53"/>
      <c r="DD8" s="53"/>
      <c r="DE8" s="53"/>
      <c r="DF8" s="53"/>
      <c r="DG8" s="11"/>
      <c r="DJ8" s="27"/>
      <c r="DK8" s="27"/>
      <c r="DL8" s="27"/>
      <c r="DM8" s="27"/>
      <c r="DQ8" s="27"/>
      <c r="DR8" s="27"/>
      <c r="DS8" s="27"/>
      <c r="DT8" s="27"/>
    </row>
    <row r="9" ht="15.75" hidden="1" customHeight="1" outlineLevel="1">
      <c r="B9" s="48" t="s">
        <v>56</v>
      </c>
      <c r="C9" s="48"/>
      <c r="D9" s="49" t="s">
        <v>167</v>
      </c>
      <c r="F9" s="26"/>
      <c r="G9" s="49" t="s">
        <v>172</v>
      </c>
      <c r="H9" s="30">
        <v>0.25</v>
      </c>
      <c r="J9" s="26">
        <f t="shared" si="2"/>
        <v>4.5</v>
      </c>
      <c r="K9" s="29">
        <f t="shared" ref="K9:L9" si="6">+MAXIFS($O9:$ABT9,$O$3:$ABT$3,K$3)</f>
        <v>1</v>
      </c>
      <c r="L9" s="29">
        <f t="shared" si="6"/>
        <v>1</v>
      </c>
      <c r="M9" s="26"/>
      <c r="P9" s="27"/>
      <c r="Q9" s="27"/>
      <c r="R9" s="27"/>
      <c r="S9" s="30"/>
      <c r="W9" s="27"/>
      <c r="X9" s="27"/>
      <c r="Y9" s="27"/>
      <c r="Z9" s="30"/>
      <c r="AC9" s="5">
        <v>1.0</v>
      </c>
      <c r="AD9" s="30">
        <v>0.3</v>
      </c>
      <c r="AE9" s="30">
        <v>0.5</v>
      </c>
      <c r="AF9" s="30">
        <v>0.3</v>
      </c>
      <c r="AG9" s="30">
        <v>0.5</v>
      </c>
      <c r="AJ9" s="5">
        <v>0.5</v>
      </c>
      <c r="AK9" s="30">
        <v>0.3</v>
      </c>
      <c r="AL9" s="30">
        <v>0.8</v>
      </c>
      <c r="AM9" s="30">
        <v>0.3</v>
      </c>
      <c r="AN9" s="30">
        <v>0.8</v>
      </c>
      <c r="AQ9" s="5">
        <v>3.0</v>
      </c>
      <c r="AR9" s="30">
        <v>1.0</v>
      </c>
      <c r="AS9" s="30">
        <v>1.0</v>
      </c>
      <c r="AT9" s="30">
        <v>1.0</v>
      </c>
      <c r="AU9" s="30">
        <v>1.0</v>
      </c>
      <c r="AY9" s="30">
        <v>1.0</v>
      </c>
      <c r="AZ9" s="51">
        <v>1.0</v>
      </c>
      <c r="BA9" s="30">
        <v>1.0</v>
      </c>
      <c r="BB9" s="30">
        <v>1.0</v>
      </c>
      <c r="BF9" s="30">
        <v>1.0</v>
      </c>
      <c r="BG9" s="30">
        <v>1.0</v>
      </c>
      <c r="BH9" s="52">
        <v>1.0</v>
      </c>
      <c r="BI9" s="51">
        <v>1.0</v>
      </c>
      <c r="BM9" s="27"/>
      <c r="BN9" s="27"/>
      <c r="BO9" s="27"/>
      <c r="BP9" s="27"/>
      <c r="BT9" s="27"/>
      <c r="BU9" s="27"/>
      <c r="BV9" s="27"/>
      <c r="BW9" s="27"/>
      <c r="CA9" s="27"/>
      <c r="CB9" s="27"/>
      <c r="CC9" s="27"/>
      <c r="CD9" s="27"/>
      <c r="CH9" s="27"/>
      <c r="CI9" s="27"/>
      <c r="CJ9" s="27"/>
      <c r="CK9" s="27"/>
      <c r="CO9" s="27"/>
      <c r="CP9" s="27"/>
      <c r="CQ9" s="27"/>
      <c r="CR9" s="27"/>
      <c r="CT9" s="11"/>
      <c r="CU9" s="11"/>
      <c r="CV9" s="53"/>
      <c r="CW9" s="53"/>
      <c r="CX9" s="53"/>
      <c r="CY9" s="53"/>
      <c r="CZ9" s="11"/>
      <c r="DA9" s="11"/>
      <c r="DB9" s="11"/>
      <c r="DC9" s="53"/>
      <c r="DD9" s="53"/>
      <c r="DE9" s="53"/>
      <c r="DF9" s="53"/>
      <c r="DG9" s="11"/>
      <c r="DJ9" s="27"/>
      <c r="DK9" s="27"/>
      <c r="DL9" s="27"/>
      <c r="DM9" s="27"/>
      <c r="DQ9" s="27"/>
      <c r="DR9" s="27"/>
      <c r="DS9" s="27"/>
      <c r="DT9" s="27"/>
    </row>
    <row r="10" ht="15.75" customHeight="1" collapsed="1">
      <c r="B10" s="48"/>
      <c r="C10" s="48"/>
      <c r="D10" s="49"/>
      <c r="F10" s="26"/>
      <c r="G10" s="49"/>
      <c r="H10" s="30"/>
      <c r="J10" s="26"/>
      <c r="K10" s="29"/>
      <c r="L10" s="29"/>
      <c r="M10" s="26"/>
      <c r="P10" s="27"/>
      <c r="Q10" s="27"/>
      <c r="R10" s="27"/>
      <c r="S10" s="27"/>
      <c r="W10" s="27"/>
      <c r="X10" s="27"/>
      <c r="Y10" s="27"/>
      <c r="Z10" s="27"/>
      <c r="AD10" s="27"/>
      <c r="AE10" s="27"/>
      <c r="AF10" s="27"/>
      <c r="AG10" s="27"/>
      <c r="AK10" s="27"/>
      <c r="AL10" s="27"/>
      <c r="AM10" s="27"/>
      <c r="AN10" s="27"/>
      <c r="AR10" s="27"/>
      <c r="AS10" s="27"/>
      <c r="AT10" s="27"/>
      <c r="AU10" s="27"/>
      <c r="AY10" s="27"/>
      <c r="AZ10" s="27"/>
      <c r="BA10" s="27"/>
      <c r="BB10" s="27"/>
      <c r="BF10" s="27"/>
      <c r="BG10" s="27"/>
      <c r="BH10" s="27"/>
      <c r="BI10" s="27"/>
      <c r="BM10" s="27"/>
      <c r="BN10" s="27"/>
      <c r="BO10" s="27"/>
      <c r="BP10" s="27"/>
      <c r="BT10" s="27"/>
      <c r="BU10" s="27"/>
      <c r="BV10" s="27"/>
      <c r="BW10" s="27"/>
      <c r="CA10" s="27"/>
      <c r="CB10" s="27"/>
      <c r="CC10" s="27"/>
      <c r="CD10" s="27"/>
      <c r="CH10" s="27"/>
      <c r="CI10" s="27"/>
      <c r="CJ10" s="27"/>
      <c r="CK10" s="27"/>
      <c r="CO10" s="27"/>
      <c r="CP10" s="27"/>
      <c r="CQ10" s="27"/>
      <c r="CR10" s="27"/>
      <c r="CT10" s="11"/>
      <c r="CU10" s="11"/>
      <c r="CV10" s="53"/>
      <c r="CW10" s="53"/>
      <c r="CX10" s="53"/>
      <c r="CY10" s="53"/>
      <c r="CZ10" s="11"/>
      <c r="DA10" s="11"/>
      <c r="DB10" s="11"/>
      <c r="DC10" s="53"/>
      <c r="DD10" s="53"/>
      <c r="DE10" s="53"/>
      <c r="DF10" s="53"/>
      <c r="DG10" s="11"/>
      <c r="DJ10" s="27"/>
      <c r="DK10" s="27"/>
      <c r="DL10" s="27"/>
      <c r="DM10" s="27"/>
      <c r="DQ10" s="27"/>
      <c r="DR10" s="27"/>
      <c r="DS10" s="27"/>
      <c r="DT10" s="27"/>
    </row>
    <row r="11" ht="15.75" customHeight="1">
      <c r="B11" s="48" t="s">
        <v>26</v>
      </c>
      <c r="C11" s="48"/>
      <c r="D11" s="49" t="s">
        <v>165</v>
      </c>
      <c r="E11" s="49" t="s">
        <v>173</v>
      </c>
      <c r="F11" s="32">
        <v>3.0</v>
      </c>
      <c r="H11" s="27">
        <f>+SUM(H12:H17)</f>
        <v>1</v>
      </c>
      <c r="J11" s="28">
        <f>+SUM(J12:J17)</f>
        <v>0</v>
      </c>
      <c r="K11" s="29">
        <f>+SUMPRODUCT(H12:H17,K12:K17)</f>
        <v>0</v>
      </c>
      <c r="L11" s="29">
        <f>+SUMPRODUCT(H12:H17,L12:L17)</f>
        <v>0</v>
      </c>
      <c r="M11" s="26"/>
      <c r="O11" s="28"/>
      <c r="V11" s="28"/>
      <c r="AC11" s="28"/>
      <c r="AJ11" s="28"/>
      <c r="AQ11" s="28"/>
      <c r="AX11" s="28"/>
      <c r="BE11" s="28"/>
      <c r="BL11" s="28"/>
      <c r="BS11" s="28">
        <f>+SUM(BS12:BS17)</f>
        <v>0</v>
      </c>
      <c r="BZ11" s="28">
        <f>+SUM(BZ12:BZ17)</f>
        <v>0</v>
      </c>
      <c r="CG11" s="28">
        <f>+SUM(CG12:CG17)</f>
        <v>0</v>
      </c>
      <c r="CN11" s="28">
        <f>+SUM(CN12:CN17)</f>
        <v>0</v>
      </c>
      <c r="CT11" s="11"/>
      <c r="CU11" s="50">
        <v>0.0</v>
      </c>
      <c r="CV11" s="11"/>
      <c r="CW11" s="11"/>
      <c r="CX11" s="11"/>
      <c r="CY11" s="11"/>
      <c r="CZ11" s="11"/>
      <c r="DA11" s="11"/>
      <c r="DB11" s="50">
        <v>0.0</v>
      </c>
      <c r="DC11" s="11"/>
      <c r="DD11" s="11"/>
      <c r="DE11" s="11"/>
      <c r="DF11" s="11"/>
      <c r="DG11" s="11"/>
      <c r="DI11" s="28">
        <f>+SUM(DI12:DI17)</f>
        <v>0</v>
      </c>
      <c r="DP11" s="28">
        <f>+SUM(DP12:DP17)</f>
        <v>0</v>
      </c>
    </row>
    <row r="12" ht="15.75" customHeight="1" outlineLevel="1">
      <c r="B12" s="48" t="s">
        <v>56</v>
      </c>
      <c r="C12" s="48"/>
      <c r="D12" s="49" t="s">
        <v>175</v>
      </c>
      <c r="F12" s="26"/>
      <c r="G12" s="5" t="s">
        <v>176</v>
      </c>
      <c r="H12" s="27">
        <v>0.1</v>
      </c>
      <c r="J12" s="26">
        <f t="shared" ref="J12:J17" si="8">+SUMIF($O$3:$ACN$3,J$3,$O12:$ACN12)</f>
        <v>0</v>
      </c>
      <c r="K12" s="29">
        <f t="shared" ref="K12:L12" si="7">+MAXIFS($O12:$ABT12,$O$3:$ABT$3,K$3)</f>
        <v>0</v>
      </c>
      <c r="L12" s="29">
        <f t="shared" si="7"/>
        <v>0</v>
      </c>
      <c r="M12" s="26"/>
      <c r="P12" s="27"/>
      <c r="Q12" s="27"/>
      <c r="R12" s="27"/>
      <c r="S12" s="27"/>
      <c r="W12" s="27"/>
      <c r="X12" s="27"/>
      <c r="Y12" s="27"/>
      <c r="Z12" s="27"/>
      <c r="AD12" s="27"/>
      <c r="AE12" s="27"/>
      <c r="AF12" s="27"/>
      <c r="AG12" s="27"/>
      <c r="AK12" s="27"/>
      <c r="AL12" s="27"/>
      <c r="AM12" s="27"/>
      <c r="AN12" s="27"/>
      <c r="AR12" s="27"/>
      <c r="AS12" s="27"/>
      <c r="AT12" s="27"/>
      <c r="AU12" s="27"/>
      <c r="AY12" s="27"/>
      <c r="AZ12" s="27"/>
      <c r="BA12" s="27"/>
      <c r="BB12" s="27"/>
      <c r="BF12" s="27"/>
      <c r="BG12" s="27"/>
      <c r="BH12" s="27"/>
      <c r="BI12" s="27"/>
      <c r="BM12" s="27"/>
      <c r="BN12" s="27"/>
      <c r="BO12" s="27"/>
      <c r="BP12" s="27"/>
      <c r="BT12" s="27"/>
      <c r="BU12" s="27"/>
      <c r="BV12" s="27"/>
      <c r="BW12" s="27"/>
      <c r="CA12" s="27"/>
      <c r="CB12" s="27"/>
      <c r="CC12" s="27"/>
      <c r="CD12" s="27"/>
      <c r="CH12" s="27"/>
      <c r="CI12" s="27"/>
      <c r="CJ12" s="27"/>
      <c r="CK12" s="27"/>
      <c r="CO12" s="27"/>
      <c r="CP12" s="27"/>
      <c r="CQ12" s="27"/>
      <c r="CR12" s="27"/>
      <c r="CT12" s="11"/>
      <c r="CU12" s="11"/>
      <c r="CV12" s="53"/>
      <c r="CW12" s="53"/>
      <c r="CX12" s="53"/>
      <c r="CY12" s="53"/>
      <c r="CZ12" s="11"/>
      <c r="DA12" s="11"/>
      <c r="DB12" s="11"/>
      <c r="DC12" s="55"/>
      <c r="DD12" s="51">
        <v>1.0</v>
      </c>
      <c r="DE12" s="27"/>
      <c r="DF12" s="30">
        <v>1.0</v>
      </c>
      <c r="DG12" s="11"/>
      <c r="DJ12" s="27"/>
      <c r="DK12" s="27"/>
      <c r="DL12" s="27"/>
      <c r="DM12" s="27"/>
      <c r="DQ12" s="27"/>
      <c r="DR12" s="27"/>
      <c r="DS12" s="27"/>
      <c r="DT12" s="27"/>
    </row>
    <row r="13" ht="15.75" customHeight="1" outlineLevel="1">
      <c r="B13" s="48" t="s">
        <v>56</v>
      </c>
      <c r="C13" s="48"/>
      <c r="D13" s="49" t="s">
        <v>175</v>
      </c>
      <c r="F13" s="26"/>
      <c r="G13" s="49" t="s">
        <v>177</v>
      </c>
      <c r="H13" s="30">
        <v>0.15</v>
      </c>
      <c r="J13" s="26">
        <f t="shared" si="8"/>
        <v>0</v>
      </c>
      <c r="K13" s="29">
        <f t="shared" ref="K13:L13" si="9">+MAXIFS($O13:$ABT13,$O$3:$ABT$3,K$3)</f>
        <v>0</v>
      </c>
      <c r="L13" s="29">
        <f t="shared" si="9"/>
        <v>0</v>
      </c>
      <c r="M13" s="26"/>
      <c r="P13" s="27"/>
      <c r="Q13" s="27"/>
      <c r="R13" s="27"/>
      <c r="S13" s="27"/>
      <c r="W13" s="27"/>
      <c r="X13" s="27"/>
      <c r="Y13" s="27"/>
      <c r="Z13" s="27"/>
      <c r="AD13" s="27"/>
      <c r="AE13" s="27"/>
      <c r="AF13" s="27"/>
      <c r="AG13" s="27"/>
      <c r="AK13" s="27"/>
      <c r="AL13" s="27"/>
      <c r="AM13" s="27"/>
      <c r="AN13" s="27"/>
      <c r="AR13" s="27"/>
      <c r="AS13" s="27"/>
      <c r="AT13" s="27"/>
      <c r="AU13" s="27"/>
      <c r="AY13" s="27"/>
      <c r="AZ13" s="27"/>
      <c r="BA13" s="27"/>
      <c r="BB13" s="27"/>
      <c r="BF13" s="27"/>
      <c r="BG13" s="27"/>
      <c r="BH13" s="27"/>
      <c r="BI13" s="27"/>
      <c r="BM13" s="27"/>
      <c r="BN13" s="27"/>
      <c r="BO13" s="27"/>
      <c r="BP13" s="27"/>
      <c r="BT13" s="27"/>
      <c r="BU13" s="27"/>
      <c r="BV13" s="27"/>
      <c r="BW13" s="27"/>
      <c r="CA13" s="27"/>
      <c r="CB13" s="27"/>
      <c r="CC13" s="27"/>
      <c r="CD13" s="27"/>
      <c r="CH13" s="27"/>
      <c r="CI13" s="27"/>
      <c r="CJ13" s="27"/>
      <c r="CK13" s="27"/>
      <c r="CO13" s="27"/>
      <c r="CP13" s="27"/>
      <c r="CQ13" s="27"/>
      <c r="CR13" s="27"/>
      <c r="CT13" s="11"/>
      <c r="CU13" s="11"/>
      <c r="CV13" s="53"/>
      <c r="CW13" s="53"/>
      <c r="CX13" s="53"/>
      <c r="CY13" s="53"/>
      <c r="CZ13" s="11"/>
      <c r="DA13" s="11"/>
      <c r="DB13" s="11"/>
      <c r="DC13" s="55"/>
      <c r="DD13" s="51">
        <v>1.0</v>
      </c>
      <c r="DE13" s="27"/>
      <c r="DF13" s="30">
        <v>1.0</v>
      </c>
      <c r="DG13" s="11"/>
      <c r="DJ13" s="27"/>
      <c r="DK13" s="27"/>
      <c r="DL13" s="27"/>
      <c r="DM13" s="27"/>
      <c r="DQ13" s="27"/>
      <c r="DR13" s="27"/>
      <c r="DS13" s="27"/>
      <c r="DT13" s="27"/>
    </row>
    <row r="14" ht="15.75" customHeight="1" outlineLevel="1">
      <c r="B14" s="48" t="s">
        <v>56</v>
      </c>
      <c r="C14" s="48"/>
      <c r="D14" s="49" t="s">
        <v>175</v>
      </c>
      <c r="F14" s="26"/>
      <c r="G14" s="49" t="s">
        <v>178</v>
      </c>
      <c r="H14" s="30">
        <v>0.15</v>
      </c>
      <c r="J14" s="26">
        <f t="shared" si="8"/>
        <v>0</v>
      </c>
      <c r="K14" s="29">
        <f t="shared" ref="K14:L14" si="10">+MAXIFS($O14:$ABT14,$O$3:$ABT$3,K$3)</f>
        <v>0</v>
      </c>
      <c r="L14" s="29">
        <f t="shared" si="10"/>
        <v>0</v>
      </c>
      <c r="M14" s="26"/>
      <c r="P14" s="27"/>
      <c r="Q14" s="27"/>
      <c r="R14" s="27"/>
      <c r="S14" s="27"/>
      <c r="W14" s="27"/>
      <c r="X14" s="27"/>
      <c r="Y14" s="27"/>
      <c r="Z14" s="27"/>
      <c r="AD14" s="27"/>
      <c r="AE14" s="27"/>
      <c r="AF14" s="27"/>
      <c r="AG14" s="27"/>
      <c r="AK14" s="27"/>
      <c r="AL14" s="27"/>
      <c r="AM14" s="27"/>
      <c r="AN14" s="27"/>
      <c r="AR14" s="27"/>
      <c r="AS14" s="27"/>
      <c r="AT14" s="27"/>
      <c r="AU14" s="27"/>
      <c r="AY14" s="27"/>
      <c r="AZ14" s="27"/>
      <c r="BA14" s="27"/>
      <c r="BB14" s="27"/>
      <c r="BF14" s="27"/>
      <c r="BG14" s="27"/>
      <c r="BH14" s="27"/>
      <c r="BI14" s="27"/>
      <c r="BM14" s="27"/>
      <c r="BN14" s="27"/>
      <c r="BO14" s="27"/>
      <c r="BP14" s="27"/>
      <c r="BT14" s="27"/>
      <c r="BU14" s="27"/>
      <c r="BV14" s="27"/>
      <c r="BW14" s="27"/>
      <c r="CA14" s="27"/>
      <c r="CB14" s="27"/>
      <c r="CC14" s="27"/>
      <c r="CD14" s="27"/>
      <c r="CH14" s="27"/>
      <c r="CI14" s="27"/>
      <c r="CJ14" s="27"/>
      <c r="CK14" s="27"/>
      <c r="CO14" s="27"/>
      <c r="CP14" s="27"/>
      <c r="CQ14" s="27"/>
      <c r="CR14" s="27"/>
      <c r="CT14" s="11"/>
      <c r="CU14" s="11"/>
      <c r="CV14" s="53"/>
      <c r="CW14" s="53"/>
      <c r="CX14" s="53"/>
      <c r="CY14" s="53"/>
      <c r="CZ14" s="11"/>
      <c r="DA14" s="11"/>
      <c r="DB14" s="11"/>
      <c r="DC14" s="55"/>
      <c r="DD14" s="51">
        <v>1.0</v>
      </c>
      <c r="DE14" s="27"/>
      <c r="DF14" s="30">
        <v>1.0</v>
      </c>
      <c r="DG14" s="11"/>
      <c r="DJ14" s="27"/>
      <c r="DK14" s="27"/>
      <c r="DL14" s="27"/>
      <c r="DM14" s="27"/>
      <c r="DQ14" s="27"/>
      <c r="DR14" s="27"/>
      <c r="DS14" s="27"/>
      <c r="DT14" s="27"/>
    </row>
    <row r="15" ht="15.75" customHeight="1" outlineLevel="1">
      <c r="B15" s="48" t="s">
        <v>56</v>
      </c>
      <c r="C15" s="48"/>
      <c r="D15" s="49" t="s">
        <v>175</v>
      </c>
      <c r="F15" s="26"/>
      <c r="G15" s="49" t="s">
        <v>179</v>
      </c>
      <c r="H15" s="30">
        <v>0.2</v>
      </c>
      <c r="J15" s="26">
        <f t="shared" si="8"/>
        <v>0</v>
      </c>
      <c r="K15" s="29">
        <f t="shared" ref="K15:L15" si="11">+MAXIFS($O15:$ABT15,$O$3:$ABT$3,K$3)</f>
        <v>0</v>
      </c>
      <c r="L15" s="29">
        <f t="shared" si="11"/>
        <v>0</v>
      </c>
      <c r="M15" s="26"/>
      <c r="P15" s="27"/>
      <c r="Q15" s="27"/>
      <c r="R15" s="27"/>
      <c r="S15" s="27"/>
      <c r="W15" s="27"/>
      <c r="X15" s="27"/>
      <c r="Y15" s="27"/>
      <c r="Z15" s="27"/>
      <c r="AD15" s="27"/>
      <c r="AE15" s="27"/>
      <c r="AF15" s="27"/>
      <c r="AG15" s="27"/>
      <c r="AK15" s="27"/>
      <c r="AL15" s="27"/>
      <c r="AM15" s="27"/>
      <c r="AN15" s="27"/>
      <c r="AR15" s="27"/>
      <c r="AS15" s="27"/>
      <c r="AT15" s="27"/>
      <c r="AU15" s="27"/>
      <c r="AY15" s="27"/>
      <c r="AZ15" s="27"/>
      <c r="BA15" s="27"/>
      <c r="BB15" s="27"/>
      <c r="BF15" s="27"/>
      <c r="BG15" s="27"/>
      <c r="BH15" s="27"/>
      <c r="BI15" s="27"/>
      <c r="BM15" s="27"/>
      <c r="BN15" s="27"/>
      <c r="BO15" s="27"/>
      <c r="BP15" s="27"/>
      <c r="BT15" s="27"/>
      <c r="BU15" s="27"/>
      <c r="BV15" s="27"/>
      <c r="BW15" s="27"/>
      <c r="CA15" s="27"/>
      <c r="CB15" s="27"/>
      <c r="CC15" s="27"/>
      <c r="CD15" s="27"/>
      <c r="CH15" s="27"/>
      <c r="CI15" s="27"/>
      <c r="CJ15" s="27"/>
      <c r="CK15" s="27"/>
      <c r="CO15" s="27"/>
      <c r="CP15" s="27"/>
      <c r="CQ15" s="27"/>
      <c r="CR15" s="27"/>
      <c r="CT15" s="11"/>
      <c r="CU15" s="11"/>
      <c r="CV15" s="53"/>
      <c r="CW15" s="53"/>
      <c r="CX15" s="53"/>
      <c r="CY15" s="53"/>
      <c r="CZ15" s="11"/>
      <c r="DA15" s="11"/>
      <c r="DB15" s="11"/>
      <c r="DC15" s="55"/>
      <c r="DD15" s="51">
        <v>1.0</v>
      </c>
      <c r="DE15" s="27"/>
      <c r="DF15" s="30">
        <v>1.0</v>
      </c>
      <c r="DG15" s="11"/>
      <c r="DJ15" s="27"/>
      <c r="DK15" s="27"/>
      <c r="DL15" s="27"/>
      <c r="DM15" s="27"/>
      <c r="DQ15" s="27"/>
      <c r="DR15" s="27"/>
      <c r="DS15" s="27"/>
      <c r="DT15" s="27"/>
    </row>
    <row r="16" ht="15.75" customHeight="1" outlineLevel="1">
      <c r="B16" s="48" t="s">
        <v>56</v>
      </c>
      <c r="C16" s="48"/>
      <c r="D16" s="49" t="s">
        <v>175</v>
      </c>
      <c r="F16" s="26"/>
      <c r="G16" s="49" t="s">
        <v>180</v>
      </c>
      <c r="H16" s="30">
        <v>0.2</v>
      </c>
      <c r="J16" s="26">
        <f t="shared" si="8"/>
        <v>0</v>
      </c>
      <c r="K16" s="29">
        <f t="shared" ref="K16:L16" si="12">+MAXIFS($O16:$ABT16,$O$3:$ABT$3,K$3)</f>
        <v>0</v>
      </c>
      <c r="L16" s="29">
        <f t="shared" si="12"/>
        <v>0</v>
      </c>
      <c r="M16" s="26"/>
      <c r="P16" s="27"/>
      <c r="Q16" s="27"/>
      <c r="R16" s="27"/>
      <c r="S16" s="27"/>
      <c r="W16" s="27"/>
      <c r="X16" s="27"/>
      <c r="Y16" s="27"/>
      <c r="Z16" s="27"/>
      <c r="AD16" s="27"/>
      <c r="AE16" s="27"/>
      <c r="AF16" s="27"/>
      <c r="AG16" s="27"/>
      <c r="AK16" s="27"/>
      <c r="AL16" s="27"/>
      <c r="AM16" s="27"/>
      <c r="AN16" s="27"/>
      <c r="AR16" s="27"/>
      <c r="AS16" s="27"/>
      <c r="AT16" s="27"/>
      <c r="AU16" s="27"/>
      <c r="AY16" s="27"/>
      <c r="AZ16" s="27"/>
      <c r="BA16" s="27"/>
      <c r="BB16" s="27"/>
      <c r="BF16" s="27"/>
      <c r="BG16" s="27"/>
      <c r="BH16" s="27"/>
      <c r="BI16" s="27"/>
      <c r="BM16" s="27"/>
      <c r="BN16" s="27"/>
      <c r="BO16" s="27"/>
      <c r="BP16" s="27"/>
      <c r="BT16" s="27"/>
      <c r="BU16" s="27"/>
      <c r="BV16" s="27"/>
      <c r="BW16" s="27"/>
      <c r="CA16" s="27"/>
      <c r="CB16" s="27"/>
      <c r="CC16" s="27"/>
      <c r="CD16" s="27"/>
      <c r="CH16" s="27"/>
      <c r="CI16" s="27"/>
      <c r="CJ16" s="27"/>
      <c r="CK16" s="27"/>
      <c r="CO16" s="27"/>
      <c r="CP16" s="27"/>
      <c r="CQ16" s="27"/>
      <c r="CR16" s="27"/>
      <c r="CT16" s="11"/>
      <c r="CU16" s="11"/>
      <c r="CV16" s="53"/>
      <c r="CW16" s="53"/>
      <c r="CX16" s="53"/>
      <c r="CY16" s="53"/>
      <c r="CZ16" s="11"/>
      <c r="DA16" s="11"/>
      <c r="DB16" s="11"/>
      <c r="DC16" s="55"/>
      <c r="DD16" s="51">
        <v>1.0</v>
      </c>
      <c r="DE16" s="27"/>
      <c r="DF16" s="30">
        <v>1.0</v>
      </c>
      <c r="DG16" s="11"/>
      <c r="DJ16" s="27"/>
      <c r="DK16" s="27"/>
      <c r="DL16" s="27"/>
      <c r="DM16" s="27"/>
      <c r="DQ16" s="27"/>
      <c r="DR16" s="27"/>
      <c r="DS16" s="27"/>
      <c r="DT16" s="27"/>
    </row>
    <row r="17" ht="15.75" customHeight="1" outlineLevel="1">
      <c r="B17" s="48" t="s">
        <v>56</v>
      </c>
      <c r="C17" s="48"/>
      <c r="D17" s="49" t="s">
        <v>175</v>
      </c>
      <c r="F17" s="26"/>
      <c r="G17" s="49" t="s">
        <v>181</v>
      </c>
      <c r="H17" s="30">
        <v>0.2</v>
      </c>
      <c r="J17" s="26">
        <f t="shared" si="8"/>
        <v>0</v>
      </c>
      <c r="K17" s="29">
        <f t="shared" ref="K17:L17" si="13">+MAXIFS($O17:$ABT17,$O$3:$ABT$3,K$3)</f>
        <v>0</v>
      </c>
      <c r="L17" s="29">
        <f t="shared" si="13"/>
        <v>0</v>
      </c>
      <c r="M17" s="26"/>
      <c r="P17" s="27"/>
      <c r="Q17" s="27"/>
      <c r="R17" s="27"/>
      <c r="S17" s="27"/>
      <c r="W17" s="27"/>
      <c r="X17" s="27"/>
      <c r="Y17" s="27"/>
      <c r="Z17" s="27"/>
      <c r="AD17" s="27"/>
      <c r="AE17" s="27"/>
      <c r="AF17" s="27"/>
      <c r="AG17" s="27"/>
      <c r="AK17" s="27"/>
      <c r="AL17" s="27"/>
      <c r="AM17" s="27"/>
      <c r="AN17" s="27"/>
      <c r="AR17" s="27"/>
      <c r="AS17" s="27"/>
      <c r="AT17" s="27"/>
      <c r="AU17" s="27"/>
      <c r="AY17" s="27"/>
      <c r="AZ17" s="27"/>
      <c r="BA17" s="27"/>
      <c r="BB17" s="27"/>
      <c r="BF17" s="27"/>
      <c r="BG17" s="27"/>
      <c r="BH17" s="27"/>
      <c r="BI17" s="27"/>
      <c r="BM17" s="27"/>
      <c r="BN17" s="27"/>
      <c r="BO17" s="27"/>
      <c r="BP17" s="27"/>
      <c r="BT17" s="27"/>
      <c r="BU17" s="27"/>
      <c r="BV17" s="27"/>
      <c r="BW17" s="27"/>
      <c r="CA17" s="27"/>
      <c r="CB17" s="27"/>
      <c r="CC17" s="27"/>
      <c r="CD17" s="27"/>
      <c r="CH17" s="27"/>
      <c r="CI17" s="27"/>
      <c r="CJ17" s="27"/>
      <c r="CK17" s="27"/>
      <c r="CO17" s="27"/>
      <c r="CP17" s="27"/>
      <c r="CQ17" s="27"/>
      <c r="CR17" s="27"/>
      <c r="CT17" s="11"/>
      <c r="CU17" s="11"/>
      <c r="CV17" s="53"/>
      <c r="CW17" s="53"/>
      <c r="CX17" s="53"/>
      <c r="CY17" s="53"/>
      <c r="CZ17" s="11"/>
      <c r="DA17" s="11"/>
      <c r="DB17" s="11"/>
      <c r="DC17" s="55"/>
      <c r="DD17" s="51">
        <v>1.0</v>
      </c>
      <c r="DE17" s="27"/>
      <c r="DF17" s="30">
        <v>1.0</v>
      </c>
      <c r="DG17" s="11"/>
      <c r="DJ17" s="27"/>
      <c r="DK17" s="27"/>
      <c r="DL17" s="27"/>
      <c r="DM17" s="27"/>
      <c r="DQ17" s="27"/>
      <c r="DR17" s="27"/>
      <c r="DS17" s="27"/>
      <c r="DT17" s="27"/>
    </row>
    <row r="18" ht="15.75" customHeight="1">
      <c r="B18" s="48"/>
      <c r="C18" s="48"/>
      <c r="D18" s="49"/>
      <c r="F18" s="26"/>
      <c r="G18" s="49"/>
      <c r="H18" s="30"/>
      <c r="J18" s="26"/>
      <c r="K18" s="29"/>
      <c r="L18" s="29"/>
      <c r="M18" s="26"/>
      <c r="P18" s="27"/>
      <c r="Q18" s="27"/>
      <c r="R18" s="27"/>
      <c r="S18" s="27"/>
      <c r="W18" s="27"/>
      <c r="X18" s="27"/>
      <c r="Y18" s="27"/>
      <c r="Z18" s="27"/>
      <c r="AD18" s="27"/>
      <c r="AE18" s="27"/>
      <c r="AF18" s="27"/>
      <c r="AG18" s="27"/>
      <c r="AK18" s="27"/>
      <c r="AL18" s="27"/>
      <c r="AM18" s="27"/>
      <c r="AN18" s="27"/>
      <c r="AR18" s="27"/>
      <c r="AS18" s="27"/>
      <c r="AT18" s="27"/>
      <c r="AU18" s="27"/>
      <c r="AY18" s="27"/>
      <c r="AZ18" s="27"/>
      <c r="BA18" s="27"/>
      <c r="BB18" s="27"/>
      <c r="BF18" s="27"/>
      <c r="BG18" s="27"/>
      <c r="BH18" s="27"/>
      <c r="BI18" s="27"/>
      <c r="BM18" s="27"/>
      <c r="BN18" s="27"/>
      <c r="BO18" s="27"/>
      <c r="BP18" s="27"/>
      <c r="BT18" s="27"/>
      <c r="BU18" s="27"/>
      <c r="BV18" s="27"/>
      <c r="BW18" s="27"/>
      <c r="CA18" s="27"/>
      <c r="CB18" s="27"/>
      <c r="CC18" s="27"/>
      <c r="CD18" s="27"/>
      <c r="CH18" s="27"/>
      <c r="CI18" s="27"/>
      <c r="CJ18" s="27"/>
      <c r="CK18" s="27"/>
      <c r="CO18" s="27"/>
      <c r="CP18" s="27"/>
      <c r="CQ18" s="27"/>
      <c r="CR18" s="27"/>
      <c r="CT18" s="11"/>
      <c r="CU18" s="11"/>
      <c r="CV18" s="53"/>
      <c r="CW18" s="53"/>
      <c r="CX18" s="53"/>
      <c r="CY18" s="53"/>
      <c r="CZ18" s="11"/>
      <c r="DA18" s="11"/>
      <c r="DB18" s="11"/>
      <c r="DC18" s="55"/>
      <c r="DD18" s="51">
        <v>1.0</v>
      </c>
      <c r="DE18" s="27"/>
      <c r="DF18" s="30">
        <v>1.0</v>
      </c>
      <c r="DG18" s="11"/>
      <c r="DJ18" s="27"/>
      <c r="DK18" s="27"/>
      <c r="DL18" s="27"/>
      <c r="DM18" s="27"/>
      <c r="DQ18" s="27"/>
      <c r="DR18" s="27"/>
      <c r="DS18" s="27"/>
      <c r="DT18" s="27"/>
    </row>
    <row r="19" ht="15.75" customHeight="1">
      <c r="B19" s="48" t="s">
        <v>26</v>
      </c>
      <c r="C19" s="48"/>
      <c r="D19" s="49" t="s">
        <v>65</v>
      </c>
      <c r="E19" s="49" t="s">
        <v>173</v>
      </c>
      <c r="F19" s="32">
        <v>3.0</v>
      </c>
      <c r="H19" s="27">
        <f>+SUM(H20:H27)</f>
        <v>1</v>
      </c>
      <c r="J19" s="28">
        <f>+SUM(J20:J23)</f>
        <v>0</v>
      </c>
      <c r="K19" s="29">
        <f>+SUMPRODUCT(H20:H23,K20:K23)</f>
        <v>0</v>
      </c>
      <c r="L19" s="29">
        <f>+SUMPRODUCT(H20:H23,L20:L23)</f>
        <v>0</v>
      </c>
      <c r="M19" s="26"/>
      <c r="O19" s="28"/>
      <c r="V19" s="28"/>
      <c r="AC19" s="28"/>
      <c r="AJ19" s="28"/>
      <c r="AQ19" s="28"/>
      <c r="CT19" s="11"/>
      <c r="CU19" s="11"/>
      <c r="CV19" s="11"/>
      <c r="CW19" s="11"/>
      <c r="CX19" s="11"/>
      <c r="CY19" s="11"/>
      <c r="CZ19" s="11"/>
      <c r="DA19" s="11"/>
      <c r="DB19" s="11"/>
      <c r="DC19" s="11"/>
      <c r="DD19" s="11"/>
      <c r="DE19" s="11"/>
      <c r="DF19" s="11"/>
      <c r="DG19" s="11"/>
    </row>
    <row r="20" ht="15.75" customHeight="1" outlineLevel="1">
      <c r="B20" s="48" t="s">
        <v>56</v>
      </c>
      <c r="C20" s="48"/>
      <c r="D20" s="49" t="s">
        <v>183</v>
      </c>
      <c r="F20" s="26"/>
      <c r="G20" s="49" t="s">
        <v>242</v>
      </c>
      <c r="H20" s="27">
        <v>0.1</v>
      </c>
      <c r="J20" s="26">
        <f t="shared" ref="J20:J27" si="15">+SUMIF($O$3:$ACN$3,J$3,$O20:$ACN20)</f>
        <v>0</v>
      </c>
      <c r="K20" s="29">
        <f t="shared" ref="K20:L20" si="14">+MAXIFS($O20:$ABT20,$O$3:$ABT$3,K$3)</f>
        <v>0</v>
      </c>
      <c r="L20" s="29">
        <f t="shared" si="14"/>
        <v>0</v>
      </c>
      <c r="M20" s="26"/>
      <c r="P20" s="27"/>
      <c r="Q20" s="27"/>
      <c r="R20" s="27"/>
      <c r="S20" s="27"/>
      <c r="W20" s="27"/>
      <c r="X20" s="27"/>
      <c r="Y20" s="27"/>
      <c r="Z20" s="27"/>
      <c r="AD20" s="27"/>
      <c r="AE20" s="27"/>
      <c r="AF20" s="27"/>
      <c r="AG20" s="27"/>
      <c r="AK20" s="27"/>
      <c r="AL20" s="27"/>
      <c r="AM20" s="27"/>
      <c r="AN20" s="27"/>
      <c r="AR20" s="27"/>
      <c r="AS20" s="27"/>
      <c r="AT20" s="27"/>
      <c r="AU20" s="27"/>
      <c r="AY20" s="27"/>
      <c r="AZ20" s="27"/>
      <c r="BA20" s="27"/>
      <c r="BB20" s="27"/>
      <c r="BF20" s="27"/>
      <c r="BG20" s="27"/>
      <c r="BH20" s="27"/>
      <c r="BI20" s="27"/>
      <c r="BM20" s="27"/>
      <c r="BN20" s="27"/>
      <c r="BO20" s="27"/>
      <c r="BP20" s="27"/>
      <c r="BT20" s="27"/>
      <c r="BU20" s="27"/>
      <c r="BV20" s="27"/>
      <c r="BW20" s="27"/>
      <c r="CA20" s="27"/>
      <c r="CB20" s="27"/>
      <c r="CC20" s="27"/>
      <c r="CD20" s="27"/>
      <c r="CH20" s="27"/>
      <c r="CI20" s="27"/>
      <c r="CJ20" s="27"/>
      <c r="CK20" s="27"/>
      <c r="CO20" s="27"/>
      <c r="CP20" s="27"/>
      <c r="CQ20" s="27"/>
      <c r="CR20" s="27"/>
      <c r="CT20" s="11"/>
      <c r="CU20" s="11"/>
      <c r="CV20" s="53"/>
      <c r="CW20" s="53"/>
      <c r="CX20" s="53"/>
      <c r="CY20" s="53"/>
      <c r="CZ20" s="11"/>
      <c r="DA20" s="11"/>
      <c r="DB20" s="11"/>
      <c r="DC20" s="55"/>
      <c r="DD20" s="51">
        <v>1.0</v>
      </c>
      <c r="DE20" s="27"/>
      <c r="DF20" s="30">
        <v>1.0</v>
      </c>
      <c r="DG20" s="11"/>
      <c r="DJ20" s="27"/>
      <c r="DK20" s="27"/>
      <c r="DL20" s="27"/>
      <c r="DM20" s="27"/>
      <c r="DQ20" s="27"/>
      <c r="DR20" s="27"/>
      <c r="DS20" s="27"/>
      <c r="DT20" s="27"/>
    </row>
    <row r="21" ht="15.75" customHeight="1" outlineLevel="1">
      <c r="B21" s="48" t="s">
        <v>56</v>
      </c>
      <c r="C21" s="48"/>
      <c r="D21" s="49" t="s">
        <v>183</v>
      </c>
      <c r="F21" s="26"/>
      <c r="G21" s="49" t="s">
        <v>243</v>
      </c>
      <c r="H21" s="30">
        <v>0.1</v>
      </c>
      <c r="J21" s="26">
        <f t="shared" si="15"/>
        <v>0</v>
      </c>
      <c r="K21" s="29">
        <f t="shared" ref="K21:L21" si="16">+MAXIFS($O21:$ABT21,$O$3:$ABT$3,K$3)</f>
        <v>0</v>
      </c>
      <c r="L21" s="29">
        <f t="shared" si="16"/>
        <v>0</v>
      </c>
      <c r="M21" s="26"/>
      <c r="P21" s="27"/>
      <c r="Q21" s="27"/>
      <c r="R21" s="27"/>
      <c r="S21" s="27"/>
      <c r="W21" s="27"/>
      <c r="X21" s="27"/>
      <c r="Y21" s="27"/>
      <c r="Z21" s="27"/>
      <c r="AD21" s="27"/>
      <c r="AE21" s="27"/>
      <c r="AF21" s="27"/>
      <c r="AG21" s="27"/>
      <c r="AK21" s="27"/>
      <c r="AL21" s="27"/>
      <c r="AM21" s="27"/>
      <c r="AN21" s="27"/>
      <c r="AR21" s="27"/>
      <c r="AS21" s="27"/>
      <c r="AT21" s="27"/>
      <c r="AU21" s="27"/>
      <c r="AY21" s="27"/>
      <c r="AZ21" s="27"/>
      <c r="BA21" s="27"/>
      <c r="BB21" s="27"/>
      <c r="BF21" s="27"/>
      <c r="BG21" s="27"/>
      <c r="BH21" s="27"/>
      <c r="BI21" s="27"/>
      <c r="BM21" s="27"/>
      <c r="BN21" s="27"/>
      <c r="BO21" s="27"/>
      <c r="BP21" s="27"/>
      <c r="BT21" s="27"/>
      <c r="BU21" s="27"/>
      <c r="BV21" s="27"/>
      <c r="BW21" s="27"/>
      <c r="CA21" s="27"/>
      <c r="CB21" s="27"/>
      <c r="CC21" s="27"/>
      <c r="CD21" s="27"/>
      <c r="CH21" s="27"/>
      <c r="CI21" s="27"/>
      <c r="CJ21" s="27"/>
      <c r="CK21" s="27"/>
      <c r="CO21" s="27"/>
      <c r="CP21" s="27"/>
      <c r="CQ21" s="27"/>
      <c r="CR21" s="27"/>
      <c r="CT21" s="11"/>
      <c r="CU21" s="11"/>
      <c r="CV21" s="53"/>
      <c r="CW21" s="53"/>
      <c r="CX21" s="53"/>
      <c r="CY21" s="53"/>
      <c r="CZ21" s="11"/>
      <c r="DA21" s="11"/>
      <c r="DB21" s="11"/>
      <c r="DC21" s="55"/>
      <c r="DD21" s="51">
        <v>1.0</v>
      </c>
      <c r="DE21" s="27"/>
      <c r="DF21" s="30">
        <v>1.0</v>
      </c>
      <c r="DG21" s="11"/>
      <c r="DJ21" s="27"/>
      <c r="DK21" s="27"/>
      <c r="DL21" s="27"/>
      <c r="DM21" s="27"/>
      <c r="DQ21" s="27"/>
      <c r="DR21" s="27"/>
      <c r="DS21" s="27"/>
      <c r="DT21" s="27"/>
    </row>
    <row r="22" ht="15.75" customHeight="1" outlineLevel="1">
      <c r="B22" s="48" t="s">
        <v>56</v>
      </c>
      <c r="C22" s="48"/>
      <c r="D22" s="49" t="s">
        <v>183</v>
      </c>
      <c r="F22" s="26"/>
      <c r="G22" s="49" t="s">
        <v>79</v>
      </c>
      <c r="H22" s="30">
        <v>0.1</v>
      </c>
      <c r="J22" s="26">
        <f t="shared" si="15"/>
        <v>0</v>
      </c>
      <c r="K22" s="29">
        <f t="shared" ref="K22:L22" si="17">+MAXIFS($O22:$ABT22,$O$3:$ABT$3,K$3)</f>
        <v>0</v>
      </c>
      <c r="L22" s="29">
        <f t="shared" si="17"/>
        <v>0</v>
      </c>
      <c r="M22" s="26"/>
      <c r="P22" s="27"/>
      <c r="Q22" s="27"/>
      <c r="R22" s="27"/>
      <c r="S22" s="27"/>
      <c r="W22" s="27"/>
      <c r="X22" s="27"/>
      <c r="Y22" s="27"/>
      <c r="Z22" s="27"/>
      <c r="AD22" s="27"/>
      <c r="AE22" s="27"/>
      <c r="AF22" s="27"/>
      <c r="AG22" s="27"/>
      <c r="AK22" s="27"/>
      <c r="AL22" s="27"/>
      <c r="AM22" s="27"/>
      <c r="AN22" s="27"/>
      <c r="AR22" s="27"/>
      <c r="AS22" s="27"/>
      <c r="AT22" s="27"/>
      <c r="AU22" s="27"/>
      <c r="AY22" s="27"/>
      <c r="AZ22" s="27"/>
      <c r="BA22" s="27"/>
      <c r="BB22" s="27"/>
      <c r="BF22" s="27"/>
      <c r="BG22" s="27"/>
      <c r="BH22" s="27"/>
      <c r="BI22" s="27"/>
      <c r="BM22" s="27"/>
      <c r="BN22" s="27"/>
      <c r="BO22" s="27"/>
      <c r="BP22" s="27"/>
      <c r="BT22" s="27"/>
      <c r="BU22" s="27"/>
      <c r="BV22" s="27"/>
      <c r="BW22" s="27"/>
      <c r="CA22" s="27"/>
      <c r="CB22" s="27"/>
      <c r="CC22" s="27"/>
      <c r="CD22" s="27"/>
      <c r="CH22" s="27"/>
      <c r="CI22" s="27"/>
      <c r="CJ22" s="27"/>
      <c r="CK22" s="27"/>
      <c r="CO22" s="27"/>
      <c r="CP22" s="27"/>
      <c r="CQ22" s="27"/>
      <c r="CR22" s="27"/>
      <c r="CT22" s="11"/>
      <c r="CU22" s="11"/>
      <c r="CV22" s="53"/>
      <c r="CW22" s="53"/>
      <c r="CX22" s="53"/>
      <c r="CY22" s="53"/>
      <c r="CZ22" s="11"/>
      <c r="DA22" s="11"/>
      <c r="DB22" s="11"/>
      <c r="DC22" s="55"/>
      <c r="DD22" s="51">
        <v>1.0</v>
      </c>
      <c r="DE22" s="27"/>
      <c r="DF22" s="30">
        <v>1.0</v>
      </c>
      <c r="DG22" s="11"/>
      <c r="DJ22" s="27"/>
      <c r="DK22" s="27"/>
      <c r="DL22" s="27"/>
      <c r="DM22" s="27"/>
      <c r="DQ22" s="27"/>
      <c r="DR22" s="27"/>
      <c r="DS22" s="27"/>
      <c r="DT22" s="27"/>
    </row>
    <row r="23" ht="15.75" customHeight="1" outlineLevel="1">
      <c r="B23" s="48" t="s">
        <v>56</v>
      </c>
      <c r="C23" s="48"/>
      <c r="D23" s="49" t="s">
        <v>183</v>
      </c>
      <c r="F23" s="26"/>
      <c r="G23" s="49" t="s">
        <v>244</v>
      </c>
      <c r="H23" s="30">
        <v>0.1</v>
      </c>
      <c r="J23" s="26">
        <f t="shared" si="15"/>
        <v>0</v>
      </c>
      <c r="K23" s="29">
        <f t="shared" ref="K23:L23" si="18">+MAXIFS($O23:$ABT23,$O$3:$ABT$3,K$3)</f>
        <v>0</v>
      </c>
      <c r="L23" s="29">
        <f t="shared" si="18"/>
        <v>0</v>
      </c>
      <c r="M23" s="26"/>
      <c r="P23" s="27"/>
      <c r="Q23" s="27"/>
      <c r="R23" s="27"/>
      <c r="S23" s="27"/>
      <c r="W23" s="27"/>
      <c r="X23" s="27"/>
      <c r="Y23" s="27"/>
      <c r="Z23" s="27"/>
      <c r="AD23" s="27"/>
      <c r="AE23" s="27"/>
      <c r="AF23" s="27"/>
      <c r="AG23" s="27"/>
      <c r="AK23" s="27"/>
      <c r="AL23" s="27"/>
      <c r="AM23" s="27"/>
      <c r="AN23" s="27"/>
      <c r="AR23" s="27"/>
      <c r="AS23" s="27"/>
      <c r="AT23" s="27"/>
      <c r="AU23" s="27"/>
      <c r="AY23" s="27"/>
      <c r="AZ23" s="27"/>
      <c r="BA23" s="27"/>
      <c r="BB23" s="27"/>
      <c r="BF23" s="27"/>
      <c r="BG23" s="27"/>
      <c r="BH23" s="27"/>
      <c r="BI23" s="27"/>
      <c r="BM23" s="27"/>
      <c r="BN23" s="27"/>
      <c r="BO23" s="27"/>
      <c r="BP23" s="27"/>
      <c r="BT23" s="27"/>
      <c r="BU23" s="27"/>
      <c r="BV23" s="27"/>
      <c r="BW23" s="27"/>
      <c r="CA23" s="27"/>
      <c r="CB23" s="27"/>
      <c r="CC23" s="27"/>
      <c r="CD23" s="27"/>
      <c r="CH23" s="27"/>
      <c r="CI23" s="27"/>
      <c r="CJ23" s="27"/>
      <c r="CK23" s="27"/>
      <c r="CO23" s="27"/>
      <c r="CP23" s="27"/>
      <c r="CQ23" s="27"/>
      <c r="CR23" s="27"/>
      <c r="CT23" s="11"/>
      <c r="CU23" s="11"/>
      <c r="CV23" s="53"/>
      <c r="CW23" s="53"/>
      <c r="CX23" s="53"/>
      <c r="CY23" s="53"/>
      <c r="CZ23" s="11"/>
      <c r="DA23" s="11"/>
      <c r="DB23" s="11"/>
      <c r="DC23" s="55"/>
      <c r="DD23" s="51">
        <v>1.0</v>
      </c>
      <c r="DE23" s="27"/>
      <c r="DF23" s="30">
        <v>1.0</v>
      </c>
      <c r="DG23" s="11"/>
      <c r="DJ23" s="27"/>
      <c r="DK23" s="27"/>
      <c r="DL23" s="27"/>
      <c r="DM23" s="27"/>
      <c r="DQ23" s="27"/>
      <c r="DR23" s="27"/>
      <c r="DS23" s="27"/>
      <c r="DT23" s="27"/>
    </row>
    <row r="24" ht="15.75" customHeight="1" outlineLevel="1">
      <c r="B24" s="48" t="s">
        <v>56</v>
      </c>
      <c r="C24" s="48"/>
      <c r="D24" s="49" t="s">
        <v>183</v>
      </c>
      <c r="F24" s="26"/>
      <c r="G24" s="49" t="s">
        <v>81</v>
      </c>
      <c r="H24" s="27">
        <v>0.15</v>
      </c>
      <c r="J24" s="26">
        <f t="shared" si="15"/>
        <v>0</v>
      </c>
      <c r="K24" s="29">
        <f t="shared" ref="K24:L24" si="19">+MAXIFS($O24:$ABT24,$O$3:$ABT$3,K$3)</f>
        <v>0</v>
      </c>
      <c r="L24" s="29">
        <f t="shared" si="19"/>
        <v>0</v>
      </c>
      <c r="M24" s="26"/>
      <c r="P24" s="27"/>
      <c r="Q24" s="27"/>
      <c r="R24" s="27"/>
      <c r="S24" s="27"/>
      <c r="W24" s="27"/>
      <c r="X24" s="27"/>
      <c r="Y24" s="27"/>
      <c r="Z24" s="27"/>
      <c r="AD24" s="27"/>
      <c r="AE24" s="27"/>
      <c r="AF24" s="27"/>
      <c r="AG24" s="27"/>
      <c r="AK24" s="27"/>
      <c r="AL24" s="27"/>
      <c r="AM24" s="27"/>
      <c r="AN24" s="27"/>
      <c r="AR24" s="27"/>
      <c r="AS24" s="27"/>
      <c r="AT24" s="27"/>
      <c r="AU24" s="27"/>
      <c r="AY24" s="27"/>
      <c r="AZ24" s="27"/>
      <c r="BA24" s="27"/>
      <c r="BB24" s="27"/>
      <c r="BF24" s="27"/>
      <c r="BG24" s="27"/>
      <c r="BH24" s="27"/>
      <c r="BI24" s="27"/>
      <c r="BM24" s="27"/>
      <c r="BN24" s="27"/>
      <c r="BO24" s="27"/>
      <c r="BP24" s="27"/>
      <c r="BT24" s="27"/>
      <c r="BU24" s="27"/>
      <c r="BV24" s="27"/>
      <c r="BW24" s="27"/>
      <c r="CA24" s="27"/>
      <c r="CB24" s="27"/>
      <c r="CC24" s="27"/>
      <c r="CD24" s="27"/>
      <c r="CH24" s="27"/>
      <c r="CI24" s="27"/>
      <c r="CJ24" s="27"/>
      <c r="CK24" s="27"/>
      <c r="CO24" s="27"/>
      <c r="CP24" s="27"/>
      <c r="CQ24" s="27"/>
      <c r="CR24" s="27"/>
      <c r="CT24" s="11"/>
      <c r="CU24" s="11"/>
      <c r="CV24" s="53"/>
      <c r="CW24" s="53"/>
      <c r="CX24" s="53"/>
      <c r="CY24" s="53"/>
      <c r="CZ24" s="11"/>
      <c r="DA24" s="11"/>
      <c r="DB24" s="11"/>
      <c r="DC24" s="55"/>
      <c r="DD24" s="51">
        <v>1.0</v>
      </c>
      <c r="DE24" s="27"/>
      <c r="DF24" s="30">
        <v>1.0</v>
      </c>
      <c r="DG24" s="11"/>
      <c r="DJ24" s="27"/>
      <c r="DK24" s="27"/>
      <c r="DL24" s="27"/>
      <c r="DM24" s="27"/>
      <c r="DQ24" s="27"/>
      <c r="DR24" s="27"/>
      <c r="DS24" s="27"/>
      <c r="DT24" s="27"/>
    </row>
    <row r="25" ht="15.75" customHeight="1" outlineLevel="1">
      <c r="B25" s="48" t="s">
        <v>56</v>
      </c>
      <c r="C25" s="48"/>
      <c r="D25" s="49" t="s">
        <v>183</v>
      </c>
      <c r="F25" s="26"/>
      <c r="G25" s="49" t="s">
        <v>82</v>
      </c>
      <c r="H25" s="27">
        <v>0.15</v>
      </c>
      <c r="J25" s="26">
        <f t="shared" si="15"/>
        <v>0</v>
      </c>
      <c r="K25" s="29">
        <f t="shared" ref="K25:L25" si="20">+MAXIFS($O25:$ABT25,$O$3:$ABT$3,K$3)</f>
        <v>0</v>
      </c>
      <c r="L25" s="29">
        <f t="shared" si="20"/>
        <v>0</v>
      </c>
      <c r="M25" s="26"/>
      <c r="P25" s="27"/>
      <c r="Q25" s="27"/>
      <c r="R25" s="27"/>
      <c r="S25" s="27"/>
      <c r="W25" s="27"/>
      <c r="X25" s="27"/>
      <c r="Y25" s="27"/>
      <c r="Z25" s="27"/>
      <c r="AD25" s="27"/>
      <c r="AE25" s="27"/>
      <c r="AF25" s="27"/>
      <c r="AG25" s="27"/>
      <c r="AK25" s="27"/>
      <c r="AL25" s="27"/>
      <c r="AM25" s="27"/>
      <c r="AN25" s="27"/>
      <c r="AR25" s="27"/>
      <c r="AS25" s="27"/>
      <c r="AT25" s="27"/>
      <c r="AU25" s="27"/>
      <c r="AY25" s="27"/>
      <c r="AZ25" s="27"/>
      <c r="BA25" s="27"/>
      <c r="BB25" s="27"/>
      <c r="BF25" s="27"/>
      <c r="BG25" s="27"/>
      <c r="BH25" s="27"/>
      <c r="BI25" s="27"/>
      <c r="BM25" s="27"/>
      <c r="BN25" s="27"/>
      <c r="BO25" s="27"/>
      <c r="BP25" s="27"/>
      <c r="BT25" s="27"/>
      <c r="BU25" s="27"/>
      <c r="BV25" s="27"/>
      <c r="BW25" s="27"/>
      <c r="CA25" s="27"/>
      <c r="CB25" s="27"/>
      <c r="CC25" s="27"/>
      <c r="CD25" s="27"/>
      <c r="CH25" s="27"/>
      <c r="CI25" s="27"/>
      <c r="CJ25" s="27"/>
      <c r="CK25" s="27"/>
      <c r="CO25" s="27"/>
      <c r="CP25" s="27"/>
      <c r="CQ25" s="27"/>
      <c r="CR25" s="27"/>
      <c r="CT25" s="11"/>
      <c r="CU25" s="11"/>
      <c r="CV25" s="53"/>
      <c r="CW25" s="53"/>
      <c r="CX25" s="53"/>
      <c r="CY25" s="53"/>
      <c r="CZ25" s="11"/>
      <c r="DA25" s="11"/>
      <c r="DB25" s="11"/>
      <c r="DC25" s="55"/>
      <c r="DD25" s="51">
        <v>1.0</v>
      </c>
      <c r="DE25" s="27"/>
      <c r="DF25" s="30">
        <v>1.0</v>
      </c>
      <c r="DG25" s="11"/>
      <c r="DJ25" s="27"/>
      <c r="DK25" s="27"/>
      <c r="DL25" s="27"/>
      <c r="DM25" s="27"/>
      <c r="DQ25" s="27"/>
      <c r="DR25" s="27"/>
      <c r="DS25" s="27"/>
      <c r="DT25" s="27"/>
    </row>
    <row r="26" ht="15.75" customHeight="1" outlineLevel="1">
      <c r="B26" s="48" t="s">
        <v>56</v>
      </c>
      <c r="C26" s="48"/>
      <c r="D26" s="49" t="s">
        <v>183</v>
      </c>
      <c r="F26" s="26"/>
      <c r="G26" s="49" t="s">
        <v>83</v>
      </c>
      <c r="H26" s="27">
        <v>0.15</v>
      </c>
      <c r="J26" s="26">
        <f t="shared" si="15"/>
        <v>0</v>
      </c>
      <c r="K26" s="29">
        <f t="shared" ref="K26:L26" si="21">+MAXIFS($O26:$ABT26,$O$3:$ABT$3,K$3)</f>
        <v>0</v>
      </c>
      <c r="L26" s="29">
        <f t="shared" si="21"/>
        <v>0</v>
      </c>
      <c r="M26" s="26"/>
      <c r="P26" s="27"/>
      <c r="Q26" s="27"/>
      <c r="R26" s="27"/>
      <c r="S26" s="27"/>
      <c r="W26" s="27"/>
      <c r="X26" s="27"/>
      <c r="Y26" s="27"/>
      <c r="Z26" s="27"/>
      <c r="AD26" s="27"/>
      <c r="AE26" s="27"/>
      <c r="AF26" s="27"/>
      <c r="AG26" s="27"/>
      <c r="AK26" s="27"/>
      <c r="AL26" s="27"/>
      <c r="AM26" s="27"/>
      <c r="AN26" s="27"/>
      <c r="AR26" s="27"/>
      <c r="AS26" s="27"/>
      <c r="AT26" s="27"/>
      <c r="AU26" s="27"/>
      <c r="AY26" s="27"/>
      <c r="AZ26" s="27"/>
      <c r="BA26" s="27"/>
      <c r="BB26" s="27"/>
      <c r="BF26" s="27"/>
      <c r="BG26" s="27"/>
      <c r="BH26" s="27"/>
      <c r="BI26" s="27"/>
      <c r="BM26" s="27"/>
      <c r="BN26" s="27"/>
      <c r="BO26" s="27"/>
      <c r="BP26" s="27"/>
      <c r="BT26" s="27"/>
      <c r="BU26" s="27"/>
      <c r="BV26" s="27"/>
      <c r="BW26" s="27"/>
      <c r="CA26" s="27"/>
      <c r="CB26" s="27"/>
      <c r="CC26" s="27"/>
      <c r="CD26" s="27"/>
      <c r="CH26" s="27"/>
      <c r="CI26" s="27"/>
      <c r="CJ26" s="27"/>
      <c r="CK26" s="27"/>
      <c r="CO26" s="27"/>
      <c r="CP26" s="27"/>
      <c r="CQ26" s="27"/>
      <c r="CR26" s="27"/>
      <c r="CT26" s="11"/>
      <c r="CU26" s="11"/>
      <c r="CV26" s="53"/>
      <c r="CW26" s="53"/>
      <c r="CX26" s="53"/>
      <c r="CY26" s="53"/>
      <c r="CZ26" s="11"/>
      <c r="DA26" s="11"/>
      <c r="DB26" s="11"/>
      <c r="DC26" s="55"/>
      <c r="DD26" s="51">
        <v>1.0</v>
      </c>
      <c r="DE26" s="27"/>
      <c r="DF26" s="30">
        <v>1.0</v>
      </c>
      <c r="DG26" s="11"/>
      <c r="DJ26" s="27"/>
      <c r="DK26" s="27"/>
      <c r="DL26" s="27"/>
      <c r="DM26" s="27"/>
      <c r="DQ26" s="27"/>
      <c r="DR26" s="27"/>
      <c r="DS26" s="27"/>
      <c r="DT26" s="27"/>
    </row>
    <row r="27" ht="15.75" customHeight="1" outlineLevel="1">
      <c r="B27" s="48" t="s">
        <v>56</v>
      </c>
      <c r="C27" s="48"/>
      <c r="D27" s="49" t="s">
        <v>183</v>
      </c>
      <c r="F27" s="26"/>
      <c r="G27" s="49" t="s">
        <v>84</v>
      </c>
      <c r="H27" s="27">
        <v>0.15</v>
      </c>
      <c r="J27" s="26">
        <f t="shared" si="15"/>
        <v>0</v>
      </c>
      <c r="K27" s="29">
        <f t="shared" ref="K27:L27" si="22">+MAXIFS($O27:$ABT27,$O$3:$ABT$3,K$3)</f>
        <v>0</v>
      </c>
      <c r="L27" s="29">
        <f t="shared" si="22"/>
        <v>0</v>
      </c>
      <c r="M27" s="26"/>
      <c r="P27" s="27"/>
      <c r="Q27" s="27"/>
      <c r="R27" s="27"/>
      <c r="S27" s="27"/>
      <c r="W27" s="27"/>
      <c r="X27" s="27"/>
      <c r="Y27" s="27"/>
      <c r="Z27" s="27"/>
      <c r="AD27" s="27"/>
      <c r="AE27" s="27"/>
      <c r="AF27" s="27"/>
      <c r="AG27" s="27"/>
      <c r="AK27" s="27"/>
      <c r="AL27" s="27"/>
      <c r="AM27" s="27"/>
      <c r="AN27" s="27"/>
      <c r="AR27" s="27"/>
      <c r="AS27" s="27"/>
      <c r="AT27" s="27"/>
      <c r="AU27" s="27"/>
      <c r="AY27" s="27"/>
      <c r="AZ27" s="27"/>
      <c r="BA27" s="27"/>
      <c r="BB27" s="27"/>
      <c r="BF27" s="27"/>
      <c r="BG27" s="27"/>
      <c r="BH27" s="27"/>
      <c r="BI27" s="27"/>
      <c r="BM27" s="27"/>
      <c r="BN27" s="27"/>
      <c r="BO27" s="27"/>
      <c r="BP27" s="27"/>
      <c r="BT27" s="27"/>
      <c r="BU27" s="27"/>
      <c r="BV27" s="27"/>
      <c r="BW27" s="27"/>
      <c r="CA27" s="27"/>
      <c r="CB27" s="27"/>
      <c r="CC27" s="27"/>
      <c r="CD27" s="27"/>
      <c r="CH27" s="27"/>
      <c r="CI27" s="27"/>
      <c r="CJ27" s="27"/>
      <c r="CK27" s="27"/>
      <c r="CO27" s="27"/>
      <c r="CP27" s="27"/>
      <c r="CQ27" s="27"/>
      <c r="CR27" s="27"/>
      <c r="CT27" s="11"/>
      <c r="CU27" s="11"/>
      <c r="CV27" s="53"/>
      <c r="CW27" s="53"/>
      <c r="CX27" s="53"/>
      <c r="CY27" s="53"/>
      <c r="CZ27" s="11"/>
      <c r="DA27" s="11"/>
      <c r="DB27" s="11"/>
      <c r="DC27" s="55"/>
      <c r="DD27" s="51">
        <v>1.0</v>
      </c>
      <c r="DE27" s="27"/>
      <c r="DF27" s="30">
        <v>1.0</v>
      </c>
      <c r="DG27" s="11"/>
      <c r="DJ27" s="27"/>
      <c r="DK27" s="27"/>
      <c r="DL27" s="27"/>
      <c r="DM27" s="27"/>
      <c r="DQ27" s="27"/>
      <c r="DR27" s="27"/>
      <c r="DS27" s="27"/>
      <c r="DT27" s="27"/>
    </row>
    <row r="28" ht="15.75" customHeight="1">
      <c r="CT28" s="11"/>
      <c r="CU28" s="11"/>
      <c r="CV28" s="11"/>
      <c r="CW28" s="11"/>
      <c r="CX28" s="11"/>
      <c r="CY28" s="11"/>
      <c r="CZ28" s="11"/>
      <c r="DA28" s="11"/>
      <c r="DB28" s="11"/>
      <c r="DC28" s="11"/>
      <c r="DD28" s="11"/>
      <c r="DE28" s="11"/>
      <c r="DF28" s="11"/>
      <c r="DG28" s="11"/>
    </row>
    <row r="29" ht="15.75" customHeight="1">
      <c r="B29" s="48" t="s">
        <v>26</v>
      </c>
      <c r="C29" s="48"/>
      <c r="D29" s="49" t="s">
        <v>189</v>
      </c>
      <c r="E29" s="49" t="s">
        <v>166</v>
      </c>
      <c r="F29" s="32">
        <v>3.0</v>
      </c>
      <c r="H29" s="27">
        <f>+SUM(H30:H37)</f>
        <v>1</v>
      </c>
      <c r="J29" s="28">
        <f>+SUM(J30:J35)</f>
        <v>38.5</v>
      </c>
      <c r="K29" s="29">
        <f>+SUMPRODUCT(H30:H37,K30:K37)</f>
        <v>1</v>
      </c>
      <c r="L29" s="29">
        <f>+SUMPRODUCT(H30:H37,L30:L37)</f>
        <v>1</v>
      </c>
      <c r="M29" s="26"/>
      <c r="O29" s="28">
        <f>+SUM(O30:O35)</f>
        <v>3</v>
      </c>
      <c r="V29" s="28">
        <f>+SUM(V30:V35)</f>
        <v>4.5</v>
      </c>
      <c r="AC29" s="28">
        <f>+SUM(AC30:AC37)</f>
        <v>3.25</v>
      </c>
      <c r="AJ29" s="28">
        <f>+SUM(AJ30:AJ37)</f>
        <v>3.25</v>
      </c>
      <c r="AQ29" s="28">
        <f>+SUM(AQ30:AQ37)</f>
        <v>3.25</v>
      </c>
      <c r="AX29" s="28">
        <f>+SUM(AX30:AX37)</f>
        <v>6.25</v>
      </c>
      <c r="BE29" s="39">
        <f>SUM(BE30:BE37)</f>
        <v>22</v>
      </c>
      <c r="CT29" s="11"/>
      <c r="CU29" s="11"/>
      <c r="CV29" s="11"/>
      <c r="CW29" s="11"/>
      <c r="CX29" s="11"/>
      <c r="CY29" s="11"/>
      <c r="CZ29" s="11"/>
      <c r="DA29" s="11"/>
      <c r="DB29" s="11"/>
      <c r="DC29" s="11"/>
      <c r="DD29" s="11"/>
      <c r="DE29" s="11"/>
      <c r="DF29" s="11"/>
      <c r="DG29" s="11"/>
    </row>
    <row r="30" ht="15.75" hidden="1" customHeight="1" outlineLevel="1">
      <c r="B30" s="48" t="s">
        <v>56</v>
      </c>
      <c r="C30" s="48"/>
      <c r="D30" s="49" t="s">
        <v>190</v>
      </c>
      <c r="F30" s="26"/>
      <c r="G30" s="49" t="s">
        <v>191</v>
      </c>
      <c r="H30" s="30">
        <v>0.1</v>
      </c>
      <c r="J30" s="26">
        <f t="shared" ref="J30:J37" si="24">+SUMIF($O$3:$ACN$3,J$3,$O30:$ACN30)</f>
        <v>6</v>
      </c>
      <c r="K30" s="29">
        <f t="shared" ref="K30:L30" si="23">+MAXIFS($O30:$ABT30,$O$3:$ABT$3,K$3)</f>
        <v>1</v>
      </c>
      <c r="L30" s="29">
        <f t="shared" si="23"/>
        <v>1</v>
      </c>
      <c r="M30" s="26"/>
      <c r="O30" s="49">
        <v>3.0</v>
      </c>
      <c r="P30" s="27"/>
      <c r="Q30" s="27"/>
      <c r="R30" s="30">
        <v>0.3</v>
      </c>
      <c r="S30" s="30">
        <v>0.8</v>
      </c>
      <c r="V30" s="49">
        <v>1.0</v>
      </c>
      <c r="W30" s="30">
        <v>0.8</v>
      </c>
      <c r="X30" s="30">
        <v>1.0</v>
      </c>
      <c r="Y30" s="30">
        <v>0.8</v>
      </c>
      <c r="Z30" s="30">
        <v>1.0</v>
      </c>
      <c r="AC30" s="48"/>
      <c r="AD30" s="30">
        <v>0.8</v>
      </c>
      <c r="AE30" s="30">
        <v>1.0</v>
      </c>
      <c r="AF30" s="30">
        <v>0.8</v>
      </c>
      <c r="AG30" s="30">
        <v>1.0</v>
      </c>
      <c r="AK30" s="30">
        <v>0.8</v>
      </c>
      <c r="AL30" s="30">
        <v>1.0</v>
      </c>
      <c r="AM30" s="30">
        <v>0.8</v>
      </c>
      <c r="AN30" s="30">
        <v>1.0</v>
      </c>
      <c r="AQ30" s="48"/>
      <c r="AR30" s="30">
        <v>0.8</v>
      </c>
      <c r="AS30" s="30">
        <v>1.0</v>
      </c>
      <c r="AT30" s="30">
        <v>0.8</v>
      </c>
      <c r="AU30" s="30">
        <v>1.0</v>
      </c>
      <c r="AX30" s="5">
        <v>1.0</v>
      </c>
      <c r="AY30" s="30">
        <v>1.0</v>
      </c>
      <c r="AZ30" s="30">
        <v>1.0</v>
      </c>
      <c r="BA30" s="30">
        <v>1.0</v>
      </c>
      <c r="BB30" s="30">
        <v>1.0</v>
      </c>
      <c r="BE30" s="5">
        <v>1.0</v>
      </c>
      <c r="BF30" s="30">
        <v>1.0</v>
      </c>
      <c r="BG30" s="30">
        <v>1.0</v>
      </c>
      <c r="BH30" s="30">
        <v>1.0</v>
      </c>
      <c r="BI30" s="30">
        <v>1.0</v>
      </c>
      <c r="BJ30" s="5" t="s">
        <v>192</v>
      </c>
      <c r="BM30" s="27"/>
      <c r="BN30" s="27"/>
      <c r="BO30" s="27"/>
      <c r="BP30" s="27"/>
      <c r="BT30" s="27"/>
      <c r="BU30" s="27"/>
      <c r="BV30" s="27"/>
      <c r="BW30" s="27"/>
      <c r="CA30" s="27"/>
      <c r="CB30" s="27"/>
      <c r="CC30" s="27"/>
      <c r="CD30" s="27"/>
      <c r="CH30" s="27"/>
      <c r="CI30" s="27"/>
      <c r="CJ30" s="27"/>
      <c r="CK30" s="27"/>
      <c r="CO30" s="27"/>
      <c r="CP30" s="27"/>
      <c r="CQ30" s="27"/>
      <c r="CR30" s="27"/>
      <c r="CT30" s="11"/>
      <c r="CU30" s="11"/>
      <c r="CV30" s="53"/>
      <c r="CW30" s="53"/>
      <c r="CX30" s="53"/>
      <c r="CY30" s="53"/>
      <c r="CZ30" s="11"/>
      <c r="DA30" s="11"/>
      <c r="DB30" s="11"/>
      <c r="DC30" s="53"/>
      <c r="DD30" s="53"/>
      <c r="DE30" s="53"/>
      <c r="DF30" s="53"/>
      <c r="DG30" s="11"/>
      <c r="DJ30" s="27"/>
      <c r="DK30" s="27"/>
      <c r="DL30" s="27"/>
      <c r="DM30" s="27"/>
      <c r="DQ30" s="27"/>
      <c r="DR30" s="27"/>
      <c r="DS30" s="27"/>
      <c r="DT30" s="27"/>
    </row>
    <row r="31" ht="15.75" hidden="1" customHeight="1" outlineLevel="1">
      <c r="B31" s="48" t="s">
        <v>56</v>
      </c>
      <c r="C31" s="48"/>
      <c r="D31" s="49" t="s">
        <v>190</v>
      </c>
      <c r="F31" s="26"/>
      <c r="G31" s="49" t="s">
        <v>193</v>
      </c>
      <c r="H31" s="30">
        <v>0.1</v>
      </c>
      <c r="J31" s="26">
        <f t="shared" si="24"/>
        <v>5.5</v>
      </c>
      <c r="K31" s="29">
        <f t="shared" ref="K31:L31" si="25">+MAXIFS($O31:$ABT31,$O$3:$ABT$3,K$3)</f>
        <v>1</v>
      </c>
      <c r="L31" s="29">
        <f t="shared" si="25"/>
        <v>1</v>
      </c>
      <c r="M31" s="26"/>
      <c r="O31" s="48"/>
      <c r="P31" s="27"/>
      <c r="Q31" s="27"/>
      <c r="R31" s="27"/>
      <c r="S31" s="30"/>
      <c r="V31" s="5">
        <v>3.5</v>
      </c>
      <c r="W31" s="30">
        <v>0.3</v>
      </c>
      <c r="X31" s="30">
        <v>1.0</v>
      </c>
      <c r="Y31" s="30">
        <v>0.3</v>
      </c>
      <c r="Z31" s="30">
        <v>1.0</v>
      </c>
      <c r="AD31" s="30">
        <v>0.3</v>
      </c>
      <c r="AE31" s="30">
        <v>1.0</v>
      </c>
      <c r="AF31" s="30">
        <v>0.3</v>
      </c>
      <c r="AG31" s="30">
        <v>1.0</v>
      </c>
      <c r="AK31" s="30">
        <v>0.3</v>
      </c>
      <c r="AL31" s="30">
        <v>1.0</v>
      </c>
      <c r="AM31" s="30">
        <v>0.3</v>
      </c>
      <c r="AN31" s="30">
        <v>1.0</v>
      </c>
      <c r="AQ31" s="48"/>
      <c r="AR31" s="30">
        <v>0.3</v>
      </c>
      <c r="AS31" s="30">
        <v>1.0</v>
      </c>
      <c r="AT31" s="30">
        <v>0.3</v>
      </c>
      <c r="AU31" s="30">
        <v>1.0</v>
      </c>
      <c r="AX31" s="5">
        <v>1.0</v>
      </c>
      <c r="AY31" s="30">
        <v>1.0</v>
      </c>
      <c r="AZ31" s="30">
        <v>1.0</v>
      </c>
      <c r="BA31" s="30">
        <v>1.0</v>
      </c>
      <c r="BB31" s="30">
        <v>1.0</v>
      </c>
      <c r="BE31" s="5">
        <v>1.0</v>
      </c>
      <c r="BF31" s="30">
        <v>1.0</v>
      </c>
      <c r="BG31" s="30">
        <v>1.0</v>
      </c>
      <c r="BH31" s="30">
        <v>1.0</v>
      </c>
      <c r="BI31" s="30">
        <v>1.0</v>
      </c>
      <c r="BM31" s="27"/>
      <c r="BN31" s="27"/>
      <c r="BO31" s="27"/>
      <c r="BP31" s="27"/>
      <c r="BT31" s="27"/>
      <c r="BU31" s="27"/>
      <c r="BV31" s="27"/>
      <c r="BW31" s="27"/>
      <c r="CA31" s="27"/>
      <c r="CB31" s="27"/>
      <c r="CC31" s="27"/>
      <c r="CD31" s="27"/>
      <c r="CH31" s="27"/>
      <c r="CI31" s="27"/>
      <c r="CJ31" s="27"/>
      <c r="CK31" s="27"/>
      <c r="CO31" s="27"/>
      <c r="CP31" s="27"/>
      <c r="CQ31" s="27"/>
      <c r="CR31" s="27"/>
      <c r="CT31" s="11"/>
      <c r="CU31" s="11"/>
      <c r="CV31" s="53"/>
      <c r="CW31" s="53"/>
      <c r="CX31" s="53"/>
      <c r="CY31" s="53"/>
      <c r="CZ31" s="11"/>
      <c r="DA31" s="11"/>
      <c r="DB31" s="11"/>
      <c r="DC31" s="53"/>
      <c r="DD31" s="53"/>
      <c r="DE31" s="53"/>
      <c r="DF31" s="53"/>
      <c r="DG31" s="11"/>
      <c r="DJ31" s="27"/>
      <c r="DK31" s="27"/>
      <c r="DL31" s="27"/>
      <c r="DM31" s="27"/>
      <c r="DQ31" s="27"/>
      <c r="DR31" s="27"/>
      <c r="DS31" s="27"/>
      <c r="DT31" s="27"/>
    </row>
    <row r="32" ht="15.75" hidden="1" customHeight="1" outlineLevel="1">
      <c r="B32" s="48" t="s">
        <v>56</v>
      </c>
      <c r="C32" s="48"/>
      <c r="D32" s="49" t="s">
        <v>190</v>
      </c>
      <c r="F32" s="26"/>
      <c r="G32" s="49" t="s">
        <v>194</v>
      </c>
      <c r="H32" s="30">
        <v>0.15</v>
      </c>
      <c r="J32" s="26">
        <f t="shared" si="24"/>
        <v>8.5</v>
      </c>
      <c r="K32" s="29">
        <f t="shared" ref="K32:L32" si="26">+MAXIFS($O32:$ABT32,$O$3:$ABT$3,K$3)</f>
        <v>1</v>
      </c>
      <c r="L32" s="29">
        <f t="shared" si="26"/>
        <v>1</v>
      </c>
      <c r="M32" s="26"/>
      <c r="O32" s="48"/>
      <c r="P32" s="27"/>
      <c r="Q32" s="27"/>
      <c r="R32" s="27"/>
      <c r="S32" s="30"/>
      <c r="W32" s="27"/>
      <c r="X32" s="30"/>
      <c r="Y32" s="27"/>
      <c r="Z32" s="30"/>
      <c r="AC32" s="5">
        <v>3.25</v>
      </c>
      <c r="AD32" s="30">
        <v>0.2</v>
      </c>
      <c r="AE32" s="30">
        <v>0.8</v>
      </c>
      <c r="AF32" s="30">
        <v>0.2</v>
      </c>
      <c r="AG32" s="30">
        <v>0.8</v>
      </c>
      <c r="AJ32" s="5">
        <v>3.25</v>
      </c>
      <c r="AK32" s="30">
        <v>0.5</v>
      </c>
      <c r="AL32" s="30">
        <v>1.0</v>
      </c>
      <c r="AM32" s="30">
        <v>0.5</v>
      </c>
      <c r="AN32" s="30">
        <v>1.0</v>
      </c>
      <c r="AQ32" s="48"/>
      <c r="AR32" s="30">
        <v>0.5</v>
      </c>
      <c r="AS32" s="30">
        <v>1.0</v>
      </c>
      <c r="AT32" s="30">
        <v>0.5</v>
      </c>
      <c r="AU32" s="30">
        <v>1.0</v>
      </c>
      <c r="AX32" s="5">
        <v>1.0</v>
      </c>
      <c r="AY32" s="30">
        <v>1.0</v>
      </c>
      <c r="AZ32" s="30">
        <v>1.0</v>
      </c>
      <c r="BA32" s="30">
        <v>1.0</v>
      </c>
      <c r="BB32" s="30">
        <v>1.0</v>
      </c>
      <c r="BE32" s="5">
        <v>1.0</v>
      </c>
      <c r="BF32" s="30">
        <v>1.0</v>
      </c>
      <c r="BG32" s="30">
        <v>1.0</v>
      </c>
      <c r="BH32" s="30">
        <v>1.0</v>
      </c>
      <c r="BI32" s="30">
        <v>1.0</v>
      </c>
      <c r="BM32" s="27"/>
      <c r="BN32" s="27"/>
      <c r="BO32" s="27"/>
      <c r="BP32" s="27"/>
      <c r="BT32" s="27"/>
      <c r="BU32" s="27"/>
      <c r="BV32" s="27"/>
      <c r="BW32" s="27"/>
      <c r="CA32" s="27"/>
      <c r="CB32" s="27"/>
      <c r="CC32" s="27"/>
      <c r="CD32" s="27"/>
      <c r="CH32" s="27"/>
      <c r="CI32" s="27"/>
      <c r="CJ32" s="27"/>
      <c r="CK32" s="27"/>
      <c r="CO32" s="27"/>
      <c r="CP32" s="27"/>
      <c r="CQ32" s="27"/>
      <c r="CR32" s="27"/>
      <c r="CT32" s="11"/>
      <c r="CU32" s="11"/>
      <c r="CV32" s="53"/>
      <c r="CW32" s="53"/>
      <c r="CX32" s="53"/>
      <c r="CY32" s="53"/>
      <c r="CZ32" s="11"/>
      <c r="DA32" s="11"/>
      <c r="DB32" s="11"/>
      <c r="DC32" s="53"/>
      <c r="DD32" s="53"/>
      <c r="DE32" s="53"/>
      <c r="DF32" s="53"/>
      <c r="DG32" s="11"/>
      <c r="DJ32" s="27"/>
      <c r="DK32" s="27"/>
      <c r="DL32" s="27"/>
      <c r="DM32" s="27"/>
      <c r="DQ32" s="27"/>
      <c r="DR32" s="27"/>
      <c r="DS32" s="27"/>
      <c r="DT32" s="27"/>
    </row>
    <row r="33" ht="15.75" hidden="1" customHeight="1" outlineLevel="1">
      <c r="B33" s="48" t="s">
        <v>56</v>
      </c>
      <c r="C33" s="48"/>
      <c r="D33" s="49" t="s">
        <v>190</v>
      </c>
      <c r="F33" s="26"/>
      <c r="G33" s="49" t="s">
        <v>195</v>
      </c>
      <c r="H33" s="30">
        <v>0.1</v>
      </c>
      <c r="J33" s="26">
        <f t="shared" si="24"/>
        <v>4.25</v>
      </c>
      <c r="K33" s="29">
        <f t="shared" ref="K33:L33" si="27">+MAXIFS($O33:$ABT33,$O$3:$ABT$3,K$3)</f>
        <v>1</v>
      </c>
      <c r="L33" s="29">
        <f t="shared" si="27"/>
        <v>1</v>
      </c>
      <c r="M33" s="26"/>
      <c r="O33" s="48"/>
      <c r="P33" s="27"/>
      <c r="Q33" s="27"/>
      <c r="R33" s="27"/>
      <c r="S33" s="27"/>
      <c r="W33" s="27"/>
      <c r="X33" s="27"/>
      <c r="Y33" s="27"/>
      <c r="Z33" s="30"/>
      <c r="AD33" s="27"/>
      <c r="AE33" s="30"/>
      <c r="AF33" s="27"/>
      <c r="AG33" s="30"/>
      <c r="AK33" s="27"/>
      <c r="AL33" s="30">
        <v>0.8</v>
      </c>
      <c r="AM33" s="27"/>
      <c r="AN33" s="30">
        <v>0.8</v>
      </c>
      <c r="AQ33" s="49">
        <v>3.25</v>
      </c>
      <c r="AR33" s="27"/>
      <c r="AS33" s="30">
        <v>1.0</v>
      </c>
      <c r="AT33" s="27"/>
      <c r="AU33" s="30">
        <v>1.0</v>
      </c>
      <c r="AY33" s="27"/>
      <c r="AZ33" s="30">
        <v>1.0</v>
      </c>
      <c r="BA33" s="30">
        <v>0.3</v>
      </c>
      <c r="BB33" s="30">
        <v>1.0</v>
      </c>
      <c r="BE33" s="5">
        <v>1.0</v>
      </c>
      <c r="BF33" s="30">
        <v>1.0</v>
      </c>
      <c r="BG33" s="30">
        <v>1.0</v>
      </c>
      <c r="BH33" s="30">
        <v>1.0</v>
      </c>
      <c r="BI33" s="30">
        <v>1.0</v>
      </c>
      <c r="BM33" s="27"/>
      <c r="BN33" s="27"/>
      <c r="BO33" s="27"/>
      <c r="BP33" s="27"/>
      <c r="BT33" s="27"/>
      <c r="BU33" s="27"/>
      <c r="BV33" s="27"/>
      <c r="BW33" s="27"/>
      <c r="CA33" s="27"/>
      <c r="CB33" s="27"/>
      <c r="CC33" s="27"/>
      <c r="CD33" s="27"/>
      <c r="CH33" s="27"/>
      <c r="CI33" s="27"/>
      <c r="CJ33" s="27"/>
      <c r="CK33" s="27"/>
      <c r="CO33" s="27"/>
      <c r="CP33" s="27"/>
      <c r="CQ33" s="27"/>
      <c r="CR33" s="27"/>
      <c r="CT33" s="11"/>
      <c r="CU33" s="11"/>
      <c r="CV33" s="53"/>
      <c r="CW33" s="53"/>
      <c r="CX33" s="53"/>
      <c r="CY33" s="53"/>
      <c r="CZ33" s="11"/>
      <c r="DA33" s="11"/>
      <c r="DB33" s="11"/>
      <c r="DC33" s="53"/>
      <c r="DD33" s="53"/>
      <c r="DE33" s="53"/>
      <c r="DF33" s="53"/>
      <c r="DG33" s="11"/>
      <c r="DJ33" s="27"/>
      <c r="DK33" s="27"/>
      <c r="DL33" s="27"/>
      <c r="DM33" s="27"/>
      <c r="DQ33" s="27"/>
      <c r="DR33" s="27"/>
      <c r="DS33" s="27"/>
      <c r="DT33" s="27"/>
    </row>
    <row r="34" ht="15.75" hidden="1" customHeight="1" outlineLevel="1">
      <c r="B34" s="48" t="s">
        <v>56</v>
      </c>
      <c r="C34" s="48"/>
      <c r="D34" s="49" t="s">
        <v>190</v>
      </c>
      <c r="F34" s="26"/>
      <c r="G34" s="49" t="s">
        <v>196</v>
      </c>
      <c r="H34" s="30">
        <v>0.1</v>
      </c>
      <c r="J34" s="26">
        <f t="shared" si="24"/>
        <v>4.25</v>
      </c>
      <c r="K34" s="29">
        <f t="shared" ref="K34:L34" si="28">+MAXIFS($O34:$ABT34,$O$3:$ABT$3,K$3)</f>
        <v>1</v>
      </c>
      <c r="L34" s="29">
        <f t="shared" si="28"/>
        <v>1</v>
      </c>
      <c r="M34" s="26"/>
      <c r="O34" s="48"/>
      <c r="P34" s="27"/>
      <c r="Q34" s="27"/>
      <c r="R34" s="27"/>
      <c r="S34" s="27"/>
      <c r="W34" s="27"/>
      <c r="X34" s="27"/>
      <c r="Y34" s="27"/>
      <c r="Z34" s="30"/>
      <c r="AD34" s="27"/>
      <c r="AE34" s="30"/>
      <c r="AF34" s="27"/>
      <c r="AG34" s="30"/>
      <c r="AK34" s="27"/>
      <c r="AL34" s="30">
        <v>0.5</v>
      </c>
      <c r="AM34" s="27"/>
      <c r="AN34" s="30">
        <v>0.5</v>
      </c>
      <c r="AQ34" s="48"/>
      <c r="AR34" s="27"/>
      <c r="AS34" s="30">
        <v>0.8</v>
      </c>
      <c r="AT34" s="27"/>
      <c r="AU34" s="30">
        <v>0.8</v>
      </c>
      <c r="AX34" s="5">
        <v>3.25</v>
      </c>
      <c r="AY34" s="27"/>
      <c r="AZ34" s="30">
        <v>1.0</v>
      </c>
      <c r="BA34" s="27"/>
      <c r="BB34" s="30">
        <v>1.0</v>
      </c>
      <c r="BE34" s="5">
        <v>1.0</v>
      </c>
      <c r="BF34" s="30">
        <v>1.0</v>
      </c>
      <c r="BG34" s="30">
        <v>1.0</v>
      </c>
      <c r="BH34" s="30">
        <v>1.0</v>
      </c>
      <c r="BI34" s="30">
        <v>1.0</v>
      </c>
      <c r="BM34" s="27"/>
      <c r="BN34" s="27"/>
      <c r="BO34" s="27"/>
      <c r="BP34" s="27"/>
      <c r="BT34" s="27"/>
      <c r="BU34" s="27"/>
      <c r="BV34" s="27"/>
      <c r="BW34" s="27"/>
      <c r="CA34" s="27"/>
      <c r="CB34" s="27"/>
      <c r="CC34" s="27"/>
      <c r="CD34" s="27"/>
      <c r="CH34" s="27"/>
      <c r="CI34" s="27"/>
      <c r="CJ34" s="27"/>
      <c r="CK34" s="27"/>
      <c r="CO34" s="27"/>
      <c r="CP34" s="27"/>
      <c r="CQ34" s="27"/>
      <c r="CR34" s="27"/>
      <c r="CT34" s="11"/>
      <c r="CU34" s="11"/>
      <c r="CV34" s="53"/>
      <c r="CW34" s="53"/>
      <c r="CX34" s="53"/>
      <c r="CY34" s="53"/>
      <c r="CZ34" s="11"/>
      <c r="DA34" s="11"/>
      <c r="DB34" s="11"/>
      <c r="DC34" s="53"/>
      <c r="DD34" s="53"/>
      <c r="DE34" s="53"/>
      <c r="DF34" s="53"/>
      <c r="DG34" s="11"/>
      <c r="DJ34" s="27"/>
      <c r="DK34" s="27"/>
      <c r="DL34" s="27"/>
      <c r="DM34" s="27"/>
      <c r="DQ34" s="27"/>
      <c r="DR34" s="27"/>
      <c r="DS34" s="27"/>
      <c r="DT34" s="27"/>
    </row>
    <row r="35" ht="15.75" hidden="1" customHeight="1" outlineLevel="1">
      <c r="B35" s="48" t="s">
        <v>56</v>
      </c>
      <c r="C35" s="48"/>
      <c r="D35" s="49" t="s">
        <v>190</v>
      </c>
      <c r="F35" s="26"/>
      <c r="G35" s="49" t="s">
        <v>197</v>
      </c>
      <c r="H35" s="30">
        <v>0.15</v>
      </c>
      <c r="J35" s="26">
        <f t="shared" si="24"/>
        <v>10</v>
      </c>
      <c r="K35" s="29">
        <f t="shared" ref="K35:L35" si="29">+MAXIFS($O35:$ABT35,$O$3:$ABT$3,K$3)</f>
        <v>1</v>
      </c>
      <c r="L35" s="29">
        <f t="shared" si="29"/>
        <v>1</v>
      </c>
      <c r="M35" s="26"/>
      <c r="P35" s="27"/>
      <c r="Q35" s="27"/>
      <c r="R35" s="27"/>
      <c r="S35" s="27"/>
      <c r="W35" s="27"/>
      <c r="X35" s="27"/>
      <c r="Y35" s="27"/>
      <c r="Z35" s="30"/>
      <c r="AD35" s="27"/>
      <c r="AE35" s="30"/>
      <c r="AF35" s="27"/>
      <c r="AG35" s="30"/>
      <c r="AK35" s="27"/>
      <c r="AL35" s="30"/>
      <c r="AM35" s="27"/>
      <c r="AN35" s="30"/>
      <c r="AQ35" s="48"/>
      <c r="AR35" s="27"/>
      <c r="AS35" s="30">
        <v>0.5</v>
      </c>
      <c r="AT35" s="27"/>
      <c r="AU35" s="30">
        <v>0.5</v>
      </c>
      <c r="AY35" s="27"/>
      <c r="AZ35" s="30">
        <v>0.8</v>
      </c>
      <c r="BA35" s="27"/>
      <c r="BB35" s="30">
        <v>0.8</v>
      </c>
      <c r="BE35" s="5">
        <v>10.0</v>
      </c>
      <c r="BF35" s="30">
        <v>1.0</v>
      </c>
      <c r="BG35" s="30">
        <v>1.0</v>
      </c>
      <c r="BH35" s="30">
        <v>1.0</v>
      </c>
      <c r="BI35" s="30">
        <v>1.0</v>
      </c>
      <c r="BM35" s="27"/>
      <c r="BN35" s="27"/>
      <c r="BO35" s="27"/>
      <c r="BP35" s="27"/>
      <c r="BT35" s="27"/>
      <c r="BU35" s="27"/>
      <c r="BV35" s="27"/>
      <c r="BW35" s="27"/>
      <c r="CA35" s="27"/>
      <c r="CB35" s="27"/>
      <c r="CC35" s="27"/>
      <c r="CD35" s="27"/>
      <c r="CH35" s="27"/>
      <c r="CI35" s="27"/>
      <c r="CJ35" s="27"/>
      <c r="CK35" s="27"/>
      <c r="CO35" s="27"/>
      <c r="CP35" s="27"/>
      <c r="CQ35" s="27"/>
      <c r="CR35" s="27"/>
      <c r="CT35" s="11"/>
      <c r="CU35" s="11"/>
      <c r="CV35" s="53"/>
      <c r="CW35" s="53"/>
      <c r="CX35" s="53"/>
      <c r="CY35" s="53"/>
      <c r="CZ35" s="11"/>
      <c r="DA35" s="11"/>
      <c r="DB35" s="11"/>
      <c r="DC35" s="53"/>
      <c r="DD35" s="53"/>
      <c r="DE35" s="53"/>
      <c r="DF35" s="53"/>
      <c r="DG35" s="11"/>
      <c r="DJ35" s="27"/>
      <c r="DK35" s="27"/>
      <c r="DL35" s="27"/>
      <c r="DM35" s="27"/>
      <c r="DQ35" s="27"/>
      <c r="DR35" s="27"/>
      <c r="DS35" s="27"/>
      <c r="DT35" s="27"/>
    </row>
    <row r="36" ht="15.75" hidden="1" customHeight="1" outlineLevel="1">
      <c r="B36" s="48" t="s">
        <v>56</v>
      </c>
      <c r="C36" s="48"/>
      <c r="D36" s="49" t="s">
        <v>190</v>
      </c>
      <c r="F36" s="26"/>
      <c r="G36" s="49" t="s">
        <v>198</v>
      </c>
      <c r="H36" s="30">
        <v>0.15</v>
      </c>
      <c r="J36" s="26">
        <f t="shared" si="24"/>
        <v>5</v>
      </c>
      <c r="K36" s="29">
        <f t="shared" ref="K36:L36" si="30">+MAXIFS($O36:$ABT36,$O$3:$ABT$3,K$3)</f>
        <v>1</v>
      </c>
      <c r="L36" s="29">
        <f t="shared" si="30"/>
        <v>1</v>
      </c>
      <c r="M36" s="26"/>
      <c r="P36" s="27"/>
      <c r="Q36" s="27"/>
      <c r="R36" s="27"/>
      <c r="S36" s="27"/>
      <c r="W36" s="27"/>
      <c r="X36" s="27"/>
      <c r="Y36" s="27"/>
      <c r="Z36" s="30"/>
      <c r="AD36" s="27"/>
      <c r="AE36" s="30"/>
      <c r="AF36" s="27"/>
      <c r="AG36" s="30"/>
      <c r="AK36" s="27"/>
      <c r="AL36" s="30"/>
      <c r="AM36" s="27"/>
      <c r="AN36" s="30"/>
      <c r="AQ36" s="48"/>
      <c r="AR36" s="27"/>
      <c r="AS36" s="30">
        <v>0.5</v>
      </c>
      <c r="AT36" s="27"/>
      <c r="AU36" s="30">
        <v>0.5</v>
      </c>
      <c r="AY36" s="27"/>
      <c r="AZ36" s="30">
        <v>0.8</v>
      </c>
      <c r="BA36" s="27"/>
      <c r="BB36" s="30">
        <v>0.8</v>
      </c>
      <c r="BE36" s="5">
        <v>5.0</v>
      </c>
      <c r="BF36" s="30">
        <v>1.0</v>
      </c>
      <c r="BG36" s="30">
        <v>1.0</v>
      </c>
      <c r="BH36" s="30">
        <v>1.0</v>
      </c>
      <c r="BI36" s="30">
        <v>1.0</v>
      </c>
      <c r="BM36" s="27"/>
      <c r="BN36" s="27"/>
      <c r="BO36" s="27"/>
      <c r="BP36" s="27"/>
      <c r="BT36" s="27"/>
      <c r="BU36" s="27"/>
      <c r="BV36" s="27"/>
      <c r="BW36" s="27"/>
      <c r="CA36" s="27"/>
      <c r="CB36" s="27"/>
      <c r="CC36" s="27"/>
      <c r="CD36" s="27"/>
      <c r="CH36" s="27"/>
      <c r="CI36" s="27"/>
      <c r="CJ36" s="27"/>
      <c r="CK36" s="27"/>
      <c r="CO36" s="27"/>
      <c r="CP36" s="27"/>
      <c r="CQ36" s="27"/>
      <c r="CR36" s="27"/>
      <c r="CT36" s="11"/>
      <c r="CU36" s="11"/>
      <c r="CV36" s="53"/>
      <c r="CW36" s="53"/>
      <c r="CX36" s="53"/>
      <c r="CY36" s="53"/>
      <c r="CZ36" s="11"/>
      <c r="DA36" s="11"/>
      <c r="DB36" s="11"/>
      <c r="DC36" s="53"/>
      <c r="DD36" s="53"/>
      <c r="DE36" s="53"/>
      <c r="DF36" s="53"/>
      <c r="DG36" s="11"/>
      <c r="DJ36" s="27"/>
      <c r="DK36" s="27"/>
      <c r="DL36" s="27"/>
      <c r="DM36" s="27"/>
      <c r="DQ36" s="27"/>
      <c r="DR36" s="27"/>
      <c r="DS36" s="27"/>
      <c r="DT36" s="27"/>
    </row>
    <row r="37" ht="15.75" hidden="1" customHeight="1" outlineLevel="1">
      <c r="B37" s="48" t="s">
        <v>56</v>
      </c>
      <c r="C37" s="48"/>
      <c r="D37" s="49" t="s">
        <v>190</v>
      </c>
      <c r="F37" s="26"/>
      <c r="G37" s="49" t="s">
        <v>199</v>
      </c>
      <c r="H37" s="30">
        <v>0.15</v>
      </c>
      <c r="J37" s="26">
        <f t="shared" si="24"/>
        <v>2</v>
      </c>
      <c r="K37" s="29">
        <f t="shared" ref="K37:L37" si="31">+MAXIFS($O37:$ABT37,$O$3:$ABT$3,K$3)</f>
        <v>1</v>
      </c>
      <c r="L37" s="29">
        <f t="shared" si="31"/>
        <v>1</v>
      </c>
      <c r="M37" s="26"/>
      <c r="P37" s="27"/>
      <c r="Q37" s="27"/>
      <c r="R37" s="27"/>
      <c r="S37" s="27"/>
      <c r="W37" s="27"/>
      <c r="X37" s="27"/>
      <c r="Y37" s="27"/>
      <c r="Z37" s="30"/>
      <c r="AD37" s="27"/>
      <c r="AE37" s="30"/>
      <c r="AF37" s="27"/>
      <c r="AG37" s="30"/>
      <c r="AK37" s="27"/>
      <c r="AL37" s="30"/>
      <c r="AM37" s="27"/>
      <c r="AN37" s="30"/>
      <c r="AQ37" s="48"/>
      <c r="AR37" s="27"/>
      <c r="AS37" s="30"/>
      <c r="AT37" s="27"/>
      <c r="AU37" s="30"/>
      <c r="AY37" s="27"/>
      <c r="AZ37" s="30">
        <v>0.5</v>
      </c>
      <c r="BA37" s="27"/>
      <c r="BB37" s="30">
        <v>0.5</v>
      </c>
      <c r="BE37" s="5">
        <v>2.0</v>
      </c>
      <c r="BF37" s="30">
        <v>1.0</v>
      </c>
      <c r="BG37" s="30">
        <v>1.0</v>
      </c>
      <c r="BH37" s="30">
        <v>1.0</v>
      </c>
      <c r="BI37" s="30">
        <v>1.0</v>
      </c>
      <c r="BM37" s="27"/>
      <c r="BN37" s="27"/>
      <c r="BO37" s="27"/>
      <c r="BP37" s="27"/>
      <c r="BT37" s="27"/>
      <c r="BU37" s="27"/>
      <c r="BV37" s="27"/>
      <c r="BW37" s="27"/>
      <c r="CA37" s="27"/>
      <c r="CB37" s="27"/>
      <c r="CC37" s="27"/>
      <c r="CD37" s="27"/>
      <c r="CH37" s="27"/>
      <c r="CI37" s="27"/>
      <c r="CJ37" s="27"/>
      <c r="CK37" s="27"/>
      <c r="CO37" s="27"/>
      <c r="CP37" s="27"/>
      <c r="CQ37" s="27"/>
      <c r="CR37" s="27"/>
      <c r="CT37" s="11"/>
      <c r="CU37" s="11"/>
      <c r="CV37" s="53"/>
      <c r="CW37" s="53"/>
      <c r="CX37" s="53"/>
      <c r="CY37" s="53"/>
      <c r="CZ37" s="11"/>
      <c r="DA37" s="11"/>
      <c r="DB37" s="11"/>
      <c r="DC37" s="53"/>
      <c r="DD37" s="53"/>
      <c r="DE37" s="53"/>
      <c r="DF37" s="53"/>
      <c r="DG37" s="11"/>
      <c r="DJ37" s="27"/>
      <c r="DK37" s="27"/>
      <c r="DL37" s="27"/>
      <c r="DM37" s="27"/>
      <c r="DQ37" s="27"/>
      <c r="DR37" s="27"/>
      <c r="DS37" s="27"/>
      <c r="DT37" s="27"/>
    </row>
    <row r="38" ht="15.75" customHeight="1" collapsed="1">
      <c r="CT38" s="11"/>
      <c r="CU38" s="11"/>
      <c r="CV38" s="11"/>
      <c r="CW38" s="11"/>
      <c r="CX38" s="11"/>
      <c r="CY38" s="11"/>
      <c r="CZ38" s="11"/>
      <c r="DA38" s="11"/>
      <c r="DB38" s="11"/>
      <c r="DC38" s="11"/>
      <c r="DD38" s="11"/>
      <c r="DE38" s="11"/>
      <c r="DF38" s="11"/>
      <c r="DG38" s="11"/>
    </row>
    <row r="39" ht="15.75" customHeight="1">
      <c r="B39" s="48" t="s">
        <v>26</v>
      </c>
      <c r="C39" s="48"/>
      <c r="D39" s="49" t="s">
        <v>189</v>
      </c>
      <c r="E39" s="49" t="s">
        <v>173</v>
      </c>
      <c r="F39" s="32">
        <v>3.0</v>
      </c>
      <c r="H39" s="27">
        <f>+SUM(H40:H45)</f>
        <v>0.4</v>
      </c>
      <c r="J39" s="28">
        <f>+SUM(J40:J45)</f>
        <v>0</v>
      </c>
      <c r="K39" s="29">
        <f>+SUMPRODUCT(H40:H45,K40:K45)</f>
        <v>0</v>
      </c>
      <c r="L39" s="29">
        <f>+SUMPRODUCT(H40:H45,L40:L45)</f>
        <v>0</v>
      </c>
      <c r="M39" s="26"/>
      <c r="O39" s="28"/>
      <c r="V39" s="28"/>
      <c r="AC39" s="28"/>
      <c r="AJ39" s="28"/>
      <c r="AQ39" s="28"/>
      <c r="CT39" s="11"/>
      <c r="CU39" s="11"/>
      <c r="CV39" s="11"/>
      <c r="CW39" s="11"/>
      <c r="CX39" s="11"/>
      <c r="CY39" s="11"/>
      <c r="CZ39" s="11"/>
      <c r="DA39" s="11"/>
      <c r="DB39" s="11"/>
      <c r="DC39" s="11"/>
      <c r="DD39" s="11"/>
      <c r="DE39" s="11"/>
      <c r="DF39" s="11"/>
      <c r="DG39" s="11"/>
    </row>
    <row r="40" ht="15.75" customHeight="1" outlineLevel="1">
      <c r="B40" s="48" t="s">
        <v>56</v>
      </c>
      <c r="C40" s="48"/>
      <c r="D40" s="49" t="s">
        <v>200</v>
      </c>
      <c r="F40" s="26"/>
      <c r="G40" s="49" t="s">
        <v>77</v>
      </c>
      <c r="H40" s="27">
        <v>0.1</v>
      </c>
      <c r="J40" s="26">
        <f t="shared" ref="J40:J45" si="33">+SUMIF($O$3:$ACN$3,J$3,$O40:$ACN40)</f>
        <v>0</v>
      </c>
      <c r="K40" s="29">
        <f t="shared" ref="K40:L40" si="32">+MAXIFS($O40:$ABT40,$O$3:$ABT$3,K$3)</f>
        <v>0</v>
      </c>
      <c r="L40" s="29">
        <f t="shared" si="32"/>
        <v>0</v>
      </c>
      <c r="M40" s="26"/>
      <c r="O40" s="48"/>
      <c r="P40" s="27"/>
      <c r="Q40" s="27"/>
      <c r="R40" s="27"/>
      <c r="S40" s="27"/>
      <c r="V40" s="48"/>
      <c r="W40" s="27"/>
      <c r="X40" s="27"/>
      <c r="Y40" s="27"/>
      <c r="Z40" s="27"/>
      <c r="AC40" s="48"/>
      <c r="AD40" s="27"/>
      <c r="AE40" s="27"/>
      <c r="AF40" s="27"/>
      <c r="AG40" s="27"/>
      <c r="AK40" s="27"/>
      <c r="AL40" s="27"/>
      <c r="AM40" s="27"/>
      <c r="AN40" s="27"/>
      <c r="AQ40" s="48"/>
      <c r="AR40" s="27"/>
      <c r="AS40" s="27"/>
      <c r="AT40" s="27"/>
      <c r="AU40" s="27"/>
      <c r="AY40" s="27"/>
      <c r="AZ40" s="27"/>
      <c r="BA40" s="27"/>
      <c r="BB40" s="27"/>
      <c r="BF40" s="27"/>
      <c r="BG40" s="27"/>
      <c r="BH40" s="27"/>
      <c r="BI40" s="27"/>
      <c r="BM40" s="27"/>
      <c r="BN40" s="27"/>
      <c r="BO40" s="27"/>
      <c r="BP40" s="27"/>
      <c r="BT40" s="27"/>
      <c r="BU40" s="27"/>
      <c r="BV40" s="27"/>
      <c r="BW40" s="27"/>
      <c r="CA40" s="27"/>
      <c r="CB40" s="27"/>
      <c r="CC40" s="27"/>
      <c r="CD40" s="27"/>
      <c r="CH40" s="27"/>
      <c r="CI40" s="27"/>
      <c r="CJ40" s="27"/>
      <c r="CK40" s="27"/>
      <c r="CO40" s="27"/>
      <c r="CP40" s="27"/>
      <c r="CQ40" s="27"/>
      <c r="CR40" s="27"/>
      <c r="CT40" s="11"/>
      <c r="CU40" s="11"/>
      <c r="CV40" s="53"/>
      <c r="CW40" s="53"/>
      <c r="CX40" s="53"/>
      <c r="CY40" s="53"/>
      <c r="CZ40" s="11"/>
      <c r="DA40" s="11"/>
      <c r="DB40" s="11"/>
      <c r="DC40" s="55"/>
      <c r="DD40" s="51">
        <v>1.0</v>
      </c>
      <c r="DE40" s="27"/>
      <c r="DF40" s="30">
        <v>1.0</v>
      </c>
      <c r="DG40" s="11"/>
      <c r="DJ40" s="27"/>
      <c r="DK40" s="27"/>
      <c r="DL40" s="27"/>
      <c r="DM40" s="27"/>
      <c r="DQ40" s="27"/>
      <c r="DR40" s="27"/>
      <c r="DS40" s="27"/>
      <c r="DT40" s="27"/>
    </row>
    <row r="41" ht="15.75" customHeight="1" outlineLevel="1">
      <c r="B41" s="48" t="s">
        <v>56</v>
      </c>
      <c r="C41" s="48"/>
      <c r="D41" s="49" t="s">
        <v>200</v>
      </c>
      <c r="F41" s="26"/>
      <c r="G41" s="49" t="s">
        <v>78</v>
      </c>
      <c r="H41" s="27">
        <v>0.05</v>
      </c>
      <c r="J41" s="26">
        <f t="shared" si="33"/>
        <v>0</v>
      </c>
      <c r="K41" s="29">
        <f t="shared" ref="K41:L41" si="34">+MAXIFS($O41:$ABT41,$O$3:$ABT$3,K$3)</f>
        <v>0</v>
      </c>
      <c r="L41" s="29">
        <f t="shared" si="34"/>
        <v>0</v>
      </c>
      <c r="M41" s="26"/>
      <c r="O41" s="48"/>
      <c r="P41" s="27"/>
      <c r="Q41" s="27"/>
      <c r="R41" s="27"/>
      <c r="S41" s="27"/>
      <c r="W41" s="27"/>
      <c r="X41" s="27"/>
      <c r="Y41" s="27"/>
      <c r="Z41" s="27"/>
      <c r="AD41" s="27"/>
      <c r="AE41" s="27"/>
      <c r="AF41" s="27"/>
      <c r="AG41" s="27"/>
      <c r="AK41" s="27"/>
      <c r="AL41" s="27"/>
      <c r="AM41" s="27"/>
      <c r="AN41" s="27"/>
      <c r="AQ41" s="48"/>
      <c r="AR41" s="27"/>
      <c r="AS41" s="27"/>
      <c r="AT41" s="27"/>
      <c r="AU41" s="27"/>
      <c r="AY41" s="27"/>
      <c r="AZ41" s="27"/>
      <c r="BA41" s="27"/>
      <c r="BB41" s="27"/>
      <c r="BF41" s="27"/>
      <c r="BG41" s="27"/>
      <c r="BH41" s="27"/>
      <c r="BI41" s="27"/>
      <c r="BM41" s="27"/>
      <c r="BN41" s="27"/>
      <c r="BO41" s="27"/>
      <c r="BP41" s="27"/>
      <c r="BT41" s="27"/>
      <c r="BU41" s="27"/>
      <c r="BV41" s="27"/>
      <c r="BW41" s="27"/>
      <c r="CA41" s="27"/>
      <c r="CB41" s="27"/>
      <c r="CC41" s="27"/>
      <c r="CD41" s="27"/>
      <c r="CH41" s="27"/>
      <c r="CI41" s="27"/>
      <c r="CJ41" s="27"/>
      <c r="CK41" s="27"/>
      <c r="CO41" s="27"/>
      <c r="CP41" s="27"/>
      <c r="CQ41" s="27"/>
      <c r="CR41" s="27"/>
      <c r="CT41" s="11"/>
      <c r="CU41" s="11"/>
      <c r="CV41" s="53"/>
      <c r="CW41" s="53"/>
      <c r="CX41" s="53"/>
      <c r="CY41" s="53"/>
      <c r="CZ41" s="11"/>
      <c r="DA41" s="11"/>
      <c r="DB41" s="11"/>
      <c r="DC41" s="55"/>
      <c r="DD41" s="51">
        <v>1.0</v>
      </c>
      <c r="DE41" s="27"/>
      <c r="DF41" s="30">
        <v>1.0</v>
      </c>
      <c r="DG41" s="11"/>
      <c r="DJ41" s="27"/>
      <c r="DK41" s="27"/>
      <c r="DL41" s="27"/>
      <c r="DM41" s="27"/>
      <c r="DQ41" s="27"/>
      <c r="DR41" s="27"/>
      <c r="DS41" s="27"/>
      <c r="DT41" s="27"/>
    </row>
    <row r="42" ht="15.75" customHeight="1" outlineLevel="1">
      <c r="B42" s="48" t="s">
        <v>56</v>
      </c>
      <c r="C42" s="48"/>
      <c r="D42" s="49" t="s">
        <v>200</v>
      </c>
      <c r="F42" s="26"/>
      <c r="G42" s="49" t="s">
        <v>245</v>
      </c>
      <c r="H42" s="27">
        <v>0.05</v>
      </c>
      <c r="J42" s="26">
        <f t="shared" si="33"/>
        <v>0</v>
      </c>
      <c r="K42" s="29">
        <f t="shared" ref="K42:L42" si="35">+MAXIFS($O42:$ABT42,$O$3:$ABT$3,K$3)</f>
        <v>0</v>
      </c>
      <c r="L42" s="29">
        <f t="shared" si="35"/>
        <v>0</v>
      </c>
      <c r="M42" s="26"/>
      <c r="O42" s="48"/>
      <c r="P42" s="27"/>
      <c r="Q42" s="27"/>
      <c r="R42" s="27"/>
      <c r="S42" s="27"/>
      <c r="W42" s="27"/>
      <c r="X42" s="27"/>
      <c r="Y42" s="27"/>
      <c r="Z42" s="27"/>
      <c r="AD42" s="27"/>
      <c r="AE42" s="27"/>
      <c r="AF42" s="27"/>
      <c r="AG42" s="27"/>
      <c r="AK42" s="27"/>
      <c r="AL42" s="27"/>
      <c r="AM42" s="27"/>
      <c r="AN42" s="27"/>
      <c r="AQ42" s="48"/>
      <c r="AR42" s="27"/>
      <c r="AS42" s="27"/>
      <c r="AT42" s="27"/>
      <c r="AU42" s="27"/>
      <c r="AY42" s="27"/>
      <c r="AZ42" s="27"/>
      <c r="BA42" s="27"/>
      <c r="BB42" s="27"/>
      <c r="BF42" s="27"/>
      <c r="BG42" s="27"/>
      <c r="BH42" s="27"/>
      <c r="BI42" s="27"/>
      <c r="BM42" s="27"/>
      <c r="BN42" s="27"/>
      <c r="BO42" s="27"/>
      <c r="BP42" s="27"/>
      <c r="BT42" s="27"/>
      <c r="BU42" s="27"/>
      <c r="BV42" s="27"/>
      <c r="BW42" s="27"/>
      <c r="CA42" s="27"/>
      <c r="CB42" s="27"/>
      <c r="CC42" s="27"/>
      <c r="CD42" s="27"/>
      <c r="CH42" s="27"/>
      <c r="CI42" s="27"/>
      <c r="CJ42" s="27"/>
      <c r="CK42" s="27"/>
      <c r="CO42" s="27"/>
      <c r="CP42" s="27"/>
      <c r="CQ42" s="27"/>
      <c r="CR42" s="27"/>
      <c r="CT42" s="11"/>
      <c r="CU42" s="11"/>
      <c r="CV42" s="53"/>
      <c r="CW42" s="53"/>
      <c r="CX42" s="53"/>
      <c r="CY42" s="53"/>
      <c r="CZ42" s="11"/>
      <c r="DA42" s="11"/>
      <c r="DB42" s="11"/>
      <c r="DC42" s="55"/>
      <c r="DD42" s="51">
        <v>1.0</v>
      </c>
      <c r="DE42" s="27"/>
      <c r="DF42" s="30">
        <v>1.0</v>
      </c>
      <c r="DG42" s="11"/>
      <c r="DJ42" s="27"/>
      <c r="DK42" s="27"/>
      <c r="DL42" s="27"/>
      <c r="DM42" s="27"/>
      <c r="DQ42" s="27"/>
      <c r="DR42" s="27"/>
      <c r="DS42" s="27"/>
      <c r="DT42" s="27"/>
    </row>
    <row r="43" ht="15.75" customHeight="1" outlineLevel="1">
      <c r="B43" s="48" t="s">
        <v>56</v>
      </c>
      <c r="C43" s="48"/>
      <c r="D43" s="49" t="s">
        <v>200</v>
      </c>
      <c r="F43" s="26"/>
      <c r="G43" s="49" t="s">
        <v>80</v>
      </c>
      <c r="H43" s="27">
        <v>0.05</v>
      </c>
      <c r="J43" s="26">
        <f t="shared" si="33"/>
        <v>0</v>
      </c>
      <c r="K43" s="29">
        <f t="shared" ref="K43:L43" si="36">+MAXIFS($O43:$ABT43,$O$3:$ABT$3,K$3)</f>
        <v>0</v>
      </c>
      <c r="L43" s="29">
        <f t="shared" si="36"/>
        <v>0</v>
      </c>
      <c r="M43" s="26"/>
      <c r="O43" s="48"/>
      <c r="P43" s="27"/>
      <c r="Q43" s="27"/>
      <c r="R43" s="27"/>
      <c r="S43" s="27"/>
      <c r="W43" s="27"/>
      <c r="X43" s="27"/>
      <c r="Y43" s="27"/>
      <c r="Z43" s="27"/>
      <c r="AD43" s="27"/>
      <c r="AE43" s="27"/>
      <c r="AF43" s="27"/>
      <c r="AG43" s="27"/>
      <c r="AK43" s="27"/>
      <c r="AL43" s="27"/>
      <c r="AM43" s="27"/>
      <c r="AN43" s="27"/>
      <c r="AQ43" s="48"/>
      <c r="AR43" s="27"/>
      <c r="AS43" s="27"/>
      <c r="AT43" s="27"/>
      <c r="AU43" s="27"/>
      <c r="AY43" s="27"/>
      <c r="AZ43" s="27"/>
      <c r="BA43" s="27"/>
      <c r="BB43" s="27"/>
      <c r="BF43" s="27"/>
      <c r="BG43" s="27"/>
      <c r="BH43" s="27"/>
      <c r="BI43" s="27"/>
      <c r="BM43" s="27"/>
      <c r="BN43" s="27"/>
      <c r="BO43" s="27"/>
      <c r="BP43" s="27"/>
      <c r="BT43" s="27"/>
      <c r="BU43" s="27"/>
      <c r="BV43" s="27"/>
      <c r="BW43" s="27"/>
      <c r="CA43" s="27"/>
      <c r="CB43" s="27"/>
      <c r="CC43" s="27"/>
      <c r="CD43" s="27"/>
      <c r="CH43" s="27"/>
      <c r="CI43" s="27"/>
      <c r="CJ43" s="27"/>
      <c r="CK43" s="27"/>
      <c r="CO43" s="27"/>
      <c r="CP43" s="27"/>
      <c r="CQ43" s="27"/>
      <c r="CR43" s="27"/>
      <c r="CT43" s="11"/>
      <c r="CU43" s="11"/>
      <c r="CV43" s="53"/>
      <c r="CW43" s="53"/>
      <c r="CX43" s="53"/>
      <c r="CY43" s="53"/>
      <c r="CZ43" s="11"/>
      <c r="DA43" s="11"/>
      <c r="DB43" s="11"/>
      <c r="DC43" s="55"/>
      <c r="DD43" s="51">
        <v>1.0</v>
      </c>
      <c r="DE43" s="27"/>
      <c r="DF43" s="30">
        <v>1.0</v>
      </c>
      <c r="DG43" s="11"/>
      <c r="DJ43" s="27"/>
      <c r="DK43" s="27"/>
      <c r="DL43" s="27"/>
      <c r="DM43" s="27"/>
      <c r="DQ43" s="27"/>
      <c r="DR43" s="27"/>
      <c r="DS43" s="27"/>
      <c r="DT43" s="27"/>
    </row>
    <row r="44" ht="15.75" customHeight="1" outlineLevel="1">
      <c r="B44" s="48" t="s">
        <v>56</v>
      </c>
      <c r="C44" s="48"/>
      <c r="D44" s="49" t="s">
        <v>200</v>
      </c>
      <c r="F44" s="26"/>
      <c r="G44" s="49" t="s">
        <v>246</v>
      </c>
      <c r="H44" s="27">
        <v>0.05</v>
      </c>
      <c r="J44" s="26">
        <f t="shared" si="33"/>
        <v>0</v>
      </c>
      <c r="K44" s="29">
        <f t="shared" ref="K44:L44" si="37">+MAXIFS($O44:$ABT44,$O$3:$ABT$3,K$3)</f>
        <v>0</v>
      </c>
      <c r="L44" s="29">
        <f t="shared" si="37"/>
        <v>0</v>
      </c>
      <c r="M44" s="26"/>
      <c r="O44" s="48"/>
      <c r="P44" s="27"/>
      <c r="Q44" s="27"/>
      <c r="R44" s="27"/>
      <c r="S44" s="27"/>
      <c r="W44" s="27"/>
      <c r="X44" s="27"/>
      <c r="Y44" s="27"/>
      <c r="Z44" s="27"/>
      <c r="AD44" s="27"/>
      <c r="AE44" s="27"/>
      <c r="AF44" s="27"/>
      <c r="AG44" s="27"/>
      <c r="AK44" s="27"/>
      <c r="AL44" s="27"/>
      <c r="AM44" s="27"/>
      <c r="AN44" s="27"/>
      <c r="AQ44" s="48"/>
      <c r="AR44" s="27"/>
      <c r="AS44" s="27"/>
      <c r="AT44" s="27"/>
      <c r="AU44" s="27"/>
      <c r="AY44" s="27"/>
      <c r="AZ44" s="27"/>
      <c r="BA44" s="27"/>
      <c r="BB44" s="27"/>
      <c r="BF44" s="27"/>
      <c r="BG44" s="27"/>
      <c r="BH44" s="27"/>
      <c r="BI44" s="27"/>
      <c r="BM44" s="27"/>
      <c r="BN44" s="27"/>
      <c r="BO44" s="27"/>
      <c r="BP44" s="27"/>
      <c r="BT44" s="27"/>
      <c r="BU44" s="27"/>
      <c r="BV44" s="27"/>
      <c r="BW44" s="27"/>
      <c r="CA44" s="27"/>
      <c r="CB44" s="27"/>
      <c r="CC44" s="27"/>
      <c r="CD44" s="27"/>
      <c r="CH44" s="27"/>
      <c r="CI44" s="27"/>
      <c r="CJ44" s="27"/>
      <c r="CK44" s="27"/>
      <c r="CO44" s="27"/>
      <c r="CP44" s="27"/>
      <c r="CQ44" s="27"/>
      <c r="CR44" s="27"/>
      <c r="CT44" s="11"/>
      <c r="CU44" s="11"/>
      <c r="CV44" s="53"/>
      <c r="CW44" s="53"/>
      <c r="CX44" s="53"/>
      <c r="CY44" s="53"/>
      <c r="CZ44" s="11"/>
      <c r="DA44" s="11"/>
      <c r="DB44" s="11"/>
      <c r="DC44" s="55"/>
      <c r="DD44" s="51">
        <v>1.0</v>
      </c>
      <c r="DE44" s="27"/>
      <c r="DF44" s="30">
        <v>1.0</v>
      </c>
      <c r="DG44" s="11"/>
      <c r="DJ44" s="27"/>
      <c r="DK44" s="27"/>
      <c r="DL44" s="27"/>
      <c r="DM44" s="27"/>
      <c r="DQ44" s="27"/>
      <c r="DR44" s="27"/>
      <c r="DS44" s="27"/>
      <c r="DT44" s="27"/>
    </row>
    <row r="45" ht="15.75" customHeight="1" outlineLevel="1">
      <c r="B45" s="48" t="s">
        <v>56</v>
      </c>
      <c r="C45" s="48"/>
      <c r="D45" s="49" t="s">
        <v>200</v>
      </c>
      <c r="F45" s="26"/>
      <c r="G45" s="49" t="s">
        <v>247</v>
      </c>
      <c r="H45" s="27">
        <v>0.1</v>
      </c>
      <c r="J45" s="26">
        <f t="shared" si="33"/>
        <v>0</v>
      </c>
      <c r="K45" s="29">
        <f t="shared" ref="K45:L45" si="38">+MAXIFS($O45:$ABT45,$O$3:$ABT$3,K$3)</f>
        <v>0</v>
      </c>
      <c r="L45" s="29">
        <f t="shared" si="38"/>
        <v>0</v>
      </c>
      <c r="M45" s="26"/>
      <c r="P45" s="27"/>
      <c r="Q45" s="27"/>
      <c r="R45" s="27"/>
      <c r="S45" s="27"/>
      <c r="W45" s="27"/>
      <c r="X45" s="27"/>
      <c r="Y45" s="27"/>
      <c r="Z45" s="27"/>
      <c r="AD45" s="27"/>
      <c r="AE45" s="27"/>
      <c r="AF45" s="27"/>
      <c r="AG45" s="27"/>
      <c r="AK45" s="27"/>
      <c r="AL45" s="27"/>
      <c r="AM45" s="27"/>
      <c r="AN45" s="27"/>
      <c r="AQ45" s="48"/>
      <c r="AR45" s="27"/>
      <c r="AS45" s="27"/>
      <c r="AT45" s="27"/>
      <c r="AU45" s="27"/>
      <c r="AY45" s="27"/>
      <c r="AZ45" s="27"/>
      <c r="BA45" s="27"/>
      <c r="BB45" s="27"/>
      <c r="BF45" s="27"/>
      <c r="BG45" s="27"/>
      <c r="BH45" s="27"/>
      <c r="BI45" s="27"/>
      <c r="BM45" s="27"/>
      <c r="BN45" s="27"/>
      <c r="BO45" s="27"/>
      <c r="BP45" s="27"/>
      <c r="BT45" s="27"/>
      <c r="BU45" s="27"/>
      <c r="BV45" s="27"/>
      <c r="BW45" s="27"/>
      <c r="CA45" s="27"/>
      <c r="CB45" s="27"/>
      <c r="CC45" s="27"/>
      <c r="CD45" s="27"/>
      <c r="CH45" s="27"/>
      <c r="CI45" s="27"/>
      <c r="CJ45" s="27"/>
      <c r="CK45" s="27"/>
      <c r="CO45" s="27"/>
      <c r="CP45" s="27"/>
      <c r="CQ45" s="27"/>
      <c r="CR45" s="27"/>
      <c r="CT45" s="11"/>
      <c r="CU45" s="11"/>
      <c r="CV45" s="53"/>
      <c r="CW45" s="53"/>
      <c r="CX45" s="53"/>
      <c r="CY45" s="53"/>
      <c r="CZ45" s="11"/>
      <c r="DA45" s="11"/>
      <c r="DB45" s="11"/>
      <c r="DC45" s="55"/>
      <c r="DD45" s="51">
        <v>1.0</v>
      </c>
      <c r="DE45" s="27"/>
      <c r="DF45" s="30">
        <v>1.0</v>
      </c>
      <c r="DG45" s="11"/>
      <c r="DJ45" s="27"/>
      <c r="DK45" s="27"/>
      <c r="DL45" s="27"/>
      <c r="DM45" s="27"/>
      <c r="DQ45" s="27"/>
      <c r="DR45" s="27"/>
      <c r="DS45" s="27"/>
      <c r="DT45" s="27"/>
    </row>
    <row r="46" ht="15.75" customHeight="1">
      <c r="CT46" s="11"/>
      <c r="CU46" s="11"/>
      <c r="CV46" s="11"/>
      <c r="CW46" s="11"/>
      <c r="CX46" s="11"/>
      <c r="CY46" s="11"/>
      <c r="CZ46" s="11"/>
      <c r="DA46" s="11"/>
      <c r="DB46" s="11"/>
      <c r="DC46" s="53"/>
      <c r="DD46" s="51"/>
      <c r="DE46" s="27"/>
      <c r="DF46" s="30"/>
      <c r="DG46" s="11"/>
    </row>
    <row r="47" ht="15.75" customHeight="1">
      <c r="B47" s="48" t="s">
        <v>26</v>
      </c>
      <c r="C47" s="48"/>
      <c r="D47" s="49" t="s">
        <v>95</v>
      </c>
      <c r="E47" s="49" t="s">
        <v>166</v>
      </c>
      <c r="F47" s="32">
        <v>3.0</v>
      </c>
      <c r="H47" s="27">
        <f>+SUM(H48:H53)</f>
        <v>1</v>
      </c>
      <c r="J47" s="28">
        <f>+SUM(J48:J53)</f>
        <v>18</v>
      </c>
      <c r="K47" s="29">
        <f>+SUMPRODUCT(H48:H53,K48:K53)</f>
        <v>0.79</v>
      </c>
      <c r="L47" s="29">
        <f>+SUMPRODUCT(H48:H53,L48:L53)</f>
        <v>0.79</v>
      </c>
      <c r="M47" s="26"/>
      <c r="O47" s="28">
        <f>+SUM(O48:O53)</f>
        <v>0</v>
      </c>
      <c r="V47" s="28">
        <f>+SUM(V48:V53)</f>
        <v>2.5</v>
      </c>
      <c r="AC47" s="28">
        <f>+SUM(AC48:AC53)</f>
        <v>6.25</v>
      </c>
      <c r="AJ47" s="28">
        <f>+SUM(AJ48:AJ53)</f>
        <v>5.25</v>
      </c>
      <c r="AQ47" s="28">
        <f>+SUM(AQ48:AQ53)</f>
        <v>0</v>
      </c>
      <c r="CT47" s="11"/>
      <c r="CU47" s="11"/>
      <c r="CV47" s="11"/>
      <c r="CW47" s="11"/>
      <c r="CX47" s="11"/>
      <c r="CY47" s="11"/>
      <c r="CZ47" s="11"/>
      <c r="DA47" s="11"/>
      <c r="DB47" s="11"/>
      <c r="DC47" s="11"/>
      <c r="DD47" s="11"/>
      <c r="DE47" s="11"/>
      <c r="DF47" s="11"/>
      <c r="DG47" s="11"/>
    </row>
    <row r="48" ht="15.75" customHeight="1" outlineLevel="1">
      <c r="B48" s="48" t="s">
        <v>56</v>
      </c>
      <c r="C48" s="48"/>
      <c r="D48" s="49" t="s">
        <v>206</v>
      </c>
      <c r="F48" s="26"/>
      <c r="G48" s="49" t="s">
        <v>207</v>
      </c>
      <c r="H48" s="30">
        <v>0.15</v>
      </c>
      <c r="J48" s="26">
        <f t="shared" ref="J48:J53" si="40">+SUMIF($O$3:$ACN$3,J$3,$O48:$ACN48)</f>
        <v>4</v>
      </c>
      <c r="K48" s="29">
        <f t="shared" ref="K48:L48" si="39">+MAXIFS($O48:$ABT48,$O$3:$ABT$3,K$3)</f>
        <v>1</v>
      </c>
      <c r="L48" s="29">
        <f t="shared" si="39"/>
        <v>1</v>
      </c>
      <c r="M48" s="26"/>
      <c r="O48" s="48"/>
      <c r="P48" s="27"/>
      <c r="Q48" s="27"/>
      <c r="R48" s="27"/>
      <c r="S48" s="27"/>
      <c r="V48" s="49">
        <v>1.0</v>
      </c>
      <c r="W48" s="27"/>
      <c r="X48" s="30">
        <v>0.8</v>
      </c>
      <c r="Y48" s="27"/>
      <c r="Z48" s="30">
        <v>0.8</v>
      </c>
      <c r="AC48" s="49">
        <v>3.0</v>
      </c>
      <c r="AD48" s="30">
        <v>0.5</v>
      </c>
      <c r="AE48" s="30">
        <v>1.0</v>
      </c>
      <c r="AF48" s="30">
        <v>0.5</v>
      </c>
      <c r="AG48" s="30">
        <v>1.0</v>
      </c>
      <c r="AK48" s="30">
        <v>1.0</v>
      </c>
      <c r="AL48" s="30">
        <v>1.0</v>
      </c>
      <c r="AM48" s="30">
        <v>1.0</v>
      </c>
      <c r="AN48" s="30">
        <v>1.0</v>
      </c>
      <c r="AQ48" s="48"/>
      <c r="AR48" s="30">
        <v>1.0</v>
      </c>
      <c r="AS48" s="30">
        <v>1.0</v>
      </c>
      <c r="AT48" s="30">
        <v>1.0</v>
      </c>
      <c r="AU48" s="30">
        <v>1.0</v>
      </c>
      <c r="AY48" s="30">
        <v>1.0</v>
      </c>
      <c r="AZ48" s="30">
        <v>1.0</v>
      </c>
      <c r="BA48" s="30">
        <v>1.0</v>
      </c>
      <c r="BB48" s="30">
        <v>1.0</v>
      </c>
      <c r="BF48" s="30">
        <v>1.0</v>
      </c>
      <c r="BG48" s="30">
        <v>1.0</v>
      </c>
      <c r="BH48" s="30">
        <v>1.0</v>
      </c>
      <c r="BI48" s="30">
        <v>1.0</v>
      </c>
      <c r="BM48" s="30">
        <v>1.0</v>
      </c>
      <c r="BN48" s="30">
        <v>1.0</v>
      </c>
      <c r="BO48" s="30">
        <v>1.0</v>
      </c>
      <c r="BP48" s="30">
        <v>1.0</v>
      </c>
      <c r="BT48" s="27"/>
      <c r="BU48" s="27"/>
      <c r="BV48" s="27"/>
      <c r="BW48" s="27"/>
      <c r="CA48" s="27"/>
      <c r="CB48" s="27"/>
      <c r="CC48" s="27"/>
      <c r="CD48" s="27"/>
      <c r="CH48" s="27"/>
      <c r="CI48" s="27"/>
      <c r="CJ48" s="27"/>
      <c r="CK48" s="27"/>
      <c r="CO48" s="27"/>
      <c r="CP48" s="27"/>
      <c r="CQ48" s="27"/>
      <c r="CR48" s="27"/>
      <c r="CT48" s="11"/>
      <c r="CU48" s="11"/>
      <c r="CV48" s="53"/>
      <c r="CW48" s="53"/>
      <c r="CX48" s="53"/>
      <c r="CY48" s="53"/>
      <c r="CZ48" s="11"/>
      <c r="DA48" s="11"/>
      <c r="DB48" s="11"/>
      <c r="DC48" s="53"/>
      <c r="DD48" s="53"/>
      <c r="DE48" s="53"/>
      <c r="DF48" s="53"/>
      <c r="DG48" s="11"/>
      <c r="DJ48" s="27"/>
      <c r="DK48" s="27"/>
      <c r="DL48" s="27"/>
      <c r="DM48" s="27"/>
      <c r="DQ48" s="27"/>
      <c r="DR48" s="27"/>
      <c r="DS48" s="27"/>
      <c r="DT48" s="27"/>
    </row>
    <row r="49" ht="15.75" customHeight="1" outlineLevel="1">
      <c r="B49" s="48" t="s">
        <v>56</v>
      </c>
      <c r="C49" s="48"/>
      <c r="D49" s="49" t="s">
        <v>206</v>
      </c>
      <c r="F49" s="26"/>
      <c r="G49" s="49" t="s">
        <v>208</v>
      </c>
      <c r="H49" s="30">
        <v>0.2</v>
      </c>
      <c r="J49" s="26">
        <f t="shared" si="40"/>
        <v>2</v>
      </c>
      <c r="K49" s="29">
        <f t="shared" ref="K49:L49" si="41">+MAXIFS($O49:$ABT49,$O$3:$ABT$3,K$3)</f>
        <v>1</v>
      </c>
      <c r="L49" s="29">
        <f t="shared" si="41"/>
        <v>1</v>
      </c>
      <c r="M49" s="26"/>
      <c r="O49" s="48"/>
      <c r="P49" s="27"/>
      <c r="Q49" s="27"/>
      <c r="R49" s="27"/>
      <c r="S49" s="27"/>
      <c r="W49" s="27"/>
      <c r="X49" s="30">
        <v>0.5</v>
      </c>
      <c r="Y49" s="27"/>
      <c r="Z49" s="30">
        <v>0.5</v>
      </c>
      <c r="AD49" s="27"/>
      <c r="AE49" s="30">
        <v>0.8</v>
      </c>
      <c r="AF49" s="27"/>
      <c r="AG49" s="30">
        <v>0.8</v>
      </c>
      <c r="AJ49" s="5">
        <v>2.0</v>
      </c>
      <c r="AK49" s="30">
        <v>0.5</v>
      </c>
      <c r="AL49" s="30">
        <v>1.0</v>
      </c>
      <c r="AM49" s="30">
        <v>0.5</v>
      </c>
      <c r="AN49" s="30">
        <v>1.0</v>
      </c>
      <c r="AQ49" s="49"/>
      <c r="AR49" s="30">
        <v>0.5</v>
      </c>
      <c r="AS49" s="30">
        <v>1.0</v>
      </c>
      <c r="AT49" s="30">
        <v>0.5</v>
      </c>
      <c r="AU49" s="30">
        <v>1.0</v>
      </c>
      <c r="AY49" s="30">
        <v>1.0</v>
      </c>
      <c r="AZ49" s="30">
        <v>1.0</v>
      </c>
      <c r="BA49" s="30">
        <v>1.0</v>
      </c>
      <c r="BB49" s="30">
        <v>1.0</v>
      </c>
      <c r="BF49" s="30">
        <v>1.0</v>
      </c>
      <c r="BG49" s="30">
        <v>1.0</v>
      </c>
      <c r="BH49" s="30">
        <v>1.0</v>
      </c>
      <c r="BI49" s="30">
        <v>1.0</v>
      </c>
      <c r="BM49" s="30">
        <v>1.0</v>
      </c>
      <c r="BN49" s="30">
        <v>1.0</v>
      </c>
      <c r="BO49" s="30">
        <v>1.0</v>
      </c>
      <c r="BP49" s="30">
        <v>1.0</v>
      </c>
      <c r="BT49" s="27"/>
      <c r="BU49" s="27"/>
      <c r="BV49" s="27"/>
      <c r="BW49" s="27"/>
      <c r="CA49" s="27"/>
      <c r="CB49" s="27"/>
      <c r="CC49" s="27"/>
      <c r="CD49" s="27"/>
      <c r="CH49" s="27"/>
      <c r="CI49" s="27"/>
      <c r="CJ49" s="27"/>
      <c r="CK49" s="27"/>
      <c r="CO49" s="27"/>
      <c r="CP49" s="27"/>
      <c r="CQ49" s="27"/>
      <c r="CR49" s="27"/>
      <c r="CT49" s="11"/>
      <c r="CU49" s="11"/>
      <c r="CV49" s="53"/>
      <c r="CW49" s="53"/>
      <c r="CX49" s="53"/>
      <c r="CY49" s="53"/>
      <c r="CZ49" s="11"/>
      <c r="DA49" s="11"/>
      <c r="DB49" s="11"/>
      <c r="DC49" s="53"/>
      <c r="DD49" s="53"/>
      <c r="DE49" s="53"/>
      <c r="DF49" s="53"/>
      <c r="DG49" s="11"/>
      <c r="DJ49" s="27"/>
      <c r="DK49" s="27"/>
      <c r="DL49" s="27"/>
      <c r="DM49" s="27"/>
      <c r="DQ49" s="27"/>
      <c r="DR49" s="27"/>
      <c r="DS49" s="27"/>
      <c r="DT49" s="27"/>
    </row>
    <row r="50" ht="15.75" customHeight="1" outlineLevel="1">
      <c r="B50" s="48" t="s">
        <v>56</v>
      </c>
      <c r="C50" s="48"/>
      <c r="D50" s="49" t="s">
        <v>206</v>
      </c>
      <c r="F50" s="26"/>
      <c r="G50" s="49" t="s">
        <v>209</v>
      </c>
      <c r="H50" s="30">
        <v>0.2</v>
      </c>
      <c r="J50" s="26">
        <f t="shared" si="40"/>
        <v>4</v>
      </c>
      <c r="K50" s="29">
        <f t="shared" ref="K50:L50" si="42">+MAXIFS($O50:$ABT50,$O$3:$ABT$3,K$3)</f>
        <v>1</v>
      </c>
      <c r="L50" s="29">
        <f t="shared" si="42"/>
        <v>1</v>
      </c>
      <c r="M50" s="26"/>
      <c r="O50" s="48"/>
      <c r="P50" s="27"/>
      <c r="Q50" s="27"/>
      <c r="R50" s="27"/>
      <c r="S50" s="27"/>
      <c r="W50" s="27"/>
      <c r="X50" s="30"/>
      <c r="Y50" s="27"/>
      <c r="Z50" s="30"/>
      <c r="AD50" s="27"/>
      <c r="AE50" s="30">
        <v>0.5</v>
      </c>
      <c r="AF50" s="27"/>
      <c r="AG50" s="30">
        <v>0.5</v>
      </c>
      <c r="AK50" s="27"/>
      <c r="AL50" s="30">
        <v>0.8</v>
      </c>
      <c r="AM50" s="27"/>
      <c r="AN50" s="30">
        <v>0.8</v>
      </c>
      <c r="AQ50" s="48"/>
      <c r="AR50" s="27"/>
      <c r="AS50" s="30">
        <v>0.8</v>
      </c>
      <c r="AT50" s="27"/>
      <c r="AU50" s="30">
        <v>0.8</v>
      </c>
      <c r="AX50" s="5">
        <v>4.0</v>
      </c>
      <c r="AY50" s="30">
        <v>1.0</v>
      </c>
      <c r="AZ50" s="30">
        <v>1.0</v>
      </c>
      <c r="BA50" s="30">
        <v>1.0</v>
      </c>
      <c r="BB50" s="30">
        <v>1.0</v>
      </c>
      <c r="BF50" s="30">
        <v>1.0</v>
      </c>
      <c r="BG50" s="30">
        <v>1.0</v>
      </c>
      <c r="BH50" s="30">
        <v>1.0</v>
      </c>
      <c r="BI50" s="30">
        <v>1.0</v>
      </c>
      <c r="BM50" s="30">
        <v>1.0</v>
      </c>
      <c r="BN50" s="30">
        <v>1.0</v>
      </c>
      <c r="BO50" s="30">
        <v>1.0</v>
      </c>
      <c r="BP50" s="30">
        <v>1.0</v>
      </c>
      <c r="BT50" s="27"/>
      <c r="BU50" s="27"/>
      <c r="BV50" s="27"/>
      <c r="BW50" s="27"/>
      <c r="CA50" s="27"/>
      <c r="CB50" s="27"/>
      <c r="CC50" s="27"/>
      <c r="CD50" s="27"/>
      <c r="CH50" s="27"/>
      <c r="CI50" s="27"/>
      <c r="CJ50" s="27"/>
      <c r="CK50" s="27"/>
      <c r="CO50" s="27"/>
      <c r="CP50" s="27"/>
      <c r="CQ50" s="27"/>
      <c r="CR50" s="27"/>
      <c r="CT50" s="11"/>
      <c r="CU50" s="11"/>
      <c r="CV50" s="53"/>
      <c r="CW50" s="53"/>
      <c r="CX50" s="53"/>
      <c r="CY50" s="53"/>
      <c r="CZ50" s="11"/>
      <c r="DA50" s="11"/>
      <c r="DB50" s="11"/>
      <c r="DC50" s="53"/>
      <c r="DD50" s="53"/>
      <c r="DE50" s="53"/>
      <c r="DF50" s="53"/>
      <c r="DG50" s="11"/>
      <c r="DJ50" s="27"/>
      <c r="DK50" s="27"/>
      <c r="DL50" s="27"/>
      <c r="DM50" s="27"/>
      <c r="DQ50" s="27"/>
      <c r="DR50" s="27"/>
      <c r="DS50" s="27"/>
      <c r="DT50" s="27"/>
    </row>
    <row r="51" ht="15.75" customHeight="1" outlineLevel="1">
      <c r="B51" s="48" t="s">
        <v>56</v>
      </c>
      <c r="C51" s="48"/>
      <c r="D51" s="49" t="s">
        <v>206</v>
      </c>
      <c r="F51" s="26"/>
      <c r="G51" s="49" t="s">
        <v>210</v>
      </c>
      <c r="H51" s="30">
        <v>0.15</v>
      </c>
      <c r="J51" s="26">
        <f t="shared" si="40"/>
        <v>8</v>
      </c>
      <c r="K51" s="29">
        <f t="shared" ref="K51:L51" si="43">+MAXIFS($O51:$ABT51,$O$3:$ABT$3,K$3)</f>
        <v>0.8</v>
      </c>
      <c r="L51" s="29">
        <f t="shared" si="43"/>
        <v>0.8</v>
      </c>
      <c r="M51" s="26"/>
      <c r="O51" s="48"/>
      <c r="P51" s="27"/>
      <c r="Q51" s="27"/>
      <c r="R51" s="27"/>
      <c r="S51" s="27"/>
      <c r="V51" s="5">
        <v>1.5</v>
      </c>
      <c r="W51" s="27"/>
      <c r="X51" s="30"/>
      <c r="Y51" s="27"/>
      <c r="Z51" s="30"/>
      <c r="AC51" s="5">
        <v>3.25</v>
      </c>
      <c r="AD51" s="30">
        <v>0.2</v>
      </c>
      <c r="AE51" s="30">
        <v>0.1</v>
      </c>
      <c r="AF51" s="30">
        <v>0.2</v>
      </c>
      <c r="AG51" s="30">
        <v>0.1</v>
      </c>
      <c r="AJ51" s="5">
        <v>3.25</v>
      </c>
      <c r="AK51" s="30">
        <v>0.5</v>
      </c>
      <c r="AL51" s="30">
        <v>0.5</v>
      </c>
      <c r="AM51" s="30">
        <v>0.5</v>
      </c>
      <c r="AN51" s="30">
        <v>0.5</v>
      </c>
      <c r="AQ51" s="48"/>
      <c r="AR51" s="30">
        <v>0.8</v>
      </c>
      <c r="AS51" s="30">
        <v>0.8</v>
      </c>
      <c r="AT51" s="30">
        <v>0.8</v>
      </c>
      <c r="AU51" s="30">
        <v>0.8</v>
      </c>
      <c r="AY51" s="27"/>
      <c r="AZ51" s="30"/>
      <c r="BA51" s="27"/>
      <c r="BB51" s="30"/>
      <c r="BF51" s="27"/>
      <c r="BG51" s="30"/>
      <c r="BH51" s="27"/>
      <c r="BI51" s="30"/>
      <c r="BM51" s="27"/>
      <c r="BN51" s="30">
        <v>1.0</v>
      </c>
      <c r="BO51" s="27"/>
      <c r="BP51" s="30">
        <v>1.0</v>
      </c>
      <c r="BT51" s="27"/>
      <c r="BU51" s="27"/>
      <c r="BV51" s="27"/>
      <c r="BW51" s="27"/>
      <c r="CA51" s="27"/>
      <c r="CB51" s="27"/>
      <c r="CC51" s="27"/>
      <c r="CD51" s="27"/>
      <c r="CH51" s="27"/>
      <c r="CI51" s="27"/>
      <c r="CJ51" s="27"/>
      <c r="CK51" s="27"/>
      <c r="CO51" s="27"/>
      <c r="CP51" s="27"/>
      <c r="CQ51" s="27"/>
      <c r="CR51" s="27"/>
      <c r="CT51" s="11"/>
      <c r="CU51" s="11"/>
      <c r="CV51" s="53"/>
      <c r="CW51" s="53"/>
      <c r="CX51" s="53"/>
      <c r="CY51" s="53"/>
      <c r="CZ51" s="11"/>
      <c r="DA51" s="11"/>
      <c r="DB51" s="11"/>
      <c r="DC51" s="53"/>
      <c r="DD51" s="53"/>
      <c r="DE51" s="53"/>
      <c r="DF51" s="53"/>
      <c r="DG51" s="11"/>
      <c r="DJ51" s="27"/>
      <c r="DK51" s="27"/>
      <c r="DL51" s="27"/>
      <c r="DM51" s="27"/>
      <c r="DQ51" s="27"/>
      <c r="DR51" s="27"/>
      <c r="DS51" s="27"/>
      <c r="DT51" s="27"/>
    </row>
    <row r="52" ht="15.75" customHeight="1" outlineLevel="1">
      <c r="B52" s="48" t="s">
        <v>56</v>
      </c>
      <c r="C52" s="48"/>
      <c r="D52" s="49" t="s">
        <v>206</v>
      </c>
      <c r="F52" s="26"/>
      <c r="G52" s="49" t="s">
        <v>211</v>
      </c>
      <c r="H52" s="30">
        <v>0.15</v>
      </c>
      <c r="J52" s="26">
        <f t="shared" si="40"/>
        <v>0</v>
      </c>
      <c r="K52" s="29">
        <f t="shared" ref="K52:L52" si="44">+MAXIFS($O52:$ABT52,$O$3:$ABT$3,K$3)</f>
        <v>0.8</v>
      </c>
      <c r="L52" s="29">
        <f t="shared" si="44"/>
        <v>0.8</v>
      </c>
      <c r="M52" s="26"/>
      <c r="O52" s="48"/>
      <c r="P52" s="27"/>
      <c r="Q52" s="27"/>
      <c r="R52" s="27"/>
      <c r="S52" s="27"/>
      <c r="W52" s="27"/>
      <c r="X52" s="30"/>
      <c r="Y52" s="27"/>
      <c r="Z52" s="30"/>
      <c r="AD52" s="27"/>
      <c r="AE52" s="30"/>
      <c r="AF52" s="27"/>
      <c r="AG52" s="30"/>
      <c r="AK52" s="27"/>
      <c r="AL52" s="30"/>
      <c r="AM52" s="27"/>
      <c r="AN52" s="30"/>
      <c r="AQ52" s="48"/>
      <c r="AR52" s="30">
        <v>0.8</v>
      </c>
      <c r="AS52" s="30">
        <v>0.5</v>
      </c>
      <c r="AT52" s="30">
        <v>0.8</v>
      </c>
      <c r="AU52" s="30">
        <v>0.5</v>
      </c>
      <c r="AY52" s="27"/>
      <c r="AZ52" s="30"/>
      <c r="BA52" s="27"/>
      <c r="BB52" s="30"/>
      <c r="BF52" s="27"/>
      <c r="BG52" s="30"/>
      <c r="BH52" s="27"/>
      <c r="BI52" s="30"/>
      <c r="BM52" s="27"/>
      <c r="BN52" s="30">
        <v>1.0</v>
      </c>
      <c r="BO52" s="27"/>
      <c r="BP52" s="30">
        <v>1.0</v>
      </c>
      <c r="BT52" s="27"/>
      <c r="BU52" s="27"/>
      <c r="BV52" s="27"/>
      <c r="BW52" s="27"/>
      <c r="CA52" s="27"/>
      <c r="CB52" s="27"/>
      <c r="CC52" s="27"/>
      <c r="CD52" s="27"/>
      <c r="CH52" s="27"/>
      <c r="CI52" s="27"/>
      <c r="CJ52" s="27"/>
      <c r="CK52" s="27"/>
      <c r="CO52" s="27"/>
      <c r="CP52" s="27"/>
      <c r="CQ52" s="27"/>
      <c r="CR52" s="27"/>
      <c r="CT52" s="11"/>
      <c r="CU52" s="11"/>
      <c r="CV52" s="53"/>
      <c r="CW52" s="53"/>
      <c r="CX52" s="53"/>
      <c r="CY52" s="53"/>
      <c r="CZ52" s="11"/>
      <c r="DA52" s="11"/>
      <c r="DB52" s="11"/>
      <c r="DC52" s="53"/>
      <c r="DD52" s="53"/>
      <c r="DE52" s="53"/>
      <c r="DF52" s="53"/>
      <c r="DG52" s="11"/>
      <c r="DJ52" s="27"/>
      <c r="DK52" s="27"/>
      <c r="DL52" s="27"/>
      <c r="DM52" s="27"/>
      <c r="DQ52" s="27"/>
      <c r="DR52" s="27"/>
      <c r="DS52" s="27"/>
      <c r="DT52" s="27"/>
    </row>
    <row r="53" ht="15.75" customHeight="1" outlineLevel="1">
      <c r="B53" s="48" t="s">
        <v>56</v>
      </c>
      <c r="C53" s="48"/>
      <c r="D53" s="49" t="s">
        <v>206</v>
      </c>
      <c r="F53" s="26"/>
      <c r="G53" s="49" t="s">
        <v>212</v>
      </c>
      <c r="H53" s="30">
        <v>0.15</v>
      </c>
      <c r="J53" s="26">
        <f t="shared" si="40"/>
        <v>0</v>
      </c>
      <c r="K53" s="29">
        <f t="shared" ref="K53:L53" si="45">+MAXIFS($O53:$ABT53,$O$3:$ABT$3,K$3)</f>
        <v>0</v>
      </c>
      <c r="L53" s="29">
        <f t="shared" si="45"/>
        <v>0</v>
      </c>
      <c r="M53" s="26"/>
      <c r="P53" s="27"/>
      <c r="Q53" s="27"/>
      <c r="R53" s="27"/>
      <c r="S53" s="27"/>
      <c r="W53" s="27"/>
      <c r="X53" s="30"/>
      <c r="Y53" s="27"/>
      <c r="Z53" s="30"/>
      <c r="AD53" s="27"/>
      <c r="AE53" s="30"/>
      <c r="AF53" s="27"/>
      <c r="AG53" s="30"/>
      <c r="AK53" s="27"/>
      <c r="AL53" s="30"/>
      <c r="AM53" s="27"/>
      <c r="AN53" s="30"/>
      <c r="AQ53" s="48"/>
      <c r="AR53" s="27"/>
      <c r="AS53" s="30">
        <v>0.5</v>
      </c>
      <c r="AT53" s="27"/>
      <c r="AU53" s="30">
        <v>0.5</v>
      </c>
      <c r="AY53" s="27"/>
      <c r="AZ53" s="30"/>
      <c r="BA53" s="27"/>
      <c r="BB53" s="30"/>
      <c r="BF53" s="27"/>
      <c r="BG53" s="30"/>
      <c r="BH53" s="27"/>
      <c r="BI53" s="30"/>
      <c r="BM53" s="27"/>
      <c r="BN53" s="30">
        <v>1.0</v>
      </c>
      <c r="BO53" s="27"/>
      <c r="BP53" s="30">
        <v>1.0</v>
      </c>
      <c r="BT53" s="27"/>
      <c r="BU53" s="27"/>
      <c r="BV53" s="27"/>
      <c r="BW53" s="27"/>
      <c r="CA53" s="27"/>
      <c r="CB53" s="27"/>
      <c r="CC53" s="27"/>
      <c r="CD53" s="27"/>
      <c r="CH53" s="27"/>
      <c r="CI53" s="27"/>
      <c r="CJ53" s="27"/>
      <c r="CK53" s="27"/>
      <c r="CO53" s="27"/>
      <c r="CP53" s="27"/>
      <c r="CQ53" s="27"/>
      <c r="CR53" s="27"/>
      <c r="CT53" s="11"/>
      <c r="CU53" s="11"/>
      <c r="CV53" s="53"/>
      <c r="CW53" s="53"/>
      <c r="CX53" s="53"/>
      <c r="CY53" s="53"/>
      <c r="CZ53" s="11"/>
      <c r="DA53" s="11"/>
      <c r="DB53" s="11"/>
      <c r="DC53" s="53"/>
      <c r="DD53" s="53"/>
      <c r="DE53" s="53"/>
      <c r="DF53" s="53"/>
      <c r="DG53" s="11"/>
      <c r="DJ53" s="27"/>
      <c r="DK53" s="27"/>
      <c r="DL53" s="27"/>
      <c r="DM53" s="27"/>
      <c r="DQ53" s="27"/>
      <c r="DR53" s="27"/>
      <c r="DS53" s="27"/>
      <c r="DT53" s="27"/>
    </row>
    <row r="54" ht="15.75" customHeight="1">
      <c r="CT54" s="11"/>
      <c r="CU54" s="11"/>
      <c r="CV54" s="11"/>
      <c r="CW54" s="11"/>
      <c r="CX54" s="11"/>
      <c r="CY54" s="11"/>
      <c r="CZ54" s="11"/>
      <c r="DA54" s="11"/>
      <c r="DB54" s="11"/>
      <c r="DC54" s="11"/>
      <c r="DD54" s="11"/>
      <c r="DE54" s="11"/>
      <c r="DF54" s="11"/>
      <c r="DG54" s="11"/>
    </row>
    <row r="55" ht="15.75" customHeight="1">
      <c r="B55" s="48" t="s">
        <v>26</v>
      </c>
      <c r="C55" s="48"/>
      <c r="D55" s="49" t="s">
        <v>213</v>
      </c>
      <c r="E55" s="49" t="s">
        <v>214</v>
      </c>
      <c r="F55" s="32">
        <v>6.0</v>
      </c>
      <c r="H55" s="27">
        <f>+SUM(H56:H67)</f>
        <v>1</v>
      </c>
      <c r="J55" s="28">
        <f>+SUM(J56:J63)</f>
        <v>8.5</v>
      </c>
      <c r="K55" s="29">
        <f>+SUMPRODUCT(H56:H66,K56:K66)</f>
        <v>0.18</v>
      </c>
      <c r="L55" s="29">
        <f>+SUMPRODUCT(H56:H66,L56:L66)</f>
        <v>0.18</v>
      </c>
      <c r="M55" s="26"/>
      <c r="O55" s="28">
        <f>+SUM(O56:O63)</f>
        <v>0</v>
      </c>
      <c r="V55" s="28"/>
      <c r="AC55" s="28"/>
      <c r="AJ55" s="28">
        <f>+SUM(AJ56:AJ67)</f>
        <v>3.5</v>
      </c>
      <c r="AQ55" s="28">
        <f>+SUM(AQ56:AQ67)</f>
        <v>0</v>
      </c>
      <c r="AX55" s="28">
        <f>+SUM(AX56:AX67)</f>
        <v>0</v>
      </c>
      <c r="BE55" s="28">
        <f>+SUM(BE56:BE67)</f>
        <v>5</v>
      </c>
      <c r="BL55" s="28">
        <f>+SUM(BL56:BL67)</f>
        <v>0</v>
      </c>
      <c r="BS55" s="28">
        <f>+SUM(BS56:BS67)</f>
        <v>0</v>
      </c>
      <c r="BZ55" s="28">
        <f>+SUM(BZ56:BZ67)</f>
        <v>0</v>
      </c>
      <c r="CG55" s="28">
        <f>+SUM(CG56:CG67)</f>
        <v>0</v>
      </c>
      <c r="CN55" s="28">
        <f>+SUM(CN56:CN67)</f>
        <v>0</v>
      </c>
      <c r="CT55" s="11"/>
      <c r="CU55" s="28">
        <f>+SUM(CU56:CU67)</f>
        <v>0</v>
      </c>
      <c r="DA55" s="11"/>
      <c r="DB55" s="28">
        <f>+SUM(DB56:DB67)</f>
        <v>0</v>
      </c>
      <c r="DI55" s="28">
        <f>+SUM(DI56:DI67)</f>
        <v>0</v>
      </c>
      <c r="DP55" s="28"/>
    </row>
    <row r="56" ht="15.75" customHeight="1" outlineLevel="1">
      <c r="B56" s="48" t="s">
        <v>56</v>
      </c>
      <c r="C56" s="48"/>
      <c r="D56" s="49" t="s">
        <v>213</v>
      </c>
      <c r="F56" s="26"/>
      <c r="G56" s="49" t="s">
        <v>248</v>
      </c>
      <c r="H56" s="30">
        <v>0.05</v>
      </c>
      <c r="J56" s="26">
        <f t="shared" ref="J56:J66" si="47">+SUMIF($O$3:$ACN$3,J$3,$O56:$ACN56)</f>
        <v>3.5</v>
      </c>
      <c r="K56" s="29">
        <f t="shared" ref="K56:L56" si="46">+MAXIFS($O56:$ABT56,$O$3:$ABT$3,K$3)</f>
        <v>1</v>
      </c>
      <c r="L56" s="29">
        <f t="shared" si="46"/>
        <v>1</v>
      </c>
      <c r="M56" s="26"/>
      <c r="P56" s="27"/>
      <c r="Q56" s="27"/>
      <c r="R56" s="27"/>
      <c r="S56" s="30">
        <v>0.5</v>
      </c>
      <c r="W56" s="27"/>
      <c r="X56" s="27"/>
      <c r="Y56" s="27"/>
      <c r="Z56" s="30"/>
      <c r="AD56" s="27"/>
      <c r="AE56" s="27"/>
      <c r="AF56" s="27"/>
      <c r="AG56" s="30"/>
      <c r="AJ56" s="5">
        <v>3.5</v>
      </c>
      <c r="AK56" s="27"/>
      <c r="AL56" s="30">
        <v>1.0</v>
      </c>
      <c r="AM56" s="27"/>
      <c r="AN56" s="30">
        <v>1.0</v>
      </c>
      <c r="AO56" s="5" t="s">
        <v>249</v>
      </c>
      <c r="AR56" s="30">
        <v>1.0</v>
      </c>
      <c r="AS56" s="30">
        <v>1.0</v>
      </c>
      <c r="AT56" s="30">
        <v>1.0</v>
      </c>
      <c r="AU56" s="30">
        <v>1.0</v>
      </c>
      <c r="AY56" s="27"/>
      <c r="AZ56" s="30">
        <v>1.0</v>
      </c>
      <c r="BA56" s="27"/>
      <c r="BB56" s="30">
        <v>1.0</v>
      </c>
      <c r="BF56" s="30">
        <v>1.0</v>
      </c>
      <c r="BG56" s="30">
        <v>1.0</v>
      </c>
      <c r="BH56" s="30">
        <v>1.0</v>
      </c>
      <c r="BI56" s="30">
        <v>1.0</v>
      </c>
      <c r="BM56" s="30"/>
      <c r="BN56" s="27"/>
      <c r="BO56" s="27"/>
      <c r="BP56" s="30"/>
      <c r="BT56" s="27"/>
      <c r="BU56" s="30"/>
      <c r="BV56" s="27"/>
      <c r="BW56" s="30"/>
      <c r="CA56" s="27"/>
      <c r="CB56" s="30"/>
      <c r="CC56" s="27"/>
      <c r="CD56" s="30"/>
      <c r="CH56" s="27"/>
      <c r="CI56" s="30"/>
      <c r="CJ56" s="27"/>
      <c r="CK56" s="30"/>
      <c r="CO56" s="27"/>
      <c r="CP56" s="30"/>
      <c r="CQ56" s="27"/>
      <c r="CR56" s="30"/>
      <c r="CT56" s="11"/>
      <c r="CV56" s="27"/>
      <c r="CW56" s="30"/>
      <c r="CX56" s="27"/>
      <c r="CY56" s="30"/>
      <c r="DA56" s="11"/>
      <c r="DC56" s="27"/>
      <c r="DD56" s="30"/>
      <c r="DE56" s="27"/>
      <c r="DF56" s="30"/>
      <c r="DJ56" s="27"/>
      <c r="DK56" s="30">
        <v>1.0</v>
      </c>
      <c r="DL56" s="27"/>
      <c r="DM56" s="30">
        <v>1.0</v>
      </c>
      <c r="DQ56" s="27"/>
      <c r="DR56" s="27"/>
      <c r="DS56" s="27"/>
      <c r="DT56" s="27"/>
    </row>
    <row r="57" ht="15.75" customHeight="1" outlineLevel="1">
      <c r="B57" s="48" t="s">
        <v>56</v>
      </c>
      <c r="C57" s="48"/>
      <c r="D57" s="49" t="s">
        <v>213</v>
      </c>
      <c r="F57" s="26"/>
      <c r="G57" s="49" t="s">
        <v>250</v>
      </c>
      <c r="H57" s="27">
        <v>0.1</v>
      </c>
      <c r="J57" s="26">
        <f t="shared" si="47"/>
        <v>5</v>
      </c>
      <c r="K57" s="29">
        <f t="shared" ref="K57:L57" si="48">+MAXIFS($O57:$ABT57,$O$3:$ABT$3,K$3)</f>
        <v>1</v>
      </c>
      <c r="L57" s="29">
        <f t="shared" si="48"/>
        <v>1</v>
      </c>
      <c r="M57" s="26"/>
      <c r="P57" s="27"/>
      <c r="Q57" s="27"/>
      <c r="R57" s="27"/>
      <c r="S57" s="30"/>
      <c r="W57" s="27"/>
      <c r="X57" s="27"/>
      <c r="Y57" s="27"/>
      <c r="Z57" s="30"/>
      <c r="AD57" s="27"/>
      <c r="AE57" s="27"/>
      <c r="AF57" s="27"/>
      <c r="AG57" s="30"/>
      <c r="AK57" s="27"/>
      <c r="AL57" s="30">
        <v>0.5</v>
      </c>
      <c r="AM57" s="27"/>
      <c r="AN57" s="30">
        <v>0.5</v>
      </c>
      <c r="AR57" s="30">
        <v>0.8</v>
      </c>
      <c r="AS57" s="30">
        <v>0.8</v>
      </c>
      <c r="AT57" s="30">
        <v>0.8</v>
      </c>
      <c r="AU57" s="30">
        <v>0.8</v>
      </c>
      <c r="AY57" s="27"/>
      <c r="AZ57" s="30">
        <v>1.0</v>
      </c>
      <c r="BA57" s="27"/>
      <c r="BB57" s="30">
        <v>1.0</v>
      </c>
      <c r="BE57" s="5">
        <v>5.0</v>
      </c>
      <c r="BF57" s="30">
        <v>1.0</v>
      </c>
      <c r="BG57" s="30">
        <v>1.0</v>
      </c>
      <c r="BH57" s="30">
        <v>1.0</v>
      </c>
      <c r="BI57" s="30">
        <v>1.0</v>
      </c>
      <c r="BM57" s="30"/>
      <c r="BN57" s="27"/>
      <c r="BO57" s="27"/>
      <c r="BP57" s="30"/>
      <c r="BT57" s="27"/>
      <c r="BU57" s="30"/>
      <c r="BV57" s="27"/>
      <c r="BW57" s="30"/>
      <c r="CA57" s="27"/>
      <c r="CB57" s="30"/>
      <c r="CC57" s="27"/>
      <c r="CD57" s="30"/>
      <c r="CH57" s="27"/>
      <c r="CI57" s="30"/>
      <c r="CJ57" s="27"/>
      <c r="CK57" s="30"/>
      <c r="CO57" s="27"/>
      <c r="CP57" s="30"/>
      <c r="CQ57" s="27"/>
      <c r="CR57" s="30"/>
      <c r="CT57" s="11"/>
      <c r="CV57" s="27"/>
      <c r="CW57" s="30"/>
      <c r="CX57" s="27"/>
      <c r="CY57" s="30"/>
      <c r="DA57" s="11"/>
      <c r="DC57" s="27"/>
      <c r="DD57" s="30"/>
      <c r="DE57" s="27"/>
      <c r="DF57" s="30"/>
      <c r="DJ57" s="27"/>
      <c r="DK57" s="30">
        <v>1.0</v>
      </c>
      <c r="DL57" s="27"/>
      <c r="DM57" s="30">
        <v>1.0</v>
      </c>
      <c r="DQ57" s="27"/>
      <c r="DR57" s="27"/>
      <c r="DS57" s="27"/>
      <c r="DT57" s="27"/>
    </row>
    <row r="58" ht="15.75" customHeight="1" outlineLevel="1">
      <c r="B58" s="48" t="s">
        <v>56</v>
      </c>
      <c r="C58" s="48"/>
      <c r="D58" s="49" t="s">
        <v>213</v>
      </c>
      <c r="F58" s="26"/>
      <c r="G58" s="49" t="s">
        <v>251</v>
      </c>
      <c r="H58" s="27">
        <v>0.1</v>
      </c>
      <c r="J58" s="26">
        <f t="shared" si="47"/>
        <v>0</v>
      </c>
      <c r="K58" s="29">
        <f t="shared" ref="K58:L58" si="49">+MAXIFS($O58:$ABT58,$O$3:$ABT$3,K$3)</f>
        <v>0.3</v>
      </c>
      <c r="L58" s="29">
        <f t="shared" si="49"/>
        <v>0.3</v>
      </c>
      <c r="M58" s="26"/>
      <c r="P58" s="27"/>
      <c r="Q58" s="27"/>
      <c r="R58" s="27"/>
      <c r="S58" s="30"/>
      <c r="W58" s="27"/>
      <c r="X58" s="27"/>
      <c r="Y58" s="27"/>
      <c r="Z58" s="30"/>
      <c r="AD58" s="27"/>
      <c r="AE58" s="27"/>
      <c r="AF58" s="27"/>
      <c r="AG58" s="30"/>
      <c r="AK58" s="27"/>
      <c r="AL58" s="27"/>
      <c r="AM58" s="27"/>
      <c r="AN58" s="30"/>
      <c r="AR58" s="30">
        <v>0.3</v>
      </c>
      <c r="AS58" s="30">
        <v>0.5</v>
      </c>
      <c r="AT58" s="30">
        <v>0.3</v>
      </c>
      <c r="AU58" s="30">
        <v>0.5</v>
      </c>
      <c r="AY58" s="27"/>
      <c r="AZ58" s="30">
        <v>0.8</v>
      </c>
      <c r="BA58" s="27"/>
      <c r="BB58" s="30">
        <v>0.8</v>
      </c>
      <c r="BF58" s="27"/>
      <c r="BG58" s="30">
        <v>1.0</v>
      </c>
      <c r="BH58" s="27"/>
      <c r="BI58" s="30">
        <v>1.0</v>
      </c>
      <c r="BM58" s="30"/>
      <c r="BN58" s="27"/>
      <c r="BO58" s="27"/>
      <c r="BP58" s="30"/>
      <c r="BT58" s="27"/>
      <c r="BU58" s="30"/>
      <c r="BV58" s="27"/>
      <c r="BW58" s="30"/>
      <c r="CA58" s="27"/>
      <c r="CB58" s="30"/>
      <c r="CC58" s="27"/>
      <c r="CD58" s="30"/>
      <c r="CH58" s="27"/>
      <c r="CI58" s="30"/>
      <c r="CJ58" s="27"/>
      <c r="CK58" s="30"/>
      <c r="CO58" s="27"/>
      <c r="CP58" s="30"/>
      <c r="CQ58" s="27"/>
      <c r="CR58" s="30"/>
      <c r="CT58" s="11"/>
      <c r="CV58" s="27"/>
      <c r="CW58" s="30"/>
      <c r="CX58" s="27"/>
      <c r="CY58" s="30"/>
      <c r="DA58" s="11"/>
      <c r="DC58" s="27"/>
      <c r="DD58" s="30"/>
      <c r="DE58" s="27"/>
      <c r="DF58" s="30"/>
      <c r="DJ58" s="27"/>
      <c r="DK58" s="30">
        <v>1.0</v>
      </c>
      <c r="DL58" s="27"/>
      <c r="DM58" s="30">
        <v>1.0</v>
      </c>
      <c r="DQ58" s="27"/>
      <c r="DR58" s="27"/>
      <c r="DS58" s="27"/>
      <c r="DT58" s="27"/>
    </row>
    <row r="59" ht="15.75" customHeight="1" outlineLevel="1">
      <c r="B59" s="48" t="s">
        <v>56</v>
      </c>
      <c r="C59" s="48"/>
      <c r="D59" s="49" t="s">
        <v>213</v>
      </c>
      <c r="F59" s="26"/>
      <c r="G59" s="49" t="s">
        <v>252</v>
      </c>
      <c r="H59" s="30">
        <v>0.05</v>
      </c>
      <c r="J59" s="26">
        <f t="shared" si="47"/>
        <v>0</v>
      </c>
      <c r="K59" s="29">
        <f t="shared" ref="K59:L59" si="50">+MAXIFS($O59:$ABT59,$O$3:$ABT$3,K$3)</f>
        <v>0</v>
      </c>
      <c r="L59" s="29">
        <f t="shared" si="50"/>
        <v>0</v>
      </c>
      <c r="M59" s="26"/>
      <c r="P59" s="27"/>
      <c r="Q59" s="27"/>
      <c r="R59" s="27"/>
      <c r="S59" s="30"/>
      <c r="W59" s="27"/>
      <c r="X59" s="27"/>
      <c r="Y59" s="27"/>
      <c r="Z59" s="30"/>
      <c r="AD59" s="27"/>
      <c r="AE59" s="27"/>
      <c r="AF59" s="27"/>
      <c r="AG59" s="30"/>
      <c r="AK59" s="27"/>
      <c r="AL59" s="27"/>
      <c r="AM59" s="27"/>
      <c r="AN59" s="30"/>
      <c r="AR59" s="27"/>
      <c r="AS59" s="27"/>
      <c r="AT59" s="27"/>
      <c r="AU59" s="30"/>
      <c r="AY59" s="27"/>
      <c r="AZ59" s="30">
        <v>0.5</v>
      </c>
      <c r="BA59" s="27"/>
      <c r="BB59" s="30">
        <v>0.5</v>
      </c>
      <c r="BF59" s="27"/>
      <c r="BG59" s="30">
        <v>0.8</v>
      </c>
      <c r="BH59" s="27"/>
      <c r="BI59" s="30">
        <v>0.8</v>
      </c>
      <c r="BM59" s="30"/>
      <c r="BN59" s="27"/>
      <c r="BO59" s="27"/>
      <c r="BP59" s="30"/>
      <c r="BT59" s="27"/>
      <c r="BU59" s="30"/>
      <c r="BV59" s="27"/>
      <c r="BW59" s="30"/>
      <c r="CA59" s="27"/>
      <c r="CB59" s="30"/>
      <c r="CC59" s="27"/>
      <c r="CD59" s="30"/>
      <c r="CH59" s="27"/>
      <c r="CI59" s="30"/>
      <c r="CJ59" s="27"/>
      <c r="CK59" s="30"/>
      <c r="CO59" s="27"/>
      <c r="CP59" s="30"/>
      <c r="CQ59" s="27"/>
      <c r="CR59" s="30"/>
      <c r="CT59" s="11"/>
      <c r="CV59" s="27"/>
      <c r="CW59" s="30"/>
      <c r="CX59" s="27"/>
      <c r="CY59" s="30"/>
      <c r="DA59" s="11"/>
      <c r="DC59" s="27"/>
      <c r="DD59" s="30"/>
      <c r="DE59" s="27"/>
      <c r="DF59" s="30"/>
      <c r="DJ59" s="27"/>
      <c r="DK59" s="30">
        <v>1.0</v>
      </c>
      <c r="DL59" s="27"/>
      <c r="DM59" s="30">
        <v>1.0</v>
      </c>
      <c r="DQ59" s="27"/>
      <c r="DR59" s="27"/>
      <c r="DS59" s="27"/>
      <c r="DT59" s="27"/>
    </row>
    <row r="60" ht="15.75" customHeight="1" outlineLevel="1">
      <c r="B60" s="48" t="s">
        <v>56</v>
      </c>
      <c r="C60" s="48"/>
      <c r="D60" s="49" t="s">
        <v>213</v>
      </c>
      <c r="F60" s="26"/>
      <c r="G60" s="49" t="s">
        <v>253</v>
      </c>
      <c r="H60" s="30">
        <v>0.05</v>
      </c>
      <c r="J60" s="26">
        <f t="shared" si="47"/>
        <v>0</v>
      </c>
      <c r="K60" s="29">
        <f t="shared" ref="K60:L60" si="51">+MAXIFS($O60:$ABT60,$O$3:$ABT$3,K$3)</f>
        <v>0</v>
      </c>
      <c r="L60" s="29">
        <f t="shared" si="51"/>
        <v>0</v>
      </c>
      <c r="M60" s="26"/>
      <c r="P60" s="27"/>
      <c r="Q60" s="27"/>
      <c r="R60" s="27"/>
      <c r="S60" s="30"/>
      <c r="W60" s="27"/>
      <c r="X60" s="27"/>
      <c r="Y60" s="27"/>
      <c r="Z60" s="30"/>
      <c r="AD60" s="27"/>
      <c r="AE60" s="27"/>
      <c r="AF60" s="27"/>
      <c r="AG60" s="30"/>
      <c r="AK60" s="27"/>
      <c r="AL60" s="27"/>
      <c r="AM60" s="27"/>
      <c r="AN60" s="30"/>
      <c r="AR60" s="27"/>
      <c r="AS60" s="27"/>
      <c r="AT60" s="27"/>
      <c r="AU60" s="30"/>
      <c r="AY60" s="27"/>
      <c r="AZ60" s="30">
        <v>0.5</v>
      </c>
      <c r="BA60" s="27"/>
      <c r="BB60" s="30">
        <v>0.5</v>
      </c>
      <c r="BF60" s="27"/>
      <c r="BG60" s="30">
        <v>0.8</v>
      </c>
      <c r="BH60" s="27"/>
      <c r="BI60" s="30">
        <v>0.8</v>
      </c>
      <c r="BM60" s="30"/>
      <c r="BN60" s="27"/>
      <c r="BO60" s="27"/>
      <c r="BP60" s="30"/>
      <c r="BT60" s="27"/>
      <c r="BU60" s="30"/>
      <c r="BV60" s="27"/>
      <c r="BW60" s="30"/>
      <c r="CA60" s="27"/>
      <c r="CB60" s="30"/>
      <c r="CC60" s="27"/>
      <c r="CD60" s="30"/>
      <c r="CH60" s="27"/>
      <c r="CI60" s="30"/>
      <c r="CJ60" s="27"/>
      <c r="CK60" s="30"/>
      <c r="CO60" s="27"/>
      <c r="CP60" s="30"/>
      <c r="CQ60" s="27"/>
      <c r="CR60" s="30"/>
      <c r="CT60" s="11"/>
      <c r="CV60" s="27"/>
      <c r="CW60" s="30"/>
      <c r="CX60" s="27"/>
      <c r="CY60" s="30"/>
      <c r="DA60" s="11"/>
      <c r="DC60" s="27"/>
      <c r="DD60" s="30"/>
      <c r="DE60" s="27"/>
      <c r="DF60" s="30"/>
      <c r="DJ60" s="27"/>
      <c r="DK60" s="30">
        <v>1.0</v>
      </c>
      <c r="DL60" s="27"/>
      <c r="DM60" s="30">
        <v>1.0</v>
      </c>
      <c r="DQ60" s="27"/>
      <c r="DR60" s="27"/>
      <c r="DS60" s="27"/>
      <c r="DT60" s="27"/>
    </row>
    <row r="61" ht="15.75" customHeight="1" outlineLevel="1">
      <c r="B61" s="48" t="s">
        <v>56</v>
      </c>
      <c r="C61" s="48"/>
      <c r="D61" s="49" t="s">
        <v>213</v>
      </c>
      <c r="F61" s="26"/>
      <c r="G61" s="59" t="s">
        <v>254</v>
      </c>
      <c r="H61" s="30">
        <v>0.2</v>
      </c>
      <c r="J61" s="26">
        <f t="shared" si="47"/>
        <v>0</v>
      </c>
      <c r="K61" s="29">
        <f t="shared" ref="K61:L61" si="52">+MAXIFS($O61:$ABT61,$O$3:$ABT$3,K$3)</f>
        <v>0</v>
      </c>
      <c r="L61" s="29">
        <f t="shared" si="52"/>
        <v>0</v>
      </c>
      <c r="M61" s="26"/>
      <c r="P61" s="27"/>
      <c r="Q61" s="27"/>
      <c r="R61" s="27"/>
      <c r="S61" s="30"/>
      <c r="W61" s="27"/>
      <c r="X61" s="27"/>
      <c r="Y61" s="27"/>
      <c r="Z61" s="30"/>
      <c r="AD61" s="27"/>
      <c r="AE61" s="27"/>
      <c r="AF61" s="27"/>
      <c r="AG61" s="30"/>
      <c r="AK61" s="27"/>
      <c r="AL61" s="27"/>
      <c r="AM61" s="27"/>
      <c r="AN61" s="30"/>
      <c r="AR61" s="27"/>
      <c r="AS61" s="27"/>
      <c r="AT61" s="27"/>
      <c r="AU61" s="30"/>
      <c r="AY61" s="27"/>
      <c r="AZ61" s="30"/>
      <c r="BA61" s="27"/>
      <c r="BB61" s="30"/>
      <c r="BF61" s="27"/>
      <c r="BG61" s="30">
        <v>0.5</v>
      </c>
      <c r="BH61" s="27"/>
      <c r="BI61" s="30">
        <v>0.5</v>
      </c>
      <c r="BM61" s="30"/>
      <c r="BN61" s="27"/>
      <c r="BO61" s="27"/>
      <c r="BP61" s="30"/>
      <c r="BT61" s="27"/>
      <c r="BU61" s="30"/>
      <c r="BV61" s="27"/>
      <c r="BW61" s="30"/>
      <c r="CA61" s="27"/>
      <c r="CB61" s="30"/>
      <c r="CC61" s="27"/>
      <c r="CD61" s="30"/>
      <c r="CH61" s="27"/>
      <c r="CI61" s="30"/>
      <c r="CJ61" s="27"/>
      <c r="CK61" s="30"/>
      <c r="CO61" s="27"/>
      <c r="CP61" s="30"/>
      <c r="CQ61" s="27"/>
      <c r="CR61" s="30"/>
      <c r="CT61" s="11"/>
      <c r="CV61" s="27"/>
      <c r="CW61" s="30"/>
      <c r="CX61" s="27"/>
      <c r="CY61" s="30"/>
      <c r="DA61" s="11"/>
      <c r="DC61" s="27"/>
      <c r="DD61" s="30"/>
      <c r="DE61" s="27"/>
      <c r="DF61" s="30"/>
      <c r="DJ61" s="27"/>
      <c r="DK61" s="30">
        <v>1.0</v>
      </c>
      <c r="DL61" s="27"/>
      <c r="DM61" s="30">
        <v>1.0</v>
      </c>
      <c r="DQ61" s="27"/>
      <c r="DR61" s="27"/>
      <c r="DS61" s="27"/>
      <c r="DT61" s="27"/>
    </row>
    <row r="62" ht="15.75" customHeight="1" outlineLevel="1">
      <c r="B62" s="48" t="s">
        <v>56</v>
      </c>
      <c r="C62" s="48"/>
      <c r="D62" s="49" t="s">
        <v>213</v>
      </c>
      <c r="F62" s="26"/>
      <c r="G62" s="49" t="s">
        <v>255</v>
      </c>
      <c r="H62" s="30">
        <v>0.05</v>
      </c>
      <c r="J62" s="26">
        <f t="shared" si="47"/>
        <v>0</v>
      </c>
      <c r="K62" s="29">
        <f t="shared" ref="K62:L62" si="53">+MAXIFS($O62:$ABT62,$O$3:$ABT$3,K$3)</f>
        <v>0</v>
      </c>
      <c r="L62" s="29">
        <f t="shared" si="53"/>
        <v>0</v>
      </c>
      <c r="M62" s="26"/>
      <c r="P62" s="27"/>
      <c r="Q62" s="27"/>
      <c r="R62" s="27"/>
      <c r="S62" s="30"/>
      <c r="W62" s="27"/>
      <c r="X62" s="27"/>
      <c r="Y62" s="27"/>
      <c r="Z62" s="30"/>
      <c r="AD62" s="27"/>
      <c r="AE62" s="27"/>
      <c r="AF62" s="27"/>
      <c r="AG62" s="30"/>
      <c r="AK62" s="27"/>
      <c r="AL62" s="27"/>
      <c r="AM62" s="27"/>
      <c r="AN62" s="30"/>
      <c r="AR62" s="27"/>
      <c r="AS62" s="27"/>
      <c r="AT62" s="27"/>
      <c r="AU62" s="30"/>
      <c r="AY62" s="27"/>
      <c r="AZ62" s="30"/>
      <c r="BA62" s="27"/>
      <c r="BB62" s="30"/>
      <c r="BF62" s="27"/>
      <c r="BG62" s="30"/>
      <c r="BH62" s="27"/>
      <c r="BI62" s="30"/>
      <c r="BM62" s="27"/>
      <c r="BN62" s="27"/>
      <c r="BO62" s="27"/>
      <c r="BP62" s="27"/>
      <c r="BT62" s="27"/>
      <c r="BU62" s="30"/>
      <c r="BV62" s="27"/>
      <c r="BW62" s="30"/>
      <c r="CA62" s="27"/>
      <c r="CB62" s="30"/>
      <c r="CC62" s="27"/>
      <c r="CD62" s="30"/>
      <c r="CH62" s="27"/>
      <c r="CI62" s="30"/>
      <c r="CJ62" s="27"/>
      <c r="CK62" s="30"/>
      <c r="CO62" s="27"/>
      <c r="CP62" s="30"/>
      <c r="CQ62" s="27"/>
      <c r="CR62" s="30"/>
      <c r="CT62" s="11"/>
      <c r="CV62" s="27"/>
      <c r="CW62" s="30"/>
      <c r="CX62" s="27"/>
      <c r="CY62" s="30"/>
      <c r="DA62" s="11"/>
      <c r="DC62" s="27"/>
      <c r="DD62" s="30"/>
      <c r="DE62" s="27"/>
      <c r="DF62" s="30"/>
      <c r="DJ62" s="27"/>
      <c r="DK62" s="30">
        <v>1.0</v>
      </c>
      <c r="DL62" s="27"/>
      <c r="DM62" s="30">
        <v>1.0</v>
      </c>
      <c r="DQ62" s="27"/>
      <c r="DR62" s="27"/>
      <c r="DS62" s="27"/>
      <c r="DT62" s="27"/>
    </row>
    <row r="63" ht="15.75" customHeight="1" outlineLevel="1">
      <c r="B63" s="48" t="s">
        <v>56</v>
      </c>
      <c r="C63" s="48"/>
      <c r="D63" s="49" t="s">
        <v>213</v>
      </c>
      <c r="F63" s="26"/>
      <c r="G63" s="49" t="s">
        <v>256</v>
      </c>
      <c r="H63" s="30">
        <v>0.05</v>
      </c>
      <c r="J63" s="26">
        <f t="shared" si="47"/>
        <v>0</v>
      </c>
      <c r="K63" s="29">
        <f t="shared" ref="K63:L63" si="54">+MAXIFS($O63:$ABT63,$O$3:$ABT$3,K$3)</f>
        <v>0</v>
      </c>
      <c r="L63" s="29">
        <f t="shared" si="54"/>
        <v>0</v>
      </c>
      <c r="M63" s="26"/>
      <c r="P63" s="27"/>
      <c r="Q63" s="27"/>
      <c r="R63" s="27"/>
      <c r="S63" s="30"/>
      <c r="W63" s="27"/>
      <c r="X63" s="27"/>
      <c r="Y63" s="27"/>
      <c r="Z63" s="30"/>
      <c r="AD63" s="27"/>
      <c r="AE63" s="27"/>
      <c r="AF63" s="27"/>
      <c r="AG63" s="30"/>
      <c r="AK63" s="27"/>
      <c r="AL63" s="27"/>
      <c r="AM63" s="27"/>
      <c r="AN63" s="30"/>
      <c r="AR63" s="27"/>
      <c r="AS63" s="27"/>
      <c r="AT63" s="27"/>
      <c r="AU63" s="30"/>
      <c r="AY63" s="27"/>
      <c r="AZ63" s="30"/>
      <c r="BA63" s="27"/>
      <c r="BB63" s="30"/>
      <c r="BF63" s="27"/>
      <c r="BG63" s="30"/>
      <c r="BH63" s="27"/>
      <c r="BI63" s="30"/>
      <c r="BM63" s="27"/>
      <c r="BN63" s="27"/>
      <c r="BO63" s="27"/>
      <c r="BP63" s="27"/>
      <c r="BT63" s="27"/>
      <c r="BU63" s="30"/>
      <c r="BV63" s="27"/>
      <c r="BW63" s="30"/>
      <c r="CA63" s="27"/>
      <c r="CB63" s="30"/>
      <c r="CC63" s="27"/>
      <c r="CD63" s="30"/>
      <c r="CH63" s="27"/>
      <c r="CI63" s="30"/>
      <c r="CJ63" s="27"/>
      <c r="CK63" s="30"/>
      <c r="CO63" s="27"/>
      <c r="CP63" s="30"/>
      <c r="CQ63" s="27"/>
      <c r="CR63" s="30"/>
      <c r="CT63" s="11"/>
      <c r="CV63" s="27"/>
      <c r="CW63" s="30"/>
      <c r="CX63" s="27"/>
      <c r="CY63" s="30"/>
      <c r="DA63" s="11"/>
      <c r="DC63" s="27"/>
      <c r="DD63" s="30"/>
      <c r="DE63" s="27"/>
      <c r="DF63" s="30"/>
      <c r="DJ63" s="27"/>
      <c r="DK63" s="30">
        <v>1.0</v>
      </c>
      <c r="DL63" s="27"/>
      <c r="DM63" s="30">
        <v>1.0</v>
      </c>
      <c r="DQ63" s="27"/>
      <c r="DR63" s="27"/>
      <c r="DS63" s="27"/>
      <c r="DT63" s="27"/>
    </row>
    <row r="64" ht="15.75" customHeight="1" outlineLevel="1">
      <c r="B64" s="48" t="s">
        <v>56</v>
      </c>
      <c r="C64" s="48"/>
      <c r="D64" s="49" t="s">
        <v>213</v>
      </c>
      <c r="F64" s="26"/>
      <c r="G64" s="49" t="s">
        <v>257</v>
      </c>
      <c r="H64" s="30">
        <v>0.05</v>
      </c>
      <c r="J64" s="26">
        <f t="shared" si="47"/>
        <v>0</v>
      </c>
      <c r="K64" s="29">
        <f t="shared" ref="K64:L64" si="55">+MAXIFS($O64:$ABT64,$O$3:$ABT$3,K$3)</f>
        <v>0</v>
      </c>
      <c r="L64" s="29">
        <f t="shared" si="55"/>
        <v>0</v>
      </c>
      <c r="M64" s="26"/>
      <c r="P64" s="27"/>
      <c r="Q64" s="27"/>
      <c r="R64" s="27"/>
      <c r="S64" s="30"/>
      <c r="W64" s="27"/>
      <c r="X64" s="27"/>
      <c r="Y64" s="27"/>
      <c r="Z64" s="30"/>
      <c r="AD64" s="27"/>
      <c r="AE64" s="27"/>
      <c r="AF64" s="27"/>
      <c r="AG64" s="30"/>
      <c r="AK64" s="27"/>
      <c r="AL64" s="27"/>
      <c r="AM64" s="27"/>
      <c r="AN64" s="30"/>
      <c r="AR64" s="27"/>
      <c r="AS64" s="27"/>
      <c r="AT64" s="27"/>
      <c r="AU64" s="30"/>
      <c r="AY64" s="27"/>
      <c r="AZ64" s="30"/>
      <c r="BA64" s="27"/>
      <c r="BB64" s="30"/>
      <c r="BF64" s="27"/>
      <c r="BG64" s="30"/>
      <c r="BH64" s="27"/>
      <c r="BI64" s="30"/>
      <c r="BM64" s="27"/>
      <c r="BN64" s="27"/>
      <c r="BO64" s="27"/>
      <c r="BP64" s="27"/>
      <c r="BT64" s="27"/>
      <c r="BU64" s="30"/>
      <c r="BV64" s="27"/>
      <c r="BW64" s="30"/>
      <c r="CA64" s="27"/>
      <c r="CB64" s="30"/>
      <c r="CC64" s="27"/>
      <c r="CD64" s="30"/>
      <c r="CH64" s="27"/>
      <c r="CI64" s="30"/>
      <c r="CJ64" s="27"/>
      <c r="CK64" s="30"/>
      <c r="CO64" s="27"/>
      <c r="CP64" s="30"/>
      <c r="CQ64" s="27"/>
      <c r="CR64" s="30"/>
      <c r="CT64" s="11"/>
      <c r="CV64" s="27"/>
      <c r="CW64" s="30"/>
      <c r="CX64" s="27"/>
      <c r="CY64" s="30"/>
      <c r="DA64" s="11"/>
      <c r="DC64" s="27"/>
      <c r="DD64" s="30"/>
      <c r="DE64" s="27"/>
      <c r="DF64" s="30"/>
      <c r="DJ64" s="27"/>
      <c r="DK64" s="30">
        <v>1.0</v>
      </c>
      <c r="DL64" s="27"/>
      <c r="DM64" s="30">
        <v>1.0</v>
      </c>
      <c r="DQ64" s="27"/>
      <c r="DR64" s="27"/>
      <c r="DS64" s="27"/>
      <c r="DT64" s="27"/>
    </row>
    <row r="65" ht="15.75" customHeight="1" outlineLevel="1">
      <c r="B65" s="48" t="s">
        <v>56</v>
      </c>
      <c r="C65" s="48"/>
      <c r="D65" s="49" t="s">
        <v>213</v>
      </c>
      <c r="F65" s="26"/>
      <c r="G65" s="49" t="s">
        <v>258</v>
      </c>
      <c r="H65" s="30">
        <v>0.05</v>
      </c>
      <c r="J65" s="26">
        <f t="shared" si="47"/>
        <v>0</v>
      </c>
      <c r="K65" s="29">
        <f t="shared" ref="K65:L65" si="56">+MAXIFS($O65:$ABT65,$O$3:$ABT$3,K$3)</f>
        <v>0</v>
      </c>
      <c r="L65" s="29">
        <f t="shared" si="56"/>
        <v>0</v>
      </c>
      <c r="M65" s="26"/>
      <c r="P65" s="27"/>
      <c r="Q65" s="27"/>
      <c r="R65" s="27"/>
      <c r="S65" s="30"/>
      <c r="W65" s="27"/>
      <c r="X65" s="27"/>
      <c r="Y65" s="27"/>
      <c r="Z65" s="30"/>
      <c r="AD65" s="27"/>
      <c r="AE65" s="27"/>
      <c r="AF65" s="27"/>
      <c r="AG65" s="30"/>
      <c r="AK65" s="27"/>
      <c r="AL65" s="27"/>
      <c r="AM65" s="27"/>
      <c r="AN65" s="30"/>
      <c r="AR65" s="27"/>
      <c r="AS65" s="27"/>
      <c r="AT65" s="27"/>
      <c r="AU65" s="30"/>
      <c r="AY65" s="27"/>
      <c r="AZ65" s="30"/>
      <c r="BA65" s="27"/>
      <c r="BB65" s="30"/>
      <c r="BF65" s="27"/>
      <c r="BG65" s="30"/>
      <c r="BH65" s="27"/>
      <c r="BI65" s="30"/>
      <c r="BM65" s="27"/>
      <c r="BN65" s="27"/>
      <c r="BO65" s="27"/>
      <c r="BP65" s="27"/>
      <c r="BT65" s="27"/>
      <c r="BU65" s="30"/>
      <c r="BV65" s="27"/>
      <c r="BW65" s="30"/>
      <c r="CA65" s="27"/>
      <c r="CB65" s="30"/>
      <c r="CC65" s="27"/>
      <c r="CD65" s="30"/>
      <c r="CH65" s="27"/>
      <c r="CI65" s="30"/>
      <c r="CJ65" s="27"/>
      <c r="CK65" s="30"/>
      <c r="CO65" s="27"/>
      <c r="CP65" s="30"/>
      <c r="CQ65" s="27"/>
      <c r="CR65" s="30"/>
      <c r="CT65" s="11"/>
      <c r="CV65" s="27"/>
      <c r="CW65" s="30"/>
      <c r="CX65" s="27"/>
      <c r="CY65" s="30"/>
      <c r="DA65" s="11"/>
      <c r="DC65" s="27"/>
      <c r="DD65" s="30"/>
      <c r="DE65" s="27"/>
      <c r="DF65" s="30"/>
      <c r="DJ65" s="27"/>
      <c r="DK65" s="30">
        <v>1.0</v>
      </c>
      <c r="DL65" s="27"/>
      <c r="DM65" s="30">
        <v>1.0</v>
      </c>
      <c r="DQ65" s="27"/>
      <c r="DR65" s="27"/>
      <c r="DS65" s="27"/>
      <c r="DT65" s="27"/>
    </row>
    <row r="66" ht="15.75" customHeight="1" outlineLevel="1">
      <c r="B66" s="48" t="s">
        <v>56</v>
      </c>
      <c r="C66" s="48"/>
      <c r="D66" s="49" t="s">
        <v>213</v>
      </c>
      <c r="F66" s="26"/>
      <c r="G66" s="49" t="s">
        <v>259</v>
      </c>
      <c r="H66" s="30">
        <v>0.05</v>
      </c>
      <c r="J66" s="26">
        <f t="shared" si="47"/>
        <v>0</v>
      </c>
      <c r="K66" s="29">
        <f t="shared" ref="K66:L66" si="57">+MAXIFS($O66:$ABT66,$O$3:$ABT$3,K$3)</f>
        <v>0</v>
      </c>
      <c r="L66" s="29">
        <f t="shared" si="57"/>
        <v>0</v>
      </c>
      <c r="M66" s="26"/>
      <c r="P66" s="27"/>
      <c r="Q66" s="27"/>
      <c r="R66" s="27"/>
      <c r="S66" s="30"/>
      <c r="W66" s="27"/>
      <c r="X66" s="27"/>
      <c r="Y66" s="27"/>
      <c r="Z66" s="30"/>
      <c r="AD66" s="27"/>
      <c r="AE66" s="27"/>
      <c r="AF66" s="27"/>
      <c r="AG66" s="30"/>
      <c r="AK66" s="27"/>
      <c r="AL66" s="27"/>
      <c r="AM66" s="27"/>
      <c r="AN66" s="30"/>
      <c r="AR66" s="27"/>
      <c r="AS66" s="27"/>
      <c r="AT66" s="27"/>
      <c r="AU66" s="30"/>
      <c r="AY66" s="27"/>
      <c r="AZ66" s="30"/>
      <c r="BA66" s="27"/>
      <c r="BB66" s="30"/>
      <c r="BF66" s="27"/>
      <c r="BG66" s="30"/>
      <c r="BH66" s="27"/>
      <c r="BI66" s="30"/>
      <c r="BM66" s="27"/>
      <c r="BN66" s="27"/>
      <c r="BO66" s="27"/>
      <c r="BP66" s="27"/>
      <c r="BT66" s="27"/>
      <c r="BU66" s="30"/>
      <c r="BV66" s="27"/>
      <c r="BW66" s="30"/>
      <c r="CA66" s="27"/>
      <c r="CB66" s="30"/>
      <c r="CC66" s="27"/>
      <c r="CD66" s="30"/>
      <c r="CH66" s="27"/>
      <c r="CI66" s="30"/>
      <c r="CJ66" s="27"/>
      <c r="CK66" s="30"/>
      <c r="CO66" s="27"/>
      <c r="CP66" s="30"/>
      <c r="CQ66" s="27"/>
      <c r="CR66" s="30"/>
      <c r="CT66" s="11"/>
      <c r="CV66" s="27"/>
      <c r="CW66" s="30"/>
      <c r="CX66" s="27"/>
      <c r="CY66" s="30"/>
      <c r="DA66" s="11"/>
      <c r="DC66" s="27"/>
      <c r="DD66" s="30"/>
      <c r="DE66" s="27"/>
      <c r="DF66" s="30"/>
      <c r="DJ66" s="27"/>
      <c r="DK66" s="30">
        <v>1.0</v>
      </c>
      <c r="DL66" s="27"/>
      <c r="DM66" s="30">
        <v>1.0</v>
      </c>
      <c r="DQ66" s="27"/>
      <c r="DR66" s="27"/>
      <c r="DS66" s="27"/>
      <c r="DT66" s="27"/>
    </row>
    <row r="67" ht="15.75" customHeight="1" outlineLevel="1">
      <c r="B67" s="48"/>
      <c r="C67" s="48"/>
      <c r="D67" s="49"/>
      <c r="F67" s="26"/>
      <c r="G67" s="49" t="s">
        <v>260</v>
      </c>
      <c r="H67" s="30">
        <v>0.2</v>
      </c>
      <c r="J67" s="26"/>
      <c r="K67" s="29">
        <f t="shared" ref="K67:L67" si="58">+MAXIFS($O67:$ABT67,$O$3:$ABT$3,K$3)</f>
        <v>0</v>
      </c>
      <c r="L67" s="29">
        <f t="shared" si="58"/>
        <v>0</v>
      </c>
      <c r="M67" s="26"/>
      <c r="P67" s="27"/>
      <c r="Q67" s="27"/>
      <c r="R67" s="27"/>
      <c r="S67" s="30"/>
      <c r="W67" s="27"/>
      <c r="X67" s="27"/>
      <c r="Y67" s="27"/>
      <c r="Z67" s="30"/>
      <c r="AD67" s="27"/>
      <c r="AE67" s="27"/>
      <c r="AF67" s="27"/>
      <c r="AG67" s="30"/>
      <c r="AK67" s="27"/>
      <c r="AL67" s="27"/>
      <c r="AM67" s="27"/>
      <c r="AN67" s="30"/>
      <c r="AR67" s="27"/>
      <c r="AS67" s="27"/>
      <c r="AT67" s="27"/>
      <c r="AU67" s="30"/>
      <c r="AY67" s="27"/>
      <c r="AZ67" s="30"/>
      <c r="BA67" s="27"/>
      <c r="BB67" s="30"/>
      <c r="BF67" s="27"/>
      <c r="BG67" s="30"/>
      <c r="BH67" s="27"/>
      <c r="BI67" s="30"/>
      <c r="BM67" s="27"/>
      <c r="BN67" s="27"/>
      <c r="BO67" s="27"/>
      <c r="BP67" s="27"/>
      <c r="BT67" s="27"/>
      <c r="BU67" s="30"/>
      <c r="BV67" s="27"/>
      <c r="BW67" s="30"/>
      <c r="CA67" s="27"/>
      <c r="CB67" s="30"/>
      <c r="CC67" s="27"/>
      <c r="CD67" s="30"/>
      <c r="CH67" s="27"/>
      <c r="CI67" s="30"/>
      <c r="CJ67" s="27"/>
      <c r="CK67" s="30"/>
      <c r="CO67" s="27"/>
      <c r="CP67" s="30"/>
      <c r="CQ67" s="27"/>
      <c r="CR67" s="30"/>
      <c r="CT67" s="11"/>
      <c r="CV67" s="27"/>
      <c r="CW67" s="30"/>
      <c r="CX67" s="27"/>
      <c r="CY67" s="30"/>
      <c r="DA67" s="11"/>
      <c r="DC67" s="27"/>
      <c r="DD67" s="30"/>
      <c r="DE67" s="27"/>
      <c r="DF67" s="30"/>
      <c r="DJ67" s="27"/>
      <c r="DK67" s="30">
        <v>1.0</v>
      </c>
      <c r="DL67" s="27"/>
      <c r="DM67" s="30">
        <v>1.0</v>
      </c>
      <c r="DQ67" s="27"/>
      <c r="DR67" s="27"/>
      <c r="DS67" s="27"/>
      <c r="DT67" s="27"/>
    </row>
    <row r="68" ht="15.75" customHeight="1">
      <c r="CT68" s="11"/>
      <c r="CU68" s="11"/>
      <c r="CV68" s="11"/>
      <c r="CW68" s="11"/>
      <c r="CX68" s="11"/>
      <c r="CY68" s="11"/>
      <c r="CZ68" s="11"/>
      <c r="DA68" s="11"/>
      <c r="DB68" s="11"/>
      <c r="DC68" s="11"/>
      <c r="DD68" s="11"/>
      <c r="DE68" s="11"/>
      <c r="DF68" s="11"/>
      <c r="DG68" s="11"/>
    </row>
    <row r="69" ht="15.75" customHeight="1">
      <c r="B69" s="48" t="s">
        <v>26</v>
      </c>
      <c r="C69" s="48"/>
      <c r="D69" s="49" t="s">
        <v>225</v>
      </c>
      <c r="E69" s="49" t="s">
        <v>226</v>
      </c>
      <c r="F69" s="32">
        <v>6.0</v>
      </c>
      <c r="H69" s="27">
        <f>+SUM(H70:H82)</f>
        <v>1</v>
      </c>
      <c r="J69" s="28">
        <f>+SUM(J70:J77)</f>
        <v>71.5</v>
      </c>
      <c r="K69" s="29">
        <f>+SUMPRODUCT(H70:H82,K70:K82)</f>
        <v>0.54</v>
      </c>
      <c r="L69" s="29">
        <f>+SUMPRODUCT(H70:H82,L70:L82)</f>
        <v>0.54</v>
      </c>
      <c r="M69" s="26"/>
      <c r="O69" s="28">
        <f>+SUM(O70:O77)</f>
        <v>0</v>
      </c>
      <c r="V69" s="28">
        <f>+SUM(V70:V82)</f>
        <v>7</v>
      </c>
      <c r="AC69" s="28">
        <f>+SUM(AC70:AC82)</f>
        <v>13</v>
      </c>
      <c r="AJ69" s="28">
        <f>+SUM(AJ70:AJ82)</f>
        <v>9</v>
      </c>
      <c r="AQ69" s="28">
        <f>+SUM(AQ70:AQ82)</f>
        <v>3.5</v>
      </c>
      <c r="AX69" s="28">
        <f>+SUM(AX70:AX82)</f>
        <v>30</v>
      </c>
      <c r="BE69" s="28">
        <f>+SUM(BE70:BE82)</f>
        <v>1</v>
      </c>
      <c r="BL69" s="28">
        <f>+SUM(BL70:BL82)</f>
        <v>8</v>
      </c>
      <c r="BS69" s="28">
        <f>+SUM(BS70:BS82)</f>
        <v>0</v>
      </c>
      <c r="BZ69" s="28">
        <f>+SUM(BZ70:BZ82)</f>
        <v>0</v>
      </c>
      <c r="CG69" s="28">
        <f>+SUM(CG70:CG82)</f>
        <v>0</v>
      </c>
      <c r="CN69" s="28">
        <f>+SUM(CN70:CN82)</f>
        <v>0</v>
      </c>
      <c r="CT69" s="11"/>
      <c r="CU69" s="28">
        <f>+SUM(CU70:CU82)</f>
        <v>0</v>
      </c>
      <c r="CZ69" s="11"/>
      <c r="DA69" s="11"/>
      <c r="DB69" s="28">
        <f>+SUM(DB70:DB82)</f>
        <v>0</v>
      </c>
      <c r="DG69" s="11"/>
      <c r="DI69" s="28">
        <f>+SUM(DI70:DI82)</f>
        <v>0</v>
      </c>
      <c r="DJ69" s="5" t="s">
        <v>227</v>
      </c>
      <c r="DP69" s="28"/>
    </row>
    <row r="70" ht="15.75" customHeight="1" outlineLevel="1">
      <c r="B70" s="48" t="s">
        <v>56</v>
      </c>
      <c r="C70" s="48"/>
      <c r="D70" s="49" t="s">
        <v>228</v>
      </c>
      <c r="F70" s="26"/>
      <c r="G70" s="49" t="s">
        <v>229</v>
      </c>
      <c r="H70" s="30">
        <v>0.07</v>
      </c>
      <c r="J70" s="26">
        <f t="shared" ref="J70:J82" si="60">+SUMIF($O$3:$ACN$3,J$3,$O70:$ACN70)</f>
        <v>9</v>
      </c>
      <c r="K70" s="29">
        <f t="shared" ref="K70:L70" si="59">+MAXIFS($O70:$ABT70,$O$3:$ABT$3,K$3)</f>
        <v>1</v>
      </c>
      <c r="L70" s="29">
        <f t="shared" si="59"/>
        <v>1</v>
      </c>
      <c r="M70" s="26"/>
      <c r="P70" s="27"/>
      <c r="Q70" s="27"/>
      <c r="R70" s="27"/>
      <c r="S70" s="27"/>
      <c r="V70" s="5">
        <v>5.0</v>
      </c>
      <c r="W70" s="30">
        <v>1.0</v>
      </c>
      <c r="X70" s="30">
        <v>1.0</v>
      </c>
      <c r="Y70" s="30">
        <v>1.0</v>
      </c>
      <c r="Z70" s="30">
        <v>1.0</v>
      </c>
      <c r="AC70" s="5">
        <v>2.0</v>
      </c>
      <c r="AD70" s="30">
        <v>1.0</v>
      </c>
      <c r="AE70" s="30">
        <v>1.0</v>
      </c>
      <c r="AF70" s="30">
        <v>1.0</v>
      </c>
      <c r="AG70" s="30">
        <v>1.0</v>
      </c>
      <c r="AK70" s="30">
        <v>1.0</v>
      </c>
      <c r="AL70" s="30">
        <v>1.0</v>
      </c>
      <c r="AM70" s="30">
        <v>1.0</v>
      </c>
      <c r="AN70" s="30">
        <v>1.0</v>
      </c>
      <c r="AR70" s="30">
        <v>1.0</v>
      </c>
      <c r="AS70" s="30">
        <v>1.0</v>
      </c>
      <c r="AT70" s="30">
        <v>1.0</v>
      </c>
      <c r="AU70" s="30">
        <v>1.0</v>
      </c>
      <c r="AX70" s="5">
        <v>2.0</v>
      </c>
      <c r="AY70" s="30">
        <v>1.0</v>
      </c>
      <c r="AZ70" s="30">
        <v>1.0</v>
      </c>
      <c r="BA70" s="30">
        <v>1.0</v>
      </c>
      <c r="BB70" s="30">
        <v>1.0</v>
      </c>
      <c r="BF70" s="30">
        <v>1.0</v>
      </c>
      <c r="BG70" s="30">
        <v>1.0</v>
      </c>
      <c r="BH70" s="30">
        <v>1.0</v>
      </c>
      <c r="BI70" s="30">
        <v>1.0</v>
      </c>
      <c r="BM70" s="30">
        <v>1.0</v>
      </c>
      <c r="BN70" s="30">
        <v>1.0</v>
      </c>
      <c r="BO70" s="30">
        <v>1.0</v>
      </c>
      <c r="BP70" s="30">
        <v>1.0</v>
      </c>
      <c r="BT70" s="27"/>
      <c r="BU70" s="30">
        <v>1.0</v>
      </c>
      <c r="BV70" s="27"/>
      <c r="BW70" s="30">
        <v>1.0</v>
      </c>
      <c r="CA70" s="27"/>
      <c r="CB70" s="30">
        <v>1.0</v>
      </c>
      <c r="CC70" s="27"/>
      <c r="CD70" s="30">
        <v>1.0</v>
      </c>
      <c r="CH70" s="27"/>
      <c r="CI70" s="30">
        <v>1.0</v>
      </c>
      <c r="CJ70" s="27"/>
      <c r="CK70" s="30">
        <v>1.0</v>
      </c>
      <c r="CO70" s="27"/>
      <c r="CP70" s="30">
        <v>1.0</v>
      </c>
      <c r="CQ70" s="27"/>
      <c r="CR70" s="30">
        <v>1.0</v>
      </c>
      <c r="CT70" s="11"/>
      <c r="CV70" s="27"/>
      <c r="CW70" s="30">
        <v>1.0</v>
      </c>
      <c r="CX70" s="27"/>
      <c r="CY70" s="30">
        <v>1.0</v>
      </c>
      <c r="CZ70" s="11"/>
      <c r="DA70" s="11"/>
      <c r="DC70" s="27"/>
      <c r="DD70" s="30">
        <v>1.0</v>
      </c>
      <c r="DE70" s="27"/>
      <c r="DF70" s="30">
        <v>1.0</v>
      </c>
      <c r="DG70" s="11"/>
      <c r="DJ70" s="27"/>
      <c r="DK70" s="30">
        <v>1.0</v>
      </c>
      <c r="DL70" s="27"/>
      <c r="DM70" s="30">
        <v>1.0</v>
      </c>
      <c r="DQ70" s="27"/>
      <c r="DR70" s="27"/>
      <c r="DS70" s="27"/>
      <c r="DT70" s="27"/>
    </row>
    <row r="71" ht="15.75" customHeight="1" outlineLevel="1">
      <c r="B71" s="48" t="s">
        <v>56</v>
      </c>
      <c r="C71" s="48"/>
      <c r="D71" s="49" t="s">
        <v>228</v>
      </c>
      <c r="F71" s="26"/>
      <c r="G71" s="49" t="s">
        <v>230</v>
      </c>
      <c r="H71" s="30">
        <v>0.1</v>
      </c>
      <c r="J71" s="26">
        <f t="shared" si="60"/>
        <v>8</v>
      </c>
      <c r="K71" s="29">
        <f t="shared" ref="K71:L71" si="61">+MAXIFS($O71:$ABT71,$O$3:$ABT$3,K$3)</f>
        <v>1</v>
      </c>
      <c r="L71" s="29">
        <f t="shared" si="61"/>
        <v>1</v>
      </c>
      <c r="M71" s="26"/>
      <c r="P71" s="27"/>
      <c r="Q71" s="27"/>
      <c r="R71" s="27"/>
      <c r="S71" s="27"/>
      <c r="V71" s="5">
        <v>2.0</v>
      </c>
      <c r="W71" s="30">
        <v>0.3</v>
      </c>
      <c r="X71" s="30">
        <v>0.1</v>
      </c>
      <c r="Y71" s="30">
        <v>0.3</v>
      </c>
      <c r="Z71" s="30">
        <v>0.1</v>
      </c>
      <c r="AC71" s="5">
        <v>2.0</v>
      </c>
      <c r="AD71" s="30">
        <v>1.0</v>
      </c>
      <c r="AE71" s="30">
        <v>1.0</v>
      </c>
      <c r="AF71" s="30">
        <v>1.0</v>
      </c>
      <c r="AG71" s="30">
        <v>1.0</v>
      </c>
      <c r="AK71" s="30">
        <v>1.0</v>
      </c>
      <c r="AL71" s="30">
        <v>1.0</v>
      </c>
      <c r="AM71" s="30">
        <v>1.0</v>
      </c>
      <c r="AN71" s="30">
        <v>1.0</v>
      </c>
      <c r="AR71" s="30">
        <v>1.0</v>
      </c>
      <c r="AS71" s="30">
        <v>1.0</v>
      </c>
      <c r="AT71" s="30">
        <v>1.0</v>
      </c>
      <c r="AU71" s="30">
        <v>1.0</v>
      </c>
      <c r="AX71" s="5">
        <v>4.0</v>
      </c>
      <c r="AY71" s="30">
        <v>1.0</v>
      </c>
      <c r="AZ71" s="30">
        <v>1.0</v>
      </c>
      <c r="BA71" s="30">
        <v>1.0</v>
      </c>
      <c r="BB71" s="30">
        <v>1.0</v>
      </c>
      <c r="BF71" s="30">
        <v>1.0</v>
      </c>
      <c r="BG71" s="30">
        <v>1.0</v>
      </c>
      <c r="BH71" s="30">
        <v>1.0</v>
      </c>
      <c r="BI71" s="30">
        <v>1.0</v>
      </c>
      <c r="BM71" s="30">
        <v>1.0</v>
      </c>
      <c r="BN71" s="30">
        <v>1.0</v>
      </c>
      <c r="BO71" s="30">
        <v>1.0</v>
      </c>
      <c r="BP71" s="30">
        <v>1.0</v>
      </c>
      <c r="BT71" s="27"/>
      <c r="BU71" s="30">
        <v>1.0</v>
      </c>
      <c r="BV71" s="27"/>
      <c r="BW71" s="30">
        <v>1.0</v>
      </c>
      <c r="CA71" s="27"/>
      <c r="CB71" s="30">
        <v>1.0</v>
      </c>
      <c r="CC71" s="27"/>
      <c r="CD71" s="30">
        <v>1.0</v>
      </c>
      <c r="CH71" s="27"/>
      <c r="CI71" s="30">
        <v>1.0</v>
      </c>
      <c r="CJ71" s="27"/>
      <c r="CK71" s="30">
        <v>1.0</v>
      </c>
      <c r="CO71" s="27"/>
      <c r="CP71" s="30">
        <v>1.0</v>
      </c>
      <c r="CQ71" s="27"/>
      <c r="CR71" s="30">
        <v>1.0</v>
      </c>
      <c r="CT71" s="11"/>
      <c r="CV71" s="27"/>
      <c r="CW71" s="30">
        <v>1.0</v>
      </c>
      <c r="CX71" s="27"/>
      <c r="CY71" s="30">
        <v>1.0</v>
      </c>
      <c r="CZ71" s="11"/>
      <c r="DA71" s="11"/>
      <c r="DC71" s="27"/>
      <c r="DD71" s="30">
        <v>1.0</v>
      </c>
      <c r="DE71" s="27"/>
      <c r="DF71" s="30">
        <v>1.0</v>
      </c>
      <c r="DG71" s="11"/>
      <c r="DJ71" s="27"/>
      <c r="DK71" s="30">
        <v>1.0</v>
      </c>
      <c r="DL71" s="27"/>
      <c r="DM71" s="30">
        <v>1.0</v>
      </c>
      <c r="DQ71" s="27"/>
      <c r="DR71" s="27"/>
      <c r="DS71" s="27"/>
      <c r="DT71" s="27"/>
    </row>
    <row r="72" ht="15.75" customHeight="1" outlineLevel="1">
      <c r="B72" s="48" t="s">
        <v>56</v>
      </c>
      <c r="C72" s="48"/>
      <c r="D72" s="49" t="s">
        <v>228</v>
      </c>
      <c r="F72" s="26"/>
      <c r="G72" s="49" t="s">
        <v>231</v>
      </c>
      <c r="H72" s="30">
        <v>0.1</v>
      </c>
      <c r="J72" s="26">
        <f t="shared" si="60"/>
        <v>19</v>
      </c>
      <c r="K72" s="29">
        <f t="shared" ref="K72:L72" si="62">+MAXIFS($O72:$ABT72,$O$3:$ABT$3,K$3)</f>
        <v>1</v>
      </c>
      <c r="L72" s="29">
        <f t="shared" si="62"/>
        <v>1</v>
      </c>
      <c r="M72" s="26"/>
      <c r="P72" s="27"/>
      <c r="Q72" s="27"/>
      <c r="R72" s="27"/>
      <c r="S72" s="27"/>
      <c r="W72" s="27"/>
      <c r="X72" s="30"/>
      <c r="Y72" s="27"/>
      <c r="Z72" s="30"/>
      <c r="AC72" s="5">
        <v>9.0</v>
      </c>
      <c r="AD72" s="30">
        <v>0.8</v>
      </c>
      <c r="AE72" s="30">
        <v>0.5</v>
      </c>
      <c r="AF72" s="30">
        <v>0.8</v>
      </c>
      <c r="AG72" s="30">
        <v>0.5</v>
      </c>
      <c r="AJ72" s="5">
        <v>6.0</v>
      </c>
      <c r="AK72" s="30">
        <v>1.0</v>
      </c>
      <c r="AL72" s="30">
        <v>1.0</v>
      </c>
      <c r="AM72" s="30">
        <v>1.0</v>
      </c>
      <c r="AN72" s="30">
        <v>1.0</v>
      </c>
      <c r="AR72" s="30">
        <v>1.0</v>
      </c>
      <c r="AS72" s="30">
        <v>1.0</v>
      </c>
      <c r="AT72" s="30">
        <v>1.0</v>
      </c>
      <c r="AU72" s="30">
        <v>1.0</v>
      </c>
      <c r="AX72" s="5">
        <v>4.0</v>
      </c>
      <c r="AY72" s="30">
        <v>1.0</v>
      </c>
      <c r="AZ72" s="30">
        <v>1.0</v>
      </c>
      <c r="BA72" s="30">
        <v>1.0</v>
      </c>
      <c r="BB72" s="30">
        <v>1.0</v>
      </c>
      <c r="BF72" s="30">
        <v>1.0</v>
      </c>
      <c r="BG72" s="30">
        <v>1.0</v>
      </c>
      <c r="BH72" s="30">
        <v>1.0</v>
      </c>
      <c r="BI72" s="30">
        <v>1.0</v>
      </c>
      <c r="BM72" s="30">
        <v>1.0</v>
      </c>
      <c r="BN72" s="30">
        <v>1.0</v>
      </c>
      <c r="BO72" s="30">
        <v>1.0</v>
      </c>
      <c r="BP72" s="30">
        <v>1.0</v>
      </c>
      <c r="BT72" s="27"/>
      <c r="BU72" s="30">
        <v>1.0</v>
      </c>
      <c r="BV72" s="27"/>
      <c r="BW72" s="30">
        <v>1.0</v>
      </c>
      <c r="CA72" s="27"/>
      <c r="CB72" s="30">
        <v>1.0</v>
      </c>
      <c r="CC72" s="27"/>
      <c r="CD72" s="30">
        <v>1.0</v>
      </c>
      <c r="CH72" s="27"/>
      <c r="CI72" s="30">
        <v>1.0</v>
      </c>
      <c r="CJ72" s="27"/>
      <c r="CK72" s="30">
        <v>1.0</v>
      </c>
      <c r="CO72" s="27"/>
      <c r="CP72" s="30">
        <v>1.0</v>
      </c>
      <c r="CQ72" s="27"/>
      <c r="CR72" s="30">
        <v>1.0</v>
      </c>
      <c r="CT72" s="11"/>
      <c r="CV72" s="27"/>
      <c r="CW72" s="30">
        <v>1.0</v>
      </c>
      <c r="CX72" s="27"/>
      <c r="CY72" s="30">
        <v>1.0</v>
      </c>
      <c r="CZ72" s="11"/>
      <c r="DA72" s="11"/>
      <c r="DC72" s="27"/>
      <c r="DD72" s="30">
        <v>1.0</v>
      </c>
      <c r="DE72" s="27"/>
      <c r="DF72" s="30">
        <v>1.0</v>
      </c>
      <c r="DG72" s="11"/>
      <c r="DJ72" s="27"/>
      <c r="DK72" s="30">
        <v>1.0</v>
      </c>
      <c r="DL72" s="27"/>
      <c r="DM72" s="30">
        <v>1.0</v>
      </c>
      <c r="DQ72" s="27"/>
      <c r="DR72" s="27"/>
      <c r="DS72" s="27"/>
      <c r="DT72" s="27"/>
    </row>
    <row r="73" ht="15.75" customHeight="1" outlineLevel="1">
      <c r="B73" s="48" t="s">
        <v>56</v>
      </c>
      <c r="C73" s="48"/>
      <c r="D73" s="49" t="s">
        <v>228</v>
      </c>
      <c r="F73" s="26"/>
      <c r="G73" s="49" t="s">
        <v>232</v>
      </c>
      <c r="H73" s="30">
        <v>0.07</v>
      </c>
      <c r="J73" s="26">
        <f t="shared" si="60"/>
        <v>14.5</v>
      </c>
      <c r="K73" s="29">
        <f t="shared" ref="K73:L73" si="63">+MAXIFS($O73:$ABT73,$O$3:$ABT$3,K$3)</f>
        <v>1</v>
      </c>
      <c r="L73" s="29">
        <f t="shared" si="63"/>
        <v>1</v>
      </c>
      <c r="M73" s="26"/>
      <c r="P73" s="27"/>
      <c r="Q73" s="27"/>
      <c r="R73" s="27"/>
      <c r="S73" s="27"/>
      <c r="W73" s="27"/>
      <c r="X73" s="30"/>
      <c r="Y73" s="27"/>
      <c r="Z73" s="30"/>
      <c r="AD73" s="27"/>
      <c r="AE73" s="30"/>
      <c r="AF73" s="27"/>
      <c r="AG73" s="30"/>
      <c r="AJ73" s="5">
        <v>3.0</v>
      </c>
      <c r="AK73" s="30">
        <v>0.5</v>
      </c>
      <c r="AL73" s="30">
        <v>0.5</v>
      </c>
      <c r="AM73" s="30">
        <v>0.5</v>
      </c>
      <c r="AN73" s="30">
        <v>0.5</v>
      </c>
      <c r="AQ73" s="5">
        <v>3.5</v>
      </c>
      <c r="AR73" s="30">
        <v>1.0</v>
      </c>
      <c r="AS73" s="30">
        <v>1.0</v>
      </c>
      <c r="AT73" s="30">
        <v>1.0</v>
      </c>
      <c r="AU73" s="30">
        <v>1.0</v>
      </c>
      <c r="AX73" s="5">
        <v>8.0</v>
      </c>
      <c r="AY73" s="30">
        <v>1.0</v>
      </c>
      <c r="AZ73" s="30">
        <v>1.0</v>
      </c>
      <c r="BA73" s="30">
        <v>1.0</v>
      </c>
      <c r="BB73" s="30">
        <v>1.0</v>
      </c>
      <c r="BF73" s="30">
        <v>1.0</v>
      </c>
      <c r="BG73" s="30">
        <v>1.0</v>
      </c>
      <c r="BH73" s="30">
        <v>1.0</v>
      </c>
      <c r="BI73" s="30">
        <v>1.0</v>
      </c>
      <c r="BM73" s="30">
        <v>1.0</v>
      </c>
      <c r="BN73" s="30">
        <v>1.0</v>
      </c>
      <c r="BO73" s="30">
        <v>1.0</v>
      </c>
      <c r="BP73" s="30">
        <v>1.0</v>
      </c>
      <c r="BT73" s="27"/>
      <c r="BU73" s="30">
        <v>1.0</v>
      </c>
      <c r="BV73" s="27"/>
      <c r="BW73" s="30">
        <v>1.0</v>
      </c>
      <c r="CA73" s="27"/>
      <c r="CB73" s="30">
        <v>1.0</v>
      </c>
      <c r="CC73" s="27"/>
      <c r="CD73" s="30">
        <v>1.0</v>
      </c>
      <c r="CH73" s="27"/>
      <c r="CI73" s="30">
        <v>1.0</v>
      </c>
      <c r="CJ73" s="27"/>
      <c r="CK73" s="30">
        <v>1.0</v>
      </c>
      <c r="CO73" s="27"/>
      <c r="CP73" s="30">
        <v>1.0</v>
      </c>
      <c r="CQ73" s="27"/>
      <c r="CR73" s="30">
        <v>1.0</v>
      </c>
      <c r="CT73" s="11"/>
      <c r="CV73" s="27"/>
      <c r="CW73" s="30">
        <v>1.0</v>
      </c>
      <c r="CX73" s="27"/>
      <c r="CY73" s="30">
        <v>1.0</v>
      </c>
      <c r="CZ73" s="11"/>
      <c r="DA73" s="11"/>
      <c r="DC73" s="27"/>
      <c r="DD73" s="30">
        <v>1.0</v>
      </c>
      <c r="DE73" s="27"/>
      <c r="DF73" s="30">
        <v>1.0</v>
      </c>
      <c r="DG73" s="11"/>
      <c r="DJ73" s="27"/>
      <c r="DK73" s="30">
        <v>1.0</v>
      </c>
      <c r="DL73" s="27"/>
      <c r="DM73" s="30">
        <v>1.0</v>
      </c>
      <c r="DQ73" s="27"/>
      <c r="DR73" s="27"/>
      <c r="DS73" s="27"/>
      <c r="DT73" s="27"/>
    </row>
    <row r="74" ht="15.75" customHeight="1" outlineLevel="1">
      <c r="B74" s="48" t="s">
        <v>56</v>
      </c>
      <c r="C74" s="48"/>
      <c r="D74" s="49" t="s">
        <v>228</v>
      </c>
      <c r="F74" s="26"/>
      <c r="G74" s="49" t="s">
        <v>233</v>
      </c>
      <c r="H74" s="30">
        <v>0.07</v>
      </c>
      <c r="J74" s="26">
        <f t="shared" si="60"/>
        <v>7</v>
      </c>
      <c r="K74" s="29">
        <f t="shared" ref="K74:L74" si="64">+MAXIFS($O74:$ABT74,$O$3:$ABT$3,K$3)</f>
        <v>1</v>
      </c>
      <c r="L74" s="29">
        <f t="shared" si="64"/>
        <v>1</v>
      </c>
      <c r="M74" s="26"/>
      <c r="P74" s="27"/>
      <c r="Q74" s="27"/>
      <c r="R74" s="27"/>
      <c r="S74" s="27"/>
      <c r="W74" s="27"/>
      <c r="X74" s="30"/>
      <c r="Y74" s="27"/>
      <c r="Z74" s="30"/>
      <c r="AD74" s="27"/>
      <c r="AE74" s="30"/>
      <c r="AF74" s="27"/>
      <c r="AG74" s="30"/>
      <c r="AK74" s="27"/>
      <c r="AL74" s="30"/>
      <c r="AM74" s="27"/>
      <c r="AN74" s="30"/>
      <c r="AR74" s="27"/>
      <c r="AS74" s="30">
        <v>0.5</v>
      </c>
      <c r="AT74" s="27"/>
      <c r="AU74" s="30">
        <v>0.5</v>
      </c>
      <c r="AX74" s="5">
        <v>6.0</v>
      </c>
      <c r="AY74" s="30">
        <v>1.0</v>
      </c>
      <c r="AZ74" s="30">
        <v>1.0</v>
      </c>
      <c r="BA74" s="30">
        <v>1.0</v>
      </c>
      <c r="BB74" s="30">
        <v>1.0</v>
      </c>
      <c r="BF74" s="30">
        <v>1.0</v>
      </c>
      <c r="BG74" s="30">
        <v>1.0</v>
      </c>
      <c r="BH74" s="30">
        <v>1.0</v>
      </c>
      <c r="BI74" s="30">
        <v>1.0</v>
      </c>
      <c r="BL74" s="5">
        <v>1.0</v>
      </c>
      <c r="BM74" s="30">
        <v>1.0</v>
      </c>
      <c r="BN74" s="30">
        <v>1.0</v>
      </c>
      <c r="BO74" s="30">
        <v>1.0</v>
      </c>
      <c r="BP74" s="30">
        <v>1.0</v>
      </c>
      <c r="BT74" s="27"/>
      <c r="BU74" s="30">
        <v>1.0</v>
      </c>
      <c r="BV74" s="27"/>
      <c r="BW74" s="30">
        <v>1.0</v>
      </c>
      <c r="CA74" s="27"/>
      <c r="CB74" s="30">
        <v>1.0</v>
      </c>
      <c r="CC74" s="27"/>
      <c r="CD74" s="30">
        <v>1.0</v>
      </c>
      <c r="CH74" s="27"/>
      <c r="CI74" s="30">
        <v>1.0</v>
      </c>
      <c r="CJ74" s="27"/>
      <c r="CK74" s="30">
        <v>1.0</v>
      </c>
      <c r="CO74" s="27"/>
      <c r="CP74" s="30">
        <v>1.0</v>
      </c>
      <c r="CQ74" s="27"/>
      <c r="CR74" s="30">
        <v>1.0</v>
      </c>
      <c r="CT74" s="11"/>
      <c r="CV74" s="27"/>
      <c r="CW74" s="30">
        <v>1.0</v>
      </c>
      <c r="CX74" s="27"/>
      <c r="CY74" s="30">
        <v>1.0</v>
      </c>
      <c r="CZ74" s="11"/>
      <c r="DA74" s="11"/>
      <c r="DC74" s="27"/>
      <c r="DD74" s="30">
        <v>1.0</v>
      </c>
      <c r="DE74" s="27"/>
      <c r="DF74" s="30">
        <v>1.0</v>
      </c>
      <c r="DG74" s="11"/>
      <c r="DJ74" s="27"/>
      <c r="DK74" s="30">
        <v>1.0</v>
      </c>
      <c r="DL74" s="27"/>
      <c r="DM74" s="30">
        <v>1.0</v>
      </c>
      <c r="DQ74" s="27"/>
      <c r="DR74" s="27"/>
      <c r="DS74" s="27"/>
      <c r="DT74" s="27"/>
    </row>
    <row r="75" ht="15.75" customHeight="1" outlineLevel="1">
      <c r="B75" s="48" t="s">
        <v>56</v>
      </c>
      <c r="C75" s="48"/>
      <c r="D75" s="49" t="s">
        <v>228</v>
      </c>
      <c r="F75" s="26"/>
      <c r="G75" s="49" t="s">
        <v>234</v>
      </c>
      <c r="H75" s="30">
        <v>0.07</v>
      </c>
      <c r="J75" s="26">
        <f t="shared" si="60"/>
        <v>12</v>
      </c>
      <c r="K75" s="29">
        <f t="shared" ref="K75:L75" si="65">+MAXIFS($O75:$ABT75,$O$3:$ABT$3,K$3)</f>
        <v>1</v>
      </c>
      <c r="L75" s="29">
        <f t="shared" si="65"/>
        <v>1</v>
      </c>
      <c r="M75" s="26"/>
      <c r="P75" s="27"/>
      <c r="Q75" s="27"/>
      <c r="R75" s="27"/>
      <c r="S75" s="27"/>
      <c r="W75" s="27"/>
      <c r="X75" s="30"/>
      <c r="Y75" s="27"/>
      <c r="Z75" s="30"/>
      <c r="AD75" s="27"/>
      <c r="AE75" s="30"/>
      <c r="AF75" s="27"/>
      <c r="AG75" s="30"/>
      <c r="AK75" s="27"/>
      <c r="AL75" s="30"/>
      <c r="AM75" s="27"/>
      <c r="AN75" s="30"/>
      <c r="AR75" s="27"/>
      <c r="AS75" s="30"/>
      <c r="AT75" s="27"/>
      <c r="AU75" s="30"/>
      <c r="AX75" s="5">
        <v>6.0</v>
      </c>
      <c r="AY75" s="30">
        <v>0.5</v>
      </c>
      <c r="AZ75" s="30">
        <v>0.5</v>
      </c>
      <c r="BA75" s="30">
        <v>0.5</v>
      </c>
      <c r="BB75" s="30">
        <v>0.5</v>
      </c>
      <c r="BE75" s="5">
        <v>1.0</v>
      </c>
      <c r="BF75" s="30">
        <v>1.0</v>
      </c>
      <c r="BG75" s="30">
        <v>1.0</v>
      </c>
      <c r="BH75" s="30">
        <v>1.0</v>
      </c>
      <c r="BI75" s="30">
        <v>1.0</v>
      </c>
      <c r="BL75" s="5">
        <v>5.0</v>
      </c>
      <c r="BM75" s="30">
        <v>1.0</v>
      </c>
      <c r="BN75" s="30">
        <v>1.0</v>
      </c>
      <c r="BO75" s="30">
        <v>1.0</v>
      </c>
      <c r="BP75" s="30">
        <v>1.0</v>
      </c>
      <c r="BT75" s="27"/>
      <c r="BU75" s="30">
        <v>1.0</v>
      </c>
      <c r="BV75" s="27"/>
      <c r="BW75" s="30">
        <v>1.0</v>
      </c>
      <c r="CA75" s="27"/>
      <c r="CB75" s="30">
        <v>1.0</v>
      </c>
      <c r="CC75" s="27"/>
      <c r="CD75" s="30">
        <v>1.0</v>
      </c>
      <c r="CH75" s="27"/>
      <c r="CI75" s="30">
        <v>1.0</v>
      </c>
      <c r="CJ75" s="27"/>
      <c r="CK75" s="30">
        <v>1.0</v>
      </c>
      <c r="CO75" s="27"/>
      <c r="CP75" s="30">
        <v>1.0</v>
      </c>
      <c r="CQ75" s="27"/>
      <c r="CR75" s="30">
        <v>1.0</v>
      </c>
      <c r="CT75" s="11"/>
      <c r="CV75" s="27"/>
      <c r="CW75" s="30">
        <v>1.0</v>
      </c>
      <c r="CX75" s="27"/>
      <c r="CY75" s="30">
        <v>1.0</v>
      </c>
      <c r="CZ75" s="11"/>
      <c r="DA75" s="11"/>
      <c r="DC75" s="27"/>
      <c r="DD75" s="30">
        <v>1.0</v>
      </c>
      <c r="DE75" s="27"/>
      <c r="DF75" s="30">
        <v>1.0</v>
      </c>
      <c r="DG75" s="11"/>
      <c r="DJ75" s="27"/>
      <c r="DK75" s="30">
        <v>1.0</v>
      </c>
      <c r="DL75" s="27"/>
      <c r="DM75" s="30">
        <v>1.0</v>
      </c>
      <c r="DQ75" s="27"/>
      <c r="DR75" s="27"/>
      <c r="DS75" s="27"/>
      <c r="DT75" s="27"/>
    </row>
    <row r="76" ht="15.75" customHeight="1" outlineLevel="1">
      <c r="B76" s="48" t="s">
        <v>56</v>
      </c>
      <c r="C76" s="48"/>
      <c r="D76" s="49" t="s">
        <v>228</v>
      </c>
      <c r="F76" s="26"/>
      <c r="G76" s="49" t="s">
        <v>235</v>
      </c>
      <c r="H76" s="30">
        <v>0.1</v>
      </c>
      <c r="J76" s="26">
        <f t="shared" si="60"/>
        <v>2</v>
      </c>
      <c r="K76" s="29">
        <f t="shared" ref="K76:L76" si="66">+MAXIFS($O76:$ABT76,$O$3:$ABT$3,K$3)</f>
        <v>0.6</v>
      </c>
      <c r="L76" s="29">
        <f t="shared" si="66"/>
        <v>0.6</v>
      </c>
      <c r="M76" s="26"/>
      <c r="P76" s="27"/>
      <c r="Q76" s="27"/>
      <c r="R76" s="27"/>
      <c r="S76" s="27"/>
      <c r="W76" s="27"/>
      <c r="X76" s="30"/>
      <c r="Y76" s="27"/>
      <c r="Z76" s="30"/>
      <c r="AD76" s="27"/>
      <c r="AE76" s="30"/>
      <c r="AF76" s="27"/>
      <c r="AG76" s="30"/>
      <c r="AK76" s="27"/>
      <c r="AL76" s="30"/>
      <c r="AM76" s="27"/>
      <c r="AN76" s="30"/>
      <c r="AR76" s="27"/>
      <c r="AS76" s="30"/>
      <c r="AT76" s="27"/>
      <c r="AU76" s="30"/>
      <c r="AY76" s="27"/>
      <c r="AZ76" s="30"/>
      <c r="BA76" s="27"/>
      <c r="BB76" s="30"/>
      <c r="BF76" s="27"/>
      <c r="BG76" s="30"/>
      <c r="BH76" s="27"/>
      <c r="BI76" s="30"/>
      <c r="BL76" s="5">
        <v>2.0</v>
      </c>
      <c r="BM76" s="30">
        <v>0.6</v>
      </c>
      <c r="BN76" s="30">
        <v>1.0</v>
      </c>
      <c r="BO76" s="30">
        <v>0.6</v>
      </c>
      <c r="BP76" s="30">
        <v>1.0</v>
      </c>
      <c r="BT76" s="27"/>
      <c r="BU76" s="30">
        <v>1.0</v>
      </c>
      <c r="BV76" s="27"/>
      <c r="BW76" s="30">
        <v>1.0</v>
      </c>
      <c r="CA76" s="27"/>
      <c r="CB76" s="30">
        <v>1.0</v>
      </c>
      <c r="CC76" s="27"/>
      <c r="CD76" s="30">
        <v>1.0</v>
      </c>
      <c r="CH76" s="27"/>
      <c r="CI76" s="30">
        <v>1.0</v>
      </c>
      <c r="CJ76" s="27"/>
      <c r="CK76" s="30">
        <v>1.0</v>
      </c>
      <c r="CO76" s="27"/>
      <c r="CP76" s="30">
        <v>1.0</v>
      </c>
      <c r="CQ76" s="27"/>
      <c r="CR76" s="30">
        <v>1.0</v>
      </c>
      <c r="CT76" s="11"/>
      <c r="CV76" s="27"/>
      <c r="CW76" s="30">
        <v>1.0</v>
      </c>
      <c r="CX76" s="27"/>
      <c r="CY76" s="30">
        <v>1.0</v>
      </c>
      <c r="CZ76" s="11"/>
      <c r="DA76" s="11"/>
      <c r="DC76" s="27"/>
      <c r="DD76" s="30">
        <v>1.0</v>
      </c>
      <c r="DE76" s="27"/>
      <c r="DF76" s="30">
        <v>1.0</v>
      </c>
      <c r="DG76" s="11"/>
      <c r="DJ76" s="27"/>
      <c r="DK76" s="30">
        <v>1.0</v>
      </c>
      <c r="DL76" s="27"/>
      <c r="DM76" s="30">
        <v>1.0</v>
      </c>
      <c r="DQ76" s="27"/>
      <c r="DR76" s="27"/>
      <c r="DS76" s="27"/>
      <c r="DT76" s="27"/>
    </row>
    <row r="77" ht="15.75" customHeight="1" outlineLevel="1">
      <c r="B77" s="48" t="s">
        <v>56</v>
      </c>
      <c r="C77" s="48"/>
      <c r="D77" s="49" t="s">
        <v>228</v>
      </c>
      <c r="F77" s="26"/>
      <c r="G77" s="49" t="s">
        <v>236</v>
      </c>
      <c r="H77" s="30">
        <v>0.07</v>
      </c>
      <c r="J77" s="26">
        <f t="shared" si="60"/>
        <v>0</v>
      </c>
      <c r="K77" s="29">
        <f t="shared" ref="K77:L77" si="67">+MAXIFS($O77:$ABT77,$O$3:$ABT$3,K$3)</f>
        <v>0</v>
      </c>
      <c r="L77" s="29">
        <f t="shared" si="67"/>
        <v>0</v>
      </c>
      <c r="M77" s="26"/>
      <c r="P77" s="27"/>
      <c r="Q77" s="27"/>
      <c r="R77" s="27"/>
      <c r="S77" s="27"/>
      <c r="W77" s="27"/>
      <c r="X77" s="30"/>
      <c r="Y77" s="27"/>
      <c r="Z77" s="30"/>
      <c r="AD77" s="27"/>
      <c r="AE77" s="30"/>
      <c r="AF77" s="27"/>
      <c r="AG77" s="30"/>
      <c r="AK77" s="27"/>
      <c r="AL77" s="30"/>
      <c r="AM77" s="27"/>
      <c r="AN77" s="30"/>
      <c r="AR77" s="27"/>
      <c r="AS77" s="30"/>
      <c r="AT77" s="27"/>
      <c r="AU77" s="30"/>
      <c r="AY77" s="27"/>
      <c r="AZ77" s="30"/>
      <c r="BA77" s="27"/>
      <c r="BB77" s="30"/>
      <c r="BF77" s="27"/>
      <c r="BG77" s="30"/>
      <c r="BH77" s="27"/>
      <c r="BI77" s="30"/>
      <c r="BM77" s="27"/>
      <c r="BN77" s="27"/>
      <c r="BO77" s="27"/>
      <c r="BP77" s="27"/>
      <c r="BT77" s="27"/>
      <c r="BU77" s="30"/>
      <c r="BV77" s="27"/>
      <c r="BW77" s="30"/>
      <c r="CA77" s="27"/>
      <c r="CB77" s="30">
        <v>1.0</v>
      </c>
      <c r="CC77" s="27"/>
      <c r="CD77" s="30">
        <v>1.0</v>
      </c>
      <c r="CH77" s="27"/>
      <c r="CI77" s="30">
        <v>1.0</v>
      </c>
      <c r="CJ77" s="27"/>
      <c r="CK77" s="30">
        <v>1.0</v>
      </c>
      <c r="CO77" s="27"/>
      <c r="CP77" s="30">
        <v>1.0</v>
      </c>
      <c r="CQ77" s="27"/>
      <c r="CR77" s="30">
        <v>1.0</v>
      </c>
      <c r="CT77" s="11"/>
      <c r="CV77" s="27"/>
      <c r="CW77" s="30">
        <v>1.0</v>
      </c>
      <c r="CX77" s="27"/>
      <c r="CY77" s="30">
        <v>1.0</v>
      </c>
      <c r="CZ77" s="11"/>
      <c r="DA77" s="11"/>
      <c r="DC77" s="27"/>
      <c r="DD77" s="30">
        <v>1.0</v>
      </c>
      <c r="DE77" s="27"/>
      <c r="DF77" s="30">
        <v>1.0</v>
      </c>
      <c r="DG77" s="11"/>
      <c r="DJ77" s="27"/>
      <c r="DK77" s="30">
        <v>1.0</v>
      </c>
      <c r="DL77" s="27"/>
      <c r="DM77" s="30">
        <v>1.0</v>
      </c>
      <c r="DQ77" s="27"/>
      <c r="DR77" s="27"/>
      <c r="DS77" s="27"/>
      <c r="DT77" s="27"/>
    </row>
    <row r="78" ht="15.75" customHeight="1" outlineLevel="1">
      <c r="B78" s="48" t="s">
        <v>56</v>
      </c>
      <c r="C78" s="48"/>
      <c r="D78" s="49" t="s">
        <v>228</v>
      </c>
      <c r="F78" s="26"/>
      <c r="G78" s="49" t="s">
        <v>237</v>
      </c>
      <c r="H78" s="30">
        <v>0.07</v>
      </c>
      <c r="J78" s="26">
        <f t="shared" si="60"/>
        <v>0</v>
      </c>
      <c r="K78" s="29">
        <f t="shared" ref="K78:L78" si="68">+MAXIFS($O78:$ABT78,$O$3:$ABT$3,K$3)</f>
        <v>0</v>
      </c>
      <c r="L78" s="29">
        <f t="shared" si="68"/>
        <v>0</v>
      </c>
      <c r="M78" s="26"/>
      <c r="P78" s="27"/>
      <c r="Q78" s="27"/>
      <c r="R78" s="27"/>
      <c r="S78" s="27"/>
      <c r="W78" s="27"/>
      <c r="X78" s="30"/>
      <c r="Y78" s="27"/>
      <c r="Z78" s="30"/>
      <c r="AD78" s="27"/>
      <c r="AE78" s="30"/>
      <c r="AF78" s="27"/>
      <c r="AG78" s="30"/>
      <c r="AK78" s="27"/>
      <c r="AL78" s="30"/>
      <c r="AM78" s="27"/>
      <c r="AN78" s="30"/>
      <c r="AR78" s="27"/>
      <c r="AS78" s="30"/>
      <c r="AT78" s="27"/>
      <c r="AU78" s="30"/>
      <c r="AY78" s="27"/>
      <c r="AZ78" s="30"/>
      <c r="BA78" s="27"/>
      <c r="BB78" s="30"/>
      <c r="BF78" s="27"/>
      <c r="BG78" s="30"/>
      <c r="BH78" s="27"/>
      <c r="BI78" s="30"/>
      <c r="BM78" s="27"/>
      <c r="BN78" s="27"/>
      <c r="BO78" s="27"/>
      <c r="BP78" s="27"/>
      <c r="BT78" s="27"/>
      <c r="BU78" s="30"/>
      <c r="BV78" s="27"/>
      <c r="BW78" s="30"/>
      <c r="CA78" s="27"/>
      <c r="CB78" s="30"/>
      <c r="CC78" s="27"/>
      <c r="CD78" s="30"/>
      <c r="CH78" s="27"/>
      <c r="CI78" s="30">
        <v>1.0</v>
      </c>
      <c r="CJ78" s="27"/>
      <c r="CK78" s="30">
        <v>1.0</v>
      </c>
      <c r="CO78" s="27"/>
      <c r="CP78" s="30">
        <v>1.0</v>
      </c>
      <c r="CQ78" s="27"/>
      <c r="CR78" s="30">
        <v>1.0</v>
      </c>
      <c r="CT78" s="11"/>
      <c r="CV78" s="27"/>
      <c r="CW78" s="30">
        <v>1.0</v>
      </c>
      <c r="CX78" s="27"/>
      <c r="CY78" s="30">
        <v>1.0</v>
      </c>
      <c r="CZ78" s="11"/>
      <c r="DA78" s="11"/>
      <c r="DC78" s="27"/>
      <c r="DD78" s="30">
        <v>1.0</v>
      </c>
      <c r="DE78" s="27"/>
      <c r="DF78" s="30">
        <v>1.0</v>
      </c>
      <c r="DG78" s="11"/>
      <c r="DJ78" s="27"/>
      <c r="DK78" s="30">
        <v>1.0</v>
      </c>
      <c r="DL78" s="27"/>
      <c r="DM78" s="30">
        <v>1.0</v>
      </c>
      <c r="DQ78" s="27"/>
      <c r="DR78" s="27"/>
      <c r="DS78" s="27"/>
      <c r="DT78" s="27"/>
    </row>
    <row r="79" ht="15.75" customHeight="1" outlineLevel="1">
      <c r="B79" s="48" t="s">
        <v>56</v>
      </c>
      <c r="C79" s="48"/>
      <c r="D79" s="49" t="s">
        <v>228</v>
      </c>
      <c r="F79" s="26"/>
      <c r="G79" s="49" t="s">
        <v>238</v>
      </c>
      <c r="H79" s="30">
        <v>0.07</v>
      </c>
      <c r="J79" s="26">
        <f t="shared" si="60"/>
        <v>0</v>
      </c>
      <c r="K79" s="29">
        <f t="shared" ref="K79:L79" si="69">+MAXIFS($O79:$ABT79,$O$3:$ABT$3,K$3)</f>
        <v>0</v>
      </c>
      <c r="L79" s="29">
        <f t="shared" si="69"/>
        <v>0</v>
      </c>
      <c r="M79" s="26"/>
      <c r="P79" s="27"/>
      <c r="Q79" s="27"/>
      <c r="R79" s="27"/>
      <c r="S79" s="27"/>
      <c r="W79" s="27"/>
      <c r="X79" s="30"/>
      <c r="Y79" s="27"/>
      <c r="Z79" s="30"/>
      <c r="AD79" s="27"/>
      <c r="AE79" s="30"/>
      <c r="AF79" s="27"/>
      <c r="AG79" s="30"/>
      <c r="AK79" s="27"/>
      <c r="AL79" s="30"/>
      <c r="AM79" s="27"/>
      <c r="AN79" s="30"/>
      <c r="AR79" s="27"/>
      <c r="AS79" s="30"/>
      <c r="AT79" s="27"/>
      <c r="AU79" s="30"/>
      <c r="AY79" s="27"/>
      <c r="AZ79" s="30"/>
      <c r="BA79" s="27"/>
      <c r="BB79" s="30"/>
      <c r="BF79" s="27"/>
      <c r="BG79" s="30"/>
      <c r="BH79" s="27"/>
      <c r="BI79" s="30"/>
      <c r="BM79" s="27"/>
      <c r="BN79" s="27"/>
      <c r="BO79" s="27"/>
      <c r="BP79" s="27"/>
      <c r="BT79" s="27"/>
      <c r="BU79" s="30"/>
      <c r="BV79" s="27"/>
      <c r="BW79" s="30"/>
      <c r="CA79" s="27"/>
      <c r="CB79" s="30"/>
      <c r="CC79" s="27"/>
      <c r="CD79" s="30"/>
      <c r="CH79" s="27"/>
      <c r="CI79" s="30"/>
      <c r="CJ79" s="27"/>
      <c r="CK79" s="30"/>
      <c r="CO79" s="27"/>
      <c r="CP79" s="30">
        <v>1.0</v>
      </c>
      <c r="CQ79" s="27"/>
      <c r="CR79" s="30">
        <v>1.0</v>
      </c>
      <c r="CT79" s="11"/>
      <c r="CV79" s="27"/>
      <c r="CW79" s="30">
        <v>1.0</v>
      </c>
      <c r="CX79" s="27"/>
      <c r="CY79" s="30">
        <v>1.0</v>
      </c>
      <c r="CZ79" s="11"/>
      <c r="DA79" s="11"/>
      <c r="DC79" s="27"/>
      <c r="DD79" s="30">
        <v>1.0</v>
      </c>
      <c r="DE79" s="27"/>
      <c r="DF79" s="30">
        <v>1.0</v>
      </c>
      <c r="DG79" s="11"/>
      <c r="DJ79" s="27"/>
      <c r="DK79" s="30">
        <v>1.0</v>
      </c>
      <c r="DL79" s="27"/>
      <c r="DM79" s="30">
        <v>1.0</v>
      </c>
      <c r="DQ79" s="27"/>
      <c r="DR79" s="27"/>
      <c r="DS79" s="27"/>
      <c r="DT79" s="27"/>
    </row>
    <row r="80" ht="15.75" customHeight="1" outlineLevel="1">
      <c r="B80" s="48" t="s">
        <v>56</v>
      </c>
      <c r="C80" s="48"/>
      <c r="D80" s="49" t="s">
        <v>228</v>
      </c>
      <c r="F80" s="26"/>
      <c r="G80" s="49" t="s">
        <v>239</v>
      </c>
      <c r="H80" s="30">
        <v>0.07</v>
      </c>
      <c r="J80" s="26">
        <f t="shared" si="60"/>
        <v>0</v>
      </c>
      <c r="K80" s="29">
        <f t="shared" ref="K80:L80" si="70">+MAXIFS($O80:$ABT80,$O$3:$ABT$3,K$3)</f>
        <v>0</v>
      </c>
      <c r="L80" s="29">
        <f t="shared" si="70"/>
        <v>0</v>
      </c>
      <c r="M80" s="26"/>
      <c r="P80" s="27"/>
      <c r="Q80" s="27"/>
      <c r="R80" s="27"/>
      <c r="S80" s="27"/>
      <c r="W80" s="27"/>
      <c r="X80" s="30"/>
      <c r="Y80" s="27"/>
      <c r="Z80" s="30"/>
      <c r="AD80" s="27"/>
      <c r="AE80" s="30"/>
      <c r="AF80" s="27"/>
      <c r="AG80" s="30"/>
      <c r="AK80" s="27"/>
      <c r="AL80" s="30"/>
      <c r="AM80" s="27"/>
      <c r="AN80" s="30"/>
      <c r="AR80" s="27"/>
      <c r="AS80" s="30"/>
      <c r="AT80" s="27"/>
      <c r="AU80" s="30"/>
      <c r="AY80" s="27"/>
      <c r="AZ80" s="30"/>
      <c r="BA80" s="27"/>
      <c r="BB80" s="30"/>
      <c r="BF80" s="27"/>
      <c r="BG80" s="30"/>
      <c r="BH80" s="27"/>
      <c r="BI80" s="30"/>
      <c r="BM80" s="27"/>
      <c r="BN80" s="27"/>
      <c r="BO80" s="27"/>
      <c r="BP80" s="27"/>
      <c r="BT80" s="27"/>
      <c r="BU80" s="30"/>
      <c r="BV80" s="27"/>
      <c r="BW80" s="30"/>
      <c r="CA80" s="27"/>
      <c r="CB80" s="30"/>
      <c r="CC80" s="27"/>
      <c r="CD80" s="30"/>
      <c r="CH80" s="27"/>
      <c r="CI80" s="30"/>
      <c r="CJ80" s="27"/>
      <c r="CK80" s="30"/>
      <c r="CO80" s="27"/>
      <c r="CP80" s="30"/>
      <c r="CQ80" s="27"/>
      <c r="CR80" s="30"/>
      <c r="CT80" s="11"/>
      <c r="CV80" s="27"/>
      <c r="CW80" s="30">
        <v>1.0</v>
      </c>
      <c r="CX80" s="27"/>
      <c r="CY80" s="30">
        <v>1.0</v>
      </c>
      <c r="CZ80" s="11"/>
      <c r="DA80" s="11"/>
      <c r="DC80" s="27"/>
      <c r="DD80" s="30">
        <v>1.0</v>
      </c>
      <c r="DE80" s="27"/>
      <c r="DF80" s="30">
        <v>1.0</v>
      </c>
      <c r="DG80" s="11"/>
      <c r="DJ80" s="27"/>
      <c r="DK80" s="30">
        <v>1.0</v>
      </c>
      <c r="DL80" s="27"/>
      <c r="DM80" s="30">
        <v>1.0</v>
      </c>
      <c r="DQ80" s="27"/>
      <c r="DR80" s="27"/>
      <c r="DS80" s="27"/>
      <c r="DT80" s="27"/>
    </row>
    <row r="81" ht="15.75" customHeight="1" outlineLevel="1">
      <c r="B81" s="48" t="s">
        <v>56</v>
      </c>
      <c r="C81" s="48"/>
      <c r="D81" s="49" t="s">
        <v>228</v>
      </c>
      <c r="F81" s="26"/>
      <c r="G81" s="49" t="s">
        <v>240</v>
      </c>
      <c r="H81" s="30">
        <v>0.07</v>
      </c>
      <c r="J81" s="26">
        <f t="shared" si="60"/>
        <v>0</v>
      </c>
      <c r="K81" s="29">
        <f t="shared" ref="K81:L81" si="71">+MAXIFS($O81:$ABT81,$O$3:$ABT$3,K$3)</f>
        <v>0</v>
      </c>
      <c r="L81" s="29">
        <f t="shared" si="71"/>
        <v>0</v>
      </c>
      <c r="M81" s="26"/>
      <c r="P81" s="27"/>
      <c r="Q81" s="27"/>
      <c r="R81" s="27"/>
      <c r="S81" s="27"/>
      <c r="W81" s="27"/>
      <c r="X81" s="30"/>
      <c r="Y81" s="27"/>
      <c r="Z81" s="30"/>
      <c r="AD81" s="27"/>
      <c r="AE81" s="30"/>
      <c r="AF81" s="27"/>
      <c r="AG81" s="30"/>
      <c r="AK81" s="27"/>
      <c r="AL81" s="30"/>
      <c r="AM81" s="27"/>
      <c r="AN81" s="30"/>
      <c r="AR81" s="27"/>
      <c r="AS81" s="30"/>
      <c r="AT81" s="27"/>
      <c r="AU81" s="30"/>
      <c r="AY81" s="27"/>
      <c r="AZ81" s="30"/>
      <c r="BA81" s="27"/>
      <c r="BB81" s="30"/>
      <c r="BF81" s="27"/>
      <c r="BG81" s="30"/>
      <c r="BH81" s="27"/>
      <c r="BI81" s="30"/>
      <c r="BM81" s="27"/>
      <c r="BN81" s="27"/>
      <c r="BO81" s="27"/>
      <c r="BP81" s="27"/>
      <c r="BT81" s="27"/>
      <c r="BU81" s="30"/>
      <c r="BV81" s="27"/>
      <c r="BW81" s="30"/>
      <c r="CA81" s="27"/>
      <c r="CB81" s="30"/>
      <c r="CC81" s="27"/>
      <c r="CD81" s="30"/>
      <c r="CH81" s="27"/>
      <c r="CI81" s="30"/>
      <c r="CJ81" s="27"/>
      <c r="CK81" s="30"/>
      <c r="CO81" s="27"/>
      <c r="CP81" s="30"/>
      <c r="CQ81" s="27"/>
      <c r="CR81" s="30"/>
      <c r="CT81" s="11"/>
      <c r="CV81" s="27"/>
      <c r="CW81" s="30"/>
      <c r="CX81" s="27"/>
      <c r="CY81" s="30"/>
      <c r="CZ81" s="11"/>
      <c r="DA81" s="11"/>
      <c r="DC81" s="27"/>
      <c r="DD81" s="30">
        <v>1.0</v>
      </c>
      <c r="DE81" s="27"/>
      <c r="DF81" s="30">
        <v>1.0</v>
      </c>
      <c r="DG81" s="11"/>
      <c r="DJ81" s="27"/>
      <c r="DK81" s="30">
        <v>1.0</v>
      </c>
      <c r="DL81" s="27"/>
      <c r="DM81" s="30">
        <v>1.0</v>
      </c>
      <c r="DQ81" s="27"/>
      <c r="DR81" s="27"/>
      <c r="DS81" s="27"/>
      <c r="DT81" s="27"/>
    </row>
    <row r="82" ht="15.75" customHeight="1">
      <c r="B82" s="48" t="s">
        <v>56</v>
      </c>
      <c r="C82" s="48"/>
      <c r="D82" s="49" t="s">
        <v>228</v>
      </c>
      <c r="G82" s="5" t="s">
        <v>241</v>
      </c>
      <c r="H82" s="30">
        <v>0.07</v>
      </c>
      <c r="J82" s="26">
        <f t="shared" si="60"/>
        <v>0</v>
      </c>
      <c r="K82" s="29">
        <f t="shared" ref="K82:L82" si="72">+MAXIFS($O82:$ABT82,$O$3:$ABT$3,K$3)</f>
        <v>0</v>
      </c>
      <c r="L82" s="29">
        <f t="shared" si="72"/>
        <v>0</v>
      </c>
      <c r="W82" s="27"/>
      <c r="X82" s="30"/>
      <c r="Y82" s="27"/>
      <c r="Z82" s="30"/>
      <c r="AD82" s="27"/>
      <c r="AE82" s="30"/>
      <c r="AF82" s="27"/>
      <c r="AG82" s="30"/>
      <c r="AK82" s="27"/>
      <c r="AL82" s="30"/>
      <c r="AM82" s="27"/>
      <c r="AN82" s="30"/>
      <c r="AR82" s="27"/>
      <c r="AS82" s="30"/>
      <c r="AT82" s="27"/>
      <c r="AU82" s="30"/>
      <c r="AY82" s="27"/>
      <c r="AZ82" s="30"/>
      <c r="BA82" s="27"/>
      <c r="BB82" s="30"/>
      <c r="BF82" s="27"/>
      <c r="BG82" s="30"/>
      <c r="BH82" s="27"/>
      <c r="BI82" s="30"/>
      <c r="BM82" s="27"/>
      <c r="BN82" s="27"/>
      <c r="BO82" s="27"/>
      <c r="BP82" s="27"/>
      <c r="BT82" s="27"/>
      <c r="BU82" s="30"/>
      <c r="BV82" s="27"/>
      <c r="BW82" s="30"/>
      <c r="CA82" s="27"/>
      <c r="CB82" s="30"/>
      <c r="CC82" s="27"/>
      <c r="CD82" s="30"/>
      <c r="CH82" s="27"/>
      <c r="CI82" s="30"/>
      <c r="CJ82" s="27"/>
      <c r="CK82" s="30"/>
      <c r="CO82" s="27"/>
      <c r="CP82" s="30"/>
      <c r="CQ82" s="27"/>
      <c r="CR82" s="30"/>
      <c r="CT82" s="11"/>
      <c r="CU82" s="11"/>
      <c r="CV82" s="27"/>
      <c r="CW82" s="30"/>
      <c r="CX82" s="27"/>
      <c r="CY82" s="30"/>
      <c r="CZ82" s="11"/>
      <c r="DA82" s="11"/>
      <c r="DB82" s="11"/>
      <c r="DC82" s="27"/>
      <c r="DD82" s="30"/>
      <c r="DE82" s="27"/>
      <c r="DF82" s="30"/>
      <c r="DG82" s="11"/>
      <c r="DJ82" s="27"/>
      <c r="DK82" s="30">
        <v>1.0</v>
      </c>
      <c r="DL82" s="27"/>
      <c r="DM82" s="30">
        <v>1.0</v>
      </c>
    </row>
    <row r="83" ht="15.75" customHeight="1">
      <c r="CT83" s="11"/>
      <c r="CU83" s="11"/>
      <c r="CV83" s="11"/>
      <c r="CW83" s="11"/>
      <c r="CX83" s="11"/>
      <c r="CY83" s="11"/>
      <c r="CZ83" s="11"/>
      <c r="DA83" s="11"/>
      <c r="DB83" s="11"/>
      <c r="DC83" s="11"/>
      <c r="DD83" s="11"/>
      <c r="DE83" s="11"/>
      <c r="DF83" s="11"/>
      <c r="DG83" s="11"/>
    </row>
    <row r="84" ht="15.75" customHeight="1">
      <c r="CT84" s="11"/>
      <c r="CU84" s="11"/>
      <c r="CV84" s="11"/>
      <c r="CW84" s="11"/>
      <c r="CX84" s="11"/>
      <c r="CY84" s="11"/>
      <c r="CZ84" s="11"/>
      <c r="DA84" s="11"/>
      <c r="DB84" s="11"/>
      <c r="DC84" s="11"/>
      <c r="DD84" s="11"/>
      <c r="DE84" s="11"/>
      <c r="DF84" s="11"/>
      <c r="DG84" s="11"/>
    </row>
    <row r="85" ht="15.75" customHeight="1">
      <c r="CT85" s="11"/>
      <c r="CU85" s="11"/>
      <c r="CV85" s="11"/>
      <c r="CW85" s="11"/>
      <c r="CX85" s="11"/>
      <c r="CY85" s="11"/>
      <c r="CZ85" s="11"/>
      <c r="DA85" s="11"/>
      <c r="DB85" s="11"/>
      <c r="DC85" s="11"/>
      <c r="DD85" s="11"/>
      <c r="DE85" s="11"/>
      <c r="DF85" s="11"/>
      <c r="DG85" s="11"/>
    </row>
    <row r="86" ht="15.75" customHeight="1">
      <c r="CT86" s="11"/>
      <c r="CU86" s="11"/>
      <c r="CV86" s="11"/>
      <c r="CW86" s="11"/>
      <c r="CX86" s="11"/>
      <c r="CY86" s="11"/>
      <c r="CZ86" s="11"/>
      <c r="DA86" s="11"/>
      <c r="DB86" s="11"/>
      <c r="DC86" s="11"/>
      <c r="DD86" s="11"/>
      <c r="DE86" s="11"/>
      <c r="DF86" s="11"/>
      <c r="DG86" s="11"/>
    </row>
    <row r="87" ht="15.75" customHeight="1">
      <c r="CT87" s="11"/>
      <c r="CU87" s="11"/>
      <c r="CV87" s="11"/>
      <c r="CW87" s="11"/>
      <c r="CX87" s="11"/>
      <c r="CY87" s="11"/>
      <c r="CZ87" s="11"/>
      <c r="DA87" s="11"/>
      <c r="DB87" s="11"/>
      <c r="DC87" s="11"/>
      <c r="DD87" s="11"/>
      <c r="DE87" s="11"/>
      <c r="DF87" s="11"/>
      <c r="DG87" s="11"/>
    </row>
    <row r="88" ht="15.75" customHeight="1">
      <c r="CT88" s="11"/>
      <c r="CU88" s="11"/>
      <c r="CV88" s="11"/>
      <c r="CW88" s="11"/>
      <c r="CX88" s="11"/>
      <c r="CY88" s="11"/>
      <c r="CZ88" s="11"/>
      <c r="DA88" s="11"/>
      <c r="DB88" s="11"/>
      <c r="DC88" s="11"/>
      <c r="DD88" s="11"/>
      <c r="DE88" s="11"/>
      <c r="DF88" s="11"/>
      <c r="DG88" s="11"/>
    </row>
    <row r="89" ht="15.75" customHeight="1">
      <c r="CT89" s="11"/>
      <c r="CU89" s="11"/>
      <c r="CV89" s="11"/>
      <c r="CW89" s="11"/>
      <c r="CX89" s="11"/>
      <c r="CY89" s="11"/>
      <c r="CZ89" s="11"/>
      <c r="DA89" s="11"/>
      <c r="DB89" s="11"/>
      <c r="DC89" s="11"/>
      <c r="DD89" s="11"/>
      <c r="DE89" s="11"/>
      <c r="DF89" s="11"/>
      <c r="DG89" s="11"/>
    </row>
    <row r="90" ht="15.75" customHeight="1">
      <c r="CT90" s="11"/>
      <c r="CU90" s="11"/>
      <c r="CV90" s="11"/>
      <c r="CW90" s="11"/>
      <c r="CX90" s="11"/>
      <c r="CY90" s="11"/>
      <c r="CZ90" s="11"/>
      <c r="DA90" s="11"/>
      <c r="DB90" s="11"/>
      <c r="DC90" s="11"/>
      <c r="DD90" s="11"/>
      <c r="DE90" s="11"/>
      <c r="DF90" s="11"/>
      <c r="DG90" s="11"/>
    </row>
    <row r="91" ht="15.75" customHeight="1">
      <c r="CT91" s="11"/>
      <c r="CU91" s="11"/>
      <c r="CV91" s="11"/>
      <c r="CW91" s="11"/>
      <c r="CX91" s="11"/>
      <c r="CY91" s="11"/>
      <c r="CZ91" s="11"/>
      <c r="DA91" s="11"/>
      <c r="DB91" s="11"/>
      <c r="DC91" s="11"/>
      <c r="DD91" s="11"/>
      <c r="DE91" s="11"/>
      <c r="DF91" s="11"/>
      <c r="DG91" s="11"/>
    </row>
    <row r="92" ht="15.75" customHeight="1">
      <c r="CT92" s="11"/>
      <c r="CU92" s="11"/>
      <c r="CV92" s="11"/>
      <c r="CW92" s="11"/>
      <c r="CX92" s="11"/>
      <c r="CY92" s="11"/>
      <c r="CZ92" s="11"/>
      <c r="DA92" s="11"/>
      <c r="DB92" s="11"/>
      <c r="DC92" s="11"/>
      <c r="DD92" s="11"/>
      <c r="DE92" s="11"/>
      <c r="DF92" s="11"/>
      <c r="DG92" s="11"/>
    </row>
    <row r="93" ht="15.75" customHeight="1">
      <c r="CT93" s="11"/>
      <c r="CU93" s="11"/>
      <c r="CV93" s="11"/>
      <c r="CW93" s="11"/>
      <c r="CX93" s="11"/>
      <c r="CY93" s="11"/>
      <c r="CZ93" s="11"/>
      <c r="DA93" s="11"/>
      <c r="DB93" s="11"/>
      <c r="DC93" s="11"/>
      <c r="DD93" s="11"/>
      <c r="DE93" s="11"/>
      <c r="DF93" s="11"/>
      <c r="DG93" s="11"/>
    </row>
    <row r="94" ht="15.75" customHeight="1">
      <c r="CT94" s="11"/>
      <c r="CU94" s="11"/>
      <c r="CV94" s="11"/>
      <c r="CW94" s="11"/>
      <c r="CX94" s="11"/>
      <c r="CY94" s="11"/>
      <c r="CZ94" s="11"/>
      <c r="DA94" s="11"/>
      <c r="DB94" s="11"/>
      <c r="DC94" s="11"/>
      <c r="DD94" s="11"/>
      <c r="DE94" s="11"/>
      <c r="DF94" s="11"/>
      <c r="DG94" s="11"/>
    </row>
    <row r="95" ht="15.75" customHeight="1">
      <c r="CT95" s="11"/>
      <c r="CU95" s="11"/>
      <c r="CV95" s="11"/>
      <c r="CW95" s="11"/>
      <c r="CX95" s="11"/>
      <c r="CY95" s="11"/>
      <c r="CZ95" s="11"/>
      <c r="DA95" s="11"/>
      <c r="DB95" s="11"/>
      <c r="DC95" s="11"/>
      <c r="DD95" s="11"/>
      <c r="DE95" s="11"/>
      <c r="DF95" s="11"/>
      <c r="DG95" s="11"/>
    </row>
    <row r="96" ht="15.75" customHeight="1">
      <c r="CT96" s="11"/>
      <c r="CU96" s="11"/>
      <c r="CV96" s="11"/>
      <c r="CW96" s="11"/>
      <c r="CX96" s="11"/>
      <c r="CY96" s="11"/>
      <c r="CZ96" s="11"/>
      <c r="DA96" s="11"/>
      <c r="DB96" s="11"/>
      <c r="DC96" s="11"/>
      <c r="DD96" s="11"/>
      <c r="DE96" s="11"/>
      <c r="DF96" s="11"/>
      <c r="DG96" s="11"/>
    </row>
    <row r="97" ht="15.75" customHeight="1">
      <c r="CT97" s="11"/>
      <c r="CU97" s="11"/>
      <c r="CV97" s="11"/>
      <c r="CW97" s="11"/>
      <c r="CX97" s="11"/>
      <c r="CY97" s="11"/>
      <c r="CZ97" s="11"/>
      <c r="DA97" s="11"/>
      <c r="DB97" s="11"/>
      <c r="DC97" s="11"/>
      <c r="DD97" s="11"/>
      <c r="DE97" s="11"/>
      <c r="DF97" s="11"/>
      <c r="DG97" s="11"/>
    </row>
    <row r="98" ht="15.75" customHeight="1">
      <c r="CT98" s="11"/>
      <c r="CU98" s="11"/>
      <c r="CV98" s="11"/>
      <c r="CW98" s="11"/>
      <c r="CX98" s="11"/>
      <c r="CY98" s="11"/>
      <c r="CZ98" s="11"/>
      <c r="DA98" s="11"/>
      <c r="DB98" s="11"/>
      <c r="DC98" s="11"/>
      <c r="DD98" s="11"/>
      <c r="DE98" s="11"/>
      <c r="DF98" s="11"/>
      <c r="DG98" s="11"/>
    </row>
    <row r="99" ht="15.75" customHeight="1">
      <c r="CT99" s="11"/>
      <c r="CU99" s="11"/>
      <c r="CV99" s="11"/>
      <c r="CW99" s="11"/>
      <c r="CX99" s="11"/>
      <c r="CY99" s="11"/>
      <c r="CZ99" s="11"/>
      <c r="DA99" s="11"/>
      <c r="DB99" s="11"/>
      <c r="DC99" s="11"/>
      <c r="DD99" s="11"/>
      <c r="DE99" s="11"/>
      <c r="DF99" s="11"/>
      <c r="DG99" s="11"/>
    </row>
    <row r="100" ht="15.75" customHeight="1">
      <c r="CT100" s="11"/>
      <c r="CU100" s="11"/>
      <c r="CV100" s="11"/>
      <c r="CW100" s="11"/>
      <c r="CX100" s="11"/>
      <c r="CY100" s="11"/>
      <c r="CZ100" s="11"/>
      <c r="DA100" s="11"/>
      <c r="DB100" s="11"/>
      <c r="DC100" s="11"/>
      <c r="DD100" s="11"/>
      <c r="DE100" s="11"/>
      <c r="DF100" s="11"/>
      <c r="DG100" s="11"/>
    </row>
    <row r="101" ht="15.75" customHeight="1">
      <c r="CT101" s="11"/>
      <c r="CU101" s="11"/>
      <c r="CV101" s="11"/>
      <c r="CW101" s="11"/>
      <c r="CX101" s="11"/>
      <c r="CY101" s="11"/>
      <c r="CZ101" s="11"/>
      <c r="DA101" s="11"/>
      <c r="DB101" s="11"/>
      <c r="DC101" s="11"/>
      <c r="DD101" s="11"/>
      <c r="DE101" s="11"/>
      <c r="DF101" s="11"/>
      <c r="DG101" s="11"/>
    </row>
    <row r="102" ht="15.75" customHeight="1">
      <c r="CT102" s="11"/>
      <c r="CU102" s="11"/>
      <c r="CV102" s="11"/>
      <c r="CW102" s="11"/>
      <c r="CX102" s="11"/>
      <c r="CY102" s="11"/>
      <c r="CZ102" s="11"/>
      <c r="DA102" s="11"/>
      <c r="DB102" s="11"/>
      <c r="DC102" s="11"/>
      <c r="DD102" s="11"/>
      <c r="DE102" s="11"/>
      <c r="DF102" s="11"/>
      <c r="DG102" s="11"/>
    </row>
    <row r="103" ht="15.75" customHeight="1">
      <c r="CT103" s="11"/>
      <c r="CU103" s="11"/>
      <c r="CV103" s="11"/>
      <c r="CW103" s="11"/>
      <c r="CX103" s="11"/>
      <c r="CY103" s="11"/>
      <c r="CZ103" s="11"/>
      <c r="DA103" s="11"/>
      <c r="DB103" s="11"/>
      <c r="DC103" s="11"/>
      <c r="DD103" s="11"/>
      <c r="DE103" s="11"/>
      <c r="DF103" s="11"/>
      <c r="DG103" s="11"/>
    </row>
    <row r="104" ht="15.75" customHeight="1">
      <c r="CT104" s="11"/>
      <c r="CU104" s="11"/>
      <c r="CV104" s="11"/>
      <c r="CW104" s="11"/>
      <c r="CX104" s="11"/>
      <c r="CY104" s="11"/>
      <c r="CZ104" s="11"/>
      <c r="DA104" s="11"/>
      <c r="DB104" s="11"/>
      <c r="DC104" s="11"/>
      <c r="DD104" s="11"/>
      <c r="DE104" s="11"/>
      <c r="DF104" s="11"/>
      <c r="DG104" s="11"/>
    </row>
    <row r="105" ht="15.75" customHeight="1">
      <c r="CT105" s="11"/>
      <c r="CU105" s="11"/>
      <c r="CV105" s="11"/>
      <c r="CW105" s="11"/>
      <c r="CX105" s="11"/>
      <c r="CY105" s="11"/>
      <c r="CZ105" s="11"/>
      <c r="DA105" s="11"/>
      <c r="DB105" s="11"/>
      <c r="DC105" s="11"/>
      <c r="DD105" s="11"/>
      <c r="DE105" s="11"/>
      <c r="DF105" s="11"/>
      <c r="DG105" s="11"/>
    </row>
    <row r="106" ht="15.75" customHeight="1">
      <c r="CT106" s="11"/>
      <c r="CU106" s="11"/>
      <c r="CV106" s="11"/>
      <c r="CW106" s="11"/>
      <c r="CX106" s="11"/>
      <c r="CY106" s="11"/>
      <c r="CZ106" s="11"/>
      <c r="DA106" s="11"/>
      <c r="DB106" s="11"/>
      <c r="DC106" s="11"/>
      <c r="DD106" s="11"/>
      <c r="DE106" s="11"/>
      <c r="DF106" s="11"/>
      <c r="DG106" s="11"/>
    </row>
    <row r="107" ht="15.75" customHeight="1">
      <c r="CT107" s="11"/>
      <c r="CU107" s="11"/>
      <c r="CV107" s="11"/>
      <c r="CW107" s="11"/>
      <c r="CX107" s="11"/>
      <c r="CY107" s="11"/>
      <c r="CZ107" s="11"/>
      <c r="DA107" s="11"/>
      <c r="DB107" s="11"/>
      <c r="DC107" s="11"/>
      <c r="DD107" s="11"/>
      <c r="DE107" s="11"/>
      <c r="DF107" s="11"/>
      <c r="DG107" s="11"/>
    </row>
    <row r="108" ht="15.75" customHeight="1">
      <c r="CT108" s="11"/>
      <c r="CU108" s="11"/>
      <c r="CV108" s="11"/>
      <c r="CW108" s="11"/>
      <c r="CX108" s="11"/>
      <c r="CY108" s="11"/>
      <c r="CZ108" s="11"/>
      <c r="DA108" s="11"/>
      <c r="DB108" s="11"/>
      <c r="DC108" s="11"/>
      <c r="DD108" s="11"/>
      <c r="DE108" s="11"/>
      <c r="DF108" s="11"/>
      <c r="DG108" s="11"/>
    </row>
    <row r="109" ht="15.75" customHeight="1">
      <c r="CT109" s="11"/>
      <c r="CU109" s="11"/>
      <c r="CV109" s="11"/>
      <c r="CW109" s="11"/>
      <c r="CX109" s="11"/>
      <c r="CY109" s="11"/>
      <c r="CZ109" s="11"/>
      <c r="DA109" s="11"/>
      <c r="DB109" s="11"/>
      <c r="DC109" s="11"/>
      <c r="DD109" s="11"/>
      <c r="DE109" s="11"/>
      <c r="DF109" s="11"/>
      <c r="DG109" s="11"/>
    </row>
    <row r="110" ht="15.75" customHeight="1">
      <c r="CT110" s="11"/>
      <c r="CU110" s="11"/>
      <c r="CV110" s="11"/>
      <c r="CW110" s="11"/>
      <c r="CX110" s="11"/>
      <c r="CY110" s="11"/>
      <c r="CZ110" s="11"/>
      <c r="DA110" s="11"/>
      <c r="DB110" s="11"/>
      <c r="DC110" s="11"/>
      <c r="DD110" s="11"/>
      <c r="DE110" s="11"/>
      <c r="DF110" s="11"/>
      <c r="DG110" s="11"/>
    </row>
    <row r="111" ht="15.75" customHeight="1">
      <c r="CT111" s="11"/>
      <c r="CU111" s="11"/>
      <c r="CV111" s="11"/>
      <c r="CW111" s="11"/>
      <c r="CX111" s="11"/>
      <c r="CY111" s="11"/>
      <c r="CZ111" s="11"/>
      <c r="DA111" s="11"/>
      <c r="DB111" s="11"/>
      <c r="DC111" s="11"/>
      <c r="DD111" s="11"/>
      <c r="DE111" s="11"/>
      <c r="DF111" s="11"/>
      <c r="DG111" s="11"/>
    </row>
    <row r="112" ht="15.75" customHeight="1">
      <c r="CT112" s="11"/>
      <c r="CU112" s="11"/>
      <c r="CV112" s="11"/>
      <c r="CW112" s="11"/>
      <c r="CX112" s="11"/>
      <c r="CY112" s="11"/>
      <c r="CZ112" s="11"/>
      <c r="DA112" s="11"/>
      <c r="DB112" s="11"/>
      <c r="DC112" s="11"/>
      <c r="DD112" s="11"/>
      <c r="DE112" s="11"/>
      <c r="DF112" s="11"/>
      <c r="DG112" s="11"/>
    </row>
    <row r="113" ht="15.75" customHeight="1">
      <c r="CT113" s="11"/>
      <c r="CU113" s="11"/>
      <c r="CV113" s="11"/>
      <c r="CW113" s="11"/>
      <c r="CX113" s="11"/>
      <c r="CY113" s="11"/>
      <c r="CZ113" s="11"/>
      <c r="DA113" s="11"/>
      <c r="DB113" s="11"/>
      <c r="DC113" s="11"/>
      <c r="DD113" s="11"/>
      <c r="DE113" s="11"/>
      <c r="DF113" s="11"/>
      <c r="DG113" s="11"/>
    </row>
    <row r="114" ht="15.75" customHeight="1">
      <c r="CT114" s="11"/>
      <c r="CU114" s="11"/>
      <c r="CV114" s="11"/>
      <c r="CW114" s="11"/>
      <c r="CX114" s="11"/>
      <c r="CY114" s="11"/>
      <c r="CZ114" s="11"/>
      <c r="DA114" s="11"/>
      <c r="DB114" s="11"/>
      <c r="DC114" s="11"/>
      <c r="DD114" s="11"/>
      <c r="DE114" s="11"/>
      <c r="DF114" s="11"/>
      <c r="DG114" s="11"/>
    </row>
    <row r="115" ht="15.75" customHeight="1">
      <c r="CT115" s="11"/>
      <c r="CU115" s="11"/>
      <c r="CV115" s="11"/>
      <c r="CW115" s="11"/>
      <c r="CX115" s="11"/>
      <c r="CY115" s="11"/>
      <c r="CZ115" s="11"/>
      <c r="DA115" s="11"/>
      <c r="DB115" s="11"/>
      <c r="DC115" s="11"/>
      <c r="DD115" s="11"/>
      <c r="DE115" s="11"/>
      <c r="DF115" s="11"/>
      <c r="DG115" s="11"/>
    </row>
    <row r="116" ht="15.75" customHeight="1">
      <c r="CT116" s="11"/>
      <c r="CU116" s="11"/>
      <c r="CV116" s="11"/>
      <c r="CW116" s="11"/>
      <c r="CX116" s="11"/>
      <c r="CY116" s="11"/>
      <c r="CZ116" s="11"/>
      <c r="DA116" s="11"/>
      <c r="DB116" s="11"/>
      <c r="DC116" s="11"/>
      <c r="DD116" s="11"/>
      <c r="DE116" s="11"/>
      <c r="DF116" s="11"/>
      <c r="DG116" s="11"/>
    </row>
    <row r="117" ht="15.75" customHeight="1">
      <c r="CT117" s="11"/>
      <c r="CU117" s="11"/>
      <c r="CV117" s="11"/>
      <c r="CW117" s="11"/>
      <c r="CX117" s="11"/>
      <c r="CY117" s="11"/>
      <c r="CZ117" s="11"/>
      <c r="DA117" s="11"/>
      <c r="DB117" s="11"/>
      <c r="DC117" s="11"/>
      <c r="DD117" s="11"/>
      <c r="DE117" s="11"/>
      <c r="DF117" s="11"/>
      <c r="DG117" s="11"/>
    </row>
    <row r="118" ht="15.75" customHeight="1">
      <c r="CT118" s="11"/>
      <c r="CU118" s="11"/>
      <c r="CV118" s="11"/>
      <c r="CW118" s="11"/>
      <c r="CX118" s="11"/>
      <c r="CY118" s="11"/>
      <c r="CZ118" s="11"/>
      <c r="DA118" s="11"/>
      <c r="DB118" s="11"/>
      <c r="DC118" s="11"/>
      <c r="DD118" s="11"/>
      <c r="DE118" s="11"/>
      <c r="DF118" s="11"/>
      <c r="DG118" s="11"/>
    </row>
    <row r="119" ht="15.75" customHeight="1">
      <c r="CT119" s="11"/>
      <c r="CU119" s="11"/>
      <c r="CV119" s="11"/>
      <c r="CW119" s="11"/>
      <c r="CX119" s="11"/>
      <c r="CY119" s="11"/>
      <c r="CZ119" s="11"/>
      <c r="DA119" s="11"/>
      <c r="DB119" s="11"/>
      <c r="DC119" s="11"/>
      <c r="DD119" s="11"/>
      <c r="DE119" s="11"/>
      <c r="DF119" s="11"/>
      <c r="DG119" s="11"/>
    </row>
    <row r="120" ht="15.75" customHeight="1">
      <c r="CT120" s="11"/>
      <c r="CU120" s="11"/>
      <c r="CV120" s="11"/>
      <c r="CW120" s="11"/>
      <c r="CX120" s="11"/>
      <c r="CY120" s="11"/>
      <c r="CZ120" s="11"/>
      <c r="DA120" s="11"/>
      <c r="DB120" s="11"/>
      <c r="DC120" s="11"/>
      <c r="DD120" s="11"/>
      <c r="DE120" s="11"/>
      <c r="DF120" s="11"/>
      <c r="DG120" s="11"/>
    </row>
    <row r="121" ht="15.75" customHeight="1">
      <c r="CT121" s="11"/>
      <c r="CU121" s="11"/>
      <c r="CV121" s="11"/>
      <c r="CW121" s="11"/>
      <c r="CX121" s="11"/>
      <c r="CY121" s="11"/>
      <c r="CZ121" s="11"/>
      <c r="DA121" s="11"/>
      <c r="DB121" s="11"/>
      <c r="DC121" s="11"/>
      <c r="DD121" s="11"/>
      <c r="DE121" s="11"/>
      <c r="DF121" s="11"/>
      <c r="DG121" s="11"/>
    </row>
    <row r="122" ht="15.75" customHeight="1">
      <c r="CT122" s="11"/>
      <c r="CU122" s="11"/>
      <c r="CV122" s="11"/>
      <c r="CW122" s="11"/>
      <c r="CX122" s="11"/>
      <c r="CY122" s="11"/>
      <c r="CZ122" s="11"/>
      <c r="DA122" s="11"/>
      <c r="DB122" s="11"/>
      <c r="DC122" s="11"/>
      <c r="DD122" s="11"/>
      <c r="DE122" s="11"/>
      <c r="DF122" s="11"/>
      <c r="DG122" s="11"/>
    </row>
    <row r="123" ht="15.75" customHeight="1">
      <c r="CT123" s="11"/>
      <c r="CU123" s="11"/>
      <c r="CV123" s="11"/>
      <c r="CW123" s="11"/>
      <c r="CX123" s="11"/>
      <c r="CY123" s="11"/>
      <c r="CZ123" s="11"/>
      <c r="DA123" s="11"/>
      <c r="DB123" s="11"/>
      <c r="DC123" s="11"/>
      <c r="DD123" s="11"/>
      <c r="DE123" s="11"/>
      <c r="DF123" s="11"/>
      <c r="DG123" s="11"/>
    </row>
    <row r="124" ht="15.75" customHeight="1">
      <c r="CT124" s="11"/>
      <c r="CU124" s="11"/>
      <c r="CV124" s="11"/>
      <c r="CW124" s="11"/>
      <c r="CX124" s="11"/>
      <c r="CY124" s="11"/>
      <c r="CZ124" s="11"/>
      <c r="DA124" s="11"/>
      <c r="DB124" s="11"/>
      <c r="DC124" s="11"/>
      <c r="DD124" s="11"/>
      <c r="DE124" s="11"/>
      <c r="DF124" s="11"/>
      <c r="DG124" s="11"/>
    </row>
    <row r="125" ht="15.75" customHeight="1">
      <c r="CT125" s="11"/>
      <c r="CU125" s="11"/>
      <c r="CV125" s="11"/>
      <c r="CW125" s="11"/>
      <c r="CX125" s="11"/>
      <c r="CY125" s="11"/>
      <c r="CZ125" s="11"/>
      <c r="DA125" s="11"/>
      <c r="DB125" s="11"/>
      <c r="DC125" s="11"/>
      <c r="DD125" s="11"/>
      <c r="DE125" s="11"/>
      <c r="DF125" s="11"/>
      <c r="DG125" s="11"/>
    </row>
    <row r="126" ht="15.75" customHeight="1">
      <c r="CT126" s="11"/>
      <c r="CU126" s="11"/>
      <c r="CV126" s="11"/>
      <c r="CW126" s="11"/>
      <c r="CX126" s="11"/>
      <c r="CY126" s="11"/>
      <c r="CZ126" s="11"/>
      <c r="DA126" s="11"/>
      <c r="DB126" s="11"/>
      <c r="DC126" s="11"/>
      <c r="DD126" s="11"/>
      <c r="DE126" s="11"/>
      <c r="DF126" s="11"/>
      <c r="DG126" s="11"/>
    </row>
    <row r="127" ht="15.75" customHeight="1">
      <c r="CT127" s="11"/>
      <c r="CU127" s="11"/>
      <c r="CV127" s="11"/>
      <c r="CW127" s="11"/>
      <c r="CX127" s="11"/>
      <c r="CY127" s="11"/>
      <c r="CZ127" s="11"/>
      <c r="DA127" s="11"/>
      <c r="DB127" s="11"/>
      <c r="DC127" s="11"/>
      <c r="DD127" s="11"/>
      <c r="DE127" s="11"/>
      <c r="DF127" s="11"/>
      <c r="DG127" s="11"/>
    </row>
    <row r="128" ht="15.75" customHeight="1">
      <c r="CT128" s="11"/>
      <c r="CU128" s="11"/>
      <c r="CV128" s="11"/>
      <c r="CW128" s="11"/>
      <c r="CX128" s="11"/>
      <c r="CY128" s="11"/>
      <c r="CZ128" s="11"/>
      <c r="DA128" s="11"/>
      <c r="DB128" s="11"/>
      <c r="DC128" s="11"/>
      <c r="DD128" s="11"/>
      <c r="DE128" s="11"/>
      <c r="DF128" s="11"/>
      <c r="DG128" s="11"/>
    </row>
    <row r="129" ht="15.75" customHeight="1">
      <c r="CT129" s="11"/>
      <c r="CU129" s="11"/>
      <c r="CV129" s="11"/>
      <c r="CW129" s="11"/>
      <c r="CX129" s="11"/>
      <c r="CY129" s="11"/>
      <c r="CZ129" s="11"/>
      <c r="DA129" s="11"/>
      <c r="DB129" s="11"/>
      <c r="DC129" s="11"/>
      <c r="DD129" s="11"/>
      <c r="DE129" s="11"/>
      <c r="DF129" s="11"/>
      <c r="DG129" s="11"/>
    </row>
    <row r="130" ht="15.75" customHeight="1">
      <c r="CT130" s="11"/>
      <c r="CU130" s="11"/>
      <c r="CV130" s="11"/>
      <c r="CW130" s="11"/>
      <c r="CX130" s="11"/>
      <c r="CY130" s="11"/>
      <c r="CZ130" s="11"/>
      <c r="DA130" s="11"/>
      <c r="DB130" s="11"/>
      <c r="DC130" s="11"/>
      <c r="DD130" s="11"/>
      <c r="DE130" s="11"/>
      <c r="DF130" s="11"/>
      <c r="DG130" s="11"/>
    </row>
    <row r="131" ht="15.75" customHeight="1">
      <c r="CT131" s="11"/>
      <c r="CU131" s="11"/>
      <c r="CV131" s="11"/>
      <c r="CW131" s="11"/>
      <c r="CX131" s="11"/>
      <c r="CY131" s="11"/>
      <c r="CZ131" s="11"/>
      <c r="DA131" s="11"/>
      <c r="DB131" s="11"/>
      <c r="DC131" s="11"/>
      <c r="DD131" s="11"/>
      <c r="DE131" s="11"/>
      <c r="DF131" s="11"/>
      <c r="DG131" s="11"/>
    </row>
    <row r="132" ht="15.75" customHeight="1">
      <c r="CT132" s="11"/>
      <c r="CU132" s="11"/>
      <c r="CV132" s="11"/>
      <c r="CW132" s="11"/>
      <c r="CX132" s="11"/>
      <c r="CY132" s="11"/>
      <c r="CZ132" s="11"/>
      <c r="DA132" s="11"/>
      <c r="DB132" s="11"/>
      <c r="DC132" s="11"/>
      <c r="DD132" s="11"/>
      <c r="DE132" s="11"/>
      <c r="DF132" s="11"/>
      <c r="DG132" s="11"/>
    </row>
    <row r="133" ht="15.75" customHeight="1">
      <c r="CT133" s="11"/>
      <c r="CU133" s="11"/>
      <c r="CV133" s="11"/>
      <c r="CW133" s="11"/>
      <c r="CX133" s="11"/>
      <c r="CY133" s="11"/>
      <c r="CZ133" s="11"/>
      <c r="DA133" s="11"/>
      <c r="DB133" s="11"/>
      <c r="DC133" s="11"/>
      <c r="DD133" s="11"/>
      <c r="DE133" s="11"/>
      <c r="DF133" s="11"/>
      <c r="DG133" s="11"/>
    </row>
    <row r="134" ht="15.75" customHeight="1">
      <c r="CT134" s="11"/>
      <c r="CU134" s="11"/>
      <c r="CV134" s="11"/>
      <c r="CW134" s="11"/>
      <c r="CX134" s="11"/>
      <c r="CY134" s="11"/>
      <c r="CZ134" s="11"/>
      <c r="DA134" s="11"/>
      <c r="DB134" s="11"/>
      <c r="DC134" s="11"/>
      <c r="DD134" s="11"/>
      <c r="DE134" s="11"/>
      <c r="DF134" s="11"/>
      <c r="DG134" s="11"/>
    </row>
    <row r="135" ht="15.75" customHeight="1">
      <c r="CT135" s="11"/>
      <c r="CU135" s="11"/>
      <c r="CV135" s="11"/>
      <c r="CW135" s="11"/>
      <c r="CX135" s="11"/>
      <c r="CY135" s="11"/>
      <c r="CZ135" s="11"/>
      <c r="DA135" s="11"/>
      <c r="DB135" s="11"/>
      <c r="DC135" s="11"/>
      <c r="DD135" s="11"/>
      <c r="DE135" s="11"/>
      <c r="DF135" s="11"/>
      <c r="DG135" s="11"/>
    </row>
    <row r="136" ht="15.75" customHeight="1">
      <c r="CT136" s="11"/>
      <c r="CU136" s="11"/>
      <c r="CV136" s="11"/>
      <c r="CW136" s="11"/>
      <c r="CX136" s="11"/>
      <c r="CY136" s="11"/>
      <c r="CZ136" s="11"/>
      <c r="DA136" s="11"/>
      <c r="DB136" s="11"/>
      <c r="DC136" s="11"/>
      <c r="DD136" s="11"/>
      <c r="DE136" s="11"/>
      <c r="DF136" s="11"/>
      <c r="DG136" s="11"/>
    </row>
    <row r="137" ht="15.75" customHeight="1">
      <c r="CT137" s="11"/>
      <c r="CU137" s="11"/>
      <c r="CV137" s="11"/>
      <c r="CW137" s="11"/>
      <c r="CX137" s="11"/>
      <c r="CY137" s="11"/>
      <c r="CZ137" s="11"/>
      <c r="DA137" s="11"/>
      <c r="DB137" s="11"/>
      <c r="DC137" s="11"/>
      <c r="DD137" s="11"/>
      <c r="DE137" s="11"/>
      <c r="DF137" s="11"/>
      <c r="DG137" s="11"/>
    </row>
    <row r="138" ht="15.75" customHeight="1">
      <c r="CT138" s="11"/>
      <c r="CU138" s="11"/>
      <c r="CV138" s="11"/>
      <c r="CW138" s="11"/>
      <c r="CX138" s="11"/>
      <c r="CY138" s="11"/>
      <c r="CZ138" s="11"/>
      <c r="DA138" s="11"/>
      <c r="DB138" s="11"/>
      <c r="DC138" s="11"/>
      <c r="DD138" s="11"/>
      <c r="DE138" s="11"/>
      <c r="DF138" s="11"/>
      <c r="DG138" s="11"/>
    </row>
    <row r="139" ht="15.75" customHeight="1">
      <c r="CT139" s="11"/>
      <c r="CU139" s="11"/>
      <c r="CV139" s="11"/>
      <c r="CW139" s="11"/>
      <c r="CX139" s="11"/>
      <c r="CY139" s="11"/>
      <c r="CZ139" s="11"/>
      <c r="DA139" s="11"/>
      <c r="DB139" s="11"/>
      <c r="DC139" s="11"/>
      <c r="DD139" s="11"/>
      <c r="DE139" s="11"/>
      <c r="DF139" s="11"/>
      <c r="DG139" s="11"/>
    </row>
    <row r="140" ht="15.75" customHeight="1">
      <c r="CT140" s="11"/>
      <c r="CU140" s="11"/>
      <c r="CV140" s="11"/>
      <c r="CW140" s="11"/>
      <c r="CX140" s="11"/>
      <c r="CY140" s="11"/>
      <c r="CZ140" s="11"/>
      <c r="DA140" s="11"/>
      <c r="DB140" s="11"/>
      <c r="DC140" s="11"/>
      <c r="DD140" s="11"/>
      <c r="DE140" s="11"/>
      <c r="DF140" s="11"/>
      <c r="DG140" s="11"/>
    </row>
    <row r="141" ht="15.75" customHeight="1">
      <c r="CT141" s="11"/>
      <c r="CU141" s="11"/>
      <c r="CV141" s="11"/>
      <c r="CW141" s="11"/>
      <c r="CX141" s="11"/>
      <c r="CY141" s="11"/>
      <c r="CZ141" s="11"/>
      <c r="DA141" s="11"/>
      <c r="DB141" s="11"/>
      <c r="DC141" s="11"/>
      <c r="DD141" s="11"/>
      <c r="DE141" s="11"/>
      <c r="DF141" s="11"/>
      <c r="DG141" s="11"/>
    </row>
    <row r="142" ht="15.75" customHeight="1">
      <c r="CT142" s="11"/>
      <c r="CU142" s="11"/>
      <c r="CV142" s="11"/>
      <c r="CW142" s="11"/>
      <c r="CX142" s="11"/>
      <c r="CY142" s="11"/>
      <c r="CZ142" s="11"/>
      <c r="DA142" s="11"/>
      <c r="DB142" s="11"/>
      <c r="DC142" s="11"/>
      <c r="DD142" s="11"/>
      <c r="DE142" s="11"/>
      <c r="DF142" s="11"/>
      <c r="DG142" s="11"/>
    </row>
    <row r="143" ht="15.75" customHeight="1">
      <c r="CT143" s="11"/>
      <c r="CU143" s="11"/>
      <c r="CV143" s="11"/>
      <c r="CW143" s="11"/>
      <c r="CX143" s="11"/>
      <c r="CY143" s="11"/>
      <c r="CZ143" s="11"/>
      <c r="DA143" s="11"/>
      <c r="DB143" s="11"/>
      <c r="DC143" s="11"/>
      <c r="DD143" s="11"/>
      <c r="DE143" s="11"/>
      <c r="DF143" s="11"/>
      <c r="DG143" s="11"/>
    </row>
    <row r="144" ht="15.75" customHeight="1">
      <c r="CT144" s="11"/>
      <c r="CU144" s="11"/>
      <c r="CV144" s="11"/>
      <c r="CW144" s="11"/>
      <c r="CX144" s="11"/>
      <c r="CY144" s="11"/>
      <c r="CZ144" s="11"/>
      <c r="DA144" s="11"/>
      <c r="DB144" s="11"/>
      <c r="DC144" s="11"/>
      <c r="DD144" s="11"/>
      <c r="DE144" s="11"/>
      <c r="DF144" s="11"/>
      <c r="DG144" s="11"/>
    </row>
    <row r="145" ht="15.75" customHeight="1">
      <c r="CT145" s="11"/>
      <c r="CU145" s="11"/>
      <c r="CV145" s="11"/>
      <c r="CW145" s="11"/>
      <c r="CX145" s="11"/>
      <c r="CY145" s="11"/>
      <c r="CZ145" s="11"/>
      <c r="DA145" s="11"/>
      <c r="DB145" s="11"/>
      <c r="DC145" s="11"/>
      <c r="DD145" s="11"/>
      <c r="DE145" s="11"/>
      <c r="DF145" s="11"/>
      <c r="DG145" s="11"/>
    </row>
    <row r="146" ht="15.75" customHeight="1">
      <c r="CT146" s="11"/>
      <c r="CU146" s="11"/>
      <c r="CV146" s="11"/>
      <c r="CW146" s="11"/>
      <c r="CX146" s="11"/>
      <c r="CY146" s="11"/>
      <c r="CZ146" s="11"/>
      <c r="DA146" s="11"/>
      <c r="DB146" s="11"/>
      <c r="DC146" s="11"/>
      <c r="DD146" s="11"/>
      <c r="DE146" s="11"/>
      <c r="DF146" s="11"/>
      <c r="DG146" s="11"/>
    </row>
    <row r="147" ht="15.75" customHeight="1">
      <c r="CT147" s="11"/>
      <c r="CU147" s="11"/>
      <c r="CV147" s="11"/>
      <c r="CW147" s="11"/>
      <c r="CX147" s="11"/>
      <c r="CY147" s="11"/>
      <c r="CZ147" s="11"/>
      <c r="DA147" s="11"/>
      <c r="DB147" s="11"/>
      <c r="DC147" s="11"/>
      <c r="DD147" s="11"/>
      <c r="DE147" s="11"/>
      <c r="DF147" s="11"/>
      <c r="DG147" s="11"/>
    </row>
    <row r="148" ht="15.75" customHeight="1">
      <c r="CT148" s="11"/>
      <c r="CU148" s="11"/>
      <c r="CV148" s="11"/>
      <c r="CW148" s="11"/>
      <c r="CX148" s="11"/>
      <c r="CY148" s="11"/>
      <c r="CZ148" s="11"/>
      <c r="DA148" s="11"/>
      <c r="DB148" s="11"/>
      <c r="DC148" s="11"/>
      <c r="DD148" s="11"/>
      <c r="DE148" s="11"/>
      <c r="DF148" s="11"/>
      <c r="DG148" s="11"/>
    </row>
    <row r="149" ht="15.75" customHeight="1">
      <c r="CT149" s="11"/>
      <c r="CU149" s="11"/>
      <c r="CV149" s="11"/>
      <c r="CW149" s="11"/>
      <c r="CX149" s="11"/>
      <c r="CY149" s="11"/>
      <c r="CZ149" s="11"/>
      <c r="DA149" s="11"/>
      <c r="DB149" s="11"/>
      <c r="DC149" s="11"/>
      <c r="DD149" s="11"/>
      <c r="DE149" s="11"/>
      <c r="DF149" s="11"/>
      <c r="DG149" s="11"/>
    </row>
    <row r="150" ht="15.75" customHeight="1">
      <c r="CT150" s="11"/>
      <c r="CU150" s="11"/>
      <c r="CV150" s="11"/>
      <c r="CW150" s="11"/>
      <c r="CX150" s="11"/>
      <c r="CY150" s="11"/>
      <c r="CZ150" s="11"/>
      <c r="DA150" s="11"/>
      <c r="DB150" s="11"/>
      <c r="DC150" s="11"/>
      <c r="DD150" s="11"/>
      <c r="DE150" s="11"/>
      <c r="DF150" s="11"/>
      <c r="DG150" s="11"/>
    </row>
    <row r="151" ht="15.75" customHeight="1">
      <c r="CT151" s="11"/>
      <c r="CU151" s="11"/>
      <c r="CV151" s="11"/>
      <c r="CW151" s="11"/>
      <c r="CX151" s="11"/>
      <c r="CY151" s="11"/>
      <c r="CZ151" s="11"/>
      <c r="DA151" s="11"/>
      <c r="DB151" s="11"/>
      <c r="DC151" s="11"/>
      <c r="DD151" s="11"/>
      <c r="DE151" s="11"/>
      <c r="DF151" s="11"/>
      <c r="DG151" s="11"/>
    </row>
    <row r="152" ht="15.75" customHeight="1">
      <c r="CT152" s="11"/>
      <c r="CU152" s="11"/>
      <c r="CV152" s="11"/>
      <c r="CW152" s="11"/>
      <c r="CX152" s="11"/>
      <c r="CY152" s="11"/>
      <c r="CZ152" s="11"/>
      <c r="DA152" s="11"/>
      <c r="DB152" s="11"/>
      <c r="DC152" s="11"/>
      <c r="DD152" s="11"/>
      <c r="DE152" s="11"/>
      <c r="DF152" s="11"/>
      <c r="DG152" s="11"/>
    </row>
    <row r="153" ht="15.75" customHeight="1">
      <c r="CT153" s="11"/>
      <c r="CU153" s="11"/>
      <c r="CV153" s="11"/>
      <c r="CW153" s="11"/>
      <c r="CX153" s="11"/>
      <c r="CY153" s="11"/>
      <c r="CZ153" s="11"/>
      <c r="DA153" s="11"/>
      <c r="DB153" s="11"/>
      <c r="DC153" s="11"/>
      <c r="DD153" s="11"/>
      <c r="DE153" s="11"/>
      <c r="DF153" s="11"/>
      <c r="DG153" s="11"/>
    </row>
    <row r="154" ht="15.75" customHeight="1">
      <c r="CT154" s="11"/>
      <c r="CU154" s="11"/>
      <c r="CV154" s="11"/>
      <c r="CW154" s="11"/>
      <c r="CX154" s="11"/>
      <c r="CY154" s="11"/>
      <c r="CZ154" s="11"/>
      <c r="DA154" s="11"/>
      <c r="DB154" s="11"/>
      <c r="DC154" s="11"/>
      <c r="DD154" s="11"/>
      <c r="DE154" s="11"/>
      <c r="DF154" s="11"/>
      <c r="DG154" s="11"/>
    </row>
    <row r="155" ht="15.75" customHeight="1">
      <c r="CT155" s="11"/>
      <c r="CU155" s="11"/>
      <c r="CV155" s="11"/>
      <c r="CW155" s="11"/>
      <c r="CX155" s="11"/>
      <c r="CY155" s="11"/>
      <c r="CZ155" s="11"/>
      <c r="DA155" s="11"/>
      <c r="DB155" s="11"/>
      <c r="DC155" s="11"/>
      <c r="DD155" s="11"/>
      <c r="DE155" s="11"/>
      <c r="DF155" s="11"/>
      <c r="DG155" s="11"/>
    </row>
    <row r="156" ht="15.75" customHeight="1">
      <c r="CT156" s="11"/>
      <c r="CU156" s="11"/>
      <c r="CV156" s="11"/>
      <c r="CW156" s="11"/>
      <c r="CX156" s="11"/>
      <c r="CY156" s="11"/>
      <c r="CZ156" s="11"/>
      <c r="DA156" s="11"/>
      <c r="DB156" s="11"/>
      <c r="DC156" s="11"/>
      <c r="DD156" s="11"/>
      <c r="DE156" s="11"/>
      <c r="DF156" s="11"/>
      <c r="DG156" s="11"/>
    </row>
    <row r="157" ht="15.75" customHeight="1">
      <c r="CT157" s="11"/>
      <c r="CU157" s="11"/>
      <c r="CV157" s="11"/>
      <c r="CW157" s="11"/>
      <c r="CX157" s="11"/>
      <c r="CY157" s="11"/>
      <c r="CZ157" s="11"/>
      <c r="DA157" s="11"/>
      <c r="DB157" s="11"/>
      <c r="DC157" s="11"/>
      <c r="DD157" s="11"/>
      <c r="DE157" s="11"/>
      <c r="DF157" s="11"/>
      <c r="DG157" s="11"/>
    </row>
    <row r="158" ht="15.75" customHeight="1">
      <c r="CT158" s="11"/>
      <c r="CU158" s="11"/>
      <c r="CV158" s="11"/>
      <c r="CW158" s="11"/>
      <c r="CX158" s="11"/>
      <c r="CY158" s="11"/>
      <c r="CZ158" s="11"/>
      <c r="DA158" s="11"/>
      <c r="DB158" s="11"/>
      <c r="DC158" s="11"/>
      <c r="DD158" s="11"/>
      <c r="DE158" s="11"/>
      <c r="DF158" s="11"/>
      <c r="DG158" s="11"/>
    </row>
    <row r="159" ht="15.75" customHeight="1">
      <c r="CT159" s="11"/>
      <c r="CU159" s="11"/>
      <c r="CV159" s="11"/>
      <c r="CW159" s="11"/>
      <c r="CX159" s="11"/>
      <c r="CY159" s="11"/>
      <c r="CZ159" s="11"/>
      <c r="DA159" s="11"/>
      <c r="DB159" s="11"/>
      <c r="DC159" s="11"/>
      <c r="DD159" s="11"/>
      <c r="DE159" s="11"/>
      <c r="DF159" s="11"/>
      <c r="DG159" s="11"/>
    </row>
    <row r="160" ht="15.75" customHeight="1">
      <c r="CT160" s="11"/>
      <c r="CU160" s="11"/>
      <c r="CV160" s="11"/>
      <c r="CW160" s="11"/>
      <c r="CX160" s="11"/>
      <c r="CY160" s="11"/>
      <c r="CZ160" s="11"/>
      <c r="DA160" s="11"/>
      <c r="DB160" s="11"/>
      <c r="DC160" s="11"/>
      <c r="DD160" s="11"/>
      <c r="DE160" s="11"/>
      <c r="DF160" s="11"/>
      <c r="DG160" s="11"/>
    </row>
    <row r="161" ht="15.75" customHeight="1">
      <c r="CT161" s="11"/>
      <c r="CU161" s="11"/>
      <c r="CV161" s="11"/>
      <c r="CW161" s="11"/>
      <c r="CX161" s="11"/>
      <c r="CY161" s="11"/>
      <c r="CZ161" s="11"/>
      <c r="DA161" s="11"/>
      <c r="DB161" s="11"/>
      <c r="DC161" s="11"/>
      <c r="DD161" s="11"/>
      <c r="DE161" s="11"/>
      <c r="DF161" s="11"/>
      <c r="DG161" s="11"/>
    </row>
    <row r="162" ht="15.75" customHeight="1">
      <c r="CT162" s="11"/>
      <c r="CU162" s="11"/>
      <c r="CV162" s="11"/>
      <c r="CW162" s="11"/>
      <c r="CX162" s="11"/>
      <c r="CY162" s="11"/>
      <c r="CZ162" s="11"/>
      <c r="DA162" s="11"/>
      <c r="DB162" s="11"/>
      <c r="DC162" s="11"/>
      <c r="DD162" s="11"/>
      <c r="DE162" s="11"/>
      <c r="DF162" s="11"/>
      <c r="DG162" s="11"/>
    </row>
    <row r="163" ht="15.75" customHeight="1">
      <c r="CT163" s="11"/>
      <c r="CU163" s="11"/>
      <c r="CV163" s="11"/>
      <c r="CW163" s="11"/>
      <c r="CX163" s="11"/>
      <c r="CY163" s="11"/>
      <c r="CZ163" s="11"/>
      <c r="DA163" s="11"/>
      <c r="DB163" s="11"/>
      <c r="DC163" s="11"/>
      <c r="DD163" s="11"/>
      <c r="DE163" s="11"/>
      <c r="DF163" s="11"/>
      <c r="DG163" s="11"/>
    </row>
    <row r="164" ht="15.75" customHeight="1">
      <c r="CT164" s="11"/>
      <c r="CU164" s="11"/>
      <c r="CV164" s="11"/>
      <c r="CW164" s="11"/>
      <c r="CX164" s="11"/>
      <c r="CY164" s="11"/>
      <c r="CZ164" s="11"/>
      <c r="DA164" s="11"/>
      <c r="DB164" s="11"/>
      <c r="DC164" s="11"/>
      <c r="DD164" s="11"/>
      <c r="DE164" s="11"/>
      <c r="DF164" s="11"/>
      <c r="DG164" s="11"/>
    </row>
    <row r="165" ht="15.75" customHeight="1">
      <c r="CT165" s="11"/>
      <c r="CU165" s="11"/>
      <c r="CV165" s="11"/>
      <c r="CW165" s="11"/>
      <c r="CX165" s="11"/>
      <c r="CY165" s="11"/>
      <c r="CZ165" s="11"/>
      <c r="DA165" s="11"/>
      <c r="DB165" s="11"/>
      <c r="DC165" s="11"/>
      <c r="DD165" s="11"/>
      <c r="DE165" s="11"/>
      <c r="DF165" s="11"/>
      <c r="DG165" s="11"/>
    </row>
    <row r="166" ht="15.75" customHeight="1">
      <c r="CT166" s="11"/>
      <c r="CU166" s="11"/>
      <c r="CV166" s="11"/>
      <c r="CW166" s="11"/>
      <c r="CX166" s="11"/>
      <c r="CY166" s="11"/>
      <c r="CZ166" s="11"/>
      <c r="DA166" s="11"/>
      <c r="DB166" s="11"/>
      <c r="DC166" s="11"/>
      <c r="DD166" s="11"/>
      <c r="DE166" s="11"/>
      <c r="DF166" s="11"/>
      <c r="DG166" s="11"/>
    </row>
    <row r="167" ht="15.75" customHeight="1">
      <c r="CT167" s="11"/>
      <c r="CU167" s="11"/>
      <c r="CV167" s="11"/>
      <c r="CW167" s="11"/>
      <c r="CX167" s="11"/>
      <c r="CY167" s="11"/>
      <c r="CZ167" s="11"/>
      <c r="DA167" s="11"/>
      <c r="DB167" s="11"/>
      <c r="DC167" s="11"/>
      <c r="DD167" s="11"/>
      <c r="DE167" s="11"/>
      <c r="DF167" s="11"/>
      <c r="DG167" s="11"/>
    </row>
    <row r="168" ht="15.75" customHeight="1">
      <c r="CT168" s="11"/>
      <c r="CU168" s="11"/>
      <c r="CV168" s="11"/>
      <c r="CW168" s="11"/>
      <c r="CX168" s="11"/>
      <c r="CY168" s="11"/>
      <c r="CZ168" s="11"/>
      <c r="DA168" s="11"/>
      <c r="DB168" s="11"/>
      <c r="DC168" s="11"/>
      <c r="DD168" s="11"/>
      <c r="DE168" s="11"/>
      <c r="DF168" s="11"/>
      <c r="DG168" s="11"/>
    </row>
    <row r="169" ht="15.75" customHeight="1">
      <c r="CT169" s="11"/>
      <c r="CU169" s="11"/>
      <c r="CV169" s="11"/>
      <c r="CW169" s="11"/>
      <c r="CX169" s="11"/>
      <c r="CY169" s="11"/>
      <c r="CZ169" s="11"/>
      <c r="DA169" s="11"/>
      <c r="DB169" s="11"/>
      <c r="DC169" s="11"/>
      <c r="DD169" s="11"/>
      <c r="DE169" s="11"/>
      <c r="DF169" s="11"/>
      <c r="DG169" s="11"/>
    </row>
    <row r="170" ht="15.75" customHeight="1">
      <c r="CT170" s="11"/>
      <c r="CU170" s="11"/>
      <c r="CV170" s="11"/>
      <c r="CW170" s="11"/>
      <c r="CX170" s="11"/>
      <c r="CY170" s="11"/>
      <c r="CZ170" s="11"/>
      <c r="DA170" s="11"/>
      <c r="DB170" s="11"/>
      <c r="DC170" s="11"/>
      <c r="DD170" s="11"/>
      <c r="DE170" s="11"/>
      <c r="DF170" s="11"/>
      <c r="DG170" s="11"/>
    </row>
    <row r="171" ht="15.75" customHeight="1">
      <c r="CT171" s="11"/>
      <c r="CU171" s="11"/>
      <c r="CV171" s="11"/>
      <c r="CW171" s="11"/>
      <c r="CX171" s="11"/>
      <c r="CY171" s="11"/>
      <c r="CZ171" s="11"/>
      <c r="DA171" s="11"/>
      <c r="DB171" s="11"/>
      <c r="DC171" s="11"/>
      <c r="DD171" s="11"/>
      <c r="DE171" s="11"/>
      <c r="DF171" s="11"/>
      <c r="DG171" s="11"/>
    </row>
    <row r="172" ht="15.75" customHeight="1">
      <c r="CT172" s="11"/>
      <c r="CU172" s="11"/>
      <c r="CV172" s="11"/>
      <c r="CW172" s="11"/>
      <c r="CX172" s="11"/>
      <c r="CY172" s="11"/>
      <c r="CZ172" s="11"/>
      <c r="DA172" s="11"/>
      <c r="DB172" s="11"/>
      <c r="DC172" s="11"/>
      <c r="DD172" s="11"/>
      <c r="DE172" s="11"/>
      <c r="DF172" s="11"/>
      <c r="DG172" s="11"/>
    </row>
    <row r="173" ht="15.75" customHeight="1">
      <c r="CT173" s="11"/>
      <c r="CU173" s="11"/>
      <c r="CV173" s="11"/>
      <c r="CW173" s="11"/>
      <c r="CX173" s="11"/>
      <c r="CY173" s="11"/>
      <c r="CZ173" s="11"/>
      <c r="DA173" s="11"/>
      <c r="DB173" s="11"/>
      <c r="DC173" s="11"/>
      <c r="DD173" s="11"/>
      <c r="DE173" s="11"/>
      <c r="DF173" s="11"/>
      <c r="DG173" s="11"/>
    </row>
    <row r="174" ht="15.75" customHeight="1">
      <c r="CT174" s="11"/>
      <c r="CU174" s="11"/>
      <c r="CV174" s="11"/>
      <c r="CW174" s="11"/>
      <c r="CX174" s="11"/>
      <c r="CY174" s="11"/>
      <c r="CZ174" s="11"/>
      <c r="DA174" s="11"/>
      <c r="DB174" s="11"/>
      <c r="DC174" s="11"/>
      <c r="DD174" s="11"/>
      <c r="DE174" s="11"/>
      <c r="DF174" s="11"/>
      <c r="DG174" s="11"/>
    </row>
    <row r="175" ht="15.75" customHeight="1">
      <c r="CT175" s="11"/>
      <c r="CU175" s="11"/>
      <c r="CV175" s="11"/>
      <c r="CW175" s="11"/>
      <c r="CX175" s="11"/>
      <c r="CY175" s="11"/>
      <c r="CZ175" s="11"/>
      <c r="DA175" s="11"/>
      <c r="DB175" s="11"/>
      <c r="DC175" s="11"/>
      <c r="DD175" s="11"/>
      <c r="DE175" s="11"/>
      <c r="DF175" s="11"/>
      <c r="DG175" s="11"/>
    </row>
    <row r="176" ht="15.75" customHeight="1">
      <c r="CT176" s="11"/>
      <c r="CU176" s="11"/>
      <c r="CV176" s="11"/>
      <c r="CW176" s="11"/>
      <c r="CX176" s="11"/>
      <c r="CY176" s="11"/>
      <c r="CZ176" s="11"/>
      <c r="DA176" s="11"/>
      <c r="DB176" s="11"/>
      <c r="DC176" s="11"/>
      <c r="DD176" s="11"/>
      <c r="DE176" s="11"/>
      <c r="DF176" s="11"/>
      <c r="DG176" s="11"/>
    </row>
    <row r="177" ht="15.75" customHeight="1">
      <c r="CT177" s="11"/>
      <c r="CU177" s="11"/>
      <c r="CV177" s="11"/>
      <c r="CW177" s="11"/>
      <c r="CX177" s="11"/>
      <c r="CY177" s="11"/>
      <c r="CZ177" s="11"/>
      <c r="DA177" s="11"/>
      <c r="DB177" s="11"/>
      <c r="DC177" s="11"/>
      <c r="DD177" s="11"/>
      <c r="DE177" s="11"/>
      <c r="DF177" s="11"/>
      <c r="DG177" s="11"/>
    </row>
    <row r="178" ht="15.75" customHeight="1">
      <c r="CT178" s="11"/>
      <c r="CU178" s="11"/>
      <c r="CV178" s="11"/>
      <c r="CW178" s="11"/>
      <c r="CX178" s="11"/>
      <c r="CY178" s="11"/>
      <c r="CZ178" s="11"/>
      <c r="DA178" s="11"/>
      <c r="DB178" s="11"/>
      <c r="DC178" s="11"/>
      <c r="DD178" s="11"/>
      <c r="DE178" s="11"/>
      <c r="DF178" s="11"/>
      <c r="DG178" s="11"/>
    </row>
    <row r="179" ht="15.75" customHeight="1">
      <c r="CT179" s="11"/>
      <c r="CU179" s="11"/>
      <c r="CV179" s="11"/>
      <c r="CW179" s="11"/>
      <c r="CX179" s="11"/>
      <c r="CY179" s="11"/>
      <c r="CZ179" s="11"/>
      <c r="DA179" s="11"/>
      <c r="DB179" s="11"/>
      <c r="DC179" s="11"/>
      <c r="DD179" s="11"/>
      <c r="DE179" s="11"/>
      <c r="DF179" s="11"/>
      <c r="DG179" s="11"/>
    </row>
    <row r="180" ht="15.75" customHeight="1">
      <c r="CT180" s="11"/>
      <c r="CU180" s="11"/>
      <c r="CV180" s="11"/>
      <c r="CW180" s="11"/>
      <c r="CX180" s="11"/>
      <c r="CY180" s="11"/>
      <c r="CZ180" s="11"/>
      <c r="DA180" s="11"/>
      <c r="DB180" s="11"/>
      <c r="DC180" s="11"/>
      <c r="DD180" s="11"/>
      <c r="DE180" s="11"/>
      <c r="DF180" s="11"/>
      <c r="DG180" s="11"/>
    </row>
    <row r="181" ht="15.75" customHeight="1">
      <c r="CT181" s="11"/>
      <c r="CU181" s="11"/>
      <c r="CV181" s="11"/>
      <c r="CW181" s="11"/>
      <c r="CX181" s="11"/>
      <c r="CY181" s="11"/>
      <c r="CZ181" s="11"/>
      <c r="DA181" s="11"/>
      <c r="DB181" s="11"/>
      <c r="DC181" s="11"/>
      <c r="DD181" s="11"/>
      <c r="DE181" s="11"/>
      <c r="DF181" s="11"/>
      <c r="DG181" s="11"/>
    </row>
    <row r="182" ht="15.75" customHeight="1">
      <c r="CT182" s="11"/>
      <c r="CU182" s="11"/>
      <c r="CV182" s="11"/>
      <c r="CW182" s="11"/>
      <c r="CX182" s="11"/>
      <c r="CY182" s="11"/>
      <c r="CZ182" s="11"/>
      <c r="DA182" s="11"/>
      <c r="DB182" s="11"/>
      <c r="DC182" s="11"/>
      <c r="DD182" s="11"/>
      <c r="DE182" s="11"/>
      <c r="DF182" s="11"/>
      <c r="DG182" s="11"/>
    </row>
    <row r="183" ht="15.75" customHeight="1">
      <c r="CT183" s="11"/>
      <c r="CU183" s="11"/>
      <c r="CV183" s="11"/>
      <c r="CW183" s="11"/>
      <c r="CX183" s="11"/>
      <c r="CY183" s="11"/>
      <c r="CZ183" s="11"/>
      <c r="DA183" s="11"/>
      <c r="DB183" s="11"/>
      <c r="DC183" s="11"/>
      <c r="DD183" s="11"/>
      <c r="DE183" s="11"/>
      <c r="DF183" s="11"/>
      <c r="DG183" s="11"/>
    </row>
    <row r="184" ht="15.75" customHeight="1">
      <c r="CT184" s="11"/>
      <c r="CU184" s="11"/>
      <c r="CV184" s="11"/>
      <c r="CW184" s="11"/>
      <c r="CX184" s="11"/>
      <c r="CY184" s="11"/>
      <c r="CZ184" s="11"/>
      <c r="DA184" s="11"/>
      <c r="DB184" s="11"/>
      <c r="DC184" s="11"/>
      <c r="DD184" s="11"/>
      <c r="DE184" s="11"/>
      <c r="DF184" s="11"/>
      <c r="DG184" s="11"/>
    </row>
    <row r="185" ht="15.75" customHeight="1">
      <c r="CT185" s="11"/>
      <c r="CU185" s="11"/>
      <c r="CV185" s="11"/>
      <c r="CW185" s="11"/>
      <c r="CX185" s="11"/>
      <c r="CY185" s="11"/>
      <c r="CZ185" s="11"/>
      <c r="DA185" s="11"/>
      <c r="DB185" s="11"/>
      <c r="DC185" s="11"/>
      <c r="DD185" s="11"/>
      <c r="DE185" s="11"/>
      <c r="DF185" s="11"/>
      <c r="DG185" s="11"/>
    </row>
    <row r="186" ht="15.75" customHeight="1">
      <c r="CT186" s="11"/>
      <c r="CU186" s="11"/>
      <c r="CV186" s="11"/>
      <c r="CW186" s="11"/>
      <c r="CX186" s="11"/>
      <c r="CY186" s="11"/>
      <c r="CZ186" s="11"/>
      <c r="DA186" s="11"/>
      <c r="DB186" s="11"/>
      <c r="DC186" s="11"/>
      <c r="DD186" s="11"/>
      <c r="DE186" s="11"/>
      <c r="DF186" s="11"/>
      <c r="DG186" s="11"/>
    </row>
    <row r="187" ht="15.75" customHeight="1">
      <c r="CT187" s="11"/>
      <c r="CU187" s="11"/>
      <c r="CV187" s="11"/>
      <c r="CW187" s="11"/>
      <c r="CX187" s="11"/>
      <c r="CY187" s="11"/>
      <c r="CZ187" s="11"/>
      <c r="DA187" s="11"/>
      <c r="DB187" s="11"/>
      <c r="DC187" s="11"/>
      <c r="DD187" s="11"/>
      <c r="DE187" s="11"/>
      <c r="DF187" s="11"/>
      <c r="DG187" s="11"/>
    </row>
    <row r="188" ht="15.75" customHeight="1">
      <c r="CT188" s="11"/>
      <c r="CU188" s="11"/>
      <c r="CV188" s="11"/>
      <c r="CW188" s="11"/>
      <c r="CX188" s="11"/>
      <c r="CY188" s="11"/>
      <c r="CZ188" s="11"/>
      <c r="DA188" s="11"/>
      <c r="DB188" s="11"/>
      <c r="DC188" s="11"/>
      <c r="DD188" s="11"/>
      <c r="DE188" s="11"/>
      <c r="DF188" s="11"/>
      <c r="DG188" s="11"/>
    </row>
    <row r="189" ht="15.75" customHeight="1">
      <c r="CT189" s="11"/>
      <c r="CU189" s="11"/>
      <c r="CV189" s="11"/>
      <c r="CW189" s="11"/>
      <c r="CX189" s="11"/>
      <c r="CY189" s="11"/>
      <c r="CZ189" s="11"/>
      <c r="DA189" s="11"/>
      <c r="DB189" s="11"/>
      <c r="DC189" s="11"/>
      <c r="DD189" s="11"/>
      <c r="DE189" s="11"/>
      <c r="DF189" s="11"/>
      <c r="DG189" s="11"/>
    </row>
    <row r="190" ht="15.75" customHeight="1">
      <c r="CT190" s="11"/>
      <c r="CU190" s="11"/>
      <c r="CV190" s="11"/>
      <c r="CW190" s="11"/>
      <c r="CX190" s="11"/>
      <c r="CY190" s="11"/>
      <c r="CZ190" s="11"/>
      <c r="DA190" s="11"/>
      <c r="DB190" s="11"/>
      <c r="DC190" s="11"/>
      <c r="DD190" s="11"/>
      <c r="DE190" s="11"/>
      <c r="DF190" s="11"/>
      <c r="DG190" s="11"/>
    </row>
    <row r="191" ht="15.75" customHeight="1">
      <c r="CT191" s="11"/>
      <c r="CU191" s="11"/>
      <c r="CV191" s="11"/>
      <c r="CW191" s="11"/>
      <c r="CX191" s="11"/>
      <c r="CY191" s="11"/>
      <c r="CZ191" s="11"/>
      <c r="DA191" s="11"/>
      <c r="DB191" s="11"/>
      <c r="DC191" s="11"/>
      <c r="DD191" s="11"/>
      <c r="DE191" s="11"/>
      <c r="DF191" s="11"/>
      <c r="DG191" s="11"/>
    </row>
    <row r="192" ht="15.75" customHeight="1">
      <c r="CT192" s="11"/>
      <c r="CU192" s="11"/>
      <c r="CV192" s="11"/>
      <c r="CW192" s="11"/>
      <c r="CX192" s="11"/>
      <c r="CY192" s="11"/>
      <c r="CZ192" s="11"/>
      <c r="DA192" s="11"/>
      <c r="DB192" s="11"/>
      <c r="DC192" s="11"/>
      <c r="DD192" s="11"/>
      <c r="DE192" s="11"/>
      <c r="DF192" s="11"/>
      <c r="DG192" s="11"/>
    </row>
    <row r="193" ht="15.75" customHeight="1">
      <c r="CT193" s="11"/>
      <c r="CU193" s="11"/>
      <c r="CV193" s="11"/>
      <c r="CW193" s="11"/>
      <c r="CX193" s="11"/>
      <c r="CY193" s="11"/>
      <c r="CZ193" s="11"/>
      <c r="DA193" s="11"/>
      <c r="DB193" s="11"/>
      <c r="DC193" s="11"/>
      <c r="DD193" s="11"/>
      <c r="DE193" s="11"/>
      <c r="DF193" s="11"/>
      <c r="DG193" s="11"/>
    </row>
    <row r="194" ht="15.75" customHeight="1">
      <c r="CT194" s="11"/>
      <c r="CU194" s="11"/>
      <c r="CV194" s="11"/>
      <c r="CW194" s="11"/>
      <c r="CX194" s="11"/>
      <c r="CY194" s="11"/>
      <c r="CZ194" s="11"/>
      <c r="DA194" s="11"/>
      <c r="DB194" s="11"/>
      <c r="DC194" s="11"/>
      <c r="DD194" s="11"/>
      <c r="DE194" s="11"/>
      <c r="DF194" s="11"/>
      <c r="DG194" s="11"/>
    </row>
    <row r="195" ht="15.75" customHeight="1">
      <c r="CT195" s="11"/>
      <c r="CU195" s="11"/>
      <c r="CV195" s="11"/>
      <c r="CW195" s="11"/>
      <c r="CX195" s="11"/>
      <c r="CY195" s="11"/>
      <c r="CZ195" s="11"/>
      <c r="DA195" s="11"/>
      <c r="DB195" s="11"/>
      <c r="DC195" s="11"/>
      <c r="DD195" s="11"/>
      <c r="DE195" s="11"/>
      <c r="DF195" s="11"/>
      <c r="DG195" s="11"/>
    </row>
    <row r="196" ht="15.75" customHeight="1">
      <c r="CT196" s="11"/>
      <c r="CU196" s="11"/>
      <c r="CV196" s="11"/>
      <c r="CW196" s="11"/>
      <c r="CX196" s="11"/>
      <c r="CY196" s="11"/>
      <c r="CZ196" s="11"/>
      <c r="DA196" s="11"/>
      <c r="DB196" s="11"/>
      <c r="DC196" s="11"/>
      <c r="DD196" s="11"/>
      <c r="DE196" s="11"/>
      <c r="DF196" s="11"/>
      <c r="DG196" s="11"/>
    </row>
    <row r="197" ht="15.75" customHeight="1">
      <c r="CT197" s="11"/>
      <c r="CU197" s="11"/>
      <c r="CV197" s="11"/>
      <c r="CW197" s="11"/>
      <c r="CX197" s="11"/>
      <c r="CY197" s="11"/>
      <c r="CZ197" s="11"/>
      <c r="DA197" s="11"/>
      <c r="DB197" s="11"/>
      <c r="DC197" s="11"/>
      <c r="DD197" s="11"/>
      <c r="DE197" s="11"/>
      <c r="DF197" s="11"/>
      <c r="DG197" s="11"/>
    </row>
    <row r="198" ht="15.75" customHeight="1">
      <c r="CT198" s="11"/>
      <c r="CU198" s="11"/>
      <c r="CV198" s="11"/>
      <c r="CW198" s="11"/>
      <c r="CX198" s="11"/>
      <c r="CY198" s="11"/>
      <c r="CZ198" s="11"/>
      <c r="DA198" s="11"/>
      <c r="DB198" s="11"/>
      <c r="DC198" s="11"/>
      <c r="DD198" s="11"/>
      <c r="DE198" s="11"/>
      <c r="DF198" s="11"/>
      <c r="DG198" s="11"/>
    </row>
    <row r="199" ht="15.75" customHeight="1">
      <c r="CT199" s="11"/>
      <c r="CU199" s="11"/>
      <c r="CV199" s="11"/>
      <c r="CW199" s="11"/>
      <c r="CX199" s="11"/>
      <c r="CY199" s="11"/>
      <c r="CZ199" s="11"/>
      <c r="DA199" s="11"/>
      <c r="DB199" s="11"/>
      <c r="DC199" s="11"/>
      <c r="DD199" s="11"/>
      <c r="DE199" s="11"/>
      <c r="DF199" s="11"/>
      <c r="DG199" s="11"/>
    </row>
    <row r="200" ht="15.75" customHeight="1">
      <c r="CT200" s="11"/>
      <c r="CU200" s="11"/>
      <c r="CV200" s="11"/>
      <c r="CW200" s="11"/>
      <c r="CX200" s="11"/>
      <c r="CY200" s="11"/>
      <c r="CZ200" s="11"/>
      <c r="DA200" s="11"/>
      <c r="DB200" s="11"/>
      <c r="DC200" s="11"/>
      <c r="DD200" s="11"/>
      <c r="DE200" s="11"/>
      <c r="DF200" s="11"/>
      <c r="DG200" s="11"/>
    </row>
    <row r="201" ht="15.75" customHeight="1">
      <c r="CT201" s="11"/>
      <c r="CU201" s="11"/>
      <c r="CV201" s="11"/>
      <c r="CW201" s="11"/>
      <c r="CX201" s="11"/>
      <c r="CY201" s="11"/>
      <c r="CZ201" s="11"/>
      <c r="DA201" s="11"/>
      <c r="DB201" s="11"/>
      <c r="DC201" s="11"/>
      <c r="DD201" s="11"/>
      <c r="DE201" s="11"/>
      <c r="DF201" s="11"/>
      <c r="DG201" s="11"/>
    </row>
    <row r="202" ht="15.75" customHeight="1">
      <c r="CT202" s="11"/>
      <c r="CU202" s="11"/>
      <c r="CV202" s="11"/>
      <c r="CW202" s="11"/>
      <c r="CX202" s="11"/>
      <c r="CY202" s="11"/>
      <c r="CZ202" s="11"/>
      <c r="DA202" s="11"/>
      <c r="DB202" s="11"/>
      <c r="DC202" s="11"/>
      <c r="DD202" s="11"/>
      <c r="DE202" s="11"/>
      <c r="DF202" s="11"/>
      <c r="DG202" s="11"/>
    </row>
    <row r="203" ht="15.75" customHeight="1">
      <c r="CT203" s="11"/>
      <c r="CU203" s="11"/>
      <c r="CV203" s="11"/>
      <c r="CW203" s="11"/>
      <c r="CX203" s="11"/>
      <c r="CY203" s="11"/>
      <c r="CZ203" s="11"/>
      <c r="DA203" s="11"/>
      <c r="DB203" s="11"/>
      <c r="DC203" s="11"/>
      <c r="DD203" s="11"/>
      <c r="DE203" s="11"/>
      <c r="DF203" s="11"/>
      <c r="DG203" s="11"/>
    </row>
    <row r="204" ht="15.75" customHeight="1">
      <c r="CT204" s="11"/>
      <c r="CU204" s="11"/>
      <c r="CV204" s="11"/>
      <c r="CW204" s="11"/>
      <c r="CX204" s="11"/>
      <c r="CY204" s="11"/>
      <c r="CZ204" s="11"/>
      <c r="DA204" s="11"/>
      <c r="DB204" s="11"/>
      <c r="DC204" s="11"/>
      <c r="DD204" s="11"/>
      <c r="DE204" s="11"/>
      <c r="DF204" s="11"/>
      <c r="DG204" s="11"/>
    </row>
    <row r="205" ht="15.75" customHeight="1">
      <c r="CT205" s="11"/>
      <c r="CU205" s="11"/>
      <c r="CV205" s="11"/>
      <c r="CW205" s="11"/>
      <c r="CX205" s="11"/>
      <c r="CY205" s="11"/>
      <c r="CZ205" s="11"/>
      <c r="DA205" s="11"/>
      <c r="DB205" s="11"/>
      <c r="DC205" s="11"/>
      <c r="DD205" s="11"/>
      <c r="DE205" s="11"/>
      <c r="DF205" s="11"/>
      <c r="DG205" s="11"/>
    </row>
    <row r="206" ht="15.75" customHeight="1">
      <c r="CT206" s="11"/>
      <c r="CU206" s="11"/>
      <c r="CV206" s="11"/>
      <c r="CW206" s="11"/>
      <c r="CX206" s="11"/>
      <c r="CY206" s="11"/>
      <c r="CZ206" s="11"/>
      <c r="DA206" s="11"/>
      <c r="DB206" s="11"/>
      <c r="DC206" s="11"/>
      <c r="DD206" s="11"/>
      <c r="DE206" s="11"/>
      <c r="DF206" s="11"/>
      <c r="DG206" s="11"/>
    </row>
    <row r="207" ht="15.75" customHeight="1">
      <c r="CT207" s="11"/>
      <c r="CU207" s="11"/>
      <c r="CV207" s="11"/>
      <c r="CW207" s="11"/>
      <c r="CX207" s="11"/>
      <c r="CY207" s="11"/>
      <c r="CZ207" s="11"/>
      <c r="DA207" s="11"/>
      <c r="DB207" s="11"/>
      <c r="DC207" s="11"/>
      <c r="DD207" s="11"/>
      <c r="DE207" s="11"/>
      <c r="DF207" s="11"/>
      <c r="DG207" s="11"/>
    </row>
    <row r="208" ht="15.75" customHeight="1">
      <c r="CT208" s="11"/>
      <c r="CU208" s="11"/>
      <c r="CV208" s="11"/>
      <c r="CW208" s="11"/>
      <c r="CX208" s="11"/>
      <c r="CY208" s="11"/>
      <c r="CZ208" s="11"/>
      <c r="DA208" s="11"/>
      <c r="DB208" s="11"/>
      <c r="DC208" s="11"/>
      <c r="DD208" s="11"/>
      <c r="DE208" s="11"/>
      <c r="DF208" s="11"/>
      <c r="DG208" s="11"/>
    </row>
    <row r="209" ht="15.75" customHeight="1">
      <c r="CT209" s="11"/>
      <c r="CU209" s="11"/>
      <c r="CV209" s="11"/>
      <c r="CW209" s="11"/>
      <c r="CX209" s="11"/>
      <c r="CY209" s="11"/>
      <c r="CZ209" s="11"/>
      <c r="DA209" s="11"/>
      <c r="DB209" s="11"/>
      <c r="DC209" s="11"/>
      <c r="DD209" s="11"/>
      <c r="DE209" s="11"/>
      <c r="DF209" s="11"/>
      <c r="DG209" s="11"/>
    </row>
    <row r="210" ht="15.75" customHeight="1">
      <c r="CT210" s="11"/>
      <c r="CU210" s="11"/>
      <c r="CV210" s="11"/>
      <c r="CW210" s="11"/>
      <c r="CX210" s="11"/>
      <c r="CY210" s="11"/>
      <c r="CZ210" s="11"/>
      <c r="DA210" s="11"/>
      <c r="DB210" s="11"/>
      <c r="DC210" s="11"/>
      <c r="DD210" s="11"/>
      <c r="DE210" s="11"/>
      <c r="DF210" s="11"/>
      <c r="DG210" s="11"/>
    </row>
    <row r="211" ht="15.75" customHeight="1">
      <c r="CT211" s="11"/>
      <c r="CU211" s="11"/>
      <c r="CV211" s="11"/>
      <c r="CW211" s="11"/>
      <c r="CX211" s="11"/>
      <c r="CY211" s="11"/>
      <c r="CZ211" s="11"/>
      <c r="DA211" s="11"/>
      <c r="DB211" s="11"/>
      <c r="DC211" s="11"/>
      <c r="DD211" s="11"/>
      <c r="DE211" s="11"/>
      <c r="DF211" s="11"/>
      <c r="DG211" s="11"/>
    </row>
    <row r="212" ht="15.75" customHeight="1">
      <c r="CT212" s="11"/>
      <c r="CU212" s="11"/>
      <c r="CV212" s="11"/>
      <c r="CW212" s="11"/>
      <c r="CX212" s="11"/>
      <c r="CY212" s="11"/>
      <c r="CZ212" s="11"/>
      <c r="DA212" s="11"/>
      <c r="DB212" s="11"/>
      <c r="DC212" s="11"/>
      <c r="DD212" s="11"/>
      <c r="DE212" s="11"/>
      <c r="DF212" s="11"/>
      <c r="DG212" s="11"/>
    </row>
    <row r="213" ht="15.75" customHeight="1">
      <c r="CT213" s="11"/>
      <c r="CU213" s="11"/>
      <c r="CV213" s="11"/>
      <c r="CW213" s="11"/>
      <c r="CX213" s="11"/>
      <c r="CY213" s="11"/>
      <c r="CZ213" s="11"/>
      <c r="DA213" s="11"/>
      <c r="DB213" s="11"/>
      <c r="DC213" s="11"/>
      <c r="DD213" s="11"/>
      <c r="DE213" s="11"/>
      <c r="DF213" s="11"/>
      <c r="DG213" s="11"/>
    </row>
    <row r="214" ht="15.75" customHeight="1">
      <c r="CT214" s="11"/>
      <c r="CU214" s="11"/>
      <c r="CV214" s="11"/>
      <c r="CW214" s="11"/>
      <c r="CX214" s="11"/>
      <c r="CY214" s="11"/>
      <c r="CZ214" s="11"/>
      <c r="DA214" s="11"/>
      <c r="DB214" s="11"/>
      <c r="DC214" s="11"/>
      <c r="DD214" s="11"/>
      <c r="DE214" s="11"/>
      <c r="DF214" s="11"/>
      <c r="DG214" s="11"/>
    </row>
    <row r="215" ht="15.75" customHeight="1">
      <c r="CT215" s="11"/>
      <c r="CU215" s="11"/>
      <c r="CV215" s="11"/>
      <c r="CW215" s="11"/>
      <c r="CX215" s="11"/>
      <c r="CY215" s="11"/>
      <c r="CZ215" s="11"/>
      <c r="DA215" s="11"/>
      <c r="DB215" s="11"/>
      <c r="DC215" s="11"/>
      <c r="DD215" s="11"/>
      <c r="DE215" s="11"/>
      <c r="DF215" s="11"/>
      <c r="DG215" s="11"/>
    </row>
    <row r="216" ht="15.75" customHeight="1">
      <c r="CT216" s="11"/>
      <c r="CU216" s="11"/>
      <c r="CV216" s="11"/>
      <c r="CW216" s="11"/>
      <c r="CX216" s="11"/>
      <c r="CY216" s="11"/>
      <c r="CZ216" s="11"/>
      <c r="DA216" s="11"/>
      <c r="DB216" s="11"/>
      <c r="DC216" s="11"/>
      <c r="DD216" s="11"/>
      <c r="DE216" s="11"/>
      <c r="DF216" s="11"/>
      <c r="DG216" s="11"/>
    </row>
    <row r="217" ht="15.75" customHeight="1">
      <c r="CT217" s="11"/>
      <c r="CU217" s="11"/>
      <c r="CV217" s="11"/>
      <c r="CW217" s="11"/>
      <c r="CX217" s="11"/>
      <c r="CY217" s="11"/>
      <c r="CZ217" s="11"/>
      <c r="DA217" s="11"/>
      <c r="DB217" s="11"/>
      <c r="DC217" s="11"/>
      <c r="DD217" s="11"/>
      <c r="DE217" s="11"/>
      <c r="DF217" s="11"/>
      <c r="DG217" s="11"/>
    </row>
    <row r="218" ht="15.75" customHeight="1">
      <c r="CT218" s="11"/>
      <c r="CU218" s="11"/>
      <c r="CV218" s="11"/>
      <c r="CW218" s="11"/>
      <c r="CX218" s="11"/>
      <c r="CY218" s="11"/>
      <c r="CZ218" s="11"/>
      <c r="DA218" s="11"/>
      <c r="DB218" s="11"/>
      <c r="DC218" s="11"/>
      <c r="DD218" s="11"/>
      <c r="DE218" s="11"/>
      <c r="DF218" s="11"/>
      <c r="DG218" s="11"/>
    </row>
    <row r="219" ht="15.75" customHeight="1">
      <c r="CT219" s="11"/>
      <c r="CU219" s="11"/>
      <c r="CV219" s="11"/>
      <c r="CW219" s="11"/>
      <c r="CX219" s="11"/>
      <c r="CY219" s="11"/>
      <c r="CZ219" s="11"/>
      <c r="DA219" s="11"/>
      <c r="DB219" s="11"/>
      <c r="DC219" s="11"/>
      <c r="DD219" s="11"/>
      <c r="DE219" s="11"/>
      <c r="DF219" s="11"/>
      <c r="DG219" s="11"/>
    </row>
    <row r="220" ht="15.75" customHeight="1">
      <c r="CT220" s="11"/>
      <c r="CU220" s="11"/>
      <c r="CV220" s="11"/>
      <c r="CW220" s="11"/>
      <c r="CX220" s="11"/>
      <c r="CY220" s="11"/>
      <c r="CZ220" s="11"/>
      <c r="DA220" s="11"/>
      <c r="DB220" s="11"/>
      <c r="DC220" s="11"/>
      <c r="DD220" s="11"/>
      <c r="DE220" s="11"/>
      <c r="DF220" s="11"/>
      <c r="DG220" s="11"/>
    </row>
    <row r="221" ht="15.75" customHeight="1">
      <c r="CT221" s="11"/>
      <c r="CU221" s="11"/>
      <c r="CV221" s="11"/>
      <c r="CW221" s="11"/>
      <c r="CX221" s="11"/>
      <c r="CY221" s="11"/>
      <c r="CZ221" s="11"/>
      <c r="DA221" s="11"/>
      <c r="DB221" s="11"/>
      <c r="DC221" s="11"/>
      <c r="DD221" s="11"/>
      <c r="DE221" s="11"/>
      <c r="DF221" s="11"/>
      <c r="DG221" s="11"/>
    </row>
    <row r="222" ht="15.75" customHeight="1">
      <c r="CT222" s="11"/>
      <c r="CU222" s="11"/>
      <c r="CV222" s="11"/>
      <c r="CW222" s="11"/>
      <c r="CX222" s="11"/>
      <c r="CY222" s="11"/>
      <c r="CZ222" s="11"/>
      <c r="DA222" s="11"/>
      <c r="DB222" s="11"/>
      <c r="DC222" s="11"/>
      <c r="DD222" s="11"/>
      <c r="DE222" s="11"/>
      <c r="DF222" s="11"/>
      <c r="DG222" s="11"/>
    </row>
    <row r="223" ht="15.75" customHeight="1">
      <c r="CT223" s="11"/>
      <c r="CU223" s="11"/>
      <c r="CV223" s="11"/>
      <c r="CW223" s="11"/>
      <c r="CX223" s="11"/>
      <c r="CY223" s="11"/>
      <c r="CZ223" s="11"/>
      <c r="DA223" s="11"/>
      <c r="DB223" s="11"/>
      <c r="DC223" s="11"/>
      <c r="DD223" s="11"/>
      <c r="DE223" s="11"/>
      <c r="DF223" s="11"/>
      <c r="DG223" s="11"/>
    </row>
    <row r="224" ht="15.75" customHeight="1">
      <c r="CT224" s="11"/>
      <c r="CU224" s="11"/>
      <c r="CV224" s="11"/>
      <c r="CW224" s="11"/>
      <c r="CX224" s="11"/>
      <c r="CY224" s="11"/>
      <c r="CZ224" s="11"/>
      <c r="DA224" s="11"/>
      <c r="DB224" s="11"/>
      <c r="DC224" s="11"/>
      <c r="DD224" s="11"/>
      <c r="DE224" s="11"/>
      <c r="DF224" s="11"/>
      <c r="DG224" s="11"/>
    </row>
    <row r="225" ht="15.75" customHeight="1">
      <c r="CT225" s="11"/>
      <c r="CU225" s="11"/>
      <c r="CV225" s="11"/>
      <c r="CW225" s="11"/>
      <c r="CX225" s="11"/>
      <c r="CY225" s="11"/>
      <c r="CZ225" s="11"/>
      <c r="DA225" s="11"/>
      <c r="DB225" s="11"/>
      <c r="DC225" s="11"/>
      <c r="DD225" s="11"/>
      <c r="DE225" s="11"/>
      <c r="DF225" s="11"/>
      <c r="DG225" s="11"/>
    </row>
    <row r="226" ht="15.75" customHeight="1">
      <c r="CT226" s="11"/>
      <c r="CU226" s="11"/>
      <c r="CV226" s="11"/>
      <c r="CW226" s="11"/>
      <c r="CX226" s="11"/>
      <c r="CY226" s="11"/>
      <c r="CZ226" s="11"/>
      <c r="DA226" s="11"/>
      <c r="DB226" s="11"/>
      <c r="DC226" s="11"/>
      <c r="DD226" s="11"/>
      <c r="DE226" s="11"/>
      <c r="DF226" s="11"/>
      <c r="DG226" s="11"/>
    </row>
    <row r="227" ht="15.75" customHeight="1">
      <c r="CT227" s="11"/>
      <c r="CU227" s="11"/>
      <c r="CV227" s="11"/>
      <c r="CW227" s="11"/>
      <c r="CX227" s="11"/>
      <c r="CY227" s="11"/>
      <c r="CZ227" s="11"/>
      <c r="DA227" s="11"/>
      <c r="DB227" s="11"/>
      <c r="DC227" s="11"/>
      <c r="DD227" s="11"/>
      <c r="DE227" s="11"/>
      <c r="DF227" s="11"/>
      <c r="DG227" s="11"/>
    </row>
    <row r="228" ht="15.75" customHeight="1">
      <c r="CT228" s="11"/>
      <c r="CU228" s="11"/>
      <c r="CV228" s="11"/>
      <c r="CW228" s="11"/>
      <c r="CX228" s="11"/>
      <c r="CY228" s="11"/>
      <c r="CZ228" s="11"/>
      <c r="DA228" s="11"/>
      <c r="DB228" s="11"/>
      <c r="DC228" s="11"/>
      <c r="DD228" s="11"/>
      <c r="DE228" s="11"/>
      <c r="DF228" s="11"/>
      <c r="DG228" s="11"/>
    </row>
    <row r="229" ht="15.75" customHeight="1">
      <c r="CT229" s="11"/>
      <c r="CU229" s="11"/>
      <c r="CV229" s="11"/>
      <c r="CW229" s="11"/>
      <c r="CX229" s="11"/>
      <c r="CY229" s="11"/>
      <c r="CZ229" s="11"/>
      <c r="DA229" s="11"/>
      <c r="DB229" s="11"/>
      <c r="DC229" s="11"/>
      <c r="DD229" s="11"/>
      <c r="DE229" s="11"/>
      <c r="DF229" s="11"/>
      <c r="DG229" s="11"/>
    </row>
    <row r="230" ht="15.75" customHeight="1">
      <c r="CT230" s="11"/>
      <c r="CU230" s="11"/>
      <c r="CV230" s="11"/>
      <c r="CW230" s="11"/>
      <c r="CX230" s="11"/>
      <c r="CY230" s="11"/>
      <c r="CZ230" s="11"/>
      <c r="DA230" s="11"/>
      <c r="DB230" s="11"/>
      <c r="DC230" s="11"/>
      <c r="DD230" s="11"/>
      <c r="DE230" s="11"/>
      <c r="DF230" s="11"/>
      <c r="DG230" s="11"/>
    </row>
    <row r="231" ht="15.75" customHeight="1">
      <c r="CT231" s="11"/>
      <c r="CU231" s="11"/>
      <c r="CV231" s="11"/>
      <c r="CW231" s="11"/>
      <c r="CX231" s="11"/>
      <c r="CY231" s="11"/>
      <c r="CZ231" s="11"/>
      <c r="DA231" s="11"/>
      <c r="DB231" s="11"/>
      <c r="DC231" s="11"/>
      <c r="DD231" s="11"/>
      <c r="DE231" s="11"/>
      <c r="DF231" s="11"/>
      <c r="DG231" s="11"/>
    </row>
    <row r="232" ht="15.75" customHeight="1">
      <c r="CT232" s="11"/>
      <c r="CU232" s="11"/>
      <c r="CV232" s="11"/>
      <c r="CW232" s="11"/>
      <c r="CX232" s="11"/>
      <c r="CY232" s="11"/>
      <c r="CZ232" s="11"/>
      <c r="DA232" s="11"/>
      <c r="DB232" s="11"/>
      <c r="DC232" s="11"/>
      <c r="DD232" s="11"/>
      <c r="DE232" s="11"/>
      <c r="DF232" s="11"/>
      <c r="DG232" s="11"/>
    </row>
    <row r="233" ht="15.75" customHeight="1">
      <c r="CT233" s="11"/>
      <c r="CU233" s="11"/>
      <c r="CV233" s="11"/>
      <c r="CW233" s="11"/>
      <c r="CX233" s="11"/>
      <c r="CY233" s="11"/>
      <c r="CZ233" s="11"/>
      <c r="DA233" s="11"/>
      <c r="DB233" s="11"/>
      <c r="DC233" s="11"/>
      <c r="DD233" s="11"/>
      <c r="DE233" s="11"/>
      <c r="DF233" s="11"/>
      <c r="DG233" s="11"/>
    </row>
    <row r="234" ht="15.75" customHeight="1">
      <c r="CT234" s="11"/>
      <c r="CU234" s="11"/>
      <c r="CV234" s="11"/>
      <c r="CW234" s="11"/>
      <c r="CX234" s="11"/>
      <c r="CY234" s="11"/>
      <c r="CZ234" s="11"/>
      <c r="DA234" s="11"/>
      <c r="DB234" s="11"/>
      <c r="DC234" s="11"/>
      <c r="DD234" s="11"/>
      <c r="DE234" s="11"/>
      <c r="DF234" s="11"/>
      <c r="DG234" s="11"/>
    </row>
    <row r="235" ht="15.75" customHeight="1">
      <c r="CT235" s="11"/>
      <c r="CU235" s="11"/>
      <c r="CV235" s="11"/>
      <c r="CW235" s="11"/>
      <c r="CX235" s="11"/>
      <c r="CY235" s="11"/>
      <c r="CZ235" s="11"/>
      <c r="DA235" s="11"/>
      <c r="DB235" s="11"/>
      <c r="DC235" s="11"/>
      <c r="DD235" s="11"/>
      <c r="DE235" s="11"/>
      <c r="DF235" s="11"/>
      <c r="DG235" s="11"/>
    </row>
    <row r="236" ht="15.75" customHeight="1">
      <c r="CT236" s="11"/>
      <c r="CU236" s="11"/>
      <c r="CV236" s="11"/>
      <c r="CW236" s="11"/>
      <c r="CX236" s="11"/>
      <c r="CY236" s="11"/>
      <c r="CZ236" s="11"/>
      <c r="DA236" s="11"/>
      <c r="DB236" s="11"/>
      <c r="DC236" s="11"/>
      <c r="DD236" s="11"/>
      <c r="DE236" s="11"/>
      <c r="DF236" s="11"/>
      <c r="DG236" s="11"/>
    </row>
    <row r="237" ht="15.75" customHeight="1">
      <c r="CT237" s="11"/>
      <c r="CU237" s="11"/>
      <c r="CV237" s="11"/>
      <c r="CW237" s="11"/>
      <c r="CX237" s="11"/>
      <c r="CY237" s="11"/>
      <c r="CZ237" s="11"/>
      <c r="DA237" s="11"/>
      <c r="DB237" s="11"/>
      <c r="DC237" s="11"/>
      <c r="DD237" s="11"/>
      <c r="DE237" s="11"/>
      <c r="DF237" s="11"/>
      <c r="DG237" s="11"/>
    </row>
    <row r="238" ht="15.75" customHeight="1">
      <c r="CT238" s="11"/>
      <c r="CU238" s="11"/>
      <c r="CV238" s="11"/>
      <c r="CW238" s="11"/>
      <c r="CX238" s="11"/>
      <c r="CY238" s="11"/>
      <c r="CZ238" s="11"/>
      <c r="DA238" s="11"/>
      <c r="DB238" s="11"/>
      <c r="DC238" s="11"/>
      <c r="DD238" s="11"/>
      <c r="DE238" s="11"/>
      <c r="DF238" s="11"/>
      <c r="DG238" s="11"/>
    </row>
    <row r="239" ht="15.75" customHeight="1">
      <c r="CT239" s="11"/>
      <c r="CU239" s="11"/>
      <c r="CV239" s="11"/>
      <c r="CW239" s="11"/>
      <c r="CX239" s="11"/>
      <c r="CY239" s="11"/>
      <c r="CZ239" s="11"/>
      <c r="DA239" s="11"/>
      <c r="DB239" s="11"/>
      <c r="DC239" s="11"/>
      <c r="DD239" s="11"/>
      <c r="DE239" s="11"/>
      <c r="DF239" s="11"/>
      <c r="DG239" s="11"/>
    </row>
    <row r="240" ht="15.75" customHeight="1">
      <c r="CT240" s="11"/>
      <c r="CU240" s="11"/>
      <c r="CV240" s="11"/>
      <c r="CW240" s="11"/>
      <c r="CX240" s="11"/>
      <c r="CY240" s="11"/>
      <c r="CZ240" s="11"/>
      <c r="DA240" s="11"/>
      <c r="DB240" s="11"/>
      <c r="DC240" s="11"/>
      <c r="DD240" s="11"/>
      <c r="DE240" s="11"/>
      <c r="DF240" s="11"/>
      <c r="DG240" s="11"/>
    </row>
    <row r="241" ht="15.75" customHeight="1">
      <c r="CT241" s="11"/>
      <c r="CU241" s="11"/>
      <c r="CV241" s="11"/>
      <c r="CW241" s="11"/>
      <c r="CX241" s="11"/>
      <c r="CY241" s="11"/>
      <c r="CZ241" s="11"/>
      <c r="DA241" s="11"/>
      <c r="DB241" s="11"/>
      <c r="DC241" s="11"/>
      <c r="DD241" s="11"/>
      <c r="DE241" s="11"/>
      <c r="DF241" s="11"/>
      <c r="DG241" s="11"/>
    </row>
    <row r="242" ht="15.75" customHeight="1">
      <c r="CT242" s="11"/>
      <c r="CU242" s="11"/>
      <c r="CV242" s="11"/>
      <c r="CW242" s="11"/>
      <c r="CX242" s="11"/>
      <c r="CY242" s="11"/>
      <c r="CZ242" s="11"/>
      <c r="DA242" s="11"/>
      <c r="DB242" s="11"/>
      <c r="DC242" s="11"/>
      <c r="DD242" s="11"/>
      <c r="DE242" s="11"/>
      <c r="DF242" s="11"/>
      <c r="DG242" s="11"/>
    </row>
    <row r="243" ht="15.75" customHeight="1">
      <c r="CT243" s="11"/>
      <c r="CU243" s="11"/>
      <c r="CV243" s="11"/>
      <c r="CW243" s="11"/>
      <c r="CX243" s="11"/>
      <c r="CY243" s="11"/>
      <c r="CZ243" s="11"/>
      <c r="DA243" s="11"/>
      <c r="DB243" s="11"/>
      <c r="DC243" s="11"/>
      <c r="DD243" s="11"/>
      <c r="DE243" s="11"/>
      <c r="DF243" s="11"/>
      <c r="DG243" s="11"/>
    </row>
    <row r="244" ht="15.75" customHeight="1">
      <c r="CT244" s="11"/>
      <c r="CU244" s="11"/>
      <c r="CV244" s="11"/>
      <c r="CW244" s="11"/>
      <c r="CX244" s="11"/>
      <c r="CY244" s="11"/>
      <c r="CZ244" s="11"/>
      <c r="DA244" s="11"/>
      <c r="DB244" s="11"/>
      <c r="DC244" s="11"/>
      <c r="DD244" s="11"/>
      <c r="DE244" s="11"/>
      <c r="DF244" s="11"/>
      <c r="DG244" s="11"/>
    </row>
    <row r="245" ht="15.75" customHeight="1">
      <c r="CT245" s="11"/>
      <c r="CU245" s="11"/>
      <c r="CV245" s="11"/>
      <c r="CW245" s="11"/>
      <c r="CX245" s="11"/>
      <c r="CY245" s="11"/>
      <c r="CZ245" s="11"/>
      <c r="DA245" s="11"/>
      <c r="DB245" s="11"/>
      <c r="DC245" s="11"/>
      <c r="DD245" s="11"/>
      <c r="DE245" s="11"/>
      <c r="DF245" s="11"/>
      <c r="DG245" s="11"/>
    </row>
    <row r="246" ht="15.75" customHeight="1">
      <c r="CT246" s="11"/>
      <c r="CU246" s="11"/>
      <c r="CV246" s="11"/>
      <c r="CW246" s="11"/>
      <c r="CX246" s="11"/>
      <c r="CY246" s="11"/>
      <c r="CZ246" s="11"/>
      <c r="DA246" s="11"/>
      <c r="DB246" s="11"/>
      <c r="DC246" s="11"/>
      <c r="DD246" s="11"/>
      <c r="DE246" s="11"/>
      <c r="DF246" s="11"/>
      <c r="DG246" s="11"/>
    </row>
    <row r="247" ht="15.75" customHeight="1">
      <c r="CT247" s="11"/>
      <c r="CU247" s="11"/>
      <c r="CV247" s="11"/>
      <c r="CW247" s="11"/>
      <c r="CX247" s="11"/>
      <c r="CY247" s="11"/>
      <c r="CZ247" s="11"/>
      <c r="DA247" s="11"/>
      <c r="DB247" s="11"/>
      <c r="DC247" s="11"/>
      <c r="DD247" s="11"/>
      <c r="DE247" s="11"/>
      <c r="DF247" s="11"/>
      <c r="DG247" s="11"/>
    </row>
    <row r="248" ht="15.75" customHeight="1">
      <c r="CT248" s="11"/>
      <c r="CU248" s="11"/>
      <c r="CV248" s="11"/>
      <c r="CW248" s="11"/>
      <c r="CX248" s="11"/>
      <c r="CY248" s="11"/>
      <c r="CZ248" s="11"/>
      <c r="DA248" s="11"/>
      <c r="DB248" s="11"/>
      <c r="DC248" s="11"/>
      <c r="DD248" s="11"/>
      <c r="DE248" s="11"/>
      <c r="DF248" s="11"/>
      <c r="DG248" s="11"/>
    </row>
    <row r="249" ht="15.75" customHeight="1">
      <c r="CT249" s="11"/>
      <c r="CU249" s="11"/>
      <c r="CV249" s="11"/>
      <c r="CW249" s="11"/>
      <c r="CX249" s="11"/>
      <c r="CY249" s="11"/>
      <c r="CZ249" s="11"/>
      <c r="DA249" s="11"/>
      <c r="DB249" s="11"/>
      <c r="DC249" s="11"/>
      <c r="DD249" s="11"/>
      <c r="DE249" s="11"/>
      <c r="DF249" s="11"/>
      <c r="DG249" s="11"/>
    </row>
    <row r="250" ht="15.75" customHeight="1">
      <c r="CT250" s="11"/>
      <c r="CU250" s="11"/>
      <c r="CV250" s="11"/>
      <c r="CW250" s="11"/>
      <c r="CX250" s="11"/>
      <c r="CY250" s="11"/>
      <c r="CZ250" s="11"/>
      <c r="DA250" s="11"/>
      <c r="DB250" s="11"/>
      <c r="DC250" s="11"/>
      <c r="DD250" s="11"/>
      <c r="DE250" s="11"/>
      <c r="DF250" s="11"/>
      <c r="DG250" s="11"/>
    </row>
    <row r="251" ht="15.75" customHeight="1">
      <c r="CT251" s="11"/>
      <c r="CU251" s="11"/>
      <c r="CV251" s="11"/>
      <c r="CW251" s="11"/>
      <c r="CX251" s="11"/>
      <c r="CY251" s="11"/>
      <c r="CZ251" s="11"/>
      <c r="DA251" s="11"/>
      <c r="DB251" s="11"/>
      <c r="DC251" s="11"/>
      <c r="DD251" s="11"/>
      <c r="DE251" s="11"/>
      <c r="DF251" s="11"/>
      <c r="DG251" s="11"/>
    </row>
    <row r="252" ht="15.75" customHeight="1">
      <c r="CT252" s="11"/>
      <c r="CU252" s="11"/>
      <c r="CV252" s="11"/>
      <c r="CW252" s="11"/>
      <c r="CX252" s="11"/>
      <c r="CY252" s="11"/>
      <c r="CZ252" s="11"/>
      <c r="DA252" s="11"/>
      <c r="DB252" s="11"/>
      <c r="DC252" s="11"/>
      <c r="DD252" s="11"/>
      <c r="DE252" s="11"/>
      <c r="DF252" s="11"/>
      <c r="DG252" s="11"/>
    </row>
    <row r="253" ht="15.75" customHeight="1">
      <c r="CT253" s="11"/>
      <c r="CU253" s="11"/>
      <c r="CV253" s="11"/>
      <c r="CW253" s="11"/>
      <c r="CX253" s="11"/>
      <c r="CY253" s="11"/>
      <c r="CZ253" s="11"/>
      <c r="DA253" s="11"/>
      <c r="DB253" s="11"/>
      <c r="DC253" s="11"/>
      <c r="DD253" s="11"/>
      <c r="DE253" s="11"/>
      <c r="DF253" s="11"/>
      <c r="DG253" s="11"/>
    </row>
    <row r="254" ht="15.75" customHeight="1">
      <c r="CT254" s="11"/>
      <c r="CU254" s="11"/>
      <c r="CV254" s="11"/>
      <c r="CW254" s="11"/>
      <c r="CX254" s="11"/>
      <c r="CY254" s="11"/>
      <c r="CZ254" s="11"/>
      <c r="DA254" s="11"/>
      <c r="DB254" s="11"/>
      <c r="DC254" s="11"/>
      <c r="DD254" s="11"/>
      <c r="DE254" s="11"/>
      <c r="DF254" s="11"/>
      <c r="DG254" s="11"/>
    </row>
    <row r="255" ht="15.75" customHeight="1">
      <c r="CT255" s="11"/>
      <c r="CU255" s="11"/>
      <c r="CV255" s="11"/>
      <c r="CW255" s="11"/>
      <c r="CX255" s="11"/>
      <c r="CY255" s="11"/>
      <c r="CZ255" s="11"/>
      <c r="DA255" s="11"/>
      <c r="DB255" s="11"/>
      <c r="DC255" s="11"/>
      <c r="DD255" s="11"/>
      <c r="DE255" s="11"/>
      <c r="DF255" s="11"/>
      <c r="DG255" s="11"/>
    </row>
    <row r="256" ht="15.75" customHeight="1">
      <c r="CT256" s="11"/>
      <c r="CU256" s="11"/>
      <c r="CV256" s="11"/>
      <c r="CW256" s="11"/>
      <c r="CX256" s="11"/>
      <c r="CY256" s="11"/>
      <c r="CZ256" s="11"/>
      <c r="DA256" s="11"/>
      <c r="DB256" s="11"/>
      <c r="DC256" s="11"/>
      <c r="DD256" s="11"/>
      <c r="DE256" s="11"/>
      <c r="DF256" s="11"/>
      <c r="DG256" s="11"/>
    </row>
    <row r="257" ht="15.75" customHeight="1">
      <c r="CT257" s="11"/>
      <c r="CU257" s="11"/>
      <c r="CV257" s="11"/>
      <c r="CW257" s="11"/>
      <c r="CX257" s="11"/>
      <c r="CY257" s="11"/>
      <c r="CZ257" s="11"/>
      <c r="DA257" s="11"/>
      <c r="DB257" s="11"/>
      <c r="DC257" s="11"/>
      <c r="DD257" s="11"/>
      <c r="DE257" s="11"/>
      <c r="DF257" s="11"/>
      <c r="DG257" s="11"/>
    </row>
    <row r="258" ht="15.75" customHeight="1">
      <c r="CT258" s="11"/>
      <c r="CU258" s="11"/>
      <c r="CV258" s="11"/>
      <c r="CW258" s="11"/>
      <c r="CX258" s="11"/>
      <c r="CY258" s="11"/>
      <c r="CZ258" s="11"/>
      <c r="DA258" s="11"/>
      <c r="DB258" s="11"/>
      <c r="DC258" s="11"/>
      <c r="DD258" s="11"/>
      <c r="DE258" s="11"/>
      <c r="DF258" s="11"/>
      <c r="DG258" s="11"/>
    </row>
    <row r="259" ht="15.75" customHeight="1">
      <c r="CT259" s="11"/>
      <c r="CU259" s="11"/>
      <c r="CV259" s="11"/>
      <c r="CW259" s="11"/>
      <c r="CX259" s="11"/>
      <c r="CY259" s="11"/>
      <c r="CZ259" s="11"/>
      <c r="DA259" s="11"/>
      <c r="DB259" s="11"/>
      <c r="DC259" s="11"/>
      <c r="DD259" s="11"/>
      <c r="DE259" s="11"/>
      <c r="DF259" s="11"/>
      <c r="DG259" s="11"/>
    </row>
    <row r="260" ht="15.75" customHeight="1">
      <c r="CT260" s="11"/>
      <c r="CU260" s="11"/>
      <c r="CV260" s="11"/>
      <c r="CW260" s="11"/>
      <c r="CX260" s="11"/>
      <c r="CY260" s="11"/>
      <c r="CZ260" s="11"/>
      <c r="DA260" s="11"/>
      <c r="DB260" s="11"/>
      <c r="DC260" s="11"/>
      <c r="DD260" s="11"/>
      <c r="DE260" s="11"/>
      <c r="DF260" s="11"/>
      <c r="DG260" s="11"/>
    </row>
    <row r="261" ht="15.75" customHeight="1">
      <c r="CT261" s="11"/>
      <c r="CU261" s="11"/>
      <c r="CV261" s="11"/>
      <c r="CW261" s="11"/>
      <c r="CX261" s="11"/>
      <c r="CY261" s="11"/>
      <c r="CZ261" s="11"/>
      <c r="DA261" s="11"/>
      <c r="DB261" s="11"/>
      <c r="DC261" s="11"/>
      <c r="DD261" s="11"/>
      <c r="DE261" s="11"/>
      <c r="DF261" s="11"/>
      <c r="DG261" s="11"/>
    </row>
    <row r="262" ht="15.75" customHeight="1">
      <c r="CT262" s="11"/>
      <c r="CU262" s="11"/>
      <c r="CV262" s="11"/>
      <c r="CW262" s="11"/>
      <c r="CX262" s="11"/>
      <c r="CY262" s="11"/>
      <c r="CZ262" s="11"/>
      <c r="DA262" s="11"/>
      <c r="DB262" s="11"/>
      <c r="DC262" s="11"/>
      <c r="DD262" s="11"/>
      <c r="DE262" s="11"/>
      <c r="DF262" s="11"/>
      <c r="DG262" s="11"/>
    </row>
    <row r="263" ht="15.75" customHeight="1">
      <c r="CT263" s="11"/>
      <c r="CU263" s="11"/>
      <c r="CV263" s="11"/>
      <c r="CW263" s="11"/>
      <c r="CX263" s="11"/>
      <c r="CY263" s="11"/>
      <c r="CZ263" s="11"/>
      <c r="DA263" s="11"/>
      <c r="DB263" s="11"/>
      <c r="DC263" s="11"/>
      <c r="DD263" s="11"/>
      <c r="DE263" s="11"/>
      <c r="DF263" s="11"/>
      <c r="DG263" s="11"/>
    </row>
    <row r="264" ht="15.75" customHeight="1">
      <c r="CT264" s="11"/>
      <c r="CU264" s="11"/>
      <c r="CV264" s="11"/>
      <c r="CW264" s="11"/>
      <c r="CX264" s="11"/>
      <c r="CY264" s="11"/>
      <c r="CZ264" s="11"/>
      <c r="DA264" s="11"/>
      <c r="DB264" s="11"/>
      <c r="DC264" s="11"/>
      <c r="DD264" s="11"/>
      <c r="DE264" s="11"/>
      <c r="DF264" s="11"/>
      <c r="DG264" s="11"/>
    </row>
    <row r="265" ht="15.75" customHeight="1">
      <c r="CT265" s="11"/>
      <c r="CU265" s="11"/>
      <c r="CV265" s="11"/>
      <c r="CW265" s="11"/>
      <c r="CX265" s="11"/>
      <c r="CY265" s="11"/>
      <c r="CZ265" s="11"/>
      <c r="DA265" s="11"/>
      <c r="DB265" s="11"/>
      <c r="DC265" s="11"/>
      <c r="DD265" s="11"/>
      <c r="DE265" s="11"/>
      <c r="DF265" s="11"/>
      <c r="DG265" s="11"/>
    </row>
    <row r="266" ht="15.75" customHeight="1">
      <c r="CT266" s="11"/>
      <c r="CU266" s="11"/>
      <c r="CV266" s="11"/>
      <c r="CW266" s="11"/>
      <c r="CX266" s="11"/>
      <c r="CY266" s="11"/>
      <c r="CZ266" s="11"/>
      <c r="DA266" s="11"/>
      <c r="DB266" s="11"/>
      <c r="DC266" s="11"/>
      <c r="DD266" s="11"/>
      <c r="DE266" s="11"/>
      <c r="DF266" s="11"/>
      <c r="DG266" s="11"/>
    </row>
    <row r="267" ht="15.75" customHeight="1">
      <c r="CT267" s="11"/>
      <c r="CU267" s="11"/>
      <c r="CV267" s="11"/>
      <c r="CW267" s="11"/>
      <c r="CX267" s="11"/>
      <c r="CY267" s="11"/>
      <c r="CZ267" s="11"/>
      <c r="DA267" s="11"/>
      <c r="DB267" s="11"/>
      <c r="DC267" s="11"/>
      <c r="DD267" s="11"/>
      <c r="DE267" s="11"/>
      <c r="DF267" s="11"/>
      <c r="DG267" s="11"/>
    </row>
    <row r="268" ht="15.75" customHeight="1">
      <c r="CT268" s="11"/>
      <c r="CU268" s="11"/>
      <c r="CV268" s="11"/>
      <c r="CW268" s="11"/>
      <c r="CX268" s="11"/>
      <c r="CY268" s="11"/>
      <c r="CZ268" s="11"/>
      <c r="DA268" s="11"/>
      <c r="DB268" s="11"/>
      <c r="DC268" s="11"/>
      <c r="DD268" s="11"/>
      <c r="DE268" s="11"/>
      <c r="DF268" s="11"/>
      <c r="DG268" s="11"/>
    </row>
    <row r="269" ht="15.75" customHeight="1">
      <c r="CT269" s="11"/>
      <c r="CU269" s="11"/>
      <c r="CV269" s="11"/>
      <c r="CW269" s="11"/>
      <c r="CX269" s="11"/>
      <c r="CY269" s="11"/>
      <c r="CZ269" s="11"/>
      <c r="DA269" s="11"/>
      <c r="DB269" s="11"/>
      <c r="DC269" s="11"/>
      <c r="DD269" s="11"/>
      <c r="DE269" s="11"/>
      <c r="DF269" s="11"/>
      <c r="DG269" s="11"/>
    </row>
    <row r="270" ht="15.75" customHeight="1">
      <c r="CT270" s="11"/>
      <c r="CU270" s="11"/>
      <c r="CV270" s="11"/>
      <c r="CW270" s="11"/>
      <c r="CX270" s="11"/>
      <c r="CY270" s="11"/>
      <c r="CZ270" s="11"/>
      <c r="DA270" s="11"/>
      <c r="DB270" s="11"/>
      <c r="DC270" s="11"/>
      <c r="DD270" s="11"/>
      <c r="DE270" s="11"/>
      <c r="DF270" s="11"/>
      <c r="DG270" s="11"/>
    </row>
    <row r="271" ht="15.75" customHeight="1">
      <c r="CT271" s="11"/>
      <c r="CU271" s="11"/>
      <c r="CV271" s="11"/>
      <c r="CW271" s="11"/>
      <c r="CX271" s="11"/>
      <c r="CY271" s="11"/>
      <c r="CZ271" s="11"/>
      <c r="DA271" s="11"/>
      <c r="DB271" s="11"/>
      <c r="DC271" s="11"/>
      <c r="DD271" s="11"/>
      <c r="DE271" s="11"/>
      <c r="DF271" s="11"/>
      <c r="DG271" s="11"/>
    </row>
    <row r="272" ht="15.75" customHeight="1">
      <c r="CT272" s="11"/>
      <c r="CU272" s="11"/>
      <c r="CV272" s="11"/>
      <c r="CW272" s="11"/>
      <c r="CX272" s="11"/>
      <c r="CY272" s="11"/>
      <c r="CZ272" s="11"/>
      <c r="DA272" s="11"/>
      <c r="DB272" s="11"/>
      <c r="DC272" s="11"/>
      <c r="DD272" s="11"/>
      <c r="DE272" s="11"/>
      <c r="DF272" s="11"/>
      <c r="DG272" s="11"/>
    </row>
    <row r="273" ht="15.75" customHeight="1">
      <c r="CT273" s="11"/>
      <c r="CU273" s="11"/>
      <c r="CV273" s="11"/>
      <c r="CW273" s="11"/>
      <c r="CX273" s="11"/>
      <c r="CY273" s="11"/>
      <c r="CZ273" s="11"/>
      <c r="DA273" s="11"/>
      <c r="DB273" s="11"/>
      <c r="DC273" s="11"/>
      <c r="DD273" s="11"/>
      <c r="DE273" s="11"/>
      <c r="DF273" s="11"/>
      <c r="DG273" s="11"/>
    </row>
    <row r="274" ht="15.75" customHeight="1">
      <c r="CT274" s="11"/>
      <c r="CU274" s="11"/>
      <c r="CV274" s="11"/>
      <c r="CW274" s="11"/>
      <c r="CX274" s="11"/>
      <c r="CY274" s="11"/>
      <c r="CZ274" s="11"/>
      <c r="DA274" s="11"/>
      <c r="DB274" s="11"/>
      <c r="DC274" s="11"/>
      <c r="DD274" s="11"/>
      <c r="DE274" s="11"/>
      <c r="DF274" s="11"/>
      <c r="DG274" s="11"/>
    </row>
    <row r="275" ht="15.75" customHeight="1">
      <c r="CT275" s="11"/>
      <c r="CU275" s="11"/>
      <c r="CV275" s="11"/>
      <c r="CW275" s="11"/>
      <c r="CX275" s="11"/>
      <c r="CY275" s="11"/>
      <c r="CZ275" s="11"/>
      <c r="DA275" s="11"/>
      <c r="DB275" s="11"/>
      <c r="DC275" s="11"/>
      <c r="DD275" s="11"/>
      <c r="DE275" s="11"/>
      <c r="DF275" s="11"/>
      <c r="DG275" s="11"/>
    </row>
    <row r="276" ht="15.75" customHeight="1">
      <c r="CT276" s="11"/>
      <c r="CU276" s="11"/>
      <c r="CV276" s="11"/>
      <c r="CW276" s="11"/>
      <c r="CX276" s="11"/>
      <c r="CY276" s="11"/>
      <c r="CZ276" s="11"/>
      <c r="DA276" s="11"/>
      <c r="DB276" s="11"/>
      <c r="DC276" s="11"/>
      <c r="DD276" s="11"/>
      <c r="DE276" s="11"/>
      <c r="DF276" s="11"/>
      <c r="DG276" s="11"/>
    </row>
    <row r="277" ht="15.75" customHeight="1">
      <c r="CT277" s="11"/>
      <c r="CU277" s="11"/>
      <c r="CV277" s="11"/>
      <c r="CW277" s="11"/>
      <c r="CX277" s="11"/>
      <c r="CY277" s="11"/>
      <c r="CZ277" s="11"/>
      <c r="DA277" s="11"/>
      <c r="DB277" s="11"/>
      <c r="DC277" s="11"/>
      <c r="DD277" s="11"/>
      <c r="DE277" s="11"/>
      <c r="DF277" s="11"/>
      <c r="DG277" s="11"/>
    </row>
    <row r="278" ht="15.75" customHeight="1">
      <c r="CT278" s="11"/>
      <c r="CU278" s="11"/>
      <c r="CV278" s="11"/>
      <c r="CW278" s="11"/>
      <c r="CX278" s="11"/>
      <c r="CY278" s="11"/>
      <c r="CZ278" s="11"/>
      <c r="DA278" s="11"/>
      <c r="DB278" s="11"/>
      <c r="DC278" s="11"/>
      <c r="DD278" s="11"/>
      <c r="DE278" s="11"/>
      <c r="DF278" s="11"/>
      <c r="DG278" s="11"/>
    </row>
    <row r="279" ht="15.75" customHeight="1">
      <c r="CT279" s="11"/>
      <c r="CU279" s="11"/>
      <c r="CV279" s="11"/>
      <c r="CW279" s="11"/>
      <c r="CX279" s="11"/>
      <c r="CY279" s="11"/>
      <c r="CZ279" s="11"/>
      <c r="DA279" s="11"/>
      <c r="DB279" s="11"/>
      <c r="DC279" s="11"/>
      <c r="DD279" s="11"/>
      <c r="DE279" s="11"/>
      <c r="DF279" s="11"/>
      <c r="DG279" s="11"/>
    </row>
    <row r="280" ht="15.75" customHeight="1">
      <c r="CT280" s="11"/>
      <c r="CU280" s="11"/>
      <c r="CV280" s="11"/>
      <c r="CW280" s="11"/>
      <c r="CX280" s="11"/>
      <c r="CY280" s="11"/>
      <c r="CZ280" s="11"/>
      <c r="DA280" s="11"/>
      <c r="DB280" s="11"/>
      <c r="DC280" s="11"/>
      <c r="DD280" s="11"/>
      <c r="DE280" s="11"/>
      <c r="DF280" s="11"/>
      <c r="DG280" s="11"/>
    </row>
    <row r="281" ht="15.75" customHeight="1">
      <c r="CT281" s="11"/>
      <c r="CU281" s="11"/>
      <c r="CV281" s="11"/>
      <c r="CW281" s="11"/>
      <c r="CX281" s="11"/>
      <c r="CY281" s="11"/>
      <c r="CZ281" s="11"/>
      <c r="DA281" s="11"/>
      <c r="DB281" s="11"/>
      <c r="DC281" s="11"/>
      <c r="DD281" s="11"/>
      <c r="DE281" s="11"/>
      <c r="DF281" s="11"/>
      <c r="DG281" s="11"/>
    </row>
    <row r="282" ht="15.75" customHeight="1">
      <c r="CT282" s="11"/>
      <c r="CU282" s="11"/>
      <c r="CV282" s="11"/>
      <c r="CW282" s="11"/>
      <c r="CX282" s="11"/>
      <c r="CY282" s="11"/>
      <c r="CZ282" s="11"/>
      <c r="DA282" s="11"/>
      <c r="DB282" s="11"/>
      <c r="DC282" s="11"/>
      <c r="DD282" s="11"/>
      <c r="DE282" s="11"/>
      <c r="DF282" s="11"/>
      <c r="DG282" s="11"/>
    </row>
    <row r="283" ht="15.75" customHeight="1">
      <c r="CT283" s="11"/>
      <c r="CU283" s="11"/>
      <c r="CV283" s="11"/>
      <c r="CW283" s="11"/>
      <c r="CX283" s="11"/>
      <c r="CY283" s="11"/>
      <c r="CZ283" s="11"/>
      <c r="DA283" s="11"/>
      <c r="DB283" s="11"/>
      <c r="DC283" s="11"/>
      <c r="DD283" s="11"/>
      <c r="DE283" s="11"/>
      <c r="DF283" s="11"/>
      <c r="DG283" s="11"/>
    </row>
    <row r="284" ht="15.75" customHeight="1">
      <c r="CT284" s="11"/>
      <c r="CU284" s="11"/>
      <c r="CV284" s="11"/>
      <c r="CW284" s="11"/>
      <c r="CX284" s="11"/>
      <c r="CY284" s="11"/>
      <c r="CZ284" s="11"/>
      <c r="DA284" s="11"/>
      <c r="DB284" s="11"/>
      <c r="DC284" s="11"/>
      <c r="DD284" s="11"/>
      <c r="DE284" s="11"/>
      <c r="DF284" s="11"/>
      <c r="DG284" s="11"/>
    </row>
    <row r="285" ht="15.75" customHeight="1">
      <c r="CT285" s="11"/>
      <c r="CU285" s="11"/>
      <c r="CV285" s="11"/>
      <c r="CW285" s="11"/>
      <c r="CX285" s="11"/>
      <c r="CY285" s="11"/>
      <c r="CZ285" s="11"/>
      <c r="DA285" s="11"/>
      <c r="DB285" s="11"/>
      <c r="DC285" s="11"/>
      <c r="DD285" s="11"/>
      <c r="DE285" s="11"/>
      <c r="DF285" s="11"/>
      <c r="DG285" s="11"/>
    </row>
    <row r="286" ht="15.75" customHeight="1">
      <c r="CT286" s="11"/>
      <c r="CU286" s="11"/>
      <c r="CV286" s="11"/>
      <c r="CW286" s="11"/>
      <c r="CX286" s="11"/>
      <c r="CY286" s="11"/>
      <c r="CZ286" s="11"/>
      <c r="DA286" s="11"/>
      <c r="DB286" s="11"/>
      <c r="DC286" s="11"/>
      <c r="DD286" s="11"/>
      <c r="DE286" s="11"/>
      <c r="DF286" s="11"/>
      <c r="DG286" s="11"/>
    </row>
    <row r="287" ht="15.75" customHeight="1">
      <c r="CT287" s="11"/>
      <c r="CU287" s="11"/>
      <c r="CV287" s="11"/>
      <c r="CW287" s="11"/>
      <c r="CX287" s="11"/>
      <c r="CY287" s="11"/>
      <c r="CZ287" s="11"/>
      <c r="DA287" s="11"/>
      <c r="DB287" s="11"/>
      <c r="DC287" s="11"/>
      <c r="DD287" s="11"/>
      <c r="DE287" s="11"/>
      <c r="DF287" s="11"/>
      <c r="DG287" s="11"/>
    </row>
    <row r="288" ht="15.75" customHeight="1">
      <c r="CT288" s="11"/>
      <c r="CU288" s="11"/>
      <c r="CV288" s="11"/>
      <c r="CW288" s="11"/>
      <c r="CX288" s="11"/>
      <c r="CY288" s="11"/>
      <c r="CZ288" s="11"/>
      <c r="DA288" s="11"/>
      <c r="DB288" s="11"/>
      <c r="DC288" s="11"/>
      <c r="DD288" s="11"/>
      <c r="DE288" s="11"/>
      <c r="DF288" s="11"/>
      <c r="DG288" s="11"/>
    </row>
    <row r="289" ht="15.75" customHeight="1">
      <c r="CT289" s="11"/>
      <c r="CU289" s="11"/>
      <c r="CV289" s="11"/>
      <c r="CW289" s="11"/>
      <c r="CX289" s="11"/>
      <c r="CY289" s="11"/>
      <c r="CZ289" s="11"/>
      <c r="DA289" s="11"/>
      <c r="DB289" s="11"/>
      <c r="DC289" s="11"/>
      <c r="DD289" s="11"/>
      <c r="DE289" s="11"/>
      <c r="DF289" s="11"/>
      <c r="DG289" s="11"/>
    </row>
    <row r="290" ht="15.75" customHeight="1">
      <c r="CT290" s="11"/>
      <c r="CU290" s="11"/>
      <c r="CV290" s="11"/>
      <c r="CW290" s="11"/>
      <c r="CX290" s="11"/>
      <c r="CY290" s="11"/>
      <c r="CZ290" s="11"/>
      <c r="DA290" s="11"/>
      <c r="DB290" s="11"/>
      <c r="DC290" s="11"/>
      <c r="DD290" s="11"/>
      <c r="DE290" s="11"/>
      <c r="DF290" s="11"/>
      <c r="DG290" s="11"/>
    </row>
    <row r="291" ht="15.75" customHeight="1">
      <c r="CT291" s="11"/>
      <c r="CU291" s="11"/>
      <c r="CV291" s="11"/>
      <c r="CW291" s="11"/>
      <c r="CX291" s="11"/>
      <c r="CY291" s="11"/>
      <c r="CZ291" s="11"/>
      <c r="DA291" s="11"/>
      <c r="DB291" s="11"/>
      <c r="DC291" s="11"/>
      <c r="DD291" s="11"/>
      <c r="DE291" s="11"/>
      <c r="DF291" s="11"/>
      <c r="DG291" s="11"/>
    </row>
    <row r="292" ht="15.75" customHeight="1">
      <c r="CT292" s="11"/>
      <c r="CU292" s="11"/>
      <c r="CV292" s="11"/>
      <c r="CW292" s="11"/>
      <c r="CX292" s="11"/>
      <c r="CY292" s="11"/>
      <c r="CZ292" s="11"/>
      <c r="DA292" s="11"/>
      <c r="DB292" s="11"/>
      <c r="DC292" s="11"/>
      <c r="DD292" s="11"/>
      <c r="DE292" s="11"/>
      <c r="DF292" s="11"/>
      <c r="DG292" s="11"/>
    </row>
    <row r="293" ht="15.75" customHeight="1">
      <c r="CT293" s="11"/>
      <c r="CU293" s="11"/>
      <c r="CV293" s="11"/>
      <c r="CW293" s="11"/>
      <c r="CX293" s="11"/>
      <c r="CY293" s="11"/>
      <c r="CZ293" s="11"/>
      <c r="DA293" s="11"/>
      <c r="DB293" s="11"/>
      <c r="DC293" s="11"/>
      <c r="DD293" s="11"/>
      <c r="DE293" s="11"/>
      <c r="DF293" s="11"/>
      <c r="DG293" s="11"/>
    </row>
    <row r="294" ht="15.75" customHeight="1">
      <c r="CT294" s="11"/>
      <c r="CU294" s="11"/>
      <c r="CV294" s="11"/>
      <c r="CW294" s="11"/>
      <c r="CX294" s="11"/>
      <c r="CY294" s="11"/>
      <c r="CZ294" s="11"/>
      <c r="DA294" s="11"/>
      <c r="DB294" s="11"/>
      <c r="DC294" s="11"/>
      <c r="DD294" s="11"/>
      <c r="DE294" s="11"/>
      <c r="DF294" s="11"/>
      <c r="DG294" s="11"/>
    </row>
    <row r="295" ht="15.75" customHeight="1">
      <c r="CT295" s="11"/>
      <c r="CU295" s="11"/>
      <c r="CV295" s="11"/>
      <c r="CW295" s="11"/>
      <c r="CX295" s="11"/>
      <c r="CY295" s="11"/>
      <c r="CZ295" s="11"/>
      <c r="DA295" s="11"/>
      <c r="DB295" s="11"/>
      <c r="DC295" s="11"/>
      <c r="DD295" s="11"/>
      <c r="DE295" s="11"/>
      <c r="DF295" s="11"/>
      <c r="DG295" s="11"/>
    </row>
    <row r="296" ht="15.75" customHeight="1">
      <c r="CT296" s="11"/>
      <c r="CU296" s="11"/>
      <c r="CV296" s="11"/>
      <c r="CW296" s="11"/>
      <c r="CX296" s="11"/>
      <c r="CY296" s="11"/>
      <c r="CZ296" s="11"/>
      <c r="DA296" s="11"/>
      <c r="DB296" s="11"/>
      <c r="DC296" s="11"/>
      <c r="DD296" s="11"/>
      <c r="DE296" s="11"/>
      <c r="DF296" s="11"/>
      <c r="DG296" s="11"/>
    </row>
    <row r="297" ht="15.75" customHeight="1">
      <c r="CT297" s="11"/>
      <c r="CU297" s="11"/>
      <c r="CV297" s="11"/>
      <c r="CW297" s="11"/>
      <c r="CX297" s="11"/>
      <c r="CY297" s="11"/>
      <c r="CZ297" s="11"/>
      <c r="DA297" s="11"/>
      <c r="DB297" s="11"/>
      <c r="DC297" s="11"/>
      <c r="DD297" s="11"/>
      <c r="DE297" s="11"/>
      <c r="DF297" s="11"/>
      <c r="DG297" s="11"/>
    </row>
    <row r="298" ht="15.75" customHeight="1">
      <c r="CT298" s="11"/>
      <c r="CU298" s="11"/>
      <c r="CV298" s="11"/>
      <c r="CW298" s="11"/>
      <c r="CX298" s="11"/>
      <c r="CY298" s="11"/>
      <c r="CZ298" s="11"/>
      <c r="DA298" s="11"/>
      <c r="DB298" s="11"/>
      <c r="DC298" s="11"/>
      <c r="DD298" s="11"/>
      <c r="DE298" s="11"/>
      <c r="DF298" s="11"/>
      <c r="DG298" s="11"/>
    </row>
    <row r="299" ht="15.75" customHeight="1">
      <c r="CT299" s="11"/>
      <c r="CU299" s="11"/>
      <c r="CV299" s="11"/>
      <c r="CW299" s="11"/>
      <c r="CX299" s="11"/>
      <c r="CY299" s="11"/>
      <c r="CZ299" s="11"/>
      <c r="DA299" s="11"/>
      <c r="DB299" s="11"/>
      <c r="DC299" s="11"/>
      <c r="DD299" s="11"/>
      <c r="DE299" s="11"/>
      <c r="DF299" s="11"/>
      <c r="DG299" s="11"/>
    </row>
    <row r="300" ht="15.75" customHeight="1">
      <c r="CT300" s="11"/>
      <c r="CU300" s="11"/>
      <c r="CV300" s="11"/>
      <c r="CW300" s="11"/>
      <c r="CX300" s="11"/>
      <c r="CY300" s="11"/>
      <c r="CZ300" s="11"/>
      <c r="DA300" s="11"/>
      <c r="DB300" s="11"/>
      <c r="DC300" s="11"/>
      <c r="DD300" s="11"/>
      <c r="DE300" s="11"/>
      <c r="DF300" s="11"/>
      <c r="DG300" s="11"/>
    </row>
    <row r="301" ht="15.75" customHeight="1">
      <c r="CT301" s="11"/>
      <c r="CU301" s="11"/>
      <c r="CV301" s="11"/>
      <c r="CW301" s="11"/>
      <c r="CX301" s="11"/>
      <c r="CY301" s="11"/>
      <c r="CZ301" s="11"/>
      <c r="DA301" s="11"/>
      <c r="DB301" s="11"/>
      <c r="DC301" s="11"/>
      <c r="DD301" s="11"/>
      <c r="DE301" s="11"/>
      <c r="DF301" s="11"/>
      <c r="DG301" s="11"/>
    </row>
    <row r="302" ht="15.75" customHeight="1">
      <c r="CT302" s="11"/>
      <c r="CU302" s="11"/>
      <c r="CV302" s="11"/>
      <c r="CW302" s="11"/>
      <c r="CX302" s="11"/>
      <c r="CY302" s="11"/>
      <c r="CZ302" s="11"/>
      <c r="DA302" s="11"/>
      <c r="DB302" s="11"/>
      <c r="DC302" s="11"/>
      <c r="DD302" s="11"/>
      <c r="DE302" s="11"/>
      <c r="DF302" s="11"/>
      <c r="DG302" s="11"/>
    </row>
    <row r="303" ht="15.75" customHeight="1">
      <c r="CT303" s="11"/>
      <c r="CU303" s="11"/>
      <c r="CV303" s="11"/>
      <c r="CW303" s="11"/>
      <c r="CX303" s="11"/>
      <c r="CY303" s="11"/>
      <c r="CZ303" s="11"/>
      <c r="DA303" s="11"/>
      <c r="DB303" s="11"/>
      <c r="DC303" s="11"/>
      <c r="DD303" s="11"/>
      <c r="DE303" s="11"/>
      <c r="DF303" s="11"/>
      <c r="DG303" s="11"/>
    </row>
    <row r="304" ht="15.75" customHeight="1">
      <c r="CT304" s="11"/>
      <c r="CU304" s="11"/>
      <c r="CV304" s="11"/>
      <c r="CW304" s="11"/>
      <c r="CX304" s="11"/>
      <c r="CY304" s="11"/>
      <c r="CZ304" s="11"/>
      <c r="DA304" s="11"/>
      <c r="DB304" s="11"/>
      <c r="DC304" s="11"/>
      <c r="DD304" s="11"/>
      <c r="DE304" s="11"/>
      <c r="DF304" s="11"/>
      <c r="DG304" s="11"/>
    </row>
    <row r="305" ht="15.75" customHeight="1">
      <c r="CT305" s="11"/>
      <c r="CU305" s="11"/>
      <c r="CV305" s="11"/>
      <c r="CW305" s="11"/>
      <c r="CX305" s="11"/>
      <c r="CY305" s="11"/>
      <c r="CZ305" s="11"/>
      <c r="DA305" s="11"/>
      <c r="DB305" s="11"/>
      <c r="DC305" s="11"/>
      <c r="DD305" s="11"/>
      <c r="DE305" s="11"/>
      <c r="DF305" s="11"/>
      <c r="DG305" s="11"/>
    </row>
    <row r="306" ht="15.75" customHeight="1">
      <c r="CT306" s="11"/>
      <c r="CU306" s="11"/>
      <c r="CV306" s="11"/>
      <c r="CW306" s="11"/>
      <c r="CX306" s="11"/>
      <c r="CY306" s="11"/>
      <c r="CZ306" s="11"/>
      <c r="DA306" s="11"/>
      <c r="DB306" s="11"/>
      <c r="DC306" s="11"/>
      <c r="DD306" s="11"/>
      <c r="DE306" s="11"/>
      <c r="DF306" s="11"/>
      <c r="DG306" s="11"/>
    </row>
    <row r="307" ht="15.75" customHeight="1">
      <c r="CT307" s="11"/>
      <c r="CU307" s="11"/>
      <c r="CV307" s="11"/>
      <c r="CW307" s="11"/>
      <c r="CX307" s="11"/>
      <c r="CY307" s="11"/>
      <c r="CZ307" s="11"/>
      <c r="DA307" s="11"/>
      <c r="DB307" s="11"/>
      <c r="DC307" s="11"/>
      <c r="DD307" s="11"/>
      <c r="DE307" s="11"/>
      <c r="DF307" s="11"/>
      <c r="DG307" s="11"/>
    </row>
    <row r="308" ht="15.75" customHeight="1">
      <c r="CT308" s="11"/>
      <c r="CU308" s="11"/>
      <c r="CV308" s="11"/>
      <c r="CW308" s="11"/>
      <c r="CX308" s="11"/>
      <c r="CY308" s="11"/>
      <c r="CZ308" s="11"/>
      <c r="DA308" s="11"/>
      <c r="DB308" s="11"/>
      <c r="DC308" s="11"/>
      <c r="DD308" s="11"/>
      <c r="DE308" s="11"/>
      <c r="DF308" s="11"/>
      <c r="DG308" s="11"/>
    </row>
    <row r="309" ht="15.75" customHeight="1">
      <c r="CT309" s="11"/>
      <c r="CU309" s="11"/>
      <c r="CV309" s="11"/>
      <c r="CW309" s="11"/>
      <c r="CX309" s="11"/>
      <c r="CY309" s="11"/>
      <c r="CZ309" s="11"/>
      <c r="DA309" s="11"/>
      <c r="DB309" s="11"/>
      <c r="DC309" s="11"/>
      <c r="DD309" s="11"/>
      <c r="DE309" s="11"/>
      <c r="DF309" s="11"/>
      <c r="DG309" s="11"/>
    </row>
    <row r="310" ht="15.75" customHeight="1">
      <c r="CT310" s="11"/>
      <c r="CU310" s="11"/>
      <c r="CV310" s="11"/>
      <c r="CW310" s="11"/>
      <c r="CX310" s="11"/>
      <c r="CY310" s="11"/>
      <c r="CZ310" s="11"/>
      <c r="DA310" s="11"/>
      <c r="DB310" s="11"/>
      <c r="DC310" s="11"/>
      <c r="DD310" s="11"/>
      <c r="DE310" s="11"/>
      <c r="DF310" s="11"/>
      <c r="DG310" s="11"/>
    </row>
    <row r="311" ht="15.75" customHeight="1">
      <c r="CT311" s="11"/>
      <c r="CU311" s="11"/>
      <c r="CV311" s="11"/>
      <c r="CW311" s="11"/>
      <c r="CX311" s="11"/>
      <c r="CY311" s="11"/>
      <c r="CZ311" s="11"/>
      <c r="DA311" s="11"/>
      <c r="DB311" s="11"/>
      <c r="DC311" s="11"/>
      <c r="DD311" s="11"/>
      <c r="DE311" s="11"/>
      <c r="DF311" s="11"/>
      <c r="DG311" s="11"/>
    </row>
    <row r="312" ht="15.75" customHeight="1">
      <c r="CT312" s="11"/>
      <c r="CU312" s="11"/>
      <c r="CV312" s="11"/>
      <c r="CW312" s="11"/>
      <c r="CX312" s="11"/>
      <c r="CY312" s="11"/>
      <c r="CZ312" s="11"/>
      <c r="DA312" s="11"/>
      <c r="DB312" s="11"/>
      <c r="DC312" s="11"/>
      <c r="DD312" s="11"/>
      <c r="DE312" s="11"/>
      <c r="DF312" s="11"/>
      <c r="DG312" s="11"/>
    </row>
    <row r="313" ht="15.75" customHeight="1">
      <c r="CT313" s="11"/>
      <c r="CU313" s="11"/>
      <c r="CV313" s="11"/>
      <c r="CW313" s="11"/>
      <c r="CX313" s="11"/>
      <c r="CY313" s="11"/>
      <c r="CZ313" s="11"/>
      <c r="DA313" s="11"/>
      <c r="DB313" s="11"/>
      <c r="DC313" s="11"/>
      <c r="DD313" s="11"/>
      <c r="DE313" s="11"/>
      <c r="DF313" s="11"/>
      <c r="DG313" s="11"/>
    </row>
    <row r="314" ht="15.75" customHeight="1">
      <c r="CT314" s="11"/>
      <c r="CU314" s="11"/>
      <c r="CV314" s="11"/>
      <c r="CW314" s="11"/>
      <c r="CX314" s="11"/>
      <c r="CY314" s="11"/>
      <c r="CZ314" s="11"/>
      <c r="DA314" s="11"/>
      <c r="DB314" s="11"/>
      <c r="DC314" s="11"/>
      <c r="DD314" s="11"/>
      <c r="DE314" s="11"/>
      <c r="DF314" s="11"/>
      <c r="DG314" s="11"/>
    </row>
    <row r="315" ht="15.75" customHeight="1">
      <c r="CT315" s="11"/>
      <c r="CU315" s="11"/>
      <c r="CV315" s="11"/>
      <c r="CW315" s="11"/>
      <c r="CX315" s="11"/>
      <c r="CY315" s="11"/>
      <c r="CZ315" s="11"/>
      <c r="DA315" s="11"/>
      <c r="DB315" s="11"/>
      <c r="DC315" s="11"/>
      <c r="DD315" s="11"/>
      <c r="DE315" s="11"/>
      <c r="DF315" s="11"/>
      <c r="DG315" s="11"/>
    </row>
    <row r="316" ht="15.75" customHeight="1">
      <c r="CT316" s="11"/>
      <c r="CU316" s="11"/>
      <c r="CV316" s="11"/>
      <c r="CW316" s="11"/>
      <c r="CX316" s="11"/>
      <c r="CY316" s="11"/>
      <c r="CZ316" s="11"/>
      <c r="DA316" s="11"/>
      <c r="DB316" s="11"/>
      <c r="DC316" s="11"/>
      <c r="DD316" s="11"/>
      <c r="DE316" s="11"/>
      <c r="DF316" s="11"/>
      <c r="DG316" s="11"/>
    </row>
    <row r="317" ht="15.75" customHeight="1">
      <c r="CT317" s="11"/>
      <c r="CU317" s="11"/>
      <c r="CV317" s="11"/>
      <c r="CW317" s="11"/>
      <c r="CX317" s="11"/>
      <c r="CY317" s="11"/>
      <c r="CZ317" s="11"/>
      <c r="DA317" s="11"/>
      <c r="DB317" s="11"/>
      <c r="DC317" s="11"/>
      <c r="DD317" s="11"/>
      <c r="DE317" s="11"/>
      <c r="DF317" s="11"/>
      <c r="DG317" s="11"/>
    </row>
    <row r="318" ht="15.75" customHeight="1">
      <c r="CT318" s="11"/>
      <c r="CU318" s="11"/>
      <c r="CV318" s="11"/>
      <c r="CW318" s="11"/>
      <c r="CX318" s="11"/>
      <c r="CY318" s="11"/>
      <c r="CZ318" s="11"/>
      <c r="DA318" s="11"/>
      <c r="DB318" s="11"/>
      <c r="DC318" s="11"/>
      <c r="DD318" s="11"/>
      <c r="DE318" s="11"/>
      <c r="DF318" s="11"/>
      <c r="DG318" s="11"/>
    </row>
    <row r="319" ht="15.75" customHeight="1">
      <c r="CT319" s="11"/>
      <c r="CU319" s="11"/>
      <c r="CV319" s="11"/>
      <c r="CW319" s="11"/>
      <c r="CX319" s="11"/>
      <c r="CY319" s="11"/>
      <c r="CZ319" s="11"/>
      <c r="DA319" s="11"/>
      <c r="DB319" s="11"/>
      <c r="DC319" s="11"/>
      <c r="DD319" s="11"/>
      <c r="DE319" s="11"/>
      <c r="DF319" s="11"/>
      <c r="DG319" s="11"/>
    </row>
    <row r="320" ht="15.75" customHeight="1">
      <c r="CT320" s="11"/>
      <c r="CU320" s="11"/>
      <c r="CV320" s="11"/>
      <c r="CW320" s="11"/>
      <c r="CX320" s="11"/>
      <c r="CY320" s="11"/>
      <c r="CZ320" s="11"/>
      <c r="DA320" s="11"/>
      <c r="DB320" s="11"/>
      <c r="DC320" s="11"/>
      <c r="DD320" s="11"/>
      <c r="DE320" s="11"/>
      <c r="DF320" s="11"/>
      <c r="DG320" s="11"/>
    </row>
    <row r="321" ht="15.75" customHeight="1">
      <c r="CT321" s="11"/>
      <c r="CU321" s="11"/>
      <c r="CV321" s="11"/>
      <c r="CW321" s="11"/>
      <c r="CX321" s="11"/>
      <c r="CY321" s="11"/>
      <c r="CZ321" s="11"/>
      <c r="DA321" s="11"/>
      <c r="DB321" s="11"/>
      <c r="DC321" s="11"/>
      <c r="DD321" s="11"/>
      <c r="DE321" s="11"/>
      <c r="DF321" s="11"/>
      <c r="DG321" s="11"/>
    </row>
    <row r="322" ht="15.75" customHeight="1">
      <c r="CT322" s="11"/>
      <c r="CU322" s="11"/>
      <c r="CV322" s="11"/>
      <c r="CW322" s="11"/>
      <c r="CX322" s="11"/>
      <c r="CY322" s="11"/>
      <c r="CZ322" s="11"/>
      <c r="DA322" s="11"/>
      <c r="DB322" s="11"/>
      <c r="DC322" s="11"/>
      <c r="DD322" s="11"/>
      <c r="DE322" s="11"/>
      <c r="DF322" s="11"/>
      <c r="DG322" s="11"/>
    </row>
    <row r="323" ht="15.75" customHeight="1">
      <c r="CT323" s="11"/>
      <c r="CU323" s="11"/>
      <c r="CV323" s="11"/>
      <c r="CW323" s="11"/>
      <c r="CX323" s="11"/>
      <c r="CY323" s="11"/>
      <c r="CZ323" s="11"/>
      <c r="DA323" s="11"/>
      <c r="DB323" s="11"/>
      <c r="DC323" s="11"/>
      <c r="DD323" s="11"/>
      <c r="DE323" s="11"/>
      <c r="DF323" s="11"/>
      <c r="DG323" s="11"/>
    </row>
    <row r="324" ht="15.75" customHeight="1">
      <c r="CT324" s="11"/>
      <c r="CU324" s="11"/>
      <c r="CV324" s="11"/>
      <c r="CW324" s="11"/>
      <c r="CX324" s="11"/>
      <c r="CY324" s="11"/>
      <c r="CZ324" s="11"/>
      <c r="DA324" s="11"/>
      <c r="DB324" s="11"/>
      <c r="DC324" s="11"/>
      <c r="DD324" s="11"/>
      <c r="DE324" s="11"/>
      <c r="DF324" s="11"/>
      <c r="DG324" s="11"/>
    </row>
    <row r="325" ht="15.75" customHeight="1">
      <c r="CT325" s="11"/>
      <c r="CU325" s="11"/>
      <c r="CV325" s="11"/>
      <c r="CW325" s="11"/>
      <c r="CX325" s="11"/>
      <c r="CY325" s="11"/>
      <c r="CZ325" s="11"/>
      <c r="DA325" s="11"/>
      <c r="DB325" s="11"/>
      <c r="DC325" s="11"/>
      <c r="DD325" s="11"/>
      <c r="DE325" s="11"/>
      <c r="DF325" s="11"/>
      <c r="DG325" s="11"/>
    </row>
    <row r="326" ht="15.75" customHeight="1">
      <c r="CT326" s="11"/>
      <c r="CU326" s="11"/>
      <c r="CV326" s="11"/>
      <c r="CW326" s="11"/>
      <c r="CX326" s="11"/>
      <c r="CY326" s="11"/>
      <c r="CZ326" s="11"/>
      <c r="DA326" s="11"/>
      <c r="DB326" s="11"/>
      <c r="DC326" s="11"/>
      <c r="DD326" s="11"/>
      <c r="DE326" s="11"/>
      <c r="DF326" s="11"/>
      <c r="DG326" s="11"/>
    </row>
    <row r="327" ht="15.75" customHeight="1">
      <c r="CT327" s="11"/>
      <c r="CU327" s="11"/>
      <c r="CV327" s="11"/>
      <c r="CW327" s="11"/>
      <c r="CX327" s="11"/>
      <c r="CY327" s="11"/>
      <c r="CZ327" s="11"/>
      <c r="DA327" s="11"/>
      <c r="DB327" s="11"/>
      <c r="DC327" s="11"/>
      <c r="DD327" s="11"/>
      <c r="DE327" s="11"/>
      <c r="DF327" s="11"/>
      <c r="DG327" s="11"/>
    </row>
    <row r="328" ht="15.75" customHeight="1">
      <c r="CT328" s="11"/>
      <c r="CU328" s="11"/>
      <c r="CV328" s="11"/>
      <c r="CW328" s="11"/>
      <c r="CX328" s="11"/>
      <c r="CY328" s="11"/>
      <c r="CZ328" s="11"/>
      <c r="DA328" s="11"/>
      <c r="DB328" s="11"/>
      <c r="DC328" s="11"/>
      <c r="DD328" s="11"/>
      <c r="DE328" s="11"/>
      <c r="DF328" s="11"/>
      <c r="DG328" s="11"/>
    </row>
    <row r="329" ht="15.75" customHeight="1">
      <c r="CT329" s="11"/>
      <c r="CU329" s="11"/>
      <c r="CV329" s="11"/>
      <c r="CW329" s="11"/>
      <c r="CX329" s="11"/>
      <c r="CY329" s="11"/>
      <c r="CZ329" s="11"/>
      <c r="DA329" s="11"/>
      <c r="DB329" s="11"/>
      <c r="DC329" s="11"/>
      <c r="DD329" s="11"/>
      <c r="DE329" s="11"/>
      <c r="DF329" s="11"/>
      <c r="DG329" s="11"/>
    </row>
    <row r="330" ht="15.75" customHeight="1">
      <c r="CT330" s="11"/>
      <c r="CU330" s="11"/>
      <c r="CV330" s="11"/>
      <c r="CW330" s="11"/>
      <c r="CX330" s="11"/>
      <c r="CY330" s="11"/>
      <c r="CZ330" s="11"/>
      <c r="DA330" s="11"/>
      <c r="DB330" s="11"/>
      <c r="DC330" s="11"/>
      <c r="DD330" s="11"/>
      <c r="DE330" s="11"/>
      <c r="DF330" s="11"/>
      <c r="DG330" s="11"/>
    </row>
    <row r="331" ht="15.75" customHeight="1">
      <c r="CT331" s="11"/>
      <c r="CU331" s="11"/>
      <c r="CV331" s="11"/>
      <c r="CW331" s="11"/>
      <c r="CX331" s="11"/>
      <c r="CY331" s="11"/>
      <c r="CZ331" s="11"/>
      <c r="DA331" s="11"/>
      <c r="DB331" s="11"/>
      <c r="DC331" s="11"/>
      <c r="DD331" s="11"/>
      <c r="DE331" s="11"/>
      <c r="DF331" s="11"/>
      <c r="DG331" s="11"/>
    </row>
    <row r="332" ht="15.75" customHeight="1">
      <c r="CT332" s="11"/>
      <c r="CU332" s="11"/>
      <c r="CV332" s="11"/>
      <c r="CW332" s="11"/>
      <c r="CX332" s="11"/>
      <c r="CY332" s="11"/>
      <c r="CZ332" s="11"/>
      <c r="DA332" s="11"/>
      <c r="DB332" s="11"/>
      <c r="DC332" s="11"/>
      <c r="DD332" s="11"/>
      <c r="DE332" s="11"/>
      <c r="DF332" s="11"/>
      <c r="DG332" s="11"/>
    </row>
    <row r="333" ht="15.75" customHeight="1">
      <c r="CT333" s="11"/>
      <c r="CU333" s="11"/>
      <c r="CV333" s="11"/>
      <c r="CW333" s="11"/>
      <c r="CX333" s="11"/>
      <c r="CY333" s="11"/>
      <c r="CZ333" s="11"/>
      <c r="DA333" s="11"/>
      <c r="DB333" s="11"/>
      <c r="DC333" s="11"/>
      <c r="DD333" s="11"/>
      <c r="DE333" s="11"/>
      <c r="DF333" s="11"/>
      <c r="DG333" s="11"/>
    </row>
    <row r="334" ht="15.75" customHeight="1">
      <c r="CT334" s="11"/>
      <c r="CU334" s="11"/>
      <c r="CV334" s="11"/>
      <c r="CW334" s="11"/>
      <c r="CX334" s="11"/>
      <c r="CY334" s="11"/>
      <c r="CZ334" s="11"/>
      <c r="DA334" s="11"/>
      <c r="DB334" s="11"/>
      <c r="DC334" s="11"/>
      <c r="DD334" s="11"/>
      <c r="DE334" s="11"/>
      <c r="DF334" s="11"/>
      <c r="DG334" s="11"/>
    </row>
    <row r="335" ht="15.75" customHeight="1">
      <c r="CT335" s="11"/>
      <c r="CU335" s="11"/>
      <c r="CV335" s="11"/>
      <c r="CW335" s="11"/>
      <c r="CX335" s="11"/>
      <c r="CY335" s="11"/>
      <c r="CZ335" s="11"/>
      <c r="DA335" s="11"/>
      <c r="DB335" s="11"/>
      <c r="DC335" s="11"/>
      <c r="DD335" s="11"/>
      <c r="DE335" s="11"/>
      <c r="DF335" s="11"/>
      <c r="DG335" s="11"/>
    </row>
    <row r="336" ht="15.75" customHeight="1">
      <c r="CT336" s="11"/>
      <c r="CU336" s="11"/>
      <c r="CV336" s="11"/>
      <c r="CW336" s="11"/>
      <c r="CX336" s="11"/>
      <c r="CY336" s="11"/>
      <c r="CZ336" s="11"/>
      <c r="DA336" s="11"/>
      <c r="DB336" s="11"/>
      <c r="DC336" s="11"/>
      <c r="DD336" s="11"/>
      <c r="DE336" s="11"/>
      <c r="DF336" s="11"/>
      <c r="DG336" s="11"/>
    </row>
    <row r="337" ht="15.75" customHeight="1">
      <c r="CT337" s="11"/>
      <c r="CU337" s="11"/>
      <c r="CV337" s="11"/>
      <c r="CW337" s="11"/>
      <c r="CX337" s="11"/>
      <c r="CY337" s="11"/>
      <c r="CZ337" s="11"/>
      <c r="DA337" s="11"/>
      <c r="DB337" s="11"/>
      <c r="DC337" s="11"/>
      <c r="DD337" s="11"/>
      <c r="DE337" s="11"/>
      <c r="DF337" s="11"/>
      <c r="DG337" s="11"/>
    </row>
    <row r="338" ht="15.75" customHeight="1">
      <c r="CT338" s="11"/>
      <c r="CU338" s="11"/>
      <c r="CV338" s="11"/>
      <c r="CW338" s="11"/>
      <c r="CX338" s="11"/>
      <c r="CY338" s="11"/>
      <c r="CZ338" s="11"/>
      <c r="DA338" s="11"/>
      <c r="DB338" s="11"/>
      <c r="DC338" s="11"/>
      <c r="DD338" s="11"/>
      <c r="DE338" s="11"/>
      <c r="DF338" s="11"/>
      <c r="DG338" s="11"/>
    </row>
    <row r="339" ht="15.75" customHeight="1">
      <c r="CT339" s="11"/>
      <c r="CU339" s="11"/>
      <c r="CV339" s="11"/>
      <c r="CW339" s="11"/>
      <c r="CX339" s="11"/>
      <c r="CY339" s="11"/>
      <c r="CZ339" s="11"/>
      <c r="DA339" s="11"/>
      <c r="DB339" s="11"/>
      <c r="DC339" s="11"/>
      <c r="DD339" s="11"/>
      <c r="DE339" s="11"/>
      <c r="DF339" s="11"/>
      <c r="DG339" s="11"/>
    </row>
    <row r="340" ht="15.75" customHeight="1">
      <c r="CT340" s="11"/>
      <c r="CU340" s="11"/>
      <c r="CV340" s="11"/>
      <c r="CW340" s="11"/>
      <c r="CX340" s="11"/>
      <c r="CY340" s="11"/>
      <c r="CZ340" s="11"/>
      <c r="DA340" s="11"/>
      <c r="DB340" s="11"/>
      <c r="DC340" s="11"/>
      <c r="DD340" s="11"/>
      <c r="DE340" s="11"/>
      <c r="DF340" s="11"/>
      <c r="DG340" s="11"/>
    </row>
    <row r="341" ht="15.75" customHeight="1">
      <c r="CT341" s="11"/>
      <c r="CU341" s="11"/>
      <c r="CV341" s="11"/>
      <c r="CW341" s="11"/>
      <c r="CX341" s="11"/>
      <c r="CY341" s="11"/>
      <c r="CZ341" s="11"/>
      <c r="DA341" s="11"/>
      <c r="DB341" s="11"/>
      <c r="DC341" s="11"/>
      <c r="DD341" s="11"/>
      <c r="DE341" s="11"/>
      <c r="DF341" s="11"/>
      <c r="DG341" s="11"/>
    </row>
    <row r="342" ht="15.75" customHeight="1">
      <c r="CT342" s="11"/>
      <c r="CU342" s="11"/>
      <c r="CV342" s="11"/>
      <c r="CW342" s="11"/>
      <c r="CX342" s="11"/>
      <c r="CY342" s="11"/>
      <c r="CZ342" s="11"/>
      <c r="DA342" s="11"/>
      <c r="DB342" s="11"/>
      <c r="DC342" s="11"/>
      <c r="DD342" s="11"/>
      <c r="DE342" s="11"/>
      <c r="DF342" s="11"/>
      <c r="DG342" s="11"/>
    </row>
    <row r="343" ht="15.75" customHeight="1">
      <c r="CT343" s="11"/>
      <c r="CU343" s="11"/>
      <c r="CV343" s="11"/>
      <c r="CW343" s="11"/>
      <c r="CX343" s="11"/>
      <c r="CY343" s="11"/>
      <c r="CZ343" s="11"/>
      <c r="DA343" s="11"/>
      <c r="DB343" s="11"/>
      <c r="DC343" s="11"/>
      <c r="DD343" s="11"/>
      <c r="DE343" s="11"/>
      <c r="DF343" s="11"/>
      <c r="DG343" s="11"/>
    </row>
    <row r="344" ht="15.75" customHeight="1">
      <c r="CT344" s="11"/>
      <c r="CU344" s="11"/>
      <c r="CV344" s="11"/>
      <c r="CW344" s="11"/>
      <c r="CX344" s="11"/>
      <c r="CY344" s="11"/>
      <c r="CZ344" s="11"/>
      <c r="DA344" s="11"/>
      <c r="DB344" s="11"/>
      <c r="DC344" s="11"/>
      <c r="DD344" s="11"/>
      <c r="DE344" s="11"/>
      <c r="DF344" s="11"/>
      <c r="DG344" s="11"/>
    </row>
    <row r="345" ht="15.75" customHeight="1">
      <c r="CT345" s="11"/>
      <c r="CU345" s="11"/>
      <c r="CV345" s="11"/>
      <c r="CW345" s="11"/>
      <c r="CX345" s="11"/>
      <c r="CY345" s="11"/>
      <c r="CZ345" s="11"/>
      <c r="DA345" s="11"/>
      <c r="DB345" s="11"/>
      <c r="DC345" s="11"/>
      <c r="DD345" s="11"/>
      <c r="DE345" s="11"/>
      <c r="DF345" s="11"/>
      <c r="DG345" s="11"/>
    </row>
    <row r="346" ht="15.75" customHeight="1">
      <c r="CT346" s="11"/>
      <c r="CU346" s="11"/>
      <c r="CV346" s="11"/>
      <c r="CW346" s="11"/>
      <c r="CX346" s="11"/>
      <c r="CY346" s="11"/>
      <c r="CZ346" s="11"/>
      <c r="DA346" s="11"/>
      <c r="DB346" s="11"/>
      <c r="DC346" s="11"/>
      <c r="DD346" s="11"/>
      <c r="DE346" s="11"/>
      <c r="DF346" s="11"/>
      <c r="DG346" s="11"/>
    </row>
    <row r="347" ht="15.75" customHeight="1">
      <c r="CT347" s="11"/>
      <c r="CU347" s="11"/>
      <c r="CV347" s="11"/>
      <c r="CW347" s="11"/>
      <c r="CX347" s="11"/>
      <c r="CY347" s="11"/>
      <c r="CZ347" s="11"/>
      <c r="DA347" s="11"/>
      <c r="DB347" s="11"/>
      <c r="DC347" s="11"/>
      <c r="DD347" s="11"/>
      <c r="DE347" s="11"/>
      <c r="DF347" s="11"/>
      <c r="DG347" s="11"/>
    </row>
    <row r="348" ht="15.75" customHeight="1">
      <c r="CT348" s="11"/>
      <c r="CU348" s="11"/>
      <c r="CV348" s="11"/>
      <c r="CW348" s="11"/>
      <c r="CX348" s="11"/>
      <c r="CY348" s="11"/>
      <c r="CZ348" s="11"/>
      <c r="DA348" s="11"/>
      <c r="DB348" s="11"/>
      <c r="DC348" s="11"/>
      <c r="DD348" s="11"/>
      <c r="DE348" s="11"/>
      <c r="DF348" s="11"/>
      <c r="DG348" s="11"/>
    </row>
    <row r="349" ht="15.75" customHeight="1">
      <c r="CT349" s="11"/>
      <c r="CU349" s="11"/>
      <c r="CV349" s="11"/>
      <c r="CW349" s="11"/>
      <c r="CX349" s="11"/>
      <c r="CY349" s="11"/>
      <c r="CZ349" s="11"/>
      <c r="DA349" s="11"/>
      <c r="DB349" s="11"/>
      <c r="DC349" s="11"/>
      <c r="DD349" s="11"/>
      <c r="DE349" s="11"/>
      <c r="DF349" s="11"/>
      <c r="DG349" s="11"/>
    </row>
    <row r="350" ht="15.75" customHeight="1">
      <c r="CT350" s="11"/>
      <c r="CU350" s="11"/>
      <c r="CV350" s="11"/>
      <c r="CW350" s="11"/>
      <c r="CX350" s="11"/>
      <c r="CY350" s="11"/>
      <c r="CZ350" s="11"/>
      <c r="DA350" s="11"/>
      <c r="DB350" s="11"/>
      <c r="DC350" s="11"/>
      <c r="DD350" s="11"/>
      <c r="DE350" s="11"/>
      <c r="DF350" s="11"/>
      <c r="DG350" s="11"/>
    </row>
    <row r="351" ht="15.75" customHeight="1">
      <c r="CT351" s="11"/>
      <c r="CU351" s="11"/>
      <c r="CV351" s="11"/>
      <c r="CW351" s="11"/>
      <c r="CX351" s="11"/>
      <c r="CY351" s="11"/>
      <c r="CZ351" s="11"/>
      <c r="DA351" s="11"/>
      <c r="DB351" s="11"/>
      <c r="DC351" s="11"/>
      <c r="DD351" s="11"/>
      <c r="DE351" s="11"/>
      <c r="DF351" s="11"/>
      <c r="DG351" s="11"/>
    </row>
    <row r="352" ht="15.75" customHeight="1">
      <c r="CT352" s="11"/>
      <c r="CU352" s="11"/>
      <c r="CV352" s="11"/>
      <c r="CW352" s="11"/>
      <c r="CX352" s="11"/>
      <c r="CY352" s="11"/>
      <c r="CZ352" s="11"/>
      <c r="DA352" s="11"/>
      <c r="DB352" s="11"/>
      <c r="DC352" s="11"/>
      <c r="DD352" s="11"/>
      <c r="DE352" s="11"/>
      <c r="DF352" s="11"/>
      <c r="DG352" s="11"/>
    </row>
    <row r="353" ht="15.75" customHeight="1">
      <c r="CT353" s="11"/>
      <c r="CU353" s="11"/>
      <c r="CV353" s="11"/>
      <c r="CW353" s="11"/>
      <c r="CX353" s="11"/>
      <c r="CY353" s="11"/>
      <c r="CZ353" s="11"/>
      <c r="DA353" s="11"/>
      <c r="DB353" s="11"/>
      <c r="DC353" s="11"/>
      <c r="DD353" s="11"/>
      <c r="DE353" s="11"/>
      <c r="DF353" s="11"/>
      <c r="DG353" s="11"/>
    </row>
    <row r="354" ht="15.75" customHeight="1">
      <c r="CT354" s="11"/>
      <c r="CU354" s="11"/>
      <c r="CV354" s="11"/>
      <c r="CW354" s="11"/>
      <c r="CX354" s="11"/>
      <c r="CY354" s="11"/>
      <c r="CZ354" s="11"/>
      <c r="DA354" s="11"/>
      <c r="DB354" s="11"/>
      <c r="DC354" s="11"/>
      <c r="DD354" s="11"/>
      <c r="DE354" s="11"/>
      <c r="DF354" s="11"/>
      <c r="DG354" s="11"/>
    </row>
    <row r="355" ht="15.75" customHeight="1">
      <c r="CT355" s="11"/>
      <c r="CU355" s="11"/>
      <c r="CV355" s="11"/>
      <c r="CW355" s="11"/>
      <c r="CX355" s="11"/>
      <c r="CY355" s="11"/>
      <c r="CZ355" s="11"/>
      <c r="DA355" s="11"/>
      <c r="DB355" s="11"/>
      <c r="DC355" s="11"/>
      <c r="DD355" s="11"/>
      <c r="DE355" s="11"/>
      <c r="DF355" s="11"/>
      <c r="DG355" s="11"/>
    </row>
    <row r="356" ht="15.75" customHeight="1">
      <c r="CT356" s="11"/>
      <c r="CU356" s="11"/>
      <c r="CV356" s="11"/>
      <c r="CW356" s="11"/>
      <c r="CX356" s="11"/>
      <c r="CY356" s="11"/>
      <c r="CZ356" s="11"/>
      <c r="DA356" s="11"/>
      <c r="DB356" s="11"/>
      <c r="DC356" s="11"/>
      <c r="DD356" s="11"/>
      <c r="DE356" s="11"/>
      <c r="DF356" s="11"/>
      <c r="DG356" s="11"/>
    </row>
    <row r="357" ht="15.75" customHeight="1">
      <c r="CT357" s="11"/>
      <c r="CU357" s="11"/>
      <c r="CV357" s="11"/>
      <c r="CW357" s="11"/>
      <c r="CX357" s="11"/>
      <c r="CY357" s="11"/>
      <c r="CZ357" s="11"/>
      <c r="DA357" s="11"/>
      <c r="DB357" s="11"/>
      <c r="DC357" s="11"/>
      <c r="DD357" s="11"/>
      <c r="DE357" s="11"/>
      <c r="DF357" s="11"/>
      <c r="DG357" s="11"/>
    </row>
    <row r="358" ht="15.75" customHeight="1">
      <c r="CT358" s="11"/>
      <c r="CU358" s="11"/>
      <c r="CV358" s="11"/>
      <c r="CW358" s="11"/>
      <c r="CX358" s="11"/>
      <c r="CY358" s="11"/>
      <c r="CZ358" s="11"/>
      <c r="DA358" s="11"/>
      <c r="DB358" s="11"/>
      <c r="DC358" s="11"/>
      <c r="DD358" s="11"/>
      <c r="DE358" s="11"/>
      <c r="DF358" s="11"/>
      <c r="DG358" s="11"/>
    </row>
    <row r="359" ht="15.75" customHeight="1">
      <c r="CT359" s="11"/>
      <c r="CU359" s="11"/>
      <c r="CV359" s="11"/>
      <c r="CW359" s="11"/>
      <c r="CX359" s="11"/>
      <c r="CY359" s="11"/>
      <c r="CZ359" s="11"/>
      <c r="DA359" s="11"/>
      <c r="DB359" s="11"/>
      <c r="DC359" s="11"/>
      <c r="DD359" s="11"/>
      <c r="DE359" s="11"/>
      <c r="DF359" s="11"/>
      <c r="DG359" s="11"/>
    </row>
    <row r="360" ht="15.75" customHeight="1">
      <c r="CT360" s="11"/>
      <c r="CU360" s="11"/>
      <c r="CV360" s="11"/>
      <c r="CW360" s="11"/>
      <c r="CX360" s="11"/>
      <c r="CY360" s="11"/>
      <c r="CZ360" s="11"/>
      <c r="DA360" s="11"/>
      <c r="DB360" s="11"/>
      <c r="DC360" s="11"/>
      <c r="DD360" s="11"/>
      <c r="DE360" s="11"/>
      <c r="DF360" s="11"/>
      <c r="DG360" s="11"/>
    </row>
    <row r="361" ht="15.75" customHeight="1">
      <c r="CT361" s="11"/>
      <c r="CU361" s="11"/>
      <c r="CV361" s="11"/>
      <c r="CW361" s="11"/>
      <c r="CX361" s="11"/>
      <c r="CY361" s="11"/>
      <c r="CZ361" s="11"/>
      <c r="DA361" s="11"/>
      <c r="DB361" s="11"/>
      <c r="DC361" s="11"/>
      <c r="DD361" s="11"/>
      <c r="DE361" s="11"/>
      <c r="DF361" s="11"/>
      <c r="DG361" s="11"/>
    </row>
    <row r="362" ht="15.75" customHeight="1">
      <c r="CT362" s="11"/>
      <c r="CU362" s="11"/>
      <c r="CV362" s="11"/>
      <c r="CW362" s="11"/>
      <c r="CX362" s="11"/>
      <c r="CY362" s="11"/>
      <c r="CZ362" s="11"/>
      <c r="DA362" s="11"/>
      <c r="DB362" s="11"/>
      <c r="DC362" s="11"/>
      <c r="DD362" s="11"/>
      <c r="DE362" s="11"/>
      <c r="DF362" s="11"/>
      <c r="DG362" s="11"/>
    </row>
    <row r="363" ht="15.75" customHeight="1">
      <c r="CT363" s="11"/>
      <c r="CU363" s="11"/>
      <c r="CV363" s="11"/>
      <c r="CW363" s="11"/>
      <c r="CX363" s="11"/>
      <c r="CY363" s="11"/>
      <c r="CZ363" s="11"/>
      <c r="DA363" s="11"/>
      <c r="DB363" s="11"/>
      <c r="DC363" s="11"/>
      <c r="DD363" s="11"/>
      <c r="DE363" s="11"/>
      <c r="DF363" s="11"/>
      <c r="DG363" s="11"/>
    </row>
    <row r="364" ht="15.75" customHeight="1">
      <c r="CT364" s="11"/>
      <c r="CU364" s="11"/>
      <c r="CV364" s="11"/>
      <c r="CW364" s="11"/>
      <c r="CX364" s="11"/>
      <c r="CY364" s="11"/>
      <c r="CZ364" s="11"/>
      <c r="DA364" s="11"/>
      <c r="DB364" s="11"/>
      <c r="DC364" s="11"/>
      <c r="DD364" s="11"/>
      <c r="DE364" s="11"/>
      <c r="DF364" s="11"/>
      <c r="DG364" s="11"/>
    </row>
    <row r="365" ht="15.75" customHeight="1">
      <c r="CT365" s="11"/>
      <c r="CU365" s="11"/>
      <c r="CV365" s="11"/>
      <c r="CW365" s="11"/>
      <c r="CX365" s="11"/>
      <c r="CY365" s="11"/>
      <c r="CZ365" s="11"/>
      <c r="DA365" s="11"/>
      <c r="DB365" s="11"/>
      <c r="DC365" s="11"/>
      <c r="DD365" s="11"/>
      <c r="DE365" s="11"/>
      <c r="DF365" s="11"/>
      <c r="DG365" s="11"/>
    </row>
    <row r="366" ht="15.75" customHeight="1">
      <c r="CT366" s="11"/>
      <c r="CU366" s="11"/>
      <c r="CV366" s="11"/>
      <c r="CW366" s="11"/>
      <c r="CX366" s="11"/>
      <c r="CY366" s="11"/>
      <c r="CZ366" s="11"/>
      <c r="DA366" s="11"/>
      <c r="DB366" s="11"/>
      <c r="DC366" s="11"/>
      <c r="DD366" s="11"/>
      <c r="DE366" s="11"/>
      <c r="DF366" s="11"/>
      <c r="DG366" s="11"/>
    </row>
    <row r="367" ht="15.75" customHeight="1">
      <c r="CT367" s="11"/>
      <c r="CU367" s="11"/>
      <c r="CV367" s="11"/>
      <c r="CW367" s="11"/>
      <c r="CX367" s="11"/>
      <c r="CY367" s="11"/>
      <c r="CZ367" s="11"/>
      <c r="DA367" s="11"/>
      <c r="DB367" s="11"/>
      <c r="DC367" s="11"/>
      <c r="DD367" s="11"/>
      <c r="DE367" s="11"/>
      <c r="DF367" s="11"/>
      <c r="DG367" s="11"/>
    </row>
    <row r="368" ht="15.75" customHeight="1">
      <c r="CT368" s="11"/>
      <c r="CU368" s="11"/>
      <c r="CV368" s="11"/>
      <c r="CW368" s="11"/>
      <c r="CX368" s="11"/>
      <c r="CY368" s="11"/>
      <c r="CZ368" s="11"/>
      <c r="DA368" s="11"/>
      <c r="DB368" s="11"/>
      <c r="DC368" s="11"/>
      <c r="DD368" s="11"/>
      <c r="DE368" s="11"/>
      <c r="DF368" s="11"/>
      <c r="DG368" s="11"/>
    </row>
    <row r="369" ht="15.75" customHeight="1">
      <c r="CT369" s="11"/>
      <c r="CU369" s="11"/>
      <c r="CV369" s="11"/>
      <c r="CW369" s="11"/>
      <c r="CX369" s="11"/>
      <c r="CY369" s="11"/>
      <c r="CZ369" s="11"/>
      <c r="DA369" s="11"/>
      <c r="DB369" s="11"/>
      <c r="DC369" s="11"/>
      <c r="DD369" s="11"/>
      <c r="DE369" s="11"/>
      <c r="DF369" s="11"/>
      <c r="DG369" s="11"/>
    </row>
    <row r="370" ht="15.75" customHeight="1">
      <c r="CT370" s="11"/>
      <c r="CU370" s="11"/>
      <c r="CV370" s="11"/>
      <c r="CW370" s="11"/>
      <c r="CX370" s="11"/>
      <c r="CY370" s="11"/>
      <c r="CZ370" s="11"/>
      <c r="DA370" s="11"/>
      <c r="DB370" s="11"/>
      <c r="DC370" s="11"/>
      <c r="DD370" s="11"/>
      <c r="DE370" s="11"/>
      <c r="DF370" s="11"/>
      <c r="DG370" s="11"/>
    </row>
    <row r="371" ht="15.75" customHeight="1">
      <c r="CT371" s="11"/>
      <c r="CU371" s="11"/>
      <c r="CV371" s="11"/>
      <c r="CW371" s="11"/>
      <c r="CX371" s="11"/>
      <c r="CY371" s="11"/>
      <c r="CZ371" s="11"/>
      <c r="DA371" s="11"/>
      <c r="DB371" s="11"/>
      <c r="DC371" s="11"/>
      <c r="DD371" s="11"/>
      <c r="DE371" s="11"/>
      <c r="DF371" s="11"/>
      <c r="DG371" s="11"/>
    </row>
    <row r="372" ht="15.75" customHeight="1">
      <c r="CT372" s="11"/>
      <c r="CU372" s="11"/>
      <c r="CV372" s="11"/>
      <c r="CW372" s="11"/>
      <c r="CX372" s="11"/>
      <c r="CY372" s="11"/>
      <c r="CZ372" s="11"/>
      <c r="DA372" s="11"/>
      <c r="DB372" s="11"/>
      <c r="DC372" s="11"/>
      <c r="DD372" s="11"/>
      <c r="DE372" s="11"/>
      <c r="DF372" s="11"/>
      <c r="DG372" s="11"/>
    </row>
    <row r="373" ht="15.75" customHeight="1">
      <c r="CT373" s="11"/>
      <c r="CU373" s="11"/>
      <c r="CV373" s="11"/>
      <c r="CW373" s="11"/>
      <c r="CX373" s="11"/>
      <c r="CY373" s="11"/>
      <c r="CZ373" s="11"/>
      <c r="DA373" s="11"/>
      <c r="DB373" s="11"/>
      <c r="DC373" s="11"/>
      <c r="DD373" s="11"/>
      <c r="DE373" s="11"/>
      <c r="DF373" s="11"/>
      <c r="DG373" s="11"/>
    </row>
    <row r="374" ht="15.75" customHeight="1">
      <c r="CT374" s="11"/>
      <c r="CU374" s="11"/>
      <c r="CV374" s="11"/>
      <c r="CW374" s="11"/>
      <c r="CX374" s="11"/>
      <c r="CY374" s="11"/>
      <c r="CZ374" s="11"/>
      <c r="DA374" s="11"/>
      <c r="DB374" s="11"/>
      <c r="DC374" s="11"/>
      <c r="DD374" s="11"/>
      <c r="DE374" s="11"/>
      <c r="DF374" s="11"/>
      <c r="DG374" s="11"/>
    </row>
    <row r="375" ht="15.75" customHeight="1">
      <c r="CT375" s="11"/>
      <c r="CU375" s="11"/>
      <c r="CV375" s="11"/>
      <c r="CW375" s="11"/>
      <c r="CX375" s="11"/>
      <c r="CY375" s="11"/>
      <c r="CZ375" s="11"/>
      <c r="DA375" s="11"/>
      <c r="DB375" s="11"/>
      <c r="DC375" s="11"/>
      <c r="DD375" s="11"/>
      <c r="DE375" s="11"/>
      <c r="DF375" s="11"/>
      <c r="DG375" s="11"/>
    </row>
    <row r="376" ht="15.75" customHeight="1">
      <c r="CT376" s="11"/>
      <c r="CU376" s="11"/>
      <c r="CV376" s="11"/>
      <c r="CW376" s="11"/>
      <c r="CX376" s="11"/>
      <c r="CY376" s="11"/>
      <c r="CZ376" s="11"/>
      <c r="DA376" s="11"/>
      <c r="DB376" s="11"/>
      <c r="DC376" s="11"/>
      <c r="DD376" s="11"/>
      <c r="DE376" s="11"/>
      <c r="DF376" s="11"/>
      <c r="DG376" s="11"/>
    </row>
    <row r="377" ht="15.75" customHeight="1">
      <c r="CT377" s="11"/>
      <c r="CU377" s="11"/>
      <c r="CV377" s="11"/>
      <c r="CW377" s="11"/>
      <c r="CX377" s="11"/>
      <c r="CY377" s="11"/>
      <c r="CZ377" s="11"/>
      <c r="DA377" s="11"/>
      <c r="DB377" s="11"/>
      <c r="DC377" s="11"/>
      <c r="DD377" s="11"/>
      <c r="DE377" s="11"/>
      <c r="DF377" s="11"/>
      <c r="DG377" s="11"/>
    </row>
    <row r="378" ht="15.75" customHeight="1">
      <c r="CT378" s="11"/>
      <c r="CU378" s="11"/>
      <c r="CV378" s="11"/>
      <c r="CW378" s="11"/>
      <c r="CX378" s="11"/>
      <c r="CY378" s="11"/>
      <c r="CZ378" s="11"/>
      <c r="DA378" s="11"/>
      <c r="DB378" s="11"/>
      <c r="DC378" s="11"/>
      <c r="DD378" s="11"/>
      <c r="DE378" s="11"/>
      <c r="DF378" s="11"/>
      <c r="DG378" s="11"/>
    </row>
    <row r="379" ht="15.75" customHeight="1">
      <c r="CT379" s="11"/>
      <c r="CU379" s="11"/>
      <c r="CV379" s="11"/>
      <c r="CW379" s="11"/>
      <c r="CX379" s="11"/>
      <c r="CY379" s="11"/>
      <c r="CZ379" s="11"/>
      <c r="DA379" s="11"/>
      <c r="DB379" s="11"/>
      <c r="DC379" s="11"/>
      <c r="DD379" s="11"/>
      <c r="DE379" s="11"/>
      <c r="DF379" s="11"/>
      <c r="DG379" s="11"/>
    </row>
    <row r="380" ht="15.75" customHeight="1">
      <c r="CT380" s="11"/>
      <c r="CU380" s="11"/>
      <c r="CV380" s="11"/>
      <c r="CW380" s="11"/>
      <c r="CX380" s="11"/>
      <c r="CY380" s="11"/>
      <c r="CZ380" s="11"/>
      <c r="DA380" s="11"/>
      <c r="DB380" s="11"/>
      <c r="DC380" s="11"/>
      <c r="DD380" s="11"/>
      <c r="DE380" s="11"/>
      <c r="DF380" s="11"/>
      <c r="DG380" s="11"/>
    </row>
    <row r="381" ht="15.75" customHeight="1">
      <c r="CT381" s="11"/>
      <c r="CU381" s="11"/>
      <c r="CV381" s="11"/>
      <c r="CW381" s="11"/>
      <c r="CX381" s="11"/>
      <c r="CY381" s="11"/>
      <c r="CZ381" s="11"/>
      <c r="DA381" s="11"/>
      <c r="DB381" s="11"/>
      <c r="DC381" s="11"/>
      <c r="DD381" s="11"/>
      <c r="DE381" s="11"/>
      <c r="DF381" s="11"/>
      <c r="DG381" s="11"/>
    </row>
    <row r="382" ht="15.75" customHeight="1">
      <c r="CT382" s="11"/>
      <c r="CU382" s="11"/>
      <c r="CV382" s="11"/>
      <c r="CW382" s="11"/>
      <c r="CX382" s="11"/>
      <c r="CY382" s="11"/>
      <c r="CZ382" s="11"/>
      <c r="DA382" s="11"/>
      <c r="DB382" s="11"/>
      <c r="DC382" s="11"/>
      <c r="DD382" s="11"/>
      <c r="DE382" s="11"/>
      <c r="DF382" s="11"/>
      <c r="DG382" s="11"/>
    </row>
    <row r="383" ht="15.75" customHeight="1">
      <c r="CT383" s="11"/>
      <c r="CU383" s="11"/>
      <c r="CV383" s="11"/>
      <c r="CW383" s="11"/>
      <c r="CX383" s="11"/>
      <c r="CY383" s="11"/>
      <c r="CZ383" s="11"/>
      <c r="DA383" s="11"/>
      <c r="DB383" s="11"/>
      <c r="DC383" s="11"/>
      <c r="DD383" s="11"/>
      <c r="DE383" s="11"/>
      <c r="DF383" s="11"/>
      <c r="DG383" s="11"/>
    </row>
    <row r="384" ht="15.75" customHeight="1">
      <c r="CT384" s="11"/>
      <c r="CU384" s="11"/>
      <c r="CV384" s="11"/>
      <c r="CW384" s="11"/>
      <c r="CX384" s="11"/>
      <c r="CY384" s="11"/>
      <c r="CZ384" s="11"/>
      <c r="DA384" s="11"/>
      <c r="DB384" s="11"/>
      <c r="DC384" s="11"/>
      <c r="DD384" s="11"/>
      <c r="DE384" s="11"/>
      <c r="DF384" s="11"/>
      <c r="DG384" s="11"/>
    </row>
    <row r="385" ht="15.75" customHeight="1">
      <c r="CT385" s="11"/>
      <c r="CU385" s="11"/>
      <c r="CV385" s="11"/>
      <c r="CW385" s="11"/>
      <c r="CX385" s="11"/>
      <c r="CY385" s="11"/>
      <c r="CZ385" s="11"/>
      <c r="DA385" s="11"/>
      <c r="DB385" s="11"/>
      <c r="DC385" s="11"/>
      <c r="DD385" s="11"/>
      <c r="DE385" s="11"/>
      <c r="DF385" s="11"/>
      <c r="DG385" s="11"/>
    </row>
    <row r="386" ht="15.75" customHeight="1">
      <c r="CT386" s="11"/>
      <c r="CU386" s="11"/>
      <c r="CV386" s="11"/>
      <c r="CW386" s="11"/>
      <c r="CX386" s="11"/>
      <c r="CY386" s="11"/>
      <c r="CZ386" s="11"/>
      <c r="DA386" s="11"/>
      <c r="DB386" s="11"/>
      <c r="DC386" s="11"/>
      <c r="DD386" s="11"/>
      <c r="DE386" s="11"/>
      <c r="DF386" s="11"/>
      <c r="DG386" s="11"/>
    </row>
    <row r="387" ht="15.75" customHeight="1">
      <c r="CT387" s="11"/>
      <c r="CU387" s="11"/>
      <c r="CV387" s="11"/>
      <c r="CW387" s="11"/>
      <c r="CX387" s="11"/>
      <c r="CY387" s="11"/>
      <c r="CZ387" s="11"/>
      <c r="DA387" s="11"/>
      <c r="DB387" s="11"/>
      <c r="DC387" s="11"/>
      <c r="DD387" s="11"/>
      <c r="DE387" s="11"/>
      <c r="DF387" s="11"/>
      <c r="DG387" s="11"/>
    </row>
    <row r="388" ht="15.75" customHeight="1">
      <c r="CT388" s="11"/>
      <c r="CU388" s="11"/>
      <c r="CV388" s="11"/>
      <c r="CW388" s="11"/>
      <c r="CX388" s="11"/>
      <c r="CY388" s="11"/>
      <c r="CZ388" s="11"/>
      <c r="DA388" s="11"/>
      <c r="DB388" s="11"/>
      <c r="DC388" s="11"/>
      <c r="DD388" s="11"/>
      <c r="DE388" s="11"/>
      <c r="DF388" s="11"/>
      <c r="DG388" s="11"/>
    </row>
    <row r="389" ht="15.75" customHeight="1">
      <c r="CT389" s="11"/>
      <c r="CU389" s="11"/>
      <c r="CV389" s="11"/>
      <c r="CW389" s="11"/>
      <c r="CX389" s="11"/>
      <c r="CY389" s="11"/>
      <c r="CZ389" s="11"/>
      <c r="DA389" s="11"/>
      <c r="DB389" s="11"/>
      <c r="DC389" s="11"/>
      <c r="DD389" s="11"/>
      <c r="DE389" s="11"/>
      <c r="DF389" s="11"/>
      <c r="DG389" s="11"/>
    </row>
    <row r="390" ht="15.75" customHeight="1">
      <c r="CT390" s="11"/>
      <c r="CU390" s="11"/>
      <c r="CV390" s="11"/>
      <c r="CW390" s="11"/>
      <c r="CX390" s="11"/>
      <c r="CY390" s="11"/>
      <c r="CZ390" s="11"/>
      <c r="DA390" s="11"/>
      <c r="DB390" s="11"/>
      <c r="DC390" s="11"/>
      <c r="DD390" s="11"/>
      <c r="DE390" s="11"/>
      <c r="DF390" s="11"/>
      <c r="DG390" s="11"/>
    </row>
    <row r="391" ht="15.75" customHeight="1">
      <c r="CT391" s="11"/>
      <c r="CU391" s="11"/>
      <c r="CV391" s="11"/>
      <c r="CW391" s="11"/>
      <c r="CX391" s="11"/>
      <c r="CY391" s="11"/>
      <c r="CZ391" s="11"/>
      <c r="DA391" s="11"/>
      <c r="DB391" s="11"/>
      <c r="DC391" s="11"/>
      <c r="DD391" s="11"/>
      <c r="DE391" s="11"/>
      <c r="DF391" s="11"/>
      <c r="DG391" s="11"/>
    </row>
    <row r="392" ht="15.75" customHeight="1">
      <c r="CT392" s="11"/>
      <c r="CU392" s="11"/>
      <c r="CV392" s="11"/>
      <c r="CW392" s="11"/>
      <c r="CX392" s="11"/>
      <c r="CY392" s="11"/>
      <c r="CZ392" s="11"/>
      <c r="DA392" s="11"/>
      <c r="DB392" s="11"/>
      <c r="DC392" s="11"/>
      <c r="DD392" s="11"/>
      <c r="DE392" s="11"/>
      <c r="DF392" s="11"/>
      <c r="DG392" s="11"/>
    </row>
    <row r="393" ht="15.75" customHeight="1">
      <c r="CT393" s="11"/>
      <c r="CU393" s="11"/>
      <c r="CV393" s="11"/>
      <c r="CW393" s="11"/>
      <c r="CX393" s="11"/>
      <c r="CY393" s="11"/>
      <c r="CZ393" s="11"/>
      <c r="DA393" s="11"/>
      <c r="DB393" s="11"/>
      <c r="DC393" s="11"/>
      <c r="DD393" s="11"/>
      <c r="DE393" s="11"/>
      <c r="DF393" s="11"/>
      <c r="DG393" s="11"/>
    </row>
    <row r="394" ht="15.75" customHeight="1">
      <c r="CT394" s="11"/>
      <c r="CU394" s="11"/>
      <c r="CV394" s="11"/>
      <c r="CW394" s="11"/>
      <c r="CX394" s="11"/>
      <c r="CY394" s="11"/>
      <c r="CZ394" s="11"/>
      <c r="DA394" s="11"/>
      <c r="DB394" s="11"/>
      <c r="DC394" s="11"/>
      <c r="DD394" s="11"/>
      <c r="DE394" s="11"/>
      <c r="DF394" s="11"/>
      <c r="DG394" s="11"/>
    </row>
    <row r="395" ht="15.75" customHeight="1">
      <c r="CT395" s="11"/>
      <c r="CU395" s="11"/>
      <c r="CV395" s="11"/>
      <c r="CW395" s="11"/>
      <c r="CX395" s="11"/>
      <c r="CY395" s="11"/>
      <c r="CZ395" s="11"/>
      <c r="DA395" s="11"/>
      <c r="DB395" s="11"/>
      <c r="DC395" s="11"/>
      <c r="DD395" s="11"/>
      <c r="DE395" s="11"/>
      <c r="DF395" s="11"/>
      <c r="DG395" s="11"/>
    </row>
    <row r="396" ht="15.75" customHeight="1">
      <c r="CT396" s="11"/>
      <c r="CU396" s="11"/>
      <c r="CV396" s="11"/>
      <c r="CW396" s="11"/>
      <c r="CX396" s="11"/>
      <c r="CY396" s="11"/>
      <c r="CZ396" s="11"/>
      <c r="DA396" s="11"/>
      <c r="DB396" s="11"/>
      <c r="DC396" s="11"/>
      <c r="DD396" s="11"/>
      <c r="DE396" s="11"/>
      <c r="DF396" s="11"/>
      <c r="DG396" s="11"/>
    </row>
    <row r="397" ht="15.75" customHeight="1">
      <c r="CT397" s="11"/>
      <c r="CU397" s="11"/>
      <c r="CV397" s="11"/>
      <c r="CW397" s="11"/>
      <c r="CX397" s="11"/>
      <c r="CY397" s="11"/>
      <c r="CZ397" s="11"/>
      <c r="DA397" s="11"/>
      <c r="DB397" s="11"/>
      <c r="DC397" s="11"/>
      <c r="DD397" s="11"/>
      <c r="DE397" s="11"/>
      <c r="DF397" s="11"/>
      <c r="DG397" s="11"/>
    </row>
    <row r="398" ht="15.75" customHeight="1">
      <c r="CT398" s="11"/>
      <c r="CU398" s="11"/>
      <c r="CV398" s="11"/>
      <c r="CW398" s="11"/>
      <c r="CX398" s="11"/>
      <c r="CY398" s="11"/>
      <c r="CZ398" s="11"/>
      <c r="DA398" s="11"/>
      <c r="DB398" s="11"/>
      <c r="DC398" s="11"/>
      <c r="DD398" s="11"/>
      <c r="DE398" s="11"/>
      <c r="DF398" s="11"/>
      <c r="DG398" s="11"/>
    </row>
    <row r="399" ht="15.75" customHeight="1">
      <c r="CT399" s="11"/>
      <c r="CU399" s="11"/>
      <c r="CV399" s="11"/>
      <c r="CW399" s="11"/>
      <c r="CX399" s="11"/>
      <c r="CY399" s="11"/>
      <c r="CZ399" s="11"/>
      <c r="DA399" s="11"/>
      <c r="DB399" s="11"/>
      <c r="DC399" s="11"/>
      <c r="DD399" s="11"/>
      <c r="DE399" s="11"/>
      <c r="DF399" s="11"/>
      <c r="DG399" s="11"/>
    </row>
    <row r="400" ht="15.75" customHeight="1">
      <c r="CT400" s="11"/>
      <c r="CU400" s="11"/>
      <c r="CV400" s="11"/>
      <c r="CW400" s="11"/>
      <c r="CX400" s="11"/>
      <c r="CY400" s="11"/>
      <c r="CZ400" s="11"/>
      <c r="DA400" s="11"/>
      <c r="DB400" s="11"/>
      <c r="DC400" s="11"/>
      <c r="DD400" s="11"/>
      <c r="DE400" s="11"/>
      <c r="DF400" s="11"/>
      <c r="DG400" s="11"/>
    </row>
    <row r="401" ht="15.75" customHeight="1">
      <c r="CT401" s="11"/>
      <c r="CU401" s="11"/>
      <c r="CV401" s="11"/>
      <c r="CW401" s="11"/>
      <c r="CX401" s="11"/>
      <c r="CY401" s="11"/>
      <c r="CZ401" s="11"/>
      <c r="DA401" s="11"/>
      <c r="DB401" s="11"/>
      <c r="DC401" s="11"/>
      <c r="DD401" s="11"/>
      <c r="DE401" s="11"/>
      <c r="DF401" s="11"/>
      <c r="DG401" s="11"/>
    </row>
    <row r="402" ht="15.75" customHeight="1">
      <c r="CT402" s="11"/>
      <c r="CU402" s="11"/>
      <c r="CV402" s="11"/>
      <c r="CW402" s="11"/>
      <c r="CX402" s="11"/>
      <c r="CY402" s="11"/>
      <c r="CZ402" s="11"/>
      <c r="DA402" s="11"/>
      <c r="DB402" s="11"/>
      <c r="DC402" s="11"/>
      <c r="DD402" s="11"/>
      <c r="DE402" s="11"/>
      <c r="DF402" s="11"/>
      <c r="DG402" s="11"/>
    </row>
    <row r="403" ht="15.75" customHeight="1">
      <c r="CT403" s="11"/>
      <c r="CU403" s="11"/>
      <c r="CV403" s="11"/>
      <c r="CW403" s="11"/>
      <c r="CX403" s="11"/>
      <c r="CY403" s="11"/>
      <c r="CZ403" s="11"/>
      <c r="DA403" s="11"/>
      <c r="DB403" s="11"/>
      <c r="DC403" s="11"/>
      <c r="DD403" s="11"/>
      <c r="DE403" s="11"/>
      <c r="DF403" s="11"/>
      <c r="DG403" s="11"/>
    </row>
    <row r="404" ht="15.75" customHeight="1">
      <c r="CT404" s="11"/>
      <c r="CU404" s="11"/>
      <c r="CV404" s="11"/>
      <c r="CW404" s="11"/>
      <c r="CX404" s="11"/>
      <c r="CY404" s="11"/>
      <c r="CZ404" s="11"/>
      <c r="DA404" s="11"/>
      <c r="DB404" s="11"/>
      <c r="DC404" s="11"/>
      <c r="DD404" s="11"/>
      <c r="DE404" s="11"/>
      <c r="DF404" s="11"/>
      <c r="DG404" s="11"/>
    </row>
    <row r="405" ht="15.75" customHeight="1">
      <c r="CT405" s="11"/>
      <c r="CU405" s="11"/>
      <c r="CV405" s="11"/>
      <c r="CW405" s="11"/>
      <c r="CX405" s="11"/>
      <c r="CY405" s="11"/>
      <c r="CZ405" s="11"/>
      <c r="DA405" s="11"/>
      <c r="DB405" s="11"/>
      <c r="DC405" s="11"/>
      <c r="DD405" s="11"/>
      <c r="DE405" s="11"/>
      <c r="DF405" s="11"/>
      <c r="DG405" s="11"/>
    </row>
    <row r="406" ht="15.75" customHeight="1">
      <c r="CT406" s="11"/>
      <c r="CU406" s="11"/>
      <c r="CV406" s="11"/>
      <c r="CW406" s="11"/>
      <c r="CX406" s="11"/>
      <c r="CY406" s="11"/>
      <c r="CZ406" s="11"/>
      <c r="DA406" s="11"/>
      <c r="DB406" s="11"/>
      <c r="DC406" s="11"/>
      <c r="DD406" s="11"/>
      <c r="DE406" s="11"/>
      <c r="DF406" s="11"/>
      <c r="DG406" s="11"/>
    </row>
    <row r="407" ht="15.75" customHeight="1">
      <c r="CT407" s="11"/>
      <c r="CU407" s="11"/>
      <c r="CV407" s="11"/>
      <c r="CW407" s="11"/>
      <c r="CX407" s="11"/>
      <c r="CY407" s="11"/>
      <c r="CZ407" s="11"/>
      <c r="DA407" s="11"/>
      <c r="DB407" s="11"/>
      <c r="DC407" s="11"/>
      <c r="DD407" s="11"/>
      <c r="DE407" s="11"/>
      <c r="DF407" s="11"/>
      <c r="DG407" s="11"/>
    </row>
    <row r="408" ht="15.75" customHeight="1">
      <c r="CT408" s="11"/>
      <c r="CU408" s="11"/>
      <c r="CV408" s="11"/>
      <c r="CW408" s="11"/>
      <c r="CX408" s="11"/>
      <c r="CY408" s="11"/>
      <c r="CZ408" s="11"/>
      <c r="DA408" s="11"/>
      <c r="DB408" s="11"/>
      <c r="DC408" s="11"/>
      <c r="DD408" s="11"/>
      <c r="DE408" s="11"/>
      <c r="DF408" s="11"/>
      <c r="DG408" s="11"/>
    </row>
    <row r="409" ht="15.75" customHeight="1">
      <c r="CT409" s="11"/>
      <c r="CU409" s="11"/>
      <c r="CV409" s="11"/>
      <c r="CW409" s="11"/>
      <c r="CX409" s="11"/>
      <c r="CY409" s="11"/>
      <c r="CZ409" s="11"/>
      <c r="DA409" s="11"/>
      <c r="DB409" s="11"/>
      <c r="DC409" s="11"/>
      <c r="DD409" s="11"/>
      <c r="DE409" s="11"/>
      <c r="DF409" s="11"/>
      <c r="DG409" s="11"/>
    </row>
    <row r="410" ht="15.75" customHeight="1">
      <c r="CT410" s="11"/>
      <c r="CU410" s="11"/>
      <c r="CV410" s="11"/>
      <c r="CW410" s="11"/>
      <c r="CX410" s="11"/>
      <c r="CY410" s="11"/>
      <c r="CZ410" s="11"/>
      <c r="DA410" s="11"/>
      <c r="DB410" s="11"/>
      <c r="DC410" s="11"/>
      <c r="DD410" s="11"/>
      <c r="DE410" s="11"/>
      <c r="DF410" s="11"/>
      <c r="DG410" s="11"/>
    </row>
    <row r="411" ht="15.75" customHeight="1">
      <c r="CT411" s="11"/>
      <c r="CU411" s="11"/>
      <c r="CV411" s="11"/>
      <c r="CW411" s="11"/>
      <c r="CX411" s="11"/>
      <c r="CY411" s="11"/>
      <c r="CZ411" s="11"/>
      <c r="DA411" s="11"/>
      <c r="DB411" s="11"/>
      <c r="DC411" s="11"/>
      <c r="DD411" s="11"/>
      <c r="DE411" s="11"/>
      <c r="DF411" s="11"/>
      <c r="DG411" s="11"/>
    </row>
    <row r="412" ht="15.75" customHeight="1">
      <c r="CT412" s="11"/>
      <c r="CU412" s="11"/>
      <c r="CV412" s="11"/>
      <c r="CW412" s="11"/>
      <c r="CX412" s="11"/>
      <c r="CY412" s="11"/>
      <c r="CZ412" s="11"/>
      <c r="DA412" s="11"/>
      <c r="DB412" s="11"/>
      <c r="DC412" s="11"/>
      <c r="DD412" s="11"/>
      <c r="DE412" s="11"/>
      <c r="DF412" s="11"/>
      <c r="DG412" s="11"/>
    </row>
    <row r="413" ht="15.75" customHeight="1">
      <c r="CT413" s="11"/>
      <c r="CU413" s="11"/>
      <c r="CV413" s="11"/>
      <c r="CW413" s="11"/>
      <c r="CX413" s="11"/>
      <c r="CY413" s="11"/>
      <c r="CZ413" s="11"/>
      <c r="DA413" s="11"/>
      <c r="DB413" s="11"/>
      <c r="DC413" s="11"/>
      <c r="DD413" s="11"/>
      <c r="DE413" s="11"/>
      <c r="DF413" s="11"/>
      <c r="DG413" s="11"/>
    </row>
    <row r="414" ht="15.75" customHeight="1">
      <c r="CT414" s="11"/>
      <c r="CU414" s="11"/>
      <c r="CV414" s="11"/>
      <c r="CW414" s="11"/>
      <c r="CX414" s="11"/>
      <c r="CY414" s="11"/>
      <c r="CZ414" s="11"/>
      <c r="DA414" s="11"/>
      <c r="DB414" s="11"/>
      <c r="DC414" s="11"/>
      <c r="DD414" s="11"/>
      <c r="DE414" s="11"/>
      <c r="DF414" s="11"/>
      <c r="DG414" s="11"/>
    </row>
    <row r="415" ht="15.75" customHeight="1">
      <c r="CT415" s="11"/>
      <c r="CU415" s="11"/>
      <c r="CV415" s="11"/>
      <c r="CW415" s="11"/>
      <c r="CX415" s="11"/>
      <c r="CY415" s="11"/>
      <c r="CZ415" s="11"/>
      <c r="DA415" s="11"/>
      <c r="DB415" s="11"/>
      <c r="DC415" s="11"/>
      <c r="DD415" s="11"/>
      <c r="DE415" s="11"/>
      <c r="DF415" s="11"/>
      <c r="DG415" s="11"/>
    </row>
    <row r="416" ht="15.75" customHeight="1">
      <c r="CT416" s="11"/>
      <c r="CU416" s="11"/>
      <c r="CV416" s="11"/>
      <c r="CW416" s="11"/>
      <c r="CX416" s="11"/>
      <c r="CY416" s="11"/>
      <c r="CZ416" s="11"/>
      <c r="DA416" s="11"/>
      <c r="DB416" s="11"/>
      <c r="DC416" s="11"/>
      <c r="DD416" s="11"/>
      <c r="DE416" s="11"/>
      <c r="DF416" s="11"/>
      <c r="DG416" s="11"/>
    </row>
    <row r="417" ht="15.75" customHeight="1">
      <c r="CT417" s="11"/>
      <c r="CU417" s="11"/>
      <c r="CV417" s="11"/>
      <c r="CW417" s="11"/>
      <c r="CX417" s="11"/>
      <c r="CY417" s="11"/>
      <c r="CZ417" s="11"/>
      <c r="DA417" s="11"/>
      <c r="DB417" s="11"/>
      <c r="DC417" s="11"/>
      <c r="DD417" s="11"/>
      <c r="DE417" s="11"/>
      <c r="DF417" s="11"/>
      <c r="DG417" s="11"/>
    </row>
    <row r="418" ht="15.75" customHeight="1">
      <c r="CT418" s="11"/>
      <c r="CU418" s="11"/>
      <c r="CV418" s="11"/>
      <c r="CW418" s="11"/>
      <c r="CX418" s="11"/>
      <c r="CY418" s="11"/>
      <c r="CZ418" s="11"/>
      <c r="DA418" s="11"/>
      <c r="DB418" s="11"/>
      <c r="DC418" s="11"/>
      <c r="DD418" s="11"/>
      <c r="DE418" s="11"/>
      <c r="DF418" s="11"/>
      <c r="DG418" s="11"/>
    </row>
    <row r="419" ht="15.75" customHeight="1">
      <c r="CT419" s="11"/>
      <c r="CU419" s="11"/>
      <c r="CV419" s="11"/>
      <c r="CW419" s="11"/>
      <c r="CX419" s="11"/>
      <c r="CY419" s="11"/>
      <c r="CZ419" s="11"/>
      <c r="DA419" s="11"/>
      <c r="DB419" s="11"/>
      <c r="DC419" s="11"/>
      <c r="DD419" s="11"/>
      <c r="DE419" s="11"/>
      <c r="DF419" s="11"/>
      <c r="DG419" s="11"/>
    </row>
    <row r="420" ht="15.75" customHeight="1">
      <c r="CT420" s="11"/>
      <c r="CU420" s="11"/>
      <c r="CV420" s="11"/>
      <c r="CW420" s="11"/>
      <c r="CX420" s="11"/>
      <c r="CY420" s="11"/>
      <c r="CZ420" s="11"/>
      <c r="DA420" s="11"/>
      <c r="DB420" s="11"/>
      <c r="DC420" s="11"/>
      <c r="DD420" s="11"/>
      <c r="DE420" s="11"/>
      <c r="DF420" s="11"/>
      <c r="DG420" s="11"/>
    </row>
    <row r="421" ht="15.75" customHeight="1">
      <c r="CT421" s="11"/>
      <c r="CU421" s="11"/>
      <c r="CV421" s="11"/>
      <c r="CW421" s="11"/>
      <c r="CX421" s="11"/>
      <c r="CY421" s="11"/>
      <c r="CZ421" s="11"/>
      <c r="DA421" s="11"/>
      <c r="DB421" s="11"/>
      <c r="DC421" s="11"/>
      <c r="DD421" s="11"/>
      <c r="DE421" s="11"/>
      <c r="DF421" s="11"/>
      <c r="DG421" s="11"/>
    </row>
    <row r="422" ht="15.75" customHeight="1">
      <c r="CT422" s="11"/>
      <c r="CU422" s="11"/>
      <c r="CV422" s="11"/>
      <c r="CW422" s="11"/>
      <c r="CX422" s="11"/>
      <c r="CY422" s="11"/>
      <c r="CZ422" s="11"/>
      <c r="DA422" s="11"/>
      <c r="DB422" s="11"/>
      <c r="DC422" s="11"/>
      <c r="DD422" s="11"/>
      <c r="DE422" s="11"/>
      <c r="DF422" s="11"/>
      <c r="DG422" s="11"/>
    </row>
    <row r="423" ht="15.75" customHeight="1">
      <c r="CT423" s="11"/>
      <c r="CU423" s="11"/>
      <c r="CV423" s="11"/>
      <c r="CW423" s="11"/>
      <c r="CX423" s="11"/>
      <c r="CY423" s="11"/>
      <c r="CZ423" s="11"/>
      <c r="DA423" s="11"/>
      <c r="DB423" s="11"/>
      <c r="DC423" s="11"/>
      <c r="DD423" s="11"/>
      <c r="DE423" s="11"/>
      <c r="DF423" s="11"/>
      <c r="DG423" s="11"/>
    </row>
    <row r="424" ht="15.75" customHeight="1">
      <c r="CT424" s="11"/>
      <c r="CU424" s="11"/>
      <c r="CV424" s="11"/>
      <c r="CW424" s="11"/>
      <c r="CX424" s="11"/>
      <c r="CY424" s="11"/>
      <c r="CZ424" s="11"/>
      <c r="DA424" s="11"/>
      <c r="DB424" s="11"/>
      <c r="DC424" s="11"/>
      <c r="DD424" s="11"/>
      <c r="DE424" s="11"/>
      <c r="DF424" s="11"/>
      <c r="DG424" s="11"/>
    </row>
    <row r="425" ht="15.75" customHeight="1">
      <c r="CT425" s="11"/>
      <c r="CU425" s="11"/>
      <c r="CV425" s="11"/>
      <c r="CW425" s="11"/>
      <c r="CX425" s="11"/>
      <c r="CY425" s="11"/>
      <c r="CZ425" s="11"/>
      <c r="DA425" s="11"/>
      <c r="DB425" s="11"/>
      <c r="DC425" s="11"/>
      <c r="DD425" s="11"/>
      <c r="DE425" s="11"/>
      <c r="DF425" s="11"/>
      <c r="DG425" s="11"/>
    </row>
    <row r="426" ht="15.75" customHeight="1">
      <c r="CT426" s="11"/>
      <c r="CU426" s="11"/>
      <c r="CV426" s="11"/>
      <c r="CW426" s="11"/>
      <c r="CX426" s="11"/>
      <c r="CY426" s="11"/>
      <c r="CZ426" s="11"/>
      <c r="DA426" s="11"/>
      <c r="DB426" s="11"/>
      <c r="DC426" s="11"/>
      <c r="DD426" s="11"/>
      <c r="DE426" s="11"/>
      <c r="DF426" s="11"/>
      <c r="DG426" s="11"/>
    </row>
    <row r="427" ht="15.75" customHeight="1">
      <c r="CT427" s="11"/>
      <c r="CU427" s="11"/>
      <c r="CV427" s="11"/>
      <c r="CW427" s="11"/>
      <c r="CX427" s="11"/>
      <c r="CY427" s="11"/>
      <c r="CZ427" s="11"/>
      <c r="DA427" s="11"/>
      <c r="DB427" s="11"/>
      <c r="DC427" s="11"/>
      <c r="DD427" s="11"/>
      <c r="DE427" s="11"/>
      <c r="DF427" s="11"/>
      <c r="DG427" s="11"/>
    </row>
    <row r="428" ht="15.75" customHeight="1">
      <c r="CT428" s="11"/>
      <c r="CU428" s="11"/>
      <c r="CV428" s="11"/>
      <c r="CW428" s="11"/>
      <c r="CX428" s="11"/>
      <c r="CY428" s="11"/>
      <c r="CZ428" s="11"/>
      <c r="DA428" s="11"/>
      <c r="DB428" s="11"/>
      <c r="DC428" s="11"/>
      <c r="DD428" s="11"/>
      <c r="DE428" s="11"/>
      <c r="DF428" s="11"/>
      <c r="DG428" s="11"/>
    </row>
    <row r="429" ht="15.75" customHeight="1">
      <c r="CT429" s="11"/>
      <c r="CU429" s="11"/>
      <c r="CV429" s="11"/>
      <c r="CW429" s="11"/>
      <c r="CX429" s="11"/>
      <c r="CY429" s="11"/>
      <c r="CZ429" s="11"/>
      <c r="DA429" s="11"/>
      <c r="DB429" s="11"/>
      <c r="DC429" s="11"/>
      <c r="DD429" s="11"/>
      <c r="DE429" s="11"/>
      <c r="DF429" s="11"/>
      <c r="DG429" s="11"/>
    </row>
    <row r="430" ht="15.75" customHeight="1">
      <c r="CT430" s="11"/>
      <c r="CU430" s="11"/>
      <c r="CV430" s="11"/>
      <c r="CW430" s="11"/>
      <c r="CX430" s="11"/>
      <c r="CY430" s="11"/>
      <c r="CZ430" s="11"/>
      <c r="DA430" s="11"/>
      <c r="DB430" s="11"/>
      <c r="DC430" s="11"/>
      <c r="DD430" s="11"/>
      <c r="DE430" s="11"/>
      <c r="DF430" s="11"/>
      <c r="DG430" s="11"/>
    </row>
    <row r="431" ht="15.75" customHeight="1">
      <c r="CT431" s="11"/>
      <c r="CU431" s="11"/>
      <c r="CV431" s="11"/>
      <c r="CW431" s="11"/>
      <c r="CX431" s="11"/>
      <c r="CY431" s="11"/>
      <c r="CZ431" s="11"/>
      <c r="DA431" s="11"/>
      <c r="DB431" s="11"/>
      <c r="DC431" s="11"/>
      <c r="DD431" s="11"/>
      <c r="DE431" s="11"/>
      <c r="DF431" s="11"/>
      <c r="DG431" s="11"/>
    </row>
    <row r="432" ht="15.75" customHeight="1">
      <c r="CT432" s="11"/>
      <c r="CU432" s="11"/>
      <c r="CV432" s="11"/>
      <c r="CW432" s="11"/>
      <c r="CX432" s="11"/>
      <c r="CY432" s="11"/>
      <c r="CZ432" s="11"/>
      <c r="DA432" s="11"/>
      <c r="DB432" s="11"/>
      <c r="DC432" s="11"/>
      <c r="DD432" s="11"/>
      <c r="DE432" s="11"/>
      <c r="DF432" s="11"/>
      <c r="DG432" s="11"/>
    </row>
    <row r="433" ht="15.75" customHeight="1">
      <c r="CT433" s="11"/>
      <c r="CU433" s="11"/>
      <c r="CV433" s="11"/>
      <c r="CW433" s="11"/>
      <c r="CX433" s="11"/>
      <c r="CY433" s="11"/>
      <c r="CZ433" s="11"/>
      <c r="DA433" s="11"/>
      <c r="DB433" s="11"/>
      <c r="DC433" s="11"/>
      <c r="DD433" s="11"/>
      <c r="DE433" s="11"/>
      <c r="DF433" s="11"/>
      <c r="DG433" s="11"/>
    </row>
    <row r="434" ht="15.75" customHeight="1">
      <c r="CT434" s="11"/>
      <c r="CU434" s="11"/>
      <c r="CV434" s="11"/>
      <c r="CW434" s="11"/>
      <c r="CX434" s="11"/>
      <c r="CY434" s="11"/>
      <c r="CZ434" s="11"/>
      <c r="DA434" s="11"/>
      <c r="DB434" s="11"/>
      <c r="DC434" s="11"/>
      <c r="DD434" s="11"/>
      <c r="DE434" s="11"/>
      <c r="DF434" s="11"/>
      <c r="DG434" s="11"/>
    </row>
    <row r="435" ht="15.75" customHeight="1">
      <c r="CT435" s="11"/>
      <c r="CU435" s="11"/>
      <c r="CV435" s="11"/>
      <c r="CW435" s="11"/>
      <c r="CX435" s="11"/>
      <c r="CY435" s="11"/>
      <c r="CZ435" s="11"/>
      <c r="DA435" s="11"/>
      <c r="DB435" s="11"/>
      <c r="DC435" s="11"/>
      <c r="DD435" s="11"/>
      <c r="DE435" s="11"/>
      <c r="DF435" s="11"/>
      <c r="DG435" s="11"/>
    </row>
    <row r="436" ht="15.75" customHeight="1">
      <c r="CT436" s="11"/>
      <c r="CU436" s="11"/>
      <c r="CV436" s="11"/>
      <c r="CW436" s="11"/>
      <c r="CX436" s="11"/>
      <c r="CY436" s="11"/>
      <c r="CZ436" s="11"/>
      <c r="DA436" s="11"/>
      <c r="DB436" s="11"/>
      <c r="DC436" s="11"/>
      <c r="DD436" s="11"/>
      <c r="DE436" s="11"/>
      <c r="DF436" s="11"/>
      <c r="DG436" s="11"/>
    </row>
    <row r="437" ht="15.75" customHeight="1">
      <c r="CT437" s="11"/>
      <c r="CU437" s="11"/>
      <c r="CV437" s="11"/>
      <c r="CW437" s="11"/>
      <c r="CX437" s="11"/>
      <c r="CY437" s="11"/>
      <c r="CZ437" s="11"/>
      <c r="DA437" s="11"/>
      <c r="DB437" s="11"/>
      <c r="DC437" s="11"/>
      <c r="DD437" s="11"/>
      <c r="DE437" s="11"/>
      <c r="DF437" s="11"/>
      <c r="DG437" s="11"/>
    </row>
    <row r="438" ht="15.75" customHeight="1">
      <c r="CT438" s="11"/>
      <c r="CU438" s="11"/>
      <c r="CV438" s="11"/>
      <c r="CW438" s="11"/>
      <c r="CX438" s="11"/>
      <c r="CY438" s="11"/>
      <c r="CZ438" s="11"/>
      <c r="DA438" s="11"/>
      <c r="DB438" s="11"/>
      <c r="DC438" s="11"/>
      <c r="DD438" s="11"/>
      <c r="DE438" s="11"/>
      <c r="DF438" s="11"/>
      <c r="DG438" s="11"/>
    </row>
    <row r="439" ht="15.75" customHeight="1">
      <c r="CT439" s="11"/>
      <c r="CU439" s="11"/>
      <c r="CV439" s="11"/>
      <c r="CW439" s="11"/>
      <c r="CX439" s="11"/>
      <c r="CY439" s="11"/>
      <c r="CZ439" s="11"/>
      <c r="DA439" s="11"/>
      <c r="DB439" s="11"/>
      <c r="DC439" s="11"/>
      <c r="DD439" s="11"/>
      <c r="DE439" s="11"/>
      <c r="DF439" s="11"/>
      <c r="DG439" s="11"/>
    </row>
    <row r="440" ht="15.75" customHeight="1">
      <c r="CT440" s="11"/>
      <c r="CU440" s="11"/>
      <c r="CV440" s="11"/>
      <c r="CW440" s="11"/>
      <c r="CX440" s="11"/>
      <c r="CY440" s="11"/>
      <c r="CZ440" s="11"/>
      <c r="DA440" s="11"/>
      <c r="DB440" s="11"/>
      <c r="DC440" s="11"/>
      <c r="DD440" s="11"/>
      <c r="DE440" s="11"/>
      <c r="DF440" s="11"/>
      <c r="DG440" s="11"/>
    </row>
    <row r="441" ht="15.75" customHeight="1">
      <c r="CT441" s="11"/>
      <c r="CU441" s="11"/>
      <c r="CV441" s="11"/>
      <c r="CW441" s="11"/>
      <c r="CX441" s="11"/>
      <c r="CY441" s="11"/>
      <c r="CZ441" s="11"/>
      <c r="DA441" s="11"/>
      <c r="DB441" s="11"/>
      <c r="DC441" s="11"/>
      <c r="DD441" s="11"/>
      <c r="DE441" s="11"/>
      <c r="DF441" s="11"/>
      <c r="DG441" s="11"/>
    </row>
    <row r="442" ht="15.75" customHeight="1">
      <c r="CT442" s="11"/>
      <c r="CU442" s="11"/>
      <c r="CV442" s="11"/>
      <c r="CW442" s="11"/>
      <c r="CX442" s="11"/>
      <c r="CY442" s="11"/>
      <c r="CZ442" s="11"/>
      <c r="DA442" s="11"/>
      <c r="DB442" s="11"/>
      <c r="DC442" s="11"/>
      <c r="DD442" s="11"/>
      <c r="DE442" s="11"/>
      <c r="DF442" s="11"/>
      <c r="DG442" s="11"/>
    </row>
    <row r="443" ht="15.75" customHeight="1">
      <c r="CT443" s="11"/>
      <c r="CU443" s="11"/>
      <c r="CV443" s="11"/>
      <c r="CW443" s="11"/>
      <c r="CX443" s="11"/>
      <c r="CY443" s="11"/>
      <c r="CZ443" s="11"/>
      <c r="DA443" s="11"/>
      <c r="DB443" s="11"/>
      <c r="DC443" s="11"/>
      <c r="DD443" s="11"/>
      <c r="DE443" s="11"/>
      <c r="DF443" s="11"/>
      <c r="DG443" s="11"/>
    </row>
    <row r="444" ht="15.75" customHeight="1">
      <c r="CT444" s="11"/>
      <c r="CU444" s="11"/>
      <c r="CV444" s="11"/>
      <c r="CW444" s="11"/>
      <c r="CX444" s="11"/>
      <c r="CY444" s="11"/>
      <c r="CZ444" s="11"/>
      <c r="DA444" s="11"/>
      <c r="DB444" s="11"/>
      <c r="DC444" s="11"/>
      <c r="DD444" s="11"/>
      <c r="DE444" s="11"/>
      <c r="DF444" s="11"/>
      <c r="DG444" s="11"/>
    </row>
    <row r="445" ht="15.75" customHeight="1">
      <c r="CT445" s="11"/>
      <c r="CU445" s="11"/>
      <c r="CV445" s="11"/>
      <c r="CW445" s="11"/>
      <c r="CX445" s="11"/>
      <c r="CY445" s="11"/>
      <c r="CZ445" s="11"/>
      <c r="DA445" s="11"/>
      <c r="DB445" s="11"/>
      <c r="DC445" s="11"/>
      <c r="DD445" s="11"/>
      <c r="DE445" s="11"/>
      <c r="DF445" s="11"/>
      <c r="DG445" s="11"/>
    </row>
    <row r="446" ht="15.75" customHeight="1">
      <c r="CT446" s="11"/>
      <c r="CU446" s="11"/>
      <c r="CV446" s="11"/>
      <c r="CW446" s="11"/>
      <c r="CX446" s="11"/>
      <c r="CY446" s="11"/>
      <c r="CZ446" s="11"/>
      <c r="DA446" s="11"/>
      <c r="DB446" s="11"/>
      <c r="DC446" s="11"/>
      <c r="DD446" s="11"/>
      <c r="DE446" s="11"/>
      <c r="DF446" s="11"/>
      <c r="DG446" s="11"/>
    </row>
    <row r="447" ht="15.75" customHeight="1">
      <c r="CT447" s="11"/>
      <c r="CU447" s="11"/>
      <c r="CV447" s="11"/>
      <c r="CW447" s="11"/>
      <c r="CX447" s="11"/>
      <c r="CY447" s="11"/>
      <c r="CZ447" s="11"/>
      <c r="DA447" s="11"/>
      <c r="DB447" s="11"/>
      <c r="DC447" s="11"/>
      <c r="DD447" s="11"/>
      <c r="DE447" s="11"/>
      <c r="DF447" s="11"/>
      <c r="DG447" s="11"/>
    </row>
    <row r="448" ht="15.75" customHeight="1">
      <c r="CT448" s="11"/>
      <c r="CU448" s="11"/>
      <c r="CV448" s="11"/>
      <c r="CW448" s="11"/>
      <c r="CX448" s="11"/>
      <c r="CY448" s="11"/>
      <c r="CZ448" s="11"/>
      <c r="DA448" s="11"/>
      <c r="DB448" s="11"/>
      <c r="DC448" s="11"/>
      <c r="DD448" s="11"/>
      <c r="DE448" s="11"/>
      <c r="DF448" s="11"/>
      <c r="DG448" s="11"/>
    </row>
    <row r="449" ht="15.75" customHeight="1">
      <c r="CT449" s="11"/>
      <c r="CU449" s="11"/>
      <c r="CV449" s="11"/>
      <c r="CW449" s="11"/>
      <c r="CX449" s="11"/>
      <c r="CY449" s="11"/>
      <c r="CZ449" s="11"/>
      <c r="DA449" s="11"/>
      <c r="DB449" s="11"/>
      <c r="DC449" s="11"/>
      <c r="DD449" s="11"/>
      <c r="DE449" s="11"/>
      <c r="DF449" s="11"/>
      <c r="DG449" s="11"/>
    </row>
    <row r="450" ht="15.75" customHeight="1">
      <c r="CT450" s="11"/>
      <c r="CU450" s="11"/>
      <c r="CV450" s="11"/>
      <c r="CW450" s="11"/>
      <c r="CX450" s="11"/>
      <c r="CY450" s="11"/>
      <c r="CZ450" s="11"/>
      <c r="DA450" s="11"/>
      <c r="DB450" s="11"/>
      <c r="DC450" s="11"/>
      <c r="DD450" s="11"/>
      <c r="DE450" s="11"/>
      <c r="DF450" s="11"/>
      <c r="DG450" s="11"/>
    </row>
    <row r="451" ht="15.75" customHeight="1">
      <c r="CT451" s="11"/>
      <c r="CU451" s="11"/>
      <c r="CV451" s="11"/>
      <c r="CW451" s="11"/>
      <c r="CX451" s="11"/>
      <c r="CY451" s="11"/>
      <c r="CZ451" s="11"/>
      <c r="DA451" s="11"/>
      <c r="DB451" s="11"/>
      <c r="DC451" s="11"/>
      <c r="DD451" s="11"/>
      <c r="DE451" s="11"/>
      <c r="DF451" s="11"/>
      <c r="DG451" s="11"/>
    </row>
    <row r="452" ht="15.75" customHeight="1">
      <c r="CT452" s="11"/>
      <c r="CU452" s="11"/>
      <c r="CV452" s="11"/>
      <c r="CW452" s="11"/>
      <c r="CX452" s="11"/>
      <c r="CY452" s="11"/>
      <c r="CZ452" s="11"/>
      <c r="DA452" s="11"/>
      <c r="DB452" s="11"/>
      <c r="DC452" s="11"/>
      <c r="DD452" s="11"/>
      <c r="DE452" s="11"/>
      <c r="DF452" s="11"/>
      <c r="DG452" s="11"/>
    </row>
    <row r="453" ht="15.75" customHeight="1">
      <c r="CT453" s="11"/>
      <c r="CU453" s="11"/>
      <c r="CV453" s="11"/>
      <c r="CW453" s="11"/>
      <c r="CX453" s="11"/>
      <c r="CY453" s="11"/>
      <c r="CZ453" s="11"/>
      <c r="DA453" s="11"/>
      <c r="DB453" s="11"/>
      <c r="DC453" s="11"/>
      <c r="DD453" s="11"/>
      <c r="DE453" s="11"/>
      <c r="DF453" s="11"/>
      <c r="DG453" s="11"/>
    </row>
    <row r="454" ht="15.75" customHeight="1">
      <c r="CT454" s="11"/>
      <c r="CU454" s="11"/>
      <c r="CV454" s="11"/>
      <c r="CW454" s="11"/>
      <c r="CX454" s="11"/>
      <c r="CY454" s="11"/>
      <c r="CZ454" s="11"/>
      <c r="DA454" s="11"/>
      <c r="DB454" s="11"/>
      <c r="DC454" s="11"/>
      <c r="DD454" s="11"/>
      <c r="DE454" s="11"/>
      <c r="DF454" s="11"/>
      <c r="DG454" s="11"/>
    </row>
    <row r="455" ht="15.75" customHeight="1">
      <c r="CT455" s="11"/>
      <c r="CU455" s="11"/>
      <c r="CV455" s="11"/>
      <c r="CW455" s="11"/>
      <c r="CX455" s="11"/>
      <c r="CY455" s="11"/>
      <c r="CZ455" s="11"/>
      <c r="DA455" s="11"/>
      <c r="DB455" s="11"/>
      <c r="DC455" s="11"/>
      <c r="DD455" s="11"/>
      <c r="DE455" s="11"/>
      <c r="DF455" s="11"/>
      <c r="DG455" s="11"/>
    </row>
    <row r="456" ht="15.75" customHeight="1">
      <c r="CT456" s="11"/>
      <c r="CU456" s="11"/>
      <c r="CV456" s="11"/>
      <c r="CW456" s="11"/>
      <c r="CX456" s="11"/>
      <c r="CY456" s="11"/>
      <c r="CZ456" s="11"/>
      <c r="DA456" s="11"/>
      <c r="DB456" s="11"/>
      <c r="DC456" s="11"/>
      <c r="DD456" s="11"/>
      <c r="DE456" s="11"/>
      <c r="DF456" s="11"/>
      <c r="DG456" s="11"/>
    </row>
    <row r="457" ht="15.75" customHeight="1">
      <c r="CT457" s="11"/>
      <c r="CU457" s="11"/>
      <c r="CV457" s="11"/>
      <c r="CW457" s="11"/>
      <c r="CX457" s="11"/>
      <c r="CY457" s="11"/>
      <c r="CZ457" s="11"/>
      <c r="DA457" s="11"/>
      <c r="DB457" s="11"/>
      <c r="DC457" s="11"/>
      <c r="DD457" s="11"/>
      <c r="DE457" s="11"/>
      <c r="DF457" s="11"/>
      <c r="DG457" s="11"/>
    </row>
    <row r="458" ht="15.75" customHeight="1">
      <c r="CT458" s="11"/>
      <c r="CU458" s="11"/>
      <c r="CV458" s="11"/>
      <c r="CW458" s="11"/>
      <c r="CX458" s="11"/>
      <c r="CY458" s="11"/>
      <c r="CZ458" s="11"/>
      <c r="DA458" s="11"/>
      <c r="DB458" s="11"/>
      <c r="DC458" s="11"/>
      <c r="DD458" s="11"/>
      <c r="DE458" s="11"/>
      <c r="DF458" s="11"/>
      <c r="DG458" s="11"/>
    </row>
    <row r="459" ht="15.75" customHeight="1">
      <c r="CT459" s="11"/>
      <c r="CU459" s="11"/>
      <c r="CV459" s="11"/>
      <c r="CW459" s="11"/>
      <c r="CX459" s="11"/>
      <c r="CY459" s="11"/>
      <c r="CZ459" s="11"/>
      <c r="DA459" s="11"/>
      <c r="DB459" s="11"/>
      <c r="DC459" s="11"/>
      <c r="DD459" s="11"/>
      <c r="DE459" s="11"/>
      <c r="DF459" s="11"/>
      <c r="DG459" s="11"/>
    </row>
    <row r="460" ht="15.75" customHeight="1">
      <c r="CT460" s="11"/>
      <c r="CU460" s="11"/>
      <c r="CV460" s="11"/>
      <c r="CW460" s="11"/>
      <c r="CX460" s="11"/>
      <c r="CY460" s="11"/>
      <c r="CZ460" s="11"/>
      <c r="DA460" s="11"/>
      <c r="DB460" s="11"/>
      <c r="DC460" s="11"/>
      <c r="DD460" s="11"/>
      <c r="DE460" s="11"/>
      <c r="DF460" s="11"/>
      <c r="DG460" s="11"/>
    </row>
    <row r="461" ht="15.75" customHeight="1">
      <c r="CT461" s="11"/>
      <c r="CU461" s="11"/>
      <c r="CV461" s="11"/>
      <c r="CW461" s="11"/>
      <c r="CX461" s="11"/>
      <c r="CY461" s="11"/>
      <c r="CZ461" s="11"/>
      <c r="DA461" s="11"/>
      <c r="DB461" s="11"/>
      <c r="DC461" s="11"/>
      <c r="DD461" s="11"/>
      <c r="DE461" s="11"/>
      <c r="DF461" s="11"/>
      <c r="DG461" s="11"/>
    </row>
    <row r="462" ht="15.75" customHeight="1">
      <c r="CT462" s="11"/>
      <c r="CU462" s="11"/>
      <c r="CV462" s="11"/>
      <c r="CW462" s="11"/>
      <c r="CX462" s="11"/>
      <c r="CY462" s="11"/>
      <c r="CZ462" s="11"/>
      <c r="DA462" s="11"/>
      <c r="DB462" s="11"/>
      <c r="DC462" s="11"/>
      <c r="DD462" s="11"/>
      <c r="DE462" s="11"/>
      <c r="DF462" s="11"/>
      <c r="DG462" s="11"/>
    </row>
    <row r="463" ht="15.75" customHeight="1">
      <c r="CT463" s="11"/>
      <c r="CU463" s="11"/>
      <c r="CV463" s="11"/>
      <c r="CW463" s="11"/>
      <c r="CX463" s="11"/>
      <c r="CY463" s="11"/>
      <c r="CZ463" s="11"/>
      <c r="DA463" s="11"/>
      <c r="DB463" s="11"/>
      <c r="DC463" s="11"/>
      <c r="DD463" s="11"/>
      <c r="DE463" s="11"/>
      <c r="DF463" s="11"/>
      <c r="DG463" s="11"/>
    </row>
    <row r="464" ht="15.75" customHeight="1">
      <c r="CT464" s="11"/>
      <c r="CU464" s="11"/>
      <c r="CV464" s="11"/>
      <c r="CW464" s="11"/>
      <c r="CX464" s="11"/>
      <c r="CY464" s="11"/>
      <c r="CZ464" s="11"/>
      <c r="DA464" s="11"/>
      <c r="DB464" s="11"/>
      <c r="DC464" s="11"/>
      <c r="DD464" s="11"/>
      <c r="DE464" s="11"/>
      <c r="DF464" s="11"/>
      <c r="DG464" s="11"/>
    </row>
    <row r="465" ht="15.75" customHeight="1">
      <c r="CT465" s="11"/>
      <c r="CU465" s="11"/>
      <c r="CV465" s="11"/>
      <c r="CW465" s="11"/>
      <c r="CX465" s="11"/>
      <c r="CY465" s="11"/>
      <c r="CZ465" s="11"/>
      <c r="DA465" s="11"/>
      <c r="DB465" s="11"/>
      <c r="DC465" s="11"/>
      <c r="DD465" s="11"/>
      <c r="DE465" s="11"/>
      <c r="DF465" s="11"/>
      <c r="DG465" s="11"/>
    </row>
    <row r="466" ht="15.75" customHeight="1">
      <c r="CT466" s="11"/>
      <c r="CU466" s="11"/>
      <c r="CV466" s="11"/>
      <c r="CW466" s="11"/>
      <c r="CX466" s="11"/>
      <c r="CY466" s="11"/>
      <c r="CZ466" s="11"/>
      <c r="DA466" s="11"/>
      <c r="DB466" s="11"/>
      <c r="DC466" s="11"/>
      <c r="DD466" s="11"/>
      <c r="DE466" s="11"/>
      <c r="DF466" s="11"/>
      <c r="DG466" s="11"/>
    </row>
    <row r="467" ht="15.75" customHeight="1">
      <c r="CT467" s="11"/>
      <c r="CU467" s="11"/>
      <c r="CV467" s="11"/>
      <c r="CW467" s="11"/>
      <c r="CX467" s="11"/>
      <c r="CY467" s="11"/>
      <c r="CZ467" s="11"/>
      <c r="DA467" s="11"/>
      <c r="DB467" s="11"/>
      <c r="DC467" s="11"/>
      <c r="DD467" s="11"/>
      <c r="DE467" s="11"/>
      <c r="DF467" s="11"/>
      <c r="DG467" s="11"/>
    </row>
    <row r="468" ht="15.75" customHeight="1">
      <c r="CT468" s="11"/>
      <c r="CU468" s="11"/>
      <c r="CV468" s="11"/>
      <c r="CW468" s="11"/>
      <c r="CX468" s="11"/>
      <c r="CY468" s="11"/>
      <c r="CZ468" s="11"/>
      <c r="DA468" s="11"/>
      <c r="DB468" s="11"/>
      <c r="DC468" s="11"/>
      <c r="DD468" s="11"/>
      <c r="DE468" s="11"/>
      <c r="DF468" s="11"/>
      <c r="DG468" s="11"/>
    </row>
    <row r="469" ht="15.75" customHeight="1">
      <c r="CT469" s="11"/>
      <c r="CU469" s="11"/>
      <c r="CV469" s="11"/>
      <c r="CW469" s="11"/>
      <c r="CX469" s="11"/>
      <c r="CY469" s="11"/>
      <c r="CZ469" s="11"/>
      <c r="DA469" s="11"/>
      <c r="DB469" s="11"/>
      <c r="DC469" s="11"/>
      <c r="DD469" s="11"/>
      <c r="DE469" s="11"/>
      <c r="DF469" s="11"/>
      <c r="DG469" s="11"/>
    </row>
    <row r="470" ht="15.75" customHeight="1">
      <c r="CT470" s="11"/>
      <c r="CU470" s="11"/>
      <c r="CV470" s="11"/>
      <c r="CW470" s="11"/>
      <c r="CX470" s="11"/>
      <c r="CY470" s="11"/>
      <c r="CZ470" s="11"/>
      <c r="DA470" s="11"/>
      <c r="DB470" s="11"/>
      <c r="DC470" s="11"/>
      <c r="DD470" s="11"/>
      <c r="DE470" s="11"/>
      <c r="DF470" s="11"/>
      <c r="DG470" s="11"/>
    </row>
    <row r="471" ht="15.75" customHeight="1">
      <c r="CT471" s="11"/>
      <c r="CU471" s="11"/>
      <c r="CV471" s="11"/>
      <c r="CW471" s="11"/>
      <c r="CX471" s="11"/>
      <c r="CY471" s="11"/>
      <c r="CZ471" s="11"/>
      <c r="DA471" s="11"/>
      <c r="DB471" s="11"/>
      <c r="DC471" s="11"/>
      <c r="DD471" s="11"/>
      <c r="DE471" s="11"/>
      <c r="DF471" s="11"/>
      <c r="DG471" s="11"/>
    </row>
    <row r="472" ht="15.75" customHeight="1">
      <c r="CT472" s="11"/>
      <c r="CU472" s="11"/>
      <c r="CV472" s="11"/>
      <c r="CW472" s="11"/>
      <c r="CX472" s="11"/>
      <c r="CY472" s="11"/>
      <c r="CZ472" s="11"/>
      <c r="DA472" s="11"/>
      <c r="DB472" s="11"/>
      <c r="DC472" s="11"/>
      <c r="DD472" s="11"/>
      <c r="DE472" s="11"/>
      <c r="DF472" s="11"/>
      <c r="DG472" s="11"/>
    </row>
    <row r="473" ht="15.75" customHeight="1">
      <c r="CT473" s="11"/>
      <c r="CU473" s="11"/>
      <c r="CV473" s="11"/>
      <c r="CW473" s="11"/>
      <c r="CX473" s="11"/>
      <c r="CY473" s="11"/>
      <c r="CZ473" s="11"/>
      <c r="DA473" s="11"/>
      <c r="DB473" s="11"/>
      <c r="DC473" s="11"/>
      <c r="DD473" s="11"/>
      <c r="DE473" s="11"/>
      <c r="DF473" s="11"/>
      <c r="DG473" s="11"/>
    </row>
    <row r="474" ht="15.75" customHeight="1">
      <c r="CT474" s="11"/>
      <c r="CU474" s="11"/>
      <c r="CV474" s="11"/>
      <c r="CW474" s="11"/>
      <c r="CX474" s="11"/>
      <c r="CY474" s="11"/>
      <c r="CZ474" s="11"/>
      <c r="DA474" s="11"/>
      <c r="DB474" s="11"/>
      <c r="DC474" s="11"/>
      <c r="DD474" s="11"/>
      <c r="DE474" s="11"/>
      <c r="DF474" s="11"/>
      <c r="DG474" s="11"/>
    </row>
    <row r="475" ht="15.75" customHeight="1">
      <c r="CT475" s="11"/>
      <c r="CU475" s="11"/>
      <c r="CV475" s="11"/>
      <c r="CW475" s="11"/>
      <c r="CX475" s="11"/>
      <c r="CY475" s="11"/>
      <c r="CZ475" s="11"/>
      <c r="DA475" s="11"/>
      <c r="DB475" s="11"/>
      <c r="DC475" s="11"/>
      <c r="DD475" s="11"/>
      <c r="DE475" s="11"/>
      <c r="DF475" s="11"/>
      <c r="DG475" s="11"/>
    </row>
    <row r="476" ht="15.75" customHeight="1">
      <c r="CT476" s="11"/>
      <c r="CU476" s="11"/>
      <c r="CV476" s="11"/>
      <c r="CW476" s="11"/>
      <c r="CX476" s="11"/>
      <c r="CY476" s="11"/>
      <c r="CZ476" s="11"/>
      <c r="DA476" s="11"/>
      <c r="DB476" s="11"/>
      <c r="DC476" s="11"/>
      <c r="DD476" s="11"/>
      <c r="DE476" s="11"/>
      <c r="DF476" s="11"/>
      <c r="DG476" s="11"/>
    </row>
    <row r="477" ht="15.75" customHeight="1">
      <c r="CT477" s="11"/>
      <c r="CU477" s="11"/>
      <c r="CV477" s="11"/>
      <c r="CW477" s="11"/>
      <c r="CX477" s="11"/>
      <c r="CY477" s="11"/>
      <c r="CZ477" s="11"/>
      <c r="DA477" s="11"/>
      <c r="DB477" s="11"/>
      <c r="DC477" s="11"/>
      <c r="DD477" s="11"/>
      <c r="DE477" s="11"/>
      <c r="DF477" s="11"/>
      <c r="DG477" s="11"/>
    </row>
    <row r="478" ht="15.75" customHeight="1">
      <c r="CT478" s="11"/>
      <c r="CU478" s="11"/>
      <c r="CV478" s="11"/>
      <c r="CW478" s="11"/>
      <c r="CX478" s="11"/>
      <c r="CY478" s="11"/>
      <c r="CZ478" s="11"/>
      <c r="DA478" s="11"/>
      <c r="DB478" s="11"/>
      <c r="DC478" s="11"/>
      <c r="DD478" s="11"/>
      <c r="DE478" s="11"/>
      <c r="DF478" s="11"/>
      <c r="DG478" s="11"/>
    </row>
    <row r="479" ht="15.75" customHeight="1">
      <c r="CT479" s="11"/>
      <c r="CU479" s="11"/>
      <c r="CV479" s="11"/>
      <c r="CW479" s="11"/>
      <c r="CX479" s="11"/>
      <c r="CY479" s="11"/>
      <c r="CZ479" s="11"/>
      <c r="DA479" s="11"/>
      <c r="DB479" s="11"/>
      <c r="DC479" s="11"/>
      <c r="DD479" s="11"/>
      <c r="DE479" s="11"/>
      <c r="DF479" s="11"/>
      <c r="DG479" s="11"/>
    </row>
    <row r="480" ht="15.75" customHeight="1">
      <c r="CT480" s="11"/>
      <c r="CU480" s="11"/>
      <c r="CV480" s="11"/>
      <c r="CW480" s="11"/>
      <c r="CX480" s="11"/>
      <c r="CY480" s="11"/>
      <c r="CZ480" s="11"/>
      <c r="DA480" s="11"/>
      <c r="DB480" s="11"/>
      <c r="DC480" s="11"/>
      <c r="DD480" s="11"/>
      <c r="DE480" s="11"/>
      <c r="DF480" s="11"/>
      <c r="DG480" s="11"/>
    </row>
    <row r="481" ht="15.75" customHeight="1">
      <c r="CT481" s="11"/>
      <c r="CU481" s="11"/>
      <c r="CV481" s="11"/>
      <c r="CW481" s="11"/>
      <c r="CX481" s="11"/>
      <c r="CY481" s="11"/>
      <c r="CZ481" s="11"/>
      <c r="DA481" s="11"/>
      <c r="DB481" s="11"/>
      <c r="DC481" s="11"/>
      <c r="DD481" s="11"/>
      <c r="DE481" s="11"/>
      <c r="DF481" s="11"/>
      <c r="DG481" s="11"/>
    </row>
    <row r="482" ht="15.75" customHeight="1">
      <c r="CT482" s="11"/>
      <c r="CU482" s="11"/>
      <c r="CV482" s="11"/>
      <c r="CW482" s="11"/>
      <c r="CX482" s="11"/>
      <c r="CY482" s="11"/>
      <c r="CZ482" s="11"/>
      <c r="DA482" s="11"/>
      <c r="DB482" s="11"/>
      <c r="DC482" s="11"/>
      <c r="DD482" s="11"/>
      <c r="DE482" s="11"/>
      <c r="DF482" s="11"/>
      <c r="DG482" s="11"/>
    </row>
    <row r="483" ht="15.75" customHeight="1">
      <c r="CT483" s="11"/>
      <c r="CU483" s="11"/>
      <c r="CV483" s="11"/>
      <c r="CW483" s="11"/>
      <c r="CX483" s="11"/>
      <c r="CY483" s="11"/>
      <c r="CZ483" s="11"/>
      <c r="DA483" s="11"/>
      <c r="DB483" s="11"/>
      <c r="DC483" s="11"/>
      <c r="DD483" s="11"/>
      <c r="DE483" s="11"/>
      <c r="DF483" s="11"/>
      <c r="DG483" s="11"/>
    </row>
    <row r="484" ht="15.75" customHeight="1">
      <c r="CT484" s="11"/>
      <c r="CU484" s="11"/>
      <c r="CV484" s="11"/>
      <c r="CW484" s="11"/>
      <c r="CX484" s="11"/>
      <c r="CY484" s="11"/>
      <c r="CZ484" s="11"/>
      <c r="DA484" s="11"/>
      <c r="DB484" s="11"/>
      <c r="DC484" s="11"/>
      <c r="DD484" s="11"/>
      <c r="DE484" s="11"/>
      <c r="DF484" s="11"/>
      <c r="DG484" s="11"/>
    </row>
    <row r="485" ht="15.75" customHeight="1">
      <c r="CT485" s="11"/>
      <c r="CU485" s="11"/>
      <c r="CV485" s="11"/>
      <c r="CW485" s="11"/>
      <c r="CX485" s="11"/>
      <c r="CY485" s="11"/>
      <c r="CZ485" s="11"/>
      <c r="DA485" s="11"/>
      <c r="DB485" s="11"/>
      <c r="DC485" s="11"/>
      <c r="DD485" s="11"/>
      <c r="DE485" s="11"/>
      <c r="DF485" s="11"/>
      <c r="DG485" s="11"/>
    </row>
    <row r="486" ht="15.75" customHeight="1">
      <c r="CT486" s="11"/>
      <c r="CU486" s="11"/>
      <c r="CV486" s="11"/>
      <c r="CW486" s="11"/>
      <c r="CX486" s="11"/>
      <c r="CY486" s="11"/>
      <c r="CZ486" s="11"/>
      <c r="DA486" s="11"/>
      <c r="DB486" s="11"/>
      <c r="DC486" s="11"/>
      <c r="DD486" s="11"/>
      <c r="DE486" s="11"/>
      <c r="DF486" s="11"/>
      <c r="DG486" s="11"/>
    </row>
    <row r="487" ht="15.75" customHeight="1">
      <c r="CT487" s="11"/>
      <c r="CU487" s="11"/>
      <c r="CV487" s="11"/>
      <c r="CW487" s="11"/>
      <c r="CX487" s="11"/>
      <c r="CY487" s="11"/>
      <c r="CZ487" s="11"/>
      <c r="DA487" s="11"/>
      <c r="DB487" s="11"/>
      <c r="DC487" s="11"/>
      <c r="DD487" s="11"/>
      <c r="DE487" s="11"/>
      <c r="DF487" s="11"/>
      <c r="DG487" s="11"/>
    </row>
    <row r="488" ht="15.75" customHeight="1">
      <c r="CT488" s="11"/>
      <c r="CU488" s="11"/>
      <c r="CV488" s="11"/>
      <c r="CW488" s="11"/>
      <c r="CX488" s="11"/>
      <c r="CY488" s="11"/>
      <c r="CZ488" s="11"/>
      <c r="DA488" s="11"/>
      <c r="DB488" s="11"/>
      <c r="DC488" s="11"/>
      <c r="DD488" s="11"/>
      <c r="DE488" s="11"/>
      <c r="DF488" s="11"/>
      <c r="DG488" s="11"/>
    </row>
    <row r="489" ht="15.75" customHeight="1">
      <c r="CT489" s="11"/>
      <c r="CU489" s="11"/>
      <c r="CV489" s="11"/>
      <c r="CW489" s="11"/>
      <c r="CX489" s="11"/>
      <c r="CY489" s="11"/>
      <c r="CZ489" s="11"/>
      <c r="DA489" s="11"/>
      <c r="DB489" s="11"/>
      <c r="DC489" s="11"/>
      <c r="DD489" s="11"/>
      <c r="DE489" s="11"/>
      <c r="DF489" s="11"/>
      <c r="DG489" s="11"/>
    </row>
    <row r="490" ht="15.75" customHeight="1">
      <c r="CT490" s="11"/>
      <c r="CU490" s="11"/>
      <c r="CV490" s="11"/>
      <c r="CW490" s="11"/>
      <c r="CX490" s="11"/>
      <c r="CY490" s="11"/>
      <c r="CZ490" s="11"/>
      <c r="DA490" s="11"/>
      <c r="DB490" s="11"/>
      <c r="DC490" s="11"/>
      <c r="DD490" s="11"/>
      <c r="DE490" s="11"/>
      <c r="DF490" s="11"/>
      <c r="DG490" s="11"/>
    </row>
    <row r="491" ht="15.75" customHeight="1">
      <c r="CT491" s="11"/>
      <c r="CU491" s="11"/>
      <c r="CV491" s="11"/>
      <c r="CW491" s="11"/>
      <c r="CX491" s="11"/>
      <c r="CY491" s="11"/>
      <c r="CZ491" s="11"/>
      <c r="DA491" s="11"/>
      <c r="DB491" s="11"/>
      <c r="DC491" s="11"/>
      <c r="DD491" s="11"/>
      <c r="DE491" s="11"/>
      <c r="DF491" s="11"/>
      <c r="DG491" s="11"/>
    </row>
    <row r="492" ht="15.75" customHeight="1">
      <c r="CT492" s="11"/>
      <c r="CU492" s="11"/>
      <c r="CV492" s="11"/>
      <c r="CW492" s="11"/>
      <c r="CX492" s="11"/>
      <c r="CY492" s="11"/>
      <c r="CZ492" s="11"/>
      <c r="DA492" s="11"/>
      <c r="DB492" s="11"/>
      <c r="DC492" s="11"/>
      <c r="DD492" s="11"/>
      <c r="DE492" s="11"/>
      <c r="DF492" s="11"/>
      <c r="DG492" s="11"/>
    </row>
    <row r="493" ht="15.75" customHeight="1">
      <c r="CT493" s="11"/>
      <c r="CU493" s="11"/>
      <c r="CV493" s="11"/>
      <c r="CW493" s="11"/>
      <c r="CX493" s="11"/>
      <c r="CY493" s="11"/>
      <c r="CZ493" s="11"/>
      <c r="DA493" s="11"/>
      <c r="DB493" s="11"/>
      <c r="DC493" s="11"/>
      <c r="DD493" s="11"/>
      <c r="DE493" s="11"/>
      <c r="DF493" s="11"/>
      <c r="DG493" s="11"/>
    </row>
    <row r="494" ht="15.75" customHeight="1">
      <c r="CT494" s="11"/>
      <c r="CU494" s="11"/>
      <c r="CV494" s="11"/>
      <c r="CW494" s="11"/>
      <c r="CX494" s="11"/>
      <c r="CY494" s="11"/>
      <c r="CZ494" s="11"/>
      <c r="DA494" s="11"/>
      <c r="DB494" s="11"/>
      <c r="DC494" s="11"/>
      <c r="DD494" s="11"/>
      <c r="DE494" s="11"/>
      <c r="DF494" s="11"/>
      <c r="DG494" s="11"/>
    </row>
    <row r="495" ht="15.75" customHeight="1">
      <c r="CT495" s="11"/>
      <c r="CU495" s="11"/>
      <c r="CV495" s="11"/>
      <c r="CW495" s="11"/>
      <c r="CX495" s="11"/>
      <c r="CY495" s="11"/>
      <c r="CZ495" s="11"/>
      <c r="DA495" s="11"/>
      <c r="DB495" s="11"/>
      <c r="DC495" s="11"/>
      <c r="DD495" s="11"/>
      <c r="DE495" s="11"/>
      <c r="DF495" s="11"/>
      <c r="DG495" s="11"/>
    </row>
    <row r="496" ht="15.75" customHeight="1">
      <c r="CT496" s="11"/>
      <c r="CU496" s="11"/>
      <c r="CV496" s="11"/>
      <c r="CW496" s="11"/>
      <c r="CX496" s="11"/>
      <c r="CY496" s="11"/>
      <c r="CZ496" s="11"/>
      <c r="DA496" s="11"/>
      <c r="DB496" s="11"/>
      <c r="DC496" s="11"/>
      <c r="DD496" s="11"/>
      <c r="DE496" s="11"/>
      <c r="DF496" s="11"/>
      <c r="DG496" s="11"/>
    </row>
    <row r="497" ht="15.75" customHeight="1">
      <c r="CT497" s="11"/>
      <c r="CU497" s="11"/>
      <c r="CV497" s="11"/>
      <c r="CW497" s="11"/>
      <c r="CX497" s="11"/>
      <c r="CY497" s="11"/>
      <c r="CZ497" s="11"/>
      <c r="DA497" s="11"/>
      <c r="DB497" s="11"/>
      <c r="DC497" s="11"/>
      <c r="DD497" s="11"/>
      <c r="DE497" s="11"/>
      <c r="DF497" s="11"/>
      <c r="DG497" s="11"/>
    </row>
    <row r="498" ht="15.75" customHeight="1">
      <c r="CT498" s="11"/>
      <c r="CU498" s="11"/>
      <c r="CV498" s="11"/>
      <c r="CW498" s="11"/>
      <c r="CX498" s="11"/>
      <c r="CY498" s="11"/>
      <c r="CZ498" s="11"/>
      <c r="DA498" s="11"/>
      <c r="DB498" s="11"/>
      <c r="DC498" s="11"/>
      <c r="DD498" s="11"/>
      <c r="DE498" s="11"/>
      <c r="DF498" s="11"/>
      <c r="DG498" s="11"/>
    </row>
    <row r="499" ht="15.75" customHeight="1">
      <c r="CT499" s="11"/>
      <c r="CU499" s="11"/>
      <c r="CV499" s="11"/>
      <c r="CW499" s="11"/>
      <c r="CX499" s="11"/>
      <c r="CY499" s="11"/>
      <c r="CZ499" s="11"/>
      <c r="DA499" s="11"/>
      <c r="DB499" s="11"/>
      <c r="DC499" s="11"/>
      <c r="DD499" s="11"/>
      <c r="DE499" s="11"/>
      <c r="DF499" s="11"/>
      <c r="DG499" s="11"/>
    </row>
    <row r="500" ht="15.75" customHeight="1">
      <c r="CT500" s="11"/>
      <c r="CU500" s="11"/>
      <c r="CV500" s="11"/>
      <c r="CW500" s="11"/>
      <c r="CX500" s="11"/>
      <c r="CY500" s="11"/>
      <c r="CZ500" s="11"/>
      <c r="DA500" s="11"/>
      <c r="DB500" s="11"/>
      <c r="DC500" s="11"/>
      <c r="DD500" s="11"/>
      <c r="DE500" s="11"/>
      <c r="DF500" s="11"/>
      <c r="DG500" s="11"/>
    </row>
    <row r="501" ht="15.75" customHeight="1">
      <c r="CT501" s="11"/>
      <c r="CU501" s="11"/>
      <c r="CV501" s="11"/>
      <c r="CW501" s="11"/>
      <c r="CX501" s="11"/>
      <c r="CY501" s="11"/>
      <c r="CZ501" s="11"/>
      <c r="DA501" s="11"/>
      <c r="DB501" s="11"/>
      <c r="DC501" s="11"/>
      <c r="DD501" s="11"/>
      <c r="DE501" s="11"/>
      <c r="DF501" s="11"/>
      <c r="DG501" s="11"/>
    </row>
    <row r="502" ht="15.75" customHeight="1">
      <c r="CT502" s="11"/>
      <c r="CU502" s="11"/>
      <c r="CV502" s="11"/>
      <c r="CW502" s="11"/>
      <c r="CX502" s="11"/>
      <c r="CY502" s="11"/>
      <c r="CZ502" s="11"/>
      <c r="DA502" s="11"/>
      <c r="DB502" s="11"/>
      <c r="DC502" s="11"/>
      <c r="DD502" s="11"/>
      <c r="DE502" s="11"/>
      <c r="DF502" s="11"/>
      <c r="DG502" s="11"/>
    </row>
    <row r="503" ht="15.75" customHeight="1">
      <c r="CT503" s="11"/>
      <c r="CU503" s="11"/>
      <c r="CV503" s="11"/>
      <c r="CW503" s="11"/>
      <c r="CX503" s="11"/>
      <c r="CY503" s="11"/>
      <c r="CZ503" s="11"/>
      <c r="DA503" s="11"/>
      <c r="DB503" s="11"/>
      <c r="DC503" s="11"/>
      <c r="DD503" s="11"/>
      <c r="DE503" s="11"/>
      <c r="DF503" s="11"/>
      <c r="DG503" s="11"/>
    </row>
    <row r="504" ht="15.75" customHeight="1">
      <c r="CT504" s="11"/>
      <c r="CU504" s="11"/>
      <c r="CV504" s="11"/>
      <c r="CW504" s="11"/>
      <c r="CX504" s="11"/>
      <c r="CY504" s="11"/>
      <c r="CZ504" s="11"/>
      <c r="DA504" s="11"/>
      <c r="DB504" s="11"/>
      <c r="DC504" s="11"/>
      <c r="DD504" s="11"/>
      <c r="DE504" s="11"/>
      <c r="DF504" s="11"/>
      <c r="DG504" s="11"/>
    </row>
    <row r="505" ht="15.75" customHeight="1">
      <c r="CT505" s="11"/>
      <c r="CU505" s="11"/>
      <c r="CV505" s="11"/>
      <c r="CW505" s="11"/>
      <c r="CX505" s="11"/>
      <c r="CY505" s="11"/>
      <c r="CZ505" s="11"/>
      <c r="DA505" s="11"/>
      <c r="DB505" s="11"/>
      <c r="DC505" s="11"/>
      <c r="DD505" s="11"/>
      <c r="DE505" s="11"/>
      <c r="DF505" s="11"/>
      <c r="DG505" s="11"/>
    </row>
    <row r="506" ht="15.75" customHeight="1">
      <c r="CT506" s="11"/>
      <c r="CU506" s="11"/>
      <c r="CV506" s="11"/>
      <c r="CW506" s="11"/>
      <c r="CX506" s="11"/>
      <c r="CY506" s="11"/>
      <c r="CZ506" s="11"/>
      <c r="DA506" s="11"/>
      <c r="DB506" s="11"/>
      <c r="DC506" s="11"/>
      <c r="DD506" s="11"/>
      <c r="DE506" s="11"/>
      <c r="DF506" s="11"/>
      <c r="DG506" s="11"/>
    </row>
    <row r="507" ht="15.75" customHeight="1">
      <c r="CT507" s="11"/>
      <c r="CU507" s="11"/>
      <c r="CV507" s="11"/>
      <c r="CW507" s="11"/>
      <c r="CX507" s="11"/>
      <c r="CY507" s="11"/>
      <c r="CZ507" s="11"/>
      <c r="DA507" s="11"/>
      <c r="DB507" s="11"/>
      <c r="DC507" s="11"/>
      <c r="DD507" s="11"/>
      <c r="DE507" s="11"/>
      <c r="DF507" s="11"/>
      <c r="DG507" s="11"/>
    </row>
    <row r="508" ht="15.75" customHeight="1">
      <c r="CT508" s="11"/>
      <c r="CU508" s="11"/>
      <c r="CV508" s="11"/>
      <c r="CW508" s="11"/>
      <c r="CX508" s="11"/>
      <c r="CY508" s="11"/>
      <c r="CZ508" s="11"/>
      <c r="DA508" s="11"/>
      <c r="DB508" s="11"/>
      <c r="DC508" s="11"/>
      <c r="DD508" s="11"/>
      <c r="DE508" s="11"/>
      <c r="DF508" s="11"/>
      <c r="DG508" s="11"/>
    </row>
    <row r="509" ht="15.75" customHeight="1">
      <c r="CT509" s="11"/>
      <c r="CU509" s="11"/>
      <c r="CV509" s="11"/>
      <c r="CW509" s="11"/>
      <c r="CX509" s="11"/>
      <c r="CY509" s="11"/>
      <c r="CZ509" s="11"/>
      <c r="DA509" s="11"/>
      <c r="DB509" s="11"/>
      <c r="DC509" s="11"/>
      <c r="DD509" s="11"/>
      <c r="DE509" s="11"/>
      <c r="DF509" s="11"/>
      <c r="DG509" s="11"/>
    </row>
    <row r="510" ht="15.75" customHeight="1">
      <c r="CT510" s="11"/>
      <c r="CU510" s="11"/>
      <c r="CV510" s="11"/>
      <c r="CW510" s="11"/>
      <c r="CX510" s="11"/>
      <c r="CY510" s="11"/>
      <c r="CZ510" s="11"/>
      <c r="DA510" s="11"/>
      <c r="DB510" s="11"/>
      <c r="DC510" s="11"/>
      <c r="DD510" s="11"/>
      <c r="DE510" s="11"/>
      <c r="DF510" s="11"/>
      <c r="DG510" s="11"/>
    </row>
    <row r="511" ht="15.75" customHeight="1">
      <c r="CT511" s="11"/>
      <c r="CU511" s="11"/>
      <c r="CV511" s="11"/>
      <c r="CW511" s="11"/>
      <c r="CX511" s="11"/>
      <c r="CY511" s="11"/>
      <c r="CZ511" s="11"/>
      <c r="DA511" s="11"/>
      <c r="DB511" s="11"/>
      <c r="DC511" s="11"/>
      <c r="DD511" s="11"/>
      <c r="DE511" s="11"/>
      <c r="DF511" s="11"/>
      <c r="DG511" s="11"/>
    </row>
    <row r="512" ht="15.75" customHeight="1">
      <c r="CT512" s="11"/>
      <c r="CU512" s="11"/>
      <c r="CV512" s="11"/>
      <c r="CW512" s="11"/>
      <c r="CX512" s="11"/>
      <c r="CY512" s="11"/>
      <c r="CZ512" s="11"/>
      <c r="DA512" s="11"/>
      <c r="DB512" s="11"/>
      <c r="DC512" s="11"/>
      <c r="DD512" s="11"/>
      <c r="DE512" s="11"/>
      <c r="DF512" s="11"/>
      <c r="DG512" s="11"/>
    </row>
    <row r="513" ht="15.75" customHeight="1">
      <c r="CT513" s="11"/>
      <c r="CU513" s="11"/>
      <c r="CV513" s="11"/>
      <c r="CW513" s="11"/>
      <c r="CX513" s="11"/>
      <c r="CY513" s="11"/>
      <c r="CZ513" s="11"/>
      <c r="DA513" s="11"/>
      <c r="DB513" s="11"/>
      <c r="DC513" s="11"/>
      <c r="DD513" s="11"/>
      <c r="DE513" s="11"/>
      <c r="DF513" s="11"/>
      <c r="DG513" s="11"/>
    </row>
    <row r="514" ht="15.75" customHeight="1">
      <c r="CT514" s="11"/>
      <c r="CU514" s="11"/>
      <c r="CV514" s="11"/>
      <c r="CW514" s="11"/>
      <c r="CX514" s="11"/>
      <c r="CY514" s="11"/>
      <c r="CZ514" s="11"/>
      <c r="DA514" s="11"/>
      <c r="DB514" s="11"/>
      <c r="DC514" s="11"/>
      <c r="DD514" s="11"/>
      <c r="DE514" s="11"/>
      <c r="DF514" s="11"/>
      <c r="DG514" s="11"/>
    </row>
    <row r="515" ht="15.75" customHeight="1">
      <c r="CT515" s="11"/>
      <c r="CU515" s="11"/>
      <c r="CV515" s="11"/>
      <c r="CW515" s="11"/>
      <c r="CX515" s="11"/>
      <c r="CY515" s="11"/>
      <c r="CZ515" s="11"/>
      <c r="DA515" s="11"/>
      <c r="DB515" s="11"/>
      <c r="DC515" s="11"/>
      <c r="DD515" s="11"/>
      <c r="DE515" s="11"/>
      <c r="DF515" s="11"/>
      <c r="DG515" s="11"/>
    </row>
    <row r="516" ht="15.75" customHeight="1">
      <c r="CT516" s="11"/>
      <c r="CU516" s="11"/>
      <c r="CV516" s="11"/>
      <c r="CW516" s="11"/>
      <c r="CX516" s="11"/>
      <c r="CY516" s="11"/>
      <c r="CZ516" s="11"/>
      <c r="DA516" s="11"/>
      <c r="DB516" s="11"/>
      <c r="DC516" s="11"/>
      <c r="DD516" s="11"/>
      <c r="DE516" s="11"/>
      <c r="DF516" s="11"/>
      <c r="DG516" s="11"/>
    </row>
    <row r="517" ht="15.75" customHeight="1">
      <c r="CT517" s="11"/>
      <c r="CU517" s="11"/>
      <c r="CV517" s="11"/>
      <c r="CW517" s="11"/>
      <c r="CX517" s="11"/>
      <c r="CY517" s="11"/>
      <c r="CZ517" s="11"/>
      <c r="DA517" s="11"/>
      <c r="DB517" s="11"/>
      <c r="DC517" s="11"/>
      <c r="DD517" s="11"/>
      <c r="DE517" s="11"/>
      <c r="DF517" s="11"/>
      <c r="DG517" s="11"/>
    </row>
    <row r="518" ht="15.75" customHeight="1">
      <c r="CT518" s="11"/>
      <c r="CU518" s="11"/>
      <c r="CV518" s="11"/>
      <c r="CW518" s="11"/>
      <c r="CX518" s="11"/>
      <c r="CY518" s="11"/>
      <c r="CZ518" s="11"/>
      <c r="DA518" s="11"/>
      <c r="DB518" s="11"/>
      <c r="DC518" s="11"/>
      <c r="DD518" s="11"/>
      <c r="DE518" s="11"/>
      <c r="DF518" s="11"/>
      <c r="DG518" s="11"/>
    </row>
    <row r="519" ht="15.75" customHeight="1">
      <c r="CT519" s="11"/>
      <c r="CU519" s="11"/>
      <c r="CV519" s="11"/>
      <c r="CW519" s="11"/>
      <c r="CX519" s="11"/>
      <c r="CY519" s="11"/>
      <c r="CZ519" s="11"/>
      <c r="DA519" s="11"/>
      <c r="DB519" s="11"/>
      <c r="DC519" s="11"/>
      <c r="DD519" s="11"/>
      <c r="DE519" s="11"/>
      <c r="DF519" s="11"/>
      <c r="DG519" s="11"/>
    </row>
    <row r="520" ht="15.75" customHeight="1">
      <c r="CT520" s="11"/>
      <c r="CU520" s="11"/>
      <c r="CV520" s="11"/>
      <c r="CW520" s="11"/>
      <c r="CX520" s="11"/>
      <c r="CY520" s="11"/>
      <c r="CZ520" s="11"/>
      <c r="DA520" s="11"/>
      <c r="DB520" s="11"/>
      <c r="DC520" s="11"/>
      <c r="DD520" s="11"/>
      <c r="DE520" s="11"/>
      <c r="DF520" s="11"/>
      <c r="DG520" s="11"/>
    </row>
    <row r="521" ht="15.75" customHeight="1">
      <c r="CT521" s="11"/>
      <c r="CU521" s="11"/>
      <c r="CV521" s="11"/>
      <c r="CW521" s="11"/>
      <c r="CX521" s="11"/>
      <c r="CY521" s="11"/>
      <c r="CZ521" s="11"/>
      <c r="DA521" s="11"/>
      <c r="DB521" s="11"/>
      <c r="DC521" s="11"/>
      <c r="DD521" s="11"/>
      <c r="DE521" s="11"/>
      <c r="DF521" s="11"/>
      <c r="DG521" s="11"/>
    </row>
    <row r="522" ht="15.75" customHeight="1">
      <c r="CT522" s="11"/>
      <c r="CU522" s="11"/>
      <c r="CV522" s="11"/>
      <c r="CW522" s="11"/>
      <c r="CX522" s="11"/>
      <c r="CY522" s="11"/>
      <c r="CZ522" s="11"/>
      <c r="DA522" s="11"/>
      <c r="DB522" s="11"/>
      <c r="DC522" s="11"/>
      <c r="DD522" s="11"/>
      <c r="DE522" s="11"/>
      <c r="DF522" s="11"/>
      <c r="DG522" s="11"/>
    </row>
    <row r="523" ht="15.75" customHeight="1">
      <c r="CT523" s="11"/>
      <c r="CU523" s="11"/>
      <c r="CV523" s="11"/>
      <c r="CW523" s="11"/>
      <c r="CX523" s="11"/>
      <c r="CY523" s="11"/>
      <c r="CZ523" s="11"/>
      <c r="DA523" s="11"/>
      <c r="DB523" s="11"/>
      <c r="DC523" s="11"/>
      <c r="DD523" s="11"/>
      <c r="DE523" s="11"/>
      <c r="DF523" s="11"/>
      <c r="DG523" s="11"/>
    </row>
    <row r="524" ht="15.75" customHeight="1">
      <c r="CT524" s="11"/>
      <c r="CU524" s="11"/>
      <c r="CV524" s="11"/>
      <c r="CW524" s="11"/>
      <c r="CX524" s="11"/>
      <c r="CY524" s="11"/>
      <c r="CZ524" s="11"/>
      <c r="DA524" s="11"/>
      <c r="DB524" s="11"/>
      <c r="DC524" s="11"/>
      <c r="DD524" s="11"/>
      <c r="DE524" s="11"/>
      <c r="DF524" s="11"/>
      <c r="DG524" s="11"/>
    </row>
    <row r="525" ht="15.75" customHeight="1">
      <c r="CT525" s="11"/>
      <c r="CU525" s="11"/>
      <c r="CV525" s="11"/>
      <c r="CW525" s="11"/>
      <c r="CX525" s="11"/>
      <c r="CY525" s="11"/>
      <c r="CZ525" s="11"/>
      <c r="DA525" s="11"/>
      <c r="DB525" s="11"/>
      <c r="DC525" s="11"/>
      <c r="DD525" s="11"/>
      <c r="DE525" s="11"/>
      <c r="DF525" s="11"/>
      <c r="DG525" s="11"/>
    </row>
    <row r="526" ht="15.75" customHeight="1">
      <c r="CT526" s="11"/>
      <c r="CU526" s="11"/>
      <c r="CV526" s="11"/>
      <c r="CW526" s="11"/>
      <c r="CX526" s="11"/>
      <c r="CY526" s="11"/>
      <c r="CZ526" s="11"/>
      <c r="DA526" s="11"/>
      <c r="DB526" s="11"/>
      <c r="DC526" s="11"/>
      <c r="DD526" s="11"/>
      <c r="DE526" s="11"/>
      <c r="DF526" s="11"/>
      <c r="DG526" s="11"/>
    </row>
    <row r="527" ht="15.75" customHeight="1">
      <c r="CT527" s="11"/>
      <c r="CU527" s="11"/>
      <c r="CV527" s="11"/>
      <c r="CW527" s="11"/>
      <c r="CX527" s="11"/>
      <c r="CY527" s="11"/>
      <c r="CZ527" s="11"/>
      <c r="DA527" s="11"/>
      <c r="DB527" s="11"/>
      <c r="DC527" s="11"/>
      <c r="DD527" s="11"/>
      <c r="DE527" s="11"/>
      <c r="DF527" s="11"/>
      <c r="DG527" s="11"/>
    </row>
    <row r="528" ht="15.75" customHeight="1">
      <c r="CT528" s="11"/>
      <c r="CU528" s="11"/>
      <c r="CV528" s="11"/>
      <c r="CW528" s="11"/>
      <c r="CX528" s="11"/>
      <c r="CY528" s="11"/>
      <c r="CZ528" s="11"/>
      <c r="DA528" s="11"/>
      <c r="DB528" s="11"/>
      <c r="DC528" s="11"/>
      <c r="DD528" s="11"/>
      <c r="DE528" s="11"/>
      <c r="DF528" s="11"/>
      <c r="DG528" s="11"/>
    </row>
    <row r="529" ht="15.75" customHeight="1">
      <c r="CT529" s="11"/>
      <c r="CU529" s="11"/>
      <c r="CV529" s="11"/>
      <c r="CW529" s="11"/>
      <c r="CX529" s="11"/>
      <c r="CY529" s="11"/>
      <c r="CZ529" s="11"/>
      <c r="DA529" s="11"/>
      <c r="DB529" s="11"/>
      <c r="DC529" s="11"/>
      <c r="DD529" s="11"/>
      <c r="DE529" s="11"/>
      <c r="DF529" s="11"/>
      <c r="DG529" s="11"/>
    </row>
    <row r="530" ht="15.75" customHeight="1">
      <c r="CT530" s="11"/>
      <c r="CU530" s="11"/>
      <c r="CV530" s="11"/>
      <c r="CW530" s="11"/>
      <c r="CX530" s="11"/>
      <c r="CY530" s="11"/>
      <c r="CZ530" s="11"/>
      <c r="DA530" s="11"/>
      <c r="DB530" s="11"/>
      <c r="DC530" s="11"/>
      <c r="DD530" s="11"/>
      <c r="DE530" s="11"/>
      <c r="DF530" s="11"/>
      <c r="DG530" s="11"/>
    </row>
    <row r="531" ht="15.75" customHeight="1">
      <c r="CT531" s="11"/>
      <c r="CU531" s="11"/>
      <c r="CV531" s="11"/>
      <c r="CW531" s="11"/>
      <c r="CX531" s="11"/>
      <c r="CY531" s="11"/>
      <c r="CZ531" s="11"/>
      <c r="DA531" s="11"/>
      <c r="DB531" s="11"/>
      <c r="DC531" s="11"/>
      <c r="DD531" s="11"/>
      <c r="DE531" s="11"/>
      <c r="DF531" s="11"/>
      <c r="DG531" s="11"/>
    </row>
    <row r="532" ht="15.75" customHeight="1">
      <c r="CT532" s="11"/>
      <c r="CU532" s="11"/>
      <c r="CV532" s="11"/>
      <c r="CW532" s="11"/>
      <c r="CX532" s="11"/>
      <c r="CY532" s="11"/>
      <c r="CZ532" s="11"/>
      <c r="DA532" s="11"/>
      <c r="DB532" s="11"/>
      <c r="DC532" s="11"/>
      <c r="DD532" s="11"/>
      <c r="DE532" s="11"/>
      <c r="DF532" s="11"/>
      <c r="DG532" s="11"/>
    </row>
    <row r="533" ht="15.75" customHeight="1">
      <c r="CT533" s="11"/>
      <c r="CU533" s="11"/>
      <c r="CV533" s="11"/>
      <c r="CW533" s="11"/>
      <c r="CX533" s="11"/>
      <c r="CY533" s="11"/>
      <c r="CZ533" s="11"/>
      <c r="DA533" s="11"/>
      <c r="DB533" s="11"/>
      <c r="DC533" s="11"/>
      <c r="DD533" s="11"/>
      <c r="DE533" s="11"/>
      <c r="DF533" s="11"/>
      <c r="DG533" s="11"/>
    </row>
    <row r="534" ht="15.75" customHeight="1">
      <c r="CT534" s="11"/>
      <c r="CU534" s="11"/>
      <c r="CV534" s="11"/>
      <c r="CW534" s="11"/>
      <c r="CX534" s="11"/>
      <c r="CY534" s="11"/>
      <c r="CZ534" s="11"/>
      <c r="DA534" s="11"/>
      <c r="DB534" s="11"/>
      <c r="DC534" s="11"/>
      <c r="DD534" s="11"/>
      <c r="DE534" s="11"/>
      <c r="DF534" s="11"/>
      <c r="DG534" s="11"/>
    </row>
    <row r="535" ht="15.75" customHeight="1">
      <c r="CT535" s="11"/>
      <c r="CU535" s="11"/>
      <c r="CV535" s="11"/>
      <c r="CW535" s="11"/>
      <c r="CX535" s="11"/>
      <c r="CY535" s="11"/>
      <c r="CZ535" s="11"/>
      <c r="DA535" s="11"/>
      <c r="DB535" s="11"/>
      <c r="DC535" s="11"/>
      <c r="DD535" s="11"/>
      <c r="DE535" s="11"/>
      <c r="DF535" s="11"/>
      <c r="DG535" s="11"/>
    </row>
    <row r="536" ht="15.75" customHeight="1">
      <c r="CT536" s="11"/>
      <c r="CU536" s="11"/>
      <c r="CV536" s="11"/>
      <c r="CW536" s="11"/>
      <c r="CX536" s="11"/>
      <c r="CY536" s="11"/>
      <c r="CZ536" s="11"/>
      <c r="DA536" s="11"/>
      <c r="DB536" s="11"/>
      <c r="DC536" s="11"/>
      <c r="DD536" s="11"/>
      <c r="DE536" s="11"/>
      <c r="DF536" s="11"/>
      <c r="DG536" s="11"/>
    </row>
    <row r="537" ht="15.75" customHeight="1">
      <c r="CT537" s="11"/>
      <c r="CU537" s="11"/>
      <c r="CV537" s="11"/>
      <c r="CW537" s="11"/>
      <c r="CX537" s="11"/>
      <c r="CY537" s="11"/>
      <c r="CZ537" s="11"/>
      <c r="DA537" s="11"/>
      <c r="DB537" s="11"/>
      <c r="DC537" s="11"/>
      <c r="DD537" s="11"/>
      <c r="DE537" s="11"/>
      <c r="DF537" s="11"/>
      <c r="DG537" s="11"/>
    </row>
    <row r="538" ht="15.75" customHeight="1">
      <c r="CT538" s="11"/>
      <c r="CU538" s="11"/>
      <c r="CV538" s="11"/>
      <c r="CW538" s="11"/>
      <c r="CX538" s="11"/>
      <c r="CY538" s="11"/>
      <c r="CZ538" s="11"/>
      <c r="DA538" s="11"/>
      <c r="DB538" s="11"/>
      <c r="DC538" s="11"/>
      <c r="DD538" s="11"/>
      <c r="DE538" s="11"/>
      <c r="DF538" s="11"/>
      <c r="DG538" s="11"/>
    </row>
    <row r="539" ht="15.75" customHeight="1">
      <c r="CT539" s="11"/>
      <c r="CU539" s="11"/>
      <c r="CV539" s="11"/>
      <c r="CW539" s="11"/>
      <c r="CX539" s="11"/>
      <c r="CY539" s="11"/>
      <c r="CZ539" s="11"/>
      <c r="DA539" s="11"/>
      <c r="DB539" s="11"/>
      <c r="DC539" s="11"/>
      <c r="DD539" s="11"/>
      <c r="DE539" s="11"/>
      <c r="DF539" s="11"/>
      <c r="DG539" s="11"/>
    </row>
    <row r="540" ht="15.75" customHeight="1">
      <c r="CT540" s="11"/>
      <c r="CU540" s="11"/>
      <c r="CV540" s="11"/>
      <c r="CW540" s="11"/>
      <c r="CX540" s="11"/>
      <c r="CY540" s="11"/>
      <c r="CZ540" s="11"/>
      <c r="DA540" s="11"/>
      <c r="DB540" s="11"/>
      <c r="DC540" s="11"/>
      <c r="DD540" s="11"/>
      <c r="DE540" s="11"/>
      <c r="DF540" s="11"/>
      <c r="DG540" s="11"/>
    </row>
    <row r="541" ht="15.75" customHeight="1">
      <c r="CT541" s="11"/>
      <c r="CU541" s="11"/>
      <c r="CV541" s="11"/>
      <c r="CW541" s="11"/>
      <c r="CX541" s="11"/>
      <c r="CY541" s="11"/>
      <c r="CZ541" s="11"/>
      <c r="DA541" s="11"/>
      <c r="DB541" s="11"/>
      <c r="DC541" s="11"/>
      <c r="DD541" s="11"/>
      <c r="DE541" s="11"/>
      <c r="DF541" s="11"/>
      <c r="DG541" s="11"/>
    </row>
    <row r="542" ht="15.75" customHeight="1">
      <c r="CT542" s="11"/>
      <c r="CU542" s="11"/>
      <c r="CV542" s="11"/>
      <c r="CW542" s="11"/>
      <c r="CX542" s="11"/>
      <c r="CY542" s="11"/>
      <c r="CZ542" s="11"/>
      <c r="DA542" s="11"/>
      <c r="DB542" s="11"/>
      <c r="DC542" s="11"/>
      <c r="DD542" s="11"/>
      <c r="DE542" s="11"/>
      <c r="DF542" s="11"/>
      <c r="DG542" s="11"/>
    </row>
    <row r="543" ht="15.75" customHeight="1">
      <c r="CT543" s="11"/>
      <c r="CU543" s="11"/>
      <c r="CV543" s="11"/>
      <c r="CW543" s="11"/>
      <c r="CX543" s="11"/>
      <c r="CY543" s="11"/>
      <c r="CZ543" s="11"/>
      <c r="DA543" s="11"/>
      <c r="DB543" s="11"/>
      <c r="DC543" s="11"/>
      <c r="DD543" s="11"/>
      <c r="DE543" s="11"/>
      <c r="DF543" s="11"/>
      <c r="DG543" s="11"/>
    </row>
    <row r="544" ht="15.75" customHeight="1">
      <c r="CT544" s="11"/>
      <c r="CU544" s="11"/>
      <c r="CV544" s="11"/>
      <c r="CW544" s="11"/>
      <c r="CX544" s="11"/>
      <c r="CY544" s="11"/>
      <c r="CZ544" s="11"/>
      <c r="DA544" s="11"/>
      <c r="DB544" s="11"/>
      <c r="DC544" s="11"/>
      <c r="DD544" s="11"/>
      <c r="DE544" s="11"/>
      <c r="DF544" s="11"/>
      <c r="DG544" s="11"/>
    </row>
    <row r="545" ht="15.75" customHeight="1">
      <c r="CT545" s="11"/>
      <c r="CU545" s="11"/>
      <c r="CV545" s="11"/>
      <c r="CW545" s="11"/>
      <c r="CX545" s="11"/>
      <c r="CY545" s="11"/>
      <c r="CZ545" s="11"/>
      <c r="DA545" s="11"/>
      <c r="DB545" s="11"/>
      <c r="DC545" s="11"/>
      <c r="DD545" s="11"/>
      <c r="DE545" s="11"/>
      <c r="DF545" s="11"/>
      <c r="DG545" s="11"/>
    </row>
    <row r="546" ht="15.75" customHeight="1">
      <c r="CT546" s="11"/>
      <c r="CU546" s="11"/>
      <c r="CV546" s="11"/>
      <c r="CW546" s="11"/>
      <c r="CX546" s="11"/>
      <c r="CY546" s="11"/>
      <c r="CZ546" s="11"/>
      <c r="DA546" s="11"/>
      <c r="DB546" s="11"/>
      <c r="DC546" s="11"/>
      <c r="DD546" s="11"/>
      <c r="DE546" s="11"/>
      <c r="DF546" s="11"/>
      <c r="DG546" s="11"/>
    </row>
    <row r="547" ht="15.75" customHeight="1">
      <c r="CT547" s="11"/>
      <c r="CU547" s="11"/>
      <c r="CV547" s="11"/>
      <c r="CW547" s="11"/>
      <c r="CX547" s="11"/>
      <c r="CY547" s="11"/>
      <c r="CZ547" s="11"/>
      <c r="DA547" s="11"/>
      <c r="DB547" s="11"/>
      <c r="DC547" s="11"/>
      <c r="DD547" s="11"/>
      <c r="DE547" s="11"/>
      <c r="DF547" s="11"/>
      <c r="DG547" s="11"/>
    </row>
    <row r="548" ht="15.75" customHeight="1">
      <c r="CT548" s="11"/>
      <c r="CU548" s="11"/>
      <c r="CV548" s="11"/>
      <c r="CW548" s="11"/>
      <c r="CX548" s="11"/>
      <c r="CY548" s="11"/>
      <c r="CZ548" s="11"/>
      <c r="DA548" s="11"/>
      <c r="DB548" s="11"/>
      <c r="DC548" s="11"/>
      <c r="DD548" s="11"/>
      <c r="DE548" s="11"/>
      <c r="DF548" s="11"/>
      <c r="DG548" s="11"/>
    </row>
    <row r="549" ht="15.75" customHeight="1">
      <c r="CT549" s="11"/>
      <c r="CU549" s="11"/>
      <c r="CV549" s="11"/>
      <c r="CW549" s="11"/>
      <c r="CX549" s="11"/>
      <c r="CY549" s="11"/>
      <c r="CZ549" s="11"/>
      <c r="DA549" s="11"/>
      <c r="DB549" s="11"/>
      <c r="DC549" s="11"/>
      <c r="DD549" s="11"/>
      <c r="DE549" s="11"/>
      <c r="DF549" s="11"/>
      <c r="DG549" s="11"/>
    </row>
    <row r="550" ht="15.75" customHeight="1">
      <c r="CT550" s="11"/>
      <c r="CU550" s="11"/>
      <c r="CV550" s="11"/>
      <c r="CW550" s="11"/>
      <c r="CX550" s="11"/>
      <c r="CY550" s="11"/>
      <c r="CZ550" s="11"/>
      <c r="DA550" s="11"/>
      <c r="DB550" s="11"/>
      <c r="DC550" s="11"/>
      <c r="DD550" s="11"/>
      <c r="DE550" s="11"/>
      <c r="DF550" s="11"/>
      <c r="DG550" s="11"/>
    </row>
    <row r="551" ht="15.75" customHeight="1">
      <c r="CT551" s="11"/>
      <c r="CU551" s="11"/>
      <c r="CV551" s="11"/>
      <c r="CW551" s="11"/>
      <c r="CX551" s="11"/>
      <c r="CY551" s="11"/>
      <c r="CZ551" s="11"/>
      <c r="DA551" s="11"/>
      <c r="DB551" s="11"/>
      <c r="DC551" s="11"/>
      <c r="DD551" s="11"/>
      <c r="DE551" s="11"/>
      <c r="DF551" s="11"/>
      <c r="DG551" s="11"/>
    </row>
    <row r="552" ht="15.75" customHeight="1">
      <c r="CT552" s="11"/>
      <c r="CU552" s="11"/>
      <c r="CV552" s="11"/>
      <c r="CW552" s="11"/>
      <c r="CX552" s="11"/>
      <c r="CY552" s="11"/>
      <c r="CZ552" s="11"/>
      <c r="DA552" s="11"/>
      <c r="DB552" s="11"/>
      <c r="DC552" s="11"/>
      <c r="DD552" s="11"/>
      <c r="DE552" s="11"/>
      <c r="DF552" s="11"/>
      <c r="DG552" s="11"/>
    </row>
    <row r="553" ht="15.75" customHeight="1">
      <c r="CT553" s="11"/>
      <c r="CU553" s="11"/>
      <c r="CV553" s="11"/>
      <c r="CW553" s="11"/>
      <c r="CX553" s="11"/>
      <c r="CY553" s="11"/>
      <c r="CZ553" s="11"/>
      <c r="DA553" s="11"/>
      <c r="DB553" s="11"/>
      <c r="DC553" s="11"/>
      <c r="DD553" s="11"/>
      <c r="DE553" s="11"/>
      <c r="DF553" s="11"/>
      <c r="DG553" s="11"/>
    </row>
    <row r="554" ht="15.75" customHeight="1">
      <c r="CT554" s="11"/>
      <c r="CU554" s="11"/>
      <c r="CV554" s="11"/>
      <c r="CW554" s="11"/>
      <c r="CX554" s="11"/>
      <c r="CY554" s="11"/>
      <c r="CZ554" s="11"/>
      <c r="DA554" s="11"/>
      <c r="DB554" s="11"/>
      <c r="DC554" s="11"/>
      <c r="DD554" s="11"/>
      <c r="DE554" s="11"/>
      <c r="DF554" s="11"/>
      <c r="DG554" s="11"/>
    </row>
    <row r="555" ht="15.75" customHeight="1">
      <c r="CT555" s="11"/>
      <c r="CU555" s="11"/>
      <c r="CV555" s="11"/>
      <c r="CW555" s="11"/>
      <c r="CX555" s="11"/>
      <c r="CY555" s="11"/>
      <c r="CZ555" s="11"/>
      <c r="DA555" s="11"/>
      <c r="DB555" s="11"/>
      <c r="DC555" s="11"/>
      <c r="DD555" s="11"/>
      <c r="DE555" s="11"/>
      <c r="DF555" s="11"/>
      <c r="DG555" s="11"/>
    </row>
    <row r="556" ht="15.75" customHeight="1">
      <c r="CT556" s="11"/>
      <c r="CU556" s="11"/>
      <c r="CV556" s="11"/>
      <c r="CW556" s="11"/>
      <c r="CX556" s="11"/>
      <c r="CY556" s="11"/>
      <c r="CZ556" s="11"/>
      <c r="DA556" s="11"/>
      <c r="DB556" s="11"/>
      <c r="DC556" s="11"/>
      <c r="DD556" s="11"/>
      <c r="DE556" s="11"/>
      <c r="DF556" s="11"/>
      <c r="DG556" s="11"/>
    </row>
    <row r="557" ht="15.75" customHeight="1">
      <c r="CT557" s="11"/>
      <c r="CU557" s="11"/>
      <c r="CV557" s="11"/>
      <c r="CW557" s="11"/>
      <c r="CX557" s="11"/>
      <c r="CY557" s="11"/>
      <c r="CZ557" s="11"/>
      <c r="DA557" s="11"/>
      <c r="DB557" s="11"/>
      <c r="DC557" s="11"/>
      <c r="DD557" s="11"/>
      <c r="DE557" s="11"/>
      <c r="DF557" s="11"/>
      <c r="DG557" s="11"/>
    </row>
    <row r="558" ht="15.75" customHeight="1">
      <c r="CT558" s="11"/>
      <c r="CU558" s="11"/>
      <c r="CV558" s="11"/>
      <c r="CW558" s="11"/>
      <c r="CX558" s="11"/>
      <c r="CY558" s="11"/>
      <c r="CZ558" s="11"/>
      <c r="DA558" s="11"/>
      <c r="DB558" s="11"/>
      <c r="DC558" s="11"/>
      <c r="DD558" s="11"/>
      <c r="DE558" s="11"/>
      <c r="DF558" s="11"/>
      <c r="DG558" s="11"/>
    </row>
    <row r="559" ht="15.75" customHeight="1">
      <c r="CT559" s="11"/>
      <c r="CU559" s="11"/>
      <c r="CV559" s="11"/>
      <c r="CW559" s="11"/>
      <c r="CX559" s="11"/>
      <c r="CY559" s="11"/>
      <c r="CZ559" s="11"/>
      <c r="DA559" s="11"/>
      <c r="DB559" s="11"/>
      <c r="DC559" s="11"/>
      <c r="DD559" s="11"/>
      <c r="DE559" s="11"/>
      <c r="DF559" s="11"/>
      <c r="DG559" s="11"/>
    </row>
    <row r="560" ht="15.75" customHeight="1">
      <c r="CT560" s="11"/>
      <c r="CU560" s="11"/>
      <c r="CV560" s="11"/>
      <c r="CW560" s="11"/>
      <c r="CX560" s="11"/>
      <c r="CY560" s="11"/>
      <c r="CZ560" s="11"/>
      <c r="DA560" s="11"/>
      <c r="DB560" s="11"/>
      <c r="DC560" s="11"/>
      <c r="DD560" s="11"/>
      <c r="DE560" s="11"/>
      <c r="DF560" s="11"/>
      <c r="DG560" s="11"/>
    </row>
    <row r="561" ht="15.75" customHeight="1">
      <c r="CT561" s="11"/>
      <c r="CU561" s="11"/>
      <c r="CV561" s="11"/>
      <c r="CW561" s="11"/>
      <c r="CX561" s="11"/>
      <c r="CY561" s="11"/>
      <c r="CZ561" s="11"/>
      <c r="DA561" s="11"/>
      <c r="DB561" s="11"/>
      <c r="DC561" s="11"/>
      <c r="DD561" s="11"/>
      <c r="DE561" s="11"/>
      <c r="DF561" s="11"/>
      <c r="DG561" s="11"/>
    </row>
    <row r="562" ht="15.75" customHeight="1">
      <c r="CT562" s="11"/>
      <c r="CU562" s="11"/>
      <c r="CV562" s="11"/>
      <c r="CW562" s="11"/>
      <c r="CX562" s="11"/>
      <c r="CY562" s="11"/>
      <c r="CZ562" s="11"/>
      <c r="DA562" s="11"/>
      <c r="DB562" s="11"/>
      <c r="DC562" s="11"/>
      <c r="DD562" s="11"/>
      <c r="DE562" s="11"/>
      <c r="DF562" s="11"/>
      <c r="DG562" s="11"/>
    </row>
    <row r="563" ht="15.75" customHeight="1">
      <c r="CT563" s="11"/>
      <c r="CU563" s="11"/>
      <c r="CV563" s="11"/>
      <c r="CW563" s="11"/>
      <c r="CX563" s="11"/>
      <c r="CY563" s="11"/>
      <c r="CZ563" s="11"/>
      <c r="DA563" s="11"/>
      <c r="DB563" s="11"/>
      <c r="DC563" s="11"/>
      <c r="DD563" s="11"/>
      <c r="DE563" s="11"/>
      <c r="DF563" s="11"/>
      <c r="DG563" s="11"/>
    </row>
    <row r="564" ht="15.75" customHeight="1">
      <c r="CT564" s="11"/>
      <c r="CU564" s="11"/>
      <c r="CV564" s="11"/>
      <c r="CW564" s="11"/>
      <c r="CX564" s="11"/>
      <c r="CY564" s="11"/>
      <c r="CZ564" s="11"/>
      <c r="DA564" s="11"/>
      <c r="DB564" s="11"/>
      <c r="DC564" s="11"/>
      <c r="DD564" s="11"/>
      <c r="DE564" s="11"/>
      <c r="DF564" s="11"/>
      <c r="DG564" s="11"/>
    </row>
    <row r="565" ht="15.75" customHeight="1">
      <c r="CT565" s="11"/>
      <c r="CU565" s="11"/>
      <c r="CV565" s="11"/>
      <c r="CW565" s="11"/>
      <c r="CX565" s="11"/>
      <c r="CY565" s="11"/>
      <c r="CZ565" s="11"/>
      <c r="DA565" s="11"/>
      <c r="DB565" s="11"/>
      <c r="DC565" s="11"/>
      <c r="DD565" s="11"/>
      <c r="DE565" s="11"/>
      <c r="DF565" s="11"/>
      <c r="DG565" s="11"/>
    </row>
    <row r="566" ht="15.75" customHeight="1">
      <c r="CT566" s="11"/>
      <c r="CU566" s="11"/>
      <c r="CV566" s="11"/>
      <c r="CW566" s="11"/>
      <c r="CX566" s="11"/>
      <c r="CY566" s="11"/>
      <c r="CZ566" s="11"/>
      <c r="DA566" s="11"/>
      <c r="DB566" s="11"/>
      <c r="DC566" s="11"/>
      <c r="DD566" s="11"/>
      <c r="DE566" s="11"/>
      <c r="DF566" s="11"/>
      <c r="DG566" s="11"/>
    </row>
    <row r="567" ht="15.75" customHeight="1">
      <c r="CT567" s="11"/>
      <c r="CU567" s="11"/>
      <c r="CV567" s="11"/>
      <c r="CW567" s="11"/>
      <c r="CX567" s="11"/>
      <c r="CY567" s="11"/>
      <c r="CZ567" s="11"/>
      <c r="DA567" s="11"/>
      <c r="DB567" s="11"/>
      <c r="DC567" s="11"/>
      <c r="DD567" s="11"/>
      <c r="DE567" s="11"/>
      <c r="DF567" s="11"/>
      <c r="DG567" s="11"/>
    </row>
    <row r="568" ht="15.75" customHeight="1">
      <c r="CT568" s="11"/>
      <c r="CU568" s="11"/>
      <c r="CV568" s="11"/>
      <c r="CW568" s="11"/>
      <c r="CX568" s="11"/>
      <c r="CY568" s="11"/>
      <c r="CZ568" s="11"/>
      <c r="DA568" s="11"/>
      <c r="DB568" s="11"/>
      <c r="DC568" s="11"/>
      <c r="DD568" s="11"/>
      <c r="DE568" s="11"/>
      <c r="DF568" s="11"/>
      <c r="DG568" s="11"/>
    </row>
    <row r="569" ht="15.75" customHeight="1">
      <c r="CT569" s="11"/>
      <c r="CU569" s="11"/>
      <c r="CV569" s="11"/>
      <c r="CW569" s="11"/>
      <c r="CX569" s="11"/>
      <c r="CY569" s="11"/>
      <c r="CZ569" s="11"/>
      <c r="DA569" s="11"/>
      <c r="DB569" s="11"/>
      <c r="DC569" s="11"/>
      <c r="DD569" s="11"/>
      <c r="DE569" s="11"/>
      <c r="DF569" s="11"/>
      <c r="DG569" s="11"/>
    </row>
    <row r="570" ht="15.75" customHeight="1">
      <c r="CT570" s="11"/>
      <c r="CU570" s="11"/>
      <c r="CV570" s="11"/>
      <c r="CW570" s="11"/>
      <c r="CX570" s="11"/>
      <c r="CY570" s="11"/>
      <c r="CZ570" s="11"/>
      <c r="DA570" s="11"/>
      <c r="DB570" s="11"/>
      <c r="DC570" s="11"/>
      <c r="DD570" s="11"/>
      <c r="DE570" s="11"/>
      <c r="DF570" s="11"/>
      <c r="DG570" s="11"/>
    </row>
    <row r="571" ht="15.75" customHeight="1">
      <c r="CT571" s="11"/>
      <c r="CU571" s="11"/>
      <c r="CV571" s="11"/>
      <c r="CW571" s="11"/>
      <c r="CX571" s="11"/>
      <c r="CY571" s="11"/>
      <c r="CZ571" s="11"/>
      <c r="DA571" s="11"/>
      <c r="DB571" s="11"/>
      <c r="DC571" s="11"/>
      <c r="DD571" s="11"/>
      <c r="DE571" s="11"/>
      <c r="DF571" s="11"/>
      <c r="DG571" s="11"/>
    </row>
    <row r="572" ht="15.75" customHeight="1">
      <c r="CT572" s="11"/>
      <c r="CU572" s="11"/>
      <c r="CV572" s="11"/>
      <c r="CW572" s="11"/>
      <c r="CX572" s="11"/>
      <c r="CY572" s="11"/>
      <c r="CZ572" s="11"/>
      <c r="DA572" s="11"/>
      <c r="DB572" s="11"/>
      <c r="DC572" s="11"/>
      <c r="DD572" s="11"/>
      <c r="DE572" s="11"/>
      <c r="DF572" s="11"/>
      <c r="DG572" s="11"/>
    </row>
    <row r="573" ht="15.75" customHeight="1">
      <c r="CT573" s="11"/>
      <c r="CU573" s="11"/>
      <c r="CV573" s="11"/>
      <c r="CW573" s="11"/>
      <c r="CX573" s="11"/>
      <c r="CY573" s="11"/>
      <c r="CZ573" s="11"/>
      <c r="DA573" s="11"/>
      <c r="DB573" s="11"/>
      <c r="DC573" s="11"/>
      <c r="DD573" s="11"/>
      <c r="DE573" s="11"/>
      <c r="DF573" s="11"/>
      <c r="DG573" s="11"/>
    </row>
    <row r="574" ht="15.75" customHeight="1">
      <c r="CT574" s="11"/>
      <c r="CU574" s="11"/>
      <c r="CV574" s="11"/>
      <c r="CW574" s="11"/>
      <c r="CX574" s="11"/>
      <c r="CY574" s="11"/>
      <c r="CZ574" s="11"/>
      <c r="DA574" s="11"/>
      <c r="DB574" s="11"/>
      <c r="DC574" s="11"/>
      <c r="DD574" s="11"/>
      <c r="DE574" s="11"/>
      <c r="DF574" s="11"/>
      <c r="DG574" s="11"/>
    </row>
    <row r="575" ht="15.75" customHeight="1">
      <c r="CT575" s="11"/>
      <c r="CU575" s="11"/>
      <c r="CV575" s="11"/>
      <c r="CW575" s="11"/>
      <c r="CX575" s="11"/>
      <c r="CY575" s="11"/>
      <c r="CZ575" s="11"/>
      <c r="DA575" s="11"/>
      <c r="DB575" s="11"/>
      <c r="DC575" s="11"/>
      <c r="DD575" s="11"/>
      <c r="DE575" s="11"/>
      <c r="DF575" s="11"/>
      <c r="DG575" s="11"/>
    </row>
    <row r="576" ht="15.75" customHeight="1">
      <c r="CT576" s="11"/>
      <c r="CU576" s="11"/>
      <c r="CV576" s="11"/>
      <c r="CW576" s="11"/>
      <c r="CX576" s="11"/>
      <c r="CY576" s="11"/>
      <c r="CZ576" s="11"/>
      <c r="DA576" s="11"/>
      <c r="DB576" s="11"/>
      <c r="DC576" s="11"/>
      <c r="DD576" s="11"/>
      <c r="DE576" s="11"/>
      <c r="DF576" s="11"/>
      <c r="DG576" s="11"/>
    </row>
    <row r="577" ht="15.75" customHeight="1">
      <c r="CT577" s="11"/>
      <c r="CU577" s="11"/>
      <c r="CV577" s="11"/>
      <c r="CW577" s="11"/>
      <c r="CX577" s="11"/>
      <c r="CY577" s="11"/>
      <c r="CZ577" s="11"/>
      <c r="DA577" s="11"/>
      <c r="DB577" s="11"/>
      <c r="DC577" s="11"/>
      <c r="DD577" s="11"/>
      <c r="DE577" s="11"/>
      <c r="DF577" s="11"/>
      <c r="DG577" s="11"/>
    </row>
    <row r="578" ht="15.75" customHeight="1">
      <c r="CT578" s="11"/>
      <c r="CU578" s="11"/>
      <c r="CV578" s="11"/>
      <c r="CW578" s="11"/>
      <c r="CX578" s="11"/>
      <c r="CY578" s="11"/>
      <c r="CZ578" s="11"/>
      <c r="DA578" s="11"/>
      <c r="DB578" s="11"/>
      <c r="DC578" s="11"/>
      <c r="DD578" s="11"/>
      <c r="DE578" s="11"/>
      <c r="DF578" s="11"/>
      <c r="DG578" s="11"/>
    </row>
    <row r="579" ht="15.75" customHeight="1">
      <c r="CT579" s="11"/>
      <c r="CU579" s="11"/>
      <c r="CV579" s="11"/>
      <c r="CW579" s="11"/>
      <c r="CX579" s="11"/>
      <c r="CY579" s="11"/>
      <c r="CZ579" s="11"/>
      <c r="DA579" s="11"/>
      <c r="DB579" s="11"/>
      <c r="DC579" s="11"/>
      <c r="DD579" s="11"/>
      <c r="DE579" s="11"/>
      <c r="DF579" s="11"/>
      <c r="DG579" s="11"/>
    </row>
    <row r="580" ht="15.75" customHeight="1">
      <c r="CT580" s="11"/>
      <c r="CU580" s="11"/>
      <c r="CV580" s="11"/>
      <c r="CW580" s="11"/>
      <c r="CX580" s="11"/>
      <c r="CY580" s="11"/>
      <c r="CZ580" s="11"/>
      <c r="DA580" s="11"/>
      <c r="DB580" s="11"/>
      <c r="DC580" s="11"/>
      <c r="DD580" s="11"/>
      <c r="DE580" s="11"/>
      <c r="DF580" s="11"/>
      <c r="DG580" s="11"/>
    </row>
    <row r="581" ht="15.75" customHeight="1">
      <c r="CT581" s="11"/>
      <c r="CU581" s="11"/>
      <c r="CV581" s="11"/>
      <c r="CW581" s="11"/>
      <c r="CX581" s="11"/>
      <c r="CY581" s="11"/>
      <c r="CZ581" s="11"/>
      <c r="DA581" s="11"/>
      <c r="DB581" s="11"/>
      <c r="DC581" s="11"/>
      <c r="DD581" s="11"/>
      <c r="DE581" s="11"/>
      <c r="DF581" s="11"/>
      <c r="DG581" s="11"/>
    </row>
    <row r="582" ht="15.75" customHeight="1">
      <c r="CT582" s="11"/>
      <c r="CU582" s="11"/>
      <c r="CV582" s="11"/>
      <c r="CW582" s="11"/>
      <c r="CX582" s="11"/>
      <c r="CY582" s="11"/>
      <c r="CZ582" s="11"/>
      <c r="DA582" s="11"/>
      <c r="DB582" s="11"/>
      <c r="DC582" s="11"/>
      <c r="DD582" s="11"/>
      <c r="DE582" s="11"/>
      <c r="DF582" s="11"/>
      <c r="DG582" s="11"/>
    </row>
    <row r="583" ht="15.75" customHeight="1">
      <c r="CT583" s="11"/>
      <c r="CU583" s="11"/>
      <c r="CV583" s="11"/>
      <c r="CW583" s="11"/>
      <c r="CX583" s="11"/>
      <c r="CY583" s="11"/>
      <c r="CZ583" s="11"/>
      <c r="DA583" s="11"/>
      <c r="DB583" s="11"/>
      <c r="DC583" s="11"/>
      <c r="DD583" s="11"/>
      <c r="DE583" s="11"/>
      <c r="DF583" s="11"/>
      <c r="DG583" s="11"/>
    </row>
    <row r="584" ht="15.75" customHeight="1">
      <c r="CT584" s="11"/>
      <c r="CU584" s="11"/>
      <c r="CV584" s="11"/>
      <c r="CW584" s="11"/>
      <c r="CX584" s="11"/>
      <c r="CY584" s="11"/>
      <c r="CZ584" s="11"/>
      <c r="DA584" s="11"/>
      <c r="DB584" s="11"/>
      <c r="DC584" s="11"/>
      <c r="DD584" s="11"/>
      <c r="DE584" s="11"/>
      <c r="DF584" s="11"/>
      <c r="DG584" s="11"/>
    </row>
    <row r="585" ht="15.75" customHeight="1">
      <c r="CT585" s="11"/>
      <c r="CU585" s="11"/>
      <c r="CV585" s="11"/>
      <c r="CW585" s="11"/>
      <c r="CX585" s="11"/>
      <c r="CY585" s="11"/>
      <c r="CZ585" s="11"/>
      <c r="DA585" s="11"/>
      <c r="DB585" s="11"/>
      <c r="DC585" s="11"/>
      <c r="DD585" s="11"/>
      <c r="DE585" s="11"/>
      <c r="DF585" s="11"/>
      <c r="DG585" s="11"/>
    </row>
    <row r="586" ht="15.75" customHeight="1">
      <c r="CT586" s="11"/>
      <c r="CU586" s="11"/>
      <c r="CV586" s="11"/>
      <c r="CW586" s="11"/>
      <c r="CX586" s="11"/>
      <c r="CY586" s="11"/>
      <c r="CZ586" s="11"/>
      <c r="DA586" s="11"/>
      <c r="DB586" s="11"/>
      <c r="DC586" s="11"/>
      <c r="DD586" s="11"/>
      <c r="DE586" s="11"/>
      <c r="DF586" s="11"/>
      <c r="DG586" s="11"/>
    </row>
    <row r="587" ht="15.75" customHeight="1">
      <c r="CT587" s="11"/>
      <c r="CU587" s="11"/>
      <c r="CV587" s="11"/>
      <c r="CW587" s="11"/>
      <c r="CX587" s="11"/>
      <c r="CY587" s="11"/>
      <c r="CZ587" s="11"/>
      <c r="DA587" s="11"/>
      <c r="DB587" s="11"/>
      <c r="DC587" s="11"/>
      <c r="DD587" s="11"/>
      <c r="DE587" s="11"/>
      <c r="DF587" s="11"/>
      <c r="DG587" s="11"/>
    </row>
    <row r="588" ht="15.75" customHeight="1">
      <c r="CT588" s="11"/>
      <c r="CU588" s="11"/>
      <c r="CV588" s="11"/>
      <c r="CW588" s="11"/>
      <c r="CX588" s="11"/>
      <c r="CY588" s="11"/>
      <c r="CZ588" s="11"/>
      <c r="DA588" s="11"/>
      <c r="DB588" s="11"/>
      <c r="DC588" s="11"/>
      <c r="DD588" s="11"/>
      <c r="DE588" s="11"/>
      <c r="DF588" s="11"/>
      <c r="DG588" s="11"/>
    </row>
    <row r="589" ht="15.75" customHeight="1">
      <c r="CT589" s="11"/>
      <c r="CU589" s="11"/>
      <c r="CV589" s="11"/>
      <c r="CW589" s="11"/>
      <c r="CX589" s="11"/>
      <c r="CY589" s="11"/>
      <c r="CZ589" s="11"/>
      <c r="DA589" s="11"/>
      <c r="DB589" s="11"/>
      <c r="DC589" s="11"/>
      <c r="DD589" s="11"/>
      <c r="DE589" s="11"/>
      <c r="DF589" s="11"/>
      <c r="DG589" s="11"/>
    </row>
    <row r="590" ht="15.75" customHeight="1">
      <c r="CT590" s="11"/>
      <c r="CU590" s="11"/>
      <c r="CV590" s="11"/>
      <c r="CW590" s="11"/>
      <c r="CX590" s="11"/>
      <c r="CY590" s="11"/>
      <c r="CZ590" s="11"/>
      <c r="DA590" s="11"/>
      <c r="DB590" s="11"/>
      <c r="DC590" s="11"/>
      <c r="DD590" s="11"/>
      <c r="DE590" s="11"/>
      <c r="DF590" s="11"/>
      <c r="DG590" s="11"/>
    </row>
    <row r="591" ht="15.75" customHeight="1">
      <c r="CT591" s="11"/>
      <c r="CU591" s="11"/>
      <c r="CV591" s="11"/>
      <c r="CW591" s="11"/>
      <c r="CX591" s="11"/>
      <c r="CY591" s="11"/>
      <c r="CZ591" s="11"/>
      <c r="DA591" s="11"/>
      <c r="DB591" s="11"/>
      <c r="DC591" s="11"/>
      <c r="DD591" s="11"/>
      <c r="DE591" s="11"/>
      <c r="DF591" s="11"/>
      <c r="DG591" s="11"/>
    </row>
    <row r="592" ht="15.75" customHeight="1">
      <c r="CT592" s="11"/>
      <c r="CU592" s="11"/>
      <c r="CV592" s="11"/>
      <c r="CW592" s="11"/>
      <c r="CX592" s="11"/>
      <c r="CY592" s="11"/>
      <c r="CZ592" s="11"/>
      <c r="DA592" s="11"/>
      <c r="DB592" s="11"/>
      <c r="DC592" s="11"/>
      <c r="DD592" s="11"/>
      <c r="DE592" s="11"/>
      <c r="DF592" s="11"/>
      <c r="DG592" s="11"/>
    </row>
    <row r="593" ht="15.75" customHeight="1">
      <c r="CT593" s="11"/>
      <c r="CU593" s="11"/>
      <c r="CV593" s="11"/>
      <c r="CW593" s="11"/>
      <c r="CX593" s="11"/>
      <c r="CY593" s="11"/>
      <c r="CZ593" s="11"/>
      <c r="DA593" s="11"/>
      <c r="DB593" s="11"/>
      <c r="DC593" s="11"/>
      <c r="DD593" s="11"/>
      <c r="DE593" s="11"/>
      <c r="DF593" s="11"/>
      <c r="DG593" s="11"/>
    </row>
    <row r="594" ht="15.75" customHeight="1">
      <c r="CT594" s="11"/>
      <c r="CU594" s="11"/>
      <c r="CV594" s="11"/>
      <c r="CW594" s="11"/>
      <c r="CX594" s="11"/>
      <c r="CY594" s="11"/>
      <c r="CZ594" s="11"/>
      <c r="DA594" s="11"/>
      <c r="DB594" s="11"/>
      <c r="DC594" s="11"/>
      <c r="DD594" s="11"/>
      <c r="DE594" s="11"/>
      <c r="DF594" s="11"/>
      <c r="DG594" s="11"/>
    </row>
    <row r="595" ht="15.75" customHeight="1">
      <c r="CT595" s="11"/>
      <c r="CU595" s="11"/>
      <c r="CV595" s="11"/>
      <c r="CW595" s="11"/>
      <c r="CX595" s="11"/>
      <c r="CY595" s="11"/>
      <c r="CZ595" s="11"/>
      <c r="DA595" s="11"/>
      <c r="DB595" s="11"/>
      <c r="DC595" s="11"/>
      <c r="DD595" s="11"/>
      <c r="DE595" s="11"/>
      <c r="DF595" s="11"/>
      <c r="DG595" s="11"/>
    </row>
    <row r="596" ht="15.75" customHeight="1">
      <c r="CT596" s="11"/>
      <c r="CU596" s="11"/>
      <c r="CV596" s="11"/>
      <c r="CW596" s="11"/>
      <c r="CX596" s="11"/>
      <c r="CY596" s="11"/>
      <c r="CZ596" s="11"/>
      <c r="DA596" s="11"/>
      <c r="DB596" s="11"/>
      <c r="DC596" s="11"/>
      <c r="DD596" s="11"/>
      <c r="DE596" s="11"/>
      <c r="DF596" s="11"/>
      <c r="DG596" s="11"/>
    </row>
    <row r="597" ht="15.75" customHeight="1">
      <c r="CT597" s="11"/>
      <c r="CU597" s="11"/>
      <c r="CV597" s="11"/>
      <c r="CW597" s="11"/>
      <c r="CX597" s="11"/>
      <c r="CY597" s="11"/>
      <c r="CZ597" s="11"/>
      <c r="DA597" s="11"/>
      <c r="DB597" s="11"/>
      <c r="DC597" s="11"/>
      <c r="DD597" s="11"/>
      <c r="DE597" s="11"/>
      <c r="DF597" s="11"/>
      <c r="DG597" s="11"/>
    </row>
    <row r="598" ht="15.75" customHeight="1">
      <c r="CT598" s="11"/>
      <c r="CU598" s="11"/>
      <c r="CV598" s="11"/>
      <c r="CW598" s="11"/>
      <c r="CX598" s="11"/>
      <c r="CY598" s="11"/>
      <c r="CZ598" s="11"/>
      <c r="DA598" s="11"/>
      <c r="DB598" s="11"/>
      <c r="DC598" s="11"/>
      <c r="DD598" s="11"/>
      <c r="DE598" s="11"/>
      <c r="DF598" s="11"/>
      <c r="DG598" s="11"/>
    </row>
    <row r="599" ht="15.75" customHeight="1">
      <c r="CT599" s="11"/>
      <c r="CU599" s="11"/>
      <c r="CV599" s="11"/>
      <c r="CW599" s="11"/>
      <c r="CX599" s="11"/>
      <c r="CY599" s="11"/>
      <c r="CZ599" s="11"/>
      <c r="DA599" s="11"/>
      <c r="DB599" s="11"/>
      <c r="DC599" s="11"/>
      <c r="DD599" s="11"/>
      <c r="DE599" s="11"/>
      <c r="DF599" s="11"/>
      <c r="DG599" s="11"/>
    </row>
    <row r="600" ht="15.75" customHeight="1">
      <c r="CT600" s="11"/>
      <c r="CU600" s="11"/>
      <c r="CV600" s="11"/>
      <c r="CW600" s="11"/>
      <c r="CX600" s="11"/>
      <c r="CY600" s="11"/>
      <c r="CZ600" s="11"/>
      <c r="DA600" s="11"/>
      <c r="DB600" s="11"/>
      <c r="DC600" s="11"/>
      <c r="DD600" s="11"/>
      <c r="DE600" s="11"/>
      <c r="DF600" s="11"/>
      <c r="DG600" s="11"/>
    </row>
    <row r="601" ht="15.75" customHeight="1">
      <c r="CT601" s="11"/>
      <c r="CU601" s="11"/>
      <c r="CV601" s="11"/>
      <c r="CW601" s="11"/>
      <c r="CX601" s="11"/>
      <c r="CY601" s="11"/>
      <c r="CZ601" s="11"/>
      <c r="DA601" s="11"/>
      <c r="DB601" s="11"/>
      <c r="DC601" s="11"/>
      <c r="DD601" s="11"/>
      <c r="DE601" s="11"/>
      <c r="DF601" s="11"/>
      <c r="DG601" s="11"/>
    </row>
    <row r="602" ht="15.75" customHeight="1">
      <c r="CT602" s="11"/>
      <c r="CU602" s="11"/>
      <c r="CV602" s="11"/>
      <c r="CW602" s="11"/>
      <c r="CX602" s="11"/>
      <c r="CY602" s="11"/>
      <c r="CZ602" s="11"/>
      <c r="DA602" s="11"/>
      <c r="DB602" s="11"/>
      <c r="DC602" s="11"/>
      <c r="DD602" s="11"/>
      <c r="DE602" s="11"/>
      <c r="DF602" s="11"/>
      <c r="DG602" s="11"/>
    </row>
    <row r="603" ht="15.75" customHeight="1">
      <c r="CT603" s="11"/>
      <c r="CU603" s="11"/>
      <c r="CV603" s="11"/>
      <c r="CW603" s="11"/>
      <c r="CX603" s="11"/>
      <c r="CY603" s="11"/>
      <c r="CZ603" s="11"/>
      <c r="DA603" s="11"/>
      <c r="DB603" s="11"/>
      <c r="DC603" s="11"/>
      <c r="DD603" s="11"/>
      <c r="DE603" s="11"/>
      <c r="DF603" s="11"/>
      <c r="DG603" s="11"/>
    </row>
    <row r="604" ht="15.75" customHeight="1">
      <c r="CT604" s="11"/>
      <c r="CU604" s="11"/>
      <c r="CV604" s="11"/>
      <c r="CW604" s="11"/>
      <c r="CX604" s="11"/>
      <c r="CY604" s="11"/>
      <c r="CZ604" s="11"/>
      <c r="DA604" s="11"/>
      <c r="DB604" s="11"/>
      <c r="DC604" s="11"/>
      <c r="DD604" s="11"/>
      <c r="DE604" s="11"/>
      <c r="DF604" s="11"/>
      <c r="DG604" s="11"/>
    </row>
    <row r="605" ht="15.75" customHeight="1">
      <c r="CT605" s="11"/>
      <c r="CU605" s="11"/>
      <c r="CV605" s="11"/>
      <c r="CW605" s="11"/>
      <c r="CX605" s="11"/>
      <c r="CY605" s="11"/>
      <c r="CZ605" s="11"/>
      <c r="DA605" s="11"/>
      <c r="DB605" s="11"/>
      <c r="DC605" s="11"/>
      <c r="DD605" s="11"/>
      <c r="DE605" s="11"/>
      <c r="DF605" s="11"/>
      <c r="DG605" s="11"/>
    </row>
    <row r="606" ht="15.75" customHeight="1">
      <c r="CT606" s="11"/>
      <c r="CU606" s="11"/>
      <c r="CV606" s="11"/>
      <c r="CW606" s="11"/>
      <c r="CX606" s="11"/>
      <c r="CY606" s="11"/>
      <c r="CZ606" s="11"/>
      <c r="DA606" s="11"/>
      <c r="DB606" s="11"/>
      <c r="DC606" s="11"/>
      <c r="DD606" s="11"/>
      <c r="DE606" s="11"/>
      <c r="DF606" s="11"/>
      <c r="DG606" s="11"/>
    </row>
    <row r="607" ht="15.75" customHeight="1">
      <c r="CT607" s="11"/>
      <c r="CU607" s="11"/>
      <c r="CV607" s="11"/>
      <c r="CW607" s="11"/>
      <c r="CX607" s="11"/>
      <c r="CY607" s="11"/>
      <c r="CZ607" s="11"/>
      <c r="DA607" s="11"/>
      <c r="DB607" s="11"/>
      <c r="DC607" s="11"/>
      <c r="DD607" s="11"/>
      <c r="DE607" s="11"/>
      <c r="DF607" s="11"/>
      <c r="DG607" s="11"/>
    </row>
    <row r="608" ht="15.75" customHeight="1">
      <c r="CT608" s="11"/>
      <c r="CU608" s="11"/>
      <c r="CV608" s="11"/>
      <c r="CW608" s="11"/>
      <c r="CX608" s="11"/>
      <c r="CY608" s="11"/>
      <c r="CZ608" s="11"/>
      <c r="DA608" s="11"/>
      <c r="DB608" s="11"/>
      <c r="DC608" s="11"/>
      <c r="DD608" s="11"/>
      <c r="DE608" s="11"/>
      <c r="DF608" s="11"/>
      <c r="DG608" s="11"/>
    </row>
    <row r="609" ht="15.75" customHeight="1">
      <c r="CT609" s="11"/>
      <c r="CU609" s="11"/>
      <c r="CV609" s="11"/>
      <c r="CW609" s="11"/>
      <c r="CX609" s="11"/>
      <c r="CY609" s="11"/>
      <c r="CZ609" s="11"/>
      <c r="DA609" s="11"/>
      <c r="DB609" s="11"/>
      <c r="DC609" s="11"/>
      <c r="DD609" s="11"/>
      <c r="DE609" s="11"/>
      <c r="DF609" s="11"/>
      <c r="DG609" s="11"/>
    </row>
    <row r="610" ht="15.75" customHeight="1">
      <c r="CT610" s="11"/>
      <c r="CU610" s="11"/>
      <c r="CV610" s="11"/>
      <c r="CW610" s="11"/>
      <c r="CX610" s="11"/>
      <c r="CY610" s="11"/>
      <c r="CZ610" s="11"/>
      <c r="DA610" s="11"/>
      <c r="DB610" s="11"/>
      <c r="DC610" s="11"/>
      <c r="DD610" s="11"/>
      <c r="DE610" s="11"/>
      <c r="DF610" s="11"/>
      <c r="DG610" s="11"/>
    </row>
    <row r="611" ht="15.75" customHeight="1">
      <c r="CT611" s="11"/>
      <c r="CU611" s="11"/>
      <c r="CV611" s="11"/>
      <c r="CW611" s="11"/>
      <c r="CX611" s="11"/>
      <c r="CY611" s="11"/>
      <c r="CZ611" s="11"/>
      <c r="DA611" s="11"/>
      <c r="DB611" s="11"/>
      <c r="DC611" s="11"/>
      <c r="DD611" s="11"/>
      <c r="DE611" s="11"/>
      <c r="DF611" s="11"/>
      <c r="DG611" s="11"/>
    </row>
    <row r="612" ht="15.75" customHeight="1">
      <c r="CT612" s="11"/>
      <c r="CU612" s="11"/>
      <c r="CV612" s="11"/>
      <c r="CW612" s="11"/>
      <c r="CX612" s="11"/>
      <c r="CY612" s="11"/>
      <c r="CZ612" s="11"/>
      <c r="DA612" s="11"/>
      <c r="DB612" s="11"/>
      <c r="DC612" s="11"/>
      <c r="DD612" s="11"/>
      <c r="DE612" s="11"/>
      <c r="DF612" s="11"/>
      <c r="DG612" s="11"/>
    </row>
    <row r="613" ht="15.75" customHeight="1">
      <c r="CT613" s="11"/>
      <c r="CU613" s="11"/>
      <c r="CV613" s="11"/>
      <c r="CW613" s="11"/>
      <c r="CX613" s="11"/>
      <c r="CY613" s="11"/>
      <c r="CZ613" s="11"/>
      <c r="DA613" s="11"/>
      <c r="DB613" s="11"/>
      <c r="DC613" s="11"/>
      <c r="DD613" s="11"/>
      <c r="DE613" s="11"/>
      <c r="DF613" s="11"/>
      <c r="DG613" s="11"/>
    </row>
    <row r="614" ht="15.75" customHeight="1">
      <c r="CT614" s="11"/>
      <c r="CU614" s="11"/>
      <c r="CV614" s="11"/>
      <c r="CW614" s="11"/>
      <c r="CX614" s="11"/>
      <c r="CY614" s="11"/>
      <c r="CZ614" s="11"/>
      <c r="DA614" s="11"/>
      <c r="DB614" s="11"/>
      <c r="DC614" s="11"/>
      <c r="DD614" s="11"/>
      <c r="DE614" s="11"/>
      <c r="DF614" s="11"/>
      <c r="DG614" s="11"/>
    </row>
    <row r="615" ht="15.75" customHeight="1">
      <c r="CT615" s="11"/>
      <c r="CU615" s="11"/>
      <c r="CV615" s="11"/>
      <c r="CW615" s="11"/>
      <c r="CX615" s="11"/>
      <c r="CY615" s="11"/>
      <c r="CZ615" s="11"/>
      <c r="DA615" s="11"/>
      <c r="DB615" s="11"/>
      <c r="DC615" s="11"/>
      <c r="DD615" s="11"/>
      <c r="DE615" s="11"/>
      <c r="DF615" s="11"/>
      <c r="DG615" s="11"/>
    </row>
    <row r="616" ht="15.75" customHeight="1">
      <c r="CT616" s="11"/>
      <c r="CU616" s="11"/>
      <c r="CV616" s="11"/>
      <c r="CW616" s="11"/>
      <c r="CX616" s="11"/>
      <c r="CY616" s="11"/>
      <c r="CZ616" s="11"/>
      <c r="DA616" s="11"/>
      <c r="DB616" s="11"/>
      <c r="DC616" s="11"/>
      <c r="DD616" s="11"/>
      <c r="DE616" s="11"/>
      <c r="DF616" s="11"/>
      <c r="DG616" s="11"/>
    </row>
    <row r="617" ht="15.75" customHeight="1">
      <c r="CT617" s="11"/>
      <c r="CU617" s="11"/>
      <c r="CV617" s="11"/>
      <c r="CW617" s="11"/>
      <c r="CX617" s="11"/>
      <c r="CY617" s="11"/>
      <c r="CZ617" s="11"/>
      <c r="DA617" s="11"/>
      <c r="DB617" s="11"/>
      <c r="DC617" s="11"/>
      <c r="DD617" s="11"/>
      <c r="DE617" s="11"/>
      <c r="DF617" s="11"/>
      <c r="DG617" s="11"/>
    </row>
    <row r="618" ht="15.75" customHeight="1">
      <c r="CT618" s="11"/>
      <c r="CU618" s="11"/>
      <c r="CV618" s="11"/>
      <c r="CW618" s="11"/>
      <c r="CX618" s="11"/>
      <c r="CY618" s="11"/>
      <c r="CZ618" s="11"/>
      <c r="DA618" s="11"/>
      <c r="DB618" s="11"/>
      <c r="DC618" s="11"/>
      <c r="DD618" s="11"/>
      <c r="DE618" s="11"/>
      <c r="DF618" s="11"/>
      <c r="DG618" s="11"/>
    </row>
    <row r="619" ht="15.75" customHeight="1">
      <c r="CT619" s="11"/>
      <c r="CU619" s="11"/>
      <c r="CV619" s="11"/>
      <c r="CW619" s="11"/>
      <c r="CX619" s="11"/>
      <c r="CY619" s="11"/>
      <c r="CZ619" s="11"/>
      <c r="DA619" s="11"/>
      <c r="DB619" s="11"/>
      <c r="DC619" s="11"/>
      <c r="DD619" s="11"/>
      <c r="DE619" s="11"/>
      <c r="DF619" s="11"/>
      <c r="DG619" s="11"/>
    </row>
    <row r="620" ht="15.75" customHeight="1">
      <c r="CT620" s="11"/>
      <c r="CU620" s="11"/>
      <c r="CV620" s="11"/>
      <c r="CW620" s="11"/>
      <c r="CX620" s="11"/>
      <c r="CY620" s="11"/>
      <c r="CZ620" s="11"/>
      <c r="DA620" s="11"/>
      <c r="DB620" s="11"/>
      <c r="DC620" s="11"/>
      <c r="DD620" s="11"/>
      <c r="DE620" s="11"/>
      <c r="DF620" s="11"/>
      <c r="DG620" s="11"/>
    </row>
    <row r="621" ht="15.75" customHeight="1">
      <c r="CT621" s="11"/>
      <c r="CU621" s="11"/>
      <c r="CV621" s="11"/>
      <c r="CW621" s="11"/>
      <c r="CX621" s="11"/>
      <c r="CY621" s="11"/>
      <c r="CZ621" s="11"/>
      <c r="DA621" s="11"/>
      <c r="DB621" s="11"/>
      <c r="DC621" s="11"/>
      <c r="DD621" s="11"/>
      <c r="DE621" s="11"/>
      <c r="DF621" s="11"/>
      <c r="DG621" s="11"/>
    </row>
    <row r="622" ht="15.75" customHeight="1">
      <c r="CT622" s="11"/>
      <c r="CU622" s="11"/>
      <c r="CV622" s="11"/>
      <c r="CW622" s="11"/>
      <c r="CX622" s="11"/>
      <c r="CY622" s="11"/>
      <c r="CZ622" s="11"/>
      <c r="DA622" s="11"/>
      <c r="DB622" s="11"/>
      <c r="DC622" s="11"/>
      <c r="DD622" s="11"/>
      <c r="DE622" s="11"/>
      <c r="DF622" s="11"/>
      <c r="DG622" s="11"/>
    </row>
    <row r="623" ht="15.75" customHeight="1">
      <c r="CT623" s="11"/>
      <c r="CU623" s="11"/>
      <c r="CV623" s="11"/>
      <c r="CW623" s="11"/>
      <c r="CX623" s="11"/>
      <c r="CY623" s="11"/>
      <c r="CZ623" s="11"/>
      <c r="DA623" s="11"/>
      <c r="DB623" s="11"/>
      <c r="DC623" s="11"/>
      <c r="DD623" s="11"/>
      <c r="DE623" s="11"/>
      <c r="DF623" s="11"/>
      <c r="DG623" s="11"/>
    </row>
    <row r="624" ht="15.75" customHeight="1">
      <c r="CT624" s="11"/>
      <c r="CU624" s="11"/>
      <c r="CV624" s="11"/>
      <c r="CW624" s="11"/>
      <c r="CX624" s="11"/>
      <c r="CY624" s="11"/>
      <c r="CZ624" s="11"/>
      <c r="DA624" s="11"/>
      <c r="DB624" s="11"/>
      <c r="DC624" s="11"/>
      <c r="DD624" s="11"/>
      <c r="DE624" s="11"/>
      <c r="DF624" s="11"/>
      <c r="DG624" s="11"/>
    </row>
    <row r="625" ht="15.75" customHeight="1">
      <c r="CT625" s="11"/>
      <c r="CU625" s="11"/>
      <c r="CV625" s="11"/>
      <c r="CW625" s="11"/>
      <c r="CX625" s="11"/>
      <c r="CY625" s="11"/>
      <c r="CZ625" s="11"/>
      <c r="DA625" s="11"/>
      <c r="DB625" s="11"/>
      <c r="DC625" s="11"/>
      <c r="DD625" s="11"/>
      <c r="DE625" s="11"/>
      <c r="DF625" s="11"/>
      <c r="DG625" s="11"/>
    </row>
    <row r="626" ht="15.75" customHeight="1">
      <c r="CT626" s="11"/>
      <c r="CU626" s="11"/>
      <c r="CV626" s="11"/>
      <c r="CW626" s="11"/>
      <c r="CX626" s="11"/>
      <c r="CY626" s="11"/>
      <c r="CZ626" s="11"/>
      <c r="DA626" s="11"/>
      <c r="DB626" s="11"/>
      <c r="DC626" s="11"/>
      <c r="DD626" s="11"/>
      <c r="DE626" s="11"/>
      <c r="DF626" s="11"/>
      <c r="DG626" s="11"/>
    </row>
    <row r="627" ht="15.75" customHeight="1">
      <c r="CT627" s="11"/>
      <c r="CU627" s="11"/>
      <c r="CV627" s="11"/>
      <c r="CW627" s="11"/>
      <c r="CX627" s="11"/>
      <c r="CY627" s="11"/>
      <c r="CZ627" s="11"/>
      <c r="DA627" s="11"/>
      <c r="DB627" s="11"/>
      <c r="DC627" s="11"/>
      <c r="DD627" s="11"/>
      <c r="DE627" s="11"/>
      <c r="DF627" s="11"/>
      <c r="DG627" s="11"/>
    </row>
    <row r="628" ht="15.75" customHeight="1">
      <c r="CT628" s="11"/>
      <c r="CU628" s="11"/>
      <c r="CV628" s="11"/>
      <c r="CW628" s="11"/>
      <c r="CX628" s="11"/>
      <c r="CY628" s="11"/>
      <c r="CZ628" s="11"/>
      <c r="DA628" s="11"/>
      <c r="DB628" s="11"/>
      <c r="DC628" s="11"/>
      <c r="DD628" s="11"/>
      <c r="DE628" s="11"/>
      <c r="DF628" s="11"/>
      <c r="DG628" s="11"/>
    </row>
    <row r="629" ht="15.75" customHeight="1">
      <c r="CT629" s="11"/>
      <c r="CU629" s="11"/>
      <c r="CV629" s="11"/>
      <c r="CW629" s="11"/>
      <c r="CX629" s="11"/>
      <c r="CY629" s="11"/>
      <c r="CZ629" s="11"/>
      <c r="DA629" s="11"/>
      <c r="DB629" s="11"/>
      <c r="DC629" s="11"/>
      <c r="DD629" s="11"/>
      <c r="DE629" s="11"/>
      <c r="DF629" s="11"/>
      <c r="DG629" s="11"/>
    </row>
    <row r="630" ht="15.75" customHeight="1">
      <c r="CT630" s="11"/>
      <c r="CU630" s="11"/>
      <c r="CV630" s="11"/>
      <c r="CW630" s="11"/>
      <c r="CX630" s="11"/>
      <c r="CY630" s="11"/>
      <c r="CZ630" s="11"/>
      <c r="DA630" s="11"/>
      <c r="DB630" s="11"/>
      <c r="DC630" s="11"/>
      <c r="DD630" s="11"/>
      <c r="DE630" s="11"/>
      <c r="DF630" s="11"/>
      <c r="DG630" s="11"/>
    </row>
    <row r="631" ht="15.75" customHeight="1">
      <c r="CT631" s="11"/>
      <c r="CU631" s="11"/>
      <c r="CV631" s="11"/>
      <c r="CW631" s="11"/>
      <c r="CX631" s="11"/>
      <c r="CY631" s="11"/>
      <c r="CZ631" s="11"/>
      <c r="DA631" s="11"/>
      <c r="DB631" s="11"/>
      <c r="DC631" s="11"/>
      <c r="DD631" s="11"/>
      <c r="DE631" s="11"/>
      <c r="DF631" s="11"/>
      <c r="DG631" s="11"/>
    </row>
    <row r="632" ht="15.75" customHeight="1">
      <c r="CT632" s="11"/>
      <c r="CU632" s="11"/>
      <c r="CV632" s="11"/>
      <c r="CW632" s="11"/>
      <c r="CX632" s="11"/>
      <c r="CY632" s="11"/>
      <c r="CZ632" s="11"/>
      <c r="DA632" s="11"/>
      <c r="DB632" s="11"/>
      <c r="DC632" s="11"/>
      <c r="DD632" s="11"/>
      <c r="DE632" s="11"/>
      <c r="DF632" s="11"/>
      <c r="DG632" s="11"/>
    </row>
    <row r="633" ht="15.75" customHeight="1">
      <c r="CT633" s="11"/>
      <c r="CU633" s="11"/>
      <c r="CV633" s="11"/>
      <c r="CW633" s="11"/>
      <c r="CX633" s="11"/>
      <c r="CY633" s="11"/>
      <c r="CZ633" s="11"/>
      <c r="DA633" s="11"/>
      <c r="DB633" s="11"/>
      <c r="DC633" s="11"/>
      <c r="DD633" s="11"/>
      <c r="DE633" s="11"/>
      <c r="DF633" s="11"/>
      <c r="DG633" s="11"/>
    </row>
    <row r="634" ht="15.75" customHeight="1">
      <c r="CT634" s="11"/>
      <c r="CU634" s="11"/>
      <c r="CV634" s="11"/>
      <c r="CW634" s="11"/>
      <c r="CX634" s="11"/>
      <c r="CY634" s="11"/>
      <c r="CZ634" s="11"/>
      <c r="DA634" s="11"/>
      <c r="DB634" s="11"/>
      <c r="DC634" s="11"/>
      <c r="DD634" s="11"/>
      <c r="DE634" s="11"/>
      <c r="DF634" s="11"/>
      <c r="DG634" s="11"/>
    </row>
    <row r="635" ht="15.75" customHeight="1">
      <c r="CT635" s="11"/>
      <c r="CU635" s="11"/>
      <c r="CV635" s="11"/>
      <c r="CW635" s="11"/>
      <c r="CX635" s="11"/>
      <c r="CY635" s="11"/>
      <c r="CZ635" s="11"/>
      <c r="DA635" s="11"/>
      <c r="DB635" s="11"/>
      <c r="DC635" s="11"/>
      <c r="DD635" s="11"/>
      <c r="DE635" s="11"/>
      <c r="DF635" s="11"/>
      <c r="DG635" s="11"/>
    </row>
    <row r="636" ht="15.75" customHeight="1">
      <c r="CT636" s="11"/>
      <c r="CU636" s="11"/>
      <c r="CV636" s="11"/>
      <c r="CW636" s="11"/>
      <c r="CX636" s="11"/>
      <c r="CY636" s="11"/>
      <c r="CZ636" s="11"/>
      <c r="DA636" s="11"/>
      <c r="DB636" s="11"/>
      <c r="DC636" s="11"/>
      <c r="DD636" s="11"/>
      <c r="DE636" s="11"/>
      <c r="DF636" s="11"/>
      <c r="DG636" s="11"/>
    </row>
    <row r="637" ht="15.75" customHeight="1">
      <c r="CT637" s="11"/>
      <c r="CU637" s="11"/>
      <c r="CV637" s="11"/>
      <c r="CW637" s="11"/>
      <c r="CX637" s="11"/>
      <c r="CY637" s="11"/>
      <c r="CZ637" s="11"/>
      <c r="DA637" s="11"/>
      <c r="DB637" s="11"/>
      <c r="DC637" s="11"/>
      <c r="DD637" s="11"/>
      <c r="DE637" s="11"/>
      <c r="DF637" s="11"/>
      <c r="DG637" s="11"/>
    </row>
    <row r="638" ht="15.75" customHeight="1">
      <c r="CT638" s="11"/>
      <c r="CU638" s="11"/>
      <c r="CV638" s="11"/>
      <c r="CW638" s="11"/>
      <c r="CX638" s="11"/>
      <c r="CY638" s="11"/>
      <c r="CZ638" s="11"/>
      <c r="DA638" s="11"/>
      <c r="DB638" s="11"/>
      <c r="DC638" s="11"/>
      <c r="DD638" s="11"/>
      <c r="DE638" s="11"/>
      <c r="DF638" s="11"/>
      <c r="DG638" s="11"/>
    </row>
    <row r="639" ht="15.75" customHeight="1">
      <c r="CT639" s="11"/>
      <c r="CU639" s="11"/>
      <c r="CV639" s="11"/>
      <c r="CW639" s="11"/>
      <c r="CX639" s="11"/>
      <c r="CY639" s="11"/>
      <c r="CZ639" s="11"/>
      <c r="DA639" s="11"/>
      <c r="DB639" s="11"/>
      <c r="DC639" s="11"/>
      <c r="DD639" s="11"/>
      <c r="DE639" s="11"/>
      <c r="DF639" s="11"/>
      <c r="DG639" s="11"/>
    </row>
    <row r="640" ht="15.75" customHeight="1">
      <c r="CT640" s="11"/>
      <c r="CU640" s="11"/>
      <c r="CV640" s="11"/>
      <c r="CW640" s="11"/>
      <c r="CX640" s="11"/>
      <c r="CY640" s="11"/>
      <c r="CZ640" s="11"/>
      <c r="DA640" s="11"/>
      <c r="DB640" s="11"/>
      <c r="DC640" s="11"/>
      <c r="DD640" s="11"/>
      <c r="DE640" s="11"/>
      <c r="DF640" s="11"/>
      <c r="DG640" s="11"/>
    </row>
    <row r="641" ht="15.75" customHeight="1">
      <c r="CT641" s="11"/>
      <c r="CU641" s="11"/>
      <c r="CV641" s="11"/>
      <c r="CW641" s="11"/>
      <c r="CX641" s="11"/>
      <c r="CY641" s="11"/>
      <c r="CZ641" s="11"/>
      <c r="DA641" s="11"/>
      <c r="DB641" s="11"/>
      <c r="DC641" s="11"/>
      <c r="DD641" s="11"/>
      <c r="DE641" s="11"/>
      <c r="DF641" s="11"/>
      <c r="DG641" s="11"/>
    </row>
    <row r="642" ht="15.75" customHeight="1">
      <c r="CT642" s="11"/>
      <c r="CU642" s="11"/>
      <c r="CV642" s="11"/>
      <c r="CW642" s="11"/>
      <c r="CX642" s="11"/>
      <c r="CY642" s="11"/>
      <c r="CZ642" s="11"/>
      <c r="DA642" s="11"/>
      <c r="DB642" s="11"/>
      <c r="DC642" s="11"/>
      <c r="DD642" s="11"/>
      <c r="DE642" s="11"/>
      <c r="DF642" s="11"/>
      <c r="DG642" s="11"/>
    </row>
    <row r="643" ht="15.75" customHeight="1">
      <c r="CT643" s="11"/>
      <c r="CU643" s="11"/>
      <c r="CV643" s="11"/>
      <c r="CW643" s="11"/>
      <c r="CX643" s="11"/>
      <c r="CY643" s="11"/>
      <c r="CZ643" s="11"/>
      <c r="DA643" s="11"/>
      <c r="DB643" s="11"/>
      <c r="DC643" s="11"/>
      <c r="DD643" s="11"/>
      <c r="DE643" s="11"/>
      <c r="DF643" s="11"/>
      <c r="DG643" s="11"/>
    </row>
    <row r="644" ht="15.75" customHeight="1">
      <c r="CT644" s="11"/>
      <c r="CU644" s="11"/>
      <c r="CV644" s="11"/>
      <c r="CW644" s="11"/>
      <c r="CX644" s="11"/>
      <c r="CY644" s="11"/>
      <c r="CZ644" s="11"/>
      <c r="DA644" s="11"/>
      <c r="DB644" s="11"/>
      <c r="DC644" s="11"/>
      <c r="DD644" s="11"/>
      <c r="DE644" s="11"/>
      <c r="DF644" s="11"/>
      <c r="DG644" s="11"/>
    </row>
    <row r="645" ht="15.75" customHeight="1">
      <c r="CT645" s="11"/>
      <c r="CU645" s="11"/>
      <c r="CV645" s="11"/>
      <c r="CW645" s="11"/>
      <c r="CX645" s="11"/>
      <c r="CY645" s="11"/>
      <c r="CZ645" s="11"/>
      <c r="DA645" s="11"/>
      <c r="DB645" s="11"/>
      <c r="DC645" s="11"/>
      <c r="DD645" s="11"/>
      <c r="DE645" s="11"/>
      <c r="DF645" s="11"/>
      <c r="DG645" s="11"/>
    </row>
    <row r="646" ht="15.75" customHeight="1">
      <c r="CT646" s="11"/>
      <c r="CU646" s="11"/>
      <c r="CV646" s="11"/>
      <c r="CW646" s="11"/>
      <c r="CX646" s="11"/>
      <c r="CY646" s="11"/>
      <c r="CZ646" s="11"/>
      <c r="DA646" s="11"/>
      <c r="DB646" s="11"/>
      <c r="DC646" s="11"/>
      <c r="DD646" s="11"/>
      <c r="DE646" s="11"/>
      <c r="DF646" s="11"/>
      <c r="DG646" s="11"/>
    </row>
    <row r="647" ht="15.75" customHeight="1">
      <c r="CT647" s="11"/>
      <c r="CU647" s="11"/>
      <c r="CV647" s="11"/>
      <c r="CW647" s="11"/>
      <c r="CX647" s="11"/>
      <c r="CY647" s="11"/>
      <c r="CZ647" s="11"/>
      <c r="DA647" s="11"/>
      <c r="DB647" s="11"/>
      <c r="DC647" s="11"/>
      <c r="DD647" s="11"/>
      <c r="DE647" s="11"/>
      <c r="DF647" s="11"/>
      <c r="DG647" s="11"/>
    </row>
    <row r="648" ht="15.75" customHeight="1">
      <c r="CT648" s="11"/>
      <c r="CU648" s="11"/>
      <c r="CV648" s="11"/>
      <c r="CW648" s="11"/>
      <c r="CX648" s="11"/>
      <c r="CY648" s="11"/>
      <c r="CZ648" s="11"/>
      <c r="DA648" s="11"/>
      <c r="DB648" s="11"/>
      <c r="DC648" s="11"/>
      <c r="DD648" s="11"/>
      <c r="DE648" s="11"/>
      <c r="DF648" s="11"/>
      <c r="DG648" s="11"/>
    </row>
    <row r="649" ht="15.75" customHeight="1">
      <c r="CT649" s="11"/>
      <c r="CU649" s="11"/>
      <c r="CV649" s="11"/>
      <c r="CW649" s="11"/>
      <c r="CX649" s="11"/>
      <c r="CY649" s="11"/>
      <c r="CZ649" s="11"/>
      <c r="DA649" s="11"/>
      <c r="DB649" s="11"/>
      <c r="DC649" s="11"/>
      <c r="DD649" s="11"/>
      <c r="DE649" s="11"/>
      <c r="DF649" s="11"/>
      <c r="DG649" s="11"/>
    </row>
    <row r="650" ht="15.75" customHeight="1">
      <c r="CT650" s="11"/>
      <c r="CU650" s="11"/>
      <c r="CV650" s="11"/>
      <c r="CW650" s="11"/>
      <c r="CX650" s="11"/>
      <c r="CY650" s="11"/>
      <c r="CZ650" s="11"/>
      <c r="DA650" s="11"/>
      <c r="DB650" s="11"/>
      <c r="DC650" s="11"/>
      <c r="DD650" s="11"/>
      <c r="DE650" s="11"/>
      <c r="DF650" s="11"/>
      <c r="DG650" s="11"/>
    </row>
    <row r="651" ht="15.75" customHeight="1">
      <c r="CT651" s="11"/>
      <c r="CU651" s="11"/>
      <c r="CV651" s="11"/>
      <c r="CW651" s="11"/>
      <c r="CX651" s="11"/>
      <c r="CY651" s="11"/>
      <c r="CZ651" s="11"/>
      <c r="DA651" s="11"/>
      <c r="DB651" s="11"/>
      <c r="DC651" s="11"/>
      <c r="DD651" s="11"/>
      <c r="DE651" s="11"/>
      <c r="DF651" s="11"/>
      <c r="DG651" s="11"/>
    </row>
    <row r="652" ht="15.75" customHeight="1">
      <c r="CT652" s="11"/>
      <c r="CU652" s="11"/>
      <c r="CV652" s="11"/>
      <c r="CW652" s="11"/>
      <c r="CX652" s="11"/>
      <c r="CY652" s="11"/>
      <c r="CZ652" s="11"/>
      <c r="DA652" s="11"/>
      <c r="DB652" s="11"/>
      <c r="DC652" s="11"/>
      <c r="DD652" s="11"/>
      <c r="DE652" s="11"/>
      <c r="DF652" s="11"/>
      <c r="DG652" s="11"/>
    </row>
    <row r="653" ht="15.75" customHeight="1">
      <c r="CT653" s="11"/>
      <c r="CU653" s="11"/>
      <c r="CV653" s="11"/>
      <c r="CW653" s="11"/>
      <c r="CX653" s="11"/>
      <c r="CY653" s="11"/>
      <c r="CZ653" s="11"/>
      <c r="DA653" s="11"/>
      <c r="DB653" s="11"/>
      <c r="DC653" s="11"/>
      <c r="DD653" s="11"/>
      <c r="DE653" s="11"/>
      <c r="DF653" s="11"/>
      <c r="DG653" s="11"/>
    </row>
    <row r="654" ht="15.75" customHeight="1">
      <c r="CT654" s="11"/>
      <c r="CU654" s="11"/>
      <c r="CV654" s="11"/>
      <c r="CW654" s="11"/>
      <c r="CX654" s="11"/>
      <c r="CY654" s="11"/>
      <c r="CZ654" s="11"/>
      <c r="DA654" s="11"/>
      <c r="DB654" s="11"/>
      <c r="DC654" s="11"/>
      <c r="DD654" s="11"/>
      <c r="DE654" s="11"/>
      <c r="DF654" s="11"/>
      <c r="DG654" s="11"/>
    </row>
    <row r="655" ht="15.75" customHeight="1">
      <c r="CT655" s="11"/>
      <c r="CU655" s="11"/>
      <c r="CV655" s="11"/>
      <c r="CW655" s="11"/>
      <c r="CX655" s="11"/>
      <c r="CY655" s="11"/>
      <c r="CZ655" s="11"/>
      <c r="DA655" s="11"/>
      <c r="DB655" s="11"/>
      <c r="DC655" s="11"/>
      <c r="DD655" s="11"/>
      <c r="DE655" s="11"/>
      <c r="DF655" s="11"/>
      <c r="DG655" s="11"/>
    </row>
    <row r="656" ht="15.75" customHeight="1">
      <c r="CT656" s="11"/>
      <c r="CU656" s="11"/>
      <c r="CV656" s="11"/>
      <c r="CW656" s="11"/>
      <c r="CX656" s="11"/>
      <c r="CY656" s="11"/>
      <c r="CZ656" s="11"/>
      <c r="DA656" s="11"/>
      <c r="DB656" s="11"/>
      <c r="DC656" s="11"/>
      <c r="DD656" s="11"/>
      <c r="DE656" s="11"/>
      <c r="DF656" s="11"/>
      <c r="DG656" s="11"/>
    </row>
    <row r="657" ht="15.75" customHeight="1">
      <c r="CT657" s="11"/>
      <c r="CU657" s="11"/>
      <c r="CV657" s="11"/>
      <c r="CW657" s="11"/>
      <c r="CX657" s="11"/>
      <c r="CY657" s="11"/>
      <c r="CZ657" s="11"/>
      <c r="DA657" s="11"/>
      <c r="DB657" s="11"/>
      <c r="DC657" s="11"/>
      <c r="DD657" s="11"/>
      <c r="DE657" s="11"/>
      <c r="DF657" s="11"/>
      <c r="DG657" s="11"/>
    </row>
    <row r="658" ht="15.75" customHeight="1">
      <c r="CT658" s="11"/>
      <c r="CU658" s="11"/>
      <c r="CV658" s="11"/>
      <c r="CW658" s="11"/>
      <c r="CX658" s="11"/>
      <c r="CY658" s="11"/>
      <c r="CZ658" s="11"/>
      <c r="DA658" s="11"/>
      <c r="DB658" s="11"/>
      <c r="DC658" s="11"/>
      <c r="DD658" s="11"/>
      <c r="DE658" s="11"/>
      <c r="DF658" s="11"/>
      <c r="DG658" s="11"/>
    </row>
    <row r="659" ht="15.75" customHeight="1">
      <c r="CT659" s="11"/>
      <c r="CU659" s="11"/>
      <c r="CV659" s="11"/>
      <c r="CW659" s="11"/>
      <c r="CX659" s="11"/>
      <c r="CY659" s="11"/>
      <c r="CZ659" s="11"/>
      <c r="DA659" s="11"/>
      <c r="DB659" s="11"/>
      <c r="DC659" s="11"/>
      <c r="DD659" s="11"/>
      <c r="DE659" s="11"/>
      <c r="DF659" s="11"/>
      <c r="DG659" s="11"/>
    </row>
    <row r="660" ht="15.75" customHeight="1">
      <c r="CT660" s="11"/>
      <c r="CU660" s="11"/>
      <c r="CV660" s="11"/>
      <c r="CW660" s="11"/>
      <c r="CX660" s="11"/>
      <c r="CY660" s="11"/>
      <c r="CZ660" s="11"/>
      <c r="DA660" s="11"/>
      <c r="DB660" s="11"/>
      <c r="DC660" s="11"/>
      <c r="DD660" s="11"/>
      <c r="DE660" s="11"/>
      <c r="DF660" s="11"/>
      <c r="DG660" s="11"/>
    </row>
    <row r="661" ht="15.75" customHeight="1">
      <c r="CT661" s="11"/>
      <c r="CU661" s="11"/>
      <c r="CV661" s="11"/>
      <c r="CW661" s="11"/>
      <c r="CX661" s="11"/>
      <c r="CY661" s="11"/>
      <c r="CZ661" s="11"/>
      <c r="DA661" s="11"/>
      <c r="DB661" s="11"/>
      <c r="DC661" s="11"/>
      <c r="DD661" s="11"/>
      <c r="DE661" s="11"/>
      <c r="DF661" s="11"/>
      <c r="DG661" s="11"/>
    </row>
    <row r="662" ht="15.75" customHeight="1">
      <c r="CT662" s="11"/>
      <c r="CU662" s="11"/>
      <c r="CV662" s="11"/>
      <c r="CW662" s="11"/>
      <c r="CX662" s="11"/>
      <c r="CY662" s="11"/>
      <c r="CZ662" s="11"/>
      <c r="DA662" s="11"/>
      <c r="DB662" s="11"/>
      <c r="DC662" s="11"/>
      <c r="DD662" s="11"/>
      <c r="DE662" s="11"/>
      <c r="DF662" s="11"/>
      <c r="DG662" s="11"/>
    </row>
    <row r="663" ht="15.75" customHeight="1">
      <c r="CT663" s="11"/>
      <c r="CU663" s="11"/>
      <c r="CV663" s="11"/>
      <c r="CW663" s="11"/>
      <c r="CX663" s="11"/>
      <c r="CY663" s="11"/>
      <c r="CZ663" s="11"/>
      <c r="DA663" s="11"/>
      <c r="DB663" s="11"/>
      <c r="DC663" s="11"/>
      <c r="DD663" s="11"/>
      <c r="DE663" s="11"/>
      <c r="DF663" s="11"/>
      <c r="DG663" s="11"/>
    </row>
    <row r="664" ht="15.75" customHeight="1">
      <c r="CT664" s="11"/>
      <c r="CU664" s="11"/>
      <c r="CV664" s="11"/>
      <c r="CW664" s="11"/>
      <c r="CX664" s="11"/>
      <c r="CY664" s="11"/>
      <c r="CZ664" s="11"/>
      <c r="DA664" s="11"/>
      <c r="DB664" s="11"/>
      <c r="DC664" s="11"/>
      <c r="DD664" s="11"/>
      <c r="DE664" s="11"/>
      <c r="DF664" s="11"/>
      <c r="DG664" s="11"/>
    </row>
    <row r="665" ht="15.75" customHeight="1">
      <c r="CT665" s="11"/>
      <c r="CU665" s="11"/>
      <c r="CV665" s="11"/>
      <c r="CW665" s="11"/>
      <c r="CX665" s="11"/>
      <c r="CY665" s="11"/>
      <c r="CZ665" s="11"/>
      <c r="DA665" s="11"/>
      <c r="DB665" s="11"/>
      <c r="DC665" s="11"/>
      <c r="DD665" s="11"/>
      <c r="DE665" s="11"/>
      <c r="DF665" s="11"/>
      <c r="DG665" s="11"/>
    </row>
    <row r="666" ht="15.75" customHeight="1">
      <c r="CT666" s="11"/>
      <c r="CU666" s="11"/>
      <c r="CV666" s="11"/>
      <c r="CW666" s="11"/>
      <c r="CX666" s="11"/>
      <c r="CY666" s="11"/>
      <c r="CZ666" s="11"/>
      <c r="DA666" s="11"/>
      <c r="DB666" s="11"/>
      <c r="DC666" s="11"/>
      <c r="DD666" s="11"/>
      <c r="DE666" s="11"/>
      <c r="DF666" s="11"/>
      <c r="DG666" s="11"/>
    </row>
    <row r="667" ht="15.75" customHeight="1">
      <c r="CT667" s="11"/>
      <c r="CU667" s="11"/>
      <c r="CV667" s="11"/>
      <c r="CW667" s="11"/>
      <c r="CX667" s="11"/>
      <c r="CY667" s="11"/>
      <c r="CZ667" s="11"/>
      <c r="DA667" s="11"/>
      <c r="DB667" s="11"/>
      <c r="DC667" s="11"/>
      <c r="DD667" s="11"/>
      <c r="DE667" s="11"/>
      <c r="DF667" s="11"/>
      <c r="DG667" s="11"/>
    </row>
    <row r="668" ht="15.75" customHeight="1">
      <c r="CT668" s="11"/>
      <c r="CU668" s="11"/>
      <c r="CV668" s="11"/>
      <c r="CW668" s="11"/>
      <c r="CX668" s="11"/>
      <c r="CY668" s="11"/>
      <c r="CZ668" s="11"/>
      <c r="DA668" s="11"/>
      <c r="DB668" s="11"/>
      <c r="DC668" s="11"/>
      <c r="DD668" s="11"/>
      <c r="DE668" s="11"/>
      <c r="DF668" s="11"/>
      <c r="DG668" s="11"/>
    </row>
    <row r="669" ht="15.75" customHeight="1">
      <c r="CT669" s="11"/>
      <c r="CU669" s="11"/>
      <c r="CV669" s="11"/>
      <c r="CW669" s="11"/>
      <c r="CX669" s="11"/>
      <c r="CY669" s="11"/>
      <c r="CZ669" s="11"/>
      <c r="DA669" s="11"/>
      <c r="DB669" s="11"/>
      <c r="DC669" s="11"/>
      <c r="DD669" s="11"/>
      <c r="DE669" s="11"/>
      <c r="DF669" s="11"/>
      <c r="DG669" s="11"/>
    </row>
    <row r="670" ht="15.75" customHeight="1">
      <c r="CT670" s="11"/>
      <c r="CU670" s="11"/>
      <c r="CV670" s="11"/>
      <c r="CW670" s="11"/>
      <c r="CX670" s="11"/>
      <c r="CY670" s="11"/>
      <c r="CZ670" s="11"/>
      <c r="DA670" s="11"/>
      <c r="DB670" s="11"/>
      <c r="DC670" s="11"/>
      <c r="DD670" s="11"/>
      <c r="DE670" s="11"/>
      <c r="DF670" s="11"/>
      <c r="DG670" s="11"/>
    </row>
    <row r="671" ht="15.75" customHeight="1">
      <c r="CT671" s="11"/>
      <c r="CU671" s="11"/>
      <c r="CV671" s="11"/>
      <c r="CW671" s="11"/>
      <c r="CX671" s="11"/>
      <c r="CY671" s="11"/>
      <c r="CZ671" s="11"/>
      <c r="DA671" s="11"/>
      <c r="DB671" s="11"/>
      <c r="DC671" s="11"/>
      <c r="DD671" s="11"/>
      <c r="DE671" s="11"/>
      <c r="DF671" s="11"/>
      <c r="DG671" s="11"/>
    </row>
    <row r="672" ht="15.75" customHeight="1">
      <c r="CT672" s="11"/>
      <c r="CU672" s="11"/>
      <c r="CV672" s="11"/>
      <c r="CW672" s="11"/>
      <c r="CX672" s="11"/>
      <c r="CY672" s="11"/>
      <c r="CZ672" s="11"/>
      <c r="DA672" s="11"/>
      <c r="DB672" s="11"/>
      <c r="DC672" s="11"/>
      <c r="DD672" s="11"/>
      <c r="DE672" s="11"/>
      <c r="DF672" s="11"/>
      <c r="DG672" s="11"/>
    </row>
    <row r="673" ht="15.75" customHeight="1">
      <c r="CT673" s="11"/>
      <c r="CU673" s="11"/>
      <c r="CV673" s="11"/>
      <c r="CW673" s="11"/>
      <c r="CX673" s="11"/>
      <c r="CY673" s="11"/>
      <c r="CZ673" s="11"/>
      <c r="DA673" s="11"/>
      <c r="DB673" s="11"/>
      <c r="DC673" s="11"/>
      <c r="DD673" s="11"/>
      <c r="DE673" s="11"/>
      <c r="DF673" s="11"/>
      <c r="DG673" s="11"/>
    </row>
    <row r="674" ht="15.75" customHeight="1">
      <c r="CT674" s="11"/>
      <c r="CU674" s="11"/>
      <c r="CV674" s="11"/>
      <c r="CW674" s="11"/>
      <c r="CX674" s="11"/>
      <c r="CY674" s="11"/>
      <c r="CZ674" s="11"/>
      <c r="DA674" s="11"/>
      <c r="DB674" s="11"/>
      <c r="DC674" s="11"/>
      <c r="DD674" s="11"/>
      <c r="DE674" s="11"/>
      <c r="DF674" s="11"/>
      <c r="DG674" s="11"/>
    </row>
    <row r="675" ht="15.75" customHeight="1">
      <c r="CT675" s="11"/>
      <c r="CU675" s="11"/>
      <c r="CV675" s="11"/>
      <c r="CW675" s="11"/>
      <c r="CX675" s="11"/>
      <c r="CY675" s="11"/>
      <c r="CZ675" s="11"/>
      <c r="DA675" s="11"/>
      <c r="DB675" s="11"/>
      <c r="DC675" s="11"/>
      <c r="DD675" s="11"/>
      <c r="DE675" s="11"/>
      <c r="DF675" s="11"/>
      <c r="DG675" s="11"/>
    </row>
    <row r="676" ht="15.75" customHeight="1">
      <c r="CT676" s="11"/>
      <c r="CU676" s="11"/>
      <c r="CV676" s="11"/>
      <c r="CW676" s="11"/>
      <c r="CX676" s="11"/>
      <c r="CY676" s="11"/>
      <c r="CZ676" s="11"/>
      <c r="DA676" s="11"/>
      <c r="DB676" s="11"/>
      <c r="DC676" s="11"/>
      <c r="DD676" s="11"/>
      <c r="DE676" s="11"/>
      <c r="DF676" s="11"/>
      <c r="DG676" s="11"/>
    </row>
    <row r="677" ht="15.75" customHeight="1">
      <c r="CT677" s="11"/>
      <c r="CU677" s="11"/>
      <c r="CV677" s="11"/>
      <c r="CW677" s="11"/>
      <c r="CX677" s="11"/>
      <c r="CY677" s="11"/>
      <c r="CZ677" s="11"/>
      <c r="DA677" s="11"/>
      <c r="DB677" s="11"/>
      <c r="DC677" s="11"/>
      <c r="DD677" s="11"/>
      <c r="DE677" s="11"/>
      <c r="DF677" s="11"/>
      <c r="DG677" s="11"/>
    </row>
    <row r="678" ht="15.75" customHeight="1">
      <c r="CT678" s="11"/>
      <c r="CU678" s="11"/>
      <c r="CV678" s="11"/>
      <c r="CW678" s="11"/>
      <c r="CX678" s="11"/>
      <c r="CY678" s="11"/>
      <c r="CZ678" s="11"/>
      <c r="DA678" s="11"/>
      <c r="DB678" s="11"/>
      <c r="DC678" s="11"/>
      <c r="DD678" s="11"/>
      <c r="DE678" s="11"/>
      <c r="DF678" s="11"/>
      <c r="DG678" s="11"/>
    </row>
    <row r="679" ht="15.75" customHeight="1">
      <c r="CT679" s="11"/>
      <c r="CU679" s="11"/>
      <c r="CV679" s="11"/>
      <c r="CW679" s="11"/>
      <c r="CX679" s="11"/>
      <c r="CY679" s="11"/>
      <c r="CZ679" s="11"/>
      <c r="DA679" s="11"/>
      <c r="DB679" s="11"/>
      <c r="DC679" s="11"/>
      <c r="DD679" s="11"/>
      <c r="DE679" s="11"/>
      <c r="DF679" s="11"/>
      <c r="DG679" s="11"/>
    </row>
    <row r="680" ht="15.75" customHeight="1">
      <c r="CT680" s="11"/>
      <c r="CU680" s="11"/>
      <c r="CV680" s="11"/>
      <c r="CW680" s="11"/>
      <c r="CX680" s="11"/>
      <c r="CY680" s="11"/>
      <c r="CZ680" s="11"/>
      <c r="DA680" s="11"/>
      <c r="DB680" s="11"/>
      <c r="DC680" s="11"/>
      <c r="DD680" s="11"/>
      <c r="DE680" s="11"/>
      <c r="DF680" s="11"/>
      <c r="DG680" s="11"/>
    </row>
    <row r="681" ht="15.75" customHeight="1">
      <c r="CT681" s="11"/>
      <c r="CU681" s="11"/>
      <c r="CV681" s="11"/>
      <c r="CW681" s="11"/>
      <c r="CX681" s="11"/>
      <c r="CY681" s="11"/>
      <c r="CZ681" s="11"/>
      <c r="DA681" s="11"/>
      <c r="DB681" s="11"/>
      <c r="DC681" s="11"/>
      <c r="DD681" s="11"/>
      <c r="DE681" s="11"/>
      <c r="DF681" s="11"/>
      <c r="DG681" s="11"/>
    </row>
    <row r="682" ht="15.75" customHeight="1">
      <c r="CT682" s="11"/>
      <c r="CU682" s="11"/>
      <c r="CV682" s="11"/>
      <c r="CW682" s="11"/>
      <c r="CX682" s="11"/>
      <c r="CY682" s="11"/>
      <c r="CZ682" s="11"/>
      <c r="DA682" s="11"/>
      <c r="DB682" s="11"/>
      <c r="DC682" s="11"/>
      <c r="DD682" s="11"/>
      <c r="DE682" s="11"/>
      <c r="DF682" s="11"/>
      <c r="DG682" s="11"/>
    </row>
    <row r="683" ht="15.75" customHeight="1">
      <c r="CT683" s="11"/>
      <c r="CU683" s="11"/>
      <c r="CV683" s="11"/>
      <c r="CW683" s="11"/>
      <c r="CX683" s="11"/>
      <c r="CY683" s="11"/>
      <c r="CZ683" s="11"/>
      <c r="DA683" s="11"/>
      <c r="DB683" s="11"/>
      <c r="DC683" s="11"/>
      <c r="DD683" s="11"/>
      <c r="DE683" s="11"/>
      <c r="DF683" s="11"/>
      <c r="DG683" s="11"/>
    </row>
    <row r="684" ht="15.75" customHeight="1">
      <c r="CT684" s="11"/>
      <c r="CU684" s="11"/>
      <c r="CV684" s="11"/>
      <c r="CW684" s="11"/>
      <c r="CX684" s="11"/>
      <c r="CY684" s="11"/>
      <c r="CZ684" s="11"/>
      <c r="DA684" s="11"/>
      <c r="DB684" s="11"/>
      <c r="DC684" s="11"/>
      <c r="DD684" s="11"/>
      <c r="DE684" s="11"/>
      <c r="DF684" s="11"/>
      <c r="DG684" s="11"/>
    </row>
    <row r="685" ht="15.75" customHeight="1">
      <c r="CT685" s="11"/>
      <c r="CU685" s="11"/>
      <c r="CV685" s="11"/>
      <c r="CW685" s="11"/>
      <c r="CX685" s="11"/>
      <c r="CY685" s="11"/>
      <c r="CZ685" s="11"/>
      <c r="DA685" s="11"/>
      <c r="DB685" s="11"/>
      <c r="DC685" s="11"/>
      <c r="DD685" s="11"/>
      <c r="DE685" s="11"/>
      <c r="DF685" s="11"/>
      <c r="DG685" s="11"/>
    </row>
    <row r="686" ht="15.75" customHeight="1">
      <c r="CT686" s="11"/>
      <c r="CU686" s="11"/>
      <c r="CV686" s="11"/>
      <c r="CW686" s="11"/>
      <c r="CX686" s="11"/>
      <c r="CY686" s="11"/>
      <c r="CZ686" s="11"/>
      <c r="DA686" s="11"/>
      <c r="DB686" s="11"/>
      <c r="DC686" s="11"/>
      <c r="DD686" s="11"/>
      <c r="DE686" s="11"/>
      <c r="DF686" s="11"/>
      <c r="DG686" s="11"/>
    </row>
    <row r="687" ht="15.75" customHeight="1">
      <c r="CT687" s="11"/>
      <c r="CU687" s="11"/>
      <c r="CV687" s="11"/>
      <c r="CW687" s="11"/>
      <c r="CX687" s="11"/>
      <c r="CY687" s="11"/>
      <c r="CZ687" s="11"/>
      <c r="DA687" s="11"/>
      <c r="DB687" s="11"/>
      <c r="DC687" s="11"/>
      <c r="DD687" s="11"/>
      <c r="DE687" s="11"/>
      <c r="DF687" s="11"/>
      <c r="DG687" s="11"/>
    </row>
    <row r="688" ht="15.75" customHeight="1">
      <c r="CT688" s="11"/>
      <c r="CU688" s="11"/>
      <c r="CV688" s="11"/>
      <c r="CW688" s="11"/>
      <c r="CX688" s="11"/>
      <c r="CY688" s="11"/>
      <c r="CZ688" s="11"/>
      <c r="DA688" s="11"/>
      <c r="DB688" s="11"/>
      <c r="DC688" s="11"/>
      <c r="DD688" s="11"/>
      <c r="DE688" s="11"/>
      <c r="DF688" s="11"/>
      <c r="DG688" s="11"/>
    </row>
    <row r="689" ht="15.75" customHeight="1">
      <c r="CT689" s="11"/>
      <c r="CU689" s="11"/>
      <c r="CV689" s="11"/>
      <c r="CW689" s="11"/>
      <c r="CX689" s="11"/>
      <c r="CY689" s="11"/>
      <c r="CZ689" s="11"/>
      <c r="DA689" s="11"/>
      <c r="DB689" s="11"/>
      <c r="DC689" s="11"/>
      <c r="DD689" s="11"/>
      <c r="DE689" s="11"/>
      <c r="DF689" s="11"/>
      <c r="DG689" s="11"/>
    </row>
    <row r="690" ht="15.75" customHeight="1">
      <c r="CT690" s="11"/>
      <c r="CU690" s="11"/>
      <c r="CV690" s="11"/>
      <c r="CW690" s="11"/>
      <c r="CX690" s="11"/>
      <c r="CY690" s="11"/>
      <c r="CZ690" s="11"/>
      <c r="DA690" s="11"/>
      <c r="DB690" s="11"/>
      <c r="DC690" s="11"/>
      <c r="DD690" s="11"/>
      <c r="DE690" s="11"/>
      <c r="DF690" s="11"/>
      <c r="DG690" s="11"/>
    </row>
    <row r="691" ht="15.75" customHeight="1">
      <c r="CT691" s="11"/>
      <c r="CU691" s="11"/>
      <c r="CV691" s="11"/>
      <c r="CW691" s="11"/>
      <c r="CX691" s="11"/>
      <c r="CY691" s="11"/>
      <c r="CZ691" s="11"/>
      <c r="DA691" s="11"/>
      <c r="DB691" s="11"/>
      <c r="DC691" s="11"/>
      <c r="DD691" s="11"/>
      <c r="DE691" s="11"/>
      <c r="DF691" s="11"/>
      <c r="DG691" s="11"/>
    </row>
    <row r="692" ht="15.75" customHeight="1">
      <c r="CT692" s="11"/>
      <c r="CU692" s="11"/>
      <c r="CV692" s="11"/>
      <c r="CW692" s="11"/>
      <c r="CX692" s="11"/>
      <c r="CY692" s="11"/>
      <c r="CZ692" s="11"/>
      <c r="DA692" s="11"/>
      <c r="DB692" s="11"/>
      <c r="DC692" s="11"/>
      <c r="DD692" s="11"/>
      <c r="DE692" s="11"/>
      <c r="DF692" s="11"/>
      <c r="DG692" s="11"/>
    </row>
    <row r="693" ht="15.75" customHeight="1">
      <c r="CT693" s="11"/>
      <c r="CU693" s="11"/>
      <c r="CV693" s="11"/>
      <c r="CW693" s="11"/>
      <c r="CX693" s="11"/>
      <c r="CY693" s="11"/>
      <c r="CZ693" s="11"/>
      <c r="DA693" s="11"/>
      <c r="DB693" s="11"/>
      <c r="DC693" s="11"/>
      <c r="DD693" s="11"/>
      <c r="DE693" s="11"/>
      <c r="DF693" s="11"/>
      <c r="DG693" s="11"/>
    </row>
    <row r="694" ht="15.75" customHeight="1">
      <c r="CT694" s="11"/>
      <c r="CU694" s="11"/>
      <c r="CV694" s="11"/>
      <c r="CW694" s="11"/>
      <c r="CX694" s="11"/>
      <c r="CY694" s="11"/>
      <c r="CZ694" s="11"/>
      <c r="DA694" s="11"/>
      <c r="DB694" s="11"/>
      <c r="DC694" s="11"/>
      <c r="DD694" s="11"/>
      <c r="DE694" s="11"/>
      <c r="DF694" s="11"/>
      <c r="DG694" s="11"/>
    </row>
    <row r="695" ht="15.75" customHeight="1">
      <c r="CT695" s="11"/>
      <c r="CU695" s="11"/>
      <c r="CV695" s="11"/>
      <c r="CW695" s="11"/>
      <c r="CX695" s="11"/>
      <c r="CY695" s="11"/>
      <c r="CZ695" s="11"/>
      <c r="DA695" s="11"/>
      <c r="DB695" s="11"/>
      <c r="DC695" s="11"/>
      <c r="DD695" s="11"/>
      <c r="DE695" s="11"/>
      <c r="DF695" s="11"/>
      <c r="DG695" s="11"/>
    </row>
    <row r="696" ht="15.75" customHeight="1">
      <c r="CT696" s="11"/>
      <c r="CU696" s="11"/>
      <c r="CV696" s="11"/>
      <c r="CW696" s="11"/>
      <c r="CX696" s="11"/>
      <c r="CY696" s="11"/>
      <c r="CZ696" s="11"/>
      <c r="DA696" s="11"/>
      <c r="DB696" s="11"/>
      <c r="DC696" s="11"/>
      <c r="DD696" s="11"/>
      <c r="DE696" s="11"/>
      <c r="DF696" s="11"/>
      <c r="DG696" s="11"/>
    </row>
    <row r="697" ht="15.75" customHeight="1">
      <c r="CT697" s="11"/>
      <c r="CU697" s="11"/>
      <c r="CV697" s="11"/>
      <c r="CW697" s="11"/>
      <c r="CX697" s="11"/>
      <c r="CY697" s="11"/>
      <c r="CZ697" s="11"/>
      <c r="DA697" s="11"/>
      <c r="DB697" s="11"/>
      <c r="DC697" s="11"/>
      <c r="DD697" s="11"/>
      <c r="DE697" s="11"/>
      <c r="DF697" s="11"/>
      <c r="DG697" s="11"/>
    </row>
    <row r="698" ht="15.75" customHeight="1">
      <c r="CT698" s="11"/>
      <c r="CU698" s="11"/>
      <c r="CV698" s="11"/>
      <c r="CW698" s="11"/>
      <c r="CX698" s="11"/>
      <c r="CY698" s="11"/>
      <c r="CZ698" s="11"/>
      <c r="DA698" s="11"/>
      <c r="DB698" s="11"/>
      <c r="DC698" s="11"/>
      <c r="DD698" s="11"/>
      <c r="DE698" s="11"/>
      <c r="DF698" s="11"/>
      <c r="DG698" s="11"/>
    </row>
    <row r="699" ht="15.75" customHeight="1">
      <c r="CT699" s="11"/>
      <c r="CU699" s="11"/>
      <c r="CV699" s="11"/>
      <c r="CW699" s="11"/>
      <c r="CX699" s="11"/>
      <c r="CY699" s="11"/>
      <c r="CZ699" s="11"/>
      <c r="DA699" s="11"/>
      <c r="DB699" s="11"/>
      <c r="DC699" s="11"/>
      <c r="DD699" s="11"/>
      <c r="DE699" s="11"/>
      <c r="DF699" s="11"/>
      <c r="DG699" s="11"/>
    </row>
    <row r="700" ht="15.75" customHeight="1">
      <c r="CT700" s="11"/>
      <c r="CU700" s="11"/>
      <c r="CV700" s="11"/>
      <c r="CW700" s="11"/>
      <c r="CX700" s="11"/>
      <c r="CY700" s="11"/>
      <c r="CZ700" s="11"/>
      <c r="DA700" s="11"/>
      <c r="DB700" s="11"/>
      <c r="DC700" s="11"/>
      <c r="DD700" s="11"/>
      <c r="DE700" s="11"/>
      <c r="DF700" s="11"/>
      <c r="DG700" s="11"/>
    </row>
    <row r="701" ht="15.75" customHeight="1">
      <c r="CT701" s="11"/>
      <c r="CU701" s="11"/>
      <c r="CV701" s="11"/>
      <c r="CW701" s="11"/>
      <c r="CX701" s="11"/>
      <c r="CY701" s="11"/>
      <c r="CZ701" s="11"/>
      <c r="DA701" s="11"/>
      <c r="DB701" s="11"/>
      <c r="DC701" s="11"/>
      <c r="DD701" s="11"/>
      <c r="DE701" s="11"/>
      <c r="DF701" s="11"/>
      <c r="DG701" s="11"/>
    </row>
    <row r="702" ht="15.75" customHeight="1">
      <c r="CT702" s="11"/>
      <c r="CU702" s="11"/>
      <c r="CV702" s="11"/>
      <c r="CW702" s="11"/>
      <c r="CX702" s="11"/>
      <c r="CY702" s="11"/>
      <c r="CZ702" s="11"/>
      <c r="DA702" s="11"/>
      <c r="DB702" s="11"/>
      <c r="DC702" s="11"/>
      <c r="DD702" s="11"/>
      <c r="DE702" s="11"/>
      <c r="DF702" s="11"/>
      <c r="DG702" s="11"/>
    </row>
    <row r="703" ht="15.75" customHeight="1">
      <c r="CT703" s="11"/>
      <c r="CU703" s="11"/>
      <c r="CV703" s="11"/>
      <c r="CW703" s="11"/>
      <c r="CX703" s="11"/>
      <c r="CY703" s="11"/>
      <c r="CZ703" s="11"/>
      <c r="DA703" s="11"/>
      <c r="DB703" s="11"/>
      <c r="DC703" s="11"/>
      <c r="DD703" s="11"/>
      <c r="DE703" s="11"/>
      <c r="DF703" s="11"/>
      <c r="DG703" s="11"/>
    </row>
    <row r="704" ht="15.75" customHeight="1">
      <c r="CT704" s="11"/>
      <c r="CU704" s="11"/>
      <c r="CV704" s="11"/>
      <c r="CW704" s="11"/>
      <c r="CX704" s="11"/>
      <c r="CY704" s="11"/>
      <c r="CZ704" s="11"/>
      <c r="DA704" s="11"/>
      <c r="DB704" s="11"/>
      <c r="DC704" s="11"/>
      <c r="DD704" s="11"/>
      <c r="DE704" s="11"/>
      <c r="DF704" s="11"/>
      <c r="DG704" s="11"/>
    </row>
    <row r="705" ht="15.75" customHeight="1">
      <c r="CT705" s="11"/>
      <c r="CU705" s="11"/>
      <c r="CV705" s="11"/>
      <c r="CW705" s="11"/>
      <c r="CX705" s="11"/>
      <c r="CY705" s="11"/>
      <c r="CZ705" s="11"/>
      <c r="DA705" s="11"/>
      <c r="DB705" s="11"/>
      <c r="DC705" s="11"/>
      <c r="DD705" s="11"/>
      <c r="DE705" s="11"/>
      <c r="DF705" s="11"/>
      <c r="DG705" s="11"/>
    </row>
    <row r="706" ht="15.75" customHeight="1">
      <c r="CT706" s="11"/>
      <c r="CU706" s="11"/>
      <c r="CV706" s="11"/>
      <c r="CW706" s="11"/>
      <c r="CX706" s="11"/>
      <c r="CY706" s="11"/>
      <c r="CZ706" s="11"/>
      <c r="DA706" s="11"/>
      <c r="DB706" s="11"/>
      <c r="DC706" s="11"/>
      <c r="DD706" s="11"/>
      <c r="DE706" s="11"/>
      <c r="DF706" s="11"/>
      <c r="DG706" s="11"/>
    </row>
    <row r="707" ht="15.75" customHeight="1">
      <c r="CT707" s="11"/>
      <c r="CU707" s="11"/>
      <c r="CV707" s="11"/>
      <c r="CW707" s="11"/>
      <c r="CX707" s="11"/>
      <c r="CY707" s="11"/>
      <c r="CZ707" s="11"/>
      <c r="DA707" s="11"/>
      <c r="DB707" s="11"/>
      <c r="DC707" s="11"/>
      <c r="DD707" s="11"/>
      <c r="DE707" s="11"/>
      <c r="DF707" s="11"/>
      <c r="DG707" s="11"/>
    </row>
    <row r="708" ht="15.75" customHeight="1">
      <c r="CT708" s="11"/>
      <c r="CU708" s="11"/>
      <c r="CV708" s="11"/>
      <c r="CW708" s="11"/>
      <c r="CX708" s="11"/>
      <c r="CY708" s="11"/>
      <c r="CZ708" s="11"/>
      <c r="DA708" s="11"/>
      <c r="DB708" s="11"/>
      <c r="DC708" s="11"/>
      <c r="DD708" s="11"/>
      <c r="DE708" s="11"/>
      <c r="DF708" s="11"/>
      <c r="DG708" s="11"/>
    </row>
    <row r="709" ht="15.75" customHeight="1">
      <c r="CT709" s="11"/>
      <c r="CU709" s="11"/>
      <c r="CV709" s="11"/>
      <c r="CW709" s="11"/>
      <c r="CX709" s="11"/>
      <c r="CY709" s="11"/>
      <c r="CZ709" s="11"/>
      <c r="DA709" s="11"/>
      <c r="DB709" s="11"/>
      <c r="DC709" s="11"/>
      <c r="DD709" s="11"/>
      <c r="DE709" s="11"/>
      <c r="DF709" s="11"/>
      <c r="DG709" s="11"/>
    </row>
    <row r="710" ht="15.75" customHeight="1">
      <c r="CT710" s="11"/>
      <c r="CU710" s="11"/>
      <c r="CV710" s="11"/>
      <c r="CW710" s="11"/>
      <c r="CX710" s="11"/>
      <c r="CY710" s="11"/>
      <c r="CZ710" s="11"/>
      <c r="DA710" s="11"/>
      <c r="DB710" s="11"/>
      <c r="DC710" s="11"/>
      <c r="DD710" s="11"/>
      <c r="DE710" s="11"/>
      <c r="DF710" s="11"/>
      <c r="DG710" s="11"/>
    </row>
    <row r="711" ht="15.75" customHeight="1">
      <c r="CT711" s="11"/>
      <c r="CU711" s="11"/>
      <c r="CV711" s="11"/>
      <c r="CW711" s="11"/>
      <c r="CX711" s="11"/>
      <c r="CY711" s="11"/>
      <c r="CZ711" s="11"/>
      <c r="DA711" s="11"/>
      <c r="DB711" s="11"/>
      <c r="DC711" s="11"/>
      <c r="DD711" s="11"/>
      <c r="DE711" s="11"/>
      <c r="DF711" s="11"/>
      <c r="DG711" s="11"/>
    </row>
    <row r="712" ht="15.75" customHeight="1">
      <c r="CT712" s="11"/>
      <c r="CU712" s="11"/>
      <c r="CV712" s="11"/>
      <c r="CW712" s="11"/>
      <c r="CX712" s="11"/>
      <c r="CY712" s="11"/>
      <c r="CZ712" s="11"/>
      <c r="DA712" s="11"/>
      <c r="DB712" s="11"/>
      <c r="DC712" s="11"/>
      <c r="DD712" s="11"/>
      <c r="DE712" s="11"/>
      <c r="DF712" s="11"/>
      <c r="DG712" s="11"/>
    </row>
    <row r="713" ht="15.75" customHeight="1">
      <c r="CT713" s="11"/>
      <c r="CU713" s="11"/>
      <c r="CV713" s="11"/>
      <c r="CW713" s="11"/>
      <c r="CX713" s="11"/>
      <c r="CY713" s="11"/>
      <c r="CZ713" s="11"/>
      <c r="DA713" s="11"/>
      <c r="DB713" s="11"/>
      <c r="DC713" s="11"/>
      <c r="DD713" s="11"/>
      <c r="DE713" s="11"/>
      <c r="DF713" s="11"/>
      <c r="DG713" s="11"/>
    </row>
    <row r="714" ht="15.75" customHeight="1">
      <c r="CT714" s="11"/>
      <c r="CU714" s="11"/>
      <c r="CV714" s="11"/>
      <c r="CW714" s="11"/>
      <c r="CX714" s="11"/>
      <c r="CY714" s="11"/>
      <c r="CZ714" s="11"/>
      <c r="DA714" s="11"/>
      <c r="DB714" s="11"/>
      <c r="DC714" s="11"/>
      <c r="DD714" s="11"/>
      <c r="DE714" s="11"/>
      <c r="DF714" s="11"/>
      <c r="DG714" s="11"/>
    </row>
    <row r="715" ht="15.75" customHeight="1">
      <c r="CT715" s="11"/>
      <c r="CU715" s="11"/>
      <c r="CV715" s="11"/>
      <c r="CW715" s="11"/>
      <c r="CX715" s="11"/>
      <c r="CY715" s="11"/>
      <c r="CZ715" s="11"/>
      <c r="DA715" s="11"/>
      <c r="DB715" s="11"/>
      <c r="DC715" s="11"/>
      <c r="DD715" s="11"/>
      <c r="DE715" s="11"/>
      <c r="DF715" s="11"/>
      <c r="DG715" s="11"/>
    </row>
    <row r="716" ht="15.75" customHeight="1">
      <c r="CT716" s="11"/>
      <c r="CU716" s="11"/>
      <c r="CV716" s="11"/>
      <c r="CW716" s="11"/>
      <c r="CX716" s="11"/>
      <c r="CY716" s="11"/>
      <c r="CZ716" s="11"/>
      <c r="DA716" s="11"/>
      <c r="DB716" s="11"/>
      <c r="DC716" s="11"/>
      <c r="DD716" s="11"/>
      <c r="DE716" s="11"/>
      <c r="DF716" s="11"/>
      <c r="DG716" s="11"/>
    </row>
    <row r="717" ht="15.75" customHeight="1">
      <c r="CT717" s="11"/>
      <c r="CU717" s="11"/>
      <c r="CV717" s="11"/>
      <c r="CW717" s="11"/>
      <c r="CX717" s="11"/>
      <c r="CY717" s="11"/>
      <c r="CZ717" s="11"/>
      <c r="DA717" s="11"/>
      <c r="DB717" s="11"/>
      <c r="DC717" s="11"/>
      <c r="DD717" s="11"/>
      <c r="DE717" s="11"/>
      <c r="DF717" s="11"/>
      <c r="DG717" s="11"/>
    </row>
    <row r="718" ht="15.75" customHeight="1">
      <c r="CT718" s="11"/>
      <c r="CU718" s="11"/>
      <c r="CV718" s="11"/>
      <c r="CW718" s="11"/>
      <c r="CX718" s="11"/>
      <c r="CY718" s="11"/>
      <c r="CZ718" s="11"/>
      <c r="DA718" s="11"/>
      <c r="DB718" s="11"/>
      <c r="DC718" s="11"/>
      <c r="DD718" s="11"/>
      <c r="DE718" s="11"/>
      <c r="DF718" s="11"/>
      <c r="DG718" s="11"/>
    </row>
    <row r="719" ht="15.75" customHeight="1">
      <c r="CT719" s="11"/>
      <c r="CU719" s="11"/>
      <c r="CV719" s="11"/>
      <c r="CW719" s="11"/>
      <c r="CX719" s="11"/>
      <c r="CY719" s="11"/>
      <c r="CZ719" s="11"/>
      <c r="DA719" s="11"/>
      <c r="DB719" s="11"/>
      <c r="DC719" s="11"/>
      <c r="DD719" s="11"/>
      <c r="DE719" s="11"/>
      <c r="DF719" s="11"/>
      <c r="DG719" s="11"/>
    </row>
    <row r="720" ht="15.75" customHeight="1">
      <c r="CT720" s="11"/>
      <c r="CU720" s="11"/>
      <c r="CV720" s="11"/>
      <c r="CW720" s="11"/>
      <c r="CX720" s="11"/>
      <c r="CY720" s="11"/>
      <c r="CZ720" s="11"/>
      <c r="DA720" s="11"/>
      <c r="DB720" s="11"/>
      <c r="DC720" s="11"/>
      <c r="DD720" s="11"/>
      <c r="DE720" s="11"/>
      <c r="DF720" s="11"/>
      <c r="DG720" s="11"/>
    </row>
    <row r="721" ht="15.75" customHeight="1">
      <c r="CT721" s="11"/>
      <c r="CU721" s="11"/>
      <c r="CV721" s="11"/>
      <c r="CW721" s="11"/>
      <c r="CX721" s="11"/>
      <c r="CY721" s="11"/>
      <c r="CZ721" s="11"/>
      <c r="DA721" s="11"/>
      <c r="DB721" s="11"/>
      <c r="DC721" s="11"/>
      <c r="DD721" s="11"/>
      <c r="DE721" s="11"/>
      <c r="DF721" s="11"/>
      <c r="DG721" s="11"/>
    </row>
    <row r="722" ht="15.75" customHeight="1">
      <c r="CT722" s="11"/>
      <c r="CU722" s="11"/>
      <c r="CV722" s="11"/>
      <c r="CW722" s="11"/>
      <c r="CX722" s="11"/>
      <c r="CY722" s="11"/>
      <c r="CZ722" s="11"/>
      <c r="DA722" s="11"/>
      <c r="DB722" s="11"/>
      <c r="DC722" s="11"/>
      <c r="DD722" s="11"/>
      <c r="DE722" s="11"/>
      <c r="DF722" s="11"/>
      <c r="DG722" s="11"/>
    </row>
    <row r="723" ht="15.75" customHeight="1">
      <c r="CT723" s="11"/>
      <c r="CU723" s="11"/>
      <c r="CV723" s="11"/>
      <c r="CW723" s="11"/>
      <c r="CX723" s="11"/>
      <c r="CY723" s="11"/>
      <c r="CZ723" s="11"/>
      <c r="DA723" s="11"/>
      <c r="DB723" s="11"/>
      <c r="DC723" s="11"/>
      <c r="DD723" s="11"/>
      <c r="DE723" s="11"/>
      <c r="DF723" s="11"/>
      <c r="DG723" s="11"/>
    </row>
    <row r="724" ht="15.75" customHeight="1">
      <c r="CT724" s="11"/>
      <c r="CU724" s="11"/>
      <c r="CV724" s="11"/>
      <c r="CW724" s="11"/>
      <c r="CX724" s="11"/>
      <c r="CY724" s="11"/>
      <c r="CZ724" s="11"/>
      <c r="DA724" s="11"/>
      <c r="DB724" s="11"/>
      <c r="DC724" s="11"/>
      <c r="DD724" s="11"/>
      <c r="DE724" s="11"/>
      <c r="DF724" s="11"/>
      <c r="DG724" s="11"/>
    </row>
    <row r="725" ht="15.75" customHeight="1">
      <c r="CT725" s="11"/>
      <c r="CU725" s="11"/>
      <c r="CV725" s="11"/>
      <c r="CW725" s="11"/>
      <c r="CX725" s="11"/>
      <c r="CY725" s="11"/>
      <c r="CZ725" s="11"/>
      <c r="DA725" s="11"/>
      <c r="DB725" s="11"/>
      <c r="DC725" s="11"/>
      <c r="DD725" s="11"/>
      <c r="DE725" s="11"/>
      <c r="DF725" s="11"/>
      <c r="DG725" s="11"/>
    </row>
    <row r="726" ht="15.75" customHeight="1">
      <c r="CT726" s="11"/>
      <c r="CU726" s="11"/>
      <c r="CV726" s="11"/>
      <c r="CW726" s="11"/>
      <c r="CX726" s="11"/>
      <c r="CY726" s="11"/>
      <c r="CZ726" s="11"/>
      <c r="DA726" s="11"/>
      <c r="DB726" s="11"/>
      <c r="DC726" s="11"/>
      <c r="DD726" s="11"/>
      <c r="DE726" s="11"/>
      <c r="DF726" s="11"/>
      <c r="DG726" s="11"/>
    </row>
    <row r="727" ht="15.75" customHeight="1">
      <c r="CT727" s="11"/>
      <c r="CU727" s="11"/>
      <c r="CV727" s="11"/>
      <c r="CW727" s="11"/>
      <c r="CX727" s="11"/>
      <c r="CY727" s="11"/>
      <c r="CZ727" s="11"/>
      <c r="DA727" s="11"/>
      <c r="DB727" s="11"/>
      <c r="DC727" s="11"/>
      <c r="DD727" s="11"/>
      <c r="DE727" s="11"/>
      <c r="DF727" s="11"/>
      <c r="DG727" s="11"/>
    </row>
    <row r="728" ht="15.75" customHeight="1">
      <c r="CT728" s="11"/>
      <c r="CU728" s="11"/>
      <c r="CV728" s="11"/>
      <c r="CW728" s="11"/>
      <c r="CX728" s="11"/>
      <c r="CY728" s="11"/>
      <c r="CZ728" s="11"/>
      <c r="DA728" s="11"/>
      <c r="DB728" s="11"/>
      <c r="DC728" s="11"/>
      <c r="DD728" s="11"/>
      <c r="DE728" s="11"/>
      <c r="DF728" s="11"/>
      <c r="DG728" s="11"/>
    </row>
    <row r="729" ht="15.75" customHeight="1">
      <c r="CT729" s="11"/>
      <c r="CU729" s="11"/>
      <c r="CV729" s="11"/>
      <c r="CW729" s="11"/>
      <c r="CX729" s="11"/>
      <c r="CY729" s="11"/>
      <c r="CZ729" s="11"/>
      <c r="DA729" s="11"/>
      <c r="DB729" s="11"/>
      <c r="DC729" s="11"/>
      <c r="DD729" s="11"/>
      <c r="DE729" s="11"/>
      <c r="DF729" s="11"/>
      <c r="DG729" s="11"/>
    </row>
    <row r="730" ht="15.75" customHeight="1">
      <c r="CT730" s="11"/>
      <c r="CU730" s="11"/>
      <c r="CV730" s="11"/>
      <c r="CW730" s="11"/>
      <c r="CX730" s="11"/>
      <c r="CY730" s="11"/>
      <c r="CZ730" s="11"/>
      <c r="DA730" s="11"/>
      <c r="DB730" s="11"/>
      <c r="DC730" s="11"/>
      <c r="DD730" s="11"/>
      <c r="DE730" s="11"/>
      <c r="DF730" s="11"/>
      <c r="DG730" s="11"/>
    </row>
    <row r="731" ht="15.75" customHeight="1">
      <c r="CT731" s="11"/>
      <c r="CU731" s="11"/>
      <c r="CV731" s="11"/>
      <c r="CW731" s="11"/>
      <c r="CX731" s="11"/>
      <c r="CY731" s="11"/>
      <c r="CZ731" s="11"/>
      <c r="DA731" s="11"/>
      <c r="DB731" s="11"/>
      <c r="DC731" s="11"/>
      <c r="DD731" s="11"/>
      <c r="DE731" s="11"/>
      <c r="DF731" s="11"/>
      <c r="DG731" s="11"/>
    </row>
    <row r="732" ht="15.75" customHeight="1">
      <c r="CT732" s="11"/>
      <c r="CU732" s="11"/>
      <c r="CV732" s="11"/>
      <c r="CW732" s="11"/>
      <c r="CX732" s="11"/>
      <c r="CY732" s="11"/>
      <c r="CZ732" s="11"/>
      <c r="DA732" s="11"/>
      <c r="DB732" s="11"/>
      <c r="DC732" s="11"/>
      <c r="DD732" s="11"/>
      <c r="DE732" s="11"/>
      <c r="DF732" s="11"/>
      <c r="DG732" s="11"/>
    </row>
    <row r="733" ht="15.75" customHeight="1">
      <c r="CT733" s="11"/>
      <c r="CU733" s="11"/>
      <c r="CV733" s="11"/>
      <c r="CW733" s="11"/>
      <c r="CX733" s="11"/>
      <c r="CY733" s="11"/>
      <c r="CZ733" s="11"/>
      <c r="DA733" s="11"/>
      <c r="DB733" s="11"/>
      <c r="DC733" s="11"/>
      <c r="DD733" s="11"/>
      <c r="DE733" s="11"/>
      <c r="DF733" s="11"/>
      <c r="DG733" s="11"/>
    </row>
    <row r="734" ht="15.75" customHeight="1">
      <c r="CT734" s="11"/>
      <c r="CU734" s="11"/>
      <c r="CV734" s="11"/>
      <c r="CW734" s="11"/>
      <c r="CX734" s="11"/>
      <c r="CY734" s="11"/>
      <c r="CZ734" s="11"/>
      <c r="DA734" s="11"/>
      <c r="DB734" s="11"/>
      <c r="DC734" s="11"/>
      <c r="DD734" s="11"/>
      <c r="DE734" s="11"/>
      <c r="DF734" s="11"/>
      <c r="DG734" s="11"/>
    </row>
    <row r="735" ht="15.75" customHeight="1">
      <c r="CT735" s="11"/>
      <c r="CU735" s="11"/>
      <c r="CV735" s="11"/>
      <c r="CW735" s="11"/>
      <c r="CX735" s="11"/>
      <c r="CY735" s="11"/>
      <c r="CZ735" s="11"/>
      <c r="DA735" s="11"/>
      <c r="DB735" s="11"/>
      <c r="DC735" s="11"/>
      <c r="DD735" s="11"/>
      <c r="DE735" s="11"/>
      <c r="DF735" s="11"/>
      <c r="DG735" s="11"/>
    </row>
    <row r="736" ht="15.75" customHeight="1">
      <c r="CT736" s="11"/>
      <c r="CU736" s="11"/>
      <c r="CV736" s="11"/>
      <c r="CW736" s="11"/>
      <c r="CX736" s="11"/>
      <c r="CY736" s="11"/>
      <c r="CZ736" s="11"/>
      <c r="DA736" s="11"/>
      <c r="DB736" s="11"/>
      <c r="DC736" s="11"/>
      <c r="DD736" s="11"/>
      <c r="DE736" s="11"/>
      <c r="DF736" s="11"/>
      <c r="DG736" s="11"/>
    </row>
    <row r="737" ht="15.75" customHeight="1">
      <c r="CT737" s="11"/>
      <c r="CU737" s="11"/>
      <c r="CV737" s="11"/>
      <c r="CW737" s="11"/>
      <c r="CX737" s="11"/>
      <c r="CY737" s="11"/>
      <c r="CZ737" s="11"/>
      <c r="DA737" s="11"/>
      <c r="DB737" s="11"/>
      <c r="DC737" s="11"/>
      <c r="DD737" s="11"/>
      <c r="DE737" s="11"/>
      <c r="DF737" s="11"/>
      <c r="DG737" s="11"/>
    </row>
    <row r="738" ht="15.75" customHeight="1">
      <c r="CT738" s="11"/>
      <c r="CU738" s="11"/>
      <c r="CV738" s="11"/>
      <c r="CW738" s="11"/>
      <c r="CX738" s="11"/>
      <c r="CY738" s="11"/>
      <c r="CZ738" s="11"/>
      <c r="DA738" s="11"/>
      <c r="DB738" s="11"/>
      <c r="DC738" s="11"/>
      <c r="DD738" s="11"/>
      <c r="DE738" s="11"/>
      <c r="DF738" s="11"/>
      <c r="DG738" s="11"/>
    </row>
    <row r="739" ht="15.75" customHeight="1">
      <c r="CT739" s="11"/>
      <c r="CU739" s="11"/>
      <c r="CV739" s="11"/>
      <c r="CW739" s="11"/>
      <c r="CX739" s="11"/>
      <c r="CY739" s="11"/>
      <c r="CZ739" s="11"/>
      <c r="DA739" s="11"/>
      <c r="DB739" s="11"/>
      <c r="DC739" s="11"/>
      <c r="DD739" s="11"/>
      <c r="DE739" s="11"/>
      <c r="DF739" s="11"/>
      <c r="DG739" s="11"/>
    </row>
    <row r="740" ht="15.75" customHeight="1">
      <c r="CT740" s="11"/>
      <c r="CU740" s="11"/>
      <c r="CV740" s="11"/>
      <c r="CW740" s="11"/>
      <c r="CX740" s="11"/>
      <c r="CY740" s="11"/>
      <c r="CZ740" s="11"/>
      <c r="DA740" s="11"/>
      <c r="DB740" s="11"/>
      <c r="DC740" s="11"/>
      <c r="DD740" s="11"/>
      <c r="DE740" s="11"/>
      <c r="DF740" s="11"/>
      <c r="DG740" s="11"/>
    </row>
    <row r="741" ht="15.75" customHeight="1">
      <c r="CT741" s="11"/>
      <c r="CU741" s="11"/>
      <c r="CV741" s="11"/>
      <c r="CW741" s="11"/>
      <c r="CX741" s="11"/>
      <c r="CY741" s="11"/>
      <c r="CZ741" s="11"/>
      <c r="DA741" s="11"/>
      <c r="DB741" s="11"/>
      <c r="DC741" s="11"/>
      <c r="DD741" s="11"/>
      <c r="DE741" s="11"/>
      <c r="DF741" s="11"/>
      <c r="DG741" s="11"/>
    </row>
    <row r="742" ht="15.75" customHeight="1">
      <c r="CT742" s="11"/>
      <c r="CU742" s="11"/>
      <c r="CV742" s="11"/>
      <c r="CW742" s="11"/>
      <c r="CX742" s="11"/>
      <c r="CY742" s="11"/>
      <c r="CZ742" s="11"/>
      <c r="DA742" s="11"/>
      <c r="DB742" s="11"/>
      <c r="DC742" s="11"/>
      <c r="DD742" s="11"/>
      <c r="DE742" s="11"/>
      <c r="DF742" s="11"/>
      <c r="DG742" s="11"/>
    </row>
    <row r="743" ht="15.75" customHeight="1">
      <c r="CT743" s="11"/>
      <c r="CU743" s="11"/>
      <c r="CV743" s="11"/>
      <c r="CW743" s="11"/>
      <c r="CX743" s="11"/>
      <c r="CY743" s="11"/>
      <c r="CZ743" s="11"/>
      <c r="DA743" s="11"/>
      <c r="DB743" s="11"/>
      <c r="DC743" s="11"/>
      <c r="DD743" s="11"/>
      <c r="DE743" s="11"/>
      <c r="DF743" s="11"/>
      <c r="DG743" s="11"/>
    </row>
    <row r="744" ht="15.75" customHeight="1">
      <c r="CT744" s="11"/>
      <c r="CU744" s="11"/>
      <c r="CV744" s="11"/>
      <c r="CW744" s="11"/>
      <c r="CX744" s="11"/>
      <c r="CY744" s="11"/>
      <c r="CZ744" s="11"/>
      <c r="DA744" s="11"/>
      <c r="DB744" s="11"/>
      <c r="DC744" s="11"/>
      <c r="DD744" s="11"/>
      <c r="DE744" s="11"/>
      <c r="DF744" s="11"/>
      <c r="DG744" s="11"/>
    </row>
    <row r="745" ht="15.75" customHeight="1">
      <c r="CT745" s="11"/>
      <c r="CU745" s="11"/>
      <c r="CV745" s="11"/>
      <c r="CW745" s="11"/>
      <c r="CX745" s="11"/>
      <c r="CY745" s="11"/>
      <c r="CZ745" s="11"/>
      <c r="DA745" s="11"/>
      <c r="DB745" s="11"/>
      <c r="DC745" s="11"/>
      <c r="DD745" s="11"/>
      <c r="DE745" s="11"/>
      <c r="DF745" s="11"/>
      <c r="DG745" s="11"/>
    </row>
    <row r="746" ht="15.75" customHeight="1">
      <c r="CT746" s="11"/>
      <c r="CU746" s="11"/>
      <c r="CV746" s="11"/>
      <c r="CW746" s="11"/>
      <c r="CX746" s="11"/>
      <c r="CY746" s="11"/>
      <c r="CZ746" s="11"/>
      <c r="DA746" s="11"/>
      <c r="DB746" s="11"/>
      <c r="DC746" s="11"/>
      <c r="DD746" s="11"/>
      <c r="DE746" s="11"/>
      <c r="DF746" s="11"/>
      <c r="DG746" s="11"/>
    </row>
    <row r="747" ht="15.75" customHeight="1">
      <c r="CT747" s="11"/>
      <c r="CU747" s="11"/>
      <c r="CV747" s="11"/>
      <c r="CW747" s="11"/>
      <c r="CX747" s="11"/>
      <c r="CY747" s="11"/>
      <c r="CZ747" s="11"/>
      <c r="DA747" s="11"/>
      <c r="DB747" s="11"/>
      <c r="DC747" s="11"/>
      <c r="DD747" s="11"/>
      <c r="DE747" s="11"/>
      <c r="DF747" s="11"/>
      <c r="DG747" s="11"/>
    </row>
    <row r="748" ht="15.75" customHeight="1">
      <c r="CT748" s="11"/>
      <c r="CU748" s="11"/>
      <c r="CV748" s="11"/>
      <c r="CW748" s="11"/>
      <c r="CX748" s="11"/>
      <c r="CY748" s="11"/>
      <c r="CZ748" s="11"/>
      <c r="DA748" s="11"/>
      <c r="DB748" s="11"/>
      <c r="DC748" s="11"/>
      <c r="DD748" s="11"/>
      <c r="DE748" s="11"/>
      <c r="DF748" s="11"/>
      <c r="DG748" s="11"/>
    </row>
    <row r="749" ht="15.75" customHeight="1">
      <c r="CT749" s="11"/>
      <c r="CU749" s="11"/>
      <c r="CV749" s="11"/>
      <c r="CW749" s="11"/>
      <c r="CX749" s="11"/>
      <c r="CY749" s="11"/>
      <c r="CZ749" s="11"/>
      <c r="DA749" s="11"/>
      <c r="DB749" s="11"/>
      <c r="DC749" s="11"/>
      <c r="DD749" s="11"/>
      <c r="DE749" s="11"/>
      <c r="DF749" s="11"/>
      <c r="DG749" s="11"/>
    </row>
    <row r="750" ht="15.75" customHeight="1">
      <c r="CT750" s="11"/>
      <c r="CU750" s="11"/>
      <c r="CV750" s="11"/>
      <c r="CW750" s="11"/>
      <c r="CX750" s="11"/>
      <c r="CY750" s="11"/>
      <c r="CZ750" s="11"/>
      <c r="DA750" s="11"/>
      <c r="DB750" s="11"/>
      <c r="DC750" s="11"/>
      <c r="DD750" s="11"/>
      <c r="DE750" s="11"/>
      <c r="DF750" s="11"/>
      <c r="DG750" s="11"/>
    </row>
    <row r="751" ht="15.75" customHeight="1">
      <c r="CT751" s="11"/>
      <c r="CU751" s="11"/>
      <c r="CV751" s="11"/>
      <c r="CW751" s="11"/>
      <c r="CX751" s="11"/>
      <c r="CY751" s="11"/>
      <c r="CZ751" s="11"/>
      <c r="DA751" s="11"/>
      <c r="DB751" s="11"/>
      <c r="DC751" s="11"/>
      <c r="DD751" s="11"/>
      <c r="DE751" s="11"/>
      <c r="DF751" s="11"/>
      <c r="DG751" s="11"/>
    </row>
    <row r="752" ht="15.75" customHeight="1">
      <c r="CT752" s="11"/>
      <c r="CU752" s="11"/>
      <c r="CV752" s="11"/>
      <c r="CW752" s="11"/>
      <c r="CX752" s="11"/>
      <c r="CY752" s="11"/>
      <c r="CZ752" s="11"/>
      <c r="DA752" s="11"/>
      <c r="DB752" s="11"/>
      <c r="DC752" s="11"/>
      <c r="DD752" s="11"/>
      <c r="DE752" s="11"/>
      <c r="DF752" s="11"/>
      <c r="DG752" s="11"/>
    </row>
    <row r="753" ht="15.75" customHeight="1">
      <c r="CT753" s="11"/>
      <c r="CU753" s="11"/>
      <c r="CV753" s="11"/>
      <c r="CW753" s="11"/>
      <c r="CX753" s="11"/>
      <c r="CY753" s="11"/>
      <c r="CZ753" s="11"/>
      <c r="DA753" s="11"/>
      <c r="DB753" s="11"/>
      <c r="DC753" s="11"/>
      <c r="DD753" s="11"/>
      <c r="DE753" s="11"/>
      <c r="DF753" s="11"/>
      <c r="DG753" s="11"/>
    </row>
    <row r="754" ht="15.75" customHeight="1">
      <c r="CT754" s="11"/>
      <c r="CU754" s="11"/>
      <c r="CV754" s="11"/>
      <c r="CW754" s="11"/>
      <c r="CX754" s="11"/>
      <c r="CY754" s="11"/>
      <c r="CZ754" s="11"/>
      <c r="DA754" s="11"/>
      <c r="DB754" s="11"/>
      <c r="DC754" s="11"/>
      <c r="DD754" s="11"/>
      <c r="DE754" s="11"/>
      <c r="DF754" s="11"/>
      <c r="DG754" s="11"/>
    </row>
    <row r="755" ht="15.75" customHeight="1">
      <c r="CT755" s="11"/>
      <c r="CU755" s="11"/>
      <c r="CV755" s="11"/>
      <c r="CW755" s="11"/>
      <c r="CX755" s="11"/>
      <c r="CY755" s="11"/>
      <c r="CZ755" s="11"/>
      <c r="DA755" s="11"/>
      <c r="DB755" s="11"/>
      <c r="DC755" s="11"/>
      <c r="DD755" s="11"/>
      <c r="DE755" s="11"/>
      <c r="DF755" s="11"/>
      <c r="DG755" s="11"/>
    </row>
    <row r="756" ht="15.75" customHeight="1">
      <c r="CT756" s="11"/>
      <c r="CU756" s="11"/>
      <c r="CV756" s="11"/>
      <c r="CW756" s="11"/>
      <c r="CX756" s="11"/>
      <c r="CY756" s="11"/>
      <c r="CZ756" s="11"/>
      <c r="DA756" s="11"/>
      <c r="DB756" s="11"/>
      <c r="DC756" s="11"/>
      <c r="DD756" s="11"/>
      <c r="DE756" s="11"/>
      <c r="DF756" s="11"/>
      <c r="DG756" s="11"/>
    </row>
    <row r="757" ht="15.75" customHeight="1">
      <c r="CT757" s="11"/>
      <c r="CU757" s="11"/>
      <c r="CV757" s="11"/>
      <c r="CW757" s="11"/>
      <c r="CX757" s="11"/>
      <c r="CY757" s="11"/>
      <c r="CZ757" s="11"/>
      <c r="DA757" s="11"/>
      <c r="DB757" s="11"/>
      <c r="DC757" s="11"/>
      <c r="DD757" s="11"/>
      <c r="DE757" s="11"/>
      <c r="DF757" s="11"/>
      <c r="DG757" s="11"/>
    </row>
    <row r="758" ht="15.75" customHeight="1">
      <c r="CT758" s="11"/>
      <c r="CU758" s="11"/>
      <c r="CV758" s="11"/>
      <c r="CW758" s="11"/>
      <c r="CX758" s="11"/>
      <c r="CY758" s="11"/>
      <c r="CZ758" s="11"/>
      <c r="DA758" s="11"/>
      <c r="DB758" s="11"/>
      <c r="DC758" s="11"/>
      <c r="DD758" s="11"/>
      <c r="DE758" s="11"/>
      <c r="DF758" s="11"/>
      <c r="DG758" s="11"/>
    </row>
    <row r="759" ht="15.75" customHeight="1">
      <c r="CT759" s="11"/>
      <c r="CU759" s="11"/>
      <c r="CV759" s="11"/>
      <c r="CW759" s="11"/>
      <c r="CX759" s="11"/>
      <c r="CY759" s="11"/>
      <c r="CZ759" s="11"/>
      <c r="DA759" s="11"/>
      <c r="DB759" s="11"/>
      <c r="DC759" s="11"/>
      <c r="DD759" s="11"/>
      <c r="DE759" s="11"/>
      <c r="DF759" s="11"/>
      <c r="DG759" s="11"/>
    </row>
    <row r="760" ht="15.75" customHeight="1">
      <c r="CT760" s="11"/>
      <c r="CU760" s="11"/>
      <c r="CV760" s="11"/>
      <c r="CW760" s="11"/>
      <c r="CX760" s="11"/>
      <c r="CY760" s="11"/>
      <c r="CZ760" s="11"/>
      <c r="DA760" s="11"/>
      <c r="DB760" s="11"/>
      <c r="DC760" s="11"/>
      <c r="DD760" s="11"/>
      <c r="DE760" s="11"/>
      <c r="DF760" s="11"/>
      <c r="DG760" s="11"/>
    </row>
    <row r="761" ht="15.75" customHeight="1">
      <c r="CT761" s="11"/>
      <c r="CU761" s="11"/>
      <c r="CV761" s="11"/>
      <c r="CW761" s="11"/>
      <c r="CX761" s="11"/>
      <c r="CY761" s="11"/>
      <c r="CZ761" s="11"/>
      <c r="DA761" s="11"/>
      <c r="DB761" s="11"/>
      <c r="DC761" s="11"/>
      <c r="DD761" s="11"/>
      <c r="DE761" s="11"/>
      <c r="DF761" s="11"/>
      <c r="DG761" s="11"/>
    </row>
    <row r="762" ht="15.75" customHeight="1">
      <c r="CT762" s="11"/>
      <c r="CU762" s="11"/>
      <c r="CV762" s="11"/>
      <c r="CW762" s="11"/>
      <c r="CX762" s="11"/>
      <c r="CY762" s="11"/>
      <c r="CZ762" s="11"/>
      <c r="DA762" s="11"/>
      <c r="DB762" s="11"/>
      <c r="DC762" s="11"/>
      <c r="DD762" s="11"/>
      <c r="DE762" s="11"/>
      <c r="DF762" s="11"/>
      <c r="DG762" s="11"/>
    </row>
    <row r="763" ht="15.75" customHeight="1">
      <c r="CT763" s="11"/>
      <c r="CU763" s="11"/>
      <c r="CV763" s="11"/>
      <c r="CW763" s="11"/>
      <c r="CX763" s="11"/>
      <c r="CY763" s="11"/>
      <c r="CZ763" s="11"/>
      <c r="DA763" s="11"/>
      <c r="DB763" s="11"/>
      <c r="DC763" s="11"/>
      <c r="DD763" s="11"/>
      <c r="DE763" s="11"/>
      <c r="DF763" s="11"/>
      <c r="DG763" s="11"/>
    </row>
    <row r="764" ht="15.75" customHeight="1">
      <c r="CT764" s="11"/>
      <c r="CU764" s="11"/>
      <c r="CV764" s="11"/>
      <c r="CW764" s="11"/>
      <c r="CX764" s="11"/>
      <c r="CY764" s="11"/>
      <c r="CZ764" s="11"/>
      <c r="DA764" s="11"/>
      <c r="DB764" s="11"/>
      <c r="DC764" s="11"/>
      <c r="DD764" s="11"/>
      <c r="DE764" s="11"/>
      <c r="DF764" s="11"/>
      <c r="DG764" s="11"/>
    </row>
    <row r="765" ht="15.75" customHeight="1">
      <c r="CT765" s="11"/>
      <c r="CU765" s="11"/>
      <c r="CV765" s="11"/>
      <c r="CW765" s="11"/>
      <c r="CX765" s="11"/>
      <c r="CY765" s="11"/>
      <c r="CZ765" s="11"/>
      <c r="DA765" s="11"/>
      <c r="DB765" s="11"/>
      <c r="DC765" s="11"/>
      <c r="DD765" s="11"/>
      <c r="DE765" s="11"/>
      <c r="DF765" s="11"/>
      <c r="DG765" s="11"/>
    </row>
    <row r="766" ht="15.75" customHeight="1">
      <c r="CT766" s="11"/>
      <c r="CU766" s="11"/>
      <c r="CV766" s="11"/>
      <c r="CW766" s="11"/>
      <c r="CX766" s="11"/>
      <c r="CY766" s="11"/>
      <c r="CZ766" s="11"/>
      <c r="DA766" s="11"/>
      <c r="DB766" s="11"/>
      <c r="DC766" s="11"/>
      <c r="DD766" s="11"/>
      <c r="DE766" s="11"/>
      <c r="DF766" s="11"/>
      <c r="DG766" s="11"/>
    </row>
    <row r="767" ht="15.75" customHeight="1">
      <c r="CT767" s="11"/>
      <c r="CU767" s="11"/>
      <c r="CV767" s="11"/>
      <c r="CW767" s="11"/>
      <c r="CX767" s="11"/>
      <c r="CY767" s="11"/>
      <c r="CZ767" s="11"/>
      <c r="DA767" s="11"/>
      <c r="DB767" s="11"/>
      <c r="DC767" s="11"/>
      <c r="DD767" s="11"/>
      <c r="DE767" s="11"/>
      <c r="DF767" s="11"/>
      <c r="DG767" s="11"/>
    </row>
    <row r="768" ht="15.75" customHeight="1">
      <c r="CT768" s="11"/>
      <c r="CU768" s="11"/>
      <c r="CV768" s="11"/>
      <c r="CW768" s="11"/>
      <c r="CX768" s="11"/>
      <c r="CY768" s="11"/>
      <c r="CZ768" s="11"/>
      <c r="DA768" s="11"/>
      <c r="DB768" s="11"/>
      <c r="DC768" s="11"/>
      <c r="DD768" s="11"/>
      <c r="DE768" s="11"/>
      <c r="DF768" s="11"/>
      <c r="DG768" s="11"/>
    </row>
    <row r="769" ht="15.75" customHeight="1">
      <c r="CT769" s="11"/>
      <c r="CU769" s="11"/>
      <c r="CV769" s="11"/>
      <c r="CW769" s="11"/>
      <c r="CX769" s="11"/>
      <c r="CY769" s="11"/>
      <c r="CZ769" s="11"/>
      <c r="DA769" s="11"/>
      <c r="DB769" s="11"/>
      <c r="DC769" s="11"/>
      <c r="DD769" s="11"/>
      <c r="DE769" s="11"/>
      <c r="DF769" s="11"/>
      <c r="DG769" s="11"/>
    </row>
    <row r="770" ht="15.75" customHeight="1">
      <c r="CT770" s="11"/>
      <c r="CU770" s="11"/>
      <c r="CV770" s="11"/>
      <c r="CW770" s="11"/>
      <c r="CX770" s="11"/>
      <c r="CY770" s="11"/>
      <c r="CZ770" s="11"/>
      <c r="DA770" s="11"/>
      <c r="DB770" s="11"/>
      <c r="DC770" s="11"/>
      <c r="DD770" s="11"/>
      <c r="DE770" s="11"/>
      <c r="DF770" s="11"/>
      <c r="DG770" s="11"/>
    </row>
    <row r="771" ht="15.75" customHeight="1">
      <c r="CT771" s="11"/>
      <c r="CU771" s="11"/>
      <c r="CV771" s="11"/>
      <c r="CW771" s="11"/>
      <c r="CX771" s="11"/>
      <c r="CY771" s="11"/>
      <c r="CZ771" s="11"/>
      <c r="DA771" s="11"/>
      <c r="DB771" s="11"/>
      <c r="DC771" s="11"/>
      <c r="DD771" s="11"/>
      <c r="DE771" s="11"/>
      <c r="DF771" s="11"/>
      <c r="DG771" s="11"/>
    </row>
    <row r="772" ht="15.75" customHeight="1">
      <c r="CT772" s="11"/>
      <c r="CU772" s="11"/>
      <c r="CV772" s="11"/>
      <c r="CW772" s="11"/>
      <c r="CX772" s="11"/>
      <c r="CY772" s="11"/>
      <c r="CZ772" s="11"/>
      <c r="DA772" s="11"/>
      <c r="DB772" s="11"/>
      <c r="DC772" s="11"/>
      <c r="DD772" s="11"/>
      <c r="DE772" s="11"/>
      <c r="DF772" s="11"/>
      <c r="DG772" s="11"/>
    </row>
    <row r="773" ht="15.75" customHeight="1">
      <c r="CT773" s="11"/>
      <c r="CU773" s="11"/>
      <c r="CV773" s="11"/>
      <c r="CW773" s="11"/>
      <c r="CX773" s="11"/>
      <c r="CY773" s="11"/>
      <c r="CZ773" s="11"/>
      <c r="DA773" s="11"/>
      <c r="DB773" s="11"/>
      <c r="DC773" s="11"/>
      <c r="DD773" s="11"/>
      <c r="DE773" s="11"/>
      <c r="DF773" s="11"/>
      <c r="DG773" s="11"/>
    </row>
    <row r="774" ht="15.75" customHeight="1">
      <c r="CT774" s="11"/>
      <c r="CU774" s="11"/>
      <c r="CV774" s="11"/>
      <c r="CW774" s="11"/>
      <c r="CX774" s="11"/>
      <c r="CY774" s="11"/>
      <c r="CZ774" s="11"/>
      <c r="DA774" s="11"/>
      <c r="DB774" s="11"/>
      <c r="DC774" s="11"/>
      <c r="DD774" s="11"/>
      <c r="DE774" s="11"/>
      <c r="DF774" s="11"/>
      <c r="DG774" s="11"/>
    </row>
    <row r="775" ht="15.75" customHeight="1">
      <c r="CT775" s="11"/>
      <c r="CU775" s="11"/>
      <c r="CV775" s="11"/>
      <c r="CW775" s="11"/>
      <c r="CX775" s="11"/>
      <c r="CY775" s="11"/>
      <c r="CZ775" s="11"/>
      <c r="DA775" s="11"/>
      <c r="DB775" s="11"/>
      <c r="DC775" s="11"/>
      <c r="DD775" s="11"/>
      <c r="DE775" s="11"/>
      <c r="DF775" s="11"/>
      <c r="DG775" s="11"/>
    </row>
    <row r="776" ht="15.75" customHeight="1">
      <c r="CT776" s="11"/>
      <c r="CU776" s="11"/>
      <c r="CV776" s="11"/>
      <c r="CW776" s="11"/>
      <c r="CX776" s="11"/>
      <c r="CY776" s="11"/>
      <c r="CZ776" s="11"/>
      <c r="DA776" s="11"/>
      <c r="DB776" s="11"/>
      <c r="DC776" s="11"/>
      <c r="DD776" s="11"/>
      <c r="DE776" s="11"/>
      <c r="DF776" s="11"/>
      <c r="DG776" s="11"/>
    </row>
    <row r="777" ht="15.75" customHeight="1">
      <c r="CT777" s="11"/>
      <c r="CU777" s="11"/>
      <c r="CV777" s="11"/>
      <c r="CW777" s="11"/>
      <c r="CX777" s="11"/>
      <c r="CY777" s="11"/>
      <c r="CZ777" s="11"/>
      <c r="DA777" s="11"/>
      <c r="DB777" s="11"/>
      <c r="DC777" s="11"/>
      <c r="DD777" s="11"/>
      <c r="DE777" s="11"/>
      <c r="DF777" s="11"/>
      <c r="DG777" s="11"/>
    </row>
    <row r="778" ht="15.75" customHeight="1">
      <c r="CT778" s="11"/>
      <c r="CU778" s="11"/>
      <c r="CV778" s="11"/>
      <c r="CW778" s="11"/>
      <c r="CX778" s="11"/>
      <c r="CY778" s="11"/>
      <c r="CZ778" s="11"/>
      <c r="DA778" s="11"/>
      <c r="DB778" s="11"/>
      <c r="DC778" s="11"/>
      <c r="DD778" s="11"/>
      <c r="DE778" s="11"/>
      <c r="DF778" s="11"/>
      <c r="DG778" s="11"/>
    </row>
    <row r="779" ht="15.75" customHeight="1">
      <c r="CT779" s="11"/>
      <c r="CU779" s="11"/>
      <c r="CV779" s="11"/>
      <c r="CW779" s="11"/>
      <c r="CX779" s="11"/>
      <c r="CY779" s="11"/>
      <c r="CZ779" s="11"/>
      <c r="DA779" s="11"/>
      <c r="DB779" s="11"/>
      <c r="DC779" s="11"/>
      <c r="DD779" s="11"/>
      <c r="DE779" s="11"/>
      <c r="DF779" s="11"/>
      <c r="DG779" s="11"/>
    </row>
    <row r="780" ht="15.75" customHeight="1">
      <c r="CT780" s="11"/>
      <c r="CU780" s="11"/>
      <c r="CV780" s="11"/>
      <c r="CW780" s="11"/>
      <c r="CX780" s="11"/>
      <c r="CY780" s="11"/>
      <c r="CZ780" s="11"/>
      <c r="DA780" s="11"/>
      <c r="DB780" s="11"/>
      <c r="DC780" s="11"/>
      <c r="DD780" s="11"/>
      <c r="DE780" s="11"/>
      <c r="DF780" s="11"/>
      <c r="DG780" s="11"/>
    </row>
    <row r="781" ht="15.75" customHeight="1">
      <c r="CT781" s="11"/>
      <c r="CU781" s="11"/>
      <c r="CV781" s="11"/>
      <c r="CW781" s="11"/>
      <c r="CX781" s="11"/>
      <c r="CY781" s="11"/>
      <c r="CZ781" s="11"/>
      <c r="DA781" s="11"/>
      <c r="DB781" s="11"/>
      <c r="DC781" s="11"/>
      <c r="DD781" s="11"/>
      <c r="DE781" s="11"/>
      <c r="DF781" s="11"/>
      <c r="DG781" s="11"/>
    </row>
    <row r="782" ht="15.75" customHeight="1">
      <c r="CT782" s="11"/>
      <c r="CU782" s="11"/>
      <c r="CV782" s="11"/>
      <c r="CW782" s="11"/>
      <c r="CX782" s="11"/>
      <c r="CY782" s="11"/>
      <c r="CZ782" s="11"/>
      <c r="DA782" s="11"/>
      <c r="DB782" s="11"/>
      <c r="DC782" s="11"/>
      <c r="DD782" s="11"/>
      <c r="DE782" s="11"/>
      <c r="DF782" s="11"/>
      <c r="DG782" s="11"/>
    </row>
    <row r="783" ht="15.75" customHeight="1">
      <c r="CT783" s="11"/>
      <c r="CU783" s="11"/>
      <c r="CV783" s="11"/>
      <c r="CW783" s="11"/>
      <c r="CX783" s="11"/>
      <c r="CY783" s="11"/>
      <c r="CZ783" s="11"/>
      <c r="DA783" s="11"/>
      <c r="DB783" s="11"/>
      <c r="DC783" s="11"/>
      <c r="DD783" s="11"/>
      <c r="DE783" s="11"/>
      <c r="DF783" s="11"/>
      <c r="DG783" s="11"/>
    </row>
    <row r="784" ht="15.75" customHeight="1">
      <c r="CT784" s="11"/>
      <c r="CU784" s="11"/>
      <c r="CV784" s="11"/>
      <c r="CW784" s="11"/>
      <c r="CX784" s="11"/>
      <c r="CY784" s="11"/>
      <c r="CZ784" s="11"/>
      <c r="DA784" s="11"/>
      <c r="DB784" s="11"/>
      <c r="DC784" s="11"/>
      <c r="DD784" s="11"/>
      <c r="DE784" s="11"/>
      <c r="DF784" s="11"/>
      <c r="DG784" s="11"/>
    </row>
    <row r="785" ht="15.75" customHeight="1">
      <c r="CT785" s="11"/>
      <c r="CU785" s="11"/>
      <c r="CV785" s="11"/>
      <c r="CW785" s="11"/>
      <c r="CX785" s="11"/>
      <c r="CY785" s="11"/>
      <c r="CZ785" s="11"/>
      <c r="DA785" s="11"/>
      <c r="DB785" s="11"/>
      <c r="DC785" s="11"/>
      <c r="DD785" s="11"/>
      <c r="DE785" s="11"/>
      <c r="DF785" s="11"/>
      <c r="DG785" s="11"/>
    </row>
    <row r="786" ht="15.75" customHeight="1">
      <c r="CT786" s="11"/>
      <c r="CU786" s="11"/>
      <c r="CV786" s="11"/>
      <c r="CW786" s="11"/>
      <c r="CX786" s="11"/>
      <c r="CY786" s="11"/>
      <c r="CZ786" s="11"/>
      <c r="DA786" s="11"/>
      <c r="DB786" s="11"/>
      <c r="DC786" s="11"/>
      <c r="DD786" s="11"/>
      <c r="DE786" s="11"/>
      <c r="DF786" s="11"/>
      <c r="DG786" s="11"/>
    </row>
    <row r="787" ht="15.75" customHeight="1">
      <c r="CT787" s="11"/>
      <c r="CU787" s="11"/>
      <c r="CV787" s="11"/>
      <c r="CW787" s="11"/>
      <c r="CX787" s="11"/>
      <c r="CY787" s="11"/>
      <c r="CZ787" s="11"/>
      <c r="DA787" s="11"/>
      <c r="DB787" s="11"/>
      <c r="DC787" s="11"/>
      <c r="DD787" s="11"/>
      <c r="DE787" s="11"/>
      <c r="DF787" s="11"/>
      <c r="DG787" s="11"/>
    </row>
    <row r="788" ht="15.75" customHeight="1">
      <c r="CT788" s="11"/>
      <c r="CU788" s="11"/>
      <c r="CV788" s="11"/>
      <c r="CW788" s="11"/>
      <c r="CX788" s="11"/>
      <c r="CY788" s="11"/>
      <c r="CZ788" s="11"/>
      <c r="DA788" s="11"/>
      <c r="DB788" s="11"/>
      <c r="DC788" s="11"/>
      <c r="DD788" s="11"/>
      <c r="DE788" s="11"/>
      <c r="DF788" s="11"/>
      <c r="DG788" s="11"/>
    </row>
    <row r="789" ht="15.75" customHeight="1">
      <c r="CT789" s="11"/>
      <c r="CU789" s="11"/>
      <c r="CV789" s="11"/>
      <c r="CW789" s="11"/>
      <c r="CX789" s="11"/>
      <c r="CY789" s="11"/>
      <c r="CZ789" s="11"/>
      <c r="DA789" s="11"/>
      <c r="DB789" s="11"/>
      <c r="DC789" s="11"/>
      <c r="DD789" s="11"/>
      <c r="DE789" s="11"/>
      <c r="DF789" s="11"/>
      <c r="DG789" s="11"/>
    </row>
    <row r="790" ht="15.75" customHeight="1">
      <c r="CT790" s="11"/>
      <c r="CU790" s="11"/>
      <c r="CV790" s="11"/>
      <c r="CW790" s="11"/>
      <c r="CX790" s="11"/>
      <c r="CY790" s="11"/>
      <c r="CZ790" s="11"/>
      <c r="DA790" s="11"/>
      <c r="DB790" s="11"/>
      <c r="DC790" s="11"/>
      <c r="DD790" s="11"/>
      <c r="DE790" s="11"/>
      <c r="DF790" s="11"/>
      <c r="DG790" s="11"/>
    </row>
    <row r="791" ht="15.75" customHeight="1">
      <c r="CT791" s="11"/>
      <c r="CU791" s="11"/>
      <c r="CV791" s="11"/>
      <c r="CW791" s="11"/>
      <c r="CX791" s="11"/>
      <c r="CY791" s="11"/>
      <c r="CZ791" s="11"/>
      <c r="DA791" s="11"/>
      <c r="DB791" s="11"/>
      <c r="DC791" s="11"/>
      <c r="DD791" s="11"/>
      <c r="DE791" s="11"/>
      <c r="DF791" s="11"/>
      <c r="DG791" s="11"/>
    </row>
    <row r="792" ht="15.75" customHeight="1">
      <c r="CT792" s="11"/>
      <c r="CU792" s="11"/>
      <c r="CV792" s="11"/>
      <c r="CW792" s="11"/>
      <c r="CX792" s="11"/>
      <c r="CY792" s="11"/>
      <c r="CZ792" s="11"/>
      <c r="DA792" s="11"/>
      <c r="DB792" s="11"/>
      <c r="DC792" s="11"/>
      <c r="DD792" s="11"/>
      <c r="DE792" s="11"/>
      <c r="DF792" s="11"/>
      <c r="DG792" s="11"/>
    </row>
    <row r="793" ht="15.75" customHeight="1">
      <c r="CT793" s="11"/>
      <c r="CU793" s="11"/>
      <c r="CV793" s="11"/>
      <c r="CW793" s="11"/>
      <c r="CX793" s="11"/>
      <c r="CY793" s="11"/>
      <c r="CZ793" s="11"/>
      <c r="DA793" s="11"/>
      <c r="DB793" s="11"/>
      <c r="DC793" s="11"/>
      <c r="DD793" s="11"/>
      <c r="DE793" s="11"/>
      <c r="DF793" s="11"/>
      <c r="DG793" s="11"/>
    </row>
    <row r="794" ht="15.75" customHeight="1">
      <c r="CT794" s="11"/>
      <c r="CU794" s="11"/>
      <c r="CV794" s="11"/>
      <c r="CW794" s="11"/>
      <c r="CX794" s="11"/>
      <c r="CY794" s="11"/>
      <c r="CZ794" s="11"/>
      <c r="DA794" s="11"/>
      <c r="DB794" s="11"/>
      <c r="DC794" s="11"/>
      <c r="DD794" s="11"/>
      <c r="DE794" s="11"/>
      <c r="DF794" s="11"/>
      <c r="DG794" s="11"/>
    </row>
    <row r="795" ht="15.75" customHeight="1">
      <c r="CT795" s="11"/>
      <c r="CU795" s="11"/>
      <c r="CV795" s="11"/>
      <c r="CW795" s="11"/>
      <c r="CX795" s="11"/>
      <c r="CY795" s="11"/>
      <c r="CZ795" s="11"/>
      <c r="DA795" s="11"/>
      <c r="DB795" s="11"/>
      <c r="DC795" s="11"/>
      <c r="DD795" s="11"/>
      <c r="DE795" s="11"/>
      <c r="DF795" s="11"/>
      <c r="DG795" s="11"/>
    </row>
    <row r="796" ht="15.75" customHeight="1">
      <c r="CT796" s="11"/>
      <c r="CU796" s="11"/>
      <c r="CV796" s="11"/>
      <c r="CW796" s="11"/>
      <c r="CX796" s="11"/>
      <c r="CY796" s="11"/>
      <c r="CZ796" s="11"/>
      <c r="DA796" s="11"/>
      <c r="DB796" s="11"/>
      <c r="DC796" s="11"/>
      <c r="DD796" s="11"/>
      <c r="DE796" s="11"/>
      <c r="DF796" s="11"/>
      <c r="DG796" s="11"/>
    </row>
    <row r="797" ht="15.75" customHeight="1">
      <c r="CT797" s="11"/>
      <c r="CU797" s="11"/>
      <c r="CV797" s="11"/>
      <c r="CW797" s="11"/>
      <c r="CX797" s="11"/>
      <c r="CY797" s="11"/>
      <c r="CZ797" s="11"/>
      <c r="DA797" s="11"/>
      <c r="DB797" s="11"/>
      <c r="DC797" s="11"/>
      <c r="DD797" s="11"/>
      <c r="DE797" s="11"/>
      <c r="DF797" s="11"/>
      <c r="DG797" s="11"/>
    </row>
    <row r="798" ht="15.75" customHeight="1">
      <c r="CT798" s="11"/>
      <c r="CU798" s="11"/>
      <c r="CV798" s="11"/>
      <c r="CW798" s="11"/>
      <c r="CX798" s="11"/>
      <c r="CY798" s="11"/>
      <c r="CZ798" s="11"/>
      <c r="DA798" s="11"/>
      <c r="DB798" s="11"/>
      <c r="DC798" s="11"/>
      <c r="DD798" s="11"/>
      <c r="DE798" s="11"/>
      <c r="DF798" s="11"/>
      <c r="DG798" s="11"/>
    </row>
    <row r="799" ht="15.75" customHeight="1">
      <c r="CT799" s="11"/>
      <c r="CU799" s="11"/>
      <c r="CV799" s="11"/>
      <c r="CW799" s="11"/>
      <c r="CX799" s="11"/>
      <c r="CY799" s="11"/>
      <c r="CZ799" s="11"/>
      <c r="DA799" s="11"/>
      <c r="DB799" s="11"/>
      <c r="DC799" s="11"/>
      <c r="DD799" s="11"/>
      <c r="DE799" s="11"/>
      <c r="DF799" s="11"/>
      <c r="DG799" s="11"/>
    </row>
    <row r="800" ht="15.75" customHeight="1">
      <c r="CT800" s="11"/>
      <c r="CU800" s="11"/>
      <c r="CV800" s="11"/>
      <c r="CW800" s="11"/>
      <c r="CX800" s="11"/>
      <c r="CY800" s="11"/>
      <c r="CZ800" s="11"/>
      <c r="DA800" s="11"/>
      <c r="DB800" s="11"/>
      <c r="DC800" s="11"/>
      <c r="DD800" s="11"/>
      <c r="DE800" s="11"/>
      <c r="DF800" s="11"/>
      <c r="DG800" s="11"/>
    </row>
    <row r="801" ht="15.75" customHeight="1">
      <c r="CT801" s="11"/>
      <c r="CU801" s="11"/>
      <c r="CV801" s="11"/>
      <c r="CW801" s="11"/>
      <c r="CX801" s="11"/>
      <c r="CY801" s="11"/>
      <c r="CZ801" s="11"/>
      <c r="DA801" s="11"/>
      <c r="DB801" s="11"/>
      <c r="DC801" s="11"/>
      <c r="DD801" s="11"/>
      <c r="DE801" s="11"/>
      <c r="DF801" s="11"/>
      <c r="DG801" s="11"/>
    </row>
    <row r="802" ht="15.75" customHeight="1">
      <c r="CT802" s="11"/>
      <c r="CU802" s="11"/>
      <c r="CV802" s="11"/>
      <c r="CW802" s="11"/>
      <c r="CX802" s="11"/>
      <c r="CY802" s="11"/>
      <c r="CZ802" s="11"/>
      <c r="DA802" s="11"/>
      <c r="DB802" s="11"/>
      <c r="DC802" s="11"/>
      <c r="DD802" s="11"/>
      <c r="DE802" s="11"/>
      <c r="DF802" s="11"/>
      <c r="DG802" s="11"/>
    </row>
    <row r="803" ht="15.75" customHeight="1">
      <c r="CT803" s="11"/>
      <c r="CU803" s="11"/>
      <c r="CV803" s="11"/>
      <c r="CW803" s="11"/>
      <c r="CX803" s="11"/>
      <c r="CY803" s="11"/>
      <c r="CZ803" s="11"/>
      <c r="DA803" s="11"/>
      <c r="DB803" s="11"/>
      <c r="DC803" s="11"/>
      <c r="DD803" s="11"/>
      <c r="DE803" s="11"/>
      <c r="DF803" s="11"/>
      <c r="DG803" s="11"/>
    </row>
    <row r="804" ht="15.75" customHeight="1">
      <c r="CT804" s="11"/>
      <c r="CU804" s="11"/>
      <c r="CV804" s="11"/>
      <c r="CW804" s="11"/>
      <c r="CX804" s="11"/>
      <c r="CY804" s="11"/>
      <c r="CZ804" s="11"/>
      <c r="DA804" s="11"/>
      <c r="DB804" s="11"/>
      <c r="DC804" s="11"/>
      <c r="DD804" s="11"/>
      <c r="DE804" s="11"/>
      <c r="DF804" s="11"/>
      <c r="DG804" s="11"/>
    </row>
    <row r="805" ht="15.75" customHeight="1">
      <c r="CT805" s="11"/>
      <c r="CU805" s="11"/>
      <c r="CV805" s="11"/>
      <c r="CW805" s="11"/>
      <c r="CX805" s="11"/>
      <c r="CY805" s="11"/>
      <c r="CZ805" s="11"/>
      <c r="DA805" s="11"/>
      <c r="DB805" s="11"/>
      <c r="DC805" s="11"/>
      <c r="DD805" s="11"/>
      <c r="DE805" s="11"/>
      <c r="DF805" s="11"/>
      <c r="DG805" s="11"/>
    </row>
    <row r="806" ht="15.75" customHeight="1">
      <c r="CT806" s="11"/>
      <c r="CU806" s="11"/>
      <c r="CV806" s="11"/>
      <c r="CW806" s="11"/>
      <c r="CX806" s="11"/>
      <c r="CY806" s="11"/>
      <c r="CZ806" s="11"/>
      <c r="DA806" s="11"/>
      <c r="DB806" s="11"/>
      <c r="DC806" s="11"/>
      <c r="DD806" s="11"/>
      <c r="DE806" s="11"/>
      <c r="DF806" s="11"/>
      <c r="DG806" s="11"/>
    </row>
    <row r="807" ht="15.75" customHeight="1">
      <c r="CT807" s="11"/>
      <c r="CU807" s="11"/>
      <c r="CV807" s="11"/>
      <c r="CW807" s="11"/>
      <c r="CX807" s="11"/>
      <c r="CY807" s="11"/>
      <c r="CZ807" s="11"/>
      <c r="DA807" s="11"/>
      <c r="DB807" s="11"/>
      <c r="DC807" s="11"/>
      <c r="DD807" s="11"/>
      <c r="DE807" s="11"/>
      <c r="DF807" s="11"/>
      <c r="DG807" s="11"/>
    </row>
    <row r="808" ht="15.75" customHeight="1">
      <c r="CT808" s="11"/>
      <c r="CU808" s="11"/>
      <c r="CV808" s="11"/>
      <c r="CW808" s="11"/>
      <c r="CX808" s="11"/>
      <c r="CY808" s="11"/>
      <c r="CZ808" s="11"/>
      <c r="DA808" s="11"/>
      <c r="DB808" s="11"/>
      <c r="DC808" s="11"/>
      <c r="DD808" s="11"/>
      <c r="DE808" s="11"/>
      <c r="DF808" s="11"/>
      <c r="DG808" s="11"/>
    </row>
    <row r="809" ht="15.75" customHeight="1">
      <c r="CT809" s="11"/>
      <c r="CU809" s="11"/>
      <c r="CV809" s="11"/>
      <c r="CW809" s="11"/>
      <c r="CX809" s="11"/>
      <c r="CY809" s="11"/>
      <c r="CZ809" s="11"/>
      <c r="DA809" s="11"/>
      <c r="DB809" s="11"/>
      <c r="DC809" s="11"/>
      <c r="DD809" s="11"/>
      <c r="DE809" s="11"/>
      <c r="DF809" s="11"/>
      <c r="DG809" s="11"/>
    </row>
    <row r="810" ht="15.75" customHeight="1">
      <c r="CT810" s="11"/>
      <c r="CU810" s="11"/>
      <c r="CV810" s="11"/>
      <c r="CW810" s="11"/>
      <c r="CX810" s="11"/>
      <c r="CY810" s="11"/>
      <c r="CZ810" s="11"/>
      <c r="DA810" s="11"/>
      <c r="DB810" s="11"/>
      <c r="DC810" s="11"/>
      <c r="DD810" s="11"/>
      <c r="DE810" s="11"/>
      <c r="DF810" s="11"/>
      <c r="DG810" s="11"/>
    </row>
    <row r="811" ht="15.75" customHeight="1">
      <c r="CT811" s="11"/>
      <c r="CU811" s="11"/>
      <c r="CV811" s="11"/>
      <c r="CW811" s="11"/>
      <c r="CX811" s="11"/>
      <c r="CY811" s="11"/>
      <c r="CZ811" s="11"/>
      <c r="DA811" s="11"/>
      <c r="DB811" s="11"/>
      <c r="DC811" s="11"/>
      <c r="DD811" s="11"/>
      <c r="DE811" s="11"/>
      <c r="DF811" s="11"/>
      <c r="DG811" s="11"/>
    </row>
    <row r="812" ht="15.75" customHeight="1">
      <c r="CT812" s="11"/>
      <c r="CU812" s="11"/>
      <c r="CV812" s="11"/>
      <c r="CW812" s="11"/>
      <c r="CX812" s="11"/>
      <c r="CY812" s="11"/>
      <c r="CZ812" s="11"/>
      <c r="DA812" s="11"/>
      <c r="DB812" s="11"/>
      <c r="DC812" s="11"/>
      <c r="DD812" s="11"/>
      <c r="DE812" s="11"/>
      <c r="DF812" s="11"/>
      <c r="DG812" s="11"/>
    </row>
    <row r="813" ht="15.75" customHeight="1">
      <c r="CT813" s="11"/>
      <c r="CU813" s="11"/>
      <c r="CV813" s="11"/>
      <c r="CW813" s="11"/>
      <c r="CX813" s="11"/>
      <c r="CY813" s="11"/>
      <c r="CZ813" s="11"/>
      <c r="DA813" s="11"/>
      <c r="DB813" s="11"/>
      <c r="DC813" s="11"/>
      <c r="DD813" s="11"/>
      <c r="DE813" s="11"/>
      <c r="DF813" s="11"/>
      <c r="DG813" s="11"/>
    </row>
    <row r="814" ht="15.75" customHeight="1">
      <c r="CT814" s="11"/>
      <c r="CU814" s="11"/>
      <c r="CV814" s="11"/>
      <c r="CW814" s="11"/>
      <c r="CX814" s="11"/>
      <c r="CY814" s="11"/>
      <c r="CZ814" s="11"/>
      <c r="DA814" s="11"/>
      <c r="DB814" s="11"/>
      <c r="DC814" s="11"/>
      <c r="DD814" s="11"/>
      <c r="DE814" s="11"/>
      <c r="DF814" s="11"/>
      <c r="DG814" s="11"/>
    </row>
    <row r="815" ht="15.75" customHeight="1">
      <c r="CT815" s="11"/>
      <c r="CU815" s="11"/>
      <c r="CV815" s="11"/>
      <c r="CW815" s="11"/>
      <c r="CX815" s="11"/>
      <c r="CY815" s="11"/>
      <c r="CZ815" s="11"/>
      <c r="DA815" s="11"/>
      <c r="DB815" s="11"/>
      <c r="DC815" s="11"/>
      <c r="DD815" s="11"/>
      <c r="DE815" s="11"/>
      <c r="DF815" s="11"/>
      <c r="DG815" s="11"/>
    </row>
    <row r="816" ht="15.75" customHeight="1">
      <c r="CT816" s="11"/>
      <c r="CU816" s="11"/>
      <c r="CV816" s="11"/>
      <c r="CW816" s="11"/>
      <c r="CX816" s="11"/>
      <c r="CY816" s="11"/>
      <c r="CZ816" s="11"/>
      <c r="DA816" s="11"/>
      <c r="DB816" s="11"/>
      <c r="DC816" s="11"/>
      <c r="DD816" s="11"/>
      <c r="DE816" s="11"/>
      <c r="DF816" s="11"/>
      <c r="DG816" s="11"/>
    </row>
    <row r="817" ht="15.75" customHeight="1">
      <c r="CT817" s="11"/>
      <c r="CU817" s="11"/>
      <c r="CV817" s="11"/>
      <c r="CW817" s="11"/>
      <c r="CX817" s="11"/>
      <c r="CY817" s="11"/>
      <c r="CZ817" s="11"/>
      <c r="DA817" s="11"/>
      <c r="DB817" s="11"/>
      <c r="DC817" s="11"/>
      <c r="DD817" s="11"/>
      <c r="DE817" s="11"/>
      <c r="DF817" s="11"/>
      <c r="DG817" s="11"/>
    </row>
    <row r="818" ht="15.75" customHeight="1">
      <c r="CT818" s="11"/>
      <c r="CU818" s="11"/>
      <c r="CV818" s="11"/>
      <c r="CW818" s="11"/>
      <c r="CX818" s="11"/>
      <c r="CY818" s="11"/>
      <c r="CZ818" s="11"/>
      <c r="DA818" s="11"/>
      <c r="DB818" s="11"/>
      <c r="DC818" s="11"/>
      <c r="DD818" s="11"/>
      <c r="DE818" s="11"/>
      <c r="DF818" s="11"/>
      <c r="DG818" s="11"/>
    </row>
    <row r="819" ht="15.75" customHeight="1">
      <c r="CT819" s="11"/>
      <c r="CU819" s="11"/>
      <c r="CV819" s="11"/>
      <c r="CW819" s="11"/>
      <c r="CX819" s="11"/>
      <c r="CY819" s="11"/>
      <c r="CZ819" s="11"/>
      <c r="DA819" s="11"/>
      <c r="DB819" s="11"/>
      <c r="DC819" s="11"/>
      <c r="DD819" s="11"/>
      <c r="DE819" s="11"/>
      <c r="DF819" s="11"/>
      <c r="DG819" s="11"/>
    </row>
    <row r="820" ht="15.75" customHeight="1">
      <c r="CT820" s="11"/>
      <c r="CU820" s="11"/>
      <c r="CV820" s="11"/>
      <c r="CW820" s="11"/>
      <c r="CX820" s="11"/>
      <c r="CY820" s="11"/>
      <c r="CZ820" s="11"/>
      <c r="DA820" s="11"/>
      <c r="DB820" s="11"/>
      <c r="DC820" s="11"/>
      <c r="DD820" s="11"/>
      <c r="DE820" s="11"/>
      <c r="DF820" s="11"/>
      <c r="DG820" s="11"/>
    </row>
    <row r="821" ht="15.75" customHeight="1">
      <c r="CT821" s="11"/>
      <c r="CU821" s="11"/>
      <c r="CV821" s="11"/>
      <c r="CW821" s="11"/>
      <c r="CX821" s="11"/>
      <c r="CY821" s="11"/>
      <c r="CZ821" s="11"/>
      <c r="DA821" s="11"/>
      <c r="DB821" s="11"/>
      <c r="DC821" s="11"/>
      <c r="DD821" s="11"/>
      <c r="DE821" s="11"/>
      <c r="DF821" s="11"/>
      <c r="DG821" s="11"/>
    </row>
    <row r="822" ht="15.75" customHeight="1">
      <c r="CT822" s="11"/>
      <c r="CU822" s="11"/>
      <c r="CV822" s="11"/>
      <c r="CW822" s="11"/>
      <c r="CX822" s="11"/>
      <c r="CY822" s="11"/>
      <c r="CZ822" s="11"/>
      <c r="DA822" s="11"/>
      <c r="DB822" s="11"/>
      <c r="DC822" s="11"/>
      <c r="DD822" s="11"/>
      <c r="DE822" s="11"/>
      <c r="DF822" s="11"/>
      <c r="DG822" s="11"/>
    </row>
    <row r="823" ht="15.75" customHeight="1">
      <c r="CT823" s="11"/>
      <c r="CU823" s="11"/>
      <c r="CV823" s="11"/>
      <c r="CW823" s="11"/>
      <c r="CX823" s="11"/>
      <c r="CY823" s="11"/>
      <c r="CZ823" s="11"/>
      <c r="DA823" s="11"/>
      <c r="DB823" s="11"/>
      <c r="DC823" s="11"/>
      <c r="DD823" s="11"/>
      <c r="DE823" s="11"/>
      <c r="DF823" s="11"/>
      <c r="DG823" s="11"/>
    </row>
    <row r="824" ht="15.75" customHeight="1">
      <c r="CT824" s="11"/>
      <c r="CU824" s="11"/>
      <c r="CV824" s="11"/>
      <c r="CW824" s="11"/>
      <c r="CX824" s="11"/>
      <c r="CY824" s="11"/>
      <c r="CZ824" s="11"/>
      <c r="DA824" s="11"/>
      <c r="DB824" s="11"/>
      <c r="DC824" s="11"/>
      <c r="DD824" s="11"/>
      <c r="DE824" s="11"/>
      <c r="DF824" s="11"/>
      <c r="DG824" s="11"/>
    </row>
    <row r="825" ht="15.75" customHeight="1">
      <c r="CT825" s="11"/>
      <c r="CU825" s="11"/>
      <c r="CV825" s="11"/>
      <c r="CW825" s="11"/>
      <c r="CX825" s="11"/>
      <c r="CY825" s="11"/>
      <c r="CZ825" s="11"/>
      <c r="DA825" s="11"/>
      <c r="DB825" s="11"/>
      <c r="DC825" s="11"/>
      <c r="DD825" s="11"/>
      <c r="DE825" s="11"/>
      <c r="DF825" s="11"/>
      <c r="DG825" s="11"/>
    </row>
    <row r="826" ht="15.75" customHeight="1">
      <c r="CT826" s="11"/>
      <c r="CU826" s="11"/>
      <c r="CV826" s="11"/>
      <c r="CW826" s="11"/>
      <c r="CX826" s="11"/>
      <c r="CY826" s="11"/>
      <c r="CZ826" s="11"/>
      <c r="DA826" s="11"/>
      <c r="DB826" s="11"/>
      <c r="DC826" s="11"/>
      <c r="DD826" s="11"/>
      <c r="DE826" s="11"/>
      <c r="DF826" s="11"/>
      <c r="DG826" s="11"/>
    </row>
    <row r="827" ht="15.75" customHeight="1">
      <c r="CT827" s="11"/>
      <c r="CU827" s="11"/>
      <c r="CV827" s="11"/>
      <c r="CW827" s="11"/>
      <c r="CX827" s="11"/>
      <c r="CY827" s="11"/>
      <c r="CZ827" s="11"/>
      <c r="DA827" s="11"/>
      <c r="DB827" s="11"/>
      <c r="DC827" s="11"/>
      <c r="DD827" s="11"/>
      <c r="DE827" s="11"/>
      <c r="DF827" s="11"/>
      <c r="DG827" s="11"/>
    </row>
    <row r="828" ht="15.75" customHeight="1">
      <c r="CT828" s="11"/>
      <c r="CU828" s="11"/>
      <c r="CV828" s="11"/>
      <c r="CW828" s="11"/>
      <c r="CX828" s="11"/>
      <c r="CY828" s="11"/>
      <c r="CZ828" s="11"/>
      <c r="DA828" s="11"/>
      <c r="DB828" s="11"/>
      <c r="DC828" s="11"/>
      <c r="DD828" s="11"/>
      <c r="DE828" s="11"/>
      <c r="DF828" s="11"/>
      <c r="DG828" s="11"/>
    </row>
    <row r="829" ht="15.75" customHeight="1">
      <c r="CT829" s="11"/>
      <c r="CU829" s="11"/>
      <c r="CV829" s="11"/>
      <c r="CW829" s="11"/>
      <c r="CX829" s="11"/>
      <c r="CY829" s="11"/>
      <c r="CZ829" s="11"/>
      <c r="DA829" s="11"/>
      <c r="DB829" s="11"/>
      <c r="DC829" s="11"/>
      <c r="DD829" s="11"/>
      <c r="DE829" s="11"/>
      <c r="DF829" s="11"/>
      <c r="DG829" s="11"/>
    </row>
    <row r="830" ht="15.75" customHeight="1">
      <c r="CT830" s="11"/>
      <c r="CU830" s="11"/>
      <c r="CV830" s="11"/>
      <c r="CW830" s="11"/>
      <c r="CX830" s="11"/>
      <c r="CY830" s="11"/>
      <c r="CZ830" s="11"/>
      <c r="DA830" s="11"/>
      <c r="DB830" s="11"/>
      <c r="DC830" s="11"/>
      <c r="DD830" s="11"/>
      <c r="DE830" s="11"/>
      <c r="DF830" s="11"/>
      <c r="DG830" s="11"/>
    </row>
    <row r="831" ht="15.75" customHeight="1">
      <c r="CT831" s="11"/>
      <c r="CU831" s="11"/>
      <c r="CV831" s="11"/>
      <c r="CW831" s="11"/>
      <c r="CX831" s="11"/>
      <c r="CY831" s="11"/>
      <c r="CZ831" s="11"/>
      <c r="DA831" s="11"/>
      <c r="DB831" s="11"/>
      <c r="DC831" s="11"/>
      <c r="DD831" s="11"/>
      <c r="DE831" s="11"/>
      <c r="DF831" s="11"/>
      <c r="DG831" s="11"/>
    </row>
    <row r="832" ht="15.75" customHeight="1">
      <c r="CT832" s="11"/>
      <c r="CU832" s="11"/>
      <c r="CV832" s="11"/>
      <c r="CW832" s="11"/>
      <c r="CX832" s="11"/>
      <c r="CY832" s="11"/>
      <c r="CZ832" s="11"/>
      <c r="DA832" s="11"/>
      <c r="DB832" s="11"/>
      <c r="DC832" s="11"/>
      <c r="DD832" s="11"/>
      <c r="DE832" s="11"/>
      <c r="DF832" s="11"/>
      <c r="DG832" s="11"/>
    </row>
    <row r="833" ht="15.75" customHeight="1">
      <c r="CT833" s="11"/>
      <c r="CU833" s="11"/>
      <c r="CV833" s="11"/>
      <c r="CW833" s="11"/>
      <c r="CX833" s="11"/>
      <c r="CY833" s="11"/>
      <c r="CZ833" s="11"/>
      <c r="DA833" s="11"/>
      <c r="DB833" s="11"/>
      <c r="DC833" s="11"/>
      <c r="DD833" s="11"/>
      <c r="DE833" s="11"/>
      <c r="DF833" s="11"/>
      <c r="DG833" s="11"/>
    </row>
    <row r="834" ht="15.75" customHeight="1">
      <c r="CT834" s="11"/>
      <c r="CU834" s="11"/>
      <c r="CV834" s="11"/>
      <c r="CW834" s="11"/>
      <c r="CX834" s="11"/>
      <c r="CY834" s="11"/>
      <c r="CZ834" s="11"/>
      <c r="DA834" s="11"/>
      <c r="DB834" s="11"/>
      <c r="DC834" s="11"/>
      <c r="DD834" s="11"/>
      <c r="DE834" s="11"/>
      <c r="DF834" s="11"/>
      <c r="DG834" s="11"/>
    </row>
    <row r="835" ht="15.75" customHeight="1">
      <c r="CT835" s="11"/>
      <c r="CU835" s="11"/>
      <c r="CV835" s="11"/>
      <c r="CW835" s="11"/>
      <c r="CX835" s="11"/>
      <c r="CY835" s="11"/>
      <c r="CZ835" s="11"/>
      <c r="DA835" s="11"/>
      <c r="DB835" s="11"/>
      <c r="DC835" s="11"/>
      <c r="DD835" s="11"/>
      <c r="DE835" s="11"/>
      <c r="DF835" s="11"/>
      <c r="DG835" s="11"/>
    </row>
    <row r="836" ht="15.75" customHeight="1">
      <c r="CT836" s="11"/>
      <c r="CU836" s="11"/>
      <c r="CV836" s="11"/>
      <c r="CW836" s="11"/>
      <c r="CX836" s="11"/>
      <c r="CY836" s="11"/>
      <c r="CZ836" s="11"/>
      <c r="DA836" s="11"/>
      <c r="DB836" s="11"/>
      <c r="DC836" s="11"/>
      <c r="DD836" s="11"/>
      <c r="DE836" s="11"/>
      <c r="DF836" s="11"/>
      <c r="DG836" s="11"/>
    </row>
    <row r="837" ht="15.75" customHeight="1">
      <c r="CT837" s="11"/>
      <c r="CU837" s="11"/>
      <c r="CV837" s="11"/>
      <c r="CW837" s="11"/>
      <c r="CX837" s="11"/>
      <c r="CY837" s="11"/>
      <c r="CZ837" s="11"/>
      <c r="DA837" s="11"/>
      <c r="DB837" s="11"/>
      <c r="DC837" s="11"/>
      <c r="DD837" s="11"/>
      <c r="DE837" s="11"/>
      <c r="DF837" s="11"/>
      <c r="DG837" s="11"/>
    </row>
    <row r="838" ht="15.75" customHeight="1">
      <c r="CT838" s="11"/>
      <c r="CU838" s="11"/>
      <c r="CV838" s="11"/>
      <c r="CW838" s="11"/>
      <c r="CX838" s="11"/>
      <c r="CY838" s="11"/>
      <c r="CZ838" s="11"/>
      <c r="DA838" s="11"/>
      <c r="DB838" s="11"/>
      <c r="DC838" s="11"/>
      <c r="DD838" s="11"/>
      <c r="DE838" s="11"/>
      <c r="DF838" s="11"/>
      <c r="DG838" s="11"/>
    </row>
    <row r="839" ht="15.75" customHeight="1">
      <c r="CT839" s="11"/>
      <c r="CU839" s="11"/>
      <c r="CV839" s="11"/>
      <c r="CW839" s="11"/>
      <c r="CX839" s="11"/>
      <c r="CY839" s="11"/>
      <c r="CZ839" s="11"/>
      <c r="DA839" s="11"/>
      <c r="DB839" s="11"/>
      <c r="DC839" s="11"/>
      <c r="DD839" s="11"/>
      <c r="DE839" s="11"/>
      <c r="DF839" s="11"/>
      <c r="DG839" s="11"/>
    </row>
    <row r="840" ht="15.75" customHeight="1">
      <c r="CT840" s="11"/>
      <c r="CU840" s="11"/>
      <c r="CV840" s="11"/>
      <c r="CW840" s="11"/>
      <c r="CX840" s="11"/>
      <c r="CY840" s="11"/>
      <c r="CZ840" s="11"/>
      <c r="DA840" s="11"/>
      <c r="DB840" s="11"/>
      <c r="DC840" s="11"/>
      <c r="DD840" s="11"/>
      <c r="DE840" s="11"/>
      <c r="DF840" s="11"/>
      <c r="DG840" s="11"/>
    </row>
    <row r="841" ht="15.75" customHeight="1">
      <c r="CT841" s="11"/>
      <c r="CU841" s="11"/>
      <c r="CV841" s="11"/>
      <c r="CW841" s="11"/>
      <c r="CX841" s="11"/>
      <c r="CY841" s="11"/>
      <c r="CZ841" s="11"/>
      <c r="DA841" s="11"/>
      <c r="DB841" s="11"/>
      <c r="DC841" s="11"/>
      <c r="DD841" s="11"/>
      <c r="DE841" s="11"/>
      <c r="DF841" s="11"/>
      <c r="DG841" s="11"/>
    </row>
    <row r="842" ht="15.75" customHeight="1">
      <c r="CT842" s="11"/>
      <c r="CU842" s="11"/>
      <c r="CV842" s="11"/>
      <c r="CW842" s="11"/>
      <c r="CX842" s="11"/>
      <c r="CY842" s="11"/>
      <c r="CZ842" s="11"/>
      <c r="DA842" s="11"/>
      <c r="DB842" s="11"/>
      <c r="DC842" s="11"/>
      <c r="DD842" s="11"/>
      <c r="DE842" s="11"/>
      <c r="DF842" s="11"/>
      <c r="DG842" s="11"/>
    </row>
    <row r="843" ht="15.75" customHeight="1">
      <c r="CT843" s="11"/>
      <c r="CU843" s="11"/>
      <c r="CV843" s="11"/>
      <c r="CW843" s="11"/>
      <c r="CX843" s="11"/>
      <c r="CY843" s="11"/>
      <c r="CZ843" s="11"/>
      <c r="DA843" s="11"/>
      <c r="DB843" s="11"/>
      <c r="DC843" s="11"/>
      <c r="DD843" s="11"/>
      <c r="DE843" s="11"/>
      <c r="DF843" s="11"/>
      <c r="DG843" s="11"/>
    </row>
    <row r="844" ht="15.75" customHeight="1">
      <c r="CT844" s="11"/>
      <c r="CU844" s="11"/>
      <c r="CV844" s="11"/>
      <c r="CW844" s="11"/>
      <c r="CX844" s="11"/>
      <c r="CY844" s="11"/>
      <c r="CZ844" s="11"/>
      <c r="DA844" s="11"/>
      <c r="DB844" s="11"/>
      <c r="DC844" s="11"/>
      <c r="DD844" s="11"/>
      <c r="DE844" s="11"/>
      <c r="DF844" s="11"/>
      <c r="DG844" s="11"/>
    </row>
    <row r="845" ht="15.75" customHeight="1">
      <c r="CT845" s="11"/>
      <c r="CU845" s="11"/>
      <c r="CV845" s="11"/>
      <c r="CW845" s="11"/>
      <c r="CX845" s="11"/>
      <c r="CY845" s="11"/>
      <c r="CZ845" s="11"/>
      <c r="DA845" s="11"/>
      <c r="DB845" s="11"/>
      <c r="DC845" s="11"/>
      <c r="DD845" s="11"/>
      <c r="DE845" s="11"/>
      <c r="DF845" s="11"/>
      <c r="DG845" s="11"/>
    </row>
    <row r="846" ht="15.75" customHeight="1">
      <c r="CT846" s="11"/>
      <c r="CU846" s="11"/>
      <c r="CV846" s="11"/>
      <c r="CW846" s="11"/>
      <c r="CX846" s="11"/>
      <c r="CY846" s="11"/>
      <c r="CZ846" s="11"/>
      <c r="DA846" s="11"/>
      <c r="DB846" s="11"/>
      <c r="DC846" s="11"/>
      <c r="DD846" s="11"/>
      <c r="DE846" s="11"/>
      <c r="DF846" s="11"/>
      <c r="DG846" s="11"/>
    </row>
    <row r="847" ht="15.75" customHeight="1">
      <c r="CT847" s="11"/>
      <c r="CU847" s="11"/>
      <c r="CV847" s="11"/>
      <c r="CW847" s="11"/>
      <c r="CX847" s="11"/>
      <c r="CY847" s="11"/>
      <c r="CZ847" s="11"/>
      <c r="DA847" s="11"/>
      <c r="DB847" s="11"/>
      <c r="DC847" s="11"/>
      <c r="DD847" s="11"/>
      <c r="DE847" s="11"/>
      <c r="DF847" s="11"/>
      <c r="DG847" s="11"/>
    </row>
    <row r="848" ht="15.75" customHeight="1">
      <c r="CT848" s="11"/>
      <c r="CU848" s="11"/>
      <c r="CV848" s="11"/>
      <c r="CW848" s="11"/>
      <c r="CX848" s="11"/>
      <c r="CY848" s="11"/>
      <c r="CZ848" s="11"/>
      <c r="DA848" s="11"/>
      <c r="DB848" s="11"/>
      <c r="DC848" s="11"/>
      <c r="DD848" s="11"/>
      <c r="DE848" s="11"/>
      <c r="DF848" s="11"/>
      <c r="DG848" s="11"/>
    </row>
    <row r="849" ht="15.75" customHeight="1">
      <c r="CT849" s="11"/>
      <c r="CU849" s="11"/>
      <c r="CV849" s="11"/>
      <c r="CW849" s="11"/>
      <c r="CX849" s="11"/>
      <c r="CY849" s="11"/>
      <c r="CZ849" s="11"/>
      <c r="DA849" s="11"/>
      <c r="DB849" s="11"/>
      <c r="DC849" s="11"/>
      <c r="DD849" s="11"/>
      <c r="DE849" s="11"/>
      <c r="DF849" s="11"/>
      <c r="DG849" s="11"/>
    </row>
    <row r="850" ht="15.75" customHeight="1">
      <c r="CT850" s="11"/>
      <c r="CU850" s="11"/>
      <c r="CV850" s="11"/>
      <c r="CW850" s="11"/>
      <c r="CX850" s="11"/>
      <c r="CY850" s="11"/>
      <c r="CZ850" s="11"/>
      <c r="DA850" s="11"/>
      <c r="DB850" s="11"/>
      <c r="DC850" s="11"/>
      <c r="DD850" s="11"/>
      <c r="DE850" s="11"/>
      <c r="DF850" s="11"/>
      <c r="DG850" s="11"/>
    </row>
    <row r="851" ht="15.75" customHeight="1">
      <c r="CT851" s="11"/>
      <c r="CU851" s="11"/>
      <c r="CV851" s="11"/>
      <c r="CW851" s="11"/>
      <c r="CX851" s="11"/>
      <c r="CY851" s="11"/>
      <c r="CZ851" s="11"/>
      <c r="DA851" s="11"/>
      <c r="DB851" s="11"/>
      <c r="DC851" s="11"/>
      <c r="DD851" s="11"/>
      <c r="DE851" s="11"/>
      <c r="DF851" s="11"/>
      <c r="DG851" s="11"/>
    </row>
    <row r="852" ht="15.75" customHeight="1">
      <c r="CT852" s="11"/>
      <c r="CU852" s="11"/>
      <c r="CV852" s="11"/>
      <c r="CW852" s="11"/>
      <c r="CX852" s="11"/>
      <c r="CY852" s="11"/>
      <c r="CZ852" s="11"/>
      <c r="DA852" s="11"/>
      <c r="DB852" s="11"/>
      <c r="DC852" s="11"/>
      <c r="DD852" s="11"/>
      <c r="DE852" s="11"/>
      <c r="DF852" s="11"/>
      <c r="DG852" s="11"/>
    </row>
    <row r="853" ht="15.75" customHeight="1">
      <c r="CT853" s="11"/>
      <c r="CU853" s="11"/>
      <c r="CV853" s="11"/>
      <c r="CW853" s="11"/>
      <c r="CX853" s="11"/>
      <c r="CY853" s="11"/>
      <c r="CZ853" s="11"/>
      <c r="DA853" s="11"/>
      <c r="DB853" s="11"/>
      <c r="DC853" s="11"/>
      <c r="DD853" s="11"/>
      <c r="DE853" s="11"/>
      <c r="DF853" s="11"/>
      <c r="DG853" s="11"/>
    </row>
    <row r="854" ht="15.75" customHeight="1">
      <c r="CT854" s="11"/>
      <c r="CU854" s="11"/>
      <c r="CV854" s="11"/>
      <c r="CW854" s="11"/>
      <c r="CX854" s="11"/>
      <c r="CY854" s="11"/>
      <c r="CZ854" s="11"/>
      <c r="DA854" s="11"/>
      <c r="DB854" s="11"/>
      <c r="DC854" s="11"/>
      <c r="DD854" s="11"/>
      <c r="DE854" s="11"/>
      <c r="DF854" s="11"/>
      <c r="DG854" s="11"/>
    </row>
    <row r="855" ht="15.75" customHeight="1">
      <c r="CT855" s="11"/>
      <c r="CU855" s="11"/>
      <c r="CV855" s="11"/>
      <c r="CW855" s="11"/>
      <c r="CX855" s="11"/>
      <c r="CY855" s="11"/>
      <c r="CZ855" s="11"/>
      <c r="DA855" s="11"/>
      <c r="DB855" s="11"/>
      <c r="DC855" s="11"/>
      <c r="DD855" s="11"/>
      <c r="DE855" s="11"/>
      <c r="DF855" s="11"/>
      <c r="DG855" s="11"/>
    </row>
    <row r="856" ht="15.75" customHeight="1">
      <c r="CT856" s="11"/>
      <c r="CU856" s="11"/>
      <c r="CV856" s="11"/>
      <c r="CW856" s="11"/>
      <c r="CX856" s="11"/>
      <c r="CY856" s="11"/>
      <c r="CZ856" s="11"/>
      <c r="DA856" s="11"/>
      <c r="DB856" s="11"/>
      <c r="DC856" s="11"/>
      <c r="DD856" s="11"/>
      <c r="DE856" s="11"/>
      <c r="DF856" s="11"/>
      <c r="DG856" s="11"/>
    </row>
    <row r="857" ht="15.75" customHeight="1">
      <c r="CT857" s="11"/>
      <c r="CU857" s="11"/>
      <c r="CV857" s="11"/>
      <c r="CW857" s="11"/>
      <c r="CX857" s="11"/>
      <c r="CY857" s="11"/>
      <c r="CZ857" s="11"/>
      <c r="DA857" s="11"/>
      <c r="DB857" s="11"/>
      <c r="DC857" s="11"/>
      <c r="DD857" s="11"/>
      <c r="DE857" s="11"/>
      <c r="DF857" s="11"/>
      <c r="DG857" s="11"/>
    </row>
    <row r="858" ht="15.75" customHeight="1">
      <c r="CT858" s="11"/>
      <c r="CU858" s="11"/>
      <c r="CV858" s="11"/>
      <c r="CW858" s="11"/>
      <c r="CX858" s="11"/>
      <c r="CY858" s="11"/>
      <c r="CZ858" s="11"/>
      <c r="DA858" s="11"/>
      <c r="DB858" s="11"/>
      <c r="DC858" s="11"/>
      <c r="DD858" s="11"/>
      <c r="DE858" s="11"/>
      <c r="DF858" s="11"/>
      <c r="DG858" s="11"/>
    </row>
    <row r="859" ht="15.75" customHeight="1">
      <c r="CT859" s="11"/>
      <c r="CU859" s="11"/>
      <c r="CV859" s="11"/>
      <c r="CW859" s="11"/>
      <c r="CX859" s="11"/>
      <c r="CY859" s="11"/>
      <c r="CZ859" s="11"/>
      <c r="DA859" s="11"/>
      <c r="DB859" s="11"/>
      <c r="DC859" s="11"/>
      <c r="DD859" s="11"/>
      <c r="DE859" s="11"/>
      <c r="DF859" s="11"/>
      <c r="DG859" s="11"/>
    </row>
    <row r="860" ht="15.75" customHeight="1">
      <c r="CT860" s="11"/>
      <c r="CU860" s="11"/>
      <c r="CV860" s="11"/>
      <c r="CW860" s="11"/>
      <c r="CX860" s="11"/>
      <c r="CY860" s="11"/>
      <c r="CZ860" s="11"/>
      <c r="DA860" s="11"/>
      <c r="DB860" s="11"/>
      <c r="DC860" s="11"/>
      <c r="DD860" s="11"/>
      <c r="DE860" s="11"/>
      <c r="DF860" s="11"/>
      <c r="DG860" s="11"/>
    </row>
    <row r="861" ht="15.75" customHeight="1">
      <c r="CT861" s="11"/>
      <c r="CU861" s="11"/>
      <c r="CV861" s="11"/>
      <c r="CW861" s="11"/>
      <c r="CX861" s="11"/>
      <c r="CY861" s="11"/>
      <c r="CZ861" s="11"/>
      <c r="DA861" s="11"/>
      <c r="DB861" s="11"/>
      <c r="DC861" s="11"/>
      <c r="DD861" s="11"/>
      <c r="DE861" s="11"/>
      <c r="DF861" s="11"/>
      <c r="DG861" s="11"/>
    </row>
    <row r="862" ht="15.75" customHeight="1">
      <c r="CT862" s="11"/>
      <c r="CU862" s="11"/>
      <c r="CV862" s="11"/>
      <c r="CW862" s="11"/>
      <c r="CX862" s="11"/>
      <c r="CY862" s="11"/>
      <c r="CZ862" s="11"/>
      <c r="DA862" s="11"/>
      <c r="DB862" s="11"/>
      <c r="DC862" s="11"/>
      <c r="DD862" s="11"/>
      <c r="DE862" s="11"/>
      <c r="DF862" s="11"/>
      <c r="DG862" s="11"/>
    </row>
    <row r="863" ht="15.75" customHeight="1">
      <c r="CT863" s="11"/>
      <c r="CU863" s="11"/>
      <c r="CV863" s="11"/>
      <c r="CW863" s="11"/>
      <c r="CX863" s="11"/>
      <c r="CY863" s="11"/>
      <c r="CZ863" s="11"/>
      <c r="DA863" s="11"/>
      <c r="DB863" s="11"/>
      <c r="DC863" s="11"/>
      <c r="DD863" s="11"/>
      <c r="DE863" s="11"/>
      <c r="DF863" s="11"/>
      <c r="DG863" s="11"/>
    </row>
    <row r="864" ht="15.75" customHeight="1">
      <c r="CT864" s="11"/>
      <c r="CU864" s="11"/>
      <c r="CV864" s="11"/>
      <c r="CW864" s="11"/>
      <c r="CX864" s="11"/>
      <c r="CY864" s="11"/>
      <c r="CZ864" s="11"/>
      <c r="DA864" s="11"/>
      <c r="DB864" s="11"/>
      <c r="DC864" s="11"/>
      <c r="DD864" s="11"/>
      <c r="DE864" s="11"/>
      <c r="DF864" s="11"/>
      <c r="DG864" s="11"/>
    </row>
    <row r="865" ht="15.75" customHeight="1">
      <c r="CT865" s="11"/>
      <c r="CU865" s="11"/>
      <c r="CV865" s="11"/>
      <c r="CW865" s="11"/>
      <c r="CX865" s="11"/>
      <c r="CY865" s="11"/>
      <c r="CZ865" s="11"/>
      <c r="DA865" s="11"/>
      <c r="DB865" s="11"/>
      <c r="DC865" s="11"/>
      <c r="DD865" s="11"/>
      <c r="DE865" s="11"/>
      <c r="DF865" s="11"/>
      <c r="DG865" s="11"/>
    </row>
    <row r="866" ht="15.75" customHeight="1">
      <c r="CT866" s="11"/>
      <c r="CU866" s="11"/>
      <c r="CV866" s="11"/>
      <c r="CW866" s="11"/>
      <c r="CX866" s="11"/>
      <c r="CY866" s="11"/>
      <c r="CZ866" s="11"/>
      <c r="DA866" s="11"/>
      <c r="DB866" s="11"/>
      <c r="DC866" s="11"/>
      <c r="DD866" s="11"/>
      <c r="DE866" s="11"/>
      <c r="DF866" s="11"/>
      <c r="DG866" s="11"/>
    </row>
    <row r="867" ht="15.75" customHeight="1">
      <c r="CT867" s="11"/>
      <c r="CU867" s="11"/>
      <c r="CV867" s="11"/>
      <c r="CW867" s="11"/>
      <c r="CX867" s="11"/>
      <c r="CY867" s="11"/>
      <c r="CZ867" s="11"/>
      <c r="DA867" s="11"/>
      <c r="DB867" s="11"/>
      <c r="DC867" s="11"/>
      <c r="DD867" s="11"/>
      <c r="DE867" s="11"/>
      <c r="DF867" s="11"/>
      <c r="DG867" s="11"/>
    </row>
    <row r="868" ht="15.75" customHeight="1">
      <c r="CT868" s="11"/>
      <c r="CU868" s="11"/>
      <c r="CV868" s="11"/>
      <c r="CW868" s="11"/>
      <c r="CX868" s="11"/>
      <c r="CY868" s="11"/>
      <c r="CZ868" s="11"/>
      <c r="DA868" s="11"/>
      <c r="DB868" s="11"/>
      <c r="DC868" s="11"/>
      <c r="DD868" s="11"/>
      <c r="DE868" s="11"/>
      <c r="DF868" s="11"/>
      <c r="DG868" s="11"/>
    </row>
    <row r="869" ht="15.75" customHeight="1">
      <c r="CT869" s="11"/>
      <c r="CU869" s="11"/>
      <c r="CV869" s="11"/>
      <c r="CW869" s="11"/>
      <c r="CX869" s="11"/>
      <c r="CY869" s="11"/>
      <c r="CZ869" s="11"/>
      <c r="DA869" s="11"/>
      <c r="DB869" s="11"/>
      <c r="DC869" s="11"/>
      <c r="DD869" s="11"/>
      <c r="DE869" s="11"/>
      <c r="DF869" s="11"/>
      <c r="DG869" s="11"/>
    </row>
    <row r="870" ht="15.75" customHeight="1">
      <c r="CT870" s="11"/>
      <c r="CU870" s="11"/>
      <c r="CV870" s="11"/>
      <c r="CW870" s="11"/>
      <c r="CX870" s="11"/>
      <c r="CY870" s="11"/>
      <c r="CZ870" s="11"/>
      <c r="DA870" s="11"/>
      <c r="DB870" s="11"/>
      <c r="DC870" s="11"/>
      <c r="DD870" s="11"/>
      <c r="DE870" s="11"/>
      <c r="DF870" s="11"/>
      <c r="DG870" s="11"/>
    </row>
    <row r="871" ht="15.75" customHeight="1">
      <c r="CT871" s="11"/>
      <c r="CU871" s="11"/>
      <c r="CV871" s="11"/>
      <c r="CW871" s="11"/>
      <c r="CX871" s="11"/>
      <c r="CY871" s="11"/>
      <c r="CZ871" s="11"/>
      <c r="DA871" s="11"/>
      <c r="DB871" s="11"/>
      <c r="DC871" s="11"/>
      <c r="DD871" s="11"/>
      <c r="DE871" s="11"/>
      <c r="DF871" s="11"/>
      <c r="DG871" s="11"/>
    </row>
    <row r="872" ht="15.75" customHeight="1">
      <c r="CT872" s="11"/>
      <c r="CU872" s="11"/>
      <c r="CV872" s="11"/>
      <c r="CW872" s="11"/>
      <c r="CX872" s="11"/>
      <c r="CY872" s="11"/>
      <c r="CZ872" s="11"/>
      <c r="DA872" s="11"/>
      <c r="DB872" s="11"/>
      <c r="DC872" s="11"/>
      <c r="DD872" s="11"/>
      <c r="DE872" s="11"/>
      <c r="DF872" s="11"/>
      <c r="DG872" s="11"/>
    </row>
    <row r="873" ht="15.75" customHeight="1">
      <c r="CT873" s="11"/>
      <c r="CU873" s="11"/>
      <c r="CV873" s="11"/>
      <c r="CW873" s="11"/>
      <c r="CX873" s="11"/>
      <c r="CY873" s="11"/>
      <c r="CZ873" s="11"/>
      <c r="DA873" s="11"/>
      <c r="DB873" s="11"/>
      <c r="DC873" s="11"/>
      <c r="DD873" s="11"/>
      <c r="DE873" s="11"/>
      <c r="DF873" s="11"/>
      <c r="DG873" s="11"/>
    </row>
    <row r="874" ht="15.75" customHeight="1">
      <c r="CT874" s="11"/>
      <c r="CU874" s="11"/>
      <c r="CV874" s="11"/>
      <c r="CW874" s="11"/>
      <c r="CX874" s="11"/>
      <c r="CY874" s="11"/>
      <c r="CZ874" s="11"/>
      <c r="DA874" s="11"/>
      <c r="DB874" s="11"/>
      <c r="DC874" s="11"/>
      <c r="DD874" s="11"/>
      <c r="DE874" s="11"/>
      <c r="DF874" s="11"/>
      <c r="DG874" s="11"/>
    </row>
    <row r="875" ht="15.75" customHeight="1">
      <c r="CT875" s="11"/>
      <c r="CU875" s="11"/>
      <c r="CV875" s="11"/>
      <c r="CW875" s="11"/>
      <c r="CX875" s="11"/>
      <c r="CY875" s="11"/>
      <c r="CZ875" s="11"/>
      <c r="DA875" s="11"/>
      <c r="DB875" s="11"/>
      <c r="DC875" s="11"/>
      <c r="DD875" s="11"/>
      <c r="DE875" s="11"/>
      <c r="DF875" s="11"/>
      <c r="DG875" s="11"/>
    </row>
    <row r="876" ht="15.75" customHeight="1">
      <c r="CT876" s="11"/>
      <c r="CU876" s="11"/>
      <c r="CV876" s="11"/>
      <c r="CW876" s="11"/>
      <c r="CX876" s="11"/>
      <c r="CY876" s="11"/>
      <c r="CZ876" s="11"/>
      <c r="DA876" s="11"/>
      <c r="DB876" s="11"/>
      <c r="DC876" s="11"/>
      <c r="DD876" s="11"/>
      <c r="DE876" s="11"/>
      <c r="DF876" s="11"/>
      <c r="DG876" s="11"/>
    </row>
    <row r="877" ht="15.75" customHeight="1">
      <c r="CT877" s="11"/>
      <c r="CU877" s="11"/>
      <c r="CV877" s="11"/>
      <c r="CW877" s="11"/>
      <c r="CX877" s="11"/>
      <c r="CY877" s="11"/>
      <c r="CZ877" s="11"/>
      <c r="DA877" s="11"/>
      <c r="DB877" s="11"/>
      <c r="DC877" s="11"/>
      <c r="DD877" s="11"/>
      <c r="DE877" s="11"/>
      <c r="DF877" s="11"/>
      <c r="DG877" s="11"/>
    </row>
    <row r="878" ht="15.75" customHeight="1">
      <c r="CT878" s="11"/>
      <c r="CU878" s="11"/>
      <c r="CV878" s="11"/>
      <c r="CW878" s="11"/>
      <c r="CX878" s="11"/>
      <c r="CY878" s="11"/>
      <c r="CZ878" s="11"/>
      <c r="DA878" s="11"/>
      <c r="DB878" s="11"/>
      <c r="DC878" s="11"/>
      <c r="DD878" s="11"/>
      <c r="DE878" s="11"/>
      <c r="DF878" s="11"/>
      <c r="DG878" s="11"/>
    </row>
    <row r="879" ht="15.75" customHeight="1">
      <c r="CT879" s="11"/>
      <c r="CU879" s="11"/>
      <c r="CV879" s="11"/>
      <c r="CW879" s="11"/>
      <c r="CX879" s="11"/>
      <c r="CY879" s="11"/>
      <c r="CZ879" s="11"/>
      <c r="DA879" s="11"/>
      <c r="DB879" s="11"/>
      <c r="DC879" s="11"/>
      <c r="DD879" s="11"/>
      <c r="DE879" s="11"/>
      <c r="DF879" s="11"/>
      <c r="DG879" s="11"/>
    </row>
    <row r="880" ht="15.75" customHeight="1">
      <c r="CT880" s="11"/>
      <c r="CU880" s="11"/>
      <c r="CV880" s="11"/>
      <c r="CW880" s="11"/>
      <c r="CX880" s="11"/>
      <c r="CY880" s="11"/>
      <c r="CZ880" s="11"/>
      <c r="DA880" s="11"/>
      <c r="DB880" s="11"/>
      <c r="DC880" s="11"/>
      <c r="DD880" s="11"/>
      <c r="DE880" s="11"/>
      <c r="DF880" s="11"/>
      <c r="DG880" s="11"/>
    </row>
    <row r="881" ht="15.75" customHeight="1">
      <c r="CT881" s="11"/>
      <c r="CU881" s="11"/>
      <c r="CV881" s="11"/>
      <c r="CW881" s="11"/>
      <c r="CX881" s="11"/>
      <c r="CY881" s="11"/>
      <c r="CZ881" s="11"/>
      <c r="DA881" s="11"/>
      <c r="DB881" s="11"/>
      <c r="DC881" s="11"/>
      <c r="DD881" s="11"/>
      <c r="DE881" s="11"/>
      <c r="DF881" s="11"/>
      <c r="DG881" s="11"/>
    </row>
    <row r="882" ht="15.75" customHeight="1">
      <c r="CT882" s="11"/>
      <c r="CU882" s="11"/>
      <c r="CV882" s="11"/>
      <c r="CW882" s="11"/>
      <c r="CX882" s="11"/>
      <c r="CY882" s="11"/>
      <c r="CZ882" s="11"/>
      <c r="DA882" s="11"/>
      <c r="DB882" s="11"/>
      <c r="DC882" s="11"/>
      <c r="DD882" s="11"/>
      <c r="DE882" s="11"/>
      <c r="DF882" s="11"/>
      <c r="DG882" s="11"/>
    </row>
    <row r="883" ht="15.75" customHeight="1">
      <c r="CT883" s="11"/>
      <c r="CU883" s="11"/>
      <c r="CV883" s="11"/>
      <c r="CW883" s="11"/>
      <c r="CX883" s="11"/>
      <c r="CY883" s="11"/>
      <c r="CZ883" s="11"/>
      <c r="DA883" s="11"/>
      <c r="DB883" s="11"/>
      <c r="DC883" s="11"/>
      <c r="DD883" s="11"/>
      <c r="DE883" s="11"/>
      <c r="DF883" s="11"/>
      <c r="DG883" s="11"/>
    </row>
    <row r="884" ht="15.75" customHeight="1">
      <c r="CT884" s="11"/>
      <c r="CU884" s="11"/>
      <c r="CV884" s="11"/>
      <c r="CW884" s="11"/>
      <c r="CX884" s="11"/>
      <c r="CY884" s="11"/>
      <c r="CZ884" s="11"/>
      <c r="DA884" s="11"/>
      <c r="DB884" s="11"/>
      <c r="DC884" s="11"/>
      <c r="DD884" s="11"/>
      <c r="DE884" s="11"/>
      <c r="DF884" s="11"/>
      <c r="DG884" s="11"/>
    </row>
    <row r="885" ht="15.75" customHeight="1">
      <c r="CT885" s="11"/>
      <c r="CU885" s="11"/>
      <c r="CV885" s="11"/>
      <c r="CW885" s="11"/>
      <c r="CX885" s="11"/>
      <c r="CY885" s="11"/>
      <c r="CZ885" s="11"/>
      <c r="DA885" s="11"/>
      <c r="DB885" s="11"/>
      <c r="DC885" s="11"/>
      <c r="DD885" s="11"/>
      <c r="DE885" s="11"/>
      <c r="DF885" s="11"/>
      <c r="DG885" s="11"/>
    </row>
    <row r="886" ht="15.75" customHeight="1">
      <c r="CT886" s="11"/>
      <c r="CU886" s="11"/>
      <c r="CV886" s="11"/>
      <c r="CW886" s="11"/>
      <c r="CX886" s="11"/>
      <c r="CY886" s="11"/>
      <c r="CZ886" s="11"/>
      <c r="DA886" s="11"/>
      <c r="DB886" s="11"/>
      <c r="DC886" s="11"/>
      <c r="DD886" s="11"/>
      <c r="DE886" s="11"/>
      <c r="DF886" s="11"/>
      <c r="DG886" s="11"/>
    </row>
    <row r="887" ht="15.75" customHeight="1">
      <c r="CT887" s="11"/>
      <c r="CU887" s="11"/>
      <c r="CV887" s="11"/>
      <c r="CW887" s="11"/>
      <c r="CX887" s="11"/>
      <c r="CY887" s="11"/>
      <c r="CZ887" s="11"/>
      <c r="DA887" s="11"/>
      <c r="DB887" s="11"/>
      <c r="DC887" s="11"/>
      <c r="DD887" s="11"/>
      <c r="DE887" s="11"/>
      <c r="DF887" s="11"/>
      <c r="DG887" s="11"/>
    </row>
    <row r="888" ht="15.75" customHeight="1">
      <c r="CT888" s="11"/>
      <c r="CU888" s="11"/>
      <c r="CV888" s="11"/>
      <c r="CW888" s="11"/>
      <c r="CX888" s="11"/>
      <c r="CY888" s="11"/>
      <c r="CZ888" s="11"/>
      <c r="DA888" s="11"/>
      <c r="DB888" s="11"/>
      <c r="DC888" s="11"/>
      <c r="DD888" s="11"/>
      <c r="DE888" s="11"/>
      <c r="DF888" s="11"/>
      <c r="DG888" s="11"/>
    </row>
    <row r="889" ht="15.75" customHeight="1">
      <c r="CT889" s="11"/>
      <c r="CU889" s="11"/>
      <c r="CV889" s="11"/>
      <c r="CW889" s="11"/>
      <c r="CX889" s="11"/>
      <c r="CY889" s="11"/>
      <c r="CZ889" s="11"/>
      <c r="DA889" s="11"/>
      <c r="DB889" s="11"/>
      <c r="DC889" s="11"/>
      <c r="DD889" s="11"/>
      <c r="DE889" s="11"/>
      <c r="DF889" s="11"/>
      <c r="DG889" s="11"/>
    </row>
    <row r="890" ht="15.75" customHeight="1">
      <c r="CT890" s="11"/>
      <c r="CU890" s="11"/>
      <c r="CV890" s="11"/>
      <c r="CW890" s="11"/>
      <c r="CX890" s="11"/>
      <c r="CY890" s="11"/>
      <c r="CZ890" s="11"/>
      <c r="DA890" s="11"/>
      <c r="DB890" s="11"/>
      <c r="DC890" s="11"/>
      <c r="DD890" s="11"/>
      <c r="DE890" s="11"/>
      <c r="DF890" s="11"/>
      <c r="DG890" s="11"/>
    </row>
    <row r="891" ht="15.75" customHeight="1">
      <c r="CT891" s="11"/>
      <c r="CU891" s="11"/>
      <c r="CV891" s="11"/>
      <c r="CW891" s="11"/>
      <c r="CX891" s="11"/>
      <c r="CY891" s="11"/>
      <c r="CZ891" s="11"/>
      <c r="DA891" s="11"/>
      <c r="DB891" s="11"/>
      <c r="DC891" s="11"/>
      <c r="DD891" s="11"/>
      <c r="DE891" s="11"/>
      <c r="DF891" s="11"/>
      <c r="DG891" s="11"/>
    </row>
    <row r="892" ht="15.75" customHeight="1">
      <c r="CT892" s="11"/>
      <c r="CU892" s="11"/>
      <c r="CV892" s="11"/>
      <c r="CW892" s="11"/>
      <c r="CX892" s="11"/>
      <c r="CY892" s="11"/>
      <c r="CZ892" s="11"/>
      <c r="DA892" s="11"/>
      <c r="DB892" s="11"/>
      <c r="DC892" s="11"/>
      <c r="DD892" s="11"/>
      <c r="DE892" s="11"/>
      <c r="DF892" s="11"/>
      <c r="DG892" s="11"/>
    </row>
    <row r="893" ht="15.75" customHeight="1">
      <c r="CT893" s="11"/>
      <c r="CU893" s="11"/>
      <c r="CV893" s="11"/>
      <c r="CW893" s="11"/>
      <c r="CX893" s="11"/>
      <c r="CY893" s="11"/>
      <c r="CZ893" s="11"/>
      <c r="DA893" s="11"/>
      <c r="DB893" s="11"/>
      <c r="DC893" s="11"/>
      <c r="DD893" s="11"/>
      <c r="DE893" s="11"/>
      <c r="DF893" s="11"/>
      <c r="DG893" s="11"/>
    </row>
    <row r="894" ht="15.75" customHeight="1">
      <c r="CT894" s="11"/>
      <c r="CU894" s="11"/>
      <c r="CV894" s="11"/>
      <c r="CW894" s="11"/>
      <c r="CX894" s="11"/>
      <c r="CY894" s="11"/>
      <c r="CZ894" s="11"/>
      <c r="DA894" s="11"/>
      <c r="DB894" s="11"/>
      <c r="DC894" s="11"/>
      <c r="DD894" s="11"/>
      <c r="DE894" s="11"/>
      <c r="DF894" s="11"/>
      <c r="DG894" s="11"/>
    </row>
    <row r="895" ht="15.75" customHeight="1">
      <c r="CT895" s="11"/>
      <c r="CU895" s="11"/>
      <c r="CV895" s="11"/>
      <c r="CW895" s="11"/>
      <c r="CX895" s="11"/>
      <c r="CY895" s="11"/>
      <c r="CZ895" s="11"/>
      <c r="DA895" s="11"/>
      <c r="DB895" s="11"/>
      <c r="DC895" s="11"/>
      <c r="DD895" s="11"/>
      <c r="DE895" s="11"/>
      <c r="DF895" s="11"/>
      <c r="DG895" s="11"/>
    </row>
    <row r="896" ht="15.75" customHeight="1">
      <c r="CT896" s="11"/>
      <c r="CU896" s="11"/>
      <c r="CV896" s="11"/>
      <c r="CW896" s="11"/>
      <c r="CX896" s="11"/>
      <c r="CY896" s="11"/>
      <c r="CZ896" s="11"/>
      <c r="DA896" s="11"/>
      <c r="DB896" s="11"/>
      <c r="DC896" s="11"/>
      <c r="DD896" s="11"/>
      <c r="DE896" s="11"/>
      <c r="DF896" s="11"/>
      <c r="DG896" s="11"/>
    </row>
    <row r="897" ht="15.75" customHeight="1">
      <c r="CT897" s="11"/>
      <c r="CU897" s="11"/>
      <c r="CV897" s="11"/>
      <c r="CW897" s="11"/>
      <c r="CX897" s="11"/>
      <c r="CY897" s="11"/>
      <c r="CZ897" s="11"/>
      <c r="DA897" s="11"/>
      <c r="DB897" s="11"/>
      <c r="DC897" s="11"/>
      <c r="DD897" s="11"/>
      <c r="DE897" s="11"/>
      <c r="DF897" s="11"/>
      <c r="DG897" s="11"/>
    </row>
    <row r="898" ht="15.75" customHeight="1">
      <c r="CT898" s="11"/>
      <c r="CU898" s="11"/>
      <c r="CV898" s="11"/>
      <c r="CW898" s="11"/>
      <c r="CX898" s="11"/>
      <c r="CY898" s="11"/>
      <c r="CZ898" s="11"/>
      <c r="DA898" s="11"/>
      <c r="DB898" s="11"/>
      <c r="DC898" s="11"/>
      <c r="DD898" s="11"/>
      <c r="DE898" s="11"/>
      <c r="DF898" s="11"/>
      <c r="DG898" s="11"/>
    </row>
    <row r="899" ht="15.75" customHeight="1">
      <c r="CT899" s="11"/>
      <c r="CU899" s="11"/>
      <c r="CV899" s="11"/>
      <c r="CW899" s="11"/>
      <c r="CX899" s="11"/>
      <c r="CY899" s="11"/>
      <c r="CZ899" s="11"/>
      <c r="DA899" s="11"/>
      <c r="DB899" s="11"/>
      <c r="DC899" s="11"/>
      <c r="DD899" s="11"/>
      <c r="DE899" s="11"/>
      <c r="DF899" s="11"/>
      <c r="DG899" s="11"/>
    </row>
    <row r="900" ht="15.75" customHeight="1">
      <c r="CT900" s="11"/>
      <c r="CU900" s="11"/>
      <c r="CV900" s="11"/>
      <c r="CW900" s="11"/>
      <c r="CX900" s="11"/>
      <c r="CY900" s="11"/>
      <c r="CZ900" s="11"/>
      <c r="DA900" s="11"/>
      <c r="DB900" s="11"/>
      <c r="DC900" s="11"/>
      <c r="DD900" s="11"/>
      <c r="DE900" s="11"/>
      <c r="DF900" s="11"/>
      <c r="DG900" s="11"/>
    </row>
    <row r="901" ht="15.75" customHeight="1">
      <c r="CT901" s="11"/>
      <c r="CU901" s="11"/>
      <c r="CV901" s="11"/>
      <c r="CW901" s="11"/>
      <c r="CX901" s="11"/>
      <c r="CY901" s="11"/>
      <c r="CZ901" s="11"/>
      <c r="DA901" s="11"/>
      <c r="DB901" s="11"/>
      <c r="DC901" s="11"/>
      <c r="DD901" s="11"/>
      <c r="DE901" s="11"/>
      <c r="DF901" s="11"/>
      <c r="DG901" s="11"/>
    </row>
    <row r="902" ht="15.75" customHeight="1">
      <c r="CT902" s="11"/>
      <c r="CU902" s="11"/>
      <c r="CV902" s="11"/>
      <c r="CW902" s="11"/>
      <c r="CX902" s="11"/>
      <c r="CY902" s="11"/>
      <c r="CZ902" s="11"/>
      <c r="DA902" s="11"/>
      <c r="DB902" s="11"/>
      <c r="DC902" s="11"/>
      <c r="DD902" s="11"/>
      <c r="DE902" s="11"/>
      <c r="DF902" s="11"/>
      <c r="DG902" s="11"/>
    </row>
    <row r="903" ht="15.75" customHeight="1">
      <c r="CT903" s="11"/>
      <c r="CU903" s="11"/>
      <c r="CV903" s="11"/>
      <c r="CW903" s="11"/>
      <c r="CX903" s="11"/>
      <c r="CY903" s="11"/>
      <c r="CZ903" s="11"/>
      <c r="DA903" s="11"/>
      <c r="DB903" s="11"/>
      <c r="DC903" s="11"/>
      <c r="DD903" s="11"/>
      <c r="DE903" s="11"/>
      <c r="DF903" s="11"/>
      <c r="DG903" s="11"/>
    </row>
    <row r="904" ht="15.75" customHeight="1">
      <c r="CT904" s="11"/>
      <c r="CU904" s="11"/>
      <c r="CV904" s="11"/>
      <c r="CW904" s="11"/>
      <c r="CX904" s="11"/>
      <c r="CY904" s="11"/>
      <c r="CZ904" s="11"/>
      <c r="DA904" s="11"/>
      <c r="DB904" s="11"/>
      <c r="DC904" s="11"/>
      <c r="DD904" s="11"/>
      <c r="DE904" s="11"/>
      <c r="DF904" s="11"/>
      <c r="DG904" s="11"/>
    </row>
    <row r="905" ht="15.75" customHeight="1">
      <c r="CT905" s="11"/>
      <c r="CU905" s="11"/>
      <c r="CV905" s="11"/>
      <c r="CW905" s="11"/>
      <c r="CX905" s="11"/>
      <c r="CY905" s="11"/>
      <c r="CZ905" s="11"/>
      <c r="DA905" s="11"/>
      <c r="DB905" s="11"/>
      <c r="DC905" s="11"/>
      <c r="DD905" s="11"/>
      <c r="DE905" s="11"/>
      <c r="DF905" s="11"/>
      <c r="DG905" s="11"/>
    </row>
    <row r="906" ht="15.75" customHeight="1">
      <c r="CT906" s="11"/>
      <c r="CU906" s="11"/>
      <c r="CV906" s="11"/>
      <c r="CW906" s="11"/>
      <c r="CX906" s="11"/>
      <c r="CY906" s="11"/>
      <c r="CZ906" s="11"/>
      <c r="DA906" s="11"/>
      <c r="DB906" s="11"/>
      <c r="DC906" s="11"/>
      <c r="DD906" s="11"/>
      <c r="DE906" s="11"/>
      <c r="DF906" s="11"/>
      <c r="DG906" s="11"/>
    </row>
    <row r="907" ht="15.75" customHeight="1">
      <c r="CT907" s="11"/>
      <c r="CU907" s="11"/>
      <c r="CV907" s="11"/>
      <c r="CW907" s="11"/>
      <c r="CX907" s="11"/>
      <c r="CY907" s="11"/>
      <c r="CZ907" s="11"/>
      <c r="DA907" s="11"/>
      <c r="DB907" s="11"/>
      <c r="DC907" s="11"/>
      <c r="DD907" s="11"/>
      <c r="DE907" s="11"/>
      <c r="DF907" s="11"/>
      <c r="DG907" s="11"/>
    </row>
    <row r="908" ht="15.75" customHeight="1">
      <c r="CT908" s="11"/>
      <c r="CU908" s="11"/>
      <c r="CV908" s="11"/>
      <c r="CW908" s="11"/>
      <c r="CX908" s="11"/>
      <c r="CY908" s="11"/>
      <c r="CZ908" s="11"/>
      <c r="DA908" s="11"/>
      <c r="DB908" s="11"/>
      <c r="DC908" s="11"/>
      <c r="DD908" s="11"/>
      <c r="DE908" s="11"/>
      <c r="DF908" s="11"/>
      <c r="DG908" s="11"/>
    </row>
    <row r="909" ht="15.75" customHeight="1">
      <c r="CT909" s="11"/>
      <c r="CU909" s="11"/>
      <c r="CV909" s="11"/>
      <c r="CW909" s="11"/>
      <c r="CX909" s="11"/>
      <c r="CY909" s="11"/>
      <c r="CZ909" s="11"/>
      <c r="DA909" s="11"/>
      <c r="DB909" s="11"/>
      <c r="DC909" s="11"/>
      <c r="DD909" s="11"/>
      <c r="DE909" s="11"/>
      <c r="DF909" s="11"/>
      <c r="DG909" s="11"/>
    </row>
    <row r="910" ht="15.75" customHeight="1">
      <c r="CT910" s="11"/>
      <c r="CU910" s="11"/>
      <c r="CV910" s="11"/>
      <c r="CW910" s="11"/>
      <c r="CX910" s="11"/>
      <c r="CY910" s="11"/>
      <c r="CZ910" s="11"/>
      <c r="DA910" s="11"/>
      <c r="DB910" s="11"/>
      <c r="DC910" s="11"/>
      <c r="DD910" s="11"/>
      <c r="DE910" s="11"/>
      <c r="DF910" s="11"/>
      <c r="DG910" s="11"/>
    </row>
    <row r="911" ht="15.75" customHeight="1">
      <c r="CT911" s="11"/>
      <c r="CU911" s="11"/>
      <c r="CV911" s="11"/>
      <c r="CW911" s="11"/>
      <c r="CX911" s="11"/>
      <c r="CY911" s="11"/>
      <c r="CZ911" s="11"/>
      <c r="DA911" s="11"/>
      <c r="DB911" s="11"/>
      <c r="DC911" s="11"/>
      <c r="DD911" s="11"/>
      <c r="DE911" s="11"/>
      <c r="DF911" s="11"/>
      <c r="DG911" s="11"/>
    </row>
    <row r="912" ht="15.75" customHeight="1">
      <c r="CT912" s="11"/>
      <c r="CU912" s="11"/>
      <c r="CV912" s="11"/>
      <c r="CW912" s="11"/>
      <c r="CX912" s="11"/>
      <c r="CY912" s="11"/>
      <c r="CZ912" s="11"/>
      <c r="DA912" s="11"/>
      <c r="DB912" s="11"/>
      <c r="DC912" s="11"/>
      <c r="DD912" s="11"/>
      <c r="DE912" s="11"/>
      <c r="DF912" s="11"/>
      <c r="DG912" s="11"/>
    </row>
    <row r="913" ht="15.75" customHeight="1">
      <c r="CT913" s="11"/>
      <c r="CU913" s="11"/>
      <c r="CV913" s="11"/>
      <c r="CW913" s="11"/>
      <c r="CX913" s="11"/>
      <c r="CY913" s="11"/>
      <c r="CZ913" s="11"/>
      <c r="DA913" s="11"/>
      <c r="DB913" s="11"/>
      <c r="DC913" s="11"/>
      <c r="DD913" s="11"/>
      <c r="DE913" s="11"/>
      <c r="DF913" s="11"/>
      <c r="DG913" s="11"/>
    </row>
    <row r="914" ht="15.75" customHeight="1">
      <c r="CT914" s="11"/>
      <c r="CU914" s="11"/>
      <c r="CV914" s="11"/>
      <c r="CW914" s="11"/>
      <c r="CX914" s="11"/>
      <c r="CY914" s="11"/>
      <c r="CZ914" s="11"/>
      <c r="DA914" s="11"/>
      <c r="DB914" s="11"/>
      <c r="DC914" s="11"/>
      <c r="DD914" s="11"/>
      <c r="DE914" s="11"/>
      <c r="DF914" s="11"/>
      <c r="DG914" s="11"/>
    </row>
    <row r="915" ht="15.75" customHeight="1">
      <c r="CT915" s="11"/>
      <c r="CU915" s="11"/>
      <c r="CV915" s="11"/>
      <c r="CW915" s="11"/>
      <c r="CX915" s="11"/>
      <c r="CY915" s="11"/>
      <c r="CZ915" s="11"/>
      <c r="DA915" s="11"/>
      <c r="DB915" s="11"/>
      <c r="DC915" s="11"/>
      <c r="DD915" s="11"/>
      <c r="DE915" s="11"/>
      <c r="DF915" s="11"/>
      <c r="DG915" s="11"/>
    </row>
    <row r="916" ht="15.75" customHeight="1">
      <c r="CT916" s="11"/>
      <c r="CU916" s="11"/>
      <c r="CV916" s="11"/>
      <c r="CW916" s="11"/>
      <c r="CX916" s="11"/>
      <c r="CY916" s="11"/>
      <c r="CZ916" s="11"/>
      <c r="DA916" s="11"/>
      <c r="DB916" s="11"/>
      <c r="DC916" s="11"/>
      <c r="DD916" s="11"/>
      <c r="DE916" s="11"/>
      <c r="DF916" s="11"/>
      <c r="DG916" s="11"/>
    </row>
    <row r="917" ht="15.75" customHeight="1">
      <c r="CT917" s="11"/>
      <c r="CU917" s="11"/>
      <c r="CV917" s="11"/>
      <c r="CW917" s="11"/>
      <c r="CX917" s="11"/>
      <c r="CY917" s="11"/>
      <c r="CZ917" s="11"/>
      <c r="DA917" s="11"/>
      <c r="DB917" s="11"/>
      <c r="DC917" s="11"/>
      <c r="DD917" s="11"/>
      <c r="DE917" s="11"/>
      <c r="DF917" s="11"/>
      <c r="DG917" s="11"/>
    </row>
    <row r="918" ht="15.75" customHeight="1">
      <c r="CT918" s="11"/>
      <c r="CU918" s="11"/>
      <c r="CV918" s="11"/>
      <c r="CW918" s="11"/>
      <c r="CX918" s="11"/>
      <c r="CY918" s="11"/>
      <c r="CZ918" s="11"/>
      <c r="DA918" s="11"/>
      <c r="DB918" s="11"/>
      <c r="DC918" s="11"/>
      <c r="DD918" s="11"/>
      <c r="DE918" s="11"/>
      <c r="DF918" s="11"/>
      <c r="DG918" s="11"/>
    </row>
    <row r="919" ht="15.75" customHeight="1">
      <c r="CT919" s="11"/>
      <c r="CU919" s="11"/>
      <c r="CV919" s="11"/>
      <c r="CW919" s="11"/>
      <c r="CX919" s="11"/>
      <c r="CY919" s="11"/>
      <c r="CZ919" s="11"/>
      <c r="DA919" s="11"/>
      <c r="DB919" s="11"/>
      <c r="DC919" s="11"/>
      <c r="DD919" s="11"/>
      <c r="DE919" s="11"/>
      <c r="DF919" s="11"/>
      <c r="DG919" s="11"/>
    </row>
    <row r="920" ht="15.75" customHeight="1">
      <c r="CT920" s="11"/>
      <c r="CU920" s="11"/>
      <c r="CV920" s="11"/>
      <c r="CW920" s="11"/>
      <c r="CX920" s="11"/>
      <c r="CY920" s="11"/>
      <c r="CZ920" s="11"/>
      <c r="DA920" s="11"/>
      <c r="DB920" s="11"/>
      <c r="DC920" s="11"/>
      <c r="DD920" s="11"/>
      <c r="DE920" s="11"/>
      <c r="DF920" s="11"/>
      <c r="DG920" s="11"/>
    </row>
    <row r="921" ht="15.75" customHeight="1">
      <c r="CT921" s="11"/>
      <c r="CU921" s="11"/>
      <c r="CV921" s="11"/>
      <c r="CW921" s="11"/>
      <c r="CX921" s="11"/>
      <c r="CY921" s="11"/>
      <c r="CZ921" s="11"/>
      <c r="DA921" s="11"/>
      <c r="DB921" s="11"/>
      <c r="DC921" s="11"/>
      <c r="DD921" s="11"/>
      <c r="DE921" s="11"/>
      <c r="DF921" s="11"/>
      <c r="DG921" s="11"/>
    </row>
    <row r="922" ht="15.75" customHeight="1">
      <c r="CT922" s="11"/>
      <c r="CU922" s="11"/>
      <c r="CV922" s="11"/>
      <c r="CW922" s="11"/>
      <c r="CX922" s="11"/>
      <c r="CY922" s="11"/>
      <c r="CZ922" s="11"/>
      <c r="DA922" s="11"/>
      <c r="DB922" s="11"/>
      <c r="DC922" s="11"/>
      <c r="DD922" s="11"/>
      <c r="DE922" s="11"/>
      <c r="DF922" s="11"/>
      <c r="DG922" s="11"/>
    </row>
    <row r="923" ht="15.75" customHeight="1">
      <c r="CT923" s="11"/>
      <c r="CU923" s="11"/>
      <c r="CV923" s="11"/>
      <c r="CW923" s="11"/>
      <c r="CX923" s="11"/>
      <c r="CY923" s="11"/>
      <c r="CZ923" s="11"/>
      <c r="DA923" s="11"/>
      <c r="DB923" s="11"/>
      <c r="DC923" s="11"/>
      <c r="DD923" s="11"/>
      <c r="DE923" s="11"/>
      <c r="DF923" s="11"/>
      <c r="DG923" s="11"/>
    </row>
    <row r="924" ht="15.75" customHeight="1">
      <c r="CT924" s="11"/>
      <c r="CU924" s="11"/>
      <c r="CV924" s="11"/>
      <c r="CW924" s="11"/>
      <c r="CX924" s="11"/>
      <c r="CY924" s="11"/>
      <c r="CZ924" s="11"/>
      <c r="DA924" s="11"/>
      <c r="DB924" s="11"/>
      <c r="DC924" s="11"/>
      <c r="DD924" s="11"/>
      <c r="DE924" s="11"/>
      <c r="DF924" s="11"/>
      <c r="DG924" s="11"/>
    </row>
    <row r="925" ht="15.75" customHeight="1">
      <c r="CT925" s="11"/>
      <c r="CU925" s="11"/>
      <c r="CV925" s="11"/>
      <c r="CW925" s="11"/>
      <c r="CX925" s="11"/>
      <c r="CY925" s="11"/>
      <c r="CZ925" s="11"/>
      <c r="DA925" s="11"/>
      <c r="DB925" s="11"/>
      <c r="DC925" s="11"/>
      <c r="DD925" s="11"/>
      <c r="DE925" s="11"/>
      <c r="DF925" s="11"/>
      <c r="DG925" s="11"/>
    </row>
    <row r="926" ht="15.75" customHeight="1">
      <c r="CT926" s="11"/>
      <c r="CU926" s="11"/>
      <c r="CV926" s="11"/>
      <c r="CW926" s="11"/>
      <c r="CX926" s="11"/>
      <c r="CY926" s="11"/>
      <c r="CZ926" s="11"/>
      <c r="DA926" s="11"/>
      <c r="DB926" s="11"/>
      <c r="DC926" s="11"/>
      <c r="DD926" s="11"/>
      <c r="DE926" s="11"/>
      <c r="DF926" s="11"/>
      <c r="DG926" s="11"/>
    </row>
    <row r="927" ht="15.75" customHeight="1">
      <c r="CT927" s="11"/>
      <c r="CU927" s="11"/>
      <c r="CV927" s="11"/>
      <c r="CW927" s="11"/>
      <c r="CX927" s="11"/>
      <c r="CY927" s="11"/>
      <c r="CZ927" s="11"/>
      <c r="DA927" s="11"/>
      <c r="DB927" s="11"/>
      <c r="DC927" s="11"/>
      <c r="DD927" s="11"/>
      <c r="DE927" s="11"/>
      <c r="DF927" s="11"/>
      <c r="DG927" s="11"/>
    </row>
    <row r="928" ht="15.75" customHeight="1">
      <c r="CT928" s="11"/>
      <c r="CU928" s="11"/>
      <c r="CV928" s="11"/>
      <c r="CW928" s="11"/>
      <c r="CX928" s="11"/>
      <c r="CY928" s="11"/>
      <c r="CZ928" s="11"/>
      <c r="DA928" s="11"/>
      <c r="DB928" s="11"/>
      <c r="DC928" s="11"/>
      <c r="DD928" s="11"/>
      <c r="DE928" s="11"/>
      <c r="DF928" s="11"/>
      <c r="DG928" s="11"/>
    </row>
    <row r="929" ht="15.75" customHeight="1">
      <c r="CT929" s="11"/>
      <c r="CU929" s="11"/>
      <c r="CV929" s="11"/>
      <c r="CW929" s="11"/>
      <c r="CX929" s="11"/>
      <c r="CY929" s="11"/>
      <c r="CZ929" s="11"/>
      <c r="DA929" s="11"/>
      <c r="DB929" s="11"/>
      <c r="DC929" s="11"/>
      <c r="DD929" s="11"/>
      <c r="DE929" s="11"/>
      <c r="DF929" s="11"/>
      <c r="DG929" s="11"/>
    </row>
    <row r="930" ht="15.75" customHeight="1">
      <c r="CT930" s="11"/>
      <c r="CU930" s="11"/>
      <c r="CV930" s="11"/>
      <c r="CW930" s="11"/>
      <c r="CX930" s="11"/>
      <c r="CY930" s="11"/>
      <c r="CZ930" s="11"/>
      <c r="DA930" s="11"/>
      <c r="DB930" s="11"/>
      <c r="DC930" s="11"/>
      <c r="DD930" s="11"/>
      <c r="DE930" s="11"/>
      <c r="DF930" s="11"/>
      <c r="DG930" s="11"/>
    </row>
    <row r="931" ht="15.75" customHeight="1">
      <c r="CT931" s="11"/>
      <c r="CU931" s="11"/>
      <c r="CV931" s="11"/>
      <c r="CW931" s="11"/>
      <c r="CX931" s="11"/>
      <c r="CY931" s="11"/>
      <c r="CZ931" s="11"/>
      <c r="DA931" s="11"/>
      <c r="DB931" s="11"/>
      <c r="DC931" s="11"/>
      <c r="DD931" s="11"/>
      <c r="DE931" s="11"/>
      <c r="DF931" s="11"/>
      <c r="DG931" s="11"/>
    </row>
    <row r="932" ht="15.75" customHeight="1">
      <c r="CT932" s="11"/>
      <c r="CU932" s="11"/>
      <c r="CV932" s="11"/>
      <c r="CW932" s="11"/>
      <c r="CX932" s="11"/>
      <c r="CY932" s="11"/>
      <c r="CZ932" s="11"/>
      <c r="DA932" s="11"/>
      <c r="DB932" s="11"/>
      <c r="DC932" s="11"/>
      <c r="DD932" s="11"/>
      <c r="DE932" s="11"/>
      <c r="DF932" s="11"/>
      <c r="DG932" s="11"/>
    </row>
    <row r="933" ht="15.75" customHeight="1">
      <c r="CT933" s="11"/>
      <c r="CU933" s="11"/>
      <c r="CV933" s="11"/>
      <c r="CW933" s="11"/>
      <c r="CX933" s="11"/>
      <c r="CY933" s="11"/>
      <c r="CZ933" s="11"/>
      <c r="DA933" s="11"/>
      <c r="DB933" s="11"/>
      <c r="DC933" s="11"/>
      <c r="DD933" s="11"/>
      <c r="DE933" s="11"/>
      <c r="DF933" s="11"/>
      <c r="DG933" s="11"/>
    </row>
    <row r="934" ht="15.75" customHeight="1">
      <c r="CT934" s="11"/>
      <c r="CU934" s="11"/>
      <c r="CV934" s="11"/>
      <c r="CW934" s="11"/>
      <c r="CX934" s="11"/>
      <c r="CY934" s="11"/>
      <c r="CZ934" s="11"/>
      <c r="DA934" s="11"/>
      <c r="DB934" s="11"/>
      <c r="DC934" s="11"/>
      <c r="DD934" s="11"/>
      <c r="DE934" s="11"/>
      <c r="DF934" s="11"/>
      <c r="DG934" s="11"/>
    </row>
    <row r="935" ht="15.75" customHeight="1">
      <c r="CT935" s="11"/>
      <c r="CU935" s="11"/>
      <c r="CV935" s="11"/>
      <c r="CW935" s="11"/>
      <c r="CX935" s="11"/>
      <c r="CY935" s="11"/>
      <c r="CZ935" s="11"/>
      <c r="DA935" s="11"/>
      <c r="DB935" s="11"/>
      <c r="DC935" s="11"/>
      <c r="DD935" s="11"/>
      <c r="DE935" s="11"/>
      <c r="DF935" s="11"/>
      <c r="DG935" s="11"/>
    </row>
    <row r="936" ht="15.75" customHeight="1">
      <c r="CT936" s="11"/>
      <c r="CU936" s="11"/>
      <c r="CV936" s="11"/>
      <c r="CW936" s="11"/>
      <c r="CX936" s="11"/>
      <c r="CY936" s="11"/>
      <c r="CZ936" s="11"/>
      <c r="DA936" s="11"/>
      <c r="DB936" s="11"/>
      <c r="DC936" s="11"/>
      <c r="DD936" s="11"/>
      <c r="DE936" s="11"/>
      <c r="DF936" s="11"/>
      <c r="DG936" s="11"/>
    </row>
    <row r="937" ht="15.75" customHeight="1">
      <c r="CT937" s="11"/>
      <c r="CU937" s="11"/>
      <c r="CV937" s="11"/>
      <c r="CW937" s="11"/>
      <c r="CX937" s="11"/>
      <c r="CY937" s="11"/>
      <c r="CZ937" s="11"/>
      <c r="DA937" s="11"/>
      <c r="DB937" s="11"/>
      <c r="DC937" s="11"/>
      <c r="DD937" s="11"/>
      <c r="DE937" s="11"/>
      <c r="DF937" s="11"/>
      <c r="DG937" s="11"/>
    </row>
    <row r="938" ht="15.75" customHeight="1">
      <c r="CT938" s="11"/>
      <c r="CU938" s="11"/>
      <c r="CV938" s="11"/>
      <c r="CW938" s="11"/>
      <c r="CX938" s="11"/>
      <c r="CY938" s="11"/>
      <c r="CZ938" s="11"/>
      <c r="DA938" s="11"/>
      <c r="DB938" s="11"/>
      <c r="DC938" s="11"/>
      <c r="DD938" s="11"/>
      <c r="DE938" s="11"/>
      <c r="DF938" s="11"/>
      <c r="DG938" s="11"/>
    </row>
    <row r="939" ht="15.75" customHeight="1">
      <c r="CT939" s="11"/>
      <c r="CU939" s="11"/>
      <c r="CV939" s="11"/>
      <c r="CW939" s="11"/>
      <c r="CX939" s="11"/>
      <c r="CY939" s="11"/>
      <c r="CZ939" s="11"/>
      <c r="DA939" s="11"/>
      <c r="DB939" s="11"/>
      <c r="DC939" s="11"/>
      <c r="DD939" s="11"/>
      <c r="DE939" s="11"/>
      <c r="DF939" s="11"/>
      <c r="DG939" s="11"/>
    </row>
    <row r="940" ht="15.75" customHeight="1">
      <c r="CT940" s="11"/>
      <c r="CU940" s="11"/>
      <c r="CV940" s="11"/>
      <c r="CW940" s="11"/>
      <c r="CX940" s="11"/>
      <c r="CY940" s="11"/>
      <c r="CZ940" s="11"/>
      <c r="DA940" s="11"/>
      <c r="DB940" s="11"/>
      <c r="DC940" s="11"/>
      <c r="DD940" s="11"/>
      <c r="DE940" s="11"/>
      <c r="DF940" s="11"/>
      <c r="DG940" s="11"/>
    </row>
    <row r="941" ht="15.75" customHeight="1">
      <c r="CT941" s="11"/>
      <c r="CU941" s="11"/>
      <c r="CV941" s="11"/>
      <c r="CW941" s="11"/>
      <c r="CX941" s="11"/>
      <c r="CY941" s="11"/>
      <c r="CZ941" s="11"/>
      <c r="DA941" s="11"/>
      <c r="DB941" s="11"/>
      <c r="DC941" s="11"/>
      <c r="DD941" s="11"/>
      <c r="DE941" s="11"/>
      <c r="DF941" s="11"/>
      <c r="DG941" s="11"/>
    </row>
    <row r="942" ht="15.75" customHeight="1">
      <c r="CT942" s="11"/>
      <c r="CU942" s="11"/>
      <c r="CV942" s="11"/>
      <c r="CW942" s="11"/>
      <c r="CX942" s="11"/>
      <c r="CY942" s="11"/>
      <c r="CZ942" s="11"/>
      <c r="DA942" s="11"/>
      <c r="DB942" s="11"/>
      <c r="DC942" s="11"/>
      <c r="DD942" s="11"/>
      <c r="DE942" s="11"/>
      <c r="DF942" s="11"/>
      <c r="DG942" s="11"/>
    </row>
    <row r="943" ht="15.75" customHeight="1">
      <c r="CT943" s="11"/>
      <c r="CU943" s="11"/>
      <c r="CV943" s="11"/>
      <c r="CW943" s="11"/>
      <c r="CX943" s="11"/>
      <c r="CY943" s="11"/>
      <c r="CZ943" s="11"/>
      <c r="DA943" s="11"/>
      <c r="DB943" s="11"/>
      <c r="DC943" s="11"/>
      <c r="DD943" s="11"/>
      <c r="DE943" s="11"/>
      <c r="DF943" s="11"/>
      <c r="DG943" s="11"/>
    </row>
    <row r="944" ht="15.75" customHeight="1">
      <c r="CT944" s="11"/>
      <c r="CU944" s="11"/>
      <c r="CV944" s="11"/>
      <c r="CW944" s="11"/>
      <c r="CX944" s="11"/>
      <c r="CY944" s="11"/>
      <c r="CZ944" s="11"/>
      <c r="DA944" s="11"/>
      <c r="DB944" s="11"/>
      <c r="DC944" s="11"/>
      <c r="DD944" s="11"/>
      <c r="DE944" s="11"/>
      <c r="DF944" s="11"/>
      <c r="DG944" s="11"/>
    </row>
    <row r="945" ht="15.75" customHeight="1">
      <c r="CT945" s="11"/>
      <c r="CU945" s="11"/>
      <c r="CV945" s="11"/>
      <c r="CW945" s="11"/>
      <c r="CX945" s="11"/>
      <c r="CY945" s="11"/>
      <c r="CZ945" s="11"/>
      <c r="DA945" s="11"/>
      <c r="DB945" s="11"/>
      <c r="DC945" s="11"/>
      <c r="DD945" s="11"/>
      <c r="DE945" s="11"/>
      <c r="DF945" s="11"/>
      <c r="DG945" s="11"/>
    </row>
    <row r="946" ht="15.75" customHeight="1">
      <c r="CT946" s="11"/>
      <c r="CU946" s="11"/>
      <c r="CV946" s="11"/>
      <c r="CW946" s="11"/>
      <c r="CX946" s="11"/>
      <c r="CY946" s="11"/>
      <c r="CZ946" s="11"/>
      <c r="DA946" s="11"/>
      <c r="DB946" s="11"/>
      <c r="DC946" s="11"/>
      <c r="DD946" s="11"/>
      <c r="DE946" s="11"/>
      <c r="DF946" s="11"/>
      <c r="DG946" s="11"/>
    </row>
    <row r="947" ht="15.75" customHeight="1">
      <c r="CT947" s="11"/>
      <c r="CU947" s="11"/>
      <c r="CV947" s="11"/>
      <c r="CW947" s="11"/>
      <c r="CX947" s="11"/>
      <c r="CY947" s="11"/>
      <c r="CZ947" s="11"/>
      <c r="DA947" s="11"/>
      <c r="DB947" s="11"/>
      <c r="DC947" s="11"/>
      <c r="DD947" s="11"/>
      <c r="DE947" s="11"/>
      <c r="DF947" s="11"/>
      <c r="DG947" s="11"/>
    </row>
    <row r="948" ht="15.75" customHeight="1">
      <c r="CT948" s="11"/>
      <c r="CU948" s="11"/>
      <c r="CV948" s="11"/>
      <c r="CW948" s="11"/>
      <c r="CX948" s="11"/>
      <c r="CY948" s="11"/>
      <c r="CZ948" s="11"/>
      <c r="DA948" s="11"/>
      <c r="DB948" s="11"/>
      <c r="DC948" s="11"/>
      <c r="DD948" s="11"/>
      <c r="DE948" s="11"/>
      <c r="DF948" s="11"/>
      <c r="DG948" s="11"/>
    </row>
    <row r="949" ht="15.75" customHeight="1">
      <c r="CT949" s="11"/>
      <c r="CU949" s="11"/>
      <c r="CV949" s="11"/>
      <c r="CW949" s="11"/>
      <c r="CX949" s="11"/>
      <c r="CY949" s="11"/>
      <c r="CZ949" s="11"/>
      <c r="DA949" s="11"/>
      <c r="DB949" s="11"/>
      <c r="DC949" s="11"/>
      <c r="DD949" s="11"/>
      <c r="DE949" s="11"/>
      <c r="DF949" s="11"/>
      <c r="DG949" s="11"/>
    </row>
    <row r="950" ht="15.75" customHeight="1">
      <c r="CT950" s="11"/>
      <c r="CU950" s="11"/>
      <c r="CV950" s="11"/>
      <c r="CW950" s="11"/>
      <c r="CX950" s="11"/>
      <c r="CY950" s="11"/>
      <c r="CZ950" s="11"/>
      <c r="DA950" s="11"/>
      <c r="DB950" s="11"/>
      <c r="DC950" s="11"/>
      <c r="DD950" s="11"/>
      <c r="DE950" s="11"/>
      <c r="DF950" s="11"/>
      <c r="DG950" s="11"/>
    </row>
    <row r="951" ht="15.75" customHeight="1">
      <c r="CT951" s="11"/>
      <c r="CU951" s="11"/>
      <c r="CV951" s="11"/>
      <c r="CW951" s="11"/>
      <c r="CX951" s="11"/>
      <c r="CY951" s="11"/>
      <c r="CZ951" s="11"/>
      <c r="DA951" s="11"/>
      <c r="DB951" s="11"/>
      <c r="DC951" s="11"/>
      <c r="DD951" s="11"/>
      <c r="DE951" s="11"/>
      <c r="DF951" s="11"/>
      <c r="DG951" s="11"/>
    </row>
    <row r="952" ht="15.75" customHeight="1">
      <c r="CT952" s="11"/>
      <c r="CU952" s="11"/>
      <c r="CV952" s="11"/>
      <c r="CW952" s="11"/>
      <c r="CX952" s="11"/>
      <c r="CY952" s="11"/>
      <c r="CZ952" s="11"/>
      <c r="DA952" s="11"/>
      <c r="DB952" s="11"/>
      <c r="DC952" s="11"/>
      <c r="DD952" s="11"/>
      <c r="DE952" s="11"/>
      <c r="DF952" s="11"/>
      <c r="DG952" s="11"/>
    </row>
    <row r="953" ht="15.75" customHeight="1">
      <c r="CT953" s="11"/>
      <c r="CU953" s="11"/>
      <c r="CV953" s="11"/>
      <c r="CW953" s="11"/>
      <c r="CX953" s="11"/>
      <c r="CY953" s="11"/>
      <c r="CZ953" s="11"/>
      <c r="DA953" s="11"/>
      <c r="DB953" s="11"/>
      <c r="DC953" s="11"/>
      <c r="DD953" s="11"/>
      <c r="DE953" s="11"/>
      <c r="DF953" s="11"/>
      <c r="DG953" s="11"/>
    </row>
    <row r="954" ht="15.75" customHeight="1">
      <c r="CT954" s="11"/>
      <c r="CU954" s="11"/>
      <c r="CV954" s="11"/>
      <c r="CW954" s="11"/>
      <c r="CX954" s="11"/>
      <c r="CY954" s="11"/>
      <c r="CZ954" s="11"/>
      <c r="DA954" s="11"/>
      <c r="DB954" s="11"/>
      <c r="DC954" s="11"/>
      <c r="DD954" s="11"/>
      <c r="DE954" s="11"/>
      <c r="DF954" s="11"/>
      <c r="DG954" s="11"/>
    </row>
    <row r="955" ht="15.75" customHeight="1">
      <c r="CT955" s="11"/>
      <c r="CU955" s="11"/>
      <c r="CV955" s="11"/>
      <c r="CW955" s="11"/>
      <c r="CX955" s="11"/>
      <c r="CY955" s="11"/>
      <c r="CZ955" s="11"/>
      <c r="DA955" s="11"/>
      <c r="DB955" s="11"/>
      <c r="DC955" s="11"/>
      <c r="DD955" s="11"/>
      <c r="DE955" s="11"/>
      <c r="DF955" s="11"/>
      <c r="DG955" s="11"/>
    </row>
    <row r="956" ht="15.75" customHeight="1">
      <c r="CT956" s="11"/>
      <c r="CU956" s="11"/>
      <c r="CV956" s="11"/>
      <c r="CW956" s="11"/>
      <c r="CX956" s="11"/>
      <c r="CY956" s="11"/>
      <c r="CZ956" s="11"/>
      <c r="DA956" s="11"/>
      <c r="DB956" s="11"/>
      <c r="DC956" s="11"/>
      <c r="DD956" s="11"/>
      <c r="DE956" s="11"/>
      <c r="DF956" s="11"/>
      <c r="DG956" s="11"/>
    </row>
    <row r="957" ht="15.75" customHeight="1">
      <c r="CT957" s="11"/>
      <c r="CU957" s="11"/>
      <c r="CV957" s="11"/>
      <c r="CW957" s="11"/>
      <c r="CX957" s="11"/>
      <c r="CY957" s="11"/>
      <c r="CZ957" s="11"/>
      <c r="DA957" s="11"/>
      <c r="DB957" s="11"/>
      <c r="DC957" s="11"/>
      <c r="DD957" s="11"/>
      <c r="DE957" s="11"/>
      <c r="DF957" s="11"/>
      <c r="DG957" s="11"/>
    </row>
    <row r="958" ht="15.75" customHeight="1">
      <c r="CT958" s="11"/>
      <c r="CU958" s="11"/>
      <c r="CV958" s="11"/>
      <c r="CW958" s="11"/>
      <c r="CX958" s="11"/>
      <c r="CY958" s="11"/>
      <c r="CZ958" s="11"/>
      <c r="DA958" s="11"/>
      <c r="DB958" s="11"/>
      <c r="DC958" s="11"/>
      <c r="DD958" s="11"/>
      <c r="DE958" s="11"/>
      <c r="DF958" s="11"/>
      <c r="DG958" s="11"/>
    </row>
    <row r="959" ht="15.75" customHeight="1">
      <c r="CT959" s="11"/>
      <c r="CU959" s="11"/>
      <c r="CV959" s="11"/>
      <c r="CW959" s="11"/>
      <c r="CX959" s="11"/>
      <c r="CY959" s="11"/>
      <c r="CZ959" s="11"/>
      <c r="DA959" s="11"/>
      <c r="DB959" s="11"/>
      <c r="DC959" s="11"/>
      <c r="DD959" s="11"/>
      <c r="DE959" s="11"/>
      <c r="DF959" s="11"/>
      <c r="DG959" s="11"/>
    </row>
    <row r="960" ht="15.75" customHeight="1">
      <c r="CT960" s="11"/>
      <c r="CU960" s="11"/>
      <c r="CV960" s="11"/>
      <c r="CW960" s="11"/>
      <c r="CX960" s="11"/>
      <c r="CY960" s="11"/>
      <c r="CZ960" s="11"/>
      <c r="DA960" s="11"/>
      <c r="DB960" s="11"/>
      <c r="DC960" s="11"/>
      <c r="DD960" s="11"/>
      <c r="DE960" s="11"/>
      <c r="DF960" s="11"/>
      <c r="DG960" s="11"/>
    </row>
    <row r="961" ht="15.75" customHeight="1">
      <c r="CT961" s="11"/>
      <c r="CU961" s="11"/>
      <c r="CV961" s="11"/>
      <c r="CW961" s="11"/>
      <c r="CX961" s="11"/>
      <c r="CY961" s="11"/>
      <c r="CZ961" s="11"/>
      <c r="DA961" s="11"/>
      <c r="DB961" s="11"/>
      <c r="DC961" s="11"/>
      <c r="DD961" s="11"/>
      <c r="DE961" s="11"/>
      <c r="DF961" s="11"/>
      <c r="DG961" s="11"/>
    </row>
    <row r="962" ht="15.75" customHeight="1">
      <c r="CT962" s="11"/>
      <c r="CU962" s="11"/>
      <c r="CV962" s="11"/>
      <c r="CW962" s="11"/>
      <c r="CX962" s="11"/>
      <c r="CY962" s="11"/>
      <c r="CZ962" s="11"/>
      <c r="DA962" s="11"/>
      <c r="DB962" s="11"/>
      <c r="DC962" s="11"/>
      <c r="DD962" s="11"/>
      <c r="DE962" s="11"/>
      <c r="DF962" s="11"/>
      <c r="DG962" s="11"/>
    </row>
    <row r="963" ht="15.75" customHeight="1">
      <c r="CT963" s="11"/>
      <c r="CU963" s="11"/>
      <c r="CV963" s="11"/>
      <c r="CW963" s="11"/>
      <c r="CX963" s="11"/>
      <c r="CY963" s="11"/>
      <c r="CZ963" s="11"/>
      <c r="DA963" s="11"/>
      <c r="DB963" s="11"/>
      <c r="DC963" s="11"/>
      <c r="DD963" s="11"/>
      <c r="DE963" s="11"/>
      <c r="DF963" s="11"/>
      <c r="DG963" s="11"/>
    </row>
    <row r="964" ht="15.75" customHeight="1">
      <c r="CT964" s="11"/>
      <c r="CU964" s="11"/>
      <c r="CV964" s="11"/>
      <c r="CW964" s="11"/>
      <c r="CX964" s="11"/>
      <c r="CY964" s="11"/>
      <c r="CZ964" s="11"/>
      <c r="DA964" s="11"/>
      <c r="DB964" s="11"/>
      <c r="DC964" s="11"/>
      <c r="DD964" s="11"/>
      <c r="DE964" s="11"/>
      <c r="DF964" s="11"/>
      <c r="DG964" s="11"/>
    </row>
    <row r="965" ht="15.75" customHeight="1">
      <c r="CT965" s="11"/>
      <c r="CU965" s="11"/>
      <c r="CV965" s="11"/>
      <c r="CW965" s="11"/>
      <c r="CX965" s="11"/>
      <c r="CY965" s="11"/>
      <c r="CZ965" s="11"/>
      <c r="DA965" s="11"/>
      <c r="DB965" s="11"/>
      <c r="DC965" s="11"/>
      <c r="DD965" s="11"/>
      <c r="DE965" s="11"/>
      <c r="DF965" s="11"/>
      <c r="DG965" s="11"/>
    </row>
    <row r="966" ht="15.75" customHeight="1">
      <c r="CT966" s="11"/>
      <c r="CU966" s="11"/>
      <c r="CV966" s="11"/>
      <c r="CW966" s="11"/>
      <c r="CX966" s="11"/>
      <c r="CY966" s="11"/>
      <c r="CZ966" s="11"/>
      <c r="DA966" s="11"/>
      <c r="DB966" s="11"/>
      <c r="DC966" s="11"/>
      <c r="DD966" s="11"/>
      <c r="DE966" s="11"/>
      <c r="DF966" s="11"/>
      <c r="DG966" s="11"/>
    </row>
    <row r="967" ht="15.75" customHeight="1">
      <c r="CT967" s="11"/>
      <c r="CU967" s="11"/>
      <c r="CV967" s="11"/>
      <c r="CW967" s="11"/>
      <c r="CX967" s="11"/>
      <c r="CY967" s="11"/>
      <c r="CZ967" s="11"/>
      <c r="DA967" s="11"/>
      <c r="DB967" s="11"/>
      <c r="DC967" s="11"/>
      <c r="DD967" s="11"/>
      <c r="DE967" s="11"/>
      <c r="DF967" s="11"/>
      <c r="DG967" s="11"/>
    </row>
    <row r="968" ht="15.75" customHeight="1">
      <c r="CT968" s="11"/>
      <c r="CU968" s="11"/>
      <c r="CV968" s="11"/>
      <c r="CW968" s="11"/>
      <c r="CX968" s="11"/>
      <c r="CY968" s="11"/>
      <c r="CZ968" s="11"/>
      <c r="DA968" s="11"/>
      <c r="DB968" s="11"/>
      <c r="DC968" s="11"/>
      <c r="DD968" s="11"/>
      <c r="DE968" s="11"/>
      <c r="DF968" s="11"/>
      <c r="DG968" s="11"/>
    </row>
    <row r="969" ht="15.75" customHeight="1">
      <c r="CT969" s="11"/>
      <c r="CU969" s="11"/>
      <c r="CV969" s="11"/>
      <c r="CW969" s="11"/>
      <c r="CX969" s="11"/>
      <c r="CY969" s="11"/>
      <c r="CZ969" s="11"/>
      <c r="DA969" s="11"/>
      <c r="DB969" s="11"/>
      <c r="DC969" s="11"/>
      <c r="DD969" s="11"/>
      <c r="DE969" s="11"/>
      <c r="DF969" s="11"/>
      <c r="DG969" s="11"/>
    </row>
    <row r="970" ht="15.75" customHeight="1">
      <c r="CT970" s="11"/>
      <c r="CU970" s="11"/>
      <c r="CV970" s="11"/>
      <c r="CW970" s="11"/>
      <c r="CX970" s="11"/>
      <c r="CY970" s="11"/>
      <c r="CZ970" s="11"/>
      <c r="DA970" s="11"/>
      <c r="DB970" s="11"/>
      <c r="DC970" s="11"/>
      <c r="DD970" s="11"/>
      <c r="DE970" s="11"/>
      <c r="DF970" s="11"/>
      <c r="DG970" s="11"/>
    </row>
    <row r="971" ht="15.75" customHeight="1">
      <c r="CT971" s="11"/>
      <c r="CU971" s="11"/>
      <c r="CV971" s="11"/>
      <c r="CW971" s="11"/>
      <c r="CX971" s="11"/>
      <c r="CY971" s="11"/>
      <c r="CZ971" s="11"/>
      <c r="DA971" s="11"/>
      <c r="DB971" s="11"/>
      <c r="DC971" s="11"/>
      <c r="DD971" s="11"/>
      <c r="DE971" s="11"/>
      <c r="DF971" s="11"/>
      <c r="DG971" s="11"/>
    </row>
    <row r="972" ht="15.75" customHeight="1">
      <c r="CT972" s="11"/>
      <c r="CU972" s="11"/>
      <c r="CV972" s="11"/>
      <c r="CW972" s="11"/>
      <c r="CX972" s="11"/>
      <c r="CY972" s="11"/>
      <c r="CZ972" s="11"/>
      <c r="DA972" s="11"/>
      <c r="DB972" s="11"/>
      <c r="DC972" s="11"/>
      <c r="DD972" s="11"/>
      <c r="DE972" s="11"/>
      <c r="DF972" s="11"/>
      <c r="DG972" s="11"/>
    </row>
    <row r="973" ht="15.75" customHeight="1">
      <c r="CT973" s="11"/>
      <c r="CU973" s="11"/>
      <c r="CV973" s="11"/>
      <c r="CW973" s="11"/>
      <c r="CX973" s="11"/>
      <c r="CY973" s="11"/>
      <c r="CZ973" s="11"/>
      <c r="DA973" s="11"/>
      <c r="DB973" s="11"/>
      <c r="DC973" s="11"/>
      <c r="DD973" s="11"/>
      <c r="DE973" s="11"/>
      <c r="DF973" s="11"/>
      <c r="DG973" s="11"/>
    </row>
    <row r="974" ht="15.75" customHeight="1">
      <c r="CT974" s="11"/>
      <c r="CU974" s="11"/>
      <c r="CV974" s="11"/>
      <c r="CW974" s="11"/>
      <c r="CX974" s="11"/>
      <c r="CY974" s="11"/>
      <c r="CZ974" s="11"/>
      <c r="DA974" s="11"/>
      <c r="DB974" s="11"/>
      <c r="DC974" s="11"/>
      <c r="DD974" s="11"/>
      <c r="DE974" s="11"/>
      <c r="DF974" s="11"/>
      <c r="DG974" s="11"/>
    </row>
    <row r="975" ht="15.75" customHeight="1">
      <c r="CT975" s="11"/>
      <c r="CU975" s="11"/>
      <c r="CV975" s="11"/>
      <c r="CW975" s="11"/>
      <c r="CX975" s="11"/>
      <c r="CY975" s="11"/>
      <c r="CZ975" s="11"/>
      <c r="DA975" s="11"/>
      <c r="DB975" s="11"/>
      <c r="DC975" s="11"/>
      <c r="DD975" s="11"/>
      <c r="DE975" s="11"/>
      <c r="DF975" s="11"/>
      <c r="DG975" s="11"/>
    </row>
    <row r="976" ht="15.75" customHeight="1">
      <c r="CT976" s="11"/>
      <c r="CU976" s="11"/>
      <c r="CV976" s="11"/>
      <c r="CW976" s="11"/>
      <c r="CX976" s="11"/>
      <c r="CY976" s="11"/>
      <c r="CZ976" s="11"/>
      <c r="DA976" s="11"/>
      <c r="DB976" s="11"/>
      <c r="DC976" s="11"/>
      <c r="DD976" s="11"/>
      <c r="DE976" s="11"/>
      <c r="DF976" s="11"/>
      <c r="DG976" s="11"/>
    </row>
    <row r="977" ht="15.75" customHeight="1">
      <c r="CT977" s="11"/>
      <c r="CU977" s="11"/>
      <c r="CV977" s="11"/>
      <c r="CW977" s="11"/>
      <c r="CX977" s="11"/>
      <c r="CY977" s="11"/>
      <c r="CZ977" s="11"/>
      <c r="DA977" s="11"/>
      <c r="DB977" s="11"/>
      <c r="DC977" s="11"/>
      <c r="DD977" s="11"/>
      <c r="DE977" s="11"/>
      <c r="DF977" s="11"/>
      <c r="DG977" s="11"/>
    </row>
  </sheetData>
  <mergeCells count="17">
    <mergeCell ref="J2:M2"/>
    <mergeCell ref="O2:T2"/>
    <mergeCell ref="V2:AA2"/>
    <mergeCell ref="AC2:AH2"/>
    <mergeCell ref="AJ2:AO2"/>
    <mergeCell ref="AQ2:AV2"/>
    <mergeCell ref="AX2:BC2"/>
    <mergeCell ref="DB2:DG2"/>
    <mergeCell ref="DI2:DN2"/>
    <mergeCell ref="DP2:DU2"/>
    <mergeCell ref="BE2:BJ2"/>
    <mergeCell ref="BL2:BQ2"/>
    <mergeCell ref="BS2:BX2"/>
    <mergeCell ref="BZ2:CE2"/>
    <mergeCell ref="CG2:CL2"/>
    <mergeCell ref="CN2:CS2"/>
    <mergeCell ref="CU2:CZ2"/>
  </mergeCells>
  <conditionalFormatting sqref="K5:L18 K56:L67 K70:L82">
    <cfRule type="colorScale" priority="1">
      <colorScale>
        <cfvo type="percent" val="0"/>
        <cfvo type="percent" val="100"/>
        <color rgb="FFFF231B"/>
        <color rgb="FF10FF07"/>
      </colorScale>
    </cfRule>
  </conditionalFormatting>
  <conditionalFormatting sqref="P5:P18 P20:P27 R20:R27 P56:P67 P70:P81">
    <cfRule type="expression" dxfId="0" priority="2">
      <formula>OR(IF(#REF!&lt;#REF!,TRUE),IF(AND(#REF!="",#REF!&lt;&gt;""),TRUE))</formula>
    </cfRule>
  </conditionalFormatting>
  <conditionalFormatting sqref="P5:P18 P20:P27 R20:R27 P56:P67 P70:P81">
    <cfRule type="expression" dxfId="1" priority="3">
      <formula>IF(#REF!&gt;=#REF!,IF(#REF!="",FALSE,TRUE))</formula>
    </cfRule>
  </conditionalFormatting>
  <conditionalFormatting sqref="P5:P6 R5:R18 R56:R67 R70:R81">
    <cfRule type="expression" dxfId="0" priority="4">
      <formula>OR(IF(P5&lt;Q5,TRUE),IF(AND(Q5="",P5&lt;&gt;""),TRUE))</formula>
    </cfRule>
  </conditionalFormatting>
  <conditionalFormatting sqref="P5:P6 R5:R18 R56:R67 R70:R81">
    <cfRule type="expression" dxfId="1" priority="5">
      <formula>IF(P5&gt;=Q5,IF(P5="",FALSE,TRUE))</formula>
    </cfRule>
  </conditionalFormatting>
  <conditionalFormatting sqref="AK32:AK37 AR32 AT32 BA32 AK42:AK45 AK50:AK53 AR50:AR51 AT50:AT51">
    <cfRule type="expression" dxfId="0" priority="6">
      <formula>OR(IF(AK32&lt;AL32,TRUE),IF(AND(AL32="",AK32&lt;&gt;""),TRUE))</formula>
    </cfRule>
  </conditionalFormatting>
  <conditionalFormatting sqref="AK32:AK37 AR32 AT32 BA32 AK42:AK45 AK50:AK53 AR50:AR51 AT50:AT51">
    <cfRule type="expression" dxfId="1" priority="7">
      <formula>IF(AK32&gt;=AL32,IF(AK32="",FALSE,TRUE))</formula>
    </cfRule>
  </conditionalFormatting>
  <conditionalFormatting sqref="AM32:AM37 AM42:AM45 AM50:AM53">
    <cfRule type="expression" dxfId="0" priority="8">
      <formula>OR(IF(AM32&lt;AN32,TRUE),IF(AND(AN32="",AM32&lt;&gt;""),TRUE))</formula>
    </cfRule>
  </conditionalFormatting>
  <conditionalFormatting sqref="AM32:AM37 AM42:AM45 AM50:AM53">
    <cfRule type="expression" dxfId="1" priority="9">
      <formula>IF(AM32&gt;=AN32,IF(AM32="",FALSE,TRUE))</formula>
    </cfRule>
  </conditionalFormatting>
  <conditionalFormatting sqref="AR5:AR18 AR20:AR27 AT20:AT27 AR56:AR67 W70:W82 Y70 AD70:AD82 AK70:AK82 AM70:AM73 AR70:AR82 AT70:AT73 AY70:AY74 BA70:BA73 BF70:BF75 BM70:BM76 BT70:BT76 CA70:CA77 CH70:CH78 CO70:CO79 CV70:CV80 DC70:DC81 DJ70:DJ82">
    <cfRule type="expression" dxfId="0" priority="10">
      <formula>OR(IF(#REF!&lt;#REF!,TRUE),IF(AND(#REF!="",#REF!&lt;&gt;""),TRUE))</formula>
    </cfRule>
  </conditionalFormatting>
  <conditionalFormatting sqref="AR5:AR18 AR20:AR27 AT20:AT27 AR56:AR67 W70:W82 Y70 AD70:AD82 AK70:AK82 AM70:AM73 AR70:AR82 AT70:AT73 AY70:AY74 BA70:BA73 BF70:BF75 BM70:BM76 BT70:BT76 CA70:CA77 CH70:CH78 CO70:CO79 CV70:CV80 DC70:DC81 DJ70:DJ82">
    <cfRule type="expression" dxfId="1" priority="11">
      <formula>IF(#REF!&gt;=#REF!,IF(#REF!="",FALSE,TRUE))</formula>
    </cfRule>
  </conditionalFormatting>
  <conditionalFormatting sqref="AR5:AR9 AT5:AT18 AY5:AY9 BA5:BA9 BF5:BF9 AR56:AR58 AT56:AT67 Y70:Y82 AF70:AF82 AM70:AM82 AR70:AR73 AT70:AT82 AY70:AY74 BA70:BA74 BH70:BH75 BO70:BO76 BV70:BV76 CC70:CC77 CJ70:CJ78 CQ70:CQ79 CX70:CX80 DE70:DE81 DL70:DL82">
    <cfRule type="expression" dxfId="0" priority="12">
      <formula>OR(IF(AR5&lt;AS5,TRUE),IF(AND(AS5="",AR5&lt;&gt;""),TRUE))</formula>
    </cfRule>
  </conditionalFormatting>
  <conditionalFormatting sqref="AR5:AR9 AT5:AT18 AY5:AY9 BA5:BA9 BF5:BF9 AR56:AR58 AT56:AT67 Y70:Y82 AF70:AF82 AM70:AM82 AR70:AR73 AT70:AT82 AY70:AY74 BA70:BA74 BH70:BH75 BO70:BO76 BV70:BV76 CC70:CC77 CJ70:CJ78 CQ70:CQ79 CX70:CX80 DE70:DE81 DL70:DL82">
    <cfRule type="expression" dxfId="1" priority="13">
      <formula>IF(AR5&gt;=AS5,IF(AR5="",FALSE,TRUE))</formula>
    </cfRule>
  </conditionalFormatting>
  <conditionalFormatting sqref="K20:L27">
    <cfRule type="colorScale" priority="14">
      <colorScale>
        <cfvo type="percent" val="0"/>
        <cfvo type="percent" val="100"/>
        <color rgb="FFFF231B"/>
        <color rgb="FF10FF07"/>
      </colorScale>
    </cfRule>
  </conditionalFormatting>
  <conditionalFormatting sqref="K30:L37 K40:L45 K48:L53">
    <cfRule type="colorScale" priority="15">
      <colorScale>
        <cfvo type="percent" val="0"/>
        <cfvo type="percent" val="100"/>
        <color rgb="FFFF231B"/>
        <color rgb="FF10FF07"/>
      </colorScale>
    </cfRule>
  </conditionalFormatting>
  <conditionalFormatting sqref="P30:P31 P40:P41 P48:P49">
    <cfRule type="expression" dxfId="0" priority="16">
      <formula>OR(IF(P30&lt;Q30,TRUE),IF(AND(Q30="",P30&lt;&gt;""),TRUE))</formula>
    </cfRule>
  </conditionalFormatting>
  <conditionalFormatting sqref="P30:P31 P40:P41 P48:P49">
    <cfRule type="expression" dxfId="1" priority="17">
      <formula>IF(P30&gt;=Q30,IF(P30="",FALSE,TRUE))</formula>
    </cfRule>
  </conditionalFormatting>
  <conditionalFormatting sqref="R30:R31 R40:R41 R48:R49">
    <cfRule type="expression" dxfId="0" priority="18">
      <formula>OR(IF(R30&lt;S30,TRUE),IF(AND(S30="",R30&lt;&gt;""),TRUE))</formula>
    </cfRule>
  </conditionalFormatting>
  <conditionalFormatting sqref="R30:R31 R40:R41 R48:R49">
    <cfRule type="expression" dxfId="1" priority="19">
      <formula>IF(R30&gt;=S30,IF(R30="",FALSE,TRUE))</formula>
    </cfRule>
  </conditionalFormatting>
  <conditionalFormatting sqref="AY32:AY37 AY42:AY45 AY50:AY53">
    <cfRule type="expression" dxfId="0" priority="20">
      <formula>OR(IF(AY32&lt;AZ32,TRUE),IF(AND(AZ32="",AY32&lt;&gt;""),TRUE))</formula>
    </cfRule>
  </conditionalFormatting>
  <conditionalFormatting sqref="AY32:AY37 AY42:AY45 AY50:AY53">
    <cfRule type="expression" dxfId="1" priority="21">
      <formula>IF(AY32&gt;=AZ32,IF(AY32="",FALSE,TRUE))</formula>
    </cfRule>
  </conditionalFormatting>
  <conditionalFormatting sqref="BA32:BA37 BA42:BA45 BA50:BA53 BF50 BH50">
    <cfRule type="expression" dxfId="0" priority="22">
      <formula>OR(IF(BA32&lt;BB32,TRUE),IF(AND(BB32="",BA32&lt;&gt;""),TRUE))</formula>
    </cfRule>
  </conditionalFormatting>
  <conditionalFormatting sqref="BA32:BA37 BA42:BA45 BA50:BA53 BF50 BH50">
    <cfRule type="expression" dxfId="1" priority="23">
      <formula>IF(BA32&gt;=BB32,IF(BA32="",FALSE,TRUE))</formula>
    </cfRule>
  </conditionalFormatting>
  <conditionalFormatting sqref="BF5:BF18 BM5:BM18 BT5:BT18 CA5:CA18 CH5:CH18 CO5:CO18 DJ5:DJ18 DQ5:DQ18 BF20:BF27 BH20:BH27 BM20:BM27 BO20:BO27 BT20:BT27 BV20:BV27 CA20:CA27 CC20:CC27 CH20:CH27 CJ20:CJ27 CO20:CO27 CQ20:CQ27 DJ20:DJ27 DL20:DL27 DQ20:DQ27 DS20:DS27 AY56:AY67 BF56:BF67 BT56:BT67 CA56:CA67 CH56:CH67 CO56:CO67 CV56:CV67 DC56:DC67 DJ56:DJ67 DQ56:DQ67 BM62:BM67 W70:W82 Y70 AD70:AD82 AK70:AK82 AM70:AM73 AR70:AR82 AT70:AT73 AY70:AY82 BA70:BA73 BF70:BF82 BM70:BM82 BT70:BT82 CA70:CA82 CH70:CH82 CO70:CO82 CV70:CV82 DC70:DC82 DJ70:DJ82 DQ70:DQ81">
    <cfRule type="expression" dxfId="0" priority="24">
      <formula>OR(IF(#REF!&lt;#REF!,TRUE),IF(AND(#REF!="",#REF!&lt;&gt;""),TRUE))</formula>
    </cfRule>
  </conditionalFormatting>
  <conditionalFormatting sqref="BF5:BF18 BM5:BM18 BT5:BT18 CA5:CA18 CH5:CH18 CO5:CO18 DJ5:DJ18 DQ5:DQ18 BF20:BF27 BH20:BH27 BM20:BM27 BO20:BO27 BT20:BT27 BV20:BV27 CA20:CA27 CC20:CC27 CH20:CH27 CJ20:CJ27 CO20:CO27 CQ20:CQ27 DJ20:DJ27 DL20:DL27 DQ20:DQ27 DS20:DS27 AY56:AY67 BF56:BF67 BT56:BT67 CA56:CA67 CH56:CH67 CO56:CO67 CV56:CV67 DC56:DC67 DJ56:DJ67 DQ56:DQ67 BM62:BM67 W70:W82 Y70 AD70:AD82 AK70:AK82 AM70:AM73 AR70:AR82 AT70:AT73 AY70:AY82 BA70:BA73 BF70:BF82 BM70:BM82 BT70:BT82 CA70:CA82 CH70:CH82 CO70:CO82 CV70:CV82 DC70:DC82 DJ70:DJ82 DQ70:DQ81">
    <cfRule type="expression" dxfId="1" priority="25">
      <formula>IF(#REF!&gt;=#REF!,IF(#REF!="",FALSE,TRUE))</formula>
    </cfRule>
  </conditionalFormatting>
  <conditionalFormatting sqref="BH5:BH18 BO5:BO18 BV5:BV18 CC5:CC18 CJ5:CJ18 CQ5:CQ18 DL5:DL18 DS5:DS18 BA56:BA67 BH56:BH67 BO56:BO67 BV56:BV67 CC56:CC67 CJ56:CJ67 CQ56:CQ67 CX56:CX67 DE56:DE67 DL56:DL67 DS56:DS67 W70:W82 Y70:Y82 AD70:AD82 AF70:AF82 AK70:AK82 AM70:AM82 AR70:AR82 AT70:AT82 AY70:AY82 BA70:BA82 BF70:BF82 BH70:BH82 BM70:BM76 BO70:BO82 BT70:BT82 BV70:BV82 CA70:CA82 CC70:CC82 CH70:CH82 CJ70:CJ82 CO70:CO82 CQ70:CQ82 CV70:CV82 CX70:CX82 DC70:DC82 DE70:DE82 DJ70:DJ82 DL70:DL82 DS70:DS81">
    <cfRule type="expression" dxfId="0" priority="26">
      <formula>OR(IF(BH5&lt;BI5,TRUE),IF(AND(BI5="",BH5&lt;&gt;""),TRUE))</formula>
    </cfRule>
  </conditionalFormatting>
  <conditionalFormatting sqref="BH5:BH18 BO5:BO18 BV5:BV18 CC5:CC18 CJ5:CJ18 CQ5:CQ18 DL5:DL18 DS5:DS18 BA56:BA67 BH56:BH67 BO56:BO67 BV56:BV67 CC56:CC67 CJ56:CJ67 CQ56:CQ67 CX56:CX67 DE56:DE67 DL56:DL67 DS56:DS67 W70:W82 Y70:Y82 AD70:AD82 AF70:AF82 AK70:AK82 AM70:AM82 AR70:AR82 AT70:AT82 AY70:AY82 BA70:BA82 BF70:BF82 BH70:BH82 BM70:BM76 BO70:BO82 BT70:BT82 BV70:BV82 CA70:CA82 CC70:CC82 CH70:CH82 CJ70:CJ82 CO70:CO82 CQ70:CQ82 CV70:CV82 CX70:CX82 DC70:DC82 DE70:DE82 DJ70:DJ82 DL70:DL82 DS70:DS81">
    <cfRule type="expression" dxfId="1" priority="27">
      <formula>IF(BH5&gt;=BI5,IF(BH5="",FALSE,TRUE))</formula>
    </cfRule>
  </conditionalFormatting>
  <conditionalFormatting sqref="BF30:BF31 BM30:BM31 BT30:BT31 CA30:CA31 CH30:CH31 CO30:CO31 DJ30:DJ31 DQ30:DQ31 BF40:BF41 BM40:BM41 BT40:BT41 CA40:CA41 CH40:CH41 CO40:CO41 DJ40:DJ41 DQ40:DQ41 BF48:BF49 BM48:BM49 BT48:BT49 CA48:CA49 CH48:CH49 CO48:CO49 DJ48:DJ49 DQ48:DQ49 AY56:AY57 BF56:BF57 AY62:AY63 BF62:BF63">
    <cfRule type="expression" dxfId="0" priority="28">
      <formula>OR(IF(BF30&lt;BG30,TRUE),IF(AND(BG30="",BF30&lt;&gt;""),TRUE))</formula>
    </cfRule>
  </conditionalFormatting>
  <conditionalFormatting sqref="BF30:BF31 BM30:BM31 BT30:BT31 CA30:CA31 CH30:CH31 CO30:CO31 DJ30:DJ31 DQ30:DQ31 BF40:BF41 BM40:BM41 BT40:BT41 CA40:CA41 CH40:CH41 CO40:CO41 DJ40:DJ41 DQ40:DQ41 BF48:BF49 BM48:BM49 BT48:BT49 CA48:CA49 CH48:CH49 CO48:CO49 DJ48:DJ49 DQ48:DQ49 AY56:AY57 BF56:BF57 AY62:AY63 BF62:BF63">
    <cfRule type="expression" dxfId="1" priority="29">
      <formula>IF(BF30&gt;=BG30,IF(BF30="",FALSE,TRUE))</formula>
    </cfRule>
  </conditionalFormatting>
  <conditionalFormatting sqref="R32:R37 R42:R45 R50:R53">
    <cfRule type="expression" dxfId="0" priority="30">
      <formula>OR(IF(R32&lt;S32,TRUE),IF(AND(S32="",R32&lt;&gt;""),TRUE))</formula>
    </cfRule>
  </conditionalFormatting>
  <conditionalFormatting sqref="R32:R37 R42:R45 R50:R53">
    <cfRule type="expression" dxfId="1" priority="31">
      <formula>IF(R32&gt;=S32,IF(R32="",FALSE,TRUE))</formula>
    </cfRule>
  </conditionalFormatting>
  <conditionalFormatting sqref="P32:P37 P42:P45 P50:P53">
    <cfRule type="expression" dxfId="0" priority="32">
      <formula>OR(IF(P32&lt;Q32,TRUE),IF(AND(Q32="",P32&lt;&gt;""),TRUE))</formula>
    </cfRule>
  </conditionalFormatting>
  <conditionalFormatting sqref="P32:P37 P42:P45 P50:P53">
    <cfRule type="expression" dxfId="1" priority="33">
      <formula>IF(P32&gt;=Q32,IF(P32="",FALSE,TRUE))</formula>
    </cfRule>
  </conditionalFormatting>
  <conditionalFormatting sqref="BF32:BF37 BH32:BH37 BO32:BO37 BV32:BV37 CC32:CC37 CJ32:CJ37 CQ32:CQ37 DL32:DL37 DS32:DS37 BH42:BH45 BO42:BO45 BV42:BV45 CC42:CC45 CJ42:CJ45 CQ42:CQ45 DL42:DL45 DS42:DS45 BH50:BH53 BM50 BO50:BO53 BV50:BV53 CC50:CC53 CJ50:CJ53 CQ50:CQ53 DL50:DL53 DS50:DS53 BA58:BA61 BH58:BH61 BA64:BA67 BH64:BH67">
    <cfRule type="expression" dxfId="0" priority="34">
      <formula>OR(IF(BF32&lt;BG32,TRUE),IF(AND(BG32="",BF32&lt;&gt;""),TRUE))</formula>
    </cfRule>
  </conditionalFormatting>
  <conditionalFormatting sqref="BF32:BF37 BH32:BH37 BO32:BO37 BV32:BV37 CC32:CC37 CJ32:CJ37 CQ32:CQ37 DL32:DL37 DS32:DS37 BH42:BH45 BO42:BO45 BV42:BV45 CC42:CC45 CJ42:CJ45 CQ42:CQ45 DL42:DL45 DS42:DS45 BH50:BH53 BM50 BO50:BO53 BV50:BV53 CC50:CC53 CJ50:CJ53 CQ50:CQ53 DL50:DL53 DS50:DS53 BA58:BA61 BH58:BH61 BA64:BA67 BH64:BH67">
    <cfRule type="expression" dxfId="1" priority="35">
      <formula>IF(BF32&gt;=BG32,IF(BF32="",FALSE,TRUE))</formula>
    </cfRule>
  </conditionalFormatting>
  <conditionalFormatting sqref="W5:W18 W20:W27 Y20:Y27 W56:W67 W70:W82 Y70">
    <cfRule type="expression" dxfId="0" priority="36">
      <formula>OR(IF(#REF!&lt;#REF!,TRUE),IF(AND(#REF!="",#REF!&lt;&gt;""),TRUE))</formula>
    </cfRule>
  </conditionalFormatting>
  <conditionalFormatting sqref="W5:W18 W20:W27 Y20:Y27 W56:W67 W70:W82 Y70">
    <cfRule type="expression" dxfId="1" priority="37">
      <formula>IF(#REF!&gt;=#REF!,IF(#REF!="",FALSE,TRUE))</formula>
    </cfRule>
  </conditionalFormatting>
  <conditionalFormatting sqref="W5:W7 Y5:Y18 Y56:Y67 Y70:Y82">
    <cfRule type="expression" dxfId="0" priority="38">
      <formula>OR(IF(W5&lt;X5,TRUE),IF(AND(X5="",W5&lt;&gt;""),TRUE))</formula>
    </cfRule>
  </conditionalFormatting>
  <conditionalFormatting sqref="W5:W7 Y5:Y18 Y56:Y67 Y70:Y82">
    <cfRule type="expression" dxfId="1" priority="39">
      <formula>IF(W5&gt;=X5,IF(W5="",FALSE,TRUE))</formula>
    </cfRule>
  </conditionalFormatting>
  <conditionalFormatting sqref="W30:W31 Y30:Y31 W40:W41 W48:W49">
    <cfRule type="expression" dxfId="0" priority="40">
      <formula>OR(IF(W30&lt;X30,TRUE),IF(AND(X30="",W30&lt;&gt;""),TRUE))</formula>
    </cfRule>
  </conditionalFormatting>
  <conditionalFormatting sqref="W30:W31 Y30:Y31 W40:W41 W48:W49">
    <cfRule type="expression" dxfId="1" priority="41">
      <formula>IF(W30&gt;=X30,IF(W30="",FALSE,TRUE))</formula>
    </cfRule>
  </conditionalFormatting>
  <conditionalFormatting sqref="Y30:Y31 Y40:Y41 Y48:Y49">
    <cfRule type="expression" dxfId="0" priority="42">
      <formula>OR(IF(Y30&lt;Z30,TRUE),IF(AND(Z30="",Y30&lt;&gt;""),TRUE))</formula>
    </cfRule>
  </conditionalFormatting>
  <conditionalFormatting sqref="Y30:Y31 Y40:Y41 Y48:Y49">
    <cfRule type="expression" dxfId="1" priority="43">
      <formula>IF(Y30&gt;=Z30,IF(Y30="",FALSE,TRUE))</formula>
    </cfRule>
  </conditionalFormatting>
  <conditionalFormatting sqref="Y32:Y37 Y42:Y45 Y50:Y53">
    <cfRule type="expression" dxfId="0" priority="44">
      <formula>OR(IF(Y32&lt;Z32,TRUE),IF(AND(Z32="",Y32&lt;&gt;""),TRUE))</formula>
    </cfRule>
  </conditionalFormatting>
  <conditionalFormatting sqref="Y32:Y37 Y42:Y45 Y50:Y53">
    <cfRule type="expression" dxfId="1" priority="45">
      <formula>IF(Y32&gt;=Z32,IF(Y32="",FALSE,TRUE))</formula>
    </cfRule>
  </conditionalFormatting>
  <conditionalFormatting sqref="W32:W37 W42:W45 W50:W53">
    <cfRule type="expression" dxfId="0" priority="46">
      <formula>OR(IF(W32&lt;X32,TRUE),IF(AND(X32="",W32&lt;&gt;""),TRUE))</formula>
    </cfRule>
  </conditionalFormatting>
  <conditionalFormatting sqref="W32:W37 W42:W45 W50:W53">
    <cfRule type="expression" dxfId="1" priority="47">
      <formula>IF(W32&gt;=X32,IF(W32="",FALSE,TRUE))</formula>
    </cfRule>
  </conditionalFormatting>
  <conditionalFormatting sqref="AD5:AD18 AD20:AD27 AF20:AF27 AD56:AD67 W70:W82 Y70 AD70:AD82 AK70:AK72 AM70:AM72 AR70:AR73 AT70:AT73 AY70:AY73 BA70:BA73">
    <cfRule type="expression" dxfId="0" priority="48">
      <formula>OR(IF(#REF!&lt;#REF!,TRUE),IF(AND(#REF!="",#REF!&lt;&gt;""),TRUE))</formula>
    </cfRule>
  </conditionalFormatting>
  <conditionalFormatting sqref="AD5:AD18 AD20:AD27 AF20:AF27 AD56:AD67 W70:W82 Y70 AD70:AD82 AK70:AK72 AM70:AM72 AR70:AR73 AT70:AT73 AY70:AY73 BA70:BA73">
    <cfRule type="expression" dxfId="1" priority="49">
      <formula>IF(#REF!&gt;=#REF!,IF(#REF!="",FALSE,TRUE))</formula>
    </cfRule>
  </conditionalFormatting>
  <conditionalFormatting sqref="AD5:AD7 AF5:AF18 AF56:AF67 Y70:Y82 AF70:AF82">
    <cfRule type="expression" dxfId="0" priority="50">
      <formula>OR(IF(AD5&lt;AE5,TRUE),IF(AND(AE5="",AD5&lt;&gt;""),TRUE))</formula>
    </cfRule>
  </conditionalFormatting>
  <conditionalFormatting sqref="AD5:AD7 AF5:AF18 AF56:AF67 Y70:Y82 AF70:AF82">
    <cfRule type="expression" dxfId="1" priority="51">
      <formula>IF(AD5&gt;=AE5,IF(AD5="",FALSE,TRUE))</formula>
    </cfRule>
  </conditionalFormatting>
  <conditionalFormatting sqref="AD30:AD31 AF30:AF31 AK30:AK31 AM30:AM31 AR30:AR31 AT30:AT31 BA30:BA31 AD40:AD41 AD48:AD49 AK48:AK49 AM48:AM49 AR48:AR49 AT48:AT49">
    <cfRule type="expression" dxfId="0" priority="52">
      <formula>OR(IF(AD30&lt;AE30,TRUE),IF(AND(AE30="",AD30&lt;&gt;""),TRUE))</formula>
    </cfRule>
  </conditionalFormatting>
  <conditionalFormatting sqref="AD30:AD31 AF30:AF31 AK30:AK31 AM30:AM31 AR30:AR31 AT30:AT31 BA30:BA31 AD40:AD41 AD48:AD49 AK48:AK49 AM48:AM49 AR48:AR49 AT48:AT49">
    <cfRule type="expression" dxfId="1" priority="53">
      <formula>IF(AD30&gt;=AE30,IF(AD30="",FALSE,TRUE))</formula>
    </cfRule>
  </conditionalFormatting>
  <conditionalFormatting sqref="AF30:AF31 AF40:AF41 AF48:AF49">
    <cfRule type="expression" dxfId="0" priority="54">
      <formula>OR(IF(AF30&lt;AG30,TRUE),IF(AND(AG30="",AF30&lt;&gt;""),TRUE))</formula>
    </cfRule>
  </conditionalFormatting>
  <conditionalFormatting sqref="AF30:AF31 AF40:AF41 AF48:AF49">
    <cfRule type="expression" dxfId="1" priority="55">
      <formula>IF(AF30&gt;=AG30,IF(AF30="",FALSE,TRUE))</formula>
    </cfRule>
  </conditionalFormatting>
  <conditionalFormatting sqref="AF32:AF37 AF42:AF45 AF50:AF53">
    <cfRule type="expression" dxfId="0" priority="56">
      <formula>OR(IF(AF32&lt;AG32,TRUE),IF(AND(AG32="",AF32&lt;&gt;""),TRUE))</formula>
    </cfRule>
  </conditionalFormatting>
  <conditionalFormatting sqref="AF32:AF37 AF42:AF45 AF50:AF53">
    <cfRule type="expression" dxfId="1" priority="57">
      <formula>IF(AF32&gt;=AG32,IF(AF32="",FALSE,TRUE))</formula>
    </cfRule>
  </conditionalFormatting>
  <conditionalFormatting sqref="AD32:AD37 AK32 AM32 AR32 AT32 BA32 AD42:AD45 AD50:AD53 AK50:AK51 AM50:AM51 AR50:AR51 AT50:AT51">
    <cfRule type="expression" dxfId="0" priority="58">
      <formula>OR(IF(AD32&lt;AE32,TRUE),IF(AND(AE32="",AD32&lt;&gt;""),TRUE))</formula>
    </cfRule>
  </conditionalFormatting>
  <conditionalFormatting sqref="AD32:AD37 AK32 AM32 AR32 AT32 BA32 AD42:AD45 AD50:AD53 AK50:AK51 AM50:AM51 AR50:AR51 AT50:AT51">
    <cfRule type="expression" dxfId="1" priority="59">
      <formula>IF(AD32&gt;=AE32,IF(AD32="",FALSE,TRUE))</formula>
    </cfRule>
  </conditionalFormatting>
  <conditionalFormatting sqref="AK5:AK18 AM5:AM9 AR5:AR7 AT5:AT7 AY5:AY7 BA5:BA7 BF5:BF7 AK20:AK27 AM20:AM27 AK56:AK67 W70:W82 Y70 AD70:AD82 AK70:AK82 AM70:AM73 AR70:AR73 AT70:AT73 AY70:AY74 BA70:BA73 BF70:BF75 BM70:BM76 BT70:BT76 CA70:CA77 CH70:CH78 CO70:CO79 CV70:CV80 DC70:DC81 DJ70:DJ82">
    <cfRule type="expression" dxfId="0" priority="60">
      <formula>OR(IF(#REF!&lt;#REF!,TRUE),IF(AND(#REF!="",#REF!&lt;&gt;""),TRUE))</formula>
    </cfRule>
  </conditionalFormatting>
  <conditionalFormatting sqref="AK5:AK18 AM5:AM9 AR5:AR7 AT5:AT7 AY5:AY7 BA5:BA7 BF5:BF7 AK20:AK27 AM20:AM27 AK56:AK67 W70:W82 Y70 AD70:AD82 AK70:AK82 AM70:AM73 AR70:AR73 AT70:AT73 AY70:AY74 BA70:BA73 BF70:BF75 BM70:BM76 BT70:BT76 CA70:CA77 CH70:CH78 CO70:CO79 CV70:CV80 DC70:DC81 DJ70:DJ82">
    <cfRule type="expression" dxfId="1" priority="61">
      <formula>IF(#REF!&gt;=#REF!,IF(#REF!="",FALSE,TRUE))</formula>
    </cfRule>
  </conditionalFormatting>
  <conditionalFormatting sqref="AK5:AK9 AM5:AM18 AR5:AR7 AT5:AT7 AY5:AY7 BA5:BA7 BF5:BF7 AK56:AK57 AM56:AM67 Y70:Y82 AF70:AF82 AM70:AM82 AR70:AR73 AT70:AT73 AY70:AY74 BA70:BA74 BH70:BH75 BO70:BO76 BV70:BV76 CC70:CC77 CJ70:CJ78 CQ70:CQ79 CX70:CX80 DE70:DE81 DL70:DL82">
    <cfRule type="expression" dxfId="0" priority="62">
      <formula>OR(IF(AK5&lt;AL5,TRUE),IF(AND(AL5="",AK5&lt;&gt;""),TRUE))</formula>
    </cfRule>
  </conditionalFormatting>
  <conditionalFormatting sqref="AK5:AK9 AM5:AM18 AR5:AR7 AT5:AT7 AY5:AY7 BA5:BA7 BF5:BF7 AK56:AK57 AM56:AM67 Y70:Y82 AF70:AF82 AM70:AM82 AR70:AR73 AT70:AT73 AY70:AY74 BA70:BA74 BH70:BH75 BO70:BO76 BV70:BV76 CC70:CC77 CJ70:CJ78 CQ70:CQ79 CX70:CX80 DE70:DE81 DL70:DL82">
    <cfRule type="expression" dxfId="1" priority="63">
      <formula>IF(AK5&gt;=AL5,IF(AK5="",FALSE,TRUE))</formula>
    </cfRule>
  </conditionalFormatting>
  <conditionalFormatting sqref="AK30:AK31 AR30:AR31 AT30:AT31 BA30:BA31 AK40:AK41 AK48:AK49 AR48:AR49 AT48:AT49">
    <cfRule type="expression" dxfId="0" priority="64">
      <formula>OR(IF(AK30&lt;AL30,TRUE),IF(AND(AL30="",AK30&lt;&gt;""),TRUE))</formula>
    </cfRule>
  </conditionalFormatting>
  <conditionalFormatting sqref="AK30:AK31 AR30:AR31 AT30:AT31 BA30:BA31 AK40:AK41 AK48:AK49 AR48:AR49 AT48:AT49">
    <cfRule type="expression" dxfId="1" priority="65">
      <formula>IF(AK30&gt;=AL30,IF(AK30="",FALSE,TRUE))</formula>
    </cfRule>
  </conditionalFormatting>
  <conditionalFormatting sqref="AM30:AM31 AM40:AM41 AM48:AM49">
    <cfRule type="expression" dxfId="0" priority="66">
      <formula>OR(IF(AM30&lt;AN30,TRUE),IF(AND(AN30="",AM30&lt;&gt;""),TRUE))</formula>
    </cfRule>
  </conditionalFormatting>
  <conditionalFormatting sqref="AM30:AM31 AM40:AM41 AM48:AM49">
    <cfRule type="expression" dxfId="1" priority="67">
      <formula>IF(AM30&gt;=AN30,IF(AM30="",FALSE,TRUE))</formula>
    </cfRule>
  </conditionalFormatting>
  <conditionalFormatting sqref="AR30:AR31 AR40:AR41 AR48:AR49">
    <cfRule type="expression" dxfId="0" priority="68">
      <formula>OR(IF(AR30&lt;AS30,TRUE),IF(AND(AS30="",AR30&lt;&gt;""),TRUE))</formula>
    </cfRule>
  </conditionalFormatting>
  <conditionalFormatting sqref="AR30:AR31 AR40:AR41 AR48:AR49">
    <cfRule type="expression" dxfId="1" priority="69">
      <formula>IF(AR30&gt;=AS30,IF(AR30="",FALSE,TRUE))</formula>
    </cfRule>
  </conditionalFormatting>
  <conditionalFormatting sqref="AT30:AT31 BA30:BA31 AT40:AT41 AT48:AT49">
    <cfRule type="expression" dxfId="0" priority="70">
      <formula>OR(IF(AT30&lt;AU30,TRUE),IF(AND(AU30="",AT30&lt;&gt;""),TRUE))</formula>
    </cfRule>
  </conditionalFormatting>
  <conditionalFormatting sqref="AT30:AT31 BA30:BA31 AT40:AT41 AT48:AT49">
    <cfRule type="expression" dxfId="1" priority="71">
      <formula>IF(AT30&gt;=AU30,IF(AT30="",FALSE,TRUE))</formula>
    </cfRule>
  </conditionalFormatting>
  <conditionalFormatting sqref="AT32:AT37 BA32 AT42:AT45 AT50:AT53">
    <cfRule type="expression" dxfId="0" priority="72">
      <formula>OR(IF(AT32&lt;AU32,TRUE),IF(AND(AU32="",AT32&lt;&gt;""),TRUE))</formula>
    </cfRule>
  </conditionalFormatting>
  <conditionalFormatting sqref="AT32:AT37 BA32 AT42:AT45 AT50:AT53">
    <cfRule type="expression" dxfId="1" priority="73">
      <formula>IF(AT32&gt;=AU32,IF(AT32="",FALSE,TRUE))</formula>
    </cfRule>
  </conditionalFormatting>
  <conditionalFormatting sqref="AR32:AR37 AR42:AR45 AR50:AR53">
    <cfRule type="expression" dxfId="0" priority="74">
      <formula>OR(IF(AR32&lt;AS32,TRUE),IF(AND(AS32="",AR32&lt;&gt;""),TRUE))</formula>
    </cfRule>
  </conditionalFormatting>
  <conditionalFormatting sqref="AR32:AR37 AR42:AR45 AR50:AR53">
    <cfRule type="expression" dxfId="1" priority="75">
      <formula>IF(AR32&gt;=AS32,IF(AR32="",FALSE,TRUE))</formula>
    </cfRule>
  </conditionalFormatting>
  <conditionalFormatting sqref="AY5:AY18 BA5:BA9 BF5:BF9 DC12:DC18 AY20:AY27 BA20:BA27 DC20:DC27 DC40:DC46 AY56:AY67 W70:W82 Y70 AD70:AD82 AK70:AK82 AM70:AM73 AR70:AR82 AT70:AT73 AY70:AY82 BA70:BA73 BF70:BF75 BM70:BM76 BT70:BT76 CA70:CA77 CH70:CH78 CO70:CO79 CV70:CV80 DC70:DC81 DJ70:DJ82">
    <cfRule type="expression" dxfId="0" priority="76">
      <formula>OR(IF(#REF!&lt;#REF!,TRUE),IF(AND(#REF!="",#REF!&lt;&gt;""),TRUE))</formula>
    </cfRule>
  </conditionalFormatting>
  <conditionalFormatting sqref="AY5:AY18 BA5:BA9 BF5:BF9 DC12:DC18 AY20:AY27 BA20:BA27 DC20:DC27 DC40:DC46 AY56:AY67 W70:W82 Y70 AD70:AD82 AK70:AK82 AM70:AM73 AR70:AR82 AT70:AT73 AY70:AY82 BA70:BA73 BF70:BF75 BM70:BM76 BT70:BT76 CA70:CA77 CH70:CH78 CO70:CO79 CV70:CV80 DC70:DC81 DJ70:DJ82">
    <cfRule type="expression" dxfId="1" priority="77">
      <formula>IF(#REF!&gt;=#REF!,IF(#REF!="",FALSE,TRUE))</formula>
    </cfRule>
  </conditionalFormatting>
  <conditionalFormatting sqref="BA5:BA18 BF5:BF9 DE12:DE18 DE20:DE27 DE40:DE46 BA56:BA67 Y70:Y82 AF70:AF82 AM70:AM82 AR70:AR73 AT70:AT82 AY70:AY74 BA70:BA82 BH70:BH75 BO70:BO76 BV70:BV76 CC70:CC77 CJ70:CJ78 CQ70:CQ79 CX70:CX80 DE70:DE81 DL70:DL82">
    <cfRule type="expression" dxfId="0" priority="78">
      <formula>OR(IF(BA5&lt;BB5,TRUE),IF(AND(BB5="",BA5&lt;&gt;""),TRUE))</formula>
    </cfRule>
  </conditionalFormatting>
  <conditionalFormatting sqref="BA5:BA18 BF5:BF9 DE12:DE18 DE20:DE27 DE40:DE46 BA56:BA67 Y70:Y82 AF70:AF82 AM70:AM82 AR70:AR73 AT70:AT82 AY70:AY74 BA70:BA82 BH70:BH75 BO70:BO76 BV70:BV76 CC70:CC77 CJ70:CJ78 CQ70:CQ79 CX70:CX80 DE70:DE81 DL70:DL82">
    <cfRule type="expression" dxfId="1" priority="79">
      <formula>IF(BA5&gt;=BB5,IF(BA5="",FALSE,TRUE))</formula>
    </cfRule>
  </conditionalFormatting>
  <conditionalFormatting sqref="AY30:AY31 AY40:AY41 AY48:AY50">
    <cfRule type="expression" dxfId="0" priority="80">
      <formula>OR(IF(AY30&lt;AZ30,TRUE),IF(AND(AZ30="",AY30&lt;&gt;""),TRUE))</formula>
    </cfRule>
  </conditionalFormatting>
  <conditionalFormatting sqref="AY30:AY31 AY40:AY41 AY48:AY50">
    <cfRule type="expression" dxfId="1" priority="81">
      <formula>IF(AY30&gt;=AZ30,IF(AY30="",FALSE,TRUE))</formula>
    </cfRule>
  </conditionalFormatting>
  <conditionalFormatting sqref="BA30:BA31 BA40:BA41 BA48:BA50 BF48:BF50 BH48:BH50">
    <cfRule type="expression" dxfId="0" priority="82">
      <formula>OR(IF(BA30&lt;BB30,TRUE),IF(AND(BB30="",BA30&lt;&gt;""),TRUE))</formula>
    </cfRule>
  </conditionalFormatting>
  <conditionalFormatting sqref="BA30:BA31 BA40:BA41 BA48:BA50 BF48:BF50 BH48:BH50">
    <cfRule type="expression" dxfId="1" priority="83">
      <formula>IF(BA30&gt;=BB30,IF(BA30="",FALSE,TRUE))</formula>
    </cfRule>
  </conditionalFormatting>
  <conditionalFormatting sqref="BF30:BF37 BH30:BH37 BO30:BO31 BV30:BV31 CC30:CC31 CJ30:CJ31 CQ30:CQ31 DL30:DL31 DS30:DS31 BH40:BH41 BO40:BO41 BV40:BV41 CC40:CC41 CJ40:CJ41 CQ40:CQ41 DL40:DL41 DS40:DS41 BH48:BH49 BM48:BM50 BO48:BO50 BV48:BV49 CC48:CC49 CJ48:CJ49 CQ48:CQ49 DL48:DL49 DS48:DS49 BA56:BA57 BH56:BH57 BA62:BA63 BH62:BH63">
    <cfRule type="expression" dxfId="0" priority="84">
      <formula>OR(IF(BF30&lt;BG30,TRUE),IF(AND(BG30="",BF30&lt;&gt;""),TRUE))</formula>
    </cfRule>
  </conditionalFormatting>
  <conditionalFormatting sqref="BF30:BF37 BH30:BH37 BO30:BO31 BV30:BV31 CC30:CC31 CJ30:CJ31 CQ30:CQ31 DL30:DL31 DS30:DS31 BH40:BH41 BO40:BO41 BV40:BV41 CC40:CC41 CJ40:CJ41 CQ40:CQ41 DL40:DL41 DS40:DS41 BH48:BH49 BM48:BM50 BO48:BO50 BV48:BV49 CC48:CC49 CJ48:CJ49 CQ48:CQ49 DL48:DL49 DS48:DS49 BA56:BA57 BH56:BH57 BA62:BA63 BH62:BH63">
    <cfRule type="expression" dxfId="1" priority="85">
      <formula>IF(BF30&gt;=BG30,IF(BF30="",FALSE,TRUE))</formula>
    </cfRule>
  </conditionalFormatting>
  <conditionalFormatting sqref="BF32:BF37 BM32:BM37 BT32:BT37 CA32:CA37 CH32:CH37 CO32:CO37 DJ32:DJ37 DQ32:DQ37 BF42:BF45 BM42:BM45 BT42:BT45 CA42:CA45 CH42:CH45 CO42:CO45 DJ42:DJ45 DQ42:DQ45 BF50:BF53 BM50:BM53 BT50:BT53 CA50:CA53 CH50:CH53 CO50:CO53 DJ50:DJ53 DQ50:DQ53 AY58:AY61 BF58:BF61 AY64:AY67 BF64:BF67">
    <cfRule type="expression" dxfId="0" priority="86">
      <formula>OR(IF(BF32&lt;BG32,TRUE),IF(AND(BG32="",BF32&lt;&gt;""),TRUE))</formula>
    </cfRule>
  </conditionalFormatting>
  <conditionalFormatting sqref="BF32:BF37 BM32:BM37 BT32:BT37 CA32:CA37 CH32:CH37 CO32:CO37 DJ32:DJ37 DQ32:DQ37 BF42:BF45 BM42:BM45 BT42:BT45 CA42:CA45 CH42:CH45 CO42:CO45 DJ42:DJ45 DQ42:DQ45 BF50:BF53 BM50:BM53 BT50:BT53 CA50:CA53 CH50:CH53 CO50:CO53 DJ50:DJ53 DQ50:DQ53 AY58:AY61 BF58:BF61 AY64:AY67 BF64:BF67">
    <cfRule type="expression" dxfId="1" priority="87">
      <formula>IF(BF32&gt;=BG32,IF(BF32="",FALSE,TRUE))</formula>
    </cfRule>
  </conditionalFormatting>
  <dataValidations>
    <dataValidation type="list" allowBlank="1" showErrorMessage="1" sqref="P5:S9 W5:Z9 AD5:AG9 AK5:AN9 AR5:AU9 AY5:BB9 BF5:BI9 BT12:BW18 CA12:CD18 CH12:CK18 CO12:CR18 CV12:CY18 DC12:DF18 DJ12:DM18 DQ12:DT18 BT20:BW27 CA20:CD27 CH20:CK27 CO20:CR27 CV20:CY27 DC20:DF27 DJ20:DM27 DQ20:DT27 P30:S37 W30:Z37 AD30:AG37 AK30:AN37 AR30:AU37 AY30:BB37 BF30:BI37 BT40:BW45 CA40:CD45 CH40:CK45 CO40:CR45 CV40:CY45 DC40:DF45 DJ40:DM45 DQ40:DT45 P48:S53 W48:Z53 AD48:AG53 AK48:AN53 AR48:AU53 AY48:BB53 BF48:BI53 BM48:BP53 P56:S67 AK56:AN67 AR56:AU67 AY56:BB67 BF56:BI67 BM56:BP67 BT56:BW67 CA56:CD67 CH56:CK67 CO56:CR67 CV56:CY67 DC56:DF67 DJ56:DM67 P70:S81 W70:Z82 AD70:AG82 AK70:AN82 AR70:AU82 AY70:BB82 BF70:BI82 BM70:BP82 BT70:BW82 CA70:CD82 CH70:CK82 CO70:CR82 CV70:CY82 DC70:DF82 DJ70:DM82">
      <formula1>"10%,20%,30%,40%,50%,60%,70%,80%,90%,100%"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60" t="s">
        <v>261</v>
      </c>
      <c r="B1" s="61" t="s">
        <v>262</v>
      </c>
      <c r="C1" s="61" t="s">
        <v>263</v>
      </c>
      <c r="D1" s="61" t="s">
        <v>264</v>
      </c>
      <c r="E1" s="62" t="s">
        <v>265</v>
      </c>
      <c r="F1" s="62" t="s">
        <v>266</v>
      </c>
      <c r="G1" s="62" t="s">
        <v>267</v>
      </c>
      <c r="H1" s="62" t="s">
        <v>268</v>
      </c>
      <c r="I1" s="62" t="s">
        <v>269</v>
      </c>
      <c r="J1" s="62" t="s">
        <v>270</v>
      </c>
      <c r="K1" s="62" t="s">
        <v>271</v>
      </c>
    </row>
    <row r="2" ht="15.75" customHeight="1">
      <c r="A2" s="63">
        <v>44118.0</v>
      </c>
      <c r="B2" s="60"/>
      <c r="C2" s="60"/>
      <c r="D2" s="64">
        <v>1.0</v>
      </c>
      <c r="E2" s="65"/>
      <c r="F2" s="65"/>
      <c r="G2" s="65"/>
      <c r="H2" s="65"/>
      <c r="I2" s="65"/>
      <c r="J2" s="65"/>
      <c r="K2" s="65"/>
    </row>
    <row r="3" ht="15.75" customHeight="1">
      <c r="A3" s="63">
        <v>44119.0</v>
      </c>
      <c r="B3" s="60"/>
      <c r="C3" s="60"/>
      <c r="D3" s="60"/>
      <c r="E3" s="65"/>
      <c r="F3" s="65"/>
      <c r="G3" s="65"/>
      <c r="H3" s="65"/>
      <c r="I3" s="65"/>
      <c r="J3" s="65"/>
      <c r="K3" s="65"/>
    </row>
    <row r="4" ht="15.75" customHeight="1">
      <c r="A4" s="63">
        <v>44120.0</v>
      </c>
      <c r="B4" s="60"/>
      <c r="C4" s="60"/>
      <c r="D4" s="60"/>
      <c r="E4" s="65"/>
      <c r="F4" s="65"/>
      <c r="G4" s="65"/>
      <c r="H4" s="65"/>
      <c r="I4" s="65"/>
      <c r="J4" s="65"/>
      <c r="K4" s="65"/>
    </row>
    <row r="5" ht="15.75" customHeight="1">
      <c r="A5" s="63">
        <v>44121.0</v>
      </c>
      <c r="B5" s="60"/>
      <c r="C5" s="60"/>
      <c r="D5" s="60"/>
      <c r="E5" s="65"/>
      <c r="F5" s="65"/>
      <c r="G5" s="65"/>
      <c r="H5" s="65"/>
      <c r="I5" s="65"/>
      <c r="J5" s="65"/>
      <c r="K5" s="65"/>
    </row>
    <row r="6" ht="15.75" customHeight="1">
      <c r="A6" s="63">
        <v>44122.0</v>
      </c>
      <c r="B6" s="60"/>
      <c r="C6" s="60"/>
      <c r="D6" s="60"/>
      <c r="E6" s="65"/>
      <c r="F6" s="65"/>
      <c r="G6" s="65"/>
      <c r="H6" s="65"/>
      <c r="I6" s="65"/>
      <c r="J6" s="65"/>
      <c r="K6" s="65"/>
    </row>
    <row r="7" ht="15.75" customHeight="1">
      <c r="A7" s="63">
        <v>44123.0</v>
      </c>
      <c r="B7" s="60"/>
      <c r="C7" s="60"/>
      <c r="D7" s="60"/>
      <c r="E7" s="65"/>
      <c r="F7" s="65"/>
      <c r="G7" s="65"/>
      <c r="H7" s="65"/>
      <c r="I7" s="65"/>
      <c r="J7" s="65"/>
      <c r="K7" s="65"/>
    </row>
    <row r="8" ht="15.75" customHeight="1">
      <c r="A8" s="63">
        <v>44124.0</v>
      </c>
      <c r="B8" s="60"/>
      <c r="C8" s="60"/>
      <c r="D8" s="60"/>
      <c r="E8" s="65"/>
      <c r="F8" s="65"/>
      <c r="G8" s="65"/>
      <c r="H8" s="65"/>
      <c r="I8" s="65"/>
      <c r="J8" s="65"/>
      <c r="K8" s="65"/>
    </row>
    <row r="9" ht="15.75" customHeight="1">
      <c r="A9" s="63">
        <v>44125.0</v>
      </c>
      <c r="B9" s="60"/>
      <c r="C9" s="60"/>
      <c r="D9" s="60"/>
      <c r="E9" s="65"/>
      <c r="F9" s="65"/>
      <c r="G9" s="65"/>
      <c r="H9" s="65"/>
      <c r="I9" s="65"/>
      <c r="J9" s="65"/>
      <c r="K9" s="65"/>
    </row>
    <row r="10" ht="15.75" customHeight="1">
      <c r="A10" s="63">
        <v>44126.0</v>
      </c>
      <c r="B10" s="60"/>
      <c r="C10" s="60"/>
      <c r="D10" s="60"/>
      <c r="E10" s="65"/>
      <c r="F10" s="65"/>
      <c r="G10" s="65"/>
      <c r="H10" s="65"/>
      <c r="I10" s="65"/>
      <c r="J10" s="65"/>
      <c r="K10" s="65"/>
    </row>
    <row r="11" ht="15.75" customHeight="1">
      <c r="A11" s="63">
        <v>44127.0</v>
      </c>
      <c r="B11" s="60"/>
      <c r="C11" s="60"/>
      <c r="D11" s="60"/>
      <c r="E11" s="65"/>
      <c r="F11" s="65"/>
      <c r="G11" s="65"/>
      <c r="H11" s="65"/>
      <c r="I11" s="65"/>
      <c r="J11" s="65"/>
      <c r="K11" s="65"/>
    </row>
    <row r="12" ht="15.75" customHeight="1">
      <c r="A12" s="63">
        <v>44128.0</v>
      </c>
      <c r="B12" s="60"/>
      <c r="C12" s="60"/>
      <c r="D12" s="60"/>
      <c r="E12" s="65"/>
      <c r="F12" s="65"/>
      <c r="G12" s="65"/>
      <c r="H12" s="65"/>
      <c r="I12" s="65"/>
      <c r="J12" s="65"/>
      <c r="K12" s="65"/>
    </row>
    <row r="13" ht="15.75" customHeight="1">
      <c r="A13" s="63">
        <v>44129.0</v>
      </c>
      <c r="B13" s="60"/>
      <c r="C13" s="60"/>
      <c r="D13" s="60"/>
      <c r="E13" s="65"/>
      <c r="F13" s="65"/>
      <c r="G13" s="65"/>
      <c r="H13" s="65"/>
      <c r="I13" s="65"/>
      <c r="J13" s="65"/>
      <c r="K13" s="65"/>
    </row>
    <row r="14" ht="15.75" customHeight="1">
      <c r="A14" s="63">
        <v>44130.0</v>
      </c>
      <c r="B14" s="60"/>
      <c r="C14" s="60"/>
      <c r="D14" s="60"/>
      <c r="E14" s="65"/>
      <c r="F14" s="65"/>
      <c r="G14" s="65"/>
      <c r="H14" s="65"/>
      <c r="I14" s="65"/>
      <c r="J14" s="65"/>
      <c r="K14" s="65"/>
    </row>
    <row r="15" ht="15.75" customHeight="1">
      <c r="A15" s="63">
        <v>44131.0</v>
      </c>
      <c r="B15" s="60"/>
      <c r="C15" s="60"/>
      <c r="D15" s="60"/>
      <c r="E15" s="65"/>
      <c r="F15" s="65"/>
      <c r="G15" s="65"/>
      <c r="H15" s="65"/>
      <c r="I15" s="65"/>
      <c r="J15" s="65"/>
      <c r="K15" s="65"/>
    </row>
    <row r="16" ht="15.75" customHeight="1">
      <c r="A16" s="63">
        <v>44132.0</v>
      </c>
      <c r="B16" s="60"/>
      <c r="C16" s="60"/>
      <c r="D16" s="60"/>
      <c r="E16" s="65"/>
      <c r="F16" s="65"/>
      <c r="G16" s="65"/>
      <c r="H16" s="65"/>
      <c r="I16" s="65"/>
      <c r="J16" s="65"/>
      <c r="K16" s="65"/>
    </row>
    <row r="17" ht="15.75" customHeight="1">
      <c r="A17" s="63">
        <v>44133.0</v>
      </c>
      <c r="B17" s="60"/>
      <c r="C17" s="60"/>
      <c r="D17" s="60"/>
      <c r="E17" s="65"/>
      <c r="F17" s="65"/>
      <c r="G17" s="65"/>
      <c r="H17" s="65"/>
      <c r="I17" s="65"/>
      <c r="J17" s="65"/>
      <c r="K17" s="65"/>
    </row>
    <row r="18" ht="15.75" customHeight="1">
      <c r="A18" s="63">
        <v>44134.0</v>
      </c>
      <c r="B18" s="60"/>
      <c r="C18" s="60"/>
      <c r="D18" s="60"/>
      <c r="E18" s="65"/>
      <c r="F18" s="65"/>
      <c r="G18" s="65"/>
      <c r="H18" s="65"/>
      <c r="I18" s="65"/>
      <c r="J18" s="65"/>
      <c r="K18" s="65"/>
    </row>
    <row r="19" ht="15.75" customHeight="1">
      <c r="A19" s="63">
        <v>44135.0</v>
      </c>
      <c r="B19" s="60"/>
      <c r="C19" s="60"/>
      <c r="D19" s="60"/>
      <c r="E19" s="65"/>
      <c r="F19" s="65"/>
      <c r="G19" s="65"/>
      <c r="H19" s="65"/>
      <c r="I19" s="65"/>
      <c r="J19" s="65"/>
      <c r="K19" s="65"/>
    </row>
    <row r="20" ht="15.75" customHeight="1">
      <c r="A20" s="63">
        <v>44136.0</v>
      </c>
      <c r="B20" s="60"/>
      <c r="C20" s="60"/>
      <c r="D20" s="60"/>
      <c r="E20" s="65"/>
      <c r="F20" s="65"/>
      <c r="G20" s="65"/>
      <c r="H20" s="65"/>
      <c r="I20" s="65"/>
      <c r="J20" s="65"/>
      <c r="K20" s="65"/>
    </row>
    <row r="21" ht="15.75" customHeight="1">
      <c r="A21" s="63">
        <v>44137.0</v>
      </c>
      <c r="B21" s="60"/>
      <c r="C21" s="60"/>
      <c r="D21" s="60"/>
      <c r="E21" s="65"/>
      <c r="F21" s="65"/>
      <c r="G21" s="65"/>
      <c r="H21" s="65"/>
      <c r="I21" s="65"/>
      <c r="J21" s="65"/>
      <c r="K21" s="65"/>
    </row>
    <row r="22" ht="15.75" customHeight="1">
      <c r="A22" s="63">
        <v>44138.0</v>
      </c>
      <c r="B22" s="60"/>
      <c r="C22" s="60"/>
      <c r="D22" s="60"/>
      <c r="E22" s="65"/>
      <c r="F22" s="65"/>
      <c r="G22" s="65"/>
      <c r="H22" s="65"/>
      <c r="I22" s="65"/>
      <c r="J22" s="65"/>
      <c r="K22" s="65"/>
    </row>
    <row r="23" ht="15.75" customHeight="1">
      <c r="A23" s="63">
        <v>44139.0</v>
      </c>
      <c r="B23" s="60"/>
      <c r="C23" s="60"/>
      <c r="D23" s="60"/>
      <c r="E23" s="65"/>
      <c r="F23" s="65"/>
      <c r="G23" s="65"/>
      <c r="H23" s="65"/>
      <c r="I23" s="65"/>
      <c r="J23" s="65"/>
      <c r="K23" s="65"/>
    </row>
    <row r="24" ht="15.75" customHeight="1">
      <c r="A24" s="63">
        <v>44140.0</v>
      </c>
      <c r="B24" s="60"/>
      <c r="C24" s="60"/>
      <c r="D24" s="60"/>
      <c r="E24" s="65"/>
      <c r="F24" s="65"/>
      <c r="G24" s="65"/>
      <c r="H24" s="65"/>
      <c r="I24" s="65"/>
      <c r="J24" s="65"/>
      <c r="K24" s="65"/>
    </row>
    <row r="25" ht="15.75" customHeight="1">
      <c r="A25" s="63">
        <v>44141.0</v>
      </c>
      <c r="B25" s="60"/>
      <c r="C25" s="60"/>
      <c r="D25" s="60"/>
      <c r="E25" s="65"/>
      <c r="F25" s="65"/>
      <c r="G25" s="65"/>
      <c r="H25" s="65"/>
      <c r="I25" s="65"/>
      <c r="J25" s="65"/>
      <c r="K25" s="65"/>
    </row>
    <row r="26" ht="15.75" customHeight="1">
      <c r="A26" s="63">
        <v>44142.0</v>
      </c>
      <c r="B26" s="60"/>
      <c r="C26" s="60"/>
      <c r="D26" s="60"/>
      <c r="E26" s="65"/>
      <c r="F26" s="65"/>
      <c r="G26" s="65"/>
      <c r="H26" s="65"/>
      <c r="I26" s="65"/>
      <c r="J26" s="65"/>
      <c r="K26" s="65"/>
    </row>
    <row r="27" ht="15.75" customHeight="1">
      <c r="A27" s="63">
        <v>44143.0</v>
      </c>
      <c r="B27" s="60"/>
      <c r="C27" s="60"/>
      <c r="D27" s="60"/>
      <c r="E27" s="65"/>
      <c r="F27" s="65"/>
      <c r="G27" s="65"/>
      <c r="H27" s="65"/>
      <c r="I27" s="65"/>
      <c r="J27" s="65"/>
      <c r="K27" s="65"/>
    </row>
    <row r="28" ht="15.75" customHeight="1">
      <c r="A28" s="63">
        <v>44144.0</v>
      </c>
      <c r="B28" s="60"/>
      <c r="C28" s="60"/>
      <c r="D28" s="60"/>
      <c r="E28" s="65"/>
      <c r="F28" s="65"/>
      <c r="G28" s="65"/>
      <c r="H28" s="65"/>
      <c r="I28" s="65"/>
      <c r="J28" s="65"/>
      <c r="K28" s="65"/>
    </row>
    <row r="29" ht="15.75" customHeight="1">
      <c r="A29" s="63">
        <v>44145.0</v>
      </c>
      <c r="B29" s="60"/>
      <c r="C29" s="60"/>
      <c r="D29" s="60"/>
      <c r="E29" s="65"/>
      <c r="F29" s="65"/>
      <c r="G29" s="65"/>
      <c r="H29" s="65"/>
      <c r="I29" s="65"/>
      <c r="J29" s="65"/>
      <c r="K29" s="65"/>
    </row>
    <row r="30" ht="15.75" customHeight="1">
      <c r="A30" s="63">
        <v>44146.0</v>
      </c>
      <c r="B30" s="60"/>
      <c r="C30" s="60"/>
      <c r="D30" s="60"/>
      <c r="E30" s="65"/>
      <c r="F30" s="65"/>
      <c r="G30" s="65"/>
      <c r="H30" s="65"/>
      <c r="I30" s="65"/>
      <c r="J30" s="65"/>
      <c r="K30" s="65"/>
    </row>
    <row r="31" ht="15.75" customHeight="1">
      <c r="A31" s="63">
        <v>44147.0</v>
      </c>
      <c r="B31" s="60"/>
      <c r="C31" s="60"/>
      <c r="D31" s="60"/>
      <c r="E31" s="65"/>
      <c r="F31" s="65"/>
      <c r="G31" s="65"/>
      <c r="H31" s="65"/>
      <c r="I31" s="65"/>
      <c r="J31" s="65"/>
      <c r="K31" s="65"/>
    </row>
    <row r="32" ht="15.75" customHeight="1">
      <c r="A32" s="63">
        <v>44148.0</v>
      </c>
      <c r="B32" s="60"/>
      <c r="C32" s="60"/>
      <c r="D32" s="60"/>
      <c r="E32" s="65"/>
      <c r="F32" s="65"/>
      <c r="G32" s="65"/>
      <c r="H32" s="65"/>
      <c r="I32" s="65"/>
      <c r="J32" s="65"/>
      <c r="K32" s="65"/>
    </row>
    <row r="33" ht="15.75" customHeight="1">
      <c r="A33" s="63">
        <v>44149.0</v>
      </c>
      <c r="B33" s="60"/>
      <c r="C33" s="60"/>
      <c r="D33" s="60"/>
      <c r="E33" s="65"/>
      <c r="F33" s="65"/>
      <c r="G33" s="65"/>
      <c r="H33" s="65"/>
      <c r="I33" s="65"/>
      <c r="J33" s="65"/>
      <c r="K33" s="65"/>
    </row>
    <row r="34" ht="15.75" customHeight="1">
      <c r="A34" s="63">
        <v>44150.0</v>
      </c>
      <c r="B34" s="60"/>
      <c r="C34" s="60"/>
      <c r="D34" s="60"/>
      <c r="E34" s="65"/>
      <c r="F34" s="65"/>
      <c r="G34" s="65"/>
      <c r="H34" s="65"/>
      <c r="I34" s="65"/>
      <c r="J34" s="65"/>
      <c r="K34" s="65"/>
    </row>
    <row r="35" ht="15.75" customHeight="1">
      <c r="A35" s="63">
        <v>44151.0</v>
      </c>
      <c r="B35" s="60"/>
      <c r="C35" s="60"/>
      <c r="D35" s="60"/>
      <c r="E35" s="65"/>
      <c r="F35" s="65"/>
      <c r="G35" s="65"/>
      <c r="H35" s="65"/>
      <c r="I35" s="65"/>
      <c r="J35" s="65"/>
      <c r="K35" s="65"/>
    </row>
    <row r="36" ht="15.75" customHeight="1">
      <c r="A36" s="63">
        <v>44152.0</v>
      </c>
      <c r="B36" s="60"/>
      <c r="C36" s="60"/>
      <c r="D36" s="60"/>
      <c r="E36" s="65"/>
      <c r="F36" s="65"/>
      <c r="G36" s="65"/>
      <c r="H36" s="65"/>
      <c r="I36" s="65"/>
      <c r="J36" s="65"/>
      <c r="K36" s="65"/>
    </row>
    <row r="37" ht="15.75" customHeight="1">
      <c r="A37" s="63">
        <v>44153.0</v>
      </c>
      <c r="B37" s="60"/>
      <c r="C37" s="60"/>
      <c r="D37" s="60"/>
      <c r="E37" s="65"/>
      <c r="F37" s="65"/>
      <c r="G37" s="65"/>
      <c r="H37" s="65"/>
      <c r="I37" s="65"/>
      <c r="J37" s="65"/>
      <c r="K37" s="65"/>
    </row>
    <row r="38" ht="15.75" customHeight="1">
      <c r="A38" s="63">
        <v>44154.0</v>
      </c>
      <c r="B38" s="60"/>
      <c r="C38" s="60"/>
      <c r="D38" s="60"/>
      <c r="E38" s="65"/>
      <c r="F38" s="65"/>
      <c r="G38" s="65"/>
      <c r="H38" s="65"/>
      <c r="I38" s="65"/>
      <c r="J38" s="65"/>
      <c r="K38" s="65"/>
    </row>
    <row r="39" ht="15.75" customHeight="1">
      <c r="A39" s="63">
        <v>44155.0</v>
      </c>
      <c r="B39" s="60"/>
      <c r="C39" s="60"/>
      <c r="D39" s="60"/>
      <c r="E39" s="65"/>
      <c r="F39" s="65"/>
      <c r="G39" s="65"/>
      <c r="H39" s="65"/>
      <c r="I39" s="65"/>
      <c r="J39" s="65"/>
      <c r="K39" s="65"/>
    </row>
    <row r="40" ht="15.75" customHeight="1">
      <c r="A40" s="63">
        <v>44156.0</v>
      </c>
      <c r="B40" s="60"/>
      <c r="C40" s="60"/>
      <c r="D40" s="60"/>
      <c r="E40" s="65"/>
      <c r="F40" s="65"/>
      <c r="G40" s="65"/>
      <c r="H40" s="65"/>
      <c r="I40" s="65"/>
      <c r="J40" s="65"/>
      <c r="K40" s="65"/>
    </row>
    <row r="41" ht="15.75" customHeight="1">
      <c r="A41" s="63">
        <v>44157.0</v>
      </c>
      <c r="B41" s="60"/>
      <c r="C41" s="60"/>
      <c r="D41" s="60"/>
      <c r="E41" s="65"/>
      <c r="F41" s="65"/>
      <c r="G41" s="65"/>
      <c r="H41" s="65"/>
      <c r="I41" s="65"/>
      <c r="J41" s="65"/>
      <c r="K41" s="65"/>
    </row>
    <row r="42" ht="15.75" customHeight="1">
      <c r="A42" s="63">
        <v>44158.0</v>
      </c>
      <c r="B42" s="60"/>
      <c r="C42" s="60"/>
      <c r="D42" s="60"/>
      <c r="E42" s="65"/>
      <c r="F42" s="65"/>
      <c r="G42" s="65"/>
      <c r="H42" s="65"/>
      <c r="I42" s="65"/>
      <c r="J42" s="65"/>
      <c r="K42" s="65"/>
    </row>
    <row r="43" ht="15.75" customHeight="1">
      <c r="A43" s="63">
        <v>44159.0</v>
      </c>
      <c r="B43" s="60"/>
      <c r="C43" s="60"/>
      <c r="D43" s="60"/>
      <c r="E43" s="65"/>
      <c r="F43" s="65"/>
      <c r="G43" s="65"/>
      <c r="H43" s="65"/>
      <c r="I43" s="65"/>
      <c r="J43" s="65"/>
      <c r="K43" s="65"/>
    </row>
    <row r="44" ht="15.75" customHeight="1">
      <c r="A44" s="63">
        <v>44160.0</v>
      </c>
      <c r="B44" s="60"/>
      <c r="C44" s="60"/>
      <c r="D44" s="60"/>
      <c r="E44" s="65"/>
      <c r="F44" s="65"/>
      <c r="G44" s="65"/>
      <c r="H44" s="65"/>
      <c r="I44" s="65"/>
      <c r="J44" s="65"/>
      <c r="K44" s="65"/>
    </row>
    <row r="45" ht="15.75" customHeight="1">
      <c r="A45" s="63">
        <v>44161.0</v>
      </c>
      <c r="B45" s="60"/>
      <c r="C45" s="60"/>
      <c r="D45" s="60"/>
      <c r="E45" s="65"/>
      <c r="F45" s="65"/>
      <c r="G45" s="65"/>
      <c r="H45" s="65"/>
      <c r="I45" s="65"/>
      <c r="J45" s="65"/>
      <c r="K45" s="65"/>
    </row>
    <row r="46" ht="15.75" customHeight="1">
      <c r="A46" s="63">
        <v>44162.0</v>
      </c>
      <c r="B46" s="60"/>
      <c r="C46" s="60"/>
      <c r="D46" s="60"/>
      <c r="E46" s="65"/>
      <c r="F46" s="65"/>
      <c r="G46" s="65"/>
      <c r="H46" s="65"/>
      <c r="I46" s="65"/>
      <c r="J46" s="65"/>
      <c r="K46" s="65"/>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66" t="s">
        <v>272</v>
      </c>
    </row>
    <row r="2" ht="15.75" customHeight="1"/>
    <row r="3" ht="15.75" customHeight="1"/>
    <row r="4" ht="15.75" customHeight="1">
      <c r="B4" s="3" t="s">
        <v>273</v>
      </c>
      <c r="C4" s="3" t="s">
        <v>274</v>
      </c>
      <c r="D4" s="3" t="s">
        <v>275</v>
      </c>
      <c r="E4" s="3" t="s">
        <v>276</v>
      </c>
      <c r="F4" s="3" t="s">
        <v>277</v>
      </c>
      <c r="G4" s="3" t="s">
        <v>278</v>
      </c>
      <c r="H4" s="3" t="s">
        <v>279</v>
      </c>
    </row>
    <row r="5" ht="15.75" customHeight="1">
      <c r="A5" s="67">
        <v>0.16666666666666666</v>
      </c>
    </row>
    <row r="6" ht="15.75" customHeight="1">
      <c r="A6" s="67">
        <v>0.1875</v>
      </c>
    </row>
    <row r="7" ht="15.75" customHeight="1">
      <c r="A7" s="67">
        <v>0.208333333333333</v>
      </c>
    </row>
    <row r="8" ht="15.75" customHeight="1">
      <c r="A8" s="67">
        <v>0.229166666666667</v>
      </c>
    </row>
    <row r="9" ht="15.75" customHeight="1">
      <c r="A9" s="67">
        <v>0.25</v>
      </c>
    </row>
    <row r="10" ht="15.75" customHeight="1">
      <c r="A10" s="67">
        <v>0.270833333333334</v>
      </c>
    </row>
    <row r="11" ht="15.75" customHeight="1">
      <c r="A11" s="67">
        <v>0.291666666666667</v>
      </c>
    </row>
    <row r="12" ht="15.75" customHeight="1">
      <c r="A12" s="67">
        <v>0.3125</v>
      </c>
    </row>
    <row r="13" ht="15.75" customHeight="1">
      <c r="A13" s="67">
        <v>0.333333333333334</v>
      </c>
    </row>
    <row r="14" ht="15.75" customHeight="1">
      <c r="A14" s="67">
        <v>0.354166666666667</v>
      </c>
    </row>
    <row r="15" ht="15.75" customHeight="1">
      <c r="A15" s="67">
        <v>0.375</v>
      </c>
    </row>
    <row r="16" ht="15.75" customHeight="1">
      <c r="A16" s="67">
        <v>0.395833333333334</v>
      </c>
    </row>
    <row r="17" ht="15.75" customHeight="1">
      <c r="A17" s="67">
        <v>0.416666666666667</v>
      </c>
    </row>
    <row r="18" ht="15.75" customHeight="1">
      <c r="A18" s="67">
        <v>0.4375</v>
      </c>
    </row>
    <row r="19" ht="15.75" customHeight="1">
      <c r="A19" s="67">
        <v>0.458333333333334</v>
      </c>
    </row>
    <row r="20" ht="15.75" customHeight="1">
      <c r="A20" s="67">
        <v>0.479166666666667</v>
      </c>
    </row>
    <row r="21" ht="15.75" customHeight="1">
      <c r="A21" s="67">
        <v>0.5</v>
      </c>
    </row>
    <row r="22" ht="15.75" customHeight="1">
      <c r="A22" s="67">
        <v>0.520833333333334</v>
      </c>
    </row>
    <row r="23" ht="15.75" customHeight="1">
      <c r="A23" s="67">
        <v>0.541666666666667</v>
      </c>
    </row>
    <row r="24" ht="15.75" customHeight="1">
      <c r="A24" s="67">
        <v>0.5625</v>
      </c>
    </row>
    <row r="25" ht="15.75" customHeight="1">
      <c r="A25" s="67">
        <v>0.583333333333334</v>
      </c>
    </row>
    <row r="26" ht="15.75" customHeight="1">
      <c r="A26" s="67">
        <v>0.604166666666667</v>
      </c>
    </row>
    <row r="27" ht="15.75" customHeight="1">
      <c r="A27" s="67">
        <v>0.625000000000001</v>
      </c>
    </row>
    <row r="28" ht="15.75" customHeight="1">
      <c r="A28" s="67">
        <v>0.645833333333334</v>
      </c>
    </row>
    <row r="29" ht="15.75" customHeight="1">
      <c r="A29" s="67">
        <v>0.666666666666667</v>
      </c>
    </row>
    <row r="30" ht="15.75" customHeight="1">
      <c r="A30" s="67">
        <v>0.687500000000001</v>
      </c>
    </row>
    <row r="31" ht="15.75" customHeight="1">
      <c r="A31" s="67">
        <v>0.708333333333334</v>
      </c>
    </row>
    <row r="32" ht="15.75" customHeight="1">
      <c r="A32" s="67">
        <v>0.729166666666667</v>
      </c>
    </row>
    <row r="33" ht="15.75" customHeight="1">
      <c r="A33" s="67">
        <v>0.750000000000001</v>
      </c>
    </row>
    <row r="34" ht="15.75" customHeight="1">
      <c r="A34" s="67">
        <v>0.770833333333334</v>
      </c>
    </row>
    <row r="35" ht="15.75" customHeight="1">
      <c r="A35" s="67">
        <v>0.791666666666667</v>
      </c>
    </row>
    <row r="36" ht="15.75" customHeight="1">
      <c r="A36" s="67">
        <v>0.812500000000001</v>
      </c>
    </row>
    <row r="37" ht="15.75" customHeight="1">
      <c r="A37" s="67">
        <v>0.833333333333334</v>
      </c>
    </row>
    <row r="38" ht="15.75" customHeight="1">
      <c r="A38" s="67">
        <v>0.854166666666667</v>
      </c>
    </row>
    <row r="39" ht="15.75" customHeight="1">
      <c r="A39" s="67">
        <v>0.875000000000001</v>
      </c>
    </row>
    <row r="40" ht="15.75" customHeight="1">
      <c r="A40" s="67">
        <v>0.895833333333334</v>
      </c>
    </row>
    <row r="41" ht="15.75" customHeight="1">
      <c r="A41" s="67">
        <v>0.916666666666667</v>
      </c>
    </row>
    <row r="42" ht="15.75" customHeight="1">
      <c r="A42" s="67">
        <v>0.937500000000001</v>
      </c>
    </row>
    <row r="43" ht="15.75" customHeight="1">
      <c r="A43" s="67">
        <v>0.958333333333334</v>
      </c>
    </row>
    <row r="44" ht="15.75" customHeight="1">
      <c r="A44" s="67">
        <v>0.979166666666667</v>
      </c>
    </row>
    <row r="45" ht="15.75" customHeight="1">
      <c r="A45" s="67">
        <v>1.0</v>
      </c>
    </row>
    <row r="46" ht="15.75" customHeight="1">
      <c r="A46" s="67">
        <v>1.02083333333333</v>
      </c>
    </row>
    <row r="47" ht="15.75" customHeight="1">
      <c r="A47" s="67">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66" t="s">
        <v>272</v>
      </c>
    </row>
    <row r="2" ht="15.75" customHeight="1"/>
    <row r="3" ht="15.75" customHeight="1"/>
    <row r="4" ht="15.75" customHeight="1">
      <c r="B4" s="3" t="s">
        <v>273</v>
      </c>
      <c r="C4" s="3" t="s">
        <v>274</v>
      </c>
      <c r="D4" s="3" t="s">
        <v>275</v>
      </c>
      <c r="E4" s="3" t="s">
        <v>276</v>
      </c>
      <c r="F4" s="3" t="s">
        <v>277</v>
      </c>
      <c r="G4" s="3" t="s">
        <v>278</v>
      </c>
      <c r="H4" s="3" t="s">
        <v>279</v>
      </c>
    </row>
    <row r="5" ht="15.75" customHeight="1">
      <c r="A5" s="67">
        <v>0.16666666666666666</v>
      </c>
    </row>
    <row r="6" ht="15.75" customHeight="1">
      <c r="A6" s="67">
        <v>0.1875</v>
      </c>
    </row>
    <row r="7" ht="15.75" customHeight="1">
      <c r="A7" s="67">
        <v>0.208333333333333</v>
      </c>
    </row>
    <row r="8" ht="15.75" customHeight="1">
      <c r="A8" s="67">
        <v>0.229166666666667</v>
      </c>
    </row>
    <row r="9" ht="15.75" customHeight="1">
      <c r="A9" s="67">
        <v>0.25</v>
      </c>
    </row>
    <row r="10" ht="15.75" customHeight="1">
      <c r="A10" s="67">
        <v>0.270833333333334</v>
      </c>
    </row>
    <row r="11" ht="15.75" customHeight="1">
      <c r="A11" s="67">
        <v>0.291666666666667</v>
      </c>
    </row>
    <row r="12" ht="15.75" customHeight="1">
      <c r="A12" s="67">
        <v>0.3125</v>
      </c>
    </row>
    <row r="13" ht="15.75" customHeight="1">
      <c r="A13" s="67">
        <v>0.333333333333334</v>
      </c>
    </row>
    <row r="14" ht="15.75" customHeight="1">
      <c r="A14" s="67">
        <v>0.354166666666667</v>
      </c>
    </row>
    <row r="15" ht="15.75" customHeight="1">
      <c r="A15" s="67">
        <v>0.375</v>
      </c>
    </row>
    <row r="16" ht="15.75" customHeight="1">
      <c r="A16" s="67">
        <v>0.395833333333334</v>
      </c>
    </row>
    <row r="17" ht="15.75" customHeight="1">
      <c r="A17" s="67">
        <v>0.416666666666667</v>
      </c>
    </row>
    <row r="18" ht="15.75" customHeight="1">
      <c r="A18" s="67">
        <v>0.4375</v>
      </c>
    </row>
    <row r="19" ht="15.75" customHeight="1">
      <c r="A19" s="67">
        <v>0.458333333333334</v>
      </c>
    </row>
    <row r="20" ht="15.75" customHeight="1">
      <c r="A20" s="67">
        <v>0.479166666666667</v>
      </c>
    </row>
    <row r="21" ht="15.75" customHeight="1">
      <c r="A21" s="67">
        <v>0.5</v>
      </c>
    </row>
    <row r="22" ht="15.75" customHeight="1">
      <c r="A22" s="67">
        <v>0.520833333333334</v>
      </c>
    </row>
    <row r="23" ht="15.75" customHeight="1">
      <c r="A23" s="67">
        <v>0.541666666666667</v>
      </c>
    </row>
    <row r="24" ht="15.75" customHeight="1">
      <c r="A24" s="67">
        <v>0.5625</v>
      </c>
    </row>
    <row r="25" ht="15.75" customHeight="1">
      <c r="A25" s="67">
        <v>0.583333333333334</v>
      </c>
    </row>
    <row r="26" ht="15.75" customHeight="1">
      <c r="A26" s="67">
        <v>0.604166666666667</v>
      </c>
    </row>
    <row r="27" ht="15.75" customHeight="1">
      <c r="A27" s="67">
        <v>0.625000000000001</v>
      </c>
    </row>
    <row r="28" ht="15.75" customHeight="1">
      <c r="A28" s="67">
        <v>0.645833333333334</v>
      </c>
    </row>
    <row r="29" ht="15.75" customHeight="1">
      <c r="A29" s="67">
        <v>0.666666666666667</v>
      </c>
    </row>
    <row r="30" ht="15.75" customHeight="1">
      <c r="A30" s="67">
        <v>0.687500000000001</v>
      </c>
    </row>
    <row r="31" ht="15.75" customHeight="1">
      <c r="A31" s="67">
        <v>0.708333333333334</v>
      </c>
    </row>
    <row r="32" ht="15.75" customHeight="1">
      <c r="A32" s="67">
        <v>0.729166666666667</v>
      </c>
    </row>
    <row r="33" ht="15.75" customHeight="1">
      <c r="A33" s="67">
        <v>0.750000000000001</v>
      </c>
    </row>
    <row r="34" ht="15.75" customHeight="1">
      <c r="A34" s="67">
        <v>0.770833333333334</v>
      </c>
    </row>
    <row r="35" ht="15.75" customHeight="1">
      <c r="A35" s="67">
        <v>0.791666666666667</v>
      </c>
    </row>
    <row r="36" ht="15.75" customHeight="1">
      <c r="A36" s="67">
        <v>0.812500000000001</v>
      </c>
    </row>
    <row r="37" ht="15.75" customHeight="1">
      <c r="A37" s="67">
        <v>0.833333333333334</v>
      </c>
    </row>
    <row r="38" ht="15.75" customHeight="1">
      <c r="A38" s="67">
        <v>0.854166666666667</v>
      </c>
    </row>
    <row r="39" ht="15.75" customHeight="1">
      <c r="A39" s="67">
        <v>0.875000000000001</v>
      </c>
    </row>
    <row r="40" ht="15.75" customHeight="1">
      <c r="A40" s="67">
        <v>0.895833333333334</v>
      </c>
    </row>
    <row r="41" ht="15.75" customHeight="1">
      <c r="A41" s="67">
        <v>0.916666666666667</v>
      </c>
    </row>
    <row r="42" ht="15.75" customHeight="1">
      <c r="A42" s="67">
        <v>0.937500000000001</v>
      </c>
    </row>
    <row r="43" ht="15.75" customHeight="1">
      <c r="A43" s="67">
        <v>0.958333333333334</v>
      </c>
    </row>
    <row r="44" ht="15.75" customHeight="1">
      <c r="A44" s="67">
        <v>0.979166666666667</v>
      </c>
    </row>
    <row r="45" ht="15.75" customHeight="1">
      <c r="A45" s="67">
        <v>1.0</v>
      </c>
    </row>
    <row r="46" ht="15.75" customHeight="1">
      <c r="A46" s="67">
        <v>1.02083333333333</v>
      </c>
    </row>
    <row r="47" ht="15.75" customHeight="1">
      <c r="A47" s="67">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08.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C32" s="1"/>
    </row>
    <row r="33" ht="15.75" customHeight="1">
      <c r="C33" s="1"/>
    </row>
    <row r="34" ht="15.75" customHeight="1">
      <c r="C34" s="1"/>
    </row>
    <row r="35" ht="15.75" customHeight="1">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