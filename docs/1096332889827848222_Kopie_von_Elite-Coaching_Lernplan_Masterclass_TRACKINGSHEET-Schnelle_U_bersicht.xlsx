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ludwigwipper/Documents/"/>
    </mc:Choice>
  </mc:AlternateContent>
  <xr:revisionPtr revIDLastSave="0" documentId="8_{8BEFFA9F-9191-B542-BAF8-9226AAF172DE}" xr6:coauthVersionLast="47" xr6:coauthVersionMax="47" xr10:uidLastSave="{00000000-0000-0000-0000-000000000000}"/>
  <bookViews>
    <workbookView xWindow="0" yWindow="740" windowWidth="29400" windowHeight="1696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R48" i="7" l="1"/>
  <c r="BK48" i="7"/>
  <c r="BD48" i="7"/>
  <c r="AW48" i="7"/>
  <c r="BR36" i="7"/>
  <c r="BK36" i="7"/>
  <c r="BD36" i="7"/>
  <c r="AW36" i="7"/>
  <c r="BR26" i="7"/>
  <c r="BK26" i="7"/>
  <c r="BR16" i="7"/>
  <c r="BK16" i="7"/>
  <c r="AW16" i="7"/>
  <c r="BD16" i="7"/>
  <c r="BD26" i="7"/>
  <c r="AW26" i="7"/>
  <c r="K42" i="7" a="1"/>
  <c r="K42" i="7" s="1"/>
  <c r="J42" i="7" a="1"/>
  <c r="J42" i="7" s="1"/>
  <c r="I42" i="7"/>
  <c r="K44" i="7" a="1"/>
  <c r="K44" i="7" s="1"/>
  <c r="J44" i="7" a="1"/>
  <c r="J44" i="7" s="1"/>
  <c r="I44" i="7"/>
  <c r="K43" i="7" a="1"/>
  <c r="K43" i="7" s="1"/>
  <c r="J43" i="7" a="1"/>
  <c r="J43" i="7" s="1"/>
  <c r="I43" i="7"/>
  <c r="K12" i="7" a="1"/>
  <c r="K12" i="7" s="1"/>
  <c r="J12" i="7" a="1"/>
  <c r="J12" i="7" s="1"/>
  <c r="I12" i="7"/>
  <c r="K11" i="7" a="1"/>
  <c r="K11" i="7" s="1"/>
  <c r="J11" i="7" a="1"/>
  <c r="J11" i="7" s="1"/>
  <c r="I11" i="7"/>
  <c r="K10" i="7" a="1"/>
  <c r="K10" i="7" s="1"/>
  <c r="J10" i="7" a="1"/>
  <c r="J10" i="7" s="1"/>
  <c r="I10" i="7"/>
  <c r="K6" i="7" a="1"/>
  <c r="K6" i="7" s="1"/>
  <c r="J6" i="7" a="1"/>
  <c r="J6" i="7" s="1"/>
  <c r="I6" i="7"/>
  <c r="I14" i="7"/>
  <c r="J14" i="7" a="1"/>
  <c r="J14" i="7" s="1"/>
  <c r="K14" i="7" a="1"/>
  <c r="K14" i="7" s="1"/>
  <c r="C11" i="10"/>
  <c r="DA4" i="7"/>
  <c r="CT4" i="7"/>
  <c r="CM4" i="7"/>
  <c r="CF4" i="7"/>
  <c r="BY4" i="7"/>
  <c r="BR4" i="7"/>
  <c r="C7" i="10"/>
  <c r="K19" i="7" a="1"/>
  <c r="K19" i="7" s="1"/>
  <c r="J19" i="7" a="1"/>
  <c r="J19" i="7" s="1"/>
  <c r="I19" i="7"/>
  <c r="K18" i="7" a="1"/>
  <c r="K18" i="7" s="1"/>
  <c r="J18" i="7" a="1"/>
  <c r="J18" i="7" s="1"/>
  <c r="I18" i="7"/>
  <c r="K58" i="7" a="1"/>
  <c r="K58" i="7" s="1"/>
  <c r="J58" i="7" a="1"/>
  <c r="J58" i="7" s="1"/>
  <c r="I58" i="7"/>
  <c r="K57" i="7" a="1"/>
  <c r="K57" i="7" s="1"/>
  <c r="J57" i="7" a="1"/>
  <c r="J57" i="7" s="1"/>
  <c r="I57" i="7"/>
  <c r="K56" i="7" a="1"/>
  <c r="K56" i="7" s="1"/>
  <c r="J56" i="7" a="1"/>
  <c r="J56" i="7" s="1"/>
  <c r="I56" i="7"/>
  <c r="K55" i="7" a="1"/>
  <c r="K55" i="7" s="1"/>
  <c r="J55" i="7" a="1"/>
  <c r="J55" i="7" s="1"/>
  <c r="I55"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AP48" i="7"/>
  <c r="AI48" i="7"/>
  <c r="AB48" i="7"/>
  <c r="U48" i="7"/>
  <c r="N48" i="7"/>
  <c r="G48" i="7"/>
  <c r="K46" i="7" a="1"/>
  <c r="K46" i="7" s="1"/>
  <c r="J46" i="7" a="1"/>
  <c r="J46" i="7" s="1"/>
  <c r="I46" i="7"/>
  <c r="K45" i="7" a="1"/>
  <c r="K45" i="7" s="1"/>
  <c r="J45" i="7" a="1"/>
  <c r="J45" i="7" s="1"/>
  <c r="I45" i="7"/>
  <c r="K41" i="7" a="1"/>
  <c r="K41" i="7" s="1"/>
  <c r="J41" i="7" a="1"/>
  <c r="J41" i="7" s="1"/>
  <c r="I41" i="7"/>
  <c r="K40" i="7" a="1"/>
  <c r="K40" i="7" s="1"/>
  <c r="J40" i="7" a="1"/>
  <c r="J40" i="7" s="1"/>
  <c r="I40" i="7"/>
  <c r="K39" i="7" a="1"/>
  <c r="K39" i="7" s="1"/>
  <c r="J39" i="7" a="1"/>
  <c r="J39" i="7" s="1"/>
  <c r="I39" i="7"/>
  <c r="K38" i="7" a="1"/>
  <c r="K38" i="7" s="1"/>
  <c r="J38" i="7" a="1"/>
  <c r="J38" i="7" s="1"/>
  <c r="I38" i="7"/>
  <c r="K37" i="7" a="1"/>
  <c r="K37" i="7" s="1"/>
  <c r="J37" i="7" a="1"/>
  <c r="J37" i="7" s="1"/>
  <c r="I37" i="7"/>
  <c r="AP36" i="7"/>
  <c r="AI36" i="7"/>
  <c r="AB36" i="7"/>
  <c r="U36" i="7"/>
  <c r="N36" i="7"/>
  <c r="G36" i="7"/>
  <c r="BK4" i="7"/>
  <c r="C12" i="10"/>
  <c r="K24" i="7" a="1"/>
  <c r="K24" i="7" s="1"/>
  <c r="J24" i="7" a="1"/>
  <c r="J24" i="7" s="1"/>
  <c r="K23" i="7" a="1"/>
  <c r="K23" i="7" s="1"/>
  <c r="J23" i="7" a="1"/>
  <c r="J23" i="7" s="1"/>
  <c r="K22" i="7" a="1"/>
  <c r="K22" i="7" s="1"/>
  <c r="J22" i="7" a="1"/>
  <c r="J22" i="7" s="1"/>
  <c r="K21" i="7" a="1"/>
  <c r="K21" i="7" s="1"/>
  <c r="J21" i="7" a="1"/>
  <c r="J21" i="7" s="1"/>
  <c r="K20" i="7" a="1"/>
  <c r="K20" i="7" s="1"/>
  <c r="J20" i="7" a="1"/>
  <c r="J20" i="7" s="1"/>
  <c r="K17" i="7" a="1"/>
  <c r="K17" i="7" s="1"/>
  <c r="J17" i="7" a="1"/>
  <c r="J17" i="7" s="1"/>
  <c r="K34" i="7" a="1"/>
  <c r="K34" i="7" s="1"/>
  <c r="J34" i="7" a="1"/>
  <c r="J34"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9" i="7" a="1"/>
  <c r="K9" i="7" s="1"/>
  <c r="J9" i="7" a="1"/>
  <c r="J9" i="7" s="1"/>
  <c r="K8" i="7" a="1"/>
  <c r="K8" i="7" s="1"/>
  <c r="J8" i="7" a="1"/>
  <c r="J8" i="7" s="1"/>
  <c r="K7" i="7" a="1"/>
  <c r="K7" i="7" s="1"/>
  <c r="J7" i="7" a="1"/>
  <c r="J7" i="7" s="1"/>
  <c r="K5" i="7" a="1"/>
  <c r="K5" i="7" s="1"/>
  <c r="J5" i="7" a="1"/>
  <c r="J5" i="7" s="1"/>
  <c r="AP16" i="7"/>
  <c r="AI16" i="7"/>
  <c r="AB16" i="7"/>
  <c r="U16" i="7"/>
  <c r="BD4" i="7"/>
  <c r="AW4" i="7"/>
  <c r="AP4" i="7"/>
  <c r="AI4" i="7"/>
  <c r="AB4" i="7"/>
  <c r="U4" i="7"/>
  <c r="N4" i="7"/>
  <c r="N16" i="7"/>
  <c r="G4" i="7"/>
  <c r="AP26" i="7"/>
  <c r="AI26" i="7"/>
  <c r="AB26" i="7"/>
  <c r="U26" i="7"/>
  <c r="I34" i="7"/>
  <c r="I33" i="7"/>
  <c r="I32" i="7"/>
  <c r="I31" i="7"/>
  <c r="I30" i="7"/>
  <c r="I29" i="7"/>
  <c r="I28" i="7"/>
  <c r="I27" i="7"/>
  <c r="I24" i="7"/>
  <c r="I23" i="7"/>
  <c r="I22" i="7"/>
  <c r="I21" i="7"/>
  <c r="I20" i="7"/>
  <c r="I17" i="7"/>
  <c r="I7" i="7"/>
  <c r="I8" i="7"/>
  <c r="I9" i="7"/>
  <c r="I13" i="7"/>
  <c r="I5" i="7"/>
  <c r="N26" i="7"/>
  <c r="G26" i="7"/>
  <c r="G16" i="7"/>
  <c r="I48" i="7" l="1"/>
  <c r="I36" i="7"/>
  <c r="J48" i="7"/>
  <c r="K48" i="7"/>
  <c r="K36" i="7"/>
  <c r="J36" i="7"/>
  <c r="I26" i="7"/>
  <c r="J26" i="7"/>
  <c r="K26" i="7"/>
  <c r="I16" i="7"/>
  <c r="J16" i="7"/>
  <c r="K16" i="7"/>
  <c r="I4" i="7" l="1"/>
  <c r="J13" i="7" a="1"/>
  <c r="J13" i="7" s="1"/>
  <c r="J4" i="7" s="1"/>
  <c r="K13" i="7" a="1"/>
  <c r="K13" i="7" s="1"/>
  <c r="K4"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<sst xmlns="http://schemas.openxmlformats.org/spreadsheetml/2006/main" count="342" uniqueCount="152">
  <si>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</si>
  <si>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</si>
  <si>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</si>
  <si>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</si>
  <si>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</si>
  <si>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</si>
  <si>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</si>
  <si>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</si>
  <si>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</si>
  <si>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</si>
  <si>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</si>
  <si>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</si>
  <si>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</si>
  <si>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</si>
  <si>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</si>
  <si>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</si>
  <si>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</si>
  <si>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</si>
  <si>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</si>
  <si>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</si>
  <si>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</si>
  <si>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</si>
  <si>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</si>
  <si>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</si>
  <si>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</si>
  <si>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</si>
  <si>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</si>
  <si>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</si>
  <si>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</si>
  <si>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</si>
  <si>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</si>
  <si>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</si>
  <si>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</si>
  <si>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</si>
  <si>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</si>
  <si>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</si>
  <si>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</si>
  <si>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</si>
  <si>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</si>
  <si>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</si>
  <si>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</si>
  <si>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</si>
  <si>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</si>
  <si>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</si>
  <si>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</si>
  <si>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</si>
  <si>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</si>
  <si>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</si>
  <si>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</si>
  <si>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</si>
  <si>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</si>
  <si>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</si>
  <si>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</si>
  <si>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</si>
  <si>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</si>
  <si>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</si>
  <si>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</si>
  <si>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</si>
  <si>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</si>
  <si>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</si>
  <si>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</si>
  <si>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</si>
  <si>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</si>
  <si>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</si>
  <si>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</si>
  <si>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</si>
  <si>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</si>
  <si>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</si>
  <si>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</si>
  <si>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</si>
  <si>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</si>
  <si>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</si>
  <si>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</si>
  <si>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</si>
  <si>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</si>
  <si>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</si>
  <si>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</si>
  <si>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</si>
  <si>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</si>
  <si>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</si>
  <si>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</si>
  <si>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</si>
  <si>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</si>
  <si>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</si>
  <si>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</si>
  <si>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</si>
  <si>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</si>
  <si>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</si>
  <si>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</si>
  <si>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</si>
  <si>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</si>
  <si>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</si>
  <si>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</si>
  <si>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</si>
  <si>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</si>
  <si>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</si>
  <si>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Ethik</t>
  </si>
  <si>
    <t>KW 26</t>
  </si>
  <si>
    <t>KLAUSUREN!!!</t>
  </si>
  <si>
    <t>Finanzen</t>
  </si>
  <si>
    <t>Mikro</t>
  </si>
  <si>
    <t>Recht</t>
  </si>
  <si>
    <t>KW 28</t>
  </si>
  <si>
    <t>KW 16</t>
  </si>
  <si>
    <t>KW 17</t>
  </si>
  <si>
    <t>KW 18</t>
  </si>
  <si>
    <t>KW 27</t>
  </si>
  <si>
    <t>2) Angebot und Nachfrage</t>
  </si>
  <si>
    <t>3) Konsumentenverhalten</t>
  </si>
  <si>
    <t>4) Indivduelle (Markt)nachfrage</t>
  </si>
  <si>
    <t>5) Entscheidung unter Unsicherheit</t>
  </si>
  <si>
    <t>6) Produktion und Produktionskosten</t>
  </si>
  <si>
    <t>7) Wettbewerbsmärkte und Gewinnmaximierung</t>
  </si>
  <si>
    <t>8) Monopol und Monopson</t>
  </si>
  <si>
    <t>9) Monopolistischer Wettbewerb und Oligopol</t>
  </si>
  <si>
    <t>10) Externalitäten, Eigentumsrechte etc.</t>
  </si>
  <si>
    <t>1) Berechnung von Kapitalwerten</t>
  </si>
  <si>
    <t>2) Anleihen, Aktien, Investitionsplanungen</t>
  </si>
  <si>
    <t>4) Risiko und Rendite: Riskante Assets</t>
  </si>
  <si>
    <t>5) Kapitalstruktur</t>
  </si>
  <si>
    <t>6) Markteffizienz</t>
  </si>
  <si>
    <t>6) Optionen und deren Bewertung</t>
  </si>
  <si>
    <t>7) Agency Problem</t>
  </si>
  <si>
    <t>3) Risiko und Rendite: Einführung und Portfoliotheorie</t>
  </si>
  <si>
    <t>1) Allgemeine Grundlagen</t>
  </si>
  <si>
    <t>2) Marktforschung</t>
  </si>
  <si>
    <t>3) Konsumentenverhaltung</t>
  </si>
  <si>
    <t>4) Strategisches Marketing</t>
  </si>
  <si>
    <t>5) Produktpolitik</t>
  </si>
  <si>
    <t>6) Preispolitik</t>
  </si>
  <si>
    <t>7) Kommunikationspolitik</t>
  </si>
  <si>
    <t>8) Vertriebspolitik</t>
  </si>
  <si>
    <t>1) Einführung und Rechtsgeschäfte</t>
  </si>
  <si>
    <t>2) Schuldverhältnisse</t>
  </si>
  <si>
    <t>3) Schadensersatzansprüche</t>
  </si>
  <si>
    <t>4) Kaufmängelgewährleistung</t>
  </si>
  <si>
    <t>5) Haftungsrecht</t>
  </si>
  <si>
    <t>6) Grundlagen des Sachenrechts</t>
  </si>
  <si>
    <t>7) Einführung Öffentliches Recht</t>
  </si>
  <si>
    <t>8) Verfassungsrechtlicher Ordnungsrahmen</t>
  </si>
  <si>
    <t>9) Grundrechte</t>
  </si>
  <si>
    <t>10) Grundlagen Verwaltungsrecht</t>
  </si>
  <si>
    <t>1) Einführung und Menschenbilder der Ökonomik</t>
  </si>
  <si>
    <t>2) Ökonomik und Wissenschaftstheorie</t>
  </si>
  <si>
    <t>3) Methoden der Ökonomik</t>
  </si>
  <si>
    <t>4) Ökonomik und Politik</t>
  </si>
  <si>
    <t>5) Normative Ökonomik Thema 1</t>
  </si>
  <si>
    <t>6) Normative Ökonomik Thema 2</t>
  </si>
  <si>
    <t>10) Wirtschaftspolitik Thema 3</t>
  </si>
  <si>
    <t>9) Wirtschaftspolitik Thema 2</t>
  </si>
  <si>
    <t>8) Wirtschaftspolitik Thema 1</t>
  </si>
  <si>
    <t>7) Normative Ökonomik Thema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</si>
</sst>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285">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17" sqref="B17"/>
    </sheetView>
  </sheetViews>
  <sheetFormatPr baseColWidth="10" defaultRowHeight="16" x14ac:dyDescent="0.2"/>
  <cols>
    <col min="1" max="1" width="11.83203125" customWidth="1"/>
    <col min="2" max="2" width="62.6640625" customWidth="1"/>
  </cols>
  <sheetData>
    <row r="2" spans="1:4" x14ac:dyDescent="0.2">
      <c r="C2" s="18" t="s">
        <v>80</v>
      </c>
    </row>
    <row r="3" spans="1:4" x14ac:dyDescent="0.2">
      <c r="C3" s="17" t="s">
        <v>65</v>
      </c>
    </row>
    <row r="4" spans="1:4" x14ac:dyDescent="0.2">
      <c r="C4" s="16" t="s">
        <v>79</v>
      </c>
    </row>
    <row r="5" spans="1:4" x14ac:dyDescent="0.2">
      <c r="A5" s="2" t="s">
        <v>62</v>
      </c>
      <c r="B5" s="2" t="s">
        <v>63</v>
      </c>
      <c r="C5" s="2" t="s">
        <v>64</v>
      </c>
      <c r="D5" s="2" t="s">
        <v>66</v>
      </c>
    </row>
    <row r="6" spans="1:4" x14ac:dyDescent="0.2">
      <c r="A6" t="s">
        <v>58</v>
      </c>
      <c r="B6" s="18" t="s">
        <v>61</v>
      </c>
      <c r="D6" t="s">
        <v>95</v>
      </c>
    </row>
    <row r="7" spans="1:4" x14ac:dyDescent="0.2">
      <c r="A7" t="s">
        <v>69</v>
      </c>
      <c r="B7" t="s">
        <v>70</v>
      </c>
      <c r="C7" s="16">
        <f>6+8+11+7+10</f>
        <v>42</v>
      </c>
    </row>
    <row r="8" spans="1:4" x14ac:dyDescent="0.2">
      <c r="A8" t="s">
        <v>60</v>
      </c>
      <c r="B8" s="18" t="s">
        <v>59</v>
      </c>
      <c r="D8" t="s">
        <v>83</v>
      </c>
    </row>
    <row r="9" spans="1:4" x14ac:dyDescent="0.2">
      <c r="A9" t="s">
        <v>68</v>
      </c>
      <c r="B9" s="18" t="s">
        <v>81</v>
      </c>
      <c r="D9" t="s">
        <v>84</v>
      </c>
    </row>
    <row r="10" spans="1:4" x14ac:dyDescent="0.2">
      <c r="A10" t="s">
        <v>72</v>
      </c>
      <c r="B10" t="s">
        <v>71</v>
      </c>
      <c r="C10" s="16">
        <v>10.5</v>
      </c>
      <c r="D10" t="s">
        <v>67</v>
      </c>
    </row>
    <row r="11" spans="1:4" x14ac:dyDescent="0.2">
      <c r="A11" t="s">
        <v>73</v>
      </c>
      <c r="B11" t="s">
        <v>75</v>
      </c>
      <c r="C11" s="16">
        <f>42*3</f>
        <v>126</v>
      </c>
      <c r="D11" t="s">
        <v>74</v>
      </c>
    </row>
    <row r="12" spans="1:4" x14ac:dyDescent="0.2">
      <c r="A12" t="s">
        <v>77</v>
      </c>
      <c r="B12" t="s">
        <v>76</v>
      </c>
      <c r="C12" s="17">
        <f>C11/C10</f>
        <v>12</v>
      </c>
    </row>
    <row r="13" spans="1:4" x14ac:dyDescent="0.2">
      <c r="A13" t="s">
        <v>82</v>
      </c>
      <c r="B13" t="s">
        <v>78</v>
      </c>
      <c r="D13" t="s">
        <v>85</v>
      </c>
    </row>
    <row r="14" spans="1:4" x14ac:dyDescent="0.2">
      <c r="A14" t="s">
        <v>86</v>
      </c>
      <c r="B14" t="s">
        <v>87</v>
      </c>
      <c r="D14" t="s">
        <v>88</v>
      </c>
    </row>
    <row r="15" spans="1:4" x14ac:dyDescent="0.2">
      <c r="A15" t="s">
        <v>89</v>
      </c>
      <c r="B15" s="18" t="s">
        <v>90</v>
      </c>
    </row>
    <row r="16" spans="1:4" x14ac:dyDescent="0.2">
      <c r="A16" t="s">
        <v>93</v>
      </c>
      <c r="B16" s="18" t="s">
        <v>91</v>
      </c>
    </row>
    <row r="17" spans="1:2" x14ac:dyDescent="0.2">
      <c r="A17" t="s">
        <v>94</v>
      </c>
      <c r="B17" t="s">
        <v>92</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F58"/>
  <sheetViews>
    <sheetView showGridLines="0" tabSelected="1" topLeftCell="B1" zoomScale="91" zoomScaleNormal="83" workbookViewId="0">
      <pane xSplit="11" topLeftCell="M1" activePane="topRight" state="frozen"/>
      <selection pane="topRight" activeCell="BH51" sqref="BH51"/>
    </sheetView>
  </sheetViews>
  <sheetFormatPr baseColWidth="10" defaultColWidth="8.83203125" defaultRowHeight="16" outlineLevelRow="1" x14ac:dyDescent="0.2"/>
  <cols>
    <col min="1" max="1" width="0" hidden="1" customWidth="1"/>
    <col min="2" max="2" width="10" customWidth="1"/>
    <col min="3" max="3" width="11.83203125" customWidth="1"/>
    <col min="4" max="4" width="8.83203125" customWidth="1"/>
    <col min="5" max="5" width="5.1640625" customWidth="1"/>
    <col min="6" max="6" width="47.6640625" customWidth="1"/>
    <col min="7" max="7" width="15.5" hidden="1" customWidth="1"/>
    <col min="8" max="8" width="2.5" hidden="1" customWidth="1"/>
    <col min="9" max="9" width="6.6640625" hidden="1" customWidth="1"/>
    <col min="10" max="10" width="12.6640625" hidden="1" customWidth="1"/>
    <col min="11" max="11" width="4" hidden="1" customWidth="1"/>
    <col min="12" max="12" width="13"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s>
  <sheetData>
    <row r="1" spans="2:110" ht="34" x14ac:dyDescent="0.4">
      <c r="B1" s="4" t="s">
        <v>0</v>
      </c>
      <c r="D1" s="4"/>
      <c r="G1" s="13" t="s">
        <v>35</v>
      </c>
      <c r="I1" s="13" t="s">
        <v>35</v>
      </c>
      <c r="J1" s="13" t="s">
        <v>35</v>
      </c>
      <c r="K1" s="13" t="s">
        <v>35</v>
      </c>
    </row>
    <row r="2" spans="2:110" x14ac:dyDescent="0.2">
      <c r="I2" s="20" t="s">
        <v>28</v>
      </c>
      <c r="J2" s="20"/>
      <c r="K2" s="20"/>
      <c r="L2" s="20"/>
      <c r="N2" s="20" t="s">
        <v>103</v>
      </c>
      <c r="O2" s="20"/>
      <c r="P2" s="20"/>
      <c r="Q2" s="20"/>
      <c r="R2" s="20"/>
      <c r="S2" s="20"/>
      <c r="U2" s="20" t="s">
        <v>104</v>
      </c>
      <c r="V2" s="20"/>
      <c r="W2" s="20"/>
      <c r="X2" s="20"/>
      <c r="Y2" s="20"/>
      <c r="Z2" s="20"/>
      <c r="AB2" s="20" t="s">
        <v>105</v>
      </c>
      <c r="AC2" s="20"/>
      <c r="AD2" s="20"/>
      <c r="AE2" s="20"/>
      <c r="AF2" s="20"/>
      <c r="AG2" s="20"/>
      <c r="AI2" s="20" t="s">
        <v>36</v>
      </c>
      <c r="AJ2" s="20"/>
      <c r="AK2" s="20"/>
      <c r="AL2" s="20"/>
      <c r="AM2" s="20"/>
      <c r="AN2" s="20"/>
      <c r="AP2" s="20" t="s">
        <v>37</v>
      </c>
      <c r="AQ2" s="20"/>
      <c r="AR2" s="20"/>
      <c r="AS2" s="20"/>
      <c r="AT2" s="20"/>
      <c r="AU2" s="20"/>
      <c r="AW2" s="20" t="s">
        <v>38</v>
      </c>
      <c r="AX2" s="20"/>
      <c r="AY2" s="20"/>
      <c r="AZ2" s="20"/>
      <c r="BA2" s="20"/>
      <c r="BB2" s="20"/>
      <c r="BD2" s="20" t="s">
        <v>39</v>
      </c>
      <c r="BE2" s="20"/>
      <c r="BF2" s="20"/>
      <c r="BG2" s="20"/>
      <c r="BH2" s="20"/>
      <c r="BI2" s="20"/>
      <c r="BK2" s="20" t="s">
        <v>44</v>
      </c>
      <c r="BL2" s="20"/>
      <c r="BM2" s="20"/>
      <c r="BN2" s="20"/>
      <c r="BO2" s="20"/>
      <c r="BP2" s="20"/>
      <c r="BR2" s="20" t="s">
        <v>45</v>
      </c>
      <c r="BS2" s="20"/>
      <c r="BT2" s="20"/>
      <c r="BU2" s="20"/>
      <c r="BV2" s="20"/>
      <c r="BW2" s="20"/>
      <c r="BY2" s="20" t="s">
        <v>46</v>
      </c>
      <c r="BZ2" s="20"/>
      <c r="CA2" s="20"/>
      <c r="CB2" s="20"/>
      <c r="CC2" s="20"/>
      <c r="CD2" s="20"/>
      <c r="CF2" s="20" t="s">
        <v>97</v>
      </c>
      <c r="CG2" s="20"/>
      <c r="CH2" s="20"/>
      <c r="CI2" s="20"/>
      <c r="CJ2" s="20"/>
      <c r="CK2" s="20"/>
      <c r="CM2" s="20" t="s">
        <v>106</v>
      </c>
      <c r="CN2" s="20"/>
      <c r="CO2" s="20"/>
      <c r="CP2" s="20"/>
      <c r="CQ2" s="20"/>
      <c r="CR2" s="20"/>
      <c r="CT2" s="20" t="s">
        <v>102</v>
      </c>
      <c r="CU2" s="20"/>
      <c r="CV2" s="20"/>
      <c r="CW2" s="20"/>
      <c r="CX2" s="20"/>
      <c r="CY2" s="20"/>
      <c r="DA2" s="20" t="s">
        <v>98</v>
      </c>
      <c r="DB2" s="20"/>
      <c r="DC2" s="20"/>
      <c r="DD2" s="20"/>
      <c r="DE2" s="20"/>
      <c r="DF2" s="20"/>
    </row>
    <row r="3" spans="2:110" x14ac:dyDescent="0.2">
      <c r="B3" s="5" t="s">
        <v>27</v>
      </c>
      <c r="C3" s="5" t="s">
        <v>1</v>
      </c>
      <c r="D3" s="5" t="s">
        <v>25</v>
      </c>
      <c r="E3" s="6" t="s">
        <v>32</v>
      </c>
      <c r="F3" s="5" t="s">
        <v>30</v>
      </c>
      <c r="G3" s="5" t="s">
        <v>33</v>
      </c>
      <c r="I3" s="6" t="s">
        <v>12</v>
      </c>
      <c r="J3" s="6" t="s">
        <v>3</v>
      </c>
      <c r="K3" s="6" t="s">
        <v>4</v>
      </c>
      <c r="L3" s="6" t="s">
        <v>13</v>
      </c>
      <c r="N3" s="5" t="s">
        <v>12</v>
      </c>
      <c r="O3" s="5" t="s">
        <v>3</v>
      </c>
      <c r="P3" s="5" t="s">
        <v>34</v>
      </c>
      <c r="Q3" s="5" t="s">
        <v>4</v>
      </c>
      <c r="R3" s="5" t="s">
        <v>34</v>
      </c>
      <c r="S3" s="5" t="s">
        <v>13</v>
      </c>
      <c r="U3" s="5" t="s">
        <v>12</v>
      </c>
      <c r="V3" s="5" t="s">
        <v>3</v>
      </c>
      <c r="W3" s="5" t="s">
        <v>34</v>
      </c>
      <c r="X3" s="5" t="s">
        <v>4</v>
      </c>
      <c r="Y3" s="5" t="s">
        <v>34</v>
      </c>
      <c r="Z3" s="5" t="s">
        <v>13</v>
      </c>
      <c r="AB3" s="5" t="s">
        <v>12</v>
      </c>
      <c r="AC3" s="5" t="s">
        <v>3</v>
      </c>
      <c r="AD3" s="5" t="s">
        <v>34</v>
      </c>
      <c r="AE3" s="5" t="s">
        <v>4</v>
      </c>
      <c r="AF3" s="5" t="s">
        <v>34</v>
      </c>
      <c r="AG3" s="5" t="s">
        <v>13</v>
      </c>
      <c r="AI3" s="5" t="s">
        <v>12</v>
      </c>
      <c r="AJ3" s="5" t="s">
        <v>3</v>
      </c>
      <c r="AK3" s="5" t="s">
        <v>34</v>
      </c>
      <c r="AL3" s="5" t="s">
        <v>4</v>
      </c>
      <c r="AM3" s="5" t="s">
        <v>34</v>
      </c>
      <c r="AN3" s="5" t="s">
        <v>13</v>
      </c>
      <c r="AP3" s="5" t="s">
        <v>12</v>
      </c>
      <c r="AQ3" s="5" t="s">
        <v>3</v>
      </c>
      <c r="AR3" s="5" t="s">
        <v>34</v>
      </c>
      <c r="AS3" s="5" t="s">
        <v>4</v>
      </c>
      <c r="AT3" s="5" t="s">
        <v>34</v>
      </c>
      <c r="AU3" s="5" t="s">
        <v>13</v>
      </c>
      <c r="AW3" s="5" t="s">
        <v>12</v>
      </c>
      <c r="AX3" s="5" t="s">
        <v>3</v>
      </c>
      <c r="AY3" s="5" t="s">
        <v>34</v>
      </c>
      <c r="AZ3" s="5" t="s">
        <v>4</v>
      </c>
      <c r="BA3" s="5" t="s">
        <v>34</v>
      </c>
      <c r="BB3" s="5" t="s">
        <v>13</v>
      </c>
      <c r="BD3" s="5" t="s">
        <v>12</v>
      </c>
      <c r="BE3" s="5" t="s">
        <v>3</v>
      </c>
      <c r="BF3" s="5" t="s">
        <v>34</v>
      </c>
      <c r="BG3" s="5" t="s">
        <v>4</v>
      </c>
      <c r="BH3" s="5" t="s">
        <v>34</v>
      </c>
      <c r="BI3" s="5" t="s">
        <v>13</v>
      </c>
      <c r="BK3" s="5" t="s">
        <v>12</v>
      </c>
      <c r="BL3" s="5" t="s">
        <v>3</v>
      </c>
      <c r="BM3" s="5" t="s">
        <v>34</v>
      </c>
      <c r="BN3" s="5" t="s">
        <v>4</v>
      </c>
      <c r="BO3" s="5" t="s">
        <v>34</v>
      </c>
      <c r="BP3" s="5" t="s">
        <v>13</v>
      </c>
      <c r="BR3" s="5" t="s">
        <v>12</v>
      </c>
      <c r="BS3" s="5" t="s">
        <v>3</v>
      </c>
      <c r="BT3" s="5" t="s">
        <v>34</v>
      </c>
      <c r="BU3" s="5" t="s">
        <v>4</v>
      </c>
      <c r="BV3" s="5" t="s">
        <v>34</v>
      </c>
      <c r="BW3" s="5" t="s">
        <v>13</v>
      </c>
      <c r="BY3" s="5" t="s">
        <v>12</v>
      </c>
      <c r="BZ3" s="5" t="s">
        <v>3</v>
      </c>
      <c r="CA3" s="5" t="s">
        <v>34</v>
      </c>
      <c r="CB3" s="5" t="s">
        <v>4</v>
      </c>
      <c r="CC3" s="5" t="s">
        <v>34</v>
      </c>
      <c r="CD3" s="5" t="s">
        <v>13</v>
      </c>
      <c r="CF3" s="5" t="s">
        <v>12</v>
      </c>
      <c r="CG3" s="5" t="s">
        <v>3</v>
      </c>
      <c r="CH3" s="5" t="s">
        <v>34</v>
      </c>
      <c r="CI3" s="5" t="s">
        <v>4</v>
      </c>
      <c r="CJ3" s="5" t="s">
        <v>34</v>
      </c>
      <c r="CK3" s="5" t="s">
        <v>13</v>
      </c>
      <c r="CM3" s="5" t="s">
        <v>12</v>
      </c>
      <c r="CN3" s="5" t="s">
        <v>3</v>
      </c>
      <c r="CO3" s="5" t="s">
        <v>34</v>
      </c>
      <c r="CP3" s="5" t="s">
        <v>4</v>
      </c>
      <c r="CQ3" s="5" t="s">
        <v>34</v>
      </c>
      <c r="CR3" s="5" t="s">
        <v>13</v>
      </c>
      <c r="CT3" s="5" t="s">
        <v>12</v>
      </c>
      <c r="CU3" s="5" t="s">
        <v>3</v>
      </c>
      <c r="CV3" s="5" t="s">
        <v>34</v>
      </c>
      <c r="CW3" s="5" t="s">
        <v>4</v>
      </c>
      <c r="CX3" s="5" t="s">
        <v>34</v>
      </c>
      <c r="CY3" s="5" t="s">
        <v>13</v>
      </c>
      <c r="DA3" s="5" t="s">
        <v>12</v>
      </c>
      <c r="DB3" s="5" t="s">
        <v>3</v>
      </c>
      <c r="DC3" s="5" t="s">
        <v>34</v>
      </c>
      <c r="DD3" s="5" t="s">
        <v>4</v>
      </c>
      <c r="DE3" s="5" t="s">
        <v>34</v>
      </c>
      <c r="DF3" s="5" t="s">
        <v>13</v>
      </c>
    </row>
    <row r="4" spans="2:110" x14ac:dyDescent="0.2">
      <c r="B4" t="s">
        <v>28</v>
      </c>
      <c r="C4" t="s">
        <v>100</v>
      </c>
      <c r="D4" s="19">
        <v>45126</v>
      </c>
      <c r="E4" s="9">
        <v>10</v>
      </c>
      <c r="G4" s="10">
        <f>+SUM(G5:G14)</f>
        <v>0.6</v>
      </c>
      <c r="I4" s="12">
        <f>+SUM(I5:I14)</f>
        <v>90</v>
      </c>
      <c r="J4" s="11">
        <f>+SUMPRODUCT(G5:G14,J5:J14)</f>
        <v>0</v>
      </c>
      <c r="K4" s="11">
        <f>+SUMPRODUCT(G5:G14,K5:K14)</f>
        <v>0</v>
      </c>
      <c r="L4" s="9"/>
      <c r="N4" s="12">
        <f>+SUM(N5:N14)</f>
        <v>9</v>
      </c>
      <c r="U4" s="12">
        <f>+SUM(U5:U14)</f>
        <v>12</v>
      </c>
      <c r="AB4" s="12">
        <f>+SUM(AB5:AB14)</f>
        <v>9</v>
      </c>
      <c r="AI4" s="12">
        <f>+SUM(AI5:AI14)</f>
        <v>12</v>
      </c>
      <c r="AP4" s="12">
        <f>+SUM(AP5:AP14)</f>
        <v>9</v>
      </c>
      <c r="AW4" s="12">
        <f>+SUM(AW5:AW14)</f>
        <v>12</v>
      </c>
      <c r="BD4" s="12">
        <f>+SUM(BD5:BD14)</f>
        <v>9</v>
      </c>
      <c r="BK4" s="12">
        <f>+SUM(BK5:BK14)</f>
        <v>9</v>
      </c>
      <c r="BR4" s="12">
        <f>+SUM(BR5:BR14)</f>
        <v>9</v>
      </c>
      <c r="BY4" s="12">
        <f>+SUM(BY5:BY14)</f>
        <v>0</v>
      </c>
      <c r="CF4" s="12">
        <f>+SUM(CF5:CF14)</f>
        <v>0</v>
      </c>
      <c r="CM4" s="12">
        <f>+SUM(CM5:CM14)</f>
        <v>0</v>
      </c>
      <c r="CT4" s="12">
        <f>+SUM(CT5:CT14)</f>
        <v>0</v>
      </c>
      <c r="DA4" s="12">
        <f>+SUM(DA5:DA14)</f>
        <v>0</v>
      </c>
    </row>
    <row r="5" spans="2:110" outlineLevel="1" x14ac:dyDescent="0.2">
      <c r="B5" t="s">
        <v>29</v>
      </c>
      <c r="C5" t="s">
        <v>100</v>
      </c>
      <c r="E5" s="9"/>
      <c r="F5" t="s">
        <v>31</v>
      </c>
      <c r="G5" s="10">
        <v>0.1</v>
      </c>
      <c r="I5" s="9">
        <f>+SUMIF($N$3:$ZZ$3,I$3,$N5:$ZZ5)</f>
        <v>9</v>
      </c>
      <c r="J5" s="11" cm="1">
        <f t="array" ref="J5">MAX(IF($N$3:$EH$3=$J$3,N5:EH5))</f>
        <v>0</v>
      </c>
      <c r="K5" s="11" cm="1">
        <f t="array" ref="K5">MAX(IF($N$3:$EH$3=$J$3,N5:EH5))</f>
        <v>0</v>
      </c>
      <c r="L5" s="9"/>
      <c r="N5">
        <v>3</v>
      </c>
      <c r="O5" s="10"/>
      <c r="P5" s="10">
        <v>0.5</v>
      </c>
      <c r="Q5" s="10"/>
      <c r="R5" s="10">
        <v>0.5</v>
      </c>
      <c r="V5" s="10"/>
      <c r="W5" s="10">
        <v>0.5</v>
      </c>
      <c r="X5" s="10"/>
      <c r="Y5" s="10">
        <v>0.5</v>
      </c>
      <c r="AB5">
        <v>3</v>
      </c>
      <c r="AC5" s="10"/>
      <c r="AD5" s="10">
        <v>0.8</v>
      </c>
      <c r="AE5" s="10"/>
      <c r="AF5" s="10">
        <v>0.8</v>
      </c>
      <c r="AJ5" s="10"/>
      <c r="AK5" s="10">
        <v>0.8</v>
      </c>
      <c r="AL5" s="10"/>
      <c r="AM5" s="10">
        <v>0.8</v>
      </c>
      <c r="AQ5" s="10"/>
      <c r="AR5" s="10">
        <v>0.8</v>
      </c>
      <c r="AS5" s="10"/>
      <c r="AT5" s="10">
        <v>0.8</v>
      </c>
      <c r="AW5">
        <v>3</v>
      </c>
      <c r="AX5" s="10"/>
      <c r="AY5" s="10">
        <v>1</v>
      </c>
      <c r="AZ5" s="10"/>
      <c r="BA5" s="10">
        <v>1</v>
      </c>
      <c r="BE5" s="10"/>
      <c r="BF5" s="10">
        <v>1</v>
      </c>
      <c r="BG5" s="10"/>
      <c r="BH5" s="10">
        <v>1</v>
      </c>
      <c r="BL5" s="10"/>
      <c r="BM5" s="10">
        <v>1</v>
      </c>
      <c r="BN5" s="10"/>
      <c r="BO5" s="10">
        <v>1</v>
      </c>
      <c r="BS5" s="10"/>
      <c r="BT5" s="10">
        <v>1</v>
      </c>
      <c r="BU5" s="10"/>
      <c r="BV5" s="10">
        <v>1</v>
      </c>
      <c r="BZ5" s="10"/>
      <c r="CA5" s="10"/>
      <c r="CB5" s="10"/>
      <c r="CC5" s="10"/>
      <c r="CG5" s="10"/>
      <c r="CH5" s="10"/>
      <c r="CI5" s="10"/>
      <c r="CJ5" s="10"/>
      <c r="CN5" s="10"/>
      <c r="CO5" s="10"/>
      <c r="CP5" s="10"/>
      <c r="CQ5" s="10"/>
      <c r="CU5" s="10"/>
      <c r="CV5" s="10"/>
      <c r="CW5" s="10"/>
      <c r="CX5" s="10"/>
      <c r="DB5" s="10"/>
      <c r="DC5" s="10"/>
      <c r="DD5" s="10"/>
      <c r="DE5" s="10"/>
    </row>
    <row r="6" spans="2:110" outlineLevel="1" x14ac:dyDescent="0.2">
      <c r="B6" t="s">
        <v>29</v>
      </c>
      <c r="C6" t="s">
        <v>100</v>
      </c>
      <c r="E6" s="9"/>
      <c r="F6" t="s">
        <v>107</v>
      </c>
      <c r="G6" s="10">
        <v>0.05</v>
      </c>
      <c r="I6" s="9">
        <f t="shared" ref="I6:I14" si="0">+SUMIF($N$3:$ZZ$3,I$3,$N6:$ZZ6)</f>
        <v>9</v>
      </c>
      <c r="J6" s="11" cm="1">
        <f t="array" ref="J6">MAX(IF($N$3:$EH$3=$J$3,N6:EH6))</f>
        <v>0</v>
      </c>
      <c r="K6" s="11" cm="1">
        <f t="array" ref="K6">MAX(IF($N$3:$EH$3=$J$3,N6:EH6))</f>
        <v>0</v>
      </c>
      <c r="L6" s="9"/>
      <c r="N6">
        <v>3</v>
      </c>
      <c r="O6" s="10"/>
      <c r="P6" s="10">
        <v>0.5</v>
      </c>
      <c r="Q6" s="10"/>
      <c r="R6" s="10">
        <v>0.5</v>
      </c>
      <c r="V6" s="10"/>
      <c r="W6" s="10">
        <v>0.5</v>
      </c>
      <c r="X6" s="10"/>
      <c r="Y6" s="10">
        <v>0.5</v>
      </c>
      <c r="AB6">
        <v>3</v>
      </c>
      <c r="AC6" s="10"/>
      <c r="AD6" s="10">
        <v>0.8</v>
      </c>
      <c r="AE6" s="10"/>
      <c r="AF6" s="10">
        <v>0.8</v>
      </c>
      <c r="AJ6" s="10"/>
      <c r="AK6" s="10">
        <v>0.8</v>
      </c>
      <c r="AL6" s="10"/>
      <c r="AM6" s="10">
        <v>0.8</v>
      </c>
      <c r="AQ6" s="10"/>
      <c r="AR6" s="10">
        <v>0.8</v>
      </c>
      <c r="AS6" s="10"/>
      <c r="AT6" s="10">
        <v>0.8</v>
      </c>
      <c r="AW6">
        <v>3</v>
      </c>
      <c r="AX6" s="10"/>
      <c r="AY6" s="10">
        <v>1</v>
      </c>
      <c r="AZ6" s="10"/>
      <c r="BA6" s="10">
        <v>1</v>
      </c>
      <c r="BE6" s="10"/>
      <c r="BF6" s="10">
        <v>1</v>
      </c>
      <c r="BG6" s="10"/>
      <c r="BH6" s="10">
        <v>1</v>
      </c>
      <c r="BL6" s="10"/>
      <c r="BM6" s="10">
        <v>1</v>
      </c>
      <c r="BN6" s="10"/>
      <c r="BO6" s="10">
        <v>1</v>
      </c>
      <c r="BS6" s="10"/>
      <c r="BT6" s="10">
        <v>1</v>
      </c>
      <c r="BU6" s="10"/>
      <c r="BV6" s="10">
        <v>1</v>
      </c>
      <c r="BZ6" s="10"/>
      <c r="CA6" s="10"/>
      <c r="CB6" s="10"/>
      <c r="CC6" s="10"/>
      <c r="CG6" s="10"/>
      <c r="CH6" s="10"/>
      <c r="CI6" s="10"/>
      <c r="CJ6" s="10"/>
      <c r="CN6" s="10"/>
      <c r="CO6" s="10"/>
      <c r="CP6" s="10"/>
      <c r="CQ6" s="10"/>
      <c r="CU6" s="10"/>
      <c r="CV6" s="10"/>
      <c r="CW6" s="10"/>
      <c r="CX6" s="10"/>
      <c r="DB6" s="10"/>
      <c r="DC6" s="10"/>
      <c r="DD6" s="10"/>
      <c r="DE6" s="10"/>
    </row>
    <row r="7" spans="2:110" outlineLevel="1" x14ac:dyDescent="0.2">
      <c r="B7" t="s">
        <v>29</v>
      </c>
      <c r="C7" t="s">
        <v>100</v>
      </c>
      <c r="E7" s="9"/>
      <c r="F7" t="s">
        <v>108</v>
      </c>
      <c r="G7" s="10">
        <v>0.05</v>
      </c>
      <c r="I7" s="9">
        <f t="shared" si="0"/>
        <v>9</v>
      </c>
      <c r="J7" s="11" cm="1">
        <f t="array" ref="J7">MAX(IF($N$3:$EH$3=$J$3,N7:EH7))</f>
        <v>0</v>
      </c>
      <c r="K7" s="11" cm="1">
        <f t="array" ref="K7">MAX(IF($N$3:$EH$3=$J$3,N7:EH7))</f>
        <v>0</v>
      </c>
      <c r="L7" s="9"/>
      <c r="N7">
        <v>3</v>
      </c>
      <c r="O7" s="10"/>
      <c r="P7" s="10">
        <v>0.5</v>
      </c>
      <c r="Q7" s="10"/>
      <c r="R7" s="10">
        <v>0.5</v>
      </c>
      <c r="V7" s="10"/>
      <c r="W7" s="10">
        <v>0.5</v>
      </c>
      <c r="X7" s="10"/>
      <c r="Y7" s="10">
        <v>0.5</v>
      </c>
      <c r="AC7" s="10"/>
      <c r="AD7" s="10">
        <v>0.5</v>
      </c>
      <c r="AE7" s="10"/>
      <c r="AF7" s="10">
        <v>0.5</v>
      </c>
      <c r="AI7">
        <v>3</v>
      </c>
      <c r="AJ7" s="10"/>
      <c r="AK7" s="10">
        <v>0.8</v>
      </c>
      <c r="AL7" s="10"/>
      <c r="AM7" s="10">
        <v>0.8</v>
      </c>
      <c r="AQ7" s="10"/>
      <c r="AR7" s="10">
        <v>0.8</v>
      </c>
      <c r="AS7" s="10"/>
      <c r="AT7" s="10">
        <v>0.8</v>
      </c>
      <c r="AX7" s="10"/>
      <c r="AY7" s="10">
        <v>0.8</v>
      </c>
      <c r="AZ7" s="10"/>
      <c r="BA7" s="10">
        <v>0.8</v>
      </c>
      <c r="BD7">
        <v>3</v>
      </c>
      <c r="BE7" s="10"/>
      <c r="BF7" s="10">
        <v>1</v>
      </c>
      <c r="BG7" s="10"/>
      <c r="BH7" s="10">
        <v>1</v>
      </c>
      <c r="BL7" s="10"/>
      <c r="BM7" s="10">
        <v>1</v>
      </c>
      <c r="BN7" s="10"/>
      <c r="BO7" s="10">
        <v>1</v>
      </c>
      <c r="BS7" s="10"/>
      <c r="BT7" s="10">
        <v>1</v>
      </c>
      <c r="BU7" s="10"/>
      <c r="BV7" s="10">
        <v>1</v>
      </c>
      <c r="BZ7" s="10"/>
      <c r="CA7" s="10"/>
      <c r="CB7" s="10"/>
      <c r="CC7" s="10"/>
      <c r="CG7" s="10"/>
      <c r="CH7" s="10"/>
      <c r="CI7" s="10"/>
      <c r="CJ7" s="10"/>
      <c r="CN7" s="10"/>
      <c r="CO7" s="10"/>
      <c r="CP7" s="10"/>
      <c r="CQ7" s="10"/>
      <c r="CU7" s="10"/>
      <c r="CV7" s="10"/>
      <c r="CW7" s="10"/>
      <c r="CX7" s="10"/>
      <c r="DB7" s="10"/>
      <c r="DC7" s="10"/>
      <c r="DD7" s="10"/>
      <c r="DE7" s="10"/>
    </row>
    <row r="8" spans="2:110" outlineLevel="1" x14ac:dyDescent="0.2">
      <c r="B8" t="s">
        <v>29</v>
      </c>
      <c r="C8" t="s">
        <v>100</v>
      </c>
      <c r="E8" s="9"/>
      <c r="F8" t="s">
        <v>109</v>
      </c>
      <c r="G8" s="10">
        <v>0.05</v>
      </c>
      <c r="I8" s="9">
        <f t="shared" si="0"/>
        <v>9</v>
      </c>
      <c r="J8" s="11" cm="1">
        <f t="array" ref="J8">MAX(IF($N$3:$EH$3=$J$3,N8:EH8))</f>
        <v>0</v>
      </c>
      <c r="K8" s="11" cm="1">
        <f t="array" ref="K8">MAX(IF($N$3:$EH$3=$J$3,N8:EH8))</f>
        <v>0</v>
      </c>
      <c r="L8" s="9"/>
      <c r="O8" s="10"/>
      <c r="P8" s="10"/>
      <c r="Q8" s="10"/>
      <c r="R8" s="10"/>
      <c r="U8">
        <v>3</v>
      </c>
      <c r="V8" s="10"/>
      <c r="W8" s="10">
        <v>0.5</v>
      </c>
      <c r="X8" s="10"/>
      <c r="Y8" s="10">
        <v>0.5</v>
      </c>
      <c r="AC8" s="10"/>
      <c r="AD8" s="10">
        <v>0.5</v>
      </c>
      <c r="AE8" s="10"/>
      <c r="AF8" s="10">
        <v>0.5</v>
      </c>
      <c r="AI8">
        <v>3</v>
      </c>
      <c r="AJ8" s="10"/>
      <c r="AK8" s="10">
        <v>0.8</v>
      </c>
      <c r="AL8" s="10"/>
      <c r="AM8" s="10">
        <v>0.8</v>
      </c>
      <c r="AQ8" s="10"/>
      <c r="AR8" s="10">
        <v>0.8</v>
      </c>
      <c r="AS8" s="10"/>
      <c r="AT8" s="10">
        <v>0.8</v>
      </c>
      <c r="AX8" s="10"/>
      <c r="AY8" s="10">
        <v>0.8</v>
      </c>
      <c r="AZ8" s="10"/>
      <c r="BA8" s="10">
        <v>0.8</v>
      </c>
      <c r="BD8">
        <v>3</v>
      </c>
      <c r="BE8" s="10"/>
      <c r="BF8" s="10">
        <v>1</v>
      </c>
      <c r="BG8" s="10"/>
      <c r="BH8" s="10">
        <v>1</v>
      </c>
      <c r="BL8" s="10"/>
      <c r="BM8" s="10">
        <v>1</v>
      </c>
      <c r="BN8" s="10"/>
      <c r="BO8" s="10">
        <v>1</v>
      </c>
      <c r="BS8" s="10"/>
      <c r="BT8" s="10">
        <v>1</v>
      </c>
      <c r="BU8" s="10"/>
      <c r="BV8" s="10">
        <v>1</v>
      </c>
      <c r="BZ8" s="10"/>
      <c r="CA8" s="10"/>
      <c r="CB8" s="10"/>
      <c r="CC8" s="10"/>
      <c r="CG8" s="10"/>
      <c r="CH8" s="10"/>
      <c r="CI8" s="10"/>
      <c r="CJ8" s="10"/>
      <c r="CN8" s="10"/>
      <c r="CO8" s="10"/>
      <c r="CP8" s="10"/>
      <c r="CQ8" s="10"/>
      <c r="CU8" s="10"/>
      <c r="CV8" s="10"/>
      <c r="CW8" s="10"/>
      <c r="CX8" s="10"/>
      <c r="DB8" s="10"/>
      <c r="DC8" s="10"/>
      <c r="DD8" s="10"/>
      <c r="DE8" s="10"/>
    </row>
    <row r="9" spans="2:110" outlineLevel="1" x14ac:dyDescent="0.2">
      <c r="B9" t="s">
        <v>29</v>
      </c>
      <c r="C9" t="s">
        <v>100</v>
      </c>
      <c r="E9" s="9"/>
      <c r="F9" t="s">
        <v>110</v>
      </c>
      <c r="G9" s="10">
        <v>0.05</v>
      </c>
      <c r="I9" s="9">
        <f t="shared" si="0"/>
        <v>9</v>
      </c>
      <c r="J9" s="11" cm="1">
        <f t="array" ref="J9">MAX(IF($N$3:$EH$3=$J$3,N9:EH9))</f>
        <v>0</v>
      </c>
      <c r="K9" s="11" cm="1">
        <f t="array" ref="K9">MAX(IF($N$3:$EH$3=$J$3,N9:EH9))</f>
        <v>0</v>
      </c>
      <c r="L9" s="9"/>
      <c r="O9" s="10"/>
      <c r="P9" s="10"/>
      <c r="Q9" s="10"/>
      <c r="R9" s="10"/>
      <c r="U9">
        <v>3</v>
      </c>
      <c r="V9" s="10"/>
      <c r="W9" s="10">
        <v>0.5</v>
      </c>
      <c r="X9" s="10"/>
      <c r="Y9" s="10">
        <v>0.5</v>
      </c>
      <c r="AC9" s="10"/>
      <c r="AD9" s="10">
        <v>0.5</v>
      </c>
      <c r="AE9" s="10"/>
      <c r="AF9" s="10">
        <v>0.5</v>
      </c>
      <c r="AJ9" s="10"/>
      <c r="AK9" s="10">
        <v>0.5</v>
      </c>
      <c r="AL9" s="10"/>
      <c r="AM9" s="10">
        <v>0.5</v>
      </c>
      <c r="AP9">
        <v>3</v>
      </c>
      <c r="AQ9" s="10"/>
      <c r="AR9" s="10">
        <v>0.8</v>
      </c>
      <c r="AS9" s="10"/>
      <c r="AT9" s="10">
        <v>0.8</v>
      </c>
      <c r="AX9" s="10"/>
      <c r="AY9" s="10">
        <v>0.8</v>
      </c>
      <c r="AZ9" s="10"/>
      <c r="BA9" s="10">
        <v>0.8</v>
      </c>
      <c r="BE9" s="10"/>
      <c r="BF9" s="10">
        <v>0.8</v>
      </c>
      <c r="BG9" s="10"/>
      <c r="BH9" s="10">
        <v>0.8</v>
      </c>
      <c r="BK9">
        <v>3</v>
      </c>
      <c r="BL9" s="10"/>
      <c r="BM9" s="10">
        <v>1</v>
      </c>
      <c r="BN9" s="10"/>
      <c r="BO9" s="10">
        <v>1</v>
      </c>
      <c r="BS9" s="10"/>
      <c r="BT9" s="10">
        <v>1</v>
      </c>
      <c r="BU9" s="10"/>
      <c r="BV9" s="10">
        <v>1</v>
      </c>
      <c r="BZ9" s="10"/>
      <c r="CA9" s="10"/>
      <c r="CB9" s="10"/>
      <c r="CC9" s="10"/>
      <c r="CG9" s="10"/>
      <c r="CH9" s="10"/>
      <c r="CI9" s="10"/>
      <c r="CJ9" s="10"/>
      <c r="CN9" s="10"/>
      <c r="CO9" s="10"/>
      <c r="CP9" s="10"/>
      <c r="CQ9" s="10"/>
      <c r="CU9" s="10"/>
      <c r="CV9" s="10"/>
      <c r="CW9" s="10"/>
      <c r="CX9" s="10"/>
      <c r="DB9" s="10"/>
      <c r="DC9" s="10"/>
      <c r="DD9" s="10"/>
      <c r="DE9" s="10"/>
    </row>
    <row r="10" spans="2:110" outlineLevel="1" x14ac:dyDescent="0.2">
      <c r="B10" t="s">
        <v>29</v>
      </c>
      <c r="C10" t="s">
        <v>100</v>
      </c>
      <c r="E10" s="9"/>
      <c r="F10" t="s">
        <v>111</v>
      </c>
      <c r="G10" s="10">
        <v>0.05</v>
      </c>
      <c r="I10" s="9">
        <f t="shared" si="0"/>
        <v>9</v>
      </c>
      <c r="J10" s="11" cm="1">
        <f t="array" ref="J10">MAX(IF($N$3:$EH$3=$J$3,N10:EH10))</f>
        <v>0</v>
      </c>
      <c r="K10" s="11" cm="1">
        <f t="array" ref="K10">MAX(IF($N$3:$EH$3=$J$3,N10:EH10))</f>
        <v>0</v>
      </c>
      <c r="L10" s="9"/>
      <c r="O10" s="10"/>
      <c r="P10" s="10"/>
      <c r="Q10" s="10"/>
      <c r="R10" s="10"/>
      <c r="U10">
        <v>3</v>
      </c>
      <c r="V10" s="10"/>
      <c r="W10" s="10">
        <v>0.5</v>
      </c>
      <c r="X10" s="10"/>
      <c r="Y10" s="10">
        <v>0.5</v>
      </c>
      <c r="AC10" s="10"/>
      <c r="AD10" s="10">
        <v>0.5</v>
      </c>
      <c r="AE10" s="10"/>
      <c r="AF10" s="10">
        <v>0.5</v>
      </c>
      <c r="AJ10" s="10"/>
      <c r="AK10" s="10">
        <v>0.5</v>
      </c>
      <c r="AL10" s="10"/>
      <c r="AM10" s="10">
        <v>0.5</v>
      </c>
      <c r="AP10">
        <v>3</v>
      </c>
      <c r="AQ10" s="10"/>
      <c r="AR10" s="10">
        <v>0.8</v>
      </c>
      <c r="AS10" s="10"/>
      <c r="AT10" s="10">
        <v>0.8</v>
      </c>
      <c r="AX10" s="10"/>
      <c r="AY10" s="10">
        <v>0.8</v>
      </c>
      <c r="AZ10" s="10"/>
      <c r="BA10" s="10">
        <v>0.8</v>
      </c>
      <c r="BE10" s="10"/>
      <c r="BF10" s="10">
        <v>0.8</v>
      </c>
      <c r="BG10" s="10"/>
      <c r="BH10" s="10">
        <v>0.8</v>
      </c>
      <c r="BK10">
        <v>3</v>
      </c>
      <c r="BL10" s="10"/>
      <c r="BM10" s="10">
        <v>1</v>
      </c>
      <c r="BN10" s="10"/>
      <c r="BO10" s="10">
        <v>1</v>
      </c>
      <c r="BS10" s="10"/>
      <c r="BT10" s="10">
        <v>1</v>
      </c>
      <c r="BU10" s="10"/>
      <c r="BV10" s="10">
        <v>1</v>
      </c>
      <c r="BZ10" s="10"/>
      <c r="CA10" s="10"/>
      <c r="CB10" s="10"/>
      <c r="CC10" s="10"/>
      <c r="CG10" s="10"/>
      <c r="CH10" s="10"/>
      <c r="CI10" s="10"/>
      <c r="CJ10" s="10"/>
      <c r="CN10" s="10"/>
      <c r="CO10" s="10"/>
      <c r="CP10" s="10"/>
      <c r="CQ10" s="10"/>
      <c r="CU10" s="10"/>
      <c r="CV10" s="10"/>
      <c r="CW10" s="10"/>
      <c r="CX10" s="10"/>
      <c r="DB10" s="10"/>
      <c r="DC10" s="10"/>
      <c r="DD10" s="10"/>
      <c r="DE10" s="10"/>
    </row>
    <row r="11" spans="2:110" outlineLevel="1" x14ac:dyDescent="0.2">
      <c r="B11" t="s">
        <v>29</v>
      </c>
      <c r="C11" t="s">
        <v>100</v>
      </c>
      <c r="E11" s="9"/>
      <c r="F11" t="s">
        <v>112</v>
      </c>
      <c r="G11" s="10">
        <v>0.05</v>
      </c>
      <c r="I11" s="9">
        <f t="shared" si="0"/>
        <v>9</v>
      </c>
      <c r="J11" s="11" cm="1">
        <f t="array" ref="J11">MAX(IF($N$3:$EH$3=$J$3,N11:EH11))</f>
        <v>0</v>
      </c>
      <c r="K11" s="11" cm="1">
        <f t="array" ref="K11">MAX(IF($N$3:$EH$3=$J$3,N11:EH11))</f>
        <v>0</v>
      </c>
      <c r="L11" s="9"/>
      <c r="O11" s="10"/>
      <c r="P11" s="10"/>
      <c r="Q11" s="10"/>
      <c r="R11" s="10"/>
      <c r="U11">
        <v>3</v>
      </c>
      <c r="V11" s="10"/>
      <c r="W11" s="10">
        <v>0.5</v>
      </c>
      <c r="X11" s="10"/>
      <c r="Y11" s="10">
        <v>0.5</v>
      </c>
      <c r="AC11" s="10"/>
      <c r="AD11" s="10">
        <v>0.5</v>
      </c>
      <c r="AE11" s="10"/>
      <c r="AF11" s="10">
        <v>0.5</v>
      </c>
      <c r="AJ11" s="10"/>
      <c r="AK11" s="10">
        <v>0.5</v>
      </c>
      <c r="AL11" s="10"/>
      <c r="AM11" s="10">
        <v>0.5</v>
      </c>
      <c r="AP11">
        <v>3</v>
      </c>
      <c r="AQ11" s="10"/>
      <c r="AR11" s="10">
        <v>0.8</v>
      </c>
      <c r="AS11" s="10"/>
      <c r="AT11" s="10">
        <v>0.8</v>
      </c>
      <c r="AX11" s="10"/>
      <c r="AY11" s="10">
        <v>0.8</v>
      </c>
      <c r="AZ11" s="10"/>
      <c r="BA11" s="10">
        <v>0.8</v>
      </c>
      <c r="BE11" s="10"/>
      <c r="BF11" s="10">
        <v>0.8</v>
      </c>
      <c r="BG11" s="10"/>
      <c r="BH11" s="10">
        <v>0.8</v>
      </c>
      <c r="BK11">
        <v>3</v>
      </c>
      <c r="BL11" s="10"/>
      <c r="BM11" s="10">
        <v>1</v>
      </c>
      <c r="BN11" s="10"/>
      <c r="BO11" s="10">
        <v>1</v>
      </c>
      <c r="BS11" s="10"/>
      <c r="BT11" s="10">
        <v>1</v>
      </c>
      <c r="BU11" s="10"/>
      <c r="BV11" s="10">
        <v>1</v>
      </c>
      <c r="BZ11" s="10"/>
      <c r="CA11" s="10"/>
      <c r="CB11" s="10"/>
      <c r="CC11" s="10"/>
      <c r="CG11" s="10"/>
      <c r="CH11" s="10"/>
      <c r="CI11" s="10"/>
      <c r="CJ11" s="10"/>
      <c r="CN11" s="10"/>
      <c r="CO11" s="10"/>
      <c r="CP11" s="10"/>
      <c r="CQ11" s="10"/>
      <c r="CU11" s="10"/>
      <c r="CV11" s="10"/>
      <c r="CW11" s="10"/>
      <c r="CX11" s="10"/>
      <c r="DB11" s="10"/>
      <c r="DC11" s="10"/>
      <c r="DD11" s="10"/>
      <c r="DE11" s="10"/>
    </row>
    <row r="12" spans="2:110" outlineLevel="1" x14ac:dyDescent="0.2">
      <c r="B12" t="s">
        <v>29</v>
      </c>
      <c r="C12" t="s">
        <v>100</v>
      </c>
      <c r="E12" s="9"/>
      <c r="F12" t="s">
        <v>113</v>
      </c>
      <c r="G12" s="10">
        <v>0.05</v>
      </c>
      <c r="I12" s="9">
        <f t="shared" si="0"/>
        <v>9</v>
      </c>
      <c r="J12" s="11" cm="1">
        <f t="array" ref="J12">MAX(IF($N$3:$EH$3=$J$3,N12:EH12))</f>
        <v>0</v>
      </c>
      <c r="K12" s="11" cm="1">
        <f t="array" ref="K12">MAX(IF($N$3:$EH$3=$J$3,N12:EH12))</f>
        <v>0</v>
      </c>
      <c r="L12" s="9"/>
      <c r="O12" s="10"/>
      <c r="P12" s="10"/>
      <c r="Q12" s="10"/>
      <c r="R12" s="10"/>
      <c r="V12" s="10"/>
      <c r="W12" s="10"/>
      <c r="X12" s="10"/>
      <c r="Y12" s="10"/>
      <c r="AB12">
        <v>3</v>
      </c>
      <c r="AC12" s="10"/>
      <c r="AD12" s="10">
        <v>0.5</v>
      </c>
      <c r="AE12" s="10"/>
      <c r="AF12" s="10">
        <v>0.5</v>
      </c>
      <c r="AJ12" s="10"/>
      <c r="AK12" s="10">
        <v>0.5</v>
      </c>
      <c r="AL12" s="10"/>
      <c r="AM12" s="10">
        <v>0.5</v>
      </c>
      <c r="AQ12" s="10"/>
      <c r="AR12" s="10">
        <v>0.5</v>
      </c>
      <c r="AS12" s="10"/>
      <c r="AT12" s="10">
        <v>0.5</v>
      </c>
      <c r="AW12">
        <v>3</v>
      </c>
      <c r="AX12" s="10"/>
      <c r="AY12" s="10">
        <v>0.8</v>
      </c>
      <c r="AZ12" s="10"/>
      <c r="BA12" s="10">
        <v>0.8</v>
      </c>
      <c r="BE12" s="10"/>
      <c r="BF12" s="10">
        <v>0.8</v>
      </c>
      <c r="BG12" s="10"/>
      <c r="BH12" s="10">
        <v>0.8</v>
      </c>
      <c r="BL12" s="10"/>
      <c r="BM12" s="10">
        <v>0.8</v>
      </c>
      <c r="BN12" s="10"/>
      <c r="BO12" s="10">
        <v>0.8</v>
      </c>
      <c r="BR12">
        <v>3</v>
      </c>
      <c r="BS12" s="10"/>
      <c r="BT12" s="10">
        <v>1</v>
      </c>
      <c r="BU12" s="10"/>
      <c r="BV12" s="10">
        <v>1</v>
      </c>
      <c r="BZ12" s="10"/>
      <c r="CA12" s="10"/>
      <c r="CB12" s="10"/>
      <c r="CC12" s="10"/>
      <c r="CG12" s="10"/>
      <c r="CH12" s="10"/>
      <c r="CI12" s="10"/>
      <c r="CJ12" s="10"/>
      <c r="CN12" s="10"/>
      <c r="CO12" s="10"/>
      <c r="CP12" s="10"/>
      <c r="CQ12" s="10"/>
      <c r="CU12" s="10"/>
      <c r="CV12" s="10"/>
      <c r="CW12" s="10"/>
      <c r="CX12" s="10"/>
      <c r="DB12" s="10"/>
      <c r="DC12" s="10"/>
      <c r="DD12" s="10"/>
      <c r="DE12" s="10"/>
    </row>
    <row r="13" spans="2:110" outlineLevel="1" x14ac:dyDescent="0.2">
      <c r="B13" t="s">
        <v>29</v>
      </c>
      <c r="C13" t="s">
        <v>100</v>
      </c>
      <c r="E13" s="9"/>
      <c r="F13" t="s">
        <v>114</v>
      </c>
      <c r="G13" s="10">
        <v>0.05</v>
      </c>
      <c r="I13" s="9">
        <f t="shared" si="0"/>
        <v>9</v>
      </c>
      <c r="J13" s="11" cm="1">
        <f t="array" ref="J13">MAX(IF($N$3:$EH$3=$J$3,N13:EH13))</f>
        <v>0</v>
      </c>
      <c r="K13" s="11" cm="1">
        <f t="array" ref="K13">MAX(IF($N$3:$EH$3=$J$3,N13:EH13))</f>
        <v>0</v>
      </c>
      <c r="L13" s="9"/>
      <c r="O13" s="10"/>
      <c r="P13" s="10"/>
      <c r="Q13" s="10"/>
      <c r="R13" s="10"/>
      <c r="V13" s="10"/>
      <c r="W13" s="10"/>
      <c r="X13" s="10"/>
      <c r="Y13" s="10"/>
      <c r="AC13" s="10"/>
      <c r="AD13" s="10"/>
      <c r="AE13" s="10"/>
      <c r="AF13" s="10"/>
      <c r="AI13">
        <v>3</v>
      </c>
      <c r="AJ13" s="10"/>
      <c r="AK13" s="10">
        <v>0.5</v>
      </c>
      <c r="AL13" s="10"/>
      <c r="AM13" s="10">
        <v>0.5</v>
      </c>
      <c r="AQ13" s="10"/>
      <c r="AR13" s="10">
        <v>0.5</v>
      </c>
      <c r="AS13" s="10"/>
      <c r="AT13" s="10">
        <v>0.5</v>
      </c>
      <c r="AW13">
        <v>3</v>
      </c>
      <c r="AX13" s="10"/>
      <c r="AY13" s="10">
        <v>0.8</v>
      </c>
      <c r="AZ13" s="10"/>
      <c r="BA13" s="10">
        <v>0.8</v>
      </c>
      <c r="BE13" s="10"/>
      <c r="BF13" s="10">
        <v>0.8</v>
      </c>
      <c r="BG13" s="10"/>
      <c r="BH13" s="10">
        <v>0.8</v>
      </c>
      <c r="BL13" s="10"/>
      <c r="BM13" s="10">
        <v>0.8</v>
      </c>
      <c r="BN13" s="10"/>
      <c r="BO13" s="10">
        <v>0.8</v>
      </c>
      <c r="BR13">
        <v>3</v>
      </c>
      <c r="BS13" s="10"/>
      <c r="BT13" s="10">
        <v>1</v>
      </c>
      <c r="BU13" s="10"/>
      <c r="BV13" s="10">
        <v>1</v>
      </c>
      <c r="BZ13" s="10"/>
      <c r="CA13" s="10"/>
      <c r="CB13" s="10"/>
      <c r="CC13" s="10"/>
      <c r="CG13" s="10"/>
      <c r="CH13" s="10"/>
      <c r="CI13" s="10"/>
      <c r="CJ13" s="10"/>
      <c r="CN13" s="10"/>
      <c r="CO13" s="10"/>
      <c r="CP13" s="10"/>
      <c r="CQ13" s="10"/>
      <c r="CU13" s="10"/>
      <c r="CV13" s="10"/>
      <c r="CW13" s="10"/>
      <c r="CX13" s="10"/>
      <c r="DB13" s="10"/>
      <c r="DC13" s="10"/>
      <c r="DD13" s="10"/>
      <c r="DE13" s="10"/>
    </row>
    <row r="14" spans="2:110" outlineLevel="1" x14ac:dyDescent="0.2">
      <c r="B14" t="s">
        <v>29</v>
      </c>
      <c r="C14" t="s">
        <v>100</v>
      </c>
      <c r="E14" s="9"/>
      <c r="F14" t="s">
        <v>115</v>
      </c>
      <c r="G14" s="10">
        <v>0.1</v>
      </c>
      <c r="I14" s="9">
        <f t="shared" si="0"/>
        <v>9</v>
      </c>
      <c r="J14" s="11" cm="1">
        <f t="array" ref="J14">MAX(IF($N$3:$EH$3=$J$3,N14:EH14))</f>
        <v>0</v>
      </c>
      <c r="K14" s="11" cm="1">
        <f t="array" ref="K14">MAX(IF($N$3:$EH$3=$J$3,N14:EH14))</f>
        <v>0</v>
      </c>
      <c r="L14" s="9"/>
      <c r="O14" s="10"/>
      <c r="P14" s="10"/>
      <c r="Q14" s="10"/>
      <c r="R14" s="10"/>
      <c r="V14" s="10"/>
      <c r="W14" s="10"/>
      <c r="X14" s="10"/>
      <c r="Y14" s="10"/>
      <c r="AC14" s="10"/>
      <c r="AD14" s="10"/>
      <c r="AE14" s="10"/>
      <c r="AF14" s="10"/>
      <c r="AI14">
        <v>3</v>
      </c>
      <c r="AJ14" s="10"/>
      <c r="AK14" s="10">
        <v>0.5</v>
      </c>
      <c r="AL14" s="10"/>
      <c r="AM14" s="10">
        <v>0.5</v>
      </c>
      <c r="AQ14" s="10"/>
      <c r="AR14" s="10">
        <v>0.5</v>
      </c>
      <c r="AS14" s="10"/>
      <c r="AT14" s="10">
        <v>0.5</v>
      </c>
      <c r="AX14" s="10"/>
      <c r="AY14" s="10">
        <v>0.5</v>
      </c>
      <c r="AZ14" s="10"/>
      <c r="BA14" s="10">
        <v>0.5</v>
      </c>
      <c r="BD14">
        <v>3</v>
      </c>
      <c r="BE14" s="10"/>
      <c r="BF14" s="10">
        <v>0.8</v>
      </c>
      <c r="BG14" s="10"/>
      <c r="BH14" s="10">
        <v>0.8</v>
      </c>
      <c r="BL14" s="10"/>
      <c r="BM14" s="10">
        <v>0.8</v>
      </c>
      <c r="BN14" s="10"/>
      <c r="BO14" s="10">
        <v>0.8</v>
      </c>
      <c r="BR14">
        <v>3</v>
      </c>
      <c r="BS14" s="10"/>
      <c r="BT14" s="10">
        <v>1</v>
      </c>
      <c r="BU14" s="10"/>
      <c r="BV14" s="10">
        <v>1</v>
      </c>
      <c r="BZ14" s="10"/>
      <c r="CA14" s="10"/>
      <c r="CB14" s="10"/>
      <c r="CC14" s="10"/>
      <c r="CG14" s="10"/>
      <c r="CH14" s="10"/>
      <c r="CI14" s="10"/>
      <c r="CJ14" s="10"/>
      <c r="CN14" s="10"/>
      <c r="CO14" s="10"/>
      <c r="CP14" s="10"/>
      <c r="CQ14" s="10"/>
      <c r="CU14" s="10"/>
      <c r="CV14" s="10"/>
      <c r="CW14" s="10"/>
      <c r="CX14" s="10"/>
      <c r="DB14" s="10"/>
      <c r="DC14" s="10"/>
      <c r="DD14" s="10"/>
      <c r="DE14" s="10"/>
    </row>
    <row r="16" spans="2:110" x14ac:dyDescent="0.2">
      <c r="B16" t="s">
        <v>28</v>
      </c>
      <c r="C16" t="s">
        <v>99</v>
      </c>
      <c r="D16" s="19">
        <v>45133</v>
      </c>
      <c r="E16" s="9">
        <v>5</v>
      </c>
      <c r="G16" s="10">
        <f>+SUM(G17:G24)</f>
        <v>1.4</v>
      </c>
      <c r="I16" s="12">
        <f>+SUM(I17:I24)</f>
        <v>72</v>
      </c>
      <c r="J16" s="11">
        <f>+SUMPRODUCT(G17:G24,J17:J24)</f>
        <v>0</v>
      </c>
      <c r="K16" s="11">
        <f>+SUMPRODUCT(G17:G24,K17:K24)</f>
        <v>0</v>
      </c>
      <c r="L16" s="9"/>
      <c r="N16" s="12">
        <f>+SUM(N17:N24)</f>
        <v>9</v>
      </c>
      <c r="U16" s="12">
        <f>+SUM(U17:U24)</f>
        <v>9</v>
      </c>
      <c r="AB16" s="12">
        <f>+SUM(AB17:AB24)</f>
        <v>9</v>
      </c>
      <c r="AI16" s="12">
        <f>+SUM(AI17:AI24)</f>
        <v>9</v>
      </c>
      <c r="AP16" s="12">
        <f>+SUM(AP17:AP24)</f>
        <v>9</v>
      </c>
      <c r="AW16" s="12">
        <f>+SUM(AW17:AW24)</f>
        <v>9</v>
      </c>
      <c r="BD16" s="12">
        <f>+SUM(BD17:BD24)</f>
        <v>6</v>
      </c>
      <c r="BK16" s="12">
        <f>+SUM(BK17:BK24)</f>
        <v>6</v>
      </c>
      <c r="BR16" s="12">
        <f>+SUM(BR17:BR24)</f>
        <v>6</v>
      </c>
    </row>
    <row r="17" spans="2:109" outlineLevel="1" x14ac:dyDescent="0.2">
      <c r="B17" t="s">
        <v>29</v>
      </c>
      <c r="C17" t="s">
        <v>99</v>
      </c>
      <c r="E17" s="9"/>
      <c r="F17" t="s">
        <v>116</v>
      </c>
      <c r="G17" s="10">
        <v>0.1</v>
      </c>
      <c r="I17" s="9">
        <f t="shared" ref="I17:I24" si="1">+SUMIF($N$3:$ZZ$3,I$3,$N17:$ZZ17)</f>
        <v>9</v>
      </c>
      <c r="J17" s="11" cm="1">
        <f t="array" ref="J17">MAX(IF($N$3:$EH$3=$J$3,N17:EH17))</f>
        <v>0</v>
      </c>
      <c r="K17" s="11" cm="1">
        <f t="array" ref="K17">MAX(IF($N$3:$EH$3=$J$3,N17:EH17))</f>
        <v>0</v>
      </c>
      <c r="L17" s="9"/>
      <c r="N17">
        <v>3</v>
      </c>
      <c r="O17" s="10"/>
      <c r="P17" s="10">
        <v>0.5</v>
      </c>
      <c r="Q17" s="10"/>
      <c r="R17" s="10">
        <v>0.5</v>
      </c>
      <c r="V17" s="10"/>
      <c r="W17" s="10">
        <v>0.5</v>
      </c>
      <c r="X17" s="10"/>
      <c r="Y17" s="10">
        <v>0.5</v>
      </c>
      <c r="AB17">
        <v>3</v>
      </c>
      <c r="AC17" s="10"/>
      <c r="AD17" s="10">
        <v>0.8</v>
      </c>
      <c r="AE17" s="10"/>
      <c r="AF17" s="10">
        <v>0.8</v>
      </c>
      <c r="AJ17" s="10"/>
      <c r="AK17" s="10">
        <v>0.8</v>
      </c>
      <c r="AL17" s="10"/>
      <c r="AM17" s="10">
        <v>0.8</v>
      </c>
      <c r="AP17">
        <v>3</v>
      </c>
      <c r="AQ17" s="10"/>
      <c r="AR17" s="10">
        <v>1</v>
      </c>
      <c r="AS17" s="10"/>
      <c r="AT17" s="10">
        <v>1</v>
      </c>
      <c r="AX17" s="10"/>
      <c r="AY17" s="10">
        <v>1</v>
      </c>
      <c r="AZ17" s="10"/>
      <c r="BA17" s="10">
        <v>1</v>
      </c>
      <c r="BE17" s="10"/>
      <c r="BF17" s="10">
        <v>1</v>
      </c>
      <c r="BG17" s="10"/>
      <c r="BH17" s="10">
        <v>1</v>
      </c>
      <c r="BL17" s="10"/>
      <c r="BM17" s="10">
        <v>1</v>
      </c>
      <c r="BN17" s="10"/>
      <c r="BO17" s="10">
        <v>1</v>
      </c>
      <c r="BS17" s="10"/>
      <c r="BT17" s="10">
        <v>1</v>
      </c>
      <c r="BU17" s="10"/>
      <c r="BV17" s="10">
        <v>1</v>
      </c>
      <c r="BZ17" s="10"/>
      <c r="CA17" s="10"/>
      <c r="CB17" s="10"/>
      <c r="CC17" s="10"/>
      <c r="CG17" s="10"/>
      <c r="CH17" s="10"/>
      <c r="CI17" s="10"/>
      <c r="CJ17" s="10"/>
      <c r="CN17" s="10"/>
      <c r="CO17" s="10"/>
      <c r="CP17" s="10"/>
      <c r="CQ17" s="10"/>
      <c r="CU17" s="10"/>
      <c r="CV17" s="10"/>
      <c r="CW17" s="10"/>
      <c r="CX17" s="10"/>
      <c r="DB17" s="10"/>
      <c r="DC17" s="10"/>
      <c r="DD17" s="10"/>
      <c r="DE17" s="10"/>
    </row>
    <row r="18" spans="2:109" outlineLevel="1" x14ac:dyDescent="0.2">
      <c r="B18" t="s">
        <v>29</v>
      </c>
      <c r="C18" t="s">
        <v>99</v>
      </c>
      <c r="E18" s="9"/>
      <c r="F18" t="s">
        <v>117</v>
      </c>
      <c r="G18" s="10">
        <v>0.2</v>
      </c>
      <c r="I18" s="9">
        <f t="shared" si="1"/>
        <v>9</v>
      </c>
      <c r="J18" s="11" cm="1">
        <f t="array" ref="J18">MAX(IF($N$3:$EH$3=$J$3,N18:EH18))</f>
        <v>0</v>
      </c>
      <c r="K18" s="11" cm="1">
        <f t="array" ref="K18">MAX(IF($N$3:$EH$3=$J$3,N18:EH18))</f>
        <v>0</v>
      </c>
      <c r="L18" s="9"/>
      <c r="N18">
        <v>3</v>
      </c>
      <c r="O18" s="10"/>
      <c r="P18" s="10">
        <v>0.5</v>
      </c>
      <c r="Q18" s="10"/>
      <c r="R18" s="10">
        <v>0.5</v>
      </c>
      <c r="V18" s="10"/>
      <c r="W18" s="10">
        <v>0.5</v>
      </c>
      <c r="X18" s="10"/>
      <c r="Y18" s="10">
        <v>0.5</v>
      </c>
      <c r="AC18" s="10"/>
      <c r="AD18" s="10">
        <v>0.5</v>
      </c>
      <c r="AE18" s="10"/>
      <c r="AF18" s="10">
        <v>0.5</v>
      </c>
      <c r="AI18">
        <v>3</v>
      </c>
      <c r="AJ18" s="10"/>
      <c r="AK18" s="10">
        <v>0.8</v>
      </c>
      <c r="AL18" s="10"/>
      <c r="AM18" s="10">
        <v>0.8</v>
      </c>
      <c r="AQ18" s="10"/>
      <c r="AR18" s="10">
        <v>0.8</v>
      </c>
      <c r="AS18" s="10"/>
      <c r="AT18" s="10">
        <v>0.8</v>
      </c>
      <c r="AW18">
        <v>3</v>
      </c>
      <c r="AX18" s="10"/>
      <c r="AY18" s="10">
        <v>1</v>
      </c>
      <c r="AZ18" s="10"/>
      <c r="BA18" s="10">
        <v>1</v>
      </c>
      <c r="BE18" s="10"/>
      <c r="BF18" s="10">
        <v>1</v>
      </c>
      <c r="BG18" s="10"/>
      <c r="BH18" s="10">
        <v>1</v>
      </c>
      <c r="BL18" s="10"/>
      <c r="BM18" s="10">
        <v>1</v>
      </c>
      <c r="BN18" s="10"/>
      <c r="BO18" s="10">
        <v>1</v>
      </c>
      <c r="BS18" s="10"/>
      <c r="BT18" s="10">
        <v>1</v>
      </c>
      <c r="BU18" s="10"/>
      <c r="BV18" s="10">
        <v>1</v>
      </c>
      <c r="BZ18" s="10"/>
      <c r="CA18" s="10"/>
      <c r="CB18" s="10"/>
      <c r="CC18" s="10"/>
      <c r="CG18" s="10"/>
      <c r="CH18" s="10"/>
      <c r="CI18" s="10"/>
      <c r="CJ18" s="10"/>
      <c r="CN18" s="10"/>
      <c r="CO18" s="10"/>
      <c r="CP18" s="10"/>
      <c r="CQ18" s="10"/>
      <c r="CU18" s="10"/>
      <c r="CV18" s="10"/>
      <c r="CW18" s="10"/>
      <c r="CX18" s="10"/>
      <c r="DB18" s="10"/>
      <c r="DC18" s="10"/>
      <c r="DD18" s="10"/>
      <c r="DE18" s="10"/>
    </row>
    <row r="19" spans="2:109" outlineLevel="1" x14ac:dyDescent="0.2">
      <c r="B19" t="s">
        <v>29</v>
      </c>
      <c r="C19" t="s">
        <v>99</v>
      </c>
      <c r="E19" s="9"/>
      <c r="F19" t="s">
        <v>123</v>
      </c>
      <c r="G19" s="10">
        <v>0.2</v>
      </c>
      <c r="I19" s="9">
        <f t="shared" si="1"/>
        <v>9</v>
      </c>
      <c r="J19" s="11" cm="1">
        <f t="array" ref="J19">MAX(IF($N$3:$EH$3=$J$3,N19:EH19))</f>
        <v>0</v>
      </c>
      <c r="K19" s="11" cm="1">
        <f t="array" ref="K19">MAX(IF($N$3:$EH$3=$J$3,N19:EH19))</f>
        <v>0</v>
      </c>
      <c r="L19" s="9"/>
      <c r="N19">
        <v>3</v>
      </c>
      <c r="O19" s="10"/>
      <c r="P19" s="10">
        <v>0.5</v>
      </c>
      <c r="Q19" s="10"/>
      <c r="R19" s="10">
        <v>0.5</v>
      </c>
      <c r="V19" s="10"/>
      <c r="W19" s="10">
        <v>0.5</v>
      </c>
      <c r="X19" s="10"/>
      <c r="Y19" s="10">
        <v>0.5</v>
      </c>
      <c r="AC19" s="10"/>
      <c r="AD19" s="10">
        <v>0.5</v>
      </c>
      <c r="AE19" s="10"/>
      <c r="AF19" s="10">
        <v>0.5</v>
      </c>
      <c r="AI19">
        <v>3</v>
      </c>
      <c r="AJ19" s="10"/>
      <c r="AK19" s="10">
        <v>0.8</v>
      </c>
      <c r="AL19" s="10"/>
      <c r="AM19" s="10">
        <v>0.8</v>
      </c>
      <c r="AQ19" s="10"/>
      <c r="AR19" s="10">
        <v>0.8</v>
      </c>
      <c r="AS19" s="10"/>
      <c r="AT19" s="10">
        <v>0.8</v>
      </c>
      <c r="AW19">
        <v>3</v>
      </c>
      <c r="AX19" s="10"/>
      <c r="AY19" s="10">
        <v>1</v>
      </c>
      <c r="AZ19" s="10"/>
      <c r="BA19" s="10">
        <v>1</v>
      </c>
      <c r="BE19" s="10"/>
      <c r="BF19" s="10">
        <v>1</v>
      </c>
      <c r="BG19" s="10"/>
      <c r="BH19" s="10">
        <v>1</v>
      </c>
      <c r="BL19" s="10"/>
      <c r="BM19" s="10">
        <v>1</v>
      </c>
      <c r="BN19" s="10"/>
      <c r="BO19" s="10">
        <v>1</v>
      </c>
      <c r="BS19" s="10"/>
      <c r="BT19" s="10">
        <v>1</v>
      </c>
      <c r="BU19" s="10"/>
      <c r="BV19" s="10">
        <v>1</v>
      </c>
      <c r="BZ19" s="10"/>
      <c r="CA19" s="10"/>
      <c r="CB19" s="10"/>
      <c r="CC19" s="10"/>
      <c r="CG19" s="10"/>
      <c r="CH19" s="10"/>
      <c r="CI19" s="10"/>
      <c r="CJ19" s="10"/>
      <c r="CN19" s="10"/>
      <c r="CO19" s="10"/>
      <c r="CP19" s="10"/>
      <c r="CQ19" s="10"/>
      <c r="CU19" s="10"/>
      <c r="CV19" s="10"/>
      <c r="CW19" s="10"/>
      <c r="CX19" s="10"/>
      <c r="DB19" s="10"/>
      <c r="DC19" s="10"/>
      <c r="DD19" s="10"/>
      <c r="DE19" s="10"/>
    </row>
    <row r="20" spans="2:109" outlineLevel="1" x14ac:dyDescent="0.2">
      <c r="B20" t="s">
        <v>29</v>
      </c>
      <c r="C20" t="s">
        <v>99</v>
      </c>
      <c r="E20" s="9"/>
      <c r="F20" t="s">
        <v>118</v>
      </c>
      <c r="G20" s="10">
        <v>0.2</v>
      </c>
      <c r="I20" s="9">
        <f t="shared" si="1"/>
        <v>9</v>
      </c>
      <c r="J20" s="11" cm="1">
        <f t="array" ref="J20">MAX(IF($N$3:$EH$3=$J$3,N20:EH20))</f>
        <v>0</v>
      </c>
      <c r="K20" s="11" cm="1">
        <f t="array" ref="K20">MAX(IF($N$3:$EH$3=$J$3,N20:EH20))</f>
        <v>0</v>
      </c>
      <c r="L20" s="9"/>
      <c r="O20" s="10"/>
      <c r="P20" s="10"/>
      <c r="Q20" s="10"/>
      <c r="R20" s="10"/>
      <c r="U20">
        <v>3</v>
      </c>
      <c r="V20" s="10"/>
      <c r="W20" s="10">
        <v>0.5</v>
      </c>
      <c r="X20" s="10"/>
      <c r="Y20" s="10">
        <v>0.5</v>
      </c>
      <c r="AC20" s="10"/>
      <c r="AD20" s="10">
        <v>0.5</v>
      </c>
      <c r="AE20" s="10"/>
      <c r="AF20" s="10">
        <v>0.5</v>
      </c>
      <c r="AI20">
        <v>3</v>
      </c>
      <c r="AJ20" s="10"/>
      <c r="AK20" s="10">
        <v>0.8</v>
      </c>
      <c r="AL20" s="10"/>
      <c r="AM20" s="10">
        <v>0.8</v>
      </c>
      <c r="AQ20" s="10"/>
      <c r="AR20" s="10">
        <v>0.8</v>
      </c>
      <c r="AS20" s="10"/>
      <c r="AT20" s="10">
        <v>0.8</v>
      </c>
      <c r="AX20" s="10"/>
      <c r="AY20" s="10">
        <v>0.8</v>
      </c>
      <c r="AZ20" s="10"/>
      <c r="BA20" s="10">
        <v>0.8</v>
      </c>
      <c r="BD20">
        <v>3</v>
      </c>
      <c r="BE20" s="10"/>
      <c r="BF20" s="10">
        <v>1</v>
      </c>
      <c r="BG20" s="10"/>
      <c r="BH20" s="10">
        <v>1</v>
      </c>
      <c r="BL20" s="10"/>
      <c r="BM20" s="10">
        <v>1</v>
      </c>
      <c r="BN20" s="10"/>
      <c r="BO20" s="10">
        <v>1</v>
      </c>
      <c r="BS20" s="10"/>
      <c r="BT20" s="10">
        <v>1</v>
      </c>
      <c r="BU20" s="10"/>
      <c r="BV20" s="10">
        <v>1</v>
      </c>
      <c r="BZ20" s="10"/>
      <c r="CA20" s="10"/>
      <c r="CB20" s="10"/>
      <c r="CC20" s="10"/>
      <c r="CG20" s="10"/>
      <c r="CH20" s="10"/>
      <c r="CI20" s="10"/>
      <c r="CJ20" s="10"/>
      <c r="CN20" s="10"/>
      <c r="CO20" s="10"/>
      <c r="CP20" s="10"/>
      <c r="CQ20" s="10"/>
      <c r="CU20" s="10"/>
      <c r="CV20" s="10"/>
      <c r="CW20" s="10"/>
      <c r="CX20" s="10"/>
      <c r="DB20" s="10"/>
      <c r="DC20" s="10"/>
      <c r="DD20" s="10"/>
      <c r="DE20" s="10"/>
    </row>
    <row r="21" spans="2:109" outlineLevel="1" x14ac:dyDescent="0.2">
      <c r="B21" t="s">
        <v>29</v>
      </c>
      <c r="C21" t="s">
        <v>99</v>
      </c>
      <c r="E21" s="9"/>
      <c r="F21" t="s">
        <v>119</v>
      </c>
      <c r="G21" s="10">
        <v>0.15</v>
      </c>
      <c r="I21" s="9">
        <f t="shared" si="1"/>
        <v>9</v>
      </c>
      <c r="J21" s="11" cm="1">
        <f t="array" ref="J21">MAX(IF($N$3:$EH$3=$J$3,N21:EH21))</f>
        <v>0</v>
      </c>
      <c r="K21" s="11" cm="1">
        <f t="array" ref="K21">MAX(IF($N$3:$EH$3=$J$3,N21:EH21))</f>
        <v>0</v>
      </c>
      <c r="L21" s="9"/>
      <c r="O21" s="10"/>
      <c r="P21" s="10"/>
      <c r="Q21" s="10"/>
      <c r="R21" s="10"/>
      <c r="U21">
        <v>3</v>
      </c>
      <c r="V21" s="10"/>
      <c r="W21" s="10">
        <v>0.5</v>
      </c>
      <c r="X21" s="10"/>
      <c r="Y21" s="10">
        <v>0.5</v>
      </c>
      <c r="AC21" s="10"/>
      <c r="AD21" s="10">
        <v>0.5</v>
      </c>
      <c r="AE21" s="10"/>
      <c r="AF21" s="10">
        <v>0.5</v>
      </c>
      <c r="AJ21" s="10"/>
      <c r="AK21" s="10">
        <v>0.5</v>
      </c>
      <c r="AL21" s="10"/>
      <c r="AM21" s="10">
        <v>0.5</v>
      </c>
      <c r="AP21">
        <v>3</v>
      </c>
      <c r="AQ21" s="10"/>
      <c r="AR21" s="10">
        <v>0.8</v>
      </c>
      <c r="AS21" s="10"/>
      <c r="AT21" s="10">
        <v>0.8</v>
      </c>
      <c r="AX21" s="10"/>
      <c r="AY21" s="10">
        <v>0.8</v>
      </c>
      <c r="AZ21" s="10"/>
      <c r="BA21" s="10">
        <v>0.8</v>
      </c>
      <c r="BE21" s="10"/>
      <c r="BF21" s="10">
        <v>0.8</v>
      </c>
      <c r="BG21" s="10"/>
      <c r="BH21" s="10">
        <v>0.8</v>
      </c>
      <c r="BK21">
        <v>3</v>
      </c>
      <c r="BL21" s="10"/>
      <c r="BM21" s="10">
        <v>1</v>
      </c>
      <c r="BN21" s="10"/>
      <c r="BO21" s="10">
        <v>1</v>
      </c>
      <c r="BS21" s="10"/>
      <c r="BT21" s="10">
        <v>1</v>
      </c>
      <c r="BU21" s="10"/>
      <c r="BV21" s="10">
        <v>1</v>
      </c>
      <c r="BZ21" s="10"/>
      <c r="CA21" s="10"/>
      <c r="CB21" s="10"/>
      <c r="CC21" s="10"/>
      <c r="CG21" s="10"/>
      <c r="CH21" s="10"/>
      <c r="CI21" s="10"/>
      <c r="CJ21" s="10"/>
      <c r="CN21" s="10"/>
      <c r="CO21" s="10"/>
      <c r="CP21" s="10"/>
      <c r="CQ21" s="10"/>
      <c r="CU21" s="10"/>
      <c r="CV21" s="10"/>
      <c r="CW21" s="10"/>
      <c r="CX21" s="10"/>
      <c r="DB21" s="10"/>
      <c r="DC21" s="10"/>
      <c r="DD21" s="10"/>
      <c r="DE21" s="10"/>
    </row>
    <row r="22" spans="2:109" outlineLevel="1" x14ac:dyDescent="0.2">
      <c r="B22" t="s">
        <v>29</v>
      </c>
      <c r="C22" t="s">
        <v>99</v>
      </c>
      <c r="E22" s="9"/>
      <c r="F22" t="s">
        <v>121</v>
      </c>
      <c r="G22" s="10">
        <v>0.15</v>
      </c>
      <c r="I22" s="9">
        <f t="shared" si="1"/>
        <v>9</v>
      </c>
      <c r="J22" s="11" cm="1">
        <f t="array" ref="J22">MAX(IF($N$3:$EH$3=$J$3,N22:EH22))</f>
        <v>0</v>
      </c>
      <c r="K22" s="11" cm="1">
        <f t="array" ref="K22">MAX(IF($N$3:$EH$3=$J$3,N22:EH22))</f>
        <v>0</v>
      </c>
      <c r="L22" s="9"/>
      <c r="O22" s="10"/>
      <c r="P22" s="10"/>
      <c r="Q22" s="10"/>
      <c r="R22" s="10"/>
      <c r="U22">
        <v>3</v>
      </c>
      <c r="V22" s="10"/>
      <c r="W22" s="10">
        <v>0.5</v>
      </c>
      <c r="X22" s="10"/>
      <c r="Y22" s="10">
        <v>0.5</v>
      </c>
      <c r="AC22" s="10"/>
      <c r="AD22" s="10">
        <v>0.5</v>
      </c>
      <c r="AE22" s="10"/>
      <c r="AF22" s="10">
        <v>0.5</v>
      </c>
      <c r="AJ22" s="10"/>
      <c r="AK22" s="10">
        <v>0.5</v>
      </c>
      <c r="AL22" s="10"/>
      <c r="AM22" s="10">
        <v>0.5</v>
      </c>
      <c r="AP22">
        <v>3</v>
      </c>
      <c r="AQ22" s="10"/>
      <c r="AR22" s="10">
        <v>0.8</v>
      </c>
      <c r="AS22" s="10"/>
      <c r="AT22" s="10">
        <v>0.8</v>
      </c>
      <c r="AX22" s="10"/>
      <c r="AY22" s="10">
        <v>0.8</v>
      </c>
      <c r="AZ22" s="10"/>
      <c r="BA22" s="10">
        <v>0.8</v>
      </c>
      <c r="BE22" s="10"/>
      <c r="BF22" s="10">
        <v>0.8</v>
      </c>
      <c r="BG22" s="10"/>
      <c r="BH22" s="10">
        <v>0.8</v>
      </c>
      <c r="BK22">
        <v>3</v>
      </c>
      <c r="BL22" s="10"/>
      <c r="BM22" s="10">
        <v>1</v>
      </c>
      <c r="BN22" s="10"/>
      <c r="BO22" s="10">
        <v>1</v>
      </c>
      <c r="BS22" s="10"/>
      <c r="BT22" s="10">
        <v>1</v>
      </c>
      <c r="BU22" s="10"/>
      <c r="BV22" s="10">
        <v>1</v>
      </c>
      <c r="BZ22" s="10"/>
      <c r="CA22" s="10"/>
      <c r="CB22" s="10"/>
      <c r="CC22" s="10"/>
      <c r="CG22" s="10"/>
      <c r="CH22" s="10"/>
      <c r="CI22" s="10"/>
      <c r="CJ22" s="10"/>
      <c r="CN22" s="10"/>
      <c r="CO22" s="10"/>
      <c r="CP22" s="10"/>
      <c r="CQ22" s="10"/>
      <c r="CU22" s="10"/>
      <c r="CV22" s="10"/>
      <c r="CW22" s="10"/>
      <c r="CX22" s="10"/>
      <c r="DB22" s="10"/>
      <c r="DC22" s="10"/>
      <c r="DD22" s="10"/>
      <c r="DE22" s="10"/>
    </row>
    <row r="23" spans="2:109" outlineLevel="1" x14ac:dyDescent="0.2">
      <c r="B23" t="s">
        <v>29</v>
      </c>
      <c r="C23" t="s">
        <v>99</v>
      </c>
      <c r="E23" s="9"/>
      <c r="F23" t="s">
        <v>122</v>
      </c>
      <c r="G23" s="10">
        <v>0.2</v>
      </c>
      <c r="I23" s="9">
        <f t="shared" si="1"/>
        <v>9</v>
      </c>
      <c r="J23" s="11" cm="1">
        <f t="array" ref="J23">MAX(IF($N$3:$EH$3=$J$3,N23:EH23))</f>
        <v>0</v>
      </c>
      <c r="K23" s="11" cm="1">
        <f t="array" ref="K23">MAX(IF($N$3:$EH$3=$J$3,N23:EH23))</f>
        <v>0</v>
      </c>
      <c r="L23" s="9"/>
      <c r="O23" s="10"/>
      <c r="P23" s="10"/>
      <c r="Q23" s="10"/>
      <c r="R23" s="10"/>
      <c r="V23" s="10"/>
      <c r="W23" s="10"/>
      <c r="X23" s="10"/>
      <c r="Y23" s="10"/>
      <c r="AB23">
        <v>3</v>
      </c>
      <c r="AC23" s="10"/>
      <c r="AD23" s="10">
        <v>0.5</v>
      </c>
      <c r="AE23" s="10"/>
      <c r="AF23" s="10">
        <v>0.5</v>
      </c>
      <c r="AJ23" s="10"/>
      <c r="AK23" s="10">
        <v>0.5</v>
      </c>
      <c r="AL23" s="10"/>
      <c r="AM23" s="10">
        <v>0.5</v>
      </c>
      <c r="AQ23" s="10"/>
      <c r="AR23" s="10">
        <v>0.5</v>
      </c>
      <c r="AS23" s="10"/>
      <c r="AT23" s="10">
        <v>0.5</v>
      </c>
      <c r="AW23">
        <v>3</v>
      </c>
      <c r="AX23" s="10"/>
      <c r="AY23" s="10">
        <v>0.8</v>
      </c>
      <c r="AZ23" s="10"/>
      <c r="BA23" s="10">
        <v>0.8</v>
      </c>
      <c r="BE23" s="10"/>
      <c r="BF23" s="10">
        <v>0.8</v>
      </c>
      <c r="BG23" s="10"/>
      <c r="BH23" s="10">
        <v>0.8</v>
      </c>
      <c r="BL23" s="10"/>
      <c r="BM23" s="10">
        <v>0.8</v>
      </c>
      <c r="BN23" s="10"/>
      <c r="BO23" s="10">
        <v>0.8</v>
      </c>
      <c r="BR23">
        <v>3</v>
      </c>
      <c r="BS23" s="10"/>
      <c r="BT23" s="10">
        <v>1</v>
      </c>
      <c r="BU23" s="10"/>
      <c r="BV23" s="10">
        <v>1</v>
      </c>
      <c r="BZ23" s="10"/>
      <c r="CA23" s="10"/>
      <c r="CB23" s="10"/>
      <c r="CC23" s="10"/>
      <c r="CG23" s="10"/>
      <c r="CH23" s="10"/>
      <c r="CI23" s="10"/>
      <c r="CJ23" s="10"/>
      <c r="CN23" s="10"/>
      <c r="CO23" s="10"/>
      <c r="CP23" s="10"/>
      <c r="CQ23" s="10"/>
      <c r="CU23" s="10"/>
      <c r="CV23" s="10"/>
      <c r="CW23" s="10"/>
      <c r="CX23" s="10"/>
      <c r="DB23" s="10"/>
      <c r="DC23" s="10"/>
      <c r="DD23" s="10"/>
      <c r="DE23" s="10"/>
    </row>
    <row r="24" spans="2:109" outlineLevel="1" x14ac:dyDescent="0.2">
      <c r="B24" t="s">
        <v>29</v>
      </c>
      <c r="C24" t="s">
        <v>99</v>
      </c>
      <c r="E24" s="9"/>
      <c r="F24" t="s">
        <v>120</v>
      </c>
      <c r="G24" s="10">
        <v>0.2</v>
      </c>
      <c r="I24" s="9">
        <f t="shared" si="1"/>
        <v>9</v>
      </c>
      <c r="J24" s="11" cm="1">
        <f t="array" ref="J24">MAX(IF($N$3:$EH$3=$J$3,N24:EH24))</f>
        <v>0</v>
      </c>
      <c r="K24" s="11" cm="1">
        <f t="array" ref="K24">MAX(IF($N$3:$EH$3=$J$3,N24:EH24))</f>
        <v>0</v>
      </c>
      <c r="L24" s="9"/>
      <c r="O24" s="10"/>
      <c r="P24" s="10"/>
      <c r="Q24" s="10"/>
      <c r="R24" s="10"/>
      <c r="V24" s="10"/>
      <c r="W24" s="10"/>
      <c r="X24" s="10"/>
      <c r="Y24" s="10"/>
      <c r="AB24">
        <v>3</v>
      </c>
      <c r="AC24" s="10"/>
      <c r="AD24" s="10">
        <v>0.5</v>
      </c>
      <c r="AE24" s="10"/>
      <c r="AF24" s="10">
        <v>0.5</v>
      </c>
      <c r="AJ24" s="10"/>
      <c r="AK24" s="10">
        <v>0.5</v>
      </c>
      <c r="AL24" s="10"/>
      <c r="AM24" s="10">
        <v>0.5</v>
      </c>
      <c r="AQ24" s="10"/>
      <c r="AR24" s="10">
        <v>0.5</v>
      </c>
      <c r="AS24" s="10"/>
      <c r="AT24" s="10">
        <v>0.5</v>
      </c>
      <c r="AX24" s="10"/>
      <c r="AY24" s="10">
        <v>0.5</v>
      </c>
      <c r="AZ24" s="10"/>
      <c r="BA24" s="10">
        <v>0.5</v>
      </c>
      <c r="BD24">
        <v>3</v>
      </c>
      <c r="BE24" s="10"/>
      <c r="BF24" s="10">
        <v>0.8</v>
      </c>
      <c r="BG24" s="10"/>
      <c r="BH24" s="10">
        <v>0.8</v>
      </c>
      <c r="BL24" s="10"/>
      <c r="BM24" s="10">
        <v>0.8</v>
      </c>
      <c r="BN24" s="10"/>
      <c r="BO24" s="10">
        <v>0.8</v>
      </c>
      <c r="BR24">
        <v>3</v>
      </c>
      <c r="BS24" s="10"/>
      <c r="BT24" s="10">
        <v>1</v>
      </c>
      <c r="BU24" s="10"/>
      <c r="BV24" s="10">
        <v>1</v>
      </c>
      <c r="BZ24" s="10"/>
      <c r="CA24" s="10"/>
      <c r="CB24" s="10"/>
      <c r="CC24" s="10"/>
      <c r="CG24" s="10"/>
      <c r="CH24" s="10"/>
      <c r="CI24" s="10"/>
      <c r="CJ24" s="10"/>
      <c r="CN24" s="10"/>
      <c r="CO24" s="10"/>
      <c r="CP24" s="10"/>
      <c r="CQ24" s="10"/>
      <c r="CU24" s="10"/>
      <c r="CV24" s="10"/>
      <c r="CW24" s="10"/>
      <c r="CX24" s="10"/>
      <c r="DB24" s="10"/>
      <c r="DC24" s="10"/>
      <c r="DD24" s="10"/>
      <c r="DE24" s="10"/>
    </row>
    <row r="26" spans="2:109" x14ac:dyDescent="0.2">
      <c r="B26" t="s">
        <v>28</v>
      </c>
      <c r="C26" t="s">
        <v>2</v>
      </c>
      <c r="D26" s="19">
        <v>45124</v>
      </c>
      <c r="E26" s="9">
        <v>5</v>
      </c>
      <c r="G26" s="10">
        <f>+SUM(G27:G34)</f>
        <v>0.64999999999999991</v>
      </c>
      <c r="I26" s="12">
        <f>+SUM(I27:I34)</f>
        <v>72</v>
      </c>
      <c r="J26" s="11">
        <f>+SUMPRODUCT(G27:G34,J27:J34)</f>
        <v>0</v>
      </c>
      <c r="K26" s="11">
        <f>+SUMPRODUCT(G27:G34,K27:K34)</f>
        <v>0</v>
      </c>
      <c r="L26" s="9"/>
      <c r="N26" s="12">
        <f>+SUM(N27:N34)</f>
        <v>9</v>
      </c>
      <c r="U26" s="12">
        <f>+SUM(U27:U34)</f>
        <v>9</v>
      </c>
      <c r="AB26" s="12">
        <f>+SUM(AB27:AB34)</f>
        <v>9</v>
      </c>
      <c r="AI26" s="12">
        <f>+SUM(AI27:AI34)</f>
        <v>9</v>
      </c>
      <c r="AP26" s="12">
        <f>+SUM(AP27:AP34)</f>
        <v>9</v>
      </c>
      <c r="AW26" s="12">
        <f>+SUM(AW27:AW34)</f>
        <v>9</v>
      </c>
      <c r="BD26" s="12">
        <f>+SUM(BD27:BD34)</f>
        <v>6</v>
      </c>
      <c r="BK26" s="12">
        <f>+SUM(BK27:BK34)</f>
        <v>6</v>
      </c>
      <c r="BR26" s="12">
        <f>+SUM(BR27:BR34)</f>
        <v>6</v>
      </c>
    </row>
    <row r="27" spans="2:109" outlineLevel="1" x14ac:dyDescent="0.2">
      <c r="B27" t="s">
        <v>29</v>
      </c>
      <c r="C27" t="s">
        <v>2</v>
      </c>
      <c r="E27" s="9"/>
      <c r="F27" t="s">
        <v>124</v>
      </c>
      <c r="G27" s="10">
        <v>0.1</v>
      </c>
      <c r="I27" s="9">
        <f t="shared" ref="I27:I34" si="2">+SUMIF($N$3:$ZZ$3,I$3,$N27:$ZZ27)</f>
        <v>9</v>
      </c>
      <c r="J27" s="11" cm="1">
        <f t="array" ref="J27">MAX(IF($N$3:$EH$3=$J$3,N27:EH27))</f>
        <v>0</v>
      </c>
      <c r="K27" s="11" cm="1">
        <f t="array" ref="K27">MAX(IF($N$3:$EH$3=$J$3,N27:EH27))</f>
        <v>0</v>
      </c>
      <c r="L27" s="9"/>
      <c r="N27">
        <v>3</v>
      </c>
      <c r="O27" s="10"/>
      <c r="P27" s="10">
        <v>0.5</v>
      </c>
      <c r="Q27" s="10"/>
      <c r="R27" s="10">
        <v>0.5</v>
      </c>
      <c r="V27" s="10"/>
      <c r="W27" s="10">
        <v>0.5</v>
      </c>
      <c r="X27" s="10"/>
      <c r="Y27" s="10">
        <v>0.5</v>
      </c>
      <c r="AB27">
        <v>3</v>
      </c>
      <c r="AC27" s="10"/>
      <c r="AD27" s="10">
        <v>0.8</v>
      </c>
      <c r="AE27" s="10"/>
      <c r="AF27" s="10">
        <v>0.8</v>
      </c>
      <c r="AJ27" s="10"/>
      <c r="AK27" s="10">
        <v>0.8</v>
      </c>
      <c r="AL27" s="10"/>
      <c r="AM27" s="10">
        <v>0.8</v>
      </c>
      <c r="AP27">
        <v>3</v>
      </c>
      <c r="AQ27" s="10"/>
      <c r="AR27" s="10">
        <v>1</v>
      </c>
      <c r="AS27" s="10"/>
      <c r="AT27" s="10">
        <v>1</v>
      </c>
      <c r="AX27" s="10"/>
      <c r="AY27" s="10">
        <v>1</v>
      </c>
      <c r="AZ27" s="10"/>
      <c r="BA27" s="10">
        <v>1</v>
      </c>
      <c r="BE27" s="10"/>
      <c r="BF27" s="10">
        <v>1</v>
      </c>
      <c r="BG27" s="10"/>
      <c r="BH27" s="10">
        <v>1</v>
      </c>
      <c r="BL27" s="10"/>
      <c r="BM27" s="10">
        <v>1</v>
      </c>
      <c r="BN27" s="10"/>
      <c r="BO27" s="10">
        <v>1</v>
      </c>
      <c r="BS27" s="10"/>
      <c r="BT27" s="10">
        <v>1</v>
      </c>
      <c r="BU27" s="10"/>
      <c r="BV27" s="10">
        <v>1</v>
      </c>
      <c r="BZ27" s="10"/>
      <c r="CA27" s="10"/>
      <c r="CB27" s="10"/>
      <c r="CC27" s="10"/>
      <c r="CG27" s="10"/>
      <c r="CH27" s="10"/>
      <c r="CI27" s="10"/>
      <c r="CJ27" s="10"/>
      <c r="CN27" s="10"/>
      <c r="CO27" s="10"/>
      <c r="CP27" s="10"/>
      <c r="CQ27" s="10"/>
      <c r="CU27" s="10"/>
      <c r="CV27" s="10"/>
      <c r="CW27" s="10"/>
      <c r="CX27" s="10"/>
      <c r="DB27" s="10"/>
      <c r="DC27" s="10"/>
      <c r="DD27" s="10"/>
      <c r="DE27" s="10"/>
    </row>
    <row r="28" spans="2:109" outlineLevel="1" x14ac:dyDescent="0.2">
      <c r="B28" t="s">
        <v>29</v>
      </c>
      <c r="C28" t="s">
        <v>2</v>
      </c>
      <c r="E28" s="9"/>
      <c r="F28" t="s">
        <v>125</v>
      </c>
      <c r="G28" s="10">
        <v>0.05</v>
      </c>
      <c r="I28" s="9">
        <f t="shared" si="2"/>
        <v>9</v>
      </c>
      <c r="J28" s="11" cm="1">
        <f t="array" ref="J28">MAX(IF($N$3:$EH$3=$J$3,N28:EH28))</f>
        <v>0</v>
      </c>
      <c r="K28" s="11" cm="1">
        <f t="array" ref="K28">MAX(IF($N$3:$EH$3=$J$3,N28:EH28))</f>
        <v>0</v>
      </c>
      <c r="L28" s="9"/>
      <c r="N28">
        <v>3</v>
      </c>
      <c r="O28" s="10"/>
      <c r="P28" s="10">
        <v>0.5</v>
      </c>
      <c r="Q28" s="10"/>
      <c r="R28" s="10">
        <v>0.5</v>
      </c>
      <c r="V28" s="10"/>
      <c r="W28" s="10">
        <v>0.5</v>
      </c>
      <c r="X28" s="10"/>
      <c r="Y28" s="10">
        <v>0.5</v>
      </c>
      <c r="AB28">
        <v>3</v>
      </c>
      <c r="AC28" s="10"/>
      <c r="AD28" s="10">
        <v>0.8</v>
      </c>
      <c r="AE28" s="10"/>
      <c r="AF28" s="10">
        <v>0.8</v>
      </c>
      <c r="AJ28" s="10"/>
      <c r="AK28" s="10">
        <v>0.8</v>
      </c>
      <c r="AL28" s="10"/>
      <c r="AM28" s="10">
        <v>0.8</v>
      </c>
      <c r="AQ28" s="10"/>
      <c r="AR28" s="10">
        <v>0.8</v>
      </c>
      <c r="AS28" s="10"/>
      <c r="AT28" s="10">
        <v>0.8</v>
      </c>
      <c r="AW28">
        <v>3</v>
      </c>
      <c r="AX28" s="10"/>
      <c r="AY28" s="10">
        <v>1</v>
      </c>
      <c r="AZ28" s="10"/>
      <c r="BA28" s="10">
        <v>1</v>
      </c>
      <c r="BE28" s="10"/>
      <c r="BF28" s="10">
        <v>1</v>
      </c>
      <c r="BG28" s="10"/>
      <c r="BH28" s="10">
        <v>1</v>
      </c>
      <c r="BL28" s="10"/>
      <c r="BM28" s="10">
        <v>1</v>
      </c>
      <c r="BN28" s="10"/>
      <c r="BO28" s="10">
        <v>1</v>
      </c>
      <c r="BS28" s="10"/>
      <c r="BT28" s="10">
        <v>1</v>
      </c>
      <c r="BU28" s="10"/>
      <c r="BV28" s="10">
        <v>1</v>
      </c>
      <c r="BZ28" s="10"/>
      <c r="CA28" s="10"/>
      <c r="CB28" s="10"/>
      <c r="CC28" s="10"/>
      <c r="CG28" s="10"/>
      <c r="CH28" s="10"/>
      <c r="CI28" s="10"/>
      <c r="CJ28" s="10"/>
      <c r="CN28" s="10"/>
      <c r="CO28" s="10"/>
      <c r="CP28" s="10"/>
      <c r="CQ28" s="10"/>
      <c r="CU28" s="10"/>
      <c r="CV28" s="10"/>
      <c r="CW28" s="10"/>
      <c r="CX28" s="10"/>
      <c r="DB28" s="10"/>
      <c r="DC28" s="10"/>
      <c r="DD28" s="10"/>
      <c r="DE28" s="10"/>
    </row>
    <row r="29" spans="2:109" outlineLevel="1" x14ac:dyDescent="0.2">
      <c r="B29" t="s">
        <v>29</v>
      </c>
      <c r="C29" t="s">
        <v>2</v>
      </c>
      <c r="E29" s="9"/>
      <c r="F29" t="s">
        <v>126</v>
      </c>
      <c r="G29" s="10">
        <v>0.05</v>
      </c>
      <c r="I29" s="9">
        <f t="shared" si="2"/>
        <v>9</v>
      </c>
      <c r="J29" s="11" cm="1">
        <f t="array" ref="J29">MAX(IF($N$3:$EH$3=$J$3,N29:EH29))</f>
        <v>0</v>
      </c>
      <c r="K29" s="11" cm="1">
        <f t="array" ref="K29">MAX(IF($N$3:$EH$3=$J$3,N29:EH29))</f>
        <v>0</v>
      </c>
      <c r="L29" s="9"/>
      <c r="N29">
        <v>3</v>
      </c>
      <c r="O29" s="10"/>
      <c r="P29" s="10">
        <v>0.5</v>
      </c>
      <c r="Q29" s="10"/>
      <c r="R29" s="10">
        <v>0.5</v>
      </c>
      <c r="V29" s="10"/>
      <c r="W29" s="10">
        <v>0.5</v>
      </c>
      <c r="X29" s="10"/>
      <c r="Y29" s="10">
        <v>0.5</v>
      </c>
      <c r="AC29" s="10"/>
      <c r="AD29" s="10">
        <v>0.5</v>
      </c>
      <c r="AE29" s="10"/>
      <c r="AF29" s="10">
        <v>0.5</v>
      </c>
      <c r="AI29">
        <v>3</v>
      </c>
      <c r="AJ29" s="10"/>
      <c r="AK29" s="10">
        <v>0.8</v>
      </c>
      <c r="AL29" s="10"/>
      <c r="AM29" s="10">
        <v>0.8</v>
      </c>
      <c r="AQ29" s="10"/>
      <c r="AR29" s="10">
        <v>0.8</v>
      </c>
      <c r="AS29" s="10"/>
      <c r="AT29" s="10">
        <v>0.8</v>
      </c>
      <c r="AX29" s="10"/>
      <c r="AY29" s="10">
        <v>0.8</v>
      </c>
      <c r="AZ29" s="10"/>
      <c r="BA29" s="10">
        <v>0.8</v>
      </c>
      <c r="BD29">
        <v>3</v>
      </c>
      <c r="BE29" s="10"/>
      <c r="BF29" s="10">
        <v>1</v>
      </c>
      <c r="BG29" s="10"/>
      <c r="BH29" s="10">
        <v>1</v>
      </c>
      <c r="BL29" s="10"/>
      <c r="BM29" s="10">
        <v>1</v>
      </c>
      <c r="BN29" s="10"/>
      <c r="BO29" s="10">
        <v>1</v>
      </c>
      <c r="BS29" s="10"/>
      <c r="BT29" s="10">
        <v>1</v>
      </c>
      <c r="BU29" s="10"/>
      <c r="BV29" s="10">
        <v>1</v>
      </c>
      <c r="BZ29" s="10"/>
      <c r="CA29" s="10"/>
      <c r="CB29" s="10"/>
      <c r="CC29" s="10"/>
      <c r="CG29" s="10"/>
      <c r="CH29" s="10"/>
      <c r="CI29" s="10"/>
      <c r="CJ29" s="10"/>
      <c r="CN29" s="10"/>
      <c r="CO29" s="10"/>
      <c r="CP29" s="10"/>
      <c r="CQ29" s="10"/>
      <c r="CU29" s="10"/>
      <c r="CV29" s="10"/>
      <c r="CW29" s="10"/>
      <c r="CX29" s="10"/>
      <c r="DB29" s="10"/>
      <c r="DC29" s="10"/>
      <c r="DD29" s="10"/>
      <c r="DE29" s="10"/>
    </row>
    <row r="30" spans="2:109" outlineLevel="1" x14ac:dyDescent="0.2">
      <c r="B30" t="s">
        <v>29</v>
      </c>
      <c r="C30" t="s">
        <v>2</v>
      </c>
      <c r="E30" s="9"/>
      <c r="F30" t="s">
        <v>127</v>
      </c>
      <c r="G30" s="10">
        <v>0.05</v>
      </c>
      <c r="I30" s="9">
        <f t="shared" si="2"/>
        <v>9</v>
      </c>
      <c r="J30" s="11" cm="1">
        <f t="array" ref="J30">MAX(IF($N$3:$EH$3=$J$3,N30:EH30))</f>
        <v>0</v>
      </c>
      <c r="K30" s="11" cm="1">
        <f t="array" ref="K30">MAX(IF($N$3:$EH$3=$J$3,N30:EH30))</f>
        <v>0</v>
      </c>
      <c r="L30" s="9"/>
      <c r="O30" s="10"/>
      <c r="P30" s="10"/>
      <c r="Q30" s="10"/>
      <c r="R30" s="10"/>
      <c r="U30">
        <v>3</v>
      </c>
      <c r="V30" s="10"/>
      <c r="W30" s="10">
        <v>0.5</v>
      </c>
      <c r="X30" s="10"/>
      <c r="Y30" s="10">
        <v>0.5</v>
      </c>
      <c r="AC30" s="10"/>
      <c r="AD30" s="10">
        <v>0.5</v>
      </c>
      <c r="AE30" s="10"/>
      <c r="AF30" s="10">
        <v>0.5</v>
      </c>
      <c r="AI30">
        <v>3</v>
      </c>
      <c r="AJ30" s="10"/>
      <c r="AK30" s="10">
        <v>0.8</v>
      </c>
      <c r="AL30" s="10"/>
      <c r="AM30" s="10">
        <v>0.8</v>
      </c>
      <c r="AQ30" s="10"/>
      <c r="AR30" s="10">
        <v>0.8</v>
      </c>
      <c r="AS30" s="10"/>
      <c r="AT30" s="10">
        <v>0.8</v>
      </c>
      <c r="AX30" s="10"/>
      <c r="AY30" s="10">
        <v>0.8</v>
      </c>
      <c r="AZ30" s="10"/>
      <c r="BA30" s="10">
        <v>0.8</v>
      </c>
      <c r="BD30">
        <v>3</v>
      </c>
      <c r="BE30" s="10"/>
      <c r="BF30" s="10">
        <v>1</v>
      </c>
      <c r="BG30" s="10"/>
      <c r="BH30" s="10">
        <v>1</v>
      </c>
      <c r="BL30" s="10"/>
      <c r="BM30" s="10">
        <v>1</v>
      </c>
      <c r="BN30" s="10"/>
      <c r="BO30" s="10">
        <v>1</v>
      </c>
      <c r="BS30" s="10"/>
      <c r="BT30" s="10">
        <v>1</v>
      </c>
      <c r="BU30" s="10"/>
      <c r="BV30" s="10">
        <v>1</v>
      </c>
      <c r="BZ30" s="10"/>
      <c r="CA30" s="10"/>
      <c r="CB30" s="10"/>
      <c r="CC30" s="10"/>
      <c r="CG30" s="10"/>
      <c r="CH30" s="10"/>
      <c r="CI30" s="10"/>
      <c r="CJ30" s="10"/>
      <c r="CN30" s="10"/>
      <c r="CO30" s="10"/>
      <c r="CP30" s="10"/>
      <c r="CQ30" s="10"/>
      <c r="CU30" s="10"/>
      <c r="CV30" s="10"/>
      <c r="CW30" s="10"/>
      <c r="CX30" s="10"/>
      <c r="DB30" s="10"/>
      <c r="DC30" s="10"/>
      <c r="DD30" s="10"/>
      <c r="DE30" s="10"/>
    </row>
    <row r="31" spans="2:109" outlineLevel="1" x14ac:dyDescent="0.2">
      <c r="B31" t="s">
        <v>29</v>
      </c>
      <c r="C31" t="s">
        <v>2</v>
      </c>
      <c r="E31" s="9"/>
      <c r="F31" t="s">
        <v>128</v>
      </c>
      <c r="G31" s="10">
        <v>0.1</v>
      </c>
      <c r="I31" s="9">
        <f t="shared" si="2"/>
        <v>9</v>
      </c>
      <c r="J31" s="11" cm="1">
        <f t="array" ref="J31">MAX(IF($N$3:$EH$3=$J$3,N31:EH31))</f>
        <v>0</v>
      </c>
      <c r="K31" s="11" cm="1">
        <f t="array" ref="K31">MAX(IF($N$3:$EH$3=$J$3,N31:EH31))</f>
        <v>0</v>
      </c>
      <c r="L31" s="9"/>
      <c r="O31" s="10"/>
      <c r="P31" s="10"/>
      <c r="Q31" s="10"/>
      <c r="R31" s="10"/>
      <c r="U31">
        <v>3</v>
      </c>
      <c r="V31" s="10"/>
      <c r="W31" s="10">
        <v>0.5</v>
      </c>
      <c r="X31" s="10"/>
      <c r="Y31" s="10">
        <v>0.5</v>
      </c>
      <c r="AC31" s="10"/>
      <c r="AD31" s="10">
        <v>0.5</v>
      </c>
      <c r="AE31" s="10"/>
      <c r="AF31" s="10">
        <v>0.5</v>
      </c>
      <c r="AJ31" s="10"/>
      <c r="AK31" s="10">
        <v>0.5</v>
      </c>
      <c r="AL31" s="10"/>
      <c r="AM31" s="10">
        <v>0.5</v>
      </c>
      <c r="AP31">
        <v>3</v>
      </c>
      <c r="AQ31" s="10"/>
      <c r="AR31" s="10">
        <v>0.8</v>
      </c>
      <c r="AS31" s="10"/>
      <c r="AT31" s="10">
        <v>0.8</v>
      </c>
      <c r="AX31" s="10"/>
      <c r="AY31" s="10">
        <v>0.8</v>
      </c>
      <c r="AZ31" s="10"/>
      <c r="BA31" s="10">
        <v>0.8</v>
      </c>
      <c r="BE31" s="10"/>
      <c r="BF31" s="10">
        <v>0.8</v>
      </c>
      <c r="BG31" s="10"/>
      <c r="BH31" s="10">
        <v>0.8</v>
      </c>
      <c r="BK31">
        <v>3</v>
      </c>
      <c r="BL31" s="10"/>
      <c r="BM31" s="10">
        <v>1</v>
      </c>
      <c r="BN31" s="10"/>
      <c r="BO31" s="10">
        <v>1</v>
      </c>
      <c r="BS31" s="10"/>
      <c r="BT31" s="10">
        <v>1</v>
      </c>
      <c r="BU31" s="10"/>
      <c r="BV31" s="10">
        <v>1</v>
      </c>
      <c r="BZ31" s="10"/>
      <c r="CA31" s="10"/>
      <c r="CB31" s="10"/>
      <c r="CC31" s="10"/>
      <c r="CG31" s="10"/>
      <c r="CH31" s="10"/>
      <c r="CI31" s="10"/>
      <c r="CJ31" s="10"/>
      <c r="CN31" s="10"/>
      <c r="CO31" s="10"/>
      <c r="CP31" s="10"/>
      <c r="CQ31" s="10"/>
      <c r="CU31" s="10"/>
      <c r="CV31" s="10"/>
      <c r="CW31" s="10"/>
      <c r="CX31" s="10"/>
      <c r="DB31" s="10"/>
      <c r="DC31" s="10"/>
      <c r="DD31" s="10"/>
      <c r="DE31" s="10"/>
    </row>
    <row r="32" spans="2:109" outlineLevel="1" x14ac:dyDescent="0.2">
      <c r="B32" t="s">
        <v>29</v>
      </c>
      <c r="C32" t="s">
        <v>2</v>
      </c>
      <c r="E32" s="9"/>
      <c r="F32" t="s">
        <v>129</v>
      </c>
      <c r="G32" s="10">
        <v>0.1</v>
      </c>
      <c r="I32" s="9">
        <f t="shared" si="2"/>
        <v>9</v>
      </c>
      <c r="J32" s="11" cm="1">
        <f t="array" ref="J32">MAX(IF($N$3:$EH$3=$J$3,N32:EH32))</f>
        <v>0</v>
      </c>
      <c r="K32" s="11" cm="1">
        <f t="array" ref="K32">MAX(IF($N$3:$EH$3=$J$3,N32:EH32))</f>
        <v>0</v>
      </c>
      <c r="L32" s="9"/>
      <c r="O32" s="10"/>
      <c r="P32" s="10"/>
      <c r="Q32" s="10"/>
      <c r="R32" s="10"/>
      <c r="U32">
        <v>3</v>
      </c>
      <c r="V32" s="10"/>
      <c r="W32" s="10">
        <v>0.5</v>
      </c>
      <c r="X32" s="10"/>
      <c r="Y32" s="10">
        <v>0.5</v>
      </c>
      <c r="AC32" s="10"/>
      <c r="AD32" s="10">
        <v>0.5</v>
      </c>
      <c r="AE32" s="10"/>
      <c r="AF32" s="10">
        <v>0.5</v>
      </c>
      <c r="AJ32" s="10"/>
      <c r="AK32" s="10">
        <v>0.5</v>
      </c>
      <c r="AL32" s="10"/>
      <c r="AM32" s="10">
        <v>0.5</v>
      </c>
      <c r="AP32">
        <v>3</v>
      </c>
      <c r="AQ32" s="10"/>
      <c r="AR32" s="10">
        <v>0.8</v>
      </c>
      <c r="AS32" s="10"/>
      <c r="AT32" s="10">
        <v>0.8</v>
      </c>
      <c r="AX32" s="10"/>
      <c r="AY32" s="10">
        <v>0.8</v>
      </c>
      <c r="AZ32" s="10"/>
      <c r="BA32" s="10">
        <v>0.8</v>
      </c>
      <c r="BE32" s="10"/>
      <c r="BF32" s="10">
        <v>0.8</v>
      </c>
      <c r="BG32" s="10"/>
      <c r="BH32" s="10">
        <v>0.8</v>
      </c>
      <c r="BK32">
        <v>3</v>
      </c>
      <c r="BL32" s="10"/>
      <c r="BM32" s="10">
        <v>1</v>
      </c>
      <c r="BN32" s="10"/>
      <c r="BO32" s="10">
        <v>1</v>
      </c>
      <c r="BS32" s="10"/>
      <c r="BT32" s="10">
        <v>1</v>
      </c>
      <c r="BU32" s="10"/>
      <c r="BV32" s="10">
        <v>1</v>
      </c>
      <c r="BZ32" s="10"/>
      <c r="CA32" s="10"/>
      <c r="CB32" s="10"/>
      <c r="CC32" s="10"/>
      <c r="CG32" s="10"/>
      <c r="CH32" s="10"/>
      <c r="CI32" s="10"/>
      <c r="CJ32" s="10"/>
      <c r="CN32" s="10"/>
      <c r="CO32" s="10"/>
      <c r="CP32" s="10"/>
      <c r="CQ32" s="10"/>
      <c r="CU32" s="10"/>
      <c r="CV32" s="10"/>
      <c r="CW32" s="10"/>
      <c r="CX32" s="10"/>
      <c r="DB32" s="10"/>
      <c r="DC32" s="10"/>
      <c r="DD32" s="10"/>
      <c r="DE32" s="10"/>
    </row>
    <row r="33" spans="2:109" outlineLevel="1" x14ac:dyDescent="0.2">
      <c r="B33" t="s">
        <v>29</v>
      </c>
      <c r="C33" t="s">
        <v>2</v>
      </c>
      <c r="E33" s="9"/>
      <c r="F33" t="s">
        <v>130</v>
      </c>
      <c r="G33" s="10">
        <v>0.1</v>
      </c>
      <c r="I33" s="9">
        <f t="shared" si="2"/>
        <v>9</v>
      </c>
      <c r="J33" s="11" cm="1">
        <f t="array" ref="J33">MAX(IF($N$3:$EH$3=$J$3,N33:EH33))</f>
        <v>0</v>
      </c>
      <c r="K33" s="11" cm="1">
        <f t="array" ref="K33">MAX(IF($N$3:$EH$3=$J$3,N33:EH33))</f>
        <v>0</v>
      </c>
      <c r="L33" s="9"/>
      <c r="O33" s="10"/>
      <c r="P33" s="10"/>
      <c r="Q33" s="10"/>
      <c r="R33" s="10"/>
      <c r="V33" s="10"/>
      <c r="W33" s="10"/>
      <c r="X33" s="10"/>
      <c r="Y33" s="10"/>
      <c r="AB33">
        <v>3</v>
      </c>
      <c r="AC33" s="10"/>
      <c r="AD33" s="10">
        <v>0.5</v>
      </c>
      <c r="AE33" s="10"/>
      <c r="AF33" s="10">
        <v>0.5</v>
      </c>
      <c r="AJ33" s="10"/>
      <c r="AK33" s="10">
        <v>0.5</v>
      </c>
      <c r="AL33" s="10"/>
      <c r="AM33" s="10">
        <v>0.5</v>
      </c>
      <c r="AQ33" s="10"/>
      <c r="AR33" s="10">
        <v>0.5</v>
      </c>
      <c r="AS33" s="10"/>
      <c r="AT33" s="10">
        <v>0.5</v>
      </c>
      <c r="AW33">
        <v>3</v>
      </c>
      <c r="AX33" s="10"/>
      <c r="AY33" s="10">
        <v>0.8</v>
      </c>
      <c r="AZ33" s="10"/>
      <c r="BA33" s="10">
        <v>0.8</v>
      </c>
      <c r="BE33" s="10"/>
      <c r="BF33" s="10">
        <v>0.8</v>
      </c>
      <c r="BG33" s="10"/>
      <c r="BH33" s="10">
        <v>0.8</v>
      </c>
      <c r="BL33" s="10"/>
      <c r="BM33" s="10">
        <v>0.8</v>
      </c>
      <c r="BN33" s="10"/>
      <c r="BO33" s="10">
        <v>0.8</v>
      </c>
      <c r="BR33">
        <v>3</v>
      </c>
      <c r="BS33" s="10"/>
      <c r="BT33" s="10">
        <v>1</v>
      </c>
      <c r="BU33" s="10"/>
      <c r="BV33" s="10">
        <v>1</v>
      </c>
      <c r="BZ33" s="10"/>
      <c r="CA33" s="10"/>
      <c r="CB33" s="10"/>
      <c r="CC33" s="10"/>
      <c r="CG33" s="10"/>
      <c r="CH33" s="10"/>
      <c r="CI33" s="10"/>
      <c r="CJ33" s="10"/>
      <c r="CN33" s="10"/>
      <c r="CO33" s="10"/>
      <c r="CP33" s="10"/>
      <c r="CQ33" s="10"/>
      <c r="CU33" s="10"/>
      <c r="CV33" s="10"/>
      <c r="CW33" s="10"/>
      <c r="CX33" s="10"/>
      <c r="DB33" s="10"/>
      <c r="DC33" s="10"/>
      <c r="DD33" s="10"/>
      <c r="DE33" s="10"/>
    </row>
    <row r="34" spans="2:109" outlineLevel="1" x14ac:dyDescent="0.2">
      <c r="B34" t="s">
        <v>29</v>
      </c>
      <c r="C34" t="s">
        <v>2</v>
      </c>
      <c r="E34" s="9"/>
      <c r="F34" t="s">
        <v>131</v>
      </c>
      <c r="G34" s="10">
        <v>0.1</v>
      </c>
      <c r="I34" s="9">
        <f t="shared" si="2"/>
        <v>9</v>
      </c>
      <c r="J34" s="11" cm="1">
        <f t="array" ref="J34">MAX(IF($N$3:$EH$3=$J$3,N34:EH34))</f>
        <v>0</v>
      </c>
      <c r="K34" s="11" cm="1">
        <f t="array" ref="K34">MAX(IF($N$3:$EH$3=$J$3,N34:EH34))</f>
        <v>0</v>
      </c>
      <c r="L34" s="9"/>
      <c r="O34" s="10"/>
      <c r="P34" s="10"/>
      <c r="Q34" s="10"/>
      <c r="R34" s="10"/>
      <c r="V34" s="10"/>
      <c r="W34" s="10"/>
      <c r="X34" s="10"/>
      <c r="Y34" s="10"/>
      <c r="AC34" s="10"/>
      <c r="AD34" s="10"/>
      <c r="AE34" s="10"/>
      <c r="AF34" s="10"/>
      <c r="AI34">
        <v>3</v>
      </c>
      <c r="AJ34" s="10"/>
      <c r="AK34" s="10">
        <v>0.5</v>
      </c>
      <c r="AL34" s="10"/>
      <c r="AM34" s="10">
        <v>0.5</v>
      </c>
      <c r="AQ34" s="10"/>
      <c r="AR34" s="10">
        <v>0.5</v>
      </c>
      <c r="AS34" s="10"/>
      <c r="AT34" s="10">
        <v>0.5</v>
      </c>
      <c r="AW34">
        <v>3</v>
      </c>
      <c r="AX34" s="10"/>
      <c r="AY34" s="10">
        <v>0.8</v>
      </c>
      <c r="AZ34" s="10"/>
      <c r="BA34" s="10">
        <v>0.8</v>
      </c>
      <c r="BE34" s="10"/>
      <c r="BF34" s="10">
        <v>0.8</v>
      </c>
      <c r="BG34" s="10"/>
      <c r="BH34" s="10">
        <v>0.8</v>
      </c>
      <c r="BL34" s="10"/>
      <c r="BM34" s="10">
        <v>0.8</v>
      </c>
      <c r="BN34" s="10"/>
      <c r="BO34" s="10">
        <v>0.8</v>
      </c>
      <c r="BR34">
        <v>3</v>
      </c>
      <c r="BS34" s="10"/>
      <c r="BT34" s="10">
        <v>1</v>
      </c>
      <c r="BU34" s="10"/>
      <c r="BV34" s="10">
        <v>1</v>
      </c>
      <c r="BZ34" s="10"/>
      <c r="CA34" s="10"/>
      <c r="CB34" s="10"/>
      <c r="CC34" s="10"/>
      <c r="CG34" s="10"/>
      <c r="CH34" s="10"/>
      <c r="CI34" s="10"/>
      <c r="CJ34" s="10"/>
      <c r="CN34" s="10"/>
      <c r="CO34" s="10"/>
      <c r="CP34" s="10"/>
      <c r="CQ34" s="10"/>
      <c r="CU34" s="10"/>
      <c r="CV34" s="10"/>
      <c r="CW34" s="10"/>
      <c r="CX34" s="10"/>
      <c r="DB34" s="10"/>
      <c r="DC34" s="10"/>
      <c r="DD34" s="10"/>
      <c r="DE34" s="10"/>
    </row>
    <row r="36" spans="2:109" x14ac:dyDescent="0.2">
      <c r="B36" t="s">
        <v>28</v>
      </c>
      <c r="C36" t="s">
        <v>96</v>
      </c>
      <c r="D36" s="19">
        <v>45131</v>
      </c>
      <c r="E36" s="9">
        <v>5</v>
      </c>
      <c r="G36" s="10">
        <f>+SUM(G37:G46)</f>
        <v>0.94999999999999984</v>
      </c>
      <c r="I36" s="12">
        <f>+SUM(I37:I46)</f>
        <v>90</v>
      </c>
      <c r="J36" s="11">
        <f>+SUMPRODUCT(G37:G46,J37:J46)</f>
        <v>0</v>
      </c>
      <c r="K36" s="11">
        <f>+SUMPRODUCT(G37:G46,K37:K46)</f>
        <v>0</v>
      </c>
      <c r="L36" s="9"/>
      <c r="N36" s="12">
        <f>+SUM(N37:N46)</f>
        <v>9</v>
      </c>
      <c r="U36" s="12">
        <f>+SUM(U37:U46)</f>
        <v>9</v>
      </c>
      <c r="AB36" s="12">
        <f>+SUM(AB37:AB46)</f>
        <v>9</v>
      </c>
      <c r="AI36" s="12">
        <f>+SUM(AI37:AI46)</f>
        <v>12</v>
      </c>
      <c r="AP36" s="12">
        <f>+SUM(AP37:AP46)</f>
        <v>12</v>
      </c>
      <c r="AW36" s="12">
        <f>+SUM(AW37:AW46)</f>
        <v>9</v>
      </c>
      <c r="BD36" s="12">
        <f>+SUM(BD37:BD46)</f>
        <v>12</v>
      </c>
      <c r="BK36" s="12">
        <f>+SUM(BK37:BK46)</f>
        <v>9</v>
      </c>
      <c r="BR36" s="12">
        <f>+SUM(BR37:BR46)</f>
        <v>9</v>
      </c>
    </row>
    <row r="37" spans="2:109" outlineLevel="1" x14ac:dyDescent="0.2">
      <c r="B37" t="s">
        <v>29</v>
      </c>
      <c r="C37" t="s">
        <v>96</v>
      </c>
      <c r="E37" s="9"/>
      <c r="F37" t="s">
        <v>142</v>
      </c>
      <c r="G37" s="10">
        <v>0.1</v>
      </c>
      <c r="I37" s="9">
        <f t="shared" ref="I37:I58" si="3">+SUMIF($N$3:$ZZ$3,I$3,$N37:$ZZ37)</f>
        <v>9</v>
      </c>
      <c r="J37" s="11" cm="1">
        <f t="array" ref="J37">MAX(IF($N$3:$EH$3=$J$3,N37:EH37))</f>
        <v>0</v>
      </c>
      <c r="K37" s="11" cm="1">
        <f t="array" ref="K37">MAX(IF($N$3:$EH$3=$J$3,N37:EH37))</f>
        <v>0</v>
      </c>
      <c r="L37" s="9"/>
      <c r="N37">
        <v>3</v>
      </c>
      <c r="O37" s="10"/>
      <c r="P37" s="10">
        <v>0.5</v>
      </c>
      <c r="Q37" s="10"/>
      <c r="R37" s="10">
        <v>0.5</v>
      </c>
      <c r="U37">
        <v>3</v>
      </c>
      <c r="V37" s="10"/>
      <c r="W37" s="10">
        <v>0.8</v>
      </c>
      <c r="X37" s="10"/>
      <c r="Y37" s="10">
        <v>0.8</v>
      </c>
      <c r="AC37" s="10"/>
      <c r="AD37" s="10">
        <v>0.8</v>
      </c>
      <c r="AE37" s="10"/>
      <c r="AF37" s="10">
        <v>0.8</v>
      </c>
      <c r="AJ37" s="10"/>
      <c r="AK37" s="10">
        <v>0.8</v>
      </c>
      <c r="AL37" s="10"/>
      <c r="AM37" s="10">
        <v>0.8</v>
      </c>
      <c r="AP37">
        <v>3</v>
      </c>
      <c r="AQ37" s="10"/>
      <c r="AR37" s="10">
        <v>1</v>
      </c>
      <c r="AS37" s="10"/>
      <c r="AT37" s="10">
        <v>1</v>
      </c>
      <c r="AX37" s="10"/>
      <c r="AY37" s="10">
        <v>1</v>
      </c>
      <c r="AZ37" s="10"/>
      <c r="BA37" s="10">
        <v>1</v>
      </c>
      <c r="BE37" s="10"/>
      <c r="BF37" s="10">
        <v>1</v>
      </c>
      <c r="BG37" s="10"/>
      <c r="BH37" s="10">
        <v>1</v>
      </c>
      <c r="BL37" s="10"/>
      <c r="BM37" s="10">
        <v>1</v>
      </c>
      <c r="BN37" s="10"/>
      <c r="BO37" s="10">
        <v>1</v>
      </c>
      <c r="BS37" s="10"/>
      <c r="BT37" s="10">
        <v>1</v>
      </c>
      <c r="BU37" s="10"/>
      <c r="BV37" s="10">
        <v>1</v>
      </c>
      <c r="BZ37" s="10"/>
      <c r="CA37" s="10"/>
      <c r="CB37" s="10"/>
      <c r="CC37" s="10"/>
      <c r="CG37" s="10"/>
      <c r="CH37" s="10"/>
      <c r="CI37" s="10"/>
      <c r="CJ37" s="10"/>
      <c r="CN37" s="10"/>
      <c r="CO37" s="10"/>
      <c r="CP37" s="10"/>
      <c r="CQ37" s="10"/>
      <c r="CU37" s="10"/>
      <c r="CV37" s="10"/>
      <c r="CW37" s="10"/>
      <c r="CX37" s="10"/>
      <c r="DB37" s="10"/>
      <c r="DC37" s="10"/>
      <c r="DD37" s="10"/>
      <c r="DE37" s="10"/>
    </row>
    <row r="38" spans="2:109" outlineLevel="1" x14ac:dyDescent="0.2">
      <c r="B38" t="s">
        <v>29</v>
      </c>
      <c r="C38" t="s">
        <v>96</v>
      </c>
      <c r="E38" s="9"/>
      <c r="F38" t="s">
        <v>143</v>
      </c>
      <c r="G38" s="10">
        <v>0.05</v>
      </c>
      <c r="I38" s="9">
        <f t="shared" si="3"/>
        <v>9</v>
      </c>
      <c r="J38" s="11" cm="1">
        <f t="array" ref="J38">MAX(IF($N$3:$EH$3=$J$3,N38:EH38))</f>
        <v>0</v>
      </c>
      <c r="K38" s="11" cm="1">
        <f t="array" ref="K38">MAX(IF($N$3:$EH$3=$J$3,N38:EH38))</f>
        <v>0</v>
      </c>
      <c r="L38" s="9"/>
      <c r="N38">
        <v>3</v>
      </c>
      <c r="O38" s="10"/>
      <c r="P38" s="10">
        <v>0.5</v>
      </c>
      <c r="Q38" s="10"/>
      <c r="R38" s="10">
        <v>0.5</v>
      </c>
      <c r="U38">
        <v>3</v>
      </c>
      <c r="V38" s="10"/>
      <c r="W38" s="10">
        <v>0.8</v>
      </c>
      <c r="X38" s="10"/>
      <c r="Y38" s="10">
        <v>0.8</v>
      </c>
      <c r="AC38" s="10"/>
      <c r="AD38" s="10">
        <v>0.8</v>
      </c>
      <c r="AE38" s="10"/>
      <c r="AF38" s="10">
        <v>0.8</v>
      </c>
      <c r="AJ38" s="10"/>
      <c r="AK38" s="10">
        <v>0.8</v>
      </c>
      <c r="AL38" s="10"/>
      <c r="AM38" s="10">
        <v>0.8</v>
      </c>
      <c r="AQ38" s="10"/>
      <c r="AR38" s="10">
        <v>0.8</v>
      </c>
      <c r="AS38" s="10"/>
      <c r="AT38" s="10">
        <v>0.8</v>
      </c>
      <c r="AW38">
        <v>3</v>
      </c>
      <c r="AX38" s="10"/>
      <c r="AY38" s="10">
        <v>1</v>
      </c>
      <c r="AZ38" s="10"/>
      <c r="BA38" s="10">
        <v>1</v>
      </c>
      <c r="BE38" s="10"/>
      <c r="BF38" s="10">
        <v>1</v>
      </c>
      <c r="BG38" s="10"/>
      <c r="BH38" s="10">
        <v>1</v>
      </c>
      <c r="BL38" s="10"/>
      <c r="BM38" s="10">
        <v>1</v>
      </c>
      <c r="BN38" s="10"/>
      <c r="BO38" s="10">
        <v>1</v>
      </c>
      <c r="BS38" s="10"/>
      <c r="BT38" s="10">
        <v>1</v>
      </c>
      <c r="BU38" s="10"/>
      <c r="BV38" s="10">
        <v>1</v>
      </c>
      <c r="BZ38" s="10"/>
      <c r="CA38" s="10"/>
      <c r="CB38" s="10"/>
      <c r="CC38" s="10"/>
      <c r="CG38" s="10"/>
      <c r="CH38" s="10"/>
      <c r="CI38" s="10"/>
      <c r="CJ38" s="10"/>
      <c r="CN38" s="10"/>
      <c r="CO38" s="10"/>
      <c r="CP38" s="10"/>
      <c r="CQ38" s="10"/>
      <c r="CU38" s="10"/>
      <c r="CV38" s="10"/>
      <c r="CW38" s="10"/>
      <c r="CX38" s="10"/>
      <c r="DB38" s="10"/>
      <c r="DC38" s="10"/>
      <c r="DD38" s="10"/>
      <c r="DE38" s="10"/>
    </row>
    <row r="39" spans="2:109" outlineLevel="1" x14ac:dyDescent="0.2">
      <c r="B39" t="s">
        <v>29</v>
      </c>
      <c r="C39" t="s">
        <v>96</v>
      </c>
      <c r="E39" s="9"/>
      <c r="F39" t="s">
        <v>144</v>
      </c>
      <c r="G39" s="10">
        <v>0.1</v>
      </c>
      <c r="I39" s="9">
        <f t="shared" si="3"/>
        <v>9</v>
      </c>
      <c r="J39" s="11" cm="1">
        <f t="array" ref="J39">MAX(IF($N$3:$EH$3=$J$3,N39:EH39))</f>
        <v>0</v>
      </c>
      <c r="K39" s="11" cm="1">
        <f t="array" ref="K39">MAX(IF($N$3:$EH$3=$J$3,N39:EH39))</f>
        <v>0</v>
      </c>
      <c r="L39" s="9"/>
      <c r="N39">
        <v>3</v>
      </c>
      <c r="O39" s="10"/>
      <c r="P39" s="10">
        <v>0.5</v>
      </c>
      <c r="Q39" s="10"/>
      <c r="R39" s="10">
        <v>0.5</v>
      </c>
      <c r="V39" s="10"/>
      <c r="W39" s="10">
        <v>0.5</v>
      </c>
      <c r="X39" s="10"/>
      <c r="Y39" s="10">
        <v>0.5</v>
      </c>
      <c r="AB39">
        <v>3</v>
      </c>
      <c r="AC39" s="10"/>
      <c r="AD39" s="10">
        <v>0.8</v>
      </c>
      <c r="AE39" s="10"/>
      <c r="AF39" s="10">
        <v>0.8</v>
      </c>
      <c r="AJ39" s="10"/>
      <c r="AK39" s="10">
        <v>0.8</v>
      </c>
      <c r="AL39" s="10"/>
      <c r="AM39" s="10">
        <v>0.8</v>
      </c>
      <c r="AQ39" s="10"/>
      <c r="AR39" s="10">
        <v>0.8</v>
      </c>
      <c r="AS39" s="10"/>
      <c r="AT39" s="10">
        <v>0.8</v>
      </c>
      <c r="AX39" s="10"/>
      <c r="AY39" s="10">
        <v>0.8</v>
      </c>
      <c r="AZ39" s="10"/>
      <c r="BA39" s="10">
        <v>0.8</v>
      </c>
      <c r="BD39">
        <v>3</v>
      </c>
      <c r="BE39" s="10"/>
      <c r="BF39" s="10">
        <v>1</v>
      </c>
      <c r="BG39" s="10"/>
      <c r="BH39" s="10">
        <v>1</v>
      </c>
      <c r="BL39" s="10"/>
      <c r="BM39" s="10">
        <v>1</v>
      </c>
      <c r="BN39" s="10"/>
      <c r="BO39" s="10">
        <v>1</v>
      </c>
      <c r="BS39" s="10"/>
      <c r="BT39" s="10">
        <v>1</v>
      </c>
      <c r="BU39" s="10"/>
      <c r="BV39" s="10">
        <v>1</v>
      </c>
      <c r="BZ39" s="10"/>
      <c r="CA39" s="10"/>
      <c r="CB39" s="10"/>
      <c r="CC39" s="10"/>
      <c r="CG39" s="10"/>
      <c r="CH39" s="10"/>
      <c r="CI39" s="10"/>
      <c r="CJ39" s="10"/>
      <c r="CN39" s="10"/>
      <c r="CO39" s="10"/>
      <c r="CP39" s="10"/>
      <c r="CQ39" s="10"/>
      <c r="CU39" s="10"/>
      <c r="CV39" s="10"/>
      <c r="CW39" s="10"/>
      <c r="CX39" s="10"/>
      <c r="DB39" s="10"/>
      <c r="DC39" s="10"/>
      <c r="DD39" s="10"/>
      <c r="DE39" s="10"/>
    </row>
    <row r="40" spans="2:109" outlineLevel="1" x14ac:dyDescent="0.2">
      <c r="B40" t="s">
        <v>29</v>
      </c>
      <c r="C40" t="s">
        <v>96</v>
      </c>
      <c r="E40" s="9"/>
      <c r="F40" t="s">
        <v>145</v>
      </c>
      <c r="G40" s="10">
        <v>0.1</v>
      </c>
      <c r="I40" s="9">
        <f t="shared" si="3"/>
        <v>9</v>
      </c>
      <c r="J40" s="11" cm="1">
        <f t="array" ref="J40">MAX(IF($N$3:$EH$3=$J$3,N40:EH40))</f>
        <v>0</v>
      </c>
      <c r="K40" s="11" cm="1">
        <f t="array" ref="K40">MAX(IF($N$3:$EH$3=$J$3,N40:EH40))</f>
        <v>0</v>
      </c>
      <c r="L40" s="9"/>
      <c r="O40" s="10"/>
      <c r="P40" s="10"/>
      <c r="Q40" s="10"/>
      <c r="R40" s="10"/>
      <c r="U40">
        <v>3</v>
      </c>
      <c r="V40" s="10"/>
      <c r="W40" s="10">
        <v>0.5</v>
      </c>
      <c r="X40" s="10"/>
      <c r="Y40" s="10">
        <v>0.5</v>
      </c>
      <c r="AB40">
        <v>3</v>
      </c>
      <c r="AC40" s="10"/>
      <c r="AD40" s="10">
        <v>0.8</v>
      </c>
      <c r="AE40" s="10"/>
      <c r="AF40" s="10">
        <v>0.8</v>
      </c>
      <c r="AJ40" s="10"/>
      <c r="AK40" s="10">
        <v>0.8</v>
      </c>
      <c r="AL40" s="10"/>
      <c r="AM40" s="10">
        <v>0.8</v>
      </c>
      <c r="AQ40" s="10"/>
      <c r="AR40" s="10">
        <v>0.8</v>
      </c>
      <c r="AS40" s="10"/>
      <c r="AT40" s="10">
        <v>0.8</v>
      </c>
      <c r="AX40" s="10"/>
      <c r="AY40" s="10">
        <v>0.8</v>
      </c>
      <c r="AZ40" s="10"/>
      <c r="BA40" s="10">
        <v>0.8</v>
      </c>
      <c r="BD40">
        <v>3</v>
      </c>
      <c r="BE40" s="10"/>
      <c r="BF40" s="10">
        <v>1</v>
      </c>
      <c r="BG40" s="10"/>
      <c r="BH40" s="10">
        <v>1</v>
      </c>
      <c r="BL40" s="10"/>
      <c r="BM40" s="10">
        <v>1</v>
      </c>
      <c r="BN40" s="10"/>
      <c r="BO40" s="10">
        <v>1</v>
      </c>
      <c r="BS40" s="10"/>
      <c r="BT40" s="10">
        <v>1</v>
      </c>
      <c r="BU40" s="10"/>
      <c r="BV40" s="10">
        <v>1</v>
      </c>
      <c r="BZ40" s="10"/>
      <c r="CA40" s="10"/>
      <c r="CB40" s="10"/>
      <c r="CC40" s="10"/>
      <c r="CG40" s="10"/>
      <c r="CH40" s="10"/>
      <c r="CI40" s="10"/>
      <c r="CJ40" s="10"/>
      <c r="CN40" s="10"/>
      <c r="CO40" s="10"/>
      <c r="CP40" s="10"/>
      <c r="CQ40" s="10"/>
      <c r="CU40" s="10"/>
      <c r="CV40" s="10"/>
      <c r="CW40" s="10"/>
      <c r="CX40" s="10"/>
      <c r="DB40" s="10"/>
      <c r="DC40" s="10"/>
      <c r="DD40" s="10"/>
      <c r="DE40" s="10"/>
    </row>
    <row r="41" spans="2:109" outlineLevel="1" x14ac:dyDescent="0.2">
      <c r="B41" t="s">
        <v>29</v>
      </c>
      <c r="C41" t="s">
        <v>96</v>
      </c>
      <c r="E41" s="9"/>
      <c r="F41" t="s">
        <v>146</v>
      </c>
      <c r="G41" s="10">
        <v>0.1</v>
      </c>
      <c r="I41" s="9">
        <f t="shared" si="3"/>
        <v>9</v>
      </c>
      <c r="J41" s="11" cm="1">
        <f t="array" ref="J41">MAX(IF($N$3:$EH$3=$J$3,N41:EH41))</f>
        <v>0</v>
      </c>
      <c r="K41" s="11" cm="1">
        <f t="array" ref="K41">MAX(IF($N$3:$EH$3=$J$3,N41:EH41))</f>
        <v>0</v>
      </c>
      <c r="L41" s="9"/>
      <c r="O41" s="10"/>
      <c r="P41" s="10"/>
      <c r="Q41" s="10"/>
      <c r="R41" s="10"/>
      <c r="V41" s="10"/>
      <c r="W41" s="10"/>
      <c r="X41" s="10"/>
      <c r="Y41" s="10"/>
      <c r="AB41">
        <v>3</v>
      </c>
      <c r="AC41" s="10"/>
      <c r="AD41" s="10">
        <v>0.5</v>
      </c>
      <c r="AE41" s="10"/>
      <c r="AF41" s="10">
        <v>0.5</v>
      </c>
      <c r="AJ41" s="10"/>
      <c r="AK41" s="10">
        <v>0.5</v>
      </c>
      <c r="AL41" s="10"/>
      <c r="AM41" s="10">
        <v>0.5</v>
      </c>
      <c r="AP41">
        <v>3</v>
      </c>
      <c r="AQ41" s="10"/>
      <c r="AR41" s="10">
        <v>0.8</v>
      </c>
      <c r="AS41" s="10"/>
      <c r="AT41" s="10">
        <v>0.8</v>
      </c>
      <c r="AX41" s="10"/>
      <c r="AY41" s="10">
        <v>0.8</v>
      </c>
      <c r="AZ41" s="10"/>
      <c r="BA41" s="10">
        <v>0.8</v>
      </c>
      <c r="BE41" s="10"/>
      <c r="BF41" s="10">
        <v>0.8</v>
      </c>
      <c r="BG41" s="10"/>
      <c r="BH41" s="10">
        <v>0.8</v>
      </c>
      <c r="BK41">
        <v>3</v>
      </c>
      <c r="BL41" s="10"/>
      <c r="BM41" s="10">
        <v>1</v>
      </c>
      <c r="BN41" s="10"/>
      <c r="BO41" s="10">
        <v>1</v>
      </c>
      <c r="BS41" s="10"/>
      <c r="BT41" s="10">
        <v>1</v>
      </c>
      <c r="BU41" s="10"/>
      <c r="BV41" s="10">
        <v>1</v>
      </c>
      <c r="BZ41" s="10"/>
      <c r="CA41" s="10"/>
      <c r="CB41" s="10"/>
      <c r="CC41" s="10"/>
      <c r="CG41" s="10"/>
      <c r="CH41" s="10"/>
      <c r="CI41" s="10"/>
      <c r="CJ41" s="10"/>
      <c r="CN41" s="10"/>
      <c r="CO41" s="10"/>
      <c r="CP41" s="10"/>
      <c r="CQ41" s="10"/>
      <c r="CU41" s="10"/>
      <c r="CV41" s="10"/>
      <c r="CW41" s="10"/>
      <c r="CX41" s="10"/>
      <c r="DB41" s="10"/>
      <c r="DC41" s="10"/>
      <c r="DD41" s="10"/>
      <c r="DE41" s="10"/>
    </row>
    <row r="42" spans="2:109" outlineLevel="1" x14ac:dyDescent="0.2">
      <c r="B42" t="s">
        <v>29</v>
      </c>
      <c r="C42" t="s">
        <v>96</v>
      </c>
      <c r="E42" s="9"/>
      <c r="F42" t="s">
        <v>147</v>
      </c>
      <c r="G42" s="10">
        <v>0.1</v>
      </c>
      <c r="I42" s="9">
        <f t="shared" si="3"/>
        <v>9</v>
      </c>
      <c r="J42" s="11" cm="1">
        <f t="array" ref="J42">MAX(IF($N$3:$EH$3=$J$3,N42:EH42))</f>
        <v>0</v>
      </c>
      <c r="K42" s="11" cm="1">
        <f t="array" ref="K42">MAX(IF($N$3:$EH$3=$J$3,N42:EH42))</f>
        <v>0</v>
      </c>
      <c r="L42" s="9"/>
      <c r="O42" s="10"/>
      <c r="P42" s="10"/>
      <c r="Q42" s="10"/>
      <c r="R42" s="10"/>
      <c r="V42" s="10"/>
      <c r="W42" s="10"/>
      <c r="X42" s="10"/>
      <c r="Y42" s="10"/>
      <c r="AC42" s="10"/>
      <c r="AD42" s="10"/>
      <c r="AE42" s="10"/>
      <c r="AF42" s="10"/>
      <c r="AI42">
        <v>3</v>
      </c>
      <c r="AJ42" s="10"/>
      <c r="AK42" s="10">
        <v>0.5</v>
      </c>
      <c r="AL42" s="10"/>
      <c r="AM42" s="10">
        <v>0.5</v>
      </c>
      <c r="AP42">
        <v>3</v>
      </c>
      <c r="AQ42" s="10"/>
      <c r="AR42" s="10">
        <v>0.8</v>
      </c>
      <c r="AS42" s="10"/>
      <c r="AT42" s="10">
        <v>0.8</v>
      </c>
      <c r="AX42" s="10"/>
      <c r="AY42" s="10">
        <v>0.8</v>
      </c>
      <c r="AZ42" s="10"/>
      <c r="BA42" s="10">
        <v>0.8</v>
      </c>
      <c r="BE42" s="10"/>
      <c r="BF42" s="10">
        <v>0.8</v>
      </c>
      <c r="BG42" s="10"/>
      <c r="BH42" s="10">
        <v>0.8</v>
      </c>
      <c r="BK42">
        <v>3</v>
      </c>
      <c r="BL42" s="10"/>
      <c r="BM42" s="10">
        <v>1</v>
      </c>
      <c r="BN42" s="10"/>
      <c r="BO42" s="10">
        <v>1</v>
      </c>
      <c r="BS42" s="10"/>
      <c r="BT42" s="10">
        <v>1</v>
      </c>
      <c r="BU42" s="10"/>
      <c r="BV42" s="10">
        <v>1</v>
      </c>
      <c r="BZ42" s="10"/>
      <c r="CA42" s="10"/>
      <c r="CB42" s="10"/>
      <c r="CC42" s="10"/>
      <c r="CG42" s="10"/>
      <c r="CH42" s="10"/>
      <c r="CI42" s="10"/>
      <c r="CJ42" s="10"/>
      <c r="CN42" s="10"/>
      <c r="CO42" s="10"/>
      <c r="CP42" s="10"/>
      <c r="CQ42" s="10"/>
      <c r="CU42" s="10"/>
      <c r="CV42" s="10"/>
      <c r="CW42" s="10"/>
      <c r="CX42" s="10"/>
      <c r="DB42" s="10"/>
      <c r="DC42" s="10"/>
      <c r="DD42" s="10"/>
      <c r="DE42" s="10"/>
    </row>
    <row r="43" spans="2:109" outlineLevel="1" x14ac:dyDescent="0.2">
      <c r="B43" t="s">
        <v>29</v>
      </c>
      <c r="C43" t="s">
        <v>96</v>
      </c>
      <c r="E43" s="9"/>
      <c r="F43" t="s">
        <v>151</v>
      </c>
      <c r="G43" s="10">
        <v>0.1</v>
      </c>
      <c r="I43" s="9">
        <f t="shared" si="3"/>
        <v>9</v>
      </c>
      <c r="J43" s="11" cm="1">
        <f t="array" ref="J43">MAX(IF($N$3:$EH$3=$J$3,N43:EH43))</f>
        <v>0</v>
      </c>
      <c r="K43" s="11" cm="1">
        <f t="array" ref="K43">MAX(IF($N$3:$EH$3=$J$3,N43:EH43))</f>
        <v>0</v>
      </c>
      <c r="L43" s="9"/>
      <c r="O43" s="10"/>
      <c r="P43" s="10"/>
      <c r="Q43" s="10"/>
      <c r="R43" s="10"/>
      <c r="V43" s="10"/>
      <c r="W43" s="10"/>
      <c r="X43" s="10"/>
      <c r="Y43" s="10"/>
      <c r="AC43" s="10"/>
      <c r="AD43" s="10"/>
      <c r="AE43" s="10"/>
      <c r="AF43" s="10"/>
      <c r="AI43">
        <v>3</v>
      </c>
      <c r="AJ43" s="10"/>
      <c r="AK43" s="10">
        <v>0.5</v>
      </c>
      <c r="AL43" s="10"/>
      <c r="AM43" s="10">
        <v>0.5</v>
      </c>
      <c r="AQ43" s="10"/>
      <c r="AR43" s="10">
        <v>0.5</v>
      </c>
      <c r="AS43" s="10"/>
      <c r="AT43" s="10">
        <v>0.5</v>
      </c>
      <c r="AW43">
        <v>3</v>
      </c>
      <c r="AX43" s="10"/>
      <c r="AY43" s="10">
        <v>0.8</v>
      </c>
      <c r="AZ43" s="10"/>
      <c r="BA43" s="10">
        <v>0.8</v>
      </c>
      <c r="BE43" s="10"/>
      <c r="BF43" s="10">
        <v>0.8</v>
      </c>
      <c r="BG43" s="10"/>
      <c r="BH43" s="10">
        <v>0.8</v>
      </c>
      <c r="BK43">
        <v>3</v>
      </c>
      <c r="BL43" s="10"/>
      <c r="BM43" s="10">
        <v>1</v>
      </c>
      <c r="BN43" s="10"/>
      <c r="BO43" s="10">
        <v>1</v>
      </c>
      <c r="BS43" s="10"/>
      <c r="BT43" s="10">
        <v>1</v>
      </c>
      <c r="BU43" s="10"/>
      <c r="BV43" s="10">
        <v>1</v>
      </c>
      <c r="BZ43" s="10"/>
      <c r="CA43" s="10"/>
      <c r="CB43" s="10"/>
      <c r="CC43" s="10"/>
      <c r="CG43" s="10"/>
      <c r="CH43" s="10"/>
      <c r="CI43" s="10"/>
      <c r="CJ43" s="10"/>
      <c r="CN43" s="10"/>
      <c r="CO43" s="10"/>
      <c r="CP43" s="10"/>
      <c r="CQ43" s="10"/>
      <c r="CU43" s="10"/>
      <c r="CV43" s="10"/>
      <c r="CW43" s="10"/>
      <c r="CX43" s="10"/>
      <c r="DB43" s="10"/>
      <c r="DC43" s="10"/>
      <c r="DD43" s="10"/>
      <c r="DE43" s="10"/>
    </row>
    <row r="44" spans="2:109" outlineLevel="1" x14ac:dyDescent="0.2">
      <c r="B44" t="s">
        <v>29</v>
      </c>
      <c r="C44" t="s">
        <v>96</v>
      </c>
      <c r="E44" s="9"/>
      <c r="F44" t="s">
        <v>150</v>
      </c>
      <c r="G44" s="10">
        <v>0.1</v>
      </c>
      <c r="I44" s="9">
        <f t="shared" si="3"/>
        <v>9</v>
      </c>
      <c r="J44" s="11" cm="1">
        <f t="array" ref="J44">MAX(IF($N$3:$EH$3=$J$3,N44:EH44))</f>
        <v>0</v>
      </c>
      <c r="K44" s="11" cm="1">
        <f t="array" ref="K44">MAX(IF($N$3:$EH$3=$J$3,N44:EH44))</f>
        <v>0</v>
      </c>
      <c r="L44" s="9"/>
      <c r="O44" s="10"/>
      <c r="P44" s="10"/>
      <c r="Q44" s="10"/>
      <c r="R44" s="10"/>
      <c r="V44" s="10"/>
      <c r="W44" s="10"/>
      <c r="X44" s="10"/>
      <c r="Y44" s="10"/>
      <c r="AC44" s="10"/>
      <c r="AD44" s="10"/>
      <c r="AE44" s="10"/>
      <c r="AF44" s="10"/>
      <c r="AI44">
        <v>3</v>
      </c>
      <c r="AJ44" s="10"/>
      <c r="AK44" s="10">
        <v>0.5</v>
      </c>
      <c r="AL44" s="10"/>
      <c r="AM44" s="10">
        <v>0.5</v>
      </c>
      <c r="AQ44" s="10"/>
      <c r="AR44" s="10">
        <v>0.5</v>
      </c>
      <c r="AS44" s="10"/>
      <c r="AT44" s="10">
        <v>0.5</v>
      </c>
      <c r="AW44">
        <v>3</v>
      </c>
      <c r="AX44" s="10"/>
      <c r="AY44" s="10">
        <v>0.8</v>
      </c>
      <c r="AZ44" s="10"/>
      <c r="BA44" s="10">
        <v>0.8</v>
      </c>
      <c r="BE44" s="10"/>
      <c r="BF44" s="10">
        <v>0.8</v>
      </c>
      <c r="BG44" s="10"/>
      <c r="BH44" s="10">
        <v>0.8</v>
      </c>
      <c r="BL44" s="10"/>
      <c r="BM44" s="10">
        <v>0.8</v>
      </c>
      <c r="BN44" s="10"/>
      <c r="BO44" s="10">
        <v>0.8</v>
      </c>
      <c r="BR44">
        <v>3</v>
      </c>
      <c r="BS44" s="10"/>
      <c r="BT44" s="10">
        <v>1</v>
      </c>
      <c r="BU44" s="10"/>
      <c r="BV44" s="10">
        <v>1</v>
      </c>
      <c r="BZ44" s="10"/>
      <c r="CA44" s="10"/>
      <c r="CB44" s="10"/>
      <c r="CC44" s="10"/>
      <c r="CG44" s="10"/>
      <c r="CH44" s="10"/>
      <c r="CI44" s="10"/>
      <c r="CJ44" s="10"/>
      <c r="CN44" s="10"/>
      <c r="CO44" s="10"/>
      <c r="CP44" s="10"/>
      <c r="CQ44" s="10"/>
      <c r="CU44" s="10"/>
      <c r="CV44" s="10"/>
      <c r="CW44" s="10"/>
      <c r="CX44" s="10"/>
      <c r="DB44" s="10"/>
      <c r="DC44" s="10"/>
      <c r="DD44" s="10"/>
      <c r="DE44" s="10"/>
    </row>
    <row r="45" spans="2:109" outlineLevel="1" x14ac:dyDescent="0.2">
      <c r="B45" t="s">
        <v>29</v>
      </c>
      <c r="C45" t="s">
        <v>96</v>
      </c>
      <c r="E45" s="9"/>
      <c r="F45" t="s">
        <v>149</v>
      </c>
      <c r="G45" s="10">
        <v>0.1</v>
      </c>
      <c r="I45" s="9">
        <f t="shared" si="3"/>
        <v>9</v>
      </c>
      <c r="J45" s="11" cm="1">
        <f t="array" ref="J45">MAX(IF($N$3:$EH$3=$J$3,N45:EH45))</f>
        <v>0</v>
      </c>
      <c r="K45" s="11" cm="1">
        <f t="array" ref="K45">MAX(IF($N$3:$EH$3=$J$3,N45:EH45))</f>
        <v>0</v>
      </c>
      <c r="L45" s="9"/>
      <c r="O45" s="10"/>
      <c r="P45" s="10"/>
      <c r="Q45" s="10"/>
      <c r="R45" s="10"/>
      <c r="V45" s="10"/>
      <c r="W45" s="10"/>
      <c r="X45" s="10"/>
      <c r="Y45" s="10"/>
      <c r="AC45" s="10"/>
      <c r="AD45" s="10"/>
      <c r="AE45" s="10"/>
      <c r="AF45" s="10"/>
      <c r="AI45">
        <v>3</v>
      </c>
      <c r="AJ45" s="10"/>
      <c r="AK45" s="10">
        <v>0.5</v>
      </c>
      <c r="AL45" s="10"/>
      <c r="AM45" s="10">
        <v>0.5</v>
      </c>
      <c r="AQ45" s="10"/>
      <c r="AR45" s="10">
        <v>0.5</v>
      </c>
      <c r="AS45" s="10"/>
      <c r="AT45" s="10">
        <v>0.5</v>
      </c>
      <c r="AX45" s="10"/>
      <c r="AY45" s="10">
        <v>0.5</v>
      </c>
      <c r="AZ45" s="10"/>
      <c r="BA45" s="10">
        <v>0.5</v>
      </c>
      <c r="BD45">
        <v>3</v>
      </c>
      <c r="BE45" s="10"/>
      <c r="BF45" s="10">
        <v>0.8</v>
      </c>
      <c r="BG45" s="10"/>
      <c r="BH45" s="10">
        <v>0.8</v>
      </c>
      <c r="BL45" s="10"/>
      <c r="BM45" s="10">
        <v>0.8</v>
      </c>
      <c r="BN45" s="10"/>
      <c r="BO45" s="10">
        <v>0.8</v>
      </c>
      <c r="BR45">
        <v>3</v>
      </c>
      <c r="BS45" s="10"/>
      <c r="BT45" s="10">
        <v>1</v>
      </c>
      <c r="BU45" s="10"/>
      <c r="BV45" s="10">
        <v>1</v>
      </c>
      <c r="BZ45" s="10"/>
      <c r="CA45" s="10"/>
      <c r="CB45" s="10"/>
      <c r="CC45" s="10"/>
      <c r="CG45" s="10"/>
      <c r="CH45" s="10"/>
      <c r="CI45" s="10"/>
      <c r="CJ45" s="10"/>
      <c r="CN45" s="10"/>
      <c r="CO45" s="10"/>
      <c r="CP45" s="10"/>
      <c r="CQ45" s="10"/>
      <c r="CU45" s="10"/>
      <c r="CV45" s="10"/>
      <c r="CW45" s="10"/>
      <c r="CX45" s="10"/>
      <c r="DB45" s="10"/>
      <c r="DC45" s="10"/>
      <c r="DD45" s="10"/>
      <c r="DE45" s="10"/>
    </row>
    <row r="46" spans="2:109" outlineLevel="1" x14ac:dyDescent="0.2">
      <c r="B46" t="s">
        <v>29</v>
      </c>
      <c r="C46" t="s">
        <v>96</v>
      </c>
      <c r="E46" s="9"/>
      <c r="F46" t="s">
        <v>148</v>
      </c>
      <c r="G46" s="10">
        <v>0.1</v>
      </c>
      <c r="I46" s="9">
        <f t="shared" si="3"/>
        <v>9</v>
      </c>
      <c r="J46" s="11" cm="1">
        <f t="array" ref="J46">MAX(IF($N$3:$EH$3=$J$3,N46:EH46))</f>
        <v>0</v>
      </c>
      <c r="K46" s="11" cm="1">
        <f t="array" ref="K46">MAX(IF($N$3:$EH$3=$J$3,N46:EH46))</f>
        <v>0</v>
      </c>
      <c r="L46" s="9"/>
      <c r="O46" s="10"/>
      <c r="P46" s="10"/>
      <c r="Q46" s="10"/>
      <c r="R46" s="10"/>
      <c r="V46" s="10"/>
      <c r="W46" s="10"/>
      <c r="X46" s="10"/>
      <c r="Y46" s="10"/>
      <c r="AC46" s="10"/>
      <c r="AD46" s="10"/>
      <c r="AE46" s="10"/>
      <c r="AF46" s="10"/>
      <c r="AJ46" s="10"/>
      <c r="AK46" s="10"/>
      <c r="AL46" s="10"/>
      <c r="AM46" s="10"/>
      <c r="AP46">
        <v>3</v>
      </c>
      <c r="AQ46" s="10"/>
      <c r="AR46" s="10">
        <v>0.5</v>
      </c>
      <c r="AS46" s="10"/>
      <c r="AT46" s="10">
        <v>0.5</v>
      </c>
      <c r="AX46" s="10"/>
      <c r="AY46" s="10">
        <v>0.5</v>
      </c>
      <c r="AZ46" s="10"/>
      <c r="BA46" s="10">
        <v>0.5</v>
      </c>
      <c r="BD46">
        <v>3</v>
      </c>
      <c r="BE46" s="10"/>
      <c r="BF46" s="10">
        <v>0.8</v>
      </c>
      <c r="BG46" s="10"/>
      <c r="BH46" s="10">
        <v>0.8</v>
      </c>
      <c r="BL46" s="10"/>
      <c r="BM46" s="10">
        <v>0.8</v>
      </c>
      <c r="BN46" s="10"/>
      <c r="BO46" s="10">
        <v>0.8</v>
      </c>
      <c r="BR46">
        <v>3</v>
      </c>
      <c r="BS46" s="10"/>
      <c r="BT46" s="10">
        <v>1</v>
      </c>
      <c r="BU46" s="10"/>
      <c r="BV46" s="10">
        <v>1</v>
      </c>
      <c r="BZ46" s="10"/>
      <c r="CA46" s="10"/>
      <c r="CB46" s="10"/>
      <c r="CC46" s="10"/>
      <c r="CG46" s="10"/>
      <c r="CH46" s="10"/>
      <c r="CI46" s="10"/>
      <c r="CJ46" s="10"/>
      <c r="CN46" s="10"/>
      <c r="CO46" s="10"/>
      <c r="CP46" s="10"/>
      <c r="CQ46" s="10"/>
      <c r="CU46" s="10"/>
      <c r="CV46" s="10"/>
      <c r="CW46" s="10"/>
      <c r="CX46" s="10"/>
      <c r="DB46" s="10"/>
      <c r="DC46" s="10"/>
      <c r="DD46" s="10"/>
      <c r="DE46" s="10"/>
    </row>
    <row r="48" spans="2:109" x14ac:dyDescent="0.2">
      <c r="B48" t="s">
        <v>28</v>
      </c>
      <c r="C48" t="s">
        <v>101</v>
      </c>
      <c r="D48" s="19">
        <v>45135</v>
      </c>
      <c r="E48" s="9">
        <v>5</v>
      </c>
      <c r="G48" s="10">
        <f>+SUM(G49:G58)</f>
        <v>0.89999999999999991</v>
      </c>
      <c r="I48" s="12">
        <f>+SUM(I49:I58)</f>
        <v>90</v>
      </c>
      <c r="J48" s="11">
        <f>+SUMPRODUCT(G49:G58,J49:J58)</f>
        <v>0</v>
      </c>
      <c r="K48" s="11">
        <f>+SUMPRODUCT(G49:G58,K49:K58)</f>
        <v>0</v>
      </c>
      <c r="L48" s="9"/>
      <c r="N48" s="12">
        <f>+SUM(N49:N58)</f>
        <v>9</v>
      </c>
      <c r="U48" s="12">
        <f>+SUM(U49:U58)</f>
        <v>9</v>
      </c>
      <c r="AB48" s="12">
        <f>+SUM(AB49:AB58)</f>
        <v>9</v>
      </c>
      <c r="AI48" s="12">
        <f>+SUM(AI49:AI58)</f>
        <v>9</v>
      </c>
      <c r="AP48" s="12">
        <f>+SUM(AP49:AP58)</f>
        <v>12</v>
      </c>
      <c r="AW48" s="12">
        <f>+SUM(AW49:AW58)</f>
        <v>12</v>
      </c>
      <c r="BD48" s="12">
        <f>+SUM(BD49:BD58)</f>
        <v>12</v>
      </c>
      <c r="BK48" s="12">
        <f>+SUM(BK49:BK58)</f>
        <v>9</v>
      </c>
      <c r="BR48" s="12">
        <f>+SUM(BR49:BR58)</f>
        <v>9</v>
      </c>
    </row>
    <row r="49" spans="2:109" outlineLevel="1" x14ac:dyDescent="0.2">
      <c r="B49" t="s">
        <v>29</v>
      </c>
      <c r="C49" t="s">
        <v>101</v>
      </c>
      <c r="E49" s="9"/>
      <c r="F49" t="s">
        <v>132</v>
      </c>
      <c r="G49" s="10">
        <v>0.1</v>
      </c>
      <c r="I49" s="9">
        <f t="shared" si="3"/>
        <v>9</v>
      </c>
      <c r="J49" s="11" cm="1">
        <f t="array" ref="J49">MAX(IF($N$3:$EH$3=$J$3,N49:EH49))</f>
        <v>0</v>
      </c>
      <c r="K49" s="11" cm="1">
        <f t="array" ref="K49">MAX(IF($N$3:$EH$3=$J$3,N49:EH49))</f>
        <v>0</v>
      </c>
      <c r="L49" s="9"/>
      <c r="N49">
        <v>3</v>
      </c>
      <c r="O49" s="10"/>
      <c r="P49" s="10">
        <v>0.5</v>
      </c>
      <c r="Q49" s="10"/>
      <c r="R49" s="10">
        <v>0.5</v>
      </c>
      <c r="V49" s="10"/>
      <c r="W49" s="10">
        <v>0.5</v>
      </c>
      <c r="X49" s="10"/>
      <c r="Y49" s="10">
        <v>0.5</v>
      </c>
      <c r="AB49">
        <v>3</v>
      </c>
      <c r="AC49" s="10"/>
      <c r="AD49" s="10">
        <v>0.8</v>
      </c>
      <c r="AE49" s="10"/>
      <c r="AF49" s="10">
        <v>0.8</v>
      </c>
      <c r="AJ49" s="10"/>
      <c r="AK49" s="10">
        <v>0.8</v>
      </c>
      <c r="AL49" s="10"/>
      <c r="AM49" s="10">
        <v>0.8</v>
      </c>
      <c r="AQ49" s="10"/>
      <c r="AR49" s="10">
        <v>0.8</v>
      </c>
      <c r="AS49" s="10"/>
      <c r="AT49" s="10">
        <v>0.8</v>
      </c>
      <c r="AW49">
        <v>3</v>
      </c>
      <c r="AX49" s="10"/>
      <c r="AY49" s="10">
        <v>1</v>
      </c>
      <c r="AZ49" s="10"/>
      <c r="BA49" s="10">
        <v>1</v>
      </c>
      <c r="BE49" s="10"/>
      <c r="BF49" s="10">
        <v>1</v>
      </c>
      <c r="BG49" s="10"/>
      <c r="BH49" s="10">
        <v>1</v>
      </c>
      <c r="BL49" s="10"/>
      <c r="BM49" s="10">
        <v>1</v>
      </c>
      <c r="BN49" s="10"/>
      <c r="BO49" s="10">
        <v>1</v>
      </c>
      <c r="BS49" s="10"/>
      <c r="BT49" s="10">
        <v>1</v>
      </c>
      <c r="BU49" s="10"/>
      <c r="BV49" s="10">
        <v>1</v>
      </c>
      <c r="BZ49" s="10"/>
      <c r="CA49" s="10"/>
      <c r="CB49" s="10"/>
      <c r="CC49" s="10"/>
      <c r="CG49" s="10"/>
      <c r="CH49" s="10"/>
      <c r="CI49" s="10"/>
      <c r="CJ49" s="10"/>
      <c r="CN49" s="10"/>
      <c r="CO49" s="10"/>
      <c r="CP49" s="10"/>
      <c r="CQ49" s="10"/>
      <c r="CU49" s="10"/>
      <c r="CV49" s="10"/>
      <c r="CW49" s="10"/>
      <c r="CX49" s="10"/>
      <c r="DB49" s="10"/>
      <c r="DC49" s="10"/>
      <c r="DD49" s="10"/>
      <c r="DE49" s="10"/>
    </row>
    <row r="50" spans="2:109" outlineLevel="1" x14ac:dyDescent="0.2">
      <c r="B50" t="s">
        <v>29</v>
      </c>
      <c r="C50" t="s">
        <v>101</v>
      </c>
      <c r="E50" s="9"/>
      <c r="F50" t="s">
        <v>133</v>
      </c>
      <c r="G50" s="10">
        <v>0.05</v>
      </c>
      <c r="I50" s="9">
        <f t="shared" si="3"/>
        <v>9</v>
      </c>
      <c r="J50" s="11" cm="1">
        <f t="array" ref="J50">MAX(IF($N$3:$EH$3=$J$3,N50:EH50))</f>
        <v>0</v>
      </c>
      <c r="K50" s="11" cm="1">
        <f t="array" ref="K50">MAX(IF($N$3:$EH$3=$J$3,N50:EH50))</f>
        <v>0</v>
      </c>
      <c r="L50" s="9"/>
      <c r="N50">
        <v>3</v>
      </c>
      <c r="O50" s="10"/>
      <c r="P50" s="10">
        <v>0.5</v>
      </c>
      <c r="Q50" s="10"/>
      <c r="R50" s="10">
        <v>0.5</v>
      </c>
      <c r="V50" s="10"/>
      <c r="W50" s="10">
        <v>0.5</v>
      </c>
      <c r="X50" s="10"/>
      <c r="Y50" s="10">
        <v>0.5</v>
      </c>
      <c r="AB50">
        <v>3</v>
      </c>
      <c r="AC50" s="10"/>
      <c r="AD50" s="10">
        <v>0.8</v>
      </c>
      <c r="AE50" s="10"/>
      <c r="AF50" s="10">
        <v>0.8</v>
      </c>
      <c r="AJ50" s="10"/>
      <c r="AK50" s="10">
        <v>0.8</v>
      </c>
      <c r="AL50" s="10"/>
      <c r="AM50" s="10">
        <v>0.8</v>
      </c>
      <c r="AQ50" s="10"/>
      <c r="AR50" s="10">
        <v>0.8</v>
      </c>
      <c r="AS50" s="10"/>
      <c r="AT50" s="10">
        <v>0.8</v>
      </c>
      <c r="AW50">
        <v>3</v>
      </c>
      <c r="AX50" s="10"/>
      <c r="AY50" s="10">
        <v>1</v>
      </c>
      <c r="AZ50" s="10"/>
      <c r="BA50" s="10">
        <v>1</v>
      </c>
      <c r="BE50" s="10"/>
      <c r="BF50" s="10">
        <v>1</v>
      </c>
      <c r="BG50" s="10"/>
      <c r="BH50" s="10">
        <v>1</v>
      </c>
      <c r="BL50" s="10"/>
      <c r="BM50" s="10">
        <v>1</v>
      </c>
      <c r="BN50" s="10"/>
      <c r="BO50" s="10">
        <v>1</v>
      </c>
      <c r="BS50" s="10"/>
      <c r="BT50" s="10">
        <v>1</v>
      </c>
      <c r="BU50" s="10"/>
      <c r="BV50" s="10">
        <v>1</v>
      </c>
      <c r="BZ50" s="10"/>
      <c r="CA50" s="10"/>
      <c r="CB50" s="10"/>
      <c r="CC50" s="10"/>
      <c r="CG50" s="10"/>
      <c r="CH50" s="10"/>
      <c r="CI50" s="10"/>
      <c r="CJ50" s="10"/>
      <c r="CN50" s="10"/>
      <c r="CO50" s="10"/>
      <c r="CP50" s="10"/>
      <c r="CQ50" s="10"/>
      <c r="CU50" s="10"/>
      <c r="CV50" s="10"/>
      <c r="CW50" s="10"/>
      <c r="CX50" s="10"/>
      <c r="DB50" s="10"/>
      <c r="DC50" s="10"/>
      <c r="DD50" s="10"/>
      <c r="DE50" s="10"/>
    </row>
    <row r="51" spans="2:109" outlineLevel="1" x14ac:dyDescent="0.2">
      <c r="B51" t="s">
        <v>29</v>
      </c>
      <c r="C51" t="s">
        <v>101</v>
      </c>
      <c r="E51" s="9"/>
      <c r="F51" t="s">
        <v>134</v>
      </c>
      <c r="G51" s="10">
        <v>0.05</v>
      </c>
      <c r="I51" s="9">
        <f t="shared" si="3"/>
        <v>9</v>
      </c>
      <c r="J51" s="11" cm="1">
        <f t="array" ref="J51">MAX(IF($N$3:$EH$3=$J$3,N51:EH51))</f>
        <v>0</v>
      </c>
      <c r="K51" s="11" cm="1">
        <f t="array" ref="K51">MAX(IF($N$3:$EH$3=$J$3,N51:EH51))</f>
        <v>0</v>
      </c>
      <c r="L51" s="9"/>
      <c r="N51">
        <v>3</v>
      </c>
      <c r="O51" s="10"/>
      <c r="P51" s="10">
        <v>0.5</v>
      </c>
      <c r="Q51" s="10"/>
      <c r="R51" s="10">
        <v>0.5</v>
      </c>
      <c r="V51" s="10"/>
      <c r="W51" s="10">
        <v>0.5</v>
      </c>
      <c r="X51" s="10"/>
      <c r="Y51" s="10">
        <v>0.5</v>
      </c>
      <c r="AB51">
        <v>3</v>
      </c>
      <c r="AC51" s="10"/>
      <c r="AD51" s="10">
        <v>0.8</v>
      </c>
      <c r="AE51" s="10"/>
      <c r="AF51" s="10">
        <v>0.8</v>
      </c>
      <c r="AJ51" s="10"/>
      <c r="AK51" s="10">
        <v>0.8</v>
      </c>
      <c r="AL51" s="10"/>
      <c r="AM51" s="10">
        <v>0.8</v>
      </c>
      <c r="AQ51" s="10"/>
      <c r="AR51" s="10">
        <v>0.8</v>
      </c>
      <c r="AS51" s="10"/>
      <c r="AT51" s="10">
        <v>0.8</v>
      </c>
      <c r="AX51" s="10"/>
      <c r="AY51" s="10">
        <v>0.8</v>
      </c>
      <c r="AZ51" s="10"/>
      <c r="BA51" s="10">
        <v>0.8</v>
      </c>
      <c r="BD51">
        <v>3</v>
      </c>
      <c r="BE51" s="10"/>
      <c r="BF51" s="10">
        <v>1</v>
      </c>
      <c r="BG51" s="10"/>
      <c r="BH51" s="10">
        <v>1</v>
      </c>
      <c r="BL51" s="10"/>
      <c r="BM51" s="10">
        <v>1</v>
      </c>
      <c r="BN51" s="10"/>
      <c r="BO51" s="10">
        <v>1</v>
      </c>
      <c r="BS51" s="10"/>
      <c r="BT51" s="10">
        <v>1</v>
      </c>
      <c r="BU51" s="10"/>
      <c r="BV51" s="10">
        <v>1</v>
      </c>
      <c r="BZ51" s="10"/>
      <c r="CA51" s="10"/>
      <c r="CB51" s="10"/>
      <c r="CC51" s="10"/>
      <c r="CG51" s="10"/>
      <c r="CH51" s="10"/>
      <c r="CI51" s="10"/>
      <c r="CJ51" s="10"/>
      <c r="CN51" s="10"/>
      <c r="CO51" s="10"/>
      <c r="CP51" s="10"/>
      <c r="CQ51" s="10"/>
      <c r="CU51" s="10"/>
      <c r="CV51" s="10"/>
      <c r="CW51" s="10"/>
      <c r="CX51" s="10"/>
      <c r="DB51" s="10"/>
      <c r="DC51" s="10"/>
      <c r="DD51" s="10"/>
      <c r="DE51" s="10"/>
    </row>
    <row r="52" spans="2:109" outlineLevel="1" x14ac:dyDescent="0.2">
      <c r="B52" t="s">
        <v>29</v>
      </c>
      <c r="C52" t="s">
        <v>101</v>
      </c>
      <c r="E52" s="9"/>
      <c r="F52" t="s">
        <v>135</v>
      </c>
      <c r="G52" s="10">
        <v>0.1</v>
      </c>
      <c r="I52" s="9">
        <f t="shared" si="3"/>
        <v>9</v>
      </c>
      <c r="J52" s="11" cm="1">
        <f t="array" ref="J52">MAX(IF($N$3:$EH$3=$J$3,N52:EH52))</f>
        <v>0</v>
      </c>
      <c r="K52" s="11" cm="1">
        <f t="array" ref="K52">MAX(IF($N$3:$EH$3=$J$3,N52:EH52))</f>
        <v>0</v>
      </c>
      <c r="L52" s="9"/>
      <c r="O52" s="10"/>
      <c r="P52" s="10"/>
      <c r="Q52" s="10"/>
      <c r="R52" s="10"/>
      <c r="U52">
        <v>3</v>
      </c>
      <c r="V52" s="10"/>
      <c r="W52" s="10">
        <v>0.5</v>
      </c>
      <c r="X52" s="10"/>
      <c r="Y52" s="10">
        <v>0.5</v>
      </c>
      <c r="AC52" s="10"/>
      <c r="AD52" s="10">
        <v>0.8</v>
      </c>
      <c r="AE52" s="10"/>
      <c r="AF52" s="10">
        <v>0.8</v>
      </c>
      <c r="AI52">
        <v>3</v>
      </c>
      <c r="AJ52" s="10"/>
      <c r="AK52" s="10">
        <v>0.8</v>
      </c>
      <c r="AL52" s="10"/>
      <c r="AM52" s="10">
        <v>0.8</v>
      </c>
      <c r="AQ52" s="10"/>
      <c r="AR52" s="10">
        <v>0.8</v>
      </c>
      <c r="AS52" s="10"/>
      <c r="AT52" s="10">
        <v>0.8</v>
      </c>
      <c r="AX52" s="10"/>
      <c r="AY52" s="10">
        <v>0.8</v>
      </c>
      <c r="AZ52" s="10"/>
      <c r="BA52" s="10">
        <v>0.8</v>
      </c>
      <c r="BD52">
        <v>3</v>
      </c>
      <c r="BE52" s="10"/>
      <c r="BF52" s="10">
        <v>1</v>
      </c>
      <c r="BG52" s="10"/>
      <c r="BH52" s="10">
        <v>1</v>
      </c>
      <c r="BL52" s="10"/>
      <c r="BM52" s="10">
        <v>1</v>
      </c>
      <c r="BN52" s="10"/>
      <c r="BO52" s="10">
        <v>1</v>
      </c>
      <c r="BS52" s="10"/>
      <c r="BT52" s="10">
        <v>1</v>
      </c>
      <c r="BU52" s="10"/>
      <c r="BV52" s="10">
        <v>1</v>
      </c>
      <c r="BZ52" s="10"/>
      <c r="CA52" s="10"/>
      <c r="CB52" s="10"/>
      <c r="CC52" s="10"/>
      <c r="CG52" s="10"/>
      <c r="CH52" s="10"/>
      <c r="CI52" s="10"/>
      <c r="CJ52" s="10"/>
      <c r="CN52" s="10"/>
      <c r="CO52" s="10"/>
      <c r="CP52" s="10"/>
      <c r="CQ52" s="10"/>
      <c r="CU52" s="10"/>
      <c r="CV52" s="10"/>
      <c r="CW52" s="10"/>
      <c r="CX52" s="10"/>
      <c r="DB52" s="10"/>
      <c r="DC52" s="10"/>
      <c r="DD52" s="10"/>
      <c r="DE52" s="10"/>
    </row>
    <row r="53" spans="2:109" outlineLevel="1" x14ac:dyDescent="0.2">
      <c r="B53" t="s">
        <v>29</v>
      </c>
      <c r="C53" t="s">
        <v>101</v>
      </c>
      <c r="E53" s="9"/>
      <c r="F53" t="s">
        <v>136</v>
      </c>
      <c r="G53" s="10">
        <v>0.1</v>
      </c>
      <c r="I53" s="9">
        <f t="shared" si="3"/>
        <v>9</v>
      </c>
      <c r="J53" s="11" cm="1">
        <f t="array" ref="J53">MAX(IF($N$3:$EH$3=$J$3,N53:EH53))</f>
        <v>0</v>
      </c>
      <c r="K53" s="11" cm="1">
        <f t="array" ref="K53">MAX(IF($N$3:$EH$3=$J$3,N53:EH53))</f>
        <v>0</v>
      </c>
      <c r="L53" s="9"/>
      <c r="O53" s="10"/>
      <c r="P53" s="10"/>
      <c r="Q53" s="10"/>
      <c r="R53" s="10"/>
      <c r="U53">
        <v>3</v>
      </c>
      <c r="V53" s="10"/>
      <c r="W53" s="10">
        <v>0.5</v>
      </c>
      <c r="X53" s="10"/>
      <c r="Y53" s="10">
        <v>0.5</v>
      </c>
      <c r="AC53" s="10"/>
      <c r="AD53" s="10">
        <v>0.5</v>
      </c>
      <c r="AE53" s="10"/>
      <c r="AF53" s="10">
        <v>0.5</v>
      </c>
      <c r="AI53">
        <v>3</v>
      </c>
      <c r="AJ53" s="10"/>
      <c r="AK53" s="10">
        <v>0.8</v>
      </c>
      <c r="AL53" s="10"/>
      <c r="AM53" s="10">
        <v>0.8</v>
      </c>
      <c r="AQ53" s="10"/>
      <c r="AR53" s="10">
        <v>0.8</v>
      </c>
      <c r="AS53" s="10"/>
      <c r="AT53" s="10">
        <v>0.8</v>
      </c>
      <c r="AX53" s="10"/>
      <c r="AY53" s="10">
        <v>0.8</v>
      </c>
      <c r="AZ53" s="10"/>
      <c r="BA53" s="10">
        <v>0.8</v>
      </c>
      <c r="BE53" s="10"/>
      <c r="BF53" s="10">
        <v>0.8</v>
      </c>
      <c r="BG53" s="10"/>
      <c r="BH53" s="10">
        <v>0.8</v>
      </c>
      <c r="BK53">
        <v>3</v>
      </c>
      <c r="BL53" s="10"/>
      <c r="BM53" s="10">
        <v>1</v>
      </c>
      <c r="BN53" s="10"/>
      <c r="BO53" s="10">
        <v>1</v>
      </c>
      <c r="BS53" s="10"/>
      <c r="BT53" s="10">
        <v>1</v>
      </c>
      <c r="BU53" s="10"/>
      <c r="BV53" s="10">
        <v>1</v>
      </c>
      <c r="BZ53" s="10"/>
      <c r="CA53" s="10"/>
      <c r="CB53" s="10"/>
      <c r="CC53" s="10"/>
      <c r="CG53" s="10"/>
      <c r="CH53" s="10"/>
      <c r="CI53" s="10"/>
      <c r="CJ53" s="10"/>
      <c r="CN53" s="10"/>
      <c r="CO53" s="10"/>
      <c r="CP53" s="10"/>
      <c r="CQ53" s="10"/>
      <c r="CU53" s="10"/>
      <c r="CV53" s="10"/>
      <c r="CW53" s="10"/>
      <c r="CX53" s="10"/>
      <c r="DB53" s="10"/>
      <c r="DC53" s="10"/>
      <c r="DD53" s="10"/>
      <c r="DE53" s="10"/>
    </row>
    <row r="54" spans="2:109" outlineLevel="1" x14ac:dyDescent="0.2">
      <c r="B54" t="s">
        <v>29</v>
      </c>
      <c r="C54" t="s">
        <v>101</v>
      </c>
      <c r="E54" s="9"/>
      <c r="F54" t="s">
        <v>137</v>
      </c>
      <c r="G54" s="10">
        <v>0.1</v>
      </c>
      <c r="I54" s="9">
        <f t="shared" si="3"/>
        <v>9</v>
      </c>
      <c r="J54" s="11" cm="1">
        <f t="array" ref="J54">MAX(IF($N$3:$EH$3=$J$3,N54:EH54))</f>
        <v>0</v>
      </c>
      <c r="K54" s="11" cm="1">
        <f t="array" ref="K54">MAX(IF($N$3:$EH$3=$J$3,N54:EH54))</f>
        <v>0</v>
      </c>
      <c r="L54" s="9"/>
      <c r="O54" s="10"/>
      <c r="P54" s="10"/>
      <c r="Q54" s="10"/>
      <c r="R54" s="10"/>
      <c r="U54">
        <v>3</v>
      </c>
      <c r="V54" s="10"/>
      <c r="W54" s="10">
        <v>0.5</v>
      </c>
      <c r="X54" s="10"/>
      <c r="Y54" s="10">
        <v>0.5</v>
      </c>
      <c r="AC54" s="10"/>
      <c r="AD54" s="10">
        <v>0.5</v>
      </c>
      <c r="AE54" s="10"/>
      <c r="AF54" s="10">
        <v>0.5</v>
      </c>
      <c r="AI54">
        <v>3</v>
      </c>
      <c r="AJ54" s="10"/>
      <c r="AK54" s="10">
        <v>0.8</v>
      </c>
      <c r="AL54" s="10"/>
      <c r="AM54" s="10">
        <v>0.8</v>
      </c>
      <c r="AQ54" s="10"/>
      <c r="AR54" s="10">
        <v>0.8</v>
      </c>
      <c r="AS54" s="10"/>
      <c r="AT54" s="10">
        <v>0.8</v>
      </c>
      <c r="AX54" s="10"/>
      <c r="AY54" s="10">
        <v>0.8</v>
      </c>
      <c r="AZ54" s="10"/>
      <c r="BA54" s="10">
        <v>0.8</v>
      </c>
      <c r="BE54" s="10"/>
      <c r="BF54" s="10">
        <v>0.8</v>
      </c>
      <c r="BG54" s="10"/>
      <c r="BH54" s="10">
        <v>0.8</v>
      </c>
      <c r="BK54">
        <v>3</v>
      </c>
      <c r="BL54" s="10"/>
      <c r="BM54" s="10">
        <v>1</v>
      </c>
      <c r="BN54" s="10"/>
      <c r="BO54" s="10">
        <v>1</v>
      </c>
      <c r="BS54" s="10"/>
      <c r="BT54" s="10">
        <v>1</v>
      </c>
      <c r="BU54" s="10"/>
      <c r="BV54" s="10">
        <v>1</v>
      </c>
      <c r="BZ54" s="10"/>
      <c r="CA54" s="10"/>
      <c r="CB54" s="10"/>
      <c r="CC54" s="10"/>
      <c r="CG54" s="10"/>
      <c r="CH54" s="10"/>
      <c r="CI54" s="10"/>
      <c r="CJ54" s="10"/>
      <c r="CN54" s="10"/>
      <c r="CO54" s="10"/>
      <c r="CP54" s="10"/>
      <c r="CQ54" s="10"/>
      <c r="CU54" s="10"/>
      <c r="CV54" s="10"/>
      <c r="CW54" s="10"/>
      <c r="CX54" s="10"/>
      <c r="DB54" s="10"/>
      <c r="DC54" s="10"/>
      <c r="DD54" s="10"/>
      <c r="DE54" s="10"/>
    </row>
    <row r="55" spans="2:109" outlineLevel="1" x14ac:dyDescent="0.2">
      <c r="B55" t="s">
        <v>29</v>
      </c>
      <c r="C55" t="s">
        <v>101</v>
      </c>
      <c r="E55" s="9"/>
      <c r="F55" t="s">
        <v>138</v>
      </c>
      <c r="G55" s="10">
        <v>0.1</v>
      </c>
      <c r="I55" s="9">
        <f t="shared" si="3"/>
        <v>9</v>
      </c>
      <c r="J55" s="11" cm="1">
        <f t="array" ref="J55">MAX(IF($N$3:$EH$3=$J$3,N55:EH55))</f>
        <v>0</v>
      </c>
      <c r="K55" s="11" cm="1">
        <f t="array" ref="K55">MAX(IF($N$3:$EH$3=$J$3,N55:EH55))</f>
        <v>0</v>
      </c>
      <c r="L55" s="9"/>
      <c r="O55" s="10"/>
      <c r="P55" s="10"/>
      <c r="Q55" s="10"/>
      <c r="R55" s="10"/>
      <c r="V55" s="10"/>
      <c r="W55" s="10"/>
      <c r="X55" s="10"/>
      <c r="Y55" s="10"/>
      <c r="AC55" s="10"/>
      <c r="AD55" s="10"/>
      <c r="AE55" s="10"/>
      <c r="AF55" s="10"/>
      <c r="AJ55" s="10"/>
      <c r="AK55" s="10"/>
      <c r="AL55" s="10"/>
      <c r="AM55" s="10"/>
      <c r="AP55">
        <v>3</v>
      </c>
      <c r="AQ55" s="10"/>
      <c r="AR55" s="10">
        <v>0.5</v>
      </c>
      <c r="AS55" s="10"/>
      <c r="AT55" s="10">
        <v>0.5</v>
      </c>
      <c r="AW55">
        <v>3</v>
      </c>
      <c r="AX55" s="10"/>
      <c r="AY55" s="10">
        <v>0.8</v>
      </c>
      <c r="AZ55" s="10"/>
      <c r="BA55" s="10">
        <v>0.8</v>
      </c>
      <c r="BE55" s="10"/>
      <c r="BF55" s="10">
        <v>0.8</v>
      </c>
      <c r="BG55" s="10"/>
      <c r="BH55" s="10">
        <v>0.8</v>
      </c>
      <c r="BK55">
        <v>3</v>
      </c>
      <c r="BL55" s="10"/>
      <c r="BM55" s="10">
        <v>1</v>
      </c>
      <c r="BN55" s="10"/>
      <c r="BO55" s="10">
        <v>1</v>
      </c>
      <c r="BS55" s="10"/>
      <c r="BT55" s="10">
        <v>1</v>
      </c>
      <c r="BU55" s="10"/>
      <c r="BV55" s="10">
        <v>1</v>
      </c>
      <c r="BZ55" s="10"/>
      <c r="CA55" s="10"/>
      <c r="CB55" s="10"/>
      <c r="CC55" s="10"/>
      <c r="CG55" s="10"/>
      <c r="CH55" s="10"/>
      <c r="CI55" s="10"/>
      <c r="CJ55" s="10"/>
      <c r="CN55" s="10"/>
      <c r="CO55" s="10"/>
      <c r="CP55" s="10"/>
      <c r="CQ55" s="10"/>
      <c r="CU55" s="10"/>
      <c r="CV55" s="10"/>
      <c r="CW55" s="10"/>
      <c r="CX55" s="10"/>
      <c r="DB55" s="10"/>
      <c r="DC55" s="10"/>
      <c r="DD55" s="10"/>
      <c r="DE55" s="10"/>
    </row>
    <row r="56" spans="2:109" outlineLevel="1" x14ac:dyDescent="0.2">
      <c r="B56" t="s">
        <v>29</v>
      </c>
      <c r="C56" t="s">
        <v>101</v>
      </c>
      <c r="E56" s="9"/>
      <c r="F56" t="s">
        <v>139</v>
      </c>
      <c r="G56" s="10">
        <v>0.1</v>
      </c>
      <c r="I56" s="9">
        <f t="shared" si="3"/>
        <v>9</v>
      </c>
      <c r="J56" s="11" cm="1">
        <f t="array" ref="J56">MAX(IF($N$3:$EH$3=$J$3,N56:EH56))</f>
        <v>0</v>
      </c>
      <c r="K56" s="11" cm="1">
        <f t="array" ref="K56">MAX(IF($N$3:$EH$3=$J$3,N56:EH56))</f>
        <v>0</v>
      </c>
      <c r="L56" s="9"/>
      <c r="O56" s="10"/>
      <c r="P56" s="10"/>
      <c r="Q56" s="10"/>
      <c r="R56" s="10"/>
      <c r="V56" s="10"/>
      <c r="W56" s="10"/>
      <c r="X56" s="10"/>
      <c r="Y56" s="10"/>
      <c r="AC56" s="10"/>
      <c r="AD56" s="10"/>
      <c r="AE56" s="10"/>
      <c r="AF56" s="10"/>
      <c r="AJ56" s="10"/>
      <c r="AK56" s="10"/>
      <c r="AL56" s="10"/>
      <c r="AM56" s="10"/>
      <c r="AP56">
        <v>3</v>
      </c>
      <c r="AQ56" s="10"/>
      <c r="AR56" s="10">
        <v>0.5</v>
      </c>
      <c r="AS56" s="10"/>
      <c r="AT56" s="10">
        <v>0.5</v>
      </c>
      <c r="AW56">
        <v>3</v>
      </c>
      <c r="AX56" s="10"/>
      <c r="AY56" s="10">
        <v>0.8</v>
      </c>
      <c r="AZ56" s="10"/>
      <c r="BA56" s="10">
        <v>0.8</v>
      </c>
      <c r="BE56" s="10"/>
      <c r="BF56" s="10">
        <v>0.8</v>
      </c>
      <c r="BG56" s="10"/>
      <c r="BH56" s="10">
        <v>0.8</v>
      </c>
      <c r="BL56" s="10"/>
      <c r="BM56" s="10">
        <v>0.8</v>
      </c>
      <c r="BN56" s="10"/>
      <c r="BO56" s="10">
        <v>0.8</v>
      </c>
      <c r="BR56">
        <v>3</v>
      </c>
      <c r="BS56" s="10"/>
      <c r="BT56" s="10">
        <v>1</v>
      </c>
      <c r="BU56" s="10"/>
      <c r="BV56" s="10">
        <v>1</v>
      </c>
      <c r="BZ56" s="10"/>
      <c r="CA56" s="10"/>
      <c r="CB56" s="10"/>
      <c r="CC56" s="10"/>
      <c r="CG56" s="10"/>
      <c r="CH56" s="10"/>
      <c r="CI56" s="10"/>
      <c r="CJ56" s="10"/>
      <c r="CN56" s="10"/>
      <c r="CO56" s="10"/>
      <c r="CP56" s="10"/>
      <c r="CQ56" s="10"/>
      <c r="CU56" s="10"/>
      <c r="CV56" s="10"/>
      <c r="CW56" s="10"/>
      <c r="CX56" s="10"/>
      <c r="DB56" s="10"/>
      <c r="DC56" s="10"/>
      <c r="DD56" s="10"/>
      <c r="DE56" s="10"/>
    </row>
    <row r="57" spans="2:109" outlineLevel="1" x14ac:dyDescent="0.2">
      <c r="B57" t="s">
        <v>29</v>
      </c>
      <c r="C57" t="s">
        <v>101</v>
      </c>
      <c r="E57" s="9"/>
      <c r="F57" t="s">
        <v>140</v>
      </c>
      <c r="G57" s="10">
        <v>0.1</v>
      </c>
      <c r="I57" s="9">
        <f t="shared" si="3"/>
        <v>9</v>
      </c>
      <c r="J57" s="11" cm="1">
        <f t="array" ref="J57">MAX(IF($N$3:$EH$3=$J$3,N57:EH57))</f>
        <v>0</v>
      </c>
      <c r="K57" s="11" cm="1">
        <f t="array" ref="K57">MAX(IF($N$3:$EH$3=$J$3,N57:EH57))</f>
        <v>0</v>
      </c>
      <c r="L57" s="9"/>
      <c r="O57" s="10"/>
      <c r="P57" s="10"/>
      <c r="Q57" s="10"/>
      <c r="R57" s="10"/>
      <c r="V57" s="10"/>
      <c r="W57" s="10"/>
      <c r="X57" s="10"/>
      <c r="Y57" s="10"/>
      <c r="AC57" s="10"/>
      <c r="AD57" s="10"/>
      <c r="AE57" s="10"/>
      <c r="AF57" s="10"/>
      <c r="AJ57" s="10"/>
      <c r="AK57" s="10"/>
      <c r="AL57" s="10"/>
      <c r="AM57" s="10"/>
      <c r="AP57">
        <v>3</v>
      </c>
      <c r="AQ57" s="10"/>
      <c r="AR57" s="10">
        <v>0.5</v>
      </c>
      <c r="AS57" s="10"/>
      <c r="AT57" s="10">
        <v>0.5</v>
      </c>
      <c r="AX57" s="10"/>
      <c r="AY57" s="10">
        <v>0.5</v>
      </c>
      <c r="AZ57" s="10"/>
      <c r="BA57" s="10">
        <v>0.5</v>
      </c>
      <c r="BD57">
        <v>3</v>
      </c>
      <c r="BE57" s="10"/>
      <c r="BF57" s="10">
        <v>0.8</v>
      </c>
      <c r="BG57" s="10"/>
      <c r="BH57" s="10">
        <v>0.8</v>
      </c>
      <c r="BL57" s="10"/>
      <c r="BM57" s="10">
        <v>0.8</v>
      </c>
      <c r="BN57" s="10"/>
      <c r="BO57" s="10">
        <v>0.8</v>
      </c>
      <c r="BR57">
        <v>3</v>
      </c>
      <c r="BS57" s="10"/>
      <c r="BT57" s="10">
        <v>1</v>
      </c>
      <c r="BU57" s="10"/>
      <c r="BV57" s="10">
        <v>1</v>
      </c>
      <c r="BZ57" s="10"/>
      <c r="CA57" s="10"/>
      <c r="CB57" s="10"/>
      <c r="CC57" s="10"/>
      <c r="CG57" s="10"/>
      <c r="CH57" s="10"/>
      <c r="CI57" s="10"/>
      <c r="CJ57" s="10"/>
      <c r="CN57" s="10"/>
      <c r="CO57" s="10"/>
      <c r="CP57" s="10"/>
      <c r="CQ57" s="10"/>
      <c r="CU57" s="10"/>
      <c r="CV57" s="10"/>
      <c r="CW57" s="10"/>
      <c r="CX57" s="10"/>
      <c r="DB57" s="10"/>
      <c r="DC57" s="10"/>
      <c r="DD57" s="10"/>
      <c r="DE57" s="10"/>
    </row>
    <row r="58" spans="2:109" outlineLevel="1" x14ac:dyDescent="0.2">
      <c r="B58" t="s">
        <v>29</v>
      </c>
      <c r="C58" t="s">
        <v>101</v>
      </c>
      <c r="E58" s="9"/>
      <c r="F58" t="s">
        <v>141</v>
      </c>
      <c r="G58" s="10">
        <v>0.1</v>
      </c>
      <c r="I58" s="9">
        <f t="shared" si="3"/>
        <v>9</v>
      </c>
      <c r="J58" s="11" cm="1">
        <f t="array" ref="J58">MAX(IF($N$3:$EH$3=$J$3,N58:EH58))</f>
        <v>0</v>
      </c>
      <c r="K58" s="11" cm="1">
        <f t="array" ref="K58">MAX(IF($N$3:$EH$3=$J$3,N58:EH58))</f>
        <v>0</v>
      </c>
      <c r="L58" s="9"/>
      <c r="O58" s="10"/>
      <c r="P58" s="10"/>
      <c r="Q58" s="10"/>
      <c r="R58" s="10"/>
      <c r="V58" s="10"/>
      <c r="W58" s="10"/>
      <c r="X58" s="10"/>
      <c r="Y58" s="10"/>
      <c r="AC58" s="10"/>
      <c r="AD58" s="10"/>
      <c r="AE58" s="10"/>
      <c r="AF58" s="10"/>
      <c r="AJ58" s="10"/>
      <c r="AK58" s="10"/>
      <c r="AL58" s="10"/>
      <c r="AM58" s="10"/>
      <c r="AP58">
        <v>3</v>
      </c>
      <c r="AQ58" s="10"/>
      <c r="AR58" s="10">
        <v>0.5</v>
      </c>
      <c r="AS58" s="10"/>
      <c r="AT58" s="10">
        <v>0.5</v>
      </c>
      <c r="AX58" s="10"/>
      <c r="AY58" s="10">
        <v>0.5</v>
      </c>
      <c r="AZ58" s="10"/>
      <c r="BA58" s="10">
        <v>0.5</v>
      </c>
      <c r="BD58">
        <v>3</v>
      </c>
      <c r="BE58" s="10"/>
      <c r="BF58" s="10">
        <v>0.8</v>
      </c>
      <c r="BG58" s="10"/>
      <c r="BH58" s="10">
        <v>0.8</v>
      </c>
      <c r="BL58" s="10"/>
      <c r="BM58" s="10">
        <v>0.8</v>
      </c>
      <c r="BN58" s="10"/>
      <c r="BO58" s="10">
        <v>0.8</v>
      </c>
      <c r="BR58">
        <v>3</v>
      </c>
      <c r="BS58" s="10"/>
      <c r="BT58" s="10">
        <v>1</v>
      </c>
      <c r="BU58" s="10"/>
      <c r="BV58" s="10">
        <v>1</v>
      </c>
      <c r="BZ58" s="10"/>
      <c r="CA58" s="10"/>
      <c r="CB58" s="10"/>
      <c r="CC58" s="10"/>
      <c r="CG58" s="10"/>
      <c r="CH58" s="10"/>
      <c r="CI58" s="10"/>
      <c r="CJ58" s="10"/>
      <c r="CN58" s="10"/>
      <c r="CO58" s="10"/>
      <c r="CP58" s="10"/>
      <c r="CQ58" s="10"/>
      <c r="CU58" s="10"/>
      <c r="CV58" s="10"/>
      <c r="CW58" s="10"/>
      <c r="CX58" s="10"/>
      <c r="DB58" s="10"/>
      <c r="DC58" s="10"/>
      <c r="DD58" s="10"/>
      <c r="DE58" s="10"/>
    </row>
  </sheetData>
  <mergeCells count="15">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s>
  <conditionalFormatting sqref="O17 Q17 Q20:Q23 O20:O23 Q49:Q58 O49:O58 X49:X58 V49:V58 AE49:AE58 AC49:AC58 AJ49:AJ58 AL49:AL58 AS49:AS58 AQ49:AQ58 AX49:AX58 AZ49:AZ58 BG49:BG58 BE49:BE58 BN49:BN58 BL49:BL58 O5:O14 Q5:Q14 AQ5:AQ14 AS5:AS14 BE5:BE14 BG5:BG14 V5:V14 X5:X14 AC5:AC14 AE5:AE14 AJ5:AJ14 AL5:AL14 AX5:AX14 AZ5:AZ14 BL5:BL14 BN5:BN14 BS5:BS14 BU5:BU14 BZ5:BZ14 CG5:CG14 CI5:CI14 CN5:CN14 CP5:CP14 CU5:CU14 CW5:CW14 DB5:DB14 DD5:DD14 CB5:CB12 AJ29:AJ34 AL29:AL34 AX29:AX34 AZ29:AZ34 Q29:Q34 O29:O34 BG29:BG34 X29:X34 V29:V34 AE29:AE34 AC29:AC34 AS29:AS34 AQ29:AQ34 BE29:BE34 BN29:BN34 BL29:BL34 BU29:BU34 BS29:BS34 CB29:CB34 BZ29:BZ34 CI29:CI34 CG29:CG34 CP29:CP34 CN29:CN34 CW29:CW34 CU29:CU34 DD29:DD34 DB29:DB34 AJ39:AJ46 AL39:AL46 AX39:AX46 AZ39:AZ46 Q39:Q46 O39:O46 BG39:BG46 X39:X46 V39:V46 AE39:AE46 AC39:AC46 AS39:AS46 AQ39:AQ46 BE39:BE46 BN39:BN46 BL39:BL46">
    <cfRule type="expression" dxfId="284" priority="575">
      <formula>OR(IF(O5&lt;P5,TRUE),IF(AND(P5="",O5&lt;&gt;""),TRUE))</formula>
    </cfRule>
    <cfRule type="expression" dxfId="283" priority="576">
      <formula>IF(O5&gt;=P5,IF(O5="",FALSE,TRUE))</formula>
    </cfRule>
  </conditionalFormatting>
  <conditionalFormatting sqref="AQ17 AS17 AS20:AS23 AQ20:AQ23">
    <cfRule type="expression" dxfId="282" priority="442">
      <formula>OR(IF(AQ17&lt;AR17,TRUE),IF(AND(AR17="",AQ17&lt;&gt;""),TRUE))</formula>
    </cfRule>
    <cfRule type="expression" dxfId="281" priority="443">
      <formula>IF(AQ17&gt;=AR17,IF(AQ17="",FALSE,TRUE))</formula>
    </cfRule>
  </conditionalFormatting>
  <conditionalFormatting sqref="O27:O28">
    <cfRule type="expression" dxfId="280" priority="516">
      <formula>OR(IF(O27&lt;P27,TRUE),IF(AND(P27="",O27&lt;&gt;""),TRUE))</formula>
    </cfRule>
    <cfRule type="expression" dxfId="279" priority="517">
      <formula>IF(O27&gt;=P27,IF(O27="",FALSE,TRUE))</formula>
    </cfRule>
  </conditionalFormatting>
  <conditionalFormatting sqref="Q27:Q28">
    <cfRule type="expression" dxfId="278" priority="514">
      <formula>OR(IF(Q27&lt;R27,TRUE),IF(AND(R27="",Q27&lt;&gt;""),TRUE))</formula>
    </cfRule>
    <cfRule type="expression" dxfId="277" priority="515">
      <formula>IF(Q27&gt;=R27,IF(Q27="",FALSE,TRUE))</formula>
    </cfRule>
  </conditionalFormatting>
  <conditionalFormatting sqref="AZ24">
    <cfRule type="expression" dxfId="276" priority="416">
      <formula>OR(IF(AZ24&lt;BA24,TRUE),IF(AND(BA24="",AZ24&lt;&gt;""),TRUE))</formula>
    </cfRule>
    <cfRule type="expression" dxfId="275" priority="417">
      <formula>IF(AZ24&gt;=BA24,IF(AZ24="",FALSE,TRUE))</formula>
    </cfRule>
  </conditionalFormatting>
  <conditionalFormatting sqref="BE17 BG17 BG20:BG23 BE20:BE23">
    <cfRule type="expression" dxfId="274" priority="410">
      <formula>OR(IF(BE17&lt;BF17,TRUE),IF(AND(BF17="",BE17&lt;&gt;""),TRUE))</formula>
    </cfRule>
    <cfRule type="expression" dxfId="273" priority="411">
      <formula>IF(BE17&gt;=BF17,IF(BE17="",FALSE,TRUE))</formula>
    </cfRule>
  </conditionalFormatting>
  <conditionalFormatting sqref="BE27:BE28">
    <cfRule type="expression" dxfId="272" priority="406">
      <formula>OR(IF(BE27&lt;BF27,TRUE),IF(AND(BF27="",BE27&lt;&gt;""),TRUE))</formula>
    </cfRule>
    <cfRule type="expression" dxfId="271" priority="407">
      <formula>IF(BE27&gt;=BF27,IF(BE27="",FALSE,TRUE))</formula>
    </cfRule>
  </conditionalFormatting>
  <conditionalFormatting sqref="O24">
    <cfRule type="expression" dxfId="270" priority="498">
      <formula>OR(IF(O24&lt;P24,TRUE),IF(AND(P24="",O24&lt;&gt;""),TRUE))</formula>
    </cfRule>
    <cfRule type="expression" dxfId="269" priority="499">
      <formula>IF(O24&gt;=P24,IF(O24="",FALSE,TRUE))</formula>
    </cfRule>
  </conditionalFormatting>
  <conditionalFormatting sqref="Q24">
    <cfRule type="expression" dxfId="268" priority="496">
      <formula>OR(IF(Q24&lt;R24,TRUE),IF(AND(R24="",Q24&lt;&gt;""),TRUE))</formula>
    </cfRule>
    <cfRule type="expression" dxfId="267" priority="497">
      <formula>IF(Q24&gt;=R24,IF(Q24="",FALSE,TRUE))</formula>
    </cfRule>
  </conditionalFormatting>
  <conditionalFormatting sqref="V17 X17 X20:X23 V20:V23">
    <cfRule type="expression" dxfId="266" priority="490">
      <formula>OR(IF(V17&lt;W17,TRUE),IF(AND(W17="",V17&lt;&gt;""),TRUE))</formula>
    </cfRule>
    <cfRule type="expression" dxfId="265" priority="491">
      <formula>IF(V17&gt;=W17,IF(V17="",FALSE,TRUE))</formula>
    </cfRule>
  </conditionalFormatting>
  <conditionalFormatting sqref="V27:V28">
    <cfRule type="expression" dxfId="264" priority="486">
      <formula>OR(IF(V27&lt;W27,TRUE),IF(AND(W27="",V27&lt;&gt;""),TRUE))</formula>
    </cfRule>
    <cfRule type="expression" dxfId="263" priority="487">
      <formula>IF(V27&gt;=W27,IF(V27="",FALSE,TRUE))</formula>
    </cfRule>
  </conditionalFormatting>
  <conditionalFormatting sqref="X27:X28">
    <cfRule type="expression" dxfId="262" priority="484">
      <formula>OR(IF(X27&lt;Y27,TRUE),IF(AND(Y27="",X27&lt;&gt;""),TRUE))</formula>
    </cfRule>
    <cfRule type="expression" dxfId="261" priority="485">
      <formula>IF(X27&gt;=Y27,IF(X27="",FALSE,TRUE))</formula>
    </cfRule>
  </conditionalFormatting>
  <conditionalFormatting sqref="V24">
    <cfRule type="expression" dxfId="260" priority="482">
      <formula>OR(IF(V24&lt;W24,TRUE),IF(AND(W24="",V24&lt;&gt;""),TRUE))</formula>
    </cfRule>
    <cfRule type="expression" dxfId="259" priority="483">
      <formula>IF(V24&gt;=W24,IF(V24="",FALSE,TRUE))</formula>
    </cfRule>
  </conditionalFormatting>
  <conditionalFormatting sqref="X24">
    <cfRule type="expression" dxfId="258" priority="480">
      <formula>OR(IF(X24&lt;Y24,TRUE),IF(AND(Y24="",X24&lt;&gt;""),TRUE))</formula>
    </cfRule>
    <cfRule type="expression" dxfId="257" priority="481">
      <formula>IF(X24&gt;=Y24,IF(X24="",FALSE,TRUE))</formula>
    </cfRule>
  </conditionalFormatting>
  <conditionalFormatting sqref="AC17 AE17 AE20:AE23 AC20:AC23">
    <cfRule type="expression" dxfId="256" priority="474">
      <formula>OR(IF(AC17&lt;AD17,TRUE),IF(AND(AD17="",AC17&lt;&gt;""),TRUE))</formula>
    </cfRule>
    <cfRule type="expression" dxfId="255" priority="475">
      <formula>IF(AC17&gt;=AD17,IF(AC17="",FALSE,TRUE))</formula>
    </cfRule>
  </conditionalFormatting>
  <conditionalFormatting sqref="AC27:AC28">
    <cfRule type="expression" dxfId="254" priority="470">
      <formula>OR(IF(AC27&lt;AD27,TRUE),IF(AND(AD27="",AC27&lt;&gt;""),TRUE))</formula>
    </cfRule>
    <cfRule type="expression" dxfId="253" priority="471">
      <formula>IF(AC27&gt;=AD27,IF(AC27="",FALSE,TRUE))</formula>
    </cfRule>
  </conditionalFormatting>
  <conditionalFormatting sqref="AE27:AE28">
    <cfRule type="expression" dxfId="252" priority="468">
      <formula>OR(IF(AE27&lt;AF27,TRUE),IF(AND(AF27="",AE27&lt;&gt;""),TRUE))</formula>
    </cfRule>
    <cfRule type="expression" dxfId="251" priority="469">
      <formula>IF(AE27&gt;=AF27,IF(AE27="",FALSE,TRUE))</formula>
    </cfRule>
  </conditionalFormatting>
  <conditionalFormatting sqref="AC24">
    <cfRule type="expression" dxfId="250" priority="466">
      <formula>OR(IF(AC24&lt;AD24,TRUE),IF(AND(AD24="",AC24&lt;&gt;""),TRUE))</formula>
    </cfRule>
    <cfRule type="expression" dxfId="249" priority="467">
      <formula>IF(AC24&gt;=AD24,IF(AC24="",FALSE,TRUE))</formula>
    </cfRule>
  </conditionalFormatting>
  <conditionalFormatting sqref="AE24">
    <cfRule type="expression" dxfId="248" priority="464">
      <formula>OR(IF(AE24&lt;AF24,TRUE),IF(AND(AF24="",AE24&lt;&gt;""),TRUE))</formula>
    </cfRule>
    <cfRule type="expression" dxfId="247" priority="465">
      <formula>IF(AE24&gt;=AF24,IF(AE24="",FALSE,TRUE))</formula>
    </cfRule>
  </conditionalFormatting>
  <conditionalFormatting sqref="AJ17 AL17 AL20:AL23 AJ20:AJ23">
    <cfRule type="expression" dxfId="246" priority="458">
      <formula>OR(IF(AJ17&lt;AK17,TRUE),IF(AND(AK17="",AJ17&lt;&gt;""),TRUE))</formula>
    </cfRule>
    <cfRule type="expression" dxfId="245" priority="459">
      <formula>IF(AJ17&gt;=AK17,IF(AJ17="",FALSE,TRUE))</formula>
    </cfRule>
  </conditionalFormatting>
  <conditionalFormatting sqref="AJ27:AJ28">
    <cfRule type="expression" dxfId="244" priority="454">
      <formula>OR(IF(AJ27&lt;AK27,TRUE),IF(AND(AK27="",AJ27&lt;&gt;""),TRUE))</formula>
    </cfRule>
    <cfRule type="expression" dxfId="243" priority="455">
      <formula>IF(AJ27&gt;=AK27,IF(AJ27="",FALSE,TRUE))</formula>
    </cfRule>
  </conditionalFormatting>
  <conditionalFormatting sqref="AL27:AL28">
    <cfRule type="expression" dxfId="242" priority="452">
      <formula>OR(IF(AL27&lt;AM27,TRUE),IF(AND(AM27="",AL27&lt;&gt;""),TRUE))</formula>
    </cfRule>
    <cfRule type="expression" dxfId="241" priority="453">
      <formula>IF(AL27&gt;=AM27,IF(AL27="",FALSE,TRUE))</formula>
    </cfRule>
  </conditionalFormatting>
  <conditionalFormatting sqref="AJ24">
    <cfRule type="expression" dxfId="240" priority="450">
      <formula>OR(IF(AJ24&lt;AK24,TRUE),IF(AND(AK24="",AJ24&lt;&gt;""),TRUE))</formula>
    </cfRule>
    <cfRule type="expression" dxfId="239" priority="451">
      <formula>IF(AJ24&gt;=AK24,IF(AJ24="",FALSE,TRUE))</formula>
    </cfRule>
  </conditionalFormatting>
  <conditionalFormatting sqref="AL24">
    <cfRule type="expression" dxfId="238" priority="448">
      <formula>OR(IF(AL24&lt;AM24,TRUE),IF(AND(AM24="",AL24&lt;&gt;""),TRUE))</formula>
    </cfRule>
    <cfRule type="expression" dxfId="237" priority="449">
      <formula>IF(AL24&gt;=AM24,IF(AL24="",FALSE,TRUE))</formula>
    </cfRule>
  </conditionalFormatting>
  <conditionalFormatting sqref="AQ27:AQ28">
    <cfRule type="expression" dxfId="236" priority="438">
      <formula>OR(IF(AQ27&lt;AR27,TRUE),IF(AND(AR27="",AQ27&lt;&gt;""),TRUE))</formula>
    </cfRule>
    <cfRule type="expression" dxfId="235" priority="439">
      <formula>IF(AQ27&gt;=AR27,IF(AQ27="",FALSE,TRUE))</formula>
    </cfRule>
  </conditionalFormatting>
  <conditionalFormatting sqref="AS27:AS28">
    <cfRule type="expression" dxfId="234" priority="436">
      <formula>OR(IF(AS27&lt;AT27,TRUE),IF(AND(AT27="",AS27&lt;&gt;""),TRUE))</formula>
    </cfRule>
    <cfRule type="expression" dxfId="233" priority="437">
      <formula>IF(AS27&gt;=AT27,IF(AS27="",FALSE,TRUE))</formula>
    </cfRule>
  </conditionalFormatting>
  <conditionalFormatting sqref="AQ24">
    <cfRule type="expression" dxfId="232" priority="434">
      <formula>OR(IF(AQ24&lt;AR24,TRUE),IF(AND(AR24="",AQ24&lt;&gt;""),TRUE))</formula>
    </cfRule>
    <cfRule type="expression" dxfId="231" priority="435">
      <formula>IF(AQ24&gt;=AR24,IF(AQ24="",FALSE,TRUE))</formula>
    </cfRule>
  </conditionalFormatting>
  <conditionalFormatting sqref="AS24">
    <cfRule type="expression" dxfId="230" priority="432">
      <formula>OR(IF(AS24&lt;AT24,TRUE),IF(AND(AT24="",AS24&lt;&gt;""),TRUE))</formula>
    </cfRule>
    <cfRule type="expression" dxfId="229" priority="433">
      <formula>IF(AS24&gt;=AT24,IF(AS24="",FALSE,TRUE))</formula>
    </cfRule>
  </conditionalFormatting>
  <conditionalFormatting sqref="AX17 AZ17 AZ20:AZ23 AX20:AX23">
    <cfRule type="expression" dxfId="228" priority="426">
      <formula>OR(IF(AX17&lt;AY17,TRUE),IF(AND(AY17="",AX17&lt;&gt;""),TRUE))</formula>
    </cfRule>
    <cfRule type="expression" dxfId="227" priority="427">
      <formula>IF(AX17&gt;=AY17,IF(AX17="",FALSE,TRUE))</formula>
    </cfRule>
  </conditionalFormatting>
  <conditionalFormatting sqref="AX27:AX28">
    <cfRule type="expression" dxfId="226" priority="422">
      <formula>OR(IF(AX27&lt;AY27,TRUE),IF(AND(AY27="",AX27&lt;&gt;""),TRUE))</formula>
    </cfRule>
    <cfRule type="expression" dxfId="225" priority="423">
      <formula>IF(AX27&gt;=AY27,IF(AX27="",FALSE,TRUE))</formula>
    </cfRule>
  </conditionalFormatting>
  <conditionalFormatting sqref="AZ27:AZ28">
    <cfRule type="expression" dxfId="224" priority="420">
      <formula>OR(IF(AZ27&lt;BA27,TRUE),IF(AND(BA27="",AZ27&lt;&gt;""),TRUE))</formula>
    </cfRule>
    <cfRule type="expression" dxfId="223" priority="421">
      <formula>IF(AZ27&gt;=BA27,IF(AZ27="",FALSE,TRUE))</formula>
    </cfRule>
  </conditionalFormatting>
  <conditionalFormatting sqref="AX24">
    <cfRule type="expression" dxfId="222" priority="418">
      <formula>OR(IF(AX24&lt;AY24,TRUE),IF(AND(AY24="",AX24&lt;&gt;""),TRUE))</formula>
    </cfRule>
    <cfRule type="expression" dxfId="221" priority="419">
      <formula>IF(AX24&gt;=AY24,IF(AX24="",FALSE,TRUE))</formula>
    </cfRule>
  </conditionalFormatting>
  <conditionalFormatting sqref="BG27:BG28">
    <cfRule type="expression" dxfId="220" priority="404">
      <formula>OR(IF(BG27&lt;BH27,TRUE),IF(AND(BH27="",BG27&lt;&gt;""),TRUE))</formula>
    </cfRule>
    <cfRule type="expression" dxfId="219" priority="405">
      <formula>IF(BG27&gt;=BH27,IF(BG27="",FALSE,TRUE))</formula>
    </cfRule>
  </conditionalFormatting>
  <conditionalFormatting sqref="BE24">
    <cfRule type="expression" dxfId="218" priority="402">
      <formula>OR(IF(BE24&lt;BF24,TRUE),IF(AND(BF24="",BE24&lt;&gt;""),TRUE))</formula>
    </cfRule>
    <cfRule type="expression" dxfId="217" priority="403">
      <formula>IF(BE24&gt;=BF24,IF(BE24="",FALSE,TRUE))</formula>
    </cfRule>
  </conditionalFormatting>
  <conditionalFormatting sqref="BG24">
    <cfRule type="expression" dxfId="216" priority="400">
      <formula>OR(IF(BG24&lt;BH24,TRUE),IF(AND(BH24="",BG24&lt;&gt;""),TRUE))</formula>
    </cfRule>
    <cfRule type="expression" dxfId="215" priority="401">
      <formula>IF(BG24&gt;=BH24,IF(BG24="",FALSE,TRUE))</formula>
    </cfRule>
  </conditionalFormatting>
  <conditionalFormatting sqref="J20:K24">
    <cfRule type="colorScale" priority="390">
      <colorScale>
        <cfvo type="percent" val="0"/>
        <cfvo type="percent" val="100"/>
        <color rgb="FFFF231B"/>
        <color rgb="FF10FF07"/>
      </colorScale>
    </cfRule>
  </conditionalFormatting>
  <conditionalFormatting sqref="J20:J24 J17">
    <cfRule type="colorScale" priority="389">
      <colorScale>
        <cfvo type="percent" val="0"/>
        <cfvo type="percent" val="100"/>
        <color rgb="FFFF231B"/>
        <color rgb="FF10FF07"/>
      </colorScale>
    </cfRule>
  </conditionalFormatting>
  <conditionalFormatting sqref="K20:K24 K17">
    <cfRule type="colorScale" priority="388">
      <colorScale>
        <cfvo type="percent" val="0"/>
        <cfvo type="percent" val="100"/>
        <color rgb="FFFF231B"/>
        <color rgb="FF10FF07"/>
      </colorScale>
    </cfRule>
  </conditionalFormatting>
  <conditionalFormatting sqref="BL17 BN17 BN20:BN23 BL20:BL23">
    <cfRule type="expression" dxfId="214" priority="386">
      <formula>OR(IF(BL17&lt;BM17,TRUE),IF(AND(BM17="",BL17&lt;&gt;""),TRUE))</formula>
    </cfRule>
    <cfRule type="expression" dxfId="213" priority="387">
      <formula>IF(BL17&gt;=BM17,IF(BL17="",FALSE,TRUE))</formula>
    </cfRule>
  </conditionalFormatting>
  <conditionalFormatting sqref="BL27:BL28">
    <cfRule type="expression" dxfId="212" priority="382">
      <formula>OR(IF(BL27&lt;BM27,TRUE),IF(AND(BM27="",BL27&lt;&gt;""),TRUE))</formula>
    </cfRule>
    <cfRule type="expression" dxfId="211" priority="383">
      <formula>IF(BL27&gt;=BM27,IF(BL27="",FALSE,TRUE))</formula>
    </cfRule>
  </conditionalFormatting>
  <conditionalFormatting sqref="BN27:BN28">
    <cfRule type="expression" dxfId="210" priority="380">
      <formula>OR(IF(BN27&lt;BO27,TRUE),IF(AND(BO27="",BN27&lt;&gt;""),TRUE))</formula>
    </cfRule>
    <cfRule type="expression" dxfId="209" priority="381">
      <formula>IF(BN27&gt;=BO27,IF(BN27="",FALSE,TRUE))</formula>
    </cfRule>
  </conditionalFormatting>
  <conditionalFormatting sqref="BL24">
    <cfRule type="expression" dxfId="208" priority="378">
      <formula>OR(IF(BL24&lt;BM24,TRUE),IF(AND(BM24="",BL24&lt;&gt;""),TRUE))</formula>
    </cfRule>
    <cfRule type="expression" dxfId="207" priority="379">
      <formula>IF(BL24&gt;=BM24,IF(BL24="",FALSE,TRUE))</formula>
    </cfRule>
  </conditionalFormatting>
  <conditionalFormatting sqref="BN24">
    <cfRule type="expression" dxfId="206" priority="376">
      <formula>OR(IF(BN24&lt;BO24,TRUE),IF(AND(BO24="",BN24&lt;&gt;""),TRUE))</formula>
    </cfRule>
    <cfRule type="expression" dxfId="205" priority="377">
      <formula>IF(BN24&gt;=BO24,IF(BN24="",FALSE,TRUE))</formula>
    </cfRule>
  </conditionalFormatting>
  <conditionalFormatting sqref="O37:O38">
    <cfRule type="expression" dxfId="204" priority="303">
      <formula>OR(IF(O37&lt;P37,TRUE),IF(AND(P37="",O37&lt;&gt;""),TRUE))</formula>
    </cfRule>
    <cfRule type="expression" dxfId="203" priority="304">
      <formula>IF(O37&gt;=P37,IF(O37="",FALSE,TRUE))</formula>
    </cfRule>
  </conditionalFormatting>
  <conditionalFormatting sqref="Q37:Q38">
    <cfRule type="expression" dxfId="202" priority="301">
      <formula>OR(IF(Q37&lt;R37,TRUE),IF(AND(R37="",Q37&lt;&gt;""),TRUE))</formula>
    </cfRule>
    <cfRule type="expression" dxfId="201" priority="302">
      <formula>IF(Q37&gt;=R37,IF(Q37="",FALSE,TRUE))</formula>
    </cfRule>
  </conditionalFormatting>
  <conditionalFormatting sqref="BE37:BE38">
    <cfRule type="expression" dxfId="200" priority="255">
      <formula>OR(IF(BE37&lt;BF37,TRUE),IF(AND(BF37="",BE37&lt;&gt;""),TRUE))</formula>
    </cfRule>
    <cfRule type="expression" dxfId="199" priority="256">
      <formula>IF(BE37&gt;=BF37,IF(BE37="",FALSE,TRUE))</formula>
    </cfRule>
  </conditionalFormatting>
  <conditionalFormatting sqref="V37:V38">
    <cfRule type="expression" dxfId="198" priority="295">
      <formula>OR(IF(V37&lt;W37,TRUE),IF(AND(W37="",V37&lt;&gt;""),TRUE))</formula>
    </cfRule>
    <cfRule type="expression" dxfId="197" priority="296">
      <formula>IF(V37&gt;=W37,IF(V37="",FALSE,TRUE))</formula>
    </cfRule>
  </conditionalFormatting>
  <conditionalFormatting sqref="X37:X38">
    <cfRule type="expression" dxfId="196" priority="293">
      <formula>OR(IF(X37&lt;Y37,TRUE),IF(AND(Y37="",X37&lt;&gt;""),TRUE))</formula>
    </cfRule>
    <cfRule type="expression" dxfId="195" priority="294">
      <formula>IF(X37&gt;=Y37,IF(X37="",FALSE,TRUE))</formula>
    </cfRule>
  </conditionalFormatting>
  <conditionalFormatting sqref="AC37:AC38">
    <cfRule type="expression" dxfId="194" priority="287">
      <formula>OR(IF(AC37&lt;AD37,TRUE),IF(AND(AD37="",AC37&lt;&gt;""),TRUE))</formula>
    </cfRule>
    <cfRule type="expression" dxfId="193" priority="288">
      <formula>IF(AC37&gt;=AD37,IF(AC37="",FALSE,TRUE))</formula>
    </cfRule>
  </conditionalFormatting>
  <conditionalFormatting sqref="AE37:AE38">
    <cfRule type="expression" dxfId="192" priority="285">
      <formula>OR(IF(AE37&lt;AF37,TRUE),IF(AND(AF37="",AE37&lt;&gt;""),TRUE))</formula>
    </cfRule>
    <cfRule type="expression" dxfId="191" priority="286">
      <formula>IF(AE37&gt;=AF37,IF(AE37="",FALSE,TRUE))</formula>
    </cfRule>
  </conditionalFormatting>
  <conditionalFormatting sqref="AJ37:AJ38">
    <cfRule type="expression" dxfId="190" priority="279">
      <formula>OR(IF(AJ37&lt;AK37,TRUE),IF(AND(AK37="",AJ37&lt;&gt;""),TRUE))</formula>
    </cfRule>
    <cfRule type="expression" dxfId="189" priority="280">
      <formula>IF(AJ37&gt;=AK37,IF(AJ37="",FALSE,TRUE))</formula>
    </cfRule>
  </conditionalFormatting>
  <conditionalFormatting sqref="AL37:AL38">
    <cfRule type="expression" dxfId="188" priority="277">
      <formula>OR(IF(AL37&lt;AM37,TRUE),IF(AND(AM37="",AL37&lt;&gt;""),TRUE))</formula>
    </cfRule>
    <cfRule type="expression" dxfId="187" priority="278">
      <formula>IF(AL37&gt;=AM37,IF(AL37="",FALSE,TRUE))</formula>
    </cfRule>
  </conditionalFormatting>
  <conditionalFormatting sqref="AQ37:AQ38">
    <cfRule type="expression" dxfId="186" priority="271">
      <formula>OR(IF(AQ37&lt;AR37,TRUE),IF(AND(AR37="",AQ37&lt;&gt;""),TRUE))</formula>
    </cfRule>
    <cfRule type="expression" dxfId="185" priority="272">
      <formula>IF(AQ37&gt;=AR37,IF(AQ37="",FALSE,TRUE))</formula>
    </cfRule>
  </conditionalFormatting>
  <conditionalFormatting sqref="AS37:AS38">
    <cfRule type="expression" dxfId="184" priority="269">
      <formula>OR(IF(AS37&lt;AT37,TRUE),IF(AND(AT37="",AS37&lt;&gt;""),TRUE))</formula>
    </cfRule>
    <cfRule type="expression" dxfId="183" priority="270">
      <formula>IF(AS37&gt;=AT37,IF(AS37="",FALSE,TRUE))</formula>
    </cfRule>
  </conditionalFormatting>
  <conditionalFormatting sqref="AX37:AX38">
    <cfRule type="expression" dxfId="182" priority="263">
      <formula>OR(IF(AX37&lt;AY37,TRUE),IF(AND(AY37="",AX37&lt;&gt;""),TRUE))</formula>
    </cfRule>
    <cfRule type="expression" dxfId="181" priority="264">
      <formula>IF(AX37&gt;=AY37,IF(AX37="",FALSE,TRUE))</formula>
    </cfRule>
  </conditionalFormatting>
  <conditionalFormatting sqref="AZ37:AZ38">
    <cfRule type="expression" dxfId="180" priority="261">
      <formula>OR(IF(AZ37&lt;BA37,TRUE),IF(AND(BA37="",AZ37&lt;&gt;""),TRUE))</formula>
    </cfRule>
    <cfRule type="expression" dxfId="179" priority="262">
      <formula>IF(AZ37&gt;=BA37,IF(AZ37="",FALSE,TRUE))</formula>
    </cfRule>
  </conditionalFormatting>
  <conditionalFormatting sqref="BG37:BG38">
    <cfRule type="expression" dxfId="178" priority="253">
      <formula>OR(IF(BG37&lt;BH37,TRUE),IF(AND(BH37="",BG37&lt;&gt;""),TRUE))</formula>
    </cfRule>
    <cfRule type="expression" dxfId="177" priority="254">
      <formula>IF(BG37&gt;=BH37,IF(BG37="",FALSE,TRUE))</formula>
    </cfRule>
  </conditionalFormatting>
  <conditionalFormatting sqref="BL37:BL38">
    <cfRule type="expression" dxfId="176" priority="244">
      <formula>OR(IF(BL37&lt;BM37,TRUE),IF(AND(BM37="",BL37&lt;&gt;""),TRUE))</formula>
    </cfRule>
    <cfRule type="expression" dxfId="175" priority="245">
      <formula>IF(BL37&gt;=BM37,IF(BL37="",FALSE,TRUE))</formula>
    </cfRule>
  </conditionalFormatting>
  <conditionalFormatting sqref="BN37:BN38">
    <cfRule type="expression" dxfId="174" priority="242">
      <formula>OR(IF(BN37&lt;BO37,TRUE),IF(AND(BO37="",BN37&lt;&gt;""),TRUE))</formula>
    </cfRule>
    <cfRule type="expression" dxfId="173" priority="243">
      <formula>IF(BN37&gt;=BO37,IF(BN37="",FALSE,TRUE))</formula>
    </cfRule>
  </conditionalFormatting>
  <conditionalFormatting sqref="J7:K14">
    <cfRule type="colorScale" priority="578">
      <colorScale>
        <cfvo type="percent" val="0"/>
        <cfvo type="percent" val="100"/>
        <color rgb="FFFF231B"/>
        <color rgb="FF10FF07"/>
      </colorScale>
    </cfRule>
  </conditionalFormatting>
  <conditionalFormatting sqref="O18 Q18">
    <cfRule type="expression" dxfId="172" priority="169">
      <formula>OR(IF(O18&lt;P18,TRUE),IF(AND(P18="",O18&lt;&gt;""),TRUE))</formula>
    </cfRule>
    <cfRule type="expression" dxfId="171" priority="170">
      <formula>IF(O18&gt;=P18,IF(O18="",FALSE,TRUE))</formula>
    </cfRule>
  </conditionalFormatting>
  <conditionalFormatting sqref="AQ18 AS18">
    <cfRule type="expression" dxfId="170" priority="161">
      <formula>OR(IF(AQ18&lt;AR18,TRUE),IF(AND(AR18="",AQ18&lt;&gt;""),TRUE))</formula>
    </cfRule>
    <cfRule type="expression" dxfId="169" priority="162">
      <formula>IF(AQ18&gt;=AR18,IF(AQ18="",FALSE,TRUE))</formula>
    </cfRule>
  </conditionalFormatting>
  <conditionalFormatting sqref="BE18 BG18">
    <cfRule type="expression" dxfId="168" priority="157">
      <formula>OR(IF(BE18&lt;BF18,TRUE),IF(AND(BF18="",BE18&lt;&gt;""),TRUE))</formula>
    </cfRule>
    <cfRule type="expression" dxfId="167" priority="158">
      <formula>IF(BE18&gt;=BF18,IF(BE18="",FALSE,TRUE))</formula>
    </cfRule>
  </conditionalFormatting>
  <conditionalFormatting sqref="V18 X18">
    <cfRule type="expression" dxfId="166" priority="167">
      <formula>OR(IF(V18&lt;W18,TRUE),IF(AND(W18="",V18&lt;&gt;""),TRUE))</formula>
    </cfRule>
    <cfRule type="expression" dxfId="165" priority="168">
      <formula>IF(V18&gt;=W18,IF(V18="",FALSE,TRUE))</formula>
    </cfRule>
  </conditionalFormatting>
  <conditionalFormatting sqref="AC18 AE18">
    <cfRule type="expression" dxfId="164" priority="165">
      <formula>OR(IF(AC18&lt;AD18,TRUE),IF(AND(AD18="",AC18&lt;&gt;""),TRUE))</formula>
    </cfRule>
    <cfRule type="expression" dxfId="163" priority="166">
      <formula>IF(AC18&gt;=AD18,IF(AC18="",FALSE,TRUE))</formula>
    </cfRule>
  </conditionalFormatting>
  <conditionalFormatting sqref="AJ18 AL18">
    <cfRule type="expression" dxfId="162" priority="163">
      <formula>OR(IF(AJ18&lt;AK18,TRUE),IF(AND(AK18="",AJ18&lt;&gt;""),TRUE))</formula>
    </cfRule>
    <cfRule type="expression" dxfId="161" priority="164">
      <formula>IF(AJ18&gt;=AK18,IF(AJ18="",FALSE,TRUE))</formula>
    </cfRule>
  </conditionalFormatting>
  <conditionalFormatting sqref="AX18 AZ18">
    <cfRule type="expression" dxfId="160" priority="159">
      <formula>OR(IF(AX18&lt;AY18,TRUE),IF(AND(AY18="",AX18&lt;&gt;""),TRUE))</formula>
    </cfRule>
    <cfRule type="expression" dxfId="159" priority="160">
      <formula>IF(AX18&gt;=AY18,IF(AX18="",FALSE,TRUE))</formula>
    </cfRule>
  </conditionalFormatting>
  <conditionalFormatting sqref="J18:K18">
    <cfRule type="colorScale" priority="156">
      <colorScale>
        <cfvo type="percent" val="0"/>
        <cfvo type="percent" val="100"/>
        <color rgb="FFFF231B"/>
        <color rgb="FF10FF07"/>
      </colorScale>
    </cfRule>
  </conditionalFormatting>
  <conditionalFormatting sqref="J18">
    <cfRule type="colorScale" priority="155">
      <colorScale>
        <cfvo type="percent" val="0"/>
        <cfvo type="percent" val="100"/>
        <color rgb="FFFF231B"/>
        <color rgb="FF10FF07"/>
      </colorScale>
    </cfRule>
  </conditionalFormatting>
  <conditionalFormatting sqref="K18">
    <cfRule type="colorScale" priority="154">
      <colorScale>
        <cfvo type="percent" val="0"/>
        <cfvo type="percent" val="100"/>
        <color rgb="FFFF231B"/>
        <color rgb="FF10FF07"/>
      </colorScale>
    </cfRule>
  </conditionalFormatting>
  <conditionalFormatting sqref="BL18 BN18">
    <cfRule type="expression" dxfId="158" priority="152">
      <formula>OR(IF(BL18&lt;BM18,TRUE),IF(AND(BM18="",BL18&lt;&gt;""),TRUE))</formula>
    </cfRule>
    <cfRule type="expression" dxfId="157" priority="153">
      <formula>IF(BL18&gt;=BM18,IF(BL18="",FALSE,TRUE))</formula>
    </cfRule>
  </conditionalFormatting>
  <conditionalFormatting sqref="Q19 O19">
    <cfRule type="expression" dxfId="156" priority="150">
      <formula>OR(IF(O19&lt;P19,TRUE),IF(AND(P19="",O19&lt;&gt;""),TRUE))</formula>
    </cfRule>
    <cfRule type="expression" dxfId="155" priority="151">
      <formula>IF(O19&gt;=P19,IF(O19="",FALSE,TRUE))</formula>
    </cfRule>
  </conditionalFormatting>
  <conditionalFormatting sqref="AS19 AQ19">
    <cfRule type="expression" dxfId="154" priority="142">
      <formula>OR(IF(AQ19&lt;AR19,TRUE),IF(AND(AR19="",AQ19&lt;&gt;""),TRUE))</formula>
    </cfRule>
    <cfRule type="expression" dxfId="153" priority="143">
      <formula>IF(AQ19&gt;=AR19,IF(AQ19="",FALSE,TRUE))</formula>
    </cfRule>
  </conditionalFormatting>
  <conditionalFormatting sqref="BG19 BE19">
    <cfRule type="expression" dxfId="152" priority="138">
      <formula>OR(IF(BE19&lt;BF19,TRUE),IF(AND(BF19="",BE19&lt;&gt;""),TRUE))</formula>
    </cfRule>
    <cfRule type="expression" dxfId="151" priority="139">
      <formula>IF(BE19&gt;=BF19,IF(BE19="",FALSE,TRUE))</formula>
    </cfRule>
  </conditionalFormatting>
  <conditionalFormatting sqref="X19 V19">
    <cfRule type="expression" dxfId="150" priority="148">
      <formula>OR(IF(V19&lt;W19,TRUE),IF(AND(W19="",V19&lt;&gt;""),TRUE))</formula>
    </cfRule>
    <cfRule type="expression" dxfId="149" priority="149">
      <formula>IF(V19&gt;=W19,IF(V19="",FALSE,TRUE))</formula>
    </cfRule>
  </conditionalFormatting>
  <conditionalFormatting sqref="AE19 AC19">
    <cfRule type="expression" dxfId="148" priority="146">
      <formula>OR(IF(AC19&lt;AD19,TRUE),IF(AND(AD19="",AC19&lt;&gt;""),TRUE))</formula>
    </cfRule>
    <cfRule type="expression" dxfId="147" priority="147">
      <formula>IF(AC19&gt;=AD19,IF(AC19="",FALSE,TRUE))</formula>
    </cfRule>
  </conditionalFormatting>
  <conditionalFormatting sqref="AL19 AJ19">
    <cfRule type="expression" dxfId="146" priority="144">
      <formula>OR(IF(AJ19&lt;AK19,TRUE),IF(AND(AK19="",AJ19&lt;&gt;""),TRUE))</formula>
    </cfRule>
    <cfRule type="expression" dxfId="145" priority="145">
      <formula>IF(AJ19&gt;=AK19,IF(AJ19="",FALSE,TRUE))</formula>
    </cfRule>
  </conditionalFormatting>
  <conditionalFormatting sqref="AZ19 AX19">
    <cfRule type="expression" dxfId="144" priority="140">
      <formula>OR(IF(AX19&lt;AY19,TRUE),IF(AND(AY19="",AX19&lt;&gt;""),TRUE))</formula>
    </cfRule>
    <cfRule type="expression" dxfId="143" priority="141">
      <formula>IF(AX19&gt;=AY19,IF(AX19="",FALSE,TRUE))</formula>
    </cfRule>
  </conditionalFormatting>
  <conditionalFormatting sqref="J19:K19">
    <cfRule type="colorScale" priority="137">
      <colorScale>
        <cfvo type="percent" val="0"/>
        <cfvo type="percent" val="100"/>
        <color rgb="FFFF231B"/>
        <color rgb="FF10FF07"/>
      </colorScale>
    </cfRule>
  </conditionalFormatting>
  <conditionalFormatting sqref="J19">
    <cfRule type="colorScale" priority="136">
      <colorScale>
        <cfvo type="percent" val="0"/>
        <cfvo type="percent" val="100"/>
        <color rgb="FFFF231B"/>
        <color rgb="FF10FF07"/>
      </colorScale>
    </cfRule>
  </conditionalFormatting>
  <conditionalFormatting sqref="K19">
    <cfRule type="colorScale" priority="135">
      <colorScale>
        <cfvo type="percent" val="0"/>
        <cfvo type="percent" val="100"/>
        <color rgb="FFFF231B"/>
        <color rgb="FF10FF07"/>
      </colorScale>
    </cfRule>
  </conditionalFormatting>
  <conditionalFormatting sqref="BN19 BL19">
    <cfRule type="expression" dxfId="142" priority="133">
      <formula>OR(IF(BL19&lt;BM19,TRUE),IF(AND(BM19="",BL19&lt;&gt;""),TRUE))</formula>
    </cfRule>
    <cfRule type="expression" dxfId="141" priority="134">
      <formula>IF(BL19&gt;=BM19,IF(BL19="",FALSE,TRUE))</formula>
    </cfRule>
  </conditionalFormatting>
  <conditionalFormatting sqref="J38:K46">
    <cfRule type="colorScale" priority="698">
      <colorScale>
        <cfvo type="percent" val="0"/>
        <cfvo type="percent" val="100"/>
        <color rgb="FFFF231B"/>
        <color rgb="FF10FF07"/>
      </colorScale>
    </cfRule>
  </conditionalFormatting>
  <conditionalFormatting sqref="J37:J46">
    <cfRule type="colorScale" priority="700">
      <colorScale>
        <cfvo type="percent" val="0"/>
        <cfvo type="percent" val="100"/>
        <color rgb="FFFF231B"/>
        <color rgb="FF10FF07"/>
      </colorScale>
    </cfRule>
  </conditionalFormatting>
  <conditionalFormatting sqref="K37:K46">
    <cfRule type="colorScale" priority="702">
      <colorScale>
        <cfvo type="percent" val="0"/>
        <cfvo type="percent" val="100"/>
        <color rgb="FFFF231B"/>
        <color rgb="FF10FF07"/>
      </colorScale>
    </cfRule>
  </conditionalFormatting>
  <conditionalFormatting sqref="J50:K58">
    <cfRule type="colorScale" priority="759">
      <colorScale>
        <cfvo type="percent" val="0"/>
        <cfvo type="percent" val="100"/>
        <color rgb="FFFF231B"/>
        <color rgb="FF10FF07"/>
      </colorScale>
    </cfRule>
  </conditionalFormatting>
  <conditionalFormatting sqref="J49:J58">
    <cfRule type="colorScale" priority="760">
      <colorScale>
        <cfvo type="percent" val="0"/>
        <cfvo type="percent" val="100"/>
        <color rgb="FFFF231B"/>
        <color rgb="FF10FF07"/>
      </colorScale>
    </cfRule>
  </conditionalFormatting>
  <conditionalFormatting sqref="K49:K58">
    <cfRule type="colorScale" priority="762">
      <colorScale>
        <cfvo type="percent" val="0"/>
        <cfvo type="percent" val="100"/>
        <color rgb="FFFF231B"/>
        <color rgb="FF10FF07"/>
      </colorScale>
    </cfRule>
  </conditionalFormatting>
  <conditionalFormatting sqref="BU49:BU58 BS49:BS58 BU39:BU46 BS39:BS46">
    <cfRule type="expression" dxfId="140" priority="131">
      <formula>OR(IF(BS39&lt;BT39,TRUE),IF(AND(BT39="",BS39&lt;&gt;""),TRUE))</formula>
    </cfRule>
    <cfRule type="expression" dxfId="139" priority="132">
      <formula>IF(BS39&gt;=BT39,IF(BS39="",FALSE,TRUE))</formula>
    </cfRule>
  </conditionalFormatting>
  <conditionalFormatting sqref="BS17 BU17 BU20:BU23 BS20:BS23">
    <cfRule type="expression" dxfId="138" priority="129">
      <formula>OR(IF(BS17&lt;BT17,TRUE),IF(AND(BT17="",BS17&lt;&gt;""),TRUE))</formula>
    </cfRule>
    <cfRule type="expression" dxfId="137" priority="130">
      <formula>IF(BS17&gt;=BT17,IF(BS17="",FALSE,TRUE))</formula>
    </cfRule>
  </conditionalFormatting>
  <conditionalFormatting sqref="BS27:BS28">
    <cfRule type="expression" dxfId="136" priority="127">
      <formula>OR(IF(BS27&lt;BT27,TRUE),IF(AND(BT27="",BS27&lt;&gt;""),TRUE))</formula>
    </cfRule>
    <cfRule type="expression" dxfId="135" priority="128">
      <formula>IF(BS27&gt;=BT27,IF(BS27="",FALSE,TRUE))</formula>
    </cfRule>
  </conditionalFormatting>
  <conditionalFormatting sqref="BU27:BU28">
    <cfRule type="expression" dxfId="134" priority="125">
      <formula>OR(IF(BU27&lt;BV27,TRUE),IF(AND(BV27="",BU27&lt;&gt;""),TRUE))</formula>
    </cfRule>
    <cfRule type="expression" dxfId="133" priority="126">
      <formula>IF(BU27&gt;=BV27,IF(BU27="",FALSE,TRUE))</formula>
    </cfRule>
  </conditionalFormatting>
  <conditionalFormatting sqref="BS24">
    <cfRule type="expression" dxfId="132" priority="123">
      <formula>OR(IF(BS24&lt;BT24,TRUE),IF(AND(BT24="",BS24&lt;&gt;""),TRUE))</formula>
    </cfRule>
    <cfRule type="expression" dxfId="131" priority="124">
      <formula>IF(BS24&gt;=BT24,IF(BS24="",FALSE,TRUE))</formula>
    </cfRule>
  </conditionalFormatting>
  <conditionalFormatting sqref="BU24">
    <cfRule type="expression" dxfId="130" priority="121">
      <formula>OR(IF(BU24&lt;BV24,TRUE),IF(AND(BV24="",BU24&lt;&gt;""),TRUE))</formula>
    </cfRule>
    <cfRule type="expression" dxfId="129" priority="122">
      <formula>IF(BU24&gt;=BV24,IF(BU24="",FALSE,TRUE))</formula>
    </cfRule>
  </conditionalFormatting>
  <conditionalFormatting sqref="BS37:BS38">
    <cfRule type="expression" dxfId="128" priority="119">
      <formula>OR(IF(BS37&lt;BT37,TRUE),IF(AND(BT37="",BS37&lt;&gt;""),TRUE))</formula>
    </cfRule>
    <cfRule type="expression" dxfId="127" priority="120">
      <formula>IF(BS37&gt;=BT37,IF(BS37="",FALSE,TRUE))</formula>
    </cfRule>
  </conditionalFormatting>
  <conditionalFormatting sqref="BU37:BU38">
    <cfRule type="expression" dxfId="126" priority="117">
      <formula>OR(IF(BU37&lt;BV37,TRUE),IF(AND(BV37="",BU37&lt;&gt;""),TRUE))</formula>
    </cfRule>
    <cfRule type="expression" dxfId="125" priority="118">
      <formula>IF(BU37&gt;=BV37,IF(BU37="",FALSE,TRUE))</formula>
    </cfRule>
  </conditionalFormatting>
  <conditionalFormatting sqref="BS18 BU18">
    <cfRule type="expression" dxfId="124" priority="115">
      <formula>OR(IF(BS18&lt;BT18,TRUE),IF(AND(BT18="",BS18&lt;&gt;""),TRUE))</formula>
    </cfRule>
    <cfRule type="expression" dxfId="123" priority="116">
      <formula>IF(BS18&gt;=BT18,IF(BS18="",FALSE,TRUE))</formula>
    </cfRule>
  </conditionalFormatting>
  <conditionalFormatting sqref="BU19 BS19">
    <cfRule type="expression" dxfId="122" priority="113">
      <formula>OR(IF(BS19&lt;BT19,TRUE),IF(AND(BT19="",BS19&lt;&gt;""),TRUE))</formula>
    </cfRule>
    <cfRule type="expression" dxfId="121" priority="114">
      <formula>IF(BS19&gt;=BT19,IF(BS19="",FALSE,TRUE))</formula>
    </cfRule>
  </conditionalFormatting>
  <conditionalFormatting sqref="CB49:CB58 BZ49:BZ58 CB39:CB46 BZ39:BZ46">
    <cfRule type="expression" dxfId="120" priority="111">
      <formula>OR(IF(BZ39&lt;CA39,TRUE),IF(AND(CA39="",BZ39&lt;&gt;""),TRUE))</formula>
    </cfRule>
    <cfRule type="expression" dxfId="119" priority="112">
      <formula>IF(BZ39&gt;=CA39,IF(BZ39="",FALSE,TRUE))</formula>
    </cfRule>
  </conditionalFormatting>
  <conditionalFormatting sqref="BZ17 CB17 CB20:CB23 BZ20:BZ23">
    <cfRule type="expression" dxfId="118" priority="109">
      <formula>OR(IF(BZ17&lt;CA17,TRUE),IF(AND(CA17="",BZ17&lt;&gt;""),TRUE))</formula>
    </cfRule>
    <cfRule type="expression" dxfId="117" priority="110">
      <formula>IF(BZ17&gt;=CA17,IF(BZ17="",FALSE,TRUE))</formula>
    </cfRule>
  </conditionalFormatting>
  <conditionalFormatting sqref="BZ27:BZ28">
    <cfRule type="expression" dxfId="116" priority="107">
      <formula>OR(IF(BZ27&lt;CA27,TRUE),IF(AND(CA27="",BZ27&lt;&gt;""),TRUE))</formula>
    </cfRule>
    <cfRule type="expression" dxfId="115" priority="108">
      <formula>IF(BZ27&gt;=CA27,IF(BZ27="",FALSE,TRUE))</formula>
    </cfRule>
  </conditionalFormatting>
  <conditionalFormatting sqref="CB27:CB28">
    <cfRule type="expression" dxfId="114" priority="105">
      <formula>OR(IF(CB27&lt;CC27,TRUE),IF(AND(CC27="",CB27&lt;&gt;""),TRUE))</formula>
    </cfRule>
    <cfRule type="expression" dxfId="113" priority="106">
      <formula>IF(CB27&gt;=CC27,IF(CB27="",FALSE,TRUE))</formula>
    </cfRule>
  </conditionalFormatting>
  <conditionalFormatting sqref="BZ24">
    <cfRule type="expression" dxfId="112" priority="103">
      <formula>OR(IF(BZ24&lt;CA24,TRUE),IF(AND(CA24="",BZ24&lt;&gt;""),TRUE))</formula>
    </cfRule>
    <cfRule type="expression" dxfId="111" priority="104">
      <formula>IF(BZ24&gt;=CA24,IF(BZ24="",FALSE,TRUE))</formula>
    </cfRule>
  </conditionalFormatting>
  <conditionalFormatting sqref="CB24">
    <cfRule type="expression" dxfId="110" priority="101">
      <formula>OR(IF(CB24&lt;CC24,TRUE),IF(AND(CC24="",CB24&lt;&gt;""),TRUE))</formula>
    </cfRule>
    <cfRule type="expression" dxfId="109" priority="102">
      <formula>IF(CB24&gt;=CC24,IF(CB24="",FALSE,TRUE))</formula>
    </cfRule>
  </conditionalFormatting>
  <conditionalFormatting sqref="BZ37:BZ38">
    <cfRule type="expression" dxfId="108" priority="99">
      <formula>OR(IF(BZ37&lt;CA37,TRUE),IF(AND(CA37="",BZ37&lt;&gt;""),TRUE))</formula>
    </cfRule>
    <cfRule type="expression" dxfId="107" priority="100">
      <formula>IF(BZ37&gt;=CA37,IF(BZ37="",FALSE,TRUE))</formula>
    </cfRule>
  </conditionalFormatting>
  <conditionalFormatting sqref="CB37:CB38">
    <cfRule type="expression" dxfId="106" priority="97">
      <formula>OR(IF(CB37&lt;CC37,TRUE),IF(AND(CC37="",CB37&lt;&gt;""),TRUE))</formula>
    </cfRule>
    <cfRule type="expression" dxfId="105" priority="98">
      <formula>IF(CB37&gt;=CC37,IF(CB37="",FALSE,TRUE))</formula>
    </cfRule>
  </conditionalFormatting>
  <conditionalFormatting sqref="BZ18 CB18">
    <cfRule type="expression" dxfId="104" priority="95">
      <formula>OR(IF(BZ18&lt;CA18,TRUE),IF(AND(CA18="",BZ18&lt;&gt;""),TRUE))</formula>
    </cfRule>
    <cfRule type="expression" dxfId="103" priority="96">
      <formula>IF(BZ18&gt;=CA18,IF(BZ18="",FALSE,TRUE))</formula>
    </cfRule>
  </conditionalFormatting>
  <conditionalFormatting sqref="CB19 BZ19">
    <cfRule type="expression" dxfId="102" priority="93">
      <formula>OR(IF(BZ19&lt;CA19,TRUE),IF(AND(CA19="",BZ19&lt;&gt;""),TRUE))</formula>
    </cfRule>
    <cfRule type="expression" dxfId="101" priority="94">
      <formula>IF(BZ19&gt;=CA19,IF(BZ19="",FALSE,TRUE))</formula>
    </cfRule>
  </conditionalFormatting>
  <conditionalFormatting sqref="CI49:CI58 CG49:CG58 CI39:CI46 CG39:CG46">
    <cfRule type="expression" dxfId="100" priority="91">
      <formula>OR(IF(CG39&lt;CH39,TRUE),IF(AND(CH39="",CG39&lt;&gt;""),TRUE))</formula>
    </cfRule>
    <cfRule type="expression" dxfId="99" priority="92">
      <formula>IF(CG39&gt;=CH39,IF(CG39="",FALSE,TRUE))</formula>
    </cfRule>
  </conditionalFormatting>
  <conditionalFormatting sqref="CG17 CI17 CI20:CI23 CG20:CG23">
    <cfRule type="expression" dxfId="98" priority="89">
      <formula>OR(IF(CG17&lt;CH17,TRUE),IF(AND(CH17="",CG17&lt;&gt;""),TRUE))</formula>
    </cfRule>
    <cfRule type="expression" dxfId="97" priority="90">
      <formula>IF(CG17&gt;=CH17,IF(CG17="",FALSE,TRUE))</formula>
    </cfRule>
  </conditionalFormatting>
  <conditionalFormatting sqref="CG27:CG28">
    <cfRule type="expression" dxfId="96" priority="87">
      <formula>OR(IF(CG27&lt;CH27,TRUE),IF(AND(CH27="",CG27&lt;&gt;""),TRUE))</formula>
    </cfRule>
    <cfRule type="expression" dxfId="95" priority="88">
      <formula>IF(CG27&gt;=CH27,IF(CG27="",FALSE,TRUE))</formula>
    </cfRule>
  </conditionalFormatting>
  <conditionalFormatting sqref="CI27:CI28">
    <cfRule type="expression" dxfId="94" priority="85">
      <formula>OR(IF(CI27&lt;CJ27,TRUE),IF(AND(CJ27="",CI27&lt;&gt;""),TRUE))</formula>
    </cfRule>
    <cfRule type="expression" dxfId="93" priority="86">
      <formula>IF(CI27&gt;=CJ27,IF(CI27="",FALSE,TRUE))</formula>
    </cfRule>
  </conditionalFormatting>
  <conditionalFormatting sqref="CG24">
    <cfRule type="expression" dxfId="92" priority="83">
      <formula>OR(IF(CG24&lt;CH24,TRUE),IF(AND(CH24="",CG24&lt;&gt;""),TRUE))</formula>
    </cfRule>
    <cfRule type="expression" dxfId="91" priority="84">
      <formula>IF(CG24&gt;=CH24,IF(CG24="",FALSE,TRUE))</formula>
    </cfRule>
  </conditionalFormatting>
  <conditionalFormatting sqref="CI24">
    <cfRule type="expression" dxfId="90" priority="81">
      <formula>OR(IF(CI24&lt;CJ24,TRUE),IF(AND(CJ24="",CI24&lt;&gt;""),TRUE))</formula>
    </cfRule>
    <cfRule type="expression" dxfId="89" priority="82">
      <formula>IF(CI24&gt;=CJ24,IF(CI24="",FALSE,TRUE))</formula>
    </cfRule>
  </conditionalFormatting>
  <conditionalFormatting sqref="CG37:CG38">
    <cfRule type="expression" dxfId="88" priority="79">
      <formula>OR(IF(CG37&lt;CH37,TRUE),IF(AND(CH37="",CG37&lt;&gt;""),TRUE))</formula>
    </cfRule>
    <cfRule type="expression" dxfId="87" priority="80">
      <formula>IF(CG37&gt;=CH37,IF(CG37="",FALSE,TRUE))</formula>
    </cfRule>
  </conditionalFormatting>
  <conditionalFormatting sqref="CI37:CI38">
    <cfRule type="expression" dxfId="86" priority="77">
      <formula>OR(IF(CI37&lt;CJ37,TRUE),IF(AND(CJ37="",CI37&lt;&gt;""),TRUE))</formula>
    </cfRule>
    <cfRule type="expression" dxfId="85" priority="78">
      <formula>IF(CI37&gt;=CJ37,IF(CI37="",FALSE,TRUE))</formula>
    </cfRule>
  </conditionalFormatting>
  <conditionalFormatting sqref="CG18 CI18">
    <cfRule type="expression" dxfId="84" priority="75">
      <formula>OR(IF(CG18&lt;CH18,TRUE),IF(AND(CH18="",CG18&lt;&gt;""),TRUE))</formula>
    </cfRule>
    <cfRule type="expression" dxfId="83" priority="76">
      <formula>IF(CG18&gt;=CH18,IF(CG18="",FALSE,TRUE))</formula>
    </cfRule>
  </conditionalFormatting>
  <conditionalFormatting sqref="CI19 CG19">
    <cfRule type="expression" dxfId="82" priority="73">
      <formula>OR(IF(CG19&lt;CH19,TRUE),IF(AND(CH19="",CG19&lt;&gt;""),TRUE))</formula>
    </cfRule>
    <cfRule type="expression" dxfId="81" priority="74">
      <formula>IF(CG19&gt;=CH19,IF(CG19="",FALSE,TRUE))</formula>
    </cfRule>
  </conditionalFormatting>
  <conditionalFormatting sqref="CP49:CP58 CN49:CN58 CP39:CP46 CN39:CN46">
    <cfRule type="expression" dxfId="80" priority="71">
      <formula>OR(IF(CN39&lt;CO39,TRUE),IF(AND(CO39="",CN39&lt;&gt;""),TRUE))</formula>
    </cfRule>
    <cfRule type="expression" dxfId="79" priority="72">
      <formula>IF(CN39&gt;=CO39,IF(CN39="",FALSE,TRUE))</formula>
    </cfRule>
  </conditionalFormatting>
  <conditionalFormatting sqref="CN17 CP17 CP20:CP23 CN20:CN23">
    <cfRule type="expression" dxfId="78" priority="69">
      <formula>OR(IF(CN17&lt;CO17,TRUE),IF(AND(CO17="",CN17&lt;&gt;""),TRUE))</formula>
    </cfRule>
    <cfRule type="expression" dxfId="77" priority="70">
      <formula>IF(CN17&gt;=CO17,IF(CN17="",FALSE,TRUE))</formula>
    </cfRule>
  </conditionalFormatting>
  <conditionalFormatting sqref="CN27:CN28">
    <cfRule type="expression" dxfId="76" priority="67">
      <formula>OR(IF(CN27&lt;CO27,TRUE),IF(AND(CO27="",CN27&lt;&gt;""),TRUE))</formula>
    </cfRule>
    <cfRule type="expression" dxfId="75" priority="68">
      <formula>IF(CN27&gt;=CO27,IF(CN27="",FALSE,TRUE))</formula>
    </cfRule>
  </conditionalFormatting>
  <conditionalFormatting sqref="CP27:CP28">
    <cfRule type="expression" dxfId="74" priority="65">
      <formula>OR(IF(CP27&lt;CQ27,TRUE),IF(AND(CQ27="",CP27&lt;&gt;""),TRUE))</formula>
    </cfRule>
    <cfRule type="expression" dxfId="73" priority="66">
      <formula>IF(CP27&gt;=CQ27,IF(CP27="",FALSE,TRUE))</formula>
    </cfRule>
  </conditionalFormatting>
  <conditionalFormatting sqref="CN24">
    <cfRule type="expression" dxfId="72" priority="63">
      <formula>OR(IF(CN24&lt;CO24,TRUE),IF(AND(CO24="",CN24&lt;&gt;""),TRUE))</formula>
    </cfRule>
    <cfRule type="expression" dxfId="71" priority="64">
      <formula>IF(CN24&gt;=CO24,IF(CN24="",FALSE,TRUE))</formula>
    </cfRule>
  </conditionalFormatting>
  <conditionalFormatting sqref="CP24">
    <cfRule type="expression" dxfId="70" priority="61">
      <formula>OR(IF(CP24&lt;CQ24,TRUE),IF(AND(CQ24="",CP24&lt;&gt;""),TRUE))</formula>
    </cfRule>
    <cfRule type="expression" dxfId="69" priority="62">
      <formula>IF(CP24&gt;=CQ24,IF(CP24="",FALSE,TRUE))</formula>
    </cfRule>
  </conditionalFormatting>
  <conditionalFormatting sqref="CN37:CN38">
    <cfRule type="expression" dxfId="68" priority="59">
      <formula>OR(IF(CN37&lt;CO37,TRUE),IF(AND(CO37="",CN37&lt;&gt;""),TRUE))</formula>
    </cfRule>
    <cfRule type="expression" dxfId="67" priority="60">
      <formula>IF(CN37&gt;=CO37,IF(CN37="",FALSE,TRUE))</formula>
    </cfRule>
  </conditionalFormatting>
  <conditionalFormatting sqref="CP37:CP38">
    <cfRule type="expression" dxfId="66" priority="57">
      <formula>OR(IF(CP37&lt;CQ37,TRUE),IF(AND(CQ37="",CP37&lt;&gt;""),TRUE))</formula>
    </cfRule>
    <cfRule type="expression" dxfId="65" priority="58">
      <formula>IF(CP37&gt;=CQ37,IF(CP37="",FALSE,TRUE))</formula>
    </cfRule>
  </conditionalFormatting>
  <conditionalFormatting sqref="CN18 CP18">
    <cfRule type="expression" dxfId="64" priority="55">
      <formula>OR(IF(CN18&lt;CO18,TRUE),IF(AND(CO18="",CN18&lt;&gt;""),TRUE))</formula>
    </cfRule>
    <cfRule type="expression" dxfId="63" priority="56">
      <formula>IF(CN18&gt;=CO18,IF(CN18="",FALSE,TRUE))</formula>
    </cfRule>
  </conditionalFormatting>
  <conditionalFormatting sqref="CP19 CN19">
    <cfRule type="expression" dxfId="62" priority="53">
      <formula>OR(IF(CN19&lt;CO19,TRUE),IF(AND(CO19="",CN19&lt;&gt;""),TRUE))</formula>
    </cfRule>
    <cfRule type="expression" dxfId="61" priority="54">
      <formula>IF(CN19&gt;=CO19,IF(CN19="",FALSE,TRUE))</formula>
    </cfRule>
  </conditionalFormatting>
  <conditionalFormatting sqref="CW49:CW58 CU49:CU58 CW39:CW46 CU39:CU46">
    <cfRule type="expression" dxfId="60" priority="51">
      <formula>OR(IF(CU39&lt;CV39,TRUE),IF(AND(CV39="",CU39&lt;&gt;""),TRUE))</formula>
    </cfRule>
    <cfRule type="expression" dxfId="59" priority="52">
      <formula>IF(CU39&gt;=CV39,IF(CU39="",FALSE,TRUE))</formula>
    </cfRule>
  </conditionalFormatting>
  <conditionalFormatting sqref="CU17 CW17 CW20:CW23 CU20:CU23">
    <cfRule type="expression" dxfId="58" priority="49">
      <formula>OR(IF(CU17&lt;CV17,TRUE),IF(AND(CV17="",CU17&lt;&gt;""),TRUE))</formula>
    </cfRule>
    <cfRule type="expression" dxfId="57" priority="50">
      <formula>IF(CU17&gt;=CV17,IF(CU17="",FALSE,TRUE))</formula>
    </cfRule>
  </conditionalFormatting>
  <conditionalFormatting sqref="CU27:CU28">
    <cfRule type="expression" dxfId="56" priority="47">
      <formula>OR(IF(CU27&lt;CV27,TRUE),IF(AND(CV27="",CU27&lt;&gt;""),TRUE))</formula>
    </cfRule>
    <cfRule type="expression" dxfId="55" priority="48">
      <formula>IF(CU27&gt;=CV27,IF(CU27="",FALSE,TRUE))</formula>
    </cfRule>
  </conditionalFormatting>
  <conditionalFormatting sqref="CW27:CW28">
    <cfRule type="expression" dxfId="54" priority="45">
      <formula>OR(IF(CW27&lt;CX27,TRUE),IF(AND(CX27="",CW27&lt;&gt;""),TRUE))</formula>
    </cfRule>
    <cfRule type="expression" dxfId="53" priority="46">
      <formula>IF(CW27&gt;=CX27,IF(CW27="",FALSE,TRUE))</formula>
    </cfRule>
  </conditionalFormatting>
  <conditionalFormatting sqref="CU24">
    <cfRule type="expression" dxfId="52" priority="43">
      <formula>OR(IF(CU24&lt;CV24,TRUE),IF(AND(CV24="",CU24&lt;&gt;""),TRUE))</formula>
    </cfRule>
    <cfRule type="expression" dxfId="51" priority="44">
      <formula>IF(CU24&gt;=CV24,IF(CU24="",FALSE,TRUE))</formula>
    </cfRule>
  </conditionalFormatting>
  <conditionalFormatting sqref="CW24">
    <cfRule type="expression" dxfId="50" priority="41">
      <formula>OR(IF(CW24&lt;CX24,TRUE),IF(AND(CX24="",CW24&lt;&gt;""),TRUE))</formula>
    </cfRule>
    <cfRule type="expression" dxfId="49" priority="42">
      <formula>IF(CW24&gt;=CX24,IF(CW24="",FALSE,TRUE))</formula>
    </cfRule>
  </conditionalFormatting>
  <conditionalFormatting sqref="CU37:CU38">
    <cfRule type="expression" dxfId="48" priority="39">
      <formula>OR(IF(CU37&lt;CV37,TRUE),IF(AND(CV37="",CU37&lt;&gt;""),TRUE))</formula>
    </cfRule>
    <cfRule type="expression" dxfId="47" priority="40">
      <formula>IF(CU37&gt;=CV37,IF(CU37="",FALSE,TRUE))</formula>
    </cfRule>
  </conditionalFormatting>
  <conditionalFormatting sqref="CW37:CW38">
    <cfRule type="expression" dxfId="46" priority="37">
      <formula>OR(IF(CW37&lt;CX37,TRUE),IF(AND(CX37="",CW37&lt;&gt;""),TRUE))</formula>
    </cfRule>
    <cfRule type="expression" dxfId="45" priority="38">
      <formula>IF(CW37&gt;=CX37,IF(CW37="",FALSE,TRUE))</formula>
    </cfRule>
  </conditionalFormatting>
  <conditionalFormatting sqref="CU18 CW18">
    <cfRule type="expression" dxfId="44" priority="35">
      <formula>OR(IF(CU18&lt;CV18,TRUE),IF(AND(CV18="",CU18&lt;&gt;""),TRUE))</formula>
    </cfRule>
    <cfRule type="expression" dxfId="43" priority="36">
      <formula>IF(CU18&gt;=CV18,IF(CU18="",FALSE,TRUE))</formula>
    </cfRule>
  </conditionalFormatting>
  <conditionalFormatting sqref="CW19 CU19">
    <cfRule type="expression" dxfId="42" priority="33">
      <formula>OR(IF(CU19&lt;CV19,TRUE),IF(AND(CV19="",CU19&lt;&gt;""),TRUE))</formula>
    </cfRule>
    <cfRule type="expression" dxfId="41" priority="34">
      <formula>IF(CU19&gt;=CV19,IF(CU19="",FALSE,TRUE))</formula>
    </cfRule>
  </conditionalFormatting>
  <conditionalFormatting sqref="DD49:DD58 DB49:DB58 DD39:DD46 DB39:DB46">
    <cfRule type="expression" dxfId="40" priority="31">
      <formula>OR(IF(DB39&lt;DC39,TRUE),IF(AND(DC39="",DB39&lt;&gt;""),TRUE))</formula>
    </cfRule>
    <cfRule type="expression" dxfId="39" priority="32">
      <formula>IF(DB39&gt;=DC39,IF(DB39="",FALSE,TRUE))</formula>
    </cfRule>
  </conditionalFormatting>
  <conditionalFormatting sqref="DB17 DD17 DD20:DD23 DB20:DB23">
    <cfRule type="expression" dxfId="38" priority="29">
      <formula>OR(IF(DB17&lt;DC17,TRUE),IF(AND(DC17="",DB17&lt;&gt;""),TRUE))</formula>
    </cfRule>
    <cfRule type="expression" dxfId="37" priority="30">
      <formula>IF(DB17&gt;=DC17,IF(DB17="",FALSE,TRUE))</formula>
    </cfRule>
  </conditionalFormatting>
  <conditionalFormatting sqref="DB27:DB28">
    <cfRule type="expression" dxfId="36" priority="27">
      <formula>OR(IF(DB27&lt;DC27,TRUE),IF(AND(DC27="",DB27&lt;&gt;""),TRUE))</formula>
    </cfRule>
    <cfRule type="expression" dxfId="35" priority="28">
      <formula>IF(DB27&gt;=DC27,IF(DB27="",FALSE,TRUE))</formula>
    </cfRule>
  </conditionalFormatting>
  <conditionalFormatting sqref="DD27:DD28">
    <cfRule type="expression" dxfId="34" priority="25">
      <formula>OR(IF(DD27&lt;DE27,TRUE),IF(AND(DE27="",DD27&lt;&gt;""),TRUE))</formula>
    </cfRule>
    <cfRule type="expression" dxfId="33" priority="26">
      <formula>IF(DD27&gt;=DE27,IF(DD27="",FALSE,TRUE))</formula>
    </cfRule>
  </conditionalFormatting>
  <conditionalFormatting sqref="DB24">
    <cfRule type="expression" dxfId="32" priority="23">
      <formula>OR(IF(DB24&lt;DC24,TRUE),IF(AND(DC24="",DB24&lt;&gt;""),TRUE))</formula>
    </cfRule>
    <cfRule type="expression" dxfId="31" priority="24">
      <formula>IF(DB24&gt;=DC24,IF(DB24="",FALSE,TRUE))</formula>
    </cfRule>
  </conditionalFormatting>
  <conditionalFormatting sqref="DD24">
    <cfRule type="expression" dxfId="30" priority="21">
      <formula>OR(IF(DD24&lt;DE24,TRUE),IF(AND(DE24="",DD24&lt;&gt;""),TRUE))</formula>
    </cfRule>
    <cfRule type="expression" dxfId="29" priority="22">
      <formula>IF(DD24&gt;=DE24,IF(DD24="",FALSE,TRUE))</formula>
    </cfRule>
  </conditionalFormatting>
  <conditionalFormatting sqref="DB37:DB38">
    <cfRule type="expression" dxfId="28" priority="19">
      <formula>OR(IF(DB37&lt;DC37,TRUE),IF(AND(DC37="",DB37&lt;&gt;""),TRUE))</formula>
    </cfRule>
    <cfRule type="expression" dxfId="27" priority="20">
      <formula>IF(DB37&gt;=DC37,IF(DB37="",FALSE,TRUE))</formula>
    </cfRule>
  </conditionalFormatting>
  <conditionalFormatting sqref="DD37:DD38">
    <cfRule type="expression" dxfId="26" priority="17">
      <formula>OR(IF(DD37&lt;DE37,TRUE),IF(AND(DE37="",DD37&lt;&gt;""),TRUE))</formula>
    </cfRule>
    <cfRule type="expression" dxfId="25" priority="18">
      <formula>IF(DD37&gt;=DE37,IF(DD37="",FALSE,TRUE))</formula>
    </cfRule>
  </conditionalFormatting>
  <conditionalFormatting sqref="DB18 DD18">
    <cfRule type="expression" dxfId="24" priority="15">
      <formula>OR(IF(DB18&lt;DC18,TRUE),IF(AND(DC18="",DB18&lt;&gt;""),TRUE))</formula>
    </cfRule>
    <cfRule type="expression" dxfId="23" priority="16">
      <formula>IF(DB18&gt;=DC18,IF(DB18="",FALSE,TRUE))</formula>
    </cfRule>
  </conditionalFormatting>
  <conditionalFormatting sqref="DD19 DB19">
    <cfRule type="expression" dxfId="22" priority="13">
      <formula>OR(IF(DB19&lt;DC19,TRUE),IF(AND(DC19="",DB19&lt;&gt;""),TRUE))</formula>
    </cfRule>
    <cfRule type="expression" dxfId="21" priority="14">
      <formula>IF(DB19&gt;=DC19,IF(DB19="",FALSE,TRUE))</formula>
    </cfRule>
  </conditionalFormatting>
  <conditionalFormatting sqref="CB14">
    <cfRule type="expression" dxfId="20" priority="765">
      <formula>OR(IF(CB14&lt;CC14,TRUE),IF(AND(CC14="",CB14&lt;&gt;""),TRUE))</formula>
    </cfRule>
    <cfRule type="expression" dxfId="19" priority="766">
      <formula>IF(CB14&gt;=CC14,IF(CB14="",FALSE,TRUE))</formula>
    </cfRule>
  </conditionalFormatting>
  <conditionalFormatting sqref="CB13">
    <cfRule type="expression" dxfId="18" priority="11">
      <formula>OR(IF(CB13&lt;CC13,TRUE),IF(AND(CC13="",CB13&lt;&gt;""),TRUE))</formula>
    </cfRule>
    <cfRule type="expression" dxfId="17" priority="12">
      <formula>IF(CB13&gt;=CC13,IF(CB13="",FALSE,TRUE))</formula>
    </cfRule>
  </conditionalFormatting>
  <conditionalFormatting sqref="J6:K6">
    <cfRule type="colorScale" priority="10">
      <colorScale>
        <cfvo type="percent" val="0"/>
        <cfvo type="percent" val="100"/>
        <color rgb="FFFF231B"/>
        <color rgb="FF10FF07"/>
      </colorScale>
    </cfRule>
  </conditionalFormatting>
  <conditionalFormatting sqref="J5:J14">
    <cfRule type="colorScale" priority="833">
      <colorScale>
        <cfvo type="percent" val="0"/>
        <cfvo type="percent" val="100"/>
        <color rgb="FFFF231B"/>
        <color rgb="FF10FF07"/>
      </colorScale>
    </cfRule>
  </conditionalFormatting>
  <conditionalFormatting sqref="K5:K14">
    <cfRule type="colorScale" priority="835">
      <colorScale>
        <cfvo type="percent" val="0"/>
        <cfvo type="percent" val="100"/>
        <color rgb="FFFF231B"/>
        <color rgb="FF10FF07"/>
      </colorScale>
    </cfRule>
  </conditionalFormatting>
  <conditionalFormatting sqref="J28:K34">
    <cfRule type="colorScale" priority="1078">
      <colorScale>
        <cfvo type="percent" val="0"/>
        <cfvo type="percent" val="100"/>
        <color rgb="FFFF231B"/>
        <color rgb="FF10FF07"/>
      </colorScale>
    </cfRule>
  </conditionalFormatting>
  <conditionalFormatting sqref="J27:J34">
    <cfRule type="colorScale" priority="1079">
      <colorScale>
        <cfvo type="percent" val="0"/>
        <cfvo type="percent" val="100"/>
        <color rgb="FFFF231B"/>
        <color rgb="FF10FF07"/>
      </colorScale>
    </cfRule>
  </conditionalFormatting>
  <conditionalFormatting sqref="K27:K34">
    <cfRule type="colorScale" priority="1080">
      <colorScale>
        <cfvo type="percent" val="0"/>
        <cfvo type="percent" val="100"/>
        <color rgb="FFFF231B"/>
        <color rgb="FF10FF07"/>
      </colorScale>
    </cfRule>
  </conditionalFormatting>
  <dataValidations count="1">
    <dataValidation type="list" allowBlank="1" showInputMessage="1" showErrorMessage="1" sqref="AJ49:AM58 V17:Y24 AC17:AF24 AJ17:AM24 AQ17:AT24 AX17:BA24 BE17:BH24 BL17:BO24 CG49:CJ58 BL49:BO58 AX49:BA58 BE49:BH58 AQ49:AT58 AC49:AF58 V49:Y58 O49:R58 BS49:BV58 BS17:BV24 BZ49:CC58 DB49:DE58 CG17:CJ24 CN17:CQ24 CN49:CQ58 CU17:CX24 CU49:CX58 O17:R24 DB17:DE24 DB27:DE34 BZ17:CC24 DB5:DE14 CU5:CX14 CN5:CQ14 CG5:CJ14 BS5:BV14 BZ5:CC14 O5:R14 BL5:BO14 BE5:BH14 AX5:BA14 AQ5:AT14 AJ5:AM14 AC5:AF14 V5:Y14 BL27:BO34 O27:R34 AX27:BA34 AQ27:AT34 AJ27:AM34 AC27:AF34 V27:Y34 BS27:BV34 BZ27:CC34 BE27:BH34 CG27:CJ34 CN27:CQ34 CU27:CX34 DB37:DE46 CU37:CX46 CN37:CQ46 CG37:CJ46 BZ37:CC46 BS37:BV46 V37:Y46 AC37:AF46 AJ37:AM46 AQ37:AT46 BE37:BH46 AX37:BA46 O37:R46 BL37:BO46"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17</v>
      </c>
    </row>
    <row r="6" spans="2:2" x14ac:dyDescent="0.2">
      <c r="B6" s="2" t="s">
        <v>14</v>
      </c>
    </row>
    <row r="7" spans="2:2" ht="51" x14ac:dyDescent="0.2">
      <c r="B7" s="1" t="s">
        <v>15</v>
      </c>
    </row>
    <row r="9" spans="2:2" x14ac:dyDescent="0.2">
      <c r="B9" s="2" t="s">
        <v>16</v>
      </c>
    </row>
    <row r="10" spans="2:2" ht="68" x14ac:dyDescent="0.2">
      <c r="B10" s="1" t="s">
        <v>41</v>
      </c>
    </row>
    <row r="12" spans="2:2" x14ac:dyDescent="0.2">
      <c r="B12" s="2" t="s">
        <v>18</v>
      </c>
    </row>
    <row r="13" spans="2:2" ht="153" x14ac:dyDescent="0.2">
      <c r="B13" s="1" t="s">
        <v>19</v>
      </c>
    </row>
    <row r="15" spans="2:2" x14ac:dyDescent="0.2">
      <c r="B15" s="2" t="s">
        <v>20</v>
      </c>
    </row>
    <row r="16" spans="2:2" ht="119" x14ac:dyDescent="0.2">
      <c r="B16" s="1" t="s">
        <v>21</v>
      </c>
    </row>
    <row r="17" spans="2:2" x14ac:dyDescent="0.2">
      <c r="B17" s="1"/>
    </row>
    <row r="18" spans="2:2" x14ac:dyDescent="0.2">
      <c r="B18" s="2" t="s">
        <v>40</v>
      </c>
    </row>
    <row r="19" spans="2:2" ht="153" x14ac:dyDescent="0.2">
      <c r="B19" s="1" t="s">
        <v>42</v>
      </c>
    </row>
    <row r="21" spans="2:2" x14ac:dyDescent="0.2">
      <c r="B21" s="2" t="s">
        <v>22</v>
      </c>
    </row>
    <row r="22" spans="2:2" ht="136" x14ac:dyDescent="0.2">
      <c r="B22" s="1" t="s">
        <v>43</v>
      </c>
    </row>
    <row r="24" spans="2:2" x14ac:dyDescent="0.2">
      <c r="B24" s="2" t="s">
        <v>23</v>
      </c>
    </row>
    <row r="25" spans="2:2" ht="136" x14ac:dyDescent="0.2">
      <c r="B25" s="1"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50</v>
      </c>
      <c r="B1" s="15" t="s">
        <v>47</v>
      </c>
      <c r="C1" s="15" t="s">
        <v>48</v>
      </c>
      <c r="D1" s="15" t="s">
        <v>49</v>
      </c>
      <c r="E1" s="1" t="s">
        <v>51</v>
      </c>
      <c r="F1" s="1" t="s">
        <v>52</v>
      </c>
      <c r="G1" s="1" t="s">
        <v>53</v>
      </c>
      <c r="H1" s="1" t="s">
        <v>54</v>
      </c>
      <c r="I1" s="1" t="s">
        <v>55</v>
      </c>
      <c r="J1" s="1" t="s">
        <v>56</v>
      </c>
      <c r="K1" s="1" t="s">
        <v>57</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7" t="s">
        <v>26</v>
      </c>
    </row>
    <row r="4" spans="1:8" x14ac:dyDescent="0.2">
      <c r="B4" s="2" t="s">
        <v>5</v>
      </c>
      <c r="C4" s="2" t="s">
        <v>6</v>
      </c>
      <c r="D4" s="2" t="s">
        <v>7</v>
      </c>
      <c r="E4" s="2" t="s">
        <v>8</v>
      </c>
      <c r="F4" s="2" t="s">
        <v>11</v>
      </c>
      <c r="G4" s="2" t="s">
        <v>9</v>
      </c>
      <c r="H4" s="2" t="s">
        <v>10</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26</v>
      </c>
    </row>
    <row r="4" spans="1:8" x14ac:dyDescent="0.2">
      <c r="B4" s="2" t="s">
        <v>5</v>
      </c>
      <c r="C4" s="2" t="s">
        <v>6</v>
      </c>
      <c r="D4" s="2" t="s">
        <v>7</v>
      </c>
      <c r="E4" s="2" t="s">
        <v>8</v>
      </c>
      <c r="F4" s="2" t="s">
        <v>11</v>
      </c>
      <c r="G4" s="2" t="s">
        <v>9</v>
      </c>
      <c r="H4" s="2" t="s">
        <v>10</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rq_gli2k8q@goetheuniversitaet.onmicrosoft.com</cp:lastModifiedBy>
  <dcterms:created xsi:type="dcterms:W3CDTF">2020-04-19T13:33:28Z</dcterms:created>
  <dcterms:modified xsi:type="dcterms:W3CDTF">2023-04-14T07:10:58Z</dcterms:modified>
</cp:coreProperties>
</file>